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5"/>
    <sheet state="visible" name="Incident" sheetId="2" r:id="rId6"/>
    <sheet state="visible" name="Positional cal" sheetId="3" r:id="rId7"/>
    <sheet state="visible" name="Exception" sheetId="4" r:id="rId8"/>
    <sheet state="hidden" name="Other pos algos" sheetId="5" r:id="rId9"/>
    <sheet state="visible" name="A8 Daily SL verification" sheetId="6" r:id="rId10"/>
    <sheet state="visible" name="Realised and SV" sheetId="7" r:id="rId11"/>
    <sheet state="visible" name="Category" sheetId="8" r:id="rId12"/>
    <sheet state="visible" name="AlgoUi" sheetId="9" r:id="rId13"/>
    <sheet state="visible" name="Jainam" sheetId="10" r:id="rId14"/>
    <sheet state="visible" name="PAcc" sheetId="11" r:id="rId15"/>
    <sheet state="visible" name="For GOV" sheetId="12" r:id="rId16"/>
    <sheet state="visible" name="Headers" sheetId="13" r:id="rId17"/>
    <sheet state="visible" name="VlookupSheet" sheetId="14" r:id="rId18"/>
  </sheets>
  <definedNames>
    <definedName hidden="1" localSheetId="11" name="_xlnm._FilterDatabase">'For GOV'!$A$1:$S$314</definedName>
    <definedName hidden="1" localSheetId="0" name="Z_3282B7DF_6B47_4137_AD80_84008C51AA3A_.wvu.FilterData">Main!$A$1:$AE$2844</definedName>
    <definedName hidden="1" localSheetId="0" name="Z_4D7D1229_F593_4F73_B17A_999A8F1BA0C7_.wvu.FilterData">Main!$A$1:$X$360</definedName>
    <definedName hidden="1" localSheetId="0" name="Z_747E910D_CDE2_414B_B949_CDC2846426D7_.wvu.FilterData">Main!$A$1:$X$418</definedName>
    <definedName hidden="1" localSheetId="0" name="Z_53B5B2E0_1F6A_4302_A7AF_6CA488ADC63D_.wvu.FilterData">Main!$A$1:$X$253</definedName>
    <definedName hidden="1" localSheetId="0" name="Z_FBC910C1_1D75_427C_832C_FDD978EF6438_.wvu.FilterData">Main!$A$1:$X$418</definedName>
    <definedName hidden="1" localSheetId="0" name="Z_889ED070_0D93_4F51_A306_12D094EAF3E5_.wvu.FilterData">Main!$A$1:$X$418</definedName>
    <definedName hidden="1" localSheetId="0" name="Z_8A66B125_3F1A_44B0_AE88_A79C49F414A3_.wvu.FilterData">Main!$A$1:$X$253</definedName>
    <definedName hidden="1" localSheetId="0" name="Z_85CF5F1E_4FF0_422A_BC9D_47F80B8DCF77_.wvu.FilterData">Main!$A$1:$X$2844</definedName>
    <definedName hidden="1" localSheetId="0" name="Z_7D64AA9A_2A9F_45B1_AD86_11E8804087EA_.wvu.FilterData">Main!$H$523:$H$524</definedName>
    <definedName hidden="1" localSheetId="0" name="Z_CDB72D98_C8D6_41FA_8C52_736DFC735D8A_.wvu.FilterData">Main!$A$1:$X$418</definedName>
    <definedName hidden="1" localSheetId="0" name="Z_1579EE49_65C2_491E_991B_E20EE33BD0CF_.wvu.FilterData">Main!$A$1:$X$360</definedName>
    <definedName hidden="1" localSheetId="0" name="Z_E85F74B1_AE5C_472E_9045_879DABE0BF04_.wvu.FilterData">Main!$A$1:$Z$753</definedName>
    <definedName hidden="1" localSheetId="0" name="Z_3222C0C0_A7DE_4AFC_B328_4A18BE983D59_.wvu.FilterData">Main!$A$1:$X$269</definedName>
    <definedName hidden="1" localSheetId="0" name="Z_16AB4084_141F_45C2_BC35_27BAEE272405_.wvu.FilterData">Main!$A$1:$X$418</definedName>
    <definedName hidden="1" localSheetId="0" name="Z_F34DB8A5_04FB_496A_AD5A_C9312B2666FC_.wvu.FilterData">Main!$A$1:$X$418</definedName>
    <definedName hidden="1" localSheetId="0" name="Z_CA2ECE4E_01C8_4CF2_87A5_6B0C4F7E4468_.wvu.FilterData">Main!$A$1:$X$236</definedName>
    <definedName hidden="1" localSheetId="0" name="Z_5F819023_5E2E_4F10_947F_33C3E7065C35_.wvu.FilterData">Main!$A$1:$X$269</definedName>
    <definedName hidden="1" localSheetId="0" name="Z_A028FDE0_77D1_4CA8_8C92_EA3762B50A94_.wvu.FilterData">Main!$A$1:$X$418</definedName>
    <definedName hidden="1" localSheetId="0" name="Z_D74D10B6_EEC7_4166_B0A0_8E36A8E662E0_.wvu.FilterData">Main!$A$1:$AB$2844</definedName>
    <definedName hidden="1" localSheetId="0" name="Z_1F63DB80_DBD6_4222_8725_E91565CCC5C8_.wvu.FilterData">Main!$A$1:$X$418</definedName>
    <definedName hidden="1" localSheetId="0" name="Z_051E4C51_F42F_4528_821F_84B8A4B66F8D_.wvu.FilterData">Main!$A$1:$X$248</definedName>
  </definedNames>
  <calcPr/>
  <customWorkbookViews>
    <customWorkbookView activeSheetId="0" maximized="1" windowHeight="0" windowWidth="0" guid="{3282B7DF-6B47-4137-AD80-84008C51AA3A}" name="CC intraday accounts 10 aug 2026"/>
    <customWorkbookView activeSheetId="0" maximized="1" windowHeight="0" windowWidth="0" guid="{4D7D1229-F593-4F73-B17A-999A8F1BA0C7}" name="Filter 9"/>
    <customWorkbookView activeSheetId="0" maximized="1" windowHeight="0" windowWidth="0" guid="{747E910D-CDE2-414B-B949-CDC2846426D7}" name="1DT"/>
    <customWorkbookView activeSheetId="0" maximized="1" windowHeight="0" windowWidth="0" guid="{53B5B2E0-1F6A-4302-A7AF-6CA488ADC63D}" name="Filter 6"/>
    <customWorkbookView activeSheetId="0" maximized="1" windowHeight="0" windowWidth="0" guid="{FBC910C1-1D75-427C-832C-FDD978EF6438}" name="Filter 12"/>
    <customWorkbookView activeSheetId="0" maximized="1" windowHeight="0" windowWidth="0" guid="{889ED070-0D93-4F51-A306-12D094EAF3E5}" name="vs12"/>
    <customWorkbookView activeSheetId="0" maximized="1" windowHeight="0" windowWidth="0" guid="{8A66B125-3F1A-44B0-AE88-A79C49F414A3}" name="Filter 5"/>
    <customWorkbookView activeSheetId="0" maximized="1" windowHeight="0" windowWidth="0" guid="{85CF5F1E-4FF0-422A-BC9D-47F80B8DCF77}" name="Filter 7"/>
    <customWorkbookView activeSheetId="0" maximized="1" windowHeight="0" windowWidth="0" guid="{7D64AA9A-2A9F-45B1-AD86-11E8804087EA}" name="Filter 16"/>
    <customWorkbookView activeSheetId="0" maximized="1" windowHeight="0" windowWidth="0" guid="{CDB72D98-C8D6-41FA-8C52-736DFC735D8A}" name="Filter 11"/>
    <customWorkbookView activeSheetId="0" maximized="1" windowHeight="0" windowWidth="0" guid="{1579EE49-65C2-491E-991B-E20EE33BD0CF}" name="Filter 8"/>
    <customWorkbookView activeSheetId="0" maximized="1" windowHeight="0" windowWidth="0" guid="{E85F74B1-AE5C-472E-9045-879DABE0BF04}" name="inc"/>
    <customWorkbookView activeSheetId="0" maximized="1" windowHeight="0" windowWidth="0" guid="{3222C0C0-A7DE-4AFC-B328-4A18BE983D59}" name="Filter 3"/>
    <customWorkbookView activeSheetId="0" maximized="1" windowHeight="0" windowWidth="0" guid="{16AB4084-141F-45C2-BC35-27BAEE272405}" name="Filter 10"/>
    <customWorkbookView activeSheetId="0" maximized="1" windowHeight="0" windowWidth="0" guid="{F34DB8A5-04FB-496A-AD5A-C9312B2666FC}" name="Filter 14"/>
    <customWorkbookView activeSheetId="0" maximized="1" windowHeight="0" windowWidth="0" guid="{CA2ECE4E-01C8-4CF2-87A5-6B0C4F7E4468}" name="Filter 1"/>
    <customWorkbookView activeSheetId="0" maximized="1" windowHeight="0" windowWidth="0" guid="{5F819023-5E2E-4F10-947F-33C3E7065C35}" name="Filter 4"/>
    <customWorkbookView activeSheetId="0" maximized="1" windowHeight="0" windowWidth="0" guid="{A028FDE0-77D1-4CA8-8C92-EA3762B50A94}" name="VS3_ALGO_2"/>
    <customWorkbookView activeSheetId="0" maximized="1" windowHeight="0" windowWidth="0" guid="{D74D10B6-EEC7-4166-B0A0-8E36A8E662E0}" name="Filter 15"/>
    <customWorkbookView activeSheetId="0" maximized="1" windowHeight="0" windowWidth="0" guid="{1F63DB80-DBD6-4222-8725-E91565CCC5C8}" name="Filter 13"/>
    <customWorkbookView activeSheetId="0" maximized="1" windowHeight="0" windowWidth="0" guid="{051E4C51-F42F-4528-821F-84B8A4B66F8D}" name="Filter 2"/>
  </customWorkbookViews>
  <pivotCaches>
    <pivotCache cacheId="0" r:id="rId19"/>
  </pivotCaches>
</workbook>
</file>

<file path=xl/sharedStrings.xml><?xml version="1.0" encoding="utf-8"?>
<sst xmlns="http://schemas.openxmlformats.org/spreadsheetml/2006/main" count="29999" uniqueCount="3933">
  <si>
    <t>ID</t>
  </si>
  <si>
    <t>Date</t>
  </si>
  <si>
    <t>User ID</t>
  </si>
  <si>
    <t>userId</t>
  </si>
  <si>
    <t>Alias</t>
  </si>
  <si>
    <t>Algo</t>
  </si>
  <si>
    <t>Intraday sl</t>
  </si>
  <si>
    <t xml:space="preserve">algo </t>
  </si>
  <si>
    <t>Total allocation</t>
  </si>
  <si>
    <t>Server</t>
  </si>
  <si>
    <t>alias</t>
  </si>
  <si>
    <t>User_id</t>
  </si>
  <si>
    <t>is_CC</t>
  </si>
  <si>
    <t>Pos allocation</t>
  </si>
  <si>
    <t>R%</t>
  </si>
  <si>
    <t>Incident</t>
  </si>
  <si>
    <t>Realized(4dte)</t>
  </si>
  <si>
    <t>Check SL</t>
  </si>
  <si>
    <t>Broker</t>
  </si>
  <si>
    <t>max_loss</t>
  </si>
  <si>
    <t>Sattlement(4dte)</t>
  </si>
  <si>
    <t>SL for 1/4 dte</t>
  </si>
  <si>
    <t>User Alias</t>
  </si>
  <si>
    <t>Realized(1dte)</t>
  </si>
  <si>
    <t>allocation</t>
  </si>
  <si>
    <t>VS19</t>
  </si>
  <si>
    <t>Sattlement(1dte)</t>
  </si>
  <si>
    <t>AM006</t>
  </si>
  <si>
    <t>server</t>
  </si>
  <si>
    <t>Mstech SL for 0dte</t>
  </si>
  <si>
    <t>algo</t>
  </si>
  <si>
    <t>Stoxxo SL for 0dte</t>
  </si>
  <si>
    <t>DTE</t>
  </si>
  <si>
    <t>User Type</t>
  </si>
  <si>
    <t>Margin used for pos</t>
  </si>
  <si>
    <t>%</t>
  </si>
  <si>
    <t>Var%</t>
  </si>
  <si>
    <t>Remarks</t>
  </si>
  <si>
    <t>Running Type</t>
  </si>
  <si>
    <t>Running Days</t>
  </si>
  <si>
    <t>Broker group</t>
  </si>
  <si>
    <t>FIX (CR)</t>
  </si>
  <si>
    <t>Realized PNL</t>
  </si>
  <si>
    <t>SL</t>
  </si>
  <si>
    <t>Remarks/Algo8 Previous day realised MTM</t>
  </si>
  <si>
    <t>Net Settlement Value</t>
  </si>
  <si>
    <t>Is positional(A1,7,15)</t>
  </si>
  <si>
    <t>True/False</t>
  </si>
  <si>
    <t>Stoxxo Max Loss</t>
  </si>
  <si>
    <t>MSTech Max Loss</t>
  </si>
  <si>
    <t>85533200</t>
  </si>
  <si>
    <r>
      <rPr>
        <rFont val="Calibri"/>
        <color theme="1"/>
      </rPr>
      <t xml:space="preserve">User facing error -&gt; </t>
    </r>
    <r>
      <rPr>
        <rFont val="Calibri"/>
        <b/>
        <color theme="1"/>
      </rPr>
      <t>210 - validation error:</t>
    </r>
    <r>
      <rPr>
        <rFont val="Calibri"/>
        <color theme="1"/>
      </rPr>
      <t xml:space="preserve"> </t>
    </r>
    <r>
      <rPr>
        <rFont val="Calibri"/>
        <b/>
        <color theme="1"/>
      </rPr>
      <t>[Only IOC Orders Allowed in RRM Mode]</t>
    </r>
  </si>
  <si>
    <t>r_capial</t>
  </si>
  <si>
    <t>r_allocation</t>
  </si>
  <si>
    <t>VS2</t>
  </si>
  <si>
    <t>r_max_loss</t>
  </si>
  <si>
    <t>GNPK604</t>
  </si>
  <si>
    <t>Operator Name</t>
  </si>
  <si>
    <t>Category</t>
  </si>
  <si>
    <t>SubCategory</t>
  </si>
  <si>
    <t>Sl Check</t>
  </si>
  <si>
    <t>Acc Type</t>
  </si>
  <si>
    <t>Allocation check</t>
  </si>
  <si>
    <r>
      <rPr>
        <rFont val="Calibri"/>
        <color theme="1"/>
      </rPr>
      <t xml:space="preserve">User facing error -&gt; </t>
    </r>
    <r>
      <rPr>
        <rFont val="Calibri"/>
        <b/>
        <color theme="1"/>
      </rPr>
      <t>210 - validation error: [Non-Compliant Client Code: {User ID}]</t>
    </r>
  </si>
  <si>
    <t>Intraday Allocation%</t>
  </si>
  <si>
    <t xml:space="preserve">todauy run </t>
  </si>
  <si>
    <t>VS26</t>
  </si>
  <si>
    <t>SL%</t>
  </si>
  <si>
    <t>HYD5FSC104</t>
  </si>
  <si>
    <t>Index</t>
  </si>
  <si>
    <t>XLDH162</t>
  </si>
  <si>
    <t>is_Formulae</t>
  </si>
  <si>
    <t>CC_A8_CC10(Parent)</t>
  </si>
  <si>
    <r>
      <rPr>
        <rFont val="Calibri"/>
        <color theme="1"/>
      </rPr>
      <t xml:space="preserve">User facing error -&gt; </t>
    </r>
    <r>
      <rPr>
        <rFont val="Calibri"/>
        <b/>
        <color theme="1"/>
      </rPr>
      <t>210 - validation error: [Non-Compliant Client Code: {User ID}]</t>
    </r>
  </si>
  <si>
    <t>MSTECH ML check</t>
  </si>
  <si>
    <t>VS7</t>
  </si>
  <si>
    <t>Positional Allocation</t>
  </si>
  <si>
    <t>1</t>
  </si>
  <si>
    <t>Intraday Allocation</t>
  </si>
  <si>
    <t>Fixed SL</t>
  </si>
  <si>
    <t>Today's DTE</t>
  </si>
  <si>
    <t xml:space="preserve"> MTWTF_SN_TSTRD_91501_CWT2%_ATM;ITM1;ITM2_25KSL_3MINET not run in this server while running in VS4,VS9</t>
  </si>
  <si>
    <t>Exceptional</t>
  </si>
  <si>
    <t>VS11</t>
  </si>
  <si>
    <t>category</t>
  </si>
  <si>
    <t>MasterTrust_Dealer</t>
  </si>
  <si>
    <t>DLR ACC</t>
  </si>
  <si>
    <t>0</t>
  </si>
  <si>
    <t>7RA110015</t>
  </si>
  <si>
    <t>1dte</t>
  </si>
  <si>
    <t>MTWTF_SN_TSTRD_91501_CWT15_ATM;ITM1;ITM2_25KSL IN THIS PORTFOLIO WRONG STRIKE SELL BY STOXXO</t>
  </si>
  <si>
    <t>Dealer ID for CC10</t>
  </si>
  <si>
    <t>VS9</t>
  </si>
  <si>
    <t>Non-Noren</t>
  </si>
  <si>
    <t>Noren</t>
  </si>
  <si>
    <t>BHADADAG</t>
  </si>
  <si>
    <t>7RA1GT70</t>
  </si>
  <si>
    <t>DUE TO API ISSUE IN MASTER TRUST BROKER(NOREN BROKER)</t>
  </si>
  <si>
    <t>XLDH159</t>
  </si>
  <si>
    <t>R7RA1300</t>
  </si>
  <si>
    <t>-</t>
  </si>
  <si>
    <t>0SL</t>
  </si>
  <si>
    <t>7RIK2005</t>
  </si>
  <si>
    <t>BHADADAR</t>
  </si>
  <si>
    <t>R7RA1324</t>
  </si>
  <si>
    <t>7RIK2059</t>
  </si>
  <si>
    <t>7RIK2060</t>
  </si>
  <si>
    <t>ZZJ17221</t>
  </si>
  <si>
    <t>XLDH142 &amp; All NOREN users earl sq.off DUE TO API ISSUE IN MASTER TRUST BROKER(NOREN BROKER)</t>
  </si>
  <si>
    <t>XLDH168</t>
  </si>
  <si>
    <t>A19_CC08(Parent)</t>
  </si>
  <si>
    <t xml:space="preserve"> All NOREN users earl sq.off DUE TO API ISSUE IN MASTER TRUST BROKER(NOREN BROKER)</t>
  </si>
  <si>
    <t>A19</t>
  </si>
  <si>
    <t>VS4</t>
  </si>
  <si>
    <t xml:space="preserve">Took positions for margin block in CC_account </t>
  </si>
  <si>
    <t>7RA110035</t>
  </si>
  <si>
    <t xml:space="preserve">Noren user </t>
  </si>
  <si>
    <t>All Stoxxo closed early due to Noren issue.</t>
  </si>
  <si>
    <t>SX</t>
  </si>
  <si>
    <t xml:space="preserve"> VS26</t>
  </si>
  <si>
    <t>ZZJ17223</t>
  </si>
  <si>
    <t>HUFGRAVI</t>
  </si>
  <si>
    <t>XLDH161</t>
  </si>
  <si>
    <t>A19_CC03(Parent)</t>
  </si>
  <si>
    <t>running on poitional sq.off by stoxxo at 15:15 on 1DTE, glitch (Square Off Time)</t>
  </si>
  <si>
    <t>MNANDKIS</t>
  </si>
  <si>
    <t>SHRUTI43</t>
  </si>
  <si>
    <t>ANITAKA9</t>
  </si>
  <si>
    <t>AJ008DI</t>
  </si>
  <si>
    <t>ZZJ17218</t>
  </si>
  <si>
    <t>AHMA035</t>
  </si>
  <si>
    <t>Fix users but ran on less allocation as fund was not as per the fix allocation</t>
  </si>
  <si>
    <t>VS29</t>
  </si>
  <si>
    <t>PINKYJPH</t>
  </si>
  <si>
    <t>user Squard Off by Stoxxo (wrong MTM fetch), Restarted,again sq.off by stoxxo</t>
  </si>
  <si>
    <t>7RIK2042</t>
  </si>
  <si>
    <t xml:space="preserve">After 14:57  there were delay in execution of order in all Noren user. MTM effected by 0.4-0.5%. </t>
  </si>
  <si>
    <t>AS00B</t>
  </si>
  <si>
    <t>A1_DEALER_JTRADE((Parent)</t>
  </si>
  <si>
    <t>jainamXTS</t>
  </si>
  <si>
    <t>VS6</t>
  </si>
  <si>
    <t>SAGAR10</t>
  </si>
  <si>
    <t xml:space="preserve">Early Square off due to API network Error and network error in order place </t>
  </si>
  <si>
    <t>VS27</t>
  </si>
  <si>
    <t>ZZJ17416</t>
  </si>
  <si>
    <t>SL increase by 1L(PS INSTRUCTION)</t>
  </si>
  <si>
    <t>AJ008HY</t>
  </si>
  <si>
    <t>X7RIK01</t>
  </si>
  <si>
    <t>A8_NOREN_DEALER(Parent)</t>
  </si>
  <si>
    <t>ZZJ17084</t>
  </si>
  <si>
    <t>Orders were executed after 09:20 due to proxy server issues</t>
  </si>
  <si>
    <t>ADWS1V104</t>
  </si>
  <si>
    <t>Late login due to broker deied and then agreed to run</t>
  </si>
  <si>
    <t>Account squared off on wrong sl (SL of only positional allocation), as intraday sl was not added by the operator</t>
  </si>
  <si>
    <t>11216274</t>
  </si>
  <si>
    <t>MSUNITAS</t>
  </si>
  <si>
    <t>Market allowed was set on this user instead of not allowed</t>
  </si>
  <si>
    <t>7RIK2038</t>
  </si>
  <si>
    <t>X7RIK02</t>
  </si>
  <si>
    <t>A1_NOREN_DEALER(Parent)</t>
  </si>
  <si>
    <t>S0393TWO</t>
  </si>
  <si>
    <t>Account squared off on wrong sl and wrong allocation</t>
  </si>
  <si>
    <t>VS24</t>
  </si>
  <si>
    <t>ZZJ16147</t>
  </si>
  <si>
    <t>Account squared off on VU's instructions</t>
  </si>
  <si>
    <t>In VS29 all three portfolio were not executed as it is new server and  not synced.</t>
  </si>
  <si>
    <t>vs16</t>
  </si>
  <si>
    <t>ARCHAA30</t>
  </si>
  <si>
    <t>MSP_ARCHANA_POS</t>
  </si>
  <si>
    <t xml:space="preserve">DUE TO MAPPING ISUUE FROM THE BROKER SIDE POSTION COME LATE </t>
  </si>
  <si>
    <t>ZPROV1</t>
  </si>
  <si>
    <t>Max loss changed as we found difference in settlement value, upon digging up we get to know that the methodolgy of this broker is different</t>
  </si>
  <si>
    <t>ZPRO1</t>
  </si>
  <si>
    <t xml:space="preserve">916 portfolio late execute (9:18) due to incorrect sq. off date  </t>
  </si>
  <si>
    <t>VS14</t>
  </si>
  <si>
    <t>7RIKAB01</t>
  </si>
  <si>
    <t>MSR_BHATNAGAR1_POS</t>
  </si>
  <si>
    <t>Running First time as Intraday, from 24-july-26 it will run on positional</t>
  </si>
  <si>
    <t>XLDH159_CC06(Parent)</t>
  </si>
  <si>
    <t>SNEHAAS21</t>
  </si>
  <si>
    <t>MSR_SNEHA_SUNEJA_INT</t>
  </si>
  <si>
    <t>AJ008AI</t>
  </si>
  <si>
    <r>
      <rPr>
        <rFont val="Calibri"/>
        <b val="0"/>
        <color theme="1"/>
      </rPr>
      <t xml:space="preserve">FACING ERROR </t>
    </r>
    <r>
      <rPr>
        <rFont val="Calibri"/>
        <b/>
        <color theme="1"/>
      </rPr>
      <t xml:space="preserve">"GATEWAY EXCHANGE DETAILS IS MISSING FOR SUPPLIED CLIENT FOR SELECTED EXCHANGE" </t>
    </r>
    <r>
      <rPr>
        <rFont val="Calibri"/>
        <b val="0"/>
        <color theme="1"/>
      </rPr>
      <t xml:space="preserve">DUE TO THIS 9:15 PORTFOLIO WAS NOT RUN FOR THIS USER </t>
    </r>
  </si>
  <si>
    <t>GBN27A015</t>
  </si>
  <si>
    <t>MSS_ANAND_AR_FIX_1CR_INT</t>
  </si>
  <si>
    <r>
      <rPr>
        <rFont val="Calibri"/>
        <color theme="1"/>
      </rPr>
      <t xml:space="preserve">I GOT THE INFORMATION FOR LOGGING THIS ACCOUNT AT </t>
    </r>
    <r>
      <rPr>
        <rFont val="Calibri"/>
        <b/>
        <color theme="1"/>
      </rPr>
      <t>9:17, DUE TO THIS 9:15 PORTFOLIOS</t>
    </r>
    <r>
      <rPr>
        <rFont val="Calibri"/>
        <color theme="1"/>
      </rPr>
      <t xml:space="preserve"> WERE NOT RUN FOR THIS USER</t>
    </r>
  </si>
  <si>
    <t>Dealer ID for CC06</t>
  </si>
  <si>
    <t xml:space="preserve"> MARIA196 </t>
  </si>
  <si>
    <t>CC_ADITYAPINTO_POS</t>
  </si>
  <si>
    <t>SL change after market start due to margin utilization in  account across 9:13</t>
  </si>
  <si>
    <t>CC_CHADARAM_ARUNA_POS</t>
  </si>
  <si>
    <t>7RIK2063</t>
  </si>
  <si>
    <t>MSV_USHAPRASAD_INT</t>
  </si>
  <si>
    <r>
      <rPr>
        <rFont val="Calibri"/>
        <color theme="1"/>
      </rPr>
      <t xml:space="preserve">FACING ISSUES AT MARKET START </t>
    </r>
    <r>
      <rPr>
        <rFont val="Calibri"/>
        <b/>
        <color theme="1"/>
      </rPr>
      <t>BECAUSE FROM THE BACKEND TEAM THE USER WAS NOT MAPPED IN THE DEALER</t>
    </r>
  </si>
  <si>
    <t>All users</t>
  </si>
  <si>
    <t>NF4DTE portfolio not stared at 9:15 restart Stoxxo then started causing MTM difference of 0.2%</t>
  </si>
  <si>
    <t>kredent</t>
  </si>
  <si>
    <t>AS00A</t>
  </si>
  <si>
    <t>A7_DEALER_JTRADE(Parent)</t>
  </si>
  <si>
    <t>4 potfolio(NF4DTE) in underexit due to kredent issue position mannualy sq.off of portfolio</t>
  </si>
  <si>
    <t xml:space="preserve">kredent user logout and poition sq.off by admin end due to broker side issue </t>
  </si>
  <si>
    <t>VTPRATIM</t>
  </si>
  <si>
    <t>User squared off early on VU's instructions to Sakshi</t>
  </si>
  <si>
    <t>0sl</t>
  </si>
  <si>
    <t>User squared off early on VU's instructions and again restarted</t>
  </si>
  <si>
    <t>ANANTINV</t>
  </si>
  <si>
    <t xml:space="preserve">incorrect allocation </t>
  </si>
  <si>
    <t>7RIK2028</t>
  </si>
  <si>
    <t>PODD1982</t>
  </si>
  <si>
    <t>incorrect allocation RAN on higher allocation changes after 9.20</t>
  </si>
  <si>
    <t>BRA1AE07</t>
  </si>
  <si>
    <t>incorrect allocation RAN on higher allocation.</t>
  </si>
  <si>
    <t>FY261AP01</t>
  </si>
  <si>
    <t>IIFL_DEALER</t>
  </si>
  <si>
    <t>incorrect allocation RAN on lower allocation changes after 9.20</t>
  </si>
  <si>
    <t>ALL</t>
  </si>
  <si>
    <t>92176368</t>
  </si>
  <si>
    <t>all user sq.off at 15:10 to 15:15</t>
  </si>
  <si>
    <t>VS10</t>
  </si>
  <si>
    <t>7RA110032</t>
  </si>
  <si>
    <t>early sq-off at 3:13</t>
  </si>
  <si>
    <t>all user sq.off at  15:15</t>
  </si>
  <si>
    <t>SPAN0050</t>
  </si>
  <si>
    <t>early sqqrd off once and restart</t>
  </si>
  <si>
    <t>AM005</t>
  </si>
  <si>
    <t>NK0002</t>
  </si>
  <si>
    <t>Late Started around 9:20</t>
  </si>
  <si>
    <t>IS0014</t>
  </si>
  <si>
    <t>IR0029</t>
  </si>
  <si>
    <t>SSHIKHA0</t>
  </si>
  <si>
    <t>X7RIK03</t>
  </si>
  <si>
    <t>NOREN_DEALER</t>
  </si>
  <si>
    <t>MasterTrust_Noren</t>
  </si>
  <si>
    <t>HUFAJIT0</t>
  </si>
  <si>
    <t>AM008</t>
  </si>
  <si>
    <t>MPAYAL04</t>
  </si>
  <si>
    <t>PROBLEM AT BROKER SIDE IN MRNG/position come around 10.30am</t>
  </si>
  <si>
    <t>SF211</t>
  </si>
  <si>
    <t xml:space="preserve">Due to operater mistake allocation not marked position 9.31 se aayi </t>
  </si>
  <si>
    <t>51039J</t>
  </si>
  <si>
    <t xml:space="preserve">SL Hit due to  allocation error </t>
  </si>
  <si>
    <t>V401A</t>
  </si>
  <si>
    <t>JSR129A25</t>
  </si>
  <si>
    <t>XLDH158</t>
  </si>
  <si>
    <t>XLDH158_CC05(Parent)</t>
  </si>
  <si>
    <t>SL Hit due to  wrong SL on Algo UI</t>
  </si>
  <si>
    <t>early sqqrd of as per PS instruction</t>
  </si>
  <si>
    <t xml:space="preserve">Dealer ID for CC05/FIX 3 CR </t>
  </si>
  <si>
    <t>early sqqrd of as per PS instruction/again restart at 1.40pm</t>
  </si>
  <si>
    <t>VS8</t>
  </si>
  <si>
    <t>R7RA110032</t>
  </si>
  <si>
    <t>early sqqrd of as per RD SIR instruction AT 3:08:59</t>
  </si>
  <si>
    <t>VS23</t>
  </si>
  <si>
    <t>DHRUVSGL</t>
  </si>
  <si>
    <t>Due to broker side connectivity issue order rejected that's why squared off early</t>
  </si>
  <si>
    <t>early sqqrd off as per PS sir instructions</t>
  </si>
  <si>
    <t>0 SL as per instruction for all users</t>
  </si>
  <si>
    <t>XLDH142</t>
  </si>
  <si>
    <t>CC_A7_CC04_FIX_2CR</t>
  </si>
  <si>
    <t>RENUD101</t>
  </si>
  <si>
    <t>0 SL as per instruction for all CC users.</t>
  </si>
  <si>
    <t>fix at 2cr</t>
  </si>
  <si>
    <t xml:space="preserve">Late started </t>
  </si>
  <si>
    <t>Late started</t>
  </si>
  <si>
    <t>ZZJ14800</t>
  </si>
  <si>
    <t>A1_RM3</t>
  </si>
  <si>
    <t>JAINAMSRED</t>
  </si>
  <si>
    <t>NOT RUNNING</t>
  </si>
  <si>
    <t>Not Running</t>
  </si>
  <si>
    <t>as per daily update, not running 25-11-2025 on PS instruction</t>
  </si>
  <si>
    <t>ZZJ15221</t>
  </si>
  <si>
    <t>A102_FOUNDERS</t>
  </si>
  <si>
    <t>JAINAMSRED2</t>
  </si>
  <si>
    <t>As per daily update</t>
  </si>
  <si>
    <t>MMILIND7</t>
  </si>
  <si>
    <t>ZZJ15519</t>
  </si>
  <si>
    <t>A12_PS</t>
  </si>
  <si>
    <t>ZZJ13494</t>
  </si>
  <si>
    <t>A2_13494</t>
  </si>
  <si>
    <t>as per daily update</t>
  </si>
  <si>
    <t>ZZJ13883</t>
  </si>
  <si>
    <t>A2_13883_VTGB</t>
  </si>
  <si>
    <t>MAMIT782</t>
  </si>
  <si>
    <t>AJ008IK</t>
  </si>
  <si>
    <t>A2_RM_NEW</t>
  </si>
  <si>
    <t>ASPL1</t>
  </si>
  <si>
    <t xml:space="preserve">As per Daily Update </t>
  </si>
  <si>
    <t>AJ008EH</t>
  </si>
  <si>
    <t>A7_RM_NEW</t>
  </si>
  <si>
    <t>KRISTA78</t>
  </si>
  <si>
    <t>ZZJ15679</t>
  </si>
  <si>
    <t>A7_RM8</t>
  </si>
  <si>
    <t>AS PER DAILY UPDATE(Not Running on Ps Instruction from 20/11/25)</t>
  </si>
  <si>
    <t>ZZJ15326</t>
  </si>
  <si>
    <t>A8_PS_ZZJ15326</t>
  </si>
  <si>
    <t>GSPL16</t>
  </si>
  <si>
    <t>CC_A15_GSPL16_FIX_1CR</t>
  </si>
  <si>
    <t>GyandeepStocks</t>
  </si>
  <si>
    <t>Fixed at 1 CR</t>
  </si>
  <si>
    <t>IR0012</t>
  </si>
  <si>
    <t>DLDH117</t>
  </si>
  <si>
    <t>CC_A19_NPCC03</t>
  </si>
  <si>
    <t>MastertrustPro</t>
  </si>
  <si>
    <t>DLDH118</t>
  </si>
  <si>
    <t>CC_A7_DLDH118_FIX_2CR</t>
  </si>
  <si>
    <t>Mastertrustpro</t>
  </si>
  <si>
    <t>AVS00RKL</t>
  </si>
  <si>
    <t>DLDH128</t>
  </si>
  <si>
    <t>CC_A8_DLDH128</t>
  </si>
  <si>
    <t>ABHISHAM</t>
  </si>
  <si>
    <t>CC_ABHISHAM</t>
  </si>
  <si>
    <t>IIFL_CDC</t>
  </si>
  <si>
    <t>17585552</t>
  </si>
  <si>
    <t>CC_TARIKKHAN</t>
  </si>
  <si>
    <t>AMITHUFB</t>
  </si>
  <si>
    <t>SF184</t>
  </si>
  <si>
    <t>CCV_A8_KREDENT_PROP</t>
  </si>
  <si>
    <t>KREDENT</t>
  </si>
  <si>
    <t>R7RA1264</t>
  </si>
  <si>
    <t>MSG_ABHINAV</t>
  </si>
  <si>
    <t>2</t>
  </si>
  <si>
    <t>99972022</t>
  </si>
  <si>
    <t>user_id</t>
  </si>
  <si>
    <t>status</t>
  </si>
  <si>
    <t>22196536</t>
  </si>
  <si>
    <t>VS15</t>
  </si>
  <si>
    <t>54046262</t>
  </si>
  <si>
    <t>VS12</t>
  </si>
  <si>
    <t>MARYAMAN</t>
  </si>
  <si>
    <t>VS3</t>
  </si>
  <si>
    <t>31742427</t>
  </si>
  <si>
    <t>MSG_KUMAR_KHILWANI</t>
  </si>
  <si>
    <t>MDIGVSS2</t>
  </si>
  <si>
    <t>MSAMRIDH</t>
  </si>
  <si>
    <t>40023384</t>
  </si>
  <si>
    <t>75962003</t>
  </si>
  <si>
    <t>7RIK2029</t>
  </si>
  <si>
    <t>MMANJUK2</t>
  </si>
  <si>
    <t>VS18</t>
  </si>
  <si>
    <t>NEETU711</t>
  </si>
  <si>
    <t>VS13</t>
  </si>
  <si>
    <t>NEHAGOE4</t>
  </si>
  <si>
    <t>PSANGHIC</t>
  </si>
  <si>
    <t>SPSINVES</t>
  </si>
  <si>
    <t>74962685</t>
  </si>
  <si>
    <t>95221347</t>
  </si>
  <si>
    <t>HUFAK001</t>
  </si>
  <si>
    <t>MSP_ASHOKKK</t>
  </si>
  <si>
    <t>92609325</t>
  </si>
  <si>
    <t>MADALMIA</t>
  </si>
  <si>
    <t>MNAMANDA</t>
  </si>
  <si>
    <t>MPAGARWA</t>
  </si>
  <si>
    <t>MSHWETA1</t>
  </si>
  <si>
    <t>MSUMAN62</t>
  </si>
  <si>
    <t>R7RA1207</t>
  </si>
  <si>
    <t>TOLARAM9</t>
  </si>
  <si>
    <t>90757742</t>
  </si>
  <si>
    <t>GIRNAAR0</t>
  </si>
  <si>
    <t>MHARSHVJ</t>
  </si>
  <si>
    <t>MSP_HARSHVARDHAN</t>
  </si>
  <si>
    <t>HUFDEVEG</t>
  </si>
  <si>
    <t>HUFPUGAL</t>
  </si>
  <si>
    <t>MNAVEENT</t>
  </si>
  <si>
    <t>MSANDY05</t>
  </si>
  <si>
    <t>MURSHITA</t>
  </si>
  <si>
    <t>7RA1KH71</t>
  </si>
  <si>
    <t>91582593</t>
  </si>
  <si>
    <t>ASM19850</t>
  </si>
  <si>
    <t>DEEP5212</t>
  </si>
  <si>
    <t>MDILEEPS</t>
  </si>
  <si>
    <t>MOHON964</t>
  </si>
  <si>
    <t>MRAJESSH</t>
  </si>
  <si>
    <t>7RA1ND40</t>
  </si>
  <si>
    <t>MSANDSHA</t>
  </si>
  <si>
    <t>MSP_NITINDUSAD</t>
  </si>
  <si>
    <t>VBANSALH</t>
  </si>
  <si>
    <t>NRO A/c, fund shows after 9AM</t>
  </si>
  <si>
    <t>30368271</t>
  </si>
  <si>
    <t>7RIKAH01</t>
  </si>
  <si>
    <t>LAMBAANU</t>
  </si>
  <si>
    <t>MAKANSHA</t>
  </si>
  <si>
    <t>MANAMIKA</t>
  </si>
  <si>
    <t>MDHRUM03</t>
  </si>
  <si>
    <t>MJHAWARK</t>
  </si>
  <si>
    <t>PPADMAGA</t>
  </si>
  <si>
    <t>MSP_PADMA_GATTANI</t>
  </si>
  <si>
    <t>MRAJNI62</t>
  </si>
  <si>
    <t>MT1002494</t>
  </si>
  <si>
    <t>PRATI446</t>
  </si>
  <si>
    <t>7RIK2026</t>
  </si>
  <si>
    <t>BAID1975</t>
  </si>
  <si>
    <t>DHIRAJYS</t>
  </si>
  <si>
    <t>GASHUNAN</t>
  </si>
  <si>
    <t>MAADIKIR</t>
  </si>
  <si>
    <t>MADWIGO2</t>
  </si>
  <si>
    <t>RAJ345GU</t>
  </si>
  <si>
    <t>MSP_RAJESHGU</t>
  </si>
  <si>
    <t>MNIHARIK</t>
  </si>
  <si>
    <t>NILI1953</t>
  </si>
  <si>
    <t>64785796</t>
  </si>
  <si>
    <t>74727658</t>
  </si>
  <si>
    <t>7RMAPK80</t>
  </si>
  <si>
    <t>AMIT3732</t>
  </si>
  <si>
    <t>LOYALKAV</t>
  </si>
  <si>
    <t>MDAKSHAS</t>
  </si>
  <si>
    <t>MNITASRI</t>
  </si>
  <si>
    <t>RITESH10</t>
  </si>
  <si>
    <t>HUFGATTA</t>
  </si>
  <si>
    <t>MSP_VINAYAK_GATTANI_HUF</t>
  </si>
  <si>
    <t>VEDANGI2</t>
  </si>
  <si>
    <t>57437129</t>
  </si>
  <si>
    <t>MANJU016</t>
  </si>
  <si>
    <t>MBALMUKU</t>
  </si>
  <si>
    <t>VS16</t>
  </si>
  <si>
    <t>MDEEPG03</t>
  </si>
  <si>
    <t>MSHILPIR</t>
  </si>
  <si>
    <t>RSASHISH</t>
  </si>
  <si>
    <t>VIJAYY02</t>
  </si>
  <si>
    <t>46891412</t>
  </si>
  <si>
    <t>1958ASHA</t>
  </si>
  <si>
    <t>MSR_ASHA</t>
  </si>
  <si>
    <t>92348046</t>
  </si>
  <si>
    <t>DWIV1875</t>
  </si>
  <si>
    <t>HUFAJ001</t>
  </si>
  <si>
    <t>MDEEPESK</t>
  </si>
  <si>
    <t>MKIRTI01</t>
  </si>
  <si>
    <t>MSGUPTA7</t>
  </si>
  <si>
    <t>MSHASHI0</t>
  </si>
  <si>
    <t>SHAMLAL4</t>
  </si>
  <si>
    <t>24699329</t>
  </si>
  <si>
    <t>55802167</t>
  </si>
  <si>
    <t>60CHANDA</t>
  </si>
  <si>
    <t>MSR_CHANDADHANUKA</t>
  </si>
  <si>
    <t>7RA110114</t>
  </si>
  <si>
    <t>BENU1954</t>
  </si>
  <si>
    <t>MRAKESHS</t>
  </si>
  <si>
    <t>PHAGARWA</t>
  </si>
  <si>
    <t>PJAGAG02</t>
  </si>
  <si>
    <t>65872914</t>
  </si>
  <si>
    <t>WXW24971</t>
  </si>
  <si>
    <t>MCHEENUG</t>
  </si>
  <si>
    <t>MSR_CHEENU_GUPTA</t>
  </si>
  <si>
    <t>10408756</t>
  </si>
  <si>
    <t>AKSHAT59</t>
  </si>
  <si>
    <t>AVS03LKW</t>
  </si>
  <si>
    <t>HUFJAIND</t>
  </si>
  <si>
    <t>MKHUSHI2</t>
  </si>
  <si>
    <t>MSIDDHAM</t>
  </si>
  <si>
    <t>MSMAMGAI</t>
  </si>
  <si>
    <t>NEHARAM1</t>
  </si>
  <si>
    <t>MSR_DEVAC3</t>
  </si>
  <si>
    <t>MSUSHIL6</t>
  </si>
  <si>
    <t>46966951</t>
  </si>
  <si>
    <t xml:space="preserve">not running </t>
  </si>
  <si>
    <t>74059822</t>
  </si>
  <si>
    <t>62288965</t>
  </si>
  <si>
    <t>7RA110117</t>
  </si>
  <si>
    <t>AKAMLA02</t>
  </si>
  <si>
    <t>MANKURKO</t>
  </si>
  <si>
    <t>MANOJS25</t>
  </si>
  <si>
    <t>MGOURAV1</t>
  </si>
  <si>
    <t>MJASVINC</t>
  </si>
  <si>
    <t>59244559</t>
  </si>
  <si>
    <t>MSR_DEVAC4</t>
  </si>
  <si>
    <t>RAHULG15</t>
  </si>
  <si>
    <t>74125896</t>
  </si>
  <si>
    <t>77149338</t>
  </si>
  <si>
    <t>87316853</t>
  </si>
  <si>
    <t>ANKITKH9</t>
  </si>
  <si>
    <t>MINA1425</t>
  </si>
  <si>
    <t>HUFANUBH</t>
  </si>
  <si>
    <t>MSR_HUFANUBH</t>
  </si>
  <si>
    <t>R7RA1261</t>
  </si>
  <si>
    <t>RHUFJAIN</t>
  </si>
  <si>
    <t>SANDHU01</t>
  </si>
  <si>
    <t>58480023</t>
  </si>
  <si>
    <t>TOLANI79</t>
  </si>
  <si>
    <t>18400763</t>
  </si>
  <si>
    <t>19583994</t>
  </si>
  <si>
    <t>67975010</t>
  </si>
  <si>
    <t>RAVI2308</t>
  </si>
  <si>
    <t>MSR_JAHNWI</t>
  </si>
  <si>
    <t>7RIK2015</t>
  </si>
  <si>
    <t>MANUPANK</t>
  </si>
  <si>
    <t>running on 20L</t>
  </si>
  <si>
    <t>MRAJSHRE</t>
  </si>
  <si>
    <t>MSDAGA01</t>
  </si>
  <si>
    <t>MVIJAYPO</t>
  </si>
  <si>
    <t>RKGHUF07</t>
  </si>
  <si>
    <t>SEMA2111</t>
  </si>
  <si>
    <t>VIBHORIN</t>
  </si>
  <si>
    <t>MRADHIKJ</t>
  </si>
  <si>
    <t>MSR_MRADHIKJ</t>
  </si>
  <si>
    <t>06954037</t>
  </si>
  <si>
    <t>58463721</t>
  </si>
  <si>
    <t>7RA1LL11</t>
  </si>
  <si>
    <t>DIVYA934</t>
  </si>
  <si>
    <t>Allocation</t>
  </si>
  <si>
    <t>KASAR116</t>
  </si>
  <si>
    <t>Realised P&amp;L</t>
  </si>
  <si>
    <t>Setllement Value</t>
  </si>
  <si>
    <t>Stoxxo max loss</t>
  </si>
  <si>
    <t>Mstech max loss</t>
  </si>
  <si>
    <t>MABHILAS</t>
  </si>
  <si>
    <t>DTE1 P&amp;L%</t>
  </si>
  <si>
    <t>Stoxxo max loss%</t>
  </si>
  <si>
    <t>Mstech max loss%</t>
  </si>
  <si>
    <t>Setllement Value%</t>
  </si>
  <si>
    <t>MPRASHAN</t>
  </si>
  <si>
    <t>Has formulae of Maxloss</t>
  </si>
  <si>
    <t>NIMMI007</t>
  </si>
  <si>
    <t>Additional SL</t>
  </si>
  <si>
    <t>MSR_NIMMI</t>
  </si>
  <si>
    <t>Realised</t>
  </si>
  <si>
    <t>USHA8256</t>
  </si>
  <si>
    <t>Settleement</t>
  </si>
  <si>
    <t>35300800</t>
  </si>
  <si>
    <t>7RA1SP74</t>
  </si>
  <si>
    <t>36985212</t>
  </si>
  <si>
    <t>71430960</t>
  </si>
  <si>
    <t>B7RA1RS76</t>
  </si>
  <si>
    <t>ISHA2023</t>
  </si>
  <si>
    <t>TRISHASA</t>
  </si>
  <si>
    <t>VIJAYS45</t>
  </si>
  <si>
    <t>56285475</t>
  </si>
  <si>
    <t>MSR_PAWANKRDANUKA</t>
  </si>
  <si>
    <t>15524387</t>
  </si>
  <si>
    <t>29898256</t>
  </si>
  <si>
    <t>7RA110095</t>
  </si>
  <si>
    <t>0dte</t>
  </si>
  <si>
    <t>7RIKBB01</t>
  </si>
  <si>
    <t>ANNUPRNA</t>
  </si>
  <si>
    <t>DPNOGS01</t>
  </si>
  <si>
    <t>R7RA1315</t>
  </si>
  <si>
    <t>MABHISHT</t>
  </si>
  <si>
    <t>MANIHESH</t>
  </si>
  <si>
    <t>MGEORGE9</t>
  </si>
  <si>
    <t>BINA0007</t>
  </si>
  <si>
    <t>MSR_VAIBHAVG2</t>
  </si>
  <si>
    <t>MNIRJHAR</t>
  </si>
  <si>
    <t>MSANDEER</t>
  </si>
  <si>
    <t>MVIPINKJ</t>
  </si>
  <si>
    <t>B7RA1RL35</t>
  </si>
  <si>
    <t>MXESTATE</t>
  </si>
  <si>
    <t>16384608</t>
  </si>
  <si>
    <t>7RA110045</t>
  </si>
  <si>
    <t>APOORV77</t>
  </si>
  <si>
    <t>JYOTI116</t>
  </si>
  <si>
    <t>7RIK2019</t>
  </si>
  <si>
    <t>MSR_VGOEL1</t>
  </si>
  <si>
    <t>KHEMANI2</t>
  </si>
  <si>
    <t>LAXMM764</t>
  </si>
  <si>
    <t>7RA1KP76</t>
  </si>
  <si>
    <t>MSHILPI1</t>
  </si>
  <si>
    <t>PHUFARUN</t>
  </si>
  <si>
    <t>7RA110031</t>
  </si>
  <si>
    <t>VINEET17</t>
  </si>
  <si>
    <t>MSR_VINEETS</t>
  </si>
  <si>
    <t>HUFRG999</t>
  </si>
  <si>
    <t>R7RA1322</t>
  </si>
  <si>
    <t>MEETARAJ</t>
  </si>
  <si>
    <t>97255501</t>
  </si>
  <si>
    <t>NP0007</t>
  </si>
  <si>
    <t>SYM26</t>
  </si>
  <si>
    <t>7RIK2021</t>
  </si>
  <si>
    <t>7RA110085</t>
  </si>
  <si>
    <t>VIVK1978</t>
  </si>
  <si>
    <t>MSR_VIVEKT</t>
  </si>
  <si>
    <t>7RIK2017</t>
  </si>
  <si>
    <t>MARIA196</t>
  </si>
  <si>
    <t>7RA110119</t>
  </si>
  <si>
    <t>HUFNDAGA</t>
  </si>
  <si>
    <t>BR052</t>
  </si>
  <si>
    <t>MSS_A1_ARSS</t>
  </si>
  <si>
    <t>ANAND RATHI</t>
  </si>
  <si>
    <t>MINDRA01</t>
  </si>
  <si>
    <t>7RA110080</t>
  </si>
  <si>
    <t>7RA110116</t>
  </si>
  <si>
    <t>ES006</t>
  </si>
  <si>
    <t>MSS_A7_ARSS_FIX_1CR</t>
  </si>
  <si>
    <t>Fix at 1cr</t>
  </si>
  <si>
    <t>MONA8000</t>
  </si>
  <si>
    <t>NAVN8000</t>
  </si>
  <si>
    <t>7RA1PG011</t>
  </si>
  <si>
    <t>MPOONAMM</t>
  </si>
  <si>
    <t>VS1</t>
  </si>
  <si>
    <t>8</t>
  </si>
  <si>
    <t>MIRESH95</t>
  </si>
  <si>
    <t>MSV_IRESHG</t>
  </si>
  <si>
    <t>7RIK2014</t>
  </si>
  <si>
    <t>ZZJ15071</t>
  </si>
  <si>
    <t>PS_Ext</t>
  </si>
  <si>
    <t>7RA110084</t>
  </si>
  <si>
    <t>7RIK2031</t>
  </si>
  <si>
    <t>ZZJ15073</t>
  </si>
  <si>
    <t>HUFAMITJ</t>
  </si>
  <si>
    <t xml:space="preserve">1.5% SL SET </t>
  </si>
  <si>
    <t>AMIT1444</t>
  </si>
  <si>
    <t>78651236</t>
  </si>
  <si>
    <t>AJIT0112</t>
  </si>
  <si>
    <t>7RIK2055</t>
  </si>
  <si>
    <t>MRISHIMA</t>
  </si>
  <si>
    <t>ZZJ15222</t>
  </si>
  <si>
    <t>A1_FOUNDERS</t>
  </si>
  <si>
    <t>MKALYANG</t>
  </si>
  <si>
    <t>VCUBEVEN</t>
  </si>
  <si>
    <t>SUCHI076</t>
  </si>
  <si>
    <t>MELOGIST</t>
  </si>
  <si>
    <t>7RIKPL01</t>
  </si>
  <si>
    <t>RAJMOTOR</t>
  </si>
  <si>
    <t>ZZJ13336</t>
  </si>
  <si>
    <t>A7_FOUNDERS_2SL</t>
  </si>
  <si>
    <t>IN500110</t>
  </si>
  <si>
    <t>AS PER DAILY UPDATE(2% SL)</t>
  </si>
  <si>
    <t>AMIIIT02</t>
  </si>
  <si>
    <t>FINE1R03</t>
  </si>
  <si>
    <t>7RIKML02</t>
  </si>
  <si>
    <t>2035</t>
  </si>
  <si>
    <t>ZZJ17210</t>
  </si>
  <si>
    <t>VS21</t>
  </si>
  <si>
    <t>21</t>
  </si>
  <si>
    <t>ZZJ13493</t>
  </si>
  <si>
    <t>A8_13493_F_8C</t>
  </si>
  <si>
    <t>VIJE1983</t>
  </si>
  <si>
    <t>VS22</t>
  </si>
  <si>
    <t>19</t>
  </si>
  <si>
    <t>7RIK2045</t>
  </si>
  <si>
    <t>CC03</t>
  </si>
  <si>
    <t>7RIKRH01</t>
  </si>
  <si>
    <t>7RIK2025</t>
  </si>
  <si>
    <t>7RIKEL01</t>
  </si>
  <si>
    <t>38994909</t>
  </si>
  <si>
    <t>ZZJ15223</t>
  </si>
  <si>
    <t>A15_FOUNDERS</t>
  </si>
  <si>
    <t>MSIDDHAR</t>
  </si>
  <si>
    <t>B7RA1NH61</t>
  </si>
  <si>
    <t>ITC2248</t>
  </si>
  <si>
    <t>GSPL23</t>
  </si>
  <si>
    <t>ZZJ16974</t>
  </si>
  <si>
    <t>AVSRKHUF</t>
  </si>
  <si>
    <t>POORNI44</t>
  </si>
  <si>
    <t>SWAASTIK</t>
  </si>
  <si>
    <t>APCTEX10</t>
  </si>
  <si>
    <t>DLL5265</t>
  </si>
  <si>
    <t>A102_RM_5265</t>
  </si>
  <si>
    <t>ADITI758</t>
  </si>
  <si>
    <t>JainamBroking</t>
  </si>
  <si>
    <t>MRUTVI02</t>
  </si>
  <si>
    <t>GI1655</t>
  </si>
  <si>
    <t>Not running as per PS instn. on 1dte</t>
  </si>
  <si>
    <t>MEGASERV</t>
  </si>
  <si>
    <t>DWH00459</t>
  </si>
  <si>
    <t>R0299ONE</t>
  </si>
  <si>
    <t>ZZJ17419</t>
  </si>
  <si>
    <t>7RIK2057</t>
  </si>
  <si>
    <t>R7RA1250</t>
  </si>
  <si>
    <t>DLL6496</t>
  </si>
  <si>
    <t>GKOHNP242</t>
  </si>
  <si>
    <t>GSPL20</t>
  </si>
  <si>
    <t>SF195</t>
  </si>
  <si>
    <t>GI1654</t>
  </si>
  <si>
    <t>MAMEHTA1</t>
  </si>
  <si>
    <t>MJITEND1</t>
  </si>
  <si>
    <t>AJ008DW</t>
  </si>
  <si>
    <t>7RA1SM99</t>
  </si>
  <si>
    <t>MSR_JAGWAYAN2</t>
  </si>
  <si>
    <t>CC08</t>
  </si>
  <si>
    <t>VS25</t>
  </si>
  <si>
    <t>AJ008EX</t>
  </si>
  <si>
    <t>YW362900</t>
  </si>
  <si>
    <t>2037</t>
  </si>
  <si>
    <t>ITC2247</t>
  </si>
  <si>
    <t>CC10</t>
  </si>
  <si>
    <t>S0393ONE</t>
  </si>
  <si>
    <t>VS5</t>
  </si>
  <si>
    <t>ZZJ15219</t>
  </si>
  <si>
    <t>A8_PS_ZZJ15219</t>
  </si>
  <si>
    <t>R0299</t>
  </si>
  <si>
    <t>RATAN885</t>
  </si>
  <si>
    <t>SJVJ0002</t>
  </si>
  <si>
    <t>MANGAL54</t>
  </si>
  <si>
    <t>ZZJ16973</t>
  </si>
  <si>
    <t>MAKSHAT2</t>
  </si>
  <si>
    <t>MARUNKK3</t>
  </si>
  <si>
    <t>DANGA982</t>
  </si>
  <si>
    <t>SUSHAN82</t>
  </si>
  <si>
    <t>HUFVJEPH</t>
  </si>
  <si>
    <t>ASRENTER</t>
  </si>
  <si>
    <t>BHARA212</t>
  </si>
  <si>
    <t>MBONSAI0</t>
  </si>
  <si>
    <t>VIVEK773</t>
  </si>
  <si>
    <t>VINEET48</t>
  </si>
  <si>
    <t>MSR_JAGWAYAN3</t>
  </si>
  <si>
    <t>NATH0022</t>
  </si>
  <si>
    <t>MPRSHANT</t>
  </si>
  <si>
    <t>RAMHUF22</t>
  </si>
  <si>
    <t>MPRIYACH</t>
  </si>
  <si>
    <t>VIVEK339</t>
  </si>
  <si>
    <t>YOGESC44</t>
  </si>
  <si>
    <t>ZZJ17137</t>
  </si>
  <si>
    <t>R2SAXENA</t>
  </si>
  <si>
    <t>ZZJ17418</t>
  </si>
  <si>
    <t>XTS11</t>
  </si>
  <si>
    <t>JAGW1978</t>
  </si>
  <si>
    <t>MSR_JAGWAYAN4</t>
  </si>
  <si>
    <t>D0098</t>
  </si>
  <si>
    <t>KBHAVITA</t>
  </si>
  <si>
    <t>AM007</t>
  </si>
  <si>
    <t>AM004</t>
  </si>
  <si>
    <t>R7RA1256</t>
  </si>
  <si>
    <t>7RA1SP90</t>
  </si>
  <si>
    <t>MSR_JAGWAYAN1</t>
  </si>
  <si>
    <t>DLL7283</t>
  </si>
  <si>
    <t>A12_GB</t>
  </si>
  <si>
    <t>GDLD1A162</t>
  </si>
  <si>
    <t>A1_ARSSB</t>
  </si>
  <si>
    <t>AnandRathi</t>
  </si>
  <si>
    <t>MVARUNKA</t>
  </si>
  <si>
    <t>MSR_MVARUNKA</t>
  </si>
  <si>
    <t>ZZJ15812</t>
  </si>
  <si>
    <t>A15_PS</t>
  </si>
  <si>
    <t>ZZJ13800</t>
  </si>
  <si>
    <t>A8_PS_4C</t>
  </si>
  <si>
    <t>Telegram ID</t>
  </si>
  <si>
    <t>DLL4298</t>
  </si>
  <si>
    <t>A8_4298_PS_4C</t>
  </si>
  <si>
    <t>Max Loss</t>
  </si>
  <si>
    <t>MS Tech Max Loss</t>
  </si>
  <si>
    <t>Running</t>
  </si>
  <si>
    <t>Stoxxo SLcheck</t>
  </si>
  <si>
    <t>MstechSLcheck</t>
  </si>
  <si>
    <t>is_Exceptional</t>
  </si>
  <si>
    <t>True Allocation of positional</t>
  </si>
  <si>
    <t>Intrday SL</t>
  </si>
  <si>
    <t>Allocation to be print</t>
  </si>
  <si>
    <t>MSS_RENU1_POS</t>
  </si>
  <si>
    <t>0DTE</t>
  </si>
  <si>
    <t>ZZJ16085</t>
  </si>
  <si>
    <t>MSV_KALPESHV_POS</t>
  </si>
  <si>
    <t>A7_FOUNDER</t>
  </si>
  <si>
    <t>AS PER DAILY UPDATE</t>
  </si>
  <si>
    <t>MSV_VIVEK_THEBARIA_POS</t>
  </si>
  <si>
    <t>ZZJ15070</t>
  </si>
  <si>
    <t>CC_DHIRAJY_POS</t>
  </si>
  <si>
    <t>CC_PUSHKARA_POS</t>
  </si>
  <si>
    <t>AJ00FG</t>
  </si>
  <si>
    <t>A8_PS_AJ00FG_8C</t>
  </si>
  <si>
    <t>CC_PUNEETG_POS</t>
  </si>
  <si>
    <t>CC_JATING_POS</t>
  </si>
  <si>
    <t>P0052</t>
  </si>
  <si>
    <t>A19_EXCEL</t>
  </si>
  <si>
    <t>EXCELSTOCK</t>
  </si>
  <si>
    <t>CCV_RITU_KREDENT_POS</t>
  </si>
  <si>
    <t>CC_CHARUB_POS</t>
  </si>
  <si>
    <t>22042231</t>
  </si>
  <si>
    <t>CC_ASHAC</t>
  </si>
  <si>
    <t>CCV_ANKITADOK_POS</t>
  </si>
  <si>
    <t>MSG_PUGAL_POS</t>
  </si>
  <si>
    <t>51039I</t>
  </si>
  <si>
    <t>14419090</t>
  </si>
  <si>
    <t>MSG_TANYA_POS</t>
  </si>
  <si>
    <t>44574550</t>
  </si>
  <si>
    <t>MSG_ARUSHI_ARORA</t>
  </si>
  <si>
    <t>Z0004THREE</t>
  </si>
  <si>
    <t>CC_LAXMIK_POS</t>
  </si>
  <si>
    <t>CC__JOHNJOSEPH_FULL_POS1CR</t>
  </si>
  <si>
    <t>API151</t>
  </si>
  <si>
    <t>A8_ARHAM_PROP</t>
  </si>
  <si>
    <t>ArhamWealthProp</t>
  </si>
  <si>
    <t>ARHAM Accounts stopped from 1 april 2026</t>
  </si>
  <si>
    <t>S0393THREE</t>
  </si>
  <si>
    <t>7RIK2002</t>
  </si>
  <si>
    <t>MSR_AKAGAR_INT</t>
  </si>
  <si>
    <t>CC_GAYATRIB_FIX_1CR_0SL_POS</t>
  </si>
  <si>
    <t>A12868</t>
  </si>
  <si>
    <t>CC_SHAMLAL_POS</t>
  </si>
  <si>
    <t>R7RA1209</t>
  </si>
  <si>
    <t>MSR_VARSHAC_INT</t>
  </si>
  <si>
    <t>JSR129A31</t>
  </si>
  <si>
    <t>CC_MEGHAAG_POS</t>
  </si>
  <si>
    <t>CC_SCHOUGULE_POS</t>
  </si>
  <si>
    <t>SYNERGYB</t>
  </si>
  <si>
    <t>API152</t>
  </si>
  <si>
    <t>A1_ARHAM_PROP_INT</t>
  </si>
  <si>
    <t>CC_JEETKASAR_POS</t>
  </si>
  <si>
    <t>CC_RAHULGO_POS</t>
  </si>
  <si>
    <t>API150</t>
  </si>
  <si>
    <t>A1_ARHAM_INT</t>
  </si>
  <si>
    <t>CCV_A7_PIYUSH_AGR_POS</t>
  </si>
  <si>
    <t>A7_RM_PRSNL_INT</t>
  </si>
  <si>
    <t>AJ008FE</t>
  </si>
  <si>
    <t>A8_RM_AJ008FE_34C</t>
  </si>
  <si>
    <t>MSS_A7_PS_FULL_POS</t>
  </si>
  <si>
    <t>MSV_VTPRATIM_0SL_FIX1CR_POS</t>
  </si>
  <si>
    <t>API154</t>
  </si>
  <si>
    <t>A_15_ARHAM_PROP_2CR_INT</t>
  </si>
  <si>
    <t>MSV_AKANSHA_POS</t>
  </si>
  <si>
    <t>55910733</t>
  </si>
  <si>
    <t>CCV_VAIBHAVT_POS</t>
  </si>
  <si>
    <t>CCD1800A</t>
  </si>
  <si>
    <t>A7_JTRADE_INT</t>
  </si>
  <si>
    <t>JainamXTS</t>
  </si>
  <si>
    <t>MSG_CHANDRAKALA_POS</t>
  </si>
  <si>
    <t>MSG_RICHA_KAUR_POS</t>
  </si>
  <si>
    <t>API153</t>
  </si>
  <si>
    <t>56718024</t>
  </si>
  <si>
    <t>A7_ARHAM_FIX_2CR_INT</t>
  </si>
  <si>
    <t>CC_MAYURJADHAV_POS</t>
  </si>
  <si>
    <t>82930874</t>
  </si>
  <si>
    <t>CC_MRINALDEBNATH_POS</t>
  </si>
  <si>
    <t>72881081</t>
  </si>
  <si>
    <t>CC_PIYUSHK_POS</t>
  </si>
  <si>
    <t>CCD1800B</t>
  </si>
  <si>
    <t>A1_JTRADE_INT</t>
  </si>
  <si>
    <t>FIX 4 CR</t>
  </si>
  <si>
    <t>27344149</t>
  </si>
  <si>
    <t>CC_VIDHIM_POS</t>
  </si>
  <si>
    <t>TAMSGLOB</t>
  </si>
  <si>
    <t>17055796</t>
  </si>
  <si>
    <t>CCG_HARSHA_POS</t>
  </si>
  <si>
    <t>26048336</t>
  </si>
  <si>
    <t>CC_PIYUSHK2_INT</t>
  </si>
  <si>
    <t>BALDEEP1</t>
  </si>
  <si>
    <t>CC_JAYACHAN_POS</t>
  </si>
  <si>
    <t>MSG_RAMAGURU_POS</t>
  </si>
  <si>
    <t>PRANSHU0</t>
  </si>
  <si>
    <t>SUMIYYA7</t>
  </si>
  <si>
    <t>MSG_SUMIYYA_POS</t>
  </si>
  <si>
    <t>MSV_AMIT_POS</t>
  </si>
  <si>
    <t>IIFL-CDC2</t>
  </si>
  <si>
    <t>MSV_AMITBANSAL_POS</t>
  </si>
  <si>
    <t>MSV_MILIND_POS</t>
  </si>
  <si>
    <t>S0147</t>
  </si>
  <si>
    <t>DXX40</t>
  </si>
  <si>
    <t>MSR_A1_MANISHT_DUB_8C_INT</t>
  </si>
  <si>
    <t>JAINAM_RETAIL</t>
  </si>
  <si>
    <t>MSV_NIRAJDESAI_POS</t>
  </si>
  <si>
    <t>MSV_SAANVI_POS</t>
  </si>
  <si>
    <t>DXX05</t>
  </si>
  <si>
    <t>CCD1800D</t>
  </si>
  <si>
    <t>MSR_MANISH_DUB</t>
  </si>
  <si>
    <t>JAINAM_XTS</t>
  </si>
  <si>
    <t>MSG_KONATHALA_RAMYA_POS</t>
  </si>
  <si>
    <t>CCV_VIVEK_THEBARIA_FIX_1CR_POS</t>
  </si>
  <si>
    <t>SAPNA092</t>
  </si>
  <si>
    <t>VSNON127</t>
  </si>
  <si>
    <t>AR_NIKHIL_FIX_1CR_A7_INT</t>
  </si>
  <si>
    <t>MSS_A1_RM_PRSNL_POS</t>
  </si>
  <si>
    <t>FIX 1 CR</t>
  </si>
  <si>
    <t>MSS_RENU_POS</t>
  </si>
  <si>
    <t>GDVS267</t>
  </si>
  <si>
    <t>SUCHET_A1_ANANDHRATHI_FIX1CR_INT</t>
  </si>
  <si>
    <t>MSS_A1_PS_POS</t>
  </si>
  <si>
    <t>CCV_NIKHIL_BANSAL_POS</t>
  </si>
  <si>
    <t>NS0008</t>
  </si>
  <si>
    <t>CCV_SANJAY_MITTAL_POS</t>
  </si>
  <si>
    <t>MSR_A8_EXCEL_4C</t>
  </si>
  <si>
    <t>CC_APOORVAP_POS</t>
  </si>
  <si>
    <t>CC_ALPANAG_POS</t>
  </si>
  <si>
    <t>GDLF1O101</t>
  </si>
  <si>
    <t>AR_OMPRAKASH_FIX_1CR_A1_INT</t>
  </si>
  <si>
    <t>CC_KRUPALPATEL_POS</t>
  </si>
  <si>
    <t>CC_MANASIF_POS</t>
  </si>
  <si>
    <t>GBN305M116</t>
  </si>
  <si>
    <t>AR_MANOHAR_FIX_1CR_A7_INT</t>
  </si>
  <si>
    <t>0.8</t>
  </si>
  <si>
    <t>CC_MANISHA_POS</t>
  </si>
  <si>
    <t>FINE1S09</t>
  </si>
  <si>
    <t>CC_SAMATAPAT_POS</t>
  </si>
  <si>
    <t>GBN10P587</t>
  </si>
  <si>
    <t>A7_PRASHANT_AR_FIX_1CR_INT</t>
  </si>
  <si>
    <t>FINE1A03</t>
  </si>
  <si>
    <t>CC_LALITAB_POS</t>
  </si>
  <si>
    <t>A19_RM_PRSNL</t>
  </si>
  <si>
    <t>30</t>
  </si>
  <si>
    <t>ALPHA MATRIX</t>
  </si>
  <si>
    <t>CC_PALAKS_POS</t>
  </si>
  <si>
    <t>CC_SEEMAB_POS</t>
  </si>
  <si>
    <t>YADAVD11</t>
  </si>
  <si>
    <t>MSR_PYADAV3</t>
  </si>
  <si>
    <t>GKOHNP140</t>
  </si>
  <si>
    <t>MSG_NILOY_JAIN_POS</t>
  </si>
  <si>
    <t>52055541</t>
  </si>
  <si>
    <t>CC_GOVINDJ_POS</t>
  </si>
  <si>
    <t>GPU111U157</t>
  </si>
  <si>
    <t>A15_ANANDRATHI_FIX1CR_INT</t>
  </si>
  <si>
    <t>ANANDRATHI</t>
  </si>
  <si>
    <t>CC_PRIYANKB_POS</t>
  </si>
  <si>
    <t>CCV_ANKITBAJ_1_4CR_POS</t>
  </si>
  <si>
    <t>HOP555</t>
  </si>
  <si>
    <t>CC_AKASA_POS</t>
  </si>
  <si>
    <t>A15_ANANDRATHI_FIX1CR_INT_</t>
  </si>
  <si>
    <t>V401C</t>
  </si>
  <si>
    <t>CCV_GAUTAMVIPUL_POS</t>
  </si>
  <si>
    <t>CC_NIDHIC_POS</t>
  </si>
  <si>
    <t>MSR_TT</t>
  </si>
  <si>
    <t>2.0</t>
  </si>
  <si>
    <t>FIX ON 1 CR / SL IS FIX 2%</t>
  </si>
  <si>
    <t>AM010</t>
  </si>
  <si>
    <t>CC_RAJESHK_POS</t>
  </si>
  <si>
    <t>PCDD3R115</t>
  </si>
  <si>
    <t>PCD_A1_ANANDRATHI_FIX_1CR_INT</t>
  </si>
  <si>
    <t>CC_VAIBHAVB_POS</t>
  </si>
  <si>
    <t>X145</t>
  </si>
  <si>
    <t>MSR_PACE_NSE_INT</t>
  </si>
  <si>
    <t>Pace</t>
  </si>
  <si>
    <t>80000</t>
  </si>
  <si>
    <t>15</t>
  </si>
  <si>
    <t>CC_BHADADAR_FIX_1CR_0_SL_POS</t>
  </si>
  <si>
    <t>AM009</t>
  </si>
  <si>
    <t>INT</t>
  </si>
  <si>
    <t>FIX 2 CR</t>
  </si>
  <si>
    <t>MSS_A8_RM_ACH_4C</t>
  </si>
  <si>
    <t>X138</t>
  </si>
  <si>
    <t xml:space="preserve">MSR_A1_PACE_NF_INT </t>
  </si>
  <si>
    <t>PACE</t>
  </si>
  <si>
    <t>CC_A8_CC10_4C</t>
  </si>
  <si>
    <t>112507.85</t>
  </si>
  <si>
    <t>MSR_RDANGAYACH2_2C</t>
  </si>
  <si>
    <t>MSS_A8_GB_6C</t>
  </si>
  <si>
    <t>MSR_YOGESH6_2C</t>
  </si>
  <si>
    <t>MSR_LODHA4_2C</t>
  </si>
  <si>
    <t>MSR_PTAK6_2C</t>
  </si>
  <si>
    <t>MSANDWAN</t>
  </si>
  <si>
    <t>MSN_SANDEEP WANCHOO_INT</t>
  </si>
  <si>
    <t>MSR_ASR1_2C</t>
  </si>
  <si>
    <t>MSR_A8_RAYGUN_2C</t>
  </si>
  <si>
    <t>MSR_A8_VBD_ZETA_2C</t>
  </si>
  <si>
    <t>MSR_A8_SHREESHYAM_2C</t>
  </si>
  <si>
    <t>CC_A8_GSPL_20_6C</t>
  </si>
  <si>
    <t>MSR_SANJAYG2_POS</t>
  </si>
  <si>
    <t>MSR_A8_MANISHT_DUB_6C</t>
  </si>
  <si>
    <t>MSR_RAJM2_2C</t>
  </si>
  <si>
    <t>MSS_A8_VT_4C</t>
  </si>
  <si>
    <t>MSR_A8_MITTAL_2C</t>
  </si>
  <si>
    <t>MSS_A8_PS_2C</t>
  </si>
  <si>
    <t>VS33</t>
  </si>
  <si>
    <t>CCV_A8_VM_2C</t>
  </si>
  <si>
    <t>MSR_LODHA1_2C</t>
  </si>
  <si>
    <t>AJ008JT</t>
  </si>
  <si>
    <t>15_RM_ACHINTYA_NEW</t>
  </si>
  <si>
    <t>MSR_RYADAV4_2C</t>
  </si>
  <si>
    <t>FIX 3 CR</t>
  </si>
  <si>
    <t>MSR_AJIT3_2C</t>
  </si>
  <si>
    <t>MSR_RDANGAYACH3_2C</t>
  </si>
  <si>
    <t>XTSD1</t>
  </si>
  <si>
    <t>MSR_A8_EXCEL_DATACENTRE</t>
  </si>
  <si>
    <t>MSP_PGFOILS_2C</t>
  </si>
  <si>
    <t>VA_F_INT</t>
  </si>
  <si>
    <t>A19 AsPer Daily update</t>
  </si>
  <si>
    <t>MONETAAA</t>
  </si>
  <si>
    <t>MSR_BONSAI2</t>
  </si>
  <si>
    <t>AJ008JP</t>
  </si>
  <si>
    <t>A19_RM_Achintya_new</t>
  </si>
  <si>
    <t>AJ008JS</t>
  </si>
  <si>
    <t>A7_RM_Achintya_NEW_INT</t>
  </si>
  <si>
    <t>.80</t>
  </si>
  <si>
    <t>GBYB178</t>
  </si>
  <si>
    <t>GBN13P147</t>
  </si>
  <si>
    <t>AR_PRISH_FIX1CR_A7_INT</t>
  </si>
  <si>
    <t>JPBWM229</t>
  </si>
  <si>
    <t>GOYAL079</t>
  </si>
  <si>
    <t>MSR_DEEPAKGO_INT</t>
  </si>
  <si>
    <t>MSR_BONSAI_6C</t>
  </si>
  <si>
    <t>0.7</t>
  </si>
  <si>
    <t>IIFL_CDC2</t>
  </si>
  <si>
    <t>GKOCDU109</t>
  </si>
  <si>
    <t>MSR_A8_EXCELPROP_8C</t>
  </si>
  <si>
    <t>MSR_BHARATG_POS</t>
  </si>
  <si>
    <t>AJ008JO</t>
  </si>
  <si>
    <t>A8_RM_ACHINTYA_NEW_4C</t>
  </si>
  <si>
    <t>ZZJ16449</t>
  </si>
  <si>
    <t>A1_TT_GB_RDANGAYACH_INT</t>
  </si>
  <si>
    <t>JAINAMBROKING</t>
  </si>
  <si>
    <t>XTS12</t>
  </si>
  <si>
    <t>A1_EXCEL_INT</t>
  </si>
  <si>
    <t>HNK202</t>
  </si>
  <si>
    <t>MSS_HUNNAR_AR_FIX_1CR_INT</t>
  </si>
  <si>
    <t>7RIKBL02</t>
  </si>
  <si>
    <t>MSR_BONSAI3_INT</t>
  </si>
  <si>
    <t>AVIKAS13</t>
  </si>
  <si>
    <t>MSR_VIKASAGGARWAL4</t>
  </si>
  <si>
    <t>7RIK2052</t>
  </si>
  <si>
    <t>MSR_VIKASAGGARWAL3</t>
  </si>
  <si>
    <t>MSS_ANOOJ_JAYANTILAL_AR_FIX_1CR_INT</t>
  </si>
  <si>
    <t>MSS_A7_RM_PRSNL_INT</t>
  </si>
  <si>
    <t>ZZJ16559</t>
  </si>
  <si>
    <t>A1_ TESTID_INT</t>
  </si>
  <si>
    <t>A15_ANANDRATHI_FIX1CR_INT_7</t>
  </si>
  <si>
    <t>A8_RM_PS_6C</t>
  </si>
  <si>
    <t>7RIK2058</t>
  </si>
  <si>
    <t>MSR_PYADAV_INT</t>
  </si>
  <si>
    <t>GPU1R050</t>
  </si>
  <si>
    <t>A1_RAHIM_AR_FIX1CR_INT</t>
  </si>
  <si>
    <t>MUMPRJ129</t>
  </si>
  <si>
    <t>A15_ANANDRATHI_FIX1CR_INT_4</t>
  </si>
  <si>
    <t>MCDD3R104</t>
  </si>
  <si>
    <t>MSS_RAMESH_RAMBILAS_AR_FIX_1CR_INT</t>
  </si>
  <si>
    <t>GNPU057</t>
  </si>
  <si>
    <t>A15_AR10</t>
  </si>
  <si>
    <t>GMAN023</t>
  </si>
  <si>
    <t>MSS_NARESH_J_SHROFF_AR_FIX_1CR_INT</t>
  </si>
  <si>
    <t>FIX AT 1 CR</t>
  </si>
  <si>
    <t>SF192</t>
  </si>
  <si>
    <t>CC_A15_KREDENT_PRO_INT</t>
  </si>
  <si>
    <t>A15_EXCEL13_EXC</t>
  </si>
  <si>
    <t>ZZJ17417</t>
  </si>
  <si>
    <t>A19_VT_RM_1</t>
  </si>
  <si>
    <t>A8_RGJPR</t>
  </si>
  <si>
    <t>DLT07</t>
  </si>
  <si>
    <t>A19_VA_F</t>
  </si>
  <si>
    <t>JainamBROKING</t>
  </si>
  <si>
    <t>ZZJ15849</t>
  </si>
  <si>
    <t>MSR_RGJPR_INT</t>
  </si>
  <si>
    <t>Jainam_Broking</t>
  </si>
  <si>
    <t>R0299FOUR</t>
  </si>
  <si>
    <t>MSR_A7_RAYGUN_INT_EXC</t>
  </si>
  <si>
    <t>VS30</t>
  </si>
  <si>
    <t>7</t>
  </si>
  <si>
    <t>ABAD2S101</t>
  </si>
  <si>
    <t>MSS_SHSHIKANT_AR_FIX_1CR_INT</t>
  </si>
  <si>
    <t>MSS_VILAS_HIRALAL_AR_FIX_1CR_INT</t>
  </si>
  <si>
    <t>MSR_A7_SHREESHYAM_INT</t>
  </si>
  <si>
    <t>Z0004ONE</t>
  </si>
  <si>
    <t>MSR_A7_ZETADMA_INT</t>
  </si>
  <si>
    <t>R0299TWO</t>
  </si>
  <si>
    <t>MSR_A15_RAYGUN_INT_EXC</t>
  </si>
  <si>
    <t>12315119</t>
  </si>
  <si>
    <t>MSR_A15_JM_FIX_1CR</t>
  </si>
  <si>
    <t>JM_FINANCIAL</t>
  </si>
  <si>
    <t>Z0004TWO</t>
  </si>
  <si>
    <t>MSR_A15_ZETADMA_EXC</t>
  </si>
  <si>
    <t>A8_VT_RM_6C</t>
  </si>
  <si>
    <t>9PS30CC</t>
  </si>
  <si>
    <t>MTPRO_PROP_FIX_1CR_INT</t>
  </si>
  <si>
    <t>X144</t>
  </si>
  <si>
    <t>MSR_A7_PACE_NSE_INT</t>
  </si>
  <si>
    <t>S0147ONE</t>
  </si>
  <si>
    <t>MSR_A7_MITTAL_EXC_FIX_2CR_INT</t>
  </si>
  <si>
    <t>32000</t>
  </si>
  <si>
    <t>GKOPAS101</t>
  </si>
  <si>
    <t>MSS_SINGHAL_AR_FIX_1CR_INT</t>
  </si>
  <si>
    <t>WPNBAS132</t>
  </si>
  <si>
    <t>MSS_SANTOSH_AR_FIX_1CR_INT</t>
  </si>
  <si>
    <t>MJOS334</t>
  </si>
  <si>
    <t>MSS_SEJAL_AR_FIX_1CR_INT</t>
  </si>
  <si>
    <t>RPR3R007</t>
  </si>
  <si>
    <t>MSS_SATISH_AR_FIX_1CR_INT</t>
  </si>
  <si>
    <t>R0299THREE</t>
  </si>
  <si>
    <t>MSR_A1_RAYGUN_INT_EXC</t>
  </si>
  <si>
    <t>FIX 3CR</t>
  </si>
  <si>
    <t>ZZJ17248</t>
  </si>
  <si>
    <t>MSS_A19_PS</t>
  </si>
  <si>
    <t>Z0004</t>
  </si>
  <si>
    <t>MSR_A1_ZETADMA_INT_EXC</t>
  </si>
  <si>
    <t>S0393</t>
  </si>
  <si>
    <t>MSR_A1_SHREESHYAM_INT_EXC</t>
  </si>
  <si>
    <t>MSS_A19_RM_ACHINTYA</t>
  </si>
  <si>
    <t>ACHINTYA</t>
  </si>
  <si>
    <t>DAILY</t>
  </si>
  <si>
    <t>MSR_RDANGAYACH8</t>
  </si>
  <si>
    <t>JPWSDC101</t>
  </si>
  <si>
    <t>A8_CITILINE_TEX_ARSSB_4C</t>
  </si>
  <si>
    <t>A27</t>
  </si>
  <si>
    <t>S0393FIVE</t>
  </si>
  <si>
    <t>MSR_A27_SHREESHYAM</t>
  </si>
  <si>
    <t>VS28</t>
  </si>
  <si>
    <t>27</t>
  </si>
  <si>
    <t>POS</t>
  </si>
  <si>
    <t>Z0004FIVE</t>
  </si>
  <si>
    <t>MSR_A27_ZETADMA</t>
  </si>
  <si>
    <t>R0299FIVE</t>
  </si>
  <si>
    <t>MSR_A27_RAYGUN</t>
  </si>
  <si>
    <t>ITC2484</t>
  </si>
  <si>
    <t>MSR_A27_ANKUR</t>
  </si>
  <si>
    <t>MSS_MAHALXMI_AR</t>
  </si>
  <si>
    <t xml:space="preserve">MSP_PGFOILS_2C </t>
  </si>
  <si>
    <t>1DTE/0DTE</t>
  </si>
  <si>
    <t>MSR_GINNI12_3C</t>
  </si>
  <si>
    <t>MSR_GINNI13_3C</t>
  </si>
  <si>
    <t>MSR_INDALPHA2</t>
  </si>
  <si>
    <t>MSR_LOKESHGARG_2C_INT</t>
  </si>
  <si>
    <t>MSR_MSMELODIA7_3C</t>
  </si>
  <si>
    <t>MSR_RAJM8_3C</t>
  </si>
  <si>
    <t>MSR_RYS2_3C</t>
  </si>
  <si>
    <t>MSR_SSGUPTA4</t>
  </si>
  <si>
    <t>MSR_CHETAN_SINGHAL2</t>
  </si>
  <si>
    <t>MSR_KABRA2</t>
  </si>
  <si>
    <t>MSR_MSMELODIA4</t>
  </si>
  <si>
    <t>MSR_JITENDRA_AGRAWAL5</t>
  </si>
  <si>
    <t xml:space="preserve"> MSR_DIGVIJAY5</t>
  </si>
  <si>
    <t>MSR_PYADAV1</t>
  </si>
  <si>
    <t xml:space="preserve"> MSR_SHREYAB1_2C_INT</t>
  </si>
  <si>
    <t>MSR_GINNI5_3C</t>
  </si>
  <si>
    <t>MSR_LOYALKA</t>
  </si>
  <si>
    <t>MSR_PYADAV2</t>
  </si>
  <si>
    <t>7RIK2032</t>
  </si>
  <si>
    <t>MSR_RADHA_INT</t>
  </si>
  <si>
    <t>7RIK2037</t>
  </si>
  <si>
    <t>MSR_JITENDRA_AGRAWAL3_INT</t>
  </si>
  <si>
    <t>40000</t>
  </si>
  <si>
    <t>7RIK2024</t>
  </si>
  <si>
    <t>MSR_PTAK2_INT</t>
  </si>
  <si>
    <t>160000</t>
  </si>
  <si>
    <t>7RA1RM61</t>
  </si>
  <si>
    <t>MSR_RAJM9_INT</t>
  </si>
  <si>
    <t>600000</t>
  </si>
  <si>
    <t>7RIKSI01</t>
  </si>
  <si>
    <t>MSR_MAHUP1_INT</t>
  </si>
  <si>
    <t>120000</t>
  </si>
  <si>
    <t>7RA1GTL</t>
  </si>
  <si>
    <t>MSR_GINNI3_INT</t>
  </si>
  <si>
    <t>7RA1GFL</t>
  </si>
  <si>
    <t>MSR_GINNI6_INT</t>
  </si>
  <si>
    <t>7RBE0217</t>
  </si>
  <si>
    <t>MSP_AMITP11_INT</t>
  </si>
  <si>
    <t>7RIK2036</t>
  </si>
  <si>
    <t>MSR_BANSAL3_INT</t>
  </si>
  <si>
    <t>HUFTOLAN</t>
  </si>
  <si>
    <t>MSP_NARESH_INT</t>
  </si>
  <si>
    <t>MNANDKC2</t>
  </si>
  <si>
    <t>MSR_YOGESH2_INT</t>
  </si>
  <si>
    <t>HUFPRAAK</t>
  </si>
  <si>
    <t>MSR_KALPANAAG3_INT</t>
  </si>
  <si>
    <t>MBAGRODI</t>
  </si>
  <si>
    <t>MSR_BAGRODIA1_INT</t>
  </si>
  <si>
    <t>PHARSHPR</t>
  </si>
  <si>
    <t>MSP_HARSHP_UDAWAT_INT</t>
  </si>
  <si>
    <t>HUFBHARG</t>
  </si>
  <si>
    <t>MSP_RAHULBHUF_INT</t>
  </si>
  <si>
    <t>MSR_RDANGAYACH4_INT</t>
  </si>
  <si>
    <t>300000</t>
  </si>
  <si>
    <t>7RA1APC</t>
  </si>
  <si>
    <t>MSR_GINNI1_INT</t>
  </si>
  <si>
    <t>20000</t>
  </si>
  <si>
    <t>7RA110081</t>
  </si>
  <si>
    <t>MSR_LODHA3_INT</t>
  </si>
  <si>
    <t>180000</t>
  </si>
  <si>
    <t>7RA110024</t>
  </si>
  <si>
    <t>MSR_PAREEKK1_INT</t>
  </si>
  <si>
    <t>7RA1GF07</t>
  </si>
  <si>
    <t>MSR_GINNI4_INT</t>
  </si>
  <si>
    <t>MSOURBHS</t>
  </si>
  <si>
    <t>MSR_BAPNA2_INT</t>
  </si>
  <si>
    <t>FINE1A02</t>
  </si>
  <si>
    <t>MSR_ASR3_INT</t>
  </si>
  <si>
    <t>B7RA1BA50</t>
  </si>
  <si>
    <t>MSR_MSMELODIA10_INT</t>
  </si>
  <si>
    <t>UserID</t>
  </si>
  <si>
    <t>Remark</t>
  </si>
  <si>
    <t>11060296</t>
  </si>
  <si>
    <t>GCLBrokingXTS</t>
  </si>
  <si>
    <t>CC</t>
  </si>
  <si>
    <t>MSN_BAXI3_INT</t>
  </si>
  <si>
    <t>Capital Compound</t>
  </si>
  <si>
    <t>11064875</t>
  </si>
  <si>
    <t>CCG</t>
  </si>
  <si>
    <t>Capital Compound Govinda</t>
  </si>
  <si>
    <t>ZZJ13803</t>
  </si>
  <si>
    <t>A1_13803</t>
  </si>
  <si>
    <t>MS</t>
  </si>
  <si>
    <t>MSJ</t>
  </si>
  <si>
    <t>CCV</t>
  </si>
  <si>
    <t>Capital Compound Vivek</t>
  </si>
  <si>
    <t>A1_PS_4298</t>
  </si>
  <si>
    <t>Megaserve Dealer</t>
  </si>
  <si>
    <t>ZZJ13882</t>
  </si>
  <si>
    <t>A1_RD_13882</t>
  </si>
  <si>
    <t>7RIKML01</t>
  </si>
  <si>
    <t>MSR_MEGASERV1_INT</t>
  </si>
  <si>
    <t>Megaserve Jainam</t>
  </si>
  <si>
    <t>A1_RM_5265</t>
  </si>
  <si>
    <t>MSN</t>
  </si>
  <si>
    <t>Megaserve Nandkishore</t>
  </si>
  <si>
    <t>ZZJ13672</t>
  </si>
  <si>
    <t>A1_RM2</t>
  </si>
  <si>
    <t>MSP</t>
  </si>
  <si>
    <t>Megaserve Plantitude</t>
  </si>
  <si>
    <t>ZZJ14799</t>
  </si>
  <si>
    <t>MSR</t>
  </si>
  <si>
    <t>Megaserve Rohit</t>
  </si>
  <si>
    <t>ZZJ13673</t>
  </si>
  <si>
    <t>MSRG</t>
  </si>
  <si>
    <t>Megaserve Rohit Govinda</t>
  </si>
  <si>
    <t>MSS</t>
  </si>
  <si>
    <t>Megaserve Parmmeshvar</t>
  </si>
  <si>
    <t>A1_VTGB_13883</t>
  </si>
  <si>
    <t>PPS</t>
  </si>
  <si>
    <t>Personal PS</t>
  </si>
  <si>
    <t>A7_RM_AJ008EH</t>
  </si>
  <si>
    <t>PVT</t>
  </si>
  <si>
    <t>Personal VT</t>
  </si>
  <si>
    <t>A2_RM7F</t>
  </si>
  <si>
    <t>PRD</t>
  </si>
  <si>
    <t>Personal RD</t>
  </si>
  <si>
    <t>A5_RM9_PS</t>
  </si>
  <si>
    <t>PGB</t>
  </si>
  <si>
    <t>Personal GB</t>
  </si>
  <si>
    <t>A7_RM_AJ008DW</t>
  </si>
  <si>
    <t>Megaserve</t>
  </si>
  <si>
    <t>ZZJ14276</t>
  </si>
  <si>
    <t>A7_RM12F</t>
  </si>
  <si>
    <t>ZZJ13798</t>
  </si>
  <si>
    <t>AJ008AB</t>
  </si>
  <si>
    <t>ASPL</t>
  </si>
  <si>
    <t>AJ008AV</t>
  </si>
  <si>
    <t>MSR_LOYALKA2_POS</t>
  </si>
  <si>
    <t>AJ008CL</t>
  </si>
  <si>
    <t>AJ008DB</t>
  </si>
  <si>
    <t>ANKUR JAIN HUF</t>
  </si>
  <si>
    <t>CC_ADITYAPINTO</t>
  </si>
  <si>
    <t>CC_AKASA</t>
  </si>
  <si>
    <t>CC_ALPANAG</t>
  </si>
  <si>
    <t>CC_ANKITADOK</t>
  </si>
  <si>
    <t>CC_ANKITBAJ</t>
  </si>
  <si>
    <t>CC_APOORVAP</t>
  </si>
  <si>
    <t>VIDHID00</t>
  </si>
  <si>
    <t>MSN_VIDHI_DAGA_POS</t>
  </si>
  <si>
    <t>CC_BHADADAR</t>
  </si>
  <si>
    <t>48000</t>
  </si>
  <si>
    <t>CC_BINAYD</t>
  </si>
  <si>
    <t>CC_CHARUB</t>
  </si>
  <si>
    <t>CC_DHIRAJY</t>
  </si>
  <si>
    <t>CC_GAYATRIB</t>
  </si>
  <si>
    <t>CC_GOVINDJ</t>
  </si>
  <si>
    <t>CC_JATING</t>
  </si>
  <si>
    <t>CC_JAYACHAN</t>
  </si>
  <si>
    <t>CC_JEETKASAR</t>
  </si>
  <si>
    <t>MSP_SANGHI_POS</t>
  </si>
  <si>
    <t>CC_KRUPALPATEL</t>
  </si>
  <si>
    <t>66714689</t>
  </si>
  <si>
    <t>CC_KSHITIJC</t>
  </si>
  <si>
    <t>CC_LALITAB</t>
  </si>
  <si>
    <t>CC_LAXMIK</t>
  </si>
  <si>
    <t>59824738</t>
  </si>
  <si>
    <t>CC_MAHENDRAMD</t>
  </si>
  <si>
    <t>CC_MANASIF</t>
  </si>
  <si>
    <t>CC_MANISHA</t>
  </si>
  <si>
    <t>MSP_DEVENDER_POS</t>
  </si>
  <si>
    <t>CC_MAYURJADHAV</t>
  </si>
  <si>
    <t>CC_MEGHAAG</t>
  </si>
  <si>
    <t>54010911</t>
  </si>
  <si>
    <t>CC_MOHDARSHAD</t>
  </si>
  <si>
    <t>CC_MRINALDEBNATH</t>
  </si>
  <si>
    <t>CC_NIDHIC</t>
  </si>
  <si>
    <t>89769315</t>
  </si>
  <si>
    <t>CC_NISHADS</t>
  </si>
  <si>
    <t>CC_PALAKS</t>
  </si>
  <si>
    <t>MSR_GIRNAAR1_POS</t>
  </si>
  <si>
    <t>64000</t>
  </si>
  <si>
    <t>CC_PIYUSH_AGR</t>
  </si>
  <si>
    <t>Kredent</t>
  </si>
  <si>
    <t>CC_PIYUSHK</t>
  </si>
  <si>
    <t>CC_PIYUSHK2</t>
  </si>
  <si>
    <t>CC_PRIYANKB</t>
  </si>
  <si>
    <t>HM2135</t>
  </si>
  <si>
    <t>CC_PUNEETG</t>
  </si>
  <si>
    <t>CC_PUSHKARA</t>
  </si>
  <si>
    <t>CC_RAHULGO</t>
  </si>
  <si>
    <t>CC_RAJESHK</t>
  </si>
  <si>
    <t>MSS_A7_GCLPRO_FIX_1CR_POS</t>
  </si>
  <si>
    <t>GCL</t>
  </si>
  <si>
    <t>26470353</t>
  </si>
  <si>
    <t>CC_RAJESHP</t>
  </si>
  <si>
    <t>VRAMAGURUBARAN</t>
  </si>
  <si>
    <t>CC_RAMAGURU</t>
  </si>
  <si>
    <t>IIFL</t>
  </si>
  <si>
    <t>57611484</t>
  </si>
  <si>
    <t>61342712</t>
  </si>
  <si>
    <t>CC_REVANTS</t>
  </si>
  <si>
    <t>CC_RKHILWANI</t>
  </si>
  <si>
    <t>CC_ROHITP</t>
  </si>
  <si>
    <t>12321232</t>
  </si>
  <si>
    <t>CC_SAMARDEEPB</t>
  </si>
  <si>
    <t>CC_SAMATAPAT</t>
  </si>
  <si>
    <t>MSR_MAHESHWARI2_POS</t>
  </si>
  <si>
    <t>38608309</t>
  </si>
  <si>
    <t>CC_SARITAR</t>
  </si>
  <si>
    <t>CC_SCHOUGULE</t>
  </si>
  <si>
    <t>CC_SEEMAB</t>
  </si>
  <si>
    <t>CC_SHAMLAL</t>
  </si>
  <si>
    <t>DDPNOGS01</t>
  </si>
  <si>
    <t>CC_SISL_GS</t>
  </si>
  <si>
    <t>SISL</t>
  </si>
  <si>
    <t>ALKAAGA0</t>
  </si>
  <si>
    <t>MSN_ALKA_AGARWAL_POS</t>
  </si>
  <si>
    <t>CC_VAIBHAVB</t>
  </si>
  <si>
    <t>THEVAIBHAV</t>
  </si>
  <si>
    <t>CC_VAIBHAVK</t>
  </si>
  <si>
    <t>59499418</t>
  </si>
  <si>
    <t>CC_VBANSALH</t>
  </si>
  <si>
    <t>CC_VIDHIM</t>
  </si>
  <si>
    <t>CC80F_JOHNJOSEPH</t>
  </si>
  <si>
    <t>16595867</t>
  </si>
  <si>
    <t>CCV_AVIJITM</t>
  </si>
  <si>
    <t>ANISHA48</t>
  </si>
  <si>
    <t>MSP_SUSHANTG1_POS</t>
  </si>
  <si>
    <t>CCV_BHARATINIL</t>
  </si>
  <si>
    <t>CCV_GAUTAMVIPUL</t>
  </si>
  <si>
    <t>44109343</t>
  </si>
  <si>
    <t>CCV_HARSHT</t>
  </si>
  <si>
    <t>CCV_MAHESHB</t>
  </si>
  <si>
    <t>77441133</t>
  </si>
  <si>
    <t>CCV_SHOBHNAS</t>
  </si>
  <si>
    <t>CCV_SOMINJ</t>
  </si>
  <si>
    <t>16011357</t>
  </si>
  <si>
    <t>CCV_SUSHAMIT</t>
  </si>
  <si>
    <t>ALGO25</t>
  </si>
  <si>
    <t>CCV_VTCAP_VA</t>
  </si>
  <si>
    <t>MSP_DEEPAK_JAIN_HUF_POS</t>
  </si>
  <si>
    <t>VT_Capital</t>
  </si>
  <si>
    <t>CCV50F_PRAVEENB</t>
  </si>
  <si>
    <t>J10027</t>
  </si>
  <si>
    <t>CHOICE_CLI</t>
  </si>
  <si>
    <t>ChoiceXTS</t>
  </si>
  <si>
    <t>11017995</t>
  </si>
  <si>
    <t>GCL_CLI1</t>
  </si>
  <si>
    <t>11060251</t>
  </si>
  <si>
    <t>GCL_CLI2</t>
  </si>
  <si>
    <t>FA365166</t>
  </si>
  <si>
    <t>GOVINDAB</t>
  </si>
  <si>
    <t>Finvasia</t>
  </si>
  <si>
    <t>GOVINDAIIFL</t>
  </si>
  <si>
    <t>G472</t>
  </si>
  <si>
    <t>GSPL_CLI1</t>
  </si>
  <si>
    <t>G473</t>
  </si>
  <si>
    <t>MSR_DEEPESH_POS</t>
  </si>
  <si>
    <t>GSPL6</t>
  </si>
  <si>
    <t>GYANDEEPS</t>
  </si>
  <si>
    <t>MRAJESH0</t>
  </si>
  <si>
    <t>MS_1CR_RAJESH_BANSAL</t>
  </si>
  <si>
    <t>MS_ABHILASHM</t>
  </si>
  <si>
    <t>MS_APCTEX</t>
  </si>
  <si>
    <t>MBABITAB</t>
  </si>
  <si>
    <t>MS_BABITAB</t>
  </si>
  <si>
    <t>MS_BHARATG</t>
  </si>
  <si>
    <t>MS_DIGVIJAY</t>
  </si>
  <si>
    <t>11060169</t>
  </si>
  <si>
    <t>MSR_RAHULG_HUF_POS</t>
  </si>
  <si>
    <t>MS_GCLPRO2</t>
  </si>
  <si>
    <t>GCOMFORT</t>
  </si>
  <si>
    <t>MS_GCOMFORT</t>
  </si>
  <si>
    <t>95366550</t>
  </si>
  <si>
    <t>MS_GNANATEJA</t>
  </si>
  <si>
    <t>R7RA1258</t>
  </si>
  <si>
    <t>MS_MANOJKRGU</t>
  </si>
  <si>
    <t>MPREETIB</t>
  </si>
  <si>
    <t>MS_MPREETIB</t>
  </si>
  <si>
    <t>MS_NEHA_CHOUDHARY</t>
  </si>
  <si>
    <t>MRAHULY2</t>
  </si>
  <si>
    <t>MS_RAHULYADAV</t>
  </si>
  <si>
    <t>MSN_RAKESHSHARMA_POS</t>
  </si>
  <si>
    <t>R7RA1279</t>
  </si>
  <si>
    <t>72276013</t>
  </si>
  <si>
    <t>MS_SARTHAKK</t>
  </si>
  <si>
    <t>MS_SAURABHGUPTA</t>
  </si>
  <si>
    <t>SHRADA79</t>
  </si>
  <si>
    <t>MS_SHARDA</t>
  </si>
  <si>
    <t>SHAR1946</t>
  </si>
  <si>
    <t>MS_SHARDAGJ</t>
  </si>
  <si>
    <t>MS_SHRUTIB</t>
  </si>
  <si>
    <t>D701</t>
  </si>
  <si>
    <t>MS_TSCF50_DHRUV</t>
  </si>
  <si>
    <t>TradeSwift</t>
  </si>
  <si>
    <t>MSR_DAGA2_POS</t>
  </si>
  <si>
    <t>VKJAIN48</t>
  </si>
  <si>
    <t>MS_VKJAIN</t>
  </si>
  <si>
    <t>Nuvama</t>
  </si>
  <si>
    <t>R7RA1257</t>
  </si>
  <si>
    <t>MSG_GAYATRIB_NOREN</t>
  </si>
  <si>
    <t>MSG_RAMAGURU</t>
  </si>
  <si>
    <t>MSP_AKSHATP</t>
  </si>
  <si>
    <t>MSR_GSMITH3_POS</t>
  </si>
  <si>
    <t>MSP_AMITAG</t>
  </si>
  <si>
    <t>MSP_ANANTINV</t>
  </si>
  <si>
    <t>MAKJAIN1</t>
  </si>
  <si>
    <t>MSP_ANILJAIN</t>
  </si>
  <si>
    <t>MSP_ANKITAMIT</t>
  </si>
  <si>
    <t>MSP_ANNAPURNA</t>
  </si>
  <si>
    <t>MSP_ARCHANA</t>
  </si>
  <si>
    <t>HUFASHO1</t>
  </si>
  <si>
    <t>MSP_ASHOKHUF</t>
  </si>
  <si>
    <t>MSN_PRATHI2_POS</t>
  </si>
  <si>
    <t>MSP_DIVYAT</t>
  </si>
  <si>
    <t>MSP_F15_ANISHAG</t>
  </si>
  <si>
    <t>MSP_F15_BINAA</t>
  </si>
  <si>
    <t>MSP_F15_SUSHANTG</t>
  </si>
  <si>
    <t>MSP_F8_AMITJ</t>
  </si>
  <si>
    <t>MSP_F8_AMITJHUF</t>
  </si>
  <si>
    <t>1.8</t>
  </si>
  <si>
    <t>MSP_F8_ARIHANTJ</t>
  </si>
  <si>
    <t>jainamsred</t>
  </si>
  <si>
    <t>MHARSH97</t>
  </si>
  <si>
    <t>MSP_HARSHBS</t>
  </si>
  <si>
    <t>MSP_ISHA</t>
  </si>
  <si>
    <t>MSP_LAXMM764</t>
  </si>
  <si>
    <t xml:space="preserve">AS PER DAILY UPDATES </t>
  </si>
  <si>
    <t>MAARTIM1</t>
  </si>
  <si>
    <t>MSP_MAARTIM1</t>
  </si>
  <si>
    <t>MSP_MANJU016</t>
  </si>
  <si>
    <t>MANKITAG</t>
  </si>
  <si>
    <t>MSP_MANKITAG</t>
  </si>
  <si>
    <t>MMEERA01</t>
  </si>
  <si>
    <t>MSP_MEERA</t>
  </si>
  <si>
    <t>MSP_MEETARAJP</t>
  </si>
  <si>
    <t>MSP_MKIRTI</t>
  </si>
  <si>
    <t>MSP_NARESHT</t>
  </si>
  <si>
    <t>MSR_SANJAYG1_POS</t>
  </si>
  <si>
    <t>MSP_NEETUS</t>
  </si>
  <si>
    <t>84506940</t>
  </si>
  <si>
    <t>MSP_NIKITAJ</t>
  </si>
  <si>
    <t>NIRAJ076</t>
  </si>
  <si>
    <t>MSP_NIRAJD</t>
  </si>
  <si>
    <t>MNISHI67</t>
  </si>
  <si>
    <t>MSP_NISHIG</t>
  </si>
  <si>
    <t>MSP_PHAGARWA</t>
  </si>
  <si>
    <t>MSP_PRATIBHA</t>
  </si>
  <si>
    <t>PSROY001</t>
  </si>
  <si>
    <t>MSP_PSROY001</t>
  </si>
  <si>
    <t>TOLANI81</t>
  </si>
  <si>
    <t>MSP_RAJESHTOLANI</t>
  </si>
  <si>
    <t>MSR_ARYAMAN1_POS</t>
  </si>
  <si>
    <t>MSP_RAJNI_TIWARI</t>
  </si>
  <si>
    <t>MSP_RKGHUF</t>
  </si>
  <si>
    <t>MSALONIS</t>
  </si>
  <si>
    <t>MSP_SALONIS</t>
  </si>
  <si>
    <t>MSP_SEEMAJ</t>
  </si>
  <si>
    <t>MSP_SPSINVES</t>
  </si>
  <si>
    <t>MSP_SWAASTIK</t>
  </si>
  <si>
    <t>SINGODIY</t>
  </si>
  <si>
    <t>MSP_SWAPNIL</t>
  </si>
  <si>
    <t>MSP_TOLARAM</t>
  </si>
  <si>
    <t>UMESH458</t>
  </si>
  <si>
    <t>MSP_UMESH</t>
  </si>
  <si>
    <t>MSR_LAMBAANU_POS</t>
  </si>
  <si>
    <t>MSP_USHAS</t>
  </si>
  <si>
    <t>MSP_VIJAYPO</t>
  </si>
  <si>
    <t>MSP_VIJAYS</t>
  </si>
  <si>
    <t>MSP_VIJAYY</t>
  </si>
  <si>
    <t>ADINAATH</t>
  </si>
  <si>
    <t>MSPF_ADINATH</t>
  </si>
  <si>
    <t>MASHOK10</t>
  </si>
  <si>
    <t>MSPF_ASHOKJAIN</t>
  </si>
  <si>
    <t>M2NIRMAL</t>
  </si>
  <si>
    <t>MSPF_NIRMAL</t>
  </si>
  <si>
    <t>MSPF_POORNIMAJ</t>
  </si>
  <si>
    <t>MSPF12CR_PGFOILS</t>
  </si>
  <si>
    <t>MSR_NIRJHAR_GOEL2_POS</t>
  </si>
  <si>
    <t>MSR_30F_PRASHANR</t>
  </si>
  <si>
    <t>AASTHA89</t>
  </si>
  <si>
    <t>MSR_AASTHAAG</t>
  </si>
  <si>
    <t>MSR_ABBASSIR</t>
  </si>
  <si>
    <t>MSR_ABHISHTAG</t>
  </si>
  <si>
    <t>MSR_ADITIS</t>
  </si>
  <si>
    <t>MSR_AJATSAT</t>
  </si>
  <si>
    <t>MSR_AKAGAR</t>
  </si>
  <si>
    <t>MSR_AKSHAT_LOYALKA</t>
  </si>
  <si>
    <t>MSR_AMIIIT</t>
  </si>
  <si>
    <t>MSR_RITESHS2_POS</t>
  </si>
  <si>
    <t>MSR_AMRISHS</t>
  </si>
  <si>
    <t>MSR_APCTEXMT</t>
  </si>
  <si>
    <t>MSR_APOORVG</t>
  </si>
  <si>
    <t>MSR_ARUNHUF</t>
  </si>
  <si>
    <t>MSR_ARUNKUMARKOTHARI</t>
  </si>
  <si>
    <t>MSR_ARYAMAN</t>
  </si>
  <si>
    <t>MUMPRM192</t>
  </si>
  <si>
    <t>MSS_ANISH_AR_FIX_1CR_INT</t>
  </si>
  <si>
    <t>ASHOK662</t>
  </si>
  <si>
    <t>MSR_ASHOK</t>
  </si>
  <si>
    <t>MSR_ASHWINI_MEHTA</t>
  </si>
  <si>
    <t>B7RA1AE07</t>
  </si>
  <si>
    <t>MSR_ASRENT</t>
  </si>
  <si>
    <t>MSR_BAGRODIA CHAI PRIVATE LIMITED</t>
  </si>
  <si>
    <t>7RIKBC01</t>
  </si>
  <si>
    <t>MSR_BAGRODIA_CHAI</t>
  </si>
  <si>
    <t>MSR_BHARANIRAO</t>
  </si>
  <si>
    <t>MSR_BHARATDRIP</t>
  </si>
  <si>
    <t>GDLF2S128</t>
  </si>
  <si>
    <t>MSS_SEEMA_AR_FIX_1CR_INT_</t>
  </si>
  <si>
    <t>MCHINTAM</t>
  </si>
  <si>
    <t>MSR_CHINTAMANI</t>
  </si>
  <si>
    <t>MSR_DEEPAKGO</t>
  </si>
  <si>
    <t>MSR_DEEPESH</t>
  </si>
  <si>
    <t>MSR_DHRUVMAHESHWARI</t>
  </si>
  <si>
    <t>MSR_ELOGIST_SOLUTIONS</t>
  </si>
  <si>
    <t>DANGAHUF</t>
  </si>
  <si>
    <t>MSR_F0_ROHITHUF</t>
  </si>
  <si>
    <t>MSR_MONA2_POS</t>
  </si>
  <si>
    <t>MSR_F14_AJITAG</t>
  </si>
  <si>
    <t>MSR_F20_CMOHON</t>
  </si>
  <si>
    <t>GOLDSMIT</t>
  </si>
  <si>
    <t>MSR_F20_GOLDSMIT</t>
  </si>
  <si>
    <t>INDRA151</t>
  </si>
  <si>
    <t>MSR_F5_INDRARATHI</t>
  </si>
  <si>
    <t>BHAL1985</t>
  </si>
  <si>
    <t>MSR_F7_BHALC</t>
  </si>
  <si>
    <t>MSR_F7_JYOTIB</t>
  </si>
  <si>
    <t>MSR_F7_NIMMI</t>
  </si>
  <si>
    <t>MDURGADS</t>
  </si>
  <si>
    <t>MSS_RENU2_POS</t>
  </si>
  <si>
    <t>MSR_GANDHALI</t>
  </si>
  <si>
    <t>PS acc/ Run on 5 days</t>
  </si>
  <si>
    <t>MSR_GINNI</t>
  </si>
  <si>
    <t>FIBRETEX</t>
  </si>
  <si>
    <t>MSR_GINNIFIBERTEX</t>
  </si>
  <si>
    <t>MSR_GINNIFT</t>
  </si>
  <si>
    <t>MSR_GINNITF</t>
  </si>
  <si>
    <t>MSR_GIRNAAR02</t>
  </si>
  <si>
    <t>NATH0020</t>
  </si>
  <si>
    <t>MSR_GIRRAJKHANDELWAL</t>
  </si>
  <si>
    <t>GTEXFABS</t>
  </si>
  <si>
    <t>MSR_GTEXFAB</t>
  </si>
  <si>
    <t>MGULSHAV</t>
  </si>
  <si>
    <t>MSR_GULSHANV</t>
  </si>
  <si>
    <t>MHARSHB2</t>
  </si>
  <si>
    <t>MSR_HARSHB</t>
  </si>
  <si>
    <t>parent_id</t>
  </si>
  <si>
    <t>FIX ML 30% ,(till further information) Running on 1cr as per VT Sir instruction</t>
  </si>
  <si>
    <t>broker</t>
  </si>
  <si>
    <t>hedge</t>
  </si>
  <si>
    <t>running</t>
  </si>
  <si>
    <t>MSR_HARSHVARDHAN</t>
  </si>
  <si>
    <t>exclude_sl</t>
  </si>
  <si>
    <t>HEMPRA52</t>
  </si>
  <si>
    <t>limit</t>
  </si>
  <si>
    <t>MSR_HEMPRA</t>
  </si>
  <si>
    <t>dealer</t>
  </si>
  <si>
    <t>proxy</t>
  </si>
  <si>
    <t>org</t>
  </si>
  <si>
    <t>logged_in</t>
  </si>
  <si>
    <t>MHITESHC</t>
  </si>
  <si>
    <t>monitor</t>
  </si>
  <si>
    <t>MSR_HITESH_CHAUDHARY</t>
  </si>
  <si>
    <t>client_id</t>
  </si>
  <si>
    <t>ops</t>
  </si>
  <si>
    <t>capital</t>
  </si>
  <si>
    <t>margin</t>
  </si>
  <si>
    <t>DEVA1957</t>
  </si>
  <si>
    <t>MSR_HITESHC</t>
  </si>
  <si>
    <t>MSEEMARA</t>
  </si>
  <si>
    <t>MSR_ASR5_INT</t>
  </si>
  <si>
    <t>current_max_loss</t>
  </si>
  <si>
    <t>FY261AP05__2</t>
  </si>
  <si>
    <t>DEALER_IIFL</t>
  </si>
  <si>
    <t>TRUE</t>
  </si>
  <si>
    <t>7RA1IL10</t>
  </si>
  <si>
    <t>MSR_INDALPHA</t>
  </si>
  <si>
    <t>-40000</t>
  </si>
  <si>
    <t>MSR_BHARNI2 _INT</t>
  </si>
  <si>
    <t>4000000</t>
  </si>
  <si>
    <t>60000</t>
  </si>
  <si>
    <r>
      <rPr>
        <rFont val="Calibri, sans-serif"/>
        <color rgb="FF1155CC"/>
        <sz val="11.0"/>
        <u/>
      </rPr>
      <t>http://fy261ap05:pass@10.124.0.17:11002</t>
    </r>
  </si>
  <si>
    <t>MSR_JAYAPAREEKK</t>
  </si>
  <si>
    <t>MSR_JYOTIBOJ</t>
  </si>
  <si>
    <t>megaserve</t>
  </si>
  <si>
    <t>MSR_KAILASHR</t>
  </si>
  <si>
    <t>F560HAP03__1</t>
  </si>
  <si>
    <t>-6000000</t>
  </si>
  <si>
    <t>11334455</t>
  </si>
  <si>
    <t>MSG_VBANSALH</t>
  </si>
  <si>
    <t>MSR_KAILASHRATHI</t>
  </si>
  <si>
    <t>20000000</t>
  </si>
  <si>
    <r>
      <rPr>
        <rFont val="Calibri, sans-serif"/>
        <color rgb="FF1155CC"/>
        <sz val="11.0"/>
        <u/>
      </rPr>
      <t>http://F560HAP03:pass@10.124.0.24:11002</t>
    </r>
  </si>
  <si>
    <t>MSR_KALPANAAG</t>
  </si>
  <si>
    <t>FY261AP09__1</t>
  </si>
  <si>
    <t>MSR_SUMAN_POS</t>
  </si>
  <si>
    <t>MSR_KALYANG</t>
  </si>
  <si>
    <r>
      <rPr>
        <rFont val="Calibri, sans-serif"/>
        <color rgb="FF1155CC"/>
        <sz val="11.0"/>
        <u/>
      </rPr>
      <t>http://fy261ap09:pass@10.124.0.24:11002</t>
    </r>
  </si>
  <si>
    <t>MKAVITAC</t>
  </si>
  <si>
    <t>MSR_KAVITACHAUDHARY</t>
  </si>
  <si>
    <t>LALA1108</t>
  </si>
  <si>
    <t>B7RA1KH60</t>
  </si>
  <si>
    <t>MSR_SJVJ1_INT</t>
  </si>
  <si>
    <t>MSR_KISHANPHUF</t>
  </si>
  <si>
    <t>FY261AP06__3</t>
  </si>
  <si>
    <t>-20000</t>
  </si>
  <si>
    <t>MSP_NEETUS_POS</t>
  </si>
  <si>
    <t>2000000</t>
  </si>
  <si>
    <t>MSR_LOKESHGARG</t>
  </si>
  <si>
    <r>
      <rPr>
        <rFont val="Calibri, sans-serif"/>
        <color rgb="FF1155CC"/>
        <sz val="11.0"/>
        <u/>
      </rPr>
      <t>http://fy261ap06:pass@10.124.0.17:11002</t>
    </r>
  </si>
  <si>
    <t>FY261AP01__3</t>
  </si>
  <si>
    <t>MSP_AMITP3_INT</t>
  </si>
  <si>
    <r>
      <rPr>
        <rFont val="Calibri, sans-serif"/>
        <color rgb="FF1155CC"/>
        <sz val="11.0"/>
        <u/>
      </rPr>
      <t>http://fy261ap01:pass@10.124.0.42:11002</t>
    </r>
  </si>
  <si>
    <t>MSR_LOYALKAV</t>
  </si>
  <si>
    <t>MSR_MAMTADEVI</t>
  </si>
  <si>
    <t>F560HAP01__1</t>
  </si>
  <si>
    <t>-1200000</t>
  </si>
  <si>
    <t>MMANJU60</t>
  </si>
  <si>
    <t>MSR_MANJU</t>
  </si>
  <si>
    <r>
      <rPr>
        <rFont val="Calibri, sans-serif"/>
        <color rgb="FF1155CC"/>
        <sz val="11.0"/>
        <u/>
      </rPr>
      <t>http://F560HAP01:pass@10.124.0.42:11002</t>
    </r>
  </si>
  <si>
    <t>04101961</t>
  </si>
  <si>
    <t>-1E+07</t>
  </si>
  <si>
    <t>not set</t>
  </si>
  <si>
    <t>BASANTGO</t>
  </si>
  <si>
    <t>MSR_BASANT_INT</t>
  </si>
  <si>
    <t>F560HAP01__3</t>
  </si>
  <si>
    <t>-3000000</t>
  </si>
  <si>
    <t>10000000</t>
  </si>
  <si>
    <r>
      <rPr>
        <rFont val="Calibri, sans-serif"/>
        <color rgb="FF1155CC"/>
        <sz val="11.0"/>
        <u/>
      </rPr>
      <t>http://F560HAP01:pass@10.124.0.42:11002</t>
    </r>
  </si>
  <si>
    <t>MSR_MEGASERV</t>
  </si>
  <si>
    <t>IIFL_2</t>
  </si>
  <si>
    <t>FALSE</t>
  </si>
  <si>
    <t>-1</t>
  </si>
  <si>
    <t>100</t>
  </si>
  <si>
    <t>MSR_MINAKASHI</t>
  </si>
  <si>
    <t>F560HAP01__2</t>
  </si>
  <si>
    <t>MMITALIJ</t>
  </si>
  <si>
    <t>-2400000</t>
  </si>
  <si>
    <t>MSR_MITALI_ASHOK_VYAS</t>
  </si>
  <si>
    <t>8000000</t>
  </si>
  <si>
    <r>
      <rPr>
        <rFont val="Calibri, sans-serif"/>
        <color rgb="FF1155CC"/>
        <sz val="11.0"/>
        <u/>
      </rPr>
      <t>http://F560HAP01:pass@10.124.0.42:11002</t>
    </r>
  </si>
  <si>
    <t>MSR_MJASVINC</t>
  </si>
  <si>
    <t>F560HAP01__4</t>
  </si>
  <si>
    <t>CC_BHADADAR_FIX_1CR_POS</t>
  </si>
  <si>
    <r>
      <rPr>
        <rFont val="Calibri, sans-serif"/>
        <color rgb="FF1155CC"/>
        <sz val="11.0"/>
        <u/>
      </rPr>
      <t>http://F560HAP01:pass@10.124.0.42:11002</t>
    </r>
  </si>
  <si>
    <t>MNATTRI1</t>
  </si>
  <si>
    <t>MSR_MNATTRI1</t>
  </si>
  <si>
    <t>MSR_MPAYAL</t>
  </si>
  <si>
    <t>ALOYALKA</t>
  </si>
  <si>
    <r>
      <rPr>
        <rFont val="Calibri, sans-serif"/>
        <color rgb="FF1155CC"/>
        <sz val="11.0"/>
        <u/>
      </rPr>
      <t>http://F560HAP01:pass@10.124.0.42:11002</t>
    </r>
  </si>
  <si>
    <t>MSN_ALOYALKA2_INT</t>
  </si>
  <si>
    <t>MPRATIKJ</t>
  </si>
  <si>
    <t>MSR_MPRATIKJ</t>
  </si>
  <si>
    <t>FY261AP06__1</t>
  </si>
  <si>
    <t>MSR_HEMPRA1_POS</t>
  </si>
  <si>
    <t>MPUSHPD2</t>
  </si>
  <si>
    <r>
      <rPr>
        <rFont val="Calibri, sans-serif"/>
        <color rgb="FF1155CC"/>
        <sz val="11.0"/>
        <u/>
      </rPr>
      <t>http://fy261ap06:pass@10.124.0.17:11002</t>
    </r>
  </si>
  <si>
    <t>MSR_MPUSHPAD</t>
  </si>
  <si>
    <t>MSR_F5_INDRARATHI_INT</t>
  </si>
  <si>
    <r>
      <rPr>
        <rFont val="Calibri, sans-serif"/>
        <color rgb="FF1155CC"/>
        <sz val="11.0"/>
        <u/>
      </rPr>
      <t>http://fy261ap05:pass@10.124.0.17:11002</t>
    </r>
  </si>
  <si>
    <t>MSR_MSOURBHS</t>
  </si>
  <si>
    <t>MSR_MT_ROHITD</t>
  </si>
  <si>
    <t>FY261AP05__4</t>
  </si>
  <si>
    <t>MSR_ABBASSIR_POS</t>
  </si>
  <si>
    <r>
      <rPr>
        <rFont val="Calibri, sans-serif"/>
        <color rgb="FF1155CC"/>
        <sz val="11.0"/>
        <u/>
      </rPr>
      <t>http://fy261ap05:pass@10.124.0.17:11002</t>
    </r>
  </si>
  <si>
    <t>MSR_NAMAND</t>
  </si>
  <si>
    <t>FY261AP06__2</t>
  </si>
  <si>
    <t>-60000</t>
  </si>
  <si>
    <t>MSP_LAXMM764_POS</t>
  </si>
  <si>
    <t>6000000</t>
  </si>
  <si>
    <t>MSR_NAND</t>
  </si>
  <si>
    <r>
      <rPr>
        <rFont val="Calibri, sans-serif"/>
        <color rgb="FF1155CC"/>
        <sz val="11.0"/>
        <u/>
      </rPr>
      <t>http://fy261ap06:pass@10.124.0.17:11002</t>
    </r>
  </si>
  <si>
    <t>MLALITAA</t>
  </si>
  <si>
    <t>MSR_AGNANI1_INT</t>
  </si>
  <si>
    <t>7RA110093</t>
  </si>
  <si>
    <t>-80000</t>
  </si>
  <si>
    <t>MSR_NAVEENAT</t>
  </si>
  <si>
    <t>FY261AP11__1</t>
  </si>
  <si>
    <t>MSR_NAVEENB</t>
  </si>
  <si>
    <t>-32000</t>
  </si>
  <si>
    <t>MSP_AMITP2_INT</t>
  </si>
  <si>
    <r>
      <rPr>
        <rFont val="Calibri, sans-serif"/>
        <color rgb="FF1155CC"/>
        <sz val="11.0"/>
        <u/>
      </rPr>
      <t>http://fy261ap11:pass@10.124.0.102:11002</t>
    </r>
  </si>
  <si>
    <t>MSR_NAVEENP</t>
  </si>
  <si>
    <t>FY261AP08__2</t>
  </si>
  <si>
    <t>MSR_NDAGA</t>
  </si>
  <si>
    <t>MSR_MSMELODIA3</t>
  </si>
  <si>
    <r>
      <rPr>
        <rFont val="Calibri, sans-serif"/>
        <color rgb="FF1155CC"/>
        <sz val="11.0"/>
        <u/>
      </rPr>
      <t>http://fy261ap08:pass@10.124.0.24:11002</t>
    </r>
  </si>
  <si>
    <t>MSR_NIHARIKA</t>
  </si>
  <si>
    <t>FY261AP10__2</t>
  </si>
  <si>
    <t>MSR_AJIT2_INT</t>
  </si>
  <si>
    <t>MSR_NILIMAJ</t>
  </si>
  <si>
    <r>
      <rPr>
        <rFont val="Calibri, sans-serif"/>
        <color rgb="FF1155CC"/>
        <sz val="11.0"/>
        <u/>
      </rPr>
      <t>http://fy261ap10:pass@10.124.0.102:11002</t>
    </r>
  </si>
  <si>
    <t>NITINK68</t>
  </si>
  <si>
    <t>MSHEENAM</t>
  </si>
  <si>
    <t>MSR_ABHISHT1_INT</t>
  </si>
  <si>
    <t>MSR_NITINK</t>
  </si>
  <si>
    <t>-3600000</t>
  </si>
  <si>
    <t>12000000</t>
  </si>
  <si>
    <t>MSR_NITINPHUF</t>
  </si>
  <si>
    <r>
      <rPr>
        <rFont val="Calibri, sans-serif"/>
        <color rgb="FF1155CC"/>
        <sz val="11.0"/>
        <u/>
      </rPr>
      <t>http://F560HAP01:pass@10.124.0.42:11002</t>
    </r>
  </si>
  <si>
    <t>PATUVENK</t>
  </si>
  <si>
    <t>MSR_PATUVENK</t>
  </si>
  <si>
    <t>MSP_AKSHATP_POS</t>
  </si>
  <si>
    <t>MPOOJAKP</t>
  </si>
  <si>
    <r>
      <rPr>
        <rFont val="Calibri, sans-serif"/>
        <color rgb="FF1155CC"/>
        <sz val="11.0"/>
        <u/>
      </rPr>
      <t>http://fy261ap05:pass@10.124.0.17:11002</t>
    </r>
  </si>
  <si>
    <t>MSR_POOJA</t>
  </si>
  <si>
    <t>MPRERNA9</t>
  </si>
  <si>
    <t>MSR_PRERNA_MODI</t>
  </si>
  <si>
    <r>
      <rPr>
        <rFont val="Calibri, sans-serif"/>
        <color rgb="FF1155CC"/>
        <sz val="11.0"/>
        <u/>
      </rPr>
      <t>http://F560HAP01:pass@10.124.0.42:11002</t>
    </r>
  </si>
  <si>
    <t>FY261AP05__3</t>
  </si>
  <si>
    <t>MSR_PRIYACHOUDHARY</t>
  </si>
  <si>
    <t>MSP_AMITAG_POS</t>
  </si>
  <si>
    <r>
      <rPr>
        <rFont val="Calibri, sans-serif"/>
        <color rgb="FF1155CC"/>
        <sz val="11.0"/>
        <u/>
      </rPr>
      <t>http://fy261ap05:pass@10.124.0.17:11002</t>
    </r>
  </si>
  <si>
    <t>MSR_R2SAXENA</t>
  </si>
  <si>
    <t>-163177</t>
  </si>
  <si>
    <t>ROOP1433</t>
  </si>
  <si>
    <t>MSR_RAASHISH</t>
  </si>
  <si>
    <t>MSR_DHEER1_INT</t>
  </si>
  <si>
    <r>
      <rPr>
        <rFont val="Calibri, sans-serif"/>
        <color rgb="FF1155CC"/>
        <sz val="11.0"/>
        <u/>
      </rPr>
      <t>http://F560HAP01:pass@10.124.0.42:11002</t>
    </r>
  </si>
  <si>
    <t>FY261AP08__1</t>
  </si>
  <si>
    <t>-100000</t>
  </si>
  <si>
    <t>MSR_PAREEKK2</t>
  </si>
  <si>
    <t>MSR_RAHULBHUF</t>
  </si>
  <si>
    <r>
      <rPr>
        <rFont val="Calibri, sans-serif"/>
        <color rgb="FF1155CC"/>
        <sz val="11.0"/>
        <u/>
      </rPr>
      <t>http://fy261ap08:pass@10.124.0.24:11002</t>
    </r>
  </si>
  <si>
    <t>FY261AP07__3</t>
  </si>
  <si>
    <t>MSR_RAJESHM_LTD</t>
  </si>
  <si>
    <t>MSP_AMITP5_3C</t>
  </si>
  <si>
    <r>
      <rPr>
        <rFont val="Calibri, sans-serif"/>
        <color rgb="FF1155CC"/>
        <sz val="11.0"/>
        <u/>
      </rPr>
      <t>http://fy261ap07:pass@10.124.0.17:11002</t>
    </r>
  </si>
  <si>
    <t>MRASHMI9</t>
  </si>
  <si>
    <t>MSR_RASHMI_AGGARWAL</t>
  </si>
  <si>
    <t>MRENUKAN</t>
  </si>
  <si>
    <t>MSR_RENUKANWAR</t>
  </si>
  <si>
    <t>MSP_AMIT9_3C</t>
  </si>
  <si>
    <t>MSR_RICHANK</t>
  </si>
  <si>
    <r>
      <rPr>
        <rFont val="Calibri, sans-serif"/>
        <color rgb="FF1155CC"/>
        <sz val="11.0"/>
        <u/>
      </rPr>
      <t>http://fy261ap08:pass@10.124.0.24:11002</t>
    </r>
  </si>
  <si>
    <t>AMRI2610</t>
  </si>
  <si>
    <t>MSR_RITESHAG</t>
  </si>
  <si>
    <t>FY261AP01__4</t>
  </si>
  <si>
    <t>-120000</t>
  </si>
  <si>
    <t>MSR_MSMELODIA6_INT</t>
  </si>
  <si>
    <r>
      <rPr>
        <rFont val="Calibri, sans-serif"/>
        <color rgb="FF1155CC"/>
        <sz val="11.0"/>
        <u/>
      </rPr>
      <t>http://fy261ap01:pass@10.124.0.42:11002</t>
    </r>
  </si>
  <si>
    <t>MSR_RITESHHUF</t>
  </si>
  <si>
    <t>ANAND568</t>
  </si>
  <si>
    <t>MSRF_ANAND</t>
  </si>
  <si>
    <t>MSR_RITESHS</t>
  </si>
  <si>
    <t>MSR_ROHITD</t>
  </si>
  <si>
    <t>MSP_AMITP10_INT</t>
  </si>
  <si>
    <r>
      <rPr>
        <rFont val="Calibri, sans-serif"/>
        <color rgb="FF1155CC"/>
        <sz val="11.0"/>
        <u/>
      </rPr>
      <t>http://fy261ap11:pass@10.124.0.102:11002</t>
    </r>
  </si>
  <si>
    <t>RONAKHUF</t>
  </si>
  <si>
    <t>MSR_RONAK_DHIRAJLAL_GANDHI_HUF</t>
  </si>
  <si>
    <t>FY261AP01__2</t>
  </si>
  <si>
    <t>-64000</t>
  </si>
  <si>
    <r>
      <rPr>
        <rFont val="Calibri, sans-serif"/>
        <color rgb="FF1155CC"/>
        <sz val="11.0"/>
        <u/>
      </rPr>
      <t>http://fy261ap01:pass@10.124.0.42:11002</t>
    </r>
  </si>
  <si>
    <t>MTANUJGA</t>
  </si>
  <si>
    <t>MSR_GSMITH1_INT</t>
  </si>
  <si>
    <t>RONAK807</t>
  </si>
  <si>
    <t>MSR_RONAKG</t>
  </si>
  <si>
    <t>-163086</t>
  </si>
  <si>
    <t>CCV_ANKITBAJ_FIX_1.4CR_POS</t>
  </si>
  <si>
    <t>MSR_RUTVICH</t>
  </si>
  <si>
    <r>
      <rPr>
        <rFont val="Calibri, sans-serif"/>
        <color rgb="FF1155CC"/>
        <sz val="11.0"/>
        <u/>
      </rPr>
      <t>http://F560HAP01:pass@10.124.0.42:11002</t>
    </r>
  </si>
  <si>
    <t>RYSLTD10</t>
  </si>
  <si>
    <t>MSR_RYSLTD</t>
  </si>
  <si>
    <t>MSP_ANKITAMIT_POS</t>
  </si>
  <si>
    <r>
      <rPr>
        <rFont val="Calibri, sans-serif"/>
        <color rgb="FF1155CC"/>
        <sz val="11.0"/>
        <u/>
      </rPr>
      <t>http://fy261ap06:pass@10.124.0.17:11002</t>
    </r>
  </si>
  <si>
    <t>MSR_RYSLTD_NOREN</t>
  </si>
  <si>
    <t>-111042</t>
  </si>
  <si>
    <t>MSR_SANJAYMAM</t>
  </si>
  <si>
    <r>
      <rPr>
        <rFont val="Calibri, sans-serif"/>
        <color rgb="FF1155CC"/>
        <sz val="11.0"/>
        <u/>
      </rPr>
      <t>http://F560HAP01:pass@10.124.0.42:11002</t>
    </r>
  </si>
  <si>
    <t>MSR_SANJAYMEHTA</t>
  </si>
  <si>
    <t>MSP_MANKITAG_INT</t>
  </si>
  <si>
    <t>MSANDEEJ</t>
  </si>
  <si>
    <t>MSR_SANJEEV</t>
  </si>
  <si>
    <r>
      <rPr>
        <rFont val="Calibri, sans-serif"/>
        <color rgb="FF1155CC"/>
        <sz val="11.0"/>
        <u/>
      </rPr>
      <t>http://fy261ap01:pass@10.124.0.42:11002</t>
    </r>
  </si>
  <si>
    <t>MSAURJ02</t>
  </si>
  <si>
    <t>MSR_SAOURBH</t>
  </si>
  <si>
    <t>FY261AP09__2</t>
  </si>
  <si>
    <t>MSP_ANNAPURNA_POS</t>
  </si>
  <si>
    <r>
      <rPr>
        <rFont val="Calibri, sans-serif"/>
        <color rgb="FF1155CC"/>
        <sz val="11.0"/>
        <u/>
      </rPr>
      <t>http://fy261ap09:pass@10.124.0.24:11002</t>
    </r>
  </si>
  <si>
    <t>MSAPNAM3</t>
  </si>
  <si>
    <t>MSR_SAPNA_MEHTA</t>
  </si>
  <si>
    <t>FY261AP10__4</t>
  </si>
  <si>
    <t>MSR_SHANTIDEVI</t>
  </si>
  <si>
    <r>
      <rPr>
        <rFont val="Calibri, sans-serif"/>
        <color rgb="FF1155CC"/>
        <sz val="11.0"/>
        <u/>
      </rPr>
      <t>http://fy261ap10:pass@10.124.0.102:11002</t>
    </r>
  </si>
  <si>
    <t>MSR_KAPOOR2_INT</t>
  </si>
  <si>
    <t>MSR_SHILPIBANSAL</t>
  </si>
  <si>
    <t>SHIVAAM0</t>
  </si>
  <si>
    <t>MSR_SHIVAM</t>
  </si>
  <si>
    <t>SEMA0904</t>
  </si>
  <si>
    <t>MSR_SHYAMGO</t>
  </si>
  <si>
    <t>FY261AP08__4</t>
  </si>
  <si>
    <t>MSR_APOORVG_POS</t>
  </si>
  <si>
    <r>
      <rPr>
        <rFont val="Calibri, sans-serif"/>
        <color rgb="FF1155CC"/>
        <sz val="11.0"/>
        <u/>
      </rPr>
      <t>http://fy261ap08:pass@10.124.0.24:11002</t>
    </r>
  </si>
  <si>
    <t>SSGHUF07</t>
  </si>
  <si>
    <t>MSR_SHYAMSG</t>
  </si>
  <si>
    <t>-1800000</t>
  </si>
  <si>
    <t>MSR_SIDDHARTH</t>
  </si>
  <si>
    <r>
      <rPr>
        <rFont val="Calibri, sans-serif"/>
        <color rgb="FF1155CC"/>
        <sz val="11.0"/>
        <u/>
      </rPr>
      <t>http://F560HAP01:pass@10.124.0.42:11002</t>
    </r>
  </si>
  <si>
    <t>MSR_SRPROTEIN</t>
  </si>
  <si>
    <t>MSR_SUBODHKG</t>
  </si>
  <si>
    <r>
      <rPr>
        <rFont val="Calibri, sans-serif"/>
        <color rgb="FF1155CC"/>
        <sz val="11.0"/>
        <u/>
      </rPr>
      <t>http://fy261ap06:pass@10.124.0.17:11002</t>
    </r>
  </si>
  <si>
    <t>MSR_SUCHITAD</t>
  </si>
  <si>
    <t>MSP_AMITP6_3C</t>
  </si>
  <si>
    <r>
      <rPr>
        <rFont val="Calibri, sans-serif"/>
        <color rgb="FF1155CC"/>
        <sz val="11.0"/>
        <u/>
      </rPr>
      <t>http://fy261ap07:pass@10.124.0.17:11002</t>
    </r>
  </si>
  <si>
    <t>SUDAR526</t>
  </si>
  <si>
    <t>MSR_SUDAR</t>
  </si>
  <si>
    <t>MADITIAG</t>
  </si>
  <si>
    <t>MSS_SSGUPTA6_INT</t>
  </si>
  <si>
    <t>MSR_ARYAMAN_POS</t>
  </si>
  <si>
    <r>
      <rPr>
        <rFont val="Calibri, sans-serif"/>
        <color rgb="FF1155CC"/>
        <sz val="11.0"/>
        <u/>
      </rPr>
      <t>http://fy261ap06:pass@10.124.0.17:11002</t>
    </r>
  </si>
  <si>
    <t>R7RA1262</t>
  </si>
  <si>
    <t>MSR_SUDARSHAN</t>
  </si>
  <si>
    <t>MSR_SUNITAD</t>
  </si>
  <si>
    <t>MSR_SURAJMT</t>
  </si>
  <si>
    <t>MSR_SUSHIL</t>
  </si>
  <si>
    <t>MSR_RAASHISH_POS</t>
  </si>
  <si>
    <r>
      <rPr>
        <rFont val="Calibri, sans-serif"/>
        <color rgb="FF1155CC"/>
        <sz val="11.0"/>
        <u/>
      </rPr>
      <t>http://fy261ap06:pass@10.124.0.17:11002</t>
    </r>
  </si>
  <si>
    <t>MSR_TANUJGRG</t>
  </si>
  <si>
    <t>FY261AP07__1</t>
  </si>
  <si>
    <t>MSP_AMITP4_INT</t>
  </si>
  <si>
    <t>7RA110118</t>
  </si>
  <si>
    <t>MSR_TEJKAUR</t>
  </si>
  <si>
    <r>
      <rPr>
        <rFont val="Calibri, sans-serif"/>
        <color rgb="FF1155CC"/>
        <sz val="11.0"/>
        <u/>
      </rPr>
      <t>http://fy261ap07:pass@10.124.0.17:11002</t>
    </r>
  </si>
  <si>
    <t>MSR_TRIPTIMAHESHWARI</t>
  </si>
  <si>
    <t>7RA110079</t>
  </si>
  <si>
    <t>MSR_URMILAS</t>
  </si>
  <si>
    <t>-1000000</t>
  </si>
  <si>
    <t>5</t>
  </si>
  <si>
    <t>1000000</t>
  </si>
  <si>
    <t>45812094</t>
  </si>
  <si>
    <t>MSR_VEDANTL</t>
  </si>
  <si>
    <t>MSR_YOGESH</t>
  </si>
  <si>
    <t>CCV_BHARATINIL_POS</t>
  </si>
  <si>
    <t>R7RA1253</t>
  </si>
  <si>
    <t>MSR_YOGESHC</t>
  </si>
  <si>
    <r>
      <rPr>
        <rFont val="Calibri, sans-serif"/>
        <color rgb="FF1155CC"/>
        <sz val="11.0"/>
        <u/>
      </rPr>
      <t>http://F560HAP01:pass@10.124.0.42:11002</t>
    </r>
  </si>
  <si>
    <t>MADHU10</t>
  </si>
  <si>
    <t>MSR120_RAHULMOM</t>
  </si>
  <si>
    <t>MSR_AJATSAT_POS</t>
  </si>
  <si>
    <r>
      <rPr>
        <rFont val="Calibri, sans-serif"/>
        <color rgb="FF1155CC"/>
        <sz val="11.0"/>
        <u/>
      </rPr>
      <t>http://fy261ap05:pass@10.124.0.17:11002</t>
    </r>
  </si>
  <si>
    <t>"MSR350_F12_ASHISHM"</t>
  </si>
  <si>
    <t>F560HAP03__2</t>
  </si>
  <si>
    <t>MSR60_AJITHUF</t>
  </si>
  <si>
    <r>
      <rPr>
        <rFont val="Calibri, sans-serif"/>
        <color rgb="FF1155CC"/>
        <sz val="11.0"/>
        <u/>
      </rPr>
      <t>http://F560HAP03:pass@10.124.0.24:11002</t>
    </r>
  </si>
  <si>
    <t>MSP_PRERNA_MODI_INT</t>
  </si>
  <si>
    <t>MSR60_F7_GAURAVG</t>
  </si>
  <si>
    <t>MSR_GSMITH2_POS</t>
  </si>
  <si>
    <r>
      <rPr>
        <rFont val="Calibri, sans-serif"/>
        <color rgb="FF1155CC"/>
        <sz val="11.0"/>
        <u/>
      </rPr>
      <t>http://fy261ap05:pass@10.124.0.17:11002</t>
    </r>
  </si>
  <si>
    <t>GIRIROJK</t>
  </si>
  <si>
    <t>MSR60F_F3_GIRIRAJK</t>
  </si>
  <si>
    <t>MSR70_SAURABHB</t>
  </si>
  <si>
    <r>
      <rPr>
        <rFont val="Calibri, sans-serif"/>
        <color rgb="FF1155CC"/>
        <sz val="11.0"/>
        <u/>
      </rPr>
      <t>http://fy261ap08:pass@10.124.0.24:11002</t>
    </r>
  </si>
  <si>
    <t>7RA110092</t>
  </si>
  <si>
    <t>MSRF_ARHAM</t>
  </si>
  <si>
    <r>
      <rPr>
        <rFont val="Calibri, sans-serif"/>
        <color rgb="FF1155CC"/>
        <sz val="11.0"/>
        <u/>
      </rPr>
      <t>http://fy261ap01:pass@10.124.0.42:11002</t>
    </r>
  </si>
  <si>
    <t>MSRF_BENUPRABHA</t>
  </si>
  <si>
    <r>
      <rPr>
        <rFont val="Calibri, sans-serif"/>
        <color rgb="FF1155CC"/>
        <sz val="11.0"/>
        <u/>
      </rPr>
      <t>http://fy261ap06:pass@10.124.0.17:11002</t>
    </r>
  </si>
  <si>
    <t>U3</t>
  </si>
  <si>
    <t>MSRF_CHOICE_RAJENDRA</t>
  </si>
  <si>
    <t>Choice</t>
  </si>
  <si>
    <t>MSR_DEVAC1_INT</t>
  </si>
  <si>
    <r>
      <rPr>
        <rFont val="Calibri, sans-serif"/>
        <color rgb="FF1155CC"/>
        <sz val="11.0"/>
        <u/>
      </rPr>
      <t>http://fy261ap05:pass@10.124.0.17:11002</t>
    </r>
  </si>
  <si>
    <t>DHIR1433</t>
  </si>
  <si>
    <t>MSRF_DHEER</t>
  </si>
  <si>
    <t>MSR_MEHTA1_INT</t>
  </si>
  <si>
    <r>
      <rPr>
        <rFont val="Calibri, sans-serif"/>
        <color rgb="FF1155CC"/>
        <sz val="11.0"/>
        <u/>
      </rPr>
      <t>http://F560HAP01:pass@10.124.0.42:11002</t>
    </r>
  </si>
  <si>
    <t>MSRF_F0_SUCHITAD</t>
  </si>
  <si>
    <t>MSR_DHEER2_INT</t>
  </si>
  <si>
    <t>MSRF_F1_ADITIS</t>
  </si>
  <si>
    <r>
      <rPr>
        <rFont val="Calibri, sans-serif"/>
        <color rgb="FF1155CC"/>
        <sz val="11.0"/>
        <u/>
      </rPr>
      <t>http://fy261ap05:pass@10.124.0.17:11002</t>
    </r>
  </si>
  <si>
    <t>MSRF_F1_AMRISHS</t>
  </si>
  <si>
    <t>MSP_DIVYAT_POS</t>
  </si>
  <si>
    <r>
      <rPr>
        <rFont val="Calibri, sans-serif"/>
        <color rgb="FF1155CC"/>
        <sz val="11.0"/>
        <u/>
      </rPr>
      <t>http://fy261ap06:pass@10.124.0.17:11002</t>
    </r>
  </si>
  <si>
    <t>MANIS407</t>
  </si>
  <si>
    <t>MSRF_F1_MANISS</t>
  </si>
  <si>
    <t>MSR_GAURAVG_POS</t>
  </si>
  <si>
    <t>SHILPI25</t>
  </si>
  <si>
    <t>MSRF_F1_SHILPI</t>
  </si>
  <si>
    <r>
      <rPr>
        <rFont val="Calibri, sans-serif"/>
        <color rgb="FF1155CC"/>
        <sz val="11.0"/>
        <u/>
      </rPr>
      <t>http://fy261ap09:pass@10.124.0.24:11002</t>
    </r>
  </si>
  <si>
    <t>FY261AP10__1</t>
  </si>
  <si>
    <t>MSRF_F3_URMILAGIRIRAJK</t>
  </si>
  <si>
    <t>-48000</t>
  </si>
  <si>
    <t>MSR_NATH1_FIX_1CR_INT</t>
  </si>
  <si>
    <r>
      <rPr>
        <rFont val="Calibri, sans-serif"/>
        <color rgb="FF1155CC"/>
        <sz val="11.0"/>
        <u/>
      </rPr>
      <t>http://fy261ap10:pass@10.124.0.102:11002</t>
    </r>
  </si>
  <si>
    <t>MSRF_F4_VIJETAL</t>
  </si>
  <si>
    <t>MSR_GIRNAAR3_POS</t>
  </si>
  <si>
    <t>MSP_AMITP1_INT</t>
  </si>
  <si>
    <r>
      <rPr>
        <rFont val="Calibri, sans-serif"/>
        <color rgb="FF1155CC"/>
        <sz val="11.0"/>
        <u/>
      </rPr>
      <t>http://fy261ap06:pass@10.124.0.17:11002</t>
    </r>
  </si>
  <si>
    <t>MSRF_F4_VIVEKL</t>
  </si>
  <si>
    <r>
      <rPr>
        <rFont val="Calibri, sans-serif"/>
        <color rgb="FF1155CC"/>
        <sz val="11.0"/>
        <u/>
      </rPr>
      <t>http://F560HAP01:pass@10.124.0.42:11002</t>
    </r>
  </si>
  <si>
    <t>MSRF_F6_DEEPTIG</t>
  </si>
  <si>
    <t>MSRF_F6_SANJAYG</t>
  </si>
  <si>
    <t>MSP_PHAGARWA_POS</t>
  </si>
  <si>
    <t>SARI2306</t>
  </si>
  <si>
    <t>MSRF_F6_SARIKAG</t>
  </si>
  <si>
    <r>
      <rPr>
        <rFont val="Calibri, sans-serif"/>
        <color rgb="FF1155CC"/>
        <sz val="11.0"/>
        <u/>
      </rPr>
      <t>http://fy261ap06:pass@10.124.0.17:11002</t>
    </r>
  </si>
  <si>
    <t>MSRF_F6_VIVEKG</t>
  </si>
  <si>
    <t>MSP_HARSHBS_INT</t>
  </si>
  <si>
    <r>
      <rPr>
        <rFont val="Calibri, sans-serif"/>
        <color rgb="FF1155CC"/>
        <sz val="11.0"/>
        <u/>
      </rPr>
      <t>http://fy261ap01:pass@10.124.0.42:11002</t>
    </r>
  </si>
  <si>
    <t>MSRF_GIRNAARMT</t>
  </si>
  <si>
    <t>CCV_HARSHT_INT</t>
  </si>
  <si>
    <t>MSRF_HUFANUBH</t>
  </si>
  <si>
    <r>
      <rPr>
        <rFont val="Calibri, sans-serif"/>
        <color rgb="FF1155CC"/>
        <sz val="11.0"/>
        <u/>
      </rPr>
      <t>http://F560HAP01:pass@10.124.0.42:11002</t>
    </r>
  </si>
  <si>
    <t>MSRF_KUSHAGRAMT</t>
  </si>
  <si>
    <t>MSR_HEMPRA2_POS</t>
  </si>
  <si>
    <r>
      <rPr>
        <rFont val="Calibri, sans-serif"/>
        <color rgb="FF1155CC"/>
        <sz val="11.0"/>
        <u/>
      </rPr>
      <t>http://fy261ap05:pass@10.124.0.17:11002</t>
    </r>
  </si>
  <si>
    <t>MSRF_LAMBAANU</t>
  </si>
  <si>
    <t>MADHU344</t>
  </si>
  <si>
    <t>MSRF_MADHU344</t>
  </si>
  <si>
    <t>7RA1MH88</t>
  </si>
  <si>
    <t>MSRF_MANISHHUF</t>
  </si>
  <si>
    <t>MSP_ISHA_POS</t>
  </si>
  <si>
    <t>MSRF_MPAGRAWAL</t>
  </si>
  <si>
    <r>
      <rPr>
        <rFont val="Calibri, sans-serif"/>
        <color rgb="FF1155CC"/>
        <sz val="11.0"/>
        <u/>
      </rPr>
      <t>http://fy261ap05:pass@10.124.0.17:11002</t>
    </r>
  </si>
  <si>
    <t>95459426</t>
  </si>
  <si>
    <t>MSRF_NITIKAJ_SONTY</t>
  </si>
  <si>
    <t>MSR_MJASVINC_POS</t>
  </si>
  <si>
    <r>
      <rPr>
        <rFont val="Calibri, sans-serif"/>
        <color rgb="FF1155CC"/>
        <sz val="11.0"/>
        <u/>
      </rPr>
      <t>http://fy261ap06:pass@10.124.0.17:11002</t>
    </r>
  </si>
  <si>
    <t>PIYA2311</t>
  </si>
  <si>
    <t>MSRF_PIYAJH</t>
  </si>
  <si>
    <r>
      <rPr>
        <rFont val="Calibri, sans-serif"/>
        <color rgb="FF1155CC"/>
        <sz val="11.0"/>
        <u/>
      </rPr>
      <t>http://F560HAP01:pass@10.124.0.42:11002</t>
    </r>
  </si>
  <si>
    <t>PSIDDASS</t>
  </si>
  <si>
    <t>MSP_SIDDHARTH_INT</t>
  </si>
  <si>
    <t>POOJA757</t>
  </si>
  <si>
    <t>MSRF_POOJAR</t>
  </si>
  <si>
    <r>
      <rPr>
        <rFont val="Calibri, sans-serif"/>
        <color rgb="FF1155CC"/>
        <sz val="11.0"/>
        <u/>
      </rPr>
      <t>http://F560HAP01:pass@10.124.0.42:11002</t>
    </r>
  </si>
  <si>
    <t>MSRF_RAHULG_HUF</t>
  </si>
  <si>
    <t>-1.3E+07</t>
  </si>
  <si>
    <t>MSRF_ROOPA</t>
  </si>
  <si>
    <t>42000000</t>
  </si>
  <si>
    <r>
      <rPr>
        <rFont val="Calibri, sans-serif"/>
        <color rgb="FF1155CC"/>
        <sz val="11.0"/>
        <u/>
      </rPr>
      <t>http://F560HAP01:pass@10.124.0.42:11002</t>
    </r>
  </si>
  <si>
    <t>MSRF_SHREYAB</t>
  </si>
  <si>
    <t>MSR_BHOJWANI1_POS</t>
  </si>
  <si>
    <t>MSRF_SHRUTIL</t>
  </si>
  <si>
    <r>
      <rPr>
        <rFont val="Calibri, sans-serif"/>
        <color rgb="FF1155CC"/>
        <sz val="11.0"/>
        <u/>
      </rPr>
      <t>http://fy261ap09:pass@10.124.0.24:11002</t>
    </r>
  </si>
  <si>
    <t>MSRF_SJVJ</t>
  </si>
  <si>
    <r>
      <rPr>
        <rFont val="Calibri, sans-serif"/>
        <color rgb="FF1155CC"/>
        <sz val="11.0"/>
        <u/>
      </rPr>
      <t>http://fy261ap08:pass@10.124.0.24:11002</t>
    </r>
  </si>
  <si>
    <t>ADHISH03</t>
  </si>
  <si>
    <t>MSR_BALDEEP1_INT</t>
  </si>
  <si>
    <t>MSRF_SUMAN</t>
  </si>
  <si>
    <r>
      <rPr>
        <rFont val="Calibri, sans-serif"/>
        <color rgb="FF1155CC"/>
        <sz val="11.0"/>
        <u/>
      </rPr>
      <t>http://F560HAP01:pass@10.124.0.42:11002</t>
    </r>
  </si>
  <si>
    <t>7RA110113</t>
  </si>
  <si>
    <t>MSRF_TARUNAAG</t>
  </si>
  <si>
    <t>11951718</t>
  </si>
  <si>
    <t>TSC1</t>
  </si>
  <si>
    <t>MSRF_TRADESWIFT1</t>
  </si>
  <si>
    <t>MSRF_TRISHALA</t>
  </si>
  <si>
    <t>MSP_MKIRTI_POS</t>
  </si>
  <si>
    <r>
      <rPr>
        <rFont val="Calibri, sans-serif"/>
        <color rgb="FF1155CC"/>
        <sz val="11.0"/>
        <u/>
      </rPr>
      <t>http://fy261ap06:pass@10.124.0.17:11002</t>
    </r>
  </si>
  <si>
    <t>MSRF_VARSHAC</t>
  </si>
  <si>
    <t>-163080</t>
  </si>
  <si>
    <t>MSRF_VEDANGI</t>
  </si>
  <si>
    <r>
      <rPr>
        <rFont val="Calibri, sans-serif"/>
        <color rgb="FF1155CC"/>
        <sz val="11.0"/>
        <u/>
      </rPr>
      <t>http://F560HAP01:pass@10.124.0.42:11002</t>
    </r>
  </si>
  <si>
    <t>MSRF_VINEET</t>
  </si>
  <si>
    <r>
      <rPr>
        <rFont val="Calibri, sans-serif"/>
        <color rgb="FF1155CC"/>
        <sz val="11.0"/>
        <u/>
      </rPr>
      <t>http://F560HAP01:pass@10.124.0.42:11002</t>
    </r>
  </si>
  <si>
    <t>MSRF_VIVEKJ</t>
  </si>
  <si>
    <t>MSR_DAGA1_INT</t>
  </si>
  <si>
    <t>MSRF_VIVEKT</t>
  </si>
  <si>
    <r>
      <rPr>
        <rFont val="Calibri, sans-serif"/>
        <color rgb="FF1155CC"/>
        <sz val="11.0"/>
        <u/>
      </rPr>
      <t>http://F560HAP01:pass@10.124.0.42:11002</t>
    </r>
  </si>
  <si>
    <t>MSRF1CR_MRISHIMA</t>
  </si>
  <si>
    <t>MSR_YOGESH3_INT</t>
  </si>
  <si>
    <t>7RA1AH60</t>
  </si>
  <si>
    <t>MSS_ANILMALIKHUF</t>
  </si>
  <si>
    <r>
      <rPr>
        <rFont val="Calibri, sans-serif"/>
        <color rgb="FF1155CC"/>
        <sz val="11.0"/>
        <u/>
      </rPr>
      <t>http://fy261ap10:pass@10.124.0.102:11002</t>
    </r>
  </si>
  <si>
    <t>11041676</t>
  </si>
  <si>
    <t>MSS_GCL_CLI4</t>
  </si>
  <si>
    <t>ZPRO</t>
  </si>
  <si>
    <t>MSS_GCLPRO</t>
  </si>
  <si>
    <t>GCLBroking</t>
  </si>
  <si>
    <t>MSR_MSMELODIA2_INT</t>
  </si>
  <si>
    <r>
      <rPr>
        <rFont val="Calibri, sans-serif"/>
        <color rgb="FF1155CC"/>
        <sz val="11.0"/>
        <u/>
      </rPr>
      <t>http://fy261ap05:pass@10.124.0.17:11002</t>
    </r>
  </si>
  <si>
    <t>MSS_KIRAN</t>
  </si>
  <si>
    <t>-56000</t>
  </si>
  <si>
    <t>MSS_MANOJG</t>
  </si>
  <si>
    <t>MARHATAK</t>
  </si>
  <si>
    <t>MSS_MANOJ_KUMAR_GUPTA_POS</t>
  </si>
  <si>
    <t>MSN_NK_KOTHARI2_INT</t>
  </si>
  <si>
    <r>
      <rPr>
        <rFont val="Calibri, sans-serif"/>
        <color rgb="FF1155CC"/>
        <sz val="11.0"/>
        <u/>
      </rPr>
      <t>http://fy261ap06:pass@10.124.0.17:11002</t>
    </r>
  </si>
  <si>
    <t>R7RA1277</t>
  </si>
  <si>
    <t>MSS_SEEMAGUPTA</t>
  </si>
  <si>
    <t>CCV_MAHESHB_POS</t>
  </si>
  <si>
    <r>
      <rPr>
        <rFont val="Calibri, sans-serif"/>
        <color rgb="FF1155CC"/>
        <sz val="11.0"/>
        <u/>
      </rPr>
      <t>http://F560HAP01:pass@10.124.0.42:11002</t>
    </r>
  </si>
  <si>
    <t>7RA110101</t>
  </si>
  <si>
    <t>MSS_VANDANADC</t>
  </si>
  <si>
    <r>
      <rPr>
        <rFont val="Calibri, sans-serif"/>
        <color rgb="FF1155CC"/>
        <sz val="11.0"/>
        <u/>
      </rPr>
      <t>http://F560HAP01:pass@10.124.0.42:11002</t>
    </r>
  </si>
  <si>
    <t>MAJAYM02</t>
  </si>
  <si>
    <t>MSV_AJAYT</t>
  </si>
  <si>
    <t>-4800000</t>
  </si>
  <si>
    <t>16000000</t>
  </si>
  <si>
    <r>
      <rPr>
        <rFont val="Calibri, sans-serif"/>
        <color rgb="FF1155CC"/>
        <sz val="11.0"/>
        <u/>
      </rPr>
      <t>http://F560HAP01:pass@10.124.0.42:11002</t>
    </r>
  </si>
  <si>
    <t>MSV_AKANSHA</t>
  </si>
  <si>
    <t>MSV_AMIT</t>
  </si>
  <si>
    <t>MSV_AMITBANSAL</t>
  </si>
  <si>
    <t>MBHANDAR</t>
  </si>
  <si>
    <t>MSN_UMESH_UTTAMRAJ_BHANDARI_INT</t>
  </si>
  <si>
    <r>
      <rPr>
        <rFont val="Calibri, sans-serif"/>
        <color rgb="FF1155CC"/>
        <sz val="11.0"/>
        <u/>
      </rPr>
      <t>http://F560HAP01:pass@10.124.0.42:11002</t>
    </r>
  </si>
  <si>
    <t>77512806</t>
  </si>
  <si>
    <t>MSV_ANISHB</t>
  </si>
  <si>
    <t>FY261AP05__1</t>
  </si>
  <si>
    <t>MSR_KABRA1_INT</t>
  </si>
  <si>
    <t>MSV_KALPESHV</t>
  </si>
  <si>
    <r>
      <rPr>
        <rFont val="Calibri, sans-serif"/>
        <color rgb="FF1155CC"/>
        <sz val="11.0"/>
        <u/>
      </rPr>
      <t>http://fy261ap05:pass@10.124.0.17:11002</t>
    </r>
  </si>
  <si>
    <t>MSV_MILIND</t>
  </si>
  <si>
    <t>-42000</t>
  </si>
  <si>
    <t>NPCC03</t>
  </si>
  <si>
    <t>MSP_MEETARAJP_POS</t>
  </si>
  <si>
    <r>
      <rPr>
        <rFont val="Calibri, sans-serif"/>
        <color rgb="FF1155CC"/>
        <sz val="11.0"/>
        <u/>
      </rPr>
      <t>http://fy261ap09:pass@10.124.0.24:11002</t>
    </r>
  </si>
  <si>
    <t>NSPCC04</t>
  </si>
  <si>
    <t>RM_NARENS</t>
  </si>
  <si>
    <r>
      <rPr>
        <rFont val="Calibri, sans-serif"/>
        <color rgb="FF1155CC"/>
        <sz val="11.0"/>
        <u/>
      </rPr>
      <t>http://F560HAP01:pass@10.124.0.42:11002</t>
    </r>
  </si>
  <si>
    <t>RM_YOGESHS</t>
  </si>
  <si>
    <t>CCV_SOMINJ_POS</t>
  </si>
  <si>
    <t>VIVEK_THEBARIA</t>
  </si>
  <si>
    <r>
      <rPr>
        <rFont val="Calibri, sans-serif"/>
        <color rgb="FF1155CC"/>
        <sz val="11.0"/>
        <u/>
      </rPr>
      <t>http://F560HAP01:pass@10.124.0.42:11002</t>
    </r>
  </si>
  <si>
    <t>FY261AP09__4</t>
  </si>
  <si>
    <t>-163126</t>
  </si>
  <si>
    <t>MSWATIJ3</t>
  </si>
  <si>
    <t>MSR_SWATI_JAIN</t>
  </si>
  <si>
    <r>
      <rPr>
        <rFont val="Calibri, sans-serif"/>
        <color rgb="FF1155CC"/>
        <sz val="11.0"/>
        <u/>
      </rPr>
      <t>http://fy261ap09:pass@10.124.0.24:11002</t>
    </r>
  </si>
  <si>
    <t>MSR_SANGHI</t>
  </si>
  <si>
    <r>
      <rPr>
        <rFont val="Calibri, sans-serif"/>
        <color rgb="FF1155CC"/>
        <sz val="11.0"/>
        <u/>
      </rPr>
      <t>http://fy261ap01:pass@10.124.0.42:11002</t>
    </r>
  </si>
  <si>
    <t>MRENUJ02</t>
  </si>
  <si>
    <t>MSR_RENU JAIN</t>
  </si>
  <si>
    <t>MSR_REWA_CHINTAMANI</t>
  </si>
  <si>
    <t>ANKITB29</t>
  </si>
  <si>
    <t>MSR_ANKIT_BANSAL</t>
  </si>
  <si>
    <t>MSP_NARESHT_POS</t>
  </si>
  <si>
    <r>
      <rPr>
        <rFont val="Calibri, sans-serif"/>
        <color rgb="FF1155CC"/>
        <sz val="11.0"/>
        <u/>
      </rPr>
      <t>http://fy261ap06:pass@10.124.0.17:11002</t>
    </r>
  </si>
  <si>
    <t>MSR_VINAYAK GATTANI (HUF)</t>
  </si>
  <si>
    <t>MSR_NAVEENB_POS</t>
  </si>
  <si>
    <t>RAMYA009</t>
  </si>
  <si>
    <t>MSR_VineetSachdeva</t>
  </si>
  <si>
    <t>MSR_RAMYAMANASA_INT</t>
  </si>
  <si>
    <r>
      <rPr>
        <rFont val="Calibri, sans-serif"/>
        <color rgb="FF1155CC"/>
        <sz val="11.0"/>
        <u/>
      </rPr>
      <t>http://fy261ap06:pass@10.124.0.17:11002</t>
    </r>
  </si>
  <si>
    <t>MSR_ASR_ENTERPRISES</t>
  </si>
  <si>
    <r>
      <rPr>
        <rFont val="Calibri, sans-serif"/>
        <color rgb="FF1155CC"/>
        <sz val="11.0"/>
        <u/>
      </rPr>
      <t>http://fy261ap10:pass@10.124.0.102:11002</t>
    </r>
  </si>
  <si>
    <t>ZZJ13791</t>
  </si>
  <si>
    <t>DLL10962</t>
  </si>
  <si>
    <r>
      <rPr>
        <rFont val="Calibri, sans-serif"/>
        <color rgb="FF1155CC"/>
        <sz val="11.0"/>
        <u/>
      </rPr>
      <t>http://F560HAP01:pass@10.124.0.42:11002</t>
    </r>
  </si>
  <si>
    <t>MSP_A1_GCLPRO</t>
  </si>
  <si>
    <t>MSR_DIGVIJAY1_INT</t>
  </si>
  <si>
    <r>
      <rPr>
        <rFont val="Calibri, sans-serif"/>
        <color rgb="FF1155CC"/>
        <sz val="11.0"/>
        <u/>
      </rPr>
      <t>http://fy261ap07:pass@10.124.0.17:11002</t>
    </r>
  </si>
  <si>
    <t>GSPL11</t>
  </si>
  <si>
    <t>A8_GSPL_1</t>
  </si>
  <si>
    <t>MSR_SHWETA AGARWAL</t>
  </si>
  <si>
    <t>MMANUJG7</t>
  </si>
  <si>
    <t>MSR_MANUJ GUPTA</t>
  </si>
  <si>
    <r>
      <rPr>
        <rFont val="Calibri, sans-serif"/>
        <color rgb="FF1155CC"/>
        <sz val="11.0"/>
        <u/>
      </rPr>
      <t>http://fy261ap01:pass@10.124.0.42:11002</t>
    </r>
  </si>
  <si>
    <t>MSV_NIRAJDESAI</t>
  </si>
  <si>
    <t>MISMATAG</t>
  </si>
  <si>
    <t>MSR_ISMAT_ABBASALI_GABULA</t>
  </si>
  <si>
    <t>A2_VTGB</t>
  </si>
  <si>
    <t>JPRIYA05</t>
  </si>
  <si>
    <t>MSP_PRIYANKA_JAIN_INT</t>
  </si>
  <si>
    <t>HUFNKK01</t>
  </si>
  <si>
    <t>MSR_NANDKISHORKOTHARI</t>
  </si>
  <si>
    <r>
      <rPr>
        <rFont val="Calibri, sans-serif"/>
        <color rgb="FF1155CC"/>
        <sz val="11.0"/>
        <u/>
      </rPr>
      <t>http://fy261ap01:pass@10.124.0.42:11002</t>
    </r>
  </si>
  <si>
    <t>MSR_SHYAMSUNDARGUPTA</t>
  </si>
  <si>
    <t>CC_NISHADS_INT</t>
  </si>
  <si>
    <r>
      <rPr>
        <rFont val="Calibri, sans-serif"/>
        <color rgb="FF1155CC"/>
        <sz val="11.0"/>
        <u/>
      </rPr>
      <t>http://F560HAP01:pass@10.124.0.42:11002</t>
    </r>
  </si>
  <si>
    <t>MSP_PRAVEENKUMAR</t>
  </si>
  <si>
    <t>CCV_AMITD_HUF</t>
  </si>
  <si>
    <t>MSR_SHARDARANIGUPTA</t>
  </si>
  <si>
    <t>ZZJ15220</t>
  </si>
  <si>
    <t>A9_15220</t>
  </si>
  <si>
    <t>DLL7224</t>
  </si>
  <si>
    <r>
      <rPr>
        <rFont val="Calibri, sans-serif"/>
        <color rgb="FF1155CC"/>
        <sz val="11.0"/>
        <u/>
      </rPr>
      <t>http://fy261ap01:pass@10.124.0.42:11002</t>
    </r>
  </si>
  <si>
    <t>PANITAKO</t>
  </si>
  <si>
    <t>MSR_ANITA KOCHAR</t>
  </si>
  <si>
    <t xml:space="preserve"> MSR_Rakesh sharma</t>
  </si>
  <si>
    <t>MPOOJA35</t>
  </si>
  <si>
    <t>MSP_POOJA_MAHESHWARI_INT</t>
  </si>
  <si>
    <t>MSR_SIDARTHCHISHAH</t>
  </si>
  <si>
    <t>A7_AJ008AI</t>
  </si>
  <si>
    <r>
      <rPr>
        <rFont val="Calibri, sans-serif"/>
        <color rgb="FF1155CC"/>
        <sz val="11.0"/>
        <u/>
      </rPr>
      <t>http://F560HAP01:pass@10.124.0.42:11002</t>
    </r>
  </si>
  <si>
    <t>A1_AJ008DI</t>
  </si>
  <si>
    <r>
      <rPr>
        <rFont val="Calibri, sans-serif"/>
        <color rgb="FF1155CC"/>
        <sz val="11.0"/>
        <u/>
      </rPr>
      <t>http://fy261ap05:pass@10.124.0.17:11002</t>
    </r>
  </si>
  <si>
    <t>MFAEEMK3</t>
  </si>
  <si>
    <t>MSR_FAEEMKHAN</t>
  </si>
  <si>
    <t>MGANDHAL</t>
  </si>
  <si>
    <t>MSR_GANDHALSIDSHAH</t>
  </si>
  <si>
    <t>R7RA1327</t>
  </si>
  <si>
    <t>MSR_HIRACHANDCHINSHAH</t>
  </si>
  <si>
    <t>MSP_AMITP7</t>
  </si>
  <si>
    <t>MSHAKUNJ</t>
  </si>
  <si>
    <t>MSR_SHAKUNTALA_JAIN</t>
  </si>
  <si>
    <r>
      <rPr>
        <rFont val="Calibri, sans-serif"/>
        <color rgb="FF1155CC"/>
        <sz val="11.0"/>
        <u/>
      </rPr>
      <t>http://fy261ap08:pass@10.124.0.24:11002</t>
    </r>
  </si>
  <si>
    <t>MSR_PADMA_GATTANI</t>
  </si>
  <si>
    <t>MSR_KALPANAAG2</t>
  </si>
  <si>
    <r>
      <rPr>
        <rFont val="Calibri, sans-serif"/>
        <color rgb="FF1155CC"/>
        <sz val="11.0"/>
        <u/>
      </rPr>
      <t>http://fy261ap08:pass@10.124.0.24:11002</t>
    </r>
  </si>
  <si>
    <t>MSR_ADITI_AGARWAL</t>
  </si>
  <si>
    <t>MSP_PRATIBHA_POS</t>
  </si>
  <si>
    <t>MSR_DEEPAM_GUJRANI</t>
  </si>
  <si>
    <r>
      <rPr>
        <rFont val="Calibri, sans-serif"/>
        <color rgb="FF1155CC"/>
        <sz val="11.0"/>
        <u/>
      </rPr>
      <t>http://fy261ap06:pass@10.124.0.17:11002</t>
    </r>
  </si>
  <si>
    <t>BAID1950</t>
  </si>
  <si>
    <t>MSN_BAID_INT</t>
  </si>
  <si>
    <t>MSR_BAL_MUKUND</t>
  </si>
  <si>
    <t>PREM8734</t>
  </si>
  <si>
    <t>MSR_VIKAS_JEPH_HUF</t>
  </si>
  <si>
    <t>MSR_HARSH_PRASAD_UDAWAT</t>
  </si>
  <si>
    <r>
      <rPr>
        <rFont val="Calibri, sans-serif"/>
        <color rgb="FF1155CC"/>
        <sz val="11.0"/>
        <u/>
      </rPr>
      <t>http://F560HAP01:pass@10.124.0.42:11002</t>
    </r>
  </si>
  <si>
    <t>MDEVENDR</t>
  </si>
  <si>
    <t>MSR_DEVENDRA_MANGANI</t>
  </si>
  <si>
    <t>MSR_LALITA_AGNANI</t>
  </si>
  <si>
    <r>
      <rPr>
        <rFont val="Calibri, sans-serif"/>
        <color rgb="FF1155CC"/>
        <sz val="11.0"/>
        <u/>
      </rPr>
      <t>http://F560HAP01:pass@10.124.0.42:11002</t>
    </r>
  </si>
  <si>
    <t>MSR_PRAKASHAG_HUF</t>
  </si>
  <si>
    <t>MSR_SJVJ3_INT</t>
  </si>
  <si>
    <t>DLL12612</t>
  </si>
  <si>
    <r>
      <rPr>
        <rFont val="Calibri, sans-serif"/>
        <color rgb="FF1155CC"/>
        <sz val="11.0"/>
        <u/>
      </rPr>
      <t>http://fy261ap08:pass@10.124.0.24:11002</t>
    </r>
  </si>
  <si>
    <t>A1_MSG_NEW</t>
  </si>
  <si>
    <t>AF_F2</t>
  </si>
  <si>
    <r>
      <rPr>
        <rFont val="Calibri, sans-serif"/>
        <color rgb="FF1155CC"/>
        <sz val="11.0"/>
        <u/>
      </rPr>
      <t>http://F560HAP01:pass@10.124.0.42:11002</t>
    </r>
  </si>
  <si>
    <t>MSR_SIDDHARTH_MUKUND</t>
  </si>
  <si>
    <t>MSR_MXA ESTATE</t>
  </si>
  <si>
    <r>
      <rPr>
        <rFont val="Calibri, sans-serif"/>
        <color rgb="FF1155CC"/>
        <sz val="11.0"/>
        <u/>
      </rPr>
      <t>http://fy261ap01:pass@10.124.0.42:11002</t>
    </r>
  </si>
  <si>
    <t>MSR_KISHAN_LAL_PODDAR</t>
  </si>
  <si>
    <t>-4200000</t>
  </si>
  <si>
    <t>14000000</t>
  </si>
  <si>
    <t>MSR_SHASHI_KALA_PODDAR</t>
  </si>
  <si>
    <r>
      <rPr>
        <rFont val="Calibri, sans-serif"/>
        <color rgb="FF1155CC"/>
        <sz val="11.0"/>
        <u/>
      </rPr>
      <t>http://F560HAP01:pass@10.124.0.42:11002</t>
    </r>
  </si>
  <si>
    <t>DLL14096</t>
  </si>
  <si>
    <t>SREDJAINAM_CTRADE</t>
  </si>
  <si>
    <t>MASHOKMA</t>
  </si>
  <si>
    <t>MSR_ASHOK_MASKARA</t>
  </si>
  <si>
    <t>MNIDHITA</t>
  </si>
  <si>
    <t>MSR_NIDHI_GUPTA</t>
  </si>
  <si>
    <t>MSR_KIRAN_SUDHIR</t>
  </si>
  <si>
    <t>MSP_RKGHUF_POS</t>
  </si>
  <si>
    <r>
      <rPr>
        <rFont val="Calibri, sans-serif"/>
        <color rgb="FF1155CC"/>
        <sz val="11.0"/>
        <u/>
      </rPr>
      <t>http://fy261ap11:pass@10.124.0.102:11002</t>
    </r>
  </si>
  <si>
    <t>RAJULJ02</t>
  </si>
  <si>
    <t>MSR_RAJUL_R_JOSHI</t>
  </si>
  <si>
    <t>MSR_RAMPAL_RATHI_HUF</t>
  </si>
  <si>
    <r>
      <rPr>
        <rFont val="Calibri, sans-serif"/>
        <color rgb="FF1155CC"/>
        <sz val="11.0"/>
        <u/>
      </rPr>
      <t>http://F560HAP03:pass@10.124.0.24:11002</t>
    </r>
  </si>
  <si>
    <t>MSR_MEENAKABRA</t>
  </si>
  <si>
    <t>PODDARAC</t>
  </si>
  <si>
    <t>MSR_MONA3_INT</t>
  </si>
  <si>
    <t>17</t>
  </si>
  <si>
    <t>MSR_AADI_KIRAN_MAHAJANI</t>
  </si>
  <si>
    <t>MSR_SANDEEP_RANGER</t>
  </si>
  <si>
    <t>MSP_RAJNI_TIWARI_POS</t>
  </si>
  <si>
    <t>MSR_VCUBE_VENTURES_PVT_LTD</t>
  </si>
  <si>
    <r>
      <rPr>
        <rFont val="Calibri, sans-serif"/>
        <color rgb="FF1155CC"/>
        <sz val="11.0"/>
        <u/>
      </rPr>
      <t>http://fy261ap05:pass@10.124.0.17:11002</t>
    </r>
  </si>
  <si>
    <t xml:space="preserve"> ALOYALKA</t>
  </si>
  <si>
    <t>MSR_AKSHAT LOYALKAHUF</t>
  </si>
  <si>
    <t>MSR_JAGDISH_PRASAD_AGARWAL</t>
  </si>
  <si>
    <t xml:space="preserve"> 7RIKAH01</t>
  </si>
  <si>
    <t>MSR_ADITYA_KUMAR_DALMIA_HUF</t>
  </si>
  <si>
    <t>PNEHAGAT</t>
  </si>
  <si>
    <t>MSR_NEHA_GATTANI</t>
  </si>
  <si>
    <t>HUFSUSHA</t>
  </si>
  <si>
    <t>MSR_MANUJ_POS</t>
  </si>
  <si>
    <t>MSR_SUSHANT_GUPTA_HUF</t>
  </si>
  <si>
    <t>26407888</t>
  </si>
  <si>
    <t>MSR_PREKSHA_AGGARWAL</t>
  </si>
  <si>
    <t>MSR_VAIBHAV_GUPTA</t>
  </si>
  <si>
    <t>MSR_AGNANI3</t>
  </si>
  <si>
    <r>
      <rPr>
        <rFont val="Calibri, sans-serif"/>
        <color rgb="FF1155CC"/>
        <sz val="11.0"/>
        <u/>
      </rPr>
      <t>http://fy261ap07:pass@10.124.0.17:11002</t>
    </r>
  </si>
  <si>
    <t>CCV_ROHITP_POS</t>
  </si>
  <si>
    <r>
      <rPr>
        <rFont val="Calibri, sans-serif"/>
        <color rgb="FF1155CC"/>
        <sz val="11.0"/>
        <u/>
      </rPr>
      <t>http://F560HAP01:pass@10.124.0.42:11002</t>
    </r>
  </si>
  <si>
    <t>A8_15519_RM</t>
  </si>
  <si>
    <t>A7_PS</t>
  </si>
  <si>
    <t>AJ008GN</t>
  </si>
  <si>
    <t>A14_AJ008GN</t>
  </si>
  <si>
    <t>A12_PSVT</t>
  </si>
  <si>
    <t>AJ008GO</t>
  </si>
  <si>
    <t>A12_RM</t>
  </si>
  <si>
    <r>
      <rPr>
        <rFont val="Calibri, sans-serif"/>
        <color rgb="FF1155CC"/>
        <sz val="11.0"/>
        <u/>
      </rPr>
      <t>http://fy261ap01:pass@10.124.0.42:11002</t>
    </r>
  </si>
  <si>
    <t>MSR_ANAMIKA_BAXI</t>
  </si>
  <si>
    <t>MSR_INDRABAXI</t>
  </si>
  <si>
    <t>MSR_Rajesh_Motor</t>
  </si>
  <si>
    <t>A1_PS</t>
  </si>
  <si>
    <t>MSR_VGOEL2_INT</t>
  </si>
  <si>
    <r>
      <rPr>
        <rFont val="Calibri, sans-serif"/>
        <color rgb="FF1155CC"/>
        <sz val="11.0"/>
        <u/>
      </rPr>
      <t>http://fy261ap05:pass@10.124.0.17:11002</t>
    </r>
  </si>
  <si>
    <t>MSR_KHUSHI AGARWAL</t>
  </si>
  <si>
    <t>MSR_NAVEENTRIPATHI</t>
  </si>
  <si>
    <r>
      <rPr>
        <rFont val="Calibri, sans-serif"/>
        <color rgb="FF1155CC"/>
        <sz val="11.0"/>
        <u/>
      </rPr>
      <t>http://F560HAP01:pass@10.124.0.42:11002</t>
    </r>
  </si>
  <si>
    <t>SHALABH5</t>
  </si>
  <si>
    <t>MSR_SHALABH_INT</t>
  </si>
  <si>
    <t>CCG_CHADARAM_ARUNA</t>
  </si>
  <si>
    <t>MSP_SEEMAJ_POS</t>
  </si>
  <si>
    <r>
      <rPr>
        <rFont val="Calibri, sans-serif"/>
        <color rgb="FF1155CC"/>
        <sz val="11.0"/>
        <u/>
      </rPr>
      <t>http://fy261ap05:pass@10.124.0.17:11002</t>
    </r>
  </si>
  <si>
    <t>MSR_MONA8000</t>
  </si>
  <si>
    <t>DLL13462</t>
  </si>
  <si>
    <t>MSR_samriddhi_baxi</t>
  </si>
  <si>
    <t>MSR_URSHITA_RATHI</t>
  </si>
  <si>
    <t>MSR_ASHUTOSH_NANDAN_GOYAL</t>
  </si>
  <si>
    <t>MSR_NITA_SRIVASTAV</t>
  </si>
  <si>
    <t>MVIKASJ0</t>
  </si>
  <si>
    <t>MSP_VIKAS_INT</t>
  </si>
  <si>
    <t>MSR_SSGUPTA5_INT</t>
  </si>
  <si>
    <t>MSR_NIRJHAR GOEL</t>
  </si>
  <si>
    <r>
      <rPr>
        <rFont val="Calibri, sans-serif"/>
        <color rgb="FF1155CC"/>
        <sz val="11.0"/>
        <u/>
      </rPr>
      <t>http://fy261ap05:pass@10.124.0.17:11002</t>
    </r>
  </si>
  <si>
    <t>MSR_SONI_KISHOREH</t>
  </si>
  <si>
    <r>
      <rPr>
        <rFont val="Calibri, sans-serif"/>
        <color rgb="FF1155CC"/>
        <sz val="11.0"/>
        <u/>
      </rPr>
      <t>http://F560HAP01:pass@10.124.0.42:11002</t>
    </r>
  </si>
  <si>
    <t>MSR_SANDEEP_SHARMA</t>
  </si>
  <si>
    <t>GSPL15</t>
  </si>
  <si>
    <t>GSPL_15</t>
  </si>
  <si>
    <t>DLDH126</t>
  </si>
  <si>
    <t>NPCC05</t>
  </si>
  <si>
    <t>MSR_MSMELODIA8_POS</t>
  </si>
  <si>
    <r>
      <rPr>
        <rFont val="Calibri, sans-serif"/>
        <color rgb="FF1155CC"/>
        <sz val="11.0"/>
        <u/>
      </rPr>
      <t>http://fy261ap05:pass@10.124.0.17:11002</t>
    </r>
  </si>
  <si>
    <t>CC_A15_GSPL</t>
  </si>
  <si>
    <t>DLDH127</t>
  </si>
  <si>
    <t>CC_A15_NSPCC</t>
  </si>
  <si>
    <t>MSP_MANJU_KOTHARI</t>
  </si>
  <si>
    <t>-28000</t>
  </si>
  <si>
    <t>MSR_GINNI8_INT</t>
  </si>
  <si>
    <t>MSG_NILOY_JAIN</t>
  </si>
  <si>
    <t>MSR_SHREYAB_INT</t>
  </si>
  <si>
    <t>MSN_SANDEEP_SHARMA</t>
  </si>
  <si>
    <r>
      <rPr>
        <rFont val="Calibri, sans-serif"/>
        <color rgb="FF1155CC"/>
        <sz val="11.0"/>
        <u/>
      </rPr>
      <t>http://fy261ap06:pass@10.124.0.17:11002</t>
    </r>
  </si>
  <si>
    <t>LCHETANS</t>
  </si>
  <si>
    <t>MSR_CHETAN_SINGHAL</t>
  </si>
  <si>
    <t>MSN_ANKUR_KOTHARI</t>
  </si>
  <si>
    <r>
      <rPr>
        <rFont val="Calibri, sans-serif"/>
        <color rgb="FF1155CC"/>
        <sz val="11.0"/>
        <u/>
      </rPr>
      <t>http://fy261ap10:pass@10.124.0.102:11002</t>
    </r>
  </si>
  <si>
    <t>MSN_ADITYA_KUMAR_DALMIA</t>
  </si>
  <si>
    <t>MSR_SSGUPTA1_INT</t>
  </si>
  <si>
    <r>
      <rPr>
        <rFont val="Calibri, sans-serif"/>
        <color rgb="FF1155CC"/>
        <sz val="11.0"/>
        <u/>
      </rPr>
      <t>http://fy261ap05:pass@10.124.0.17:11002</t>
    </r>
  </si>
  <si>
    <t>MSN_SHAILESH_JHAW</t>
  </si>
  <si>
    <t>FY261AP09__3</t>
  </si>
  <si>
    <t>MSN_RAJESHJIT_SHAH</t>
  </si>
  <si>
    <t>MSR_SJVJ2_3C</t>
  </si>
  <si>
    <r>
      <rPr>
        <rFont val="Calibri, sans-serif"/>
        <color rgb="FF1155CC"/>
        <sz val="11.0"/>
        <u/>
      </rPr>
      <t>http://fy261ap09:pass@10.124.0.24:11002</t>
    </r>
  </si>
  <si>
    <t>MSN_DAKSHARAJ_SHAH</t>
  </si>
  <si>
    <t>MSR_BAGRODIA4_INT</t>
  </si>
  <si>
    <t>FY261AP01__1</t>
  </si>
  <si>
    <t>MSN_VIPINKJAIN</t>
  </si>
  <si>
    <r>
      <rPr>
        <rFont val="Calibri, sans-serif"/>
        <color rgb="FF1155CC"/>
        <sz val="11.0"/>
        <u/>
      </rPr>
      <t>http://fy261ap01:pass@10.124.0.42:11002</t>
    </r>
  </si>
  <si>
    <t>MSN_SANDEEP WANCHOO</t>
  </si>
  <si>
    <t>MSP_SPSINVES_POS</t>
  </si>
  <si>
    <r>
      <rPr>
        <rFont val="Calibri, sans-serif"/>
        <color rgb="FF1155CC"/>
        <sz val="11.0"/>
        <u/>
      </rPr>
      <t>http://fy261ap09:pass@10.124.0.24:11002</t>
    </r>
  </si>
  <si>
    <t>MSN_ADWITIYA_GOENKA</t>
  </si>
  <si>
    <t>-187838</t>
  </si>
  <si>
    <t>MSR_VIVEKGOEL</t>
  </si>
  <si>
    <r>
      <rPr>
        <rFont val="Calibri, sans-serif"/>
        <color rgb="FF1155CC"/>
        <sz val="11.0"/>
        <u/>
      </rPr>
      <t>http://fy261ap07:pass@10.124.0.17:11002</t>
    </r>
  </si>
  <si>
    <t>MSRM_ANU_GEORGE</t>
  </si>
  <si>
    <t>FY261AP06__4</t>
  </si>
  <si>
    <t>MSP_SUSHANTG2</t>
  </si>
  <si>
    <r>
      <rPr>
        <rFont val="Calibri, sans-serif"/>
        <color rgb="FF1155CC"/>
        <sz val="11.0"/>
        <u/>
      </rPr>
      <t>http://fy261ap06:pass@10.124.0.17:11002</t>
    </r>
  </si>
  <si>
    <t>MSV_SAANVI</t>
  </si>
  <si>
    <t>MSR_SUSHIL_POS</t>
  </si>
  <si>
    <r>
      <rPr>
        <rFont val="Calibri, sans-serif"/>
        <color rgb="FF1155CC"/>
        <sz val="11.0"/>
        <u/>
      </rPr>
      <t>http://fy261ap09:pass@10.124.0.24:11002</t>
    </r>
  </si>
  <si>
    <t>A7_FOUNDERS</t>
  </si>
  <si>
    <t>MSR_RYS1_INT</t>
  </si>
  <si>
    <t>MSP_DEEPAK_JAIN_HUF</t>
  </si>
  <si>
    <t>MSN_ANUPAM_KANODIA</t>
  </si>
  <si>
    <t>A8_DLDH128</t>
  </si>
  <si>
    <r>
      <rPr>
        <rFont val="Calibri, sans-serif"/>
        <color rgb="FF1155CC"/>
        <sz val="11.0"/>
        <u/>
      </rPr>
      <t>http://F560HAP01:pass@10.124.0.42:11002</t>
    </r>
  </si>
  <si>
    <t>MSR_ASHISHBHATNAGAR</t>
  </si>
  <si>
    <t>MSP_AMITP8</t>
  </si>
  <si>
    <t>A1_TT_RD_GB</t>
  </si>
  <si>
    <r>
      <rPr>
        <rFont val="Calibri, sans-serif"/>
        <color rgb="FF1155CC"/>
        <sz val="11.0"/>
        <u/>
      </rPr>
      <t>http://fy261ap08:pass@10.124.0.24:11002</t>
    </r>
  </si>
  <si>
    <t>SF187</t>
  </si>
  <si>
    <t>A15_KREDENT_PRO</t>
  </si>
  <si>
    <r>
      <rPr>
        <rFont val="Calibri, sans-serif"/>
        <color rgb="FF1155CC"/>
        <sz val="11.0"/>
        <u/>
      </rPr>
      <t>http://fy261ap01:pass@10.124.0.42:11002</t>
    </r>
  </si>
  <si>
    <t>AJ008GM</t>
  </si>
  <si>
    <t>MSP_TOLARAM_POS</t>
  </si>
  <si>
    <t>MSP_RAHUL_JAIN_HUF</t>
  </si>
  <si>
    <r>
      <rPr>
        <rFont val="Calibri, sans-serif"/>
        <color rgb="FF1155CC"/>
        <sz val="11.0"/>
        <u/>
      </rPr>
      <t>http://fy261ap05:pass@10.124.0.17:11002</t>
    </r>
  </si>
  <si>
    <t>MSG_CHANDRAKALA</t>
  </si>
  <si>
    <t>MSR_YOGESH1_INT</t>
  </si>
  <si>
    <t>MSR_TRISHALA_POS</t>
  </si>
  <si>
    <t>7RIK024</t>
  </si>
  <si>
    <t>MSR_PREMCHANDTAK</t>
  </si>
  <si>
    <r>
      <rPr>
        <rFont val="Calibri, sans-serif"/>
        <color rgb="FF1155CC"/>
        <sz val="11.0"/>
        <u/>
      </rPr>
      <t>http://fy261ap09:pass@10.124.0.24:11002</t>
    </r>
  </si>
  <si>
    <t>MSR_NATH2</t>
  </si>
  <si>
    <r>
      <rPr>
        <rFont val="Calibri, sans-serif"/>
        <color rgb="FF1155CC"/>
        <sz val="11.0"/>
        <u/>
      </rPr>
      <t>http://fy261ap06:pass@10.124.0.17:11002</t>
    </r>
  </si>
  <si>
    <t>MSV_PRATIMA _THEBARIA_FIX2CR_2SL</t>
  </si>
  <si>
    <t xml:space="preserve"> IIFL-CDC2</t>
  </si>
  <si>
    <t>RIYATAK1</t>
  </si>
  <si>
    <t>MSR_RIYATAK1</t>
  </si>
  <si>
    <t>MSP_USHAS_POS</t>
  </si>
  <si>
    <r>
      <rPr>
        <rFont val="Calibri, sans-serif"/>
        <color rgb="FF1155CC"/>
        <sz val="11.0"/>
        <u/>
      </rPr>
      <t>http://fy261ap09:pass@10.124.0.24:11002</t>
    </r>
  </si>
  <si>
    <t>CCV_NIKHIL_BANSAL</t>
  </si>
  <si>
    <t>-14000</t>
  </si>
  <si>
    <t>MSR_PREM_CHAND_TAK</t>
  </si>
  <si>
    <t>IIFL-CDC</t>
  </si>
  <si>
    <r>
      <rPr>
        <rFont val="Calibri, sans-serif"/>
        <color rgb="FF1155CC"/>
        <sz val="11.0"/>
        <u/>
      </rPr>
      <t>http://F560HAP01:pass@10.124.0.42:11002</t>
    </r>
  </si>
  <si>
    <t>MSG_RICHA_KAUR</t>
  </si>
  <si>
    <t>MSR_VEDANGI-POS</t>
  </si>
  <si>
    <r>
      <rPr>
        <rFont val="Calibri, sans-serif"/>
        <color rgb="FF1155CC"/>
        <sz val="11.0"/>
        <u/>
      </rPr>
      <t>http://fy261ap06:pass@10.124.0.17:11002</t>
    </r>
  </si>
  <si>
    <t>MSR_VINEETSACHDEVA_NOREN</t>
  </si>
  <si>
    <t>7RIK2022</t>
  </si>
  <si>
    <t>MSR_PRASHANTTAK</t>
  </si>
  <si>
    <t>MSP_VIJAYPO_POS</t>
  </si>
  <si>
    <r>
      <rPr>
        <rFont val="Calibri, sans-serif"/>
        <color rgb="FF1155CC"/>
        <sz val="11.0"/>
        <u/>
      </rPr>
      <t>http://fy261ap09:pass@10.124.0.24:11002</t>
    </r>
  </si>
  <si>
    <t>MSR_RIYATAK</t>
  </si>
  <si>
    <t>MSP_VIJAYY_POS</t>
  </si>
  <si>
    <t>MSR_BHAWNABHATNAGAR</t>
  </si>
  <si>
    <r>
      <rPr>
        <rFont val="Calibri, sans-serif"/>
        <color rgb="FF1155CC"/>
        <sz val="11.0"/>
        <u/>
      </rPr>
      <t>http://fy261ap06:pass@10.124.0.17:11002</t>
    </r>
  </si>
  <si>
    <t>A8_RM_AJ008FE</t>
  </si>
  <si>
    <t>ADISHA26</t>
  </si>
  <si>
    <t>MSP_VIJAYS_POS</t>
  </si>
  <si>
    <t>MSR_JITENDRA_AGRAWAL</t>
  </si>
  <si>
    <t>MSR_MSMELODIA9_INT</t>
  </si>
  <si>
    <r>
      <rPr>
        <rFont val="Calibri, sans-serif"/>
        <color rgb="FF1155CC"/>
        <sz val="11.0"/>
        <u/>
      </rPr>
      <t>http://fy261ap06:pass@10.124.0.17:11002</t>
    </r>
  </si>
  <si>
    <t>MSR_MPRSHANT</t>
  </si>
  <si>
    <t>MSR_LODHA2</t>
  </si>
  <si>
    <t>MSR_SHASHI_MOHAN_SHARMA</t>
  </si>
  <si>
    <r>
      <rPr>
        <rFont val="Calibri, sans-serif"/>
        <color rgb="FF1155CC"/>
        <sz val="11.0"/>
        <u/>
      </rPr>
      <t>http://fy261ap08:pass@10.124.0.24:11002</t>
    </r>
  </si>
  <si>
    <t>CC_GOVINDAB_FIX_1CR</t>
  </si>
  <si>
    <t>CCV_A1_SISL</t>
  </si>
  <si>
    <t>ExcelStock</t>
  </si>
  <si>
    <t>MSR_VIVEK LODHA</t>
  </si>
  <si>
    <r>
      <rPr>
        <rFont val="Calibri, sans-serif"/>
        <color rgb="FF1155CC"/>
        <sz val="11.0"/>
        <u/>
      </rPr>
      <t>http://F560HAP01:pass@10.124.0.42:11002</t>
    </r>
  </si>
  <si>
    <t>MSR_VGOEL3</t>
  </si>
  <si>
    <t>MSR_BONSAI</t>
  </si>
  <si>
    <r>
      <rPr>
        <rFont val="Calibri, sans-serif"/>
        <color rgb="FF1155CC"/>
        <sz val="11.0"/>
        <u/>
      </rPr>
      <t>http://fy261ap07:pass@10.124.0.17:11002</t>
    </r>
  </si>
  <si>
    <t>CC_A7_XLDH142_FIX_2CR</t>
  </si>
  <si>
    <t>ABHIMA01</t>
  </si>
  <si>
    <t>MSP_MALPANI_INT</t>
  </si>
  <si>
    <t>MSR_SHEENAM GOYAL</t>
  </si>
  <si>
    <t>-166627</t>
  </si>
  <si>
    <t>MSN_POONAM_MADAM</t>
  </si>
  <si>
    <r>
      <rPr>
        <rFont val="Calibri, sans-serif"/>
        <color rgb="FF1155CC"/>
        <sz val="11.0"/>
        <u/>
      </rPr>
      <t>http://fy261ap06:pass@10.124.0.17:11002</t>
    </r>
  </si>
  <si>
    <t>CC_A15_KREDENT_PRO</t>
  </si>
  <si>
    <t>CC04</t>
  </si>
  <si>
    <t>X7RIK06</t>
  </si>
  <si>
    <t>DEALER_NOREN</t>
  </si>
  <si>
    <t>MSR_AGNANI2_INT</t>
  </si>
  <si>
    <t>MSR_BAGRODIA5</t>
  </si>
  <si>
    <t>CC_A8_GSPL20</t>
  </si>
  <si>
    <t>MSR_INDALPHA1_INT</t>
  </si>
  <si>
    <t>CC06</t>
  </si>
  <si>
    <t>CC_A15_XLDH159_FIX_2CR</t>
  </si>
  <si>
    <t>CC05</t>
  </si>
  <si>
    <t>NOREN</t>
  </si>
  <si>
    <t>CC_A1_XLDH158_FIX_2CR</t>
  </si>
  <si>
    <t>SF185</t>
  </si>
  <si>
    <t>KREDENT_PRO_A8</t>
  </si>
  <si>
    <t>X7RIK05</t>
  </si>
  <si>
    <t>MSR_SAURABHB_POS</t>
  </si>
  <si>
    <t>VA_F</t>
  </si>
  <si>
    <t>A102_NARAYANA</t>
  </si>
  <si>
    <t>Narayan_Capital</t>
  </si>
  <si>
    <t>-163246</t>
  </si>
  <si>
    <t>JFNILESH</t>
  </si>
  <si>
    <t>MSN_FUTARMAL1_INT</t>
  </si>
  <si>
    <t>MSR_MSHILPI1</t>
  </si>
  <si>
    <t>CC07</t>
  </si>
  <si>
    <t>CC_A8_XLDH162</t>
  </si>
  <si>
    <t>-200000</t>
  </si>
  <si>
    <t>-166887</t>
  </si>
  <si>
    <t>A8_PS_8C</t>
  </si>
  <si>
    <t>MSR_GINNI14</t>
  </si>
  <si>
    <t>MSG_KONATHALA_RAMYA</t>
  </si>
  <si>
    <t>MSP_MGOURAV</t>
  </si>
  <si>
    <t>A15_RM</t>
  </si>
  <si>
    <t>MSG_PUGAL_1CR</t>
  </si>
  <si>
    <t>CCG_HARSHA</t>
  </si>
  <si>
    <t>S10</t>
  </si>
  <si>
    <t>MSS_SISL_NEW_FIX_2CR</t>
  </si>
  <si>
    <t>SAHIL089</t>
  </si>
  <si>
    <t>MSR_SAHIL2_INT</t>
  </si>
  <si>
    <t>MSR_DIGVIJAY3</t>
  </si>
  <si>
    <t>MSR_PTAK5</t>
  </si>
  <si>
    <t>X7RIK09</t>
  </si>
  <si>
    <t>MSN_UMESH_UTTAMRAJ_BHANDARI</t>
  </si>
  <si>
    <t>MSR_BHOJWANI2_POS</t>
  </si>
  <si>
    <t>MSP_RAJ_SHREE_JAIN</t>
  </si>
  <si>
    <t>MSR_KAILASHR_POS</t>
  </si>
  <si>
    <t>MSP_DEVENDER</t>
  </si>
  <si>
    <t>A19_CC03</t>
  </si>
  <si>
    <t>MSR_KUSHAGRAMT_POS</t>
  </si>
  <si>
    <t>MSP_SUSHANTG3_INT</t>
  </si>
  <si>
    <t>MSR_KAPOOR1_POS</t>
  </si>
  <si>
    <t>A8_EXCEL_8C</t>
  </si>
  <si>
    <t>A_15_ARHAM_PROP_2CR</t>
  </si>
  <si>
    <t>MSR_SUBODHKG_POS</t>
  </si>
  <si>
    <t>A19_ARHAM_PROP</t>
  </si>
  <si>
    <t>A7_ARHAM_FIX_2CR</t>
  </si>
  <si>
    <t>A1_ARHAM</t>
  </si>
  <si>
    <t>A19_GSPL123</t>
  </si>
  <si>
    <t>MSR__RDANGAYACH6</t>
  </si>
  <si>
    <t>MSR_RYADAV5</t>
  </si>
  <si>
    <t>-192000</t>
  </si>
  <si>
    <t>MSR_ASR2_INT</t>
  </si>
  <si>
    <t>24000000</t>
  </si>
  <si>
    <t>A19_CC08</t>
  </si>
  <si>
    <t>MSR_RITESHS1_POS</t>
  </si>
  <si>
    <t>MSR_MAHUP1</t>
  </si>
  <si>
    <t>MSR_MEHTA3</t>
  </si>
  <si>
    <t>MSR_VIBHOR</t>
  </si>
  <si>
    <t>MSR_GINNI9</t>
  </si>
  <si>
    <t>MSR_RITESHGARG</t>
  </si>
  <si>
    <t>CCV_SANDEEP</t>
  </si>
  <si>
    <t>MSR_MEHTA2_POS</t>
  </si>
  <si>
    <t>A7_JTRADE</t>
  </si>
  <si>
    <t>B128</t>
  </si>
  <si>
    <t>PACE_SX</t>
  </si>
  <si>
    <t>PACEXTS</t>
  </si>
  <si>
    <t>A1_JTRADE</t>
  </si>
  <si>
    <t>7RA1PH80</t>
  </si>
  <si>
    <t>DEALER_JTRADE</t>
  </si>
  <si>
    <t>MSR_MSMELODIA1_INT</t>
  </si>
  <si>
    <t>MSR_HETANSHI</t>
  </si>
  <si>
    <t>X7RIK07</t>
  </si>
  <si>
    <t>MSR_GIRNAAR2_POS</t>
  </si>
  <si>
    <t>GDLF2S116</t>
  </si>
  <si>
    <t>A1_ANANDRATHI</t>
  </si>
  <si>
    <t>MSR_RDANGAYACH7</t>
  </si>
  <si>
    <t>Jainam</t>
  </si>
  <si>
    <t>MSS_A1_GCL_FIX_1CR</t>
  </si>
  <si>
    <t>ZZJ16972</t>
  </si>
  <si>
    <t>A15_JAINAM_NEW</t>
  </si>
  <si>
    <t>-320000</t>
  </si>
  <si>
    <t>MSR_RDANGAYACH5_FULL_POS10CR</t>
  </si>
  <si>
    <t>40000000</t>
  </si>
  <si>
    <t>DWH10014</t>
  </si>
  <si>
    <t>JAINAM</t>
  </si>
  <si>
    <t>MSR_YOGESH5_INT</t>
  </si>
  <si>
    <t>MSR_MADHUP2</t>
  </si>
  <si>
    <t>MSR_GIRRAJKHANDELWAL_INT</t>
  </si>
  <si>
    <t>MSR_RADHA</t>
  </si>
  <si>
    <t>ZZJ16971</t>
  </si>
  <si>
    <t>A7_JAINAM_NEW</t>
  </si>
  <si>
    <t>DELL15</t>
  </si>
  <si>
    <t>A7_SISL_PS_FIX_2CR</t>
  </si>
  <si>
    <t>PCHNA531</t>
  </si>
  <si>
    <t>A7_ANANDRATHI</t>
  </si>
  <si>
    <t>TRADE_SWIFT</t>
  </si>
  <si>
    <t>7RIK2034</t>
  </si>
  <si>
    <t>MSR__JITENDRA_AGRAWAL2</t>
  </si>
  <si>
    <t>MSS_SANDHU_FIX_1CR</t>
  </si>
  <si>
    <t>MS_TSCF100_DHRUV</t>
  </si>
  <si>
    <t>GI1653</t>
  </si>
  <si>
    <t>A_15_JUNO_4CR</t>
  </si>
  <si>
    <t>Junomoneta</t>
  </si>
  <si>
    <t>SREDJAINAM_103</t>
  </si>
  <si>
    <t>GI651</t>
  </si>
  <si>
    <t>-1400000</t>
  </si>
  <si>
    <t>A1_JUNO</t>
  </si>
  <si>
    <t>JUNOmoneta</t>
  </si>
  <si>
    <t>2E+08</t>
  </si>
  <si>
    <t>SREDJAINAM2_P</t>
  </si>
  <si>
    <t>A19_JUNO</t>
  </si>
  <si>
    <r>
      <rPr>
        <rFont val="Calibri, sans-serif"/>
        <color rgb="FF1155CC"/>
        <sz val="11.0"/>
        <u/>
      </rPr>
      <t>http://xts1.srellp.com:9002</t>
    </r>
  </si>
  <si>
    <t>CLI17084</t>
  </si>
  <si>
    <t>A19_XLDH168</t>
  </si>
  <si>
    <t>ZZJ14275</t>
  </si>
  <si>
    <t>MSG_SUMIYYA</t>
  </si>
  <si>
    <t>A8_JUNO_4C</t>
  </si>
  <si>
    <t>ZZJ14274</t>
  </si>
  <si>
    <t>GI1652</t>
  </si>
  <si>
    <t>A7_JUNO</t>
  </si>
  <si>
    <r>
      <rPr>
        <rFont val="Calibri, sans-serif"/>
        <color rgb="FF1155CC"/>
        <sz val="11.0"/>
        <u/>
      </rPr>
      <t>http://colo.srellp.com:9008</t>
    </r>
  </si>
  <si>
    <t>-1440000</t>
  </si>
  <si>
    <t>1.8E+08</t>
  </si>
  <si>
    <r>
      <rPr>
        <rFont val="Calibri, sans-serif"/>
        <color rgb="FF1155CC"/>
        <sz val="11.0"/>
        <u/>
      </rPr>
      <t>http://xts1.srellp.com:9003</t>
    </r>
  </si>
  <si>
    <t>A17_13882_RD</t>
  </si>
  <si>
    <r>
      <rPr>
        <rFont val="Calibri, sans-serif"/>
        <color rgb="FF1155CC"/>
        <sz val="11.0"/>
        <u/>
      </rPr>
      <t>http://colo.srellp.com:9002</t>
    </r>
  </si>
  <si>
    <t>A8_RM_PS_40C</t>
  </si>
  <si>
    <t>A7_RM_PS</t>
  </si>
  <si>
    <t>CHOICE</t>
  </si>
  <si>
    <t>A15_RM_PS</t>
  </si>
  <si>
    <t>A21_FOUNDERS</t>
  </si>
  <si>
    <t>MSR_RDANGAYACH1_INT</t>
  </si>
  <si>
    <r>
      <rPr>
        <rFont val="Calibri, sans-serif"/>
        <color rgb="FF1155CC"/>
        <sz val="11.0"/>
        <u/>
      </rPr>
      <t>http://fy261ap07:pass@10.124.0.17:11002</t>
    </r>
  </si>
  <si>
    <t>A19_JAINAM_NEW</t>
  </si>
  <si>
    <t>MSP_MANJU016_POS</t>
  </si>
  <si>
    <t>A8_JAINAM_NEW_36C</t>
  </si>
  <si>
    <r>
      <rPr>
        <rFont val="Calibri, sans-serif"/>
        <color rgb="FF1155CC"/>
        <sz val="11.0"/>
        <u/>
      </rPr>
      <t>http://fy261ap06:pass@10.124.0.17:11002</t>
    </r>
  </si>
  <si>
    <t>A1_RM_PS</t>
  </si>
  <si>
    <t>-5400000</t>
  </si>
  <si>
    <t>18000000</t>
  </si>
  <si>
    <r>
      <rPr>
        <rFont val="Calibri, sans-serif"/>
        <color rgb="FF1155CC"/>
        <sz val="11.0"/>
        <u/>
      </rPr>
      <t>http://F560HAP01:pass@10.124.0.42:11002</t>
    </r>
  </si>
  <si>
    <t>MSR_PAWAN_FIX_1CR</t>
  </si>
  <si>
    <t>GKOHNS211</t>
  </si>
  <si>
    <t>A1_SHANGAI_ARSSB_FIX_2CR</t>
  </si>
  <si>
    <r>
      <rPr>
        <rFont val="Calibri, sans-serif"/>
        <color rgb="FF1155CC"/>
        <sz val="11.0"/>
        <u/>
      </rPr>
      <t>http://F560HAP01:pass@10.124.0.42:11002</t>
    </r>
  </si>
  <si>
    <t>MSR_NIRJHAR_GOEL2</t>
  </si>
  <si>
    <t>IIFL_CAPITAL</t>
  </si>
  <si>
    <t>MSR_JITENDRA_AGRAWAL3</t>
  </si>
  <si>
    <r>
      <rPr>
        <rFont val="Calibri, sans-serif"/>
        <color rgb="FF1155CC"/>
        <sz val="11.0"/>
        <u/>
      </rPr>
      <t>http://F560HAP01:pass@10.124.0.42:11002</t>
    </r>
  </si>
  <si>
    <t>JM FINANCIAL</t>
  </si>
  <si>
    <r>
      <rPr>
        <rFont val="Calibri, sans-serif"/>
        <color rgb="FF1155CC"/>
        <sz val="11.0"/>
        <u/>
      </rPr>
      <t>http://F560HAP01:pass@10.124.0.42:11002</t>
    </r>
  </si>
  <si>
    <t>A8_VM_2C</t>
  </si>
  <si>
    <t>VMATHRANCO</t>
  </si>
  <si>
    <r>
      <rPr>
        <rFont val="Calibri, sans-serif"/>
        <color rgb="FF1155CC"/>
        <sz val="11.0"/>
        <u/>
      </rPr>
      <t>http://fy261ap08:pass@10.124.0.24:11002</t>
    </r>
  </si>
  <si>
    <t>2031</t>
  </si>
  <si>
    <t>A7_VMATHRAM</t>
  </si>
  <si>
    <t>-1088</t>
  </si>
  <si>
    <t>MSR_MSMELODIA9</t>
  </si>
  <si>
    <t>CC09</t>
  </si>
  <si>
    <t>CC_A15_XLDH159_FIX_3CR_INT</t>
  </si>
  <si>
    <t>2033</t>
  </si>
  <si>
    <t>A15_VMTHRAM</t>
  </si>
  <si>
    <t>SHARE_INDIA</t>
  </si>
  <si>
    <t>CCV_SISL_GS_FIX_4CR_INT</t>
  </si>
  <si>
    <r>
      <rPr>
        <rFont val="Calibri, sans-serif"/>
        <color rgb="FF1155CC"/>
        <sz val="11.0"/>
        <u/>
      </rPr>
      <t>http://LT5:pass@10.124.0.24:11002</t>
    </r>
  </si>
  <si>
    <t>A19_VT_RM</t>
  </si>
  <si>
    <t>JAINAM_CTRADE_DL</t>
  </si>
  <si>
    <t>A19_VM</t>
  </si>
  <si>
    <t>A21_FOUNDERS_NEW</t>
  </si>
  <si>
    <t>ZZJ17422</t>
  </si>
  <si>
    <t>FY261AP07__2</t>
  </si>
  <si>
    <t>A25_FOUNDERS</t>
  </si>
  <si>
    <t>MSR_BHARNI1</t>
  </si>
  <si>
    <r>
      <rPr>
        <rFont val="Calibri, sans-serif"/>
        <color rgb="FF1155CC"/>
        <sz val="11.0"/>
        <u/>
      </rPr>
      <t>http://fy261ap07:pass@10.124.0.17:11002</t>
    </r>
  </si>
  <si>
    <t>CC_A8_CC10</t>
  </si>
  <si>
    <t>A8_VT_RM_24C</t>
  </si>
  <si>
    <r>
      <rPr>
        <rFont val="Calibri, sans-serif"/>
        <color rgb="FF1155CC"/>
        <sz val="11.0"/>
        <u/>
      </rPr>
      <t>http://fy261ap10:pass@10.124.0.102:11002</t>
    </r>
  </si>
  <si>
    <t>A8_EXCELPROP_8C</t>
  </si>
  <si>
    <t>ASHO1956</t>
  </si>
  <si>
    <t xml:space="preserve">MSR_ASHOK_INT </t>
  </si>
  <si>
    <t>2029</t>
  </si>
  <si>
    <t>A1_VM</t>
  </si>
  <si>
    <r>
      <rPr>
        <rFont val="Calibri, sans-serif"/>
        <color rgb="FF1155CC"/>
        <sz val="11.0"/>
        <u/>
      </rPr>
      <t>http://fy261ap01:pass@10.124.0.42:11002</t>
    </r>
  </si>
  <si>
    <t>A1_EXCEL</t>
  </si>
  <si>
    <t>Excel</t>
  </si>
  <si>
    <t>MTPRO_PROP</t>
  </si>
  <si>
    <r>
      <rPr>
        <rFont val="Calibri, sans-serif"/>
        <color rgb="FF1155CC"/>
        <sz val="11.0"/>
        <u/>
      </rPr>
      <t>http://fy261ap06:pass@10.124.0.17:11002</t>
    </r>
  </si>
  <si>
    <t>MSR_RYADAV3_POS</t>
  </si>
  <si>
    <r>
      <rPr>
        <rFont val="Calibri, sans-serif"/>
        <color rgb="FF1155CC"/>
        <sz val="11.0"/>
        <u/>
      </rPr>
      <t>http://fy261ap07:pass@10.124.0.17:11002</t>
    </r>
  </si>
  <si>
    <t>A8_EXCEL_4C</t>
  </si>
  <si>
    <t>MSR_RYADAV1_POS</t>
  </si>
  <si>
    <t>MSN_BHAVITA_KOTHARI</t>
  </si>
  <si>
    <t>NO SERVER</t>
  </si>
  <si>
    <t>CC_GOVINDAB</t>
  </si>
  <si>
    <t>CCV_PRAVEENB_POS</t>
  </si>
  <si>
    <r>
      <rPr>
        <rFont val="Calibri, sans-serif"/>
        <color rgb="FF1155CC"/>
        <sz val="11.0"/>
        <u/>
      </rPr>
      <t>http://LT5:pass@10.124.0.24:11002</t>
    </r>
  </si>
  <si>
    <t>VT_CAP</t>
  </si>
  <si>
    <t>A19_EXCEL_1</t>
  </si>
  <si>
    <t>-240000</t>
  </si>
  <si>
    <t>CCV_A7_VTCAP_FIX_5CR_INT</t>
  </si>
  <si>
    <t>30000000</t>
  </si>
  <si>
    <t>EXCELSTOCK_XTS</t>
  </si>
  <si>
    <r>
      <rPr>
        <rFont val="Calibri, sans-serif"/>
        <color rgb="FF1155CC"/>
        <sz val="11.0"/>
        <u/>
      </rPr>
      <t>http://GT5:pass@10.124.0.42:11002</t>
    </r>
  </si>
  <si>
    <t>JPX10B114</t>
  </si>
  <si>
    <t>A7_BALWANT_AR_FIX_1CR</t>
  </si>
  <si>
    <t>GSPL</t>
  </si>
  <si>
    <t>CC_A1_GSPL6_FIX_2CR_INT</t>
  </si>
  <si>
    <t>GBN12J106</t>
  </si>
  <si>
    <t>A1_ANAND_RATHI_2</t>
  </si>
  <si>
    <r>
      <rPr>
        <rFont val="Calibri, sans-serif"/>
        <color rgb="FF1155CC"/>
        <sz val="11.0"/>
        <u/>
      </rPr>
      <t>http://LT5:pass@10.124.0.24:11002</t>
    </r>
  </si>
  <si>
    <t>MSR_ASR3</t>
  </si>
  <si>
    <t>MSS_RENU_INT</t>
  </si>
  <si>
    <t>MSR_GINNI2_INT</t>
  </si>
  <si>
    <r>
      <rPr>
        <rFont val="Calibri, sans-serif"/>
        <color rgb="FF1155CC"/>
        <sz val="11.0"/>
        <u/>
      </rPr>
      <t>http://fy261ap07:pass@10.124.0.17:11002</t>
    </r>
  </si>
  <si>
    <t>MSR_AJIT1_INT</t>
  </si>
  <si>
    <r>
      <rPr>
        <rFont val="Calibri, sans-serif"/>
        <color rgb="FF1155CC"/>
        <sz val="11.0"/>
        <u/>
      </rPr>
      <t>http://fy261ap05:pass@10.124.0.17:11002</t>
    </r>
  </si>
  <si>
    <t>ALGO1_RM_PRSNL_INT</t>
  </si>
  <si>
    <t>A8_RM_PRSNL_6C</t>
  </si>
  <si>
    <t>-166765</t>
  </si>
  <si>
    <r>
      <rPr>
        <rFont val="Calibri, sans-serif"/>
        <color rgb="FF1155CC"/>
        <sz val="11.0"/>
        <u/>
      </rPr>
      <t>http://fy261ap07:pass@10.124.0.17:11002</t>
    </r>
  </si>
  <si>
    <t>A15_RM_PRSNL</t>
  </si>
  <si>
    <t>A7_RM_PRSNL</t>
  </si>
  <si>
    <t>MSR_BAGRODIA2_INT</t>
  </si>
  <si>
    <r>
      <rPr>
        <rFont val="Calibri, sans-serif"/>
        <color rgb="FF1155CC"/>
        <sz val="11.0"/>
        <u/>
      </rPr>
      <t>http://fy261ap07:pass@10.124.0.17:11002</t>
    </r>
  </si>
  <si>
    <t>MSR_JITENDRA_AGRAWAL5_INT</t>
  </si>
  <si>
    <t>MSR_SANJAYMAM_POS</t>
  </si>
  <si>
    <t>MSR_DIGVIJAY4_INT</t>
  </si>
  <si>
    <r>
      <rPr>
        <rFont val="Calibri, sans-serif"/>
        <color rgb="FF1155CC"/>
        <sz val="11.0"/>
        <u/>
      </rPr>
      <t>http://fy261ap06:pass@10.124.0.17:11002</t>
    </r>
  </si>
  <si>
    <t>PRENERGY</t>
  </si>
  <si>
    <t>MT_PRO</t>
  </si>
  <si>
    <t>MSR_JITENDRA_AGRAWAL4_INT</t>
  </si>
  <si>
    <t>MSR_CHETAN_SINGHAL_INT</t>
  </si>
  <si>
    <t>A8_RAJAT_1_4C</t>
  </si>
  <si>
    <t>A7_RAJATD2</t>
  </si>
  <si>
    <r>
      <rPr>
        <rFont val="Calibri, sans-serif"/>
        <color rgb="FF1155CC"/>
        <sz val="11.0"/>
        <u/>
      </rPr>
      <t>http://fy261ap05:pass@10.124.0.17:11002</t>
    </r>
  </si>
  <si>
    <t>51039K</t>
  </si>
  <si>
    <t>A19_RAJATD3</t>
  </si>
  <si>
    <t>MSR_ABHILASHM_POS</t>
  </si>
  <si>
    <t>51039L</t>
  </si>
  <si>
    <t>A15_RAJATD4</t>
  </si>
  <si>
    <r>
      <rPr>
        <rFont val="Calibri, sans-serif"/>
        <color rgb="FF1155CC"/>
        <sz val="11.0"/>
        <u/>
      </rPr>
      <t>http://fy261ap09:pass@10.124.0.24:11002</t>
    </r>
  </si>
  <si>
    <t>51039M</t>
  </si>
  <si>
    <t>A1_RAJATD5_INT</t>
  </si>
  <si>
    <t>GDLF1A105</t>
  </si>
  <si>
    <t>AR_ANSHU_FIX_1CR_A1_INT</t>
  </si>
  <si>
    <t>-147125</t>
  </si>
  <si>
    <r>
      <rPr>
        <rFont val="Calibri, sans-serif"/>
        <color rgb="FF1155CC"/>
        <sz val="11.0"/>
        <u/>
      </rPr>
      <t>http://LT5:pass@10.124.0.24:11002</t>
    </r>
  </si>
  <si>
    <t>AR_OMPRAKASH_FIX_1CR_A7_INT</t>
  </si>
  <si>
    <t>A19_ARSSB</t>
  </si>
  <si>
    <t>AR_SINGHAL_FIX_1CR_A1_INT</t>
  </si>
  <si>
    <t>GKOSLM249</t>
  </si>
  <si>
    <t>AR_MADHAVI_FIX_1CR_A7_INT</t>
  </si>
  <si>
    <t>-70000</t>
  </si>
  <si>
    <t>GSPL_CLI2</t>
  </si>
  <si>
    <t>MSR_ARYAMAN1_INT</t>
  </si>
  <si>
    <t>R7RA1257_1</t>
  </si>
  <si>
    <t>MSR_RAMYAMANASA_FIX_1CR_INT</t>
  </si>
  <si>
    <t>UTHO</t>
  </si>
  <si>
    <t>SHRIRHUF</t>
  </si>
  <si>
    <t>MSP_SHRI RAM_POS</t>
  </si>
  <si>
    <t>SMRITITR</t>
  </si>
  <si>
    <t>MSN_SMRITI TRIPATHI_POS</t>
  </si>
  <si>
    <t>D0098ONE</t>
  </si>
  <si>
    <t>XTS13_A7_FIX_2CR_INT</t>
  </si>
  <si>
    <t>ExcelStock_Xts</t>
  </si>
  <si>
    <t>MSR_AASTHAAG_INT</t>
  </si>
  <si>
    <r>
      <rPr>
        <rFont val="Calibri, sans-serif"/>
        <color rgb="FF1155CC"/>
        <sz val="11.0"/>
        <u/>
      </rPr>
      <t>http://fy261ap07:pass@10.124.0.17:11002</t>
    </r>
  </si>
  <si>
    <t>MSN_SANDEEPS1_POS</t>
  </si>
  <si>
    <t>MSN_BAXI4</t>
  </si>
  <si>
    <t>MSR_ABHISHT2_POS</t>
  </si>
  <si>
    <r>
      <rPr>
        <rFont val="Calibri, sans-serif"/>
        <color rgb="FF1155CC"/>
        <sz val="11.0"/>
        <u/>
      </rPr>
      <t>http://fy261ap09:pass@10.124.0.24:11002</t>
    </r>
  </si>
  <si>
    <t>MSR_KALPANAAG1_INT</t>
  </si>
  <si>
    <t>MSR_NARESH_INT</t>
  </si>
  <si>
    <r>
      <rPr>
        <rFont val="Calibri, sans-serif"/>
        <color rgb="FF1155CC"/>
        <sz val="11.0"/>
        <u/>
      </rPr>
      <t>http://fy261ap05:pass@10.124.0.17:11002</t>
    </r>
  </si>
  <si>
    <t>SANTOSH_ANANDRATHI_FIX_1CR_INT</t>
  </si>
  <si>
    <t>APAREEK1</t>
  </si>
  <si>
    <t>MSR_PAREEK_INT</t>
  </si>
  <si>
    <t>MSR_DAGA3_POS</t>
  </si>
  <si>
    <r>
      <rPr>
        <rFont val="Calibri, sans-serif"/>
        <color rgb="FF1155CC"/>
        <sz val="11.0"/>
        <u/>
      </rPr>
      <t>http://fy261ap06:pass@10.124.0.17:11002</t>
    </r>
  </si>
  <si>
    <t>LC34</t>
  </si>
  <si>
    <t>A1_RD_PK_INT</t>
  </si>
  <si>
    <t>MSR_SSGUPTA3_INT</t>
  </si>
  <si>
    <t>MSR_NIRJHAR_GOEL_POS</t>
  </si>
  <si>
    <t>B136</t>
  </si>
  <si>
    <t>A7_PACE_BSE_INT</t>
  </si>
  <si>
    <t>PaceXts</t>
  </si>
  <si>
    <r>
      <rPr>
        <rFont val="Calibri, sans-serif"/>
        <color rgb="FF1155CC"/>
        <sz val="11.0"/>
        <u/>
      </rPr>
      <t>http://fy261ap11:pass@10.124.0.102:11002</t>
    </r>
  </si>
  <si>
    <t>B135</t>
  </si>
  <si>
    <t>PACE_BSE_INT</t>
  </si>
  <si>
    <t>FY261AP08__3</t>
  </si>
  <si>
    <t>MSR_DIGVIJAY2</t>
  </si>
  <si>
    <r>
      <rPr>
        <rFont val="Calibri, sans-serif"/>
        <color rgb="FF1155CC"/>
        <sz val="11.0"/>
        <u/>
      </rPr>
      <t>http://fy261ap08:pass@10.124.0.24:11002</t>
    </r>
  </si>
  <si>
    <t>MSN_ALKA_AGARWAL_INT</t>
  </si>
  <si>
    <r>
      <rPr>
        <rFont val="Calibri, sans-serif"/>
        <color rgb="FF1155CC"/>
        <sz val="11.0"/>
        <u/>
      </rPr>
      <t>http://fy261ap05:pass@10.124.0.17:11002</t>
    </r>
  </si>
  <si>
    <t>MSN_DHRUV_SEHGAL_INT</t>
  </si>
  <si>
    <t>GPU50S059</t>
  </si>
  <si>
    <t>AR_SANDHYA_FIX_1CR_A7_INT</t>
  </si>
  <si>
    <r>
      <rPr>
        <rFont val="Calibri, sans-serif"/>
        <color rgb="FF1155CC"/>
        <sz val="11.0"/>
        <u/>
      </rPr>
      <t>http://fy261ap01:pass@10.124.0.42:11002</t>
    </r>
  </si>
  <si>
    <t>MSR_YOGESH4</t>
  </si>
  <si>
    <r>
      <rPr>
        <rFont val="Calibri, sans-serif"/>
        <color rgb="FF1155CC"/>
        <sz val="11.0"/>
        <u/>
      </rPr>
      <t>http://fy261ap08:pass@10.124.0.24:11002</t>
    </r>
  </si>
  <si>
    <t>SEJAL_A1_ANANDRATH_FIX1CR_INT</t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</si>
  <si>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</si>
  <si>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</si>
  <si>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t>AR_ANAND_FIX_1CR_A7_INT</t>
  </si>
  <si>
    <t>MSR_GINNI10_INT</t>
  </si>
  <si>
    <r>
      <rPr>
        <rFont val="Calibri, sans-serif"/>
        <color rgb="FF1155CC"/>
        <sz val="11.0"/>
        <u/>
      </rPr>
      <t>http://fy261ap07:pass@10.124.0.17:11002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</si>
  <si>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</si>
  <si>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t>BKISHAN0</t>
  </si>
  <si>
    <t>MSR_BALDEEP2_INT</t>
  </si>
  <si>
    <t>MSR_AJAY_AGARWAL1_3C</t>
  </si>
  <si>
    <t>MSR_BALDEEP_3C</t>
  </si>
  <si>
    <t>6KNS59402</t>
  </si>
  <si>
    <t>MSR_SJVJ4_INT</t>
  </si>
  <si>
    <t>7RDB0102</t>
  </si>
  <si>
    <t>MSN_VIDHI_DAGA_POS_FIX_1CR</t>
  </si>
  <si>
    <t>TRUSTAVI</t>
  </si>
  <si>
    <t>MSP_AVIKA_KOTHARI_TRUST_POS</t>
  </si>
  <si>
    <t>MSR_BHATNAGAR2_POS</t>
  </si>
  <si>
    <t>HYDPRR108</t>
  </si>
  <si>
    <t>A1_RAJ_KUMAR_ANANDRATHI_FIX1CR</t>
  </si>
  <si>
    <t>AR_MAHALXMI_FIX_1CR_A7_INT</t>
  </si>
  <si>
    <r>
      <rPr>
        <rFont val="Calibri, sans-serif"/>
        <color rgb="FF1155CC"/>
        <sz val="11.0"/>
        <u/>
      </rPr>
      <t>http://fy261ap08:pass@10.124.0.24:11002</t>
    </r>
  </si>
  <si>
    <t>JPBWA033</t>
  </si>
  <si>
    <t>AR_ABHISEKH_FIX_1CR_A7_INT</t>
  </si>
  <si>
    <t>A8_CITILINE_TEX_ARSSB_3C</t>
  </si>
  <si>
    <t>MSR_BAPNA1_POS</t>
  </si>
  <si>
    <t>SEJAL_A1_ANANDRATH_INT_FIX1CR</t>
  </si>
  <si>
    <t>RAJ_KUMAR_ANANDRATHI_INT_FIX_1CR</t>
  </si>
  <si>
    <t>MSR_GINNI11_INT</t>
  </si>
  <si>
    <r>
      <rPr>
        <rFont val="Calibri, sans-serif"/>
        <color rgb="FF1155CC"/>
        <sz val="11.0"/>
        <u/>
      </rPr>
      <t>http://fy261ap10:pass@10.124.0.102:11002</t>
    </r>
  </si>
  <si>
    <t>MSR_SSGUPTA2_INT</t>
  </si>
  <si>
    <t>RPRT261</t>
  </si>
  <si>
    <t>SANDHYA_TIWARI_ANADRATHI_FIX_1CR_INT</t>
  </si>
  <si>
    <t>MSP_PRAVEENKUMAR_POS</t>
  </si>
  <si>
    <t>A15_UMESH_AR1</t>
  </si>
  <si>
    <t>A15_PRASIDH_AR3</t>
  </si>
  <si>
    <t>MSP_MPRATIKJ</t>
  </si>
  <si>
    <t>PCDD3V111</t>
  </si>
  <si>
    <t>A15_VINOS_AR4</t>
  </si>
  <si>
    <t>LC40</t>
  </si>
  <si>
    <t>A15_PK_RDAN</t>
  </si>
  <si>
    <t>A7_RM_ACHINTYA_NEW_INT</t>
  </si>
  <si>
    <t>MSR_BANSAL2</t>
  </si>
  <si>
    <t>A19_RM_ACHINTYA_NEW</t>
  </si>
  <si>
    <r>
      <rPr>
        <rFont val="Calibri, sans-serif"/>
        <color rgb="FF1155CC"/>
        <sz val="11.0"/>
        <u/>
      </rPr>
      <t>http://fy261ap08:pass@10.124.0.24:11002</t>
    </r>
  </si>
  <si>
    <t>AJ008KC</t>
  </si>
  <si>
    <t>MSR_BANSAL1</t>
  </si>
  <si>
    <t>A1_RM_ACHINTYA_NEW_INT</t>
  </si>
  <si>
    <r>
      <rPr>
        <rFont val="Calibri, sans-serif"/>
        <color rgb="FF1155CC"/>
        <sz val="11.0"/>
        <u/>
      </rPr>
      <t>http://fy261ap08:pass@10.124.0.24:11002</t>
    </r>
  </si>
  <si>
    <t>MSS_SHYAM_INVESTMENT_INT</t>
  </si>
  <si>
    <r>
      <rPr>
        <rFont val="Calibri, sans-serif"/>
        <color rgb="FF1155CC"/>
        <sz val="11.0"/>
        <u/>
      </rPr>
      <t>http://F560HAP01:pass@10.124.0.42:11002</t>
    </r>
  </si>
  <si>
    <t>XTS13_A7_FIX_7CR_INT</t>
  </si>
  <si>
    <t>MSR_PRANSHU0</t>
  </si>
  <si>
    <t>-373145</t>
  </si>
  <si>
    <t>AKBHUF01</t>
  </si>
  <si>
    <t>2.4E+08</t>
  </si>
  <si>
    <t>MSR_VEDANGI1_POS</t>
  </si>
  <si>
    <r>
      <rPr>
        <rFont val="Calibri, sans-serif"/>
        <color rgb="FF1155CC"/>
        <sz val="11.0"/>
        <u/>
      </rPr>
      <t>http://xts1.srellp.com:9006</t>
    </r>
  </si>
  <si>
    <t>MKALANI0</t>
  </si>
  <si>
    <t>MSN_MANISHA_KALANI_INT</t>
  </si>
  <si>
    <t>SANDEJHA</t>
  </si>
  <si>
    <t>MSR_SJVJ5_INT</t>
  </si>
  <si>
    <t>MSR_RAJM3_INT</t>
  </si>
  <si>
    <t>KARANBHL</t>
  </si>
  <si>
    <t>MSN_KARANBHL_POS</t>
  </si>
  <si>
    <r>
      <rPr>
        <rFont val="Calibri, sans-serif"/>
        <color rgb="FF1155CC"/>
        <sz val="11.0"/>
        <u/>
      </rPr>
      <t>http://fy261ap07:pass@10.124.0.17:11002</t>
    </r>
  </si>
  <si>
    <t>CCV_VAIBHAVT_INT</t>
  </si>
  <si>
    <t>-112000</t>
  </si>
  <si>
    <t>REORETAI</t>
  </si>
  <si>
    <t>MSR_AJAY_AGARWAL2_INT</t>
  </si>
  <si>
    <t>MGUPTA20</t>
  </si>
  <si>
    <t>MSR_MANISHA_POS</t>
  </si>
  <si>
    <t>NANDITAY</t>
  </si>
  <si>
    <t>MSS_NANDITA_POS</t>
  </si>
  <si>
    <t>TRIPTIAG</t>
  </si>
  <si>
    <t>MSR_VIKASAGGARWAL1_INT</t>
  </si>
  <si>
    <t>A7_RD_NEW_INT</t>
  </si>
  <si>
    <t xml:space="preserve">Fund less then 1Cr still running Daily </t>
  </si>
  <si>
    <t>A1_MANISHT_DUB_INT</t>
  </si>
  <si>
    <t>JainamRetail_CF1_DMA</t>
  </si>
  <si>
    <t>DWH10008</t>
  </si>
  <si>
    <t>A27_F</t>
  </si>
  <si>
    <t>DWH10011</t>
  </si>
  <si>
    <t>A8_RM_PRSNL_8C</t>
  </si>
  <si>
    <t>SF207</t>
  </si>
  <si>
    <t>CCV_A19_KREDENT</t>
  </si>
  <si>
    <r>
      <rPr>
        <rFont val="Calibri, sans-serif"/>
        <color rgb="FF1155CC"/>
        <sz val="11.0"/>
        <u/>
      </rPr>
      <t>http://fy261ap01:pass@10.124.0.42:11002</t>
    </r>
  </si>
  <si>
    <t>SF206</t>
  </si>
  <si>
    <t>A7_KREDENT_PROP_INT</t>
  </si>
  <si>
    <t>MSN_PRATHI1_POS</t>
  </si>
  <si>
    <r>
      <rPr>
        <rFont val="Calibri, sans-serif"/>
        <color rgb="FF1155CC"/>
        <sz val="11.0"/>
        <u/>
      </rPr>
      <t>http://fy261ap05:pass@10.124.0.17:11002</t>
    </r>
  </si>
  <si>
    <t>7RIK2053</t>
  </si>
  <si>
    <t>MSR_VIKASAGGARWAL2_INT</t>
  </si>
  <si>
    <t>MSR_DIGVIJAY5_INT</t>
  </si>
  <si>
    <t>MSP_MARUNKK3</t>
  </si>
  <si>
    <r>
      <rPr>
        <rFont val="Calibri, sans-serif"/>
        <color rgb="FF1155CC"/>
        <sz val="11.0"/>
        <u/>
      </rPr>
      <t>http://fy261ap07:pass@10.124.0.17:11002</t>
    </r>
  </si>
  <si>
    <t>MSP_MANJU_KOTHARI_POS</t>
  </si>
  <si>
    <t>MSR_RYADAV2</t>
  </si>
  <si>
    <t>MSN_ANITA_INT</t>
  </si>
  <si>
    <r>
      <rPr>
        <rFont val="Calibri, sans-serif"/>
        <color rgb="FF1155CC"/>
        <sz val="11.0"/>
        <u/>
      </rPr>
      <t>http://fy261ap06:pass@10.124.0.17:11002</t>
    </r>
  </si>
  <si>
    <t>SURESHFJ</t>
  </si>
  <si>
    <t>MSN_FUTARMAL2_INT</t>
  </si>
  <si>
    <t>MSP_ANKUR_JAIN_HUF_POS</t>
  </si>
  <si>
    <r>
      <rPr>
        <rFont val="Calibri, sans-serif"/>
        <color rgb="FF1155CC"/>
        <sz val="11.0"/>
        <u/>
      </rPr>
      <t>http://fy261ap06:pass@10.124.0.17:11002</t>
    </r>
  </si>
  <si>
    <t>RAJAGRA0</t>
  </si>
  <si>
    <t>MSN_RAJ_KUMAR_POS</t>
  </si>
  <si>
    <t>MSR_SAHIL1</t>
  </si>
  <si>
    <t>A8_RD</t>
  </si>
  <si>
    <t>GDLF2K107</t>
  </si>
  <si>
    <t>A7_KAPIL_AR_FIX_1CR_INT</t>
  </si>
  <si>
    <t>MMUKESHS</t>
  </si>
  <si>
    <t>MSS_MUKESH_POS</t>
  </si>
  <si>
    <t>MSR_MSMELODIA5_INT</t>
  </si>
  <si>
    <t>7RIK2054</t>
  </si>
  <si>
    <t>MSR_ASR4_INT</t>
  </si>
  <si>
    <r>
      <rPr>
        <rFont val="Calibri, sans-serif"/>
        <color rgb="FF1155CC"/>
        <sz val="11.0"/>
        <u/>
      </rPr>
      <t>http://fy261ap10:pass@10.124.0.102:11002</t>
    </r>
  </si>
  <si>
    <t>SF205</t>
  </si>
  <si>
    <t>A1_KREDENT_PROP_INT</t>
  </si>
  <si>
    <t>GDLRGR101</t>
  </si>
  <si>
    <t>AR_RAJEEV_FIX_1CR_A7_INT</t>
  </si>
  <si>
    <t>MSS_SATISH_RATHI_AR_FIX1CR_INT</t>
  </si>
  <si>
    <t>MSR_LOYALKAV_POS</t>
  </si>
  <si>
    <r>
      <rPr>
        <rFont val="Calibri, sans-serif"/>
        <color rgb="FF1155CC"/>
        <sz val="11.0"/>
        <u/>
      </rPr>
      <t>http://fy261ap07:pass@10.124.0.17:11002</t>
    </r>
  </si>
  <si>
    <t>GDVU037</t>
  </si>
  <si>
    <t>A1_ANANDRATHI_3_INT</t>
  </si>
  <si>
    <t>MSR_PYADAV2_INT</t>
  </si>
  <si>
    <r>
      <rPr>
        <rFont val="Calibri, sans-serif"/>
        <color rgb="FF1155CC"/>
        <sz val="11.0"/>
        <u/>
      </rPr>
      <t>http://fy261ap05:pass@10.124.0.17:11002</t>
    </r>
  </si>
  <si>
    <t>MSR_PYADAV4_INT</t>
  </si>
  <si>
    <t>RPRS1477</t>
  </si>
  <si>
    <t>AR</t>
  </si>
  <si>
    <t>MSR_HITESH_CHAUDHARY_INT</t>
  </si>
  <si>
    <r>
      <rPr>
        <rFont val="Calibri, sans-serif"/>
        <color rgb="FF1155CC"/>
        <sz val="11.0"/>
        <u/>
      </rPr>
      <t>http://fy261ap10:pass@10.124.0.102:11002</t>
    </r>
  </si>
  <si>
    <t xml:space="preserve">RLSGTLTD </t>
  </si>
  <si>
    <t>CCV_RLSG_INT</t>
  </si>
  <si>
    <t>MSR_SAURABH_GUPTA_POS</t>
  </si>
  <si>
    <t>JIGHINGU</t>
  </si>
  <si>
    <t>MSV_HINGU_JIGNASHABEN_INT</t>
  </si>
  <si>
    <r>
      <rPr>
        <rFont val="Calibri, sans-serif"/>
        <color rgb="FF1155CC"/>
        <sz val="11.0"/>
        <u/>
      </rPr>
      <t>http://fy261ap05:pass@10.124.0.17:11002</t>
    </r>
  </si>
  <si>
    <t>NAMANJNN</t>
  </si>
  <si>
    <t xml:space="preserve"> MSN_FUTARMAL3_INT</t>
  </si>
  <si>
    <t>A15_ANANDRATHI_FIX1CR_INT_2</t>
  </si>
  <si>
    <t xml:space="preserve"> MSR_SHREYAB1_POS</t>
  </si>
  <si>
    <t>MSR_GINNI7</t>
  </si>
  <si>
    <r>
      <rPr>
        <rFont val="Calibri, sans-serif"/>
        <color rgb="FF1155CC"/>
        <sz val="11.0"/>
        <u/>
      </rPr>
      <t>http://fy261ap08:pass@10.124.0.24:11002</t>
    </r>
  </si>
  <si>
    <t>MBADAYA0</t>
  </si>
  <si>
    <t>MSR_MANOJ_POS</t>
  </si>
  <si>
    <t>GNPK766</t>
  </si>
  <si>
    <t>AR_THOMOS_FIX_1CR_A7_INT</t>
  </si>
  <si>
    <t>-166777</t>
  </si>
  <si>
    <t>GNP75P214</t>
  </si>
  <si>
    <r>
      <rPr>
        <rFont val="Calibri, sans-serif"/>
        <color rgb="FF1155CC"/>
        <sz val="11.0"/>
        <u/>
      </rPr>
      <t>http://fy261ap06:pass@10.124.0.17:11002</t>
    </r>
  </si>
  <si>
    <t>AR_PREMCHAND_FIX_1CR_A7_INT</t>
  </si>
  <si>
    <t>YASHSIN5</t>
  </si>
  <si>
    <t>MSR_SINGHVI_INT</t>
  </si>
  <si>
    <r>
      <rPr>
        <rFont val="Calibri, sans-serif"/>
        <color rgb="FF1155CC"/>
        <sz val="11.0"/>
        <u/>
      </rPr>
      <t>http://fy261ap01:pass@10.124.0.42:11002</t>
    </r>
  </si>
  <si>
    <t>MUKERANI</t>
  </si>
  <si>
    <t>MSR_ASR6_INT</t>
  </si>
  <si>
    <t>SRTN121</t>
  </si>
  <si>
    <t>AR_NEETA_FIX1CR_A7_INT</t>
  </si>
  <si>
    <t>GDLF2S109</t>
  </si>
  <si>
    <r>
      <rPr>
        <rFont val="Calibri, sans-serif"/>
        <color rgb="FF1155CC"/>
        <sz val="11.0"/>
        <u/>
      </rPr>
      <t>http://fy261ap01:pass@10.124.0.42:11002</t>
    </r>
  </si>
  <si>
    <t>A1_SALIGRAM_MITTAL_AR_INT</t>
  </si>
  <si>
    <t>MSR_ASR7</t>
  </si>
  <si>
    <r>
      <rPr>
        <rFont val="Calibri, sans-serif"/>
        <color rgb="FF1155CC"/>
        <sz val="11.0"/>
        <u/>
      </rPr>
      <t>http://fy261ap08:pass@10.124.0.24:11002</t>
    </r>
  </si>
  <si>
    <t>MSR_ASR8_INT</t>
  </si>
  <si>
    <r>
      <rPr>
        <rFont val="Calibri, sans-serif"/>
        <color rgb="FF1155CC"/>
        <sz val="11.0"/>
        <u/>
      </rPr>
      <t>http://fy261ap01:pass@10.124.0.42:11002</t>
    </r>
  </si>
  <si>
    <t>A8_AR</t>
  </si>
  <si>
    <t>MSP_SANJEEV</t>
  </si>
  <si>
    <t>A1_SHSHIKANT_SR_FIX_1CR_INT</t>
  </si>
  <si>
    <t>AR_CHEKKA_FIX1CR_A7_INT</t>
  </si>
  <si>
    <t>AR_ANISH_FIX1CR_A7_INT</t>
  </si>
  <si>
    <t>HYDHP184</t>
  </si>
  <si>
    <t>AR_PBK_FIX1CR_A7_INT</t>
  </si>
  <si>
    <t>GBYA367</t>
  </si>
  <si>
    <t>AR_ANJANI_FIX1CR_A7_INT</t>
  </si>
  <si>
    <t>MSR_BAGRODIA3_INT</t>
  </si>
  <si>
    <t>12315315</t>
  </si>
  <si>
    <t>MSR_RAJM6_INT</t>
  </si>
  <si>
    <t>ASVAHLTD</t>
  </si>
  <si>
    <t>MSR_AJAY_AGARWAL3_INT</t>
  </si>
  <si>
    <t>MSP_RENU JAIN</t>
  </si>
  <si>
    <t>102</t>
  </si>
  <si>
    <t>MSR_ASR9</t>
  </si>
  <si>
    <t>MSP_ARUNHUF_POS</t>
  </si>
  <si>
    <t>A15_ANANDRATHI_FIX1CR_INT_3</t>
  </si>
  <si>
    <r>
      <rPr>
        <rFont val="Calibri, sans-serif"/>
        <color rgb="FF1155CC"/>
        <sz val="11.0"/>
        <u/>
      </rPr>
      <t>http://fy261ap09:pass@10.124.0.24:11002</t>
    </r>
  </si>
  <si>
    <t>MSR_ASR10</t>
  </si>
  <si>
    <r>
      <rPr>
        <rFont val="Calibri, sans-serif"/>
        <color rgb="FF1155CC"/>
        <sz val="11.0"/>
        <u/>
      </rPr>
      <t>http://fy261ap01:pass@10.124.0.42:11002</t>
    </r>
  </si>
  <si>
    <t>GNP75R286</t>
  </si>
  <si>
    <t>A15_ANANDRATHI_FIX1CR_INT_5</t>
  </si>
  <si>
    <t>MUMPRP199</t>
  </si>
  <si>
    <t>A15_ANANDRATHI_FIX1CR_INT_6</t>
  </si>
  <si>
    <t>A12_13803</t>
  </si>
  <si>
    <t>12</t>
  </si>
  <si>
    <t>VPAREEK1</t>
  </si>
  <si>
    <t>MSR_PAREEK2_INT</t>
  </si>
  <si>
    <r>
      <rPr>
        <rFont val="Calibri, sans-serif"/>
        <color rgb="FF1155CC"/>
        <sz val="11.0"/>
        <u/>
      </rPr>
      <t>http://xts1.srellp.com:9001</t>
    </r>
  </si>
  <si>
    <t>67374092</t>
  </si>
  <si>
    <t>MSN_MANISH_PORWAL</t>
  </si>
  <si>
    <t>-167043</t>
  </si>
  <si>
    <t>7RIK2043</t>
  </si>
  <si>
    <r>
      <rPr>
        <rFont val="Calibri, sans-serif"/>
        <color rgb="FF1155CC"/>
        <sz val="11.0"/>
        <u/>
      </rPr>
      <t>http://fy261ap09:pass@10.124.0.24:11002</t>
    </r>
  </si>
  <si>
    <t>MSR_SSGUPTA8_INT</t>
  </si>
  <si>
    <t>AMITPAT0</t>
  </si>
  <si>
    <t>MSR_AMIT_PATODIYA_INT</t>
  </si>
  <si>
    <t>MSR_RAJM4</t>
  </si>
  <si>
    <r>
      <rPr>
        <rFont val="Calibri, sans-serif"/>
        <color rgb="FF1155CC"/>
        <sz val="11.0"/>
        <u/>
      </rPr>
      <t>http://fy261ap08:pass@10.124.0.24:11002</t>
    </r>
  </si>
  <si>
    <t>GSPL24</t>
  </si>
  <si>
    <t>A27_GSPL24</t>
  </si>
  <si>
    <t>CC11</t>
  </si>
  <si>
    <r>
      <rPr>
        <rFont val="Calibri, sans-serif"/>
        <color rgb="FF1155CC"/>
        <sz val="11.0"/>
        <u/>
      </rPr>
      <t>http://fy261ap01:pass@10.124.0.42:11002</t>
    </r>
  </si>
  <si>
    <t>A27_MTPRO</t>
  </si>
  <si>
    <t>MSN_NK_KOTHARI3_POS</t>
  </si>
  <si>
    <t>MSN_ALOYALKA1</t>
  </si>
  <si>
    <r>
      <rPr>
        <rFont val="Calibri, sans-serif"/>
        <color rgb="FF1155CC"/>
        <sz val="11.0"/>
        <u/>
      </rPr>
      <t>http://fy261ap07:pass@10.124.0.17:11002</t>
    </r>
  </si>
  <si>
    <t>HYDHC130</t>
  </si>
  <si>
    <t>A15_ANANDRATHI_FIX1CR_INT_8</t>
  </si>
  <si>
    <t>-166848</t>
  </si>
  <si>
    <r>
      <rPr>
        <rFont val="Calibri, sans-serif"/>
        <color rgb="FF1155CC"/>
        <sz val="11.0"/>
        <u/>
      </rPr>
      <t>http://fy261ap07:pass@10.124.0.17:11002</t>
    </r>
  </si>
  <si>
    <t>SBAXIENT</t>
  </si>
  <si>
    <t>MSN_BAXI5</t>
  </si>
  <si>
    <t>RASHIVTS</t>
  </si>
  <si>
    <t>MSP_RASHI_VATS_POS</t>
  </si>
  <si>
    <t>MSR_MAHESHWARI1_POS</t>
  </si>
  <si>
    <t>NN0002</t>
  </si>
  <si>
    <t>CCV_NIKUNJ_INT</t>
  </si>
  <si>
    <t>MSR_NITA_SRIVASTAV_POS</t>
  </si>
  <si>
    <t>IB0002</t>
  </si>
  <si>
    <t>CCV_BHAVINI_INT</t>
  </si>
  <si>
    <t>PCDD4N108</t>
  </si>
  <si>
    <t>MSP_SWATI_JAIN</t>
  </si>
  <si>
    <t>BAID1976</t>
  </si>
  <si>
    <t>MSN_BAID2_INT</t>
  </si>
  <si>
    <t>GDLF1A130</t>
  </si>
  <si>
    <t>MSS_ALOK_AR_FIX_1CR_INT</t>
  </si>
  <si>
    <t>TB2433A41</t>
  </si>
  <si>
    <r>
      <rPr>
        <rFont val="Calibri, sans-serif"/>
        <color rgb="FF1155CC"/>
        <sz val="11.0"/>
        <u/>
      </rPr>
      <t>http://fy261ap01:pass@10.124.0.42:11002</t>
    </r>
  </si>
  <si>
    <t>V401</t>
  </si>
  <si>
    <t>VLKNWL_INT</t>
  </si>
  <si>
    <t>MSR_RAJM7_INT</t>
  </si>
  <si>
    <t>V401B</t>
  </si>
  <si>
    <t>MSR_A15_BFFD</t>
  </si>
  <si>
    <t>CHOICE_XTS_DEALER</t>
  </si>
  <si>
    <t>MSR_A7_BFFD</t>
  </si>
  <si>
    <t>GNPS636</t>
  </si>
  <si>
    <t>MSS_ANURAG_AR_FIX_1_CR_INT</t>
  </si>
  <si>
    <t>MSR_A8_BFFD</t>
  </si>
  <si>
    <t>V401E</t>
  </si>
  <si>
    <t>MSR_A27_BFFD</t>
  </si>
  <si>
    <t>V401D</t>
  </si>
  <si>
    <t>MSR_A19_BFFD</t>
  </si>
  <si>
    <t>MSR_CHETAN_SINGHAL3_INT</t>
  </si>
  <si>
    <t>RPRA1148</t>
  </si>
  <si>
    <t>MSS_ANITA_LUNIA_AR_FIX_1CR_INT</t>
  </si>
  <si>
    <t>-166747</t>
  </si>
  <si>
    <t>MSR_BANSAL4_INT</t>
  </si>
  <si>
    <r>
      <rPr>
        <rFont val="Calibri, sans-serif"/>
        <color rgb="FF1155CC"/>
        <sz val="11.0"/>
        <u/>
      </rPr>
      <t>http://fy261ap07:pass@10.124.0.17:11002</t>
    </r>
  </si>
  <si>
    <t xml:space="preserve"> MSP_PINKY_INT</t>
  </si>
  <si>
    <t>TB2433A42</t>
  </si>
  <si>
    <r>
      <rPr>
        <rFont val="Calibri, sans-serif"/>
        <color rgb="FF1155CC"/>
        <sz val="11.0"/>
        <u/>
      </rPr>
      <t>http://115.247.146.146:9002</t>
    </r>
  </si>
  <si>
    <t>TB2433</t>
  </si>
  <si>
    <t>A15_JAINAM_NEW2</t>
  </si>
  <si>
    <t>MSR_A27_VBD_ZETA</t>
  </si>
  <si>
    <t>-204000</t>
  </si>
  <si>
    <t>A1_NISHANTAGR</t>
  </si>
  <si>
    <t>NAMITBAJ</t>
  </si>
  <si>
    <r>
      <rPr>
        <rFont val="Calibri, sans-serif"/>
        <color rgb="FF1155CC"/>
        <sz val="11.0"/>
        <u/>
      </rPr>
      <t>http://xts1.srellp.com:9007</t>
    </r>
  </si>
  <si>
    <t>MSN_NAMIT_BAJORIA_INT</t>
  </si>
  <si>
    <t>A15_AR9</t>
  </si>
  <si>
    <t>-160000</t>
  </si>
  <si>
    <t>CC_A7_GSPL11_FIX_2CR_INT</t>
  </si>
  <si>
    <t>A15_GMAM_AR_FIX_1CR</t>
  </si>
  <si>
    <r>
      <rPr>
        <rFont val="Calibri, sans-serif"/>
        <color rgb="FF1155CC"/>
        <sz val="11.0"/>
        <u/>
      </rPr>
      <t>http://LT5:pass@10.124.0.24:11002</t>
    </r>
  </si>
  <si>
    <t>MSV_VIVEK THEBARIA_POS</t>
  </si>
  <si>
    <t>7RIK2062</t>
  </si>
  <si>
    <t>MSR_SHWETA_AGARWAL_POS</t>
  </si>
  <si>
    <t>MSR_CHETAN_SINGHAL4</t>
  </si>
  <si>
    <r>
      <rPr>
        <rFont val="Calibri, sans-serif"/>
        <color rgb="FF1155CC"/>
        <sz val="11.0"/>
        <u/>
      </rPr>
      <t>http://fy261ap05:pass@10.124.0.17:11002</t>
    </r>
  </si>
  <si>
    <t>RITUMINO</t>
  </si>
  <si>
    <t>MSP_RITU_MINOCHA_INT</t>
  </si>
  <si>
    <t>MRAVIBHA</t>
  </si>
  <si>
    <t>MSR_RAVI_BHANDARI_INT</t>
  </si>
  <si>
    <t>A8_13791_RM</t>
  </si>
  <si>
    <t>MSP_RAJ_SHREE_JAIN_POS</t>
  </si>
  <si>
    <r>
      <rPr>
        <rFont val="Calibri, sans-serif"/>
        <color rgb="FF1155CC"/>
        <sz val="11.0"/>
        <u/>
      </rPr>
      <t>http://xts1.srellp.com:9005</t>
    </r>
  </si>
  <si>
    <t>PSAROJ02</t>
  </si>
  <si>
    <t>MSP_SAROJ_PAREEK_INT</t>
  </si>
  <si>
    <t>ALGO02</t>
  </si>
  <si>
    <t>MSS_A1_ASHIKA_FIX1CR_INT</t>
  </si>
  <si>
    <t>ASHIKAXTS</t>
  </si>
  <si>
    <t>S0393FOUR</t>
  </si>
  <si>
    <r>
      <rPr>
        <rFont val="Calibri, sans-serif"/>
        <color rgb="FF1155CC"/>
        <sz val="11.0"/>
        <u/>
      </rPr>
      <t>http://F560HAP01:pass@10.124.0.42:11002</t>
    </r>
  </si>
  <si>
    <t>Z0004FOUR</t>
  </si>
  <si>
    <r>
      <rPr>
        <rFont val="Calibri, sans-serif"/>
        <color rgb="FF1155CC"/>
        <sz val="11.0"/>
        <u/>
      </rPr>
      <t>http://fy261ap05:pass@10.124.0.17:11002</t>
    </r>
  </si>
  <si>
    <t>GNPS55</t>
  </si>
  <si>
    <t>MSS_RAJESHWARI_AR_FIX_1CR_INT</t>
  </si>
  <si>
    <t>-163139</t>
  </si>
  <si>
    <r>
      <rPr>
        <rFont val="Calibri, sans-serif"/>
        <color rgb="FF1155CC"/>
        <sz val="11.0"/>
        <u/>
      </rPr>
      <t>http://fy261ap09:pass@10.124.0.24:11002</t>
    </r>
  </si>
  <si>
    <t>MSR_A27_ANKITBONSAI</t>
  </si>
  <si>
    <t>PUNK178</t>
  </si>
  <si>
    <t>MSS_KUBERFAMILY_TRUST_AR_FIX_1XR_INT</t>
  </si>
  <si>
    <t>A18_15220</t>
  </si>
  <si>
    <t>18</t>
  </si>
  <si>
    <t>MSR_MEHTA3_POS</t>
  </si>
  <si>
    <r>
      <rPr>
        <rFont val="Calibri, sans-serif"/>
        <color rgb="FF1155CC"/>
        <sz val="11.0"/>
        <u/>
      </rPr>
      <t>http://colo.srellp.com:9004</t>
    </r>
  </si>
  <si>
    <t>ALGO01</t>
  </si>
  <si>
    <t>ASHIKA_CLIENT</t>
  </si>
  <si>
    <t>AshikaXTS</t>
  </si>
  <si>
    <t>SINGHVIF</t>
  </si>
  <si>
    <t>MSR_SINGHVI2_INT</t>
  </si>
  <si>
    <t>SURTCS231</t>
  </si>
  <si>
    <t>MSS_SATISHKUMAR_CP_FIX_!CR_INT</t>
  </si>
  <si>
    <t>MSR_A8_SHREESHYAM_4C</t>
  </si>
  <si>
    <t>MSR_A8_VBD_ZETA</t>
  </si>
  <si>
    <t>7RIK2008</t>
  </si>
  <si>
    <t>-50000</t>
  </si>
  <si>
    <t>MSS_A8_ASHIKA</t>
  </si>
  <si>
    <t>RAHUL_TICK</t>
  </si>
  <si>
    <t>Z SERVER</t>
  </si>
  <si>
    <t>5E+08</t>
  </si>
  <si>
    <t>86214033</t>
  </si>
  <si>
    <t>MSP_YASH_GUJARANI_INT</t>
  </si>
  <si>
    <t>CCV_AMITD_HUF_POS</t>
  </si>
  <si>
    <t>MUMPRS311</t>
  </si>
  <si>
    <r>
      <rPr>
        <rFont val="Calibri, sans-serif"/>
        <color rgb="FF1155CC"/>
        <sz val="11.0"/>
        <u/>
      </rPr>
      <t>http://F560HAP01:pass@10.124.0.42:11002</t>
    </r>
  </si>
  <si>
    <t>MSS_SAUJANYA_AR_FIX1CR_INT</t>
  </si>
  <si>
    <t>GKOPVS289</t>
  </si>
  <si>
    <t>MSS_GKOPVS_AR_FIX_1CR</t>
  </si>
  <si>
    <t>test_user_do_not_interact</t>
  </si>
  <si>
    <t>SNEHAS21</t>
  </si>
  <si>
    <t>-154000</t>
  </si>
  <si>
    <t>ANURAGKN</t>
  </si>
  <si>
    <t>22000000</t>
  </si>
  <si>
    <t>MSN_ANUPAM_KANODIA2_INT</t>
  </si>
  <si>
    <t>A8_VT_6C</t>
  </si>
  <si>
    <t>A8_PS_6C</t>
  </si>
  <si>
    <r>
      <rPr>
        <rFont val="Calibri, sans-serif"/>
        <color rgb="FF1155CC"/>
        <sz val="11.0"/>
        <u/>
      </rPr>
      <t>http://colo.srellp.com:9010</t>
    </r>
  </si>
  <si>
    <t>GNP12R161</t>
  </si>
  <si>
    <t>MSS_RAJESH_MOHANLAL_AR_FIX_1CR_INT</t>
  </si>
  <si>
    <t>ExcelXtsPro</t>
  </si>
  <si>
    <t>GKOCDS139</t>
  </si>
  <si>
    <t>MSS_SUDIP_AR_FIX_1CR_INT</t>
  </si>
  <si>
    <t>MDR2S1147</t>
  </si>
  <si>
    <t>MSS_SHAJI_AR_FIX_1CR_INT</t>
  </si>
  <si>
    <r>
      <rPr>
        <rFont val="Calibri, sans-serif"/>
        <color rgb="FF1155CC"/>
        <sz val="11.0"/>
        <u/>
      </rPr>
      <t>http://fy261ap01:pass@10.124.0.42:11002</t>
    </r>
  </si>
  <si>
    <t>HYDPRS137</t>
  </si>
  <si>
    <t>MSS_SUDHAKAR_AR_FIX_1CR_INT</t>
  </si>
  <si>
    <t>MSR_RAJM1_INT</t>
  </si>
  <si>
    <r>
      <rPr>
        <rFont val="Calibri, sans-serif"/>
        <color rgb="FF1155CC"/>
        <sz val="11.0"/>
        <u/>
      </rPr>
      <t>http://fy261ap10:pass@10.124.0.102:11002</t>
    </r>
  </si>
  <si>
    <t>HMT1P006</t>
  </si>
  <si>
    <t>MSS_PIYUSH_AR_FIX1CR_INT</t>
  </si>
  <si>
    <t>48427849</t>
  </si>
  <si>
    <t>MSP_BL_SHARMA_INT</t>
  </si>
  <si>
    <t>NEHAWARI</t>
  </si>
  <si>
    <t>MSR_NEHA_MAHESHWARI_INT</t>
  </si>
  <si>
    <t>TAMSRLLP</t>
  </si>
  <si>
    <t>MSR_AJAY_AGARWAL4_INT</t>
  </si>
  <si>
    <t>MSR_RAJM5_INT</t>
  </si>
  <si>
    <t>ALBDP216</t>
  </si>
  <si>
    <t>MSS_PRANAV_AR_FIX_1CR_INT</t>
  </si>
  <si>
    <t>KBEA594</t>
  </si>
  <si>
    <t>MSS_ANKIT_AR_FIX_1CR_INT</t>
  </si>
  <si>
    <t>RPRS1442</t>
  </si>
  <si>
    <t>MSS_SARIKA_AR_FIX_1CR_INT</t>
  </si>
  <si>
    <t>MSS_BHUTRA_AR_FIX_3C</t>
  </si>
  <si>
    <t>MSS_ULIKE</t>
  </si>
  <si>
    <t>-880000</t>
  </si>
  <si>
    <t>MSS_A7_RM_ACHINTYA_POS</t>
  </si>
  <si>
    <t>1.1E+08</t>
  </si>
  <si>
    <t>LD480CC</t>
  </si>
  <si>
    <t>GKOPV5N135</t>
  </si>
  <si>
    <t>MSS_NIRMAL_ENTERPRISES_AR_FIX_1CR_INT</t>
  </si>
  <si>
    <t>MSS_A1_RM_ACHINTYA_INT</t>
  </si>
  <si>
    <t>7RIK2070</t>
  </si>
  <si>
    <t>MSR_MANOJ1_INT</t>
  </si>
  <si>
    <t>RLSGTLTD</t>
  </si>
  <si>
    <t>A17_RM2</t>
  </si>
  <si>
    <r>
      <rPr>
        <rFont val="Calibri, sans-serif"/>
        <color rgb="FF1155CC"/>
        <sz val="11.0"/>
        <u/>
      </rPr>
      <t>http://xts1.srellp.com:9004</t>
    </r>
  </si>
  <si>
    <t>GDLH3M121</t>
  </si>
  <si>
    <t>MSS_MANISH_AR_FIX_1CR_INT</t>
  </si>
  <si>
    <t>SMRIDULA</t>
  </si>
  <si>
    <t>MNARUKA1</t>
  </si>
  <si>
    <r>
      <rPr>
        <rFont val="Calibri, sans-serif"/>
        <color rgb="FF1155CC"/>
        <sz val="11.0"/>
        <u/>
      </rPr>
      <t>http://fy261ap01:pass@10.124.0.42:11002</t>
    </r>
  </si>
  <si>
    <t>7RIK2069</t>
  </si>
  <si>
    <t xml:space="preserve"> MSV_SHILPAM_INT</t>
  </si>
  <si>
    <t>MSP_BAL_MUKUND_POS</t>
  </si>
  <si>
    <t>KAPILGL1</t>
  </si>
  <si>
    <t>MSP_KAPIL_GANGWAL_INT</t>
  </si>
  <si>
    <r>
      <rPr>
        <rFont val="Calibri, sans-serif"/>
        <color rgb="FF1155CC"/>
        <sz val="11.0"/>
        <u/>
      </rPr>
      <t>http://fy261ap09:pass@10.124.0.24:11002</t>
    </r>
  </si>
  <si>
    <t>MSP_DEEPAM_GUJRANI_POS</t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</si>
  <si>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</si>
  <si>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</si>
  <si>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t>MSP_VIKAS_JEPH_HUF</t>
  </si>
  <si>
    <r>
      <rPr>
        <rFont val="Calibri, sans-serif"/>
        <color rgb="FF1155CC"/>
        <sz val="11.0"/>
        <u/>
      </rPr>
      <t>http://fy261ap07:pass@10.124.0.17:11002</t>
    </r>
  </si>
  <si>
    <t>-300000</t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</si>
  <si>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</si>
  <si>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</si>
  <si>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http://colo.srellp.com:9006</t>
    </r>
  </si>
  <si>
    <t>JAINAM_SMPC</t>
  </si>
  <si>
    <t>-400000</t>
  </si>
  <si>
    <t>MSR_MUKUND_FIX_1CR_POS</t>
  </si>
  <si>
    <r>
      <rPr>
        <rFont val="Calibri, sans-serif"/>
        <color rgb="FF1155CC"/>
        <sz val="11.0"/>
        <u/>
      </rPr>
      <t>http://fy261ap06:pass@10.124.0.17:11002</t>
    </r>
  </si>
  <si>
    <t>MSP_MXA_ESTATE_POS</t>
  </si>
  <si>
    <r>
      <rPr>
        <rFont val="Calibri, sans-serif"/>
        <color rgb="FF1155CC"/>
        <sz val="11.0"/>
        <u/>
      </rPr>
      <t>http://fy261ap09:pass@10.124.0.24:11002</t>
    </r>
  </si>
  <si>
    <t>MSR_MONA1_POS</t>
  </si>
  <si>
    <t>MSR_ASHOKMASKARA</t>
  </si>
  <si>
    <t>MSR_MAHAJANI1_POS</t>
  </si>
  <si>
    <t>MSP_RAJUL_R_JOSHI</t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</si>
  <si>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</si>
  <si>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http://colo.srellp.com:9005</t>
    </r>
  </si>
  <si>
    <t>MSR_MAHAJANI2_POS</t>
  </si>
  <si>
    <r>
      <rPr>
        <rFont val="Calibri, sans-serif"/>
        <color rgb="FF1155CC"/>
        <sz val="11.0"/>
        <u/>
      </rPr>
      <t>http://fy261ap05:pass@10.124.0.17:11002</t>
    </r>
  </si>
  <si>
    <t>MSN_SANDEEP_RANGER_POS</t>
  </si>
  <si>
    <r>
      <rPr>
        <rFont val="Calibri, sans-serif"/>
        <color rgb="FF1155CC"/>
        <sz val="11.0"/>
        <u/>
      </rPr>
      <t>http://fy261ap09:pass@10.124.0.24:11002</t>
    </r>
  </si>
  <si>
    <t>-166846</t>
  </si>
  <si>
    <r>
      <rPr>
        <rFont val="Calibri, sans-serif"/>
        <color rgb="FF1155CC"/>
        <sz val="11.0"/>
        <u/>
      </rPr>
      <t>http://fy261ap07:pass@10.124.0.17:11002</t>
    </r>
  </si>
  <si>
    <t>MSR_VAIBHAVG1_POS</t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</si>
  <si>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</si>
  <si>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</si>
  <si>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t>MSR_JAGDISH_PRASAD_AGARWAL_POS</t>
  </si>
  <si>
    <r>
      <rPr>
        <rFont val="Calibri, sans-serif"/>
        <color rgb="FF1155CC"/>
        <sz val="11.0"/>
        <u/>
      </rPr>
      <t>http://fy261ap06:pass@10.124.0.17:11002</t>
    </r>
  </si>
  <si>
    <t>MSN_DALMIA2_POS</t>
  </si>
  <si>
    <t>MSP_NEHA_GATTANI</t>
  </si>
  <si>
    <r>
      <rPr>
        <rFont val="Calibri, sans-serif"/>
        <color rgb="FF1155CC"/>
        <sz val="11.0"/>
        <u/>
      </rPr>
      <t>http://fy261ap05:pass@10.124.0.17:11002</t>
    </r>
  </si>
  <si>
    <t>MSR_MANGAL</t>
  </si>
  <si>
    <r>
      <rPr>
        <rFont val="Calibri, sans-serif"/>
        <color rgb="FF1155CC"/>
        <sz val="11.0"/>
        <u/>
      </rPr>
      <t>http://fy261ap07:pass@10.124.0.17:11002</t>
    </r>
  </si>
  <si>
    <t>1E+08</t>
  </si>
  <si>
    <r>
      <rPr>
        <rFont val="Calibri, sans-serif"/>
        <color rgb="FF1155CC"/>
        <sz val="11.0"/>
        <u/>
      </rPr>
      <t>http://fy261ap01:pass@10.124.0.42:11002</t>
    </r>
  </si>
  <si>
    <t>MSN_PRATHI3_POS</t>
  </si>
  <si>
    <r>
      <rPr>
        <rFont val="Calibri, sans-serif"/>
        <color rgb="FF1155CC"/>
        <sz val="11.0"/>
        <u/>
      </rPr>
      <t>http://xts1.srellp.com:9008</t>
    </r>
  </si>
  <si>
    <t>MSN_BAXI1_INT</t>
  </si>
  <si>
    <r>
      <rPr>
        <rFont val="Calibri, sans-serif"/>
        <color rgb="FF1155CC"/>
        <sz val="11.0"/>
        <u/>
      </rPr>
      <t>http://fy261ap10:pass@10.124.0.102:11002</t>
    </r>
  </si>
  <si>
    <t>-620000</t>
  </si>
  <si>
    <t>62000000</t>
  </si>
  <si>
    <t>MSP_KHUSHI AGARWAL_POS</t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</si>
  <si>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</si>
  <si>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http://xts1.srellp.com:9010</t>
    </r>
  </si>
  <si>
    <t>MSN_NAVEENTRIPATHI_POS</t>
  </si>
  <si>
    <r>
      <rPr>
        <rFont val="Calibri, sans-serif"/>
        <color rgb="FF1155CC"/>
        <sz val="11.0"/>
        <u/>
      </rPr>
      <t>http://fy261ap07:pass@10.124.0.17:11002</t>
    </r>
  </si>
  <si>
    <r>
      <rPr>
        <rFont val="Calibri, sans-serif"/>
        <color rgb="FF1155CC"/>
        <sz val="11.0"/>
        <u/>
      </rPr>
      <t>http://xts1.srellp.com:9011</t>
    </r>
  </si>
  <si>
    <r>
      <rPr>
        <rFont val="Calibri, sans-serif"/>
        <color rgb="FF1155CC"/>
        <sz val="11.0"/>
        <u/>
      </rPr>
      <t>http://F560HAP01:pass@10.124.0.42:11002</t>
    </r>
  </si>
  <si>
    <t>MSN_ANUPAM_KANODIA_POS</t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</si>
  <si>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</si>
  <si>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</si>
  <si>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http://fy261ap06:pass@10.124.0.17:11002</t>
    </r>
  </si>
  <si>
    <t>MSR_ASHUTOSH_NANDAN_GOYAL_POS</t>
  </si>
  <si>
    <r>
      <rPr>
        <rFont val="Calibri, sans-serif"/>
        <color rgb="FF1155CC"/>
        <sz val="11.0"/>
        <u/>
      </rPr>
      <t>http://fy261ap06:pass@10.124.0.17:11002</t>
    </r>
  </si>
  <si>
    <t>MSR_RITESHGARG_POS</t>
  </si>
  <si>
    <r>
      <rPr>
        <rFont val="Calibri, sans-serif"/>
        <color rgb="FF1155CC"/>
        <sz val="11.0"/>
        <u/>
      </rPr>
      <t>http://fy261ap05:pass@10.124.0.17:11002</t>
    </r>
  </si>
  <si>
    <t>MSN_BAXI2_INT</t>
  </si>
  <si>
    <r>
      <rPr>
        <rFont val="Calibri, sans-serif"/>
        <color rgb="FF1155CC"/>
        <sz val="11.0"/>
        <u/>
      </rPr>
      <t>http://fy261ap07:pass@10.124.0.17:11002</t>
    </r>
  </si>
  <si>
    <t>MSR_SONI_KISHOREH_POS</t>
  </si>
  <si>
    <r>
      <rPr>
        <rFont val="Calibri, sans-serif"/>
        <color rgb="FF1155CC"/>
        <sz val="11.0"/>
        <u/>
      </rPr>
      <t>http://fy261ap05:pass@10.124.0.17:11002</t>
    </r>
  </si>
  <si>
    <t>MSR_DIGVIJAY3_INT</t>
  </si>
  <si>
    <r>
      <rPr>
        <rFont val="Calibri, sans-serif"/>
        <color rgb="FF1155CC"/>
        <sz val="11.0"/>
        <u/>
      </rPr>
      <t>http://fy261ap05:pass@10.124.0.17:11002</t>
    </r>
  </si>
  <si>
    <t>MSR_SANDEEP_SHARMA_POS</t>
  </si>
  <si>
    <r>
      <rPr>
        <rFont val="Calibri, sans-serif"/>
        <color rgb="FF1155CC"/>
        <sz val="11.0"/>
        <u/>
      </rPr>
      <t>http://fy261ap09:pass@10.124.0.24:11002</t>
    </r>
  </si>
  <si>
    <t>CC_A2_DLDH126_FIX_2CR</t>
  </si>
  <si>
    <t>CC_A15_DLDH127_FIX_2CR</t>
  </si>
  <si>
    <t xml:space="preserve"> </t>
  </si>
  <si>
    <t>CC_A2_GSPL15_FIX_2CR_INT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</si>
  <si>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</si>
  <si>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</si>
  <si>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</si>
  <si>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http://fy261ap05:pass@10.124.0.17:11002</t>
    </r>
  </si>
  <si>
    <t>MSN_ANKUR_KOTHARI_POS</t>
  </si>
  <si>
    <r>
      <rPr>
        <rFont val="Calibri, sans-serif"/>
        <color rgb="FF1155CC"/>
        <sz val="11.0"/>
        <u/>
      </rPr>
      <t>http://fy261ap06:pass@10.124.0.17:11002</t>
    </r>
  </si>
  <si>
    <t>MSN_SHAILESH_JHAW_POS</t>
  </si>
  <si>
    <r>
      <rPr>
        <rFont val="Calibri, sans-serif"/>
        <color rgb="FF1155CC"/>
        <sz val="11.0"/>
        <u/>
      </rPr>
      <t>http://fy261ap05:pass@10.124.0.17:11002</t>
    </r>
  </si>
  <si>
    <t>MSN_RAJESHS_POS</t>
  </si>
  <si>
    <r>
      <rPr>
        <rFont val="Calibri, sans-serif"/>
        <color rgb="FF1155CC"/>
        <sz val="11.0"/>
        <u/>
      </rPr>
      <t>http://fy261ap07:pass@10.124.0.17:11002</t>
    </r>
  </si>
  <si>
    <t>MSN_DAKSHARAJ_SHAH_POS</t>
  </si>
  <si>
    <r>
      <rPr>
        <rFont val="Calibri, sans-serif"/>
        <color rgb="FF1155CC"/>
        <sz val="11.0"/>
        <u/>
      </rPr>
      <t>http://fy261ap05:pass@10.124.0.17:11002</t>
    </r>
  </si>
  <si>
    <t>MSN_DALMIA1_POS</t>
  </si>
  <si>
    <r>
      <rPr>
        <rFont val="Calibri, sans-serif"/>
        <color rgb="FF1155CC"/>
        <sz val="11.0"/>
        <u/>
      </rPr>
      <t>http://fy261ap09:pass@10.124.0.24:11002</t>
    </r>
  </si>
  <si>
    <t>MSN_VIPINKJAIN_POS</t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</si>
  <si>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</si>
  <si>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</si>
  <si>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t>MSN_ADWITIYA_GOENKA_POS</t>
  </si>
  <si>
    <r>
      <rPr>
        <rFont val="Calibri, sans-serif"/>
        <color rgb="FF1155CC"/>
        <sz val="11.0"/>
        <u/>
      </rPr>
      <t>http://fy261ap06:pass@10.124.0.17:11002</t>
    </r>
  </si>
  <si>
    <t>MSR_ANU_GEORGE_POS</t>
  </si>
  <si>
    <r>
      <rPr>
        <rFont val="Calibri, sans-serif"/>
        <color rgb="FF1155CC"/>
        <sz val="11.0"/>
        <u/>
      </rPr>
      <t>http://fy261ap06:pass@10.124.0.17:11002</t>
    </r>
  </si>
  <si>
    <t>-15000</t>
  </si>
  <si>
    <t>1208</t>
  </si>
  <si>
    <t>1.5E+08</t>
  </si>
  <si>
    <t>-163155</t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</si>
  <si>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</si>
  <si>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</si>
  <si>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http://xts1.srellp.com:9006</t>
    </r>
  </si>
  <si>
    <t>-140000</t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</si>
  <si>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</si>
  <si>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</si>
  <si>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http://106.51.143.71:9003</t>
    </r>
  </si>
  <si>
    <t>CC_GOVINDAB2</t>
  </si>
  <si>
    <t>AJ008DE</t>
  </si>
  <si>
    <t>-600000</t>
  </si>
  <si>
    <t>A15_RM_NEW</t>
  </si>
  <si>
    <t>60000000</t>
  </si>
  <si>
    <r>
      <rPr>
        <rFont val="Calibri, sans-serif"/>
        <color rgb="FF1155CC"/>
        <sz val="11.0"/>
        <u/>
      </rPr>
      <t>http://F560HAP01:pass@10.124.0.42:11002</t>
    </r>
  </si>
  <si>
    <t>SHARE_INDIA_2</t>
  </si>
  <si>
    <t>CCV_A1_SISL_FIX_4CR_INT</t>
  </si>
  <si>
    <r>
      <rPr>
        <rFont val="Calibri, sans-serif"/>
        <color rgb="FF1155CC"/>
        <sz val="11.0"/>
        <u/>
      </rPr>
      <t>http://LT5:pass@10.124.0.24:11002</t>
    </r>
  </si>
  <si>
    <t>MSP_RAHUL_JAIN_HUF_POS</t>
  </si>
  <si>
    <r>
      <rPr>
        <rFont val="Calibri, sans-serif"/>
        <color rgb="FF1155CC"/>
        <sz val="11.0"/>
        <u/>
      </rPr>
      <t>http://fy261ap05:pass@10.124.0.17:11002</t>
    </r>
  </si>
  <si>
    <t>-2040000</t>
  </si>
  <si>
    <t>1.7E+08</t>
  </si>
  <si>
    <r>
      <rPr>
        <rFont val="Calibri, sans-serif"/>
        <color rgb="FF1155CC"/>
        <sz val="11.0"/>
        <u/>
      </rPr>
      <t>http://F560HAP01:pass@10.124.0.42:11002</t>
    </r>
  </si>
  <si>
    <t>MSR_PTAK1_fix_7CR_INT</t>
  </si>
  <si>
    <t>MSR_PTAK3</t>
  </si>
  <si>
    <t>MSR_AJAY_TAMBI_POS</t>
  </si>
  <si>
    <r>
      <rPr>
        <rFont val="Calibri, sans-serif"/>
        <color rgb="FF1155CC"/>
        <sz val="11.0"/>
        <u/>
      </rPr>
      <t>http://fy261ap06:pass@10.124.0.17:11002</t>
    </r>
  </si>
  <si>
    <t>MSR_SHASHI_MOHAN_SHARMA_POS</t>
  </si>
  <si>
    <r>
      <rPr>
        <rFont val="Calibri, sans-serif"/>
        <color rgb="FF1155CC"/>
        <sz val="11.0"/>
        <u/>
      </rPr>
      <t>http://fy261ap06:pass@10.124.0.17:11002</t>
    </r>
  </si>
  <si>
    <t>MSR_PTAK4_INT</t>
  </si>
  <si>
    <r>
      <rPr>
        <rFont val="Calibri, sans-serif"/>
        <color rgb="FF1155CC"/>
        <sz val="11.0"/>
        <u/>
      </rPr>
      <t>http://fy261ap07:pass@10.124.0.17:11002</t>
    </r>
  </si>
  <si>
    <t>MSP_MGOURAV_POS</t>
  </si>
  <si>
    <r>
      <rPr>
        <rFont val="Calibri, sans-serif"/>
        <color rgb="FF1155CC"/>
        <sz val="11.0"/>
        <u/>
      </rPr>
      <t>http://fy261ap08:pass@10.124.0.24:11002</t>
    </r>
  </si>
  <si>
    <t>-166762</t>
  </si>
  <si>
    <r>
      <rPr>
        <rFont val="Calibri, sans-serif"/>
        <color rgb="FF1155CC"/>
        <sz val="11.0"/>
        <u/>
      </rPr>
      <t>http://fy261ap06:pass@10.124.0.17:11002</t>
    </r>
  </si>
  <si>
    <t>-122990</t>
  </si>
  <si>
    <r>
      <rPr>
        <rFont val="Calibri, sans-serif"/>
        <color rgb="FF1155CC"/>
        <sz val="11.0"/>
        <u/>
      </rPr>
      <t>http://LT5:pass@10.124.0.24:11002</t>
    </r>
  </si>
  <si>
    <t>CC_A19_GOVINDAB</t>
  </si>
  <si>
    <r>
      <rPr>
        <rFont val="Calibri, sans-serif"/>
        <color rgb="FF1155CC"/>
        <sz val="11.0"/>
        <u/>
      </rPr>
      <t>http://F560HAP03:pass@10.124.0.24:11002</t>
    </r>
  </si>
  <si>
    <t>MSN_SANDEEPS2_POS</t>
  </si>
  <si>
    <t>DS0393</t>
  </si>
  <si>
    <t>DEALER_EXCEL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</si>
  <si>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</si>
  <si>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</si>
  <si>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</si>
  <si>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t>-180000</t>
  </si>
  <si>
    <t>-1.8E+07</t>
  </si>
  <si>
    <t>CC_A7_XLDH142_FIX_3CR_INT</t>
  </si>
  <si>
    <t>FY261AP01__0</t>
  </si>
  <si>
    <t>Z DLR ACC</t>
  </si>
  <si>
    <r>
      <rPr>
        <rFont val="Calibri, sans-serif"/>
        <color rgb="FF1155CC"/>
        <sz val="11.0"/>
        <u/>
      </rPr>
      <t>http://fy261ap01:pass@10.124.0.42:11002</t>
    </r>
  </si>
  <si>
    <t>MSN_POONAM_MADAN_POS</t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</si>
  <si>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</si>
  <si>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</si>
  <si>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t>-560923</t>
  </si>
  <si>
    <r>
      <rPr>
        <rFont val="Calibri, sans-serif"/>
        <color rgb="FF1155CC"/>
        <sz val="11.0"/>
        <u/>
      </rPr>
      <t>http://GT5:pass@10.124.0.42:11002</t>
    </r>
  </si>
  <si>
    <t>7RIK2011</t>
  </si>
  <si>
    <t>AVINASH_TICK</t>
  </si>
  <si>
    <r>
      <rPr>
        <rFont val="Calibri, sans-serif"/>
        <color rgb="FF1155CC"/>
        <sz val="11.0"/>
        <u/>
      </rPr>
      <t>http://fy261ap07:pass@10.124.0.17:11002</t>
    </r>
  </si>
  <si>
    <t>SHARE_INDIA_3</t>
  </si>
  <si>
    <t>MSS_SISL_NEW_FIX_2CR_INT</t>
  </si>
  <si>
    <r>
      <rPr>
        <rFont val="Calibri, sans-serif"/>
        <color rgb="FF1155CC"/>
        <sz val="11.0"/>
        <u/>
      </rPr>
      <t>http://122.176.166.42:11004</t>
    </r>
  </si>
  <si>
    <t>-1.2E+07</t>
  </si>
  <si>
    <r>
      <rPr>
        <rFont val="Calibri, sans-serif"/>
        <color rgb="FF1155CC"/>
        <sz val="11.0"/>
        <u/>
      </rPr>
      <t>http://103.42.163.204:9002</t>
    </r>
  </si>
  <si>
    <r>
      <rPr>
        <rFont val="Calibri, sans-serif"/>
        <color rgb="FF1155CC"/>
        <sz val="11.0"/>
        <u/>
      </rPr>
      <t>http://fy261ap05:pass@10.124.0.17:11002</t>
    </r>
  </si>
  <si>
    <t>-187210</t>
  </si>
  <si>
    <r>
      <rPr>
        <rFont val="Calibri, sans-serif"/>
        <color rgb="FF1155CC"/>
        <sz val="11.0"/>
        <u/>
      </rPr>
      <t>http://LT5:pass@10.124.0.24:11002</t>
    </r>
  </si>
  <si>
    <t>MSS_A15_RM_ACHINTYA_POS</t>
  </si>
  <si>
    <t>CC_A1_XLDH158_FIX_3CR_INT</t>
  </si>
  <si>
    <t>ANAND_RATHI</t>
  </si>
  <si>
    <t>NARAYAN_CAPITAL</t>
  </si>
  <si>
    <t>CCV_NARAYANA_1_2CR_INT</t>
  </si>
  <si>
    <r>
      <rPr>
        <rFont val="Calibri, sans-serif"/>
        <color rgb="FF1155CC"/>
        <sz val="11.0"/>
        <u/>
      </rPr>
      <t>http://59.144.187.227:9002</t>
    </r>
  </si>
  <si>
    <r>
      <rPr>
        <rFont val="Calibri, sans-serif"/>
        <color rgb="FF1155CC"/>
        <sz val="11.0"/>
        <u/>
      </rPr>
      <t>http://fy261ap06:pass@10.124.0.17:11002</t>
    </r>
  </si>
  <si>
    <t>MSS_A1_GCL_FIX_1CR_POS</t>
  </si>
  <si>
    <r>
      <rPr>
        <rFont val="Calibri, sans-serif"/>
        <color rgb="FF1155CC"/>
        <sz val="11.0"/>
        <u/>
      </rPr>
      <t>http://115.247.146.146:9002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</si>
  <si>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</si>
  <si>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</si>
  <si>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</si>
  <si>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t>-1500000</t>
  </si>
  <si>
    <t>1108</t>
  </si>
  <si>
    <t>test_user_don't_interact</t>
  </si>
  <si>
    <t>No Server</t>
  </si>
  <si>
    <t>5000000</t>
  </si>
  <si>
    <t>test</t>
  </si>
  <si>
    <t>test_2</t>
  </si>
  <si>
    <t>test_3</t>
  </si>
  <si>
    <t>test_4</t>
  </si>
  <si>
    <t>test_6</t>
  </si>
  <si>
    <t>test_7</t>
  </si>
  <si>
    <t>-373638</t>
  </si>
  <si>
    <t>MSR_GINNI14_INT</t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</si>
  <si>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</si>
  <si>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http://F560HAP01:pass@10.124.0.42:11002</t>
    </r>
  </si>
  <si>
    <t>DEALER_JTJAINAM</t>
  </si>
  <si>
    <r>
      <rPr>
        <rFont val="Calibri, sans-serif"/>
        <color rgb="FF1155CC"/>
        <sz val="11.0"/>
        <u/>
      </rPr>
      <t>http://F560HAP01:pass@10.124.0.42:11002</t>
    </r>
  </si>
  <si>
    <t>ARHAM</t>
  </si>
  <si>
    <r>
      <rPr>
        <rFont val="Calibri, sans-serif"/>
        <color rgb="FF1155CC"/>
        <sz val="11.0"/>
        <u/>
      </rPr>
      <t>http://122.176.90.136:11120</t>
    </r>
  </si>
  <si>
    <t>MSR_AJAY_AGARWAL_INT</t>
  </si>
  <si>
    <r>
      <rPr>
        <rFont val="Calibri, sans-serif"/>
        <color rgb="FF1155CC"/>
        <sz val="11.0"/>
        <u/>
      </rPr>
      <t>http://fy261ap09:pass@10.124.0.24:11002</t>
    </r>
  </si>
  <si>
    <t>PACE_NSE</t>
  </si>
  <si>
    <t>MSR_A1_PACE_NF_INT</t>
  </si>
  <si>
    <r>
      <rPr>
        <rFont val="Calibri, sans-serif"/>
        <color rgb="FF1155CC"/>
        <sz val="11.0"/>
        <u/>
      </rPr>
      <t>http://14.194.54.6:9002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</si>
  <si>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</si>
  <si>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http://122.176.90.136:11120</t>
    </r>
  </si>
  <si>
    <r>
      <rPr>
        <rFont val="Calibri, sans-serif"/>
        <color rgb="FF1155CC"/>
        <sz val="11.0"/>
        <u/>
      </rPr>
      <t>http://122.176.90.136:11120</t>
    </r>
  </si>
  <si>
    <r>
      <rPr>
        <rFont val="Calibri, sans-serif"/>
        <color rgb="FF1155CC"/>
        <sz val="11.0"/>
        <u/>
      </rPr>
      <t>http://122.176.90.136:11120</t>
    </r>
  </si>
  <si>
    <r>
      <rPr>
        <rFont val="Calibri, sans-serif"/>
        <color rgb="FF1155CC"/>
        <sz val="11.0"/>
        <u/>
      </rPr>
      <t>http://122.176.90.136:11120</t>
    </r>
  </si>
  <si>
    <t>VT</t>
  </si>
  <si>
    <t>GB</t>
  </si>
  <si>
    <t>PS</t>
  </si>
  <si>
    <t>CCV_SANDEEP_POS</t>
  </si>
  <si>
    <t>RD</t>
  </si>
  <si>
    <t>RM</t>
  </si>
  <si>
    <r>
      <rPr>
        <rFont val="Calibri, sans-serif"/>
        <color rgb="FF1155CC"/>
        <sz val="11.0"/>
        <u/>
      </rPr>
      <t>http://LT5:pass@10.124.0.24:11002</t>
    </r>
  </si>
  <si>
    <t>ALLOCATION</t>
  </si>
  <si>
    <t>MAX LOSS</t>
  </si>
  <si>
    <t>Type</t>
  </si>
  <si>
    <t>Expiry</t>
  </si>
  <si>
    <t>Main Allocation</t>
  </si>
  <si>
    <t>Allocation Match/Not</t>
  </si>
  <si>
    <t>Main Max Loss</t>
  </si>
  <si>
    <t>Match/Not</t>
  </si>
  <si>
    <t>Positional</t>
  </si>
  <si>
    <t>MSR__RDANGAYACH6_INT</t>
  </si>
  <si>
    <t>CC_A19_GSPL23_FIX_6CR</t>
  </si>
  <si>
    <r>
      <rPr>
        <rFont val="Calibri, sans-serif"/>
        <color rgb="FF1155CC"/>
        <sz val="11.0"/>
        <u/>
      </rPr>
      <t>http://GT5:pass@10.124.0.42:11002</t>
    </r>
  </si>
  <si>
    <r>
      <rPr>
        <rFont val="Calibri, sans-serif"/>
        <color rgb="FF1155CC"/>
        <sz val="11.0"/>
        <u/>
      </rPr>
      <t>http://fy261ap05:pass@10.124.0.17:11002</t>
    </r>
  </si>
  <si>
    <t>DR0299</t>
  </si>
  <si>
    <t>-166673</t>
  </si>
  <si>
    <t>MSR_A8_RAYGUN_2C_EXC</t>
  </si>
  <si>
    <r>
      <rPr>
        <rFont val="Calibri, sans-serif"/>
        <color rgb="FF1155CC"/>
        <sz val="11.0"/>
        <u/>
      </rPr>
      <t>http://49.249.181.146:9002</t>
    </r>
  </si>
  <si>
    <t>JainamA</t>
  </si>
  <si>
    <t>0 DTE</t>
  </si>
  <si>
    <r>
      <rPr>
        <rFont val="Calibri, sans-serif"/>
        <color rgb="FF1155CC"/>
        <sz val="11.0"/>
        <u/>
      </rPr>
      <t>http://fy261ap05:pass@10.124.0.17:11002</t>
    </r>
  </si>
  <si>
    <t>MSR_VIBHOR_POS</t>
  </si>
  <si>
    <r>
      <rPr>
        <rFont val="Calibri, sans-serif"/>
        <color rgb="FF1155CC"/>
        <sz val="11.0"/>
        <u/>
      </rPr>
      <t>http://fy261ap09:pass@10.124.0.24:11002</t>
    </r>
  </si>
  <si>
    <t>MSS_A1_VT_GB_INT</t>
  </si>
  <si>
    <r>
      <rPr>
        <rFont val="Calibri, sans-serif"/>
        <color rgb="FF1155CC"/>
        <sz val="11.0"/>
        <u/>
      </rPr>
      <t>http://xts1.srellp.com:9010</t>
    </r>
  </si>
  <si>
    <t>A1_VT_GB</t>
  </si>
  <si>
    <t>MSR_HETANSHI_POS</t>
  </si>
  <si>
    <t>A1_RM_Achintya</t>
  </si>
  <si>
    <t>-640000</t>
  </si>
  <si>
    <t>MSS_A7_VT_GB_INT</t>
  </si>
  <si>
    <t>80000000</t>
  </si>
  <si>
    <r>
      <rPr>
        <rFont val="Calibri, sans-serif"/>
        <color rgb="FF1155CC"/>
        <sz val="11.0"/>
        <u/>
      </rPr>
      <t>http://xts1.srellp.com:9011</t>
    </r>
  </si>
  <si>
    <t>Achintya</t>
  </si>
  <si>
    <t>-700000</t>
  </si>
  <si>
    <t>MSS_A15_VT_GB_RM_INT</t>
  </si>
  <si>
    <t>70000000</t>
  </si>
  <si>
    <t>-559713</t>
  </si>
  <si>
    <r>
      <rPr>
        <rFont val="Calibri, sans-serif"/>
        <color rgb="FF1155CC"/>
        <sz val="11.0"/>
        <u/>
      </rPr>
      <t>http://xts1.srellp.com:9001</t>
    </r>
  </si>
  <si>
    <t>MSS_A19_RM1</t>
  </si>
  <si>
    <r>
      <rPr>
        <rFont val="Calibri, sans-serif"/>
        <color rgb="FF1155CC"/>
        <sz val="11.0"/>
        <u/>
      </rPr>
      <t>http://xts1.srellp.com:9007</t>
    </r>
  </si>
  <si>
    <t>A1_RM</t>
  </si>
  <si>
    <t>MSS_SALIG_AR_FIX_1CR_INT</t>
  </si>
  <si>
    <r>
      <rPr>
        <rFont val="Calibri, sans-serif"/>
        <color rgb="FF1155CC"/>
        <sz val="11.0"/>
        <u/>
      </rPr>
      <t>http://gdlf2s116:pass@10.124.0.17:11002</t>
    </r>
  </si>
  <si>
    <t>A7_VT_GB</t>
  </si>
  <si>
    <r>
      <rPr>
        <rFont val="Calibri, sans-serif"/>
        <color rgb="FF1155CC"/>
        <sz val="11.0"/>
        <u/>
      </rPr>
      <t>http://fy261ap07:pass@10.124.0.17:11002</t>
    </r>
  </si>
  <si>
    <t>MSS_ANANDRATHI_AR_FIX_1CR_INT</t>
  </si>
  <si>
    <r>
      <rPr>
        <rFont val="Calibri, sans-serif"/>
        <color rgb="FF1155CC"/>
        <sz val="11.0"/>
        <u/>
      </rPr>
      <t>http://PCHNA531:pass@10.124.0.17:11002</t>
    </r>
  </si>
  <si>
    <t>MSS_A7_SISL_PS_FIX_2CR_INT</t>
  </si>
  <si>
    <r>
      <rPr>
        <rFont val="Calibri, sans-serif"/>
        <color rgb="FF1155CC"/>
        <sz val="11.0"/>
        <u/>
      </rPr>
      <t>http://122.176.166.42:11004</t>
    </r>
  </si>
  <si>
    <t>JUNO</t>
  </si>
  <si>
    <t>MSR_A1_JUNO_INT</t>
  </si>
  <si>
    <t>32000000</t>
  </si>
  <si>
    <r>
      <rPr>
        <rFont val="Calibri, sans-serif"/>
        <color rgb="FF1155CC"/>
        <sz val="11.0"/>
        <u/>
      </rPr>
      <t>http://GT5:pass@10.124.0.42:11002</t>
    </r>
  </si>
  <si>
    <t>A7_RM_Achintya</t>
  </si>
  <si>
    <t>MSS_SANDHU_FIX_1CR_POS</t>
  </si>
  <si>
    <r>
      <rPr>
        <rFont val="Calibri, sans-serif"/>
        <color rgb="FF1155CC"/>
        <sz val="11.0"/>
        <u/>
      </rPr>
      <t>http://fy261ap09:pass@10.124.0.24:11002</t>
    </r>
  </si>
  <si>
    <t>MSR_A19_JUNO</t>
  </si>
  <si>
    <r>
      <rPr>
        <rFont val="Calibri, sans-serif"/>
        <color rgb="FF1155CC"/>
        <sz val="11.0"/>
        <u/>
      </rPr>
      <t>http://GT5:pass@10.124.0.42:11002</t>
    </r>
  </si>
  <si>
    <t>A7_RM</t>
  </si>
  <si>
    <t>MSR_A8_JUNO_2C_INT</t>
  </si>
  <si>
    <r>
      <rPr>
        <rFont val="Calibri, sans-serif"/>
        <color rgb="FF1155CC"/>
        <sz val="11.0"/>
        <u/>
      </rPr>
      <t>http://GT5:pass@10.124.0.42:11002</t>
    </r>
  </si>
  <si>
    <t>MSR_A15_JUNO_8CR_INT</t>
  </si>
  <si>
    <r>
      <rPr>
        <rFont val="Calibri, sans-serif"/>
        <color rgb="FF1155CC"/>
        <sz val="11.0"/>
        <u/>
      </rPr>
      <t>http://GT5:pass@10.124.0.42:11002</t>
    </r>
  </si>
  <si>
    <t>-256000</t>
  </si>
  <si>
    <t>MSR_A7_JUNO_INT</t>
  </si>
  <si>
    <r>
      <rPr>
        <rFont val="Calibri, sans-serif"/>
        <color rgb="FF1155CC"/>
        <sz val="11.0"/>
        <u/>
      </rPr>
      <t>http://GT5:pass@10.124.0.42:11002</t>
    </r>
  </si>
  <si>
    <t>A8_PS</t>
  </si>
  <si>
    <t>MSR__JITENDRA_AGRAWAL2_INT</t>
  </si>
  <si>
    <t>Alpha-Matrix</t>
  </si>
  <si>
    <r>
      <rPr>
        <rFont val="Calibri, sans-serif"/>
        <color rgb="FF1155CC"/>
        <sz val="11.0"/>
        <u/>
      </rPr>
      <t>http://fy261ap01:pass@10.124.0.42:11002</t>
    </r>
  </si>
  <si>
    <t>A8_VT</t>
  </si>
  <si>
    <t>MSS_A7_RM_POS</t>
  </si>
  <si>
    <r>
      <rPr>
        <rFont val="Calibri, sans-serif"/>
        <color rgb="FF1155CC"/>
        <sz val="11.0"/>
        <u/>
      </rPr>
      <t>http://xts1.srellp.com:9005</t>
    </r>
  </si>
  <si>
    <t>MSR_PAWAN_FIX_1CR_POS</t>
  </si>
  <si>
    <r>
      <rPr>
        <rFont val="Calibri, sans-serif"/>
        <color rgb="FF1155CC"/>
        <sz val="11.0"/>
        <u/>
      </rPr>
      <t>http://fy261ap06:pass@10.124.0.17:11002</t>
    </r>
  </si>
  <si>
    <t>BHADADAG_XTS</t>
  </si>
  <si>
    <t>A8_GB</t>
  </si>
  <si>
    <t>JAINAM_SMPC_3643</t>
  </si>
  <si>
    <r>
      <rPr>
        <rFont val="Calibri, sans-serif"/>
        <color rgb="FF1155CC"/>
        <sz val="11.0"/>
        <u/>
      </rPr>
      <t>http://106.51.143.71:9002</t>
    </r>
  </si>
  <si>
    <t>MSS_A15_PS_POS</t>
  </si>
  <si>
    <r>
      <rPr>
        <rFont val="Calibri, sans-serif"/>
        <color rgb="FF1155CC"/>
        <sz val="11.0"/>
        <u/>
      </rPr>
      <t>http://colo.srellp.com:9012</t>
    </r>
  </si>
  <si>
    <t>A8_RM_Achintya</t>
  </si>
  <si>
    <t>-139828</t>
  </si>
  <si>
    <r>
      <rPr>
        <rFont val="Calibri, sans-serif"/>
        <color rgb="FF1155CC"/>
        <sz val="11.0"/>
        <u/>
      </rPr>
      <t>http://colo.srellp.com:9010</t>
    </r>
  </si>
  <si>
    <t>-163133</t>
  </si>
  <si>
    <r>
      <rPr>
        <rFont val="Calibri, sans-serif"/>
        <color rgb="FF1155CC"/>
        <sz val="11.0"/>
        <u/>
      </rPr>
      <t>http://colo.srellp.com:9013</t>
    </r>
  </si>
  <si>
    <t>A8_RM</t>
  </si>
  <si>
    <t>-362206</t>
  </si>
  <si>
    <r>
      <rPr>
        <rFont val="Calibri, sans-serif"/>
        <color rgb="FF1155CC"/>
        <sz val="11.0"/>
        <u/>
      </rPr>
      <t>http://colo.srellp.com:9006</t>
    </r>
  </si>
  <si>
    <r>
      <rPr>
        <rFont val="Calibri, sans-serif"/>
        <color rgb="FF1155CC"/>
        <sz val="11.0"/>
        <u/>
      </rPr>
      <t>http://colo.srellp.com:9009</t>
    </r>
  </si>
  <si>
    <t>A15_RM_Achintya</t>
  </si>
  <si>
    <t>MSIDDHAM_xts</t>
  </si>
  <si>
    <t>A15_VT_GB_RM</t>
  </si>
  <si>
    <t>MSR_MUKUND_FIX_1CR</t>
  </si>
  <si>
    <r>
      <rPr>
        <rFont val="Calibri, sans-serif"/>
        <color rgb="FF1155CC"/>
        <sz val="11.0"/>
        <u/>
      </rPr>
      <t>http://fy261ap01:pass@10.124.0.42:11002</t>
    </r>
  </si>
  <si>
    <t>MNAVEENT_xts</t>
  </si>
  <si>
    <t>MSN_NAVEENTRIPATHI_FIX_1CR</t>
  </si>
  <si>
    <t>A19_RM_Achintya</t>
  </si>
  <si>
    <r>
      <rPr>
        <rFont val="Calibri, sans-serif"/>
        <color rgb="FF1155CC"/>
        <sz val="11.0"/>
        <u/>
      </rPr>
      <t>http://fy261ap09:pass@10.124.0.24:11002</t>
    </r>
  </si>
  <si>
    <t>-96000</t>
  </si>
  <si>
    <t>A19_GB</t>
  </si>
  <si>
    <t>-166796</t>
  </si>
  <si>
    <r>
      <rPr>
        <rFont val="Calibri, sans-serif"/>
        <color rgb="FF1155CC"/>
        <sz val="11.0"/>
        <u/>
      </rPr>
      <t>http://fy261ap07:pass@10.124.0.17:11002</t>
    </r>
  </si>
  <si>
    <t>36985212_xts</t>
  </si>
  <si>
    <t>MSR_SANJAYG1</t>
  </si>
  <si>
    <t>A19_RM1</t>
  </si>
  <si>
    <t>EXCEL</t>
  </si>
  <si>
    <t>MSS_SANGHAI_AR_FIX_2CR_INT</t>
  </si>
  <si>
    <r>
      <rPr>
        <rFont val="Calibri, sans-serif"/>
        <color rgb="FF1155CC"/>
        <sz val="11.0"/>
        <u/>
      </rPr>
      <t>http://gkohns211:pass@10.124.0.17:11002</t>
    </r>
  </si>
  <si>
    <t>A19_PS</t>
  </si>
  <si>
    <r>
      <rPr>
        <rFont val="Calibri, sans-serif"/>
        <color rgb="FF1155CC"/>
        <sz val="11.0"/>
        <u/>
      </rPr>
      <t>http://fy261ap10:pass@10.124.0.102:11002</t>
    </r>
  </si>
  <si>
    <t>MANGAL54_xts</t>
  </si>
  <si>
    <t>MSR_MANGAL_FIX_2CR</t>
  </si>
  <si>
    <t>A19_VT</t>
  </si>
  <si>
    <t>APOORV77_xts</t>
  </si>
  <si>
    <t>MGEORGE9_xts</t>
  </si>
  <si>
    <t>MSR_ANU_GEORGE</t>
  </si>
  <si>
    <t>MSHASHI0_xts</t>
  </si>
  <si>
    <t>A25_F</t>
  </si>
  <si>
    <t>HUFRG999_xts</t>
  </si>
  <si>
    <t>MSR_RAHULG_HUF</t>
  </si>
  <si>
    <t>MPAGARWA_xts</t>
  </si>
  <si>
    <t>NEHAGOE4_xts</t>
  </si>
  <si>
    <t>DR0299ONE</t>
  </si>
  <si>
    <t>XTS10_$0</t>
  </si>
  <si>
    <r>
      <rPr>
        <rFont val="Calibri, sans-serif"/>
        <color rgb="FF1155CC"/>
        <sz val="11.0"/>
        <u/>
      </rPr>
      <t>http://49.249.181.146:9002</t>
    </r>
  </si>
  <si>
    <t>A27_RM</t>
  </si>
  <si>
    <t>MSR_A19_RAYGUN_EXC</t>
  </si>
  <si>
    <r>
      <rPr>
        <rFont val="Calibri, sans-serif"/>
        <color rgb="FF1155CC"/>
        <sz val="11.0"/>
        <u/>
      </rPr>
      <t>http://49.249.181.146:9002</t>
    </r>
  </si>
  <si>
    <t>MSMAMGAI_xts</t>
  </si>
  <si>
    <t>MSUSHIL6_xts</t>
  </si>
  <si>
    <t>FY261AP07__0</t>
  </si>
  <si>
    <t>A1_AM_RM</t>
  </si>
  <si>
    <r>
      <rPr>
        <rFont val="Calibri, sans-serif"/>
        <color rgb="FF1155CC"/>
        <sz val="11.0"/>
        <u/>
      </rPr>
      <t>http://fy261ap07:pass@10.124.0.17:11002</t>
    </r>
  </si>
  <si>
    <t>FY261AP06__0</t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</si>
  <si>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</si>
  <si>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http://fy261ap07:pass@10.124.0.17:11002</t>
    </r>
  </si>
  <si>
    <r>
      <rPr>
        <rFont val="Calibri, sans-serif"/>
        <color rgb="FF1155CC"/>
        <sz val="11.0"/>
        <u/>
      </rPr>
      <t>http://fy261ap07:pass@10.124.0.17:11002</t>
    </r>
  </si>
  <si>
    <t>A15_AM_RM</t>
  </si>
  <si>
    <r>
      <rPr>
        <rFont val="Calibri, sans-serif"/>
        <color rgb="FF1155CC"/>
        <sz val="11.0"/>
        <u/>
      </rPr>
      <t>http://fy261ap07:pass@10.124.0.17:11002</t>
    </r>
  </si>
  <si>
    <t>FY261AP07__4</t>
  </si>
  <si>
    <r>
      <rPr>
        <rFont val="Calibri, sans-serif"/>
        <color rgb="FF1155CC"/>
        <sz val="11.0"/>
        <u/>
      </rPr>
      <t>http://fy261ap07:pass@10.124.0.17:11002</t>
    </r>
  </si>
  <si>
    <r>
      <rPr>
        <rFont val="Calibri, sans-serif"/>
        <color rgb="FF1155CC"/>
        <sz val="11.0"/>
        <u/>
      </rPr>
      <t>http://fy261ap06:pass@10.124.0.17:11002</t>
    </r>
  </si>
  <si>
    <t>A7_AM_RM</t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</si>
  <si>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</si>
  <si>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http://fy261ap06:pass@10.124.0.17:11002</t>
    </r>
  </si>
  <si>
    <t>Total</t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</si>
  <si>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</si>
  <si>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</si>
  <si>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</si>
  <si>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</si>
  <si>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</si>
  <si>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</si>
  <si>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</si>
  <si>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</si>
  <si>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http://fy261ap05:pass@10.124.0.17:11002</t>
    </r>
  </si>
  <si>
    <t>rahul@mega.tech</t>
  </si>
  <si>
    <t>dealer_noren_3</t>
  </si>
  <si>
    <t>MSR_A1_RAHULMOM_FIX_1_6CR_POS</t>
  </si>
  <si>
    <t>FIX 1.6 CR</t>
  </si>
  <si>
    <t>Noren DEALER 05</t>
  </si>
  <si>
    <t>MVINODUD</t>
  </si>
  <si>
    <t>XTS10_$1</t>
  </si>
  <si>
    <r>
      <rPr>
        <rFont val="Calibri, sans-serif"/>
        <color rgb="FF1155CC"/>
        <sz val="11.0"/>
        <u/>
      </rPr>
      <t>http://49.249.181.146:9002</t>
    </r>
  </si>
  <si>
    <t>XTS10__3</t>
  </si>
  <si>
    <t>XTS10_$3</t>
  </si>
  <si>
    <t>XTS10__7</t>
  </si>
  <si>
    <r>
      <rPr>
        <rFont val="Calibri, sans-serif"/>
        <color rgb="FF1155CC"/>
        <sz val="11.0"/>
        <u/>
      </rPr>
      <t>http://49.249.181.146:9002</t>
    </r>
  </si>
  <si>
    <t>-560000</t>
  </si>
  <si>
    <r>
      <rPr>
        <rFont val="Calibri, sans-serif"/>
        <color rgb="FF1155CC"/>
        <sz val="11.0"/>
        <u/>
      </rPr>
      <t>http://49.249.181.146:9002</t>
    </r>
  </si>
  <si>
    <t>25</t>
  </si>
  <si>
    <r>
      <rPr>
        <rFont val="Calibri, sans-serif"/>
        <color rgb="FF1155CC"/>
        <sz val="11.0"/>
        <u/>
      </rPr>
      <t>http://colo.srellp.com:9002</t>
    </r>
  </si>
  <si>
    <r>
      <rPr>
        <rFont val="Calibri, sans-serif"/>
        <color rgb="FF1155CC"/>
        <sz val="11.0"/>
        <u/>
      </rPr>
      <t>http://colo.srellp.com:9003</t>
    </r>
  </si>
  <si>
    <t>MSS_A19_GB</t>
  </si>
  <si>
    <r>
      <rPr>
        <rFont val="Calibri, sans-serif"/>
        <color rgb="FF1155CC"/>
        <sz val="11.0"/>
        <u/>
      </rPr>
      <t>http://colo.srellp.com:9008</t>
    </r>
  </si>
  <si>
    <t>MSS_A1_RM_INT</t>
  </si>
  <si>
    <r>
      <rPr>
        <rFont val="Calibri, sans-serif"/>
        <color rgb="FF1155CC"/>
        <sz val="11.0"/>
        <u/>
      </rPr>
      <t>http://colo.srellp.com:9001</t>
    </r>
  </si>
  <si>
    <r>
      <rPr>
        <rFont val="Calibri, sans-serif"/>
        <color rgb="FF1155CC"/>
        <sz val="11.0"/>
        <u/>
      </rPr>
      <t>http://colo.srellp.com:9004</t>
    </r>
  </si>
  <si>
    <t>MYOGESHS</t>
  </si>
  <si>
    <t>VMATHERAN</t>
  </si>
  <si>
    <t>CCV_A1_VM_INT</t>
  </si>
  <si>
    <r>
      <rPr>
        <rFont val="Calibri, sans-serif"/>
        <color rgb="FF1155CC"/>
        <sz val="11.0"/>
        <u/>
      </rPr>
      <t>http://LT5:pass@10.124.0.24:11002</t>
    </r>
  </si>
  <si>
    <t>JM_FIN</t>
  </si>
  <si>
    <t>MSS_AARTHA_JM_POS</t>
  </si>
  <si>
    <r>
      <rPr>
        <rFont val="Calibri, sans-serif"/>
        <color rgb="FF1155CC"/>
        <sz val="11.0"/>
        <u/>
      </rPr>
      <t>http://11216274:pass@10.124.0.24:11002</t>
    </r>
  </si>
  <si>
    <t>A15_Noren_dealer</t>
  </si>
  <si>
    <t>X7RIK08</t>
  </si>
  <si>
    <t>A1_noren_dealer2</t>
  </si>
  <si>
    <t>extra_noren_dealer</t>
  </si>
  <si>
    <t>CCV_A7_VM_INT</t>
  </si>
  <si>
    <r>
      <rPr>
        <rFont val="Calibri, sans-serif"/>
        <color rgb="FF1155CC"/>
        <sz val="11.0"/>
        <u/>
      </rPr>
      <t>http://LT5:pass@10.124.0.24:11002</t>
    </r>
  </si>
  <si>
    <t>CCV_A15_VMTHRAM_INT</t>
  </si>
  <si>
    <r>
      <rPr>
        <rFont val="Calibri, sans-serif"/>
        <color rgb="FF1155CC"/>
        <sz val="11.0"/>
        <u/>
      </rPr>
      <t>http://LT5:pass@10.124.0.24:11002</t>
    </r>
  </si>
  <si>
    <t>-186880</t>
  </si>
  <si>
    <t>CCV_A8_VM</t>
  </si>
  <si>
    <r>
      <rPr>
        <rFont val="Calibri, sans-serif"/>
        <color rgb="FF1155CC"/>
        <sz val="11.0"/>
        <u/>
      </rPr>
      <t>http://LT5:pass@10.124.0.24:11002</t>
    </r>
  </si>
  <si>
    <t>CCV_A19_VM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</si>
  <si>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</si>
  <si>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</si>
  <si>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http://fy261ap05:pass@10.124.0.17:11002</t>
    </r>
  </si>
  <si>
    <t>MSN_NK_KOTHARI</t>
  </si>
  <si>
    <r>
      <rPr>
        <rFont val="Calibri, sans-serif"/>
        <color rgb="FF1155CC"/>
        <sz val="11.0"/>
        <u/>
      </rPr>
      <t>http://fy261ap07:pass@10.124.0.17:11002</t>
    </r>
  </si>
  <si>
    <t>XTS13__8A</t>
  </si>
  <si>
    <r>
      <rPr>
        <rFont val="Calibri, sans-serif"/>
        <color rgb="FF1155CC"/>
        <sz val="11.0"/>
        <u/>
      </rPr>
      <t>http://49.249.181.146:9002</t>
    </r>
  </si>
  <si>
    <t>DS0393ONE</t>
  </si>
  <si>
    <t>XTS13__19</t>
  </si>
  <si>
    <r>
      <rPr>
        <rFont val="Calibri, sans-serif"/>
        <color rgb="FF1155CC"/>
        <sz val="11.0"/>
        <u/>
      </rPr>
      <t>http://49.249.181.146:9002</t>
    </r>
  </si>
  <si>
    <t>DS0393TWO</t>
  </si>
  <si>
    <t>XTS13__8B</t>
  </si>
  <si>
    <r>
      <rPr>
        <rFont val="Calibri, sans-serif"/>
        <color rgb="FF1155CC"/>
        <sz val="11.0"/>
        <u/>
      </rPr>
      <t>http://49.249.181.146:9002</t>
    </r>
  </si>
  <si>
    <t>DR0299TWO</t>
  </si>
  <si>
    <t>XTS13__15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</si>
  <si>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</si>
  <si>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</si>
  <si>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</si>
  <si>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</si>
  <si>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</si>
  <si>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t>MSS_BALWANT_AR_FIX_1CR_INT</t>
  </si>
  <si>
    <r>
      <rPr>
        <rFont val="Calibri, sans-serif"/>
        <color rgb="FF1155CC"/>
        <sz val="11.0"/>
        <u/>
      </rPr>
      <t>http://jpx10b114:pass@10.124.0.17:11002</t>
    </r>
  </si>
  <si>
    <t>MSS_JAYASHREE_AR_FIX_1CR_INT</t>
  </si>
  <si>
    <r>
      <rPr>
        <rFont val="Calibri, sans-serif"/>
        <color rgb="FF1155CC"/>
        <sz val="11.0"/>
        <u/>
      </rPr>
      <t>http://gbn12j106:pass@10.124.0.17:11002</t>
    </r>
  </si>
  <si>
    <r>
      <rPr>
        <rFont val="Calibri, sans-serif"/>
        <color rgb="FF1155CC"/>
        <sz val="11.0"/>
        <u/>
      </rPr>
      <t>http://gkopas101:pass@10.124.0.17:11002</t>
    </r>
  </si>
  <si>
    <t>MSS_MADHAVI_AR_FIX_1CR_INT</t>
  </si>
  <si>
    <r>
      <rPr>
        <rFont val="Calibri, sans-serif"/>
        <color rgb="FF1155CC"/>
        <sz val="11.0"/>
        <u/>
      </rPr>
      <t>http://gkoslm249:pass@10.124.0.17:11002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</si>
  <si>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</si>
  <si>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</si>
  <si>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</si>
  <si>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</si>
  <si>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</si>
  <si>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</si>
  <si>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</si>
  <si>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</si>
  <si>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http://fy261ap10:pass@10.124.0.102:11002</t>
    </r>
  </si>
  <si>
    <t>FY261AP10__3</t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</si>
  <si>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</si>
  <si>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</si>
  <si>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http://fy261ap11:pass@10.124.0.102:11002</t>
    </r>
  </si>
  <si>
    <t>FY261AP11__2</t>
  </si>
  <si>
    <r>
      <rPr>
        <rFont val="Calibri, sans-serif"/>
        <color rgb="FF1155CC"/>
        <sz val="11.0"/>
        <u/>
      </rPr>
      <t>http://fy261ap11:pass@10.124.0.102:11002</t>
    </r>
  </si>
  <si>
    <t>FY261AP11__3</t>
  </si>
  <si>
    <r>
      <rPr>
        <rFont val="Calibri, sans-serif"/>
        <color rgb="FF1155CC"/>
        <sz val="11.0"/>
        <u/>
      </rPr>
      <t>http://fy261ap11:pass@10.124.0.102:11002</t>
    </r>
  </si>
  <si>
    <t>FY261AP11__4</t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</si>
  <si>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</si>
  <si>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</si>
  <si>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http://gdlf1o101:pass@10.124.0.17:11002</t>
    </r>
  </si>
  <si>
    <t>MSS_ANSHU_AR_FIX_1CR_INT</t>
  </si>
  <si>
    <r>
      <rPr>
        <rFont val="Calibri, sans-serif"/>
        <color rgb="FF1155CC"/>
        <sz val="11.0"/>
        <u/>
      </rPr>
      <t>http://gdlf1a105:pass@10.124.0.17:11002</t>
    </r>
  </si>
  <si>
    <t>-111064</t>
  </si>
  <si>
    <r>
      <rPr>
        <rFont val="Calibri, sans-serif"/>
        <color rgb="FF1155CC"/>
        <sz val="11.0"/>
        <u/>
      </rPr>
      <t>http://LT5:pass@10.124.0.24:11002</t>
    </r>
  </si>
  <si>
    <t>XTS13__7</t>
  </si>
  <si>
    <t>XTS13_Dealer_A7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</si>
  <si>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</si>
  <si>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</si>
  <si>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t>IIFL_DEALER_08_01</t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</si>
  <si>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</si>
  <si>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http://gkohnp242:pass@10.124.0.17:11002</t>
    </r>
  </si>
  <si>
    <t>-243454</t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</si>
  <si>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</si>
  <si>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http://GBN305M116:pass@10.124.0.17:11002</t>
    </r>
  </si>
  <si>
    <t>ALPHA_MATRIX</t>
  </si>
  <si>
    <t>-438989</t>
  </si>
  <si>
    <r>
      <rPr>
        <rFont val="Calibri, sans-serif"/>
        <color rgb="FF1155CC"/>
        <sz val="11.0"/>
        <u/>
      </rPr>
      <t>http://GT5:pass@10.124.0.42:11002</t>
    </r>
  </si>
  <si>
    <t>-526178</t>
  </si>
  <si>
    <r>
      <rPr>
        <rFont val="Calibri, sans-serif"/>
        <color rgb="FF1155CC"/>
        <sz val="11.0"/>
        <u/>
      </rPr>
      <t>http://GT5:pass@10.124.0.42:11002</t>
    </r>
  </si>
  <si>
    <t>MSS_A15_RM_PRSNL_INT</t>
  </si>
  <si>
    <r>
      <rPr>
        <rFont val="Calibri, sans-serif"/>
        <color rgb="FF1155CC"/>
        <sz val="11.0"/>
        <u/>
      </rPr>
      <t>http://GT5:pass@10.124.0.42:11002</t>
    </r>
  </si>
  <si>
    <t>ACHINTYA_ZETA</t>
  </si>
  <si>
    <t>MSR_A8_RAJAT_1_2C_INT</t>
  </si>
  <si>
    <r>
      <rPr>
        <rFont val="Calibri, sans-serif"/>
        <color rgb="FF1155CC"/>
        <sz val="11.0"/>
        <u/>
      </rPr>
      <t>http://5.30.101.180:11002</t>
    </r>
  </si>
  <si>
    <t>MSR_A7_RAJATD2_INT</t>
  </si>
  <si>
    <r>
      <rPr>
        <rFont val="Calibri, sans-serif"/>
        <color rgb="FF1155CC"/>
        <sz val="11.0"/>
        <u/>
      </rPr>
      <t>http://5.30.101.180:11002</t>
    </r>
  </si>
  <si>
    <t>MSR_A19_RAJATD3</t>
  </si>
  <si>
    <r>
      <rPr>
        <rFont val="Calibri, sans-serif"/>
        <color rgb="FF1155CC"/>
        <sz val="11.0"/>
        <u/>
      </rPr>
      <t>http://5.30.101.180:11002</t>
    </r>
  </si>
  <si>
    <t>MSR_A15_RAJATD4_INT</t>
  </si>
  <si>
    <r>
      <rPr>
        <rFont val="Calibri, sans-serif"/>
        <color rgb="FF1155CC"/>
        <sz val="11.0"/>
        <u/>
      </rPr>
      <t>http://5.30.101.180:11002</t>
    </r>
  </si>
  <si>
    <t>MSR_A1_RAJATD5_INT</t>
  </si>
  <si>
    <r>
      <rPr>
        <rFont val="Calibri, sans-serif"/>
        <color rgb="FF1155CC"/>
        <sz val="11.0"/>
        <u/>
      </rPr>
      <t>http://5.30.101.180:11002</t>
    </r>
  </si>
  <si>
    <t>JAINAM_SMPC_F</t>
  </si>
  <si>
    <r>
      <rPr>
        <rFont val="Calibri, sans-serif"/>
        <color rgb="FF1155CC"/>
        <sz val="11.0"/>
        <u/>
      </rPr>
      <t>http://14.194.54.6:9002</t>
    </r>
  </si>
  <si>
    <t>-1.5E+07</t>
  </si>
  <si>
    <t>50000000</t>
  </si>
  <si>
    <r>
      <rPr>
        <rFont val="Calibri, sans-serif"/>
        <color rgb="FF1155CC"/>
        <sz val="11.0"/>
        <u/>
      </rPr>
      <t>http://JPWSDC101:pass@10.124.0.17:11002</t>
    </r>
  </si>
  <si>
    <t>CCV_A1_KREDENT_PROP_INT</t>
  </si>
  <si>
    <r>
      <rPr>
        <rFont val="Calibri, sans-serif"/>
        <color rgb="FF1155CC"/>
        <sz val="11.0"/>
        <u/>
      </rPr>
      <t>http://LT5:pass@10.124.0.24:11002</t>
    </r>
  </si>
  <si>
    <t>CCV_A7_KREDENT_PROP_INT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</si>
  <si>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</si>
  <si>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http://HNK202:pass@10.124.0.17:11002</t>
    </r>
  </si>
  <si>
    <t>-420000</t>
  </si>
  <si>
    <r>
      <rPr>
        <rFont val="Calibri, sans-serif"/>
        <color rgb="FF1155CC"/>
        <sz val="11.0"/>
        <u/>
      </rPr>
      <t>http://GT5:pass@10.124.0.42:11002</t>
    </r>
  </si>
  <si>
    <r>
      <rPr>
        <rFont val="Calibri, sans-serif"/>
        <color rgb="FF1155CC"/>
        <sz val="11.0"/>
        <u/>
      </rPr>
      <t>http://fy261ap07:pass@10.124.0.17:11002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</si>
  <si>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</si>
  <si>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</si>
  <si>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</si>
  <si>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</si>
  <si>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</si>
  <si>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</si>
  <si>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</si>
  <si>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</si>
  <si>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</si>
  <si>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</si>
  <si>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</si>
  <si>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t>FY261AP14</t>
  </si>
  <si>
    <t>DEALER_ONT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</si>
  <si>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</si>
  <si>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http://fy261ap10:pass@10.124.0.102:11002</t>
    </r>
  </si>
  <si>
    <t>MSR_ASHOK_INT</t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</si>
  <si>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</si>
  <si>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</si>
  <si>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</si>
  <si>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t>MSR_AJAY_AGARWAL1_4C</t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</si>
  <si>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</si>
  <si>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</si>
  <si>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</si>
  <si>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http://fy261ap10:pass@10.124.0.102:11002</t>
    </r>
  </si>
  <si>
    <t>MSR_AJAY_AGARWAL2</t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</si>
  <si>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</si>
  <si>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</si>
  <si>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http://fy261ap01:pass@10.124.0.42:11002</t>
    </r>
  </si>
  <si>
    <t>MSP_SAURABH_JAIN_POS</t>
  </si>
  <si>
    <r>
      <rPr>
        <rFont val="Calibri, sans-serif"/>
        <color rgb="FF1155CC"/>
        <sz val="11.0"/>
        <u/>
      </rPr>
      <t>http://fy261ap09:pass@10.124.0.24:11002</t>
    </r>
  </si>
  <si>
    <t>MSR_VEDANGI1-POS</t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</si>
  <si>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</si>
  <si>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</si>
  <si>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http://fy261ap08:pass@10.124.0.24:11002</t>
    </r>
  </si>
  <si>
    <t>MSN_ANUPAM_KANODIA3_POS</t>
  </si>
  <si>
    <r>
      <rPr>
        <rFont val="Calibri, sans-serif"/>
        <color rgb="FF1155CC"/>
        <sz val="11.0"/>
        <u/>
      </rPr>
      <t>http://fy261ap08:pass@10.124.0.24:11002</t>
    </r>
  </si>
  <si>
    <t>-16000</t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</si>
  <si>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</si>
  <si>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</si>
  <si>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</si>
  <si>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</si>
  <si>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</si>
  <si>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</si>
  <si>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</si>
  <si>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</si>
  <si>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t>MSS_RENU3_POS</t>
  </si>
  <si>
    <r>
      <rPr>
        <rFont val="Calibri, sans-serif"/>
        <color rgb="FF1155CC"/>
        <sz val="11.0"/>
        <u/>
      </rPr>
      <t>http://fy261ap08:pass@10.124.0.24:11002</t>
    </r>
  </si>
  <si>
    <t>100000</t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</si>
  <si>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</si>
  <si>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http://fy261ap07:pass@10.124.0.17:11002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</si>
  <si>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</si>
  <si>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http://fy261ap05:pass@10.124.0.17:11002</t>
    </r>
  </si>
  <si>
    <r>
      <rPr>
        <rFont val="Calibri, sans-serif"/>
        <color rgb="FF1155CC"/>
        <sz val="11.0"/>
        <u/>
      </rPr>
      <t>http://fy261ap05:pass@10.124.0.17:11002</t>
    </r>
  </si>
  <si>
    <t>320000</t>
  </si>
  <si>
    <t>MSN_FUTARMAL3_INT</t>
  </si>
  <si>
    <r>
      <rPr>
        <rFont val="Calibri, sans-serif"/>
        <color rgb="FF1155CC"/>
        <sz val="11.0"/>
        <u/>
      </rPr>
      <t>http://fy261ap07:pass@10.124.0.17:11002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</si>
  <si>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</si>
  <si>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</si>
  <si>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http://fy261ap08:pass@10.124.0.24:11002</t>
    </r>
  </si>
  <si>
    <t>-221915</t>
  </si>
  <si>
    <t>-176000</t>
  </si>
  <si>
    <t>MSR_DIGVIJAY5</t>
  </si>
  <si>
    <t>MSR_ASR4</t>
  </si>
  <si>
    <t>MSR_SHREYAB1_2C_INT</t>
  </si>
  <si>
    <r>
      <rPr>
        <rFont val="Calibri, sans-serif"/>
        <color rgb="FF1155CC"/>
        <sz val="11.0"/>
        <u/>
      </rPr>
      <t>http://GBN10P587:pass@10.124.0.17:11002</t>
    </r>
  </si>
  <si>
    <r>
      <rPr>
        <rFont val="Calibri, sans-serif"/>
        <color rgb="FF1155CC"/>
        <sz val="11.0"/>
        <u/>
      </rPr>
      <t>http://GDVS267:pass@10.124.0.17:11002</t>
    </r>
  </si>
  <si>
    <t>MSS_ANAND_AR</t>
  </si>
  <si>
    <r>
      <rPr>
        <rFont val="Calibri, sans-serif"/>
        <color rgb="FF1155CC"/>
        <sz val="11.0"/>
        <u/>
      </rPr>
      <t>http://GBN27A015:pass@10.124.0.17:11002</t>
    </r>
  </si>
  <si>
    <r>
      <rPr>
        <rFont val="Calibri, sans-serif"/>
        <color rgb="FF1155CC"/>
        <sz val="11.0"/>
        <u/>
      </rPr>
      <t>http://mjos334:pass@10.124.0.17:11002</t>
    </r>
  </si>
  <si>
    <t>MSS_SANDHYA_AR_FIX_1CR_INT</t>
  </si>
  <si>
    <r>
      <rPr>
        <rFont val="Calibri, sans-serif"/>
        <color rgb="FF1155CC"/>
        <sz val="11.0"/>
        <u/>
      </rPr>
      <t>http://GPU50S059:pass@10.124.0.17:11002</t>
    </r>
  </si>
  <si>
    <r>
      <rPr>
        <rFont val="Calibri, sans-serif"/>
        <color rgb="FF1155CC"/>
        <sz val="11.0"/>
        <u/>
      </rPr>
      <t>http://VSNON127:pass@10.124.0.17:11002</t>
    </r>
  </si>
  <si>
    <t>MSS_RAJ_AR_FIX_1CR_INT</t>
  </si>
  <si>
    <r>
      <rPr>
        <rFont val="Calibri, sans-serif"/>
        <color rgb="FF1155CC"/>
        <sz val="11.0"/>
        <u/>
      </rPr>
      <t>http://hydprr108:pass@10.124.0.17:11002</t>
    </r>
  </si>
  <si>
    <r>
      <rPr>
        <rFont val="Calibri, sans-serif"/>
        <color rgb="FF1155CC"/>
        <sz val="11.0"/>
        <u/>
      </rPr>
      <t>http://JPBWM229:pass@10.124.0.17:11002</t>
    </r>
  </si>
  <si>
    <t>MSS_ABHISEKH_AR_FIX_1CR_INT</t>
  </si>
  <si>
    <r>
      <rPr>
        <rFont val="Calibri, sans-serif"/>
        <color rgb="FF1155CC"/>
        <sz val="11.0"/>
        <u/>
      </rPr>
      <t>http://jpbwa033:pass@10.124.0.17:11002</t>
    </r>
  </si>
  <si>
    <r>
      <rPr>
        <rFont val="Calibri, sans-serif"/>
        <color rgb="FF1155CC"/>
        <sz val="11.0"/>
        <u/>
      </rPr>
      <t>http://pcdd3r115:pass@10.124.0.17:11002</t>
    </r>
  </si>
  <si>
    <r>
      <rPr>
        <rFont val="Calibri, sans-serif"/>
        <color rgb="FF1155CC"/>
        <sz val="11.0"/>
        <u/>
      </rPr>
      <t>http://GPU111U157:pass@10.124.0.17:11002</t>
    </r>
  </si>
  <si>
    <r>
      <rPr>
        <rFont val="Calibri, sans-serif"/>
        <color rgb="FF1155CC"/>
        <sz val="11.0"/>
        <u/>
      </rPr>
      <t>http://GPU1R050:pass@10.124.0.17:11002</t>
    </r>
  </si>
  <si>
    <r>
      <rPr>
        <rFont val="Calibri, sans-serif"/>
        <color rgb="FF1155CC"/>
        <sz val="11.0"/>
        <u/>
      </rPr>
      <t>http://HOP555:pass@10.124.0.17:11002</t>
    </r>
  </si>
  <si>
    <t>MSS_VINOD_KUMAR_AR_FIX_1CR_INT</t>
  </si>
  <si>
    <r>
      <rPr>
        <rFont val="Calibri, sans-serif"/>
        <color rgb="FF1155CC"/>
        <sz val="11.0"/>
        <u/>
      </rPr>
      <t>http://PCDD3V111:pass@10.124.0.17:11002</t>
    </r>
  </si>
  <si>
    <r>
      <rPr>
        <rFont val="Calibri, sans-serif"/>
        <color rgb="FF1155CC"/>
        <sz val="11.0"/>
        <u/>
      </rPr>
      <t>http://RPRT261:pass@10.124.0.17:11002</t>
    </r>
  </si>
  <si>
    <t>MSS_SURENDRA_AR_FIX_1CR_INT</t>
  </si>
  <si>
    <r>
      <rPr>
        <rFont val="Calibri, sans-serif"/>
        <color rgb="FF1155CC"/>
        <sz val="11.0"/>
        <u/>
      </rPr>
      <t>http://RPRS1477:pass@10.124.0.17:11002</t>
    </r>
  </si>
  <si>
    <t>MSS_USHA_AR_FIX_1CR_INT</t>
  </si>
  <si>
    <r>
      <rPr>
        <rFont val="Calibri, sans-serif"/>
        <color rgb="FF1155CC"/>
        <sz val="11.0"/>
        <u/>
      </rPr>
      <t>http://gdvu037:pass@10.124.0.17:11002</t>
    </r>
  </si>
  <si>
    <r>
      <rPr>
        <rFont val="Calibri, sans-serif"/>
        <color rgb="FF1155CC"/>
        <sz val="11.0"/>
        <u/>
      </rPr>
      <t>http://RPR3R007:pass@10.124.0.17:11002</t>
    </r>
  </si>
  <si>
    <t>MSS_RAJEEV_AR_FIX_1CR_INT</t>
  </si>
  <si>
    <r>
      <rPr>
        <rFont val="Calibri, sans-serif"/>
        <color rgb="FF1155CC"/>
        <sz val="11.0"/>
        <u/>
      </rPr>
      <t>http://gdlrgr101:pass@10.124.0.17:11002</t>
    </r>
  </si>
  <si>
    <r>
      <rPr>
        <rFont val="Calibri, sans-serif"/>
        <color rgb="FF1155CC"/>
        <sz val="11.0"/>
        <u/>
      </rPr>
      <t>http://wpnbas132:pass@10.124.0.17:11002</t>
    </r>
  </si>
  <si>
    <t>ACHINTYA_PK</t>
  </si>
  <si>
    <t>MSR_A1_NNC_GUPTA_INT</t>
  </si>
  <si>
    <r>
      <rPr>
        <rFont val="Calibri, sans-serif"/>
        <color rgb="FF1155CC"/>
        <sz val="11.0"/>
        <u/>
      </rPr>
      <t>http://GT5:pass@10.124.0.42:11002</t>
    </r>
  </si>
  <si>
    <t>MSR_A7_NNC_GUPTA_INT</t>
  </si>
  <si>
    <r>
      <rPr>
        <rFont val="Calibri, sans-serif"/>
        <color rgb="FF1155CC"/>
        <sz val="11.0"/>
        <u/>
      </rPr>
      <t>http://GT5:pass@10.124.0.42:11002</t>
    </r>
  </si>
  <si>
    <r>
      <rPr>
        <rFont val="Calibri, sans-serif"/>
        <color rgb="FF1155CC"/>
        <sz val="11.0"/>
        <u/>
      </rPr>
      <t>http://LT5:pass@10.124.0.24:11002</t>
    </r>
  </si>
  <si>
    <t>MSS_KAPIL_AR_FIX_1CR_INT</t>
  </si>
  <si>
    <r>
      <rPr>
        <rFont val="Calibri, sans-serif"/>
        <color rgb="FF1155CC"/>
        <sz val="11.0"/>
        <u/>
      </rPr>
      <t>http://GDLF2K107:pass@10.124.0.17:11002</t>
    </r>
  </si>
  <si>
    <t>MSS_PREMCHAND_AR_FIX_1CR_INT</t>
  </si>
  <si>
    <r>
      <rPr>
        <rFont val="Calibri, sans-serif"/>
        <color rgb="FF1155CC"/>
        <sz val="11.0"/>
        <u/>
      </rPr>
      <t>http://GNP75P214:pass@10.124.0.17:11002</t>
    </r>
  </si>
  <si>
    <t>A27_Founders</t>
  </si>
  <si>
    <t>MSS_A8_RM_8C</t>
  </si>
  <si>
    <r>
      <rPr>
        <rFont val="Calibri, sans-serif"/>
        <color rgb="FF1155CC"/>
        <sz val="11.0"/>
        <u/>
      </rPr>
      <t>http://xts1.srellp.com:9008</t>
    </r>
  </si>
  <si>
    <t>DR0299FOUR</t>
  </si>
  <si>
    <r>
      <rPr>
        <rFont val="Calibri, sans-serif"/>
        <color rgb="FF1155CC"/>
        <sz val="11.0"/>
        <u/>
      </rPr>
      <t>http://49.249.181.146:9002</t>
    </r>
  </si>
  <si>
    <t>MSR_A1_RAYGUN</t>
  </si>
  <si>
    <r>
      <rPr>
        <rFont val="Calibri, sans-serif"/>
        <color rgb="FF1155CC"/>
        <sz val="11.0"/>
        <u/>
      </rPr>
      <t>http://49.249.181.146:9002</t>
    </r>
  </si>
  <si>
    <t>DR0299THREE</t>
  </si>
  <si>
    <r>
      <rPr>
        <rFont val="Calibri, sans-serif"/>
        <color rgb="FF1155CC"/>
        <sz val="11.0"/>
        <u/>
      </rPr>
      <t>http://49.249.181.146:9002</t>
    </r>
  </si>
  <si>
    <t>XTS10__7B</t>
  </si>
  <si>
    <r>
      <rPr>
        <rFont val="Calibri, sans-serif"/>
        <color rgb="FF1155CC"/>
        <sz val="11.0"/>
        <u/>
      </rPr>
      <t>http://49.249.181.146:9002</t>
    </r>
  </si>
  <si>
    <t>-166802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</si>
  <si>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</si>
  <si>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</si>
  <si>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t>noren dealer6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</si>
  <si>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</si>
  <si>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http://14.194.54.6:9002</t>
    </r>
  </si>
  <si>
    <t>PACE_BSE</t>
  </si>
  <si>
    <t>MSR_PACE_BSE_INT</t>
  </si>
  <si>
    <r>
      <rPr>
        <rFont val="Calibri, sans-serif"/>
        <color rgb="FF1155CC"/>
        <sz val="11.0"/>
        <u/>
      </rPr>
      <t>http://LT5:pass@10.124.0.24:11002</t>
    </r>
  </si>
  <si>
    <t>MSR_A7_PACE_BSE_INT</t>
  </si>
  <si>
    <r>
      <rPr>
        <rFont val="Calibri, sans-serif"/>
        <color rgb="FF1155CC"/>
        <sz val="11.0"/>
        <u/>
      </rPr>
      <t>http://LT5:pass@10.124.0.24:11002</t>
    </r>
  </si>
  <si>
    <t>MSS_NEETA_AR_FIX_1CR_INT</t>
  </si>
  <si>
    <r>
      <rPr>
        <rFont val="Calibri, sans-serif"/>
        <color rgb="FF1155CC"/>
        <sz val="11.0"/>
        <u/>
      </rPr>
      <t>http://SRTN121:pass@10.124.0.17:11002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</si>
  <si>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</si>
  <si>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</si>
  <si>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</si>
  <si>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http://GBN13P147:pass@10.124.0.17:11002</t>
    </r>
  </si>
  <si>
    <t>MSS_SALIGRAM_MITTAL_AR_FIX_1CR_INT</t>
  </si>
  <si>
    <r>
      <rPr>
        <rFont val="Calibri, sans-serif"/>
        <color rgb="FF1155CC"/>
        <sz val="11.0"/>
        <u/>
      </rPr>
      <t>http://GDLF2S109:pass@10.124.0.17:11002</t>
    </r>
  </si>
  <si>
    <r>
      <rPr>
        <rFont val="Calibri, sans-serif"/>
        <color rgb="FF1155CC"/>
        <sz val="11.0"/>
        <u/>
      </rPr>
      <t>http://fy261ap08:pass@10.124.0.24:11002</t>
    </r>
  </si>
  <si>
    <t>MSR_ASR8</t>
  </si>
  <si>
    <r>
      <rPr>
        <rFont val="Calibri, sans-serif"/>
        <color rgb="FF1155CC"/>
        <sz val="11.0"/>
        <u/>
      </rPr>
      <t>http://fy261ap08:pass@10.124.0.24:11002</t>
    </r>
  </si>
  <si>
    <t>500000</t>
  </si>
  <si>
    <t>-123047</t>
  </si>
  <si>
    <r>
      <rPr>
        <rFont val="Calibri, sans-serif"/>
        <color rgb="FF1155CC"/>
        <sz val="11.0"/>
        <u/>
      </rPr>
      <t>http://LT5:pass@10.124.0.24:11002</t>
    </r>
  </si>
  <si>
    <t>Running on 15 Cr.</t>
  </si>
  <si>
    <t>MSR_A1_PACE_SX_INT</t>
  </si>
  <si>
    <r>
      <rPr>
        <rFont val="Calibri, sans-serif"/>
        <color rgb="FF1155CC"/>
        <sz val="11.0"/>
        <u/>
      </rPr>
      <t>http://LT5:pass@10.124.0.24:11002</t>
    </r>
  </si>
  <si>
    <t>MSN_CC_PREKSHA_POS</t>
  </si>
  <si>
    <r>
      <rPr>
        <rFont val="Calibri, sans-serif"/>
        <color rgb="FF1155CC"/>
        <sz val="11.0"/>
        <u/>
      </rPr>
      <t>http://F560HAP01:pass@10.124.0.42:11002</t>
    </r>
  </si>
  <si>
    <t>MSS_ANJANI_AR_FIX_1CR_INT</t>
  </si>
  <si>
    <r>
      <rPr>
        <rFont val="Calibri, sans-serif"/>
        <color rgb="FF1155CC"/>
        <sz val="11.0"/>
        <u/>
      </rPr>
      <t>http://GBYA367:pass@10.124.0.17:11002</t>
    </r>
  </si>
  <si>
    <t>MSS_PBK_AR_FIX_1CR_INT</t>
  </si>
  <si>
    <r>
      <rPr>
        <rFont val="Calibri, sans-serif"/>
        <color rgb="FF1155CC"/>
        <sz val="11.0"/>
        <u/>
      </rPr>
      <t>http://HYDHP184:pass@10.124.0.17:11002</t>
    </r>
  </si>
  <si>
    <r>
      <rPr>
        <rFont val="Calibri, sans-serif"/>
        <color rgb="FF1155CC"/>
        <sz val="11.0"/>
        <u/>
      </rPr>
      <t>http://MUMPRM192:pass@10.124.0.17:11002</t>
    </r>
  </si>
  <si>
    <t>MSS_PAYAL_AR</t>
  </si>
  <si>
    <r>
      <rPr>
        <rFont val="Calibri, sans-serif"/>
        <color rgb="FF1155CC"/>
        <sz val="11.0"/>
        <u/>
      </rPr>
      <t>http://GKOHNP140:pass@10.124.0.17:11002</t>
    </r>
  </si>
  <si>
    <t>MSS_CHEKKA_AR_FIX_1CR_INT</t>
  </si>
  <si>
    <r>
      <rPr>
        <rFont val="Calibri, sans-serif"/>
        <color rgb="FF1155CC"/>
        <sz val="11.0"/>
        <u/>
      </rPr>
      <t>http://HYD5FSC104:pass@10.124.0.17:11002</t>
    </r>
  </si>
  <si>
    <r>
      <rPr>
        <rFont val="Calibri, sans-serif"/>
        <color rgb="FF1155CC"/>
        <sz val="11.0"/>
        <u/>
      </rPr>
      <t>http://ABAD2S101:pass@10.124.0.17:11002</t>
    </r>
  </si>
  <si>
    <t>MSS_MEENUAGRAWAL_jm_INT</t>
  </si>
  <si>
    <r>
      <rPr>
        <rFont val="Calibri, sans-serif"/>
        <color rgb="FF1155CC"/>
        <sz val="11.0"/>
        <u/>
      </rPr>
      <t>http://12315315:pass@10.124.0.102:11002</t>
    </r>
  </si>
  <si>
    <r>
      <rPr>
        <rFont val="Calibri, sans-serif"/>
        <color rgb="FF1155CC"/>
        <sz val="11.0"/>
        <u/>
      </rPr>
      <t>http://fy261ap10:pass@10.124.0.102:11002</t>
    </r>
  </si>
  <si>
    <t>MSR_ASR9_INT</t>
  </si>
  <si>
    <r>
      <rPr>
        <rFont val="Calibri, sans-serif"/>
        <color rgb="FF1155CC"/>
        <sz val="11.0"/>
        <u/>
      </rPr>
      <t>http://MUMPRJ129:pass@10.124.0.17:11002</t>
    </r>
  </si>
  <si>
    <r>
      <rPr>
        <rFont val="Calibri, sans-serif"/>
        <color rgb="FF1155CC"/>
        <sz val="11.0"/>
        <u/>
      </rPr>
      <t>http://AHMA035:pass@10.124.0.17:11002</t>
    </r>
  </si>
  <si>
    <t>SY009</t>
  </si>
  <si>
    <t>KNA</t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</si>
  <si>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</si>
  <si>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</si>
  <si>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t>MSR_ASR10_INT</t>
  </si>
  <si>
    <t>MSS_RAJSHREE_AR_FIX_1CR_INT</t>
  </si>
  <si>
    <r>
      <rPr>
        <rFont val="Calibri, sans-serif"/>
        <color rgb="FF1155CC"/>
        <sz val="11.0"/>
        <u/>
      </rPr>
      <t>http://GNP75R286:pass@10.124.0.17:11002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</si>
  <si>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</si>
  <si>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http://fy261ap06:pass@10.124.0.17:11002</t>
    </r>
  </si>
  <si>
    <t>MSS_PARITA_AR_FIX_1CR_INT</t>
  </si>
  <si>
    <r>
      <rPr>
        <rFont val="Calibri, sans-serif"/>
        <color rgb="FF1155CC"/>
        <sz val="11.0"/>
        <u/>
      </rPr>
      <t>http://MUMPRP199:pass@10.124.0.17:11002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</si>
  <si>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</si>
  <si>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http://GT5:pass@10.124.0.42:11002</t>
    </r>
  </si>
  <si>
    <t>XLDH192</t>
  </si>
  <si>
    <t>MSS_A7_CITIZENS_AR_FIX1CR_INT</t>
  </si>
  <si>
    <r>
      <rPr>
        <rFont val="Calibri, sans-serif"/>
        <color rgb="FF1155CC"/>
        <sz val="11.0"/>
        <u/>
      </rPr>
      <t>http://HYDHC130:pass@10.124.0.17:11002</t>
    </r>
  </si>
  <si>
    <r>
      <rPr>
        <rFont val="Calibri, sans-serif"/>
        <color rgb="FF1155CC"/>
        <sz val="11.0"/>
        <u/>
      </rPr>
      <t>http://GNPK604:pass@10.124.0.17:11002</t>
    </r>
  </si>
  <si>
    <t>MSN_NK_KOTHARI3_INT</t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</si>
  <si>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</si>
  <si>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http://fy261ap09:pass@10.124.0.24:11002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</si>
  <si>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</si>
  <si>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http://12315119:pass@10.124.0.102:11002</t>
    </r>
  </si>
  <si>
    <r>
      <rPr>
        <rFont val="Calibri, sans-serif"/>
        <color rgb="FF1155CC"/>
        <sz val="11.0"/>
        <u/>
      </rPr>
      <t>http://GDLF2S128:pass@10.124.0.17:11002</t>
    </r>
  </si>
  <si>
    <t>INFT104</t>
  </si>
  <si>
    <r>
      <rPr>
        <rFont val="Calibri, sans-serif"/>
        <color rgb="FF1155CC"/>
        <sz val="11.0"/>
        <u/>
      </rPr>
      <t>http://103.42.163.204:9002</t>
    </r>
  </si>
  <si>
    <r>
      <rPr>
        <rFont val="Calibri, sans-serif"/>
        <color rgb="FF1155CC"/>
        <sz val="11.0"/>
        <u/>
      </rPr>
      <t>http://103.42.163.204:9002</t>
    </r>
  </si>
  <si>
    <r>
      <rPr>
        <rFont val="Calibri, sans-serif"/>
        <color rgb="FF1155CC"/>
        <sz val="11.0"/>
        <u/>
      </rPr>
      <t>http://fy261ap08:pass@10.124.0.24:11002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</si>
  <si>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</si>
  <si>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</si>
  <si>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http://fy261ap05:pass@10.124.0.17:11002</t>
    </r>
  </si>
  <si>
    <t>MSS_NALINI_AR_FIX_1CR_INT</t>
  </si>
  <si>
    <r>
      <rPr>
        <rFont val="Calibri, sans-serif"/>
        <color rgb="FF1155CC"/>
        <sz val="11.0"/>
        <u/>
      </rPr>
      <t>http://PCDD4N108:pass@10.124.0.17:11002</t>
    </r>
  </si>
  <si>
    <r>
      <rPr>
        <rFont val="Calibri, sans-serif"/>
        <color rgb="FF1155CC"/>
        <sz val="11.0"/>
        <u/>
      </rPr>
      <t>http://GNPS636:pass@10.124.0.17:11002</t>
    </r>
  </si>
  <si>
    <r>
      <rPr>
        <rFont val="Calibri, sans-serif"/>
        <color rgb="FF1155CC"/>
        <sz val="11.0"/>
        <u/>
      </rPr>
      <t>http://GDLF1A130:pass@10.124.0.17:11002</t>
    </r>
  </si>
  <si>
    <t>JAINAM_SMPB_DL</t>
  </si>
  <si>
    <r>
      <rPr>
        <rFont val="Calibri, sans-serif"/>
        <color rgb="FF1155CC"/>
        <sz val="11.0"/>
        <u/>
      </rPr>
      <t>http://GT5:pass@10.124.0.42:11002</t>
    </r>
  </si>
  <si>
    <r>
      <rPr>
        <rFont val="Calibri, sans-serif"/>
        <color rgb="FF1155CC"/>
        <sz val="11.0"/>
        <u/>
      </rPr>
      <t>http://LT5:pass@10.124.0.24:11002</t>
    </r>
  </si>
  <si>
    <t>SYMD29</t>
  </si>
  <si>
    <t>DEALER_CHOICE</t>
  </si>
  <si>
    <r>
      <rPr>
        <rFont val="Calibri, sans-serif"/>
        <color rgb="FF1155CC"/>
        <sz val="11.0"/>
        <u/>
      </rPr>
      <t>http://LT5:pass@10.124.0.24:11002</t>
    </r>
  </si>
  <si>
    <t>MSR_A1_BFFD_INT</t>
  </si>
  <si>
    <r>
      <rPr>
        <rFont val="Calibri, sans-serif"/>
        <color rgb="FF1155CC"/>
        <sz val="11.0"/>
        <u/>
      </rPr>
      <t>http://LT5:pass@10.124.0.24:11002</t>
    </r>
  </si>
  <si>
    <t>SYMD30</t>
  </si>
  <si>
    <t>MSR_A7_BFFD_INT</t>
  </si>
  <si>
    <r>
      <rPr>
        <rFont val="Calibri, sans-serif"/>
        <color rgb="FF1155CC"/>
        <sz val="11.0"/>
        <u/>
      </rPr>
      <t>http://LT5:pass@10.124.0.24:11002</t>
    </r>
  </si>
  <si>
    <t>SYMD06</t>
  </si>
  <si>
    <t>MSR_A15_BFFD_INT</t>
  </si>
  <si>
    <r>
      <rPr>
        <rFont val="Calibri, sans-serif"/>
        <color rgb="FF1155CC"/>
        <sz val="11.0"/>
        <u/>
      </rPr>
      <t>http://LT5:pass@10.124.0.24:11002</t>
    </r>
  </si>
  <si>
    <t>SYMD31</t>
  </si>
  <si>
    <r>
      <rPr>
        <rFont val="Calibri, sans-serif"/>
        <color rgb="FF1155CC"/>
        <sz val="11.0"/>
        <u/>
      </rPr>
      <t>http://LT5:pass@10.124.0.24:11002</t>
    </r>
  </si>
  <si>
    <t>SYMD32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</si>
  <si>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</si>
  <si>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http://LT5:pass@10.124.0.24:11002</t>
    </r>
  </si>
  <si>
    <t>SYMD33</t>
  </si>
  <si>
    <r>
      <rPr>
        <rFont val="Calibri, sans-serif"/>
        <color rgb="FF1155CC"/>
        <sz val="11.0"/>
        <u/>
      </rPr>
      <t>http://GT5:pass@10.124.0.42:11002</t>
    </r>
  </si>
  <si>
    <r>
      <rPr>
        <rFont val="Calibri, sans-serif"/>
        <color rgb="FF1155CC"/>
        <sz val="11.0"/>
        <u/>
      </rPr>
      <t>http://GT5:pass@10.124.0.42:11002</t>
    </r>
  </si>
  <si>
    <t>DZ0004</t>
  </si>
  <si>
    <r>
      <rPr>
        <rFont val="Calibri, sans-serif"/>
        <color rgb="FF1155CC"/>
        <sz val="11.0"/>
        <u/>
      </rPr>
      <t>http://49.249.181.146:9002</t>
    </r>
  </si>
  <si>
    <t>DZ0004ONE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</si>
  <si>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</si>
  <si>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</si>
  <si>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http://fy261ap10:pass@10.124.0.102:11002</t>
    </r>
  </si>
  <si>
    <t>MSP_PINKY_INT</t>
  </si>
  <si>
    <r>
      <rPr>
        <rFont val="Calibri, sans-serif"/>
        <color rgb="FF1155CC"/>
        <sz val="11.0"/>
        <u/>
      </rPr>
      <t>http://fy261ap11:pass@10.124.0.102:11002</t>
    </r>
  </si>
  <si>
    <t>A7_JAINAM_NEW2_FIX_1CR_INT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</si>
  <si>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</si>
  <si>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http://RPRA1148:pass@10.124.0.17:11002</t>
    </r>
  </si>
  <si>
    <r>
      <rPr>
        <rFont val="Calibri, sans-serif"/>
        <color rgb="FF1155CC"/>
        <sz val="11.0"/>
        <u/>
      </rPr>
      <t>http://ADWS1V104:pass@10.124.0.17:11002</t>
    </r>
  </si>
  <si>
    <t>DR0299FIVE</t>
  </si>
  <si>
    <t>KCJAH</t>
  </si>
  <si>
    <r>
      <rPr>
        <rFont val="Calibri, sans-serif"/>
        <color rgb="FF1155CC"/>
        <sz val="11.0"/>
        <u/>
      </rPr>
      <t>http://49.249.181.146:9002</t>
    </r>
  </si>
  <si>
    <t>-3E+07</t>
  </si>
  <si>
    <r>
      <rPr>
        <rFont val="Calibri, sans-serif"/>
        <color rgb="FF1155CC"/>
        <sz val="11.0"/>
        <u/>
      </rPr>
      <t>http://49.249.181.146:9002</t>
    </r>
  </si>
  <si>
    <t>VMATHRAMCO</t>
  </si>
  <si>
    <t>JAINAM_JTRADE</t>
  </si>
  <si>
    <t>MSR_RDANGAYACH_9</t>
  </si>
  <si>
    <r>
      <rPr>
        <rFont val="Calibri, sans-serif"/>
        <color rgb="FF1155CC"/>
        <sz val="11.0"/>
        <u/>
      </rPr>
      <t>http://itc2248:pass@10.124.0.42:11002</t>
    </r>
  </si>
  <si>
    <t>-2.4E+07</t>
  </si>
  <si>
    <r>
      <rPr>
        <rFont val="Calibri, sans-serif"/>
        <color rgb="FF1155CC"/>
        <sz val="11.0"/>
        <u/>
      </rPr>
      <t>http://itc2247:pass@10.124.0.42:11002</t>
    </r>
  </si>
  <si>
    <t>DS0393THREE</t>
  </si>
  <si>
    <t>-166726</t>
  </si>
  <si>
    <t>MSR_A8_SHREESHYAM_2C_EXC</t>
  </si>
  <si>
    <r>
      <rPr>
        <rFont val="Calibri, sans-serif"/>
        <color rgb="FF1155CC"/>
        <sz val="11.0"/>
        <u/>
      </rPr>
      <t>http://49.249.181.146:9002</t>
    </r>
  </si>
  <si>
    <t>kjhk</t>
  </si>
  <si>
    <r>
      <rPr>
        <rFont val="Calibri, sans-serif"/>
        <color rgb="FF1155CC"/>
        <sz val="11.0"/>
        <u/>
      </rPr>
      <t>http://49.249.181.146:9002</t>
    </r>
  </si>
  <si>
    <t>DS0393FOUR</t>
  </si>
  <si>
    <t>djgh</t>
  </si>
  <si>
    <r>
      <rPr>
        <rFont val="Calibri, sans-serif"/>
        <color rgb="FF1155CC"/>
        <sz val="11.0"/>
        <u/>
      </rPr>
      <t>http://49.249.181.146:9002</t>
    </r>
  </si>
  <si>
    <t>MSR_A19_SHREESHYAM_EXC</t>
  </si>
  <si>
    <r>
      <rPr>
        <rFont val="Calibri, sans-serif"/>
        <color rgb="FF1155CC"/>
        <sz val="11.0"/>
        <u/>
      </rPr>
      <t>http://49.249.181.146:9002</t>
    </r>
  </si>
  <si>
    <t>DS0393FIVE</t>
  </si>
  <si>
    <t>jhgj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</si>
  <si>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</si>
  <si>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</si>
  <si>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t>uyio</t>
  </si>
  <si>
    <r>
      <rPr>
        <rFont val="Calibri, sans-serif"/>
        <color rgb="FF1155CC"/>
        <sz val="11.0"/>
        <u/>
      </rPr>
      <t>http://49.249.181.146:9002</t>
    </r>
  </si>
  <si>
    <t>jhjk</t>
  </si>
  <si>
    <r>
      <rPr>
        <rFont val="Calibri, sans-serif"/>
        <color rgb="FF1155CC"/>
        <sz val="11.0"/>
        <u/>
      </rPr>
      <t>http://49.249.181.146:9002</t>
    </r>
  </si>
  <si>
    <t>DZ0004TWO</t>
  </si>
  <si>
    <t>mnbjmn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</si>
  <si>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</si>
  <si>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</si>
  <si>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t>DZ0004THREE</t>
  </si>
  <si>
    <t>-166607</t>
  </si>
  <si>
    <t>MSR_A8_VBD_ZETA_2C_EXC</t>
  </si>
  <si>
    <r>
      <rPr>
        <rFont val="Calibri, sans-serif"/>
        <color rgb="FF1155CC"/>
        <sz val="11.0"/>
        <u/>
      </rPr>
      <t>http://49.249.181.146:9002</t>
    </r>
  </si>
  <si>
    <t>DZ0004FOUR</t>
  </si>
  <si>
    <t>MSR_A19_ZETADMA_EXC</t>
  </si>
  <si>
    <r>
      <rPr>
        <rFont val="Calibri, sans-serif"/>
        <color rgb="FF1155CC"/>
        <sz val="11.0"/>
        <u/>
      </rPr>
      <t>http://49.249.181.146:9002</t>
    </r>
  </si>
  <si>
    <t>DZ0004FIVE</t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</si>
  <si>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</si>
  <si>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http://GNPU057:pass@10.124.0.17:11002</t>
    </r>
  </si>
  <si>
    <r>
      <rPr>
        <rFont val="Calibri, sans-serif"/>
        <color rgb="FF1155CC"/>
        <sz val="11.0"/>
        <u/>
      </rPr>
      <t>http://GNPS55:pass@10.124.0.17:11002</t>
    </r>
  </si>
  <si>
    <r>
      <rPr>
        <rFont val="Calibri, sans-serif"/>
        <color rgb="FF1155CC"/>
        <sz val="11.0"/>
        <u/>
      </rPr>
      <t>http://PUNK178:pass@10.124.0.17:11002</t>
    </r>
  </si>
  <si>
    <t>XTSHO06</t>
  </si>
  <si>
    <t>DEALER_ASHIKA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</si>
  <si>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</si>
  <si>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http://fy261ap10:pass@10.124.0.102:11002</t>
    </r>
  </si>
  <si>
    <r>
      <rPr>
        <rFont val="Calibri, sans-serif"/>
        <color rgb="FF1155CC"/>
        <sz val="11.0"/>
        <u/>
      </rPr>
      <t>http://fy261ap06:pass@10.124.0.17:11002</t>
    </r>
  </si>
  <si>
    <r>
      <rPr>
        <rFont val="Calibri, sans-serif"/>
        <color rgb="FF1155CC"/>
        <sz val="11.0"/>
        <u/>
      </rPr>
      <t>http://fy261ap11:pass@10.124.0.102:11002</t>
    </r>
  </si>
  <si>
    <t>ITC2484A01</t>
  </si>
  <si>
    <t>DEALER_JAINAM_SMPD</t>
  </si>
  <si>
    <t>-5E+07</t>
  </si>
  <si>
    <t>ITC2484A01_D</t>
  </si>
  <si>
    <t>CCV_A15_KREDENT_PRO_INT</t>
  </si>
  <si>
    <r>
      <rPr>
        <rFont val="Calibri, sans-serif"/>
        <color rgb="FF1155CC"/>
        <sz val="11.0"/>
        <u/>
      </rPr>
      <t>http://MCDD3R104:pass@10.124.0.17:11002</t>
    </r>
  </si>
  <si>
    <r>
      <rPr>
        <rFont val="Calibri, sans-serif"/>
        <color rgb="FF1155CC"/>
        <sz val="11.0"/>
        <u/>
      </rPr>
      <t>http://SURTCS231:pass@10.124.0.17:11002</t>
    </r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</si>
  <si>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</si>
  <si>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</si>
  <si>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</si>
  <si>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http://GMAN023:pass@10.124.0.17:11002</t>
    </r>
  </si>
  <si>
    <t>MEGA02</t>
  </si>
  <si>
    <t>MSS_A1_ASHIKA_FIX_1CR_INT</t>
  </si>
  <si>
    <r>
      <rPr>
        <rFont val="Calibri, sans-serif"/>
        <color rgb="FF1155CC"/>
        <sz val="11.0"/>
        <u/>
      </rPr>
      <t>http://LT5:pass@10.124.0.24:11002</t>
    </r>
  </si>
  <si>
    <t>MEGA01</t>
  </si>
  <si>
    <t>MSS_A7_ASHIKA_FIX_1CR_INT</t>
  </si>
  <si>
    <r>
      <rPr>
        <rFont val="Calibri, sans-serif"/>
        <color rgb="FF1155CC"/>
        <sz val="11.0"/>
        <u/>
      </rPr>
      <t>http://LT5:pass@10.124.0.24:11002</t>
    </r>
  </si>
  <si>
    <t xml:space="preserve">as per daily update </t>
  </si>
  <si>
    <t>MSR_A8_RGJPR</t>
  </si>
  <si>
    <r>
      <rPr>
        <rFont val="Calibri, sans-serif"/>
        <color rgb="FF1155CC"/>
        <sz val="11.0"/>
        <u/>
      </rPr>
      <t>http://LT5:pass@10.124.0.24:11002</t>
    </r>
  </si>
  <si>
    <t>JSR129</t>
  </si>
  <si>
    <t>MSR_A7_RGJPR_INT</t>
  </si>
  <si>
    <r>
      <rPr>
        <rFont val="Calibri, sans-serif"/>
        <color rgb="FF1155CC"/>
        <sz val="11.0"/>
        <u/>
      </rPr>
      <t>http://LT5:pass@10.124.0.24:11002</t>
    </r>
  </si>
  <si>
    <t>MSS_SAUJANYA_AR_FIX_1CR_INT</t>
  </si>
  <si>
    <r>
      <rPr>
        <rFont val="Calibri, sans-serif"/>
        <color rgb="FF1155CC"/>
        <sz val="11.0"/>
        <u/>
      </rPr>
      <t>http://MUMPRS311:pass@10.124.0.17:11002</t>
    </r>
  </si>
  <si>
    <t>MSS_SUDEEP_BAID_AR_FIX_1CR_INT</t>
  </si>
  <si>
    <r>
      <rPr>
        <rFont val="Calibri, sans-serif"/>
        <color rgb="FF1155CC"/>
        <sz val="11.0"/>
        <u/>
      </rPr>
      <t>http://GKOPVS289:pass@10.124.0.17:11002</t>
    </r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</si>
  <si>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</si>
  <si>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http://fy261ap10:pass@10.124.0.102:11002</t>
    </r>
  </si>
  <si>
    <t>-374575</t>
  </si>
  <si>
    <r>
      <rPr>
        <rFont val="Calibri, sans-serif"/>
        <color rgb="FF1155CC"/>
        <sz val="11.0"/>
        <u/>
      </rPr>
      <t>http://GT5:pass@10.124.0.42:11002</t>
    </r>
  </si>
  <si>
    <t>MSS_A19_VT</t>
  </si>
  <si>
    <r>
      <rPr>
        <rFont val="Calibri, sans-serif"/>
        <color rgb="FF1155CC"/>
        <sz val="11.0"/>
        <u/>
      </rPr>
      <t>http://GT5:pass@10.124.0.42:11002</t>
    </r>
  </si>
  <si>
    <t>-186579</t>
  </si>
  <si>
    <r>
      <rPr>
        <rFont val="Calibri, sans-serif"/>
        <color rgb="FF1155CC"/>
        <sz val="11.0"/>
        <u/>
      </rPr>
      <t>http://GT5:pass@10.124.0.42:11002</t>
    </r>
  </si>
  <si>
    <r>
      <rPr>
        <rFont val="Calibri, sans-serif"/>
        <color rgb="FF1155CC"/>
        <sz val="11.0"/>
        <u/>
      </rPr>
      <t>http://GNP12R161:pass@10.124.0.17:11002</t>
    </r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</si>
  <si>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</si>
  <si>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http://LT5:pass@10.124.0.24:11002</t>
    </r>
  </si>
  <si>
    <t>ashika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</si>
  <si>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</si>
  <si>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http://MDR2S1147:pass@10.124.0.17:11002</t>
    </r>
  </si>
  <si>
    <t>EXCEL_PRO</t>
  </si>
  <si>
    <t>-166863</t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</si>
  <si>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</si>
  <si>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</si>
  <si>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</si>
  <si>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http://49.249.181.146:9002</t>
    </r>
  </si>
  <si>
    <r>
      <rPr>
        <rFont val="Calibri, sans-serif"/>
        <color rgb="FF1155CC"/>
        <sz val="11.0"/>
        <u/>
      </rPr>
      <t>http://HYDPRS137:pass@10.124.0.17:11002</t>
    </r>
  </si>
  <si>
    <r>
      <rPr>
        <rFont val="Calibri, sans-serif"/>
        <color rgb="FF1155CC"/>
        <sz val="11.0"/>
        <u/>
      </rPr>
      <t>http://GKOCDS139:pass@10.124.0.17:11002</t>
    </r>
  </si>
  <si>
    <t>MSS_PIYUSH_AR_FIX_1CR_INT</t>
  </si>
  <si>
    <r>
      <rPr>
        <rFont val="Calibri, sans-serif"/>
        <color rgb="FF1155CC"/>
        <sz val="11.0"/>
        <u/>
      </rPr>
      <t>http://HMT1P006:pass@10.124.0.17:11002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</si>
  <si>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</si>
  <si>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</si>
  <si>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http://fy261ap07:pass@10.124.0.17:11002</t>
    </r>
  </si>
  <si>
    <t>MSS_THOMOS_AR_FIX_1CR_INT</t>
  </si>
  <si>
    <r>
      <rPr>
        <rFont val="Calibri, sans-serif"/>
        <color rgb="FF1155CC"/>
        <sz val="11.0"/>
        <u/>
      </rPr>
      <t>http://GNPK766:pass@10.124.0.17:11002</t>
    </r>
  </si>
  <si>
    <t>MSR_NEHA_MAHESHWARI_POS</t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</si>
  <si>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</si>
  <si>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http://LT5:pass@10.124.0.24:11002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</si>
  <si>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</si>
  <si>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</si>
  <si>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</si>
  <si>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http://F560HAP01:pass@10.124.0.42:11002</t>
    </r>
  </si>
  <si>
    <r>
      <rPr>
        <rFont val="Calibri, sans-serif"/>
        <color rgb="FF1155CC"/>
        <sz val="11.0"/>
        <u/>
      </rPr>
      <t>http://F560HAP03:pass@10.124.0.24:11002</t>
    </r>
  </si>
  <si>
    <r>
      <rPr>
        <rFont val="Calibri, sans-serif"/>
        <color rgb="FF1155CC"/>
        <sz val="11.0"/>
        <u/>
      </rPr>
      <t>http://F560HAP03:pass@10.124.0.24:11002</t>
    </r>
  </si>
  <si>
    <t>F560HAP03__3</t>
  </si>
  <si>
    <r>
      <rPr>
        <rFont val="Calibri, sans-serif"/>
        <color rgb="FF1155CC"/>
        <sz val="11.0"/>
        <u/>
      </rPr>
      <t>http://F560HAP03:pass@10.124.0.24:11002</t>
    </r>
  </si>
  <si>
    <t>F560HAP03__4</t>
  </si>
  <si>
    <r>
      <rPr>
        <rFont val="Calibri, sans-serif"/>
        <color rgb="FF1155CC"/>
        <sz val="11.0"/>
        <u/>
      </rPr>
      <t>http://F560HAP03:pass@10.124.0.24:11002</t>
    </r>
  </si>
  <si>
    <r>
      <rPr>
        <rFont val="Calibri, sans-serif"/>
        <color rgb="FF1155CC"/>
        <sz val="11.0"/>
        <u/>
      </rPr>
      <t>http://GBYB178:pass@10.124.0.17:11002</t>
    </r>
  </si>
  <si>
    <r>
      <rPr>
        <rFont val="Calibri, sans-serif"/>
        <color rgb="FF1155CC"/>
        <sz val="11.0"/>
        <u/>
      </rPr>
      <t>http://RPRS1442:pass@10.124.0.17:11002</t>
    </r>
  </si>
  <si>
    <r>
      <rPr>
        <rFont val="Calibri, sans-serif"/>
        <color rgb="FF1155CC"/>
        <sz val="11.0"/>
        <u/>
      </rPr>
      <t>http://KBEA594:pass@10.124.0.17:11002</t>
    </r>
  </si>
  <si>
    <r>
      <rPr>
        <rFont val="Calibri, sans-serif"/>
        <color rgb="FF1155CC"/>
        <sz val="11.0"/>
        <u/>
      </rPr>
      <t>http://ALBDP216:pass@10.124.0.17:11002</t>
    </r>
  </si>
  <si>
    <r>
      <rPr>
        <rFont val="Calibri, sans-serif"/>
        <color rgb="FF1155CC"/>
        <sz val="11.0"/>
        <u/>
      </rPr>
      <t>http://fy261ap01:pass@10.124.0.42:11002</t>
    </r>
  </si>
  <si>
    <r>
      <rPr>
        <rFont val="Calibri, sans-serif"/>
        <color rgb="FF1155CC"/>
        <sz val="11.0"/>
        <u/>
      </rPr>
      <t>http://GKOCDU109:pass@10.124.0.17:11002</t>
    </r>
  </si>
  <si>
    <t>MSS_NIRMAL_AR_FIX_1CR_INT</t>
  </si>
  <si>
    <r>
      <rPr>
        <rFont val="Calibri, sans-serif"/>
        <color rgb="FF1155CC"/>
        <sz val="11.0"/>
        <u/>
      </rPr>
      <t>http://GKOPV5N135:pass@10.124.0.17:11002</t>
    </r>
  </si>
  <si>
    <r>
      <rPr>
        <rFont val="Calibri, sans-serif"/>
        <color rgb="FF1155CC"/>
        <sz val="11.0"/>
        <u/>
      </rPr>
      <t>http://gdlh3m121:pass@10.124.0.17:11002</t>
    </r>
  </si>
  <si>
    <t>MSN_RAKESHSHARMA_INT</t>
  </si>
  <si>
    <r>
      <rPr>
        <rFont val="Calibri, sans-serif"/>
        <color rgb="FF1155CC"/>
        <sz val="11.0"/>
        <u/>
      </rPr>
      <t>http://fy261ap11:pass@10.124.0.102:11002</t>
    </r>
  </si>
  <si>
    <t>MSR_NARUKA_INT</t>
  </si>
  <si>
    <r>
      <rPr>
        <rFont val="Calibri, sans-serif"/>
        <color rgb="FF1155CC"/>
        <sz val="11.0"/>
        <u/>
      </rPr>
      <t>http://fy261ap11:pass@10.124.0.102:11002</t>
    </r>
  </si>
  <si>
    <r>
      <rPr>
        <rFont val="Calibri, sans-serif"/>
        <color rgb="FF1155CC"/>
        <sz val="11.0"/>
        <u/>
      </rPr>
      <t>http://fy261ap11:pass@10.124.0.102:11002</t>
    </r>
  </si>
  <si>
    <t>MSV_SHILPAM_INT</t>
  </si>
  <si>
    <t>JainamRetail</t>
  </si>
  <si>
    <t>MSR_A19_VKJAIN_FIX_2CR</t>
  </si>
  <si>
    <t>FIX 2 CR A19</t>
  </si>
  <si>
    <t xml:space="preserve">Allocation </t>
  </si>
  <si>
    <t>Running Day</t>
  </si>
  <si>
    <t>Account Type</t>
  </si>
  <si>
    <t>Operator</t>
  </si>
  <si>
    <t xml:space="preserve">GB Personal </t>
  </si>
  <si>
    <t>PS Personal</t>
  </si>
  <si>
    <t xml:space="preserve">RD Personal </t>
  </si>
  <si>
    <t>VT Personal</t>
  </si>
  <si>
    <t xml:space="preserve">VT Personal </t>
  </si>
  <si>
    <t>match</t>
  </si>
  <si>
    <t>Run/not</t>
  </si>
  <si>
    <t>Monday</t>
  </si>
  <si>
    <t>YES</t>
  </si>
  <si>
    <t>check with VT</t>
  </si>
  <si>
    <t>Overall</t>
  </si>
  <si>
    <t>Dealer ID</t>
  </si>
  <si>
    <t>New_Server</t>
  </si>
  <si>
    <t>New_Algo</t>
  </si>
  <si>
    <t>Current Server</t>
  </si>
  <si>
    <t>Server Check</t>
  </si>
  <si>
    <t>Algo Check</t>
  </si>
  <si>
    <t>FIX 10 CR for Positional strategy and Variable for intraday</t>
  </si>
  <si>
    <t>CCF60_RAHULGO</t>
  </si>
  <si>
    <t>Fixed At 60 k</t>
  </si>
  <si>
    <t>Fund less then 1Cr still running Daily</t>
  </si>
  <si>
    <t>A2_RM_AJ008EH</t>
  </si>
  <si>
    <t>NOT</t>
  </si>
  <si>
    <t xml:space="preserve">                  MSR_A7_RAJATD2_INT</t>
  </si>
  <si>
    <t>Fixed at 10 lakh</t>
  </si>
  <si>
    <t>change to CCG - also inform the same to VT</t>
  </si>
  <si>
    <t>change to CCG</t>
  </si>
  <si>
    <t>MSR_PUSHPAD</t>
  </si>
  <si>
    <t>FIX 5 CR on positinal with1% sl AS PR DAILY UPDATE (0DTE)</t>
  </si>
  <si>
    <t>Fixed At 1 Lakhs</t>
  </si>
  <si>
    <t>4101961</t>
  </si>
  <si>
    <t>MSR_MEENAKESHAVK</t>
  </si>
  <si>
    <t xml:space="preserve">AS PER DAILY UPDATES  </t>
  </si>
  <si>
    <t>FY261AP06</t>
  </si>
  <si>
    <t>Fixed At 50 K</t>
  </si>
  <si>
    <t>FIX1CR</t>
  </si>
  <si>
    <t>AlphaMatrix</t>
  </si>
  <si>
    <t>MSR_F4_VIVEKL</t>
  </si>
  <si>
    <t>144000</t>
  </si>
  <si>
    <t>FY26AP010</t>
  </si>
  <si>
    <t>PaceXTS</t>
  </si>
  <si>
    <t>VmathranCO</t>
  </si>
  <si>
    <t>COUNTA of UserID</t>
  </si>
  <si>
    <t>AS PER ROHIT JI UPDATE</t>
  </si>
  <si>
    <t>Grand Total</t>
  </si>
  <si>
    <t>MSRF_ASRENT</t>
  </si>
  <si>
    <t>FIX 1CR</t>
  </si>
  <si>
    <t>FIX AT 12 LAKH</t>
  </si>
  <si>
    <t>Fixed At 2 Lakhs</t>
  </si>
  <si>
    <t>FIX AT 70K</t>
  </si>
  <si>
    <t>MSP_ASHOKK</t>
  </si>
  <si>
    <t>FIX 1.4 CR</t>
  </si>
  <si>
    <t>EXCELXTSPRO</t>
  </si>
  <si>
    <t>Fixed At 1.8 Lakhs</t>
  </si>
  <si>
    <t>MSR_F7_GAURAVG</t>
  </si>
  <si>
    <t>FIX 1 CR POS (EXCEPTION ACC, CHECK SL DAILY) Allocation according to fund</t>
  </si>
  <si>
    <t>Fix At 1.5 Lakhs</t>
  </si>
  <si>
    <t>FIX 1 CR 30%SL</t>
  </si>
  <si>
    <t>Stoxxo and algoui margin mismatch</t>
  </si>
  <si>
    <t>MSR_SHILPI BANSAL</t>
  </si>
  <si>
    <t>As per VU</t>
  </si>
  <si>
    <t>IIFL CAPITAL</t>
  </si>
  <si>
    <t>RM9_PS</t>
  </si>
  <si>
    <t>FIX AT 1CR</t>
  </si>
  <si>
    <t>MSR50F_F3_GIRIRAJK</t>
  </si>
  <si>
    <t>Fixed at 50 lakhs</t>
  </si>
  <si>
    <t>MSG_Arushi_ Arora</t>
  </si>
  <si>
    <t>No</t>
  </si>
  <si>
    <t>NA</t>
  </si>
  <si>
    <t>NARAYANS</t>
  </si>
  <si>
    <t>MSR_MARUNKK3</t>
  </si>
  <si>
    <t>PRO2</t>
  </si>
  <si>
    <t>GSPLDEAL</t>
  </si>
  <si>
    <t>NARAYANA_CAPITAL</t>
  </si>
  <si>
    <t>FIX 1.2 CR</t>
  </si>
  <si>
    <t xml:space="preserve">FIX 1CR </t>
  </si>
  <si>
    <t xml:space="preserve">FIX 2 CR </t>
  </si>
  <si>
    <t>FIX 5 CR</t>
  </si>
  <si>
    <t>400000</t>
  </si>
  <si>
    <t>FIX 7 CR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</si>
</sst>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&quot;-&quot;mmm&quot;-&quot;yyyy"/>
    <numFmt numFmtId="165" formatCode="#,##0;(#,##0)"/>
    <numFmt numFmtId="166" formatCode="0.0%"/>
    <numFmt numFmtId="167" formatCode="[&gt;9999999]##\,##\,##\,##0;[&gt;99999]##\,##\,##0;##,##0"/>
    <numFmt numFmtId="168" formatCode="d-mmm-yyyy"/>
    <numFmt numFmtId="169" formatCode="dd-mmm-yyyy"/>
    <numFmt numFmtId="170" formatCode="0.000"/>
    <numFmt numFmtId="171" formatCode="0.0"/>
    <numFmt numFmtId="172" formatCode="00,00"/>
    <numFmt numFmtId="173" formatCode="#,##0.00;(#,##0.00)"/>
  </numFmts>
  <fonts count="2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2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rgb="FF1F1F1F"/>
      <name val="Calibri"/>
      <scheme val="minor"/>
    </font>
    <font>
      <sz val="11.0"/>
      <color rgb="FF1F1F1F"/>
      <name val="Calibri"/>
    </font>
    <font>
      <color rgb="FF000000"/>
      <name val="Calibri"/>
      <scheme val="minor"/>
    </font>
    <font>
      <i/>
      <sz val="11.0"/>
      <color rgb="FF1F1F1F"/>
      <name val="Roboto"/>
    </font>
    <font>
      <u/>
      <sz val="11.0"/>
      <color rgb="FF0000FF"/>
      <name val="Calibri"/>
    </font>
    <font>
      <b/>
      <color theme="1"/>
      <name val="Calibri"/>
    </font>
    <font>
      <b/>
      <color theme="1"/>
      <name val="Arial"/>
    </font>
    <font>
      <color theme="1"/>
      <name val="Arial"/>
    </font>
    <font>
      <color theme="1"/>
      <name val="Calibri"/>
    </font>
    <font>
      <sz val="11.0"/>
      <color theme="1"/>
      <name val="Arial"/>
    </font>
    <font>
      <sz val="10.0"/>
      <color theme="1"/>
      <name val="Calibri"/>
    </font>
    <font>
      <b/>
      <sz val="13.0"/>
      <color theme="1"/>
      <name val="Calibri"/>
    </font>
    <font>
      <b/>
      <sz val="13.0"/>
      <color theme="1"/>
      <name val="Calibri"/>
      <scheme val="minor"/>
    </font>
    <font>
      <b/>
      <sz val="9.0"/>
      <color theme="1"/>
      <name val="Calibri"/>
    </font>
  </fonts>
  <fills count="1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1" fillId="2" fontId="2" numFmtId="0" xfId="0" applyAlignment="1" applyBorder="1" applyFill="1" applyFont="1">
      <alignment horizontal="center" readingOrder="0"/>
    </xf>
    <xf borderId="0" fillId="0" fontId="3" numFmtId="49" xfId="0" applyAlignment="1" applyFont="1" applyNumberFormat="1">
      <alignment horizontal="center" readingOrder="0" shrinkToFit="0" vertical="bottom" wrapText="0"/>
    </xf>
    <xf borderId="1" fillId="3" fontId="1" numFmtId="0" xfId="0" applyAlignment="1" applyBorder="1" applyFill="1" applyFont="1">
      <alignment horizontal="center" readingOrder="0" shrinkToFit="0" vertical="bottom" wrapText="0"/>
    </xf>
    <xf borderId="1" fillId="4" fontId="1" numFmtId="49" xfId="0" applyAlignment="1" applyBorder="1" applyFill="1" applyFont="1" applyNumberFormat="1">
      <alignment horizontal="center"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4" numFmtId="164" xfId="0" applyAlignment="1" applyBorder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center" readingOrder="0"/>
    </xf>
    <xf borderId="1" fillId="4" fontId="1" numFmtId="0" xfId="0" applyAlignment="1" applyBorder="1" applyFont="1">
      <alignment horizontal="center" readingOrder="0" shrinkToFit="0" vertical="bottom" wrapText="0"/>
    </xf>
    <xf borderId="0" fillId="0" fontId="4" numFmtId="49" xfId="0" applyAlignment="1" applyFont="1" applyNumberFormat="1">
      <alignment horizontal="center" readingOrder="0"/>
    </xf>
    <xf borderId="0" fillId="0" fontId="3" numFmtId="2" xfId="0" applyAlignment="1" applyFont="1" applyNumberFormat="1">
      <alignment horizontal="center" readingOrder="0" shrinkToFit="0" vertical="bottom" wrapText="0"/>
    </xf>
    <xf borderId="1" fillId="4" fontId="1" numFmtId="3" xfId="0" applyAlignment="1" applyBorder="1" applyFont="1" applyNumberForma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4" fontId="1" numFmtId="1" xfId="0" applyAlignment="1" applyBorder="1" applyFont="1" applyNumberFormat="1">
      <alignment horizontal="center" readingOrder="0" shrinkToFit="0" vertical="bottom" wrapText="0"/>
    </xf>
    <xf borderId="1" fillId="0" fontId="5" numFmtId="0" xfId="0" applyAlignment="1" applyBorder="1" applyFont="1">
      <alignment horizontal="center"/>
    </xf>
    <xf borderId="0" fillId="0" fontId="4" numFmtId="0" xfId="0" applyAlignment="1" applyFont="1">
      <alignment horizontal="center" readingOrder="0"/>
    </xf>
    <xf borderId="1" fillId="0" fontId="4" numFmtId="0" xfId="0" applyAlignment="1" applyBorder="1" applyFont="1">
      <alignment horizontal="center"/>
    </xf>
    <xf borderId="0" fillId="4" fontId="3" numFmtId="165" xfId="0" applyAlignment="1" applyFont="1" applyNumberFormat="1">
      <alignment horizontal="center" readingOrder="0" shrinkToFit="0" vertical="bottom" wrapText="0"/>
    </xf>
    <xf borderId="1" fillId="0" fontId="4" numFmtId="49" xfId="0" applyAlignment="1" applyBorder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shrinkToFit="0" vertical="bottom" wrapText="0"/>
    </xf>
    <xf borderId="1" fillId="4" fontId="6" numFmtId="0" xfId="0" applyAlignment="1" applyBorder="1" applyFont="1">
      <alignment horizontal="center" readingOrder="0" shrinkToFit="0" vertical="bottom" wrapText="0"/>
    </xf>
    <xf borderId="0" fillId="5" fontId="4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horizontal="center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3" fontId="6" numFmtId="3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2" fillId="2" fontId="6" numFmtId="1" xfId="0" applyAlignment="1" applyBorder="1" applyFont="1" applyNumberFormat="1">
      <alignment horizontal="center" readingOrder="0" shrinkToFit="0" vertical="bottom" wrapText="0"/>
    </xf>
    <xf borderId="0" fillId="0" fontId="6" numFmtId="49" xfId="0" applyAlignment="1" applyFont="1" applyNumberFormat="1">
      <alignment horizontal="center" readingOrder="0" shrinkToFit="0" vertical="bottom" wrapText="0"/>
    </xf>
    <xf borderId="0" fillId="0" fontId="4" numFmtId="3" xfId="0" applyAlignment="1" applyFont="1" applyNumberFormat="1">
      <alignment horizontal="center" readingOrder="0"/>
    </xf>
    <xf borderId="1" fillId="6" fontId="6" numFmtId="3" xfId="0" applyAlignment="1" applyBorder="1" applyFill="1" applyFont="1" applyNumberFormat="1">
      <alignment horizontal="center" readingOrder="0" shrinkToFit="0" vertical="bottom" wrapText="0"/>
    </xf>
    <xf borderId="2" fillId="0" fontId="6" numFmtId="0" xfId="0" applyAlignment="1" applyBorder="1" applyFon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1" fillId="7" fontId="6" numFmtId="3" xfId="0" applyAlignment="1" applyBorder="1" applyFill="1" applyFont="1" applyNumberFormat="1">
      <alignment horizontal="center" readingOrder="0" shrinkToFit="0" vertical="bottom" wrapText="0"/>
    </xf>
    <xf borderId="1" fillId="4" fontId="6" numFmtId="49" xfId="0" applyAlignment="1" applyBorder="1" applyFont="1" applyNumberFormat="1">
      <alignment horizontal="center" readingOrder="0" shrinkToFit="0" vertical="bottom" wrapText="0"/>
    </xf>
    <xf borderId="1" fillId="0" fontId="6" numFmtId="3" xfId="0" applyAlignment="1" applyBorder="1" applyFont="1" applyNumberFormat="1">
      <alignment horizontal="center" readingOrder="0" shrinkToFit="0" vertical="bottom" wrapText="0"/>
    </xf>
    <xf borderId="0" fillId="4" fontId="6" numFmtId="2" xfId="0" applyAlignment="1" applyFont="1" applyNumberFormat="1">
      <alignment horizontal="center" readingOrder="0" shrinkToFit="0" vertical="bottom" wrapText="0"/>
    </xf>
    <xf borderId="1" fillId="0" fontId="6" numFmtId="9" xfId="0" applyAlignment="1" applyBorder="1" applyFont="1" applyNumberFormat="1">
      <alignment horizontal="center" readingOrder="0" shrinkToFit="0" vertical="bottom" wrapText="0"/>
    </xf>
    <xf borderId="1" fillId="4" fontId="4" numFmtId="49" xfId="0" applyAlignment="1" applyBorder="1" applyFont="1" applyNumberFormat="1">
      <alignment horizontal="center" readingOrder="0"/>
    </xf>
    <xf borderId="1" fillId="4" fontId="6" numFmtId="3" xfId="0" applyAlignment="1" applyBorder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4" fontId="7" numFmtId="165" xfId="0" applyAlignment="1" applyFont="1" applyNumberFormat="1">
      <alignment horizontal="center" vertical="bottom"/>
    </xf>
    <xf borderId="1" fillId="4" fontId="8" numFmtId="1" xfId="0" applyAlignment="1" applyBorder="1" applyFont="1" applyNumberFormat="1">
      <alignment horizontal="center"/>
    </xf>
    <xf borderId="1" fillId="7" fontId="6" numFmtId="0" xfId="0" applyAlignment="1" applyBorder="1" applyFont="1">
      <alignment horizontal="center" readingOrder="0" shrinkToFit="0" vertical="bottom" wrapText="0"/>
    </xf>
    <xf borderId="0" fillId="0" fontId="6" numFmtId="167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1" fillId="4" fontId="9" numFmtId="3" xfId="0" applyAlignment="1" applyBorder="1" applyFont="1" applyNumberFormat="1">
      <alignment horizontal="center"/>
    </xf>
    <xf borderId="1" fillId="6" fontId="6" numFmtId="0" xfId="0" applyAlignment="1" applyBorder="1" applyFont="1">
      <alignment horizontal="center" readingOrder="0" shrinkToFit="0" vertical="bottom" wrapText="0"/>
    </xf>
    <xf borderId="0" fillId="0" fontId="4" numFmtId="9" xfId="0" applyAlignment="1" applyFont="1" applyNumberFormat="1">
      <alignment horizontal="center" readingOrder="0"/>
    </xf>
    <xf borderId="1" fillId="4" fontId="6" numFmtId="2" xfId="0" applyAlignment="1" applyBorder="1" applyFont="1" applyNumberFormat="1">
      <alignment horizontal="center" readingOrder="0" shrinkToFit="0" vertical="bottom" wrapText="0"/>
    </xf>
    <xf borderId="2" fillId="0" fontId="6" numFmtId="1" xfId="0" applyAlignment="1" applyBorder="1" applyFont="1" applyNumberFormat="1">
      <alignment horizontal="center" readingOrder="0" shrinkToFit="0" vertical="bottom" wrapText="0"/>
    </xf>
    <xf borderId="1" fillId="4" fontId="4" numFmtId="3" xfId="0" applyAlignment="1" applyBorder="1" applyFont="1" applyNumberFormat="1">
      <alignment horizontal="center"/>
    </xf>
    <xf borderId="1" fillId="8" fontId="1" numFmtId="9" xfId="0" applyAlignment="1" applyBorder="1" applyFill="1" applyFont="1" applyNumberFormat="1">
      <alignment horizontal="center" readingOrder="0" shrinkToFit="0" vertical="bottom" wrapText="0"/>
    </xf>
    <xf borderId="1" fillId="2" fontId="6" numFmtId="0" xfId="0" applyAlignment="1" applyBorder="1" applyFont="1">
      <alignment horizontal="center" readingOrder="0" shrinkToFit="0" vertical="bottom" wrapText="0"/>
    </xf>
    <xf borderId="1" fillId="2" fontId="6" numFmtId="49" xfId="0" applyAlignment="1" applyBorder="1" applyFont="1" applyNumberFormat="1">
      <alignment horizontal="center" readingOrder="0" shrinkToFit="0" vertical="bottom" wrapText="0"/>
    </xf>
    <xf borderId="1" fillId="2" fontId="7" numFmtId="0" xfId="0" applyAlignment="1" applyBorder="1" applyFont="1">
      <alignment horizontal="center" vertical="bottom"/>
    </xf>
    <xf borderId="1" fillId="4" fontId="4" numFmtId="0" xfId="0" applyAlignment="1" applyBorder="1" applyFont="1">
      <alignment horizontal="center"/>
    </xf>
    <xf borderId="1" fillId="0" fontId="4" numFmtId="49" xfId="0" applyAlignment="1" applyBorder="1" applyFont="1" applyNumberFormat="1">
      <alignment horizontal="center"/>
    </xf>
    <xf borderId="0" fillId="4" fontId="4" numFmtId="49" xfId="0" applyAlignment="1" applyFont="1" applyNumberFormat="1">
      <alignment horizontal="center" readingOrder="0"/>
    </xf>
    <xf borderId="1" fillId="2" fontId="4" numFmtId="49" xfId="0" applyAlignment="1" applyBorder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shrinkToFit="0" vertical="bottom" wrapText="0"/>
    </xf>
    <xf borderId="1" fillId="0" fontId="4" numFmtId="168" xfId="0" applyAlignment="1" applyBorder="1" applyFont="1" applyNumberFormat="1">
      <alignment horizontal="center" readingOrder="0"/>
    </xf>
    <xf borderId="1" fillId="2" fontId="6" numFmtId="3" xfId="0" applyAlignment="1" applyBorder="1" applyFont="1" applyNumberFormat="1">
      <alignment horizontal="center" readingOrder="0" shrinkToFit="0" vertical="bottom" wrapText="0"/>
    </xf>
    <xf borderId="0" fillId="4" fontId="4" numFmtId="0" xfId="0" applyAlignment="1" applyFont="1">
      <alignment horizontal="center" readingOrder="0"/>
    </xf>
    <xf borderId="1" fillId="0" fontId="6" numFmtId="1" xfId="0" applyAlignment="1" applyBorder="1" applyFont="1" applyNumberFormat="1">
      <alignment horizontal="center" readingOrder="0" shrinkToFit="0" vertical="bottom" wrapText="0"/>
    </xf>
    <xf borderId="1" fillId="2" fontId="6" numFmtId="2" xfId="0" applyAlignment="1" applyBorder="1" applyFont="1" applyNumberFormat="1">
      <alignment horizontal="center" readingOrder="0" shrinkToFit="0" vertical="bottom" wrapText="0"/>
    </xf>
    <xf borderId="1" fillId="2" fontId="4" numFmtId="0" xfId="0" applyAlignment="1" applyBorder="1" applyFont="1">
      <alignment horizontal="center"/>
    </xf>
    <xf borderId="1" fillId="0" fontId="4" numFmtId="169" xfId="0" applyAlignment="1" applyBorder="1" applyFont="1" applyNumberFormat="1">
      <alignment horizontal="center" readingOrder="0"/>
    </xf>
    <xf borderId="1" fillId="3" fontId="6" numFmtId="4" xfId="0" applyAlignment="1" applyBorder="1" applyFont="1" applyNumberFormat="1">
      <alignment horizontal="center" readingOrder="0" shrinkToFit="0" vertical="bottom" wrapText="0"/>
    </xf>
    <xf borderId="0" fillId="4" fontId="6" numFmtId="49" xfId="0" applyAlignment="1" applyFont="1" applyNumberFormat="1">
      <alignment horizontal="center" readingOrder="0" shrinkToFit="0" vertical="bottom" wrapText="0"/>
    </xf>
    <xf borderId="0" fillId="6" fontId="1" numFmtId="0" xfId="0" applyAlignment="1" applyFont="1">
      <alignment horizontal="center" readingOrder="0" shrinkToFit="0" vertical="top" wrapText="0"/>
    </xf>
    <xf borderId="0" fillId="6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6" numFmtId="49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3" xfId="0" applyAlignment="1" applyFont="1" applyNumberFormat="1">
      <alignment horizontal="right" readingOrder="0" shrinkToFit="0" vertical="bottom" wrapText="0"/>
    </xf>
    <xf borderId="0" fillId="0" fontId="6" numFmtId="9" xfId="0" applyAlignment="1" applyFont="1" applyNumberFormat="1">
      <alignment horizontal="right" readingOrder="0" shrinkToFit="0" vertical="bottom" wrapText="0"/>
    </xf>
    <xf borderId="0" fillId="0" fontId="6" numFmtId="1" xfId="0" applyAlignment="1" applyFont="1" applyNumberFormat="1">
      <alignment horizontal="right" readingOrder="0" shrinkToFit="0" vertical="bottom" wrapText="0"/>
    </xf>
    <xf borderId="0" fillId="4" fontId="10" numFmtId="0" xfId="0" applyFont="1"/>
    <xf borderId="0" fillId="4" fontId="10" numFmtId="0" xfId="0" applyAlignment="1" applyFont="1">
      <alignment readingOrder="0"/>
    </xf>
    <xf borderId="0" fillId="0" fontId="7" numFmtId="49" xfId="0" applyAlignment="1" applyFont="1" applyNumberFormat="1">
      <alignment horizontal="center" vertical="bottom"/>
    </xf>
    <xf borderId="0" fillId="5" fontId="6" numFmtId="49" xfId="0" applyAlignment="1" applyFont="1" applyNumberFormat="1">
      <alignment horizontal="center" readingOrder="0" shrinkToFit="0" vertical="bottom" wrapText="0"/>
    </xf>
    <xf borderId="0" fillId="0" fontId="6" numFmtId="49" xfId="0" applyAlignment="1" applyFont="1" applyNumberFormat="1">
      <alignment horizontal="center" shrinkToFit="0" vertical="bottom" wrapText="0"/>
    </xf>
    <xf borderId="0" fillId="5" fontId="6" numFmtId="0" xfId="0" applyAlignment="1" applyFont="1">
      <alignment horizontal="center" readingOrder="0" shrinkToFit="0" vertical="bottom" wrapText="0"/>
    </xf>
    <xf borderId="0" fillId="0" fontId="4" numFmtId="10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49" xfId="0" applyFont="1" applyNumberFormat="1"/>
    <xf borderId="0" fillId="0" fontId="4" numFmtId="0" xfId="0" applyFont="1"/>
    <xf borderId="1" fillId="4" fontId="1" numFmtId="3" xfId="0" applyAlignment="1" applyBorder="1" applyFont="1" applyNumberFormat="1">
      <alignment horizontal="left" readingOrder="0" shrinkToFit="0" vertical="bottom" wrapText="0"/>
    </xf>
    <xf borderId="1" fillId="4" fontId="1" numFmtId="0" xfId="0" applyAlignment="1" applyBorder="1" applyFont="1">
      <alignment horizontal="left" readingOrder="0" shrinkToFit="0" vertical="bottom" wrapText="0"/>
    </xf>
    <xf borderId="1" fillId="4" fontId="1" numFmtId="0" xfId="0" applyAlignment="1" applyBorder="1" applyFont="1">
      <alignment horizontal="left" shrinkToFit="0" vertical="bottom" wrapText="0"/>
    </xf>
    <xf borderId="1" fillId="4" fontId="5" numFmtId="0" xfId="0" applyAlignment="1" applyBorder="1" applyFont="1">
      <alignment horizontal="left" readingOrder="0"/>
    </xf>
    <xf borderId="0" fillId="4" fontId="5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1" fillId="4" fontId="6" numFmtId="49" xfId="0" applyAlignment="1" applyBorder="1" applyFont="1" applyNumberFormat="1">
      <alignment horizontal="left" readingOrder="0" shrinkToFit="0" vertical="bottom" wrapText="0"/>
    </xf>
    <xf borderId="1" fillId="4" fontId="6" numFmtId="3" xfId="0" applyAlignment="1" applyBorder="1" applyFont="1" applyNumberFormat="1">
      <alignment horizontal="left" readingOrder="0" shrinkToFit="0" vertical="bottom" wrapText="0"/>
    </xf>
    <xf borderId="1" fillId="4" fontId="6" numFmtId="0" xfId="0" applyAlignment="1" applyBorder="1" applyFont="1">
      <alignment horizontal="left" readingOrder="0" shrinkToFit="0" vertical="bottom" wrapText="0"/>
    </xf>
    <xf borderId="1" fillId="4" fontId="6" numFmtId="1" xfId="0" applyAlignment="1" applyBorder="1" applyFont="1" applyNumberFormat="1">
      <alignment horizontal="center" readingOrder="0" shrinkToFit="0" vertical="bottom" wrapText="0"/>
    </xf>
    <xf borderId="1" fillId="4" fontId="6" numFmtId="1" xfId="0" applyAlignment="1" applyBorder="1" applyFont="1" applyNumberFormat="1">
      <alignment horizontal="left" readingOrder="0" shrinkToFit="0" vertical="bottom" wrapText="0"/>
    </xf>
    <xf borderId="1" fillId="4" fontId="4" numFmtId="2" xfId="0" applyAlignment="1" applyBorder="1" applyFont="1" applyNumberFormat="1">
      <alignment horizontal="left"/>
    </xf>
    <xf borderId="1" fillId="4" fontId="4" numFmtId="4" xfId="0" applyAlignment="1" applyBorder="1" applyFont="1" applyNumberFormat="1">
      <alignment horizontal="left" readingOrder="0"/>
    </xf>
    <xf borderId="1" fillId="4" fontId="6" numFmtId="2" xfId="0" applyAlignment="1" applyBorder="1" applyFont="1" applyNumberFormat="1">
      <alignment horizontal="left" readingOrder="0" shrinkToFit="0" vertical="bottom" wrapText="0"/>
    </xf>
    <xf borderId="1" fillId="4" fontId="6" numFmtId="2" xfId="0" applyAlignment="1" applyBorder="1" applyFont="1" applyNumberFormat="1">
      <alignment horizontal="left" readingOrder="0" shrinkToFit="0" vertical="bottom" wrapText="0"/>
    </xf>
    <xf borderId="1" fillId="4" fontId="6" numFmtId="170" xfId="0" applyAlignment="1" applyBorder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left" readingOrder="0"/>
    </xf>
    <xf borderId="0" fillId="4" fontId="4" numFmtId="0" xfId="0" applyAlignment="1" applyFont="1">
      <alignment horizontal="left"/>
    </xf>
    <xf borderId="1" fillId="4" fontId="4" numFmtId="49" xfId="0" applyAlignment="1" applyBorder="1" applyFont="1" applyNumberFormat="1">
      <alignment horizontal="left" readingOrder="0"/>
    </xf>
    <xf borderId="0" fillId="4" fontId="4" numFmtId="3" xfId="0" applyAlignment="1" applyFont="1" applyNumberFormat="1">
      <alignment horizontal="left"/>
    </xf>
    <xf borderId="0" fillId="4" fontId="4" numFmtId="1" xfId="0" applyAlignment="1" applyFont="1" applyNumberFormat="1">
      <alignment horizontal="left"/>
    </xf>
    <xf borderId="1" fillId="4" fontId="6" numFmtId="49" xfId="0" applyAlignment="1" applyBorder="1" applyFont="1" applyNumberFormat="1">
      <alignment horizontal="left" readingOrder="0" shrinkToFit="0" vertical="bottom" wrapText="0"/>
    </xf>
    <xf borderId="0" fillId="4" fontId="6" numFmtId="49" xfId="0" applyAlignment="1" applyFont="1" applyNumberFormat="1">
      <alignment horizontal="left" readingOrder="0" shrinkToFit="0" vertical="bottom" wrapText="0"/>
    </xf>
    <xf quotePrefix="1" borderId="0" fillId="0" fontId="4" numFmtId="49" xfId="0" applyAlignment="1" applyFont="1" applyNumberFormat="1">
      <alignment horizontal="center" readingOrder="0"/>
    </xf>
    <xf borderId="0" fillId="0" fontId="5" numFmtId="49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1" xfId="0" applyAlignment="1" applyFont="1" applyNumberFormat="1">
      <alignment horizontal="center" readingOrder="0" shrinkToFit="0" vertical="bottom" wrapText="0"/>
    </xf>
    <xf borderId="0" fillId="0" fontId="4" numFmtId="2" xfId="0" applyAlignment="1" applyFont="1" applyNumberFormat="1">
      <alignment horizontal="center" readingOrder="0"/>
    </xf>
    <xf borderId="0" fillId="0" fontId="4" numFmtId="3" xfId="0" applyAlignment="1" applyFont="1" applyNumberFormat="1">
      <alignment horizontal="center"/>
    </xf>
    <xf borderId="0" fillId="0" fontId="4" numFmtId="9" xfId="0" applyAlignment="1" applyFont="1" applyNumberFormat="1">
      <alignment horizontal="center"/>
    </xf>
    <xf borderId="0" fillId="0" fontId="4" numFmtId="10" xfId="0" applyAlignment="1" applyFont="1" applyNumberFormat="1">
      <alignment horizontal="center"/>
    </xf>
    <xf borderId="0" fillId="4" fontId="4" numFmtId="49" xfId="0" applyAlignment="1" applyFont="1" applyNumberFormat="1">
      <alignment horizontal="left" readingOrder="0"/>
    </xf>
    <xf borderId="0" fillId="0" fontId="6" numFmtId="3" xfId="0" applyAlignment="1" applyFont="1" applyNumberFormat="1">
      <alignment horizontal="center" readingOrder="0" shrinkToFit="0" vertical="bottom" wrapText="0"/>
    </xf>
    <xf borderId="0" fillId="2" fontId="4" numFmtId="0" xfId="0" applyAlignment="1" applyFont="1">
      <alignment horizontal="left"/>
    </xf>
    <xf borderId="0" fillId="0" fontId="4" numFmtId="1" xfId="0" applyAlignment="1" applyFont="1" applyNumberFormat="1">
      <alignment horizontal="center"/>
    </xf>
    <xf borderId="0" fillId="9" fontId="4" numFmtId="0" xfId="0" applyAlignment="1" applyFill="1" applyFont="1">
      <alignment horizontal="left"/>
    </xf>
    <xf borderId="1" fillId="2" fontId="6" numFmtId="3" xfId="0" applyAlignment="1" applyBorder="1" applyFont="1" applyNumberFormat="1">
      <alignment horizontal="left" readingOrder="0" shrinkToFit="0" vertical="bottom" wrapText="0"/>
    </xf>
    <xf borderId="1" fillId="2" fontId="6" numFmtId="0" xfId="0" applyAlignment="1" applyBorder="1" applyFont="1">
      <alignment horizontal="left" readingOrder="0" shrinkToFit="0" vertical="bottom" wrapText="0"/>
    </xf>
    <xf borderId="1" fillId="2" fontId="6" numFmtId="1" xfId="0" applyAlignment="1" applyBorder="1" applyFont="1" applyNumberFormat="1">
      <alignment horizontal="center" readingOrder="0" shrinkToFit="0" vertical="bottom" wrapText="0"/>
    </xf>
    <xf borderId="1" fillId="2" fontId="6" numFmtId="1" xfId="0" applyAlignment="1" applyBorder="1" applyFont="1" applyNumberFormat="1">
      <alignment horizontal="left" readingOrder="0" shrinkToFit="0" vertical="bottom" wrapText="0"/>
    </xf>
    <xf borderId="1" fillId="2" fontId="4" numFmtId="2" xfId="0" applyAlignment="1" applyBorder="1" applyFont="1" applyNumberFormat="1">
      <alignment horizontal="left"/>
    </xf>
    <xf borderId="1" fillId="2" fontId="6" numFmtId="49" xfId="0" applyAlignment="1" applyBorder="1" applyFont="1" applyNumberFormat="1">
      <alignment horizontal="left" readingOrder="0" shrinkToFit="0" vertical="bottom" wrapText="0"/>
    </xf>
    <xf borderId="1" fillId="2" fontId="4" numFmtId="4" xfId="0" applyAlignment="1" applyBorder="1" applyFont="1" applyNumberFormat="1">
      <alignment horizontal="left" readingOrder="0"/>
    </xf>
    <xf borderId="1" fillId="2" fontId="6" numFmtId="2" xfId="0" applyAlignment="1" applyBorder="1" applyFont="1" applyNumberFormat="1">
      <alignment horizontal="left" readingOrder="0" shrinkToFit="0" vertical="bottom" wrapText="0"/>
    </xf>
    <xf borderId="1" fillId="2" fontId="6" numFmtId="2" xfId="0" applyAlignment="1" applyBorder="1" applyFont="1" applyNumberFormat="1">
      <alignment horizontal="left" readingOrder="0" shrinkToFit="0" vertical="bottom" wrapText="0"/>
    </xf>
    <xf borderId="1" fillId="2" fontId="6" numFmtId="170" xfId="0" applyAlignment="1" applyBorder="1" applyFont="1" applyNumberFormat="1">
      <alignment horizontal="left" readingOrder="0" shrinkToFit="0" vertical="bottom" wrapText="0"/>
    </xf>
    <xf borderId="1" fillId="2" fontId="4" numFmtId="0" xfId="0" applyAlignment="1" applyBorder="1" applyFont="1">
      <alignment horizontal="left" readingOrder="0"/>
    </xf>
    <xf borderId="0" fillId="2" fontId="4" numFmtId="0" xfId="0" applyAlignment="1" applyFont="1">
      <alignment horizontal="left" readingOrder="0"/>
    </xf>
    <xf borderId="0" fillId="2" fontId="4" numFmtId="3" xfId="0" applyAlignment="1" applyFont="1" applyNumberFormat="1">
      <alignment horizontal="left"/>
    </xf>
    <xf borderId="0" fillId="2" fontId="4" numFmtId="1" xfId="0" applyAlignment="1" applyFont="1" applyNumberFormat="1">
      <alignment horizontal="left"/>
    </xf>
    <xf borderId="0" fillId="0" fontId="6" numFmtId="49" xfId="0" applyAlignment="1" applyFont="1" applyNumberFormat="1">
      <alignment readingOrder="0" shrinkToFit="0" vertical="bottom" wrapText="0"/>
    </xf>
    <xf borderId="1" fillId="4" fontId="6" numFmtId="49" xfId="0" applyAlignment="1" applyBorder="1" applyFont="1" applyNumberFormat="1">
      <alignment horizontal="center" readingOrder="0" shrinkToFit="0" vertical="bottom" wrapText="0"/>
    </xf>
    <xf borderId="1" fillId="4" fontId="4" numFmtId="3" xfId="0" applyAlignment="1" applyBorder="1" applyFont="1" applyNumberFormat="1">
      <alignment horizontal="center" readingOrder="0"/>
    </xf>
    <xf borderId="1" fillId="4" fontId="7" numFmtId="49" xfId="0" applyAlignment="1" applyBorder="1" applyFont="1" applyNumberFormat="1">
      <alignment horizontal="left" readingOrder="0" vertical="bottom"/>
    </xf>
    <xf borderId="1" fillId="2" fontId="4" numFmtId="3" xfId="0" applyAlignment="1" applyBorder="1" applyFont="1" applyNumberFormat="1">
      <alignment horizontal="center"/>
    </xf>
    <xf borderId="1" fillId="0" fontId="6" numFmtId="49" xfId="0" applyAlignment="1" applyBorder="1" applyFont="1" applyNumberFormat="1">
      <alignment horizontal="center" readingOrder="0" shrinkToFit="0" vertical="bottom" wrapText="0"/>
    </xf>
    <xf borderId="1" fillId="4" fontId="4" numFmtId="49" xfId="0" applyAlignment="1" applyBorder="1" applyFont="1" applyNumberFormat="1">
      <alignment horizontal="center"/>
    </xf>
    <xf borderId="0" fillId="0" fontId="6" numFmtId="3" xfId="0" applyAlignment="1" applyFont="1" applyNumberFormat="1">
      <alignment horizontal="center" readingOrder="0" shrinkToFit="0" vertical="bottom" wrapText="0"/>
    </xf>
    <xf borderId="1" fillId="2" fontId="4" numFmtId="3" xfId="0" applyAlignment="1" applyBorder="1" applyFont="1" applyNumberFormat="1">
      <alignment horizontal="center" readingOrder="0"/>
    </xf>
    <xf borderId="0" fillId="4" fontId="6" numFmtId="0" xfId="0" applyAlignment="1" applyFont="1">
      <alignment horizontal="left" readingOrder="0" shrinkToFit="0" vertical="bottom" wrapText="0"/>
    </xf>
    <xf borderId="0" fillId="4" fontId="6" numFmtId="49" xfId="0" applyAlignment="1" applyFont="1" applyNumberFormat="1">
      <alignment horizontal="left" readingOrder="0" shrinkToFit="0" vertical="bottom" wrapText="0"/>
    </xf>
    <xf borderId="1" fillId="4" fontId="4" numFmtId="0" xfId="0" applyAlignment="1" applyBorder="1" applyFont="1">
      <alignment horizontal="center" readingOrder="0"/>
    </xf>
    <xf borderId="0" fillId="0" fontId="4" numFmtId="49" xfId="0" applyAlignment="1" applyFont="1" applyNumberFormat="1">
      <alignment horizontal="left"/>
    </xf>
    <xf borderId="0" fillId="2" fontId="4" numFmtId="4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 shrinkToFit="0" vertical="bottom" wrapText="0"/>
    </xf>
    <xf borderId="0" fillId="0" fontId="6" numFmtId="3" xfId="0" applyAlignment="1" applyFont="1" applyNumberFormat="1">
      <alignment horizontal="left" readingOrder="0" shrinkToFit="0" vertical="bottom" wrapText="0"/>
    </xf>
    <xf borderId="0" fillId="0" fontId="6" numFmtId="4" xfId="0" applyAlignment="1" applyFont="1" applyNumberFormat="1">
      <alignment horizontal="left" readingOrder="0" shrinkToFit="0" vertical="bottom" wrapText="0"/>
    </xf>
    <xf borderId="0" fillId="0" fontId="4" numFmtId="0" xfId="0" applyAlignment="1" applyFont="1">
      <alignment horizontal="left" readingOrder="0"/>
    </xf>
    <xf borderId="1" fillId="2" fontId="8" numFmtId="1" xfId="0" applyAlignment="1" applyBorder="1" applyFont="1" applyNumberFormat="1">
      <alignment horizontal="center"/>
    </xf>
    <xf borderId="1" fillId="2" fontId="4" numFmtId="49" xfId="0" applyAlignment="1" applyBorder="1" applyFont="1" applyNumberFormat="1">
      <alignment horizontal="center"/>
    </xf>
    <xf borderId="0" fillId="0" fontId="7" numFmtId="3" xfId="0" applyAlignment="1" applyFont="1" applyNumberFormat="1">
      <alignment horizontal="center" vertical="bottom"/>
    </xf>
    <xf borderId="1" fillId="6" fontId="4" numFmtId="49" xfId="0" applyAlignment="1" applyBorder="1" applyFont="1" applyNumberFormat="1">
      <alignment horizontal="center" readingOrder="0"/>
    </xf>
    <xf borderId="0" fillId="6" fontId="4" numFmtId="49" xfId="0" applyAlignment="1" applyFont="1" applyNumberFormat="1">
      <alignment horizontal="center" readingOrder="0"/>
    </xf>
    <xf borderId="1" fillId="4" fontId="4" numFmtId="1" xfId="0" applyAlignment="1" applyBorder="1" applyFont="1" applyNumberFormat="1">
      <alignment horizontal="center" readingOrder="0"/>
    </xf>
    <xf borderId="1" fillId="4" fontId="4" numFmtId="1" xfId="0" applyAlignment="1" applyBorder="1" applyFont="1" applyNumberFormat="1">
      <alignment horizontal="center"/>
    </xf>
    <xf borderId="0" fillId="0" fontId="4" numFmtId="3" xfId="0" applyAlignment="1" applyFont="1" applyNumberFormat="1">
      <alignment horizontal="left"/>
    </xf>
    <xf borderId="0" fillId="0" fontId="4" numFmtId="4" xfId="0" applyAlignment="1" applyFont="1" applyNumberFormat="1">
      <alignment horizontal="left"/>
    </xf>
    <xf borderId="0" fillId="4" fontId="11" numFmtId="49" xfId="0" applyAlignment="1" applyFont="1" applyNumberFormat="1">
      <alignment readingOrder="0"/>
    </xf>
    <xf borderId="0" fillId="4" fontId="4" numFmtId="2" xfId="0" applyAlignment="1" applyFont="1" applyNumberFormat="1">
      <alignment horizontal="center" readingOrder="0"/>
    </xf>
    <xf borderId="0" fillId="4" fontId="4" numFmtId="49" xfId="0" applyAlignment="1" applyFont="1" applyNumberFormat="1">
      <alignment horizontal="center"/>
    </xf>
    <xf borderId="0" fillId="4" fontId="4" numFmtId="3" xfId="0" applyAlignment="1" applyFont="1" applyNumberFormat="1">
      <alignment horizontal="center" readingOrder="0"/>
    </xf>
    <xf borderId="0" fillId="4" fontId="4" numFmtId="0" xfId="0" applyAlignment="1" applyFont="1">
      <alignment horizont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shrinkToFit="0" vertical="center" wrapText="0"/>
    </xf>
    <xf borderId="1" fillId="0" fontId="1" numFmtId="49" xfId="0" applyAlignment="1" applyBorder="1" applyFont="1" applyNumberFormat="1">
      <alignment horizontal="center" readingOrder="0" shrinkToFit="0" vertical="bottom" wrapText="0"/>
    </xf>
    <xf borderId="0" fillId="0" fontId="1" numFmtId="49" xfId="0" applyAlignment="1" applyFont="1" applyNumberForma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6" numFmtId="49" xfId="0" applyAlignment="1" applyFont="1" applyNumberFormat="1">
      <alignment horizontal="center" readingOrder="0" vertical="bottom"/>
    </xf>
    <xf borderId="0" fillId="0" fontId="6" numFmtId="0" xfId="0" applyAlignment="1" applyFont="1">
      <alignment horizontal="center" readingOrder="0" vertical="bottom"/>
    </xf>
    <xf borderId="0" fillId="6" fontId="4" numFmtId="49" xfId="0" applyAlignment="1" applyFont="1" applyNumberFormat="1">
      <alignment horizontal="center"/>
    </xf>
    <xf borderId="0" fillId="6" fontId="6" numFmtId="49" xfId="0" applyAlignment="1" applyFont="1" applyNumberFormat="1">
      <alignment horizontal="center" readingOrder="0" shrinkToFit="0" vertical="bottom" wrapText="0"/>
    </xf>
    <xf borderId="0" fillId="6" fontId="4" numFmtId="3" xfId="0" applyAlignment="1" applyFont="1" applyNumberFormat="1">
      <alignment horizontal="center" readingOrder="0"/>
    </xf>
    <xf borderId="0" fillId="6" fontId="6" numFmtId="0" xfId="0" applyAlignment="1" applyFont="1">
      <alignment horizontal="center" shrinkToFit="0" vertical="bottom" wrapText="0"/>
    </xf>
    <xf borderId="0" fillId="6" fontId="6" numFmtId="2" xfId="0" applyAlignment="1" applyFont="1" applyNumberFormat="1">
      <alignment horizontal="center" readingOrder="0" shrinkToFit="0" vertical="bottom" wrapText="0"/>
    </xf>
    <xf borderId="0" fillId="6" fontId="4" numFmtId="0" xfId="0" applyAlignment="1" applyFont="1">
      <alignment horizontal="center" readingOrder="0"/>
    </xf>
    <xf borderId="0" fillId="0" fontId="6" numFmtId="0" xfId="0" applyAlignment="1" applyFont="1">
      <alignment shrinkToFit="0" vertical="bottom" wrapText="0"/>
    </xf>
    <xf borderId="0" fillId="6" fontId="4" numFmtId="0" xfId="0" applyAlignment="1" applyFont="1">
      <alignment horizontal="center"/>
    </xf>
    <xf borderId="0" fillId="6" fontId="7" numFmtId="165" xfId="0" applyAlignment="1" applyFont="1" applyNumberFormat="1">
      <alignment horizontal="center" vertical="bottom"/>
    </xf>
    <xf borderId="0" fillId="6" fontId="6" numFmtId="167" xfId="0" applyAlignment="1" applyFont="1" applyNumberFormat="1">
      <alignment horizontal="center" readingOrder="0" shrinkToFit="0" vertical="bottom" wrapText="0"/>
    </xf>
    <xf borderId="0" fillId="6" fontId="6" numFmtId="0" xfId="0" applyAlignment="1" applyFont="1">
      <alignment horizontal="center" readingOrder="0" shrinkToFit="0" vertical="bottom" wrapText="0"/>
    </xf>
    <xf borderId="0" fillId="6" fontId="4" numFmtId="9" xfId="0" applyAlignment="1" applyFont="1" applyNumberFormat="1">
      <alignment horizontal="center" readingOrder="0"/>
    </xf>
    <xf borderId="0" fillId="10" fontId="6" numFmtId="49" xfId="0" applyAlignment="1" applyFill="1" applyFont="1" applyNumberFormat="1">
      <alignment horizontal="center" readingOrder="0" shrinkToFit="0" vertical="bottom" wrapText="0"/>
    </xf>
    <xf borderId="0" fillId="10" fontId="6" numFmtId="49" xfId="0" applyAlignment="1" applyFont="1" applyNumberFormat="1">
      <alignment horizontal="center" shrinkToFit="0" vertical="bottom" wrapText="0"/>
    </xf>
    <xf borderId="0" fillId="4" fontId="6" numFmtId="0" xfId="0" applyAlignment="1" applyFont="1">
      <alignment horizontal="center" shrinkToFit="0" vertical="bottom" wrapText="0"/>
    </xf>
    <xf borderId="0" fillId="4" fontId="6" numFmtId="0" xfId="0" applyAlignment="1" applyFont="1">
      <alignment horizontal="center" readingOrder="0" shrinkToFit="0" vertical="bottom" wrapText="0"/>
    </xf>
    <xf borderId="0" fillId="4" fontId="6" numFmtId="0" xfId="0" applyAlignment="1" applyFont="1">
      <alignment horizontal="center" readingOrder="0" vertical="bottom"/>
    </xf>
    <xf borderId="0" fillId="11" fontId="6" numFmtId="49" xfId="0" applyAlignment="1" applyFill="1" applyFont="1" applyNumberFormat="1">
      <alignment horizontal="center" readingOrder="0" vertical="bottom"/>
    </xf>
    <xf borderId="0" fillId="11" fontId="6" numFmtId="0" xfId="0" applyAlignment="1" applyFont="1">
      <alignment horizontal="center" readingOrder="0" vertical="bottom"/>
    </xf>
    <xf borderId="1" fillId="0" fontId="1" numFmtId="49" xfId="0" applyAlignment="1" applyBorder="1" applyFont="1" applyNumberFormat="1">
      <alignment horizontal="center" readingOrder="0" shrinkToFit="0" vertical="top" wrapText="0"/>
    </xf>
    <xf borderId="1" fillId="0" fontId="1" numFmtId="3" xfId="0" applyAlignment="1" applyBorder="1" applyFont="1" applyNumberFormat="1">
      <alignment horizontal="center" readingOrder="0" shrinkToFit="0" vertical="top" wrapText="0"/>
    </xf>
    <xf borderId="1" fillId="0" fontId="1" numFmtId="4" xfId="0" applyAlignment="1" applyBorder="1" applyFont="1" applyNumberFormat="1">
      <alignment horizontal="center" readingOrder="0" shrinkToFit="0" vertical="top" wrapText="0"/>
    </xf>
    <xf borderId="1" fillId="0" fontId="1" numFmtId="0" xfId="0" applyAlignment="1" applyBorder="1" applyFont="1">
      <alignment horizontal="center" readingOrder="0" shrinkToFit="0" vertical="top" wrapText="0"/>
    </xf>
    <xf borderId="1" fillId="0" fontId="1" numFmtId="11" xfId="0" applyAlignment="1" applyBorder="1" applyFont="1" applyNumberFormat="1">
      <alignment horizontal="center" readingOrder="0" shrinkToFit="0" vertical="top" wrapText="0"/>
    </xf>
    <xf borderId="0" fillId="0" fontId="6" numFmtId="49" xfId="0" applyAlignment="1" applyFont="1" applyNumberFormat="1">
      <alignment horizontal="right" readingOrder="0" shrinkToFit="0" vertical="bottom" wrapText="0"/>
    </xf>
    <xf borderId="0" fillId="0" fontId="12" numFmtId="4" xfId="0" applyAlignment="1" applyFont="1" applyNumberFormat="1">
      <alignment readingOrder="0" shrinkToFit="0" vertical="bottom" wrapText="0"/>
    </xf>
    <xf borderId="0" fillId="0" fontId="6" numFmtId="3" xfId="0" applyAlignment="1" applyFont="1" applyNumberForma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3" xfId="0" applyAlignment="1" applyFont="1" applyNumberFormat="1">
      <alignment shrinkToFit="0" vertical="bottom" wrapText="0"/>
    </xf>
    <xf borderId="0" fillId="0" fontId="6" numFmtId="11" xfId="0" applyAlignment="1" applyFont="1" applyNumberFormat="1">
      <alignment horizontal="right" readingOrder="0" shrinkToFit="0" vertical="bottom" wrapText="0"/>
    </xf>
    <xf borderId="0" fillId="0" fontId="6" numFmtId="4" xfId="0" applyAlignment="1" applyFont="1" applyNumberFormat="1">
      <alignment shrinkToFit="0" vertical="bottom" wrapText="0"/>
    </xf>
    <xf borderId="0" fillId="0" fontId="6" numFmtId="11" xfId="0" applyAlignment="1" applyFont="1" applyNumberFormat="1">
      <alignment shrinkToFit="0" vertical="bottom" wrapText="0"/>
    </xf>
    <xf borderId="0" fillId="0" fontId="4" numFmtId="167" xfId="0" applyAlignment="1" applyFont="1" applyNumberFormat="1">
      <alignment horizontal="center"/>
    </xf>
    <xf borderId="0" fillId="0" fontId="4" numFmtId="165" xfId="0" applyAlignment="1" applyFont="1" applyNumberFormat="1">
      <alignment horizontal="center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readingOrder="0" vertical="bottom"/>
    </xf>
    <xf borderId="0" fillId="2" fontId="6" numFmtId="49" xfId="0" applyAlignment="1" applyFont="1" applyNumberFormat="1">
      <alignment horizontal="center" readingOrder="0" vertical="bottom"/>
    </xf>
    <xf borderId="0" fillId="2" fontId="6" numFmtId="0" xfId="0" applyAlignment="1" applyFont="1">
      <alignment horizontal="center" readingOrder="0" vertical="bottom"/>
    </xf>
    <xf borderId="0" fillId="4" fontId="6" numFmtId="49" xfId="0" applyAlignment="1" applyFont="1" applyNumberFormat="1">
      <alignment horizontal="center" readingOrder="0" vertical="bottom"/>
    </xf>
    <xf borderId="0" fillId="0" fontId="6" numFmtId="49" xfId="0" applyAlignment="1" applyFont="1" applyNumberFormat="1">
      <alignment readingOrder="0" vertical="bottom"/>
    </xf>
    <xf borderId="1" fillId="0" fontId="7" numFmtId="49" xfId="0" applyAlignment="1" applyBorder="1" applyFont="1" applyNumberFormat="1">
      <alignment horizontal="center" vertical="bottom"/>
    </xf>
    <xf borderId="1" fillId="4" fontId="7" numFmtId="49" xfId="0" applyAlignment="1" applyBorder="1" applyFont="1" applyNumberFormat="1">
      <alignment horizontal="center" vertical="bottom"/>
    </xf>
    <xf borderId="1" fillId="0" fontId="7" numFmtId="0" xfId="0" applyAlignment="1" applyBorder="1" applyFont="1">
      <alignment horizontal="center" vertical="bottom"/>
    </xf>
    <xf borderId="0" fillId="0" fontId="6" numFmtId="49" xfId="0" applyAlignment="1" applyFont="1" applyNumberFormat="1">
      <alignment shrinkToFit="0" vertical="bottom" wrapText="0"/>
    </xf>
    <xf borderId="1" fillId="4" fontId="7" numFmtId="0" xfId="0" applyAlignment="1" applyBorder="1" applyFont="1">
      <alignment horizontal="center" readingOrder="0" vertical="bottom"/>
    </xf>
    <xf borderId="1" fillId="5" fontId="4" numFmtId="49" xfId="0" applyAlignment="1" applyBorder="1" applyFont="1" applyNumberFormat="1">
      <alignment horizontal="center" readingOrder="0"/>
    </xf>
    <xf borderId="1" fillId="0" fontId="7" numFmtId="49" xfId="0" applyAlignment="1" applyBorder="1" applyFont="1" applyNumberFormat="1">
      <alignment vertical="bottom"/>
    </xf>
    <xf borderId="1" fillId="0" fontId="7" numFmtId="0" xfId="0" applyAlignment="1" applyBorder="1" applyFont="1">
      <alignment horizontal="center" vertical="bottom"/>
    </xf>
    <xf borderId="0" fillId="0" fontId="6" numFmtId="11" xfId="0" applyAlignment="1" applyFont="1" applyNumberFormat="1">
      <alignment readingOrder="0" shrinkToFit="0" vertical="bottom" wrapText="0"/>
    </xf>
    <xf borderId="1" fillId="11" fontId="6" numFmtId="49" xfId="0" applyAlignment="1" applyBorder="1" applyFont="1" applyNumberFormat="1">
      <alignment horizontal="center" readingOrder="0" shrinkToFit="0" vertical="bottom" wrapText="0"/>
    </xf>
    <xf borderId="1" fillId="11" fontId="6" numFmtId="0" xfId="0" applyAlignment="1" applyBorder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vertical="bottom"/>
    </xf>
    <xf borderId="1" fillId="0" fontId="6" numFmtId="49" xfId="0" applyAlignment="1" applyBorder="1" applyFont="1" applyNumberFormat="1">
      <alignment readingOrder="0" shrinkToFit="0" vertical="bottom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vertical="bottom"/>
    </xf>
    <xf borderId="1" fillId="0" fontId="7" numFmtId="49" xfId="0" applyAlignment="1" applyBorder="1" applyFont="1" applyNumberFormat="1">
      <alignment horizontal="center" readingOrder="0" vertical="bottom"/>
    </xf>
    <xf borderId="0" fillId="4" fontId="7" numFmtId="49" xfId="0" applyAlignment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0" fontId="13" numFmtId="3" xfId="0" applyAlignment="1" applyBorder="1" applyFont="1" applyNumberFormat="1">
      <alignment horizontal="center" vertical="bottom"/>
    </xf>
    <xf borderId="1" fillId="8" fontId="13" numFmtId="0" xfId="0" applyAlignment="1" applyBorder="1" applyFont="1">
      <alignment horizontal="center" readingOrder="0" vertical="bottom"/>
    </xf>
    <xf borderId="1" fillId="0" fontId="14" numFmtId="0" xfId="0" applyAlignment="1" applyBorder="1" applyFont="1">
      <alignment horizontal="center" readingOrder="0" vertical="bottom"/>
    </xf>
    <xf borderId="0" fillId="0" fontId="15" numFmtId="0" xfId="0" applyAlignment="1" applyFont="1">
      <alignment vertical="bottom"/>
    </xf>
    <xf borderId="0" fillId="0" fontId="14" numFmtId="0" xfId="0" applyAlignment="1" applyFont="1">
      <alignment horizontal="center" vertical="bottom"/>
    </xf>
    <xf borderId="1" fillId="0" fontId="15" numFmtId="169" xfId="0" applyAlignment="1" applyBorder="1" applyFont="1" applyNumberFormat="1">
      <alignment horizontal="center" vertical="bottom"/>
    </xf>
    <xf borderId="2" fillId="0" fontId="7" numFmtId="49" xfId="0" applyAlignment="1" applyBorder="1" applyFont="1" applyNumberFormat="1">
      <alignment horizontal="center" vertical="bottom"/>
    </xf>
    <xf borderId="2" fillId="0" fontId="7" numFmtId="3" xfId="0" applyAlignment="1" applyBorder="1" applyFont="1" applyNumberFormat="1">
      <alignment horizontal="center" vertical="bottom"/>
    </xf>
    <xf borderId="2" fillId="4" fontId="15" numFmtId="0" xfId="0" applyAlignment="1" applyBorder="1" applyFont="1">
      <alignment vertical="bottom"/>
    </xf>
    <xf borderId="2" fillId="4" fontId="7" numFmtId="0" xfId="0" applyAlignment="1" applyBorder="1" applyFont="1">
      <alignment horizontal="center" vertical="bottom"/>
    </xf>
    <xf borderId="1" fillId="0" fontId="16" numFmtId="171" xfId="0" applyAlignment="1" applyBorder="1" applyFont="1" applyNumberFormat="1">
      <alignment horizontal="center" vertical="bottom"/>
    </xf>
    <xf borderId="1" fillId="0" fontId="16" numFmtId="0" xfId="0" applyAlignment="1" applyBorder="1" applyFont="1">
      <alignment horizontal="center" vertical="bottom"/>
    </xf>
    <xf borderId="1" fillId="0" fontId="15" numFmtId="172" xfId="0" applyAlignment="1" applyBorder="1" applyFont="1" applyNumberFormat="1">
      <alignment horizontal="center" vertical="bottom"/>
    </xf>
    <xf borderId="1" fillId="0" fontId="17" numFmtId="3" xfId="0" applyAlignment="1" applyBorder="1" applyFont="1" applyNumberFormat="1">
      <alignment horizontal="center" vertical="bottom"/>
    </xf>
    <xf borderId="1" fillId="0" fontId="18" numFmtId="3" xfId="0" applyAlignment="1" applyBorder="1" applyFont="1" applyNumberFormat="1">
      <alignment horizontal="center" vertical="bottom"/>
    </xf>
    <xf borderId="1" fillId="0" fontId="18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0" fontId="15" numFmtId="0" xfId="0" applyAlignment="1" applyFont="1">
      <alignment horizontal="center" vertical="bottom"/>
    </xf>
    <xf borderId="2" fillId="4" fontId="15" numFmtId="171" xfId="0" applyAlignment="1" applyBorder="1" applyFont="1" applyNumberFormat="1">
      <alignment vertical="bottom"/>
    </xf>
    <xf borderId="2" fillId="4" fontId="15" numFmtId="0" xfId="0" applyAlignment="1" applyBorder="1" applyFont="1">
      <alignment vertical="bottom"/>
    </xf>
    <xf borderId="0" fillId="0" fontId="15" numFmtId="0" xfId="0" applyAlignment="1" applyFont="1">
      <alignment horizontal="center" readingOrder="0" vertical="bottom"/>
    </xf>
    <xf borderId="2" fillId="0" fontId="7" numFmtId="0" xfId="0" applyAlignment="1" applyBorder="1" applyFont="1">
      <alignment horizontal="center" vertical="bottom"/>
    </xf>
    <xf borderId="1" fillId="0" fontId="15" numFmtId="1" xfId="0" applyAlignment="1" applyBorder="1" applyFont="1" applyNumberFormat="1">
      <alignment vertical="bottom"/>
    </xf>
    <xf borderId="2" fillId="4" fontId="15" numFmtId="2" xfId="0" applyAlignment="1" applyBorder="1" applyFont="1" applyNumberFormat="1">
      <alignment vertical="bottom"/>
    </xf>
    <xf borderId="0" fillId="0" fontId="18" numFmtId="49" xfId="0" applyAlignment="1" applyFont="1" applyNumberFormat="1">
      <alignment horizontal="center" vertical="bottom"/>
    </xf>
    <xf borderId="2" fillId="0" fontId="15" numFmtId="0" xfId="0" applyAlignment="1" applyBorder="1" applyFont="1">
      <alignment vertical="bottom"/>
    </xf>
    <xf borderId="2" fillId="4" fontId="15" numFmtId="1" xfId="0" applyAlignment="1" applyBorder="1" applyFont="1" applyNumberFormat="1">
      <alignment vertical="bottom"/>
    </xf>
    <xf borderId="2" fillId="4" fontId="7" numFmtId="1" xfId="0" applyAlignment="1" applyBorder="1" applyFont="1" applyNumberFormat="1">
      <alignment horizontal="center" vertical="bottom"/>
    </xf>
    <xf borderId="2" fillId="4" fontId="15" numFmtId="3" xfId="0" applyAlignment="1" applyBorder="1" applyFont="1" applyNumberFormat="1">
      <alignment vertical="bottom"/>
    </xf>
    <xf borderId="3" fillId="0" fontId="7" numFmtId="3" xfId="0" applyAlignment="1" applyBorder="1" applyFont="1" applyNumberFormat="1">
      <alignment horizontal="center" vertical="bottom"/>
    </xf>
    <xf borderId="2" fillId="4" fontId="7" numFmtId="2" xfId="0" applyAlignment="1" applyBorder="1" applyFont="1" applyNumberFormat="1">
      <alignment horizontal="center" vertical="bottom"/>
    </xf>
    <xf borderId="2" fillId="4" fontId="7" numFmtId="0" xfId="0" applyAlignment="1" applyBorder="1" applyFont="1">
      <alignment horizontal="center" vertical="bottom"/>
    </xf>
    <xf borderId="2" fillId="4" fontId="7" numFmtId="171" xfId="0" applyAlignment="1" applyBorder="1" applyFont="1" applyNumberFormat="1">
      <alignment horizontal="center" vertical="bottom"/>
    </xf>
    <xf borderId="1" fillId="0" fontId="15" numFmtId="49" xfId="0" applyAlignment="1" applyBorder="1" applyFont="1" applyNumberFormat="1">
      <alignment horizontal="center" vertical="bottom"/>
    </xf>
    <xf borderId="1" fillId="0" fontId="15" numFmtId="3" xfId="0" applyAlignment="1" applyBorder="1" applyFont="1" applyNumberFormat="1">
      <alignment horizontal="center" vertical="bottom"/>
    </xf>
    <xf borderId="1" fillId="0" fontId="7" numFmtId="171" xfId="0" applyAlignment="1" applyBorder="1" applyFont="1" applyNumberFormat="1">
      <alignment horizontal="center" vertical="bottom"/>
    </xf>
    <xf borderId="1" fillId="12" fontId="15" numFmtId="0" xfId="0" applyAlignment="1" applyBorder="1" applyFill="1" applyFont="1">
      <alignment horizontal="center" vertical="bottom"/>
    </xf>
    <xf borderId="1" fillId="12" fontId="15" numFmtId="0" xfId="0" applyAlignment="1" applyBorder="1" applyFont="1">
      <alignment horizontal="center" vertical="bottom"/>
    </xf>
    <xf borderId="1" fillId="12" fontId="16" numFmtId="2" xfId="0" applyAlignment="1" applyBorder="1" applyFont="1" applyNumberFormat="1">
      <alignment horizontal="center" vertical="bottom"/>
    </xf>
    <xf borderId="1" fillId="12" fontId="15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shrinkToFit="0" vertical="bottom" wrapText="0"/>
    </xf>
    <xf borderId="0" fillId="0" fontId="4" numFmtId="172" xfId="0" applyAlignment="1" applyFont="1" applyNumberFormat="1">
      <alignment horizontal="center"/>
    </xf>
    <xf borderId="0" fillId="2" fontId="4" numFmtId="49" xfId="0" applyAlignment="1" applyFont="1" applyNumberFormat="1">
      <alignment horizontal="center"/>
    </xf>
    <xf borderId="0" fillId="2" fontId="4" numFmtId="3" xfId="0" applyAlignment="1" applyFont="1" applyNumberFormat="1">
      <alignment horizontal="center" readingOrder="0"/>
    </xf>
    <xf borderId="0" fillId="2" fontId="6" numFmtId="2" xfId="0" applyAlignment="1" applyFont="1" applyNumberFormat="1">
      <alignment horizontal="center" readingOrder="0" shrinkToFit="0" vertical="bottom" wrapText="0"/>
    </xf>
    <xf borderId="0" fillId="2" fontId="4" numFmtId="0" xfId="0" applyAlignment="1" applyFont="1">
      <alignment horizontal="center" readingOrder="0"/>
    </xf>
    <xf borderId="0" fillId="2" fontId="4" numFmtId="0" xfId="0" applyAlignment="1" applyFont="1">
      <alignment horizontal="center"/>
    </xf>
    <xf borderId="0" fillId="2" fontId="7" numFmtId="165" xfId="0" applyAlignment="1" applyFont="1" applyNumberFormat="1">
      <alignment horizontal="center" vertical="bottom"/>
    </xf>
    <xf borderId="0" fillId="2" fontId="6" numFmtId="167" xfId="0" applyAlignment="1" applyFont="1" applyNumberForma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vertical="bottom" wrapText="0"/>
    </xf>
    <xf borderId="0" fillId="0" fontId="7" numFmtId="4" xfId="0" applyAlignment="1" applyFont="1" applyNumberFormat="1">
      <alignment readingOrder="0" shrinkToFit="0" vertical="bottom" wrapText="0"/>
    </xf>
    <xf borderId="0" fillId="5" fontId="4" numFmtId="49" xfId="0" applyAlignment="1" applyFont="1" applyNumberFormat="1">
      <alignment horizontal="center"/>
    </xf>
    <xf borderId="1" fillId="0" fontId="19" numFmtId="49" xfId="0" applyAlignment="1" applyBorder="1" applyFont="1" applyNumberFormat="1">
      <alignment horizontal="center" readingOrder="0" shrinkToFit="0" vertical="bottom" wrapText="0"/>
    </xf>
    <xf borderId="1" fillId="0" fontId="20" numFmtId="49" xfId="0" applyAlignment="1" applyBorder="1" applyFont="1" applyNumberFormat="1">
      <alignment horizontal="center" readingOrder="0"/>
    </xf>
    <xf borderId="1" fillId="0" fontId="20" numFmtId="0" xfId="0" applyAlignment="1" applyBorder="1" applyFont="1">
      <alignment horizontal="center" readingOrder="0"/>
    </xf>
    <xf borderId="1" fillId="13" fontId="4" numFmtId="49" xfId="0" applyAlignment="1" applyBorder="1" applyFill="1" applyFont="1" applyNumberFormat="1">
      <alignment horizontal="center" readingOrder="0"/>
    </xf>
    <xf borderId="1" fillId="13" fontId="4" numFmtId="49" xfId="0" applyAlignment="1" applyBorder="1" applyFont="1" applyNumberFormat="1">
      <alignment horizontal="center"/>
    </xf>
    <xf borderId="1" fillId="13" fontId="4" numFmtId="3" xfId="0" applyAlignment="1" applyBorder="1" applyFont="1" applyNumberFormat="1">
      <alignment horizontal="center"/>
    </xf>
    <xf borderId="1" fillId="13" fontId="4" numFmtId="0" xfId="0" applyAlignment="1" applyBorder="1" applyFont="1">
      <alignment horizontal="center"/>
    </xf>
    <xf borderId="1" fillId="13" fontId="4" numFmtId="2" xfId="0" applyAlignment="1" applyBorder="1" applyFont="1" applyNumberFormat="1">
      <alignment horizontal="center"/>
    </xf>
    <xf borderId="1" fillId="13" fontId="6" numFmtId="49" xfId="0" applyAlignment="1" applyBorder="1" applyFont="1" applyNumberFormat="1">
      <alignment horizontal="center" readingOrder="0" shrinkToFit="0" vertical="bottom" wrapText="0"/>
    </xf>
    <xf borderId="1" fillId="13" fontId="4" numFmtId="0" xfId="0" applyAlignment="1" applyBorder="1" applyFont="1">
      <alignment horizontal="center" readingOrder="0"/>
    </xf>
    <xf borderId="1" fillId="14" fontId="4" numFmtId="49" xfId="0" applyAlignment="1" applyBorder="1" applyFill="1" applyFont="1" applyNumberFormat="1">
      <alignment horizontal="center" readingOrder="0"/>
    </xf>
    <xf borderId="1" fillId="14" fontId="4" numFmtId="49" xfId="0" applyAlignment="1" applyBorder="1" applyFont="1" applyNumberFormat="1">
      <alignment horizontal="center"/>
    </xf>
    <xf borderId="1" fillId="14" fontId="4" numFmtId="3" xfId="0" applyAlignment="1" applyBorder="1" applyFont="1" applyNumberFormat="1">
      <alignment horizontal="center"/>
    </xf>
    <xf borderId="1" fillId="14" fontId="4" numFmtId="0" xfId="0" applyAlignment="1" applyBorder="1" applyFont="1">
      <alignment horizontal="center"/>
    </xf>
    <xf borderId="1" fillId="14" fontId="4" numFmtId="2" xfId="0" applyAlignment="1" applyBorder="1" applyFont="1" applyNumberFormat="1">
      <alignment horizontal="center"/>
    </xf>
    <xf borderId="1" fillId="15" fontId="6" numFmtId="49" xfId="0" applyAlignment="1" applyBorder="1" applyFill="1" applyFont="1" applyNumberFormat="1">
      <alignment horizontal="center" readingOrder="0" shrinkToFit="0" vertical="bottom" wrapText="0"/>
    </xf>
    <xf borderId="1" fillId="15" fontId="4" numFmtId="49" xfId="0" applyAlignment="1" applyBorder="1" applyFont="1" applyNumberFormat="1">
      <alignment horizontal="center"/>
    </xf>
    <xf borderId="1" fillId="15" fontId="4" numFmtId="3" xfId="0" applyAlignment="1" applyBorder="1" applyFont="1" applyNumberFormat="1">
      <alignment horizontal="center"/>
    </xf>
    <xf borderId="1" fillId="15" fontId="4" numFmtId="0" xfId="0" applyAlignment="1" applyBorder="1" applyFont="1">
      <alignment horizontal="center"/>
    </xf>
    <xf borderId="1" fillId="15" fontId="4" numFmtId="2" xfId="0" applyAlignment="1" applyBorder="1" applyFont="1" applyNumberFormat="1">
      <alignment horizontal="center"/>
    </xf>
    <xf borderId="1" fillId="15" fontId="7" numFmtId="49" xfId="0" applyAlignment="1" applyBorder="1" applyFont="1" applyNumberFormat="1">
      <alignment horizontal="center" vertical="bottom"/>
    </xf>
    <xf borderId="1" fillId="15" fontId="4" numFmtId="49" xfId="0" applyAlignment="1" applyBorder="1" applyFont="1" applyNumberFormat="1">
      <alignment horizontal="center" readingOrder="0"/>
    </xf>
    <xf borderId="1" fillId="15" fontId="4" numFmtId="0" xfId="0" applyAlignment="1" applyBorder="1" applyFont="1">
      <alignment horizontal="center" readingOrder="0"/>
    </xf>
    <xf borderId="1" fillId="16" fontId="6" numFmtId="49" xfId="0" applyAlignment="1" applyBorder="1" applyFill="1" applyFont="1" applyNumberFormat="1">
      <alignment horizontal="center" readingOrder="0" shrinkToFit="0" vertical="bottom" wrapText="0"/>
    </xf>
    <xf borderId="1" fillId="16" fontId="4" numFmtId="49" xfId="0" applyAlignment="1" applyBorder="1" applyFont="1" applyNumberFormat="1">
      <alignment horizontal="center"/>
    </xf>
    <xf borderId="1" fillId="16" fontId="4" numFmtId="3" xfId="0" applyAlignment="1" applyBorder="1" applyFont="1" applyNumberFormat="1">
      <alignment horizontal="center"/>
    </xf>
    <xf borderId="1" fillId="16" fontId="4" numFmtId="0" xfId="0" applyAlignment="1" applyBorder="1" applyFont="1">
      <alignment horizontal="center"/>
    </xf>
    <xf borderId="1" fillId="16" fontId="4" numFmtId="2" xfId="0" applyAlignment="1" applyBorder="1" applyFont="1" applyNumberFormat="1">
      <alignment horizontal="center"/>
    </xf>
    <xf borderId="1" fillId="16" fontId="4" numFmtId="49" xfId="0" applyAlignment="1" applyBorder="1" applyFont="1" applyNumberFormat="1">
      <alignment horizontal="center" readingOrder="0"/>
    </xf>
    <xf borderId="0" fillId="2" fontId="5" numFmtId="49" xfId="0" applyAlignment="1" applyFont="1" applyNumberFormat="1">
      <alignment horizontal="center" readingOrder="0"/>
    </xf>
    <xf borderId="0" fillId="2" fontId="21" numFmtId="0" xfId="0" applyAlignment="1" applyFont="1">
      <alignment horizontal="center" readingOrder="0" shrinkToFit="0" vertical="bottom" wrapText="0"/>
    </xf>
    <xf borderId="0" fillId="0" fontId="21" numFmtId="0" xfId="0" applyAlignment="1" applyFont="1">
      <alignment horizontal="center" readingOrder="0" shrinkToFit="0" vertical="bottom" wrapText="0"/>
    </xf>
    <xf borderId="0" fillId="0" fontId="21" numFmtId="0" xfId="0" applyAlignment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4" fillId="2" fontId="1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0" fontId="4" numFmtId="167" xfId="0" applyAlignment="1" applyFont="1" applyNumberFormat="1">
      <alignment horizontal="right" readingOrder="0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73" xfId="0" applyAlignment="1" applyFont="1" applyNumberFormat="1">
      <alignment horizontal="center"/>
    </xf>
    <xf borderId="1" fillId="17" fontId="4" numFmtId="49" xfId="0" applyAlignment="1" applyBorder="1" applyFill="1" applyFont="1" applyNumberFormat="1">
      <alignment horizontal="center"/>
    </xf>
    <xf borderId="1" fillId="17" fontId="4" numFmtId="3" xfId="0" applyAlignment="1" applyBorder="1" applyFont="1" applyNumberFormat="1">
      <alignment horizontal="center"/>
    </xf>
    <xf borderId="1" fillId="17" fontId="4" numFmtId="0" xfId="0" applyAlignment="1" applyBorder="1" applyFont="1">
      <alignment horizontal="center"/>
    </xf>
    <xf borderId="1" fillId="17" fontId="4" numFmtId="2" xfId="0" applyAlignment="1" applyBorder="1" applyFont="1" applyNumberFormat="1">
      <alignment horizontal="center"/>
    </xf>
    <xf borderId="1" fillId="17" fontId="4" numFmtId="0" xfId="0" applyAlignment="1" applyBorder="1" applyFont="1">
      <alignment horizontal="center" readingOrder="0"/>
    </xf>
    <xf borderId="0" fillId="0" fontId="4" numFmtId="0" xfId="0" applyFont="1"/>
    <xf borderId="0" fillId="0" fontId="4" numFmtId="167" xfId="0" applyAlignment="1" applyFont="1" applyNumberFormat="1">
      <alignment horizontal="right"/>
    </xf>
    <xf borderId="0" fillId="18" fontId="3" numFmtId="49" xfId="0" applyAlignment="1" applyFill="1" applyFont="1" applyNumberFormat="1">
      <alignment horizontal="left" readingOrder="0" shrinkToFit="0" vertical="bottom" wrapText="0"/>
    </xf>
    <xf borderId="0" fillId="17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165" xfId="0" applyAlignment="1" applyFont="1" applyNumberFormat="1">
      <alignment horizontal="left" readingOrder="0" shrinkToFit="0" vertical="bottom" wrapText="0"/>
    </xf>
    <xf borderId="0" fillId="0" fontId="3" numFmtId="4" xfId="0" applyAlignment="1" applyFont="1" applyNumberFormat="1">
      <alignment horizontal="right" readingOrder="0" shrinkToFit="0" vertical="bottom" wrapText="0"/>
    </xf>
    <xf borderId="0" fillId="17" fontId="3" numFmtId="4" xfId="0" applyAlignment="1" applyFont="1" applyNumberFormat="1">
      <alignment horizontal="right" readingOrder="0" shrinkToFit="0" vertical="bottom" wrapText="0"/>
    </xf>
    <xf borderId="0" fillId="17" fontId="3" numFmtId="0" xfId="0" applyAlignment="1" applyFont="1">
      <alignment horizontal="right" readingOrder="0" shrinkToFit="0" vertical="bottom" wrapText="0"/>
    </xf>
    <xf borderId="0" fillId="17" fontId="3" numFmtId="3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left"/>
    </xf>
    <xf borderId="0" fillId="2" fontId="4" numFmtId="167" xfId="0" applyAlignment="1" applyFont="1" applyNumberFormat="1">
      <alignment horizontal="right" readingOrder="0"/>
    </xf>
    <xf borderId="0" fillId="5" fontId="4" numFmtId="167" xfId="0" applyAlignment="1" applyFont="1" applyNumberFormat="1">
      <alignment horizontal="right" readingOrder="0"/>
    </xf>
    <xf borderId="0" fillId="5" fontId="4" numFmtId="0" xfId="0" applyFont="1"/>
    <xf borderId="0" fillId="5" fontId="4" numFmtId="0" xfId="0" applyAlignment="1" applyFont="1">
      <alignment horizontal="center"/>
    </xf>
    <xf borderId="0" fillId="5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7" numFmtId="49" xfId="0" applyAlignment="1" applyFont="1" applyNumberFormat="1">
      <alignment horizontal="center" readingOrder="0" vertical="bottom"/>
    </xf>
    <xf borderId="0" fillId="5" fontId="4" numFmtId="49" xfId="0" applyAlignment="1" applyFont="1" applyNumberFormat="1">
      <alignment horizontal="left" readingOrder="0"/>
    </xf>
    <xf borderId="0" fillId="0" fontId="4" numFmtId="0" xfId="0" applyAlignment="1" applyFont="1">
      <alignment horizontal="right"/>
    </xf>
    <xf borderId="0" fillId="4" fontId="6" numFmtId="49" xfId="0" applyAlignment="1" applyFont="1" applyNumberFormat="1">
      <alignment horizontal="center" readingOrder="0" shrinkToFit="0" vertical="bottom" wrapText="0"/>
    </xf>
    <xf borderId="0" fillId="0" fontId="7" numFmtId="167" xfId="0" applyAlignment="1" applyFont="1" applyNumberFormat="1">
      <alignment horizontal="center" vertical="bottom"/>
    </xf>
    <xf borderId="0" fillId="5" fontId="6" numFmtId="49" xfId="0" applyAlignment="1" applyFont="1" applyNumberFormat="1">
      <alignment horizontal="center" readingOrder="0" shrinkToFit="0" vertical="bottom" wrapText="0"/>
    </xf>
    <xf borderId="0" fillId="0" fontId="6" numFmtId="3" xfId="0" applyAlignment="1" applyFont="1" applyNumberFormat="1">
      <alignment horizontal="center" shrinkToFit="0" vertical="bottom" wrapText="0"/>
    </xf>
    <xf borderId="0" fillId="4" fontId="4" numFmtId="2" xfId="0" applyAlignment="1" applyFont="1" applyNumberFormat="1">
      <alignment horizontal="center"/>
    </xf>
  </cellXfs>
  <cellStyles count="1">
    <cellStyle xfId="0" name="Normal" builtinId="0"/>
  </cellStyles>
  <dxfs count="9"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980000"/>
          <bgColor rgb="FF98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pivotCacheDefinition" Target="pivotCache/pivotCacheDefinition1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372" sheet="VlookupSheet"/>
  </cacheSource>
  <cacheFields>
    <cacheField name="UserID" numFmtId="49">
      <sharedItems>
        <s v="HUFTOLAN"/>
        <s v="PIYA2311"/>
        <s v="MBAGRODI"/>
        <s v="MSOURBHS"/>
        <s v="HUFBHARG"/>
        <s v="PHARSHPR"/>
        <s v="GOYAL079"/>
        <s v="FINE1A02"/>
        <s v="MNANDKC2"/>
        <s v="HUFPRAAK"/>
        <s v="7RA1GTL"/>
        <s v="B7RA1NH61"/>
        <s v="7RIK2024"/>
        <s v="7RIK2032"/>
        <s v="7RA1RM61"/>
        <s v="R7RA1279"/>
        <s v="7RIKSI01"/>
        <s v="7RA1GFL"/>
        <s v="7RIK2037"/>
        <s v="7RBE0217"/>
        <s v="7RIK2036"/>
        <s v="7RIK2054"/>
        <s v="7RA110081"/>
        <s v="7RA110032"/>
        <s v="7RA1GF07"/>
        <s v="7RA110024"/>
        <s v="7RA1APC"/>
        <s v="AJ008JS"/>
        <s v="ZPRO1"/>
        <s v="MINA1425"/>
        <s v="ANISHA48"/>
        <s v="SHRUTI43"/>
        <s v="MDEEPESK"/>
        <s v="MRAKESHS"/>
        <s v="HUFJAIND"/>
        <s v="MSDAGA01"/>
        <s v="MPRASHAN"/>
        <s v="36985212"/>
        <s v="MNIRJHAR"/>
        <s v="JYOTI116"/>
        <s v="HUFRG999"/>
        <s v="MONA8000"/>
        <s v="PSANGHIC"/>
        <s v="MADALMIA"/>
        <s v="HUFDEVEG"/>
        <s v="MANAMIKA"/>
        <s v="NILI1953"/>
        <s v="MDHRUM03"/>
        <s v="ALKAAGA0"/>
        <s v="MSANDSHA"/>
        <s v="ZZJ15849"/>
        <s v="ZZJ17223"/>
        <s v="MPAYAL04"/>
        <s v="LALA1108"/>
        <s v="BASANTGO"/>
        <s v="ROOP1433"/>
        <s v="NITINK68"/>
        <s v="MSHEENAM"/>
        <s v="MTANUJGA"/>
        <s v="MADITIAG"/>
        <s v="PSIDDASS"/>
        <s v="MSAPNAM3"/>
        <s v="M2NIRMAL"/>
        <s v="MASHOK10"/>
        <s v="ADHISH03"/>
        <s v="MHARSH97"/>
        <s v="RAMYA009"/>
        <s v="MSANDWAN"/>
        <s v="MARHATAK"/>
        <s v="HUFGRAVI"/>
        <s v="MBHANDAR"/>
        <s v="ANANTINV"/>
        <s v="MNAMANDA"/>
        <s v="ADINAATH"/>
        <s v="MANKITAG"/>
        <s v="MPRERNA9"/>
        <s v="MLALITAA"/>
        <s v="ALOYALKA"/>
        <s v="RYSLTD10"/>
        <s v="SSGHUF07"/>
        <s v="MKAVITAC"/>
        <s v="MPREETIB"/>
        <s v="GTEXFABS"/>
        <s v="04101961"/>
        <s v="ADISHA26"/>
        <s v="ABHIMA01"/>
        <s v="JFNILESH"/>
        <s v="SAHIL089"/>
        <s v="ASHO1956"/>
        <s v="DHRUVSGL"/>
        <s v="HUFAJIT0"/>
        <s v="95366550"/>
        <s v="DEVA1957"/>
        <s v="DHIR1433"/>
        <s v="INDRA151"/>
        <s v="NATH0020"/>
        <s v="HEMPRA52"/>
        <s v="MANIS407"/>
        <s v="SHILPI25"/>
        <s v="SEMA0904"/>
        <s v="SARI2306"/>
        <s v="MSUNITAS"/>
        <s v="HUFSUSHA"/>
        <s v="TOLARAM9"/>
        <s v="MMANJUK2"/>
        <s v="MOHON964"/>
        <s v="MNITASRI"/>
        <s v="ASM19850"/>
        <s v="MRAJNI62"/>
        <s v="AKAMLA02"/>
        <s v="SHRIRHUF"/>
        <s v="MSGUPTA7"/>
        <s v="MSHWETA1"/>
        <s v="MRAJSHRE"/>
        <s v="AMIT3732"/>
        <s v="RENUD101"/>
        <s v="7RIKAH01"/>
        <s v="7RMAPK80"/>
        <s v="7RIKAB01"/>
        <s v="7RA1LL11"/>
        <s v="7RIKBB01"/>
        <s v="7RIK2029"/>
        <s v="R7RA1207"/>
        <s v="7RIK2026"/>
        <s v="7RA110116"/>
        <s v="7RA110095"/>
        <s v="7RA110031"/>
        <s v="7RA110045"/>
        <s v="7RA110085"/>
        <s v="AKSHAT59"/>
        <s v="ISHA2023"/>
        <s v="SEMA2111"/>
        <s v="90757742"/>
        <s v="MDILEEPS"/>
        <s v="LAMBAANU"/>
        <s v="MAADIKIR"/>
        <s v="RITESH10"/>
        <s v="MDAKSHAS"/>
        <s v="MGOURAV1"/>
        <s v="MJHAWARK"/>
        <s v="MSHILPIR"/>
        <s v="RHUFJAIN"/>
        <s v="RSASHISH"/>
        <s v="MPOONAMM"/>
        <s v="MARYAMAN"/>
        <s v="GIRNAAR0"/>
        <s v="PJAGAG02"/>
        <s v="DIVYA934"/>
        <s v="NEHAGOE4"/>
        <s v="MANJU016"/>
        <s v="GASHUNAN"/>
        <s v="MSMAMGAI"/>
        <s v="MANUPANK"/>
        <s v="TOLANI79"/>
        <s v="MURSHITA"/>
        <s v="BENU1954"/>
        <s v="MVIPINKJ"/>
        <s v="LAXMM764"/>
        <s v="MJASVINC"/>
        <s v="HUFNDAGA"/>
        <s v="MANKURKO"/>
        <s v="MDEEPG03"/>
        <s v="MKIRTI01"/>
        <s v="PHAGARWA"/>
        <s v="MANOJS25"/>
        <s v="ANKITKH9"/>
        <s v="VIJAYS45"/>
        <s v="MGEORGE9"/>
        <s v="HUFAJ001"/>
        <s v="MADWIGO2"/>
        <s v="DEEP5212"/>
        <s v="BAID1975"/>
        <s v="MSHASHI0"/>
        <s v="WXW24971"/>
        <s v="MSIDDHAM"/>
        <s v="KHEMANI2"/>
        <s v="74125896"/>
        <s v="VEDANGI2"/>
        <s v="NEETU711"/>
        <s v="VIJAYY02"/>
        <s v="PRATI446"/>
        <s v="06954037"/>
        <s v="ARCHAA30"/>
        <s v="67975010"/>
        <s v="MVIJAYPO"/>
        <s v="MABHILAS"/>
        <s v="MXESTATE"/>
        <s v="MSHILPI1"/>
        <s v="TRUSTAVI"/>
        <s v="MSANDY05"/>
        <s v="SPSINVES"/>
        <s v="MSUMAN62"/>
        <s v="MKHUSHI2"/>
        <s v="RKGHUF07"/>
        <s v="USHA8256"/>
        <s v="MSUSHIL6"/>
        <s v="74059822"/>
        <s v="SANDHU01"/>
        <s v="MSANDEER"/>
        <s v="SMRITITR"/>
        <s v="TRISHASA"/>
        <s v="MEETARAJ"/>
        <s v="ANNUPRNA"/>
        <s v="VIBHORIN"/>
        <s v="PHUFARUN"/>
        <s v="MBALMUKU"/>
        <s v="62288965"/>
        <s v="MABHISHT"/>
        <s v="MINDRA01"/>
        <s v="7RIK2042"/>
        <s v="MT1002494"/>
        <s v="7RA1KH71"/>
        <s v="R7RA1261"/>
        <s v="7RA110035"/>
        <s v="7RIK2017"/>
        <s v="B7RA1RS76"/>
        <s v="7RA110117"/>
        <s v="7RIK2015"/>
        <s v="DWIV1875"/>
        <s v="54046262"/>
        <s v="95221347"/>
        <s v="KRISTA78"/>
        <s v="MGUPTA20"/>
        <s v="29898256"/>
        <s v="16384608"/>
        <s v="91582593"/>
        <s v="NANDITAY"/>
        <s v="AKBHUF01"/>
        <s v="22196536"/>
        <s v="40023384"/>
        <s v="74962685"/>
        <s v="30368271"/>
        <s v="55802167"/>
        <s v="65872914"/>
        <s v="74727658"/>
        <s v="46891412"/>
        <s v="92609325"/>
        <s v="AVS00RKL"/>
        <s v="58480023"/>
        <s v="KARANBHL"/>
        <s v="NP0007"/>
        <s v="IR0012"/>
        <s v="14419090"/>
        <s v="87316853"/>
        <s v="46966951"/>
        <s v="58463721"/>
        <s v="71430960"/>
        <s v="MANIHESH"/>
        <s v="92348046"/>
        <s v="85533200"/>
        <s v="10408756"/>
        <s v="19583994"/>
        <s v="MAKANSHA"/>
        <s v="DHIRAJYS"/>
        <s v="24699329"/>
        <s v="77149338"/>
        <s v="BHADADAG"/>
        <s v="HUFPUGAL"/>
        <s v="AVS03LKW"/>
        <s v="SHAMLAL4"/>
        <s v="64785796"/>
        <s v="57437129"/>
        <s v="RAHULG15"/>
        <s v="KASAR116"/>
        <s v="MARIA196"/>
        <s v="IR0029"/>
        <s v="IS0014"/>
        <s v="NK0002"/>
        <s v="GSPL6"/>
        <s v="92176368"/>
        <s v="44109343"/>
        <s v="MAMIT782"/>
        <s v="AMITHUFB"/>
        <s v="MMILIND7"/>
        <s v="SPAN0050"/>
        <s v="75962003"/>
        <s v="55910733"/>
        <s v="56718024"/>
        <s v="82930874"/>
        <s v="89769315"/>
        <s v="72881081"/>
        <s v="27344149"/>
        <s v="17055796"/>
        <s v="TRIPTIAG"/>
        <s v="99972022"/>
        <s v="18400763"/>
        <s v="35300800"/>
        <s v="15524387"/>
        <s v="SANDEJHA"/>
        <s v="SF205"/>
        <s v="9PS30CC"/>
        <s v="CC05"/>
        <s v="SAGAR10"/>
        <s v="SYM26"/>
        <s v="AM008"/>
        <s v="PCHNA531"/>
        <s v="GPU50S059"/>
        <s v="GKOSLM249"/>
        <s v="JPX10B114"/>
        <s v="JPBWM229"/>
        <s v="GBN27A015"/>
        <s v="JPBWA033"/>
        <s v="GDLRGR101"/>
        <s v="51039J"/>
        <s v="AJ008DI"/>
        <s v="S0147ONE"/>
        <s v="R0299FOUR"/>
        <s v="GSPL11"/>
        <s v="MKALANI0"/>
        <s v="REORETAI"/>
        <s v="VTPRATIM"/>
        <s v="ZZJ16971"/>
        <s v="GI1652"/>
        <s v="SF206"/>
        <s v="CC04"/>
        <s v="X144"/>
        <s v="DELL15"/>
        <s v="DPNOGS01"/>
        <s v="2031"/>
        <s v="ALGO25"/>
        <s v="AM005"/>
        <s v="RPR3R007"/>
        <s v="GKOPAS101"/>
        <s v="GDLF1A105"/>
        <s v="WPNBAS132"/>
        <s v="MJOS334"/>
        <s v="HYDPRR108"/>
        <s v="RPRT261"/>
        <s v="GBN12J106"/>
        <s v="GDLF2S116"/>
        <s v="GKOHNS211"/>
        <s v="GDVU037"/>
        <s v="PCDD3R115"/>
        <s v="LC34"/>
        <s v="51039M"/>
        <s v="AJ008AI"/>
        <s v="AJ008KC"/>
        <s v="XTS12"/>
        <s v="R0299THREE"/>
        <s v="ZZJ16449"/>
        <s v="DWH10014"/>
        <s v="GI651"/>
        <s v="X138"/>
        <s v="S10"/>
        <s v="2029"/>
        <s v="MHITESHC"/>
        <s v="GIRIROJK"/>
        <s v="MGANDHAL"/>
        <s v="MADHU344"/>
        <s v="AMRI2610"/>
        <s v="SHRADA79"/>
        <s v="LCHETANS"/>
        <s v="GCOMFORT"/>
        <s v="APAREEK1"/>
        <s v="BKISHAN0"/>
        <s v="B7RA1AE07"/>
        <s v="7RA1IL10"/>
        <s v="7RIK2022"/>
        <s v="7RIKBC01"/>
        <s v="B7RA1KH60"/>
        <s v="7RIK2034"/>
        <s v="R7RA1327"/>
        <s v="7RA110113"/>
        <s v="7RA1MH88"/>
        <s v="R7RA1277"/>
        <s v="7RA110114"/>
        <s v="6KNS59402"/>
        <s v="7RDB0102"/>
        <s v="7RIKBL02"/>
        <s v="7RIK2053"/>
        <s v="7RIK2057"/>
      </sharedItems>
    </cacheField>
    <cacheField name="Broker" numFmtId="0">
      <sharedItems>
        <s v="IIFL_CDC"/>
        <s v="MasterTrust_Dealer"/>
        <s v="ASPL1"/>
        <s v="GCLBroking"/>
        <s v="JainamBroking"/>
        <s v="JAINAMSRED"/>
        <s v="Kredent"/>
        <s v="GyandeepStocks"/>
        <s v="Narayan_Capital"/>
        <s v="SISL"/>
        <s v="AlphaMatrix"/>
        <s v="AnandRathi"/>
        <s v="ASPL"/>
        <s v="ExcelStock_Xts"/>
        <s v="JAINAMSRED2"/>
        <s v="Junomoneta"/>
        <s v="PaceXTS"/>
        <s v="VmathranCO"/>
        <s v="VT_Capital"/>
      </sharedItems>
    </cacheField>
    <cacheField name="Dealer ID" numFmtId="0">
      <sharedItems containsBlank="1">
        <s v="FY261AP01__1"/>
        <s v="X7RIK03"/>
        <m/>
        <s v="FY261AP01__2"/>
        <s v="FY261AP01__3"/>
        <s v="FY261AP01__4"/>
        <s v="FY261AP05__1"/>
        <s v="FY261AP05__2"/>
        <s v="FY261AP05__3"/>
        <s v="X7RIK05"/>
        <s v="FY261AP05__4"/>
        <s v="FY261AP06__1"/>
        <s v="FY261AP06__2"/>
        <s v="FY261AP06__3"/>
        <s v="FY261AP09__1"/>
        <s v="FY261AP09__2"/>
        <s v="X7RIK09"/>
        <s v="FY261AP06"/>
        <s v="FY261AP09__3"/>
        <s v="FY261AP09__4"/>
        <s v="FY26AP010"/>
        <s v="FY261AP10__2"/>
        <s v="X7RIK06"/>
      </sharedItems>
    </cacheField>
    <cacheField name="New_Server" numFmtId="0">
      <sharedItems>
        <s v="VS10"/>
        <s v="VS11"/>
        <s v="VS12"/>
        <s v="VS13"/>
        <s v="VS14"/>
        <s v="VS15"/>
        <s v="VS16"/>
        <s v="VS18"/>
        <s v="VS26"/>
        <s v="VS3"/>
        <s v="VS4"/>
        <s v="VS6"/>
        <s v="VS7"/>
        <s v="VS8"/>
        <s v="VS9"/>
      </sharedItems>
    </cacheField>
    <cacheField name="New_Algo" numFmtId="49">
      <sharedItems>
        <s v="1"/>
        <s v="7"/>
      </sharedItems>
    </cacheField>
    <cacheField name="Current Server" numFmtId="0">
      <sharedItems>
        <s v="VS10"/>
        <s v="VS27"/>
        <s v="NOT RUNNING"/>
        <s v="VS1"/>
        <s v="VS14"/>
        <s v="VS22"/>
        <s v="VS11"/>
        <s v="VS18"/>
        <s v="VS15"/>
        <s v="VS9"/>
        <s v="VS12"/>
        <s v="VS29"/>
        <s v="VS13"/>
        <s v="VS23"/>
        <s v="VS26"/>
        <s v="VS16"/>
        <s v="VS3"/>
        <s v="VS7"/>
        <s v="VS4"/>
        <s v="VS6"/>
        <s v="VS33"/>
        <s v="VS30"/>
        <s v="VS25"/>
        <s v="VS8"/>
        <s v="VS28"/>
      </sharedItems>
    </cacheField>
    <cacheField name="Algo" numFmtId="49">
      <sharedItems>
        <s v="1"/>
        <s v="0"/>
        <s v="8"/>
        <s v="19"/>
        <s v="7"/>
        <s v="27"/>
      </sharedItems>
    </cacheField>
    <cacheField name="Server Check" numFmtId="0">
      <sharedItems>
        <b v="1"/>
        <b v="0"/>
      </sharedItems>
    </cacheField>
    <cacheField name="Algo Check" numFmtId="0">
      <sharedItems>
        <b v="1"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VlookupSheet" cacheId="0" dataCaption="" compact="0" compactData="0">
  <location ref="M338:N354" firstHeaderRow="0" firstDataRow="1" firstDataCol="0"/>
  <pivotFields>
    <pivotField name="UserID" dataField="1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t="default"/>
      </items>
    </pivotField>
    <pivotField name="Brok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Deal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New_Server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New_Algo" compact="0" numFmtId="49" outline="0" multipleItemSelectionAllowed="1" showAll="0">
      <items>
        <item x="0"/>
        <item x="1"/>
        <item t="default"/>
      </items>
    </pivotField>
    <pivotField name="Current Serve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Algo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Server Check" compact="0" outline="0" multipleItemSelectionAllowed="1" showAll="0">
      <items>
        <item x="0"/>
        <item x="1"/>
        <item t="default"/>
      </items>
    </pivotField>
    <pivotField name="Algo Check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UserID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93C47D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90" Type="http://schemas.openxmlformats.org/officeDocument/2006/relationships/hyperlink" Target="http://fy261ap07:pass@10.124.0.17:11002" TargetMode="External"/><Relationship Id="rId194" Type="http://schemas.openxmlformats.org/officeDocument/2006/relationships/hyperlink" Target="http://fy261ap06:pass@10.124.0.17:11002" TargetMode="External"/><Relationship Id="rId193" Type="http://schemas.openxmlformats.org/officeDocument/2006/relationships/hyperlink" Target="http://fy261ap07:pass@10.124.0.17:11002" TargetMode="External"/><Relationship Id="rId192" Type="http://schemas.openxmlformats.org/officeDocument/2006/relationships/hyperlink" Target="http://fy261ap05:pass@10.124.0.17:11002" TargetMode="External"/><Relationship Id="rId191" Type="http://schemas.openxmlformats.org/officeDocument/2006/relationships/hyperlink" Target="http://fy261ap01:pass@10.124.0.42:11002" TargetMode="External"/><Relationship Id="rId187" Type="http://schemas.openxmlformats.org/officeDocument/2006/relationships/hyperlink" Target="http://fy261ap08:pass@10.124.0.24:11002" TargetMode="External"/><Relationship Id="rId186" Type="http://schemas.openxmlformats.org/officeDocument/2006/relationships/hyperlink" Target="http://fy261ap08:pass@10.124.0.24:11002" TargetMode="External"/><Relationship Id="rId185" Type="http://schemas.openxmlformats.org/officeDocument/2006/relationships/hyperlink" Target="http://fy261ap10:pass@10.124.0.102:11002" TargetMode="External"/><Relationship Id="rId184" Type="http://schemas.openxmlformats.org/officeDocument/2006/relationships/hyperlink" Target="http://fy261ap08:pass@10.124.0.24:11002" TargetMode="External"/><Relationship Id="rId189" Type="http://schemas.openxmlformats.org/officeDocument/2006/relationships/hyperlink" Target="http://xts1.srellp.com:9006/" TargetMode="External"/><Relationship Id="rId188" Type="http://schemas.openxmlformats.org/officeDocument/2006/relationships/hyperlink" Target="http://F560HAP01:pass@10.124.0.42:11002" TargetMode="External"/><Relationship Id="rId183" Type="http://schemas.openxmlformats.org/officeDocument/2006/relationships/hyperlink" Target="http://fy261ap01:pass@10.124.0.42:11002" TargetMode="External"/><Relationship Id="rId182" Type="http://schemas.openxmlformats.org/officeDocument/2006/relationships/hyperlink" Target="http://fy261ap07:pass@10.124.0.17:11002" TargetMode="External"/><Relationship Id="rId181" Type="http://schemas.openxmlformats.org/officeDocument/2006/relationships/hyperlink" Target="http://fy261ap01:pass@10.124.0.42:11002" TargetMode="External"/><Relationship Id="rId180" Type="http://schemas.openxmlformats.org/officeDocument/2006/relationships/hyperlink" Target="http://fy261ap05:pass@10.124.0.17:11002" TargetMode="External"/><Relationship Id="rId176" Type="http://schemas.openxmlformats.org/officeDocument/2006/relationships/hyperlink" Target="http://fy261ap08:pass@10.124.0.24:11002" TargetMode="External"/><Relationship Id="rId297" Type="http://schemas.openxmlformats.org/officeDocument/2006/relationships/hyperlink" Target="http://F560HAP03:pass@10.124.0.24:11002" TargetMode="External"/><Relationship Id="rId175" Type="http://schemas.openxmlformats.org/officeDocument/2006/relationships/hyperlink" Target="http://fy261ap11:pass@10.124.0.102:11002" TargetMode="External"/><Relationship Id="rId296" Type="http://schemas.openxmlformats.org/officeDocument/2006/relationships/hyperlink" Target="http://LT5:pass@10.124.0.24:11002" TargetMode="External"/><Relationship Id="rId174" Type="http://schemas.openxmlformats.org/officeDocument/2006/relationships/hyperlink" Target="http://fy261ap06:pass@10.124.0.17:11002" TargetMode="External"/><Relationship Id="rId295" Type="http://schemas.openxmlformats.org/officeDocument/2006/relationships/hyperlink" Target="http://fy261ap06:pass@10.124.0.17:11002" TargetMode="External"/><Relationship Id="rId173" Type="http://schemas.openxmlformats.org/officeDocument/2006/relationships/hyperlink" Target="http://fy261ap05:pass@10.124.0.17:11002" TargetMode="External"/><Relationship Id="rId294" Type="http://schemas.openxmlformats.org/officeDocument/2006/relationships/hyperlink" Target="http://fy261ap08:pass@10.124.0.24:11002" TargetMode="External"/><Relationship Id="rId179" Type="http://schemas.openxmlformats.org/officeDocument/2006/relationships/hyperlink" Target="http://fy261ap08:pass@10.124.0.24:11002" TargetMode="External"/><Relationship Id="rId178" Type="http://schemas.openxmlformats.org/officeDocument/2006/relationships/hyperlink" Target="http://fy261ap01:pass@10.124.0.42:11002" TargetMode="External"/><Relationship Id="rId299" Type="http://schemas.openxmlformats.org/officeDocument/2006/relationships/hyperlink" Target="http://fy261ap08:pass@10.124.0.24:11002" TargetMode="External"/><Relationship Id="rId177" Type="http://schemas.openxmlformats.org/officeDocument/2006/relationships/hyperlink" Target="http://fy261ap05:pass@10.124.0.17:11002" TargetMode="External"/><Relationship Id="rId298" Type="http://schemas.openxmlformats.org/officeDocument/2006/relationships/hyperlink" Target="http://49.249.181.146:9002/" TargetMode="External"/><Relationship Id="rId198" Type="http://schemas.openxmlformats.org/officeDocument/2006/relationships/hyperlink" Target="http://fy261ap05:pass@10.124.0.17:11002" TargetMode="External"/><Relationship Id="rId197" Type="http://schemas.openxmlformats.org/officeDocument/2006/relationships/hyperlink" Target="http://fy261ap07:pass@10.124.0.17:11002" TargetMode="External"/><Relationship Id="rId196" Type="http://schemas.openxmlformats.org/officeDocument/2006/relationships/hyperlink" Target="http://fy261ap10:pass@10.124.0.102:11002" TargetMode="External"/><Relationship Id="rId195" Type="http://schemas.openxmlformats.org/officeDocument/2006/relationships/hyperlink" Target="http://fy261ap06:pass@10.124.0.17:11002" TargetMode="External"/><Relationship Id="rId199" Type="http://schemas.openxmlformats.org/officeDocument/2006/relationships/hyperlink" Target="http://fy261ap10:pass@10.124.0.102:11002" TargetMode="External"/><Relationship Id="rId150" Type="http://schemas.openxmlformats.org/officeDocument/2006/relationships/hyperlink" Target="http://F560HAP01:pass@10.124.0.42:11002" TargetMode="External"/><Relationship Id="rId271" Type="http://schemas.openxmlformats.org/officeDocument/2006/relationships/hyperlink" Target="http://fy261ap05:pass@10.124.0.17:11002" TargetMode="External"/><Relationship Id="rId392" Type="http://schemas.openxmlformats.org/officeDocument/2006/relationships/hyperlink" Target="http://LT5:pass@10.124.0.24:11002" TargetMode="External"/><Relationship Id="rId270" Type="http://schemas.openxmlformats.org/officeDocument/2006/relationships/hyperlink" Target="http://F560HAP01:pass@10.124.0.42:11002" TargetMode="External"/><Relationship Id="rId391" Type="http://schemas.openxmlformats.org/officeDocument/2006/relationships/hyperlink" Target="http://LT5:pass@10.124.0.24:11002" TargetMode="External"/><Relationship Id="rId390" Type="http://schemas.openxmlformats.org/officeDocument/2006/relationships/hyperlink" Target="http://11216274:pass@10.124.0.24:11002" TargetMode="External"/><Relationship Id="rId1" Type="http://schemas.openxmlformats.org/officeDocument/2006/relationships/hyperlink" Target="http://fy261ap05:pass@10.124.0.17:11002" TargetMode="External"/><Relationship Id="rId2" Type="http://schemas.openxmlformats.org/officeDocument/2006/relationships/hyperlink" Target="http://F560HAP03:pass@10.124.0.24:11002" TargetMode="External"/><Relationship Id="rId3" Type="http://schemas.openxmlformats.org/officeDocument/2006/relationships/hyperlink" Target="http://fy261ap09:pass@10.124.0.24:11002" TargetMode="External"/><Relationship Id="rId149" Type="http://schemas.openxmlformats.org/officeDocument/2006/relationships/hyperlink" Target="http://F560HAP01:pass@10.124.0.42:11002" TargetMode="External"/><Relationship Id="rId4" Type="http://schemas.openxmlformats.org/officeDocument/2006/relationships/hyperlink" Target="http://fy261ap06:pass@10.124.0.17:11002" TargetMode="External"/><Relationship Id="rId148" Type="http://schemas.openxmlformats.org/officeDocument/2006/relationships/hyperlink" Target="http://fy261ap06:pass@10.124.0.17:11002" TargetMode="External"/><Relationship Id="rId269" Type="http://schemas.openxmlformats.org/officeDocument/2006/relationships/hyperlink" Target="http://fy261ap05:pass@10.124.0.17:11002" TargetMode="External"/><Relationship Id="rId9" Type="http://schemas.openxmlformats.org/officeDocument/2006/relationships/hyperlink" Target="http://F560HAP01:pass@10.124.0.42:11002" TargetMode="External"/><Relationship Id="rId143" Type="http://schemas.openxmlformats.org/officeDocument/2006/relationships/hyperlink" Target="http://xts1.srellp.com:9002/" TargetMode="External"/><Relationship Id="rId264" Type="http://schemas.openxmlformats.org/officeDocument/2006/relationships/hyperlink" Target="http://fy261ap07:pass@10.124.0.17:11002" TargetMode="External"/><Relationship Id="rId385" Type="http://schemas.openxmlformats.org/officeDocument/2006/relationships/hyperlink" Target="http://colo.srellp.com:9003/" TargetMode="External"/><Relationship Id="rId142" Type="http://schemas.openxmlformats.org/officeDocument/2006/relationships/hyperlink" Target="http://fy261ap06:pass@10.124.0.17:11002" TargetMode="External"/><Relationship Id="rId263" Type="http://schemas.openxmlformats.org/officeDocument/2006/relationships/hyperlink" Target="http://fy261ap05:pass@10.124.0.17:11002" TargetMode="External"/><Relationship Id="rId384" Type="http://schemas.openxmlformats.org/officeDocument/2006/relationships/hyperlink" Target="http://colo.srellp.com:9002/" TargetMode="External"/><Relationship Id="rId141" Type="http://schemas.openxmlformats.org/officeDocument/2006/relationships/hyperlink" Target="http://fy261ap07:pass@10.124.0.17:11002" TargetMode="External"/><Relationship Id="rId262" Type="http://schemas.openxmlformats.org/officeDocument/2006/relationships/hyperlink" Target="http://fy261ap06:pass@10.124.0.17:11002" TargetMode="External"/><Relationship Id="rId383" Type="http://schemas.openxmlformats.org/officeDocument/2006/relationships/hyperlink" Target="http://49.249.181.146:9002/" TargetMode="External"/><Relationship Id="rId140" Type="http://schemas.openxmlformats.org/officeDocument/2006/relationships/hyperlink" Target="http://F560HAP01:pass@10.124.0.42:11002" TargetMode="External"/><Relationship Id="rId261" Type="http://schemas.openxmlformats.org/officeDocument/2006/relationships/hyperlink" Target="http://fy261ap06:pass@10.124.0.17:11002" TargetMode="External"/><Relationship Id="rId382" Type="http://schemas.openxmlformats.org/officeDocument/2006/relationships/hyperlink" Target="http://49.249.181.146:9002/" TargetMode="External"/><Relationship Id="rId5" Type="http://schemas.openxmlformats.org/officeDocument/2006/relationships/hyperlink" Target="http://fy261ap01:pass@10.124.0.42:11002" TargetMode="External"/><Relationship Id="rId147" Type="http://schemas.openxmlformats.org/officeDocument/2006/relationships/hyperlink" Target="http://fy261ap07:pass@10.124.0.17:11002" TargetMode="External"/><Relationship Id="rId268" Type="http://schemas.openxmlformats.org/officeDocument/2006/relationships/hyperlink" Target="http://LT5:pass@10.124.0.24:11002" TargetMode="External"/><Relationship Id="rId389" Type="http://schemas.openxmlformats.org/officeDocument/2006/relationships/hyperlink" Target="http://LT5:pass@10.124.0.24:11002" TargetMode="External"/><Relationship Id="rId6" Type="http://schemas.openxmlformats.org/officeDocument/2006/relationships/hyperlink" Target="http://F560HAP01:pass@10.124.0.42:11002" TargetMode="External"/><Relationship Id="rId146" Type="http://schemas.openxmlformats.org/officeDocument/2006/relationships/hyperlink" Target="http://colo.srellp.com:9002/" TargetMode="External"/><Relationship Id="rId267" Type="http://schemas.openxmlformats.org/officeDocument/2006/relationships/hyperlink" Target="http://fy261ap09:pass@10.124.0.24:11002" TargetMode="External"/><Relationship Id="rId388" Type="http://schemas.openxmlformats.org/officeDocument/2006/relationships/hyperlink" Target="http://colo.srellp.com:9004/" TargetMode="External"/><Relationship Id="rId7" Type="http://schemas.openxmlformats.org/officeDocument/2006/relationships/hyperlink" Target="http://F560HAP01:pass@10.124.0.42:11002" TargetMode="External"/><Relationship Id="rId145" Type="http://schemas.openxmlformats.org/officeDocument/2006/relationships/hyperlink" Target="http://xts1.srellp.com:9003/" TargetMode="External"/><Relationship Id="rId266" Type="http://schemas.openxmlformats.org/officeDocument/2006/relationships/hyperlink" Target="http://fy261ap05:pass@10.124.0.17:11002" TargetMode="External"/><Relationship Id="rId387" Type="http://schemas.openxmlformats.org/officeDocument/2006/relationships/hyperlink" Target="http://colo.srellp.com:9001/" TargetMode="External"/><Relationship Id="rId8" Type="http://schemas.openxmlformats.org/officeDocument/2006/relationships/hyperlink" Target="http://F560HAP01:pass@10.124.0.42:11002" TargetMode="External"/><Relationship Id="rId144" Type="http://schemas.openxmlformats.org/officeDocument/2006/relationships/hyperlink" Target="http://colo.srellp.com:9008/" TargetMode="External"/><Relationship Id="rId265" Type="http://schemas.openxmlformats.org/officeDocument/2006/relationships/hyperlink" Target="http://fy261ap05:pass@10.124.0.17:11002" TargetMode="External"/><Relationship Id="rId386" Type="http://schemas.openxmlformats.org/officeDocument/2006/relationships/hyperlink" Target="http://colo.srellp.com:9008/" TargetMode="External"/><Relationship Id="rId260" Type="http://schemas.openxmlformats.org/officeDocument/2006/relationships/hyperlink" Target="http://fy261ap06:pass@10.124.0.17:11002" TargetMode="External"/><Relationship Id="rId381" Type="http://schemas.openxmlformats.org/officeDocument/2006/relationships/hyperlink" Target="http://49.249.181.146:9002/" TargetMode="External"/><Relationship Id="rId380" Type="http://schemas.openxmlformats.org/officeDocument/2006/relationships/hyperlink" Target="http://fy261ap05:pass@10.124.0.17:11002" TargetMode="External"/><Relationship Id="rId139" Type="http://schemas.openxmlformats.org/officeDocument/2006/relationships/hyperlink" Target="http://fy261ap08:pass@10.124.0.24:11002" TargetMode="External"/><Relationship Id="rId138" Type="http://schemas.openxmlformats.org/officeDocument/2006/relationships/hyperlink" Target="http://fy261ap06:pass@10.124.0.17:11002" TargetMode="External"/><Relationship Id="rId259" Type="http://schemas.openxmlformats.org/officeDocument/2006/relationships/hyperlink" Target="http://fy261ap01:pass@10.124.0.42:11002" TargetMode="External"/><Relationship Id="rId137" Type="http://schemas.openxmlformats.org/officeDocument/2006/relationships/hyperlink" Target="http://fy261ap06:pass@10.124.0.17:11002" TargetMode="External"/><Relationship Id="rId258" Type="http://schemas.openxmlformats.org/officeDocument/2006/relationships/hyperlink" Target="http://F560HAP01:pass@10.124.0.42:11002" TargetMode="External"/><Relationship Id="rId379" Type="http://schemas.openxmlformats.org/officeDocument/2006/relationships/hyperlink" Target="http://fy261ap05:pass@10.124.0.17:11002" TargetMode="External"/><Relationship Id="rId132" Type="http://schemas.openxmlformats.org/officeDocument/2006/relationships/hyperlink" Target="http://fy261ap06:pass@10.124.0.17:11002" TargetMode="External"/><Relationship Id="rId253" Type="http://schemas.openxmlformats.org/officeDocument/2006/relationships/hyperlink" Target="http://fy261ap10:pass@10.124.0.102:11002" TargetMode="External"/><Relationship Id="rId374" Type="http://schemas.openxmlformats.org/officeDocument/2006/relationships/hyperlink" Target="http://fy261ap01:pass@10.124.0.42:11002" TargetMode="External"/><Relationship Id="rId495" Type="http://schemas.openxmlformats.org/officeDocument/2006/relationships/hyperlink" Target="http://fy261ap08:pass@10.124.0.24:11002" TargetMode="External"/><Relationship Id="rId131" Type="http://schemas.openxmlformats.org/officeDocument/2006/relationships/hyperlink" Target="http://fy261ap09:pass@10.124.0.24:11002" TargetMode="External"/><Relationship Id="rId252" Type="http://schemas.openxmlformats.org/officeDocument/2006/relationships/hyperlink" Target="http://xts1.srellp.com:9008/" TargetMode="External"/><Relationship Id="rId373" Type="http://schemas.openxmlformats.org/officeDocument/2006/relationships/hyperlink" Target="http://fy261ap01:pass@10.124.0.42:11002" TargetMode="External"/><Relationship Id="rId494" Type="http://schemas.openxmlformats.org/officeDocument/2006/relationships/hyperlink" Target="http://fy261ap10:pass@10.124.0.102:11002" TargetMode="External"/><Relationship Id="rId130" Type="http://schemas.openxmlformats.org/officeDocument/2006/relationships/hyperlink" Target="http://fy261ap05:pass@10.124.0.17:11002" TargetMode="External"/><Relationship Id="rId251" Type="http://schemas.openxmlformats.org/officeDocument/2006/relationships/hyperlink" Target="http://fy261ap01:pass@10.124.0.42:11002" TargetMode="External"/><Relationship Id="rId372" Type="http://schemas.openxmlformats.org/officeDocument/2006/relationships/hyperlink" Target="http://fy261ap06:pass@10.124.0.17:11002" TargetMode="External"/><Relationship Id="rId493" Type="http://schemas.openxmlformats.org/officeDocument/2006/relationships/hyperlink" Target="http://fy261ap09:pass@10.124.0.24:11002" TargetMode="External"/><Relationship Id="rId250" Type="http://schemas.openxmlformats.org/officeDocument/2006/relationships/hyperlink" Target="http://fy261ap07:pass@10.124.0.17:11002" TargetMode="External"/><Relationship Id="rId371" Type="http://schemas.openxmlformats.org/officeDocument/2006/relationships/hyperlink" Target="http://fy261ap06:pass@10.124.0.17:11002" TargetMode="External"/><Relationship Id="rId492" Type="http://schemas.openxmlformats.org/officeDocument/2006/relationships/hyperlink" Target="http://fy261ap07:pass@10.124.0.17:11002" TargetMode="External"/><Relationship Id="rId136" Type="http://schemas.openxmlformats.org/officeDocument/2006/relationships/hyperlink" Target="http://fy261ap09:pass@10.124.0.24:11002" TargetMode="External"/><Relationship Id="rId257" Type="http://schemas.openxmlformats.org/officeDocument/2006/relationships/hyperlink" Target="http://xts1.srellp.com:9011/" TargetMode="External"/><Relationship Id="rId378" Type="http://schemas.openxmlformats.org/officeDocument/2006/relationships/hyperlink" Target="http://fy261ap05:pass@10.124.0.17:11002" TargetMode="External"/><Relationship Id="rId499" Type="http://schemas.openxmlformats.org/officeDocument/2006/relationships/hyperlink" Target="http://mjos334:pass@10.124.0.17:11002" TargetMode="External"/><Relationship Id="rId135" Type="http://schemas.openxmlformats.org/officeDocument/2006/relationships/hyperlink" Target="http://fy261ap06:pass@10.124.0.17:11002" TargetMode="External"/><Relationship Id="rId256" Type="http://schemas.openxmlformats.org/officeDocument/2006/relationships/hyperlink" Target="http://fy261ap07:pass@10.124.0.17:11002" TargetMode="External"/><Relationship Id="rId377" Type="http://schemas.openxmlformats.org/officeDocument/2006/relationships/hyperlink" Target="http://fy261ap05:pass@10.124.0.17:11002" TargetMode="External"/><Relationship Id="rId498" Type="http://schemas.openxmlformats.org/officeDocument/2006/relationships/hyperlink" Target="http://GBN27A015:pass@10.124.0.17:11002" TargetMode="External"/><Relationship Id="rId134" Type="http://schemas.openxmlformats.org/officeDocument/2006/relationships/hyperlink" Target="http://F560HAP01:pass@10.124.0.42:11002" TargetMode="External"/><Relationship Id="rId255" Type="http://schemas.openxmlformats.org/officeDocument/2006/relationships/hyperlink" Target="http://xts1.srellp.com:9010/" TargetMode="External"/><Relationship Id="rId376" Type="http://schemas.openxmlformats.org/officeDocument/2006/relationships/hyperlink" Target="http://fy261ap01:pass@10.124.0.42:11002" TargetMode="External"/><Relationship Id="rId497" Type="http://schemas.openxmlformats.org/officeDocument/2006/relationships/hyperlink" Target="http://GDVS267:pass@10.124.0.17:11002" TargetMode="External"/><Relationship Id="rId133" Type="http://schemas.openxmlformats.org/officeDocument/2006/relationships/hyperlink" Target="http://fy261ap09:pass@10.124.0.24:11002" TargetMode="External"/><Relationship Id="rId254" Type="http://schemas.openxmlformats.org/officeDocument/2006/relationships/hyperlink" Target="http://fy261ap09:pass@10.124.0.24:11002" TargetMode="External"/><Relationship Id="rId375" Type="http://schemas.openxmlformats.org/officeDocument/2006/relationships/hyperlink" Target="http://fy261ap01:pass@10.124.0.42:11002" TargetMode="External"/><Relationship Id="rId496" Type="http://schemas.openxmlformats.org/officeDocument/2006/relationships/hyperlink" Target="http://GBN10P587:pass@10.124.0.17:11002" TargetMode="External"/><Relationship Id="rId172" Type="http://schemas.openxmlformats.org/officeDocument/2006/relationships/hyperlink" Target="http://fy261ap09:pass@10.124.0.24:11002" TargetMode="External"/><Relationship Id="rId293" Type="http://schemas.openxmlformats.org/officeDocument/2006/relationships/hyperlink" Target="http://fy261ap07:pass@10.124.0.17:11002" TargetMode="External"/><Relationship Id="rId171" Type="http://schemas.openxmlformats.org/officeDocument/2006/relationships/hyperlink" Target="http://fy261ap07:pass@10.124.0.17:11002" TargetMode="External"/><Relationship Id="rId292" Type="http://schemas.openxmlformats.org/officeDocument/2006/relationships/hyperlink" Target="http://fy261ap06:pass@10.124.0.17:11002" TargetMode="External"/><Relationship Id="rId170" Type="http://schemas.openxmlformats.org/officeDocument/2006/relationships/hyperlink" Target="http://LT5:pass@10.124.0.24:11002" TargetMode="External"/><Relationship Id="rId291" Type="http://schemas.openxmlformats.org/officeDocument/2006/relationships/hyperlink" Target="http://fy261ap06:pass@10.124.0.17:11002" TargetMode="External"/><Relationship Id="rId290" Type="http://schemas.openxmlformats.org/officeDocument/2006/relationships/hyperlink" Target="http://F560HAP01:pass@10.124.0.42:11002" TargetMode="External"/><Relationship Id="rId165" Type="http://schemas.openxmlformats.org/officeDocument/2006/relationships/hyperlink" Target="http://fy261ap07:pass@10.124.0.17:11002" TargetMode="External"/><Relationship Id="rId286" Type="http://schemas.openxmlformats.org/officeDocument/2006/relationships/hyperlink" Target="http://106.51.143.71:9003/" TargetMode="External"/><Relationship Id="rId164" Type="http://schemas.openxmlformats.org/officeDocument/2006/relationships/hyperlink" Target="http://fy261ap05:pass@10.124.0.17:11002" TargetMode="External"/><Relationship Id="rId285" Type="http://schemas.openxmlformats.org/officeDocument/2006/relationships/hyperlink" Target="http://fy261ap10:pass@10.124.0.102:11002" TargetMode="External"/><Relationship Id="rId163" Type="http://schemas.openxmlformats.org/officeDocument/2006/relationships/hyperlink" Target="http://fy261ap07:pass@10.124.0.17:11002" TargetMode="External"/><Relationship Id="rId284" Type="http://schemas.openxmlformats.org/officeDocument/2006/relationships/hyperlink" Target="http://fy261ap06:pass@10.124.0.17:11002" TargetMode="External"/><Relationship Id="rId162" Type="http://schemas.openxmlformats.org/officeDocument/2006/relationships/hyperlink" Target="http://LT5:pass@10.124.0.24:11002" TargetMode="External"/><Relationship Id="rId283" Type="http://schemas.openxmlformats.org/officeDocument/2006/relationships/hyperlink" Target="http://xts1.srellp.com:9006/" TargetMode="External"/><Relationship Id="rId169" Type="http://schemas.openxmlformats.org/officeDocument/2006/relationships/hyperlink" Target="http://fy261ap09:pass@10.124.0.24:11002" TargetMode="External"/><Relationship Id="rId168" Type="http://schemas.openxmlformats.org/officeDocument/2006/relationships/hyperlink" Target="http://fy261ap05:pass@10.124.0.17:11002" TargetMode="External"/><Relationship Id="rId289" Type="http://schemas.openxmlformats.org/officeDocument/2006/relationships/hyperlink" Target="http://fy261ap05:pass@10.124.0.17:11002" TargetMode="External"/><Relationship Id="rId167" Type="http://schemas.openxmlformats.org/officeDocument/2006/relationships/hyperlink" Target="http://fy261ap06:pass@10.124.0.17:11002" TargetMode="External"/><Relationship Id="rId288" Type="http://schemas.openxmlformats.org/officeDocument/2006/relationships/hyperlink" Target="http://LT5:pass@10.124.0.24:11002" TargetMode="External"/><Relationship Id="rId166" Type="http://schemas.openxmlformats.org/officeDocument/2006/relationships/hyperlink" Target="http://fy261ap07:pass@10.124.0.17:11002" TargetMode="External"/><Relationship Id="rId287" Type="http://schemas.openxmlformats.org/officeDocument/2006/relationships/hyperlink" Target="http://F560HAP01:pass@10.124.0.42:11002" TargetMode="External"/><Relationship Id="rId161" Type="http://schemas.openxmlformats.org/officeDocument/2006/relationships/hyperlink" Target="http://GT5:pass@10.124.0.42:11002" TargetMode="External"/><Relationship Id="rId282" Type="http://schemas.openxmlformats.org/officeDocument/2006/relationships/hyperlink" Target="http://fy261ap01:pass@10.124.0.42:11002" TargetMode="External"/><Relationship Id="rId160" Type="http://schemas.openxmlformats.org/officeDocument/2006/relationships/hyperlink" Target="http://LT5:pass@10.124.0.24:11002" TargetMode="External"/><Relationship Id="rId281" Type="http://schemas.openxmlformats.org/officeDocument/2006/relationships/hyperlink" Target="http://F560HAP01:pass@10.124.0.42:11002" TargetMode="External"/><Relationship Id="rId280" Type="http://schemas.openxmlformats.org/officeDocument/2006/relationships/hyperlink" Target="http://fy261ap06:pass@10.124.0.17:11002" TargetMode="External"/><Relationship Id="rId159" Type="http://schemas.openxmlformats.org/officeDocument/2006/relationships/hyperlink" Target="http://fy261ap07:pass@10.124.0.17:11002" TargetMode="External"/><Relationship Id="rId154" Type="http://schemas.openxmlformats.org/officeDocument/2006/relationships/hyperlink" Target="http://LT5:pass@10.124.0.24:11002" TargetMode="External"/><Relationship Id="rId275" Type="http://schemas.openxmlformats.org/officeDocument/2006/relationships/hyperlink" Target="http://fy261ap05:pass@10.124.0.17:11002" TargetMode="External"/><Relationship Id="rId396" Type="http://schemas.openxmlformats.org/officeDocument/2006/relationships/hyperlink" Target="http://fy261ap05:pass@10.124.0.17:11002" TargetMode="External"/><Relationship Id="rId153" Type="http://schemas.openxmlformats.org/officeDocument/2006/relationships/hyperlink" Target="http://fy261ap08:pass@10.124.0.24:11002" TargetMode="External"/><Relationship Id="rId274" Type="http://schemas.openxmlformats.org/officeDocument/2006/relationships/hyperlink" Target="http://fy261ap07:pass@10.124.0.17:11002" TargetMode="External"/><Relationship Id="rId395" Type="http://schemas.openxmlformats.org/officeDocument/2006/relationships/hyperlink" Target="http://49.249.181.146:9002/" TargetMode="External"/><Relationship Id="rId152" Type="http://schemas.openxmlformats.org/officeDocument/2006/relationships/hyperlink" Target="http://F560HAP01:pass@10.124.0.42:11002" TargetMode="External"/><Relationship Id="rId273" Type="http://schemas.openxmlformats.org/officeDocument/2006/relationships/hyperlink" Target="http://fy261ap05:pass@10.124.0.17:11002" TargetMode="External"/><Relationship Id="rId394" Type="http://schemas.openxmlformats.org/officeDocument/2006/relationships/hyperlink" Target="http://LT5:pass@10.124.0.24:11002" TargetMode="External"/><Relationship Id="rId151" Type="http://schemas.openxmlformats.org/officeDocument/2006/relationships/hyperlink" Target="http://F560HAP01:pass@10.124.0.42:11002" TargetMode="External"/><Relationship Id="rId272" Type="http://schemas.openxmlformats.org/officeDocument/2006/relationships/hyperlink" Target="http://fy261ap06:pass@10.124.0.17:11002" TargetMode="External"/><Relationship Id="rId393" Type="http://schemas.openxmlformats.org/officeDocument/2006/relationships/hyperlink" Target="http://LT5:pass@10.124.0.24:11002" TargetMode="External"/><Relationship Id="rId158" Type="http://schemas.openxmlformats.org/officeDocument/2006/relationships/hyperlink" Target="http://fy261ap06:pass@10.124.0.17:11002" TargetMode="External"/><Relationship Id="rId279" Type="http://schemas.openxmlformats.org/officeDocument/2006/relationships/hyperlink" Target="http://fy261ap06:pass@10.124.0.17:11002" TargetMode="External"/><Relationship Id="rId157" Type="http://schemas.openxmlformats.org/officeDocument/2006/relationships/hyperlink" Target="http://fy261ap01:pass@10.124.0.42:11002" TargetMode="External"/><Relationship Id="rId278" Type="http://schemas.openxmlformats.org/officeDocument/2006/relationships/hyperlink" Target="http://fy261ap01:pass@10.124.0.42:11002" TargetMode="External"/><Relationship Id="rId399" Type="http://schemas.openxmlformats.org/officeDocument/2006/relationships/hyperlink" Target="http://49.249.181.146:9002/" TargetMode="External"/><Relationship Id="rId156" Type="http://schemas.openxmlformats.org/officeDocument/2006/relationships/hyperlink" Target="http://fy261ap10:pass@10.124.0.102:11002" TargetMode="External"/><Relationship Id="rId277" Type="http://schemas.openxmlformats.org/officeDocument/2006/relationships/hyperlink" Target="http://fy261ap06:pass@10.124.0.17:11002" TargetMode="External"/><Relationship Id="rId398" Type="http://schemas.openxmlformats.org/officeDocument/2006/relationships/hyperlink" Target="http://49.249.181.146:9002/" TargetMode="External"/><Relationship Id="rId155" Type="http://schemas.openxmlformats.org/officeDocument/2006/relationships/hyperlink" Target="http://fy261ap07:pass@10.124.0.17:11002" TargetMode="External"/><Relationship Id="rId276" Type="http://schemas.openxmlformats.org/officeDocument/2006/relationships/hyperlink" Target="http://fy261ap09:pass@10.124.0.24:11002" TargetMode="External"/><Relationship Id="rId397" Type="http://schemas.openxmlformats.org/officeDocument/2006/relationships/hyperlink" Target="http://fy261ap07:pass@10.124.0.17:11002" TargetMode="External"/><Relationship Id="rId40" Type="http://schemas.openxmlformats.org/officeDocument/2006/relationships/hyperlink" Target="http://fy261ap06:pass@10.124.0.17:11002" TargetMode="External"/><Relationship Id="rId42" Type="http://schemas.openxmlformats.org/officeDocument/2006/relationships/hyperlink" Target="http://F560HAP01:pass@10.124.0.42:11002" TargetMode="External"/><Relationship Id="rId41" Type="http://schemas.openxmlformats.org/officeDocument/2006/relationships/hyperlink" Target="http://fy261ap07:pass@10.124.0.17:11002" TargetMode="External"/><Relationship Id="rId44" Type="http://schemas.openxmlformats.org/officeDocument/2006/relationships/hyperlink" Target="http://F560HAP03:pass@10.124.0.24:11002" TargetMode="External"/><Relationship Id="rId43" Type="http://schemas.openxmlformats.org/officeDocument/2006/relationships/hyperlink" Target="http://fy261ap05:pass@10.124.0.17:11002" TargetMode="External"/><Relationship Id="rId46" Type="http://schemas.openxmlformats.org/officeDocument/2006/relationships/hyperlink" Target="http://fy261ap08:pass@10.124.0.24:11002" TargetMode="External"/><Relationship Id="rId45" Type="http://schemas.openxmlformats.org/officeDocument/2006/relationships/hyperlink" Target="http://fy261ap05:pass@10.124.0.17:11002" TargetMode="External"/><Relationship Id="rId509" Type="http://schemas.openxmlformats.org/officeDocument/2006/relationships/hyperlink" Target="http://PCDD3V111:pass@10.124.0.17:11002" TargetMode="External"/><Relationship Id="rId508" Type="http://schemas.openxmlformats.org/officeDocument/2006/relationships/hyperlink" Target="http://HOP555:pass@10.124.0.17:11002" TargetMode="External"/><Relationship Id="rId629" Type="http://schemas.openxmlformats.org/officeDocument/2006/relationships/hyperlink" Target="http://LT5:pass@10.124.0.24:11002" TargetMode="External"/><Relationship Id="rId503" Type="http://schemas.openxmlformats.org/officeDocument/2006/relationships/hyperlink" Target="http://JPBWM229:pass@10.124.0.17:11002" TargetMode="External"/><Relationship Id="rId624" Type="http://schemas.openxmlformats.org/officeDocument/2006/relationships/hyperlink" Target="http://fy261ap11:pass@10.124.0.102:11002" TargetMode="External"/><Relationship Id="rId502" Type="http://schemas.openxmlformats.org/officeDocument/2006/relationships/hyperlink" Target="http://hydprr108:pass@10.124.0.17:11002" TargetMode="External"/><Relationship Id="rId623" Type="http://schemas.openxmlformats.org/officeDocument/2006/relationships/hyperlink" Target="http://fy261ap11:pass@10.124.0.102:11002" TargetMode="External"/><Relationship Id="rId501" Type="http://schemas.openxmlformats.org/officeDocument/2006/relationships/hyperlink" Target="http://VSNON127:pass@10.124.0.17:11002" TargetMode="External"/><Relationship Id="rId622" Type="http://schemas.openxmlformats.org/officeDocument/2006/relationships/hyperlink" Target="http://fy261ap11:pass@10.124.0.102:11002" TargetMode="External"/><Relationship Id="rId500" Type="http://schemas.openxmlformats.org/officeDocument/2006/relationships/hyperlink" Target="http://GPU50S059:pass@10.124.0.17:11002" TargetMode="External"/><Relationship Id="rId621" Type="http://schemas.openxmlformats.org/officeDocument/2006/relationships/hyperlink" Target="http://SURTCS231:pass@10.124.0.17:11002" TargetMode="External"/><Relationship Id="rId507" Type="http://schemas.openxmlformats.org/officeDocument/2006/relationships/hyperlink" Target="http://GPU1R050:pass@10.124.0.17:11002" TargetMode="External"/><Relationship Id="rId628" Type="http://schemas.openxmlformats.org/officeDocument/2006/relationships/hyperlink" Target="http://LT5:pass@10.124.0.24:11002" TargetMode="External"/><Relationship Id="rId506" Type="http://schemas.openxmlformats.org/officeDocument/2006/relationships/hyperlink" Target="http://GPU111U157:pass@10.124.0.17:11002" TargetMode="External"/><Relationship Id="rId627" Type="http://schemas.openxmlformats.org/officeDocument/2006/relationships/hyperlink" Target="http://LT5:pass@10.124.0.24:11002" TargetMode="External"/><Relationship Id="rId505" Type="http://schemas.openxmlformats.org/officeDocument/2006/relationships/hyperlink" Target="http://pcdd3r115:pass@10.124.0.17:11002" TargetMode="External"/><Relationship Id="rId626" Type="http://schemas.openxmlformats.org/officeDocument/2006/relationships/hyperlink" Target="http://LT5:pass@10.124.0.24:11002" TargetMode="External"/><Relationship Id="rId504" Type="http://schemas.openxmlformats.org/officeDocument/2006/relationships/hyperlink" Target="http://jpbwa033:pass@10.124.0.17:11002" TargetMode="External"/><Relationship Id="rId625" Type="http://schemas.openxmlformats.org/officeDocument/2006/relationships/hyperlink" Target="http://GMAN023:pass@10.124.0.17:11002" TargetMode="External"/><Relationship Id="rId48" Type="http://schemas.openxmlformats.org/officeDocument/2006/relationships/hyperlink" Target="http://fy261ap06:pass@10.124.0.17:11002" TargetMode="External"/><Relationship Id="rId47" Type="http://schemas.openxmlformats.org/officeDocument/2006/relationships/hyperlink" Target="http://fy261ap01:pass@10.124.0.42:11002" TargetMode="External"/><Relationship Id="rId49" Type="http://schemas.openxmlformats.org/officeDocument/2006/relationships/hyperlink" Target="http://fy261ap05:pass@10.124.0.17:11002" TargetMode="External"/><Relationship Id="rId620" Type="http://schemas.openxmlformats.org/officeDocument/2006/relationships/hyperlink" Target="http://MCDD3R104:pass@10.124.0.17:11002" TargetMode="External"/><Relationship Id="rId31" Type="http://schemas.openxmlformats.org/officeDocument/2006/relationships/hyperlink" Target="http://F560HAP01:pass@10.124.0.42:11002" TargetMode="External"/><Relationship Id="rId30" Type="http://schemas.openxmlformats.org/officeDocument/2006/relationships/hyperlink" Target="http://fy261ap06:pass@10.124.0.17:11002" TargetMode="External"/><Relationship Id="rId33" Type="http://schemas.openxmlformats.org/officeDocument/2006/relationships/hyperlink" Target="http://fy261ap09:pass@10.124.0.24:11002" TargetMode="External"/><Relationship Id="rId32" Type="http://schemas.openxmlformats.org/officeDocument/2006/relationships/hyperlink" Target="http://fy261ap01:pass@10.124.0.42:11002" TargetMode="External"/><Relationship Id="rId35" Type="http://schemas.openxmlformats.org/officeDocument/2006/relationships/hyperlink" Target="http://fy261ap08:pass@10.124.0.24:11002" TargetMode="External"/><Relationship Id="rId34" Type="http://schemas.openxmlformats.org/officeDocument/2006/relationships/hyperlink" Target="http://fy261ap10:pass@10.124.0.102:11002" TargetMode="External"/><Relationship Id="rId619" Type="http://schemas.openxmlformats.org/officeDocument/2006/relationships/hyperlink" Target="http://fy261ap11:pass@10.124.0.102:11002" TargetMode="External"/><Relationship Id="rId618" Type="http://schemas.openxmlformats.org/officeDocument/2006/relationships/hyperlink" Target="http://fy261ap06:pass@10.124.0.17:11002" TargetMode="External"/><Relationship Id="rId613" Type="http://schemas.openxmlformats.org/officeDocument/2006/relationships/hyperlink" Target="http://GNPU057:pass@10.124.0.17:11002" TargetMode="External"/><Relationship Id="rId612" Type="http://schemas.openxmlformats.org/officeDocument/2006/relationships/hyperlink" Target="http://49.249.181.146:9002/" TargetMode="External"/><Relationship Id="rId611" Type="http://schemas.openxmlformats.org/officeDocument/2006/relationships/hyperlink" Target="http://49.249.181.146:9002/" TargetMode="External"/><Relationship Id="rId610" Type="http://schemas.openxmlformats.org/officeDocument/2006/relationships/hyperlink" Target="http://49.249.181.146:9002/" TargetMode="External"/><Relationship Id="rId617" Type="http://schemas.openxmlformats.org/officeDocument/2006/relationships/hyperlink" Target="http://fy261ap10:pass@10.124.0.102:11002" TargetMode="External"/><Relationship Id="rId616" Type="http://schemas.openxmlformats.org/officeDocument/2006/relationships/hyperlink" Target="http://LT5:pass@10.124.0.24:11002" TargetMode="External"/><Relationship Id="rId615" Type="http://schemas.openxmlformats.org/officeDocument/2006/relationships/hyperlink" Target="http://PUNK178:pass@10.124.0.17:11002" TargetMode="External"/><Relationship Id="rId614" Type="http://schemas.openxmlformats.org/officeDocument/2006/relationships/hyperlink" Target="http://GNPS55:pass@10.124.0.17:11002" TargetMode="External"/><Relationship Id="rId37" Type="http://schemas.openxmlformats.org/officeDocument/2006/relationships/hyperlink" Target="http://fy261ap06:pass@10.124.0.17:11002" TargetMode="External"/><Relationship Id="rId36" Type="http://schemas.openxmlformats.org/officeDocument/2006/relationships/hyperlink" Target="http://F560HAP01:pass@10.124.0.42:11002" TargetMode="External"/><Relationship Id="rId39" Type="http://schemas.openxmlformats.org/officeDocument/2006/relationships/hyperlink" Target="http://fy261ap06:pass@10.124.0.17:11002" TargetMode="External"/><Relationship Id="rId38" Type="http://schemas.openxmlformats.org/officeDocument/2006/relationships/hyperlink" Target="http://fy261ap07:pass@10.124.0.17:11002" TargetMode="External"/><Relationship Id="rId20" Type="http://schemas.openxmlformats.org/officeDocument/2006/relationships/hyperlink" Target="http://F560HAP01:pass@10.124.0.42:11002" TargetMode="External"/><Relationship Id="rId22" Type="http://schemas.openxmlformats.org/officeDocument/2006/relationships/hyperlink" Target="http://F560HAP01:pass@10.124.0.42:11002" TargetMode="External"/><Relationship Id="rId21" Type="http://schemas.openxmlformats.org/officeDocument/2006/relationships/hyperlink" Target="http://fy261ap05:pass@10.124.0.17:11002" TargetMode="External"/><Relationship Id="rId24" Type="http://schemas.openxmlformats.org/officeDocument/2006/relationships/hyperlink" Target="http://fy261ap07:pass@10.124.0.17:11002" TargetMode="External"/><Relationship Id="rId23" Type="http://schemas.openxmlformats.org/officeDocument/2006/relationships/hyperlink" Target="http://fy261ap08:pass@10.124.0.24:11002" TargetMode="External"/><Relationship Id="rId409" Type="http://schemas.openxmlformats.org/officeDocument/2006/relationships/hyperlink" Target="http://gkoslm249:pass@10.124.0.17:11002" TargetMode="External"/><Relationship Id="rId404" Type="http://schemas.openxmlformats.org/officeDocument/2006/relationships/hyperlink" Target="http://49.249.181.146:9002/" TargetMode="External"/><Relationship Id="rId525" Type="http://schemas.openxmlformats.org/officeDocument/2006/relationships/hyperlink" Target="http://49.249.181.146:9002/" TargetMode="External"/><Relationship Id="rId646" Type="http://schemas.openxmlformats.org/officeDocument/2006/relationships/hyperlink" Target="http://HYDPRS137:pass@10.124.0.17:11002" TargetMode="External"/><Relationship Id="rId403" Type="http://schemas.openxmlformats.org/officeDocument/2006/relationships/hyperlink" Target="http://49.249.181.146:9002/" TargetMode="External"/><Relationship Id="rId524" Type="http://schemas.openxmlformats.org/officeDocument/2006/relationships/hyperlink" Target="http://49.249.181.146:9002/" TargetMode="External"/><Relationship Id="rId645" Type="http://schemas.openxmlformats.org/officeDocument/2006/relationships/hyperlink" Target="http://49.249.181.146:9002/" TargetMode="External"/><Relationship Id="rId402" Type="http://schemas.openxmlformats.org/officeDocument/2006/relationships/hyperlink" Target="http://49.249.181.146:9002/" TargetMode="External"/><Relationship Id="rId523" Type="http://schemas.openxmlformats.org/officeDocument/2006/relationships/hyperlink" Target="http://49.249.181.146:9002/" TargetMode="External"/><Relationship Id="rId644" Type="http://schemas.openxmlformats.org/officeDocument/2006/relationships/hyperlink" Target="http://49.249.181.146:9002/" TargetMode="External"/><Relationship Id="rId401" Type="http://schemas.openxmlformats.org/officeDocument/2006/relationships/hyperlink" Target="http://49.249.181.146:9002/" TargetMode="External"/><Relationship Id="rId522" Type="http://schemas.openxmlformats.org/officeDocument/2006/relationships/hyperlink" Target="http://49.249.181.146:9002/" TargetMode="External"/><Relationship Id="rId643" Type="http://schemas.openxmlformats.org/officeDocument/2006/relationships/hyperlink" Target="http://49.249.181.146:9002/" TargetMode="External"/><Relationship Id="rId408" Type="http://schemas.openxmlformats.org/officeDocument/2006/relationships/hyperlink" Target="http://gkopas101:pass@10.124.0.17:11002" TargetMode="External"/><Relationship Id="rId529" Type="http://schemas.openxmlformats.org/officeDocument/2006/relationships/hyperlink" Target="http://14.194.54.6:9002/" TargetMode="External"/><Relationship Id="rId407" Type="http://schemas.openxmlformats.org/officeDocument/2006/relationships/hyperlink" Target="http://gbn12j106:pass@10.124.0.17:11002" TargetMode="External"/><Relationship Id="rId528" Type="http://schemas.openxmlformats.org/officeDocument/2006/relationships/hyperlink" Target="http://LT5:pass@10.124.0.24:11002" TargetMode="External"/><Relationship Id="rId649" Type="http://schemas.openxmlformats.org/officeDocument/2006/relationships/hyperlink" Target="http://F560HAP01:pass@10.124.0.42:11002" TargetMode="External"/><Relationship Id="rId406" Type="http://schemas.openxmlformats.org/officeDocument/2006/relationships/hyperlink" Target="http://jpx10b114:pass@10.124.0.17:11002" TargetMode="External"/><Relationship Id="rId527" Type="http://schemas.openxmlformats.org/officeDocument/2006/relationships/hyperlink" Target="http://49.249.181.146:9002/" TargetMode="External"/><Relationship Id="rId648" Type="http://schemas.openxmlformats.org/officeDocument/2006/relationships/hyperlink" Target="http://HMT1P006:pass@10.124.0.17:11002" TargetMode="External"/><Relationship Id="rId405" Type="http://schemas.openxmlformats.org/officeDocument/2006/relationships/hyperlink" Target="http://49.249.181.146:9002/" TargetMode="External"/><Relationship Id="rId526" Type="http://schemas.openxmlformats.org/officeDocument/2006/relationships/hyperlink" Target="http://49.249.181.146:9002/" TargetMode="External"/><Relationship Id="rId647" Type="http://schemas.openxmlformats.org/officeDocument/2006/relationships/hyperlink" Target="http://GKOCDS139:pass@10.124.0.17:11002" TargetMode="External"/><Relationship Id="rId26" Type="http://schemas.openxmlformats.org/officeDocument/2006/relationships/hyperlink" Target="http://fy261ap01:pass@10.124.0.42:11002" TargetMode="External"/><Relationship Id="rId25" Type="http://schemas.openxmlformats.org/officeDocument/2006/relationships/hyperlink" Target="http://fy261ap08:pass@10.124.0.24:11002" TargetMode="External"/><Relationship Id="rId28" Type="http://schemas.openxmlformats.org/officeDocument/2006/relationships/hyperlink" Target="http://fy261ap01:pass@10.124.0.42:11002" TargetMode="External"/><Relationship Id="rId27" Type="http://schemas.openxmlformats.org/officeDocument/2006/relationships/hyperlink" Target="http://fy261ap11:pass@10.124.0.102:11002" TargetMode="External"/><Relationship Id="rId400" Type="http://schemas.openxmlformats.org/officeDocument/2006/relationships/hyperlink" Target="http://49.249.181.146:9002/" TargetMode="External"/><Relationship Id="rId521" Type="http://schemas.openxmlformats.org/officeDocument/2006/relationships/hyperlink" Target="http://xts1.srellp.com:9008/" TargetMode="External"/><Relationship Id="rId642" Type="http://schemas.openxmlformats.org/officeDocument/2006/relationships/hyperlink" Target="http://LT5:pass@10.124.0.24:11002" TargetMode="External"/><Relationship Id="rId29" Type="http://schemas.openxmlformats.org/officeDocument/2006/relationships/hyperlink" Target="http://F560HAP01:pass@10.124.0.42:11002" TargetMode="External"/><Relationship Id="rId520" Type="http://schemas.openxmlformats.org/officeDocument/2006/relationships/hyperlink" Target="http://GNP75P214:pass@10.124.0.17:11002" TargetMode="External"/><Relationship Id="rId641" Type="http://schemas.openxmlformats.org/officeDocument/2006/relationships/hyperlink" Target="http://MDR2S1147:pass@10.124.0.17:11002" TargetMode="External"/><Relationship Id="rId640" Type="http://schemas.openxmlformats.org/officeDocument/2006/relationships/hyperlink" Target="http://LT5:pass@10.124.0.24:11002" TargetMode="External"/><Relationship Id="rId11" Type="http://schemas.openxmlformats.org/officeDocument/2006/relationships/hyperlink" Target="http://fy261ap06:pass@10.124.0.17:11002" TargetMode="External"/><Relationship Id="rId10" Type="http://schemas.openxmlformats.org/officeDocument/2006/relationships/hyperlink" Target="http://F560HAP01:pass@10.124.0.42:11002" TargetMode="External"/><Relationship Id="rId13" Type="http://schemas.openxmlformats.org/officeDocument/2006/relationships/hyperlink" Target="http://fy261ap05:pass@10.124.0.17:11002" TargetMode="External"/><Relationship Id="rId12" Type="http://schemas.openxmlformats.org/officeDocument/2006/relationships/hyperlink" Target="http://fy261ap05:pass@10.124.0.17:11002" TargetMode="External"/><Relationship Id="rId519" Type="http://schemas.openxmlformats.org/officeDocument/2006/relationships/hyperlink" Target="http://GDLF2K107:pass@10.124.0.17:11002" TargetMode="External"/><Relationship Id="rId514" Type="http://schemas.openxmlformats.org/officeDocument/2006/relationships/hyperlink" Target="http://gdlrgr101:pass@10.124.0.17:11002" TargetMode="External"/><Relationship Id="rId635" Type="http://schemas.openxmlformats.org/officeDocument/2006/relationships/hyperlink" Target="http://GT5:pass@10.124.0.42:11002" TargetMode="External"/><Relationship Id="rId513" Type="http://schemas.openxmlformats.org/officeDocument/2006/relationships/hyperlink" Target="http://RPR3R007:pass@10.124.0.17:11002" TargetMode="External"/><Relationship Id="rId634" Type="http://schemas.openxmlformats.org/officeDocument/2006/relationships/hyperlink" Target="http://GT5:pass@10.124.0.42:11002" TargetMode="External"/><Relationship Id="rId512" Type="http://schemas.openxmlformats.org/officeDocument/2006/relationships/hyperlink" Target="http://gdvu037:pass@10.124.0.17:11002" TargetMode="External"/><Relationship Id="rId633" Type="http://schemas.openxmlformats.org/officeDocument/2006/relationships/hyperlink" Target="http://fy261ap10:pass@10.124.0.102:11002" TargetMode="External"/><Relationship Id="rId511" Type="http://schemas.openxmlformats.org/officeDocument/2006/relationships/hyperlink" Target="http://RPRS1477:pass@10.124.0.17:11002" TargetMode="External"/><Relationship Id="rId632" Type="http://schemas.openxmlformats.org/officeDocument/2006/relationships/hyperlink" Target="http://fy261ap11:pass@10.124.0.102:11002" TargetMode="External"/><Relationship Id="rId518" Type="http://schemas.openxmlformats.org/officeDocument/2006/relationships/hyperlink" Target="http://LT5:pass@10.124.0.24:11002" TargetMode="External"/><Relationship Id="rId639" Type="http://schemas.openxmlformats.org/officeDocument/2006/relationships/hyperlink" Target="http://LT5:pass@10.124.0.24:11002" TargetMode="External"/><Relationship Id="rId517" Type="http://schemas.openxmlformats.org/officeDocument/2006/relationships/hyperlink" Target="http://GT5:pass@10.124.0.42:11002" TargetMode="External"/><Relationship Id="rId638" Type="http://schemas.openxmlformats.org/officeDocument/2006/relationships/hyperlink" Target="http://LT5:pass@10.124.0.24:11002" TargetMode="External"/><Relationship Id="rId516" Type="http://schemas.openxmlformats.org/officeDocument/2006/relationships/hyperlink" Target="http://GT5:pass@10.124.0.42:11002" TargetMode="External"/><Relationship Id="rId637" Type="http://schemas.openxmlformats.org/officeDocument/2006/relationships/hyperlink" Target="http://GNP12R161:pass@10.124.0.17:11002" TargetMode="External"/><Relationship Id="rId515" Type="http://schemas.openxmlformats.org/officeDocument/2006/relationships/hyperlink" Target="http://wpnbas132:pass@10.124.0.17:11002" TargetMode="External"/><Relationship Id="rId636" Type="http://schemas.openxmlformats.org/officeDocument/2006/relationships/hyperlink" Target="http://GT5:pass@10.124.0.42:11002" TargetMode="External"/><Relationship Id="rId15" Type="http://schemas.openxmlformats.org/officeDocument/2006/relationships/hyperlink" Target="http://fy261ap11:pass@10.124.0.102:11002" TargetMode="External"/><Relationship Id="rId14" Type="http://schemas.openxmlformats.org/officeDocument/2006/relationships/hyperlink" Target="http://fy261ap06:pass@10.124.0.17:11002" TargetMode="External"/><Relationship Id="rId17" Type="http://schemas.openxmlformats.org/officeDocument/2006/relationships/hyperlink" Target="http://fy261ap10:pass@10.124.0.102:11002" TargetMode="External"/><Relationship Id="rId16" Type="http://schemas.openxmlformats.org/officeDocument/2006/relationships/hyperlink" Target="http://fy261ap08:pass@10.124.0.24:11002" TargetMode="External"/><Relationship Id="rId19" Type="http://schemas.openxmlformats.org/officeDocument/2006/relationships/hyperlink" Target="http://fy261ap05:pass@10.124.0.17:11002" TargetMode="External"/><Relationship Id="rId510" Type="http://schemas.openxmlformats.org/officeDocument/2006/relationships/hyperlink" Target="http://RPRT261:pass@10.124.0.17:11002" TargetMode="External"/><Relationship Id="rId631" Type="http://schemas.openxmlformats.org/officeDocument/2006/relationships/hyperlink" Target="http://GKOPVS289:pass@10.124.0.17:11002" TargetMode="External"/><Relationship Id="rId18" Type="http://schemas.openxmlformats.org/officeDocument/2006/relationships/hyperlink" Target="http://F560HAP01:pass@10.124.0.42:11002" TargetMode="External"/><Relationship Id="rId630" Type="http://schemas.openxmlformats.org/officeDocument/2006/relationships/hyperlink" Target="http://MUMPRS311:pass@10.124.0.17:11002" TargetMode="External"/><Relationship Id="rId84" Type="http://schemas.openxmlformats.org/officeDocument/2006/relationships/hyperlink" Target="http://fy261ap09:pass@10.124.0.24:11002" TargetMode="External"/><Relationship Id="rId83" Type="http://schemas.openxmlformats.org/officeDocument/2006/relationships/hyperlink" Target="http://F560HAP01:pass@10.124.0.42:11002" TargetMode="External"/><Relationship Id="rId86" Type="http://schemas.openxmlformats.org/officeDocument/2006/relationships/hyperlink" Target="http://fy261ap06:pass@10.124.0.17:11002" TargetMode="External"/><Relationship Id="rId85" Type="http://schemas.openxmlformats.org/officeDocument/2006/relationships/hyperlink" Target="http://fy261ap01:pass@10.124.0.42:11002" TargetMode="External"/><Relationship Id="rId88" Type="http://schemas.openxmlformats.org/officeDocument/2006/relationships/hyperlink" Target="http://fy261ap10:pass@10.124.0.102:11002" TargetMode="External"/><Relationship Id="rId87" Type="http://schemas.openxmlformats.org/officeDocument/2006/relationships/hyperlink" Target="http://fy261ap06:pass@10.124.0.17:11002" TargetMode="External"/><Relationship Id="rId89" Type="http://schemas.openxmlformats.org/officeDocument/2006/relationships/hyperlink" Target="http://F560HAP01:pass@10.124.0.42:11002" TargetMode="External"/><Relationship Id="rId80" Type="http://schemas.openxmlformats.org/officeDocument/2006/relationships/hyperlink" Target="http://fy261ap05:pass@10.124.0.17:11002" TargetMode="External"/><Relationship Id="rId82" Type="http://schemas.openxmlformats.org/officeDocument/2006/relationships/hyperlink" Target="http://F560HAP01:pass@10.124.0.42:11002" TargetMode="External"/><Relationship Id="rId81" Type="http://schemas.openxmlformats.org/officeDocument/2006/relationships/hyperlink" Target="http://fy261ap09:pass@10.124.0.24:11002" TargetMode="External"/><Relationship Id="rId73" Type="http://schemas.openxmlformats.org/officeDocument/2006/relationships/hyperlink" Target="http://fy261ap10:pass@10.124.0.102:11002" TargetMode="External"/><Relationship Id="rId72" Type="http://schemas.openxmlformats.org/officeDocument/2006/relationships/hyperlink" Target="http://F560HAP01:pass@10.124.0.42:11002" TargetMode="External"/><Relationship Id="rId75" Type="http://schemas.openxmlformats.org/officeDocument/2006/relationships/hyperlink" Target="http://fy261ap06:pass@10.124.0.17:11002" TargetMode="External"/><Relationship Id="rId74" Type="http://schemas.openxmlformats.org/officeDocument/2006/relationships/hyperlink" Target="http://fy261ap05:pass@10.124.0.17:11002" TargetMode="External"/><Relationship Id="rId77" Type="http://schemas.openxmlformats.org/officeDocument/2006/relationships/hyperlink" Target="http://F560HAP01:pass@10.124.0.42:11002" TargetMode="External"/><Relationship Id="rId76" Type="http://schemas.openxmlformats.org/officeDocument/2006/relationships/hyperlink" Target="http://F560HAP01:pass@10.124.0.42:11002" TargetMode="External"/><Relationship Id="rId79" Type="http://schemas.openxmlformats.org/officeDocument/2006/relationships/hyperlink" Target="http://F560HAP01:pass@10.124.0.42:11002" TargetMode="External"/><Relationship Id="rId78" Type="http://schemas.openxmlformats.org/officeDocument/2006/relationships/hyperlink" Target="http://F560HAP01:pass@10.124.0.42:11002" TargetMode="External"/><Relationship Id="rId71" Type="http://schemas.openxmlformats.org/officeDocument/2006/relationships/hyperlink" Target="http://F560HAP01:pass@10.124.0.42:11002" TargetMode="External"/><Relationship Id="rId70" Type="http://schemas.openxmlformats.org/officeDocument/2006/relationships/hyperlink" Target="http://F560HAP01:pass@10.124.0.42:11002" TargetMode="External"/><Relationship Id="rId62" Type="http://schemas.openxmlformats.org/officeDocument/2006/relationships/hyperlink" Target="http://fy261ap06:pass@10.124.0.17:11002" TargetMode="External"/><Relationship Id="rId61" Type="http://schemas.openxmlformats.org/officeDocument/2006/relationships/hyperlink" Target="http://fy261ap05:pass@10.124.0.17:11002" TargetMode="External"/><Relationship Id="rId64" Type="http://schemas.openxmlformats.org/officeDocument/2006/relationships/hyperlink" Target="http://F560HAP01:pass@10.124.0.42:11002" TargetMode="External"/><Relationship Id="rId63" Type="http://schemas.openxmlformats.org/officeDocument/2006/relationships/hyperlink" Target="http://F560HAP01:pass@10.124.0.42:11002" TargetMode="External"/><Relationship Id="rId66" Type="http://schemas.openxmlformats.org/officeDocument/2006/relationships/hyperlink" Target="http://fy261ap09:pass@10.124.0.24:11002" TargetMode="External"/><Relationship Id="rId65" Type="http://schemas.openxmlformats.org/officeDocument/2006/relationships/hyperlink" Target="http://F560HAP01:pass@10.124.0.42:11002" TargetMode="External"/><Relationship Id="rId68" Type="http://schemas.openxmlformats.org/officeDocument/2006/relationships/hyperlink" Target="http://F560HAP01:pass@10.124.0.42:11002" TargetMode="External"/><Relationship Id="rId67" Type="http://schemas.openxmlformats.org/officeDocument/2006/relationships/hyperlink" Target="http://fy261ap08:pass@10.124.0.24:11002" TargetMode="External"/><Relationship Id="rId609" Type="http://schemas.openxmlformats.org/officeDocument/2006/relationships/hyperlink" Target="http://49.249.181.146:9002/" TargetMode="External"/><Relationship Id="rId608" Type="http://schemas.openxmlformats.org/officeDocument/2006/relationships/hyperlink" Target="http://49.249.181.146:9002/" TargetMode="External"/><Relationship Id="rId607" Type="http://schemas.openxmlformats.org/officeDocument/2006/relationships/hyperlink" Target="http://49.249.181.146:9002/" TargetMode="External"/><Relationship Id="rId60" Type="http://schemas.openxmlformats.org/officeDocument/2006/relationships/hyperlink" Target="http://fy261ap05:pass@10.124.0.17:11002" TargetMode="External"/><Relationship Id="rId602" Type="http://schemas.openxmlformats.org/officeDocument/2006/relationships/hyperlink" Target="http://49.249.181.146:9002/" TargetMode="External"/><Relationship Id="rId601" Type="http://schemas.openxmlformats.org/officeDocument/2006/relationships/hyperlink" Target="http://49.249.181.146:9002/" TargetMode="External"/><Relationship Id="rId600" Type="http://schemas.openxmlformats.org/officeDocument/2006/relationships/hyperlink" Target="http://49.249.181.146:9002/" TargetMode="External"/><Relationship Id="rId606" Type="http://schemas.openxmlformats.org/officeDocument/2006/relationships/hyperlink" Target="http://49.249.181.146:9002/" TargetMode="External"/><Relationship Id="rId605" Type="http://schemas.openxmlformats.org/officeDocument/2006/relationships/hyperlink" Target="http://49.249.181.146:9002/" TargetMode="External"/><Relationship Id="rId604" Type="http://schemas.openxmlformats.org/officeDocument/2006/relationships/hyperlink" Target="http://49.249.181.146:9002/" TargetMode="External"/><Relationship Id="rId603" Type="http://schemas.openxmlformats.org/officeDocument/2006/relationships/hyperlink" Target="http://49.249.181.146:9002/" TargetMode="External"/><Relationship Id="rId69" Type="http://schemas.openxmlformats.org/officeDocument/2006/relationships/hyperlink" Target="http://fy261ap06:pass@10.124.0.17:11002" TargetMode="External"/><Relationship Id="rId51" Type="http://schemas.openxmlformats.org/officeDocument/2006/relationships/hyperlink" Target="http://fy261ap05:pass@10.124.0.17:11002" TargetMode="External"/><Relationship Id="rId50" Type="http://schemas.openxmlformats.org/officeDocument/2006/relationships/hyperlink" Target="http://F560HAP01:pass@10.124.0.42:11002" TargetMode="External"/><Relationship Id="rId53" Type="http://schemas.openxmlformats.org/officeDocument/2006/relationships/hyperlink" Target="http://fy261ap09:pass@10.124.0.24:11002" TargetMode="External"/><Relationship Id="rId52" Type="http://schemas.openxmlformats.org/officeDocument/2006/relationships/hyperlink" Target="http://fy261ap06:pass@10.124.0.17:11002" TargetMode="External"/><Relationship Id="rId55" Type="http://schemas.openxmlformats.org/officeDocument/2006/relationships/hyperlink" Target="http://fy261ap06:pass@10.124.0.17:11002" TargetMode="External"/><Relationship Id="rId54" Type="http://schemas.openxmlformats.org/officeDocument/2006/relationships/hyperlink" Target="http://fy261ap10:pass@10.124.0.102:11002" TargetMode="External"/><Relationship Id="rId57" Type="http://schemas.openxmlformats.org/officeDocument/2006/relationships/hyperlink" Target="http://fy261ap06:pass@10.124.0.17:11002" TargetMode="External"/><Relationship Id="rId56" Type="http://schemas.openxmlformats.org/officeDocument/2006/relationships/hyperlink" Target="http://F560HAP01:pass@10.124.0.42:11002" TargetMode="External"/><Relationship Id="rId59" Type="http://schemas.openxmlformats.org/officeDocument/2006/relationships/hyperlink" Target="http://F560HAP01:pass@10.124.0.42:11002" TargetMode="External"/><Relationship Id="rId58" Type="http://schemas.openxmlformats.org/officeDocument/2006/relationships/hyperlink" Target="http://fy261ap01:pass@10.124.0.42:11002" TargetMode="External"/><Relationship Id="rId590" Type="http://schemas.openxmlformats.org/officeDocument/2006/relationships/hyperlink" Target="http://LT5:pass@10.124.0.24:11002" TargetMode="External"/><Relationship Id="rId107" Type="http://schemas.openxmlformats.org/officeDocument/2006/relationships/hyperlink" Target="http://F560HAP03:pass@10.124.0.24:11002" TargetMode="External"/><Relationship Id="rId228" Type="http://schemas.openxmlformats.org/officeDocument/2006/relationships/hyperlink" Target="http://fy261ap01:pass@10.124.0.42:11002" TargetMode="External"/><Relationship Id="rId349" Type="http://schemas.openxmlformats.org/officeDocument/2006/relationships/hyperlink" Target="http://fy261ap06:pass@10.124.0.17:11002" TargetMode="External"/><Relationship Id="rId106" Type="http://schemas.openxmlformats.org/officeDocument/2006/relationships/hyperlink" Target="http://fy261ap11:pass@10.124.0.102:11002" TargetMode="External"/><Relationship Id="rId227" Type="http://schemas.openxmlformats.org/officeDocument/2006/relationships/hyperlink" Target="http://colo.srellp.com:9010/" TargetMode="External"/><Relationship Id="rId348" Type="http://schemas.openxmlformats.org/officeDocument/2006/relationships/hyperlink" Target="http://xts1.srellp.com:9005/" TargetMode="External"/><Relationship Id="rId469" Type="http://schemas.openxmlformats.org/officeDocument/2006/relationships/hyperlink" Target="http://fy261ap10:pass@10.124.0.102:11002" TargetMode="External"/><Relationship Id="rId105" Type="http://schemas.openxmlformats.org/officeDocument/2006/relationships/hyperlink" Target="http://F560HAP01:pass@10.124.0.42:11002" TargetMode="External"/><Relationship Id="rId226" Type="http://schemas.openxmlformats.org/officeDocument/2006/relationships/hyperlink" Target="http://F560HAP01:pass@10.124.0.42:11002" TargetMode="External"/><Relationship Id="rId347" Type="http://schemas.openxmlformats.org/officeDocument/2006/relationships/hyperlink" Target="http://fy261ap01:pass@10.124.0.42:11002" TargetMode="External"/><Relationship Id="rId468" Type="http://schemas.openxmlformats.org/officeDocument/2006/relationships/hyperlink" Target="http://fy261ap05:pass@10.124.0.17:11002" TargetMode="External"/><Relationship Id="rId589" Type="http://schemas.openxmlformats.org/officeDocument/2006/relationships/hyperlink" Target="http://49.249.181.146:9002/" TargetMode="External"/><Relationship Id="rId104" Type="http://schemas.openxmlformats.org/officeDocument/2006/relationships/hyperlink" Target="http://fy261ap01:pass@10.124.0.42:11002" TargetMode="External"/><Relationship Id="rId225" Type="http://schemas.openxmlformats.org/officeDocument/2006/relationships/hyperlink" Target="http://colo.srellp.com:9004/" TargetMode="External"/><Relationship Id="rId346" Type="http://schemas.openxmlformats.org/officeDocument/2006/relationships/hyperlink" Target="http://GT5:pass@10.124.0.42:11002" TargetMode="External"/><Relationship Id="rId467" Type="http://schemas.openxmlformats.org/officeDocument/2006/relationships/hyperlink" Target="http://fy261ap10:pass@10.124.0.102:11002" TargetMode="External"/><Relationship Id="rId588" Type="http://schemas.openxmlformats.org/officeDocument/2006/relationships/hyperlink" Target="http://49.249.181.146:9002/" TargetMode="External"/><Relationship Id="rId109" Type="http://schemas.openxmlformats.org/officeDocument/2006/relationships/hyperlink" Target="http://fy261ap07:pass@10.124.0.17:11002" TargetMode="External"/><Relationship Id="rId108" Type="http://schemas.openxmlformats.org/officeDocument/2006/relationships/hyperlink" Target="http://fy261ap05:pass@10.124.0.17:11002" TargetMode="External"/><Relationship Id="rId229" Type="http://schemas.openxmlformats.org/officeDocument/2006/relationships/hyperlink" Target="http://fy261ap10:pass@10.124.0.102:11002" TargetMode="External"/><Relationship Id="rId220" Type="http://schemas.openxmlformats.org/officeDocument/2006/relationships/hyperlink" Target="http://fy261ap05:pass@10.124.0.17:11002" TargetMode="External"/><Relationship Id="rId341" Type="http://schemas.openxmlformats.org/officeDocument/2006/relationships/hyperlink" Target="http://GT5:pass@10.124.0.42:11002" TargetMode="External"/><Relationship Id="rId462" Type="http://schemas.openxmlformats.org/officeDocument/2006/relationships/hyperlink" Target="http://fy261ap10:pass@10.124.0.102:11002" TargetMode="External"/><Relationship Id="rId583" Type="http://schemas.openxmlformats.org/officeDocument/2006/relationships/hyperlink" Target="http://LT5:pass@10.124.0.24:11002" TargetMode="External"/><Relationship Id="rId340" Type="http://schemas.openxmlformats.org/officeDocument/2006/relationships/hyperlink" Target="http://122.176.166.42:11004/" TargetMode="External"/><Relationship Id="rId461" Type="http://schemas.openxmlformats.org/officeDocument/2006/relationships/hyperlink" Target="http://LT5:pass@10.124.0.24:11002" TargetMode="External"/><Relationship Id="rId582" Type="http://schemas.openxmlformats.org/officeDocument/2006/relationships/hyperlink" Target="http://LT5:pass@10.124.0.24:11002" TargetMode="External"/><Relationship Id="rId460" Type="http://schemas.openxmlformats.org/officeDocument/2006/relationships/hyperlink" Target="http://fy261ap01:pass@10.124.0.42:11002" TargetMode="External"/><Relationship Id="rId581" Type="http://schemas.openxmlformats.org/officeDocument/2006/relationships/hyperlink" Target="http://LT5:pass@10.124.0.24:11002" TargetMode="External"/><Relationship Id="rId580" Type="http://schemas.openxmlformats.org/officeDocument/2006/relationships/hyperlink" Target="http://LT5:pass@10.124.0.24:11002" TargetMode="External"/><Relationship Id="rId103" Type="http://schemas.openxmlformats.org/officeDocument/2006/relationships/hyperlink" Target="http://F560HAP01:pass@10.124.0.42:11002" TargetMode="External"/><Relationship Id="rId224" Type="http://schemas.openxmlformats.org/officeDocument/2006/relationships/hyperlink" Target="http://fy261ap09:pass@10.124.0.24:11002" TargetMode="External"/><Relationship Id="rId345" Type="http://schemas.openxmlformats.org/officeDocument/2006/relationships/hyperlink" Target="http://GT5:pass@10.124.0.42:11002" TargetMode="External"/><Relationship Id="rId466" Type="http://schemas.openxmlformats.org/officeDocument/2006/relationships/hyperlink" Target="http://fy261ap09:pass@10.124.0.24:11002" TargetMode="External"/><Relationship Id="rId587" Type="http://schemas.openxmlformats.org/officeDocument/2006/relationships/hyperlink" Target="http://GT5:pass@10.124.0.42:11002" TargetMode="External"/><Relationship Id="rId102" Type="http://schemas.openxmlformats.org/officeDocument/2006/relationships/hyperlink" Target="http://fy261ap08:pass@10.124.0.24:11002" TargetMode="External"/><Relationship Id="rId223" Type="http://schemas.openxmlformats.org/officeDocument/2006/relationships/hyperlink" Target="http://fy261ap05:pass@10.124.0.17:11002" TargetMode="External"/><Relationship Id="rId344" Type="http://schemas.openxmlformats.org/officeDocument/2006/relationships/hyperlink" Target="http://GT5:pass@10.124.0.42:11002" TargetMode="External"/><Relationship Id="rId465" Type="http://schemas.openxmlformats.org/officeDocument/2006/relationships/hyperlink" Target="http://fy261ap01:pass@10.124.0.42:11002" TargetMode="External"/><Relationship Id="rId586" Type="http://schemas.openxmlformats.org/officeDocument/2006/relationships/hyperlink" Target="http://GT5:pass@10.124.0.42:11002" TargetMode="External"/><Relationship Id="rId101" Type="http://schemas.openxmlformats.org/officeDocument/2006/relationships/hyperlink" Target="http://F560HAP01:pass@10.124.0.42:11002" TargetMode="External"/><Relationship Id="rId222" Type="http://schemas.openxmlformats.org/officeDocument/2006/relationships/hyperlink" Target="http://F560HAP01:pass@10.124.0.42:11002" TargetMode="External"/><Relationship Id="rId343" Type="http://schemas.openxmlformats.org/officeDocument/2006/relationships/hyperlink" Target="http://GT5:pass@10.124.0.42:11002" TargetMode="External"/><Relationship Id="rId464" Type="http://schemas.openxmlformats.org/officeDocument/2006/relationships/hyperlink" Target="http://fy261ap08:pass@10.124.0.24:11002" TargetMode="External"/><Relationship Id="rId585" Type="http://schemas.openxmlformats.org/officeDocument/2006/relationships/hyperlink" Target="http://LT5:pass@10.124.0.24:11002" TargetMode="External"/><Relationship Id="rId100" Type="http://schemas.openxmlformats.org/officeDocument/2006/relationships/hyperlink" Target="http://F560HAP01:pass@10.124.0.42:11002" TargetMode="External"/><Relationship Id="rId221" Type="http://schemas.openxmlformats.org/officeDocument/2006/relationships/hyperlink" Target="http://xts1.srellp.com:9005/" TargetMode="External"/><Relationship Id="rId342" Type="http://schemas.openxmlformats.org/officeDocument/2006/relationships/hyperlink" Target="http://fy261ap09:pass@10.124.0.24:11002" TargetMode="External"/><Relationship Id="rId463" Type="http://schemas.openxmlformats.org/officeDocument/2006/relationships/hyperlink" Target="http://fy261ap05:pass@10.124.0.17:11002" TargetMode="External"/><Relationship Id="rId584" Type="http://schemas.openxmlformats.org/officeDocument/2006/relationships/hyperlink" Target="http://LT5:pass@10.124.0.24:11002" TargetMode="External"/><Relationship Id="rId217" Type="http://schemas.openxmlformats.org/officeDocument/2006/relationships/hyperlink" Target="http://115.247.146.146:9002/" TargetMode="External"/><Relationship Id="rId338" Type="http://schemas.openxmlformats.org/officeDocument/2006/relationships/hyperlink" Target="http://fy261ap07:pass@10.124.0.17:11002" TargetMode="External"/><Relationship Id="rId459" Type="http://schemas.openxmlformats.org/officeDocument/2006/relationships/hyperlink" Target="http://fy261ap01:pass@10.124.0.42:11002" TargetMode="External"/><Relationship Id="rId216" Type="http://schemas.openxmlformats.org/officeDocument/2006/relationships/hyperlink" Target="http://fy261ap07:pass@10.124.0.17:11002" TargetMode="External"/><Relationship Id="rId337" Type="http://schemas.openxmlformats.org/officeDocument/2006/relationships/hyperlink" Target="http://gdlf2s116:pass@10.124.0.17:11002" TargetMode="External"/><Relationship Id="rId458" Type="http://schemas.openxmlformats.org/officeDocument/2006/relationships/hyperlink" Target="http://fy261ap01:pass@10.124.0.42:11002" TargetMode="External"/><Relationship Id="rId579" Type="http://schemas.openxmlformats.org/officeDocument/2006/relationships/hyperlink" Target="http://LT5:pass@10.124.0.24:11002" TargetMode="External"/><Relationship Id="rId215" Type="http://schemas.openxmlformats.org/officeDocument/2006/relationships/hyperlink" Target="http://fy261ap01:pass@10.124.0.42:11002" TargetMode="External"/><Relationship Id="rId336" Type="http://schemas.openxmlformats.org/officeDocument/2006/relationships/hyperlink" Target="http://xts1.srellp.com:9007/" TargetMode="External"/><Relationship Id="rId457" Type="http://schemas.openxmlformats.org/officeDocument/2006/relationships/hyperlink" Target="http://fy261ap01:pass@10.124.0.42:11002" TargetMode="External"/><Relationship Id="rId578" Type="http://schemas.openxmlformats.org/officeDocument/2006/relationships/hyperlink" Target="http://LT5:pass@10.124.0.24:11002" TargetMode="External"/><Relationship Id="rId214" Type="http://schemas.openxmlformats.org/officeDocument/2006/relationships/hyperlink" Target="http://fy261ap07:pass@10.124.0.17:11002" TargetMode="External"/><Relationship Id="rId335" Type="http://schemas.openxmlformats.org/officeDocument/2006/relationships/hyperlink" Target="http://xts1.srellp.com:9001/" TargetMode="External"/><Relationship Id="rId456" Type="http://schemas.openxmlformats.org/officeDocument/2006/relationships/hyperlink" Target="http://fy261ap09:pass@10.124.0.24:11002" TargetMode="External"/><Relationship Id="rId577" Type="http://schemas.openxmlformats.org/officeDocument/2006/relationships/hyperlink" Target="http://GT5:pass@10.124.0.42:11002" TargetMode="External"/><Relationship Id="rId219" Type="http://schemas.openxmlformats.org/officeDocument/2006/relationships/hyperlink" Target="http://LT5:pass@10.124.0.24:11002" TargetMode="External"/><Relationship Id="rId218" Type="http://schemas.openxmlformats.org/officeDocument/2006/relationships/hyperlink" Target="http://xts1.srellp.com:9007/" TargetMode="External"/><Relationship Id="rId339" Type="http://schemas.openxmlformats.org/officeDocument/2006/relationships/hyperlink" Target="http://PCHNA531:pass@10.124.0.17:11002" TargetMode="External"/><Relationship Id="rId330" Type="http://schemas.openxmlformats.org/officeDocument/2006/relationships/hyperlink" Target="http://49.249.181.146:9002/" TargetMode="External"/><Relationship Id="rId451" Type="http://schemas.openxmlformats.org/officeDocument/2006/relationships/hyperlink" Target="http://fy261ap11:pass@10.124.0.102:11002" TargetMode="External"/><Relationship Id="rId572" Type="http://schemas.openxmlformats.org/officeDocument/2006/relationships/hyperlink" Target="http://fy261ap01:pass@10.124.0.42:11002" TargetMode="External"/><Relationship Id="rId450" Type="http://schemas.openxmlformats.org/officeDocument/2006/relationships/hyperlink" Target="http://F560HAP01:pass@10.124.0.42:11002" TargetMode="External"/><Relationship Id="rId571" Type="http://schemas.openxmlformats.org/officeDocument/2006/relationships/hyperlink" Target="http://fy261ap10:pass@10.124.0.102:11002" TargetMode="External"/><Relationship Id="rId570" Type="http://schemas.openxmlformats.org/officeDocument/2006/relationships/hyperlink" Target="http://fy261ap08:pass@10.124.0.24:11002" TargetMode="External"/><Relationship Id="rId213" Type="http://schemas.openxmlformats.org/officeDocument/2006/relationships/hyperlink" Target="http://fy261ap07:pass@10.124.0.17:11002" TargetMode="External"/><Relationship Id="rId334" Type="http://schemas.openxmlformats.org/officeDocument/2006/relationships/hyperlink" Target="http://xts1.srellp.com:9011/" TargetMode="External"/><Relationship Id="rId455" Type="http://schemas.openxmlformats.org/officeDocument/2006/relationships/hyperlink" Target="http://fy261ap10:pass@10.124.0.102:11002" TargetMode="External"/><Relationship Id="rId576" Type="http://schemas.openxmlformats.org/officeDocument/2006/relationships/hyperlink" Target="http://GDLF1A130:pass@10.124.0.17:11002" TargetMode="External"/><Relationship Id="rId212" Type="http://schemas.openxmlformats.org/officeDocument/2006/relationships/hyperlink" Target="http://fy261ap01:pass@10.124.0.42:11002" TargetMode="External"/><Relationship Id="rId333" Type="http://schemas.openxmlformats.org/officeDocument/2006/relationships/hyperlink" Target="http://xts1.srellp.com:9010/" TargetMode="External"/><Relationship Id="rId454" Type="http://schemas.openxmlformats.org/officeDocument/2006/relationships/hyperlink" Target="http://fy261ap05:pass@10.124.0.17:11002" TargetMode="External"/><Relationship Id="rId575" Type="http://schemas.openxmlformats.org/officeDocument/2006/relationships/hyperlink" Target="http://GNPS636:pass@10.124.0.17:11002" TargetMode="External"/><Relationship Id="rId211" Type="http://schemas.openxmlformats.org/officeDocument/2006/relationships/hyperlink" Target="http://fy261ap08:pass@10.124.0.24:11002" TargetMode="External"/><Relationship Id="rId332" Type="http://schemas.openxmlformats.org/officeDocument/2006/relationships/hyperlink" Target="http://fy261ap09:pass@10.124.0.24:11002" TargetMode="External"/><Relationship Id="rId453" Type="http://schemas.openxmlformats.org/officeDocument/2006/relationships/hyperlink" Target="http://fy261ap09:pass@10.124.0.24:11002" TargetMode="External"/><Relationship Id="rId574" Type="http://schemas.openxmlformats.org/officeDocument/2006/relationships/hyperlink" Target="http://PCDD4N108:pass@10.124.0.17:11002" TargetMode="External"/><Relationship Id="rId210" Type="http://schemas.openxmlformats.org/officeDocument/2006/relationships/hyperlink" Target="http://fy261ap09:pass@10.124.0.24:11002" TargetMode="External"/><Relationship Id="rId331" Type="http://schemas.openxmlformats.org/officeDocument/2006/relationships/hyperlink" Target="http://fy261ap05:pass@10.124.0.17:11002" TargetMode="External"/><Relationship Id="rId452" Type="http://schemas.openxmlformats.org/officeDocument/2006/relationships/hyperlink" Target="http://fy261ap01:pass@10.124.0.42:11002" TargetMode="External"/><Relationship Id="rId573" Type="http://schemas.openxmlformats.org/officeDocument/2006/relationships/hyperlink" Target="http://fy261ap05:pass@10.124.0.17:11002" TargetMode="External"/><Relationship Id="rId370" Type="http://schemas.openxmlformats.org/officeDocument/2006/relationships/hyperlink" Target="http://fy261ap06:pass@10.124.0.17:11002" TargetMode="External"/><Relationship Id="rId491" Type="http://schemas.openxmlformats.org/officeDocument/2006/relationships/hyperlink" Target="http://fy261ap05:pass@10.124.0.17:11002" TargetMode="External"/><Relationship Id="rId490" Type="http://schemas.openxmlformats.org/officeDocument/2006/relationships/hyperlink" Target="http://fy261ap05:pass@10.124.0.17:11002" TargetMode="External"/><Relationship Id="rId129" Type="http://schemas.openxmlformats.org/officeDocument/2006/relationships/hyperlink" Target="http://fy261ap01:pass@10.124.0.42:11002" TargetMode="External"/><Relationship Id="rId128" Type="http://schemas.openxmlformats.org/officeDocument/2006/relationships/hyperlink" Target="http://fy261ap08:pass@10.124.0.24:11002" TargetMode="External"/><Relationship Id="rId249" Type="http://schemas.openxmlformats.org/officeDocument/2006/relationships/hyperlink" Target="http://fy261ap05:pass@10.124.0.17:11002" TargetMode="External"/><Relationship Id="rId127" Type="http://schemas.openxmlformats.org/officeDocument/2006/relationships/hyperlink" Target="http://F560HAP01:pass@10.124.0.42:11002" TargetMode="External"/><Relationship Id="rId248" Type="http://schemas.openxmlformats.org/officeDocument/2006/relationships/hyperlink" Target="http://fy261ap06:pass@10.124.0.17:11002" TargetMode="External"/><Relationship Id="rId369" Type="http://schemas.openxmlformats.org/officeDocument/2006/relationships/hyperlink" Target="http://fy261ap06:pass@10.124.0.17:11002" TargetMode="External"/><Relationship Id="rId126" Type="http://schemas.openxmlformats.org/officeDocument/2006/relationships/hyperlink" Target="http://fy261ap09:pass@10.124.0.24:11002" TargetMode="External"/><Relationship Id="rId247" Type="http://schemas.openxmlformats.org/officeDocument/2006/relationships/hyperlink" Target="http://fy261ap01:pass@10.124.0.42:11002" TargetMode="External"/><Relationship Id="rId368" Type="http://schemas.openxmlformats.org/officeDocument/2006/relationships/hyperlink" Target="http://fy261ap07:pass@10.124.0.17:11002" TargetMode="External"/><Relationship Id="rId489" Type="http://schemas.openxmlformats.org/officeDocument/2006/relationships/hyperlink" Target="http://fy261ap10:pass@10.124.0.102:11002" TargetMode="External"/><Relationship Id="rId121" Type="http://schemas.openxmlformats.org/officeDocument/2006/relationships/hyperlink" Target="http://fy261ap09:pass@10.124.0.24:11002" TargetMode="External"/><Relationship Id="rId242" Type="http://schemas.openxmlformats.org/officeDocument/2006/relationships/hyperlink" Target="http://colo.srellp.com:9005/" TargetMode="External"/><Relationship Id="rId363" Type="http://schemas.openxmlformats.org/officeDocument/2006/relationships/hyperlink" Target="http://fy261ap07:pass@10.124.0.17:11002" TargetMode="External"/><Relationship Id="rId484" Type="http://schemas.openxmlformats.org/officeDocument/2006/relationships/hyperlink" Target="http://fy261ap05:pass@10.124.0.17:11002" TargetMode="External"/><Relationship Id="rId120" Type="http://schemas.openxmlformats.org/officeDocument/2006/relationships/hyperlink" Target="http://fy261ap05:pass@10.124.0.17:11002" TargetMode="External"/><Relationship Id="rId241" Type="http://schemas.openxmlformats.org/officeDocument/2006/relationships/hyperlink" Target="http://fy261ap06:pass@10.124.0.17:11002" TargetMode="External"/><Relationship Id="rId362" Type="http://schemas.openxmlformats.org/officeDocument/2006/relationships/hyperlink" Target="http://49.249.181.146:9002/" TargetMode="External"/><Relationship Id="rId483" Type="http://schemas.openxmlformats.org/officeDocument/2006/relationships/hyperlink" Target="http://fy261ap05:pass@10.124.0.17:11002" TargetMode="External"/><Relationship Id="rId240" Type="http://schemas.openxmlformats.org/officeDocument/2006/relationships/hyperlink" Target="http://fy261ap09:pass@10.124.0.24:11002" TargetMode="External"/><Relationship Id="rId361" Type="http://schemas.openxmlformats.org/officeDocument/2006/relationships/hyperlink" Target="http://49.249.181.146:9002/" TargetMode="External"/><Relationship Id="rId482" Type="http://schemas.openxmlformats.org/officeDocument/2006/relationships/hyperlink" Target="http://fy261ap09:pass@10.124.0.24:11002" TargetMode="External"/><Relationship Id="rId360" Type="http://schemas.openxmlformats.org/officeDocument/2006/relationships/hyperlink" Target="http://fy261ap10:pass@10.124.0.102:11002" TargetMode="External"/><Relationship Id="rId481" Type="http://schemas.openxmlformats.org/officeDocument/2006/relationships/hyperlink" Target="http://fy261ap08:pass@10.124.0.24:11002" TargetMode="External"/><Relationship Id="rId125" Type="http://schemas.openxmlformats.org/officeDocument/2006/relationships/hyperlink" Target="http://fy261ap06:pass@10.124.0.17:11002" TargetMode="External"/><Relationship Id="rId246" Type="http://schemas.openxmlformats.org/officeDocument/2006/relationships/hyperlink" Target="http://fy261ap09:pass@10.124.0.24:11002" TargetMode="External"/><Relationship Id="rId367" Type="http://schemas.openxmlformats.org/officeDocument/2006/relationships/hyperlink" Target="http://fy261ap07:pass@10.124.0.17:11002" TargetMode="External"/><Relationship Id="rId488" Type="http://schemas.openxmlformats.org/officeDocument/2006/relationships/hyperlink" Target="http://fy261ap07:pass@10.124.0.17:11002" TargetMode="External"/><Relationship Id="rId124" Type="http://schemas.openxmlformats.org/officeDocument/2006/relationships/hyperlink" Target="http://fy261ap07:pass@10.124.0.17:11002" TargetMode="External"/><Relationship Id="rId245" Type="http://schemas.openxmlformats.org/officeDocument/2006/relationships/hyperlink" Target="http://fy261ap07:pass@10.124.0.17:11002" TargetMode="External"/><Relationship Id="rId366" Type="http://schemas.openxmlformats.org/officeDocument/2006/relationships/hyperlink" Target="http://fy261ap07:pass@10.124.0.17:11002" TargetMode="External"/><Relationship Id="rId487" Type="http://schemas.openxmlformats.org/officeDocument/2006/relationships/hyperlink" Target="http://fy261ap08:pass@10.124.0.24:11002" TargetMode="External"/><Relationship Id="rId123" Type="http://schemas.openxmlformats.org/officeDocument/2006/relationships/hyperlink" Target="http://fy261ap09:pass@10.124.0.24:11002" TargetMode="External"/><Relationship Id="rId244" Type="http://schemas.openxmlformats.org/officeDocument/2006/relationships/hyperlink" Target="http://fy261ap09:pass@10.124.0.24:11002" TargetMode="External"/><Relationship Id="rId365" Type="http://schemas.openxmlformats.org/officeDocument/2006/relationships/hyperlink" Target="http://fy261ap07:pass@10.124.0.17:11002" TargetMode="External"/><Relationship Id="rId486" Type="http://schemas.openxmlformats.org/officeDocument/2006/relationships/hyperlink" Target="http://fy261ap08:pass@10.124.0.24:11002" TargetMode="External"/><Relationship Id="rId122" Type="http://schemas.openxmlformats.org/officeDocument/2006/relationships/hyperlink" Target="http://fy261ap01:pass@10.124.0.42:11002" TargetMode="External"/><Relationship Id="rId243" Type="http://schemas.openxmlformats.org/officeDocument/2006/relationships/hyperlink" Target="http://fy261ap05:pass@10.124.0.17:11002" TargetMode="External"/><Relationship Id="rId364" Type="http://schemas.openxmlformats.org/officeDocument/2006/relationships/hyperlink" Target="http://fy261ap06:pass@10.124.0.17:11002" TargetMode="External"/><Relationship Id="rId485" Type="http://schemas.openxmlformats.org/officeDocument/2006/relationships/hyperlink" Target="http://fy261ap01:pass@10.124.0.42:11002" TargetMode="External"/><Relationship Id="rId95" Type="http://schemas.openxmlformats.org/officeDocument/2006/relationships/hyperlink" Target="http://F560HAP01:pass@10.124.0.42:11002" TargetMode="External"/><Relationship Id="rId94" Type="http://schemas.openxmlformats.org/officeDocument/2006/relationships/hyperlink" Target="http://fy261ap01:pass@10.124.0.42:11002" TargetMode="External"/><Relationship Id="rId97" Type="http://schemas.openxmlformats.org/officeDocument/2006/relationships/hyperlink" Target="http://fy261ap08:pass@10.124.0.24:11002" TargetMode="External"/><Relationship Id="rId96" Type="http://schemas.openxmlformats.org/officeDocument/2006/relationships/hyperlink" Target="http://fy261ap05:pass@10.124.0.17:11002" TargetMode="External"/><Relationship Id="rId99" Type="http://schemas.openxmlformats.org/officeDocument/2006/relationships/hyperlink" Target="http://fy261ap06:pass@10.124.0.17:11002" TargetMode="External"/><Relationship Id="rId480" Type="http://schemas.openxmlformats.org/officeDocument/2006/relationships/hyperlink" Target="http://fy261ap08:pass@10.124.0.24:11002" TargetMode="External"/><Relationship Id="rId98" Type="http://schemas.openxmlformats.org/officeDocument/2006/relationships/hyperlink" Target="http://fy261ap08:pass@10.124.0.24:11002" TargetMode="External"/><Relationship Id="rId91" Type="http://schemas.openxmlformats.org/officeDocument/2006/relationships/hyperlink" Target="http://fy261ap01:pass@10.124.0.42:11002" TargetMode="External"/><Relationship Id="rId90" Type="http://schemas.openxmlformats.org/officeDocument/2006/relationships/hyperlink" Target="http://fy261ap07:pass@10.124.0.17:11002" TargetMode="External"/><Relationship Id="rId93" Type="http://schemas.openxmlformats.org/officeDocument/2006/relationships/hyperlink" Target="http://F560HAP01:pass@10.124.0.42:11002" TargetMode="External"/><Relationship Id="rId92" Type="http://schemas.openxmlformats.org/officeDocument/2006/relationships/hyperlink" Target="http://fy261ap01:pass@10.124.0.42:11002" TargetMode="External"/><Relationship Id="rId118" Type="http://schemas.openxmlformats.org/officeDocument/2006/relationships/hyperlink" Target="http://fy261ap06:pass@10.124.0.17:11002" TargetMode="External"/><Relationship Id="rId239" Type="http://schemas.openxmlformats.org/officeDocument/2006/relationships/hyperlink" Target="http://fy261ap06:pass@10.124.0.17:11002" TargetMode="External"/><Relationship Id="rId117" Type="http://schemas.openxmlformats.org/officeDocument/2006/relationships/hyperlink" Target="http://fy261ap05:pass@10.124.0.17:11002" TargetMode="External"/><Relationship Id="rId238" Type="http://schemas.openxmlformats.org/officeDocument/2006/relationships/hyperlink" Target="http://colo.srellp.com:9006/" TargetMode="External"/><Relationship Id="rId359" Type="http://schemas.openxmlformats.org/officeDocument/2006/relationships/hyperlink" Target="http://gkohns211:pass@10.124.0.17:11002" TargetMode="External"/><Relationship Id="rId116" Type="http://schemas.openxmlformats.org/officeDocument/2006/relationships/hyperlink" Target="http://F560HAP01:pass@10.124.0.42:11002" TargetMode="External"/><Relationship Id="rId237" Type="http://schemas.openxmlformats.org/officeDocument/2006/relationships/hyperlink" Target="http://fy261ap01:pass@10.124.0.42:11002" TargetMode="External"/><Relationship Id="rId358" Type="http://schemas.openxmlformats.org/officeDocument/2006/relationships/hyperlink" Target="http://fy261ap07:pass@10.124.0.17:11002" TargetMode="External"/><Relationship Id="rId479" Type="http://schemas.openxmlformats.org/officeDocument/2006/relationships/hyperlink" Target="http://fy261ap08:pass@10.124.0.24:11002" TargetMode="External"/><Relationship Id="rId115" Type="http://schemas.openxmlformats.org/officeDocument/2006/relationships/hyperlink" Target="http://fy261ap05:pass@10.124.0.17:11002" TargetMode="External"/><Relationship Id="rId236" Type="http://schemas.openxmlformats.org/officeDocument/2006/relationships/hyperlink" Target="http://fy261ap01:pass@10.124.0.42:11002" TargetMode="External"/><Relationship Id="rId357" Type="http://schemas.openxmlformats.org/officeDocument/2006/relationships/hyperlink" Target="http://fy261ap09:pass@10.124.0.24:11002" TargetMode="External"/><Relationship Id="rId478" Type="http://schemas.openxmlformats.org/officeDocument/2006/relationships/hyperlink" Target="http://fy261ap11:pass@10.124.0.102:11002" TargetMode="External"/><Relationship Id="rId599" Type="http://schemas.openxmlformats.org/officeDocument/2006/relationships/hyperlink" Target="http://itc2247:pass@10.124.0.42:11002" TargetMode="External"/><Relationship Id="rId119" Type="http://schemas.openxmlformats.org/officeDocument/2006/relationships/hyperlink" Target="http://fy261ap10:pass@10.124.0.102:11002" TargetMode="External"/><Relationship Id="rId110" Type="http://schemas.openxmlformats.org/officeDocument/2006/relationships/hyperlink" Target="http://F560HAP01:pass@10.124.0.42:11002" TargetMode="External"/><Relationship Id="rId231" Type="http://schemas.openxmlformats.org/officeDocument/2006/relationships/hyperlink" Target="http://fy261ap01:pass@10.124.0.42:11002" TargetMode="External"/><Relationship Id="rId352" Type="http://schemas.openxmlformats.org/officeDocument/2006/relationships/hyperlink" Target="http://colo.srellp.com:9010/" TargetMode="External"/><Relationship Id="rId473" Type="http://schemas.openxmlformats.org/officeDocument/2006/relationships/hyperlink" Target="http://fy261ap09:pass@10.124.0.24:11002" TargetMode="External"/><Relationship Id="rId594" Type="http://schemas.openxmlformats.org/officeDocument/2006/relationships/hyperlink" Target="http://RPRA1148:pass@10.124.0.17:11002" TargetMode="External"/><Relationship Id="rId230" Type="http://schemas.openxmlformats.org/officeDocument/2006/relationships/hyperlink" Target="http://xts1.srellp.com:9004/" TargetMode="External"/><Relationship Id="rId351" Type="http://schemas.openxmlformats.org/officeDocument/2006/relationships/hyperlink" Target="http://colo.srellp.com:9012/" TargetMode="External"/><Relationship Id="rId472" Type="http://schemas.openxmlformats.org/officeDocument/2006/relationships/hyperlink" Target="http://fy261ap01:pass@10.124.0.42:11002" TargetMode="External"/><Relationship Id="rId593" Type="http://schemas.openxmlformats.org/officeDocument/2006/relationships/hyperlink" Target="http://LT5:pass@10.124.0.24:11002" TargetMode="External"/><Relationship Id="rId350" Type="http://schemas.openxmlformats.org/officeDocument/2006/relationships/hyperlink" Target="http://106.51.143.71:9002/" TargetMode="External"/><Relationship Id="rId471" Type="http://schemas.openxmlformats.org/officeDocument/2006/relationships/hyperlink" Target="http://F560HAP01:pass@10.124.0.42:11002" TargetMode="External"/><Relationship Id="rId592" Type="http://schemas.openxmlformats.org/officeDocument/2006/relationships/hyperlink" Target="http://fy261ap11:pass@10.124.0.102:11002" TargetMode="External"/><Relationship Id="rId470" Type="http://schemas.openxmlformats.org/officeDocument/2006/relationships/hyperlink" Target="http://fy261ap08:pass@10.124.0.24:11002" TargetMode="External"/><Relationship Id="rId591" Type="http://schemas.openxmlformats.org/officeDocument/2006/relationships/hyperlink" Target="http://fy261ap10:pass@10.124.0.102:11002" TargetMode="External"/><Relationship Id="rId114" Type="http://schemas.openxmlformats.org/officeDocument/2006/relationships/hyperlink" Target="http://fy261ap05:pass@10.124.0.17:11002" TargetMode="External"/><Relationship Id="rId235" Type="http://schemas.openxmlformats.org/officeDocument/2006/relationships/hyperlink" Target="http://fy261ap07:pass@10.124.0.17:11002" TargetMode="External"/><Relationship Id="rId356" Type="http://schemas.openxmlformats.org/officeDocument/2006/relationships/hyperlink" Target="http://fy261ap01:pass@10.124.0.42:11002" TargetMode="External"/><Relationship Id="rId477" Type="http://schemas.openxmlformats.org/officeDocument/2006/relationships/hyperlink" Target="http://fy261ap08:pass@10.124.0.24:11002" TargetMode="External"/><Relationship Id="rId598" Type="http://schemas.openxmlformats.org/officeDocument/2006/relationships/hyperlink" Target="http://itc2248:pass@10.124.0.42:11002" TargetMode="External"/><Relationship Id="rId113" Type="http://schemas.openxmlformats.org/officeDocument/2006/relationships/hyperlink" Target="http://F560HAP01:pass@10.124.0.42:11002" TargetMode="External"/><Relationship Id="rId234" Type="http://schemas.openxmlformats.org/officeDocument/2006/relationships/hyperlink" Target="http://fy261ap01:pass@10.124.0.42:11002" TargetMode="External"/><Relationship Id="rId355" Type="http://schemas.openxmlformats.org/officeDocument/2006/relationships/hyperlink" Target="http://colo.srellp.com:9009/" TargetMode="External"/><Relationship Id="rId476" Type="http://schemas.openxmlformats.org/officeDocument/2006/relationships/hyperlink" Target="http://fy261ap08:pass@10.124.0.24:11002" TargetMode="External"/><Relationship Id="rId597" Type="http://schemas.openxmlformats.org/officeDocument/2006/relationships/hyperlink" Target="http://49.249.181.146:9002/" TargetMode="External"/><Relationship Id="rId112" Type="http://schemas.openxmlformats.org/officeDocument/2006/relationships/hyperlink" Target="http://fy261ap05:pass@10.124.0.17:11002" TargetMode="External"/><Relationship Id="rId233" Type="http://schemas.openxmlformats.org/officeDocument/2006/relationships/hyperlink" Target="http://fy261ap06:pass@10.124.0.17:11002" TargetMode="External"/><Relationship Id="rId354" Type="http://schemas.openxmlformats.org/officeDocument/2006/relationships/hyperlink" Target="http://colo.srellp.com:9006/" TargetMode="External"/><Relationship Id="rId475" Type="http://schemas.openxmlformats.org/officeDocument/2006/relationships/hyperlink" Target="http://fy261ap09:pass@10.124.0.24:11002" TargetMode="External"/><Relationship Id="rId596" Type="http://schemas.openxmlformats.org/officeDocument/2006/relationships/hyperlink" Target="http://49.249.181.146:9002/" TargetMode="External"/><Relationship Id="rId111" Type="http://schemas.openxmlformats.org/officeDocument/2006/relationships/hyperlink" Target="http://fy261ap01:pass@10.124.0.42:11002" TargetMode="External"/><Relationship Id="rId232" Type="http://schemas.openxmlformats.org/officeDocument/2006/relationships/hyperlink" Target="http://fy261ap09:pass@10.124.0.24:11002" TargetMode="External"/><Relationship Id="rId353" Type="http://schemas.openxmlformats.org/officeDocument/2006/relationships/hyperlink" Target="http://colo.srellp.com:9013/" TargetMode="External"/><Relationship Id="rId474" Type="http://schemas.openxmlformats.org/officeDocument/2006/relationships/hyperlink" Target="http://fy261ap08:pass@10.124.0.24:11002" TargetMode="External"/><Relationship Id="rId595" Type="http://schemas.openxmlformats.org/officeDocument/2006/relationships/hyperlink" Target="http://ADWS1V104:pass@10.124.0.17:11002" TargetMode="External"/><Relationship Id="rId305" Type="http://schemas.openxmlformats.org/officeDocument/2006/relationships/hyperlink" Target="http://fy261ap07:pass@10.124.0.17:11002" TargetMode="External"/><Relationship Id="rId426" Type="http://schemas.openxmlformats.org/officeDocument/2006/relationships/hyperlink" Target="http://gdlf1o101:pass@10.124.0.17:11002" TargetMode="External"/><Relationship Id="rId547" Type="http://schemas.openxmlformats.org/officeDocument/2006/relationships/hyperlink" Target="http://HYD5FSC104:pass@10.124.0.17:11002" TargetMode="External"/><Relationship Id="rId668" Type="http://schemas.openxmlformats.org/officeDocument/2006/relationships/hyperlink" Target="http://GKOCDU109:pass@10.124.0.17:11002" TargetMode="External"/><Relationship Id="rId304" Type="http://schemas.openxmlformats.org/officeDocument/2006/relationships/hyperlink" Target="http://GT5:pass@10.124.0.42:11002" TargetMode="External"/><Relationship Id="rId425" Type="http://schemas.openxmlformats.org/officeDocument/2006/relationships/hyperlink" Target="http://fy261ap01:pass@10.124.0.42:11002" TargetMode="External"/><Relationship Id="rId546" Type="http://schemas.openxmlformats.org/officeDocument/2006/relationships/hyperlink" Target="http://GKOHNP140:pass@10.124.0.17:11002" TargetMode="External"/><Relationship Id="rId667" Type="http://schemas.openxmlformats.org/officeDocument/2006/relationships/hyperlink" Target="http://fy261ap01:pass@10.124.0.42:11002" TargetMode="External"/><Relationship Id="rId303" Type="http://schemas.openxmlformats.org/officeDocument/2006/relationships/hyperlink" Target="http://fy261ap01:pass@10.124.0.42:11002" TargetMode="External"/><Relationship Id="rId424" Type="http://schemas.openxmlformats.org/officeDocument/2006/relationships/hyperlink" Target="http://fy261ap11:pass@10.124.0.102:11002" TargetMode="External"/><Relationship Id="rId545" Type="http://schemas.openxmlformats.org/officeDocument/2006/relationships/hyperlink" Target="http://MUMPRM192:pass@10.124.0.17:11002" TargetMode="External"/><Relationship Id="rId666" Type="http://schemas.openxmlformats.org/officeDocument/2006/relationships/hyperlink" Target="http://ALBDP216:pass@10.124.0.17:11002" TargetMode="External"/><Relationship Id="rId302" Type="http://schemas.openxmlformats.org/officeDocument/2006/relationships/hyperlink" Target="http://fy261ap08:pass@10.124.0.24:11002" TargetMode="External"/><Relationship Id="rId423" Type="http://schemas.openxmlformats.org/officeDocument/2006/relationships/hyperlink" Target="http://fy261ap11:pass@10.124.0.102:11002" TargetMode="External"/><Relationship Id="rId544" Type="http://schemas.openxmlformats.org/officeDocument/2006/relationships/hyperlink" Target="http://HYDHP184:pass@10.124.0.17:11002" TargetMode="External"/><Relationship Id="rId665" Type="http://schemas.openxmlformats.org/officeDocument/2006/relationships/hyperlink" Target="http://KBEA594:pass@10.124.0.17:11002" TargetMode="External"/><Relationship Id="rId309" Type="http://schemas.openxmlformats.org/officeDocument/2006/relationships/hyperlink" Target="http://LT5:pass@10.124.0.24:11002" TargetMode="External"/><Relationship Id="rId308" Type="http://schemas.openxmlformats.org/officeDocument/2006/relationships/hyperlink" Target="http://fy261ap05:pass@10.124.0.17:11002" TargetMode="External"/><Relationship Id="rId429" Type="http://schemas.openxmlformats.org/officeDocument/2006/relationships/hyperlink" Target="http://49.249.181.146:9002/" TargetMode="External"/><Relationship Id="rId307" Type="http://schemas.openxmlformats.org/officeDocument/2006/relationships/hyperlink" Target="http://103.42.163.204:9002/" TargetMode="External"/><Relationship Id="rId428" Type="http://schemas.openxmlformats.org/officeDocument/2006/relationships/hyperlink" Target="http://LT5:pass@10.124.0.24:11002" TargetMode="External"/><Relationship Id="rId549" Type="http://schemas.openxmlformats.org/officeDocument/2006/relationships/hyperlink" Target="http://12315315:pass@10.124.0.102:11002" TargetMode="External"/><Relationship Id="rId306" Type="http://schemas.openxmlformats.org/officeDocument/2006/relationships/hyperlink" Target="http://122.176.166.42:11004/" TargetMode="External"/><Relationship Id="rId427" Type="http://schemas.openxmlformats.org/officeDocument/2006/relationships/hyperlink" Target="http://gdlf1a105:pass@10.124.0.17:11002" TargetMode="External"/><Relationship Id="rId548" Type="http://schemas.openxmlformats.org/officeDocument/2006/relationships/hyperlink" Target="http://ABAD2S101:pass@10.124.0.17:11002" TargetMode="External"/><Relationship Id="rId669" Type="http://schemas.openxmlformats.org/officeDocument/2006/relationships/hyperlink" Target="http://GKOPV5N135:pass@10.124.0.17:11002" TargetMode="External"/><Relationship Id="rId660" Type="http://schemas.openxmlformats.org/officeDocument/2006/relationships/hyperlink" Target="http://F560HAP03:pass@10.124.0.24:11002" TargetMode="External"/><Relationship Id="rId301" Type="http://schemas.openxmlformats.org/officeDocument/2006/relationships/hyperlink" Target="http://fy261ap01:pass@10.124.0.42:11002" TargetMode="External"/><Relationship Id="rId422" Type="http://schemas.openxmlformats.org/officeDocument/2006/relationships/hyperlink" Target="http://fy261ap11:pass@10.124.0.102:11002" TargetMode="External"/><Relationship Id="rId543" Type="http://schemas.openxmlformats.org/officeDocument/2006/relationships/hyperlink" Target="http://GBYA367:pass@10.124.0.17:11002" TargetMode="External"/><Relationship Id="rId664" Type="http://schemas.openxmlformats.org/officeDocument/2006/relationships/hyperlink" Target="http://RPRS1442:pass@10.124.0.17:11002" TargetMode="External"/><Relationship Id="rId300" Type="http://schemas.openxmlformats.org/officeDocument/2006/relationships/hyperlink" Target="http://fy261ap01:pass@10.124.0.42:11002" TargetMode="External"/><Relationship Id="rId421" Type="http://schemas.openxmlformats.org/officeDocument/2006/relationships/hyperlink" Target="http://fy261ap11:pass@10.124.0.102:11002" TargetMode="External"/><Relationship Id="rId542" Type="http://schemas.openxmlformats.org/officeDocument/2006/relationships/hyperlink" Target="http://F560HAP01:pass@10.124.0.42:11002" TargetMode="External"/><Relationship Id="rId663" Type="http://schemas.openxmlformats.org/officeDocument/2006/relationships/hyperlink" Target="http://GBYB178:pass@10.124.0.17:11002" TargetMode="External"/><Relationship Id="rId420" Type="http://schemas.openxmlformats.org/officeDocument/2006/relationships/hyperlink" Target="http://fy261ap10:pass@10.124.0.102:11002" TargetMode="External"/><Relationship Id="rId541" Type="http://schemas.openxmlformats.org/officeDocument/2006/relationships/hyperlink" Target="http://LT5:pass@10.124.0.24:11002" TargetMode="External"/><Relationship Id="rId662" Type="http://schemas.openxmlformats.org/officeDocument/2006/relationships/hyperlink" Target="http://F560HAP03:pass@10.124.0.24:11002" TargetMode="External"/><Relationship Id="rId540" Type="http://schemas.openxmlformats.org/officeDocument/2006/relationships/hyperlink" Target="http://LT5:pass@10.124.0.24:11002" TargetMode="External"/><Relationship Id="rId661" Type="http://schemas.openxmlformats.org/officeDocument/2006/relationships/hyperlink" Target="http://F560HAP03:pass@10.124.0.24:11002" TargetMode="External"/><Relationship Id="rId415" Type="http://schemas.openxmlformats.org/officeDocument/2006/relationships/hyperlink" Target="http://fy261ap09:pass@10.124.0.24:11002" TargetMode="External"/><Relationship Id="rId536" Type="http://schemas.openxmlformats.org/officeDocument/2006/relationships/hyperlink" Target="http://GBN13P147:pass@10.124.0.17:11002" TargetMode="External"/><Relationship Id="rId657" Type="http://schemas.openxmlformats.org/officeDocument/2006/relationships/hyperlink" Target="http://F560HAP01:pass@10.124.0.42:11002" TargetMode="External"/><Relationship Id="rId414" Type="http://schemas.openxmlformats.org/officeDocument/2006/relationships/hyperlink" Target="http://fy261ap09:pass@10.124.0.24:11002" TargetMode="External"/><Relationship Id="rId535" Type="http://schemas.openxmlformats.org/officeDocument/2006/relationships/hyperlink" Target="http://fy261ap10:pass@10.124.0.102:11002" TargetMode="External"/><Relationship Id="rId656" Type="http://schemas.openxmlformats.org/officeDocument/2006/relationships/hyperlink" Target="http://F560HAP01:pass@10.124.0.42:11002" TargetMode="External"/><Relationship Id="rId413" Type="http://schemas.openxmlformats.org/officeDocument/2006/relationships/hyperlink" Target="http://fy261ap09:pass@10.124.0.24:11002" TargetMode="External"/><Relationship Id="rId534" Type="http://schemas.openxmlformats.org/officeDocument/2006/relationships/hyperlink" Target="http://fy261ap01:pass@10.124.0.42:11002" TargetMode="External"/><Relationship Id="rId655" Type="http://schemas.openxmlformats.org/officeDocument/2006/relationships/hyperlink" Target="http://F560HAP01:pass@10.124.0.42:11002" TargetMode="External"/><Relationship Id="rId412" Type="http://schemas.openxmlformats.org/officeDocument/2006/relationships/hyperlink" Target="http://fy261ap08:pass@10.124.0.24:11002" TargetMode="External"/><Relationship Id="rId533" Type="http://schemas.openxmlformats.org/officeDocument/2006/relationships/hyperlink" Target="http://fy261ap08:pass@10.124.0.24:11002" TargetMode="External"/><Relationship Id="rId654" Type="http://schemas.openxmlformats.org/officeDocument/2006/relationships/hyperlink" Target="http://LT5:pass@10.124.0.24:11002" TargetMode="External"/><Relationship Id="rId419" Type="http://schemas.openxmlformats.org/officeDocument/2006/relationships/hyperlink" Target="http://fy261ap10:pass@10.124.0.102:11002" TargetMode="External"/><Relationship Id="rId418" Type="http://schemas.openxmlformats.org/officeDocument/2006/relationships/hyperlink" Target="http://fy261ap10:pass@10.124.0.102:11002" TargetMode="External"/><Relationship Id="rId539" Type="http://schemas.openxmlformats.org/officeDocument/2006/relationships/hyperlink" Target="http://fy261ap08:pass@10.124.0.24:11002" TargetMode="External"/><Relationship Id="rId417" Type="http://schemas.openxmlformats.org/officeDocument/2006/relationships/hyperlink" Target="http://fy261ap10:pass@10.124.0.102:11002" TargetMode="External"/><Relationship Id="rId538" Type="http://schemas.openxmlformats.org/officeDocument/2006/relationships/hyperlink" Target="http://fy261ap08:pass@10.124.0.24:11002" TargetMode="External"/><Relationship Id="rId659" Type="http://schemas.openxmlformats.org/officeDocument/2006/relationships/hyperlink" Target="http://F560HAP03:pass@10.124.0.24:11002" TargetMode="External"/><Relationship Id="rId416" Type="http://schemas.openxmlformats.org/officeDocument/2006/relationships/hyperlink" Target="http://fy261ap09:pass@10.124.0.24:11002" TargetMode="External"/><Relationship Id="rId537" Type="http://schemas.openxmlformats.org/officeDocument/2006/relationships/hyperlink" Target="http://GDLF2S109:pass@10.124.0.17:11002" TargetMode="External"/><Relationship Id="rId658" Type="http://schemas.openxmlformats.org/officeDocument/2006/relationships/hyperlink" Target="http://F560HAP01:pass@10.124.0.42:11002" TargetMode="External"/><Relationship Id="rId411" Type="http://schemas.openxmlformats.org/officeDocument/2006/relationships/hyperlink" Target="http://fy261ap08:pass@10.124.0.24:11002" TargetMode="External"/><Relationship Id="rId532" Type="http://schemas.openxmlformats.org/officeDocument/2006/relationships/hyperlink" Target="http://SRTN121:pass@10.124.0.17:11002" TargetMode="External"/><Relationship Id="rId653" Type="http://schemas.openxmlformats.org/officeDocument/2006/relationships/hyperlink" Target="http://fy261ap11:pass@10.124.0.102:11002" TargetMode="External"/><Relationship Id="rId410" Type="http://schemas.openxmlformats.org/officeDocument/2006/relationships/hyperlink" Target="http://fy261ap08:pass@10.124.0.24:11002" TargetMode="External"/><Relationship Id="rId531" Type="http://schemas.openxmlformats.org/officeDocument/2006/relationships/hyperlink" Target="http://LT5:pass@10.124.0.24:11002" TargetMode="External"/><Relationship Id="rId652" Type="http://schemas.openxmlformats.org/officeDocument/2006/relationships/hyperlink" Target="http://GNPK766:pass@10.124.0.17:11002" TargetMode="External"/><Relationship Id="rId530" Type="http://schemas.openxmlformats.org/officeDocument/2006/relationships/hyperlink" Target="http://LT5:pass@10.124.0.24:11002" TargetMode="External"/><Relationship Id="rId651" Type="http://schemas.openxmlformats.org/officeDocument/2006/relationships/hyperlink" Target="http://fy261ap07:pass@10.124.0.17:11002" TargetMode="External"/><Relationship Id="rId650" Type="http://schemas.openxmlformats.org/officeDocument/2006/relationships/hyperlink" Target="http://fy261ap11:pass@10.124.0.102:11002" TargetMode="External"/><Relationship Id="rId206" Type="http://schemas.openxmlformats.org/officeDocument/2006/relationships/hyperlink" Target="http://fy261ap01:pass@10.124.0.42:11002" TargetMode="External"/><Relationship Id="rId327" Type="http://schemas.openxmlformats.org/officeDocument/2006/relationships/hyperlink" Target="http://LT5:pass@10.124.0.24:11002" TargetMode="External"/><Relationship Id="rId448" Type="http://schemas.openxmlformats.org/officeDocument/2006/relationships/hyperlink" Target="http://GT5:pass@10.124.0.42:11002" TargetMode="External"/><Relationship Id="rId569" Type="http://schemas.openxmlformats.org/officeDocument/2006/relationships/hyperlink" Target="http://103.42.163.204:9002/" TargetMode="External"/><Relationship Id="rId205" Type="http://schemas.openxmlformats.org/officeDocument/2006/relationships/hyperlink" Target="http://fy261ap08:pass@10.124.0.24:11002" TargetMode="External"/><Relationship Id="rId326" Type="http://schemas.openxmlformats.org/officeDocument/2006/relationships/hyperlink" Target="http://122.176.90.136:11120/" TargetMode="External"/><Relationship Id="rId447" Type="http://schemas.openxmlformats.org/officeDocument/2006/relationships/hyperlink" Target="http://HNK202:pass@10.124.0.17:11002" TargetMode="External"/><Relationship Id="rId568" Type="http://schemas.openxmlformats.org/officeDocument/2006/relationships/hyperlink" Target="http://103.42.163.204:9002/" TargetMode="External"/><Relationship Id="rId204" Type="http://schemas.openxmlformats.org/officeDocument/2006/relationships/hyperlink" Target="http://fy261ap01:pass@10.124.0.42:11002" TargetMode="External"/><Relationship Id="rId325" Type="http://schemas.openxmlformats.org/officeDocument/2006/relationships/hyperlink" Target="http://122.176.90.136:11120/" TargetMode="External"/><Relationship Id="rId446" Type="http://schemas.openxmlformats.org/officeDocument/2006/relationships/hyperlink" Target="http://LT5:pass@10.124.0.24:11002" TargetMode="External"/><Relationship Id="rId567" Type="http://schemas.openxmlformats.org/officeDocument/2006/relationships/hyperlink" Target="http://GDLF2S128:pass@10.124.0.17:11002" TargetMode="External"/><Relationship Id="rId203" Type="http://schemas.openxmlformats.org/officeDocument/2006/relationships/hyperlink" Target="http://fy261ap01:pass@10.124.0.42:11002" TargetMode="External"/><Relationship Id="rId324" Type="http://schemas.openxmlformats.org/officeDocument/2006/relationships/hyperlink" Target="http://122.176.90.136:11120/" TargetMode="External"/><Relationship Id="rId445" Type="http://schemas.openxmlformats.org/officeDocument/2006/relationships/hyperlink" Target="http://LT5:pass@10.124.0.24:11002" TargetMode="External"/><Relationship Id="rId566" Type="http://schemas.openxmlformats.org/officeDocument/2006/relationships/hyperlink" Target="http://12315119:pass@10.124.0.102:11002" TargetMode="External"/><Relationship Id="rId209" Type="http://schemas.openxmlformats.org/officeDocument/2006/relationships/hyperlink" Target="http://xts1.srellp.com:9001/" TargetMode="External"/><Relationship Id="rId208" Type="http://schemas.openxmlformats.org/officeDocument/2006/relationships/hyperlink" Target="http://fy261ap01:pass@10.124.0.42:11002" TargetMode="External"/><Relationship Id="rId329" Type="http://schemas.openxmlformats.org/officeDocument/2006/relationships/hyperlink" Target="http://fy261ap05:pass@10.124.0.17:11002" TargetMode="External"/><Relationship Id="rId207" Type="http://schemas.openxmlformats.org/officeDocument/2006/relationships/hyperlink" Target="http://fy261ap09:pass@10.124.0.24:11002" TargetMode="External"/><Relationship Id="rId328" Type="http://schemas.openxmlformats.org/officeDocument/2006/relationships/hyperlink" Target="http://GT5:pass@10.124.0.42:11002" TargetMode="External"/><Relationship Id="rId449" Type="http://schemas.openxmlformats.org/officeDocument/2006/relationships/hyperlink" Target="http://fy261ap07:pass@10.124.0.17:11002" TargetMode="External"/><Relationship Id="rId440" Type="http://schemas.openxmlformats.org/officeDocument/2006/relationships/hyperlink" Target="http://5.30.101.180:11002/" TargetMode="External"/><Relationship Id="rId561" Type="http://schemas.openxmlformats.org/officeDocument/2006/relationships/hyperlink" Target="http://HYDHC130:pass@10.124.0.17:11002" TargetMode="External"/><Relationship Id="rId560" Type="http://schemas.openxmlformats.org/officeDocument/2006/relationships/hyperlink" Target="http://GT5:pass@10.124.0.42:11002" TargetMode="External"/><Relationship Id="rId202" Type="http://schemas.openxmlformats.org/officeDocument/2006/relationships/hyperlink" Target="http://fy261ap06:pass@10.124.0.17:11002" TargetMode="External"/><Relationship Id="rId323" Type="http://schemas.openxmlformats.org/officeDocument/2006/relationships/hyperlink" Target="http://122.176.90.136:11120/" TargetMode="External"/><Relationship Id="rId444" Type="http://schemas.openxmlformats.org/officeDocument/2006/relationships/hyperlink" Target="http://JPWSDC101:pass@10.124.0.17:11002" TargetMode="External"/><Relationship Id="rId565" Type="http://schemas.openxmlformats.org/officeDocument/2006/relationships/hyperlink" Target="http://fy261ap01:pass@10.124.0.42:11002" TargetMode="External"/><Relationship Id="rId201" Type="http://schemas.openxmlformats.org/officeDocument/2006/relationships/hyperlink" Target="http://fy261ap08:pass@10.124.0.24:11002" TargetMode="External"/><Relationship Id="rId322" Type="http://schemas.openxmlformats.org/officeDocument/2006/relationships/hyperlink" Target="http://fy261ap05:pass@10.124.0.17:11002" TargetMode="External"/><Relationship Id="rId443" Type="http://schemas.openxmlformats.org/officeDocument/2006/relationships/hyperlink" Target="http://14.194.54.6:9002/" TargetMode="External"/><Relationship Id="rId564" Type="http://schemas.openxmlformats.org/officeDocument/2006/relationships/hyperlink" Target="http://fy261ap09:pass@10.124.0.24:11002" TargetMode="External"/><Relationship Id="rId200" Type="http://schemas.openxmlformats.org/officeDocument/2006/relationships/hyperlink" Target="http://fy261ap05:pass@10.124.0.17:11002" TargetMode="External"/><Relationship Id="rId321" Type="http://schemas.openxmlformats.org/officeDocument/2006/relationships/hyperlink" Target="http://14.194.54.6:9002/" TargetMode="External"/><Relationship Id="rId442" Type="http://schemas.openxmlformats.org/officeDocument/2006/relationships/hyperlink" Target="http://5.30.101.180:11002/" TargetMode="External"/><Relationship Id="rId563" Type="http://schemas.openxmlformats.org/officeDocument/2006/relationships/hyperlink" Target="http://fy261ap11:pass@10.124.0.102:11002" TargetMode="External"/><Relationship Id="rId320" Type="http://schemas.openxmlformats.org/officeDocument/2006/relationships/hyperlink" Target="http://fy261ap09:pass@10.124.0.24:11002" TargetMode="External"/><Relationship Id="rId441" Type="http://schemas.openxmlformats.org/officeDocument/2006/relationships/hyperlink" Target="http://5.30.101.180:11002/" TargetMode="External"/><Relationship Id="rId562" Type="http://schemas.openxmlformats.org/officeDocument/2006/relationships/hyperlink" Target="http://GNPK604:pass@10.124.0.17:11002" TargetMode="External"/><Relationship Id="rId316" Type="http://schemas.openxmlformats.org/officeDocument/2006/relationships/hyperlink" Target="http://fy261ap11:pass@10.124.0.102:11002" TargetMode="External"/><Relationship Id="rId437" Type="http://schemas.openxmlformats.org/officeDocument/2006/relationships/hyperlink" Target="http://GT5:pass@10.124.0.42:11002" TargetMode="External"/><Relationship Id="rId558" Type="http://schemas.openxmlformats.org/officeDocument/2006/relationships/hyperlink" Target="http://MUMPRP199:pass@10.124.0.17:11002" TargetMode="External"/><Relationship Id="rId315" Type="http://schemas.openxmlformats.org/officeDocument/2006/relationships/hyperlink" Target="http://fy261ap01:pass@10.124.0.42:11002" TargetMode="External"/><Relationship Id="rId436" Type="http://schemas.openxmlformats.org/officeDocument/2006/relationships/hyperlink" Target="http://GT5:pass@10.124.0.42:11002" TargetMode="External"/><Relationship Id="rId557" Type="http://schemas.openxmlformats.org/officeDocument/2006/relationships/hyperlink" Target="http://fy261ap06:pass@10.124.0.17:11002" TargetMode="External"/><Relationship Id="rId314" Type="http://schemas.openxmlformats.org/officeDocument/2006/relationships/hyperlink" Target="http://fy261ap05:pass@10.124.0.17:11002" TargetMode="External"/><Relationship Id="rId435" Type="http://schemas.openxmlformats.org/officeDocument/2006/relationships/hyperlink" Target="http://GT5:pass@10.124.0.42:11002" TargetMode="External"/><Relationship Id="rId556" Type="http://schemas.openxmlformats.org/officeDocument/2006/relationships/hyperlink" Target="http://fy261ap10:pass@10.124.0.102:11002" TargetMode="External"/><Relationship Id="rId313" Type="http://schemas.openxmlformats.org/officeDocument/2006/relationships/hyperlink" Target="http://F560HAP01:pass@10.124.0.42:11002" TargetMode="External"/><Relationship Id="rId434" Type="http://schemas.openxmlformats.org/officeDocument/2006/relationships/hyperlink" Target="http://GBN305M116:pass@10.124.0.17:11002" TargetMode="External"/><Relationship Id="rId555" Type="http://schemas.openxmlformats.org/officeDocument/2006/relationships/hyperlink" Target="http://GNP75R286:pass@10.124.0.17:11002" TargetMode="External"/><Relationship Id="rId319" Type="http://schemas.openxmlformats.org/officeDocument/2006/relationships/hyperlink" Target="http://122.176.90.136:11120/" TargetMode="External"/><Relationship Id="rId318" Type="http://schemas.openxmlformats.org/officeDocument/2006/relationships/hyperlink" Target="http://F560HAP01:pass@10.124.0.42:11002" TargetMode="External"/><Relationship Id="rId439" Type="http://schemas.openxmlformats.org/officeDocument/2006/relationships/hyperlink" Target="http://5.30.101.180:11002/" TargetMode="External"/><Relationship Id="rId317" Type="http://schemas.openxmlformats.org/officeDocument/2006/relationships/hyperlink" Target="http://F560HAP01:pass@10.124.0.42:11002" TargetMode="External"/><Relationship Id="rId438" Type="http://schemas.openxmlformats.org/officeDocument/2006/relationships/hyperlink" Target="http://5.30.101.180:11002/" TargetMode="External"/><Relationship Id="rId559" Type="http://schemas.openxmlformats.org/officeDocument/2006/relationships/hyperlink" Target="http://fy261ap08:pass@10.124.0.24:11002" TargetMode="External"/><Relationship Id="rId550" Type="http://schemas.openxmlformats.org/officeDocument/2006/relationships/hyperlink" Target="http://fy261ap10:pass@10.124.0.102:11002" TargetMode="External"/><Relationship Id="rId671" Type="http://schemas.openxmlformats.org/officeDocument/2006/relationships/hyperlink" Target="http://fy261ap11:pass@10.124.0.102:11002" TargetMode="External"/><Relationship Id="rId670" Type="http://schemas.openxmlformats.org/officeDocument/2006/relationships/hyperlink" Target="http://gdlh3m121:pass@10.124.0.17:11002" TargetMode="External"/><Relationship Id="rId312" Type="http://schemas.openxmlformats.org/officeDocument/2006/relationships/hyperlink" Target="http://115.247.146.146:9002/" TargetMode="External"/><Relationship Id="rId433" Type="http://schemas.openxmlformats.org/officeDocument/2006/relationships/hyperlink" Target="http://fy261ap05:pass@10.124.0.17:11002" TargetMode="External"/><Relationship Id="rId554" Type="http://schemas.openxmlformats.org/officeDocument/2006/relationships/hyperlink" Target="http://fy261ap01:pass@10.124.0.42:11002" TargetMode="External"/><Relationship Id="rId311" Type="http://schemas.openxmlformats.org/officeDocument/2006/relationships/hyperlink" Target="http://fy261ap06:pass@10.124.0.17:11002" TargetMode="External"/><Relationship Id="rId432" Type="http://schemas.openxmlformats.org/officeDocument/2006/relationships/hyperlink" Target="http://gkohnp242:pass@10.124.0.17:11002" TargetMode="External"/><Relationship Id="rId553" Type="http://schemas.openxmlformats.org/officeDocument/2006/relationships/hyperlink" Target="http://fy261ap08:pass@10.124.0.24:11002" TargetMode="External"/><Relationship Id="rId674" Type="http://schemas.openxmlformats.org/officeDocument/2006/relationships/drawing" Target="../drawings/drawing9.xml"/><Relationship Id="rId310" Type="http://schemas.openxmlformats.org/officeDocument/2006/relationships/hyperlink" Target="http://59.144.187.227:9002/" TargetMode="External"/><Relationship Id="rId431" Type="http://schemas.openxmlformats.org/officeDocument/2006/relationships/hyperlink" Target="http://fy261ap08:pass@10.124.0.24:11002" TargetMode="External"/><Relationship Id="rId552" Type="http://schemas.openxmlformats.org/officeDocument/2006/relationships/hyperlink" Target="http://AHMA035:pass@10.124.0.17:11002" TargetMode="External"/><Relationship Id="rId673" Type="http://schemas.openxmlformats.org/officeDocument/2006/relationships/hyperlink" Target="http://fy261ap11:pass@10.124.0.102:11002" TargetMode="External"/><Relationship Id="rId430" Type="http://schemas.openxmlformats.org/officeDocument/2006/relationships/hyperlink" Target="http://49.249.181.146:9002/" TargetMode="External"/><Relationship Id="rId551" Type="http://schemas.openxmlformats.org/officeDocument/2006/relationships/hyperlink" Target="http://MUMPRJ129:pass@10.124.0.17:11002" TargetMode="External"/><Relationship Id="rId672" Type="http://schemas.openxmlformats.org/officeDocument/2006/relationships/hyperlink" Target="http://fy261ap11:pass@10.124.0.102:11002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29"/>
    <col customWidth="1" min="2" max="2" width="39.57"/>
    <col customWidth="1" min="3" max="3" width="8.57"/>
    <col customWidth="1" min="4" max="4" width="7.57"/>
    <col customWidth="1" min="5" max="5" width="11.57"/>
    <col customWidth="1" min="6" max="6" width="19.29"/>
    <col customWidth="1" min="7" max="7" width="13.71"/>
    <col customWidth="1" min="8" max="8" width="12.57"/>
    <col customWidth="1" min="9" max="9" width="15.14"/>
    <col customWidth="1" min="10" max="10" width="14.0"/>
    <col customWidth="1" min="11" max="11" width="11.29"/>
    <col customWidth="1" min="12" max="13" width="17.57"/>
    <col customWidth="1" min="14" max="14" width="14.71"/>
    <col customWidth="1" min="15" max="15" width="15.86"/>
    <col customWidth="1" min="16" max="16" width="52.71"/>
    <col customWidth="1" min="17" max="17" width="29.0"/>
    <col customWidth="1" min="18" max="18" width="10.29"/>
    <col customWidth="1" min="19" max="20" width="15.43"/>
    <col customWidth="1" min="21" max="21" width="17.57"/>
    <col customWidth="1" min="22" max="22" width="18.0"/>
    <col customWidth="1" min="23" max="23" width="17.14"/>
    <col customWidth="1" min="24" max="24" width="19.57"/>
    <col customWidth="1" min="27" max="27" width="22.0"/>
    <col customWidth="1" min="28" max="32" width="22.14"/>
  </cols>
  <sheetData>
    <row r="1">
      <c r="A1" s="3" t="s">
        <v>3</v>
      </c>
      <c r="B1" s="3" t="s">
        <v>10</v>
      </c>
      <c r="C1" s="3" t="s">
        <v>12</v>
      </c>
      <c r="D1" s="3" t="s">
        <v>14</v>
      </c>
      <c r="E1" s="3" t="s">
        <v>17</v>
      </c>
      <c r="F1" s="3" t="s">
        <v>18</v>
      </c>
      <c r="G1" s="8" t="s">
        <v>19</v>
      </c>
      <c r="H1" s="8" t="s">
        <v>24</v>
      </c>
      <c r="I1" s="3" t="s">
        <v>28</v>
      </c>
      <c r="J1" s="11" t="s">
        <v>30</v>
      </c>
      <c r="K1" s="12" t="s">
        <v>35</v>
      </c>
      <c r="L1" s="3" t="s">
        <v>38</v>
      </c>
      <c r="M1" s="3" t="s">
        <v>39</v>
      </c>
      <c r="N1" s="15" t="s">
        <v>41</v>
      </c>
      <c r="O1" s="15" t="s">
        <v>43</v>
      </c>
      <c r="P1" s="15" t="s">
        <v>44</v>
      </c>
      <c r="Q1" s="18" t="s">
        <v>46</v>
      </c>
      <c r="R1" s="20" t="s">
        <v>47</v>
      </c>
      <c r="S1" s="15" t="s">
        <v>52</v>
      </c>
      <c r="T1" s="15" t="s">
        <v>53</v>
      </c>
      <c r="U1" s="8" t="s">
        <v>55</v>
      </c>
      <c r="V1" s="15" t="s">
        <v>57</v>
      </c>
      <c r="W1" s="15" t="s">
        <v>58</v>
      </c>
      <c r="X1" s="15" t="s">
        <v>59</v>
      </c>
      <c r="Y1" s="18" t="s">
        <v>61</v>
      </c>
      <c r="Z1" s="18" t="s">
        <v>62</v>
      </c>
      <c r="AA1" s="18" t="s">
        <v>64</v>
      </c>
      <c r="AB1" s="18" t="s">
        <v>65</v>
      </c>
      <c r="AC1" s="18" t="s">
        <v>67</v>
      </c>
      <c r="AD1" s="18"/>
      <c r="AE1" s="18"/>
      <c r="AF1" s="18"/>
    </row>
    <row r="2">
      <c r="A2" s="21" t="s">
        <v>70</v>
      </c>
      <c r="B2" s="24" t="s">
        <v>72</v>
      </c>
      <c r="C2" s="25"/>
      <c r="D2" s="11" t="s">
        <v>77</v>
      </c>
      <c r="E2" s="11">
        <f t="shared" ref="E2:E105" si="1">H2*D2</f>
        <v>1</v>
      </c>
      <c r="F2" s="30" t="s">
        <v>85</v>
      </c>
      <c r="G2" s="31">
        <v>1.0</v>
      </c>
      <c r="H2" s="31">
        <v>1.0</v>
      </c>
      <c r="I2" s="34" t="s">
        <v>86</v>
      </c>
      <c r="J2" s="11" t="s">
        <v>87</v>
      </c>
      <c r="K2" s="38">
        <f t="shared" ref="K2:K63" si="2">iferror(G2/H2,"-")</f>
        <v>1</v>
      </c>
      <c r="L2" s="18" t="s">
        <v>86</v>
      </c>
      <c r="M2" s="18" t="s">
        <v>86</v>
      </c>
      <c r="N2" s="18"/>
      <c r="O2" s="18"/>
      <c r="P2" s="18" t="s">
        <v>91</v>
      </c>
      <c r="Q2" s="42" t="str">
        <f>iferror(VLOOKUP(A2,'Positional cal'!A:H,1,0)=A2,"FALSE")</f>
        <v>FALSE</v>
      </c>
      <c r="R2" s="43" t="b">
        <f t="shared" ref="R2:R794" si="3">G2=U2</f>
        <v>0</v>
      </c>
      <c r="S2" s="46" t="str">
        <f>IFERROR(VLOOKUP($A2,AlgoUi!$A:$X,21,0),"NA")</f>
        <v/>
      </c>
      <c r="T2" s="46" t="str">
        <f>IFERROR(VLOOKUP($A2,AlgoUi!$A:$X,23,0),"")</f>
        <v/>
      </c>
      <c r="U2" s="46" t="str">
        <f>IFERROR(VLOOKUP($A2,AlgoUi!$A:$X,24,0),"")</f>
        <v/>
      </c>
      <c r="V2" s="42" t="str">
        <f>IFERROR(__xludf.DUMMYFUNCTION("IFERROR(VLOOKUP(I2,IMPORTRANGE(""https://docs.google.com/spreadsheets/d/17FOIUYQAjPk1pPQIlvOgqYDBqwUqgb7KWzp4DtVksBk/edit?gid=0#gid=0"",""Servers!A:S""),19,FALSE), ""Not Running"")"),"Not Running")</f>
        <v>Not Running</v>
      </c>
      <c r="W2" s="47" t="str">
        <f>VLOOKUP($A2,Category!$A:$E,4,0)</f>
        <v>CC</v>
      </c>
      <c r="X2" s="47" t="str">
        <f>VLOOKUP($A2,Category!$A:$E,5,0)</f>
        <v>CC</v>
      </c>
      <c r="Y2" s="18" t="str">
        <f>VLOOKUP(A2,PAcc!$A$1:$J$27,10,0)</f>
        <v>#N/A</v>
      </c>
      <c r="Z2" s="42" t="b">
        <f t="shared" ref="Z2:Z794" si="4">T2/100=H2</f>
        <v>0</v>
      </c>
      <c r="AA2" s="50">
        <v>1.0</v>
      </c>
      <c r="AB2" s="42" t="str">
        <f>VLOOKUP(A2,VlookupSheet!$A$383:$A$523,1,0)</f>
        <v>#N/A</v>
      </c>
      <c r="AC2" s="18"/>
      <c r="AD2" s="42"/>
      <c r="AE2" s="42"/>
      <c r="AF2" s="42"/>
    </row>
    <row r="3">
      <c r="A3" s="21" t="s">
        <v>109</v>
      </c>
      <c r="B3" s="24" t="s">
        <v>110</v>
      </c>
      <c r="C3" s="25"/>
      <c r="D3" s="11" t="s">
        <v>77</v>
      </c>
      <c r="E3" s="11">
        <f t="shared" si="1"/>
        <v>1</v>
      </c>
      <c r="F3" s="30" t="s">
        <v>85</v>
      </c>
      <c r="G3" s="31">
        <v>1.0</v>
      </c>
      <c r="H3" s="31">
        <v>1.0</v>
      </c>
      <c r="I3" s="11" t="s">
        <v>86</v>
      </c>
      <c r="J3" s="11" t="s">
        <v>87</v>
      </c>
      <c r="K3" s="38">
        <f t="shared" si="2"/>
        <v>1</v>
      </c>
      <c r="L3" s="18" t="s">
        <v>86</v>
      </c>
      <c r="M3" s="18" t="s">
        <v>86</v>
      </c>
      <c r="N3" s="18"/>
      <c r="O3" s="18"/>
      <c r="P3" s="18" t="s">
        <v>112</v>
      </c>
      <c r="Q3" s="42" t="str">
        <f>iferror(VLOOKUP(A3,'Positional cal'!A:H,1,0)=A3,"FALSE")</f>
        <v>FALSE</v>
      </c>
      <c r="R3" s="43" t="b">
        <f t="shared" si="3"/>
        <v>0</v>
      </c>
      <c r="S3" s="46" t="str">
        <f>IFERROR(VLOOKUP($A3,AlgoUi!$A:$X,21,0),"NA")</f>
        <v/>
      </c>
      <c r="T3" s="46" t="str">
        <f>IFERROR(VLOOKUP($A3,AlgoUi!$A:$X,23,0),"")</f>
        <v/>
      </c>
      <c r="U3" s="46" t="str">
        <f>IFERROR(VLOOKUP($A3,AlgoUi!$A:$X,24,0),"")</f>
        <v/>
      </c>
      <c r="V3" s="42" t="str">
        <f>IFERROR(__xludf.DUMMYFUNCTION("IFERROR(VLOOKUP(I3,IMPORTRANGE(""https://docs.google.com/spreadsheets/d/17FOIUYQAjPk1pPQIlvOgqYDBqwUqgb7KWzp4DtVksBk/edit?gid=0#gid=0"",""Servers!A:S""),19,FALSE), ""Not Running"")"),"Not Running")</f>
        <v>Not Running</v>
      </c>
      <c r="W3" s="47" t="str">
        <f>VLOOKUP($A3,Category!$A:$E,4,0)</f>
        <v>CC</v>
      </c>
      <c r="X3" s="47" t="str">
        <f>VLOOKUP($A3,Category!$A:$E,5,0)</f>
        <v>CC</v>
      </c>
      <c r="Y3" s="18" t="str">
        <f>VLOOKUP(A3,PAcc!$A$1:$J$27,10,0)</f>
        <v>#N/A</v>
      </c>
      <c r="Z3" s="42" t="b">
        <f t="shared" si="4"/>
        <v>0</v>
      </c>
      <c r="AA3" s="50">
        <v>1.0</v>
      </c>
      <c r="AB3" s="42" t="str">
        <f>VLOOKUP(A3,VlookupSheet!$A$383:$A$523,1,0)</f>
        <v>#N/A</v>
      </c>
      <c r="AC3" s="18"/>
      <c r="AD3" s="42"/>
      <c r="AE3" s="42"/>
      <c r="AF3" s="42"/>
    </row>
    <row r="4">
      <c r="A4" s="21" t="s">
        <v>122</v>
      </c>
      <c r="B4" s="24" t="s">
        <v>123</v>
      </c>
      <c r="C4" s="25"/>
      <c r="D4" s="11" t="s">
        <v>77</v>
      </c>
      <c r="E4" s="11">
        <f t="shared" si="1"/>
        <v>1</v>
      </c>
      <c r="F4" s="30" t="s">
        <v>85</v>
      </c>
      <c r="G4" s="31">
        <v>1.0</v>
      </c>
      <c r="H4" s="31">
        <v>1.0</v>
      </c>
      <c r="I4" s="11" t="s">
        <v>86</v>
      </c>
      <c r="J4" s="11" t="s">
        <v>87</v>
      </c>
      <c r="K4" s="38">
        <f t="shared" si="2"/>
        <v>1</v>
      </c>
      <c r="L4" s="18" t="s">
        <v>86</v>
      </c>
      <c r="M4" s="18" t="s">
        <v>86</v>
      </c>
      <c r="N4" s="18"/>
      <c r="O4" s="18"/>
      <c r="P4" s="18" t="s">
        <v>112</v>
      </c>
      <c r="Q4" s="42" t="str">
        <f>iferror(VLOOKUP(A4,'Positional cal'!A:H,1,0)=A4,"FALSE")</f>
        <v>FALSE</v>
      </c>
      <c r="R4" s="43" t="b">
        <f t="shared" si="3"/>
        <v>0</v>
      </c>
      <c r="S4" s="46" t="str">
        <f>IFERROR(VLOOKUP($A4,AlgoUi!$A:$X,21,0),"NA")</f>
        <v/>
      </c>
      <c r="T4" s="46" t="str">
        <f>IFERROR(VLOOKUP($A4,AlgoUi!$A:$X,23,0),"")</f>
        <v/>
      </c>
      <c r="U4" s="46" t="str">
        <f>IFERROR(VLOOKUP($A4,AlgoUi!$A:$X,24,0),"")</f>
        <v/>
      </c>
      <c r="V4" s="42" t="str">
        <f>IFERROR(__xludf.DUMMYFUNCTION("IFERROR(VLOOKUP(I4,IMPORTRANGE(""https://docs.google.com/spreadsheets/d/17FOIUYQAjPk1pPQIlvOgqYDBqwUqgb7KWzp4DtVksBk/edit?gid=0#gid=0"",""Servers!A:S""),19,FALSE), ""Not Running"")"),"Not Running")</f>
        <v>Not Running</v>
      </c>
      <c r="W4" s="47" t="str">
        <f>VLOOKUP($A4,Category!$A:$E,4,0)</f>
        <v>CC</v>
      </c>
      <c r="X4" s="47" t="str">
        <f>VLOOKUP($A4,Category!$A:$E,5,0)</f>
        <v>CC</v>
      </c>
      <c r="Y4" s="18" t="str">
        <f>VLOOKUP(A4,PAcc!$A$1:$J$27,10,0)</f>
        <v>#N/A</v>
      </c>
      <c r="Z4" s="42" t="b">
        <f t="shared" si="4"/>
        <v>0</v>
      </c>
      <c r="AA4" s="50">
        <v>1.0</v>
      </c>
      <c r="AB4" s="42" t="str">
        <f>VLOOKUP(A4,VlookupSheet!$A$383:$A$523,1,0)</f>
        <v>#N/A</v>
      </c>
      <c r="AC4" s="18"/>
      <c r="AD4" s="42"/>
      <c r="AE4" s="42"/>
      <c r="AF4" s="42"/>
    </row>
    <row r="5">
      <c r="A5" s="21" t="s">
        <v>137</v>
      </c>
      <c r="B5" s="24" t="s">
        <v>138</v>
      </c>
      <c r="C5" s="25"/>
      <c r="D5" s="11" t="s">
        <v>77</v>
      </c>
      <c r="E5" s="11">
        <f t="shared" si="1"/>
        <v>1</v>
      </c>
      <c r="F5" s="11" t="s">
        <v>139</v>
      </c>
      <c r="G5" s="31">
        <v>1.0</v>
      </c>
      <c r="H5" s="31">
        <v>1.0</v>
      </c>
      <c r="I5" s="11" t="s">
        <v>86</v>
      </c>
      <c r="J5" s="11" t="s">
        <v>87</v>
      </c>
      <c r="K5" s="38">
        <f t="shared" si="2"/>
        <v>1</v>
      </c>
      <c r="L5" s="18" t="s">
        <v>86</v>
      </c>
      <c r="M5" s="18" t="s">
        <v>86</v>
      </c>
      <c r="N5" s="42"/>
      <c r="O5" s="42"/>
      <c r="P5" s="42"/>
      <c r="Q5" s="42" t="str">
        <f>iferror(VLOOKUP(A5,'Positional cal'!A:H,1,0)=A5,"FALSE")</f>
        <v>FALSE</v>
      </c>
      <c r="R5" s="43" t="b">
        <f t="shared" si="3"/>
        <v>0</v>
      </c>
      <c r="S5" s="46" t="str">
        <f>IFERROR(VLOOKUP($A5,AlgoUi!$A:$X,21,0),"NA")</f>
        <v/>
      </c>
      <c r="T5" s="46" t="str">
        <f>IFERROR(VLOOKUP($A5,AlgoUi!$A:$X,23,0),"")</f>
        <v/>
      </c>
      <c r="U5" s="46" t="str">
        <f>IFERROR(VLOOKUP($A5,AlgoUi!$A:$X,24,0),"")</f>
        <v/>
      </c>
      <c r="V5" s="42" t="str">
        <f>IFERROR(__xludf.DUMMYFUNCTION("IFERROR(VLOOKUP(I5,IMPORTRANGE(""https://docs.google.com/spreadsheets/d/17FOIUYQAjPk1pPQIlvOgqYDBqwUqgb7KWzp4DtVksBk/edit?gid=0#gid=0"",""Servers!A:S""),19,FALSE), ""Not Running"")"),"Not Running")</f>
        <v>Not Running</v>
      </c>
      <c r="W5" s="47" t="str">
        <f>VLOOKUP($A5,Category!$A:$E,4,0)</f>
        <v>MS</v>
      </c>
      <c r="X5" s="47" t="str">
        <f>VLOOKUP($A5,Category!$A:$E,5,0)</f>
        <v>MSR</v>
      </c>
      <c r="Y5" s="18" t="str">
        <f>VLOOKUP(A5,PAcc!$A$1:$J$27,10,0)</f>
        <v>#N/A</v>
      </c>
      <c r="Z5" s="42" t="b">
        <f t="shared" si="4"/>
        <v>0</v>
      </c>
      <c r="AA5" s="42"/>
      <c r="AB5" s="42" t="str">
        <f>VLOOKUP(A5,VlookupSheet!$A$383:$A$523,1,0)</f>
        <v>#N/A</v>
      </c>
      <c r="AC5" s="18"/>
      <c r="AD5" s="42"/>
      <c r="AE5" s="42"/>
      <c r="AF5" s="42"/>
    </row>
    <row r="6">
      <c r="A6" s="21" t="s">
        <v>147</v>
      </c>
      <c r="B6" s="24" t="s">
        <v>148</v>
      </c>
      <c r="C6" s="25"/>
      <c r="D6" s="11" t="s">
        <v>77</v>
      </c>
      <c r="E6" s="11">
        <f t="shared" si="1"/>
        <v>1</v>
      </c>
      <c r="F6" s="11" t="s">
        <v>139</v>
      </c>
      <c r="G6" s="31">
        <v>1.0</v>
      </c>
      <c r="H6" s="31">
        <v>1.0</v>
      </c>
      <c r="I6" s="11" t="s">
        <v>86</v>
      </c>
      <c r="J6" s="11" t="s">
        <v>87</v>
      </c>
      <c r="K6" s="38">
        <f t="shared" si="2"/>
        <v>1</v>
      </c>
      <c r="L6" s="18" t="s">
        <v>86</v>
      </c>
      <c r="M6" s="18" t="s">
        <v>86</v>
      </c>
      <c r="N6" s="42"/>
      <c r="O6" s="42"/>
      <c r="P6" s="42"/>
      <c r="Q6" s="42" t="str">
        <f>iferror(VLOOKUP(A6,'Positional cal'!A:H,1,0)=A6,"FALSE")</f>
        <v>FALSE</v>
      </c>
      <c r="R6" s="43" t="b">
        <f t="shared" si="3"/>
        <v>0</v>
      </c>
      <c r="S6" s="46" t="str">
        <f>IFERROR(VLOOKUP($A6,AlgoUi!$A:$X,21,0),"NA")</f>
        <v/>
      </c>
      <c r="T6" s="46" t="str">
        <f>IFERROR(VLOOKUP($A6,AlgoUi!$A:$X,23,0),"")</f>
        <v/>
      </c>
      <c r="U6" s="46" t="str">
        <f>IFERROR(VLOOKUP($A6,AlgoUi!$A:$X,24,0),"")</f>
        <v/>
      </c>
      <c r="V6" s="42" t="str">
        <f>IFERROR(__xludf.DUMMYFUNCTION("IFERROR(VLOOKUP(I6,IMPORTRANGE(""https://docs.google.com/spreadsheets/d/17FOIUYQAjPk1pPQIlvOgqYDBqwUqgb7KWzp4DtVksBk/edit?gid=0#gid=0"",""Servers!A:S""),19,FALSE), ""Not Running"")"),"Not Running")</f>
        <v>Not Running</v>
      </c>
      <c r="W6" s="47" t="str">
        <f>VLOOKUP($A6,Category!$A:$E,4,0)</f>
        <v>MS</v>
      </c>
      <c r="X6" s="47" t="str">
        <f>VLOOKUP($A6,Category!$A:$E,5,0)</f>
        <v>MS</v>
      </c>
      <c r="Y6" s="18" t="str">
        <f>VLOOKUP(A6,PAcc!$A$1:$J$27,10,0)</f>
        <v>#N/A</v>
      </c>
      <c r="Z6" s="42" t="b">
        <f t="shared" si="4"/>
        <v>0</v>
      </c>
      <c r="AA6" s="42"/>
      <c r="AB6" s="42" t="str">
        <f>VLOOKUP(A6,VlookupSheet!$A$383:$A$523,1,0)</f>
        <v>#N/A</v>
      </c>
      <c r="AC6" s="60"/>
      <c r="AD6" s="42"/>
      <c r="AE6" s="42"/>
      <c r="AF6" s="42"/>
    </row>
    <row r="7">
      <c r="A7" s="11" t="s">
        <v>158</v>
      </c>
      <c r="B7" s="24" t="s">
        <v>159</v>
      </c>
      <c r="C7" s="25"/>
      <c r="D7" s="11" t="s">
        <v>77</v>
      </c>
      <c r="E7" s="11">
        <f t="shared" si="1"/>
        <v>1</v>
      </c>
      <c r="F7" s="11" t="s">
        <v>139</v>
      </c>
      <c r="G7" s="31">
        <v>1.0</v>
      </c>
      <c r="H7" s="31">
        <v>1.0</v>
      </c>
      <c r="I7" s="11" t="s">
        <v>86</v>
      </c>
      <c r="J7" s="11" t="s">
        <v>87</v>
      </c>
      <c r="K7" s="38">
        <f t="shared" si="2"/>
        <v>1</v>
      </c>
      <c r="L7" s="18" t="s">
        <v>86</v>
      </c>
      <c r="M7" s="18" t="s">
        <v>86</v>
      </c>
      <c r="N7" s="42"/>
      <c r="O7" s="42"/>
      <c r="P7" s="42"/>
      <c r="Q7" s="42" t="str">
        <f>iferror(VLOOKUP(A7,'Positional cal'!A:H,1,0)=A7,"FALSE")</f>
        <v>FALSE</v>
      </c>
      <c r="R7" s="43" t="b">
        <f t="shared" si="3"/>
        <v>0</v>
      </c>
      <c r="S7" s="46" t="str">
        <f>IFERROR(VLOOKUP($A7,AlgoUi!$A:$X,21,0),"NA")</f>
        <v/>
      </c>
      <c r="T7" s="46" t="str">
        <f>IFERROR(VLOOKUP($A7,AlgoUi!$A:$X,23,0),"")</f>
        <v/>
      </c>
      <c r="U7" s="46" t="str">
        <f>IFERROR(VLOOKUP($A7,AlgoUi!$A:$X,24,0),"")</f>
        <v/>
      </c>
      <c r="V7" s="42" t="str">
        <f>IFERROR(__xludf.DUMMYFUNCTION("IFERROR(VLOOKUP(I7,IMPORTRANGE(""https://docs.google.com/spreadsheets/d/17FOIUYQAjPk1pPQIlvOgqYDBqwUqgb7KWzp4DtVksBk/edit?gid=0#gid=0"",""Servers!A:S""),19,FALSE), ""Not Running"")"),"Not Running")</f>
        <v>Not Running</v>
      </c>
      <c r="W7" s="47" t="str">
        <f>VLOOKUP($A7,Category!$A:$E,4,0)</f>
        <v>MS</v>
      </c>
      <c r="X7" s="47" t="str">
        <f>VLOOKUP($A7,Category!$A:$E,5,0)</f>
        <v>MS</v>
      </c>
      <c r="Y7" s="18" t="str">
        <f>VLOOKUP(A7,PAcc!$A$1:$J$27,10,0)</f>
        <v>#N/A</v>
      </c>
      <c r="Z7" s="42" t="b">
        <f t="shared" si="4"/>
        <v>0</v>
      </c>
      <c r="AA7" s="42"/>
      <c r="AB7" s="42" t="str">
        <f>VLOOKUP(A7,VlookupSheet!$A$383:$A$523,1,0)</f>
        <v>#N/A</v>
      </c>
      <c r="AC7" s="65"/>
      <c r="AD7" s="42"/>
      <c r="AE7" s="42"/>
      <c r="AF7" s="42"/>
    </row>
    <row r="8">
      <c r="A8" s="11" t="s">
        <v>98</v>
      </c>
      <c r="B8" s="11" t="s">
        <v>178</v>
      </c>
      <c r="C8" s="25"/>
      <c r="D8" s="11" t="s">
        <v>77</v>
      </c>
      <c r="E8" s="11">
        <f t="shared" si="1"/>
        <v>1</v>
      </c>
      <c r="F8" s="30" t="s">
        <v>85</v>
      </c>
      <c r="G8" s="31">
        <v>1.0</v>
      </c>
      <c r="H8" s="31">
        <v>1.0</v>
      </c>
      <c r="I8" s="34" t="s">
        <v>86</v>
      </c>
      <c r="J8" s="11" t="s">
        <v>87</v>
      </c>
      <c r="K8" s="38">
        <f t="shared" si="2"/>
        <v>1</v>
      </c>
      <c r="L8" s="18" t="s">
        <v>86</v>
      </c>
      <c r="M8" s="18" t="s">
        <v>86</v>
      </c>
      <c r="N8" s="18"/>
      <c r="O8" s="18"/>
      <c r="P8" s="18" t="s">
        <v>186</v>
      </c>
      <c r="Q8" s="42" t="str">
        <f>iferror(VLOOKUP(A8,'Positional cal'!A:H,1,0)=A8,"FALSE")</f>
        <v>FALSE</v>
      </c>
      <c r="R8" s="43" t="b">
        <f t="shared" si="3"/>
        <v>0</v>
      </c>
      <c r="S8" s="46" t="str">
        <f>IFERROR(VLOOKUP($A8,AlgoUi!$A:$X,21,0),"NA")</f>
        <v/>
      </c>
      <c r="T8" s="46" t="str">
        <f>IFERROR(VLOOKUP($A8,AlgoUi!$A:$X,23,0),"")</f>
        <v/>
      </c>
      <c r="U8" s="46" t="str">
        <f>IFERROR(VLOOKUP($A8,AlgoUi!$A:$X,24,0),"")</f>
        <v/>
      </c>
      <c r="V8" s="42" t="str">
        <f>IFERROR(__xludf.DUMMYFUNCTION("IFERROR(VLOOKUP(I8,IMPORTRANGE(""https://docs.google.com/spreadsheets/d/17FOIUYQAjPk1pPQIlvOgqYDBqwUqgb7KWzp4DtVksBk/edit?gid=0#gid=0"",""Servers!A:S""),19,FALSE), ""Not Running"")"),"Not Running")</f>
        <v>Not Running</v>
      </c>
      <c r="W8" s="47" t="str">
        <f>VLOOKUP($A8,Category!$A:$E,4,0)</f>
        <v>CC</v>
      </c>
      <c r="X8" s="47" t="str">
        <f>VLOOKUP($A8,Category!$A:$E,5,0)</f>
        <v>CC</v>
      </c>
      <c r="Y8" s="18" t="str">
        <f>VLOOKUP(A8,PAcc!$A$1:$J$27,10,0)</f>
        <v>#N/A</v>
      </c>
      <c r="Z8" s="42" t="b">
        <f t="shared" si="4"/>
        <v>0</v>
      </c>
      <c r="AA8" s="50">
        <v>1.0</v>
      </c>
      <c r="AB8" s="42" t="str">
        <f>VLOOKUP(A8,VlookupSheet!$A$383:$A$523,1,0)</f>
        <v>#N/A</v>
      </c>
      <c r="AC8" s="60"/>
      <c r="AD8" s="42"/>
      <c r="AE8" s="42"/>
      <c r="AF8" s="42"/>
    </row>
    <row r="9">
      <c r="A9" s="11" t="s">
        <v>197</v>
      </c>
      <c r="B9" s="24" t="s">
        <v>198</v>
      </c>
      <c r="C9" s="25"/>
      <c r="D9" s="11" t="s">
        <v>77</v>
      </c>
      <c r="E9" s="11">
        <f t="shared" si="1"/>
        <v>1</v>
      </c>
      <c r="F9" s="11" t="s">
        <v>139</v>
      </c>
      <c r="G9" s="31">
        <v>1.0</v>
      </c>
      <c r="H9" s="31">
        <v>1.0</v>
      </c>
      <c r="I9" s="18" t="s">
        <v>86</v>
      </c>
      <c r="J9" s="11" t="s">
        <v>87</v>
      </c>
      <c r="K9" s="38">
        <f t="shared" si="2"/>
        <v>1</v>
      </c>
      <c r="L9" s="18" t="s">
        <v>86</v>
      </c>
      <c r="M9" s="18" t="s">
        <v>86</v>
      </c>
      <c r="N9" s="42"/>
      <c r="O9" s="42"/>
      <c r="P9" s="42"/>
      <c r="Q9" s="42" t="str">
        <f>iferror(VLOOKUP(A9,'Positional cal'!A:H,1,0)=A9,"FALSE")</f>
        <v>FALSE</v>
      </c>
      <c r="R9" s="43" t="b">
        <f t="shared" si="3"/>
        <v>0</v>
      </c>
      <c r="S9" s="46" t="str">
        <f>IFERROR(VLOOKUP($A9,AlgoUi!$A:$X,21,0),"NA")</f>
        <v/>
      </c>
      <c r="T9" s="46" t="str">
        <f>IFERROR(VLOOKUP($A9,AlgoUi!$A:$X,23,0),"")</f>
        <v/>
      </c>
      <c r="U9" s="46" t="str">
        <f>IFERROR(VLOOKUP($A9,AlgoUi!$A:$X,24,0),"")</f>
        <v/>
      </c>
      <c r="V9" s="42" t="str">
        <f>IFERROR(__xludf.DUMMYFUNCTION("IFERROR(VLOOKUP(I9,IMPORTRANGE(""https://docs.google.com/spreadsheets/d/17FOIUYQAjPk1pPQIlvOgqYDBqwUqgb7KWzp4DtVksBk/edit?gid=0#gid=0"",""Servers!A:S""),19,FALSE), ""Not Running"")"),"Not Running")</f>
        <v>Not Running</v>
      </c>
      <c r="W9" s="47" t="str">
        <f>VLOOKUP($A9,Category!$A:$E,4,0)</f>
        <v>MS</v>
      </c>
      <c r="X9" s="47" t="str">
        <f>VLOOKUP($A9,Category!$A:$E,5,0)</f>
        <v>MSR</v>
      </c>
      <c r="Y9" s="18" t="str">
        <f>VLOOKUP(A9,PAcc!$A$1:$J$27,10,0)</f>
        <v>#N/A</v>
      </c>
      <c r="Z9" s="42" t="b">
        <f t="shared" si="4"/>
        <v>0</v>
      </c>
      <c r="AA9" s="42"/>
      <c r="AB9" s="42" t="str">
        <f>VLOOKUP(A9,VlookupSheet!$A$383:$A$523,1,0)</f>
        <v>#N/A</v>
      </c>
      <c r="AC9" s="65"/>
      <c r="AD9" s="42"/>
      <c r="AE9" s="42"/>
      <c r="AF9" s="42"/>
    </row>
    <row r="10">
      <c r="A10" s="11" t="s">
        <v>212</v>
      </c>
      <c r="B10" s="24" t="s">
        <v>213</v>
      </c>
      <c r="C10" s="25"/>
      <c r="D10" s="11" t="s">
        <v>77</v>
      </c>
      <c r="E10" s="11">
        <f t="shared" si="1"/>
        <v>1</v>
      </c>
      <c r="F10" s="24" t="s">
        <v>213</v>
      </c>
      <c r="G10" s="31">
        <v>1.0</v>
      </c>
      <c r="H10" s="31">
        <v>1.0</v>
      </c>
      <c r="I10" s="11" t="s">
        <v>86</v>
      </c>
      <c r="J10" s="11" t="s">
        <v>87</v>
      </c>
      <c r="K10" s="38">
        <f t="shared" si="2"/>
        <v>1</v>
      </c>
      <c r="L10" s="18" t="s">
        <v>86</v>
      </c>
      <c r="M10" s="18" t="s">
        <v>86</v>
      </c>
      <c r="N10" s="42"/>
      <c r="O10" s="42"/>
      <c r="P10" s="42"/>
      <c r="Q10" s="42" t="str">
        <f>iferror(VLOOKUP(A10,'Positional cal'!A:H,1,0)=A10,"FALSE")</f>
        <v>FALSE</v>
      </c>
      <c r="R10" s="43" t="b">
        <f t="shared" si="3"/>
        <v>0</v>
      </c>
      <c r="S10" s="46" t="str">
        <f>IFERROR(VLOOKUP($A10,AlgoUi!$A:$X,21,0),"NA")</f>
        <v>NA</v>
      </c>
      <c r="T10" s="46" t="str">
        <f>IFERROR(VLOOKUP($A10,AlgoUi!$A:$X,23,0),"")</f>
        <v/>
      </c>
      <c r="U10" s="46" t="str">
        <f>IFERROR(VLOOKUP($A10,AlgoUi!$A:$X,24,0),"")</f>
        <v/>
      </c>
      <c r="V10" s="42" t="str">
        <f>IFERROR(__xludf.DUMMYFUNCTION("IFERROR(VLOOKUP(I10,IMPORTRANGE(""https://docs.google.com/spreadsheets/d/17FOIUYQAjPk1pPQIlvOgqYDBqwUqgb7KWzp4DtVksBk/edit?gid=0#gid=0"",""Servers!A:S""),19,FALSE), ""Not Running"")"),"Not Running")</f>
        <v>Not Running</v>
      </c>
      <c r="W10" s="47" t="str">
        <f>VLOOKUP($A10,Category!$A:$E,4,0)</f>
        <v>MS</v>
      </c>
      <c r="X10" s="47" t="str">
        <f>VLOOKUP($A10,Category!$A:$E,5,0)</f>
        <v>MS</v>
      </c>
      <c r="Y10" s="18" t="str">
        <f>VLOOKUP(A10,PAcc!$A$1:$J$27,10,0)</f>
        <v>#N/A</v>
      </c>
      <c r="Z10" s="42" t="b">
        <f t="shared" si="4"/>
        <v>0</v>
      </c>
      <c r="AA10" s="42"/>
      <c r="AB10" s="42" t="str">
        <f>VLOOKUP(A10,VlookupSheet!$A$383:$A$523,1,0)</f>
        <v>#N/A</v>
      </c>
      <c r="AC10" s="65"/>
      <c r="AD10" s="42"/>
      <c r="AE10" s="42"/>
      <c r="AF10" s="42"/>
    </row>
    <row r="11">
      <c r="A11" s="11" t="s">
        <v>230</v>
      </c>
      <c r="B11" s="24" t="s">
        <v>231</v>
      </c>
      <c r="C11" s="25"/>
      <c r="D11" s="11" t="s">
        <v>77</v>
      </c>
      <c r="E11" s="11">
        <f t="shared" si="1"/>
        <v>1</v>
      </c>
      <c r="F11" s="30" t="s">
        <v>232</v>
      </c>
      <c r="G11" s="31">
        <v>1.0</v>
      </c>
      <c r="H11" s="31">
        <v>1.0</v>
      </c>
      <c r="I11" s="11" t="s">
        <v>86</v>
      </c>
      <c r="J11" s="11" t="s">
        <v>87</v>
      </c>
      <c r="K11" s="38">
        <f t="shared" si="2"/>
        <v>1</v>
      </c>
      <c r="L11" s="18" t="s">
        <v>86</v>
      </c>
      <c r="M11" s="18" t="s">
        <v>86</v>
      </c>
      <c r="N11" s="74"/>
      <c r="O11" s="74"/>
      <c r="P11" s="74"/>
      <c r="Q11" s="42" t="str">
        <f>iferror(VLOOKUP(A11,'Positional cal'!A:H,1,0)=A11,"FALSE")</f>
        <v>FALSE</v>
      </c>
      <c r="R11" s="43" t="b">
        <f t="shared" si="3"/>
        <v>0</v>
      </c>
      <c r="S11" s="46" t="str">
        <f>IFERROR(VLOOKUP($A11,AlgoUi!$A:$X,21,0),"NA")</f>
        <v/>
      </c>
      <c r="T11" s="46" t="str">
        <f>IFERROR(VLOOKUP($A11,AlgoUi!$A:$X,23,0),"")</f>
        <v/>
      </c>
      <c r="U11" s="46" t="str">
        <f>IFERROR(VLOOKUP($A11,AlgoUi!$A:$X,24,0),"")</f>
        <v/>
      </c>
      <c r="V11" s="42" t="str">
        <f>IFERROR(__xludf.DUMMYFUNCTION("IFERROR(VLOOKUP(I11,IMPORTRANGE(""https://docs.google.com/spreadsheets/d/17FOIUYQAjPk1pPQIlvOgqYDBqwUqgb7KWzp4DtVksBk/edit?gid=0#gid=0"",""Servers!A:S""),19,FALSE), ""Not Running"")"),"Not Running")</f>
        <v>Not Running</v>
      </c>
      <c r="W11" s="47" t="str">
        <f>VLOOKUP($A11,Category!$A:$E,4,0)</f>
        <v>MS</v>
      </c>
      <c r="X11" s="47" t="str">
        <f>VLOOKUP($A11,Category!$A:$E,5,0)</f>
        <v>MS</v>
      </c>
      <c r="Y11" s="18" t="str">
        <f>VLOOKUP(A11,PAcc!$A$1:$J$27,10,0)</f>
        <v>#N/A</v>
      </c>
      <c r="Z11" s="42" t="b">
        <f t="shared" si="4"/>
        <v>0</v>
      </c>
      <c r="AA11" s="42"/>
      <c r="AB11" s="42" t="str">
        <f>VLOOKUP(A11,VlookupSheet!$A$383:$A$523,1,0)</f>
        <v>#N/A</v>
      </c>
      <c r="AC11" s="65"/>
      <c r="AD11" s="42"/>
      <c r="AE11" s="42"/>
      <c r="AF11" s="42"/>
    </row>
    <row r="12">
      <c r="A12" s="11" t="s">
        <v>243</v>
      </c>
      <c r="B12" s="11" t="s">
        <v>244</v>
      </c>
      <c r="C12" s="25"/>
      <c r="D12" s="11" t="s">
        <v>77</v>
      </c>
      <c r="E12" s="11">
        <f t="shared" si="1"/>
        <v>1</v>
      </c>
      <c r="F12" s="30" t="s">
        <v>85</v>
      </c>
      <c r="G12" s="31">
        <v>1.0</v>
      </c>
      <c r="H12" s="31">
        <v>1.0</v>
      </c>
      <c r="I12" s="34" t="s">
        <v>86</v>
      </c>
      <c r="J12" s="11" t="s">
        <v>87</v>
      </c>
      <c r="K12" s="38">
        <f t="shared" si="2"/>
        <v>1</v>
      </c>
      <c r="L12" s="18" t="s">
        <v>86</v>
      </c>
      <c r="M12" s="18" t="s">
        <v>86</v>
      </c>
      <c r="N12" s="18"/>
      <c r="O12" s="18"/>
      <c r="P12" s="18" t="s">
        <v>247</v>
      </c>
      <c r="Q12" s="42" t="str">
        <f>iferror(VLOOKUP(A12,'Positional cal'!A:H,1,0)=A12,"FALSE")</f>
        <v>FALSE</v>
      </c>
      <c r="R12" s="43" t="b">
        <f t="shared" si="3"/>
        <v>0</v>
      </c>
      <c r="S12" s="46" t="str">
        <f>IFERROR(VLOOKUP($A12,AlgoUi!$A:$X,21,0),"NA")</f>
        <v/>
      </c>
      <c r="T12" s="46" t="str">
        <f>IFERROR(VLOOKUP($A12,AlgoUi!$A:$X,23,0),"")</f>
        <v/>
      </c>
      <c r="U12" s="46" t="str">
        <f>IFERROR(VLOOKUP($A12,AlgoUi!$A:$X,24,0),"")</f>
        <v/>
      </c>
      <c r="V12" s="42" t="str">
        <f>IFERROR(__xludf.DUMMYFUNCTION("IFERROR(VLOOKUP(I12,IMPORTRANGE(""https://docs.google.com/spreadsheets/d/17FOIUYQAjPk1pPQIlvOgqYDBqwUqgb7KWzp4DtVksBk/edit?gid=0#gid=0"",""Servers!A:S""),19,FALSE), ""Not Running"")"),"Not Running")</f>
        <v>Not Running</v>
      </c>
      <c r="W12" s="47" t="str">
        <f>VLOOKUP($A12,Category!$A:$E,4,0)</f>
        <v>CC</v>
      </c>
      <c r="X12" s="47" t="str">
        <f>VLOOKUP($A12,Category!$A:$E,5,0)</f>
        <v>CC</v>
      </c>
      <c r="Y12" s="18" t="str">
        <f>VLOOKUP(A12,PAcc!$A$1:$J$27,10,0)</f>
        <v>#N/A</v>
      </c>
      <c r="Z12" s="42" t="b">
        <f t="shared" si="4"/>
        <v>0</v>
      </c>
      <c r="AA12" s="50">
        <v>1.0</v>
      </c>
      <c r="AB12" s="42" t="str">
        <f>VLOOKUP(A12,VlookupSheet!$A$383:$A$523,1,0)</f>
        <v>#N/A</v>
      </c>
      <c r="AC12" s="65"/>
      <c r="AD12" s="42"/>
      <c r="AE12" s="42"/>
      <c r="AF12" s="42"/>
    </row>
    <row r="13">
      <c r="A13" s="83" t="s">
        <v>257</v>
      </c>
      <c r="B13" s="84" t="s">
        <v>258</v>
      </c>
      <c r="C13" s="25"/>
      <c r="D13" s="11" t="s">
        <v>77</v>
      </c>
      <c r="E13" s="11">
        <f t="shared" si="1"/>
        <v>1</v>
      </c>
      <c r="F13" s="11" t="s">
        <v>85</v>
      </c>
      <c r="G13" s="31">
        <v>1.0</v>
      </c>
      <c r="H13" s="31">
        <v>1.0</v>
      </c>
      <c r="I13" s="30" t="s">
        <v>86</v>
      </c>
      <c r="J13" s="11" t="s">
        <v>87</v>
      </c>
      <c r="K13" s="38">
        <f t="shared" si="2"/>
        <v>1</v>
      </c>
      <c r="L13" s="18" t="s">
        <v>86</v>
      </c>
      <c r="M13" s="18" t="s">
        <v>86</v>
      </c>
      <c r="N13" s="18"/>
      <c r="O13" s="18"/>
      <c r="P13" s="18" t="s">
        <v>261</v>
      </c>
      <c r="Q13" s="42" t="str">
        <f>iferror(VLOOKUP(A13,'Positional cal'!A:H,1,0)=A13,"FALSE")</f>
        <v>FALSE</v>
      </c>
      <c r="R13" s="43" t="b">
        <f t="shared" si="3"/>
        <v>0</v>
      </c>
      <c r="S13" s="46" t="str">
        <f>IFERROR(VLOOKUP($A13,AlgoUi!$A:$X,21,0),"NA")</f>
        <v/>
      </c>
      <c r="T13" s="46" t="str">
        <f>IFERROR(VLOOKUP($A13,AlgoUi!$A:$X,23,0),"")</f>
        <v/>
      </c>
      <c r="U13" s="46" t="str">
        <f>IFERROR(VLOOKUP($A13,AlgoUi!$A:$X,24,0),"")</f>
        <v/>
      </c>
      <c r="V13" s="42" t="str">
        <f>IFERROR(__xludf.DUMMYFUNCTION("IFERROR(VLOOKUP(I13,IMPORTRANGE(""https://docs.google.com/spreadsheets/d/17FOIUYQAjPk1pPQIlvOgqYDBqwUqgb7KWzp4DtVksBk/edit?gid=0#gid=0"",""Servers!A:S""),19,FALSE), ""Not Running"")"),"Not Running")</f>
        <v>Not Running</v>
      </c>
      <c r="W13" s="47" t="str">
        <f>VLOOKUP($A13,Category!$A:$E,4,0)</f>
        <v>CC</v>
      </c>
      <c r="X13" s="47" t="str">
        <f>VLOOKUP($A13,Category!$A:$E,5,0)</f>
        <v>CC</v>
      </c>
      <c r="Y13" s="18" t="str">
        <f>VLOOKUP(A13,PAcc!$A$1:$J$27,10,0)</f>
        <v>#N/A</v>
      </c>
      <c r="Z13" s="42" t="b">
        <f t="shared" si="4"/>
        <v>0</v>
      </c>
      <c r="AA13" s="50">
        <v>1.0</v>
      </c>
      <c r="AB13" s="42" t="str">
        <f>VLOOKUP(A13,VlookupSheet!$A$383:$A$523,1,0)</f>
        <v>#N/A</v>
      </c>
      <c r="AC13" s="42"/>
      <c r="AD13" s="42"/>
      <c r="AE13" s="42"/>
      <c r="AF13" s="42"/>
    </row>
    <row r="14">
      <c r="A14" s="30" t="s">
        <v>264</v>
      </c>
      <c r="B14" s="84" t="s">
        <v>265</v>
      </c>
      <c r="C14" s="85"/>
      <c r="D14" s="11" t="s">
        <v>77</v>
      </c>
      <c r="E14" s="11">
        <f t="shared" si="1"/>
        <v>1</v>
      </c>
      <c r="F14" s="30" t="s">
        <v>266</v>
      </c>
      <c r="G14" s="31">
        <v>1.0</v>
      </c>
      <c r="H14" s="31">
        <v>1.0</v>
      </c>
      <c r="I14" s="30" t="s">
        <v>267</v>
      </c>
      <c r="J14" s="30" t="s">
        <v>87</v>
      </c>
      <c r="K14" s="38">
        <f t="shared" si="2"/>
        <v>1</v>
      </c>
      <c r="L14" s="18" t="s">
        <v>268</v>
      </c>
      <c r="M14" s="18" t="s">
        <v>268</v>
      </c>
      <c r="N14" s="34"/>
      <c r="O14" s="34"/>
      <c r="P14" s="34" t="s">
        <v>269</v>
      </c>
      <c r="Q14" s="42" t="str">
        <f>iferror(VLOOKUP(A14,'Positional cal'!A:H,1,0)=A14,"FALSE")</f>
        <v>FALSE</v>
      </c>
      <c r="R14" s="43" t="b">
        <f t="shared" si="3"/>
        <v>0</v>
      </c>
      <c r="S14" s="46" t="str">
        <f>IFERROR(VLOOKUP($A14,AlgoUi!$A:$X,21,0),"NA")</f>
        <v/>
      </c>
      <c r="T14" s="46" t="str">
        <f>IFERROR(VLOOKUP($A14,AlgoUi!$A:$X,23,0),"")</f>
        <v/>
      </c>
      <c r="U14" s="46" t="str">
        <f>IFERROR(VLOOKUP($A14,AlgoUi!$A:$X,24,0),"")</f>
        <v/>
      </c>
      <c r="V14" s="42" t="str">
        <f>IFERROR(__xludf.DUMMYFUNCTION("IFERROR(VLOOKUP(I14,IMPORTRANGE(""https://docs.google.com/spreadsheets/d/17FOIUYQAjPk1pPQIlvOgqYDBqwUqgb7KWzp4DtVksBk/edit?gid=0#gid=0"",""Servers!A:S""),19,FALSE), ""Not Running"")"),"Not Running")</f>
        <v>Not Running</v>
      </c>
      <c r="W14" s="47" t="str">
        <f>VLOOKUP($A14,Category!$A:$E,4,0)</f>
        <v>MS</v>
      </c>
      <c r="X14" s="47" t="str">
        <f>VLOOKUP($A14,Category!$A:$E,5,0)</f>
        <v>MSJ</v>
      </c>
      <c r="Y14" s="18" t="str">
        <f>VLOOKUP(A14,PAcc!$A$1:$J$27,10,0)</f>
        <v>#N/A</v>
      </c>
      <c r="Z14" s="42" t="b">
        <f t="shared" si="4"/>
        <v>0</v>
      </c>
      <c r="AA14" s="42"/>
      <c r="AB14" s="42" t="str">
        <f>VLOOKUP(A14,VlookupSheet!$A$383:$A$523,1,0)</f>
        <v>#N/A</v>
      </c>
      <c r="AC14" s="50">
        <v>0.01</v>
      </c>
      <c r="AD14" s="42"/>
      <c r="AE14" s="42"/>
      <c r="AF14" s="42"/>
    </row>
    <row r="15">
      <c r="A15" s="30" t="s">
        <v>270</v>
      </c>
      <c r="B15" s="84" t="s">
        <v>271</v>
      </c>
      <c r="C15" s="85"/>
      <c r="D15" s="11" t="s">
        <v>77</v>
      </c>
      <c r="E15" s="11">
        <f t="shared" si="1"/>
        <v>1</v>
      </c>
      <c r="F15" s="30" t="s">
        <v>272</v>
      </c>
      <c r="G15" s="31">
        <v>1.0</v>
      </c>
      <c r="H15" s="31">
        <v>1.0</v>
      </c>
      <c r="I15" s="34" t="s">
        <v>267</v>
      </c>
      <c r="J15" s="30" t="s">
        <v>87</v>
      </c>
      <c r="K15" s="38">
        <f t="shared" si="2"/>
        <v>1</v>
      </c>
      <c r="L15" s="18" t="s">
        <v>268</v>
      </c>
      <c r="M15" s="18" t="s">
        <v>268</v>
      </c>
      <c r="N15" s="34"/>
      <c r="O15" s="34"/>
      <c r="P15" s="34" t="s">
        <v>273</v>
      </c>
      <c r="Q15" s="42" t="str">
        <f>iferror(VLOOKUP(A15,'Positional cal'!A:H,1,0)=A15,"FALSE")</f>
        <v>FALSE</v>
      </c>
      <c r="R15" s="43" t="b">
        <f t="shared" si="3"/>
        <v>0</v>
      </c>
      <c r="S15" s="46" t="str">
        <f>IFERROR(VLOOKUP($A15,AlgoUi!$A:$X,21,0),"NA")</f>
        <v/>
      </c>
      <c r="T15" s="46" t="str">
        <f>IFERROR(VLOOKUP($A15,AlgoUi!$A:$X,23,0),"")</f>
        <v/>
      </c>
      <c r="U15" s="46" t="str">
        <f>IFERROR(VLOOKUP($A15,AlgoUi!$A:$X,24,0),"")</f>
        <v/>
      </c>
      <c r="V15" s="42" t="str">
        <f>IFERROR(__xludf.DUMMYFUNCTION("IFERROR(VLOOKUP(I15,IMPORTRANGE(""https://docs.google.com/spreadsheets/d/17FOIUYQAjPk1pPQIlvOgqYDBqwUqgb7KWzp4DtVksBk/edit?gid=0#gid=0"",""Servers!A:S""),19,FALSE), ""Not Running"")"),"Not Running")</f>
        <v>Not Running</v>
      </c>
      <c r="W15" s="47" t="str">
        <f>VLOOKUP($A15,Category!$A:$E,4,0)</f>
        <v>MS</v>
      </c>
      <c r="X15" s="47" t="str">
        <f>VLOOKUP($A15,Category!$A:$E,5,0)</f>
        <v>MSJ</v>
      </c>
      <c r="Y15" s="18" t="str">
        <f>VLOOKUP(A15,PAcc!$A$1:$J$27,10,0)</f>
        <v>#N/A</v>
      </c>
      <c r="Z15" s="42" t="b">
        <f t="shared" si="4"/>
        <v>0</v>
      </c>
      <c r="AA15" s="42"/>
      <c r="AB15" s="42" t="str">
        <f>VLOOKUP(A15,VlookupSheet!$A$383:$A$523,1,0)</f>
        <v>#N/A</v>
      </c>
      <c r="AC15" s="50">
        <v>0.01</v>
      </c>
      <c r="AD15" s="42"/>
      <c r="AE15" s="42"/>
      <c r="AF15" s="42"/>
    </row>
    <row r="16">
      <c r="A16" s="30" t="s">
        <v>275</v>
      </c>
      <c r="B16" s="86" t="s">
        <v>276</v>
      </c>
      <c r="C16" s="74"/>
      <c r="D16" s="11" t="s">
        <v>77</v>
      </c>
      <c r="E16" s="11">
        <f t="shared" si="1"/>
        <v>1</v>
      </c>
      <c r="F16" s="34" t="s">
        <v>272</v>
      </c>
      <c r="G16" s="31">
        <v>1.0</v>
      </c>
      <c r="H16" s="31">
        <v>1.0</v>
      </c>
      <c r="I16" s="34" t="s">
        <v>267</v>
      </c>
      <c r="J16" s="30" t="s">
        <v>87</v>
      </c>
      <c r="K16" s="38">
        <f t="shared" si="2"/>
        <v>1</v>
      </c>
      <c r="L16" s="18" t="s">
        <v>268</v>
      </c>
      <c r="M16" s="18" t="s">
        <v>268</v>
      </c>
      <c r="N16" s="74"/>
      <c r="O16" s="74"/>
      <c r="P16" s="74"/>
      <c r="Q16" s="42" t="str">
        <f>iferror(VLOOKUP(A16,'Positional cal'!A:H,1,0)=A16,"FALSE")</f>
        <v>FALSE</v>
      </c>
      <c r="R16" s="43" t="b">
        <f t="shared" si="3"/>
        <v>0</v>
      </c>
      <c r="S16" s="46" t="str">
        <f>IFERROR(VLOOKUP($A16,AlgoUi!$A:$X,21,0),"NA")</f>
        <v/>
      </c>
      <c r="T16" s="46" t="str">
        <f>IFERROR(VLOOKUP($A16,AlgoUi!$A:$X,23,0),"")</f>
        <v/>
      </c>
      <c r="U16" s="46" t="str">
        <f>IFERROR(VLOOKUP($A16,AlgoUi!$A:$X,24,0),"")</f>
        <v/>
      </c>
      <c r="V16" s="42" t="str">
        <f>IFERROR(__xludf.DUMMYFUNCTION("IFERROR(VLOOKUP(I16,IMPORTRANGE(""https://docs.google.com/spreadsheets/d/17FOIUYQAjPk1pPQIlvOgqYDBqwUqgb7KWzp4DtVksBk/edit?gid=0#gid=0"",""Servers!A:S""),19,FALSE), ""Not Running"")"),"Not Running")</f>
        <v>Not Running</v>
      </c>
      <c r="W16" s="47" t="str">
        <f>VLOOKUP($A16,Category!$A:$E,4,0)</f>
        <v>MS</v>
      </c>
      <c r="X16" s="47" t="str">
        <f>VLOOKUP($A16,Category!$A:$E,5,0)</f>
        <v>MSJ</v>
      </c>
      <c r="Y16" s="18" t="str">
        <f>VLOOKUP(A16,PAcc!$A$1:$J$27,10,0)</f>
        <v>#N/A</v>
      </c>
      <c r="Z16" s="42" t="b">
        <f t="shared" si="4"/>
        <v>0</v>
      </c>
      <c r="AA16" s="42"/>
      <c r="AB16" s="42" t="str">
        <f>VLOOKUP(A16,VlookupSheet!$A$383:$A$523,1,0)</f>
        <v>#N/A</v>
      </c>
      <c r="AC16" s="50">
        <v>0.01</v>
      </c>
      <c r="AD16" s="42"/>
      <c r="AE16" s="42"/>
      <c r="AF16" s="42"/>
    </row>
    <row r="17">
      <c r="A17" s="30" t="s">
        <v>277</v>
      </c>
      <c r="B17" s="84" t="s">
        <v>278</v>
      </c>
      <c r="C17" s="85"/>
      <c r="D17" s="11" t="s">
        <v>77</v>
      </c>
      <c r="E17" s="11">
        <f t="shared" si="1"/>
        <v>1</v>
      </c>
      <c r="F17" s="30" t="s">
        <v>266</v>
      </c>
      <c r="G17" s="31">
        <v>1.0</v>
      </c>
      <c r="H17" s="31">
        <v>1.0</v>
      </c>
      <c r="I17" s="34" t="s">
        <v>267</v>
      </c>
      <c r="J17" s="30" t="s">
        <v>87</v>
      </c>
      <c r="K17" s="38">
        <f t="shared" si="2"/>
        <v>1</v>
      </c>
      <c r="L17" s="18" t="s">
        <v>268</v>
      </c>
      <c r="M17" s="18" t="s">
        <v>268</v>
      </c>
      <c r="N17" s="34"/>
      <c r="O17" s="34"/>
      <c r="P17" s="34" t="s">
        <v>279</v>
      </c>
      <c r="Q17" s="42" t="str">
        <f>iferror(VLOOKUP(A17,'Positional cal'!A:H,1,0)=A17,"FALSE")</f>
        <v>FALSE</v>
      </c>
      <c r="R17" s="43" t="b">
        <f t="shared" si="3"/>
        <v>0</v>
      </c>
      <c r="S17" s="46" t="str">
        <f>IFERROR(VLOOKUP($A17,AlgoUi!$A:$X,21,0),"NA")</f>
        <v/>
      </c>
      <c r="T17" s="46" t="str">
        <f>IFERROR(VLOOKUP($A17,AlgoUi!$A:$X,23,0),"")</f>
        <v/>
      </c>
      <c r="U17" s="46" t="str">
        <f>IFERROR(VLOOKUP($A17,AlgoUi!$A:$X,24,0),"")</f>
        <v/>
      </c>
      <c r="V17" s="42" t="str">
        <f>IFERROR(__xludf.DUMMYFUNCTION("IFERROR(VLOOKUP(I17,IMPORTRANGE(""https://docs.google.com/spreadsheets/d/17FOIUYQAjPk1pPQIlvOgqYDBqwUqgb7KWzp4DtVksBk/edit?gid=0#gid=0"",""Servers!A:S""),19,FALSE), ""Not Running"")"),"Not Running")</f>
        <v>Not Running</v>
      </c>
      <c r="W17" s="47" t="str">
        <f>VLOOKUP($A17,Category!$A:$E,4,0)</f>
        <v>MS</v>
      </c>
      <c r="X17" s="47" t="str">
        <f>VLOOKUP($A17,Category!$A:$E,5,0)</f>
        <v>MSJ</v>
      </c>
      <c r="Y17" s="18" t="str">
        <f>VLOOKUP(A17,PAcc!$A$1:$J$27,10,0)</f>
        <v>#N/A</v>
      </c>
      <c r="Z17" s="42" t="b">
        <f t="shared" si="4"/>
        <v>0</v>
      </c>
      <c r="AA17" s="42"/>
      <c r="AB17" s="42" t="str">
        <f>VLOOKUP(A17,VlookupSheet!$A$383:$A$523,1,0)</f>
        <v>#N/A</v>
      </c>
      <c r="AC17" s="87">
        <v>0.008</v>
      </c>
      <c r="AD17" s="42"/>
      <c r="AE17" s="42"/>
      <c r="AF17" s="42"/>
    </row>
    <row r="18">
      <c r="A18" s="30" t="s">
        <v>280</v>
      </c>
      <c r="B18" s="84" t="s">
        <v>281</v>
      </c>
      <c r="C18" s="85"/>
      <c r="D18" s="11" t="s">
        <v>77</v>
      </c>
      <c r="E18" s="11">
        <f t="shared" si="1"/>
        <v>1</v>
      </c>
      <c r="F18" s="30" t="s">
        <v>266</v>
      </c>
      <c r="G18" s="31">
        <v>1.0</v>
      </c>
      <c r="H18" s="31">
        <v>1.0</v>
      </c>
      <c r="I18" s="30" t="s">
        <v>267</v>
      </c>
      <c r="J18" s="30" t="s">
        <v>87</v>
      </c>
      <c r="K18" s="38">
        <f t="shared" si="2"/>
        <v>1</v>
      </c>
      <c r="L18" s="18" t="s">
        <v>268</v>
      </c>
      <c r="M18" s="18" t="s">
        <v>268</v>
      </c>
      <c r="N18" s="34"/>
      <c r="O18" s="34"/>
      <c r="P18" s="34" t="s">
        <v>273</v>
      </c>
      <c r="Q18" s="42" t="str">
        <f>iferror(VLOOKUP(A18,'Positional cal'!A:H,1,0)=A18,"FALSE")</f>
        <v>FALSE</v>
      </c>
      <c r="R18" s="43" t="b">
        <f t="shared" si="3"/>
        <v>0</v>
      </c>
      <c r="S18" s="46" t="str">
        <f>IFERROR(VLOOKUP($A18,AlgoUi!$A:$X,21,0),"NA")</f>
        <v/>
      </c>
      <c r="T18" s="46" t="str">
        <f>IFERROR(VLOOKUP($A18,AlgoUi!$A:$X,23,0),"")</f>
        <v/>
      </c>
      <c r="U18" s="46" t="str">
        <f>IFERROR(VLOOKUP($A18,AlgoUi!$A:$X,24,0),"")</f>
        <v/>
      </c>
      <c r="V18" s="42" t="str">
        <f>IFERROR(__xludf.DUMMYFUNCTION("IFERROR(VLOOKUP(I18,IMPORTRANGE(""https://docs.google.com/spreadsheets/d/17FOIUYQAjPk1pPQIlvOgqYDBqwUqgb7KWzp4DtVksBk/edit?gid=0#gid=0"",""Servers!A:S""),19,FALSE), ""Not Running"")"),"Not Running")</f>
        <v>Not Running</v>
      </c>
      <c r="W18" s="47" t="str">
        <f>VLOOKUP($A18,Category!$A:$E,4,0)</f>
        <v>MS</v>
      </c>
      <c r="X18" s="47" t="str">
        <f>VLOOKUP($A18,Category!$A:$E,5,0)</f>
        <v>MSJ</v>
      </c>
      <c r="Y18" s="18" t="str">
        <f>VLOOKUP(A18,PAcc!$A$1:$J$27,10,0)</f>
        <v>#N/A</v>
      </c>
      <c r="Z18" s="42" t="b">
        <f t="shared" si="4"/>
        <v>0</v>
      </c>
      <c r="AA18" s="42"/>
      <c r="AB18" s="42" t="str">
        <f>VLOOKUP(A18,VlookupSheet!$A$383:$A$523,1,0)</f>
        <v>#N/A</v>
      </c>
      <c r="AC18" s="87">
        <v>0.008</v>
      </c>
      <c r="AD18" s="42"/>
      <c r="AE18" s="42"/>
      <c r="AF18" s="42"/>
    </row>
    <row r="19">
      <c r="A19" s="11" t="s">
        <v>283</v>
      </c>
      <c r="B19" s="24" t="s">
        <v>284</v>
      </c>
      <c r="C19" s="25"/>
      <c r="D19" s="11" t="s">
        <v>77</v>
      </c>
      <c r="E19" s="11">
        <f t="shared" si="1"/>
        <v>1</v>
      </c>
      <c r="F19" s="11" t="s">
        <v>285</v>
      </c>
      <c r="G19" s="31">
        <v>1.0</v>
      </c>
      <c r="H19" s="31">
        <v>1.0</v>
      </c>
      <c r="I19" s="11" t="s">
        <v>267</v>
      </c>
      <c r="J19" s="11" t="s">
        <v>87</v>
      </c>
      <c r="K19" s="38">
        <f t="shared" si="2"/>
        <v>1</v>
      </c>
      <c r="L19" s="18" t="s">
        <v>268</v>
      </c>
      <c r="M19" s="18" t="s">
        <v>268</v>
      </c>
      <c r="N19" s="18"/>
      <c r="O19" s="18"/>
      <c r="P19" s="18" t="s">
        <v>286</v>
      </c>
      <c r="Q19" s="42" t="str">
        <f>iferror(VLOOKUP(A19,'Positional cal'!A:H,1,0)=A19,"FALSE")</f>
        <v>FALSE</v>
      </c>
      <c r="R19" s="43" t="b">
        <f t="shared" si="3"/>
        <v>0</v>
      </c>
      <c r="S19" s="46" t="str">
        <f>IFERROR(VLOOKUP($A19,AlgoUi!$A:$X,21,0),"NA")</f>
        <v/>
      </c>
      <c r="T19" s="46" t="str">
        <f>IFERROR(VLOOKUP($A19,AlgoUi!$A:$X,23,0),"")</f>
        <v/>
      </c>
      <c r="U19" s="46" t="str">
        <f>IFERROR(VLOOKUP($A19,AlgoUi!$A:$X,24,0),"")</f>
        <v/>
      </c>
      <c r="V19" s="42" t="str">
        <f>IFERROR(__xludf.DUMMYFUNCTION("IFERROR(VLOOKUP(I19,IMPORTRANGE(""https://docs.google.com/spreadsheets/d/17FOIUYQAjPk1pPQIlvOgqYDBqwUqgb7KWzp4DtVksBk/edit?gid=0#gid=0"",""Servers!A:S""),19,FALSE), ""Not Running"")"),"Not Running")</f>
        <v>Not Running</v>
      </c>
      <c r="W19" s="47" t="str">
        <f>VLOOKUP($A19,Category!$A:$E,4,0)</f>
        <v>MS</v>
      </c>
      <c r="X19" s="47" t="str">
        <f>VLOOKUP($A19,Category!$A:$E,5,0)</f>
        <v>MSJ</v>
      </c>
      <c r="Y19" s="18" t="str">
        <f>VLOOKUP(A19,PAcc!$A$1:$J$27,10,0)</f>
        <v>#N/A</v>
      </c>
      <c r="Z19" s="42" t="b">
        <f t="shared" si="4"/>
        <v>0</v>
      </c>
      <c r="AA19" s="42"/>
      <c r="AB19" s="42" t="str">
        <f>VLOOKUP(A19,VlookupSheet!$A$383:$A$523,1,0)</f>
        <v>#N/A</v>
      </c>
      <c r="AC19" s="87">
        <v>0.008</v>
      </c>
      <c r="AD19" s="42"/>
      <c r="AE19" s="42"/>
      <c r="AF19" s="42"/>
    </row>
    <row r="20">
      <c r="A20" s="18" t="s">
        <v>287</v>
      </c>
      <c r="B20" s="86" t="s">
        <v>288</v>
      </c>
      <c r="C20" s="42"/>
      <c r="D20" s="11" t="s">
        <v>77</v>
      </c>
      <c r="E20" s="11">
        <f t="shared" si="1"/>
        <v>1</v>
      </c>
      <c r="F20" s="88" t="s">
        <v>285</v>
      </c>
      <c r="G20" s="31">
        <v>1.0</v>
      </c>
      <c r="H20" s="31">
        <v>1.0</v>
      </c>
      <c r="I20" s="34" t="s">
        <v>267</v>
      </c>
      <c r="J20" s="30" t="s">
        <v>87</v>
      </c>
      <c r="K20" s="38">
        <f t="shared" si="2"/>
        <v>1</v>
      </c>
      <c r="L20" s="18" t="s">
        <v>268</v>
      </c>
      <c r="M20" s="18" t="s">
        <v>268</v>
      </c>
      <c r="N20" s="42"/>
      <c r="O20" s="42"/>
      <c r="P20" s="42" t="s">
        <v>273</v>
      </c>
      <c r="Q20" s="42" t="str">
        <f>iferror(VLOOKUP(A20,'Positional cal'!A:H,1,0)=A20,"FALSE")</f>
        <v>FALSE</v>
      </c>
      <c r="R20" s="43" t="b">
        <f t="shared" si="3"/>
        <v>0</v>
      </c>
      <c r="S20" s="46" t="str">
        <f>IFERROR(VLOOKUP($A20,AlgoUi!$A:$X,21,0),"NA")</f>
        <v/>
      </c>
      <c r="T20" s="46" t="str">
        <f>IFERROR(VLOOKUP($A20,AlgoUi!$A:$X,23,0),"")</f>
        <v/>
      </c>
      <c r="U20" s="46" t="str">
        <f>IFERROR(VLOOKUP($A20,AlgoUi!$A:$X,24,0),"")</f>
        <v/>
      </c>
      <c r="V20" s="42" t="str">
        <f>IFERROR(__xludf.DUMMYFUNCTION("IFERROR(VLOOKUP(I20,IMPORTRANGE(""https://docs.google.com/spreadsheets/d/17FOIUYQAjPk1pPQIlvOgqYDBqwUqgb7KWzp4DtVksBk/edit?gid=0#gid=0"",""Servers!A:S""),19,FALSE), ""Not Running"")"),"Not Running")</f>
        <v>Not Running</v>
      </c>
      <c r="W20" s="47" t="str">
        <f>VLOOKUP($A20,Category!$A:$E,4,0)</f>
        <v>MS</v>
      </c>
      <c r="X20" s="47" t="str">
        <f>VLOOKUP($A20,Category!$A:$E,5,0)</f>
        <v>MSJ</v>
      </c>
      <c r="Y20" s="18" t="str">
        <f>VLOOKUP(A20,PAcc!$A$1:$J$27,10,0)</f>
        <v>#N/A</v>
      </c>
      <c r="Z20" s="42" t="b">
        <f t="shared" si="4"/>
        <v>0</v>
      </c>
      <c r="AA20" s="42"/>
      <c r="AB20" s="42" t="str">
        <f>VLOOKUP(A20,VlookupSheet!$A$383:$A$523,1,0)</f>
        <v>#N/A</v>
      </c>
      <c r="AC20" s="50">
        <v>0.01</v>
      </c>
      <c r="AD20" s="42"/>
      <c r="AE20" s="42"/>
      <c r="AF20" s="42"/>
    </row>
    <row r="21">
      <c r="A21" s="30" t="s">
        <v>290</v>
      </c>
      <c r="B21" s="84" t="s">
        <v>291</v>
      </c>
      <c r="C21" s="85"/>
      <c r="D21" s="11" t="s">
        <v>77</v>
      </c>
      <c r="E21" s="11">
        <f t="shared" si="1"/>
        <v>1</v>
      </c>
      <c r="F21" s="30" t="s">
        <v>266</v>
      </c>
      <c r="G21" s="31">
        <v>1.0</v>
      </c>
      <c r="H21" s="31">
        <v>1.0</v>
      </c>
      <c r="I21" s="30" t="s">
        <v>267</v>
      </c>
      <c r="J21" s="30" t="s">
        <v>87</v>
      </c>
      <c r="K21" s="38">
        <f t="shared" si="2"/>
        <v>1</v>
      </c>
      <c r="L21" s="18" t="s">
        <v>268</v>
      </c>
      <c r="M21" s="18" t="s">
        <v>268</v>
      </c>
      <c r="N21" s="34"/>
      <c r="O21" s="34"/>
      <c r="P21" s="34" t="s">
        <v>292</v>
      </c>
      <c r="Q21" s="42" t="str">
        <f>iferror(VLOOKUP(A21,'Positional cal'!A:H,1,0)=A21,"FALSE")</f>
        <v>FALSE</v>
      </c>
      <c r="R21" s="43" t="b">
        <f t="shared" si="3"/>
        <v>0</v>
      </c>
      <c r="S21" s="46" t="str">
        <f>IFERROR(VLOOKUP($A21,AlgoUi!$A:$X,21,0),"NA")</f>
        <v/>
      </c>
      <c r="T21" s="46" t="str">
        <f>IFERROR(VLOOKUP($A21,AlgoUi!$A:$X,23,0),"")</f>
        <v/>
      </c>
      <c r="U21" s="46" t="str">
        <f>IFERROR(VLOOKUP($A21,AlgoUi!$A:$X,24,0),"")</f>
        <v/>
      </c>
      <c r="V21" s="42" t="str">
        <f>IFERROR(__xludf.DUMMYFUNCTION("IFERROR(VLOOKUP(I21,IMPORTRANGE(""https://docs.google.com/spreadsheets/d/17FOIUYQAjPk1pPQIlvOgqYDBqwUqgb7KWzp4DtVksBk/edit?gid=0#gid=0"",""Servers!A:S""),19,FALSE), ""Not Running"")"),"Not Running")</f>
        <v>Not Running</v>
      </c>
      <c r="W21" s="47" t="str">
        <f>VLOOKUP($A21,Category!$A:$E,4,0)</f>
        <v>MS</v>
      </c>
      <c r="X21" s="47" t="str">
        <f>VLOOKUP($A21,Category!$A:$E,5,0)</f>
        <v>MSJ</v>
      </c>
      <c r="Y21" s="18" t="str">
        <f>VLOOKUP(A21,PAcc!$A$1:$J$27,10,0)</f>
        <v>#N/A</v>
      </c>
      <c r="Z21" s="42" t="b">
        <f t="shared" si="4"/>
        <v>0</v>
      </c>
      <c r="AA21" s="42"/>
      <c r="AB21" s="42" t="str">
        <f>VLOOKUP(A21,VlookupSheet!$A$383:$A$523,1,0)</f>
        <v>#N/A</v>
      </c>
      <c r="AC21" s="50">
        <v>0.01</v>
      </c>
      <c r="AD21" s="42"/>
      <c r="AE21" s="42"/>
      <c r="AF21" s="42"/>
    </row>
    <row r="22">
      <c r="A22" s="30" t="s">
        <v>293</v>
      </c>
      <c r="B22" s="84" t="s">
        <v>294</v>
      </c>
      <c r="C22" s="85"/>
      <c r="D22" s="11" t="s">
        <v>77</v>
      </c>
      <c r="E22" s="11">
        <f t="shared" si="1"/>
        <v>1</v>
      </c>
      <c r="F22" s="30" t="s">
        <v>266</v>
      </c>
      <c r="G22" s="31">
        <v>1.0</v>
      </c>
      <c r="H22" s="31">
        <v>1.0</v>
      </c>
      <c r="I22" s="34" t="s">
        <v>267</v>
      </c>
      <c r="J22" s="30" t="s">
        <v>87</v>
      </c>
      <c r="K22" s="38">
        <f t="shared" si="2"/>
        <v>1</v>
      </c>
      <c r="L22" s="18" t="s">
        <v>268</v>
      </c>
      <c r="M22" s="18" t="s">
        <v>268</v>
      </c>
      <c r="N22" s="47"/>
      <c r="O22" s="47"/>
      <c r="P22" s="47"/>
      <c r="Q22" s="42" t="str">
        <f>iferror(VLOOKUP(A22,'Positional cal'!A:H,1,0)=A22,"FALSE")</f>
        <v>FALSE</v>
      </c>
      <c r="R22" s="43" t="b">
        <f t="shared" si="3"/>
        <v>0</v>
      </c>
      <c r="S22" s="46" t="str">
        <f>IFERROR(VLOOKUP($A22,AlgoUi!$A:$X,21,0),"NA")</f>
        <v/>
      </c>
      <c r="T22" s="46" t="str">
        <f>IFERROR(VLOOKUP($A22,AlgoUi!$A:$X,23,0),"")</f>
        <v/>
      </c>
      <c r="U22" s="46" t="str">
        <f>IFERROR(VLOOKUP($A22,AlgoUi!$A:$X,24,0),"")</f>
        <v/>
      </c>
      <c r="V22" s="42" t="str">
        <f>IFERROR(__xludf.DUMMYFUNCTION("IFERROR(VLOOKUP(I22,IMPORTRANGE(""https://docs.google.com/spreadsheets/d/17FOIUYQAjPk1pPQIlvOgqYDBqwUqgb7KWzp4DtVksBk/edit?gid=0#gid=0"",""Servers!A:S""),19,FALSE), ""Not Running"")"),"Not Running")</f>
        <v>Not Running</v>
      </c>
      <c r="W22" s="47" t="str">
        <f>VLOOKUP($A22,Category!$A:$E,4,0)</f>
        <v>MS</v>
      </c>
      <c r="X22" s="47" t="str">
        <f>VLOOKUP($A22,Category!$A:$E,5,0)</f>
        <v>MSJ</v>
      </c>
      <c r="Y22" s="18" t="str">
        <f>VLOOKUP(A22,PAcc!$A$1:$J$27,10,0)</f>
        <v>#N/A</v>
      </c>
      <c r="Z22" s="42" t="b">
        <f t="shared" si="4"/>
        <v>0</v>
      </c>
      <c r="AA22" s="42"/>
      <c r="AB22" s="42" t="str">
        <f>VLOOKUP(A22,VlookupSheet!$A$383:$A$523,1,0)</f>
        <v>#N/A</v>
      </c>
      <c r="AC22" s="87">
        <v>0.008</v>
      </c>
      <c r="AD22" s="42"/>
      <c r="AE22" s="42"/>
      <c r="AF22" s="42"/>
    </row>
    <row r="23">
      <c r="A23" s="30" t="s">
        <v>295</v>
      </c>
      <c r="B23" s="84" t="s">
        <v>296</v>
      </c>
      <c r="C23" s="85"/>
      <c r="D23" s="11" t="s">
        <v>77</v>
      </c>
      <c r="E23" s="11">
        <f t="shared" si="1"/>
        <v>1</v>
      </c>
      <c r="F23" s="75" t="s">
        <v>297</v>
      </c>
      <c r="G23" s="31">
        <v>1.0</v>
      </c>
      <c r="H23" s="31">
        <v>1.0</v>
      </c>
      <c r="I23" s="30" t="s">
        <v>267</v>
      </c>
      <c r="J23" s="30" t="s">
        <v>87</v>
      </c>
      <c r="K23" s="38">
        <f t="shared" si="2"/>
        <v>1</v>
      </c>
      <c r="L23" s="18" t="s">
        <v>268</v>
      </c>
      <c r="M23" s="18" t="s">
        <v>268</v>
      </c>
      <c r="N23" s="34"/>
      <c r="O23" s="34"/>
      <c r="P23" s="34" t="s">
        <v>298</v>
      </c>
      <c r="Q23" s="42" t="str">
        <f>iferror(VLOOKUP(A23,'Positional cal'!A:H,1,0)=A23,"FALSE")</f>
        <v>FALSE</v>
      </c>
      <c r="R23" s="43" t="b">
        <f t="shared" si="3"/>
        <v>0</v>
      </c>
      <c r="S23" s="46" t="str">
        <f>IFERROR(VLOOKUP($A23,AlgoUi!$A:$X,21,0),"NA")</f>
        <v/>
      </c>
      <c r="T23" s="46" t="str">
        <f>IFERROR(VLOOKUP($A23,AlgoUi!$A:$X,23,0),"")</f>
        <v/>
      </c>
      <c r="U23" s="46" t="str">
        <f>IFERROR(VLOOKUP($A23,AlgoUi!$A:$X,24,0),"")</f>
        <v/>
      </c>
      <c r="V23" s="42" t="str">
        <f>IFERROR(__xludf.DUMMYFUNCTION("IFERROR(VLOOKUP(I23,IMPORTRANGE(""https://docs.google.com/spreadsheets/d/17FOIUYQAjPk1pPQIlvOgqYDBqwUqgb7KWzp4DtVksBk/edit?gid=0#gid=0"",""Servers!A:S""),19,FALSE), ""Not Running"")"),"Not Running")</f>
        <v>Not Running</v>
      </c>
      <c r="W23" s="47" t="str">
        <f>VLOOKUP($A23,Category!$A:$E,4,0)</f>
        <v>CC</v>
      </c>
      <c r="X23" s="47" t="str">
        <f>VLOOKUP($A23,Category!$A:$E,5,0)</f>
        <v>CCG</v>
      </c>
      <c r="Y23" s="18" t="str">
        <f>VLOOKUP(A23,PAcc!$A$1:$J$27,10,0)</f>
        <v>#N/A</v>
      </c>
      <c r="Z23" s="42" t="b">
        <f t="shared" si="4"/>
        <v>0</v>
      </c>
      <c r="AA23" s="50">
        <v>1.0</v>
      </c>
      <c r="AB23" s="42" t="str">
        <f>VLOOKUP(A23,VlookupSheet!$A$383:$A$523,1,0)</f>
        <v>#N/A</v>
      </c>
      <c r="AC23" s="87">
        <v>0.008</v>
      </c>
      <c r="AD23" s="42"/>
      <c r="AE23" s="42"/>
      <c r="AF23" s="42"/>
    </row>
    <row r="24">
      <c r="A24" s="30" t="s">
        <v>300</v>
      </c>
      <c r="B24" s="84" t="s">
        <v>301</v>
      </c>
      <c r="C24" s="85"/>
      <c r="D24" s="11" t="s">
        <v>77</v>
      </c>
      <c r="E24" s="11">
        <f t="shared" si="1"/>
        <v>1</v>
      </c>
      <c r="F24" s="30" t="s">
        <v>302</v>
      </c>
      <c r="G24" s="31">
        <v>1.0</v>
      </c>
      <c r="H24" s="31">
        <v>1.0</v>
      </c>
      <c r="I24" s="30" t="s">
        <v>267</v>
      </c>
      <c r="J24" s="30" t="s">
        <v>87</v>
      </c>
      <c r="K24" s="38">
        <f t="shared" si="2"/>
        <v>1</v>
      </c>
      <c r="L24" s="18" t="s">
        <v>268</v>
      </c>
      <c r="M24" s="18" t="s">
        <v>268</v>
      </c>
      <c r="N24" s="47"/>
      <c r="O24" s="47"/>
      <c r="P24" s="47" t="s">
        <v>112</v>
      </c>
      <c r="Q24" s="42" t="str">
        <f>iferror(VLOOKUP(A24,'Positional cal'!A:H,1,0)=A24,"FALSE")</f>
        <v>FALSE</v>
      </c>
      <c r="R24" s="43" t="b">
        <f t="shared" si="3"/>
        <v>0</v>
      </c>
      <c r="S24" s="46" t="str">
        <f>IFERROR(VLOOKUP($A24,AlgoUi!$A:$X,21,0),"NA")</f>
        <v/>
      </c>
      <c r="T24" s="46" t="str">
        <f>IFERROR(VLOOKUP($A24,AlgoUi!$A:$X,23,0),"")</f>
        <v/>
      </c>
      <c r="U24" s="46" t="str">
        <f>IFERROR(VLOOKUP($A24,AlgoUi!$A:$X,24,0),"")</f>
        <v/>
      </c>
      <c r="V24" s="42" t="str">
        <f>IFERROR(__xludf.DUMMYFUNCTION("IFERROR(VLOOKUP(I24,IMPORTRANGE(""https://docs.google.com/spreadsheets/d/17FOIUYQAjPk1pPQIlvOgqYDBqwUqgb7KWzp4DtVksBk/edit?gid=0#gid=0"",""Servers!A:S""),19,FALSE), ""Not Running"")"),"Not Running")</f>
        <v>Not Running</v>
      </c>
      <c r="W24" s="47" t="str">
        <f>VLOOKUP($A24,Category!$A:$E,4,0)</f>
        <v>CC</v>
      </c>
      <c r="X24" s="47" t="str">
        <f>VLOOKUP($A24,Category!$A:$E,5,0)</f>
        <v>CC</v>
      </c>
      <c r="Y24" s="18" t="str">
        <f>VLOOKUP(A24,PAcc!$A$1:$J$27,10,0)</f>
        <v>#N/A</v>
      </c>
      <c r="Z24" s="42" t="b">
        <f t="shared" si="4"/>
        <v>0</v>
      </c>
      <c r="AA24" s="50">
        <v>1.0</v>
      </c>
      <c r="AB24" s="42" t="str">
        <f>VLOOKUP(A24,VlookupSheet!$A$383:$A$523,1,0)</f>
        <v>#N/A</v>
      </c>
      <c r="AC24" s="50">
        <v>0.01</v>
      </c>
      <c r="AD24" s="42"/>
      <c r="AE24" s="42"/>
      <c r="AF24" s="42"/>
    </row>
    <row r="25">
      <c r="A25" s="11" t="s">
        <v>303</v>
      </c>
      <c r="B25" s="84" t="s">
        <v>304</v>
      </c>
      <c r="C25" s="25"/>
      <c r="D25" s="11" t="s">
        <v>77</v>
      </c>
      <c r="E25" s="11">
        <f t="shared" si="1"/>
        <v>1</v>
      </c>
      <c r="F25" s="11" t="s">
        <v>305</v>
      </c>
      <c r="G25" s="31">
        <v>1.0</v>
      </c>
      <c r="H25" s="31">
        <v>1.0</v>
      </c>
      <c r="I25" s="30" t="s">
        <v>267</v>
      </c>
      <c r="J25" s="30" t="s">
        <v>87</v>
      </c>
      <c r="K25" s="38">
        <f t="shared" si="2"/>
        <v>1</v>
      </c>
      <c r="L25" s="18" t="s">
        <v>268</v>
      </c>
      <c r="M25" s="18" t="s">
        <v>268</v>
      </c>
      <c r="N25" s="18"/>
      <c r="O25" s="18"/>
      <c r="P25" s="18" t="s">
        <v>261</v>
      </c>
      <c r="Q25" s="42" t="str">
        <f>iferror(VLOOKUP(A25,'Positional cal'!A:H,1,0)=A25,"FALSE")</f>
        <v>FALSE</v>
      </c>
      <c r="R25" s="43" t="b">
        <f t="shared" si="3"/>
        <v>0</v>
      </c>
      <c r="S25" s="46" t="str">
        <f>IFERROR(VLOOKUP($A25,AlgoUi!$A:$X,21,0),"NA")</f>
        <v/>
      </c>
      <c r="T25" s="46" t="str">
        <f>IFERROR(VLOOKUP($A25,AlgoUi!$A:$X,23,0),"")</f>
        <v/>
      </c>
      <c r="U25" s="46" t="str">
        <f>IFERROR(VLOOKUP($A25,AlgoUi!$A:$X,24,0),"")</f>
        <v/>
      </c>
      <c r="V25" s="42" t="str">
        <f>IFERROR(__xludf.DUMMYFUNCTION("IFERROR(VLOOKUP(I25,IMPORTRANGE(""https://docs.google.com/spreadsheets/d/17FOIUYQAjPk1pPQIlvOgqYDBqwUqgb7KWzp4DtVksBk/edit?gid=0#gid=0"",""Servers!A:S""),19,FALSE), ""Not Running"")"),"Not Running")</f>
        <v>Not Running</v>
      </c>
      <c r="W25" s="47" t="str">
        <f>VLOOKUP($A25,Category!$A:$E,4,0)</f>
        <v>CC</v>
      </c>
      <c r="X25" s="47" t="str">
        <f>VLOOKUP($A25,Category!$A:$E,5,0)</f>
        <v>CC</v>
      </c>
      <c r="Y25" s="18" t="str">
        <f>VLOOKUP(A25,PAcc!$A$1:$J$27,10,0)</f>
        <v>#N/A</v>
      </c>
      <c r="Z25" s="42" t="b">
        <f t="shared" si="4"/>
        <v>0</v>
      </c>
      <c r="AA25" s="50">
        <v>1.0</v>
      </c>
      <c r="AB25" s="42" t="str">
        <f>VLOOKUP(A25,VlookupSheet!$A$383:$A$523,1,0)</f>
        <v>#N/A</v>
      </c>
      <c r="AC25" s="50">
        <v>0.01</v>
      </c>
      <c r="AD25" s="42"/>
      <c r="AE25" s="42"/>
      <c r="AF25" s="42"/>
    </row>
    <row r="26">
      <c r="A26" s="11" t="s">
        <v>307</v>
      </c>
      <c r="B26" s="84" t="s">
        <v>308</v>
      </c>
      <c r="C26" s="25"/>
      <c r="D26" s="11" t="s">
        <v>77</v>
      </c>
      <c r="E26" s="11">
        <f t="shared" si="1"/>
        <v>1</v>
      </c>
      <c r="F26" s="30" t="s">
        <v>302</v>
      </c>
      <c r="G26" s="31">
        <v>1.0</v>
      </c>
      <c r="H26" s="31">
        <v>1.0</v>
      </c>
      <c r="I26" s="34" t="s">
        <v>267</v>
      </c>
      <c r="J26" s="30" t="s">
        <v>87</v>
      </c>
      <c r="K26" s="38">
        <f t="shared" si="2"/>
        <v>1</v>
      </c>
      <c r="L26" s="18" t="s">
        <v>268</v>
      </c>
      <c r="M26" s="18" t="s">
        <v>268</v>
      </c>
      <c r="N26" s="42"/>
      <c r="O26" s="42"/>
      <c r="P26" s="42"/>
      <c r="Q26" s="42" t="str">
        <f>iferror(VLOOKUP(A26,'Positional cal'!A:H,1,0)=A26,"FALSE")</f>
        <v>FALSE</v>
      </c>
      <c r="R26" s="43" t="b">
        <f t="shared" si="3"/>
        <v>0</v>
      </c>
      <c r="S26" s="46" t="str">
        <f>IFERROR(VLOOKUP($A26,AlgoUi!$A:$X,21,0),"NA")</f>
        <v/>
      </c>
      <c r="T26" s="46" t="str">
        <f>IFERROR(VLOOKUP($A26,AlgoUi!$A:$X,23,0),"")</f>
        <v/>
      </c>
      <c r="U26" s="46" t="str">
        <f>IFERROR(VLOOKUP($A26,AlgoUi!$A:$X,24,0),"")</f>
        <v/>
      </c>
      <c r="V26" s="42" t="str">
        <f>IFERROR(__xludf.DUMMYFUNCTION("IFERROR(VLOOKUP(I26,IMPORTRANGE(""https://docs.google.com/spreadsheets/d/17FOIUYQAjPk1pPQIlvOgqYDBqwUqgb7KWzp4DtVksBk/edit?gid=0#gid=0"",""Servers!A:S""),19,FALSE), ""Not Running"")"),"Not Running")</f>
        <v>Not Running</v>
      </c>
      <c r="W26" s="47" t="str">
        <f>VLOOKUP($A26,Category!$A:$E,4,0)</f>
        <v>CC</v>
      </c>
      <c r="X26" s="47" t="str">
        <f>VLOOKUP($A26,Category!$A:$E,5,0)</f>
        <v>CC</v>
      </c>
      <c r="Y26" s="18" t="str">
        <f>VLOOKUP(A26,PAcc!$A$1:$J$27,10,0)</f>
        <v>#N/A</v>
      </c>
      <c r="Z26" s="42" t="b">
        <f t="shared" si="4"/>
        <v>0</v>
      </c>
      <c r="AA26" s="50">
        <v>1.0</v>
      </c>
      <c r="AB26" s="42" t="str">
        <f>VLOOKUP(A26,VlookupSheet!$A$383:$A$523,1,0)</f>
        <v>#N/A</v>
      </c>
      <c r="AC26" s="50">
        <v>0.01</v>
      </c>
      <c r="AD26" s="42"/>
      <c r="AE26" s="42"/>
      <c r="AF26" s="42"/>
    </row>
    <row r="27">
      <c r="A27" s="30" t="s">
        <v>309</v>
      </c>
      <c r="B27" s="84" t="s">
        <v>310</v>
      </c>
      <c r="C27" s="85"/>
      <c r="D27" s="11" t="s">
        <v>77</v>
      </c>
      <c r="E27" s="11">
        <f t="shared" si="1"/>
        <v>1</v>
      </c>
      <c r="F27" s="30" t="s">
        <v>311</v>
      </c>
      <c r="G27" s="31">
        <v>1.0</v>
      </c>
      <c r="H27" s="31">
        <v>1.0</v>
      </c>
      <c r="I27" s="34" t="s">
        <v>267</v>
      </c>
      <c r="J27" s="30" t="s">
        <v>87</v>
      </c>
      <c r="K27" s="38">
        <f t="shared" si="2"/>
        <v>1</v>
      </c>
      <c r="L27" s="18" t="s">
        <v>268</v>
      </c>
      <c r="M27" s="18" t="s">
        <v>268</v>
      </c>
      <c r="N27" s="74"/>
      <c r="O27" s="74"/>
      <c r="P27" s="74"/>
      <c r="Q27" s="42" t="str">
        <f>iferror(VLOOKUP(A27,'Positional cal'!A:H,1,0)=A27,"FALSE")</f>
        <v>FALSE</v>
      </c>
      <c r="R27" s="43" t="b">
        <f t="shared" si="3"/>
        <v>0</v>
      </c>
      <c r="S27" s="46" t="str">
        <f>IFERROR(VLOOKUP($A27,AlgoUi!$A:$X,21,0),"NA")</f>
        <v/>
      </c>
      <c r="T27" s="46" t="str">
        <f>IFERROR(VLOOKUP($A27,AlgoUi!$A:$X,23,0),"")</f>
        <v/>
      </c>
      <c r="U27" s="46" t="str">
        <f>IFERROR(VLOOKUP($A27,AlgoUi!$A:$X,24,0),"")</f>
        <v/>
      </c>
      <c r="V27" s="42" t="str">
        <f>IFERROR(__xludf.DUMMYFUNCTION("IFERROR(VLOOKUP(I27,IMPORTRANGE(""https://docs.google.com/spreadsheets/d/17FOIUYQAjPk1pPQIlvOgqYDBqwUqgb7KWzp4DtVksBk/edit?gid=0#gid=0"",""Servers!A:S""),19,FALSE), ""Not Running"")"),"Not Running")</f>
        <v>Not Running</v>
      </c>
      <c r="W27" s="47" t="str">
        <f>VLOOKUP($A27,Category!$A:$E,4,0)</f>
        <v>CC</v>
      </c>
      <c r="X27" s="47" t="str">
        <f>VLOOKUP($A27,Category!$A:$E,5,0)</f>
        <v>CCG</v>
      </c>
      <c r="Y27" s="18" t="str">
        <f>VLOOKUP(A27,PAcc!$A$1:$J$27,10,0)</f>
        <v>#N/A</v>
      </c>
      <c r="Z27" s="42" t="b">
        <f t="shared" si="4"/>
        <v>0</v>
      </c>
      <c r="AA27" s="50">
        <v>1.0</v>
      </c>
      <c r="AB27" s="42" t="str">
        <f>VLOOKUP(A27,VlookupSheet!$A$383:$A$523,1,0)</f>
        <v>#N/A</v>
      </c>
      <c r="AC27" s="50">
        <v>0.01</v>
      </c>
      <c r="AD27" s="42"/>
      <c r="AE27" s="42"/>
      <c r="AF27" s="42"/>
    </row>
    <row r="28">
      <c r="A28" s="30" t="s">
        <v>312</v>
      </c>
      <c r="B28" s="84" t="s">
        <v>313</v>
      </c>
      <c r="C28" s="30" t="s">
        <v>77</v>
      </c>
      <c r="D28" s="11" t="s">
        <v>77</v>
      </c>
      <c r="E28" s="11">
        <f t="shared" si="1"/>
        <v>1</v>
      </c>
      <c r="F28" s="30" t="s">
        <v>311</v>
      </c>
      <c r="G28" s="31">
        <v>1.0</v>
      </c>
      <c r="H28" s="31">
        <v>1.0</v>
      </c>
      <c r="I28" s="30" t="s">
        <v>267</v>
      </c>
      <c r="J28" s="30" t="s">
        <v>87</v>
      </c>
      <c r="K28" s="38">
        <f t="shared" si="2"/>
        <v>1</v>
      </c>
      <c r="L28" s="18" t="s">
        <v>268</v>
      </c>
      <c r="M28" s="18" t="s">
        <v>268</v>
      </c>
      <c r="N28" s="74"/>
      <c r="O28" s="74"/>
      <c r="P28" s="74"/>
      <c r="Q28" s="42" t="str">
        <f>iferror(VLOOKUP(A28,'Positional cal'!A:H,1,0)=A28,"FALSE")</f>
        <v>FALSE</v>
      </c>
      <c r="R28" s="43" t="b">
        <f t="shared" si="3"/>
        <v>0</v>
      </c>
      <c r="S28" s="46" t="str">
        <f>IFERROR(VLOOKUP($A28,AlgoUi!$A:$X,21,0),"NA")</f>
        <v/>
      </c>
      <c r="T28" s="46" t="str">
        <f>IFERROR(VLOOKUP($A28,AlgoUi!$A:$X,23,0),"")</f>
        <v/>
      </c>
      <c r="U28" s="46" t="str">
        <f>IFERROR(VLOOKUP($A28,AlgoUi!$A:$X,24,0),"")</f>
        <v/>
      </c>
      <c r="V28" s="42" t="str">
        <f>IFERROR(__xludf.DUMMYFUNCTION("IFERROR(VLOOKUP(I28,IMPORTRANGE(""https://docs.google.com/spreadsheets/d/17FOIUYQAjPk1pPQIlvOgqYDBqwUqgb7KWzp4DtVksBk/edit?gid=0#gid=0"",""Servers!A:S""),19,FALSE), ""Not Running"")"),"Not Running")</f>
        <v>Not Running</v>
      </c>
      <c r="W28" s="47" t="str">
        <f>VLOOKUP($A28,Category!$A:$E,4,0)</f>
        <v>CC</v>
      </c>
      <c r="X28" s="47" t="str">
        <f>VLOOKUP($A28,Category!$A:$E,5,0)</f>
        <v>CCG</v>
      </c>
      <c r="Y28" s="18" t="str">
        <f>VLOOKUP(A28,PAcc!$A$1:$J$27,10,0)</f>
        <v>#N/A</v>
      </c>
      <c r="Z28" s="42" t="b">
        <f t="shared" si="4"/>
        <v>0</v>
      </c>
      <c r="AA28" s="50">
        <v>1.0</v>
      </c>
      <c r="AB28" s="42" t="str">
        <f>VLOOKUP(A28,VlookupSheet!$A$383:$A$523,1,0)</f>
        <v>#N/A</v>
      </c>
      <c r="AC28" s="50">
        <v>0.01</v>
      </c>
      <c r="AD28" s="42"/>
      <c r="AE28" s="42"/>
      <c r="AF28" s="42"/>
    </row>
    <row r="29">
      <c r="A29" s="30" t="s">
        <v>315</v>
      </c>
      <c r="B29" s="24" t="s">
        <v>316</v>
      </c>
      <c r="C29" s="25"/>
      <c r="D29" s="11" t="s">
        <v>77</v>
      </c>
      <c r="E29" s="11">
        <f t="shared" si="1"/>
        <v>1</v>
      </c>
      <c r="F29" s="11" t="s">
        <v>317</v>
      </c>
      <c r="G29" s="31">
        <v>1.0</v>
      </c>
      <c r="H29" s="31">
        <v>1.0</v>
      </c>
      <c r="I29" s="30" t="s">
        <v>267</v>
      </c>
      <c r="J29" s="30" t="s">
        <v>87</v>
      </c>
      <c r="K29" s="38">
        <f t="shared" si="2"/>
        <v>1</v>
      </c>
      <c r="L29" s="18" t="s">
        <v>268</v>
      </c>
      <c r="M29" s="18" t="s">
        <v>268</v>
      </c>
      <c r="N29" s="42"/>
      <c r="O29" s="42"/>
      <c r="P29" s="42"/>
      <c r="Q29" s="42" t="str">
        <f>iferror(VLOOKUP(A29,'Positional cal'!A:H,1,0)=A29,"FALSE")</f>
        <v>FALSE</v>
      </c>
      <c r="R29" s="43" t="b">
        <f t="shared" si="3"/>
        <v>0</v>
      </c>
      <c r="S29" s="46" t="str">
        <f>IFERROR(VLOOKUP($A29,AlgoUi!$A:$X,21,0),"NA")</f>
        <v/>
      </c>
      <c r="T29" s="46" t="str">
        <f>IFERROR(VLOOKUP($A29,AlgoUi!$A:$X,23,0),"")</f>
        <v/>
      </c>
      <c r="U29" s="46" t="str">
        <f>IFERROR(VLOOKUP($A29,AlgoUi!$A:$X,24,0),"")</f>
        <v/>
      </c>
      <c r="V29" s="42" t="str">
        <f>IFERROR(__xludf.DUMMYFUNCTION("IFERROR(VLOOKUP(I29,IMPORTRANGE(""https://docs.google.com/spreadsheets/d/17FOIUYQAjPk1pPQIlvOgqYDBqwUqgb7KWzp4DtVksBk/edit?gid=0#gid=0"",""Servers!A:S""),19,FALSE), ""Not Running"")"),"Not Running")</f>
        <v>Not Running</v>
      </c>
      <c r="W29" s="47" t="str">
        <f>VLOOKUP($A29,Category!$A:$E,4,0)</f>
        <v>CC</v>
      </c>
      <c r="X29" s="47" t="str">
        <f>VLOOKUP($A29,Category!$A:$E,5,0)</f>
        <v>CCV</v>
      </c>
      <c r="Y29" s="18" t="str">
        <f>VLOOKUP(A29,PAcc!$A$1:$J$27,10,0)</f>
        <v>#N/A</v>
      </c>
      <c r="Z29" s="42" t="b">
        <f t="shared" si="4"/>
        <v>0</v>
      </c>
      <c r="AA29" s="50">
        <v>0.6</v>
      </c>
      <c r="AB29" s="42" t="str">
        <f>VLOOKUP(A29,VlookupSheet!$A$383:$A$523,1,0)</f>
        <v>#N/A</v>
      </c>
      <c r="AC29" s="50">
        <v>0.01</v>
      </c>
      <c r="AD29" s="42"/>
      <c r="AE29" s="42"/>
      <c r="AF29" s="42"/>
    </row>
    <row r="30">
      <c r="A30" s="30" t="s">
        <v>318</v>
      </c>
      <c r="B30" s="84" t="s">
        <v>319</v>
      </c>
      <c r="C30" s="30" t="s">
        <v>320</v>
      </c>
      <c r="D30" s="11" t="s">
        <v>77</v>
      </c>
      <c r="E30" s="11">
        <f t="shared" si="1"/>
        <v>1</v>
      </c>
      <c r="F30" s="30" t="s">
        <v>232</v>
      </c>
      <c r="G30" s="31">
        <v>1.0</v>
      </c>
      <c r="H30" s="31">
        <v>1.0</v>
      </c>
      <c r="I30" s="34" t="s">
        <v>267</v>
      </c>
      <c r="J30" s="30" t="s">
        <v>87</v>
      </c>
      <c r="K30" s="38">
        <f t="shared" si="2"/>
        <v>1</v>
      </c>
      <c r="L30" s="18" t="s">
        <v>268</v>
      </c>
      <c r="M30" s="18" t="s">
        <v>268</v>
      </c>
      <c r="N30" s="74"/>
      <c r="O30" s="74"/>
      <c r="P30" s="74"/>
      <c r="Q30" s="42" t="str">
        <f>iferror(VLOOKUP(A30,'Positional cal'!A:H,1,0)=A30,"FALSE")</f>
        <v>FALSE</v>
      </c>
      <c r="R30" s="43" t="b">
        <f t="shared" si="3"/>
        <v>0</v>
      </c>
      <c r="S30" s="46" t="str">
        <f>IFERROR(VLOOKUP($A30,AlgoUi!$A:$X,21,0),"NA")</f>
        <v/>
      </c>
      <c r="T30" s="46" t="str">
        <f>IFERROR(VLOOKUP($A30,AlgoUi!$A:$X,23,0),"")</f>
        <v/>
      </c>
      <c r="U30" s="46" t="str">
        <f>IFERROR(VLOOKUP($A30,AlgoUi!$A:$X,24,0),"")</f>
        <v/>
      </c>
      <c r="V30" s="42" t="str">
        <f>IFERROR(__xludf.DUMMYFUNCTION("IFERROR(VLOOKUP(I30,IMPORTRANGE(""https://docs.google.com/spreadsheets/d/17FOIUYQAjPk1pPQIlvOgqYDBqwUqgb7KWzp4DtVksBk/edit?gid=0#gid=0"",""Servers!A:S""),19,FALSE), ""Not Running"")"),"Not Running")</f>
        <v>Not Running</v>
      </c>
      <c r="W30" s="47" t="str">
        <f>VLOOKUP($A30,Category!$A:$E,4,0)</f>
        <v>CC</v>
      </c>
      <c r="X30" s="47" t="str">
        <f>VLOOKUP($A30,Category!$A:$E,5,0)</f>
        <v>CCG</v>
      </c>
      <c r="Y30" s="18" t="str">
        <f>VLOOKUP(A30,PAcc!$A$1:$J$27,10,0)</f>
        <v>#N/A</v>
      </c>
      <c r="Z30" s="42" t="b">
        <f t="shared" si="4"/>
        <v>0</v>
      </c>
      <c r="AA30" s="50">
        <v>1.0</v>
      </c>
      <c r="AB30" s="42" t="str">
        <f>VLOOKUP(A30,VlookupSheet!$A$383:$A$523,1,0)</f>
        <v>#N/A</v>
      </c>
      <c r="AC30" s="50">
        <v>0.01</v>
      </c>
      <c r="AD30" s="42"/>
      <c r="AE30" s="42"/>
      <c r="AF30" s="42"/>
    </row>
    <row r="31">
      <c r="A31" s="30" t="s">
        <v>330</v>
      </c>
      <c r="B31" s="84" t="s">
        <v>331</v>
      </c>
      <c r="C31" s="30" t="s">
        <v>320</v>
      </c>
      <c r="D31" s="11" t="s">
        <v>77</v>
      </c>
      <c r="E31" s="11">
        <f t="shared" si="1"/>
        <v>1</v>
      </c>
      <c r="F31" s="30" t="s">
        <v>311</v>
      </c>
      <c r="G31" s="31">
        <v>1.0</v>
      </c>
      <c r="H31" s="31">
        <v>1.0</v>
      </c>
      <c r="I31" s="34" t="s">
        <v>267</v>
      </c>
      <c r="J31" s="30" t="s">
        <v>87</v>
      </c>
      <c r="K31" s="38">
        <f t="shared" si="2"/>
        <v>1</v>
      </c>
      <c r="L31" s="18" t="s">
        <v>268</v>
      </c>
      <c r="M31" s="18" t="s">
        <v>268</v>
      </c>
      <c r="N31" s="74"/>
      <c r="O31" s="74"/>
      <c r="P31" s="74"/>
      <c r="Q31" s="42" t="str">
        <f>iferror(VLOOKUP(A31,'Positional cal'!A:H,1,0)=A31,"FALSE")</f>
        <v>FALSE</v>
      </c>
      <c r="R31" s="43" t="b">
        <f t="shared" si="3"/>
        <v>0</v>
      </c>
      <c r="S31" s="46" t="str">
        <f>IFERROR(VLOOKUP($A31,AlgoUi!$A:$X,21,0),"NA")</f>
        <v/>
      </c>
      <c r="T31" s="46" t="str">
        <f>IFERROR(VLOOKUP($A31,AlgoUi!$A:$X,23,0),"")</f>
        <v/>
      </c>
      <c r="U31" s="46" t="str">
        <f>IFERROR(VLOOKUP($A31,AlgoUi!$A:$X,24,0),"")</f>
        <v/>
      </c>
      <c r="V31" s="42" t="str">
        <f>IFERROR(__xludf.DUMMYFUNCTION("IFERROR(VLOOKUP(I31,IMPORTRANGE(""https://docs.google.com/spreadsheets/d/17FOIUYQAjPk1pPQIlvOgqYDBqwUqgb7KWzp4DtVksBk/edit?gid=0#gid=0"",""Servers!A:S""),19,FALSE), ""Not Running"")"),"Not Running")</f>
        <v>Not Running</v>
      </c>
      <c r="W31" s="47" t="str">
        <f>VLOOKUP($A31,Category!$A:$E,4,0)</f>
        <v>CC</v>
      </c>
      <c r="X31" s="47" t="str">
        <f>VLOOKUP($A31,Category!$A:$E,5,0)</f>
        <v>CCG</v>
      </c>
      <c r="Y31" s="18" t="str">
        <f>VLOOKUP(A31,PAcc!$A$1:$J$27,10,0)</f>
        <v>#N/A</v>
      </c>
      <c r="Z31" s="42" t="b">
        <f t="shared" si="4"/>
        <v>0</v>
      </c>
      <c r="AA31" s="50">
        <v>1.0</v>
      </c>
      <c r="AB31" s="42" t="str">
        <f>VLOOKUP(A31,VlookupSheet!$A$383:$A$523,1,0)</f>
        <v>#N/A</v>
      </c>
      <c r="AC31" s="50">
        <v>0.01</v>
      </c>
      <c r="AD31" s="42"/>
      <c r="AE31" s="42"/>
      <c r="AF31" s="42"/>
    </row>
    <row r="32">
      <c r="A32" s="30" t="s">
        <v>346</v>
      </c>
      <c r="B32" s="84" t="s">
        <v>347</v>
      </c>
      <c r="C32" s="85"/>
      <c r="D32" s="11" t="s">
        <v>77</v>
      </c>
      <c r="E32" s="11">
        <f t="shared" si="1"/>
        <v>1</v>
      </c>
      <c r="F32" s="30" t="s">
        <v>311</v>
      </c>
      <c r="G32" s="31">
        <v>1.0</v>
      </c>
      <c r="H32" s="31">
        <v>1.0</v>
      </c>
      <c r="I32" s="30" t="s">
        <v>267</v>
      </c>
      <c r="J32" s="30" t="s">
        <v>87</v>
      </c>
      <c r="K32" s="38">
        <f t="shared" si="2"/>
        <v>1</v>
      </c>
      <c r="L32" s="18" t="s">
        <v>268</v>
      </c>
      <c r="M32" s="18" t="s">
        <v>268</v>
      </c>
      <c r="N32" s="42"/>
      <c r="O32" s="42"/>
      <c r="P32" s="42"/>
      <c r="Q32" s="42" t="str">
        <f>iferror(VLOOKUP(A32,'Positional cal'!A:H,1,0)=A32,"FALSE")</f>
        <v>FALSE</v>
      </c>
      <c r="R32" s="43" t="b">
        <f t="shared" si="3"/>
        <v>0</v>
      </c>
      <c r="S32" s="46" t="str">
        <f>IFERROR(VLOOKUP($A32,AlgoUi!$A:$X,21,0),"NA")</f>
        <v/>
      </c>
      <c r="T32" s="46" t="str">
        <f>IFERROR(VLOOKUP($A32,AlgoUi!$A:$X,23,0),"")</f>
        <v/>
      </c>
      <c r="U32" s="46" t="str">
        <f>IFERROR(VLOOKUP($A32,AlgoUi!$A:$X,24,0),"")</f>
        <v/>
      </c>
      <c r="V32" s="42" t="str">
        <f>IFERROR(__xludf.DUMMYFUNCTION("IFERROR(VLOOKUP(I32,IMPORTRANGE(""https://docs.google.com/spreadsheets/d/17FOIUYQAjPk1pPQIlvOgqYDBqwUqgb7KWzp4DtVksBk/edit?gid=0#gid=0"",""Servers!A:S""),19,FALSE), ""Not Running"")"),"Not Running")</f>
        <v>Not Running</v>
      </c>
      <c r="W32" s="47" t="str">
        <f>VLOOKUP($A32,Category!$A:$E,4,0)</f>
        <v>MS</v>
      </c>
      <c r="X32" s="47" t="str">
        <f>VLOOKUP($A32,Category!$A:$E,5,0)</f>
        <v>MSP</v>
      </c>
      <c r="Y32" s="18" t="str">
        <f>VLOOKUP(A32,PAcc!$A$1:$J$27,10,0)</f>
        <v>#N/A</v>
      </c>
      <c r="Z32" s="42" t="b">
        <f t="shared" si="4"/>
        <v>0</v>
      </c>
      <c r="AA32" s="42"/>
      <c r="AB32" s="42" t="str">
        <f>VLOOKUP(A32,VlookupSheet!$A$383:$A$523,1,0)</f>
        <v>#N/A</v>
      </c>
      <c r="AC32" s="50">
        <v>0.01</v>
      </c>
      <c r="AD32" s="42"/>
      <c r="AE32" s="42"/>
      <c r="AF32" s="42"/>
    </row>
    <row r="33">
      <c r="A33" s="30" t="s">
        <v>358</v>
      </c>
      <c r="B33" s="75" t="s">
        <v>359</v>
      </c>
      <c r="C33" s="85"/>
      <c r="D33" s="11" t="s">
        <v>77</v>
      </c>
      <c r="E33" s="11">
        <f t="shared" si="1"/>
        <v>1</v>
      </c>
      <c r="F33" s="30" t="s">
        <v>311</v>
      </c>
      <c r="G33" s="31">
        <v>1.0</v>
      </c>
      <c r="H33" s="31">
        <v>1.0</v>
      </c>
      <c r="I33" s="30" t="s">
        <v>267</v>
      </c>
      <c r="J33" s="30" t="s">
        <v>87</v>
      </c>
      <c r="K33" s="38">
        <f t="shared" si="2"/>
        <v>1</v>
      </c>
      <c r="L33" s="18" t="s">
        <v>268</v>
      </c>
      <c r="M33" s="18" t="s">
        <v>268</v>
      </c>
      <c r="N33" s="74"/>
      <c r="O33" s="74"/>
      <c r="P33" s="74"/>
      <c r="Q33" s="42" t="str">
        <f>iferror(VLOOKUP(A33,'Positional cal'!A:H,1,0)=A33,"FALSE")</f>
        <v>FALSE</v>
      </c>
      <c r="R33" s="43" t="b">
        <f t="shared" si="3"/>
        <v>0</v>
      </c>
      <c r="S33" s="46" t="str">
        <f>IFERROR(VLOOKUP($A33,AlgoUi!$A:$X,21,0),"NA")</f>
        <v/>
      </c>
      <c r="T33" s="46" t="str">
        <f>IFERROR(VLOOKUP($A33,AlgoUi!$A:$X,23,0),"")</f>
        <v/>
      </c>
      <c r="U33" s="46" t="str">
        <f>IFERROR(VLOOKUP($A33,AlgoUi!$A:$X,24,0),"")</f>
        <v/>
      </c>
      <c r="V33" s="42" t="str">
        <f>IFERROR(__xludf.DUMMYFUNCTION("IFERROR(VLOOKUP(I33,IMPORTRANGE(""https://docs.google.com/spreadsheets/d/17FOIUYQAjPk1pPQIlvOgqYDBqwUqgb7KWzp4DtVksBk/edit?gid=0#gid=0"",""Servers!A:S""),19,FALSE), ""Not Running"")"),"Not Running")</f>
        <v>Not Running</v>
      </c>
      <c r="W33" s="47" t="str">
        <f>VLOOKUP($A33,Category!$A:$E,4,0)</f>
        <v>MS</v>
      </c>
      <c r="X33" s="47" t="str">
        <f>VLOOKUP($A33,Category!$A:$E,5,0)</f>
        <v>MSR</v>
      </c>
      <c r="Y33" s="18" t="str">
        <f>VLOOKUP(A33,PAcc!$A$1:$J$27,10,0)</f>
        <v>#N/A</v>
      </c>
      <c r="Z33" s="42" t="b">
        <f t="shared" si="4"/>
        <v>0</v>
      </c>
      <c r="AA33" s="42"/>
      <c r="AB33" s="42" t="str">
        <f>VLOOKUP(A33,VlookupSheet!$A$383:$A$523,1,0)</f>
        <v>#N/A</v>
      </c>
      <c r="AC33" s="50">
        <v>0.01</v>
      </c>
      <c r="AD33" s="42"/>
      <c r="AE33" s="42"/>
      <c r="AF33" s="42"/>
    </row>
    <row r="34">
      <c r="A34" s="30" t="s">
        <v>372</v>
      </c>
      <c r="B34" s="84" t="s">
        <v>374</v>
      </c>
      <c r="C34" s="85"/>
      <c r="D34" s="11" t="s">
        <v>77</v>
      </c>
      <c r="E34" s="11">
        <f t="shared" si="1"/>
        <v>1</v>
      </c>
      <c r="F34" s="71" t="s">
        <v>232</v>
      </c>
      <c r="G34" s="31">
        <v>1.0</v>
      </c>
      <c r="H34" s="31">
        <v>1.0</v>
      </c>
      <c r="I34" s="30" t="s">
        <v>267</v>
      </c>
      <c r="J34" s="30" t="s">
        <v>87</v>
      </c>
      <c r="K34" s="38">
        <f t="shared" si="2"/>
        <v>1</v>
      </c>
      <c r="L34" s="18" t="s">
        <v>268</v>
      </c>
      <c r="M34" s="18" t="s">
        <v>268</v>
      </c>
      <c r="N34" s="34"/>
      <c r="O34" s="34"/>
      <c r="P34" s="34" t="s">
        <v>376</v>
      </c>
      <c r="Q34" s="42" t="str">
        <f>iferror(VLOOKUP(A34,'Positional cal'!A:H,1,0)=A34,"FALSE")</f>
        <v>FALSE</v>
      </c>
      <c r="R34" s="43" t="b">
        <f t="shared" si="3"/>
        <v>0</v>
      </c>
      <c r="S34" s="46" t="str">
        <f>IFERROR(VLOOKUP($A34,AlgoUi!$A:$X,21,0),"NA")</f>
        <v/>
      </c>
      <c r="T34" s="46" t="str">
        <f>IFERROR(VLOOKUP($A34,AlgoUi!$A:$X,23,0),"")</f>
        <v/>
      </c>
      <c r="U34" s="46" t="str">
        <f>IFERROR(VLOOKUP($A34,AlgoUi!$A:$X,24,0),"")</f>
        <v/>
      </c>
      <c r="V34" s="42" t="str">
        <f>IFERROR(__xludf.DUMMYFUNCTION("IFERROR(VLOOKUP(I34,IMPORTRANGE(""https://docs.google.com/spreadsheets/d/17FOIUYQAjPk1pPQIlvOgqYDBqwUqgb7KWzp4DtVksBk/edit?gid=0#gid=0"",""Servers!A:S""),19,FALSE), ""Not Running"")"),"Not Running")</f>
        <v>Not Running</v>
      </c>
      <c r="W34" s="47" t="str">
        <f>VLOOKUP($A34,Category!$A:$E,4,0)</f>
        <v>MS</v>
      </c>
      <c r="X34" s="47" t="str">
        <f>VLOOKUP($A34,Category!$A:$E,5,0)</f>
        <v>MSP</v>
      </c>
      <c r="Y34" s="18" t="str">
        <f>VLOOKUP(A34,PAcc!$A$1:$J$27,10,0)</f>
        <v>#N/A</v>
      </c>
      <c r="Z34" s="42" t="b">
        <f t="shared" si="4"/>
        <v>0</v>
      </c>
      <c r="AA34" s="42"/>
      <c r="AB34" s="42" t="str">
        <f>VLOOKUP(A34,VlookupSheet!$A$383:$A$523,1,0)</f>
        <v>#N/A</v>
      </c>
      <c r="AC34" s="50">
        <v>0.01</v>
      </c>
      <c r="AD34" s="42"/>
      <c r="AE34" s="42"/>
      <c r="AF34" s="42"/>
    </row>
    <row r="35">
      <c r="A35" s="30" t="s">
        <v>384</v>
      </c>
      <c r="B35" s="84" t="s">
        <v>385</v>
      </c>
      <c r="C35" s="85"/>
      <c r="D35" s="11" t="s">
        <v>77</v>
      </c>
      <c r="E35" s="11">
        <f t="shared" si="1"/>
        <v>1</v>
      </c>
      <c r="F35" s="30" t="s">
        <v>311</v>
      </c>
      <c r="G35" s="31">
        <v>1.0</v>
      </c>
      <c r="H35" s="31">
        <v>1.0</v>
      </c>
      <c r="I35" s="34" t="s">
        <v>267</v>
      </c>
      <c r="J35" s="30" t="s">
        <v>87</v>
      </c>
      <c r="K35" s="38">
        <f t="shared" si="2"/>
        <v>1</v>
      </c>
      <c r="L35" s="18" t="s">
        <v>268</v>
      </c>
      <c r="M35" s="18" t="s">
        <v>268</v>
      </c>
      <c r="N35" s="74"/>
      <c r="O35" s="74"/>
      <c r="P35" s="74"/>
      <c r="Q35" s="42" t="str">
        <f>iferror(VLOOKUP(A35,'Positional cal'!A:H,1,0)=A35,"FALSE")</f>
        <v>FALSE</v>
      </c>
      <c r="R35" s="43" t="b">
        <f t="shared" si="3"/>
        <v>0</v>
      </c>
      <c r="S35" s="46" t="str">
        <f>IFERROR(VLOOKUP($A35,AlgoUi!$A:$X,21,0),"NA")</f>
        <v/>
      </c>
      <c r="T35" s="46" t="str">
        <f>IFERROR(VLOOKUP($A35,AlgoUi!$A:$X,23,0),"")</f>
        <v/>
      </c>
      <c r="U35" s="46" t="str">
        <f>IFERROR(VLOOKUP($A35,AlgoUi!$A:$X,24,0),"")</f>
        <v/>
      </c>
      <c r="V35" s="42" t="str">
        <f>IFERROR(__xludf.DUMMYFUNCTION("IFERROR(VLOOKUP(I35,IMPORTRANGE(""https://docs.google.com/spreadsheets/d/17FOIUYQAjPk1pPQIlvOgqYDBqwUqgb7KWzp4DtVksBk/edit?gid=0#gid=0"",""Servers!A:S""),19,FALSE), ""Not Running"")"),"Not Running")</f>
        <v>Not Running</v>
      </c>
      <c r="W35" s="47" t="str">
        <f>VLOOKUP($A35,Category!$A:$E,4,0)</f>
        <v>MS</v>
      </c>
      <c r="X35" s="47" t="str">
        <f>VLOOKUP($A35,Category!$A:$E,5,0)</f>
        <v>MSR</v>
      </c>
      <c r="Y35" s="18" t="str">
        <f>VLOOKUP(A35,PAcc!$A$1:$J$27,10,0)</f>
        <v>#N/A</v>
      </c>
      <c r="Z35" s="42" t="b">
        <f t="shared" si="4"/>
        <v>0</v>
      </c>
      <c r="AA35" s="42"/>
      <c r="AB35" s="42" t="str">
        <f>VLOOKUP(A35,VlookupSheet!$A$383:$A$523,1,0)</f>
        <v>#N/A</v>
      </c>
      <c r="AC35" s="50">
        <v>0.01</v>
      </c>
      <c r="AD35" s="42"/>
      <c r="AE35" s="42"/>
      <c r="AF35" s="42"/>
    </row>
    <row r="36">
      <c r="A36" s="30" t="s">
        <v>395</v>
      </c>
      <c r="B36" s="84" t="s">
        <v>396</v>
      </c>
      <c r="C36" s="85"/>
      <c r="D36" s="11" t="s">
        <v>77</v>
      </c>
      <c r="E36" s="11">
        <f t="shared" si="1"/>
        <v>1</v>
      </c>
      <c r="F36" s="30" t="s">
        <v>311</v>
      </c>
      <c r="G36" s="31">
        <v>1.0</v>
      </c>
      <c r="H36" s="31">
        <v>1.0</v>
      </c>
      <c r="I36" s="34" t="s">
        <v>267</v>
      </c>
      <c r="J36" s="30" t="s">
        <v>87</v>
      </c>
      <c r="K36" s="38">
        <f t="shared" si="2"/>
        <v>1</v>
      </c>
      <c r="L36" s="18" t="s">
        <v>268</v>
      </c>
      <c r="M36" s="18" t="s">
        <v>268</v>
      </c>
      <c r="N36" s="74"/>
      <c r="O36" s="74"/>
      <c r="P36" s="74"/>
      <c r="Q36" s="42" t="str">
        <f>iferror(VLOOKUP(A36,'Positional cal'!A:H,1,0)=A36,"FALSE")</f>
        <v>FALSE</v>
      </c>
      <c r="R36" s="43" t="b">
        <f t="shared" si="3"/>
        <v>0</v>
      </c>
      <c r="S36" s="46" t="str">
        <f>IFERROR(VLOOKUP($A36,AlgoUi!$A:$X,21,0),"NA")</f>
        <v/>
      </c>
      <c r="T36" s="46" t="str">
        <f>IFERROR(VLOOKUP($A36,AlgoUi!$A:$X,23,0),"")</f>
        <v/>
      </c>
      <c r="U36" s="46" t="str">
        <f>IFERROR(VLOOKUP($A36,AlgoUi!$A:$X,24,0),"")</f>
        <v/>
      </c>
      <c r="V36" s="42" t="str">
        <f>IFERROR(__xludf.DUMMYFUNCTION("IFERROR(VLOOKUP(I36,IMPORTRANGE(""https://docs.google.com/spreadsheets/d/17FOIUYQAjPk1pPQIlvOgqYDBqwUqgb7KWzp4DtVksBk/edit?gid=0#gid=0"",""Servers!A:S""),19,FALSE), ""Not Running"")"),"Not Running")</f>
        <v>Not Running</v>
      </c>
      <c r="W36" s="47" t="str">
        <f>VLOOKUP($A36,Category!$A:$E,4,0)</f>
        <v>MS</v>
      </c>
      <c r="X36" s="47" t="str">
        <f>VLOOKUP($A36,Category!$A:$E,5,0)</f>
        <v>MSP</v>
      </c>
      <c r="Y36" s="18" t="str">
        <f>VLOOKUP(A36,PAcc!$A$1:$J$27,10,0)</f>
        <v>#N/A</v>
      </c>
      <c r="Z36" s="42" t="b">
        <f t="shared" si="4"/>
        <v>0</v>
      </c>
      <c r="AA36" s="42"/>
      <c r="AB36" s="42" t="str">
        <f>VLOOKUP(A36,VlookupSheet!$A$383:$A$523,1,0)</f>
        <v>#N/A</v>
      </c>
      <c r="AC36" s="50">
        <v>0.01</v>
      </c>
      <c r="AD36" s="42"/>
      <c r="AE36" s="42"/>
      <c r="AF36" s="42"/>
    </row>
    <row r="37" ht="12.75" customHeight="1">
      <c r="A37" s="30" t="s">
        <v>407</v>
      </c>
      <c r="B37" s="84" t="s">
        <v>408</v>
      </c>
      <c r="C37" s="85"/>
      <c r="D37" s="11" t="s">
        <v>77</v>
      </c>
      <c r="E37" s="11">
        <f t="shared" si="1"/>
        <v>1</v>
      </c>
      <c r="F37" s="30" t="s">
        <v>311</v>
      </c>
      <c r="G37" s="31">
        <v>1.0</v>
      </c>
      <c r="H37" s="31">
        <v>1.0</v>
      </c>
      <c r="I37" s="34" t="s">
        <v>267</v>
      </c>
      <c r="J37" s="30" t="s">
        <v>87</v>
      </c>
      <c r="K37" s="38">
        <f t="shared" si="2"/>
        <v>1</v>
      </c>
      <c r="L37" s="18" t="s">
        <v>268</v>
      </c>
      <c r="M37" s="18" t="s">
        <v>268</v>
      </c>
      <c r="N37" s="74"/>
      <c r="O37" s="74"/>
      <c r="P37" s="74"/>
      <c r="Q37" s="42" t="str">
        <f>iferror(VLOOKUP(A37,'Positional cal'!A:H,1,0)=A37,"FALSE")</f>
        <v>FALSE</v>
      </c>
      <c r="R37" s="43" t="b">
        <f t="shared" si="3"/>
        <v>0</v>
      </c>
      <c r="S37" s="46" t="str">
        <f>IFERROR(VLOOKUP($A37,AlgoUi!$A:$X,21,0),"NA")</f>
        <v/>
      </c>
      <c r="T37" s="46" t="str">
        <f>IFERROR(VLOOKUP($A37,AlgoUi!$A:$X,23,0),"")</f>
        <v/>
      </c>
      <c r="U37" s="46" t="str">
        <f>IFERROR(VLOOKUP($A37,AlgoUi!$A:$X,24,0),"")</f>
        <v/>
      </c>
      <c r="V37" s="42" t="str">
        <f>IFERROR(__xludf.DUMMYFUNCTION("IFERROR(VLOOKUP(I37,IMPORTRANGE(""https://docs.google.com/spreadsheets/d/17FOIUYQAjPk1pPQIlvOgqYDBqwUqgb7KWzp4DtVksBk/edit?gid=0#gid=0"",""Servers!A:S""),19,FALSE), ""Not Running"")"),"Not Running")</f>
        <v>Not Running</v>
      </c>
      <c r="W37" s="47" t="str">
        <f>VLOOKUP($A37,Category!$A:$E,4,0)</f>
        <v>MS</v>
      </c>
      <c r="X37" s="47" t="str">
        <f>VLOOKUP($A37,Category!$A:$E,5,0)</f>
        <v>MSR</v>
      </c>
      <c r="Y37" s="18" t="str">
        <f>VLOOKUP(A37,PAcc!$A$1:$J$27,10,0)</f>
        <v>#N/A</v>
      </c>
      <c r="Z37" s="42" t="b">
        <f t="shared" si="4"/>
        <v>0</v>
      </c>
      <c r="AA37" s="42"/>
      <c r="AB37" s="42" t="str">
        <f>VLOOKUP(A37,VlookupSheet!$A$383:$A$523,1,0)</f>
        <v>#N/A</v>
      </c>
      <c r="AC37" s="50">
        <v>0.01</v>
      </c>
      <c r="AD37" s="42"/>
      <c r="AE37" s="42"/>
      <c r="AF37" s="42"/>
    </row>
    <row r="38">
      <c r="A38" s="30" t="s">
        <v>419</v>
      </c>
      <c r="B38" s="84" t="s">
        <v>420</v>
      </c>
      <c r="C38" s="85"/>
      <c r="D38" s="11" t="s">
        <v>77</v>
      </c>
      <c r="E38" s="11">
        <f t="shared" si="1"/>
        <v>1</v>
      </c>
      <c r="F38" s="30" t="s">
        <v>311</v>
      </c>
      <c r="G38" s="31">
        <v>1.0</v>
      </c>
      <c r="H38" s="31">
        <v>1.0</v>
      </c>
      <c r="I38" s="34" t="s">
        <v>267</v>
      </c>
      <c r="J38" s="30" t="s">
        <v>87</v>
      </c>
      <c r="K38" s="38">
        <f t="shared" si="2"/>
        <v>1</v>
      </c>
      <c r="L38" s="18" t="s">
        <v>268</v>
      </c>
      <c r="M38" s="18" t="s">
        <v>268</v>
      </c>
      <c r="N38" s="74"/>
      <c r="O38" s="74"/>
      <c r="P38" s="74"/>
      <c r="Q38" s="42" t="str">
        <f>iferror(VLOOKUP(A38,'Positional cal'!A:H,1,0)=A38,"FALSE")</f>
        <v>FALSE</v>
      </c>
      <c r="R38" s="43" t="b">
        <f t="shared" si="3"/>
        <v>0</v>
      </c>
      <c r="S38" s="46" t="str">
        <f>IFERROR(VLOOKUP($A38,AlgoUi!$A:$X,21,0),"NA")</f>
        <v/>
      </c>
      <c r="T38" s="46" t="str">
        <f>IFERROR(VLOOKUP($A38,AlgoUi!$A:$X,23,0),"")</f>
        <v/>
      </c>
      <c r="U38" s="46" t="str">
        <f>IFERROR(VLOOKUP($A38,AlgoUi!$A:$X,24,0),"")</f>
        <v/>
      </c>
      <c r="V38" s="42" t="str">
        <f>IFERROR(__xludf.DUMMYFUNCTION("IFERROR(VLOOKUP(I38,IMPORTRANGE(""https://docs.google.com/spreadsheets/d/17FOIUYQAjPk1pPQIlvOgqYDBqwUqgb7KWzp4DtVksBk/edit?gid=0#gid=0"",""Servers!A:S""),19,FALSE), ""Not Running"")"),"Not Running")</f>
        <v>Not Running</v>
      </c>
      <c r="W38" s="47" t="str">
        <f>VLOOKUP($A38,Category!$A:$E,4,0)</f>
        <v>MS</v>
      </c>
      <c r="X38" s="47" t="str">
        <f>VLOOKUP($A38,Category!$A:$E,5,0)</f>
        <v>MSR</v>
      </c>
      <c r="Y38" s="18" t="str">
        <f>VLOOKUP(A38,PAcc!$A$1:$J$27,10,0)</f>
        <v>#N/A</v>
      </c>
      <c r="Z38" s="42" t="b">
        <f t="shared" si="4"/>
        <v>0</v>
      </c>
      <c r="AA38" s="42"/>
      <c r="AB38" s="42" t="str">
        <f>VLOOKUP(A38,VlookupSheet!$A$383:$A$523,1,0)</f>
        <v>#N/A</v>
      </c>
      <c r="AC38" s="50">
        <v>0.01</v>
      </c>
      <c r="AD38" s="42"/>
      <c r="AE38" s="42"/>
      <c r="AF38" s="42"/>
    </row>
    <row r="39">
      <c r="A39" s="30" t="s">
        <v>431</v>
      </c>
      <c r="B39" s="84" t="s">
        <v>432</v>
      </c>
      <c r="C39" s="30" t="s">
        <v>320</v>
      </c>
      <c r="D39" s="11" t="s">
        <v>77</v>
      </c>
      <c r="E39" s="11">
        <f t="shared" si="1"/>
        <v>1</v>
      </c>
      <c r="F39" s="30" t="s">
        <v>311</v>
      </c>
      <c r="G39" s="31">
        <v>1.0</v>
      </c>
      <c r="H39" s="31">
        <v>1.0</v>
      </c>
      <c r="I39" s="30" t="s">
        <v>267</v>
      </c>
      <c r="J39" s="30" t="s">
        <v>87</v>
      </c>
      <c r="K39" s="38">
        <f t="shared" si="2"/>
        <v>1</v>
      </c>
      <c r="L39" s="18" t="s">
        <v>268</v>
      </c>
      <c r="M39" s="18" t="s">
        <v>268</v>
      </c>
      <c r="N39" s="74"/>
      <c r="O39" s="74"/>
      <c r="P39" s="74"/>
      <c r="Q39" s="42" t="str">
        <f>iferror(VLOOKUP(A39,'Positional cal'!A:H,1,0)=A39,"FALSE")</f>
        <v>FALSE</v>
      </c>
      <c r="R39" s="43" t="b">
        <f t="shared" si="3"/>
        <v>0</v>
      </c>
      <c r="S39" s="46" t="str">
        <f>IFERROR(VLOOKUP($A39,AlgoUi!$A:$X,21,0),"NA")</f>
        <v/>
      </c>
      <c r="T39" s="46" t="str">
        <f>IFERROR(VLOOKUP($A39,AlgoUi!$A:$X,23,0),"")</f>
        <v/>
      </c>
      <c r="U39" s="46" t="str">
        <f>IFERROR(VLOOKUP($A39,AlgoUi!$A:$X,24,0),"")</f>
        <v/>
      </c>
      <c r="V39" s="42" t="str">
        <f>IFERROR(__xludf.DUMMYFUNCTION("IFERROR(VLOOKUP(I39,IMPORTRANGE(""https://docs.google.com/spreadsheets/d/17FOIUYQAjPk1pPQIlvOgqYDBqwUqgb7KWzp4DtVksBk/edit?gid=0#gid=0"",""Servers!A:S""),19,FALSE), ""Not Running"")"),"Not Running")</f>
        <v>Not Running</v>
      </c>
      <c r="W39" s="47" t="str">
        <f>VLOOKUP($A39,Category!$A:$E,4,0)</f>
        <v>MS</v>
      </c>
      <c r="X39" s="47" t="str">
        <f>VLOOKUP($A39,Category!$A:$E,5,0)</f>
        <v>MSR</v>
      </c>
      <c r="Y39" s="18" t="str">
        <f>VLOOKUP(A39,PAcc!$A$1:$J$27,10,0)</f>
        <v>#N/A</v>
      </c>
      <c r="Z39" s="42" t="b">
        <f t="shared" si="4"/>
        <v>0</v>
      </c>
      <c r="AA39" s="42"/>
      <c r="AB39" s="42" t="str">
        <f>VLOOKUP(A39,VlookupSheet!$A$383:$A$523,1,0)</f>
        <v>#N/A</v>
      </c>
      <c r="AC39" s="50">
        <v>0.01</v>
      </c>
      <c r="AD39" s="42"/>
      <c r="AE39" s="42"/>
      <c r="AF39" s="42"/>
    </row>
    <row r="40">
      <c r="A40" s="11" t="s">
        <v>440</v>
      </c>
      <c r="B40" s="18" t="s">
        <v>441</v>
      </c>
      <c r="C40" s="25"/>
      <c r="D40" s="11" t="s">
        <v>77</v>
      </c>
      <c r="E40" s="11">
        <f t="shared" si="1"/>
        <v>1</v>
      </c>
      <c r="F40" s="30" t="s">
        <v>311</v>
      </c>
      <c r="G40" s="31">
        <v>1.0</v>
      </c>
      <c r="H40" s="31">
        <v>1.0</v>
      </c>
      <c r="I40" s="30" t="s">
        <v>267</v>
      </c>
      <c r="J40" s="30" t="s">
        <v>87</v>
      </c>
      <c r="K40" s="38">
        <f t="shared" si="2"/>
        <v>1</v>
      </c>
      <c r="L40" s="18" t="s">
        <v>268</v>
      </c>
      <c r="M40" s="18" t="s">
        <v>268</v>
      </c>
      <c r="N40" s="42"/>
      <c r="O40" s="42"/>
      <c r="P40" s="42"/>
      <c r="Q40" s="42" t="str">
        <f>iferror(VLOOKUP(A40,'Positional cal'!A:H,1,0)=A40,"FALSE")</f>
        <v>FALSE</v>
      </c>
      <c r="R40" s="43" t="b">
        <f t="shared" si="3"/>
        <v>0</v>
      </c>
      <c r="S40" s="46" t="str">
        <f>IFERROR(VLOOKUP($A40,AlgoUi!$A:$X,21,0),"NA")</f>
        <v/>
      </c>
      <c r="T40" s="46" t="str">
        <f>IFERROR(VLOOKUP($A40,AlgoUi!$A:$X,23,0),"")</f>
        <v/>
      </c>
      <c r="U40" s="46" t="str">
        <f>IFERROR(VLOOKUP($A40,AlgoUi!$A:$X,24,0),"")</f>
        <v/>
      </c>
      <c r="V40" s="42" t="str">
        <f>IFERROR(__xludf.DUMMYFUNCTION("IFERROR(VLOOKUP(I40,IMPORTRANGE(""https://docs.google.com/spreadsheets/d/17FOIUYQAjPk1pPQIlvOgqYDBqwUqgb7KWzp4DtVksBk/edit?gid=0#gid=0"",""Servers!A:S""),19,FALSE), ""Not Running"")"),"Not Running")</f>
        <v>Not Running</v>
      </c>
      <c r="W40" s="47" t="str">
        <f>VLOOKUP($A40,Category!$A:$E,4,0)</f>
        <v>MS</v>
      </c>
      <c r="X40" s="47" t="str">
        <f>VLOOKUP($A40,Category!$A:$E,5,0)</f>
        <v>MSR</v>
      </c>
      <c r="Y40" s="18" t="str">
        <f>VLOOKUP(A40,PAcc!$A$1:$J$27,10,0)</f>
        <v>#N/A</v>
      </c>
      <c r="Z40" s="42" t="b">
        <f t="shared" si="4"/>
        <v>0</v>
      </c>
      <c r="AA40" s="42"/>
      <c r="AB40" s="42" t="str">
        <f>VLOOKUP(A40,VlookupSheet!$A$383:$A$523,1,0)</f>
        <v>#N/A</v>
      </c>
      <c r="AC40" s="50">
        <v>0.01</v>
      </c>
      <c r="AD40" s="42"/>
      <c r="AE40" s="42"/>
      <c r="AF40" s="42"/>
    </row>
    <row r="41">
      <c r="A41" s="30" t="s">
        <v>449</v>
      </c>
      <c r="B41" s="84" t="s">
        <v>450</v>
      </c>
      <c r="C41" s="85"/>
      <c r="D41" s="11" t="s">
        <v>77</v>
      </c>
      <c r="E41" s="11">
        <f t="shared" si="1"/>
        <v>1</v>
      </c>
      <c r="F41" s="30" t="s">
        <v>311</v>
      </c>
      <c r="G41" s="31">
        <v>1.0</v>
      </c>
      <c r="H41" s="31">
        <v>1.0</v>
      </c>
      <c r="I41" s="34" t="s">
        <v>267</v>
      </c>
      <c r="J41" s="30" t="s">
        <v>87</v>
      </c>
      <c r="K41" s="38">
        <f t="shared" si="2"/>
        <v>1</v>
      </c>
      <c r="L41" s="18" t="s">
        <v>268</v>
      </c>
      <c r="M41" s="18" t="s">
        <v>268</v>
      </c>
      <c r="N41" s="18"/>
      <c r="O41" s="18"/>
      <c r="P41" s="18" t="s">
        <v>453</v>
      </c>
      <c r="Q41" s="42" t="str">
        <f>iferror(VLOOKUP(A41,'Positional cal'!A:H,1,0)=A41,"FALSE")</f>
        <v>FALSE</v>
      </c>
      <c r="R41" s="43" t="b">
        <f t="shared" si="3"/>
        <v>0</v>
      </c>
      <c r="S41" s="46" t="str">
        <f>IFERROR(VLOOKUP($A41,AlgoUi!$A:$X,21,0),"NA")</f>
        <v/>
      </c>
      <c r="T41" s="46" t="str">
        <f>IFERROR(VLOOKUP($A41,AlgoUi!$A:$X,23,0),"")</f>
        <v/>
      </c>
      <c r="U41" s="46" t="str">
        <f>IFERROR(VLOOKUP($A41,AlgoUi!$A:$X,24,0),"")</f>
        <v/>
      </c>
      <c r="V41" s="42" t="str">
        <f>IFERROR(__xludf.DUMMYFUNCTION("IFERROR(VLOOKUP(I41,IMPORTRANGE(""https://docs.google.com/spreadsheets/d/17FOIUYQAjPk1pPQIlvOgqYDBqwUqgb7KWzp4DtVksBk/edit?gid=0#gid=0"",""Servers!A:S""),19,FALSE), ""Not Running"")"),"Not Running")</f>
        <v>Not Running</v>
      </c>
      <c r="W41" s="47" t="str">
        <f>VLOOKUP($A41,Category!$A:$E,4,0)</f>
        <v>MS</v>
      </c>
      <c r="X41" s="47" t="str">
        <f>VLOOKUP($A41,Category!$A:$E,5,0)</f>
        <v>MSR</v>
      </c>
      <c r="Y41" s="18" t="str">
        <f>VLOOKUP(A41,PAcc!$A$1:$J$27,10,0)</f>
        <v>#N/A</v>
      </c>
      <c r="Z41" s="42" t="b">
        <f t="shared" si="4"/>
        <v>0</v>
      </c>
      <c r="AA41" s="42"/>
      <c r="AB41" s="42" t="str">
        <f>VLOOKUP(A41,VlookupSheet!$A$383:$A$523,1,0)</f>
        <v>#N/A</v>
      </c>
      <c r="AC41" s="50">
        <v>0.01</v>
      </c>
      <c r="AD41" s="42"/>
      <c r="AE41" s="42"/>
      <c r="AF41" s="42"/>
    </row>
    <row r="42">
      <c r="A42" s="30" t="s">
        <v>462</v>
      </c>
      <c r="B42" s="84" t="s">
        <v>463</v>
      </c>
      <c r="C42" s="85"/>
      <c r="D42" s="11" t="s">
        <v>77</v>
      </c>
      <c r="E42" s="11">
        <f t="shared" si="1"/>
        <v>1</v>
      </c>
      <c r="F42" s="30" t="s">
        <v>311</v>
      </c>
      <c r="G42" s="31">
        <v>1.0</v>
      </c>
      <c r="H42" s="31">
        <v>1.0</v>
      </c>
      <c r="I42" s="34" t="s">
        <v>267</v>
      </c>
      <c r="J42" s="30" t="s">
        <v>87</v>
      </c>
      <c r="K42" s="38">
        <f t="shared" si="2"/>
        <v>1</v>
      </c>
      <c r="L42" s="18" t="s">
        <v>268</v>
      </c>
      <c r="M42" s="18" t="s">
        <v>268</v>
      </c>
      <c r="N42" s="74"/>
      <c r="O42" s="74"/>
      <c r="P42" s="74"/>
      <c r="Q42" s="42" t="str">
        <f>iferror(VLOOKUP(A42,'Positional cal'!A:H,1,0)=A42,"FALSE")</f>
        <v>FALSE</v>
      </c>
      <c r="R42" s="43" t="b">
        <f t="shared" si="3"/>
        <v>0</v>
      </c>
      <c r="S42" s="46" t="str">
        <f>IFERROR(VLOOKUP($A42,AlgoUi!$A:$X,21,0),"NA")</f>
        <v/>
      </c>
      <c r="T42" s="46" t="str">
        <f>IFERROR(VLOOKUP($A42,AlgoUi!$A:$X,23,0),"")</f>
        <v/>
      </c>
      <c r="U42" s="46" t="str">
        <f>IFERROR(VLOOKUP($A42,AlgoUi!$A:$X,24,0),"")</f>
        <v/>
      </c>
      <c r="V42" s="42" t="str">
        <f>IFERROR(__xludf.DUMMYFUNCTION("IFERROR(VLOOKUP(I42,IMPORTRANGE(""https://docs.google.com/spreadsheets/d/17FOIUYQAjPk1pPQIlvOgqYDBqwUqgb7KWzp4DtVksBk/edit?gid=0#gid=0"",""Servers!A:S""),19,FALSE), ""Not Running"")"),"Not Running")</f>
        <v>Not Running</v>
      </c>
      <c r="W42" s="47" t="str">
        <f>VLOOKUP($A42,Category!$A:$E,4,0)</f>
        <v>MS</v>
      </c>
      <c r="X42" s="47" t="str">
        <f>VLOOKUP($A42,Category!$A:$E,5,0)</f>
        <v>MSR</v>
      </c>
      <c r="Y42" s="18" t="str">
        <f>VLOOKUP(A42,PAcc!$A$1:$J$27,10,0)</f>
        <v>#N/A</v>
      </c>
      <c r="Z42" s="42" t="b">
        <f t="shared" si="4"/>
        <v>0</v>
      </c>
      <c r="AA42" s="42"/>
      <c r="AB42" s="42" t="str">
        <f>VLOOKUP(A42,VlookupSheet!$A$383:$A$523,1,0)</f>
        <v>#N/A</v>
      </c>
      <c r="AC42" s="50">
        <v>0.01</v>
      </c>
      <c r="AD42" s="42"/>
      <c r="AE42" s="42"/>
      <c r="AF42" s="42"/>
    </row>
    <row r="43">
      <c r="A43" s="30" t="s">
        <v>470</v>
      </c>
      <c r="B43" s="84" t="s">
        <v>471</v>
      </c>
      <c r="C43" s="85"/>
      <c r="D43" s="11" t="s">
        <v>77</v>
      </c>
      <c r="E43" s="11">
        <f t="shared" si="1"/>
        <v>1</v>
      </c>
      <c r="F43" s="30" t="s">
        <v>311</v>
      </c>
      <c r="G43" s="31">
        <v>1.0</v>
      </c>
      <c r="H43" s="31">
        <v>1.0</v>
      </c>
      <c r="I43" s="30" t="s">
        <v>267</v>
      </c>
      <c r="J43" s="30" t="s">
        <v>87</v>
      </c>
      <c r="K43" s="38">
        <f t="shared" si="2"/>
        <v>1</v>
      </c>
      <c r="L43" s="18" t="s">
        <v>268</v>
      </c>
      <c r="M43" s="18" t="s">
        <v>268</v>
      </c>
      <c r="N43" s="74"/>
      <c r="O43" s="74"/>
      <c r="P43" s="74"/>
      <c r="Q43" s="42" t="str">
        <f>iferror(VLOOKUP(A43,'Positional cal'!A:H,1,0)=A43,"FALSE")</f>
        <v>FALSE</v>
      </c>
      <c r="R43" s="43" t="b">
        <f t="shared" si="3"/>
        <v>0</v>
      </c>
      <c r="S43" s="46" t="str">
        <f>IFERROR(VLOOKUP($A43,AlgoUi!$A:$X,21,0),"NA")</f>
        <v/>
      </c>
      <c r="T43" s="46" t="str">
        <f>IFERROR(VLOOKUP($A43,AlgoUi!$A:$X,23,0),"")</f>
        <v/>
      </c>
      <c r="U43" s="46" t="str">
        <f>IFERROR(VLOOKUP($A43,AlgoUi!$A:$X,24,0),"")</f>
        <v/>
      </c>
      <c r="V43" s="42" t="str">
        <f>IFERROR(__xludf.DUMMYFUNCTION("IFERROR(VLOOKUP(I43,IMPORTRANGE(""https://docs.google.com/spreadsheets/d/17FOIUYQAjPk1pPQIlvOgqYDBqwUqgb7KWzp4DtVksBk/edit?gid=0#gid=0"",""Servers!A:S""),19,FALSE), ""Not Running"")"),"Not Running")</f>
        <v>Not Running</v>
      </c>
      <c r="W43" s="47" t="str">
        <f>VLOOKUP($A43,Category!$A:$E,4,0)</f>
        <v>MS</v>
      </c>
      <c r="X43" s="47" t="str">
        <f>VLOOKUP($A43,Category!$A:$E,5,0)</f>
        <v>MSR</v>
      </c>
      <c r="Y43" s="18" t="str">
        <f>VLOOKUP(A43,PAcc!$A$1:$J$27,10,0)</f>
        <v>#N/A</v>
      </c>
      <c r="Z43" s="42" t="b">
        <f t="shared" si="4"/>
        <v>0</v>
      </c>
      <c r="AA43" s="42"/>
      <c r="AB43" s="42" t="str">
        <f>VLOOKUP(A43,VlookupSheet!$A$383:$A$523,1,0)</f>
        <v>#N/A</v>
      </c>
      <c r="AC43" s="50">
        <v>0.01</v>
      </c>
      <c r="AD43" s="42"/>
      <c r="AE43" s="42"/>
      <c r="AF43" s="42"/>
    </row>
    <row r="44">
      <c r="A44" s="11" t="s">
        <v>480</v>
      </c>
      <c r="B44" s="24" t="s">
        <v>481</v>
      </c>
      <c r="C44" s="25"/>
      <c r="D44" s="11" t="s">
        <v>77</v>
      </c>
      <c r="E44" s="11">
        <f t="shared" si="1"/>
        <v>1</v>
      </c>
      <c r="F44" s="11" t="s">
        <v>311</v>
      </c>
      <c r="G44" s="31">
        <v>1.0</v>
      </c>
      <c r="H44" s="31">
        <v>1.0</v>
      </c>
      <c r="I44" s="11" t="s">
        <v>267</v>
      </c>
      <c r="J44" s="11" t="s">
        <v>87</v>
      </c>
      <c r="K44" s="38">
        <f t="shared" si="2"/>
        <v>1</v>
      </c>
      <c r="L44" s="18" t="s">
        <v>268</v>
      </c>
      <c r="M44" s="18" t="s">
        <v>268</v>
      </c>
      <c r="N44" s="47"/>
      <c r="O44" s="47"/>
      <c r="P44" s="47" t="s">
        <v>484</v>
      </c>
      <c r="Q44" s="42" t="str">
        <f>iferror(VLOOKUP(A44,'Positional cal'!A:H,1,0)=A44,"FALSE")</f>
        <v>FALSE</v>
      </c>
      <c r="R44" s="43" t="b">
        <f t="shared" si="3"/>
        <v>0</v>
      </c>
      <c r="S44" s="46" t="str">
        <f>IFERROR(VLOOKUP($A44,AlgoUi!$A:$X,21,0),"NA")</f>
        <v/>
      </c>
      <c r="T44" s="46" t="str">
        <f>IFERROR(VLOOKUP($A44,AlgoUi!$A:$X,23,0),"")</f>
        <v/>
      </c>
      <c r="U44" s="46" t="str">
        <f>IFERROR(VLOOKUP($A44,AlgoUi!$A:$X,24,0),"")</f>
        <v/>
      </c>
      <c r="V44" s="42" t="str">
        <f>IFERROR(__xludf.DUMMYFUNCTION("IFERROR(VLOOKUP(I44,IMPORTRANGE(""https://docs.google.com/spreadsheets/d/17FOIUYQAjPk1pPQIlvOgqYDBqwUqgb7KWzp4DtVksBk/edit?gid=0#gid=0"",""Servers!A:S""),19,FALSE), ""Not Running"")"),"Not Running")</f>
        <v>Not Running</v>
      </c>
      <c r="W44" s="47" t="str">
        <f>VLOOKUP($A44,Category!$A:$E,4,0)</f>
        <v>MS</v>
      </c>
      <c r="X44" s="47" t="str">
        <f>VLOOKUP($A44,Category!$A:$E,5,0)</f>
        <v>MSR</v>
      </c>
      <c r="Y44" s="18" t="str">
        <f>VLOOKUP(A44,PAcc!$A$1:$J$27,10,0)</f>
        <v>#N/A</v>
      </c>
      <c r="Z44" s="42" t="b">
        <f t="shared" si="4"/>
        <v>0</v>
      </c>
      <c r="AA44" s="42"/>
      <c r="AB44" s="42" t="str">
        <f>VLOOKUP(A44,VlookupSheet!$A$383:$A$523,1,0)</f>
        <v>#N/A</v>
      </c>
      <c r="AC44" s="50">
        <v>0.01</v>
      </c>
      <c r="AD44" s="42"/>
      <c r="AE44" s="42"/>
      <c r="AF44" s="42"/>
    </row>
    <row r="45">
      <c r="A45" s="30" t="s">
        <v>491</v>
      </c>
      <c r="B45" s="84" t="s">
        <v>492</v>
      </c>
      <c r="C45" s="85"/>
      <c r="D45" s="11" t="s">
        <v>77</v>
      </c>
      <c r="E45" s="11">
        <f t="shared" si="1"/>
        <v>1</v>
      </c>
      <c r="F45" s="30" t="s">
        <v>311</v>
      </c>
      <c r="G45" s="31">
        <v>1.0</v>
      </c>
      <c r="H45" s="31">
        <v>1.0</v>
      </c>
      <c r="I45" s="34" t="s">
        <v>267</v>
      </c>
      <c r="J45" s="11" t="s">
        <v>87</v>
      </c>
      <c r="K45" s="38">
        <f t="shared" si="2"/>
        <v>1</v>
      </c>
      <c r="L45" s="18" t="s">
        <v>268</v>
      </c>
      <c r="M45" s="18" t="s">
        <v>268</v>
      </c>
      <c r="N45" s="74"/>
      <c r="O45" s="74"/>
      <c r="P45" s="74"/>
      <c r="Q45" s="42" t="str">
        <f>iferror(VLOOKUP(A45,'Positional cal'!A:H,1,0)=A45,"FALSE")</f>
        <v>FALSE</v>
      </c>
      <c r="R45" s="43" t="b">
        <f t="shared" si="3"/>
        <v>0</v>
      </c>
      <c r="S45" s="46" t="str">
        <f>IFERROR(VLOOKUP($A45,AlgoUi!$A:$X,21,0),"NA")</f>
        <v/>
      </c>
      <c r="T45" s="46" t="str">
        <f>IFERROR(VLOOKUP($A45,AlgoUi!$A:$X,23,0),"")</f>
        <v/>
      </c>
      <c r="U45" s="46" t="str">
        <f>IFERROR(VLOOKUP($A45,AlgoUi!$A:$X,24,0),"")</f>
        <v/>
      </c>
      <c r="V45" s="42" t="str">
        <f>IFERROR(__xludf.DUMMYFUNCTION("IFERROR(VLOOKUP(I45,IMPORTRANGE(""https://docs.google.com/spreadsheets/d/17FOIUYQAjPk1pPQIlvOgqYDBqwUqgb7KWzp4DtVksBk/edit?gid=0#gid=0"",""Servers!A:S""),19,FALSE), ""Not Running"")"),"Not Running")</f>
        <v>Not Running</v>
      </c>
      <c r="W45" s="47" t="str">
        <f>VLOOKUP($A45,Category!$A:$E,4,0)</f>
        <v>MS</v>
      </c>
      <c r="X45" s="47" t="str">
        <f>VLOOKUP($A45,Category!$A:$E,5,0)</f>
        <v>MSR</v>
      </c>
      <c r="Y45" s="18" t="str">
        <f>VLOOKUP(A45,PAcc!$A$1:$J$27,10,0)</f>
        <v>#N/A</v>
      </c>
      <c r="Z45" s="42" t="b">
        <f t="shared" si="4"/>
        <v>0</v>
      </c>
      <c r="AA45" s="42"/>
      <c r="AB45" s="42" t="str">
        <f>VLOOKUP(A45,VlookupSheet!$A$383:$A$523,1,0)</f>
        <v>#N/A</v>
      </c>
      <c r="AC45" s="50">
        <v>0.01</v>
      </c>
      <c r="AD45" s="42"/>
      <c r="AE45" s="42"/>
      <c r="AF45" s="42"/>
    </row>
    <row r="46">
      <c r="A46" s="30" t="s">
        <v>510</v>
      </c>
      <c r="B46" s="84" t="s">
        <v>512</v>
      </c>
      <c r="C46" s="85"/>
      <c r="D46" s="11" t="s">
        <v>77</v>
      </c>
      <c r="E46" s="11">
        <f t="shared" si="1"/>
        <v>1</v>
      </c>
      <c r="F46" s="30" t="s">
        <v>311</v>
      </c>
      <c r="G46" s="31">
        <v>1.0</v>
      </c>
      <c r="H46" s="31">
        <v>1.0</v>
      </c>
      <c r="I46" s="30" t="s">
        <v>267</v>
      </c>
      <c r="J46" s="30" t="s">
        <v>87</v>
      </c>
      <c r="K46" s="38">
        <f t="shared" si="2"/>
        <v>1</v>
      </c>
      <c r="L46" s="18" t="s">
        <v>268</v>
      </c>
      <c r="M46" s="18" t="s">
        <v>268</v>
      </c>
      <c r="N46" s="74"/>
      <c r="O46" s="74"/>
      <c r="P46" s="74"/>
      <c r="Q46" s="42" t="str">
        <f>iferror(VLOOKUP(A46,'Positional cal'!A:H,1,0)=A46,"FALSE")</f>
        <v>FALSE</v>
      </c>
      <c r="R46" s="43" t="b">
        <f t="shared" si="3"/>
        <v>0</v>
      </c>
      <c r="S46" s="46" t="str">
        <f>IFERROR(VLOOKUP($A46,AlgoUi!$A:$X,21,0),"NA")</f>
        <v/>
      </c>
      <c r="T46" s="46" t="str">
        <f>IFERROR(VLOOKUP($A46,AlgoUi!$A:$X,23,0),"")</f>
        <v/>
      </c>
      <c r="U46" s="46" t="str">
        <f>IFERROR(VLOOKUP($A46,AlgoUi!$A:$X,24,0),"")</f>
        <v/>
      </c>
      <c r="V46" s="42" t="str">
        <f>IFERROR(__xludf.DUMMYFUNCTION("IFERROR(VLOOKUP(I46,IMPORTRANGE(""https://docs.google.com/spreadsheets/d/17FOIUYQAjPk1pPQIlvOgqYDBqwUqgb7KWzp4DtVksBk/edit?gid=0#gid=0"",""Servers!A:S""),19,FALSE), ""Not Running"")"),"Not Running")</f>
        <v>Not Running</v>
      </c>
      <c r="W46" s="47" t="str">
        <f>VLOOKUP($A46,Category!$A:$E,4,0)</f>
        <v>MS</v>
      </c>
      <c r="X46" s="47" t="str">
        <f>VLOOKUP($A46,Category!$A:$E,5,0)</f>
        <v>MSR</v>
      </c>
      <c r="Y46" s="18" t="str">
        <f>VLOOKUP(A46,PAcc!$A$1:$J$27,10,0)</f>
        <v>#N/A</v>
      </c>
      <c r="Z46" s="42" t="b">
        <f t="shared" si="4"/>
        <v>0</v>
      </c>
      <c r="AA46" s="42"/>
      <c r="AB46" s="42" t="str">
        <f>VLOOKUP(A46,VlookupSheet!$A$383:$A$523,1,0)</f>
        <v>#N/A</v>
      </c>
      <c r="AC46" s="50">
        <v>0.01</v>
      </c>
      <c r="AD46" s="42"/>
      <c r="AE46" s="42"/>
      <c r="AF46" s="42"/>
    </row>
    <row r="47">
      <c r="A47" s="30" t="s">
        <v>524</v>
      </c>
      <c r="B47" s="25" t="s">
        <v>525</v>
      </c>
      <c r="C47" s="85"/>
      <c r="D47" s="11" t="s">
        <v>77</v>
      </c>
      <c r="E47" s="11">
        <f t="shared" si="1"/>
        <v>1</v>
      </c>
      <c r="F47" s="30" t="s">
        <v>311</v>
      </c>
      <c r="G47" s="31">
        <v>1.0</v>
      </c>
      <c r="H47" s="31">
        <v>1.0</v>
      </c>
      <c r="I47" s="30" t="s">
        <v>267</v>
      </c>
      <c r="J47" s="30" t="s">
        <v>87</v>
      </c>
      <c r="K47" s="38">
        <f t="shared" si="2"/>
        <v>1</v>
      </c>
      <c r="L47" s="18" t="s">
        <v>268</v>
      </c>
      <c r="M47" s="18" t="s">
        <v>268</v>
      </c>
      <c r="N47" s="74"/>
      <c r="O47" s="74"/>
      <c r="P47" s="74"/>
      <c r="Q47" s="42" t="str">
        <f>iferror(VLOOKUP(A47,'Positional cal'!A:H,1,0)=A47,"FALSE")</f>
        <v>FALSE</v>
      </c>
      <c r="R47" s="43" t="b">
        <f t="shared" si="3"/>
        <v>0</v>
      </c>
      <c r="S47" s="46" t="str">
        <f>IFERROR(VLOOKUP($A47,AlgoUi!$A:$X,21,0),"NA")</f>
        <v/>
      </c>
      <c r="T47" s="46" t="str">
        <f>IFERROR(VLOOKUP($A47,AlgoUi!$A:$X,23,0),"")</f>
        <v/>
      </c>
      <c r="U47" s="46" t="str">
        <f>IFERROR(VLOOKUP($A47,AlgoUi!$A:$X,24,0),"")</f>
        <v/>
      </c>
      <c r="V47" s="42" t="str">
        <f>IFERROR(__xludf.DUMMYFUNCTION("IFERROR(VLOOKUP(I47,IMPORTRANGE(""https://docs.google.com/spreadsheets/d/17FOIUYQAjPk1pPQIlvOgqYDBqwUqgb7KWzp4DtVksBk/edit?gid=0#gid=0"",""Servers!A:S""),19,FALSE), ""Not Running"")"),"Not Running")</f>
        <v>Not Running</v>
      </c>
      <c r="W47" s="47" t="str">
        <f>VLOOKUP($A47,Category!$A:$E,4,0)</f>
        <v>MS</v>
      </c>
      <c r="X47" s="47" t="str">
        <f>VLOOKUP($A47,Category!$A:$E,5,0)</f>
        <v>MSR</v>
      </c>
      <c r="Y47" s="18" t="str">
        <f>VLOOKUP(A47,PAcc!$A$1:$J$27,10,0)</f>
        <v>#N/A</v>
      </c>
      <c r="Z47" s="42" t="b">
        <f t="shared" si="4"/>
        <v>0</v>
      </c>
      <c r="AA47" s="42"/>
      <c r="AB47" s="42" t="str">
        <f>VLOOKUP(A47,VlookupSheet!$A$383:$A$523,1,0)</f>
        <v>#N/A</v>
      </c>
      <c r="AC47" s="50">
        <v>0.01</v>
      </c>
      <c r="AD47" s="42"/>
      <c r="AE47" s="42"/>
      <c r="AF47" s="42"/>
    </row>
    <row r="48">
      <c r="A48" s="30" t="s">
        <v>537</v>
      </c>
      <c r="B48" s="84" t="s">
        <v>538</v>
      </c>
      <c r="C48" s="85"/>
      <c r="D48" s="11" t="s">
        <v>77</v>
      </c>
      <c r="E48" s="11">
        <f t="shared" si="1"/>
        <v>1</v>
      </c>
      <c r="F48" s="30" t="s">
        <v>311</v>
      </c>
      <c r="G48" s="31">
        <v>1.0</v>
      </c>
      <c r="H48" s="31">
        <v>1.0</v>
      </c>
      <c r="I48" s="34" t="s">
        <v>267</v>
      </c>
      <c r="J48" s="30" t="s">
        <v>87</v>
      </c>
      <c r="K48" s="38">
        <f t="shared" si="2"/>
        <v>1</v>
      </c>
      <c r="L48" s="18" t="s">
        <v>268</v>
      </c>
      <c r="M48" s="18" t="s">
        <v>268</v>
      </c>
      <c r="N48" s="74"/>
      <c r="O48" s="74"/>
      <c r="P48" s="74"/>
      <c r="Q48" s="42" t="str">
        <f>iferror(VLOOKUP(A48,'Positional cal'!A:H,1,0)=A48,"FALSE")</f>
        <v>FALSE</v>
      </c>
      <c r="R48" s="43" t="b">
        <f t="shared" si="3"/>
        <v>0</v>
      </c>
      <c r="S48" s="46" t="str">
        <f>IFERROR(VLOOKUP($A48,AlgoUi!$A:$X,21,0),"NA")</f>
        <v/>
      </c>
      <c r="T48" s="46" t="str">
        <f>IFERROR(VLOOKUP($A48,AlgoUi!$A:$X,23,0),"")</f>
        <v/>
      </c>
      <c r="U48" s="46" t="str">
        <f>IFERROR(VLOOKUP($A48,AlgoUi!$A:$X,24,0),"")</f>
        <v/>
      </c>
      <c r="V48" s="42" t="str">
        <f>IFERROR(__xludf.DUMMYFUNCTION("IFERROR(VLOOKUP(I48,IMPORTRANGE(""https://docs.google.com/spreadsheets/d/17FOIUYQAjPk1pPQIlvOgqYDBqwUqgb7KWzp4DtVksBk/edit?gid=0#gid=0"",""Servers!A:S""),19,FALSE), ""Not Running"")"),"Not Running")</f>
        <v>Not Running</v>
      </c>
      <c r="W48" s="47" t="str">
        <f>VLOOKUP($A48,Category!$A:$E,4,0)</f>
        <v>MS</v>
      </c>
      <c r="X48" s="47" t="str">
        <f>VLOOKUP($A48,Category!$A:$E,5,0)</f>
        <v>MSP</v>
      </c>
      <c r="Y48" s="18" t="str">
        <f>VLOOKUP(A48,PAcc!$A$1:$J$27,10,0)</f>
        <v>#N/A</v>
      </c>
      <c r="Z48" s="42" t="b">
        <f t="shared" si="4"/>
        <v>0</v>
      </c>
      <c r="AA48" s="42"/>
      <c r="AB48" s="42" t="str">
        <f>VLOOKUP(A48,VlookupSheet!$A$383:$A$523,1,0)</f>
        <v>#N/A</v>
      </c>
      <c r="AC48" s="50">
        <v>0.01</v>
      </c>
      <c r="AD48" s="42"/>
      <c r="AE48" s="42"/>
      <c r="AF48" s="42"/>
    </row>
    <row r="49">
      <c r="A49" s="11" t="s">
        <v>548</v>
      </c>
      <c r="B49" s="84" t="s">
        <v>549</v>
      </c>
      <c r="C49" s="25"/>
      <c r="D49" s="11" t="s">
        <v>77</v>
      </c>
      <c r="E49" s="11">
        <f t="shared" si="1"/>
        <v>1</v>
      </c>
      <c r="F49" s="30" t="s">
        <v>232</v>
      </c>
      <c r="G49" s="31">
        <v>1.0</v>
      </c>
      <c r="H49" s="31">
        <v>1.0</v>
      </c>
      <c r="I49" s="34" t="s">
        <v>267</v>
      </c>
      <c r="J49" s="30" t="s">
        <v>87</v>
      </c>
      <c r="K49" s="38">
        <f t="shared" si="2"/>
        <v>1</v>
      </c>
      <c r="L49" s="18" t="s">
        <v>268</v>
      </c>
      <c r="M49" s="18" t="s">
        <v>268</v>
      </c>
      <c r="N49" s="42"/>
      <c r="O49" s="42"/>
      <c r="P49" s="42"/>
      <c r="Q49" s="42" t="str">
        <f>iferror(VLOOKUP(A49,'Positional cal'!A:H,1,0)=A49,"FALSE")</f>
        <v>FALSE</v>
      </c>
      <c r="R49" s="43" t="b">
        <f t="shared" si="3"/>
        <v>0</v>
      </c>
      <c r="S49" s="46" t="str">
        <f>IFERROR(VLOOKUP($A49,AlgoUi!$A:$X,21,0),"NA")</f>
        <v/>
      </c>
      <c r="T49" s="46" t="str">
        <f>IFERROR(VLOOKUP($A49,AlgoUi!$A:$X,23,0),"")</f>
        <v/>
      </c>
      <c r="U49" s="46" t="str">
        <f>IFERROR(VLOOKUP($A49,AlgoUi!$A:$X,24,0),"")</f>
        <v/>
      </c>
      <c r="V49" s="42" t="str">
        <f>IFERROR(__xludf.DUMMYFUNCTION("IFERROR(VLOOKUP(I49,IMPORTRANGE(""https://docs.google.com/spreadsheets/d/17FOIUYQAjPk1pPQIlvOgqYDBqwUqgb7KWzp4DtVksBk/edit?gid=0#gid=0"",""Servers!A:S""),19,FALSE), ""Not Running"")"),"Not Running")</f>
        <v>Not Running</v>
      </c>
      <c r="W49" s="47" t="str">
        <f>VLOOKUP($A49,Category!$A:$E,4,0)</f>
        <v>MS</v>
      </c>
      <c r="X49" s="47" t="str">
        <f>VLOOKUP($A49,Category!$A:$E,5,0)</f>
        <v>MSR</v>
      </c>
      <c r="Y49" s="18" t="str">
        <f>VLOOKUP(A49,PAcc!$A$1:$J$27,10,0)</f>
        <v>#N/A</v>
      </c>
      <c r="Z49" s="42" t="b">
        <f t="shared" si="4"/>
        <v>0</v>
      </c>
      <c r="AA49" s="42"/>
      <c r="AB49" s="42" t="str">
        <f>VLOOKUP(A49,VlookupSheet!$A$383:$A$523,1,0)</f>
        <v>#N/A</v>
      </c>
      <c r="AC49" s="50">
        <v>0.01</v>
      </c>
      <c r="AD49" s="42"/>
      <c r="AE49" s="42"/>
      <c r="AF49" s="42"/>
    </row>
    <row r="50">
      <c r="A50" s="30" t="s">
        <v>556</v>
      </c>
      <c r="B50" s="84" t="s">
        <v>557</v>
      </c>
      <c r="C50" s="85"/>
      <c r="D50" s="11" t="s">
        <v>77</v>
      </c>
      <c r="E50" s="11">
        <f t="shared" si="1"/>
        <v>1</v>
      </c>
      <c r="F50" s="30" t="s">
        <v>311</v>
      </c>
      <c r="G50" s="31">
        <v>1.0</v>
      </c>
      <c r="H50" s="31">
        <v>1.0</v>
      </c>
      <c r="I50" s="30" t="s">
        <v>267</v>
      </c>
      <c r="J50" s="30" t="s">
        <v>87</v>
      </c>
      <c r="K50" s="38">
        <f t="shared" si="2"/>
        <v>1</v>
      </c>
      <c r="L50" s="18" t="s">
        <v>268</v>
      </c>
      <c r="M50" s="18" t="s">
        <v>268</v>
      </c>
      <c r="N50" s="74"/>
      <c r="O50" s="74"/>
      <c r="P50" s="74"/>
      <c r="Q50" s="42" t="str">
        <f>iferror(VLOOKUP(A50,'Positional cal'!A:H,1,0)=A50,"FALSE")</f>
        <v>FALSE</v>
      </c>
      <c r="R50" s="43" t="b">
        <f t="shared" si="3"/>
        <v>0</v>
      </c>
      <c r="S50" s="46" t="str">
        <f>IFERROR(VLOOKUP($A50,AlgoUi!$A:$X,21,0),"NA")</f>
        <v/>
      </c>
      <c r="T50" s="46" t="str">
        <f>IFERROR(VLOOKUP($A50,AlgoUi!$A:$X,23,0),"")</f>
        <v/>
      </c>
      <c r="U50" s="46" t="str">
        <f>IFERROR(VLOOKUP($A50,AlgoUi!$A:$X,24,0),"")</f>
        <v/>
      </c>
      <c r="V50" s="42" t="str">
        <f>IFERROR(__xludf.DUMMYFUNCTION("IFERROR(VLOOKUP(I50,IMPORTRANGE(""https://docs.google.com/spreadsheets/d/17FOIUYQAjPk1pPQIlvOgqYDBqwUqgb7KWzp4DtVksBk/edit?gid=0#gid=0"",""Servers!A:S""),19,FALSE), ""Not Running"")"),"Not Running")</f>
        <v>Not Running</v>
      </c>
      <c r="W50" s="47" t="str">
        <f>VLOOKUP($A50,Category!$A:$E,4,0)</f>
        <v>MS</v>
      </c>
      <c r="X50" s="47" t="str">
        <f>VLOOKUP($A50,Category!$A:$E,5,0)</f>
        <v>MSR</v>
      </c>
      <c r="Y50" s="18" t="str">
        <f>VLOOKUP(A50,PAcc!$A$1:$J$27,10,0)</f>
        <v>#N/A</v>
      </c>
      <c r="Z50" s="42" t="b">
        <f t="shared" si="4"/>
        <v>0</v>
      </c>
      <c r="AA50" s="42"/>
      <c r="AB50" s="42" t="str">
        <f>VLOOKUP(A50,VlookupSheet!$A$383:$A$523,1,0)</f>
        <v>#N/A</v>
      </c>
      <c r="AC50" s="50">
        <v>0.01</v>
      </c>
      <c r="AD50" s="42"/>
      <c r="AE50" s="42"/>
      <c r="AF50" s="42"/>
    </row>
    <row r="51">
      <c r="A51" s="30" t="s">
        <v>566</v>
      </c>
      <c r="B51" s="84" t="s">
        <v>567</v>
      </c>
      <c r="C51" s="30" t="s">
        <v>320</v>
      </c>
      <c r="D51" s="11" t="s">
        <v>77</v>
      </c>
      <c r="E51" s="11">
        <f t="shared" si="1"/>
        <v>1</v>
      </c>
      <c r="F51" s="30" t="s">
        <v>311</v>
      </c>
      <c r="G51" s="31">
        <v>1.0</v>
      </c>
      <c r="H51" s="31">
        <v>1.0</v>
      </c>
      <c r="I51" s="30" t="s">
        <v>267</v>
      </c>
      <c r="J51" s="30" t="s">
        <v>87</v>
      </c>
      <c r="K51" s="38">
        <f t="shared" si="2"/>
        <v>1</v>
      </c>
      <c r="L51" s="18" t="s">
        <v>268</v>
      </c>
      <c r="M51" s="18" t="s">
        <v>268</v>
      </c>
      <c r="N51" s="74"/>
      <c r="O51" s="74"/>
      <c r="P51" s="74"/>
      <c r="Q51" s="42" t="str">
        <f>iferror(VLOOKUP(A51,'Positional cal'!A:H,1,0)=A51,"FALSE")</f>
        <v>FALSE</v>
      </c>
      <c r="R51" s="43" t="b">
        <f t="shared" si="3"/>
        <v>0</v>
      </c>
      <c r="S51" s="46" t="str">
        <f>IFERROR(VLOOKUP($A51,AlgoUi!$A:$X,21,0),"NA")</f>
        <v/>
      </c>
      <c r="T51" s="46" t="str">
        <f>IFERROR(VLOOKUP($A51,AlgoUi!$A:$X,23,0),"")</f>
        <v/>
      </c>
      <c r="U51" s="46" t="str">
        <f>IFERROR(VLOOKUP($A51,AlgoUi!$A:$X,24,0),"")</f>
        <v/>
      </c>
      <c r="V51" s="42" t="str">
        <f>IFERROR(__xludf.DUMMYFUNCTION("IFERROR(VLOOKUP(I51,IMPORTRANGE(""https://docs.google.com/spreadsheets/d/17FOIUYQAjPk1pPQIlvOgqYDBqwUqgb7KWzp4DtVksBk/edit?gid=0#gid=0"",""Servers!A:S""),19,FALSE), ""Not Running"")"),"Not Running")</f>
        <v>Not Running</v>
      </c>
      <c r="W51" s="47" t="str">
        <f>VLOOKUP($A51,Category!$A:$E,4,0)</f>
        <v>MS</v>
      </c>
      <c r="X51" s="47" t="str">
        <f>VLOOKUP($A51,Category!$A:$E,5,0)</f>
        <v>MSR</v>
      </c>
      <c r="Y51" s="18" t="str">
        <f>VLOOKUP(A51,PAcc!$A$1:$J$27,10,0)</f>
        <v>#N/A</v>
      </c>
      <c r="Z51" s="42" t="b">
        <f t="shared" si="4"/>
        <v>0</v>
      </c>
      <c r="AA51" s="42"/>
      <c r="AB51" s="42" t="str">
        <f>VLOOKUP(A51,VlookupSheet!$A$383:$A$523,1,0)</f>
        <v>#N/A</v>
      </c>
      <c r="AC51" s="50">
        <v>0.01</v>
      </c>
      <c r="AD51" s="42"/>
      <c r="AE51" s="42"/>
      <c r="AF51" s="42"/>
    </row>
    <row r="52">
      <c r="A52" s="11" t="s">
        <v>572</v>
      </c>
      <c r="B52" s="84" t="s">
        <v>573</v>
      </c>
      <c r="C52" s="25"/>
      <c r="D52" s="11" t="s">
        <v>77</v>
      </c>
      <c r="E52" s="11">
        <f t="shared" si="1"/>
        <v>1</v>
      </c>
      <c r="F52" s="11" t="s">
        <v>574</v>
      </c>
      <c r="G52" s="31">
        <v>1.0</v>
      </c>
      <c r="H52" s="31">
        <v>1.0</v>
      </c>
      <c r="I52" s="34" t="s">
        <v>267</v>
      </c>
      <c r="J52" s="11" t="s">
        <v>87</v>
      </c>
      <c r="K52" s="38">
        <f t="shared" si="2"/>
        <v>1</v>
      </c>
      <c r="L52" s="18" t="s">
        <v>268</v>
      </c>
      <c r="M52" s="18" t="s">
        <v>268</v>
      </c>
      <c r="N52" s="42"/>
      <c r="O52" s="42"/>
      <c r="P52" s="42"/>
      <c r="Q52" s="42" t="str">
        <f>iferror(VLOOKUP(A52,'Positional cal'!A:H,1,0)=A52,"FALSE")</f>
        <v>FALSE</v>
      </c>
      <c r="R52" s="43" t="b">
        <f t="shared" si="3"/>
        <v>0</v>
      </c>
      <c r="S52" s="46" t="str">
        <f>IFERROR(VLOOKUP($A52,AlgoUi!$A:$X,21,0),"NA")</f>
        <v/>
      </c>
      <c r="T52" s="46" t="str">
        <f>IFERROR(VLOOKUP($A52,AlgoUi!$A:$X,23,0),"")</f>
        <v/>
      </c>
      <c r="U52" s="46" t="str">
        <f>IFERROR(VLOOKUP($A52,AlgoUi!$A:$X,24,0),"")</f>
        <v/>
      </c>
      <c r="V52" s="42" t="str">
        <f>IFERROR(__xludf.DUMMYFUNCTION("IFERROR(VLOOKUP(I52,IMPORTRANGE(""https://docs.google.com/spreadsheets/d/17FOIUYQAjPk1pPQIlvOgqYDBqwUqgb7KWzp4DtVksBk/edit?gid=0#gid=0"",""Servers!A:S""),19,FALSE), ""Not Running"")"),"Not Running")</f>
        <v>Not Running</v>
      </c>
      <c r="W52" s="47" t="str">
        <f>VLOOKUP($A52,Category!$A:$E,4,0)</f>
        <v>MS</v>
      </c>
      <c r="X52" s="47" t="str">
        <f>VLOOKUP($A52,Category!$A:$E,5,0)</f>
        <v>MSS</v>
      </c>
      <c r="Y52" s="18" t="str">
        <f>VLOOKUP(A52,PAcc!$A$1:$J$27,10,0)</f>
        <v>#N/A</v>
      </c>
      <c r="Z52" s="42" t="b">
        <f t="shared" si="4"/>
        <v>0</v>
      </c>
      <c r="AA52" s="42"/>
      <c r="AB52" s="42" t="str">
        <f>VLOOKUP(A52,VlookupSheet!$A$383:$A$523,1,0)</f>
        <v>#N/A</v>
      </c>
      <c r="AC52" s="50">
        <v>0.01</v>
      </c>
      <c r="AD52" s="42"/>
      <c r="AE52" s="42"/>
      <c r="AF52" s="42"/>
    </row>
    <row r="53">
      <c r="A53" s="11" t="s">
        <v>578</v>
      </c>
      <c r="B53" s="24" t="s">
        <v>579</v>
      </c>
      <c r="C53" s="25"/>
      <c r="D53" s="11" t="s">
        <v>77</v>
      </c>
      <c r="E53" s="11">
        <f t="shared" si="1"/>
        <v>1</v>
      </c>
      <c r="F53" s="11" t="s">
        <v>574</v>
      </c>
      <c r="G53" s="31">
        <v>1.0</v>
      </c>
      <c r="H53" s="31">
        <v>1.0</v>
      </c>
      <c r="I53" s="11" t="s">
        <v>267</v>
      </c>
      <c r="J53" s="11" t="s">
        <v>87</v>
      </c>
      <c r="K53" s="38">
        <f t="shared" si="2"/>
        <v>1</v>
      </c>
      <c r="L53" s="18" t="s">
        <v>268</v>
      </c>
      <c r="M53" s="18" t="s">
        <v>268</v>
      </c>
      <c r="N53" s="18"/>
      <c r="O53" s="18"/>
      <c r="P53" s="18" t="s">
        <v>580</v>
      </c>
      <c r="Q53" s="42" t="str">
        <f>iferror(VLOOKUP(A53,'Positional cal'!A:H,1,0)=A53,"FALSE")</f>
        <v>FALSE</v>
      </c>
      <c r="R53" s="43" t="b">
        <f t="shared" si="3"/>
        <v>0</v>
      </c>
      <c r="S53" s="46" t="str">
        <f>IFERROR(VLOOKUP($A53,AlgoUi!$A:$X,21,0),"NA")</f>
        <v/>
      </c>
      <c r="T53" s="46" t="str">
        <f>IFERROR(VLOOKUP($A53,AlgoUi!$A:$X,23,0),"")</f>
        <v/>
      </c>
      <c r="U53" s="46" t="str">
        <f>IFERROR(VLOOKUP($A53,AlgoUi!$A:$X,24,0),"")</f>
        <v/>
      </c>
      <c r="V53" s="42" t="str">
        <f>IFERROR(__xludf.DUMMYFUNCTION("IFERROR(VLOOKUP(I53,IMPORTRANGE(""https://docs.google.com/spreadsheets/d/17FOIUYQAjPk1pPQIlvOgqYDBqwUqgb7KWzp4DtVksBk/edit?gid=0#gid=0"",""Servers!A:S""),19,FALSE), ""Not Running"")"),"Not Running")</f>
        <v>Not Running</v>
      </c>
      <c r="W53" s="47" t="str">
        <f>VLOOKUP($A53,Category!$A:$E,4,0)</f>
        <v>MS</v>
      </c>
      <c r="X53" s="47" t="str">
        <f>VLOOKUP($A53,Category!$A:$E,5,0)</f>
        <v>MSS</v>
      </c>
      <c r="Y53" s="18" t="str">
        <f>VLOOKUP(A53,PAcc!$A$1:$J$27,10,0)</f>
        <v>#N/A</v>
      </c>
      <c r="Z53" s="42" t="b">
        <f t="shared" si="4"/>
        <v>0</v>
      </c>
      <c r="AA53" s="42"/>
      <c r="AB53" s="42" t="str">
        <f>VLOOKUP(A53,VlookupSheet!$A$383:$A$523,1,0)</f>
        <v>#N/A</v>
      </c>
      <c r="AC53" s="50">
        <v>0.01</v>
      </c>
      <c r="AD53" s="42"/>
      <c r="AE53" s="42"/>
      <c r="AF53" s="42"/>
    </row>
    <row r="54">
      <c r="A54" s="30" t="s">
        <v>587</v>
      </c>
      <c r="B54" s="84" t="s">
        <v>588</v>
      </c>
      <c r="C54" s="30" t="s">
        <v>320</v>
      </c>
      <c r="D54" s="11" t="s">
        <v>77</v>
      </c>
      <c r="E54" s="11">
        <f t="shared" si="1"/>
        <v>1</v>
      </c>
      <c r="F54" s="30" t="s">
        <v>311</v>
      </c>
      <c r="G54" s="31">
        <v>1.0</v>
      </c>
      <c r="H54" s="31">
        <v>1.0</v>
      </c>
      <c r="I54" s="34" t="s">
        <v>267</v>
      </c>
      <c r="J54" s="30" t="s">
        <v>87</v>
      </c>
      <c r="K54" s="38">
        <f t="shared" si="2"/>
        <v>1</v>
      </c>
      <c r="L54" s="18" t="s">
        <v>268</v>
      </c>
      <c r="M54" s="18" t="s">
        <v>268</v>
      </c>
      <c r="N54" s="74"/>
      <c r="O54" s="74"/>
      <c r="P54" s="74"/>
      <c r="Q54" s="42" t="str">
        <f>iferror(VLOOKUP(A54,'Positional cal'!A:H,1,0)=A54,"FALSE")</f>
        <v>FALSE</v>
      </c>
      <c r="R54" s="43" t="b">
        <f t="shared" si="3"/>
        <v>0</v>
      </c>
      <c r="S54" s="46" t="str">
        <f>IFERROR(VLOOKUP($A54,AlgoUi!$A:$X,21,0),"NA")</f>
        <v/>
      </c>
      <c r="T54" s="46" t="str">
        <f>IFERROR(VLOOKUP($A54,AlgoUi!$A:$X,23,0),"")</f>
        <v/>
      </c>
      <c r="U54" s="46" t="str">
        <f>IFERROR(VLOOKUP($A54,AlgoUi!$A:$X,24,0),"")</f>
        <v/>
      </c>
      <c r="V54" s="42" t="str">
        <f>IFERROR(__xludf.DUMMYFUNCTION("IFERROR(VLOOKUP(I54,IMPORTRANGE(""https://docs.google.com/spreadsheets/d/17FOIUYQAjPk1pPQIlvOgqYDBqwUqgb7KWzp4DtVksBk/edit?gid=0#gid=0"",""Servers!A:S""),19,FALSE), ""Not Running"")"),"Not Running")</f>
        <v>Not Running</v>
      </c>
      <c r="W54" s="47" t="str">
        <f>VLOOKUP($A54,Category!$A:$E,4,0)</f>
        <v>CC</v>
      </c>
      <c r="X54" s="47" t="str">
        <f>VLOOKUP($A54,Category!$A:$E,5,0)</f>
        <v>CCV</v>
      </c>
      <c r="Y54" s="18" t="str">
        <f>VLOOKUP(A54,PAcc!$A$1:$J$27,10,0)</f>
        <v>#N/A</v>
      </c>
      <c r="Z54" s="42" t="b">
        <f t="shared" si="4"/>
        <v>0</v>
      </c>
      <c r="AA54" s="50">
        <v>0.6</v>
      </c>
      <c r="AB54" s="42" t="str">
        <f>VLOOKUP(A54,VlookupSheet!$A$383:$A$523,1,0)</f>
        <v>#N/A</v>
      </c>
      <c r="AC54" s="50">
        <v>0.01</v>
      </c>
      <c r="AD54" s="42"/>
      <c r="AE54" s="42"/>
      <c r="AF54" s="42"/>
    </row>
    <row r="55">
      <c r="A55" s="30" t="s">
        <v>590</v>
      </c>
      <c r="B55" s="24" t="s">
        <v>591</v>
      </c>
      <c r="C55" s="25"/>
      <c r="D55" s="11" t="s">
        <v>77</v>
      </c>
      <c r="E55" s="11">
        <f t="shared" si="1"/>
        <v>1</v>
      </c>
      <c r="F55" s="30" t="s">
        <v>266</v>
      </c>
      <c r="G55" s="31">
        <v>1.0</v>
      </c>
      <c r="H55" s="31">
        <v>1.0</v>
      </c>
      <c r="I55" s="34" t="s">
        <v>267</v>
      </c>
      <c r="J55" s="11" t="s">
        <v>87</v>
      </c>
      <c r="K55" s="38">
        <f t="shared" si="2"/>
        <v>1</v>
      </c>
      <c r="L55" s="18" t="s">
        <v>268</v>
      </c>
      <c r="M55" s="18" t="s">
        <v>268</v>
      </c>
      <c r="N55" s="42"/>
      <c r="O55" s="42"/>
      <c r="P55" s="42"/>
      <c r="Q55" s="42" t="str">
        <f>iferror(VLOOKUP(A55,'Positional cal'!A:H,1,0)=A55,"FALSE")</f>
        <v>FALSE</v>
      </c>
      <c r="R55" s="43" t="b">
        <f t="shared" si="3"/>
        <v>0</v>
      </c>
      <c r="S55" s="46" t="str">
        <f>IFERROR(VLOOKUP($A55,AlgoUi!$A:$X,21,0),"NA")</f>
        <v/>
      </c>
      <c r="T55" s="46" t="str">
        <f>IFERROR(VLOOKUP($A55,AlgoUi!$A:$X,23,0),"")</f>
        <v/>
      </c>
      <c r="U55" s="46" t="str">
        <f>IFERROR(VLOOKUP($A55,AlgoUi!$A:$X,24,0),"")</f>
        <v/>
      </c>
      <c r="V55" s="42" t="str">
        <f>IFERROR(__xludf.DUMMYFUNCTION("IFERROR(VLOOKUP(I55,IMPORTRANGE(""https://docs.google.com/spreadsheets/d/17FOIUYQAjPk1pPQIlvOgqYDBqwUqgb7KWzp4DtVksBk/edit?gid=0#gid=0"",""Servers!A:S""),19,FALSE), ""Not Running"")"),"Not Running")</f>
        <v>Not Running</v>
      </c>
      <c r="W55" s="47" t="str">
        <f>VLOOKUP($A55,Category!$A:$E,4,0)</f>
        <v>MS</v>
      </c>
      <c r="X55" s="47" t="str">
        <f>VLOOKUP($A55,Category!$A:$E,5,0)</f>
        <v>MSJ</v>
      </c>
      <c r="Y55" s="18" t="str">
        <f>VLOOKUP(A55,PAcc!$A$1:$J$27,10,0)</f>
        <v>#N/A</v>
      </c>
      <c r="Z55" s="42" t="b">
        <f t="shared" si="4"/>
        <v>0</v>
      </c>
      <c r="AA55" s="42"/>
      <c r="AB55" s="42" t="str">
        <f>VLOOKUP(A55,VlookupSheet!$A$383:$A$523,1,0)</f>
        <v>#N/A</v>
      </c>
      <c r="AC55" s="50">
        <v>0.01</v>
      </c>
      <c r="AD55" s="42"/>
      <c r="AE55" s="42"/>
      <c r="AF55" s="42"/>
    </row>
    <row r="56">
      <c r="A56" s="30" t="s">
        <v>594</v>
      </c>
      <c r="B56" s="30" t="s">
        <v>594</v>
      </c>
      <c r="C56" s="74"/>
      <c r="D56" s="11" t="s">
        <v>77</v>
      </c>
      <c r="E56" s="11">
        <f t="shared" si="1"/>
        <v>1</v>
      </c>
      <c r="F56" s="34" t="s">
        <v>266</v>
      </c>
      <c r="G56" s="31">
        <v>1.0</v>
      </c>
      <c r="H56" s="31">
        <v>1.0</v>
      </c>
      <c r="I56" s="30" t="s">
        <v>267</v>
      </c>
      <c r="J56" s="30" t="s">
        <v>87</v>
      </c>
      <c r="K56" s="38">
        <f t="shared" si="2"/>
        <v>1</v>
      </c>
      <c r="L56" s="18" t="s">
        <v>268</v>
      </c>
      <c r="M56" s="18" t="s">
        <v>268</v>
      </c>
      <c r="N56" s="34"/>
      <c r="O56" s="34"/>
      <c r="P56" s="34" t="s">
        <v>596</v>
      </c>
      <c r="Q56" s="42" t="str">
        <f>iferror(VLOOKUP(A56,'Positional cal'!A:H,1,0)=A56,"FALSE")</f>
        <v>FALSE</v>
      </c>
      <c r="R56" s="43" t="b">
        <f t="shared" si="3"/>
        <v>0</v>
      </c>
      <c r="S56" s="46" t="str">
        <f>IFERROR(VLOOKUP($A56,AlgoUi!$A:$X,21,0),"NA")</f>
        <v/>
      </c>
      <c r="T56" s="46" t="str">
        <f>IFERROR(VLOOKUP($A56,AlgoUi!$A:$X,23,0),"")</f>
        <v/>
      </c>
      <c r="U56" s="46" t="str">
        <f>IFERROR(VLOOKUP($A56,AlgoUi!$A:$X,24,0),"")</f>
        <v/>
      </c>
      <c r="V56" s="42" t="str">
        <f>IFERROR(__xludf.DUMMYFUNCTION("IFERROR(VLOOKUP(I56,IMPORTRANGE(""https://docs.google.com/spreadsheets/d/17FOIUYQAjPk1pPQIlvOgqYDBqwUqgb7KWzp4DtVksBk/edit?gid=0#gid=0"",""Servers!A:S""),19,FALSE), ""Not Running"")"),"Not Running")</f>
        <v>Not Running</v>
      </c>
      <c r="W56" s="47" t="str">
        <f>VLOOKUP($A56,Category!$A:$E,4,0)</f>
        <v>MS</v>
      </c>
      <c r="X56" s="47" t="str">
        <f>VLOOKUP($A56,Category!$A:$E,5,0)</f>
        <v>MSJ</v>
      </c>
      <c r="Y56" s="18" t="str">
        <f>VLOOKUP(A56,PAcc!$A$1:$J$27,10,0)</f>
        <v>#N/A</v>
      </c>
      <c r="Z56" s="42" t="b">
        <f t="shared" si="4"/>
        <v>0</v>
      </c>
      <c r="AA56" s="42"/>
      <c r="AB56" s="42" t="str">
        <f>VLOOKUP(A56,VlookupSheet!$A$383:$A$523,1,0)</f>
        <v>#N/A</v>
      </c>
      <c r="AC56" s="50">
        <v>0.01</v>
      </c>
      <c r="AD56" s="42"/>
      <c r="AE56" s="42"/>
      <c r="AF56" s="42"/>
    </row>
    <row r="57">
      <c r="A57" s="30" t="s">
        <v>602</v>
      </c>
      <c r="B57" s="84" t="s">
        <v>603</v>
      </c>
      <c r="C57" s="85"/>
      <c r="D57" s="11" t="s">
        <v>77</v>
      </c>
      <c r="E57" s="11">
        <f t="shared" si="1"/>
        <v>1</v>
      </c>
      <c r="F57" s="30" t="s">
        <v>272</v>
      </c>
      <c r="G57" s="31">
        <v>1.0</v>
      </c>
      <c r="H57" s="31">
        <v>1.0</v>
      </c>
      <c r="I57" s="34" t="s">
        <v>267</v>
      </c>
      <c r="J57" s="30" t="s">
        <v>87</v>
      </c>
      <c r="K57" s="38">
        <f t="shared" si="2"/>
        <v>1</v>
      </c>
      <c r="L57" s="18" t="s">
        <v>268</v>
      </c>
      <c r="M57" s="18" t="s">
        <v>268</v>
      </c>
      <c r="N57" s="34"/>
      <c r="O57" s="34"/>
      <c r="P57" s="34" t="s">
        <v>273</v>
      </c>
      <c r="Q57" s="42" t="str">
        <f>iferror(VLOOKUP(A57,'Positional cal'!A:H,1,0)=A57,"FALSE")</f>
        <v>FALSE</v>
      </c>
      <c r="R57" s="43" t="b">
        <f t="shared" si="3"/>
        <v>0</v>
      </c>
      <c r="S57" s="46" t="str">
        <f>IFERROR(VLOOKUP($A57,AlgoUi!$A:$X,21,0),"NA")</f>
        <v/>
      </c>
      <c r="T57" s="46" t="str">
        <f>IFERROR(VLOOKUP($A57,AlgoUi!$A:$X,23,0),"")</f>
        <v/>
      </c>
      <c r="U57" s="46" t="str">
        <f>IFERROR(VLOOKUP($A57,AlgoUi!$A:$X,24,0),"")</f>
        <v/>
      </c>
      <c r="V57" s="42" t="str">
        <f>IFERROR(__xludf.DUMMYFUNCTION("IFERROR(VLOOKUP(I57,IMPORTRANGE(""https://docs.google.com/spreadsheets/d/17FOIUYQAjPk1pPQIlvOgqYDBqwUqgb7KWzp4DtVksBk/edit?gid=0#gid=0"",""Servers!A:S""),19,FALSE), ""Not Running"")"),"Not Running")</f>
        <v>Not Running</v>
      </c>
      <c r="W57" s="47" t="str">
        <f>VLOOKUP($A57,Category!$A:$E,4,0)</f>
        <v>MS</v>
      </c>
      <c r="X57" s="47" t="str">
        <f>VLOOKUP($A57,Category!$A:$E,5,0)</f>
        <v>MSJ</v>
      </c>
      <c r="Y57" s="18" t="str">
        <f>VLOOKUP(A57,PAcc!$A$1:$J$27,10,0)</f>
        <v>#N/A</v>
      </c>
      <c r="Z57" s="42" t="b">
        <f t="shared" si="4"/>
        <v>0</v>
      </c>
      <c r="AA57" s="42"/>
      <c r="AB57" s="42" t="str">
        <f>VLOOKUP(A57,VlookupSheet!$A$383:$A$523,1,0)</f>
        <v>#N/A</v>
      </c>
      <c r="AC57" s="50">
        <v>0.01</v>
      </c>
      <c r="AD57" s="42"/>
      <c r="AE57" s="42"/>
      <c r="AF57" s="42"/>
    </row>
    <row r="58">
      <c r="A58" s="30" t="s">
        <v>610</v>
      </c>
      <c r="B58" s="84" t="s">
        <v>611</v>
      </c>
      <c r="C58" s="85"/>
      <c r="D58" s="11" t="s">
        <v>77</v>
      </c>
      <c r="E58" s="11">
        <f t="shared" si="1"/>
        <v>1</v>
      </c>
      <c r="F58" s="30" t="s">
        <v>272</v>
      </c>
      <c r="G58" s="31">
        <v>1.0</v>
      </c>
      <c r="H58" s="31">
        <v>1.0</v>
      </c>
      <c r="I58" s="34" t="s">
        <v>267</v>
      </c>
      <c r="J58" s="11" t="s">
        <v>87</v>
      </c>
      <c r="K58" s="38">
        <f t="shared" si="2"/>
        <v>1</v>
      </c>
      <c r="L58" s="18" t="s">
        <v>268</v>
      </c>
      <c r="M58" s="18" t="s">
        <v>268</v>
      </c>
      <c r="N58" s="34"/>
      <c r="O58" s="34"/>
      <c r="P58" s="34" t="s">
        <v>613</v>
      </c>
      <c r="Q58" s="42" t="str">
        <f>iferror(VLOOKUP(A58,'Positional cal'!A:H,1,0)=A58,"FALSE")</f>
        <v>FALSE</v>
      </c>
      <c r="R58" s="43" t="b">
        <f t="shared" si="3"/>
        <v>0</v>
      </c>
      <c r="S58" s="46" t="str">
        <f>IFERROR(VLOOKUP($A58,AlgoUi!$A:$X,21,0),"NA")</f>
        <v/>
      </c>
      <c r="T58" s="46" t="str">
        <f>IFERROR(VLOOKUP($A58,AlgoUi!$A:$X,23,0),"")</f>
        <v/>
      </c>
      <c r="U58" s="46" t="str">
        <f>IFERROR(VLOOKUP($A58,AlgoUi!$A:$X,24,0),"")</f>
        <v/>
      </c>
      <c r="V58" s="42" t="str">
        <f>IFERROR(__xludf.DUMMYFUNCTION("IFERROR(VLOOKUP(I58,IMPORTRANGE(""https://docs.google.com/spreadsheets/d/17FOIUYQAjPk1pPQIlvOgqYDBqwUqgb7KWzp4DtVksBk/edit?gid=0#gid=0"",""Servers!A:S""),19,FALSE), ""Not Running"")"),"Not Running")</f>
        <v>Not Running</v>
      </c>
      <c r="W58" s="47" t="str">
        <f>VLOOKUP($A58,Category!$A:$E,4,0)</f>
        <v>MS</v>
      </c>
      <c r="X58" s="47" t="str">
        <f>VLOOKUP($A58,Category!$A:$E,5,0)</f>
        <v>MSJ</v>
      </c>
      <c r="Y58" s="18" t="str">
        <f>VLOOKUP(A58,PAcc!$A$1:$J$27,10,0)</f>
        <v>#N/A</v>
      </c>
      <c r="Z58" s="42" t="b">
        <f t="shared" si="4"/>
        <v>0</v>
      </c>
      <c r="AA58" s="42"/>
      <c r="AB58" s="42" t="str">
        <f>VLOOKUP(A58,VlookupSheet!$A$383:$A$523,1,0)</f>
        <v>#N/A</v>
      </c>
      <c r="AC58" s="50">
        <v>0.01</v>
      </c>
      <c r="AD58" s="42"/>
      <c r="AE58" s="42"/>
      <c r="AF58" s="42"/>
    </row>
    <row r="59">
      <c r="A59" s="30" t="s">
        <v>621</v>
      </c>
      <c r="B59" s="84" t="s">
        <v>622</v>
      </c>
      <c r="C59" s="85"/>
      <c r="D59" s="11" t="s">
        <v>77</v>
      </c>
      <c r="E59" s="11">
        <f t="shared" si="1"/>
        <v>1</v>
      </c>
      <c r="F59" s="30" t="s">
        <v>266</v>
      </c>
      <c r="G59" s="31">
        <v>1.0</v>
      </c>
      <c r="H59" s="31">
        <v>1.0</v>
      </c>
      <c r="I59" s="11" t="s">
        <v>267</v>
      </c>
      <c r="J59" s="11" t="s">
        <v>87</v>
      </c>
      <c r="K59" s="38">
        <f t="shared" si="2"/>
        <v>1</v>
      </c>
      <c r="L59" s="18" t="s">
        <v>268</v>
      </c>
      <c r="M59" s="18" t="s">
        <v>268</v>
      </c>
      <c r="N59" s="47"/>
      <c r="O59" s="47"/>
      <c r="P59" s="47"/>
      <c r="Q59" s="42" t="str">
        <f>iferror(VLOOKUP(A59,'Positional cal'!A:H,1,0)=A59,"FALSE")</f>
        <v>FALSE</v>
      </c>
      <c r="R59" s="43" t="b">
        <f t="shared" si="3"/>
        <v>0</v>
      </c>
      <c r="S59" s="46" t="str">
        <f>IFERROR(VLOOKUP($A59,AlgoUi!$A:$X,21,0),"NA")</f>
        <v/>
      </c>
      <c r="T59" s="46" t="str">
        <f>IFERROR(VLOOKUP($A59,AlgoUi!$A:$X,23,0),"")</f>
        <v/>
      </c>
      <c r="U59" s="46" t="str">
        <f>IFERROR(VLOOKUP($A59,AlgoUi!$A:$X,24,0),"")</f>
        <v/>
      </c>
      <c r="V59" s="42" t="str">
        <f>IFERROR(__xludf.DUMMYFUNCTION("IFERROR(VLOOKUP(I59,IMPORTRANGE(""https://docs.google.com/spreadsheets/d/17FOIUYQAjPk1pPQIlvOgqYDBqwUqgb7KWzp4DtVksBk/edit?gid=0#gid=0"",""Servers!A:S""),19,FALSE), ""Not Running"")"),"Not Running")</f>
        <v>Not Running</v>
      </c>
      <c r="W59" s="47" t="str">
        <f>VLOOKUP($A59,Category!$A:$E,4,0)</f>
        <v>MS</v>
      </c>
      <c r="X59" s="47" t="str">
        <f>VLOOKUP($A59,Category!$A:$E,5,0)</f>
        <v>MSJ</v>
      </c>
      <c r="Y59" s="18" t="str">
        <f>VLOOKUP(A59,PAcc!$A$1:$J$27,10,0)</f>
        <v>#N/A</v>
      </c>
      <c r="Z59" s="42" t="b">
        <f t="shared" si="4"/>
        <v>0</v>
      </c>
      <c r="AA59" s="42"/>
      <c r="AB59" s="42" t="str">
        <f>VLOOKUP(A59,VlookupSheet!$A$383:$A$523,1,0)</f>
        <v>#N/A</v>
      </c>
      <c r="AC59" s="50">
        <v>0.01</v>
      </c>
      <c r="AD59" s="42"/>
      <c r="AE59" s="42"/>
      <c r="AF59" s="42"/>
    </row>
    <row r="60">
      <c r="A60" s="30" t="s">
        <v>632</v>
      </c>
      <c r="B60" s="84" t="s">
        <v>633</v>
      </c>
      <c r="C60" s="85"/>
      <c r="D60" s="11" t="s">
        <v>77</v>
      </c>
      <c r="E60" s="11">
        <f t="shared" si="1"/>
        <v>1</v>
      </c>
      <c r="F60" s="30" t="s">
        <v>272</v>
      </c>
      <c r="G60" s="31">
        <v>1.0</v>
      </c>
      <c r="H60" s="31">
        <v>1.0</v>
      </c>
      <c r="I60" s="30" t="s">
        <v>267</v>
      </c>
      <c r="J60" s="30" t="s">
        <v>87</v>
      </c>
      <c r="K60" s="38">
        <f t="shared" si="2"/>
        <v>1</v>
      </c>
      <c r="L60" s="18" t="s">
        <v>268</v>
      </c>
      <c r="M60" s="18" t="s">
        <v>268</v>
      </c>
      <c r="N60" s="34"/>
      <c r="O60" s="34"/>
      <c r="P60" s="34" t="s">
        <v>273</v>
      </c>
      <c r="Q60" s="42" t="str">
        <f>iferror(VLOOKUP(A60,'Positional cal'!A:H,1,0)=A60,"FALSE")</f>
        <v>FALSE</v>
      </c>
      <c r="R60" s="43" t="b">
        <f t="shared" si="3"/>
        <v>0</v>
      </c>
      <c r="S60" s="46" t="str">
        <f>IFERROR(VLOOKUP($A60,AlgoUi!$A:$X,21,0),"NA")</f>
        <v/>
      </c>
      <c r="T60" s="46" t="str">
        <f>IFERROR(VLOOKUP($A60,AlgoUi!$A:$X,23,0),"")</f>
        <v/>
      </c>
      <c r="U60" s="46" t="str">
        <f>IFERROR(VLOOKUP($A60,AlgoUi!$A:$X,24,0),"")</f>
        <v/>
      </c>
      <c r="V60" s="42" t="str">
        <f>IFERROR(__xludf.DUMMYFUNCTION("IFERROR(VLOOKUP(I60,IMPORTRANGE(""https://docs.google.com/spreadsheets/d/17FOIUYQAjPk1pPQIlvOgqYDBqwUqgb7KWzp4DtVksBk/edit?gid=0#gid=0"",""Servers!A:S""),19,FALSE), ""Not Running"")"),"Not Running")</f>
        <v>Not Running</v>
      </c>
      <c r="W60" s="47" t="str">
        <f>VLOOKUP($A60,Category!$A:$E,4,0)</f>
        <v>MS</v>
      </c>
      <c r="X60" s="47" t="str">
        <f>VLOOKUP($A60,Category!$A:$E,5,0)</f>
        <v>MSJ</v>
      </c>
      <c r="Y60" s="18" t="str">
        <f>VLOOKUP(A60,PAcc!$A$1:$J$27,10,0)</f>
        <v>#N/A</v>
      </c>
      <c r="Z60" s="42" t="b">
        <f t="shared" si="4"/>
        <v>0</v>
      </c>
      <c r="AA60" s="42"/>
      <c r="AB60" s="42" t="str">
        <f>VLOOKUP(A60,VlookupSheet!$A$383:$A$523,1,0)</f>
        <v>#N/A</v>
      </c>
      <c r="AC60" s="50">
        <v>0.01</v>
      </c>
      <c r="AD60" s="42"/>
      <c r="AE60" s="42"/>
      <c r="AF60" s="42"/>
    </row>
    <row r="61">
      <c r="A61" s="30" t="s">
        <v>643</v>
      </c>
      <c r="B61" s="84" t="s">
        <v>644</v>
      </c>
      <c r="C61" s="85"/>
      <c r="D61" s="11" t="s">
        <v>77</v>
      </c>
      <c r="E61" s="11">
        <f t="shared" si="1"/>
        <v>1</v>
      </c>
      <c r="F61" s="30" t="s">
        <v>646</v>
      </c>
      <c r="G61" s="31">
        <v>1.0</v>
      </c>
      <c r="H61" s="31">
        <v>1.0</v>
      </c>
      <c r="I61" s="30" t="s">
        <v>267</v>
      </c>
      <c r="J61" s="30" t="s">
        <v>87</v>
      </c>
      <c r="K61" s="38">
        <f t="shared" si="2"/>
        <v>1</v>
      </c>
      <c r="L61" s="18" t="s">
        <v>268</v>
      </c>
      <c r="M61" s="18" t="s">
        <v>268</v>
      </c>
      <c r="N61" s="34"/>
      <c r="O61" s="34"/>
      <c r="P61" s="34" t="s">
        <v>649</v>
      </c>
      <c r="Q61" s="42" t="str">
        <f>iferror(VLOOKUP(A61,'Positional cal'!A:H,1,0)=A61,"FALSE")</f>
        <v>FALSE</v>
      </c>
      <c r="R61" s="43" t="b">
        <f t="shared" si="3"/>
        <v>0</v>
      </c>
      <c r="S61" s="46" t="str">
        <f>IFERROR(VLOOKUP($A61,AlgoUi!$A:$X,21,0),"NA")</f>
        <v/>
      </c>
      <c r="T61" s="46" t="str">
        <f>IFERROR(VLOOKUP($A61,AlgoUi!$A:$X,23,0),"")</f>
        <v/>
      </c>
      <c r="U61" s="46" t="str">
        <f>IFERROR(VLOOKUP($A61,AlgoUi!$A:$X,24,0),"")</f>
        <v/>
      </c>
      <c r="V61" s="42" t="str">
        <f>IFERROR(__xludf.DUMMYFUNCTION("IFERROR(VLOOKUP(I61,IMPORTRANGE(""https://docs.google.com/spreadsheets/d/17FOIUYQAjPk1pPQIlvOgqYDBqwUqgb7KWzp4DtVksBk/edit?gid=0#gid=0"",""Servers!A:S""),19,FALSE), ""Not Running"")"),"Not Running")</f>
        <v>Not Running</v>
      </c>
      <c r="W61" s="47" t="str">
        <f>VLOOKUP($A61,Category!$A:$E,4,0)</f>
        <v>MS</v>
      </c>
      <c r="X61" s="47" t="str">
        <f>VLOOKUP($A61,Category!$A:$E,5,0)</f>
        <v>MSJ</v>
      </c>
      <c r="Y61" s="18" t="str">
        <f>VLOOKUP(A61,PAcc!$A$1:$J$27,10,0)</f>
        <v>#N/A</v>
      </c>
      <c r="Z61" s="42" t="b">
        <f t="shared" si="4"/>
        <v>0</v>
      </c>
      <c r="AA61" s="42"/>
      <c r="AB61" s="42" t="str">
        <f>VLOOKUP(A61,VlookupSheet!$A$383:$A$523,1,0)</f>
        <v>#N/A</v>
      </c>
      <c r="AC61" s="42"/>
      <c r="AD61" s="42"/>
      <c r="AE61" s="42"/>
      <c r="AF61" s="42"/>
    </row>
    <row r="62">
      <c r="A62" s="11" t="s">
        <v>656</v>
      </c>
      <c r="B62" s="86" t="s">
        <v>276</v>
      </c>
      <c r="C62" s="25"/>
      <c r="D62" s="11" t="s">
        <v>77</v>
      </c>
      <c r="E62" s="11">
        <f t="shared" si="1"/>
        <v>1</v>
      </c>
      <c r="F62" s="34" t="s">
        <v>272</v>
      </c>
      <c r="G62" s="31">
        <v>1.0</v>
      </c>
      <c r="H62" s="31">
        <v>1.0</v>
      </c>
      <c r="I62" s="34" t="s">
        <v>267</v>
      </c>
      <c r="J62" s="11" t="s">
        <v>87</v>
      </c>
      <c r="K62" s="38">
        <f t="shared" si="2"/>
        <v>1</v>
      </c>
      <c r="L62" s="18" t="s">
        <v>268</v>
      </c>
      <c r="M62" s="18" t="s">
        <v>268</v>
      </c>
      <c r="N62" s="34"/>
      <c r="O62" s="34"/>
      <c r="P62" s="34"/>
      <c r="Q62" s="42" t="str">
        <f>iferror(VLOOKUP(A62,'Positional cal'!A:H,1,0)=A62,"FALSE")</f>
        <v>FALSE</v>
      </c>
      <c r="R62" s="43" t="b">
        <f t="shared" si="3"/>
        <v>0</v>
      </c>
      <c r="S62" s="46" t="str">
        <f>IFERROR(VLOOKUP($A62,AlgoUi!$A:$X,21,0),"NA")</f>
        <v/>
      </c>
      <c r="T62" s="46" t="str">
        <f>IFERROR(VLOOKUP($A62,AlgoUi!$A:$X,23,0),"")</f>
        <v/>
      </c>
      <c r="U62" s="46" t="str">
        <f>IFERROR(VLOOKUP($A62,AlgoUi!$A:$X,24,0),"")</f>
        <v/>
      </c>
      <c r="V62" s="42" t="str">
        <f>IFERROR(__xludf.DUMMYFUNCTION("IFERROR(VLOOKUP(I62,IMPORTRANGE(""https://docs.google.com/spreadsheets/d/17FOIUYQAjPk1pPQIlvOgqYDBqwUqgb7KWzp4DtVksBk/edit?gid=0#gid=0"",""Servers!A:S""),19,FALSE), ""Not Running"")"),"Not Running")</f>
        <v>Not Running</v>
      </c>
      <c r="W62" s="47" t="str">
        <f>VLOOKUP($A62,Category!$A:$E,4,0)</f>
        <v>MS</v>
      </c>
      <c r="X62" s="47" t="str">
        <f>VLOOKUP($A62,Category!$A:$E,5,0)</f>
        <v>MSJ</v>
      </c>
      <c r="Y62" s="18" t="str">
        <f>VLOOKUP(A62,PAcc!$A$1:$J$27,10,0)</f>
        <v>#N/A</v>
      </c>
      <c r="Z62" s="42" t="b">
        <f t="shared" si="4"/>
        <v>0</v>
      </c>
      <c r="AA62" s="42"/>
      <c r="AB62" s="42" t="str">
        <f>VLOOKUP(A62,VlookupSheet!$A$383:$A$523,1,0)</f>
        <v>#N/A</v>
      </c>
      <c r="AC62" s="50">
        <v>0.01</v>
      </c>
      <c r="AD62" s="42"/>
      <c r="AE62" s="42"/>
      <c r="AF62" s="42"/>
    </row>
    <row r="63">
      <c r="A63" s="30" t="s">
        <v>664</v>
      </c>
      <c r="B63" s="84" t="s">
        <v>665</v>
      </c>
      <c r="C63" s="71" t="s">
        <v>320</v>
      </c>
      <c r="D63" s="11" t="s">
        <v>77</v>
      </c>
      <c r="E63" s="11">
        <f t="shared" si="1"/>
        <v>1</v>
      </c>
      <c r="F63" s="71" t="s">
        <v>232</v>
      </c>
      <c r="G63" s="31">
        <v>1.0</v>
      </c>
      <c r="H63" s="31">
        <v>1.0</v>
      </c>
      <c r="I63" s="30" t="s">
        <v>267</v>
      </c>
      <c r="J63" s="30" t="s">
        <v>87</v>
      </c>
      <c r="K63" s="38">
        <f t="shared" si="2"/>
        <v>1</v>
      </c>
      <c r="L63" s="18" t="s">
        <v>268</v>
      </c>
      <c r="M63" s="18" t="s">
        <v>268</v>
      </c>
      <c r="N63" s="74"/>
      <c r="O63" s="74"/>
      <c r="P63" s="74"/>
      <c r="Q63" s="42" t="str">
        <f>iferror(VLOOKUP(A63,'Positional cal'!A:H,1,0)=A63,"FALSE")</f>
        <v>FALSE</v>
      </c>
      <c r="R63" s="43" t="b">
        <f t="shared" si="3"/>
        <v>0</v>
      </c>
      <c r="S63" s="46" t="str">
        <f>IFERROR(VLOOKUP($A63,AlgoUi!$A:$X,21,0),"NA")</f>
        <v/>
      </c>
      <c r="T63" s="46" t="str">
        <f>IFERROR(VLOOKUP($A63,AlgoUi!$A:$X,23,0),"")</f>
        <v/>
      </c>
      <c r="U63" s="46" t="str">
        <f>IFERROR(VLOOKUP($A63,AlgoUi!$A:$X,24,0),"")</f>
        <v/>
      </c>
      <c r="V63" s="42" t="str">
        <f>IFERROR(__xludf.DUMMYFUNCTION("IFERROR(VLOOKUP(I63,IMPORTRANGE(""https://docs.google.com/spreadsheets/d/17FOIUYQAjPk1pPQIlvOgqYDBqwUqgb7KWzp4DtVksBk/edit?gid=0#gid=0"",""Servers!A:S""),19,FALSE), ""Not Running"")"),"Not Running")</f>
        <v>Not Running</v>
      </c>
      <c r="W63" s="47" t="str">
        <f>VLOOKUP($A63,Category!$A:$E,4,0)</f>
        <v>MS</v>
      </c>
      <c r="X63" s="47" t="str">
        <f>VLOOKUP($A63,Category!$A:$E,5,0)</f>
        <v>MSR</v>
      </c>
      <c r="Y63" s="18" t="str">
        <f>VLOOKUP(A63,PAcc!$A$1:$J$27,10,0)</f>
        <v>#N/A</v>
      </c>
      <c r="Z63" s="42" t="b">
        <f t="shared" si="4"/>
        <v>0</v>
      </c>
      <c r="AA63" s="42"/>
      <c r="AB63" s="42" t="str">
        <f>VLOOKUP(A63,VlookupSheet!$A$383:$A$523,1,0)</f>
        <v>#N/A</v>
      </c>
      <c r="AC63" s="50">
        <v>0.01</v>
      </c>
      <c r="AD63" s="42"/>
      <c r="AE63" s="42"/>
      <c r="AF63" s="42"/>
    </row>
    <row r="64">
      <c r="A64" s="11" t="s">
        <v>675</v>
      </c>
      <c r="B64" s="24" t="s">
        <v>676</v>
      </c>
      <c r="C64" s="25"/>
      <c r="D64" s="11" t="s">
        <v>77</v>
      </c>
      <c r="E64" s="11">
        <f t="shared" si="1"/>
        <v>1</v>
      </c>
      <c r="F64" s="11" t="s">
        <v>266</v>
      </c>
      <c r="G64" s="31">
        <v>1.0</v>
      </c>
      <c r="H64" s="31">
        <v>1.0</v>
      </c>
      <c r="I64" s="11" t="s">
        <v>267</v>
      </c>
      <c r="J64" s="11" t="s">
        <v>87</v>
      </c>
      <c r="K64" s="38">
        <f>G64/H64</f>
        <v>1</v>
      </c>
      <c r="L64" s="18" t="s">
        <v>268</v>
      </c>
      <c r="M64" s="18" t="s">
        <v>268</v>
      </c>
      <c r="N64" s="42"/>
      <c r="O64" s="42"/>
      <c r="P64" s="42"/>
      <c r="Q64" s="42" t="str">
        <f>iferror(VLOOKUP(A64,'Positional cal'!A:H,1,0)=A64,"FALSE")</f>
        <v>FALSE</v>
      </c>
      <c r="R64" s="43" t="b">
        <f t="shared" si="3"/>
        <v>0</v>
      </c>
      <c r="S64" s="46" t="str">
        <f>IFERROR(VLOOKUP($A64,AlgoUi!$A:$X,21,0),"NA")</f>
        <v/>
      </c>
      <c r="T64" s="46" t="str">
        <f>IFERROR(VLOOKUP($A64,AlgoUi!$A:$X,23,0),"")</f>
        <v/>
      </c>
      <c r="U64" s="46" t="str">
        <f>IFERROR(VLOOKUP($A64,AlgoUi!$A:$X,24,0),"")</f>
        <v/>
      </c>
      <c r="V64" s="42" t="str">
        <f>IFERROR(__xludf.DUMMYFUNCTION("IFERROR(VLOOKUP(I64,IMPORTRANGE(""https://docs.google.com/spreadsheets/d/17FOIUYQAjPk1pPQIlvOgqYDBqwUqgb7KWzp4DtVksBk/edit?gid=0#gid=0"",""Servers!A:S""),19,FALSE), ""Not Running"")"),"Not Running")</f>
        <v>Not Running</v>
      </c>
      <c r="W64" s="47" t="str">
        <f>VLOOKUP($A64,Category!$A:$E,4,0)</f>
        <v>MS</v>
      </c>
      <c r="X64" s="47" t="str">
        <f>VLOOKUP($A64,Category!$A:$E,5,0)</f>
        <v>MSJ</v>
      </c>
      <c r="Y64" s="18" t="str">
        <f>VLOOKUP(A64,PAcc!$A$1:$J$27,10,0)</f>
        <v>#N/A</v>
      </c>
      <c r="Z64" s="42" t="b">
        <f t="shared" si="4"/>
        <v>0</v>
      </c>
      <c r="AA64" s="42"/>
      <c r="AB64" s="42" t="str">
        <f>VLOOKUP(A64,VlookupSheet!$A$383:$A$523,1,0)</f>
        <v>#N/A</v>
      </c>
      <c r="AC64" s="50">
        <v>0.01</v>
      </c>
      <c r="AD64" s="42"/>
      <c r="AE64" s="42"/>
      <c r="AF64" s="42"/>
    </row>
    <row r="65">
      <c r="A65" s="30" t="s">
        <v>691</v>
      </c>
      <c r="B65" s="84" t="s">
        <v>692</v>
      </c>
      <c r="C65" s="85"/>
      <c r="D65" s="11" t="s">
        <v>77</v>
      </c>
      <c r="E65" s="11">
        <f t="shared" si="1"/>
        <v>1</v>
      </c>
      <c r="F65" s="30" t="s">
        <v>311</v>
      </c>
      <c r="G65" s="31">
        <v>1.0</v>
      </c>
      <c r="H65" s="31">
        <v>1.0</v>
      </c>
      <c r="I65" s="34" t="s">
        <v>267</v>
      </c>
      <c r="J65" s="30" t="s">
        <v>87</v>
      </c>
      <c r="K65" s="38">
        <f t="shared" ref="K65:K134" si="5">iferror(G65/H65,"-")</f>
        <v>1</v>
      </c>
      <c r="L65" s="18" t="s">
        <v>268</v>
      </c>
      <c r="M65" s="18" t="s">
        <v>268</v>
      </c>
      <c r="N65" s="74"/>
      <c r="O65" s="74"/>
      <c r="P65" s="74"/>
      <c r="Q65" s="42" t="str">
        <f>iferror(VLOOKUP(A65,'Positional cal'!A:H,1,0)=A65,"FALSE")</f>
        <v>FALSE</v>
      </c>
      <c r="R65" s="43" t="b">
        <f t="shared" si="3"/>
        <v>0</v>
      </c>
      <c r="S65" s="46" t="str">
        <f>IFERROR(VLOOKUP($A65,AlgoUi!$A:$X,21,0),"NA")</f>
        <v/>
      </c>
      <c r="T65" s="46" t="str">
        <f>IFERROR(VLOOKUP($A65,AlgoUi!$A:$X,23,0),"")</f>
        <v/>
      </c>
      <c r="U65" s="46" t="str">
        <f>IFERROR(VLOOKUP($A65,AlgoUi!$A:$X,24,0),"")</f>
        <v/>
      </c>
      <c r="V65" s="42" t="str">
        <f>IFERROR(__xludf.DUMMYFUNCTION("IFERROR(VLOOKUP(I65,IMPORTRANGE(""https://docs.google.com/spreadsheets/d/17FOIUYQAjPk1pPQIlvOgqYDBqwUqgb7KWzp4DtVksBk/edit?gid=0#gid=0"",""Servers!A:S""),19,FALSE), ""Not Running"")"),"Not Running")</f>
        <v>Not Running</v>
      </c>
      <c r="W65" s="47" t="str">
        <f>VLOOKUP($A65,Category!$A:$E,4,0)</f>
        <v>MS</v>
      </c>
      <c r="X65" s="47" t="str">
        <f>VLOOKUP($A65,Category!$A:$E,5,0)</f>
        <v>MSR</v>
      </c>
      <c r="Y65" s="18" t="str">
        <f>VLOOKUP(A65,PAcc!$A$1:$J$27,10,0)</f>
        <v>#N/A</v>
      </c>
      <c r="Z65" s="42" t="b">
        <f t="shared" si="4"/>
        <v>0</v>
      </c>
      <c r="AA65" s="42"/>
      <c r="AB65" s="42" t="str">
        <f>VLOOKUP(A65,VlookupSheet!$A$383:$A$523,1,0)</f>
        <v>#N/A</v>
      </c>
      <c r="AC65" s="50">
        <v>0.01</v>
      </c>
      <c r="AD65" s="42"/>
      <c r="AE65" s="42"/>
      <c r="AF65" s="42"/>
    </row>
    <row r="66">
      <c r="A66" s="30" t="s">
        <v>703</v>
      </c>
      <c r="B66" s="84" t="s">
        <v>704</v>
      </c>
      <c r="C66" s="85"/>
      <c r="D66" s="11" t="s">
        <v>77</v>
      </c>
      <c r="E66" s="11">
        <f t="shared" si="1"/>
        <v>1</v>
      </c>
      <c r="F66" s="30" t="s">
        <v>311</v>
      </c>
      <c r="G66" s="31">
        <v>1.0</v>
      </c>
      <c r="H66" s="31">
        <v>1.0</v>
      </c>
      <c r="I66" s="34" t="s">
        <v>267</v>
      </c>
      <c r="J66" s="30" t="s">
        <v>87</v>
      </c>
      <c r="K66" s="38">
        <f t="shared" si="5"/>
        <v>1</v>
      </c>
      <c r="L66" s="18" t="s">
        <v>268</v>
      </c>
      <c r="M66" s="18" t="s">
        <v>268</v>
      </c>
      <c r="N66" s="74"/>
      <c r="O66" s="74"/>
      <c r="P66" s="74"/>
      <c r="Q66" s="42" t="str">
        <f>iferror(VLOOKUP(A66,'Positional cal'!A:H,1,0)=A66,"FALSE")</f>
        <v>FALSE</v>
      </c>
      <c r="R66" s="43" t="b">
        <f t="shared" si="3"/>
        <v>0</v>
      </c>
      <c r="S66" s="46" t="str">
        <f>IFERROR(VLOOKUP($A66,AlgoUi!$A:$X,21,0),"NA")</f>
        <v/>
      </c>
      <c r="T66" s="46" t="str">
        <f>IFERROR(VLOOKUP($A66,AlgoUi!$A:$X,23,0),"")</f>
        <v/>
      </c>
      <c r="U66" s="46" t="str">
        <f>IFERROR(VLOOKUP($A66,AlgoUi!$A:$X,24,0),"")</f>
        <v/>
      </c>
      <c r="V66" s="42" t="str">
        <f>IFERROR(__xludf.DUMMYFUNCTION("IFERROR(VLOOKUP(I66,IMPORTRANGE(""https://docs.google.com/spreadsheets/d/17FOIUYQAjPk1pPQIlvOgqYDBqwUqgb7KWzp4DtVksBk/edit?gid=0#gid=0"",""Servers!A:S""),19,FALSE), ""Not Running"")"),"Not Running")</f>
        <v>Not Running</v>
      </c>
      <c r="W66" s="47" t="str">
        <f>VLOOKUP($A66,Category!$A:$E,4,0)</f>
        <v>MS</v>
      </c>
      <c r="X66" s="47" t="str">
        <f>VLOOKUP($A66,Category!$A:$E,5,0)</f>
        <v>MSR</v>
      </c>
      <c r="Y66" s="18" t="str">
        <f>VLOOKUP(A66,PAcc!$A$1:$J$27,10,0)</f>
        <v>#N/A</v>
      </c>
      <c r="Z66" s="42" t="b">
        <f t="shared" si="4"/>
        <v>0</v>
      </c>
      <c r="AA66" s="42"/>
      <c r="AB66" s="42" t="str">
        <f>VLOOKUP(A66,VlookupSheet!$A$383:$A$523,1,0)</f>
        <v>#N/A</v>
      </c>
      <c r="AC66" s="50">
        <v>0.01</v>
      </c>
      <c r="AD66" s="42"/>
      <c r="AE66" s="42"/>
      <c r="AF66" s="42"/>
    </row>
    <row r="67">
      <c r="A67" s="30" t="s">
        <v>710</v>
      </c>
      <c r="B67" s="84" t="s">
        <v>711</v>
      </c>
      <c r="C67" s="71" t="s">
        <v>320</v>
      </c>
      <c r="D67" s="11" t="s">
        <v>77</v>
      </c>
      <c r="E67" s="11">
        <f t="shared" si="1"/>
        <v>1</v>
      </c>
      <c r="F67" s="71" t="s">
        <v>232</v>
      </c>
      <c r="G67" s="31">
        <v>1.0</v>
      </c>
      <c r="H67" s="31">
        <v>1.0</v>
      </c>
      <c r="I67" s="34" t="s">
        <v>267</v>
      </c>
      <c r="J67" s="30" t="s">
        <v>87</v>
      </c>
      <c r="K67" s="38">
        <f t="shared" si="5"/>
        <v>1</v>
      </c>
      <c r="L67" s="18" t="s">
        <v>268</v>
      </c>
      <c r="M67" s="18" t="s">
        <v>268</v>
      </c>
      <c r="N67" s="74"/>
      <c r="O67" s="74"/>
      <c r="P67" s="74"/>
      <c r="Q67" s="42" t="str">
        <f>iferror(VLOOKUP(A67,'Positional cal'!A:H,1,0)=A67,"FALSE")</f>
        <v>FALSE</v>
      </c>
      <c r="R67" s="43" t="b">
        <f t="shared" si="3"/>
        <v>0</v>
      </c>
      <c r="S67" s="46" t="str">
        <f>IFERROR(VLOOKUP($A67,AlgoUi!$A:$X,21,0),"NA")</f>
        <v/>
      </c>
      <c r="T67" s="46" t="str">
        <f>IFERROR(VLOOKUP($A67,AlgoUi!$A:$X,23,0),"")</f>
        <v/>
      </c>
      <c r="U67" s="46" t="str">
        <f>IFERROR(VLOOKUP($A67,AlgoUi!$A:$X,24,0),"")</f>
        <v/>
      </c>
      <c r="V67" s="42" t="str">
        <f>IFERROR(__xludf.DUMMYFUNCTION("IFERROR(VLOOKUP(I67,IMPORTRANGE(""https://docs.google.com/spreadsheets/d/17FOIUYQAjPk1pPQIlvOgqYDBqwUqgb7KWzp4DtVksBk/edit?gid=0#gid=0"",""Servers!A:S""),19,FALSE), ""Not Running"")"),"Not Running")</f>
        <v>Not Running</v>
      </c>
      <c r="W67" s="47" t="str">
        <f>VLOOKUP($A67,Category!$A:$E,4,0)</f>
        <v>MS</v>
      </c>
      <c r="X67" s="47" t="str">
        <f>VLOOKUP($A67,Category!$A:$E,5,0)</f>
        <v>MSR</v>
      </c>
      <c r="Y67" s="18" t="str">
        <f>VLOOKUP(A67,PAcc!$A$1:$J$27,10,0)</f>
        <v>#N/A</v>
      </c>
      <c r="Z67" s="42" t="b">
        <f t="shared" si="4"/>
        <v>0</v>
      </c>
      <c r="AA67" s="42"/>
      <c r="AB67" s="42" t="str">
        <f>VLOOKUP(A67,VlookupSheet!$A$383:$A$523,1,0)</f>
        <v>#N/A</v>
      </c>
      <c r="AC67" s="50">
        <v>0.01</v>
      </c>
      <c r="AD67" s="42"/>
      <c r="AE67" s="42"/>
      <c r="AF67" s="42"/>
    </row>
    <row r="68">
      <c r="A68" s="30" t="s">
        <v>712</v>
      </c>
      <c r="B68" s="86" t="s">
        <v>713</v>
      </c>
      <c r="C68" s="74"/>
      <c r="D68" s="11" t="s">
        <v>77</v>
      </c>
      <c r="E68" s="11">
        <f t="shared" si="1"/>
        <v>1</v>
      </c>
      <c r="F68" s="34" t="s">
        <v>266</v>
      </c>
      <c r="G68" s="31">
        <v>1.0</v>
      </c>
      <c r="H68" s="31">
        <v>1.0</v>
      </c>
      <c r="I68" s="34" t="s">
        <v>267</v>
      </c>
      <c r="J68" s="30" t="s">
        <v>87</v>
      </c>
      <c r="K68" s="38">
        <f t="shared" si="5"/>
        <v>1</v>
      </c>
      <c r="L68" s="18" t="s">
        <v>268</v>
      </c>
      <c r="M68" s="18" t="s">
        <v>268</v>
      </c>
      <c r="N68" s="74"/>
      <c r="O68" s="74"/>
      <c r="P68" s="74"/>
      <c r="Q68" s="42" t="str">
        <f>iferror(VLOOKUP(A68,'Positional cal'!A:H,1,0)=A68,"FALSE")</f>
        <v>FALSE</v>
      </c>
      <c r="R68" s="43" t="b">
        <f t="shared" si="3"/>
        <v>0</v>
      </c>
      <c r="S68" s="46" t="str">
        <f>IFERROR(VLOOKUP($A68,AlgoUi!$A:$X,21,0),"NA")</f>
        <v/>
      </c>
      <c r="T68" s="46" t="str">
        <f>IFERROR(VLOOKUP($A68,AlgoUi!$A:$X,23,0),"")</f>
        <v/>
      </c>
      <c r="U68" s="46" t="str">
        <f>IFERROR(VLOOKUP($A68,AlgoUi!$A:$X,24,0),"")</f>
        <v/>
      </c>
      <c r="V68" s="42" t="str">
        <f>IFERROR(__xludf.DUMMYFUNCTION("IFERROR(VLOOKUP(I68,IMPORTRANGE(""https://docs.google.com/spreadsheets/d/17FOIUYQAjPk1pPQIlvOgqYDBqwUqgb7KWzp4DtVksBk/edit?gid=0#gid=0"",""Servers!A:S""),19,FALSE), ""Not Running"")"),"Not Running")</f>
        <v>Not Running</v>
      </c>
      <c r="W68" s="47" t="str">
        <f>VLOOKUP($A68,Category!$A:$E,4,0)</f>
        <v>MS</v>
      </c>
      <c r="X68" s="47" t="str">
        <f>VLOOKUP($A68,Category!$A:$E,5,0)</f>
        <v>MSJ</v>
      </c>
      <c r="Y68" s="18" t="str">
        <f>VLOOKUP(A68,PAcc!$A$1:$J$27,10,0)</f>
        <v>#N/A</v>
      </c>
      <c r="Z68" s="42" t="b">
        <f t="shared" si="4"/>
        <v>0</v>
      </c>
      <c r="AA68" s="42"/>
      <c r="AB68" s="42" t="str">
        <f>VLOOKUP(A68,VlookupSheet!$A$383:$A$523,1,0)</f>
        <v>#N/A</v>
      </c>
      <c r="AC68" s="50">
        <v>0.01</v>
      </c>
      <c r="AD68" s="42"/>
      <c r="AE68" s="42"/>
      <c r="AF68" s="42"/>
    </row>
    <row r="69">
      <c r="A69" s="11" t="s">
        <v>714</v>
      </c>
      <c r="B69" s="24" t="s">
        <v>715</v>
      </c>
      <c r="C69" s="25"/>
      <c r="D69" s="11" t="s">
        <v>77</v>
      </c>
      <c r="E69" s="11">
        <f t="shared" si="1"/>
        <v>1</v>
      </c>
      <c r="F69" s="30" t="s">
        <v>716</v>
      </c>
      <c r="G69" s="31">
        <v>1.0</v>
      </c>
      <c r="H69" s="31">
        <v>1.0</v>
      </c>
      <c r="I69" s="30" t="s">
        <v>267</v>
      </c>
      <c r="J69" s="30" t="s">
        <v>87</v>
      </c>
      <c r="K69" s="38">
        <f t="shared" si="5"/>
        <v>1</v>
      </c>
      <c r="L69" s="18" t="s">
        <v>268</v>
      </c>
      <c r="M69" s="18" t="s">
        <v>268</v>
      </c>
      <c r="N69" s="34"/>
      <c r="O69" s="34"/>
      <c r="P69" s="34" t="s">
        <v>580</v>
      </c>
      <c r="Q69" s="42" t="str">
        <f>iferror(VLOOKUP(A69,'Positional cal'!A:H,1,0)=A69,"FALSE")</f>
        <v>FALSE</v>
      </c>
      <c r="R69" s="43" t="b">
        <f t="shared" si="3"/>
        <v>0</v>
      </c>
      <c r="S69" s="46" t="str">
        <f>IFERROR(VLOOKUP($A69,AlgoUi!$A:$X,21,0),"NA")</f>
        <v/>
      </c>
      <c r="T69" s="46" t="str">
        <f>IFERROR(VLOOKUP($A69,AlgoUi!$A:$X,23,0),"")</f>
        <v/>
      </c>
      <c r="U69" s="46" t="str">
        <f>IFERROR(VLOOKUP($A69,AlgoUi!$A:$X,24,0),"")</f>
        <v/>
      </c>
      <c r="V69" s="42" t="str">
        <f>IFERROR(__xludf.DUMMYFUNCTION("IFERROR(VLOOKUP(I69,IMPORTRANGE(""https://docs.google.com/spreadsheets/d/17FOIUYQAjPk1pPQIlvOgqYDBqwUqgb7KWzp4DtVksBk/edit?gid=0#gid=0"",""Servers!A:S""),19,FALSE), ""Not Running"")"),"Not Running")</f>
        <v>Not Running</v>
      </c>
      <c r="W69" s="47" t="str">
        <f>VLOOKUP($A69,Category!$A:$E,4,0)</f>
        <v>MS</v>
      </c>
      <c r="X69" s="47" t="str">
        <f>VLOOKUP($A69,Category!$A:$E,5,0)</f>
        <v>MSS</v>
      </c>
      <c r="Y69" s="18" t="str">
        <f>VLOOKUP(A69,PAcc!$A$1:$J$27,10,0)</f>
        <v>#N/A</v>
      </c>
      <c r="Z69" s="42" t="b">
        <f t="shared" si="4"/>
        <v>0</v>
      </c>
      <c r="AA69" s="42"/>
      <c r="AB69" s="42" t="str">
        <f>VLOOKUP(A69,VlookupSheet!$A$383:$A$523,1,0)</f>
        <v>#N/A</v>
      </c>
      <c r="AC69" s="50">
        <v>0.01</v>
      </c>
      <c r="AD69" s="42"/>
      <c r="AE69" s="42"/>
      <c r="AF69" s="42"/>
    </row>
    <row r="70">
      <c r="A70" s="30" t="s">
        <v>717</v>
      </c>
      <c r="B70" s="84" t="s">
        <v>718</v>
      </c>
      <c r="C70" s="85"/>
      <c r="D70" s="11" t="s">
        <v>77</v>
      </c>
      <c r="E70" s="11">
        <f t="shared" si="1"/>
        <v>1</v>
      </c>
      <c r="F70" s="30" t="s">
        <v>311</v>
      </c>
      <c r="G70" s="31">
        <v>1.0</v>
      </c>
      <c r="H70" s="31">
        <v>1.0</v>
      </c>
      <c r="I70" s="30" t="s">
        <v>267</v>
      </c>
      <c r="J70" s="30" t="s">
        <v>87</v>
      </c>
      <c r="K70" s="38">
        <f t="shared" si="5"/>
        <v>1</v>
      </c>
      <c r="L70" s="18" t="s">
        <v>268</v>
      </c>
      <c r="M70" s="18" t="s">
        <v>268</v>
      </c>
      <c r="N70" s="74"/>
      <c r="O70" s="74"/>
      <c r="P70" s="74"/>
      <c r="Q70" s="42" t="str">
        <f>iferror(VLOOKUP(A70,'Positional cal'!A:H,1,0)=A70,"FALSE")</f>
        <v>FALSE</v>
      </c>
      <c r="R70" s="43" t="b">
        <f t="shared" si="3"/>
        <v>0</v>
      </c>
      <c r="S70" s="46" t="str">
        <f>IFERROR(VLOOKUP($A70,AlgoUi!$A:$X,21,0),"NA")</f>
        <v/>
      </c>
      <c r="T70" s="46" t="str">
        <f>IFERROR(VLOOKUP($A70,AlgoUi!$A:$X,23,0),"")</f>
        <v/>
      </c>
      <c r="U70" s="46" t="str">
        <f>IFERROR(VLOOKUP($A70,AlgoUi!$A:$X,24,0),"")</f>
        <v/>
      </c>
      <c r="V70" s="42" t="str">
        <f>IFERROR(__xludf.DUMMYFUNCTION("IFERROR(VLOOKUP(I70,IMPORTRANGE(""https://docs.google.com/spreadsheets/d/17FOIUYQAjPk1pPQIlvOgqYDBqwUqgb7KWzp4DtVksBk/edit?gid=0#gid=0"",""Servers!A:S""),19,FALSE), ""Not Running"")"),"Not Running")</f>
        <v>Not Running</v>
      </c>
      <c r="W70" s="47" t="str">
        <f>VLOOKUP($A70,Category!$A:$E,4,0)</f>
        <v>MS</v>
      </c>
      <c r="X70" s="47" t="str">
        <f>VLOOKUP($A70,Category!$A:$E,5,0)</f>
        <v>MSR</v>
      </c>
      <c r="Y70" s="18" t="str">
        <f>VLOOKUP(A70,PAcc!$A$1:$J$27,10,0)</f>
        <v>#N/A</v>
      </c>
      <c r="Z70" s="42" t="b">
        <f t="shared" si="4"/>
        <v>0</v>
      </c>
      <c r="AA70" s="42"/>
      <c r="AB70" s="42" t="str">
        <f>VLOOKUP(A70,VlookupSheet!$A$383:$A$523,1,0)</f>
        <v>#N/A</v>
      </c>
      <c r="AC70" s="42"/>
      <c r="AD70" s="42"/>
      <c r="AE70" s="42"/>
      <c r="AF70" s="42"/>
    </row>
    <row r="71">
      <c r="A71" s="11" t="s">
        <v>719</v>
      </c>
      <c r="B71" s="24" t="s">
        <v>720</v>
      </c>
      <c r="C71" s="25"/>
      <c r="D71" s="11" t="s">
        <v>77</v>
      </c>
      <c r="E71" s="11">
        <f t="shared" si="1"/>
        <v>1</v>
      </c>
      <c r="F71" s="30" t="s">
        <v>272</v>
      </c>
      <c r="G71" s="31">
        <v>1.0</v>
      </c>
      <c r="H71" s="31">
        <v>1.0</v>
      </c>
      <c r="I71" s="30" t="s">
        <v>267</v>
      </c>
      <c r="J71" s="11" t="s">
        <v>87</v>
      </c>
      <c r="K71" s="38">
        <f t="shared" si="5"/>
        <v>1</v>
      </c>
      <c r="L71" s="18" t="s">
        <v>268</v>
      </c>
      <c r="M71" s="18" t="s">
        <v>268</v>
      </c>
      <c r="N71" s="42"/>
      <c r="O71" s="42"/>
      <c r="P71" s="42"/>
      <c r="Q71" s="42" t="str">
        <f>iferror(VLOOKUP(A71,'Positional cal'!A:H,1,0)=A71,"FALSE")</f>
        <v>FALSE</v>
      </c>
      <c r="R71" s="43" t="b">
        <f t="shared" si="3"/>
        <v>0</v>
      </c>
      <c r="S71" s="46" t="str">
        <f>IFERROR(VLOOKUP($A71,AlgoUi!$A:$X,21,0),"NA")</f>
        <v/>
      </c>
      <c r="T71" s="46" t="str">
        <f>IFERROR(VLOOKUP($A71,AlgoUi!$A:$X,23,0),"")</f>
        <v/>
      </c>
      <c r="U71" s="46" t="str">
        <f>IFERROR(VLOOKUP($A71,AlgoUi!$A:$X,24,0),"")</f>
        <v/>
      </c>
      <c r="V71" s="42" t="str">
        <f>IFERROR(__xludf.DUMMYFUNCTION("IFERROR(VLOOKUP(I71,IMPORTRANGE(""https://docs.google.com/spreadsheets/d/17FOIUYQAjPk1pPQIlvOgqYDBqwUqgb7KWzp4DtVksBk/edit?gid=0#gid=0"",""Servers!A:S""),19,FALSE), ""Not Running"")"),"Not Running")</f>
        <v>Not Running</v>
      </c>
      <c r="W71" s="47" t="str">
        <f>VLOOKUP($A71,Category!$A:$E,4,0)</f>
        <v>MS</v>
      </c>
      <c r="X71" s="47" t="str">
        <f>VLOOKUP($A71,Category!$A:$E,5,0)</f>
        <v>MSJ</v>
      </c>
      <c r="Y71" s="18" t="str">
        <f>VLOOKUP(A71,PAcc!$A$1:$J$27,10,0)</f>
        <v>#N/A</v>
      </c>
      <c r="Z71" s="42" t="b">
        <f t="shared" si="4"/>
        <v>0</v>
      </c>
      <c r="AA71" s="42"/>
      <c r="AB71" s="42" t="str">
        <f>VLOOKUP(A71,VlookupSheet!$A$383:$A$523,1,0)</f>
        <v>#N/A</v>
      </c>
      <c r="AC71" s="87">
        <v>0.008</v>
      </c>
      <c r="AD71" s="42"/>
      <c r="AE71" s="42"/>
      <c r="AF71" s="42"/>
    </row>
    <row r="72">
      <c r="A72" s="30" t="s">
        <v>721</v>
      </c>
      <c r="B72" s="84" t="s">
        <v>722</v>
      </c>
      <c r="C72" s="85"/>
      <c r="D72" s="11" t="s">
        <v>77</v>
      </c>
      <c r="E72" s="11">
        <f t="shared" si="1"/>
        <v>1</v>
      </c>
      <c r="F72" s="30" t="s">
        <v>272</v>
      </c>
      <c r="G72" s="31">
        <v>1.0</v>
      </c>
      <c r="H72" s="31">
        <v>1.0</v>
      </c>
      <c r="I72" s="30" t="s">
        <v>267</v>
      </c>
      <c r="J72" s="30" t="s">
        <v>87</v>
      </c>
      <c r="K72" s="38">
        <f t="shared" si="5"/>
        <v>1</v>
      </c>
      <c r="L72" s="18" t="s">
        <v>268</v>
      </c>
      <c r="M72" s="18" t="s">
        <v>268</v>
      </c>
      <c r="N72" s="34"/>
      <c r="O72" s="34"/>
      <c r="P72" s="34" t="s">
        <v>112</v>
      </c>
      <c r="Q72" s="42" t="str">
        <f>iferror(VLOOKUP(A72,'Positional cal'!A:H,1,0)=A72,"FALSE")</f>
        <v>FALSE</v>
      </c>
      <c r="R72" s="43" t="b">
        <f t="shared" si="3"/>
        <v>0</v>
      </c>
      <c r="S72" s="46" t="str">
        <f>IFERROR(VLOOKUP($A72,AlgoUi!$A:$X,21,0),"NA")</f>
        <v/>
      </c>
      <c r="T72" s="46" t="str">
        <f>IFERROR(VLOOKUP($A72,AlgoUi!$A:$X,23,0),"")</f>
        <v/>
      </c>
      <c r="U72" s="46" t="str">
        <f>IFERROR(VLOOKUP($A72,AlgoUi!$A:$X,24,0),"")</f>
        <v/>
      </c>
      <c r="V72" s="42" t="str">
        <f>IFERROR(__xludf.DUMMYFUNCTION("IFERROR(VLOOKUP(I72,IMPORTRANGE(""https://docs.google.com/spreadsheets/d/17FOIUYQAjPk1pPQIlvOgqYDBqwUqgb7KWzp4DtVksBk/edit?gid=0#gid=0"",""Servers!A:S""),19,FALSE), ""Not Running"")"),"Not Running")</f>
        <v>Not Running</v>
      </c>
      <c r="W72" s="47" t="str">
        <f>VLOOKUP($A72,Category!$A:$E,4,0)</f>
        <v>MS</v>
      </c>
      <c r="X72" s="47" t="str">
        <f>VLOOKUP($A72,Category!$A:$E,5,0)</f>
        <v>MSJ</v>
      </c>
      <c r="Y72" s="18" t="str">
        <f>VLOOKUP(A72,PAcc!$A$1:$J$27,10,0)</f>
        <v>#N/A</v>
      </c>
      <c r="Z72" s="42" t="b">
        <f t="shared" si="4"/>
        <v>0</v>
      </c>
      <c r="AA72" s="42"/>
      <c r="AB72" s="42" t="str">
        <f>VLOOKUP(A72,VlookupSheet!$A$383:$A$523,1,0)</f>
        <v>#N/A</v>
      </c>
      <c r="AC72" s="87">
        <v>0.008</v>
      </c>
      <c r="AD72" s="42"/>
      <c r="AE72" s="42"/>
      <c r="AF72" s="42"/>
    </row>
    <row r="73">
      <c r="A73" s="30" t="s">
        <v>724</v>
      </c>
      <c r="B73" s="84" t="s">
        <v>725</v>
      </c>
      <c r="C73" s="85"/>
      <c r="D73" s="11" t="s">
        <v>77</v>
      </c>
      <c r="E73" s="11">
        <f t="shared" si="1"/>
        <v>1</v>
      </c>
      <c r="F73" s="30" t="s">
        <v>646</v>
      </c>
      <c r="G73" s="31">
        <v>1.0</v>
      </c>
      <c r="H73" s="31">
        <v>1.0</v>
      </c>
      <c r="I73" s="30" t="s">
        <v>267</v>
      </c>
      <c r="J73" s="30" t="s">
        <v>87</v>
      </c>
      <c r="K73" s="38">
        <f t="shared" si="5"/>
        <v>1</v>
      </c>
      <c r="L73" s="18" t="s">
        <v>268</v>
      </c>
      <c r="M73" s="18" t="s">
        <v>268</v>
      </c>
      <c r="N73" s="34"/>
      <c r="O73" s="34"/>
      <c r="P73" s="34" t="s">
        <v>273</v>
      </c>
      <c r="Q73" s="42" t="str">
        <f>iferror(VLOOKUP(A73,'Positional cal'!A:H,1,0)=A73,"FALSE")</f>
        <v>FALSE</v>
      </c>
      <c r="R73" s="43" t="b">
        <f t="shared" si="3"/>
        <v>0</v>
      </c>
      <c r="S73" s="46" t="str">
        <f>IFERROR(VLOOKUP($A73,AlgoUi!$A:$X,21,0),"NA")</f>
        <v/>
      </c>
      <c r="T73" s="46" t="str">
        <f>IFERROR(VLOOKUP($A73,AlgoUi!$A:$X,23,0),"")</f>
        <v/>
      </c>
      <c r="U73" s="46" t="str">
        <f>IFERROR(VLOOKUP($A73,AlgoUi!$A:$X,24,0),"")</f>
        <v/>
      </c>
      <c r="V73" s="42" t="str">
        <f>IFERROR(__xludf.DUMMYFUNCTION("IFERROR(VLOOKUP(I73,IMPORTRANGE(""https://docs.google.com/spreadsheets/d/17FOIUYQAjPk1pPQIlvOgqYDBqwUqgb7KWzp4DtVksBk/edit?gid=0#gid=0"",""Servers!A:S""),19,FALSE), ""Not Running"")"),"Not Running")</f>
        <v>Not Running</v>
      </c>
      <c r="W73" s="47" t="str">
        <f>VLOOKUP($A73,Category!$A:$E,4,0)</f>
        <v>MS</v>
      </c>
      <c r="X73" s="47" t="str">
        <f>VLOOKUP($A73,Category!$A:$E,5,0)</f>
        <v>MSJ</v>
      </c>
      <c r="Y73" s="18" t="str">
        <f>VLOOKUP(A73,PAcc!$A$1:$J$27,10,0)</f>
        <v>#N/A</v>
      </c>
      <c r="Z73" s="42" t="b">
        <f t="shared" si="4"/>
        <v>0</v>
      </c>
      <c r="AA73" s="42"/>
      <c r="AB73" s="42" t="str">
        <f>VLOOKUP(A73,VlookupSheet!$A$383:$A$523,1,0)</f>
        <v>#N/A</v>
      </c>
      <c r="AC73" s="87">
        <v>0.008</v>
      </c>
      <c r="AD73" s="42"/>
      <c r="AE73" s="42"/>
      <c r="AF73" s="42"/>
    </row>
    <row r="74">
      <c r="A74" s="30" t="s">
        <v>737</v>
      </c>
      <c r="B74" s="84" t="s">
        <v>739</v>
      </c>
      <c r="C74" s="85"/>
      <c r="D74" s="11" t="s">
        <v>77</v>
      </c>
      <c r="E74" s="11">
        <f t="shared" si="1"/>
        <v>1</v>
      </c>
      <c r="F74" s="30" t="s">
        <v>266</v>
      </c>
      <c r="G74" s="31">
        <v>1.0</v>
      </c>
      <c r="H74" s="31">
        <v>1.0</v>
      </c>
      <c r="I74" s="30" t="s">
        <v>267</v>
      </c>
      <c r="J74" s="30" t="s">
        <v>87</v>
      </c>
      <c r="K74" s="38">
        <f t="shared" si="5"/>
        <v>1</v>
      </c>
      <c r="L74" s="18" t="s">
        <v>268</v>
      </c>
      <c r="M74" s="18" t="s">
        <v>268</v>
      </c>
      <c r="N74" s="34"/>
      <c r="O74" s="34"/>
      <c r="P74" s="34" t="s">
        <v>740</v>
      </c>
      <c r="Q74" s="42" t="str">
        <f>iferror(VLOOKUP(A74,'Positional cal'!A:H,1,0)=A74,"FALSE")</f>
        <v>FALSE</v>
      </c>
      <c r="R74" s="43" t="b">
        <f t="shared" si="3"/>
        <v>0</v>
      </c>
      <c r="S74" s="46" t="str">
        <f>IFERROR(VLOOKUP($A74,AlgoUi!$A:$X,21,0),"NA")</f>
        <v/>
      </c>
      <c r="T74" s="46" t="str">
        <f>IFERROR(VLOOKUP($A74,AlgoUi!$A:$X,23,0),"")</f>
        <v/>
      </c>
      <c r="U74" s="46" t="str">
        <f>IFERROR(VLOOKUP($A74,AlgoUi!$A:$X,24,0),"")</f>
        <v/>
      </c>
      <c r="V74" s="42" t="str">
        <f>IFERROR(__xludf.DUMMYFUNCTION("IFERROR(VLOOKUP(I74,IMPORTRANGE(""https://docs.google.com/spreadsheets/d/17FOIUYQAjPk1pPQIlvOgqYDBqwUqgb7KWzp4DtVksBk/edit?gid=0#gid=0"",""Servers!A:S""),19,FALSE), ""Not Running"")"),"Not Running")</f>
        <v>Not Running</v>
      </c>
      <c r="W74" s="47" t="str">
        <f>VLOOKUP($A74,Category!$A:$E,4,0)</f>
        <v>MS</v>
      </c>
      <c r="X74" s="47" t="str">
        <f>VLOOKUP($A74,Category!$A:$E,5,0)</f>
        <v>MSJ</v>
      </c>
      <c r="Y74" s="18" t="str">
        <f>VLOOKUP(A74,PAcc!$A$1:$J$27,10,0)</f>
        <v>#N/A</v>
      </c>
      <c r="Z74" s="42" t="b">
        <f t="shared" si="4"/>
        <v>0</v>
      </c>
      <c r="AA74" s="42"/>
      <c r="AB74" s="42" t="str">
        <f>VLOOKUP(A74,VlookupSheet!$A$383:$A$523,1,0)</f>
        <v>#N/A</v>
      </c>
      <c r="AC74" s="87">
        <v>0.008</v>
      </c>
      <c r="AD74" s="42"/>
      <c r="AE74" s="42"/>
      <c r="AF74" s="42"/>
    </row>
    <row r="75">
      <c r="A75" s="11" t="s">
        <v>742</v>
      </c>
      <c r="B75" s="24" t="s">
        <v>281</v>
      </c>
      <c r="C75" s="25"/>
      <c r="D75" s="11" t="s">
        <v>77</v>
      </c>
      <c r="E75" s="11">
        <f t="shared" si="1"/>
        <v>1</v>
      </c>
      <c r="F75" s="34" t="s">
        <v>266</v>
      </c>
      <c r="G75" s="31">
        <v>1.0</v>
      </c>
      <c r="H75" s="31">
        <v>1.0</v>
      </c>
      <c r="I75" s="34" t="s">
        <v>267</v>
      </c>
      <c r="J75" s="11" t="s">
        <v>87</v>
      </c>
      <c r="K75" s="38">
        <f t="shared" si="5"/>
        <v>1</v>
      </c>
      <c r="L75" s="18" t="s">
        <v>268</v>
      </c>
      <c r="M75" s="18" t="s">
        <v>268</v>
      </c>
      <c r="N75" s="18"/>
      <c r="O75" s="18"/>
      <c r="P75" s="18" t="s">
        <v>273</v>
      </c>
      <c r="Q75" s="42" t="str">
        <f>iferror(VLOOKUP(A75,'Positional cal'!A:H,1,0)=A75,"FALSE")</f>
        <v>FALSE</v>
      </c>
      <c r="R75" s="43" t="b">
        <f t="shared" si="3"/>
        <v>0</v>
      </c>
      <c r="S75" s="46" t="str">
        <f>IFERROR(VLOOKUP($A75,AlgoUi!$A:$X,21,0),"NA")</f>
        <v/>
      </c>
      <c r="T75" s="46" t="str">
        <f>IFERROR(VLOOKUP($A75,AlgoUi!$A:$X,23,0),"")</f>
        <v/>
      </c>
      <c r="U75" s="46" t="str">
        <f>IFERROR(VLOOKUP($A75,AlgoUi!$A:$X,24,0),"")</f>
        <v/>
      </c>
      <c r="V75" s="42" t="str">
        <f>IFERROR(__xludf.DUMMYFUNCTION("IFERROR(VLOOKUP(I75,IMPORTRANGE(""https://docs.google.com/spreadsheets/d/17FOIUYQAjPk1pPQIlvOgqYDBqwUqgb7KWzp4DtVksBk/edit?gid=0#gid=0"",""Servers!A:S""),19,FALSE), ""Not Running"")"),"Not Running")</f>
        <v>Not Running</v>
      </c>
      <c r="W75" s="47" t="str">
        <f>VLOOKUP($A75,Category!$A:$E,4,0)</f>
        <v>MS</v>
      </c>
      <c r="X75" s="47" t="str">
        <f>VLOOKUP($A75,Category!$A:$E,5,0)</f>
        <v>MSJ</v>
      </c>
      <c r="Y75" s="18" t="str">
        <f>VLOOKUP(A75,PAcc!$A$1:$J$27,10,0)</f>
        <v>#N/A</v>
      </c>
      <c r="Z75" s="42" t="b">
        <f t="shared" si="4"/>
        <v>0</v>
      </c>
      <c r="AA75" s="42"/>
      <c r="AB75" s="42" t="str">
        <f>VLOOKUP(A75,VlookupSheet!$A$383:$A$523,1,0)</f>
        <v>#N/A</v>
      </c>
      <c r="AC75" s="87">
        <v>0.008</v>
      </c>
      <c r="AD75" s="42"/>
      <c r="AE75" s="42"/>
      <c r="AF75" s="42"/>
    </row>
    <row r="76">
      <c r="A76" s="30" t="s">
        <v>745</v>
      </c>
      <c r="B76" s="24" t="s">
        <v>746</v>
      </c>
      <c r="C76" s="25"/>
      <c r="D76" s="11" t="s">
        <v>77</v>
      </c>
      <c r="E76" s="11">
        <f t="shared" si="1"/>
        <v>1</v>
      </c>
      <c r="F76" s="11" t="s">
        <v>285</v>
      </c>
      <c r="G76" s="31">
        <v>1.0</v>
      </c>
      <c r="H76" s="31">
        <v>1.0</v>
      </c>
      <c r="I76" s="34" t="s">
        <v>267</v>
      </c>
      <c r="J76" s="11" t="s">
        <v>87</v>
      </c>
      <c r="K76" s="38">
        <f t="shared" si="5"/>
        <v>1</v>
      </c>
      <c r="L76" s="18" t="s">
        <v>268</v>
      </c>
      <c r="M76" s="18" t="s">
        <v>268</v>
      </c>
      <c r="N76" s="42"/>
      <c r="O76" s="42"/>
      <c r="P76" s="42"/>
      <c r="Q76" s="42" t="str">
        <f>iferror(VLOOKUP(A76,'Positional cal'!A:H,1,0)=A76,"FALSE")</f>
        <v>FALSE</v>
      </c>
      <c r="R76" s="43" t="b">
        <f t="shared" si="3"/>
        <v>0</v>
      </c>
      <c r="S76" s="46" t="str">
        <f>IFERROR(VLOOKUP($A76,AlgoUi!$A:$X,21,0),"NA")</f>
        <v/>
      </c>
      <c r="T76" s="46" t="str">
        <f>IFERROR(VLOOKUP($A76,AlgoUi!$A:$X,23,0),"")</f>
        <v/>
      </c>
      <c r="U76" s="46" t="str">
        <f>IFERROR(VLOOKUP($A76,AlgoUi!$A:$X,24,0),"")</f>
        <v/>
      </c>
      <c r="V76" s="42" t="str">
        <f>IFERROR(__xludf.DUMMYFUNCTION("IFERROR(VLOOKUP(I76,IMPORTRANGE(""https://docs.google.com/spreadsheets/d/17FOIUYQAjPk1pPQIlvOgqYDBqwUqgb7KWzp4DtVksBk/edit?gid=0#gid=0"",""Servers!A:S""),19,FALSE), ""Not Running"")"),"Not Running")</f>
        <v>Not Running</v>
      </c>
      <c r="W76" s="47" t="str">
        <f>VLOOKUP($A76,Category!$A:$E,4,0)</f>
        <v>MS</v>
      </c>
      <c r="X76" s="47" t="str">
        <f>VLOOKUP($A76,Category!$A:$E,5,0)</f>
        <v>MSJ</v>
      </c>
      <c r="Y76" s="18" t="str">
        <f>VLOOKUP(A76,PAcc!$A$1:$J$27,10,0)</f>
        <v>#N/A</v>
      </c>
      <c r="Z76" s="42" t="b">
        <f t="shared" si="4"/>
        <v>0</v>
      </c>
      <c r="AA76" s="42"/>
      <c r="AB76" s="42" t="str">
        <f>VLOOKUP(A76,VlookupSheet!$A$383:$A$523,1,0)</f>
        <v>#N/A</v>
      </c>
      <c r="AC76" s="87">
        <v>0.008</v>
      </c>
      <c r="AD76" s="42"/>
      <c r="AE76" s="42"/>
      <c r="AF76" s="42"/>
    </row>
    <row r="77">
      <c r="A77" s="11" t="s">
        <v>749</v>
      </c>
      <c r="B77" s="24" t="s">
        <v>750</v>
      </c>
      <c r="C77" s="25"/>
      <c r="D77" s="11" t="s">
        <v>77</v>
      </c>
      <c r="E77" s="11">
        <f t="shared" si="1"/>
        <v>1</v>
      </c>
      <c r="F77" s="11" t="s">
        <v>751</v>
      </c>
      <c r="G77" s="31">
        <v>1.0</v>
      </c>
      <c r="H77" s="31">
        <v>1.0</v>
      </c>
      <c r="I77" s="11" t="s">
        <v>267</v>
      </c>
      <c r="J77" s="11" t="s">
        <v>87</v>
      </c>
      <c r="K77" s="38">
        <f t="shared" si="5"/>
        <v>1</v>
      </c>
      <c r="L77" s="18" t="s">
        <v>268</v>
      </c>
      <c r="M77" s="18" t="s">
        <v>268</v>
      </c>
      <c r="N77" s="18"/>
      <c r="O77" s="18"/>
      <c r="P77" s="18" t="s">
        <v>112</v>
      </c>
      <c r="Q77" s="42" t="str">
        <f>iferror(VLOOKUP(A77,'Positional cal'!A:H,1,0)=A77,"FALSE")</f>
        <v>FALSE</v>
      </c>
      <c r="R77" s="43" t="b">
        <f t="shared" si="3"/>
        <v>0</v>
      </c>
      <c r="S77" s="46" t="str">
        <f>IFERROR(VLOOKUP($A77,AlgoUi!$A:$X,21,0),"NA")</f>
        <v/>
      </c>
      <c r="T77" s="46" t="str">
        <f>IFERROR(VLOOKUP($A77,AlgoUi!$A:$X,23,0),"")</f>
        <v/>
      </c>
      <c r="U77" s="46" t="str">
        <f>IFERROR(VLOOKUP($A77,AlgoUi!$A:$X,24,0),"")</f>
        <v/>
      </c>
      <c r="V77" s="42" t="str">
        <f>IFERROR(__xludf.DUMMYFUNCTION("IFERROR(VLOOKUP(I77,IMPORTRANGE(""https://docs.google.com/spreadsheets/d/17FOIUYQAjPk1pPQIlvOgqYDBqwUqgb7KWzp4DtVksBk/edit?gid=0#gid=0"",""Servers!A:S""),19,FALSE), ""Not Running"")"),"Not Running")</f>
        <v>Not Running</v>
      </c>
      <c r="W77" s="47" t="str">
        <f>VLOOKUP($A77,Category!$A:$E,4,0)</f>
        <v>MS</v>
      </c>
      <c r="X77" s="47" t="str">
        <f>VLOOKUP($A77,Category!$A:$E,5,0)</f>
        <v>MSR</v>
      </c>
      <c r="Y77" s="18" t="str">
        <f>VLOOKUP(A77,PAcc!$A$1:$J$27,10,0)</f>
        <v>#N/A</v>
      </c>
      <c r="Z77" s="42" t="b">
        <f t="shared" si="4"/>
        <v>0</v>
      </c>
      <c r="AA77" s="42"/>
      <c r="AB77" s="42" t="str">
        <f>VLOOKUP(A77,VlookupSheet!$A$383:$A$523,1,0)</f>
        <v>#N/A</v>
      </c>
      <c r="AC77" s="87">
        <v>0.008</v>
      </c>
      <c r="AD77" s="42"/>
      <c r="AE77" s="42"/>
      <c r="AF77" s="42"/>
    </row>
    <row r="78">
      <c r="A78" s="30" t="s">
        <v>754</v>
      </c>
      <c r="B78" s="84" t="s">
        <v>755</v>
      </c>
      <c r="C78" s="30" t="s">
        <v>77</v>
      </c>
      <c r="D78" s="11" t="s">
        <v>77</v>
      </c>
      <c r="E78" s="11">
        <f t="shared" si="1"/>
        <v>1</v>
      </c>
      <c r="F78" s="30" t="s">
        <v>311</v>
      </c>
      <c r="G78" s="31">
        <v>1.0</v>
      </c>
      <c r="H78" s="31">
        <v>1.0</v>
      </c>
      <c r="I78" s="34" t="s">
        <v>267</v>
      </c>
      <c r="J78" s="30" t="s">
        <v>87</v>
      </c>
      <c r="K78" s="38">
        <f t="shared" si="5"/>
        <v>1</v>
      </c>
      <c r="L78" s="18" t="s">
        <v>268</v>
      </c>
      <c r="M78" s="18" t="s">
        <v>268</v>
      </c>
      <c r="N78" s="74"/>
      <c r="O78" s="74"/>
      <c r="P78" s="74"/>
      <c r="Q78" s="42" t="str">
        <f>iferror(VLOOKUP(A78,'Positional cal'!A:H,1,0)=A78,"FALSE")</f>
        <v>FALSE</v>
      </c>
      <c r="R78" s="43" t="b">
        <f t="shared" si="3"/>
        <v>0</v>
      </c>
      <c r="S78" s="46" t="str">
        <f>IFERROR(VLOOKUP($A78,AlgoUi!$A:$X,21,0),"NA")</f>
        <v/>
      </c>
      <c r="T78" s="46" t="str">
        <f>IFERROR(VLOOKUP($A78,AlgoUi!$A:$X,23,0),"")</f>
        <v/>
      </c>
      <c r="U78" s="46" t="str">
        <f>IFERROR(VLOOKUP($A78,AlgoUi!$A:$X,24,0),"")</f>
        <v/>
      </c>
      <c r="V78" s="42" t="str">
        <f>IFERROR(__xludf.DUMMYFUNCTION("IFERROR(VLOOKUP(I78,IMPORTRANGE(""https://docs.google.com/spreadsheets/d/17FOIUYQAjPk1pPQIlvOgqYDBqwUqgb7KWzp4DtVksBk/edit?gid=0#gid=0"",""Servers!A:S""),19,FALSE), ""Not Running"")"),"Not Running")</f>
        <v>Not Running</v>
      </c>
      <c r="W78" s="47" t="str">
        <f>VLOOKUP($A78,Category!$A:$E,4,0)</f>
        <v>CC</v>
      </c>
      <c r="X78" s="47" t="str">
        <f>VLOOKUP($A78,Category!$A:$E,5,0)</f>
        <v>CCG</v>
      </c>
      <c r="Y78" s="18" t="str">
        <f>VLOOKUP(A78,PAcc!$A$1:$J$27,10,0)</f>
        <v>#N/A</v>
      </c>
      <c r="Z78" s="42" t="b">
        <f t="shared" si="4"/>
        <v>0</v>
      </c>
      <c r="AA78" s="50">
        <v>1.0</v>
      </c>
      <c r="AB78" s="42" t="str">
        <f>VLOOKUP(A78,VlookupSheet!$A$383:$A$523,1,0)</f>
        <v>#N/A</v>
      </c>
      <c r="AC78" s="87">
        <v>0.008</v>
      </c>
      <c r="AD78" s="42"/>
      <c r="AE78" s="42"/>
      <c r="AF78" s="42"/>
    </row>
    <row r="79">
      <c r="A79" s="30" t="s">
        <v>761</v>
      </c>
      <c r="B79" s="84" t="s">
        <v>762</v>
      </c>
      <c r="C79" s="30" t="s">
        <v>320</v>
      </c>
      <c r="D79" s="11" t="s">
        <v>77</v>
      </c>
      <c r="E79" s="11">
        <f t="shared" si="1"/>
        <v>1</v>
      </c>
      <c r="F79" s="30" t="s">
        <v>311</v>
      </c>
      <c r="G79" s="31">
        <v>1.0</v>
      </c>
      <c r="H79" s="31">
        <v>1.0</v>
      </c>
      <c r="I79" s="34" t="s">
        <v>267</v>
      </c>
      <c r="J79" s="30" t="s">
        <v>87</v>
      </c>
      <c r="K79" s="38">
        <f t="shared" si="5"/>
        <v>1</v>
      </c>
      <c r="L79" s="18" t="s">
        <v>268</v>
      </c>
      <c r="M79" s="18" t="s">
        <v>268</v>
      </c>
      <c r="N79" s="74"/>
      <c r="O79" s="74"/>
      <c r="P79" s="74"/>
      <c r="Q79" s="42" t="str">
        <f>iferror(VLOOKUP(A79,'Positional cal'!A:H,1,0)=A79,"FALSE")</f>
        <v>FALSE</v>
      </c>
      <c r="R79" s="43" t="b">
        <f t="shared" si="3"/>
        <v>0</v>
      </c>
      <c r="S79" s="46" t="str">
        <f>IFERROR(VLOOKUP($A79,AlgoUi!$A:$X,21,0),"NA")</f>
        <v/>
      </c>
      <c r="T79" s="46" t="str">
        <f>IFERROR(VLOOKUP($A79,AlgoUi!$A:$X,23,0),"")</f>
        <v/>
      </c>
      <c r="U79" s="46" t="str">
        <f>IFERROR(VLOOKUP($A79,AlgoUi!$A:$X,24,0),"")</f>
        <v/>
      </c>
      <c r="V79" s="42" t="str">
        <f>IFERROR(__xludf.DUMMYFUNCTION("IFERROR(VLOOKUP(I79,IMPORTRANGE(""https://docs.google.com/spreadsheets/d/17FOIUYQAjPk1pPQIlvOgqYDBqwUqgb7KWzp4DtVksBk/edit?gid=0#gid=0"",""Servers!A:S""),19,FALSE), ""Not Running"")"),"Not Running")</f>
        <v>Not Running</v>
      </c>
      <c r="W79" s="47" t="str">
        <f>VLOOKUP($A79,Category!$A:$E,4,0)</f>
        <v>CC</v>
      </c>
      <c r="X79" s="47" t="str">
        <f>VLOOKUP($A79,Category!$A:$E,5,0)</f>
        <v>CCG</v>
      </c>
      <c r="Y79" s="18" t="str">
        <f>VLOOKUP(A79,PAcc!$A$1:$J$27,10,0)</f>
        <v>#N/A</v>
      </c>
      <c r="Z79" s="42" t="b">
        <f t="shared" si="4"/>
        <v>0</v>
      </c>
      <c r="AA79" s="50">
        <v>1.0</v>
      </c>
      <c r="AB79" s="42" t="str">
        <f>VLOOKUP(A79,VlookupSheet!$A$383:$A$523,1,0)</f>
        <v>#N/A</v>
      </c>
      <c r="AC79" s="87">
        <v>0.008</v>
      </c>
      <c r="AD79" s="42"/>
      <c r="AE79" s="42"/>
      <c r="AF79" s="42"/>
    </row>
    <row r="80">
      <c r="A80" s="11" t="s">
        <v>766</v>
      </c>
      <c r="B80" s="24" t="s">
        <v>767</v>
      </c>
      <c r="C80" s="25"/>
      <c r="D80" s="11" t="s">
        <v>77</v>
      </c>
      <c r="E80" s="11">
        <f t="shared" si="1"/>
        <v>1</v>
      </c>
      <c r="F80" s="11" t="s">
        <v>768</v>
      </c>
      <c r="G80" s="31">
        <v>1.0</v>
      </c>
      <c r="H80" s="31">
        <v>1.0</v>
      </c>
      <c r="I80" s="34" t="s">
        <v>267</v>
      </c>
      <c r="J80" s="11" t="s">
        <v>87</v>
      </c>
      <c r="K80" s="38">
        <f t="shared" si="5"/>
        <v>1</v>
      </c>
      <c r="L80" s="18" t="s">
        <v>268</v>
      </c>
      <c r="M80" s="18" t="s">
        <v>268</v>
      </c>
      <c r="N80" s="18"/>
      <c r="O80" s="18"/>
      <c r="P80" s="18" t="s">
        <v>769</v>
      </c>
      <c r="Q80" s="42" t="str">
        <f>iferror(VLOOKUP(A80,'Positional cal'!A:H,1,0)=A80,"FALSE")</f>
        <v>FALSE</v>
      </c>
      <c r="R80" s="43" t="b">
        <f t="shared" si="3"/>
        <v>0</v>
      </c>
      <c r="S80" s="46" t="str">
        <f>IFERROR(VLOOKUP($A80,AlgoUi!$A:$X,21,0),"NA")</f>
        <v/>
      </c>
      <c r="T80" s="46" t="str">
        <f>IFERROR(VLOOKUP($A80,AlgoUi!$A:$X,23,0),"")</f>
        <v/>
      </c>
      <c r="U80" s="46" t="str">
        <f>IFERROR(VLOOKUP($A80,AlgoUi!$A:$X,24,0),"")</f>
        <v/>
      </c>
      <c r="V80" s="42" t="str">
        <f>IFERROR(__xludf.DUMMYFUNCTION("IFERROR(VLOOKUP(I80,IMPORTRANGE(""https://docs.google.com/spreadsheets/d/17FOIUYQAjPk1pPQIlvOgqYDBqwUqgb7KWzp4DtVksBk/edit?gid=0#gid=0"",""Servers!A:S""),19,FALSE), ""Not Running"")"),"Not Running")</f>
        <v>Not Running</v>
      </c>
      <c r="W80" s="47" t="str">
        <f>VLOOKUP($A80,Category!$A:$E,4,0)</f>
        <v>MS</v>
      </c>
      <c r="X80" s="47" t="str">
        <f>VLOOKUP($A80,Category!$A:$E,5,0)</f>
        <v>MSR</v>
      </c>
      <c r="Y80" s="18" t="str">
        <f>VLOOKUP(A80,PAcc!$A$1:$J$27,10,0)</f>
        <v>#N/A</v>
      </c>
      <c r="Z80" s="42" t="b">
        <f t="shared" si="4"/>
        <v>0</v>
      </c>
      <c r="AA80" s="42"/>
      <c r="AB80" s="42" t="str">
        <f>VLOOKUP(A80,VlookupSheet!$A$383:$A$523,1,0)</f>
        <v>#N/A</v>
      </c>
      <c r="AC80" s="87">
        <v>0.008</v>
      </c>
      <c r="AD80" s="42"/>
      <c r="AE80" s="42"/>
      <c r="AF80" s="42"/>
    </row>
    <row r="81">
      <c r="A81" s="30" t="s">
        <v>771</v>
      </c>
      <c r="B81" s="84" t="s">
        <v>772</v>
      </c>
      <c r="C81" s="85"/>
      <c r="D81" s="11" t="s">
        <v>77</v>
      </c>
      <c r="E81" s="11">
        <f t="shared" si="1"/>
        <v>1</v>
      </c>
      <c r="F81" s="30" t="s">
        <v>232</v>
      </c>
      <c r="G81" s="31">
        <v>1.0</v>
      </c>
      <c r="H81" s="31">
        <v>1.0</v>
      </c>
      <c r="I81" s="127" t="s">
        <v>267</v>
      </c>
      <c r="J81" s="30" t="s">
        <v>87</v>
      </c>
      <c r="K81" s="38">
        <f t="shared" si="5"/>
        <v>1</v>
      </c>
      <c r="L81" s="18" t="s">
        <v>268</v>
      </c>
      <c r="M81" s="18" t="s">
        <v>268</v>
      </c>
      <c r="N81" s="74"/>
      <c r="O81" s="74"/>
      <c r="P81" s="74"/>
      <c r="Q81" s="42" t="str">
        <f>iferror(VLOOKUP(A81,'Positional cal'!A:H,1,0)=A81,"FALSE")</f>
        <v>FALSE</v>
      </c>
      <c r="R81" s="43" t="b">
        <f t="shared" si="3"/>
        <v>0</v>
      </c>
      <c r="S81" s="46" t="str">
        <f>IFERROR(VLOOKUP($A81,AlgoUi!$A:$X,21,0),"NA")</f>
        <v/>
      </c>
      <c r="T81" s="46" t="str">
        <f>IFERROR(VLOOKUP($A81,AlgoUi!$A:$X,23,0),"")</f>
        <v/>
      </c>
      <c r="U81" s="46" t="str">
        <f>IFERROR(VLOOKUP($A81,AlgoUi!$A:$X,24,0),"")</f>
        <v/>
      </c>
      <c r="V81" s="42" t="str">
        <f>IFERROR(__xludf.DUMMYFUNCTION("IFERROR(VLOOKUP(I81,IMPORTRANGE(""https://docs.google.com/spreadsheets/d/17FOIUYQAjPk1pPQIlvOgqYDBqwUqgb7KWzp4DtVksBk/edit?gid=0#gid=0"",""Servers!A:S""),19,FALSE), ""Not Running"")"),"Not Running")</f>
        <v>Not Running</v>
      </c>
      <c r="W81" s="47" t="str">
        <f>VLOOKUP($A81,Category!$A:$E,4,0)</f>
        <v>MS</v>
      </c>
      <c r="X81" s="47" t="str">
        <f>VLOOKUP($A81,Category!$A:$E,5,0)</f>
        <v>MSR</v>
      </c>
      <c r="Y81" s="18" t="str">
        <f>VLOOKUP(A81,PAcc!$A$1:$J$27,10,0)</f>
        <v>#N/A</v>
      </c>
      <c r="Z81" s="42" t="b">
        <f t="shared" si="4"/>
        <v>0</v>
      </c>
      <c r="AA81" s="42"/>
      <c r="AB81" s="42" t="str">
        <f>VLOOKUP(A81,VlookupSheet!$A$383:$A$523,1,0)</f>
        <v>#N/A</v>
      </c>
      <c r="AC81" s="87">
        <v>0.008</v>
      </c>
      <c r="AD81" s="42"/>
      <c r="AE81" s="42"/>
      <c r="AF81" s="42"/>
    </row>
    <row r="82">
      <c r="A82" s="30" t="s">
        <v>776</v>
      </c>
      <c r="B82" s="84" t="s">
        <v>777</v>
      </c>
      <c r="C82" s="85"/>
      <c r="D82" s="11" t="s">
        <v>77</v>
      </c>
      <c r="E82" s="11">
        <f t="shared" si="1"/>
        <v>1</v>
      </c>
      <c r="F82" s="30" t="s">
        <v>232</v>
      </c>
      <c r="G82" s="31">
        <v>1.0</v>
      </c>
      <c r="H82" s="31">
        <v>1.0</v>
      </c>
      <c r="I82" s="127" t="s">
        <v>267</v>
      </c>
      <c r="J82" s="30" t="s">
        <v>87</v>
      </c>
      <c r="K82" s="38">
        <f t="shared" si="5"/>
        <v>1</v>
      </c>
      <c r="L82" s="18" t="s">
        <v>268</v>
      </c>
      <c r="M82" s="18" t="s">
        <v>268</v>
      </c>
      <c r="N82" s="74"/>
      <c r="O82" s="74"/>
      <c r="P82" s="74"/>
      <c r="Q82" s="42" t="str">
        <f>iferror(VLOOKUP(A82,'Positional cal'!A:H,1,0)=A82,"FALSE")</f>
        <v>FALSE</v>
      </c>
      <c r="R82" s="43" t="b">
        <f t="shared" si="3"/>
        <v>0</v>
      </c>
      <c r="S82" s="46" t="str">
        <f>IFERROR(VLOOKUP($A82,AlgoUi!$A:$X,21,0),"NA")</f>
        <v/>
      </c>
      <c r="T82" s="46" t="str">
        <f>IFERROR(VLOOKUP($A82,AlgoUi!$A:$X,23,0),"")</f>
        <v/>
      </c>
      <c r="U82" s="46" t="str">
        <f>IFERROR(VLOOKUP($A82,AlgoUi!$A:$X,24,0),"")</f>
        <v/>
      </c>
      <c r="V82" s="42" t="str">
        <f>IFERROR(__xludf.DUMMYFUNCTION("IFERROR(VLOOKUP(I82,IMPORTRANGE(""https://docs.google.com/spreadsheets/d/17FOIUYQAjPk1pPQIlvOgqYDBqwUqgb7KWzp4DtVksBk/edit?gid=0#gid=0"",""Servers!A:S""),19,FALSE), ""Not Running"")"),"Not Running")</f>
        <v>Not Running</v>
      </c>
      <c r="W82" s="47" t="str">
        <f>VLOOKUP($A82,Category!$A:$E,4,0)</f>
        <v>MS</v>
      </c>
      <c r="X82" s="47" t="str">
        <f>VLOOKUP($A82,Category!$A:$E,5,0)</f>
        <v>MSR</v>
      </c>
      <c r="Y82" s="18" t="str">
        <f>VLOOKUP(A82,PAcc!$A$1:$J$27,10,0)</f>
        <v>#N/A</v>
      </c>
      <c r="Z82" s="42" t="b">
        <f t="shared" si="4"/>
        <v>0</v>
      </c>
      <c r="AA82" s="42"/>
      <c r="AB82" s="42" t="str">
        <f>VLOOKUP(A82,VlookupSheet!$A$383:$A$523,1,0)</f>
        <v>#N/A</v>
      </c>
      <c r="AC82" s="87">
        <v>0.008</v>
      </c>
      <c r="AD82" s="42"/>
      <c r="AE82" s="42"/>
      <c r="AF82" s="42"/>
    </row>
    <row r="83">
      <c r="A83" s="30" t="s">
        <v>782</v>
      </c>
      <c r="B83" s="84" t="s">
        <v>783</v>
      </c>
      <c r="C83" s="85"/>
      <c r="D83" s="11" t="s">
        <v>77</v>
      </c>
      <c r="E83" s="11">
        <f t="shared" si="1"/>
        <v>1</v>
      </c>
      <c r="F83" s="30" t="s">
        <v>768</v>
      </c>
      <c r="G83" s="31">
        <v>1.0</v>
      </c>
      <c r="H83" s="31">
        <v>1.0</v>
      </c>
      <c r="I83" s="34" t="s">
        <v>267</v>
      </c>
      <c r="J83" s="11" t="s">
        <v>87</v>
      </c>
      <c r="K83" s="38">
        <f t="shared" si="5"/>
        <v>1</v>
      </c>
      <c r="L83" s="18" t="s">
        <v>268</v>
      </c>
      <c r="M83" s="18" t="s">
        <v>268</v>
      </c>
      <c r="N83" s="18"/>
      <c r="O83" s="18"/>
      <c r="P83" s="18" t="s">
        <v>769</v>
      </c>
      <c r="Q83" s="42" t="str">
        <f>iferror(VLOOKUP(A83,'Positional cal'!A:H,1,0)=A83,"FALSE")</f>
        <v>FALSE</v>
      </c>
      <c r="R83" s="43" t="b">
        <f t="shared" si="3"/>
        <v>0</v>
      </c>
      <c r="S83" s="46" t="str">
        <f>IFERROR(VLOOKUP($A83,AlgoUi!$A:$X,21,0),"NA")</f>
        <v/>
      </c>
      <c r="T83" s="46" t="str">
        <f>IFERROR(VLOOKUP($A83,AlgoUi!$A:$X,23,0),"")</f>
        <v/>
      </c>
      <c r="U83" s="46" t="str">
        <f>IFERROR(VLOOKUP($A83,AlgoUi!$A:$X,24,0),"")</f>
        <v/>
      </c>
      <c r="V83" s="42" t="str">
        <f>IFERROR(__xludf.DUMMYFUNCTION("IFERROR(VLOOKUP(I83,IMPORTRANGE(""https://docs.google.com/spreadsheets/d/17FOIUYQAjPk1pPQIlvOgqYDBqwUqgb7KWzp4DtVksBk/edit?gid=0#gid=0"",""Servers!A:S""),19,FALSE), ""Not Running"")"),"Not Running")</f>
        <v>Not Running</v>
      </c>
      <c r="W83" s="47" t="str">
        <f>VLOOKUP($A83,Category!$A:$E,4,0)</f>
        <v>MS</v>
      </c>
      <c r="X83" s="47" t="str">
        <f>VLOOKUP($A83,Category!$A:$E,5,0)</f>
        <v>MSR</v>
      </c>
      <c r="Y83" s="18" t="str">
        <f>VLOOKUP(A83,PAcc!$A$1:$J$27,10,0)</f>
        <v>#N/A</v>
      </c>
      <c r="Z83" s="42" t="b">
        <f t="shared" si="4"/>
        <v>0</v>
      </c>
      <c r="AA83" s="42"/>
      <c r="AB83" s="42" t="str">
        <f>VLOOKUP(A83,VlookupSheet!$A$383:$A$523,1,0)</f>
        <v>#N/A</v>
      </c>
      <c r="AC83" s="87">
        <v>0.008</v>
      </c>
      <c r="AD83" s="42"/>
      <c r="AE83" s="42"/>
      <c r="AF83" s="42"/>
    </row>
    <row r="84">
      <c r="A84" s="11" t="s">
        <v>786</v>
      </c>
      <c r="B84" s="24" t="s">
        <v>787</v>
      </c>
      <c r="C84" s="25"/>
      <c r="D84" s="11" t="s">
        <v>77</v>
      </c>
      <c r="E84" s="11">
        <f t="shared" si="1"/>
        <v>1</v>
      </c>
      <c r="F84" s="11" t="s">
        <v>768</v>
      </c>
      <c r="G84" s="31">
        <v>1.0</v>
      </c>
      <c r="H84" s="31">
        <v>1.0</v>
      </c>
      <c r="I84" s="34" t="s">
        <v>267</v>
      </c>
      <c r="J84" s="11" t="s">
        <v>87</v>
      </c>
      <c r="K84" s="38">
        <f t="shared" si="5"/>
        <v>1</v>
      </c>
      <c r="L84" s="18" t="s">
        <v>268</v>
      </c>
      <c r="M84" s="18" t="s">
        <v>268</v>
      </c>
      <c r="N84" s="18"/>
      <c r="O84" s="18"/>
      <c r="P84" s="18" t="s">
        <v>769</v>
      </c>
      <c r="Q84" s="42" t="str">
        <f>iferror(VLOOKUP(A84,'Positional cal'!A:H,1,0)=A84,"FALSE")</f>
        <v>FALSE</v>
      </c>
      <c r="R84" s="43" t="b">
        <f t="shared" si="3"/>
        <v>0</v>
      </c>
      <c r="S84" s="46" t="str">
        <f>IFERROR(VLOOKUP($A84,AlgoUi!$A:$X,21,0),"NA")</f>
        <v/>
      </c>
      <c r="T84" s="46" t="str">
        <f>IFERROR(VLOOKUP($A84,AlgoUi!$A:$X,23,0),"")</f>
        <v/>
      </c>
      <c r="U84" s="46" t="str">
        <f>IFERROR(VLOOKUP($A84,AlgoUi!$A:$X,24,0),"")</f>
        <v/>
      </c>
      <c r="V84" s="42" t="str">
        <f>IFERROR(__xludf.DUMMYFUNCTION("IFERROR(VLOOKUP(I84,IMPORTRANGE(""https://docs.google.com/spreadsheets/d/17FOIUYQAjPk1pPQIlvOgqYDBqwUqgb7KWzp4DtVksBk/edit?gid=0#gid=0"",""Servers!A:S""),19,FALSE), ""Not Running"")"),"Not Running")</f>
        <v>Not Running</v>
      </c>
      <c r="W84" s="47" t="str">
        <f>VLOOKUP($A84,Category!$A:$E,4,0)</f>
        <v>MS</v>
      </c>
      <c r="X84" s="47" t="str">
        <f>VLOOKUP($A84,Category!$A:$E,5,0)</f>
        <v>MSR</v>
      </c>
      <c r="Y84" s="18" t="str">
        <f>VLOOKUP(A84,PAcc!$A$1:$J$27,10,0)</f>
        <v>#N/A</v>
      </c>
      <c r="Z84" s="42" t="b">
        <f t="shared" si="4"/>
        <v>0</v>
      </c>
      <c r="AA84" s="42"/>
      <c r="AB84" s="42" t="str">
        <f>VLOOKUP(A84,VlookupSheet!$A$383:$A$523,1,0)</f>
        <v>#N/A</v>
      </c>
      <c r="AC84" s="87">
        <v>0.008</v>
      </c>
      <c r="AD84" s="42"/>
      <c r="AE84" s="42"/>
      <c r="AF84" s="42"/>
    </row>
    <row r="85">
      <c r="A85" s="30" t="s">
        <v>790</v>
      </c>
      <c r="B85" s="84" t="s">
        <v>791</v>
      </c>
      <c r="C85" s="85"/>
      <c r="D85" s="11" t="s">
        <v>77</v>
      </c>
      <c r="E85" s="11">
        <f t="shared" si="1"/>
        <v>1</v>
      </c>
      <c r="F85" s="88" t="s">
        <v>285</v>
      </c>
      <c r="G85" s="31">
        <v>1.0</v>
      </c>
      <c r="H85" s="31">
        <v>1.0</v>
      </c>
      <c r="I85" s="34" t="s">
        <v>267</v>
      </c>
      <c r="J85" s="11" t="s">
        <v>87</v>
      </c>
      <c r="K85" s="38">
        <f t="shared" si="5"/>
        <v>1</v>
      </c>
      <c r="L85" s="18" t="s">
        <v>268</v>
      </c>
      <c r="M85" s="18" t="s">
        <v>268</v>
      </c>
      <c r="N85" s="47"/>
      <c r="O85" s="47"/>
      <c r="P85" s="47"/>
      <c r="Q85" s="42" t="str">
        <f>iferror(VLOOKUP(A85,'Positional cal'!A:H,1,0)=A85,"FALSE")</f>
        <v>FALSE</v>
      </c>
      <c r="R85" s="43" t="b">
        <f t="shared" si="3"/>
        <v>0</v>
      </c>
      <c r="S85" s="46" t="str">
        <f>IFERROR(VLOOKUP($A85,AlgoUi!$A:$X,21,0),"NA")</f>
        <v/>
      </c>
      <c r="T85" s="46" t="str">
        <f>IFERROR(VLOOKUP($A85,AlgoUi!$A:$X,23,0),"")</f>
        <v/>
      </c>
      <c r="U85" s="46" t="str">
        <f>IFERROR(VLOOKUP($A85,AlgoUi!$A:$X,24,0),"")</f>
        <v/>
      </c>
      <c r="V85" s="42" t="str">
        <f>IFERROR(__xludf.DUMMYFUNCTION("IFERROR(VLOOKUP(I85,IMPORTRANGE(""https://docs.google.com/spreadsheets/d/17FOIUYQAjPk1pPQIlvOgqYDBqwUqgb7KWzp4DtVksBk/edit?gid=0#gid=0"",""Servers!A:S""),19,FALSE), ""Not Running"")"),"Not Running")</f>
        <v>Not Running</v>
      </c>
      <c r="W85" s="47" t="str">
        <f>VLOOKUP($A85,Category!$A:$E,4,0)</f>
        <v>MS</v>
      </c>
      <c r="X85" s="47" t="str">
        <f>VLOOKUP($A85,Category!$A:$E,5,0)</f>
        <v>MSJ</v>
      </c>
      <c r="Y85" s="18" t="str">
        <f>VLOOKUP(A85,PAcc!$A$1:$J$27,10,0)</f>
        <v>#N/A</v>
      </c>
      <c r="Z85" s="42" t="b">
        <f t="shared" si="4"/>
        <v>0</v>
      </c>
      <c r="AA85" s="42"/>
      <c r="AB85" s="42" t="str">
        <f>VLOOKUP(A85,VlookupSheet!$A$383:$A$523,1,0)</f>
        <v>#N/A</v>
      </c>
      <c r="AC85" s="87">
        <v>0.008</v>
      </c>
      <c r="AD85" s="42"/>
      <c r="AE85" s="42"/>
      <c r="AF85" s="42"/>
    </row>
    <row r="86">
      <c r="A86" s="11" t="s">
        <v>794</v>
      </c>
      <c r="B86" s="24" t="s">
        <v>795</v>
      </c>
      <c r="C86" s="25"/>
      <c r="D86" s="11" t="s">
        <v>77</v>
      </c>
      <c r="E86" s="11">
        <f t="shared" si="1"/>
        <v>1</v>
      </c>
      <c r="F86" s="18" t="s">
        <v>768</v>
      </c>
      <c r="G86" s="31">
        <v>1.0</v>
      </c>
      <c r="H86" s="31">
        <v>1.0</v>
      </c>
      <c r="I86" s="34" t="s">
        <v>267</v>
      </c>
      <c r="J86" s="11" t="s">
        <v>87</v>
      </c>
      <c r="K86" s="38">
        <f t="shared" si="5"/>
        <v>1</v>
      </c>
      <c r="L86" s="18" t="s">
        <v>268</v>
      </c>
      <c r="M86" s="18" t="s">
        <v>268</v>
      </c>
      <c r="N86" s="18"/>
      <c r="O86" s="18"/>
      <c r="P86" s="18" t="s">
        <v>769</v>
      </c>
      <c r="Q86" s="42" t="str">
        <f>iferror(VLOOKUP(A86,'Positional cal'!A:H,1,0)=A86,"FALSE")</f>
        <v>FALSE</v>
      </c>
      <c r="R86" s="43" t="b">
        <f t="shared" si="3"/>
        <v>0</v>
      </c>
      <c r="S86" s="46" t="str">
        <f>IFERROR(VLOOKUP($A86,AlgoUi!$A:$X,21,0),"NA")</f>
        <v/>
      </c>
      <c r="T86" s="46" t="str">
        <f>IFERROR(VLOOKUP($A86,AlgoUi!$A:$X,23,0),"")</f>
        <v/>
      </c>
      <c r="U86" s="46" t="str">
        <f>IFERROR(VLOOKUP($A86,AlgoUi!$A:$X,24,0),"")</f>
        <v/>
      </c>
      <c r="V86" s="42" t="str">
        <f>IFERROR(__xludf.DUMMYFUNCTION("IFERROR(VLOOKUP(I86,IMPORTRANGE(""https://docs.google.com/spreadsheets/d/17FOIUYQAjPk1pPQIlvOgqYDBqwUqgb7KWzp4DtVksBk/edit?gid=0#gid=0"",""Servers!A:S""),19,FALSE), ""Not Running"")"),"Not Running")</f>
        <v>Not Running</v>
      </c>
      <c r="W86" s="47" t="str">
        <f>VLOOKUP($A86,Category!$A:$E,4,0)</f>
        <v>MS</v>
      </c>
      <c r="X86" s="47" t="str">
        <f>VLOOKUP($A86,Category!$A:$E,5,0)</f>
        <v>MSR</v>
      </c>
      <c r="Y86" s="18" t="str">
        <f>VLOOKUP(A86,PAcc!$A$1:$J$27,10,0)</f>
        <v>#N/A</v>
      </c>
      <c r="Z86" s="42" t="b">
        <f t="shared" si="4"/>
        <v>0</v>
      </c>
      <c r="AA86" s="42"/>
      <c r="AB86" s="42" t="str">
        <f>VLOOKUP(A86,VlookupSheet!$A$383:$A$523,1,0)</f>
        <v>#N/A</v>
      </c>
      <c r="AC86" s="87">
        <v>0.008</v>
      </c>
      <c r="AD86" s="42"/>
      <c r="AE86" s="42"/>
      <c r="AF86" s="42"/>
    </row>
    <row r="87">
      <c r="A87" s="11" t="s">
        <v>799</v>
      </c>
      <c r="B87" s="24" t="s">
        <v>800</v>
      </c>
      <c r="C87" s="85"/>
      <c r="D87" s="11" t="s">
        <v>77</v>
      </c>
      <c r="E87" s="11">
        <f t="shared" si="1"/>
        <v>1</v>
      </c>
      <c r="F87" s="30" t="s">
        <v>801</v>
      </c>
      <c r="G87" s="31">
        <v>1.0</v>
      </c>
      <c r="H87" s="31">
        <v>1.0</v>
      </c>
      <c r="I87" s="34" t="s">
        <v>267</v>
      </c>
      <c r="J87" s="30" t="s">
        <v>87</v>
      </c>
      <c r="K87" s="38">
        <f t="shared" si="5"/>
        <v>1</v>
      </c>
      <c r="L87" s="18" t="s">
        <v>268</v>
      </c>
      <c r="M87" s="18" t="s">
        <v>268</v>
      </c>
      <c r="N87" s="34"/>
      <c r="O87" s="34"/>
      <c r="P87" s="34"/>
      <c r="Q87" s="42" t="str">
        <f>iferror(VLOOKUP(A87,'Positional cal'!A:H,1,0)=A87,"FALSE")</f>
        <v>FALSE</v>
      </c>
      <c r="R87" s="43" t="b">
        <f t="shared" si="3"/>
        <v>0</v>
      </c>
      <c r="S87" s="46" t="str">
        <f>IFERROR(VLOOKUP($A87,AlgoUi!$A:$X,21,0),"NA")</f>
        <v/>
      </c>
      <c r="T87" s="46" t="str">
        <f>IFERROR(VLOOKUP($A87,AlgoUi!$A:$X,23,0),"")</f>
        <v/>
      </c>
      <c r="U87" s="46" t="str">
        <f>IFERROR(VLOOKUP($A87,AlgoUi!$A:$X,24,0),"")</f>
        <v/>
      </c>
      <c r="V87" s="42" t="str">
        <f>IFERROR(__xludf.DUMMYFUNCTION("IFERROR(VLOOKUP(I87,IMPORTRANGE(""https://docs.google.com/spreadsheets/d/17FOIUYQAjPk1pPQIlvOgqYDBqwUqgb7KWzp4DtVksBk/edit?gid=0#gid=0"",""Servers!A:S""),19,FALSE), ""Not Running"")"),"Not Running")</f>
        <v>Not Running</v>
      </c>
      <c r="W87" s="47" t="str">
        <f>VLOOKUP($A87,Category!$A:$E,4,0)</f>
        <v>MS</v>
      </c>
      <c r="X87" s="47" t="str">
        <f>VLOOKUP($A87,Category!$A:$E,5,0)</f>
        <v>MSR</v>
      </c>
      <c r="Y87" s="18" t="str">
        <f>VLOOKUP(A87,PAcc!$A$1:$J$27,10,0)</f>
        <v>#N/A</v>
      </c>
      <c r="Z87" s="42" t="b">
        <f t="shared" si="4"/>
        <v>0</v>
      </c>
      <c r="AA87" s="42"/>
      <c r="AB87" s="42" t="str">
        <f>VLOOKUP(A87,VlookupSheet!$A$383:$A$523,1,0)</f>
        <v>#N/A</v>
      </c>
      <c r="AC87" s="87">
        <v>0.008</v>
      </c>
      <c r="AD87" s="42"/>
      <c r="AE87" s="42"/>
      <c r="AF87" s="42"/>
    </row>
    <row r="88">
      <c r="A88" s="11" t="s">
        <v>804</v>
      </c>
      <c r="B88" s="24" t="s">
        <v>806</v>
      </c>
      <c r="C88" s="25"/>
      <c r="D88" s="11" t="s">
        <v>77</v>
      </c>
      <c r="E88" s="11">
        <f t="shared" si="1"/>
        <v>1</v>
      </c>
      <c r="F88" s="11" t="s">
        <v>768</v>
      </c>
      <c r="G88" s="31">
        <v>1.0</v>
      </c>
      <c r="H88" s="31">
        <v>1.0</v>
      </c>
      <c r="I88" s="34" t="s">
        <v>267</v>
      </c>
      <c r="J88" s="11" t="s">
        <v>87</v>
      </c>
      <c r="K88" s="38">
        <f t="shared" si="5"/>
        <v>1</v>
      </c>
      <c r="L88" s="18" t="s">
        <v>268</v>
      </c>
      <c r="M88" s="18" t="s">
        <v>268</v>
      </c>
      <c r="N88" s="18"/>
      <c r="O88" s="18"/>
      <c r="P88" s="18" t="s">
        <v>769</v>
      </c>
      <c r="Q88" s="42" t="str">
        <f>iferror(VLOOKUP(A88,'Positional cal'!A:H,1,0)=A88,"FALSE")</f>
        <v>FALSE</v>
      </c>
      <c r="R88" s="43" t="b">
        <f t="shared" si="3"/>
        <v>0</v>
      </c>
      <c r="S88" s="46" t="str">
        <f>IFERROR(VLOOKUP($A88,AlgoUi!$A:$X,21,0),"NA")</f>
        <v/>
      </c>
      <c r="T88" s="46" t="str">
        <f>IFERROR(VLOOKUP($A88,AlgoUi!$A:$X,23,0),"")</f>
        <v/>
      </c>
      <c r="U88" s="46" t="str">
        <f>IFERROR(VLOOKUP($A88,AlgoUi!$A:$X,24,0),"")</f>
        <v/>
      </c>
      <c r="V88" s="42" t="str">
        <f>IFERROR(__xludf.DUMMYFUNCTION("IFERROR(VLOOKUP(I88,IMPORTRANGE(""https://docs.google.com/spreadsheets/d/17FOIUYQAjPk1pPQIlvOgqYDBqwUqgb7KWzp4DtVksBk/edit?gid=0#gid=0"",""Servers!A:S""),19,FALSE), ""Not Running"")"),"Not Running")</f>
        <v>Not Running</v>
      </c>
      <c r="W88" s="47" t="str">
        <f>VLOOKUP($A88,Category!$A:$E,4,0)</f>
        <v>MS</v>
      </c>
      <c r="X88" s="47" t="str">
        <f>VLOOKUP($A88,Category!$A:$E,5,0)</f>
        <v>MSR</v>
      </c>
      <c r="Y88" s="18" t="str">
        <f>VLOOKUP(A88,PAcc!$A$1:$J$27,10,0)</f>
        <v>#N/A</v>
      </c>
      <c r="Z88" s="42" t="b">
        <f t="shared" si="4"/>
        <v>0</v>
      </c>
      <c r="AA88" s="42"/>
      <c r="AB88" s="42" t="str">
        <f>VLOOKUP(A88,VlookupSheet!$A$383:$A$523,1,0)</f>
        <v>#N/A</v>
      </c>
      <c r="AC88" s="87">
        <v>0.008</v>
      </c>
      <c r="AD88" s="42"/>
      <c r="AE88" s="42"/>
      <c r="AF88" s="42"/>
    </row>
    <row r="89">
      <c r="A89" s="11" t="s">
        <v>812</v>
      </c>
      <c r="B89" s="24" t="s">
        <v>813</v>
      </c>
      <c r="C89" s="25"/>
      <c r="D89" s="11" t="s">
        <v>77</v>
      </c>
      <c r="E89" s="11">
        <f t="shared" si="1"/>
        <v>1</v>
      </c>
      <c r="F89" s="30" t="s">
        <v>801</v>
      </c>
      <c r="G89" s="31">
        <v>1.0</v>
      </c>
      <c r="H89" s="31">
        <v>1.0</v>
      </c>
      <c r="I89" s="127" t="s">
        <v>267</v>
      </c>
      <c r="J89" s="11" t="s">
        <v>87</v>
      </c>
      <c r="K89" s="38">
        <f t="shared" si="5"/>
        <v>1</v>
      </c>
      <c r="L89" s="18" t="s">
        <v>268</v>
      </c>
      <c r="M89" s="18" t="s">
        <v>268</v>
      </c>
      <c r="N89" s="34"/>
      <c r="O89" s="34"/>
      <c r="P89" s="34" t="s">
        <v>814</v>
      </c>
      <c r="Q89" s="42" t="str">
        <f>iferror(VLOOKUP(A89,'Positional cal'!A:H,1,0)=A89,"FALSE")</f>
        <v>FALSE</v>
      </c>
      <c r="R89" s="43" t="b">
        <f t="shared" si="3"/>
        <v>0</v>
      </c>
      <c r="S89" s="46" t="str">
        <f>IFERROR(VLOOKUP($A89,AlgoUi!$A:$X,21,0),"NA")</f>
        <v/>
      </c>
      <c r="T89" s="46" t="str">
        <f>IFERROR(VLOOKUP($A89,AlgoUi!$A:$X,23,0),"")</f>
        <v/>
      </c>
      <c r="U89" s="46" t="str">
        <f>IFERROR(VLOOKUP($A89,AlgoUi!$A:$X,24,0),"")</f>
        <v/>
      </c>
      <c r="V89" s="42" t="str">
        <f>IFERROR(__xludf.DUMMYFUNCTION("IFERROR(VLOOKUP(I89,IMPORTRANGE(""https://docs.google.com/spreadsheets/d/17FOIUYQAjPk1pPQIlvOgqYDBqwUqgb7KWzp4DtVksBk/edit?gid=0#gid=0"",""Servers!A:S""),19,FALSE), ""Not Running"")"),"Not Running")</f>
        <v>Not Running</v>
      </c>
      <c r="W89" s="47" t="str">
        <f>VLOOKUP($A89,Category!$A:$E,4,0)</f>
        <v>MS</v>
      </c>
      <c r="X89" s="47" t="str">
        <f>VLOOKUP($A89,Category!$A:$E,5,0)</f>
        <v>MSR</v>
      </c>
      <c r="Y89" s="18" t="str">
        <f>VLOOKUP(A89,PAcc!$A$1:$J$27,10,0)</f>
        <v>#N/A</v>
      </c>
      <c r="Z89" s="42" t="b">
        <f t="shared" si="4"/>
        <v>0</v>
      </c>
      <c r="AA89" s="42"/>
      <c r="AB89" s="42" t="str">
        <f>VLOOKUP(A89,VlookupSheet!$A$383:$A$523,1,0)</f>
        <v>#N/A</v>
      </c>
      <c r="AC89" s="87">
        <v>0.008</v>
      </c>
      <c r="AD89" s="42"/>
      <c r="AE89" s="42"/>
      <c r="AF89" s="42"/>
    </row>
    <row r="90">
      <c r="A90" s="30" t="s">
        <v>820</v>
      </c>
      <c r="B90" s="84" t="s">
        <v>821</v>
      </c>
      <c r="C90" s="85"/>
      <c r="D90" s="11" t="s">
        <v>77</v>
      </c>
      <c r="E90" s="11">
        <f t="shared" si="1"/>
        <v>1</v>
      </c>
      <c r="F90" s="30" t="s">
        <v>311</v>
      </c>
      <c r="G90" s="31">
        <v>1.0</v>
      </c>
      <c r="H90" s="31">
        <v>1.0</v>
      </c>
      <c r="I90" s="34" t="s">
        <v>267</v>
      </c>
      <c r="J90" s="11" t="s">
        <v>87</v>
      </c>
      <c r="K90" s="38">
        <f t="shared" si="5"/>
        <v>1</v>
      </c>
      <c r="L90" s="18" t="s">
        <v>268</v>
      </c>
      <c r="M90" s="18" t="s">
        <v>268</v>
      </c>
      <c r="N90" s="74"/>
      <c r="O90" s="74"/>
      <c r="P90" s="74"/>
      <c r="Q90" s="42" t="str">
        <f>iferror(VLOOKUP(A90,'Positional cal'!A:H,1,0)=A90,"FALSE")</f>
        <v>FALSE</v>
      </c>
      <c r="R90" s="43" t="b">
        <f t="shared" si="3"/>
        <v>0</v>
      </c>
      <c r="S90" s="46" t="str">
        <f>IFERROR(VLOOKUP($A90,AlgoUi!$A:$X,21,0),"NA")</f>
        <v/>
      </c>
      <c r="T90" s="46" t="str">
        <f>IFERROR(VLOOKUP($A90,AlgoUi!$A:$X,23,0),"")</f>
        <v/>
      </c>
      <c r="U90" s="46" t="str">
        <f>IFERROR(VLOOKUP($A90,AlgoUi!$A:$X,24,0),"")</f>
        <v/>
      </c>
      <c r="V90" s="42" t="str">
        <f>IFERROR(__xludf.DUMMYFUNCTION("IFERROR(VLOOKUP(I90,IMPORTRANGE(""https://docs.google.com/spreadsheets/d/17FOIUYQAjPk1pPQIlvOgqYDBqwUqgb7KWzp4DtVksBk/edit?gid=0#gid=0"",""Servers!A:S""),19,FALSE), ""Not Running"")"),"Not Running")</f>
        <v>Not Running</v>
      </c>
      <c r="W90" s="47" t="str">
        <f>VLOOKUP($A90,Category!$A:$E,4,0)</f>
        <v>CC</v>
      </c>
      <c r="X90" s="47" t="str">
        <f>VLOOKUP($A90,Category!$A:$E,5,0)</f>
        <v>CCG</v>
      </c>
      <c r="Y90" s="18" t="str">
        <f>VLOOKUP(A90,PAcc!$A$1:$J$27,10,0)</f>
        <v>#N/A</v>
      </c>
      <c r="Z90" s="42" t="b">
        <f t="shared" si="4"/>
        <v>0</v>
      </c>
      <c r="AA90" s="50">
        <v>1.0</v>
      </c>
      <c r="AB90" s="42" t="str">
        <f>VLOOKUP(A90,VlookupSheet!$A$383:$A$523,1,0)</f>
        <v>#N/A</v>
      </c>
      <c r="AC90" s="87">
        <v>0.008</v>
      </c>
      <c r="AD90" s="42"/>
      <c r="AE90" s="42"/>
      <c r="AF90" s="42"/>
    </row>
    <row r="91">
      <c r="A91" s="11" t="s">
        <v>826</v>
      </c>
      <c r="B91" s="24" t="s">
        <v>827</v>
      </c>
      <c r="C91" s="25"/>
      <c r="D91" s="11" t="s">
        <v>77</v>
      </c>
      <c r="E91" s="11">
        <f t="shared" si="1"/>
        <v>1</v>
      </c>
      <c r="F91" s="11" t="s">
        <v>829</v>
      </c>
      <c r="G91" s="31">
        <v>1.0</v>
      </c>
      <c r="H91" s="31">
        <v>1.0</v>
      </c>
      <c r="I91" s="34" t="s">
        <v>267</v>
      </c>
      <c r="J91" s="11" t="s">
        <v>87</v>
      </c>
      <c r="K91" s="38">
        <f t="shared" si="5"/>
        <v>1</v>
      </c>
      <c r="L91" s="18" t="s">
        <v>268</v>
      </c>
      <c r="M91" s="18" t="s">
        <v>268</v>
      </c>
      <c r="N91" s="42"/>
      <c r="O91" s="42"/>
      <c r="P91" s="42"/>
      <c r="Q91" s="42" t="str">
        <f>iferror(VLOOKUP(A91,'Positional cal'!A:H,1,0)=A91,"FALSE")</f>
        <v>FALSE</v>
      </c>
      <c r="R91" s="43" t="b">
        <f t="shared" si="3"/>
        <v>0</v>
      </c>
      <c r="S91" s="46" t="str">
        <f>IFERROR(VLOOKUP($A91,AlgoUi!$A:$X,21,0),"NA")</f>
        <v/>
      </c>
      <c r="T91" s="46" t="str">
        <f>IFERROR(VLOOKUP($A91,AlgoUi!$A:$X,23,0),"")</f>
        <v/>
      </c>
      <c r="U91" s="46" t="str">
        <f>IFERROR(VLOOKUP($A91,AlgoUi!$A:$X,24,0),"")</f>
        <v/>
      </c>
      <c r="V91" s="42" t="str">
        <f>IFERROR(__xludf.DUMMYFUNCTION("IFERROR(VLOOKUP(I91,IMPORTRANGE(""https://docs.google.com/spreadsheets/d/17FOIUYQAjPk1pPQIlvOgqYDBqwUqgb7KWzp4DtVksBk/edit?gid=0#gid=0"",""Servers!A:S""),19,FALSE), ""Not Running"")"),"Not Running")</f>
        <v>Not Running</v>
      </c>
      <c r="W91" s="47" t="str">
        <f>VLOOKUP($A91,Category!$A:$E,4,0)</f>
        <v>CC</v>
      </c>
      <c r="X91" s="47" t="str">
        <f>VLOOKUP($A91,Category!$A:$E,5,0)</f>
        <v>CCG</v>
      </c>
      <c r="Y91" s="18" t="str">
        <f>VLOOKUP(A91,PAcc!$A$1:$J$27,10,0)</f>
        <v>#N/A</v>
      </c>
      <c r="Z91" s="42" t="b">
        <f t="shared" si="4"/>
        <v>0</v>
      </c>
      <c r="AA91" s="50">
        <v>1.0</v>
      </c>
      <c r="AB91" s="42" t="str">
        <f>VLOOKUP(A91,VlookupSheet!$A$383:$A$523,1,0)</f>
        <v>#N/A</v>
      </c>
      <c r="AC91" s="87">
        <v>0.008</v>
      </c>
      <c r="AD91" s="42"/>
      <c r="AE91" s="42"/>
      <c r="AF91" s="42"/>
    </row>
    <row r="92">
      <c r="A92" s="30" t="s">
        <v>833</v>
      </c>
      <c r="B92" s="84" t="s">
        <v>834</v>
      </c>
      <c r="C92" s="85"/>
      <c r="D92" s="11" t="s">
        <v>77</v>
      </c>
      <c r="E92" s="11">
        <f t="shared" si="1"/>
        <v>1</v>
      </c>
      <c r="F92" s="30" t="s">
        <v>835</v>
      </c>
      <c r="G92" s="31">
        <v>1.0</v>
      </c>
      <c r="H92" s="31">
        <v>1.0</v>
      </c>
      <c r="I92" s="34" t="s">
        <v>267</v>
      </c>
      <c r="J92" s="11" t="s">
        <v>87</v>
      </c>
      <c r="K92" s="38">
        <f t="shared" si="5"/>
        <v>1</v>
      </c>
      <c r="L92" s="18" t="s">
        <v>268</v>
      </c>
      <c r="M92" s="18" t="s">
        <v>268</v>
      </c>
      <c r="N92" s="74"/>
      <c r="O92" s="74"/>
      <c r="P92" s="74"/>
      <c r="Q92" s="42" t="str">
        <f>iferror(VLOOKUP(A92,'Positional cal'!A:H,1,0)=A92,"FALSE")</f>
        <v>FALSE</v>
      </c>
      <c r="R92" s="43" t="b">
        <f t="shared" si="3"/>
        <v>0</v>
      </c>
      <c r="S92" s="46" t="str">
        <f>IFERROR(VLOOKUP($A92,AlgoUi!$A:$X,21,0),"NA")</f>
        <v/>
      </c>
      <c r="T92" s="46" t="str">
        <f>IFERROR(VLOOKUP($A92,AlgoUi!$A:$X,23,0),"")</f>
        <v/>
      </c>
      <c r="U92" s="46" t="str">
        <f>IFERROR(VLOOKUP($A92,AlgoUi!$A:$X,24,0),"")</f>
        <v/>
      </c>
      <c r="V92" s="42" t="str">
        <f>IFERROR(__xludf.DUMMYFUNCTION("IFERROR(VLOOKUP(I92,IMPORTRANGE(""https://docs.google.com/spreadsheets/d/17FOIUYQAjPk1pPQIlvOgqYDBqwUqgb7KWzp4DtVksBk/edit?gid=0#gid=0"",""Servers!A:S""),19,FALSE), ""Not Running"")"),"Not Running")</f>
        <v>Not Running</v>
      </c>
      <c r="W92" s="47" t="str">
        <f>VLOOKUP($A92,Category!$A:$E,4,0)</f>
        <v>MS</v>
      </c>
      <c r="X92" s="47" t="str">
        <f>VLOOKUP($A92,Category!$A:$E,5,0)</f>
        <v>MSR</v>
      </c>
      <c r="Y92" s="18" t="str">
        <f>VLOOKUP(A92,PAcc!$A$1:$J$27,10,0)</f>
        <v>#N/A</v>
      </c>
      <c r="Z92" s="42" t="b">
        <f t="shared" si="4"/>
        <v>0</v>
      </c>
      <c r="AA92" s="42"/>
      <c r="AB92" s="42" t="str">
        <f>VLOOKUP(A92,VlookupSheet!$A$383:$A$523,1,0)</f>
        <v>#N/A</v>
      </c>
      <c r="AC92" s="87">
        <v>0.008</v>
      </c>
      <c r="AD92" s="42"/>
      <c r="AE92" s="42"/>
      <c r="AF92" s="42"/>
    </row>
    <row r="93">
      <c r="A93" s="11" t="s">
        <v>839</v>
      </c>
      <c r="B93" s="24" t="s">
        <v>840</v>
      </c>
      <c r="C93" s="25"/>
      <c r="D93" s="11" t="s">
        <v>77</v>
      </c>
      <c r="E93" s="11">
        <f t="shared" si="1"/>
        <v>1</v>
      </c>
      <c r="F93" s="11" t="s">
        <v>841</v>
      </c>
      <c r="G93" s="31">
        <v>1.0</v>
      </c>
      <c r="H93" s="31">
        <v>1.0</v>
      </c>
      <c r="I93" s="11" t="s">
        <v>267</v>
      </c>
      <c r="J93" s="11" t="s">
        <v>87</v>
      </c>
      <c r="K93" s="38">
        <f t="shared" si="5"/>
        <v>1</v>
      </c>
      <c r="L93" s="18" t="s">
        <v>268</v>
      </c>
      <c r="M93" s="18" t="s">
        <v>268</v>
      </c>
      <c r="N93" s="18"/>
      <c r="O93" s="18"/>
      <c r="P93" s="18"/>
      <c r="Q93" s="42" t="str">
        <f>iferror(VLOOKUP(A93,'Positional cal'!A:H,1,0)=A93,"FALSE")</f>
        <v>FALSE</v>
      </c>
      <c r="R93" s="43" t="b">
        <f t="shared" si="3"/>
        <v>0</v>
      </c>
      <c r="S93" s="46" t="str">
        <f>IFERROR(VLOOKUP($A93,AlgoUi!$A:$X,21,0),"NA")</f>
        <v>NA</v>
      </c>
      <c r="T93" s="46" t="str">
        <f>IFERROR(VLOOKUP($A93,AlgoUi!$A:$X,23,0),"")</f>
        <v/>
      </c>
      <c r="U93" s="46" t="str">
        <f>IFERROR(VLOOKUP($A93,AlgoUi!$A:$X,24,0),"")</f>
        <v/>
      </c>
      <c r="V93" s="42" t="str">
        <f>IFERROR(__xludf.DUMMYFUNCTION("IFERROR(VLOOKUP(I93,IMPORTRANGE(""https://docs.google.com/spreadsheets/d/17FOIUYQAjPk1pPQIlvOgqYDBqwUqgb7KWzp4DtVksBk/edit?gid=0#gid=0"",""Servers!A:S""),19,FALSE), ""Not Running"")"),"Not Running")</f>
        <v>Not Running</v>
      </c>
      <c r="W93" s="47" t="str">
        <f>VLOOKUP($A93,Category!$A:$E,4,0)</f>
        <v>MS</v>
      </c>
      <c r="X93" s="47" t="str">
        <f>VLOOKUP($A93,Category!$A:$E,5,0)</f>
        <v>MSR</v>
      </c>
      <c r="Y93" s="18" t="str">
        <f>VLOOKUP(A93,PAcc!$A$1:$J$27,10,0)</f>
        <v>#N/A</v>
      </c>
      <c r="Z93" s="42" t="b">
        <f t="shared" si="4"/>
        <v>0</v>
      </c>
      <c r="AA93" s="42"/>
      <c r="AB93" s="42" t="str">
        <f>VLOOKUP(A93,VlookupSheet!$A$383:$A$523,1,0)</f>
        <v>#N/A</v>
      </c>
      <c r="AC93" s="87">
        <v>0.008</v>
      </c>
      <c r="AD93" s="42"/>
      <c r="AE93" s="42"/>
      <c r="AF93" s="42"/>
    </row>
    <row r="94">
      <c r="A94" s="11" t="s">
        <v>845</v>
      </c>
      <c r="B94" s="24" t="s">
        <v>846</v>
      </c>
      <c r="C94" s="25"/>
      <c r="D94" s="11" t="s">
        <v>77</v>
      </c>
      <c r="E94" s="11">
        <f t="shared" si="1"/>
        <v>1</v>
      </c>
      <c r="F94" s="11" t="s">
        <v>716</v>
      </c>
      <c r="G94" s="31">
        <v>1.0</v>
      </c>
      <c r="H94" s="31">
        <v>1.0</v>
      </c>
      <c r="I94" s="11" t="s">
        <v>267</v>
      </c>
      <c r="J94" s="11" t="s">
        <v>87</v>
      </c>
      <c r="K94" s="38">
        <f t="shared" si="5"/>
        <v>1</v>
      </c>
      <c r="L94" s="18" t="s">
        <v>268</v>
      </c>
      <c r="M94" s="18" t="s">
        <v>268</v>
      </c>
      <c r="N94" s="18"/>
      <c r="O94" s="18"/>
      <c r="P94" s="18" t="s">
        <v>848</v>
      </c>
      <c r="Q94" s="42" t="str">
        <f>iferror(VLOOKUP(A94,'Positional cal'!A:H,1,0)=A94,"FALSE")</f>
        <v>FALSE</v>
      </c>
      <c r="R94" s="43" t="b">
        <f t="shared" si="3"/>
        <v>0</v>
      </c>
      <c r="S94" s="46" t="str">
        <f>IFERROR(VLOOKUP($A94,AlgoUi!$A:$X,21,0),"NA")</f>
        <v/>
      </c>
      <c r="T94" s="46" t="str">
        <f>IFERROR(VLOOKUP($A94,AlgoUi!$A:$X,23,0),"")</f>
        <v/>
      </c>
      <c r="U94" s="46" t="str">
        <f>IFERROR(VLOOKUP($A94,AlgoUi!$A:$X,24,0),"")</f>
        <v/>
      </c>
      <c r="V94" s="42" t="str">
        <f>IFERROR(__xludf.DUMMYFUNCTION("IFERROR(VLOOKUP(I94,IMPORTRANGE(""https://docs.google.com/spreadsheets/d/17FOIUYQAjPk1pPQIlvOgqYDBqwUqgb7KWzp4DtVksBk/edit?gid=0#gid=0"",""Servers!A:S""),19,FALSE), ""Not Running"")"),"Not Running")</f>
        <v>Not Running</v>
      </c>
      <c r="W94" s="47" t="str">
        <f>VLOOKUP($A94,Category!$A:$E,4,0)</f>
        <v>MS</v>
      </c>
      <c r="X94" s="47" t="str">
        <f>VLOOKUP($A94,Category!$A:$E,5,0)</f>
        <v>MSS</v>
      </c>
      <c r="Y94" s="18" t="str">
        <f>VLOOKUP(A94,PAcc!$A$1:$J$27,10,0)</f>
        <v>#N/A</v>
      </c>
      <c r="Z94" s="42" t="b">
        <f t="shared" si="4"/>
        <v>0</v>
      </c>
      <c r="AA94" s="42"/>
      <c r="AB94" s="42" t="str">
        <f>VLOOKUP(A94,VlookupSheet!$A$383:$A$523,1,0)</f>
        <v>#N/A</v>
      </c>
      <c r="AC94" s="87">
        <v>0.008</v>
      </c>
      <c r="AD94" s="42"/>
      <c r="AE94" s="42"/>
      <c r="AF94" s="42"/>
    </row>
    <row r="95">
      <c r="A95" s="11" t="s">
        <v>850</v>
      </c>
      <c r="B95" s="24" t="s">
        <v>851</v>
      </c>
      <c r="C95" s="25"/>
      <c r="D95" s="11" t="s">
        <v>77</v>
      </c>
      <c r="E95" s="11">
        <f t="shared" si="1"/>
        <v>1</v>
      </c>
      <c r="F95" s="11" t="s">
        <v>716</v>
      </c>
      <c r="G95" s="31">
        <v>1.0</v>
      </c>
      <c r="H95" s="31">
        <v>1.0</v>
      </c>
      <c r="I95" s="11" t="s">
        <v>267</v>
      </c>
      <c r="J95" s="11" t="s">
        <v>87</v>
      </c>
      <c r="K95" s="38">
        <f t="shared" si="5"/>
        <v>1</v>
      </c>
      <c r="L95" s="18" t="s">
        <v>268</v>
      </c>
      <c r="M95" s="18" t="s">
        <v>268</v>
      </c>
      <c r="N95" s="18"/>
      <c r="O95" s="18"/>
      <c r="P95" s="18" t="s">
        <v>848</v>
      </c>
      <c r="Q95" s="42" t="str">
        <f>iferror(VLOOKUP(A95,'Positional cal'!A:H,1,0)=A95,"FALSE")</f>
        <v>FALSE</v>
      </c>
      <c r="R95" s="43" t="b">
        <f t="shared" si="3"/>
        <v>0</v>
      </c>
      <c r="S95" s="46" t="str">
        <f>IFERROR(VLOOKUP($A95,AlgoUi!$A:$X,21,0),"NA")</f>
        <v/>
      </c>
      <c r="T95" s="46" t="str">
        <f>IFERROR(VLOOKUP($A95,AlgoUi!$A:$X,23,0),"")</f>
        <v/>
      </c>
      <c r="U95" s="46" t="str">
        <f>IFERROR(VLOOKUP($A95,AlgoUi!$A:$X,24,0),"")</f>
        <v/>
      </c>
      <c r="V95" s="42" t="str">
        <f>IFERROR(__xludf.DUMMYFUNCTION("IFERROR(VLOOKUP(I95,IMPORTRANGE(""https://docs.google.com/spreadsheets/d/17FOIUYQAjPk1pPQIlvOgqYDBqwUqgb7KWzp4DtVksBk/edit?gid=0#gid=0"",""Servers!A:S""),19,FALSE), ""Not Running"")"),"Not Running")</f>
        <v>Not Running</v>
      </c>
      <c r="W95" s="47" t="str">
        <f>VLOOKUP($A95,Category!$A:$E,4,0)</f>
        <v>MS</v>
      </c>
      <c r="X95" s="47" t="str">
        <f>VLOOKUP($A95,Category!$A:$E,5,0)</f>
        <v>MSS</v>
      </c>
      <c r="Y95" s="18" t="str">
        <f>VLOOKUP(A95,PAcc!$A$1:$J$27,10,0)</f>
        <v>#N/A</v>
      </c>
      <c r="Z95" s="42" t="b">
        <f t="shared" si="4"/>
        <v>0</v>
      </c>
      <c r="AA95" s="42"/>
      <c r="AB95" s="42" t="str">
        <f>VLOOKUP(A95,VlookupSheet!$A$383:$A$523,1,0)</f>
        <v>#N/A</v>
      </c>
      <c r="AC95" s="50">
        <v>0.01</v>
      </c>
      <c r="AD95" s="42"/>
      <c r="AE95" s="42"/>
      <c r="AF95" s="42"/>
    </row>
    <row r="96">
      <c r="A96" s="11" t="s">
        <v>705</v>
      </c>
      <c r="B96" s="24" t="s">
        <v>856</v>
      </c>
      <c r="C96" s="25"/>
      <c r="D96" s="11" t="s">
        <v>77</v>
      </c>
      <c r="E96" s="11">
        <f t="shared" si="1"/>
        <v>1</v>
      </c>
      <c r="F96" s="11" t="s">
        <v>751</v>
      </c>
      <c r="G96" s="31">
        <v>1.0</v>
      </c>
      <c r="H96" s="31">
        <v>1.0</v>
      </c>
      <c r="I96" s="11" t="s">
        <v>267</v>
      </c>
      <c r="J96" s="11" t="s">
        <v>87</v>
      </c>
      <c r="K96" s="38">
        <f t="shared" si="5"/>
        <v>1</v>
      </c>
      <c r="L96" s="18" t="s">
        <v>268</v>
      </c>
      <c r="M96" s="18" t="s">
        <v>268</v>
      </c>
      <c r="N96" s="42"/>
      <c r="O96" s="42"/>
      <c r="P96" s="42"/>
      <c r="Q96" s="42" t="str">
        <f>iferror(VLOOKUP(A96,'Positional cal'!A:H,1,0)=A96,"FALSE")</f>
        <v>FALSE</v>
      </c>
      <c r="R96" s="43" t="b">
        <f t="shared" si="3"/>
        <v>0</v>
      </c>
      <c r="S96" s="46" t="str">
        <f>IFERROR(VLOOKUP($A96,AlgoUi!$A:$X,21,0),"NA")</f>
        <v/>
      </c>
      <c r="T96" s="46" t="str">
        <f>IFERROR(VLOOKUP($A96,AlgoUi!$A:$X,23,0),"")</f>
        <v/>
      </c>
      <c r="U96" s="46" t="str">
        <f>IFERROR(VLOOKUP($A96,AlgoUi!$A:$X,24,0),"")</f>
        <v/>
      </c>
      <c r="V96" s="42" t="str">
        <f>IFERROR(__xludf.DUMMYFUNCTION("IFERROR(VLOOKUP(I96,IMPORTRANGE(""https://docs.google.com/spreadsheets/d/17FOIUYQAjPk1pPQIlvOgqYDBqwUqgb7KWzp4DtVksBk/edit?gid=0#gid=0"",""Servers!A:S""),19,FALSE), ""Not Running"")"),"Not Running")</f>
        <v>Not Running</v>
      </c>
      <c r="W96" s="47" t="str">
        <f>VLOOKUP($A96,Category!$A:$E,4,0)</f>
        <v>MS</v>
      </c>
      <c r="X96" s="47" t="str">
        <f>VLOOKUP($A96,Category!$A:$E,5,0)</f>
        <v>MSR</v>
      </c>
      <c r="Y96" s="18" t="str">
        <f>VLOOKUP(A96,PAcc!$A$1:$J$27,10,0)</f>
        <v>#N/A</v>
      </c>
      <c r="Z96" s="42" t="b">
        <f t="shared" si="4"/>
        <v>0</v>
      </c>
      <c r="AA96" s="42"/>
      <c r="AB96" s="42" t="str">
        <f>VLOOKUP(A96,VlookupSheet!$A$383:$A$523,1,0)</f>
        <v>#N/A</v>
      </c>
      <c r="AC96" s="50">
        <v>0.01</v>
      </c>
      <c r="AD96" s="42"/>
      <c r="AE96" s="42"/>
      <c r="AF96" s="42"/>
    </row>
    <row r="97">
      <c r="A97" s="75" t="s">
        <v>859</v>
      </c>
      <c r="B97" s="145" t="s">
        <v>860</v>
      </c>
      <c r="C97" s="25"/>
      <c r="D97" s="11" t="s">
        <v>77</v>
      </c>
      <c r="E97" s="11">
        <f t="shared" si="1"/>
        <v>1</v>
      </c>
      <c r="F97" s="11" t="s">
        <v>716</v>
      </c>
      <c r="G97" s="31">
        <v>1.0</v>
      </c>
      <c r="H97" s="31">
        <v>1.0</v>
      </c>
      <c r="I97" s="11" t="s">
        <v>267</v>
      </c>
      <c r="J97" s="11" t="s">
        <v>87</v>
      </c>
      <c r="K97" s="38">
        <f t="shared" si="5"/>
        <v>1</v>
      </c>
      <c r="L97" s="18" t="s">
        <v>268</v>
      </c>
      <c r="M97" s="18" t="s">
        <v>268</v>
      </c>
      <c r="N97" s="18"/>
      <c r="O97" s="18"/>
      <c r="P97" s="18" t="s">
        <v>848</v>
      </c>
      <c r="Q97" s="42" t="str">
        <f>iferror(VLOOKUP(A97,'Positional cal'!A:H,1,0)=A97,"FALSE")</f>
        <v>FALSE</v>
      </c>
      <c r="R97" s="43" t="b">
        <f t="shared" si="3"/>
        <v>0</v>
      </c>
      <c r="S97" s="46" t="str">
        <f>IFERROR(VLOOKUP($A97,AlgoUi!$A:$X,21,0),"NA")</f>
        <v/>
      </c>
      <c r="T97" s="46" t="str">
        <f>IFERROR(VLOOKUP($A97,AlgoUi!$A:$X,23,0),"")</f>
        <v/>
      </c>
      <c r="U97" s="46" t="str">
        <f>IFERROR(VLOOKUP($A97,AlgoUi!$A:$X,24,0),"")</f>
        <v/>
      </c>
      <c r="V97" s="42" t="str">
        <f>IFERROR(__xludf.DUMMYFUNCTION("IFERROR(VLOOKUP(I97,IMPORTRANGE(""https://docs.google.com/spreadsheets/d/17FOIUYQAjPk1pPQIlvOgqYDBqwUqgb7KWzp4DtVksBk/edit?gid=0#gid=0"",""Servers!A:S""),19,FALSE), ""Not Running"")"),"Not Running")</f>
        <v>Not Running</v>
      </c>
      <c r="W97" s="47" t="str">
        <f>VLOOKUP($A97,Category!$A:$E,4,0)</f>
        <v>MS</v>
      </c>
      <c r="X97" s="47" t="str">
        <f>VLOOKUP($A97,Category!$A:$E,5,0)</f>
        <v>MSS</v>
      </c>
      <c r="Y97" s="18" t="str">
        <f>VLOOKUP(A97,PAcc!$A$1:$J$27,10,0)</f>
        <v>#N/A</v>
      </c>
      <c r="Z97" s="42" t="b">
        <f t="shared" si="4"/>
        <v>0</v>
      </c>
      <c r="AA97" s="42"/>
      <c r="AB97" s="42" t="str">
        <f>VLOOKUP(A97,VlookupSheet!$A$383:$A$523,1,0)</f>
        <v>#N/A</v>
      </c>
      <c r="AC97" s="50">
        <v>0.01</v>
      </c>
      <c r="AD97" s="42"/>
      <c r="AE97" s="42"/>
      <c r="AF97" s="42"/>
    </row>
    <row r="98">
      <c r="A98" s="11" t="s">
        <v>863</v>
      </c>
      <c r="B98" s="24" t="s">
        <v>864</v>
      </c>
      <c r="C98" s="25"/>
      <c r="D98" s="11" t="s">
        <v>865</v>
      </c>
      <c r="E98" s="11">
        <f t="shared" si="1"/>
        <v>0.8</v>
      </c>
      <c r="F98" s="11" t="s">
        <v>716</v>
      </c>
      <c r="G98" s="31">
        <v>1.0</v>
      </c>
      <c r="H98" s="31">
        <v>1.0</v>
      </c>
      <c r="I98" s="11" t="s">
        <v>267</v>
      </c>
      <c r="J98" s="11" t="s">
        <v>87</v>
      </c>
      <c r="K98" s="38">
        <f t="shared" si="5"/>
        <v>1</v>
      </c>
      <c r="L98" s="18" t="s">
        <v>268</v>
      </c>
      <c r="M98" s="18" t="s">
        <v>268</v>
      </c>
      <c r="N98" s="18"/>
      <c r="O98" s="18"/>
      <c r="P98" s="18" t="s">
        <v>848</v>
      </c>
      <c r="Q98" s="42" t="str">
        <f>iferror(VLOOKUP(A98,'Positional cal'!A:H,1,0)=A98,"FALSE")</f>
        <v>FALSE</v>
      </c>
      <c r="R98" s="43" t="b">
        <f t="shared" si="3"/>
        <v>0</v>
      </c>
      <c r="S98" s="46" t="str">
        <f>IFERROR(VLOOKUP($A98,AlgoUi!$A:$X,21,0),"NA")</f>
        <v/>
      </c>
      <c r="T98" s="46" t="str">
        <f>IFERROR(VLOOKUP($A98,AlgoUi!$A:$X,23,0),"")</f>
        <v/>
      </c>
      <c r="U98" s="46" t="str">
        <f>IFERROR(VLOOKUP($A98,AlgoUi!$A:$X,24,0),"")</f>
        <v/>
      </c>
      <c r="V98" s="42" t="str">
        <f>IFERROR(__xludf.DUMMYFUNCTION("IFERROR(VLOOKUP(I98,IMPORTRANGE(""https://docs.google.com/spreadsheets/d/17FOIUYQAjPk1pPQIlvOgqYDBqwUqgb7KWzp4DtVksBk/edit?gid=0#gid=0"",""Servers!A:S""),19,FALSE), ""Not Running"")"),"Not Running")</f>
        <v>Not Running</v>
      </c>
      <c r="W98" s="47" t="str">
        <f>VLOOKUP($A98,Category!$A:$E,4,0)</f>
        <v>MS</v>
      </c>
      <c r="X98" s="47" t="str">
        <f>VLOOKUP($A98,Category!$A:$E,5,0)</f>
        <v>MSS</v>
      </c>
      <c r="Y98" s="18" t="str">
        <f>VLOOKUP(A98,PAcc!$A$1:$J$27,10,0)</f>
        <v>#N/A</v>
      </c>
      <c r="Z98" s="42" t="b">
        <f t="shared" si="4"/>
        <v>0</v>
      </c>
      <c r="AA98" s="42"/>
      <c r="AB98" s="42" t="str">
        <f>VLOOKUP(A98,VlookupSheet!$A$383:$A$523,1,0)</f>
        <v>#N/A</v>
      </c>
      <c r="AC98" s="50">
        <v>0.01</v>
      </c>
      <c r="AD98" s="42"/>
      <c r="AE98" s="42"/>
      <c r="AF98" s="42"/>
    </row>
    <row r="99">
      <c r="A99" s="11" t="s">
        <v>869</v>
      </c>
      <c r="B99" s="24" t="s">
        <v>870</v>
      </c>
      <c r="C99" s="25"/>
      <c r="D99" s="11" t="s">
        <v>865</v>
      </c>
      <c r="E99" s="11">
        <f t="shared" si="1"/>
        <v>0.8</v>
      </c>
      <c r="F99" s="11" t="s">
        <v>716</v>
      </c>
      <c r="G99" s="31">
        <v>1.0</v>
      </c>
      <c r="H99" s="31">
        <v>1.0</v>
      </c>
      <c r="I99" s="11" t="s">
        <v>267</v>
      </c>
      <c r="J99" s="11" t="s">
        <v>87</v>
      </c>
      <c r="K99" s="38">
        <f t="shared" si="5"/>
        <v>1</v>
      </c>
      <c r="L99" s="18" t="s">
        <v>268</v>
      </c>
      <c r="M99" s="18" t="s">
        <v>268</v>
      </c>
      <c r="N99" s="18"/>
      <c r="O99" s="18"/>
      <c r="P99" s="18" t="s">
        <v>848</v>
      </c>
      <c r="Q99" s="42" t="str">
        <f>iferror(VLOOKUP(A99,'Positional cal'!A:H,1,0)=A99,"FALSE")</f>
        <v>FALSE</v>
      </c>
      <c r="R99" s="43" t="b">
        <f t="shared" si="3"/>
        <v>0</v>
      </c>
      <c r="S99" s="46" t="str">
        <f>IFERROR(VLOOKUP($A99,AlgoUi!$A:$X,21,0),"NA")</f>
        <v/>
      </c>
      <c r="T99" s="46" t="str">
        <f>IFERROR(VLOOKUP($A99,AlgoUi!$A:$X,23,0),"")</f>
        <v/>
      </c>
      <c r="U99" s="46" t="str">
        <f>IFERROR(VLOOKUP($A99,AlgoUi!$A:$X,24,0),"")</f>
        <v/>
      </c>
      <c r="V99" s="42" t="str">
        <f>IFERROR(__xludf.DUMMYFUNCTION("IFERROR(VLOOKUP(I99,IMPORTRANGE(""https://docs.google.com/spreadsheets/d/17FOIUYQAjPk1pPQIlvOgqYDBqwUqgb7KWzp4DtVksBk/edit?gid=0#gid=0"",""Servers!A:S""),19,FALSE), ""Not Running"")"),"Not Running")</f>
        <v>Not Running</v>
      </c>
      <c r="W99" s="47" t="str">
        <f>VLOOKUP($A99,Category!$A:$E,4,0)</f>
        <v>MS</v>
      </c>
      <c r="X99" s="47" t="str">
        <f>VLOOKUP($A99,Category!$A:$E,5,0)</f>
        <v>MSS</v>
      </c>
      <c r="Y99" s="18" t="str">
        <f>VLOOKUP(A99,PAcc!$A$1:$J$27,10,0)</f>
        <v>#N/A</v>
      </c>
      <c r="Z99" s="42" t="b">
        <f t="shared" si="4"/>
        <v>0</v>
      </c>
      <c r="AA99" s="42"/>
      <c r="AB99" s="42" t="str">
        <f>VLOOKUP(A99,VlookupSheet!$A$383:$A$523,1,0)</f>
        <v>#N/A</v>
      </c>
      <c r="AC99" s="50">
        <v>0.01</v>
      </c>
      <c r="AD99" s="42"/>
      <c r="AE99" s="42"/>
      <c r="AF99" s="42"/>
    </row>
    <row r="100">
      <c r="A100" s="11" t="s">
        <v>708</v>
      </c>
      <c r="B100" s="24" t="s">
        <v>873</v>
      </c>
      <c r="C100" s="25"/>
      <c r="D100" s="11" t="s">
        <v>874</v>
      </c>
      <c r="E100" s="11">
        <f t="shared" si="1"/>
        <v>30</v>
      </c>
      <c r="F100" s="11" t="s">
        <v>875</v>
      </c>
      <c r="G100" s="31">
        <v>1.0</v>
      </c>
      <c r="H100" s="31">
        <v>1.0</v>
      </c>
      <c r="I100" s="11" t="s">
        <v>267</v>
      </c>
      <c r="J100" s="11" t="s">
        <v>87</v>
      </c>
      <c r="K100" s="38">
        <f t="shared" si="5"/>
        <v>1</v>
      </c>
      <c r="L100" s="18" t="s">
        <v>268</v>
      </c>
      <c r="M100" s="18" t="s">
        <v>268</v>
      </c>
      <c r="N100" s="18"/>
      <c r="O100" s="18"/>
      <c r="P100" s="18"/>
      <c r="Q100" s="42" t="str">
        <f>iferror(VLOOKUP(A100,'Positional cal'!A:H,1,0)=A100,"FALSE")</f>
        <v>FALSE</v>
      </c>
      <c r="R100" s="43" t="b">
        <f t="shared" si="3"/>
        <v>0</v>
      </c>
      <c r="S100" s="46" t="str">
        <f>IFERROR(VLOOKUP($A100,AlgoUi!$A:$X,21,0),"NA")</f>
        <v/>
      </c>
      <c r="T100" s="46" t="str">
        <f>IFERROR(VLOOKUP($A100,AlgoUi!$A:$X,23,0),"")</f>
        <v/>
      </c>
      <c r="U100" s="46" t="str">
        <f>IFERROR(VLOOKUP($A100,AlgoUi!$A:$X,24,0),"")</f>
        <v/>
      </c>
      <c r="V100" s="42" t="str">
        <f>IFERROR(__xludf.DUMMYFUNCTION("IFERROR(VLOOKUP(I100,IMPORTRANGE(""https://docs.google.com/spreadsheets/d/17FOIUYQAjPk1pPQIlvOgqYDBqwUqgb7KWzp4DtVksBk/edit?gid=0#gid=0"",""Servers!A:S""),19,FALSE), ""Not Running"")"),"Not Running")</f>
        <v>Not Running</v>
      </c>
      <c r="W100" s="47" t="str">
        <f>VLOOKUP($A100,Category!$A:$E,4,0)</f>
        <v>MS</v>
      </c>
      <c r="X100" s="47" t="str">
        <f>VLOOKUP($A100,Category!$A:$E,5,0)</f>
        <v>MSJ</v>
      </c>
      <c r="Y100" s="18" t="str">
        <f>VLOOKUP(A100,PAcc!$A$1:$J$27,10,0)</f>
        <v>#N/A</v>
      </c>
      <c r="Z100" s="42" t="b">
        <f t="shared" si="4"/>
        <v>0</v>
      </c>
      <c r="AA100" s="42"/>
      <c r="AB100" s="42" t="str">
        <f>VLOOKUP(A100,VlookupSheet!$A$383:$A$523,1,0)</f>
        <v>#N/A</v>
      </c>
      <c r="AC100" s="50">
        <v>0.01</v>
      </c>
      <c r="AD100" s="42"/>
      <c r="AE100" s="42"/>
      <c r="AF100" s="42"/>
    </row>
    <row r="101">
      <c r="A101" s="11" t="s">
        <v>878</v>
      </c>
      <c r="B101" s="24" t="s">
        <v>879</v>
      </c>
      <c r="C101" s="25"/>
      <c r="D101" s="11" t="s">
        <v>77</v>
      </c>
      <c r="E101" s="11">
        <f t="shared" si="1"/>
        <v>1</v>
      </c>
      <c r="F101" s="30" t="s">
        <v>311</v>
      </c>
      <c r="G101" s="31">
        <v>1.0</v>
      </c>
      <c r="H101" s="31">
        <v>1.0</v>
      </c>
      <c r="I101" s="11" t="s">
        <v>267</v>
      </c>
      <c r="J101" s="11" t="s">
        <v>87</v>
      </c>
      <c r="K101" s="38">
        <f t="shared" si="5"/>
        <v>1</v>
      </c>
      <c r="L101" s="18" t="s">
        <v>268</v>
      </c>
      <c r="M101" s="18" t="s">
        <v>268</v>
      </c>
      <c r="N101" s="42"/>
      <c r="O101" s="42"/>
      <c r="P101" s="42"/>
      <c r="Q101" s="42" t="str">
        <f>iferror(VLOOKUP(A101,'Positional cal'!A:H,1,0)=A101,"FALSE")</f>
        <v>FALSE</v>
      </c>
      <c r="R101" s="43" t="b">
        <f t="shared" si="3"/>
        <v>0</v>
      </c>
      <c r="S101" s="46" t="str">
        <f>IFERROR(VLOOKUP($A101,AlgoUi!$A:$X,21,0),"NA")</f>
        <v/>
      </c>
      <c r="T101" s="46" t="str">
        <f>IFERROR(VLOOKUP($A101,AlgoUi!$A:$X,23,0),"")</f>
        <v/>
      </c>
      <c r="U101" s="46" t="str">
        <f>IFERROR(VLOOKUP($A101,AlgoUi!$A:$X,24,0),"")</f>
        <v/>
      </c>
      <c r="V101" s="42" t="str">
        <f>IFERROR(__xludf.DUMMYFUNCTION("IFERROR(VLOOKUP(I101,IMPORTRANGE(""https://docs.google.com/spreadsheets/d/17FOIUYQAjPk1pPQIlvOgqYDBqwUqgb7KWzp4DtVksBk/edit?gid=0#gid=0"",""Servers!A:S""),19,FALSE), ""Not Running"")"),"Not Running")</f>
        <v>Not Running</v>
      </c>
      <c r="W101" s="47" t="str">
        <f>VLOOKUP($A101,Category!$A:$E,4,0)</f>
        <v>MS</v>
      </c>
      <c r="X101" s="47" t="str">
        <f>VLOOKUP($A101,Category!$A:$E,5,0)</f>
        <v>MSR</v>
      </c>
      <c r="Y101" s="18" t="str">
        <f>VLOOKUP(A101,PAcc!$A$1:$J$27,10,0)</f>
        <v>#N/A</v>
      </c>
      <c r="Z101" s="42" t="b">
        <f t="shared" si="4"/>
        <v>0</v>
      </c>
      <c r="AA101" s="42"/>
      <c r="AB101" s="42" t="str">
        <f>VLOOKUP(A101,VlookupSheet!$A$383:$A$523,1,0)</f>
        <v>#N/A</v>
      </c>
      <c r="AC101" s="50">
        <v>0.01</v>
      </c>
      <c r="AD101" s="42"/>
      <c r="AE101" s="42"/>
      <c r="AF101" s="42"/>
    </row>
    <row r="102">
      <c r="A102" s="11" t="s">
        <v>884</v>
      </c>
      <c r="B102" s="24" t="s">
        <v>885</v>
      </c>
      <c r="C102" s="25"/>
      <c r="D102" s="11" t="s">
        <v>77</v>
      </c>
      <c r="E102" s="11">
        <f t="shared" si="1"/>
        <v>1</v>
      </c>
      <c r="F102" s="24" t="s">
        <v>886</v>
      </c>
      <c r="G102" s="31">
        <v>1.0</v>
      </c>
      <c r="H102" s="31">
        <v>1.0</v>
      </c>
      <c r="I102" s="11" t="s">
        <v>267</v>
      </c>
      <c r="J102" s="11" t="s">
        <v>87</v>
      </c>
      <c r="K102" s="38">
        <f t="shared" si="5"/>
        <v>1</v>
      </c>
      <c r="L102" s="18" t="s">
        <v>268</v>
      </c>
      <c r="M102" s="18" t="s">
        <v>268</v>
      </c>
      <c r="N102" s="18"/>
      <c r="O102" s="18"/>
      <c r="P102" s="18" t="s">
        <v>848</v>
      </c>
      <c r="Q102" s="42" t="str">
        <f>iferror(VLOOKUP(A102,'Positional cal'!A:H,1,0)=A102,"FALSE")</f>
        <v>FALSE</v>
      </c>
      <c r="R102" s="43" t="b">
        <f t="shared" si="3"/>
        <v>0</v>
      </c>
      <c r="S102" s="46" t="str">
        <f>IFERROR(VLOOKUP($A102,AlgoUi!$A:$X,21,0),"NA")</f>
        <v/>
      </c>
      <c r="T102" s="46" t="str">
        <f>IFERROR(VLOOKUP($A102,AlgoUi!$A:$X,23,0),"")</f>
        <v/>
      </c>
      <c r="U102" s="46" t="str">
        <f>IFERROR(VLOOKUP($A102,AlgoUi!$A:$X,24,0),"")</f>
        <v/>
      </c>
      <c r="V102" s="42" t="str">
        <f>IFERROR(__xludf.DUMMYFUNCTION("IFERROR(VLOOKUP(I102,IMPORTRANGE(""https://docs.google.com/spreadsheets/d/17FOIUYQAjPk1pPQIlvOgqYDBqwUqgb7KWzp4DtVksBk/edit?gid=0#gid=0"",""Servers!A:S""),19,FALSE), ""Not Running"")"),"Not Running")</f>
        <v>Not Running</v>
      </c>
      <c r="W102" s="47" t="str">
        <f>VLOOKUP($A102,Category!$A:$E,4,0)</f>
        <v>MS</v>
      </c>
      <c r="X102" s="47" t="str">
        <f>VLOOKUP($A102,Category!$A:$E,5,0)</f>
        <v>MSS</v>
      </c>
      <c r="Y102" s="18" t="str">
        <f>VLOOKUP(A102,PAcc!$A$1:$J$27,10,0)</f>
        <v>#N/A</v>
      </c>
      <c r="Z102" s="42" t="b">
        <f t="shared" si="4"/>
        <v>0</v>
      </c>
      <c r="AA102" s="42"/>
      <c r="AB102" s="42" t="str">
        <f>VLOOKUP(A102,VlookupSheet!$A$383:$A$523,1,0)</f>
        <v>#N/A</v>
      </c>
      <c r="AC102" s="50">
        <v>0.01</v>
      </c>
      <c r="AD102" s="42"/>
      <c r="AE102" s="42"/>
      <c r="AF102" s="42"/>
    </row>
    <row r="103">
      <c r="A103" s="11" t="s">
        <v>889</v>
      </c>
      <c r="B103" s="24" t="s">
        <v>891</v>
      </c>
      <c r="C103" s="25"/>
      <c r="D103" s="11" t="s">
        <v>77</v>
      </c>
      <c r="E103" s="11">
        <f t="shared" si="1"/>
        <v>1</v>
      </c>
      <c r="F103" s="24" t="s">
        <v>886</v>
      </c>
      <c r="G103" s="31">
        <v>1.0</v>
      </c>
      <c r="H103" s="31">
        <v>1.0</v>
      </c>
      <c r="I103" s="11" t="s">
        <v>267</v>
      </c>
      <c r="J103" s="11" t="s">
        <v>87</v>
      </c>
      <c r="K103" s="38">
        <f t="shared" si="5"/>
        <v>1</v>
      </c>
      <c r="L103" s="18" t="s">
        <v>268</v>
      </c>
      <c r="M103" s="18" t="s">
        <v>268</v>
      </c>
      <c r="N103" s="18"/>
      <c r="O103" s="18"/>
      <c r="P103" s="18" t="s">
        <v>848</v>
      </c>
      <c r="Q103" s="42" t="str">
        <f>iferror(VLOOKUP(A103,'Positional cal'!A:H,1,0)=A103,"FALSE")</f>
        <v>FALSE</v>
      </c>
      <c r="R103" s="43" t="b">
        <f t="shared" si="3"/>
        <v>0</v>
      </c>
      <c r="S103" s="46" t="str">
        <f>IFERROR(VLOOKUP($A103,AlgoUi!$A:$X,21,0),"NA")</f>
        <v/>
      </c>
      <c r="T103" s="46" t="str">
        <f>IFERROR(VLOOKUP($A103,AlgoUi!$A:$X,23,0),"")</f>
        <v/>
      </c>
      <c r="U103" s="46" t="str">
        <f>IFERROR(VLOOKUP($A103,AlgoUi!$A:$X,24,0),"")</f>
        <v/>
      </c>
      <c r="V103" s="42" t="str">
        <f>IFERROR(__xludf.DUMMYFUNCTION("IFERROR(VLOOKUP(I103,IMPORTRANGE(""https://docs.google.com/spreadsheets/d/17FOIUYQAjPk1pPQIlvOgqYDBqwUqgb7KWzp4DtVksBk/edit?gid=0#gid=0"",""Servers!A:S""),19,FALSE), ""Not Running"")"),"Not Running")</f>
        <v>Not Running</v>
      </c>
      <c r="W103" s="47" t="str">
        <f>VLOOKUP($A103,Category!$A:$E,4,0)</f>
        <v>MS</v>
      </c>
      <c r="X103" s="47" t="str">
        <f>VLOOKUP($A103,Category!$A:$E,5,0)</f>
        <v>MSS</v>
      </c>
      <c r="Y103" s="18" t="str">
        <f>VLOOKUP(A103,PAcc!$A$1:$J$27,10,0)</f>
        <v>#N/A</v>
      </c>
      <c r="Z103" s="42" t="b">
        <f t="shared" si="4"/>
        <v>0</v>
      </c>
      <c r="AA103" s="42"/>
      <c r="AB103" s="42" t="str">
        <f>VLOOKUP(A103,VlookupSheet!$A$383:$A$523,1,0)</f>
        <v>#N/A</v>
      </c>
      <c r="AC103" s="50">
        <v>0.01</v>
      </c>
      <c r="AD103" s="42"/>
      <c r="AE103" s="42"/>
      <c r="AF103" s="42"/>
    </row>
    <row r="104">
      <c r="A104" s="11" t="s">
        <v>699</v>
      </c>
      <c r="B104" s="24" t="s">
        <v>895</v>
      </c>
      <c r="C104" s="25"/>
      <c r="D104" s="11" t="s">
        <v>896</v>
      </c>
      <c r="E104" s="11">
        <f t="shared" si="1"/>
        <v>2</v>
      </c>
      <c r="F104" s="30" t="s">
        <v>646</v>
      </c>
      <c r="G104" s="31">
        <v>1.0</v>
      </c>
      <c r="H104" s="31">
        <v>1.0</v>
      </c>
      <c r="I104" s="18" t="s">
        <v>267</v>
      </c>
      <c r="J104" s="11" t="s">
        <v>87</v>
      </c>
      <c r="K104" s="38">
        <f t="shared" si="5"/>
        <v>1</v>
      </c>
      <c r="L104" s="18" t="s">
        <v>268</v>
      </c>
      <c r="M104" s="18" t="s">
        <v>268</v>
      </c>
      <c r="N104" s="34"/>
      <c r="O104" s="34"/>
      <c r="P104" s="34" t="s">
        <v>897</v>
      </c>
      <c r="Q104" s="42" t="str">
        <f>iferror(VLOOKUP(A104,'Positional cal'!A:H,1,0)=A104,"FALSE")</f>
        <v>FALSE</v>
      </c>
      <c r="R104" s="43" t="b">
        <f t="shared" si="3"/>
        <v>0</v>
      </c>
      <c r="S104" s="46" t="str">
        <f>IFERROR(VLOOKUP($A104,AlgoUi!$A:$X,21,0),"NA")</f>
        <v/>
      </c>
      <c r="T104" s="46" t="str">
        <f>IFERROR(VLOOKUP($A104,AlgoUi!$A:$X,23,0),"")</f>
        <v/>
      </c>
      <c r="U104" s="46" t="str">
        <f>IFERROR(VLOOKUP($A104,AlgoUi!$A:$X,24,0),"")</f>
        <v/>
      </c>
      <c r="V104" s="42" t="str">
        <f>IFERROR(__xludf.DUMMYFUNCTION("IFERROR(VLOOKUP(I104,IMPORTRANGE(""https://docs.google.com/spreadsheets/d/17FOIUYQAjPk1pPQIlvOgqYDBqwUqgb7KWzp4DtVksBk/edit?gid=0#gid=0"",""Servers!A:S""),19,FALSE), ""Not Running"")"),"Not Running")</f>
        <v>Not Running</v>
      </c>
      <c r="W104" s="47" t="str">
        <f>VLOOKUP($A104,Category!$A:$E,4,0)</f>
        <v>MS</v>
      </c>
      <c r="X104" s="47" t="str">
        <f>VLOOKUP($A104,Category!$A:$E,5,0)</f>
        <v>MSR</v>
      </c>
      <c r="Y104" s="18" t="str">
        <f>VLOOKUP(A104,PAcc!$A$1:$J$27,10,0)</f>
        <v>#N/A</v>
      </c>
      <c r="Z104" s="42" t="b">
        <f t="shared" si="4"/>
        <v>0</v>
      </c>
      <c r="AA104" s="42"/>
      <c r="AB104" s="42" t="str">
        <f>VLOOKUP(A104,VlookupSheet!$A$383:$A$523,1,0)</f>
        <v>#N/A</v>
      </c>
      <c r="AC104" s="50">
        <v>0.01</v>
      </c>
      <c r="AD104" s="42"/>
      <c r="AE104" s="42"/>
      <c r="AF104" s="42"/>
    </row>
    <row r="105">
      <c r="A105" s="11" t="s">
        <v>900</v>
      </c>
      <c r="B105" s="24" t="s">
        <v>901</v>
      </c>
      <c r="C105" s="25"/>
      <c r="D105" s="11" t="s">
        <v>77</v>
      </c>
      <c r="E105" s="11">
        <f t="shared" si="1"/>
        <v>100000</v>
      </c>
      <c r="F105" s="11" t="s">
        <v>716</v>
      </c>
      <c r="G105" s="31">
        <v>100000.0</v>
      </c>
      <c r="H105" s="31">
        <v>100000.0</v>
      </c>
      <c r="I105" s="18" t="s">
        <v>267</v>
      </c>
      <c r="J105" s="25" t="s">
        <v>77</v>
      </c>
      <c r="K105" s="38">
        <f t="shared" si="5"/>
        <v>1</v>
      </c>
      <c r="L105" s="18" t="s">
        <v>268</v>
      </c>
      <c r="M105" s="18" t="s">
        <v>268</v>
      </c>
      <c r="N105" s="18"/>
      <c r="O105" s="18"/>
      <c r="P105" s="18" t="s">
        <v>848</v>
      </c>
      <c r="Q105" s="42" t="str">
        <f>iferror(VLOOKUP(A105,'Positional cal'!A:H,1,0)=A105,"FALSE")</f>
        <v>FALSE</v>
      </c>
      <c r="R105" s="43" t="b">
        <f t="shared" si="3"/>
        <v>0</v>
      </c>
      <c r="S105" s="46" t="str">
        <f>IFERROR(VLOOKUP($A105,AlgoUi!$A:$X,21,0),"NA")</f>
        <v/>
      </c>
      <c r="T105" s="46" t="str">
        <f>IFERROR(VLOOKUP($A105,AlgoUi!$A:$X,23,0),"")</f>
        <v/>
      </c>
      <c r="U105" s="46" t="str">
        <f>IFERROR(VLOOKUP($A105,AlgoUi!$A:$X,24,0),"")</f>
        <v/>
      </c>
      <c r="V105" s="42" t="str">
        <f>IFERROR(__xludf.DUMMYFUNCTION("IFERROR(VLOOKUP(I105,IMPORTRANGE(""https://docs.google.com/spreadsheets/d/17FOIUYQAjPk1pPQIlvOgqYDBqwUqgb7KWzp4DtVksBk/edit?gid=0#gid=0"",""Servers!A:S""),19,FALSE), ""Not Running"")"),"Not Running")</f>
        <v>Not Running</v>
      </c>
      <c r="W105" s="47" t="str">
        <f>VLOOKUP($A105,Category!$A:$E,4,0)</f>
        <v>MS</v>
      </c>
      <c r="X105" s="47" t="str">
        <f>VLOOKUP($A105,Category!$A:$E,5,0)</f>
        <v>MSS</v>
      </c>
      <c r="Y105" s="18" t="str">
        <f>VLOOKUP(A105,PAcc!$A$1:$J$27,10,0)</f>
        <v>#N/A</v>
      </c>
      <c r="Z105" s="42" t="b">
        <f t="shared" si="4"/>
        <v>0</v>
      </c>
      <c r="AA105" s="42"/>
      <c r="AB105" s="42" t="str">
        <f>VLOOKUP(A105,VlookupSheet!$A$383:$A$523,1,0)</f>
        <v>#N/A</v>
      </c>
      <c r="AC105" s="50">
        <v>0.01</v>
      </c>
      <c r="AD105" s="42"/>
      <c r="AE105" s="42"/>
      <c r="AF105" s="42"/>
    </row>
    <row r="106">
      <c r="A106" s="75" t="s">
        <v>903</v>
      </c>
      <c r="B106" s="24" t="s">
        <v>904</v>
      </c>
      <c r="C106" s="25"/>
      <c r="D106" s="11">
        <f>IF(J106="7",0.8,1)</f>
        <v>1</v>
      </c>
      <c r="E106" s="11">
        <f>D106*H106</f>
        <v>80000</v>
      </c>
      <c r="F106" s="11" t="s">
        <v>905</v>
      </c>
      <c r="G106" s="11" t="s">
        <v>906</v>
      </c>
      <c r="H106" s="31">
        <v>80000.0</v>
      </c>
      <c r="I106" s="11" t="s">
        <v>54</v>
      </c>
      <c r="J106" s="11" t="s">
        <v>907</v>
      </c>
      <c r="K106" s="38">
        <f t="shared" si="5"/>
        <v>1</v>
      </c>
      <c r="L106" s="18" t="s">
        <v>910</v>
      </c>
      <c r="M106" s="18" t="s">
        <v>736</v>
      </c>
      <c r="N106" s="18"/>
      <c r="O106" s="18"/>
      <c r="P106" s="18" t="s">
        <v>911</v>
      </c>
      <c r="Q106" s="42" t="str">
        <f>iferror(VLOOKUP(A106,'Positional cal'!A:H,1,0)=A106,"FALSE")</f>
        <v>FALSE</v>
      </c>
      <c r="R106" s="43" t="b">
        <f t="shared" si="3"/>
        <v>0</v>
      </c>
      <c r="S106" s="46">
        <f>IFERROR(VLOOKUP($A106,AlgoUi!$A:$X,21,0),"NA")</f>
        <v>20000000</v>
      </c>
      <c r="T106" s="46">
        <f>IFERROR(VLOOKUP($A106,AlgoUi!$A:$X,23,0),"")</f>
        <v>20000000</v>
      </c>
      <c r="U106" s="46">
        <f>IFERROR(VLOOKUP($A106,AlgoUi!$A:$X,24,0),"")</f>
        <v>200000</v>
      </c>
      <c r="V106" s="42" t="str">
        <f>IFERROR(__xludf.DUMMYFUNCTION("IFERROR(VLOOKUP(I106,IMPORTRANGE(""https://docs.google.com/spreadsheets/d/17FOIUYQAjPk1pPQIlvOgqYDBqwUqgb7KWzp4DtVksBk/edit?gid=0#gid=0"",""Servers!A:S""),19,FALSE), ""Not Running"")"),"SAKSHIS")</f>
        <v>SAKSHIS</v>
      </c>
      <c r="W106" s="47" t="str">
        <f>VLOOKUP($A106,Category!$A:$E,4,0)</f>
        <v>MS</v>
      </c>
      <c r="X106" s="47" t="str">
        <f>VLOOKUP($A106,Category!$A:$E,5,0)</f>
        <v>MSR</v>
      </c>
      <c r="Y106" s="18" t="str">
        <f>VLOOKUP(A106,PAcc!$A$1:$J$27,10,0)</f>
        <v>#N/A</v>
      </c>
      <c r="Z106" s="42" t="b">
        <f t="shared" si="4"/>
        <v>0</v>
      </c>
      <c r="AA106" s="50">
        <v>0.4</v>
      </c>
      <c r="AB106" s="42" t="str">
        <f>VLOOKUP(A106,VlookupSheet!$A$383:$A$523,1,0)</f>
        <v>#N/A</v>
      </c>
      <c r="AC106" s="50">
        <v>0.01</v>
      </c>
      <c r="AD106" s="42">
        <f t="shared" ref="AD106:AD107" si="6">S106*AA106</f>
        <v>8000000</v>
      </c>
      <c r="AE106" s="42">
        <f t="shared" ref="AE106:AE107" si="7">MROUND(AD106,2000000)/100</f>
        <v>80000</v>
      </c>
      <c r="AF106" s="123">
        <f t="shared" ref="AF106:AF107" si="8">AE106-H106</f>
        <v>0</v>
      </c>
    </row>
    <row r="107">
      <c r="A107" s="11" t="s">
        <v>913</v>
      </c>
      <c r="B107" s="24" t="s">
        <v>914</v>
      </c>
      <c r="C107" s="25"/>
      <c r="D107" s="11" t="s">
        <v>77</v>
      </c>
      <c r="E107" s="11">
        <f t="shared" ref="E107:E126" si="9">H107*D107</f>
        <v>80000</v>
      </c>
      <c r="F107" s="11" t="s">
        <v>915</v>
      </c>
      <c r="G107" s="31">
        <v>80000.0</v>
      </c>
      <c r="H107" s="31">
        <v>80000.0</v>
      </c>
      <c r="I107" s="34" t="s">
        <v>249</v>
      </c>
      <c r="J107" s="11" t="s">
        <v>77</v>
      </c>
      <c r="K107" s="38">
        <f t="shared" si="5"/>
        <v>1</v>
      </c>
      <c r="L107" s="18" t="s">
        <v>910</v>
      </c>
      <c r="M107" s="18" t="s">
        <v>736</v>
      </c>
      <c r="N107" s="47"/>
      <c r="O107" s="47"/>
      <c r="P107" s="47" t="s">
        <v>911</v>
      </c>
      <c r="Q107" s="42" t="str">
        <f>iferror(VLOOKUP(A107,'Positional cal'!A:H,1,0)=A107,"FALSE")</f>
        <v>FALSE</v>
      </c>
      <c r="R107" s="43" t="b">
        <f t="shared" si="3"/>
        <v>0</v>
      </c>
      <c r="S107" s="46">
        <f>IFERROR(VLOOKUP($A107,AlgoUi!$A:$X,21,0),"NA")</f>
        <v>20000000</v>
      </c>
      <c r="T107" s="46">
        <f>IFERROR(VLOOKUP($A107,AlgoUi!$A:$X,23,0),"")</f>
        <v>20000000</v>
      </c>
      <c r="U107" s="46">
        <f>IFERROR(VLOOKUP($A107,AlgoUi!$A:$X,24,0),"")</f>
        <v>200000</v>
      </c>
      <c r="V107" s="42" t="str">
        <f>IFERROR(__xludf.DUMMYFUNCTION("IFERROR(VLOOKUP(I107,IMPORTRANGE(""https://docs.google.com/spreadsheets/d/17FOIUYQAjPk1pPQIlvOgqYDBqwUqgb7KWzp4DtVksBk/edit?gid=0#gid=0"",""Servers!A:S""),19,FALSE), ""Not Running"")"),"AYUSHS")</f>
        <v>AYUSHS</v>
      </c>
      <c r="W107" s="47" t="str">
        <f>VLOOKUP($A107,Category!$A:$E,4,0)</f>
        <v>MS</v>
      </c>
      <c r="X107" s="47" t="str">
        <f>VLOOKUP($A107,Category!$A:$E,5,0)</f>
        <v>MSR</v>
      </c>
      <c r="Y107" s="18" t="str">
        <f>VLOOKUP(A107,PAcc!$A$1:$J$27,10,0)</f>
        <v>#N/A</v>
      </c>
      <c r="Z107" s="42" t="b">
        <f t="shared" si="4"/>
        <v>0</v>
      </c>
      <c r="AA107" s="50">
        <v>0.4</v>
      </c>
      <c r="AB107" s="42" t="str">
        <f>VLOOKUP(A107,VlookupSheet!$A$383:$A$523,1,0)</f>
        <v>#N/A</v>
      </c>
      <c r="AC107" s="50">
        <v>0.01</v>
      </c>
      <c r="AD107" s="42">
        <f t="shared" si="6"/>
        <v>8000000</v>
      </c>
      <c r="AE107" s="42">
        <f t="shared" si="7"/>
        <v>80000</v>
      </c>
      <c r="AF107" s="123">
        <f t="shared" si="8"/>
        <v>0</v>
      </c>
    </row>
    <row r="108">
      <c r="A108" s="11" t="s">
        <v>923</v>
      </c>
      <c r="B108" s="84" t="s">
        <v>924</v>
      </c>
      <c r="C108" s="25"/>
      <c r="D108" s="11" t="s">
        <v>77</v>
      </c>
      <c r="E108" s="11">
        <f t="shared" si="9"/>
        <v>1</v>
      </c>
      <c r="F108" s="30" t="s">
        <v>311</v>
      </c>
      <c r="G108" s="31">
        <v>1.0</v>
      </c>
      <c r="H108" s="31">
        <v>1.0</v>
      </c>
      <c r="I108" s="34" t="s">
        <v>267</v>
      </c>
      <c r="J108" s="11" t="s">
        <v>87</v>
      </c>
      <c r="K108" s="38">
        <f t="shared" si="5"/>
        <v>1</v>
      </c>
      <c r="L108" s="18" t="s">
        <v>268</v>
      </c>
      <c r="M108" s="18" t="s">
        <v>268</v>
      </c>
      <c r="N108" s="42"/>
      <c r="O108" s="42"/>
      <c r="P108" s="42"/>
      <c r="Q108" s="42" t="str">
        <f>iferror(VLOOKUP(A108,'Positional cal'!A:H,1,0)=A108,"FALSE")</f>
        <v>FALSE</v>
      </c>
      <c r="R108" s="43" t="b">
        <f t="shared" si="3"/>
        <v>0</v>
      </c>
      <c r="S108" s="46" t="str">
        <f>IFERROR(VLOOKUP($A108,AlgoUi!$A:$X,21,0),"NA")</f>
        <v/>
      </c>
      <c r="T108" s="46" t="str">
        <f>IFERROR(VLOOKUP($A108,AlgoUi!$A:$X,23,0),"")</f>
        <v/>
      </c>
      <c r="U108" s="46" t="str">
        <f>IFERROR(VLOOKUP($A108,AlgoUi!$A:$X,24,0),"")</f>
        <v/>
      </c>
      <c r="V108" s="42" t="str">
        <f>IFERROR(__xludf.DUMMYFUNCTION("IFERROR(VLOOKUP(I108,IMPORTRANGE(""https://docs.google.com/spreadsheets/d/17FOIUYQAjPk1pPQIlvOgqYDBqwUqgb7KWzp4DtVksBk/edit?gid=0#gid=0"",""Servers!A:S""),19,FALSE), ""Not Running"")"),"Not Running")</f>
        <v>Not Running</v>
      </c>
      <c r="W108" s="47" t="str">
        <f>VLOOKUP($A108,Category!$A:$E,4,0)</f>
        <v>MS</v>
      </c>
      <c r="X108" s="47" t="str">
        <f>VLOOKUP($A108,Category!$A:$E,5,0)</f>
        <v>MSN</v>
      </c>
      <c r="Y108" s="18" t="str">
        <f>VLOOKUP(A108,PAcc!$A$1:$J$27,10,0)</f>
        <v>#N/A</v>
      </c>
      <c r="Z108" s="42" t="b">
        <f t="shared" si="4"/>
        <v>0</v>
      </c>
      <c r="AA108" s="42"/>
      <c r="AB108" s="42" t="str">
        <f>VLOOKUP(A108,VlookupSheet!$A$383:$A$523,1,0)</f>
        <v>#N/A</v>
      </c>
      <c r="AC108" s="50">
        <v>0.01</v>
      </c>
      <c r="AD108" s="42"/>
      <c r="AE108" s="42"/>
      <c r="AF108" s="42"/>
    </row>
    <row r="109">
      <c r="A109" s="30" t="s">
        <v>368</v>
      </c>
      <c r="B109" s="84" t="s">
        <v>930</v>
      </c>
      <c r="C109" s="85"/>
      <c r="D109" s="11" t="s">
        <v>77</v>
      </c>
      <c r="E109" s="11">
        <f t="shared" si="9"/>
        <v>0</v>
      </c>
      <c r="F109" s="30" t="s">
        <v>311</v>
      </c>
      <c r="G109" s="31">
        <v>0.0</v>
      </c>
      <c r="H109" s="31">
        <v>0.0</v>
      </c>
      <c r="I109" s="34" t="s">
        <v>267</v>
      </c>
      <c r="J109" s="25" t="s">
        <v>77</v>
      </c>
      <c r="K109" s="38" t="str">
        <f t="shared" si="5"/>
        <v>-</v>
      </c>
      <c r="L109" s="18" t="s">
        <v>268</v>
      </c>
      <c r="M109" s="18" t="s">
        <v>268</v>
      </c>
      <c r="N109" s="74"/>
      <c r="O109" s="74"/>
      <c r="P109" s="74"/>
      <c r="Q109" s="42" t="str">
        <f>iferror(VLOOKUP(A109,'Positional cal'!A:H,1,0)=A109,"FALSE")</f>
        <v>FALSE</v>
      </c>
      <c r="R109" s="43" t="b">
        <f t="shared" si="3"/>
        <v>1</v>
      </c>
      <c r="S109" s="46" t="str">
        <f>IFERROR(VLOOKUP($A109,AlgoUi!$A:$X,21,0),"NA")</f>
        <v/>
      </c>
      <c r="T109" s="46" t="str">
        <f>IFERROR(VLOOKUP($A109,AlgoUi!$A:$X,23,0),"")</f>
        <v/>
      </c>
      <c r="U109" s="46" t="str">
        <f>IFERROR(VLOOKUP($A109,AlgoUi!$A:$X,24,0),"")</f>
        <v/>
      </c>
      <c r="V109" s="42" t="str">
        <f>IFERROR(__xludf.DUMMYFUNCTION("IFERROR(VLOOKUP(I109,IMPORTRANGE(""https://docs.google.com/spreadsheets/d/17FOIUYQAjPk1pPQIlvOgqYDBqwUqgb7KWzp4DtVksBk/edit?gid=0#gid=0"",""Servers!A:S""),19,FALSE), ""Not Running"")"),"Not Running")</f>
        <v>Not Running</v>
      </c>
      <c r="W109" s="47" t="str">
        <f>VLOOKUP($A109,Category!$A:$E,4,0)</f>
        <v>MS</v>
      </c>
      <c r="X109" s="47" t="str">
        <f>VLOOKUP($A109,Category!$A:$E,5,0)</f>
        <v>MSR</v>
      </c>
      <c r="Y109" s="18" t="str">
        <f>VLOOKUP(A109,PAcc!$A$1:$J$27,10,0)</f>
        <v>#N/A</v>
      </c>
      <c r="Z109" s="42" t="b">
        <f t="shared" si="4"/>
        <v>1</v>
      </c>
      <c r="AA109" s="42"/>
      <c r="AB109" s="42" t="str">
        <f>VLOOKUP(A109,VlookupSheet!$A$383:$A$523,1,0)</f>
        <v>#N/A</v>
      </c>
      <c r="AC109" s="50">
        <v>0.01</v>
      </c>
      <c r="AD109" s="42"/>
      <c r="AE109" s="42"/>
      <c r="AF109" s="42"/>
    </row>
    <row r="110">
      <c r="A110" s="11" t="s">
        <v>939</v>
      </c>
      <c r="B110" s="24" t="s">
        <v>940</v>
      </c>
      <c r="C110" s="25"/>
      <c r="D110" s="11" t="s">
        <v>77</v>
      </c>
      <c r="E110" s="11">
        <f t="shared" si="9"/>
        <v>1</v>
      </c>
      <c r="F110" s="11" t="s">
        <v>285</v>
      </c>
      <c r="G110" s="31">
        <v>1.0</v>
      </c>
      <c r="H110" s="31">
        <v>1.0</v>
      </c>
      <c r="I110" s="11" t="s">
        <v>267</v>
      </c>
      <c r="J110" s="11" t="s">
        <v>87</v>
      </c>
      <c r="K110" s="38">
        <f t="shared" si="5"/>
        <v>1</v>
      </c>
      <c r="L110" s="18" t="s">
        <v>268</v>
      </c>
      <c r="M110" s="18" t="s">
        <v>268</v>
      </c>
      <c r="N110" s="18"/>
      <c r="O110" s="18"/>
      <c r="P110" s="18" t="s">
        <v>942</v>
      </c>
      <c r="Q110" s="42" t="str">
        <f>iferror(VLOOKUP(A110,'Positional cal'!A:H,1,0)=A110,"FALSE")</f>
        <v>FALSE</v>
      </c>
      <c r="R110" s="43" t="b">
        <f t="shared" si="3"/>
        <v>0</v>
      </c>
      <c r="S110" s="46" t="str">
        <f>IFERROR(VLOOKUP($A110,AlgoUi!$A:$X,21,0),"NA")</f>
        <v/>
      </c>
      <c r="T110" s="46" t="str">
        <f>IFERROR(VLOOKUP($A110,AlgoUi!$A:$X,23,0),"")</f>
        <v/>
      </c>
      <c r="U110" s="46" t="str">
        <f>IFERROR(VLOOKUP($A110,AlgoUi!$A:$X,24,0),"")</f>
        <v/>
      </c>
      <c r="V110" s="42" t="str">
        <f>IFERROR(__xludf.DUMMYFUNCTION("IFERROR(VLOOKUP(I110,IMPORTRANGE(""https://docs.google.com/spreadsheets/d/17FOIUYQAjPk1pPQIlvOgqYDBqwUqgb7KWzp4DtVksBk/edit?gid=0#gid=0"",""Servers!A:S""),19,FALSE), ""Not Running"")"),"Not Running")</f>
        <v>Not Running</v>
      </c>
      <c r="W110" s="47" t="str">
        <f>VLOOKUP($A110,Category!$A:$E,4,0)</f>
        <v>MS</v>
      </c>
      <c r="X110" s="47" t="str">
        <f>VLOOKUP($A110,Category!$A:$E,5,0)</f>
        <v>MSJ</v>
      </c>
      <c r="Y110" s="18" t="str">
        <f>VLOOKUP(A110,PAcc!$A$1:$J$27,10,0)</f>
        <v>#N/A</v>
      </c>
      <c r="Z110" s="42" t="b">
        <f t="shared" si="4"/>
        <v>0</v>
      </c>
      <c r="AA110" s="42"/>
      <c r="AB110" s="42" t="str">
        <f>VLOOKUP(A110,VlookupSheet!$A$383:$A$523,1,0)</f>
        <v>#N/A</v>
      </c>
      <c r="AC110" s="50">
        <v>0.01</v>
      </c>
      <c r="AD110" s="42"/>
      <c r="AE110" s="42"/>
      <c r="AF110" s="42"/>
    </row>
    <row r="111">
      <c r="A111" s="11" t="s">
        <v>651</v>
      </c>
      <c r="B111" s="84" t="s">
        <v>948</v>
      </c>
      <c r="C111" s="25"/>
      <c r="D111" s="11" t="s">
        <v>874</v>
      </c>
      <c r="E111" s="11">
        <f t="shared" si="9"/>
        <v>12000000</v>
      </c>
      <c r="F111" s="30" t="s">
        <v>646</v>
      </c>
      <c r="G111" s="31">
        <v>1.2E7</v>
      </c>
      <c r="H111" s="31">
        <v>400000.0</v>
      </c>
      <c r="I111" s="34" t="s">
        <v>267</v>
      </c>
      <c r="J111" s="11" t="s">
        <v>87</v>
      </c>
      <c r="K111" s="38">
        <f t="shared" si="5"/>
        <v>30</v>
      </c>
      <c r="L111" s="18" t="s">
        <v>268</v>
      </c>
      <c r="M111" s="18" t="s">
        <v>268</v>
      </c>
      <c r="N111" s="18"/>
      <c r="O111" s="18">
        <v>0.0</v>
      </c>
      <c r="P111" s="18" t="s">
        <v>949</v>
      </c>
      <c r="Q111" s="42" t="str">
        <f>iferror(VLOOKUP(A111,'Positional cal'!A:H,1,0)=A111,"FALSE")</f>
        <v>FALSE</v>
      </c>
      <c r="R111" s="43" t="b">
        <f t="shared" si="3"/>
        <v>0</v>
      </c>
      <c r="S111" s="46" t="str">
        <f>IFERROR(VLOOKUP($A111,AlgoUi!$A:$X,21,0),"NA")</f>
        <v/>
      </c>
      <c r="T111" s="46" t="str">
        <f>IFERROR(VLOOKUP($A111,AlgoUi!$A:$X,23,0),"")</f>
        <v/>
      </c>
      <c r="U111" s="46" t="str">
        <f>IFERROR(VLOOKUP($A111,AlgoUi!$A:$X,24,0),"")</f>
        <v/>
      </c>
      <c r="V111" s="42" t="str">
        <f>IFERROR(__xludf.DUMMYFUNCTION("IFERROR(VLOOKUP(I111,IMPORTRANGE(""https://docs.google.com/spreadsheets/d/17FOIUYQAjPk1pPQIlvOgqYDBqwUqgb7KWzp4DtVksBk/edit?gid=0#gid=0"",""Servers!A:S""),19,FALSE), ""Not Running"")"),"Not Running")</f>
        <v>Not Running</v>
      </c>
      <c r="W111" s="47" t="str">
        <f>VLOOKUP($A111,Category!$A:$E,4,0)</f>
        <v>CC</v>
      </c>
      <c r="X111" s="47" t="str">
        <f>VLOOKUP($A111,Category!$A:$E,5,0)</f>
        <v>CCV</v>
      </c>
      <c r="Y111" s="18" t="str">
        <f>VLOOKUP(A111,PAcc!$A$1:$J$27,10,0)</f>
        <v>#N/A</v>
      </c>
      <c r="Z111" s="42" t="b">
        <f t="shared" si="4"/>
        <v>0</v>
      </c>
      <c r="AA111" s="50">
        <v>0.6</v>
      </c>
      <c r="AB111" s="42" t="str">
        <f>VLOOKUP(A111,VlookupSheet!$A$383:$A$523,1,0)</f>
        <v>#N/A</v>
      </c>
      <c r="AC111" s="50">
        <v>0.01</v>
      </c>
      <c r="AD111" s="42"/>
      <c r="AE111" s="42"/>
      <c r="AF111" s="42"/>
    </row>
    <row r="112">
      <c r="A112" s="11" t="s">
        <v>950</v>
      </c>
      <c r="B112" s="24" t="s">
        <v>951</v>
      </c>
      <c r="C112" s="25"/>
      <c r="D112" s="11" t="s">
        <v>874</v>
      </c>
      <c r="E112" s="11">
        <f t="shared" si="9"/>
        <v>30</v>
      </c>
      <c r="F112" s="30" t="s">
        <v>311</v>
      </c>
      <c r="G112" s="31">
        <v>6000000.0</v>
      </c>
      <c r="H112" s="31">
        <v>1.0</v>
      </c>
      <c r="I112" s="11" t="s">
        <v>267</v>
      </c>
      <c r="J112" s="11" t="s">
        <v>87</v>
      </c>
      <c r="K112" s="38">
        <f t="shared" si="5"/>
        <v>6000000</v>
      </c>
      <c r="L112" s="18" t="s">
        <v>268</v>
      </c>
      <c r="M112" s="18" t="s">
        <v>268</v>
      </c>
      <c r="N112" s="18"/>
      <c r="O112" s="18"/>
      <c r="P112" s="18" t="s">
        <v>112</v>
      </c>
      <c r="Q112" s="42" t="str">
        <f>iferror(VLOOKUP(A112,'Positional cal'!A:H,1,0)=A112,"FALSE")</f>
        <v>FALSE</v>
      </c>
      <c r="R112" s="43" t="b">
        <f t="shared" si="3"/>
        <v>0</v>
      </c>
      <c r="S112" s="46" t="str">
        <f>IFERROR(VLOOKUP($A112,AlgoUi!$A:$X,21,0),"NA")</f>
        <v/>
      </c>
      <c r="T112" s="46" t="str">
        <f>IFERROR(VLOOKUP($A112,AlgoUi!$A:$X,23,0),"")</f>
        <v/>
      </c>
      <c r="U112" s="46" t="str">
        <f>IFERROR(VLOOKUP($A112,AlgoUi!$A:$X,24,0),"")</f>
        <v/>
      </c>
      <c r="V112" s="42" t="str">
        <f>IFERROR(__xludf.DUMMYFUNCTION("IFERROR(VLOOKUP(I112,IMPORTRANGE(""https://docs.google.com/spreadsheets/d/17FOIUYQAjPk1pPQIlvOgqYDBqwUqgb7KWzp4DtVksBk/edit?gid=0#gid=0"",""Servers!A:S""),19,FALSE), ""Not Running"")"),"Not Running")</f>
        <v>Not Running</v>
      </c>
      <c r="W112" s="47" t="str">
        <f>VLOOKUP($A112,Category!$A:$E,4,0)</f>
        <v>MS</v>
      </c>
      <c r="X112" s="47" t="str">
        <f>VLOOKUP($A112,Category!$A:$E,5,0)</f>
        <v>MSR</v>
      </c>
      <c r="Y112" s="18" t="str">
        <f>VLOOKUP(A112,PAcc!$A$1:$J$27,10,0)</f>
        <v>#N/A</v>
      </c>
      <c r="Z112" s="42" t="b">
        <f t="shared" si="4"/>
        <v>0</v>
      </c>
      <c r="AA112" s="42"/>
      <c r="AB112" s="42" t="str">
        <f>VLOOKUP(A112,VlookupSheet!$A$383:$A$523,1,0)</f>
        <v>#N/A</v>
      </c>
      <c r="AC112" s="50">
        <v>0.01</v>
      </c>
      <c r="AD112" s="42"/>
      <c r="AE112" s="42"/>
      <c r="AF112" s="42"/>
    </row>
    <row r="113">
      <c r="A113" s="11" t="s">
        <v>952</v>
      </c>
      <c r="B113" s="24" t="s">
        <v>953</v>
      </c>
      <c r="C113" s="25"/>
      <c r="D113" s="11" t="s">
        <v>874</v>
      </c>
      <c r="E113" s="11">
        <f t="shared" si="9"/>
        <v>30</v>
      </c>
      <c r="F113" s="11" t="s">
        <v>285</v>
      </c>
      <c r="G113" s="31">
        <v>1.0</v>
      </c>
      <c r="H113" s="31">
        <v>1.0</v>
      </c>
      <c r="I113" s="11" t="s">
        <v>267</v>
      </c>
      <c r="J113" s="11" t="s">
        <v>87</v>
      </c>
      <c r="K113" s="38">
        <f t="shared" si="5"/>
        <v>1</v>
      </c>
      <c r="L113" s="18" t="s">
        <v>268</v>
      </c>
      <c r="M113" s="18" t="s">
        <v>268</v>
      </c>
      <c r="N113" s="18"/>
      <c r="O113" s="18"/>
      <c r="P113" s="18" t="s">
        <v>112</v>
      </c>
      <c r="Q113" s="42" t="str">
        <f>iferror(VLOOKUP(A113,'Positional cal'!A:H,1,0)=A113,"FALSE")</f>
        <v>FALSE</v>
      </c>
      <c r="R113" s="43" t="b">
        <f t="shared" si="3"/>
        <v>0</v>
      </c>
      <c r="S113" s="46" t="str">
        <f>IFERROR(VLOOKUP($A113,AlgoUi!$A:$X,21,0),"NA")</f>
        <v/>
      </c>
      <c r="T113" s="46" t="str">
        <f>IFERROR(VLOOKUP($A113,AlgoUi!$A:$X,23,0),"")</f>
        <v/>
      </c>
      <c r="U113" s="46" t="str">
        <f>IFERROR(VLOOKUP($A113,AlgoUi!$A:$X,24,0),"")</f>
        <v/>
      </c>
      <c r="V113" s="42" t="str">
        <f>IFERROR(__xludf.DUMMYFUNCTION("IFERROR(VLOOKUP(I113,IMPORTRANGE(""https://docs.google.com/spreadsheets/d/17FOIUYQAjPk1pPQIlvOgqYDBqwUqgb7KWzp4DtVksBk/edit?gid=0#gid=0"",""Servers!A:S""),19,FALSE), ""Not Running"")"),"Not Running")</f>
        <v>Not Running</v>
      </c>
      <c r="W113" s="47" t="str">
        <f>VLOOKUP($A113,Category!$A:$E,4,0)</f>
        <v>MS</v>
      </c>
      <c r="X113" s="47" t="str">
        <f>VLOOKUP($A113,Category!$A:$E,5,0)</f>
        <v>MSJ</v>
      </c>
      <c r="Y113" s="18" t="str">
        <f>VLOOKUP(A113,PAcc!$A$1:$J$27,10,0)</f>
        <v>#N/A</v>
      </c>
      <c r="Z113" s="42" t="b">
        <f t="shared" si="4"/>
        <v>0</v>
      </c>
      <c r="AA113" s="42"/>
      <c r="AB113" s="42" t="str">
        <f>VLOOKUP(A113,VlookupSheet!$A$383:$A$523,1,0)</f>
        <v>#N/A</v>
      </c>
      <c r="AC113" s="50">
        <v>0.01</v>
      </c>
      <c r="AD113" s="42"/>
      <c r="AE113" s="42"/>
      <c r="AF113" s="42"/>
    </row>
    <row r="114">
      <c r="A114" s="11" t="s">
        <v>954</v>
      </c>
      <c r="B114" s="24" t="s">
        <v>955</v>
      </c>
      <c r="C114" s="25"/>
      <c r="D114" s="11" t="s">
        <v>956</v>
      </c>
      <c r="E114" s="11">
        <f t="shared" si="9"/>
        <v>160000</v>
      </c>
      <c r="F114" s="11" t="s">
        <v>285</v>
      </c>
      <c r="G114" s="31">
        <v>160000.0</v>
      </c>
      <c r="H114" s="31">
        <v>200000.0</v>
      </c>
      <c r="I114" s="18" t="s">
        <v>267</v>
      </c>
      <c r="J114" s="11" t="s">
        <v>87</v>
      </c>
      <c r="K114" s="38">
        <f t="shared" si="5"/>
        <v>0.8</v>
      </c>
      <c r="L114" s="18" t="s">
        <v>268</v>
      </c>
      <c r="M114" s="18" t="s">
        <v>268</v>
      </c>
      <c r="N114" s="42"/>
      <c r="O114" s="42"/>
      <c r="P114" s="42"/>
      <c r="Q114" s="42" t="str">
        <f>iferror(VLOOKUP(A114,'Positional cal'!A:H,1,0)=A114,"FALSE")</f>
        <v>FALSE</v>
      </c>
      <c r="R114" s="43" t="b">
        <f t="shared" si="3"/>
        <v>0</v>
      </c>
      <c r="S114" s="46" t="str">
        <f>IFERROR(VLOOKUP($A114,AlgoUi!$A:$X,21,0),"NA")</f>
        <v/>
      </c>
      <c r="T114" s="46" t="str">
        <f>IFERROR(VLOOKUP($A114,AlgoUi!$A:$X,23,0),"")</f>
        <v/>
      </c>
      <c r="U114" s="46" t="str">
        <f>IFERROR(VLOOKUP($A114,AlgoUi!$A:$X,24,0),"")</f>
        <v/>
      </c>
      <c r="V114" s="42" t="str">
        <f>IFERROR(__xludf.DUMMYFUNCTION("IFERROR(VLOOKUP(I114,IMPORTRANGE(""https://docs.google.com/spreadsheets/d/17FOIUYQAjPk1pPQIlvOgqYDBqwUqgb7KWzp4DtVksBk/edit?gid=0#gid=0"",""Servers!A:S""),19,FALSE), ""Not Running"")"),"Not Running")</f>
        <v>Not Running</v>
      </c>
      <c r="W114" s="47" t="str">
        <f>VLOOKUP($A114,Category!$A:$E,4,0)</f>
        <v>MS</v>
      </c>
      <c r="X114" s="47" t="str">
        <f>VLOOKUP($A114,Category!$A:$E,5,0)</f>
        <v>MSJ</v>
      </c>
      <c r="Y114" s="18" t="str">
        <f>VLOOKUP(A114,PAcc!$A$1:$J$27,10,0)</f>
        <v>#N/A</v>
      </c>
      <c r="Z114" s="42" t="b">
        <f t="shared" si="4"/>
        <v>0</v>
      </c>
      <c r="AA114" s="42"/>
      <c r="AB114" s="42" t="str">
        <f>VLOOKUP(A114,VlookupSheet!$A$383:$A$523,1,0)</f>
        <v>#N/A</v>
      </c>
      <c r="AC114" s="50">
        <v>0.01</v>
      </c>
      <c r="AD114" s="42"/>
      <c r="AE114" s="42"/>
      <c r="AF114" s="42"/>
    </row>
    <row r="115">
      <c r="A115" s="11" t="s">
        <v>958</v>
      </c>
      <c r="B115" s="24" t="s">
        <v>959</v>
      </c>
      <c r="C115" s="25"/>
      <c r="D115" s="11" t="s">
        <v>956</v>
      </c>
      <c r="E115" s="11">
        <f t="shared" si="9"/>
        <v>80000</v>
      </c>
      <c r="F115" s="11" t="s">
        <v>716</v>
      </c>
      <c r="G115" s="31">
        <v>80000.0</v>
      </c>
      <c r="H115" s="31">
        <v>100000.0</v>
      </c>
      <c r="I115" s="11" t="s">
        <v>267</v>
      </c>
      <c r="J115" s="11" t="s">
        <v>87</v>
      </c>
      <c r="K115" s="38">
        <f t="shared" si="5"/>
        <v>0.8</v>
      </c>
      <c r="L115" s="18" t="s">
        <v>268</v>
      </c>
      <c r="M115" s="18" t="s">
        <v>268</v>
      </c>
      <c r="N115" s="42"/>
      <c r="O115" s="42"/>
      <c r="P115" s="42"/>
      <c r="Q115" s="42" t="str">
        <f>iferror(VLOOKUP(A115,'Positional cal'!A:H,1,0)=A115,"FALSE")</f>
        <v>FALSE</v>
      </c>
      <c r="R115" s="43" t="b">
        <f t="shared" si="3"/>
        <v>0</v>
      </c>
      <c r="S115" s="46" t="str">
        <f>IFERROR(VLOOKUP($A115,AlgoUi!$A:$X,21,0),"NA")</f>
        <v/>
      </c>
      <c r="T115" s="46" t="str">
        <f>IFERROR(VLOOKUP($A115,AlgoUi!$A:$X,23,0),"")</f>
        <v/>
      </c>
      <c r="U115" s="46" t="str">
        <f>IFERROR(VLOOKUP($A115,AlgoUi!$A:$X,24,0),"")</f>
        <v/>
      </c>
      <c r="V115" s="42" t="str">
        <f>IFERROR(__xludf.DUMMYFUNCTION("IFERROR(VLOOKUP(I115,IMPORTRANGE(""https://docs.google.com/spreadsheets/d/17FOIUYQAjPk1pPQIlvOgqYDBqwUqgb7KWzp4DtVksBk/edit?gid=0#gid=0"",""Servers!A:S""),19,FALSE), ""Not Running"")"),"Not Running")</f>
        <v>Not Running</v>
      </c>
      <c r="W115" s="47" t="str">
        <f>VLOOKUP($A115,Category!$A:$E,4,0)</f>
        <v>MS</v>
      </c>
      <c r="X115" s="47" t="str">
        <f>VLOOKUP($A115,Category!$A:$E,5,0)</f>
        <v>MSS</v>
      </c>
      <c r="Y115" s="18" t="str">
        <f>VLOOKUP(A115,PAcc!$A$1:$J$27,10,0)</f>
        <v>#N/A</v>
      </c>
      <c r="Z115" s="42" t="b">
        <f t="shared" si="4"/>
        <v>0</v>
      </c>
      <c r="AA115" s="42"/>
      <c r="AB115" s="42" t="str">
        <f>VLOOKUP(A115,VlookupSheet!$A$383:$A$523,1,0)</f>
        <v>#N/A</v>
      </c>
      <c r="AC115" s="50">
        <v>0.01</v>
      </c>
      <c r="AD115" s="42"/>
      <c r="AE115" s="42"/>
      <c r="AF115" s="42"/>
    </row>
    <row r="116">
      <c r="A116" s="30" t="s">
        <v>961</v>
      </c>
      <c r="B116" s="84" t="s">
        <v>962</v>
      </c>
      <c r="C116" s="85"/>
      <c r="D116" s="11" t="s">
        <v>77</v>
      </c>
      <c r="E116" s="11">
        <f t="shared" si="9"/>
        <v>1</v>
      </c>
      <c r="F116" s="30" t="s">
        <v>311</v>
      </c>
      <c r="G116" s="31">
        <v>1.0</v>
      </c>
      <c r="H116" s="31">
        <v>1.0</v>
      </c>
      <c r="I116" s="34" t="s">
        <v>267</v>
      </c>
      <c r="J116" s="30" t="s">
        <v>87</v>
      </c>
      <c r="K116" s="38">
        <f t="shared" si="5"/>
        <v>1</v>
      </c>
      <c r="L116" s="18" t="s">
        <v>268</v>
      </c>
      <c r="M116" s="18" t="s">
        <v>268</v>
      </c>
      <c r="N116" s="74"/>
      <c r="O116" s="74"/>
      <c r="P116" s="74"/>
      <c r="Q116" s="42" t="str">
        <f>iferror(VLOOKUP(A116,'Positional cal'!A:H,1,0)=A116,"FALSE")</f>
        <v>FALSE</v>
      </c>
      <c r="R116" s="43" t="b">
        <f t="shared" si="3"/>
        <v>0</v>
      </c>
      <c r="S116" s="46" t="str">
        <f>IFERROR(VLOOKUP($A116,AlgoUi!$A:$X,21,0),"NA")</f>
        <v/>
      </c>
      <c r="T116" s="46" t="str">
        <f>IFERROR(VLOOKUP($A116,AlgoUi!$A:$X,23,0),"")</f>
        <v/>
      </c>
      <c r="U116" s="46" t="str">
        <f>IFERROR(VLOOKUP($A116,AlgoUi!$A:$X,24,0),"")</f>
        <v/>
      </c>
      <c r="V116" s="42" t="str">
        <f>IFERROR(__xludf.DUMMYFUNCTION("IFERROR(VLOOKUP(I116,IMPORTRANGE(""https://docs.google.com/spreadsheets/d/17FOIUYQAjPk1pPQIlvOgqYDBqwUqgb7KWzp4DtVksBk/edit?gid=0#gid=0"",""Servers!A:S""),19,FALSE), ""Not Running"")"),"Not Running")</f>
        <v>Not Running</v>
      </c>
      <c r="W116" s="47" t="str">
        <f>VLOOKUP($A116,Category!$A:$E,4,0)</f>
        <v>MS</v>
      </c>
      <c r="X116" s="47" t="str">
        <f>VLOOKUP($A116,Category!$A:$E,5,0)</f>
        <v>MSR</v>
      </c>
      <c r="Y116" s="18" t="str">
        <f>VLOOKUP(A116,PAcc!$A$1:$J$27,10,0)</f>
        <v>#N/A</v>
      </c>
      <c r="Z116" s="42" t="b">
        <f t="shared" si="4"/>
        <v>0</v>
      </c>
      <c r="AA116" s="42"/>
      <c r="AB116" s="42" t="str">
        <f>VLOOKUP(A116,VlookupSheet!$A$383:$A$523,1,0)</f>
        <v>#N/A</v>
      </c>
      <c r="AC116" s="50">
        <v>0.01</v>
      </c>
      <c r="AD116" s="42"/>
      <c r="AE116" s="42"/>
      <c r="AF116" s="42"/>
    </row>
    <row r="117">
      <c r="A117" s="11" t="s">
        <v>689</v>
      </c>
      <c r="B117" s="84" t="s">
        <v>963</v>
      </c>
      <c r="C117" s="25"/>
      <c r="D117" s="11" t="s">
        <v>964</v>
      </c>
      <c r="E117" s="11">
        <f t="shared" si="9"/>
        <v>0.7</v>
      </c>
      <c r="F117" s="30" t="s">
        <v>965</v>
      </c>
      <c r="G117" s="31">
        <v>1.0</v>
      </c>
      <c r="H117" s="31">
        <v>1.0</v>
      </c>
      <c r="I117" s="34" t="s">
        <v>267</v>
      </c>
      <c r="J117" s="11" t="s">
        <v>87</v>
      </c>
      <c r="K117" s="38">
        <f t="shared" si="5"/>
        <v>1</v>
      </c>
      <c r="L117" s="18" t="s">
        <v>268</v>
      </c>
      <c r="M117" s="18" t="s">
        <v>268</v>
      </c>
      <c r="N117" s="18"/>
      <c r="O117" s="18"/>
      <c r="P117" s="18"/>
      <c r="Q117" s="42" t="str">
        <f>iferror(VLOOKUP(A117,'Positional cal'!A:H,1,0)=A117,"FALSE")</f>
        <v>FALSE</v>
      </c>
      <c r="R117" s="43" t="b">
        <f t="shared" si="3"/>
        <v>0</v>
      </c>
      <c r="S117" s="46" t="str">
        <f>IFERROR(VLOOKUP($A117,AlgoUi!$A:$X,21,0),"NA")</f>
        <v/>
      </c>
      <c r="T117" s="46" t="str">
        <f>IFERROR(VLOOKUP($A117,AlgoUi!$A:$X,23,0),"")</f>
        <v/>
      </c>
      <c r="U117" s="46" t="str">
        <f>IFERROR(VLOOKUP($A117,AlgoUi!$A:$X,24,0),"")</f>
        <v/>
      </c>
      <c r="V117" s="42" t="str">
        <f>IFERROR(__xludf.DUMMYFUNCTION("IFERROR(VLOOKUP(I117,IMPORTRANGE(""https://docs.google.com/spreadsheets/d/17FOIUYQAjPk1pPQIlvOgqYDBqwUqgb7KWzp4DtVksBk/edit?gid=0#gid=0"",""Servers!A:S""),19,FALSE), ""Not Running"")"),"Not Running")</f>
        <v>Not Running</v>
      </c>
      <c r="W117" s="47" t="str">
        <f>VLOOKUP($A117,Category!$A:$E,4,0)</f>
        <v>MS</v>
      </c>
      <c r="X117" s="47" t="str">
        <f>VLOOKUP($A117,Category!$A:$E,5,0)</f>
        <v>MSR</v>
      </c>
      <c r="Y117" s="18" t="str">
        <f>VLOOKUP(A117,PAcc!$A$1:$J$27,10,0)</f>
        <v>#N/A</v>
      </c>
      <c r="Z117" s="42" t="b">
        <f t="shared" si="4"/>
        <v>0</v>
      </c>
      <c r="AA117" s="42"/>
      <c r="AB117" s="42" t="str">
        <f>VLOOKUP(A117,VlookupSheet!$A$383:$A$523,1,0)</f>
        <v>#N/A</v>
      </c>
      <c r="AC117" s="50">
        <v>0.01</v>
      </c>
      <c r="AD117" s="42"/>
      <c r="AE117" s="42"/>
      <c r="AF117" s="42"/>
    </row>
    <row r="118">
      <c r="A118" s="11" t="s">
        <v>702</v>
      </c>
      <c r="B118" s="24" t="s">
        <v>967</v>
      </c>
      <c r="C118" s="25"/>
      <c r="D118" s="11" t="s">
        <v>964</v>
      </c>
      <c r="E118" s="11">
        <f t="shared" si="9"/>
        <v>0.7</v>
      </c>
      <c r="F118" s="11" t="s">
        <v>751</v>
      </c>
      <c r="G118" s="31">
        <v>1.0</v>
      </c>
      <c r="H118" s="31">
        <v>1.0</v>
      </c>
      <c r="I118" s="34" t="s">
        <v>267</v>
      </c>
      <c r="J118" s="11" t="s">
        <v>586</v>
      </c>
      <c r="K118" s="38">
        <f t="shared" si="5"/>
        <v>1</v>
      </c>
      <c r="L118" s="18" t="s">
        <v>268</v>
      </c>
      <c r="M118" s="18" t="s">
        <v>268</v>
      </c>
      <c r="N118" s="42"/>
      <c r="O118" s="42"/>
      <c r="P118" s="42"/>
      <c r="Q118" s="42" t="str">
        <f>iferror(VLOOKUP(A118,'Positional cal'!A:H,1,0)=A118,"FALSE")</f>
        <v>FALSE</v>
      </c>
      <c r="R118" s="43" t="b">
        <f t="shared" si="3"/>
        <v>0</v>
      </c>
      <c r="S118" s="46" t="str">
        <f>IFERROR(VLOOKUP($A118,AlgoUi!$A:$X,21,0),"NA")</f>
        <v/>
      </c>
      <c r="T118" s="46" t="str">
        <f>IFERROR(VLOOKUP($A118,AlgoUi!$A:$X,23,0),"")</f>
        <v/>
      </c>
      <c r="U118" s="46" t="str">
        <f>IFERROR(VLOOKUP($A118,AlgoUi!$A:$X,24,0),"")</f>
        <v/>
      </c>
      <c r="V118" s="42" t="str">
        <f>IFERROR(__xludf.DUMMYFUNCTION("IFERROR(VLOOKUP(I118,IMPORTRANGE(""https://docs.google.com/spreadsheets/d/17FOIUYQAjPk1pPQIlvOgqYDBqwUqgb7KWzp4DtVksBk/edit?gid=0#gid=0"",""Servers!A:S""),19,FALSE), ""Not Running"")"),"Not Running")</f>
        <v>Not Running</v>
      </c>
      <c r="W118" s="47" t="str">
        <f>VLOOKUP($A118,Category!$A:$E,4,0)</f>
        <v>MS</v>
      </c>
      <c r="X118" s="47" t="str">
        <f>VLOOKUP($A118,Category!$A:$E,5,0)</f>
        <v>MSR</v>
      </c>
      <c r="Y118" s="18" t="str">
        <f>VLOOKUP(A118,PAcc!$A$1:$J$27,10,0)</f>
        <v>#N/A</v>
      </c>
      <c r="Z118" s="42" t="b">
        <f t="shared" si="4"/>
        <v>0</v>
      </c>
      <c r="AA118" s="42"/>
      <c r="AB118" s="42" t="str">
        <f>VLOOKUP(A118,VlookupSheet!$A$383:$A$523,1,0)</f>
        <v>#N/A</v>
      </c>
      <c r="AC118" s="50">
        <v>0.01</v>
      </c>
      <c r="AD118" s="42"/>
      <c r="AE118" s="42"/>
      <c r="AF118" s="42"/>
    </row>
    <row r="119">
      <c r="A119" s="11" t="s">
        <v>969</v>
      </c>
      <c r="B119" s="24" t="s">
        <v>970</v>
      </c>
      <c r="C119" s="25"/>
      <c r="D119" s="11" t="s">
        <v>964</v>
      </c>
      <c r="E119" s="11">
        <f t="shared" si="9"/>
        <v>0.7</v>
      </c>
      <c r="F119" s="11" t="s">
        <v>285</v>
      </c>
      <c r="G119" s="31">
        <v>1.0</v>
      </c>
      <c r="H119" s="31">
        <v>1.0</v>
      </c>
      <c r="I119" s="11" t="s">
        <v>267</v>
      </c>
      <c r="J119" s="11" t="s">
        <v>87</v>
      </c>
      <c r="K119" s="38">
        <f t="shared" si="5"/>
        <v>1</v>
      </c>
      <c r="L119" s="18" t="s">
        <v>268</v>
      </c>
      <c r="M119" s="18" t="s">
        <v>268</v>
      </c>
      <c r="N119" s="42"/>
      <c r="O119" s="42"/>
      <c r="P119" s="42"/>
      <c r="Q119" s="42" t="str">
        <f>iferror(VLOOKUP(A119,'Positional cal'!A:H,1,0)=A119,"FALSE")</f>
        <v>FALSE</v>
      </c>
      <c r="R119" s="43" t="b">
        <f t="shared" si="3"/>
        <v>0</v>
      </c>
      <c r="S119" s="46" t="str">
        <f>IFERROR(VLOOKUP($A119,AlgoUi!$A:$X,21,0),"NA")</f>
        <v/>
      </c>
      <c r="T119" s="46" t="str">
        <f>IFERROR(VLOOKUP($A119,AlgoUi!$A:$X,23,0),"")</f>
        <v/>
      </c>
      <c r="U119" s="46" t="str">
        <f>IFERROR(VLOOKUP($A119,AlgoUi!$A:$X,24,0),"")</f>
        <v/>
      </c>
      <c r="V119" s="42" t="str">
        <f>IFERROR(__xludf.DUMMYFUNCTION("IFERROR(VLOOKUP(I119,IMPORTRANGE(""https://docs.google.com/spreadsheets/d/17FOIUYQAjPk1pPQIlvOgqYDBqwUqgb7KWzp4DtVksBk/edit?gid=0#gid=0"",""Servers!A:S""),19,FALSE), ""Not Running"")"),"Not Running")</f>
        <v>Not Running</v>
      </c>
      <c r="W119" s="47" t="str">
        <f>VLOOKUP($A119,Category!$A:$E,4,0)</f>
        <v>MS</v>
      </c>
      <c r="X119" s="47" t="str">
        <f>VLOOKUP($A119,Category!$A:$E,5,0)</f>
        <v>MSJ</v>
      </c>
      <c r="Y119" s="18" t="str">
        <f>VLOOKUP(A119,PAcc!$A$1:$J$27,10,0)</f>
        <v>#N/A</v>
      </c>
      <c r="Z119" s="42" t="b">
        <f t="shared" si="4"/>
        <v>0</v>
      </c>
      <c r="AA119" s="42"/>
      <c r="AB119" s="42" t="str">
        <f>VLOOKUP(A119,VlookupSheet!$A$383:$A$523,1,0)</f>
        <v>#N/A</v>
      </c>
      <c r="AC119" s="50">
        <v>0.01</v>
      </c>
      <c r="AD119" s="42"/>
      <c r="AE119" s="42"/>
      <c r="AF119" s="42"/>
    </row>
    <row r="120">
      <c r="A120" s="11" t="s">
        <v>971</v>
      </c>
      <c r="B120" s="84" t="s">
        <v>972</v>
      </c>
      <c r="C120" s="25"/>
      <c r="D120" s="11" t="s">
        <v>77</v>
      </c>
      <c r="E120" s="11">
        <f t="shared" si="9"/>
        <v>0</v>
      </c>
      <c r="F120" s="34" t="s">
        <v>973</v>
      </c>
      <c r="G120" s="31">
        <v>0.0</v>
      </c>
      <c r="H120" s="31">
        <v>0.0</v>
      </c>
      <c r="I120" s="34" t="s">
        <v>267</v>
      </c>
      <c r="J120" s="11" t="s">
        <v>87</v>
      </c>
      <c r="K120" s="38" t="str">
        <f t="shared" si="5"/>
        <v>-</v>
      </c>
      <c r="L120" s="18" t="s">
        <v>268</v>
      </c>
      <c r="M120" s="18" t="s">
        <v>268</v>
      </c>
      <c r="N120" s="34"/>
      <c r="O120" s="34"/>
      <c r="P120" s="34" t="s">
        <v>273</v>
      </c>
      <c r="Q120" s="42" t="str">
        <f>iferror(VLOOKUP(A120,'Positional cal'!A:H,1,0)=A120,"FALSE")</f>
        <v>FALSE</v>
      </c>
      <c r="R120" s="43" t="b">
        <f t="shared" si="3"/>
        <v>1</v>
      </c>
      <c r="S120" s="46" t="str">
        <f>IFERROR(VLOOKUP($A120,AlgoUi!$A:$X,21,0),"NA")</f>
        <v/>
      </c>
      <c r="T120" s="46" t="str">
        <f>IFERROR(VLOOKUP($A120,AlgoUi!$A:$X,23,0),"")</f>
        <v/>
      </c>
      <c r="U120" s="46" t="str">
        <f>IFERROR(VLOOKUP($A120,AlgoUi!$A:$X,24,0),"")</f>
        <v/>
      </c>
      <c r="V120" s="42" t="str">
        <f>IFERROR(__xludf.DUMMYFUNCTION("IFERROR(VLOOKUP(I120,IMPORTRANGE(""https://docs.google.com/spreadsheets/d/17FOIUYQAjPk1pPQIlvOgqYDBqwUqgb7KWzp4DtVksBk/edit?gid=0#gid=0"",""Servers!A:S""),19,FALSE), ""Not Running"")"),"Not Running")</f>
        <v>Not Running</v>
      </c>
      <c r="W120" s="47" t="str">
        <f>VLOOKUP($A120,Category!$A:$E,4,0)</f>
        <v>MS</v>
      </c>
      <c r="X120" s="47" t="str">
        <f>VLOOKUP($A120,Category!$A:$E,5,0)</f>
        <v>MSRG</v>
      </c>
      <c r="Y120" s="18" t="str">
        <f>VLOOKUP(A120,PAcc!$A$1:$J$27,10,0)</f>
        <v>#N/A</v>
      </c>
      <c r="Z120" s="42" t="b">
        <f t="shared" si="4"/>
        <v>1</v>
      </c>
      <c r="AA120" s="42"/>
      <c r="AB120" s="42" t="str">
        <f>VLOOKUP(A120,VlookupSheet!$A$383:$A$523,1,0)</f>
        <v>#N/A</v>
      </c>
      <c r="AC120" s="50">
        <v>0.01</v>
      </c>
      <c r="AD120" s="42"/>
      <c r="AE120" s="42"/>
      <c r="AF120" s="42"/>
    </row>
    <row r="121">
      <c r="A121" s="11" t="s">
        <v>974</v>
      </c>
      <c r="B121" s="24" t="s">
        <v>975</v>
      </c>
      <c r="C121" s="25"/>
      <c r="D121" s="11" t="s">
        <v>77</v>
      </c>
      <c r="E121" s="11">
        <f t="shared" si="9"/>
        <v>0</v>
      </c>
      <c r="F121" s="11" t="s">
        <v>751</v>
      </c>
      <c r="G121" s="31">
        <v>0.0</v>
      </c>
      <c r="H121" s="31">
        <v>0.0</v>
      </c>
      <c r="I121" s="18" t="s">
        <v>267</v>
      </c>
      <c r="J121" s="11" t="s">
        <v>87</v>
      </c>
      <c r="K121" s="38" t="str">
        <f t="shared" si="5"/>
        <v>-</v>
      </c>
      <c r="L121" s="18" t="s">
        <v>268</v>
      </c>
      <c r="M121" s="18" t="s">
        <v>268</v>
      </c>
      <c r="N121" s="42"/>
      <c r="O121" s="42"/>
      <c r="P121" s="42"/>
      <c r="Q121" s="42" t="str">
        <f>iferror(VLOOKUP(A121,'Positional cal'!A:H,1,0)=A121,"FALSE")</f>
        <v>FALSE</v>
      </c>
      <c r="R121" s="43" t="b">
        <f t="shared" si="3"/>
        <v>1</v>
      </c>
      <c r="S121" s="46" t="str">
        <f>IFERROR(VLOOKUP($A121,AlgoUi!$A:$X,21,0),"NA")</f>
        <v/>
      </c>
      <c r="T121" s="46" t="str">
        <f>IFERROR(VLOOKUP($A121,AlgoUi!$A:$X,23,0),"")</f>
        <v/>
      </c>
      <c r="U121" s="46" t="str">
        <f>IFERROR(VLOOKUP($A121,AlgoUi!$A:$X,24,0),"")</f>
        <v/>
      </c>
      <c r="V121" s="42" t="str">
        <f>IFERROR(__xludf.DUMMYFUNCTION("IFERROR(VLOOKUP(I121,IMPORTRANGE(""https://docs.google.com/spreadsheets/d/17FOIUYQAjPk1pPQIlvOgqYDBqwUqgb7KWzp4DtVksBk/edit?gid=0#gid=0"",""Servers!A:S""),19,FALSE), ""Not Running"")"),"Not Running")</f>
        <v>Not Running</v>
      </c>
      <c r="W121" s="47" t="str">
        <f>VLOOKUP($A121,Category!$A:$E,4,0)</f>
        <v>MS</v>
      </c>
      <c r="X121" s="47" t="str">
        <f>VLOOKUP($A121,Category!$A:$E,5,0)</f>
        <v>MSR</v>
      </c>
      <c r="Y121" s="18" t="str">
        <f>VLOOKUP(A121,PAcc!$A$1:$J$27,10,0)</f>
        <v>#N/A</v>
      </c>
      <c r="Z121" s="42" t="b">
        <f t="shared" si="4"/>
        <v>1</v>
      </c>
      <c r="AA121" s="42"/>
      <c r="AB121" s="42" t="str">
        <f>VLOOKUP(A121,VlookupSheet!$A$383:$A$523,1,0)</f>
        <v>#N/A</v>
      </c>
      <c r="AC121" s="50">
        <v>0.01</v>
      </c>
      <c r="AD121" s="42"/>
      <c r="AE121" s="42"/>
      <c r="AF121" s="42"/>
    </row>
    <row r="122">
      <c r="A122" s="11" t="s">
        <v>976</v>
      </c>
      <c r="B122" s="24" t="s">
        <v>977</v>
      </c>
      <c r="C122" s="25"/>
      <c r="D122" s="11" t="s">
        <v>77</v>
      </c>
      <c r="E122" s="11">
        <f t="shared" si="9"/>
        <v>0</v>
      </c>
      <c r="F122" s="11" t="s">
        <v>886</v>
      </c>
      <c r="G122" s="31">
        <v>0.0</v>
      </c>
      <c r="H122" s="31">
        <v>0.0</v>
      </c>
      <c r="I122" s="11" t="s">
        <v>267</v>
      </c>
      <c r="J122" s="11" t="s">
        <v>87</v>
      </c>
      <c r="K122" s="38" t="str">
        <f t="shared" si="5"/>
        <v>-</v>
      </c>
      <c r="L122" s="18" t="s">
        <v>268</v>
      </c>
      <c r="M122" s="18" t="s">
        <v>268</v>
      </c>
      <c r="N122" s="18"/>
      <c r="O122" s="18"/>
      <c r="P122" s="18" t="s">
        <v>848</v>
      </c>
      <c r="Q122" s="42" t="str">
        <f>iferror(VLOOKUP(A122,'Positional cal'!A:H,1,0)=A122,"FALSE")</f>
        <v>FALSE</v>
      </c>
      <c r="R122" s="43" t="b">
        <f t="shared" si="3"/>
        <v>1</v>
      </c>
      <c r="S122" s="46" t="str">
        <f>IFERROR(VLOOKUP($A122,AlgoUi!$A:$X,21,0),"NA")</f>
        <v/>
      </c>
      <c r="T122" s="46" t="str">
        <f>IFERROR(VLOOKUP($A122,AlgoUi!$A:$X,23,0),"")</f>
        <v/>
      </c>
      <c r="U122" s="46" t="str">
        <f>IFERROR(VLOOKUP($A122,AlgoUi!$A:$X,24,0),"")</f>
        <v/>
      </c>
      <c r="V122" s="42" t="str">
        <f>IFERROR(__xludf.DUMMYFUNCTION("IFERROR(VLOOKUP(I122,IMPORTRANGE(""https://docs.google.com/spreadsheets/d/17FOIUYQAjPk1pPQIlvOgqYDBqwUqgb7KWzp4DtVksBk/edit?gid=0#gid=0"",""Servers!A:S""),19,FALSE), ""Not Running"")"),"Not Running")</f>
        <v>Not Running</v>
      </c>
      <c r="W122" s="47" t="str">
        <f>VLOOKUP($A122,Category!$A:$E,4,0)</f>
        <v>MS</v>
      </c>
      <c r="X122" s="47" t="str">
        <f>VLOOKUP($A122,Category!$A:$E,5,0)</f>
        <v>MSS</v>
      </c>
      <c r="Y122" s="18" t="str">
        <f>VLOOKUP(A122,PAcc!$A$1:$J$27,10,0)</f>
        <v>#N/A</v>
      </c>
      <c r="Z122" s="42" t="b">
        <f t="shared" si="4"/>
        <v>1</v>
      </c>
      <c r="AA122" s="42"/>
      <c r="AB122" s="42" t="str">
        <f>VLOOKUP(A122,VlookupSheet!$A$383:$A$523,1,0)</f>
        <v>#N/A</v>
      </c>
      <c r="AC122" s="50">
        <v>0.01</v>
      </c>
      <c r="AD122" s="42"/>
      <c r="AE122" s="42"/>
      <c r="AF122" s="42"/>
    </row>
    <row r="123">
      <c r="A123" s="11" t="s">
        <v>978</v>
      </c>
      <c r="B123" s="24" t="s">
        <v>979</v>
      </c>
      <c r="C123" s="25"/>
      <c r="D123" s="11" t="s">
        <v>865</v>
      </c>
      <c r="E123" s="11">
        <f t="shared" si="9"/>
        <v>176000</v>
      </c>
      <c r="F123" s="30" t="s">
        <v>232</v>
      </c>
      <c r="G123" s="31">
        <v>176000.0</v>
      </c>
      <c r="H123" s="31">
        <v>220000.0</v>
      </c>
      <c r="I123" s="18" t="s">
        <v>267</v>
      </c>
      <c r="J123" s="11" t="s">
        <v>87</v>
      </c>
      <c r="K123" s="38">
        <f t="shared" si="5"/>
        <v>0.8</v>
      </c>
      <c r="L123" s="18" t="s">
        <v>268</v>
      </c>
      <c r="M123" s="18" t="s">
        <v>268</v>
      </c>
      <c r="N123" s="42"/>
      <c r="O123" s="42"/>
      <c r="P123" s="42"/>
      <c r="Q123" s="42" t="str">
        <f>iferror(VLOOKUP(A123,'Positional cal'!A:H,1,0)=A123,"FALSE")</f>
        <v>FALSE</v>
      </c>
      <c r="R123" s="43" t="b">
        <f t="shared" si="3"/>
        <v>0</v>
      </c>
      <c r="S123" s="46" t="str">
        <f>IFERROR(VLOOKUP($A123,AlgoUi!$A:$X,21,0),"NA")</f>
        <v/>
      </c>
      <c r="T123" s="46" t="str">
        <f>IFERROR(VLOOKUP($A123,AlgoUi!$A:$X,23,0),"")</f>
        <v/>
      </c>
      <c r="U123" s="46" t="str">
        <f>IFERROR(VLOOKUP($A123,AlgoUi!$A:$X,24,0),"")</f>
        <v/>
      </c>
      <c r="V123" s="42" t="str">
        <f>IFERROR(__xludf.DUMMYFUNCTION("IFERROR(VLOOKUP(I123,IMPORTRANGE(""https://docs.google.com/spreadsheets/d/17FOIUYQAjPk1pPQIlvOgqYDBqwUqgb7KWzp4DtVksBk/edit?gid=0#gid=0"",""Servers!A:S""),19,FALSE), ""Not Running"")"),"Not Running")</f>
        <v>Not Running</v>
      </c>
      <c r="W123" s="47" t="str">
        <f>VLOOKUP($A123,Category!$A:$E,4,0)</f>
        <v>MS</v>
      </c>
      <c r="X123" s="47" t="str">
        <f>VLOOKUP($A123,Category!$A:$E,5,0)</f>
        <v>MSR</v>
      </c>
      <c r="Y123" s="18" t="str">
        <f>VLOOKUP(A123,PAcc!$A$1:$J$27,10,0)</f>
        <v>#N/A</v>
      </c>
      <c r="Z123" s="42" t="b">
        <f t="shared" si="4"/>
        <v>0</v>
      </c>
      <c r="AA123" s="42"/>
      <c r="AB123" s="42" t="str">
        <f>VLOOKUP(A123,VlookupSheet!$A$383:$A$523,1,0)</f>
        <v>#N/A</v>
      </c>
      <c r="AC123" s="50">
        <v>0.01</v>
      </c>
      <c r="AD123" s="42"/>
      <c r="AE123" s="42"/>
      <c r="AF123" s="42"/>
    </row>
    <row r="124">
      <c r="A124" s="11" t="s">
        <v>980</v>
      </c>
      <c r="B124" s="24" t="s">
        <v>981</v>
      </c>
      <c r="C124" s="25"/>
      <c r="D124" s="11" t="s">
        <v>874</v>
      </c>
      <c r="E124" s="11">
        <f t="shared" si="9"/>
        <v>6000000</v>
      </c>
      <c r="F124" s="30" t="s">
        <v>311</v>
      </c>
      <c r="G124" s="11">
        <v>6000000.0</v>
      </c>
      <c r="H124" s="31">
        <v>200000.0</v>
      </c>
      <c r="I124" s="11" t="s">
        <v>267</v>
      </c>
      <c r="J124" s="11" t="s">
        <v>87</v>
      </c>
      <c r="K124" s="38">
        <f t="shared" si="5"/>
        <v>30</v>
      </c>
      <c r="L124" s="18" t="s">
        <v>268</v>
      </c>
      <c r="M124" s="18" t="s">
        <v>268</v>
      </c>
      <c r="N124" s="18"/>
      <c r="O124" s="18">
        <v>0.0</v>
      </c>
      <c r="P124" s="18" t="s">
        <v>112</v>
      </c>
      <c r="Q124" s="42" t="str">
        <f>iferror(VLOOKUP(A124,'Positional cal'!A:H,1,0)=A124,"FALSE")</f>
        <v>FALSE</v>
      </c>
      <c r="R124" s="43" t="b">
        <f t="shared" si="3"/>
        <v>0</v>
      </c>
      <c r="S124" s="46" t="str">
        <f>IFERROR(VLOOKUP($A124,AlgoUi!$A:$X,21,0),"NA")</f>
        <v/>
      </c>
      <c r="T124" s="46" t="str">
        <f>IFERROR(VLOOKUP($A124,AlgoUi!$A:$X,23,0),"")</f>
        <v/>
      </c>
      <c r="U124" s="46" t="str">
        <f>IFERROR(VLOOKUP($A124,AlgoUi!$A:$X,24,0),"")</f>
        <v/>
      </c>
      <c r="V124" s="42" t="str">
        <f>IFERROR(__xludf.DUMMYFUNCTION("IFERROR(VLOOKUP(I124,IMPORTRANGE(""https://docs.google.com/spreadsheets/d/17FOIUYQAjPk1pPQIlvOgqYDBqwUqgb7KWzp4DtVksBk/edit?gid=0#gid=0"",""Servers!A:S""),19,FALSE), ""Not Running"")"),"Not Running")</f>
        <v>Not Running</v>
      </c>
      <c r="W124" s="47" t="str">
        <f>VLOOKUP($A124,Category!$A:$E,4,0)</f>
        <v>MS</v>
      </c>
      <c r="X124" s="47" t="str">
        <f>VLOOKUP($A124,Category!$A:$E,5,0)</f>
        <v>MSR</v>
      </c>
      <c r="Y124" s="18" t="str">
        <f>VLOOKUP(A124,PAcc!$A$1:$J$27,10,0)</f>
        <v>#N/A</v>
      </c>
      <c r="Z124" s="42" t="b">
        <f t="shared" si="4"/>
        <v>0</v>
      </c>
      <c r="AA124" s="42"/>
      <c r="AB124" s="42" t="str">
        <f>VLOOKUP(A124,VlookupSheet!$A$383:$A$523,1,0)</f>
        <v>#N/A</v>
      </c>
      <c r="AC124" s="50">
        <v>0.01</v>
      </c>
      <c r="AD124" s="42"/>
      <c r="AE124" s="42"/>
      <c r="AF124" s="42"/>
    </row>
    <row r="125">
      <c r="A125" s="11" t="s">
        <v>982</v>
      </c>
      <c r="B125" s="24" t="s">
        <v>983</v>
      </c>
      <c r="C125" s="25"/>
      <c r="D125" s="11" t="s">
        <v>865</v>
      </c>
      <c r="E125" s="11">
        <f t="shared" si="9"/>
        <v>0.8</v>
      </c>
      <c r="F125" s="30" t="s">
        <v>232</v>
      </c>
      <c r="G125" s="31">
        <v>1.0</v>
      </c>
      <c r="H125" s="31">
        <v>1.0</v>
      </c>
      <c r="I125" s="34" t="s">
        <v>267</v>
      </c>
      <c r="J125" s="11" t="s">
        <v>87</v>
      </c>
      <c r="K125" s="38">
        <f t="shared" si="5"/>
        <v>1</v>
      </c>
      <c r="L125" s="18" t="s">
        <v>268</v>
      </c>
      <c r="M125" s="18" t="s">
        <v>268</v>
      </c>
      <c r="N125" s="42"/>
      <c r="O125" s="42"/>
      <c r="P125" s="42"/>
      <c r="Q125" s="42" t="str">
        <f>iferror(VLOOKUP(A125,'Positional cal'!A:H,1,0)=A125,"FALSE")</f>
        <v>FALSE</v>
      </c>
      <c r="R125" s="43" t="b">
        <f t="shared" si="3"/>
        <v>0</v>
      </c>
      <c r="S125" s="46" t="str">
        <f>IFERROR(VLOOKUP($A125,AlgoUi!$A:$X,21,0),"NA")</f>
        <v/>
      </c>
      <c r="T125" s="46" t="str">
        <f>IFERROR(VLOOKUP($A125,AlgoUi!$A:$X,23,0),"")</f>
        <v/>
      </c>
      <c r="U125" s="46" t="str">
        <f>IFERROR(VLOOKUP($A125,AlgoUi!$A:$X,24,0),"")</f>
        <v/>
      </c>
      <c r="V125" s="42" t="str">
        <f>IFERROR(__xludf.DUMMYFUNCTION("IFERROR(VLOOKUP(I125,IMPORTRANGE(""https://docs.google.com/spreadsheets/d/17FOIUYQAjPk1pPQIlvOgqYDBqwUqgb7KWzp4DtVksBk/edit?gid=0#gid=0"",""Servers!A:S""),19,FALSE), ""Not Running"")"),"Not Running")</f>
        <v>Not Running</v>
      </c>
      <c r="W125" s="47" t="str">
        <f>VLOOKUP($A125,Category!$A:$E,4,0)</f>
        <v>MS</v>
      </c>
      <c r="X125" s="47" t="str">
        <f>VLOOKUP($A125,Category!$A:$E,5,0)</f>
        <v>MSR</v>
      </c>
      <c r="Y125" s="18" t="str">
        <f>VLOOKUP(A125,PAcc!$A$1:$J$27,10,0)</f>
        <v>#N/A</v>
      </c>
      <c r="Z125" s="42" t="b">
        <f t="shared" si="4"/>
        <v>0</v>
      </c>
      <c r="AA125" s="42"/>
      <c r="AB125" s="42" t="str">
        <f>VLOOKUP(A125,VlookupSheet!$A$383:$A$523,1,0)</f>
        <v>#N/A</v>
      </c>
      <c r="AC125" s="50">
        <v>0.01</v>
      </c>
      <c r="AD125" s="42"/>
      <c r="AE125" s="42"/>
      <c r="AF125" s="42"/>
    </row>
    <row r="126">
      <c r="A126" s="11" t="s">
        <v>130</v>
      </c>
      <c r="B126" s="145" t="s">
        <v>984</v>
      </c>
      <c r="C126" s="25"/>
      <c r="D126" s="11" t="s">
        <v>865</v>
      </c>
      <c r="E126" s="11">
        <f t="shared" si="9"/>
        <v>80000</v>
      </c>
      <c r="F126" s="11" t="s">
        <v>716</v>
      </c>
      <c r="G126" s="31">
        <v>80000.0</v>
      </c>
      <c r="H126" s="31">
        <v>100000.0</v>
      </c>
      <c r="I126" s="11" t="s">
        <v>267</v>
      </c>
      <c r="J126" s="11" t="s">
        <v>87</v>
      </c>
      <c r="K126" s="38">
        <f t="shared" si="5"/>
        <v>0.8</v>
      </c>
      <c r="L126" s="18" t="s">
        <v>268</v>
      </c>
      <c r="M126" s="18" t="s">
        <v>268</v>
      </c>
      <c r="N126" s="18"/>
      <c r="O126" s="18"/>
      <c r="P126" s="18" t="s">
        <v>848</v>
      </c>
      <c r="Q126" s="42" t="str">
        <f>iferror(VLOOKUP(A126,'Positional cal'!A:H,1,0)=A126,"FALSE")</f>
        <v>FALSE</v>
      </c>
      <c r="R126" s="43" t="b">
        <f t="shared" si="3"/>
        <v>0</v>
      </c>
      <c r="S126" s="46" t="str">
        <f>IFERROR(VLOOKUP($A126,AlgoUi!$A:$X,21,0),"NA")</f>
        <v/>
      </c>
      <c r="T126" s="46" t="str">
        <f>IFERROR(VLOOKUP($A126,AlgoUi!$A:$X,23,0),"")</f>
        <v/>
      </c>
      <c r="U126" s="46" t="str">
        <f>IFERROR(VLOOKUP($A126,AlgoUi!$A:$X,24,0),"")</f>
        <v/>
      </c>
      <c r="V126" s="42" t="str">
        <f>IFERROR(__xludf.DUMMYFUNCTION("IFERROR(VLOOKUP(I126,IMPORTRANGE(""https://docs.google.com/spreadsheets/d/17FOIUYQAjPk1pPQIlvOgqYDBqwUqgb7KWzp4DtVksBk/edit?gid=0#gid=0"",""Servers!A:S""),19,FALSE), ""Not Running"")"),"Not Running")</f>
        <v>Not Running</v>
      </c>
      <c r="W126" s="47" t="str">
        <f>VLOOKUP($A126,Category!$A:$E,4,0)</f>
        <v>MS</v>
      </c>
      <c r="X126" s="47" t="str">
        <f>VLOOKUP($A126,Category!$A:$E,5,0)</f>
        <v>MSS</v>
      </c>
      <c r="Y126" s="18" t="str">
        <f>VLOOKUP(A126,PAcc!$A$1:$J$27,10,0)</f>
        <v>#N/A</v>
      </c>
      <c r="Z126" s="42" t="b">
        <f t="shared" si="4"/>
        <v>0</v>
      </c>
      <c r="AA126" s="42"/>
      <c r="AB126" s="42" t="str">
        <f>VLOOKUP(A126,VlookupSheet!$A$383:$A$523,1,0)</f>
        <v>#N/A</v>
      </c>
      <c r="AC126" s="50">
        <v>0.01</v>
      </c>
      <c r="AD126" s="42"/>
      <c r="AE126" s="42"/>
      <c r="AF126" s="42"/>
    </row>
    <row r="127">
      <c r="A127" s="11" t="s">
        <v>986</v>
      </c>
      <c r="B127" s="24" t="s">
        <v>987</v>
      </c>
      <c r="C127" s="25"/>
      <c r="D127" s="25"/>
      <c r="E127" s="25"/>
      <c r="F127" s="11" t="s">
        <v>973</v>
      </c>
      <c r="G127" s="31">
        <v>1.0</v>
      </c>
      <c r="H127" s="31">
        <v>1.0</v>
      </c>
      <c r="I127" s="11" t="s">
        <v>267</v>
      </c>
      <c r="J127" s="11" t="s">
        <v>87</v>
      </c>
      <c r="K127" s="38">
        <f t="shared" si="5"/>
        <v>1</v>
      </c>
      <c r="L127" s="18" t="s">
        <v>268</v>
      </c>
      <c r="M127" s="18" t="s">
        <v>268</v>
      </c>
      <c r="N127" s="18"/>
      <c r="O127" s="18"/>
      <c r="P127" s="18"/>
      <c r="Q127" s="42" t="str">
        <f>iferror(VLOOKUP(A127,'Positional cal'!A:H,1,0)=A127,"FALSE")</f>
        <v>FALSE</v>
      </c>
      <c r="R127" s="43" t="b">
        <f t="shared" si="3"/>
        <v>0</v>
      </c>
      <c r="S127" s="46" t="str">
        <f>IFERROR(VLOOKUP($A127,AlgoUi!$A:$X,21,0),"NA")</f>
        <v/>
      </c>
      <c r="T127" s="46" t="str">
        <f>IFERROR(VLOOKUP($A127,AlgoUi!$A:$X,23,0),"")</f>
        <v/>
      </c>
      <c r="U127" s="46" t="str">
        <f>IFERROR(VLOOKUP($A127,AlgoUi!$A:$X,24,0),"")</f>
        <v/>
      </c>
      <c r="V127" s="42" t="str">
        <f>IFERROR(__xludf.DUMMYFUNCTION("IFERROR(VLOOKUP(I127,IMPORTRANGE(""https://docs.google.com/spreadsheets/d/17FOIUYQAjPk1pPQIlvOgqYDBqwUqgb7KWzp4DtVksBk/edit?gid=0#gid=0"",""Servers!A:S""),19,FALSE), ""Not Running"")"),"Not Running")</f>
        <v>Not Running</v>
      </c>
      <c r="W127" s="47" t="str">
        <f>VLOOKUP($A127,Category!$A:$E,4,0)</f>
        <v>MS</v>
      </c>
      <c r="X127" s="47" t="str">
        <f>VLOOKUP($A127,Category!$A:$E,5,0)</f>
        <v>MSR</v>
      </c>
      <c r="Y127" s="18" t="str">
        <f>VLOOKUP(A127,PAcc!$A$1:$J$27,10,0)</f>
        <v>#N/A</v>
      </c>
      <c r="Z127" s="42" t="b">
        <f t="shared" si="4"/>
        <v>0</v>
      </c>
      <c r="AA127" s="42"/>
      <c r="AB127" s="42" t="str">
        <f>VLOOKUP(A127,VlookupSheet!$A$383:$A$523,1,0)</f>
        <v>#N/A</v>
      </c>
      <c r="AC127" s="50">
        <v>0.01</v>
      </c>
      <c r="AD127" s="42"/>
      <c r="AE127" s="42"/>
      <c r="AF127" s="42"/>
    </row>
    <row r="128">
      <c r="A128" s="11" t="s">
        <v>56</v>
      </c>
      <c r="B128" s="24" t="s">
        <v>988</v>
      </c>
      <c r="C128" s="25"/>
      <c r="D128" s="11" t="s">
        <v>77</v>
      </c>
      <c r="E128" s="31">
        <v>100000.0</v>
      </c>
      <c r="F128" s="11" t="s">
        <v>716</v>
      </c>
      <c r="G128" s="31">
        <v>100000.0</v>
      </c>
      <c r="H128" s="31">
        <v>100000.0</v>
      </c>
      <c r="I128" s="11" t="s">
        <v>267</v>
      </c>
      <c r="J128" s="11" t="s">
        <v>907</v>
      </c>
      <c r="K128" s="38">
        <f t="shared" si="5"/>
        <v>1</v>
      </c>
      <c r="L128" s="18" t="s">
        <v>268</v>
      </c>
      <c r="M128" s="18" t="s">
        <v>268</v>
      </c>
      <c r="N128" s="18"/>
      <c r="O128" s="18"/>
      <c r="P128" s="18" t="s">
        <v>848</v>
      </c>
      <c r="Q128" s="42" t="str">
        <f>iferror(VLOOKUP(A128,'Positional cal'!A:H,1,0)=A128,"FALSE")</f>
        <v>FALSE</v>
      </c>
      <c r="R128" s="43" t="b">
        <f t="shared" si="3"/>
        <v>0</v>
      </c>
      <c r="S128" s="46" t="str">
        <f>IFERROR(VLOOKUP($A128,AlgoUi!$A:$X,21,0),"NA")</f>
        <v/>
      </c>
      <c r="T128" s="46" t="str">
        <f>IFERROR(VLOOKUP($A128,AlgoUi!$A:$X,23,0),"")</f>
        <v/>
      </c>
      <c r="U128" s="46" t="str">
        <f>IFERROR(VLOOKUP($A128,AlgoUi!$A:$X,24,0),"")</f>
        <v/>
      </c>
      <c r="V128" s="42" t="str">
        <f>IFERROR(__xludf.DUMMYFUNCTION("IFERROR(VLOOKUP(I128,IMPORTRANGE(""https://docs.google.com/spreadsheets/d/17FOIUYQAjPk1pPQIlvOgqYDBqwUqgb7KWzp4DtVksBk/edit?gid=0#gid=0"",""Servers!A:S""),19,FALSE), ""Not Running"")"),"Not Running")</f>
        <v>Not Running</v>
      </c>
      <c r="W128" s="47" t="str">
        <f>VLOOKUP($A128,Category!$A:$E,4,0)</f>
        <v>MS</v>
      </c>
      <c r="X128" s="47" t="str">
        <f>VLOOKUP($A128,Category!$A:$E,5,0)</f>
        <v>MSS</v>
      </c>
      <c r="Y128" s="18" t="str">
        <f>VLOOKUP(A128,PAcc!$A$1:$J$27,10,0)</f>
        <v>#N/A</v>
      </c>
      <c r="Z128" s="42" t="b">
        <f t="shared" si="4"/>
        <v>0</v>
      </c>
      <c r="AA128" s="42"/>
      <c r="AB128" s="42" t="str">
        <f>VLOOKUP(A128,VlookupSheet!$A$383:$A$523,1,0)</f>
        <v>#N/A</v>
      </c>
      <c r="AC128" s="50">
        <v>0.01</v>
      </c>
      <c r="AD128" s="42"/>
      <c r="AE128" s="42"/>
      <c r="AF128" s="42"/>
    </row>
    <row r="129">
      <c r="A129" s="11" t="s">
        <v>618</v>
      </c>
      <c r="B129" s="24" t="s">
        <v>989</v>
      </c>
      <c r="C129" s="25"/>
      <c r="D129" s="11" t="s">
        <v>964</v>
      </c>
      <c r="E129" s="11">
        <f t="shared" ref="E129:E131" si="10">H129*D129</f>
        <v>0.7</v>
      </c>
      <c r="F129" s="30" t="s">
        <v>266</v>
      </c>
      <c r="G129" s="31">
        <v>1.0</v>
      </c>
      <c r="H129" s="31">
        <v>1.0</v>
      </c>
      <c r="I129" s="18" t="s">
        <v>267</v>
      </c>
      <c r="J129" s="11" t="s">
        <v>87</v>
      </c>
      <c r="K129" s="38">
        <f t="shared" si="5"/>
        <v>1</v>
      </c>
      <c r="L129" s="18" t="s">
        <v>268</v>
      </c>
      <c r="M129" s="18" t="s">
        <v>268</v>
      </c>
      <c r="N129" s="42"/>
      <c r="O129" s="42"/>
      <c r="P129" s="42"/>
      <c r="Q129" s="42" t="str">
        <f>iferror(VLOOKUP(A129,'Positional cal'!A:H,1,0)=A129,"FALSE")</f>
        <v>FALSE</v>
      </c>
      <c r="R129" s="43" t="b">
        <f t="shared" si="3"/>
        <v>0</v>
      </c>
      <c r="S129" s="46" t="str">
        <f>IFERROR(VLOOKUP($A129,AlgoUi!$A:$X,21,0),"NA")</f>
        <v/>
      </c>
      <c r="T129" s="46" t="str">
        <f>IFERROR(VLOOKUP($A129,AlgoUi!$A:$X,23,0),"")</f>
        <v/>
      </c>
      <c r="U129" s="46" t="str">
        <f>IFERROR(VLOOKUP($A129,AlgoUi!$A:$X,24,0),"")</f>
        <v/>
      </c>
      <c r="V129" s="42" t="str">
        <f>IFERROR(__xludf.DUMMYFUNCTION("IFERROR(VLOOKUP(I129,IMPORTRANGE(""https://docs.google.com/spreadsheets/d/17FOIUYQAjPk1pPQIlvOgqYDBqwUqgb7KWzp4DtVksBk/edit?gid=0#gid=0"",""Servers!A:S""),19,FALSE), ""Not Running"")"),"Not Running")</f>
        <v>Not Running</v>
      </c>
      <c r="W129" s="47" t="str">
        <f>VLOOKUP($A129,Category!$A:$E,4,0)</f>
        <v>MS</v>
      </c>
      <c r="X129" s="47" t="str">
        <f>VLOOKUP($A129,Category!$A:$E,5,0)</f>
        <v>MSJ</v>
      </c>
      <c r="Y129" s="18" t="str">
        <f>VLOOKUP(A129,PAcc!$A$1:$J$27,10,0)</f>
        <v>#N/A</v>
      </c>
      <c r="Z129" s="42" t="b">
        <f t="shared" si="4"/>
        <v>0</v>
      </c>
      <c r="AA129" s="42"/>
      <c r="AB129" s="42" t="str">
        <f>VLOOKUP(A129,VlookupSheet!$A$383:$A$523,1,0)</f>
        <v>#N/A</v>
      </c>
      <c r="AC129" s="50">
        <v>0.01</v>
      </c>
      <c r="AD129" s="42"/>
      <c r="AE129" s="42"/>
      <c r="AF129" s="42"/>
    </row>
    <row r="130">
      <c r="A130" s="11" t="s">
        <v>990</v>
      </c>
      <c r="B130" s="24" t="s">
        <v>991</v>
      </c>
      <c r="C130" s="25"/>
      <c r="D130" s="11" t="s">
        <v>865</v>
      </c>
      <c r="E130" s="11">
        <f t="shared" si="10"/>
        <v>0.8</v>
      </c>
      <c r="F130" s="30" t="s">
        <v>232</v>
      </c>
      <c r="G130" s="31">
        <v>1.0</v>
      </c>
      <c r="H130" s="31">
        <v>1.0</v>
      </c>
      <c r="I130" s="11" t="s">
        <v>267</v>
      </c>
      <c r="J130" s="11" t="s">
        <v>87</v>
      </c>
      <c r="K130" s="38">
        <f t="shared" si="5"/>
        <v>1</v>
      </c>
      <c r="L130" s="18" t="s">
        <v>268</v>
      </c>
      <c r="M130" s="18" t="s">
        <v>268</v>
      </c>
      <c r="N130" s="42"/>
      <c r="O130" s="42"/>
      <c r="P130" s="42"/>
      <c r="Q130" s="42" t="str">
        <f>iferror(VLOOKUP(A130,'Positional cal'!A:H,1,0)=A130,"FALSE")</f>
        <v>FALSE</v>
      </c>
      <c r="R130" s="43" t="b">
        <f t="shared" si="3"/>
        <v>0</v>
      </c>
      <c r="S130" s="46" t="str">
        <f>IFERROR(VLOOKUP($A130,AlgoUi!$A:$X,21,0),"NA")</f>
        <v/>
      </c>
      <c r="T130" s="46" t="str">
        <f>IFERROR(VLOOKUP($A130,AlgoUi!$A:$X,23,0),"")</f>
        <v/>
      </c>
      <c r="U130" s="46" t="str">
        <f>IFERROR(VLOOKUP($A130,AlgoUi!$A:$X,24,0),"")</f>
        <v/>
      </c>
      <c r="V130" s="42" t="str">
        <f>IFERROR(__xludf.DUMMYFUNCTION("IFERROR(VLOOKUP(I130,IMPORTRANGE(""https://docs.google.com/spreadsheets/d/17FOIUYQAjPk1pPQIlvOgqYDBqwUqgb7KWzp4DtVksBk/edit?gid=0#gid=0"",""Servers!A:S""),19,FALSE), ""Not Running"")"),"Not Running")</f>
        <v>Not Running</v>
      </c>
      <c r="W130" s="47" t="str">
        <f>VLOOKUP($A130,Category!$A:$E,4,0)</f>
        <v>MS</v>
      </c>
      <c r="X130" s="47" t="str">
        <f>VLOOKUP($A130,Category!$A:$E,5,0)</f>
        <v>MSR</v>
      </c>
      <c r="Y130" s="18" t="str">
        <f>VLOOKUP(A130,PAcc!$A$1:$J$27,10,0)</f>
        <v>#N/A</v>
      </c>
      <c r="Z130" s="42" t="b">
        <f t="shared" si="4"/>
        <v>0</v>
      </c>
      <c r="AA130" s="42"/>
      <c r="AB130" s="42" t="str">
        <f>VLOOKUP(A130,VlookupSheet!$A$383:$A$523,1,0)</f>
        <v>#N/A</v>
      </c>
      <c r="AC130" s="50">
        <v>0.01</v>
      </c>
      <c r="AD130" s="42"/>
      <c r="AE130" s="42"/>
      <c r="AF130" s="42"/>
    </row>
    <row r="131">
      <c r="A131" s="172" t="s">
        <v>992</v>
      </c>
      <c r="B131" s="24" t="s">
        <v>993</v>
      </c>
      <c r="C131" s="25"/>
      <c r="D131" s="11" t="s">
        <v>77</v>
      </c>
      <c r="E131" s="11">
        <f t="shared" si="10"/>
        <v>100000</v>
      </c>
      <c r="F131" s="11" t="s">
        <v>716</v>
      </c>
      <c r="G131" s="31">
        <v>100000.0</v>
      </c>
      <c r="H131" s="31">
        <v>100000.0</v>
      </c>
      <c r="I131" s="11" t="s">
        <v>267</v>
      </c>
      <c r="J131" s="11" t="s">
        <v>77</v>
      </c>
      <c r="K131" s="38">
        <f t="shared" si="5"/>
        <v>1</v>
      </c>
      <c r="L131" s="18" t="s">
        <v>268</v>
      </c>
      <c r="M131" s="18" t="s">
        <v>268</v>
      </c>
      <c r="N131" s="18"/>
      <c r="O131" s="18"/>
      <c r="P131" s="18" t="s">
        <v>848</v>
      </c>
      <c r="Q131" s="42" t="str">
        <f>iferror(VLOOKUP(A131,'Positional cal'!A:H,1,0)=A131,"FALSE")</f>
        <v>FALSE</v>
      </c>
      <c r="R131" s="43" t="b">
        <f t="shared" si="3"/>
        <v>0</v>
      </c>
      <c r="S131" s="46" t="str">
        <f>IFERROR(VLOOKUP($A131,AlgoUi!$A:$X,21,0),"NA")</f>
        <v/>
      </c>
      <c r="T131" s="46" t="str">
        <f>IFERROR(VLOOKUP($A131,AlgoUi!$A:$X,23,0),"")</f>
        <v/>
      </c>
      <c r="U131" s="46" t="str">
        <f>IFERROR(VLOOKUP($A131,AlgoUi!$A:$X,24,0),"")</f>
        <v/>
      </c>
      <c r="V131" s="42" t="str">
        <f>IFERROR(__xludf.DUMMYFUNCTION("IFERROR(VLOOKUP(I131,IMPORTRANGE(""https://docs.google.com/spreadsheets/d/17FOIUYQAjPk1pPQIlvOgqYDBqwUqgb7KWzp4DtVksBk/edit?gid=0#gid=0"",""Servers!A:S""),19,FALSE), ""Not Running"")"),"Not Running")</f>
        <v>Not Running</v>
      </c>
      <c r="W131" s="47" t="str">
        <f>VLOOKUP($A131,Category!$A:$E,4,0)</f>
        <v>MS</v>
      </c>
      <c r="X131" s="47" t="str">
        <f>VLOOKUP($A131,Category!$A:$E,5,0)</f>
        <v>MSS</v>
      </c>
      <c r="Y131" s="18" t="str">
        <f>VLOOKUP(A131,PAcc!$A$1:$J$27,10,0)</f>
        <v>#N/A</v>
      </c>
      <c r="Z131" s="42" t="b">
        <f t="shared" si="4"/>
        <v>0</v>
      </c>
      <c r="AA131" s="42"/>
      <c r="AB131" s="42" t="str">
        <f>VLOOKUP(A131,VlookupSheet!$A$383:$A$523,1,0)</f>
        <v>#N/A</v>
      </c>
      <c r="AC131" s="50">
        <v>0.01</v>
      </c>
      <c r="AD131" s="42"/>
      <c r="AE131" s="42"/>
      <c r="AF131" s="42"/>
    </row>
    <row r="132">
      <c r="A132" s="11" t="s">
        <v>994</v>
      </c>
      <c r="B132" s="24" t="s">
        <v>995</v>
      </c>
      <c r="C132" s="25"/>
      <c r="D132" s="11" t="s">
        <v>77</v>
      </c>
      <c r="E132" s="31">
        <v>100000.0</v>
      </c>
      <c r="F132" s="11" t="s">
        <v>716</v>
      </c>
      <c r="G132" s="31">
        <v>1.0</v>
      </c>
      <c r="H132" s="31">
        <v>1.0</v>
      </c>
      <c r="I132" s="11" t="s">
        <v>267</v>
      </c>
      <c r="J132" s="11" t="s">
        <v>87</v>
      </c>
      <c r="K132" s="38">
        <f t="shared" si="5"/>
        <v>1</v>
      </c>
      <c r="L132" s="18" t="s">
        <v>268</v>
      </c>
      <c r="M132" s="18" t="s">
        <v>268</v>
      </c>
      <c r="N132" s="42"/>
      <c r="O132" s="42"/>
      <c r="P132" s="42"/>
      <c r="Q132" s="42" t="str">
        <f>iferror(VLOOKUP(A132,'Positional cal'!A:H,1,0)=A132,"FALSE")</f>
        <v>FALSE</v>
      </c>
      <c r="R132" s="43" t="b">
        <f t="shared" si="3"/>
        <v>0</v>
      </c>
      <c r="S132" s="46" t="str">
        <f>IFERROR(VLOOKUP($A132,AlgoUi!$A:$X,21,0),"NA")</f>
        <v/>
      </c>
      <c r="T132" s="46" t="str">
        <f>IFERROR(VLOOKUP($A132,AlgoUi!$A:$X,23,0),"")</f>
        <v/>
      </c>
      <c r="U132" s="46" t="str">
        <f>IFERROR(VLOOKUP($A132,AlgoUi!$A:$X,24,0),"")</f>
        <v/>
      </c>
      <c r="V132" s="42" t="str">
        <f>IFERROR(__xludf.DUMMYFUNCTION("IFERROR(VLOOKUP(I132,IMPORTRANGE(""https://docs.google.com/spreadsheets/d/17FOIUYQAjPk1pPQIlvOgqYDBqwUqgb7KWzp4DtVksBk/edit?gid=0#gid=0"",""Servers!A:S""),19,FALSE), ""Not Running"")"),"Not Running")</f>
        <v>Not Running</v>
      </c>
      <c r="W132" s="47" t="str">
        <f>VLOOKUP($A132,Category!$A:$E,4,0)</f>
        <v>MS</v>
      </c>
      <c r="X132" s="47" t="str">
        <f>VLOOKUP($A132,Category!$A:$E,5,0)</f>
        <v>MSS</v>
      </c>
      <c r="Y132" s="18" t="str">
        <f>VLOOKUP(A132,PAcc!$A$1:$J$27,10,0)</f>
        <v>#N/A</v>
      </c>
      <c r="Z132" s="42" t="b">
        <f t="shared" si="4"/>
        <v>0</v>
      </c>
      <c r="AA132" s="42"/>
      <c r="AB132" s="42" t="str">
        <f>VLOOKUP(A132,VlookupSheet!$A$383:$A$523,1,0)</f>
        <v>#N/A</v>
      </c>
      <c r="AC132" s="50">
        <v>0.01</v>
      </c>
      <c r="AD132" s="42"/>
      <c r="AE132" s="42"/>
      <c r="AF132" s="42"/>
    </row>
    <row r="133">
      <c r="A133" s="11" t="s">
        <v>996</v>
      </c>
      <c r="B133" s="145" t="s">
        <v>997</v>
      </c>
      <c r="C133" s="25"/>
      <c r="D133" s="11" t="s">
        <v>865</v>
      </c>
      <c r="E133" s="11">
        <f>H133*D133</f>
        <v>80000</v>
      </c>
      <c r="F133" s="11" t="s">
        <v>716</v>
      </c>
      <c r="G133" s="31">
        <v>80000.0</v>
      </c>
      <c r="H133" s="31">
        <v>100000.0</v>
      </c>
      <c r="I133" s="11" t="s">
        <v>267</v>
      </c>
      <c r="J133" s="11" t="s">
        <v>87</v>
      </c>
      <c r="K133" s="38">
        <f t="shared" si="5"/>
        <v>0.8</v>
      </c>
      <c r="L133" s="18" t="s">
        <v>268</v>
      </c>
      <c r="M133" s="18" t="s">
        <v>268</v>
      </c>
      <c r="N133" s="18"/>
      <c r="O133" s="18"/>
      <c r="P133" s="18" t="s">
        <v>848</v>
      </c>
      <c r="Q133" s="42" t="str">
        <f>iferror(VLOOKUP(A133,'Positional cal'!A:H,1,0)=A133,"FALSE")</f>
        <v>FALSE</v>
      </c>
      <c r="R133" s="43" t="b">
        <f t="shared" si="3"/>
        <v>0</v>
      </c>
      <c r="S133" s="46" t="str">
        <f>IFERROR(VLOOKUP($A133,AlgoUi!$A:$X,21,0),"NA")</f>
        <v/>
      </c>
      <c r="T133" s="46" t="str">
        <f>IFERROR(VLOOKUP($A133,AlgoUi!$A:$X,23,0),"")</f>
        <v/>
      </c>
      <c r="U133" s="46" t="str">
        <f>IFERROR(VLOOKUP($A133,AlgoUi!$A:$X,24,0),"")</f>
        <v/>
      </c>
      <c r="V133" s="42" t="str">
        <f>IFERROR(__xludf.DUMMYFUNCTION("IFERROR(VLOOKUP(I133,IMPORTRANGE(""https://docs.google.com/spreadsheets/d/17FOIUYQAjPk1pPQIlvOgqYDBqwUqgb7KWzp4DtVksBk/edit?gid=0#gid=0"",""Servers!A:S""),19,FALSE), ""Not Running"")"),"Not Running")</f>
        <v>Not Running</v>
      </c>
      <c r="W133" s="47" t="str">
        <f>VLOOKUP($A133,Category!$A:$E,4,0)</f>
        <v>MS</v>
      </c>
      <c r="X133" s="47" t="str">
        <f>VLOOKUP($A133,Category!$A:$E,5,0)</f>
        <v>MSS</v>
      </c>
      <c r="Y133" s="18" t="str">
        <f>VLOOKUP(A133,PAcc!$A$1:$J$27,10,0)</f>
        <v>#N/A</v>
      </c>
      <c r="Z133" s="42" t="b">
        <f t="shared" si="4"/>
        <v>0</v>
      </c>
      <c r="AA133" s="42"/>
      <c r="AB133" s="42" t="str">
        <f>VLOOKUP(A133,VlookupSheet!$A$383:$A$523,1,0)</f>
        <v>#N/A</v>
      </c>
      <c r="AC133" s="50">
        <v>0.01</v>
      </c>
      <c r="AD133" s="42"/>
      <c r="AE133" s="42"/>
      <c r="AF133" s="42"/>
    </row>
    <row r="134">
      <c r="A134" s="11" t="s">
        <v>998</v>
      </c>
      <c r="B134" s="24" t="s">
        <v>999</v>
      </c>
      <c r="C134" s="25"/>
      <c r="D134" s="11" t="s">
        <v>77</v>
      </c>
      <c r="E134" s="31">
        <v>100000.0</v>
      </c>
      <c r="F134" s="11" t="s">
        <v>716</v>
      </c>
      <c r="G134" s="31">
        <v>100000.0</v>
      </c>
      <c r="H134" s="31">
        <v>100000.0</v>
      </c>
      <c r="I134" s="11" t="s">
        <v>267</v>
      </c>
      <c r="J134" s="11" t="s">
        <v>907</v>
      </c>
      <c r="K134" s="38">
        <f t="shared" si="5"/>
        <v>1</v>
      </c>
      <c r="L134" s="18" t="s">
        <v>268</v>
      </c>
      <c r="M134" s="18" t="s">
        <v>268</v>
      </c>
      <c r="N134" s="42"/>
      <c r="O134" s="42"/>
      <c r="P134" s="42"/>
      <c r="Q134" s="42" t="str">
        <f>iferror(VLOOKUP(A134,'Positional cal'!A:H,1,0)=A134,"FALSE")</f>
        <v>FALSE</v>
      </c>
      <c r="R134" s="43" t="b">
        <f t="shared" si="3"/>
        <v>0</v>
      </c>
      <c r="S134" s="46" t="str">
        <f>IFERROR(VLOOKUP($A134,AlgoUi!$A:$X,21,0),"NA")</f>
        <v/>
      </c>
      <c r="T134" s="46" t="str">
        <f>IFERROR(VLOOKUP($A134,AlgoUi!$A:$X,23,0),"")</f>
        <v/>
      </c>
      <c r="U134" s="46" t="str">
        <f>IFERROR(VLOOKUP($A134,AlgoUi!$A:$X,24,0),"")</f>
        <v/>
      </c>
      <c r="V134" s="42" t="str">
        <f>IFERROR(__xludf.DUMMYFUNCTION("IFERROR(VLOOKUP(I134,IMPORTRANGE(""https://docs.google.com/spreadsheets/d/17FOIUYQAjPk1pPQIlvOgqYDBqwUqgb7KWzp4DtVksBk/edit?gid=0#gid=0"",""Servers!A:S""),19,FALSE), ""Not Running"")"),"Not Running")</f>
        <v>Not Running</v>
      </c>
      <c r="W134" s="47" t="str">
        <f>VLOOKUP($A134,Category!$A:$E,4,0)</f>
        <v>MS</v>
      </c>
      <c r="X134" s="47" t="str">
        <f>VLOOKUP($A134,Category!$A:$E,5,0)</f>
        <v>MSS</v>
      </c>
      <c r="Y134" s="18" t="str">
        <f>VLOOKUP(A134,PAcc!$A$1:$J$27,10,0)</f>
        <v>#N/A</v>
      </c>
      <c r="Z134" s="42" t="b">
        <f t="shared" si="4"/>
        <v>0</v>
      </c>
      <c r="AA134" s="42"/>
      <c r="AB134" s="42" t="str">
        <f>VLOOKUP(A134,VlookupSheet!$A$383:$A$523,1,0)</f>
        <v>#N/A</v>
      </c>
      <c r="AC134" s="50">
        <v>0.01</v>
      </c>
      <c r="AD134" s="42"/>
      <c r="AE134" s="42"/>
      <c r="AF134" s="42"/>
    </row>
    <row r="135">
      <c r="A135" s="11" t="s">
        <v>1000</v>
      </c>
      <c r="B135" s="145" t="s">
        <v>1001</v>
      </c>
      <c r="C135" s="25"/>
      <c r="D135" s="11" t="s">
        <v>865</v>
      </c>
      <c r="E135" s="11">
        <f t="shared" ref="E135:E136" si="11">H135*D135</f>
        <v>0.8</v>
      </c>
      <c r="F135" s="11" t="s">
        <v>716</v>
      </c>
      <c r="G135" s="31">
        <v>1.0</v>
      </c>
      <c r="H135" s="31">
        <v>1.0</v>
      </c>
      <c r="I135" s="11" t="s">
        <v>267</v>
      </c>
      <c r="J135" s="11" t="s">
        <v>87</v>
      </c>
      <c r="K135" s="173">
        <v>1.0</v>
      </c>
      <c r="L135" s="18" t="s">
        <v>268</v>
      </c>
      <c r="M135" s="18" t="s">
        <v>268</v>
      </c>
      <c r="N135" s="18"/>
      <c r="O135" s="18"/>
      <c r="P135" s="18" t="s">
        <v>1002</v>
      </c>
      <c r="Q135" s="42" t="str">
        <f>iferror(VLOOKUP(A135,'Positional cal'!A:H,1,0)=A135,"FALSE")</f>
        <v>FALSE</v>
      </c>
      <c r="R135" s="43" t="b">
        <f t="shared" si="3"/>
        <v>0</v>
      </c>
      <c r="S135" s="46" t="str">
        <f>IFERROR(VLOOKUP($A135,AlgoUi!$A:$X,21,0),"NA")</f>
        <v/>
      </c>
      <c r="T135" s="46" t="str">
        <f>IFERROR(VLOOKUP($A135,AlgoUi!$A:$X,23,0),"")</f>
        <v/>
      </c>
      <c r="U135" s="46" t="str">
        <f>IFERROR(VLOOKUP($A135,AlgoUi!$A:$X,24,0),"")</f>
        <v/>
      </c>
      <c r="V135" s="42" t="str">
        <f>IFERROR(__xludf.DUMMYFUNCTION("IFERROR(VLOOKUP(I135,IMPORTRANGE(""https://docs.google.com/spreadsheets/d/17FOIUYQAjPk1pPQIlvOgqYDBqwUqgb7KWzp4DtVksBk/edit?gid=0#gid=0"",""Servers!A:S""),19,FALSE), ""Not Running"")"),"Not Running")</f>
        <v>Not Running</v>
      </c>
      <c r="W135" s="47" t="str">
        <f>VLOOKUP($A135,Category!$A:$E,4,0)</f>
        <v>MS</v>
      </c>
      <c r="X135" s="47" t="str">
        <f>VLOOKUP($A135,Category!$A:$E,5,0)</f>
        <v>MSS</v>
      </c>
      <c r="Y135" s="18" t="str">
        <f>VLOOKUP(A135,PAcc!$A$1:$J$27,10,0)</f>
        <v>#N/A</v>
      </c>
      <c r="Z135" s="42" t="b">
        <f t="shared" si="4"/>
        <v>0</v>
      </c>
      <c r="AA135" s="42"/>
      <c r="AB135" s="42" t="str">
        <f>VLOOKUP(A135,VlookupSheet!$A$383:$A$523,1,0)</f>
        <v>#N/A</v>
      </c>
      <c r="AC135" s="50">
        <v>0.01</v>
      </c>
      <c r="AD135" s="42"/>
      <c r="AE135" s="42"/>
      <c r="AF135" s="42"/>
    </row>
    <row r="136">
      <c r="A136" s="24" t="s">
        <v>1003</v>
      </c>
      <c r="B136" s="84" t="s">
        <v>1004</v>
      </c>
      <c r="C136" s="25"/>
      <c r="D136" s="11" t="s">
        <v>77</v>
      </c>
      <c r="E136" s="11">
        <f t="shared" si="11"/>
        <v>1</v>
      </c>
      <c r="F136" s="11" t="s">
        <v>317</v>
      </c>
      <c r="G136" s="31">
        <v>1.0</v>
      </c>
      <c r="H136" s="31">
        <v>1.0</v>
      </c>
      <c r="I136" s="34" t="s">
        <v>267</v>
      </c>
      <c r="J136" s="30" t="s">
        <v>87</v>
      </c>
      <c r="K136" s="38">
        <f t="shared" ref="K136:K144" si="12">iferror(G136/H136,"-")</f>
        <v>1</v>
      </c>
      <c r="L136" s="18" t="s">
        <v>268</v>
      </c>
      <c r="M136" s="18" t="s">
        <v>268</v>
      </c>
      <c r="N136" s="42"/>
      <c r="O136" s="42"/>
      <c r="P136" s="42"/>
      <c r="Q136" s="42" t="str">
        <f>iferror(VLOOKUP(A136,'Positional cal'!A:H,1,0)=A136,"FALSE")</f>
        <v>FALSE</v>
      </c>
      <c r="R136" s="43" t="b">
        <f t="shared" si="3"/>
        <v>0</v>
      </c>
      <c r="S136" s="46" t="str">
        <f>IFERROR(VLOOKUP($A136,AlgoUi!$A:$X,21,0),"NA")</f>
        <v/>
      </c>
      <c r="T136" s="46" t="str">
        <f>IFERROR(VLOOKUP($A136,AlgoUi!$A:$X,23,0),"")</f>
        <v/>
      </c>
      <c r="U136" s="46" t="str">
        <f>IFERROR(VLOOKUP($A136,AlgoUi!$A:$X,24,0),"")</f>
        <v/>
      </c>
      <c r="V136" s="42" t="str">
        <f>IFERROR(__xludf.DUMMYFUNCTION("IFERROR(VLOOKUP(I136,IMPORTRANGE(""https://docs.google.com/spreadsheets/d/17FOIUYQAjPk1pPQIlvOgqYDBqwUqgb7KWzp4DtVksBk/edit?gid=0#gid=0"",""Servers!A:S""),19,FALSE), ""Not Running"")"),"Not Running")</f>
        <v>Not Running</v>
      </c>
      <c r="W136" s="47" t="str">
        <f>VLOOKUP($A136,Category!$A:$E,4,0)</f>
        <v>CC</v>
      </c>
      <c r="X136" s="47" t="str">
        <f>VLOOKUP($A136,Category!$A:$E,5,0)</f>
        <v>CCV</v>
      </c>
      <c r="Y136" s="18" t="str">
        <f>VLOOKUP(A136,PAcc!$A$1:$J$27,10,0)</f>
        <v>#N/A</v>
      </c>
      <c r="Z136" s="42" t="b">
        <f t="shared" si="4"/>
        <v>0</v>
      </c>
      <c r="AA136" s="50">
        <v>0.6</v>
      </c>
      <c r="AB136" s="42" t="str">
        <f>VLOOKUP(A136,VlookupSheet!$A$383:$A$523,1,0)</f>
        <v>#N/A</v>
      </c>
      <c r="AC136" s="50">
        <v>0.01</v>
      </c>
      <c r="AD136" s="42"/>
      <c r="AE136" s="42"/>
      <c r="AF136" s="42"/>
    </row>
    <row r="137">
      <c r="A137" s="11" t="s">
        <v>160</v>
      </c>
      <c r="B137" s="24" t="s">
        <v>1005</v>
      </c>
      <c r="C137" s="25"/>
      <c r="D137" s="11">
        <f>IF(J137="7",0.8,1)</f>
        <v>1</v>
      </c>
      <c r="E137" s="11">
        <f>D137*H137</f>
        <v>60000</v>
      </c>
      <c r="F137" s="11" t="s">
        <v>751</v>
      </c>
      <c r="G137" s="11">
        <v>60000.0</v>
      </c>
      <c r="H137" s="42">
        <v>60000.0</v>
      </c>
      <c r="I137" s="11" t="s">
        <v>54</v>
      </c>
      <c r="J137" s="11" t="s">
        <v>907</v>
      </c>
      <c r="K137" s="38">
        <f t="shared" si="12"/>
        <v>1</v>
      </c>
      <c r="L137" s="18" t="s">
        <v>910</v>
      </c>
      <c r="M137" s="18" t="s">
        <v>736</v>
      </c>
      <c r="N137" s="42"/>
      <c r="O137" s="42"/>
      <c r="P137" s="42"/>
      <c r="Q137" s="42" t="str">
        <f>iferror(VLOOKUP(A137,'Positional cal'!A:H,1,0)=A137,"FALSE")</f>
        <v>FALSE</v>
      </c>
      <c r="R137" s="43" t="b">
        <f t="shared" si="3"/>
        <v>0</v>
      </c>
      <c r="S137" s="46">
        <f>IFERROR(VLOOKUP($A137,AlgoUi!$A:$X,21,0),"NA")</f>
        <v>20000000</v>
      </c>
      <c r="T137" s="46">
        <f>IFERROR(VLOOKUP($A137,AlgoUi!$A:$X,23,0),"")</f>
        <v>20000000</v>
      </c>
      <c r="U137" s="46">
        <f>IFERROR(VLOOKUP($A137,AlgoUi!$A:$X,24,0),"")</f>
        <v>200000</v>
      </c>
      <c r="V137" s="42" t="str">
        <f>IFERROR(__xludf.DUMMYFUNCTION("IFERROR(VLOOKUP(I137,IMPORTRANGE(""https://docs.google.com/spreadsheets/d/17FOIUYQAjPk1pPQIlvOgqYDBqwUqgb7KWzp4DtVksBk/edit?gid=0#gid=0"",""Servers!A:S""),19,FALSE), ""Not Running"")"),"SAKSHIS")</f>
        <v>SAKSHIS</v>
      </c>
      <c r="W137" s="47" t="str">
        <f>VLOOKUP($A137,Category!$A:$E,4,0)</f>
        <v>MS</v>
      </c>
      <c r="X137" s="47" t="str">
        <f>VLOOKUP($A137,Category!$A:$E,5,0)</f>
        <v>MSR</v>
      </c>
      <c r="Y137" s="18" t="str">
        <f>VLOOKUP(A137,PAcc!$A$1:$J$27,10,0)</f>
        <v>#N/A</v>
      </c>
      <c r="Z137" s="42" t="b">
        <f t="shared" si="4"/>
        <v>0</v>
      </c>
      <c r="AA137" s="50">
        <v>0.25</v>
      </c>
      <c r="AB137" s="42" t="str">
        <f>VLOOKUP(A137,VlookupSheet!$A$383:$A$523,1,0)</f>
        <v>#N/A</v>
      </c>
      <c r="AC137" s="50">
        <v>0.01</v>
      </c>
      <c r="AD137" s="42">
        <f>S137*AA137</f>
        <v>5000000</v>
      </c>
      <c r="AE137" s="42">
        <f>MROUND(AD137,2000000)/100</f>
        <v>60000</v>
      </c>
      <c r="AF137" s="42">
        <f>AE137-H137</f>
        <v>0</v>
      </c>
    </row>
    <row r="138">
      <c r="A138" s="11" t="s">
        <v>1006</v>
      </c>
      <c r="B138" s="24" t="s">
        <v>1007</v>
      </c>
      <c r="C138" s="25"/>
      <c r="D138" s="11" t="s">
        <v>874</v>
      </c>
      <c r="E138" s="11">
        <f t="shared" ref="E138:E146" si="13">H138*D138</f>
        <v>30</v>
      </c>
      <c r="F138" s="30" t="s">
        <v>266</v>
      </c>
      <c r="G138" s="11" t="s">
        <v>77</v>
      </c>
      <c r="H138" s="31">
        <v>1.0</v>
      </c>
      <c r="I138" s="11" t="s">
        <v>267</v>
      </c>
      <c r="J138" s="11" t="s">
        <v>87</v>
      </c>
      <c r="K138" s="38">
        <f t="shared" si="12"/>
        <v>1</v>
      </c>
      <c r="L138" s="18" t="s">
        <v>268</v>
      </c>
      <c r="M138" s="18" t="s">
        <v>268</v>
      </c>
      <c r="N138" s="18"/>
      <c r="O138" s="18"/>
      <c r="P138" s="18" t="s">
        <v>112</v>
      </c>
      <c r="Q138" s="42" t="str">
        <f>iferror(VLOOKUP(A138,'Positional cal'!A:H,1,0)=A138,"FALSE")</f>
        <v>FALSE</v>
      </c>
      <c r="R138" s="43" t="b">
        <f t="shared" si="3"/>
        <v>0</v>
      </c>
      <c r="S138" s="46" t="str">
        <f>IFERROR(VLOOKUP($A138,AlgoUi!$A:$X,21,0),"NA")</f>
        <v/>
      </c>
      <c r="T138" s="46" t="str">
        <f>IFERROR(VLOOKUP($A138,AlgoUi!$A:$X,23,0),"")</f>
        <v/>
      </c>
      <c r="U138" s="46" t="str">
        <f>IFERROR(VLOOKUP($A138,AlgoUi!$A:$X,24,0),"")</f>
        <v/>
      </c>
      <c r="V138" s="42" t="str">
        <f>IFERROR(__xludf.DUMMYFUNCTION("IFERROR(VLOOKUP(I138,IMPORTRANGE(""https://docs.google.com/spreadsheets/d/17FOIUYQAjPk1pPQIlvOgqYDBqwUqgb7KWzp4DtVksBk/edit?gid=0#gid=0"",""Servers!A:S""),19,FALSE), ""Not Running"")"),"Not Running")</f>
        <v>Not Running</v>
      </c>
      <c r="W138" s="47" t="str">
        <f>VLOOKUP($A138,Category!$A:$E,4,0)</f>
        <v>MS</v>
      </c>
      <c r="X138" s="47" t="str">
        <f>VLOOKUP($A138,Category!$A:$E,5,0)</f>
        <v>MSJ</v>
      </c>
      <c r="Y138" s="18" t="str">
        <f>VLOOKUP(A138,PAcc!$A$1:$J$27,10,0)</f>
        <v>#N/A</v>
      </c>
      <c r="Z138" s="42" t="b">
        <f t="shared" si="4"/>
        <v>0</v>
      </c>
      <c r="AA138" s="42"/>
      <c r="AB138" s="42" t="str">
        <f>VLOOKUP(A138,VlookupSheet!$A$383:$A$523,1,0)</f>
        <v>#N/A</v>
      </c>
      <c r="AC138" s="50">
        <v>0.01</v>
      </c>
      <c r="AD138" s="42"/>
      <c r="AE138" s="42"/>
      <c r="AF138" s="42"/>
    </row>
    <row r="139">
      <c r="A139" s="11" t="s">
        <v>163</v>
      </c>
      <c r="B139" s="24" t="s">
        <v>1008</v>
      </c>
      <c r="C139" s="25"/>
      <c r="D139" s="11" t="s">
        <v>964</v>
      </c>
      <c r="E139" s="11">
        <f t="shared" si="13"/>
        <v>0.7</v>
      </c>
      <c r="F139" s="30" t="s">
        <v>646</v>
      </c>
      <c r="G139" s="31">
        <v>1.0</v>
      </c>
      <c r="H139" s="31">
        <v>1.0</v>
      </c>
      <c r="I139" s="11" t="s">
        <v>267</v>
      </c>
      <c r="J139" s="11" t="s">
        <v>87</v>
      </c>
      <c r="K139" s="38">
        <f t="shared" si="12"/>
        <v>1</v>
      </c>
      <c r="L139" s="18" t="s">
        <v>268</v>
      </c>
      <c r="M139" s="18" t="s">
        <v>268</v>
      </c>
      <c r="N139" s="42"/>
      <c r="O139" s="42"/>
      <c r="P139" s="42"/>
      <c r="Q139" s="42" t="str">
        <f>iferror(VLOOKUP(A139,'Positional cal'!A:H,1,0)=A139,"FALSE")</f>
        <v>FALSE</v>
      </c>
      <c r="R139" s="43" t="b">
        <f t="shared" si="3"/>
        <v>0</v>
      </c>
      <c r="S139" s="46" t="str">
        <f>IFERROR(VLOOKUP($A139,AlgoUi!$A:$X,21,0),"NA")</f>
        <v/>
      </c>
      <c r="T139" s="46" t="str">
        <f>IFERROR(VLOOKUP($A139,AlgoUi!$A:$X,23,0),"")</f>
        <v/>
      </c>
      <c r="U139" s="46" t="str">
        <f>IFERROR(VLOOKUP($A139,AlgoUi!$A:$X,24,0),"")</f>
        <v/>
      </c>
      <c r="V139" s="42" t="str">
        <f>IFERROR(__xludf.DUMMYFUNCTION("IFERROR(VLOOKUP(I139,IMPORTRANGE(""https://docs.google.com/spreadsheets/d/17FOIUYQAjPk1pPQIlvOgqYDBqwUqgb7KWzp4DtVksBk/edit?gid=0#gid=0"",""Servers!A:S""),19,FALSE), ""Not Running"")"),"Not Running")</f>
        <v>Not Running</v>
      </c>
      <c r="W139" s="47" t="str">
        <f>VLOOKUP($A139,Category!$A:$E,4,0)</f>
        <v>MS</v>
      </c>
      <c r="X139" s="47" t="str">
        <f>VLOOKUP($A139,Category!$A:$E,5,0)</f>
        <v>MSR</v>
      </c>
      <c r="Y139" s="18" t="str">
        <f>VLOOKUP(A139,PAcc!$A$1:$J$27,10,0)</f>
        <v>#N/A</v>
      </c>
      <c r="Z139" s="42" t="b">
        <f t="shared" si="4"/>
        <v>0</v>
      </c>
      <c r="AA139" s="42"/>
      <c r="AB139" s="42" t="str">
        <f>VLOOKUP(A139,VlookupSheet!$A$383:$A$523,1,0)</f>
        <v>#N/A</v>
      </c>
      <c r="AC139" s="50">
        <v>0.01</v>
      </c>
      <c r="AD139" s="42"/>
      <c r="AE139" s="42"/>
      <c r="AF139" s="42"/>
    </row>
    <row r="140">
      <c r="A140" s="11" t="s">
        <v>1009</v>
      </c>
      <c r="B140" s="24" t="s">
        <v>1010</v>
      </c>
      <c r="C140" s="25"/>
      <c r="D140" s="11" t="s">
        <v>874</v>
      </c>
      <c r="E140" s="11">
        <f t="shared" si="13"/>
        <v>12000000</v>
      </c>
      <c r="F140" s="11" t="s">
        <v>1011</v>
      </c>
      <c r="G140" s="11">
        <v>1.2E7</v>
      </c>
      <c r="H140" s="31">
        <v>400000.0</v>
      </c>
      <c r="I140" s="11" t="s">
        <v>267</v>
      </c>
      <c r="J140" s="11" t="s">
        <v>87</v>
      </c>
      <c r="K140" s="38">
        <f t="shared" si="12"/>
        <v>30</v>
      </c>
      <c r="L140" s="18" t="s">
        <v>268</v>
      </c>
      <c r="M140" s="18" t="s">
        <v>268</v>
      </c>
      <c r="N140" s="18"/>
      <c r="O140" s="18">
        <v>0.0</v>
      </c>
      <c r="P140" s="18" t="s">
        <v>112</v>
      </c>
      <c r="Q140" s="42" t="str">
        <f>iferror(VLOOKUP(A140,'Positional cal'!A:H,1,0)=A140,"FALSE")</f>
        <v>FALSE</v>
      </c>
      <c r="R140" s="43" t="b">
        <f t="shared" si="3"/>
        <v>0</v>
      </c>
      <c r="S140" s="46" t="str">
        <f>IFERROR(VLOOKUP($A140,AlgoUi!$A:$X,21,0),"NA")</f>
        <v/>
      </c>
      <c r="T140" s="46" t="str">
        <f>IFERROR(VLOOKUP($A140,AlgoUi!$A:$X,23,0),"")</f>
        <v/>
      </c>
      <c r="U140" s="46" t="str">
        <f>IFERROR(VLOOKUP($A140,AlgoUi!$A:$X,24,0),"")</f>
        <v/>
      </c>
      <c r="V140" s="42" t="str">
        <f>IFERROR(__xludf.DUMMYFUNCTION("IFERROR(VLOOKUP(I140,IMPORTRANGE(""https://docs.google.com/spreadsheets/d/17FOIUYQAjPk1pPQIlvOgqYDBqwUqgb7KWzp4DtVksBk/edit?gid=0#gid=0"",""Servers!A:S""),19,FALSE), ""Not Running"")"),"Not Running")</f>
        <v>Not Running</v>
      </c>
      <c r="W140" s="47" t="str">
        <f>VLOOKUP($A140,Category!$A:$E,4,0)</f>
        <v>CC</v>
      </c>
      <c r="X140" s="47" t="str">
        <f>VLOOKUP($A140,Category!$A:$E,5,0)</f>
        <v>CCV</v>
      </c>
      <c r="Y140" s="18" t="str">
        <f>VLOOKUP(A140,PAcc!$A$1:$J$27,10,0)</f>
        <v>#N/A</v>
      </c>
      <c r="Z140" s="42" t="b">
        <f t="shared" si="4"/>
        <v>0</v>
      </c>
      <c r="AA140" s="50">
        <v>0.6</v>
      </c>
      <c r="AB140" s="42" t="str">
        <f>VLOOKUP(A140,VlookupSheet!$A$383:$A$523,1,0)</f>
        <v>#N/A</v>
      </c>
      <c r="AC140" s="50">
        <v>0.01</v>
      </c>
      <c r="AD140" s="42"/>
      <c r="AE140" s="42"/>
      <c r="AF140" s="42"/>
    </row>
    <row r="141">
      <c r="A141" s="11" t="s">
        <v>1012</v>
      </c>
      <c r="B141" s="24" t="s">
        <v>1013</v>
      </c>
      <c r="C141" s="25"/>
      <c r="D141" s="11" t="s">
        <v>964</v>
      </c>
      <c r="E141" s="11">
        <f t="shared" si="13"/>
        <v>0.7</v>
      </c>
      <c r="F141" s="11" t="s">
        <v>1014</v>
      </c>
      <c r="G141" s="31">
        <v>1.0</v>
      </c>
      <c r="H141" s="31">
        <v>1.0</v>
      </c>
      <c r="I141" s="18" t="s">
        <v>267</v>
      </c>
      <c r="J141" s="11" t="s">
        <v>87</v>
      </c>
      <c r="K141" s="38">
        <f t="shared" si="12"/>
        <v>1</v>
      </c>
      <c r="L141" s="18" t="s">
        <v>268</v>
      </c>
      <c r="M141" s="18" t="s">
        <v>268</v>
      </c>
      <c r="N141" s="42"/>
      <c r="O141" s="42"/>
      <c r="P141" s="42"/>
      <c r="Q141" s="42" t="str">
        <f>iferror(VLOOKUP(A141,'Positional cal'!A:H,1,0)=A141,"FALSE")</f>
        <v>FALSE</v>
      </c>
      <c r="R141" s="43" t="b">
        <f t="shared" si="3"/>
        <v>0</v>
      </c>
      <c r="S141" s="46" t="str">
        <f>IFERROR(VLOOKUP($A141,AlgoUi!$A:$X,21,0),"NA")</f>
        <v/>
      </c>
      <c r="T141" s="46" t="str">
        <f>IFERROR(VLOOKUP($A141,AlgoUi!$A:$X,23,0),"")</f>
        <v/>
      </c>
      <c r="U141" s="46" t="str">
        <f>IFERROR(VLOOKUP($A141,AlgoUi!$A:$X,24,0),"")</f>
        <v/>
      </c>
      <c r="V141" s="42" t="str">
        <f>IFERROR(__xludf.DUMMYFUNCTION("IFERROR(VLOOKUP(I141,IMPORTRANGE(""https://docs.google.com/spreadsheets/d/17FOIUYQAjPk1pPQIlvOgqYDBqwUqgb7KWzp4DtVksBk/edit?gid=0#gid=0"",""Servers!A:S""),19,FALSE), ""Not Running"")"),"Not Running")</f>
        <v>Not Running</v>
      </c>
      <c r="W141" s="47" t="str">
        <f>VLOOKUP($A141,Category!$A:$E,4,0)</f>
        <v>MS</v>
      </c>
      <c r="X141" s="47" t="str">
        <f>VLOOKUP($A141,Category!$A:$E,5,0)</f>
        <v>MSR</v>
      </c>
      <c r="Y141" s="18" t="str">
        <f>VLOOKUP(A141,PAcc!$A$1:$J$27,10,0)</f>
        <v>#N/A</v>
      </c>
      <c r="Z141" s="42" t="b">
        <f t="shared" si="4"/>
        <v>0</v>
      </c>
      <c r="AA141" s="42"/>
      <c r="AB141" s="42" t="str">
        <f>VLOOKUP(A141,VlookupSheet!$A$383:$A$523,1,0)</f>
        <v>#N/A</v>
      </c>
      <c r="AC141" s="50">
        <v>0.01</v>
      </c>
      <c r="AD141" s="42"/>
      <c r="AE141" s="42"/>
      <c r="AF141" s="42"/>
    </row>
    <row r="142">
      <c r="A142" s="11" t="s">
        <v>1015</v>
      </c>
      <c r="B142" s="24" t="s">
        <v>1016</v>
      </c>
      <c r="C142" s="25"/>
      <c r="D142" s="11" t="s">
        <v>956</v>
      </c>
      <c r="E142" s="11">
        <f t="shared" si="13"/>
        <v>64000</v>
      </c>
      <c r="F142" s="11" t="s">
        <v>751</v>
      </c>
      <c r="G142" s="11">
        <v>64000.0</v>
      </c>
      <c r="H142" s="42">
        <v>80000.0</v>
      </c>
      <c r="I142" s="34" t="s">
        <v>1017</v>
      </c>
      <c r="J142" s="25" t="s">
        <v>1018</v>
      </c>
      <c r="K142" s="38">
        <f t="shared" si="12"/>
        <v>0.8</v>
      </c>
      <c r="L142" s="18" t="s">
        <v>910</v>
      </c>
      <c r="M142" s="18" t="s">
        <v>736</v>
      </c>
      <c r="N142" s="42"/>
      <c r="O142" s="42"/>
      <c r="P142" s="42"/>
      <c r="Q142" s="42" t="str">
        <f>iferror(VLOOKUP(A142,'Positional cal'!A:H,1,0)=A142,"FALSE")</f>
        <v>FALSE</v>
      </c>
      <c r="R142" s="43" t="b">
        <f t="shared" si="3"/>
        <v>0</v>
      </c>
      <c r="S142" s="46">
        <f>IFERROR(VLOOKUP($A142,AlgoUi!$A:$X,21,0),"NA")</f>
        <v>30000000</v>
      </c>
      <c r="T142" s="46">
        <f>IFERROR(VLOOKUP($A142,AlgoUi!$A:$X,23,0),"")</f>
        <v>30000000</v>
      </c>
      <c r="U142" s="46">
        <f>IFERROR(VLOOKUP($A142,AlgoUi!$A:$X,24,0),"")</f>
        <v>240000</v>
      </c>
      <c r="V142" s="42" t="str">
        <f>IFERROR(__xludf.DUMMYFUNCTION("IFERROR(VLOOKUP(I142,IMPORTRANGE(""https://docs.google.com/spreadsheets/d/17FOIUYQAjPk1pPQIlvOgqYDBqwUqgb7KWzp4DtVksBk/edit?gid=0#gid=0"",""Servers!A:S""),19,FALSE), ""Not Running"")"),"DUSHYANT")</f>
        <v>DUSHYANT</v>
      </c>
      <c r="W142" s="47" t="str">
        <f>VLOOKUP($A142,Category!$A:$E,4,0)</f>
        <v>MS</v>
      </c>
      <c r="X142" s="47" t="str">
        <f>VLOOKUP($A142,Category!$A:$E,5,0)</f>
        <v>MSR</v>
      </c>
      <c r="Y142" s="18" t="str">
        <f>VLOOKUP(A142,PAcc!$A$1:$J$27,10,0)</f>
        <v>#N/A</v>
      </c>
      <c r="Z142" s="42" t="b">
        <f t="shared" si="4"/>
        <v>0</v>
      </c>
      <c r="AA142" s="50">
        <v>0.25</v>
      </c>
      <c r="AB142" s="42" t="str">
        <f>VLOOKUP(A142,VlookupSheet!$A$383:$A$523,1,0)</f>
        <v>#N/A</v>
      </c>
      <c r="AC142" s="50">
        <v>0.01</v>
      </c>
      <c r="AD142" s="42">
        <f>S142*AA142</f>
        <v>7500000</v>
      </c>
      <c r="AE142" s="42">
        <f>MROUND(AD142,2000000)/100</f>
        <v>80000</v>
      </c>
      <c r="AF142" s="42">
        <f>AE142-H142</f>
        <v>0</v>
      </c>
    </row>
    <row r="143">
      <c r="A143" s="60" t="s">
        <v>1019</v>
      </c>
      <c r="B143" s="60" t="s">
        <v>1020</v>
      </c>
      <c r="C143" s="174"/>
      <c r="D143" s="60" t="s">
        <v>77</v>
      </c>
      <c r="E143" s="60">
        <f t="shared" si="13"/>
        <v>0</v>
      </c>
      <c r="F143" s="60" t="s">
        <v>886</v>
      </c>
      <c r="G143" s="175">
        <v>0.0</v>
      </c>
      <c r="H143" s="175">
        <v>0.0</v>
      </c>
      <c r="I143" s="60" t="s">
        <v>267</v>
      </c>
      <c r="J143" s="60" t="s">
        <v>87</v>
      </c>
      <c r="K143" s="38" t="str">
        <f t="shared" si="12"/>
        <v>-</v>
      </c>
      <c r="L143" s="65" t="s">
        <v>268</v>
      </c>
      <c r="M143" s="65" t="s">
        <v>268</v>
      </c>
      <c r="N143" s="65"/>
      <c r="O143" s="65"/>
      <c r="P143" s="65" t="s">
        <v>848</v>
      </c>
      <c r="Q143" s="176" t="str">
        <f>iferror(VLOOKUP(A143,'Positional cal'!A:H,1,0)=A143,"FALSE")</f>
        <v>FALSE</v>
      </c>
      <c r="R143" s="43" t="b">
        <f t="shared" si="3"/>
        <v>1</v>
      </c>
      <c r="S143" s="46" t="str">
        <f>IFERROR(VLOOKUP($A143,AlgoUi!$A:$X,21,0),"NA")</f>
        <v/>
      </c>
      <c r="T143" s="46" t="str">
        <f>IFERROR(VLOOKUP($A143,AlgoUi!$A:$X,23,0),"")</f>
        <v/>
      </c>
      <c r="U143" s="46" t="str">
        <f>IFERROR(VLOOKUP($A143,AlgoUi!$A:$X,24,0),"")</f>
        <v/>
      </c>
      <c r="V143" s="176" t="str">
        <f>IFERROR(__xludf.DUMMYFUNCTION("IFERROR(VLOOKUP(I143,IMPORTRANGE(""https://docs.google.com/spreadsheets/d/17FOIUYQAjPk1pPQIlvOgqYDBqwUqgb7KWzp4DtVksBk/edit?gid=0#gid=0"",""Servers!A:S""),19,FALSE), ""Not Running"")"),"Not Running")</f>
        <v>Not Running</v>
      </c>
      <c r="W143" s="47" t="str">
        <f>VLOOKUP($A143,Category!$A:$E,4,0)</f>
        <v>MS</v>
      </c>
      <c r="X143" s="47" t="str">
        <f>VLOOKUP($A143,Category!$A:$E,5,0)</f>
        <v>MSS</v>
      </c>
      <c r="Y143" s="18" t="str">
        <f>VLOOKUP(A143,PAcc!$A$1:$J$27,10,0)</f>
        <v>#N/A</v>
      </c>
      <c r="Z143" s="42" t="b">
        <f t="shared" si="4"/>
        <v>1</v>
      </c>
      <c r="AA143" s="176"/>
      <c r="AB143" s="42" t="str">
        <f>VLOOKUP(A143,VlookupSheet!$A$383:$A$523,1,0)</f>
        <v>#N/A</v>
      </c>
      <c r="AC143" s="50">
        <v>0.01</v>
      </c>
      <c r="AD143" s="42"/>
      <c r="AE143" s="42"/>
      <c r="AF143" s="42"/>
    </row>
    <row r="144">
      <c r="A144" s="60" t="s">
        <v>151</v>
      </c>
      <c r="B144" s="60" t="s">
        <v>1021</v>
      </c>
      <c r="C144" s="174"/>
      <c r="D144" s="60" t="s">
        <v>77</v>
      </c>
      <c r="E144" s="60">
        <f t="shared" si="13"/>
        <v>0</v>
      </c>
      <c r="F144" s="60" t="s">
        <v>886</v>
      </c>
      <c r="G144" s="175">
        <v>0.0</v>
      </c>
      <c r="H144" s="175">
        <v>0.0</v>
      </c>
      <c r="I144" s="60" t="s">
        <v>267</v>
      </c>
      <c r="J144" s="60" t="s">
        <v>87</v>
      </c>
      <c r="K144" s="38" t="str">
        <f t="shared" si="12"/>
        <v>-</v>
      </c>
      <c r="L144" s="65" t="s">
        <v>268</v>
      </c>
      <c r="M144" s="65" t="s">
        <v>268</v>
      </c>
      <c r="N144" s="18"/>
      <c r="O144" s="18"/>
      <c r="P144" s="18" t="s">
        <v>848</v>
      </c>
      <c r="Q144" s="176" t="str">
        <f>iferror(VLOOKUP(A144,'Positional cal'!A:H,1,0)=A144,"FALSE")</f>
        <v>FALSE</v>
      </c>
      <c r="R144" s="43" t="b">
        <f t="shared" si="3"/>
        <v>1</v>
      </c>
      <c r="S144" s="46" t="str">
        <f>IFERROR(VLOOKUP($A144,AlgoUi!$A:$X,21,0),"NA")</f>
        <v/>
      </c>
      <c r="T144" s="46" t="str">
        <f>IFERROR(VLOOKUP($A144,AlgoUi!$A:$X,23,0),"")</f>
        <v/>
      </c>
      <c r="U144" s="46" t="str">
        <f>IFERROR(VLOOKUP($A144,AlgoUi!$A:$X,24,0),"")</f>
        <v/>
      </c>
      <c r="V144" s="176" t="str">
        <f>IFERROR(__xludf.DUMMYFUNCTION("IFERROR(VLOOKUP(I144,IMPORTRANGE(""https://docs.google.com/spreadsheets/d/17FOIUYQAjPk1pPQIlvOgqYDBqwUqgb7KWzp4DtVksBk/edit?gid=0#gid=0"",""Servers!A:S""),19,FALSE), ""Not Running"")"),"Not Running")</f>
        <v>Not Running</v>
      </c>
      <c r="W144" s="47" t="str">
        <f>VLOOKUP($A144,Category!$A:$E,4,0)</f>
        <v>MS</v>
      </c>
      <c r="X144" s="47" t="str">
        <f>VLOOKUP($A144,Category!$A:$E,5,0)</f>
        <v>MSS</v>
      </c>
      <c r="Y144" s="18" t="str">
        <f>VLOOKUP(A144,PAcc!$A$1:$J$27,10,0)</f>
        <v>#N/A</v>
      </c>
      <c r="Z144" s="42" t="b">
        <f t="shared" si="4"/>
        <v>1</v>
      </c>
      <c r="AA144" s="65"/>
      <c r="AB144" s="42" t="str">
        <f>VLOOKUP(A144,VlookupSheet!$A$383:$A$523,1,0)</f>
        <v>#N/A</v>
      </c>
      <c r="AC144" s="50">
        <v>0.01</v>
      </c>
      <c r="AD144" s="42"/>
      <c r="AE144" s="42"/>
      <c r="AF144" s="42"/>
    </row>
    <row r="145">
      <c r="A145" s="11" t="s">
        <v>673</v>
      </c>
      <c r="B145" s="24" t="s">
        <v>1022</v>
      </c>
      <c r="C145" s="25"/>
      <c r="D145" s="11" t="s">
        <v>865</v>
      </c>
      <c r="E145" s="11">
        <f t="shared" si="13"/>
        <v>48000</v>
      </c>
      <c r="F145" s="11" t="s">
        <v>751</v>
      </c>
      <c r="G145" s="11">
        <v>48000.0</v>
      </c>
      <c r="H145" s="42">
        <v>60000.0</v>
      </c>
      <c r="I145" s="11" t="s">
        <v>1017</v>
      </c>
      <c r="J145" s="11" t="s">
        <v>1018</v>
      </c>
      <c r="K145" s="173">
        <v>0.8</v>
      </c>
      <c r="L145" s="18" t="s">
        <v>910</v>
      </c>
      <c r="M145" s="18" t="s">
        <v>736</v>
      </c>
      <c r="N145" s="42"/>
      <c r="O145" s="42"/>
      <c r="P145" s="42"/>
      <c r="Q145" s="42" t="str">
        <f>iferror(VLOOKUP(A145,'Positional cal'!A:H,1,0)=A145,"FALSE")</f>
        <v>FALSE</v>
      </c>
      <c r="R145" s="43" t="b">
        <f t="shared" si="3"/>
        <v>0</v>
      </c>
      <c r="S145" s="46">
        <f>IFERROR(VLOOKUP($A145,AlgoUi!$A:$X,21,0),"NA")</f>
        <v>20000000</v>
      </c>
      <c r="T145" s="46">
        <f>IFERROR(VLOOKUP($A145,AlgoUi!$A:$X,23,0),"")</f>
        <v>20000000</v>
      </c>
      <c r="U145" s="46">
        <f>IFERROR(VLOOKUP($A145,AlgoUi!$A:$X,24,0),"")</f>
        <v>160000</v>
      </c>
      <c r="V145" s="42" t="str">
        <f>IFERROR(__xludf.DUMMYFUNCTION("IFERROR(VLOOKUP(I145,IMPORTRANGE(""https://docs.google.com/spreadsheets/d/17FOIUYQAjPk1pPQIlvOgqYDBqwUqgb7KWzp4DtVksBk/edit?gid=0#gid=0"",""Servers!A:S""),19,FALSE), ""Not Running"")"),"DUSHYANT")</f>
        <v>DUSHYANT</v>
      </c>
      <c r="W145" s="47" t="str">
        <f>VLOOKUP($A145,Category!$A:$E,4,0)</f>
        <v>MS</v>
      </c>
      <c r="X145" s="47" t="str">
        <f>VLOOKUP($A145,Category!$A:$E,5,0)</f>
        <v>MSR</v>
      </c>
      <c r="Y145" s="18" t="str">
        <f>VLOOKUP(A145,PAcc!$A$1:$J$27,10,0)</f>
        <v>#N/A</v>
      </c>
      <c r="Z145" s="42" t="b">
        <f t="shared" si="4"/>
        <v>0</v>
      </c>
      <c r="AA145" s="50">
        <v>0.25</v>
      </c>
      <c r="AB145" s="42" t="str">
        <f>VLOOKUP(A145,VlookupSheet!$A$383:$A$523,1,0)</f>
        <v>#N/A</v>
      </c>
      <c r="AC145" s="50">
        <v>0.01</v>
      </c>
      <c r="AD145" s="42">
        <f t="shared" ref="AD145:AD147" si="14">S145*AA145</f>
        <v>5000000</v>
      </c>
      <c r="AE145" s="42">
        <f t="shared" ref="AE145:AE147" si="15">MROUND(AD145,2000000)/100</f>
        <v>60000</v>
      </c>
      <c r="AF145" s="42">
        <f t="shared" ref="AF145:AF147" si="16">AE145-H145</f>
        <v>0</v>
      </c>
    </row>
    <row r="146">
      <c r="A146" s="11" t="s">
        <v>1023</v>
      </c>
      <c r="B146" s="24" t="s">
        <v>1024</v>
      </c>
      <c r="C146" s="25"/>
      <c r="D146" s="11" t="s">
        <v>865</v>
      </c>
      <c r="E146" s="11">
        <f t="shared" si="13"/>
        <v>80000</v>
      </c>
      <c r="F146" s="11" t="s">
        <v>751</v>
      </c>
      <c r="G146" s="11">
        <v>80000.0</v>
      </c>
      <c r="H146" s="42">
        <v>100000.0</v>
      </c>
      <c r="I146" s="11" t="s">
        <v>1017</v>
      </c>
      <c r="J146" s="11" t="s">
        <v>1018</v>
      </c>
      <c r="K146" s="173">
        <v>0.8</v>
      </c>
      <c r="L146" s="18" t="s">
        <v>910</v>
      </c>
      <c r="M146" s="18" t="s">
        <v>736</v>
      </c>
      <c r="N146" s="42"/>
      <c r="O146" s="42"/>
      <c r="P146" s="42"/>
      <c r="Q146" s="42" t="str">
        <f>iferror(VLOOKUP(A146,'Positional cal'!A:H,1,0)=A146,"FALSE")</f>
        <v>FALSE</v>
      </c>
      <c r="R146" s="43" t="b">
        <f t="shared" si="3"/>
        <v>0</v>
      </c>
      <c r="S146" s="46">
        <f>IFERROR(VLOOKUP($A146,AlgoUi!$A:$X,21,0),"NA")</f>
        <v>40000000</v>
      </c>
      <c r="T146" s="46">
        <f>IFERROR(VLOOKUP($A146,AlgoUi!$A:$X,23,0),"")</f>
        <v>40000000</v>
      </c>
      <c r="U146" s="46">
        <f>IFERROR(VLOOKUP($A146,AlgoUi!$A:$X,24,0),"")</f>
        <v>320000</v>
      </c>
      <c r="V146" s="42" t="str">
        <f>IFERROR(__xludf.DUMMYFUNCTION("IFERROR(VLOOKUP(I146,IMPORTRANGE(""https://docs.google.com/spreadsheets/d/17FOIUYQAjPk1pPQIlvOgqYDBqwUqgb7KWzp4DtVksBk/edit?gid=0#gid=0"",""Servers!A:S""),19,FALSE), ""Not Running"")"),"DUSHYANT")</f>
        <v>DUSHYANT</v>
      </c>
      <c r="W146" s="47" t="str">
        <f>VLOOKUP($A146,Category!$A:$E,4,0)</f>
        <v>MS</v>
      </c>
      <c r="X146" s="47" t="str">
        <f>VLOOKUP($A146,Category!$A:$E,5,0)</f>
        <v>MSR</v>
      </c>
      <c r="Y146" s="18" t="str">
        <f>VLOOKUP(A146,PAcc!$A$1:$J$27,10,0)</f>
        <v>#N/A</v>
      </c>
      <c r="Z146" s="42" t="b">
        <f t="shared" si="4"/>
        <v>0</v>
      </c>
      <c r="AA146" s="50">
        <v>0.25</v>
      </c>
      <c r="AB146" s="42" t="str">
        <f>VLOOKUP(A146,VlookupSheet!$A$383:$A$523,1,0)</f>
        <v>#N/A</v>
      </c>
      <c r="AC146" s="50">
        <v>0.01</v>
      </c>
      <c r="AD146" s="42">
        <f t="shared" si="14"/>
        <v>10000000</v>
      </c>
      <c r="AE146" s="42">
        <f t="shared" si="15"/>
        <v>100000</v>
      </c>
      <c r="AF146" s="42">
        <f t="shared" si="16"/>
        <v>0</v>
      </c>
    </row>
    <row r="147">
      <c r="A147" s="11" t="s">
        <v>1025</v>
      </c>
      <c r="B147" s="24" t="s">
        <v>1026</v>
      </c>
      <c r="C147" s="25"/>
      <c r="D147" s="11">
        <f>IF(J147="7",0.8,1)</f>
        <v>1</v>
      </c>
      <c r="E147" s="11">
        <f>D147*H147</f>
        <v>60000</v>
      </c>
      <c r="F147" s="11" t="s">
        <v>751</v>
      </c>
      <c r="G147" s="11">
        <v>60000.0</v>
      </c>
      <c r="H147" s="42">
        <v>60000.0</v>
      </c>
      <c r="I147" s="11" t="s">
        <v>25</v>
      </c>
      <c r="J147" s="11" t="s">
        <v>907</v>
      </c>
      <c r="K147" s="38">
        <f t="shared" ref="K147:K404" si="17">iferror(G147/H147,"-")</f>
        <v>1</v>
      </c>
      <c r="L147" s="18" t="s">
        <v>910</v>
      </c>
      <c r="M147" s="18" t="s">
        <v>736</v>
      </c>
      <c r="N147" s="42"/>
      <c r="O147" s="42"/>
      <c r="P147" s="42"/>
      <c r="Q147" s="42" t="str">
        <f>iferror(VLOOKUP(A147,'Positional cal'!A:H,1,0)=A147,"FALSE")</f>
        <v>FALSE</v>
      </c>
      <c r="R147" s="43" t="b">
        <f t="shared" si="3"/>
        <v>0</v>
      </c>
      <c r="S147" s="46">
        <f>IFERROR(VLOOKUP($A147,AlgoUi!$A:$X,21,0),"NA")</f>
        <v>20000000</v>
      </c>
      <c r="T147" s="46">
        <f>IFERROR(VLOOKUP($A147,AlgoUi!$A:$X,23,0),"")</f>
        <v>20000000</v>
      </c>
      <c r="U147" s="46">
        <f>IFERROR(VLOOKUP($A147,AlgoUi!$A:$X,24,0),"")</f>
        <v>200000</v>
      </c>
      <c r="V147" s="42" t="str">
        <f>IFERROR(__xludf.DUMMYFUNCTION("IFERROR(VLOOKUP(I147,IMPORTRANGE(""https://docs.google.com/spreadsheets/d/17FOIUYQAjPk1pPQIlvOgqYDBqwUqgb7KWzp4DtVksBk/edit?gid=0#gid=0"",""Servers!A:S""),19,FALSE), ""Not Running"")"),"SAKSHIS")</f>
        <v>SAKSHIS</v>
      </c>
      <c r="W147" s="47" t="str">
        <f>VLOOKUP($A147,Category!$A:$E,4,0)</f>
        <v>MS</v>
      </c>
      <c r="X147" s="47" t="str">
        <f>VLOOKUP($A147,Category!$A:$E,5,0)</f>
        <v>MSR</v>
      </c>
      <c r="Y147" s="18" t="str">
        <f>VLOOKUP(A147,PAcc!$A$1:$J$27,10,0)</f>
        <v>#N/A</v>
      </c>
      <c r="Z147" s="42" t="b">
        <f t="shared" si="4"/>
        <v>0</v>
      </c>
      <c r="AA147" s="50">
        <v>0.25</v>
      </c>
      <c r="AB147" s="42" t="str">
        <f>VLOOKUP(A147,VlookupSheet!$A$383:$A$523,1,0)</f>
        <v>#N/A</v>
      </c>
      <c r="AC147" s="50">
        <v>0.01</v>
      </c>
      <c r="AD147" s="42">
        <f t="shared" si="14"/>
        <v>5000000</v>
      </c>
      <c r="AE147" s="42">
        <f t="shared" si="15"/>
        <v>60000</v>
      </c>
      <c r="AF147" s="42">
        <f t="shared" si="16"/>
        <v>0</v>
      </c>
    </row>
    <row r="148">
      <c r="A148" s="11" t="s">
        <v>1027</v>
      </c>
      <c r="B148" s="24" t="s">
        <v>1028</v>
      </c>
      <c r="C148" s="25"/>
      <c r="D148" s="11" t="s">
        <v>77</v>
      </c>
      <c r="E148" s="11">
        <f>H148*D148</f>
        <v>1</v>
      </c>
      <c r="F148" s="11" t="s">
        <v>1029</v>
      </c>
      <c r="G148" s="31">
        <v>1.0</v>
      </c>
      <c r="H148" s="31">
        <v>1.0</v>
      </c>
      <c r="I148" s="11" t="s">
        <v>267</v>
      </c>
      <c r="J148" s="11" t="s">
        <v>907</v>
      </c>
      <c r="K148" s="38">
        <f t="shared" si="17"/>
        <v>1</v>
      </c>
      <c r="L148" s="18" t="s">
        <v>268</v>
      </c>
      <c r="M148" s="18" t="s">
        <v>268</v>
      </c>
      <c r="N148" s="18"/>
      <c r="O148" s="18"/>
      <c r="P148" s="18" t="s">
        <v>1002</v>
      </c>
      <c r="Q148" s="42" t="str">
        <f>iferror(VLOOKUP(A148,'Positional cal'!A:H,1,0)=A148,"FALSE")</f>
        <v>FALSE</v>
      </c>
      <c r="R148" s="43" t="b">
        <f t="shared" si="3"/>
        <v>0</v>
      </c>
      <c r="S148" s="46" t="str">
        <f>IFERROR(VLOOKUP($A148,AlgoUi!$A:$X,21,0),"NA")</f>
        <v/>
      </c>
      <c r="T148" s="46" t="str">
        <f>IFERROR(VLOOKUP($A148,AlgoUi!$A:$X,23,0),"")</f>
        <v/>
      </c>
      <c r="U148" s="46" t="str">
        <f>IFERROR(VLOOKUP($A148,AlgoUi!$A:$X,24,0),"")</f>
        <v/>
      </c>
      <c r="V148" s="42" t="str">
        <f>IFERROR(__xludf.DUMMYFUNCTION("IFERROR(VLOOKUP(I148,IMPORTRANGE(""https://docs.google.com/spreadsheets/d/17FOIUYQAjPk1pPQIlvOgqYDBqwUqgb7KWzp4DtVksBk/edit?gid=0#gid=0"",""Servers!A:S""),19,FALSE), ""Not Running"")"),"Not Running")</f>
        <v>Not Running</v>
      </c>
      <c r="W148" s="47" t="str">
        <f>VLOOKUP($A148,Category!$A:$E,4,0)</f>
        <v>MS</v>
      </c>
      <c r="X148" s="47" t="str">
        <f>VLOOKUP($A148,Category!$A:$E,5,0)</f>
        <v>MSR</v>
      </c>
      <c r="Y148" s="18" t="str">
        <f>VLOOKUP(A148,PAcc!$A$1:$J$27,10,0)</f>
        <v>#N/A</v>
      </c>
      <c r="Z148" s="42" t="b">
        <f t="shared" si="4"/>
        <v>0</v>
      </c>
      <c r="AA148" s="18"/>
      <c r="AB148" s="42" t="str">
        <f>VLOOKUP(A148,VlookupSheet!$A$383:$A$523,1,0)</f>
        <v>#N/A</v>
      </c>
      <c r="AC148" s="50">
        <v>0.01</v>
      </c>
      <c r="AD148" s="42"/>
      <c r="AE148" s="42"/>
      <c r="AF148" s="42"/>
    </row>
    <row r="149">
      <c r="A149" s="18" t="s">
        <v>1030</v>
      </c>
      <c r="B149" s="11" t="s">
        <v>1031</v>
      </c>
      <c r="C149" s="25"/>
      <c r="D149" s="11">
        <f>IF(J149="7",0.8,1)</f>
        <v>1</v>
      </c>
      <c r="E149" s="11">
        <f>D149*H149</f>
        <v>100000</v>
      </c>
      <c r="F149" s="11" t="s">
        <v>751</v>
      </c>
      <c r="G149" s="11">
        <v>100000.0</v>
      </c>
      <c r="H149" s="42">
        <v>100000.0</v>
      </c>
      <c r="I149" s="11" t="s">
        <v>25</v>
      </c>
      <c r="J149" s="11" t="s">
        <v>907</v>
      </c>
      <c r="K149" s="38">
        <f t="shared" si="17"/>
        <v>1</v>
      </c>
      <c r="L149" s="18" t="s">
        <v>910</v>
      </c>
      <c r="M149" s="18" t="s">
        <v>736</v>
      </c>
      <c r="N149" s="42"/>
      <c r="O149" s="42"/>
      <c r="P149" s="42"/>
      <c r="Q149" s="42" t="str">
        <f>iferror(VLOOKUP(A149,'Positional cal'!A:H,1,0)=A149,"FALSE")</f>
        <v>FALSE</v>
      </c>
      <c r="R149" s="43" t="b">
        <f t="shared" si="3"/>
        <v>0</v>
      </c>
      <c r="S149" s="46">
        <f>IFERROR(VLOOKUP($A149,AlgoUi!$A:$X,21,0),"NA")</f>
        <v>40000000</v>
      </c>
      <c r="T149" s="46">
        <f>IFERROR(VLOOKUP($A149,AlgoUi!$A:$X,23,0),"")</f>
        <v>40000000</v>
      </c>
      <c r="U149" s="46">
        <f>IFERROR(VLOOKUP($A149,AlgoUi!$A:$X,24,0),"")</f>
        <v>400000</v>
      </c>
      <c r="V149" s="42" t="str">
        <f>IFERROR(__xludf.DUMMYFUNCTION("IFERROR(VLOOKUP(I149,IMPORTRANGE(""https://docs.google.com/spreadsheets/d/17FOIUYQAjPk1pPQIlvOgqYDBqwUqgb7KWzp4DtVksBk/edit?gid=0#gid=0"",""Servers!A:S""),19,FALSE), ""Not Running"")"),"SAKSHIS")</f>
        <v>SAKSHIS</v>
      </c>
      <c r="W149" s="47" t="str">
        <f>VLOOKUP($A149,Category!$A:$E,4,0)</f>
        <v>MS</v>
      </c>
      <c r="X149" s="47" t="str">
        <f>VLOOKUP($A149,Category!$A:$E,5,0)</f>
        <v>MSR</v>
      </c>
      <c r="Y149" s="18" t="str">
        <f>VLOOKUP(A149,PAcc!$A$1:$J$27,10,0)</f>
        <v>#N/A</v>
      </c>
      <c r="Z149" s="42" t="b">
        <f t="shared" si="4"/>
        <v>0</v>
      </c>
      <c r="AA149" s="50">
        <v>0.25</v>
      </c>
      <c r="AB149" s="42" t="str">
        <f>VLOOKUP(A149,VlookupSheet!$A$383:$A$523,1,0)</f>
        <v>#N/A</v>
      </c>
      <c r="AC149" s="50">
        <v>0.01</v>
      </c>
      <c r="AD149" s="42">
        <f>S149*AA149</f>
        <v>10000000</v>
      </c>
      <c r="AE149" s="42">
        <f>MROUND(AD149,2000000)/100</f>
        <v>100000</v>
      </c>
      <c r="AF149" s="42">
        <f>AE149-H149</f>
        <v>0</v>
      </c>
    </row>
    <row r="150">
      <c r="A150" s="11" t="s">
        <v>701</v>
      </c>
      <c r="B150" s="24" t="s">
        <v>1032</v>
      </c>
      <c r="C150" s="25"/>
      <c r="D150" s="11" t="s">
        <v>964</v>
      </c>
      <c r="E150" s="11">
        <f t="shared" ref="E150:E151" si="18">H150*D150</f>
        <v>0.7</v>
      </c>
      <c r="F150" s="34" t="s">
        <v>266</v>
      </c>
      <c r="G150" s="31">
        <v>1.0</v>
      </c>
      <c r="H150" s="31">
        <v>1.0</v>
      </c>
      <c r="I150" s="11" t="s">
        <v>267</v>
      </c>
      <c r="J150" s="11" t="s">
        <v>87</v>
      </c>
      <c r="K150" s="38">
        <f t="shared" si="17"/>
        <v>1</v>
      </c>
      <c r="L150" s="18" t="s">
        <v>268</v>
      </c>
      <c r="M150" s="18" t="s">
        <v>268</v>
      </c>
      <c r="N150" s="42"/>
      <c r="O150" s="42"/>
      <c r="P150" s="42"/>
      <c r="Q150" s="42" t="str">
        <f>iferror(VLOOKUP(A150,'Positional cal'!A:H,1,0)=A150,"FALSE")</f>
        <v>FALSE</v>
      </c>
      <c r="R150" s="43" t="b">
        <f t="shared" si="3"/>
        <v>0</v>
      </c>
      <c r="S150" s="46" t="str">
        <f>IFERROR(VLOOKUP($A150,AlgoUi!$A:$X,21,0),"NA")</f>
        <v/>
      </c>
      <c r="T150" s="46" t="str">
        <f>IFERROR(VLOOKUP($A150,AlgoUi!$A:$X,23,0),"")</f>
        <v/>
      </c>
      <c r="U150" s="46" t="str">
        <f>IFERROR(VLOOKUP($A150,AlgoUi!$A:$X,24,0),"")</f>
        <v/>
      </c>
      <c r="V150" s="42" t="str">
        <f>IFERROR(__xludf.DUMMYFUNCTION("IFERROR(VLOOKUP(I150,IMPORTRANGE(""https://docs.google.com/spreadsheets/d/17FOIUYQAjPk1pPQIlvOgqYDBqwUqgb7KWzp4DtVksBk/edit?gid=0#gid=0"",""Servers!A:S""),19,FALSE), ""Not Running"")"),"Not Running")</f>
        <v>Not Running</v>
      </c>
      <c r="W150" s="47" t="str">
        <f>VLOOKUP($A150,Category!$A:$E,4,0)</f>
        <v>MS</v>
      </c>
      <c r="X150" s="47" t="str">
        <f>VLOOKUP($A150,Category!$A:$E,5,0)</f>
        <v>MSJ</v>
      </c>
      <c r="Y150" s="18" t="str">
        <f>VLOOKUP(A150,PAcc!$A$1:$J$27,10,0)</f>
        <v>#N/A</v>
      </c>
      <c r="Z150" s="42" t="b">
        <f t="shared" si="4"/>
        <v>0</v>
      </c>
      <c r="AA150" s="42"/>
      <c r="AB150" s="42" t="str">
        <f>VLOOKUP(A150,VlookupSheet!$A$383:$A$523,1,0)</f>
        <v>#N/A</v>
      </c>
      <c r="AC150" s="50">
        <v>0.01</v>
      </c>
      <c r="AD150" s="42"/>
      <c r="AE150" s="42"/>
      <c r="AF150" s="42"/>
    </row>
    <row r="151">
      <c r="A151" s="11" t="s">
        <v>1033</v>
      </c>
      <c r="B151" s="24" t="s">
        <v>1034</v>
      </c>
      <c r="C151" s="25"/>
      <c r="D151" s="11" t="s">
        <v>77</v>
      </c>
      <c r="E151" s="11">
        <f t="shared" si="18"/>
        <v>0</v>
      </c>
      <c r="F151" s="11" t="s">
        <v>85</v>
      </c>
      <c r="G151" s="31">
        <v>0.0</v>
      </c>
      <c r="H151" s="31">
        <v>0.0</v>
      </c>
      <c r="I151" s="18" t="s">
        <v>267</v>
      </c>
      <c r="J151" s="25" t="s">
        <v>77</v>
      </c>
      <c r="K151" s="38" t="str">
        <f t="shared" si="17"/>
        <v>-</v>
      </c>
      <c r="L151" s="18" t="s">
        <v>268</v>
      </c>
      <c r="M151" s="18" t="s">
        <v>268</v>
      </c>
      <c r="N151" s="18"/>
      <c r="O151" s="18"/>
      <c r="P151" s="18" t="s">
        <v>848</v>
      </c>
      <c r="Q151" s="42" t="str">
        <f>iferror(VLOOKUP(A151,'Positional cal'!A:H,1,0)=A151,"FALSE")</f>
        <v>FALSE</v>
      </c>
      <c r="R151" s="43" t="b">
        <f t="shared" si="3"/>
        <v>1</v>
      </c>
      <c r="S151" s="46" t="str">
        <f>IFERROR(VLOOKUP($A151,AlgoUi!$A:$X,21,0),"NA")</f>
        <v/>
      </c>
      <c r="T151" s="46" t="str">
        <f>IFERROR(VLOOKUP($A151,AlgoUi!$A:$X,23,0),"")</f>
        <v/>
      </c>
      <c r="U151" s="46" t="str">
        <f>IFERROR(VLOOKUP($A151,AlgoUi!$A:$X,24,0),"")</f>
        <v/>
      </c>
      <c r="V151" s="42" t="str">
        <f>IFERROR(__xludf.DUMMYFUNCTION("IFERROR(VLOOKUP(I151,IMPORTRANGE(""https://docs.google.com/spreadsheets/d/17FOIUYQAjPk1pPQIlvOgqYDBqwUqgb7KWzp4DtVksBk/edit?gid=0#gid=0"",""Servers!A:S""),19,FALSE), ""Not Running"")"),"Not Running")</f>
        <v>Not Running</v>
      </c>
      <c r="W151" s="47" t="str">
        <f>VLOOKUP($A151,Category!$A:$E,4,0)</f>
        <v>CC</v>
      </c>
      <c r="X151" s="47" t="str">
        <f>VLOOKUP($A151,Category!$A:$E,5,0)</f>
        <v>CC</v>
      </c>
      <c r="Y151" s="18" t="str">
        <f>VLOOKUP(A151,PAcc!$A$1:$J$27,10,0)</f>
        <v>#N/A</v>
      </c>
      <c r="Z151" s="42" t="b">
        <f t="shared" si="4"/>
        <v>1</v>
      </c>
      <c r="AA151" s="50">
        <v>1.0</v>
      </c>
      <c r="AB151" s="42" t="str">
        <f>VLOOKUP(A151,VlookupSheet!$A$383:$A$523,1,0)</f>
        <v>#N/A</v>
      </c>
      <c r="AC151" s="50">
        <v>0.01</v>
      </c>
      <c r="AD151" s="42"/>
      <c r="AE151" s="42"/>
      <c r="AF151" s="42"/>
    </row>
    <row r="152">
      <c r="A152" s="11" t="s">
        <v>1035</v>
      </c>
      <c r="B152" s="24" t="s">
        <v>1036</v>
      </c>
      <c r="C152" s="25"/>
      <c r="D152" s="11">
        <f>IF(J152="7",0.8,1)</f>
        <v>0.8</v>
      </c>
      <c r="E152" s="11">
        <f>D152*H152</f>
        <v>64000</v>
      </c>
      <c r="F152" s="11" t="s">
        <v>905</v>
      </c>
      <c r="G152" s="11">
        <v>64000.0</v>
      </c>
      <c r="H152" s="31">
        <v>80000.0</v>
      </c>
      <c r="I152" s="18" t="s">
        <v>75</v>
      </c>
      <c r="J152" s="11" t="s">
        <v>1018</v>
      </c>
      <c r="K152" s="38">
        <f t="shared" si="17"/>
        <v>0.8</v>
      </c>
      <c r="L152" s="18" t="s">
        <v>910</v>
      </c>
      <c r="M152" s="18" t="s">
        <v>736</v>
      </c>
      <c r="N152" s="18"/>
      <c r="O152" s="18"/>
      <c r="P152" s="18" t="s">
        <v>911</v>
      </c>
      <c r="Q152" s="42" t="str">
        <f>iferror(VLOOKUP(A152,'Positional cal'!A:H,1,0)=A152,"FALSE")</f>
        <v>FALSE</v>
      </c>
      <c r="R152" s="43" t="b">
        <f t="shared" si="3"/>
        <v>0</v>
      </c>
      <c r="S152" s="46">
        <f>IFERROR(VLOOKUP($A152,AlgoUi!$A:$X,21,0),"NA")</f>
        <v>20000000</v>
      </c>
      <c r="T152" s="46">
        <f>IFERROR(VLOOKUP($A152,AlgoUi!$A:$X,23,0),"")</f>
        <v>20000000</v>
      </c>
      <c r="U152" s="46">
        <f>IFERROR(VLOOKUP($A152,AlgoUi!$A:$X,24,0),"")</f>
        <v>160000</v>
      </c>
      <c r="V152" s="42" t="str">
        <f>IFERROR(__xludf.DUMMYFUNCTION("IFERROR(VLOOKUP(I152,IMPORTRANGE(""https://docs.google.com/spreadsheets/d/17FOIUYQAjPk1pPQIlvOgqYDBqwUqgb7KWzp4DtVksBk/edit?gid=0#gid=0"",""Servers!A:S""),19,FALSE), ""Not Running"")"),"DUSHYANT")</f>
        <v>DUSHYANT</v>
      </c>
      <c r="W152" s="47" t="str">
        <f>VLOOKUP($A152,Category!$A:$E,4,0)</f>
        <v>MS</v>
      </c>
      <c r="X152" s="47" t="str">
        <f>VLOOKUP($A152,Category!$A:$E,5,0)</f>
        <v>MSR</v>
      </c>
      <c r="Y152" s="18" t="str">
        <f>VLOOKUP(A152,PAcc!$A$1:$J$27,10,0)</f>
        <v>#N/A</v>
      </c>
      <c r="Z152" s="42" t="b">
        <f t="shared" si="4"/>
        <v>0</v>
      </c>
      <c r="AA152" s="50">
        <v>0.4</v>
      </c>
      <c r="AB152" s="42" t="str">
        <f>VLOOKUP(A152,VlookupSheet!$A$383:$A$523,1,0)</f>
        <v>#N/A</v>
      </c>
      <c r="AC152" s="50">
        <v>0.01</v>
      </c>
      <c r="AD152" s="42">
        <f t="shared" ref="AD152:AD153" si="19">S152*AA152</f>
        <v>8000000</v>
      </c>
      <c r="AE152" s="42">
        <f t="shared" ref="AE152:AE153" si="20">MROUND(AD152,2000000)/100</f>
        <v>80000</v>
      </c>
      <c r="AF152" s="123">
        <f t="shared" ref="AF152:AF153" si="21">AE152-H152</f>
        <v>0</v>
      </c>
    </row>
    <row r="153">
      <c r="A153" s="11" t="s">
        <v>1037</v>
      </c>
      <c r="B153" s="18" t="s">
        <v>1038</v>
      </c>
      <c r="C153" s="25"/>
      <c r="D153" s="11" t="s">
        <v>865</v>
      </c>
      <c r="E153" s="11">
        <f t="shared" ref="E153:E159" si="22">H153*D153</f>
        <v>32000</v>
      </c>
      <c r="F153" s="11" t="s">
        <v>751</v>
      </c>
      <c r="G153" s="11" t="s">
        <v>1039</v>
      </c>
      <c r="H153" s="18">
        <v>40000.0</v>
      </c>
      <c r="I153" s="18" t="s">
        <v>132</v>
      </c>
      <c r="J153" s="11" t="s">
        <v>1018</v>
      </c>
      <c r="K153" s="38">
        <f t="shared" si="17"/>
        <v>0.8</v>
      </c>
      <c r="L153" s="18" t="s">
        <v>910</v>
      </c>
      <c r="M153" s="18" t="s">
        <v>736</v>
      </c>
      <c r="N153" s="34"/>
      <c r="O153" s="34"/>
      <c r="P153" s="34" t="s">
        <v>911</v>
      </c>
      <c r="Q153" s="42" t="str">
        <f>iferror(VLOOKUP(A153,'Positional cal'!A:H,1,0)=A153,"FALSE")</f>
        <v>FALSE</v>
      </c>
      <c r="R153" s="43" t="b">
        <f t="shared" si="3"/>
        <v>0</v>
      </c>
      <c r="S153" s="46">
        <f>IFERROR(VLOOKUP($A153,AlgoUi!$A:$X,21,0),"NA")</f>
        <v>20000000</v>
      </c>
      <c r="T153" s="46">
        <f>IFERROR(VLOOKUP($A153,AlgoUi!$A:$X,23,0),"")</f>
        <v>20000000</v>
      </c>
      <c r="U153" s="46">
        <f>IFERROR(VLOOKUP($A153,AlgoUi!$A:$X,24,0),"")</f>
        <v>160000</v>
      </c>
      <c r="V153" s="42" t="str">
        <f>IFERROR(__xludf.DUMMYFUNCTION("IFERROR(VLOOKUP(I153,IMPORTRANGE(""https://docs.google.com/spreadsheets/d/17FOIUYQAjPk1pPQIlvOgqYDBqwUqgb7KWzp4DtVksBk/edit?gid=0#gid=0"",""Servers!A:S""),19,FALSE), ""Not Running"")"),"ANIKETG")</f>
        <v>ANIKETG</v>
      </c>
      <c r="W153" s="47" t="str">
        <f>VLOOKUP($A153,Category!$A:$E,4,0)</f>
        <v>MS</v>
      </c>
      <c r="X153" s="47" t="str">
        <f>VLOOKUP($A153,Category!$A:$E,5,0)</f>
        <v>MSR</v>
      </c>
      <c r="Y153" s="18" t="str">
        <f>VLOOKUP(A153,PAcc!$A$1:$J$27,10,0)</f>
        <v>#N/A</v>
      </c>
      <c r="Z153" s="42" t="b">
        <f t="shared" si="4"/>
        <v>0</v>
      </c>
      <c r="AA153" s="50">
        <v>0.25</v>
      </c>
      <c r="AB153" s="42" t="str">
        <f>VLOOKUP(A153,VlookupSheet!$A$383:$A$523,1,0)</f>
        <v>#N/A</v>
      </c>
      <c r="AC153" s="50">
        <v>0.01</v>
      </c>
      <c r="AD153" s="42">
        <f t="shared" si="19"/>
        <v>5000000</v>
      </c>
      <c r="AE153" s="42">
        <f t="shared" si="20"/>
        <v>60000</v>
      </c>
      <c r="AF153" s="42">
        <f t="shared" si="21"/>
        <v>20000</v>
      </c>
    </row>
    <row r="154">
      <c r="A154" s="11" t="s">
        <v>1040</v>
      </c>
      <c r="B154" s="24" t="s">
        <v>1041</v>
      </c>
      <c r="C154" s="25"/>
      <c r="D154" s="11" t="s">
        <v>77</v>
      </c>
      <c r="E154" s="11">
        <f t="shared" si="22"/>
        <v>100000</v>
      </c>
      <c r="F154" s="11" t="s">
        <v>716</v>
      </c>
      <c r="G154" s="31">
        <v>100000.0</v>
      </c>
      <c r="H154" s="31">
        <v>100000.0</v>
      </c>
      <c r="I154" s="18" t="s">
        <v>267</v>
      </c>
      <c r="J154" s="11" t="s">
        <v>87</v>
      </c>
      <c r="K154" s="38">
        <f t="shared" si="17"/>
        <v>1</v>
      </c>
      <c r="L154" s="18" t="s">
        <v>268</v>
      </c>
      <c r="M154" s="18" t="s">
        <v>268</v>
      </c>
      <c r="N154" s="18"/>
      <c r="O154" s="18"/>
      <c r="P154" s="18" t="s">
        <v>848</v>
      </c>
      <c r="Q154" s="42" t="str">
        <f>iferror(VLOOKUP(A154,'Positional cal'!A:H,1,0)=A154,"FALSE")</f>
        <v>FALSE</v>
      </c>
      <c r="R154" s="43" t="b">
        <f t="shared" si="3"/>
        <v>0</v>
      </c>
      <c r="S154" s="46" t="str">
        <f>IFERROR(VLOOKUP($A154,AlgoUi!$A:$X,21,0),"NA")</f>
        <v/>
      </c>
      <c r="T154" s="46" t="str">
        <f>IFERROR(VLOOKUP($A154,AlgoUi!$A:$X,23,0),"")</f>
        <v/>
      </c>
      <c r="U154" s="46" t="str">
        <f>IFERROR(VLOOKUP($A154,AlgoUi!$A:$X,24,0),"")</f>
        <v/>
      </c>
      <c r="V154" s="42" t="str">
        <f>IFERROR(__xludf.DUMMYFUNCTION("IFERROR(VLOOKUP(I154,IMPORTRANGE(""https://docs.google.com/spreadsheets/d/17FOIUYQAjPk1pPQIlvOgqYDBqwUqgb7KWzp4DtVksBk/edit?gid=0#gid=0"",""Servers!A:S""),19,FALSE), ""Not Running"")"),"Not Running")</f>
        <v>Not Running</v>
      </c>
      <c r="W154" s="47" t="str">
        <f>VLOOKUP($A154,Category!$A:$E,4,0)</f>
        <v>MS</v>
      </c>
      <c r="X154" s="47" t="str">
        <f>VLOOKUP($A154,Category!$A:$E,5,0)</f>
        <v>MSS</v>
      </c>
      <c r="Y154" s="18" t="str">
        <f>VLOOKUP(A154,PAcc!$A$1:$J$27,10,0)</f>
        <v>#N/A</v>
      </c>
      <c r="Z154" s="42" t="b">
        <f t="shared" si="4"/>
        <v>0</v>
      </c>
      <c r="AA154" s="18"/>
      <c r="AB154" s="42" t="str">
        <f>VLOOKUP(A154,VlookupSheet!$A$383:$A$523,1,0)</f>
        <v>#N/A</v>
      </c>
      <c r="AC154" s="50">
        <v>0.01</v>
      </c>
      <c r="AD154" s="42"/>
      <c r="AE154" s="42"/>
      <c r="AF154" s="42"/>
    </row>
    <row r="155">
      <c r="A155" s="11" t="s">
        <v>1042</v>
      </c>
      <c r="B155" s="24" t="s">
        <v>1043</v>
      </c>
      <c r="C155" s="25"/>
      <c r="D155" s="11" t="s">
        <v>77</v>
      </c>
      <c r="E155" s="11">
        <f t="shared" si="22"/>
        <v>0</v>
      </c>
      <c r="F155" s="11" t="s">
        <v>716</v>
      </c>
      <c r="G155" s="31">
        <v>0.0</v>
      </c>
      <c r="H155" s="31">
        <v>0.0</v>
      </c>
      <c r="I155" s="18" t="s">
        <v>267</v>
      </c>
      <c r="J155" s="11" t="s">
        <v>87</v>
      </c>
      <c r="K155" s="38" t="str">
        <f t="shared" si="17"/>
        <v>-</v>
      </c>
      <c r="L155" s="18" t="s">
        <v>268</v>
      </c>
      <c r="M155" s="18" t="s">
        <v>268</v>
      </c>
      <c r="N155" s="18"/>
      <c r="O155" s="18"/>
      <c r="P155" s="18" t="s">
        <v>848</v>
      </c>
      <c r="Q155" s="42" t="str">
        <f>iferror(VLOOKUP(A155,'Positional cal'!A:H,1,0)=A155,"FALSE")</f>
        <v>FALSE</v>
      </c>
      <c r="R155" s="43" t="b">
        <f t="shared" si="3"/>
        <v>1</v>
      </c>
      <c r="S155" s="46" t="str">
        <f>IFERROR(VLOOKUP($A155,AlgoUi!$A:$X,21,0),"NA")</f>
        <v/>
      </c>
      <c r="T155" s="46" t="str">
        <f>IFERROR(VLOOKUP($A155,AlgoUi!$A:$X,23,0),"")</f>
        <v/>
      </c>
      <c r="U155" s="46" t="str">
        <f>IFERROR(VLOOKUP($A155,AlgoUi!$A:$X,24,0),"")</f>
        <v/>
      </c>
      <c r="V155" s="42" t="str">
        <f>IFERROR(__xludf.DUMMYFUNCTION("IFERROR(VLOOKUP(I155,IMPORTRANGE(""https://docs.google.com/spreadsheets/d/17FOIUYQAjPk1pPQIlvOgqYDBqwUqgb7KWzp4DtVksBk/edit?gid=0#gid=0"",""Servers!A:S""),19,FALSE), ""Not Running"")"),"Not Running")</f>
        <v>Not Running</v>
      </c>
      <c r="W155" s="47" t="str">
        <f>VLOOKUP($A155,Category!$A:$E,4,0)</f>
        <v>MS</v>
      </c>
      <c r="X155" s="47" t="str">
        <f>VLOOKUP($A155,Category!$A:$E,5,0)</f>
        <v>MSS</v>
      </c>
      <c r="Y155" s="18" t="str">
        <f>VLOOKUP(A155,PAcc!$A$1:$J$27,10,0)</f>
        <v>#N/A</v>
      </c>
      <c r="Z155" s="42" t="b">
        <f t="shared" si="4"/>
        <v>1</v>
      </c>
      <c r="AA155" s="42"/>
      <c r="AB155" s="42" t="str">
        <f>VLOOKUP(A155,VlookupSheet!$A$383:$A$523,1,0)</f>
        <v>#N/A</v>
      </c>
      <c r="AC155" s="50">
        <v>0.01</v>
      </c>
      <c r="AD155" s="42"/>
      <c r="AE155" s="42"/>
      <c r="AF155" s="42"/>
    </row>
    <row r="156">
      <c r="A156" s="11" t="s">
        <v>1044</v>
      </c>
      <c r="B156" s="24" t="s">
        <v>1045</v>
      </c>
      <c r="C156" s="25"/>
      <c r="D156" s="11" t="s">
        <v>77</v>
      </c>
      <c r="E156" s="11">
        <f t="shared" si="22"/>
        <v>0</v>
      </c>
      <c r="F156" s="11" t="s">
        <v>716</v>
      </c>
      <c r="G156" s="31">
        <v>0.0</v>
      </c>
      <c r="H156" s="31">
        <v>0.0</v>
      </c>
      <c r="I156" s="18" t="s">
        <v>267</v>
      </c>
      <c r="J156" s="11" t="s">
        <v>87</v>
      </c>
      <c r="K156" s="38" t="str">
        <f t="shared" si="17"/>
        <v>-</v>
      </c>
      <c r="L156" s="18" t="s">
        <v>268</v>
      </c>
      <c r="M156" s="18" t="s">
        <v>268</v>
      </c>
      <c r="N156" s="18"/>
      <c r="O156" s="18"/>
      <c r="P156" s="18"/>
      <c r="Q156" s="42" t="str">
        <f>iferror(VLOOKUP(A156,'Positional cal'!A:H,1,0)=A156,"FALSE")</f>
        <v>FALSE</v>
      </c>
      <c r="R156" s="43" t="b">
        <f t="shared" si="3"/>
        <v>1</v>
      </c>
      <c r="S156" s="46" t="str">
        <f>IFERROR(VLOOKUP($A156,AlgoUi!$A:$X,21,0),"NA")</f>
        <v/>
      </c>
      <c r="T156" s="46" t="str">
        <f>IFERROR(VLOOKUP($A156,AlgoUi!$A:$X,23,0),"")</f>
        <v/>
      </c>
      <c r="U156" s="46" t="str">
        <f>IFERROR(VLOOKUP($A156,AlgoUi!$A:$X,24,0),"")</f>
        <v/>
      </c>
      <c r="V156" s="42" t="str">
        <f>IFERROR(__xludf.DUMMYFUNCTION("IFERROR(VLOOKUP(I156,IMPORTRANGE(""https://docs.google.com/spreadsheets/d/17FOIUYQAjPk1pPQIlvOgqYDBqwUqgb7KWzp4DtVksBk/edit?gid=0#gid=0"",""Servers!A:S""),19,FALSE), ""Not Running"")"),"Not Running")</f>
        <v>Not Running</v>
      </c>
      <c r="W156" s="47" t="str">
        <f>VLOOKUP($A156,Category!$A:$E,4,0)</f>
        <v>MS</v>
      </c>
      <c r="X156" s="47" t="str">
        <f>VLOOKUP($A156,Category!$A:$E,5,0)</f>
        <v>MSS</v>
      </c>
      <c r="Y156" s="18" t="str">
        <f>VLOOKUP(A156,PAcc!$A$1:$J$27,10,0)</f>
        <v>#N/A</v>
      </c>
      <c r="Z156" s="42" t="b">
        <f t="shared" si="4"/>
        <v>1</v>
      </c>
      <c r="AA156" s="42"/>
      <c r="AB156" s="42" t="str">
        <f>VLOOKUP(A156,VlookupSheet!$A$383:$A$523,1,0)</f>
        <v>#N/A</v>
      </c>
      <c r="AC156" s="50">
        <v>0.01</v>
      </c>
      <c r="AD156" s="42"/>
      <c r="AE156" s="42"/>
      <c r="AF156" s="42"/>
    </row>
    <row r="157">
      <c r="A157" s="11" t="s">
        <v>1046</v>
      </c>
      <c r="B157" s="24" t="s">
        <v>1047</v>
      </c>
      <c r="C157" s="25"/>
      <c r="D157" s="11" t="s">
        <v>77</v>
      </c>
      <c r="E157" s="11">
        <f t="shared" si="22"/>
        <v>0</v>
      </c>
      <c r="F157" s="11" t="s">
        <v>716</v>
      </c>
      <c r="G157" s="31">
        <v>0.0</v>
      </c>
      <c r="H157" s="31">
        <v>0.0</v>
      </c>
      <c r="I157" s="18" t="s">
        <v>267</v>
      </c>
      <c r="J157" s="11" t="s">
        <v>87</v>
      </c>
      <c r="K157" s="38" t="str">
        <f t="shared" si="17"/>
        <v>-</v>
      </c>
      <c r="L157" s="18" t="s">
        <v>268</v>
      </c>
      <c r="M157" s="18" t="s">
        <v>268</v>
      </c>
      <c r="N157" s="34"/>
      <c r="O157" s="34"/>
      <c r="P157" s="34" t="s">
        <v>848</v>
      </c>
      <c r="Q157" s="42" t="str">
        <f>iferror(VLOOKUP(A157,'Positional cal'!A:H,1,0)=A157,"FALSE")</f>
        <v>FALSE</v>
      </c>
      <c r="R157" s="43" t="b">
        <f t="shared" si="3"/>
        <v>1</v>
      </c>
      <c r="S157" s="46" t="str">
        <f>IFERROR(VLOOKUP($A157,AlgoUi!$A:$X,21,0),"NA")</f>
        <v/>
      </c>
      <c r="T157" s="46" t="str">
        <f>IFERROR(VLOOKUP($A157,AlgoUi!$A:$X,23,0),"")</f>
        <v/>
      </c>
      <c r="U157" s="46" t="str">
        <f>IFERROR(VLOOKUP($A157,AlgoUi!$A:$X,24,0),"")</f>
        <v/>
      </c>
      <c r="V157" s="42" t="str">
        <f>IFERROR(__xludf.DUMMYFUNCTION("IFERROR(VLOOKUP(I157,IMPORTRANGE(""https://docs.google.com/spreadsheets/d/17FOIUYQAjPk1pPQIlvOgqYDBqwUqgb7KWzp4DtVksBk/edit?gid=0#gid=0"",""Servers!A:S""),19,FALSE), ""Not Running"")"),"Not Running")</f>
        <v>Not Running</v>
      </c>
      <c r="W157" s="47" t="str">
        <f>VLOOKUP($A157,Category!$A:$E,4,0)</f>
        <v>MS</v>
      </c>
      <c r="X157" s="47" t="str">
        <f>VLOOKUP($A157,Category!$A:$E,5,0)</f>
        <v>MSS</v>
      </c>
      <c r="Y157" s="18" t="str">
        <f>VLOOKUP(A157,PAcc!$A$1:$J$27,10,0)</f>
        <v>#N/A</v>
      </c>
      <c r="Z157" s="42" t="b">
        <f t="shared" si="4"/>
        <v>1</v>
      </c>
      <c r="AA157" s="18"/>
      <c r="AB157" s="42" t="str">
        <f>VLOOKUP(A157,VlookupSheet!$A$383:$A$523,1,0)</f>
        <v>#N/A</v>
      </c>
      <c r="AC157" s="50">
        <v>0.01</v>
      </c>
      <c r="AD157" s="42"/>
      <c r="AE157" s="42"/>
      <c r="AF157" s="42"/>
    </row>
    <row r="158">
      <c r="A158" s="11" t="s">
        <v>1048</v>
      </c>
      <c r="B158" s="24" t="s">
        <v>1049</v>
      </c>
      <c r="C158" s="25"/>
      <c r="D158" s="11" t="s">
        <v>77</v>
      </c>
      <c r="E158" s="11">
        <f t="shared" si="22"/>
        <v>80000</v>
      </c>
      <c r="F158" s="11" t="s">
        <v>751</v>
      </c>
      <c r="G158" s="11" t="s">
        <v>906</v>
      </c>
      <c r="H158" s="18">
        <v>80000.0</v>
      </c>
      <c r="I158" s="34" t="s">
        <v>249</v>
      </c>
      <c r="J158" s="11" t="s">
        <v>77</v>
      </c>
      <c r="K158" s="38">
        <f t="shared" si="17"/>
        <v>1</v>
      </c>
      <c r="L158" s="18" t="s">
        <v>910</v>
      </c>
      <c r="M158" s="18" t="s">
        <v>736</v>
      </c>
      <c r="N158" s="18"/>
      <c r="O158" s="18"/>
      <c r="P158" s="18" t="s">
        <v>1050</v>
      </c>
      <c r="Q158" s="42" t="str">
        <f>iferror(VLOOKUP(A158,'Positional cal'!A:H,1,0)=A158,"FALSE")</f>
        <v>FALSE</v>
      </c>
      <c r="R158" s="43" t="b">
        <f t="shared" si="3"/>
        <v>0</v>
      </c>
      <c r="S158" s="46">
        <f>IFERROR(VLOOKUP($A158,AlgoUi!$A:$X,21,0),"NA")</f>
        <v>30000000</v>
      </c>
      <c r="T158" s="46">
        <f>IFERROR(VLOOKUP($A158,AlgoUi!$A:$X,23,0),"")</f>
        <v>30000000</v>
      </c>
      <c r="U158" s="46">
        <f>IFERROR(VLOOKUP($A158,AlgoUi!$A:$X,24,0),"")</f>
        <v>300000</v>
      </c>
      <c r="V158" s="42" t="str">
        <f>IFERROR(__xludf.DUMMYFUNCTION("IFERROR(VLOOKUP(I158,IMPORTRANGE(""https://docs.google.com/spreadsheets/d/17FOIUYQAjPk1pPQIlvOgqYDBqwUqgb7KWzp4DtVksBk/edit?gid=0#gid=0"",""Servers!A:S""),19,FALSE), ""Not Running"")"),"AYUSHS")</f>
        <v>AYUSHS</v>
      </c>
      <c r="W158" s="47" t="str">
        <f>VLOOKUP($A158,Category!$A:$E,4,0)</f>
        <v>MS</v>
      </c>
      <c r="X158" s="47" t="str">
        <f>VLOOKUP($A158,Category!$A:$E,5,0)</f>
        <v>MSR</v>
      </c>
      <c r="Y158" s="18" t="str">
        <f>VLOOKUP(A158,PAcc!$A$1:$J$27,10,0)</f>
        <v>#N/A</v>
      </c>
      <c r="Z158" s="42" t="b">
        <f t="shared" si="4"/>
        <v>0</v>
      </c>
      <c r="AA158" s="50">
        <v>0.25</v>
      </c>
      <c r="AB158" s="42" t="str">
        <f>VLOOKUP(A158,VlookupSheet!$A$383:$A$523,1,0)</f>
        <v>#N/A</v>
      </c>
      <c r="AC158" s="50">
        <v>0.01</v>
      </c>
      <c r="AD158" s="42">
        <f>S158*AA158</f>
        <v>7500000</v>
      </c>
      <c r="AE158" s="42">
        <f>MROUND(AD158,2000000)/100</f>
        <v>80000</v>
      </c>
      <c r="AF158" s="42">
        <f>AE158-H158</f>
        <v>0</v>
      </c>
    </row>
    <row r="159">
      <c r="A159" s="11" t="s">
        <v>1051</v>
      </c>
      <c r="B159" s="24" t="s">
        <v>1052</v>
      </c>
      <c r="C159" s="25"/>
      <c r="D159" s="11" t="s">
        <v>874</v>
      </c>
      <c r="E159" s="11">
        <f t="shared" si="22"/>
        <v>12000000</v>
      </c>
      <c r="F159" s="11" t="s">
        <v>266</v>
      </c>
      <c r="G159" s="11">
        <v>1.2E7</v>
      </c>
      <c r="H159" s="31">
        <v>400000.0</v>
      </c>
      <c r="I159" s="34" t="s">
        <v>267</v>
      </c>
      <c r="J159" s="11" t="s">
        <v>87</v>
      </c>
      <c r="K159" s="38">
        <f t="shared" si="17"/>
        <v>30</v>
      </c>
      <c r="L159" s="18" t="s">
        <v>268</v>
      </c>
      <c r="M159" s="18" t="s">
        <v>268</v>
      </c>
      <c r="N159" s="18"/>
      <c r="O159" s="18">
        <v>0.0</v>
      </c>
      <c r="P159" s="18" t="s">
        <v>112</v>
      </c>
      <c r="Q159" s="42" t="str">
        <f>iferror(VLOOKUP(A159,'Positional cal'!A:H,1,0)=A159,"FALSE")</f>
        <v>FALSE</v>
      </c>
      <c r="R159" s="43" t="b">
        <f t="shared" si="3"/>
        <v>0</v>
      </c>
      <c r="S159" s="46" t="str">
        <f>IFERROR(VLOOKUP($A159,AlgoUi!$A:$X,21,0),"NA")</f>
        <v/>
      </c>
      <c r="T159" s="46" t="str">
        <f>IFERROR(VLOOKUP($A159,AlgoUi!$A:$X,23,0),"")</f>
        <v/>
      </c>
      <c r="U159" s="46" t="str">
        <f>IFERROR(VLOOKUP($A159,AlgoUi!$A:$X,24,0),"")</f>
        <v/>
      </c>
      <c r="V159" s="42" t="str">
        <f>IFERROR(__xludf.DUMMYFUNCTION("IFERROR(VLOOKUP(I159,IMPORTRANGE(""https://docs.google.com/spreadsheets/d/17FOIUYQAjPk1pPQIlvOgqYDBqwUqgb7KWzp4DtVksBk/edit?gid=0#gid=0"",""Servers!A:S""),19,FALSE), ""Not Running"")"),"Not Running")</f>
        <v>Not Running</v>
      </c>
      <c r="W159" s="47" t="str">
        <f>VLOOKUP($A159,Category!$A:$E,4,0)</f>
        <v>MS</v>
      </c>
      <c r="X159" s="47" t="str">
        <f>VLOOKUP($A159,Category!$A:$E,5,0)</f>
        <v>MSJ</v>
      </c>
      <c r="Y159" s="18" t="str">
        <f>VLOOKUP(A159,PAcc!$A$1:$J$27,10,0)</f>
        <v>#N/A</v>
      </c>
      <c r="Z159" s="42" t="b">
        <f t="shared" si="4"/>
        <v>0</v>
      </c>
      <c r="AA159" s="42"/>
      <c r="AB159" s="42" t="str">
        <f>VLOOKUP(A159,VlookupSheet!$A$383:$A$523,1,0)</f>
        <v>#N/A</v>
      </c>
      <c r="AC159" s="50">
        <v>0.01</v>
      </c>
      <c r="AD159" s="42"/>
      <c r="AE159" s="42"/>
      <c r="AF159" s="42"/>
    </row>
    <row r="160">
      <c r="A160" s="18" t="s">
        <v>1053</v>
      </c>
      <c r="B160" s="11" t="s">
        <v>1054</v>
      </c>
      <c r="C160" s="25"/>
      <c r="D160" s="11">
        <f t="shared" ref="D160:D161" si="23">IF(J160="7",0.8,1)</f>
        <v>1</v>
      </c>
      <c r="E160" s="11">
        <f t="shared" ref="E160:E161" si="24">D160*H160</f>
        <v>160000</v>
      </c>
      <c r="F160" s="11" t="s">
        <v>751</v>
      </c>
      <c r="G160" s="11">
        <v>160000.0</v>
      </c>
      <c r="H160" s="42">
        <v>160000.0</v>
      </c>
      <c r="I160" s="11" t="s">
        <v>252</v>
      </c>
      <c r="J160" s="11" t="s">
        <v>77</v>
      </c>
      <c r="K160" s="38">
        <f t="shared" si="17"/>
        <v>1</v>
      </c>
      <c r="L160" s="18" t="s">
        <v>910</v>
      </c>
      <c r="M160" s="18" t="s">
        <v>736</v>
      </c>
      <c r="N160" s="42"/>
      <c r="O160" s="42"/>
      <c r="P160" s="42"/>
      <c r="Q160" s="42" t="str">
        <f>iferror(VLOOKUP(A160,'Positional cal'!A:H,1,0)=A160,"FALSE")</f>
        <v>FALSE</v>
      </c>
      <c r="R160" s="43" t="b">
        <f t="shared" si="3"/>
        <v>0</v>
      </c>
      <c r="S160" s="46">
        <f>IFERROR(VLOOKUP($A160,AlgoUi!$A:$X,21,0),"NA")</f>
        <v>60000000</v>
      </c>
      <c r="T160" s="46">
        <f>IFERROR(VLOOKUP($A160,AlgoUi!$A:$X,23,0),"")</f>
        <v>60000000</v>
      </c>
      <c r="U160" s="46">
        <f>IFERROR(VLOOKUP($A160,AlgoUi!$A:$X,24,0),"")</f>
        <v>600000</v>
      </c>
      <c r="V160" s="42" t="str">
        <f>IFERROR(__xludf.DUMMYFUNCTION("IFERROR(VLOOKUP(I160,IMPORTRANGE(""https://docs.google.com/spreadsheets/d/17FOIUYQAjPk1pPQIlvOgqYDBqwUqgb7KWzp4DtVksBk/edit?gid=0#gid=0"",""Servers!A:S""),19,FALSE), ""Not Running"")"),"PRACHI")</f>
        <v>PRACHI</v>
      </c>
      <c r="W160" s="47" t="str">
        <f>VLOOKUP($A160,Category!$A:$E,4,0)</f>
        <v>MS</v>
      </c>
      <c r="X160" s="47" t="str">
        <f>VLOOKUP($A160,Category!$A:$E,5,0)</f>
        <v>MSR</v>
      </c>
      <c r="Y160" s="18" t="str">
        <f>VLOOKUP(A160,PAcc!$A$1:$J$27,10,0)</f>
        <v>#N/A</v>
      </c>
      <c r="Z160" s="42" t="b">
        <f t="shared" si="4"/>
        <v>0</v>
      </c>
      <c r="AA160" s="50">
        <v>0.25</v>
      </c>
      <c r="AB160" s="42" t="str">
        <f>VLOOKUP(A160,VlookupSheet!$A$383:$A$523,1,0)</f>
        <v>#N/A</v>
      </c>
      <c r="AC160" s="50">
        <v>0.01</v>
      </c>
      <c r="AD160" s="42">
        <f t="shared" ref="AD160:AD161" si="25">S160*AA160</f>
        <v>15000000</v>
      </c>
      <c r="AE160" s="42">
        <f t="shared" ref="AE160:AE161" si="26">MROUND(AD160,2000000)/100</f>
        <v>160000</v>
      </c>
      <c r="AF160" s="42">
        <f t="shared" ref="AF160:AF161" si="27">AE160-H160</f>
        <v>0</v>
      </c>
    </row>
    <row r="161">
      <c r="A161" s="11" t="s">
        <v>1055</v>
      </c>
      <c r="B161" s="24" t="s">
        <v>1056</v>
      </c>
      <c r="C161" s="25"/>
      <c r="D161" s="11">
        <f t="shared" si="23"/>
        <v>1</v>
      </c>
      <c r="E161" s="11">
        <f t="shared" si="24"/>
        <v>80000</v>
      </c>
      <c r="F161" s="11" t="s">
        <v>751</v>
      </c>
      <c r="G161" s="11">
        <v>80000.0</v>
      </c>
      <c r="H161" s="42">
        <v>80000.0</v>
      </c>
      <c r="I161" s="11" t="s">
        <v>252</v>
      </c>
      <c r="J161" s="11" t="s">
        <v>77</v>
      </c>
      <c r="K161" s="38">
        <f t="shared" si="17"/>
        <v>1</v>
      </c>
      <c r="L161" s="18" t="s">
        <v>910</v>
      </c>
      <c r="M161" s="18" t="s">
        <v>736</v>
      </c>
      <c r="N161" s="42"/>
      <c r="O161" s="42"/>
      <c r="P161" s="42"/>
      <c r="Q161" s="42" t="str">
        <f>iferror(VLOOKUP(A161,'Positional cal'!A:H,1,0)=A161,"FALSE")</f>
        <v>FALSE</v>
      </c>
      <c r="R161" s="43" t="b">
        <f t="shared" si="3"/>
        <v>0</v>
      </c>
      <c r="S161" s="46">
        <f>IFERROR(VLOOKUP($A161,AlgoUi!$A:$X,21,0),"NA")</f>
        <v>30000000</v>
      </c>
      <c r="T161" s="46">
        <f>IFERROR(VLOOKUP($A161,AlgoUi!$A:$X,23,0),"")</f>
        <v>30000000</v>
      </c>
      <c r="U161" s="46">
        <f>IFERROR(VLOOKUP($A161,AlgoUi!$A:$X,24,0),"")</f>
        <v>300000</v>
      </c>
      <c r="V161" s="42" t="str">
        <f>IFERROR(__xludf.DUMMYFUNCTION("IFERROR(VLOOKUP(I161,IMPORTRANGE(""https://docs.google.com/spreadsheets/d/17FOIUYQAjPk1pPQIlvOgqYDBqwUqgb7KWzp4DtVksBk/edit?gid=0#gid=0"",""Servers!A:S""),19,FALSE), ""Not Running"")"),"PRACHI")</f>
        <v>PRACHI</v>
      </c>
      <c r="W161" s="47" t="str">
        <f>VLOOKUP($A161,Category!$A:$E,4,0)</f>
        <v>MS</v>
      </c>
      <c r="X161" s="47" t="str">
        <f>VLOOKUP($A161,Category!$A:$E,5,0)</f>
        <v>MSR</v>
      </c>
      <c r="Y161" s="18" t="str">
        <f>VLOOKUP(A161,PAcc!$A$1:$J$27,10,0)</f>
        <v>#N/A</v>
      </c>
      <c r="Z161" s="42" t="b">
        <f t="shared" si="4"/>
        <v>0</v>
      </c>
      <c r="AA161" s="50">
        <v>0.25</v>
      </c>
      <c r="AB161" s="42" t="str">
        <f>VLOOKUP(A161,VlookupSheet!$A$383:$A$523,1,0)</f>
        <v>#N/A</v>
      </c>
      <c r="AC161" s="50">
        <v>0.01</v>
      </c>
      <c r="AD161" s="42">
        <f t="shared" si="25"/>
        <v>7500000</v>
      </c>
      <c r="AE161" s="42">
        <f t="shared" si="26"/>
        <v>80000</v>
      </c>
      <c r="AF161" s="42">
        <f t="shared" si="27"/>
        <v>0</v>
      </c>
    </row>
    <row r="162">
      <c r="A162" s="11" t="s">
        <v>668</v>
      </c>
      <c r="B162" s="24" t="s">
        <v>1057</v>
      </c>
      <c r="C162" s="25"/>
      <c r="D162" s="11" t="s">
        <v>874</v>
      </c>
      <c r="E162" s="11">
        <f t="shared" ref="E162:E189" si="28">H162*D162</f>
        <v>18000000</v>
      </c>
      <c r="F162" s="11" t="s">
        <v>1058</v>
      </c>
      <c r="G162" s="11">
        <v>1.8E7</v>
      </c>
      <c r="H162" s="31">
        <v>600000.0</v>
      </c>
      <c r="I162" s="34" t="s">
        <v>267</v>
      </c>
      <c r="J162" s="11" t="s">
        <v>87</v>
      </c>
      <c r="K162" s="38">
        <f t="shared" si="17"/>
        <v>30</v>
      </c>
      <c r="L162" s="18" t="s">
        <v>268</v>
      </c>
      <c r="M162" s="18" t="s">
        <v>1059</v>
      </c>
      <c r="N162" s="18"/>
      <c r="O162" s="18">
        <v>0.0</v>
      </c>
      <c r="P162" s="18" t="s">
        <v>112</v>
      </c>
      <c r="Q162" s="42" t="str">
        <f>iferror(VLOOKUP(A162,'Positional cal'!A:H,1,0)=A162,"FALSE")</f>
        <v>FALSE</v>
      </c>
      <c r="R162" s="43" t="b">
        <f t="shared" si="3"/>
        <v>0</v>
      </c>
      <c r="S162" s="46" t="str">
        <f>IFERROR(VLOOKUP($A162,AlgoUi!$A:$X,21,0),"NA")</f>
        <v/>
      </c>
      <c r="T162" s="46" t="str">
        <f>IFERROR(VLOOKUP($A162,AlgoUi!$A:$X,23,0),"")</f>
        <v/>
      </c>
      <c r="U162" s="46" t="str">
        <f>IFERROR(VLOOKUP($A162,AlgoUi!$A:$X,24,0),"")</f>
        <v/>
      </c>
      <c r="V162" s="42" t="str">
        <f>IFERROR(__xludf.DUMMYFUNCTION("IFERROR(VLOOKUP(I162,IMPORTRANGE(""https://docs.google.com/spreadsheets/d/17FOIUYQAjPk1pPQIlvOgqYDBqwUqgb7KWzp4DtVksBk/edit?gid=0#gid=0"",""Servers!A:S""),19,FALSE), ""Not Running"")"),"Not Running")</f>
        <v>Not Running</v>
      </c>
      <c r="W162" s="47" t="str">
        <f>VLOOKUP($A162,Category!$A:$E,4,0)</f>
        <v>MS</v>
      </c>
      <c r="X162" s="47" t="str">
        <f>VLOOKUP($A162,Category!$A:$E,5,0)</f>
        <v>MSJ</v>
      </c>
      <c r="Y162" s="18" t="str">
        <f>VLOOKUP(A162,PAcc!$A$1:$J$27,10,0)</f>
        <v>#N/A</v>
      </c>
      <c r="Z162" s="42" t="b">
        <f t="shared" si="4"/>
        <v>0</v>
      </c>
      <c r="AA162" s="42"/>
      <c r="AB162" s="42" t="str">
        <f>VLOOKUP(A162,VlookupSheet!$A$383:$A$523,1,0)</f>
        <v>#N/A</v>
      </c>
      <c r="AC162" s="50">
        <v>0.01</v>
      </c>
      <c r="AD162" s="42"/>
      <c r="AE162" s="42"/>
      <c r="AF162" s="42"/>
    </row>
    <row r="163">
      <c r="A163" s="11" t="s">
        <v>671</v>
      </c>
      <c r="B163" s="24" t="s">
        <v>1060</v>
      </c>
      <c r="C163" s="25"/>
      <c r="D163" s="11" t="s">
        <v>874</v>
      </c>
      <c r="E163" s="11">
        <f t="shared" si="28"/>
        <v>24000000</v>
      </c>
      <c r="F163" s="11" t="s">
        <v>841</v>
      </c>
      <c r="G163" s="11">
        <v>2.4E7</v>
      </c>
      <c r="H163" s="31">
        <v>800000.0</v>
      </c>
      <c r="I163" s="34" t="s">
        <v>267</v>
      </c>
      <c r="J163" s="11" t="s">
        <v>87</v>
      </c>
      <c r="K163" s="38">
        <f t="shared" si="17"/>
        <v>30</v>
      </c>
      <c r="L163" s="18" t="s">
        <v>268</v>
      </c>
      <c r="M163" s="18" t="s">
        <v>1059</v>
      </c>
      <c r="N163" s="18"/>
      <c r="O163" s="18">
        <v>0.0</v>
      </c>
      <c r="P163" s="18" t="s">
        <v>112</v>
      </c>
      <c r="Q163" s="42" t="str">
        <f>iferror(VLOOKUP(A163,'Positional cal'!A:H,1,0)=A163,"FALSE")</f>
        <v>FALSE</v>
      </c>
      <c r="R163" s="43" t="b">
        <f t="shared" si="3"/>
        <v>0</v>
      </c>
      <c r="S163" s="46" t="str">
        <f>IFERROR(VLOOKUP($A163,AlgoUi!$A:$X,21,0),"NA")</f>
        <v/>
      </c>
      <c r="T163" s="46" t="str">
        <f>IFERROR(VLOOKUP($A163,AlgoUi!$A:$X,23,0),"")</f>
        <v/>
      </c>
      <c r="U163" s="46" t="str">
        <f>IFERROR(VLOOKUP($A163,AlgoUi!$A:$X,24,0),"")</f>
        <v/>
      </c>
      <c r="V163" s="42" t="str">
        <f>IFERROR(__xludf.DUMMYFUNCTION("IFERROR(VLOOKUP(I163,IMPORTRANGE(""https://docs.google.com/spreadsheets/d/17FOIUYQAjPk1pPQIlvOgqYDBqwUqgb7KWzp4DtVksBk/edit?gid=0#gid=0"",""Servers!A:S""),19,FALSE), ""Not Running"")"),"Not Running")</f>
        <v>Not Running</v>
      </c>
      <c r="W163" s="47" t="str">
        <f>VLOOKUP($A163,Category!$A:$E,4,0)</f>
        <v>MS</v>
      </c>
      <c r="X163" s="47" t="str">
        <f>VLOOKUP($A163,Category!$A:$E,5,0)</f>
        <v>PRD</v>
      </c>
      <c r="Y163" s="18" t="str">
        <f>VLOOKUP(A163,PAcc!$A$1:$J$27,10,0)</f>
        <v>RD Personal </v>
      </c>
      <c r="Z163" s="42" t="b">
        <f t="shared" si="4"/>
        <v>0</v>
      </c>
      <c r="AA163" s="42"/>
      <c r="AB163" s="42" t="str">
        <f>VLOOKUP(A163,VlookupSheet!$A$383:$A$523,1,0)</f>
        <v>#N/A</v>
      </c>
      <c r="AC163" s="50">
        <v>0.01</v>
      </c>
      <c r="AD163" s="42"/>
      <c r="AE163" s="42"/>
      <c r="AF163" s="42"/>
    </row>
    <row r="164">
      <c r="A164" s="11" t="s">
        <v>1061</v>
      </c>
      <c r="B164" s="24" t="s">
        <v>1062</v>
      </c>
      <c r="C164" s="25"/>
      <c r="D164" s="11" t="s">
        <v>874</v>
      </c>
      <c r="E164" s="11">
        <f t="shared" si="28"/>
        <v>15000000</v>
      </c>
      <c r="F164" s="11" t="s">
        <v>716</v>
      </c>
      <c r="G164" s="11">
        <v>1.5E7</v>
      </c>
      <c r="H164" s="31">
        <v>500000.0</v>
      </c>
      <c r="I164" s="11" t="s">
        <v>267</v>
      </c>
      <c r="J164" s="11" t="s">
        <v>87</v>
      </c>
      <c r="K164" s="38">
        <f t="shared" si="17"/>
        <v>30</v>
      </c>
      <c r="L164" s="18" t="s">
        <v>268</v>
      </c>
      <c r="M164" s="18" t="s">
        <v>268</v>
      </c>
      <c r="N164" s="18"/>
      <c r="O164" s="18">
        <v>0.0</v>
      </c>
      <c r="P164" s="18" t="s">
        <v>1063</v>
      </c>
      <c r="Q164" s="42" t="str">
        <f>iferror(VLOOKUP(A164,'Positional cal'!A:H,1,0)=A164,"FALSE")</f>
        <v>FALSE</v>
      </c>
      <c r="R164" s="43" t="b">
        <f t="shared" si="3"/>
        <v>0</v>
      </c>
      <c r="S164" s="46" t="str">
        <f>IFERROR(VLOOKUP($A164,AlgoUi!$A:$X,21,0),"NA")</f>
        <v/>
      </c>
      <c r="T164" s="46" t="str">
        <f>IFERROR(VLOOKUP($A164,AlgoUi!$A:$X,23,0),"")</f>
        <v/>
      </c>
      <c r="U164" s="46" t="str">
        <f>IFERROR(VLOOKUP($A164,AlgoUi!$A:$X,24,0),"")</f>
        <v/>
      </c>
      <c r="V164" s="42" t="str">
        <f>IFERROR(__xludf.DUMMYFUNCTION("IFERROR(VLOOKUP(I164,IMPORTRANGE(""https://docs.google.com/spreadsheets/d/17FOIUYQAjPk1pPQIlvOgqYDBqwUqgb7KWzp4DtVksBk/edit?gid=0#gid=0"",""Servers!A:S""),19,FALSE), ""Not Running"")"),"Not Running")</f>
        <v>Not Running</v>
      </c>
      <c r="W164" s="47" t="str">
        <f>VLOOKUP($A164,Category!$A:$E,4,0)</f>
        <v>MS</v>
      </c>
      <c r="X164" s="47" t="str">
        <f>VLOOKUP($A164,Category!$A:$E,5,0)</f>
        <v>MSS</v>
      </c>
      <c r="Y164" s="18" t="str">
        <f>VLOOKUP(A164,PAcc!$A$1:$J$27,10,0)</f>
        <v>#N/A</v>
      </c>
      <c r="Z164" s="42" t="b">
        <f t="shared" si="4"/>
        <v>0</v>
      </c>
      <c r="AA164" s="42"/>
      <c r="AB164" s="42" t="str">
        <f>VLOOKUP(A164,VlookupSheet!$A$383:$A$523,1,0)</f>
        <v>#N/A</v>
      </c>
      <c r="AC164" s="50">
        <v>0.01</v>
      </c>
      <c r="AD164" s="42"/>
      <c r="AE164" s="42"/>
      <c r="AF164" s="42"/>
    </row>
    <row r="165">
      <c r="A165" s="11" t="s">
        <v>1064</v>
      </c>
      <c r="B165" s="24" t="s">
        <v>1065</v>
      </c>
      <c r="C165" s="25"/>
      <c r="D165" s="11" t="s">
        <v>874</v>
      </c>
      <c r="E165" s="11">
        <f t="shared" si="28"/>
        <v>15000000</v>
      </c>
      <c r="F165" s="11" t="s">
        <v>751</v>
      </c>
      <c r="G165" s="11">
        <v>1.5E7</v>
      </c>
      <c r="H165" s="31">
        <v>500000.0</v>
      </c>
      <c r="I165" s="11" t="s">
        <v>1066</v>
      </c>
      <c r="J165" s="11" t="s">
        <v>1067</v>
      </c>
      <c r="K165" s="38">
        <f t="shared" si="17"/>
        <v>30</v>
      </c>
      <c r="L165" s="18" t="s">
        <v>1068</v>
      </c>
      <c r="M165" s="18" t="s">
        <v>1059</v>
      </c>
      <c r="N165" s="18"/>
      <c r="O165" s="18">
        <v>0.0</v>
      </c>
      <c r="P165" s="18" t="s">
        <v>1063</v>
      </c>
      <c r="Q165" s="42" t="str">
        <f>iferror(VLOOKUP(A165,'Positional cal'!A:H,1,0)=A165,"FALSE")</f>
        <v>FALSE</v>
      </c>
      <c r="R165" s="43" t="b">
        <f t="shared" si="3"/>
        <v>0</v>
      </c>
      <c r="S165" s="46">
        <f>IFERROR(VLOOKUP($A165,AlgoUi!$A:$X,21,0),"NA")</f>
        <v>50000000</v>
      </c>
      <c r="T165" s="46">
        <f>IFERROR(VLOOKUP($A165,AlgoUi!$A:$X,23,0),"")</f>
        <v>50000000</v>
      </c>
      <c r="U165" s="46">
        <f>IFERROR(VLOOKUP($A165,AlgoUi!$A:$X,24,0),"")</f>
        <v>5000000000</v>
      </c>
      <c r="V165" s="42" t="str">
        <f>IFERROR(__xludf.DUMMYFUNCTION("IFERROR(VLOOKUP(I165,IMPORTRANGE(""https://docs.google.com/spreadsheets/d/17FOIUYQAjPk1pPQIlvOgqYDBqwUqgb7KWzp4DtVksBk/edit?gid=0#gid=0"",""Servers!A:S""),19,FALSE), ""Not Running"")"),"YOGESHS")</f>
        <v>YOGESHS</v>
      </c>
      <c r="W165" s="47" t="str">
        <f>VLOOKUP($A165,Category!$A:$E,4,0)</f>
        <v>MS</v>
      </c>
      <c r="X165" s="47" t="str">
        <f>VLOOKUP($A165,Category!$A:$E,5,0)</f>
        <v>MSR</v>
      </c>
      <c r="Y165" s="18" t="str">
        <f>VLOOKUP(A165,PAcc!$A$1:$J$27,10,0)</f>
        <v>#N/A</v>
      </c>
      <c r="Z165" s="42" t="b">
        <f t="shared" si="4"/>
        <v>1</v>
      </c>
      <c r="AA165" s="42"/>
      <c r="AB165" s="42" t="str">
        <f>VLOOKUP(A165,VlookupSheet!$A$383:$A$523,1,0)</f>
        <v>#N/A</v>
      </c>
      <c r="AC165" s="50">
        <v>0.01</v>
      </c>
      <c r="AD165" s="42"/>
      <c r="AE165" s="42"/>
      <c r="AF165" s="42"/>
    </row>
    <row r="166">
      <c r="A166" s="18" t="s">
        <v>1069</v>
      </c>
      <c r="B166" s="11" t="s">
        <v>1070</v>
      </c>
      <c r="C166" s="25"/>
      <c r="D166" s="11" t="s">
        <v>874</v>
      </c>
      <c r="E166" s="11">
        <f t="shared" si="28"/>
        <v>30000000</v>
      </c>
      <c r="F166" s="11" t="s">
        <v>751</v>
      </c>
      <c r="G166" s="11">
        <v>3.0E7</v>
      </c>
      <c r="H166" s="31">
        <v>1000000.0</v>
      </c>
      <c r="I166" s="11" t="s">
        <v>1066</v>
      </c>
      <c r="J166" s="11" t="s">
        <v>1067</v>
      </c>
      <c r="K166" s="38">
        <f t="shared" si="17"/>
        <v>30</v>
      </c>
      <c r="L166" s="18" t="s">
        <v>1068</v>
      </c>
      <c r="M166" s="18" t="s">
        <v>1059</v>
      </c>
      <c r="N166" s="18"/>
      <c r="O166" s="18">
        <v>0.0</v>
      </c>
      <c r="P166" s="18" t="s">
        <v>1063</v>
      </c>
      <c r="Q166" s="42" t="str">
        <f>iferror(VLOOKUP(A166,'Positional cal'!A:H,1,0)=A166,"FALSE")</f>
        <v>FALSE</v>
      </c>
      <c r="R166" s="43" t="b">
        <f t="shared" si="3"/>
        <v>0</v>
      </c>
      <c r="S166" s="46">
        <f>IFERROR(VLOOKUP($A166,AlgoUi!$A:$X,21,0),"NA")</f>
        <v>100000000</v>
      </c>
      <c r="T166" s="46">
        <f>IFERROR(VLOOKUP($A166,AlgoUi!$A:$X,23,0),"")</f>
        <v>100000000</v>
      </c>
      <c r="U166" s="46">
        <f>IFERROR(VLOOKUP($A166,AlgoUi!$A:$X,24,0),"")</f>
        <v>10000000000</v>
      </c>
      <c r="V166" s="42" t="str">
        <f>IFERROR(__xludf.DUMMYFUNCTION("IFERROR(VLOOKUP(I166,IMPORTRANGE(""https://docs.google.com/spreadsheets/d/17FOIUYQAjPk1pPQIlvOgqYDBqwUqgb7KWzp4DtVksBk/edit?gid=0#gid=0"",""Servers!A:S""),19,FALSE), ""Not Running"")"),"YOGESHS")</f>
        <v>YOGESHS</v>
      </c>
      <c r="W166" s="47" t="str">
        <f>VLOOKUP($A166,Category!$A:$E,4,0)</f>
        <v>MS</v>
      </c>
      <c r="X166" s="47" t="str">
        <f>VLOOKUP($A166,Category!$A:$E,5,0)</f>
        <v>MSR</v>
      </c>
      <c r="Y166" s="18" t="str">
        <f>VLOOKUP(A166,PAcc!$A$1:$J$27,10,0)</f>
        <v>#N/A</v>
      </c>
      <c r="Z166" s="42" t="b">
        <f t="shared" si="4"/>
        <v>1</v>
      </c>
      <c r="AA166" s="42"/>
      <c r="AB166" s="42" t="str">
        <f>VLOOKUP(A166,VlookupSheet!$A$383:$A$523,1,0)</f>
        <v>#N/A</v>
      </c>
      <c r="AC166" s="50">
        <v>0.01</v>
      </c>
      <c r="AD166" s="42"/>
      <c r="AE166" s="42"/>
      <c r="AF166" s="42"/>
    </row>
    <row r="167">
      <c r="A167" s="18" t="s">
        <v>1071</v>
      </c>
      <c r="B167" s="11" t="s">
        <v>1072</v>
      </c>
      <c r="C167" s="25"/>
      <c r="D167" s="11">
        <v>30.0</v>
      </c>
      <c r="E167" s="11">
        <f t="shared" si="28"/>
        <v>30000000</v>
      </c>
      <c r="F167" s="11" t="s">
        <v>751</v>
      </c>
      <c r="G167" s="11">
        <v>3.0E7</v>
      </c>
      <c r="H167" s="31">
        <v>1000000.0</v>
      </c>
      <c r="I167" s="11" t="s">
        <v>1066</v>
      </c>
      <c r="J167" s="11" t="s">
        <v>1067</v>
      </c>
      <c r="K167" s="38">
        <f t="shared" si="17"/>
        <v>30</v>
      </c>
      <c r="L167" s="18" t="s">
        <v>1068</v>
      </c>
      <c r="M167" s="18" t="s">
        <v>1059</v>
      </c>
      <c r="N167" s="18"/>
      <c r="O167" s="18">
        <v>0.0</v>
      </c>
      <c r="P167" s="18" t="s">
        <v>1063</v>
      </c>
      <c r="Q167" s="42" t="str">
        <f>iferror(VLOOKUP(A167,'Positional cal'!A:H,1,0)=A167,"FALSE")</f>
        <v>FALSE</v>
      </c>
      <c r="R167" s="43" t="b">
        <f t="shared" si="3"/>
        <v>0</v>
      </c>
      <c r="S167" s="46">
        <f>IFERROR(VLOOKUP($A167,AlgoUi!$A:$X,21,0),"NA")</f>
        <v>100000000</v>
      </c>
      <c r="T167" s="46">
        <f>IFERROR(VLOOKUP($A167,AlgoUi!$A:$X,23,0),"")</f>
        <v>100000000</v>
      </c>
      <c r="U167" s="46">
        <f>IFERROR(VLOOKUP($A167,AlgoUi!$A:$X,24,0),"")</f>
        <v>10000000000</v>
      </c>
      <c r="V167" s="42" t="str">
        <f>IFERROR(__xludf.DUMMYFUNCTION("IFERROR(VLOOKUP(I167,IMPORTRANGE(""https://docs.google.com/spreadsheets/d/17FOIUYQAjPk1pPQIlvOgqYDBqwUqgb7KWzp4DtVksBk/edit?gid=0#gid=0"",""Servers!A:S""),19,FALSE), ""Not Running"")"),"YOGESHS")</f>
        <v>YOGESHS</v>
      </c>
      <c r="W167" s="47" t="str">
        <f>VLOOKUP($A167,Category!$A:$E,4,0)</f>
        <v>MS</v>
      </c>
      <c r="X167" s="47" t="str">
        <f>VLOOKUP($A167,Category!$A:$E,5,0)</f>
        <v>MSR</v>
      </c>
      <c r="Y167" s="18" t="str">
        <f>VLOOKUP(A167,PAcc!$A$1:$J$27,10,0)</f>
        <v>#N/A</v>
      </c>
      <c r="Z167" s="42" t="b">
        <f t="shared" si="4"/>
        <v>1</v>
      </c>
      <c r="AA167" s="42"/>
      <c r="AB167" s="42" t="str">
        <f>VLOOKUP(A167,VlookupSheet!$A$383:$A$523,1,0)</f>
        <v>#N/A</v>
      </c>
      <c r="AC167" s="50">
        <v>0.01</v>
      </c>
      <c r="AD167" s="42"/>
      <c r="AE167" s="42"/>
      <c r="AF167" s="42"/>
    </row>
    <row r="168">
      <c r="A168" s="11" t="s">
        <v>1073</v>
      </c>
      <c r="B168" s="24" t="s">
        <v>1074</v>
      </c>
      <c r="C168" s="25"/>
      <c r="D168" s="11" t="s">
        <v>874</v>
      </c>
      <c r="E168" s="11">
        <f t="shared" si="28"/>
        <v>15000000</v>
      </c>
      <c r="F168" s="11" t="s">
        <v>973</v>
      </c>
      <c r="G168" s="11">
        <v>1.5E7</v>
      </c>
      <c r="H168" s="31">
        <v>500000.0</v>
      </c>
      <c r="I168" s="11" t="s">
        <v>267</v>
      </c>
      <c r="J168" s="11" t="s">
        <v>87</v>
      </c>
      <c r="K168" s="38">
        <f t="shared" si="17"/>
        <v>30</v>
      </c>
      <c r="L168" s="18" t="s">
        <v>268</v>
      </c>
      <c r="M168" s="18" t="s">
        <v>268</v>
      </c>
      <c r="N168" s="18"/>
      <c r="O168" s="18">
        <v>0.0</v>
      </c>
      <c r="P168" s="18" t="s">
        <v>1063</v>
      </c>
      <c r="Q168" s="42" t="str">
        <f>iferror(VLOOKUP(A168,'Positional cal'!A:H,1,0)=A168,"FALSE")</f>
        <v>FALSE</v>
      </c>
      <c r="R168" s="43" t="b">
        <f t="shared" si="3"/>
        <v>0</v>
      </c>
      <c r="S168" s="46" t="str">
        <f>IFERROR(VLOOKUP($A168,AlgoUi!$A:$X,21,0),"NA")</f>
        <v/>
      </c>
      <c r="T168" s="46" t="str">
        <f>IFERROR(VLOOKUP($A168,AlgoUi!$A:$X,23,0),"")</f>
        <v/>
      </c>
      <c r="U168" s="46" t="str">
        <f>IFERROR(VLOOKUP($A168,AlgoUi!$A:$X,24,0),"")</f>
        <v/>
      </c>
      <c r="V168" s="42" t="str">
        <f>IFERROR(__xludf.DUMMYFUNCTION("IFERROR(VLOOKUP(I168,IMPORTRANGE(""https://docs.google.com/spreadsheets/d/17FOIUYQAjPk1pPQIlvOgqYDBqwUqgb7KWzp4DtVksBk/edit?gid=0#gid=0"",""Servers!A:S""),19,FALSE), ""Not Running"")"),"Not Running")</f>
        <v>Not Running</v>
      </c>
      <c r="W168" s="47" t="str">
        <f>VLOOKUP($A168,Category!$A:$E,4,0)</f>
        <v>MS</v>
      </c>
      <c r="X168" s="47" t="str">
        <f>VLOOKUP($A168,Category!$A:$E,5,0)</f>
        <v>MSR</v>
      </c>
      <c r="Y168" s="18" t="str">
        <f>VLOOKUP(A168,PAcc!$A$1:$J$27,10,0)</f>
        <v>#N/A</v>
      </c>
      <c r="Z168" s="42" t="b">
        <f t="shared" si="4"/>
        <v>0</v>
      </c>
      <c r="AA168" s="42"/>
      <c r="AB168" s="42" t="str">
        <f>VLOOKUP(A168,VlookupSheet!$A$383:$A$523,1,0)</f>
        <v>#N/A</v>
      </c>
      <c r="AC168" s="50">
        <v>0.01</v>
      </c>
      <c r="AD168" s="42"/>
      <c r="AE168" s="42"/>
      <c r="AF168" s="42"/>
    </row>
    <row r="169">
      <c r="A169" s="11" t="s">
        <v>960</v>
      </c>
      <c r="B169" s="24" t="s">
        <v>1075</v>
      </c>
      <c r="C169" s="25"/>
      <c r="D169" s="11" t="s">
        <v>964</v>
      </c>
      <c r="E169" s="11">
        <f t="shared" si="28"/>
        <v>140000</v>
      </c>
      <c r="F169" s="11" t="s">
        <v>716</v>
      </c>
      <c r="G169" s="31">
        <f>VLOOKUP(A169,'A8 Daily SL verification'!$A:$G,7,0)</f>
        <v>140000</v>
      </c>
      <c r="H169" s="31">
        <f>VLOOKUP(A169,'A8 Daily SL verification'!$A:$G,3,0)</f>
        <v>200000</v>
      </c>
      <c r="I169" s="18" t="s">
        <v>267</v>
      </c>
      <c r="J169" s="11" t="s">
        <v>87</v>
      </c>
      <c r="K169" s="38">
        <f t="shared" si="17"/>
        <v>0.7</v>
      </c>
      <c r="L169" s="18" t="s">
        <v>268</v>
      </c>
      <c r="M169" s="18" t="s">
        <v>268</v>
      </c>
      <c r="N169" s="18"/>
      <c r="O169" s="18"/>
      <c r="P169" s="18"/>
      <c r="Q169" s="42" t="str">
        <f>iferror(VLOOKUP(A169,'Positional cal'!A:H,1,0)=A169,"FALSE")</f>
        <v>FALSE</v>
      </c>
      <c r="R169" s="43" t="b">
        <f t="shared" si="3"/>
        <v>0</v>
      </c>
      <c r="S169" s="46" t="str">
        <f>IFERROR(VLOOKUP($A169,AlgoUi!$A:$X,21,0),"NA")</f>
        <v/>
      </c>
      <c r="T169" s="46" t="str">
        <f>IFERROR(VLOOKUP($A169,AlgoUi!$A:$X,23,0),"")</f>
        <v/>
      </c>
      <c r="U169" s="46" t="str">
        <f>IFERROR(VLOOKUP($A169,AlgoUi!$A:$X,24,0),"")</f>
        <v/>
      </c>
      <c r="V169" s="42" t="str">
        <f>IFERROR(__xludf.DUMMYFUNCTION("IFERROR(VLOOKUP(I169,IMPORTRANGE(""https://docs.google.com/spreadsheets/d/17FOIUYQAjPk1pPQIlvOgqYDBqwUqgb7KWzp4DtVksBk/edit?gid=0#gid=0"",""Servers!A:S""),19,FALSE), ""Not Running"")"),"Not Running")</f>
        <v>Not Running</v>
      </c>
      <c r="W169" s="47" t="str">
        <f>VLOOKUP($A169,Category!$A:$E,4,0)</f>
        <v>MS</v>
      </c>
      <c r="X169" s="47" t="str">
        <f>VLOOKUP($A169,Category!$A:$E,5,0)</f>
        <v>MSS</v>
      </c>
      <c r="Y169" s="18" t="str">
        <f>VLOOKUP(A169,PAcc!$A$1:$J$27,10,0)</f>
        <v>#N/A</v>
      </c>
      <c r="Z169" s="42" t="b">
        <f t="shared" si="4"/>
        <v>0</v>
      </c>
      <c r="AA169" s="42"/>
      <c r="AB169" s="42" t="str">
        <f>VLOOKUP(A169,VlookupSheet!$A$383:$A$523,1,0)</f>
        <v>#N/A</v>
      </c>
      <c r="AC169" s="50">
        <v>0.01</v>
      </c>
      <c r="AD169" s="42"/>
      <c r="AE169" s="42"/>
      <c r="AF169" s="42"/>
    </row>
    <row r="170">
      <c r="A170" s="30" t="s">
        <v>583</v>
      </c>
      <c r="B170" s="84" t="s">
        <v>1076</v>
      </c>
      <c r="C170" s="85"/>
      <c r="D170" s="11" t="s">
        <v>964</v>
      </c>
      <c r="E170" s="11">
        <f t="shared" si="28"/>
        <v>140000</v>
      </c>
      <c r="F170" s="30" t="s">
        <v>232</v>
      </c>
      <c r="G170" s="31">
        <f>VLOOKUP(A170,'A8 Daily SL verification'!$A:$G,7,0)</f>
        <v>166887</v>
      </c>
      <c r="H170" s="31">
        <f>VLOOKUP(A170,'A8 Daily SL verification'!$A:$G,3,0)</f>
        <v>200000</v>
      </c>
      <c r="I170" s="34" t="s">
        <v>585</v>
      </c>
      <c r="J170" s="11" t="s">
        <v>586</v>
      </c>
      <c r="K170" s="38">
        <f t="shared" si="17"/>
        <v>0.834435</v>
      </c>
      <c r="L170" s="18" t="s">
        <v>1068</v>
      </c>
      <c r="M170" s="18" t="s">
        <v>1077</v>
      </c>
      <c r="N170" s="47"/>
      <c r="O170" s="47"/>
      <c r="P170" s="47"/>
      <c r="Q170" s="42" t="str">
        <f>iferror(VLOOKUP(A170,'Positional cal'!A:H,1,0)=A170,"FALSE")</f>
        <v>FALSE</v>
      </c>
      <c r="R170" s="43" t="b">
        <f t="shared" si="3"/>
        <v>0</v>
      </c>
      <c r="S170" s="46">
        <f>IFERROR(VLOOKUP($A170,AlgoUi!$A:$X,21,0),"NA")</f>
        <v>76865308</v>
      </c>
      <c r="T170" s="46">
        <f>IFERROR(VLOOKUP($A170,AlgoUi!$A:$X,23,0),"")</f>
        <v>76000000</v>
      </c>
      <c r="U170" s="46">
        <f>IFERROR(VLOOKUP($A170,AlgoUi!$A:$X,24,0),"")</f>
        <v>532000</v>
      </c>
      <c r="V170" s="42" t="str">
        <f>IFERROR(__xludf.DUMMYFUNCTION("IFERROR(VLOOKUP(I170,IMPORTRANGE(""https://docs.google.com/spreadsheets/d/17FOIUYQAjPk1pPQIlvOgqYDBqwUqgb7KWzp4DtVksBk/edit?gid=0#gid=0"",""Servers!A:S""),19,FALSE), ""Not Running"")"),"DHANANJAYS")</f>
        <v>DHANANJAYS</v>
      </c>
      <c r="W170" s="47" t="str">
        <f>VLOOKUP($A170,Category!$A:$E,4,0)</f>
        <v>MS</v>
      </c>
      <c r="X170" s="47" t="str">
        <f>VLOOKUP($A170,Category!$A:$E,5,0)</f>
        <v>MSP</v>
      </c>
      <c r="Y170" s="18" t="str">
        <f>VLOOKUP(A170,PAcc!$A$1:$J$27,10,0)</f>
        <v>#N/A</v>
      </c>
      <c r="Z170" s="42" t="b">
        <f t="shared" si="4"/>
        <v>0</v>
      </c>
      <c r="AA170" s="42"/>
      <c r="AB170" s="25" t="str">
        <f>VLOOKUP(A170,VlookupSheet!$A$383:$A$523,1,0)</f>
        <v>7RA1PG011</v>
      </c>
      <c r="AC170" s="50">
        <v>0.01</v>
      </c>
      <c r="AD170" s="42"/>
      <c r="AE170" s="42"/>
      <c r="AF170" s="42"/>
    </row>
    <row r="171">
      <c r="A171" s="30" t="s">
        <v>517</v>
      </c>
      <c r="B171" s="84" t="s">
        <v>1078</v>
      </c>
      <c r="C171" s="85"/>
      <c r="D171" s="11" t="s">
        <v>77</v>
      </c>
      <c r="E171" s="11">
        <f t="shared" si="28"/>
        <v>100000</v>
      </c>
      <c r="F171" s="30" t="s">
        <v>232</v>
      </c>
      <c r="G171" s="31">
        <f t="shared" ref="G171:G189" si="29">E171</f>
        <v>100000</v>
      </c>
      <c r="H171" s="31">
        <f>VLOOKUP(A171,'A8 Daily SL verification'!$A:$G,3,0)</f>
        <v>100000</v>
      </c>
      <c r="I171" s="34" t="s">
        <v>585</v>
      </c>
      <c r="J171" s="11" t="s">
        <v>586</v>
      </c>
      <c r="K171" s="38">
        <f t="shared" si="17"/>
        <v>1</v>
      </c>
      <c r="L171" s="18" t="s">
        <v>910</v>
      </c>
      <c r="M171" s="18" t="s">
        <v>736</v>
      </c>
      <c r="N171" s="74"/>
      <c r="O171" s="74"/>
      <c r="P171" s="74"/>
      <c r="Q171" s="42" t="str">
        <f>iferror(VLOOKUP(A171,'Positional cal'!A:H,1,0)=A171,"FALSE")</f>
        <v>FALSE</v>
      </c>
      <c r="R171" s="43" t="b">
        <f t="shared" si="3"/>
        <v>0</v>
      </c>
      <c r="S171" s="46">
        <f>IFERROR(VLOOKUP($A171,AlgoUi!$A:$X,21,0),"NA")</f>
        <v>26865397</v>
      </c>
      <c r="T171" s="46">
        <f>IFERROR(VLOOKUP($A171,AlgoUi!$A:$X,23,0),"")</f>
        <v>26000000</v>
      </c>
      <c r="U171" s="46">
        <f>IFERROR(VLOOKUP($A171,AlgoUi!$A:$X,24,0),"")</f>
        <v>182000</v>
      </c>
      <c r="V171" s="42" t="str">
        <f>IFERROR(__xludf.DUMMYFUNCTION("IFERROR(VLOOKUP(I171,IMPORTRANGE(""https://docs.google.com/spreadsheets/d/17FOIUYQAjPk1pPQIlvOgqYDBqwUqgb7KWzp4DtVksBk/edit?gid=0#gid=0"",""Servers!A:S""),19,FALSE), ""Not Running"")"),"DHANANJAYS")</f>
        <v>DHANANJAYS</v>
      </c>
      <c r="W171" s="47" t="str">
        <f>VLOOKUP($A171,Category!$A:$E,4,0)</f>
        <v>MS</v>
      </c>
      <c r="X171" s="47" t="str">
        <f>VLOOKUP($A171,Category!$A:$E,5,0)</f>
        <v>MSR</v>
      </c>
      <c r="Y171" s="18" t="str">
        <f>VLOOKUP(A171,PAcc!$A$1:$J$27,10,0)</f>
        <v>#N/A</v>
      </c>
      <c r="Z171" s="42" t="b">
        <f t="shared" si="4"/>
        <v>0</v>
      </c>
      <c r="AA171" s="50">
        <v>0.5</v>
      </c>
      <c r="AB171" s="42" t="str">
        <f>VLOOKUP(A171,VlookupSheet!$A$383:$A$523,1,0)</f>
        <v>#N/A</v>
      </c>
      <c r="AC171" s="50">
        <v>0.01</v>
      </c>
      <c r="AD171" s="42"/>
      <c r="AE171" s="42"/>
      <c r="AF171" s="42"/>
    </row>
    <row r="172">
      <c r="A172" s="30" t="s">
        <v>552</v>
      </c>
      <c r="B172" s="84" t="s">
        <v>1079</v>
      </c>
      <c r="C172" s="85"/>
      <c r="D172" s="11" t="s">
        <v>77</v>
      </c>
      <c r="E172" s="11">
        <f t="shared" si="28"/>
        <v>100000</v>
      </c>
      <c r="F172" s="30" t="s">
        <v>232</v>
      </c>
      <c r="G172" s="31">
        <f t="shared" si="29"/>
        <v>100000</v>
      </c>
      <c r="H172" s="31">
        <f>VLOOKUP(A172,'A8 Daily SL verification'!$A:$G,3,0)</f>
        <v>100000</v>
      </c>
      <c r="I172" s="34" t="s">
        <v>585</v>
      </c>
      <c r="J172" s="11" t="s">
        <v>586</v>
      </c>
      <c r="K172" s="38">
        <f t="shared" si="17"/>
        <v>1</v>
      </c>
      <c r="L172" s="18" t="s">
        <v>910</v>
      </c>
      <c r="M172" s="18" t="s">
        <v>736</v>
      </c>
      <c r="N172" s="74"/>
      <c r="O172" s="74"/>
      <c r="P172" s="74"/>
      <c r="Q172" s="42" t="str">
        <f>iferror(VLOOKUP(A172,'Positional cal'!A:H,1,0)=A172,"FALSE")</f>
        <v>FALSE</v>
      </c>
      <c r="R172" s="43" t="b">
        <f t="shared" si="3"/>
        <v>0</v>
      </c>
      <c r="S172" s="46">
        <f>IFERROR(VLOOKUP($A172,AlgoUi!$A:$X,21,0),"NA")</f>
        <v>34283436</v>
      </c>
      <c r="T172" s="46">
        <f>IFERROR(VLOOKUP($A172,AlgoUi!$A:$X,23,0),"")</f>
        <v>34000000</v>
      </c>
      <c r="U172" s="46">
        <f>IFERROR(VLOOKUP($A172,AlgoUi!$A:$X,24,0),"")</f>
        <v>238000</v>
      </c>
      <c r="V172" s="42" t="str">
        <f>IFERROR(__xludf.DUMMYFUNCTION("IFERROR(VLOOKUP(I172,IMPORTRANGE(""https://docs.google.com/spreadsheets/d/17FOIUYQAjPk1pPQIlvOgqYDBqwUqgb7KWzp4DtVksBk/edit?gid=0#gid=0"",""Servers!A:S""),19,FALSE), ""Not Running"")"),"DHANANJAYS")</f>
        <v>DHANANJAYS</v>
      </c>
      <c r="W172" s="47" t="str">
        <f>VLOOKUP($A172,Category!$A:$E,4,0)</f>
        <v>MS</v>
      </c>
      <c r="X172" s="47" t="str">
        <f>VLOOKUP($A172,Category!$A:$E,5,0)</f>
        <v>MSR</v>
      </c>
      <c r="Y172" s="18" t="str">
        <f>VLOOKUP(A172,PAcc!$A$1:$J$27,10,0)</f>
        <v>#N/A</v>
      </c>
      <c r="Z172" s="42" t="b">
        <f t="shared" si="4"/>
        <v>0</v>
      </c>
      <c r="AA172" s="50">
        <v>0.5</v>
      </c>
      <c r="AB172" s="42" t="str">
        <f>VLOOKUP(A172,VlookupSheet!$A$383:$A$523,1,0)</f>
        <v>#N/A</v>
      </c>
      <c r="AC172" s="50">
        <v>0.01</v>
      </c>
      <c r="AD172" s="42"/>
      <c r="AE172" s="42"/>
      <c r="AF172" s="42"/>
    </row>
    <row r="173">
      <c r="A173" s="11" t="s">
        <v>564</v>
      </c>
      <c r="B173" s="84" t="s">
        <v>1080</v>
      </c>
      <c r="C173" s="25"/>
      <c r="D173" s="11" t="s">
        <v>77</v>
      </c>
      <c r="E173" s="11">
        <f t="shared" si="28"/>
        <v>100000</v>
      </c>
      <c r="F173" s="30" t="s">
        <v>232</v>
      </c>
      <c r="G173" s="31">
        <f t="shared" si="29"/>
        <v>100000</v>
      </c>
      <c r="H173" s="31">
        <f>VLOOKUP(A173,'A8 Daily SL verification'!$A:$G,3,0)</f>
        <v>100000</v>
      </c>
      <c r="I173" s="34" t="s">
        <v>585</v>
      </c>
      <c r="J173" s="11" t="s">
        <v>586</v>
      </c>
      <c r="K173" s="38">
        <f t="shared" si="17"/>
        <v>1</v>
      </c>
      <c r="L173" s="18" t="s">
        <v>910</v>
      </c>
      <c r="M173" s="18" t="s">
        <v>736</v>
      </c>
      <c r="N173" s="42"/>
      <c r="O173" s="42"/>
      <c r="P173" s="42"/>
      <c r="Q173" s="42" t="str">
        <f>iferror(VLOOKUP(A173,'Positional cal'!A:H,1,0)=A173,"FALSE")</f>
        <v>FALSE</v>
      </c>
      <c r="R173" s="43" t="b">
        <f t="shared" si="3"/>
        <v>0</v>
      </c>
      <c r="S173" s="46">
        <f>IFERROR(VLOOKUP($A173,AlgoUi!$A:$X,21,0),"NA")</f>
        <v>26143908</v>
      </c>
      <c r="T173" s="46">
        <f>IFERROR(VLOOKUP($A173,AlgoUi!$A:$X,23,0),"")</f>
        <v>26000000</v>
      </c>
      <c r="U173" s="46">
        <f>IFERROR(VLOOKUP($A173,AlgoUi!$A:$X,24,0),"")</f>
        <v>182000</v>
      </c>
      <c r="V173" s="42" t="str">
        <f>IFERROR(__xludf.DUMMYFUNCTION("IFERROR(VLOOKUP(I173,IMPORTRANGE(""https://docs.google.com/spreadsheets/d/17FOIUYQAjPk1pPQIlvOgqYDBqwUqgb7KWzp4DtVksBk/edit?gid=0#gid=0"",""Servers!A:S""),19,FALSE), ""Not Running"")"),"DHANANJAYS")</f>
        <v>DHANANJAYS</v>
      </c>
      <c r="W173" s="47" t="str">
        <f>VLOOKUP($A173,Category!$A:$E,4,0)</f>
        <v>MS</v>
      </c>
      <c r="X173" s="47" t="str">
        <f>VLOOKUP($A173,Category!$A:$E,5,0)</f>
        <v>MSR</v>
      </c>
      <c r="Y173" s="18" t="str">
        <f>VLOOKUP(A173,PAcc!$A$1:$J$27,10,0)</f>
        <v>#N/A</v>
      </c>
      <c r="Z173" s="42" t="b">
        <f t="shared" si="4"/>
        <v>0</v>
      </c>
      <c r="AA173" s="50">
        <v>0.5</v>
      </c>
      <c r="AB173" s="42" t="str">
        <f>VLOOKUP(A173,VlookupSheet!$A$383:$A$523,1,0)</f>
        <v>#N/A</v>
      </c>
      <c r="AC173" s="50">
        <v>0.01</v>
      </c>
      <c r="AD173" s="42"/>
      <c r="AE173" s="42"/>
      <c r="AF173" s="42"/>
    </row>
    <row r="174">
      <c r="A174" s="30" t="s">
        <v>570</v>
      </c>
      <c r="B174" s="84" t="s">
        <v>1081</v>
      </c>
      <c r="C174" s="30" t="s">
        <v>320</v>
      </c>
      <c r="D174" s="11" t="s">
        <v>77</v>
      </c>
      <c r="E174" s="11">
        <f t="shared" si="28"/>
        <v>200000</v>
      </c>
      <c r="F174" s="30" t="s">
        <v>232</v>
      </c>
      <c r="G174" s="31">
        <f t="shared" si="29"/>
        <v>200000</v>
      </c>
      <c r="H174" s="31">
        <f>VLOOKUP(A174,'A8 Daily SL verification'!$A:$G,3,0)</f>
        <v>200000</v>
      </c>
      <c r="I174" s="34" t="s">
        <v>585</v>
      </c>
      <c r="J174" s="11" t="s">
        <v>586</v>
      </c>
      <c r="K174" s="38">
        <f t="shared" si="17"/>
        <v>1</v>
      </c>
      <c r="L174" s="18" t="s">
        <v>910</v>
      </c>
      <c r="M174" s="18" t="s">
        <v>736</v>
      </c>
      <c r="N174" s="47"/>
      <c r="O174" s="47"/>
      <c r="P174" s="47"/>
      <c r="Q174" s="42" t="str">
        <f>iferror(VLOOKUP(A174,'Positional cal'!A:H,1,0)=A174,"FALSE")</f>
        <v>FALSE</v>
      </c>
      <c r="R174" s="43" t="b">
        <f t="shared" si="3"/>
        <v>0</v>
      </c>
      <c r="S174" s="46">
        <f>IFERROR(VLOOKUP($A174,AlgoUi!$A:$X,21,0),"NA")</f>
        <v>41061657</v>
      </c>
      <c r="T174" s="46">
        <f>IFERROR(VLOOKUP($A174,AlgoUi!$A:$X,23,0),"")</f>
        <v>42000000</v>
      </c>
      <c r="U174" s="46">
        <f>IFERROR(VLOOKUP($A174,AlgoUi!$A:$X,24,0),"")</f>
        <v>294000</v>
      </c>
      <c r="V174" s="42" t="str">
        <f>IFERROR(__xludf.DUMMYFUNCTION("IFERROR(VLOOKUP(I174,IMPORTRANGE(""https://docs.google.com/spreadsheets/d/17FOIUYQAjPk1pPQIlvOgqYDBqwUqgb7KWzp4DtVksBk/edit?gid=0#gid=0"",""Servers!A:S""),19,FALSE), ""Not Running"")"),"DHANANJAYS")</f>
        <v>DHANANJAYS</v>
      </c>
      <c r="W174" s="47" t="str">
        <f>VLOOKUP($A174,Category!$A:$E,4,0)</f>
        <v>MS</v>
      </c>
      <c r="X174" s="47" t="str">
        <f>VLOOKUP($A174,Category!$A:$E,5,0)</f>
        <v>MSR</v>
      </c>
      <c r="Y174" s="18" t="str">
        <f>VLOOKUP(A174,PAcc!$A$1:$J$27,10,0)</f>
        <v>#N/A</v>
      </c>
      <c r="Z174" s="42" t="b">
        <f t="shared" si="4"/>
        <v>0</v>
      </c>
      <c r="AA174" s="50">
        <v>0.5</v>
      </c>
      <c r="AB174" s="42" t="str">
        <f>VLOOKUP(A174,VlookupSheet!$A$383:$A$523,1,0)</f>
        <v>#N/A</v>
      </c>
      <c r="AC174" s="50">
        <v>0.01</v>
      </c>
      <c r="AD174" s="42"/>
      <c r="AE174" s="42"/>
      <c r="AF174" s="42"/>
    </row>
    <row r="175">
      <c r="A175" s="30" t="s">
        <v>576</v>
      </c>
      <c r="B175" s="84" t="s">
        <v>1082</v>
      </c>
      <c r="C175" s="85"/>
      <c r="D175" s="11" t="s">
        <v>77</v>
      </c>
      <c r="E175" s="11">
        <f t="shared" si="28"/>
        <v>100000</v>
      </c>
      <c r="F175" s="30" t="s">
        <v>232</v>
      </c>
      <c r="G175" s="31">
        <f t="shared" si="29"/>
        <v>100000</v>
      </c>
      <c r="H175" s="31">
        <f>VLOOKUP(A175,'A8 Daily SL verification'!$A:$G,3,0)</f>
        <v>100000</v>
      </c>
      <c r="I175" s="34" t="s">
        <v>585</v>
      </c>
      <c r="J175" s="11" t="s">
        <v>586</v>
      </c>
      <c r="K175" s="38">
        <f t="shared" si="17"/>
        <v>1</v>
      </c>
      <c r="L175" s="18" t="s">
        <v>910</v>
      </c>
      <c r="M175" s="18" t="s">
        <v>736</v>
      </c>
      <c r="N175" s="74"/>
      <c r="O175" s="74"/>
      <c r="P175" s="74"/>
      <c r="Q175" s="42" t="str">
        <f>iferror(VLOOKUP(A175,'Positional cal'!A:H,1,0)=A175,"FALSE")</f>
        <v>FALSE</v>
      </c>
      <c r="R175" s="43" t="b">
        <f t="shared" si="3"/>
        <v>0</v>
      </c>
      <c r="S175" s="46">
        <f>IFERROR(VLOOKUP($A175,AlgoUi!$A:$X,21,0),"NA")</f>
        <v>27256743</v>
      </c>
      <c r="T175" s="46">
        <f>IFERROR(VLOOKUP($A175,AlgoUi!$A:$X,23,0),"")</f>
        <v>28000000</v>
      </c>
      <c r="U175" s="46">
        <f>IFERROR(VLOOKUP($A175,AlgoUi!$A:$X,24,0),"")</f>
        <v>196000</v>
      </c>
      <c r="V175" s="42" t="str">
        <f>IFERROR(__xludf.DUMMYFUNCTION("IFERROR(VLOOKUP(I175,IMPORTRANGE(""https://docs.google.com/spreadsheets/d/17FOIUYQAjPk1pPQIlvOgqYDBqwUqgb7KWzp4DtVksBk/edit?gid=0#gid=0"",""Servers!A:S""),19,FALSE), ""Not Running"")"),"DHANANJAYS")</f>
        <v>DHANANJAYS</v>
      </c>
      <c r="W175" s="47" t="str">
        <f>VLOOKUP($A175,Category!$A:$E,4,0)</f>
        <v>MS</v>
      </c>
      <c r="X175" s="47" t="str">
        <f>VLOOKUP($A175,Category!$A:$E,5,0)</f>
        <v>MSR</v>
      </c>
      <c r="Y175" s="18" t="str">
        <f>VLOOKUP(A175,PAcc!$A$1:$J$27,10,0)</f>
        <v>#N/A</v>
      </c>
      <c r="Z175" s="42" t="b">
        <f t="shared" si="4"/>
        <v>0</v>
      </c>
      <c r="AA175" s="50">
        <v>0.5</v>
      </c>
      <c r="AB175" s="42" t="str">
        <f>VLOOKUP(A175,VlookupSheet!$A$383:$A$523,1,0)</f>
        <v>#N/A</v>
      </c>
      <c r="AC175" s="50">
        <v>0.01</v>
      </c>
      <c r="AD175" s="42"/>
      <c r="AE175" s="42"/>
      <c r="AF175" s="42"/>
    </row>
    <row r="176">
      <c r="A176" s="177" t="s">
        <v>559</v>
      </c>
      <c r="B176" s="84" t="s">
        <v>1083</v>
      </c>
      <c r="C176" s="178"/>
      <c r="D176" s="11" t="s">
        <v>77</v>
      </c>
      <c r="E176" s="11">
        <f t="shared" si="28"/>
        <v>100000</v>
      </c>
      <c r="F176" s="179" t="s">
        <v>232</v>
      </c>
      <c r="G176" s="31">
        <f t="shared" si="29"/>
        <v>100000</v>
      </c>
      <c r="H176" s="31">
        <f>VLOOKUP(A176,'A8 Daily SL verification'!$A:$G,3,0)</f>
        <v>100000</v>
      </c>
      <c r="I176" s="34" t="s">
        <v>585</v>
      </c>
      <c r="J176" s="11" t="s">
        <v>586</v>
      </c>
      <c r="K176" s="38">
        <f t="shared" si="17"/>
        <v>1</v>
      </c>
      <c r="L176" s="18" t="s">
        <v>910</v>
      </c>
      <c r="M176" s="18" t="s">
        <v>736</v>
      </c>
      <c r="N176" s="180"/>
      <c r="O176" s="180"/>
      <c r="P176" s="180"/>
      <c r="Q176" s="42" t="str">
        <f>iferror(VLOOKUP(A176,'Positional cal'!A:H,1,0)=A176,"FALSE")</f>
        <v>FALSE</v>
      </c>
      <c r="R176" s="43" t="b">
        <f t="shared" si="3"/>
        <v>0</v>
      </c>
      <c r="S176" s="46">
        <f>IFERROR(VLOOKUP($A176,AlgoUi!$A:$X,21,0),"NA")</f>
        <v>27780163</v>
      </c>
      <c r="T176" s="46">
        <f>IFERROR(VLOOKUP($A176,AlgoUi!$A:$X,23,0),"")</f>
        <v>28000000</v>
      </c>
      <c r="U176" s="46">
        <f>IFERROR(VLOOKUP($A176,AlgoUi!$A:$X,24,0),"")</f>
        <v>196000</v>
      </c>
      <c r="V176" s="42" t="str">
        <f>IFERROR(__xludf.DUMMYFUNCTION("IFERROR(VLOOKUP(I176,IMPORTRANGE(""https://docs.google.com/spreadsheets/d/17FOIUYQAjPk1pPQIlvOgqYDBqwUqgb7KWzp4DtVksBk/edit?gid=0#gid=0"",""Servers!A:S""),19,FALSE), ""Not Running"")"),"DHANANJAYS")</f>
        <v>DHANANJAYS</v>
      </c>
      <c r="W176" s="47" t="str">
        <f>VLOOKUP($A176,Category!$A:$E,4,0)</f>
        <v>MS</v>
      </c>
      <c r="X176" s="47" t="str">
        <f>VLOOKUP($A176,Category!$A:$E,5,0)</f>
        <v>MSR</v>
      </c>
      <c r="Y176" s="18" t="str">
        <f>VLOOKUP(A176,PAcc!$A$1:$J$27,10,0)</f>
        <v>#N/A</v>
      </c>
      <c r="Z176" s="42" t="b">
        <f t="shared" si="4"/>
        <v>0</v>
      </c>
      <c r="AA176" s="50">
        <v>0.5</v>
      </c>
      <c r="AB176" s="42" t="str">
        <f>VLOOKUP(A176,VlookupSheet!$A$383:$A$523,1,0)</f>
        <v>#N/A</v>
      </c>
      <c r="AC176" s="50">
        <v>0.01</v>
      </c>
      <c r="AD176" s="42"/>
      <c r="AE176" s="42"/>
      <c r="AF176" s="42"/>
    </row>
    <row r="177">
      <c r="A177" s="30" t="s">
        <v>542</v>
      </c>
      <c r="B177" s="84" t="s">
        <v>1084</v>
      </c>
      <c r="C177" s="85"/>
      <c r="D177" s="11" t="s">
        <v>77</v>
      </c>
      <c r="E177" s="11">
        <f t="shared" si="28"/>
        <v>100000</v>
      </c>
      <c r="F177" s="30" t="s">
        <v>232</v>
      </c>
      <c r="G177" s="31">
        <f t="shared" si="29"/>
        <v>100000</v>
      </c>
      <c r="H177" s="31">
        <f>VLOOKUP(A177,'A8 Daily SL verification'!$A:$G,3,0)</f>
        <v>100000</v>
      </c>
      <c r="I177" s="34" t="s">
        <v>585</v>
      </c>
      <c r="J177" s="11" t="s">
        <v>586</v>
      </c>
      <c r="K177" s="38">
        <f t="shared" si="17"/>
        <v>1</v>
      </c>
      <c r="L177" s="18" t="s">
        <v>910</v>
      </c>
      <c r="M177" s="18" t="s">
        <v>736</v>
      </c>
      <c r="N177" s="74"/>
      <c r="O177" s="74"/>
      <c r="P177" s="74"/>
      <c r="Q177" s="42" t="str">
        <f>iferror(VLOOKUP(A177,'Positional cal'!A:H,1,0)=A177,"FALSE")</f>
        <v>FALSE</v>
      </c>
      <c r="R177" s="43" t="b">
        <f t="shared" si="3"/>
        <v>0</v>
      </c>
      <c r="S177" s="46">
        <f>IFERROR(VLOOKUP($A177,AlgoUi!$A:$X,21,0),"NA")</f>
        <v>31467822</v>
      </c>
      <c r="T177" s="46">
        <f>IFERROR(VLOOKUP($A177,AlgoUi!$A:$X,23,0),"")</f>
        <v>32000000</v>
      </c>
      <c r="U177" s="46">
        <f>IFERROR(VLOOKUP($A177,AlgoUi!$A:$X,24,0),"")</f>
        <v>224000</v>
      </c>
      <c r="V177" s="42" t="str">
        <f>IFERROR(__xludf.DUMMYFUNCTION("IFERROR(VLOOKUP(I177,IMPORTRANGE(""https://docs.google.com/spreadsheets/d/17FOIUYQAjPk1pPQIlvOgqYDBqwUqgb7KWzp4DtVksBk/edit?gid=0#gid=0"",""Servers!A:S""),19,FALSE), ""Not Running"")"),"DHANANJAYS")</f>
        <v>DHANANJAYS</v>
      </c>
      <c r="W177" s="47" t="str">
        <f>VLOOKUP($A177,Category!$A:$E,4,0)</f>
        <v>MS</v>
      </c>
      <c r="X177" s="47" t="str">
        <f>VLOOKUP($A177,Category!$A:$E,5,0)</f>
        <v>MSR</v>
      </c>
      <c r="Y177" s="18" t="str">
        <f>VLOOKUP(A177,PAcc!$A$1:$J$27,10,0)</f>
        <v>#N/A</v>
      </c>
      <c r="Z177" s="42" t="b">
        <f t="shared" si="4"/>
        <v>0</v>
      </c>
      <c r="AA177" s="50">
        <v>0.5</v>
      </c>
      <c r="AB177" s="42" t="str">
        <f>VLOOKUP(A177,VlookupSheet!$A$383:$A$523,1,0)</f>
        <v>#N/A</v>
      </c>
      <c r="AC177" s="50">
        <v>0.01</v>
      </c>
      <c r="AD177" s="42"/>
      <c r="AE177" s="42"/>
      <c r="AF177" s="42"/>
    </row>
    <row r="178">
      <c r="A178" s="30" t="s">
        <v>533</v>
      </c>
      <c r="B178" s="84" t="s">
        <v>1085</v>
      </c>
      <c r="C178" s="85"/>
      <c r="D178" s="11" t="s">
        <v>77</v>
      </c>
      <c r="E178" s="11">
        <f t="shared" si="28"/>
        <v>100000</v>
      </c>
      <c r="F178" s="30" t="s">
        <v>232</v>
      </c>
      <c r="G178" s="31">
        <f t="shared" si="29"/>
        <v>100000</v>
      </c>
      <c r="H178" s="31">
        <f>VLOOKUP(A178,'A8 Daily SL verification'!$A:$G,3,0)</f>
        <v>100000</v>
      </c>
      <c r="I178" s="34" t="s">
        <v>585</v>
      </c>
      <c r="J178" s="11" t="s">
        <v>586</v>
      </c>
      <c r="K178" s="38">
        <f t="shared" si="17"/>
        <v>1</v>
      </c>
      <c r="L178" s="18" t="s">
        <v>910</v>
      </c>
      <c r="M178" s="18" t="s">
        <v>736</v>
      </c>
      <c r="N178" s="74"/>
      <c r="O178" s="74"/>
      <c r="P178" s="74"/>
      <c r="Q178" s="42" t="str">
        <f>iferror(VLOOKUP(A178,'Positional cal'!A:H,1,0)=A178,"FALSE")</f>
        <v>FALSE</v>
      </c>
      <c r="R178" s="43" t="b">
        <f t="shared" si="3"/>
        <v>0</v>
      </c>
      <c r="S178" s="46">
        <f>IFERROR(VLOOKUP($A178,AlgoUi!$A:$X,21,0),"NA")</f>
        <v>23321411</v>
      </c>
      <c r="T178" s="46">
        <f>IFERROR(VLOOKUP($A178,AlgoUi!$A:$X,23,0),"")</f>
        <v>24000000</v>
      </c>
      <c r="U178" s="46">
        <f>IFERROR(VLOOKUP($A178,AlgoUi!$A:$X,24,0),"")</f>
        <v>168000</v>
      </c>
      <c r="V178" s="42" t="str">
        <f>IFERROR(__xludf.DUMMYFUNCTION("IFERROR(VLOOKUP(I178,IMPORTRANGE(""https://docs.google.com/spreadsheets/d/17FOIUYQAjPk1pPQIlvOgqYDBqwUqgb7KWzp4DtVksBk/edit?gid=0#gid=0"",""Servers!A:S""),19,FALSE), ""Not Running"")"),"DHANANJAYS")</f>
        <v>DHANANJAYS</v>
      </c>
      <c r="W178" s="47" t="str">
        <f>VLOOKUP($A178,Category!$A:$E,4,0)</f>
        <v>MS</v>
      </c>
      <c r="X178" s="47" t="str">
        <f>VLOOKUP($A178,Category!$A:$E,5,0)</f>
        <v>MSR</v>
      </c>
      <c r="Y178" s="18" t="str">
        <f>VLOOKUP(A178,PAcc!$A$1:$J$27,10,0)</f>
        <v>#N/A</v>
      </c>
      <c r="Z178" s="42" t="b">
        <f t="shared" si="4"/>
        <v>0</v>
      </c>
      <c r="AA178" s="50">
        <v>0.5</v>
      </c>
      <c r="AB178" s="42" t="str">
        <f>VLOOKUP(A178,VlookupSheet!$A$383:$A$523,1,0)</f>
        <v>#N/A</v>
      </c>
      <c r="AC178" s="50">
        <v>0.01</v>
      </c>
      <c r="AD178" s="42"/>
      <c r="AE178" s="42"/>
      <c r="AF178" s="42"/>
    </row>
    <row r="179">
      <c r="A179" s="30" t="s">
        <v>593</v>
      </c>
      <c r="B179" s="30" t="s">
        <v>1086</v>
      </c>
      <c r="C179" s="30"/>
      <c r="D179" s="11" t="s">
        <v>77</v>
      </c>
      <c r="E179" s="11">
        <f t="shared" si="28"/>
        <v>100000</v>
      </c>
      <c r="F179" s="30" t="s">
        <v>232</v>
      </c>
      <c r="G179" s="31">
        <f t="shared" si="29"/>
        <v>100000</v>
      </c>
      <c r="H179" s="31">
        <f>VLOOKUP(A179,'A8 Daily SL verification'!$A:$G,3,0)</f>
        <v>100000</v>
      </c>
      <c r="I179" s="34" t="s">
        <v>585</v>
      </c>
      <c r="J179" s="11" t="s">
        <v>586</v>
      </c>
      <c r="K179" s="38">
        <f t="shared" si="17"/>
        <v>1</v>
      </c>
      <c r="L179" s="18" t="s">
        <v>910</v>
      </c>
      <c r="M179" s="18" t="s">
        <v>736</v>
      </c>
      <c r="N179" s="74"/>
      <c r="O179" s="74"/>
      <c r="P179" s="74"/>
      <c r="Q179" s="42" t="str">
        <f>iferror(VLOOKUP(A179,'Positional cal'!A:H,1,0)=A179,"FALSE")</f>
        <v>FALSE</v>
      </c>
      <c r="R179" s="43" t="b">
        <f t="shared" si="3"/>
        <v>0</v>
      </c>
      <c r="S179" s="46">
        <f>IFERROR(VLOOKUP($A179,AlgoUi!$A:$X,21,0),"NA")</f>
        <v>22485678</v>
      </c>
      <c r="T179" s="46">
        <f>IFERROR(VLOOKUP($A179,AlgoUi!$A:$X,23,0),"")</f>
        <v>22000000</v>
      </c>
      <c r="U179" s="46">
        <f>IFERROR(VLOOKUP($A179,AlgoUi!$A:$X,24,0),"")</f>
        <v>154000</v>
      </c>
      <c r="V179" s="42" t="str">
        <f>IFERROR(__xludf.DUMMYFUNCTION("IFERROR(VLOOKUP(I179,IMPORTRANGE(""https://docs.google.com/spreadsheets/d/17FOIUYQAjPk1pPQIlvOgqYDBqwUqgb7KWzp4DtVksBk/edit?gid=0#gid=0"",""Servers!A:S""),19,FALSE), ""Not Running"")"),"DHANANJAYS")</f>
        <v>DHANANJAYS</v>
      </c>
      <c r="W179" s="47" t="str">
        <f>VLOOKUP($A179,Category!$A:$E,4,0)</f>
        <v>MS</v>
      </c>
      <c r="X179" s="47" t="str">
        <f>VLOOKUP($A179,Category!$A:$E,5,0)</f>
        <v>MSR</v>
      </c>
      <c r="Y179" s="18" t="str">
        <f>VLOOKUP(A179,PAcc!$A$1:$J$27,10,0)</f>
        <v>#N/A</v>
      </c>
      <c r="Z179" s="42" t="b">
        <f t="shared" si="4"/>
        <v>0</v>
      </c>
      <c r="AA179" s="50">
        <v>0.5</v>
      </c>
      <c r="AB179" s="42" t="str">
        <f>VLOOKUP(A179,VlookupSheet!$A$383:$A$523,1,0)</f>
        <v>#N/A</v>
      </c>
      <c r="AC179" s="50">
        <v>0.01</v>
      </c>
      <c r="AD179" s="42"/>
      <c r="AE179" s="42"/>
      <c r="AF179" s="42"/>
    </row>
    <row r="180">
      <c r="A180" s="30" t="s">
        <v>589</v>
      </c>
      <c r="B180" s="84" t="s">
        <v>1087</v>
      </c>
      <c r="C180" s="25"/>
      <c r="D180" s="11" t="s">
        <v>77</v>
      </c>
      <c r="E180" s="11">
        <f t="shared" si="28"/>
        <v>100000</v>
      </c>
      <c r="F180" s="30" t="s">
        <v>232</v>
      </c>
      <c r="G180" s="31">
        <f t="shared" si="29"/>
        <v>100000</v>
      </c>
      <c r="H180" s="31">
        <f>VLOOKUP(A180,'A8 Daily SL verification'!$A:$G,3,0)</f>
        <v>100000</v>
      </c>
      <c r="I180" s="34" t="s">
        <v>585</v>
      </c>
      <c r="J180" s="11" t="s">
        <v>586</v>
      </c>
      <c r="K180" s="38">
        <f t="shared" si="17"/>
        <v>1</v>
      </c>
      <c r="L180" s="18" t="s">
        <v>910</v>
      </c>
      <c r="M180" s="18" t="s">
        <v>736</v>
      </c>
      <c r="N180" s="42"/>
      <c r="O180" s="18"/>
      <c r="P180" s="42"/>
      <c r="Q180" s="42" t="str">
        <f>iferror(VLOOKUP(A180,'Positional cal'!A:H,1,0)=A180,"FALSE")</f>
        <v>FALSE</v>
      </c>
      <c r="R180" s="43" t="b">
        <f t="shared" si="3"/>
        <v>0</v>
      </c>
      <c r="S180" s="46">
        <f>IFERROR(VLOOKUP($A180,AlgoUi!$A:$X,21,0),"NA")</f>
        <v>21330635</v>
      </c>
      <c r="T180" s="46">
        <f>IFERROR(VLOOKUP($A180,AlgoUi!$A:$X,23,0),"")</f>
        <v>22000000</v>
      </c>
      <c r="U180" s="46">
        <f>IFERROR(VLOOKUP($A180,AlgoUi!$A:$X,24,0),"")</f>
        <v>154000</v>
      </c>
      <c r="V180" s="42" t="str">
        <f>IFERROR(__xludf.DUMMYFUNCTION("IFERROR(VLOOKUP(I180,IMPORTRANGE(""https://docs.google.com/spreadsheets/d/17FOIUYQAjPk1pPQIlvOgqYDBqwUqgb7KWzp4DtVksBk/edit?gid=0#gid=0"",""Servers!A:S""),19,FALSE), ""Not Running"")"),"DHANANJAYS")</f>
        <v>DHANANJAYS</v>
      </c>
      <c r="W180" s="47" t="str">
        <f>VLOOKUP($A180,Category!$A:$E,4,0)</f>
        <v>MS</v>
      </c>
      <c r="X180" s="47" t="str">
        <f>VLOOKUP($A180,Category!$A:$E,5,0)</f>
        <v>MSR</v>
      </c>
      <c r="Y180" s="18" t="str">
        <f>VLOOKUP(A180,PAcc!$A$1:$J$27,10,0)</f>
        <v>#N/A</v>
      </c>
      <c r="Z180" s="42" t="b">
        <f t="shared" si="4"/>
        <v>0</v>
      </c>
      <c r="AA180" s="50">
        <v>0.5</v>
      </c>
      <c r="AB180" s="42" t="str">
        <f>VLOOKUP(A180,VlookupSheet!$A$383:$A$523,1,0)</f>
        <v>#N/A</v>
      </c>
      <c r="AC180" s="50">
        <v>0.01</v>
      </c>
      <c r="AD180" s="42"/>
      <c r="AE180" s="42"/>
      <c r="AF180" s="42"/>
    </row>
    <row r="181">
      <c r="A181" s="30" t="s">
        <v>592</v>
      </c>
      <c r="B181" s="84" t="s">
        <v>1088</v>
      </c>
      <c r="C181" s="71" t="s">
        <v>320</v>
      </c>
      <c r="D181" s="11" t="s">
        <v>77</v>
      </c>
      <c r="E181" s="11">
        <f t="shared" si="28"/>
        <v>100000</v>
      </c>
      <c r="F181" s="71" t="s">
        <v>232</v>
      </c>
      <c r="G181" s="31">
        <f t="shared" si="29"/>
        <v>100000</v>
      </c>
      <c r="H181" s="31">
        <f>VLOOKUP(A181,'A8 Daily SL verification'!$A:$G,3,0)</f>
        <v>100000</v>
      </c>
      <c r="I181" s="34" t="s">
        <v>585</v>
      </c>
      <c r="J181" s="11" t="s">
        <v>586</v>
      </c>
      <c r="K181" s="38">
        <f t="shared" si="17"/>
        <v>1</v>
      </c>
      <c r="L181" s="18" t="s">
        <v>910</v>
      </c>
      <c r="M181" s="18" t="s">
        <v>736</v>
      </c>
      <c r="N181" s="47"/>
      <c r="O181" s="47"/>
      <c r="P181" s="47"/>
      <c r="Q181" s="42" t="str">
        <f>iferror(VLOOKUP(A181,'Positional cal'!A:H,1,0)=A181,"FALSE")</f>
        <v>FALSE</v>
      </c>
      <c r="R181" s="43" t="b">
        <f t="shared" si="3"/>
        <v>0</v>
      </c>
      <c r="S181" s="46">
        <f>IFERROR(VLOOKUP($A181,AlgoUi!$A:$X,21,0),"NA")</f>
        <v>20858658</v>
      </c>
      <c r="T181" s="46">
        <f>IFERROR(VLOOKUP($A181,AlgoUi!$A:$X,23,0),"")</f>
        <v>20000000</v>
      </c>
      <c r="U181" s="46">
        <f>IFERROR(VLOOKUP($A181,AlgoUi!$A:$X,24,0),"")</f>
        <v>140000</v>
      </c>
      <c r="V181" s="42" t="str">
        <f>IFERROR(__xludf.DUMMYFUNCTION("IFERROR(VLOOKUP(I181,IMPORTRANGE(""https://docs.google.com/spreadsheets/d/17FOIUYQAjPk1pPQIlvOgqYDBqwUqgb7KWzp4DtVksBk/edit?gid=0#gid=0"",""Servers!A:S""),19,FALSE), ""Not Running"")"),"DHANANJAYS")</f>
        <v>DHANANJAYS</v>
      </c>
      <c r="W181" s="47" t="str">
        <f>VLOOKUP($A181,Category!$A:$E,4,0)</f>
        <v>MS</v>
      </c>
      <c r="X181" s="47" t="str">
        <f>VLOOKUP($A181,Category!$A:$E,5,0)</f>
        <v>MSR</v>
      </c>
      <c r="Y181" s="18" t="str">
        <f>VLOOKUP(A181,PAcc!$A$1:$J$27,10,0)</f>
        <v>#N/A</v>
      </c>
      <c r="Z181" s="42" t="b">
        <f t="shared" si="4"/>
        <v>0</v>
      </c>
      <c r="AA181" s="50">
        <v>0.5</v>
      </c>
      <c r="AB181" s="42" t="str">
        <f>VLOOKUP(A181,VlookupSheet!$A$383:$A$523,1,0)</f>
        <v>#N/A</v>
      </c>
      <c r="AC181" s="50">
        <v>0.01</v>
      </c>
      <c r="AD181" s="42"/>
      <c r="AE181" s="42"/>
      <c r="AF181" s="42"/>
    </row>
    <row r="182">
      <c r="A182" s="11" t="s">
        <v>608</v>
      </c>
      <c r="B182" s="24" t="s">
        <v>1089</v>
      </c>
      <c r="C182" s="25"/>
      <c r="D182" s="11" t="s">
        <v>77</v>
      </c>
      <c r="E182" s="11">
        <f t="shared" si="28"/>
        <v>100000</v>
      </c>
      <c r="F182" s="30" t="s">
        <v>232</v>
      </c>
      <c r="G182" s="31">
        <f t="shared" si="29"/>
        <v>100000</v>
      </c>
      <c r="H182" s="31">
        <f>VLOOKUP(A182,'A8 Daily SL verification'!$A:$G,3,0)</f>
        <v>100000</v>
      </c>
      <c r="I182" s="11" t="s">
        <v>585</v>
      </c>
      <c r="J182" s="11" t="s">
        <v>586</v>
      </c>
      <c r="K182" s="38">
        <f t="shared" si="17"/>
        <v>1</v>
      </c>
      <c r="L182" s="18" t="s">
        <v>910</v>
      </c>
      <c r="M182" s="18" t="s">
        <v>736</v>
      </c>
      <c r="N182" s="42"/>
      <c r="O182" s="42"/>
      <c r="P182" s="42"/>
      <c r="Q182" s="42" t="str">
        <f>iferror(VLOOKUP(A182,'Positional cal'!A:H,1,0)=A182,"FALSE")</f>
        <v>FALSE</v>
      </c>
      <c r="R182" s="43" t="b">
        <f t="shared" si="3"/>
        <v>0</v>
      </c>
      <c r="S182" s="46">
        <f>IFERROR(VLOOKUP($A182,AlgoUi!$A:$X,21,0),"NA")</f>
        <v>20921383</v>
      </c>
      <c r="T182" s="46">
        <f>IFERROR(VLOOKUP($A182,AlgoUi!$A:$X,23,0),"")</f>
        <v>20000000</v>
      </c>
      <c r="U182" s="46">
        <f>IFERROR(VLOOKUP($A182,AlgoUi!$A:$X,24,0),"")</f>
        <v>140000</v>
      </c>
      <c r="V182" s="42" t="str">
        <f>IFERROR(__xludf.DUMMYFUNCTION("IFERROR(VLOOKUP(I182,IMPORTRANGE(""https://docs.google.com/spreadsheets/d/17FOIUYQAjPk1pPQIlvOgqYDBqwUqgb7KWzp4DtVksBk/edit?gid=0#gid=0"",""Servers!A:S""),19,FALSE), ""Not Running"")"),"DHANANJAYS")</f>
        <v>DHANANJAYS</v>
      </c>
      <c r="W182" s="47" t="str">
        <f>VLOOKUP($A182,Category!$A:$E,4,0)</f>
        <v>MS</v>
      </c>
      <c r="X182" s="47" t="str">
        <f>VLOOKUP($A182,Category!$A:$E,5,0)</f>
        <v>MSR</v>
      </c>
      <c r="Y182" s="18" t="str">
        <f>VLOOKUP(A182,PAcc!$A$1:$J$27,10,0)</f>
        <v>#N/A</v>
      </c>
      <c r="Z182" s="42" t="b">
        <f t="shared" si="4"/>
        <v>0</v>
      </c>
      <c r="AA182" s="50">
        <v>0.5</v>
      </c>
      <c r="AB182" s="42" t="str">
        <f>VLOOKUP(A182,VlookupSheet!$A$383:$A$523,1,0)</f>
        <v>#N/A</v>
      </c>
      <c r="AC182" s="50">
        <v>0.01</v>
      </c>
      <c r="AD182" s="42"/>
      <c r="AE182" s="42"/>
      <c r="AF182" s="42"/>
    </row>
    <row r="183">
      <c r="A183" s="11" t="s">
        <v>616</v>
      </c>
      <c r="B183" s="24" t="s">
        <v>1090</v>
      </c>
      <c r="C183" s="25"/>
      <c r="D183" s="11" t="s">
        <v>77</v>
      </c>
      <c r="E183" s="11">
        <f t="shared" si="28"/>
        <v>100000</v>
      </c>
      <c r="F183" s="30" t="s">
        <v>232</v>
      </c>
      <c r="G183" s="31">
        <f t="shared" si="29"/>
        <v>100000</v>
      </c>
      <c r="H183" s="31">
        <f>VLOOKUP(A183,'A8 Daily SL verification'!$A:$G,3,0)</f>
        <v>100000</v>
      </c>
      <c r="I183" s="11" t="s">
        <v>585</v>
      </c>
      <c r="J183" s="11" t="s">
        <v>586</v>
      </c>
      <c r="K183" s="38">
        <f t="shared" si="17"/>
        <v>1</v>
      </c>
      <c r="L183" s="18" t="s">
        <v>910</v>
      </c>
      <c r="M183" s="18" t="s">
        <v>736</v>
      </c>
      <c r="N183" s="42"/>
      <c r="O183" s="18"/>
      <c r="P183" s="42"/>
      <c r="Q183" s="42" t="str">
        <f>iferror(VLOOKUP(A183,'Positional cal'!A:H,1,0)=A183,"FALSE")</f>
        <v>FALSE</v>
      </c>
      <c r="R183" s="43" t="b">
        <f t="shared" si="3"/>
        <v>0</v>
      </c>
      <c r="S183" s="46">
        <f>IFERROR(VLOOKUP($A183,AlgoUi!$A:$X,21,0),"NA")</f>
        <v>22056701</v>
      </c>
      <c r="T183" s="46">
        <f>IFERROR(VLOOKUP($A183,AlgoUi!$A:$X,23,0),"")</f>
        <v>22000000</v>
      </c>
      <c r="U183" s="46">
        <f>IFERROR(VLOOKUP($A183,AlgoUi!$A:$X,24,0),"")</f>
        <v>154000</v>
      </c>
      <c r="V183" s="42" t="str">
        <f>IFERROR(__xludf.DUMMYFUNCTION("IFERROR(VLOOKUP(I183,IMPORTRANGE(""https://docs.google.com/spreadsheets/d/17FOIUYQAjPk1pPQIlvOgqYDBqwUqgb7KWzp4DtVksBk/edit?gid=0#gid=0"",""Servers!A:S""),19,FALSE), ""Not Running"")"),"DHANANJAYS")</f>
        <v>DHANANJAYS</v>
      </c>
      <c r="W183" s="47" t="str">
        <f>VLOOKUP($A183,Category!$A:$E,4,0)</f>
        <v>MS</v>
      </c>
      <c r="X183" s="47" t="str">
        <f>VLOOKUP($A183,Category!$A:$E,5,0)</f>
        <v>MSR</v>
      </c>
      <c r="Y183" s="18" t="str">
        <f>VLOOKUP(A183,PAcc!$A$1:$J$27,10,0)</f>
        <v>#N/A</v>
      </c>
      <c r="Z183" s="42" t="b">
        <f t="shared" si="4"/>
        <v>0</v>
      </c>
      <c r="AA183" s="50">
        <v>0.5</v>
      </c>
      <c r="AB183" s="42" t="str">
        <f>VLOOKUP(A183,VlookupSheet!$A$383:$A$523,1,0)</f>
        <v>#N/A</v>
      </c>
      <c r="AC183" s="50">
        <v>0.01</v>
      </c>
      <c r="AD183" s="42"/>
      <c r="AE183" s="42"/>
      <c r="AF183" s="42"/>
    </row>
    <row r="184">
      <c r="A184" s="11" t="s">
        <v>600</v>
      </c>
      <c r="B184" s="24" t="s">
        <v>1091</v>
      </c>
      <c r="C184" s="25"/>
      <c r="D184" s="11" t="s">
        <v>77</v>
      </c>
      <c r="E184" s="11">
        <f t="shared" si="28"/>
        <v>100000</v>
      </c>
      <c r="F184" s="30" t="s">
        <v>232</v>
      </c>
      <c r="G184" s="31">
        <f t="shared" si="29"/>
        <v>100000</v>
      </c>
      <c r="H184" s="31">
        <f>VLOOKUP(A184,'A8 Daily SL verification'!$A:$G,3,0)</f>
        <v>100000</v>
      </c>
      <c r="I184" s="11" t="s">
        <v>585</v>
      </c>
      <c r="J184" s="11" t="s">
        <v>586</v>
      </c>
      <c r="K184" s="38">
        <f t="shared" si="17"/>
        <v>1</v>
      </c>
      <c r="L184" s="18" t="s">
        <v>910</v>
      </c>
      <c r="M184" s="18" t="s">
        <v>736</v>
      </c>
      <c r="N184" s="42"/>
      <c r="O184" s="42"/>
      <c r="P184" s="42"/>
      <c r="Q184" s="42" t="str">
        <f>iferror(VLOOKUP(A184,'Positional cal'!A:H,1,0)=A184,"FALSE")</f>
        <v>FALSE</v>
      </c>
      <c r="R184" s="43" t="b">
        <f t="shared" si="3"/>
        <v>0</v>
      </c>
      <c r="S184" s="46">
        <f>IFERROR(VLOOKUP($A184,AlgoUi!$A:$X,21,0),"NA")</f>
        <v>20513973</v>
      </c>
      <c r="T184" s="46">
        <f>IFERROR(VLOOKUP($A184,AlgoUi!$A:$X,23,0),"")</f>
        <v>20000000</v>
      </c>
      <c r="U184" s="46">
        <f>IFERROR(VLOOKUP($A184,AlgoUi!$A:$X,24,0),"")</f>
        <v>140000</v>
      </c>
      <c r="V184" s="42" t="str">
        <f>IFERROR(__xludf.DUMMYFUNCTION("IFERROR(VLOOKUP(I184,IMPORTRANGE(""https://docs.google.com/spreadsheets/d/17FOIUYQAjPk1pPQIlvOgqYDBqwUqgb7KWzp4DtVksBk/edit?gid=0#gid=0"",""Servers!A:S""),19,FALSE), ""Not Running"")"),"DHANANJAYS")</f>
        <v>DHANANJAYS</v>
      </c>
      <c r="W184" s="47" t="str">
        <f>VLOOKUP($A184,Category!$A:$E,4,0)</f>
        <v>MS</v>
      </c>
      <c r="X184" s="47" t="str">
        <f>VLOOKUP($A184,Category!$A:$E,5,0)</f>
        <v>MSR</v>
      </c>
      <c r="Y184" s="18" t="str">
        <f>VLOOKUP(A184,PAcc!$A$1:$J$27,10,0)</f>
        <v>#N/A</v>
      </c>
      <c r="Z184" s="42" t="b">
        <f t="shared" si="4"/>
        <v>0</v>
      </c>
      <c r="AA184" s="50">
        <v>0.5</v>
      </c>
      <c r="AB184" s="42" t="str">
        <f>VLOOKUP(A184,VlookupSheet!$A$383:$A$523,1,0)</f>
        <v>#N/A</v>
      </c>
      <c r="AC184" s="50">
        <v>0.01</v>
      </c>
      <c r="AD184" s="42"/>
      <c r="AE184" s="42"/>
      <c r="AF184" s="42"/>
    </row>
    <row r="185">
      <c r="A185" s="11" t="s">
        <v>626</v>
      </c>
      <c r="B185" s="24" t="s">
        <v>1092</v>
      </c>
      <c r="C185" s="25"/>
      <c r="D185" s="11" t="s">
        <v>77</v>
      </c>
      <c r="E185" s="11">
        <f t="shared" si="28"/>
        <v>200000</v>
      </c>
      <c r="F185" s="30" t="s">
        <v>232</v>
      </c>
      <c r="G185" s="31">
        <f t="shared" si="29"/>
        <v>200000</v>
      </c>
      <c r="H185" s="31">
        <f>VLOOKUP(A185,'A8 Daily SL verification'!$A:$G,3,0)</f>
        <v>200000</v>
      </c>
      <c r="I185" s="18" t="s">
        <v>585</v>
      </c>
      <c r="J185" s="11" t="s">
        <v>586</v>
      </c>
      <c r="K185" s="38">
        <f t="shared" si="17"/>
        <v>1</v>
      </c>
      <c r="L185" s="18" t="s">
        <v>910</v>
      </c>
      <c r="M185" s="18" t="s">
        <v>736</v>
      </c>
      <c r="N185" s="42"/>
      <c r="O185" s="42"/>
      <c r="P185" s="42"/>
      <c r="Q185" s="42" t="str">
        <f>iferror(VLOOKUP(A185,'Positional cal'!A:H,1,0)=A185,"FALSE")</f>
        <v>FALSE</v>
      </c>
      <c r="R185" s="43" t="b">
        <f t="shared" si="3"/>
        <v>0</v>
      </c>
      <c r="S185" s="46">
        <f>IFERROR(VLOOKUP($A185,AlgoUi!$A:$X,21,0),"NA")</f>
        <v>47095576</v>
      </c>
      <c r="T185" s="46">
        <f>IFERROR(VLOOKUP($A185,AlgoUi!$A:$X,23,0),"")</f>
        <v>48000000</v>
      </c>
      <c r="U185" s="46">
        <f>IFERROR(VLOOKUP($A185,AlgoUi!$A:$X,24,0),"")</f>
        <v>336000</v>
      </c>
      <c r="V185" s="42" t="str">
        <f>IFERROR(__xludf.DUMMYFUNCTION("IFERROR(VLOOKUP(I185,IMPORTRANGE(""https://docs.google.com/spreadsheets/d/17FOIUYQAjPk1pPQIlvOgqYDBqwUqgb7KWzp4DtVksBk/edit?gid=0#gid=0"",""Servers!A:S""),19,FALSE), ""Not Running"")"),"DHANANJAYS")</f>
        <v>DHANANJAYS</v>
      </c>
      <c r="W185" s="47" t="str">
        <f>VLOOKUP($A185,Category!$A:$E,4,0)</f>
        <v>MS</v>
      </c>
      <c r="X185" s="47" t="str">
        <f>VLOOKUP($A185,Category!$A:$E,5,0)</f>
        <v>MSR</v>
      </c>
      <c r="Y185" s="18" t="str">
        <f>VLOOKUP(A185,PAcc!$A$1:$J$27,10,0)</f>
        <v>#N/A</v>
      </c>
      <c r="Z185" s="42" t="b">
        <f t="shared" si="4"/>
        <v>0</v>
      </c>
      <c r="AA185" s="50">
        <v>0.5</v>
      </c>
      <c r="AB185" s="42" t="str">
        <f>VLOOKUP(A185,VlookupSheet!$A$383:$A$523,1,0)</f>
        <v>#N/A</v>
      </c>
      <c r="AC185" s="50">
        <v>0.01</v>
      </c>
      <c r="AD185" s="42"/>
      <c r="AE185" s="42"/>
      <c r="AF185" s="42"/>
    </row>
    <row r="186">
      <c r="A186" s="30" t="s">
        <v>635</v>
      </c>
      <c r="B186" s="84" t="s">
        <v>1093</v>
      </c>
      <c r="C186" s="85"/>
      <c r="D186" s="11" t="s">
        <v>77</v>
      </c>
      <c r="E186" s="11">
        <f t="shared" si="28"/>
        <v>100000</v>
      </c>
      <c r="F186" s="30" t="s">
        <v>232</v>
      </c>
      <c r="G186" s="31">
        <f t="shared" si="29"/>
        <v>100000</v>
      </c>
      <c r="H186" s="31">
        <f>VLOOKUP(A186,'A8 Daily SL verification'!$A:$G,3,0)</f>
        <v>100000</v>
      </c>
      <c r="I186" s="34" t="s">
        <v>585</v>
      </c>
      <c r="J186" s="11" t="s">
        <v>586</v>
      </c>
      <c r="K186" s="38">
        <f t="shared" si="17"/>
        <v>1</v>
      </c>
      <c r="L186" s="18" t="s">
        <v>910</v>
      </c>
      <c r="M186" s="18" t="s">
        <v>736</v>
      </c>
      <c r="N186" s="74"/>
      <c r="O186" s="74"/>
      <c r="P186" s="74"/>
      <c r="Q186" s="42" t="str">
        <f>iferror(VLOOKUP(A186,'Positional cal'!A:H,1,0)=A186,"FALSE")</f>
        <v>FALSE</v>
      </c>
      <c r="R186" s="43" t="b">
        <f t="shared" si="3"/>
        <v>0</v>
      </c>
      <c r="S186" s="46">
        <f>IFERROR(VLOOKUP($A186,AlgoUi!$A:$X,21,0),"NA")</f>
        <v>27634036</v>
      </c>
      <c r="T186" s="46">
        <f>IFERROR(VLOOKUP($A186,AlgoUi!$A:$X,23,0),"")</f>
        <v>28000000</v>
      </c>
      <c r="U186" s="46">
        <f>IFERROR(VLOOKUP($A186,AlgoUi!$A:$X,24,0),"")</f>
        <v>196000</v>
      </c>
      <c r="V186" s="42" t="str">
        <f>IFERROR(__xludf.DUMMYFUNCTION("IFERROR(VLOOKUP(I186,IMPORTRANGE(""https://docs.google.com/spreadsheets/d/17FOIUYQAjPk1pPQIlvOgqYDBqwUqgb7KWzp4DtVksBk/edit?gid=0#gid=0"",""Servers!A:S""),19,FALSE), ""Not Running"")"),"DHANANJAYS")</f>
        <v>DHANANJAYS</v>
      </c>
      <c r="W186" s="47" t="str">
        <f>VLOOKUP($A186,Category!$A:$E,4,0)</f>
        <v>MS</v>
      </c>
      <c r="X186" s="47" t="str">
        <f>VLOOKUP($A186,Category!$A:$E,5,0)</f>
        <v>MSR</v>
      </c>
      <c r="Y186" s="18" t="str">
        <f>VLOOKUP(A186,PAcc!$A$1:$J$27,10,0)</f>
        <v>#N/A</v>
      </c>
      <c r="Z186" s="42" t="b">
        <f t="shared" si="4"/>
        <v>0</v>
      </c>
      <c r="AA186" s="50">
        <v>0.5</v>
      </c>
      <c r="AB186" s="42" t="str">
        <f>VLOOKUP(A186,VlookupSheet!$A$383:$A$523,1,0)</f>
        <v>#N/A</v>
      </c>
      <c r="AC186" s="50">
        <v>0.01</v>
      </c>
      <c r="AD186" s="42"/>
      <c r="AE186" s="42"/>
      <c r="AF186" s="42"/>
    </row>
    <row r="187">
      <c r="A187" s="30" t="s">
        <v>495</v>
      </c>
      <c r="B187" s="30" t="s">
        <v>1094</v>
      </c>
      <c r="C187" s="30"/>
      <c r="D187" s="11" t="s">
        <v>77</v>
      </c>
      <c r="E187" s="11">
        <f t="shared" si="28"/>
        <v>100000</v>
      </c>
      <c r="F187" s="30" t="s">
        <v>232</v>
      </c>
      <c r="G187" s="31">
        <f t="shared" si="29"/>
        <v>100000</v>
      </c>
      <c r="H187" s="31">
        <f>VLOOKUP(A187,'A8 Daily SL verification'!$A:$G,3,0)</f>
        <v>100000</v>
      </c>
      <c r="I187" s="34" t="s">
        <v>585</v>
      </c>
      <c r="J187" s="11" t="s">
        <v>586</v>
      </c>
      <c r="K187" s="38">
        <f t="shared" si="17"/>
        <v>1</v>
      </c>
      <c r="L187" s="18" t="s">
        <v>910</v>
      </c>
      <c r="M187" s="18" t="s">
        <v>736</v>
      </c>
      <c r="N187" s="74"/>
      <c r="O187" s="74"/>
      <c r="P187" s="74"/>
      <c r="Q187" s="42" t="str">
        <f>iferror(VLOOKUP(A187,'Positional cal'!A:H,1,0)=A187,"FALSE")</f>
        <v>FALSE</v>
      </c>
      <c r="R187" s="43" t="b">
        <f t="shared" si="3"/>
        <v>0</v>
      </c>
      <c r="S187" s="46">
        <f>IFERROR(VLOOKUP($A187,AlgoUi!$A:$X,21,0),"NA")</f>
        <v>21548414</v>
      </c>
      <c r="T187" s="46">
        <f>IFERROR(VLOOKUP($A187,AlgoUi!$A:$X,23,0),"")</f>
        <v>22000000</v>
      </c>
      <c r="U187" s="46">
        <f>IFERROR(VLOOKUP($A187,AlgoUi!$A:$X,24,0),"")</f>
        <v>154000</v>
      </c>
      <c r="V187" s="42" t="str">
        <f>IFERROR(__xludf.DUMMYFUNCTION("IFERROR(VLOOKUP(I187,IMPORTRANGE(""https://docs.google.com/spreadsheets/d/17FOIUYQAjPk1pPQIlvOgqYDBqwUqgb7KWzp4DtVksBk/edit?gid=0#gid=0"",""Servers!A:S""),19,FALSE), ""Not Running"")"),"DHANANJAYS")</f>
        <v>DHANANJAYS</v>
      </c>
      <c r="W187" s="47" t="str">
        <f>VLOOKUP($A187,Category!$A:$E,4,0)</f>
        <v>MS</v>
      </c>
      <c r="X187" s="47" t="str">
        <f>VLOOKUP($A187,Category!$A:$E,5,0)</f>
        <v>MSR</v>
      </c>
      <c r="Y187" s="18" t="str">
        <f>VLOOKUP(A187,PAcc!$A$1:$J$27,10,0)</f>
        <v>#N/A</v>
      </c>
      <c r="Z187" s="42" t="b">
        <f t="shared" si="4"/>
        <v>0</v>
      </c>
      <c r="AA187" s="50">
        <v>0.5</v>
      </c>
      <c r="AB187" s="42" t="str">
        <f>VLOOKUP(A187,VlookupSheet!$A$383:$A$523,1,0)</f>
        <v>#N/A</v>
      </c>
      <c r="AC187" s="50">
        <v>0.01</v>
      </c>
      <c r="AD187" s="42"/>
      <c r="AE187" s="42"/>
      <c r="AF187" s="42"/>
    </row>
    <row r="188">
      <c r="A188" s="11" t="s">
        <v>654</v>
      </c>
      <c r="B188" s="24" t="s">
        <v>1095</v>
      </c>
      <c r="C188" s="25"/>
      <c r="D188" s="11" t="s">
        <v>77</v>
      </c>
      <c r="E188" s="11">
        <f t="shared" si="28"/>
        <v>100000</v>
      </c>
      <c r="F188" s="30" t="s">
        <v>232</v>
      </c>
      <c r="G188" s="31">
        <f t="shared" si="29"/>
        <v>100000</v>
      </c>
      <c r="H188" s="31">
        <f>VLOOKUP(A188,'A8 Daily SL verification'!$A:$G,3,0)</f>
        <v>100000</v>
      </c>
      <c r="I188" s="18" t="s">
        <v>585</v>
      </c>
      <c r="J188" s="11" t="s">
        <v>586</v>
      </c>
      <c r="K188" s="38">
        <f t="shared" si="17"/>
        <v>1</v>
      </c>
      <c r="L188" s="18" t="s">
        <v>910</v>
      </c>
      <c r="M188" s="18" t="s">
        <v>736</v>
      </c>
      <c r="N188" s="42"/>
      <c r="O188" s="42"/>
      <c r="P188" s="42"/>
      <c r="Q188" s="42" t="str">
        <f>iferror(VLOOKUP(A188,'Positional cal'!A:H,1,0)=A188,"FALSE")</f>
        <v>FALSE</v>
      </c>
      <c r="R188" s="43" t="b">
        <f t="shared" si="3"/>
        <v>0</v>
      </c>
      <c r="S188" s="46">
        <f>IFERROR(VLOOKUP($A188,AlgoUi!$A:$X,21,0),"NA")</f>
        <v>20125861</v>
      </c>
      <c r="T188" s="46">
        <f>IFERROR(VLOOKUP($A188,AlgoUi!$A:$X,23,0),"")</f>
        <v>20000000</v>
      </c>
      <c r="U188" s="46">
        <f>IFERROR(VLOOKUP($A188,AlgoUi!$A:$X,24,0),"")</f>
        <v>140000</v>
      </c>
      <c r="V188" s="42" t="str">
        <f>IFERROR(__xludf.DUMMYFUNCTION("IFERROR(VLOOKUP(I188,IMPORTRANGE(""https://docs.google.com/spreadsheets/d/17FOIUYQAjPk1pPQIlvOgqYDBqwUqgb7KWzp4DtVksBk/edit?gid=0#gid=0"",""Servers!A:S""),19,FALSE), ""Not Running"")"),"DHANANJAYS")</f>
        <v>DHANANJAYS</v>
      </c>
      <c r="W188" s="47" t="str">
        <f>VLOOKUP($A188,Category!$A:$E,4,0)</f>
        <v>MS</v>
      </c>
      <c r="X188" s="47" t="str">
        <f>VLOOKUP($A188,Category!$A:$E,5,0)</f>
        <v>MSR</v>
      </c>
      <c r="Y188" s="18" t="str">
        <f>VLOOKUP(A188,PAcc!$A$1:$J$27,10,0)</f>
        <v>#N/A</v>
      </c>
      <c r="Z188" s="42" t="b">
        <f t="shared" si="4"/>
        <v>0</v>
      </c>
      <c r="AA188" s="50">
        <v>0.5</v>
      </c>
      <c r="AB188" s="42" t="str">
        <f>VLOOKUP(A188,VlookupSheet!$A$383:$A$523,1,0)</f>
        <v>#N/A</v>
      </c>
      <c r="AC188" s="50">
        <v>0.01</v>
      </c>
      <c r="AD188" s="42"/>
      <c r="AE188" s="42"/>
      <c r="AF188" s="42"/>
    </row>
    <row r="189">
      <c r="A189" s="30" t="s">
        <v>354</v>
      </c>
      <c r="B189" s="84" t="s">
        <v>968</v>
      </c>
      <c r="C189" s="85"/>
      <c r="D189" s="11" t="s">
        <v>77</v>
      </c>
      <c r="E189" s="11">
        <f t="shared" si="28"/>
        <v>100000</v>
      </c>
      <c r="F189" s="30" t="s">
        <v>232</v>
      </c>
      <c r="G189" s="31">
        <f t="shared" si="29"/>
        <v>100000</v>
      </c>
      <c r="H189" s="31">
        <f>VLOOKUP(A189,'A8 Daily SL verification'!$A:$G,3,0)</f>
        <v>100000</v>
      </c>
      <c r="I189" s="34" t="s">
        <v>585</v>
      </c>
      <c r="J189" s="11" t="s">
        <v>586</v>
      </c>
      <c r="K189" s="38">
        <f t="shared" si="17"/>
        <v>1</v>
      </c>
      <c r="L189" s="18" t="s">
        <v>910</v>
      </c>
      <c r="M189" s="18" t="s">
        <v>736</v>
      </c>
      <c r="N189" s="74"/>
      <c r="O189" s="74"/>
      <c r="P189" s="74"/>
      <c r="Q189" s="42" t="str">
        <f>iferror(VLOOKUP(A189,'Positional cal'!A:H,1,0)=A189,"FALSE")</f>
        <v>FALSE</v>
      </c>
      <c r="R189" s="43" t="b">
        <f t="shared" si="3"/>
        <v>0</v>
      </c>
      <c r="S189" s="46">
        <f>IFERROR(VLOOKUP($A189,AlgoUi!$A:$X,21,0),"NA")</f>
        <v>21841023</v>
      </c>
      <c r="T189" s="46">
        <f>IFERROR(VLOOKUP($A189,AlgoUi!$A:$X,23,0),"")</f>
        <v>22000000</v>
      </c>
      <c r="U189" s="46">
        <f>IFERROR(VLOOKUP($A189,AlgoUi!$A:$X,24,0),"")</f>
        <v>154000</v>
      </c>
      <c r="V189" s="42" t="str">
        <f>IFERROR(__xludf.DUMMYFUNCTION("IFERROR(VLOOKUP(I189,IMPORTRANGE(""https://docs.google.com/spreadsheets/d/17FOIUYQAjPk1pPQIlvOgqYDBqwUqgb7KWzp4DtVksBk/edit?gid=0#gid=0"",""Servers!A:S""),19,FALSE), ""Not Running"")"),"DHANANJAYS")</f>
        <v>DHANANJAYS</v>
      </c>
      <c r="W189" s="47" t="str">
        <f>VLOOKUP($A189,Category!$A:$E,4,0)</f>
        <v>MS</v>
      </c>
      <c r="X189" s="47" t="str">
        <f>VLOOKUP($A189,Category!$A:$E,5,0)</f>
        <v>MSR</v>
      </c>
      <c r="Y189" s="18" t="str">
        <f>VLOOKUP(A189,PAcc!$A$1:$J$27,10,0)</f>
        <v>#N/A</v>
      </c>
      <c r="Z189" s="42" t="b">
        <f t="shared" si="4"/>
        <v>0</v>
      </c>
      <c r="AA189" s="50">
        <v>0.5</v>
      </c>
      <c r="AB189" s="42" t="str">
        <f>VLOOKUP(A189,VlookupSheet!$A$383:$A$523,1,0)</f>
        <v>#N/A</v>
      </c>
      <c r="AC189" s="50">
        <v>0.01</v>
      </c>
      <c r="AD189" s="42"/>
      <c r="AE189" s="42"/>
      <c r="AF189" s="42"/>
    </row>
    <row r="190">
      <c r="A190" s="11" t="s">
        <v>1096</v>
      </c>
      <c r="B190" s="24" t="s">
        <v>1097</v>
      </c>
      <c r="C190" s="25"/>
      <c r="D190" s="11">
        <f t="shared" ref="D190:D230" si="30">IF(J190="7",0.8,1)</f>
        <v>1</v>
      </c>
      <c r="E190" s="11">
        <f t="shared" ref="E190:E230" si="31">D190*H190</f>
        <v>20000</v>
      </c>
      <c r="F190" s="30" t="s">
        <v>232</v>
      </c>
      <c r="G190" s="11">
        <v>20000.0</v>
      </c>
      <c r="H190" s="31">
        <v>20000.0</v>
      </c>
      <c r="I190" s="74" t="s">
        <v>218</v>
      </c>
      <c r="J190" s="25" t="s">
        <v>77</v>
      </c>
      <c r="K190" s="38">
        <f t="shared" si="17"/>
        <v>1</v>
      </c>
      <c r="L190" s="18" t="s">
        <v>910</v>
      </c>
      <c r="M190" s="18" t="s">
        <v>736</v>
      </c>
      <c r="N190" s="18"/>
      <c r="O190" s="18"/>
      <c r="P190" s="84"/>
      <c r="Q190" s="42" t="str">
        <f>iferror(VLOOKUP(A190,'Positional cal'!A:H,1,0)=A190,"FALSE")</f>
        <v>FALSE</v>
      </c>
      <c r="R190" s="43" t="b">
        <f t="shared" si="3"/>
        <v>0</v>
      </c>
      <c r="S190" s="46">
        <f>IFERROR(VLOOKUP($A190,AlgoUi!$A:$X,21,0),"NA")</f>
        <v>4470475</v>
      </c>
      <c r="T190" s="46">
        <f>IFERROR(VLOOKUP($A190,AlgoUi!$A:$X,23,0),"")</f>
        <v>4000000</v>
      </c>
      <c r="U190" s="46">
        <f>IFERROR(VLOOKUP($A190,AlgoUi!$A:$X,24,0),"")</f>
        <v>40000</v>
      </c>
      <c r="V190" s="42" t="str">
        <f>IFERROR(__xludf.DUMMYFUNCTION("IFERROR(VLOOKUP(I190,IMPORTRANGE(""https://docs.google.com/spreadsheets/d/17FOIUYQAjPk1pPQIlvOgqYDBqwUqgb7KWzp4DtVksBk/edit?gid=0#gid=0"",""Servers!A:S""),19,FALSE), ""Not Running"")"),"SAKSHAMG")</f>
        <v>SAKSHAMG</v>
      </c>
      <c r="W190" s="47" t="str">
        <f>VLOOKUP($A190,Category!$A:$E,4,0)</f>
        <v>MS</v>
      </c>
      <c r="X190" s="47" t="str">
        <f>VLOOKUP($A190,Category!$A:$E,5,0)</f>
        <v>MSR</v>
      </c>
      <c r="Y190" s="18" t="str">
        <f>VLOOKUP(A190,PAcc!$A$1:$J$27,10,0)</f>
        <v>#N/A</v>
      </c>
      <c r="Z190" s="42" t="b">
        <f t="shared" si="4"/>
        <v>0</v>
      </c>
      <c r="AA190" s="50">
        <v>0.4</v>
      </c>
      <c r="AB190" s="42" t="str">
        <f>VLOOKUP(A190,VlookupSheet!$A$383:$A$523,1,0)</f>
        <v>#N/A</v>
      </c>
      <c r="AC190" s="50">
        <v>0.01</v>
      </c>
      <c r="AD190" s="42">
        <f t="shared" ref="AD190:AD421" si="32">S190*AA190</f>
        <v>1788190</v>
      </c>
      <c r="AE190" s="42">
        <f t="shared" ref="AE190:AE421" si="33">MROUND(AD190,2000000)/100</f>
        <v>20000</v>
      </c>
      <c r="AF190" s="123">
        <f t="shared" ref="AF190:AF421" si="34">AE190-H190</f>
        <v>0</v>
      </c>
    </row>
    <row r="191">
      <c r="A191" s="11" t="s">
        <v>1098</v>
      </c>
      <c r="B191" s="24" t="s">
        <v>1099</v>
      </c>
      <c r="C191" s="25"/>
      <c r="D191" s="11">
        <f t="shared" si="30"/>
        <v>1</v>
      </c>
      <c r="E191" s="11">
        <f t="shared" si="31"/>
        <v>40000</v>
      </c>
      <c r="F191" s="30" t="s">
        <v>232</v>
      </c>
      <c r="G191" s="11" t="s">
        <v>1100</v>
      </c>
      <c r="H191" s="31">
        <v>40000.0</v>
      </c>
      <c r="I191" s="34" t="s">
        <v>218</v>
      </c>
      <c r="J191" s="11" t="s">
        <v>77</v>
      </c>
      <c r="K191" s="38">
        <f t="shared" si="17"/>
        <v>1</v>
      </c>
      <c r="L191" s="18" t="s">
        <v>910</v>
      </c>
      <c r="M191" s="18" t="s">
        <v>736</v>
      </c>
      <c r="N191" s="42"/>
      <c r="O191" s="42"/>
      <c r="P191" s="84"/>
      <c r="Q191" s="42" t="str">
        <f>iferror(VLOOKUP(A191,'Positional cal'!A:H,1,0)=A191,"FALSE")</f>
        <v>FALSE</v>
      </c>
      <c r="R191" s="43" t="b">
        <f t="shared" si="3"/>
        <v>0</v>
      </c>
      <c r="S191" s="46">
        <f>IFERROR(VLOOKUP($A191,AlgoUi!$A:$X,21,0),"NA")</f>
        <v>10118491</v>
      </c>
      <c r="T191" s="46">
        <f>IFERROR(VLOOKUP($A191,AlgoUi!$A:$X,23,0),"")</f>
        <v>10000000</v>
      </c>
      <c r="U191" s="46">
        <f>IFERROR(VLOOKUP($A191,AlgoUi!$A:$X,24,0),"")</f>
        <v>100000</v>
      </c>
      <c r="V191" s="42" t="str">
        <f>IFERROR(__xludf.DUMMYFUNCTION("IFERROR(VLOOKUP(I191,IMPORTRANGE(""https://docs.google.com/spreadsheets/d/17FOIUYQAjPk1pPQIlvOgqYDBqwUqgb7KWzp4DtVksBk/edit?gid=0#gid=0"",""Servers!A:S""),19,FALSE), ""Not Running"")"),"SAKSHAMG")</f>
        <v>SAKSHAMG</v>
      </c>
      <c r="W191" s="47" t="str">
        <f>VLOOKUP($A191,Category!$A:$E,4,0)</f>
        <v>MS</v>
      </c>
      <c r="X191" s="47" t="str">
        <f>VLOOKUP($A191,Category!$A:$E,5,0)</f>
        <v>MSR</v>
      </c>
      <c r="Y191" s="18" t="str">
        <f>VLOOKUP(A191,PAcc!$A$1:$J$27,10,0)</f>
        <v>#N/A</v>
      </c>
      <c r="Z191" s="42" t="b">
        <f t="shared" si="4"/>
        <v>0</v>
      </c>
      <c r="AA191" s="50">
        <v>0.4</v>
      </c>
      <c r="AB191" s="42" t="str">
        <f>VLOOKUP(A191,VlookupSheet!$A$383:$A$523,1,0)</f>
        <v>#N/A</v>
      </c>
      <c r="AC191" s="50">
        <v>0.01</v>
      </c>
      <c r="AD191" s="42">
        <f t="shared" si="32"/>
        <v>4047396.4</v>
      </c>
      <c r="AE191" s="42">
        <f t="shared" si="33"/>
        <v>40000</v>
      </c>
      <c r="AF191" s="123">
        <f t="shared" si="34"/>
        <v>0</v>
      </c>
    </row>
    <row r="192">
      <c r="A192" s="11" t="s">
        <v>1101</v>
      </c>
      <c r="B192" s="84" t="s">
        <v>1102</v>
      </c>
      <c r="C192" s="25"/>
      <c r="D192" s="11">
        <f t="shared" si="30"/>
        <v>1</v>
      </c>
      <c r="E192" s="11">
        <f t="shared" si="31"/>
        <v>160000</v>
      </c>
      <c r="F192" s="30" t="s">
        <v>232</v>
      </c>
      <c r="G192" s="11" t="s">
        <v>1103</v>
      </c>
      <c r="H192" s="31">
        <v>160000.0</v>
      </c>
      <c r="I192" s="74" t="s">
        <v>218</v>
      </c>
      <c r="J192" s="25" t="s">
        <v>77</v>
      </c>
      <c r="K192" s="38">
        <f t="shared" si="17"/>
        <v>1</v>
      </c>
      <c r="L192" s="18" t="s">
        <v>910</v>
      </c>
      <c r="M192" s="18" t="s">
        <v>736</v>
      </c>
      <c r="N192" s="18"/>
      <c r="O192" s="18"/>
      <c r="P192" s="84"/>
      <c r="Q192" s="42" t="str">
        <f>iferror(VLOOKUP(A192,'Positional cal'!A:H,1,0)=A192,"FALSE")</f>
        <v>FALSE</v>
      </c>
      <c r="R192" s="43" t="b">
        <f t="shared" si="3"/>
        <v>0</v>
      </c>
      <c r="S192" s="46">
        <f>IFERROR(VLOOKUP($A192,AlgoUi!$A:$X,21,0),"NA")</f>
        <v>37838368</v>
      </c>
      <c r="T192" s="46">
        <f>IFERROR(VLOOKUP($A192,AlgoUi!$A:$X,23,0),"")</f>
        <v>38000000</v>
      </c>
      <c r="U192" s="46">
        <f>IFERROR(VLOOKUP($A192,AlgoUi!$A:$X,24,0),"")</f>
        <v>380000</v>
      </c>
      <c r="V192" s="42" t="str">
        <f>IFERROR(__xludf.DUMMYFUNCTION("IFERROR(VLOOKUP(I192,IMPORTRANGE(""https://docs.google.com/spreadsheets/d/17FOIUYQAjPk1pPQIlvOgqYDBqwUqgb7KWzp4DtVksBk/edit?gid=0#gid=0"",""Servers!A:S""),19,FALSE), ""Not Running"")"),"SAKSHAMG")</f>
        <v>SAKSHAMG</v>
      </c>
      <c r="W192" s="47" t="str">
        <f>VLOOKUP($A192,Category!$A:$E,4,0)</f>
        <v>MS</v>
      </c>
      <c r="X192" s="47" t="str">
        <f>VLOOKUP($A192,Category!$A:$E,5,0)</f>
        <v>MSR</v>
      </c>
      <c r="Y192" s="18" t="str">
        <f>VLOOKUP(A192,PAcc!$A$1:$J$27,10,0)</f>
        <v>#N/A</v>
      </c>
      <c r="Z192" s="42" t="b">
        <f t="shared" si="4"/>
        <v>0</v>
      </c>
      <c r="AA192" s="50">
        <v>0.4</v>
      </c>
      <c r="AB192" s="42" t="str">
        <f>VLOOKUP(A192,VlookupSheet!$A$383:$A$523,1,0)</f>
        <v>#N/A</v>
      </c>
      <c r="AC192" s="50">
        <v>0.01</v>
      </c>
      <c r="AD192" s="42">
        <f t="shared" si="32"/>
        <v>15135347.2</v>
      </c>
      <c r="AE192" s="42">
        <f t="shared" si="33"/>
        <v>160000</v>
      </c>
      <c r="AF192" s="123">
        <f t="shared" si="34"/>
        <v>0</v>
      </c>
    </row>
    <row r="193">
      <c r="A193" s="30" t="s">
        <v>1104</v>
      </c>
      <c r="B193" s="84" t="s">
        <v>1105</v>
      </c>
      <c r="C193" s="85"/>
      <c r="D193" s="11">
        <f t="shared" si="30"/>
        <v>1</v>
      </c>
      <c r="E193" s="11">
        <f t="shared" si="31"/>
        <v>600000</v>
      </c>
      <c r="F193" s="30" t="s">
        <v>232</v>
      </c>
      <c r="G193" s="11" t="s">
        <v>1106</v>
      </c>
      <c r="H193" s="31">
        <v>600000.0</v>
      </c>
      <c r="I193" s="74" t="s">
        <v>218</v>
      </c>
      <c r="J193" s="25" t="s">
        <v>77</v>
      </c>
      <c r="K193" s="38">
        <f t="shared" si="17"/>
        <v>1</v>
      </c>
      <c r="L193" s="18" t="s">
        <v>910</v>
      </c>
      <c r="M193" s="18" t="s">
        <v>736</v>
      </c>
      <c r="N193" s="47"/>
      <c r="O193" s="47"/>
      <c r="P193" s="84"/>
      <c r="Q193" s="42" t="str">
        <f>iferror(VLOOKUP(A193,'Positional cal'!A:H,1,0)=A193,"FALSE")</f>
        <v>FALSE</v>
      </c>
      <c r="R193" s="43" t="b">
        <f t="shared" si="3"/>
        <v>0</v>
      </c>
      <c r="S193" s="46">
        <f>IFERROR(VLOOKUP($A193,AlgoUi!$A:$X,21,0),"NA")</f>
        <v>152000000</v>
      </c>
      <c r="T193" s="46">
        <f>IFERROR(VLOOKUP($A193,AlgoUi!$A:$X,23,0),"")</f>
        <v>152000000</v>
      </c>
      <c r="U193" s="46">
        <f>IFERROR(VLOOKUP($A193,AlgoUi!$A:$X,24,0),"")</f>
        <v>1520000</v>
      </c>
      <c r="V193" s="42" t="str">
        <f>IFERROR(__xludf.DUMMYFUNCTION("IFERROR(VLOOKUP(I193,IMPORTRANGE(""https://docs.google.com/spreadsheets/d/17FOIUYQAjPk1pPQIlvOgqYDBqwUqgb7KWzp4DtVksBk/edit?gid=0#gid=0"",""Servers!A:S""),19,FALSE), ""Not Running"")"),"SAKSHAMG")</f>
        <v>SAKSHAMG</v>
      </c>
      <c r="W193" s="47" t="str">
        <f>VLOOKUP($A193,Category!$A:$E,4,0)</f>
        <v>MS</v>
      </c>
      <c r="X193" s="47" t="str">
        <f>VLOOKUP($A193,Category!$A:$E,5,0)</f>
        <v>MSR</v>
      </c>
      <c r="Y193" s="18" t="str">
        <f>VLOOKUP(A193,PAcc!$A$1:$J$27,10,0)</f>
        <v>#N/A</v>
      </c>
      <c r="Z193" s="42" t="b">
        <f t="shared" si="4"/>
        <v>0</v>
      </c>
      <c r="AA193" s="50">
        <v>0.4</v>
      </c>
      <c r="AB193" s="42" t="str">
        <f>VLOOKUP(A193,VlookupSheet!$A$383:$A$523,1,0)</f>
        <v>#N/A</v>
      </c>
      <c r="AC193" s="50">
        <v>0.01</v>
      </c>
      <c r="AD193" s="42">
        <f t="shared" si="32"/>
        <v>60800000</v>
      </c>
      <c r="AE193" s="42">
        <f t="shared" si="33"/>
        <v>600000</v>
      </c>
      <c r="AF193" s="123">
        <f t="shared" si="34"/>
        <v>0</v>
      </c>
    </row>
    <row r="194">
      <c r="A194" s="11" t="s">
        <v>1107</v>
      </c>
      <c r="B194" s="24" t="s">
        <v>1108</v>
      </c>
      <c r="C194" s="85"/>
      <c r="D194" s="11">
        <f t="shared" si="30"/>
        <v>1</v>
      </c>
      <c r="E194" s="11">
        <f t="shared" si="31"/>
        <v>120000</v>
      </c>
      <c r="F194" s="30" t="s">
        <v>232</v>
      </c>
      <c r="G194" s="11" t="s">
        <v>1109</v>
      </c>
      <c r="H194" s="31">
        <v>120000.0</v>
      </c>
      <c r="I194" s="74" t="s">
        <v>218</v>
      </c>
      <c r="J194" s="25" t="s">
        <v>77</v>
      </c>
      <c r="K194" s="38">
        <f t="shared" si="17"/>
        <v>1</v>
      </c>
      <c r="L194" s="18" t="s">
        <v>910</v>
      </c>
      <c r="M194" s="18" t="s">
        <v>736</v>
      </c>
      <c r="N194" s="34"/>
      <c r="O194" s="34"/>
      <c r="P194" s="84"/>
      <c r="Q194" s="42" t="str">
        <f>iferror(VLOOKUP(A194,'Positional cal'!A:H,1,0)=A194,"FALSE")</f>
        <v>FALSE</v>
      </c>
      <c r="R194" s="43" t="b">
        <f t="shared" si="3"/>
        <v>0</v>
      </c>
      <c r="S194" s="46">
        <f>IFERROR(VLOOKUP($A194,AlgoUi!$A:$X,21,0),"NA")</f>
        <v>30618236</v>
      </c>
      <c r="T194" s="46">
        <f>IFERROR(VLOOKUP($A194,AlgoUi!$A:$X,23,0),"")</f>
        <v>30000000</v>
      </c>
      <c r="U194" s="46">
        <f>IFERROR(VLOOKUP($A194,AlgoUi!$A:$X,24,0),"")</f>
        <v>300000</v>
      </c>
      <c r="V194" s="42" t="str">
        <f>IFERROR(__xludf.DUMMYFUNCTION("IFERROR(VLOOKUP(I194,IMPORTRANGE(""https://docs.google.com/spreadsheets/d/17FOIUYQAjPk1pPQIlvOgqYDBqwUqgb7KWzp4DtVksBk/edit?gid=0#gid=0"",""Servers!A:S""),19,FALSE), ""Not Running"")"),"SAKSHAMG")</f>
        <v>SAKSHAMG</v>
      </c>
      <c r="W194" s="47" t="str">
        <f>VLOOKUP($A194,Category!$A:$E,4,0)</f>
        <v>MS</v>
      </c>
      <c r="X194" s="47" t="str">
        <f>VLOOKUP($A194,Category!$A:$E,5,0)</f>
        <v>MSR</v>
      </c>
      <c r="Y194" s="18" t="str">
        <f>VLOOKUP(A194,PAcc!$A$1:$J$27,10,0)</f>
        <v>#N/A</v>
      </c>
      <c r="Z194" s="42" t="b">
        <f t="shared" si="4"/>
        <v>0</v>
      </c>
      <c r="AA194" s="50">
        <v>0.4</v>
      </c>
      <c r="AB194" s="42" t="str">
        <f>VLOOKUP(A194,VlookupSheet!$A$383:$A$523,1,0)</f>
        <v>#N/A</v>
      </c>
      <c r="AC194" s="50">
        <v>0.01</v>
      </c>
      <c r="AD194" s="42">
        <f t="shared" si="32"/>
        <v>12247294.4</v>
      </c>
      <c r="AE194" s="42">
        <f t="shared" si="33"/>
        <v>120000</v>
      </c>
      <c r="AF194" s="123">
        <f t="shared" si="34"/>
        <v>0</v>
      </c>
    </row>
    <row r="195">
      <c r="A195" s="30" t="s">
        <v>1110</v>
      </c>
      <c r="B195" s="84" t="s">
        <v>1111</v>
      </c>
      <c r="C195" s="85"/>
      <c r="D195" s="11">
        <f t="shared" si="30"/>
        <v>1</v>
      </c>
      <c r="E195" s="11">
        <f t="shared" si="31"/>
        <v>40000</v>
      </c>
      <c r="F195" s="30" t="s">
        <v>232</v>
      </c>
      <c r="G195" s="11" t="s">
        <v>1100</v>
      </c>
      <c r="H195" s="31">
        <v>40000.0</v>
      </c>
      <c r="I195" s="74" t="s">
        <v>218</v>
      </c>
      <c r="J195" s="25" t="s">
        <v>77</v>
      </c>
      <c r="K195" s="38">
        <f t="shared" si="17"/>
        <v>1</v>
      </c>
      <c r="L195" s="18" t="s">
        <v>910</v>
      </c>
      <c r="M195" s="18" t="s">
        <v>736</v>
      </c>
      <c r="N195" s="74"/>
      <c r="O195" s="74"/>
      <c r="P195" s="84"/>
      <c r="Q195" s="42" t="str">
        <f>iferror(VLOOKUP(A195,'Positional cal'!A:H,1,0)=A195,"FALSE")</f>
        <v>FALSE</v>
      </c>
      <c r="R195" s="43" t="b">
        <f t="shared" si="3"/>
        <v>0</v>
      </c>
      <c r="S195" s="46">
        <f>IFERROR(VLOOKUP($A195,AlgoUi!$A:$X,21,0),"NA")</f>
        <v>10225245</v>
      </c>
      <c r="T195" s="46">
        <f>IFERROR(VLOOKUP($A195,AlgoUi!$A:$X,23,0),"")</f>
        <v>10000000</v>
      </c>
      <c r="U195" s="46">
        <f>IFERROR(VLOOKUP($A195,AlgoUi!$A:$X,24,0),"")</f>
        <v>100000</v>
      </c>
      <c r="V195" s="42" t="str">
        <f>IFERROR(__xludf.DUMMYFUNCTION("IFERROR(VLOOKUP(I195,IMPORTRANGE(""https://docs.google.com/spreadsheets/d/17FOIUYQAjPk1pPQIlvOgqYDBqwUqgb7KWzp4DtVksBk/edit?gid=0#gid=0"",""Servers!A:S""),19,FALSE), ""Not Running"")"),"SAKSHAMG")</f>
        <v>SAKSHAMG</v>
      </c>
      <c r="W195" s="47" t="str">
        <f>VLOOKUP($A195,Category!$A:$E,4,0)</f>
        <v>MS</v>
      </c>
      <c r="X195" s="47" t="str">
        <f>VLOOKUP($A195,Category!$A:$E,5,0)</f>
        <v>MSR</v>
      </c>
      <c r="Y195" s="18" t="str">
        <f>VLOOKUP(A195,PAcc!$A$1:$J$27,10,0)</f>
        <v>#N/A</v>
      </c>
      <c r="Z195" s="42" t="b">
        <f t="shared" si="4"/>
        <v>0</v>
      </c>
      <c r="AA195" s="50">
        <v>0.4</v>
      </c>
      <c r="AB195" s="42" t="str">
        <f>VLOOKUP(A195,VlookupSheet!$A$383:$A$523,1,0)</f>
        <v>#N/A</v>
      </c>
      <c r="AC195" s="50">
        <v>0.01</v>
      </c>
      <c r="AD195" s="42">
        <f t="shared" si="32"/>
        <v>4090098</v>
      </c>
      <c r="AE195" s="42">
        <f t="shared" si="33"/>
        <v>40000</v>
      </c>
      <c r="AF195" s="123">
        <f t="shared" si="34"/>
        <v>0</v>
      </c>
    </row>
    <row r="196">
      <c r="A196" s="30" t="s">
        <v>1112</v>
      </c>
      <c r="B196" s="84" t="s">
        <v>1113</v>
      </c>
      <c r="C196" s="30"/>
      <c r="D196" s="11">
        <f t="shared" si="30"/>
        <v>1</v>
      </c>
      <c r="E196" s="11">
        <f t="shared" si="31"/>
        <v>20000</v>
      </c>
      <c r="F196" s="30" t="s">
        <v>232</v>
      </c>
      <c r="G196" s="11">
        <v>20000.0</v>
      </c>
      <c r="H196" s="31">
        <v>20000.0</v>
      </c>
      <c r="I196" s="74" t="s">
        <v>218</v>
      </c>
      <c r="J196" s="25" t="s">
        <v>77</v>
      </c>
      <c r="K196" s="38">
        <f t="shared" si="17"/>
        <v>1</v>
      </c>
      <c r="L196" s="18" t="s">
        <v>910</v>
      </c>
      <c r="M196" s="18" t="s">
        <v>736</v>
      </c>
      <c r="N196" s="74"/>
      <c r="O196" s="74"/>
      <c r="P196" s="84"/>
      <c r="Q196" s="42" t="str">
        <f>iferror(VLOOKUP(A196,'Positional cal'!A:H,1,0)=A196,"FALSE")</f>
        <v>FALSE</v>
      </c>
      <c r="R196" s="43" t="b">
        <f t="shared" si="3"/>
        <v>0</v>
      </c>
      <c r="S196" s="46">
        <f>IFERROR(VLOOKUP($A196,AlgoUi!$A:$X,21,0),"NA")</f>
        <v>5409797</v>
      </c>
      <c r="T196" s="46">
        <f>IFERROR(VLOOKUP($A196,AlgoUi!$A:$X,23,0),"")</f>
        <v>6000000</v>
      </c>
      <c r="U196" s="46">
        <f>IFERROR(VLOOKUP($A196,AlgoUi!$A:$X,24,0),"")</f>
        <v>60000</v>
      </c>
      <c r="V196" s="42" t="str">
        <f>IFERROR(__xludf.DUMMYFUNCTION("IFERROR(VLOOKUP(I196,IMPORTRANGE(""https://docs.google.com/spreadsheets/d/17FOIUYQAjPk1pPQIlvOgqYDBqwUqgb7KWzp4DtVksBk/edit?gid=0#gid=0"",""Servers!A:S""),19,FALSE), ""Not Running"")"),"SAKSHAMG")</f>
        <v>SAKSHAMG</v>
      </c>
      <c r="W196" s="47" t="str">
        <f>VLOOKUP($A196,Category!$A:$E,4,0)</f>
        <v>MS</v>
      </c>
      <c r="X196" s="47" t="str">
        <f>VLOOKUP($A196,Category!$A:$E,5,0)</f>
        <v>MSR</v>
      </c>
      <c r="Y196" s="18" t="str">
        <f>VLOOKUP(A196,PAcc!$A$1:$J$27,10,0)</f>
        <v>#N/A</v>
      </c>
      <c r="Z196" s="42" t="b">
        <f t="shared" si="4"/>
        <v>0</v>
      </c>
      <c r="AA196" s="50">
        <v>0.4</v>
      </c>
      <c r="AB196" s="42" t="str">
        <f>VLOOKUP(A196,VlookupSheet!$A$383:$A$523,1,0)</f>
        <v>#N/A</v>
      </c>
      <c r="AC196" s="50">
        <v>0.01</v>
      </c>
      <c r="AD196" s="42">
        <f t="shared" si="32"/>
        <v>2163918.8</v>
      </c>
      <c r="AE196" s="42">
        <f t="shared" si="33"/>
        <v>20000</v>
      </c>
      <c r="AF196" s="123">
        <f t="shared" si="34"/>
        <v>0</v>
      </c>
    </row>
    <row r="197">
      <c r="A197" s="11" t="s">
        <v>1114</v>
      </c>
      <c r="B197" s="24" t="s">
        <v>1115</v>
      </c>
      <c r="C197" s="25"/>
      <c r="D197" s="11">
        <f t="shared" si="30"/>
        <v>1</v>
      </c>
      <c r="E197" s="11">
        <f t="shared" si="31"/>
        <v>120000</v>
      </c>
      <c r="F197" s="30" t="s">
        <v>232</v>
      </c>
      <c r="G197" s="11" t="s">
        <v>1109</v>
      </c>
      <c r="H197" s="31">
        <v>120000.0</v>
      </c>
      <c r="I197" s="42" t="s">
        <v>218</v>
      </c>
      <c r="J197" s="25" t="s">
        <v>77</v>
      </c>
      <c r="K197" s="38">
        <f t="shared" si="17"/>
        <v>1</v>
      </c>
      <c r="L197" s="18" t="s">
        <v>910</v>
      </c>
      <c r="M197" s="18" t="s">
        <v>736</v>
      </c>
      <c r="N197" s="42"/>
      <c r="O197" s="42"/>
      <c r="P197" s="84"/>
      <c r="Q197" s="42" t="str">
        <f>iferror(VLOOKUP(A197,'Positional cal'!A:H,1,0)=A197,"FALSE")</f>
        <v>FALSE</v>
      </c>
      <c r="R197" s="43" t="b">
        <f t="shared" si="3"/>
        <v>0</v>
      </c>
      <c r="S197" s="46">
        <f>IFERROR(VLOOKUP($A197,AlgoUi!$A:$X,21,0),"NA")</f>
        <v>29655501</v>
      </c>
      <c r="T197" s="46">
        <f>IFERROR(VLOOKUP($A197,AlgoUi!$A:$X,23,0),"")</f>
        <v>30000000</v>
      </c>
      <c r="U197" s="46">
        <f>IFERROR(VLOOKUP($A197,AlgoUi!$A:$X,24,0),"")</f>
        <v>300000</v>
      </c>
      <c r="V197" s="42" t="str">
        <f>IFERROR(__xludf.DUMMYFUNCTION("IFERROR(VLOOKUP(I197,IMPORTRANGE(""https://docs.google.com/spreadsheets/d/17FOIUYQAjPk1pPQIlvOgqYDBqwUqgb7KWzp4DtVksBk/edit?gid=0#gid=0"",""Servers!A:S""),19,FALSE), ""Not Running"")"),"SAKSHAMG")</f>
        <v>SAKSHAMG</v>
      </c>
      <c r="W197" s="47" t="str">
        <f>VLOOKUP($A197,Category!$A:$E,4,0)</f>
        <v>MS</v>
      </c>
      <c r="X197" s="47" t="str">
        <f>VLOOKUP($A197,Category!$A:$E,5,0)</f>
        <v>MSP</v>
      </c>
      <c r="Y197" s="18" t="str">
        <f>VLOOKUP(A197,PAcc!$A$1:$J$27,10,0)</f>
        <v>#N/A</v>
      </c>
      <c r="Z197" s="42" t="b">
        <f t="shared" si="4"/>
        <v>0</v>
      </c>
      <c r="AA197" s="50">
        <v>0.4</v>
      </c>
      <c r="AB197" s="42" t="str">
        <f>VLOOKUP(A197,VlookupSheet!$A$383:$A$523,1,0)</f>
        <v>#N/A</v>
      </c>
      <c r="AC197" s="50">
        <v>0.01</v>
      </c>
      <c r="AD197" s="42">
        <f t="shared" si="32"/>
        <v>11862200.4</v>
      </c>
      <c r="AE197" s="42">
        <f t="shared" si="33"/>
        <v>120000</v>
      </c>
      <c r="AF197" s="123">
        <f t="shared" si="34"/>
        <v>0</v>
      </c>
    </row>
    <row r="198">
      <c r="A198" s="11" t="s">
        <v>1116</v>
      </c>
      <c r="B198" s="24" t="s">
        <v>1117</v>
      </c>
      <c r="C198" s="25"/>
      <c r="D198" s="11">
        <f t="shared" si="30"/>
        <v>1</v>
      </c>
      <c r="E198" s="11">
        <f t="shared" si="31"/>
        <v>40000</v>
      </c>
      <c r="F198" s="30" t="s">
        <v>232</v>
      </c>
      <c r="G198" s="11" t="s">
        <v>1100</v>
      </c>
      <c r="H198" s="31">
        <v>40000.0</v>
      </c>
      <c r="I198" s="42" t="s">
        <v>218</v>
      </c>
      <c r="J198" s="25" t="s">
        <v>77</v>
      </c>
      <c r="K198" s="38">
        <f t="shared" si="17"/>
        <v>1</v>
      </c>
      <c r="L198" s="18" t="s">
        <v>910</v>
      </c>
      <c r="M198" s="18" t="s">
        <v>736</v>
      </c>
      <c r="N198" s="42"/>
      <c r="O198" s="42"/>
      <c r="P198" s="84"/>
      <c r="Q198" s="42" t="str">
        <f>iferror(VLOOKUP(A198,'Positional cal'!A:H,1,0)=A198,"FALSE")</f>
        <v>FALSE</v>
      </c>
      <c r="R198" s="43" t="b">
        <f t="shared" si="3"/>
        <v>0</v>
      </c>
      <c r="S198" s="46">
        <f>IFERROR(VLOOKUP($A198,AlgoUi!$A:$X,21,0),"NA")</f>
        <v>10093305</v>
      </c>
      <c r="T198" s="46">
        <f>IFERROR(VLOOKUP($A198,AlgoUi!$A:$X,23,0),"")</f>
        <v>10000000</v>
      </c>
      <c r="U198" s="46">
        <f>IFERROR(VLOOKUP($A198,AlgoUi!$A:$X,24,0),"")</f>
        <v>100000</v>
      </c>
      <c r="V198" s="42" t="str">
        <f>IFERROR(__xludf.DUMMYFUNCTION("IFERROR(VLOOKUP(I198,IMPORTRANGE(""https://docs.google.com/spreadsheets/d/17FOIUYQAjPk1pPQIlvOgqYDBqwUqgb7KWzp4DtVksBk/edit?gid=0#gid=0"",""Servers!A:S""),19,FALSE), ""Not Running"")"),"SAKSHAMG")</f>
        <v>SAKSHAMG</v>
      </c>
      <c r="W198" s="47" t="str">
        <f>VLOOKUP($A198,Category!$A:$E,4,0)</f>
        <v>MS</v>
      </c>
      <c r="X198" s="47" t="str">
        <f>VLOOKUP($A198,Category!$A:$E,5,0)</f>
        <v>MSR</v>
      </c>
      <c r="Y198" s="18" t="str">
        <f>VLOOKUP(A198,PAcc!$A$1:$J$27,10,0)</f>
        <v>#N/A</v>
      </c>
      <c r="Z198" s="42" t="b">
        <f t="shared" si="4"/>
        <v>0</v>
      </c>
      <c r="AA198" s="50">
        <v>0.4</v>
      </c>
      <c r="AB198" s="42" t="str">
        <f>VLOOKUP(A198,VlookupSheet!$A$383:$A$523,1,0)</f>
        <v>#N/A</v>
      </c>
      <c r="AC198" s="50">
        <v>0.01</v>
      </c>
      <c r="AD198" s="42">
        <f t="shared" si="32"/>
        <v>4037322</v>
      </c>
      <c r="AE198" s="42">
        <f t="shared" si="33"/>
        <v>40000</v>
      </c>
      <c r="AF198" s="123">
        <f t="shared" si="34"/>
        <v>0</v>
      </c>
    </row>
    <row r="199">
      <c r="A199" s="11" t="s">
        <v>1118</v>
      </c>
      <c r="B199" s="24" t="s">
        <v>1119</v>
      </c>
      <c r="C199" s="25"/>
      <c r="D199" s="11">
        <f t="shared" si="30"/>
        <v>1</v>
      </c>
      <c r="E199" s="11">
        <f t="shared" si="31"/>
        <v>20000</v>
      </c>
      <c r="F199" s="30" t="s">
        <v>311</v>
      </c>
      <c r="G199" s="11">
        <v>20000.0</v>
      </c>
      <c r="H199" s="31">
        <v>20000.0</v>
      </c>
      <c r="I199" s="42" t="s">
        <v>218</v>
      </c>
      <c r="J199" s="25" t="s">
        <v>77</v>
      </c>
      <c r="K199" s="38">
        <f t="shared" si="17"/>
        <v>1</v>
      </c>
      <c r="L199" s="18" t="s">
        <v>910</v>
      </c>
      <c r="M199" s="18" t="s">
        <v>736</v>
      </c>
      <c r="N199" s="42"/>
      <c r="O199" s="42"/>
      <c r="P199" s="84"/>
      <c r="Q199" s="42" t="str">
        <f>iferror(VLOOKUP(A199,'Positional cal'!A:H,1,0)=A199,"FALSE")</f>
        <v>FALSE</v>
      </c>
      <c r="R199" s="43" t="b">
        <f t="shared" si="3"/>
        <v>0</v>
      </c>
      <c r="S199" s="46">
        <f>IFERROR(VLOOKUP($A199,AlgoUi!$A:$X,21,0),"NA")</f>
        <v>5183648</v>
      </c>
      <c r="T199" s="46">
        <f>IFERROR(VLOOKUP($A199,AlgoUi!$A:$X,23,0),"")</f>
        <v>6000000</v>
      </c>
      <c r="U199" s="46">
        <f>IFERROR(VLOOKUP($A199,AlgoUi!$A:$X,24,0),"")</f>
        <v>60000</v>
      </c>
      <c r="V199" s="42" t="str">
        <f>IFERROR(__xludf.DUMMYFUNCTION("IFERROR(VLOOKUP(I199,IMPORTRANGE(""https://docs.google.com/spreadsheets/d/17FOIUYQAjPk1pPQIlvOgqYDBqwUqgb7KWzp4DtVksBk/edit?gid=0#gid=0"",""Servers!A:S""),19,FALSE), ""Not Running"")"),"SAKSHAMG")</f>
        <v>SAKSHAMG</v>
      </c>
      <c r="W199" s="47" t="str">
        <f>VLOOKUP($A199,Category!$A:$E,4,0)</f>
        <v>MS</v>
      </c>
      <c r="X199" s="47" t="str">
        <f>VLOOKUP($A199,Category!$A:$E,5,0)</f>
        <v>MSR</v>
      </c>
      <c r="Y199" s="18" t="str">
        <f>VLOOKUP(A199,PAcc!$A$1:$J$27,10,0)</f>
        <v>#N/A</v>
      </c>
      <c r="Z199" s="42" t="b">
        <f t="shared" si="4"/>
        <v>0</v>
      </c>
      <c r="AA199" s="50">
        <v>0.4</v>
      </c>
      <c r="AB199" s="42" t="str">
        <f>VLOOKUP(A199,VlookupSheet!$A$383:$A$523,1,0)</f>
        <v>#N/A</v>
      </c>
      <c r="AC199" s="50">
        <v>0.01</v>
      </c>
      <c r="AD199" s="42">
        <f t="shared" si="32"/>
        <v>2073459.2</v>
      </c>
      <c r="AE199" s="42">
        <f t="shared" si="33"/>
        <v>20000</v>
      </c>
      <c r="AF199" s="123">
        <f t="shared" si="34"/>
        <v>0</v>
      </c>
    </row>
    <row r="200">
      <c r="A200" s="30" t="s">
        <v>1120</v>
      </c>
      <c r="B200" s="84" t="s">
        <v>1121</v>
      </c>
      <c r="C200" s="30" t="s">
        <v>320</v>
      </c>
      <c r="D200" s="11">
        <f t="shared" si="30"/>
        <v>1</v>
      </c>
      <c r="E200" s="11">
        <f t="shared" si="31"/>
        <v>40000</v>
      </c>
      <c r="F200" s="30" t="s">
        <v>311</v>
      </c>
      <c r="G200" s="11" t="s">
        <v>1100</v>
      </c>
      <c r="H200" s="31">
        <v>40000.0</v>
      </c>
      <c r="I200" s="74" t="s">
        <v>218</v>
      </c>
      <c r="J200" s="25" t="s">
        <v>77</v>
      </c>
      <c r="K200" s="38">
        <f t="shared" si="17"/>
        <v>1</v>
      </c>
      <c r="L200" s="18" t="s">
        <v>910</v>
      </c>
      <c r="M200" s="18" t="s">
        <v>736</v>
      </c>
      <c r="N200" s="74"/>
      <c r="O200" s="74"/>
      <c r="P200" s="84"/>
      <c r="Q200" s="42" t="str">
        <f>iferror(VLOOKUP(A200,'Positional cal'!A:H,1,0)=A200,"FALSE")</f>
        <v>FALSE</v>
      </c>
      <c r="R200" s="43" t="b">
        <f t="shared" si="3"/>
        <v>0</v>
      </c>
      <c r="S200" s="46">
        <f>IFERROR(VLOOKUP($A200,AlgoUi!$A:$X,21,0),"NA")</f>
        <v>10645185</v>
      </c>
      <c r="T200" s="46">
        <f>IFERROR(VLOOKUP($A200,AlgoUi!$A:$X,23,0),"")</f>
        <v>10000000</v>
      </c>
      <c r="U200" s="46">
        <f>IFERROR(VLOOKUP($A200,AlgoUi!$A:$X,24,0),"")</f>
        <v>100000</v>
      </c>
      <c r="V200" s="42" t="str">
        <f>IFERROR(__xludf.DUMMYFUNCTION("IFERROR(VLOOKUP(I200,IMPORTRANGE(""https://docs.google.com/spreadsheets/d/17FOIUYQAjPk1pPQIlvOgqYDBqwUqgb7KWzp4DtVksBk/edit?gid=0#gid=0"",""Servers!A:S""),19,FALSE), ""Not Running"")"),"SAKSHAMG")</f>
        <v>SAKSHAMG</v>
      </c>
      <c r="W200" s="47" t="str">
        <f>VLOOKUP($A200,Category!$A:$E,4,0)</f>
        <v>MS</v>
      </c>
      <c r="X200" s="47" t="str">
        <f>VLOOKUP($A200,Category!$A:$E,5,0)</f>
        <v>MSR</v>
      </c>
      <c r="Y200" s="18" t="str">
        <f>VLOOKUP(A200,PAcc!$A$1:$J$27,10,0)</f>
        <v>#N/A</v>
      </c>
      <c r="Z200" s="42" t="b">
        <f t="shared" si="4"/>
        <v>0</v>
      </c>
      <c r="AA200" s="50">
        <v>0.4</v>
      </c>
      <c r="AB200" s="42" t="str">
        <f>VLOOKUP(A200,VlookupSheet!$A$383:$A$523,1,0)</f>
        <v>#N/A</v>
      </c>
      <c r="AC200" s="50">
        <v>0.01</v>
      </c>
      <c r="AD200" s="42">
        <f t="shared" si="32"/>
        <v>4258074</v>
      </c>
      <c r="AE200" s="42">
        <f t="shared" si="33"/>
        <v>40000</v>
      </c>
      <c r="AF200" s="123">
        <f t="shared" si="34"/>
        <v>0</v>
      </c>
    </row>
    <row r="201">
      <c r="A201" s="30" t="s">
        <v>1122</v>
      </c>
      <c r="B201" s="84" t="s">
        <v>1123</v>
      </c>
      <c r="C201" s="85"/>
      <c r="D201" s="11">
        <f t="shared" si="30"/>
        <v>1</v>
      </c>
      <c r="E201" s="11">
        <f t="shared" si="31"/>
        <v>20000</v>
      </c>
      <c r="F201" s="30" t="s">
        <v>311</v>
      </c>
      <c r="G201" s="11">
        <v>20000.0</v>
      </c>
      <c r="H201" s="31">
        <v>20000.0</v>
      </c>
      <c r="I201" s="74" t="s">
        <v>218</v>
      </c>
      <c r="J201" s="25" t="s">
        <v>77</v>
      </c>
      <c r="K201" s="38">
        <f t="shared" si="17"/>
        <v>1</v>
      </c>
      <c r="L201" s="18" t="s">
        <v>910</v>
      </c>
      <c r="M201" s="18" t="s">
        <v>736</v>
      </c>
      <c r="N201" s="74"/>
      <c r="O201" s="74"/>
      <c r="P201" s="84"/>
      <c r="Q201" s="42" t="str">
        <f>iferror(VLOOKUP(A201,'Positional cal'!A:H,1,0)=A201,"FALSE")</f>
        <v>FALSE</v>
      </c>
      <c r="R201" s="43" t="b">
        <f t="shared" si="3"/>
        <v>0</v>
      </c>
      <c r="S201" s="46">
        <f>IFERROR(VLOOKUP($A201,AlgoUi!$A:$X,21,0),"NA")</f>
        <v>5510666</v>
      </c>
      <c r="T201" s="46">
        <f>IFERROR(VLOOKUP($A201,AlgoUi!$A:$X,23,0),"")</f>
        <v>6000000</v>
      </c>
      <c r="U201" s="46">
        <f>IFERROR(VLOOKUP($A201,AlgoUi!$A:$X,24,0),"")</f>
        <v>60000</v>
      </c>
      <c r="V201" s="42" t="str">
        <f>IFERROR(__xludf.DUMMYFUNCTION("IFERROR(VLOOKUP(I201,IMPORTRANGE(""https://docs.google.com/spreadsheets/d/17FOIUYQAjPk1pPQIlvOgqYDBqwUqgb7KWzp4DtVksBk/edit?gid=0#gid=0"",""Servers!A:S""),19,FALSE), ""Not Running"")"),"SAKSHAMG")</f>
        <v>SAKSHAMG</v>
      </c>
      <c r="W201" s="47" t="str">
        <f>VLOOKUP($A201,Category!$A:$E,4,0)</f>
        <v>MS</v>
      </c>
      <c r="X201" s="47" t="str">
        <f>VLOOKUP($A201,Category!$A:$E,5,0)</f>
        <v>MSR</v>
      </c>
      <c r="Y201" s="18" t="str">
        <f>VLOOKUP(A201,PAcc!$A$1:$J$27,10,0)</f>
        <v>#N/A</v>
      </c>
      <c r="Z201" s="42" t="b">
        <f t="shared" si="4"/>
        <v>0</v>
      </c>
      <c r="AA201" s="50">
        <v>0.4</v>
      </c>
      <c r="AB201" s="42" t="str">
        <f>VLOOKUP(A201,VlookupSheet!$A$383:$A$523,1,0)</f>
        <v>#N/A</v>
      </c>
      <c r="AC201" s="50">
        <v>0.01</v>
      </c>
      <c r="AD201" s="42">
        <f t="shared" si="32"/>
        <v>2204266.4</v>
      </c>
      <c r="AE201" s="42">
        <f t="shared" si="33"/>
        <v>20000</v>
      </c>
      <c r="AF201" s="123">
        <f t="shared" si="34"/>
        <v>0</v>
      </c>
    </row>
    <row r="202">
      <c r="A202" s="30" t="s">
        <v>1124</v>
      </c>
      <c r="B202" s="84" t="s">
        <v>1125</v>
      </c>
      <c r="C202" s="85"/>
      <c r="D202" s="11">
        <f t="shared" si="30"/>
        <v>1</v>
      </c>
      <c r="E202" s="11">
        <f t="shared" si="31"/>
        <v>20000</v>
      </c>
      <c r="F202" s="30" t="s">
        <v>311</v>
      </c>
      <c r="G202" s="11">
        <v>20000.0</v>
      </c>
      <c r="H202" s="31">
        <v>20000.0</v>
      </c>
      <c r="I202" s="74" t="s">
        <v>218</v>
      </c>
      <c r="J202" s="25" t="s">
        <v>77</v>
      </c>
      <c r="K202" s="38">
        <f t="shared" si="17"/>
        <v>1</v>
      </c>
      <c r="L202" s="18" t="s">
        <v>910</v>
      </c>
      <c r="M202" s="18" t="s">
        <v>736</v>
      </c>
      <c r="N202" s="74"/>
      <c r="O202" s="74"/>
      <c r="P202" s="84"/>
      <c r="Q202" s="42" t="str">
        <f>iferror(VLOOKUP(A202,'Positional cal'!A:H,1,0)=A202,"FALSE")</f>
        <v>FALSE</v>
      </c>
      <c r="R202" s="43" t="b">
        <f t="shared" si="3"/>
        <v>0</v>
      </c>
      <c r="S202" s="46">
        <f>IFERROR(VLOOKUP($A202,AlgoUi!$A:$X,21,0),"NA")</f>
        <v>3871404</v>
      </c>
      <c r="T202" s="46">
        <f>IFERROR(VLOOKUP($A202,AlgoUi!$A:$X,23,0),"")</f>
        <v>4000000</v>
      </c>
      <c r="U202" s="46">
        <f>IFERROR(VLOOKUP($A202,AlgoUi!$A:$X,24,0),"")</f>
        <v>40000</v>
      </c>
      <c r="V202" s="42" t="str">
        <f>IFERROR(__xludf.DUMMYFUNCTION("IFERROR(VLOOKUP(I202,IMPORTRANGE(""https://docs.google.com/spreadsheets/d/17FOIUYQAjPk1pPQIlvOgqYDBqwUqgb7KWzp4DtVksBk/edit?gid=0#gid=0"",""Servers!A:S""),19,FALSE), ""Not Running"")"),"SAKSHAMG")</f>
        <v>SAKSHAMG</v>
      </c>
      <c r="W202" s="47" t="str">
        <f>VLOOKUP($A202,Category!$A:$E,4,0)</f>
        <v>MS</v>
      </c>
      <c r="X202" s="47" t="str">
        <f>VLOOKUP($A202,Category!$A:$E,5,0)</f>
        <v>MSR</v>
      </c>
      <c r="Y202" s="18" t="str">
        <f>VLOOKUP(A202,PAcc!$A$1:$J$27,10,0)</f>
        <v>#N/A</v>
      </c>
      <c r="Z202" s="42" t="b">
        <f t="shared" si="4"/>
        <v>0</v>
      </c>
      <c r="AA202" s="50">
        <v>0.4</v>
      </c>
      <c r="AB202" s="42" t="str">
        <f>VLOOKUP(A202,VlookupSheet!$A$383:$A$523,1,0)</f>
        <v>#N/A</v>
      </c>
      <c r="AC202" s="50">
        <v>0.01</v>
      </c>
      <c r="AD202" s="42">
        <f t="shared" si="32"/>
        <v>1548561.6</v>
      </c>
      <c r="AE202" s="42">
        <f t="shared" si="33"/>
        <v>20000</v>
      </c>
      <c r="AF202" s="123">
        <f t="shared" si="34"/>
        <v>0</v>
      </c>
    </row>
    <row r="203">
      <c r="A203" s="30" t="s">
        <v>1126</v>
      </c>
      <c r="B203" s="84" t="s">
        <v>1127</v>
      </c>
      <c r="C203" s="85"/>
      <c r="D203" s="11">
        <f t="shared" si="30"/>
        <v>1</v>
      </c>
      <c r="E203" s="11">
        <f t="shared" si="31"/>
        <v>20000</v>
      </c>
      <c r="F203" s="30" t="s">
        <v>311</v>
      </c>
      <c r="G203" s="11">
        <v>20000.0</v>
      </c>
      <c r="H203" s="31">
        <v>20000.0</v>
      </c>
      <c r="I203" s="74" t="s">
        <v>218</v>
      </c>
      <c r="J203" s="25" t="s">
        <v>77</v>
      </c>
      <c r="K203" s="38">
        <f t="shared" si="17"/>
        <v>1</v>
      </c>
      <c r="L203" s="18" t="s">
        <v>910</v>
      </c>
      <c r="M203" s="18" t="s">
        <v>736</v>
      </c>
      <c r="N203" s="74"/>
      <c r="O203" s="74"/>
      <c r="P203" s="84"/>
      <c r="Q203" s="42" t="str">
        <f>iferror(VLOOKUP(A203,'Positional cal'!A:H,1,0)=A203,"FALSE")</f>
        <v>FALSE</v>
      </c>
      <c r="R203" s="43" t="b">
        <f t="shared" si="3"/>
        <v>0</v>
      </c>
      <c r="S203" s="46">
        <f>IFERROR(VLOOKUP($A203,AlgoUi!$A:$X,21,0),"NA")</f>
        <v>5908725</v>
      </c>
      <c r="T203" s="46">
        <f>IFERROR(VLOOKUP($A203,AlgoUi!$A:$X,23,0),"")</f>
        <v>6000000</v>
      </c>
      <c r="U203" s="46">
        <f>IFERROR(VLOOKUP($A203,AlgoUi!$A:$X,24,0),"")</f>
        <v>60000</v>
      </c>
      <c r="V203" s="42" t="str">
        <f>IFERROR(__xludf.DUMMYFUNCTION("IFERROR(VLOOKUP(I203,IMPORTRANGE(""https://docs.google.com/spreadsheets/d/17FOIUYQAjPk1pPQIlvOgqYDBqwUqgb7KWzp4DtVksBk/edit?gid=0#gid=0"",""Servers!A:S""),19,FALSE), ""Not Running"")"),"SAKSHAMG")</f>
        <v>SAKSHAMG</v>
      </c>
      <c r="W203" s="47" t="str">
        <f>VLOOKUP($A203,Category!$A:$E,4,0)</f>
        <v>MS</v>
      </c>
      <c r="X203" s="47" t="str">
        <f>VLOOKUP($A203,Category!$A:$E,5,0)</f>
        <v>MSR</v>
      </c>
      <c r="Y203" s="18" t="str">
        <f>VLOOKUP(A203,PAcc!$A$1:$J$27,10,0)</f>
        <v>#N/A</v>
      </c>
      <c r="Z203" s="42" t="b">
        <f t="shared" si="4"/>
        <v>0</v>
      </c>
      <c r="AA203" s="50">
        <v>0.4</v>
      </c>
      <c r="AB203" s="42" t="str">
        <f>VLOOKUP(A203,VlookupSheet!$A$383:$A$523,1,0)</f>
        <v>#N/A</v>
      </c>
      <c r="AC203" s="50">
        <v>0.01</v>
      </c>
      <c r="AD203" s="42">
        <f t="shared" si="32"/>
        <v>2363490</v>
      </c>
      <c r="AE203" s="42">
        <f t="shared" si="33"/>
        <v>20000</v>
      </c>
      <c r="AF203" s="123">
        <f t="shared" si="34"/>
        <v>0</v>
      </c>
    </row>
    <row r="204">
      <c r="A204" s="30" t="s">
        <v>1128</v>
      </c>
      <c r="B204" s="84" t="s">
        <v>1129</v>
      </c>
      <c r="C204" s="85"/>
      <c r="D204" s="11">
        <f t="shared" si="30"/>
        <v>1</v>
      </c>
      <c r="E204" s="11">
        <f t="shared" si="31"/>
        <v>20000</v>
      </c>
      <c r="F204" s="30" t="s">
        <v>311</v>
      </c>
      <c r="G204" s="11">
        <v>20000.0</v>
      </c>
      <c r="H204" s="31">
        <v>20000.0</v>
      </c>
      <c r="I204" s="74" t="s">
        <v>218</v>
      </c>
      <c r="J204" s="25" t="s">
        <v>77</v>
      </c>
      <c r="K204" s="38">
        <f t="shared" si="17"/>
        <v>1</v>
      </c>
      <c r="L204" s="18" t="s">
        <v>910</v>
      </c>
      <c r="M204" s="18" t="s">
        <v>736</v>
      </c>
      <c r="N204" s="74"/>
      <c r="O204" s="74"/>
      <c r="P204" s="84"/>
      <c r="Q204" s="42" t="str">
        <f>iferror(VLOOKUP(A204,'Positional cal'!A:H,1,0)=A204,"FALSE")</f>
        <v>FALSE</v>
      </c>
      <c r="R204" s="43" t="b">
        <f t="shared" si="3"/>
        <v>0</v>
      </c>
      <c r="S204" s="46">
        <f>IFERROR(VLOOKUP($A204,AlgoUi!$A:$X,21,0),"NA")</f>
        <v>6160218</v>
      </c>
      <c r="T204" s="46">
        <f>IFERROR(VLOOKUP($A204,AlgoUi!$A:$X,23,0),"")</f>
        <v>6000000</v>
      </c>
      <c r="U204" s="46">
        <f>IFERROR(VLOOKUP($A204,AlgoUi!$A:$X,24,0),"")</f>
        <v>60000</v>
      </c>
      <c r="V204" s="42" t="str">
        <f>IFERROR(__xludf.DUMMYFUNCTION("IFERROR(VLOOKUP(I204,IMPORTRANGE(""https://docs.google.com/spreadsheets/d/17FOIUYQAjPk1pPQIlvOgqYDBqwUqgb7KWzp4DtVksBk/edit?gid=0#gid=0"",""Servers!A:S""),19,FALSE), ""Not Running"")"),"SAKSHAMG")</f>
        <v>SAKSHAMG</v>
      </c>
      <c r="W204" s="47" t="str">
        <f>VLOOKUP($A204,Category!$A:$E,4,0)</f>
        <v>MS</v>
      </c>
      <c r="X204" s="47" t="str">
        <f>VLOOKUP($A204,Category!$A:$E,5,0)</f>
        <v>MSR</v>
      </c>
      <c r="Y204" s="18" t="str">
        <f>VLOOKUP(A204,PAcc!$A$1:$J$27,10,0)</f>
        <v>#N/A</v>
      </c>
      <c r="Z204" s="42" t="b">
        <f t="shared" si="4"/>
        <v>0</v>
      </c>
      <c r="AA204" s="50">
        <v>0.4</v>
      </c>
      <c r="AB204" s="42" t="str">
        <f>VLOOKUP(A204,VlookupSheet!$A$383:$A$523,1,0)</f>
        <v>#N/A</v>
      </c>
      <c r="AC204" s="50">
        <v>0.01</v>
      </c>
      <c r="AD204" s="42">
        <f t="shared" si="32"/>
        <v>2464087.2</v>
      </c>
      <c r="AE204" s="42">
        <f t="shared" si="33"/>
        <v>20000</v>
      </c>
      <c r="AF204" s="123">
        <f t="shared" si="34"/>
        <v>0</v>
      </c>
    </row>
    <row r="205">
      <c r="A205" s="30" t="s">
        <v>219</v>
      </c>
      <c r="B205" s="84" t="s">
        <v>1130</v>
      </c>
      <c r="C205" s="85"/>
      <c r="D205" s="11">
        <f t="shared" si="30"/>
        <v>1</v>
      </c>
      <c r="E205" s="11">
        <f t="shared" si="31"/>
        <v>300000</v>
      </c>
      <c r="F205" s="30" t="s">
        <v>232</v>
      </c>
      <c r="G205" s="11" t="s">
        <v>1131</v>
      </c>
      <c r="H205" s="31">
        <v>300000.0</v>
      </c>
      <c r="I205" s="74" t="s">
        <v>218</v>
      </c>
      <c r="J205" s="25" t="s">
        <v>77</v>
      </c>
      <c r="K205" s="38">
        <f t="shared" si="17"/>
        <v>1</v>
      </c>
      <c r="L205" s="18" t="s">
        <v>910</v>
      </c>
      <c r="M205" s="18" t="s">
        <v>736</v>
      </c>
      <c r="N205" s="34"/>
      <c r="O205" s="34"/>
      <c r="P205" s="84"/>
      <c r="Q205" s="42" t="str">
        <f>iferror(VLOOKUP(A205,'Positional cal'!A:H,1,0)=A205,"FALSE")</f>
        <v>FALSE</v>
      </c>
      <c r="R205" s="43" t="b">
        <f t="shared" si="3"/>
        <v>0</v>
      </c>
      <c r="S205" s="46">
        <f>IFERROR(VLOOKUP($A205,AlgoUi!$A:$X,21,0),"NA")</f>
        <v>29760382</v>
      </c>
      <c r="T205" s="46">
        <f>IFERROR(VLOOKUP($A205,AlgoUi!$A:$X,23,0),"")</f>
        <v>30000000</v>
      </c>
      <c r="U205" s="46">
        <f>IFERROR(VLOOKUP($A205,AlgoUi!$A:$X,24,0),"")</f>
        <v>300000</v>
      </c>
      <c r="V205" s="42" t="str">
        <f>IFERROR(__xludf.DUMMYFUNCTION("IFERROR(VLOOKUP(I205,IMPORTRANGE(""https://docs.google.com/spreadsheets/d/17FOIUYQAjPk1pPQIlvOgqYDBqwUqgb7KWzp4DtVksBk/edit?gid=0#gid=0"",""Servers!A:S""),19,FALSE), ""Not Running"")"),"SAKSHAMG")</f>
        <v>SAKSHAMG</v>
      </c>
      <c r="W205" s="47" t="str">
        <f>VLOOKUP($A205,Category!$A:$E,4,0)</f>
        <v>MS</v>
      </c>
      <c r="X205" s="47" t="str">
        <f>VLOOKUP($A205,Category!$A:$E,5,0)</f>
        <v>PRD</v>
      </c>
      <c r="Y205" s="18" t="str">
        <f>VLOOKUP(A205,PAcc!$A$1:$J$27,10,0)</f>
        <v>RD Personal </v>
      </c>
      <c r="Z205" s="42" t="b">
        <f t="shared" si="4"/>
        <v>1</v>
      </c>
      <c r="AA205" s="50">
        <v>1.0</v>
      </c>
      <c r="AB205" s="42" t="str">
        <f>VLOOKUP(A205,VlookupSheet!$A$383:$A$523,1,0)</f>
        <v>#N/A</v>
      </c>
      <c r="AC205" s="50">
        <v>0.01</v>
      </c>
      <c r="AD205" s="42">
        <f t="shared" si="32"/>
        <v>29760382</v>
      </c>
      <c r="AE205" s="42">
        <f t="shared" si="33"/>
        <v>300000</v>
      </c>
      <c r="AF205" s="123">
        <f t="shared" si="34"/>
        <v>0</v>
      </c>
    </row>
    <row r="206">
      <c r="A206" s="30" t="s">
        <v>1132</v>
      </c>
      <c r="B206" s="84" t="s">
        <v>1133</v>
      </c>
      <c r="C206" s="30"/>
      <c r="D206" s="11">
        <f t="shared" si="30"/>
        <v>1</v>
      </c>
      <c r="E206" s="11">
        <f t="shared" si="31"/>
        <v>20000</v>
      </c>
      <c r="F206" s="30" t="s">
        <v>232</v>
      </c>
      <c r="G206" s="11" t="s">
        <v>1134</v>
      </c>
      <c r="H206" s="31">
        <v>20000.0</v>
      </c>
      <c r="I206" s="74" t="s">
        <v>218</v>
      </c>
      <c r="J206" s="25" t="s">
        <v>77</v>
      </c>
      <c r="K206" s="38">
        <f t="shared" si="17"/>
        <v>1</v>
      </c>
      <c r="L206" s="18" t="s">
        <v>910</v>
      </c>
      <c r="M206" s="18" t="s">
        <v>736</v>
      </c>
      <c r="N206" s="74"/>
      <c r="O206" s="74"/>
      <c r="P206" s="84"/>
      <c r="Q206" s="42" t="str">
        <f>iferror(VLOOKUP(A206,'Positional cal'!A:H,1,0)=A206,"FALSE")</f>
        <v>FALSE</v>
      </c>
      <c r="R206" s="43" t="b">
        <f t="shared" si="3"/>
        <v>0</v>
      </c>
      <c r="S206" s="46">
        <f>IFERROR(VLOOKUP($A206,AlgoUi!$A:$X,21,0),"NA")</f>
        <v>7211814</v>
      </c>
      <c r="T206" s="46">
        <f>IFERROR(VLOOKUP($A206,AlgoUi!$A:$X,23,0),"")</f>
        <v>8000000</v>
      </c>
      <c r="U206" s="46">
        <f>IFERROR(VLOOKUP($A206,AlgoUi!$A:$X,24,0),"")</f>
        <v>80000</v>
      </c>
      <c r="V206" s="42" t="str">
        <f>IFERROR(__xludf.DUMMYFUNCTION("IFERROR(VLOOKUP(I206,IMPORTRANGE(""https://docs.google.com/spreadsheets/d/17FOIUYQAjPk1pPQIlvOgqYDBqwUqgb7KWzp4DtVksBk/edit?gid=0#gid=0"",""Servers!A:S""),19,FALSE), ""Not Running"")"),"SAKSHAMG")</f>
        <v>SAKSHAMG</v>
      </c>
      <c r="W206" s="47" t="str">
        <f>VLOOKUP($A206,Category!$A:$E,4,0)</f>
        <v>MS</v>
      </c>
      <c r="X206" s="47" t="str">
        <f>VLOOKUP($A206,Category!$A:$E,5,0)</f>
        <v>MSR</v>
      </c>
      <c r="Y206" s="18" t="str">
        <f>VLOOKUP(A206,PAcc!$A$1:$J$27,10,0)</f>
        <v>#N/A</v>
      </c>
      <c r="Z206" s="42" t="b">
        <f t="shared" si="4"/>
        <v>0</v>
      </c>
      <c r="AA206" s="50">
        <v>0.4</v>
      </c>
      <c r="AB206" s="42" t="str">
        <f>VLOOKUP(A206,VlookupSheet!$A$383:$A$523,1,0)</f>
        <v>#N/A</v>
      </c>
      <c r="AC206" s="50">
        <v>0.01</v>
      </c>
      <c r="AD206" s="42">
        <f t="shared" si="32"/>
        <v>2884725.6</v>
      </c>
      <c r="AE206" s="42">
        <f t="shared" si="33"/>
        <v>20000</v>
      </c>
      <c r="AF206" s="123">
        <f t="shared" si="34"/>
        <v>0</v>
      </c>
    </row>
    <row r="207">
      <c r="A207" s="11" t="s">
        <v>1135</v>
      </c>
      <c r="B207" s="84" t="s">
        <v>1136</v>
      </c>
      <c r="C207" s="25"/>
      <c r="D207" s="11">
        <f t="shared" si="30"/>
        <v>1</v>
      </c>
      <c r="E207" s="11">
        <f t="shared" si="31"/>
        <v>180000</v>
      </c>
      <c r="F207" s="30" t="s">
        <v>232</v>
      </c>
      <c r="G207" s="11" t="s">
        <v>1137</v>
      </c>
      <c r="H207" s="31">
        <v>180000.0</v>
      </c>
      <c r="I207" s="74" t="s">
        <v>218</v>
      </c>
      <c r="J207" s="25" t="s">
        <v>77</v>
      </c>
      <c r="K207" s="38">
        <f t="shared" si="17"/>
        <v>1</v>
      </c>
      <c r="L207" s="18" t="s">
        <v>910</v>
      </c>
      <c r="M207" s="18" t="s">
        <v>736</v>
      </c>
      <c r="N207" s="18"/>
      <c r="O207" s="18"/>
      <c r="P207" s="84"/>
      <c r="Q207" s="42" t="str">
        <f>iferror(VLOOKUP(A207,'Positional cal'!A:H,1,0)=A207,"FALSE")</f>
        <v>FALSE</v>
      </c>
      <c r="R207" s="43" t="b">
        <f t="shared" si="3"/>
        <v>0</v>
      </c>
      <c r="S207" s="46">
        <f>IFERROR(VLOOKUP($A207,AlgoUi!$A:$X,21,0),"NA")</f>
        <v>43201575</v>
      </c>
      <c r="T207" s="46">
        <f>IFERROR(VLOOKUP($A207,AlgoUi!$A:$X,23,0),"")</f>
        <v>44000000</v>
      </c>
      <c r="U207" s="46">
        <f>IFERROR(VLOOKUP($A207,AlgoUi!$A:$X,24,0),"")</f>
        <v>440000</v>
      </c>
      <c r="V207" s="42" t="str">
        <f>IFERROR(__xludf.DUMMYFUNCTION("IFERROR(VLOOKUP(I207,IMPORTRANGE(""https://docs.google.com/spreadsheets/d/17FOIUYQAjPk1pPQIlvOgqYDBqwUqgb7KWzp4DtVksBk/edit?gid=0#gid=0"",""Servers!A:S""),19,FALSE), ""Not Running"")"),"SAKSHAMG")</f>
        <v>SAKSHAMG</v>
      </c>
      <c r="W207" s="47" t="str">
        <f>VLOOKUP($A207,Category!$A:$E,4,0)</f>
        <v>MS</v>
      </c>
      <c r="X207" s="47" t="str">
        <f>VLOOKUP($A207,Category!$A:$E,5,0)</f>
        <v>MSR</v>
      </c>
      <c r="Y207" s="18" t="str">
        <f>VLOOKUP(A207,PAcc!$A$1:$J$27,10,0)</f>
        <v>#N/A</v>
      </c>
      <c r="Z207" s="42" t="b">
        <f t="shared" si="4"/>
        <v>0</v>
      </c>
      <c r="AA207" s="50">
        <v>0.4</v>
      </c>
      <c r="AB207" s="42" t="str">
        <f>VLOOKUP(A207,VlookupSheet!$A$383:$A$523,1,0)</f>
        <v>#N/A</v>
      </c>
      <c r="AC207" s="50">
        <v>0.01</v>
      </c>
      <c r="AD207" s="42">
        <f t="shared" si="32"/>
        <v>17280630</v>
      </c>
      <c r="AE207" s="42">
        <f t="shared" si="33"/>
        <v>180000</v>
      </c>
      <c r="AF207" s="123">
        <f t="shared" si="34"/>
        <v>0</v>
      </c>
    </row>
    <row r="208">
      <c r="A208" s="30" t="s">
        <v>1138</v>
      </c>
      <c r="B208" s="84" t="s">
        <v>1139</v>
      </c>
      <c r="C208" s="85"/>
      <c r="D208" s="11">
        <f t="shared" si="30"/>
        <v>1</v>
      </c>
      <c r="E208" s="11">
        <f t="shared" si="31"/>
        <v>40000</v>
      </c>
      <c r="F208" s="30" t="s">
        <v>232</v>
      </c>
      <c r="G208" s="11" t="s">
        <v>1100</v>
      </c>
      <c r="H208" s="31">
        <v>40000.0</v>
      </c>
      <c r="I208" s="74" t="s">
        <v>218</v>
      </c>
      <c r="J208" s="25" t="s">
        <v>77</v>
      </c>
      <c r="K208" s="38">
        <f t="shared" si="17"/>
        <v>1</v>
      </c>
      <c r="L208" s="18" t="s">
        <v>910</v>
      </c>
      <c r="M208" s="18" t="s">
        <v>736</v>
      </c>
      <c r="N208" s="74"/>
      <c r="O208" s="74"/>
      <c r="P208" s="84"/>
      <c r="Q208" s="42" t="str">
        <f>iferror(VLOOKUP(A208,'Positional cal'!A:H,1,0)=A208,"FALSE")</f>
        <v>FALSE</v>
      </c>
      <c r="R208" s="43" t="b">
        <f t="shared" si="3"/>
        <v>0</v>
      </c>
      <c r="S208" s="46">
        <f>IFERROR(VLOOKUP($A208,AlgoUi!$A:$X,21,0),"NA")</f>
        <v>11868821</v>
      </c>
      <c r="T208" s="46">
        <f>IFERROR(VLOOKUP($A208,AlgoUi!$A:$X,23,0),"")</f>
        <v>12000000</v>
      </c>
      <c r="U208" s="46">
        <f>IFERROR(VLOOKUP($A208,AlgoUi!$A:$X,24,0),"")</f>
        <v>120000</v>
      </c>
      <c r="V208" s="42" t="str">
        <f>IFERROR(__xludf.DUMMYFUNCTION("IFERROR(VLOOKUP(I208,IMPORTRANGE(""https://docs.google.com/spreadsheets/d/17FOIUYQAjPk1pPQIlvOgqYDBqwUqgb7KWzp4DtVksBk/edit?gid=0#gid=0"",""Servers!A:S""),19,FALSE), ""Not Running"")"),"SAKSHAMG")</f>
        <v>SAKSHAMG</v>
      </c>
      <c r="W208" s="47" t="str">
        <f>VLOOKUP($A208,Category!$A:$E,4,0)</f>
        <v>MS</v>
      </c>
      <c r="X208" s="47" t="str">
        <f>VLOOKUP($A208,Category!$A:$E,5,0)</f>
        <v>MSR</v>
      </c>
      <c r="Y208" s="18" t="str">
        <f>VLOOKUP(A208,PAcc!$A$1:$J$27,10,0)</f>
        <v>#N/A</v>
      </c>
      <c r="Z208" s="42" t="b">
        <f t="shared" si="4"/>
        <v>0</v>
      </c>
      <c r="AA208" s="50">
        <v>0.4</v>
      </c>
      <c r="AB208" s="42" t="str">
        <f>VLOOKUP(A208,VlookupSheet!$A$383:$A$523,1,0)</f>
        <v>#N/A</v>
      </c>
      <c r="AC208" s="50">
        <v>0.01</v>
      </c>
      <c r="AD208" s="42">
        <f t="shared" si="32"/>
        <v>4747528.4</v>
      </c>
      <c r="AE208" s="42">
        <f t="shared" si="33"/>
        <v>40000</v>
      </c>
      <c r="AF208" s="123">
        <f t="shared" si="34"/>
        <v>0</v>
      </c>
    </row>
    <row r="209">
      <c r="A209" s="30" t="s">
        <v>1140</v>
      </c>
      <c r="B209" s="84" t="s">
        <v>1141</v>
      </c>
      <c r="C209" s="30"/>
      <c r="D209" s="11">
        <f t="shared" si="30"/>
        <v>1</v>
      </c>
      <c r="E209" s="11">
        <f t="shared" si="31"/>
        <v>20000</v>
      </c>
      <c r="F209" s="30" t="s">
        <v>232</v>
      </c>
      <c r="G209" s="31">
        <v>20000.0</v>
      </c>
      <c r="H209" s="31">
        <v>20000.0</v>
      </c>
      <c r="I209" s="74" t="s">
        <v>218</v>
      </c>
      <c r="J209" s="25" t="s">
        <v>77</v>
      </c>
      <c r="K209" s="38">
        <f t="shared" si="17"/>
        <v>1</v>
      </c>
      <c r="L209" s="18" t="s">
        <v>910</v>
      </c>
      <c r="M209" s="18" t="s">
        <v>736</v>
      </c>
      <c r="N209" s="74"/>
      <c r="O209" s="74"/>
      <c r="P209" s="84"/>
      <c r="Q209" s="42" t="str">
        <f>iferror(VLOOKUP(A209,'Positional cal'!A:H,1,0)=A209,"FALSE")</f>
        <v>FALSE</v>
      </c>
      <c r="R209" s="43" t="b">
        <f t="shared" si="3"/>
        <v>0</v>
      </c>
      <c r="S209" s="46">
        <f>IFERROR(VLOOKUP($A209,AlgoUi!$A:$X,21,0),"NA")</f>
        <v>7221157</v>
      </c>
      <c r="T209" s="46">
        <f>IFERROR(VLOOKUP($A209,AlgoUi!$A:$X,23,0),"")</f>
        <v>8000000</v>
      </c>
      <c r="U209" s="46">
        <f>IFERROR(VLOOKUP($A209,AlgoUi!$A:$X,24,0),"")</f>
        <v>80000</v>
      </c>
      <c r="V209" s="42" t="str">
        <f>IFERROR(__xludf.DUMMYFUNCTION("IFERROR(VLOOKUP(I209,IMPORTRANGE(""https://docs.google.com/spreadsheets/d/17FOIUYQAjPk1pPQIlvOgqYDBqwUqgb7KWzp4DtVksBk/edit?gid=0#gid=0"",""Servers!A:S""),19,FALSE), ""Not Running"")"),"SAKSHAMG")</f>
        <v>SAKSHAMG</v>
      </c>
      <c r="W209" s="47" t="str">
        <f>VLOOKUP($A209,Category!$A:$E,4,0)</f>
        <v>MS</v>
      </c>
      <c r="X209" s="47" t="str">
        <f>VLOOKUP($A209,Category!$A:$E,5,0)</f>
        <v>MSR</v>
      </c>
      <c r="Y209" s="18" t="str">
        <f>VLOOKUP(A209,PAcc!$A$1:$J$27,10,0)</f>
        <v>#N/A</v>
      </c>
      <c r="Z209" s="42" t="b">
        <f t="shared" si="4"/>
        <v>0</v>
      </c>
      <c r="AA209" s="50">
        <v>0.4</v>
      </c>
      <c r="AB209" s="42" t="str">
        <f>VLOOKUP(A209,VlookupSheet!$A$383:$A$523,1,0)</f>
        <v>#N/A</v>
      </c>
      <c r="AC209" s="50">
        <v>0.01</v>
      </c>
      <c r="AD209" s="42">
        <f t="shared" si="32"/>
        <v>2888462.8</v>
      </c>
      <c r="AE209" s="42">
        <f t="shared" si="33"/>
        <v>20000</v>
      </c>
      <c r="AF209" s="123">
        <f t="shared" si="34"/>
        <v>0</v>
      </c>
    </row>
    <row r="210">
      <c r="A210" s="30" t="s">
        <v>1142</v>
      </c>
      <c r="B210" s="84" t="s">
        <v>1143</v>
      </c>
      <c r="C210" s="85"/>
      <c r="D210" s="11">
        <f t="shared" si="30"/>
        <v>1</v>
      </c>
      <c r="E210" s="11">
        <f t="shared" si="31"/>
        <v>20000</v>
      </c>
      <c r="F210" s="30" t="s">
        <v>311</v>
      </c>
      <c r="G210" s="11">
        <v>20000.0</v>
      </c>
      <c r="H210" s="31">
        <v>20000.0</v>
      </c>
      <c r="I210" s="74" t="s">
        <v>218</v>
      </c>
      <c r="J210" s="25" t="s">
        <v>77</v>
      </c>
      <c r="K210" s="38">
        <f t="shared" si="17"/>
        <v>1</v>
      </c>
      <c r="L210" s="18" t="s">
        <v>910</v>
      </c>
      <c r="M210" s="18" t="s">
        <v>736</v>
      </c>
      <c r="N210" s="74"/>
      <c r="O210" s="74"/>
      <c r="P210" s="84"/>
      <c r="Q210" s="42" t="str">
        <f>iferror(VLOOKUP(A210,'Positional cal'!A:H,1,0)=A210,"FALSE")</f>
        <v>FALSE</v>
      </c>
      <c r="R210" s="43" t="b">
        <f t="shared" si="3"/>
        <v>0</v>
      </c>
      <c r="S210" s="46">
        <f>IFERROR(VLOOKUP($A210,AlgoUi!$A:$X,21,0),"NA")</f>
        <v>7231361</v>
      </c>
      <c r="T210" s="46">
        <f>IFERROR(VLOOKUP($A210,AlgoUi!$A:$X,23,0),"")</f>
        <v>8000000</v>
      </c>
      <c r="U210" s="46">
        <f>IFERROR(VLOOKUP($A210,AlgoUi!$A:$X,24,0),"")</f>
        <v>80000</v>
      </c>
      <c r="V210" s="42" t="str">
        <f>IFERROR(__xludf.DUMMYFUNCTION("IFERROR(VLOOKUP(I210,IMPORTRANGE(""https://docs.google.com/spreadsheets/d/17FOIUYQAjPk1pPQIlvOgqYDBqwUqgb7KWzp4DtVksBk/edit?gid=0#gid=0"",""Servers!A:S""),19,FALSE), ""Not Running"")"),"SAKSHAMG")</f>
        <v>SAKSHAMG</v>
      </c>
      <c r="W210" s="47" t="str">
        <f>VLOOKUP($A210,Category!$A:$E,4,0)</f>
        <v>MS</v>
      </c>
      <c r="X210" s="47" t="str">
        <f>VLOOKUP($A210,Category!$A:$E,5,0)</f>
        <v>MSR</v>
      </c>
      <c r="Y210" s="18" t="str">
        <f>VLOOKUP(A210,PAcc!$A$1:$J$27,10,0)</f>
        <v>#N/A</v>
      </c>
      <c r="Z210" s="42" t="b">
        <f t="shared" si="4"/>
        <v>0</v>
      </c>
      <c r="AA210" s="50">
        <v>0.4</v>
      </c>
      <c r="AB210" s="42" t="str">
        <f>VLOOKUP(A210,VlookupSheet!$A$383:$A$523,1,0)</f>
        <v>#N/A</v>
      </c>
      <c r="AC210" s="50">
        <v>0.01</v>
      </c>
      <c r="AD210" s="42">
        <f t="shared" si="32"/>
        <v>2892544.4</v>
      </c>
      <c r="AE210" s="42">
        <f t="shared" si="33"/>
        <v>20000</v>
      </c>
      <c r="AF210" s="123">
        <f t="shared" si="34"/>
        <v>0</v>
      </c>
    </row>
    <row r="211">
      <c r="A211" s="30" t="s">
        <v>1144</v>
      </c>
      <c r="B211" s="84" t="s">
        <v>1145</v>
      </c>
      <c r="C211" s="85"/>
      <c r="D211" s="11">
        <f t="shared" si="30"/>
        <v>1</v>
      </c>
      <c r="E211" s="11">
        <f t="shared" si="31"/>
        <v>300000</v>
      </c>
      <c r="F211" s="30" t="s">
        <v>311</v>
      </c>
      <c r="G211" s="31">
        <v>300000.0</v>
      </c>
      <c r="H211" s="31">
        <v>300000.0</v>
      </c>
      <c r="I211" s="74" t="s">
        <v>218</v>
      </c>
      <c r="J211" s="25" t="s">
        <v>77</v>
      </c>
      <c r="K211" s="38">
        <f t="shared" si="17"/>
        <v>1</v>
      </c>
      <c r="L211" s="18" t="s">
        <v>910</v>
      </c>
      <c r="M211" s="18" t="s">
        <v>736</v>
      </c>
      <c r="N211" s="74"/>
      <c r="O211" s="74"/>
      <c r="P211" s="84"/>
      <c r="Q211" s="42" t="str">
        <f>iferror(VLOOKUP(A211,'Positional cal'!A:H,1,0)=A211,"FALSE")</f>
        <v>FALSE</v>
      </c>
      <c r="R211" s="43" t="b">
        <f t="shared" si="3"/>
        <v>0</v>
      </c>
      <c r="S211" s="46">
        <f>IFERROR(VLOOKUP($A211,AlgoUi!$A:$X,21,0),"NA")</f>
        <v>77293065</v>
      </c>
      <c r="T211" s="46">
        <f>IFERROR(VLOOKUP($A211,AlgoUi!$A:$X,23,0),"")</f>
        <v>78000000</v>
      </c>
      <c r="U211" s="46">
        <f>IFERROR(VLOOKUP($A211,AlgoUi!$A:$X,24,0),"")</f>
        <v>780000</v>
      </c>
      <c r="V211" s="42" t="str">
        <f>IFERROR(__xludf.DUMMYFUNCTION("IFERROR(VLOOKUP(I211,IMPORTRANGE(""https://docs.google.com/spreadsheets/d/17FOIUYQAjPk1pPQIlvOgqYDBqwUqgb7KWzp4DtVksBk/edit?gid=0#gid=0"",""Servers!A:S""),19,FALSE), ""Not Running"")"),"SAKSHAMG")</f>
        <v>SAKSHAMG</v>
      </c>
      <c r="W211" s="47" t="str">
        <f>VLOOKUP($A211,Category!$A:$E,4,0)</f>
        <v>MS</v>
      </c>
      <c r="X211" s="47" t="str">
        <f>VLOOKUP($A211,Category!$A:$E,5,0)</f>
        <v>MSR</v>
      </c>
      <c r="Y211" s="18" t="str">
        <f>VLOOKUP(A211,PAcc!$A$1:$J$27,10,0)</f>
        <v>#N/A</v>
      </c>
      <c r="Z211" s="42" t="b">
        <f t="shared" si="4"/>
        <v>0</v>
      </c>
      <c r="AA211" s="50">
        <v>0.4</v>
      </c>
      <c r="AB211" s="42" t="str">
        <f>VLOOKUP(A211,VlookupSheet!$A$383:$A$523,1,0)</f>
        <v>#N/A</v>
      </c>
      <c r="AC211" s="50">
        <v>0.01</v>
      </c>
      <c r="AD211" s="42">
        <f t="shared" si="32"/>
        <v>30917226</v>
      </c>
      <c r="AE211" s="42">
        <f t="shared" si="33"/>
        <v>300000</v>
      </c>
      <c r="AF211" s="123">
        <f t="shared" si="34"/>
        <v>0</v>
      </c>
    </row>
    <row r="212">
      <c r="A212" s="11" t="s">
        <v>1146</v>
      </c>
      <c r="B212" s="24" t="s">
        <v>1147</v>
      </c>
      <c r="C212" s="25"/>
      <c r="D212" s="11">
        <f t="shared" si="30"/>
        <v>1</v>
      </c>
      <c r="E212" s="11">
        <f t="shared" si="31"/>
        <v>120000</v>
      </c>
      <c r="F212" s="30" t="s">
        <v>311</v>
      </c>
      <c r="G212" s="31">
        <v>120000.0</v>
      </c>
      <c r="H212" s="31">
        <v>120000.0</v>
      </c>
      <c r="I212" s="11" t="s">
        <v>218</v>
      </c>
      <c r="J212" s="11" t="s">
        <v>77</v>
      </c>
      <c r="K212" s="38">
        <f t="shared" si="17"/>
        <v>1</v>
      </c>
      <c r="L212" s="18" t="s">
        <v>910</v>
      </c>
      <c r="M212" s="18" t="s">
        <v>736</v>
      </c>
      <c r="N212" s="18"/>
      <c r="O212" s="18"/>
      <c r="P212" s="84"/>
      <c r="Q212" s="42" t="str">
        <f>iferror(VLOOKUP(A212,'Positional cal'!A:H,1,0)=A212,"FALSE")</f>
        <v>FALSE</v>
      </c>
      <c r="R212" s="43" t="b">
        <f t="shared" si="3"/>
        <v>0</v>
      </c>
      <c r="S212" s="46">
        <f>IFERROR(VLOOKUP($A212,AlgoUi!$A:$X,21,0),"NA")</f>
        <v>30215530</v>
      </c>
      <c r="T212" s="46">
        <f>IFERROR(VLOOKUP($A212,AlgoUi!$A:$X,23,0),"")</f>
        <v>30000000</v>
      </c>
      <c r="U212" s="46">
        <f>IFERROR(VLOOKUP($A212,AlgoUi!$A:$X,24,0),"")</f>
        <v>300000</v>
      </c>
      <c r="V212" s="42" t="str">
        <f>IFERROR(__xludf.DUMMYFUNCTION("IFERROR(VLOOKUP(I212,IMPORTRANGE(""https://docs.google.com/spreadsheets/d/17FOIUYQAjPk1pPQIlvOgqYDBqwUqgb7KWzp4DtVksBk/edit?gid=0#gid=0"",""Servers!A:S""),19,FALSE), ""Not Running"")"),"SAKSHAMG")</f>
        <v>SAKSHAMG</v>
      </c>
      <c r="W212" s="47" t="str">
        <f>VLOOKUP($A212,Category!$A:$E,4,0)</f>
        <v>MS</v>
      </c>
      <c r="X212" s="47" t="str">
        <f>VLOOKUP($A212,Category!$A:$E,5,0)</f>
        <v>MSR</v>
      </c>
      <c r="Y212" s="18" t="str">
        <f>VLOOKUP(A212,PAcc!$A$1:$J$27,10,0)</f>
        <v>#N/A</v>
      </c>
      <c r="Z212" s="42" t="b">
        <f t="shared" si="4"/>
        <v>0</v>
      </c>
      <c r="AA212" s="50">
        <v>0.4</v>
      </c>
      <c r="AB212" s="42" t="str">
        <f>VLOOKUP(A212,VlookupSheet!$A$383:$A$523,1,0)</f>
        <v>#N/A</v>
      </c>
      <c r="AC212" s="50">
        <v>0.01</v>
      </c>
      <c r="AD212" s="42">
        <f t="shared" si="32"/>
        <v>12086212</v>
      </c>
      <c r="AE212" s="42">
        <f t="shared" si="33"/>
        <v>120000</v>
      </c>
      <c r="AF212" s="123">
        <f t="shared" si="34"/>
        <v>0</v>
      </c>
    </row>
    <row r="213">
      <c r="A213" s="84" t="s">
        <v>381</v>
      </c>
      <c r="B213" s="84" t="s">
        <v>1153</v>
      </c>
      <c r="C213" s="85"/>
      <c r="D213" s="11">
        <f t="shared" si="30"/>
        <v>1</v>
      </c>
      <c r="E213" s="11">
        <f t="shared" si="31"/>
        <v>60000</v>
      </c>
      <c r="F213" s="30" t="s">
        <v>311</v>
      </c>
      <c r="G213" s="31">
        <v>60000.0</v>
      </c>
      <c r="H213" s="31">
        <v>60000.0</v>
      </c>
      <c r="I213" s="34" t="s">
        <v>218</v>
      </c>
      <c r="J213" s="11" t="s">
        <v>77</v>
      </c>
      <c r="K213" s="38">
        <f t="shared" si="17"/>
        <v>1</v>
      </c>
      <c r="L213" s="18" t="s">
        <v>910</v>
      </c>
      <c r="M213" s="18" t="s">
        <v>736</v>
      </c>
      <c r="N213" s="74"/>
      <c r="O213" s="74"/>
      <c r="P213" s="84"/>
      <c r="Q213" s="42" t="str">
        <f>iferror(VLOOKUP(A213,'Positional cal'!A:H,1,0)=A213,"FALSE")</f>
        <v>FALSE</v>
      </c>
      <c r="R213" s="43" t="b">
        <f t="shared" si="3"/>
        <v>0</v>
      </c>
      <c r="S213" s="46">
        <f>IFERROR(VLOOKUP($A213,AlgoUi!$A:$X,21,0),"NA")</f>
        <v>14390547</v>
      </c>
      <c r="T213" s="46">
        <f>IFERROR(VLOOKUP($A213,AlgoUi!$A:$X,23,0),"")</f>
        <v>14000000</v>
      </c>
      <c r="U213" s="46">
        <f>IFERROR(VLOOKUP($A213,AlgoUi!$A:$X,24,0),"")</f>
        <v>140000</v>
      </c>
      <c r="V213" s="42" t="str">
        <f>IFERROR(__xludf.DUMMYFUNCTION("IFERROR(VLOOKUP(I213,IMPORTRANGE(""https://docs.google.com/spreadsheets/d/17FOIUYQAjPk1pPQIlvOgqYDBqwUqgb7KWzp4DtVksBk/edit?gid=0#gid=0"",""Servers!A:S""),19,FALSE), ""Not Running"")"),"SAKSHAMG")</f>
        <v>SAKSHAMG</v>
      </c>
      <c r="W213" s="47" t="str">
        <f>VLOOKUP($A213,Category!$A:$E,4,0)</f>
        <v>MS</v>
      </c>
      <c r="X213" s="47" t="str">
        <f>VLOOKUP($A213,Category!$A:$E,5,0)</f>
        <v>MSR</v>
      </c>
      <c r="Y213" s="18" t="str">
        <f>VLOOKUP(A213,PAcc!$A$1:$J$27,10,0)</f>
        <v>#N/A</v>
      </c>
      <c r="Z213" s="42" t="b">
        <f t="shared" si="4"/>
        <v>0</v>
      </c>
      <c r="AA213" s="50">
        <v>0.4</v>
      </c>
      <c r="AB213" s="42" t="str">
        <f>VLOOKUP(A213,VlookupSheet!$A$383:$A$523,1,0)</f>
        <v>#N/A</v>
      </c>
      <c r="AC213" s="50">
        <v>0.01</v>
      </c>
      <c r="AD213" s="42">
        <f t="shared" si="32"/>
        <v>5756218.8</v>
      </c>
      <c r="AE213" s="42">
        <f t="shared" si="33"/>
        <v>60000</v>
      </c>
      <c r="AF213" s="123">
        <f t="shared" si="34"/>
        <v>0</v>
      </c>
    </row>
    <row r="214">
      <c r="A214" s="167" t="s">
        <v>1168</v>
      </c>
      <c r="B214" s="167" t="s">
        <v>1169</v>
      </c>
      <c r="C214" s="187"/>
      <c r="D214" s="167">
        <f t="shared" si="30"/>
        <v>1</v>
      </c>
      <c r="E214" s="167">
        <f t="shared" si="31"/>
        <v>40000</v>
      </c>
      <c r="F214" s="188" t="s">
        <v>232</v>
      </c>
      <c r="G214" s="189">
        <v>40000.0</v>
      </c>
      <c r="H214" s="189">
        <v>40000.0</v>
      </c>
      <c r="I214" s="190" t="s">
        <v>218</v>
      </c>
      <c r="J214" s="187" t="s">
        <v>77</v>
      </c>
      <c r="K214" s="191">
        <f t="shared" si="17"/>
        <v>1</v>
      </c>
      <c r="L214" s="192" t="s">
        <v>910</v>
      </c>
      <c r="M214" s="192" t="s">
        <v>736</v>
      </c>
      <c r="N214" s="194"/>
      <c r="O214" s="194"/>
      <c r="P214" s="188"/>
      <c r="Q214" s="194" t="str">
        <f>iferror(VLOOKUP(A214,'Positional cal'!A:H,1,0)=A214,"FALSE")</f>
        <v>FALSE</v>
      </c>
      <c r="R214" s="195" t="b">
        <f t="shared" si="3"/>
        <v>1</v>
      </c>
      <c r="S214" s="196">
        <f>IFERROR(VLOOKUP($A214,AlgoUi!$A:$X,21,0),"NA")</f>
        <v>3647464</v>
      </c>
      <c r="T214" s="196">
        <f>IFERROR(VLOOKUP($A214,AlgoUi!$A:$X,23,0),"")</f>
        <v>4000000</v>
      </c>
      <c r="U214" s="196">
        <f>IFERROR(VLOOKUP($A214,AlgoUi!$A:$X,24,0),"")</f>
        <v>40000</v>
      </c>
      <c r="V214" s="194" t="str">
        <f>IFERROR(__xludf.DUMMYFUNCTION("IFERROR(VLOOKUP(I214,IMPORTRANGE(""https://docs.google.com/spreadsheets/d/17FOIUYQAjPk1pPQIlvOgqYDBqwUqgb7KWzp4DtVksBk/edit?gid=0#gid=0"",""Servers!A:S""),19,FALSE), ""Not Running"")"),"SAKSHAMG")</f>
        <v>SAKSHAMG</v>
      </c>
      <c r="W214" s="197" t="str">
        <f>VLOOKUP($A214,Category!$A:$E,4,0)</f>
        <v>MS</v>
      </c>
      <c r="X214" s="197" t="str">
        <f>VLOOKUP($A214,Category!$A:$E,5,0)</f>
        <v>MS</v>
      </c>
      <c r="Y214" s="192" t="str">
        <f>VLOOKUP(A214,PAcc!$A$1:$J$27,10,0)</f>
        <v>#N/A</v>
      </c>
      <c r="Z214" s="194" t="b">
        <f t="shared" si="4"/>
        <v>1</v>
      </c>
      <c r="AA214" s="198">
        <v>1.0</v>
      </c>
      <c r="AB214" s="194" t="str">
        <f>VLOOKUP(A214,VlookupSheet!$A$383:$A$523,1,0)</f>
        <v>#N/A</v>
      </c>
      <c r="AC214" s="50">
        <v>0.01</v>
      </c>
      <c r="AD214" s="42">
        <f t="shared" si="32"/>
        <v>3647464</v>
      </c>
      <c r="AE214" s="42">
        <f t="shared" si="33"/>
        <v>40000</v>
      </c>
      <c r="AF214" s="123">
        <f t="shared" si="34"/>
        <v>0</v>
      </c>
    </row>
    <row r="215">
      <c r="A215" s="30" t="s">
        <v>126</v>
      </c>
      <c r="B215" s="84" t="s">
        <v>1206</v>
      </c>
      <c r="C215" s="30" t="s">
        <v>320</v>
      </c>
      <c r="D215" s="11">
        <f t="shared" si="30"/>
        <v>0.8</v>
      </c>
      <c r="E215" s="11">
        <f t="shared" si="31"/>
        <v>32000</v>
      </c>
      <c r="F215" s="30" t="s">
        <v>311</v>
      </c>
      <c r="G215" s="11" t="s">
        <v>1039</v>
      </c>
      <c r="H215" s="31">
        <v>40000.0</v>
      </c>
      <c r="I215" s="34" t="s">
        <v>83</v>
      </c>
      <c r="J215" s="11" t="s">
        <v>1018</v>
      </c>
      <c r="K215" s="38">
        <f t="shared" si="17"/>
        <v>0.8</v>
      </c>
      <c r="L215" s="18" t="s">
        <v>910</v>
      </c>
      <c r="M215" s="18" t="s">
        <v>736</v>
      </c>
      <c r="N215" s="34"/>
      <c r="O215" s="34"/>
      <c r="P215" s="34"/>
      <c r="Q215" s="42" t="str">
        <f>iferror(VLOOKUP(A215,'Positional cal'!A:H,1,0)=A215,"FALSE")</f>
        <v>FALSE</v>
      </c>
      <c r="R215" s="43" t="b">
        <f t="shared" si="3"/>
        <v>0</v>
      </c>
      <c r="S215" s="46">
        <f>IFERROR(VLOOKUP($A215,AlgoUi!$A:$X,21,0),"NA")</f>
        <v>11586225</v>
      </c>
      <c r="T215" s="46">
        <f>IFERROR(VLOOKUP($A215,AlgoUi!$A:$X,23,0),"")</f>
        <v>12000000</v>
      </c>
      <c r="U215" s="46">
        <f>IFERROR(VLOOKUP($A215,AlgoUi!$A:$X,24,0),"")</f>
        <v>96000</v>
      </c>
      <c r="V215" s="42" t="str">
        <f>IFERROR(__xludf.DUMMYFUNCTION("IFERROR(VLOOKUP(I215,IMPORTRANGE(""https://docs.google.com/spreadsheets/d/17FOIUYQAjPk1pPQIlvOgqYDBqwUqgb7KWzp4DtVksBk/edit?gid=0#gid=0"",""Servers!A:S""),19,FALSE), ""Not Running"")"),"DUSHYANT")</f>
        <v>DUSHYANT</v>
      </c>
      <c r="W215" s="47" t="str">
        <f>VLOOKUP($A215,Category!$A:$E,4,0)</f>
        <v>MS</v>
      </c>
      <c r="X215" s="47" t="str">
        <f>VLOOKUP($A215,Category!$A:$E,5,0)</f>
        <v>MSR</v>
      </c>
      <c r="Y215" s="18" t="str">
        <f>VLOOKUP(A215,PAcc!$A$1:$J$27,10,0)</f>
        <v>#N/A</v>
      </c>
      <c r="Z215" s="42" t="b">
        <f t="shared" si="4"/>
        <v>0</v>
      </c>
      <c r="AA215" s="50">
        <v>0.4</v>
      </c>
      <c r="AB215" s="42" t="str">
        <f>VLOOKUP(A215,VlookupSheet!$A$383:$A$523,1,0)</f>
        <v>#N/A</v>
      </c>
      <c r="AC215" s="50">
        <v>0.01</v>
      </c>
      <c r="AD215" s="42">
        <f t="shared" si="32"/>
        <v>4634490</v>
      </c>
      <c r="AE215" s="42">
        <f t="shared" si="33"/>
        <v>40000</v>
      </c>
      <c r="AF215" s="123">
        <f t="shared" si="34"/>
        <v>0</v>
      </c>
    </row>
    <row r="216">
      <c r="A216" s="11" t="s">
        <v>1216</v>
      </c>
      <c r="B216" s="24" t="s">
        <v>1217</v>
      </c>
      <c r="C216" s="25"/>
      <c r="D216" s="11">
        <f t="shared" si="30"/>
        <v>0.8</v>
      </c>
      <c r="E216" s="11">
        <f t="shared" si="31"/>
        <v>48000</v>
      </c>
      <c r="F216" s="30" t="s">
        <v>311</v>
      </c>
      <c r="G216" s="11" t="s">
        <v>1219</v>
      </c>
      <c r="H216" s="31">
        <v>60000.0</v>
      </c>
      <c r="I216" s="11" t="s">
        <v>83</v>
      </c>
      <c r="J216" s="11" t="s">
        <v>1018</v>
      </c>
      <c r="K216" s="38">
        <f t="shared" si="17"/>
        <v>0.8</v>
      </c>
      <c r="L216" s="18" t="s">
        <v>910</v>
      </c>
      <c r="M216" s="18" t="s">
        <v>736</v>
      </c>
      <c r="N216" s="34"/>
      <c r="O216" s="34"/>
      <c r="P216" s="34"/>
      <c r="Q216" s="42" t="str">
        <f>iferror(VLOOKUP(A216,'Positional cal'!A:H,1,0)=A216,"FALSE")</f>
        <v>FALSE</v>
      </c>
      <c r="R216" s="43" t="b">
        <f t="shared" si="3"/>
        <v>0</v>
      </c>
      <c r="S216" s="46">
        <f>IFERROR(VLOOKUP($A216,AlgoUi!$A:$X,21,0),"NA")</f>
        <v>12973641</v>
      </c>
      <c r="T216" s="46">
        <f>IFERROR(VLOOKUP($A216,AlgoUi!$A:$X,23,0),"")</f>
        <v>12000000</v>
      </c>
      <c r="U216" s="46">
        <f>IFERROR(VLOOKUP($A216,AlgoUi!$A:$X,24,0),"")</f>
        <v>96000</v>
      </c>
      <c r="V216" s="42" t="str">
        <f>IFERROR(__xludf.DUMMYFUNCTION("IFERROR(VLOOKUP(I216,IMPORTRANGE(""https://docs.google.com/spreadsheets/d/17FOIUYQAjPk1pPQIlvOgqYDBqwUqgb7KWzp4DtVksBk/edit?gid=0#gid=0"",""Servers!A:S""),19,FALSE), ""Not Running"")"),"DUSHYANT")</f>
        <v>DUSHYANT</v>
      </c>
      <c r="W216" s="47" t="str">
        <f>VLOOKUP($A216,Category!$A:$E,4,0)</f>
        <v>MS</v>
      </c>
      <c r="X216" s="47" t="str">
        <f>VLOOKUP($A216,Category!$A:$E,5,0)</f>
        <v>MSN</v>
      </c>
      <c r="Y216" s="18" t="str">
        <f>VLOOKUP(A216,PAcc!$A$1:$J$27,10,0)</f>
        <v>#N/A</v>
      </c>
      <c r="Z216" s="42" t="b">
        <f t="shared" si="4"/>
        <v>0</v>
      </c>
      <c r="AA216" s="50">
        <v>0.4</v>
      </c>
      <c r="AB216" s="42" t="str">
        <f>VLOOKUP(A216,VlookupSheet!$A$383:$A$523,1,0)</f>
        <v>#N/A</v>
      </c>
      <c r="AC216" s="50">
        <v>0.01</v>
      </c>
      <c r="AD216" s="42">
        <f t="shared" si="32"/>
        <v>5189456.4</v>
      </c>
      <c r="AE216" s="42">
        <f t="shared" si="33"/>
        <v>60000</v>
      </c>
      <c r="AF216" s="123">
        <f t="shared" si="34"/>
        <v>0</v>
      </c>
    </row>
    <row r="217">
      <c r="A217" s="30" t="s">
        <v>342</v>
      </c>
      <c r="B217" s="84" t="s">
        <v>1228</v>
      </c>
      <c r="C217" s="25"/>
      <c r="D217" s="11">
        <f t="shared" si="30"/>
        <v>0.8</v>
      </c>
      <c r="E217" s="11">
        <f t="shared" si="31"/>
        <v>80000</v>
      </c>
      <c r="F217" s="30" t="s">
        <v>965</v>
      </c>
      <c r="G217" s="11" t="s">
        <v>906</v>
      </c>
      <c r="H217" s="31">
        <v>100000.0</v>
      </c>
      <c r="I217" s="74" t="s">
        <v>83</v>
      </c>
      <c r="J217" s="25" t="s">
        <v>1018</v>
      </c>
      <c r="K217" s="38">
        <f t="shared" si="17"/>
        <v>0.8</v>
      </c>
      <c r="L217" s="18" t="s">
        <v>910</v>
      </c>
      <c r="M217" s="18" t="s">
        <v>736</v>
      </c>
      <c r="N217" s="42"/>
      <c r="O217" s="42"/>
      <c r="P217" s="42"/>
      <c r="Q217" s="42" t="str">
        <f>iferror(VLOOKUP(A217,'Positional cal'!A:H,1,0)=A217,"FALSE")</f>
        <v>FALSE</v>
      </c>
      <c r="R217" s="43" t="b">
        <f t="shared" si="3"/>
        <v>0</v>
      </c>
      <c r="S217" s="46">
        <f>IFERROR(VLOOKUP($A217,AlgoUi!$A:$X,21,0),"NA")</f>
        <v>25225432</v>
      </c>
      <c r="T217" s="46">
        <f>IFERROR(VLOOKUP($A217,AlgoUi!$A:$X,23,0),"")</f>
        <v>26000000</v>
      </c>
      <c r="U217" s="46">
        <f>IFERROR(VLOOKUP($A217,AlgoUi!$A:$X,24,0),"")</f>
        <v>208000</v>
      </c>
      <c r="V217" s="42" t="str">
        <f>IFERROR(__xludf.DUMMYFUNCTION("IFERROR(VLOOKUP(I217,IMPORTRANGE(""https://docs.google.com/spreadsheets/d/17FOIUYQAjPk1pPQIlvOgqYDBqwUqgb7KWzp4DtVksBk/edit?gid=0#gid=0"",""Servers!A:S""),19,FALSE), ""Not Running"")"),"DUSHYANT")</f>
        <v>DUSHYANT</v>
      </c>
      <c r="W217" s="47" t="str">
        <f>VLOOKUP($A217,Category!$A:$E,4,0)</f>
        <v>MS</v>
      </c>
      <c r="X217" s="47" t="str">
        <f>VLOOKUP($A217,Category!$A:$E,5,0)</f>
        <v>MSR</v>
      </c>
      <c r="Y217" s="18" t="str">
        <f>VLOOKUP(A217,PAcc!$A$1:$J$27,10,0)</f>
        <v>#N/A</v>
      </c>
      <c r="Z217" s="42" t="b">
        <f t="shared" si="4"/>
        <v>0</v>
      </c>
      <c r="AA217" s="50">
        <v>0.4</v>
      </c>
      <c r="AB217" s="42" t="str">
        <f>VLOOKUP(A217,VlookupSheet!$A$383:$A$523,1,0)</f>
        <v>#N/A</v>
      </c>
      <c r="AC217" s="50">
        <v>0.01</v>
      </c>
      <c r="AD217" s="42">
        <f t="shared" si="32"/>
        <v>10090172.8</v>
      </c>
      <c r="AE217" s="42">
        <f t="shared" si="33"/>
        <v>100000</v>
      </c>
      <c r="AF217" s="123">
        <f t="shared" si="34"/>
        <v>0</v>
      </c>
    </row>
    <row r="218">
      <c r="A218" s="11" t="s">
        <v>360</v>
      </c>
      <c r="B218" s="24" t="s">
        <v>1238</v>
      </c>
      <c r="C218" s="25"/>
      <c r="D218" s="11">
        <f t="shared" si="30"/>
        <v>0.8</v>
      </c>
      <c r="E218" s="11">
        <f t="shared" si="31"/>
        <v>48000</v>
      </c>
      <c r="F218" s="30" t="s">
        <v>965</v>
      </c>
      <c r="G218" s="11" t="s">
        <v>1219</v>
      </c>
      <c r="H218" s="31">
        <v>60000.0</v>
      </c>
      <c r="I218" s="74" t="s">
        <v>83</v>
      </c>
      <c r="J218" s="25" t="s">
        <v>1018</v>
      </c>
      <c r="K218" s="38">
        <f t="shared" si="17"/>
        <v>0.8</v>
      </c>
      <c r="L218" s="18" t="s">
        <v>910</v>
      </c>
      <c r="M218" s="18" t="s">
        <v>736</v>
      </c>
      <c r="N218" s="42"/>
      <c r="O218" s="42"/>
      <c r="P218" s="42"/>
      <c r="Q218" s="42" t="str">
        <f>iferror(VLOOKUP(A218,'Positional cal'!A:H,1,0)=A218,"FALSE")</f>
        <v>FALSE</v>
      </c>
      <c r="R218" s="43" t="b">
        <f t="shared" si="3"/>
        <v>0</v>
      </c>
      <c r="S218" s="46">
        <f>IFERROR(VLOOKUP($A218,AlgoUi!$A:$X,21,0),"NA")</f>
        <v>13126590</v>
      </c>
      <c r="T218" s="46">
        <f>IFERROR(VLOOKUP($A218,AlgoUi!$A:$X,23,0),"")</f>
        <v>14000000</v>
      </c>
      <c r="U218" s="46">
        <f>IFERROR(VLOOKUP($A218,AlgoUi!$A:$X,24,0),"")</f>
        <v>112000</v>
      </c>
      <c r="V218" s="42" t="str">
        <f>IFERROR(__xludf.DUMMYFUNCTION("IFERROR(VLOOKUP(I218,IMPORTRANGE(""https://docs.google.com/spreadsheets/d/17FOIUYQAjPk1pPQIlvOgqYDBqwUqgb7KWzp4DtVksBk/edit?gid=0#gid=0"",""Servers!A:S""),19,FALSE), ""Not Running"")"),"DUSHYANT")</f>
        <v>DUSHYANT</v>
      </c>
      <c r="W218" s="47" t="str">
        <f>VLOOKUP($A218,Category!$A:$E,4,0)</f>
        <v>MS</v>
      </c>
      <c r="X218" s="47" t="str">
        <f>VLOOKUP($A218,Category!$A:$E,5,0)</f>
        <v>MSP</v>
      </c>
      <c r="Y218" s="18" t="str">
        <f>VLOOKUP(A218,PAcc!$A$1:$J$27,10,0)</f>
        <v>#N/A</v>
      </c>
      <c r="Z218" s="42" t="b">
        <f t="shared" si="4"/>
        <v>0</v>
      </c>
      <c r="AA218" s="50">
        <v>0.4</v>
      </c>
      <c r="AB218" s="42" t="str">
        <f>VLOOKUP(A218,VlookupSheet!$A$383:$A$523,1,0)</f>
        <v>#N/A</v>
      </c>
      <c r="AC218" s="50">
        <v>0.01</v>
      </c>
      <c r="AD218" s="42">
        <f t="shared" si="32"/>
        <v>5250636</v>
      </c>
      <c r="AE218" s="42">
        <f t="shared" si="33"/>
        <v>60000</v>
      </c>
      <c r="AF218" s="123">
        <f t="shared" si="34"/>
        <v>0</v>
      </c>
    </row>
    <row r="219">
      <c r="A219" s="30" t="s">
        <v>398</v>
      </c>
      <c r="B219" s="84" t="s">
        <v>1248</v>
      </c>
      <c r="C219" s="85"/>
      <c r="D219" s="11">
        <f t="shared" si="30"/>
        <v>0.8</v>
      </c>
      <c r="E219" s="11">
        <f t="shared" si="31"/>
        <v>64000</v>
      </c>
      <c r="F219" s="30" t="s">
        <v>311</v>
      </c>
      <c r="G219" s="11" t="s">
        <v>1249</v>
      </c>
      <c r="H219" s="31">
        <v>80000.0</v>
      </c>
      <c r="I219" s="74" t="s">
        <v>83</v>
      </c>
      <c r="J219" s="25" t="s">
        <v>1018</v>
      </c>
      <c r="K219" s="38">
        <f t="shared" si="17"/>
        <v>0.8</v>
      </c>
      <c r="L219" s="18" t="s">
        <v>910</v>
      </c>
      <c r="M219" s="18" t="s">
        <v>736</v>
      </c>
      <c r="N219" s="74"/>
      <c r="O219" s="74"/>
      <c r="P219" s="74"/>
      <c r="Q219" s="42" t="str">
        <f>iferror(VLOOKUP(A219,'Positional cal'!A:H,1,0)=A219,"FALSE")</f>
        <v>FALSE</v>
      </c>
      <c r="R219" s="43" t="b">
        <f t="shared" si="3"/>
        <v>0</v>
      </c>
      <c r="S219" s="46">
        <f>IFERROR(VLOOKUP($A219,AlgoUi!$A:$X,21,0),"NA")</f>
        <v>18808055</v>
      </c>
      <c r="T219" s="46">
        <f>IFERROR(VLOOKUP($A219,AlgoUi!$A:$X,23,0),"")</f>
        <v>18000000</v>
      </c>
      <c r="U219" s="46">
        <f>IFERROR(VLOOKUP($A219,AlgoUi!$A:$X,24,0),"")</f>
        <v>144000</v>
      </c>
      <c r="V219" s="42" t="str">
        <f>IFERROR(__xludf.DUMMYFUNCTION("IFERROR(VLOOKUP(I219,IMPORTRANGE(""https://docs.google.com/spreadsheets/d/17FOIUYQAjPk1pPQIlvOgqYDBqwUqgb7KWzp4DtVksBk/edit?gid=0#gid=0"",""Servers!A:S""),19,FALSE), ""Not Running"")"),"DUSHYANT")</f>
        <v>DUSHYANT</v>
      </c>
      <c r="W219" s="47" t="str">
        <f>VLOOKUP($A219,Category!$A:$E,4,0)</f>
        <v>MS</v>
      </c>
      <c r="X219" s="47" t="str">
        <f>VLOOKUP($A219,Category!$A:$E,5,0)</f>
        <v>MSR</v>
      </c>
      <c r="Y219" s="18" t="str">
        <f>VLOOKUP(A219,PAcc!$A$1:$J$27,10,0)</f>
        <v>#N/A</v>
      </c>
      <c r="Z219" s="42" t="b">
        <f t="shared" si="4"/>
        <v>0</v>
      </c>
      <c r="AA219" s="50">
        <v>0.4</v>
      </c>
      <c r="AB219" s="42" t="str">
        <f>VLOOKUP(A219,VlookupSheet!$A$383:$A$523,1,0)</f>
        <v>#N/A</v>
      </c>
      <c r="AC219" s="50">
        <v>0.01</v>
      </c>
      <c r="AD219" s="42">
        <f t="shared" si="32"/>
        <v>7523222</v>
      </c>
      <c r="AE219" s="42">
        <f t="shared" si="33"/>
        <v>80000</v>
      </c>
      <c r="AF219" s="123">
        <f t="shared" si="34"/>
        <v>0</v>
      </c>
    </row>
    <row r="220">
      <c r="A220" s="199" t="s">
        <v>172</v>
      </c>
      <c r="B220" s="199" t="s">
        <v>1260</v>
      </c>
      <c r="C220" s="200"/>
      <c r="D220" s="11">
        <f t="shared" si="30"/>
        <v>0.8</v>
      </c>
      <c r="E220" s="11">
        <f t="shared" si="31"/>
        <v>32000</v>
      </c>
      <c r="F220" s="71" t="s">
        <v>1261</v>
      </c>
      <c r="G220" s="11" t="s">
        <v>1039</v>
      </c>
      <c r="H220" s="31">
        <v>40000.0</v>
      </c>
      <c r="I220" s="201" t="s">
        <v>83</v>
      </c>
      <c r="J220" s="174" t="s">
        <v>1018</v>
      </c>
      <c r="K220" s="38">
        <f t="shared" si="17"/>
        <v>0.8</v>
      </c>
      <c r="L220" s="18" t="s">
        <v>910</v>
      </c>
      <c r="M220" s="18" t="s">
        <v>736</v>
      </c>
      <c r="N220" s="202">
        <v>1.0</v>
      </c>
      <c r="O220" s="202"/>
      <c r="P220" s="202" t="s">
        <v>848</v>
      </c>
      <c r="Q220" s="176" t="str">
        <f>iferror(VLOOKUP(A220,'Positional cal'!A:H,1,0)=A220,"FALSE")</f>
        <v>FALSE</v>
      </c>
      <c r="R220" s="43" t="b">
        <f t="shared" si="3"/>
        <v>0</v>
      </c>
      <c r="S220" s="46">
        <f>IFERROR(VLOOKUP($A220,AlgoUi!$A:$X,21,0),"NA")</f>
        <v>10000000</v>
      </c>
      <c r="T220" s="46">
        <f>IFERROR(VLOOKUP($A220,AlgoUi!$A:$X,23,0),"")</f>
        <v>10000000</v>
      </c>
      <c r="U220" s="46">
        <f>IFERROR(VLOOKUP($A220,AlgoUi!$A:$X,24,0),"")</f>
        <v>80000</v>
      </c>
      <c r="V220" s="42" t="str">
        <f>IFERROR(__xludf.DUMMYFUNCTION("IFERROR(VLOOKUP(I220,IMPORTRANGE(""https://docs.google.com/spreadsheets/d/17FOIUYQAjPk1pPQIlvOgqYDBqwUqgb7KWzp4DtVksBk/edit?gid=0#gid=0"",""Servers!A:S""),19,FALSE), ""Not Running"")"),"DUSHYANT")</f>
        <v>DUSHYANT</v>
      </c>
      <c r="W220" s="47" t="str">
        <f>VLOOKUP($A220,Category!$A:$E,4,0)</f>
        <v>MS</v>
      </c>
      <c r="X220" s="47" t="str">
        <f>VLOOKUP($A220,Category!$A:$E,5,0)</f>
        <v>MSP</v>
      </c>
      <c r="Y220" s="18" t="str">
        <f>VLOOKUP(A220,PAcc!$A$1:$J$27,10,0)</f>
        <v>#N/A</v>
      </c>
      <c r="Z220" s="42" t="b">
        <f t="shared" si="4"/>
        <v>0</v>
      </c>
      <c r="AA220" s="50">
        <v>0.4</v>
      </c>
      <c r="AB220" s="42" t="str">
        <f>VLOOKUP(A220,VlookupSheet!$A$383:$A$523,1,0)</f>
        <v>#N/A</v>
      </c>
      <c r="AC220" s="50">
        <v>0.01</v>
      </c>
      <c r="AD220" s="42">
        <f t="shared" si="32"/>
        <v>4000000</v>
      </c>
      <c r="AE220" s="42">
        <f t="shared" si="33"/>
        <v>40000</v>
      </c>
      <c r="AF220" s="123">
        <f t="shared" si="34"/>
        <v>0</v>
      </c>
    </row>
    <row r="221">
      <c r="A221" s="30" t="s">
        <v>382</v>
      </c>
      <c r="B221" s="84" t="s">
        <v>1275</v>
      </c>
      <c r="C221" s="85"/>
      <c r="D221" s="11">
        <f t="shared" si="30"/>
        <v>0.8</v>
      </c>
      <c r="E221" s="11">
        <f t="shared" si="31"/>
        <v>48000</v>
      </c>
      <c r="F221" s="30" t="s">
        <v>311</v>
      </c>
      <c r="G221" s="11" t="s">
        <v>1219</v>
      </c>
      <c r="H221" s="31">
        <v>60000.0</v>
      </c>
      <c r="I221" s="74" t="s">
        <v>83</v>
      </c>
      <c r="J221" s="25" t="s">
        <v>1018</v>
      </c>
      <c r="K221" s="38">
        <f t="shared" si="17"/>
        <v>0.8</v>
      </c>
      <c r="L221" s="18" t="s">
        <v>910</v>
      </c>
      <c r="M221" s="18" t="s">
        <v>736</v>
      </c>
      <c r="N221" s="74"/>
      <c r="O221" s="74"/>
      <c r="P221" s="74"/>
      <c r="Q221" s="42" t="str">
        <f>iferror(VLOOKUP(A221,'Positional cal'!A:H,1,0)=A221,"FALSE")</f>
        <v>FALSE</v>
      </c>
      <c r="R221" s="43" t="b">
        <f t="shared" si="3"/>
        <v>0</v>
      </c>
      <c r="S221" s="46">
        <f>IFERROR(VLOOKUP($A221,AlgoUi!$A:$X,21,0),"NA")</f>
        <v>13647457</v>
      </c>
      <c r="T221" s="46">
        <f>IFERROR(VLOOKUP($A221,AlgoUi!$A:$X,23,0),"")</f>
        <v>14000000</v>
      </c>
      <c r="U221" s="46">
        <f>IFERROR(VLOOKUP($A221,AlgoUi!$A:$X,24,0),"")</f>
        <v>112000</v>
      </c>
      <c r="V221" s="42" t="str">
        <f>IFERROR(__xludf.DUMMYFUNCTION("IFERROR(VLOOKUP(I221,IMPORTRANGE(""https://docs.google.com/spreadsheets/d/17FOIUYQAjPk1pPQIlvOgqYDBqwUqgb7KWzp4DtVksBk/edit?gid=0#gid=0"",""Servers!A:S""),19,FALSE), ""Not Running"")"),"DUSHYANT")</f>
        <v>DUSHYANT</v>
      </c>
      <c r="W221" s="47" t="str">
        <f>VLOOKUP($A221,Category!$A:$E,4,0)</f>
        <v>MS</v>
      </c>
      <c r="X221" s="47" t="str">
        <f>VLOOKUP($A221,Category!$A:$E,5,0)</f>
        <v>MSR</v>
      </c>
      <c r="Y221" s="18" t="str">
        <f>VLOOKUP(A221,PAcc!$A$1:$J$27,10,0)</f>
        <v>#N/A</v>
      </c>
      <c r="Z221" s="42" t="b">
        <f t="shared" si="4"/>
        <v>0</v>
      </c>
      <c r="AA221" s="50">
        <v>0.4</v>
      </c>
      <c r="AB221" s="42" t="str">
        <f>VLOOKUP(A221,VlookupSheet!$A$383:$A$523,1,0)</f>
        <v>#N/A</v>
      </c>
      <c r="AC221" s="50">
        <v>0.01</v>
      </c>
      <c r="AD221" s="42">
        <f t="shared" si="32"/>
        <v>5458982.8</v>
      </c>
      <c r="AE221" s="42">
        <f t="shared" si="33"/>
        <v>60000</v>
      </c>
      <c r="AF221" s="123">
        <f t="shared" si="34"/>
        <v>0</v>
      </c>
    </row>
    <row r="222">
      <c r="A222" s="30" t="s">
        <v>1284</v>
      </c>
      <c r="B222" s="84" t="s">
        <v>1285</v>
      </c>
      <c r="C222" s="85"/>
      <c r="D222" s="11">
        <f t="shared" si="30"/>
        <v>0.8</v>
      </c>
      <c r="E222" s="11">
        <f t="shared" si="31"/>
        <v>48000</v>
      </c>
      <c r="F222" s="30" t="s">
        <v>311</v>
      </c>
      <c r="G222" s="11" t="s">
        <v>1219</v>
      </c>
      <c r="H222" s="31">
        <v>60000.0</v>
      </c>
      <c r="I222" s="74" t="s">
        <v>83</v>
      </c>
      <c r="J222" s="25" t="s">
        <v>1018</v>
      </c>
      <c r="K222" s="38">
        <f t="shared" si="17"/>
        <v>0.8</v>
      </c>
      <c r="L222" s="18" t="s">
        <v>910</v>
      </c>
      <c r="M222" s="18" t="s">
        <v>736</v>
      </c>
      <c r="N222" s="74"/>
      <c r="O222" s="74"/>
      <c r="P222" s="74"/>
      <c r="Q222" s="42" t="str">
        <f>iferror(VLOOKUP(A222,'Positional cal'!A:H,1,0)=A222,"FALSE")</f>
        <v>FALSE</v>
      </c>
      <c r="R222" s="43" t="b">
        <f t="shared" si="3"/>
        <v>0</v>
      </c>
      <c r="S222" s="46">
        <f>IFERROR(VLOOKUP($A222,AlgoUi!$A:$X,21,0),"NA")</f>
        <v>12536828</v>
      </c>
      <c r="T222" s="46">
        <f>IFERROR(VLOOKUP($A222,AlgoUi!$A:$X,23,0),"")</f>
        <v>12000000</v>
      </c>
      <c r="U222" s="46">
        <f>IFERROR(VLOOKUP($A222,AlgoUi!$A:$X,24,0),"")</f>
        <v>96000</v>
      </c>
      <c r="V222" s="42" t="str">
        <f>IFERROR(__xludf.DUMMYFUNCTION("IFERROR(VLOOKUP(I222,IMPORTRANGE(""https://docs.google.com/spreadsheets/d/17FOIUYQAjPk1pPQIlvOgqYDBqwUqgb7KWzp4DtVksBk/edit?gid=0#gid=0"",""Servers!A:S""),19,FALSE), ""Not Running"")"),"DUSHYANT")</f>
        <v>DUSHYANT</v>
      </c>
      <c r="W222" s="47" t="str">
        <f>VLOOKUP($A222,Category!$A:$E,4,0)</f>
        <v>MS</v>
      </c>
      <c r="X222" s="47" t="str">
        <f>VLOOKUP($A222,Category!$A:$E,5,0)</f>
        <v>MSN</v>
      </c>
      <c r="Y222" s="18" t="str">
        <f>VLOOKUP(A222,PAcc!$A$1:$J$27,10,0)</f>
        <v>#N/A</v>
      </c>
      <c r="Z222" s="42" t="b">
        <f t="shared" si="4"/>
        <v>0</v>
      </c>
      <c r="AA222" s="50">
        <v>0.4</v>
      </c>
      <c r="AB222" s="42" t="str">
        <f>VLOOKUP(A222,VlookupSheet!$A$383:$A$523,1,0)</f>
        <v>#N/A</v>
      </c>
      <c r="AC222" s="50">
        <v>0.01</v>
      </c>
      <c r="AD222" s="42">
        <f t="shared" si="32"/>
        <v>5014731.2</v>
      </c>
      <c r="AE222" s="42">
        <f t="shared" si="33"/>
        <v>60000</v>
      </c>
      <c r="AF222" s="123">
        <f t="shared" si="34"/>
        <v>0</v>
      </c>
    </row>
    <row r="223">
      <c r="A223" s="30" t="s">
        <v>1295</v>
      </c>
      <c r="B223" s="84" t="s">
        <v>1296</v>
      </c>
      <c r="C223" s="30" t="s">
        <v>320</v>
      </c>
      <c r="D223" s="11">
        <f t="shared" si="30"/>
        <v>0.8</v>
      </c>
      <c r="E223" s="11">
        <f t="shared" si="31"/>
        <v>64000</v>
      </c>
      <c r="F223" s="30" t="s">
        <v>311</v>
      </c>
      <c r="G223" s="11" t="s">
        <v>1249</v>
      </c>
      <c r="H223" s="31">
        <v>80000.0</v>
      </c>
      <c r="I223" s="74" t="s">
        <v>83</v>
      </c>
      <c r="J223" s="85" t="s">
        <v>1018</v>
      </c>
      <c r="K223" s="38">
        <f t="shared" si="17"/>
        <v>0.8</v>
      </c>
      <c r="L223" s="18" t="s">
        <v>910</v>
      </c>
      <c r="M223" s="18" t="s">
        <v>736</v>
      </c>
      <c r="N223" s="74"/>
      <c r="O223" s="74"/>
      <c r="P223" s="74"/>
      <c r="Q223" s="42" t="str">
        <f>iferror(VLOOKUP(A223,'Positional cal'!A:H,1,0)=A223,"FALSE")</f>
        <v>FALSE</v>
      </c>
      <c r="R223" s="43" t="b">
        <f t="shared" si="3"/>
        <v>0</v>
      </c>
      <c r="S223" s="46">
        <f>IFERROR(VLOOKUP($A223,AlgoUi!$A:$X,21,0),"NA")</f>
        <v>20383680</v>
      </c>
      <c r="T223" s="46">
        <f>IFERROR(VLOOKUP($A223,AlgoUi!$A:$X,23,0),"")</f>
        <v>20000000</v>
      </c>
      <c r="U223" s="46">
        <f>IFERROR(VLOOKUP($A223,AlgoUi!$A:$X,24,0),"")</f>
        <v>160000</v>
      </c>
      <c r="V223" s="42" t="str">
        <f>IFERROR(__xludf.DUMMYFUNCTION("IFERROR(VLOOKUP(I223,IMPORTRANGE(""https://docs.google.com/spreadsheets/d/17FOIUYQAjPk1pPQIlvOgqYDBqwUqgb7KWzp4DtVksBk/edit?gid=0#gid=0"",""Servers!A:S""),19,FALSE), ""Not Running"")"),"DUSHYANT")</f>
        <v>DUSHYANT</v>
      </c>
      <c r="W223" s="47" t="str">
        <f>VLOOKUP($A223,Category!$A:$E,4,0)</f>
        <v>MS</v>
      </c>
      <c r="X223" s="47" t="str">
        <f>VLOOKUP($A223,Category!$A:$E,5,0)</f>
        <v>MSP</v>
      </c>
      <c r="Y223" s="18" t="str">
        <f>VLOOKUP(A223,PAcc!$A$1:$J$27,10,0)</f>
        <v>#N/A</v>
      </c>
      <c r="Z223" s="42" t="b">
        <f t="shared" si="4"/>
        <v>0</v>
      </c>
      <c r="AA223" s="50">
        <v>0.4</v>
      </c>
      <c r="AB223" s="42" t="str">
        <f>VLOOKUP(A223,VlookupSheet!$A$383:$A$523,1,0)</f>
        <v>#N/A</v>
      </c>
      <c r="AC223" s="50">
        <v>0.01</v>
      </c>
      <c r="AD223" s="42">
        <f t="shared" si="32"/>
        <v>8153472</v>
      </c>
      <c r="AE223" s="42">
        <f t="shared" si="33"/>
        <v>80000</v>
      </c>
      <c r="AF223" s="123">
        <f t="shared" si="34"/>
        <v>0</v>
      </c>
    </row>
    <row r="224">
      <c r="A224" s="11" t="s">
        <v>445</v>
      </c>
      <c r="B224" s="84" t="s">
        <v>1309</v>
      </c>
      <c r="C224" s="25"/>
      <c r="D224" s="11">
        <f t="shared" si="30"/>
        <v>0.8</v>
      </c>
      <c r="E224" s="11">
        <f t="shared" si="31"/>
        <v>48000</v>
      </c>
      <c r="F224" s="30" t="s">
        <v>965</v>
      </c>
      <c r="G224" s="11" t="s">
        <v>1219</v>
      </c>
      <c r="H224" s="31">
        <v>60000.0</v>
      </c>
      <c r="I224" s="74" t="s">
        <v>83</v>
      </c>
      <c r="J224" s="25" t="s">
        <v>1018</v>
      </c>
      <c r="K224" s="38">
        <f t="shared" si="17"/>
        <v>0.8</v>
      </c>
      <c r="L224" s="18" t="s">
        <v>910</v>
      </c>
      <c r="M224" s="18" t="s">
        <v>736</v>
      </c>
      <c r="N224" s="42"/>
      <c r="O224" s="42"/>
      <c r="P224" s="42"/>
      <c r="Q224" s="42" t="str">
        <f>iferror(VLOOKUP(A224,'Positional cal'!A:H,1,0)=A224,"FALSE")</f>
        <v>FALSE</v>
      </c>
      <c r="R224" s="43" t="b">
        <f t="shared" si="3"/>
        <v>0</v>
      </c>
      <c r="S224" s="46">
        <f>IFERROR(VLOOKUP($A224,AlgoUi!$A:$X,21,0),"NA")</f>
        <v>13441689</v>
      </c>
      <c r="T224" s="46">
        <f>IFERROR(VLOOKUP($A224,AlgoUi!$A:$X,23,0),"")</f>
        <v>14000000</v>
      </c>
      <c r="U224" s="46">
        <f>IFERROR(VLOOKUP($A224,AlgoUi!$A:$X,24,0),"")</f>
        <v>112000</v>
      </c>
      <c r="V224" s="42" t="str">
        <f>IFERROR(__xludf.DUMMYFUNCTION("IFERROR(VLOOKUP(I224,IMPORTRANGE(""https://docs.google.com/spreadsheets/d/17FOIUYQAjPk1pPQIlvOgqYDBqwUqgb7KWzp4DtVksBk/edit?gid=0#gid=0"",""Servers!A:S""),19,FALSE), ""Not Running"")"),"DUSHYANT")</f>
        <v>DUSHYANT</v>
      </c>
      <c r="W224" s="47" t="str">
        <f>VLOOKUP($A224,Category!$A:$E,4,0)</f>
        <v>MS</v>
      </c>
      <c r="X224" s="47" t="str">
        <f>VLOOKUP($A224,Category!$A:$E,5,0)</f>
        <v>MSP</v>
      </c>
      <c r="Y224" s="18" t="str">
        <f>VLOOKUP(A224,PAcc!$A$1:$J$27,10,0)</f>
        <v>#N/A</v>
      </c>
      <c r="Z224" s="42" t="b">
        <f t="shared" si="4"/>
        <v>0</v>
      </c>
      <c r="AA224" s="50">
        <v>0.4</v>
      </c>
      <c r="AB224" s="42" t="str">
        <f>VLOOKUP(A224,VlookupSheet!$A$383:$A$523,1,0)</f>
        <v>#N/A</v>
      </c>
      <c r="AC224" s="50">
        <v>0.01</v>
      </c>
      <c r="AD224" s="42">
        <f t="shared" si="32"/>
        <v>5376675.6</v>
      </c>
      <c r="AE224" s="42">
        <f t="shared" si="33"/>
        <v>60000</v>
      </c>
      <c r="AF224" s="123">
        <f t="shared" si="34"/>
        <v>0</v>
      </c>
    </row>
    <row r="225">
      <c r="A225" s="11" t="s">
        <v>424</v>
      </c>
      <c r="B225" s="84" t="s">
        <v>1326</v>
      </c>
      <c r="C225" s="25"/>
      <c r="D225" s="11">
        <f t="shared" si="30"/>
        <v>0.8</v>
      </c>
      <c r="E225" s="11">
        <f t="shared" si="31"/>
        <v>64000</v>
      </c>
      <c r="F225" s="30" t="s">
        <v>311</v>
      </c>
      <c r="G225" s="11" t="s">
        <v>1249</v>
      </c>
      <c r="H225" s="31">
        <v>80000.0</v>
      </c>
      <c r="I225" s="74" t="s">
        <v>83</v>
      </c>
      <c r="J225" s="25" t="s">
        <v>1018</v>
      </c>
      <c r="K225" s="38">
        <f t="shared" si="17"/>
        <v>0.8</v>
      </c>
      <c r="L225" s="18" t="s">
        <v>910</v>
      </c>
      <c r="M225" s="18" t="s">
        <v>736</v>
      </c>
      <c r="N225" s="42"/>
      <c r="O225" s="42"/>
      <c r="P225" s="42"/>
      <c r="Q225" s="42" t="str">
        <f>iferror(VLOOKUP(A225,'Positional cal'!A:H,1,0)=A225,"FALSE")</f>
        <v>FALSE</v>
      </c>
      <c r="R225" s="43" t="b">
        <f t="shared" si="3"/>
        <v>0</v>
      </c>
      <c r="S225" s="46">
        <f>IFERROR(VLOOKUP($A225,AlgoUi!$A:$X,21,0),"NA")</f>
        <v>21097801</v>
      </c>
      <c r="T225" s="46">
        <f>IFERROR(VLOOKUP($A225,AlgoUi!$A:$X,23,0),"")</f>
        <v>22000000</v>
      </c>
      <c r="U225" s="46">
        <f>IFERROR(VLOOKUP($A225,AlgoUi!$A:$X,24,0),"")</f>
        <v>176000</v>
      </c>
      <c r="V225" s="42" t="str">
        <f>IFERROR(__xludf.DUMMYFUNCTION("IFERROR(VLOOKUP(I225,IMPORTRANGE(""https://docs.google.com/spreadsheets/d/17FOIUYQAjPk1pPQIlvOgqYDBqwUqgb7KWzp4DtVksBk/edit?gid=0#gid=0"",""Servers!A:S""),19,FALSE), ""Not Running"")"),"DUSHYANT")</f>
        <v>DUSHYANT</v>
      </c>
      <c r="W225" s="47" t="str">
        <f>VLOOKUP($A225,Category!$A:$E,4,0)</f>
        <v>MS</v>
      </c>
      <c r="X225" s="47" t="str">
        <f>VLOOKUP($A225,Category!$A:$E,5,0)</f>
        <v>MSR</v>
      </c>
      <c r="Y225" s="18" t="str">
        <f>VLOOKUP(A225,PAcc!$A$1:$J$27,10,0)</f>
        <v>#N/A</v>
      </c>
      <c r="Z225" s="42" t="b">
        <f t="shared" si="4"/>
        <v>0</v>
      </c>
      <c r="AA225" s="50">
        <v>0.4</v>
      </c>
      <c r="AB225" s="42" t="str">
        <f>VLOOKUP(A225,VlookupSheet!$A$383:$A$523,1,0)</f>
        <v>#N/A</v>
      </c>
      <c r="AC225" s="50">
        <v>0.01</v>
      </c>
      <c r="AD225" s="42">
        <f t="shared" si="32"/>
        <v>8439120.4</v>
      </c>
      <c r="AE225" s="42">
        <f t="shared" si="33"/>
        <v>80000</v>
      </c>
      <c r="AF225" s="123">
        <f t="shared" si="34"/>
        <v>0</v>
      </c>
    </row>
    <row r="226">
      <c r="A226" s="30" t="s">
        <v>558</v>
      </c>
      <c r="B226" s="84" t="s">
        <v>1338</v>
      </c>
      <c r="C226" s="85"/>
      <c r="D226" s="11">
        <f t="shared" si="30"/>
        <v>0.8</v>
      </c>
      <c r="E226" s="11">
        <f t="shared" si="31"/>
        <v>64000</v>
      </c>
      <c r="F226" s="30" t="s">
        <v>311</v>
      </c>
      <c r="G226" s="11" t="s">
        <v>1249</v>
      </c>
      <c r="H226" s="31">
        <v>80000.0</v>
      </c>
      <c r="I226" s="74" t="s">
        <v>83</v>
      </c>
      <c r="J226" s="25" t="s">
        <v>1018</v>
      </c>
      <c r="K226" s="38">
        <f t="shared" si="17"/>
        <v>0.8</v>
      </c>
      <c r="L226" s="18" t="s">
        <v>910</v>
      </c>
      <c r="M226" s="18" t="s">
        <v>736</v>
      </c>
      <c r="N226" s="74"/>
      <c r="O226" s="74"/>
      <c r="P226" s="74"/>
      <c r="Q226" s="42" t="str">
        <f>iferror(VLOOKUP(A226,'Positional cal'!A:H,1,0)=A226,"FALSE")</f>
        <v>FALSE</v>
      </c>
      <c r="R226" s="43" t="b">
        <f t="shared" si="3"/>
        <v>0</v>
      </c>
      <c r="S226" s="46">
        <f>IFERROR(VLOOKUP($A226,AlgoUi!$A:$X,21,0),"NA")</f>
        <v>17974092</v>
      </c>
      <c r="T226" s="46">
        <f>IFERROR(VLOOKUP($A226,AlgoUi!$A:$X,23,0),"")</f>
        <v>18000000</v>
      </c>
      <c r="U226" s="46">
        <f>IFERROR(VLOOKUP($A226,AlgoUi!$A:$X,24,0),"")</f>
        <v>144000</v>
      </c>
      <c r="V226" s="42" t="str">
        <f>IFERROR(__xludf.DUMMYFUNCTION("IFERROR(VLOOKUP(I226,IMPORTRANGE(""https://docs.google.com/spreadsheets/d/17FOIUYQAjPk1pPQIlvOgqYDBqwUqgb7KWzp4DtVksBk/edit?gid=0#gid=0"",""Servers!A:S""),19,FALSE), ""Not Running"")"),"DUSHYANT")</f>
        <v>DUSHYANT</v>
      </c>
      <c r="W226" s="47" t="str">
        <f>VLOOKUP($A226,Category!$A:$E,4,0)</f>
        <v>MS</v>
      </c>
      <c r="X226" s="47" t="str">
        <f>VLOOKUP($A226,Category!$A:$E,5,0)</f>
        <v>MSR</v>
      </c>
      <c r="Y226" s="18" t="str">
        <f>VLOOKUP(A226,PAcc!$A$1:$J$27,10,0)</f>
        <v>#N/A</v>
      </c>
      <c r="Z226" s="42" t="b">
        <f t="shared" si="4"/>
        <v>0</v>
      </c>
      <c r="AA226" s="50">
        <v>0.4</v>
      </c>
      <c r="AB226" s="42" t="str">
        <f>VLOOKUP(A226,VlookupSheet!$A$383:$A$523,1,0)</f>
        <v>#N/A</v>
      </c>
      <c r="AC226" s="50">
        <v>0.01</v>
      </c>
      <c r="AD226" s="42">
        <f t="shared" si="32"/>
        <v>7189636.8</v>
      </c>
      <c r="AE226" s="42">
        <f t="shared" si="33"/>
        <v>80000</v>
      </c>
      <c r="AF226" s="123">
        <f t="shared" si="34"/>
        <v>0</v>
      </c>
    </row>
    <row r="227">
      <c r="A227" s="30" t="s">
        <v>435</v>
      </c>
      <c r="B227" s="84" t="s">
        <v>1351</v>
      </c>
      <c r="C227" s="85"/>
      <c r="D227" s="11">
        <f t="shared" si="30"/>
        <v>0.8</v>
      </c>
      <c r="E227" s="11">
        <f t="shared" si="31"/>
        <v>64000</v>
      </c>
      <c r="F227" s="30" t="s">
        <v>311</v>
      </c>
      <c r="G227" s="11" t="s">
        <v>1249</v>
      </c>
      <c r="H227" s="31">
        <v>80000.0</v>
      </c>
      <c r="I227" s="74" t="s">
        <v>83</v>
      </c>
      <c r="J227" s="25" t="s">
        <v>1018</v>
      </c>
      <c r="K227" s="38">
        <f t="shared" si="17"/>
        <v>0.8</v>
      </c>
      <c r="L227" s="18" t="s">
        <v>910</v>
      </c>
      <c r="M227" s="18" t="s">
        <v>736</v>
      </c>
      <c r="N227" s="74"/>
      <c r="O227" s="74"/>
      <c r="P227" s="74"/>
      <c r="Q227" s="42" t="str">
        <f>iferror(VLOOKUP(A227,'Positional cal'!A:H,1,0)=A227,"FALSE")</f>
        <v>FALSE</v>
      </c>
      <c r="R227" s="43" t="b">
        <f t="shared" si="3"/>
        <v>0</v>
      </c>
      <c r="S227" s="46">
        <f>IFERROR(VLOOKUP($A227,AlgoUi!$A:$X,21,0),"NA")</f>
        <v>17812493</v>
      </c>
      <c r="T227" s="46">
        <f>IFERROR(VLOOKUP($A227,AlgoUi!$A:$X,23,0),"")</f>
        <v>18000000</v>
      </c>
      <c r="U227" s="46">
        <f>IFERROR(VLOOKUP($A227,AlgoUi!$A:$X,24,0),"")</f>
        <v>144000</v>
      </c>
      <c r="V227" s="42" t="str">
        <f>IFERROR(__xludf.DUMMYFUNCTION("IFERROR(VLOOKUP(I227,IMPORTRANGE(""https://docs.google.com/spreadsheets/d/17FOIUYQAjPk1pPQIlvOgqYDBqwUqgb7KWzp4DtVksBk/edit?gid=0#gid=0"",""Servers!A:S""),19,FALSE), ""Not Running"")"),"DUSHYANT")</f>
        <v>DUSHYANT</v>
      </c>
      <c r="W227" s="47" t="str">
        <f>VLOOKUP($A227,Category!$A:$E,4,0)</f>
        <v>MS</v>
      </c>
      <c r="X227" s="47" t="str">
        <f>VLOOKUP($A227,Category!$A:$E,5,0)</f>
        <v>MSR</v>
      </c>
      <c r="Y227" s="18" t="str">
        <f>VLOOKUP(A227,PAcc!$A$1:$J$27,10,0)</f>
        <v>#N/A</v>
      </c>
      <c r="Z227" s="42" t="b">
        <f t="shared" si="4"/>
        <v>0</v>
      </c>
      <c r="AA227" s="50">
        <v>0.4</v>
      </c>
      <c r="AB227" s="42" t="str">
        <f>VLOOKUP(A227,VlookupSheet!$A$383:$A$523,1,0)</f>
        <v>#N/A</v>
      </c>
      <c r="AC227" s="50">
        <v>0.01</v>
      </c>
      <c r="AD227" s="42">
        <f t="shared" si="32"/>
        <v>7124997.2</v>
      </c>
      <c r="AE227" s="42">
        <f t="shared" si="33"/>
        <v>80000</v>
      </c>
      <c r="AF227" s="123">
        <f t="shared" si="34"/>
        <v>0</v>
      </c>
    </row>
    <row r="228">
      <c r="A228" s="30" t="s">
        <v>486</v>
      </c>
      <c r="B228" s="84" t="s">
        <v>1364</v>
      </c>
      <c r="C228" s="85"/>
      <c r="D228" s="11">
        <f t="shared" si="30"/>
        <v>0.8</v>
      </c>
      <c r="E228" s="11">
        <f t="shared" si="31"/>
        <v>64000</v>
      </c>
      <c r="F228" s="30" t="s">
        <v>311</v>
      </c>
      <c r="G228" s="11" t="s">
        <v>1249</v>
      </c>
      <c r="H228" s="31">
        <v>80000.0</v>
      </c>
      <c r="I228" s="74" t="s">
        <v>83</v>
      </c>
      <c r="J228" s="25" t="s">
        <v>1018</v>
      </c>
      <c r="K228" s="38">
        <f t="shared" si="17"/>
        <v>0.8</v>
      </c>
      <c r="L228" s="18" t="s">
        <v>910</v>
      </c>
      <c r="M228" s="18" t="s">
        <v>736</v>
      </c>
      <c r="N228" s="34"/>
      <c r="O228" s="34"/>
      <c r="P228" s="34"/>
      <c r="Q228" s="42" t="str">
        <f>iferror(VLOOKUP(A228,'Positional cal'!A:H,1,0)=A228,"FALSE")</f>
        <v>FALSE</v>
      </c>
      <c r="R228" s="43" t="b">
        <f t="shared" si="3"/>
        <v>0</v>
      </c>
      <c r="S228" s="46">
        <f>IFERROR(VLOOKUP($A228,AlgoUi!$A:$X,21,0),"NA")</f>
        <v>19560111</v>
      </c>
      <c r="T228" s="46">
        <f>IFERROR(VLOOKUP($A228,AlgoUi!$A:$X,23,0),"")</f>
        <v>20000000</v>
      </c>
      <c r="U228" s="46">
        <f>IFERROR(VLOOKUP($A228,AlgoUi!$A:$X,24,0),"")</f>
        <v>160000</v>
      </c>
      <c r="V228" s="42" t="str">
        <f>IFERROR(__xludf.DUMMYFUNCTION("IFERROR(VLOOKUP(I228,IMPORTRANGE(""https://docs.google.com/spreadsheets/d/17FOIUYQAjPk1pPQIlvOgqYDBqwUqgb7KWzp4DtVksBk/edit?gid=0#gid=0"",""Servers!A:S""),19,FALSE), ""Not Running"")"),"DUSHYANT")</f>
        <v>DUSHYANT</v>
      </c>
      <c r="W228" s="47" t="str">
        <f>VLOOKUP($A228,Category!$A:$E,4,0)</f>
        <v>MS</v>
      </c>
      <c r="X228" s="47" t="str">
        <f>VLOOKUP($A228,Category!$A:$E,5,0)</f>
        <v>MSR</v>
      </c>
      <c r="Y228" s="18" t="str">
        <f>VLOOKUP(A228,PAcc!$A$1:$J$27,10,0)</f>
        <v>#N/A</v>
      </c>
      <c r="Z228" s="42" t="b">
        <f t="shared" si="4"/>
        <v>0</v>
      </c>
      <c r="AA228" s="50">
        <v>0.4</v>
      </c>
      <c r="AB228" s="42" t="str">
        <f>VLOOKUP(A228,VlookupSheet!$A$383:$A$523,1,0)</f>
        <v>#N/A</v>
      </c>
      <c r="AC228" s="50">
        <v>0.01</v>
      </c>
      <c r="AD228" s="42">
        <f t="shared" si="32"/>
        <v>7824044.4</v>
      </c>
      <c r="AE228" s="42">
        <f t="shared" si="33"/>
        <v>80000</v>
      </c>
      <c r="AF228" s="123">
        <f t="shared" si="34"/>
        <v>0</v>
      </c>
    </row>
    <row r="229">
      <c r="A229" s="30" t="s">
        <v>469</v>
      </c>
      <c r="B229" s="84" t="s">
        <v>1372</v>
      </c>
      <c r="C229" s="30" t="s">
        <v>320</v>
      </c>
      <c r="D229" s="11">
        <f t="shared" si="30"/>
        <v>0.8</v>
      </c>
      <c r="E229" s="11">
        <f t="shared" si="31"/>
        <v>32000</v>
      </c>
      <c r="F229" s="30" t="s">
        <v>311</v>
      </c>
      <c r="G229" s="11" t="s">
        <v>1039</v>
      </c>
      <c r="H229" s="31">
        <v>40000.0</v>
      </c>
      <c r="I229" s="74" t="s">
        <v>83</v>
      </c>
      <c r="J229" s="25" t="s">
        <v>1018</v>
      </c>
      <c r="K229" s="38">
        <f t="shared" si="17"/>
        <v>0.8</v>
      </c>
      <c r="L229" s="18" t="s">
        <v>910</v>
      </c>
      <c r="M229" s="18" t="s">
        <v>736</v>
      </c>
      <c r="N229" s="74"/>
      <c r="O229" s="74"/>
      <c r="P229" s="74"/>
      <c r="Q229" s="42" t="str">
        <f>iferror(VLOOKUP(A229,'Positional cal'!A:H,1,0)=A229,"FALSE")</f>
        <v>FALSE</v>
      </c>
      <c r="R229" s="43" t="b">
        <f t="shared" si="3"/>
        <v>0</v>
      </c>
      <c r="S229" s="46">
        <f>IFERROR(VLOOKUP($A229,AlgoUi!$A:$X,21,0),"NA")</f>
        <v>10233909</v>
      </c>
      <c r="T229" s="46">
        <f>IFERROR(VLOOKUP($A229,AlgoUi!$A:$X,23,0),"")</f>
        <v>10000000</v>
      </c>
      <c r="U229" s="46">
        <f>IFERROR(VLOOKUP($A229,AlgoUi!$A:$X,24,0),"")</f>
        <v>80000</v>
      </c>
      <c r="V229" s="42" t="str">
        <f>IFERROR(__xludf.DUMMYFUNCTION("IFERROR(VLOOKUP(I229,IMPORTRANGE(""https://docs.google.com/spreadsheets/d/17FOIUYQAjPk1pPQIlvOgqYDBqwUqgb7KWzp4DtVksBk/edit?gid=0#gid=0"",""Servers!A:S""),19,FALSE), ""Not Running"")"),"DUSHYANT")</f>
        <v>DUSHYANT</v>
      </c>
      <c r="W229" s="47" t="str">
        <f>VLOOKUP($A229,Category!$A:$E,4,0)</f>
        <v>MS</v>
      </c>
      <c r="X229" s="47" t="str">
        <f>VLOOKUP($A229,Category!$A:$E,5,0)</f>
        <v>MSR</v>
      </c>
      <c r="Y229" s="18" t="str">
        <f>VLOOKUP(A229,PAcc!$A$1:$J$27,10,0)</f>
        <v>#N/A</v>
      </c>
      <c r="Z229" s="42" t="b">
        <f t="shared" si="4"/>
        <v>0</v>
      </c>
      <c r="AA229" s="50">
        <v>0.4</v>
      </c>
      <c r="AB229" s="42" t="str">
        <f>VLOOKUP(A229,VlookupSheet!$A$383:$A$523,1,0)</f>
        <v>#N/A</v>
      </c>
      <c r="AC229" s="50">
        <v>0.01</v>
      </c>
      <c r="AD229" s="42">
        <f t="shared" si="32"/>
        <v>4093563.6</v>
      </c>
      <c r="AE229" s="42">
        <f t="shared" si="33"/>
        <v>40000</v>
      </c>
      <c r="AF229" s="123">
        <f t="shared" si="34"/>
        <v>0</v>
      </c>
    </row>
    <row r="230">
      <c r="A230" s="84" t="s">
        <v>508</v>
      </c>
      <c r="B230" s="84" t="s">
        <v>1382</v>
      </c>
      <c r="C230" s="85"/>
      <c r="D230" s="11">
        <f t="shared" si="30"/>
        <v>0.8</v>
      </c>
      <c r="E230" s="11">
        <f t="shared" si="31"/>
        <v>48000</v>
      </c>
      <c r="F230" s="30" t="s">
        <v>311</v>
      </c>
      <c r="G230" s="11" t="s">
        <v>1219</v>
      </c>
      <c r="H230" s="31">
        <v>60000.0</v>
      </c>
      <c r="I230" s="74" t="s">
        <v>83</v>
      </c>
      <c r="J230" s="25" t="s">
        <v>1018</v>
      </c>
      <c r="K230" s="38">
        <f t="shared" si="17"/>
        <v>0.8</v>
      </c>
      <c r="L230" s="18" t="s">
        <v>910</v>
      </c>
      <c r="M230" s="18" t="s">
        <v>736</v>
      </c>
      <c r="N230" s="74"/>
      <c r="O230" s="74"/>
      <c r="P230" s="74"/>
      <c r="Q230" s="42" t="str">
        <f>iferror(VLOOKUP(A230,'Positional cal'!A:H,1,0)=A230,"FALSE")</f>
        <v>FALSE</v>
      </c>
      <c r="R230" s="43" t="b">
        <f t="shared" si="3"/>
        <v>0</v>
      </c>
      <c r="S230" s="46">
        <f>IFERROR(VLOOKUP($A230,AlgoUi!$A:$X,21,0),"NA")</f>
        <v>12602651</v>
      </c>
      <c r="T230" s="46">
        <f>IFERROR(VLOOKUP($A230,AlgoUi!$A:$X,23,0),"")</f>
        <v>12000000</v>
      </c>
      <c r="U230" s="46">
        <f>IFERROR(VLOOKUP($A230,AlgoUi!$A:$X,24,0),"")</f>
        <v>96000</v>
      </c>
      <c r="V230" s="42" t="str">
        <f>IFERROR(__xludf.DUMMYFUNCTION("IFERROR(VLOOKUP(I230,IMPORTRANGE(""https://docs.google.com/spreadsheets/d/17FOIUYQAjPk1pPQIlvOgqYDBqwUqgb7KWzp4DtVksBk/edit?gid=0#gid=0"",""Servers!A:S""),19,FALSE), ""Not Running"")"),"DUSHYANT")</f>
        <v>DUSHYANT</v>
      </c>
      <c r="W230" s="47" t="str">
        <f>VLOOKUP($A230,Category!$A:$E,4,0)</f>
        <v>MS</v>
      </c>
      <c r="X230" s="47" t="str">
        <f>VLOOKUP($A230,Category!$A:$E,5,0)</f>
        <v>MSR</v>
      </c>
      <c r="Y230" s="18" t="str">
        <f>VLOOKUP(A230,PAcc!$A$1:$J$27,10,0)</f>
        <v>#N/A</v>
      </c>
      <c r="Z230" s="42" t="b">
        <f t="shared" si="4"/>
        <v>0</v>
      </c>
      <c r="AA230" s="50">
        <v>0.4</v>
      </c>
      <c r="AB230" s="42" t="str">
        <f>VLOOKUP(A230,VlookupSheet!$A$383:$A$523,1,0)</f>
        <v>#N/A</v>
      </c>
      <c r="AC230" s="50">
        <v>0.01</v>
      </c>
      <c r="AD230" s="42">
        <f t="shared" si="32"/>
        <v>5041060.4</v>
      </c>
      <c r="AE230" s="42">
        <f t="shared" si="33"/>
        <v>60000</v>
      </c>
      <c r="AF230" s="123">
        <f t="shared" si="34"/>
        <v>0</v>
      </c>
    </row>
    <row r="231">
      <c r="A231" s="11" t="s">
        <v>120</v>
      </c>
      <c r="B231" s="24" t="s">
        <v>792</v>
      </c>
      <c r="C231" s="25"/>
      <c r="D231" s="11" t="s">
        <v>1389</v>
      </c>
      <c r="E231" s="11">
        <f>H231*D231</f>
        <v>180000</v>
      </c>
      <c r="F231" s="11" t="s">
        <v>1391</v>
      </c>
      <c r="G231" s="31">
        <f>iferror(VLOOKUP(A231,'Positional cal'!A:H,8,0),"Not_positional")</f>
        <v>139828.4</v>
      </c>
      <c r="H231" s="31">
        <f>iferror(VLOOKUP(A231,'Positional cal'!A:H,4,0),"Not_positional")</f>
        <v>100000</v>
      </c>
      <c r="I231" s="42" t="s">
        <v>83</v>
      </c>
      <c r="J231" s="25" t="s">
        <v>1018</v>
      </c>
      <c r="K231" s="38">
        <f t="shared" si="17"/>
        <v>1.398284</v>
      </c>
      <c r="L231" s="18" t="s">
        <v>1068</v>
      </c>
      <c r="M231" s="18" t="s">
        <v>1077</v>
      </c>
      <c r="N231" s="18"/>
      <c r="O231" s="18"/>
      <c r="P231" s="18" t="s">
        <v>1396</v>
      </c>
      <c r="Q231" s="42" t="b">
        <f>iferror(VLOOKUP(A231,'Positional cal'!A:H,1,0)=A231,"FALSE")</f>
        <v>1</v>
      </c>
      <c r="R231" s="43" t="b">
        <f t="shared" si="3"/>
        <v>0</v>
      </c>
      <c r="S231" s="46">
        <f>IFERROR(VLOOKUP($A231,AlgoUi!$A:$X,21,0),"NA")</f>
        <v>1000000000</v>
      </c>
      <c r="T231" s="46">
        <f>IFERROR(VLOOKUP($A231,AlgoUi!$A:$X,23,0),"")</f>
        <v>1000000000</v>
      </c>
      <c r="U231" s="46">
        <f>IFERROR(VLOOKUP($A231,AlgoUi!$A:$X,24,0),"")</f>
        <v>8000000</v>
      </c>
      <c r="V231" s="42" t="str">
        <f>IFERROR(__xludf.DUMMYFUNCTION("IFERROR(VLOOKUP(I231,IMPORTRANGE(""https://docs.google.com/spreadsheets/d/17FOIUYQAjPk1pPQIlvOgqYDBqwUqgb7KWzp4DtVksBk/edit?gid=0#gid=0"",""Servers!A:S""),19,FALSE), ""Not Running"")"),"DUSHYANT")</f>
        <v>DUSHYANT</v>
      </c>
      <c r="W231" s="47" t="str">
        <f>VLOOKUP($A231,Category!$A:$E,4,0)</f>
        <v>MS</v>
      </c>
      <c r="X231" s="47" t="str">
        <f>VLOOKUP($A231,Category!$A:$E,5,0)</f>
        <v>MSJ</v>
      </c>
      <c r="Y231" s="18" t="str">
        <f>VLOOKUP(A231,PAcc!$A$1:$J$27,10,0)</f>
        <v>#N/A</v>
      </c>
      <c r="Z231" s="42" t="b">
        <f t="shared" si="4"/>
        <v>0</v>
      </c>
      <c r="AA231" s="50">
        <v>0.5</v>
      </c>
      <c r="AB231" s="25" t="str">
        <f>VLOOKUP(A231,VlookupSheet!$A$383:$A$523,1,0)</f>
        <v>ZZJ17223</v>
      </c>
      <c r="AC231" s="50">
        <v>0.01</v>
      </c>
      <c r="AD231" s="42">
        <f t="shared" si="32"/>
        <v>500000000</v>
      </c>
      <c r="AE231" s="42">
        <f t="shared" si="33"/>
        <v>5000000</v>
      </c>
      <c r="AF231" s="123">
        <f t="shared" si="34"/>
        <v>4900000</v>
      </c>
    </row>
    <row r="232">
      <c r="A232" s="30" t="s">
        <v>518</v>
      </c>
      <c r="B232" s="84" t="s">
        <v>1407</v>
      </c>
      <c r="C232" s="30" t="s">
        <v>320</v>
      </c>
      <c r="D232" s="11">
        <f t="shared" ref="D232:D240" si="35">IF(J232="7",0.8,1)</f>
        <v>0.8</v>
      </c>
      <c r="E232" s="11">
        <f t="shared" ref="E232:E240" si="36">D232*H232</f>
        <v>32000</v>
      </c>
      <c r="F232" s="30" t="s">
        <v>311</v>
      </c>
      <c r="G232" s="11" t="s">
        <v>1039</v>
      </c>
      <c r="H232" s="31">
        <v>40000.0</v>
      </c>
      <c r="I232" s="74" t="s">
        <v>83</v>
      </c>
      <c r="J232" s="25" t="s">
        <v>1018</v>
      </c>
      <c r="K232" s="38">
        <f t="shared" si="17"/>
        <v>0.8</v>
      </c>
      <c r="L232" s="18" t="s">
        <v>910</v>
      </c>
      <c r="M232" s="18" t="s">
        <v>736</v>
      </c>
      <c r="N232" s="74"/>
      <c r="O232" s="74"/>
      <c r="P232" s="74"/>
      <c r="Q232" s="42" t="str">
        <f>iferror(VLOOKUP(A232,'Positional cal'!A:H,1,0)=A232,"FALSE")</f>
        <v>FALSE</v>
      </c>
      <c r="R232" s="43" t="b">
        <f t="shared" si="3"/>
        <v>0</v>
      </c>
      <c r="S232" s="46">
        <f>IFERROR(VLOOKUP($A232,AlgoUi!$A:$X,21,0),"NA")</f>
        <v>11661821</v>
      </c>
      <c r="T232" s="46">
        <f>IFERROR(VLOOKUP($A232,AlgoUi!$A:$X,23,0),"")</f>
        <v>12000000</v>
      </c>
      <c r="U232" s="46">
        <f>IFERROR(VLOOKUP($A232,AlgoUi!$A:$X,24,0),"")</f>
        <v>96000</v>
      </c>
      <c r="V232" s="42" t="str">
        <f>IFERROR(__xludf.DUMMYFUNCTION("IFERROR(VLOOKUP(I232,IMPORTRANGE(""https://docs.google.com/spreadsheets/d/17FOIUYQAjPk1pPQIlvOgqYDBqwUqgb7KWzp4DtVksBk/edit?gid=0#gid=0"",""Servers!A:S""),19,FALSE), ""Not Running"")"),"DUSHYANT")</f>
        <v>DUSHYANT</v>
      </c>
      <c r="W232" s="47" t="str">
        <f>VLOOKUP($A232,Category!$A:$E,4,0)</f>
        <v>MS</v>
      </c>
      <c r="X232" s="47" t="str">
        <f>VLOOKUP($A232,Category!$A:$E,5,0)</f>
        <v>MSR</v>
      </c>
      <c r="Y232" s="18" t="str">
        <f>VLOOKUP(A232,PAcc!$A$1:$J$27,10,0)</f>
        <v>#N/A</v>
      </c>
      <c r="Z232" s="42" t="b">
        <f t="shared" si="4"/>
        <v>0</v>
      </c>
      <c r="AA232" s="50">
        <v>0.4</v>
      </c>
      <c r="AB232" s="42" t="str">
        <f>VLOOKUP(A232,VlookupSheet!$A$383:$A$523,1,0)</f>
        <v>#N/A</v>
      </c>
      <c r="AC232" s="50">
        <v>0.01</v>
      </c>
      <c r="AD232" s="42">
        <f t="shared" si="32"/>
        <v>4664728.4</v>
      </c>
      <c r="AE232" s="42">
        <f t="shared" si="33"/>
        <v>40000</v>
      </c>
      <c r="AF232" s="123">
        <f t="shared" si="34"/>
        <v>0</v>
      </c>
    </row>
    <row r="233">
      <c r="A233" s="11" t="s">
        <v>121</v>
      </c>
      <c r="B233" s="24" t="s">
        <v>1421</v>
      </c>
      <c r="C233" s="25"/>
      <c r="D233" s="11">
        <f t="shared" si="35"/>
        <v>0.8</v>
      </c>
      <c r="E233" s="11">
        <f t="shared" si="36"/>
        <v>32000</v>
      </c>
      <c r="F233" s="30" t="s">
        <v>311</v>
      </c>
      <c r="G233" s="11">
        <v>32000.0</v>
      </c>
      <c r="H233" s="31">
        <v>40000.0</v>
      </c>
      <c r="I233" s="18" t="s">
        <v>83</v>
      </c>
      <c r="J233" s="11" t="s">
        <v>1018</v>
      </c>
      <c r="K233" s="38">
        <f t="shared" si="17"/>
        <v>0.8</v>
      </c>
      <c r="L233" s="18" t="s">
        <v>910</v>
      </c>
      <c r="M233" s="18" t="s">
        <v>736</v>
      </c>
      <c r="N233" s="42"/>
      <c r="O233" s="42"/>
      <c r="P233" s="42"/>
      <c r="Q233" s="42" t="str">
        <f>iferror(VLOOKUP(A233,'Positional cal'!A:H,1,0)=A233,"FALSE")</f>
        <v>FALSE</v>
      </c>
      <c r="R233" s="43" t="b">
        <f t="shared" si="3"/>
        <v>0</v>
      </c>
      <c r="S233" s="46">
        <f>IFERROR(VLOOKUP($A233,AlgoUi!$A:$X,21,0),"NA")</f>
        <v>10771598</v>
      </c>
      <c r="T233" s="46">
        <f>IFERROR(VLOOKUP($A233,AlgoUi!$A:$X,23,0),"")</f>
        <v>10000000</v>
      </c>
      <c r="U233" s="46">
        <f>IFERROR(VLOOKUP($A233,AlgoUi!$A:$X,24,0),"")</f>
        <v>80000</v>
      </c>
      <c r="V233" s="42" t="str">
        <f>IFERROR(__xludf.DUMMYFUNCTION("IFERROR(VLOOKUP(I233,IMPORTRANGE(""https://docs.google.com/spreadsheets/d/17FOIUYQAjPk1pPQIlvOgqYDBqwUqgb7KWzp4DtVksBk/edit?gid=0#gid=0"",""Servers!A:S""),19,FALSE), ""Not Running"")"),"DUSHYANT")</f>
        <v>DUSHYANT</v>
      </c>
      <c r="W233" s="47" t="str">
        <f>VLOOKUP($A233,Category!$A:$E,4,0)</f>
        <v>MS</v>
      </c>
      <c r="X233" s="47" t="str">
        <f>VLOOKUP($A233,Category!$A:$E,5,0)</f>
        <v>MSR</v>
      </c>
      <c r="Y233" s="18" t="str">
        <f>VLOOKUP(A233,PAcc!$A$1:$J$27,10,0)</f>
        <v>#N/A</v>
      </c>
      <c r="Z233" s="42" t="b">
        <f t="shared" si="4"/>
        <v>0</v>
      </c>
      <c r="AA233" s="50">
        <v>0.4</v>
      </c>
      <c r="AB233" s="42" t="str">
        <f>VLOOKUP(A233,VlookupSheet!$A$383:$A$523,1,0)</f>
        <v>#N/A</v>
      </c>
      <c r="AC233" s="50">
        <v>0.01</v>
      </c>
      <c r="AD233" s="42">
        <f t="shared" si="32"/>
        <v>4308639.2</v>
      </c>
      <c r="AE233" s="42">
        <f t="shared" si="33"/>
        <v>40000</v>
      </c>
      <c r="AF233" s="123">
        <f t="shared" si="34"/>
        <v>0</v>
      </c>
    </row>
    <row r="234">
      <c r="A234" s="30" t="s">
        <v>379</v>
      </c>
      <c r="B234" s="84" t="s">
        <v>1434</v>
      </c>
      <c r="C234" s="85"/>
      <c r="D234" s="11">
        <f t="shared" si="35"/>
        <v>0.8</v>
      </c>
      <c r="E234" s="11">
        <f t="shared" si="36"/>
        <v>32000</v>
      </c>
      <c r="F234" s="30" t="s">
        <v>311</v>
      </c>
      <c r="G234" s="11" t="s">
        <v>1039</v>
      </c>
      <c r="H234" s="31">
        <v>40000.0</v>
      </c>
      <c r="I234" s="34" t="s">
        <v>83</v>
      </c>
      <c r="J234" s="11" t="s">
        <v>1018</v>
      </c>
      <c r="K234" s="38">
        <f t="shared" si="17"/>
        <v>0.8</v>
      </c>
      <c r="L234" s="18" t="s">
        <v>910</v>
      </c>
      <c r="M234" s="18" t="s">
        <v>736</v>
      </c>
      <c r="N234" s="74"/>
      <c r="O234" s="74"/>
      <c r="P234" s="74"/>
      <c r="Q234" s="42" t="str">
        <f>iferror(VLOOKUP(A234,'Positional cal'!A:H,1,0)=A234,"FALSE")</f>
        <v>FALSE</v>
      </c>
      <c r="R234" s="43" t="b">
        <f t="shared" si="3"/>
        <v>0</v>
      </c>
      <c r="S234" s="46">
        <f>IFERROR(VLOOKUP($A234,AlgoUi!$A:$X,21,0),"NA")</f>
        <v>10934726</v>
      </c>
      <c r="T234" s="46">
        <f>IFERROR(VLOOKUP($A234,AlgoUi!$A:$X,23,0),"")</f>
        <v>10000000</v>
      </c>
      <c r="U234" s="46">
        <f>IFERROR(VLOOKUP($A234,AlgoUi!$A:$X,24,0),"")</f>
        <v>80000</v>
      </c>
      <c r="V234" s="42" t="str">
        <f>IFERROR(__xludf.DUMMYFUNCTION("IFERROR(VLOOKUP(I234,IMPORTRANGE(""https://docs.google.com/spreadsheets/d/17FOIUYQAjPk1pPQIlvOgqYDBqwUqgb7KWzp4DtVksBk/edit?gid=0#gid=0"",""Servers!A:S""),19,FALSE), ""Not Running"")"),"DUSHYANT")</f>
        <v>DUSHYANT</v>
      </c>
      <c r="W234" s="47" t="str">
        <f>VLOOKUP($A234,Category!$A:$E,4,0)</f>
        <v>MS</v>
      </c>
      <c r="X234" s="47" t="str">
        <f>VLOOKUP($A234,Category!$A:$E,5,0)</f>
        <v>MSR</v>
      </c>
      <c r="Y234" s="18" t="str">
        <f>VLOOKUP(A234,PAcc!$A$1:$J$27,10,0)</f>
        <v>#N/A</v>
      </c>
      <c r="Z234" s="42" t="b">
        <f t="shared" si="4"/>
        <v>0</v>
      </c>
      <c r="AA234" s="50">
        <v>0.4</v>
      </c>
      <c r="AB234" s="42" t="str">
        <f>VLOOKUP(A234,VlookupSheet!$A$383:$A$523,1,0)</f>
        <v>#N/A</v>
      </c>
      <c r="AC234" s="50">
        <v>0.01</v>
      </c>
      <c r="AD234" s="42">
        <f t="shared" si="32"/>
        <v>4373890.4</v>
      </c>
      <c r="AE234" s="42">
        <f t="shared" si="33"/>
        <v>40000</v>
      </c>
      <c r="AF234" s="123">
        <f t="shared" si="34"/>
        <v>0</v>
      </c>
    </row>
    <row r="235">
      <c r="A235" s="11" t="s">
        <v>341</v>
      </c>
      <c r="B235" s="24" t="s">
        <v>1447</v>
      </c>
      <c r="C235" s="25"/>
      <c r="D235" s="11">
        <f t="shared" si="35"/>
        <v>0.8</v>
      </c>
      <c r="E235" s="11">
        <f t="shared" si="36"/>
        <v>48000</v>
      </c>
      <c r="F235" s="30" t="s">
        <v>311</v>
      </c>
      <c r="G235" s="11" t="s">
        <v>1219</v>
      </c>
      <c r="H235" s="31">
        <v>60000.0</v>
      </c>
      <c r="I235" s="34" t="s">
        <v>83</v>
      </c>
      <c r="J235" s="11" t="s">
        <v>1018</v>
      </c>
      <c r="K235" s="38">
        <f t="shared" si="17"/>
        <v>0.8</v>
      </c>
      <c r="L235" s="18" t="s">
        <v>910</v>
      </c>
      <c r="M235" s="18" t="s">
        <v>736</v>
      </c>
      <c r="N235" s="42"/>
      <c r="O235" s="42"/>
      <c r="P235" s="42"/>
      <c r="Q235" s="42" t="str">
        <f>iferror(VLOOKUP(A235,'Positional cal'!A:H,1,0)=A235,"FALSE")</f>
        <v>FALSE</v>
      </c>
      <c r="R235" s="43" t="b">
        <f t="shared" si="3"/>
        <v>0</v>
      </c>
      <c r="S235" s="46">
        <f>IFERROR(VLOOKUP($A235,AlgoUi!$A:$X,21,0),"NA")</f>
        <v>15046917</v>
      </c>
      <c r="T235" s="46">
        <f>IFERROR(VLOOKUP($A235,AlgoUi!$A:$X,23,0),"")</f>
        <v>16000000</v>
      </c>
      <c r="U235" s="46">
        <f>IFERROR(VLOOKUP($A235,AlgoUi!$A:$X,24,0),"")</f>
        <v>128000</v>
      </c>
      <c r="V235" s="42" t="str">
        <f>IFERROR(__xludf.DUMMYFUNCTION("IFERROR(VLOOKUP(I235,IMPORTRANGE(""https://docs.google.com/spreadsheets/d/17FOIUYQAjPk1pPQIlvOgqYDBqwUqgb7KWzp4DtVksBk/edit?gid=0#gid=0"",""Servers!A:S""),19,FALSE), ""Not Running"")"),"DUSHYANT")</f>
        <v>DUSHYANT</v>
      </c>
      <c r="W235" s="47" t="str">
        <f>VLOOKUP($A235,Category!$A:$E,4,0)</f>
        <v>MS</v>
      </c>
      <c r="X235" s="47" t="str">
        <f>VLOOKUP($A235,Category!$A:$E,5,0)</f>
        <v>MSR</v>
      </c>
      <c r="Y235" s="18" t="str">
        <f>VLOOKUP(A235,PAcc!$A$1:$J$27,10,0)</f>
        <v>#N/A</v>
      </c>
      <c r="Z235" s="42" t="b">
        <f t="shared" si="4"/>
        <v>0</v>
      </c>
      <c r="AA235" s="50">
        <v>0.4</v>
      </c>
      <c r="AB235" s="42" t="str">
        <f>VLOOKUP(A235,VlookupSheet!$A$383:$A$523,1,0)</f>
        <v>#N/A</v>
      </c>
      <c r="AC235" s="50">
        <v>0.01</v>
      </c>
      <c r="AD235" s="42">
        <f t="shared" si="32"/>
        <v>6018766.8</v>
      </c>
      <c r="AE235" s="42">
        <f t="shared" si="33"/>
        <v>60000</v>
      </c>
      <c r="AF235" s="123">
        <f t="shared" si="34"/>
        <v>0</v>
      </c>
    </row>
    <row r="236">
      <c r="A236" s="30" t="s">
        <v>465</v>
      </c>
      <c r="B236" s="84" t="s">
        <v>1458</v>
      </c>
      <c r="C236" s="85"/>
      <c r="D236" s="11">
        <f t="shared" si="35"/>
        <v>0.8</v>
      </c>
      <c r="E236" s="11">
        <f t="shared" si="36"/>
        <v>48000</v>
      </c>
      <c r="F236" s="30" t="s">
        <v>311</v>
      </c>
      <c r="G236" s="11" t="s">
        <v>1219</v>
      </c>
      <c r="H236" s="31">
        <v>60000.0</v>
      </c>
      <c r="I236" s="34" t="s">
        <v>83</v>
      </c>
      <c r="J236" s="11" t="s">
        <v>1018</v>
      </c>
      <c r="K236" s="38">
        <f t="shared" si="17"/>
        <v>0.8</v>
      </c>
      <c r="L236" s="18" t="s">
        <v>910</v>
      </c>
      <c r="M236" s="18" t="s">
        <v>736</v>
      </c>
      <c r="N236" s="74"/>
      <c r="O236" s="74"/>
      <c r="P236" s="74"/>
      <c r="Q236" s="42" t="str">
        <f>iferror(VLOOKUP(A236,'Positional cal'!A:H,1,0)=A236,"FALSE")</f>
        <v>FALSE</v>
      </c>
      <c r="R236" s="43" t="b">
        <f t="shared" si="3"/>
        <v>0</v>
      </c>
      <c r="S236" s="46">
        <f>IFERROR(VLOOKUP($A236,AlgoUi!$A:$X,21,0),"NA")</f>
        <v>14514938</v>
      </c>
      <c r="T236" s="46">
        <f>IFERROR(VLOOKUP($A236,AlgoUi!$A:$X,23,0),"")</f>
        <v>14000000</v>
      </c>
      <c r="U236" s="46">
        <f>IFERROR(VLOOKUP($A236,AlgoUi!$A:$X,24,0),"")</f>
        <v>112000</v>
      </c>
      <c r="V236" s="42" t="str">
        <f>IFERROR(__xludf.DUMMYFUNCTION("IFERROR(VLOOKUP(I236,IMPORTRANGE(""https://docs.google.com/spreadsheets/d/17FOIUYQAjPk1pPQIlvOgqYDBqwUqgb7KWzp4DtVksBk/edit?gid=0#gid=0"",""Servers!A:S""),19,FALSE), ""Not Running"")"),"DUSHYANT")</f>
        <v>DUSHYANT</v>
      </c>
      <c r="W236" s="47" t="str">
        <f>VLOOKUP($A236,Category!$A:$E,4,0)</f>
        <v>MS</v>
      </c>
      <c r="X236" s="47" t="str">
        <f>VLOOKUP($A236,Category!$A:$E,5,0)</f>
        <v>MSR</v>
      </c>
      <c r="Y236" s="18" t="str">
        <f>VLOOKUP(A236,PAcc!$A$1:$J$27,10,0)</f>
        <v>#N/A</v>
      </c>
      <c r="Z236" s="42" t="b">
        <f t="shared" si="4"/>
        <v>0</v>
      </c>
      <c r="AA236" s="50">
        <v>0.4</v>
      </c>
      <c r="AB236" s="42" t="str">
        <f>VLOOKUP(A236,VlookupSheet!$A$383:$A$523,1,0)</f>
        <v>#N/A</v>
      </c>
      <c r="AC236" s="50">
        <v>0.01</v>
      </c>
      <c r="AD236" s="42">
        <f t="shared" si="32"/>
        <v>5805975.2</v>
      </c>
      <c r="AE236" s="42">
        <f t="shared" si="33"/>
        <v>60000</v>
      </c>
      <c r="AF236" s="123">
        <f t="shared" si="34"/>
        <v>0</v>
      </c>
    </row>
    <row r="237">
      <c r="A237" s="11" t="s">
        <v>1465</v>
      </c>
      <c r="B237" s="24" t="s">
        <v>1466</v>
      </c>
      <c r="C237" s="25"/>
      <c r="D237" s="11">
        <f t="shared" si="35"/>
        <v>0.8</v>
      </c>
      <c r="E237" s="11">
        <f t="shared" si="36"/>
        <v>32000</v>
      </c>
      <c r="F237" s="11" t="s">
        <v>886</v>
      </c>
      <c r="G237" s="11">
        <v>32000.0</v>
      </c>
      <c r="H237" s="31">
        <v>40000.0</v>
      </c>
      <c r="I237" s="11" t="s">
        <v>83</v>
      </c>
      <c r="J237" s="11" t="s">
        <v>1018</v>
      </c>
      <c r="K237" s="38">
        <f t="shared" si="17"/>
        <v>0.8</v>
      </c>
      <c r="L237" s="18" t="s">
        <v>910</v>
      </c>
      <c r="M237" s="18" t="s">
        <v>736</v>
      </c>
      <c r="N237" s="42"/>
      <c r="O237" s="42"/>
      <c r="P237" s="42"/>
      <c r="Q237" s="42" t="str">
        <f>iferror(VLOOKUP(A237,'Positional cal'!A:H,1,0)=A237,"FALSE")</f>
        <v>FALSE</v>
      </c>
      <c r="R237" s="43" t="b">
        <f t="shared" si="3"/>
        <v>0</v>
      </c>
      <c r="S237" s="46">
        <f>IFERROR(VLOOKUP($A237,AlgoUi!$A:$X,21,0),"NA")</f>
        <v>10000000</v>
      </c>
      <c r="T237" s="46">
        <f>IFERROR(VLOOKUP($A237,AlgoUi!$A:$X,23,0),"")</f>
        <v>10000000</v>
      </c>
      <c r="U237" s="46">
        <f>IFERROR(VLOOKUP($A237,AlgoUi!$A:$X,24,0),"")</f>
        <v>80000</v>
      </c>
      <c r="V237" s="42" t="str">
        <f>IFERROR(__xludf.DUMMYFUNCTION("IFERROR(VLOOKUP(I237,IMPORTRANGE(""https://docs.google.com/spreadsheets/d/17FOIUYQAjPk1pPQIlvOgqYDBqwUqgb7KWzp4DtVksBk/edit?gid=0#gid=0"",""Servers!A:S""),19,FALSE), ""Not Running"")"),"DUSHYANT")</f>
        <v>DUSHYANT</v>
      </c>
      <c r="W237" s="47" t="str">
        <f>VLOOKUP($A237,Category!$A:$E,4,0)</f>
        <v>MS</v>
      </c>
      <c r="X237" s="47" t="str">
        <f>VLOOKUP($A237,Category!$A:$E,5,0)</f>
        <v>MSS</v>
      </c>
      <c r="Y237" s="18" t="str">
        <f>VLOOKUP(A237,PAcc!$A$1:$J$27,10,0)</f>
        <v>#N/A</v>
      </c>
      <c r="Z237" s="42" t="b">
        <f t="shared" si="4"/>
        <v>0</v>
      </c>
      <c r="AA237" s="50">
        <v>0.4</v>
      </c>
      <c r="AB237" s="42" t="str">
        <f>VLOOKUP(A237,VlookupSheet!$A$383:$A$523,1,0)</f>
        <v>#N/A</v>
      </c>
      <c r="AC237" s="50">
        <v>0.01</v>
      </c>
      <c r="AD237" s="42">
        <f t="shared" si="32"/>
        <v>4000000</v>
      </c>
      <c r="AE237" s="42">
        <f t="shared" si="33"/>
        <v>40000</v>
      </c>
      <c r="AF237" s="123">
        <f t="shared" si="34"/>
        <v>0</v>
      </c>
    </row>
    <row r="238">
      <c r="A238" s="11" t="s">
        <v>1477</v>
      </c>
      <c r="B238" s="24" t="s">
        <v>1478</v>
      </c>
      <c r="C238" s="25"/>
      <c r="D238" s="11">
        <f t="shared" si="35"/>
        <v>0.8</v>
      </c>
      <c r="E238" s="11">
        <f t="shared" si="36"/>
        <v>32000</v>
      </c>
      <c r="F238" s="11" t="s">
        <v>716</v>
      </c>
      <c r="G238" s="11">
        <v>32000.0</v>
      </c>
      <c r="H238" s="31">
        <v>40000.0</v>
      </c>
      <c r="I238" s="11" t="s">
        <v>83</v>
      </c>
      <c r="J238" s="11" t="s">
        <v>1018</v>
      </c>
      <c r="K238" s="38">
        <f t="shared" si="17"/>
        <v>0.8</v>
      </c>
      <c r="L238" s="18" t="s">
        <v>910</v>
      </c>
      <c r="M238" s="18" t="s">
        <v>736</v>
      </c>
      <c r="N238" s="42"/>
      <c r="O238" s="42"/>
      <c r="P238" s="42"/>
      <c r="Q238" s="42" t="str">
        <f>iferror(VLOOKUP(A238,'Positional cal'!A:H,1,0)=A238,"FALSE")</f>
        <v>FALSE</v>
      </c>
      <c r="R238" s="43" t="b">
        <f t="shared" si="3"/>
        <v>0</v>
      </c>
      <c r="S238" s="46">
        <f>IFERROR(VLOOKUP($A238,AlgoUi!$A:$X,21,0),"NA")</f>
        <v>9139936</v>
      </c>
      <c r="T238" s="46">
        <f>IFERROR(VLOOKUP($A238,AlgoUi!$A:$X,23,0),"")</f>
        <v>10000000</v>
      </c>
      <c r="U238" s="46">
        <f>IFERROR(VLOOKUP($A238,AlgoUi!$A:$X,24,0),"")</f>
        <v>80000</v>
      </c>
      <c r="V238" s="42" t="str">
        <f>IFERROR(__xludf.DUMMYFUNCTION("IFERROR(VLOOKUP(I238,IMPORTRANGE(""https://docs.google.com/spreadsheets/d/17FOIUYQAjPk1pPQIlvOgqYDBqwUqgb7KWzp4DtVksBk/edit?gid=0#gid=0"",""Servers!A:S""),19,FALSE), ""Not Running"")"),"DUSHYANT")</f>
        <v>DUSHYANT</v>
      </c>
      <c r="W238" s="47" t="str">
        <f>VLOOKUP($A238,Category!$A:$E,4,0)</f>
        <v>MS</v>
      </c>
      <c r="X238" s="47" t="str">
        <f>VLOOKUP($A238,Category!$A:$E,5,0)</f>
        <v>MSS</v>
      </c>
      <c r="Y238" s="18" t="str">
        <f>VLOOKUP(A238,PAcc!$A$1:$J$27,10,0)</f>
        <v>#N/A</v>
      </c>
      <c r="Z238" s="42" t="b">
        <f t="shared" si="4"/>
        <v>0</v>
      </c>
      <c r="AA238" s="50">
        <v>0.4</v>
      </c>
      <c r="AB238" s="42" t="str">
        <f>VLOOKUP(A238,VlookupSheet!$A$383:$A$523,1,0)</f>
        <v>#N/A</v>
      </c>
      <c r="AC238" s="50">
        <v>0.01</v>
      </c>
      <c r="AD238" s="42">
        <f t="shared" si="32"/>
        <v>3655974.4</v>
      </c>
      <c r="AE238" s="42">
        <f t="shared" si="33"/>
        <v>40000</v>
      </c>
      <c r="AF238" s="123">
        <f t="shared" si="34"/>
        <v>0</v>
      </c>
    </row>
    <row r="239">
      <c r="A239" s="30" t="s">
        <v>582</v>
      </c>
      <c r="B239" s="84" t="s">
        <v>1487</v>
      </c>
      <c r="C239" s="85"/>
      <c r="D239" s="11">
        <f t="shared" si="35"/>
        <v>0.8</v>
      </c>
      <c r="E239" s="11">
        <f t="shared" si="36"/>
        <v>64000</v>
      </c>
      <c r="F239" s="30" t="s">
        <v>311</v>
      </c>
      <c r="G239" s="11" t="s">
        <v>1249</v>
      </c>
      <c r="H239" s="31">
        <v>80000.0</v>
      </c>
      <c r="I239" s="34" t="s">
        <v>83</v>
      </c>
      <c r="J239" s="11" t="s">
        <v>1018</v>
      </c>
      <c r="K239" s="38">
        <f t="shared" si="17"/>
        <v>0.8</v>
      </c>
      <c r="L239" s="18" t="s">
        <v>910</v>
      </c>
      <c r="M239" s="18" t="s">
        <v>736</v>
      </c>
      <c r="N239" s="74"/>
      <c r="O239" s="74"/>
      <c r="P239" s="74"/>
      <c r="Q239" s="42" t="str">
        <f>iferror(VLOOKUP(A239,'Positional cal'!A:H,1,0)=A239,"FALSE")</f>
        <v>FALSE</v>
      </c>
      <c r="R239" s="43" t="b">
        <f t="shared" si="3"/>
        <v>0</v>
      </c>
      <c r="S239" s="46">
        <f>IFERROR(VLOOKUP($A239,AlgoUi!$A:$X,21,0),"NA")</f>
        <v>17932941</v>
      </c>
      <c r="T239" s="46">
        <f>IFERROR(VLOOKUP($A239,AlgoUi!$A:$X,23,0),"")</f>
        <v>18000000</v>
      </c>
      <c r="U239" s="46">
        <f>IFERROR(VLOOKUP($A239,AlgoUi!$A:$X,24,0),"")</f>
        <v>144000</v>
      </c>
      <c r="V239" s="42" t="str">
        <f>IFERROR(__xludf.DUMMYFUNCTION("IFERROR(VLOOKUP(I239,IMPORTRANGE(""https://docs.google.com/spreadsheets/d/17FOIUYQAjPk1pPQIlvOgqYDBqwUqgb7KWzp4DtVksBk/edit?gid=0#gid=0"",""Servers!A:S""),19,FALSE), ""Not Running"")"),"DUSHYANT")</f>
        <v>DUSHYANT</v>
      </c>
      <c r="W239" s="47" t="str">
        <f>VLOOKUP($A239,Category!$A:$E,4,0)</f>
        <v>MS</v>
      </c>
      <c r="X239" s="47" t="str">
        <f>VLOOKUP($A239,Category!$A:$E,5,0)</f>
        <v>MSR</v>
      </c>
      <c r="Y239" s="18" t="str">
        <f>VLOOKUP(A239,PAcc!$A$1:$J$27,10,0)</f>
        <v>#N/A</v>
      </c>
      <c r="Z239" s="42" t="b">
        <f t="shared" si="4"/>
        <v>0</v>
      </c>
      <c r="AA239" s="50">
        <v>0.4</v>
      </c>
      <c r="AB239" s="42" t="str">
        <f>VLOOKUP(A239,VlookupSheet!$A$383:$A$523,1,0)</f>
        <v>#N/A</v>
      </c>
      <c r="AC239" s="50">
        <v>0.01</v>
      </c>
      <c r="AD239" s="42">
        <f t="shared" si="32"/>
        <v>7173176.4</v>
      </c>
      <c r="AE239" s="42">
        <f t="shared" si="33"/>
        <v>80000</v>
      </c>
      <c r="AF239" s="123">
        <f t="shared" si="34"/>
        <v>0</v>
      </c>
    </row>
    <row r="240">
      <c r="A240" s="11" t="s">
        <v>1498</v>
      </c>
      <c r="B240" s="24" t="s">
        <v>1499</v>
      </c>
      <c r="C240" s="25"/>
      <c r="D240" s="11">
        <f t="shared" si="35"/>
        <v>0.8</v>
      </c>
      <c r="E240" s="11">
        <f t="shared" si="36"/>
        <v>80000</v>
      </c>
      <c r="F240" s="30" t="s">
        <v>311</v>
      </c>
      <c r="G240" s="11" t="s">
        <v>906</v>
      </c>
      <c r="H240" s="31">
        <v>100000.0</v>
      </c>
      <c r="I240" s="18" t="s">
        <v>83</v>
      </c>
      <c r="J240" s="11" t="s">
        <v>1018</v>
      </c>
      <c r="K240" s="38">
        <f t="shared" si="17"/>
        <v>0.8</v>
      </c>
      <c r="L240" s="18" t="s">
        <v>910</v>
      </c>
      <c r="M240" s="18" t="s">
        <v>736</v>
      </c>
      <c r="N240" s="18"/>
      <c r="O240" s="18"/>
      <c r="P240" s="18" t="s">
        <v>1501</v>
      </c>
      <c r="Q240" s="42" t="str">
        <f>iferror(VLOOKUP(A240,'Positional cal'!A:H,1,0)=A240,"FALSE")</f>
        <v>FALSE</v>
      </c>
      <c r="R240" s="43" t="b">
        <f t="shared" si="3"/>
        <v>0</v>
      </c>
      <c r="S240" s="46">
        <f>IFERROR(VLOOKUP($A240,AlgoUi!$A:$X,21,0),"NA")</f>
        <v>10181785</v>
      </c>
      <c r="T240" s="46">
        <f>IFERROR(VLOOKUP($A240,AlgoUi!$A:$X,23,0),"")</f>
        <v>10000000</v>
      </c>
      <c r="U240" s="46">
        <f>IFERROR(VLOOKUP($A240,AlgoUi!$A:$X,24,0),"")</f>
        <v>80000</v>
      </c>
      <c r="V240" s="42" t="str">
        <f>IFERROR(__xludf.DUMMYFUNCTION("IFERROR(VLOOKUP(I240,IMPORTRANGE(""https://docs.google.com/spreadsheets/d/17FOIUYQAjPk1pPQIlvOgqYDBqwUqgb7KWzp4DtVksBk/edit?gid=0#gid=0"",""Servers!A:S""),19,FALSE), ""Not Running"")"),"DUSHYANT")</f>
        <v>DUSHYANT</v>
      </c>
      <c r="W240" s="47" t="str">
        <f>VLOOKUP($A240,Category!$A:$E,4,0)</f>
        <v>MS</v>
      </c>
      <c r="X240" s="47" t="str">
        <f>VLOOKUP($A240,Category!$A:$E,5,0)</f>
        <v>PPS</v>
      </c>
      <c r="Y240" s="18" t="str">
        <f>VLOOKUP(A240,PAcc!$A$1:$J$27,10,0)</f>
        <v>PS Personal</v>
      </c>
      <c r="Z240" s="42" t="b">
        <f t="shared" si="4"/>
        <v>1</v>
      </c>
      <c r="AA240" s="50">
        <v>1.0</v>
      </c>
      <c r="AB240" s="42" t="str">
        <f>VLOOKUP(A240,VlookupSheet!$A$383:$A$523,1,0)</f>
        <v>#N/A</v>
      </c>
      <c r="AC240" s="50">
        <v>0.01</v>
      </c>
      <c r="AD240" s="42">
        <f t="shared" si="32"/>
        <v>10181785</v>
      </c>
      <c r="AE240" s="42">
        <f t="shared" si="33"/>
        <v>100000</v>
      </c>
      <c r="AF240" s="123">
        <f t="shared" si="34"/>
        <v>0</v>
      </c>
    </row>
    <row r="241">
      <c r="A241" s="11" t="s">
        <v>201</v>
      </c>
      <c r="B241" s="84" t="s">
        <v>793</v>
      </c>
      <c r="C241" s="30" t="s">
        <v>320</v>
      </c>
      <c r="D241" s="11" t="s">
        <v>874</v>
      </c>
      <c r="E241" s="11">
        <f>H241*D241</f>
        <v>6000000</v>
      </c>
      <c r="F241" s="30" t="s">
        <v>311</v>
      </c>
      <c r="G241" s="11">
        <v>6000000.0</v>
      </c>
      <c r="H241" s="31">
        <v>200000.0</v>
      </c>
      <c r="I241" s="34" t="s">
        <v>83</v>
      </c>
      <c r="J241" s="11" t="s">
        <v>1018</v>
      </c>
      <c r="K241" s="38">
        <f t="shared" si="17"/>
        <v>30</v>
      </c>
      <c r="L241" s="18" t="s">
        <v>1068</v>
      </c>
      <c r="M241" s="18" t="s">
        <v>1059</v>
      </c>
      <c r="N241" s="18"/>
      <c r="O241" s="18">
        <v>0.0</v>
      </c>
      <c r="P241" s="18" t="s">
        <v>1517</v>
      </c>
      <c r="Q241" s="42" t="b">
        <f>iferror(VLOOKUP(A241,'Positional cal'!A:H,1,0)=A241,"FALSE")</f>
        <v>1</v>
      </c>
      <c r="R241" s="43" t="b">
        <f t="shared" si="3"/>
        <v>0</v>
      </c>
      <c r="S241" s="46">
        <f>IFERROR(VLOOKUP($A241,AlgoUi!$A:$X,21,0),"NA")</f>
        <v>33589267</v>
      </c>
      <c r="T241" s="46">
        <f>IFERROR(VLOOKUP($A241,AlgoUi!$A:$X,23,0),"")</f>
        <v>34000000</v>
      </c>
      <c r="U241" s="46">
        <f>IFERROR(VLOOKUP($A241,AlgoUi!$A:$X,24,0),"")</f>
        <v>272000</v>
      </c>
      <c r="V241" s="42" t="str">
        <f>IFERROR(__xludf.DUMMYFUNCTION("IFERROR(VLOOKUP(I241,IMPORTRANGE(""https://docs.google.com/spreadsheets/d/17FOIUYQAjPk1pPQIlvOgqYDBqwUqgb7KWzp4DtVksBk/edit?gid=0#gid=0"",""Servers!A:S""),19,FALSE), ""Not Running"")"),"DUSHYANT")</f>
        <v>DUSHYANT</v>
      </c>
      <c r="W241" s="47" t="str">
        <f>VLOOKUP($A241,Category!$A:$E,4,0)</f>
        <v>CC</v>
      </c>
      <c r="X241" s="47" t="str">
        <f>VLOOKUP($A241,Category!$A:$E,5,0)</f>
        <v>PVT</v>
      </c>
      <c r="Y241" s="18" t="str">
        <f>VLOOKUP(A241,PAcc!$A$1:$J$27,10,0)</f>
        <v>VT Personal </v>
      </c>
      <c r="Z241" s="42" t="b">
        <f t="shared" si="4"/>
        <v>0</v>
      </c>
      <c r="AA241" s="50">
        <v>1.0</v>
      </c>
      <c r="AB241" s="25" t="str">
        <f>VLOOKUP(A241,VlookupSheet!$A$383:$A$523,1,0)</f>
        <v>VTPRATIM</v>
      </c>
      <c r="AC241" s="50">
        <v>0.01</v>
      </c>
      <c r="AD241" s="42">
        <f t="shared" si="32"/>
        <v>33589267</v>
      </c>
      <c r="AE241" s="42">
        <f t="shared" si="33"/>
        <v>340000</v>
      </c>
      <c r="AF241" s="123">
        <f t="shared" si="34"/>
        <v>140000</v>
      </c>
    </row>
    <row r="242">
      <c r="A242" s="11" t="s">
        <v>1539</v>
      </c>
      <c r="B242" s="24" t="s">
        <v>1540</v>
      </c>
      <c r="C242" s="25"/>
      <c r="D242" s="11">
        <f t="shared" ref="D242:D298" si="37">IF(J242="7",0.8,1)</f>
        <v>1</v>
      </c>
      <c r="E242" s="11">
        <f t="shared" ref="E242:E298" si="38">D242*H242</f>
        <v>60000</v>
      </c>
      <c r="F242" s="30" t="s">
        <v>311</v>
      </c>
      <c r="G242" s="11" t="s">
        <v>1550</v>
      </c>
      <c r="H242" s="31">
        <v>60000.0</v>
      </c>
      <c r="I242" s="11" t="s">
        <v>327</v>
      </c>
      <c r="J242" s="11" t="s">
        <v>77</v>
      </c>
      <c r="K242" s="38">
        <f t="shared" si="17"/>
        <v>1</v>
      </c>
      <c r="L242" s="18" t="s">
        <v>910</v>
      </c>
      <c r="M242" s="18" t="s">
        <v>736</v>
      </c>
      <c r="N242" s="42"/>
      <c r="O242" s="42"/>
      <c r="P242" s="42"/>
      <c r="Q242" s="42" t="str">
        <f>iferror(VLOOKUP(A242,'Positional cal'!A:H,1,0)=A242,"FALSE")</f>
        <v>FALSE</v>
      </c>
      <c r="R242" s="43" t="b">
        <f t="shared" si="3"/>
        <v>0</v>
      </c>
      <c r="S242" s="46">
        <f>IFERROR(VLOOKUP($A242,AlgoUi!$A:$X,21,0),"NA")</f>
        <v>14748143</v>
      </c>
      <c r="T242" s="46">
        <f>IFERROR(VLOOKUP($A242,AlgoUi!$A:$X,23,0),"")</f>
        <v>14000000</v>
      </c>
      <c r="U242" s="46">
        <f>IFERROR(VLOOKUP($A242,AlgoUi!$A:$X,24,0),"")</f>
        <v>140000</v>
      </c>
      <c r="V242" s="42" t="str">
        <f>IFERROR(__xludf.DUMMYFUNCTION("IFERROR(VLOOKUP(I242,IMPORTRANGE(""https://docs.google.com/spreadsheets/d/17FOIUYQAjPk1pPQIlvOgqYDBqwUqgb7KWzp4DtVksBk/edit?gid=0#gid=0"",""Servers!A:S""),19,FALSE), ""Not Running"")"),"SAKSHAMG")</f>
        <v>SAKSHAMG</v>
      </c>
      <c r="W242" s="47" t="str">
        <f>VLOOKUP($A242,Category!$A:$E,4,0)</f>
        <v>MS</v>
      </c>
      <c r="X242" s="47" t="str">
        <f>VLOOKUP($A242,Category!$A:$E,5,0)</f>
        <v>MSR</v>
      </c>
      <c r="Y242" s="18" t="str">
        <f>VLOOKUP(A242,PAcc!$A$1:$J$27,10,0)</f>
        <v>#N/A</v>
      </c>
      <c r="Z242" s="42" t="b">
        <f t="shared" si="4"/>
        <v>0</v>
      </c>
      <c r="AA242" s="50">
        <v>0.4</v>
      </c>
      <c r="AB242" s="42" t="str">
        <f>VLOOKUP(A242,VlookupSheet!$A$383:$A$523,1,0)</f>
        <v>#N/A</v>
      </c>
      <c r="AC242" s="50">
        <v>0.01</v>
      </c>
      <c r="AD242" s="42">
        <f t="shared" si="32"/>
        <v>5899257.2</v>
      </c>
      <c r="AE242" s="42">
        <f t="shared" si="33"/>
        <v>60000</v>
      </c>
      <c r="AF242" s="123">
        <f t="shared" si="34"/>
        <v>0</v>
      </c>
    </row>
    <row r="243">
      <c r="A243" s="30" t="s">
        <v>1570</v>
      </c>
      <c r="B243" s="84" t="s">
        <v>1572</v>
      </c>
      <c r="C243" s="30" t="s">
        <v>320</v>
      </c>
      <c r="D243" s="11">
        <f t="shared" si="37"/>
        <v>1</v>
      </c>
      <c r="E243" s="11">
        <f t="shared" si="38"/>
        <v>20000</v>
      </c>
      <c r="F243" s="30" t="s">
        <v>311</v>
      </c>
      <c r="G243" s="11">
        <v>20000.0</v>
      </c>
      <c r="H243" s="31">
        <v>20000.0</v>
      </c>
      <c r="I243" s="74" t="s">
        <v>327</v>
      </c>
      <c r="J243" s="25" t="s">
        <v>77</v>
      </c>
      <c r="K243" s="38">
        <f t="shared" si="17"/>
        <v>1</v>
      </c>
      <c r="L243" s="18" t="s">
        <v>910</v>
      </c>
      <c r="M243" s="18" t="s">
        <v>736</v>
      </c>
      <c r="N243" s="74"/>
      <c r="O243" s="74"/>
      <c r="P243" s="74"/>
      <c r="Q243" s="42" t="str">
        <f>iferror(VLOOKUP(A243,'Positional cal'!A:H,1,0)=A243,"FALSE")</f>
        <v>FALSE</v>
      </c>
      <c r="R243" s="43" t="b">
        <f t="shared" si="3"/>
        <v>0</v>
      </c>
      <c r="S243" s="46">
        <f>IFERROR(VLOOKUP($A243,AlgoUi!$A:$X,21,0),"NA")</f>
        <v>5910825</v>
      </c>
      <c r="T243" s="46">
        <f>IFERROR(VLOOKUP($A243,AlgoUi!$A:$X,23,0),"")</f>
        <v>6000000</v>
      </c>
      <c r="U243" s="46">
        <f>IFERROR(VLOOKUP($A243,AlgoUi!$A:$X,24,0),"")</f>
        <v>60000</v>
      </c>
      <c r="V243" s="42" t="str">
        <f>IFERROR(__xludf.DUMMYFUNCTION("IFERROR(VLOOKUP(I243,IMPORTRANGE(""https://docs.google.com/spreadsheets/d/17FOIUYQAjPk1pPQIlvOgqYDBqwUqgb7KWzp4DtVksBk/edit?gid=0#gid=0"",""Servers!A:S""),19,FALSE), ""Not Running"")"),"SAKSHAMG")</f>
        <v>SAKSHAMG</v>
      </c>
      <c r="W243" s="47" t="str">
        <f>VLOOKUP($A243,Category!$A:$E,4,0)</f>
        <v>MS</v>
      </c>
      <c r="X243" s="47" t="str">
        <f>VLOOKUP($A243,Category!$A:$E,5,0)</f>
        <v>MSR</v>
      </c>
      <c r="Y243" s="18" t="str">
        <f>VLOOKUP(A243,PAcc!$A$1:$J$27,10,0)</f>
        <v>#N/A</v>
      </c>
      <c r="Z243" s="42" t="b">
        <f t="shared" si="4"/>
        <v>0</v>
      </c>
      <c r="AA243" s="50">
        <v>0.4</v>
      </c>
      <c r="AB243" s="42" t="str">
        <f>VLOOKUP(A243,VlookupSheet!$A$383:$A$523,1,0)</f>
        <v>#N/A</v>
      </c>
      <c r="AC243" s="50">
        <v>0.01</v>
      </c>
      <c r="AD243" s="42">
        <f t="shared" si="32"/>
        <v>2364330</v>
      </c>
      <c r="AE243" s="42">
        <f t="shared" si="33"/>
        <v>20000</v>
      </c>
      <c r="AF243" s="123">
        <f t="shared" si="34"/>
        <v>0</v>
      </c>
    </row>
    <row r="244">
      <c r="A244" s="11" t="s">
        <v>1593</v>
      </c>
      <c r="B244" s="24" t="s">
        <v>1594</v>
      </c>
      <c r="C244" s="25"/>
      <c r="D244" s="11">
        <f t="shared" si="37"/>
        <v>1</v>
      </c>
      <c r="E244" s="11">
        <f t="shared" si="38"/>
        <v>40000</v>
      </c>
      <c r="F244" s="30" t="s">
        <v>311</v>
      </c>
      <c r="G244" s="11" t="s">
        <v>1100</v>
      </c>
      <c r="H244" s="31">
        <v>40000.0</v>
      </c>
      <c r="I244" s="42" t="s">
        <v>327</v>
      </c>
      <c r="J244" s="25" t="s">
        <v>77</v>
      </c>
      <c r="K244" s="38">
        <f t="shared" si="17"/>
        <v>1</v>
      </c>
      <c r="L244" s="18" t="s">
        <v>910</v>
      </c>
      <c r="M244" s="18" t="s">
        <v>736</v>
      </c>
      <c r="N244" s="42"/>
      <c r="O244" s="42"/>
      <c r="P244" s="42"/>
      <c r="Q244" s="42" t="str">
        <f>iferror(VLOOKUP(A244,'Positional cal'!A:H,1,0)=A244,"FALSE")</f>
        <v>FALSE</v>
      </c>
      <c r="R244" s="43" t="b">
        <f t="shared" si="3"/>
        <v>0</v>
      </c>
      <c r="S244" s="46">
        <f>IFERROR(VLOOKUP($A244,AlgoUi!$A:$X,21,0),"NA")</f>
        <v>10277141</v>
      </c>
      <c r="T244" s="46">
        <f>IFERROR(VLOOKUP($A244,AlgoUi!$A:$X,23,0),"")</f>
        <v>10000000</v>
      </c>
      <c r="U244" s="46">
        <f>IFERROR(VLOOKUP($A244,AlgoUi!$A:$X,24,0),"")</f>
        <v>100000</v>
      </c>
      <c r="V244" s="42" t="str">
        <f>IFERROR(__xludf.DUMMYFUNCTION("IFERROR(VLOOKUP(I244,IMPORTRANGE(""https://docs.google.com/spreadsheets/d/17FOIUYQAjPk1pPQIlvOgqYDBqwUqgb7KWzp4DtVksBk/edit?gid=0#gid=0"",""Servers!A:S""),19,FALSE), ""Not Running"")"),"SAKSHAMG")</f>
        <v>SAKSHAMG</v>
      </c>
      <c r="W244" s="47" t="str">
        <f>VLOOKUP($A244,Category!$A:$E,4,0)</f>
        <v>MS</v>
      </c>
      <c r="X244" s="47" t="str">
        <f>VLOOKUP($A244,Category!$A:$E,5,0)</f>
        <v>MSR</v>
      </c>
      <c r="Y244" s="18" t="str">
        <f>VLOOKUP(A244,PAcc!$A$1:$J$27,10,0)</f>
        <v>#N/A</v>
      </c>
      <c r="Z244" s="42" t="b">
        <f t="shared" si="4"/>
        <v>0</v>
      </c>
      <c r="AA244" s="50">
        <v>0.4</v>
      </c>
      <c r="AB244" s="42" t="str">
        <f>VLOOKUP(A244,VlookupSheet!$A$383:$A$523,1,0)</f>
        <v>#N/A</v>
      </c>
      <c r="AC244" s="50">
        <v>0.01</v>
      </c>
      <c r="AD244" s="42">
        <f t="shared" si="32"/>
        <v>4110856.4</v>
      </c>
      <c r="AE244" s="42">
        <f t="shared" si="33"/>
        <v>40000</v>
      </c>
      <c r="AF244" s="123">
        <f t="shared" si="34"/>
        <v>0</v>
      </c>
    </row>
    <row r="245">
      <c r="A245" s="30" t="s">
        <v>1618</v>
      </c>
      <c r="B245" s="84" t="s">
        <v>1620</v>
      </c>
      <c r="C245" s="85"/>
      <c r="D245" s="11">
        <f t="shared" si="37"/>
        <v>1</v>
      </c>
      <c r="E245" s="11">
        <f t="shared" si="38"/>
        <v>80000</v>
      </c>
      <c r="F245" s="30" t="s">
        <v>311</v>
      </c>
      <c r="G245" s="11" t="s">
        <v>906</v>
      </c>
      <c r="H245" s="11" t="s">
        <v>906</v>
      </c>
      <c r="I245" s="74" t="s">
        <v>327</v>
      </c>
      <c r="J245" s="25" t="s">
        <v>77</v>
      </c>
      <c r="K245" s="38">
        <f t="shared" si="17"/>
        <v>1</v>
      </c>
      <c r="L245" s="18" t="s">
        <v>910</v>
      </c>
      <c r="M245" s="18" t="s">
        <v>736</v>
      </c>
      <c r="N245" s="47"/>
      <c r="O245" s="47"/>
      <c r="P245" s="47"/>
      <c r="Q245" s="42" t="str">
        <f>iferror(VLOOKUP(A245,'Positional cal'!A:H,1,0)=A245,"FALSE")</f>
        <v>FALSE</v>
      </c>
      <c r="R245" s="43" t="b">
        <f t="shared" si="3"/>
        <v>0</v>
      </c>
      <c r="S245" s="46">
        <f>IFERROR(VLOOKUP($A245,AlgoUi!$A:$X,21,0),"NA")</f>
        <v>20077278</v>
      </c>
      <c r="T245" s="46">
        <f>IFERROR(VLOOKUP($A245,AlgoUi!$A:$X,23,0),"")</f>
        <v>20000000</v>
      </c>
      <c r="U245" s="46">
        <f>IFERROR(VLOOKUP($A245,AlgoUi!$A:$X,24,0),"")</f>
        <v>200000</v>
      </c>
      <c r="V245" s="42" t="str">
        <f>IFERROR(__xludf.DUMMYFUNCTION("IFERROR(VLOOKUP(I245,IMPORTRANGE(""https://docs.google.com/spreadsheets/d/17FOIUYQAjPk1pPQIlvOgqYDBqwUqgb7KWzp4DtVksBk/edit?gid=0#gid=0"",""Servers!A:S""),19,FALSE), ""Not Running"")"),"SAKSHAMG")</f>
        <v>SAKSHAMG</v>
      </c>
      <c r="W245" s="47" t="str">
        <f>VLOOKUP($A245,Category!$A:$E,4,0)</f>
        <v>MS</v>
      </c>
      <c r="X245" s="47" t="str">
        <f>VLOOKUP($A245,Category!$A:$E,5,0)</f>
        <v>MSR</v>
      </c>
      <c r="Y245" s="18" t="str">
        <f>VLOOKUP(A245,PAcc!$A$1:$J$27,10,0)</f>
        <v>#N/A</v>
      </c>
      <c r="Z245" s="42" t="b">
        <f t="shared" si="4"/>
        <v>0</v>
      </c>
      <c r="AA245" s="50">
        <v>0.4</v>
      </c>
      <c r="AB245" s="42" t="str">
        <f>VLOOKUP(A245,VlookupSheet!$A$383:$A$523,1,0)</f>
        <v>#N/A</v>
      </c>
      <c r="AC245" s="50">
        <v>0.01</v>
      </c>
      <c r="AD245" s="42">
        <f t="shared" si="32"/>
        <v>8030911.2</v>
      </c>
      <c r="AE245" s="42">
        <f t="shared" si="33"/>
        <v>80000</v>
      </c>
      <c r="AF245" s="25">
        <f t="shared" si="34"/>
        <v>0</v>
      </c>
    </row>
    <row r="246">
      <c r="A246" s="30" t="s">
        <v>1642</v>
      </c>
      <c r="B246" s="84" t="s">
        <v>1643</v>
      </c>
      <c r="C246" s="85"/>
      <c r="D246" s="11">
        <f t="shared" si="37"/>
        <v>1</v>
      </c>
      <c r="E246" s="11">
        <f t="shared" si="38"/>
        <v>40000</v>
      </c>
      <c r="F246" s="30" t="s">
        <v>311</v>
      </c>
      <c r="G246" s="11" t="s">
        <v>1100</v>
      </c>
      <c r="H246" s="31">
        <v>40000.0</v>
      </c>
      <c r="I246" s="74" t="s">
        <v>327</v>
      </c>
      <c r="J246" s="25" t="s">
        <v>77</v>
      </c>
      <c r="K246" s="38">
        <f t="shared" si="17"/>
        <v>1</v>
      </c>
      <c r="L246" s="18" t="s">
        <v>910</v>
      </c>
      <c r="M246" s="18" t="s">
        <v>736</v>
      </c>
      <c r="N246" s="74"/>
      <c r="O246" s="74"/>
      <c r="P246" s="74"/>
      <c r="Q246" s="42" t="str">
        <f>iferror(VLOOKUP(A246,'Positional cal'!A:H,1,0)=A246,"FALSE")</f>
        <v>FALSE</v>
      </c>
      <c r="R246" s="43" t="b">
        <f t="shared" si="3"/>
        <v>0</v>
      </c>
      <c r="S246" s="46">
        <f>IFERROR(VLOOKUP($A246,AlgoUi!$A:$X,21,0),"NA")</f>
        <v>7873981</v>
      </c>
      <c r="T246" s="46">
        <f>IFERROR(VLOOKUP($A246,AlgoUi!$A:$X,23,0),"")</f>
        <v>8000000</v>
      </c>
      <c r="U246" s="46">
        <f>IFERROR(VLOOKUP($A246,AlgoUi!$A:$X,24,0),"")</f>
        <v>80000</v>
      </c>
      <c r="V246" s="42" t="str">
        <f>IFERROR(__xludf.DUMMYFUNCTION("IFERROR(VLOOKUP(I246,IMPORTRANGE(""https://docs.google.com/spreadsheets/d/17FOIUYQAjPk1pPQIlvOgqYDBqwUqgb7KWzp4DtVksBk/edit?gid=0#gid=0"",""Servers!A:S""),19,FALSE), ""Not Running"")"),"SAKSHAMG")</f>
        <v>SAKSHAMG</v>
      </c>
      <c r="W246" s="47" t="str">
        <f>VLOOKUP($A246,Category!$A:$E,4,0)</f>
        <v>MS</v>
      </c>
      <c r="X246" s="47" t="str">
        <f>VLOOKUP($A246,Category!$A:$E,5,0)</f>
        <v>MSR</v>
      </c>
      <c r="Y246" s="18" t="str">
        <f>VLOOKUP(A246,PAcc!$A$1:$J$27,10,0)</f>
        <v>#N/A</v>
      </c>
      <c r="Z246" s="42" t="b">
        <f t="shared" si="4"/>
        <v>0</v>
      </c>
      <c r="AA246" s="50">
        <v>0.4</v>
      </c>
      <c r="AB246" s="42" t="str">
        <f>VLOOKUP(A246,VlookupSheet!$A$383:$A$523,1,0)</f>
        <v>#N/A</v>
      </c>
      <c r="AC246" s="50">
        <v>0.01</v>
      </c>
      <c r="AD246" s="42">
        <f t="shared" si="32"/>
        <v>3149592.4</v>
      </c>
      <c r="AE246" s="42">
        <f t="shared" si="33"/>
        <v>40000</v>
      </c>
      <c r="AF246" s="123">
        <f t="shared" si="34"/>
        <v>0</v>
      </c>
    </row>
    <row r="247">
      <c r="A247" s="11" t="s">
        <v>1663</v>
      </c>
      <c r="B247" s="84" t="s">
        <v>1664</v>
      </c>
      <c r="C247" s="25"/>
      <c r="D247" s="11">
        <f t="shared" si="37"/>
        <v>1</v>
      </c>
      <c r="E247" s="11">
        <f t="shared" si="38"/>
        <v>20000</v>
      </c>
      <c r="F247" s="30" t="s">
        <v>311</v>
      </c>
      <c r="G247" s="11">
        <v>20000.0</v>
      </c>
      <c r="H247" s="31">
        <v>20000.0</v>
      </c>
      <c r="I247" s="34" t="s">
        <v>327</v>
      </c>
      <c r="J247" s="11" t="s">
        <v>77</v>
      </c>
      <c r="K247" s="38">
        <f t="shared" si="17"/>
        <v>1</v>
      </c>
      <c r="L247" s="18" t="s">
        <v>910</v>
      </c>
      <c r="M247" s="18" t="s">
        <v>736</v>
      </c>
      <c r="N247" s="42"/>
      <c r="O247" s="42"/>
      <c r="P247" s="42"/>
      <c r="Q247" s="42" t="str">
        <f>iferror(VLOOKUP(A247,'Positional cal'!A:H,1,0)=A247,"FALSE")</f>
        <v>FALSE</v>
      </c>
      <c r="R247" s="43" t="b">
        <f t="shared" si="3"/>
        <v>0</v>
      </c>
      <c r="S247" s="46">
        <f>IFERROR(VLOOKUP($A247,AlgoUi!$A:$X,21,0),"NA")</f>
        <v>4124082</v>
      </c>
      <c r="T247" s="46">
        <f>IFERROR(VLOOKUP($A247,AlgoUi!$A:$X,23,0),"")</f>
        <v>4000000</v>
      </c>
      <c r="U247" s="46">
        <f>IFERROR(VLOOKUP($A247,AlgoUi!$A:$X,24,0),"")</f>
        <v>40000</v>
      </c>
      <c r="V247" s="42" t="str">
        <f>IFERROR(__xludf.DUMMYFUNCTION("IFERROR(VLOOKUP(I247,IMPORTRANGE(""https://docs.google.com/spreadsheets/d/17FOIUYQAjPk1pPQIlvOgqYDBqwUqgb7KWzp4DtVksBk/edit?gid=0#gid=0"",""Servers!A:S""),19,FALSE), ""Not Running"")"),"SAKSHAMG")</f>
        <v>SAKSHAMG</v>
      </c>
      <c r="W247" s="47" t="str">
        <f>VLOOKUP($A247,Category!$A:$E,4,0)</f>
        <v>MS</v>
      </c>
      <c r="X247" s="47" t="str">
        <f>VLOOKUP($A247,Category!$A:$E,5,0)</f>
        <v>MSR</v>
      </c>
      <c r="Y247" s="18" t="str">
        <f>VLOOKUP(A247,PAcc!$A$1:$J$27,10,0)</f>
        <v>#N/A</v>
      </c>
      <c r="Z247" s="42" t="b">
        <f t="shared" si="4"/>
        <v>0</v>
      </c>
      <c r="AA247" s="50">
        <v>0.4</v>
      </c>
      <c r="AB247" s="42" t="str">
        <f>VLOOKUP(A247,VlookupSheet!$A$383:$A$523,1,0)</f>
        <v>#N/A</v>
      </c>
      <c r="AC247" s="50">
        <v>0.01</v>
      </c>
      <c r="AD247" s="42">
        <f t="shared" si="32"/>
        <v>1649632.8</v>
      </c>
      <c r="AE247" s="42">
        <f t="shared" si="33"/>
        <v>20000</v>
      </c>
      <c r="AF247" s="123">
        <f t="shared" si="34"/>
        <v>0</v>
      </c>
    </row>
    <row r="248">
      <c r="A248" s="30" t="s">
        <v>1685</v>
      </c>
      <c r="B248" s="84" t="s">
        <v>1687</v>
      </c>
      <c r="C248" s="85"/>
      <c r="D248" s="11">
        <f t="shared" si="37"/>
        <v>1</v>
      </c>
      <c r="E248" s="11">
        <f t="shared" si="38"/>
        <v>20000</v>
      </c>
      <c r="F248" s="30" t="s">
        <v>311</v>
      </c>
      <c r="G248" s="11">
        <v>20000.0</v>
      </c>
      <c r="H248" s="31">
        <v>20000.0</v>
      </c>
      <c r="I248" s="74" t="s">
        <v>327</v>
      </c>
      <c r="J248" s="25" t="s">
        <v>77</v>
      </c>
      <c r="K248" s="38">
        <f t="shared" si="17"/>
        <v>1</v>
      </c>
      <c r="L248" s="18" t="s">
        <v>910</v>
      </c>
      <c r="M248" s="18" t="s">
        <v>736</v>
      </c>
      <c r="N248" s="74"/>
      <c r="O248" s="74"/>
      <c r="P248" s="74"/>
      <c r="Q248" s="42" t="str">
        <f>iferror(VLOOKUP(A248,'Positional cal'!A:H,1,0)=A248,"FALSE")</f>
        <v>FALSE</v>
      </c>
      <c r="R248" s="43" t="b">
        <f t="shared" si="3"/>
        <v>1</v>
      </c>
      <c r="S248" s="46">
        <f>IFERROR(VLOOKUP($A248,AlgoUi!$A:$X,21,0),"NA")</f>
        <v>2781566</v>
      </c>
      <c r="T248" s="46">
        <f>IFERROR(VLOOKUP($A248,AlgoUi!$A:$X,23,0),"")</f>
        <v>2000000</v>
      </c>
      <c r="U248" s="46">
        <f>IFERROR(VLOOKUP($A248,AlgoUi!$A:$X,24,0),"")</f>
        <v>20000</v>
      </c>
      <c r="V248" s="42" t="str">
        <f>IFERROR(__xludf.DUMMYFUNCTION("IFERROR(VLOOKUP(I248,IMPORTRANGE(""https://docs.google.com/spreadsheets/d/17FOIUYQAjPk1pPQIlvOgqYDBqwUqgb7KWzp4DtVksBk/edit?gid=0#gid=0"",""Servers!A:S""),19,FALSE), ""Not Running"")"),"SAKSHAMG")</f>
        <v>SAKSHAMG</v>
      </c>
      <c r="W248" s="47" t="str">
        <f>VLOOKUP($A248,Category!$A:$E,4,0)</f>
        <v>MS</v>
      </c>
      <c r="X248" s="47" t="str">
        <f>VLOOKUP($A248,Category!$A:$E,5,0)</f>
        <v>MSR</v>
      </c>
      <c r="Y248" s="18" t="str">
        <f>VLOOKUP(A248,PAcc!$A$1:$J$27,10,0)</f>
        <v>#N/A</v>
      </c>
      <c r="Z248" s="42" t="b">
        <f t="shared" si="4"/>
        <v>1</v>
      </c>
      <c r="AA248" s="50">
        <v>0.4</v>
      </c>
      <c r="AB248" s="42" t="str">
        <f>VLOOKUP(A248,VlookupSheet!$A$383:$A$523,1,0)</f>
        <v>#N/A</v>
      </c>
      <c r="AC248" s="50">
        <v>0.01</v>
      </c>
      <c r="AD248" s="42">
        <f t="shared" si="32"/>
        <v>1112626.4</v>
      </c>
      <c r="AE248" s="42">
        <f t="shared" si="33"/>
        <v>20000</v>
      </c>
      <c r="AF248" s="123">
        <f t="shared" si="34"/>
        <v>0</v>
      </c>
    </row>
    <row r="249">
      <c r="A249" s="30" t="s">
        <v>1723</v>
      </c>
      <c r="B249" s="84" t="s">
        <v>1724</v>
      </c>
      <c r="C249" s="85"/>
      <c r="D249" s="11">
        <f t="shared" si="37"/>
        <v>1</v>
      </c>
      <c r="E249" s="11">
        <f t="shared" si="38"/>
        <v>20000</v>
      </c>
      <c r="F249" s="30" t="s">
        <v>311</v>
      </c>
      <c r="G249" s="11">
        <v>20000.0</v>
      </c>
      <c r="H249" s="31">
        <v>20000.0</v>
      </c>
      <c r="I249" s="74" t="s">
        <v>327</v>
      </c>
      <c r="J249" s="25" t="s">
        <v>77</v>
      </c>
      <c r="K249" s="38">
        <f t="shared" si="17"/>
        <v>1</v>
      </c>
      <c r="L249" s="18" t="s">
        <v>910</v>
      </c>
      <c r="M249" s="18" t="s">
        <v>736</v>
      </c>
      <c r="N249" s="74"/>
      <c r="O249" s="74"/>
      <c r="P249" s="74"/>
      <c r="Q249" s="42" t="str">
        <f>iferror(VLOOKUP(A249,'Positional cal'!A:H,1,0)=A249,"FALSE")</f>
        <v>FALSE</v>
      </c>
      <c r="R249" s="43" t="b">
        <f t="shared" si="3"/>
        <v>0</v>
      </c>
      <c r="S249" s="46">
        <f>IFERROR(VLOOKUP($A249,AlgoUi!$A:$X,21,0),"NA")</f>
        <v>6097093</v>
      </c>
      <c r="T249" s="46">
        <f>IFERROR(VLOOKUP($A249,AlgoUi!$A:$X,23,0),"")</f>
        <v>6000000</v>
      </c>
      <c r="U249" s="46">
        <f>IFERROR(VLOOKUP($A249,AlgoUi!$A:$X,24,0),"")</f>
        <v>60000</v>
      </c>
      <c r="V249" s="42" t="str">
        <f>IFERROR(__xludf.DUMMYFUNCTION("IFERROR(VLOOKUP(I249,IMPORTRANGE(""https://docs.google.com/spreadsheets/d/17FOIUYQAjPk1pPQIlvOgqYDBqwUqgb7KWzp4DtVksBk/edit?gid=0#gid=0"",""Servers!A:S""),19,FALSE), ""Not Running"")"),"SAKSHAMG")</f>
        <v>SAKSHAMG</v>
      </c>
      <c r="W249" s="47" t="str">
        <f>VLOOKUP($A249,Category!$A:$E,4,0)</f>
        <v>MS</v>
      </c>
      <c r="X249" s="47" t="str">
        <f>VLOOKUP($A249,Category!$A:$E,5,0)</f>
        <v>MSR</v>
      </c>
      <c r="Y249" s="18" t="str">
        <f>VLOOKUP(A249,PAcc!$A$1:$J$27,10,0)</f>
        <v>#N/A</v>
      </c>
      <c r="Z249" s="42" t="b">
        <f t="shared" si="4"/>
        <v>0</v>
      </c>
      <c r="AA249" s="50">
        <v>0.4</v>
      </c>
      <c r="AB249" s="42" t="str">
        <f>VLOOKUP(A249,VlookupSheet!$A$383:$A$523,1,0)</f>
        <v>#N/A</v>
      </c>
      <c r="AC249" s="50">
        <v>0.01</v>
      </c>
      <c r="AD249" s="42">
        <f t="shared" si="32"/>
        <v>2438837.2</v>
      </c>
      <c r="AE249" s="42">
        <f t="shared" si="33"/>
        <v>20000</v>
      </c>
      <c r="AF249" s="123">
        <f t="shared" si="34"/>
        <v>0</v>
      </c>
    </row>
    <row r="250">
      <c r="A250" s="30" t="s">
        <v>1662</v>
      </c>
      <c r="B250" s="84" t="s">
        <v>1754</v>
      </c>
      <c r="C250" s="85"/>
      <c r="D250" s="11">
        <f t="shared" si="37"/>
        <v>1</v>
      </c>
      <c r="E250" s="11">
        <f t="shared" si="38"/>
        <v>20000</v>
      </c>
      <c r="F250" s="30" t="s">
        <v>311</v>
      </c>
      <c r="G250" s="11">
        <v>20000.0</v>
      </c>
      <c r="H250" s="31">
        <v>20000.0</v>
      </c>
      <c r="I250" s="74" t="s">
        <v>327</v>
      </c>
      <c r="J250" s="25" t="s">
        <v>77</v>
      </c>
      <c r="K250" s="38">
        <f t="shared" si="17"/>
        <v>1</v>
      </c>
      <c r="L250" s="18" t="s">
        <v>910</v>
      </c>
      <c r="M250" s="18" t="s">
        <v>736</v>
      </c>
      <c r="N250" s="74"/>
      <c r="O250" s="74"/>
      <c r="P250" s="74"/>
      <c r="Q250" s="42" t="str">
        <f>iferror(VLOOKUP(A250,'Positional cal'!A:H,1,0)=A250,"FALSE")</f>
        <v>FALSE</v>
      </c>
      <c r="R250" s="43" t="b">
        <f t="shared" si="3"/>
        <v>0</v>
      </c>
      <c r="S250" s="46">
        <f>IFERROR(VLOOKUP($A250,AlgoUi!$A:$X,21,0),"NA")</f>
        <v>3746377</v>
      </c>
      <c r="T250" s="46">
        <f>IFERROR(VLOOKUP($A250,AlgoUi!$A:$X,23,0),"")</f>
        <v>4000000</v>
      </c>
      <c r="U250" s="46">
        <f>IFERROR(VLOOKUP($A250,AlgoUi!$A:$X,24,0),"")</f>
        <v>40000</v>
      </c>
      <c r="V250" s="42" t="str">
        <f>IFERROR(__xludf.DUMMYFUNCTION("IFERROR(VLOOKUP(I250,IMPORTRANGE(""https://docs.google.com/spreadsheets/d/17FOIUYQAjPk1pPQIlvOgqYDBqwUqgb7KWzp4DtVksBk/edit?gid=0#gid=0"",""Servers!A:S""),19,FALSE), ""Not Running"")"),"SAKSHAMG")</f>
        <v>SAKSHAMG</v>
      </c>
      <c r="W250" s="47" t="str">
        <f>VLOOKUP($A250,Category!$A:$E,4,0)</f>
        <v>MS</v>
      </c>
      <c r="X250" s="47" t="str">
        <f>VLOOKUP($A250,Category!$A:$E,5,0)</f>
        <v>MSR</v>
      </c>
      <c r="Y250" s="18" t="str">
        <f>VLOOKUP(A250,PAcc!$A$1:$J$27,10,0)</f>
        <v>#N/A</v>
      </c>
      <c r="Z250" s="42" t="b">
        <f t="shared" si="4"/>
        <v>0</v>
      </c>
      <c r="AA250" s="50">
        <v>0.4</v>
      </c>
      <c r="AB250" s="42" t="str">
        <f>VLOOKUP(A250,VlookupSheet!$A$383:$A$523,1,0)</f>
        <v>#N/A</v>
      </c>
      <c r="AC250" s="50">
        <v>0.01</v>
      </c>
      <c r="AD250" s="42">
        <f t="shared" si="32"/>
        <v>1498550.8</v>
      </c>
      <c r="AE250" s="42">
        <f t="shared" si="33"/>
        <v>20000</v>
      </c>
      <c r="AF250" s="123">
        <f t="shared" si="34"/>
        <v>0</v>
      </c>
    </row>
    <row r="251">
      <c r="A251" s="30" t="s">
        <v>1776</v>
      </c>
      <c r="B251" s="84" t="s">
        <v>1777</v>
      </c>
      <c r="C251" s="85"/>
      <c r="D251" s="11">
        <f t="shared" si="37"/>
        <v>1</v>
      </c>
      <c r="E251" s="11">
        <f t="shared" si="38"/>
        <v>40000</v>
      </c>
      <c r="F251" s="30" t="s">
        <v>311</v>
      </c>
      <c r="G251" s="11">
        <v>40000.0</v>
      </c>
      <c r="H251" s="31">
        <v>40000.0</v>
      </c>
      <c r="I251" s="74" t="s">
        <v>327</v>
      </c>
      <c r="J251" s="25" t="s">
        <v>77</v>
      </c>
      <c r="K251" s="38">
        <f t="shared" si="17"/>
        <v>1</v>
      </c>
      <c r="L251" s="18" t="s">
        <v>910</v>
      </c>
      <c r="M251" s="18" t="s">
        <v>736</v>
      </c>
      <c r="N251" s="74"/>
      <c r="O251" s="74"/>
      <c r="P251" s="74"/>
      <c r="Q251" s="42" t="str">
        <f>iferror(VLOOKUP(A251,'Positional cal'!A:H,1,0)=A251,"FALSE")</f>
        <v>FALSE</v>
      </c>
      <c r="R251" s="43" t="b">
        <f t="shared" si="3"/>
        <v>0</v>
      </c>
      <c r="S251" s="46">
        <f>IFERROR(VLOOKUP($A251,AlgoUi!$A:$X,21,0),"NA")</f>
        <v>10973290</v>
      </c>
      <c r="T251" s="46">
        <f>IFERROR(VLOOKUP($A251,AlgoUi!$A:$X,23,0),"")</f>
        <v>10000000</v>
      </c>
      <c r="U251" s="46">
        <f>IFERROR(VLOOKUP($A251,AlgoUi!$A:$X,24,0),"")</f>
        <v>100000</v>
      </c>
      <c r="V251" s="42" t="str">
        <f>IFERROR(__xludf.DUMMYFUNCTION("IFERROR(VLOOKUP(I251,IMPORTRANGE(""https://docs.google.com/spreadsheets/d/17FOIUYQAjPk1pPQIlvOgqYDBqwUqgb7KWzp4DtVksBk/edit?gid=0#gid=0"",""Servers!A:S""),19,FALSE), ""Not Running"")"),"SAKSHAMG")</f>
        <v>SAKSHAMG</v>
      </c>
      <c r="W251" s="47" t="str">
        <f>VLOOKUP($A251,Category!$A:$E,4,0)</f>
        <v>MS</v>
      </c>
      <c r="X251" s="47" t="str">
        <f>VLOOKUP($A251,Category!$A:$E,5,0)</f>
        <v>MSS</v>
      </c>
      <c r="Y251" s="18" t="str">
        <f>VLOOKUP(A251,PAcc!$A$1:$J$27,10,0)</f>
        <v>#N/A</v>
      </c>
      <c r="Z251" s="42" t="b">
        <f t="shared" si="4"/>
        <v>0</v>
      </c>
      <c r="AA251" s="50">
        <v>0.4</v>
      </c>
      <c r="AB251" s="42" t="str">
        <f>VLOOKUP(A251,VlookupSheet!$A$383:$A$523,1,0)</f>
        <v>#N/A</v>
      </c>
      <c r="AC251" s="50">
        <v>0.01</v>
      </c>
      <c r="AD251" s="42">
        <f t="shared" si="32"/>
        <v>4389316</v>
      </c>
      <c r="AE251" s="42">
        <f t="shared" si="33"/>
        <v>40000</v>
      </c>
      <c r="AF251" s="123">
        <f t="shared" si="34"/>
        <v>0</v>
      </c>
    </row>
    <row r="252">
      <c r="A252" s="30" t="s">
        <v>1400</v>
      </c>
      <c r="B252" s="84" t="s">
        <v>1740</v>
      </c>
      <c r="C252" s="85"/>
      <c r="D252" s="11">
        <f t="shared" si="37"/>
        <v>1</v>
      </c>
      <c r="E252" s="11">
        <f t="shared" si="38"/>
        <v>20000</v>
      </c>
      <c r="F252" s="30" t="s">
        <v>311</v>
      </c>
      <c r="G252" s="11">
        <v>20000.0</v>
      </c>
      <c r="H252" s="31">
        <v>20000.0</v>
      </c>
      <c r="I252" s="74" t="s">
        <v>327</v>
      </c>
      <c r="J252" s="25" t="s">
        <v>77</v>
      </c>
      <c r="K252" s="38">
        <f t="shared" si="17"/>
        <v>1</v>
      </c>
      <c r="L252" s="18" t="s">
        <v>910</v>
      </c>
      <c r="M252" s="18" t="s">
        <v>736</v>
      </c>
      <c r="N252" s="74"/>
      <c r="O252" s="74"/>
      <c r="P252" s="74"/>
      <c r="Q252" s="42" t="str">
        <f>iferror(VLOOKUP(A252,'Positional cal'!A:H,1,0)=A252,"FALSE")</f>
        <v>FALSE</v>
      </c>
      <c r="R252" s="43" t="b">
        <f t="shared" si="3"/>
        <v>0</v>
      </c>
      <c r="S252" s="46">
        <f>IFERROR(VLOOKUP($A252,AlgoUi!$A:$X,21,0),"NA")</f>
        <v>6030267</v>
      </c>
      <c r="T252" s="46">
        <f>IFERROR(VLOOKUP($A252,AlgoUi!$A:$X,23,0),"")</f>
        <v>6000000</v>
      </c>
      <c r="U252" s="46">
        <f>IFERROR(VLOOKUP($A252,AlgoUi!$A:$X,24,0),"")</f>
        <v>60000</v>
      </c>
      <c r="V252" s="42" t="str">
        <f>IFERROR(__xludf.DUMMYFUNCTION("IFERROR(VLOOKUP(I252,IMPORTRANGE(""https://docs.google.com/spreadsheets/d/17FOIUYQAjPk1pPQIlvOgqYDBqwUqgb7KWzp4DtVksBk/edit?gid=0#gid=0"",""Servers!A:S""),19,FALSE), ""Not Running"")"),"SAKSHAMG")</f>
        <v>SAKSHAMG</v>
      </c>
      <c r="W252" s="47" t="str">
        <f>VLOOKUP($A252,Category!$A:$E,4,0)</f>
        <v>MS</v>
      </c>
      <c r="X252" s="47" t="str">
        <f>VLOOKUP($A252,Category!$A:$E,5,0)</f>
        <v>MSP</v>
      </c>
      <c r="Y252" s="18" t="str">
        <f>VLOOKUP(A252,PAcc!$A$1:$J$27,10,0)</f>
        <v>#N/A</v>
      </c>
      <c r="Z252" s="42" t="b">
        <f t="shared" si="4"/>
        <v>0</v>
      </c>
      <c r="AA252" s="50">
        <v>0.4</v>
      </c>
      <c r="AB252" s="42" t="str">
        <f>VLOOKUP(A252,VlookupSheet!$A$383:$A$523,1,0)</f>
        <v>#N/A</v>
      </c>
      <c r="AC252" s="50">
        <v>0.01</v>
      </c>
      <c r="AD252" s="42">
        <f t="shared" si="32"/>
        <v>2412106.8</v>
      </c>
      <c r="AE252" s="42">
        <f t="shared" si="33"/>
        <v>20000</v>
      </c>
      <c r="AF252" s="123">
        <f t="shared" si="34"/>
        <v>0</v>
      </c>
    </row>
    <row r="253">
      <c r="A253" s="30" t="s">
        <v>1676</v>
      </c>
      <c r="B253" s="84" t="s">
        <v>1814</v>
      </c>
      <c r="C253" s="85"/>
      <c r="D253" s="11">
        <f t="shared" si="37"/>
        <v>1</v>
      </c>
      <c r="E253" s="11">
        <f t="shared" si="38"/>
        <v>40000</v>
      </c>
      <c r="F253" s="30" t="s">
        <v>311</v>
      </c>
      <c r="G253" s="11" t="s">
        <v>1100</v>
      </c>
      <c r="H253" s="31">
        <v>40000.0</v>
      </c>
      <c r="I253" s="74" t="s">
        <v>327</v>
      </c>
      <c r="J253" s="25" t="s">
        <v>77</v>
      </c>
      <c r="K253" s="38">
        <f t="shared" si="17"/>
        <v>1</v>
      </c>
      <c r="L253" s="18" t="s">
        <v>910</v>
      </c>
      <c r="M253" s="18" t="s">
        <v>736</v>
      </c>
      <c r="N253" s="74"/>
      <c r="O253" s="74"/>
      <c r="P253" s="74"/>
      <c r="Q253" s="42" t="str">
        <f>iferror(VLOOKUP(A253,'Positional cal'!A:H,1,0)=A253,"FALSE")</f>
        <v>FALSE</v>
      </c>
      <c r="R253" s="43" t="b">
        <f t="shared" si="3"/>
        <v>0</v>
      </c>
      <c r="S253" s="46">
        <f>IFERROR(VLOOKUP($A253,AlgoUi!$A:$X,21,0),"NA")</f>
        <v>8792614</v>
      </c>
      <c r="T253" s="46">
        <f>IFERROR(VLOOKUP($A253,AlgoUi!$A:$X,23,0),"")</f>
        <v>8000000</v>
      </c>
      <c r="U253" s="46">
        <f>IFERROR(VLOOKUP($A253,AlgoUi!$A:$X,24,0),"")</f>
        <v>80000</v>
      </c>
      <c r="V253" s="42" t="str">
        <f>IFERROR(__xludf.DUMMYFUNCTION("IFERROR(VLOOKUP(I253,IMPORTRANGE(""https://docs.google.com/spreadsheets/d/17FOIUYQAjPk1pPQIlvOgqYDBqwUqgb7KWzp4DtVksBk/edit?gid=0#gid=0"",""Servers!A:S""),19,FALSE), ""Not Running"")"),"SAKSHAMG")</f>
        <v>SAKSHAMG</v>
      </c>
      <c r="W253" s="47" t="str">
        <f>VLOOKUP($A253,Category!$A:$E,4,0)</f>
        <v>MS</v>
      </c>
      <c r="X253" s="47" t="str">
        <f>VLOOKUP($A253,Category!$A:$E,5,0)</f>
        <v>MSR</v>
      </c>
      <c r="Y253" s="18" t="str">
        <f>VLOOKUP(A253,PAcc!$A$1:$J$27,10,0)</f>
        <v>#N/A</v>
      </c>
      <c r="Z253" s="42" t="b">
        <f t="shared" si="4"/>
        <v>0</v>
      </c>
      <c r="AA253" s="50">
        <v>0.4</v>
      </c>
      <c r="AB253" s="42" t="str">
        <f>VLOOKUP(A253,VlookupSheet!$A$383:$A$523,1,0)</f>
        <v>#N/A</v>
      </c>
      <c r="AC253" s="50">
        <v>0.01</v>
      </c>
      <c r="AD253" s="42">
        <f t="shared" si="32"/>
        <v>3517045.6</v>
      </c>
      <c r="AE253" s="42">
        <f t="shared" si="33"/>
        <v>40000</v>
      </c>
      <c r="AF253" s="123">
        <f t="shared" si="34"/>
        <v>0</v>
      </c>
    </row>
    <row r="254">
      <c r="A254" s="30" t="s">
        <v>1749</v>
      </c>
      <c r="B254" s="84" t="s">
        <v>1834</v>
      </c>
      <c r="C254" s="85"/>
      <c r="D254" s="11">
        <f t="shared" si="37"/>
        <v>1</v>
      </c>
      <c r="E254" s="11">
        <f t="shared" si="38"/>
        <v>20000</v>
      </c>
      <c r="F254" s="30" t="s">
        <v>311</v>
      </c>
      <c r="G254" s="11">
        <v>20000.0</v>
      </c>
      <c r="H254" s="31">
        <v>20000.0</v>
      </c>
      <c r="I254" s="74" t="s">
        <v>327</v>
      </c>
      <c r="J254" s="25" t="s">
        <v>77</v>
      </c>
      <c r="K254" s="38">
        <f t="shared" si="17"/>
        <v>1</v>
      </c>
      <c r="L254" s="18" t="s">
        <v>910</v>
      </c>
      <c r="M254" s="18" t="s">
        <v>736</v>
      </c>
      <c r="N254" s="74"/>
      <c r="O254" s="74"/>
      <c r="P254" s="74"/>
      <c r="Q254" s="42" t="str">
        <f>iferror(VLOOKUP(A254,'Positional cal'!A:H,1,0)=A254,"FALSE")</f>
        <v>FALSE</v>
      </c>
      <c r="R254" s="43" t="b">
        <f t="shared" si="3"/>
        <v>0</v>
      </c>
      <c r="S254" s="46">
        <f>IFERROR(VLOOKUP($A254,AlgoUi!$A:$X,21,0),"NA")</f>
        <v>7010580</v>
      </c>
      <c r="T254" s="46">
        <f>IFERROR(VLOOKUP($A254,AlgoUi!$A:$X,23,0),"")</f>
        <v>8000000</v>
      </c>
      <c r="U254" s="46">
        <f>IFERROR(VLOOKUP($A254,AlgoUi!$A:$X,24,0),"")</f>
        <v>80000</v>
      </c>
      <c r="V254" s="42" t="str">
        <f>IFERROR(__xludf.DUMMYFUNCTION("IFERROR(VLOOKUP(I254,IMPORTRANGE(""https://docs.google.com/spreadsheets/d/17FOIUYQAjPk1pPQIlvOgqYDBqwUqgb7KWzp4DtVksBk/edit?gid=0#gid=0"",""Servers!A:S""),19,FALSE), ""Not Running"")"),"SAKSHAMG")</f>
        <v>SAKSHAMG</v>
      </c>
      <c r="W254" s="47" t="str">
        <f>VLOOKUP($A254,Category!$A:$E,4,0)</f>
        <v>MS</v>
      </c>
      <c r="X254" s="47" t="str">
        <f>VLOOKUP($A254,Category!$A:$E,5,0)</f>
        <v>MSR</v>
      </c>
      <c r="Y254" s="18" t="str">
        <f>VLOOKUP(A254,PAcc!$A$1:$J$27,10,0)</f>
        <v>#N/A</v>
      </c>
      <c r="Z254" s="42" t="b">
        <f t="shared" si="4"/>
        <v>0</v>
      </c>
      <c r="AA254" s="50">
        <v>0.4</v>
      </c>
      <c r="AB254" s="42" t="str">
        <f>VLOOKUP(A254,VlookupSheet!$A$383:$A$523,1,0)</f>
        <v>#N/A</v>
      </c>
      <c r="AC254" s="50">
        <v>0.01</v>
      </c>
      <c r="AD254" s="42">
        <f t="shared" si="32"/>
        <v>2804232</v>
      </c>
      <c r="AE254" s="42">
        <f t="shared" si="33"/>
        <v>20000</v>
      </c>
      <c r="AF254" s="123">
        <f t="shared" si="34"/>
        <v>0</v>
      </c>
    </row>
    <row r="255">
      <c r="A255" s="30" t="s">
        <v>1443</v>
      </c>
      <c r="B255" s="84" t="s">
        <v>1856</v>
      </c>
      <c r="C255" s="30" t="s">
        <v>320</v>
      </c>
      <c r="D255" s="11">
        <f t="shared" si="37"/>
        <v>1</v>
      </c>
      <c r="E255" s="11">
        <f t="shared" si="38"/>
        <v>20000</v>
      </c>
      <c r="F255" s="30" t="s">
        <v>311</v>
      </c>
      <c r="G255" s="11">
        <v>20000.0</v>
      </c>
      <c r="H255" s="31">
        <v>20000.0</v>
      </c>
      <c r="I255" s="74" t="s">
        <v>327</v>
      </c>
      <c r="J255" s="25" t="s">
        <v>77</v>
      </c>
      <c r="K255" s="38">
        <f t="shared" si="17"/>
        <v>1</v>
      </c>
      <c r="L255" s="18" t="s">
        <v>910</v>
      </c>
      <c r="M255" s="18" t="s">
        <v>736</v>
      </c>
      <c r="N255" s="74"/>
      <c r="O255" s="74"/>
      <c r="P255" s="74"/>
      <c r="Q255" s="42" t="str">
        <f>iferror(VLOOKUP(A255,'Positional cal'!A:H,1,0)=A255,"FALSE")</f>
        <v>FALSE</v>
      </c>
      <c r="R255" s="43" t="b">
        <f t="shared" si="3"/>
        <v>0</v>
      </c>
      <c r="S255" s="46">
        <f>IFERROR(VLOOKUP($A255,AlgoUi!$A:$X,21,0),"NA")</f>
        <v>6541291</v>
      </c>
      <c r="T255" s="46">
        <f>IFERROR(VLOOKUP($A255,AlgoUi!$A:$X,23,0),"")</f>
        <v>6000000</v>
      </c>
      <c r="U255" s="46">
        <f>IFERROR(VLOOKUP($A255,AlgoUi!$A:$X,24,0),"")</f>
        <v>60000</v>
      </c>
      <c r="V255" s="42" t="str">
        <f>IFERROR(__xludf.DUMMYFUNCTION("IFERROR(VLOOKUP(I255,IMPORTRANGE(""https://docs.google.com/spreadsheets/d/17FOIUYQAjPk1pPQIlvOgqYDBqwUqgb7KWzp4DtVksBk/edit?gid=0#gid=0"",""Servers!A:S""),19,FALSE), ""Not Running"")"),"SAKSHAMG")</f>
        <v>SAKSHAMG</v>
      </c>
      <c r="W255" s="47" t="str">
        <f>VLOOKUP($A255,Category!$A:$E,4,0)</f>
        <v>MS</v>
      </c>
      <c r="X255" s="47" t="str">
        <f>VLOOKUP($A255,Category!$A:$E,5,0)</f>
        <v>MSP</v>
      </c>
      <c r="Y255" s="18" t="str">
        <f>VLOOKUP(A255,PAcc!$A$1:$J$27,10,0)</f>
        <v>#N/A</v>
      </c>
      <c r="Z255" s="42" t="b">
        <f t="shared" si="4"/>
        <v>0</v>
      </c>
      <c r="AA255" s="50">
        <v>0.4</v>
      </c>
      <c r="AB255" s="42" t="str">
        <f>VLOOKUP(A255,VlookupSheet!$A$383:$A$523,1,0)</f>
        <v>#N/A</v>
      </c>
      <c r="AD255" s="42">
        <f t="shared" si="32"/>
        <v>2616516.4</v>
      </c>
      <c r="AE255" s="42">
        <f t="shared" si="33"/>
        <v>20000</v>
      </c>
      <c r="AF255" s="123">
        <f t="shared" si="34"/>
        <v>0</v>
      </c>
    </row>
    <row r="256">
      <c r="A256" s="30" t="s">
        <v>1441</v>
      </c>
      <c r="B256" s="84" t="s">
        <v>1581</v>
      </c>
      <c r="C256" s="30" t="s">
        <v>320</v>
      </c>
      <c r="D256" s="11">
        <f t="shared" si="37"/>
        <v>1</v>
      </c>
      <c r="E256" s="11">
        <f t="shared" si="38"/>
        <v>20000</v>
      </c>
      <c r="F256" s="30" t="s">
        <v>311</v>
      </c>
      <c r="G256" s="11">
        <v>20000.0</v>
      </c>
      <c r="H256" s="31">
        <v>20000.0</v>
      </c>
      <c r="I256" s="74" t="s">
        <v>327</v>
      </c>
      <c r="J256" s="25" t="s">
        <v>77</v>
      </c>
      <c r="K256" s="38">
        <f t="shared" si="17"/>
        <v>1</v>
      </c>
      <c r="L256" s="18" t="s">
        <v>910</v>
      </c>
      <c r="M256" s="18" t="s">
        <v>736</v>
      </c>
      <c r="N256" s="74"/>
      <c r="O256" s="74"/>
      <c r="P256" s="74"/>
      <c r="Q256" s="42" t="str">
        <f>iferror(VLOOKUP(A256,'Positional cal'!A:H,1,0)=A256,"FALSE")</f>
        <v>FALSE</v>
      </c>
      <c r="R256" s="43" t="b">
        <f t="shared" si="3"/>
        <v>0</v>
      </c>
      <c r="S256" s="46">
        <f>IFERROR(VLOOKUP($A256,AlgoUi!$A:$X,21,0),"NA")</f>
        <v>6991054</v>
      </c>
      <c r="T256" s="46">
        <f>IFERROR(VLOOKUP($A256,AlgoUi!$A:$X,23,0),"")</f>
        <v>6000000</v>
      </c>
      <c r="U256" s="46">
        <f>IFERROR(VLOOKUP($A256,AlgoUi!$A:$X,24,0),"")</f>
        <v>60000</v>
      </c>
      <c r="V256" s="42" t="str">
        <f>IFERROR(__xludf.DUMMYFUNCTION("IFERROR(VLOOKUP(I256,IMPORTRANGE(""https://docs.google.com/spreadsheets/d/17FOIUYQAjPk1pPQIlvOgqYDBqwUqgb7KWzp4DtVksBk/edit?gid=0#gid=0"",""Servers!A:S""),19,FALSE), ""Not Running"")"),"SAKSHAMG")</f>
        <v>SAKSHAMG</v>
      </c>
      <c r="W256" s="47" t="str">
        <f>VLOOKUP($A256,Category!$A:$E,4,0)</f>
        <v>MS</v>
      </c>
      <c r="X256" s="47" t="str">
        <f>VLOOKUP($A256,Category!$A:$E,5,0)</f>
        <v>MSP</v>
      </c>
      <c r="Y256" s="18" t="str">
        <f>VLOOKUP(A256,PAcc!$A$1:$J$27,10,0)</f>
        <v>#N/A</v>
      </c>
      <c r="Z256" s="42" t="b">
        <f t="shared" si="4"/>
        <v>0</v>
      </c>
      <c r="AA256" s="50">
        <v>0.4</v>
      </c>
      <c r="AB256" s="42" t="str">
        <f>VLOOKUP(A256,VlookupSheet!$A$383:$A$523,1,0)</f>
        <v>#N/A</v>
      </c>
      <c r="AC256" s="50">
        <v>0.01</v>
      </c>
      <c r="AD256" s="42">
        <f t="shared" si="32"/>
        <v>2796421.6</v>
      </c>
      <c r="AE256" s="42">
        <f t="shared" si="33"/>
        <v>20000</v>
      </c>
      <c r="AF256" s="123">
        <f t="shared" si="34"/>
        <v>0</v>
      </c>
    </row>
    <row r="257">
      <c r="A257" s="30" t="s">
        <v>1891</v>
      </c>
      <c r="B257" s="84" t="s">
        <v>1892</v>
      </c>
      <c r="C257" s="85"/>
      <c r="D257" s="11">
        <f t="shared" si="37"/>
        <v>1</v>
      </c>
      <c r="E257" s="11">
        <f t="shared" si="38"/>
        <v>20000</v>
      </c>
      <c r="F257" s="30" t="s">
        <v>311</v>
      </c>
      <c r="G257" s="11">
        <v>20000.0</v>
      </c>
      <c r="H257" s="31">
        <v>20000.0</v>
      </c>
      <c r="I257" s="74" t="s">
        <v>327</v>
      </c>
      <c r="J257" s="25" t="s">
        <v>77</v>
      </c>
      <c r="K257" s="38">
        <f t="shared" si="17"/>
        <v>1</v>
      </c>
      <c r="L257" s="18" t="s">
        <v>910</v>
      </c>
      <c r="M257" s="18" t="s">
        <v>736</v>
      </c>
      <c r="N257" s="74"/>
      <c r="O257" s="74"/>
      <c r="P257" s="74"/>
      <c r="Q257" s="42" t="str">
        <f>iferror(VLOOKUP(A257,'Positional cal'!A:H,1,0)=A257,"FALSE")</f>
        <v>FALSE</v>
      </c>
      <c r="R257" s="43" t="b">
        <f t="shared" si="3"/>
        <v>0</v>
      </c>
      <c r="S257" s="46">
        <f>IFERROR(VLOOKUP($A257,AlgoUi!$A:$X,21,0),"NA")</f>
        <v>6048855</v>
      </c>
      <c r="T257" s="46">
        <f>IFERROR(VLOOKUP($A257,AlgoUi!$A:$X,23,0),"")</f>
        <v>6000000</v>
      </c>
      <c r="U257" s="46">
        <f>IFERROR(VLOOKUP($A257,AlgoUi!$A:$X,24,0),"")</f>
        <v>60000</v>
      </c>
      <c r="V257" s="42" t="str">
        <f>IFERROR(__xludf.DUMMYFUNCTION("IFERROR(VLOOKUP(I257,IMPORTRANGE(""https://docs.google.com/spreadsheets/d/17FOIUYQAjPk1pPQIlvOgqYDBqwUqgb7KWzp4DtVksBk/edit?gid=0#gid=0"",""Servers!A:S""),19,FALSE), ""Not Running"")"),"SAKSHAMG")</f>
        <v>SAKSHAMG</v>
      </c>
      <c r="W257" s="47" t="str">
        <f>VLOOKUP($A257,Category!$A:$E,4,0)</f>
        <v>MS</v>
      </c>
      <c r="X257" s="47" t="str">
        <f>VLOOKUP($A257,Category!$A:$E,5,0)</f>
        <v>MSR</v>
      </c>
      <c r="Y257" s="18" t="str">
        <f>VLOOKUP(A257,PAcc!$A$1:$J$27,10,0)</f>
        <v>#N/A</v>
      </c>
      <c r="Z257" s="42" t="b">
        <f t="shared" si="4"/>
        <v>0</v>
      </c>
      <c r="AA257" s="50">
        <v>0.4</v>
      </c>
      <c r="AB257" s="42" t="str">
        <f>VLOOKUP(A257,VlookupSheet!$A$383:$A$523,1,0)</f>
        <v>#N/A</v>
      </c>
      <c r="AC257" s="50">
        <v>0.01</v>
      </c>
      <c r="AD257" s="42">
        <f t="shared" si="32"/>
        <v>2419542</v>
      </c>
      <c r="AE257" s="42">
        <f t="shared" si="33"/>
        <v>20000</v>
      </c>
      <c r="AF257" s="123">
        <f t="shared" si="34"/>
        <v>0</v>
      </c>
    </row>
    <row r="258">
      <c r="A258" s="60" t="s">
        <v>1907</v>
      </c>
      <c r="B258" s="60" t="s">
        <v>1908</v>
      </c>
      <c r="C258" s="174"/>
      <c r="D258" s="11">
        <f t="shared" si="37"/>
        <v>1</v>
      </c>
      <c r="E258" s="11">
        <f t="shared" si="38"/>
        <v>40000</v>
      </c>
      <c r="F258" s="71" t="s">
        <v>311</v>
      </c>
      <c r="G258" s="11" t="s">
        <v>1100</v>
      </c>
      <c r="H258" s="31">
        <v>40000.0</v>
      </c>
      <c r="I258" s="42" t="s">
        <v>327</v>
      </c>
      <c r="J258" s="25" t="s">
        <v>77</v>
      </c>
      <c r="K258" s="38">
        <f t="shared" si="17"/>
        <v>1</v>
      </c>
      <c r="L258" s="18" t="s">
        <v>910</v>
      </c>
      <c r="M258" s="18" t="s">
        <v>736</v>
      </c>
      <c r="N258" s="42"/>
      <c r="O258" s="42"/>
      <c r="P258" s="42"/>
      <c r="Q258" s="42" t="str">
        <f>iferror(VLOOKUP(A258,'Positional cal'!A:H,1,0)=A258,"FALSE")</f>
        <v>FALSE</v>
      </c>
      <c r="R258" s="43" t="b">
        <f t="shared" si="3"/>
        <v>0</v>
      </c>
      <c r="S258" s="46">
        <f>IFERROR(VLOOKUP($A258,AlgoUi!$A:$X,21,0),"NA")</f>
        <v>7553901</v>
      </c>
      <c r="T258" s="46">
        <f>IFERROR(VLOOKUP($A258,AlgoUi!$A:$X,23,0),"")</f>
        <v>8000000</v>
      </c>
      <c r="U258" s="46">
        <f>IFERROR(VLOOKUP($A258,AlgoUi!$A:$X,24,0),"")</f>
        <v>80000</v>
      </c>
      <c r="V258" s="42" t="str">
        <f>IFERROR(__xludf.DUMMYFUNCTION("IFERROR(VLOOKUP(I258,IMPORTRANGE(""https://docs.google.com/spreadsheets/d/17FOIUYQAjPk1pPQIlvOgqYDBqwUqgb7KWzp4DtVksBk/edit?gid=0#gid=0"",""Servers!A:S""),19,FALSE), ""Not Running"")"),"SAKSHAMG")</f>
        <v>SAKSHAMG</v>
      </c>
      <c r="W258" s="47" t="str">
        <f>VLOOKUP($A258,Category!$A:$E,4,0)</f>
        <v>MS</v>
      </c>
      <c r="X258" s="47" t="str">
        <f>VLOOKUP($A258,Category!$A:$E,5,0)</f>
        <v>MSR</v>
      </c>
      <c r="Y258" s="18" t="str">
        <f>VLOOKUP(A258,PAcc!$A$1:$J$27,10,0)</f>
        <v>#N/A</v>
      </c>
      <c r="Z258" s="42" t="b">
        <f t="shared" si="4"/>
        <v>0</v>
      </c>
      <c r="AA258" s="50">
        <v>0.4</v>
      </c>
      <c r="AB258" s="42" t="str">
        <f>VLOOKUP(A258,VlookupSheet!$A$383:$A$523,1,0)</f>
        <v>#N/A</v>
      </c>
      <c r="AC258" s="50">
        <v>0.01</v>
      </c>
      <c r="AD258" s="42">
        <f t="shared" si="32"/>
        <v>3021560.4</v>
      </c>
      <c r="AE258" s="42">
        <f t="shared" si="33"/>
        <v>40000</v>
      </c>
      <c r="AF258" s="123">
        <f t="shared" si="34"/>
        <v>0</v>
      </c>
    </row>
    <row r="259">
      <c r="A259" s="30" t="s">
        <v>350</v>
      </c>
      <c r="B259" s="84" t="s">
        <v>1926</v>
      </c>
      <c r="C259" s="30" t="s">
        <v>320</v>
      </c>
      <c r="D259" s="11">
        <f t="shared" si="37"/>
        <v>1</v>
      </c>
      <c r="E259" s="11">
        <f t="shared" si="38"/>
        <v>40000</v>
      </c>
      <c r="F259" s="30" t="s">
        <v>311</v>
      </c>
      <c r="G259" s="11" t="s">
        <v>1100</v>
      </c>
      <c r="H259" s="31">
        <v>40000.0</v>
      </c>
      <c r="I259" s="74" t="s">
        <v>327</v>
      </c>
      <c r="J259" s="25" t="s">
        <v>77</v>
      </c>
      <c r="K259" s="38">
        <f t="shared" si="17"/>
        <v>1</v>
      </c>
      <c r="L259" s="18" t="s">
        <v>910</v>
      </c>
      <c r="M259" s="18" t="s">
        <v>736</v>
      </c>
      <c r="N259" s="34"/>
      <c r="O259" s="34"/>
      <c r="P259" s="34"/>
      <c r="Q259" s="42" t="str">
        <f>iferror(VLOOKUP(A259,'Positional cal'!A:H,1,0)=A259,"FALSE")</f>
        <v>FALSE</v>
      </c>
      <c r="R259" s="43" t="b">
        <f t="shared" si="3"/>
        <v>0</v>
      </c>
      <c r="S259" s="46">
        <f>IFERROR(VLOOKUP($A259,AlgoUi!$A:$X,21,0),"NA")</f>
        <v>8639414</v>
      </c>
      <c r="T259" s="46">
        <f>IFERROR(VLOOKUP($A259,AlgoUi!$A:$X,23,0),"")</f>
        <v>8000000</v>
      </c>
      <c r="U259" s="46">
        <f>IFERROR(VLOOKUP($A259,AlgoUi!$A:$X,24,0),"")</f>
        <v>80000</v>
      </c>
      <c r="V259" s="42" t="str">
        <f>IFERROR(__xludf.DUMMYFUNCTION("IFERROR(VLOOKUP(I259,IMPORTRANGE(""https://docs.google.com/spreadsheets/d/17FOIUYQAjPk1pPQIlvOgqYDBqwUqgb7KWzp4DtVksBk/edit?gid=0#gid=0"",""Servers!A:S""),19,FALSE), ""Not Running"")"),"SAKSHAMG")</f>
        <v>SAKSHAMG</v>
      </c>
      <c r="W259" s="47" t="str">
        <f>VLOOKUP($A259,Category!$A:$E,4,0)</f>
        <v>MS</v>
      </c>
      <c r="X259" s="47" t="str">
        <f>VLOOKUP($A259,Category!$A:$E,5,0)</f>
        <v>MSR</v>
      </c>
      <c r="Y259" s="18" t="str">
        <f>VLOOKUP(A259,PAcc!$A$1:$J$27,10,0)</f>
        <v>#N/A</v>
      </c>
      <c r="Z259" s="42" t="b">
        <f t="shared" si="4"/>
        <v>0</v>
      </c>
      <c r="AA259" s="50">
        <v>0.4</v>
      </c>
      <c r="AB259" s="42" t="str">
        <f>VLOOKUP(A259,VlookupSheet!$A$383:$A$523,1,0)</f>
        <v>#N/A</v>
      </c>
      <c r="AC259" s="50">
        <v>0.01</v>
      </c>
      <c r="AD259" s="42">
        <f t="shared" si="32"/>
        <v>3455765.6</v>
      </c>
      <c r="AE259" s="42">
        <f t="shared" si="33"/>
        <v>40000</v>
      </c>
      <c r="AF259" s="123">
        <f t="shared" si="34"/>
        <v>0</v>
      </c>
    </row>
    <row r="260">
      <c r="A260" s="30" t="s">
        <v>1944</v>
      </c>
      <c r="B260" s="84" t="s">
        <v>1946</v>
      </c>
      <c r="C260" s="85"/>
      <c r="D260" s="11">
        <f t="shared" si="37"/>
        <v>1</v>
      </c>
      <c r="E260" s="11">
        <f t="shared" si="38"/>
        <v>60000</v>
      </c>
      <c r="F260" s="30" t="s">
        <v>311</v>
      </c>
      <c r="G260" s="11" t="s">
        <v>1550</v>
      </c>
      <c r="H260" s="31">
        <v>60000.0</v>
      </c>
      <c r="I260" s="74" t="s">
        <v>327</v>
      </c>
      <c r="J260" s="25" t="s">
        <v>77</v>
      </c>
      <c r="K260" s="38">
        <f t="shared" si="17"/>
        <v>1</v>
      </c>
      <c r="L260" s="18" t="s">
        <v>910</v>
      </c>
      <c r="M260" s="18" t="s">
        <v>736</v>
      </c>
      <c r="N260" s="74"/>
      <c r="O260" s="74"/>
      <c r="P260" s="74"/>
      <c r="Q260" s="42" t="str">
        <f>iferror(VLOOKUP(A260,'Positional cal'!A:H,1,0)=A260,"FALSE")</f>
        <v>FALSE</v>
      </c>
      <c r="R260" s="43" t="b">
        <f t="shared" si="3"/>
        <v>0</v>
      </c>
      <c r="S260" s="46">
        <f>IFERROR(VLOOKUP($A260,AlgoUi!$A:$X,21,0),"NA")</f>
        <v>14983386</v>
      </c>
      <c r="T260" s="46">
        <f>IFERROR(VLOOKUP($A260,AlgoUi!$A:$X,23,0),"")</f>
        <v>14000000</v>
      </c>
      <c r="U260" s="46">
        <f>IFERROR(VLOOKUP($A260,AlgoUi!$A:$X,24,0),"")</f>
        <v>140000</v>
      </c>
      <c r="V260" s="42" t="str">
        <f>IFERROR(__xludf.DUMMYFUNCTION("IFERROR(VLOOKUP(I260,IMPORTRANGE(""https://docs.google.com/spreadsheets/d/17FOIUYQAjPk1pPQIlvOgqYDBqwUqgb7KWzp4DtVksBk/edit?gid=0#gid=0"",""Servers!A:S""),19,FALSE), ""Not Running"")"),"SAKSHAMG")</f>
        <v>SAKSHAMG</v>
      </c>
      <c r="W260" s="47" t="str">
        <f>VLOOKUP($A260,Category!$A:$E,4,0)</f>
        <v>MS</v>
      </c>
      <c r="X260" s="47" t="str">
        <f>VLOOKUP($A260,Category!$A:$E,5,0)</f>
        <v>MSN</v>
      </c>
      <c r="Y260" s="18" t="str">
        <f>VLOOKUP(A260,PAcc!$A$1:$J$27,10,0)</f>
        <v>#N/A</v>
      </c>
      <c r="Z260" s="42" t="b">
        <f t="shared" si="4"/>
        <v>0</v>
      </c>
      <c r="AA260" s="50">
        <v>0.4</v>
      </c>
      <c r="AB260" s="42" t="str">
        <f>VLOOKUP(A260,VlookupSheet!$A$383:$A$523,1,0)</f>
        <v>#N/A</v>
      </c>
      <c r="AC260" s="50">
        <v>0.01</v>
      </c>
      <c r="AD260" s="42">
        <f t="shared" si="32"/>
        <v>5993354.4</v>
      </c>
      <c r="AE260" s="42">
        <f t="shared" si="33"/>
        <v>60000</v>
      </c>
      <c r="AF260" s="123">
        <f t="shared" si="34"/>
        <v>0</v>
      </c>
    </row>
    <row r="261">
      <c r="A261" s="11" t="s">
        <v>1963</v>
      </c>
      <c r="B261" s="84" t="s">
        <v>1964</v>
      </c>
      <c r="C261" s="25"/>
      <c r="D261" s="11">
        <f t="shared" si="37"/>
        <v>1</v>
      </c>
      <c r="E261" s="11">
        <f t="shared" si="38"/>
        <v>40000</v>
      </c>
      <c r="F261" s="30" t="s">
        <v>311</v>
      </c>
      <c r="G261" s="11" t="s">
        <v>1100</v>
      </c>
      <c r="H261" s="31">
        <v>40000.0</v>
      </c>
      <c r="I261" s="74" t="s">
        <v>327</v>
      </c>
      <c r="J261" s="25" t="s">
        <v>77</v>
      </c>
      <c r="K261" s="38">
        <f t="shared" si="17"/>
        <v>1</v>
      </c>
      <c r="L261" s="18" t="s">
        <v>910</v>
      </c>
      <c r="M261" s="18" t="s">
        <v>736</v>
      </c>
      <c r="N261" s="42"/>
      <c r="O261" s="42"/>
      <c r="P261" s="42"/>
      <c r="Q261" s="42" t="str">
        <f>iferror(VLOOKUP(A261,'Positional cal'!A:H,1,0)=A261,"FALSE")</f>
        <v>FALSE</v>
      </c>
      <c r="R261" s="43" t="b">
        <f t="shared" si="3"/>
        <v>0</v>
      </c>
      <c r="S261" s="46">
        <f>IFERROR(VLOOKUP($A261,AlgoUi!$A:$X,21,0),"NA")</f>
        <v>10165628</v>
      </c>
      <c r="T261" s="46">
        <f>IFERROR(VLOOKUP($A261,AlgoUi!$A:$X,23,0),"")</f>
        <v>10000000</v>
      </c>
      <c r="U261" s="46">
        <f>IFERROR(VLOOKUP($A261,AlgoUi!$A:$X,24,0),"")</f>
        <v>100000</v>
      </c>
      <c r="V261" s="42" t="str">
        <f>IFERROR(__xludf.DUMMYFUNCTION("IFERROR(VLOOKUP(I261,IMPORTRANGE(""https://docs.google.com/spreadsheets/d/17FOIUYQAjPk1pPQIlvOgqYDBqwUqgb7KWzp4DtVksBk/edit?gid=0#gid=0"",""Servers!A:S""),19,FALSE), ""Not Running"")"),"SAKSHAMG")</f>
        <v>SAKSHAMG</v>
      </c>
      <c r="W261" s="47" t="str">
        <f>VLOOKUP($A261,Category!$A:$E,4,0)</f>
        <v>MS</v>
      </c>
      <c r="X261" s="47" t="str">
        <f>VLOOKUP($A261,Category!$A:$E,5,0)</f>
        <v>MSN</v>
      </c>
      <c r="Y261" s="18" t="str">
        <f>VLOOKUP(A261,PAcc!$A$1:$J$27,10,0)</f>
        <v>#N/A</v>
      </c>
      <c r="Z261" s="42" t="b">
        <f t="shared" si="4"/>
        <v>0</v>
      </c>
      <c r="AA261" s="50">
        <v>0.4</v>
      </c>
      <c r="AB261" s="42" t="str">
        <f>VLOOKUP(A261,VlookupSheet!$A$383:$A$523,1,0)</f>
        <v>#N/A</v>
      </c>
      <c r="AC261" s="50">
        <v>0.01</v>
      </c>
      <c r="AD261" s="42">
        <f t="shared" si="32"/>
        <v>4066251.2</v>
      </c>
      <c r="AE261" s="42">
        <f t="shared" si="33"/>
        <v>40000</v>
      </c>
      <c r="AF261" s="123">
        <f t="shared" si="34"/>
        <v>0</v>
      </c>
    </row>
    <row r="262">
      <c r="A262" s="30" t="s">
        <v>1392</v>
      </c>
      <c r="B262" s="84" t="s">
        <v>1867</v>
      </c>
      <c r="C262" s="85"/>
      <c r="D262" s="11">
        <f t="shared" si="37"/>
        <v>1</v>
      </c>
      <c r="E262" s="11">
        <f t="shared" si="38"/>
        <v>20000</v>
      </c>
      <c r="F262" s="30" t="s">
        <v>311</v>
      </c>
      <c r="G262" s="11">
        <v>20000.0</v>
      </c>
      <c r="H262" s="31">
        <v>20000.0</v>
      </c>
      <c r="I262" s="74" t="s">
        <v>327</v>
      </c>
      <c r="J262" s="25" t="s">
        <v>77</v>
      </c>
      <c r="K262" s="38">
        <f t="shared" si="17"/>
        <v>1</v>
      </c>
      <c r="L262" s="18" t="s">
        <v>910</v>
      </c>
      <c r="M262" s="18" t="s">
        <v>736</v>
      </c>
      <c r="N262" s="74"/>
      <c r="O262" s="74"/>
      <c r="P262" s="74"/>
      <c r="Q262" s="42" t="str">
        <f>iferror(VLOOKUP(A262,'Positional cal'!A:H,1,0)=A262,"FALSE")</f>
        <v>FALSE</v>
      </c>
      <c r="R262" s="43" t="b">
        <f t="shared" si="3"/>
        <v>0</v>
      </c>
      <c r="S262" s="46">
        <f>IFERROR(VLOOKUP($A262,AlgoUi!$A:$X,21,0),"NA")</f>
        <v>5616198</v>
      </c>
      <c r="T262" s="46">
        <f>IFERROR(VLOOKUP($A262,AlgoUi!$A:$X,23,0),"")</f>
        <v>6000000</v>
      </c>
      <c r="U262" s="46">
        <f>IFERROR(VLOOKUP($A262,AlgoUi!$A:$X,24,0),"")</f>
        <v>60000</v>
      </c>
      <c r="V262" s="42" t="str">
        <f>IFERROR(__xludf.DUMMYFUNCTION("IFERROR(VLOOKUP(I262,IMPORTRANGE(""https://docs.google.com/spreadsheets/d/17FOIUYQAjPk1pPQIlvOgqYDBqwUqgb7KWzp4DtVksBk/edit?gid=0#gid=0"",""Servers!A:S""),19,FALSE), ""Not Running"")"),"SAKSHAMG")</f>
        <v>SAKSHAMG</v>
      </c>
      <c r="W262" s="47" t="str">
        <f>VLOOKUP($A262,Category!$A:$E,4,0)</f>
        <v>MS</v>
      </c>
      <c r="X262" s="47" t="str">
        <f>VLOOKUP($A262,Category!$A:$E,5,0)</f>
        <v>MSP</v>
      </c>
      <c r="Y262" s="18" t="str">
        <f>VLOOKUP(A262,PAcc!$A$1:$J$27,10,0)</f>
        <v>#N/A</v>
      </c>
      <c r="Z262" s="42" t="b">
        <f t="shared" si="4"/>
        <v>0</v>
      </c>
      <c r="AA262" s="50">
        <v>0.4</v>
      </c>
      <c r="AB262" s="42" t="str">
        <f>VLOOKUP(A262,VlookupSheet!$A$383:$A$523,1,0)</f>
        <v>#N/A</v>
      </c>
      <c r="AC262" s="50">
        <v>0.01</v>
      </c>
      <c r="AD262" s="42">
        <f t="shared" si="32"/>
        <v>2246479.2</v>
      </c>
      <c r="AE262" s="42">
        <f t="shared" si="33"/>
        <v>20000</v>
      </c>
      <c r="AF262" s="123">
        <f t="shared" si="34"/>
        <v>0</v>
      </c>
    </row>
    <row r="263">
      <c r="A263" s="11" t="s">
        <v>2000</v>
      </c>
      <c r="B263" s="24" t="s">
        <v>2002</v>
      </c>
      <c r="C263" s="25"/>
      <c r="D263" s="11">
        <f t="shared" si="37"/>
        <v>1</v>
      </c>
      <c r="E263" s="11">
        <f t="shared" si="38"/>
        <v>60000</v>
      </c>
      <c r="F263" s="30" t="s">
        <v>311</v>
      </c>
      <c r="G263" s="11" t="s">
        <v>1550</v>
      </c>
      <c r="H263" s="31">
        <v>60000.0</v>
      </c>
      <c r="I263" s="42" t="s">
        <v>327</v>
      </c>
      <c r="J263" s="25" t="s">
        <v>77</v>
      </c>
      <c r="K263" s="38">
        <f t="shared" si="17"/>
        <v>1</v>
      </c>
      <c r="L263" s="18" t="s">
        <v>910</v>
      </c>
      <c r="M263" s="18" t="s">
        <v>736</v>
      </c>
      <c r="N263" s="42"/>
      <c r="O263" s="42"/>
      <c r="P263" s="42"/>
      <c r="Q263" s="42" t="str">
        <f>iferror(VLOOKUP(A263,'Positional cal'!A:H,1,0)=A263,"FALSE")</f>
        <v>FALSE</v>
      </c>
      <c r="R263" s="43" t="b">
        <f t="shared" si="3"/>
        <v>0</v>
      </c>
      <c r="S263" s="46">
        <f>IFERROR(VLOOKUP($A263,AlgoUi!$A:$X,21,0),"NA")</f>
        <v>13857254</v>
      </c>
      <c r="T263" s="46">
        <f>IFERROR(VLOOKUP($A263,AlgoUi!$A:$X,23,0),"")</f>
        <v>14000000</v>
      </c>
      <c r="U263" s="46">
        <f>IFERROR(VLOOKUP($A263,AlgoUi!$A:$X,24,0),"")</f>
        <v>140000</v>
      </c>
      <c r="V263" s="42" t="str">
        <f>IFERROR(__xludf.DUMMYFUNCTION("IFERROR(VLOOKUP(I263,IMPORTRANGE(""https://docs.google.com/spreadsheets/d/17FOIUYQAjPk1pPQIlvOgqYDBqwUqgb7KWzp4DtVksBk/edit?gid=0#gid=0"",""Servers!A:S""),19,FALSE), ""Not Running"")"),"SAKSHAMG")</f>
        <v>SAKSHAMG</v>
      </c>
      <c r="W263" s="47" t="str">
        <f>VLOOKUP($A263,Category!$A:$E,4,0)</f>
        <v>MS</v>
      </c>
      <c r="X263" s="47" t="str">
        <f>VLOOKUP($A263,Category!$A:$E,5,0)</f>
        <v>MSR</v>
      </c>
      <c r="Y263" s="18" t="str">
        <f>VLOOKUP(A263,PAcc!$A$1:$J$27,10,0)</f>
        <v>#N/A</v>
      </c>
      <c r="Z263" s="42" t="b">
        <f t="shared" si="4"/>
        <v>0</v>
      </c>
      <c r="AA263" s="50">
        <v>0.4</v>
      </c>
      <c r="AB263" s="42" t="str">
        <f>VLOOKUP(A263,VlookupSheet!$A$383:$A$523,1,0)</f>
        <v>#N/A</v>
      </c>
      <c r="AC263" s="50">
        <v>0.01</v>
      </c>
      <c r="AD263" s="42">
        <f t="shared" si="32"/>
        <v>5542901.6</v>
      </c>
      <c r="AE263" s="42">
        <f t="shared" si="33"/>
        <v>60000</v>
      </c>
      <c r="AF263" s="123">
        <f t="shared" si="34"/>
        <v>0</v>
      </c>
    </row>
    <row r="264">
      <c r="A264" s="11" t="s">
        <v>2022</v>
      </c>
      <c r="B264" s="24" t="s">
        <v>2023</v>
      </c>
      <c r="C264" s="25"/>
      <c r="D264" s="11">
        <f t="shared" si="37"/>
        <v>1</v>
      </c>
      <c r="E264" s="11">
        <f t="shared" si="38"/>
        <v>20000</v>
      </c>
      <c r="F264" s="30" t="s">
        <v>311</v>
      </c>
      <c r="G264" s="11">
        <v>20000.0</v>
      </c>
      <c r="H264" s="31">
        <v>20000.0</v>
      </c>
      <c r="I264" s="42" t="s">
        <v>327</v>
      </c>
      <c r="J264" s="25" t="s">
        <v>77</v>
      </c>
      <c r="K264" s="38">
        <f t="shared" si="17"/>
        <v>1</v>
      </c>
      <c r="L264" s="18" t="s">
        <v>910</v>
      </c>
      <c r="M264" s="18" t="s">
        <v>736</v>
      </c>
      <c r="N264" s="42"/>
      <c r="O264" s="42"/>
      <c r="P264" s="42"/>
      <c r="Q264" s="42" t="str">
        <f>iferror(VLOOKUP(A264,'Positional cal'!A:H,1,0)=A264,"FALSE")</f>
        <v>FALSE</v>
      </c>
      <c r="R264" s="43" t="b">
        <f t="shared" si="3"/>
        <v>0</v>
      </c>
      <c r="S264" s="46">
        <f>IFERROR(VLOOKUP($A264,AlgoUi!$A:$X,21,0),"NA")</f>
        <v>5027430</v>
      </c>
      <c r="T264" s="46">
        <f>IFERROR(VLOOKUP($A264,AlgoUi!$A:$X,23,0),"")</f>
        <v>6000000</v>
      </c>
      <c r="U264" s="46">
        <f>IFERROR(VLOOKUP($A264,AlgoUi!$A:$X,24,0),"")</f>
        <v>60000</v>
      </c>
      <c r="V264" s="42" t="str">
        <f>IFERROR(__xludf.DUMMYFUNCTION("IFERROR(VLOOKUP(I264,IMPORTRANGE(""https://docs.google.com/spreadsheets/d/17FOIUYQAjPk1pPQIlvOgqYDBqwUqgb7KWzp4DtVksBk/edit?gid=0#gid=0"",""Servers!A:S""),19,FALSE), ""Not Running"")"),"SAKSHAMG")</f>
        <v>SAKSHAMG</v>
      </c>
      <c r="W264" s="47" t="str">
        <f>VLOOKUP($A264,Category!$A:$E,4,0)</f>
        <v>MS</v>
      </c>
      <c r="X264" s="47" t="str">
        <f>VLOOKUP($A264,Category!$A:$E,5,0)</f>
        <v>MSP</v>
      </c>
      <c r="Y264" s="18" t="str">
        <f>VLOOKUP(A264,PAcc!$A$1:$J$27,10,0)</f>
        <v>#N/A</v>
      </c>
      <c r="Z264" s="42" t="b">
        <f t="shared" si="4"/>
        <v>0</v>
      </c>
      <c r="AA264" s="50">
        <v>0.4</v>
      </c>
      <c r="AB264" s="42" t="str">
        <f>VLOOKUP(A264,VlookupSheet!$A$383:$A$523,1,0)</f>
        <v>#N/A</v>
      </c>
      <c r="AC264" s="50">
        <v>0.01</v>
      </c>
      <c r="AD264" s="42">
        <f t="shared" si="32"/>
        <v>2010972</v>
      </c>
      <c r="AE264" s="42">
        <f t="shared" si="33"/>
        <v>20000</v>
      </c>
      <c r="AF264" s="123">
        <f t="shared" si="34"/>
        <v>0</v>
      </c>
    </row>
    <row r="265">
      <c r="A265" s="11" t="s">
        <v>2040</v>
      </c>
      <c r="B265" s="24" t="s">
        <v>2041</v>
      </c>
      <c r="C265" s="25"/>
      <c r="D265" s="11">
        <f t="shared" si="37"/>
        <v>1</v>
      </c>
      <c r="E265" s="11">
        <f t="shared" si="38"/>
        <v>20000</v>
      </c>
      <c r="F265" s="30" t="s">
        <v>311</v>
      </c>
      <c r="G265" s="11">
        <v>20000.0</v>
      </c>
      <c r="H265" s="31">
        <v>20000.0</v>
      </c>
      <c r="I265" s="42" t="s">
        <v>327</v>
      </c>
      <c r="J265" s="25" t="s">
        <v>77</v>
      </c>
      <c r="K265" s="38">
        <f t="shared" si="17"/>
        <v>1</v>
      </c>
      <c r="L265" s="18" t="s">
        <v>910</v>
      </c>
      <c r="M265" s="18" t="s">
        <v>736</v>
      </c>
      <c r="N265" s="42"/>
      <c r="O265" s="42"/>
      <c r="P265" s="42"/>
      <c r="Q265" s="42" t="str">
        <f>iferror(VLOOKUP(A265,'Positional cal'!A:H,1,0)=A265,"FALSE")</f>
        <v>FALSE</v>
      </c>
      <c r="R265" s="43" t="b">
        <f t="shared" si="3"/>
        <v>0</v>
      </c>
      <c r="S265" s="46">
        <f>IFERROR(VLOOKUP($A265,AlgoUi!$A:$X,21,0),"NA")</f>
        <v>5597508</v>
      </c>
      <c r="T265" s="46">
        <f>IFERROR(VLOOKUP($A265,AlgoUi!$A:$X,23,0),"")</f>
        <v>6000000</v>
      </c>
      <c r="U265" s="46">
        <f>IFERROR(VLOOKUP($A265,AlgoUi!$A:$X,24,0),"")</f>
        <v>60000</v>
      </c>
      <c r="V265" s="42" t="str">
        <f>IFERROR(__xludf.DUMMYFUNCTION("IFERROR(VLOOKUP(I265,IMPORTRANGE(""https://docs.google.com/spreadsheets/d/17FOIUYQAjPk1pPQIlvOgqYDBqwUqgb7KWzp4DtVksBk/edit?gid=0#gid=0"",""Servers!A:S""),19,FALSE), ""Not Running"")"),"SAKSHAMG")</f>
        <v>SAKSHAMG</v>
      </c>
      <c r="W265" s="47" t="str">
        <f>VLOOKUP($A265,Category!$A:$E,4,0)</f>
        <v>MS</v>
      </c>
      <c r="X265" s="47" t="str">
        <f>VLOOKUP($A265,Category!$A:$E,5,0)</f>
        <v>MSP</v>
      </c>
      <c r="Y265" s="18" t="str">
        <f>VLOOKUP(A265,PAcc!$A$1:$J$27,10,0)</f>
        <v>#N/A</v>
      </c>
      <c r="Z265" s="42" t="b">
        <f t="shared" si="4"/>
        <v>0</v>
      </c>
      <c r="AA265" s="50">
        <v>0.4</v>
      </c>
      <c r="AB265" s="42" t="str">
        <f>VLOOKUP(A265,VlookupSheet!$A$383:$A$523,1,0)</f>
        <v>#N/A</v>
      </c>
      <c r="AC265" s="50">
        <v>0.01</v>
      </c>
      <c r="AD265" s="42">
        <f t="shared" si="32"/>
        <v>2239003.2</v>
      </c>
      <c r="AE265" s="42">
        <f t="shared" si="33"/>
        <v>20000</v>
      </c>
      <c r="AF265" s="123">
        <f t="shared" si="34"/>
        <v>0</v>
      </c>
    </row>
    <row r="266">
      <c r="A266" s="11" t="s">
        <v>2064</v>
      </c>
      <c r="B266" s="24" t="s">
        <v>2065</v>
      </c>
      <c r="C266" s="25"/>
      <c r="D266" s="11">
        <f t="shared" si="37"/>
        <v>1</v>
      </c>
      <c r="E266" s="11">
        <f t="shared" si="38"/>
        <v>40000</v>
      </c>
      <c r="F266" s="30" t="s">
        <v>311</v>
      </c>
      <c r="G266" s="11" t="s">
        <v>1100</v>
      </c>
      <c r="H266" s="31">
        <v>40000.0</v>
      </c>
      <c r="I266" s="11" t="s">
        <v>327</v>
      </c>
      <c r="J266" s="11" t="s">
        <v>77</v>
      </c>
      <c r="K266" s="38">
        <f t="shared" si="17"/>
        <v>1</v>
      </c>
      <c r="L266" s="18" t="s">
        <v>910</v>
      </c>
      <c r="M266" s="18" t="s">
        <v>736</v>
      </c>
      <c r="N266" s="42"/>
      <c r="O266" s="42"/>
      <c r="P266" s="42"/>
      <c r="Q266" s="42" t="str">
        <f>iferror(VLOOKUP(A266,'Positional cal'!A:H,1,0)=A266,"FALSE")</f>
        <v>FALSE</v>
      </c>
      <c r="R266" s="43" t="b">
        <f t="shared" si="3"/>
        <v>0</v>
      </c>
      <c r="S266" s="46">
        <f>IFERROR(VLOOKUP($A266,AlgoUi!$A:$X,21,0),"NA")</f>
        <v>10252636</v>
      </c>
      <c r="T266" s="46">
        <f>IFERROR(VLOOKUP($A266,AlgoUi!$A:$X,23,0),"")</f>
        <v>10000000</v>
      </c>
      <c r="U266" s="46">
        <f>IFERROR(VLOOKUP($A266,AlgoUi!$A:$X,24,0),"")</f>
        <v>100000</v>
      </c>
      <c r="V266" s="42" t="str">
        <f>IFERROR(__xludf.DUMMYFUNCTION("IFERROR(VLOOKUP(I266,IMPORTRANGE(""https://docs.google.com/spreadsheets/d/17FOIUYQAjPk1pPQIlvOgqYDBqwUqgb7KWzp4DtVksBk/edit?gid=0#gid=0"",""Servers!A:S""),19,FALSE), ""Not Running"")"),"SAKSHAMG")</f>
        <v>SAKSHAMG</v>
      </c>
      <c r="W266" s="47" t="str">
        <f>VLOOKUP($A266,Category!$A:$E,4,0)</f>
        <v>MS</v>
      </c>
      <c r="X266" s="47" t="str">
        <f>VLOOKUP($A266,Category!$A:$E,5,0)</f>
        <v>MSN</v>
      </c>
      <c r="Y266" s="18" t="str">
        <f>VLOOKUP(A266,PAcc!$A$1:$J$27,10,0)</f>
        <v>#N/A</v>
      </c>
      <c r="Z266" s="42" t="b">
        <f t="shared" si="4"/>
        <v>0</v>
      </c>
      <c r="AA266" s="50">
        <v>0.4</v>
      </c>
      <c r="AB266" s="42" t="str">
        <f>VLOOKUP(A266,VlookupSheet!$A$383:$A$523,1,0)</f>
        <v>#N/A</v>
      </c>
      <c r="AC266" s="50">
        <v>0.01</v>
      </c>
      <c r="AD266" s="42">
        <f t="shared" si="32"/>
        <v>4101054.4</v>
      </c>
      <c r="AE266" s="42">
        <f t="shared" si="33"/>
        <v>40000</v>
      </c>
      <c r="AF266" s="123">
        <f t="shared" si="34"/>
        <v>0</v>
      </c>
    </row>
    <row r="267">
      <c r="A267" s="30" t="s">
        <v>1705</v>
      </c>
      <c r="B267" s="84" t="s">
        <v>1709</v>
      </c>
      <c r="C267" s="85"/>
      <c r="D267" s="11">
        <f t="shared" si="37"/>
        <v>1</v>
      </c>
      <c r="E267" s="11">
        <f t="shared" si="38"/>
        <v>120000</v>
      </c>
      <c r="F267" s="30" t="s">
        <v>311</v>
      </c>
      <c r="G267" s="31">
        <v>120000.0</v>
      </c>
      <c r="H267" s="31">
        <v>120000.0</v>
      </c>
      <c r="I267" s="34" t="s">
        <v>327</v>
      </c>
      <c r="J267" s="11" t="s">
        <v>77</v>
      </c>
      <c r="K267" s="38">
        <f t="shared" si="17"/>
        <v>1</v>
      </c>
      <c r="L267" s="18" t="s">
        <v>910</v>
      </c>
      <c r="M267" s="18" t="s">
        <v>736</v>
      </c>
      <c r="N267" s="74"/>
      <c r="O267" s="74"/>
      <c r="P267" s="74"/>
      <c r="Q267" s="42" t="str">
        <f>iferror(VLOOKUP(A267,'Positional cal'!A:H,1,0)=A267,"FALSE")</f>
        <v>FALSE</v>
      </c>
      <c r="R267" s="43" t="b">
        <f t="shared" si="3"/>
        <v>0</v>
      </c>
      <c r="S267" s="46">
        <f>IFERROR(VLOOKUP($A267,AlgoUi!$A:$X,21,0),"NA")</f>
        <v>28020462</v>
      </c>
      <c r="T267" s="46">
        <f>IFERROR(VLOOKUP($A267,AlgoUi!$A:$X,23,0),"")</f>
        <v>28000000</v>
      </c>
      <c r="U267" s="46">
        <f>IFERROR(VLOOKUP($A267,AlgoUi!$A:$X,24,0),"")</f>
        <v>280000</v>
      </c>
      <c r="V267" s="42" t="str">
        <f>IFERROR(__xludf.DUMMYFUNCTION("IFERROR(VLOOKUP(I267,IMPORTRANGE(""https://docs.google.com/spreadsheets/d/17FOIUYQAjPk1pPQIlvOgqYDBqwUqgb7KWzp4DtVksBk/edit?gid=0#gid=0"",""Servers!A:S""),19,FALSE), ""Not Running"")"),"SAKSHAMG")</f>
        <v>SAKSHAMG</v>
      </c>
      <c r="W267" s="47" t="str">
        <f>VLOOKUP($A267,Category!$A:$E,4,0)</f>
        <v>MS</v>
      </c>
      <c r="X267" s="47" t="str">
        <f>VLOOKUP($A267,Category!$A:$E,5,0)</f>
        <v>MSR</v>
      </c>
      <c r="Y267" s="18" t="str">
        <f>VLOOKUP(A267,PAcc!$A$1:$J$27,10,0)</f>
        <v>#N/A</v>
      </c>
      <c r="Z267" s="42" t="b">
        <f t="shared" si="4"/>
        <v>0</v>
      </c>
      <c r="AA267" s="50">
        <v>0.4</v>
      </c>
      <c r="AB267" s="42" t="str">
        <f>VLOOKUP(A267,VlookupSheet!$A$383:$A$523,1,0)</f>
        <v>#N/A</v>
      </c>
      <c r="AC267" s="50">
        <v>0.01</v>
      </c>
      <c r="AD267" s="42">
        <f t="shared" si="32"/>
        <v>11208184.8</v>
      </c>
      <c r="AE267" s="42">
        <f t="shared" si="33"/>
        <v>120000</v>
      </c>
      <c r="AF267" s="123">
        <f t="shared" si="34"/>
        <v>0</v>
      </c>
    </row>
    <row r="268">
      <c r="A268" s="11" t="s">
        <v>2104</v>
      </c>
      <c r="B268" s="24" t="s">
        <v>2105</v>
      </c>
      <c r="C268" s="25"/>
      <c r="D268" s="11">
        <f t="shared" si="37"/>
        <v>1</v>
      </c>
      <c r="E268" s="11">
        <f t="shared" si="38"/>
        <v>20000</v>
      </c>
      <c r="F268" s="30" t="s">
        <v>311</v>
      </c>
      <c r="G268" s="11">
        <v>20000.0</v>
      </c>
      <c r="H268" s="31">
        <v>20000.0</v>
      </c>
      <c r="I268" s="42" t="s">
        <v>327</v>
      </c>
      <c r="J268" s="25" t="s">
        <v>77</v>
      </c>
      <c r="K268" s="38">
        <f t="shared" si="17"/>
        <v>1</v>
      </c>
      <c r="L268" s="18" t="s">
        <v>910</v>
      </c>
      <c r="M268" s="18" t="s">
        <v>736</v>
      </c>
      <c r="N268" s="42"/>
      <c r="O268" s="42"/>
      <c r="P268" s="42"/>
      <c r="Q268" s="42" t="str">
        <f>iferror(VLOOKUP(A268,'Positional cal'!A:H,1,0)=A268,"FALSE")</f>
        <v>FALSE</v>
      </c>
      <c r="R268" s="43" t="b">
        <f t="shared" si="3"/>
        <v>0</v>
      </c>
      <c r="S268" s="46">
        <f>IFERROR(VLOOKUP($A268,AlgoUi!$A:$X,21,0),"NA")</f>
        <v>4164442</v>
      </c>
      <c r="T268" s="46">
        <f>IFERROR(VLOOKUP($A268,AlgoUi!$A:$X,23,0),"")</f>
        <v>4000000</v>
      </c>
      <c r="U268" s="46">
        <f>IFERROR(VLOOKUP($A268,AlgoUi!$A:$X,24,0),"")</f>
        <v>40000</v>
      </c>
      <c r="V268" s="42" t="str">
        <f>IFERROR(__xludf.DUMMYFUNCTION("IFERROR(VLOOKUP(I268,IMPORTRANGE(""https://docs.google.com/spreadsheets/d/17FOIUYQAjPk1pPQIlvOgqYDBqwUqgb7KWzp4DtVksBk/edit?gid=0#gid=0"",""Servers!A:S""),19,FALSE), ""Not Running"")"),"SAKSHAMG")</f>
        <v>SAKSHAMG</v>
      </c>
      <c r="W268" s="47" t="str">
        <f>VLOOKUP($A268,Category!$A:$E,4,0)</f>
        <v>MS</v>
      </c>
      <c r="X268" s="47" t="str">
        <f>VLOOKUP($A268,Category!$A:$E,5,0)</f>
        <v>MSR</v>
      </c>
      <c r="Y268" s="18" t="str">
        <f>VLOOKUP(A268,PAcc!$A$1:$J$27,10,0)</f>
        <v>#N/A</v>
      </c>
      <c r="Z268" s="42" t="b">
        <f t="shared" si="4"/>
        <v>0</v>
      </c>
      <c r="AA268" s="50">
        <v>0.4</v>
      </c>
      <c r="AB268" s="42" t="str">
        <f>VLOOKUP(A268,VlookupSheet!$A$383:$A$523,1,0)</f>
        <v>#N/A</v>
      </c>
      <c r="AC268" s="50">
        <v>0.01</v>
      </c>
      <c r="AD268" s="42">
        <f t="shared" si="32"/>
        <v>1665776.8</v>
      </c>
      <c r="AE268" s="42">
        <f t="shared" si="33"/>
        <v>20000</v>
      </c>
      <c r="AF268" s="123">
        <f t="shared" si="34"/>
        <v>0</v>
      </c>
    </row>
    <row r="269">
      <c r="A269" s="30" t="s">
        <v>2015</v>
      </c>
      <c r="B269" s="84" t="s">
        <v>2120</v>
      </c>
      <c r="C269" s="85"/>
      <c r="D269" s="11">
        <f t="shared" si="37"/>
        <v>1</v>
      </c>
      <c r="E269" s="11">
        <f t="shared" si="38"/>
        <v>40000</v>
      </c>
      <c r="F269" s="30" t="s">
        <v>311</v>
      </c>
      <c r="G269" s="11" t="s">
        <v>1100</v>
      </c>
      <c r="H269" s="31">
        <v>40000.0</v>
      </c>
      <c r="I269" s="34" t="s">
        <v>340</v>
      </c>
      <c r="J269" s="30" t="s">
        <v>77</v>
      </c>
      <c r="K269" s="38">
        <f t="shared" si="17"/>
        <v>1</v>
      </c>
      <c r="L269" s="18" t="s">
        <v>910</v>
      </c>
      <c r="M269" s="18" t="s">
        <v>736</v>
      </c>
      <c r="N269" s="18"/>
      <c r="O269" s="18"/>
      <c r="P269" s="18"/>
      <c r="Q269" s="42" t="str">
        <f>iferror(VLOOKUP(A269,'Positional cal'!A:H,1,0)=A269,"FALSE")</f>
        <v>FALSE</v>
      </c>
      <c r="R269" s="43" t="b">
        <f t="shared" si="3"/>
        <v>0</v>
      </c>
      <c r="S269" s="46">
        <f>IFERROR(VLOOKUP($A269,AlgoUi!$A:$X,21,0),"NA")</f>
        <v>10547654</v>
      </c>
      <c r="T269" s="46">
        <f>IFERROR(VLOOKUP($A269,AlgoUi!$A:$X,23,0),"")</f>
        <v>10000000</v>
      </c>
      <c r="U269" s="46">
        <f>IFERROR(VLOOKUP($A269,AlgoUi!$A:$X,24,0),"")</f>
        <v>100000</v>
      </c>
      <c r="V269" s="42" t="str">
        <f>IFERROR(__xludf.DUMMYFUNCTION("IFERROR(VLOOKUP(I269,IMPORTRANGE(""https://docs.google.com/spreadsheets/d/17FOIUYQAjPk1pPQIlvOgqYDBqwUqgb7KWzp4DtVksBk/edit?gid=0#gid=0"",""Servers!A:S""),19,FALSE), ""Not Running"")"),"NIDHID")</f>
        <v>NIDHID</v>
      </c>
      <c r="W269" s="47" t="str">
        <f>VLOOKUP($A269,Category!$A:$E,4,0)</f>
        <v>MS</v>
      </c>
      <c r="X269" s="47" t="str">
        <f>VLOOKUP($A269,Category!$A:$E,5,0)</f>
        <v>MSR</v>
      </c>
      <c r="Y269" s="18" t="str">
        <f>VLOOKUP(A269,PAcc!$A$1:$J$27,10,0)</f>
        <v>#N/A</v>
      </c>
      <c r="Z269" s="42" t="b">
        <f t="shared" si="4"/>
        <v>0</v>
      </c>
      <c r="AA269" s="50">
        <v>0.4</v>
      </c>
      <c r="AB269" s="42" t="str">
        <f>VLOOKUP(A269,VlookupSheet!$A$383:$A$523,1,0)</f>
        <v>#N/A</v>
      </c>
      <c r="AC269" s="42"/>
      <c r="AD269" s="42">
        <f t="shared" si="32"/>
        <v>4219061.6</v>
      </c>
      <c r="AE269" s="42">
        <f t="shared" si="33"/>
        <v>40000</v>
      </c>
      <c r="AF269" s="123">
        <f t="shared" si="34"/>
        <v>0</v>
      </c>
    </row>
    <row r="270">
      <c r="A270" s="30" t="s">
        <v>1590</v>
      </c>
      <c r="B270" s="84" t="s">
        <v>1969</v>
      </c>
      <c r="C270" s="30" t="s">
        <v>320</v>
      </c>
      <c r="D270" s="11">
        <f t="shared" si="37"/>
        <v>1</v>
      </c>
      <c r="E270" s="11">
        <f t="shared" si="38"/>
        <v>40000</v>
      </c>
      <c r="F270" s="30" t="s">
        <v>311</v>
      </c>
      <c r="G270" s="11" t="s">
        <v>1100</v>
      </c>
      <c r="H270" s="31">
        <v>40000.0</v>
      </c>
      <c r="I270" s="34" t="s">
        <v>340</v>
      </c>
      <c r="J270" s="11" t="s">
        <v>77</v>
      </c>
      <c r="K270" s="38">
        <f t="shared" si="17"/>
        <v>1</v>
      </c>
      <c r="L270" s="18" t="s">
        <v>910</v>
      </c>
      <c r="M270" s="18" t="s">
        <v>736</v>
      </c>
      <c r="N270" s="47"/>
      <c r="O270" s="47"/>
      <c r="P270" s="47"/>
      <c r="Q270" s="42" t="str">
        <f>iferror(VLOOKUP(A270,'Positional cal'!A:H,1,0)=A270,"FALSE")</f>
        <v>FALSE</v>
      </c>
      <c r="R270" s="43" t="b">
        <f t="shared" si="3"/>
        <v>0</v>
      </c>
      <c r="S270" s="46">
        <f>IFERROR(VLOOKUP($A270,AlgoUi!$A:$X,21,0),"NA")</f>
        <v>10469928</v>
      </c>
      <c r="T270" s="46">
        <f>IFERROR(VLOOKUP($A270,AlgoUi!$A:$X,23,0),"")</f>
        <v>10000000</v>
      </c>
      <c r="U270" s="46">
        <f>IFERROR(VLOOKUP($A270,AlgoUi!$A:$X,24,0),"")</f>
        <v>100000</v>
      </c>
      <c r="V270" s="42" t="str">
        <f>IFERROR(__xludf.DUMMYFUNCTION("IFERROR(VLOOKUP(I270,IMPORTRANGE(""https://docs.google.com/spreadsheets/d/17FOIUYQAjPk1pPQIlvOgqYDBqwUqgb7KWzp4DtVksBk/edit?gid=0#gid=0"",""Servers!A:S""),19,FALSE), ""Not Running"")"),"NIDHID")</f>
        <v>NIDHID</v>
      </c>
      <c r="W270" s="47" t="str">
        <f>VLOOKUP($A270,Category!$A:$E,4,0)</f>
        <v>MS</v>
      </c>
      <c r="X270" s="47" t="str">
        <f>VLOOKUP($A270,Category!$A:$E,5,0)</f>
        <v>MSR</v>
      </c>
      <c r="Y270" s="18" t="str">
        <f>VLOOKUP(A270,PAcc!$A$1:$J$27,10,0)</f>
        <v>#N/A</v>
      </c>
      <c r="Z270" s="42" t="b">
        <f t="shared" si="4"/>
        <v>0</v>
      </c>
      <c r="AA270" s="50">
        <v>0.4</v>
      </c>
      <c r="AB270" s="42" t="str">
        <f>VLOOKUP(A270,VlookupSheet!$A$383:$A$523,1,0)</f>
        <v>#N/A</v>
      </c>
      <c r="AC270" s="50">
        <v>0.01</v>
      </c>
      <c r="AD270" s="42">
        <f t="shared" si="32"/>
        <v>4187971.2</v>
      </c>
      <c r="AE270" s="42">
        <f t="shared" si="33"/>
        <v>40000</v>
      </c>
      <c r="AF270" s="123">
        <f t="shared" si="34"/>
        <v>0</v>
      </c>
    </row>
    <row r="271">
      <c r="A271" s="11" t="s">
        <v>2146</v>
      </c>
      <c r="B271" s="24" t="s">
        <v>2147</v>
      </c>
      <c r="C271" s="25"/>
      <c r="D271" s="11">
        <f t="shared" si="37"/>
        <v>1</v>
      </c>
      <c r="E271" s="11">
        <f t="shared" si="38"/>
        <v>20000</v>
      </c>
      <c r="F271" s="30" t="s">
        <v>311</v>
      </c>
      <c r="G271" s="11">
        <v>20000.0</v>
      </c>
      <c r="H271" s="31">
        <v>20000.0</v>
      </c>
      <c r="I271" s="11" t="s">
        <v>340</v>
      </c>
      <c r="J271" s="11" t="s">
        <v>77</v>
      </c>
      <c r="K271" s="38">
        <f t="shared" si="17"/>
        <v>1</v>
      </c>
      <c r="L271" s="18" t="s">
        <v>910</v>
      </c>
      <c r="M271" s="18" t="s">
        <v>736</v>
      </c>
      <c r="N271" s="42"/>
      <c r="O271" s="42"/>
      <c r="P271" s="42"/>
      <c r="Q271" s="42" t="str">
        <f>iferror(VLOOKUP(A271,'Positional cal'!A:H,1,0)=A271,"FALSE")</f>
        <v>FALSE</v>
      </c>
      <c r="R271" s="43" t="b">
        <f t="shared" si="3"/>
        <v>0</v>
      </c>
      <c r="S271" s="46">
        <f>IFERROR(VLOOKUP($A271,AlgoUi!$A:$X,21,0),"NA")</f>
        <v>6609956</v>
      </c>
      <c r="T271" s="46">
        <f>IFERROR(VLOOKUP($A271,AlgoUi!$A:$X,23,0),"")</f>
        <v>6000000</v>
      </c>
      <c r="U271" s="46">
        <f>IFERROR(VLOOKUP($A271,AlgoUi!$A:$X,24,0),"")</f>
        <v>60000</v>
      </c>
      <c r="V271" s="42" t="str">
        <f>IFERROR(__xludf.DUMMYFUNCTION("IFERROR(VLOOKUP(I271,IMPORTRANGE(""https://docs.google.com/spreadsheets/d/17FOIUYQAjPk1pPQIlvOgqYDBqwUqgb7KWzp4DtVksBk/edit?gid=0#gid=0"",""Servers!A:S""),19,FALSE), ""Not Running"")"),"NIDHID")</f>
        <v>NIDHID</v>
      </c>
      <c r="W271" s="47" t="str">
        <f>VLOOKUP($A271,Category!$A:$E,4,0)</f>
        <v>MS</v>
      </c>
      <c r="X271" s="47" t="str">
        <f>VLOOKUP($A271,Category!$A:$E,5,0)</f>
        <v>MSR</v>
      </c>
      <c r="Y271" s="18" t="str">
        <f>VLOOKUP(A271,PAcc!$A$1:$J$27,10,0)</f>
        <v>#N/A</v>
      </c>
      <c r="Z271" s="42" t="b">
        <f t="shared" si="4"/>
        <v>0</v>
      </c>
      <c r="AA271" s="50">
        <v>0.4</v>
      </c>
      <c r="AB271" s="42" t="str">
        <f>VLOOKUP(A271,VlookupSheet!$A$383:$A$523,1,0)</f>
        <v>#N/A</v>
      </c>
      <c r="AC271" s="50">
        <v>0.01</v>
      </c>
      <c r="AD271" s="42">
        <f t="shared" si="32"/>
        <v>2643982.4</v>
      </c>
      <c r="AE271" s="42">
        <f t="shared" si="33"/>
        <v>20000</v>
      </c>
      <c r="AF271" s="123">
        <f t="shared" si="34"/>
        <v>0</v>
      </c>
    </row>
    <row r="272">
      <c r="A272" s="11" t="s">
        <v>2157</v>
      </c>
      <c r="B272" s="24" t="s">
        <v>2158</v>
      </c>
      <c r="C272" s="25"/>
      <c r="D272" s="11">
        <f t="shared" si="37"/>
        <v>1</v>
      </c>
      <c r="E272" s="11">
        <f t="shared" si="38"/>
        <v>20000</v>
      </c>
      <c r="F272" s="30" t="s">
        <v>311</v>
      </c>
      <c r="G272" s="11">
        <v>20000.0</v>
      </c>
      <c r="H272" s="31">
        <v>20000.0</v>
      </c>
      <c r="I272" s="11" t="s">
        <v>340</v>
      </c>
      <c r="J272" s="11" t="s">
        <v>77</v>
      </c>
      <c r="K272" s="38">
        <f t="shared" si="17"/>
        <v>1</v>
      </c>
      <c r="L272" s="18" t="s">
        <v>910</v>
      </c>
      <c r="M272" s="18" t="s">
        <v>736</v>
      </c>
      <c r="N272" s="42"/>
      <c r="O272" s="42"/>
      <c r="P272" s="42"/>
      <c r="Q272" s="42" t="str">
        <f>iferror(VLOOKUP(A272,'Positional cal'!A:H,1,0)=A272,"FALSE")</f>
        <v>FALSE</v>
      </c>
      <c r="R272" s="43" t="b">
        <f t="shared" si="3"/>
        <v>0</v>
      </c>
      <c r="S272" s="46">
        <f>IFERROR(VLOOKUP($A272,AlgoUi!$A:$X,21,0),"NA")</f>
        <v>5576565</v>
      </c>
      <c r="T272" s="46">
        <f>IFERROR(VLOOKUP($A272,AlgoUi!$A:$X,23,0),"")</f>
        <v>6000000</v>
      </c>
      <c r="U272" s="46">
        <f>IFERROR(VLOOKUP($A272,AlgoUi!$A:$X,24,0),"")</f>
        <v>60000</v>
      </c>
      <c r="V272" s="42" t="str">
        <f>IFERROR(__xludf.DUMMYFUNCTION("IFERROR(VLOOKUP(I272,IMPORTRANGE(""https://docs.google.com/spreadsheets/d/17FOIUYQAjPk1pPQIlvOgqYDBqwUqgb7KWzp4DtVksBk/edit?gid=0#gid=0"",""Servers!A:S""),19,FALSE), ""Not Running"")"),"NIDHID")</f>
        <v>NIDHID</v>
      </c>
      <c r="W272" s="47" t="str">
        <f>VLOOKUP($A272,Category!$A:$E,4,0)</f>
        <v>MS</v>
      </c>
      <c r="X272" s="47" t="str">
        <f>VLOOKUP($A272,Category!$A:$E,5,0)</f>
        <v>MSP</v>
      </c>
      <c r="Y272" s="18" t="str">
        <f>VLOOKUP(A272,PAcc!$A$1:$J$27,10,0)</f>
        <v>#N/A</v>
      </c>
      <c r="Z272" s="42" t="b">
        <f t="shared" si="4"/>
        <v>0</v>
      </c>
      <c r="AA272" s="50">
        <v>0.4</v>
      </c>
      <c r="AB272" s="42" t="str">
        <f>VLOOKUP(A272,VlookupSheet!$A$383:$A$523,1,0)</f>
        <v>#N/A</v>
      </c>
      <c r="AC272" s="50">
        <v>0.01</v>
      </c>
      <c r="AD272" s="42">
        <f t="shared" si="32"/>
        <v>2230626</v>
      </c>
      <c r="AE272" s="42">
        <f t="shared" si="33"/>
        <v>20000</v>
      </c>
      <c r="AF272" s="123">
        <f t="shared" si="34"/>
        <v>0</v>
      </c>
    </row>
    <row r="273">
      <c r="A273" s="30" t="s">
        <v>1510</v>
      </c>
      <c r="B273" s="84" t="s">
        <v>2176</v>
      </c>
      <c r="C273" s="30" t="s">
        <v>320</v>
      </c>
      <c r="D273" s="11">
        <f t="shared" si="37"/>
        <v>1</v>
      </c>
      <c r="E273" s="11">
        <f t="shared" si="38"/>
        <v>40000</v>
      </c>
      <c r="F273" s="30" t="s">
        <v>311</v>
      </c>
      <c r="G273" s="11" t="s">
        <v>1100</v>
      </c>
      <c r="H273" s="31">
        <v>40000.0</v>
      </c>
      <c r="I273" s="74" t="s">
        <v>340</v>
      </c>
      <c r="J273" s="25" t="s">
        <v>77</v>
      </c>
      <c r="K273" s="38">
        <f t="shared" si="17"/>
        <v>1</v>
      </c>
      <c r="L273" s="18" t="s">
        <v>910</v>
      </c>
      <c r="M273" s="18" t="s">
        <v>736</v>
      </c>
      <c r="N273" s="74"/>
      <c r="O273" s="74"/>
      <c r="P273" s="74"/>
      <c r="Q273" s="42" t="str">
        <f>iferror(VLOOKUP(A273,'Positional cal'!A:H,1,0)=A273,"FALSE")</f>
        <v>FALSE</v>
      </c>
      <c r="R273" s="43" t="b">
        <f t="shared" si="3"/>
        <v>0</v>
      </c>
      <c r="S273" s="46">
        <f>IFERROR(VLOOKUP($A273,AlgoUi!$A:$X,21,0),"NA")</f>
        <v>9457061</v>
      </c>
      <c r="T273" s="46">
        <f>IFERROR(VLOOKUP($A273,AlgoUi!$A:$X,23,0),"")</f>
        <v>10000000</v>
      </c>
      <c r="U273" s="46">
        <f>IFERROR(VLOOKUP($A273,AlgoUi!$A:$X,24,0),"")</f>
        <v>100000</v>
      </c>
      <c r="V273" s="42" t="str">
        <f>IFERROR(__xludf.DUMMYFUNCTION("IFERROR(VLOOKUP(I273,IMPORTRANGE(""https://docs.google.com/spreadsheets/d/17FOIUYQAjPk1pPQIlvOgqYDBqwUqgb7KWzp4DtVksBk/edit?gid=0#gid=0"",""Servers!A:S""),19,FALSE), ""Not Running"")"),"NIDHID")</f>
        <v>NIDHID</v>
      </c>
      <c r="W273" s="47" t="str">
        <f>VLOOKUP($A273,Category!$A:$E,4,0)</f>
        <v>MS</v>
      </c>
      <c r="X273" s="47" t="str">
        <f>VLOOKUP($A273,Category!$A:$E,5,0)</f>
        <v>MSR</v>
      </c>
      <c r="Y273" s="18" t="str">
        <f>VLOOKUP(A273,PAcc!$A$1:$J$27,10,0)</f>
        <v>#N/A</v>
      </c>
      <c r="Z273" s="42" t="b">
        <f t="shared" si="4"/>
        <v>0</v>
      </c>
      <c r="AA273" s="50">
        <v>0.4</v>
      </c>
      <c r="AB273" s="42" t="str">
        <f>VLOOKUP(A273,VlookupSheet!$A$383:$A$523,1,0)</f>
        <v>#N/A</v>
      </c>
      <c r="AC273" s="42"/>
      <c r="AD273" s="42">
        <f t="shared" si="32"/>
        <v>3782824.4</v>
      </c>
      <c r="AE273" s="42">
        <f t="shared" si="33"/>
        <v>40000</v>
      </c>
      <c r="AF273" s="123">
        <f t="shared" si="34"/>
        <v>0</v>
      </c>
    </row>
    <row r="274">
      <c r="A274" s="30" t="s">
        <v>1346</v>
      </c>
      <c r="B274" s="84" t="s">
        <v>2194</v>
      </c>
      <c r="C274" s="85"/>
      <c r="D274" s="11">
        <f t="shared" si="37"/>
        <v>1</v>
      </c>
      <c r="E274" s="11">
        <f t="shared" si="38"/>
        <v>60000</v>
      </c>
      <c r="F274" s="30" t="s">
        <v>311</v>
      </c>
      <c r="G274" s="11" t="s">
        <v>1550</v>
      </c>
      <c r="H274" s="31">
        <v>60000.0</v>
      </c>
      <c r="I274" s="74" t="s">
        <v>340</v>
      </c>
      <c r="J274" s="25" t="s">
        <v>77</v>
      </c>
      <c r="K274" s="38">
        <f t="shared" si="17"/>
        <v>1</v>
      </c>
      <c r="L274" s="18" t="s">
        <v>910</v>
      </c>
      <c r="M274" s="18" t="s">
        <v>736</v>
      </c>
      <c r="N274" s="74"/>
      <c r="O274" s="74"/>
      <c r="P274" s="74"/>
      <c r="Q274" s="42" t="str">
        <f>iferror(VLOOKUP(A274,'Positional cal'!A:H,1,0)=A274,"FALSE")</f>
        <v>FALSE</v>
      </c>
      <c r="R274" s="43" t="b">
        <f t="shared" si="3"/>
        <v>0</v>
      </c>
      <c r="S274" s="46">
        <f>IFERROR(VLOOKUP($A274,AlgoUi!$A:$X,21,0),"NA")</f>
        <v>13445809</v>
      </c>
      <c r="T274" s="46">
        <f>IFERROR(VLOOKUP($A274,AlgoUi!$A:$X,23,0),"")</f>
        <v>14000000</v>
      </c>
      <c r="U274" s="46">
        <f>IFERROR(VLOOKUP($A274,AlgoUi!$A:$X,24,0),"")</f>
        <v>140000</v>
      </c>
      <c r="V274" s="42" t="str">
        <f>IFERROR(__xludf.DUMMYFUNCTION("IFERROR(VLOOKUP(I274,IMPORTRANGE(""https://docs.google.com/spreadsheets/d/17FOIUYQAjPk1pPQIlvOgqYDBqwUqgb7KWzp4DtVksBk/edit?gid=0#gid=0"",""Servers!A:S""),19,FALSE), ""Not Running"")"),"NIDHID")</f>
        <v>NIDHID</v>
      </c>
      <c r="W274" s="47" t="str">
        <f>VLOOKUP($A274,Category!$A:$E,4,0)</f>
        <v>MS</v>
      </c>
      <c r="X274" s="47" t="str">
        <f>VLOOKUP($A274,Category!$A:$E,5,0)</f>
        <v>MSR</v>
      </c>
      <c r="Y274" s="18" t="str">
        <f>VLOOKUP(A274,PAcc!$A$1:$J$27,10,0)</f>
        <v>#N/A</v>
      </c>
      <c r="Z274" s="42" t="b">
        <f t="shared" si="4"/>
        <v>0</v>
      </c>
      <c r="AA274" s="50">
        <v>0.4</v>
      </c>
      <c r="AB274" s="42" t="str">
        <f>VLOOKUP(A274,VlookupSheet!$A$383:$A$523,1,0)</f>
        <v>#N/A</v>
      </c>
      <c r="AC274" s="50">
        <v>0.01</v>
      </c>
      <c r="AD274" s="42">
        <f t="shared" si="32"/>
        <v>5378323.6</v>
      </c>
      <c r="AE274" s="42">
        <f t="shared" si="33"/>
        <v>60000</v>
      </c>
      <c r="AF274" s="123">
        <f t="shared" si="34"/>
        <v>0</v>
      </c>
    </row>
    <row r="275">
      <c r="A275" s="30" t="s">
        <v>1731</v>
      </c>
      <c r="B275" s="84" t="s">
        <v>2213</v>
      </c>
      <c r="C275" s="85"/>
      <c r="D275" s="11">
        <f t="shared" si="37"/>
        <v>1</v>
      </c>
      <c r="E275" s="11">
        <f t="shared" si="38"/>
        <v>60000</v>
      </c>
      <c r="F275" s="30" t="s">
        <v>311</v>
      </c>
      <c r="G275" s="11" t="s">
        <v>1550</v>
      </c>
      <c r="H275" s="31">
        <v>60000.0</v>
      </c>
      <c r="I275" s="74" t="s">
        <v>340</v>
      </c>
      <c r="J275" s="25" t="s">
        <v>77</v>
      </c>
      <c r="K275" s="38">
        <f t="shared" si="17"/>
        <v>1</v>
      </c>
      <c r="L275" s="18" t="s">
        <v>910</v>
      </c>
      <c r="M275" s="18" t="s">
        <v>736</v>
      </c>
      <c r="N275" s="74"/>
      <c r="O275" s="74"/>
      <c r="P275" s="74"/>
      <c r="Q275" s="42" t="str">
        <f>iferror(VLOOKUP(A275,'Positional cal'!A:H,1,0)=A275,"FALSE")</f>
        <v>FALSE</v>
      </c>
      <c r="R275" s="43" t="b">
        <f t="shared" si="3"/>
        <v>0</v>
      </c>
      <c r="S275" s="46">
        <f>IFERROR(VLOOKUP($A275,AlgoUi!$A:$X,21,0),"NA")</f>
        <v>14301776</v>
      </c>
      <c r="T275" s="46">
        <f>IFERROR(VLOOKUP($A275,AlgoUi!$A:$X,23,0),"")</f>
        <v>14000000</v>
      </c>
      <c r="U275" s="46">
        <f>IFERROR(VLOOKUP($A275,AlgoUi!$A:$X,24,0),"")</f>
        <v>140000</v>
      </c>
      <c r="V275" s="42" t="str">
        <f>IFERROR(__xludf.DUMMYFUNCTION("IFERROR(VLOOKUP(I275,IMPORTRANGE(""https://docs.google.com/spreadsheets/d/17FOIUYQAjPk1pPQIlvOgqYDBqwUqgb7KWzp4DtVksBk/edit?gid=0#gid=0"",""Servers!A:S""),19,FALSE), ""Not Running"")"),"NIDHID")</f>
        <v>NIDHID</v>
      </c>
      <c r="W275" s="47" t="str">
        <f>VLOOKUP($A275,Category!$A:$E,4,0)</f>
        <v>MS</v>
      </c>
      <c r="X275" s="47" t="str">
        <f>VLOOKUP($A275,Category!$A:$E,5,0)</f>
        <v>MSR</v>
      </c>
      <c r="Y275" s="18" t="str">
        <f>VLOOKUP(A275,PAcc!$A$1:$J$27,10,0)</f>
        <v>#N/A</v>
      </c>
      <c r="Z275" s="42" t="b">
        <f t="shared" si="4"/>
        <v>0</v>
      </c>
      <c r="AA275" s="50">
        <v>0.4</v>
      </c>
      <c r="AB275" s="42" t="str">
        <f>VLOOKUP(A275,VlookupSheet!$A$383:$A$523,1,0)</f>
        <v>#N/A</v>
      </c>
      <c r="AC275" s="42"/>
      <c r="AD275" s="42">
        <f t="shared" si="32"/>
        <v>5720710.4</v>
      </c>
      <c r="AE275" s="42">
        <f t="shared" si="33"/>
        <v>60000</v>
      </c>
      <c r="AF275" s="123">
        <f t="shared" si="34"/>
        <v>0</v>
      </c>
    </row>
    <row r="276">
      <c r="A276" s="30" t="s">
        <v>1568</v>
      </c>
      <c r="B276" s="84" t="s">
        <v>2230</v>
      </c>
      <c r="C276" s="85"/>
      <c r="D276" s="11">
        <f t="shared" si="37"/>
        <v>1</v>
      </c>
      <c r="E276" s="11">
        <f t="shared" si="38"/>
        <v>40000</v>
      </c>
      <c r="F276" s="30" t="s">
        <v>311</v>
      </c>
      <c r="G276" s="11" t="s">
        <v>1100</v>
      </c>
      <c r="H276" s="31">
        <v>40000.0</v>
      </c>
      <c r="I276" s="74" t="s">
        <v>340</v>
      </c>
      <c r="J276" s="25" t="s">
        <v>77</v>
      </c>
      <c r="K276" s="38">
        <f t="shared" si="17"/>
        <v>1</v>
      </c>
      <c r="L276" s="18" t="s">
        <v>910</v>
      </c>
      <c r="M276" s="18" t="s">
        <v>736</v>
      </c>
      <c r="N276" s="74"/>
      <c r="O276" s="74"/>
      <c r="P276" s="74"/>
      <c r="Q276" s="42" t="str">
        <f>iferror(VLOOKUP(A276,'Positional cal'!A:H,1,0)=A276,"FALSE")</f>
        <v>FALSE</v>
      </c>
      <c r="R276" s="43" t="b">
        <f t="shared" si="3"/>
        <v>0</v>
      </c>
      <c r="S276" s="46">
        <f>IFERROR(VLOOKUP($A276,AlgoUi!$A:$X,21,0),"NA")</f>
        <v>11680157</v>
      </c>
      <c r="T276" s="46">
        <f>IFERROR(VLOOKUP($A276,AlgoUi!$A:$X,23,0),"")</f>
        <v>12000000</v>
      </c>
      <c r="U276" s="46">
        <f>IFERROR(VLOOKUP($A276,AlgoUi!$A:$X,24,0),"")</f>
        <v>120000</v>
      </c>
      <c r="V276" s="42" t="str">
        <f>IFERROR(__xludf.DUMMYFUNCTION("IFERROR(VLOOKUP(I276,IMPORTRANGE(""https://docs.google.com/spreadsheets/d/17FOIUYQAjPk1pPQIlvOgqYDBqwUqgb7KWzp4DtVksBk/edit?gid=0#gid=0"",""Servers!A:S""),19,FALSE), ""Not Running"")"),"NIDHID")</f>
        <v>NIDHID</v>
      </c>
      <c r="W276" s="47" t="str">
        <f>VLOOKUP($A276,Category!$A:$E,4,0)</f>
        <v>MS</v>
      </c>
      <c r="X276" s="47" t="str">
        <f>VLOOKUP($A276,Category!$A:$E,5,0)</f>
        <v>MSR</v>
      </c>
      <c r="Y276" s="18" t="str">
        <f>VLOOKUP(A276,PAcc!$A$1:$J$27,10,0)</f>
        <v>#N/A</v>
      </c>
      <c r="Z276" s="42" t="b">
        <f t="shared" si="4"/>
        <v>0</v>
      </c>
      <c r="AA276" s="50">
        <v>0.4</v>
      </c>
      <c r="AB276" s="42" t="str">
        <f>VLOOKUP(A276,VlookupSheet!$A$383:$A$523,1,0)</f>
        <v>#N/A</v>
      </c>
      <c r="AD276" s="42">
        <f t="shared" si="32"/>
        <v>4672062.8</v>
      </c>
      <c r="AE276" s="42">
        <f t="shared" si="33"/>
        <v>40000</v>
      </c>
      <c r="AF276" s="123">
        <f t="shared" si="34"/>
        <v>0</v>
      </c>
    </row>
    <row r="277">
      <c r="A277" s="30" t="s">
        <v>1763</v>
      </c>
      <c r="B277" s="84" t="s">
        <v>2186</v>
      </c>
      <c r="C277" s="85"/>
      <c r="D277" s="11">
        <f t="shared" si="37"/>
        <v>1</v>
      </c>
      <c r="E277" s="11">
        <f t="shared" si="38"/>
        <v>60000</v>
      </c>
      <c r="F277" s="30" t="s">
        <v>311</v>
      </c>
      <c r="G277" s="11" t="s">
        <v>1550</v>
      </c>
      <c r="H277" s="31">
        <v>60000.0</v>
      </c>
      <c r="I277" s="74" t="s">
        <v>340</v>
      </c>
      <c r="J277" s="25" t="s">
        <v>77</v>
      </c>
      <c r="K277" s="38">
        <f t="shared" si="17"/>
        <v>1</v>
      </c>
      <c r="L277" s="18" t="s">
        <v>910</v>
      </c>
      <c r="M277" s="18" t="s">
        <v>736</v>
      </c>
      <c r="N277" s="74"/>
      <c r="O277" s="74"/>
      <c r="P277" s="74"/>
      <c r="Q277" s="42" t="str">
        <f>iferror(VLOOKUP(A277,'Positional cal'!A:H,1,0)=A277,"FALSE")</f>
        <v>FALSE</v>
      </c>
      <c r="R277" s="43" t="b">
        <f t="shared" si="3"/>
        <v>0</v>
      </c>
      <c r="S277" s="46">
        <f>IFERROR(VLOOKUP($A277,AlgoUi!$A:$X,21,0),"NA")</f>
        <v>14521031</v>
      </c>
      <c r="T277" s="46">
        <f>IFERROR(VLOOKUP($A277,AlgoUi!$A:$X,23,0),"")</f>
        <v>14000000</v>
      </c>
      <c r="U277" s="46">
        <f>IFERROR(VLOOKUP($A277,AlgoUi!$A:$X,24,0),"")</f>
        <v>140000</v>
      </c>
      <c r="V277" s="42" t="str">
        <f>IFERROR(__xludf.DUMMYFUNCTION("IFERROR(VLOOKUP(I277,IMPORTRANGE(""https://docs.google.com/spreadsheets/d/17FOIUYQAjPk1pPQIlvOgqYDBqwUqgb7KWzp4DtVksBk/edit?gid=0#gid=0"",""Servers!A:S""),19,FALSE), ""Not Running"")"),"NIDHID")</f>
        <v>NIDHID</v>
      </c>
      <c r="W277" s="47" t="str">
        <f>VLOOKUP($A277,Category!$A:$E,4,0)</f>
        <v>MS</v>
      </c>
      <c r="X277" s="47" t="str">
        <f>VLOOKUP($A277,Category!$A:$E,5,0)</f>
        <v>MSR</v>
      </c>
      <c r="Y277" s="18" t="str">
        <f>VLOOKUP(A277,PAcc!$A$1:$J$27,10,0)</f>
        <v>#N/A</v>
      </c>
      <c r="Z277" s="42" t="b">
        <f t="shared" si="4"/>
        <v>0</v>
      </c>
      <c r="AA277" s="50">
        <v>0.4</v>
      </c>
      <c r="AB277" s="42" t="str">
        <f>VLOOKUP(A277,VlookupSheet!$A$383:$A$523,1,0)</f>
        <v>#N/A</v>
      </c>
      <c r="AC277" s="42"/>
      <c r="AD277" s="42">
        <f t="shared" si="32"/>
        <v>5808412.4</v>
      </c>
      <c r="AE277" s="42">
        <f t="shared" si="33"/>
        <v>60000</v>
      </c>
      <c r="AF277" s="123">
        <f t="shared" si="34"/>
        <v>0</v>
      </c>
    </row>
    <row r="278">
      <c r="A278" s="11" t="s">
        <v>2261</v>
      </c>
      <c r="B278" s="24" t="s">
        <v>2264</v>
      </c>
      <c r="C278" s="25"/>
      <c r="D278" s="11">
        <f t="shared" si="37"/>
        <v>1</v>
      </c>
      <c r="E278" s="11">
        <f t="shared" si="38"/>
        <v>60000</v>
      </c>
      <c r="F278" s="30" t="s">
        <v>311</v>
      </c>
      <c r="G278" s="11" t="s">
        <v>1550</v>
      </c>
      <c r="H278" s="31">
        <v>60000.0</v>
      </c>
      <c r="I278" s="42" t="s">
        <v>340</v>
      </c>
      <c r="J278" s="25" t="s">
        <v>77</v>
      </c>
      <c r="K278" s="38">
        <f t="shared" si="17"/>
        <v>1</v>
      </c>
      <c r="L278" s="18" t="s">
        <v>910</v>
      </c>
      <c r="M278" s="18" t="s">
        <v>736</v>
      </c>
      <c r="N278" s="42"/>
      <c r="O278" s="42"/>
      <c r="P278" s="42"/>
      <c r="Q278" s="42" t="str">
        <f>iferror(VLOOKUP(A278,'Positional cal'!A:H,1,0)=A278,"FALSE")</f>
        <v>FALSE</v>
      </c>
      <c r="R278" s="43" t="b">
        <f t="shared" si="3"/>
        <v>0</v>
      </c>
      <c r="S278" s="46">
        <f>IFERROR(VLOOKUP($A278,AlgoUi!$A:$X,21,0),"NA")</f>
        <v>15246935</v>
      </c>
      <c r="T278" s="46">
        <f>IFERROR(VLOOKUP($A278,AlgoUi!$A:$X,23,0),"")</f>
        <v>16000000</v>
      </c>
      <c r="U278" s="46">
        <f>IFERROR(VLOOKUP($A278,AlgoUi!$A:$X,24,0),"")</f>
        <v>160000</v>
      </c>
      <c r="V278" s="42" t="str">
        <f>IFERROR(__xludf.DUMMYFUNCTION("IFERROR(VLOOKUP(I278,IMPORTRANGE(""https://docs.google.com/spreadsheets/d/17FOIUYQAjPk1pPQIlvOgqYDBqwUqgb7KWzp4DtVksBk/edit?gid=0#gid=0"",""Servers!A:S""),19,FALSE), ""Not Running"")"),"NIDHID")</f>
        <v>NIDHID</v>
      </c>
      <c r="W278" s="47" t="str">
        <f>VLOOKUP($A278,Category!$A:$E,4,0)</f>
        <v>MS</v>
      </c>
      <c r="X278" s="47" t="str">
        <f>VLOOKUP($A278,Category!$A:$E,5,0)</f>
        <v>MSR</v>
      </c>
      <c r="Y278" s="18" t="str">
        <f>VLOOKUP(A278,PAcc!$A$1:$J$27,10,0)</f>
        <v>#N/A</v>
      </c>
      <c r="Z278" s="42" t="b">
        <f t="shared" si="4"/>
        <v>0</v>
      </c>
      <c r="AA278" s="50">
        <v>0.4</v>
      </c>
      <c r="AB278" s="42" t="str">
        <f>VLOOKUP(A278,VlookupSheet!$A$383:$A$523,1,0)</f>
        <v>#N/A</v>
      </c>
      <c r="AC278" s="42"/>
      <c r="AD278" s="42">
        <f t="shared" si="32"/>
        <v>6098774</v>
      </c>
      <c r="AE278" s="42">
        <f t="shared" si="33"/>
        <v>60000</v>
      </c>
      <c r="AF278" s="123">
        <f t="shared" si="34"/>
        <v>0</v>
      </c>
    </row>
    <row r="279">
      <c r="A279" s="11" t="s">
        <v>2279</v>
      </c>
      <c r="B279" s="24" t="s">
        <v>2280</v>
      </c>
      <c r="C279" s="25"/>
      <c r="D279" s="11">
        <f t="shared" si="37"/>
        <v>1</v>
      </c>
      <c r="E279" s="11">
        <f t="shared" si="38"/>
        <v>20000</v>
      </c>
      <c r="F279" s="30" t="s">
        <v>311</v>
      </c>
      <c r="G279" s="11">
        <v>20000.0</v>
      </c>
      <c r="H279" s="31">
        <v>20000.0</v>
      </c>
      <c r="I279" s="42" t="s">
        <v>340</v>
      </c>
      <c r="J279" s="25" t="s">
        <v>77</v>
      </c>
      <c r="K279" s="38">
        <f t="shared" si="17"/>
        <v>1</v>
      </c>
      <c r="L279" s="18" t="s">
        <v>910</v>
      </c>
      <c r="M279" s="18" t="s">
        <v>736</v>
      </c>
      <c r="N279" s="42"/>
      <c r="O279" s="42"/>
      <c r="P279" s="42"/>
      <c r="Q279" s="42" t="str">
        <f>iferror(VLOOKUP(A279,'Positional cal'!A:H,1,0)=A279,"FALSE")</f>
        <v>FALSE</v>
      </c>
      <c r="R279" s="43" t="b">
        <f t="shared" si="3"/>
        <v>0</v>
      </c>
      <c r="S279" s="46">
        <f>IFERROR(VLOOKUP($A279,AlgoUi!$A:$X,21,0),"NA")</f>
        <v>5577878</v>
      </c>
      <c r="T279" s="46">
        <f>IFERROR(VLOOKUP($A279,AlgoUi!$A:$X,23,0),"")</f>
        <v>6000000</v>
      </c>
      <c r="U279" s="46">
        <f>IFERROR(VLOOKUP($A279,AlgoUi!$A:$X,24,0),"")</f>
        <v>60000</v>
      </c>
      <c r="V279" s="42" t="str">
        <f>IFERROR(__xludf.DUMMYFUNCTION("IFERROR(VLOOKUP(I279,IMPORTRANGE(""https://docs.google.com/spreadsheets/d/17FOIUYQAjPk1pPQIlvOgqYDBqwUqgb7KWzp4DtVksBk/edit?gid=0#gid=0"",""Servers!A:S""),19,FALSE), ""Not Running"")"),"NIDHID")</f>
        <v>NIDHID</v>
      </c>
      <c r="W279" s="47" t="str">
        <f>VLOOKUP($A279,Category!$A:$E,4,0)</f>
        <v>MS</v>
      </c>
      <c r="X279" s="47" t="str">
        <f>VLOOKUP($A279,Category!$A:$E,5,0)</f>
        <v>MSP</v>
      </c>
      <c r="Y279" s="18" t="str">
        <f>VLOOKUP(A279,PAcc!$A$1:$J$27,10,0)</f>
        <v>#N/A</v>
      </c>
      <c r="Z279" s="42" t="b">
        <f t="shared" si="4"/>
        <v>0</v>
      </c>
      <c r="AA279" s="50">
        <v>0.4</v>
      </c>
      <c r="AB279" s="42" t="str">
        <f>VLOOKUP(A279,VlookupSheet!$A$383:$A$523,1,0)</f>
        <v>#N/A</v>
      </c>
      <c r="AC279" s="50">
        <v>0.01</v>
      </c>
      <c r="AD279" s="42">
        <f t="shared" si="32"/>
        <v>2231151.2</v>
      </c>
      <c r="AE279" s="42">
        <f t="shared" si="33"/>
        <v>20000</v>
      </c>
      <c r="AF279" s="123">
        <f t="shared" si="34"/>
        <v>0</v>
      </c>
    </row>
    <row r="280">
      <c r="A280" s="11" t="s">
        <v>2306</v>
      </c>
      <c r="B280" s="24" t="s">
        <v>2307</v>
      </c>
      <c r="C280" s="25"/>
      <c r="D280" s="11">
        <f t="shared" si="37"/>
        <v>1</v>
      </c>
      <c r="E280" s="11">
        <f t="shared" si="38"/>
        <v>60000</v>
      </c>
      <c r="F280" s="30" t="s">
        <v>311</v>
      </c>
      <c r="G280" s="11" t="s">
        <v>1550</v>
      </c>
      <c r="H280" s="31">
        <v>60000.0</v>
      </c>
      <c r="I280" s="42" t="s">
        <v>340</v>
      </c>
      <c r="J280" s="25" t="s">
        <v>77</v>
      </c>
      <c r="K280" s="38">
        <f t="shared" si="17"/>
        <v>1</v>
      </c>
      <c r="L280" s="18" t="s">
        <v>910</v>
      </c>
      <c r="M280" s="18" t="s">
        <v>736</v>
      </c>
      <c r="N280" s="42"/>
      <c r="O280" s="42"/>
      <c r="P280" s="42"/>
      <c r="Q280" s="42" t="str">
        <f>iferror(VLOOKUP(A280,'Positional cal'!A:H,1,0)=A280,"FALSE")</f>
        <v>FALSE</v>
      </c>
      <c r="R280" s="43" t="b">
        <f t="shared" si="3"/>
        <v>0</v>
      </c>
      <c r="S280" s="46">
        <f>IFERROR(VLOOKUP($A280,AlgoUi!$A:$X,21,0),"NA")</f>
        <v>15054198</v>
      </c>
      <c r="T280" s="46">
        <f>IFERROR(VLOOKUP($A280,AlgoUi!$A:$X,23,0),"")</f>
        <v>16000000</v>
      </c>
      <c r="U280" s="46">
        <f>IFERROR(VLOOKUP($A280,AlgoUi!$A:$X,24,0),"")</f>
        <v>160000</v>
      </c>
      <c r="V280" s="42" t="str">
        <f>IFERROR(__xludf.DUMMYFUNCTION("IFERROR(VLOOKUP(I280,IMPORTRANGE(""https://docs.google.com/spreadsheets/d/17FOIUYQAjPk1pPQIlvOgqYDBqwUqgb7KWzp4DtVksBk/edit?gid=0#gid=0"",""Servers!A:S""),19,FALSE), ""Not Running"")"),"NIDHID")</f>
        <v>NIDHID</v>
      </c>
      <c r="W280" s="47" t="str">
        <f>VLOOKUP($A280,Category!$A:$E,4,0)</f>
        <v>MS</v>
      </c>
      <c r="X280" s="47" t="str">
        <f>VLOOKUP($A280,Category!$A:$E,5,0)</f>
        <v>MSN</v>
      </c>
      <c r="Y280" s="18" t="str">
        <f>VLOOKUP(A280,PAcc!$A$1:$J$27,10,0)</f>
        <v>#N/A</v>
      </c>
      <c r="Z280" s="42" t="b">
        <f t="shared" si="4"/>
        <v>0</v>
      </c>
      <c r="AA280" s="50">
        <v>0.4</v>
      </c>
      <c r="AB280" s="42" t="str">
        <f>VLOOKUP(A280,VlookupSheet!$A$383:$A$523,1,0)</f>
        <v>#N/A</v>
      </c>
      <c r="AC280" s="50">
        <v>0.01</v>
      </c>
      <c r="AD280" s="42">
        <f t="shared" si="32"/>
        <v>6021679.2</v>
      </c>
      <c r="AE280" s="42">
        <f t="shared" si="33"/>
        <v>60000</v>
      </c>
      <c r="AF280" s="123">
        <f t="shared" si="34"/>
        <v>0</v>
      </c>
    </row>
    <row r="281">
      <c r="A281" s="11" t="s">
        <v>2322</v>
      </c>
      <c r="B281" s="24" t="s">
        <v>2323</v>
      </c>
      <c r="C281" s="25"/>
      <c r="D281" s="11">
        <f t="shared" si="37"/>
        <v>1</v>
      </c>
      <c r="E281" s="11">
        <f t="shared" si="38"/>
        <v>40000</v>
      </c>
      <c r="F281" s="30" t="s">
        <v>311</v>
      </c>
      <c r="G281" s="11" t="s">
        <v>1100</v>
      </c>
      <c r="H281" s="31">
        <v>40000.0</v>
      </c>
      <c r="I281" s="42" t="s">
        <v>340</v>
      </c>
      <c r="J281" s="25" t="s">
        <v>77</v>
      </c>
      <c r="K281" s="38">
        <f t="shared" si="17"/>
        <v>1</v>
      </c>
      <c r="L281" s="18" t="s">
        <v>910</v>
      </c>
      <c r="M281" s="18" t="s">
        <v>736</v>
      </c>
      <c r="N281" s="42"/>
      <c r="O281" s="42"/>
      <c r="P281" s="42"/>
      <c r="Q281" s="42" t="str">
        <f>iferror(VLOOKUP(A281,'Positional cal'!A:H,1,0)=A281,"FALSE")</f>
        <v>FALSE</v>
      </c>
      <c r="R281" s="43" t="b">
        <f t="shared" si="3"/>
        <v>0</v>
      </c>
      <c r="S281" s="46">
        <f>IFERROR(VLOOKUP($A281,AlgoUi!$A:$X,21,0),"NA")</f>
        <v>9884530</v>
      </c>
      <c r="T281" s="46">
        <f>IFERROR(VLOOKUP($A281,AlgoUi!$A:$X,23,0),"")</f>
        <v>10000000</v>
      </c>
      <c r="U281" s="46">
        <f>IFERROR(VLOOKUP($A281,AlgoUi!$A:$X,24,0),"")</f>
        <v>100000</v>
      </c>
      <c r="V281" s="42" t="str">
        <f>IFERROR(__xludf.DUMMYFUNCTION("IFERROR(VLOOKUP(I281,IMPORTRANGE(""https://docs.google.com/spreadsheets/d/17FOIUYQAjPk1pPQIlvOgqYDBqwUqgb7KWzp4DtVksBk/edit?gid=0#gid=0"",""Servers!A:S""),19,FALSE), ""Not Running"")"),"NIDHID")</f>
        <v>NIDHID</v>
      </c>
      <c r="W281" s="47" t="str">
        <f>VLOOKUP($A281,Category!$A:$E,4,0)</f>
        <v>MS</v>
      </c>
      <c r="X281" s="47" t="str">
        <f>VLOOKUP($A281,Category!$A:$E,5,0)</f>
        <v>MSR</v>
      </c>
      <c r="Y281" s="18" t="str">
        <f>VLOOKUP(A281,PAcc!$A$1:$J$27,10,0)</f>
        <v>#N/A</v>
      </c>
      <c r="Z281" s="42" t="b">
        <f t="shared" si="4"/>
        <v>0</v>
      </c>
      <c r="AA281" s="50">
        <v>0.4</v>
      </c>
      <c r="AB281" s="42" t="str">
        <f>VLOOKUP(A281,VlookupSheet!$A$383:$A$523,1,0)</f>
        <v>#N/A</v>
      </c>
      <c r="AC281" s="50">
        <v>0.01</v>
      </c>
      <c r="AD281" s="42">
        <f t="shared" si="32"/>
        <v>3953812</v>
      </c>
      <c r="AE281" s="42">
        <f t="shared" si="33"/>
        <v>40000</v>
      </c>
      <c r="AF281" s="123">
        <f t="shared" si="34"/>
        <v>0</v>
      </c>
    </row>
    <row r="282">
      <c r="A282" s="30" t="s">
        <v>2119</v>
      </c>
      <c r="B282" s="84" t="s">
        <v>2334</v>
      </c>
      <c r="C282" s="85"/>
      <c r="D282" s="11">
        <f t="shared" si="37"/>
        <v>1</v>
      </c>
      <c r="E282" s="11">
        <f t="shared" si="38"/>
        <v>40000</v>
      </c>
      <c r="F282" s="30" t="s">
        <v>311</v>
      </c>
      <c r="G282" s="11" t="s">
        <v>1100</v>
      </c>
      <c r="H282" s="31">
        <v>40000.0</v>
      </c>
      <c r="I282" s="74" t="s">
        <v>340</v>
      </c>
      <c r="J282" s="25" t="s">
        <v>77</v>
      </c>
      <c r="K282" s="38">
        <f t="shared" si="17"/>
        <v>1</v>
      </c>
      <c r="L282" s="18" t="s">
        <v>910</v>
      </c>
      <c r="M282" s="18" t="s">
        <v>736</v>
      </c>
      <c r="N282" s="74"/>
      <c r="O282" s="74"/>
      <c r="P282" s="74"/>
      <c r="Q282" s="42" t="str">
        <f>iferror(VLOOKUP(A282,'Positional cal'!A:H,1,0)=A282,"FALSE")</f>
        <v>FALSE</v>
      </c>
      <c r="R282" s="43" t="b">
        <f t="shared" si="3"/>
        <v>0</v>
      </c>
      <c r="S282" s="46">
        <f>IFERROR(VLOOKUP($A282,AlgoUi!$A:$X,21,0),"NA")</f>
        <v>11313854</v>
      </c>
      <c r="T282" s="46">
        <f>IFERROR(VLOOKUP($A282,AlgoUi!$A:$X,23,0),"")</f>
        <v>12000000</v>
      </c>
      <c r="U282" s="46">
        <f>IFERROR(VLOOKUP($A282,AlgoUi!$A:$X,24,0),"")</f>
        <v>120000</v>
      </c>
      <c r="V282" s="42" t="str">
        <f>IFERROR(__xludf.DUMMYFUNCTION("IFERROR(VLOOKUP(I282,IMPORTRANGE(""https://docs.google.com/spreadsheets/d/17FOIUYQAjPk1pPQIlvOgqYDBqwUqgb7KWzp4DtVksBk/edit?gid=0#gid=0"",""Servers!A:S""),19,FALSE), ""Not Running"")"),"NIDHID")</f>
        <v>NIDHID</v>
      </c>
      <c r="W282" s="47" t="str">
        <f>VLOOKUP($A282,Category!$A:$E,4,0)</f>
        <v>MS</v>
      </c>
      <c r="X282" s="47" t="str">
        <f>VLOOKUP($A282,Category!$A:$E,5,0)</f>
        <v>MSR</v>
      </c>
      <c r="Y282" s="18" t="str">
        <f>VLOOKUP(A282,PAcc!$A$1:$J$27,10,0)</f>
        <v>#N/A</v>
      </c>
      <c r="Z282" s="42" t="b">
        <f t="shared" si="4"/>
        <v>0</v>
      </c>
      <c r="AA282" s="50">
        <v>0.4</v>
      </c>
      <c r="AB282" s="42" t="str">
        <f>VLOOKUP(A282,VlookupSheet!$A$383:$A$523,1,0)</f>
        <v>#N/A</v>
      </c>
      <c r="AC282" s="50">
        <v>0.01</v>
      </c>
      <c r="AD282" s="42">
        <f t="shared" si="32"/>
        <v>4525541.6</v>
      </c>
      <c r="AE282" s="42">
        <f t="shared" si="33"/>
        <v>40000</v>
      </c>
      <c r="AF282" s="123">
        <f t="shared" si="34"/>
        <v>0</v>
      </c>
    </row>
    <row r="283">
      <c r="A283" s="30" t="s">
        <v>1537</v>
      </c>
      <c r="B283" s="84" t="s">
        <v>1830</v>
      </c>
      <c r="C283" s="85"/>
      <c r="D283" s="11">
        <f t="shared" si="37"/>
        <v>1</v>
      </c>
      <c r="E283" s="11">
        <f t="shared" si="38"/>
        <v>40000</v>
      </c>
      <c r="F283" s="30" t="s">
        <v>311</v>
      </c>
      <c r="G283" s="11" t="s">
        <v>1100</v>
      </c>
      <c r="H283" s="31">
        <v>40000.0</v>
      </c>
      <c r="I283" s="74" t="s">
        <v>340</v>
      </c>
      <c r="J283" s="25" t="s">
        <v>77</v>
      </c>
      <c r="K283" s="38">
        <f t="shared" si="17"/>
        <v>1</v>
      </c>
      <c r="L283" s="18" t="s">
        <v>910</v>
      </c>
      <c r="M283" s="18" t="s">
        <v>736</v>
      </c>
      <c r="N283" s="74"/>
      <c r="O283" s="74"/>
      <c r="P283" s="74"/>
      <c r="Q283" s="42" t="str">
        <f>iferror(VLOOKUP(A283,'Positional cal'!A:H,1,0)=A283,"FALSE")</f>
        <v>FALSE</v>
      </c>
      <c r="R283" s="43" t="b">
        <f t="shared" si="3"/>
        <v>0</v>
      </c>
      <c r="S283" s="46">
        <f>IFERROR(VLOOKUP($A283,AlgoUi!$A:$X,21,0),"NA")</f>
        <v>8729123</v>
      </c>
      <c r="T283" s="46">
        <f>IFERROR(VLOOKUP($A283,AlgoUi!$A:$X,23,0),"")</f>
        <v>8000000</v>
      </c>
      <c r="U283" s="46">
        <f>IFERROR(VLOOKUP($A283,AlgoUi!$A:$X,24,0),"")</f>
        <v>80000</v>
      </c>
      <c r="V283" s="42" t="str">
        <f>IFERROR(__xludf.DUMMYFUNCTION("IFERROR(VLOOKUP(I283,IMPORTRANGE(""https://docs.google.com/spreadsheets/d/17FOIUYQAjPk1pPQIlvOgqYDBqwUqgb7KWzp4DtVksBk/edit?gid=0#gid=0"",""Servers!A:S""),19,FALSE), ""Not Running"")"),"NIDHID")</f>
        <v>NIDHID</v>
      </c>
      <c r="W283" s="47" t="str">
        <f>VLOOKUP($A283,Category!$A:$E,4,0)</f>
        <v>MS</v>
      </c>
      <c r="X283" s="47" t="str">
        <f>VLOOKUP($A283,Category!$A:$E,5,0)</f>
        <v>MSR</v>
      </c>
      <c r="Y283" s="18" t="str">
        <f>VLOOKUP(A283,PAcc!$A$1:$J$27,10,0)</f>
        <v>#N/A</v>
      </c>
      <c r="Z283" s="42" t="b">
        <f t="shared" si="4"/>
        <v>0</v>
      </c>
      <c r="AA283" s="50">
        <v>0.4</v>
      </c>
      <c r="AB283" s="42" t="str">
        <f>VLOOKUP(A283,VlookupSheet!$A$383:$A$523,1,0)</f>
        <v>#N/A</v>
      </c>
      <c r="AC283" s="50">
        <v>0.01</v>
      </c>
      <c r="AD283" s="42">
        <f t="shared" si="32"/>
        <v>3491649.2</v>
      </c>
      <c r="AE283" s="42">
        <f t="shared" si="33"/>
        <v>40000</v>
      </c>
      <c r="AF283" s="123">
        <f t="shared" si="34"/>
        <v>0</v>
      </c>
    </row>
    <row r="284">
      <c r="A284" s="30" t="s">
        <v>1846</v>
      </c>
      <c r="B284" s="84" t="s">
        <v>2169</v>
      </c>
      <c r="C284" s="30" t="s">
        <v>320</v>
      </c>
      <c r="D284" s="11">
        <f t="shared" si="37"/>
        <v>1</v>
      </c>
      <c r="E284" s="11">
        <f t="shared" si="38"/>
        <v>40000</v>
      </c>
      <c r="F284" s="30" t="s">
        <v>311</v>
      </c>
      <c r="G284" s="11" t="s">
        <v>1100</v>
      </c>
      <c r="H284" s="31">
        <v>40000.0</v>
      </c>
      <c r="I284" s="74" t="s">
        <v>340</v>
      </c>
      <c r="J284" s="25" t="s">
        <v>77</v>
      </c>
      <c r="K284" s="38">
        <f t="shared" si="17"/>
        <v>1</v>
      </c>
      <c r="L284" s="18" t="s">
        <v>910</v>
      </c>
      <c r="M284" s="18" t="s">
        <v>736</v>
      </c>
      <c r="N284" s="74"/>
      <c r="O284" s="74"/>
      <c r="P284" s="74"/>
      <c r="Q284" s="42" t="str">
        <f>iferror(VLOOKUP(A284,'Positional cal'!A:H,1,0)=A284,"FALSE")</f>
        <v>FALSE</v>
      </c>
      <c r="R284" s="43" t="b">
        <f t="shared" si="3"/>
        <v>0</v>
      </c>
      <c r="S284" s="46">
        <f>IFERROR(VLOOKUP($A284,AlgoUi!$A:$X,21,0),"NA")</f>
        <v>12304249</v>
      </c>
      <c r="T284" s="46">
        <f>IFERROR(VLOOKUP($A284,AlgoUi!$A:$X,23,0),"")</f>
        <v>12000000</v>
      </c>
      <c r="U284" s="46">
        <f>IFERROR(VLOOKUP($A284,AlgoUi!$A:$X,24,0),"")</f>
        <v>120000</v>
      </c>
      <c r="V284" s="42" t="str">
        <f>IFERROR(__xludf.DUMMYFUNCTION("IFERROR(VLOOKUP(I284,IMPORTRANGE(""https://docs.google.com/spreadsheets/d/17FOIUYQAjPk1pPQIlvOgqYDBqwUqgb7KWzp4DtVksBk/edit?gid=0#gid=0"",""Servers!A:S""),19,FALSE), ""Not Running"")"),"NIDHID")</f>
        <v>NIDHID</v>
      </c>
      <c r="W284" s="47" t="str">
        <f>VLOOKUP($A284,Category!$A:$E,4,0)</f>
        <v>MS</v>
      </c>
      <c r="X284" s="47" t="str">
        <f>VLOOKUP($A284,Category!$A:$E,5,0)</f>
        <v>MSR</v>
      </c>
      <c r="Y284" s="18" t="str">
        <f>VLOOKUP(A284,PAcc!$A$1:$J$27,10,0)</f>
        <v>#N/A</v>
      </c>
      <c r="Z284" s="42" t="b">
        <f t="shared" si="4"/>
        <v>0</v>
      </c>
      <c r="AA284" s="50">
        <v>0.4</v>
      </c>
      <c r="AB284" s="42" t="str">
        <f>VLOOKUP(A284,VlookupSheet!$A$383:$A$523,1,0)</f>
        <v>#N/A</v>
      </c>
      <c r="AC284" s="42"/>
      <c r="AD284" s="42">
        <f t="shared" si="32"/>
        <v>4921699.6</v>
      </c>
      <c r="AE284" s="42">
        <f t="shared" si="33"/>
        <v>40000</v>
      </c>
      <c r="AF284" s="123">
        <f t="shared" si="34"/>
        <v>0</v>
      </c>
    </row>
    <row r="285">
      <c r="A285" s="30" t="s">
        <v>1832</v>
      </c>
      <c r="B285" s="84" t="s">
        <v>1837</v>
      </c>
      <c r="C285" s="85"/>
      <c r="D285" s="11">
        <f t="shared" si="37"/>
        <v>1</v>
      </c>
      <c r="E285" s="11">
        <f t="shared" si="38"/>
        <v>20000</v>
      </c>
      <c r="F285" s="30" t="s">
        <v>311</v>
      </c>
      <c r="G285" s="11">
        <v>20000.0</v>
      </c>
      <c r="H285" s="31">
        <v>20000.0</v>
      </c>
      <c r="I285" s="74" t="s">
        <v>340</v>
      </c>
      <c r="J285" s="25" t="s">
        <v>77</v>
      </c>
      <c r="K285" s="38">
        <f t="shared" si="17"/>
        <v>1</v>
      </c>
      <c r="L285" s="18" t="s">
        <v>910</v>
      </c>
      <c r="M285" s="18" t="s">
        <v>736</v>
      </c>
      <c r="N285" s="74"/>
      <c r="O285" s="74"/>
      <c r="P285" s="74"/>
      <c r="Q285" s="42" t="str">
        <f>iferror(VLOOKUP(A285,'Positional cal'!A:H,1,0)=A285,"FALSE")</f>
        <v>FALSE</v>
      </c>
      <c r="R285" s="43" t="b">
        <f t="shared" si="3"/>
        <v>0</v>
      </c>
      <c r="S285" s="46">
        <f>IFERROR(VLOOKUP($A285,AlgoUi!$A:$X,21,0),"NA")</f>
        <v>3693034</v>
      </c>
      <c r="T285" s="46">
        <f>IFERROR(VLOOKUP($A285,AlgoUi!$A:$X,23,0),"")</f>
        <v>4000000</v>
      </c>
      <c r="U285" s="46">
        <f>IFERROR(VLOOKUP($A285,AlgoUi!$A:$X,24,0),"")</f>
        <v>40000</v>
      </c>
      <c r="V285" s="42" t="str">
        <f>IFERROR(__xludf.DUMMYFUNCTION("IFERROR(VLOOKUP(I285,IMPORTRANGE(""https://docs.google.com/spreadsheets/d/17FOIUYQAjPk1pPQIlvOgqYDBqwUqgb7KWzp4DtVksBk/edit?gid=0#gid=0"",""Servers!A:S""),19,FALSE), ""Not Running"")"),"NIDHID")</f>
        <v>NIDHID</v>
      </c>
      <c r="W285" s="47" t="str">
        <f>VLOOKUP($A285,Category!$A:$E,4,0)</f>
        <v>MS</v>
      </c>
      <c r="X285" s="47" t="str">
        <f>VLOOKUP($A285,Category!$A:$E,5,0)</f>
        <v>MSR</v>
      </c>
      <c r="Y285" s="18" t="str">
        <f>VLOOKUP(A285,PAcc!$A$1:$J$27,10,0)</f>
        <v>#N/A</v>
      </c>
      <c r="Z285" s="42" t="b">
        <f t="shared" si="4"/>
        <v>0</v>
      </c>
      <c r="AA285" s="50">
        <v>0.4</v>
      </c>
      <c r="AB285" s="42" t="str">
        <f>VLOOKUP(A285,VlookupSheet!$A$383:$A$523,1,0)</f>
        <v>#N/A</v>
      </c>
      <c r="AC285" s="50">
        <v>0.01</v>
      </c>
      <c r="AD285" s="42">
        <f t="shared" si="32"/>
        <v>1477213.6</v>
      </c>
      <c r="AE285" s="42">
        <f t="shared" si="33"/>
        <v>20000</v>
      </c>
      <c r="AF285" s="123">
        <f t="shared" si="34"/>
        <v>0</v>
      </c>
    </row>
    <row r="286">
      <c r="A286" s="11" t="s">
        <v>1508</v>
      </c>
      <c r="B286" s="24" t="s">
        <v>2382</v>
      </c>
      <c r="C286" s="85"/>
      <c r="D286" s="11">
        <f t="shared" si="37"/>
        <v>1</v>
      </c>
      <c r="E286" s="11">
        <f t="shared" si="38"/>
        <v>40000</v>
      </c>
      <c r="F286" s="30" t="s">
        <v>965</v>
      </c>
      <c r="G286" s="11" t="s">
        <v>1100</v>
      </c>
      <c r="H286" s="31">
        <v>40000.0</v>
      </c>
      <c r="I286" s="74" t="s">
        <v>340</v>
      </c>
      <c r="J286" s="25" t="s">
        <v>77</v>
      </c>
      <c r="K286" s="38">
        <f t="shared" si="17"/>
        <v>1</v>
      </c>
      <c r="L286" s="18" t="s">
        <v>910</v>
      </c>
      <c r="M286" s="18" t="s">
        <v>736</v>
      </c>
      <c r="N286" s="34"/>
      <c r="O286" s="34"/>
      <c r="P286" s="34"/>
      <c r="Q286" s="42" t="str">
        <f>iferror(VLOOKUP(A286,'Positional cal'!A:H,1,0)=A286,"FALSE")</f>
        <v>FALSE</v>
      </c>
      <c r="R286" s="43" t="b">
        <f t="shared" si="3"/>
        <v>0</v>
      </c>
      <c r="S286" s="46">
        <f>IFERROR(VLOOKUP($A286,AlgoUi!$A:$X,21,0),"NA")</f>
        <v>11554522</v>
      </c>
      <c r="T286" s="46">
        <f>IFERROR(VLOOKUP($A286,AlgoUi!$A:$X,23,0),"")</f>
        <v>12000000</v>
      </c>
      <c r="U286" s="46">
        <f>IFERROR(VLOOKUP($A286,AlgoUi!$A:$X,24,0),"")</f>
        <v>120000</v>
      </c>
      <c r="V286" s="42" t="str">
        <f>IFERROR(__xludf.DUMMYFUNCTION("IFERROR(VLOOKUP(I286,IMPORTRANGE(""https://docs.google.com/spreadsheets/d/17FOIUYQAjPk1pPQIlvOgqYDBqwUqgb7KWzp4DtVksBk/edit?gid=0#gid=0"",""Servers!A:S""),19,FALSE), ""Not Running"")"),"NIDHID")</f>
        <v>NIDHID</v>
      </c>
      <c r="W286" s="47" t="str">
        <f>VLOOKUP($A286,Category!$A:$E,4,0)</f>
        <v>MS</v>
      </c>
      <c r="X286" s="47" t="str">
        <f>VLOOKUP($A286,Category!$A:$E,5,0)</f>
        <v>MSR</v>
      </c>
      <c r="Y286" s="18" t="str">
        <f>VLOOKUP(A286,PAcc!$A$1:$J$27,10,0)</f>
        <v>#N/A</v>
      </c>
      <c r="Z286" s="42" t="b">
        <f t="shared" si="4"/>
        <v>0</v>
      </c>
      <c r="AA286" s="50">
        <v>0.4</v>
      </c>
      <c r="AB286" s="42" t="str">
        <f>VLOOKUP(A286,VlookupSheet!$A$383:$A$523,1,0)</f>
        <v>#N/A</v>
      </c>
      <c r="AC286" s="50">
        <v>0.01</v>
      </c>
      <c r="AD286" s="42">
        <f t="shared" si="32"/>
        <v>4621808.8</v>
      </c>
      <c r="AE286" s="42">
        <f t="shared" si="33"/>
        <v>40000</v>
      </c>
      <c r="AF286" s="123">
        <f t="shared" si="34"/>
        <v>0</v>
      </c>
    </row>
    <row r="287">
      <c r="A287" s="75" t="s">
        <v>1758</v>
      </c>
      <c r="B287" s="84" t="s">
        <v>2159</v>
      </c>
      <c r="C287" s="25"/>
      <c r="D287" s="11">
        <f t="shared" si="37"/>
        <v>1</v>
      </c>
      <c r="E287" s="11">
        <f t="shared" si="38"/>
        <v>40000</v>
      </c>
      <c r="F287" s="30" t="s">
        <v>311</v>
      </c>
      <c r="G287" s="11" t="s">
        <v>1100</v>
      </c>
      <c r="H287" s="31">
        <v>40000.0</v>
      </c>
      <c r="I287" s="74" t="s">
        <v>340</v>
      </c>
      <c r="J287" s="25" t="s">
        <v>77</v>
      </c>
      <c r="K287" s="38">
        <f t="shared" si="17"/>
        <v>1</v>
      </c>
      <c r="L287" s="18" t="s">
        <v>910</v>
      </c>
      <c r="M287" s="18" t="s">
        <v>736</v>
      </c>
      <c r="N287" s="42"/>
      <c r="O287" s="42"/>
      <c r="P287" s="42"/>
      <c r="Q287" s="42" t="str">
        <f>iferror(VLOOKUP(A287,'Positional cal'!A:H,1,0)=A287,"FALSE")</f>
        <v>FALSE</v>
      </c>
      <c r="R287" s="43" t="b">
        <f t="shared" si="3"/>
        <v>0</v>
      </c>
      <c r="S287" s="46">
        <f>IFERROR(VLOOKUP($A287,AlgoUi!$A:$X,21,0),"NA")</f>
        <v>12372111</v>
      </c>
      <c r="T287" s="46">
        <f>IFERROR(VLOOKUP($A287,AlgoUi!$A:$X,23,0),"")</f>
        <v>12000000</v>
      </c>
      <c r="U287" s="46">
        <f>IFERROR(VLOOKUP($A287,AlgoUi!$A:$X,24,0),"")</f>
        <v>120000</v>
      </c>
      <c r="V287" s="42" t="str">
        <f>IFERROR(__xludf.DUMMYFUNCTION("IFERROR(VLOOKUP(I287,IMPORTRANGE(""https://docs.google.com/spreadsheets/d/17FOIUYQAjPk1pPQIlvOgqYDBqwUqgb7KWzp4DtVksBk/edit?gid=0#gid=0"",""Servers!A:S""),19,FALSE), ""Not Running"")"),"NIDHID")</f>
        <v>NIDHID</v>
      </c>
      <c r="W287" s="47" t="str">
        <f>VLOOKUP($A287,Category!$A:$E,4,0)</f>
        <v>MS</v>
      </c>
      <c r="X287" s="47" t="str">
        <f>VLOOKUP($A287,Category!$A:$E,5,0)</f>
        <v>MSR</v>
      </c>
      <c r="Y287" s="18" t="str">
        <f>VLOOKUP(A287,PAcc!$A$1:$J$27,10,0)</f>
        <v>#N/A</v>
      </c>
      <c r="Z287" s="42" t="b">
        <f t="shared" si="4"/>
        <v>0</v>
      </c>
      <c r="AA287" s="50">
        <v>0.4</v>
      </c>
      <c r="AB287" s="42" t="str">
        <f>VLOOKUP(A287,VlookupSheet!$A$383:$A$523,1,0)</f>
        <v>#N/A</v>
      </c>
      <c r="AC287" s="42"/>
      <c r="AD287" s="42">
        <f t="shared" si="32"/>
        <v>4948844.4</v>
      </c>
      <c r="AE287" s="42">
        <f t="shared" si="33"/>
        <v>40000</v>
      </c>
      <c r="AF287" s="123">
        <f t="shared" si="34"/>
        <v>0</v>
      </c>
    </row>
    <row r="288">
      <c r="A288" s="11" t="s">
        <v>1492</v>
      </c>
      <c r="B288" s="24" t="s">
        <v>1628</v>
      </c>
      <c r="C288" s="25"/>
      <c r="D288" s="11">
        <f t="shared" si="37"/>
        <v>1</v>
      </c>
      <c r="E288" s="11">
        <f t="shared" si="38"/>
        <v>20000</v>
      </c>
      <c r="F288" s="30" t="s">
        <v>311</v>
      </c>
      <c r="G288" s="11">
        <v>20000.0</v>
      </c>
      <c r="H288" s="31">
        <v>20000.0</v>
      </c>
      <c r="I288" s="74" t="s">
        <v>340</v>
      </c>
      <c r="J288" s="25" t="s">
        <v>77</v>
      </c>
      <c r="K288" s="38">
        <f t="shared" si="17"/>
        <v>1</v>
      </c>
      <c r="L288" s="18" t="s">
        <v>910</v>
      </c>
      <c r="M288" s="18" t="s">
        <v>736</v>
      </c>
      <c r="N288" s="74"/>
      <c r="O288" s="74"/>
      <c r="P288" s="74"/>
      <c r="Q288" s="42" t="str">
        <f>iferror(VLOOKUP(A288,'Positional cal'!A:H,1,0)=A288,"FALSE")</f>
        <v>FALSE</v>
      </c>
      <c r="R288" s="43" t="b">
        <f t="shared" si="3"/>
        <v>0</v>
      </c>
      <c r="S288" s="46">
        <f>IFERROR(VLOOKUP($A288,AlgoUi!$A:$X,21,0),"NA")</f>
        <v>3875913</v>
      </c>
      <c r="T288" s="46">
        <f>IFERROR(VLOOKUP($A288,AlgoUi!$A:$X,23,0),"")</f>
        <v>4000000</v>
      </c>
      <c r="U288" s="46">
        <f>IFERROR(VLOOKUP($A288,AlgoUi!$A:$X,24,0),"")</f>
        <v>40000</v>
      </c>
      <c r="V288" s="42" t="str">
        <f>IFERROR(__xludf.DUMMYFUNCTION("IFERROR(VLOOKUP(I288,IMPORTRANGE(""https://docs.google.com/spreadsheets/d/17FOIUYQAjPk1pPQIlvOgqYDBqwUqgb7KWzp4DtVksBk/edit?gid=0#gid=0"",""Servers!A:S""),19,FALSE), ""Not Running"")"),"NIDHID")</f>
        <v>NIDHID</v>
      </c>
      <c r="W288" s="47" t="str">
        <f>VLOOKUP($A288,Category!$A:$E,4,0)</f>
        <v>MS</v>
      </c>
      <c r="X288" s="47" t="str">
        <f>VLOOKUP($A288,Category!$A:$E,5,0)</f>
        <v>MSR</v>
      </c>
      <c r="Y288" s="18" t="str">
        <f>VLOOKUP(A288,PAcc!$A$1:$J$27,10,0)</f>
        <v>#N/A</v>
      </c>
      <c r="Z288" s="42" t="b">
        <f t="shared" si="4"/>
        <v>0</v>
      </c>
      <c r="AA288" s="50">
        <v>0.4</v>
      </c>
      <c r="AB288" s="42" t="str">
        <f>VLOOKUP(A288,VlookupSheet!$A$383:$A$523,1,0)</f>
        <v>#N/A</v>
      </c>
      <c r="AC288" s="50">
        <v>0.01</v>
      </c>
      <c r="AD288" s="42">
        <f t="shared" si="32"/>
        <v>1550365.2</v>
      </c>
      <c r="AE288" s="42">
        <f t="shared" si="33"/>
        <v>20000</v>
      </c>
      <c r="AF288" s="123">
        <f t="shared" si="34"/>
        <v>0</v>
      </c>
    </row>
    <row r="289">
      <c r="A289" s="30" t="s">
        <v>1523</v>
      </c>
      <c r="B289" s="84" t="s">
        <v>1874</v>
      </c>
      <c r="C289" s="85"/>
      <c r="D289" s="11">
        <f t="shared" si="37"/>
        <v>1</v>
      </c>
      <c r="E289" s="11">
        <f t="shared" si="38"/>
        <v>20000</v>
      </c>
      <c r="F289" s="30" t="s">
        <v>311</v>
      </c>
      <c r="G289" s="11" t="s">
        <v>1134</v>
      </c>
      <c r="H289" s="31">
        <v>20000.0</v>
      </c>
      <c r="I289" s="74" t="s">
        <v>340</v>
      </c>
      <c r="J289" s="25" t="s">
        <v>77</v>
      </c>
      <c r="K289" s="38">
        <f t="shared" si="17"/>
        <v>1</v>
      </c>
      <c r="L289" s="18" t="s">
        <v>910</v>
      </c>
      <c r="M289" s="18" t="s">
        <v>736</v>
      </c>
      <c r="N289" s="74"/>
      <c r="O289" s="74"/>
      <c r="P289" s="74"/>
      <c r="Q289" s="42" t="str">
        <f>iferror(VLOOKUP(A289,'Positional cal'!A:H,1,0)=A289,"FALSE")</f>
        <v>FALSE</v>
      </c>
      <c r="R289" s="43" t="b">
        <f t="shared" si="3"/>
        <v>0</v>
      </c>
      <c r="S289" s="46">
        <f>IFERROR(VLOOKUP($A289,AlgoUi!$A:$X,21,0),"NA")</f>
        <v>5633980</v>
      </c>
      <c r="T289" s="46">
        <f>IFERROR(VLOOKUP($A289,AlgoUi!$A:$X,23,0),"")</f>
        <v>6000000</v>
      </c>
      <c r="U289" s="46">
        <f>IFERROR(VLOOKUP($A289,AlgoUi!$A:$X,24,0),"")</f>
        <v>60000</v>
      </c>
      <c r="V289" s="42" t="str">
        <f>IFERROR(__xludf.DUMMYFUNCTION("IFERROR(VLOOKUP(I289,IMPORTRANGE(""https://docs.google.com/spreadsheets/d/17FOIUYQAjPk1pPQIlvOgqYDBqwUqgb7KWzp4DtVksBk/edit?gid=0#gid=0"",""Servers!A:S""),19,FALSE), ""Not Running"")"),"NIDHID")</f>
        <v>NIDHID</v>
      </c>
      <c r="W289" s="47" t="str">
        <f>VLOOKUP($A289,Category!$A:$E,4,0)</f>
        <v>MS</v>
      </c>
      <c r="X289" s="47" t="str">
        <f>VLOOKUP($A289,Category!$A:$E,5,0)</f>
        <v>MSR</v>
      </c>
      <c r="Y289" s="18" t="str">
        <f>VLOOKUP(A289,PAcc!$A$1:$J$27,10,0)</f>
        <v>#N/A</v>
      </c>
      <c r="Z289" s="42" t="b">
        <f t="shared" si="4"/>
        <v>0</v>
      </c>
      <c r="AA289" s="50">
        <v>0.4</v>
      </c>
      <c r="AB289" s="42" t="str">
        <f>VLOOKUP(A289,VlookupSheet!$A$383:$A$523,1,0)</f>
        <v>#N/A</v>
      </c>
      <c r="AC289" s="50">
        <v>0.01</v>
      </c>
      <c r="AD289" s="42">
        <f t="shared" si="32"/>
        <v>2253592</v>
      </c>
      <c r="AE289" s="42">
        <f t="shared" si="33"/>
        <v>20000</v>
      </c>
      <c r="AF289" s="123">
        <f t="shared" si="34"/>
        <v>0</v>
      </c>
    </row>
    <row r="290">
      <c r="A290" s="30" t="s">
        <v>1843</v>
      </c>
      <c r="B290" s="84" t="s">
        <v>1939</v>
      </c>
      <c r="C290" s="30" t="s">
        <v>320</v>
      </c>
      <c r="D290" s="11">
        <f t="shared" si="37"/>
        <v>1</v>
      </c>
      <c r="E290" s="11">
        <f t="shared" si="38"/>
        <v>20000</v>
      </c>
      <c r="F290" s="30" t="s">
        <v>311</v>
      </c>
      <c r="G290" s="11">
        <v>20000.0</v>
      </c>
      <c r="H290" s="31">
        <v>20000.0</v>
      </c>
      <c r="I290" s="74" t="s">
        <v>340</v>
      </c>
      <c r="J290" s="25" t="s">
        <v>77</v>
      </c>
      <c r="K290" s="38">
        <f t="shared" si="17"/>
        <v>1</v>
      </c>
      <c r="L290" s="18" t="s">
        <v>910</v>
      </c>
      <c r="M290" s="18" t="s">
        <v>736</v>
      </c>
      <c r="N290" s="74"/>
      <c r="O290" s="74"/>
      <c r="P290" s="74"/>
      <c r="Q290" s="42" t="str">
        <f>iferror(VLOOKUP(A290,'Positional cal'!A:H,1,0)=A290,"FALSE")</f>
        <v>FALSE</v>
      </c>
      <c r="R290" s="43" t="b">
        <f t="shared" si="3"/>
        <v>0</v>
      </c>
      <c r="S290" s="46">
        <f>IFERROR(VLOOKUP($A290,AlgoUi!$A:$X,21,0),"NA")</f>
        <v>6134690</v>
      </c>
      <c r="T290" s="46">
        <f>IFERROR(VLOOKUP($A290,AlgoUi!$A:$X,23,0),"")</f>
        <v>6000000</v>
      </c>
      <c r="U290" s="46">
        <f>IFERROR(VLOOKUP($A290,AlgoUi!$A:$X,24,0),"")</f>
        <v>60000</v>
      </c>
      <c r="V290" s="42" t="str">
        <f>IFERROR(__xludf.DUMMYFUNCTION("IFERROR(VLOOKUP(I290,IMPORTRANGE(""https://docs.google.com/spreadsheets/d/17FOIUYQAjPk1pPQIlvOgqYDBqwUqgb7KWzp4DtVksBk/edit?gid=0#gid=0"",""Servers!A:S""),19,FALSE), ""Not Running"")"),"NIDHID")</f>
        <v>NIDHID</v>
      </c>
      <c r="W290" s="47" t="str">
        <f>VLOOKUP($A290,Category!$A:$E,4,0)</f>
        <v>MS</v>
      </c>
      <c r="X290" s="47" t="str">
        <f>VLOOKUP($A290,Category!$A:$E,5,0)</f>
        <v>MSR</v>
      </c>
      <c r="Y290" s="18" t="str">
        <f>VLOOKUP(A290,PAcc!$A$1:$J$27,10,0)</f>
        <v>#N/A</v>
      </c>
      <c r="Z290" s="42" t="b">
        <f t="shared" si="4"/>
        <v>0</v>
      </c>
      <c r="AA290" s="50">
        <v>0.4</v>
      </c>
      <c r="AB290" s="42" t="str">
        <f>VLOOKUP(A290,VlookupSheet!$A$383:$A$523,1,0)</f>
        <v>#N/A</v>
      </c>
      <c r="AC290" s="42"/>
      <c r="AD290" s="42">
        <f t="shared" si="32"/>
        <v>2453876</v>
      </c>
      <c r="AE290" s="42">
        <f t="shared" si="33"/>
        <v>20000</v>
      </c>
      <c r="AF290" s="123">
        <f t="shared" si="34"/>
        <v>0</v>
      </c>
    </row>
    <row r="291">
      <c r="A291" s="30" t="s">
        <v>1863</v>
      </c>
      <c r="B291" s="84" t="s">
        <v>2141</v>
      </c>
      <c r="C291" s="30" t="s">
        <v>320</v>
      </c>
      <c r="D291" s="11">
        <f t="shared" si="37"/>
        <v>1</v>
      </c>
      <c r="E291" s="11">
        <f t="shared" si="38"/>
        <v>40000</v>
      </c>
      <c r="F291" s="30" t="s">
        <v>311</v>
      </c>
      <c r="G291" s="11" t="s">
        <v>1100</v>
      </c>
      <c r="H291" s="31">
        <v>40000.0</v>
      </c>
      <c r="I291" s="74" t="s">
        <v>340</v>
      </c>
      <c r="J291" s="25" t="s">
        <v>77</v>
      </c>
      <c r="K291" s="38">
        <f t="shared" si="17"/>
        <v>1</v>
      </c>
      <c r="L291" s="18" t="s">
        <v>910</v>
      </c>
      <c r="M291" s="18" t="s">
        <v>736</v>
      </c>
      <c r="N291" s="74"/>
      <c r="O291" s="74"/>
      <c r="P291" s="74"/>
      <c r="Q291" s="42" t="str">
        <f>iferror(VLOOKUP(A291,'Positional cal'!A:H,1,0)=A291,"FALSE")</f>
        <v>FALSE</v>
      </c>
      <c r="R291" s="43" t="b">
        <f t="shared" si="3"/>
        <v>0</v>
      </c>
      <c r="S291" s="46">
        <f>IFERROR(VLOOKUP($A291,AlgoUi!$A:$X,21,0),"NA")</f>
        <v>10477337</v>
      </c>
      <c r="T291" s="46">
        <f>IFERROR(VLOOKUP($A291,AlgoUi!$A:$X,23,0),"")</f>
        <v>10000000</v>
      </c>
      <c r="U291" s="46">
        <f>IFERROR(VLOOKUP($A291,AlgoUi!$A:$X,24,0),"")</f>
        <v>100000</v>
      </c>
      <c r="V291" s="42" t="str">
        <f>IFERROR(__xludf.DUMMYFUNCTION("IFERROR(VLOOKUP(I291,IMPORTRANGE(""https://docs.google.com/spreadsheets/d/17FOIUYQAjPk1pPQIlvOgqYDBqwUqgb7KWzp4DtVksBk/edit?gid=0#gid=0"",""Servers!A:S""),19,FALSE), ""Not Running"")"),"NIDHID")</f>
        <v>NIDHID</v>
      </c>
      <c r="W291" s="47" t="str">
        <f>VLOOKUP($A291,Category!$A:$E,4,0)</f>
        <v>MS</v>
      </c>
      <c r="X291" s="47" t="str">
        <f>VLOOKUP($A291,Category!$A:$E,5,0)</f>
        <v>MSR</v>
      </c>
      <c r="Y291" s="18" t="str">
        <f>VLOOKUP(A291,PAcc!$A$1:$J$27,10,0)</f>
        <v>#N/A</v>
      </c>
      <c r="Z291" s="42" t="b">
        <f t="shared" si="4"/>
        <v>0</v>
      </c>
      <c r="AA291" s="50">
        <v>0.4</v>
      </c>
      <c r="AB291" s="42" t="str">
        <f>VLOOKUP(A291,VlookupSheet!$A$383:$A$523,1,0)</f>
        <v>#N/A</v>
      </c>
      <c r="AC291" s="42"/>
      <c r="AD291" s="42">
        <f t="shared" si="32"/>
        <v>4190934.8</v>
      </c>
      <c r="AE291" s="42">
        <f t="shared" si="33"/>
        <v>40000</v>
      </c>
      <c r="AF291" s="123">
        <f t="shared" si="34"/>
        <v>0</v>
      </c>
    </row>
    <row r="292">
      <c r="A292" s="30" t="s">
        <v>2473</v>
      </c>
      <c r="B292" s="84" t="s">
        <v>2474</v>
      </c>
      <c r="C292" s="85"/>
      <c r="D292" s="11">
        <f t="shared" si="37"/>
        <v>1</v>
      </c>
      <c r="E292" s="11">
        <f t="shared" si="38"/>
        <v>20000</v>
      </c>
      <c r="F292" s="30" t="s">
        <v>311</v>
      </c>
      <c r="G292" s="11">
        <v>20000.0</v>
      </c>
      <c r="H292" s="31">
        <v>20000.0</v>
      </c>
      <c r="I292" s="74" t="s">
        <v>340</v>
      </c>
      <c r="J292" s="25" t="s">
        <v>77</v>
      </c>
      <c r="K292" s="38">
        <f t="shared" si="17"/>
        <v>1</v>
      </c>
      <c r="L292" s="18" t="s">
        <v>910</v>
      </c>
      <c r="M292" s="18" t="s">
        <v>736</v>
      </c>
      <c r="N292" s="74"/>
      <c r="O292" s="74"/>
      <c r="P292" s="74"/>
      <c r="Q292" s="42" t="str">
        <f>iferror(VLOOKUP(A292,'Positional cal'!A:H,1,0)=A292,"FALSE")</f>
        <v>FALSE</v>
      </c>
      <c r="R292" s="43" t="b">
        <f t="shared" si="3"/>
        <v>0</v>
      </c>
      <c r="S292" s="46">
        <f>IFERROR(VLOOKUP($A292,AlgoUi!$A:$X,21,0),"NA")</f>
        <v>6562986</v>
      </c>
      <c r="T292" s="46">
        <f>IFERROR(VLOOKUP($A292,AlgoUi!$A:$X,23,0),"")</f>
        <v>6000000</v>
      </c>
      <c r="U292" s="46">
        <f>IFERROR(VLOOKUP($A292,AlgoUi!$A:$X,24,0),"")</f>
        <v>60000</v>
      </c>
      <c r="V292" s="42" t="str">
        <f>IFERROR(__xludf.DUMMYFUNCTION("IFERROR(VLOOKUP(I292,IMPORTRANGE(""https://docs.google.com/spreadsheets/d/17FOIUYQAjPk1pPQIlvOgqYDBqwUqgb7KWzp4DtVksBk/edit?gid=0#gid=0"",""Servers!A:S""),19,FALSE), ""Not Running"")"),"NIDHID")</f>
        <v>NIDHID</v>
      </c>
      <c r="W292" s="47" t="str">
        <f>VLOOKUP($A292,Category!$A:$E,4,0)</f>
        <v>MS</v>
      </c>
      <c r="X292" s="47" t="str">
        <f>VLOOKUP($A292,Category!$A:$E,5,0)</f>
        <v>MSR</v>
      </c>
      <c r="Y292" s="18" t="str">
        <f>VLOOKUP(A292,PAcc!$A$1:$J$27,10,0)</f>
        <v>#N/A</v>
      </c>
      <c r="Z292" s="42" t="b">
        <f t="shared" si="4"/>
        <v>0</v>
      </c>
      <c r="AA292" s="50">
        <v>0.4</v>
      </c>
      <c r="AB292" s="42" t="str">
        <f>VLOOKUP(A292,VlookupSheet!$A$383:$A$523,1,0)</f>
        <v>#N/A</v>
      </c>
      <c r="AC292" s="50">
        <v>0.01</v>
      </c>
      <c r="AD292" s="42">
        <f t="shared" si="32"/>
        <v>2625194.4</v>
      </c>
      <c r="AE292" s="42">
        <f t="shared" si="33"/>
        <v>20000</v>
      </c>
      <c r="AF292" s="123">
        <f t="shared" si="34"/>
        <v>0</v>
      </c>
    </row>
    <row r="293">
      <c r="A293" s="30" t="s">
        <v>1342</v>
      </c>
      <c r="B293" s="84" t="s">
        <v>1548</v>
      </c>
      <c r="C293" s="85"/>
      <c r="D293" s="11">
        <f t="shared" si="37"/>
        <v>1</v>
      </c>
      <c r="E293" s="11">
        <f t="shared" si="38"/>
        <v>40000</v>
      </c>
      <c r="F293" s="30" t="s">
        <v>311</v>
      </c>
      <c r="G293" s="11" t="s">
        <v>1100</v>
      </c>
      <c r="H293" s="31">
        <v>40000.0</v>
      </c>
      <c r="I293" s="74" t="s">
        <v>340</v>
      </c>
      <c r="J293" s="25" t="s">
        <v>77</v>
      </c>
      <c r="K293" s="38">
        <f t="shared" si="17"/>
        <v>1</v>
      </c>
      <c r="L293" s="18" t="s">
        <v>910</v>
      </c>
      <c r="M293" s="18" t="s">
        <v>736</v>
      </c>
      <c r="N293" s="74"/>
      <c r="O293" s="74"/>
      <c r="P293" s="74"/>
      <c r="Q293" s="42" t="str">
        <f>iferror(VLOOKUP(A293,'Positional cal'!A:H,1,0)=A293,"FALSE")</f>
        <v>FALSE</v>
      </c>
      <c r="R293" s="43" t="b">
        <f t="shared" si="3"/>
        <v>0</v>
      </c>
      <c r="S293" s="46">
        <f>IFERROR(VLOOKUP($A293,AlgoUi!$A:$X,21,0),"NA")</f>
        <v>8229289</v>
      </c>
      <c r="T293" s="46">
        <f>IFERROR(VLOOKUP($A293,AlgoUi!$A:$X,23,0),"")</f>
        <v>8000000</v>
      </c>
      <c r="U293" s="46">
        <f>IFERROR(VLOOKUP($A293,AlgoUi!$A:$X,24,0),"")</f>
        <v>80000</v>
      </c>
      <c r="V293" s="42" t="str">
        <f>IFERROR(__xludf.DUMMYFUNCTION("IFERROR(VLOOKUP(I293,IMPORTRANGE(""https://docs.google.com/spreadsheets/d/17FOIUYQAjPk1pPQIlvOgqYDBqwUqgb7KWzp4DtVksBk/edit?gid=0#gid=0"",""Servers!A:S""),19,FALSE), ""Not Running"")"),"NIDHID")</f>
        <v>NIDHID</v>
      </c>
      <c r="W293" s="47" t="str">
        <f>VLOOKUP($A293,Category!$A:$E,4,0)</f>
        <v>MS</v>
      </c>
      <c r="X293" s="47" t="str">
        <f>VLOOKUP($A293,Category!$A:$E,5,0)</f>
        <v>MSR</v>
      </c>
      <c r="Y293" s="18" t="str">
        <f>VLOOKUP(A293,PAcc!$A$1:$J$27,10,0)</f>
        <v>#N/A</v>
      </c>
      <c r="Z293" s="42" t="b">
        <f t="shared" si="4"/>
        <v>0</v>
      </c>
      <c r="AA293" s="50">
        <v>0.4</v>
      </c>
      <c r="AB293" s="42" t="str">
        <f>VLOOKUP(A293,VlookupSheet!$A$383:$A$523,1,0)</f>
        <v>#N/A</v>
      </c>
      <c r="AC293" s="50">
        <v>0.01</v>
      </c>
      <c r="AD293" s="42">
        <f t="shared" si="32"/>
        <v>3291715.6</v>
      </c>
      <c r="AE293" s="42">
        <f t="shared" si="33"/>
        <v>40000</v>
      </c>
      <c r="AF293" s="123">
        <f t="shared" si="34"/>
        <v>0</v>
      </c>
    </row>
    <row r="294">
      <c r="A294" s="30" t="s">
        <v>1356</v>
      </c>
      <c r="B294" s="84" t="s">
        <v>2509</v>
      </c>
      <c r="C294" s="85"/>
      <c r="D294" s="11">
        <f t="shared" si="37"/>
        <v>1</v>
      </c>
      <c r="E294" s="11">
        <f t="shared" si="38"/>
        <v>40000</v>
      </c>
      <c r="F294" s="30" t="s">
        <v>311</v>
      </c>
      <c r="G294" s="11" t="s">
        <v>1100</v>
      </c>
      <c r="H294" s="31">
        <v>40000.0</v>
      </c>
      <c r="I294" s="34" t="s">
        <v>340</v>
      </c>
      <c r="J294" s="11" t="s">
        <v>77</v>
      </c>
      <c r="K294" s="38">
        <f t="shared" si="17"/>
        <v>1</v>
      </c>
      <c r="L294" s="18" t="s">
        <v>910</v>
      </c>
      <c r="M294" s="18" t="s">
        <v>736</v>
      </c>
      <c r="N294" s="34"/>
      <c r="O294" s="34"/>
      <c r="P294" s="34"/>
      <c r="Q294" s="42" t="str">
        <f>iferror(VLOOKUP(A294,'Positional cal'!A:H,1,0)=A294,"FALSE")</f>
        <v>FALSE</v>
      </c>
      <c r="R294" s="43" t="b">
        <f t="shared" si="3"/>
        <v>0</v>
      </c>
      <c r="S294" s="46">
        <f>IFERROR(VLOOKUP($A294,AlgoUi!$A:$X,21,0),"NA")</f>
        <v>11457275</v>
      </c>
      <c r="T294" s="46">
        <f>IFERROR(VLOOKUP($A294,AlgoUi!$A:$X,23,0),"")</f>
        <v>12000000</v>
      </c>
      <c r="U294" s="46">
        <f>IFERROR(VLOOKUP($A294,AlgoUi!$A:$X,24,0),"")</f>
        <v>120000</v>
      </c>
      <c r="V294" s="42" t="str">
        <f>IFERROR(__xludf.DUMMYFUNCTION("IFERROR(VLOOKUP(I294,IMPORTRANGE(""https://docs.google.com/spreadsheets/d/17FOIUYQAjPk1pPQIlvOgqYDBqwUqgb7KWzp4DtVksBk/edit?gid=0#gid=0"",""Servers!A:S""),19,FALSE), ""Not Running"")"),"NIDHID")</f>
        <v>NIDHID</v>
      </c>
      <c r="W294" s="47" t="str">
        <f>VLOOKUP($A294,Category!$A:$E,4,0)</f>
        <v>MS</v>
      </c>
      <c r="X294" s="47" t="str">
        <f>VLOOKUP($A294,Category!$A:$E,5,0)</f>
        <v>MSR</v>
      </c>
      <c r="Y294" s="18" t="str">
        <f>VLOOKUP(A294,PAcc!$A$1:$J$27,10,0)</f>
        <v>#N/A</v>
      </c>
      <c r="Z294" s="42" t="b">
        <f t="shared" si="4"/>
        <v>0</v>
      </c>
      <c r="AA294" s="50">
        <v>0.4</v>
      </c>
      <c r="AB294" s="42" t="str">
        <f>VLOOKUP(A294,VlookupSheet!$A$383:$A$523,1,0)</f>
        <v>#N/A</v>
      </c>
      <c r="AC294" s="50">
        <v>0.01</v>
      </c>
      <c r="AD294" s="42">
        <f t="shared" si="32"/>
        <v>4582910</v>
      </c>
      <c r="AE294" s="42">
        <f t="shared" si="33"/>
        <v>40000</v>
      </c>
      <c r="AF294" s="123">
        <f t="shared" si="34"/>
        <v>0</v>
      </c>
    </row>
    <row r="295">
      <c r="A295" s="30" t="s">
        <v>2181</v>
      </c>
      <c r="B295" s="84" t="s">
        <v>2526</v>
      </c>
      <c r="C295" s="30"/>
      <c r="D295" s="11">
        <f t="shared" si="37"/>
        <v>1</v>
      </c>
      <c r="E295" s="11">
        <f t="shared" si="38"/>
        <v>40000</v>
      </c>
      <c r="F295" s="30" t="s">
        <v>311</v>
      </c>
      <c r="G295" s="11" t="s">
        <v>1100</v>
      </c>
      <c r="H295" s="31">
        <v>40000.0</v>
      </c>
      <c r="I295" s="34" t="s">
        <v>340</v>
      </c>
      <c r="J295" s="11" t="s">
        <v>77</v>
      </c>
      <c r="K295" s="38">
        <f t="shared" si="17"/>
        <v>1</v>
      </c>
      <c r="L295" s="18" t="s">
        <v>910</v>
      </c>
      <c r="M295" s="18" t="s">
        <v>736</v>
      </c>
      <c r="N295" s="42"/>
      <c r="O295" s="42"/>
      <c r="P295" s="42"/>
      <c r="Q295" s="42" t="str">
        <f>iferror(VLOOKUP(A295,'Positional cal'!A:H,1,0)=A295,"FALSE")</f>
        <v>FALSE</v>
      </c>
      <c r="R295" s="43" t="b">
        <f t="shared" si="3"/>
        <v>0</v>
      </c>
      <c r="S295" s="46">
        <f>IFERROR(VLOOKUP($A295,AlgoUi!$A:$X,21,0),"NA")</f>
        <v>12012589</v>
      </c>
      <c r="T295" s="46">
        <f>IFERROR(VLOOKUP($A295,AlgoUi!$A:$X,23,0),"")</f>
        <v>12000000</v>
      </c>
      <c r="U295" s="46">
        <f>IFERROR(VLOOKUP($A295,AlgoUi!$A:$X,24,0),"")</f>
        <v>120000</v>
      </c>
      <c r="V295" s="42" t="str">
        <f>IFERROR(__xludf.DUMMYFUNCTION("IFERROR(VLOOKUP(I295,IMPORTRANGE(""https://docs.google.com/spreadsheets/d/17FOIUYQAjPk1pPQIlvOgqYDBqwUqgb7KWzp4DtVksBk/edit?gid=0#gid=0"",""Servers!A:S""),19,FALSE), ""Not Running"")"),"NIDHID")</f>
        <v>NIDHID</v>
      </c>
      <c r="W295" s="47" t="str">
        <f>VLOOKUP($A295,Category!$A:$E,4,0)</f>
        <v>MS</v>
      </c>
      <c r="X295" s="47" t="str">
        <f>VLOOKUP($A295,Category!$A:$E,5,0)</f>
        <v>MSR</v>
      </c>
      <c r="Y295" s="18" t="str">
        <f>VLOOKUP(A295,PAcc!$A$1:$J$27,10,0)</f>
        <v>#N/A</v>
      </c>
      <c r="Z295" s="42" t="b">
        <f t="shared" si="4"/>
        <v>0</v>
      </c>
      <c r="AA295" s="50">
        <v>0.4</v>
      </c>
      <c r="AB295" s="42" t="str">
        <f>VLOOKUP(A295,VlookupSheet!$A$383:$A$523,1,0)</f>
        <v>#N/A</v>
      </c>
      <c r="AC295" s="50">
        <v>0.01</v>
      </c>
      <c r="AD295" s="42">
        <f t="shared" si="32"/>
        <v>4805035.6</v>
      </c>
      <c r="AE295" s="42">
        <f t="shared" si="33"/>
        <v>40000</v>
      </c>
      <c r="AF295" s="123">
        <f t="shared" si="34"/>
        <v>0</v>
      </c>
    </row>
    <row r="296">
      <c r="A296" s="30" t="s">
        <v>1352</v>
      </c>
      <c r="B296" s="84" t="s">
        <v>2485</v>
      </c>
      <c r="C296" s="85"/>
      <c r="D296" s="11">
        <f t="shared" si="37"/>
        <v>1</v>
      </c>
      <c r="E296" s="11">
        <f t="shared" si="38"/>
        <v>40000</v>
      </c>
      <c r="F296" s="30" t="s">
        <v>232</v>
      </c>
      <c r="G296" s="11">
        <v>40000.0</v>
      </c>
      <c r="H296" s="31">
        <v>40000.0</v>
      </c>
      <c r="I296" s="34" t="s">
        <v>174</v>
      </c>
      <c r="J296" s="25" t="s">
        <v>77</v>
      </c>
      <c r="K296" s="38">
        <f t="shared" si="17"/>
        <v>1</v>
      </c>
      <c r="L296" s="18" t="s">
        <v>910</v>
      </c>
      <c r="M296" s="18" t="s">
        <v>736</v>
      </c>
      <c r="N296" s="74"/>
      <c r="O296" s="74"/>
      <c r="P296" s="74"/>
      <c r="Q296" s="42" t="str">
        <f>iferror(VLOOKUP(A296,'Positional cal'!A:H,1,0)=A296,"FALSE")</f>
        <v>FALSE</v>
      </c>
      <c r="R296" s="43" t="b">
        <f t="shared" si="3"/>
        <v>0</v>
      </c>
      <c r="S296" s="46">
        <f>IFERROR(VLOOKUP($A296,AlgoUi!$A:$X,21,0),"NA")</f>
        <v>11398398</v>
      </c>
      <c r="T296" s="46">
        <f>IFERROR(VLOOKUP($A296,AlgoUi!$A:$X,23,0),"")</f>
        <v>12000000</v>
      </c>
      <c r="U296" s="46">
        <f>IFERROR(VLOOKUP($A296,AlgoUi!$A:$X,24,0),"")</f>
        <v>120000</v>
      </c>
      <c r="V296" s="42" t="str">
        <f>IFERROR(__xludf.DUMMYFUNCTION("IFERROR(VLOOKUP(I296,IMPORTRANGE(""https://docs.google.com/spreadsheets/d/17FOIUYQAjPk1pPQIlvOgqYDBqwUqgb7KWzp4DtVksBk/edit?gid=0#gid=0"",""Servers!A:S""),19,FALSE), ""Not Running"")"),"AYUSHS")</f>
        <v>AYUSHS</v>
      </c>
      <c r="W296" s="47" t="str">
        <f>VLOOKUP($A296,Category!$A:$E,4,0)</f>
        <v>MS</v>
      </c>
      <c r="X296" s="47" t="str">
        <f>VLOOKUP($A296,Category!$A:$E,5,0)</f>
        <v>MSR</v>
      </c>
      <c r="Y296" s="18" t="str">
        <f>VLOOKUP(A296,PAcc!$A$1:$J$27,10,0)</f>
        <v>#N/A</v>
      </c>
      <c r="Z296" s="42" t="b">
        <f t="shared" si="4"/>
        <v>0</v>
      </c>
      <c r="AA296" s="50">
        <v>0.4</v>
      </c>
      <c r="AB296" s="42" t="str">
        <f>VLOOKUP(A296,VlookupSheet!$A$383:$A$523,1,0)</f>
        <v>#N/A</v>
      </c>
      <c r="AC296" s="50">
        <v>0.01</v>
      </c>
      <c r="AD296" s="42">
        <f t="shared" si="32"/>
        <v>4559359.2</v>
      </c>
      <c r="AE296" s="42">
        <f t="shared" si="33"/>
        <v>40000</v>
      </c>
      <c r="AF296" s="123">
        <f t="shared" si="34"/>
        <v>0</v>
      </c>
    </row>
    <row r="297">
      <c r="A297" s="30" t="s">
        <v>373</v>
      </c>
      <c r="B297" s="84" t="s">
        <v>2562</v>
      </c>
      <c r="C297" s="85"/>
      <c r="D297" s="11">
        <f t="shared" si="37"/>
        <v>1</v>
      </c>
      <c r="E297" s="11">
        <f t="shared" si="38"/>
        <v>80000</v>
      </c>
      <c r="F297" s="30" t="s">
        <v>311</v>
      </c>
      <c r="G297" s="11">
        <v>80000.0</v>
      </c>
      <c r="H297" s="31">
        <v>80000.0</v>
      </c>
      <c r="I297" s="34" t="s">
        <v>174</v>
      </c>
      <c r="J297" s="11" t="s">
        <v>77</v>
      </c>
      <c r="K297" s="38">
        <f t="shared" si="17"/>
        <v>1</v>
      </c>
      <c r="L297" s="18" t="s">
        <v>910</v>
      </c>
      <c r="M297" s="18" t="s">
        <v>736</v>
      </c>
      <c r="N297" s="47"/>
      <c r="O297" s="47"/>
      <c r="P297" s="47"/>
      <c r="Q297" s="42" t="str">
        <f>iferror(VLOOKUP(A297,'Positional cal'!A:H,1,0)=A297,"FALSE")</f>
        <v>FALSE</v>
      </c>
      <c r="R297" s="43" t="b">
        <f t="shared" si="3"/>
        <v>0</v>
      </c>
      <c r="S297" s="46">
        <f>IFERROR(VLOOKUP($A297,AlgoUi!$A:$X,21,0),"NA")</f>
        <v>17587630</v>
      </c>
      <c r="T297" s="46">
        <f>IFERROR(VLOOKUP($A297,AlgoUi!$A:$X,23,0),"")</f>
        <v>18000000</v>
      </c>
      <c r="U297" s="46">
        <f>IFERROR(VLOOKUP($A297,AlgoUi!$A:$X,24,0),"")</f>
        <v>180000</v>
      </c>
      <c r="V297" s="42" t="str">
        <f>IFERROR(__xludf.DUMMYFUNCTION("IFERROR(VLOOKUP(I297,IMPORTRANGE(""https://docs.google.com/spreadsheets/d/17FOIUYQAjPk1pPQIlvOgqYDBqwUqgb7KWzp4DtVksBk/edit?gid=0#gid=0"",""Servers!A:S""),19,FALSE), ""Not Running"")"),"AYUSHS")</f>
        <v>AYUSHS</v>
      </c>
      <c r="W297" s="47" t="str">
        <f>VLOOKUP($A297,Category!$A:$E,4,0)</f>
        <v>MS</v>
      </c>
      <c r="X297" s="47" t="str">
        <f>VLOOKUP($A297,Category!$A:$E,5,0)</f>
        <v>MSN</v>
      </c>
      <c r="Y297" s="18" t="str">
        <f>VLOOKUP(A297,PAcc!$A$1:$J$27,10,0)</f>
        <v>#N/A</v>
      </c>
      <c r="Z297" s="42" t="b">
        <f t="shared" si="4"/>
        <v>0</v>
      </c>
      <c r="AA297" s="50">
        <v>0.4</v>
      </c>
      <c r="AB297" s="42" t="str">
        <f>VLOOKUP(A297,VlookupSheet!$A$383:$A$523,1,0)</f>
        <v>#N/A</v>
      </c>
      <c r="AC297" s="50">
        <v>0.01</v>
      </c>
      <c r="AD297" s="42">
        <f t="shared" si="32"/>
        <v>7035052</v>
      </c>
      <c r="AE297" s="42">
        <f t="shared" si="33"/>
        <v>80000</v>
      </c>
      <c r="AF297" s="123">
        <f t="shared" si="34"/>
        <v>0</v>
      </c>
    </row>
    <row r="298">
      <c r="A298" s="11" t="s">
        <v>539</v>
      </c>
      <c r="B298" s="84" t="s">
        <v>2577</v>
      </c>
      <c r="C298" s="25"/>
      <c r="D298" s="11">
        <f t="shared" si="37"/>
        <v>1</v>
      </c>
      <c r="E298" s="11">
        <f t="shared" si="38"/>
        <v>60000</v>
      </c>
      <c r="F298" s="30" t="s">
        <v>311</v>
      </c>
      <c r="G298" s="11">
        <v>60000.0</v>
      </c>
      <c r="H298" s="31">
        <v>60000.0</v>
      </c>
      <c r="I298" s="34" t="s">
        <v>174</v>
      </c>
      <c r="J298" s="11" t="s">
        <v>77</v>
      </c>
      <c r="K298" s="38">
        <f t="shared" si="17"/>
        <v>1</v>
      </c>
      <c r="L298" s="18" t="s">
        <v>910</v>
      </c>
      <c r="M298" s="18" t="s">
        <v>736</v>
      </c>
      <c r="N298" s="42"/>
      <c r="O298" s="42"/>
      <c r="P298" s="42"/>
      <c r="Q298" s="42" t="str">
        <f>iferror(VLOOKUP(A298,'Positional cal'!A:H,1,0)=A298,"FALSE")</f>
        <v>FALSE</v>
      </c>
      <c r="R298" s="43" t="b">
        <f t="shared" si="3"/>
        <v>0</v>
      </c>
      <c r="S298" s="46">
        <f>IFERROR(VLOOKUP($A298,AlgoUi!$A:$X,21,0),"NA")</f>
        <v>13296463</v>
      </c>
      <c r="T298" s="46">
        <f>IFERROR(VLOOKUP($A298,AlgoUi!$A:$X,23,0),"")</f>
        <v>14000000</v>
      </c>
      <c r="U298" s="46">
        <f>IFERROR(VLOOKUP($A298,AlgoUi!$A:$X,24,0),"")</f>
        <v>140000</v>
      </c>
      <c r="V298" s="42" t="str">
        <f>IFERROR(__xludf.DUMMYFUNCTION("IFERROR(VLOOKUP(I298,IMPORTRANGE(""https://docs.google.com/spreadsheets/d/17FOIUYQAjPk1pPQIlvOgqYDBqwUqgb7KWzp4DtVksBk/edit?gid=0#gid=0"",""Servers!A:S""),19,FALSE), ""Not Running"")"),"AYUSHS")</f>
        <v>AYUSHS</v>
      </c>
      <c r="W298" s="47" t="str">
        <f>VLOOKUP($A298,Category!$A:$E,4,0)</f>
        <v>MS</v>
      </c>
      <c r="X298" s="47" t="str">
        <f>VLOOKUP($A298,Category!$A:$E,5,0)</f>
        <v>MSR</v>
      </c>
      <c r="Y298" s="18" t="str">
        <f>VLOOKUP(A298,PAcc!$A$1:$J$27,10,0)</f>
        <v>#N/A</v>
      </c>
      <c r="Z298" s="42" t="b">
        <f t="shared" si="4"/>
        <v>0</v>
      </c>
      <c r="AA298" s="50">
        <v>0.4</v>
      </c>
      <c r="AB298" s="42" t="str">
        <f>VLOOKUP(A298,VlookupSheet!$A$383:$A$523,1,0)</f>
        <v>#N/A</v>
      </c>
      <c r="AC298" s="50">
        <v>0.01</v>
      </c>
      <c r="AD298" s="42">
        <f t="shared" si="32"/>
        <v>5318585.2</v>
      </c>
      <c r="AE298" s="42">
        <f t="shared" si="33"/>
        <v>60000</v>
      </c>
      <c r="AF298" s="123">
        <f t="shared" si="34"/>
        <v>0</v>
      </c>
    </row>
    <row r="299">
      <c r="A299" s="30" t="s">
        <v>88</v>
      </c>
      <c r="B299" s="84" t="s">
        <v>738</v>
      </c>
      <c r="C299" s="85"/>
      <c r="D299" s="11" t="s">
        <v>874</v>
      </c>
      <c r="E299" s="11">
        <f>H299*D299</f>
        <v>2400000</v>
      </c>
      <c r="F299" s="30" t="s">
        <v>232</v>
      </c>
      <c r="G299" s="31">
        <f>iferror(VLOOKUP(A299,'Positional cal'!A:H,8,0),"Not_positional")</f>
        <v>163246</v>
      </c>
      <c r="H299" s="31">
        <f>iferror(VLOOKUP(A299,'Positional cal'!A:H,4,0),"Not_positional")</f>
        <v>80000</v>
      </c>
      <c r="I299" s="127" t="s">
        <v>174</v>
      </c>
      <c r="J299" s="11" t="s">
        <v>77</v>
      </c>
      <c r="K299" s="38">
        <f t="shared" si="17"/>
        <v>2.040575</v>
      </c>
      <c r="L299" s="18" t="s">
        <v>1068</v>
      </c>
      <c r="M299" s="18" t="s">
        <v>1077</v>
      </c>
      <c r="N299" s="34"/>
      <c r="O299" s="18">
        <v>0.0</v>
      </c>
      <c r="P299" s="34"/>
      <c r="Q299" s="42" t="b">
        <f>iferror(VLOOKUP(A299,'Positional cal'!A:H,1,0)=A299,"FALSE")</f>
        <v>1</v>
      </c>
      <c r="R299" s="43" t="b">
        <f t="shared" si="3"/>
        <v>0</v>
      </c>
      <c r="S299" s="46">
        <f>IFERROR(VLOOKUP($A299,AlgoUi!$A:$X,21,0),"NA")</f>
        <v>14059020</v>
      </c>
      <c r="T299" s="46">
        <f>IFERROR(VLOOKUP($A299,AlgoUi!$A:$X,23,0),"")</f>
        <v>14000000</v>
      </c>
      <c r="U299" s="46">
        <f>IFERROR(VLOOKUP($A299,AlgoUi!$A:$X,24,0),"")</f>
        <v>140000</v>
      </c>
      <c r="V299" s="42" t="str">
        <f>IFERROR(__xludf.DUMMYFUNCTION("IFERROR(VLOOKUP(I299,IMPORTRANGE(""https://docs.google.com/spreadsheets/d/17FOIUYQAjPk1pPQIlvOgqYDBqwUqgb7KWzp4DtVksBk/edit?gid=0#gid=0"",""Servers!A:S""),19,FALSE), ""Not Running"")"),"AYUSHS")</f>
        <v>AYUSHS</v>
      </c>
      <c r="W299" s="47" t="str">
        <f>VLOOKUP($A299,Category!$A:$E,4,0)</f>
        <v>CC</v>
      </c>
      <c r="X299" s="47" t="str">
        <f>VLOOKUP($A299,Category!$A:$E,5,0)</f>
        <v>CCV</v>
      </c>
      <c r="Y299" s="18" t="str">
        <f>VLOOKUP(A299,PAcc!$A$1:$J$27,10,0)</f>
        <v>#N/A</v>
      </c>
      <c r="Z299" s="42" t="b">
        <f t="shared" si="4"/>
        <v>0</v>
      </c>
      <c r="AA299" s="50">
        <v>0.6</v>
      </c>
      <c r="AB299" s="25" t="str">
        <f>VLOOKUP(A299,VlookupSheet!$A$383:$A$523,1,0)</f>
        <v>7RA110015</v>
      </c>
      <c r="AC299" s="50">
        <v>0.01</v>
      </c>
      <c r="AD299" s="42">
        <f t="shared" si="32"/>
        <v>8435412</v>
      </c>
      <c r="AE299" s="42">
        <f t="shared" si="33"/>
        <v>80000</v>
      </c>
      <c r="AF299" s="123">
        <f t="shared" si="34"/>
        <v>0</v>
      </c>
    </row>
    <row r="300">
      <c r="A300" s="11" t="s">
        <v>175</v>
      </c>
      <c r="B300" s="84" t="s">
        <v>176</v>
      </c>
      <c r="C300" s="25"/>
      <c r="D300" s="11">
        <f t="shared" ref="D300:D303" si="39">IF(J300="7",0.8,1)</f>
        <v>1</v>
      </c>
      <c r="E300" s="11">
        <f t="shared" ref="E300:E303" si="40">D300*H300</f>
        <v>20000</v>
      </c>
      <c r="F300" s="30" t="s">
        <v>232</v>
      </c>
      <c r="G300" s="11">
        <v>20000.0</v>
      </c>
      <c r="H300" s="31">
        <v>20000.0</v>
      </c>
      <c r="I300" s="74" t="s">
        <v>174</v>
      </c>
      <c r="J300" s="25" t="s">
        <v>77</v>
      </c>
      <c r="K300" s="38">
        <f t="shared" si="17"/>
        <v>1</v>
      </c>
      <c r="L300" s="18" t="s">
        <v>910</v>
      </c>
      <c r="M300" s="18" t="s">
        <v>736</v>
      </c>
      <c r="N300" s="18"/>
      <c r="O300" s="18"/>
      <c r="P300" s="18"/>
      <c r="Q300" s="42" t="str">
        <f>iferror(VLOOKUP(A300,'Positional cal'!A:H,1,0)=A300,"FALSE")</f>
        <v>FALSE</v>
      </c>
      <c r="R300" s="43" t="b">
        <f t="shared" si="3"/>
        <v>0</v>
      </c>
      <c r="S300" s="46">
        <f>IFERROR(VLOOKUP($A300,AlgoUi!$A:$X,21,0),"NA")</f>
        <v>5105215</v>
      </c>
      <c r="T300" s="46">
        <f>IFERROR(VLOOKUP($A300,AlgoUi!$A:$X,23,0),"")</f>
        <v>6000000</v>
      </c>
      <c r="U300" s="46">
        <f>IFERROR(VLOOKUP($A300,AlgoUi!$A:$X,24,0),"")</f>
        <v>60000</v>
      </c>
      <c r="V300" s="42" t="str">
        <f>IFERROR(__xludf.DUMMYFUNCTION("IFERROR(VLOOKUP(I300,IMPORTRANGE(""https://docs.google.com/spreadsheets/d/17FOIUYQAjPk1pPQIlvOgqYDBqwUqgb7KWzp4DtVksBk/edit?gid=0#gid=0"",""Servers!A:S""),19,FALSE), ""Not Running"")"),"AYUSHS")</f>
        <v>AYUSHS</v>
      </c>
      <c r="W300" s="47" t="str">
        <f>VLOOKUP($A300,Category!$A:$E,4,0)</f>
        <v>MS</v>
      </c>
      <c r="X300" s="47" t="str">
        <f>VLOOKUP($A300,Category!$A:$E,5,0)</f>
        <v>MSR</v>
      </c>
      <c r="Y300" s="18" t="str">
        <f>VLOOKUP(A300,PAcc!$A$1:$J$27,10,0)</f>
        <v>#N/A</v>
      </c>
      <c r="Z300" s="42" t="b">
        <f t="shared" si="4"/>
        <v>0</v>
      </c>
      <c r="AA300" s="50">
        <v>0.4</v>
      </c>
      <c r="AB300" s="42" t="str">
        <f>VLOOKUP(A300,VlookupSheet!$A$383:$A$523,1,0)</f>
        <v>#N/A</v>
      </c>
      <c r="AC300" s="50">
        <v>0.01</v>
      </c>
      <c r="AD300" s="42">
        <f t="shared" si="32"/>
        <v>2042086</v>
      </c>
      <c r="AE300" s="42">
        <f t="shared" si="33"/>
        <v>20000</v>
      </c>
      <c r="AF300" s="123">
        <f t="shared" si="34"/>
        <v>0</v>
      </c>
    </row>
    <row r="301">
      <c r="A301" s="11" t="s">
        <v>530</v>
      </c>
      <c r="B301" s="84" t="s">
        <v>2612</v>
      </c>
      <c r="C301" s="25"/>
      <c r="D301" s="11">
        <f t="shared" si="39"/>
        <v>1</v>
      </c>
      <c r="E301" s="11">
        <f t="shared" si="40"/>
        <v>20000</v>
      </c>
      <c r="F301" s="30" t="s">
        <v>232</v>
      </c>
      <c r="G301" s="11" t="s">
        <v>1134</v>
      </c>
      <c r="H301" s="31">
        <v>20000.0</v>
      </c>
      <c r="I301" s="74" t="s">
        <v>174</v>
      </c>
      <c r="J301" s="25" t="s">
        <v>77</v>
      </c>
      <c r="K301" s="38">
        <f t="shared" si="17"/>
        <v>1</v>
      </c>
      <c r="L301" s="18" t="s">
        <v>910</v>
      </c>
      <c r="M301" s="18" t="s">
        <v>736</v>
      </c>
      <c r="N301" s="42"/>
      <c r="O301" s="42"/>
      <c r="P301" s="42"/>
      <c r="Q301" s="42" t="str">
        <f>iferror(VLOOKUP(A301,'Positional cal'!A:H,1,0)=A301,"FALSE")</f>
        <v>FALSE</v>
      </c>
      <c r="R301" s="43" t="b">
        <f t="shared" si="3"/>
        <v>0</v>
      </c>
      <c r="S301" s="46">
        <f>IFERROR(VLOOKUP($A301,AlgoUi!$A:$X,21,0),"NA")</f>
        <v>6436696</v>
      </c>
      <c r="T301" s="46">
        <f>IFERROR(VLOOKUP($A301,AlgoUi!$A:$X,23,0),"")</f>
        <v>6000000</v>
      </c>
      <c r="U301" s="46">
        <f>IFERROR(VLOOKUP($A301,AlgoUi!$A:$X,24,0),"")</f>
        <v>60000</v>
      </c>
      <c r="V301" s="42" t="str">
        <f>IFERROR(__xludf.DUMMYFUNCTION("IFERROR(VLOOKUP(I301,IMPORTRANGE(""https://docs.google.com/spreadsheets/d/17FOIUYQAjPk1pPQIlvOgqYDBqwUqgb7KWzp4DtVksBk/edit?gid=0#gid=0"",""Servers!A:S""),19,FALSE), ""Not Running"")"),"AYUSHS")</f>
        <v>AYUSHS</v>
      </c>
      <c r="W301" s="47" t="str">
        <f>VLOOKUP($A301,Category!$A:$E,4,0)</f>
        <v>MS</v>
      </c>
      <c r="X301" s="47" t="str">
        <f>VLOOKUP($A301,Category!$A:$E,5,0)</f>
        <v>MSR</v>
      </c>
      <c r="Y301" s="18" t="str">
        <f>VLOOKUP(A301,PAcc!$A$1:$J$27,10,0)</f>
        <v>#N/A</v>
      </c>
      <c r="Z301" s="42" t="b">
        <f t="shared" si="4"/>
        <v>0</v>
      </c>
      <c r="AA301" s="50">
        <v>0.4</v>
      </c>
      <c r="AB301" s="42" t="str">
        <f>VLOOKUP(A301,VlookupSheet!$A$383:$A$523,1,0)</f>
        <v>#N/A</v>
      </c>
      <c r="AC301" s="50">
        <v>0.01</v>
      </c>
      <c r="AD301" s="42">
        <f t="shared" si="32"/>
        <v>2574678.4</v>
      </c>
      <c r="AE301" s="42">
        <f t="shared" si="33"/>
        <v>20000</v>
      </c>
      <c r="AF301" s="123">
        <f t="shared" si="34"/>
        <v>0</v>
      </c>
    </row>
    <row r="302">
      <c r="A302" s="30" t="s">
        <v>401</v>
      </c>
      <c r="B302" s="84" t="s">
        <v>2628</v>
      </c>
      <c r="C302" s="85"/>
      <c r="D302" s="11">
        <f t="shared" si="39"/>
        <v>1</v>
      </c>
      <c r="E302" s="11">
        <f t="shared" si="40"/>
        <v>20000</v>
      </c>
      <c r="F302" s="30" t="s">
        <v>232</v>
      </c>
      <c r="G302" s="11">
        <v>20000.0</v>
      </c>
      <c r="H302" s="31">
        <v>20000.0</v>
      </c>
      <c r="I302" s="74" t="s">
        <v>174</v>
      </c>
      <c r="J302" s="25" t="s">
        <v>77</v>
      </c>
      <c r="K302" s="38">
        <f t="shared" si="17"/>
        <v>1</v>
      </c>
      <c r="L302" s="18" t="s">
        <v>910</v>
      </c>
      <c r="M302" s="18" t="s">
        <v>736</v>
      </c>
      <c r="N302" s="34"/>
      <c r="O302" s="34"/>
      <c r="P302" s="34"/>
      <c r="Q302" s="42" t="str">
        <f>iferror(VLOOKUP(A302,'Positional cal'!A:H,1,0)=A302,"FALSE")</f>
        <v>FALSE</v>
      </c>
      <c r="R302" s="43" t="b">
        <f t="shared" si="3"/>
        <v>0</v>
      </c>
      <c r="S302" s="46">
        <f>IFERROR(VLOOKUP($A302,AlgoUi!$A:$X,21,0),"NA")</f>
        <v>6329829</v>
      </c>
      <c r="T302" s="46">
        <f>IFERROR(VLOOKUP($A302,AlgoUi!$A:$X,23,0),"")</f>
        <v>6000000</v>
      </c>
      <c r="U302" s="46">
        <f>IFERROR(VLOOKUP($A302,AlgoUi!$A:$X,24,0),"")</f>
        <v>60000</v>
      </c>
      <c r="V302" s="42" t="str">
        <f>IFERROR(__xludf.DUMMYFUNCTION("IFERROR(VLOOKUP(I302,IMPORTRANGE(""https://docs.google.com/spreadsheets/d/17FOIUYQAjPk1pPQIlvOgqYDBqwUqgb7KWzp4DtVksBk/edit?gid=0#gid=0"",""Servers!A:S""),19,FALSE), ""Not Running"")"),"AYUSHS")</f>
        <v>AYUSHS</v>
      </c>
      <c r="W302" s="47" t="str">
        <f>VLOOKUP($A302,Category!$A:$E,4,0)</f>
        <v>MS</v>
      </c>
      <c r="X302" s="47" t="str">
        <f>VLOOKUP($A302,Category!$A:$E,5,0)</f>
        <v>MSP</v>
      </c>
      <c r="Y302" s="18" t="str">
        <f>VLOOKUP(A302,PAcc!$A$1:$J$27,10,0)</f>
        <v>#N/A</v>
      </c>
      <c r="Z302" s="42" t="b">
        <f t="shared" si="4"/>
        <v>0</v>
      </c>
      <c r="AA302" s="50">
        <v>0.4</v>
      </c>
      <c r="AB302" s="42" t="str">
        <f>VLOOKUP(A302,VlookupSheet!$A$383:$A$523,1,0)</f>
        <v>#N/A</v>
      </c>
      <c r="AC302" s="50">
        <v>0.01</v>
      </c>
      <c r="AD302" s="42">
        <f t="shared" si="32"/>
        <v>2531931.6</v>
      </c>
      <c r="AE302" s="42">
        <f t="shared" si="33"/>
        <v>20000</v>
      </c>
      <c r="AF302" s="123">
        <f t="shared" si="34"/>
        <v>0</v>
      </c>
    </row>
    <row r="303">
      <c r="A303" s="30" t="s">
        <v>402</v>
      </c>
      <c r="B303" s="84" t="s">
        <v>1681</v>
      </c>
      <c r="C303" s="85"/>
      <c r="D303" s="11">
        <f t="shared" si="39"/>
        <v>1</v>
      </c>
      <c r="E303" s="11">
        <f t="shared" si="40"/>
        <v>40000</v>
      </c>
      <c r="F303" s="30" t="s">
        <v>311</v>
      </c>
      <c r="G303" s="11">
        <v>40000.0</v>
      </c>
      <c r="H303" s="31">
        <v>40000.0</v>
      </c>
      <c r="I303" s="74" t="s">
        <v>174</v>
      </c>
      <c r="J303" s="25" t="s">
        <v>77</v>
      </c>
      <c r="K303" s="38">
        <f t="shared" si="17"/>
        <v>1</v>
      </c>
      <c r="L303" s="18" t="s">
        <v>910</v>
      </c>
      <c r="M303" s="18" t="s">
        <v>736</v>
      </c>
      <c r="N303" s="74"/>
      <c r="O303" s="74"/>
      <c r="P303" s="74"/>
      <c r="Q303" s="42" t="str">
        <f>iferror(VLOOKUP(A303,'Positional cal'!A:H,1,0)=A303,"FALSE")</f>
        <v>FALSE</v>
      </c>
      <c r="R303" s="43" t="b">
        <f t="shared" si="3"/>
        <v>0</v>
      </c>
      <c r="S303" s="46">
        <f>IFERROR(VLOOKUP($A303,AlgoUi!$A:$X,21,0),"NA")</f>
        <v>11286434</v>
      </c>
      <c r="T303" s="46">
        <f>IFERROR(VLOOKUP($A303,AlgoUi!$A:$X,23,0),"")</f>
        <v>12000000</v>
      </c>
      <c r="U303" s="46">
        <f>IFERROR(VLOOKUP($A303,AlgoUi!$A:$X,24,0),"")</f>
        <v>120000</v>
      </c>
      <c r="V303" s="42" t="str">
        <f>IFERROR(__xludf.DUMMYFUNCTION("IFERROR(VLOOKUP(I303,IMPORTRANGE(""https://docs.google.com/spreadsheets/d/17FOIUYQAjPk1pPQIlvOgqYDBqwUqgb7KWzp4DtVksBk/edit?gid=0#gid=0"",""Servers!A:S""),19,FALSE), ""Not Running"")"),"AYUSHS")</f>
        <v>AYUSHS</v>
      </c>
      <c r="W303" s="47" t="str">
        <f>VLOOKUP($A303,Category!$A:$E,4,0)</f>
        <v>MS</v>
      </c>
      <c r="X303" s="47" t="str">
        <f>VLOOKUP($A303,Category!$A:$E,5,0)</f>
        <v>MSP</v>
      </c>
      <c r="Y303" s="18" t="str">
        <f>VLOOKUP(A303,PAcc!$A$1:$J$27,10,0)</f>
        <v>#N/A</v>
      </c>
      <c r="Z303" s="42" t="b">
        <f t="shared" si="4"/>
        <v>0</v>
      </c>
      <c r="AA303" s="50">
        <v>0.4</v>
      </c>
      <c r="AB303" s="42" t="str">
        <f>VLOOKUP(A303,VlookupSheet!$A$383:$A$523,1,0)</f>
        <v>#N/A</v>
      </c>
      <c r="AC303" s="50">
        <v>0.01</v>
      </c>
      <c r="AD303" s="42">
        <f t="shared" si="32"/>
        <v>4514573.6</v>
      </c>
      <c r="AE303" s="42">
        <f t="shared" si="33"/>
        <v>40000</v>
      </c>
      <c r="AF303" s="123">
        <f t="shared" si="34"/>
        <v>0</v>
      </c>
    </row>
    <row r="304">
      <c r="A304" s="11" t="s">
        <v>259</v>
      </c>
      <c r="B304" s="24" t="s">
        <v>849</v>
      </c>
      <c r="C304" s="25"/>
      <c r="D304" s="11" t="s">
        <v>77</v>
      </c>
      <c r="E304" s="11">
        <f>H304*D304</f>
        <v>100000</v>
      </c>
      <c r="F304" s="30" t="s">
        <v>311</v>
      </c>
      <c r="G304" s="31">
        <f>iferror(VLOOKUP(A304,'Positional cal'!A:H,8,0),"Not_positional")</f>
        <v>243454</v>
      </c>
      <c r="H304" s="31">
        <f>iferror(VLOOKUP(A304,'Positional cal'!A:H,4,0),"Not_positional")</f>
        <v>100000</v>
      </c>
      <c r="I304" s="42" t="s">
        <v>174</v>
      </c>
      <c r="J304" s="25" t="s">
        <v>77</v>
      </c>
      <c r="K304" s="38">
        <f t="shared" si="17"/>
        <v>2.43454</v>
      </c>
      <c r="L304" s="18" t="s">
        <v>1068</v>
      </c>
      <c r="M304" s="18" t="s">
        <v>1059</v>
      </c>
      <c r="N304" s="18"/>
      <c r="O304" s="18"/>
      <c r="P304" s="18" t="s">
        <v>2672</v>
      </c>
      <c r="Q304" s="42" t="b">
        <f>iferror(VLOOKUP(A304,'Positional cal'!A:H,1,0)=A304,"FALSE")</f>
        <v>1</v>
      </c>
      <c r="R304" s="43" t="b">
        <f t="shared" si="3"/>
        <v>0</v>
      </c>
      <c r="S304" s="46">
        <f>IFERROR(VLOOKUP($A304,AlgoUi!$A:$X,21,0),"NA")</f>
        <v>10866789</v>
      </c>
      <c r="T304" s="46">
        <f>IFERROR(VLOOKUP($A304,AlgoUi!$A:$X,23,0),"")</f>
        <v>10000000</v>
      </c>
      <c r="U304" s="46">
        <f>IFERROR(VLOOKUP($A304,AlgoUi!$A:$X,24,0),"")</f>
        <v>100000</v>
      </c>
      <c r="V304" s="42" t="str">
        <f>IFERROR(__xludf.DUMMYFUNCTION("IFERROR(VLOOKUP(I304,IMPORTRANGE(""https://docs.google.com/spreadsheets/d/17FOIUYQAjPk1pPQIlvOgqYDBqwUqgb7KWzp4DtVksBk/edit?gid=0#gid=0"",""Servers!A:S""),19,FALSE), ""Not Running"")"),"AYUSHS")</f>
        <v>AYUSHS</v>
      </c>
      <c r="W304" s="47" t="str">
        <f>VLOOKUP($A304,Category!$A:$E,4,0)</f>
        <v>MS</v>
      </c>
      <c r="X304" s="47" t="str">
        <f>VLOOKUP($A304,Category!$A:$E,5,0)</f>
        <v>PPS</v>
      </c>
      <c r="Y304" s="18" t="str">
        <f>VLOOKUP(A304,PAcc!$A$1:$J$27,10,0)</f>
        <v>PS Personal</v>
      </c>
      <c r="Z304" s="42" t="b">
        <f t="shared" si="4"/>
        <v>1</v>
      </c>
      <c r="AA304" s="50">
        <v>1.0</v>
      </c>
      <c r="AB304" s="25" t="str">
        <f>VLOOKUP(A304,VlookupSheet!$A$383:$A$523,1,0)</f>
        <v>RENUD101</v>
      </c>
      <c r="AC304" s="50">
        <v>0.01</v>
      </c>
      <c r="AD304" s="42">
        <f t="shared" si="32"/>
        <v>10866789</v>
      </c>
      <c r="AE304" s="42">
        <f t="shared" si="33"/>
        <v>100000</v>
      </c>
      <c r="AF304" s="123">
        <f t="shared" si="34"/>
        <v>0</v>
      </c>
    </row>
    <row r="305">
      <c r="A305" s="75" t="s">
        <v>337</v>
      </c>
      <c r="B305" s="84" t="s">
        <v>2691</v>
      </c>
      <c r="C305" s="25"/>
      <c r="D305" s="11">
        <f t="shared" ref="D305:D411" si="41">IF(J305="7",0.8,1)</f>
        <v>1</v>
      </c>
      <c r="E305" s="11">
        <f t="shared" ref="E305:E411" si="42">D305*H305</f>
        <v>20000</v>
      </c>
      <c r="F305" s="30" t="s">
        <v>311</v>
      </c>
      <c r="G305" s="11">
        <v>20000.0</v>
      </c>
      <c r="H305" s="31">
        <v>20000.0</v>
      </c>
      <c r="I305" s="74" t="s">
        <v>174</v>
      </c>
      <c r="J305" s="25" t="s">
        <v>77</v>
      </c>
      <c r="K305" s="38">
        <f t="shared" si="17"/>
        <v>1</v>
      </c>
      <c r="L305" s="18" t="s">
        <v>910</v>
      </c>
      <c r="M305" s="18" t="s">
        <v>736</v>
      </c>
      <c r="N305" s="42"/>
      <c r="O305" s="42"/>
      <c r="P305" s="42"/>
      <c r="Q305" s="42" t="str">
        <f>iferror(VLOOKUP(A305,'Positional cal'!A:H,1,0)=A305,"FALSE")</f>
        <v>FALSE</v>
      </c>
      <c r="R305" s="43" t="b">
        <f t="shared" si="3"/>
        <v>0</v>
      </c>
      <c r="S305" s="46">
        <f>IFERROR(VLOOKUP($A305,AlgoUi!$A:$X,21,0),"NA")</f>
        <v>6590472</v>
      </c>
      <c r="T305" s="46">
        <f>IFERROR(VLOOKUP($A305,AlgoUi!$A:$X,23,0),"")</f>
        <v>6000000</v>
      </c>
      <c r="U305" s="46">
        <f>IFERROR(VLOOKUP($A305,AlgoUi!$A:$X,24,0),"")</f>
        <v>60000</v>
      </c>
      <c r="V305" s="42" t="str">
        <f>IFERROR(__xludf.DUMMYFUNCTION("IFERROR(VLOOKUP(I305,IMPORTRANGE(""https://docs.google.com/spreadsheets/d/17FOIUYQAjPk1pPQIlvOgqYDBqwUqgb7KWzp4DtVksBk/edit?gid=0#gid=0"",""Servers!A:S""),19,FALSE), ""Not Running"")"),"AYUSHS")</f>
        <v>AYUSHS</v>
      </c>
      <c r="W305" s="47" t="str">
        <f>VLOOKUP($A305,Category!$A:$E,4,0)</f>
        <v>MS</v>
      </c>
      <c r="X305" s="47" t="str">
        <f>VLOOKUP($A305,Category!$A:$E,5,0)</f>
        <v>MSP</v>
      </c>
      <c r="Y305" s="18" t="str">
        <f>VLOOKUP(A305,PAcc!$A$1:$J$27,10,0)</f>
        <v>#N/A</v>
      </c>
      <c r="Z305" s="42" t="b">
        <f t="shared" si="4"/>
        <v>0</v>
      </c>
      <c r="AA305" s="50">
        <v>0.4</v>
      </c>
      <c r="AB305" s="42" t="str">
        <f>VLOOKUP(A305,VlookupSheet!$A$383:$A$523,1,0)</f>
        <v>#N/A</v>
      </c>
      <c r="AC305" s="50">
        <v>0.01</v>
      </c>
      <c r="AD305" s="42">
        <f t="shared" si="32"/>
        <v>2636188.8</v>
      </c>
      <c r="AE305" s="42">
        <f t="shared" si="33"/>
        <v>20000</v>
      </c>
      <c r="AF305" s="123">
        <f t="shared" si="34"/>
        <v>0</v>
      </c>
    </row>
    <row r="306">
      <c r="A306" s="30" t="s">
        <v>355</v>
      </c>
      <c r="B306" s="84" t="s">
        <v>2226</v>
      </c>
      <c r="C306" s="85"/>
      <c r="D306" s="11">
        <f t="shared" si="41"/>
        <v>1</v>
      </c>
      <c r="E306" s="11">
        <f t="shared" si="42"/>
        <v>20000</v>
      </c>
      <c r="F306" s="30" t="s">
        <v>311</v>
      </c>
      <c r="G306" s="11">
        <v>20000.0</v>
      </c>
      <c r="H306" s="31">
        <v>20000.0</v>
      </c>
      <c r="I306" s="74" t="s">
        <v>174</v>
      </c>
      <c r="J306" s="25" t="s">
        <v>77</v>
      </c>
      <c r="K306" s="38">
        <f t="shared" si="17"/>
        <v>1</v>
      </c>
      <c r="L306" s="18" t="s">
        <v>910</v>
      </c>
      <c r="M306" s="18" t="s">
        <v>736</v>
      </c>
      <c r="N306" s="74"/>
      <c r="O306" s="74"/>
      <c r="P306" s="74"/>
      <c r="Q306" s="42" t="str">
        <f>iferror(VLOOKUP(A306,'Positional cal'!A:H,1,0)=A306,"FALSE")</f>
        <v>FALSE</v>
      </c>
      <c r="R306" s="43" t="b">
        <f t="shared" si="3"/>
        <v>0</v>
      </c>
      <c r="S306" s="46">
        <f>IFERROR(VLOOKUP($A306,AlgoUi!$A:$X,21,0),"NA")</f>
        <v>7168883</v>
      </c>
      <c r="T306" s="46">
        <f>IFERROR(VLOOKUP($A306,AlgoUi!$A:$X,23,0),"")</f>
        <v>8000000</v>
      </c>
      <c r="U306" s="46">
        <f>IFERROR(VLOOKUP($A306,AlgoUi!$A:$X,24,0),"")</f>
        <v>80000</v>
      </c>
      <c r="V306" s="42" t="str">
        <f>IFERROR(__xludf.DUMMYFUNCTION("IFERROR(VLOOKUP(I306,IMPORTRANGE(""https://docs.google.com/spreadsheets/d/17FOIUYQAjPk1pPQIlvOgqYDBqwUqgb7KWzp4DtVksBk/edit?gid=0#gid=0"",""Servers!A:S""),19,FALSE), ""Not Running"")"),"AYUSHS")</f>
        <v>AYUSHS</v>
      </c>
      <c r="W306" s="47" t="str">
        <f>VLOOKUP($A306,Category!$A:$E,4,0)</f>
        <v>MS</v>
      </c>
      <c r="X306" s="47" t="str">
        <f>VLOOKUP($A306,Category!$A:$E,5,0)</f>
        <v>MSP</v>
      </c>
      <c r="Y306" s="18" t="str">
        <f>VLOOKUP(A306,PAcc!$A$1:$J$27,10,0)</f>
        <v>#N/A</v>
      </c>
      <c r="Z306" s="42" t="b">
        <f t="shared" si="4"/>
        <v>0</v>
      </c>
      <c r="AA306" s="50">
        <v>0.4</v>
      </c>
      <c r="AB306" s="42" t="str">
        <f>VLOOKUP(A306,VlookupSheet!$A$383:$A$523,1,0)</f>
        <v>#N/A</v>
      </c>
      <c r="AC306" s="50">
        <v>0.01</v>
      </c>
      <c r="AD306" s="42">
        <f t="shared" si="32"/>
        <v>2867553.2</v>
      </c>
      <c r="AE306" s="42">
        <f t="shared" si="33"/>
        <v>20000</v>
      </c>
      <c r="AF306" s="123">
        <f t="shared" si="34"/>
        <v>0</v>
      </c>
    </row>
    <row r="307">
      <c r="A307" s="30" t="s">
        <v>545</v>
      </c>
      <c r="B307" s="84" t="s">
        <v>2333</v>
      </c>
      <c r="C307" s="30"/>
      <c r="D307" s="11">
        <f t="shared" si="41"/>
        <v>1</v>
      </c>
      <c r="E307" s="11">
        <f t="shared" si="42"/>
        <v>40000</v>
      </c>
      <c r="F307" s="30" t="s">
        <v>232</v>
      </c>
      <c r="G307" s="11">
        <v>40000.0</v>
      </c>
      <c r="H307" s="31">
        <v>40000.0</v>
      </c>
      <c r="I307" s="74" t="s">
        <v>174</v>
      </c>
      <c r="J307" s="25" t="s">
        <v>77</v>
      </c>
      <c r="K307" s="38">
        <f t="shared" si="17"/>
        <v>1</v>
      </c>
      <c r="L307" s="18" t="s">
        <v>910</v>
      </c>
      <c r="M307" s="18" t="s">
        <v>736</v>
      </c>
      <c r="N307" s="74"/>
      <c r="O307" s="74"/>
      <c r="P307" s="74"/>
      <c r="Q307" s="42" t="str">
        <f>iferror(VLOOKUP(A307,'Positional cal'!A:H,1,0)=A307,"FALSE")</f>
        <v>FALSE</v>
      </c>
      <c r="R307" s="43" t="b">
        <f t="shared" si="3"/>
        <v>0</v>
      </c>
      <c r="S307" s="46">
        <f>IFERROR(VLOOKUP($A307,AlgoUi!$A:$X,21,0),"NA")</f>
        <v>10251042</v>
      </c>
      <c r="T307" s="46">
        <f>IFERROR(VLOOKUP($A307,AlgoUi!$A:$X,23,0),"")</f>
        <v>10000000</v>
      </c>
      <c r="U307" s="46">
        <f>IFERROR(VLOOKUP($A307,AlgoUi!$A:$X,24,0),"")</f>
        <v>100000</v>
      </c>
      <c r="V307" s="42" t="str">
        <f>IFERROR(__xludf.DUMMYFUNCTION("IFERROR(VLOOKUP(I307,IMPORTRANGE(""https://docs.google.com/spreadsheets/d/17FOIUYQAjPk1pPQIlvOgqYDBqwUqgb7KWzp4DtVksBk/edit?gid=0#gid=0"",""Servers!A:S""),19,FALSE), ""Not Running"")"),"AYUSHS")</f>
        <v>AYUSHS</v>
      </c>
      <c r="W307" s="47" t="str">
        <f>VLOOKUP($A307,Category!$A:$E,4,0)</f>
        <v>MS</v>
      </c>
      <c r="X307" s="47" t="str">
        <f>VLOOKUP($A307,Category!$A:$E,5,0)</f>
        <v>MSR</v>
      </c>
      <c r="Y307" s="18" t="str">
        <f>VLOOKUP(A307,PAcc!$A$1:$J$27,10,0)</f>
        <v>#N/A</v>
      </c>
      <c r="Z307" s="42" t="b">
        <f t="shared" si="4"/>
        <v>0</v>
      </c>
      <c r="AA307" s="50">
        <v>0.4</v>
      </c>
      <c r="AB307" s="42" t="str">
        <f>VLOOKUP(A307,VlookupSheet!$A$383:$A$523,1,0)</f>
        <v>#N/A</v>
      </c>
      <c r="AC307" s="50">
        <v>0.01</v>
      </c>
      <c r="AD307" s="42">
        <f t="shared" si="32"/>
        <v>4100416.8</v>
      </c>
      <c r="AE307" s="42">
        <f t="shared" si="33"/>
        <v>40000</v>
      </c>
      <c r="AF307" s="123">
        <f t="shared" si="34"/>
        <v>0</v>
      </c>
    </row>
    <row r="308">
      <c r="A308" s="30" t="s">
        <v>555</v>
      </c>
      <c r="B308" s="84" t="s">
        <v>2301</v>
      </c>
      <c r="C308" s="85"/>
      <c r="D308" s="11">
        <f t="shared" si="41"/>
        <v>1</v>
      </c>
      <c r="E308" s="11">
        <f t="shared" si="42"/>
        <v>40000</v>
      </c>
      <c r="F308" s="30" t="s">
        <v>232</v>
      </c>
      <c r="G308" s="11">
        <v>40000.0</v>
      </c>
      <c r="H308" s="31">
        <v>40000.0</v>
      </c>
      <c r="I308" s="74" t="s">
        <v>174</v>
      </c>
      <c r="J308" s="25" t="s">
        <v>77</v>
      </c>
      <c r="K308" s="38">
        <f t="shared" si="17"/>
        <v>1</v>
      </c>
      <c r="L308" s="18" t="s">
        <v>910</v>
      </c>
      <c r="M308" s="18" t="s">
        <v>736</v>
      </c>
      <c r="N308" s="34"/>
      <c r="O308" s="34"/>
      <c r="P308" s="34"/>
      <c r="Q308" s="42" t="str">
        <f>iferror(VLOOKUP(A308,'Positional cal'!A:H,1,0)=A308,"FALSE")</f>
        <v>FALSE</v>
      </c>
      <c r="R308" s="43" t="b">
        <f t="shared" si="3"/>
        <v>0</v>
      </c>
      <c r="S308" s="46">
        <f>IFERROR(VLOOKUP($A308,AlgoUi!$A:$X,21,0),"NA")</f>
        <v>11083855</v>
      </c>
      <c r="T308" s="46">
        <f>IFERROR(VLOOKUP($A308,AlgoUi!$A:$X,23,0),"")</f>
        <v>12000000</v>
      </c>
      <c r="U308" s="46">
        <f>IFERROR(VLOOKUP($A308,AlgoUi!$A:$X,24,0),"")</f>
        <v>120000</v>
      </c>
      <c r="V308" s="42" t="str">
        <f>IFERROR(__xludf.DUMMYFUNCTION("IFERROR(VLOOKUP(I308,IMPORTRANGE(""https://docs.google.com/spreadsheets/d/17FOIUYQAjPk1pPQIlvOgqYDBqwUqgb7KWzp4DtVksBk/edit?gid=0#gid=0"",""Servers!A:S""),19,FALSE), ""Not Running"")"),"AYUSHS")</f>
        <v>AYUSHS</v>
      </c>
      <c r="W308" s="47" t="str">
        <f>VLOOKUP($A308,Category!$A:$E,4,0)</f>
        <v>MS</v>
      </c>
      <c r="X308" s="47" t="str">
        <f>VLOOKUP($A308,Category!$A:$E,5,0)</f>
        <v>MSR</v>
      </c>
      <c r="Y308" s="18" t="str">
        <f>VLOOKUP(A308,PAcc!$A$1:$J$27,10,0)</f>
        <v>#N/A</v>
      </c>
      <c r="Z308" s="42" t="b">
        <f t="shared" si="4"/>
        <v>0</v>
      </c>
      <c r="AA308" s="50">
        <v>0.4</v>
      </c>
      <c r="AB308" s="42" t="str">
        <f>VLOOKUP(A308,VlookupSheet!$A$383:$A$523,1,0)</f>
        <v>#N/A</v>
      </c>
      <c r="AC308" s="50">
        <v>0.01</v>
      </c>
      <c r="AD308" s="42">
        <f t="shared" si="32"/>
        <v>4433542</v>
      </c>
      <c r="AE308" s="42">
        <f t="shared" si="33"/>
        <v>40000</v>
      </c>
      <c r="AF308" s="123">
        <f t="shared" si="34"/>
        <v>0</v>
      </c>
    </row>
    <row r="309">
      <c r="A309" s="30" t="s">
        <v>577</v>
      </c>
      <c r="B309" s="84" t="s">
        <v>2338</v>
      </c>
      <c r="C309" s="85"/>
      <c r="D309" s="11">
        <f t="shared" si="41"/>
        <v>1</v>
      </c>
      <c r="E309" s="11">
        <f t="shared" si="42"/>
        <v>20000</v>
      </c>
      <c r="F309" s="30" t="s">
        <v>232</v>
      </c>
      <c r="G309" s="11">
        <v>20000.0</v>
      </c>
      <c r="H309" s="31">
        <v>20000.0</v>
      </c>
      <c r="I309" s="74" t="s">
        <v>174</v>
      </c>
      <c r="J309" s="25" t="s">
        <v>77</v>
      </c>
      <c r="K309" s="38">
        <f t="shared" si="17"/>
        <v>1</v>
      </c>
      <c r="L309" s="18" t="s">
        <v>910</v>
      </c>
      <c r="M309" s="18" t="s">
        <v>736</v>
      </c>
      <c r="N309" s="74"/>
      <c r="O309" s="74"/>
      <c r="P309" s="74"/>
      <c r="Q309" s="42" t="str">
        <f>iferror(VLOOKUP(A309,'Positional cal'!A:H,1,0)=A309,"FALSE")</f>
        <v>FALSE</v>
      </c>
      <c r="R309" s="43" t="b">
        <f t="shared" si="3"/>
        <v>0</v>
      </c>
      <c r="S309" s="46">
        <f>IFERROR(VLOOKUP($A309,AlgoUi!$A:$X,21,0),"NA")</f>
        <v>5550691</v>
      </c>
      <c r="T309" s="46">
        <f>IFERROR(VLOOKUP($A309,AlgoUi!$A:$X,23,0),"")</f>
        <v>6000000</v>
      </c>
      <c r="U309" s="46">
        <f>IFERROR(VLOOKUP($A309,AlgoUi!$A:$X,24,0),"")</f>
        <v>60000</v>
      </c>
      <c r="V309" s="42" t="str">
        <f>IFERROR(__xludf.DUMMYFUNCTION("IFERROR(VLOOKUP(I309,IMPORTRANGE(""https://docs.google.com/spreadsheets/d/17FOIUYQAjPk1pPQIlvOgqYDBqwUqgb7KWzp4DtVksBk/edit?gid=0#gid=0"",""Servers!A:S""),19,FALSE), ""Not Running"")"),"AYUSHS")</f>
        <v>AYUSHS</v>
      </c>
      <c r="W309" s="47" t="str">
        <f>VLOOKUP($A309,Category!$A:$E,4,0)</f>
        <v>MS</v>
      </c>
      <c r="X309" s="47" t="str">
        <f>VLOOKUP($A309,Category!$A:$E,5,0)</f>
        <v>MSR</v>
      </c>
      <c r="Y309" s="18" t="str">
        <f>VLOOKUP(A309,PAcc!$A$1:$J$27,10,0)</f>
        <v>#N/A</v>
      </c>
      <c r="Z309" s="42" t="b">
        <f t="shared" si="4"/>
        <v>0</v>
      </c>
      <c r="AA309" s="50">
        <v>0.4</v>
      </c>
      <c r="AB309" s="42" t="str">
        <f>VLOOKUP(A309,VlookupSheet!$A$383:$A$523,1,0)</f>
        <v>#N/A</v>
      </c>
      <c r="AC309" s="42"/>
      <c r="AD309" s="42">
        <f t="shared" si="32"/>
        <v>2220276.4</v>
      </c>
      <c r="AE309" s="42">
        <f t="shared" si="33"/>
        <v>20000</v>
      </c>
      <c r="AF309" s="123">
        <f t="shared" si="34"/>
        <v>0</v>
      </c>
    </row>
    <row r="310">
      <c r="A310" s="30" t="s">
        <v>370</v>
      </c>
      <c r="B310" s="84" t="s">
        <v>1816</v>
      </c>
      <c r="C310" s="30" t="s">
        <v>320</v>
      </c>
      <c r="D310" s="11">
        <f t="shared" si="41"/>
        <v>1</v>
      </c>
      <c r="E310" s="11">
        <f t="shared" si="42"/>
        <v>40000</v>
      </c>
      <c r="F310" s="30" t="s">
        <v>311</v>
      </c>
      <c r="G310" s="11">
        <v>40000.0</v>
      </c>
      <c r="H310" s="31">
        <v>40000.0</v>
      </c>
      <c r="I310" s="74" t="s">
        <v>174</v>
      </c>
      <c r="J310" s="25" t="s">
        <v>77</v>
      </c>
      <c r="K310" s="38">
        <f t="shared" si="17"/>
        <v>1</v>
      </c>
      <c r="L310" s="18" t="s">
        <v>910</v>
      </c>
      <c r="M310" s="18" t="s">
        <v>736</v>
      </c>
      <c r="N310" s="74"/>
      <c r="O310" s="74"/>
      <c r="P310" s="74"/>
      <c r="Q310" s="42" t="str">
        <f>iferror(VLOOKUP(A310,'Positional cal'!A:H,1,0)=A310,"FALSE")</f>
        <v>FALSE</v>
      </c>
      <c r="R310" s="43" t="b">
        <f t="shared" si="3"/>
        <v>0</v>
      </c>
      <c r="S310" s="46">
        <f>IFERROR(VLOOKUP($A310,AlgoUi!$A:$X,21,0),"NA")</f>
        <v>7780876</v>
      </c>
      <c r="T310" s="46">
        <f>IFERROR(VLOOKUP($A310,AlgoUi!$A:$X,23,0),"")</f>
        <v>8000000</v>
      </c>
      <c r="U310" s="46">
        <f>IFERROR(VLOOKUP($A310,AlgoUi!$A:$X,24,0),"")</f>
        <v>80000</v>
      </c>
      <c r="V310" s="42" t="str">
        <f>IFERROR(__xludf.DUMMYFUNCTION("IFERROR(VLOOKUP(I310,IMPORTRANGE(""https://docs.google.com/spreadsheets/d/17FOIUYQAjPk1pPQIlvOgqYDBqwUqgb7KWzp4DtVksBk/edit?gid=0#gid=0"",""Servers!A:S""),19,FALSE), ""Not Running"")"),"AYUSHS")</f>
        <v>AYUSHS</v>
      </c>
      <c r="W310" s="47" t="str">
        <f>VLOOKUP($A310,Category!$A:$E,4,0)</f>
        <v>MS</v>
      </c>
      <c r="X310" s="47" t="str">
        <f>VLOOKUP($A310,Category!$A:$E,5,0)</f>
        <v>MSR</v>
      </c>
      <c r="Y310" s="18" t="str">
        <f>VLOOKUP(A310,PAcc!$A$1:$J$27,10,0)</f>
        <v>#N/A</v>
      </c>
      <c r="Z310" s="42" t="b">
        <f t="shared" si="4"/>
        <v>0</v>
      </c>
      <c r="AA310" s="50">
        <v>0.4</v>
      </c>
      <c r="AB310" s="42" t="str">
        <f>VLOOKUP(A310,VlookupSheet!$A$383:$A$523,1,0)</f>
        <v>#N/A</v>
      </c>
      <c r="AC310" s="50">
        <v>0.01</v>
      </c>
      <c r="AD310" s="42">
        <f t="shared" si="32"/>
        <v>3112350.4</v>
      </c>
      <c r="AE310" s="42">
        <f t="shared" si="33"/>
        <v>40000</v>
      </c>
      <c r="AF310" s="123">
        <f t="shared" si="34"/>
        <v>0</v>
      </c>
    </row>
    <row r="311">
      <c r="A311" s="75" t="s">
        <v>405</v>
      </c>
      <c r="B311" s="75" t="s">
        <v>2821</v>
      </c>
      <c r="C311" s="25"/>
      <c r="D311" s="11">
        <f t="shared" si="41"/>
        <v>1</v>
      </c>
      <c r="E311" s="11">
        <f t="shared" si="42"/>
        <v>20000</v>
      </c>
      <c r="F311" s="30" t="s">
        <v>311</v>
      </c>
      <c r="G311" s="11">
        <v>20000.0</v>
      </c>
      <c r="H311" s="31">
        <v>20000.0</v>
      </c>
      <c r="I311" s="74" t="s">
        <v>174</v>
      </c>
      <c r="J311" s="25" t="s">
        <v>77</v>
      </c>
      <c r="K311" s="38">
        <f t="shared" si="17"/>
        <v>1</v>
      </c>
      <c r="L311" s="18" t="s">
        <v>910</v>
      </c>
      <c r="M311" s="18" t="s">
        <v>736</v>
      </c>
      <c r="N311" s="74"/>
      <c r="O311" s="74"/>
      <c r="P311" s="74"/>
      <c r="Q311" s="42" t="str">
        <f>iferror(VLOOKUP(A311,'Positional cal'!A:H,1,0)=A311,"FALSE")</f>
        <v>FALSE</v>
      </c>
      <c r="R311" s="43" t="b">
        <f t="shared" si="3"/>
        <v>0</v>
      </c>
      <c r="S311" s="46">
        <f>IFERROR(VLOOKUP($A311,AlgoUi!$A:$X,21,0),"NA")</f>
        <v>6987700</v>
      </c>
      <c r="T311" s="46">
        <f>IFERROR(VLOOKUP($A311,AlgoUi!$A:$X,23,0),"")</f>
        <v>6000000</v>
      </c>
      <c r="U311" s="46">
        <f>IFERROR(VLOOKUP($A311,AlgoUi!$A:$X,24,0),"")</f>
        <v>60000</v>
      </c>
      <c r="V311" s="42" t="str">
        <f>IFERROR(__xludf.DUMMYFUNCTION("IFERROR(VLOOKUP(I311,IMPORTRANGE(""https://docs.google.com/spreadsheets/d/17FOIUYQAjPk1pPQIlvOgqYDBqwUqgb7KWzp4DtVksBk/edit?gid=0#gid=0"",""Servers!A:S""),19,FALSE), ""Not Running"")"),"AYUSHS")</f>
        <v>AYUSHS</v>
      </c>
      <c r="W311" s="47" t="str">
        <f>VLOOKUP($A311,Category!$A:$E,4,0)</f>
        <v>MS</v>
      </c>
      <c r="X311" s="47" t="str">
        <f>VLOOKUP($A311,Category!$A:$E,5,0)</f>
        <v>MSR</v>
      </c>
      <c r="Y311" s="18" t="str">
        <f>VLOOKUP(A311,PAcc!$A$1:$J$27,10,0)</f>
        <v>#N/A</v>
      </c>
      <c r="Z311" s="42" t="b">
        <f t="shared" si="4"/>
        <v>0</v>
      </c>
      <c r="AA311" s="50">
        <v>0.4</v>
      </c>
      <c r="AB311" s="42" t="str">
        <f>VLOOKUP(A311,VlookupSheet!$A$383:$A$523,1,0)</f>
        <v>#N/A</v>
      </c>
      <c r="AC311" s="50">
        <v>0.01</v>
      </c>
      <c r="AD311" s="42">
        <f t="shared" si="32"/>
        <v>2795080</v>
      </c>
      <c r="AE311" s="42">
        <f t="shared" si="33"/>
        <v>20000</v>
      </c>
      <c r="AF311" s="123">
        <f t="shared" si="34"/>
        <v>0</v>
      </c>
    </row>
    <row r="312">
      <c r="A312" s="83" t="s">
        <v>528</v>
      </c>
      <c r="B312" s="84" t="s">
        <v>2818</v>
      </c>
      <c r="C312" s="25"/>
      <c r="D312" s="11">
        <f t="shared" si="41"/>
        <v>1</v>
      </c>
      <c r="E312" s="11">
        <f t="shared" si="42"/>
        <v>40000</v>
      </c>
      <c r="F312" s="30" t="s">
        <v>232</v>
      </c>
      <c r="G312" s="11">
        <v>40000.0</v>
      </c>
      <c r="H312" s="31">
        <v>40000.0</v>
      </c>
      <c r="I312" s="74" t="s">
        <v>174</v>
      </c>
      <c r="J312" s="25" t="s">
        <v>77</v>
      </c>
      <c r="K312" s="38">
        <f t="shared" si="17"/>
        <v>1</v>
      </c>
      <c r="L312" s="18" t="s">
        <v>910</v>
      </c>
      <c r="M312" s="18" t="s">
        <v>736</v>
      </c>
      <c r="N312" s="42"/>
      <c r="O312" s="42"/>
      <c r="P312" s="42"/>
      <c r="Q312" s="42" t="str">
        <f>iferror(VLOOKUP(A312,'Positional cal'!A:H,1,0)=A312,"FALSE")</f>
        <v>FALSE</v>
      </c>
      <c r="R312" s="43" t="b">
        <f t="shared" si="3"/>
        <v>0</v>
      </c>
      <c r="S312" s="46">
        <f>IFERROR(VLOOKUP($A312,AlgoUi!$A:$X,21,0),"NA")</f>
        <v>10797893</v>
      </c>
      <c r="T312" s="46">
        <f>IFERROR(VLOOKUP($A312,AlgoUi!$A:$X,23,0),"")</f>
        <v>10000000</v>
      </c>
      <c r="U312" s="46">
        <f>IFERROR(VLOOKUP($A312,AlgoUi!$A:$X,24,0),"")</f>
        <v>100000</v>
      </c>
      <c r="V312" s="42" t="str">
        <f>IFERROR(__xludf.DUMMYFUNCTION("IFERROR(VLOOKUP(I312,IMPORTRANGE(""https://docs.google.com/spreadsheets/d/17FOIUYQAjPk1pPQIlvOgqYDBqwUqgb7KWzp4DtVksBk/edit?gid=0#gid=0"",""Servers!A:S""),19,FALSE), ""Not Running"")"),"AYUSHS")</f>
        <v>AYUSHS</v>
      </c>
      <c r="W312" s="47" t="str">
        <f>VLOOKUP($A312,Category!$A:$E,4,0)</f>
        <v>MS</v>
      </c>
      <c r="X312" s="47" t="str">
        <f>VLOOKUP($A312,Category!$A:$E,5,0)</f>
        <v>MSR</v>
      </c>
      <c r="Y312" s="18" t="str">
        <f>VLOOKUP(A312,PAcc!$A$1:$J$27,10,0)</f>
        <v>#N/A</v>
      </c>
      <c r="Z312" s="42" t="b">
        <f t="shared" si="4"/>
        <v>0</v>
      </c>
      <c r="AA312" s="50">
        <v>0.4</v>
      </c>
      <c r="AB312" s="42" t="str">
        <f>VLOOKUP(A312,VlookupSheet!$A$383:$A$523,1,0)</f>
        <v>#N/A</v>
      </c>
      <c r="AC312" s="50">
        <v>0.01</v>
      </c>
      <c r="AD312" s="42">
        <f t="shared" si="32"/>
        <v>4319157.2</v>
      </c>
      <c r="AE312" s="42">
        <f t="shared" si="33"/>
        <v>40000</v>
      </c>
      <c r="AF312" s="123">
        <f t="shared" si="34"/>
        <v>0</v>
      </c>
    </row>
    <row r="313">
      <c r="A313" s="30" t="s">
        <v>426</v>
      </c>
      <c r="B313" s="84" t="s">
        <v>2729</v>
      </c>
      <c r="C313" s="85"/>
      <c r="D313" s="11">
        <f t="shared" si="41"/>
        <v>1</v>
      </c>
      <c r="E313" s="11">
        <f t="shared" si="42"/>
        <v>20000</v>
      </c>
      <c r="F313" s="30" t="s">
        <v>311</v>
      </c>
      <c r="G313" s="11">
        <v>20000.0</v>
      </c>
      <c r="H313" s="31">
        <v>20000.0</v>
      </c>
      <c r="I313" s="74" t="s">
        <v>174</v>
      </c>
      <c r="J313" s="25" t="s">
        <v>77</v>
      </c>
      <c r="K313" s="38">
        <f t="shared" si="17"/>
        <v>1</v>
      </c>
      <c r="L313" s="18" t="s">
        <v>910</v>
      </c>
      <c r="M313" s="18" t="s">
        <v>736</v>
      </c>
      <c r="N313" s="74"/>
      <c r="O313" s="74"/>
      <c r="P313" s="74"/>
      <c r="Q313" s="42" t="str">
        <f>iferror(VLOOKUP(A313,'Positional cal'!A:H,1,0)=A313,"FALSE")</f>
        <v>FALSE</v>
      </c>
      <c r="R313" s="43" t="b">
        <f t="shared" si="3"/>
        <v>0</v>
      </c>
      <c r="S313" s="46">
        <f>IFERROR(VLOOKUP($A313,AlgoUi!$A:$X,21,0),"NA")</f>
        <v>6728099</v>
      </c>
      <c r="T313" s="46">
        <f>IFERROR(VLOOKUP($A313,AlgoUi!$A:$X,23,0),"")</f>
        <v>6000000</v>
      </c>
      <c r="U313" s="46">
        <f>IFERROR(VLOOKUP($A313,AlgoUi!$A:$X,24,0),"")</f>
        <v>60000</v>
      </c>
      <c r="V313" s="42" t="str">
        <f>IFERROR(__xludf.DUMMYFUNCTION("IFERROR(VLOOKUP(I313,IMPORTRANGE(""https://docs.google.com/spreadsheets/d/17FOIUYQAjPk1pPQIlvOgqYDBqwUqgb7KWzp4DtVksBk/edit?gid=0#gid=0"",""Servers!A:S""),19,FALSE), ""Not Running"")"),"AYUSHS")</f>
        <v>AYUSHS</v>
      </c>
      <c r="W313" s="47" t="str">
        <f>VLOOKUP($A313,Category!$A:$E,4,0)</f>
        <v>MS</v>
      </c>
      <c r="X313" s="47" t="str">
        <f>VLOOKUP($A313,Category!$A:$E,5,0)</f>
        <v>MSR</v>
      </c>
      <c r="Y313" s="18" t="str">
        <f>VLOOKUP(A313,PAcc!$A$1:$J$27,10,0)</f>
        <v>#N/A</v>
      </c>
      <c r="Z313" s="42" t="b">
        <f t="shared" si="4"/>
        <v>0</v>
      </c>
      <c r="AA313" s="50">
        <v>0.4</v>
      </c>
      <c r="AB313" s="42" t="str">
        <f>VLOOKUP(A313,VlookupSheet!$A$383:$A$523,1,0)</f>
        <v>#N/A</v>
      </c>
      <c r="AC313" s="50">
        <v>0.01</v>
      </c>
      <c r="AD313" s="42">
        <f t="shared" si="32"/>
        <v>2691239.6</v>
      </c>
      <c r="AE313" s="42">
        <f t="shared" si="33"/>
        <v>20000</v>
      </c>
      <c r="AF313" s="123">
        <f t="shared" si="34"/>
        <v>0</v>
      </c>
    </row>
    <row r="314">
      <c r="A314" s="11" t="s">
        <v>485</v>
      </c>
      <c r="B314" s="84" t="s">
        <v>2878</v>
      </c>
      <c r="C314" s="25"/>
      <c r="D314" s="11">
        <f t="shared" si="41"/>
        <v>1</v>
      </c>
      <c r="E314" s="11">
        <f t="shared" si="42"/>
        <v>40000</v>
      </c>
      <c r="F314" s="30" t="s">
        <v>311</v>
      </c>
      <c r="G314" s="11">
        <v>40000.0</v>
      </c>
      <c r="H314" s="31">
        <v>40000.0</v>
      </c>
      <c r="I314" s="74" t="s">
        <v>174</v>
      </c>
      <c r="J314" s="25" t="s">
        <v>77</v>
      </c>
      <c r="K314" s="38">
        <f t="shared" si="17"/>
        <v>1</v>
      </c>
      <c r="L314" s="18" t="s">
        <v>910</v>
      </c>
      <c r="M314" s="18" t="s">
        <v>736</v>
      </c>
      <c r="N314" s="42"/>
      <c r="O314" s="42"/>
      <c r="P314" s="42"/>
      <c r="Q314" s="42" t="str">
        <f>iferror(VLOOKUP(A314,'Positional cal'!A:H,1,0)=A314,"FALSE")</f>
        <v>FALSE</v>
      </c>
      <c r="R314" s="43" t="b">
        <f t="shared" si="3"/>
        <v>0</v>
      </c>
      <c r="S314" s="46">
        <f>IFERROR(VLOOKUP($A314,AlgoUi!$A:$X,21,0),"NA")</f>
        <v>10582110</v>
      </c>
      <c r="T314" s="46">
        <f>IFERROR(VLOOKUP($A314,AlgoUi!$A:$X,23,0),"")</f>
        <v>10000000</v>
      </c>
      <c r="U314" s="46">
        <f>IFERROR(VLOOKUP($A314,AlgoUi!$A:$X,24,0),"")</f>
        <v>100000</v>
      </c>
      <c r="V314" s="42" t="str">
        <f>IFERROR(__xludf.DUMMYFUNCTION("IFERROR(VLOOKUP(I314,IMPORTRANGE(""https://docs.google.com/spreadsheets/d/17FOIUYQAjPk1pPQIlvOgqYDBqwUqgb7KWzp4DtVksBk/edit?gid=0#gid=0"",""Servers!A:S""),19,FALSE), ""Not Running"")"),"AYUSHS")</f>
        <v>AYUSHS</v>
      </c>
      <c r="W314" s="47" t="str">
        <f>VLOOKUP($A314,Category!$A:$E,4,0)</f>
        <v>MS</v>
      </c>
      <c r="X314" s="47" t="str">
        <f>VLOOKUP($A314,Category!$A:$E,5,0)</f>
        <v>MSP</v>
      </c>
      <c r="Y314" s="18" t="str">
        <f>VLOOKUP(A314,PAcc!$A$1:$J$27,10,0)</f>
        <v>#N/A</v>
      </c>
      <c r="Z314" s="42" t="b">
        <f t="shared" si="4"/>
        <v>0</v>
      </c>
      <c r="AA314" s="50">
        <v>0.4</v>
      </c>
      <c r="AB314" s="42" t="str">
        <f>VLOOKUP(A314,VlookupSheet!$A$383:$A$523,1,0)</f>
        <v>#N/A</v>
      </c>
      <c r="AC314" s="50">
        <v>0.01</v>
      </c>
      <c r="AD314" s="42">
        <f t="shared" si="32"/>
        <v>4232844</v>
      </c>
      <c r="AE314" s="42">
        <f t="shared" si="33"/>
        <v>40000</v>
      </c>
      <c r="AF314" s="123">
        <f t="shared" si="34"/>
        <v>0</v>
      </c>
    </row>
    <row r="315">
      <c r="A315" s="11" t="s">
        <v>457</v>
      </c>
      <c r="B315" s="24" t="s">
        <v>2898</v>
      </c>
      <c r="C315" s="85"/>
      <c r="D315" s="11">
        <f t="shared" si="41"/>
        <v>1</v>
      </c>
      <c r="E315" s="11">
        <f t="shared" si="42"/>
        <v>20000</v>
      </c>
      <c r="F315" s="30" t="s">
        <v>311</v>
      </c>
      <c r="G315" s="11">
        <v>20000.0</v>
      </c>
      <c r="H315" s="31">
        <v>20000.0</v>
      </c>
      <c r="I315" s="74" t="s">
        <v>174</v>
      </c>
      <c r="J315" s="25" t="s">
        <v>77</v>
      </c>
      <c r="K315" s="38">
        <f t="shared" si="17"/>
        <v>1</v>
      </c>
      <c r="L315" s="18" t="s">
        <v>910</v>
      </c>
      <c r="M315" s="18" t="s">
        <v>736</v>
      </c>
      <c r="N315" s="34"/>
      <c r="O315" s="34"/>
      <c r="P315" s="34"/>
      <c r="Q315" s="42" t="str">
        <f>iferror(VLOOKUP(A315,'Positional cal'!A:H,1,0)=A315,"FALSE")</f>
        <v>FALSE</v>
      </c>
      <c r="R315" s="43" t="b">
        <f t="shared" si="3"/>
        <v>0</v>
      </c>
      <c r="S315" s="46">
        <f>IFERROR(VLOOKUP($A315,AlgoUi!$A:$X,21,0),"NA")</f>
        <v>7386242</v>
      </c>
      <c r="T315" s="46">
        <f>IFERROR(VLOOKUP($A315,AlgoUi!$A:$X,23,0),"")</f>
        <v>8000000</v>
      </c>
      <c r="U315" s="46">
        <f>IFERROR(VLOOKUP($A315,AlgoUi!$A:$X,24,0),"")</f>
        <v>80000</v>
      </c>
      <c r="V315" s="42" t="str">
        <f>IFERROR(__xludf.DUMMYFUNCTION("IFERROR(VLOOKUP(I315,IMPORTRANGE(""https://docs.google.com/spreadsheets/d/17FOIUYQAjPk1pPQIlvOgqYDBqwUqgb7KWzp4DtVksBk/edit?gid=0#gid=0"",""Servers!A:S""),19,FALSE), ""Not Running"")"),"AYUSHS")</f>
        <v>AYUSHS</v>
      </c>
      <c r="W315" s="47" t="str">
        <f>VLOOKUP($A315,Category!$A:$E,4,0)</f>
        <v>MS</v>
      </c>
      <c r="X315" s="47" t="str">
        <f>VLOOKUP($A315,Category!$A:$E,5,0)</f>
        <v>MSR</v>
      </c>
      <c r="Y315" s="18" t="str">
        <f>VLOOKUP(A315,PAcc!$A$1:$J$27,10,0)</f>
        <v>#N/A</v>
      </c>
      <c r="Z315" s="42" t="b">
        <f t="shared" si="4"/>
        <v>0</v>
      </c>
      <c r="AA315" s="50">
        <v>0.4</v>
      </c>
      <c r="AB315" s="42" t="str">
        <f>VLOOKUP(A315,VlookupSheet!$A$383:$A$523,1,0)</f>
        <v>#N/A</v>
      </c>
      <c r="AC315" s="50">
        <v>0.01</v>
      </c>
      <c r="AD315" s="42">
        <f t="shared" si="32"/>
        <v>2954496.8</v>
      </c>
      <c r="AE315" s="42">
        <f t="shared" si="33"/>
        <v>20000</v>
      </c>
      <c r="AF315" s="123">
        <f t="shared" si="34"/>
        <v>0</v>
      </c>
    </row>
    <row r="316">
      <c r="A316" s="30" t="s">
        <v>352</v>
      </c>
      <c r="B316" s="84" t="s">
        <v>2870</v>
      </c>
      <c r="C316" s="85"/>
      <c r="D316" s="11">
        <f t="shared" si="41"/>
        <v>1</v>
      </c>
      <c r="E316" s="11">
        <f t="shared" si="42"/>
        <v>40000</v>
      </c>
      <c r="F316" s="30" t="s">
        <v>311</v>
      </c>
      <c r="G316" s="11">
        <v>40000.0</v>
      </c>
      <c r="H316" s="31">
        <v>40000.0</v>
      </c>
      <c r="I316" s="74" t="s">
        <v>174</v>
      </c>
      <c r="J316" s="25" t="s">
        <v>77</v>
      </c>
      <c r="K316" s="38">
        <f t="shared" si="17"/>
        <v>1</v>
      </c>
      <c r="L316" s="18" t="s">
        <v>910</v>
      </c>
      <c r="M316" s="18" t="s">
        <v>736</v>
      </c>
      <c r="N316" s="74"/>
      <c r="O316" s="74"/>
      <c r="P316" s="74"/>
      <c r="Q316" s="42" t="str">
        <f>iferror(VLOOKUP(A316,'Positional cal'!A:H,1,0)=A316,"FALSE")</f>
        <v>FALSE</v>
      </c>
      <c r="R316" s="43" t="b">
        <f t="shared" si="3"/>
        <v>0</v>
      </c>
      <c r="S316" s="46">
        <f>IFERROR(VLOOKUP($A316,AlgoUi!$A:$X,21,0),"NA")</f>
        <v>11680877</v>
      </c>
      <c r="T316" s="46">
        <f>IFERROR(VLOOKUP($A316,AlgoUi!$A:$X,23,0),"")</f>
        <v>12000000</v>
      </c>
      <c r="U316" s="46">
        <f>IFERROR(VLOOKUP($A316,AlgoUi!$A:$X,24,0),"")</f>
        <v>120000</v>
      </c>
      <c r="V316" s="42" t="str">
        <f>IFERROR(__xludf.DUMMYFUNCTION("IFERROR(VLOOKUP(I316,IMPORTRANGE(""https://docs.google.com/spreadsheets/d/17FOIUYQAjPk1pPQIlvOgqYDBqwUqgb7KWzp4DtVksBk/edit?gid=0#gid=0"",""Servers!A:S""),19,FALSE), ""Not Running"")"),"AYUSHS")</f>
        <v>AYUSHS</v>
      </c>
      <c r="W316" s="47" t="str">
        <f>VLOOKUP($A316,Category!$A:$E,4,0)</f>
        <v>MS</v>
      </c>
      <c r="X316" s="47" t="str">
        <f>VLOOKUP($A316,Category!$A:$E,5,0)</f>
        <v>MSR</v>
      </c>
      <c r="Y316" s="18" t="str">
        <f>VLOOKUP(A316,PAcc!$A$1:$J$27,10,0)</f>
        <v>#N/A</v>
      </c>
      <c r="Z316" s="42" t="b">
        <f t="shared" si="4"/>
        <v>0</v>
      </c>
      <c r="AA316" s="50">
        <v>0.4</v>
      </c>
      <c r="AB316" s="42" t="str">
        <f>VLOOKUP(A316,VlookupSheet!$A$383:$A$523,1,0)</f>
        <v>#N/A</v>
      </c>
      <c r="AC316" s="50">
        <v>0.01</v>
      </c>
      <c r="AD316" s="42">
        <f t="shared" si="32"/>
        <v>4672350.8</v>
      </c>
      <c r="AE316" s="42">
        <f t="shared" si="33"/>
        <v>40000</v>
      </c>
      <c r="AF316" s="123">
        <f t="shared" si="34"/>
        <v>0</v>
      </c>
    </row>
    <row r="317">
      <c r="A317" s="30" t="s">
        <v>386</v>
      </c>
      <c r="B317" s="84" t="s">
        <v>2109</v>
      </c>
      <c r="C317" s="85"/>
      <c r="D317" s="11">
        <f t="shared" si="41"/>
        <v>1</v>
      </c>
      <c r="E317" s="11">
        <f t="shared" si="42"/>
        <v>20000</v>
      </c>
      <c r="F317" s="30" t="s">
        <v>311</v>
      </c>
      <c r="G317" s="11">
        <v>20000.0</v>
      </c>
      <c r="H317" s="31">
        <v>20000.0</v>
      </c>
      <c r="I317" s="74" t="s">
        <v>174</v>
      </c>
      <c r="J317" s="25" t="s">
        <v>77</v>
      </c>
      <c r="K317" s="38">
        <f t="shared" si="17"/>
        <v>1</v>
      </c>
      <c r="L317" s="18" t="s">
        <v>910</v>
      </c>
      <c r="M317" s="18" t="s">
        <v>736</v>
      </c>
      <c r="N317" s="74"/>
      <c r="O317" s="74"/>
      <c r="P317" s="74"/>
      <c r="Q317" s="42" t="str">
        <f>iferror(VLOOKUP(A317,'Positional cal'!A:H,1,0)=A317,"FALSE")</f>
        <v>FALSE</v>
      </c>
      <c r="R317" s="43" t="b">
        <f t="shared" si="3"/>
        <v>0</v>
      </c>
      <c r="S317" s="46">
        <f>IFERROR(VLOOKUP($A317,AlgoUi!$A:$X,21,0),"NA")</f>
        <v>6337247</v>
      </c>
      <c r="T317" s="46">
        <f>IFERROR(VLOOKUP($A317,AlgoUi!$A:$X,23,0),"")</f>
        <v>6000000</v>
      </c>
      <c r="U317" s="46">
        <f>IFERROR(VLOOKUP($A317,AlgoUi!$A:$X,24,0),"")</f>
        <v>60000</v>
      </c>
      <c r="V317" s="42" t="str">
        <f>IFERROR(__xludf.DUMMYFUNCTION("IFERROR(VLOOKUP(I317,IMPORTRANGE(""https://docs.google.com/spreadsheets/d/17FOIUYQAjPk1pPQIlvOgqYDBqwUqgb7KWzp4DtVksBk/edit?gid=0#gid=0"",""Servers!A:S""),19,FALSE), ""Not Running"")"),"AYUSHS")</f>
        <v>AYUSHS</v>
      </c>
      <c r="W317" s="47" t="str">
        <f>VLOOKUP($A317,Category!$A:$E,4,0)</f>
        <v>MS</v>
      </c>
      <c r="X317" s="47" t="str">
        <f>VLOOKUP($A317,Category!$A:$E,5,0)</f>
        <v>MSP</v>
      </c>
      <c r="Y317" s="18" t="str">
        <f>VLOOKUP(A317,PAcc!$A$1:$J$27,10,0)</f>
        <v>#N/A</v>
      </c>
      <c r="Z317" s="42" t="b">
        <f t="shared" si="4"/>
        <v>0</v>
      </c>
      <c r="AA317" s="50">
        <v>0.4</v>
      </c>
      <c r="AB317" s="42" t="str">
        <f>VLOOKUP(A317,VlookupSheet!$A$383:$A$523,1,0)</f>
        <v>#N/A</v>
      </c>
      <c r="AC317" s="50">
        <v>0.01</v>
      </c>
      <c r="AD317" s="42">
        <f t="shared" si="32"/>
        <v>2534898.8</v>
      </c>
      <c r="AE317" s="42">
        <f t="shared" si="33"/>
        <v>20000</v>
      </c>
      <c r="AF317" s="123">
        <f t="shared" si="34"/>
        <v>0</v>
      </c>
    </row>
    <row r="318">
      <c r="A318" s="30" t="s">
        <v>367</v>
      </c>
      <c r="B318" s="84" t="s">
        <v>1808</v>
      </c>
      <c r="C318" s="85"/>
      <c r="D318" s="11">
        <f t="shared" si="41"/>
        <v>1</v>
      </c>
      <c r="E318" s="11">
        <f t="shared" si="42"/>
        <v>20000</v>
      </c>
      <c r="F318" s="30" t="s">
        <v>311</v>
      </c>
      <c r="G318" s="11">
        <v>20000.0</v>
      </c>
      <c r="H318" s="31">
        <v>20000.0</v>
      </c>
      <c r="I318" s="74" t="s">
        <v>174</v>
      </c>
      <c r="J318" s="25" t="s">
        <v>77</v>
      </c>
      <c r="K318" s="38">
        <f t="shared" si="17"/>
        <v>1</v>
      </c>
      <c r="L318" s="18" t="s">
        <v>910</v>
      </c>
      <c r="M318" s="18" t="s">
        <v>736</v>
      </c>
      <c r="N318" s="74"/>
      <c r="O318" s="74"/>
      <c r="P318" s="74"/>
      <c r="Q318" s="42" t="str">
        <f>iferror(VLOOKUP(A318,'Positional cal'!A:H,1,0)=A318,"FALSE")</f>
        <v>FALSE</v>
      </c>
      <c r="R318" s="43" t="b">
        <f t="shared" si="3"/>
        <v>0</v>
      </c>
      <c r="S318" s="46">
        <f>IFERROR(VLOOKUP($A318,AlgoUi!$A:$X,21,0),"NA")</f>
        <v>6898913</v>
      </c>
      <c r="T318" s="46">
        <f>IFERROR(VLOOKUP($A318,AlgoUi!$A:$X,23,0),"")</f>
        <v>6000000</v>
      </c>
      <c r="U318" s="46">
        <f>IFERROR(VLOOKUP($A318,AlgoUi!$A:$X,24,0),"")</f>
        <v>60000</v>
      </c>
      <c r="V318" s="42" t="str">
        <f>IFERROR(__xludf.DUMMYFUNCTION("IFERROR(VLOOKUP(I318,IMPORTRANGE(""https://docs.google.com/spreadsheets/d/17FOIUYQAjPk1pPQIlvOgqYDBqwUqgb7KWzp4DtVksBk/edit?gid=0#gid=0"",""Servers!A:S""),19,FALSE), ""Not Running"")"),"AYUSHS")</f>
        <v>AYUSHS</v>
      </c>
      <c r="W318" s="47" t="str">
        <f>VLOOKUP($A318,Category!$A:$E,4,0)</f>
        <v>MS</v>
      </c>
      <c r="X318" s="47" t="str">
        <f>VLOOKUP($A318,Category!$A:$E,5,0)</f>
        <v>MSR</v>
      </c>
      <c r="Y318" s="18" t="str">
        <f>VLOOKUP(A318,PAcc!$A$1:$J$27,10,0)</f>
        <v>#N/A</v>
      </c>
      <c r="Z318" s="42" t="b">
        <f t="shared" si="4"/>
        <v>0</v>
      </c>
      <c r="AA318" s="50">
        <v>0.4</v>
      </c>
      <c r="AB318" s="42" t="str">
        <f>VLOOKUP(A318,VlookupSheet!$A$383:$A$523,1,0)</f>
        <v>#N/A</v>
      </c>
      <c r="AC318" s="50">
        <v>0.01</v>
      </c>
      <c r="AD318" s="42">
        <f t="shared" si="32"/>
        <v>2759565.2</v>
      </c>
      <c r="AE318" s="42">
        <f t="shared" si="33"/>
        <v>20000</v>
      </c>
      <c r="AF318" s="123">
        <f t="shared" si="34"/>
        <v>0</v>
      </c>
    </row>
    <row r="319">
      <c r="A319" s="11" t="s">
        <v>2553</v>
      </c>
      <c r="B319" s="24" t="s">
        <v>2554</v>
      </c>
      <c r="C319" s="25"/>
      <c r="D319" s="11">
        <f t="shared" si="41"/>
        <v>1</v>
      </c>
      <c r="E319" s="11">
        <f t="shared" si="42"/>
        <v>20000</v>
      </c>
      <c r="F319" s="30" t="s">
        <v>311</v>
      </c>
      <c r="G319" s="11">
        <v>20000.0</v>
      </c>
      <c r="H319" s="31">
        <v>20000.0</v>
      </c>
      <c r="I319" s="42" t="s">
        <v>174</v>
      </c>
      <c r="J319" s="25" t="s">
        <v>77</v>
      </c>
      <c r="K319" s="38">
        <f t="shared" si="17"/>
        <v>1</v>
      </c>
      <c r="L319" s="18" t="s">
        <v>910</v>
      </c>
      <c r="M319" s="18" t="s">
        <v>736</v>
      </c>
      <c r="N319" s="42"/>
      <c r="O319" s="42"/>
      <c r="P319" s="42"/>
      <c r="Q319" s="42" t="str">
        <f>iferror(VLOOKUP(A319,'Positional cal'!A:H,1,0)=A319,"FALSE")</f>
        <v>FALSE</v>
      </c>
      <c r="R319" s="43" t="b">
        <f t="shared" si="3"/>
        <v>0</v>
      </c>
      <c r="S319" s="46">
        <f>IFERROR(VLOOKUP($A319,AlgoUi!$A:$X,21,0),"NA")</f>
        <v>6361932</v>
      </c>
      <c r="T319" s="46">
        <f>IFERROR(VLOOKUP($A319,AlgoUi!$A:$X,23,0),"")</f>
        <v>6000000</v>
      </c>
      <c r="U319" s="46">
        <f>IFERROR(VLOOKUP($A319,AlgoUi!$A:$X,24,0),"")</f>
        <v>60000</v>
      </c>
      <c r="V319" s="42" t="str">
        <f>IFERROR(__xludf.DUMMYFUNCTION("IFERROR(VLOOKUP(I319,IMPORTRANGE(""https://docs.google.com/spreadsheets/d/17FOIUYQAjPk1pPQIlvOgqYDBqwUqgb7KWzp4DtVksBk/edit?gid=0#gid=0"",""Servers!A:S""),19,FALSE), ""Not Running"")"),"AYUSHS")</f>
        <v>AYUSHS</v>
      </c>
      <c r="W319" s="47" t="str">
        <f>VLOOKUP($A319,Category!$A:$E,4,0)</f>
        <v>MS</v>
      </c>
      <c r="X319" s="47" t="str">
        <f>VLOOKUP($A319,Category!$A:$E,5,0)</f>
        <v>MSP</v>
      </c>
      <c r="Y319" s="18" t="str">
        <f>VLOOKUP(A319,PAcc!$A$1:$J$27,10,0)</f>
        <v>#N/A</v>
      </c>
      <c r="Z319" s="42" t="b">
        <f t="shared" si="4"/>
        <v>0</v>
      </c>
      <c r="AA319" s="50">
        <v>0.4</v>
      </c>
      <c r="AB319" s="42" t="str">
        <f>VLOOKUP(A319,VlookupSheet!$A$383:$A$523,1,0)</f>
        <v>#N/A</v>
      </c>
      <c r="AC319" s="50">
        <v>0.01</v>
      </c>
      <c r="AD319" s="42">
        <f t="shared" si="32"/>
        <v>2544772.8</v>
      </c>
      <c r="AE319" s="42">
        <f t="shared" si="33"/>
        <v>20000</v>
      </c>
      <c r="AF319" s="123">
        <f t="shared" si="34"/>
        <v>0</v>
      </c>
    </row>
    <row r="320">
      <c r="A320" s="11" t="s">
        <v>2816</v>
      </c>
      <c r="B320" s="24" t="s">
        <v>2817</v>
      </c>
      <c r="C320" s="25"/>
      <c r="D320" s="11">
        <f t="shared" si="41"/>
        <v>1</v>
      </c>
      <c r="E320" s="11">
        <f t="shared" si="42"/>
        <v>40000</v>
      </c>
      <c r="F320" s="30" t="s">
        <v>311</v>
      </c>
      <c r="G320" s="11">
        <v>40000.0</v>
      </c>
      <c r="H320" s="31">
        <v>40000.0</v>
      </c>
      <c r="I320" s="42" t="s">
        <v>174</v>
      </c>
      <c r="J320" s="25" t="s">
        <v>77</v>
      </c>
      <c r="K320" s="38">
        <f t="shared" si="17"/>
        <v>1</v>
      </c>
      <c r="L320" s="18" t="s">
        <v>910</v>
      </c>
      <c r="M320" s="18" t="s">
        <v>736</v>
      </c>
      <c r="N320" s="18"/>
      <c r="O320" s="18"/>
      <c r="P320" s="18"/>
      <c r="Q320" s="42" t="str">
        <f>iferror(VLOOKUP(A320,'Positional cal'!A:H,1,0)=A320,"FALSE")</f>
        <v>FALSE</v>
      </c>
      <c r="R320" s="43" t="b">
        <f t="shared" si="3"/>
        <v>0</v>
      </c>
      <c r="S320" s="46">
        <f>IFERROR(VLOOKUP($A320,AlgoUi!$A:$X,21,0),"NA")</f>
        <v>7695920</v>
      </c>
      <c r="T320" s="46">
        <f>IFERROR(VLOOKUP($A320,AlgoUi!$A:$X,23,0),"")</f>
        <v>8000000</v>
      </c>
      <c r="U320" s="46">
        <f>IFERROR(VLOOKUP($A320,AlgoUi!$A:$X,24,0),"")</f>
        <v>80000</v>
      </c>
      <c r="V320" s="42" t="str">
        <f>IFERROR(__xludf.DUMMYFUNCTION("IFERROR(VLOOKUP(I320,IMPORTRANGE(""https://docs.google.com/spreadsheets/d/17FOIUYQAjPk1pPQIlvOgqYDBqwUqgb7KWzp4DtVksBk/edit?gid=0#gid=0"",""Servers!A:S""),19,FALSE), ""Not Running"")"),"AYUSHS")</f>
        <v>AYUSHS</v>
      </c>
      <c r="W320" s="47" t="str">
        <f>VLOOKUP($A320,Category!$A:$E,4,0)</f>
        <v>MS</v>
      </c>
      <c r="X320" s="47" t="str">
        <f>VLOOKUP($A320,Category!$A:$E,5,0)</f>
        <v>MSP</v>
      </c>
      <c r="Y320" s="18" t="str">
        <f>VLOOKUP(A320,PAcc!$A$1:$J$27,10,0)</f>
        <v>#N/A</v>
      </c>
      <c r="Z320" s="42" t="b">
        <f t="shared" si="4"/>
        <v>0</v>
      </c>
      <c r="AA320" s="50">
        <v>0.4</v>
      </c>
      <c r="AB320" s="42" t="str">
        <f>VLOOKUP(A320,VlookupSheet!$A$383:$A$523,1,0)</f>
        <v>#N/A</v>
      </c>
      <c r="AC320" s="50">
        <v>0.01</v>
      </c>
      <c r="AD320" s="42">
        <f t="shared" si="32"/>
        <v>3078368</v>
      </c>
      <c r="AE320" s="42">
        <f t="shared" si="33"/>
        <v>40000</v>
      </c>
      <c r="AF320" s="123">
        <f t="shared" si="34"/>
        <v>0</v>
      </c>
    </row>
    <row r="321">
      <c r="A321" s="83" t="s">
        <v>520</v>
      </c>
      <c r="B321" s="84" t="s">
        <v>2349</v>
      </c>
      <c r="C321" s="85"/>
      <c r="D321" s="11">
        <f t="shared" si="41"/>
        <v>1</v>
      </c>
      <c r="E321" s="11">
        <f t="shared" si="42"/>
        <v>60000</v>
      </c>
      <c r="F321" s="30" t="s">
        <v>232</v>
      </c>
      <c r="G321" s="11">
        <v>60000.0</v>
      </c>
      <c r="H321" s="31">
        <v>60000.0</v>
      </c>
      <c r="I321" s="34" t="s">
        <v>174</v>
      </c>
      <c r="J321" s="11" t="s">
        <v>77</v>
      </c>
      <c r="K321" s="38">
        <f t="shared" si="17"/>
        <v>1</v>
      </c>
      <c r="L321" s="18" t="s">
        <v>910</v>
      </c>
      <c r="M321" s="18" t="s">
        <v>736</v>
      </c>
      <c r="N321" s="34"/>
      <c r="O321" s="34"/>
      <c r="P321" s="34"/>
      <c r="Q321" s="42" t="str">
        <f>iferror(VLOOKUP(A321,'Positional cal'!A:H,1,0)=A321,"FALSE")</f>
        <v>FALSE</v>
      </c>
      <c r="R321" s="43" t="b">
        <f t="shared" si="3"/>
        <v>0</v>
      </c>
      <c r="S321" s="46">
        <f>IFERROR(VLOOKUP($A321,AlgoUi!$A:$X,21,0),"NA")</f>
        <v>14541266</v>
      </c>
      <c r="T321" s="46">
        <f>IFERROR(VLOOKUP($A321,AlgoUi!$A:$X,23,0),"")</f>
        <v>14000000</v>
      </c>
      <c r="U321" s="46">
        <f>IFERROR(VLOOKUP($A321,AlgoUi!$A:$X,24,0),"")</f>
        <v>140000</v>
      </c>
      <c r="V321" s="42" t="str">
        <f>IFERROR(__xludf.DUMMYFUNCTION("IFERROR(VLOOKUP(I321,IMPORTRANGE(""https://docs.google.com/spreadsheets/d/17FOIUYQAjPk1pPQIlvOgqYDBqwUqgb7KWzp4DtVksBk/edit?gid=0#gid=0"",""Servers!A:S""),19,FALSE), ""Not Running"")"),"AYUSHS")</f>
        <v>AYUSHS</v>
      </c>
      <c r="W321" s="47" t="str">
        <f>VLOOKUP($A321,Category!$A:$E,4,0)</f>
        <v>MS</v>
      </c>
      <c r="X321" s="47" t="str">
        <f>VLOOKUP($A321,Category!$A:$E,5,0)</f>
        <v>MSR</v>
      </c>
      <c r="Y321" s="18" t="str">
        <f>VLOOKUP(A321,PAcc!$A$1:$J$27,10,0)</f>
        <v>#N/A</v>
      </c>
      <c r="Z321" s="42" t="b">
        <f t="shared" si="4"/>
        <v>0</v>
      </c>
      <c r="AA321" s="50">
        <v>0.4</v>
      </c>
      <c r="AB321" s="42" t="str">
        <f>VLOOKUP(A321,VlookupSheet!$A$383:$A$523,1,0)</f>
        <v>#N/A</v>
      </c>
      <c r="AC321" s="87">
        <v>0.008</v>
      </c>
      <c r="AD321" s="42">
        <f t="shared" si="32"/>
        <v>5816506.4</v>
      </c>
      <c r="AE321" s="42">
        <f t="shared" si="33"/>
        <v>60000</v>
      </c>
      <c r="AF321" s="123">
        <f t="shared" si="34"/>
        <v>0</v>
      </c>
    </row>
    <row r="322">
      <c r="A322" s="30" t="s">
        <v>581</v>
      </c>
      <c r="B322" s="84" t="s">
        <v>2999</v>
      </c>
      <c r="C322" s="85"/>
      <c r="D322" s="11">
        <f t="shared" si="41"/>
        <v>1</v>
      </c>
      <c r="E322" s="11">
        <f t="shared" si="42"/>
        <v>40000</v>
      </c>
      <c r="F322" s="30" t="s">
        <v>311</v>
      </c>
      <c r="G322" s="11" t="s">
        <v>1100</v>
      </c>
      <c r="H322" s="31">
        <v>40000.0</v>
      </c>
      <c r="I322" s="34" t="s">
        <v>325</v>
      </c>
      <c r="J322" s="11" t="s">
        <v>77</v>
      </c>
      <c r="K322" s="38">
        <f t="shared" si="17"/>
        <v>1</v>
      </c>
      <c r="L322" s="18" t="s">
        <v>910</v>
      </c>
      <c r="M322" s="18" t="s">
        <v>736</v>
      </c>
      <c r="N322" s="74"/>
      <c r="O322" s="74"/>
      <c r="P322" s="74"/>
      <c r="Q322" s="42" t="str">
        <f>iferror(VLOOKUP(A322,'Positional cal'!A:H,1,0)=A322,"FALSE")</f>
        <v>FALSE</v>
      </c>
      <c r="R322" s="43" t="b">
        <f t="shared" si="3"/>
        <v>0</v>
      </c>
      <c r="S322" s="46">
        <f>IFERROR(VLOOKUP($A322,AlgoUi!$A:$X,21,0),"NA")</f>
        <v>9680212</v>
      </c>
      <c r="T322" s="46">
        <f>IFERROR(VLOOKUP($A322,AlgoUi!$A:$X,23,0),"")</f>
        <v>10000000</v>
      </c>
      <c r="U322" s="46">
        <f>IFERROR(VLOOKUP($A322,AlgoUi!$A:$X,24,0),"")</f>
        <v>100000</v>
      </c>
      <c r="V322" s="42" t="str">
        <f>IFERROR(__xludf.DUMMYFUNCTION("IFERROR(VLOOKUP(I322,IMPORTRANGE(""https://docs.google.com/spreadsheets/d/17FOIUYQAjPk1pPQIlvOgqYDBqwUqgb7KWzp4DtVksBk/edit?gid=0#gid=0"",""Servers!A:S""),19,FALSE), ""Not Running"")"),"PRACHI")</f>
        <v>PRACHI</v>
      </c>
      <c r="W322" s="47" t="str">
        <f>VLOOKUP($A322,Category!$A:$E,4,0)</f>
        <v>MS</v>
      </c>
      <c r="X322" s="47" t="str">
        <f>VLOOKUP($A322,Category!$A:$E,5,0)</f>
        <v>MSR</v>
      </c>
      <c r="Y322" s="18" t="str">
        <f>VLOOKUP(A322,PAcc!$A$1:$J$27,10,0)</f>
        <v>#N/A</v>
      </c>
      <c r="Z322" s="42" t="b">
        <f t="shared" si="4"/>
        <v>0</v>
      </c>
      <c r="AA322" s="50">
        <v>0.4</v>
      </c>
      <c r="AB322" s="42" t="str">
        <f>VLOOKUP(A322,VlookupSheet!$A$383:$A$523,1,0)</f>
        <v>#N/A</v>
      </c>
      <c r="AC322" s="87">
        <v>0.008</v>
      </c>
      <c r="AD322" s="42">
        <f t="shared" si="32"/>
        <v>3872084.8</v>
      </c>
      <c r="AE322" s="42">
        <f t="shared" si="33"/>
        <v>40000</v>
      </c>
      <c r="AF322" s="123">
        <f t="shared" si="34"/>
        <v>0</v>
      </c>
    </row>
    <row r="323">
      <c r="A323" s="30" t="s">
        <v>489</v>
      </c>
      <c r="B323" s="84" t="s">
        <v>2149</v>
      </c>
      <c r="C323" s="85"/>
      <c r="D323" s="11">
        <f t="shared" si="41"/>
        <v>1</v>
      </c>
      <c r="E323" s="11">
        <f t="shared" si="42"/>
        <v>40000</v>
      </c>
      <c r="F323" s="30" t="s">
        <v>311</v>
      </c>
      <c r="G323" s="11" t="s">
        <v>1100</v>
      </c>
      <c r="H323" s="31">
        <v>40000.0</v>
      </c>
      <c r="I323" s="74" t="s">
        <v>325</v>
      </c>
      <c r="J323" s="25" t="s">
        <v>77</v>
      </c>
      <c r="K323" s="38">
        <f t="shared" si="17"/>
        <v>1</v>
      </c>
      <c r="L323" s="18" t="s">
        <v>910</v>
      </c>
      <c r="M323" s="18" t="s">
        <v>736</v>
      </c>
      <c r="N323" s="74"/>
      <c r="O323" s="74"/>
      <c r="P323" s="74"/>
      <c r="Q323" s="42" t="str">
        <f>iferror(VLOOKUP(A323,'Positional cal'!A:H,1,0)=A323,"FALSE")</f>
        <v>FALSE</v>
      </c>
      <c r="R323" s="43" t="b">
        <f t="shared" si="3"/>
        <v>0</v>
      </c>
      <c r="S323" s="46">
        <f>IFERROR(VLOOKUP($A323,AlgoUi!$A:$X,21,0),"NA")</f>
        <v>9270154</v>
      </c>
      <c r="T323" s="46">
        <f>IFERROR(VLOOKUP($A323,AlgoUi!$A:$X,23,0),"")</f>
        <v>10000000</v>
      </c>
      <c r="U323" s="46">
        <f>IFERROR(VLOOKUP($A323,AlgoUi!$A:$X,24,0),"")</f>
        <v>100000</v>
      </c>
      <c r="V323" s="42" t="str">
        <f>IFERROR(__xludf.DUMMYFUNCTION("IFERROR(VLOOKUP(I323,IMPORTRANGE(""https://docs.google.com/spreadsheets/d/17FOIUYQAjPk1pPQIlvOgqYDBqwUqgb7KWzp4DtVksBk/edit?gid=0#gid=0"",""Servers!A:S""),19,FALSE), ""Not Running"")"),"PRACHI")</f>
        <v>PRACHI</v>
      </c>
      <c r="W323" s="47" t="str">
        <f>VLOOKUP($A323,Category!$A:$E,4,0)</f>
        <v>MS</v>
      </c>
      <c r="X323" s="47" t="str">
        <f>VLOOKUP($A323,Category!$A:$E,5,0)</f>
        <v>MSP</v>
      </c>
      <c r="Y323" s="18" t="str">
        <f>VLOOKUP(A323,PAcc!$A$1:$J$27,10,0)</f>
        <v>#N/A</v>
      </c>
      <c r="Z323" s="42" t="b">
        <f t="shared" si="4"/>
        <v>0</v>
      </c>
      <c r="AA323" s="50">
        <v>0.4</v>
      </c>
      <c r="AB323" s="42" t="str">
        <f>VLOOKUP(A323,VlookupSheet!$A$383:$A$523,1,0)</f>
        <v>#N/A</v>
      </c>
      <c r="AC323" s="87">
        <v>0.008</v>
      </c>
      <c r="AD323" s="42">
        <f t="shared" si="32"/>
        <v>3708061.6</v>
      </c>
      <c r="AE323" s="42">
        <f t="shared" si="33"/>
        <v>40000</v>
      </c>
      <c r="AF323" s="123">
        <f t="shared" si="34"/>
        <v>0</v>
      </c>
    </row>
    <row r="324">
      <c r="A324" s="30" t="s">
        <v>521</v>
      </c>
      <c r="B324" s="84" t="s">
        <v>1881</v>
      </c>
      <c r="C324" s="85"/>
      <c r="D324" s="11">
        <f t="shared" si="41"/>
        <v>1</v>
      </c>
      <c r="E324" s="11">
        <f t="shared" si="42"/>
        <v>40000</v>
      </c>
      <c r="F324" s="30" t="s">
        <v>311</v>
      </c>
      <c r="G324" s="11" t="s">
        <v>1100</v>
      </c>
      <c r="H324" s="31">
        <v>40000.0</v>
      </c>
      <c r="I324" s="74" t="s">
        <v>325</v>
      </c>
      <c r="J324" s="25" t="s">
        <v>77</v>
      </c>
      <c r="K324" s="38">
        <f t="shared" si="17"/>
        <v>1</v>
      </c>
      <c r="L324" s="18" t="s">
        <v>910</v>
      </c>
      <c r="M324" s="18" t="s">
        <v>736</v>
      </c>
      <c r="N324" s="74"/>
      <c r="O324" s="74"/>
      <c r="P324" s="74"/>
      <c r="Q324" s="42" t="str">
        <f>iferror(VLOOKUP(A324,'Positional cal'!A:H,1,0)=A324,"FALSE")</f>
        <v>FALSE</v>
      </c>
      <c r="R324" s="43" t="b">
        <f t="shared" si="3"/>
        <v>0</v>
      </c>
      <c r="S324" s="46">
        <f>IFERROR(VLOOKUP($A324,AlgoUi!$A:$X,21,0),"NA")</f>
        <v>10008457</v>
      </c>
      <c r="T324" s="46">
        <f>IFERROR(VLOOKUP($A324,AlgoUi!$A:$X,23,0),"")</f>
        <v>10000000</v>
      </c>
      <c r="U324" s="46">
        <f>IFERROR(VLOOKUP($A324,AlgoUi!$A:$X,24,0),"")</f>
        <v>100000</v>
      </c>
      <c r="V324" s="42" t="str">
        <f>IFERROR(__xludf.DUMMYFUNCTION("IFERROR(VLOOKUP(I324,IMPORTRANGE(""https://docs.google.com/spreadsheets/d/17FOIUYQAjPk1pPQIlvOgqYDBqwUqgb7KWzp4DtVksBk/edit?gid=0#gid=0"",""Servers!A:S""),19,FALSE), ""Not Running"")"),"PRACHI")</f>
        <v>PRACHI</v>
      </c>
      <c r="W324" s="47" t="str">
        <f>VLOOKUP($A324,Category!$A:$E,4,0)</f>
        <v>MS</v>
      </c>
      <c r="X324" s="47" t="str">
        <f>VLOOKUP($A324,Category!$A:$E,5,0)</f>
        <v>MSP</v>
      </c>
      <c r="Y324" s="18" t="str">
        <f>VLOOKUP(A324,PAcc!$A$1:$J$27,10,0)</f>
        <v>#N/A</v>
      </c>
      <c r="Z324" s="42" t="b">
        <f t="shared" si="4"/>
        <v>0</v>
      </c>
      <c r="AA324" s="50">
        <v>0.4</v>
      </c>
      <c r="AB324" s="42" t="str">
        <f>VLOOKUP(A324,VlookupSheet!$A$383:$A$523,1,0)</f>
        <v>#N/A</v>
      </c>
      <c r="AC324" s="87">
        <v>0.008</v>
      </c>
      <c r="AD324" s="42">
        <f t="shared" si="32"/>
        <v>4003382.8</v>
      </c>
      <c r="AE324" s="42">
        <f t="shared" si="33"/>
        <v>40000</v>
      </c>
      <c r="AF324" s="123">
        <f t="shared" si="34"/>
        <v>0</v>
      </c>
    </row>
    <row r="325">
      <c r="A325" s="30" t="s">
        <v>443</v>
      </c>
      <c r="B325" s="84" t="s">
        <v>1672</v>
      </c>
      <c r="C325" s="30" t="s">
        <v>320</v>
      </c>
      <c r="D325" s="11">
        <f t="shared" si="41"/>
        <v>1</v>
      </c>
      <c r="E325" s="11">
        <f t="shared" si="42"/>
        <v>20000</v>
      </c>
      <c r="F325" s="30" t="s">
        <v>311</v>
      </c>
      <c r="G325" s="11" t="s">
        <v>1134</v>
      </c>
      <c r="H325" s="31">
        <v>20000.0</v>
      </c>
      <c r="I325" s="74" t="s">
        <v>325</v>
      </c>
      <c r="J325" s="25" t="s">
        <v>77</v>
      </c>
      <c r="K325" s="38">
        <f t="shared" si="17"/>
        <v>1</v>
      </c>
      <c r="L325" s="18" t="s">
        <v>910</v>
      </c>
      <c r="M325" s="18" t="s">
        <v>736</v>
      </c>
      <c r="N325" s="34"/>
      <c r="O325" s="34"/>
      <c r="P325" s="34"/>
      <c r="Q325" s="42" t="str">
        <f>iferror(VLOOKUP(A325,'Positional cal'!A:H,1,0)=A325,"FALSE")</f>
        <v>FALSE</v>
      </c>
      <c r="R325" s="43" t="b">
        <f t="shared" si="3"/>
        <v>0</v>
      </c>
      <c r="S325" s="46">
        <f>IFERROR(VLOOKUP($A325,AlgoUi!$A:$X,21,0),"NA")</f>
        <v>6164117</v>
      </c>
      <c r="T325" s="46">
        <f>IFERROR(VLOOKUP($A325,AlgoUi!$A:$X,23,0),"")</f>
        <v>6000000</v>
      </c>
      <c r="U325" s="46">
        <f>IFERROR(VLOOKUP($A325,AlgoUi!$A:$X,24,0),"")</f>
        <v>60000</v>
      </c>
      <c r="V325" s="42" t="str">
        <f>IFERROR(__xludf.DUMMYFUNCTION("IFERROR(VLOOKUP(I325,IMPORTRANGE(""https://docs.google.com/spreadsheets/d/17FOIUYQAjPk1pPQIlvOgqYDBqwUqgb7KWzp4DtVksBk/edit?gid=0#gid=0"",""Servers!A:S""),19,FALSE), ""Not Running"")"),"PRACHI")</f>
        <v>PRACHI</v>
      </c>
      <c r="W325" s="47" t="str">
        <f>VLOOKUP($A325,Category!$A:$E,4,0)</f>
        <v>MS</v>
      </c>
      <c r="X325" s="47" t="str">
        <f>VLOOKUP($A325,Category!$A:$E,5,0)</f>
        <v>MSP</v>
      </c>
      <c r="Y325" s="18" t="str">
        <f>VLOOKUP(A325,PAcc!$A$1:$J$27,10,0)</f>
        <v>#N/A</v>
      </c>
      <c r="Z325" s="42" t="b">
        <f t="shared" si="4"/>
        <v>0</v>
      </c>
      <c r="AA325" s="50">
        <v>0.4</v>
      </c>
      <c r="AB325" s="42" t="str">
        <f>VLOOKUP(A325,VlookupSheet!$A$383:$A$523,1,0)</f>
        <v>#N/A</v>
      </c>
      <c r="AC325" s="42"/>
      <c r="AD325" s="42">
        <f t="shared" si="32"/>
        <v>2465646.8</v>
      </c>
      <c r="AE325" s="42">
        <f t="shared" si="33"/>
        <v>20000</v>
      </c>
      <c r="AF325" s="123">
        <f t="shared" si="34"/>
        <v>0</v>
      </c>
    </row>
    <row r="326">
      <c r="A326" s="30" t="s">
        <v>434</v>
      </c>
      <c r="B326" s="84" t="s">
        <v>1624</v>
      </c>
      <c r="C326" s="30" t="s">
        <v>320</v>
      </c>
      <c r="D326" s="11">
        <f t="shared" si="41"/>
        <v>1</v>
      </c>
      <c r="E326" s="11">
        <f t="shared" si="42"/>
        <v>20000</v>
      </c>
      <c r="F326" s="30" t="s">
        <v>311</v>
      </c>
      <c r="G326" s="11" t="s">
        <v>1134</v>
      </c>
      <c r="H326" s="31">
        <v>20000.0</v>
      </c>
      <c r="I326" s="74" t="s">
        <v>325</v>
      </c>
      <c r="J326" s="25" t="s">
        <v>77</v>
      </c>
      <c r="K326" s="38">
        <f t="shared" si="17"/>
        <v>1</v>
      </c>
      <c r="L326" s="18" t="s">
        <v>910</v>
      </c>
      <c r="M326" s="18" t="s">
        <v>736</v>
      </c>
      <c r="N326" s="74"/>
      <c r="O326" s="74"/>
      <c r="P326" s="74"/>
      <c r="Q326" s="42" t="str">
        <f>iferror(VLOOKUP(A326,'Positional cal'!A:H,1,0)=A326,"FALSE")</f>
        <v>FALSE</v>
      </c>
      <c r="R326" s="43" t="b">
        <f t="shared" si="3"/>
        <v>0</v>
      </c>
      <c r="S326" s="46">
        <f>IFERROR(VLOOKUP($A326,AlgoUi!$A:$X,21,0),"NA")</f>
        <v>5197114</v>
      </c>
      <c r="T326" s="46">
        <f>IFERROR(VLOOKUP($A326,AlgoUi!$A:$X,23,0),"")</f>
        <v>6000000</v>
      </c>
      <c r="U326" s="46">
        <f>IFERROR(VLOOKUP($A326,AlgoUi!$A:$X,24,0),"")</f>
        <v>60000</v>
      </c>
      <c r="V326" s="42" t="str">
        <f>IFERROR(__xludf.DUMMYFUNCTION("IFERROR(VLOOKUP(I326,IMPORTRANGE(""https://docs.google.com/spreadsheets/d/17FOIUYQAjPk1pPQIlvOgqYDBqwUqgb7KWzp4DtVksBk/edit?gid=0#gid=0"",""Servers!A:S""),19,FALSE), ""Not Running"")"),"PRACHI")</f>
        <v>PRACHI</v>
      </c>
      <c r="W326" s="47" t="str">
        <f>VLOOKUP($A326,Category!$A:$E,4,0)</f>
        <v>MS</v>
      </c>
      <c r="X326" s="47" t="str">
        <f>VLOOKUP($A326,Category!$A:$E,5,0)</f>
        <v>MSR</v>
      </c>
      <c r="Y326" s="18" t="str">
        <f>VLOOKUP(A326,PAcc!$A$1:$J$27,10,0)</f>
        <v>#N/A</v>
      </c>
      <c r="Z326" s="42" t="b">
        <f t="shared" si="4"/>
        <v>0</v>
      </c>
      <c r="AA326" s="50">
        <v>0.4</v>
      </c>
      <c r="AB326" s="42" t="str">
        <f>VLOOKUP(A326,VlookupSheet!$A$383:$A$523,1,0)</f>
        <v>#N/A</v>
      </c>
      <c r="AC326" s="87">
        <v>0.008</v>
      </c>
      <c r="AD326" s="42">
        <f t="shared" si="32"/>
        <v>2078845.6</v>
      </c>
      <c r="AE326" s="42">
        <f t="shared" si="33"/>
        <v>20000</v>
      </c>
      <c r="AF326" s="123">
        <f t="shared" si="34"/>
        <v>0</v>
      </c>
    </row>
    <row r="327">
      <c r="A327" s="30" t="s">
        <v>448</v>
      </c>
      <c r="B327" s="84" t="s">
        <v>2520</v>
      </c>
      <c r="C327" s="30" t="s">
        <v>320</v>
      </c>
      <c r="D327" s="11">
        <f t="shared" si="41"/>
        <v>1</v>
      </c>
      <c r="E327" s="11">
        <f t="shared" si="42"/>
        <v>40000</v>
      </c>
      <c r="F327" s="30" t="s">
        <v>311</v>
      </c>
      <c r="G327" s="11" t="s">
        <v>1100</v>
      </c>
      <c r="H327" s="31">
        <v>40000.0</v>
      </c>
      <c r="I327" s="74" t="s">
        <v>325</v>
      </c>
      <c r="J327" s="25" t="s">
        <v>77</v>
      </c>
      <c r="K327" s="38">
        <f t="shared" si="17"/>
        <v>1</v>
      </c>
      <c r="L327" s="18" t="s">
        <v>910</v>
      </c>
      <c r="M327" s="18" t="s">
        <v>736</v>
      </c>
      <c r="N327" s="74"/>
      <c r="O327" s="74"/>
      <c r="P327" s="74"/>
      <c r="Q327" s="42" t="str">
        <f>iferror(VLOOKUP(A327,'Positional cal'!A:H,1,0)=A327,"FALSE")</f>
        <v>FALSE</v>
      </c>
      <c r="R327" s="43" t="b">
        <f t="shared" si="3"/>
        <v>0</v>
      </c>
      <c r="S327" s="46">
        <f>IFERROR(VLOOKUP($A327,AlgoUi!$A:$X,21,0),"NA")</f>
        <v>7891619</v>
      </c>
      <c r="T327" s="46">
        <f>IFERROR(VLOOKUP($A327,AlgoUi!$A:$X,23,0),"")</f>
        <v>8000000</v>
      </c>
      <c r="U327" s="46">
        <f>IFERROR(VLOOKUP($A327,AlgoUi!$A:$X,24,0),"")</f>
        <v>80000</v>
      </c>
      <c r="V327" s="42" t="str">
        <f>IFERROR(__xludf.DUMMYFUNCTION("IFERROR(VLOOKUP(I327,IMPORTRANGE(""https://docs.google.com/spreadsheets/d/17FOIUYQAjPk1pPQIlvOgqYDBqwUqgb7KWzp4DtVksBk/edit?gid=0#gid=0"",""Servers!A:S""),19,FALSE), ""Not Running"")"),"PRACHI")</f>
        <v>PRACHI</v>
      </c>
      <c r="W327" s="47" t="str">
        <f>VLOOKUP($A327,Category!$A:$E,4,0)</f>
        <v>MS</v>
      </c>
      <c r="X327" s="47" t="str">
        <f>VLOOKUP($A327,Category!$A:$E,5,0)</f>
        <v>MSR</v>
      </c>
      <c r="Y327" s="18" t="str">
        <f>VLOOKUP(A327,PAcc!$A$1:$J$27,10,0)</f>
        <v>#N/A</v>
      </c>
      <c r="Z327" s="42" t="b">
        <f t="shared" si="4"/>
        <v>0</v>
      </c>
      <c r="AA327" s="50">
        <v>0.4</v>
      </c>
      <c r="AB327" s="42" t="str">
        <f>VLOOKUP(A327,VlookupSheet!$A$383:$A$523,1,0)</f>
        <v>#N/A</v>
      </c>
      <c r="AC327" s="87">
        <v>0.008</v>
      </c>
      <c r="AD327" s="42">
        <f t="shared" si="32"/>
        <v>3156647.6</v>
      </c>
      <c r="AE327" s="42">
        <f t="shared" si="33"/>
        <v>40000</v>
      </c>
      <c r="AF327" s="123">
        <f t="shared" si="34"/>
        <v>0</v>
      </c>
    </row>
    <row r="328">
      <c r="A328" s="30" t="s">
        <v>364</v>
      </c>
      <c r="B328" s="84" t="s">
        <v>3023</v>
      </c>
      <c r="C328" s="85"/>
      <c r="D328" s="11">
        <f t="shared" si="41"/>
        <v>1</v>
      </c>
      <c r="E328" s="11">
        <f t="shared" si="42"/>
        <v>20000</v>
      </c>
      <c r="F328" s="30" t="s">
        <v>311</v>
      </c>
      <c r="G328" s="11" t="s">
        <v>1134</v>
      </c>
      <c r="H328" s="31">
        <v>20000.0</v>
      </c>
      <c r="I328" s="74" t="s">
        <v>325</v>
      </c>
      <c r="J328" s="25" t="s">
        <v>77</v>
      </c>
      <c r="K328" s="38">
        <f t="shared" si="17"/>
        <v>1</v>
      </c>
      <c r="L328" s="18" t="s">
        <v>910</v>
      </c>
      <c r="M328" s="18" t="s">
        <v>736</v>
      </c>
      <c r="N328" s="42"/>
      <c r="O328" s="42"/>
      <c r="P328" s="42"/>
      <c r="Q328" s="42" t="str">
        <f>iferror(VLOOKUP(A328,'Positional cal'!A:H,1,0)=A328,"FALSE")</f>
        <v>FALSE</v>
      </c>
      <c r="R328" s="43" t="b">
        <f t="shared" si="3"/>
        <v>0</v>
      </c>
      <c r="S328" s="46">
        <f>IFERROR(VLOOKUP($A328,AlgoUi!$A:$X,21,0),"NA")</f>
        <v>6782885</v>
      </c>
      <c r="T328" s="46">
        <f>IFERROR(VLOOKUP($A328,AlgoUi!$A:$X,23,0),"")</f>
        <v>6000000</v>
      </c>
      <c r="U328" s="46">
        <f>IFERROR(VLOOKUP($A328,AlgoUi!$A:$X,24,0),"")</f>
        <v>60000</v>
      </c>
      <c r="V328" s="42" t="str">
        <f>IFERROR(__xludf.DUMMYFUNCTION("IFERROR(VLOOKUP(I328,IMPORTRANGE(""https://docs.google.com/spreadsheets/d/17FOIUYQAjPk1pPQIlvOgqYDBqwUqgb7KWzp4DtVksBk/edit?gid=0#gid=0"",""Servers!A:S""),19,FALSE), ""Not Running"")"),"PRACHI")</f>
        <v>PRACHI</v>
      </c>
      <c r="W328" s="47" t="str">
        <f>VLOOKUP($A328,Category!$A:$E,4,0)</f>
        <v>MS</v>
      </c>
      <c r="X328" s="47" t="str">
        <f>VLOOKUP($A328,Category!$A:$E,5,0)</f>
        <v>MSR</v>
      </c>
      <c r="Y328" s="18" t="str">
        <f>VLOOKUP(A328,PAcc!$A$1:$J$27,10,0)</f>
        <v>#N/A</v>
      </c>
      <c r="Z328" s="42" t="b">
        <f t="shared" si="4"/>
        <v>0</v>
      </c>
      <c r="AA328" s="50">
        <v>0.4</v>
      </c>
      <c r="AB328" s="42" t="str">
        <f>VLOOKUP(A328,VlookupSheet!$A$383:$A$523,1,0)</f>
        <v>#N/A</v>
      </c>
      <c r="AC328" s="87">
        <v>0.008</v>
      </c>
      <c r="AD328" s="42">
        <f t="shared" si="32"/>
        <v>2713154</v>
      </c>
      <c r="AE328" s="42">
        <f t="shared" si="33"/>
        <v>20000</v>
      </c>
      <c r="AF328" s="123">
        <f t="shared" si="34"/>
        <v>0</v>
      </c>
    </row>
    <row r="329">
      <c r="A329" s="30" t="s">
        <v>476</v>
      </c>
      <c r="B329" s="84" t="s">
        <v>1996</v>
      </c>
      <c r="C329" s="85"/>
      <c r="D329" s="11">
        <f t="shared" si="41"/>
        <v>1</v>
      </c>
      <c r="E329" s="11">
        <f t="shared" si="42"/>
        <v>60000</v>
      </c>
      <c r="F329" s="30" t="s">
        <v>311</v>
      </c>
      <c r="G329" s="11" t="s">
        <v>1550</v>
      </c>
      <c r="H329" s="31">
        <v>60000.0</v>
      </c>
      <c r="I329" s="74" t="s">
        <v>325</v>
      </c>
      <c r="J329" s="25" t="s">
        <v>77</v>
      </c>
      <c r="K329" s="38">
        <f t="shared" si="17"/>
        <v>1</v>
      </c>
      <c r="L329" s="18" t="s">
        <v>910</v>
      </c>
      <c r="M329" s="18" t="s">
        <v>736</v>
      </c>
      <c r="N329" s="74"/>
      <c r="O329" s="74"/>
      <c r="P329" s="74"/>
      <c r="Q329" s="42" t="str">
        <f>iferror(VLOOKUP(A329,'Positional cal'!A:H,1,0)=A329,"FALSE")</f>
        <v>FALSE</v>
      </c>
      <c r="R329" s="43" t="b">
        <f t="shared" si="3"/>
        <v>0</v>
      </c>
      <c r="S329" s="46">
        <f>IFERROR(VLOOKUP($A329,AlgoUi!$A:$X,21,0),"NA")</f>
        <v>15404285</v>
      </c>
      <c r="T329" s="46">
        <f>IFERROR(VLOOKUP($A329,AlgoUi!$A:$X,23,0),"")</f>
        <v>16000000</v>
      </c>
      <c r="U329" s="46">
        <f>IFERROR(VLOOKUP($A329,AlgoUi!$A:$X,24,0),"")</f>
        <v>160000</v>
      </c>
      <c r="V329" s="42" t="str">
        <f>IFERROR(__xludf.DUMMYFUNCTION("IFERROR(VLOOKUP(I329,IMPORTRANGE(""https://docs.google.com/spreadsheets/d/17FOIUYQAjPk1pPQIlvOgqYDBqwUqgb7KWzp4DtVksBk/edit?gid=0#gid=0"",""Servers!A:S""),19,FALSE), ""Not Running"")"),"PRACHI")</f>
        <v>PRACHI</v>
      </c>
      <c r="W329" s="47" t="str">
        <f>VLOOKUP($A329,Category!$A:$E,4,0)</f>
        <v>MS</v>
      </c>
      <c r="X329" s="47" t="str">
        <f>VLOOKUP($A329,Category!$A:$E,5,0)</f>
        <v>MSP</v>
      </c>
      <c r="Y329" s="18" t="str">
        <f>VLOOKUP(A329,PAcc!$A$1:$J$27,10,0)</f>
        <v>#N/A</v>
      </c>
      <c r="Z329" s="42" t="b">
        <f t="shared" si="4"/>
        <v>0</v>
      </c>
      <c r="AA329" s="50">
        <v>0.4</v>
      </c>
      <c r="AB329" s="42" t="str">
        <f>VLOOKUP(A329,VlookupSheet!$A$383:$A$523,1,0)</f>
        <v>#N/A</v>
      </c>
      <c r="AC329" s="87">
        <v>0.008</v>
      </c>
      <c r="AD329" s="42">
        <f t="shared" si="32"/>
        <v>6161714</v>
      </c>
      <c r="AE329" s="42">
        <f t="shared" si="33"/>
        <v>60000</v>
      </c>
      <c r="AF329" s="123">
        <f t="shared" si="34"/>
        <v>0</v>
      </c>
    </row>
    <row r="330">
      <c r="A330" s="11" t="s">
        <v>483</v>
      </c>
      <c r="B330" s="84" t="s">
        <v>3036</v>
      </c>
      <c r="C330" s="25"/>
      <c r="D330" s="11">
        <f t="shared" si="41"/>
        <v>1</v>
      </c>
      <c r="E330" s="11">
        <f t="shared" si="42"/>
        <v>40000</v>
      </c>
      <c r="F330" s="30" t="s">
        <v>965</v>
      </c>
      <c r="G330" s="11" t="s">
        <v>1100</v>
      </c>
      <c r="H330" s="31">
        <v>40000.0</v>
      </c>
      <c r="I330" s="74" t="s">
        <v>325</v>
      </c>
      <c r="J330" s="25" t="s">
        <v>77</v>
      </c>
      <c r="K330" s="38">
        <f t="shared" si="17"/>
        <v>1</v>
      </c>
      <c r="L330" s="18" t="s">
        <v>910</v>
      </c>
      <c r="M330" s="18" t="s">
        <v>736</v>
      </c>
      <c r="N330" s="42"/>
      <c r="O330" s="42"/>
      <c r="P330" s="42"/>
      <c r="Q330" s="42" t="str">
        <f>iferror(VLOOKUP(A330,'Positional cal'!A:H,1,0)=A330,"FALSE")</f>
        <v>FALSE</v>
      </c>
      <c r="R330" s="43" t="b">
        <f t="shared" si="3"/>
        <v>0</v>
      </c>
      <c r="S330" s="46">
        <f>IFERROR(VLOOKUP($A330,AlgoUi!$A:$X,21,0),"NA")</f>
        <v>10204074</v>
      </c>
      <c r="T330" s="46">
        <f>IFERROR(VLOOKUP($A330,AlgoUi!$A:$X,23,0),"")</f>
        <v>10000000</v>
      </c>
      <c r="U330" s="46">
        <f>IFERROR(VLOOKUP($A330,AlgoUi!$A:$X,24,0),"")</f>
        <v>100000</v>
      </c>
      <c r="V330" s="42" t="str">
        <f>IFERROR(__xludf.DUMMYFUNCTION("IFERROR(VLOOKUP(I330,IMPORTRANGE(""https://docs.google.com/spreadsheets/d/17FOIUYQAjPk1pPQIlvOgqYDBqwUqgb7KWzp4DtVksBk/edit?gid=0#gid=0"",""Servers!A:S""),19,FALSE), ""Not Running"")"),"PRACHI")</f>
        <v>PRACHI</v>
      </c>
      <c r="W330" s="47" t="str">
        <f>VLOOKUP($A330,Category!$A:$E,4,0)</f>
        <v>MS</v>
      </c>
      <c r="X330" s="47" t="str">
        <f>VLOOKUP($A330,Category!$A:$E,5,0)</f>
        <v>MSN</v>
      </c>
      <c r="Y330" s="18" t="str">
        <f>VLOOKUP(A330,PAcc!$A$1:$J$27,10,0)</f>
        <v>#N/A</v>
      </c>
      <c r="Z330" s="42" t="b">
        <f t="shared" si="4"/>
        <v>0</v>
      </c>
      <c r="AA330" s="50">
        <v>0.4</v>
      </c>
      <c r="AB330" s="42" t="str">
        <f>VLOOKUP(A330,VlookupSheet!$A$383:$A$523,1,0)</f>
        <v>#N/A</v>
      </c>
      <c r="AC330" s="42"/>
      <c r="AD330" s="42">
        <f t="shared" si="32"/>
        <v>4081629.6</v>
      </c>
      <c r="AE330" s="42">
        <f t="shared" si="33"/>
        <v>40000</v>
      </c>
      <c r="AF330" s="123">
        <f t="shared" si="34"/>
        <v>0</v>
      </c>
    </row>
    <row r="331">
      <c r="A331" s="11" t="s">
        <v>406</v>
      </c>
      <c r="B331" s="24" t="s">
        <v>3042</v>
      </c>
      <c r="C331" s="25"/>
      <c r="D331" s="11">
        <f t="shared" si="41"/>
        <v>1</v>
      </c>
      <c r="E331" s="11">
        <f t="shared" si="42"/>
        <v>40000</v>
      </c>
      <c r="F331" s="30" t="s">
        <v>965</v>
      </c>
      <c r="G331" s="11" t="s">
        <v>1100</v>
      </c>
      <c r="H331" s="31">
        <v>40000.0</v>
      </c>
      <c r="I331" s="74" t="s">
        <v>325</v>
      </c>
      <c r="J331" s="25" t="s">
        <v>77</v>
      </c>
      <c r="K331" s="38">
        <f t="shared" si="17"/>
        <v>1</v>
      </c>
      <c r="L331" s="18" t="s">
        <v>910</v>
      </c>
      <c r="M331" s="18" t="s">
        <v>736</v>
      </c>
      <c r="N331" s="47"/>
      <c r="O331" s="47"/>
      <c r="P331" s="47"/>
      <c r="Q331" s="42" t="str">
        <f>iferror(VLOOKUP(A331,'Positional cal'!A:H,1,0)=A331,"FALSE")</f>
        <v>FALSE</v>
      </c>
      <c r="R331" s="43" t="b">
        <f t="shared" si="3"/>
        <v>0</v>
      </c>
      <c r="S331" s="46">
        <f>IFERROR(VLOOKUP($A331,AlgoUi!$A:$X,21,0),"NA")</f>
        <v>10337121</v>
      </c>
      <c r="T331" s="46">
        <f>IFERROR(VLOOKUP($A331,AlgoUi!$A:$X,23,0),"")</f>
        <v>10000000</v>
      </c>
      <c r="U331" s="46">
        <f>IFERROR(VLOOKUP($A331,AlgoUi!$A:$X,24,0),"")</f>
        <v>100000</v>
      </c>
      <c r="V331" s="42" t="str">
        <f>IFERROR(__xludf.DUMMYFUNCTION("IFERROR(VLOOKUP(I331,IMPORTRANGE(""https://docs.google.com/spreadsheets/d/17FOIUYQAjPk1pPQIlvOgqYDBqwUqgb7KWzp4DtVksBk/edit?gid=0#gid=0"",""Servers!A:S""),19,FALSE), ""Not Running"")"),"PRACHI")</f>
        <v>PRACHI</v>
      </c>
      <c r="W331" s="47" t="str">
        <f>VLOOKUP($A331,Category!$A:$E,4,0)</f>
        <v>MS</v>
      </c>
      <c r="X331" s="47" t="str">
        <f>VLOOKUP($A331,Category!$A:$E,5,0)</f>
        <v>MSR</v>
      </c>
      <c r="Y331" s="18" t="str">
        <f>VLOOKUP(A331,PAcc!$A$1:$J$27,10,0)</f>
        <v>#N/A</v>
      </c>
      <c r="Z331" s="42" t="b">
        <f t="shared" si="4"/>
        <v>0</v>
      </c>
      <c r="AA331" s="50">
        <v>0.4</v>
      </c>
      <c r="AB331" s="42" t="str">
        <f>VLOOKUP(A331,VlookupSheet!$A$383:$A$523,1,0)</f>
        <v>#N/A</v>
      </c>
      <c r="AC331" s="87">
        <v>0.008</v>
      </c>
      <c r="AD331" s="42">
        <f t="shared" si="32"/>
        <v>4134848.4</v>
      </c>
      <c r="AE331" s="42">
        <f t="shared" si="33"/>
        <v>40000</v>
      </c>
      <c r="AF331" s="123">
        <f t="shared" si="34"/>
        <v>0</v>
      </c>
    </row>
    <row r="332">
      <c r="A332" s="11" t="s">
        <v>369</v>
      </c>
      <c r="B332" s="24" t="s">
        <v>3048</v>
      </c>
      <c r="C332" s="25"/>
      <c r="D332" s="11">
        <f t="shared" si="41"/>
        <v>1</v>
      </c>
      <c r="E332" s="11">
        <f t="shared" si="42"/>
        <v>40000</v>
      </c>
      <c r="F332" s="30" t="s">
        <v>311</v>
      </c>
      <c r="G332" s="11" t="s">
        <v>1100</v>
      </c>
      <c r="H332" s="31">
        <v>40000.0</v>
      </c>
      <c r="I332" s="74" t="s">
        <v>325</v>
      </c>
      <c r="J332" s="25" t="s">
        <v>77</v>
      </c>
      <c r="K332" s="38">
        <f t="shared" si="17"/>
        <v>1</v>
      </c>
      <c r="L332" s="18" t="s">
        <v>910</v>
      </c>
      <c r="M332" s="18" t="s">
        <v>736</v>
      </c>
      <c r="N332" s="42"/>
      <c r="O332" s="42"/>
      <c r="P332" s="42"/>
      <c r="Q332" s="42" t="str">
        <f>iferror(VLOOKUP(A332,'Positional cal'!A:H,1,0)=A332,"FALSE")</f>
        <v>FALSE</v>
      </c>
      <c r="R332" s="43" t="b">
        <f t="shared" si="3"/>
        <v>0</v>
      </c>
      <c r="S332" s="46">
        <f>IFERROR(VLOOKUP($A332,AlgoUi!$A:$X,21,0),"NA")</f>
        <v>8525067</v>
      </c>
      <c r="T332" s="46">
        <f>IFERROR(VLOOKUP($A332,AlgoUi!$A:$X,23,0),"")</f>
        <v>8000000</v>
      </c>
      <c r="U332" s="46">
        <f>IFERROR(VLOOKUP($A332,AlgoUi!$A:$X,24,0),"")</f>
        <v>80000</v>
      </c>
      <c r="V332" s="42" t="str">
        <f>IFERROR(__xludf.DUMMYFUNCTION("IFERROR(VLOOKUP(I332,IMPORTRANGE(""https://docs.google.com/spreadsheets/d/17FOIUYQAjPk1pPQIlvOgqYDBqwUqgb7KWzp4DtVksBk/edit?gid=0#gid=0"",""Servers!A:S""),19,FALSE), ""Not Running"")"),"PRACHI")</f>
        <v>PRACHI</v>
      </c>
      <c r="W332" s="47" t="str">
        <f>VLOOKUP($A332,Category!$A:$E,4,0)</f>
        <v>MS</v>
      </c>
      <c r="X332" s="47" t="str">
        <f>VLOOKUP($A332,Category!$A:$E,5,0)</f>
        <v>MSR</v>
      </c>
      <c r="Y332" s="18" t="str">
        <f>VLOOKUP(A332,PAcc!$A$1:$J$27,10,0)</f>
        <v>#N/A</v>
      </c>
      <c r="Z332" s="42" t="b">
        <f t="shared" si="4"/>
        <v>0</v>
      </c>
      <c r="AA332" s="50">
        <v>0.4</v>
      </c>
      <c r="AB332" s="42" t="str">
        <f>VLOOKUP(A332,VlookupSheet!$A$383:$A$523,1,0)</f>
        <v>#N/A</v>
      </c>
      <c r="AC332" s="87">
        <v>0.008</v>
      </c>
      <c r="AD332" s="42">
        <f t="shared" si="32"/>
        <v>3410026.8</v>
      </c>
      <c r="AE332" s="42">
        <f t="shared" si="33"/>
        <v>40000</v>
      </c>
      <c r="AF332" s="123">
        <f t="shared" si="34"/>
        <v>0</v>
      </c>
    </row>
    <row r="333">
      <c r="A333" s="30" t="s">
        <v>393</v>
      </c>
      <c r="B333" s="84" t="s">
        <v>3005</v>
      </c>
      <c r="C333" s="85"/>
      <c r="D333" s="11">
        <f t="shared" si="41"/>
        <v>1</v>
      </c>
      <c r="E333" s="11">
        <f t="shared" si="42"/>
        <v>60000</v>
      </c>
      <c r="F333" s="30" t="s">
        <v>311</v>
      </c>
      <c r="G333" s="11" t="s">
        <v>1550</v>
      </c>
      <c r="H333" s="31">
        <v>60000.0</v>
      </c>
      <c r="I333" s="74" t="s">
        <v>325</v>
      </c>
      <c r="J333" s="25" t="s">
        <v>77</v>
      </c>
      <c r="K333" s="38">
        <f t="shared" si="17"/>
        <v>1</v>
      </c>
      <c r="L333" s="18" t="s">
        <v>910</v>
      </c>
      <c r="M333" s="18" t="s">
        <v>736</v>
      </c>
      <c r="N333" s="34"/>
      <c r="O333" s="34"/>
      <c r="P333" s="34" t="s">
        <v>3054</v>
      </c>
      <c r="Q333" s="42" t="str">
        <f>iferror(VLOOKUP(A333,'Positional cal'!A:H,1,0)=A333,"FALSE")</f>
        <v>FALSE</v>
      </c>
      <c r="R333" s="43" t="b">
        <f t="shared" si="3"/>
        <v>0</v>
      </c>
      <c r="S333" s="46">
        <f>IFERROR(VLOOKUP($A333,AlgoUi!$A:$X,21,0),"NA")</f>
        <v>14764722</v>
      </c>
      <c r="T333" s="46">
        <f>IFERROR(VLOOKUP($A333,AlgoUi!$A:$X,23,0),"")</f>
        <v>14000000</v>
      </c>
      <c r="U333" s="46">
        <f>IFERROR(VLOOKUP($A333,AlgoUi!$A:$X,24,0),"")</f>
        <v>140000</v>
      </c>
      <c r="V333" s="42" t="str">
        <f>IFERROR(__xludf.DUMMYFUNCTION("IFERROR(VLOOKUP(I333,IMPORTRANGE(""https://docs.google.com/spreadsheets/d/17FOIUYQAjPk1pPQIlvOgqYDBqwUqgb7KWzp4DtVksBk/edit?gid=0#gid=0"",""Servers!A:S""),19,FALSE), ""Not Running"")"),"PRACHI")</f>
        <v>PRACHI</v>
      </c>
      <c r="W333" s="47" t="str">
        <f>VLOOKUP($A333,Category!$A:$E,4,0)</f>
        <v>MS</v>
      </c>
      <c r="X333" s="47" t="str">
        <f>VLOOKUP($A333,Category!$A:$E,5,0)</f>
        <v>MSR</v>
      </c>
      <c r="Y333" s="18" t="str">
        <f>VLOOKUP(A333,PAcc!$A$1:$J$27,10,0)</f>
        <v>#N/A</v>
      </c>
      <c r="Z333" s="42" t="b">
        <f t="shared" si="4"/>
        <v>0</v>
      </c>
      <c r="AA333" s="50">
        <v>0.4</v>
      </c>
      <c r="AB333" s="42" t="str">
        <f>VLOOKUP(A333,VlookupSheet!$A$383:$A$523,1,0)</f>
        <v>#N/A</v>
      </c>
      <c r="AC333" s="87">
        <v>0.008</v>
      </c>
      <c r="AD333" s="42">
        <f t="shared" si="32"/>
        <v>5905888.8</v>
      </c>
      <c r="AE333" s="42">
        <f t="shared" si="33"/>
        <v>60000</v>
      </c>
      <c r="AF333" s="123">
        <f t="shared" si="34"/>
        <v>0</v>
      </c>
    </row>
    <row r="334">
      <c r="A334" s="30" t="s">
        <v>328</v>
      </c>
      <c r="B334" s="84" t="s">
        <v>1778</v>
      </c>
      <c r="C334" s="30" t="s">
        <v>320</v>
      </c>
      <c r="D334" s="11">
        <f t="shared" si="41"/>
        <v>1</v>
      </c>
      <c r="E334" s="11">
        <f t="shared" si="42"/>
        <v>40000</v>
      </c>
      <c r="F334" s="30" t="s">
        <v>311</v>
      </c>
      <c r="G334" s="11" t="s">
        <v>1100</v>
      </c>
      <c r="H334" s="31">
        <v>40000.0</v>
      </c>
      <c r="I334" s="74" t="s">
        <v>325</v>
      </c>
      <c r="J334" s="25" t="s">
        <v>77</v>
      </c>
      <c r="K334" s="38">
        <f t="shared" si="17"/>
        <v>1</v>
      </c>
      <c r="L334" s="18" t="s">
        <v>910</v>
      </c>
      <c r="M334" s="18" t="s">
        <v>736</v>
      </c>
      <c r="N334" s="74"/>
      <c r="O334" s="74"/>
      <c r="P334" s="74"/>
      <c r="Q334" s="42" t="str">
        <f>iferror(VLOOKUP(A334,'Positional cal'!A:H,1,0)=A334,"FALSE")</f>
        <v>FALSE</v>
      </c>
      <c r="R334" s="43" t="b">
        <f t="shared" si="3"/>
        <v>0</v>
      </c>
      <c r="S334" s="46">
        <f>IFERROR(VLOOKUP($A334,AlgoUi!$A:$X,21,0),"NA")</f>
        <v>10752661</v>
      </c>
      <c r="T334" s="46">
        <f>IFERROR(VLOOKUP($A334,AlgoUi!$A:$X,23,0),"")</f>
        <v>10000000</v>
      </c>
      <c r="U334" s="46">
        <f>IFERROR(VLOOKUP($A334,AlgoUi!$A:$X,24,0),"")</f>
        <v>100000</v>
      </c>
      <c r="V334" s="42" t="str">
        <f>IFERROR(__xludf.DUMMYFUNCTION("IFERROR(VLOOKUP(I334,IMPORTRANGE(""https://docs.google.com/spreadsheets/d/17FOIUYQAjPk1pPQIlvOgqYDBqwUqgb7KWzp4DtVksBk/edit?gid=0#gid=0"",""Servers!A:S""),19,FALSE), ""Not Running"")"),"PRACHI")</f>
        <v>PRACHI</v>
      </c>
      <c r="W334" s="47" t="str">
        <f>VLOOKUP($A334,Category!$A:$E,4,0)</f>
        <v>MS</v>
      </c>
      <c r="X334" s="47" t="str">
        <f>VLOOKUP($A334,Category!$A:$E,5,0)</f>
        <v>MSR</v>
      </c>
      <c r="Y334" s="18" t="str">
        <f>VLOOKUP(A334,PAcc!$A$1:$J$27,10,0)</f>
        <v>#N/A</v>
      </c>
      <c r="Z334" s="42" t="b">
        <f t="shared" si="4"/>
        <v>0</v>
      </c>
      <c r="AA334" s="50">
        <v>0.4</v>
      </c>
      <c r="AB334" s="42" t="str">
        <f>VLOOKUP(A334,VlookupSheet!$A$383:$A$523,1,0)</f>
        <v>#N/A</v>
      </c>
      <c r="AC334" s="87">
        <v>0.008</v>
      </c>
      <c r="AD334" s="42">
        <f t="shared" si="32"/>
        <v>4301064.4</v>
      </c>
      <c r="AE334" s="42">
        <f t="shared" si="33"/>
        <v>40000</v>
      </c>
      <c r="AF334" s="123">
        <f t="shared" si="34"/>
        <v>0</v>
      </c>
    </row>
    <row r="335">
      <c r="A335" s="30" t="s">
        <v>357</v>
      </c>
      <c r="B335" s="84" t="s">
        <v>1855</v>
      </c>
      <c r="C335" s="85"/>
      <c r="D335" s="11">
        <f t="shared" si="41"/>
        <v>1</v>
      </c>
      <c r="E335" s="11">
        <f t="shared" si="42"/>
        <v>60000</v>
      </c>
      <c r="F335" s="30" t="s">
        <v>311</v>
      </c>
      <c r="G335" s="11" t="s">
        <v>1550</v>
      </c>
      <c r="H335" s="31">
        <v>60000.0</v>
      </c>
      <c r="I335" s="74" t="s">
        <v>325</v>
      </c>
      <c r="J335" s="25" t="s">
        <v>77</v>
      </c>
      <c r="K335" s="38">
        <f t="shared" si="17"/>
        <v>1</v>
      </c>
      <c r="L335" s="18" t="s">
        <v>910</v>
      </c>
      <c r="M335" s="18" t="s">
        <v>736</v>
      </c>
      <c r="N335" s="74"/>
      <c r="O335" s="74"/>
      <c r="P335" s="74"/>
      <c r="Q335" s="42" t="str">
        <f>iferror(VLOOKUP(A335,'Positional cal'!A:H,1,0)=A335,"FALSE")</f>
        <v>FALSE</v>
      </c>
      <c r="R335" s="43" t="b">
        <f t="shared" si="3"/>
        <v>0</v>
      </c>
      <c r="S335" s="46">
        <f>IFERROR(VLOOKUP($A335,AlgoUi!$A:$X,21,0),"NA")</f>
        <v>16437478</v>
      </c>
      <c r="T335" s="46">
        <f>IFERROR(VLOOKUP($A335,AlgoUi!$A:$X,23,0),"")</f>
        <v>16000000</v>
      </c>
      <c r="U335" s="46">
        <f>IFERROR(VLOOKUP($A335,AlgoUi!$A:$X,24,0),"")</f>
        <v>160000</v>
      </c>
      <c r="V335" s="42" t="str">
        <f>IFERROR(__xludf.DUMMYFUNCTION("IFERROR(VLOOKUP(I335,IMPORTRANGE(""https://docs.google.com/spreadsheets/d/17FOIUYQAjPk1pPQIlvOgqYDBqwUqgb7KWzp4DtVksBk/edit?gid=0#gid=0"",""Servers!A:S""),19,FALSE), ""Not Running"")"),"PRACHI")</f>
        <v>PRACHI</v>
      </c>
      <c r="W335" s="47" t="str">
        <f>VLOOKUP($A335,Category!$A:$E,4,0)</f>
        <v>MS</v>
      </c>
      <c r="X335" s="47" t="str">
        <f>VLOOKUP($A335,Category!$A:$E,5,0)</f>
        <v>MSR</v>
      </c>
      <c r="Y335" s="18" t="str">
        <f>VLOOKUP(A335,PAcc!$A$1:$J$27,10,0)</f>
        <v>#N/A</v>
      </c>
      <c r="Z335" s="42" t="b">
        <f t="shared" si="4"/>
        <v>0</v>
      </c>
      <c r="AA335" s="50">
        <v>0.4</v>
      </c>
      <c r="AB335" s="42" t="str">
        <f>VLOOKUP(A335,VlookupSheet!$A$383:$A$523,1,0)</f>
        <v>#N/A</v>
      </c>
      <c r="AC335" s="42"/>
      <c r="AD335" s="42">
        <f t="shared" si="32"/>
        <v>6574991.2</v>
      </c>
      <c r="AE335" s="42">
        <f t="shared" si="33"/>
        <v>60000</v>
      </c>
      <c r="AF335" s="123">
        <f t="shared" si="34"/>
        <v>0</v>
      </c>
    </row>
    <row r="336">
      <c r="A336" s="30" t="s">
        <v>416</v>
      </c>
      <c r="B336" s="84" t="s">
        <v>1785</v>
      </c>
      <c r="C336" s="85"/>
      <c r="D336" s="11">
        <f t="shared" si="41"/>
        <v>1</v>
      </c>
      <c r="E336" s="11">
        <f t="shared" si="42"/>
        <v>20000</v>
      </c>
      <c r="F336" s="30" t="s">
        <v>311</v>
      </c>
      <c r="G336" s="11" t="s">
        <v>1134</v>
      </c>
      <c r="H336" s="31">
        <v>20000.0</v>
      </c>
      <c r="I336" s="74" t="s">
        <v>325</v>
      </c>
      <c r="J336" s="25" t="s">
        <v>77</v>
      </c>
      <c r="K336" s="38">
        <f t="shared" si="17"/>
        <v>1</v>
      </c>
      <c r="L336" s="18" t="s">
        <v>910</v>
      </c>
      <c r="M336" s="18" t="s">
        <v>736</v>
      </c>
      <c r="N336" s="74"/>
      <c r="O336" s="74"/>
      <c r="P336" s="74"/>
      <c r="Q336" s="42" t="str">
        <f>iferror(VLOOKUP(A336,'Positional cal'!A:H,1,0)=A336,"FALSE")</f>
        <v>FALSE</v>
      </c>
      <c r="R336" s="43" t="b">
        <f t="shared" si="3"/>
        <v>0</v>
      </c>
      <c r="S336" s="46">
        <f>IFERROR(VLOOKUP($A336,AlgoUi!$A:$X,21,0),"NA")</f>
        <v>7430095</v>
      </c>
      <c r="T336" s="46">
        <f>IFERROR(VLOOKUP($A336,AlgoUi!$A:$X,23,0),"")</f>
        <v>8000000</v>
      </c>
      <c r="U336" s="46">
        <f>IFERROR(VLOOKUP($A336,AlgoUi!$A:$X,24,0),"")</f>
        <v>80000</v>
      </c>
      <c r="V336" s="42" t="str">
        <f>IFERROR(__xludf.DUMMYFUNCTION("IFERROR(VLOOKUP(I336,IMPORTRANGE(""https://docs.google.com/spreadsheets/d/17FOIUYQAjPk1pPQIlvOgqYDBqwUqgb7KWzp4DtVksBk/edit?gid=0#gid=0"",""Servers!A:S""),19,FALSE), ""Not Running"")"),"PRACHI")</f>
        <v>PRACHI</v>
      </c>
      <c r="W336" s="47" t="str">
        <f>VLOOKUP($A336,Category!$A:$E,4,0)</f>
        <v>MS</v>
      </c>
      <c r="X336" s="47" t="str">
        <f>VLOOKUP($A336,Category!$A:$E,5,0)</f>
        <v>MSR</v>
      </c>
      <c r="Y336" s="18" t="str">
        <f>VLOOKUP(A336,PAcc!$A$1:$J$27,10,0)</f>
        <v>#N/A</v>
      </c>
      <c r="Z336" s="42" t="b">
        <f t="shared" si="4"/>
        <v>0</v>
      </c>
      <c r="AA336" s="50">
        <v>0.4</v>
      </c>
      <c r="AB336" s="42" t="str">
        <f>VLOOKUP(A336,VlookupSheet!$A$383:$A$523,1,0)</f>
        <v>#N/A</v>
      </c>
      <c r="AC336" s="87">
        <v>0.008</v>
      </c>
      <c r="AD336" s="42">
        <f t="shared" si="32"/>
        <v>2972038</v>
      </c>
      <c r="AE336" s="42">
        <f t="shared" si="33"/>
        <v>20000</v>
      </c>
      <c r="AF336" s="123">
        <f t="shared" si="34"/>
        <v>0</v>
      </c>
    </row>
    <row r="337">
      <c r="A337" s="11" t="s">
        <v>411</v>
      </c>
      <c r="B337" s="84" t="s">
        <v>2429</v>
      </c>
      <c r="C337" s="85"/>
      <c r="D337" s="11">
        <f t="shared" si="41"/>
        <v>1</v>
      </c>
      <c r="E337" s="11">
        <f t="shared" si="42"/>
        <v>60000</v>
      </c>
      <c r="F337" s="30" t="s">
        <v>311</v>
      </c>
      <c r="G337" s="11" t="s">
        <v>1550</v>
      </c>
      <c r="H337" s="31">
        <v>60000.0</v>
      </c>
      <c r="I337" s="74" t="s">
        <v>325</v>
      </c>
      <c r="J337" s="25" t="s">
        <v>77</v>
      </c>
      <c r="K337" s="38">
        <f t="shared" si="17"/>
        <v>1</v>
      </c>
      <c r="L337" s="18" t="s">
        <v>910</v>
      </c>
      <c r="M337" s="18" t="s">
        <v>736</v>
      </c>
      <c r="N337" s="74"/>
      <c r="O337" s="74"/>
      <c r="P337" s="74"/>
      <c r="Q337" s="42" t="str">
        <f>iferror(VLOOKUP(A337,'Positional cal'!A:H,1,0)=A337,"FALSE")</f>
        <v>FALSE</v>
      </c>
      <c r="R337" s="43" t="b">
        <f t="shared" si="3"/>
        <v>0</v>
      </c>
      <c r="S337" s="46">
        <f>IFERROR(VLOOKUP($A337,AlgoUi!$A:$X,21,0),"NA")</f>
        <v>12757446</v>
      </c>
      <c r="T337" s="46">
        <f>IFERROR(VLOOKUP($A337,AlgoUi!$A:$X,23,0),"")</f>
        <v>12000000</v>
      </c>
      <c r="U337" s="46">
        <f>IFERROR(VLOOKUP($A337,AlgoUi!$A:$X,24,0),"")</f>
        <v>120000</v>
      </c>
      <c r="V337" s="42" t="str">
        <f>IFERROR(__xludf.DUMMYFUNCTION("IFERROR(VLOOKUP(I337,IMPORTRANGE(""https://docs.google.com/spreadsheets/d/17FOIUYQAjPk1pPQIlvOgqYDBqwUqgb7KWzp4DtVksBk/edit?gid=0#gid=0"",""Servers!A:S""),19,FALSE), ""Not Running"")"),"PRACHI")</f>
        <v>PRACHI</v>
      </c>
      <c r="W337" s="47" t="str">
        <f>VLOOKUP($A337,Category!$A:$E,4,0)</f>
        <v>MS</v>
      </c>
      <c r="X337" s="47" t="str">
        <f>VLOOKUP($A337,Category!$A:$E,5,0)</f>
        <v>MSP</v>
      </c>
      <c r="Y337" s="18" t="str">
        <f>VLOOKUP(A337,PAcc!$A$1:$J$27,10,0)</f>
        <v>#N/A</v>
      </c>
      <c r="Z337" s="42" t="b">
        <f t="shared" si="4"/>
        <v>0</v>
      </c>
      <c r="AA337" s="50">
        <v>0.4</v>
      </c>
      <c r="AB337" s="42" t="str">
        <f>VLOOKUP(A337,VlookupSheet!$A$383:$A$523,1,0)</f>
        <v>#N/A</v>
      </c>
      <c r="AC337" s="87">
        <v>0.008</v>
      </c>
      <c r="AD337" s="42">
        <f t="shared" si="32"/>
        <v>5102978.4</v>
      </c>
      <c r="AE337" s="42">
        <f t="shared" si="33"/>
        <v>60000</v>
      </c>
      <c r="AF337" s="123">
        <f t="shared" si="34"/>
        <v>0</v>
      </c>
    </row>
    <row r="338">
      <c r="A338" s="30" t="s">
        <v>437</v>
      </c>
      <c r="B338" s="84" t="s">
        <v>3014</v>
      </c>
      <c r="C338" s="85"/>
      <c r="D338" s="11">
        <f t="shared" si="41"/>
        <v>1</v>
      </c>
      <c r="E338" s="11">
        <f t="shared" si="42"/>
        <v>40000</v>
      </c>
      <c r="F338" s="30" t="s">
        <v>311</v>
      </c>
      <c r="G338" s="11" t="s">
        <v>1100</v>
      </c>
      <c r="H338" s="31">
        <v>40000.0</v>
      </c>
      <c r="I338" s="74" t="s">
        <v>325</v>
      </c>
      <c r="J338" s="25" t="s">
        <v>77</v>
      </c>
      <c r="K338" s="38">
        <f t="shared" si="17"/>
        <v>1</v>
      </c>
      <c r="L338" s="18" t="s">
        <v>910</v>
      </c>
      <c r="M338" s="18" t="s">
        <v>736</v>
      </c>
      <c r="N338" s="74"/>
      <c r="O338" s="74"/>
      <c r="P338" s="74"/>
      <c r="Q338" s="42" t="str">
        <f>iferror(VLOOKUP(A338,'Positional cal'!A:H,1,0)=A338,"FALSE")</f>
        <v>FALSE</v>
      </c>
      <c r="R338" s="43" t="b">
        <f t="shared" si="3"/>
        <v>0</v>
      </c>
      <c r="S338" s="46">
        <f>IFERROR(VLOOKUP($A338,AlgoUi!$A:$X,21,0),"NA")</f>
        <v>9763738</v>
      </c>
      <c r="T338" s="46">
        <f>IFERROR(VLOOKUP($A338,AlgoUi!$A:$X,23,0),"")</f>
        <v>10000000</v>
      </c>
      <c r="U338" s="46">
        <f>IFERROR(VLOOKUP($A338,AlgoUi!$A:$X,24,0),"")</f>
        <v>100000</v>
      </c>
      <c r="V338" s="42" t="str">
        <f>IFERROR(__xludf.DUMMYFUNCTION("IFERROR(VLOOKUP(I338,IMPORTRANGE(""https://docs.google.com/spreadsheets/d/17FOIUYQAjPk1pPQIlvOgqYDBqwUqgb7KWzp4DtVksBk/edit?gid=0#gid=0"",""Servers!A:S""),19,FALSE), ""Not Running"")"),"PRACHI")</f>
        <v>PRACHI</v>
      </c>
      <c r="W338" s="47" t="str">
        <f>VLOOKUP($A338,Category!$A:$E,4,0)</f>
        <v>MS</v>
      </c>
      <c r="X338" s="47" t="str">
        <f>VLOOKUP($A338,Category!$A:$E,5,0)</f>
        <v>MSR</v>
      </c>
      <c r="Y338" s="18" t="str">
        <f>VLOOKUP(A338,PAcc!$A$1:$J$27,10,0)</f>
        <v>#N/A</v>
      </c>
      <c r="Z338" s="42" t="b">
        <f t="shared" si="4"/>
        <v>0</v>
      </c>
      <c r="AA338" s="50">
        <v>0.4</v>
      </c>
      <c r="AB338" s="42" t="str">
        <f>VLOOKUP(A338,VlookupSheet!$A$383:$A$523,1,0)</f>
        <v>#N/A</v>
      </c>
      <c r="AC338" s="87">
        <v>0.008</v>
      </c>
      <c r="AD338" s="42">
        <f t="shared" si="32"/>
        <v>3905495.2</v>
      </c>
      <c r="AE338" s="42">
        <f t="shared" si="33"/>
        <v>40000</v>
      </c>
      <c r="AF338" s="123">
        <f t="shared" si="34"/>
        <v>0</v>
      </c>
    </row>
    <row r="339">
      <c r="A339" s="30" t="s">
        <v>496</v>
      </c>
      <c r="B339" s="84" t="s">
        <v>1841</v>
      </c>
      <c r="C339" s="85"/>
      <c r="D339" s="11">
        <f t="shared" si="41"/>
        <v>1</v>
      </c>
      <c r="E339" s="11">
        <f t="shared" si="42"/>
        <v>60000</v>
      </c>
      <c r="F339" s="30" t="s">
        <v>311</v>
      </c>
      <c r="G339" s="11" t="s">
        <v>1550</v>
      </c>
      <c r="H339" s="31">
        <v>60000.0</v>
      </c>
      <c r="I339" s="74" t="s">
        <v>325</v>
      </c>
      <c r="J339" s="25" t="s">
        <v>77</v>
      </c>
      <c r="K339" s="38">
        <f t="shared" si="17"/>
        <v>1</v>
      </c>
      <c r="L339" s="18" t="s">
        <v>910</v>
      </c>
      <c r="M339" s="18" t="s">
        <v>736</v>
      </c>
      <c r="N339" s="74"/>
      <c r="O339" s="74"/>
      <c r="P339" s="74"/>
      <c r="Q339" s="42" t="str">
        <f>iferror(VLOOKUP(A339,'Positional cal'!A:H,1,0)=A339,"FALSE")</f>
        <v>FALSE</v>
      </c>
      <c r="R339" s="43" t="b">
        <f t="shared" si="3"/>
        <v>0</v>
      </c>
      <c r="S339" s="46">
        <f>IFERROR(VLOOKUP($A339,AlgoUi!$A:$X,21,0),"NA")</f>
        <v>15281007</v>
      </c>
      <c r="T339" s="46">
        <f>IFERROR(VLOOKUP($A339,AlgoUi!$A:$X,23,0),"")</f>
        <v>16000000</v>
      </c>
      <c r="U339" s="46">
        <f>IFERROR(VLOOKUP($A339,AlgoUi!$A:$X,24,0),"")</f>
        <v>160000</v>
      </c>
      <c r="V339" s="42" t="str">
        <f>IFERROR(__xludf.DUMMYFUNCTION("IFERROR(VLOOKUP(I339,IMPORTRANGE(""https://docs.google.com/spreadsheets/d/17FOIUYQAjPk1pPQIlvOgqYDBqwUqgb7KWzp4DtVksBk/edit?gid=0#gid=0"",""Servers!A:S""),19,FALSE), ""Not Running"")"),"PRACHI")</f>
        <v>PRACHI</v>
      </c>
      <c r="W339" s="47" t="str">
        <f>VLOOKUP($A339,Category!$A:$E,4,0)</f>
        <v>MS</v>
      </c>
      <c r="X339" s="47" t="str">
        <f>VLOOKUP($A339,Category!$A:$E,5,0)</f>
        <v>MSP</v>
      </c>
      <c r="Y339" s="18" t="str">
        <f>VLOOKUP(A339,PAcc!$A$1:$J$27,10,0)</f>
        <v>#N/A</v>
      </c>
      <c r="Z339" s="42" t="b">
        <f t="shared" si="4"/>
        <v>0</v>
      </c>
      <c r="AA339" s="50">
        <v>0.4</v>
      </c>
      <c r="AB339" s="42" t="str">
        <f>VLOOKUP(A339,VlookupSheet!$A$383:$A$523,1,0)</f>
        <v>#N/A</v>
      </c>
      <c r="AC339" s="87">
        <v>0.008</v>
      </c>
      <c r="AD339" s="42">
        <f t="shared" si="32"/>
        <v>6112402.8</v>
      </c>
      <c r="AE339" s="42">
        <f t="shared" si="33"/>
        <v>60000</v>
      </c>
      <c r="AF339" s="123">
        <f t="shared" si="34"/>
        <v>0</v>
      </c>
    </row>
    <row r="340">
      <c r="A340" s="11" t="s">
        <v>392</v>
      </c>
      <c r="B340" s="84" t="s">
        <v>3040</v>
      </c>
      <c r="C340" s="85"/>
      <c r="D340" s="11">
        <f t="shared" si="41"/>
        <v>1</v>
      </c>
      <c r="E340" s="11">
        <f t="shared" si="42"/>
        <v>40000</v>
      </c>
      <c r="F340" s="30" t="s">
        <v>311</v>
      </c>
      <c r="G340" s="11" t="s">
        <v>1100</v>
      </c>
      <c r="H340" s="31">
        <v>40000.0</v>
      </c>
      <c r="I340" s="74" t="s">
        <v>325</v>
      </c>
      <c r="J340" s="25" t="s">
        <v>77</v>
      </c>
      <c r="K340" s="38">
        <f t="shared" si="17"/>
        <v>1</v>
      </c>
      <c r="L340" s="18" t="s">
        <v>910</v>
      </c>
      <c r="M340" s="18" t="s">
        <v>736</v>
      </c>
      <c r="N340" s="74"/>
      <c r="O340" s="74"/>
      <c r="P340" s="74"/>
      <c r="Q340" s="42" t="str">
        <f>iferror(VLOOKUP(A340,'Positional cal'!A:H,1,0)=A340,"FALSE")</f>
        <v>FALSE</v>
      </c>
      <c r="R340" s="43" t="b">
        <f t="shared" si="3"/>
        <v>0</v>
      </c>
      <c r="S340" s="46">
        <f>IFERROR(VLOOKUP($A340,AlgoUi!$A:$X,21,0),"NA")</f>
        <v>11642741</v>
      </c>
      <c r="T340" s="46">
        <f>IFERROR(VLOOKUP($A340,AlgoUi!$A:$X,23,0),"")</f>
        <v>12000000</v>
      </c>
      <c r="U340" s="46">
        <f>IFERROR(VLOOKUP($A340,AlgoUi!$A:$X,24,0),"")</f>
        <v>120000</v>
      </c>
      <c r="V340" s="42" t="str">
        <f>IFERROR(__xludf.DUMMYFUNCTION("IFERROR(VLOOKUP(I340,IMPORTRANGE(""https://docs.google.com/spreadsheets/d/17FOIUYQAjPk1pPQIlvOgqYDBqwUqgb7KWzp4DtVksBk/edit?gid=0#gid=0"",""Servers!A:S""),19,FALSE), ""Not Running"")"),"PRACHI")</f>
        <v>PRACHI</v>
      </c>
      <c r="W340" s="47" t="str">
        <f>VLOOKUP($A340,Category!$A:$E,4,0)</f>
        <v>MS</v>
      </c>
      <c r="X340" s="47" t="str">
        <f>VLOOKUP($A340,Category!$A:$E,5,0)</f>
        <v>MSR</v>
      </c>
      <c r="Y340" s="18" t="str">
        <f>VLOOKUP(A340,PAcc!$A$1:$J$27,10,0)</f>
        <v>#N/A</v>
      </c>
      <c r="Z340" s="42" t="b">
        <f t="shared" si="4"/>
        <v>0</v>
      </c>
      <c r="AA340" s="50">
        <v>0.4</v>
      </c>
      <c r="AB340" s="42" t="str">
        <f>VLOOKUP(A340,VlookupSheet!$A$383:$A$523,1,0)</f>
        <v>#N/A</v>
      </c>
      <c r="AC340" s="87">
        <v>0.008</v>
      </c>
      <c r="AD340" s="42">
        <f t="shared" si="32"/>
        <v>4657096.4</v>
      </c>
      <c r="AE340" s="42">
        <f t="shared" si="33"/>
        <v>40000</v>
      </c>
      <c r="AF340" s="123">
        <f t="shared" si="34"/>
        <v>0</v>
      </c>
    </row>
    <row r="341">
      <c r="A341" s="30" t="s">
        <v>404</v>
      </c>
      <c r="B341" s="84" t="s">
        <v>3066</v>
      </c>
      <c r="C341" s="85"/>
      <c r="D341" s="11">
        <f t="shared" si="41"/>
        <v>1</v>
      </c>
      <c r="E341" s="11">
        <f t="shared" si="42"/>
        <v>40000</v>
      </c>
      <c r="F341" s="30" t="s">
        <v>311</v>
      </c>
      <c r="G341" s="11" t="s">
        <v>1100</v>
      </c>
      <c r="H341" s="31">
        <v>40000.0</v>
      </c>
      <c r="I341" s="74" t="s">
        <v>325</v>
      </c>
      <c r="J341" s="25" t="s">
        <v>77</v>
      </c>
      <c r="K341" s="38">
        <f t="shared" si="17"/>
        <v>1</v>
      </c>
      <c r="L341" s="18" t="s">
        <v>910</v>
      </c>
      <c r="M341" s="18" t="s">
        <v>736</v>
      </c>
      <c r="N341" s="47"/>
      <c r="O341" s="47"/>
      <c r="P341" s="47"/>
      <c r="Q341" s="42" t="str">
        <f>iferror(VLOOKUP(A341,'Positional cal'!A:H,1,0)=A341,"FALSE")</f>
        <v>FALSE</v>
      </c>
      <c r="R341" s="43" t="b">
        <f t="shared" si="3"/>
        <v>0</v>
      </c>
      <c r="S341" s="46">
        <f>IFERROR(VLOOKUP($A341,AlgoUi!$A:$X,21,0),"NA")</f>
        <v>11796382</v>
      </c>
      <c r="T341" s="46">
        <f>IFERROR(VLOOKUP($A341,AlgoUi!$A:$X,23,0),"")</f>
        <v>12000000</v>
      </c>
      <c r="U341" s="46">
        <f>IFERROR(VLOOKUP($A341,AlgoUi!$A:$X,24,0),"")</f>
        <v>120000</v>
      </c>
      <c r="V341" s="42" t="str">
        <f>IFERROR(__xludf.DUMMYFUNCTION("IFERROR(VLOOKUP(I341,IMPORTRANGE(""https://docs.google.com/spreadsheets/d/17FOIUYQAjPk1pPQIlvOgqYDBqwUqgb7KWzp4DtVksBk/edit?gid=0#gid=0"",""Servers!A:S""),19,FALSE), ""Not Running"")"),"PRACHI")</f>
        <v>PRACHI</v>
      </c>
      <c r="W341" s="47" t="str">
        <f>VLOOKUP($A341,Category!$A:$E,4,0)</f>
        <v>MS</v>
      </c>
      <c r="X341" s="47" t="str">
        <f>VLOOKUP($A341,Category!$A:$E,5,0)</f>
        <v>MSN</v>
      </c>
      <c r="Y341" s="18" t="str">
        <f>VLOOKUP(A341,PAcc!$A$1:$J$27,10,0)</f>
        <v>#N/A</v>
      </c>
      <c r="Z341" s="42" t="b">
        <f t="shared" si="4"/>
        <v>0</v>
      </c>
      <c r="AA341" s="50">
        <v>0.4</v>
      </c>
      <c r="AB341" s="42" t="str">
        <f>VLOOKUP(A341,VlookupSheet!$A$383:$A$523,1,0)</f>
        <v>#N/A</v>
      </c>
      <c r="AC341" s="87">
        <v>0.008</v>
      </c>
      <c r="AD341" s="42">
        <f t="shared" si="32"/>
        <v>4718552.8</v>
      </c>
      <c r="AE341" s="42">
        <f t="shared" si="33"/>
        <v>40000</v>
      </c>
      <c r="AF341" s="123">
        <f t="shared" si="34"/>
        <v>0</v>
      </c>
    </row>
    <row r="342">
      <c r="A342" s="84" t="s">
        <v>415</v>
      </c>
      <c r="B342" s="84" t="s">
        <v>2684</v>
      </c>
      <c r="C342" s="85"/>
      <c r="D342" s="11">
        <f t="shared" si="41"/>
        <v>1</v>
      </c>
      <c r="E342" s="11">
        <f t="shared" si="42"/>
        <v>40000</v>
      </c>
      <c r="F342" s="30" t="s">
        <v>311</v>
      </c>
      <c r="G342" s="11" t="s">
        <v>1100</v>
      </c>
      <c r="H342" s="31">
        <v>40000.0</v>
      </c>
      <c r="I342" s="74" t="s">
        <v>325</v>
      </c>
      <c r="J342" s="25" t="s">
        <v>77</v>
      </c>
      <c r="K342" s="38">
        <f t="shared" si="17"/>
        <v>1</v>
      </c>
      <c r="L342" s="18" t="s">
        <v>910</v>
      </c>
      <c r="M342" s="18" t="s">
        <v>736</v>
      </c>
      <c r="N342" s="74"/>
      <c r="O342" s="74"/>
      <c r="P342" s="74"/>
      <c r="Q342" s="42" t="str">
        <f>iferror(VLOOKUP(A342,'Positional cal'!A:H,1,0)=A342,"FALSE")</f>
        <v>FALSE</v>
      </c>
      <c r="R342" s="43" t="b">
        <f t="shared" si="3"/>
        <v>0</v>
      </c>
      <c r="S342" s="46">
        <f>IFERROR(VLOOKUP($A342,AlgoUi!$A:$X,21,0),"NA")</f>
        <v>11213986</v>
      </c>
      <c r="T342" s="46">
        <f>IFERROR(VLOOKUP($A342,AlgoUi!$A:$X,23,0),"")</f>
        <v>12000000</v>
      </c>
      <c r="U342" s="46">
        <f>IFERROR(VLOOKUP($A342,AlgoUi!$A:$X,24,0),"")</f>
        <v>120000</v>
      </c>
      <c r="V342" s="42" t="str">
        <f>IFERROR(__xludf.DUMMYFUNCTION("IFERROR(VLOOKUP(I342,IMPORTRANGE(""https://docs.google.com/spreadsheets/d/17FOIUYQAjPk1pPQIlvOgqYDBqwUqgb7KWzp4DtVksBk/edit?gid=0#gid=0"",""Servers!A:S""),19,FALSE), ""Not Running"")"),"PRACHI")</f>
        <v>PRACHI</v>
      </c>
      <c r="W342" s="47" t="str">
        <f>VLOOKUP($A342,Category!$A:$E,4,0)</f>
        <v>MS</v>
      </c>
      <c r="X342" s="47" t="str">
        <f>VLOOKUP($A342,Category!$A:$E,5,0)</f>
        <v>MSR</v>
      </c>
      <c r="Y342" s="18" t="str">
        <f>VLOOKUP(A342,PAcc!$A$1:$J$27,10,0)</f>
        <v>#N/A</v>
      </c>
      <c r="Z342" s="42" t="b">
        <f t="shared" si="4"/>
        <v>0</v>
      </c>
      <c r="AA342" s="50">
        <v>0.4</v>
      </c>
      <c r="AB342" s="42" t="str">
        <f>VLOOKUP(A342,VlookupSheet!$A$383:$A$523,1,0)</f>
        <v>#N/A</v>
      </c>
      <c r="AC342" s="122">
        <v>0.8</v>
      </c>
      <c r="AD342" s="42">
        <f t="shared" si="32"/>
        <v>4485594.4</v>
      </c>
      <c r="AE342" s="42">
        <f t="shared" si="33"/>
        <v>40000</v>
      </c>
      <c r="AF342" s="123">
        <f t="shared" si="34"/>
        <v>0</v>
      </c>
    </row>
    <row r="343">
      <c r="A343" s="30" t="s">
        <v>460</v>
      </c>
      <c r="B343" s="84" t="s">
        <v>3110</v>
      </c>
      <c r="D343" s="11">
        <f t="shared" si="41"/>
        <v>1</v>
      </c>
      <c r="E343" s="11">
        <f t="shared" si="42"/>
        <v>40000</v>
      </c>
      <c r="F343" s="30" t="s">
        <v>311</v>
      </c>
      <c r="G343" s="11" t="s">
        <v>1100</v>
      </c>
      <c r="H343" s="31">
        <v>40000.0</v>
      </c>
      <c r="I343" s="74" t="s">
        <v>325</v>
      </c>
      <c r="J343" s="25" t="s">
        <v>77</v>
      </c>
      <c r="K343" s="38">
        <f t="shared" si="17"/>
        <v>1</v>
      </c>
      <c r="L343" s="18" t="s">
        <v>910</v>
      </c>
      <c r="M343" s="18" t="s">
        <v>736</v>
      </c>
      <c r="Q343" s="42" t="str">
        <f>iferror(VLOOKUP(A343,'Positional cal'!A:H,1,0)=A343,"FALSE")</f>
        <v>FALSE</v>
      </c>
      <c r="R343" s="43" t="b">
        <f t="shared" si="3"/>
        <v>0</v>
      </c>
      <c r="S343" s="46">
        <f>IFERROR(VLOOKUP($A343,AlgoUi!$A:$X,21,0),"NA")</f>
        <v>12196093</v>
      </c>
      <c r="T343" s="46">
        <f>IFERROR(VLOOKUP($A343,AlgoUi!$A:$X,23,0),"")</f>
        <v>12000000</v>
      </c>
      <c r="U343" s="46">
        <f>IFERROR(VLOOKUP($A343,AlgoUi!$A:$X,24,0),"")</f>
        <v>120000</v>
      </c>
      <c r="V343" s="42" t="str">
        <f>IFERROR(__xludf.DUMMYFUNCTION("IFERROR(VLOOKUP(I343,IMPORTRANGE(""https://docs.google.com/spreadsheets/d/17FOIUYQAjPk1pPQIlvOgqYDBqwUqgb7KWzp4DtVksBk/edit?gid=0#gid=0"",""Servers!A:S""),19,FALSE), ""Not Running"")"),"PRACHI")</f>
        <v>PRACHI</v>
      </c>
      <c r="W343" s="47" t="str">
        <f>VLOOKUP($A343,Category!$A:$E,4,0)</f>
        <v>MS</v>
      </c>
      <c r="X343" s="47" t="str">
        <f>VLOOKUP($A343,Category!$A:$E,5,0)</f>
        <v>MSP</v>
      </c>
      <c r="Y343" s="18" t="str">
        <f>VLOOKUP(A343,PAcc!$A$1:$J$27,10,0)</f>
        <v>#N/A</v>
      </c>
      <c r="Z343" s="42" t="b">
        <f t="shared" si="4"/>
        <v>0</v>
      </c>
      <c r="AA343" s="50">
        <v>0.4</v>
      </c>
      <c r="AB343" s="42" t="str">
        <f>VLOOKUP(A343,VlookupSheet!$A$383:$A$523,1,0)</f>
        <v>#N/A</v>
      </c>
      <c r="AC343" s="87">
        <v>0.008</v>
      </c>
      <c r="AD343" s="42">
        <f t="shared" si="32"/>
        <v>4878437.2</v>
      </c>
      <c r="AE343" s="42">
        <f t="shared" si="33"/>
        <v>40000</v>
      </c>
      <c r="AF343" s="123">
        <f t="shared" si="34"/>
        <v>0</v>
      </c>
    </row>
    <row r="344">
      <c r="A344" s="11" t="s">
        <v>473</v>
      </c>
      <c r="B344" s="84" t="s">
        <v>3097</v>
      </c>
      <c r="C344" s="30" t="s">
        <v>77</v>
      </c>
      <c r="D344" s="11">
        <f t="shared" si="41"/>
        <v>1</v>
      </c>
      <c r="E344" s="11">
        <f t="shared" si="42"/>
        <v>40000</v>
      </c>
      <c r="F344" s="30" t="s">
        <v>311</v>
      </c>
      <c r="G344" s="11" t="s">
        <v>1100</v>
      </c>
      <c r="H344" s="31">
        <v>40000.0</v>
      </c>
      <c r="I344" s="74" t="s">
        <v>325</v>
      </c>
      <c r="J344" s="25" t="s">
        <v>77</v>
      </c>
      <c r="K344" s="38">
        <f t="shared" si="17"/>
        <v>1</v>
      </c>
      <c r="L344" s="18" t="s">
        <v>910</v>
      </c>
      <c r="M344" s="18" t="s">
        <v>736</v>
      </c>
      <c r="N344" s="42"/>
      <c r="O344" s="42"/>
      <c r="P344" s="42"/>
      <c r="Q344" s="42" t="str">
        <f>iferror(VLOOKUP(A344,'Positional cal'!A:H,1,0)=A344,"FALSE")</f>
        <v>FALSE</v>
      </c>
      <c r="R344" s="43" t="b">
        <f t="shared" si="3"/>
        <v>0</v>
      </c>
      <c r="S344" s="46">
        <f>IFERROR(VLOOKUP($A344,AlgoUi!$A:$X,21,0),"NA")</f>
        <v>12202424</v>
      </c>
      <c r="T344" s="46">
        <f>IFERROR(VLOOKUP($A344,AlgoUi!$A:$X,23,0),"")</f>
        <v>12000000</v>
      </c>
      <c r="U344" s="46">
        <f>IFERROR(VLOOKUP($A344,AlgoUi!$A:$X,24,0),"")</f>
        <v>120000</v>
      </c>
      <c r="V344" s="42" t="str">
        <f>IFERROR(__xludf.DUMMYFUNCTION("IFERROR(VLOOKUP(I344,IMPORTRANGE(""https://docs.google.com/spreadsheets/d/17FOIUYQAjPk1pPQIlvOgqYDBqwUqgb7KWzp4DtVksBk/edit?gid=0#gid=0"",""Servers!A:S""),19,FALSE), ""Not Running"")"),"PRACHI")</f>
        <v>PRACHI</v>
      </c>
      <c r="W344" s="47" t="str">
        <f>VLOOKUP($A344,Category!$A:$E,4,0)</f>
        <v>MS</v>
      </c>
      <c r="X344" s="47" t="str">
        <f>VLOOKUP($A344,Category!$A:$E,5,0)</f>
        <v>MSP</v>
      </c>
      <c r="Y344" s="18" t="str">
        <f>VLOOKUP(A344,PAcc!$A$1:$J$27,10,0)</f>
        <v>#N/A</v>
      </c>
      <c r="Z344" s="42" t="b">
        <f t="shared" si="4"/>
        <v>0</v>
      </c>
      <c r="AA344" s="50">
        <v>0.4</v>
      </c>
      <c r="AB344" s="42" t="str">
        <f>VLOOKUP(A344,VlookupSheet!$A$383:$A$523,1,0)</f>
        <v>#N/A</v>
      </c>
      <c r="AC344" s="42"/>
      <c r="AD344" s="42">
        <f t="shared" si="32"/>
        <v>4880969.6</v>
      </c>
      <c r="AE344" s="42">
        <f t="shared" si="33"/>
        <v>40000</v>
      </c>
      <c r="AF344" s="123">
        <f t="shared" si="34"/>
        <v>0</v>
      </c>
    </row>
    <row r="345">
      <c r="A345" s="11" t="s">
        <v>383</v>
      </c>
      <c r="B345" s="84" t="s">
        <v>3062</v>
      </c>
      <c r="C345" s="11"/>
      <c r="D345" s="11">
        <f t="shared" si="41"/>
        <v>1</v>
      </c>
      <c r="E345" s="11">
        <f t="shared" si="42"/>
        <v>40000</v>
      </c>
      <c r="F345" s="30" t="s">
        <v>311</v>
      </c>
      <c r="G345" s="11" t="s">
        <v>1100</v>
      </c>
      <c r="H345" s="31">
        <v>40000.0</v>
      </c>
      <c r="I345" s="74" t="s">
        <v>325</v>
      </c>
      <c r="J345" s="25" t="s">
        <v>77</v>
      </c>
      <c r="K345" s="38">
        <f t="shared" si="17"/>
        <v>1</v>
      </c>
      <c r="L345" s="18" t="s">
        <v>910</v>
      </c>
      <c r="M345" s="18" t="s">
        <v>736</v>
      </c>
      <c r="N345" s="18"/>
      <c r="O345" s="18"/>
      <c r="P345" s="18"/>
      <c r="Q345" s="42" t="str">
        <f>iferror(VLOOKUP(A345,'Positional cal'!A:H,1,0)=A345,"FALSE")</f>
        <v>FALSE</v>
      </c>
      <c r="R345" s="43" t="b">
        <f t="shared" si="3"/>
        <v>0</v>
      </c>
      <c r="S345" s="46">
        <f>IFERROR(VLOOKUP($A345,AlgoUi!$A:$X,21,0),"NA")</f>
        <v>10581037</v>
      </c>
      <c r="T345" s="46">
        <f>IFERROR(VLOOKUP($A345,AlgoUi!$A:$X,23,0),"")</f>
        <v>10000000</v>
      </c>
      <c r="U345" s="46">
        <f>IFERROR(VLOOKUP($A345,AlgoUi!$A:$X,24,0),"")</f>
        <v>100000</v>
      </c>
      <c r="V345" s="42" t="str">
        <f>IFERROR(__xludf.DUMMYFUNCTION("IFERROR(VLOOKUP(I345,IMPORTRANGE(""https://docs.google.com/spreadsheets/d/17FOIUYQAjPk1pPQIlvOgqYDBqwUqgb7KWzp4DtVksBk/edit?gid=0#gid=0"",""Servers!A:S""),19,FALSE), ""Not Running"")"),"PRACHI")</f>
        <v>PRACHI</v>
      </c>
      <c r="W345" s="47" t="str">
        <f>VLOOKUP($A345,Category!$A:$E,4,0)</f>
        <v>MS</v>
      </c>
      <c r="X345" s="47" t="str">
        <f>VLOOKUP($A345,Category!$A:$E,5,0)</f>
        <v>MSN</v>
      </c>
      <c r="Y345" s="18" t="str">
        <f>VLOOKUP(A345,PAcc!$A$1:$J$27,10,0)</f>
        <v>#N/A</v>
      </c>
      <c r="Z345" s="42" t="b">
        <f t="shared" si="4"/>
        <v>0</v>
      </c>
      <c r="AA345" s="50">
        <v>0.4</v>
      </c>
      <c r="AB345" s="42" t="str">
        <f>VLOOKUP(A345,VlookupSheet!$A$383:$A$523,1,0)</f>
        <v>#N/A</v>
      </c>
      <c r="AC345" s="50">
        <v>0.01</v>
      </c>
      <c r="AD345" s="42">
        <f t="shared" si="32"/>
        <v>4232414.8</v>
      </c>
      <c r="AE345" s="42">
        <f t="shared" si="33"/>
        <v>40000</v>
      </c>
      <c r="AF345" s="123">
        <f t="shared" si="34"/>
        <v>0</v>
      </c>
    </row>
    <row r="346">
      <c r="A346" s="30" t="s">
        <v>356</v>
      </c>
      <c r="B346" s="84" t="s">
        <v>1633</v>
      </c>
      <c r="C346" s="85"/>
      <c r="D346" s="11">
        <f t="shared" si="41"/>
        <v>1</v>
      </c>
      <c r="E346" s="11">
        <f t="shared" si="42"/>
        <v>40000</v>
      </c>
      <c r="F346" s="30" t="s">
        <v>311</v>
      </c>
      <c r="G346" s="11" t="s">
        <v>1100</v>
      </c>
      <c r="H346" s="31">
        <v>40000.0</v>
      </c>
      <c r="I346" s="74" t="s">
        <v>325</v>
      </c>
      <c r="J346" s="25" t="s">
        <v>77</v>
      </c>
      <c r="K346" s="38">
        <f t="shared" si="17"/>
        <v>1</v>
      </c>
      <c r="L346" s="18" t="s">
        <v>910</v>
      </c>
      <c r="M346" s="18" t="s">
        <v>736</v>
      </c>
      <c r="N346" s="74"/>
      <c r="O346" s="74"/>
      <c r="P346" s="74"/>
      <c r="Q346" s="42" t="str">
        <f>iferror(VLOOKUP(A346,'Positional cal'!A:H,1,0)=A346,"FALSE")</f>
        <v>FALSE</v>
      </c>
      <c r="R346" s="43" t="b">
        <f t="shared" si="3"/>
        <v>0</v>
      </c>
      <c r="S346" s="46">
        <f>IFERROR(VLOOKUP($A346,AlgoUi!$A:$X,21,0),"NA")</f>
        <v>11066961</v>
      </c>
      <c r="T346" s="46">
        <f>IFERROR(VLOOKUP($A346,AlgoUi!$A:$X,23,0),"")</f>
        <v>12000000</v>
      </c>
      <c r="U346" s="46">
        <f>IFERROR(VLOOKUP($A346,AlgoUi!$A:$X,24,0),"")</f>
        <v>120000</v>
      </c>
      <c r="V346" s="42" t="str">
        <f>IFERROR(__xludf.DUMMYFUNCTION("IFERROR(VLOOKUP(I346,IMPORTRANGE(""https://docs.google.com/spreadsheets/d/17FOIUYQAjPk1pPQIlvOgqYDBqwUqgb7KWzp4DtVksBk/edit?gid=0#gid=0"",""Servers!A:S""),19,FALSE), ""Not Running"")"),"PRACHI")</f>
        <v>PRACHI</v>
      </c>
      <c r="W346" s="47" t="str">
        <f>VLOOKUP($A346,Category!$A:$E,4,0)</f>
        <v>MS</v>
      </c>
      <c r="X346" s="47" t="str">
        <f>VLOOKUP($A346,Category!$A:$E,5,0)</f>
        <v>MSR</v>
      </c>
      <c r="Y346" s="18" t="str">
        <f>VLOOKUP(A346,PAcc!$A$1:$J$27,10,0)</f>
        <v>#N/A</v>
      </c>
      <c r="Z346" s="42" t="b">
        <f t="shared" si="4"/>
        <v>0</v>
      </c>
      <c r="AA346" s="50">
        <v>0.4</v>
      </c>
      <c r="AB346" s="42" t="str">
        <f>VLOOKUP(A346,VlookupSheet!$A$383:$A$523,1,0)</f>
        <v>#N/A</v>
      </c>
      <c r="AC346" s="50">
        <v>0.01</v>
      </c>
      <c r="AD346" s="42">
        <f t="shared" si="32"/>
        <v>4426784.4</v>
      </c>
      <c r="AE346" s="42">
        <f t="shared" si="33"/>
        <v>40000</v>
      </c>
      <c r="AF346" s="123">
        <f t="shared" si="34"/>
        <v>0</v>
      </c>
    </row>
    <row r="347">
      <c r="A347" s="11" t="s">
        <v>2789</v>
      </c>
      <c r="B347" s="24" t="s">
        <v>2790</v>
      </c>
      <c r="C347" s="25"/>
      <c r="D347" s="11">
        <f t="shared" si="41"/>
        <v>1</v>
      </c>
      <c r="E347" s="11">
        <f t="shared" si="42"/>
        <v>40000</v>
      </c>
      <c r="F347" s="30" t="s">
        <v>311</v>
      </c>
      <c r="G347" s="11" t="s">
        <v>1100</v>
      </c>
      <c r="H347" s="31">
        <v>40000.0</v>
      </c>
      <c r="I347" s="74" t="s">
        <v>325</v>
      </c>
      <c r="J347" s="25" t="s">
        <v>77</v>
      </c>
      <c r="K347" s="38">
        <f t="shared" si="17"/>
        <v>1</v>
      </c>
      <c r="L347" s="18" t="s">
        <v>910</v>
      </c>
      <c r="M347" s="18" t="s">
        <v>736</v>
      </c>
      <c r="N347" s="42"/>
      <c r="O347" s="42"/>
      <c r="P347" s="42"/>
      <c r="Q347" s="42" t="str">
        <f>iferror(VLOOKUP(A347,'Positional cal'!A:H,1,0)=A347,"FALSE")</f>
        <v>FALSE</v>
      </c>
      <c r="R347" s="43" t="b">
        <f t="shared" si="3"/>
        <v>0</v>
      </c>
      <c r="S347" s="46">
        <f>IFERROR(VLOOKUP($A347,AlgoUi!$A:$X,21,0),"NA")</f>
        <v>11629203</v>
      </c>
      <c r="T347" s="46">
        <f>IFERROR(VLOOKUP($A347,AlgoUi!$A:$X,23,0),"")</f>
        <v>12000000</v>
      </c>
      <c r="U347" s="46">
        <f>IFERROR(VLOOKUP($A347,AlgoUi!$A:$X,24,0),"")</f>
        <v>120000</v>
      </c>
      <c r="V347" s="42" t="str">
        <f>IFERROR(__xludf.DUMMYFUNCTION("IFERROR(VLOOKUP(I347,IMPORTRANGE(""https://docs.google.com/spreadsheets/d/17FOIUYQAjPk1pPQIlvOgqYDBqwUqgb7KWzp4DtVksBk/edit?gid=0#gid=0"",""Servers!A:S""),19,FALSE), ""Not Running"")"),"PRACHI")</f>
        <v>PRACHI</v>
      </c>
      <c r="W347" s="47" t="str">
        <f>VLOOKUP($A347,Category!$A:$E,4,0)</f>
        <v>MS</v>
      </c>
      <c r="X347" s="47" t="str">
        <f>VLOOKUP($A347,Category!$A:$E,5,0)</f>
        <v>MSR</v>
      </c>
      <c r="Y347" s="18" t="str">
        <f>VLOOKUP(A347,PAcc!$A$1:$J$27,10,0)</f>
        <v>#N/A</v>
      </c>
      <c r="Z347" s="42" t="b">
        <f t="shared" si="4"/>
        <v>0</v>
      </c>
      <c r="AA347" s="50">
        <v>0.4</v>
      </c>
      <c r="AB347" s="42" t="str">
        <f>VLOOKUP(A347,VlookupSheet!$A$383:$A$523,1,0)</f>
        <v>#N/A</v>
      </c>
      <c r="AC347" s="50">
        <v>0.01</v>
      </c>
      <c r="AD347" s="42">
        <f t="shared" si="32"/>
        <v>4651681.2</v>
      </c>
      <c r="AE347" s="42">
        <f t="shared" si="33"/>
        <v>40000</v>
      </c>
      <c r="AF347" s="123">
        <f t="shared" si="34"/>
        <v>0</v>
      </c>
    </row>
    <row r="348">
      <c r="A348" s="11" t="s">
        <v>493</v>
      </c>
      <c r="B348" s="84" t="s">
        <v>3104</v>
      </c>
      <c r="C348" s="25"/>
      <c r="D348" s="11">
        <f t="shared" si="41"/>
        <v>1</v>
      </c>
      <c r="E348" s="11">
        <f t="shared" si="42"/>
        <v>40000</v>
      </c>
      <c r="F348" s="30" t="s">
        <v>965</v>
      </c>
      <c r="G348" s="11" t="s">
        <v>1100</v>
      </c>
      <c r="H348" s="31">
        <v>40000.0</v>
      </c>
      <c r="I348" s="34" t="s">
        <v>413</v>
      </c>
      <c r="J348" s="11" t="s">
        <v>77</v>
      </c>
      <c r="K348" s="38">
        <f t="shared" si="17"/>
        <v>1</v>
      </c>
      <c r="L348" s="18" t="s">
        <v>910</v>
      </c>
      <c r="M348" s="18" t="s">
        <v>736</v>
      </c>
      <c r="N348" s="42"/>
      <c r="O348" s="42"/>
      <c r="P348" s="42"/>
      <c r="Q348" s="42" t="str">
        <f>iferror(VLOOKUP(A348,'Positional cal'!A:H,1,0)=A348,"FALSE")</f>
        <v>FALSE</v>
      </c>
      <c r="R348" s="43" t="b">
        <f t="shared" si="3"/>
        <v>0</v>
      </c>
      <c r="S348" s="46">
        <f>IFERROR(VLOOKUP($A348,AlgoUi!$A:$X,21,0),"NA")</f>
        <v>10292307</v>
      </c>
      <c r="T348" s="46">
        <f>IFERROR(VLOOKUP($A348,AlgoUi!$A:$X,23,0),"")</f>
        <v>10000000</v>
      </c>
      <c r="U348" s="46">
        <f>IFERROR(VLOOKUP($A348,AlgoUi!$A:$X,24,0),"")</f>
        <v>100000</v>
      </c>
      <c r="V348" s="42" t="str">
        <f>IFERROR(__xludf.DUMMYFUNCTION("IFERROR(VLOOKUP(I348,IMPORTRANGE(""https://docs.google.com/spreadsheets/d/17FOIUYQAjPk1pPQIlvOgqYDBqwUqgb7KWzp4DtVksBk/edit?gid=0#gid=0"",""Servers!A:S""),19,FALSE), ""Not Running"")"),"VIKASA")</f>
        <v>VIKASA</v>
      </c>
      <c r="W348" s="47" t="str">
        <f>VLOOKUP($A348,Category!$A:$E,4,0)</f>
        <v>MS</v>
      </c>
      <c r="X348" s="47" t="str">
        <f>VLOOKUP($A348,Category!$A:$E,5,0)</f>
        <v>MSR</v>
      </c>
      <c r="Y348" s="18" t="str">
        <f>VLOOKUP(A348,PAcc!$A$1:$J$27,10,0)</f>
        <v>#N/A</v>
      </c>
      <c r="Z348" s="42" t="b">
        <f t="shared" si="4"/>
        <v>0</v>
      </c>
      <c r="AA348" s="50">
        <v>0.4</v>
      </c>
      <c r="AB348" s="42" t="str">
        <f>VLOOKUP(A348,VlookupSheet!$A$383:$A$523,1,0)</f>
        <v>#N/A</v>
      </c>
      <c r="AC348" s="50">
        <v>0.01</v>
      </c>
      <c r="AD348" s="42">
        <f t="shared" si="32"/>
        <v>4116922.8</v>
      </c>
      <c r="AE348" s="42">
        <f t="shared" si="33"/>
        <v>40000</v>
      </c>
      <c r="AF348" s="123">
        <f t="shared" si="34"/>
        <v>0</v>
      </c>
    </row>
    <row r="349">
      <c r="A349" s="30" t="s">
        <v>461</v>
      </c>
      <c r="B349" s="84" t="s">
        <v>1886</v>
      </c>
      <c r="C349" s="30" t="s">
        <v>320</v>
      </c>
      <c r="D349" s="11">
        <f t="shared" si="41"/>
        <v>1</v>
      </c>
      <c r="E349" s="11">
        <f t="shared" si="42"/>
        <v>40000</v>
      </c>
      <c r="F349" s="30" t="s">
        <v>311</v>
      </c>
      <c r="G349" s="31">
        <v>40000.0</v>
      </c>
      <c r="H349" s="31">
        <v>40000.0</v>
      </c>
      <c r="I349" s="74" t="s">
        <v>413</v>
      </c>
      <c r="J349" s="25" t="s">
        <v>77</v>
      </c>
      <c r="K349" s="38">
        <f t="shared" si="17"/>
        <v>1</v>
      </c>
      <c r="L349" s="18" t="s">
        <v>910</v>
      </c>
      <c r="M349" s="18" t="s">
        <v>736</v>
      </c>
      <c r="N349" s="74"/>
      <c r="O349" s="74"/>
      <c r="P349" s="74"/>
      <c r="Q349" s="42" t="str">
        <f>iferror(VLOOKUP(A349,'Positional cal'!A:H,1,0)=A349,"FALSE")</f>
        <v>FALSE</v>
      </c>
      <c r="R349" s="43" t="b">
        <f t="shared" si="3"/>
        <v>0</v>
      </c>
      <c r="S349" s="46">
        <f>IFERROR(VLOOKUP($A349,AlgoUi!$A:$X,21,0),"NA")</f>
        <v>11334813</v>
      </c>
      <c r="T349" s="46">
        <f>IFERROR(VLOOKUP($A349,AlgoUi!$A:$X,23,0),"")</f>
        <v>12000000</v>
      </c>
      <c r="U349" s="46">
        <f>IFERROR(VLOOKUP($A349,AlgoUi!$A:$X,24,0),"")</f>
        <v>120000</v>
      </c>
      <c r="V349" s="42" t="str">
        <f>IFERROR(__xludf.DUMMYFUNCTION("IFERROR(VLOOKUP(I349,IMPORTRANGE(""https://docs.google.com/spreadsheets/d/17FOIUYQAjPk1pPQIlvOgqYDBqwUqgb7KWzp4DtVksBk/edit?gid=0#gid=0"",""Servers!A:S""),19,FALSE), ""Not Running"")"),"VIKASA")</f>
        <v>VIKASA</v>
      </c>
      <c r="W349" s="47" t="str">
        <f>VLOOKUP($A349,Category!$A:$E,4,0)</f>
        <v>MS</v>
      </c>
      <c r="X349" s="47" t="str">
        <f>VLOOKUP($A349,Category!$A:$E,5,0)</f>
        <v>MSR</v>
      </c>
      <c r="Y349" s="18" t="str">
        <f>VLOOKUP(A349,PAcc!$A$1:$J$27,10,0)</f>
        <v>#N/A</v>
      </c>
      <c r="Z349" s="42" t="b">
        <f t="shared" si="4"/>
        <v>0</v>
      </c>
      <c r="AA349" s="50">
        <v>0.4</v>
      </c>
      <c r="AB349" s="42" t="str">
        <f>VLOOKUP(A349,VlookupSheet!$A$383:$A$523,1,0)</f>
        <v>#N/A</v>
      </c>
      <c r="AC349" s="50">
        <v>0.01</v>
      </c>
      <c r="AD349" s="42">
        <f t="shared" si="32"/>
        <v>4533925.2</v>
      </c>
      <c r="AE349" s="42">
        <f t="shared" si="33"/>
        <v>40000</v>
      </c>
      <c r="AF349" s="123">
        <f t="shared" si="34"/>
        <v>0</v>
      </c>
    </row>
    <row r="350">
      <c r="A350" s="11" t="s">
        <v>541</v>
      </c>
      <c r="B350" s="84" t="s">
        <v>3070</v>
      </c>
      <c r="C350" s="25"/>
      <c r="D350" s="11">
        <f t="shared" si="41"/>
        <v>1</v>
      </c>
      <c r="E350" s="11">
        <f t="shared" si="42"/>
        <v>40000</v>
      </c>
      <c r="F350" s="30" t="s">
        <v>311</v>
      </c>
      <c r="G350" s="11" t="s">
        <v>1100</v>
      </c>
      <c r="H350" s="31">
        <v>40000.0</v>
      </c>
      <c r="I350" s="74" t="s">
        <v>413</v>
      </c>
      <c r="J350" s="25" t="s">
        <v>77</v>
      </c>
      <c r="K350" s="38">
        <f t="shared" si="17"/>
        <v>1</v>
      </c>
      <c r="L350" s="18" t="s">
        <v>910</v>
      </c>
      <c r="M350" s="18" t="s">
        <v>736</v>
      </c>
      <c r="N350" s="42"/>
      <c r="O350" s="42"/>
      <c r="P350" s="42"/>
      <c r="Q350" s="42" t="str">
        <f>iferror(VLOOKUP(A350,'Positional cal'!A:H,1,0)=A350,"FALSE")</f>
        <v>FALSE</v>
      </c>
      <c r="R350" s="43" t="b">
        <f t="shared" si="3"/>
        <v>0</v>
      </c>
      <c r="S350" s="46">
        <f>IFERROR(VLOOKUP($A350,AlgoUi!$A:$X,21,0),"NA")</f>
        <v>12162182</v>
      </c>
      <c r="T350" s="46">
        <f>IFERROR(VLOOKUP($A350,AlgoUi!$A:$X,23,0),"")</f>
        <v>12000000</v>
      </c>
      <c r="U350" s="46">
        <f>IFERROR(VLOOKUP($A350,AlgoUi!$A:$X,24,0),"")</f>
        <v>120000</v>
      </c>
      <c r="V350" s="42" t="str">
        <f>IFERROR(__xludf.DUMMYFUNCTION("IFERROR(VLOOKUP(I350,IMPORTRANGE(""https://docs.google.com/spreadsheets/d/17FOIUYQAjPk1pPQIlvOgqYDBqwUqgb7KWzp4DtVksBk/edit?gid=0#gid=0"",""Servers!A:S""),19,FALSE), ""Not Running"")"),"VIKASA")</f>
        <v>VIKASA</v>
      </c>
      <c r="W350" s="47" t="str">
        <f>VLOOKUP($A350,Category!$A:$E,4,0)</f>
        <v>MS</v>
      </c>
      <c r="X350" s="47" t="str">
        <f>VLOOKUP($A350,Category!$A:$E,5,0)</f>
        <v>MSN</v>
      </c>
      <c r="Y350" s="18" t="str">
        <f>VLOOKUP(A350,PAcc!$A$1:$J$27,10,0)</f>
        <v>#N/A</v>
      </c>
      <c r="Z350" s="42" t="b">
        <f t="shared" si="4"/>
        <v>0</v>
      </c>
      <c r="AA350" s="50">
        <v>0.4</v>
      </c>
      <c r="AB350" s="42" t="str">
        <f>VLOOKUP(A350,VlookupSheet!$A$383:$A$523,1,0)</f>
        <v>#N/A</v>
      </c>
      <c r="AC350" s="50">
        <v>0.01</v>
      </c>
      <c r="AD350" s="42">
        <f t="shared" si="32"/>
        <v>4864872.8</v>
      </c>
      <c r="AE350" s="42">
        <f t="shared" si="33"/>
        <v>40000</v>
      </c>
      <c r="AF350" s="123">
        <f t="shared" si="34"/>
        <v>0</v>
      </c>
    </row>
    <row r="351">
      <c r="A351" s="30" t="s">
        <v>551</v>
      </c>
      <c r="B351" s="84" t="s">
        <v>1638</v>
      </c>
      <c r="C351" s="85"/>
      <c r="D351" s="11">
        <f t="shared" si="41"/>
        <v>1</v>
      </c>
      <c r="E351" s="11">
        <f t="shared" si="42"/>
        <v>60000</v>
      </c>
      <c r="F351" s="30" t="s">
        <v>311</v>
      </c>
      <c r="G351" s="11" t="s">
        <v>1550</v>
      </c>
      <c r="H351" s="31">
        <v>60000.0</v>
      </c>
      <c r="I351" s="74" t="s">
        <v>413</v>
      </c>
      <c r="J351" s="25" t="s">
        <v>77</v>
      </c>
      <c r="K351" s="38">
        <f t="shared" si="17"/>
        <v>1</v>
      </c>
      <c r="L351" s="18" t="s">
        <v>910</v>
      </c>
      <c r="M351" s="18" t="s">
        <v>736</v>
      </c>
      <c r="N351" s="74"/>
      <c r="O351" s="74"/>
      <c r="P351" s="74"/>
      <c r="Q351" s="42" t="str">
        <f>iferror(VLOOKUP(A351,'Positional cal'!A:H,1,0)=A351,"FALSE")</f>
        <v>FALSE</v>
      </c>
      <c r="R351" s="43" t="b">
        <f t="shared" si="3"/>
        <v>0</v>
      </c>
      <c r="S351" s="46">
        <f>IFERROR(VLOOKUP($A351,AlgoUi!$A:$X,21,0),"NA")</f>
        <v>13690399</v>
      </c>
      <c r="T351" s="46">
        <f>IFERROR(VLOOKUP($A351,AlgoUi!$A:$X,23,0),"")</f>
        <v>14000000</v>
      </c>
      <c r="U351" s="46">
        <f>IFERROR(VLOOKUP($A351,AlgoUi!$A:$X,24,0),"")</f>
        <v>140000</v>
      </c>
      <c r="V351" s="42" t="str">
        <f>IFERROR(__xludf.DUMMYFUNCTION("IFERROR(VLOOKUP(I351,IMPORTRANGE(""https://docs.google.com/spreadsheets/d/17FOIUYQAjPk1pPQIlvOgqYDBqwUqgb7KWzp4DtVksBk/edit?gid=0#gid=0"",""Servers!A:S""),19,FALSE), ""Not Running"")"),"VIKASA")</f>
        <v>VIKASA</v>
      </c>
      <c r="W351" s="47" t="str">
        <f>VLOOKUP($A351,Category!$A:$E,4,0)</f>
        <v>MS</v>
      </c>
      <c r="X351" s="47" t="str">
        <f>VLOOKUP($A351,Category!$A:$E,5,0)</f>
        <v>MSP</v>
      </c>
      <c r="Y351" s="18" t="str">
        <f>VLOOKUP(A351,PAcc!$A$1:$J$27,10,0)</f>
        <v>#N/A</v>
      </c>
      <c r="Z351" s="42" t="b">
        <f t="shared" si="4"/>
        <v>0</v>
      </c>
      <c r="AA351" s="50">
        <v>0.4</v>
      </c>
      <c r="AB351" s="42" t="str">
        <f>VLOOKUP(A351,VlookupSheet!$A$383:$A$523,1,0)</f>
        <v>#N/A</v>
      </c>
      <c r="AC351" s="50">
        <v>0.01</v>
      </c>
      <c r="AD351" s="42">
        <f t="shared" si="32"/>
        <v>5476159.6</v>
      </c>
      <c r="AE351" s="42">
        <f t="shared" si="33"/>
        <v>60000</v>
      </c>
      <c r="AF351" s="123">
        <f t="shared" si="34"/>
        <v>0</v>
      </c>
    </row>
    <row r="352">
      <c r="A352" s="30" t="s">
        <v>339</v>
      </c>
      <c r="B352" s="84" t="s">
        <v>1576</v>
      </c>
      <c r="C352" s="85"/>
      <c r="D352" s="11">
        <f t="shared" si="41"/>
        <v>1</v>
      </c>
      <c r="E352" s="11">
        <f t="shared" si="42"/>
        <v>20000</v>
      </c>
      <c r="F352" s="30" t="s">
        <v>311</v>
      </c>
      <c r="G352" s="11" t="s">
        <v>1134</v>
      </c>
      <c r="H352" s="31">
        <v>20000.0</v>
      </c>
      <c r="I352" s="74" t="s">
        <v>413</v>
      </c>
      <c r="J352" s="25" t="s">
        <v>77</v>
      </c>
      <c r="K352" s="38">
        <f t="shared" si="17"/>
        <v>1</v>
      </c>
      <c r="L352" s="18" t="s">
        <v>910</v>
      </c>
      <c r="M352" s="18" t="s">
        <v>736</v>
      </c>
      <c r="N352" s="74"/>
      <c r="O352" s="74"/>
      <c r="P352" s="74"/>
      <c r="Q352" s="42" t="str">
        <f>iferror(VLOOKUP(A352,'Positional cal'!A:H,1,0)=A352,"FALSE")</f>
        <v>FALSE</v>
      </c>
      <c r="R352" s="43" t="b">
        <f t="shared" si="3"/>
        <v>0</v>
      </c>
      <c r="S352" s="46">
        <f>IFERROR(VLOOKUP($A352,AlgoUi!$A:$X,21,0),"NA")</f>
        <v>6667295</v>
      </c>
      <c r="T352" s="46">
        <f>IFERROR(VLOOKUP($A352,AlgoUi!$A:$X,23,0),"")</f>
        <v>6000000</v>
      </c>
      <c r="U352" s="46">
        <f>IFERROR(VLOOKUP($A352,AlgoUi!$A:$X,24,0),"")</f>
        <v>60000</v>
      </c>
      <c r="V352" s="42" t="str">
        <f>IFERROR(__xludf.DUMMYFUNCTION("IFERROR(VLOOKUP(I352,IMPORTRANGE(""https://docs.google.com/spreadsheets/d/17FOIUYQAjPk1pPQIlvOgqYDBqwUqgb7KWzp4DtVksBk/edit?gid=0#gid=0"",""Servers!A:S""),19,FALSE), ""Not Running"")"),"VIKASA")</f>
        <v>VIKASA</v>
      </c>
      <c r="W352" s="47" t="str">
        <f>VLOOKUP($A352,Category!$A:$E,4,0)</f>
        <v>MS</v>
      </c>
      <c r="X352" s="47" t="str">
        <f>VLOOKUP($A352,Category!$A:$E,5,0)</f>
        <v>MSP</v>
      </c>
      <c r="Y352" s="18" t="str">
        <f>VLOOKUP(A352,PAcc!$A$1:$J$27,10,0)</f>
        <v>#N/A</v>
      </c>
      <c r="Z352" s="42" t="b">
        <f t="shared" si="4"/>
        <v>0</v>
      </c>
      <c r="AA352" s="50">
        <v>0.4</v>
      </c>
      <c r="AB352" s="42" t="str">
        <f>VLOOKUP(A352,VlookupSheet!$A$383:$A$523,1,0)</f>
        <v>#N/A</v>
      </c>
      <c r="AC352" s="50">
        <v>0.01</v>
      </c>
      <c r="AD352" s="42">
        <f t="shared" si="32"/>
        <v>2666918</v>
      </c>
      <c r="AE352" s="42">
        <f t="shared" si="33"/>
        <v>20000</v>
      </c>
      <c r="AF352" s="123">
        <f t="shared" si="34"/>
        <v>0</v>
      </c>
    </row>
    <row r="353">
      <c r="A353" s="30" t="s">
        <v>388</v>
      </c>
      <c r="B353" s="84" t="s">
        <v>2061</v>
      </c>
      <c r="C353" s="85"/>
      <c r="D353" s="11">
        <f t="shared" si="41"/>
        <v>1</v>
      </c>
      <c r="E353" s="11">
        <f t="shared" si="42"/>
        <v>40000</v>
      </c>
      <c r="F353" s="30" t="s">
        <v>311</v>
      </c>
      <c r="G353" s="11" t="s">
        <v>1100</v>
      </c>
      <c r="H353" s="31">
        <v>40000.0</v>
      </c>
      <c r="I353" s="74" t="s">
        <v>413</v>
      </c>
      <c r="J353" s="25" t="s">
        <v>77</v>
      </c>
      <c r="K353" s="38">
        <f t="shared" si="17"/>
        <v>1</v>
      </c>
      <c r="L353" s="18" t="s">
        <v>910</v>
      </c>
      <c r="M353" s="18" t="s">
        <v>736</v>
      </c>
      <c r="N353" s="74"/>
      <c r="O353" s="74"/>
      <c r="P353" s="74"/>
      <c r="Q353" s="42" t="str">
        <f>iferror(VLOOKUP(A353,'Positional cal'!A:H,1,0)=A353,"FALSE")</f>
        <v>FALSE</v>
      </c>
      <c r="R353" s="43" t="b">
        <f t="shared" si="3"/>
        <v>0</v>
      </c>
      <c r="S353" s="46">
        <f>IFERROR(VLOOKUP($A353,AlgoUi!$A:$X,21,0),"NA")</f>
        <v>12206118</v>
      </c>
      <c r="T353" s="46">
        <f>IFERROR(VLOOKUP($A353,AlgoUi!$A:$X,23,0),"")</f>
        <v>12000000</v>
      </c>
      <c r="U353" s="46">
        <f>IFERROR(VLOOKUP($A353,AlgoUi!$A:$X,24,0),"")</f>
        <v>120000</v>
      </c>
      <c r="V353" s="42" t="str">
        <f>IFERROR(__xludf.DUMMYFUNCTION("IFERROR(VLOOKUP(I353,IMPORTRANGE(""https://docs.google.com/spreadsheets/d/17FOIUYQAjPk1pPQIlvOgqYDBqwUqgb7KWzp4DtVksBk/edit?gid=0#gid=0"",""Servers!A:S""),19,FALSE), ""Not Running"")"),"VIKASA")</f>
        <v>VIKASA</v>
      </c>
      <c r="W353" s="47" t="str">
        <f>VLOOKUP($A353,Category!$A:$E,4,0)</f>
        <v>MS</v>
      </c>
      <c r="X353" s="47" t="str">
        <f>VLOOKUP($A353,Category!$A:$E,5,0)</f>
        <v>MSP</v>
      </c>
      <c r="Y353" s="18" t="str">
        <f>VLOOKUP(A353,PAcc!$A$1:$J$27,10,0)</f>
        <v>#N/A</v>
      </c>
      <c r="Z353" s="42" t="b">
        <f t="shared" si="4"/>
        <v>0</v>
      </c>
      <c r="AA353" s="50">
        <v>0.4</v>
      </c>
      <c r="AB353" s="42" t="str">
        <f>VLOOKUP(A353,VlookupSheet!$A$383:$A$523,1,0)</f>
        <v>#N/A</v>
      </c>
      <c r="AC353" s="50">
        <v>0.01</v>
      </c>
      <c r="AD353" s="42">
        <f t="shared" si="32"/>
        <v>4882447.2</v>
      </c>
      <c r="AE353" s="42">
        <f t="shared" si="33"/>
        <v>40000</v>
      </c>
      <c r="AF353" s="123">
        <f t="shared" si="34"/>
        <v>0</v>
      </c>
    </row>
    <row r="354">
      <c r="A354" s="30" t="s">
        <v>417</v>
      </c>
      <c r="B354" s="84" t="s">
        <v>2257</v>
      </c>
      <c r="C354" s="85"/>
      <c r="D354" s="11">
        <f t="shared" si="41"/>
        <v>1</v>
      </c>
      <c r="E354" s="11">
        <f t="shared" si="42"/>
        <v>40000</v>
      </c>
      <c r="F354" s="30" t="s">
        <v>311</v>
      </c>
      <c r="G354" s="11" t="s">
        <v>1100</v>
      </c>
      <c r="H354" s="31">
        <v>40000.0</v>
      </c>
      <c r="I354" s="74" t="s">
        <v>413</v>
      </c>
      <c r="J354" s="25" t="s">
        <v>77</v>
      </c>
      <c r="K354" s="38">
        <f t="shared" si="17"/>
        <v>1</v>
      </c>
      <c r="L354" s="18" t="s">
        <v>910</v>
      </c>
      <c r="M354" s="18" t="s">
        <v>736</v>
      </c>
      <c r="N354" s="74"/>
      <c r="O354" s="74"/>
      <c r="P354" s="74"/>
      <c r="Q354" s="42" t="str">
        <f>iferror(VLOOKUP(A354,'Positional cal'!A:H,1,0)=A354,"FALSE")</f>
        <v>FALSE</v>
      </c>
      <c r="R354" s="43" t="b">
        <f t="shared" si="3"/>
        <v>0</v>
      </c>
      <c r="S354" s="46">
        <f>IFERROR(VLOOKUP($A354,AlgoUi!$A:$X,21,0),"NA")</f>
        <v>8909651</v>
      </c>
      <c r="T354" s="46">
        <f>IFERROR(VLOOKUP($A354,AlgoUi!$A:$X,23,0),"")</f>
        <v>8000000</v>
      </c>
      <c r="U354" s="46">
        <f>IFERROR(VLOOKUP($A354,AlgoUi!$A:$X,24,0),"")</f>
        <v>80000</v>
      </c>
      <c r="V354" s="42" t="str">
        <f>IFERROR(__xludf.DUMMYFUNCTION("IFERROR(VLOOKUP(I354,IMPORTRANGE(""https://docs.google.com/spreadsheets/d/17FOIUYQAjPk1pPQIlvOgqYDBqwUqgb7KWzp4DtVksBk/edit?gid=0#gid=0"",""Servers!A:S""),19,FALSE), ""Not Running"")"),"VIKASA")</f>
        <v>VIKASA</v>
      </c>
      <c r="W354" s="47" t="str">
        <f>VLOOKUP($A354,Category!$A:$E,4,0)</f>
        <v>MS</v>
      </c>
      <c r="X354" s="47" t="str">
        <f>VLOOKUP($A354,Category!$A:$E,5,0)</f>
        <v>MSP</v>
      </c>
      <c r="Y354" s="18" t="str">
        <f>VLOOKUP(A354,PAcc!$A$1:$J$27,10,0)</f>
        <v>#N/A</v>
      </c>
      <c r="Z354" s="42" t="b">
        <f t="shared" si="4"/>
        <v>0</v>
      </c>
      <c r="AA354" s="50">
        <v>0.4</v>
      </c>
      <c r="AB354" s="42" t="str">
        <f>VLOOKUP(A354,VlookupSheet!$A$383:$A$523,1,0)</f>
        <v>#N/A</v>
      </c>
      <c r="AC354" s="50">
        <v>0.01</v>
      </c>
      <c r="AD354" s="42">
        <f t="shared" si="32"/>
        <v>3563860.4</v>
      </c>
      <c r="AE354" s="42">
        <f t="shared" si="33"/>
        <v>40000</v>
      </c>
      <c r="AF354" s="123">
        <f t="shared" si="34"/>
        <v>0</v>
      </c>
    </row>
    <row r="355">
      <c r="A355" s="30" t="s">
        <v>167</v>
      </c>
      <c r="B355" s="84" t="s">
        <v>168</v>
      </c>
      <c r="C355" s="85"/>
      <c r="D355" s="11">
        <f t="shared" si="41"/>
        <v>1</v>
      </c>
      <c r="E355" s="11">
        <f t="shared" si="42"/>
        <v>40000</v>
      </c>
      <c r="F355" s="30" t="s">
        <v>311</v>
      </c>
      <c r="G355" s="11" t="s">
        <v>1100</v>
      </c>
      <c r="H355" s="31">
        <v>40000.0</v>
      </c>
      <c r="I355" s="74" t="s">
        <v>413</v>
      </c>
      <c r="J355" s="25" t="s">
        <v>77</v>
      </c>
      <c r="K355" s="38">
        <f t="shared" si="17"/>
        <v>1</v>
      </c>
      <c r="L355" s="18" t="s">
        <v>910</v>
      </c>
      <c r="M355" s="18" t="s">
        <v>736</v>
      </c>
      <c r="N355" s="74"/>
      <c r="O355" s="74"/>
      <c r="P355" s="74"/>
      <c r="Q355" s="42" t="str">
        <f>iferror(VLOOKUP(A355,'Positional cal'!A:H,1,0)=A355,"FALSE")</f>
        <v>FALSE</v>
      </c>
      <c r="R355" s="43" t="b">
        <f t="shared" si="3"/>
        <v>0</v>
      </c>
      <c r="S355" s="46">
        <f>IFERROR(VLOOKUP($A355,AlgoUi!$A:$X,21,0),"NA")</f>
        <v>7703602</v>
      </c>
      <c r="T355" s="46">
        <f>IFERROR(VLOOKUP($A355,AlgoUi!$A:$X,23,0),"")</f>
        <v>8000000</v>
      </c>
      <c r="U355" s="46">
        <f>IFERROR(VLOOKUP($A355,AlgoUi!$A:$X,24,0),"")</f>
        <v>80000</v>
      </c>
      <c r="V355" s="42" t="str">
        <f>IFERROR(__xludf.DUMMYFUNCTION("IFERROR(VLOOKUP(I355,IMPORTRANGE(""https://docs.google.com/spreadsheets/d/17FOIUYQAjPk1pPQIlvOgqYDBqwUqgb7KWzp4DtVksBk/edit?gid=0#gid=0"",""Servers!A:S""),19,FALSE), ""Not Running"")"),"VIKASA")</f>
        <v>VIKASA</v>
      </c>
      <c r="W355" s="47" t="str">
        <f>VLOOKUP($A355,Category!$A:$E,4,0)</f>
        <v>MS</v>
      </c>
      <c r="X355" s="47" t="str">
        <f>VLOOKUP($A355,Category!$A:$E,5,0)</f>
        <v>MSP</v>
      </c>
      <c r="Y355" s="18" t="str">
        <f>VLOOKUP(A355,PAcc!$A$1:$J$27,10,0)</f>
        <v>#N/A</v>
      </c>
      <c r="Z355" s="42" t="b">
        <f t="shared" si="4"/>
        <v>0</v>
      </c>
      <c r="AA355" s="50">
        <v>0.4</v>
      </c>
      <c r="AB355" s="42" t="str">
        <f>VLOOKUP(A355,VlookupSheet!$A$383:$A$523,1,0)</f>
        <v>#N/A</v>
      </c>
      <c r="AC355" s="50">
        <v>0.01</v>
      </c>
      <c r="AD355" s="42">
        <f t="shared" si="32"/>
        <v>3081440.8</v>
      </c>
      <c r="AE355" s="42">
        <f t="shared" si="33"/>
        <v>40000</v>
      </c>
      <c r="AF355" s="123">
        <f t="shared" si="34"/>
        <v>0</v>
      </c>
    </row>
    <row r="356">
      <c r="A356" s="30" t="s">
        <v>571</v>
      </c>
      <c r="B356" s="84" t="s">
        <v>2572</v>
      </c>
      <c r="C356" s="85"/>
      <c r="D356" s="11">
        <f t="shared" si="41"/>
        <v>1</v>
      </c>
      <c r="E356" s="11">
        <f t="shared" si="42"/>
        <v>40000</v>
      </c>
      <c r="F356" s="30" t="s">
        <v>311</v>
      </c>
      <c r="G356" s="31">
        <v>40000.0</v>
      </c>
      <c r="H356" s="31">
        <v>40000.0</v>
      </c>
      <c r="I356" s="74" t="s">
        <v>413</v>
      </c>
      <c r="J356" s="25" t="s">
        <v>77</v>
      </c>
      <c r="K356" s="38">
        <f t="shared" si="17"/>
        <v>1</v>
      </c>
      <c r="L356" s="18" t="s">
        <v>910</v>
      </c>
      <c r="M356" s="18" t="s">
        <v>736</v>
      </c>
      <c r="N356" s="74"/>
      <c r="O356" s="74"/>
      <c r="P356" s="74"/>
      <c r="Q356" s="42" t="str">
        <f>iferror(VLOOKUP(A356,'Positional cal'!A:H,1,0)=A356,"FALSE")</f>
        <v>FALSE</v>
      </c>
      <c r="R356" s="43" t="b">
        <f t="shared" si="3"/>
        <v>0</v>
      </c>
      <c r="S356" s="46">
        <f>IFERROR(VLOOKUP($A356,AlgoUi!$A:$X,21,0),"NA")</f>
        <v>8455654</v>
      </c>
      <c r="T356" s="46">
        <f>IFERROR(VLOOKUP($A356,AlgoUi!$A:$X,23,0),"")</f>
        <v>8000000</v>
      </c>
      <c r="U356" s="46">
        <f>IFERROR(VLOOKUP($A356,AlgoUi!$A:$X,24,0),"")</f>
        <v>80000</v>
      </c>
      <c r="V356" s="42" t="str">
        <f>IFERROR(__xludf.DUMMYFUNCTION("IFERROR(VLOOKUP(I356,IMPORTRANGE(""https://docs.google.com/spreadsheets/d/17FOIUYQAjPk1pPQIlvOgqYDBqwUqgb7KWzp4DtVksBk/edit?gid=0#gid=0"",""Servers!A:S""),19,FALSE), ""Not Running"")"),"VIKASA")</f>
        <v>VIKASA</v>
      </c>
      <c r="W356" s="47" t="str">
        <f>VLOOKUP($A356,Category!$A:$E,4,0)</f>
        <v>MS</v>
      </c>
      <c r="X356" s="47" t="str">
        <f>VLOOKUP($A356,Category!$A:$E,5,0)</f>
        <v>MSR</v>
      </c>
      <c r="Y356" s="18" t="str">
        <f>VLOOKUP(A356,PAcc!$A$1:$J$27,10,0)</f>
        <v>#N/A</v>
      </c>
      <c r="Z356" s="42" t="b">
        <f t="shared" si="4"/>
        <v>0</v>
      </c>
      <c r="AA356" s="50">
        <v>0.4</v>
      </c>
      <c r="AB356" s="42" t="str">
        <f>VLOOKUP(A356,VlookupSheet!$A$383:$A$523,1,0)</f>
        <v>#N/A</v>
      </c>
      <c r="AC356" s="50">
        <v>0.01</v>
      </c>
      <c r="AD356" s="42">
        <f t="shared" si="32"/>
        <v>3382261.6</v>
      </c>
      <c r="AE356" s="42">
        <f t="shared" si="33"/>
        <v>40000</v>
      </c>
      <c r="AF356" s="123">
        <f t="shared" si="34"/>
        <v>0</v>
      </c>
    </row>
    <row r="357">
      <c r="A357" s="30" t="s">
        <v>458</v>
      </c>
      <c r="B357" s="84" t="s">
        <v>3060</v>
      </c>
      <c r="C357" s="85"/>
      <c r="D357" s="11">
        <f t="shared" si="41"/>
        <v>1</v>
      </c>
      <c r="E357" s="11">
        <f t="shared" si="42"/>
        <v>40000</v>
      </c>
      <c r="F357" s="30" t="s">
        <v>311</v>
      </c>
      <c r="G357" s="11" t="s">
        <v>1100</v>
      </c>
      <c r="H357" s="31">
        <v>40000.0</v>
      </c>
      <c r="I357" s="74" t="s">
        <v>413</v>
      </c>
      <c r="J357" s="25" t="s">
        <v>77</v>
      </c>
      <c r="K357" s="38">
        <f t="shared" si="17"/>
        <v>1</v>
      </c>
      <c r="L357" s="18" t="s">
        <v>910</v>
      </c>
      <c r="M357" s="18" t="s">
        <v>736</v>
      </c>
      <c r="N357" s="18"/>
      <c r="O357" s="18"/>
      <c r="P357" s="18"/>
      <c r="Q357" s="42" t="str">
        <f>iferror(VLOOKUP(A357,'Positional cal'!A:H,1,0)=A357,"FALSE")</f>
        <v>FALSE</v>
      </c>
      <c r="R357" s="43" t="b">
        <f t="shared" si="3"/>
        <v>0</v>
      </c>
      <c r="S357" s="46">
        <f>IFERROR(VLOOKUP($A357,AlgoUi!$A:$X,21,0),"NA")</f>
        <v>9809549</v>
      </c>
      <c r="T357" s="46">
        <f>IFERROR(VLOOKUP($A357,AlgoUi!$A:$X,23,0),"")</f>
        <v>10000000</v>
      </c>
      <c r="U357" s="46">
        <f>IFERROR(VLOOKUP($A357,AlgoUi!$A:$X,24,0),"")</f>
        <v>100000</v>
      </c>
      <c r="V357" s="42" t="str">
        <f>IFERROR(__xludf.DUMMYFUNCTION("IFERROR(VLOOKUP(I357,IMPORTRANGE(""https://docs.google.com/spreadsheets/d/17FOIUYQAjPk1pPQIlvOgqYDBqwUqgb7KWzp4DtVksBk/edit?gid=0#gid=0"",""Servers!A:S""),19,FALSE), ""Not Running"")"),"VIKASA")</f>
        <v>VIKASA</v>
      </c>
      <c r="W357" s="47" t="str">
        <f>VLOOKUP($A357,Category!$A:$E,4,0)</f>
        <v>MS</v>
      </c>
      <c r="X357" s="47" t="str">
        <f>VLOOKUP($A357,Category!$A:$E,5,0)</f>
        <v>MSN</v>
      </c>
      <c r="Y357" s="18" t="str">
        <f>VLOOKUP(A357,PAcc!$A$1:$J$27,10,0)</f>
        <v>#N/A</v>
      </c>
      <c r="Z357" s="42" t="b">
        <f t="shared" si="4"/>
        <v>0</v>
      </c>
      <c r="AA357" s="50">
        <v>0.4</v>
      </c>
      <c r="AB357" s="42" t="str">
        <f>VLOOKUP(A357,VlookupSheet!$A$383:$A$523,1,0)</f>
        <v>#N/A</v>
      </c>
      <c r="AC357" s="50">
        <v>0.01</v>
      </c>
      <c r="AD357" s="42">
        <f t="shared" si="32"/>
        <v>3923819.6</v>
      </c>
      <c r="AE357" s="42">
        <f t="shared" si="33"/>
        <v>40000</v>
      </c>
      <c r="AF357" s="123">
        <f t="shared" si="34"/>
        <v>0</v>
      </c>
    </row>
    <row r="358">
      <c r="A358" s="30" t="s">
        <v>468</v>
      </c>
      <c r="B358" s="84" t="s">
        <v>1733</v>
      </c>
      <c r="C358" s="85"/>
      <c r="D358" s="11">
        <f t="shared" si="41"/>
        <v>1</v>
      </c>
      <c r="E358" s="11">
        <f t="shared" si="42"/>
        <v>20000</v>
      </c>
      <c r="F358" s="30" t="s">
        <v>311</v>
      </c>
      <c r="G358" s="11" t="s">
        <v>1134</v>
      </c>
      <c r="H358" s="31">
        <v>20000.0</v>
      </c>
      <c r="I358" s="74" t="s">
        <v>413</v>
      </c>
      <c r="J358" s="25" t="s">
        <v>77</v>
      </c>
      <c r="K358" s="38">
        <f t="shared" si="17"/>
        <v>1</v>
      </c>
      <c r="L358" s="18" t="s">
        <v>910</v>
      </c>
      <c r="M358" s="18" t="s">
        <v>736</v>
      </c>
      <c r="N358" s="74"/>
      <c r="O358" s="74"/>
      <c r="P358" s="74"/>
      <c r="Q358" s="42" t="str">
        <f>iferror(VLOOKUP(A358,'Positional cal'!A:H,1,0)=A358,"FALSE")</f>
        <v>FALSE</v>
      </c>
      <c r="R358" s="43" t="b">
        <f t="shared" si="3"/>
        <v>0</v>
      </c>
      <c r="S358" s="46">
        <f>IFERROR(VLOOKUP($A358,AlgoUi!$A:$X,21,0),"NA")</f>
        <v>6648213</v>
      </c>
      <c r="T358" s="46">
        <f>IFERROR(VLOOKUP($A358,AlgoUi!$A:$X,23,0),"")</f>
        <v>6000000</v>
      </c>
      <c r="U358" s="46">
        <f>IFERROR(VLOOKUP($A358,AlgoUi!$A:$X,24,0),"")</f>
        <v>60000</v>
      </c>
      <c r="V358" s="42" t="str">
        <f>IFERROR(__xludf.DUMMYFUNCTION("IFERROR(VLOOKUP(I358,IMPORTRANGE(""https://docs.google.com/spreadsheets/d/17FOIUYQAjPk1pPQIlvOgqYDBqwUqgb7KWzp4DtVksBk/edit?gid=0#gid=0"",""Servers!A:S""),19,FALSE), ""Not Running"")"),"VIKASA")</f>
        <v>VIKASA</v>
      </c>
      <c r="W358" s="47" t="str">
        <f>VLOOKUP($A358,Category!$A:$E,4,0)</f>
        <v>MS</v>
      </c>
      <c r="X358" s="47" t="str">
        <f>VLOOKUP($A358,Category!$A:$E,5,0)</f>
        <v>MSP</v>
      </c>
      <c r="Y358" s="18" t="str">
        <f>VLOOKUP(A358,PAcc!$A$1:$J$27,10,0)</f>
        <v>#N/A</v>
      </c>
      <c r="Z358" s="42" t="b">
        <f t="shared" si="4"/>
        <v>0</v>
      </c>
      <c r="AA358" s="50">
        <v>0.4</v>
      </c>
      <c r="AB358" s="42" t="str">
        <f>VLOOKUP(A358,VlookupSheet!$A$383:$A$523,1,0)</f>
        <v>#N/A</v>
      </c>
      <c r="AC358" s="50">
        <v>0.01</v>
      </c>
      <c r="AD358" s="42">
        <f t="shared" si="32"/>
        <v>2659285.2</v>
      </c>
      <c r="AE358" s="42">
        <f t="shared" si="33"/>
        <v>20000</v>
      </c>
      <c r="AF358" s="123">
        <f t="shared" si="34"/>
        <v>0</v>
      </c>
    </row>
    <row r="359">
      <c r="A359" s="30" t="s">
        <v>414</v>
      </c>
      <c r="B359" s="84" t="s">
        <v>2984</v>
      </c>
      <c r="C359" s="85"/>
      <c r="D359" s="11">
        <f t="shared" si="41"/>
        <v>1</v>
      </c>
      <c r="E359" s="11">
        <f t="shared" si="42"/>
        <v>20000</v>
      </c>
      <c r="F359" s="30" t="s">
        <v>311</v>
      </c>
      <c r="G359" s="11" t="s">
        <v>1134</v>
      </c>
      <c r="H359" s="31">
        <v>20000.0</v>
      </c>
      <c r="I359" s="74" t="s">
        <v>413</v>
      </c>
      <c r="J359" s="25" t="s">
        <v>77</v>
      </c>
      <c r="K359" s="38">
        <f t="shared" si="17"/>
        <v>1</v>
      </c>
      <c r="L359" s="18" t="s">
        <v>910</v>
      </c>
      <c r="M359" s="18" t="s">
        <v>736</v>
      </c>
      <c r="N359" s="74"/>
      <c r="O359" s="74"/>
      <c r="P359" s="74"/>
      <c r="Q359" s="42" t="str">
        <f>iferror(VLOOKUP(A359,'Positional cal'!A:H,1,0)=A359,"FALSE")</f>
        <v>FALSE</v>
      </c>
      <c r="R359" s="43" t="b">
        <f t="shared" si="3"/>
        <v>0</v>
      </c>
      <c r="S359" s="46">
        <f>IFERROR(VLOOKUP($A359,AlgoUi!$A:$X,21,0),"NA")</f>
        <v>7088859</v>
      </c>
      <c r="T359" s="46">
        <f>IFERROR(VLOOKUP($A359,AlgoUi!$A:$X,23,0),"")</f>
        <v>8000000</v>
      </c>
      <c r="U359" s="46">
        <f>IFERROR(VLOOKUP($A359,AlgoUi!$A:$X,24,0),"")</f>
        <v>80000</v>
      </c>
      <c r="V359" s="42" t="str">
        <f>IFERROR(__xludf.DUMMYFUNCTION("IFERROR(VLOOKUP(I359,IMPORTRANGE(""https://docs.google.com/spreadsheets/d/17FOIUYQAjPk1pPQIlvOgqYDBqwUqgb7KWzp4DtVksBk/edit?gid=0#gid=0"",""Servers!A:S""),19,FALSE), ""Not Running"")"),"VIKASA")</f>
        <v>VIKASA</v>
      </c>
      <c r="W359" s="47" t="str">
        <f>VLOOKUP($A359,Category!$A:$E,4,0)</f>
        <v>MS</v>
      </c>
      <c r="X359" s="47" t="str">
        <f>VLOOKUP($A359,Category!$A:$E,5,0)</f>
        <v>MSR</v>
      </c>
      <c r="Y359" s="18" t="str">
        <f>VLOOKUP(A359,PAcc!$A$1:$J$27,10,0)</f>
        <v>#N/A</v>
      </c>
      <c r="Z359" s="42" t="b">
        <f t="shared" si="4"/>
        <v>0</v>
      </c>
      <c r="AA359" s="50">
        <v>0.4</v>
      </c>
      <c r="AB359" s="42" t="str">
        <f>VLOOKUP(A359,VlookupSheet!$A$383:$A$523,1,0)</f>
        <v>#N/A</v>
      </c>
      <c r="AC359" s="50">
        <v>0.01</v>
      </c>
      <c r="AD359" s="42">
        <f t="shared" si="32"/>
        <v>2835543.6</v>
      </c>
      <c r="AE359" s="42">
        <f t="shared" si="33"/>
        <v>20000</v>
      </c>
      <c r="AF359" s="123">
        <f t="shared" si="34"/>
        <v>0</v>
      </c>
    </row>
    <row r="360">
      <c r="A360" s="30" t="s">
        <v>425</v>
      </c>
      <c r="B360" s="84" t="s">
        <v>1917</v>
      </c>
      <c r="C360" s="85"/>
      <c r="D360" s="11">
        <f t="shared" si="41"/>
        <v>1</v>
      </c>
      <c r="E360" s="11">
        <f t="shared" si="42"/>
        <v>40000</v>
      </c>
      <c r="F360" s="30" t="s">
        <v>311</v>
      </c>
      <c r="G360" s="11" t="s">
        <v>1100</v>
      </c>
      <c r="H360" s="31">
        <v>40000.0</v>
      </c>
      <c r="I360" s="74" t="s">
        <v>413</v>
      </c>
      <c r="J360" s="25" t="s">
        <v>77</v>
      </c>
      <c r="K360" s="38">
        <f t="shared" si="17"/>
        <v>1</v>
      </c>
      <c r="L360" s="18" t="s">
        <v>910</v>
      </c>
      <c r="M360" s="18" t="s">
        <v>736</v>
      </c>
      <c r="N360" s="74"/>
      <c r="O360" s="74"/>
      <c r="P360" s="74"/>
      <c r="Q360" s="42" t="str">
        <f>iferror(VLOOKUP(A360,'Positional cal'!A:H,1,0)=A360,"FALSE")</f>
        <v>FALSE</v>
      </c>
      <c r="R360" s="43" t="b">
        <f t="shared" si="3"/>
        <v>0</v>
      </c>
      <c r="S360" s="46">
        <f>IFERROR(VLOOKUP($A360,AlgoUi!$A:$X,21,0),"NA")</f>
        <v>10095122</v>
      </c>
      <c r="T360" s="46">
        <f>IFERROR(VLOOKUP($A360,AlgoUi!$A:$X,23,0),"")</f>
        <v>10000000</v>
      </c>
      <c r="U360" s="46">
        <f>IFERROR(VLOOKUP($A360,AlgoUi!$A:$X,24,0),"")</f>
        <v>100000</v>
      </c>
      <c r="V360" s="42" t="str">
        <f>IFERROR(__xludf.DUMMYFUNCTION("IFERROR(VLOOKUP(I360,IMPORTRANGE(""https://docs.google.com/spreadsheets/d/17FOIUYQAjPk1pPQIlvOgqYDBqwUqgb7KWzp4DtVksBk/edit?gid=0#gid=0"",""Servers!A:S""),19,FALSE), ""Not Running"")"),"VIKASA")</f>
        <v>VIKASA</v>
      </c>
      <c r="W360" s="47" t="str">
        <f>VLOOKUP($A360,Category!$A:$E,4,0)</f>
        <v>MS</v>
      </c>
      <c r="X360" s="47" t="str">
        <f>VLOOKUP($A360,Category!$A:$E,5,0)</f>
        <v>MSP</v>
      </c>
      <c r="Y360" s="18" t="str">
        <f>VLOOKUP(A360,PAcc!$A$1:$J$27,10,0)</f>
        <v>#N/A</v>
      </c>
      <c r="Z360" s="42" t="b">
        <f t="shared" si="4"/>
        <v>0</v>
      </c>
      <c r="AA360" s="50">
        <v>0.4</v>
      </c>
      <c r="AB360" s="42" t="str">
        <f>VLOOKUP(A360,VlookupSheet!$A$383:$A$523,1,0)</f>
        <v>#N/A</v>
      </c>
      <c r="AC360" s="50">
        <v>0.01</v>
      </c>
      <c r="AD360" s="42">
        <f t="shared" si="32"/>
        <v>4038048.8</v>
      </c>
      <c r="AE360" s="42">
        <f t="shared" si="33"/>
        <v>40000</v>
      </c>
      <c r="AF360" s="123">
        <f t="shared" si="34"/>
        <v>0</v>
      </c>
    </row>
    <row r="361">
      <c r="A361" s="30" t="s">
        <v>436</v>
      </c>
      <c r="B361" s="84" t="s">
        <v>1862</v>
      </c>
      <c r="C361" s="85"/>
      <c r="D361" s="11">
        <f t="shared" si="41"/>
        <v>1</v>
      </c>
      <c r="E361" s="11">
        <f t="shared" si="42"/>
        <v>20000</v>
      </c>
      <c r="F361" s="30" t="s">
        <v>311</v>
      </c>
      <c r="G361" s="11" t="s">
        <v>1134</v>
      </c>
      <c r="H361" s="31">
        <v>20000.0</v>
      </c>
      <c r="I361" s="74" t="s">
        <v>413</v>
      </c>
      <c r="J361" s="25" t="s">
        <v>77</v>
      </c>
      <c r="K361" s="38">
        <f t="shared" si="17"/>
        <v>1</v>
      </c>
      <c r="L361" s="18" t="s">
        <v>910</v>
      </c>
      <c r="M361" s="18" t="s">
        <v>736</v>
      </c>
      <c r="N361" s="74"/>
      <c r="O361" s="74"/>
      <c r="P361" s="74"/>
      <c r="Q361" s="42" t="str">
        <f>iferror(VLOOKUP(A361,'Positional cal'!A:H,1,0)=A361,"FALSE")</f>
        <v>FALSE</v>
      </c>
      <c r="R361" s="43" t="b">
        <f t="shared" si="3"/>
        <v>0</v>
      </c>
      <c r="S361" s="46">
        <f>IFERROR(VLOOKUP($A361,AlgoUi!$A:$X,21,0),"NA")</f>
        <v>6344891</v>
      </c>
      <c r="T361" s="46">
        <f>IFERROR(VLOOKUP($A361,AlgoUi!$A:$X,23,0),"")</f>
        <v>6000000</v>
      </c>
      <c r="U361" s="46">
        <f>IFERROR(VLOOKUP($A361,AlgoUi!$A:$X,24,0),"")</f>
        <v>60000</v>
      </c>
      <c r="V361" s="42" t="str">
        <f>IFERROR(__xludf.DUMMYFUNCTION("IFERROR(VLOOKUP(I361,IMPORTRANGE(""https://docs.google.com/spreadsheets/d/17FOIUYQAjPk1pPQIlvOgqYDBqwUqgb7KWzp4DtVksBk/edit?gid=0#gid=0"",""Servers!A:S""),19,FALSE), ""Not Running"")"),"VIKASA")</f>
        <v>VIKASA</v>
      </c>
      <c r="W361" s="47" t="str">
        <f>VLOOKUP($A361,Category!$A:$E,4,0)</f>
        <v>MS</v>
      </c>
      <c r="X361" s="47" t="str">
        <f>VLOOKUP($A361,Category!$A:$E,5,0)</f>
        <v>MSP</v>
      </c>
      <c r="Y361" s="18" t="str">
        <f>VLOOKUP(A361,PAcc!$A$1:$J$27,10,0)</f>
        <v>#N/A</v>
      </c>
      <c r="Z361" s="42" t="b">
        <f t="shared" si="4"/>
        <v>0</v>
      </c>
      <c r="AA361" s="50">
        <v>0.4</v>
      </c>
      <c r="AB361" s="42" t="str">
        <f>VLOOKUP(A361,VlookupSheet!$A$383:$A$523,1,0)</f>
        <v>#N/A</v>
      </c>
      <c r="AC361" s="42"/>
      <c r="AD361" s="42">
        <f t="shared" si="32"/>
        <v>2537956.4</v>
      </c>
      <c r="AE361" s="42">
        <f t="shared" si="33"/>
        <v>20000</v>
      </c>
      <c r="AF361" s="123">
        <f t="shared" si="34"/>
        <v>0</v>
      </c>
    </row>
    <row r="362">
      <c r="A362" s="11" t="s">
        <v>459</v>
      </c>
      <c r="B362" s="84" t="s">
        <v>1945</v>
      </c>
      <c r="C362" s="42"/>
      <c r="D362" s="11">
        <f t="shared" si="41"/>
        <v>1</v>
      </c>
      <c r="E362" s="11">
        <f t="shared" si="42"/>
        <v>20000</v>
      </c>
      <c r="F362" s="30" t="s">
        <v>311</v>
      </c>
      <c r="G362" s="31">
        <v>20000.0</v>
      </c>
      <c r="H362" s="31">
        <v>20000.0</v>
      </c>
      <c r="I362" s="74" t="s">
        <v>413</v>
      </c>
      <c r="J362" s="25" t="s">
        <v>77</v>
      </c>
      <c r="K362" s="38">
        <f t="shared" si="17"/>
        <v>1</v>
      </c>
      <c r="L362" s="18" t="s">
        <v>910</v>
      </c>
      <c r="M362" s="18" t="s">
        <v>736</v>
      </c>
      <c r="N362" s="221"/>
      <c r="O362" s="221"/>
      <c r="P362" s="221"/>
      <c r="Q362" s="42" t="str">
        <f>iferror(VLOOKUP(A362,'Positional cal'!A:H,1,0)=A362,"FALSE")</f>
        <v>FALSE</v>
      </c>
      <c r="R362" s="43" t="b">
        <f t="shared" si="3"/>
        <v>0</v>
      </c>
      <c r="S362" s="46">
        <f>IFERROR(VLOOKUP($A362,AlgoUi!$A:$X,21,0),"NA")</f>
        <v>6750993</v>
      </c>
      <c r="T362" s="46">
        <f>IFERROR(VLOOKUP($A362,AlgoUi!$A:$X,23,0),"")</f>
        <v>6000000</v>
      </c>
      <c r="U362" s="46">
        <f>IFERROR(VLOOKUP($A362,AlgoUi!$A:$X,24,0),"")</f>
        <v>60000</v>
      </c>
      <c r="V362" s="42" t="str">
        <f>IFERROR(__xludf.DUMMYFUNCTION("IFERROR(VLOOKUP(I362,IMPORTRANGE(""https://docs.google.com/spreadsheets/d/17FOIUYQAjPk1pPQIlvOgqYDBqwUqgb7KWzp4DtVksBk/edit?gid=0#gid=0"",""Servers!A:S""),19,FALSE), ""Not Running"")"),"VIKASA")</f>
        <v>VIKASA</v>
      </c>
      <c r="W362" s="47" t="str">
        <f>VLOOKUP($A362,Category!$A:$E,4,0)</f>
        <v>MS</v>
      </c>
      <c r="X362" s="47" t="str">
        <f>VLOOKUP($A362,Category!$A:$E,5,0)</f>
        <v>MSS</v>
      </c>
      <c r="Y362" s="18" t="str">
        <f>VLOOKUP(A362,PAcc!$A$1:$J$27,10,0)</f>
        <v>#N/A</v>
      </c>
      <c r="Z362" s="42" t="b">
        <f t="shared" si="4"/>
        <v>0</v>
      </c>
      <c r="AA362" s="50">
        <v>0.4</v>
      </c>
      <c r="AB362" s="42" t="str">
        <f>VLOOKUP(A362,VlookupSheet!$A$383:$A$523,1,0)</f>
        <v>#N/A</v>
      </c>
      <c r="AC362" s="50">
        <v>0.01</v>
      </c>
      <c r="AD362" s="42">
        <f t="shared" si="32"/>
        <v>2700397.2</v>
      </c>
      <c r="AE362" s="42">
        <f t="shared" si="33"/>
        <v>20000</v>
      </c>
      <c r="AF362" s="123">
        <f t="shared" si="34"/>
        <v>0</v>
      </c>
    </row>
    <row r="363">
      <c r="A363" s="30" t="s">
        <v>390</v>
      </c>
      <c r="B363" s="84" t="s">
        <v>1999</v>
      </c>
      <c r="C363" s="85"/>
      <c r="D363" s="11">
        <f t="shared" si="41"/>
        <v>1</v>
      </c>
      <c r="E363" s="11">
        <f t="shared" si="42"/>
        <v>80000</v>
      </c>
      <c r="F363" s="30" t="s">
        <v>311</v>
      </c>
      <c r="G363" s="31">
        <v>80000.0</v>
      </c>
      <c r="H363" s="31">
        <v>80000.0</v>
      </c>
      <c r="I363" s="74" t="s">
        <v>413</v>
      </c>
      <c r="J363" s="25" t="s">
        <v>77</v>
      </c>
      <c r="K363" s="38">
        <f t="shared" si="17"/>
        <v>1</v>
      </c>
      <c r="L363" s="18" t="s">
        <v>910</v>
      </c>
      <c r="M363" s="18" t="s">
        <v>736</v>
      </c>
      <c r="N363" s="74"/>
      <c r="O363" s="74"/>
      <c r="P363" s="74"/>
      <c r="Q363" s="42" t="str">
        <f>iferror(VLOOKUP(A363,'Positional cal'!A:H,1,0)=A363,"FALSE")</f>
        <v>FALSE</v>
      </c>
      <c r="R363" s="43" t="b">
        <f t="shared" si="3"/>
        <v>0</v>
      </c>
      <c r="S363" s="46">
        <f>IFERROR(VLOOKUP($A363,AlgoUi!$A:$X,21,0),"NA")</f>
        <v>21551181</v>
      </c>
      <c r="T363" s="46">
        <f>IFERROR(VLOOKUP($A363,AlgoUi!$A:$X,23,0),"")</f>
        <v>22000000</v>
      </c>
      <c r="U363" s="46">
        <f>IFERROR(VLOOKUP($A363,AlgoUi!$A:$X,24,0),"")</f>
        <v>220000</v>
      </c>
      <c r="V363" s="42" t="str">
        <f>IFERROR(__xludf.DUMMYFUNCTION("IFERROR(VLOOKUP(I363,IMPORTRANGE(""https://docs.google.com/spreadsheets/d/17FOIUYQAjPk1pPQIlvOgqYDBqwUqgb7KWzp4DtVksBk/edit?gid=0#gid=0"",""Servers!A:S""),19,FALSE), ""Not Running"")"),"VIKASA")</f>
        <v>VIKASA</v>
      </c>
      <c r="W363" s="47" t="str">
        <f>VLOOKUP($A363,Category!$A:$E,4,0)</f>
        <v>MS</v>
      </c>
      <c r="X363" s="47" t="str">
        <f>VLOOKUP($A363,Category!$A:$E,5,0)</f>
        <v>MSR</v>
      </c>
      <c r="Y363" s="18" t="str">
        <f>VLOOKUP(A363,PAcc!$A$1:$J$27,10,0)</f>
        <v>#N/A</v>
      </c>
      <c r="Z363" s="42" t="b">
        <f t="shared" si="4"/>
        <v>0</v>
      </c>
      <c r="AA363" s="50">
        <v>0.4</v>
      </c>
      <c r="AB363" s="42" t="str">
        <f>VLOOKUP(A363,VlookupSheet!$A$383:$A$523,1,0)</f>
        <v>#N/A</v>
      </c>
      <c r="AC363" s="50">
        <v>0.01</v>
      </c>
      <c r="AD363" s="42">
        <f t="shared" si="32"/>
        <v>8620472.4</v>
      </c>
      <c r="AE363" s="42">
        <f t="shared" si="33"/>
        <v>80000</v>
      </c>
      <c r="AF363" s="123">
        <f t="shared" si="34"/>
        <v>0</v>
      </c>
    </row>
    <row r="364">
      <c r="A364" s="11" t="s">
        <v>427</v>
      </c>
      <c r="B364" s="84" t="s">
        <v>3106</v>
      </c>
      <c r="C364" s="25"/>
      <c r="D364" s="11">
        <f t="shared" si="41"/>
        <v>1</v>
      </c>
      <c r="E364" s="11">
        <f t="shared" si="42"/>
        <v>40000</v>
      </c>
      <c r="F364" s="30" t="s">
        <v>311</v>
      </c>
      <c r="G364" s="31">
        <v>40000.0</v>
      </c>
      <c r="H364" s="31">
        <v>40000.0</v>
      </c>
      <c r="I364" s="74" t="s">
        <v>413</v>
      </c>
      <c r="J364" s="25" t="s">
        <v>77</v>
      </c>
      <c r="K364" s="38">
        <f t="shared" si="17"/>
        <v>1</v>
      </c>
      <c r="L364" s="18" t="s">
        <v>910</v>
      </c>
      <c r="M364" s="18" t="s">
        <v>736</v>
      </c>
      <c r="N364" s="42"/>
      <c r="O364" s="42"/>
      <c r="P364" s="42"/>
      <c r="Q364" s="42" t="str">
        <f>iferror(VLOOKUP(A364,'Positional cal'!A:H,1,0)=A364,"FALSE")</f>
        <v>FALSE</v>
      </c>
      <c r="R364" s="43" t="b">
        <f t="shared" si="3"/>
        <v>0</v>
      </c>
      <c r="S364" s="46">
        <f>IFERROR(VLOOKUP($A364,AlgoUi!$A:$X,21,0),"NA")</f>
        <v>11622185</v>
      </c>
      <c r="T364" s="46">
        <f>IFERROR(VLOOKUP($A364,AlgoUi!$A:$X,23,0),"")</f>
        <v>12000000</v>
      </c>
      <c r="U364" s="46">
        <f>IFERROR(VLOOKUP($A364,AlgoUi!$A:$X,24,0),"")</f>
        <v>120000</v>
      </c>
      <c r="V364" s="42" t="str">
        <f>IFERROR(__xludf.DUMMYFUNCTION("IFERROR(VLOOKUP(I364,IMPORTRANGE(""https://docs.google.com/spreadsheets/d/17FOIUYQAjPk1pPQIlvOgqYDBqwUqgb7KWzp4DtVksBk/edit?gid=0#gid=0"",""Servers!A:S""),19,FALSE), ""Not Running"")"),"VIKASA")</f>
        <v>VIKASA</v>
      </c>
      <c r="W364" s="47" t="str">
        <f>VLOOKUP($A364,Category!$A:$E,4,0)</f>
        <v>MS</v>
      </c>
      <c r="X364" s="47" t="str">
        <f>VLOOKUP($A364,Category!$A:$E,5,0)</f>
        <v>MSR</v>
      </c>
      <c r="Y364" s="18" t="str">
        <f>VLOOKUP(A364,PAcc!$A$1:$J$27,10,0)</f>
        <v>#N/A</v>
      </c>
      <c r="Z364" s="42" t="b">
        <f t="shared" si="4"/>
        <v>0</v>
      </c>
      <c r="AA364" s="50">
        <v>0.4</v>
      </c>
      <c r="AB364" s="42" t="str">
        <f>VLOOKUP(A364,VlookupSheet!$A$383:$A$523,1,0)</f>
        <v>#N/A</v>
      </c>
      <c r="AC364" s="50">
        <v>0.01</v>
      </c>
      <c r="AD364" s="42">
        <f t="shared" si="32"/>
        <v>4648874</v>
      </c>
      <c r="AE364" s="42">
        <f t="shared" si="33"/>
        <v>40000</v>
      </c>
      <c r="AF364" s="123">
        <f t="shared" si="34"/>
        <v>0</v>
      </c>
    </row>
    <row r="365">
      <c r="A365" s="30" t="s">
        <v>439</v>
      </c>
      <c r="B365" s="84" t="s">
        <v>2178</v>
      </c>
      <c r="C365" s="85"/>
      <c r="D365" s="11">
        <f t="shared" si="41"/>
        <v>1</v>
      </c>
      <c r="E365" s="11">
        <f t="shared" si="42"/>
        <v>60000</v>
      </c>
      <c r="F365" s="30" t="s">
        <v>311</v>
      </c>
      <c r="G365" s="11" t="s">
        <v>1550</v>
      </c>
      <c r="H365" s="31">
        <v>60000.0</v>
      </c>
      <c r="I365" s="74" t="s">
        <v>413</v>
      </c>
      <c r="J365" s="25" t="s">
        <v>77</v>
      </c>
      <c r="K365" s="38">
        <f t="shared" si="17"/>
        <v>1</v>
      </c>
      <c r="L365" s="18" t="s">
        <v>910</v>
      </c>
      <c r="M365" s="18" t="s">
        <v>736</v>
      </c>
      <c r="N365" s="74"/>
      <c r="O365" s="74"/>
      <c r="P365" s="74"/>
      <c r="Q365" s="42" t="str">
        <f>iferror(VLOOKUP(A365,'Positional cal'!A:H,1,0)=A365,"FALSE")</f>
        <v>FALSE</v>
      </c>
      <c r="R365" s="43" t="b">
        <f t="shared" si="3"/>
        <v>0</v>
      </c>
      <c r="S365" s="46">
        <f>IFERROR(VLOOKUP($A365,AlgoUi!$A:$X,21,0),"NA")</f>
        <v>13430791</v>
      </c>
      <c r="T365" s="46">
        <f>IFERROR(VLOOKUP($A365,AlgoUi!$A:$X,23,0),"")</f>
        <v>14000000</v>
      </c>
      <c r="U365" s="46">
        <f>IFERROR(VLOOKUP($A365,AlgoUi!$A:$X,24,0),"")</f>
        <v>140000</v>
      </c>
      <c r="V365" s="42" t="str">
        <f>IFERROR(__xludf.DUMMYFUNCTION("IFERROR(VLOOKUP(I365,IMPORTRANGE(""https://docs.google.com/spreadsheets/d/17FOIUYQAjPk1pPQIlvOgqYDBqwUqgb7KWzp4DtVksBk/edit?gid=0#gid=0"",""Servers!A:S""),19,FALSE), ""Not Running"")"),"VIKASA")</f>
        <v>VIKASA</v>
      </c>
      <c r="W365" s="47" t="str">
        <f>VLOOKUP($A365,Category!$A:$E,4,0)</f>
        <v>MS</v>
      </c>
      <c r="X365" s="47" t="str">
        <f>VLOOKUP($A365,Category!$A:$E,5,0)</f>
        <v>MSR</v>
      </c>
      <c r="Y365" s="18" t="str">
        <f>VLOOKUP(A365,PAcc!$A$1:$J$27,10,0)</f>
        <v>#N/A</v>
      </c>
      <c r="Z365" s="42" t="b">
        <f t="shared" si="4"/>
        <v>0</v>
      </c>
      <c r="AA365" s="50">
        <v>0.4</v>
      </c>
      <c r="AB365" s="42" t="str">
        <f>VLOOKUP(A365,VlookupSheet!$A$383:$A$523,1,0)</f>
        <v>#N/A</v>
      </c>
      <c r="AC365" s="50">
        <v>0.01</v>
      </c>
      <c r="AD365" s="42">
        <f t="shared" si="32"/>
        <v>5372316.4</v>
      </c>
      <c r="AE365" s="42">
        <f t="shared" si="33"/>
        <v>60000</v>
      </c>
      <c r="AF365" s="123">
        <f t="shared" si="34"/>
        <v>0</v>
      </c>
    </row>
    <row r="366">
      <c r="A366" s="30" t="s">
        <v>409</v>
      </c>
      <c r="B366" s="84" t="s">
        <v>2249</v>
      </c>
      <c r="C366" s="85"/>
      <c r="D366" s="11">
        <f t="shared" si="41"/>
        <v>1</v>
      </c>
      <c r="E366" s="11">
        <f t="shared" si="42"/>
        <v>60000</v>
      </c>
      <c r="F366" s="30" t="s">
        <v>311</v>
      </c>
      <c r="G366" s="31">
        <v>60000.0</v>
      </c>
      <c r="H366" s="31">
        <v>60000.0</v>
      </c>
      <c r="I366" s="74" t="s">
        <v>413</v>
      </c>
      <c r="J366" s="25" t="s">
        <v>77</v>
      </c>
      <c r="K366" s="38">
        <f t="shared" si="17"/>
        <v>1</v>
      </c>
      <c r="L366" s="18" t="s">
        <v>910</v>
      </c>
      <c r="M366" s="18" t="s">
        <v>736</v>
      </c>
      <c r="N366" s="74"/>
      <c r="O366" s="74"/>
      <c r="P366" s="74"/>
      <c r="Q366" s="42" t="str">
        <f>iferror(VLOOKUP(A366,'Positional cal'!A:H,1,0)=A366,"FALSE")</f>
        <v>FALSE</v>
      </c>
      <c r="R366" s="43" t="b">
        <f t="shared" si="3"/>
        <v>0</v>
      </c>
      <c r="S366" s="46">
        <f>IFERROR(VLOOKUP($A366,AlgoUi!$A:$X,21,0),"NA")</f>
        <v>14565714</v>
      </c>
      <c r="T366" s="46">
        <f>IFERROR(VLOOKUP($A366,AlgoUi!$A:$X,23,0),"")</f>
        <v>14000000</v>
      </c>
      <c r="U366" s="46">
        <f>IFERROR(VLOOKUP($A366,AlgoUi!$A:$X,24,0),"")</f>
        <v>140000</v>
      </c>
      <c r="V366" s="42" t="str">
        <f>IFERROR(__xludf.DUMMYFUNCTION("IFERROR(VLOOKUP(I366,IMPORTRANGE(""https://docs.google.com/spreadsheets/d/17FOIUYQAjPk1pPQIlvOgqYDBqwUqgb7KWzp4DtVksBk/edit?gid=0#gid=0"",""Servers!A:S""),19,FALSE), ""Not Running"")"),"VIKASA")</f>
        <v>VIKASA</v>
      </c>
      <c r="W366" s="47" t="str">
        <f>VLOOKUP($A366,Category!$A:$E,4,0)</f>
        <v>MS</v>
      </c>
      <c r="X366" s="47" t="str">
        <f>VLOOKUP($A366,Category!$A:$E,5,0)</f>
        <v>MSR</v>
      </c>
      <c r="Y366" s="18" t="str">
        <f>VLOOKUP(A366,PAcc!$A$1:$J$27,10,0)</f>
        <v>#N/A</v>
      </c>
      <c r="Z366" s="42" t="b">
        <f t="shared" si="4"/>
        <v>0</v>
      </c>
      <c r="AA366" s="50">
        <v>0.4</v>
      </c>
      <c r="AB366" s="42" t="str">
        <f>VLOOKUP(A366,VlookupSheet!$A$383:$A$523,1,0)</f>
        <v>#N/A</v>
      </c>
      <c r="AC366" s="50">
        <v>0.01</v>
      </c>
      <c r="AD366" s="42">
        <f t="shared" si="32"/>
        <v>5826285.6</v>
      </c>
      <c r="AE366" s="42">
        <f t="shared" si="33"/>
        <v>60000</v>
      </c>
      <c r="AF366" s="123">
        <f t="shared" si="34"/>
        <v>0</v>
      </c>
    </row>
    <row r="367">
      <c r="A367" s="30" t="s">
        <v>447</v>
      </c>
      <c r="B367" s="84" t="s">
        <v>2995</v>
      </c>
      <c r="C367" s="85"/>
      <c r="D367" s="11">
        <f t="shared" si="41"/>
        <v>1</v>
      </c>
      <c r="E367" s="11">
        <f t="shared" si="42"/>
        <v>40000</v>
      </c>
      <c r="F367" s="30" t="s">
        <v>311</v>
      </c>
      <c r="G367" s="31">
        <v>40000.0</v>
      </c>
      <c r="H367" s="31">
        <v>40000.0</v>
      </c>
      <c r="I367" s="74" t="s">
        <v>413</v>
      </c>
      <c r="J367" s="25" t="s">
        <v>77</v>
      </c>
      <c r="K367" s="38">
        <f t="shared" si="17"/>
        <v>1</v>
      </c>
      <c r="L367" s="18" t="s">
        <v>910</v>
      </c>
      <c r="M367" s="18" t="s">
        <v>736</v>
      </c>
      <c r="N367" s="34">
        <v>1.0</v>
      </c>
      <c r="O367" s="34"/>
      <c r="P367" s="34" t="s">
        <v>848</v>
      </c>
      <c r="Q367" s="42" t="str">
        <f>iferror(VLOOKUP(A367,'Positional cal'!A:H,1,0)=A367,"FALSE")</f>
        <v>FALSE</v>
      </c>
      <c r="R367" s="43" t="b">
        <f t="shared" si="3"/>
        <v>0</v>
      </c>
      <c r="S367" s="46">
        <f>IFERROR(VLOOKUP($A367,AlgoUi!$A:$X,21,0),"NA")</f>
        <v>11344951</v>
      </c>
      <c r="T367" s="46">
        <f>IFERROR(VLOOKUP($A367,AlgoUi!$A:$X,23,0),"")</f>
        <v>12000000</v>
      </c>
      <c r="U367" s="46">
        <f>IFERROR(VLOOKUP($A367,AlgoUi!$A:$X,24,0),"")</f>
        <v>120000</v>
      </c>
      <c r="V367" s="42" t="str">
        <f>IFERROR(__xludf.DUMMYFUNCTION("IFERROR(VLOOKUP(I367,IMPORTRANGE(""https://docs.google.com/spreadsheets/d/17FOIUYQAjPk1pPQIlvOgqYDBqwUqgb7KWzp4DtVksBk/edit?gid=0#gid=0"",""Servers!A:S""),19,FALSE), ""Not Running"")"),"VIKASA")</f>
        <v>VIKASA</v>
      </c>
      <c r="W367" s="47" t="str">
        <f>VLOOKUP($A367,Category!$A:$E,4,0)</f>
        <v>MS</v>
      </c>
      <c r="X367" s="47" t="str">
        <f>VLOOKUP($A367,Category!$A:$E,5,0)</f>
        <v>MSR</v>
      </c>
      <c r="Y367" s="18" t="str">
        <f>VLOOKUP(A367,PAcc!$A$1:$J$27,10,0)</f>
        <v>#N/A</v>
      </c>
      <c r="Z367" s="42" t="b">
        <f t="shared" si="4"/>
        <v>0</v>
      </c>
      <c r="AA367" s="50">
        <v>0.4</v>
      </c>
      <c r="AB367" s="42" t="str">
        <f>VLOOKUP(A367,VlookupSheet!$A$383:$A$523,1,0)</f>
        <v>#N/A</v>
      </c>
      <c r="AC367" s="50">
        <v>0.01</v>
      </c>
      <c r="AD367" s="42">
        <f t="shared" si="32"/>
        <v>4537980.4</v>
      </c>
      <c r="AE367" s="42">
        <f t="shared" si="33"/>
        <v>40000</v>
      </c>
      <c r="AF367" s="123">
        <f t="shared" si="34"/>
        <v>0</v>
      </c>
    </row>
    <row r="368">
      <c r="A368" s="11" t="s">
        <v>550</v>
      </c>
      <c r="B368" s="24" t="s">
        <v>3266</v>
      </c>
      <c r="C368" s="25"/>
      <c r="D368" s="11">
        <f t="shared" si="41"/>
        <v>1</v>
      </c>
      <c r="E368" s="11">
        <f t="shared" si="42"/>
        <v>40000</v>
      </c>
      <c r="F368" s="30" t="s">
        <v>311</v>
      </c>
      <c r="G368" s="31">
        <v>40000.0</v>
      </c>
      <c r="H368" s="31">
        <v>40000.0</v>
      </c>
      <c r="I368" s="74" t="s">
        <v>413</v>
      </c>
      <c r="J368" s="25" t="s">
        <v>77</v>
      </c>
      <c r="K368" s="38">
        <f t="shared" si="17"/>
        <v>1</v>
      </c>
      <c r="L368" s="18" t="s">
        <v>910</v>
      </c>
      <c r="M368" s="18" t="s">
        <v>736</v>
      </c>
      <c r="N368" s="34">
        <v>1.0</v>
      </c>
      <c r="O368" s="34"/>
      <c r="P368" s="34" t="s">
        <v>848</v>
      </c>
      <c r="Q368" s="42" t="str">
        <f>iferror(VLOOKUP(A368,'Positional cal'!A:H,1,0)=A368,"FALSE")</f>
        <v>FALSE</v>
      </c>
      <c r="R368" s="43" t="b">
        <f t="shared" si="3"/>
        <v>0</v>
      </c>
      <c r="S368" s="46">
        <f>IFERROR(VLOOKUP($A368,AlgoUi!$A:$X,21,0),"NA")</f>
        <v>11959743</v>
      </c>
      <c r="T368" s="46">
        <f>IFERROR(VLOOKUP($A368,AlgoUi!$A:$X,23,0),"")</f>
        <v>12000000</v>
      </c>
      <c r="U368" s="46">
        <f>IFERROR(VLOOKUP($A368,AlgoUi!$A:$X,24,0),"")</f>
        <v>120000</v>
      </c>
      <c r="V368" s="42" t="str">
        <f>IFERROR(__xludf.DUMMYFUNCTION("IFERROR(VLOOKUP(I368,IMPORTRANGE(""https://docs.google.com/spreadsheets/d/17FOIUYQAjPk1pPQIlvOgqYDBqwUqgb7KWzp4DtVksBk/edit?gid=0#gid=0"",""Servers!A:S""),19,FALSE), ""Not Running"")"),"VIKASA")</f>
        <v>VIKASA</v>
      </c>
      <c r="W368" s="47" t="str">
        <f>VLOOKUP($A368,Category!$A:$E,4,0)</f>
        <v>MS</v>
      </c>
      <c r="X368" s="47" t="str">
        <f>VLOOKUP($A368,Category!$A:$E,5,0)</f>
        <v>MSR</v>
      </c>
      <c r="Y368" s="18" t="str">
        <f>VLOOKUP(A368,PAcc!$A$1:$J$27,10,0)</f>
        <v>#N/A</v>
      </c>
      <c r="Z368" s="42" t="b">
        <f t="shared" si="4"/>
        <v>0</v>
      </c>
      <c r="AA368" s="50">
        <v>0.4</v>
      </c>
      <c r="AB368" s="42" t="str">
        <f>VLOOKUP(A368,VlookupSheet!$A$383:$A$523,1,0)</f>
        <v>#N/A</v>
      </c>
      <c r="AC368" s="50">
        <v>0.01</v>
      </c>
      <c r="AD368" s="42">
        <f t="shared" si="32"/>
        <v>4783897.2</v>
      </c>
      <c r="AE368" s="42">
        <f t="shared" si="33"/>
        <v>40000</v>
      </c>
      <c r="AF368" s="123">
        <f t="shared" si="34"/>
        <v>0</v>
      </c>
    </row>
    <row r="369">
      <c r="A369" s="30" t="s">
        <v>523</v>
      </c>
      <c r="B369" s="84" t="s">
        <v>2262</v>
      </c>
      <c r="C369" s="85"/>
      <c r="D369" s="11">
        <f t="shared" si="41"/>
        <v>1</v>
      </c>
      <c r="E369" s="11">
        <f t="shared" si="42"/>
        <v>40000</v>
      </c>
      <c r="F369" s="30" t="s">
        <v>311</v>
      </c>
      <c r="G369" s="11" t="s">
        <v>1100</v>
      </c>
      <c r="H369" s="31">
        <v>40000.0</v>
      </c>
      <c r="I369" s="74" t="s">
        <v>413</v>
      </c>
      <c r="J369" s="25" t="s">
        <v>77</v>
      </c>
      <c r="K369" s="38">
        <f t="shared" si="17"/>
        <v>1</v>
      </c>
      <c r="L369" s="18" t="s">
        <v>910</v>
      </c>
      <c r="M369" s="18" t="s">
        <v>736</v>
      </c>
      <c r="N369" s="74"/>
      <c r="O369" s="74"/>
      <c r="P369" s="74"/>
      <c r="Q369" s="42" t="str">
        <f>iferror(VLOOKUP(A369,'Positional cal'!A:H,1,0)=A369,"FALSE")</f>
        <v>FALSE</v>
      </c>
      <c r="R369" s="43" t="b">
        <f t="shared" si="3"/>
        <v>0</v>
      </c>
      <c r="S369" s="46">
        <f>IFERROR(VLOOKUP($A369,AlgoUi!$A:$X,21,0),"NA")</f>
        <v>11481205</v>
      </c>
      <c r="T369" s="46">
        <f>IFERROR(VLOOKUP($A369,AlgoUi!$A:$X,23,0),"")</f>
        <v>12000000</v>
      </c>
      <c r="U369" s="46">
        <f>IFERROR(VLOOKUP($A369,AlgoUi!$A:$X,24,0),"")</f>
        <v>120000</v>
      </c>
      <c r="V369" s="42" t="str">
        <f>IFERROR(__xludf.DUMMYFUNCTION("IFERROR(VLOOKUP(I369,IMPORTRANGE(""https://docs.google.com/spreadsheets/d/17FOIUYQAjPk1pPQIlvOgqYDBqwUqgb7KWzp4DtVksBk/edit?gid=0#gid=0"",""Servers!A:S""),19,FALSE), ""Not Running"")"),"VIKASA")</f>
        <v>VIKASA</v>
      </c>
      <c r="W369" s="47" t="str">
        <f>VLOOKUP($A369,Category!$A:$E,4,0)</f>
        <v>MS</v>
      </c>
      <c r="X369" s="47" t="str">
        <f>VLOOKUP($A369,Category!$A:$E,5,0)</f>
        <v>MSP</v>
      </c>
      <c r="Y369" s="18" t="str">
        <f>VLOOKUP(A369,PAcc!$A$1:$J$27,10,0)</f>
        <v>#N/A</v>
      </c>
      <c r="Z369" s="42" t="b">
        <f t="shared" si="4"/>
        <v>0</v>
      </c>
      <c r="AA369" s="50">
        <v>0.4</v>
      </c>
      <c r="AB369" s="42" t="str">
        <f>VLOOKUP(A369,VlookupSheet!$A$383:$A$523,1,0)</f>
        <v>#N/A</v>
      </c>
      <c r="AC369" s="87">
        <v>0.008</v>
      </c>
      <c r="AD369" s="42">
        <f t="shared" si="32"/>
        <v>4592482</v>
      </c>
      <c r="AE369" s="42">
        <f t="shared" si="33"/>
        <v>40000</v>
      </c>
      <c r="AF369" s="123">
        <f t="shared" si="34"/>
        <v>0</v>
      </c>
    </row>
    <row r="370">
      <c r="A370" s="11" t="s">
        <v>394</v>
      </c>
      <c r="B370" s="84" t="s">
        <v>3073</v>
      </c>
      <c r="C370" s="25"/>
      <c r="D370" s="11">
        <f t="shared" si="41"/>
        <v>1</v>
      </c>
      <c r="E370" s="11">
        <f t="shared" si="42"/>
        <v>20000</v>
      </c>
      <c r="F370" s="30" t="s">
        <v>311</v>
      </c>
      <c r="G370" s="11" t="s">
        <v>1134</v>
      </c>
      <c r="H370" s="31">
        <v>20000.0</v>
      </c>
      <c r="I370" s="74" t="s">
        <v>413</v>
      </c>
      <c r="J370" s="25" t="s">
        <v>77</v>
      </c>
      <c r="K370" s="38">
        <f t="shared" si="17"/>
        <v>1</v>
      </c>
      <c r="L370" s="18" t="s">
        <v>910</v>
      </c>
      <c r="M370" s="18" t="s">
        <v>736</v>
      </c>
      <c r="N370" s="42"/>
      <c r="O370" s="42"/>
      <c r="P370" s="42"/>
      <c r="Q370" s="42" t="str">
        <f>iferror(VLOOKUP(A370,'Positional cal'!A:H,1,0)=A370,"FALSE")</f>
        <v>FALSE</v>
      </c>
      <c r="R370" s="43" t="b">
        <f t="shared" si="3"/>
        <v>0</v>
      </c>
      <c r="S370" s="46">
        <f>IFERROR(VLOOKUP($A370,AlgoUi!$A:$X,21,0),"NA")</f>
        <v>6283910</v>
      </c>
      <c r="T370" s="46">
        <f>IFERROR(VLOOKUP($A370,AlgoUi!$A:$X,23,0),"")</f>
        <v>6000000</v>
      </c>
      <c r="U370" s="46">
        <f>IFERROR(VLOOKUP($A370,AlgoUi!$A:$X,24,0),"")</f>
        <v>60000</v>
      </c>
      <c r="V370" s="42" t="str">
        <f>IFERROR(__xludf.DUMMYFUNCTION("IFERROR(VLOOKUP(I370,IMPORTRANGE(""https://docs.google.com/spreadsheets/d/17FOIUYQAjPk1pPQIlvOgqYDBqwUqgb7KWzp4DtVksBk/edit?gid=0#gid=0"",""Servers!A:S""),19,FALSE), ""Not Running"")"),"VIKASA")</f>
        <v>VIKASA</v>
      </c>
      <c r="W370" s="47" t="str">
        <f>VLOOKUP($A370,Category!$A:$E,4,0)</f>
        <v>MS</v>
      </c>
      <c r="X370" s="47" t="str">
        <f>VLOOKUP($A370,Category!$A:$E,5,0)</f>
        <v>MSN</v>
      </c>
      <c r="Y370" s="18" t="str">
        <f>VLOOKUP(A370,PAcc!$A$1:$J$27,10,0)</f>
        <v>#N/A</v>
      </c>
      <c r="Z370" s="42" t="b">
        <f t="shared" si="4"/>
        <v>0</v>
      </c>
      <c r="AA370" s="50">
        <v>0.4</v>
      </c>
      <c r="AB370" s="42" t="str">
        <f>VLOOKUP(A370,VlookupSheet!$A$383:$A$523,1,0)</f>
        <v>#N/A</v>
      </c>
      <c r="AC370" s="87">
        <v>0.008</v>
      </c>
      <c r="AD370" s="42">
        <f t="shared" si="32"/>
        <v>2513564</v>
      </c>
      <c r="AE370" s="42">
        <f t="shared" si="33"/>
        <v>20000</v>
      </c>
      <c r="AF370" s="123">
        <f t="shared" si="34"/>
        <v>0</v>
      </c>
    </row>
    <row r="371">
      <c r="A371" s="30" t="s">
        <v>423</v>
      </c>
      <c r="B371" s="84" t="s">
        <v>2697</v>
      </c>
      <c r="C371" s="85"/>
      <c r="D371" s="11">
        <f t="shared" si="41"/>
        <v>1</v>
      </c>
      <c r="E371" s="11">
        <f t="shared" si="42"/>
        <v>20000</v>
      </c>
      <c r="F371" s="30" t="s">
        <v>311</v>
      </c>
      <c r="G371" s="11" t="s">
        <v>1134</v>
      </c>
      <c r="H371" s="31">
        <v>20000.0</v>
      </c>
      <c r="I371" s="74" t="s">
        <v>413</v>
      </c>
      <c r="J371" s="25" t="s">
        <v>77</v>
      </c>
      <c r="K371" s="38">
        <f t="shared" si="17"/>
        <v>1</v>
      </c>
      <c r="L371" s="18" t="s">
        <v>910</v>
      </c>
      <c r="M371" s="18" t="s">
        <v>736</v>
      </c>
      <c r="N371" s="74"/>
      <c r="O371" s="74"/>
      <c r="P371" s="74"/>
      <c r="Q371" s="42" t="str">
        <f>iferror(VLOOKUP(A371,'Positional cal'!A:H,1,0)=A371,"FALSE")</f>
        <v>FALSE</v>
      </c>
      <c r="R371" s="43" t="b">
        <f t="shared" si="3"/>
        <v>0</v>
      </c>
      <c r="S371" s="46">
        <f>IFERROR(VLOOKUP($A371,AlgoUi!$A:$X,21,0),"NA")</f>
        <v>7002226</v>
      </c>
      <c r="T371" s="46">
        <f>IFERROR(VLOOKUP($A371,AlgoUi!$A:$X,23,0),"")</f>
        <v>8000000</v>
      </c>
      <c r="U371" s="46">
        <f>IFERROR(VLOOKUP($A371,AlgoUi!$A:$X,24,0),"")</f>
        <v>80000</v>
      </c>
      <c r="V371" s="42" t="str">
        <f>IFERROR(__xludf.DUMMYFUNCTION("IFERROR(VLOOKUP(I371,IMPORTRANGE(""https://docs.google.com/spreadsheets/d/17FOIUYQAjPk1pPQIlvOgqYDBqwUqgb7KWzp4DtVksBk/edit?gid=0#gid=0"",""Servers!A:S""),19,FALSE), ""Not Running"")"),"VIKASA")</f>
        <v>VIKASA</v>
      </c>
      <c r="W371" s="47" t="str">
        <f>VLOOKUP($A371,Category!$A:$E,4,0)</f>
        <v>MS</v>
      </c>
      <c r="X371" s="47" t="str">
        <f>VLOOKUP($A371,Category!$A:$E,5,0)</f>
        <v>MSR</v>
      </c>
      <c r="Y371" s="18" t="str">
        <f>VLOOKUP(A371,PAcc!$A$1:$J$27,10,0)</f>
        <v>#N/A</v>
      </c>
      <c r="Z371" s="42" t="b">
        <f t="shared" si="4"/>
        <v>0</v>
      </c>
      <c r="AA371" s="50">
        <v>0.4</v>
      </c>
      <c r="AB371" s="42" t="str">
        <f>VLOOKUP(A371,VlookupSheet!$A$383:$A$523,1,0)</f>
        <v>#N/A</v>
      </c>
      <c r="AC371" s="87">
        <v>0.008</v>
      </c>
      <c r="AD371" s="42">
        <f t="shared" si="32"/>
        <v>2800890.4</v>
      </c>
      <c r="AE371" s="42">
        <f t="shared" si="33"/>
        <v>20000</v>
      </c>
      <c r="AF371" s="123">
        <f t="shared" si="34"/>
        <v>0</v>
      </c>
    </row>
    <row r="372">
      <c r="A372" s="75" t="s">
        <v>536</v>
      </c>
      <c r="B372" s="84" t="s">
        <v>3075</v>
      </c>
      <c r="C372" s="25"/>
      <c r="D372" s="11">
        <f t="shared" si="41"/>
        <v>1</v>
      </c>
      <c r="E372" s="11">
        <f t="shared" si="42"/>
        <v>20000</v>
      </c>
      <c r="F372" s="30" t="s">
        <v>311</v>
      </c>
      <c r="G372" s="31">
        <v>20000.0</v>
      </c>
      <c r="H372" s="31">
        <v>20000.0</v>
      </c>
      <c r="I372" s="74" t="s">
        <v>413</v>
      </c>
      <c r="J372" s="25" t="s">
        <v>77</v>
      </c>
      <c r="K372" s="38">
        <f t="shared" si="17"/>
        <v>1</v>
      </c>
      <c r="L372" s="18" t="s">
        <v>910</v>
      </c>
      <c r="M372" s="18" t="s">
        <v>736</v>
      </c>
      <c r="N372" s="42"/>
      <c r="O372" s="42"/>
      <c r="P372" s="42"/>
      <c r="Q372" s="42" t="str">
        <f>iferror(VLOOKUP(A372,'Positional cal'!A:H,1,0)=A372,"FALSE")</f>
        <v>FALSE</v>
      </c>
      <c r="R372" s="43" t="b">
        <f t="shared" si="3"/>
        <v>0</v>
      </c>
      <c r="S372" s="46">
        <f>IFERROR(VLOOKUP($A372,AlgoUi!$A:$X,21,0),"NA")</f>
        <v>6453961</v>
      </c>
      <c r="T372" s="46">
        <f>IFERROR(VLOOKUP($A372,AlgoUi!$A:$X,23,0),"")</f>
        <v>6000000</v>
      </c>
      <c r="U372" s="46">
        <f>IFERROR(VLOOKUP($A372,AlgoUi!$A:$X,24,0),"")</f>
        <v>60000</v>
      </c>
      <c r="V372" s="42" t="str">
        <f>IFERROR(__xludf.DUMMYFUNCTION("IFERROR(VLOOKUP(I372,IMPORTRANGE(""https://docs.google.com/spreadsheets/d/17FOIUYQAjPk1pPQIlvOgqYDBqwUqgb7KWzp4DtVksBk/edit?gid=0#gid=0"",""Servers!A:S""),19,FALSE), ""Not Running"")"),"VIKASA")</f>
        <v>VIKASA</v>
      </c>
      <c r="W372" s="47" t="str">
        <f>VLOOKUP($A372,Category!$A:$E,4,0)</f>
        <v>MS</v>
      </c>
      <c r="X372" s="47" t="str">
        <f>VLOOKUP($A372,Category!$A:$E,5,0)</f>
        <v>MSR</v>
      </c>
      <c r="Y372" s="18" t="str">
        <f>VLOOKUP(A372,PAcc!$A$1:$J$27,10,0)</f>
        <v>#N/A</v>
      </c>
      <c r="Z372" s="42" t="b">
        <f t="shared" si="4"/>
        <v>0</v>
      </c>
      <c r="AA372" s="50">
        <v>0.4</v>
      </c>
      <c r="AB372" s="42" t="str">
        <f>VLOOKUP(A372,VlookupSheet!$A$383:$A$523,1,0)</f>
        <v>#N/A</v>
      </c>
      <c r="AC372" s="87">
        <v>0.008</v>
      </c>
      <c r="AD372" s="42">
        <f t="shared" si="32"/>
        <v>2581584.4</v>
      </c>
      <c r="AE372" s="42">
        <f t="shared" si="33"/>
        <v>20000</v>
      </c>
      <c r="AF372" s="123">
        <f t="shared" si="34"/>
        <v>0</v>
      </c>
    </row>
    <row r="373">
      <c r="A373" s="11" t="s">
        <v>2860</v>
      </c>
      <c r="B373" s="24" t="s">
        <v>2862</v>
      </c>
      <c r="C373" s="25"/>
      <c r="D373" s="11">
        <f t="shared" si="41"/>
        <v>1</v>
      </c>
      <c r="E373" s="11">
        <f t="shared" si="42"/>
        <v>40000</v>
      </c>
      <c r="F373" s="11" t="s">
        <v>311</v>
      </c>
      <c r="G373" s="11" t="s">
        <v>1100</v>
      </c>
      <c r="H373" s="31">
        <v>40000.0</v>
      </c>
      <c r="I373" s="11" t="s">
        <v>413</v>
      </c>
      <c r="J373" s="11" t="s">
        <v>77</v>
      </c>
      <c r="K373" s="38">
        <f t="shared" si="17"/>
        <v>1</v>
      </c>
      <c r="L373" s="18" t="s">
        <v>910</v>
      </c>
      <c r="M373" s="18" t="s">
        <v>736</v>
      </c>
      <c r="N373" s="42"/>
      <c r="O373" s="42"/>
      <c r="P373" s="42"/>
      <c r="Q373" s="42" t="str">
        <f>iferror(VLOOKUP(A373,'Positional cal'!A:H,1,0)=A373,"FALSE")</f>
        <v>FALSE</v>
      </c>
      <c r="R373" s="43" t="b">
        <f t="shared" si="3"/>
        <v>0</v>
      </c>
      <c r="S373" s="46">
        <f>IFERROR(VLOOKUP($A373,AlgoUi!$A:$X,21,0),"NA")</f>
        <v>10318183</v>
      </c>
      <c r="T373" s="46">
        <f>IFERROR(VLOOKUP($A373,AlgoUi!$A:$X,23,0),"")</f>
        <v>10000000</v>
      </c>
      <c r="U373" s="46">
        <f>IFERROR(VLOOKUP($A373,AlgoUi!$A:$X,24,0),"")</f>
        <v>100000</v>
      </c>
      <c r="V373" s="42" t="str">
        <f>IFERROR(__xludf.DUMMYFUNCTION("IFERROR(VLOOKUP(I373,IMPORTRANGE(""https://docs.google.com/spreadsheets/d/17FOIUYQAjPk1pPQIlvOgqYDBqwUqgb7KWzp4DtVksBk/edit?gid=0#gid=0"",""Servers!A:S""),19,FALSE), ""Not Running"")"),"VIKASA")</f>
        <v>VIKASA</v>
      </c>
      <c r="W373" s="47" t="str">
        <f>VLOOKUP($A373,Category!$A:$E,4,0)</f>
        <v>MS</v>
      </c>
      <c r="X373" s="47" t="str">
        <f>VLOOKUP($A373,Category!$A:$E,5,0)</f>
        <v>MSN</v>
      </c>
      <c r="Y373" s="18" t="str">
        <f>VLOOKUP(A373,PAcc!$A$1:$J$27,10,0)</f>
        <v>#N/A</v>
      </c>
      <c r="Z373" s="42" t="b">
        <f t="shared" si="4"/>
        <v>0</v>
      </c>
      <c r="AA373" s="50">
        <v>0.4</v>
      </c>
      <c r="AB373" s="42" t="str">
        <f>VLOOKUP(A373,VlookupSheet!$A$383:$A$523,1,0)</f>
        <v>#N/A</v>
      </c>
      <c r="AC373" s="87">
        <v>0.008</v>
      </c>
      <c r="AD373" s="42">
        <f t="shared" si="32"/>
        <v>4127273.2</v>
      </c>
      <c r="AE373" s="42">
        <f t="shared" si="33"/>
        <v>40000</v>
      </c>
      <c r="AF373" s="123">
        <f t="shared" si="34"/>
        <v>0</v>
      </c>
    </row>
    <row r="374">
      <c r="A374" s="30" t="s">
        <v>349</v>
      </c>
      <c r="B374" s="84" t="s">
        <v>3068</v>
      </c>
      <c r="C374" s="85"/>
      <c r="D374" s="11">
        <f t="shared" si="41"/>
        <v>1</v>
      </c>
      <c r="E374" s="11">
        <f t="shared" si="42"/>
        <v>60000</v>
      </c>
      <c r="F374" s="30" t="s">
        <v>311</v>
      </c>
      <c r="G374" s="11" t="s">
        <v>1550</v>
      </c>
      <c r="H374" s="31">
        <v>60000.0</v>
      </c>
      <c r="I374" s="34" t="s">
        <v>338</v>
      </c>
      <c r="J374" s="11" t="s">
        <v>77</v>
      </c>
      <c r="K374" s="38">
        <f t="shared" si="17"/>
        <v>1</v>
      </c>
      <c r="L374" s="18" t="s">
        <v>910</v>
      </c>
      <c r="M374" s="18" t="s">
        <v>736</v>
      </c>
      <c r="N374" s="42"/>
      <c r="O374" s="42"/>
      <c r="P374" s="42"/>
      <c r="Q374" s="42" t="str">
        <f>iferror(VLOOKUP(A374,'Positional cal'!A:H,1,0)=A374,"FALSE")</f>
        <v>FALSE</v>
      </c>
      <c r="R374" s="43" t="b">
        <f t="shared" si="3"/>
        <v>0</v>
      </c>
      <c r="S374" s="46">
        <f>IFERROR(VLOOKUP($A374,AlgoUi!$A:$X,21,0),"NA")</f>
        <v>14113016</v>
      </c>
      <c r="T374" s="46">
        <f>IFERROR(VLOOKUP($A374,AlgoUi!$A:$X,23,0),"")</f>
        <v>14000000</v>
      </c>
      <c r="U374" s="46">
        <f>IFERROR(VLOOKUP($A374,AlgoUi!$A:$X,24,0),"")</f>
        <v>140000</v>
      </c>
      <c r="V374" s="42" t="str">
        <f>IFERROR(__xludf.DUMMYFUNCTION("IFERROR(VLOOKUP(I374,IMPORTRANGE(""https://docs.google.com/spreadsheets/d/17FOIUYQAjPk1pPQIlvOgqYDBqwUqgb7KWzp4DtVksBk/edit?gid=0#gid=0"",""Servers!A:S""),19,FALSE), ""Not Running"")"),"NIDHID")</f>
        <v>NIDHID</v>
      </c>
      <c r="W374" s="47" t="str">
        <f>VLOOKUP($A374,Category!$A:$E,4,0)</f>
        <v>MS</v>
      </c>
      <c r="X374" s="47" t="str">
        <f>VLOOKUP($A374,Category!$A:$E,5,0)</f>
        <v>MSN</v>
      </c>
      <c r="Y374" s="18" t="str">
        <f>VLOOKUP(A374,PAcc!$A$1:$J$27,10,0)</f>
        <v>#N/A</v>
      </c>
      <c r="Z374" s="42" t="b">
        <f t="shared" si="4"/>
        <v>0</v>
      </c>
      <c r="AA374" s="50">
        <v>0.4</v>
      </c>
      <c r="AB374" s="42" t="str">
        <f>VLOOKUP(A374,VlookupSheet!$A$383:$A$523,1,0)</f>
        <v>#N/A</v>
      </c>
      <c r="AC374" s="87">
        <v>0.008</v>
      </c>
      <c r="AD374" s="42">
        <f t="shared" si="32"/>
        <v>5645206.4</v>
      </c>
      <c r="AE374" s="42">
        <f t="shared" si="33"/>
        <v>60000</v>
      </c>
      <c r="AF374" s="123">
        <f t="shared" si="34"/>
        <v>0</v>
      </c>
    </row>
    <row r="375">
      <c r="A375" s="30" t="s">
        <v>547</v>
      </c>
      <c r="B375" s="84" t="s">
        <v>1902</v>
      </c>
      <c r="C375" s="85"/>
      <c r="D375" s="11">
        <f t="shared" si="41"/>
        <v>1</v>
      </c>
      <c r="E375" s="11">
        <f t="shared" si="42"/>
        <v>40000</v>
      </c>
      <c r="F375" s="30" t="s">
        <v>311</v>
      </c>
      <c r="G375" s="11" t="s">
        <v>1100</v>
      </c>
      <c r="H375" s="31">
        <v>40000.0</v>
      </c>
      <c r="I375" s="34" t="s">
        <v>338</v>
      </c>
      <c r="J375" s="11" t="s">
        <v>77</v>
      </c>
      <c r="K375" s="38">
        <f t="shared" si="17"/>
        <v>1</v>
      </c>
      <c r="L375" s="18" t="s">
        <v>910</v>
      </c>
      <c r="M375" s="18" t="s">
        <v>736</v>
      </c>
      <c r="N375" s="74"/>
      <c r="O375" s="74"/>
      <c r="P375" s="74"/>
      <c r="Q375" s="42" t="str">
        <f>iferror(VLOOKUP(A375,'Positional cal'!A:H,1,0)=A375,"FALSE")</f>
        <v>FALSE</v>
      </c>
      <c r="R375" s="43" t="b">
        <f t="shared" si="3"/>
        <v>0</v>
      </c>
      <c r="S375" s="46">
        <f>IFERROR(VLOOKUP($A375,AlgoUi!$A:$X,21,0),"NA")</f>
        <v>11501263</v>
      </c>
      <c r="T375" s="46">
        <f>IFERROR(VLOOKUP($A375,AlgoUi!$A:$X,23,0),"")</f>
        <v>12000000</v>
      </c>
      <c r="U375" s="46">
        <f>IFERROR(VLOOKUP($A375,AlgoUi!$A:$X,24,0),"")</f>
        <v>120000</v>
      </c>
      <c r="V375" s="42" t="str">
        <f>IFERROR(__xludf.DUMMYFUNCTION("IFERROR(VLOOKUP(I375,IMPORTRANGE(""https://docs.google.com/spreadsheets/d/17FOIUYQAjPk1pPQIlvOgqYDBqwUqgb7KWzp4DtVksBk/edit?gid=0#gid=0"",""Servers!A:S""),19,FALSE), ""Not Running"")"),"NIDHID")</f>
        <v>NIDHID</v>
      </c>
      <c r="W375" s="47" t="str">
        <f>VLOOKUP($A375,Category!$A:$E,4,0)</f>
        <v>MS</v>
      </c>
      <c r="X375" s="47" t="str">
        <f>VLOOKUP($A375,Category!$A:$E,5,0)</f>
        <v>MSR</v>
      </c>
      <c r="Y375" s="18" t="str">
        <f>VLOOKUP(A375,PAcc!$A$1:$J$27,10,0)</f>
        <v>#N/A</v>
      </c>
      <c r="Z375" s="42" t="b">
        <f t="shared" si="4"/>
        <v>0</v>
      </c>
      <c r="AA375" s="50">
        <v>0.4</v>
      </c>
      <c r="AB375" s="42" t="str">
        <f>VLOOKUP(A375,VlookupSheet!$A$383:$A$523,1,0)</f>
        <v>#N/A</v>
      </c>
      <c r="AC375" s="87">
        <v>0.008</v>
      </c>
      <c r="AD375" s="42">
        <f t="shared" si="32"/>
        <v>4600505.2</v>
      </c>
      <c r="AE375" s="42">
        <f t="shared" si="33"/>
        <v>40000</v>
      </c>
      <c r="AF375" s="123">
        <f t="shared" si="34"/>
        <v>0</v>
      </c>
    </row>
    <row r="376">
      <c r="A376" s="30" t="s">
        <v>1806</v>
      </c>
      <c r="B376" s="84" t="s">
        <v>3351</v>
      </c>
      <c r="C376" s="25"/>
      <c r="D376" s="11">
        <f t="shared" si="41"/>
        <v>1</v>
      </c>
      <c r="E376" s="11">
        <f t="shared" si="42"/>
        <v>60000</v>
      </c>
      <c r="F376" s="30" t="s">
        <v>1367</v>
      </c>
      <c r="G376" s="11" t="s">
        <v>1550</v>
      </c>
      <c r="H376" s="31">
        <v>60000.0</v>
      </c>
      <c r="I376" s="127" t="s">
        <v>338</v>
      </c>
      <c r="J376" s="30" t="s">
        <v>77</v>
      </c>
      <c r="K376" s="38">
        <f t="shared" si="17"/>
        <v>1</v>
      </c>
      <c r="L376" s="18" t="s">
        <v>910</v>
      </c>
      <c r="M376" s="18" t="s">
        <v>736</v>
      </c>
      <c r="N376" s="18">
        <v>1.6</v>
      </c>
      <c r="O376" s="18"/>
      <c r="P376" s="18" t="s">
        <v>3352</v>
      </c>
      <c r="Q376" s="42" t="str">
        <f>iferror(VLOOKUP(A376,'Positional cal'!A:H,1,0)=A376,"FALSE")</f>
        <v>FALSE</v>
      </c>
      <c r="R376" s="43" t="b">
        <f t="shared" si="3"/>
        <v>0</v>
      </c>
      <c r="S376" s="46" t="str">
        <f>IFERROR(VLOOKUP($A376,AlgoUi!$A:$X,21,0),"NA")</f>
        <v>NA</v>
      </c>
      <c r="T376" s="46" t="str">
        <f>IFERROR(VLOOKUP($A376,AlgoUi!$A:$X,23,0),"")</f>
        <v/>
      </c>
      <c r="U376" s="46" t="str">
        <f>IFERROR(VLOOKUP($A376,AlgoUi!$A:$X,24,0),"")</f>
        <v/>
      </c>
      <c r="V376" s="42" t="str">
        <f>IFERROR(__xludf.DUMMYFUNCTION("IFERROR(VLOOKUP(I376,IMPORTRANGE(""https://docs.google.com/spreadsheets/d/17FOIUYQAjPk1pPQIlvOgqYDBqwUqgb7KWzp4DtVksBk/edit?gid=0#gid=0"",""Servers!A:S""),19,FALSE), ""Not Running"")"),"NIDHID")</f>
        <v>NIDHID</v>
      </c>
      <c r="W376" s="47" t="str">
        <f>VLOOKUP($A376,Category!$A:$E,4,0)</f>
        <v>MS</v>
      </c>
      <c r="X376" s="47" t="str">
        <f>VLOOKUP($A376,Category!$A:$E,5,0)</f>
        <v>MSR</v>
      </c>
      <c r="Y376" s="18" t="str">
        <f>VLOOKUP(A376,PAcc!$A$1:$J$27,10,0)</f>
        <v>#N/A</v>
      </c>
      <c r="Z376" s="42" t="b">
        <f t="shared" si="4"/>
        <v>0</v>
      </c>
      <c r="AA376" s="50">
        <v>0.4</v>
      </c>
      <c r="AB376" s="42" t="str">
        <f>VLOOKUP(A376,VlookupSheet!$A$383:$A$523,1,0)</f>
        <v>#N/A</v>
      </c>
      <c r="AC376" s="87">
        <v>0.008</v>
      </c>
      <c r="AD376" s="42" t="str">
        <f t="shared" si="32"/>
        <v>#VALUE!</v>
      </c>
      <c r="AE376" s="42" t="str">
        <f t="shared" si="33"/>
        <v>#VALUE!</v>
      </c>
      <c r="AF376" s="42" t="str">
        <f t="shared" si="34"/>
        <v>#VALUE!</v>
      </c>
    </row>
    <row r="377">
      <c r="A377" s="30" t="s">
        <v>479</v>
      </c>
      <c r="B377" s="84" t="s">
        <v>1845</v>
      </c>
      <c r="C377" s="85"/>
      <c r="D377" s="11">
        <f t="shared" si="41"/>
        <v>1</v>
      </c>
      <c r="E377" s="11">
        <f t="shared" si="42"/>
        <v>40000</v>
      </c>
      <c r="F377" s="30" t="s">
        <v>311</v>
      </c>
      <c r="G377" s="11" t="s">
        <v>1100</v>
      </c>
      <c r="H377" s="31">
        <v>40000.0</v>
      </c>
      <c r="I377" s="74" t="s">
        <v>338</v>
      </c>
      <c r="J377" s="25" t="s">
        <v>77</v>
      </c>
      <c r="K377" s="38">
        <f t="shared" si="17"/>
        <v>1</v>
      </c>
      <c r="L377" s="18" t="s">
        <v>910</v>
      </c>
      <c r="M377" s="18" t="s">
        <v>736</v>
      </c>
      <c r="N377" s="74"/>
      <c r="O377" s="74"/>
      <c r="P377" s="74"/>
      <c r="Q377" s="42" t="str">
        <f>iferror(VLOOKUP(A377,'Positional cal'!A:H,1,0)=A377,"FALSE")</f>
        <v>FALSE</v>
      </c>
      <c r="R377" s="43" t="b">
        <f t="shared" si="3"/>
        <v>0</v>
      </c>
      <c r="S377" s="46">
        <f>IFERROR(VLOOKUP($A377,AlgoUi!$A:$X,21,0),"NA")</f>
        <v>9612201</v>
      </c>
      <c r="T377" s="46">
        <f>IFERROR(VLOOKUP($A377,AlgoUi!$A:$X,23,0),"")</f>
        <v>10000000</v>
      </c>
      <c r="U377" s="46">
        <f>IFERROR(VLOOKUP($A377,AlgoUi!$A:$X,24,0),"")</f>
        <v>100000</v>
      </c>
      <c r="V377" s="42" t="str">
        <f>IFERROR(__xludf.DUMMYFUNCTION("IFERROR(VLOOKUP(I377,IMPORTRANGE(""https://docs.google.com/spreadsheets/d/17FOIUYQAjPk1pPQIlvOgqYDBqwUqgb7KWzp4DtVksBk/edit?gid=0#gid=0"",""Servers!A:S""),19,FALSE), ""Not Running"")"),"NIDHID")</f>
        <v>NIDHID</v>
      </c>
      <c r="W377" s="47" t="str">
        <f>VLOOKUP($A377,Category!$A:$E,4,0)</f>
        <v>MS</v>
      </c>
      <c r="X377" s="47" t="str">
        <f>VLOOKUP($A377,Category!$A:$E,5,0)</f>
        <v>MSR</v>
      </c>
      <c r="Y377" s="18" t="str">
        <f>VLOOKUP(A377,PAcc!$A$1:$J$27,10,0)</f>
        <v>#N/A</v>
      </c>
      <c r="Z377" s="42" t="b">
        <f t="shared" si="4"/>
        <v>0</v>
      </c>
      <c r="AA377" s="50">
        <v>0.4</v>
      </c>
      <c r="AB377" s="42" t="str">
        <f>VLOOKUP(A377,VlookupSheet!$A$383:$A$523,1,0)</f>
        <v>#N/A</v>
      </c>
      <c r="AC377" s="87">
        <v>0.008</v>
      </c>
      <c r="AD377" s="42">
        <f t="shared" si="32"/>
        <v>3844880.4</v>
      </c>
      <c r="AE377" s="42">
        <f t="shared" si="33"/>
        <v>40000</v>
      </c>
      <c r="AF377" s="123">
        <f t="shared" si="34"/>
        <v>0</v>
      </c>
    </row>
    <row r="378">
      <c r="A378" s="11" t="s">
        <v>534</v>
      </c>
      <c r="B378" s="84" t="s">
        <v>2564</v>
      </c>
      <c r="C378" s="42"/>
      <c r="D378" s="11">
        <f t="shared" si="41"/>
        <v>1</v>
      </c>
      <c r="E378" s="11">
        <f t="shared" si="42"/>
        <v>20000</v>
      </c>
      <c r="F378" s="30" t="s">
        <v>311</v>
      </c>
      <c r="G378" s="11" t="s">
        <v>1134</v>
      </c>
      <c r="H378" s="31">
        <v>20000.0</v>
      </c>
      <c r="I378" s="74" t="s">
        <v>338</v>
      </c>
      <c r="J378" s="25" t="s">
        <v>77</v>
      </c>
      <c r="K378" s="38">
        <f t="shared" si="17"/>
        <v>1</v>
      </c>
      <c r="L378" s="18" t="s">
        <v>910</v>
      </c>
      <c r="M378" s="18" t="s">
        <v>736</v>
      </c>
      <c r="N378" s="221"/>
      <c r="O378" s="221"/>
      <c r="P378" s="221"/>
      <c r="Q378" s="42" t="str">
        <f>iferror(VLOOKUP(A378,'Positional cal'!A:H,1,0)=A378,"FALSE")</f>
        <v>FALSE</v>
      </c>
      <c r="R378" s="43" t="b">
        <f t="shared" si="3"/>
        <v>0</v>
      </c>
      <c r="S378" s="46">
        <f>IFERROR(VLOOKUP($A378,AlgoUi!$A:$X,21,0),"NA")</f>
        <v>6236791</v>
      </c>
      <c r="T378" s="46">
        <f>IFERROR(VLOOKUP($A378,AlgoUi!$A:$X,23,0),"")</f>
        <v>6000000</v>
      </c>
      <c r="U378" s="46">
        <f>IFERROR(VLOOKUP($A378,AlgoUi!$A:$X,24,0),"")</f>
        <v>60000</v>
      </c>
      <c r="V378" s="42" t="str">
        <f>IFERROR(__xludf.DUMMYFUNCTION("IFERROR(VLOOKUP(I378,IMPORTRANGE(""https://docs.google.com/spreadsheets/d/17FOIUYQAjPk1pPQIlvOgqYDBqwUqgb7KWzp4DtVksBk/edit?gid=0#gid=0"",""Servers!A:S""),19,FALSE), ""Not Running"")"),"NIDHID")</f>
        <v>NIDHID</v>
      </c>
      <c r="W378" s="47" t="str">
        <f>VLOOKUP($A378,Category!$A:$E,4,0)</f>
        <v>MS</v>
      </c>
      <c r="X378" s="47" t="str">
        <f>VLOOKUP($A378,Category!$A:$E,5,0)</f>
        <v>MSR</v>
      </c>
      <c r="Y378" s="18" t="str">
        <f>VLOOKUP(A378,PAcc!$A$1:$J$27,10,0)</f>
        <v>#N/A</v>
      </c>
      <c r="Z378" s="42" t="b">
        <f t="shared" si="4"/>
        <v>0</v>
      </c>
      <c r="AA378" s="50">
        <v>0.4</v>
      </c>
      <c r="AB378" s="42" t="str">
        <f>VLOOKUP(A378,VlookupSheet!$A$383:$A$523,1,0)</f>
        <v>#N/A</v>
      </c>
      <c r="AC378" s="87">
        <v>0.008</v>
      </c>
      <c r="AD378" s="42">
        <f t="shared" si="32"/>
        <v>2494716.4</v>
      </c>
      <c r="AE378" s="42">
        <f t="shared" si="33"/>
        <v>20000</v>
      </c>
      <c r="AF378" s="123">
        <f t="shared" si="34"/>
        <v>0</v>
      </c>
    </row>
    <row r="379">
      <c r="A379" s="11" t="s">
        <v>490</v>
      </c>
      <c r="B379" s="24" t="s">
        <v>3214</v>
      </c>
      <c r="C379" s="25"/>
      <c r="D379" s="11">
        <f t="shared" si="41"/>
        <v>1</v>
      </c>
      <c r="E379" s="11">
        <f t="shared" si="42"/>
        <v>40000</v>
      </c>
      <c r="F379" s="30" t="s">
        <v>311</v>
      </c>
      <c r="G379" s="11" t="s">
        <v>1100</v>
      </c>
      <c r="H379" s="31">
        <v>40000.0</v>
      </c>
      <c r="I379" s="74" t="s">
        <v>338</v>
      </c>
      <c r="J379" s="25" t="s">
        <v>77</v>
      </c>
      <c r="K379" s="38">
        <f t="shared" si="17"/>
        <v>1</v>
      </c>
      <c r="L379" s="18" t="s">
        <v>910</v>
      </c>
      <c r="M379" s="18" t="s">
        <v>736</v>
      </c>
      <c r="N379" s="42"/>
      <c r="O379" s="42"/>
      <c r="P379" s="42"/>
      <c r="Q379" s="42" t="str">
        <f>iferror(VLOOKUP(A379,'Positional cal'!A:H,1,0)=A379,"FALSE")</f>
        <v>FALSE</v>
      </c>
      <c r="R379" s="43" t="b">
        <f t="shared" si="3"/>
        <v>0</v>
      </c>
      <c r="S379" s="46">
        <f>IFERROR(VLOOKUP($A379,AlgoUi!$A:$X,21,0),"NA")</f>
        <v>9047835</v>
      </c>
      <c r="T379" s="46">
        <f>IFERROR(VLOOKUP($A379,AlgoUi!$A:$X,23,0),"")</f>
        <v>10000000</v>
      </c>
      <c r="U379" s="46">
        <f>IFERROR(VLOOKUP($A379,AlgoUi!$A:$X,24,0),"")</f>
        <v>100000</v>
      </c>
      <c r="V379" s="42" t="str">
        <f>IFERROR(__xludf.DUMMYFUNCTION("IFERROR(VLOOKUP(I379,IMPORTRANGE(""https://docs.google.com/spreadsheets/d/17FOIUYQAjPk1pPQIlvOgqYDBqwUqgb7KWzp4DtVksBk/edit?gid=0#gid=0"",""Servers!A:S""),19,FALSE), ""Not Running"")"),"NIDHID")</f>
        <v>NIDHID</v>
      </c>
      <c r="W379" s="47" t="str">
        <f>VLOOKUP($A379,Category!$A:$E,4,0)</f>
        <v>MS</v>
      </c>
      <c r="X379" s="47" t="str">
        <f>VLOOKUP($A379,Category!$A:$E,5,0)</f>
        <v>MSR</v>
      </c>
      <c r="Y379" s="18" t="str">
        <f>VLOOKUP(A379,PAcc!$A$1:$J$27,10,0)</f>
        <v>#N/A</v>
      </c>
      <c r="Z379" s="42" t="b">
        <f t="shared" si="4"/>
        <v>0</v>
      </c>
      <c r="AA379" s="50">
        <v>0.4</v>
      </c>
      <c r="AB379" s="42" t="str">
        <f>VLOOKUP(A379,VlookupSheet!$A$383:$A$523,1,0)</f>
        <v>#N/A</v>
      </c>
      <c r="AC379" s="87">
        <v>0.008</v>
      </c>
      <c r="AD379" s="42">
        <f t="shared" si="32"/>
        <v>3619134</v>
      </c>
      <c r="AE379" s="42">
        <f t="shared" si="33"/>
        <v>40000</v>
      </c>
      <c r="AF379" s="123">
        <f t="shared" si="34"/>
        <v>0</v>
      </c>
    </row>
    <row r="380">
      <c r="A380" s="30" t="s">
        <v>412</v>
      </c>
      <c r="B380" s="84" t="s">
        <v>2980</v>
      </c>
      <c r="C380" s="85"/>
      <c r="D380" s="11">
        <f t="shared" si="41"/>
        <v>1</v>
      </c>
      <c r="E380" s="11">
        <f t="shared" si="42"/>
        <v>20000</v>
      </c>
      <c r="F380" s="30" t="s">
        <v>311</v>
      </c>
      <c r="G380" s="11" t="s">
        <v>1134</v>
      </c>
      <c r="H380" s="31">
        <v>20000.0</v>
      </c>
      <c r="I380" s="74" t="s">
        <v>338</v>
      </c>
      <c r="J380" s="25" t="s">
        <v>77</v>
      </c>
      <c r="K380" s="38">
        <f t="shared" si="17"/>
        <v>1</v>
      </c>
      <c r="L380" s="18" t="s">
        <v>910</v>
      </c>
      <c r="M380" s="18" t="s">
        <v>736</v>
      </c>
      <c r="N380" s="74"/>
      <c r="O380" s="74"/>
      <c r="P380" s="74"/>
      <c r="Q380" s="42" t="str">
        <f>iferror(VLOOKUP(A380,'Positional cal'!A:H,1,0)=A380,"FALSE")</f>
        <v>FALSE</v>
      </c>
      <c r="R380" s="43" t="b">
        <f t="shared" si="3"/>
        <v>0</v>
      </c>
      <c r="S380" s="46">
        <f>IFERROR(VLOOKUP($A380,AlgoUi!$A:$X,21,0),"NA")</f>
        <v>5163504</v>
      </c>
      <c r="T380" s="46">
        <f>IFERROR(VLOOKUP($A380,AlgoUi!$A:$X,23,0),"")</f>
        <v>6000000</v>
      </c>
      <c r="U380" s="46">
        <f>IFERROR(VLOOKUP($A380,AlgoUi!$A:$X,24,0),"")</f>
        <v>60000</v>
      </c>
      <c r="V380" s="42" t="str">
        <f>IFERROR(__xludf.DUMMYFUNCTION("IFERROR(VLOOKUP(I380,IMPORTRANGE(""https://docs.google.com/spreadsheets/d/17FOIUYQAjPk1pPQIlvOgqYDBqwUqgb7KWzp4DtVksBk/edit?gid=0#gid=0"",""Servers!A:S""),19,FALSE), ""Not Running"")"),"NIDHID")</f>
        <v>NIDHID</v>
      </c>
      <c r="W380" s="47" t="str">
        <f>VLOOKUP($A380,Category!$A:$E,4,0)</f>
        <v>MS</v>
      </c>
      <c r="X380" s="47" t="str">
        <f>VLOOKUP($A380,Category!$A:$E,5,0)</f>
        <v>MSR</v>
      </c>
      <c r="Y380" s="18" t="str">
        <f>VLOOKUP(A380,PAcc!$A$1:$J$27,10,0)</f>
        <v>#N/A</v>
      </c>
      <c r="Z380" s="42" t="b">
        <f t="shared" si="4"/>
        <v>0</v>
      </c>
      <c r="AA380" s="50">
        <v>0.4</v>
      </c>
      <c r="AB380" s="42" t="str">
        <f>VLOOKUP(A380,VlookupSheet!$A$383:$A$523,1,0)</f>
        <v>#N/A</v>
      </c>
      <c r="AC380" s="87">
        <v>0.008</v>
      </c>
      <c r="AD380" s="42">
        <f t="shared" si="32"/>
        <v>2065401.6</v>
      </c>
      <c r="AE380" s="42">
        <f t="shared" si="33"/>
        <v>20000</v>
      </c>
      <c r="AF380" s="123">
        <f t="shared" si="34"/>
        <v>0</v>
      </c>
    </row>
    <row r="381">
      <c r="A381" s="30" t="s">
        <v>531</v>
      </c>
      <c r="B381" s="84" t="s">
        <v>1747</v>
      </c>
      <c r="C381" s="85"/>
      <c r="D381" s="11">
        <f t="shared" si="41"/>
        <v>1</v>
      </c>
      <c r="E381" s="11">
        <f t="shared" si="42"/>
        <v>40000</v>
      </c>
      <c r="F381" s="30" t="s">
        <v>311</v>
      </c>
      <c r="G381" s="11" t="s">
        <v>1100</v>
      </c>
      <c r="H381" s="31">
        <v>40000.0</v>
      </c>
      <c r="I381" s="74" t="s">
        <v>338</v>
      </c>
      <c r="J381" s="25" t="s">
        <v>77</v>
      </c>
      <c r="K381" s="38">
        <f t="shared" si="17"/>
        <v>1</v>
      </c>
      <c r="L381" s="18" t="s">
        <v>910</v>
      </c>
      <c r="M381" s="18" t="s">
        <v>736</v>
      </c>
      <c r="N381" s="74"/>
      <c r="O381" s="74"/>
      <c r="P381" s="74"/>
      <c r="Q381" s="42" t="str">
        <f>iferror(VLOOKUP(A381,'Positional cal'!A:H,1,0)=A381,"FALSE")</f>
        <v>FALSE</v>
      </c>
      <c r="R381" s="43" t="b">
        <f t="shared" si="3"/>
        <v>0</v>
      </c>
      <c r="S381" s="46">
        <f>IFERROR(VLOOKUP($A381,AlgoUi!$A:$X,21,0),"NA")</f>
        <v>8862129</v>
      </c>
      <c r="T381" s="46">
        <f>IFERROR(VLOOKUP($A381,AlgoUi!$A:$X,23,0),"")</f>
        <v>8000000</v>
      </c>
      <c r="U381" s="46">
        <f>IFERROR(VLOOKUP($A381,AlgoUi!$A:$X,24,0),"")</f>
        <v>80000</v>
      </c>
      <c r="V381" s="42" t="str">
        <f>IFERROR(__xludf.DUMMYFUNCTION("IFERROR(VLOOKUP(I381,IMPORTRANGE(""https://docs.google.com/spreadsheets/d/17FOIUYQAjPk1pPQIlvOgqYDBqwUqgb7KWzp4DtVksBk/edit?gid=0#gid=0"",""Servers!A:S""),19,FALSE), ""Not Running"")"),"NIDHID")</f>
        <v>NIDHID</v>
      </c>
      <c r="W381" s="47" t="str">
        <f>VLOOKUP($A381,Category!$A:$E,4,0)</f>
        <v>MS</v>
      </c>
      <c r="X381" s="47" t="str">
        <f>VLOOKUP($A381,Category!$A:$E,5,0)</f>
        <v>MSP</v>
      </c>
      <c r="Y381" s="18" t="str">
        <f>VLOOKUP(A381,PAcc!$A$1:$J$27,10,0)</f>
        <v>#N/A</v>
      </c>
      <c r="Z381" s="42" t="b">
        <f t="shared" si="4"/>
        <v>0</v>
      </c>
      <c r="AA381" s="50">
        <v>0.4</v>
      </c>
      <c r="AB381" s="42" t="str">
        <f>VLOOKUP(A381,VlookupSheet!$A$383:$A$523,1,0)</f>
        <v>#N/A</v>
      </c>
      <c r="AC381" s="87">
        <v>0.008</v>
      </c>
      <c r="AD381" s="42">
        <f t="shared" si="32"/>
        <v>3544851.6</v>
      </c>
      <c r="AE381" s="42">
        <f t="shared" si="33"/>
        <v>40000</v>
      </c>
      <c r="AF381" s="123">
        <f t="shared" si="34"/>
        <v>0</v>
      </c>
    </row>
    <row r="382">
      <c r="A382" s="30" t="s">
        <v>554</v>
      </c>
      <c r="B382" s="84" t="s">
        <v>2778</v>
      </c>
      <c r="C382" s="85"/>
      <c r="D382" s="11">
        <f t="shared" si="41"/>
        <v>1</v>
      </c>
      <c r="E382" s="11">
        <f t="shared" si="42"/>
        <v>20000</v>
      </c>
      <c r="F382" s="30" t="s">
        <v>311</v>
      </c>
      <c r="G382" s="11" t="s">
        <v>1134</v>
      </c>
      <c r="H382" s="31">
        <v>20000.0</v>
      </c>
      <c r="I382" s="74" t="s">
        <v>338</v>
      </c>
      <c r="J382" s="25" t="s">
        <v>77</v>
      </c>
      <c r="K382" s="38">
        <f t="shared" si="17"/>
        <v>1</v>
      </c>
      <c r="L382" s="18" t="s">
        <v>910</v>
      </c>
      <c r="M382" s="18" t="s">
        <v>736</v>
      </c>
      <c r="N382" s="74"/>
      <c r="O382" s="74"/>
      <c r="P382" s="74"/>
      <c r="Q382" s="42" t="str">
        <f>iferror(VLOOKUP(A382,'Positional cal'!A:H,1,0)=A382,"FALSE")</f>
        <v>FALSE</v>
      </c>
      <c r="R382" s="43" t="b">
        <f t="shared" si="3"/>
        <v>0</v>
      </c>
      <c r="S382" s="46">
        <f>IFERROR(VLOOKUP($A382,AlgoUi!$A:$X,21,0),"NA")</f>
        <v>7159448</v>
      </c>
      <c r="T382" s="46">
        <f>IFERROR(VLOOKUP($A382,AlgoUi!$A:$X,23,0),"")</f>
        <v>8000000</v>
      </c>
      <c r="U382" s="46">
        <f>IFERROR(VLOOKUP($A382,AlgoUi!$A:$X,24,0),"")</f>
        <v>80000</v>
      </c>
      <c r="V382" s="42" t="str">
        <f>IFERROR(__xludf.DUMMYFUNCTION("IFERROR(VLOOKUP(I382,IMPORTRANGE(""https://docs.google.com/spreadsheets/d/17FOIUYQAjPk1pPQIlvOgqYDBqwUqgb7KWzp4DtVksBk/edit?gid=0#gid=0"",""Servers!A:S""),19,FALSE), ""Not Running"")"),"NIDHID")</f>
        <v>NIDHID</v>
      </c>
      <c r="W382" s="47" t="str">
        <f>VLOOKUP($A382,Category!$A:$E,4,0)</f>
        <v>MS</v>
      </c>
      <c r="X382" s="47" t="str">
        <f>VLOOKUP($A382,Category!$A:$E,5,0)</f>
        <v>MSR</v>
      </c>
      <c r="Y382" s="18" t="str">
        <f>VLOOKUP(A382,PAcc!$A$1:$J$27,10,0)</f>
        <v>#N/A</v>
      </c>
      <c r="Z382" s="42" t="b">
        <f t="shared" si="4"/>
        <v>0</v>
      </c>
      <c r="AA382" s="50">
        <v>0.4</v>
      </c>
      <c r="AB382" s="42" t="str">
        <f>VLOOKUP(A382,VlookupSheet!$A$383:$A$523,1,0)</f>
        <v>#N/A</v>
      </c>
      <c r="AC382" s="87">
        <v>0.008</v>
      </c>
      <c r="AD382" s="42">
        <f t="shared" si="32"/>
        <v>2863779.2</v>
      </c>
      <c r="AE382" s="42">
        <f t="shared" si="33"/>
        <v>20000</v>
      </c>
      <c r="AF382" s="123">
        <f t="shared" si="34"/>
        <v>0</v>
      </c>
    </row>
    <row r="383">
      <c r="A383" s="11" t="s">
        <v>553</v>
      </c>
      <c r="B383" s="24" t="s">
        <v>3177</v>
      </c>
      <c r="C383" s="25"/>
      <c r="D383" s="11">
        <f t="shared" si="41"/>
        <v>1</v>
      </c>
      <c r="E383" s="11">
        <f t="shared" si="42"/>
        <v>60000</v>
      </c>
      <c r="F383" s="30" t="s">
        <v>311</v>
      </c>
      <c r="G383" s="11" t="s">
        <v>1550</v>
      </c>
      <c r="H383" s="31">
        <v>60000.0</v>
      </c>
      <c r="I383" s="74" t="s">
        <v>338</v>
      </c>
      <c r="J383" s="25" t="s">
        <v>77</v>
      </c>
      <c r="K383" s="38">
        <f t="shared" si="17"/>
        <v>1</v>
      </c>
      <c r="L383" s="18" t="s">
        <v>910</v>
      </c>
      <c r="M383" s="18" t="s">
        <v>736</v>
      </c>
      <c r="N383" s="42"/>
      <c r="O383" s="42"/>
      <c r="P383" s="42"/>
      <c r="Q383" s="42" t="str">
        <f>iferror(VLOOKUP(A383,'Positional cal'!A:H,1,0)=A383,"FALSE")</f>
        <v>FALSE</v>
      </c>
      <c r="R383" s="43" t="b">
        <f t="shared" si="3"/>
        <v>0</v>
      </c>
      <c r="S383" s="46">
        <f>IFERROR(VLOOKUP($A383,AlgoUi!$A:$X,21,0),"NA")</f>
        <v>13932486</v>
      </c>
      <c r="T383" s="46">
        <f>IFERROR(VLOOKUP($A383,AlgoUi!$A:$X,23,0),"")</f>
        <v>14000000</v>
      </c>
      <c r="U383" s="46">
        <f>IFERROR(VLOOKUP($A383,AlgoUi!$A:$X,24,0),"")</f>
        <v>140000</v>
      </c>
      <c r="V383" s="42" t="str">
        <f>IFERROR(__xludf.DUMMYFUNCTION("IFERROR(VLOOKUP(I383,IMPORTRANGE(""https://docs.google.com/spreadsheets/d/17FOIUYQAjPk1pPQIlvOgqYDBqwUqgb7KWzp4DtVksBk/edit?gid=0#gid=0"",""Servers!A:S""),19,FALSE), ""Not Running"")"),"NIDHID")</f>
        <v>NIDHID</v>
      </c>
      <c r="W383" s="47" t="str">
        <f>VLOOKUP($A383,Category!$A:$E,4,0)</f>
        <v>MS</v>
      </c>
      <c r="X383" s="47" t="str">
        <f>VLOOKUP($A383,Category!$A:$E,5,0)</f>
        <v>MSR</v>
      </c>
      <c r="Y383" s="18" t="str">
        <f>VLOOKUP(A383,PAcc!$A$1:$J$27,10,0)</f>
        <v>#N/A</v>
      </c>
      <c r="Z383" s="42" t="b">
        <f t="shared" si="4"/>
        <v>0</v>
      </c>
      <c r="AA383" s="50">
        <v>0.4</v>
      </c>
      <c r="AB383" s="42" t="str">
        <f>VLOOKUP(A383,VlookupSheet!$A$383:$A$523,1,0)</f>
        <v>#N/A</v>
      </c>
      <c r="AC383" s="87">
        <v>0.008</v>
      </c>
      <c r="AD383" s="42">
        <f t="shared" si="32"/>
        <v>5572994.4</v>
      </c>
      <c r="AE383" s="42">
        <f t="shared" si="33"/>
        <v>60000</v>
      </c>
      <c r="AF383" s="123">
        <f t="shared" si="34"/>
        <v>0</v>
      </c>
    </row>
    <row r="384">
      <c r="A384" s="30" t="s">
        <v>543</v>
      </c>
      <c r="B384" s="84" t="s">
        <v>2997</v>
      </c>
      <c r="C384" s="85"/>
      <c r="D384" s="11">
        <f t="shared" si="41"/>
        <v>1</v>
      </c>
      <c r="E384" s="11">
        <f t="shared" si="42"/>
        <v>40000</v>
      </c>
      <c r="F384" s="30" t="s">
        <v>965</v>
      </c>
      <c r="G384" s="11" t="s">
        <v>1100</v>
      </c>
      <c r="H384" s="31">
        <v>40000.0</v>
      </c>
      <c r="I384" s="74" t="s">
        <v>338</v>
      </c>
      <c r="J384" s="25" t="s">
        <v>77</v>
      </c>
      <c r="K384" s="38">
        <f t="shared" si="17"/>
        <v>1</v>
      </c>
      <c r="L384" s="18" t="s">
        <v>910</v>
      </c>
      <c r="M384" s="18" t="s">
        <v>736</v>
      </c>
      <c r="N384" s="74"/>
      <c r="O384" s="74"/>
      <c r="P384" s="74"/>
      <c r="Q384" s="42" t="str">
        <f>iferror(VLOOKUP(A384,'Positional cal'!A:H,1,0)=A384,"FALSE")</f>
        <v>FALSE</v>
      </c>
      <c r="R384" s="43" t="b">
        <f t="shared" si="3"/>
        <v>0</v>
      </c>
      <c r="S384" s="46">
        <f>IFERROR(VLOOKUP($A384,AlgoUi!$A:$X,21,0),"NA")</f>
        <v>11341845</v>
      </c>
      <c r="T384" s="46">
        <f>IFERROR(VLOOKUP($A384,AlgoUi!$A:$X,23,0),"")</f>
        <v>12000000</v>
      </c>
      <c r="U384" s="46">
        <f>IFERROR(VLOOKUP($A384,AlgoUi!$A:$X,24,0),"")</f>
        <v>120000</v>
      </c>
      <c r="V384" s="42" t="str">
        <f>IFERROR(__xludf.DUMMYFUNCTION("IFERROR(VLOOKUP(I384,IMPORTRANGE(""https://docs.google.com/spreadsheets/d/17FOIUYQAjPk1pPQIlvOgqYDBqwUqgb7KWzp4DtVksBk/edit?gid=0#gid=0"",""Servers!A:S""),19,FALSE), ""Not Running"")"),"NIDHID")</f>
        <v>NIDHID</v>
      </c>
      <c r="W384" s="47" t="str">
        <f>VLOOKUP($A384,Category!$A:$E,4,0)</f>
        <v>MS</v>
      </c>
      <c r="X384" s="47" t="str">
        <f>VLOOKUP($A384,Category!$A:$E,5,0)</f>
        <v>MSR</v>
      </c>
      <c r="Y384" s="18" t="str">
        <f>VLOOKUP(A384,PAcc!$A$1:$J$27,10,0)</f>
        <v>#N/A</v>
      </c>
      <c r="Z384" s="42" t="b">
        <f t="shared" si="4"/>
        <v>0</v>
      </c>
      <c r="AA384" s="50">
        <v>0.4</v>
      </c>
      <c r="AB384" s="42" t="str">
        <f>VLOOKUP(A384,VlookupSheet!$A$383:$A$523,1,0)</f>
        <v>#N/A</v>
      </c>
      <c r="AC384" s="87">
        <v>0.008</v>
      </c>
      <c r="AD384" s="42">
        <f t="shared" si="32"/>
        <v>4536738</v>
      </c>
      <c r="AE384" s="42">
        <f t="shared" si="33"/>
        <v>40000</v>
      </c>
      <c r="AF384" s="123">
        <f t="shared" si="34"/>
        <v>0</v>
      </c>
    </row>
    <row r="385">
      <c r="A385" s="30" t="s">
        <v>487</v>
      </c>
      <c r="B385" s="84" t="s">
        <v>2254</v>
      </c>
      <c r="C385" s="85"/>
      <c r="D385" s="11">
        <f t="shared" si="41"/>
        <v>1</v>
      </c>
      <c r="E385" s="11">
        <f t="shared" si="42"/>
        <v>40000</v>
      </c>
      <c r="F385" s="30" t="s">
        <v>311</v>
      </c>
      <c r="G385" s="11" t="s">
        <v>1100</v>
      </c>
      <c r="H385" s="31">
        <v>40000.0</v>
      </c>
      <c r="I385" s="74" t="s">
        <v>338</v>
      </c>
      <c r="J385" s="25" t="s">
        <v>77</v>
      </c>
      <c r="K385" s="38">
        <f t="shared" si="17"/>
        <v>1</v>
      </c>
      <c r="L385" s="18" t="s">
        <v>910</v>
      </c>
      <c r="M385" s="18" t="s">
        <v>736</v>
      </c>
      <c r="N385" s="74"/>
      <c r="O385" s="74"/>
      <c r="P385" s="74"/>
      <c r="Q385" s="42" t="str">
        <f>iferror(VLOOKUP(A385,'Positional cal'!A:H,1,0)=A385,"FALSE")</f>
        <v>FALSE</v>
      </c>
      <c r="R385" s="43" t="b">
        <f t="shared" si="3"/>
        <v>0</v>
      </c>
      <c r="S385" s="46">
        <f>IFERROR(VLOOKUP($A385,AlgoUi!$A:$X,21,0),"NA")</f>
        <v>8606231</v>
      </c>
      <c r="T385" s="46">
        <f>IFERROR(VLOOKUP($A385,AlgoUi!$A:$X,23,0),"")</f>
        <v>8000000</v>
      </c>
      <c r="U385" s="46">
        <f>IFERROR(VLOOKUP($A385,AlgoUi!$A:$X,24,0),"")</f>
        <v>80000</v>
      </c>
      <c r="V385" s="42" t="str">
        <f>IFERROR(__xludf.DUMMYFUNCTION("IFERROR(VLOOKUP(I385,IMPORTRANGE(""https://docs.google.com/spreadsheets/d/17FOIUYQAjPk1pPQIlvOgqYDBqwUqgb7KWzp4DtVksBk/edit?gid=0#gid=0"",""Servers!A:S""),19,FALSE), ""Not Running"")"),"NIDHID")</f>
        <v>NIDHID</v>
      </c>
      <c r="W385" s="47" t="str">
        <f>VLOOKUP($A385,Category!$A:$E,4,0)</f>
        <v>MS</v>
      </c>
      <c r="X385" s="47" t="str">
        <f>VLOOKUP($A385,Category!$A:$E,5,0)</f>
        <v>MSP</v>
      </c>
      <c r="Y385" s="18" t="str">
        <f>VLOOKUP(A385,PAcc!$A$1:$J$27,10,0)</f>
        <v>#N/A</v>
      </c>
      <c r="Z385" s="42" t="b">
        <f t="shared" si="4"/>
        <v>0</v>
      </c>
      <c r="AA385" s="50">
        <v>0.4</v>
      </c>
      <c r="AB385" s="42" t="str">
        <f>VLOOKUP(A385,VlookupSheet!$A$383:$A$523,1,0)</f>
        <v>#N/A</v>
      </c>
      <c r="AC385" s="87">
        <v>0.008</v>
      </c>
      <c r="AD385" s="42">
        <f t="shared" si="32"/>
        <v>3442492.4</v>
      </c>
      <c r="AE385" s="42">
        <f t="shared" si="33"/>
        <v>40000</v>
      </c>
      <c r="AF385" s="123">
        <f t="shared" si="34"/>
        <v>0</v>
      </c>
    </row>
    <row r="386">
      <c r="A386" s="30" t="s">
        <v>503</v>
      </c>
      <c r="B386" s="84" t="s">
        <v>2532</v>
      </c>
      <c r="C386" s="85"/>
      <c r="D386" s="11">
        <f t="shared" si="41"/>
        <v>1</v>
      </c>
      <c r="E386" s="11">
        <f t="shared" si="42"/>
        <v>40000</v>
      </c>
      <c r="F386" s="30" t="s">
        <v>311</v>
      </c>
      <c r="G386" s="11" t="s">
        <v>1100</v>
      </c>
      <c r="H386" s="31">
        <v>40000.0</v>
      </c>
      <c r="I386" s="74" t="s">
        <v>338</v>
      </c>
      <c r="J386" s="25" t="s">
        <v>77</v>
      </c>
      <c r="K386" s="38">
        <f t="shared" si="17"/>
        <v>1</v>
      </c>
      <c r="L386" s="18" t="s">
        <v>910</v>
      </c>
      <c r="M386" s="18" t="s">
        <v>736</v>
      </c>
      <c r="N386" s="74"/>
      <c r="O386" s="74"/>
      <c r="P386" s="74"/>
      <c r="Q386" s="42" t="str">
        <f>iferror(VLOOKUP(A386,'Positional cal'!A:H,1,0)=A386,"FALSE")</f>
        <v>FALSE</v>
      </c>
      <c r="R386" s="43" t="b">
        <f t="shared" si="3"/>
        <v>0</v>
      </c>
      <c r="S386" s="46">
        <f>IFERROR(VLOOKUP($A386,AlgoUi!$A:$X,21,0),"NA")</f>
        <v>10154618</v>
      </c>
      <c r="T386" s="46">
        <f>IFERROR(VLOOKUP($A386,AlgoUi!$A:$X,23,0),"")</f>
        <v>10000000</v>
      </c>
      <c r="U386" s="46">
        <f>IFERROR(VLOOKUP($A386,AlgoUi!$A:$X,24,0),"")</f>
        <v>100000</v>
      </c>
      <c r="V386" s="42" t="str">
        <f>IFERROR(__xludf.DUMMYFUNCTION("IFERROR(VLOOKUP(I386,IMPORTRANGE(""https://docs.google.com/spreadsheets/d/17FOIUYQAjPk1pPQIlvOgqYDBqwUqgb7KWzp4DtVksBk/edit?gid=0#gid=0"",""Servers!A:S""),19,FALSE), ""Not Running"")"),"NIDHID")</f>
        <v>NIDHID</v>
      </c>
      <c r="W386" s="47" t="str">
        <f>VLOOKUP($A386,Category!$A:$E,4,0)</f>
        <v>MS</v>
      </c>
      <c r="X386" s="47" t="str">
        <f>VLOOKUP($A386,Category!$A:$E,5,0)</f>
        <v>MSR</v>
      </c>
      <c r="Y386" s="18" t="str">
        <f>VLOOKUP(A386,PAcc!$A$1:$J$27,10,0)</f>
        <v>#N/A</v>
      </c>
      <c r="Z386" s="42" t="b">
        <f t="shared" si="4"/>
        <v>0</v>
      </c>
      <c r="AA386" s="50">
        <v>0.4</v>
      </c>
      <c r="AB386" s="42" t="str">
        <f>VLOOKUP(A386,VlookupSheet!$A$383:$A$523,1,0)</f>
        <v>#N/A</v>
      </c>
      <c r="AC386" s="87">
        <v>0.008</v>
      </c>
      <c r="AD386" s="42">
        <f t="shared" si="32"/>
        <v>4061847.2</v>
      </c>
      <c r="AE386" s="42">
        <f t="shared" si="33"/>
        <v>40000</v>
      </c>
      <c r="AF386" s="123">
        <f t="shared" si="34"/>
        <v>0</v>
      </c>
    </row>
    <row r="387">
      <c r="A387" s="11" t="s">
        <v>2610</v>
      </c>
      <c r="B387" s="24" t="s">
        <v>2611</v>
      </c>
      <c r="C387" s="25"/>
      <c r="D387" s="11">
        <f t="shared" si="41"/>
        <v>1</v>
      </c>
      <c r="E387" s="11">
        <f t="shared" si="42"/>
        <v>40000</v>
      </c>
      <c r="F387" s="30" t="s">
        <v>311</v>
      </c>
      <c r="G387" s="11" t="s">
        <v>1100</v>
      </c>
      <c r="H387" s="31">
        <v>40000.0</v>
      </c>
      <c r="I387" s="42" t="s">
        <v>338</v>
      </c>
      <c r="J387" s="25" t="s">
        <v>77</v>
      </c>
      <c r="K387" s="38">
        <f t="shared" si="17"/>
        <v>1</v>
      </c>
      <c r="L387" s="18" t="s">
        <v>910</v>
      </c>
      <c r="M387" s="18" t="s">
        <v>736</v>
      </c>
      <c r="N387" s="42"/>
      <c r="O387" s="42"/>
      <c r="P387" s="42"/>
      <c r="Q387" s="42" t="str">
        <f>iferror(VLOOKUP(A387,'Positional cal'!A:H,1,0)=A387,"FALSE")</f>
        <v>FALSE</v>
      </c>
      <c r="R387" s="43" t="b">
        <f t="shared" si="3"/>
        <v>0</v>
      </c>
      <c r="S387" s="46">
        <f>IFERROR(VLOOKUP($A387,AlgoUi!$A:$X,21,0),"NA")</f>
        <v>9222927</v>
      </c>
      <c r="T387" s="46">
        <f>IFERROR(VLOOKUP($A387,AlgoUi!$A:$X,23,0),"")</f>
        <v>10000000</v>
      </c>
      <c r="U387" s="46">
        <f>IFERROR(VLOOKUP($A387,AlgoUi!$A:$X,24,0),"")</f>
        <v>100000</v>
      </c>
      <c r="V387" s="42" t="str">
        <f>IFERROR(__xludf.DUMMYFUNCTION("IFERROR(VLOOKUP(I387,IMPORTRANGE(""https://docs.google.com/spreadsheets/d/17FOIUYQAjPk1pPQIlvOgqYDBqwUqgb7KWzp4DtVksBk/edit?gid=0#gid=0"",""Servers!A:S""),19,FALSE), ""Not Running"")"),"NIDHID")</f>
        <v>NIDHID</v>
      </c>
      <c r="W387" s="47" t="str">
        <f>VLOOKUP($A387,Category!$A:$E,4,0)</f>
        <v>MS</v>
      </c>
      <c r="X387" s="47" t="str">
        <f>VLOOKUP($A387,Category!$A:$E,5,0)</f>
        <v>MSP</v>
      </c>
      <c r="Y387" s="18" t="str">
        <f>VLOOKUP(A387,PAcc!$A$1:$J$27,10,0)</f>
        <v>#N/A</v>
      </c>
      <c r="Z387" s="42" t="b">
        <f t="shared" si="4"/>
        <v>0</v>
      </c>
      <c r="AA387" s="50">
        <v>0.4</v>
      </c>
      <c r="AB387" s="42" t="str">
        <f>VLOOKUP(A387,VlookupSheet!$A$383:$A$523,1,0)</f>
        <v>#N/A</v>
      </c>
      <c r="AC387" s="87">
        <v>0.008</v>
      </c>
      <c r="AD387" s="42">
        <f t="shared" si="32"/>
        <v>3689170.8</v>
      </c>
      <c r="AE387" s="42">
        <f t="shared" si="33"/>
        <v>40000</v>
      </c>
      <c r="AF387" s="123">
        <f t="shared" si="34"/>
        <v>0</v>
      </c>
    </row>
    <row r="388">
      <c r="A388" s="18" t="s">
        <v>474</v>
      </c>
      <c r="B388" s="24" t="s">
        <v>3247</v>
      </c>
      <c r="C388" s="25"/>
      <c r="D388" s="11">
        <f t="shared" si="41"/>
        <v>1</v>
      </c>
      <c r="E388" s="11">
        <f t="shared" si="42"/>
        <v>40000</v>
      </c>
      <c r="F388" s="30" t="s">
        <v>311</v>
      </c>
      <c r="G388" s="11" t="s">
        <v>1100</v>
      </c>
      <c r="H388" s="31">
        <v>40000.0</v>
      </c>
      <c r="I388" s="74" t="s">
        <v>338</v>
      </c>
      <c r="J388" s="25" t="s">
        <v>77</v>
      </c>
      <c r="K388" s="38">
        <f t="shared" si="17"/>
        <v>1</v>
      </c>
      <c r="L388" s="18" t="s">
        <v>910</v>
      </c>
      <c r="M388" s="18" t="s">
        <v>736</v>
      </c>
      <c r="N388" s="34">
        <v>1.0</v>
      </c>
      <c r="O388" s="34"/>
      <c r="P388" s="34" t="s">
        <v>848</v>
      </c>
      <c r="Q388" s="42" t="str">
        <f>iferror(VLOOKUP(A388,'Positional cal'!A:H,1,0)=A388,"FALSE")</f>
        <v>FALSE</v>
      </c>
      <c r="R388" s="43" t="b">
        <f t="shared" si="3"/>
        <v>0</v>
      </c>
      <c r="S388" s="46">
        <f>IFERROR(VLOOKUP($A388,AlgoUi!$A:$X,21,0),"NA")</f>
        <v>16372296</v>
      </c>
      <c r="T388" s="46">
        <f>IFERROR(VLOOKUP($A388,AlgoUi!$A:$X,23,0),"")</f>
        <v>16000000</v>
      </c>
      <c r="U388" s="46">
        <f>IFERROR(VLOOKUP($A388,AlgoUi!$A:$X,24,0),"")</f>
        <v>160000</v>
      </c>
      <c r="V388" s="42" t="str">
        <f>IFERROR(__xludf.DUMMYFUNCTION("IFERROR(VLOOKUP(I388,IMPORTRANGE(""https://docs.google.com/spreadsheets/d/17FOIUYQAjPk1pPQIlvOgqYDBqwUqgb7KWzp4DtVksBk/edit?gid=0#gid=0"",""Servers!A:S""),19,FALSE), ""Not Running"")"),"NIDHID")</f>
        <v>NIDHID</v>
      </c>
      <c r="W388" s="47" t="str">
        <f>VLOOKUP($A388,Category!$A:$E,4,0)</f>
        <v>MS</v>
      </c>
      <c r="X388" s="47" t="str">
        <f>VLOOKUP($A388,Category!$A:$E,5,0)</f>
        <v>MSS</v>
      </c>
      <c r="Y388" s="18" t="str">
        <f>VLOOKUP(A388,PAcc!$A$1:$J$27,10,0)</f>
        <v>#N/A</v>
      </c>
      <c r="Z388" s="42" t="b">
        <f t="shared" si="4"/>
        <v>0</v>
      </c>
      <c r="AA388" s="50">
        <v>0.4</v>
      </c>
      <c r="AB388" s="42" t="str">
        <f>VLOOKUP(A388,VlookupSheet!$A$383:$A$523,1,0)</f>
        <v>#N/A</v>
      </c>
      <c r="AC388" s="87">
        <v>0.008</v>
      </c>
      <c r="AD388" s="42">
        <f t="shared" si="32"/>
        <v>6548918.4</v>
      </c>
      <c r="AE388" s="42">
        <f t="shared" si="33"/>
        <v>60000</v>
      </c>
      <c r="AF388" s="123">
        <f t="shared" si="34"/>
        <v>20000</v>
      </c>
    </row>
    <row r="389">
      <c r="A389" s="30" t="s">
        <v>451</v>
      </c>
      <c r="B389" s="84" t="s">
        <v>2210</v>
      </c>
      <c r="C389" s="85"/>
      <c r="D389" s="11">
        <f t="shared" si="41"/>
        <v>1</v>
      </c>
      <c r="E389" s="11">
        <f t="shared" si="42"/>
        <v>40000</v>
      </c>
      <c r="F389" s="30" t="s">
        <v>2441</v>
      </c>
      <c r="G389" s="11" t="s">
        <v>1100</v>
      </c>
      <c r="H389" s="31">
        <v>40000.0</v>
      </c>
      <c r="I389" s="74" t="s">
        <v>338</v>
      </c>
      <c r="J389" s="25" t="s">
        <v>77</v>
      </c>
      <c r="K389" s="38">
        <f t="shared" si="17"/>
        <v>1</v>
      </c>
      <c r="L389" s="18" t="s">
        <v>910</v>
      </c>
      <c r="M389" s="18" t="s">
        <v>736</v>
      </c>
      <c r="N389" s="34"/>
      <c r="O389" s="34"/>
      <c r="P389" s="34"/>
      <c r="Q389" s="42" t="str">
        <f>iferror(VLOOKUP(A389,'Positional cal'!A:H,1,0)=A389,"FALSE")</f>
        <v>FALSE</v>
      </c>
      <c r="R389" s="43" t="b">
        <f t="shared" si="3"/>
        <v>0</v>
      </c>
      <c r="S389" s="46">
        <f>IFERROR(VLOOKUP($A389,AlgoUi!$A:$X,21,0),"NA")</f>
        <v>11977231</v>
      </c>
      <c r="T389" s="46">
        <f>IFERROR(VLOOKUP($A389,AlgoUi!$A:$X,23,0),"")</f>
        <v>12000000</v>
      </c>
      <c r="U389" s="46">
        <f>IFERROR(VLOOKUP($A389,AlgoUi!$A:$X,24,0),"")</f>
        <v>120000</v>
      </c>
      <c r="V389" s="42" t="str">
        <f>IFERROR(__xludf.DUMMYFUNCTION("IFERROR(VLOOKUP(I389,IMPORTRANGE(""https://docs.google.com/spreadsheets/d/17FOIUYQAjPk1pPQIlvOgqYDBqwUqgb7KWzp4DtVksBk/edit?gid=0#gid=0"",""Servers!A:S""),19,FALSE), ""Not Running"")"),"NIDHID")</f>
        <v>NIDHID</v>
      </c>
      <c r="W389" s="47" t="str">
        <f>VLOOKUP($A389,Category!$A:$E,4,0)</f>
        <v>MS</v>
      </c>
      <c r="X389" s="47" t="str">
        <f>VLOOKUP($A389,Category!$A:$E,5,0)</f>
        <v>MSR</v>
      </c>
      <c r="Y389" s="18" t="str">
        <f>VLOOKUP(A389,PAcc!$A$1:$J$27,10,0)</f>
        <v>#N/A</v>
      </c>
      <c r="Z389" s="42" t="b">
        <f t="shared" si="4"/>
        <v>0</v>
      </c>
      <c r="AA389" s="50">
        <v>0.4</v>
      </c>
      <c r="AB389" s="42" t="str">
        <f>VLOOKUP(A389,VlookupSheet!$A$383:$A$523,1,0)</f>
        <v>#N/A</v>
      </c>
      <c r="AC389" s="87">
        <v>0.008</v>
      </c>
      <c r="AD389" s="42">
        <f t="shared" si="32"/>
        <v>4790892.4</v>
      </c>
      <c r="AE389" s="42">
        <f t="shared" si="33"/>
        <v>40000</v>
      </c>
      <c r="AF389" s="123">
        <f t="shared" si="34"/>
        <v>0</v>
      </c>
    </row>
    <row r="390">
      <c r="A390" s="30" t="s">
        <v>560</v>
      </c>
      <c r="B390" s="84" t="s">
        <v>1975</v>
      </c>
      <c r="C390" s="85"/>
      <c r="D390" s="11">
        <f t="shared" si="41"/>
        <v>1</v>
      </c>
      <c r="E390" s="11">
        <f t="shared" si="42"/>
        <v>40000</v>
      </c>
      <c r="F390" s="30" t="s">
        <v>311</v>
      </c>
      <c r="G390" s="11" t="s">
        <v>1100</v>
      </c>
      <c r="H390" s="31">
        <v>40000.0</v>
      </c>
      <c r="I390" s="74" t="s">
        <v>338</v>
      </c>
      <c r="J390" s="25" t="s">
        <v>77</v>
      </c>
      <c r="K390" s="38">
        <f t="shared" si="17"/>
        <v>1</v>
      </c>
      <c r="L390" s="18" t="s">
        <v>910</v>
      </c>
      <c r="M390" s="18" t="s">
        <v>736</v>
      </c>
      <c r="N390" s="74"/>
      <c r="O390" s="74"/>
      <c r="P390" s="74"/>
      <c r="Q390" s="42" t="str">
        <f>iferror(VLOOKUP(A390,'Positional cal'!A:H,1,0)=A390,"FALSE")</f>
        <v>FALSE</v>
      </c>
      <c r="R390" s="43" t="b">
        <f t="shared" si="3"/>
        <v>0</v>
      </c>
      <c r="S390" s="46">
        <f>IFERROR(VLOOKUP($A390,AlgoUi!$A:$X,21,0),"NA")</f>
        <v>8578032</v>
      </c>
      <c r="T390" s="46">
        <f>IFERROR(VLOOKUP($A390,AlgoUi!$A:$X,23,0),"")</f>
        <v>8000000</v>
      </c>
      <c r="U390" s="46">
        <f>IFERROR(VLOOKUP($A390,AlgoUi!$A:$X,24,0),"")</f>
        <v>80000</v>
      </c>
      <c r="V390" s="42" t="str">
        <f>IFERROR(__xludf.DUMMYFUNCTION("IFERROR(VLOOKUP(I390,IMPORTRANGE(""https://docs.google.com/spreadsheets/d/17FOIUYQAjPk1pPQIlvOgqYDBqwUqgb7KWzp4DtVksBk/edit?gid=0#gid=0"",""Servers!A:S""),19,FALSE), ""Not Running"")"),"NIDHID")</f>
        <v>NIDHID</v>
      </c>
      <c r="W390" s="47" t="str">
        <f>VLOOKUP($A390,Category!$A:$E,4,0)</f>
        <v>MS</v>
      </c>
      <c r="X390" s="47" t="str">
        <f>VLOOKUP($A390,Category!$A:$E,5,0)</f>
        <v>MSP</v>
      </c>
      <c r="Y390" s="18" t="str">
        <f>VLOOKUP(A390,PAcc!$A$1:$J$27,10,0)</f>
        <v>#N/A</v>
      </c>
      <c r="Z390" s="42" t="b">
        <f t="shared" si="4"/>
        <v>0</v>
      </c>
      <c r="AA390" s="50">
        <v>0.4</v>
      </c>
      <c r="AB390" s="42" t="str">
        <f>VLOOKUP(A390,VlookupSheet!$A$383:$A$523,1,0)</f>
        <v>#N/A</v>
      </c>
      <c r="AC390" s="87">
        <v>0.008</v>
      </c>
      <c r="AD390" s="42">
        <f t="shared" si="32"/>
        <v>3431212.8</v>
      </c>
      <c r="AE390" s="42">
        <f t="shared" si="33"/>
        <v>40000</v>
      </c>
      <c r="AF390" s="123">
        <f t="shared" si="34"/>
        <v>0</v>
      </c>
    </row>
    <row r="391">
      <c r="A391" s="30" t="s">
        <v>522</v>
      </c>
      <c r="B391" s="84" t="s">
        <v>2231</v>
      </c>
      <c r="C391" s="30" t="s">
        <v>320</v>
      </c>
      <c r="D391" s="11">
        <f t="shared" si="41"/>
        <v>1</v>
      </c>
      <c r="E391" s="11">
        <f t="shared" si="42"/>
        <v>40000</v>
      </c>
      <c r="F391" s="30" t="s">
        <v>311</v>
      </c>
      <c r="G391" s="11" t="s">
        <v>1100</v>
      </c>
      <c r="H391" s="31">
        <v>40000.0</v>
      </c>
      <c r="I391" s="74" t="s">
        <v>338</v>
      </c>
      <c r="J391" s="25" t="s">
        <v>77</v>
      </c>
      <c r="K391" s="38">
        <f t="shared" si="17"/>
        <v>1</v>
      </c>
      <c r="L391" s="18" t="s">
        <v>910</v>
      </c>
      <c r="M391" s="18" t="s">
        <v>736</v>
      </c>
      <c r="N391" s="74"/>
      <c r="O391" s="74"/>
      <c r="P391" s="74"/>
      <c r="Q391" s="42" t="str">
        <f>iferror(VLOOKUP(A391,'Positional cal'!A:H,1,0)=A391,"FALSE")</f>
        <v>FALSE</v>
      </c>
      <c r="R391" s="43" t="b">
        <f t="shared" si="3"/>
        <v>0</v>
      </c>
      <c r="S391" s="46">
        <f>IFERROR(VLOOKUP($A391,AlgoUi!$A:$X,21,0),"NA")</f>
        <v>9582812</v>
      </c>
      <c r="T391" s="46">
        <f>IFERROR(VLOOKUP($A391,AlgoUi!$A:$X,23,0),"")</f>
        <v>10000000</v>
      </c>
      <c r="U391" s="46">
        <f>IFERROR(VLOOKUP($A391,AlgoUi!$A:$X,24,0),"")</f>
        <v>100000</v>
      </c>
      <c r="V391" s="42" t="str">
        <f>IFERROR(__xludf.DUMMYFUNCTION("IFERROR(VLOOKUP(I391,IMPORTRANGE(""https://docs.google.com/spreadsheets/d/17FOIUYQAjPk1pPQIlvOgqYDBqwUqgb7KWzp4DtVksBk/edit?gid=0#gid=0"",""Servers!A:S""),19,FALSE), ""Not Running"")"),"NIDHID")</f>
        <v>NIDHID</v>
      </c>
      <c r="W391" s="47" t="str">
        <f>VLOOKUP($A391,Category!$A:$E,4,0)</f>
        <v>MS</v>
      </c>
      <c r="X391" s="47" t="str">
        <f>VLOOKUP($A391,Category!$A:$E,5,0)</f>
        <v>MSR</v>
      </c>
      <c r="Y391" s="18" t="str">
        <f>VLOOKUP(A391,PAcc!$A$1:$J$27,10,0)</f>
        <v>#N/A</v>
      </c>
      <c r="Z391" s="42" t="b">
        <f t="shared" si="4"/>
        <v>0</v>
      </c>
      <c r="AA391" s="50">
        <v>0.4</v>
      </c>
      <c r="AB391" s="42" t="str">
        <f>VLOOKUP(A391,VlookupSheet!$A$383:$A$523,1,0)</f>
        <v>#N/A</v>
      </c>
      <c r="AC391" s="87">
        <v>0.008</v>
      </c>
      <c r="AD391" s="42">
        <f t="shared" si="32"/>
        <v>3833124.8</v>
      </c>
      <c r="AE391" s="42">
        <f t="shared" si="33"/>
        <v>40000</v>
      </c>
      <c r="AF391" s="123">
        <f t="shared" si="34"/>
        <v>0</v>
      </c>
    </row>
    <row r="392">
      <c r="A392" s="30" t="s">
        <v>540</v>
      </c>
      <c r="B392" s="84" t="s">
        <v>3007</v>
      </c>
      <c r="C392" s="85"/>
      <c r="D392" s="11">
        <f t="shared" si="41"/>
        <v>1</v>
      </c>
      <c r="E392" s="11">
        <f t="shared" si="42"/>
        <v>40000</v>
      </c>
      <c r="F392" s="30" t="s">
        <v>311</v>
      </c>
      <c r="G392" s="11" t="s">
        <v>1100</v>
      </c>
      <c r="H392" s="31">
        <v>40000.0</v>
      </c>
      <c r="I392" s="74" t="s">
        <v>338</v>
      </c>
      <c r="J392" s="25" t="s">
        <v>77</v>
      </c>
      <c r="K392" s="38">
        <f t="shared" si="17"/>
        <v>1</v>
      </c>
      <c r="L392" s="18" t="s">
        <v>910</v>
      </c>
      <c r="M392" s="18" t="s">
        <v>736</v>
      </c>
      <c r="N392" s="74"/>
      <c r="O392" s="74"/>
      <c r="P392" s="74"/>
      <c r="Q392" s="42" t="str">
        <f>iferror(VLOOKUP(A392,'Positional cal'!A:H,1,0)=A392,"FALSE")</f>
        <v>FALSE</v>
      </c>
      <c r="R392" s="43" t="b">
        <f t="shared" si="3"/>
        <v>0</v>
      </c>
      <c r="S392" s="46">
        <f>IFERROR(VLOOKUP($A392,AlgoUi!$A:$X,21,0),"NA")</f>
        <v>11559605</v>
      </c>
      <c r="T392" s="46">
        <f>IFERROR(VLOOKUP($A392,AlgoUi!$A:$X,23,0),"")</f>
        <v>12000000</v>
      </c>
      <c r="U392" s="46">
        <f>IFERROR(VLOOKUP($A392,AlgoUi!$A:$X,24,0),"")</f>
        <v>120000</v>
      </c>
      <c r="V392" s="42" t="str">
        <f>IFERROR(__xludf.DUMMYFUNCTION("IFERROR(VLOOKUP(I392,IMPORTRANGE(""https://docs.google.com/spreadsheets/d/17FOIUYQAjPk1pPQIlvOgqYDBqwUqgb7KWzp4DtVksBk/edit?gid=0#gid=0"",""Servers!A:S""),19,FALSE), ""Not Running"")"),"NIDHID")</f>
        <v>NIDHID</v>
      </c>
      <c r="W392" s="47" t="str">
        <f>VLOOKUP($A392,Category!$A:$E,4,0)</f>
        <v>MS</v>
      </c>
      <c r="X392" s="47" t="str">
        <f>VLOOKUP($A392,Category!$A:$E,5,0)</f>
        <v>MSR</v>
      </c>
      <c r="Y392" s="18" t="str">
        <f>VLOOKUP(A392,PAcc!$A$1:$J$27,10,0)</f>
        <v>#N/A</v>
      </c>
      <c r="Z392" s="42" t="b">
        <f t="shared" si="4"/>
        <v>0</v>
      </c>
      <c r="AA392" s="50">
        <v>0.4</v>
      </c>
      <c r="AB392" s="42" t="str">
        <f>VLOOKUP(A392,VlookupSheet!$A$383:$A$523,1,0)</f>
        <v>#N/A</v>
      </c>
      <c r="AC392" s="87">
        <v>0.008</v>
      </c>
      <c r="AD392" s="42">
        <f t="shared" si="32"/>
        <v>4623842</v>
      </c>
      <c r="AE392" s="42">
        <f t="shared" si="33"/>
        <v>40000</v>
      </c>
      <c r="AF392" s="123">
        <f t="shared" si="34"/>
        <v>0</v>
      </c>
    </row>
    <row r="393">
      <c r="A393" s="11" t="s">
        <v>2555</v>
      </c>
      <c r="B393" s="24" t="s">
        <v>2556</v>
      </c>
      <c r="C393" s="25"/>
      <c r="D393" s="11">
        <f t="shared" si="41"/>
        <v>1</v>
      </c>
      <c r="E393" s="11">
        <f t="shared" si="42"/>
        <v>40000</v>
      </c>
      <c r="F393" s="30" t="s">
        <v>311</v>
      </c>
      <c r="G393" s="11" t="s">
        <v>1100</v>
      </c>
      <c r="H393" s="31">
        <v>40000.0</v>
      </c>
      <c r="I393" s="42" t="s">
        <v>338</v>
      </c>
      <c r="J393" s="25" t="s">
        <v>77</v>
      </c>
      <c r="K393" s="38">
        <f t="shared" si="17"/>
        <v>1</v>
      </c>
      <c r="L393" s="18" t="s">
        <v>910</v>
      </c>
      <c r="M393" s="18" t="s">
        <v>736</v>
      </c>
      <c r="N393" s="42"/>
      <c r="O393" s="42"/>
      <c r="P393" s="42"/>
      <c r="Q393" s="42" t="str">
        <f>iferror(VLOOKUP(A393,'Positional cal'!A:H,1,0)=A393,"FALSE")</f>
        <v>FALSE</v>
      </c>
      <c r="R393" s="43" t="b">
        <f t="shared" si="3"/>
        <v>0</v>
      </c>
      <c r="S393" s="46">
        <f>IFERROR(VLOOKUP($A393,AlgoUi!$A:$X,21,0),"NA")</f>
        <v>11441778</v>
      </c>
      <c r="T393" s="46">
        <f>IFERROR(VLOOKUP($A393,AlgoUi!$A:$X,23,0),"")</f>
        <v>12000000</v>
      </c>
      <c r="U393" s="46">
        <f>IFERROR(VLOOKUP($A393,AlgoUi!$A:$X,24,0),"")</f>
        <v>120000</v>
      </c>
      <c r="V393" s="42" t="str">
        <f>IFERROR(__xludf.DUMMYFUNCTION("IFERROR(VLOOKUP(I393,IMPORTRANGE(""https://docs.google.com/spreadsheets/d/17FOIUYQAjPk1pPQIlvOgqYDBqwUqgb7KWzp4DtVksBk/edit?gid=0#gid=0"",""Servers!A:S""),19,FALSE), ""Not Running"")"),"NIDHID")</f>
        <v>NIDHID</v>
      </c>
      <c r="W393" s="47" t="str">
        <f>VLOOKUP($A393,Category!$A:$E,4,0)</f>
        <v>MS</v>
      </c>
      <c r="X393" s="47" t="str">
        <f>VLOOKUP($A393,Category!$A:$E,5,0)</f>
        <v>MSN</v>
      </c>
      <c r="Y393" s="18" t="str">
        <f>VLOOKUP(A393,PAcc!$A$1:$J$27,10,0)</f>
        <v>#N/A</v>
      </c>
      <c r="Z393" s="42" t="b">
        <f t="shared" si="4"/>
        <v>0</v>
      </c>
      <c r="AA393" s="50">
        <v>0.4</v>
      </c>
      <c r="AB393" s="42" t="str">
        <f>VLOOKUP(A393,VlookupSheet!$A$383:$A$523,1,0)</f>
        <v>#N/A</v>
      </c>
      <c r="AC393" s="50">
        <v>0.01</v>
      </c>
      <c r="AD393" s="42">
        <f t="shared" si="32"/>
        <v>4576711.2</v>
      </c>
      <c r="AE393" s="42">
        <f t="shared" si="33"/>
        <v>40000</v>
      </c>
      <c r="AF393" s="123">
        <f t="shared" si="34"/>
        <v>0</v>
      </c>
    </row>
    <row r="394">
      <c r="A394" s="30" t="s">
        <v>446</v>
      </c>
      <c r="B394" s="84" t="s">
        <v>3029</v>
      </c>
      <c r="C394" s="85"/>
      <c r="D394" s="11">
        <f t="shared" si="41"/>
        <v>1</v>
      </c>
      <c r="E394" s="11">
        <f t="shared" si="42"/>
        <v>20000</v>
      </c>
      <c r="F394" s="30" t="s">
        <v>311</v>
      </c>
      <c r="G394" s="11" t="s">
        <v>1134</v>
      </c>
      <c r="H394" s="31">
        <v>20000.0</v>
      </c>
      <c r="I394" s="74" t="s">
        <v>338</v>
      </c>
      <c r="J394" s="25" t="s">
        <v>77</v>
      </c>
      <c r="K394" s="38">
        <f t="shared" si="17"/>
        <v>1</v>
      </c>
      <c r="L394" s="18" t="s">
        <v>910</v>
      </c>
      <c r="M394" s="18" t="s">
        <v>736</v>
      </c>
      <c r="N394" s="74"/>
      <c r="O394" s="74"/>
      <c r="P394" s="74"/>
      <c r="Q394" s="42" t="str">
        <f>iferror(VLOOKUP(A394,'Positional cal'!A:H,1,0)=A394,"FALSE")</f>
        <v>FALSE</v>
      </c>
      <c r="R394" s="43" t="b">
        <f t="shared" si="3"/>
        <v>0</v>
      </c>
      <c r="S394" s="46">
        <f>IFERROR(VLOOKUP($A394,AlgoUi!$A:$X,21,0),"NA")</f>
        <v>6978201</v>
      </c>
      <c r="T394" s="46">
        <f>IFERROR(VLOOKUP($A394,AlgoUi!$A:$X,23,0),"")</f>
        <v>6000000</v>
      </c>
      <c r="U394" s="46">
        <f>IFERROR(VLOOKUP($A394,AlgoUi!$A:$X,24,0),"")</f>
        <v>60000</v>
      </c>
      <c r="V394" s="42" t="str">
        <f>IFERROR(__xludf.DUMMYFUNCTION("IFERROR(VLOOKUP(I394,IMPORTRANGE(""https://docs.google.com/spreadsheets/d/17FOIUYQAjPk1pPQIlvOgqYDBqwUqgb7KWzp4DtVksBk/edit?gid=0#gid=0"",""Servers!A:S""),19,FALSE), ""Not Running"")"),"NIDHID")</f>
        <v>NIDHID</v>
      </c>
      <c r="W394" s="47" t="str">
        <f>VLOOKUP($A394,Category!$A:$E,4,0)</f>
        <v>MS</v>
      </c>
      <c r="X394" s="47" t="str">
        <f>VLOOKUP($A394,Category!$A:$E,5,0)</f>
        <v>MSR</v>
      </c>
      <c r="Y394" s="18" t="str">
        <f>VLOOKUP(A394,PAcc!$A$1:$J$27,10,0)</f>
        <v>#N/A</v>
      </c>
      <c r="Z394" s="42" t="b">
        <f t="shared" si="4"/>
        <v>0</v>
      </c>
      <c r="AA394" s="50">
        <v>0.4</v>
      </c>
      <c r="AB394" s="42" t="str">
        <f>VLOOKUP(A394,VlookupSheet!$A$383:$A$523,1,0)</f>
        <v>#N/A</v>
      </c>
      <c r="AC394" s="50">
        <v>0.01</v>
      </c>
      <c r="AD394" s="42">
        <f t="shared" si="32"/>
        <v>2791280.4</v>
      </c>
      <c r="AE394" s="42">
        <f t="shared" si="33"/>
        <v>20000</v>
      </c>
      <c r="AF394" s="123">
        <f t="shared" si="34"/>
        <v>0</v>
      </c>
    </row>
    <row r="395">
      <c r="A395" s="30" t="s">
        <v>514</v>
      </c>
      <c r="B395" s="84" t="s">
        <v>2241</v>
      </c>
      <c r="C395" s="85"/>
      <c r="D395" s="11">
        <f t="shared" si="41"/>
        <v>1</v>
      </c>
      <c r="E395" s="11">
        <f t="shared" si="42"/>
        <v>20000</v>
      </c>
      <c r="F395" s="30" t="s">
        <v>311</v>
      </c>
      <c r="G395" s="11" t="s">
        <v>1134</v>
      </c>
      <c r="H395" s="31">
        <v>20000.0</v>
      </c>
      <c r="I395" s="74" t="s">
        <v>338</v>
      </c>
      <c r="J395" s="25" t="s">
        <v>77</v>
      </c>
      <c r="K395" s="38">
        <f t="shared" si="17"/>
        <v>1</v>
      </c>
      <c r="L395" s="18" t="s">
        <v>910</v>
      </c>
      <c r="M395" s="18" t="s">
        <v>736</v>
      </c>
      <c r="N395" s="74"/>
      <c r="O395" s="74"/>
      <c r="P395" s="74"/>
      <c r="Q395" s="42" t="str">
        <f>iferror(VLOOKUP(A395,'Positional cal'!A:H,1,0)=A395,"FALSE")</f>
        <v>FALSE</v>
      </c>
      <c r="R395" s="43" t="b">
        <f t="shared" si="3"/>
        <v>0</v>
      </c>
      <c r="S395" s="46">
        <f>IFERROR(VLOOKUP($A395,AlgoUi!$A:$X,21,0),"NA")</f>
        <v>5731779</v>
      </c>
      <c r="T395" s="46">
        <f>IFERROR(VLOOKUP($A395,AlgoUi!$A:$X,23,0),"")</f>
        <v>6000000</v>
      </c>
      <c r="U395" s="46">
        <f>IFERROR(VLOOKUP($A395,AlgoUi!$A:$X,24,0),"")</f>
        <v>60000</v>
      </c>
      <c r="V395" s="42" t="str">
        <f>IFERROR(__xludf.DUMMYFUNCTION("IFERROR(VLOOKUP(I395,IMPORTRANGE(""https://docs.google.com/spreadsheets/d/17FOIUYQAjPk1pPQIlvOgqYDBqwUqgb7KWzp4DtVksBk/edit?gid=0#gid=0"",""Servers!A:S""),19,FALSE), ""Not Running"")"),"NIDHID")</f>
        <v>NIDHID</v>
      </c>
      <c r="W395" s="47" t="str">
        <f>VLOOKUP($A395,Category!$A:$E,4,0)</f>
        <v>MS</v>
      </c>
      <c r="X395" s="47" t="str">
        <f>VLOOKUP($A395,Category!$A:$E,5,0)</f>
        <v>MSP</v>
      </c>
      <c r="Y395" s="18" t="str">
        <f>VLOOKUP(A395,PAcc!$A$1:$J$27,10,0)</f>
        <v>#N/A</v>
      </c>
      <c r="Z395" s="42" t="b">
        <f t="shared" si="4"/>
        <v>0</v>
      </c>
      <c r="AA395" s="50">
        <v>0.4</v>
      </c>
      <c r="AB395" s="42" t="str">
        <f>VLOOKUP(A395,VlookupSheet!$A$383:$A$523,1,0)</f>
        <v>#N/A</v>
      </c>
      <c r="AC395" s="50">
        <v>0.01</v>
      </c>
      <c r="AD395" s="42">
        <f t="shared" si="32"/>
        <v>2292711.6</v>
      </c>
      <c r="AE395" s="42">
        <f t="shared" si="33"/>
        <v>20000</v>
      </c>
      <c r="AF395" s="123">
        <f t="shared" si="34"/>
        <v>0</v>
      </c>
    </row>
    <row r="396">
      <c r="A396" s="30" t="s">
        <v>343</v>
      </c>
      <c r="B396" s="84" t="s">
        <v>2199</v>
      </c>
      <c r="C396" s="85"/>
      <c r="D396" s="11">
        <f t="shared" si="41"/>
        <v>1</v>
      </c>
      <c r="E396" s="11">
        <f t="shared" si="42"/>
        <v>40000</v>
      </c>
      <c r="F396" s="30" t="s">
        <v>311</v>
      </c>
      <c r="G396" s="11" t="s">
        <v>1100</v>
      </c>
      <c r="H396" s="31">
        <v>40000.0</v>
      </c>
      <c r="I396" s="74" t="s">
        <v>338</v>
      </c>
      <c r="J396" s="25" t="s">
        <v>77</v>
      </c>
      <c r="K396" s="38">
        <f t="shared" si="17"/>
        <v>1</v>
      </c>
      <c r="L396" s="18" t="s">
        <v>910</v>
      </c>
      <c r="M396" s="18" t="s">
        <v>736</v>
      </c>
      <c r="N396" s="74"/>
      <c r="O396" s="74"/>
      <c r="P396" s="74"/>
      <c r="Q396" s="42" t="str">
        <f>iferror(VLOOKUP(A396,'Positional cal'!A:H,1,0)=A396,"FALSE")</f>
        <v>FALSE</v>
      </c>
      <c r="R396" s="43" t="b">
        <f t="shared" si="3"/>
        <v>0</v>
      </c>
      <c r="S396" s="46">
        <f>IFERROR(VLOOKUP($A396,AlgoUi!$A:$X,21,0),"NA")</f>
        <v>10054030</v>
      </c>
      <c r="T396" s="46">
        <f>IFERROR(VLOOKUP($A396,AlgoUi!$A:$X,23,0),"")</f>
        <v>10000000</v>
      </c>
      <c r="U396" s="46">
        <f>IFERROR(VLOOKUP($A396,AlgoUi!$A:$X,24,0),"")</f>
        <v>100000</v>
      </c>
      <c r="V396" s="42" t="str">
        <f>IFERROR(__xludf.DUMMYFUNCTION("IFERROR(VLOOKUP(I396,IMPORTRANGE(""https://docs.google.com/spreadsheets/d/17FOIUYQAjPk1pPQIlvOgqYDBqwUqgb7KWzp4DtVksBk/edit?gid=0#gid=0"",""Servers!A:S""),19,FALSE), ""Not Running"")"),"NIDHID")</f>
        <v>NIDHID</v>
      </c>
      <c r="W396" s="47" t="str">
        <f>VLOOKUP($A396,Category!$A:$E,4,0)</f>
        <v>MS</v>
      </c>
      <c r="X396" s="47" t="str">
        <f>VLOOKUP($A396,Category!$A:$E,5,0)</f>
        <v>MSP</v>
      </c>
      <c r="Y396" s="18" t="str">
        <f>VLOOKUP(A396,PAcc!$A$1:$J$27,10,0)</f>
        <v>#N/A</v>
      </c>
      <c r="Z396" s="42" t="b">
        <f t="shared" si="4"/>
        <v>0</v>
      </c>
      <c r="AA396" s="50">
        <v>0.4</v>
      </c>
      <c r="AB396" s="42" t="str">
        <f>VLOOKUP(A396,VlookupSheet!$A$383:$A$523,1,0)</f>
        <v>#N/A</v>
      </c>
      <c r="AC396" s="50">
        <v>0.01</v>
      </c>
      <c r="AD396" s="42">
        <f t="shared" si="32"/>
        <v>4021612</v>
      </c>
      <c r="AE396" s="42">
        <f t="shared" si="33"/>
        <v>40000</v>
      </c>
      <c r="AF396" s="123">
        <f t="shared" si="34"/>
        <v>0</v>
      </c>
    </row>
    <row r="397">
      <c r="A397" s="11" t="s">
        <v>363</v>
      </c>
      <c r="B397" s="84" t="s">
        <v>3050</v>
      </c>
      <c r="C397" s="25"/>
      <c r="D397" s="11">
        <f t="shared" si="41"/>
        <v>1</v>
      </c>
      <c r="E397" s="11">
        <f t="shared" si="42"/>
        <v>40000</v>
      </c>
      <c r="F397" s="30" t="s">
        <v>311</v>
      </c>
      <c r="G397" s="11" t="s">
        <v>1100</v>
      </c>
      <c r="H397" s="31">
        <v>40000.0</v>
      </c>
      <c r="I397" s="74" t="s">
        <v>338</v>
      </c>
      <c r="J397" s="25" t="s">
        <v>77</v>
      </c>
      <c r="K397" s="38">
        <f t="shared" si="17"/>
        <v>1</v>
      </c>
      <c r="L397" s="18" t="s">
        <v>910</v>
      </c>
      <c r="M397" s="18" t="s">
        <v>736</v>
      </c>
      <c r="N397" s="42"/>
      <c r="O397" s="42"/>
      <c r="P397" s="42"/>
      <c r="Q397" s="42" t="str">
        <f>iferror(VLOOKUP(A397,'Positional cal'!A:H,1,0)=A397,"FALSE")</f>
        <v>FALSE</v>
      </c>
      <c r="R397" s="43" t="b">
        <f t="shared" si="3"/>
        <v>0</v>
      </c>
      <c r="S397" s="46">
        <f>IFERROR(VLOOKUP($A397,AlgoUi!$A:$X,21,0),"NA")</f>
        <v>8401645</v>
      </c>
      <c r="T397" s="46">
        <f>IFERROR(VLOOKUP($A397,AlgoUi!$A:$X,23,0),"")</f>
        <v>8000000</v>
      </c>
      <c r="U397" s="46">
        <f>IFERROR(VLOOKUP($A397,AlgoUi!$A:$X,24,0),"")</f>
        <v>80000</v>
      </c>
      <c r="V397" s="42" t="str">
        <f>IFERROR(__xludf.DUMMYFUNCTION("IFERROR(VLOOKUP(I397,IMPORTRANGE(""https://docs.google.com/spreadsheets/d/17FOIUYQAjPk1pPQIlvOgqYDBqwUqgb7KWzp4DtVksBk/edit?gid=0#gid=0"",""Servers!A:S""),19,FALSE), ""Not Running"")"),"NIDHID")</f>
        <v>NIDHID</v>
      </c>
      <c r="W397" s="47" t="str">
        <f>VLOOKUP($A397,Category!$A:$E,4,0)</f>
        <v>MS</v>
      </c>
      <c r="X397" s="47" t="str">
        <f>VLOOKUP($A397,Category!$A:$E,5,0)</f>
        <v>MSR</v>
      </c>
      <c r="Y397" s="18" t="str">
        <f>VLOOKUP(A397,PAcc!$A$1:$J$27,10,0)</f>
        <v>#N/A</v>
      </c>
      <c r="Z397" s="42" t="b">
        <f t="shared" si="4"/>
        <v>0</v>
      </c>
      <c r="AA397" s="50">
        <v>0.4</v>
      </c>
      <c r="AB397" s="42" t="str">
        <f>VLOOKUP(A397,VlookupSheet!$A$383:$A$523,1,0)</f>
        <v>#N/A</v>
      </c>
      <c r="AC397" s="50">
        <v>0.01</v>
      </c>
      <c r="AD397" s="42">
        <f t="shared" si="32"/>
        <v>3360658</v>
      </c>
      <c r="AE397" s="42">
        <f t="shared" si="33"/>
        <v>40000</v>
      </c>
      <c r="AF397" s="123">
        <f t="shared" si="34"/>
        <v>0</v>
      </c>
    </row>
    <row r="398">
      <c r="A398" s="30" t="s">
        <v>353</v>
      </c>
      <c r="B398" s="84" t="s">
        <v>1565</v>
      </c>
      <c r="C398" s="85"/>
      <c r="D398" s="11">
        <f t="shared" si="41"/>
        <v>1</v>
      </c>
      <c r="E398" s="11">
        <f t="shared" si="42"/>
        <v>40000</v>
      </c>
      <c r="F398" s="30" t="s">
        <v>311</v>
      </c>
      <c r="G398" s="11" t="s">
        <v>1100</v>
      </c>
      <c r="H398" s="31">
        <v>40000.0</v>
      </c>
      <c r="I398" s="74" t="s">
        <v>338</v>
      </c>
      <c r="J398" s="25" t="s">
        <v>77</v>
      </c>
      <c r="K398" s="38">
        <f t="shared" si="17"/>
        <v>1</v>
      </c>
      <c r="L398" s="18" t="s">
        <v>910</v>
      </c>
      <c r="M398" s="18" t="s">
        <v>736</v>
      </c>
      <c r="N398" s="74"/>
      <c r="O398" s="74"/>
      <c r="P398" s="74"/>
      <c r="Q398" s="42" t="str">
        <f>iferror(VLOOKUP(A398,'Positional cal'!A:H,1,0)=A398,"FALSE")</f>
        <v>FALSE</v>
      </c>
      <c r="R398" s="43" t="b">
        <f t="shared" si="3"/>
        <v>0</v>
      </c>
      <c r="S398" s="46">
        <f>IFERROR(VLOOKUP($A398,AlgoUi!$A:$X,21,0),"NA")</f>
        <v>11212849</v>
      </c>
      <c r="T398" s="46">
        <f>IFERROR(VLOOKUP($A398,AlgoUi!$A:$X,23,0),"")</f>
        <v>12000000</v>
      </c>
      <c r="U398" s="46">
        <f>IFERROR(VLOOKUP($A398,AlgoUi!$A:$X,24,0),"")</f>
        <v>120000</v>
      </c>
      <c r="V398" s="42" t="str">
        <f>IFERROR(__xludf.DUMMYFUNCTION("IFERROR(VLOOKUP(I398,IMPORTRANGE(""https://docs.google.com/spreadsheets/d/17FOIUYQAjPk1pPQIlvOgqYDBqwUqgb7KWzp4DtVksBk/edit?gid=0#gid=0"",""Servers!A:S""),19,FALSE), ""Not Running"")"),"NIDHID")</f>
        <v>NIDHID</v>
      </c>
      <c r="W398" s="47" t="str">
        <f>VLOOKUP($A398,Category!$A:$E,4,0)</f>
        <v>MS</v>
      </c>
      <c r="X398" s="47" t="str">
        <f>VLOOKUP($A398,Category!$A:$E,5,0)</f>
        <v>MSR</v>
      </c>
      <c r="Y398" s="18" t="str">
        <f>VLOOKUP(A398,PAcc!$A$1:$J$27,10,0)</f>
        <v>#N/A</v>
      </c>
      <c r="Z398" s="42" t="b">
        <f t="shared" si="4"/>
        <v>0</v>
      </c>
      <c r="AA398" s="50">
        <v>0.4</v>
      </c>
      <c r="AB398" s="42" t="str">
        <f>VLOOKUP(A398,VlookupSheet!$A$383:$A$523,1,0)</f>
        <v>#N/A</v>
      </c>
      <c r="AC398" s="50">
        <v>0.01</v>
      </c>
      <c r="AD398" s="42">
        <f t="shared" si="32"/>
        <v>4485139.6</v>
      </c>
      <c r="AE398" s="42">
        <f t="shared" si="33"/>
        <v>40000</v>
      </c>
      <c r="AF398" s="123">
        <f t="shared" si="34"/>
        <v>0</v>
      </c>
    </row>
    <row r="399">
      <c r="A399" s="30" t="s">
        <v>454</v>
      </c>
      <c r="B399" s="84" t="s">
        <v>3011</v>
      </c>
      <c r="C399" s="85"/>
      <c r="D399" s="11">
        <f t="shared" si="41"/>
        <v>1</v>
      </c>
      <c r="E399" s="11">
        <f t="shared" si="42"/>
        <v>60000</v>
      </c>
      <c r="F399" s="30" t="s">
        <v>311</v>
      </c>
      <c r="G399" s="11" t="s">
        <v>1550</v>
      </c>
      <c r="H399" s="31">
        <v>60000.0</v>
      </c>
      <c r="I399" s="74" t="s">
        <v>338</v>
      </c>
      <c r="J399" s="25" t="s">
        <v>77</v>
      </c>
      <c r="K399" s="38">
        <f t="shared" si="17"/>
        <v>1</v>
      </c>
      <c r="L399" s="18" t="s">
        <v>910</v>
      </c>
      <c r="M399" s="18" t="s">
        <v>736</v>
      </c>
      <c r="N399" s="74"/>
      <c r="O399" s="74"/>
      <c r="P399" s="74"/>
      <c r="Q399" s="42" t="str">
        <f>iferror(VLOOKUP(A399,'Positional cal'!A:H,1,0)=A399,"FALSE")</f>
        <v>FALSE</v>
      </c>
      <c r="R399" s="43" t="b">
        <f t="shared" si="3"/>
        <v>0</v>
      </c>
      <c r="S399" s="46">
        <f>IFERROR(VLOOKUP($A399,AlgoUi!$A:$X,21,0),"NA")</f>
        <v>13697504</v>
      </c>
      <c r="T399" s="46">
        <f>IFERROR(VLOOKUP($A399,AlgoUi!$A:$X,23,0),"")</f>
        <v>14000000</v>
      </c>
      <c r="U399" s="46">
        <f>IFERROR(VLOOKUP($A399,AlgoUi!$A:$X,24,0),"")</f>
        <v>140000</v>
      </c>
      <c r="V399" s="42" t="str">
        <f>IFERROR(__xludf.DUMMYFUNCTION("IFERROR(VLOOKUP(I399,IMPORTRANGE(""https://docs.google.com/spreadsheets/d/17FOIUYQAjPk1pPQIlvOgqYDBqwUqgb7KWzp4DtVksBk/edit?gid=0#gid=0"",""Servers!A:S""),19,FALSE), ""Not Running"")"),"NIDHID")</f>
        <v>NIDHID</v>
      </c>
      <c r="W399" s="47" t="str">
        <f>VLOOKUP($A399,Category!$A:$E,4,0)</f>
        <v>MS</v>
      </c>
      <c r="X399" s="47" t="str">
        <f>VLOOKUP($A399,Category!$A:$E,5,0)</f>
        <v>MSR</v>
      </c>
      <c r="Y399" s="18" t="str">
        <f>VLOOKUP(A399,PAcc!$A$1:$J$27,10,0)</f>
        <v>#N/A</v>
      </c>
      <c r="Z399" s="42" t="b">
        <f t="shared" si="4"/>
        <v>0</v>
      </c>
      <c r="AA399" s="50">
        <v>0.4</v>
      </c>
      <c r="AB399" s="42" t="str">
        <f>VLOOKUP(A399,VlookupSheet!$A$383:$A$523,1,0)</f>
        <v>#N/A</v>
      </c>
      <c r="AC399" s="50">
        <v>0.01</v>
      </c>
      <c r="AD399" s="42">
        <f t="shared" si="32"/>
        <v>5479001.6</v>
      </c>
      <c r="AE399" s="42">
        <f t="shared" si="33"/>
        <v>60000</v>
      </c>
      <c r="AF399" s="123">
        <f t="shared" si="34"/>
        <v>0</v>
      </c>
    </row>
    <row r="400">
      <c r="A400" s="11" t="s">
        <v>1744</v>
      </c>
      <c r="B400" s="24" t="s">
        <v>3511</v>
      </c>
      <c r="C400" s="25"/>
      <c r="D400" s="11">
        <f t="shared" si="41"/>
        <v>1</v>
      </c>
      <c r="E400" s="11">
        <f t="shared" si="42"/>
        <v>40000</v>
      </c>
      <c r="F400" s="30" t="s">
        <v>311</v>
      </c>
      <c r="G400" s="11" t="s">
        <v>1100</v>
      </c>
      <c r="H400" s="31">
        <v>40000.0</v>
      </c>
      <c r="I400" s="11" t="s">
        <v>338</v>
      </c>
      <c r="J400" s="11" t="s">
        <v>77</v>
      </c>
      <c r="K400" s="38">
        <f t="shared" si="17"/>
        <v>1</v>
      </c>
      <c r="L400" s="18" t="s">
        <v>910</v>
      </c>
      <c r="M400" s="18" t="s">
        <v>736</v>
      </c>
      <c r="N400" s="42"/>
      <c r="O400" s="42"/>
      <c r="P400" s="42"/>
      <c r="Q400" s="42" t="str">
        <f>iferror(VLOOKUP(A400,'Positional cal'!A:H,1,0)=A400,"FALSE")</f>
        <v>FALSE</v>
      </c>
      <c r="R400" s="43" t="b">
        <f t="shared" si="3"/>
        <v>0</v>
      </c>
      <c r="S400" s="46">
        <f>IFERROR(VLOOKUP($A400,AlgoUi!$A:$X,21,0),"NA")</f>
        <v>9630775</v>
      </c>
      <c r="T400" s="46">
        <f>IFERROR(VLOOKUP($A400,AlgoUi!$A:$X,23,0),"")</f>
        <v>10000000</v>
      </c>
      <c r="U400" s="46">
        <f>IFERROR(VLOOKUP($A400,AlgoUi!$A:$X,24,0),"")</f>
        <v>100000</v>
      </c>
      <c r="V400" s="42" t="str">
        <f>IFERROR(__xludf.DUMMYFUNCTION("IFERROR(VLOOKUP(I400,IMPORTRANGE(""https://docs.google.com/spreadsheets/d/17FOIUYQAjPk1pPQIlvOgqYDBqwUqgb7KWzp4DtVksBk/edit?gid=0#gid=0"",""Servers!A:S""),19,FALSE), ""Not Running"")"),"NIDHID")</f>
        <v>NIDHID</v>
      </c>
      <c r="W400" s="47" t="str">
        <f>VLOOKUP($A400,Category!$A:$E,4,0)</f>
        <v>MS</v>
      </c>
      <c r="X400" s="47" t="str">
        <f>VLOOKUP($A400,Category!$A:$E,5,0)</f>
        <v>MSR</v>
      </c>
      <c r="Y400" s="18" t="str">
        <f>VLOOKUP(A400,PAcc!$A$1:$J$27,10,0)</f>
        <v>#N/A</v>
      </c>
      <c r="Z400" s="42" t="b">
        <f t="shared" si="4"/>
        <v>0</v>
      </c>
      <c r="AA400" s="50">
        <v>0.4</v>
      </c>
      <c r="AB400" s="42" t="str">
        <f>VLOOKUP(A400,VlookupSheet!$A$383:$A$523,1,0)</f>
        <v>#N/A</v>
      </c>
      <c r="AC400" s="50">
        <v>0.01</v>
      </c>
      <c r="AD400" s="42">
        <f t="shared" si="32"/>
        <v>3852310</v>
      </c>
      <c r="AE400" s="42">
        <f t="shared" si="33"/>
        <v>40000</v>
      </c>
      <c r="AF400" s="123">
        <f t="shared" si="34"/>
        <v>0</v>
      </c>
    </row>
    <row r="401">
      <c r="A401" s="11" t="s">
        <v>127</v>
      </c>
      <c r="B401" s="24" t="s">
        <v>3517</v>
      </c>
      <c r="C401" s="25"/>
      <c r="D401" s="11">
        <f t="shared" si="41"/>
        <v>1</v>
      </c>
      <c r="E401" s="11">
        <f t="shared" si="42"/>
        <v>60000</v>
      </c>
      <c r="F401" s="30" t="s">
        <v>311</v>
      </c>
      <c r="G401" s="11">
        <v>60000.0</v>
      </c>
      <c r="H401" s="31">
        <v>60000.0</v>
      </c>
      <c r="I401" s="11" t="s">
        <v>25</v>
      </c>
      <c r="J401" s="11" t="s">
        <v>907</v>
      </c>
      <c r="K401" s="38">
        <f t="shared" si="17"/>
        <v>1</v>
      </c>
      <c r="L401" s="18" t="s">
        <v>910</v>
      </c>
      <c r="M401" s="18" t="s">
        <v>736</v>
      </c>
      <c r="N401" s="42"/>
      <c r="O401" s="42"/>
      <c r="P401" s="42"/>
      <c r="Q401" s="42" t="str">
        <f>iferror(VLOOKUP(A401,'Positional cal'!A:H,1,0)=A401,"FALSE")</f>
        <v>FALSE</v>
      </c>
      <c r="R401" s="43" t="b">
        <f t="shared" si="3"/>
        <v>0</v>
      </c>
      <c r="S401" s="46">
        <f>IFERROR(VLOOKUP($A401,AlgoUi!$A:$X,21,0),"NA")</f>
        <v>17099547</v>
      </c>
      <c r="T401" s="46">
        <f>IFERROR(VLOOKUP($A401,AlgoUi!$A:$X,23,0),"")</f>
        <v>18000000</v>
      </c>
      <c r="U401" s="46">
        <f>IFERROR(VLOOKUP($A401,AlgoUi!$A:$X,24,0),"")</f>
        <v>180000</v>
      </c>
      <c r="V401" s="42" t="str">
        <f>IFERROR(__xludf.DUMMYFUNCTION("IFERROR(VLOOKUP(I401,IMPORTRANGE(""https://docs.google.com/spreadsheets/d/17FOIUYQAjPk1pPQIlvOgqYDBqwUqgb7KWzp4DtVksBk/edit?gid=0#gid=0"",""Servers!A:S""),19,FALSE), ""Not Running"")"),"SAKSHIS")</f>
        <v>SAKSHIS</v>
      </c>
      <c r="W401" s="47" t="str">
        <f>VLOOKUP($A401,Category!$A:$E,4,0)</f>
        <v>MS</v>
      </c>
      <c r="X401" s="47" t="str">
        <f>VLOOKUP($A401,Category!$A:$E,5,0)</f>
        <v>MSN</v>
      </c>
      <c r="Y401" s="18" t="str">
        <f>VLOOKUP(A401,PAcc!$A$1:$J$27,10,0)</f>
        <v>#N/A</v>
      </c>
      <c r="Z401" s="42" t="b">
        <f t="shared" si="4"/>
        <v>0</v>
      </c>
      <c r="AA401" s="50">
        <v>0.4</v>
      </c>
      <c r="AB401" s="42" t="str">
        <f>VLOOKUP(A401,VlookupSheet!$A$383:$A$523,1,0)</f>
        <v>#N/A</v>
      </c>
      <c r="AC401" s="50">
        <v>0.01</v>
      </c>
      <c r="AD401" s="42">
        <f t="shared" si="32"/>
        <v>6839818.8</v>
      </c>
      <c r="AE401" s="42">
        <f t="shared" si="33"/>
        <v>60000</v>
      </c>
      <c r="AF401" s="123">
        <f t="shared" si="34"/>
        <v>0</v>
      </c>
    </row>
    <row r="402">
      <c r="A402" s="11" t="s">
        <v>2239</v>
      </c>
      <c r="B402" s="84" t="s">
        <v>3108</v>
      </c>
      <c r="C402" s="25"/>
      <c r="D402" s="11">
        <f t="shared" si="41"/>
        <v>1</v>
      </c>
      <c r="E402" s="11">
        <f t="shared" si="42"/>
        <v>60000</v>
      </c>
      <c r="F402" s="30" t="s">
        <v>311</v>
      </c>
      <c r="G402" s="11" t="s">
        <v>1550</v>
      </c>
      <c r="H402" s="31">
        <v>60000.0</v>
      </c>
      <c r="I402" s="34" t="s">
        <v>25</v>
      </c>
      <c r="J402" s="85" t="s">
        <v>907</v>
      </c>
      <c r="K402" s="38">
        <f t="shared" si="17"/>
        <v>1</v>
      </c>
      <c r="L402" s="18" t="s">
        <v>910</v>
      </c>
      <c r="M402" s="18" t="s">
        <v>736</v>
      </c>
      <c r="N402" s="42"/>
      <c r="O402" s="42"/>
      <c r="P402" s="42"/>
      <c r="Q402" s="42" t="str">
        <f>iferror(VLOOKUP(A402,'Positional cal'!A:H,1,0)=A402,"FALSE")</f>
        <v>FALSE</v>
      </c>
      <c r="R402" s="43" t="b">
        <f t="shared" si="3"/>
        <v>0</v>
      </c>
      <c r="S402" s="46">
        <f>IFERROR(VLOOKUP($A402,AlgoUi!$A:$X,21,0),"NA")</f>
        <v>14069150</v>
      </c>
      <c r="T402" s="46">
        <f>IFERROR(VLOOKUP($A402,AlgoUi!$A:$X,23,0),"")</f>
        <v>14000000</v>
      </c>
      <c r="U402" s="46">
        <f>IFERROR(VLOOKUP($A402,AlgoUi!$A:$X,24,0),"")</f>
        <v>140000</v>
      </c>
      <c r="V402" s="42" t="str">
        <f>IFERROR(__xludf.DUMMYFUNCTION("IFERROR(VLOOKUP(I402,IMPORTRANGE(""https://docs.google.com/spreadsheets/d/17FOIUYQAjPk1pPQIlvOgqYDBqwUqgb7KWzp4DtVksBk/edit?gid=0#gid=0"",""Servers!A:S""),19,FALSE), ""Not Running"")"),"SAKSHIS")</f>
        <v>SAKSHIS</v>
      </c>
      <c r="W402" s="47" t="str">
        <f>VLOOKUP($A402,Category!$A:$E,4,0)</f>
        <v>MS</v>
      </c>
      <c r="X402" s="47" t="str">
        <f>VLOOKUP($A402,Category!$A:$E,5,0)</f>
        <v>MSR</v>
      </c>
      <c r="Y402" s="18" t="str">
        <f>VLOOKUP(A402,PAcc!$A$1:$J$27,10,0)</f>
        <v>#N/A</v>
      </c>
      <c r="Z402" s="42" t="b">
        <f t="shared" si="4"/>
        <v>0</v>
      </c>
      <c r="AA402" s="50">
        <v>0.4</v>
      </c>
      <c r="AB402" s="42" t="str">
        <f>VLOOKUP(A402,VlookupSheet!$A$383:$A$523,1,0)</f>
        <v>#N/A</v>
      </c>
      <c r="AC402" s="50">
        <v>0.01</v>
      </c>
      <c r="AD402" s="42">
        <f t="shared" si="32"/>
        <v>5627660</v>
      </c>
      <c r="AE402" s="42">
        <f t="shared" si="33"/>
        <v>60000</v>
      </c>
      <c r="AF402" s="123">
        <f t="shared" si="34"/>
        <v>0</v>
      </c>
    </row>
    <row r="403">
      <c r="A403" s="30" t="s">
        <v>1485</v>
      </c>
      <c r="B403" s="84" t="s">
        <v>2426</v>
      </c>
      <c r="C403" s="30" t="s">
        <v>320</v>
      </c>
      <c r="D403" s="11">
        <f t="shared" si="41"/>
        <v>1</v>
      </c>
      <c r="E403" s="11">
        <f t="shared" si="42"/>
        <v>100000</v>
      </c>
      <c r="F403" s="30" t="s">
        <v>311</v>
      </c>
      <c r="G403" s="11" t="s">
        <v>3530</v>
      </c>
      <c r="H403" s="31">
        <v>100000.0</v>
      </c>
      <c r="I403" s="34" t="s">
        <v>25</v>
      </c>
      <c r="J403" s="85" t="s">
        <v>907</v>
      </c>
      <c r="K403" s="38">
        <f t="shared" si="17"/>
        <v>1</v>
      </c>
      <c r="L403" s="18" t="s">
        <v>910</v>
      </c>
      <c r="M403" s="18" t="s">
        <v>736</v>
      </c>
      <c r="N403" s="34"/>
      <c r="O403" s="34"/>
      <c r="P403" s="34" t="s">
        <v>273</v>
      </c>
      <c r="Q403" s="42" t="str">
        <f>iferror(VLOOKUP(A403,'Positional cal'!A:H,1,0)=A403,"FALSE")</f>
        <v>FALSE</v>
      </c>
      <c r="R403" s="43" t="b">
        <f t="shared" si="3"/>
        <v>0</v>
      </c>
      <c r="S403" s="46">
        <f>IFERROR(VLOOKUP($A403,AlgoUi!$A:$X,21,0),"NA")</f>
        <v>19980785</v>
      </c>
      <c r="T403" s="46">
        <f>IFERROR(VLOOKUP($A403,AlgoUi!$A:$X,23,0),"")</f>
        <v>20000000</v>
      </c>
      <c r="U403" s="46">
        <f>IFERROR(VLOOKUP($A403,AlgoUi!$A:$X,24,0),"")</f>
        <v>200000</v>
      </c>
      <c r="V403" s="42" t="str">
        <f>IFERROR(__xludf.DUMMYFUNCTION("IFERROR(VLOOKUP(I403,IMPORTRANGE(""https://docs.google.com/spreadsheets/d/17FOIUYQAjPk1pPQIlvOgqYDBqwUqgb7KWzp4DtVksBk/edit?gid=0#gid=0"",""Servers!A:S""),19,FALSE), ""Not Running"")"),"SAKSHIS")</f>
        <v>SAKSHIS</v>
      </c>
      <c r="W403" s="47" t="str">
        <f>VLOOKUP($A403,Category!$A:$E,4,0)</f>
        <v>MS</v>
      </c>
      <c r="X403" s="47" t="str">
        <f>VLOOKUP($A403,Category!$A:$E,5,0)</f>
        <v>PRD</v>
      </c>
      <c r="Y403" s="18" t="str">
        <f>VLOOKUP(A403,PAcc!$A$1:$J$27,10,0)</f>
        <v>RD Personal </v>
      </c>
      <c r="Z403" s="42" t="b">
        <f t="shared" si="4"/>
        <v>0</v>
      </c>
      <c r="AA403" s="42"/>
      <c r="AB403" s="42" t="str">
        <f>VLOOKUP(A403,VlookupSheet!$A$383:$A$523,1,0)</f>
        <v>#N/A</v>
      </c>
      <c r="AC403" s="50">
        <v>0.01</v>
      </c>
      <c r="AD403" s="42">
        <f t="shared" si="32"/>
        <v>0</v>
      </c>
      <c r="AE403" s="42">
        <f t="shared" si="33"/>
        <v>0</v>
      </c>
      <c r="AF403" s="123">
        <f t="shared" si="34"/>
        <v>-100000</v>
      </c>
    </row>
    <row r="404">
      <c r="A404" s="30" t="s">
        <v>2395</v>
      </c>
      <c r="B404" s="84" t="s">
        <v>3254</v>
      </c>
      <c r="C404" s="30"/>
      <c r="D404" s="11">
        <f t="shared" si="41"/>
        <v>1</v>
      </c>
      <c r="E404" s="11">
        <f t="shared" si="42"/>
        <v>320000</v>
      </c>
      <c r="F404" s="30" t="s">
        <v>2397</v>
      </c>
      <c r="G404" s="11" t="s">
        <v>3536</v>
      </c>
      <c r="H404" s="31">
        <v>320000.0</v>
      </c>
      <c r="I404" s="34" t="s">
        <v>25</v>
      </c>
      <c r="J404" s="30" t="s">
        <v>907</v>
      </c>
      <c r="K404" s="38">
        <f t="shared" si="17"/>
        <v>1</v>
      </c>
      <c r="L404" s="18" t="s">
        <v>910</v>
      </c>
      <c r="M404" s="18" t="s">
        <v>736</v>
      </c>
      <c r="N404" s="18"/>
      <c r="O404" s="18"/>
      <c r="P404" s="18"/>
      <c r="Q404" s="42" t="str">
        <f>iferror(VLOOKUP(A404,'Positional cal'!A:H,1,0)=A404,"FALSE")</f>
        <v>FALSE</v>
      </c>
      <c r="R404" s="43" t="b">
        <f t="shared" si="3"/>
        <v>0</v>
      </c>
      <c r="S404" s="46">
        <f>IFERROR(VLOOKUP($A404,AlgoUi!$A:$X,21,0),"NA")</f>
        <v>10000000000</v>
      </c>
      <c r="T404" s="46">
        <f>IFERROR(VLOOKUP($A404,AlgoUi!$A:$X,23,0),"")</f>
        <v>10000000000</v>
      </c>
      <c r="U404" s="46">
        <f>IFERROR(VLOOKUP($A404,AlgoUi!$A:$X,24,0),"")</f>
        <v>100000000</v>
      </c>
      <c r="V404" s="42" t="str">
        <f>IFERROR(__xludf.DUMMYFUNCTION("IFERROR(VLOOKUP(I404,IMPORTRANGE(""https://docs.google.com/spreadsheets/d/17FOIUYQAjPk1pPQIlvOgqYDBqwUqgb7KWzp4DtVksBk/edit?gid=0#gid=0"",""Servers!A:S""),19,FALSE), ""Not Running"")"),"SAKSHIS")</f>
        <v>SAKSHIS</v>
      </c>
      <c r="W404" s="47" t="str">
        <f>VLOOKUP($A404,Category!$A:$E,4,0)</f>
        <v>MS</v>
      </c>
      <c r="X404" s="47" t="str">
        <f>VLOOKUP($A404,Category!$A:$E,5,0)</f>
        <v>MSR</v>
      </c>
      <c r="Y404" s="18" t="str">
        <f>VLOOKUP(A404,PAcc!$A$1:$J$27,10,0)</f>
        <v>#N/A</v>
      </c>
      <c r="Z404" s="42" t="b">
        <f t="shared" si="4"/>
        <v>0</v>
      </c>
      <c r="AA404" s="50">
        <v>0.4</v>
      </c>
      <c r="AB404" s="42" t="str">
        <f>VLOOKUP(A404,VlookupSheet!$A$383:$A$523,1,0)</f>
        <v>#N/A</v>
      </c>
      <c r="AC404" s="50">
        <v>0.01</v>
      </c>
      <c r="AD404" s="42">
        <f t="shared" si="32"/>
        <v>4000000000</v>
      </c>
      <c r="AE404" s="42">
        <f t="shared" si="33"/>
        <v>40000000</v>
      </c>
      <c r="AF404" s="123">
        <f t="shared" si="34"/>
        <v>39680000</v>
      </c>
    </row>
    <row r="405">
      <c r="A405" s="30" t="s">
        <v>1449</v>
      </c>
      <c r="B405" s="84" t="s">
        <v>2560</v>
      </c>
      <c r="C405" s="85" t="s">
        <v>320</v>
      </c>
      <c r="D405" s="11">
        <f t="shared" si="41"/>
        <v>1</v>
      </c>
      <c r="E405" s="11">
        <f t="shared" si="42"/>
        <v>60000</v>
      </c>
      <c r="F405" s="30" t="s">
        <v>311</v>
      </c>
      <c r="G405" s="11">
        <v>60000.0</v>
      </c>
      <c r="H405" s="31">
        <v>60000.0</v>
      </c>
      <c r="I405" s="34" t="s">
        <v>25</v>
      </c>
      <c r="J405" s="85" t="s">
        <v>907</v>
      </c>
      <c r="K405" s="38">
        <f>G405/H405</f>
        <v>1</v>
      </c>
      <c r="L405" s="18" t="s">
        <v>910</v>
      </c>
      <c r="M405" s="18" t="s">
        <v>736</v>
      </c>
      <c r="N405" s="74"/>
      <c r="O405" s="74"/>
      <c r="P405" s="74"/>
      <c r="Q405" s="42" t="str">
        <f>iferror(VLOOKUP(A405,'Positional cal'!A:H,1,0)=A405,"FALSE")</f>
        <v>FALSE</v>
      </c>
      <c r="R405" s="43" t="b">
        <f t="shared" si="3"/>
        <v>0</v>
      </c>
      <c r="S405" s="46">
        <f>IFERROR(VLOOKUP($A405,AlgoUi!$A:$X,21,0),"NA")</f>
        <v>14658653</v>
      </c>
      <c r="T405" s="46">
        <f>IFERROR(VLOOKUP($A405,AlgoUi!$A:$X,23,0),"")</f>
        <v>14000000</v>
      </c>
      <c r="U405" s="46">
        <f>IFERROR(VLOOKUP($A405,AlgoUi!$A:$X,24,0),"")</f>
        <v>140000</v>
      </c>
      <c r="V405" s="42" t="str">
        <f>IFERROR(__xludf.DUMMYFUNCTION("IFERROR(VLOOKUP(I405,IMPORTRANGE(""https://docs.google.com/spreadsheets/d/17FOIUYQAjPk1pPQIlvOgqYDBqwUqgb7KWzp4DtVksBk/edit?gid=0#gid=0"",""Servers!A:S""),19,FALSE), ""Not Running"")"),"SAKSHIS")</f>
        <v>SAKSHIS</v>
      </c>
      <c r="W405" s="47" t="str">
        <f>VLOOKUP($A405,Category!$A:$E,4,0)</f>
        <v>MS</v>
      </c>
      <c r="X405" s="47" t="str">
        <f>VLOOKUP($A405,Category!$A:$E,5,0)</f>
        <v>MSR</v>
      </c>
      <c r="Y405" s="18" t="str">
        <f>VLOOKUP(A405,PAcc!$A$1:$J$27,10,0)</f>
        <v>#N/A</v>
      </c>
      <c r="Z405" s="42" t="b">
        <f t="shared" si="4"/>
        <v>0</v>
      </c>
      <c r="AA405" s="50">
        <v>0.4</v>
      </c>
      <c r="AB405" s="42" t="str">
        <f>VLOOKUP(A405,VlookupSheet!$A$383:$A$523,1,0)</f>
        <v>#N/A</v>
      </c>
      <c r="AC405" s="122">
        <v>0.8</v>
      </c>
      <c r="AD405" s="42">
        <f t="shared" si="32"/>
        <v>5863461.2</v>
      </c>
      <c r="AE405" s="42">
        <f t="shared" si="33"/>
        <v>60000</v>
      </c>
      <c r="AF405" s="123">
        <f t="shared" si="34"/>
        <v>0</v>
      </c>
    </row>
    <row r="406">
      <c r="A406" s="30" t="s">
        <v>1503</v>
      </c>
      <c r="B406" s="84" t="s">
        <v>2507</v>
      </c>
      <c r="C406" s="30" t="s">
        <v>320</v>
      </c>
      <c r="D406" s="11">
        <f t="shared" si="41"/>
        <v>1</v>
      </c>
      <c r="E406" s="11">
        <f t="shared" si="42"/>
        <v>40000</v>
      </c>
      <c r="F406" s="30" t="s">
        <v>311</v>
      </c>
      <c r="G406" s="11" t="s">
        <v>1100</v>
      </c>
      <c r="H406" s="31">
        <v>40000.0</v>
      </c>
      <c r="I406" s="34" t="s">
        <v>25</v>
      </c>
      <c r="J406" s="85" t="s">
        <v>907</v>
      </c>
      <c r="K406" s="38">
        <f t="shared" ref="K406:K420" si="43">iferror(G406/H406,"-")</f>
        <v>1</v>
      </c>
      <c r="L406" s="18" t="s">
        <v>910</v>
      </c>
      <c r="M406" s="18" t="s">
        <v>736</v>
      </c>
      <c r="N406" s="74"/>
      <c r="O406" s="74"/>
      <c r="P406" s="74"/>
      <c r="Q406" s="42" t="str">
        <f>iferror(VLOOKUP(A406,'Positional cal'!A:H,1,0)=A406,"FALSE")</f>
        <v>FALSE</v>
      </c>
      <c r="R406" s="43" t="b">
        <f t="shared" si="3"/>
        <v>0</v>
      </c>
      <c r="S406" s="46">
        <f>IFERROR(VLOOKUP($A406,AlgoUi!$A:$X,21,0),"NA")</f>
        <v>11308447</v>
      </c>
      <c r="T406" s="46">
        <f>IFERROR(VLOOKUP($A406,AlgoUi!$A:$X,23,0),"")</f>
        <v>12000000</v>
      </c>
      <c r="U406" s="46">
        <f>IFERROR(VLOOKUP($A406,AlgoUi!$A:$X,24,0),"")</f>
        <v>120000</v>
      </c>
      <c r="V406" s="42" t="str">
        <f>IFERROR(__xludf.DUMMYFUNCTION("IFERROR(VLOOKUP(I406,IMPORTRANGE(""https://docs.google.com/spreadsheets/d/17FOIUYQAjPk1pPQIlvOgqYDBqwUqgb7KWzp4DtVksBk/edit?gid=0#gid=0"",""Servers!A:S""),19,FALSE), ""Not Running"")"),"SAKSHIS")</f>
        <v>SAKSHIS</v>
      </c>
      <c r="W406" s="47" t="str">
        <f>VLOOKUP($A406,Category!$A:$E,4,0)</f>
        <v>MS</v>
      </c>
      <c r="X406" s="47" t="str">
        <f>VLOOKUP($A406,Category!$A:$E,5,0)</f>
        <v>MSR</v>
      </c>
      <c r="Y406" s="18" t="str">
        <f>VLOOKUP(A406,PAcc!$A$1:$J$27,10,0)</f>
        <v>#N/A</v>
      </c>
      <c r="Z406" s="42" t="b">
        <f t="shared" si="4"/>
        <v>0</v>
      </c>
      <c r="AA406" s="50">
        <v>0.4</v>
      </c>
      <c r="AB406" s="42" t="str">
        <f>VLOOKUP(A406,VlookupSheet!$A$383:$A$523,1,0)</f>
        <v>#N/A</v>
      </c>
      <c r="AC406" s="122">
        <v>0.8</v>
      </c>
      <c r="AD406" s="42">
        <f t="shared" si="32"/>
        <v>4523378.8</v>
      </c>
      <c r="AE406" s="42">
        <f t="shared" si="33"/>
        <v>40000</v>
      </c>
      <c r="AF406" s="123">
        <f t="shared" si="34"/>
        <v>0</v>
      </c>
    </row>
    <row r="407">
      <c r="A407" s="30" t="s">
        <v>1380</v>
      </c>
      <c r="B407" s="84" t="s">
        <v>1789</v>
      </c>
      <c r="C407" s="30" t="s">
        <v>320</v>
      </c>
      <c r="D407" s="11">
        <f t="shared" si="41"/>
        <v>1</v>
      </c>
      <c r="E407" s="11">
        <f t="shared" si="42"/>
        <v>80000</v>
      </c>
      <c r="F407" s="30" t="s">
        <v>311</v>
      </c>
      <c r="G407" s="11" t="s">
        <v>906</v>
      </c>
      <c r="H407" s="31">
        <v>80000.0</v>
      </c>
      <c r="I407" s="34" t="s">
        <v>25</v>
      </c>
      <c r="J407" s="30" t="s">
        <v>907</v>
      </c>
      <c r="K407" s="38">
        <f t="shared" si="43"/>
        <v>1</v>
      </c>
      <c r="L407" s="18" t="s">
        <v>910</v>
      </c>
      <c r="M407" s="18" t="s">
        <v>736</v>
      </c>
      <c r="N407" s="34"/>
      <c r="O407" s="34"/>
      <c r="P407" s="34"/>
      <c r="Q407" s="42" t="str">
        <f>iferror(VLOOKUP(A407,'Positional cal'!A:H,1,0)=A407,"FALSE")</f>
        <v>FALSE</v>
      </c>
      <c r="R407" s="43" t="b">
        <f t="shared" si="3"/>
        <v>0</v>
      </c>
      <c r="S407" s="46">
        <f>IFERROR(VLOOKUP($A407,AlgoUi!$A:$X,21,0),"NA")</f>
        <v>21720223</v>
      </c>
      <c r="T407" s="46">
        <f>IFERROR(VLOOKUP($A407,AlgoUi!$A:$X,23,0),"")</f>
        <v>22000000</v>
      </c>
      <c r="U407" s="46">
        <f>IFERROR(VLOOKUP($A407,AlgoUi!$A:$X,24,0),"")</f>
        <v>220000</v>
      </c>
      <c r="V407" s="42" t="str">
        <f>IFERROR(__xludf.DUMMYFUNCTION("IFERROR(VLOOKUP(I407,IMPORTRANGE(""https://docs.google.com/spreadsheets/d/17FOIUYQAjPk1pPQIlvOgqYDBqwUqgb7KWzp4DtVksBk/edit?gid=0#gid=0"",""Servers!A:S""),19,FALSE), ""Not Running"")"),"SAKSHIS")</f>
        <v>SAKSHIS</v>
      </c>
      <c r="W407" s="47" t="str">
        <f>VLOOKUP($A407,Category!$A:$E,4,0)</f>
        <v>MS</v>
      </c>
      <c r="X407" s="47" t="str">
        <f>VLOOKUP($A407,Category!$A:$E,5,0)</f>
        <v>MSP</v>
      </c>
      <c r="Y407" s="18" t="str">
        <f>VLOOKUP(A407,PAcc!$A$1:$J$27,10,0)</f>
        <v>#N/A</v>
      </c>
      <c r="Z407" s="42" t="b">
        <f t="shared" si="4"/>
        <v>0</v>
      </c>
      <c r="AA407" s="50">
        <v>0.4</v>
      </c>
      <c r="AB407" s="42" t="str">
        <f>VLOOKUP(A407,VlookupSheet!$A$383:$A$523,1,0)</f>
        <v>#N/A</v>
      </c>
      <c r="AC407" s="122">
        <v>0.8</v>
      </c>
      <c r="AD407" s="42">
        <f t="shared" si="32"/>
        <v>8688089.2</v>
      </c>
      <c r="AE407" s="42">
        <f t="shared" si="33"/>
        <v>80000</v>
      </c>
      <c r="AF407" s="123">
        <f t="shared" si="34"/>
        <v>0</v>
      </c>
    </row>
    <row r="408">
      <c r="A408" s="30" t="s">
        <v>1514</v>
      </c>
      <c r="B408" s="84" t="s">
        <v>2517</v>
      </c>
      <c r="C408" s="30" t="s">
        <v>320</v>
      </c>
      <c r="D408" s="11">
        <f t="shared" si="41"/>
        <v>1</v>
      </c>
      <c r="E408" s="11">
        <f t="shared" si="42"/>
        <v>40000</v>
      </c>
      <c r="F408" s="30" t="s">
        <v>311</v>
      </c>
      <c r="G408" s="11" t="s">
        <v>1100</v>
      </c>
      <c r="H408" s="31">
        <v>40000.0</v>
      </c>
      <c r="I408" s="34" t="s">
        <v>25</v>
      </c>
      <c r="J408" s="85" t="s">
        <v>907</v>
      </c>
      <c r="K408" s="38">
        <f t="shared" si="43"/>
        <v>1</v>
      </c>
      <c r="L408" s="18" t="s">
        <v>910</v>
      </c>
      <c r="M408" s="18" t="s">
        <v>736</v>
      </c>
      <c r="N408" s="74"/>
      <c r="O408" s="74"/>
      <c r="P408" s="74"/>
      <c r="Q408" s="42" t="str">
        <f>iferror(VLOOKUP(A408,'Positional cal'!A:H,1,0)=A408,"FALSE")</f>
        <v>FALSE</v>
      </c>
      <c r="R408" s="43" t="b">
        <f t="shared" si="3"/>
        <v>0</v>
      </c>
      <c r="S408" s="46">
        <f>IFERROR(VLOOKUP($A408,AlgoUi!$A:$X,21,0),"NA")</f>
        <v>12073741</v>
      </c>
      <c r="T408" s="46">
        <f>IFERROR(VLOOKUP($A408,AlgoUi!$A:$X,23,0),"")</f>
        <v>12000000</v>
      </c>
      <c r="U408" s="46">
        <f>IFERROR(VLOOKUP($A408,AlgoUi!$A:$X,24,0),"")</f>
        <v>120000</v>
      </c>
      <c r="V408" s="42" t="str">
        <f>IFERROR(__xludf.DUMMYFUNCTION("IFERROR(VLOOKUP(I408,IMPORTRANGE(""https://docs.google.com/spreadsheets/d/17FOIUYQAjPk1pPQIlvOgqYDBqwUqgb7KWzp4DtVksBk/edit?gid=0#gid=0"",""Servers!A:S""),19,FALSE), ""Not Running"")"),"SAKSHIS")</f>
        <v>SAKSHIS</v>
      </c>
      <c r="W408" s="47" t="str">
        <f>VLOOKUP($A408,Category!$A:$E,4,0)</f>
        <v>MS</v>
      </c>
      <c r="X408" s="47" t="str">
        <f>VLOOKUP($A408,Category!$A:$E,5,0)</f>
        <v>MSR</v>
      </c>
      <c r="Y408" s="18" t="str">
        <f>VLOOKUP(A408,PAcc!$A$1:$J$27,10,0)</f>
        <v>#N/A</v>
      </c>
      <c r="Z408" s="42" t="b">
        <f t="shared" si="4"/>
        <v>0</v>
      </c>
      <c r="AA408" s="50">
        <v>0.4</v>
      </c>
      <c r="AB408" s="42" t="str">
        <f>VLOOKUP(A408,VlookupSheet!$A$383:$A$523,1,0)</f>
        <v>#N/A</v>
      </c>
      <c r="AC408" s="122">
        <v>0.8</v>
      </c>
      <c r="AD408" s="42">
        <f t="shared" si="32"/>
        <v>4829496.4</v>
      </c>
      <c r="AE408" s="42">
        <f t="shared" si="33"/>
        <v>40000</v>
      </c>
      <c r="AF408" s="123">
        <f t="shared" si="34"/>
        <v>0</v>
      </c>
    </row>
    <row r="409">
      <c r="A409" s="30" t="s">
        <v>1673</v>
      </c>
      <c r="B409" s="84" t="s">
        <v>2599</v>
      </c>
      <c r="C409" s="30" t="s">
        <v>320</v>
      </c>
      <c r="D409" s="11">
        <f t="shared" si="41"/>
        <v>1</v>
      </c>
      <c r="E409" s="11">
        <f t="shared" si="42"/>
        <v>40000</v>
      </c>
      <c r="F409" s="30" t="s">
        <v>311</v>
      </c>
      <c r="G409" s="11" t="s">
        <v>1100</v>
      </c>
      <c r="H409" s="31">
        <v>40000.0</v>
      </c>
      <c r="I409" s="34" t="s">
        <v>25</v>
      </c>
      <c r="J409" s="85" t="s">
        <v>907</v>
      </c>
      <c r="K409" s="38">
        <f t="shared" si="43"/>
        <v>1</v>
      </c>
      <c r="L409" s="18" t="s">
        <v>910</v>
      </c>
      <c r="M409" s="18" t="s">
        <v>736</v>
      </c>
      <c r="N409" s="74"/>
      <c r="O409" s="74"/>
      <c r="P409" s="74"/>
      <c r="Q409" s="42" t="str">
        <f>iferror(VLOOKUP(A409,'Positional cal'!A:H,1,0)=A409,"FALSE")</f>
        <v>FALSE</v>
      </c>
      <c r="R409" s="43" t="b">
        <f t="shared" si="3"/>
        <v>0</v>
      </c>
      <c r="S409" s="46">
        <f>IFERROR(VLOOKUP($A409,AlgoUi!$A:$X,21,0),"NA")</f>
        <v>10488444</v>
      </c>
      <c r="T409" s="46">
        <f>IFERROR(VLOOKUP($A409,AlgoUi!$A:$X,23,0),"")</f>
        <v>10000000</v>
      </c>
      <c r="U409" s="46">
        <f>IFERROR(VLOOKUP($A409,AlgoUi!$A:$X,24,0),"")</f>
        <v>100000</v>
      </c>
      <c r="V409" s="42" t="str">
        <f>IFERROR(__xludf.DUMMYFUNCTION("IFERROR(VLOOKUP(I409,IMPORTRANGE(""https://docs.google.com/spreadsheets/d/17FOIUYQAjPk1pPQIlvOgqYDBqwUqgb7KWzp4DtVksBk/edit?gid=0#gid=0"",""Servers!A:S""),19,FALSE), ""Not Running"")"),"SAKSHIS")</f>
        <v>SAKSHIS</v>
      </c>
      <c r="W409" s="47" t="str">
        <f>VLOOKUP($A409,Category!$A:$E,4,0)</f>
        <v>MS</v>
      </c>
      <c r="X409" s="47" t="str">
        <f>VLOOKUP($A409,Category!$A:$E,5,0)</f>
        <v>MSR</v>
      </c>
      <c r="Y409" s="18" t="str">
        <f>VLOOKUP(A409,PAcc!$A$1:$J$27,10,0)</f>
        <v>#N/A</v>
      </c>
      <c r="Z409" s="42" t="b">
        <f t="shared" si="4"/>
        <v>0</v>
      </c>
      <c r="AA409" s="50">
        <v>0.4</v>
      </c>
      <c r="AB409" s="42" t="str">
        <f>VLOOKUP(A409,VlookupSheet!$A$383:$A$523,1,0)</f>
        <v>#N/A</v>
      </c>
      <c r="AC409" s="122">
        <v>0.8</v>
      </c>
      <c r="AD409" s="42">
        <f t="shared" si="32"/>
        <v>4195377.6</v>
      </c>
      <c r="AE409" s="42">
        <f t="shared" si="33"/>
        <v>40000</v>
      </c>
      <c r="AF409" s="123">
        <f t="shared" si="34"/>
        <v>0</v>
      </c>
    </row>
    <row r="410">
      <c r="A410" s="30" t="s">
        <v>1479</v>
      </c>
      <c r="B410" s="84" t="s">
        <v>2657</v>
      </c>
      <c r="C410" s="85"/>
      <c r="D410" s="11">
        <f t="shared" si="41"/>
        <v>1</v>
      </c>
      <c r="E410" s="11">
        <f t="shared" si="42"/>
        <v>60000</v>
      </c>
      <c r="F410" s="30" t="s">
        <v>311</v>
      </c>
      <c r="G410" s="11" t="s">
        <v>1550</v>
      </c>
      <c r="H410" s="31">
        <v>60000.0</v>
      </c>
      <c r="I410" s="34" t="s">
        <v>25</v>
      </c>
      <c r="J410" s="85" t="s">
        <v>907</v>
      </c>
      <c r="K410" s="38">
        <f t="shared" si="43"/>
        <v>1</v>
      </c>
      <c r="L410" s="18" t="s">
        <v>910</v>
      </c>
      <c r="M410" s="18" t="s">
        <v>736</v>
      </c>
      <c r="N410" s="74"/>
      <c r="O410" s="74"/>
      <c r="P410" s="74"/>
      <c r="Q410" s="42" t="str">
        <f>iferror(VLOOKUP(A410,'Positional cal'!A:H,1,0)=A410,"FALSE")</f>
        <v>FALSE</v>
      </c>
      <c r="R410" s="43" t="b">
        <f t="shared" si="3"/>
        <v>0</v>
      </c>
      <c r="S410" s="46">
        <f>IFERROR(VLOOKUP($A410,AlgoUi!$A:$X,21,0),"NA")</f>
        <v>14142467</v>
      </c>
      <c r="T410" s="46">
        <f>IFERROR(VLOOKUP($A410,AlgoUi!$A:$X,23,0),"")</f>
        <v>14000000</v>
      </c>
      <c r="U410" s="46">
        <f>IFERROR(VLOOKUP($A410,AlgoUi!$A:$X,24,0),"")</f>
        <v>140000</v>
      </c>
      <c r="V410" s="42" t="str">
        <f>IFERROR(__xludf.DUMMYFUNCTION("IFERROR(VLOOKUP(I410,IMPORTRANGE(""https://docs.google.com/spreadsheets/d/17FOIUYQAjPk1pPQIlvOgqYDBqwUqgb7KWzp4DtVksBk/edit?gid=0#gid=0"",""Servers!A:S""),19,FALSE), ""Not Running"")"),"SAKSHIS")</f>
        <v>SAKSHIS</v>
      </c>
      <c r="W410" s="47" t="str">
        <f>VLOOKUP($A410,Category!$A:$E,4,0)</f>
        <v>MS</v>
      </c>
      <c r="X410" s="47" t="str">
        <f>VLOOKUP($A410,Category!$A:$E,5,0)</f>
        <v>MSR</v>
      </c>
      <c r="Y410" s="18" t="str">
        <f>VLOOKUP(A410,PAcc!$A$1:$J$27,10,0)</f>
        <v>#N/A</v>
      </c>
      <c r="Z410" s="42" t="b">
        <f t="shared" si="4"/>
        <v>0</v>
      </c>
      <c r="AA410" s="50">
        <v>0.4</v>
      </c>
      <c r="AB410" s="42" t="str">
        <f>VLOOKUP(A410,VlookupSheet!$A$383:$A$523,1,0)</f>
        <v>#N/A</v>
      </c>
      <c r="AC410" s="122">
        <v>0.8</v>
      </c>
      <c r="AD410" s="42">
        <f t="shared" si="32"/>
        <v>5656986.8</v>
      </c>
      <c r="AE410" s="42">
        <f t="shared" si="33"/>
        <v>60000</v>
      </c>
      <c r="AF410" s="123">
        <f t="shared" si="34"/>
        <v>0</v>
      </c>
    </row>
    <row r="411">
      <c r="A411" s="30" t="s">
        <v>1349</v>
      </c>
      <c r="B411" s="84" t="s">
        <v>2482</v>
      </c>
      <c r="C411" s="30" t="s">
        <v>320</v>
      </c>
      <c r="D411" s="11">
        <f t="shared" si="41"/>
        <v>1</v>
      </c>
      <c r="E411" s="11">
        <f t="shared" si="42"/>
        <v>40000</v>
      </c>
      <c r="F411" s="30" t="s">
        <v>311</v>
      </c>
      <c r="G411" s="11" t="s">
        <v>1100</v>
      </c>
      <c r="H411" s="31">
        <v>40000.0</v>
      </c>
      <c r="I411" s="34" t="s">
        <v>25</v>
      </c>
      <c r="J411" s="85" t="s">
        <v>907</v>
      </c>
      <c r="K411" s="38">
        <f t="shared" si="43"/>
        <v>1</v>
      </c>
      <c r="L411" s="18" t="s">
        <v>910</v>
      </c>
      <c r="M411" s="18" t="s">
        <v>736</v>
      </c>
      <c r="N411" s="74"/>
      <c r="O411" s="74"/>
      <c r="P411" s="74"/>
      <c r="Q411" s="42" t="str">
        <f>iferror(VLOOKUP(A411,'Positional cal'!A:H,1,0)=A411,"FALSE")</f>
        <v>FALSE</v>
      </c>
      <c r="R411" s="43" t="b">
        <f t="shared" si="3"/>
        <v>0</v>
      </c>
      <c r="S411" s="46">
        <f>IFERROR(VLOOKUP($A411,AlgoUi!$A:$X,21,0),"NA")</f>
        <v>12269692</v>
      </c>
      <c r="T411" s="46">
        <f>IFERROR(VLOOKUP($A411,AlgoUi!$A:$X,23,0),"")</f>
        <v>12000000</v>
      </c>
      <c r="U411" s="46">
        <f>IFERROR(VLOOKUP($A411,AlgoUi!$A:$X,24,0),"")</f>
        <v>120000</v>
      </c>
      <c r="V411" s="42" t="str">
        <f>IFERROR(__xludf.DUMMYFUNCTION("IFERROR(VLOOKUP(I411,IMPORTRANGE(""https://docs.google.com/spreadsheets/d/17FOIUYQAjPk1pPQIlvOgqYDBqwUqgb7KWzp4DtVksBk/edit?gid=0#gid=0"",""Servers!A:S""),19,FALSE), ""Not Running"")"),"SAKSHIS")</f>
        <v>SAKSHIS</v>
      </c>
      <c r="W411" s="47" t="str">
        <f>VLOOKUP($A411,Category!$A:$E,4,0)</f>
        <v>MS</v>
      </c>
      <c r="X411" s="47" t="str">
        <f>VLOOKUP($A411,Category!$A:$E,5,0)</f>
        <v>MSR</v>
      </c>
      <c r="Y411" s="18" t="str">
        <f>VLOOKUP(A411,PAcc!$A$1:$J$27,10,0)</f>
        <v>#N/A</v>
      </c>
      <c r="Z411" s="42" t="b">
        <f t="shared" si="4"/>
        <v>0</v>
      </c>
      <c r="AA411" s="50">
        <v>0.4</v>
      </c>
      <c r="AB411" s="42" t="str">
        <f>VLOOKUP(A411,VlookupSheet!$A$383:$A$523,1,0)</f>
        <v>#N/A</v>
      </c>
      <c r="AC411" s="50">
        <v>0.01</v>
      </c>
      <c r="AD411" s="42">
        <f t="shared" si="32"/>
        <v>4907876.8</v>
      </c>
      <c r="AE411" s="42">
        <f t="shared" si="33"/>
        <v>40000</v>
      </c>
      <c r="AF411" s="123">
        <f t="shared" si="34"/>
        <v>0</v>
      </c>
    </row>
    <row r="412">
      <c r="A412" s="30" t="s">
        <v>103</v>
      </c>
      <c r="B412" s="84" t="s">
        <v>1613</v>
      </c>
      <c r="C412" s="30" t="s">
        <v>77</v>
      </c>
      <c r="D412" s="11" t="s">
        <v>874</v>
      </c>
      <c r="E412" s="11">
        <f>H412*D412</f>
        <v>3000000</v>
      </c>
      <c r="F412" s="30" t="s">
        <v>311</v>
      </c>
      <c r="G412" s="11">
        <v>3000000.0</v>
      </c>
      <c r="H412" s="31">
        <f>iferror(VLOOKUP(A412,'Positional cal'!A:H,4,0),"Not_positional")</f>
        <v>100000</v>
      </c>
      <c r="I412" s="34" t="s">
        <v>25</v>
      </c>
      <c r="J412" s="85" t="s">
        <v>907</v>
      </c>
      <c r="K412" s="38">
        <f t="shared" si="43"/>
        <v>30</v>
      </c>
      <c r="L412" s="18" t="s">
        <v>1068</v>
      </c>
      <c r="M412" s="18" t="s">
        <v>1059</v>
      </c>
      <c r="N412" s="34">
        <v>1.0</v>
      </c>
      <c r="O412" s="18">
        <v>0.0</v>
      </c>
      <c r="P412" s="34" t="s">
        <v>848</v>
      </c>
      <c r="Q412" s="42" t="b">
        <f>iferror(VLOOKUP(A412,'Positional cal'!A:H,1,0)=A412,"FALSE")</f>
        <v>1</v>
      </c>
      <c r="R412" s="43" t="b">
        <f t="shared" si="3"/>
        <v>0</v>
      </c>
      <c r="S412" s="46">
        <f>IFERROR(VLOOKUP($A412,AlgoUi!$A:$X,21,0),"NA")</f>
        <v>11227775</v>
      </c>
      <c r="T412" s="46">
        <f>IFERROR(VLOOKUP($A412,AlgoUi!$A:$X,23,0),"")</f>
        <v>12000000</v>
      </c>
      <c r="U412" s="46">
        <f>IFERROR(VLOOKUP($A412,AlgoUi!$A:$X,24,0),"")</f>
        <v>120000</v>
      </c>
      <c r="V412" s="42" t="str">
        <f>IFERROR(__xludf.DUMMYFUNCTION("IFERROR(VLOOKUP(I412,IMPORTRANGE(""https://docs.google.com/spreadsheets/d/17FOIUYQAjPk1pPQIlvOgqYDBqwUqgb7KWzp4DtVksBk/edit?gid=0#gid=0"",""Servers!A:S""),19,FALSE), ""Not Running"")"),"SAKSHIS")</f>
        <v>SAKSHIS</v>
      </c>
      <c r="W412" s="47" t="str">
        <f>VLOOKUP($A412,Category!$A:$E,4,0)</f>
        <v>CC</v>
      </c>
      <c r="X412" s="47" t="str">
        <f>VLOOKUP($A412,Category!$A:$E,5,0)</f>
        <v>PGB</v>
      </c>
      <c r="Y412" s="18" t="str">
        <f>VLOOKUP(A412,PAcc!$A$1:$J$27,10,0)</f>
        <v>GB Personal </v>
      </c>
      <c r="Z412" s="42" t="b">
        <f t="shared" si="4"/>
        <v>0</v>
      </c>
      <c r="AA412" s="50">
        <v>1.0</v>
      </c>
      <c r="AB412" s="25" t="str">
        <f>VLOOKUP(A412,VlookupSheet!$A$383:$A$523,1,0)</f>
        <v>BHADADAR</v>
      </c>
      <c r="AC412" s="50">
        <v>0.01</v>
      </c>
      <c r="AD412" s="42">
        <f t="shared" si="32"/>
        <v>11227775</v>
      </c>
      <c r="AE412" s="42">
        <f t="shared" si="33"/>
        <v>120000</v>
      </c>
      <c r="AF412" s="123">
        <f t="shared" si="34"/>
        <v>20000</v>
      </c>
    </row>
    <row r="413">
      <c r="A413" s="30" t="s">
        <v>362</v>
      </c>
      <c r="B413" s="84" t="s">
        <v>3032</v>
      </c>
      <c r="C413" s="85"/>
      <c r="D413" s="11">
        <f t="shared" ref="D413:D421" si="44">IF(J413="7",0.8,1)</f>
        <v>1</v>
      </c>
      <c r="E413" s="11">
        <f t="shared" ref="E413:E421" si="45">D413*H413</f>
        <v>60000</v>
      </c>
      <c r="F413" s="30" t="s">
        <v>311</v>
      </c>
      <c r="G413" s="11" t="s">
        <v>1550</v>
      </c>
      <c r="H413" s="31">
        <v>60000.0</v>
      </c>
      <c r="I413" s="34" t="s">
        <v>25</v>
      </c>
      <c r="J413" s="85" t="s">
        <v>907</v>
      </c>
      <c r="K413" s="38">
        <f t="shared" si="43"/>
        <v>1</v>
      </c>
      <c r="L413" s="18" t="s">
        <v>910</v>
      </c>
      <c r="M413" s="18" t="s">
        <v>736</v>
      </c>
      <c r="N413" s="47"/>
      <c r="O413" s="47"/>
      <c r="P413" s="47"/>
      <c r="Q413" s="42" t="str">
        <f>iferror(VLOOKUP(A413,'Positional cal'!A:H,1,0)=A413,"FALSE")</f>
        <v>FALSE</v>
      </c>
      <c r="R413" s="43" t="b">
        <f t="shared" si="3"/>
        <v>0</v>
      </c>
      <c r="S413" s="46">
        <f>IFERROR(VLOOKUP($A413,AlgoUi!$A:$X,21,0),"NA")</f>
        <v>12994752</v>
      </c>
      <c r="T413" s="46">
        <f>IFERROR(VLOOKUP($A413,AlgoUi!$A:$X,23,0),"")</f>
        <v>12000000</v>
      </c>
      <c r="U413" s="46">
        <f>IFERROR(VLOOKUP($A413,AlgoUi!$A:$X,24,0),"")</f>
        <v>120000</v>
      </c>
      <c r="V413" s="42" t="str">
        <f>IFERROR(__xludf.DUMMYFUNCTION("IFERROR(VLOOKUP(I413,IMPORTRANGE(""https://docs.google.com/spreadsheets/d/17FOIUYQAjPk1pPQIlvOgqYDBqwUqgb7KWzp4DtVksBk/edit?gid=0#gid=0"",""Servers!A:S""),19,FALSE), ""Not Running"")"),"SAKSHIS")</f>
        <v>SAKSHIS</v>
      </c>
      <c r="W413" s="47" t="str">
        <f>VLOOKUP($A413,Category!$A:$E,4,0)</f>
        <v>MS</v>
      </c>
      <c r="X413" s="47" t="str">
        <f>VLOOKUP($A413,Category!$A:$E,5,0)</f>
        <v>MSR</v>
      </c>
      <c r="Y413" s="18" t="str">
        <f>VLOOKUP(A413,PAcc!$A$1:$J$27,10,0)</f>
        <v>#N/A</v>
      </c>
      <c r="Z413" s="42" t="b">
        <f t="shared" si="4"/>
        <v>0</v>
      </c>
      <c r="AA413" s="50">
        <v>0.4</v>
      </c>
      <c r="AB413" s="42" t="str">
        <f>VLOOKUP(A413,VlookupSheet!$A$383:$A$523,1,0)</f>
        <v>#N/A</v>
      </c>
      <c r="AC413" s="50">
        <v>0.01</v>
      </c>
      <c r="AD413" s="42">
        <f t="shared" si="32"/>
        <v>5197900.8</v>
      </c>
      <c r="AE413" s="42">
        <f t="shared" si="33"/>
        <v>60000</v>
      </c>
      <c r="AF413" s="123">
        <f t="shared" si="34"/>
        <v>0</v>
      </c>
    </row>
    <row r="414">
      <c r="A414" s="11" t="s">
        <v>371</v>
      </c>
      <c r="B414" s="84" t="s">
        <v>3064</v>
      </c>
      <c r="C414" s="25"/>
      <c r="D414" s="11">
        <f t="shared" si="44"/>
        <v>1</v>
      </c>
      <c r="E414" s="11">
        <f t="shared" si="45"/>
        <v>80000</v>
      </c>
      <c r="F414" s="30" t="s">
        <v>311</v>
      </c>
      <c r="G414" s="11" t="s">
        <v>906</v>
      </c>
      <c r="H414" s="31">
        <v>80000.0</v>
      </c>
      <c r="I414" s="34" t="s">
        <v>25</v>
      </c>
      <c r="J414" s="85" t="s">
        <v>907</v>
      </c>
      <c r="K414" s="38">
        <f t="shared" si="43"/>
        <v>1</v>
      </c>
      <c r="L414" s="18" t="s">
        <v>910</v>
      </c>
      <c r="M414" s="18" t="s">
        <v>736</v>
      </c>
      <c r="N414" s="18"/>
      <c r="O414" s="18"/>
      <c r="P414" s="18"/>
      <c r="Q414" s="42" t="str">
        <f>iferror(VLOOKUP(A414,'Positional cal'!A:H,1,0)=A414,"FALSE")</f>
        <v>FALSE</v>
      </c>
      <c r="R414" s="43" t="b">
        <f t="shared" si="3"/>
        <v>0</v>
      </c>
      <c r="S414" s="46">
        <f>IFERROR(VLOOKUP($A414,AlgoUi!$A:$X,21,0),"NA")</f>
        <v>20102857</v>
      </c>
      <c r="T414" s="46">
        <f>IFERROR(VLOOKUP($A414,AlgoUi!$A:$X,23,0),"")</f>
        <v>20000000</v>
      </c>
      <c r="U414" s="46">
        <f>IFERROR(VLOOKUP($A414,AlgoUi!$A:$X,24,0),"")</f>
        <v>200000</v>
      </c>
      <c r="V414" s="42" t="str">
        <f>IFERROR(__xludf.DUMMYFUNCTION("IFERROR(VLOOKUP(I414,IMPORTRANGE(""https://docs.google.com/spreadsheets/d/17FOIUYQAjPk1pPQIlvOgqYDBqwUqgb7KWzp4DtVksBk/edit?gid=0#gid=0"",""Servers!A:S""),19,FALSE), ""Not Running"")"),"SAKSHIS")</f>
        <v>SAKSHIS</v>
      </c>
      <c r="W414" s="47" t="str">
        <f>VLOOKUP($A414,Category!$A:$E,4,0)</f>
        <v>MS</v>
      </c>
      <c r="X414" s="47" t="str">
        <f>VLOOKUP($A414,Category!$A:$E,5,0)</f>
        <v>MSN</v>
      </c>
      <c r="Y414" s="18" t="str">
        <f>VLOOKUP(A414,PAcc!$A$1:$J$27,10,0)</f>
        <v>#N/A</v>
      </c>
      <c r="Z414" s="42" t="b">
        <f t="shared" si="4"/>
        <v>0</v>
      </c>
      <c r="AA414" s="50">
        <v>0.4</v>
      </c>
      <c r="AB414" s="42" t="str">
        <f>VLOOKUP(A414,VlookupSheet!$A$383:$A$523,1,0)</f>
        <v>#N/A</v>
      </c>
      <c r="AC414" s="50">
        <v>0.01</v>
      </c>
      <c r="AD414" s="42">
        <f t="shared" si="32"/>
        <v>8041142.8</v>
      </c>
      <c r="AE414" s="42">
        <f t="shared" si="33"/>
        <v>80000</v>
      </c>
      <c r="AF414" s="123">
        <f t="shared" si="34"/>
        <v>0</v>
      </c>
    </row>
    <row r="415">
      <c r="A415" s="30" t="s">
        <v>403</v>
      </c>
      <c r="B415" s="84" t="s">
        <v>2716</v>
      </c>
      <c r="C415" s="85"/>
      <c r="D415" s="11">
        <f t="shared" si="44"/>
        <v>1</v>
      </c>
      <c r="E415" s="11">
        <f t="shared" si="45"/>
        <v>40000</v>
      </c>
      <c r="F415" s="30" t="s">
        <v>311</v>
      </c>
      <c r="G415" s="11" t="s">
        <v>1100</v>
      </c>
      <c r="H415" s="31">
        <v>40000.0</v>
      </c>
      <c r="I415" s="34" t="s">
        <v>25</v>
      </c>
      <c r="J415" s="85" t="s">
        <v>907</v>
      </c>
      <c r="K415" s="38">
        <f t="shared" si="43"/>
        <v>1</v>
      </c>
      <c r="L415" s="18" t="s">
        <v>910</v>
      </c>
      <c r="M415" s="18" t="s">
        <v>736</v>
      </c>
      <c r="N415" s="47"/>
      <c r="O415" s="47"/>
      <c r="P415" s="47"/>
      <c r="Q415" s="42" t="str">
        <f>iferror(VLOOKUP(A415,'Positional cal'!A:H,1,0)=A415,"FALSE")</f>
        <v>FALSE</v>
      </c>
      <c r="R415" s="43" t="b">
        <f t="shared" si="3"/>
        <v>0</v>
      </c>
      <c r="S415" s="46">
        <f>IFERROR(VLOOKUP($A415,AlgoUi!$A:$X,21,0),"NA")</f>
        <v>11572216</v>
      </c>
      <c r="T415" s="46">
        <f>IFERROR(VLOOKUP($A415,AlgoUi!$A:$X,23,0),"")</f>
        <v>12000000</v>
      </c>
      <c r="U415" s="46">
        <f>IFERROR(VLOOKUP($A415,AlgoUi!$A:$X,24,0),"")</f>
        <v>120000</v>
      </c>
      <c r="V415" s="42" t="str">
        <f>IFERROR(__xludf.DUMMYFUNCTION("IFERROR(VLOOKUP(I415,IMPORTRANGE(""https://docs.google.com/spreadsheets/d/17FOIUYQAjPk1pPQIlvOgqYDBqwUqgb7KWzp4DtVksBk/edit?gid=0#gid=0"",""Servers!A:S""),19,FALSE), ""Not Running"")"),"SAKSHIS")</f>
        <v>SAKSHIS</v>
      </c>
      <c r="W415" s="47" t="str">
        <f>VLOOKUP($A415,Category!$A:$E,4,0)</f>
        <v>MS</v>
      </c>
      <c r="X415" s="47" t="str">
        <f>VLOOKUP($A415,Category!$A:$E,5,0)</f>
        <v>MSR</v>
      </c>
      <c r="Y415" s="18" t="str">
        <f>VLOOKUP(A415,PAcc!$A$1:$J$27,10,0)</f>
        <v>#N/A</v>
      </c>
      <c r="Z415" s="42" t="b">
        <f t="shared" si="4"/>
        <v>0</v>
      </c>
      <c r="AA415" s="50">
        <v>0.4</v>
      </c>
      <c r="AB415" s="42" t="str">
        <f>VLOOKUP(A415,VlookupSheet!$A$383:$A$523,1,0)</f>
        <v>#N/A</v>
      </c>
      <c r="AC415" s="50">
        <v>0.01</v>
      </c>
      <c r="AD415" s="42">
        <f t="shared" si="32"/>
        <v>4628886.4</v>
      </c>
      <c r="AE415" s="42">
        <f t="shared" si="33"/>
        <v>40000</v>
      </c>
      <c r="AF415" s="123">
        <f t="shared" si="34"/>
        <v>0</v>
      </c>
    </row>
    <row r="416">
      <c r="A416" s="30" t="s">
        <v>397</v>
      </c>
      <c r="B416" s="84" t="s">
        <v>2010</v>
      </c>
      <c r="C416" s="85"/>
      <c r="D416" s="11">
        <f t="shared" si="44"/>
        <v>1</v>
      </c>
      <c r="E416" s="11">
        <f t="shared" si="45"/>
        <v>80000</v>
      </c>
      <c r="F416" s="30" t="s">
        <v>311</v>
      </c>
      <c r="G416" s="11" t="s">
        <v>906</v>
      </c>
      <c r="H416" s="31">
        <v>80000.0</v>
      </c>
      <c r="I416" s="34" t="s">
        <v>25</v>
      </c>
      <c r="J416" s="85" t="s">
        <v>907</v>
      </c>
      <c r="K416" s="38">
        <f t="shared" si="43"/>
        <v>1</v>
      </c>
      <c r="L416" s="18" t="s">
        <v>910</v>
      </c>
      <c r="M416" s="18" t="s">
        <v>736</v>
      </c>
      <c r="N416" s="74"/>
      <c r="O416" s="74"/>
      <c r="P416" s="74"/>
      <c r="Q416" s="42" t="str">
        <f>iferror(VLOOKUP(A416,'Positional cal'!A:H,1,0)=A416,"FALSE")</f>
        <v>FALSE</v>
      </c>
      <c r="R416" s="43" t="b">
        <f t="shared" si="3"/>
        <v>0</v>
      </c>
      <c r="S416" s="46">
        <f>IFERROR(VLOOKUP($A416,AlgoUi!$A:$X,21,0),"NA")</f>
        <v>19935225</v>
      </c>
      <c r="T416" s="46">
        <f>IFERROR(VLOOKUP($A416,AlgoUi!$A:$X,23,0),"")</f>
        <v>20000000</v>
      </c>
      <c r="U416" s="46">
        <f>IFERROR(VLOOKUP($A416,AlgoUi!$A:$X,24,0),"")</f>
        <v>200000</v>
      </c>
      <c r="V416" s="42" t="str">
        <f>IFERROR(__xludf.DUMMYFUNCTION("IFERROR(VLOOKUP(I416,IMPORTRANGE(""https://docs.google.com/spreadsheets/d/17FOIUYQAjPk1pPQIlvOgqYDBqwUqgb7KWzp4DtVksBk/edit?gid=0#gid=0"",""Servers!A:S""),19,FALSE), ""Not Running"")"),"SAKSHIS")</f>
        <v>SAKSHIS</v>
      </c>
      <c r="W416" s="47" t="str">
        <f>VLOOKUP($A416,Category!$A:$E,4,0)</f>
        <v>MS</v>
      </c>
      <c r="X416" s="47" t="str">
        <f>VLOOKUP($A416,Category!$A:$E,5,0)</f>
        <v>MSR</v>
      </c>
      <c r="Y416" s="18" t="str">
        <f>VLOOKUP(A416,PAcc!$A$1:$J$27,10,0)</f>
        <v>#N/A</v>
      </c>
      <c r="Z416" s="42" t="b">
        <f t="shared" si="4"/>
        <v>0</v>
      </c>
      <c r="AA416" s="50">
        <v>0.4</v>
      </c>
      <c r="AB416" s="42" t="str">
        <f>VLOOKUP(A416,VlookupSheet!$A$383:$A$523,1,0)</f>
        <v>#N/A</v>
      </c>
      <c r="AC416" s="50">
        <v>0.01</v>
      </c>
      <c r="AD416" s="42">
        <f t="shared" si="32"/>
        <v>7974090</v>
      </c>
      <c r="AE416" s="42">
        <f t="shared" si="33"/>
        <v>80000</v>
      </c>
      <c r="AF416" s="123">
        <f t="shared" si="34"/>
        <v>0</v>
      </c>
    </row>
    <row r="417">
      <c r="A417" s="84" t="s">
        <v>333</v>
      </c>
      <c r="B417" s="84" t="s">
        <v>3044</v>
      </c>
      <c r="C417" s="85"/>
      <c r="D417" s="11">
        <f t="shared" si="44"/>
        <v>1</v>
      </c>
      <c r="E417" s="11">
        <f t="shared" si="45"/>
        <v>40000</v>
      </c>
      <c r="F417" s="30" t="s">
        <v>311</v>
      </c>
      <c r="G417" s="11" t="s">
        <v>1100</v>
      </c>
      <c r="H417" s="31">
        <v>40000.0</v>
      </c>
      <c r="I417" s="34" t="s">
        <v>25</v>
      </c>
      <c r="J417" s="85" t="s">
        <v>907</v>
      </c>
      <c r="K417" s="38">
        <f t="shared" si="43"/>
        <v>1</v>
      </c>
      <c r="L417" s="18" t="s">
        <v>910</v>
      </c>
      <c r="M417" s="18" t="s">
        <v>736</v>
      </c>
      <c r="N417" s="42"/>
      <c r="O417" s="42"/>
      <c r="P417" s="42"/>
      <c r="Q417" s="42" t="str">
        <f>iferror(VLOOKUP(A417,'Positional cal'!A:H,1,0)=A417,"FALSE")</f>
        <v>FALSE</v>
      </c>
      <c r="R417" s="43" t="b">
        <f t="shared" si="3"/>
        <v>0</v>
      </c>
      <c r="S417" s="46">
        <f>IFERROR(VLOOKUP($A417,AlgoUi!$A:$X,21,0),"NA")</f>
        <v>11800926</v>
      </c>
      <c r="T417" s="46">
        <f>IFERROR(VLOOKUP($A417,AlgoUi!$A:$X,23,0),"")</f>
        <v>12000000</v>
      </c>
      <c r="U417" s="46">
        <f>IFERROR(VLOOKUP($A417,AlgoUi!$A:$X,24,0),"")</f>
        <v>120000</v>
      </c>
      <c r="V417" s="42" t="str">
        <f>IFERROR(__xludf.DUMMYFUNCTION("IFERROR(VLOOKUP(I417,IMPORTRANGE(""https://docs.google.com/spreadsheets/d/17FOIUYQAjPk1pPQIlvOgqYDBqwUqgb7KWzp4DtVksBk/edit?gid=0#gid=0"",""Servers!A:S""),19,FALSE), ""Not Running"")"),"SAKSHIS")</f>
        <v>SAKSHIS</v>
      </c>
      <c r="W417" s="47" t="str">
        <f>VLOOKUP($A417,Category!$A:$E,4,0)</f>
        <v>MS</v>
      </c>
      <c r="X417" s="47" t="str">
        <f>VLOOKUP($A417,Category!$A:$E,5,0)</f>
        <v>MSR</v>
      </c>
      <c r="Y417" s="18" t="str">
        <f>VLOOKUP(A417,PAcc!$A$1:$J$27,10,0)</f>
        <v>#N/A</v>
      </c>
      <c r="Z417" s="42" t="b">
        <f t="shared" si="4"/>
        <v>0</v>
      </c>
      <c r="AA417" s="50">
        <v>0.4</v>
      </c>
      <c r="AB417" s="42" t="str">
        <f>VLOOKUP(A417,VlookupSheet!$A$383:$A$523,1,0)</f>
        <v>#N/A</v>
      </c>
      <c r="AC417" s="50">
        <v>0.01</v>
      </c>
      <c r="AD417" s="42">
        <f t="shared" si="32"/>
        <v>4720370.4</v>
      </c>
      <c r="AE417" s="42">
        <f t="shared" si="33"/>
        <v>40000</v>
      </c>
      <c r="AF417" s="123">
        <f t="shared" si="34"/>
        <v>0</v>
      </c>
    </row>
    <row r="418">
      <c r="A418" s="11" t="s">
        <v>27</v>
      </c>
      <c r="B418" s="24" t="s">
        <v>3457</v>
      </c>
      <c r="C418" s="25"/>
      <c r="D418" s="11">
        <f t="shared" si="44"/>
        <v>1</v>
      </c>
      <c r="E418" s="11">
        <f t="shared" si="45"/>
        <v>500000</v>
      </c>
      <c r="F418" s="11" t="s">
        <v>875</v>
      </c>
      <c r="G418" s="11" t="s">
        <v>3618</v>
      </c>
      <c r="H418" s="31">
        <v>500000.0</v>
      </c>
      <c r="I418" s="11" t="s">
        <v>25</v>
      </c>
      <c r="J418" s="11" t="s">
        <v>907</v>
      </c>
      <c r="K418" s="38">
        <f t="shared" si="43"/>
        <v>1</v>
      </c>
      <c r="L418" s="18" t="s">
        <v>910</v>
      </c>
      <c r="M418" s="18" t="s">
        <v>736</v>
      </c>
      <c r="N418" s="18"/>
      <c r="O418" s="18"/>
      <c r="P418" s="18" t="s">
        <v>3621</v>
      </c>
      <c r="Q418" s="42" t="str">
        <f>iferror(VLOOKUP(A418,'Positional cal'!A:H,1,0)=A418,"FALSE")</f>
        <v>FALSE</v>
      </c>
      <c r="R418" s="43" t="b">
        <f t="shared" si="3"/>
        <v>0</v>
      </c>
      <c r="S418" s="46">
        <f>IFERROR(VLOOKUP($A418,AlgoUi!$A:$X,21,0),"NA")</f>
        <v>1000000000</v>
      </c>
      <c r="T418" s="46">
        <f>IFERROR(VLOOKUP($A418,AlgoUi!$A:$X,23,0),"")</f>
        <v>1000000000</v>
      </c>
      <c r="U418" s="46">
        <f>IFERROR(VLOOKUP($A418,AlgoUi!$A:$X,24,0),"")</f>
        <v>10000000</v>
      </c>
      <c r="V418" s="42" t="str">
        <f>IFERROR(__xludf.DUMMYFUNCTION("IFERROR(VLOOKUP(I418,IMPORTRANGE(""https://docs.google.com/spreadsheets/d/17FOIUYQAjPk1pPQIlvOgqYDBqwUqgb7KWzp4DtVksBk/edit?gid=0#gid=0"",""Servers!A:S""),19,FALSE), ""Not Running"")"),"SAKSHIS")</f>
        <v>SAKSHIS</v>
      </c>
      <c r="W418" s="47" t="str">
        <f>VLOOKUP($A418,Category!$A:$E,4,0)</f>
        <v>MS</v>
      </c>
      <c r="X418" s="47" t="str">
        <f>VLOOKUP($A418,Category!$A:$E,5,0)</f>
        <v>MSJ</v>
      </c>
      <c r="Y418" s="18" t="str">
        <f>VLOOKUP(A418,PAcc!$A$1:$J$27,10,0)</f>
        <v>#N/A</v>
      </c>
      <c r="Z418" s="42" t="b">
        <f t="shared" si="4"/>
        <v>0</v>
      </c>
      <c r="AA418" s="42"/>
      <c r="AB418" s="42" t="str">
        <f>VLOOKUP(A418,VlookupSheet!$A$383:$A$523,1,0)</f>
        <v>#N/A</v>
      </c>
      <c r="AC418" s="50">
        <v>0.01</v>
      </c>
      <c r="AD418" s="42">
        <f t="shared" si="32"/>
        <v>0</v>
      </c>
      <c r="AE418" s="42">
        <f t="shared" si="33"/>
        <v>0</v>
      </c>
      <c r="AF418" s="123">
        <f t="shared" si="34"/>
        <v>-500000</v>
      </c>
    </row>
    <row r="419">
      <c r="A419" s="11" t="s">
        <v>2523</v>
      </c>
      <c r="B419" s="24" t="s">
        <v>2525</v>
      </c>
      <c r="C419" s="25"/>
      <c r="D419" s="11">
        <f t="shared" si="44"/>
        <v>1</v>
      </c>
      <c r="E419" s="11">
        <f t="shared" si="45"/>
        <v>40000</v>
      </c>
      <c r="F419" s="30" t="s">
        <v>311</v>
      </c>
      <c r="G419" s="11" t="s">
        <v>1100</v>
      </c>
      <c r="H419" s="31">
        <v>40000.0</v>
      </c>
      <c r="I419" s="11" t="s">
        <v>25</v>
      </c>
      <c r="J419" s="11" t="s">
        <v>907</v>
      </c>
      <c r="K419" s="38">
        <f t="shared" si="43"/>
        <v>1</v>
      </c>
      <c r="L419" s="18" t="s">
        <v>910</v>
      </c>
      <c r="M419" s="18" t="s">
        <v>736</v>
      </c>
      <c r="N419" s="42"/>
      <c r="O419" s="42"/>
      <c r="P419" s="42"/>
      <c r="Q419" s="42" t="str">
        <f>iferror(VLOOKUP(A419,'Positional cal'!A:H,1,0)=A419,"FALSE")</f>
        <v>FALSE</v>
      </c>
      <c r="R419" s="43" t="b">
        <f t="shared" si="3"/>
        <v>0</v>
      </c>
      <c r="S419" s="46">
        <f>IFERROR(VLOOKUP($A419,AlgoUi!$A:$X,21,0),"NA")</f>
        <v>11886652</v>
      </c>
      <c r="T419" s="46">
        <f>IFERROR(VLOOKUP($A419,AlgoUi!$A:$X,23,0),"")</f>
        <v>12000000</v>
      </c>
      <c r="U419" s="46">
        <f>IFERROR(VLOOKUP($A419,AlgoUi!$A:$X,24,0),"")</f>
        <v>120000</v>
      </c>
      <c r="V419" s="42" t="str">
        <f>IFERROR(__xludf.DUMMYFUNCTION("IFERROR(VLOOKUP(I419,IMPORTRANGE(""https://docs.google.com/spreadsheets/d/17FOIUYQAjPk1pPQIlvOgqYDBqwUqgb7KWzp4DtVksBk/edit?gid=0#gid=0"",""Servers!A:S""),19,FALSE), ""Not Running"")"),"SAKSHIS")</f>
        <v>SAKSHIS</v>
      </c>
      <c r="W419" s="47" t="str">
        <f>VLOOKUP($A419,Category!$A:$E,4,0)</f>
        <v>MS</v>
      </c>
      <c r="X419" s="47" t="str">
        <f>VLOOKUP($A419,Category!$A:$E,5,0)</f>
        <v>MSR</v>
      </c>
      <c r="Y419" s="18" t="str">
        <f>VLOOKUP(A419,PAcc!$A$1:$J$27,10,0)</f>
        <v>#N/A</v>
      </c>
      <c r="Z419" s="42" t="b">
        <f t="shared" si="4"/>
        <v>0</v>
      </c>
      <c r="AA419" s="50">
        <v>0.4</v>
      </c>
      <c r="AB419" s="42" t="str">
        <f>VLOOKUP(A419,VlookupSheet!$A$383:$A$523,1,0)</f>
        <v>#N/A</v>
      </c>
      <c r="AC419" s="50">
        <v>0.01</v>
      </c>
      <c r="AD419" s="42">
        <f t="shared" si="32"/>
        <v>4754660.8</v>
      </c>
      <c r="AE419" s="42">
        <f t="shared" si="33"/>
        <v>40000</v>
      </c>
      <c r="AF419" s="123">
        <f t="shared" si="34"/>
        <v>0</v>
      </c>
    </row>
    <row r="420">
      <c r="A420" s="11" t="s">
        <v>2733</v>
      </c>
      <c r="B420" s="24" t="s">
        <v>2734</v>
      </c>
      <c r="C420" s="25"/>
      <c r="D420" s="11">
        <f t="shared" si="44"/>
        <v>1</v>
      </c>
      <c r="E420" s="11">
        <f t="shared" si="45"/>
        <v>40000</v>
      </c>
      <c r="F420" s="30" t="s">
        <v>311</v>
      </c>
      <c r="G420" s="11" t="s">
        <v>1100</v>
      </c>
      <c r="H420" s="31">
        <v>40000.0</v>
      </c>
      <c r="I420" s="11" t="s">
        <v>25</v>
      </c>
      <c r="J420" s="11" t="s">
        <v>907</v>
      </c>
      <c r="K420" s="38">
        <f t="shared" si="43"/>
        <v>1</v>
      </c>
      <c r="L420" s="18" t="s">
        <v>910</v>
      </c>
      <c r="M420" s="18" t="s">
        <v>736</v>
      </c>
      <c r="N420" s="42"/>
      <c r="O420" s="42"/>
      <c r="P420" s="42"/>
      <c r="Q420" s="42" t="str">
        <f>iferror(VLOOKUP(A420,'Positional cal'!A:H,1,0)=A420,"FALSE")</f>
        <v>FALSE</v>
      </c>
      <c r="R420" s="43" t="b">
        <f t="shared" si="3"/>
        <v>0</v>
      </c>
      <c r="S420" s="46">
        <f>IFERROR(VLOOKUP($A420,AlgoUi!$A:$X,21,0),"NA")</f>
        <v>11270483</v>
      </c>
      <c r="T420" s="46">
        <f>IFERROR(VLOOKUP($A420,AlgoUi!$A:$X,23,0),"")</f>
        <v>12000000</v>
      </c>
      <c r="U420" s="46">
        <f>IFERROR(VLOOKUP($A420,AlgoUi!$A:$X,24,0),"")</f>
        <v>120000</v>
      </c>
      <c r="V420" s="42" t="str">
        <f>IFERROR(__xludf.DUMMYFUNCTION("IFERROR(VLOOKUP(I420,IMPORTRANGE(""https://docs.google.com/spreadsheets/d/17FOIUYQAjPk1pPQIlvOgqYDBqwUqgb7KWzp4DtVksBk/edit?gid=0#gid=0"",""Servers!A:S""),19,FALSE), ""Not Running"")"),"SAKSHIS")</f>
        <v>SAKSHIS</v>
      </c>
      <c r="W420" s="47" t="str">
        <f>VLOOKUP($A420,Category!$A:$E,4,0)</f>
        <v>MS</v>
      </c>
      <c r="X420" s="47" t="str">
        <f>VLOOKUP($A420,Category!$A:$E,5,0)</f>
        <v>MSN</v>
      </c>
      <c r="Y420" s="18" t="str">
        <f>VLOOKUP(A420,PAcc!$A$1:$J$27,10,0)</f>
        <v>#N/A</v>
      </c>
      <c r="Z420" s="42" t="b">
        <f t="shared" si="4"/>
        <v>0</v>
      </c>
      <c r="AA420" s="50">
        <v>0.4</v>
      </c>
      <c r="AB420" s="42" t="str">
        <f>VLOOKUP(A420,VlookupSheet!$A$383:$A$523,1,0)</f>
        <v>#N/A</v>
      </c>
      <c r="AC420" s="50">
        <v>0.01</v>
      </c>
      <c r="AD420" s="42">
        <f t="shared" si="32"/>
        <v>4508193.2</v>
      </c>
      <c r="AE420" s="42">
        <f t="shared" si="33"/>
        <v>40000</v>
      </c>
      <c r="AF420" s="123">
        <f t="shared" si="34"/>
        <v>0</v>
      </c>
    </row>
    <row r="421">
      <c r="A421" s="11" t="s">
        <v>2950</v>
      </c>
      <c r="B421" s="24" t="s">
        <v>2951</v>
      </c>
      <c r="C421" s="25"/>
      <c r="D421" s="11">
        <f t="shared" si="44"/>
        <v>1</v>
      </c>
      <c r="E421" s="11">
        <f t="shared" si="45"/>
        <v>40000</v>
      </c>
      <c r="F421" s="30" t="s">
        <v>311</v>
      </c>
      <c r="G421" s="11" t="s">
        <v>1100</v>
      </c>
      <c r="H421" s="31">
        <v>40000.0</v>
      </c>
      <c r="I421" s="11" t="s">
        <v>25</v>
      </c>
      <c r="J421" s="11" t="s">
        <v>907</v>
      </c>
      <c r="K421" s="173">
        <v>1.0</v>
      </c>
      <c r="L421" s="18" t="s">
        <v>910</v>
      </c>
      <c r="M421" s="18" t="s">
        <v>736</v>
      </c>
      <c r="N421" s="42"/>
      <c r="O421" s="42"/>
      <c r="P421" s="42"/>
      <c r="Q421" s="42" t="str">
        <f>iferror(VLOOKUP(A421,'Positional cal'!A:H,1,0)=A421,"FALSE")</f>
        <v>FALSE</v>
      </c>
      <c r="R421" s="43" t="b">
        <f t="shared" si="3"/>
        <v>0</v>
      </c>
      <c r="S421" s="46">
        <f>IFERROR(VLOOKUP($A421,AlgoUi!$A:$X,21,0),"NA")</f>
        <v>9879719</v>
      </c>
      <c r="T421" s="46">
        <f>IFERROR(VLOOKUP($A421,AlgoUi!$A:$X,23,0),"")</f>
        <v>10000000</v>
      </c>
      <c r="U421" s="46">
        <f>IFERROR(VLOOKUP($A421,AlgoUi!$A:$X,24,0),"")</f>
        <v>100000</v>
      </c>
      <c r="V421" s="42" t="str">
        <f>IFERROR(__xludf.DUMMYFUNCTION("IFERROR(VLOOKUP(I421,IMPORTRANGE(""https://docs.google.com/spreadsheets/d/17FOIUYQAjPk1pPQIlvOgqYDBqwUqgb7KWzp4DtVksBk/edit?gid=0#gid=0"",""Servers!A:S""),19,FALSE), ""Not Running"")"),"SAKSHIS")</f>
        <v>SAKSHIS</v>
      </c>
      <c r="W421" s="47" t="str">
        <f>VLOOKUP($A421,Category!$A:$E,4,0)</f>
        <v>MS</v>
      </c>
      <c r="X421" s="47" t="str">
        <f>VLOOKUP($A421,Category!$A:$E,5,0)</f>
        <v>MSR</v>
      </c>
      <c r="Y421" s="18" t="str">
        <f>VLOOKUP(A421,PAcc!$A$1:$J$27,10,0)</f>
        <v>#N/A</v>
      </c>
      <c r="Z421" s="42" t="b">
        <f t="shared" si="4"/>
        <v>0</v>
      </c>
      <c r="AA421" s="50">
        <v>0.4</v>
      </c>
      <c r="AB421" s="42" t="str">
        <f>VLOOKUP(A421,VlookupSheet!$A$383:$A$523,1,0)</f>
        <v>#N/A</v>
      </c>
      <c r="AC421" s="50">
        <v>0.01</v>
      </c>
      <c r="AD421" s="42">
        <f t="shared" si="32"/>
        <v>3951887.6</v>
      </c>
      <c r="AE421" s="42">
        <f t="shared" si="33"/>
        <v>40000</v>
      </c>
      <c r="AF421" s="123">
        <f t="shared" si="34"/>
        <v>0</v>
      </c>
    </row>
    <row r="422">
      <c r="A422" s="75" t="s">
        <v>2582</v>
      </c>
      <c r="B422" s="24" t="s">
        <v>3603</v>
      </c>
      <c r="C422" s="25"/>
      <c r="D422" s="11" t="s">
        <v>77</v>
      </c>
      <c r="E422" s="11">
        <f>H422*D422</f>
        <v>40000</v>
      </c>
      <c r="F422" s="11" t="s">
        <v>2580</v>
      </c>
      <c r="G422" s="11">
        <v>40000.0</v>
      </c>
      <c r="H422" s="31">
        <v>40000.0</v>
      </c>
      <c r="I422" s="11" t="s">
        <v>267</v>
      </c>
      <c r="J422" s="11" t="s">
        <v>87</v>
      </c>
      <c r="K422" s="38">
        <f t="shared" ref="K422:K505" si="46">iferror(G422/H422,"-")</f>
        <v>1</v>
      </c>
      <c r="L422" s="18" t="s">
        <v>268</v>
      </c>
      <c r="M422" s="18" t="s">
        <v>268</v>
      </c>
      <c r="N422" s="18">
        <v>2.0</v>
      </c>
      <c r="O422" s="18"/>
      <c r="P422" s="18" t="s">
        <v>911</v>
      </c>
      <c r="Q422" s="42" t="str">
        <f>iferror(VLOOKUP(A422,'Positional cal'!A:H,1,0)=A422,"FALSE")</f>
        <v>FALSE</v>
      </c>
      <c r="R422" s="43" t="b">
        <f t="shared" si="3"/>
        <v>0</v>
      </c>
      <c r="S422" s="46" t="str">
        <f>IFERROR(VLOOKUP($A422,AlgoUi!$A:$X,21,0),"NA")</f>
        <v/>
      </c>
      <c r="T422" s="46" t="str">
        <f>IFERROR(VLOOKUP($A422,AlgoUi!$A:$X,23,0),"")</f>
        <v/>
      </c>
      <c r="U422" s="46" t="str">
        <f>IFERROR(VLOOKUP($A422,AlgoUi!$A:$X,24,0),"")</f>
        <v/>
      </c>
      <c r="V422" s="42" t="str">
        <f>IFERROR(__xludf.DUMMYFUNCTION("IFERROR(VLOOKUP(I422,IMPORTRANGE(""https://docs.google.com/spreadsheets/d/17FOIUYQAjPk1pPQIlvOgqYDBqwUqgb7KWzp4DtVksBk/edit?gid=0#gid=0"",""Servers!A:S""),19,FALSE), ""Not Running"")"),"Not Running")</f>
        <v>Not Running</v>
      </c>
      <c r="W422" s="47" t="str">
        <f>VLOOKUP($A422,Category!$A:$E,4,0)</f>
        <v>MS</v>
      </c>
      <c r="X422" s="47" t="str">
        <f>VLOOKUP($A422,Category!$A:$E,5,0)</f>
        <v>MSR</v>
      </c>
      <c r="Y422" s="18" t="str">
        <f>VLOOKUP(A422,PAcc!$A$1:$J$27,10,0)</f>
        <v>#N/A</v>
      </c>
      <c r="Z422" s="42" t="b">
        <f t="shared" si="4"/>
        <v>0</v>
      </c>
      <c r="AA422" s="42"/>
      <c r="AB422" s="42" t="str">
        <f>VLOOKUP(A422,VlookupSheet!$A$383:$A$523,1,0)</f>
        <v>#N/A</v>
      </c>
      <c r="AC422" s="50">
        <v>0.01</v>
      </c>
      <c r="AD422" s="42"/>
      <c r="AE422" s="42"/>
      <c r="AF422" s="42"/>
    </row>
    <row r="423">
      <c r="A423" s="11" t="s">
        <v>2373</v>
      </c>
      <c r="B423" s="24" t="s">
        <v>3227</v>
      </c>
      <c r="C423" s="25"/>
      <c r="D423" s="11">
        <f t="shared" ref="D423:D436" si="47">IF(J423="7",0.8,1)</f>
        <v>1</v>
      </c>
      <c r="E423" s="11">
        <f t="shared" ref="E423:E436" si="48">D423*H423</f>
        <v>700000</v>
      </c>
      <c r="F423" s="30" t="s">
        <v>266</v>
      </c>
      <c r="G423" s="11">
        <v>700000.0</v>
      </c>
      <c r="H423" s="31">
        <v>700000.0</v>
      </c>
      <c r="I423" s="34" t="s">
        <v>54</v>
      </c>
      <c r="J423" s="30" t="s">
        <v>907</v>
      </c>
      <c r="K423" s="38">
        <f t="shared" si="46"/>
        <v>1</v>
      </c>
      <c r="L423" s="18" t="s">
        <v>910</v>
      </c>
      <c r="M423" s="18" t="s">
        <v>736</v>
      </c>
      <c r="N423" s="18"/>
      <c r="O423" s="18"/>
      <c r="P423" s="18" t="s">
        <v>1396</v>
      </c>
      <c r="Q423" s="42" t="str">
        <f>iferror(VLOOKUP(A423,'Positional cal'!A:H,1,0)=A423,"FALSE")</f>
        <v>FALSE</v>
      </c>
      <c r="R423" s="43" t="b">
        <f t="shared" si="3"/>
        <v>0</v>
      </c>
      <c r="S423" s="46">
        <f>IFERROR(VLOOKUP($A423,AlgoUi!$A:$X,21,0),"NA")</f>
        <v>1000000000</v>
      </c>
      <c r="T423" s="46">
        <f>IFERROR(VLOOKUP($A423,AlgoUi!$A:$X,23,0),"")</f>
        <v>1000000000</v>
      </c>
      <c r="U423" s="46">
        <f>IFERROR(VLOOKUP($A423,AlgoUi!$A:$X,24,0),"")</f>
        <v>10000000</v>
      </c>
      <c r="V423" s="42" t="str">
        <f>IFERROR(__xludf.DUMMYFUNCTION("IFERROR(VLOOKUP(I423,IMPORTRANGE(""https://docs.google.com/spreadsheets/d/17FOIUYQAjPk1pPQIlvOgqYDBqwUqgb7KWzp4DtVksBk/edit?gid=0#gid=0"",""Servers!A:S""),19,FALSE), ""Not Running"")"),"SAKSHIS")</f>
        <v>SAKSHIS</v>
      </c>
      <c r="W423" s="47" t="str">
        <f>VLOOKUP($A423,Category!$A:$E,4,0)</f>
        <v>MS</v>
      </c>
      <c r="X423" s="47" t="str">
        <f>VLOOKUP($A423,Category!$A:$E,5,0)</f>
        <v>MSJ</v>
      </c>
      <c r="Y423" s="18" t="str">
        <f>VLOOKUP(A423,PAcc!$A$1:$J$27,10,0)</f>
        <v>#N/A</v>
      </c>
      <c r="Z423" s="42" t="b">
        <f t="shared" si="4"/>
        <v>0</v>
      </c>
      <c r="AA423" s="42"/>
      <c r="AB423" s="42" t="str">
        <f>VLOOKUP(A423,VlookupSheet!$A$383:$A$523,1,0)</f>
        <v>#N/A</v>
      </c>
      <c r="AC423" s="50">
        <v>0.01</v>
      </c>
      <c r="AD423" s="42">
        <f t="shared" ref="AD423:AD440" si="49">S423*AA423</f>
        <v>0</v>
      </c>
      <c r="AE423" s="42">
        <f t="shared" ref="AE423:AE440" si="50">MROUND(AD423,2000000)/100</f>
        <v>0</v>
      </c>
      <c r="AF423" s="123">
        <f t="shared" ref="AF423:AF440" si="51">AE423-H423</f>
        <v>-700000</v>
      </c>
    </row>
    <row r="424">
      <c r="A424" s="11" t="s">
        <v>2533</v>
      </c>
      <c r="B424" s="24" t="s">
        <v>3466</v>
      </c>
      <c r="C424" s="25"/>
      <c r="D424" s="11">
        <f t="shared" si="47"/>
        <v>1</v>
      </c>
      <c r="E424" s="11">
        <f t="shared" si="48"/>
        <v>80000</v>
      </c>
      <c r="F424" s="11" t="s">
        <v>1204</v>
      </c>
      <c r="G424" s="11" t="s">
        <v>906</v>
      </c>
      <c r="H424" s="31">
        <v>80000.0</v>
      </c>
      <c r="I424" s="11" t="s">
        <v>54</v>
      </c>
      <c r="J424" s="11" t="s">
        <v>907</v>
      </c>
      <c r="K424" s="38">
        <f t="shared" si="46"/>
        <v>1</v>
      </c>
      <c r="L424" s="18" t="s">
        <v>910</v>
      </c>
      <c r="M424" s="18" t="s">
        <v>736</v>
      </c>
      <c r="N424" s="42"/>
      <c r="O424" s="42"/>
      <c r="P424" s="42"/>
      <c r="Q424" s="42" t="str">
        <f>iferror(VLOOKUP(A424,'Positional cal'!A:H,1,0)=A424,"FALSE")</f>
        <v>FALSE</v>
      </c>
      <c r="R424" s="43" t="b">
        <f t="shared" si="3"/>
        <v>0</v>
      </c>
      <c r="S424" s="46">
        <f>IFERROR(VLOOKUP($A424,AlgoUi!$A:$X,21,0),"NA")</f>
        <v>20000000</v>
      </c>
      <c r="T424" s="46">
        <f>IFERROR(VLOOKUP($A424,AlgoUi!$A:$X,23,0),"")</f>
        <v>20000000</v>
      </c>
      <c r="U424" s="46">
        <f>IFERROR(VLOOKUP($A424,AlgoUi!$A:$X,24,0),"")</f>
        <v>200000</v>
      </c>
      <c r="V424" s="42" t="str">
        <f>IFERROR(__xludf.DUMMYFUNCTION("IFERROR(VLOOKUP(I424,IMPORTRANGE(""https://docs.google.com/spreadsheets/d/17FOIUYQAjPk1pPQIlvOgqYDBqwUqgb7KWzp4DtVksBk/edit?gid=0#gid=0"",""Servers!A:S""),19,FALSE), ""Not Running"")"),"SAKSHIS")</f>
        <v>SAKSHIS</v>
      </c>
      <c r="W424" s="47" t="str">
        <f>VLOOKUP($A424,Category!$A:$E,4,0)</f>
        <v>MS</v>
      </c>
      <c r="X424" s="47" t="str">
        <f>VLOOKUP($A424,Category!$A:$E,5,0)</f>
        <v>MSR</v>
      </c>
      <c r="Y424" s="18" t="str">
        <f>VLOOKUP(A424,PAcc!$A$1:$J$27,10,0)</f>
        <v>#N/A</v>
      </c>
      <c r="Z424" s="42" t="b">
        <f t="shared" si="4"/>
        <v>0</v>
      </c>
      <c r="AA424" s="50">
        <v>0.4</v>
      </c>
      <c r="AB424" s="42" t="str">
        <f>VLOOKUP(A424,VlookupSheet!$A$383:$A$523,1,0)</f>
        <v>#N/A</v>
      </c>
      <c r="AC424" s="50">
        <v>0.01</v>
      </c>
      <c r="AD424" s="42">
        <f t="shared" si="49"/>
        <v>8000000</v>
      </c>
      <c r="AE424" s="42">
        <f t="shared" si="50"/>
        <v>80000</v>
      </c>
      <c r="AF424" s="123">
        <f t="shared" si="51"/>
        <v>0</v>
      </c>
    </row>
    <row r="425">
      <c r="A425" s="30" t="s">
        <v>2453</v>
      </c>
      <c r="B425" s="84" t="s">
        <v>2454</v>
      </c>
      <c r="C425" s="85"/>
      <c r="D425" s="11">
        <f t="shared" si="47"/>
        <v>1</v>
      </c>
      <c r="E425" s="11">
        <f t="shared" si="48"/>
        <v>300000</v>
      </c>
      <c r="F425" s="11" t="s">
        <v>85</v>
      </c>
      <c r="G425" s="11">
        <v>300000.0</v>
      </c>
      <c r="H425" s="31">
        <v>300000.0</v>
      </c>
      <c r="I425" s="127" t="s">
        <v>54</v>
      </c>
      <c r="J425" s="85" t="s">
        <v>907</v>
      </c>
      <c r="K425" s="38">
        <f t="shared" si="46"/>
        <v>1</v>
      </c>
      <c r="L425" s="18" t="s">
        <v>910</v>
      </c>
      <c r="M425" s="18" t="s">
        <v>736</v>
      </c>
      <c r="N425" s="34">
        <v>3.0</v>
      </c>
      <c r="O425" s="34"/>
      <c r="P425" s="34" t="s">
        <v>942</v>
      </c>
      <c r="Q425" s="42" t="str">
        <f>iferror(VLOOKUP(A425,'Positional cal'!A:H,1,0)=A425,"FALSE")</f>
        <v>FALSE</v>
      </c>
      <c r="R425" s="43" t="b">
        <f t="shared" si="3"/>
        <v>1</v>
      </c>
      <c r="S425" s="46">
        <f>IFERROR(VLOOKUP($A425,AlgoUi!$A:$X,21,0),"NA")</f>
        <v>30000000</v>
      </c>
      <c r="T425" s="46">
        <f>IFERROR(VLOOKUP($A425,AlgoUi!$A:$X,23,0),"")</f>
        <v>30000000</v>
      </c>
      <c r="U425" s="46">
        <f>IFERROR(VLOOKUP($A425,AlgoUi!$A:$X,24,0),"")</f>
        <v>300000</v>
      </c>
      <c r="V425" s="42" t="str">
        <f>IFERROR(__xludf.DUMMYFUNCTION("IFERROR(VLOOKUP(I425,IMPORTRANGE(""https://docs.google.com/spreadsheets/d/17FOIUYQAjPk1pPQIlvOgqYDBqwUqgb7KWzp4DtVksBk/edit?gid=0#gid=0"",""Servers!A:S""),19,FALSE), ""Not Running"")"),"SAKSHIS")</f>
        <v>SAKSHIS</v>
      </c>
      <c r="W425" s="47" t="str">
        <f>VLOOKUP($A425,Category!$A:$E,4,0)</f>
        <v>CC</v>
      </c>
      <c r="X425" s="47" t="str">
        <f>VLOOKUP($A425,Category!$A:$E,5,0)</f>
        <v>CC</v>
      </c>
      <c r="Y425" s="18" t="str">
        <f>VLOOKUP(A425,PAcc!$A$1:$J$27,10,0)</f>
        <v>#N/A</v>
      </c>
      <c r="Z425" s="42" t="b">
        <f t="shared" si="4"/>
        <v>1</v>
      </c>
      <c r="AA425" s="50">
        <v>1.0</v>
      </c>
      <c r="AB425" s="42" t="str">
        <f>VLOOKUP(A425,VlookupSheet!$A$383:$A$523,1,0)</f>
        <v>#N/A</v>
      </c>
      <c r="AC425" s="50">
        <v>0.01</v>
      </c>
      <c r="AD425" s="42">
        <f t="shared" si="49"/>
        <v>30000000</v>
      </c>
      <c r="AE425" s="42">
        <f t="shared" si="50"/>
        <v>300000</v>
      </c>
      <c r="AF425" s="123">
        <f t="shared" si="51"/>
        <v>0</v>
      </c>
    </row>
    <row r="426">
      <c r="A426" s="11" t="s">
        <v>129</v>
      </c>
      <c r="B426" s="24" t="s">
        <v>3272</v>
      </c>
      <c r="C426" s="25"/>
      <c r="D426" s="11">
        <f t="shared" si="47"/>
        <v>1</v>
      </c>
      <c r="E426" s="11">
        <f t="shared" si="48"/>
        <v>200000</v>
      </c>
      <c r="F426" s="30" t="s">
        <v>266</v>
      </c>
      <c r="G426" s="11">
        <v>200000.0</v>
      </c>
      <c r="H426" s="31">
        <v>200000.0</v>
      </c>
      <c r="I426" s="42" t="s">
        <v>54</v>
      </c>
      <c r="J426" s="85" t="s">
        <v>907</v>
      </c>
      <c r="K426" s="38">
        <f t="shared" si="46"/>
        <v>1</v>
      </c>
      <c r="L426" s="18" t="s">
        <v>910</v>
      </c>
      <c r="M426" s="18" t="s">
        <v>736</v>
      </c>
      <c r="N426" s="18"/>
      <c r="O426" s="18"/>
      <c r="P426" s="18" t="s">
        <v>1396</v>
      </c>
      <c r="Q426" s="42" t="str">
        <f>iferror(VLOOKUP(A426,'Positional cal'!A:H,1,0)=A426,"FALSE")</f>
        <v>FALSE</v>
      </c>
      <c r="R426" s="43" t="b">
        <f t="shared" si="3"/>
        <v>0</v>
      </c>
      <c r="S426" s="46">
        <f>IFERROR(VLOOKUP($A426,AlgoUi!$A:$X,21,0),"NA")</f>
        <v>1000000000</v>
      </c>
      <c r="T426" s="46">
        <f>IFERROR(VLOOKUP($A426,AlgoUi!$A:$X,23,0),"")</f>
        <v>1000000000</v>
      </c>
      <c r="U426" s="46">
        <f>IFERROR(VLOOKUP($A426,AlgoUi!$A:$X,24,0),"")</f>
        <v>10000000</v>
      </c>
      <c r="V426" s="42" t="str">
        <f>IFERROR(__xludf.DUMMYFUNCTION("IFERROR(VLOOKUP(I426,IMPORTRANGE(""https://docs.google.com/spreadsheets/d/17FOIUYQAjPk1pPQIlvOgqYDBqwUqgb7KWzp4DtVksBk/edit?gid=0#gid=0"",""Servers!A:S""),19,FALSE), ""Not Running"")"),"SAKSHIS")</f>
        <v>SAKSHIS</v>
      </c>
      <c r="W426" s="47" t="str">
        <f>VLOOKUP($A426,Category!$A:$E,4,0)</f>
        <v>MS</v>
      </c>
      <c r="X426" s="47" t="str">
        <f>VLOOKUP($A426,Category!$A:$E,5,0)</f>
        <v>MSJ</v>
      </c>
      <c r="Y426" s="18" t="str">
        <f>VLOOKUP(A426,PAcc!$A$1:$J$27,10,0)</f>
        <v>#N/A</v>
      </c>
      <c r="Z426" s="42" t="b">
        <f t="shared" si="4"/>
        <v>0</v>
      </c>
      <c r="AA426" s="50">
        <v>0.5</v>
      </c>
      <c r="AB426" s="42" t="str">
        <f>VLOOKUP(A426,VlookupSheet!$A$383:$A$523,1,0)</f>
        <v>#N/A</v>
      </c>
      <c r="AC426" s="50">
        <v>0.01</v>
      </c>
      <c r="AD426" s="42">
        <f t="shared" si="49"/>
        <v>500000000</v>
      </c>
      <c r="AE426" s="42">
        <f t="shared" si="50"/>
        <v>5000000</v>
      </c>
      <c r="AF426" s="123">
        <f t="shared" si="51"/>
        <v>4800000</v>
      </c>
    </row>
    <row r="427">
      <c r="A427" s="30" t="s">
        <v>2165</v>
      </c>
      <c r="B427" s="84" t="s">
        <v>3055</v>
      </c>
      <c r="C427" s="25"/>
      <c r="D427" s="11">
        <f t="shared" si="47"/>
        <v>1</v>
      </c>
      <c r="E427" s="11">
        <f t="shared" si="48"/>
        <v>200000</v>
      </c>
      <c r="F427" s="75" t="s">
        <v>297</v>
      </c>
      <c r="G427" s="11">
        <v>200000.0</v>
      </c>
      <c r="H427" s="31">
        <v>200000.0</v>
      </c>
      <c r="I427" s="74" t="s">
        <v>54</v>
      </c>
      <c r="J427" s="85" t="s">
        <v>907</v>
      </c>
      <c r="K427" s="38">
        <f t="shared" si="46"/>
        <v>1</v>
      </c>
      <c r="L427" s="18" t="s">
        <v>910</v>
      </c>
      <c r="M427" s="18" t="s">
        <v>736</v>
      </c>
      <c r="N427" s="18">
        <v>2.0</v>
      </c>
      <c r="O427" s="18"/>
      <c r="P427" s="18" t="s">
        <v>911</v>
      </c>
      <c r="Q427" s="42" t="str">
        <f>iferror(VLOOKUP(A427,'Positional cal'!A:H,1,0)=A427,"FALSE")</f>
        <v>FALSE</v>
      </c>
      <c r="R427" s="43" t="b">
        <f t="shared" si="3"/>
        <v>1</v>
      </c>
      <c r="S427" s="46">
        <f>IFERROR(VLOOKUP($A427,AlgoUi!$A:$X,21,0),"NA")</f>
        <v>20000000</v>
      </c>
      <c r="T427" s="46">
        <f>IFERROR(VLOOKUP($A427,AlgoUi!$A:$X,23,0),"")</f>
        <v>20000000</v>
      </c>
      <c r="U427" s="46">
        <f>IFERROR(VLOOKUP($A427,AlgoUi!$A:$X,24,0),"")</f>
        <v>200000</v>
      </c>
      <c r="V427" s="42" t="str">
        <f>IFERROR(__xludf.DUMMYFUNCTION("IFERROR(VLOOKUP(I427,IMPORTRANGE(""https://docs.google.com/spreadsheets/d/17FOIUYQAjPk1pPQIlvOgqYDBqwUqgb7KWzp4DtVksBk/edit?gid=0#gid=0"",""Servers!A:S""),19,FALSE), ""Not Running"")"),"SAKSHIS")</f>
        <v>SAKSHIS</v>
      </c>
      <c r="W427" s="47" t="str">
        <f>VLOOKUP($A427,Category!$A:$E,4,0)</f>
        <v>CC</v>
      </c>
      <c r="X427" s="47" t="str">
        <f>VLOOKUP($A427,Category!$A:$E,5,0)</f>
        <v>CCG</v>
      </c>
      <c r="Y427" s="18" t="str">
        <f>VLOOKUP(A427,PAcc!$A$1:$J$27,10,0)</f>
        <v>#N/A</v>
      </c>
      <c r="Z427" s="42" t="b">
        <f t="shared" si="4"/>
        <v>1</v>
      </c>
      <c r="AA427" s="50">
        <v>1.0</v>
      </c>
      <c r="AB427" s="42" t="str">
        <f>VLOOKUP(A427,VlookupSheet!$A$383:$A$523,1,0)</f>
        <v>#N/A</v>
      </c>
      <c r="AC427" s="50">
        <v>0.01</v>
      </c>
      <c r="AD427" s="42">
        <f t="shared" si="49"/>
        <v>20000000</v>
      </c>
      <c r="AE427" s="42">
        <f t="shared" si="50"/>
        <v>200000</v>
      </c>
      <c r="AF427" s="123">
        <f t="shared" si="51"/>
        <v>0</v>
      </c>
    </row>
    <row r="428">
      <c r="A428" s="11" t="s">
        <v>146</v>
      </c>
      <c r="B428" s="84" t="s">
        <v>3146</v>
      </c>
      <c r="C428" s="25"/>
      <c r="D428" s="11">
        <f t="shared" si="47"/>
        <v>1</v>
      </c>
      <c r="E428" s="11">
        <f t="shared" si="48"/>
        <v>1</v>
      </c>
      <c r="F428" s="88" t="s">
        <v>285</v>
      </c>
      <c r="G428" s="11" t="s">
        <v>77</v>
      </c>
      <c r="H428" s="31">
        <v>1.0</v>
      </c>
      <c r="I428" s="34" t="s">
        <v>267</v>
      </c>
      <c r="J428" s="30" t="s">
        <v>87</v>
      </c>
      <c r="K428" s="38">
        <f t="shared" si="46"/>
        <v>1</v>
      </c>
      <c r="L428" s="18" t="s">
        <v>268</v>
      </c>
      <c r="M428" s="18" t="s">
        <v>268</v>
      </c>
      <c r="N428" s="18"/>
      <c r="O428" s="18"/>
      <c r="P428" s="18" t="s">
        <v>1396</v>
      </c>
      <c r="Q428" s="42" t="str">
        <f>iferror(VLOOKUP(A428,'Positional cal'!A:H,1,0)=A428,"FALSE")</f>
        <v>FALSE</v>
      </c>
      <c r="R428" s="43" t="b">
        <f t="shared" si="3"/>
        <v>0</v>
      </c>
      <c r="S428" s="46" t="str">
        <f>IFERROR(VLOOKUP($A428,AlgoUi!$A:$X,21,0),"NA")</f>
        <v/>
      </c>
      <c r="T428" s="46" t="str">
        <f>IFERROR(VLOOKUP($A428,AlgoUi!$A:$X,23,0),"")</f>
        <v/>
      </c>
      <c r="U428" s="46" t="str">
        <f>IFERROR(VLOOKUP($A428,AlgoUi!$A:$X,24,0),"")</f>
        <v/>
      </c>
      <c r="V428" s="42" t="str">
        <f>IFERROR(__xludf.DUMMYFUNCTION("IFERROR(VLOOKUP(I428,IMPORTRANGE(""https://docs.google.com/spreadsheets/d/17FOIUYQAjPk1pPQIlvOgqYDBqwUqgb7KWzp4DtVksBk/edit?gid=0#gid=0"",""Servers!A:S""),19,FALSE), ""Not Running"")"),"Not Running")</f>
        <v>Not Running</v>
      </c>
      <c r="W428" s="47" t="str">
        <f>VLOOKUP($A428,Category!$A:$E,4,0)</f>
        <v>MS</v>
      </c>
      <c r="X428" s="47" t="str">
        <f>VLOOKUP($A428,Category!$A:$E,5,0)</f>
        <v>MSJ</v>
      </c>
      <c r="Y428" s="18" t="str">
        <f>VLOOKUP(A428,PAcc!$A$1:$J$27,10,0)</f>
        <v>#N/A</v>
      </c>
      <c r="Z428" s="42" t="b">
        <f t="shared" si="4"/>
        <v>0</v>
      </c>
      <c r="AA428" s="50">
        <v>0.5</v>
      </c>
      <c r="AB428" s="42" t="str">
        <f>VLOOKUP(A428,VlookupSheet!$A$383:$A$523,1,0)</f>
        <v>#N/A</v>
      </c>
      <c r="AC428" s="42"/>
      <c r="AD428" s="42">
        <f t="shared" si="49"/>
        <v>0</v>
      </c>
      <c r="AE428" s="42">
        <f t="shared" si="50"/>
        <v>0</v>
      </c>
      <c r="AF428" s="123">
        <f t="shared" si="51"/>
        <v>-1</v>
      </c>
    </row>
    <row r="429">
      <c r="A429" s="243" t="s">
        <v>1803</v>
      </c>
      <c r="B429" s="84" t="s">
        <v>2380</v>
      </c>
      <c r="C429" s="85"/>
      <c r="D429" s="11">
        <f t="shared" si="47"/>
        <v>1</v>
      </c>
      <c r="E429" s="11">
        <f t="shared" si="48"/>
        <v>40000</v>
      </c>
      <c r="F429" s="30" t="s">
        <v>232</v>
      </c>
      <c r="G429" s="11" t="s">
        <v>1100</v>
      </c>
      <c r="H429" s="31">
        <v>40000.0</v>
      </c>
      <c r="I429" s="127" t="s">
        <v>54</v>
      </c>
      <c r="J429" s="30" t="s">
        <v>907</v>
      </c>
      <c r="K429" s="38">
        <f t="shared" si="46"/>
        <v>1</v>
      </c>
      <c r="L429" s="18" t="s">
        <v>910</v>
      </c>
      <c r="M429" s="18" t="s">
        <v>736</v>
      </c>
      <c r="N429" s="74"/>
      <c r="O429" s="74"/>
      <c r="P429" s="74"/>
      <c r="Q429" s="42" t="str">
        <f>iferror(VLOOKUP(A429,'Positional cal'!A:H,1,0)=A429,"FALSE")</f>
        <v>FALSE</v>
      </c>
      <c r="R429" s="43" t="b">
        <f t="shared" si="3"/>
        <v>0</v>
      </c>
      <c r="S429" s="46">
        <f>IFERROR(VLOOKUP($A429,AlgoUi!$A:$X,21,0),"NA")</f>
        <v>10406158</v>
      </c>
      <c r="T429" s="46">
        <f>IFERROR(VLOOKUP($A429,AlgoUi!$A:$X,23,0),"")</f>
        <v>10000000</v>
      </c>
      <c r="U429" s="46">
        <f>IFERROR(VLOOKUP($A429,AlgoUi!$A:$X,24,0),"")</f>
        <v>100000</v>
      </c>
      <c r="V429" s="42" t="str">
        <f>IFERROR(__xludf.DUMMYFUNCTION("IFERROR(VLOOKUP(I429,IMPORTRANGE(""https://docs.google.com/spreadsheets/d/17FOIUYQAjPk1pPQIlvOgqYDBqwUqgb7KWzp4DtVksBk/edit?gid=0#gid=0"",""Servers!A:S""),19,FALSE), ""Not Running"")"),"SAKSHIS")</f>
        <v>SAKSHIS</v>
      </c>
      <c r="W429" s="47" t="str">
        <f>VLOOKUP($A429,Category!$A:$E,4,0)</f>
        <v>MS</v>
      </c>
      <c r="X429" s="47" t="str">
        <f>VLOOKUP($A429,Category!$A:$E,5,0)</f>
        <v>MSR</v>
      </c>
      <c r="Y429" s="18" t="str">
        <f>VLOOKUP(A429,PAcc!$A$1:$J$27,10,0)</f>
        <v>#N/A</v>
      </c>
      <c r="Z429" s="42" t="b">
        <f t="shared" si="4"/>
        <v>0</v>
      </c>
      <c r="AA429" s="50">
        <v>0.4</v>
      </c>
      <c r="AB429" s="42" t="str">
        <f>VLOOKUP(A429,VlookupSheet!$A$383:$A$523,1,0)</f>
        <v>#N/A</v>
      </c>
      <c r="AC429" s="42"/>
      <c r="AD429" s="42">
        <f t="shared" si="49"/>
        <v>4162463.2</v>
      </c>
      <c r="AE429" s="42">
        <f t="shared" si="50"/>
        <v>40000</v>
      </c>
      <c r="AF429" s="123">
        <f t="shared" si="51"/>
        <v>0</v>
      </c>
    </row>
    <row r="430">
      <c r="A430" s="243" t="s">
        <v>102</v>
      </c>
      <c r="B430" s="84" t="s">
        <v>2834</v>
      </c>
      <c r="C430" s="85"/>
      <c r="D430" s="11">
        <f t="shared" si="47"/>
        <v>1</v>
      </c>
      <c r="E430" s="11">
        <f t="shared" si="48"/>
        <v>60000</v>
      </c>
      <c r="F430" s="30" t="s">
        <v>232</v>
      </c>
      <c r="G430" s="11" t="s">
        <v>1550</v>
      </c>
      <c r="H430" s="31">
        <v>60000.0</v>
      </c>
      <c r="I430" s="34" t="s">
        <v>54</v>
      </c>
      <c r="J430" s="11" t="s">
        <v>907</v>
      </c>
      <c r="K430" s="38">
        <f t="shared" si="46"/>
        <v>1</v>
      </c>
      <c r="L430" s="18" t="s">
        <v>910</v>
      </c>
      <c r="M430" s="18" t="s">
        <v>736</v>
      </c>
      <c r="N430" s="18"/>
      <c r="O430" s="18"/>
      <c r="P430" s="18"/>
      <c r="Q430" s="42" t="str">
        <f>iferror(VLOOKUP(A430,'Positional cal'!A:H,1,0)=A430,"FALSE")</f>
        <v>FALSE</v>
      </c>
      <c r="R430" s="43" t="b">
        <f t="shared" si="3"/>
        <v>0</v>
      </c>
      <c r="S430" s="46">
        <f>IFERROR(VLOOKUP($A430,AlgoUi!$A:$X,21,0),"NA")</f>
        <v>15871155</v>
      </c>
      <c r="T430" s="46">
        <f>IFERROR(VLOOKUP($A430,AlgoUi!$A:$X,23,0),"")</f>
        <v>16000000</v>
      </c>
      <c r="U430" s="46">
        <f>IFERROR(VLOOKUP($A430,AlgoUi!$A:$X,24,0),"")</f>
        <v>160000</v>
      </c>
      <c r="V430" s="42" t="str">
        <f>IFERROR(__xludf.DUMMYFUNCTION("IFERROR(VLOOKUP(I430,IMPORTRANGE(""https://docs.google.com/spreadsheets/d/17FOIUYQAjPk1pPQIlvOgqYDBqwUqgb7KWzp4DtVksBk/edit?gid=0#gid=0"",""Servers!A:S""),19,FALSE), ""Not Running"")"),"SAKSHIS")</f>
        <v>SAKSHIS</v>
      </c>
      <c r="W430" s="47" t="str">
        <f>VLOOKUP($A430,Category!$A:$E,4,0)</f>
        <v>MS</v>
      </c>
      <c r="X430" s="47" t="str">
        <f>VLOOKUP($A430,Category!$A:$E,5,0)</f>
        <v>MSR</v>
      </c>
      <c r="Y430" s="18" t="str">
        <f>VLOOKUP(A430,PAcc!$A$1:$J$27,10,0)</f>
        <v>#N/A</v>
      </c>
      <c r="Z430" s="42" t="b">
        <f t="shared" si="4"/>
        <v>0</v>
      </c>
      <c r="AA430" s="50">
        <v>0.4</v>
      </c>
      <c r="AB430" s="42" t="str">
        <f>VLOOKUP(A430,VlookupSheet!$A$383:$A$523,1,0)</f>
        <v>#N/A</v>
      </c>
      <c r="AC430" s="42"/>
      <c r="AD430" s="42">
        <f t="shared" si="49"/>
        <v>6348462</v>
      </c>
      <c r="AE430" s="42">
        <f t="shared" si="50"/>
        <v>60000</v>
      </c>
      <c r="AF430" s="123">
        <f t="shared" si="51"/>
        <v>0</v>
      </c>
    </row>
    <row r="431">
      <c r="A431" s="243" t="s">
        <v>104</v>
      </c>
      <c r="B431" s="84" t="s">
        <v>2772</v>
      </c>
      <c r="C431" s="85"/>
      <c r="D431" s="11">
        <f t="shared" si="47"/>
        <v>1</v>
      </c>
      <c r="E431" s="11">
        <f t="shared" si="48"/>
        <v>40000</v>
      </c>
      <c r="F431" s="30" t="s">
        <v>232</v>
      </c>
      <c r="G431" s="11" t="s">
        <v>1100</v>
      </c>
      <c r="H431" s="31">
        <v>40000.0</v>
      </c>
      <c r="I431" s="34" t="s">
        <v>54</v>
      </c>
      <c r="J431" s="11" t="s">
        <v>907</v>
      </c>
      <c r="K431" s="38">
        <f t="shared" si="46"/>
        <v>1</v>
      </c>
      <c r="L431" s="18" t="s">
        <v>910</v>
      </c>
      <c r="M431" s="18" t="s">
        <v>736</v>
      </c>
      <c r="N431" s="74"/>
      <c r="O431" s="74"/>
      <c r="P431" s="74"/>
      <c r="Q431" s="42" t="str">
        <f>iferror(VLOOKUP(A431,'Positional cal'!A:H,1,0)=A431,"FALSE")</f>
        <v>FALSE</v>
      </c>
      <c r="R431" s="43" t="b">
        <f t="shared" si="3"/>
        <v>0</v>
      </c>
      <c r="S431" s="46">
        <f>IFERROR(VLOOKUP($A431,AlgoUi!$A:$X,21,0),"NA")</f>
        <v>12267652</v>
      </c>
      <c r="T431" s="46">
        <f>IFERROR(VLOOKUP($A431,AlgoUi!$A:$X,23,0),"")</f>
        <v>12000000</v>
      </c>
      <c r="U431" s="46">
        <f>IFERROR(VLOOKUP($A431,AlgoUi!$A:$X,24,0),"")</f>
        <v>120000</v>
      </c>
      <c r="V431" s="42" t="str">
        <f>IFERROR(__xludf.DUMMYFUNCTION("IFERROR(VLOOKUP(I431,IMPORTRANGE(""https://docs.google.com/spreadsheets/d/17FOIUYQAjPk1pPQIlvOgqYDBqwUqgb7KWzp4DtVksBk/edit?gid=0#gid=0"",""Servers!A:S""),19,FALSE), ""Not Running"")"),"SAKSHIS")</f>
        <v>SAKSHIS</v>
      </c>
      <c r="W431" s="47" t="str">
        <f>VLOOKUP($A431,Category!$A:$E,4,0)</f>
        <v>MS</v>
      </c>
      <c r="X431" s="47" t="str">
        <f>VLOOKUP($A431,Category!$A:$E,5,0)</f>
        <v>MSR</v>
      </c>
      <c r="Y431" s="18" t="str">
        <f>VLOOKUP(A431,PAcc!$A$1:$J$27,10,0)</f>
        <v>#N/A</v>
      </c>
      <c r="Z431" s="42" t="b">
        <f t="shared" si="4"/>
        <v>0</v>
      </c>
      <c r="AA431" s="50">
        <v>0.4</v>
      </c>
      <c r="AB431" s="42" t="str">
        <f>VLOOKUP(A431,VlookupSheet!$A$383:$A$523,1,0)</f>
        <v>#N/A</v>
      </c>
      <c r="AC431" s="50">
        <v>0.01</v>
      </c>
      <c r="AD431" s="42">
        <f t="shared" si="49"/>
        <v>4907060.8</v>
      </c>
      <c r="AE431" s="42">
        <f t="shared" si="50"/>
        <v>40000</v>
      </c>
      <c r="AF431" s="123">
        <f t="shared" si="51"/>
        <v>0</v>
      </c>
    </row>
    <row r="432">
      <c r="A432" s="243" t="s">
        <v>96</v>
      </c>
      <c r="B432" s="84" t="s">
        <v>2367</v>
      </c>
      <c r="C432" s="30" t="s">
        <v>320</v>
      </c>
      <c r="D432" s="11">
        <f t="shared" si="47"/>
        <v>1</v>
      </c>
      <c r="E432" s="11">
        <f t="shared" si="48"/>
        <v>60000</v>
      </c>
      <c r="F432" s="30" t="s">
        <v>232</v>
      </c>
      <c r="G432" s="11" t="s">
        <v>1550</v>
      </c>
      <c r="H432" s="31">
        <v>60000.0</v>
      </c>
      <c r="I432" s="34" t="s">
        <v>54</v>
      </c>
      <c r="J432" s="11" t="s">
        <v>907</v>
      </c>
      <c r="K432" s="38">
        <f t="shared" si="46"/>
        <v>1</v>
      </c>
      <c r="L432" s="18" t="s">
        <v>910</v>
      </c>
      <c r="M432" s="18" t="s">
        <v>736</v>
      </c>
      <c r="N432" s="74"/>
      <c r="O432" s="74"/>
      <c r="P432" s="74"/>
      <c r="Q432" s="42" t="str">
        <f>iferror(VLOOKUP(A432,'Positional cal'!A:H,1,0)=A432,"FALSE")</f>
        <v>FALSE</v>
      </c>
      <c r="R432" s="43" t="b">
        <f t="shared" si="3"/>
        <v>0</v>
      </c>
      <c r="S432" s="46">
        <f>IFERROR(VLOOKUP($A432,AlgoUi!$A:$X,21,0),"NA")</f>
        <v>15708008</v>
      </c>
      <c r="T432" s="46">
        <f>IFERROR(VLOOKUP($A432,AlgoUi!$A:$X,23,0),"")</f>
        <v>16000000</v>
      </c>
      <c r="U432" s="46">
        <f>IFERROR(VLOOKUP($A432,AlgoUi!$A:$X,24,0),"")</f>
        <v>160000</v>
      </c>
      <c r="V432" s="42" t="str">
        <f>IFERROR(__xludf.DUMMYFUNCTION("IFERROR(VLOOKUP(I432,IMPORTRANGE(""https://docs.google.com/spreadsheets/d/17FOIUYQAjPk1pPQIlvOgqYDBqwUqgb7KWzp4DtVksBk/edit?gid=0#gid=0"",""Servers!A:S""),19,FALSE), ""Not Running"")"),"SAKSHIS")</f>
        <v>SAKSHIS</v>
      </c>
      <c r="W432" s="47" t="str">
        <f>VLOOKUP($A432,Category!$A:$E,4,0)</f>
        <v>MS</v>
      </c>
      <c r="X432" s="47" t="str">
        <f>VLOOKUP($A432,Category!$A:$E,5,0)</f>
        <v>MSR</v>
      </c>
      <c r="Y432" s="18" t="str">
        <f>VLOOKUP(A432,PAcc!$A$1:$J$27,10,0)</f>
        <v>#N/A</v>
      </c>
      <c r="Z432" s="42" t="b">
        <f t="shared" si="4"/>
        <v>0</v>
      </c>
      <c r="AA432" s="50">
        <v>0.4</v>
      </c>
      <c r="AB432" s="42" t="str">
        <f>VLOOKUP(A432,VlookupSheet!$A$383:$A$523,1,0)</f>
        <v>#N/A</v>
      </c>
      <c r="AC432" s="50">
        <v>0.01</v>
      </c>
      <c r="AD432" s="42">
        <f t="shared" si="49"/>
        <v>6283203.2</v>
      </c>
      <c r="AE432" s="42">
        <f t="shared" si="50"/>
        <v>60000</v>
      </c>
      <c r="AF432" s="123">
        <f t="shared" si="51"/>
        <v>0</v>
      </c>
    </row>
    <row r="433">
      <c r="A433" s="243" t="s">
        <v>99</v>
      </c>
      <c r="B433" s="84" t="s">
        <v>2625</v>
      </c>
      <c r="C433" s="85"/>
      <c r="D433" s="11">
        <f t="shared" si="47"/>
        <v>1</v>
      </c>
      <c r="E433" s="11">
        <f t="shared" si="48"/>
        <v>80000</v>
      </c>
      <c r="F433" s="30" t="s">
        <v>232</v>
      </c>
      <c r="G433" s="11" t="s">
        <v>906</v>
      </c>
      <c r="H433" s="31">
        <v>80000.0</v>
      </c>
      <c r="I433" s="34" t="s">
        <v>54</v>
      </c>
      <c r="J433" s="11" t="s">
        <v>907</v>
      </c>
      <c r="K433" s="38">
        <f t="shared" si="46"/>
        <v>1</v>
      </c>
      <c r="L433" s="18" t="s">
        <v>910</v>
      </c>
      <c r="M433" s="18" t="s">
        <v>736</v>
      </c>
      <c r="N433" s="74"/>
      <c r="O433" s="74"/>
      <c r="P433" s="74"/>
      <c r="Q433" s="42" t="str">
        <f>iferror(VLOOKUP(A433,'Positional cal'!A:H,1,0)=A433,"FALSE")</f>
        <v>FALSE</v>
      </c>
      <c r="R433" s="43" t="b">
        <f t="shared" si="3"/>
        <v>0</v>
      </c>
      <c r="S433" s="46">
        <f>IFERROR(VLOOKUP($A433,AlgoUi!$A:$X,21,0),"NA")</f>
        <v>19743264</v>
      </c>
      <c r="T433" s="46">
        <f>IFERROR(VLOOKUP($A433,AlgoUi!$A:$X,23,0),"")</f>
        <v>20000000</v>
      </c>
      <c r="U433" s="46">
        <f>IFERROR(VLOOKUP($A433,AlgoUi!$A:$X,24,0),"")</f>
        <v>200000</v>
      </c>
      <c r="V433" s="42" t="str">
        <f>IFERROR(__xludf.DUMMYFUNCTION("IFERROR(VLOOKUP(I433,IMPORTRANGE(""https://docs.google.com/spreadsheets/d/17FOIUYQAjPk1pPQIlvOgqYDBqwUqgb7KWzp4DtVksBk/edit?gid=0#gid=0"",""Servers!A:S""),19,FALSE), ""Not Running"")"),"SAKSHIS")</f>
        <v>SAKSHIS</v>
      </c>
      <c r="W433" s="47" t="str">
        <f>VLOOKUP($A433,Category!$A:$E,4,0)</f>
        <v>MS</v>
      </c>
      <c r="X433" s="47" t="str">
        <f>VLOOKUP($A433,Category!$A:$E,5,0)</f>
        <v>MSR</v>
      </c>
      <c r="Y433" s="18" t="str">
        <f>VLOOKUP(A433,PAcc!$A$1:$J$27,10,0)</f>
        <v>#N/A</v>
      </c>
      <c r="Z433" s="42" t="b">
        <f t="shared" si="4"/>
        <v>0</v>
      </c>
      <c r="AA433" s="50">
        <v>0.4</v>
      </c>
      <c r="AB433" s="42" t="str">
        <f>VLOOKUP(A433,VlookupSheet!$A$383:$A$523,1,0)</f>
        <v>#N/A</v>
      </c>
      <c r="AC433" s="50">
        <v>0.01</v>
      </c>
      <c r="AD433" s="42">
        <f t="shared" si="49"/>
        <v>7897305.6</v>
      </c>
      <c r="AE433" s="42">
        <f t="shared" si="50"/>
        <v>80000</v>
      </c>
      <c r="AF433" s="123">
        <f t="shared" si="51"/>
        <v>0</v>
      </c>
    </row>
    <row r="434">
      <c r="A434" s="158" t="s">
        <v>2455</v>
      </c>
      <c r="B434" s="158" t="s">
        <v>3384</v>
      </c>
      <c r="C434" s="288"/>
      <c r="D434" s="158">
        <f t="shared" si="47"/>
        <v>1</v>
      </c>
      <c r="E434" s="158">
        <f t="shared" si="48"/>
        <v>100000</v>
      </c>
      <c r="F434" s="11" t="s">
        <v>3715</v>
      </c>
      <c r="G434" s="158" t="s">
        <v>3530</v>
      </c>
      <c r="H434" s="289">
        <v>100000.0</v>
      </c>
      <c r="I434" s="158" t="s">
        <v>54</v>
      </c>
      <c r="J434" s="158" t="s">
        <v>907</v>
      </c>
      <c r="K434" s="290">
        <f t="shared" si="46"/>
        <v>1</v>
      </c>
      <c r="L434" s="291" t="s">
        <v>910</v>
      </c>
      <c r="M434" s="291" t="s">
        <v>736</v>
      </c>
      <c r="N434" s="291">
        <v>1.0</v>
      </c>
      <c r="O434" s="292"/>
      <c r="P434" s="292"/>
      <c r="Q434" s="292" t="str">
        <f>iferror(VLOOKUP(A434,'Positional cal'!A:H,1,0)=A434,"FALSE")</f>
        <v>FALSE</v>
      </c>
      <c r="R434" s="293" t="b">
        <f t="shared" si="3"/>
        <v>0</v>
      </c>
      <c r="S434" s="294">
        <f>IFERROR(VLOOKUP($A434,AlgoUi!$A:$X,21,0),"NA")</f>
        <v>20000000</v>
      </c>
      <c r="T434" s="294">
        <f>IFERROR(VLOOKUP($A434,AlgoUi!$A:$X,23,0),"")</f>
        <v>20000000</v>
      </c>
      <c r="U434" s="294">
        <f>IFERROR(VLOOKUP($A434,AlgoUi!$A:$X,24,0),"")</f>
        <v>200000</v>
      </c>
      <c r="V434" s="292" t="str">
        <f>IFERROR(__xludf.DUMMYFUNCTION("IFERROR(VLOOKUP(I434,IMPORTRANGE(""https://docs.google.com/spreadsheets/d/17FOIUYQAjPk1pPQIlvOgqYDBqwUqgb7KWzp4DtVksBk/edit?gid=0#gid=0"",""Servers!A:S""),19,FALSE), ""Not Running"")"),"SAKSHIS")</f>
        <v>SAKSHIS</v>
      </c>
      <c r="W434" s="295" t="str">
        <f>VLOOKUP($A434,Category!$A:$E,4,0)</f>
        <v>CC</v>
      </c>
      <c r="X434" s="295" t="str">
        <f>VLOOKUP($A434,Category!$A:$E,5,0)</f>
        <v>CCV</v>
      </c>
      <c r="Y434" s="291" t="str">
        <f>VLOOKUP(A434,PAcc!$A$1:$J$27,10,0)</f>
        <v>#N/A</v>
      </c>
      <c r="Z434" s="292" t="b">
        <f t="shared" si="4"/>
        <v>0</v>
      </c>
      <c r="AA434" s="50">
        <v>1.0</v>
      </c>
      <c r="AB434" s="42" t="str">
        <f>VLOOKUP(A434,VlookupSheet!$A$383:$A$523,1,0)</f>
        <v>#N/A</v>
      </c>
      <c r="AC434" s="50">
        <v>0.01</v>
      </c>
      <c r="AD434" s="42">
        <f t="shared" si="49"/>
        <v>20000000</v>
      </c>
      <c r="AE434" s="42">
        <f t="shared" si="50"/>
        <v>200000</v>
      </c>
      <c r="AF434" s="123">
        <f t="shared" si="51"/>
        <v>100000</v>
      </c>
    </row>
    <row r="435">
      <c r="A435" s="11" t="s">
        <v>105</v>
      </c>
      <c r="B435" s="24" t="s">
        <v>3639</v>
      </c>
      <c r="C435" s="25"/>
      <c r="D435" s="11">
        <f t="shared" si="47"/>
        <v>1</v>
      </c>
      <c r="E435" s="11">
        <f t="shared" si="48"/>
        <v>40000</v>
      </c>
      <c r="F435" s="30" t="s">
        <v>232</v>
      </c>
      <c r="G435" s="11" t="s">
        <v>1100</v>
      </c>
      <c r="H435" s="31">
        <v>40000.0</v>
      </c>
      <c r="I435" s="11" t="s">
        <v>54</v>
      </c>
      <c r="J435" s="11" t="s">
        <v>907</v>
      </c>
      <c r="K435" s="38">
        <f t="shared" si="46"/>
        <v>1</v>
      </c>
      <c r="L435" s="18" t="s">
        <v>910</v>
      </c>
      <c r="M435" s="18" t="s">
        <v>736</v>
      </c>
      <c r="N435" s="42"/>
      <c r="O435" s="42"/>
      <c r="P435" s="42"/>
      <c r="Q435" s="42" t="str">
        <f>iferror(VLOOKUP(A435,'Positional cal'!A:H,1,0)=A435,"FALSE")</f>
        <v>FALSE</v>
      </c>
      <c r="R435" s="43" t="b">
        <f t="shared" si="3"/>
        <v>0</v>
      </c>
      <c r="S435" s="46">
        <f>IFERROR(VLOOKUP($A435,AlgoUi!$A:$X,21,0),"NA")</f>
        <v>8594148</v>
      </c>
      <c r="T435" s="46">
        <f>IFERROR(VLOOKUP($A435,AlgoUi!$A:$X,23,0),"")</f>
        <v>8000000</v>
      </c>
      <c r="U435" s="46">
        <f>IFERROR(VLOOKUP($A435,AlgoUi!$A:$X,24,0),"")</f>
        <v>80000</v>
      </c>
      <c r="V435" s="42" t="str">
        <f>IFERROR(__xludf.DUMMYFUNCTION("IFERROR(VLOOKUP(I435,IMPORTRANGE(""https://docs.google.com/spreadsheets/d/17FOIUYQAjPk1pPQIlvOgqYDBqwUqgb7KWzp4DtVksBk/edit?gid=0#gid=0"",""Servers!A:S""),19,FALSE), ""Not Running"")"),"SAKSHIS")</f>
        <v>SAKSHIS</v>
      </c>
      <c r="W435" s="47" t="str">
        <f>VLOOKUP($A435,Category!$A:$E,4,0)</f>
        <v>MS</v>
      </c>
      <c r="X435" s="47" t="str">
        <f>VLOOKUP($A435,Category!$A:$E,5,0)</f>
        <v>MSR</v>
      </c>
      <c r="Y435" s="18" t="str">
        <f>VLOOKUP(A435,PAcc!$A$1:$J$27,10,0)</f>
        <v>#N/A</v>
      </c>
      <c r="Z435" s="42" t="b">
        <f t="shared" si="4"/>
        <v>0</v>
      </c>
      <c r="AA435" s="50">
        <v>0.4</v>
      </c>
      <c r="AB435" s="42" t="str">
        <f>VLOOKUP(A435,VlookupSheet!$A$383:$A$523,1,0)</f>
        <v>#N/A</v>
      </c>
      <c r="AC435" s="42"/>
      <c r="AD435" s="42">
        <f t="shared" si="49"/>
        <v>3437659.2</v>
      </c>
      <c r="AE435" s="42">
        <f t="shared" si="50"/>
        <v>40000</v>
      </c>
      <c r="AF435" s="123">
        <f t="shared" si="51"/>
        <v>0</v>
      </c>
    </row>
    <row r="436">
      <c r="A436" s="11" t="s">
        <v>106</v>
      </c>
      <c r="B436" s="24" t="s">
        <v>3646</v>
      </c>
      <c r="C436" s="25"/>
      <c r="D436" s="11">
        <f t="shared" si="47"/>
        <v>1</v>
      </c>
      <c r="E436" s="11">
        <f t="shared" si="48"/>
        <v>40000</v>
      </c>
      <c r="F436" s="30" t="s">
        <v>232</v>
      </c>
      <c r="G436" s="11" t="s">
        <v>1100</v>
      </c>
      <c r="H436" s="31">
        <v>40000.0</v>
      </c>
      <c r="I436" s="11" t="s">
        <v>54</v>
      </c>
      <c r="J436" s="11" t="s">
        <v>907</v>
      </c>
      <c r="K436" s="38">
        <f t="shared" si="46"/>
        <v>1</v>
      </c>
      <c r="L436" s="18" t="s">
        <v>910</v>
      </c>
      <c r="M436" s="18" t="s">
        <v>736</v>
      </c>
      <c r="N436" s="42"/>
      <c r="O436" s="42"/>
      <c r="P436" s="42"/>
      <c r="Q436" s="42" t="str">
        <f>iferror(VLOOKUP(A436,'Positional cal'!A:H,1,0)=A436,"FALSE")</f>
        <v>FALSE</v>
      </c>
      <c r="R436" s="43" t="b">
        <f t="shared" si="3"/>
        <v>0</v>
      </c>
      <c r="S436" s="46">
        <f>IFERROR(VLOOKUP($A436,AlgoUi!$A:$X,21,0),"NA")</f>
        <v>9413199</v>
      </c>
      <c r="T436" s="46">
        <f>IFERROR(VLOOKUP($A436,AlgoUi!$A:$X,23,0),"")</f>
        <v>10000000</v>
      </c>
      <c r="U436" s="46">
        <f>IFERROR(VLOOKUP($A436,AlgoUi!$A:$X,24,0),"")</f>
        <v>100000</v>
      </c>
      <c r="V436" s="42" t="str">
        <f>IFERROR(__xludf.DUMMYFUNCTION("IFERROR(VLOOKUP(I436,IMPORTRANGE(""https://docs.google.com/spreadsheets/d/17FOIUYQAjPk1pPQIlvOgqYDBqwUqgb7KWzp4DtVksBk/edit?gid=0#gid=0"",""Servers!A:S""),19,FALSE), ""Not Running"")"),"SAKSHIS")</f>
        <v>SAKSHIS</v>
      </c>
      <c r="W436" s="47" t="str">
        <f>VLOOKUP($A436,Category!$A:$E,4,0)</f>
        <v>MS</v>
      </c>
      <c r="X436" s="47" t="str">
        <f>VLOOKUP($A436,Category!$A:$E,5,0)</f>
        <v>MSR</v>
      </c>
      <c r="Y436" s="18" t="str">
        <f>VLOOKUP(A436,PAcc!$A$1:$J$27,10,0)</f>
        <v>#N/A</v>
      </c>
      <c r="Z436" s="42" t="b">
        <f t="shared" si="4"/>
        <v>0</v>
      </c>
      <c r="AA436" s="50">
        <v>0.4</v>
      </c>
      <c r="AB436" s="42" t="str">
        <f>VLOOKUP(A436,VlookupSheet!$A$383:$A$523,1,0)</f>
        <v>#N/A</v>
      </c>
      <c r="AC436" s="87">
        <v>0.008</v>
      </c>
      <c r="AD436" s="42">
        <f t="shared" si="49"/>
        <v>3765279.6</v>
      </c>
      <c r="AE436" s="42">
        <f t="shared" si="50"/>
        <v>40000</v>
      </c>
      <c r="AF436" s="123">
        <f t="shared" si="51"/>
        <v>0</v>
      </c>
    </row>
    <row r="437">
      <c r="A437" s="11" t="s">
        <v>207</v>
      </c>
      <c r="B437" s="24" t="s">
        <v>2868</v>
      </c>
      <c r="C437" s="25"/>
      <c r="D437" s="11" t="s">
        <v>874</v>
      </c>
      <c r="E437" s="11">
        <f>H437*D437</f>
        <v>3000000</v>
      </c>
      <c r="F437" s="30" t="s">
        <v>85</v>
      </c>
      <c r="G437" s="11">
        <v>3000000.0</v>
      </c>
      <c r="H437" s="31">
        <f>iferror(VLOOKUP(A437,'Positional cal'!A:H,4,0),"Not_positional")</f>
        <v>100000</v>
      </c>
      <c r="I437" s="11" t="s">
        <v>54</v>
      </c>
      <c r="J437" s="11" t="s">
        <v>907</v>
      </c>
      <c r="K437" s="38">
        <f t="shared" si="46"/>
        <v>30</v>
      </c>
      <c r="L437" s="18" t="s">
        <v>1068</v>
      </c>
      <c r="M437" s="18" t="s">
        <v>1059</v>
      </c>
      <c r="N437" s="42"/>
      <c r="O437" s="18">
        <v>0.0</v>
      </c>
      <c r="P437" s="42"/>
      <c r="Q437" s="42" t="b">
        <f>iferror(VLOOKUP(A437,'Positional cal'!A:H,1,0)=A437,"FALSE")</f>
        <v>1</v>
      </c>
      <c r="R437" s="43" t="b">
        <f t="shared" si="3"/>
        <v>0</v>
      </c>
      <c r="S437" s="46">
        <f>IFERROR(VLOOKUP($A437,AlgoUi!$A:$X,21,0),"NA")</f>
        <v>12430001</v>
      </c>
      <c r="T437" s="46">
        <f>IFERROR(VLOOKUP($A437,AlgoUi!$A:$X,23,0),"")</f>
        <v>12000000</v>
      </c>
      <c r="U437" s="46">
        <f>IFERROR(VLOOKUP($A437,AlgoUi!$A:$X,24,0),"")</f>
        <v>120000</v>
      </c>
      <c r="V437" s="42" t="str">
        <f>IFERROR(__xludf.DUMMYFUNCTION("IFERROR(VLOOKUP(I437,IMPORTRANGE(""https://docs.google.com/spreadsheets/d/17FOIUYQAjPk1pPQIlvOgqYDBqwUqgb7KWzp4DtVksBk/edit?gid=0#gid=0"",""Servers!A:S""),19,FALSE), ""Not Running"")"),"SAKSHIS")</f>
        <v>SAKSHIS</v>
      </c>
      <c r="W437" s="47" t="str">
        <f>VLOOKUP($A437,Category!$A:$E,4,0)</f>
        <v>CC</v>
      </c>
      <c r="X437" s="47" t="str">
        <f>VLOOKUP($A437,Category!$A:$E,5,0)</f>
        <v>PVT</v>
      </c>
      <c r="Y437" s="18" t="str">
        <f>VLOOKUP(A437,PAcc!$A$1:$J$27,10,0)</f>
        <v>VT Personal </v>
      </c>
      <c r="Z437" s="42" t="b">
        <f t="shared" si="4"/>
        <v>0</v>
      </c>
      <c r="AA437" s="50">
        <v>1.0</v>
      </c>
      <c r="AB437" s="25" t="str">
        <f>VLOOKUP(A437,VlookupSheet!$A$383:$A$523,1,0)</f>
        <v>7RIK2028</v>
      </c>
      <c r="AC437" s="87">
        <v>0.008</v>
      </c>
      <c r="AD437" s="42">
        <f t="shared" si="49"/>
        <v>12430001</v>
      </c>
      <c r="AE437" s="42">
        <f t="shared" si="50"/>
        <v>120000</v>
      </c>
      <c r="AF437" s="123">
        <f t="shared" si="51"/>
        <v>20000</v>
      </c>
    </row>
    <row r="438">
      <c r="A438" s="11" t="s">
        <v>628</v>
      </c>
      <c r="B438" s="24" t="s">
        <v>3203</v>
      </c>
      <c r="C438" s="25"/>
      <c r="D438" s="11">
        <f t="shared" ref="D438:D440" si="52">IF(J438="7",0.8,1)</f>
        <v>1</v>
      </c>
      <c r="E438" s="11">
        <f t="shared" ref="E438:E440" si="53">D438*H438</f>
        <v>100000</v>
      </c>
      <c r="F438" s="30" t="s">
        <v>232</v>
      </c>
      <c r="G438" s="11" t="s">
        <v>3530</v>
      </c>
      <c r="H438" s="31">
        <v>100000.0</v>
      </c>
      <c r="I438" s="34" t="s">
        <v>54</v>
      </c>
      <c r="J438" s="11" t="s">
        <v>907</v>
      </c>
      <c r="K438" s="38">
        <f t="shared" si="46"/>
        <v>1</v>
      </c>
      <c r="L438" s="18" t="s">
        <v>910</v>
      </c>
      <c r="M438" s="18" t="s">
        <v>736</v>
      </c>
      <c r="N438" s="18"/>
      <c r="O438" s="18"/>
      <c r="P438" s="18"/>
      <c r="Q438" s="42" t="str">
        <f>iferror(VLOOKUP(A438,'Positional cal'!A:H,1,0)=A438,"FALSE")</f>
        <v>FALSE</v>
      </c>
      <c r="R438" s="43" t="b">
        <f t="shared" si="3"/>
        <v>0</v>
      </c>
      <c r="S438" s="46">
        <f>IFERROR(VLOOKUP($A438,AlgoUi!$A:$X,21,0),"NA")</f>
        <v>19329932</v>
      </c>
      <c r="T438" s="46">
        <f>IFERROR(VLOOKUP($A438,AlgoUi!$A:$X,23,0),"")</f>
        <v>20000000</v>
      </c>
      <c r="U438" s="46">
        <f>IFERROR(VLOOKUP($A438,AlgoUi!$A:$X,24,0),"")</f>
        <v>200000</v>
      </c>
      <c r="V438" s="42" t="str">
        <f>IFERROR(__xludf.DUMMYFUNCTION("IFERROR(VLOOKUP(I438,IMPORTRANGE(""https://docs.google.com/spreadsheets/d/17FOIUYQAjPk1pPQIlvOgqYDBqwUqgb7KWzp4DtVksBk/edit?gid=0#gid=0"",""Servers!A:S""),19,FALSE), ""Not Running"")"),"SAKSHIS")</f>
        <v>SAKSHIS</v>
      </c>
      <c r="W438" s="47" t="str">
        <f>VLOOKUP($A438,Category!$A:$E,4,0)</f>
        <v>MS</v>
      </c>
      <c r="X438" s="47" t="str">
        <f>VLOOKUP($A438,Category!$A:$E,5,0)</f>
        <v>PRD</v>
      </c>
      <c r="Y438" s="18" t="str">
        <f>VLOOKUP(A438,PAcc!$A$1:$J$27,10,0)</f>
        <v>RD Personal </v>
      </c>
      <c r="Z438" s="42" t="b">
        <f t="shared" si="4"/>
        <v>0</v>
      </c>
      <c r="AA438" s="42"/>
      <c r="AB438" s="42" t="str">
        <f>VLOOKUP(A438,VlookupSheet!$A$383:$A$523,1,0)</f>
        <v>#N/A</v>
      </c>
      <c r="AC438" s="87">
        <v>0.008</v>
      </c>
      <c r="AD438" s="42">
        <f t="shared" si="49"/>
        <v>0</v>
      </c>
      <c r="AE438" s="42">
        <f t="shared" si="50"/>
        <v>0</v>
      </c>
      <c r="AF438" s="123">
        <f t="shared" si="51"/>
        <v>-100000</v>
      </c>
    </row>
    <row r="439">
      <c r="A439" s="11" t="s">
        <v>2835</v>
      </c>
      <c r="B439" s="24" t="s">
        <v>3688</v>
      </c>
      <c r="C439" s="25"/>
      <c r="D439" s="11">
        <f t="shared" si="52"/>
        <v>1</v>
      </c>
      <c r="E439" s="11">
        <f t="shared" si="53"/>
        <v>80000</v>
      </c>
      <c r="F439" s="11" t="s">
        <v>2837</v>
      </c>
      <c r="G439" s="11" t="s">
        <v>906</v>
      </c>
      <c r="H439" s="31">
        <v>80000.0</v>
      </c>
      <c r="I439" s="11" t="s">
        <v>54</v>
      </c>
      <c r="J439" s="11" t="s">
        <v>907</v>
      </c>
      <c r="K439" s="38">
        <f t="shared" si="46"/>
        <v>1</v>
      </c>
      <c r="L439" s="18" t="s">
        <v>910</v>
      </c>
      <c r="M439" s="18" t="s">
        <v>736</v>
      </c>
      <c r="N439" s="42"/>
      <c r="O439" s="42"/>
      <c r="P439" s="42"/>
      <c r="Q439" s="42" t="str">
        <f>iferror(VLOOKUP(A439,'Positional cal'!A:H,1,0)=A439,"FALSE")</f>
        <v>FALSE</v>
      </c>
      <c r="R439" s="43" t="b">
        <f t="shared" si="3"/>
        <v>0</v>
      </c>
      <c r="S439" s="46">
        <f>IFERROR(VLOOKUP($A439,AlgoUi!$A:$X,21,0),"NA")</f>
        <v>20000000</v>
      </c>
      <c r="T439" s="46">
        <f>IFERROR(VLOOKUP($A439,AlgoUi!$A:$X,23,0),"")</f>
        <v>20000000</v>
      </c>
      <c r="U439" s="46">
        <f>IFERROR(VLOOKUP($A439,AlgoUi!$A:$X,24,0),"")</f>
        <v>200000</v>
      </c>
      <c r="V439" s="42" t="str">
        <f>IFERROR(__xludf.DUMMYFUNCTION("IFERROR(VLOOKUP(I439,IMPORTRANGE(""https://docs.google.com/spreadsheets/d/17FOIUYQAjPk1pPQIlvOgqYDBqwUqgb7KWzp4DtVksBk/edit?gid=0#gid=0"",""Servers!A:S""),19,FALSE), ""Not Running"")"),"SAKSHIS")</f>
        <v>SAKSHIS</v>
      </c>
      <c r="W439" s="47" t="str">
        <f>VLOOKUP($A439,Category!$A:$E,4,0)</f>
        <v>MS</v>
      </c>
      <c r="X439" s="47" t="str">
        <f>VLOOKUP($A439,Category!$A:$E,5,0)</f>
        <v>MSR</v>
      </c>
      <c r="Y439" s="18" t="str">
        <f>VLOOKUP(A439,PAcc!$A$1:$J$27,10,0)</f>
        <v>#N/A</v>
      </c>
      <c r="Z439" s="42" t="b">
        <f t="shared" si="4"/>
        <v>0</v>
      </c>
      <c r="AA439" s="50">
        <v>0.4</v>
      </c>
      <c r="AB439" s="42" t="str">
        <f>VLOOKUP(A439,VlookupSheet!$A$383:$A$523,1,0)</f>
        <v>#N/A</v>
      </c>
      <c r="AC439" s="42"/>
      <c r="AD439" s="42">
        <f t="shared" si="49"/>
        <v>8000000</v>
      </c>
      <c r="AE439" s="42">
        <f t="shared" si="50"/>
        <v>80000</v>
      </c>
      <c r="AF439" s="123">
        <f t="shared" si="51"/>
        <v>0</v>
      </c>
    </row>
    <row r="440">
      <c r="A440" s="11" t="s">
        <v>237</v>
      </c>
      <c r="B440" s="24" t="s">
        <v>3766</v>
      </c>
      <c r="C440" s="25"/>
      <c r="D440" s="11">
        <f t="shared" si="52"/>
        <v>1</v>
      </c>
      <c r="E440" s="11">
        <f t="shared" si="53"/>
        <v>60000</v>
      </c>
      <c r="F440" s="11" t="s">
        <v>317</v>
      </c>
      <c r="G440" s="11" t="s">
        <v>1550</v>
      </c>
      <c r="H440" s="31">
        <v>60000.0</v>
      </c>
      <c r="I440" s="11" t="s">
        <v>54</v>
      </c>
      <c r="J440" s="11" t="s">
        <v>907</v>
      </c>
      <c r="K440" s="38">
        <f t="shared" si="46"/>
        <v>1</v>
      </c>
      <c r="L440" s="18" t="s">
        <v>910</v>
      </c>
      <c r="M440" s="18" t="s">
        <v>736</v>
      </c>
      <c r="N440" s="42"/>
      <c r="O440" s="42"/>
      <c r="P440" s="42"/>
      <c r="Q440" s="42" t="str">
        <f>iferror(VLOOKUP(A440,'Positional cal'!A:H,1,0)=A440,"FALSE")</f>
        <v>FALSE</v>
      </c>
      <c r="R440" s="43" t="b">
        <f t="shared" si="3"/>
        <v>0</v>
      </c>
      <c r="S440" s="46">
        <f>IFERROR(VLOOKUP($A440,AlgoUi!$A:$X,21,0),"NA")</f>
        <v>10000000</v>
      </c>
      <c r="T440" s="46">
        <f>IFERROR(VLOOKUP($A440,AlgoUi!$A:$X,23,0),"")</f>
        <v>10000000</v>
      </c>
      <c r="U440" s="46">
        <f>IFERROR(VLOOKUP($A440,AlgoUi!$A:$X,24,0),"")</f>
        <v>100000</v>
      </c>
      <c r="V440" s="42" t="str">
        <f>IFERROR(__xludf.DUMMYFUNCTION("IFERROR(VLOOKUP(I440,IMPORTRANGE(""https://docs.google.com/spreadsheets/d/17FOIUYQAjPk1pPQIlvOgqYDBqwUqgb7KWzp4DtVksBk/edit?gid=0#gid=0"",""Servers!A:S""),19,FALSE), ""Not Running"")"),"SAKSHIS")</f>
        <v>SAKSHIS</v>
      </c>
      <c r="W440" s="47" t="str">
        <f>VLOOKUP($A440,Category!$A:$E,4,0)</f>
        <v>CC</v>
      </c>
      <c r="X440" s="47" t="str">
        <f>VLOOKUP($A440,Category!$A:$E,5,0)</f>
        <v>CCV</v>
      </c>
      <c r="Y440" s="18" t="str">
        <f>VLOOKUP(A440,PAcc!$A$1:$J$27,10,0)</f>
        <v>#N/A</v>
      </c>
      <c r="Z440" s="42" t="b">
        <f t="shared" si="4"/>
        <v>0</v>
      </c>
      <c r="AA440" s="50">
        <v>0.6</v>
      </c>
      <c r="AB440" s="42" t="str">
        <f>VLOOKUP(A440,VlookupSheet!$A$383:$A$523,1,0)</f>
        <v>#N/A</v>
      </c>
      <c r="AC440" s="42"/>
      <c r="AD440" s="42">
        <f t="shared" si="49"/>
        <v>6000000</v>
      </c>
      <c r="AE440" s="42">
        <f t="shared" si="50"/>
        <v>60000</v>
      </c>
      <c r="AF440" s="123">
        <f t="shared" si="51"/>
        <v>0</v>
      </c>
    </row>
    <row r="441">
      <c r="A441" s="11" t="s">
        <v>2464</v>
      </c>
      <c r="B441" s="24" t="s">
        <v>2466</v>
      </c>
      <c r="C441" s="25"/>
      <c r="D441" s="11" t="s">
        <v>77</v>
      </c>
      <c r="E441" s="11">
        <f>H441*D441</f>
        <v>200000</v>
      </c>
      <c r="F441" s="30" t="s">
        <v>2398</v>
      </c>
      <c r="G441" s="11">
        <v>200000.0</v>
      </c>
      <c r="H441" s="31">
        <v>200000.0</v>
      </c>
      <c r="I441" s="11" t="s">
        <v>619</v>
      </c>
      <c r="J441" s="11" t="s">
        <v>3363</v>
      </c>
      <c r="K441" s="38">
        <f t="shared" si="46"/>
        <v>1</v>
      </c>
      <c r="L441" s="18" t="s">
        <v>910</v>
      </c>
      <c r="M441" s="18" t="s">
        <v>736</v>
      </c>
      <c r="N441" s="42"/>
      <c r="O441" s="42"/>
      <c r="P441" s="42"/>
      <c r="Q441" s="42" t="str">
        <f>iferror(VLOOKUP(A441,'Positional cal'!A:H,1,0)=A441,"FALSE")</f>
        <v>FALSE</v>
      </c>
      <c r="R441" s="43" t="b">
        <f t="shared" si="3"/>
        <v>0</v>
      </c>
      <c r="S441" s="46">
        <f>IFERROR(VLOOKUP($A441,AlgoUi!$A:$X,21,0),"NA")</f>
        <v>1000000000</v>
      </c>
      <c r="T441" s="46">
        <f>IFERROR(VLOOKUP($A441,AlgoUi!$A:$X,23,0),"")</f>
        <v>1000000000</v>
      </c>
      <c r="U441" s="46">
        <f>IFERROR(VLOOKUP($A441,AlgoUi!$A:$X,24,0),"")</f>
        <v>100000000000</v>
      </c>
      <c r="V441" s="42" t="str">
        <f>IFERROR(__xludf.DUMMYFUNCTION("IFERROR(VLOOKUP(I441,IMPORTRANGE(""https://docs.google.com/spreadsheets/d/17FOIUYQAjPk1pPQIlvOgqYDBqwUqgb7KWzp4DtVksBk/edit?gid=0#gid=0"",""Servers!A:S""),19,FALSE), ""Not Running"")"),"YOGESHS")</f>
        <v>YOGESHS</v>
      </c>
      <c r="W441" s="47" t="str">
        <f>VLOOKUP($A441,Category!$A:$E,4,0)</f>
        <v>MS</v>
      </c>
      <c r="X441" s="47" t="str">
        <f>VLOOKUP($A441,Category!$A:$E,5,0)</f>
        <v>MSJ</v>
      </c>
      <c r="Y441" s="18" t="str">
        <f>VLOOKUP(A441,PAcc!$A$1:$J$27,10,0)</f>
        <v>#N/A</v>
      </c>
      <c r="Z441" s="42" t="b">
        <f t="shared" si="4"/>
        <v>0</v>
      </c>
      <c r="AA441" s="42"/>
      <c r="AB441" s="42" t="str">
        <f>VLOOKUP(A441,VlookupSheet!$A$383:$A$523,1,0)</f>
        <v>#N/A</v>
      </c>
      <c r="AC441" s="87">
        <v>0.008</v>
      </c>
      <c r="AD441" s="42"/>
      <c r="AE441" s="42"/>
      <c r="AF441" s="42"/>
    </row>
    <row r="442">
      <c r="A442" s="11" t="s">
        <v>2378</v>
      </c>
      <c r="B442" s="24" t="s">
        <v>3216</v>
      </c>
      <c r="C442" s="25"/>
      <c r="D442" s="11">
        <f>IF(J442="7",0.8,1)</f>
        <v>1</v>
      </c>
      <c r="E442" s="11">
        <f>D442*H442</f>
        <v>300000</v>
      </c>
      <c r="F442" s="11" t="s">
        <v>266</v>
      </c>
      <c r="G442" s="75" t="s">
        <v>1131</v>
      </c>
      <c r="H442" s="152">
        <v>300000.0</v>
      </c>
      <c r="I442" s="34" t="s">
        <v>249</v>
      </c>
      <c r="J442" s="25" t="s">
        <v>77</v>
      </c>
      <c r="K442" s="38">
        <f t="shared" si="46"/>
        <v>1</v>
      </c>
      <c r="L442" s="18" t="s">
        <v>910</v>
      </c>
      <c r="M442" s="18" t="s">
        <v>1077</v>
      </c>
      <c r="N442" s="18"/>
      <c r="O442" s="18"/>
      <c r="P442" s="18" t="s">
        <v>3779</v>
      </c>
      <c r="Q442" s="42" t="str">
        <f>iferror(VLOOKUP(A442,'Positional cal'!A:H,1,0)=A442,"FALSE")</f>
        <v>FALSE</v>
      </c>
      <c r="R442" s="43" t="b">
        <f t="shared" si="3"/>
        <v>0</v>
      </c>
      <c r="S442" s="46">
        <f>IFERROR(VLOOKUP($A442,AlgoUi!$A:$X,21,0),"NA")</f>
        <v>30000000</v>
      </c>
      <c r="T442" s="46">
        <f>IFERROR(VLOOKUP($A442,AlgoUi!$A:$X,23,0),"")</f>
        <v>30000000</v>
      </c>
      <c r="U442" s="46">
        <f>IFERROR(VLOOKUP($A442,AlgoUi!$A:$X,24,0),"")</f>
        <v>300000</v>
      </c>
      <c r="V442" s="42" t="str">
        <f>IFERROR(__xludf.DUMMYFUNCTION("IFERROR(VLOOKUP(I442,IMPORTRANGE(""https://docs.google.com/spreadsheets/d/17FOIUYQAjPk1pPQIlvOgqYDBqwUqgb7KWzp4DtVksBk/edit?gid=0#gid=0"",""Servers!A:S""),19,FALSE), ""Not Running"")"),"AYUSHS")</f>
        <v>AYUSHS</v>
      </c>
      <c r="W442" s="47" t="str">
        <f>VLOOKUP($A442,Category!$A:$E,4,0)</f>
        <v>MS</v>
      </c>
      <c r="X442" s="47" t="str">
        <f>VLOOKUP($A442,Category!$A:$E,5,0)</f>
        <v>MSJ</v>
      </c>
      <c r="Y442" s="18" t="str">
        <f>VLOOKUP(A442,PAcc!$A$1:$J$27,10,0)</f>
        <v>#N/A</v>
      </c>
      <c r="Z442" s="42" t="b">
        <f t="shared" si="4"/>
        <v>1</v>
      </c>
      <c r="AA442" s="50">
        <v>0.5</v>
      </c>
      <c r="AB442" s="42" t="str">
        <f>VLOOKUP(A442,VlookupSheet!$A$383:$A$523,1,0)</f>
        <v>#N/A</v>
      </c>
      <c r="AC442" s="87">
        <v>0.008</v>
      </c>
      <c r="AD442" s="42">
        <f>S442*AA442</f>
        <v>15000000</v>
      </c>
      <c r="AE442" s="42">
        <f>MROUND(AD442,2000000)/100</f>
        <v>160000</v>
      </c>
      <c r="AF442" s="123">
        <f>AE442-H442</f>
        <v>-140000</v>
      </c>
    </row>
    <row r="443">
      <c r="A443" s="11" t="s">
        <v>652</v>
      </c>
      <c r="B443" s="24" t="s">
        <v>3320</v>
      </c>
      <c r="C443" s="25"/>
      <c r="D443" s="11" t="s">
        <v>874</v>
      </c>
      <c r="E443" s="11">
        <f t="shared" ref="E443:E470" si="54">H443*D443</f>
        <v>6000000</v>
      </c>
      <c r="F443" s="11" t="s">
        <v>751</v>
      </c>
      <c r="G443" s="11">
        <v>6000000.0</v>
      </c>
      <c r="H443" s="31">
        <v>200000.0</v>
      </c>
      <c r="I443" s="34" t="s">
        <v>624</v>
      </c>
      <c r="J443" s="11" t="s">
        <v>625</v>
      </c>
      <c r="K443" s="38">
        <f t="shared" si="46"/>
        <v>30</v>
      </c>
      <c r="L443" s="18" t="s">
        <v>1068</v>
      </c>
      <c r="M443" s="18" t="s">
        <v>1059</v>
      </c>
      <c r="N443" s="18"/>
      <c r="O443" s="18">
        <v>0.0</v>
      </c>
      <c r="P443" s="18" t="s">
        <v>112</v>
      </c>
      <c r="Q443" s="42" t="str">
        <f>iferror(VLOOKUP(A443,'Positional cal'!A:H,1,0)=A443,"FALSE")</f>
        <v>FALSE</v>
      </c>
      <c r="R443" s="43" t="b">
        <f t="shared" si="3"/>
        <v>0</v>
      </c>
      <c r="S443" s="46">
        <f>IFERROR(VLOOKUP($A443,AlgoUi!$A:$X,21,0),"NA")</f>
        <v>60000000</v>
      </c>
      <c r="T443" s="46">
        <f>IFERROR(VLOOKUP($A443,AlgoUi!$A:$X,23,0),"")</f>
        <v>60000000</v>
      </c>
      <c r="U443" s="46">
        <f>IFERROR(VLOOKUP($A443,AlgoUi!$A:$X,24,0),"")</f>
        <v>6000000000</v>
      </c>
      <c r="V443" s="42" t="str">
        <f>IFERROR(__xludf.DUMMYFUNCTION("IFERROR(VLOOKUP(I443,IMPORTRANGE(""https://docs.google.com/spreadsheets/d/17FOIUYQAjPk1pPQIlvOgqYDBqwUqgb7KWzp4DtVksBk/edit?gid=0#gid=0"",""Servers!A:S""),19,FALSE), ""Not Running"")"),"DEEPAKT")</f>
        <v>DEEPAKT</v>
      </c>
      <c r="W443" s="47" t="str">
        <f>VLOOKUP($A443,Category!$A:$E,4,0)</f>
        <v>MS</v>
      </c>
      <c r="X443" s="47" t="str">
        <f>VLOOKUP($A443,Category!$A:$E,5,0)</f>
        <v>MSR</v>
      </c>
      <c r="Y443" s="18" t="str">
        <f>VLOOKUP(A443,PAcc!$A$1:$J$27,10,0)</f>
        <v>#N/A</v>
      </c>
      <c r="Z443" s="42" t="b">
        <f t="shared" si="4"/>
        <v>0</v>
      </c>
      <c r="AA443" s="42"/>
      <c r="AB443" s="25" t="str">
        <f>VLOOKUP(A443,VlookupSheet!$A$383:$A$523,1,0)</f>
        <v>R0299ONE</v>
      </c>
      <c r="AC443" s="87">
        <v>0.008</v>
      </c>
      <c r="AD443" s="42"/>
      <c r="AE443" s="42"/>
      <c r="AF443" s="42"/>
    </row>
    <row r="444">
      <c r="A444" s="11" t="s">
        <v>636</v>
      </c>
      <c r="B444" s="24" t="s">
        <v>3717</v>
      </c>
      <c r="C444" s="25"/>
      <c r="D444" s="11" t="s">
        <v>874</v>
      </c>
      <c r="E444" s="11">
        <f t="shared" si="54"/>
        <v>6000000</v>
      </c>
      <c r="F444" s="11" t="s">
        <v>2371</v>
      </c>
      <c r="G444" s="11">
        <v>6000000.0</v>
      </c>
      <c r="H444" s="31">
        <v>200000.0</v>
      </c>
      <c r="I444" s="34" t="s">
        <v>624</v>
      </c>
      <c r="J444" s="11" t="s">
        <v>625</v>
      </c>
      <c r="K444" s="38">
        <f t="shared" si="46"/>
        <v>30</v>
      </c>
      <c r="L444" s="18" t="s">
        <v>1068</v>
      </c>
      <c r="M444" s="18" t="s">
        <v>1059</v>
      </c>
      <c r="N444" s="18"/>
      <c r="O444" s="18">
        <v>0.0</v>
      </c>
      <c r="P444" s="18" t="s">
        <v>112</v>
      </c>
      <c r="Q444" s="42" t="str">
        <f>iferror(VLOOKUP(A444,'Positional cal'!A:H,1,0)=A444,"FALSE")</f>
        <v>FALSE</v>
      </c>
      <c r="R444" s="43" t="b">
        <f t="shared" si="3"/>
        <v>0</v>
      </c>
      <c r="S444" s="46">
        <f>IFERROR(VLOOKUP($A444,AlgoUi!$A:$X,21,0),"NA")</f>
        <v>43402255</v>
      </c>
      <c r="T444" s="46">
        <f>IFERROR(VLOOKUP($A444,AlgoUi!$A:$X,23,0),"")</f>
        <v>44000000</v>
      </c>
      <c r="U444" s="46">
        <f>IFERROR(VLOOKUP($A444,AlgoUi!$A:$X,24,0),"")</f>
        <v>4400000000</v>
      </c>
      <c r="V444" s="42" t="str">
        <f>IFERROR(__xludf.DUMMYFUNCTION("IFERROR(VLOOKUP(I444,IMPORTRANGE(""https://docs.google.com/spreadsheets/d/17FOIUYQAjPk1pPQIlvOgqYDBqwUqgb7KWzp4DtVksBk/edit?gid=0#gid=0"",""Servers!A:S""),19,FALSE), ""Not Running"")"),"DEEPAKT")</f>
        <v>DEEPAKT</v>
      </c>
      <c r="W444" s="47" t="str">
        <f>VLOOKUP($A444,Category!$A:$E,4,0)</f>
        <v>MS</v>
      </c>
      <c r="X444" s="47" t="str">
        <f>VLOOKUP($A444,Category!$A:$E,5,0)</f>
        <v>PRD</v>
      </c>
      <c r="Y444" s="18" t="str">
        <f>VLOOKUP(A444,PAcc!$A$1:$J$27,10,0)</f>
        <v>RD Personal </v>
      </c>
      <c r="Z444" s="42" t="b">
        <f t="shared" si="4"/>
        <v>0</v>
      </c>
      <c r="AA444" s="42"/>
      <c r="AB444" s="25" t="str">
        <f>VLOOKUP(A444,VlookupSheet!$A$383:$A$523,1,0)</f>
        <v>ITC2248</v>
      </c>
      <c r="AC444" s="87">
        <v>0.008</v>
      </c>
      <c r="AD444" s="42"/>
      <c r="AE444" s="42"/>
      <c r="AF444" s="42"/>
    </row>
    <row r="445">
      <c r="A445" s="11" t="s">
        <v>2708</v>
      </c>
      <c r="B445" s="24" t="s">
        <v>3545</v>
      </c>
      <c r="C445" s="25"/>
      <c r="D445" s="11" t="s">
        <v>874</v>
      </c>
      <c r="E445" s="11">
        <f t="shared" si="54"/>
        <v>6000000</v>
      </c>
      <c r="F445" s="11" t="s">
        <v>232</v>
      </c>
      <c r="G445" s="11">
        <v>6000000.0</v>
      </c>
      <c r="H445" s="31">
        <v>200000.0</v>
      </c>
      <c r="I445" s="34" t="s">
        <v>624</v>
      </c>
      <c r="J445" s="11" t="s">
        <v>625</v>
      </c>
      <c r="K445" s="38">
        <f t="shared" si="46"/>
        <v>30</v>
      </c>
      <c r="L445" s="18" t="s">
        <v>1068</v>
      </c>
      <c r="M445" s="18" t="s">
        <v>1059</v>
      </c>
      <c r="N445" s="18"/>
      <c r="O445" s="18">
        <v>0.0</v>
      </c>
      <c r="P445" s="18" t="s">
        <v>112</v>
      </c>
      <c r="Q445" s="42" t="str">
        <f>iferror(VLOOKUP(A445,'Positional cal'!A:H,1,0)=A445,"FALSE")</f>
        <v>FALSE</v>
      </c>
      <c r="R445" s="43" t="b">
        <f t="shared" si="3"/>
        <v>0</v>
      </c>
      <c r="S445" s="46">
        <f>IFERROR(VLOOKUP($A445,AlgoUi!$A:$X,21,0),"NA")</f>
        <v>47023787</v>
      </c>
      <c r="T445" s="46">
        <f>IFERROR(VLOOKUP($A445,AlgoUi!$A:$X,23,0),"")</f>
        <v>48000000</v>
      </c>
      <c r="U445" s="46">
        <f>IFERROR(VLOOKUP($A445,AlgoUi!$A:$X,24,0),"")</f>
        <v>4800000000</v>
      </c>
      <c r="V445" s="42" t="str">
        <f>IFERROR(__xludf.DUMMYFUNCTION("IFERROR(VLOOKUP(I445,IMPORTRANGE(""https://docs.google.com/spreadsheets/d/17FOIUYQAjPk1pPQIlvOgqYDBqwUqgb7KWzp4DtVksBk/edit?gid=0#gid=0"",""Servers!A:S""),19,FALSE), ""Not Running"")"),"DEEPAKT")</f>
        <v>DEEPAKT</v>
      </c>
      <c r="W445" s="47" t="str">
        <f>VLOOKUP($A445,Category!$A:$E,4,0)</f>
        <v>MS</v>
      </c>
      <c r="X445" s="47" t="str">
        <f>VLOOKUP($A445,Category!$A:$E,5,0)</f>
        <v>MSR</v>
      </c>
      <c r="Y445" s="18" t="str">
        <f>VLOOKUP(A445,PAcc!$A$1:$J$27,10,0)</f>
        <v>#N/A</v>
      </c>
      <c r="Z445" s="42" t="b">
        <f t="shared" si="4"/>
        <v>0</v>
      </c>
      <c r="AA445" s="42"/>
      <c r="AB445" s="25" t="str">
        <f>VLOOKUP(A445,VlookupSheet!$A$383:$A$523,1,0)</f>
        <v>7RIK2054</v>
      </c>
      <c r="AC445" s="87">
        <v>0.008</v>
      </c>
      <c r="AD445" s="42"/>
      <c r="AE445" s="42"/>
      <c r="AF445" s="42"/>
    </row>
    <row r="446">
      <c r="A446" s="11" t="s">
        <v>638</v>
      </c>
      <c r="B446" s="24" t="s">
        <v>3231</v>
      </c>
      <c r="C446" s="25"/>
      <c r="D446" s="11" t="s">
        <v>874</v>
      </c>
      <c r="E446" s="11">
        <f t="shared" si="54"/>
        <v>18000000</v>
      </c>
      <c r="F446" s="11" t="s">
        <v>272</v>
      </c>
      <c r="G446" s="11">
        <v>1.8E7</v>
      </c>
      <c r="H446" s="31">
        <v>600000.0</v>
      </c>
      <c r="I446" s="34" t="s">
        <v>624</v>
      </c>
      <c r="J446" s="11" t="s">
        <v>625</v>
      </c>
      <c r="K446" s="38">
        <f t="shared" si="46"/>
        <v>30</v>
      </c>
      <c r="L446" s="18" t="s">
        <v>1068</v>
      </c>
      <c r="M446" s="18" t="s">
        <v>1059</v>
      </c>
      <c r="N446" s="18"/>
      <c r="O446" s="18">
        <v>0.0</v>
      </c>
      <c r="P446" s="18" t="s">
        <v>112</v>
      </c>
      <c r="Q446" s="42" t="str">
        <f>iferror(VLOOKUP(A446,'Positional cal'!A:H,1,0)=A446,"FALSE")</f>
        <v>FALSE</v>
      </c>
      <c r="R446" s="43" t="b">
        <f t="shared" si="3"/>
        <v>0</v>
      </c>
      <c r="S446" s="46">
        <f>IFERROR(VLOOKUP($A446,AlgoUi!$A:$X,21,0),"NA")</f>
        <v>1000000000</v>
      </c>
      <c r="T446" s="46">
        <f>IFERROR(VLOOKUP($A446,AlgoUi!$A:$X,23,0),"")</f>
        <v>1000000000</v>
      </c>
      <c r="U446" s="46">
        <f>IFERROR(VLOOKUP($A446,AlgoUi!$A:$X,24,0),"")</f>
        <v>100000000000</v>
      </c>
      <c r="V446" s="42" t="str">
        <f>IFERROR(__xludf.DUMMYFUNCTION("IFERROR(VLOOKUP(I446,IMPORTRANGE(""https://docs.google.com/spreadsheets/d/17FOIUYQAjPk1pPQIlvOgqYDBqwUqgb7KWzp4DtVksBk/edit?gid=0#gid=0"",""Servers!A:S""),19,FALSE), ""Not Running"")"),"DEEPAKT")</f>
        <v>DEEPAKT</v>
      </c>
      <c r="W446" s="47" t="str">
        <f>VLOOKUP($A446,Category!$A:$E,4,0)</f>
        <v>MS</v>
      </c>
      <c r="X446" s="47" t="str">
        <f>VLOOKUP($A446,Category!$A:$E,5,0)</f>
        <v>MSJ</v>
      </c>
      <c r="Y446" s="18" t="str">
        <f>VLOOKUP(A446,PAcc!$A$1:$J$27,10,0)</f>
        <v>#N/A</v>
      </c>
      <c r="Z446" s="42" t="b">
        <f t="shared" si="4"/>
        <v>0</v>
      </c>
      <c r="AA446" s="42"/>
      <c r="AB446" s="25" t="str">
        <f>VLOOKUP(A446,VlookupSheet!$A$383:$A$523,1,0)</f>
        <v>ZZJ16974</v>
      </c>
      <c r="AC446" s="42"/>
      <c r="AD446" s="42"/>
      <c r="AE446" s="42"/>
      <c r="AF446" s="42"/>
    </row>
    <row r="447">
      <c r="A447" s="11" t="s">
        <v>709</v>
      </c>
      <c r="B447" s="24" t="s">
        <v>3088</v>
      </c>
      <c r="C447" s="25"/>
      <c r="D447" s="11" t="s">
        <v>874</v>
      </c>
      <c r="E447" s="11">
        <f t="shared" si="54"/>
        <v>6000000</v>
      </c>
      <c r="F447" s="11" t="s">
        <v>232</v>
      </c>
      <c r="G447" s="11">
        <v>6000000.0</v>
      </c>
      <c r="H447" s="31">
        <v>200000.0</v>
      </c>
      <c r="I447" s="34" t="s">
        <v>624</v>
      </c>
      <c r="J447" s="11" t="s">
        <v>625</v>
      </c>
      <c r="K447" s="38">
        <f t="shared" si="46"/>
        <v>30</v>
      </c>
      <c r="L447" s="18" t="s">
        <v>1068</v>
      </c>
      <c r="M447" s="18" t="s">
        <v>1059</v>
      </c>
      <c r="N447" s="18"/>
      <c r="O447" s="18">
        <v>0.0</v>
      </c>
      <c r="P447" s="18" t="s">
        <v>112</v>
      </c>
      <c r="Q447" s="42" t="str">
        <f>iferror(VLOOKUP(A447,'Positional cal'!A:H,1,0)=A447,"FALSE")</f>
        <v>FALSE</v>
      </c>
      <c r="R447" s="43" t="b">
        <f t="shared" si="3"/>
        <v>0</v>
      </c>
      <c r="S447" s="46">
        <f>IFERROR(VLOOKUP($A447,AlgoUi!$A:$X,21,0),"NA")</f>
        <v>23757215</v>
      </c>
      <c r="T447" s="46">
        <f>IFERROR(VLOOKUP($A447,AlgoUi!$A:$X,23,0),"")</f>
        <v>24000000</v>
      </c>
      <c r="U447" s="46">
        <f>IFERROR(VLOOKUP($A447,AlgoUi!$A:$X,24,0),"")</f>
        <v>2400000000</v>
      </c>
      <c r="V447" s="42" t="str">
        <f>IFERROR(__xludf.DUMMYFUNCTION("IFERROR(VLOOKUP(I447,IMPORTRANGE(""https://docs.google.com/spreadsheets/d/17FOIUYQAjPk1pPQIlvOgqYDBqwUqgb7KWzp4DtVksBk/edit?gid=0#gid=0"",""Servers!A:S""),19,FALSE), ""Not Running"")"),"DEEPAKT")</f>
        <v>DEEPAKT</v>
      </c>
      <c r="W447" s="47" t="str">
        <f>VLOOKUP($A447,Category!$A:$E,4,0)</f>
        <v>CC</v>
      </c>
      <c r="X447" s="47" t="str">
        <f>VLOOKUP($A447,Category!$A:$E,5,0)</f>
        <v>PGB</v>
      </c>
      <c r="Y447" s="18" t="str">
        <f>VLOOKUP(A447,PAcc!$A$1:$J$27,10,0)</f>
        <v>GB Personal </v>
      </c>
      <c r="Z447" s="42" t="b">
        <f t="shared" si="4"/>
        <v>0</v>
      </c>
      <c r="AA447" s="50">
        <v>1.0</v>
      </c>
      <c r="AB447" s="25" t="str">
        <f>VLOOKUP(A447,VlookupSheet!$A$383:$A$523,1,0)</f>
        <v>R7RA1256</v>
      </c>
      <c r="AC447" s="122">
        <v>0.8</v>
      </c>
      <c r="AD447" s="42"/>
      <c r="AE447" s="42"/>
      <c r="AF447" s="42"/>
    </row>
    <row r="448">
      <c r="A448" s="11" t="s">
        <v>623</v>
      </c>
      <c r="B448" s="24" t="s">
        <v>2267</v>
      </c>
      <c r="C448" s="25"/>
      <c r="D448" s="11" t="s">
        <v>874</v>
      </c>
      <c r="E448" s="11">
        <f t="shared" si="54"/>
        <v>6000000</v>
      </c>
      <c r="F448" s="11" t="s">
        <v>311</v>
      </c>
      <c r="G448" s="11">
        <v>6000000.0</v>
      </c>
      <c r="H448" s="31">
        <v>200000.0</v>
      </c>
      <c r="I448" s="34" t="s">
        <v>624</v>
      </c>
      <c r="J448" s="11" t="s">
        <v>625</v>
      </c>
      <c r="K448" s="38">
        <f t="shared" si="46"/>
        <v>30</v>
      </c>
      <c r="L448" s="18" t="s">
        <v>1068</v>
      </c>
      <c r="M448" s="18" t="s">
        <v>1059</v>
      </c>
      <c r="N448" s="18"/>
      <c r="O448" s="18">
        <v>0.0</v>
      </c>
      <c r="P448" s="18" t="s">
        <v>112</v>
      </c>
      <c r="Q448" s="42" t="str">
        <f>iferror(VLOOKUP(A448,'Positional cal'!A:H,1,0)=A448,"FALSE")</f>
        <v>FALSE</v>
      </c>
      <c r="R448" s="43" t="b">
        <f t="shared" si="3"/>
        <v>0</v>
      </c>
      <c r="S448" s="46">
        <f>IFERROR(VLOOKUP($A448,AlgoUi!$A:$X,21,0),"NA")</f>
        <v>24625783</v>
      </c>
      <c r="T448" s="46">
        <f>IFERROR(VLOOKUP($A448,AlgoUi!$A:$X,23,0),"")</f>
        <v>24000000</v>
      </c>
      <c r="U448" s="46">
        <f>IFERROR(VLOOKUP($A448,AlgoUi!$A:$X,24,0),"")</f>
        <v>2400000000</v>
      </c>
      <c r="V448" s="42" t="str">
        <f>IFERROR(__xludf.DUMMYFUNCTION("IFERROR(VLOOKUP(I448,IMPORTRANGE(""https://docs.google.com/spreadsheets/d/17FOIUYQAjPk1pPQIlvOgqYDBqwUqgb7KWzp4DtVksBk/edit?gid=0#gid=0"",""Servers!A:S""),19,FALSE), ""Not Running"")"),"DEEPAKT")</f>
        <v>DEEPAKT</v>
      </c>
      <c r="W448" s="47" t="str">
        <f>VLOOKUP($A448,Category!$A:$E,4,0)</f>
        <v>MS</v>
      </c>
      <c r="X448" s="47" t="str">
        <f>VLOOKUP($A448,Category!$A:$E,5,0)</f>
        <v>MSR</v>
      </c>
      <c r="Y448" s="18" t="str">
        <f>VLOOKUP(A448,PAcc!$A$1:$J$27,10,0)</f>
        <v>#N/A</v>
      </c>
      <c r="Z448" s="42" t="b">
        <f t="shared" si="4"/>
        <v>0</v>
      </c>
      <c r="AA448" s="42"/>
      <c r="AB448" s="25" t="str">
        <f>VLOOKUP(A448,VlookupSheet!$A$383:$A$523,1,0)</f>
        <v>VIJE1983</v>
      </c>
      <c r="AC448" s="122">
        <v>0.8</v>
      </c>
      <c r="AD448" s="42"/>
      <c r="AE448" s="42"/>
      <c r="AF448" s="42"/>
    </row>
    <row r="449">
      <c r="A449" s="11" t="s">
        <v>627</v>
      </c>
      <c r="B449" s="24" t="s">
        <v>2332</v>
      </c>
      <c r="C449" s="25"/>
      <c r="D449" s="11" t="s">
        <v>874</v>
      </c>
      <c r="E449" s="11">
        <f t="shared" si="54"/>
        <v>12000000</v>
      </c>
      <c r="F449" s="11" t="s">
        <v>85</v>
      </c>
      <c r="G449" s="11">
        <v>1.2E7</v>
      </c>
      <c r="H449" s="31">
        <v>400000.0</v>
      </c>
      <c r="I449" s="34" t="s">
        <v>624</v>
      </c>
      <c r="J449" s="11" t="s">
        <v>625</v>
      </c>
      <c r="K449" s="38">
        <f t="shared" si="46"/>
        <v>30</v>
      </c>
      <c r="L449" s="18" t="s">
        <v>1068</v>
      </c>
      <c r="M449" s="18" t="s">
        <v>1059</v>
      </c>
      <c r="N449" s="18"/>
      <c r="O449" s="18">
        <v>0.0</v>
      </c>
      <c r="P449" s="18" t="s">
        <v>112</v>
      </c>
      <c r="Q449" s="42" t="str">
        <f>iferror(VLOOKUP(A449,'Positional cal'!A:H,1,0)=A449,"FALSE")</f>
        <v>FALSE</v>
      </c>
      <c r="R449" s="43" t="b">
        <f t="shared" si="3"/>
        <v>0</v>
      </c>
      <c r="S449" s="46">
        <f>IFERROR(VLOOKUP($A449,AlgoUi!$A:$X,21,0),"NA")</f>
        <v>40000000</v>
      </c>
      <c r="T449" s="46">
        <f>IFERROR(VLOOKUP($A449,AlgoUi!$A:$X,23,0),"")</f>
        <v>40000000</v>
      </c>
      <c r="U449" s="46">
        <f>IFERROR(VLOOKUP($A449,AlgoUi!$A:$X,24,0),"")</f>
        <v>4000000000</v>
      </c>
      <c r="V449" s="42" t="str">
        <f>IFERROR(__xludf.DUMMYFUNCTION("IFERROR(VLOOKUP(I449,IMPORTRANGE(""https://docs.google.com/spreadsheets/d/17FOIUYQAjPk1pPQIlvOgqYDBqwUqgb7KWzp4DtVksBk/edit?gid=0#gid=0"",""Servers!A:S""),19,FALSE), ""Not Running"")"),"DEEPAKT")</f>
        <v>DEEPAKT</v>
      </c>
      <c r="W449" s="47" t="str">
        <f>VLOOKUP($A449,Category!$A:$E,4,0)</f>
        <v>CC</v>
      </c>
      <c r="X449" s="47" t="str">
        <f>VLOOKUP($A449,Category!$A:$E,5,0)</f>
        <v>CC</v>
      </c>
      <c r="Y449" s="18" t="str">
        <f>VLOOKUP(A449,PAcc!$A$1:$J$27,10,0)</f>
        <v>#N/A</v>
      </c>
      <c r="Z449" s="42" t="b">
        <f t="shared" si="4"/>
        <v>1</v>
      </c>
      <c r="AA449" s="50">
        <v>1.0</v>
      </c>
      <c r="AB449" s="25" t="str">
        <f>VLOOKUP(A449,VlookupSheet!$A$383:$A$523,1,0)</f>
        <v>CC03</v>
      </c>
      <c r="AC449" s="50">
        <v>0.3</v>
      </c>
      <c r="AD449" s="42"/>
      <c r="AE449" s="42"/>
      <c r="AF449" s="42"/>
    </row>
    <row r="450">
      <c r="A450" s="11" t="s">
        <v>629</v>
      </c>
      <c r="B450" s="24" t="s">
        <v>3103</v>
      </c>
      <c r="C450" s="25"/>
      <c r="D450" s="11" t="s">
        <v>874</v>
      </c>
      <c r="E450" s="11">
        <f t="shared" si="54"/>
        <v>6000000</v>
      </c>
      <c r="F450" s="11" t="s">
        <v>232</v>
      </c>
      <c r="G450" s="11">
        <v>6000000.0</v>
      </c>
      <c r="H450" s="31">
        <v>200000.0</v>
      </c>
      <c r="I450" s="34" t="s">
        <v>624</v>
      </c>
      <c r="J450" s="11" t="s">
        <v>625</v>
      </c>
      <c r="K450" s="38">
        <f t="shared" si="46"/>
        <v>30</v>
      </c>
      <c r="L450" s="18" t="s">
        <v>1068</v>
      </c>
      <c r="M450" s="18" t="s">
        <v>1059</v>
      </c>
      <c r="N450" s="18"/>
      <c r="O450" s="18">
        <v>0.0</v>
      </c>
      <c r="P450" s="18" t="s">
        <v>112</v>
      </c>
      <c r="Q450" s="42" t="str">
        <f>iferror(VLOOKUP(A450,'Positional cal'!A:H,1,0)=A450,"FALSE")</f>
        <v>FALSE</v>
      </c>
      <c r="R450" s="43" t="b">
        <f t="shared" si="3"/>
        <v>0</v>
      </c>
      <c r="S450" s="46">
        <f>IFERROR(VLOOKUP($A450,AlgoUi!$A:$X,21,0),"NA")</f>
        <v>29825050</v>
      </c>
      <c r="T450" s="46">
        <f>IFERROR(VLOOKUP($A450,AlgoUi!$A:$X,23,0),"")</f>
        <v>30000000</v>
      </c>
      <c r="U450" s="46">
        <f>IFERROR(VLOOKUP($A450,AlgoUi!$A:$X,24,0),"")</f>
        <v>3000000000</v>
      </c>
      <c r="V450" s="42" t="str">
        <f>IFERROR(__xludf.DUMMYFUNCTION("IFERROR(VLOOKUP(I450,IMPORTRANGE(""https://docs.google.com/spreadsheets/d/17FOIUYQAjPk1pPQIlvOgqYDBqwUqgb7KWzp4DtVksBk/edit?gid=0#gid=0"",""Servers!A:S""),19,FALSE), ""Not Running"")"),"DEEPAKT")</f>
        <v>DEEPAKT</v>
      </c>
      <c r="W450" s="47" t="str">
        <f>VLOOKUP($A450,Category!$A:$E,4,0)</f>
        <v>MS</v>
      </c>
      <c r="X450" s="47" t="str">
        <f>VLOOKUP($A450,Category!$A:$E,5,0)</f>
        <v>MSR</v>
      </c>
      <c r="Y450" s="18" t="str">
        <f>VLOOKUP(A450,PAcc!$A$1:$J$27,10,0)</f>
        <v>#N/A</v>
      </c>
      <c r="Z450" s="42" t="b">
        <f t="shared" si="4"/>
        <v>0</v>
      </c>
      <c r="AA450" s="42"/>
      <c r="AB450" s="25" t="str">
        <f>VLOOKUP(A450,VlookupSheet!$A$383:$A$523,1,0)</f>
        <v>7RIK2025</v>
      </c>
      <c r="AC450" s="42"/>
      <c r="AD450" s="42"/>
      <c r="AE450" s="42"/>
      <c r="AF450" s="42"/>
    </row>
    <row r="451">
      <c r="A451" s="11" t="s">
        <v>630</v>
      </c>
      <c r="B451" s="24" t="s">
        <v>2344</v>
      </c>
      <c r="C451" s="25"/>
      <c r="D451" s="11" t="s">
        <v>874</v>
      </c>
      <c r="E451" s="11">
        <f t="shared" si="54"/>
        <v>6000000</v>
      </c>
      <c r="F451" s="11" t="s">
        <v>232</v>
      </c>
      <c r="G451" s="11">
        <v>6000000.0</v>
      </c>
      <c r="H451" s="31">
        <v>200000.0</v>
      </c>
      <c r="I451" s="34" t="s">
        <v>624</v>
      </c>
      <c r="J451" s="11" t="s">
        <v>625</v>
      </c>
      <c r="K451" s="38">
        <f t="shared" si="46"/>
        <v>30</v>
      </c>
      <c r="L451" s="18" t="s">
        <v>1068</v>
      </c>
      <c r="M451" s="18" t="s">
        <v>1059</v>
      </c>
      <c r="N451" s="18"/>
      <c r="O451" s="18">
        <v>0.0</v>
      </c>
      <c r="P451" s="18" t="s">
        <v>112</v>
      </c>
      <c r="Q451" s="42" t="str">
        <f>iferror(VLOOKUP(A451,'Positional cal'!A:H,1,0)=A451,"FALSE")</f>
        <v>FALSE</v>
      </c>
      <c r="R451" s="43" t="b">
        <f t="shared" si="3"/>
        <v>0</v>
      </c>
      <c r="S451" s="46">
        <f>IFERROR(VLOOKUP($A451,AlgoUi!$A:$X,21,0),"NA")</f>
        <v>26402047</v>
      </c>
      <c r="T451" s="46">
        <f>IFERROR(VLOOKUP($A451,AlgoUi!$A:$X,23,0),"")</f>
        <v>26000000</v>
      </c>
      <c r="U451" s="46">
        <f>IFERROR(VLOOKUP($A451,AlgoUi!$A:$X,24,0),"")</f>
        <v>2600000000</v>
      </c>
      <c r="V451" s="42" t="str">
        <f>IFERROR(__xludf.DUMMYFUNCTION("IFERROR(VLOOKUP(I451,IMPORTRANGE(""https://docs.google.com/spreadsheets/d/17FOIUYQAjPk1pPQIlvOgqYDBqwUqgb7KWzp4DtVksBk/edit?gid=0#gid=0"",""Servers!A:S""),19,FALSE), ""Not Running"")"),"DEEPAKT")</f>
        <v>DEEPAKT</v>
      </c>
      <c r="W451" s="47" t="str">
        <f>VLOOKUP($A451,Category!$A:$E,4,0)</f>
        <v>MS</v>
      </c>
      <c r="X451" s="47" t="str">
        <f>VLOOKUP($A451,Category!$A:$E,5,0)</f>
        <v>MSR</v>
      </c>
      <c r="Y451" s="18" t="str">
        <f>VLOOKUP(A451,PAcc!$A$1:$J$27,10,0)</f>
        <v>#N/A</v>
      </c>
      <c r="Z451" s="42" t="b">
        <f t="shared" si="4"/>
        <v>0</v>
      </c>
      <c r="AA451" s="42"/>
      <c r="AB451" s="25" t="str">
        <f>VLOOKUP(A451,VlookupSheet!$A$383:$A$523,1,0)</f>
        <v>7RIKEL01</v>
      </c>
      <c r="AC451" s="87">
        <v>0.008</v>
      </c>
      <c r="AD451" s="42"/>
      <c r="AE451" s="42"/>
      <c r="AF451" s="42"/>
    </row>
    <row r="452">
      <c r="A452" s="117" t="s">
        <v>631</v>
      </c>
      <c r="B452" s="24" t="s">
        <v>2325</v>
      </c>
      <c r="C452" s="25"/>
      <c r="D452" s="11" t="s">
        <v>874</v>
      </c>
      <c r="E452" s="11">
        <f t="shared" si="54"/>
        <v>6000000</v>
      </c>
      <c r="F452" s="11" t="s">
        <v>311</v>
      </c>
      <c r="G452" s="11">
        <v>6000000.0</v>
      </c>
      <c r="H452" s="31">
        <v>200000.0</v>
      </c>
      <c r="I452" s="34" t="s">
        <v>624</v>
      </c>
      <c r="J452" s="11" t="s">
        <v>625</v>
      </c>
      <c r="K452" s="38">
        <f t="shared" si="46"/>
        <v>30</v>
      </c>
      <c r="L452" s="18" t="s">
        <v>1068</v>
      </c>
      <c r="M452" s="18" t="s">
        <v>1059</v>
      </c>
      <c r="N452" s="18"/>
      <c r="O452" s="18">
        <v>0.0</v>
      </c>
      <c r="P452" s="18" t="s">
        <v>112</v>
      </c>
      <c r="Q452" s="42" t="str">
        <f>iferror(VLOOKUP(A452,'Positional cal'!A:H,1,0)=A452,"FALSE")</f>
        <v>FALSE</v>
      </c>
      <c r="R452" s="43" t="b">
        <f t="shared" si="3"/>
        <v>0</v>
      </c>
      <c r="S452" s="46">
        <f>IFERROR(VLOOKUP($A452,AlgoUi!$A:$X,21,0),"NA")</f>
        <v>43320417</v>
      </c>
      <c r="T452" s="46">
        <f>IFERROR(VLOOKUP($A452,AlgoUi!$A:$X,23,0),"")</f>
        <v>44000000</v>
      </c>
      <c r="U452" s="46">
        <f>IFERROR(VLOOKUP($A452,AlgoUi!$A:$X,24,0),"")</f>
        <v>4400000000</v>
      </c>
      <c r="V452" s="42" t="str">
        <f>IFERROR(__xludf.DUMMYFUNCTION("IFERROR(VLOOKUP(I452,IMPORTRANGE(""https://docs.google.com/spreadsheets/d/17FOIUYQAjPk1pPQIlvOgqYDBqwUqgb7KWzp4DtVksBk/edit?gid=0#gid=0"",""Servers!A:S""),19,FALSE), ""Not Running"")"),"DEEPAKT")</f>
        <v>DEEPAKT</v>
      </c>
      <c r="W452" s="47" t="str">
        <f>VLOOKUP($A452,Category!$A:$E,4,0)</f>
        <v>MS</v>
      </c>
      <c r="X452" s="47" t="str">
        <f>VLOOKUP($A452,Category!$A:$E,5,0)</f>
        <v>MSR</v>
      </c>
      <c r="Y452" s="18" t="str">
        <f>VLOOKUP(A452,PAcc!$A$1:$J$27,10,0)</f>
        <v>#N/A</v>
      </c>
      <c r="Z452" s="42" t="b">
        <f t="shared" si="4"/>
        <v>0</v>
      </c>
      <c r="AA452" s="42"/>
      <c r="AB452" s="25" t="str">
        <f>VLOOKUP(A452,VlookupSheet!$A$383:$A$523,1,0)</f>
        <v>38994909</v>
      </c>
      <c r="AC452" s="87">
        <v>0.008</v>
      </c>
      <c r="AD452" s="42"/>
      <c r="AE452" s="42"/>
      <c r="AF452" s="42"/>
    </row>
    <row r="453">
      <c r="A453" s="11" t="s">
        <v>634</v>
      </c>
      <c r="B453" s="24" t="s">
        <v>2800</v>
      </c>
      <c r="C453" s="25"/>
      <c r="D453" s="11" t="s">
        <v>874</v>
      </c>
      <c r="E453" s="11">
        <f t="shared" si="54"/>
        <v>6000000</v>
      </c>
      <c r="F453" s="11" t="s">
        <v>311</v>
      </c>
      <c r="G453" s="11">
        <v>6000000.0</v>
      </c>
      <c r="H453" s="31">
        <v>200000.0</v>
      </c>
      <c r="I453" s="34" t="s">
        <v>624</v>
      </c>
      <c r="J453" s="11" t="s">
        <v>625</v>
      </c>
      <c r="K453" s="38">
        <f t="shared" si="46"/>
        <v>30</v>
      </c>
      <c r="L453" s="18" t="s">
        <v>1068</v>
      </c>
      <c r="M453" s="18" t="s">
        <v>1059</v>
      </c>
      <c r="N453" s="18"/>
      <c r="O453" s="18">
        <v>0.0</v>
      </c>
      <c r="P453" s="18" t="s">
        <v>112</v>
      </c>
      <c r="Q453" s="42" t="str">
        <f>iferror(VLOOKUP(A453,'Positional cal'!A:H,1,0)=A453,"FALSE")</f>
        <v>FALSE</v>
      </c>
      <c r="R453" s="43" t="b">
        <f t="shared" si="3"/>
        <v>0</v>
      </c>
      <c r="S453" s="46">
        <f>IFERROR(VLOOKUP($A453,AlgoUi!$A:$X,21,0),"NA")</f>
        <v>24830950</v>
      </c>
      <c r="T453" s="46">
        <f>IFERROR(VLOOKUP($A453,AlgoUi!$A:$X,23,0),"")</f>
        <v>24000000</v>
      </c>
      <c r="U453" s="46">
        <f>IFERROR(VLOOKUP($A453,AlgoUi!$A:$X,24,0),"")</f>
        <v>2400000000</v>
      </c>
      <c r="V453" s="42" t="str">
        <f>IFERROR(__xludf.DUMMYFUNCTION("IFERROR(VLOOKUP(I453,IMPORTRANGE(""https://docs.google.com/spreadsheets/d/17FOIUYQAjPk1pPQIlvOgqYDBqwUqgb7KWzp4DtVksBk/edit?gid=0#gid=0"",""Servers!A:S""),19,FALSE), ""Not Running"")"),"DEEPAKT")</f>
        <v>DEEPAKT</v>
      </c>
      <c r="W453" s="47" t="str">
        <f>VLOOKUP($A453,Category!$A:$E,4,0)</f>
        <v>MS</v>
      </c>
      <c r="X453" s="47" t="str">
        <f>VLOOKUP($A453,Category!$A:$E,5,0)</f>
        <v>MSR</v>
      </c>
      <c r="Y453" s="18" t="str">
        <f>VLOOKUP(A453,PAcc!$A$1:$J$27,10,0)</f>
        <v>#N/A</v>
      </c>
      <c r="Z453" s="42" t="b">
        <f t="shared" si="4"/>
        <v>0</v>
      </c>
      <c r="AA453" s="42"/>
      <c r="AB453" s="25" t="str">
        <f>VLOOKUP(A453,VlookupSheet!$A$383:$A$523,1,0)</f>
        <v>MSIDDHAR</v>
      </c>
      <c r="AC453" s="87">
        <v>0.008</v>
      </c>
      <c r="AD453" s="42"/>
      <c r="AE453" s="42"/>
      <c r="AF453" s="42"/>
    </row>
    <row r="454">
      <c r="A454" s="11" t="s">
        <v>637</v>
      </c>
      <c r="B454" s="24" t="s">
        <v>3204</v>
      </c>
      <c r="C454" s="25"/>
      <c r="D454" s="11" t="s">
        <v>874</v>
      </c>
      <c r="E454" s="11">
        <f t="shared" si="54"/>
        <v>18000000</v>
      </c>
      <c r="F454" s="11" t="s">
        <v>297</v>
      </c>
      <c r="G454" s="11">
        <v>1.8E7</v>
      </c>
      <c r="H454" s="31">
        <v>600000.0</v>
      </c>
      <c r="I454" s="34" t="s">
        <v>624</v>
      </c>
      <c r="J454" s="11" t="s">
        <v>625</v>
      </c>
      <c r="K454" s="38">
        <f t="shared" si="46"/>
        <v>30</v>
      </c>
      <c r="L454" s="18" t="s">
        <v>1068</v>
      </c>
      <c r="M454" s="18" t="s">
        <v>1059</v>
      </c>
      <c r="N454" s="18"/>
      <c r="O454" s="18">
        <v>0.0</v>
      </c>
      <c r="P454" s="18" t="s">
        <v>112</v>
      </c>
      <c r="Q454" s="42" t="str">
        <f>iferror(VLOOKUP(A454,'Positional cal'!A:H,1,0)=A454,"FALSE")</f>
        <v>FALSE</v>
      </c>
      <c r="R454" s="43" t="b">
        <f t="shared" si="3"/>
        <v>0</v>
      </c>
      <c r="S454" s="46">
        <f>IFERROR(VLOOKUP($A454,AlgoUi!$A:$X,21,0),"NA")</f>
        <v>60000000</v>
      </c>
      <c r="T454" s="46">
        <f>IFERROR(VLOOKUP($A454,AlgoUi!$A:$X,23,0),"")</f>
        <v>60000000</v>
      </c>
      <c r="U454" s="46">
        <f>IFERROR(VLOOKUP($A454,AlgoUi!$A:$X,24,0),"")</f>
        <v>6000000000</v>
      </c>
      <c r="V454" s="42" t="str">
        <f>IFERROR(__xludf.DUMMYFUNCTION("IFERROR(VLOOKUP(I454,IMPORTRANGE(""https://docs.google.com/spreadsheets/d/17FOIUYQAjPk1pPQIlvOgqYDBqwUqgb7KWzp4DtVksBk/edit?gid=0#gid=0"",""Servers!A:S""),19,FALSE), ""Not Running"")"),"DEEPAKT")</f>
        <v>DEEPAKT</v>
      </c>
      <c r="W454" s="47" t="str">
        <f>VLOOKUP($A454,Category!$A:$E,4,0)</f>
        <v>CC</v>
      </c>
      <c r="X454" s="47" t="str">
        <f>VLOOKUP($A454,Category!$A:$E,5,0)</f>
        <v>CCG</v>
      </c>
      <c r="Y454" s="18" t="str">
        <f>VLOOKUP(A454,PAcc!$A$1:$J$27,10,0)</f>
        <v>#N/A</v>
      </c>
      <c r="Z454" s="42" t="b">
        <f t="shared" si="4"/>
        <v>1</v>
      </c>
      <c r="AA454" s="50">
        <v>1.0</v>
      </c>
      <c r="AB454" s="25" t="str">
        <f>VLOOKUP(A454,VlookupSheet!$A$383:$A$523,1,0)</f>
        <v>GSPL23</v>
      </c>
      <c r="AC454" s="87">
        <v>0.008</v>
      </c>
      <c r="AD454" s="42"/>
      <c r="AE454" s="42"/>
      <c r="AF454" s="42"/>
    </row>
    <row r="455">
      <c r="A455" s="11" t="s">
        <v>639</v>
      </c>
      <c r="B455" s="24" t="s">
        <v>1270</v>
      </c>
      <c r="C455" s="25" t="s">
        <v>77</v>
      </c>
      <c r="D455" s="11" t="s">
        <v>874</v>
      </c>
      <c r="E455" s="11">
        <f t="shared" si="54"/>
        <v>6000000</v>
      </c>
      <c r="F455" s="11" t="s">
        <v>311</v>
      </c>
      <c r="G455" s="11">
        <v>6000000.0</v>
      </c>
      <c r="H455" s="31">
        <v>200000.0</v>
      </c>
      <c r="I455" s="34" t="s">
        <v>624</v>
      </c>
      <c r="J455" s="11" t="s">
        <v>625</v>
      </c>
      <c r="K455" s="38">
        <f t="shared" si="46"/>
        <v>30</v>
      </c>
      <c r="L455" s="18" t="s">
        <v>1068</v>
      </c>
      <c r="M455" s="18" t="s">
        <v>1059</v>
      </c>
      <c r="N455" s="18"/>
      <c r="O455" s="18">
        <v>0.0</v>
      </c>
      <c r="P455" s="18" t="s">
        <v>112</v>
      </c>
      <c r="Q455" s="42" t="str">
        <f>iferror(VLOOKUP(A455,'Positional cal'!A:H,1,0)=A455,"FALSE")</f>
        <v>FALSE</v>
      </c>
      <c r="R455" s="43" t="b">
        <f t="shared" si="3"/>
        <v>0</v>
      </c>
      <c r="S455" s="46">
        <f>IFERROR(VLOOKUP($A455,AlgoUi!$A:$X,21,0),"NA")</f>
        <v>23304828</v>
      </c>
      <c r="T455" s="46">
        <f>IFERROR(VLOOKUP($A455,AlgoUi!$A:$X,23,0),"")</f>
        <v>24000000</v>
      </c>
      <c r="U455" s="46">
        <f>IFERROR(VLOOKUP($A455,AlgoUi!$A:$X,24,0),"")</f>
        <v>2400000000</v>
      </c>
      <c r="V455" s="42" t="str">
        <f>IFERROR(__xludf.DUMMYFUNCTION("IFERROR(VLOOKUP(I455,IMPORTRANGE(""https://docs.google.com/spreadsheets/d/17FOIUYQAjPk1pPQIlvOgqYDBqwUqgb7KWzp4DtVksBk/edit?gid=0#gid=0"",""Servers!A:S""),19,FALSE), ""Not Running"")"),"DEEPAKT")</f>
        <v>DEEPAKT</v>
      </c>
      <c r="W455" s="47" t="str">
        <f>VLOOKUP($A455,Category!$A:$E,4,0)</f>
        <v>CC</v>
      </c>
      <c r="X455" s="47" t="str">
        <f>VLOOKUP($A455,Category!$A:$E,5,0)</f>
        <v>CCG</v>
      </c>
      <c r="Y455" s="18" t="str">
        <f>VLOOKUP(A455,PAcc!$A$1:$J$27,10,0)</f>
        <v>#N/A</v>
      </c>
      <c r="Z455" s="42" t="b">
        <f t="shared" si="4"/>
        <v>0</v>
      </c>
      <c r="AA455" s="50">
        <v>1.0</v>
      </c>
      <c r="AB455" s="25" t="str">
        <f>VLOOKUP(A455,VlookupSheet!$A$383:$A$523,1,0)</f>
        <v>AVSRKHUF</v>
      </c>
      <c r="AC455" s="87">
        <v>0.008</v>
      </c>
      <c r="AD455" s="42"/>
      <c r="AE455" s="42"/>
      <c r="AF455" s="42"/>
    </row>
    <row r="456">
      <c r="A456" s="11" t="s">
        <v>640</v>
      </c>
      <c r="B456" s="24" t="s">
        <v>2053</v>
      </c>
      <c r="C456" s="25"/>
      <c r="D456" s="11" t="s">
        <v>874</v>
      </c>
      <c r="E456" s="11">
        <f t="shared" si="54"/>
        <v>6000000</v>
      </c>
      <c r="F456" s="11" t="s">
        <v>311</v>
      </c>
      <c r="G456" s="11">
        <v>6000000.0</v>
      </c>
      <c r="H456" s="31">
        <v>200000.0</v>
      </c>
      <c r="I456" s="34" t="s">
        <v>624</v>
      </c>
      <c r="J456" s="11" t="s">
        <v>625</v>
      </c>
      <c r="K456" s="38">
        <f t="shared" si="46"/>
        <v>30</v>
      </c>
      <c r="L456" s="18" t="s">
        <v>1068</v>
      </c>
      <c r="M456" s="18" t="s">
        <v>1059</v>
      </c>
      <c r="N456" s="18"/>
      <c r="O456" s="18">
        <v>0.0</v>
      </c>
      <c r="P456" s="18" t="s">
        <v>112</v>
      </c>
      <c r="Q456" s="42" t="str">
        <f>iferror(VLOOKUP(A456,'Positional cal'!A:H,1,0)=A456,"FALSE")</f>
        <v>FALSE</v>
      </c>
      <c r="R456" s="43" t="b">
        <f t="shared" si="3"/>
        <v>0</v>
      </c>
      <c r="S456" s="46">
        <f>IFERROR(VLOOKUP($A456,AlgoUi!$A:$X,21,0),"NA")</f>
        <v>46199540</v>
      </c>
      <c r="T456" s="46">
        <f>IFERROR(VLOOKUP($A456,AlgoUi!$A:$X,23,0),"")</f>
        <v>46000000</v>
      </c>
      <c r="U456" s="46">
        <f>IFERROR(VLOOKUP($A456,AlgoUi!$A:$X,24,0),"")</f>
        <v>4600000000</v>
      </c>
      <c r="V456" s="42" t="str">
        <f>IFERROR(__xludf.DUMMYFUNCTION("IFERROR(VLOOKUP(I456,IMPORTRANGE(""https://docs.google.com/spreadsheets/d/17FOIUYQAjPk1pPQIlvOgqYDBqwUqgb7KWzp4DtVksBk/edit?gid=0#gid=0"",""Servers!A:S""),19,FALSE), ""Not Running"")"),"DEEPAKT")</f>
        <v>DEEPAKT</v>
      </c>
      <c r="W456" s="47" t="str">
        <f>VLOOKUP($A456,Category!$A:$E,4,0)</f>
        <v>MS</v>
      </c>
      <c r="X456" s="47" t="str">
        <f>VLOOKUP($A456,Category!$A:$E,5,0)</f>
        <v>MSP</v>
      </c>
      <c r="Y456" s="18" t="str">
        <f>VLOOKUP(A456,PAcc!$A$1:$J$27,10,0)</f>
        <v>#N/A</v>
      </c>
      <c r="Z456" s="42" t="b">
        <f t="shared" si="4"/>
        <v>0</v>
      </c>
      <c r="AA456" s="42"/>
      <c r="AB456" s="25" t="str">
        <f>VLOOKUP(A456,VlookupSheet!$A$383:$A$523,1,0)</f>
        <v>POORNI44</v>
      </c>
      <c r="AC456" s="87">
        <v>0.008</v>
      </c>
      <c r="AD456" s="42"/>
      <c r="AE456" s="42"/>
      <c r="AF456" s="42"/>
    </row>
    <row r="457">
      <c r="A457" s="11" t="s">
        <v>641</v>
      </c>
      <c r="B457" s="24" t="s">
        <v>2219</v>
      </c>
      <c r="C457" s="25"/>
      <c r="D457" s="11" t="s">
        <v>874</v>
      </c>
      <c r="E457" s="11">
        <f t="shared" si="54"/>
        <v>6000000</v>
      </c>
      <c r="F457" s="11" t="s">
        <v>311</v>
      </c>
      <c r="G457" s="11">
        <v>6000000.0</v>
      </c>
      <c r="H457" s="31">
        <v>200000.0</v>
      </c>
      <c r="I457" s="34" t="s">
        <v>624</v>
      </c>
      <c r="J457" s="11" t="s">
        <v>625</v>
      </c>
      <c r="K457" s="38">
        <f t="shared" si="46"/>
        <v>30</v>
      </c>
      <c r="L457" s="18" t="s">
        <v>1068</v>
      </c>
      <c r="M457" s="18" t="s">
        <v>1059</v>
      </c>
      <c r="N457" s="18"/>
      <c r="O457" s="18">
        <v>0.0</v>
      </c>
      <c r="P457" s="18" t="s">
        <v>112</v>
      </c>
      <c r="Q457" s="42" t="str">
        <f>iferror(VLOOKUP(A457,'Positional cal'!A:H,1,0)=A457,"FALSE")</f>
        <v>FALSE</v>
      </c>
      <c r="R457" s="43" t="b">
        <f t="shared" si="3"/>
        <v>0</v>
      </c>
      <c r="S457" s="46">
        <f>IFERROR(VLOOKUP($A457,AlgoUi!$A:$X,21,0),"NA")</f>
        <v>32649395</v>
      </c>
      <c r="T457" s="46">
        <f>IFERROR(VLOOKUP($A457,AlgoUi!$A:$X,23,0),"")</f>
        <v>32000000</v>
      </c>
      <c r="U457" s="46">
        <f>IFERROR(VLOOKUP($A457,AlgoUi!$A:$X,24,0),"")</f>
        <v>3200000000</v>
      </c>
      <c r="V457" s="42" t="str">
        <f>IFERROR(__xludf.DUMMYFUNCTION("IFERROR(VLOOKUP(I457,IMPORTRANGE(""https://docs.google.com/spreadsheets/d/17FOIUYQAjPk1pPQIlvOgqYDBqwUqgb7KWzp4DtVksBk/edit?gid=0#gid=0"",""Servers!A:S""),19,FALSE), ""Not Running"")"),"DEEPAKT")</f>
        <v>DEEPAKT</v>
      </c>
      <c r="W457" s="47" t="str">
        <f>VLOOKUP($A457,Category!$A:$E,4,0)</f>
        <v>MS</v>
      </c>
      <c r="X457" s="47" t="str">
        <f>VLOOKUP($A457,Category!$A:$E,5,0)</f>
        <v>MSP</v>
      </c>
      <c r="Y457" s="18" t="str">
        <f>VLOOKUP(A457,PAcc!$A$1:$J$27,10,0)</f>
        <v>#N/A</v>
      </c>
      <c r="Z457" s="42" t="b">
        <f t="shared" si="4"/>
        <v>0</v>
      </c>
      <c r="AA457" s="42"/>
      <c r="AB457" s="25" t="str">
        <f>VLOOKUP(A457,VlookupSheet!$A$383:$A$523,1,0)</f>
        <v>SWAASTIK</v>
      </c>
      <c r="AC457" s="87">
        <v>0.008</v>
      </c>
      <c r="AD457" s="42"/>
      <c r="AE457" s="42"/>
      <c r="AF457" s="42"/>
    </row>
    <row r="458">
      <c r="A458" s="11" t="s">
        <v>642</v>
      </c>
      <c r="B458" s="24" t="s">
        <v>2737</v>
      </c>
      <c r="C458" s="25"/>
      <c r="D458" s="11" t="s">
        <v>874</v>
      </c>
      <c r="E458" s="11">
        <f t="shared" si="54"/>
        <v>6000000</v>
      </c>
      <c r="F458" s="11" t="s">
        <v>311</v>
      </c>
      <c r="G458" s="11">
        <v>6000000.0</v>
      </c>
      <c r="H458" s="31">
        <v>200000.0</v>
      </c>
      <c r="I458" s="34" t="s">
        <v>624</v>
      </c>
      <c r="J458" s="11" t="s">
        <v>625</v>
      </c>
      <c r="K458" s="38">
        <f t="shared" si="46"/>
        <v>30</v>
      </c>
      <c r="L458" s="18" t="s">
        <v>1068</v>
      </c>
      <c r="M458" s="18" t="s">
        <v>1059</v>
      </c>
      <c r="N458" s="18"/>
      <c r="O458" s="18">
        <v>0.0</v>
      </c>
      <c r="P458" s="18" t="s">
        <v>112</v>
      </c>
      <c r="Q458" s="42" t="str">
        <f>iferror(VLOOKUP(A458,'Positional cal'!A:H,1,0)=A458,"FALSE")</f>
        <v>FALSE</v>
      </c>
      <c r="R458" s="43" t="b">
        <f t="shared" si="3"/>
        <v>0</v>
      </c>
      <c r="S458" s="46">
        <f>IFERROR(VLOOKUP($A458,AlgoUi!$A:$X,21,0),"NA")</f>
        <v>23226026</v>
      </c>
      <c r="T458" s="46">
        <f>IFERROR(VLOOKUP($A458,AlgoUi!$A:$X,23,0),"")</f>
        <v>24000000</v>
      </c>
      <c r="U458" s="46">
        <f>IFERROR(VLOOKUP($A458,AlgoUi!$A:$X,24,0),"")</f>
        <v>2400000000</v>
      </c>
      <c r="V458" s="42" t="str">
        <f>IFERROR(__xludf.DUMMYFUNCTION("IFERROR(VLOOKUP(I458,IMPORTRANGE(""https://docs.google.com/spreadsheets/d/17FOIUYQAjPk1pPQIlvOgqYDBqwUqgb7KWzp4DtVksBk/edit?gid=0#gid=0"",""Servers!A:S""),19,FALSE), ""Not Running"")"),"DEEPAKT")</f>
        <v>DEEPAKT</v>
      </c>
      <c r="W458" s="47" t="str">
        <f>VLOOKUP($A458,Category!$A:$E,4,0)</f>
        <v>MS</v>
      </c>
      <c r="X458" s="47" t="str">
        <f>VLOOKUP($A458,Category!$A:$E,5,0)</f>
        <v>MSR</v>
      </c>
      <c r="Y458" s="18" t="str">
        <f>VLOOKUP(A458,PAcc!$A$1:$J$27,10,0)</f>
        <v>#N/A</v>
      </c>
      <c r="Z458" s="42" t="b">
        <f t="shared" si="4"/>
        <v>0</v>
      </c>
      <c r="AA458" s="42"/>
      <c r="AB458" s="25" t="str">
        <f>VLOOKUP(A458,VlookupSheet!$A$383:$A$523,1,0)</f>
        <v>APCTEX10</v>
      </c>
      <c r="AC458" s="87">
        <v>0.008</v>
      </c>
      <c r="AD458" s="42"/>
      <c r="AE458" s="42"/>
      <c r="AF458" s="42"/>
    </row>
    <row r="459">
      <c r="A459" s="11" t="s">
        <v>645</v>
      </c>
      <c r="B459" s="24" t="s">
        <v>1655</v>
      </c>
      <c r="C459" s="25"/>
      <c r="D459" s="11" t="s">
        <v>874</v>
      </c>
      <c r="E459" s="11">
        <f t="shared" si="54"/>
        <v>6000000</v>
      </c>
      <c r="F459" s="11" t="s">
        <v>311</v>
      </c>
      <c r="G459" s="11">
        <v>6000000.0</v>
      </c>
      <c r="H459" s="31">
        <v>200000.0</v>
      </c>
      <c r="I459" s="34" t="s">
        <v>624</v>
      </c>
      <c r="J459" s="11" t="s">
        <v>625</v>
      </c>
      <c r="K459" s="38">
        <f t="shared" si="46"/>
        <v>30</v>
      </c>
      <c r="L459" s="18" t="s">
        <v>1068</v>
      </c>
      <c r="M459" s="18" t="s">
        <v>1059</v>
      </c>
      <c r="N459" s="18"/>
      <c r="O459" s="18">
        <v>0.0</v>
      </c>
      <c r="P459" s="18" t="s">
        <v>112</v>
      </c>
      <c r="Q459" s="42" t="str">
        <f>iferror(VLOOKUP(A459,'Positional cal'!A:H,1,0)=A459,"FALSE")</f>
        <v>FALSE</v>
      </c>
      <c r="R459" s="43" t="b">
        <f t="shared" si="3"/>
        <v>0</v>
      </c>
      <c r="S459" s="46">
        <f>IFERROR(VLOOKUP($A459,AlgoUi!$A:$X,21,0),"NA")</f>
        <v>21719977</v>
      </c>
      <c r="T459" s="46">
        <f>IFERROR(VLOOKUP($A459,AlgoUi!$A:$X,23,0),"")</f>
        <v>22000000</v>
      </c>
      <c r="U459" s="46">
        <f>IFERROR(VLOOKUP($A459,AlgoUi!$A:$X,24,0),"")</f>
        <v>2200000000</v>
      </c>
      <c r="V459" s="42" t="str">
        <f>IFERROR(__xludf.DUMMYFUNCTION("IFERROR(VLOOKUP(I459,IMPORTRANGE(""https://docs.google.com/spreadsheets/d/17FOIUYQAjPk1pPQIlvOgqYDBqwUqgb7KWzp4DtVksBk/edit?gid=0#gid=0"",""Servers!A:S""),19,FALSE), ""Not Running"")"),"DEEPAKT")</f>
        <v>DEEPAKT</v>
      </c>
      <c r="W459" s="47" t="str">
        <f>VLOOKUP($A459,Category!$A:$E,4,0)</f>
        <v>MS</v>
      </c>
      <c r="X459" s="47" t="str">
        <f>VLOOKUP($A459,Category!$A:$E,5,0)</f>
        <v>MSR</v>
      </c>
      <c r="Y459" s="18" t="str">
        <f>VLOOKUP(A459,PAcc!$A$1:$J$27,10,0)</f>
        <v>#N/A</v>
      </c>
      <c r="Z459" s="42" t="b">
        <f t="shared" si="4"/>
        <v>0</v>
      </c>
      <c r="AA459" s="42"/>
      <c r="AB459" s="25" t="str">
        <f>VLOOKUP(A459,VlookupSheet!$A$383:$A$523,1,0)</f>
        <v>ADITI758</v>
      </c>
      <c r="AC459" s="87">
        <v>0.008</v>
      </c>
      <c r="AD459" s="42"/>
      <c r="AE459" s="42"/>
      <c r="AF459" s="42"/>
    </row>
    <row r="460">
      <c r="A460" s="11" t="s">
        <v>647</v>
      </c>
      <c r="B460" s="24" t="s">
        <v>2593</v>
      </c>
      <c r="C460" s="25" t="s">
        <v>320</v>
      </c>
      <c r="D460" s="11" t="s">
        <v>874</v>
      </c>
      <c r="E460" s="11">
        <f t="shared" si="54"/>
        <v>6000000</v>
      </c>
      <c r="F460" s="11" t="s">
        <v>311</v>
      </c>
      <c r="G460" s="11">
        <v>6000000.0</v>
      </c>
      <c r="H460" s="31">
        <v>200000.0</v>
      </c>
      <c r="I460" s="34" t="s">
        <v>624</v>
      </c>
      <c r="J460" s="11" t="s">
        <v>625</v>
      </c>
      <c r="K460" s="38">
        <f t="shared" si="46"/>
        <v>30</v>
      </c>
      <c r="L460" s="18" t="s">
        <v>1068</v>
      </c>
      <c r="M460" s="18" t="s">
        <v>1059</v>
      </c>
      <c r="N460" s="18"/>
      <c r="O460" s="18">
        <v>0.0</v>
      </c>
      <c r="P460" s="18" t="s">
        <v>112</v>
      </c>
      <c r="Q460" s="42" t="str">
        <f>iferror(VLOOKUP(A460,'Positional cal'!A:H,1,0)=A460,"FALSE")</f>
        <v>FALSE</v>
      </c>
      <c r="R460" s="43" t="b">
        <f t="shared" si="3"/>
        <v>0</v>
      </c>
      <c r="S460" s="46">
        <f>IFERROR(VLOOKUP($A460,AlgoUi!$A:$X,21,0),"NA")</f>
        <v>52283921</v>
      </c>
      <c r="T460" s="46">
        <f>IFERROR(VLOOKUP($A460,AlgoUi!$A:$X,23,0),"")</f>
        <v>52000000</v>
      </c>
      <c r="U460" s="46">
        <f>IFERROR(VLOOKUP($A460,AlgoUi!$A:$X,24,0),"")</f>
        <v>5200000000</v>
      </c>
      <c r="V460" s="42" t="str">
        <f>IFERROR(__xludf.DUMMYFUNCTION("IFERROR(VLOOKUP(I460,IMPORTRANGE(""https://docs.google.com/spreadsheets/d/17FOIUYQAjPk1pPQIlvOgqYDBqwUqgb7KWzp4DtVksBk/edit?gid=0#gid=0"",""Servers!A:S""),19,FALSE), ""Not Running"")"),"DEEPAKT")</f>
        <v>DEEPAKT</v>
      </c>
      <c r="W460" s="47" t="str">
        <f>VLOOKUP($A460,Category!$A:$E,4,0)</f>
        <v>MS</v>
      </c>
      <c r="X460" s="47" t="str">
        <f>VLOOKUP($A460,Category!$A:$E,5,0)</f>
        <v>MSR</v>
      </c>
      <c r="Y460" s="18" t="str">
        <f>VLOOKUP(A460,PAcc!$A$1:$J$27,10,0)</f>
        <v>#N/A</v>
      </c>
      <c r="Z460" s="42" t="b">
        <f t="shared" si="4"/>
        <v>0</v>
      </c>
      <c r="AA460" s="42"/>
      <c r="AB460" s="25" t="str">
        <f>VLOOKUP(A460,VlookupSheet!$A$383:$A$523,1,0)</f>
        <v>MRUTVI02</v>
      </c>
      <c r="AC460" s="42"/>
      <c r="AD460" s="42"/>
      <c r="AE460" s="42"/>
      <c r="AF460" s="42"/>
    </row>
    <row r="461">
      <c r="A461" s="11" t="s">
        <v>648</v>
      </c>
      <c r="B461" s="24" t="s">
        <v>3249</v>
      </c>
      <c r="C461" s="25"/>
      <c r="D461" s="11" t="s">
        <v>874</v>
      </c>
      <c r="E461" s="11">
        <f t="shared" si="54"/>
        <v>6000000</v>
      </c>
      <c r="F461" s="11" t="s">
        <v>2397</v>
      </c>
      <c r="G461" s="11">
        <v>6000000.0</v>
      </c>
      <c r="H461" s="31">
        <v>200000.0</v>
      </c>
      <c r="I461" s="34" t="s">
        <v>624</v>
      </c>
      <c r="J461" s="11" t="s">
        <v>625</v>
      </c>
      <c r="K461" s="38">
        <f t="shared" si="46"/>
        <v>30</v>
      </c>
      <c r="L461" s="18" t="s">
        <v>1068</v>
      </c>
      <c r="M461" s="18" t="s">
        <v>1059</v>
      </c>
      <c r="N461" s="18"/>
      <c r="O461" s="18">
        <v>0.0</v>
      </c>
      <c r="P461" s="18" t="s">
        <v>112</v>
      </c>
      <c r="Q461" s="42" t="str">
        <f>iferror(VLOOKUP(A461,'Positional cal'!A:H,1,0)=A461,"FALSE")</f>
        <v>FALSE</v>
      </c>
      <c r="R461" s="43" t="b">
        <f t="shared" si="3"/>
        <v>0</v>
      </c>
      <c r="S461" s="46">
        <f>IFERROR(VLOOKUP($A461,AlgoUi!$A:$X,21,0),"NA")</f>
        <v>100000000000</v>
      </c>
      <c r="T461" s="46">
        <f>IFERROR(VLOOKUP($A461,AlgoUi!$A:$X,23,0),"")</f>
        <v>100000000000</v>
      </c>
      <c r="U461" s="46">
        <f>IFERROR(VLOOKUP($A461,AlgoUi!$A:$X,24,0),"")</f>
        <v>10000000000000</v>
      </c>
      <c r="V461" s="42" t="str">
        <f>IFERROR(__xludf.DUMMYFUNCTION("IFERROR(VLOOKUP(I461,IMPORTRANGE(""https://docs.google.com/spreadsheets/d/17FOIUYQAjPk1pPQIlvOgqYDBqwUqgb7KWzp4DtVksBk/edit?gid=0#gid=0"",""Servers!A:S""),19,FALSE), ""Not Running"")"),"DEEPAKT")</f>
        <v>DEEPAKT</v>
      </c>
      <c r="W461" s="47" t="str">
        <f>VLOOKUP($A461,Category!$A:$E,4,0)</f>
        <v>MS</v>
      </c>
      <c r="X461" s="47" t="str">
        <f>VLOOKUP($A461,Category!$A:$E,5,0)</f>
        <v>MSR</v>
      </c>
      <c r="Y461" s="18" t="str">
        <f>VLOOKUP(A461,PAcc!$A$1:$J$27,10,0)</f>
        <v>#N/A</v>
      </c>
      <c r="Z461" s="42" t="b">
        <f t="shared" si="4"/>
        <v>0</v>
      </c>
      <c r="AA461" s="42"/>
      <c r="AB461" s="42" t="str">
        <f>VLOOKUP(A461,VlookupSheet!$A$383:$A$523,1,0)</f>
        <v>#N/A</v>
      </c>
      <c r="AC461" s="50">
        <v>0.01</v>
      </c>
      <c r="AD461" s="42"/>
      <c r="AE461" s="42"/>
      <c r="AF461" s="42"/>
    </row>
    <row r="462">
      <c r="A462" s="11" t="s">
        <v>650</v>
      </c>
      <c r="B462" s="24" t="s">
        <v>1599</v>
      </c>
      <c r="C462" s="25"/>
      <c r="D462" s="11" t="s">
        <v>874</v>
      </c>
      <c r="E462" s="11">
        <f t="shared" si="54"/>
        <v>6000000</v>
      </c>
      <c r="F462" s="11" t="s">
        <v>311</v>
      </c>
      <c r="G462" s="11">
        <v>6000000.0</v>
      </c>
      <c r="H462" s="31">
        <v>200000.0</v>
      </c>
      <c r="I462" s="34" t="s">
        <v>624</v>
      </c>
      <c r="J462" s="11" t="s">
        <v>625</v>
      </c>
      <c r="K462" s="38">
        <f t="shared" si="46"/>
        <v>30</v>
      </c>
      <c r="L462" s="18" t="s">
        <v>1068</v>
      </c>
      <c r="M462" s="18" t="s">
        <v>1059</v>
      </c>
      <c r="N462" s="18"/>
      <c r="O462" s="18">
        <v>0.0</v>
      </c>
      <c r="P462" s="18" t="s">
        <v>112</v>
      </c>
      <c r="Q462" s="42" t="str">
        <f>iferror(VLOOKUP(A462,'Positional cal'!A:H,1,0)=A462,"FALSE")</f>
        <v>FALSE</v>
      </c>
      <c r="R462" s="43" t="b">
        <f t="shared" si="3"/>
        <v>0</v>
      </c>
      <c r="S462" s="46">
        <f>IFERROR(VLOOKUP($A462,AlgoUi!$A:$X,21,0),"NA")</f>
        <v>19658001</v>
      </c>
      <c r="T462" s="46">
        <f>IFERROR(VLOOKUP($A462,AlgoUi!$A:$X,23,0),"")</f>
        <v>20000000</v>
      </c>
      <c r="U462" s="46">
        <f>IFERROR(VLOOKUP($A462,AlgoUi!$A:$X,24,0),"")</f>
        <v>2000000000</v>
      </c>
      <c r="V462" s="42" t="str">
        <f>IFERROR(__xludf.DUMMYFUNCTION("IFERROR(VLOOKUP(I462,IMPORTRANGE(""https://docs.google.com/spreadsheets/d/17FOIUYQAjPk1pPQIlvOgqYDBqwUqgb7KWzp4DtVksBk/edit?gid=0#gid=0"",""Servers!A:S""),19,FALSE), ""Not Running"")"),"DEEPAKT")</f>
        <v>DEEPAKT</v>
      </c>
      <c r="W462" s="47" t="str">
        <f>VLOOKUP($A462,Category!$A:$E,4,0)</f>
        <v>MS</v>
      </c>
      <c r="X462" s="47" t="str">
        <f>VLOOKUP($A462,Category!$A:$E,5,0)</f>
        <v>MS</v>
      </c>
      <c r="Y462" s="18" t="str">
        <f>VLOOKUP(A462,PAcc!$A$1:$J$27,10,0)</f>
        <v>Overall</v>
      </c>
      <c r="Z462" s="42" t="b">
        <f t="shared" si="4"/>
        <v>1</v>
      </c>
      <c r="AA462" s="42"/>
      <c r="AB462" s="25" t="str">
        <f>VLOOKUP(A462,VlookupSheet!$A$383:$A$523,1,0)</f>
        <v>MEGASERV</v>
      </c>
      <c r="AC462" s="50">
        <v>0.01</v>
      </c>
      <c r="AD462" s="42"/>
      <c r="AE462" s="42"/>
      <c r="AF462" s="42"/>
    </row>
    <row r="463">
      <c r="A463" s="11" t="s">
        <v>653</v>
      </c>
      <c r="B463" s="24" t="s">
        <v>3366</v>
      </c>
      <c r="C463" s="25"/>
      <c r="D463" s="11" t="s">
        <v>874</v>
      </c>
      <c r="E463" s="11">
        <f t="shared" si="54"/>
        <v>18000000</v>
      </c>
      <c r="F463" s="11" t="s">
        <v>266</v>
      </c>
      <c r="G463" s="11">
        <v>1.8E7</v>
      </c>
      <c r="H463" s="31">
        <v>600000.0</v>
      </c>
      <c r="I463" s="34" t="s">
        <v>624</v>
      </c>
      <c r="J463" s="11" t="s">
        <v>625</v>
      </c>
      <c r="K463" s="38">
        <f t="shared" si="46"/>
        <v>30</v>
      </c>
      <c r="L463" s="18" t="s">
        <v>1068</v>
      </c>
      <c r="M463" s="18" t="s">
        <v>1059</v>
      </c>
      <c r="N463" s="18"/>
      <c r="O463" s="18">
        <v>0.0</v>
      </c>
      <c r="P463" s="18" t="s">
        <v>112</v>
      </c>
      <c r="Q463" s="42" t="str">
        <f>iferror(VLOOKUP(A463,'Positional cal'!A:H,1,0)=A463,"FALSE")</f>
        <v>FALSE</v>
      </c>
      <c r="R463" s="43" t="b">
        <f t="shared" si="3"/>
        <v>0</v>
      </c>
      <c r="S463" s="46">
        <f>IFERROR(VLOOKUP($A463,AlgoUi!$A:$X,21,0),"NA")</f>
        <v>1000000000</v>
      </c>
      <c r="T463" s="46">
        <f>IFERROR(VLOOKUP($A463,AlgoUi!$A:$X,23,0),"")</f>
        <v>1000000000</v>
      </c>
      <c r="U463" s="46">
        <f>IFERROR(VLOOKUP($A463,AlgoUi!$A:$X,24,0),"")</f>
        <v>100000000000</v>
      </c>
      <c r="V463" s="42" t="str">
        <f>IFERROR(__xludf.DUMMYFUNCTION("IFERROR(VLOOKUP(I463,IMPORTRANGE(""https://docs.google.com/spreadsheets/d/17FOIUYQAjPk1pPQIlvOgqYDBqwUqgb7KWzp4DtVksBk/edit?gid=0#gid=0"",""Servers!A:S""),19,FALSE), ""Not Running"")"),"DEEPAKT")</f>
        <v>DEEPAKT</v>
      </c>
      <c r="W463" s="47" t="str">
        <f>VLOOKUP($A463,Category!$A:$E,4,0)</f>
        <v>MS</v>
      </c>
      <c r="X463" s="47" t="str">
        <f>VLOOKUP($A463,Category!$A:$E,5,0)</f>
        <v>MSJ</v>
      </c>
      <c r="Y463" s="18" t="str">
        <f>VLOOKUP(A463,PAcc!$A$1:$J$27,10,0)</f>
        <v>#N/A</v>
      </c>
      <c r="Z463" s="42" t="b">
        <f t="shared" si="4"/>
        <v>0</v>
      </c>
      <c r="AA463" s="42"/>
      <c r="AB463" s="25" t="str">
        <f>VLOOKUP(A463,VlookupSheet!$A$383:$A$523,1,0)</f>
        <v>ZZJ17419</v>
      </c>
      <c r="AC463" s="50">
        <v>0.01</v>
      </c>
      <c r="AD463" s="42"/>
      <c r="AE463" s="42"/>
      <c r="AF463" s="42"/>
    </row>
    <row r="464">
      <c r="A464" s="11" t="s">
        <v>655</v>
      </c>
      <c r="B464" s="24" t="s">
        <v>2488</v>
      </c>
      <c r="C464" s="25"/>
      <c r="D464" s="11" t="s">
        <v>874</v>
      </c>
      <c r="E464" s="11">
        <f t="shared" si="54"/>
        <v>6000000</v>
      </c>
      <c r="F464" s="11" t="s">
        <v>85</v>
      </c>
      <c r="G464" s="11">
        <v>6000000.0</v>
      </c>
      <c r="H464" s="31">
        <v>200000.0</v>
      </c>
      <c r="I464" s="34" t="s">
        <v>624</v>
      </c>
      <c r="J464" s="11" t="s">
        <v>625</v>
      </c>
      <c r="K464" s="38">
        <f t="shared" si="46"/>
        <v>30</v>
      </c>
      <c r="L464" s="18" t="s">
        <v>1068</v>
      </c>
      <c r="M464" s="18" t="s">
        <v>1059</v>
      </c>
      <c r="N464" s="18"/>
      <c r="O464" s="18">
        <v>0.0</v>
      </c>
      <c r="P464" s="18" t="s">
        <v>112</v>
      </c>
      <c r="Q464" s="42" t="str">
        <f>iferror(VLOOKUP(A464,'Positional cal'!A:H,1,0)=A464,"FALSE")</f>
        <v>FALSE</v>
      </c>
      <c r="R464" s="43" t="b">
        <f t="shared" si="3"/>
        <v>0</v>
      </c>
      <c r="S464" s="46">
        <f>IFERROR(VLOOKUP($A464,AlgoUi!$A:$X,21,0),"NA")</f>
        <v>23983547</v>
      </c>
      <c r="T464" s="46">
        <f>IFERROR(VLOOKUP($A464,AlgoUi!$A:$X,23,0),"")</f>
        <v>24000000</v>
      </c>
      <c r="U464" s="46">
        <f>IFERROR(VLOOKUP($A464,AlgoUi!$A:$X,24,0),"")</f>
        <v>2400000000</v>
      </c>
      <c r="V464" s="42" t="str">
        <f>IFERROR(__xludf.DUMMYFUNCTION("IFERROR(VLOOKUP(I464,IMPORTRANGE(""https://docs.google.com/spreadsheets/d/17FOIUYQAjPk1pPQIlvOgqYDBqwUqgb7KWzp4DtVksBk/edit?gid=0#gid=0"",""Servers!A:S""),19,FALSE), ""Not Running"")"),"DEEPAKT")</f>
        <v>DEEPAKT</v>
      </c>
      <c r="W464" s="47" t="str">
        <f>VLOOKUP($A464,Category!$A:$E,4,0)</f>
        <v>CC</v>
      </c>
      <c r="X464" s="47" t="str">
        <f>VLOOKUP($A464,Category!$A:$E,5,0)</f>
        <v>PGB</v>
      </c>
      <c r="Y464" s="18" t="str">
        <f>VLOOKUP(A464,PAcc!$A$1:$J$27,10,0)</f>
        <v>GB Personal </v>
      </c>
      <c r="Z464" s="42" t="b">
        <f t="shared" si="4"/>
        <v>0</v>
      </c>
      <c r="AA464" s="50">
        <v>1.0</v>
      </c>
      <c r="AB464" s="25" t="str">
        <f>VLOOKUP(A464,VlookupSheet!$A$383:$A$523,1,0)</f>
        <v>R7RA1250</v>
      </c>
      <c r="AC464" s="50">
        <v>0.01</v>
      </c>
      <c r="AD464" s="42"/>
      <c r="AE464" s="42"/>
      <c r="AF464" s="42"/>
    </row>
    <row r="465">
      <c r="A465" s="11" t="s">
        <v>657</v>
      </c>
      <c r="B465" s="24" t="s">
        <v>2543</v>
      </c>
      <c r="C465" s="25"/>
      <c r="D465" s="11" t="s">
        <v>874</v>
      </c>
      <c r="E465" s="11">
        <f t="shared" si="54"/>
        <v>6000000</v>
      </c>
      <c r="F465" s="11" t="s">
        <v>716</v>
      </c>
      <c r="G465" s="11">
        <v>6000000.0</v>
      </c>
      <c r="H465" s="31">
        <v>200000.0</v>
      </c>
      <c r="I465" s="34" t="s">
        <v>624</v>
      </c>
      <c r="J465" s="11" t="s">
        <v>625</v>
      </c>
      <c r="K465" s="38">
        <f t="shared" si="46"/>
        <v>30</v>
      </c>
      <c r="L465" s="18" t="s">
        <v>1068</v>
      </c>
      <c r="M465" s="18" t="s">
        <v>1059</v>
      </c>
      <c r="N465" s="18"/>
      <c r="O465" s="18">
        <v>0.0</v>
      </c>
      <c r="P465" s="18" t="s">
        <v>112</v>
      </c>
      <c r="Q465" s="42" t="str">
        <f>iferror(VLOOKUP(A465,'Positional cal'!A:H,1,0)=A465,"FALSE")</f>
        <v>FALSE</v>
      </c>
      <c r="R465" s="43" t="b">
        <f t="shared" si="3"/>
        <v>0</v>
      </c>
      <c r="S465" s="46">
        <f>IFERROR(VLOOKUP($A465,AlgoUi!$A:$X,21,0),"NA")</f>
        <v>49734401</v>
      </c>
      <c r="T465" s="46">
        <f>IFERROR(VLOOKUP($A465,AlgoUi!$A:$X,23,0),"")</f>
        <v>50000000</v>
      </c>
      <c r="U465" s="46">
        <f>IFERROR(VLOOKUP($A465,AlgoUi!$A:$X,24,0),"")</f>
        <v>5000000000</v>
      </c>
      <c r="V465" s="42" t="str">
        <f>IFERROR(__xludf.DUMMYFUNCTION("IFERROR(VLOOKUP(I465,IMPORTRANGE(""https://docs.google.com/spreadsheets/d/17FOIUYQAjPk1pPQIlvOgqYDBqwUqgb7KWzp4DtVksBk/edit?gid=0#gid=0"",""Servers!A:S""),19,FALSE), ""Not Running"")"),"DEEPAKT")</f>
        <v>DEEPAKT</v>
      </c>
      <c r="W465" s="47" t="str">
        <f>VLOOKUP($A465,Category!$A:$E,4,0)</f>
        <v>MS</v>
      </c>
      <c r="X465" s="47" t="str">
        <f>VLOOKUP($A465,Category!$A:$E,5,0)</f>
        <v>MSS</v>
      </c>
      <c r="Y465" s="18" t="str">
        <f>VLOOKUP(A465,PAcc!$A$1:$J$27,10,0)</f>
        <v>#N/A</v>
      </c>
      <c r="Z465" s="42" t="b">
        <f t="shared" si="4"/>
        <v>0</v>
      </c>
      <c r="AA465" s="42"/>
      <c r="AB465" s="25" t="str">
        <f>VLOOKUP(A465,VlookupSheet!$A$383:$A$523,1,0)</f>
        <v>GKOHNP242</v>
      </c>
      <c r="AC465" s="50">
        <v>0.01</v>
      </c>
      <c r="AD465" s="42"/>
      <c r="AE465" s="42"/>
      <c r="AF465" s="42"/>
    </row>
    <row r="466">
      <c r="A466" s="11" t="s">
        <v>2530</v>
      </c>
      <c r="B466" s="24" t="s">
        <v>3464</v>
      </c>
      <c r="C466" s="25"/>
      <c r="D466" s="11" t="s">
        <v>874</v>
      </c>
      <c r="E466" s="11">
        <f t="shared" si="54"/>
        <v>6000000</v>
      </c>
      <c r="F466" s="11" t="s">
        <v>1204</v>
      </c>
      <c r="G466" s="11">
        <v>6000000.0</v>
      </c>
      <c r="H466" s="31">
        <v>200000.0</v>
      </c>
      <c r="I466" s="34" t="s">
        <v>624</v>
      </c>
      <c r="J466" s="11" t="s">
        <v>625</v>
      </c>
      <c r="K466" s="38">
        <f t="shared" si="46"/>
        <v>30</v>
      </c>
      <c r="L466" s="18" t="s">
        <v>1068</v>
      </c>
      <c r="M466" s="18" t="s">
        <v>1059</v>
      </c>
      <c r="N466" s="18"/>
      <c r="O466" s="18">
        <v>0.0</v>
      </c>
      <c r="P466" s="18" t="s">
        <v>112</v>
      </c>
      <c r="Q466" s="42" t="str">
        <f>iferror(VLOOKUP(A466,'Positional cal'!A:H,1,0)=A466,"FALSE")</f>
        <v>FALSE</v>
      </c>
      <c r="R466" s="43" t="b">
        <f t="shared" si="3"/>
        <v>0</v>
      </c>
      <c r="S466" s="46">
        <f>IFERROR(VLOOKUP($A466,AlgoUi!$A:$X,21,0),"NA")</f>
        <v>20000000</v>
      </c>
      <c r="T466" s="46">
        <f>IFERROR(VLOOKUP($A466,AlgoUi!$A:$X,23,0),"")</f>
        <v>20000000</v>
      </c>
      <c r="U466" s="46">
        <f>IFERROR(VLOOKUP($A466,AlgoUi!$A:$X,24,0),"")</f>
        <v>2000000000</v>
      </c>
      <c r="V466" s="42" t="str">
        <f>IFERROR(__xludf.DUMMYFUNCTION("IFERROR(VLOOKUP(I466,IMPORTRANGE(""https://docs.google.com/spreadsheets/d/17FOIUYQAjPk1pPQIlvOgqYDBqwUqgb7KWzp4DtVksBk/edit?gid=0#gid=0"",""Servers!A:S""),19,FALSE), ""Not Running"")"),"DEEPAKT")</f>
        <v>DEEPAKT</v>
      </c>
      <c r="W466" s="47" t="str">
        <f>VLOOKUP($A466,Category!$A:$E,4,0)</f>
        <v>MS</v>
      </c>
      <c r="X466" s="47" t="str">
        <f>VLOOKUP($A466,Category!$A:$E,5,0)</f>
        <v>MSR</v>
      </c>
      <c r="Y466" s="18" t="str">
        <f>VLOOKUP(A466,PAcc!$A$1:$J$27,10,0)</f>
        <v>#N/A</v>
      </c>
      <c r="Z466" s="42" t="b">
        <f t="shared" si="4"/>
        <v>1</v>
      </c>
      <c r="AA466" s="42"/>
      <c r="AB466" s="25" t="str">
        <f>VLOOKUP(A466,VlookupSheet!$A$383:$A$523,1,0)</f>
        <v>51039K</v>
      </c>
      <c r="AC466" s="50">
        <v>0.01</v>
      </c>
      <c r="AD466" s="42"/>
      <c r="AE466" s="42"/>
      <c r="AF466" s="42"/>
    </row>
    <row r="467">
      <c r="A467" s="11" t="s">
        <v>375</v>
      </c>
      <c r="B467" s="24" t="s">
        <v>1559</v>
      </c>
      <c r="C467" s="25"/>
      <c r="D467" s="11" t="s">
        <v>874</v>
      </c>
      <c r="E467" s="11">
        <f t="shared" si="54"/>
        <v>6000000</v>
      </c>
      <c r="F467" s="11" t="s">
        <v>311</v>
      </c>
      <c r="G467" s="11">
        <v>6000000.0</v>
      </c>
      <c r="H467" s="31">
        <v>200000.0</v>
      </c>
      <c r="I467" s="34" t="s">
        <v>624</v>
      </c>
      <c r="J467" s="11" t="s">
        <v>625</v>
      </c>
      <c r="K467" s="38">
        <f t="shared" si="46"/>
        <v>30</v>
      </c>
      <c r="L467" s="18" t="s">
        <v>1068</v>
      </c>
      <c r="M467" s="18" t="s">
        <v>1059</v>
      </c>
      <c r="N467" s="18"/>
      <c r="O467" s="18">
        <v>0.0</v>
      </c>
      <c r="P467" s="18" t="s">
        <v>112</v>
      </c>
      <c r="Q467" s="42" t="str">
        <f>iferror(VLOOKUP(A467,'Positional cal'!A:H,1,0)=A467,"FALSE")</f>
        <v>FALSE</v>
      </c>
      <c r="R467" s="43" t="b">
        <f t="shared" si="3"/>
        <v>0</v>
      </c>
      <c r="S467" s="46">
        <f>IFERROR(VLOOKUP($A467,AlgoUi!$A:$X,21,0),"NA")</f>
        <v>21471347</v>
      </c>
      <c r="T467" s="46">
        <f>IFERROR(VLOOKUP($A467,AlgoUi!$A:$X,23,0),"")</f>
        <v>22000000</v>
      </c>
      <c r="U467" s="46">
        <f>IFERROR(VLOOKUP($A467,AlgoUi!$A:$X,24,0),"")</f>
        <v>2200000000</v>
      </c>
      <c r="V467" s="42" t="str">
        <f>IFERROR(__xludf.DUMMYFUNCTION("IFERROR(VLOOKUP(I467,IMPORTRANGE(""https://docs.google.com/spreadsheets/d/17FOIUYQAjPk1pPQIlvOgqYDBqwUqgb7KWzp4DtVksBk/edit?gid=0#gid=0"",""Servers!A:S""),19,FALSE), ""Not Running"")"),"DEEPAKT")</f>
        <v>DEEPAKT</v>
      </c>
      <c r="W467" s="47" t="str">
        <f>VLOOKUP($A467,Category!$A:$E,4,0)</f>
        <v>CC</v>
      </c>
      <c r="X467" s="47" t="str">
        <f>VLOOKUP($A467,Category!$A:$E,5,0)</f>
        <v>CCG</v>
      </c>
      <c r="Y467" s="18" t="str">
        <f>VLOOKUP(A467,PAcc!$A$1:$J$27,10,0)</f>
        <v>#N/A</v>
      </c>
      <c r="Z467" s="42" t="b">
        <f t="shared" si="4"/>
        <v>0</v>
      </c>
      <c r="AA467" s="50">
        <v>1.0</v>
      </c>
      <c r="AB467" s="25" t="str">
        <f>VLOOKUP(A467,VlookupSheet!$A$383:$A$523,1,0)</f>
        <v>VBANSALH</v>
      </c>
      <c r="AC467" s="50">
        <v>0.01</v>
      </c>
      <c r="AD467" s="42"/>
      <c r="AE467" s="42"/>
      <c r="AF467" s="42"/>
    </row>
    <row r="468">
      <c r="A468" s="11" t="s">
        <v>662</v>
      </c>
      <c r="B468" s="24" t="s">
        <v>2263</v>
      </c>
      <c r="C468" s="25"/>
      <c r="D468" s="11" t="s">
        <v>874</v>
      </c>
      <c r="E468" s="11">
        <f t="shared" si="54"/>
        <v>6000000</v>
      </c>
      <c r="F468" s="11" t="s">
        <v>311</v>
      </c>
      <c r="G468" s="11">
        <v>6000000.0</v>
      </c>
      <c r="H468" s="31">
        <v>200000.0</v>
      </c>
      <c r="I468" s="34" t="s">
        <v>624</v>
      </c>
      <c r="J468" s="11" t="s">
        <v>625</v>
      </c>
      <c r="K468" s="38">
        <f t="shared" si="46"/>
        <v>30</v>
      </c>
      <c r="L468" s="18" t="s">
        <v>1068</v>
      </c>
      <c r="M468" s="18" t="s">
        <v>1059</v>
      </c>
      <c r="N468" s="18"/>
      <c r="O468" s="18">
        <v>0.0</v>
      </c>
      <c r="P468" s="18">
        <v>19.0</v>
      </c>
      <c r="Q468" s="42" t="str">
        <f>iferror(VLOOKUP(A468,'Positional cal'!A:H,1,0)=A468,"FALSE")</f>
        <v>FALSE</v>
      </c>
      <c r="R468" s="43" t="b">
        <f t="shared" si="3"/>
        <v>0</v>
      </c>
      <c r="S468" s="46">
        <f>IFERROR(VLOOKUP($A468,AlgoUi!$A:$X,21,0),"NA")</f>
        <v>21650241</v>
      </c>
      <c r="T468" s="46">
        <f>IFERROR(VLOOKUP($A468,AlgoUi!$A:$X,23,0),"")</f>
        <v>22000000</v>
      </c>
      <c r="U468" s="46">
        <f>IFERROR(VLOOKUP($A468,AlgoUi!$A:$X,24,0),"")</f>
        <v>2200000000</v>
      </c>
      <c r="V468" s="42" t="str">
        <f>IFERROR(__xludf.DUMMYFUNCTION("IFERROR(VLOOKUP(I468,IMPORTRANGE(""https://docs.google.com/spreadsheets/d/17FOIUYQAjPk1pPQIlvOgqYDBqwUqgb7KWzp4DtVksBk/edit?gid=0#gid=0"",""Servers!A:S""),19,FALSE), ""Not Running"")"),"DEEPAKT")</f>
        <v>DEEPAKT</v>
      </c>
      <c r="W468" s="47" t="str">
        <f>VLOOKUP($A468,Category!$A:$E,4,0)</f>
        <v>MS</v>
      </c>
      <c r="X468" s="47" t="str">
        <f>VLOOKUP($A468,Category!$A:$E,5,0)</f>
        <v>MSR</v>
      </c>
      <c r="Y468" s="18" t="str">
        <f>VLOOKUP(A468,PAcc!$A$1:$J$27,10,0)</f>
        <v>#N/A</v>
      </c>
      <c r="Z468" s="42" t="b">
        <f t="shared" si="4"/>
        <v>0</v>
      </c>
      <c r="AA468" s="42"/>
      <c r="AB468" s="25" t="str">
        <f>VLOOKUP(A468,VlookupSheet!$A$383:$A$523,1,0)</f>
        <v>MJITEND1</v>
      </c>
      <c r="AC468" s="50">
        <v>0.01</v>
      </c>
      <c r="AD468" s="30"/>
      <c r="AE468" s="30"/>
      <c r="AF468" s="30"/>
    </row>
    <row r="469">
      <c r="A469" s="11" t="s">
        <v>2869</v>
      </c>
      <c r="B469" s="24" t="s">
        <v>2871</v>
      </c>
      <c r="C469" s="25"/>
      <c r="D469" s="11" t="s">
        <v>874</v>
      </c>
      <c r="E469" s="11">
        <f t="shared" si="54"/>
        <v>6000000</v>
      </c>
      <c r="F469" s="11" t="s">
        <v>232</v>
      </c>
      <c r="G469" s="11">
        <v>6000000.0</v>
      </c>
      <c r="H469" s="31">
        <v>200000.0</v>
      </c>
      <c r="I469" s="34" t="s">
        <v>624</v>
      </c>
      <c r="J469" s="11" t="s">
        <v>625</v>
      </c>
      <c r="K469" s="38">
        <f t="shared" si="46"/>
        <v>30</v>
      </c>
      <c r="L469" s="18" t="s">
        <v>1068</v>
      </c>
      <c r="M469" s="18" t="s">
        <v>1059</v>
      </c>
      <c r="N469" s="18"/>
      <c r="O469" s="18">
        <v>0.0</v>
      </c>
      <c r="P469" s="18" t="s">
        <v>112</v>
      </c>
      <c r="Q469" s="42" t="str">
        <f>iferror(VLOOKUP(A469,'Positional cal'!A:H,1,0)=A469,"FALSE")</f>
        <v>FALSE</v>
      </c>
      <c r="R469" s="43" t="b">
        <f t="shared" si="3"/>
        <v>0</v>
      </c>
      <c r="S469" s="46">
        <f>IFERROR(VLOOKUP($A469,AlgoUi!$A:$X,21,0),"NA")</f>
        <v>22888565</v>
      </c>
      <c r="T469" s="46">
        <f>IFERROR(VLOOKUP($A469,AlgoUi!$A:$X,23,0),"")</f>
        <v>22000000</v>
      </c>
      <c r="U469" s="46">
        <f>IFERROR(VLOOKUP($A469,AlgoUi!$A:$X,24,0),"")</f>
        <v>2200000000</v>
      </c>
      <c r="V469" s="42" t="str">
        <f>IFERROR(__xludf.DUMMYFUNCTION("IFERROR(VLOOKUP(I469,IMPORTRANGE(""https://docs.google.com/spreadsheets/d/17FOIUYQAjPk1pPQIlvOgqYDBqwUqgb7KWzp4DtVksBk/edit?gid=0#gid=0"",""Servers!A:S""),19,FALSE), ""Not Running"")"),"DEEPAKT")</f>
        <v>DEEPAKT</v>
      </c>
      <c r="W469" s="47" t="str">
        <f>VLOOKUP($A469,Category!$A:$E,4,0)</f>
        <v>MS</v>
      </c>
      <c r="X469" s="47" t="str">
        <f>VLOOKUP($A469,Category!$A:$E,5,0)</f>
        <v>MSR</v>
      </c>
      <c r="Y469" s="18" t="str">
        <f>VLOOKUP(A469,PAcc!$A$1:$J$27,10,0)</f>
        <v>#N/A</v>
      </c>
      <c r="Z469" s="42" t="b">
        <f t="shared" si="4"/>
        <v>0</v>
      </c>
      <c r="AA469" s="42"/>
      <c r="AB469" s="25" t="str">
        <f>VLOOKUP(A469,VlookupSheet!$A$383:$A$523,1,0)</f>
        <v>7RIK2062</v>
      </c>
      <c r="AC469" s="50">
        <v>0.01</v>
      </c>
      <c r="AD469" s="42"/>
      <c r="AE469" s="42"/>
      <c r="AF469" s="42"/>
    </row>
    <row r="470">
      <c r="A470" s="11" t="s">
        <v>1571</v>
      </c>
      <c r="B470" s="24" t="s">
        <v>2353</v>
      </c>
      <c r="C470" s="25"/>
      <c r="D470" s="11" t="s">
        <v>874</v>
      </c>
      <c r="E470" s="11">
        <f t="shared" si="54"/>
        <v>6000000</v>
      </c>
      <c r="F470" s="11" t="s">
        <v>232</v>
      </c>
      <c r="G470" s="11">
        <v>6000000.0</v>
      </c>
      <c r="H470" s="31">
        <v>200000.0</v>
      </c>
      <c r="I470" s="34" t="s">
        <v>624</v>
      </c>
      <c r="J470" s="11" t="s">
        <v>625</v>
      </c>
      <c r="K470" s="38">
        <f t="shared" si="46"/>
        <v>30</v>
      </c>
      <c r="L470" s="18" t="s">
        <v>1068</v>
      </c>
      <c r="M470" s="18" t="s">
        <v>1059</v>
      </c>
      <c r="N470" s="18"/>
      <c r="O470" s="18">
        <v>0.0</v>
      </c>
      <c r="P470" s="18" t="s">
        <v>112</v>
      </c>
      <c r="Q470" s="42" t="str">
        <f>iferror(VLOOKUP(A470,'Positional cal'!A:H,1,0)=A470,"FALSE")</f>
        <v>FALSE</v>
      </c>
      <c r="R470" s="43" t="b">
        <f t="shared" si="3"/>
        <v>0</v>
      </c>
      <c r="S470" s="46">
        <f>IFERROR(VLOOKUP($A470,AlgoUi!$A:$X,21,0),"NA")</f>
        <v>40033751</v>
      </c>
      <c r="T470" s="46">
        <f>IFERROR(VLOOKUP($A470,AlgoUi!$A:$X,23,0),"")</f>
        <v>40000000</v>
      </c>
      <c r="U470" s="46">
        <f>IFERROR(VLOOKUP($A470,AlgoUi!$A:$X,24,0),"")</f>
        <v>4000000000</v>
      </c>
      <c r="V470" s="42" t="str">
        <f>IFERROR(__xludf.DUMMYFUNCTION("IFERROR(VLOOKUP(I470,IMPORTRANGE(""https://docs.google.com/spreadsheets/d/17FOIUYQAjPk1pPQIlvOgqYDBqwUqgb7KWzp4DtVksBk/edit?gid=0#gid=0"",""Servers!A:S""),19,FALSE), ""Not Running"")"),"DEEPAKT")</f>
        <v>DEEPAKT</v>
      </c>
      <c r="W470" s="47" t="str">
        <f>VLOOKUP($A470,Category!$A:$E,4,0)</f>
        <v>MS</v>
      </c>
      <c r="X470" s="47" t="str">
        <f>VLOOKUP($A470,Category!$A:$E,5,0)</f>
        <v>MSR</v>
      </c>
      <c r="Y470" s="18" t="str">
        <f>VLOOKUP(A470,PAcc!$A$1:$J$27,10,0)</f>
        <v>#N/A</v>
      </c>
      <c r="Z470" s="42" t="b">
        <f t="shared" si="4"/>
        <v>0</v>
      </c>
      <c r="AA470" s="42"/>
      <c r="AB470" s="25" t="str">
        <f>VLOOKUP(A470,VlookupSheet!$A$383:$A$523,1,0)</f>
        <v>B7RA1KH60</v>
      </c>
      <c r="AC470" s="50">
        <v>0.01</v>
      </c>
      <c r="AD470" s="42"/>
      <c r="AE470" s="42"/>
      <c r="AF470" s="42"/>
    </row>
    <row r="471">
      <c r="A471" s="11" t="s">
        <v>2785</v>
      </c>
      <c r="B471" s="24" t="s">
        <v>3651</v>
      </c>
      <c r="C471" s="25"/>
      <c r="D471" s="11">
        <f>IF(J471="7",0.8,1)</f>
        <v>1</v>
      </c>
      <c r="E471" s="11">
        <f>D471*H471</f>
        <v>40000</v>
      </c>
      <c r="F471" s="11" t="s">
        <v>716</v>
      </c>
      <c r="G471" s="11">
        <v>40000.0</v>
      </c>
      <c r="H471" s="31">
        <v>40000.0</v>
      </c>
      <c r="I471" s="11" t="s">
        <v>252</v>
      </c>
      <c r="J471" s="11" t="s">
        <v>77</v>
      </c>
      <c r="K471" s="38">
        <f t="shared" si="46"/>
        <v>1</v>
      </c>
      <c r="L471" s="18" t="s">
        <v>910</v>
      </c>
      <c r="M471" s="18" t="s">
        <v>736</v>
      </c>
      <c r="N471" s="18">
        <v>1.0</v>
      </c>
      <c r="O471" s="18"/>
      <c r="P471" s="18" t="s">
        <v>848</v>
      </c>
      <c r="Q471" s="42" t="str">
        <f>iferror(VLOOKUP(A471,'Positional cal'!A:H,1,0)=A471,"FALSE")</f>
        <v>FALSE</v>
      </c>
      <c r="R471" s="43" t="b">
        <f t="shared" si="3"/>
        <v>0</v>
      </c>
      <c r="S471" s="46">
        <f>IFERROR(VLOOKUP($A471,AlgoUi!$A:$X,21,0),"NA")</f>
        <v>10000000</v>
      </c>
      <c r="T471" s="46">
        <f>IFERROR(VLOOKUP($A471,AlgoUi!$A:$X,23,0),"")</f>
        <v>10000000</v>
      </c>
      <c r="U471" s="46">
        <f>IFERROR(VLOOKUP($A471,AlgoUi!$A:$X,24,0),"")</f>
        <v>100000</v>
      </c>
      <c r="V471" s="42" t="str">
        <f>IFERROR(__xludf.DUMMYFUNCTION("IFERROR(VLOOKUP(I471,IMPORTRANGE(""https://docs.google.com/spreadsheets/d/17FOIUYQAjPk1pPQIlvOgqYDBqwUqgb7KWzp4DtVksBk/edit?gid=0#gid=0"",""Servers!A:S""),19,FALSE), ""Not Running"")"),"PRACHI")</f>
        <v>PRACHI</v>
      </c>
      <c r="W471" s="47" t="str">
        <f>VLOOKUP($A471,Category!$A:$E,4,0)</f>
        <v>MS</v>
      </c>
      <c r="X471" s="47" t="str">
        <f>VLOOKUP($A471,Category!$A:$E,5,0)</f>
        <v>MSS</v>
      </c>
      <c r="Y471" s="18" t="str">
        <f>VLOOKUP(A471,PAcc!$A$1:$J$27,10,0)</f>
        <v>#N/A</v>
      </c>
      <c r="Z471" s="42" t="b">
        <f t="shared" si="4"/>
        <v>0</v>
      </c>
      <c r="AA471" s="50">
        <v>0.4</v>
      </c>
      <c r="AB471" s="42" t="str">
        <f>VLOOKUP(A471,VlookupSheet!$A$383:$A$523,1,0)</f>
        <v>#N/A</v>
      </c>
      <c r="AC471" s="50">
        <v>0.01</v>
      </c>
      <c r="AD471" s="42">
        <f>S471*AA471</f>
        <v>4000000</v>
      </c>
      <c r="AE471" s="42">
        <f>MROUND(AD471,2000000)/100</f>
        <v>40000</v>
      </c>
      <c r="AF471" s="123">
        <f>AE471-H471</f>
        <v>0</v>
      </c>
    </row>
    <row r="472">
      <c r="A472" s="11" t="s">
        <v>2824</v>
      </c>
      <c r="B472" s="24" t="s">
        <v>3672</v>
      </c>
      <c r="C472" s="25"/>
      <c r="D472" s="11" t="s">
        <v>77</v>
      </c>
      <c r="E472" s="11">
        <f>H472*D472</f>
        <v>40000</v>
      </c>
      <c r="F472" s="11" t="s">
        <v>716</v>
      </c>
      <c r="G472" s="31">
        <v>40000.0</v>
      </c>
      <c r="H472" s="31">
        <v>40000.0</v>
      </c>
      <c r="I472" s="11" t="s">
        <v>267</v>
      </c>
      <c r="J472" s="11" t="s">
        <v>77</v>
      </c>
      <c r="K472" s="38">
        <f t="shared" si="46"/>
        <v>1</v>
      </c>
      <c r="L472" s="18" t="s">
        <v>268</v>
      </c>
      <c r="M472" s="18" t="s">
        <v>268</v>
      </c>
      <c r="N472" s="18"/>
      <c r="O472" s="18"/>
      <c r="P472" s="18"/>
      <c r="Q472" s="42" t="str">
        <f>iferror(VLOOKUP(A472,'Positional cal'!A:H,1,0)=A472,"FALSE")</f>
        <v>FALSE</v>
      </c>
      <c r="R472" s="43" t="b">
        <f t="shared" si="3"/>
        <v>0</v>
      </c>
      <c r="S472" s="46" t="str">
        <f>IFERROR(VLOOKUP($A472,AlgoUi!$A:$X,21,0),"NA")</f>
        <v/>
      </c>
      <c r="T472" s="46" t="str">
        <f>IFERROR(VLOOKUP($A472,AlgoUi!$A:$X,23,0),"")</f>
        <v/>
      </c>
      <c r="U472" s="46" t="str">
        <f>IFERROR(VLOOKUP($A472,AlgoUi!$A:$X,24,0),"")</f>
        <v/>
      </c>
      <c r="V472" s="42" t="str">
        <f>IFERROR(__xludf.DUMMYFUNCTION("IFERROR(VLOOKUP(I472,IMPORTRANGE(""https://docs.google.com/spreadsheets/d/17FOIUYQAjPk1pPQIlvOgqYDBqwUqgb7KWzp4DtVksBk/edit?gid=0#gid=0"",""Servers!A:S""),19,FALSE), ""Not Running"")"),"Not Running")</f>
        <v>Not Running</v>
      </c>
      <c r="W472" s="47" t="str">
        <f>VLOOKUP($A472,Category!$A:$E,4,0)</f>
        <v>MS</v>
      </c>
      <c r="X472" s="47" t="str">
        <f>VLOOKUP($A472,Category!$A:$E,5,0)</f>
        <v>MSS</v>
      </c>
      <c r="Y472" s="18" t="str">
        <f>VLOOKUP(A472,PAcc!$A$1:$J$27,10,0)</f>
        <v>#N/A</v>
      </c>
      <c r="Z472" s="42" t="b">
        <f t="shared" si="4"/>
        <v>0</v>
      </c>
      <c r="AA472" s="50">
        <v>0.4</v>
      </c>
      <c r="AB472" s="42" t="str">
        <f>VLOOKUP(A472,VlookupSheet!$A$383:$A$523,1,0)</f>
        <v>#N/A</v>
      </c>
      <c r="AC472" s="50">
        <v>0.01</v>
      </c>
      <c r="AD472" s="42"/>
      <c r="AE472" s="42"/>
      <c r="AF472" s="42"/>
    </row>
    <row r="473">
      <c r="A473" s="11" t="s">
        <v>2832</v>
      </c>
      <c r="B473" s="24" t="s">
        <v>3682</v>
      </c>
      <c r="C473" s="25"/>
      <c r="D473" s="11">
        <f t="shared" ref="D473:D482" si="55">IF(J473="7",0.8,1)</f>
        <v>1</v>
      </c>
      <c r="E473" s="11">
        <f t="shared" ref="E473:E482" si="56">D473*H473</f>
        <v>80000</v>
      </c>
      <c r="F473" s="11" t="s">
        <v>2423</v>
      </c>
      <c r="G473" s="11">
        <v>80000.0</v>
      </c>
      <c r="H473" s="31">
        <v>80000.0</v>
      </c>
      <c r="I473" s="34" t="s">
        <v>252</v>
      </c>
      <c r="J473" s="25" t="s">
        <v>77</v>
      </c>
      <c r="K473" s="38">
        <f t="shared" si="46"/>
        <v>1</v>
      </c>
      <c r="L473" s="18" t="s">
        <v>910</v>
      </c>
      <c r="M473" s="18" t="s">
        <v>736</v>
      </c>
      <c r="N473" s="42"/>
      <c r="O473" s="42"/>
      <c r="P473" s="42"/>
      <c r="Q473" s="42" t="str">
        <f>iferror(VLOOKUP(A473,'Positional cal'!A:H,1,0)=A473,"FALSE")</f>
        <v>FALSE</v>
      </c>
      <c r="R473" s="43" t="b">
        <f t="shared" si="3"/>
        <v>0</v>
      </c>
      <c r="S473" s="46">
        <f>IFERROR(VLOOKUP($A473,AlgoUi!$A:$X,21,0),"NA")</f>
        <v>20000000</v>
      </c>
      <c r="T473" s="46">
        <f>IFERROR(VLOOKUP($A473,AlgoUi!$A:$X,23,0),"")</f>
        <v>20000000</v>
      </c>
      <c r="U473" s="46">
        <f>IFERROR(VLOOKUP($A473,AlgoUi!$A:$X,24,0),"")</f>
        <v>200000</v>
      </c>
      <c r="V473" s="42" t="str">
        <f>IFERROR(__xludf.DUMMYFUNCTION("IFERROR(VLOOKUP(I473,IMPORTRANGE(""https://docs.google.com/spreadsheets/d/17FOIUYQAjPk1pPQIlvOgqYDBqwUqgb7KWzp4DtVksBk/edit?gid=0#gid=0"",""Servers!A:S""),19,FALSE), ""Not Running"")"),"PRACHI")</f>
        <v>PRACHI</v>
      </c>
      <c r="W473" s="47" t="str">
        <f>VLOOKUP($A473,Category!$A:$E,4,0)</f>
        <v>MS</v>
      </c>
      <c r="X473" s="47" t="str">
        <f>VLOOKUP($A473,Category!$A:$E,5,0)</f>
        <v>MSR</v>
      </c>
      <c r="Y473" s="18" t="str">
        <f>VLOOKUP(A473,PAcc!$A$1:$J$27,10,0)</f>
        <v>#N/A</v>
      </c>
      <c r="Z473" s="42" t="b">
        <f t="shared" si="4"/>
        <v>0</v>
      </c>
      <c r="AA473" s="50">
        <v>0.4</v>
      </c>
      <c r="AB473" s="42" t="str">
        <f>VLOOKUP(A473,VlookupSheet!$A$383:$A$523,1,0)</f>
        <v>#N/A</v>
      </c>
      <c r="AC473" s="50">
        <v>0.01</v>
      </c>
      <c r="AD473" s="42">
        <f t="shared" ref="AD473:AD482" si="57">S473*AA473</f>
        <v>8000000</v>
      </c>
      <c r="AE473" s="42">
        <f t="shared" ref="AE473:AE482" si="58">MROUND(AD473,2000000)/100</f>
        <v>80000</v>
      </c>
      <c r="AF473" s="123">
        <f t="shared" ref="AF473:AF482" si="59">AE473-H473</f>
        <v>0</v>
      </c>
    </row>
    <row r="474">
      <c r="A474" s="11" t="s">
        <v>2873</v>
      </c>
      <c r="B474" s="24" t="s">
        <v>2874</v>
      </c>
      <c r="C474" s="25"/>
      <c r="D474" s="11">
        <f t="shared" si="55"/>
        <v>1</v>
      </c>
      <c r="E474" s="11">
        <f t="shared" si="56"/>
        <v>20000</v>
      </c>
      <c r="F474" s="11" t="s">
        <v>311</v>
      </c>
      <c r="G474" s="11">
        <v>20000.0</v>
      </c>
      <c r="H474" s="31">
        <v>20000.0</v>
      </c>
      <c r="I474" s="11" t="s">
        <v>252</v>
      </c>
      <c r="J474" s="11" t="s">
        <v>77</v>
      </c>
      <c r="K474" s="38">
        <f t="shared" si="46"/>
        <v>1</v>
      </c>
      <c r="L474" s="18" t="s">
        <v>910</v>
      </c>
      <c r="M474" s="18" t="s">
        <v>736</v>
      </c>
      <c r="N474" s="42"/>
      <c r="O474" s="42"/>
      <c r="P474" s="42"/>
      <c r="Q474" s="42" t="str">
        <f>iferror(VLOOKUP(A474,'Positional cal'!A:H,1,0)=A474,"FALSE")</f>
        <v>FALSE</v>
      </c>
      <c r="R474" s="43" t="b">
        <f t="shared" si="3"/>
        <v>0</v>
      </c>
      <c r="S474" s="46">
        <f>IFERROR(VLOOKUP($A474,AlgoUi!$A:$X,21,0),"NA")</f>
        <v>4540665</v>
      </c>
      <c r="T474" s="46">
        <f>IFERROR(VLOOKUP($A474,AlgoUi!$A:$X,23,0),"")</f>
        <v>4000000</v>
      </c>
      <c r="U474" s="46">
        <f>IFERROR(VLOOKUP($A474,AlgoUi!$A:$X,24,0),"")</f>
        <v>40000</v>
      </c>
      <c r="V474" s="42" t="str">
        <f>IFERROR(__xludf.DUMMYFUNCTION("IFERROR(VLOOKUP(I474,IMPORTRANGE(""https://docs.google.com/spreadsheets/d/17FOIUYQAjPk1pPQIlvOgqYDBqwUqgb7KWzp4DtVksBk/edit?gid=0#gid=0"",""Servers!A:S""),19,FALSE), ""Not Running"")"),"PRACHI")</f>
        <v>PRACHI</v>
      </c>
      <c r="W474" s="47" t="str">
        <f>VLOOKUP($A474,Category!$A:$E,4,0)</f>
        <v>MS</v>
      </c>
      <c r="X474" s="47" t="str">
        <f>VLOOKUP($A474,Category!$A:$E,5,0)</f>
        <v>MSP</v>
      </c>
      <c r="Y474" s="18" t="str">
        <f>VLOOKUP(A474,PAcc!$A$1:$J$27,10,0)</f>
        <v>#N/A</v>
      </c>
      <c r="Z474" s="42" t="b">
        <f t="shared" si="4"/>
        <v>0</v>
      </c>
      <c r="AA474" s="50">
        <v>0.4</v>
      </c>
      <c r="AB474" s="42" t="str">
        <f>VLOOKUP(A474,VlookupSheet!$A$383:$A$523,1,0)</f>
        <v>#N/A</v>
      </c>
      <c r="AC474" s="87">
        <v>0.008</v>
      </c>
      <c r="AD474" s="42">
        <f t="shared" si="57"/>
        <v>1816266</v>
      </c>
      <c r="AE474" s="42">
        <f t="shared" si="58"/>
        <v>20000</v>
      </c>
      <c r="AF474" s="123">
        <f t="shared" si="59"/>
        <v>0</v>
      </c>
    </row>
    <row r="475">
      <c r="A475" s="11" t="s">
        <v>2875</v>
      </c>
      <c r="B475" s="24" t="s">
        <v>2876</v>
      </c>
      <c r="C475" s="25"/>
      <c r="D475" s="11">
        <f t="shared" si="55"/>
        <v>1</v>
      </c>
      <c r="E475" s="11">
        <f t="shared" si="56"/>
        <v>40000</v>
      </c>
      <c r="F475" s="11" t="s">
        <v>311</v>
      </c>
      <c r="G475" s="11">
        <v>40000.0</v>
      </c>
      <c r="H475" s="31">
        <v>40000.0</v>
      </c>
      <c r="I475" s="11" t="s">
        <v>252</v>
      </c>
      <c r="J475" s="11" t="s">
        <v>77</v>
      </c>
      <c r="K475" s="38">
        <f t="shared" si="46"/>
        <v>1</v>
      </c>
      <c r="L475" s="18" t="s">
        <v>910</v>
      </c>
      <c r="M475" s="18" t="s">
        <v>736</v>
      </c>
      <c r="N475" s="42"/>
      <c r="O475" s="42"/>
      <c r="P475" s="42"/>
      <c r="Q475" s="42" t="str">
        <f>iferror(VLOOKUP(A475,'Positional cal'!A:H,1,0)=A475,"FALSE")</f>
        <v>FALSE</v>
      </c>
      <c r="R475" s="43" t="b">
        <f t="shared" si="3"/>
        <v>0</v>
      </c>
      <c r="S475" s="46">
        <f>IFERROR(VLOOKUP($A475,AlgoUi!$A:$X,21,0),"NA")</f>
        <v>10010799</v>
      </c>
      <c r="T475" s="46">
        <f>IFERROR(VLOOKUP($A475,AlgoUi!$A:$X,23,0),"")</f>
        <v>10000000</v>
      </c>
      <c r="U475" s="46">
        <f>IFERROR(VLOOKUP($A475,AlgoUi!$A:$X,24,0),"")</f>
        <v>100000</v>
      </c>
      <c r="V475" s="42" t="str">
        <f>IFERROR(__xludf.DUMMYFUNCTION("IFERROR(VLOOKUP(I475,IMPORTRANGE(""https://docs.google.com/spreadsheets/d/17FOIUYQAjPk1pPQIlvOgqYDBqwUqgb7KWzp4DtVksBk/edit?gid=0#gid=0"",""Servers!A:S""),19,FALSE), ""Not Running"")"),"PRACHI")</f>
        <v>PRACHI</v>
      </c>
      <c r="W475" s="47" t="str">
        <f>VLOOKUP($A475,Category!$A:$E,4,0)</f>
        <v>MS</v>
      </c>
      <c r="X475" s="47" t="str">
        <f>VLOOKUP($A475,Category!$A:$E,5,0)</f>
        <v>MSR</v>
      </c>
      <c r="Y475" s="18" t="str">
        <f>VLOOKUP(A475,PAcc!$A$1:$J$27,10,0)</f>
        <v>#N/A</v>
      </c>
      <c r="Z475" s="42" t="b">
        <f t="shared" si="4"/>
        <v>0</v>
      </c>
      <c r="AA475" s="50">
        <v>0.4</v>
      </c>
      <c r="AB475" s="42" t="str">
        <f>VLOOKUP(A475,VlookupSheet!$A$383:$A$523,1,0)</f>
        <v>#N/A</v>
      </c>
      <c r="AC475" s="87">
        <v>0.008</v>
      </c>
      <c r="AD475" s="42">
        <f t="shared" si="57"/>
        <v>4004319.6</v>
      </c>
      <c r="AE475" s="42">
        <f t="shared" si="58"/>
        <v>40000</v>
      </c>
      <c r="AF475" s="123">
        <f t="shared" si="59"/>
        <v>0</v>
      </c>
    </row>
    <row r="476">
      <c r="A476" s="11" t="s">
        <v>2880</v>
      </c>
      <c r="B476" s="24" t="s">
        <v>2881</v>
      </c>
      <c r="C476" s="25"/>
      <c r="D476" s="11">
        <f t="shared" si="55"/>
        <v>1</v>
      </c>
      <c r="E476" s="11">
        <f t="shared" si="56"/>
        <v>20000</v>
      </c>
      <c r="F476" s="11" t="s">
        <v>311</v>
      </c>
      <c r="G476" s="11">
        <v>20000.0</v>
      </c>
      <c r="H476" s="31">
        <v>20000.0</v>
      </c>
      <c r="I476" s="11" t="s">
        <v>252</v>
      </c>
      <c r="J476" s="11" t="s">
        <v>77</v>
      </c>
      <c r="K476" s="38">
        <f t="shared" si="46"/>
        <v>1</v>
      </c>
      <c r="L476" s="18" t="s">
        <v>910</v>
      </c>
      <c r="M476" s="18" t="s">
        <v>736</v>
      </c>
      <c r="N476" s="42"/>
      <c r="O476" s="42"/>
      <c r="P476" s="42"/>
      <c r="Q476" s="42" t="str">
        <f>iferror(VLOOKUP(A476,'Positional cal'!A:H,1,0)=A476,"FALSE")</f>
        <v>FALSE</v>
      </c>
      <c r="R476" s="43" t="b">
        <f t="shared" si="3"/>
        <v>0</v>
      </c>
      <c r="S476" s="46">
        <f>IFERROR(VLOOKUP($A476,AlgoUi!$A:$X,21,0),"NA")</f>
        <v>4727453</v>
      </c>
      <c r="T476" s="46">
        <f>IFERROR(VLOOKUP($A476,AlgoUi!$A:$X,23,0),"")</f>
        <v>4000000</v>
      </c>
      <c r="U476" s="46">
        <f>IFERROR(VLOOKUP($A476,AlgoUi!$A:$X,24,0),"")</f>
        <v>40000</v>
      </c>
      <c r="V476" s="42" t="str">
        <f>IFERROR(__xludf.DUMMYFUNCTION("IFERROR(VLOOKUP(I476,IMPORTRANGE(""https://docs.google.com/spreadsheets/d/17FOIUYQAjPk1pPQIlvOgqYDBqwUqgb7KWzp4DtVksBk/edit?gid=0#gid=0"",""Servers!A:S""),19,FALSE), ""Not Running"")"),"PRACHI")</f>
        <v>PRACHI</v>
      </c>
      <c r="W476" s="47" t="str">
        <f>VLOOKUP($A476,Category!$A:$E,4,0)</f>
        <v>MS</v>
      </c>
      <c r="X476" s="47" t="str">
        <f>VLOOKUP($A476,Category!$A:$E,5,0)</f>
        <v>MSP</v>
      </c>
      <c r="Y476" s="18" t="str">
        <f>VLOOKUP(A476,PAcc!$A$1:$J$27,10,0)</f>
        <v>#N/A</v>
      </c>
      <c r="Z476" s="42" t="b">
        <f t="shared" si="4"/>
        <v>0</v>
      </c>
      <c r="AA476" s="50">
        <v>0.4</v>
      </c>
      <c r="AB476" s="42" t="str">
        <f>VLOOKUP(A476,VlookupSheet!$A$383:$A$523,1,0)</f>
        <v>#N/A</v>
      </c>
      <c r="AC476" s="87">
        <v>0.008</v>
      </c>
      <c r="AD476" s="42">
        <f t="shared" si="57"/>
        <v>1890981.2</v>
      </c>
      <c r="AE476" s="42">
        <f t="shared" si="58"/>
        <v>20000</v>
      </c>
      <c r="AF476" s="123">
        <f t="shared" si="59"/>
        <v>0</v>
      </c>
    </row>
    <row r="477">
      <c r="A477" s="11" t="s">
        <v>2882</v>
      </c>
      <c r="B477" s="24" t="s">
        <v>3774</v>
      </c>
      <c r="C477" s="25"/>
      <c r="D477" s="11">
        <f t="shared" si="55"/>
        <v>1</v>
      </c>
      <c r="E477" s="11">
        <f t="shared" si="56"/>
        <v>40000</v>
      </c>
      <c r="F477" s="11" t="s">
        <v>2884</v>
      </c>
      <c r="G477" s="11">
        <v>40000.0</v>
      </c>
      <c r="H477" s="31">
        <v>40000.0</v>
      </c>
      <c r="I477" s="11" t="s">
        <v>252</v>
      </c>
      <c r="J477" s="11" t="s">
        <v>77</v>
      </c>
      <c r="K477" s="38">
        <f t="shared" si="46"/>
        <v>1</v>
      </c>
      <c r="L477" s="18" t="s">
        <v>910</v>
      </c>
      <c r="M477" s="18" t="s">
        <v>736</v>
      </c>
      <c r="N477" s="18">
        <v>1.0</v>
      </c>
      <c r="O477" s="42"/>
      <c r="P477" s="18" t="s">
        <v>848</v>
      </c>
      <c r="Q477" s="42" t="str">
        <f>iferror(VLOOKUP(A477,'Positional cal'!A:H,1,0)=A477,"FALSE")</f>
        <v>FALSE</v>
      </c>
      <c r="R477" s="43" t="b">
        <f t="shared" si="3"/>
        <v>0</v>
      </c>
      <c r="S477" s="46">
        <f>IFERROR(VLOOKUP($A477,AlgoUi!$A:$X,21,0),"NA")</f>
        <v>10000000</v>
      </c>
      <c r="T477" s="46">
        <f>IFERROR(VLOOKUP($A477,AlgoUi!$A:$X,23,0),"")</f>
        <v>10000000</v>
      </c>
      <c r="U477" s="46">
        <f>IFERROR(VLOOKUP($A477,AlgoUi!$A:$X,24,0),"")</f>
        <v>100000</v>
      </c>
      <c r="V477" s="42" t="str">
        <f>IFERROR(__xludf.DUMMYFUNCTION("IFERROR(VLOOKUP(I477,IMPORTRANGE(""https://docs.google.com/spreadsheets/d/17FOIUYQAjPk1pPQIlvOgqYDBqwUqgb7KWzp4DtVksBk/edit?gid=0#gid=0"",""Servers!A:S""),19,FALSE), ""Not Running"")"),"PRACHI")</f>
        <v>PRACHI</v>
      </c>
      <c r="W477" s="47" t="str">
        <f>VLOOKUP($A477,Category!$A:$E,4,0)</f>
        <v>MS</v>
      </c>
      <c r="X477" s="47" t="str">
        <f>VLOOKUP($A477,Category!$A:$E,5,0)</f>
        <v>MSS</v>
      </c>
      <c r="Y477" s="18" t="str">
        <f>VLOOKUP(A477,PAcc!$A$1:$J$27,10,0)</f>
        <v>#N/A</v>
      </c>
      <c r="Z477" s="42" t="b">
        <f t="shared" si="4"/>
        <v>0</v>
      </c>
      <c r="AA477" s="50">
        <v>0.4</v>
      </c>
      <c r="AB477" s="42" t="str">
        <f>VLOOKUP(A477,VlookupSheet!$A$383:$A$523,1,0)</f>
        <v>#N/A</v>
      </c>
      <c r="AC477" s="87">
        <v>0.008</v>
      </c>
      <c r="AD477" s="42">
        <f t="shared" si="57"/>
        <v>4000000</v>
      </c>
      <c r="AE477" s="42">
        <f t="shared" si="58"/>
        <v>40000</v>
      </c>
      <c r="AF477" s="123">
        <f t="shared" si="59"/>
        <v>0</v>
      </c>
    </row>
    <row r="478">
      <c r="A478" s="30" t="s">
        <v>253</v>
      </c>
      <c r="B478" s="84" t="s">
        <v>2589</v>
      </c>
      <c r="C478" s="85"/>
      <c r="D478" s="11">
        <f t="shared" si="55"/>
        <v>1</v>
      </c>
      <c r="E478" s="11">
        <f t="shared" si="56"/>
        <v>40000</v>
      </c>
      <c r="F478" s="30" t="s">
        <v>311</v>
      </c>
      <c r="G478" s="11">
        <v>40000.0</v>
      </c>
      <c r="H478" s="31">
        <v>40000.0</v>
      </c>
      <c r="I478" s="34" t="s">
        <v>252</v>
      </c>
      <c r="J478" s="25" t="s">
        <v>77</v>
      </c>
      <c r="K478" s="38">
        <f t="shared" si="46"/>
        <v>1</v>
      </c>
      <c r="L478" s="18" t="s">
        <v>910</v>
      </c>
      <c r="M478" s="18" t="s">
        <v>736</v>
      </c>
      <c r="N478" s="74"/>
      <c r="O478" s="74"/>
      <c r="P478" s="74"/>
      <c r="Q478" s="42" t="str">
        <f>iferror(VLOOKUP(A478,'Positional cal'!A:H,1,0)=A478,"FALSE")</f>
        <v>FALSE</v>
      </c>
      <c r="R478" s="43" t="b">
        <f t="shared" si="3"/>
        <v>0</v>
      </c>
      <c r="S478" s="46">
        <f>IFERROR(VLOOKUP($A478,AlgoUi!$A:$X,21,0),"NA")</f>
        <v>10379796</v>
      </c>
      <c r="T478" s="46">
        <f>IFERROR(VLOOKUP($A478,AlgoUi!$A:$X,23,0),"")</f>
        <v>10000000</v>
      </c>
      <c r="U478" s="46">
        <f>IFERROR(VLOOKUP($A478,AlgoUi!$A:$X,24,0),"")</f>
        <v>100000</v>
      </c>
      <c r="V478" s="42" t="str">
        <f>IFERROR(__xludf.DUMMYFUNCTION("IFERROR(VLOOKUP(I478,IMPORTRANGE(""https://docs.google.com/spreadsheets/d/17FOIUYQAjPk1pPQIlvOgqYDBqwUqgb7KWzp4DtVksBk/edit?gid=0#gid=0"",""Servers!A:S""),19,FALSE), ""Not Running"")"),"PRACHI")</f>
        <v>PRACHI</v>
      </c>
      <c r="W478" s="47" t="str">
        <f>VLOOKUP($A478,Category!$A:$E,4,0)</f>
        <v>MS</v>
      </c>
      <c r="X478" s="47" t="str">
        <f>VLOOKUP($A478,Category!$A:$E,5,0)</f>
        <v>MSN</v>
      </c>
      <c r="Y478" s="18" t="str">
        <f>VLOOKUP(A478,PAcc!$A$1:$J$27,10,0)</f>
        <v>#N/A</v>
      </c>
      <c r="Z478" s="42" t="b">
        <f t="shared" si="4"/>
        <v>0</v>
      </c>
      <c r="AA478" s="50">
        <v>0.4</v>
      </c>
      <c r="AB478" s="42" t="str">
        <f>VLOOKUP(A478,VlookupSheet!$A$383:$A$523,1,0)</f>
        <v>#N/A</v>
      </c>
      <c r="AC478" s="87">
        <v>0.008</v>
      </c>
      <c r="AD478" s="42">
        <f t="shared" si="57"/>
        <v>4151918.4</v>
      </c>
      <c r="AE478" s="42">
        <f t="shared" si="58"/>
        <v>40000</v>
      </c>
      <c r="AF478" s="123">
        <f t="shared" si="59"/>
        <v>0</v>
      </c>
    </row>
    <row r="479">
      <c r="A479" s="11" t="s">
        <v>2918</v>
      </c>
      <c r="B479" s="24" t="s">
        <v>3785</v>
      </c>
      <c r="C479" s="25"/>
      <c r="D479" s="11">
        <f t="shared" si="55"/>
        <v>1</v>
      </c>
      <c r="E479" s="11">
        <f t="shared" si="56"/>
        <v>40000</v>
      </c>
      <c r="F479" s="11" t="s">
        <v>716</v>
      </c>
      <c r="G479" s="11">
        <v>40000.0</v>
      </c>
      <c r="H479" s="31">
        <v>40000.0</v>
      </c>
      <c r="I479" s="11" t="s">
        <v>252</v>
      </c>
      <c r="J479" s="11" t="s">
        <v>77</v>
      </c>
      <c r="K479" s="38">
        <f t="shared" si="46"/>
        <v>1</v>
      </c>
      <c r="L479" s="18" t="s">
        <v>910</v>
      </c>
      <c r="M479" s="18" t="s">
        <v>736</v>
      </c>
      <c r="N479" s="18">
        <v>1.0</v>
      </c>
      <c r="O479" s="42"/>
      <c r="P479" s="18" t="s">
        <v>848</v>
      </c>
      <c r="Q479" s="42" t="str">
        <f>iferror(VLOOKUP(A479,'Positional cal'!A:H,1,0)=A479,"FALSE")</f>
        <v>FALSE</v>
      </c>
      <c r="R479" s="43" t="b">
        <f t="shared" si="3"/>
        <v>0</v>
      </c>
      <c r="S479" s="46">
        <f>IFERROR(VLOOKUP($A479,AlgoUi!$A:$X,21,0),"NA")</f>
        <v>9999999</v>
      </c>
      <c r="T479" s="46">
        <f>IFERROR(VLOOKUP($A479,AlgoUi!$A:$X,23,0),"")</f>
        <v>10000000</v>
      </c>
      <c r="U479" s="46">
        <f>IFERROR(VLOOKUP($A479,AlgoUi!$A:$X,24,0),"")</f>
        <v>100000</v>
      </c>
      <c r="V479" s="42" t="str">
        <f>IFERROR(__xludf.DUMMYFUNCTION("IFERROR(VLOOKUP(I479,IMPORTRANGE(""https://docs.google.com/spreadsheets/d/17FOIUYQAjPk1pPQIlvOgqYDBqwUqgb7KWzp4DtVksBk/edit?gid=0#gid=0"",""Servers!A:S""),19,FALSE), ""Not Running"")"),"PRACHI")</f>
        <v>PRACHI</v>
      </c>
      <c r="W479" s="47" t="str">
        <f>VLOOKUP($A479,Category!$A:$E,4,0)</f>
        <v>MS</v>
      </c>
      <c r="X479" s="47" t="str">
        <f>VLOOKUP($A479,Category!$A:$E,5,0)</f>
        <v>MSS</v>
      </c>
      <c r="Y479" s="18" t="str">
        <f>VLOOKUP(A479,PAcc!$A$1:$J$27,10,0)</f>
        <v>#N/A</v>
      </c>
      <c r="Z479" s="42" t="b">
        <f t="shared" si="4"/>
        <v>0</v>
      </c>
      <c r="AA479" s="50">
        <v>0.4</v>
      </c>
      <c r="AB479" s="42" t="str">
        <f>VLOOKUP(A479,VlookupSheet!$A$383:$A$523,1,0)</f>
        <v>#N/A</v>
      </c>
      <c r="AC479" s="87">
        <v>0.008</v>
      </c>
      <c r="AD479" s="42">
        <f t="shared" si="57"/>
        <v>3999999.6</v>
      </c>
      <c r="AE479" s="42">
        <f t="shared" si="58"/>
        <v>40000</v>
      </c>
      <c r="AF479" s="123">
        <f t="shared" si="59"/>
        <v>0</v>
      </c>
    </row>
    <row r="480">
      <c r="A480" s="11" t="s">
        <v>2944</v>
      </c>
      <c r="B480" s="24" t="s">
        <v>3811</v>
      </c>
      <c r="C480" s="25"/>
      <c r="D480" s="11">
        <f t="shared" si="55"/>
        <v>1</v>
      </c>
      <c r="E480" s="11">
        <f t="shared" si="56"/>
        <v>40000</v>
      </c>
      <c r="F480" s="60" t="s">
        <v>886</v>
      </c>
      <c r="G480" s="11">
        <v>40000.0</v>
      </c>
      <c r="H480" s="31">
        <v>40000.0</v>
      </c>
      <c r="I480" s="11" t="s">
        <v>252</v>
      </c>
      <c r="J480" s="11" t="s">
        <v>77</v>
      </c>
      <c r="K480" s="38">
        <f t="shared" si="46"/>
        <v>1</v>
      </c>
      <c r="L480" s="18" t="s">
        <v>910</v>
      </c>
      <c r="M480" s="18" t="s">
        <v>736</v>
      </c>
      <c r="N480" s="18">
        <v>1.0</v>
      </c>
      <c r="O480" s="42"/>
      <c r="P480" s="18" t="s">
        <v>848</v>
      </c>
      <c r="Q480" s="42" t="str">
        <f>iferror(VLOOKUP(A480,'Positional cal'!A:H,1,0)=A480,"FALSE")</f>
        <v>FALSE</v>
      </c>
      <c r="R480" s="43" t="b">
        <f t="shared" si="3"/>
        <v>0</v>
      </c>
      <c r="S480" s="46">
        <f>IFERROR(VLOOKUP($A480,AlgoUi!$A:$X,21,0),"NA")</f>
        <v>10287211</v>
      </c>
      <c r="T480" s="46">
        <f>IFERROR(VLOOKUP($A480,AlgoUi!$A:$X,23,0),"")</f>
        <v>10000000</v>
      </c>
      <c r="U480" s="46">
        <f>IFERROR(VLOOKUP($A480,AlgoUi!$A:$X,24,0),"")</f>
        <v>100000</v>
      </c>
      <c r="V480" s="42" t="str">
        <f>IFERROR(__xludf.DUMMYFUNCTION("IFERROR(VLOOKUP(I480,IMPORTRANGE(""https://docs.google.com/spreadsheets/d/17FOIUYQAjPk1pPQIlvOgqYDBqwUqgb7KWzp4DtVksBk/edit?gid=0#gid=0"",""Servers!A:S""),19,FALSE), ""Not Running"")"),"PRACHI")</f>
        <v>PRACHI</v>
      </c>
      <c r="W480" s="47" t="str">
        <f>VLOOKUP($A480,Category!$A:$E,4,0)</f>
        <v>MS</v>
      </c>
      <c r="X480" s="47" t="str">
        <f>VLOOKUP($A480,Category!$A:$E,5,0)</f>
        <v>MSS</v>
      </c>
      <c r="Y480" s="18" t="str">
        <f>VLOOKUP(A480,PAcc!$A$1:$J$27,10,0)</f>
        <v>#N/A</v>
      </c>
      <c r="Z480" s="42" t="b">
        <f t="shared" si="4"/>
        <v>0</v>
      </c>
      <c r="AA480" s="50">
        <v>0.4</v>
      </c>
      <c r="AB480" s="42" t="str">
        <f>VLOOKUP(A480,VlookupSheet!$A$383:$A$523,1,0)</f>
        <v>#N/A</v>
      </c>
      <c r="AC480" s="87">
        <v>0.008</v>
      </c>
      <c r="AD480" s="42">
        <f t="shared" si="57"/>
        <v>4114884.4</v>
      </c>
      <c r="AE480" s="42">
        <f t="shared" si="58"/>
        <v>40000</v>
      </c>
      <c r="AF480" s="123">
        <f t="shared" si="59"/>
        <v>0</v>
      </c>
    </row>
    <row r="481">
      <c r="A481" s="11" t="s">
        <v>2946</v>
      </c>
      <c r="B481" s="11" t="s">
        <v>2947</v>
      </c>
      <c r="C481" s="25"/>
      <c r="D481" s="11">
        <f t="shared" si="55"/>
        <v>1</v>
      </c>
      <c r="E481" s="11">
        <f t="shared" si="56"/>
        <v>20000</v>
      </c>
      <c r="F481" s="30" t="s">
        <v>311</v>
      </c>
      <c r="G481" s="11">
        <v>20000.0</v>
      </c>
      <c r="H481" s="31">
        <v>20000.0</v>
      </c>
      <c r="I481" s="11" t="s">
        <v>252</v>
      </c>
      <c r="J481" s="11" t="s">
        <v>77</v>
      </c>
      <c r="K481" s="38">
        <f t="shared" si="46"/>
        <v>1</v>
      </c>
      <c r="L481" s="18" t="s">
        <v>910</v>
      </c>
      <c r="M481" s="18" t="s">
        <v>736</v>
      </c>
      <c r="N481" s="42"/>
      <c r="O481" s="42"/>
      <c r="P481" s="42"/>
      <c r="Q481" s="42" t="str">
        <f>iferror(VLOOKUP(A481,'Positional cal'!A:H,1,0)=A481,"FALSE")</f>
        <v>FALSE</v>
      </c>
      <c r="R481" s="43" t="b">
        <f t="shared" si="3"/>
        <v>0</v>
      </c>
      <c r="S481" s="46">
        <f>IFERROR(VLOOKUP($A481,AlgoUi!$A:$X,21,0),"NA")</f>
        <v>7447488</v>
      </c>
      <c r="T481" s="46">
        <f>IFERROR(VLOOKUP($A481,AlgoUi!$A:$X,23,0),"")</f>
        <v>8000000</v>
      </c>
      <c r="U481" s="46">
        <f>IFERROR(VLOOKUP($A481,AlgoUi!$A:$X,24,0),"")</f>
        <v>80000</v>
      </c>
      <c r="V481" s="42" t="str">
        <f>IFERROR(__xludf.DUMMYFUNCTION("IFERROR(VLOOKUP(I481,IMPORTRANGE(""https://docs.google.com/spreadsheets/d/17FOIUYQAjPk1pPQIlvOgqYDBqwUqgb7KWzp4DtVksBk/edit?gid=0#gid=0"",""Servers!A:S""),19,FALSE), ""Not Running"")"),"PRACHI")</f>
        <v>PRACHI</v>
      </c>
      <c r="W481" s="47" t="str">
        <f>VLOOKUP($A481,Category!$A:$E,4,0)</f>
        <v>MS</v>
      </c>
      <c r="X481" s="47" t="str">
        <f>VLOOKUP($A481,Category!$A:$E,5,0)</f>
        <v>MSP</v>
      </c>
      <c r="Y481" s="18" t="str">
        <f>VLOOKUP(A481,PAcc!$A$1:$J$27,10,0)</f>
        <v>#N/A</v>
      </c>
      <c r="Z481" s="42" t="b">
        <f t="shared" si="4"/>
        <v>0</v>
      </c>
      <c r="AA481" s="50">
        <v>0.4</v>
      </c>
      <c r="AB481" s="42" t="str">
        <f>VLOOKUP(A481,VlookupSheet!$A$383:$A$523,1,0)</f>
        <v>#N/A</v>
      </c>
      <c r="AC481" s="87">
        <v>0.008</v>
      </c>
      <c r="AD481" s="42">
        <f t="shared" si="57"/>
        <v>2978995.2</v>
      </c>
      <c r="AE481" s="42">
        <f t="shared" si="58"/>
        <v>20000</v>
      </c>
      <c r="AF481" s="123">
        <f t="shared" si="59"/>
        <v>0</v>
      </c>
    </row>
    <row r="482">
      <c r="A482" s="11" t="s">
        <v>2953</v>
      </c>
      <c r="B482" s="24" t="s">
        <v>2954</v>
      </c>
      <c r="C482" s="25"/>
      <c r="D482" s="11">
        <f t="shared" si="55"/>
        <v>1</v>
      </c>
      <c r="E482" s="11">
        <f t="shared" si="56"/>
        <v>40000</v>
      </c>
      <c r="F482" s="60" t="s">
        <v>886</v>
      </c>
      <c r="G482" s="60">
        <v>40000.0</v>
      </c>
      <c r="H482" s="175">
        <v>40000.0</v>
      </c>
      <c r="I482" s="11" t="s">
        <v>252</v>
      </c>
      <c r="J482" s="11" t="s">
        <v>77</v>
      </c>
      <c r="K482" s="38">
        <f t="shared" si="46"/>
        <v>1</v>
      </c>
      <c r="L482" s="18" t="s">
        <v>910</v>
      </c>
      <c r="M482" s="18" t="s">
        <v>736</v>
      </c>
      <c r="N482" s="18">
        <v>1.0</v>
      </c>
      <c r="O482" s="42"/>
      <c r="P482" s="18" t="s">
        <v>848</v>
      </c>
      <c r="Q482" s="42" t="str">
        <f>iferror(VLOOKUP(A482,'Positional cal'!A:H,1,0)=A482,"FALSE")</f>
        <v>FALSE</v>
      </c>
      <c r="R482" s="43" t="b">
        <f t="shared" si="3"/>
        <v>0</v>
      </c>
      <c r="S482" s="46">
        <f>IFERROR(VLOOKUP($A482,AlgoUi!$A:$X,21,0),"NA")</f>
        <v>9999999</v>
      </c>
      <c r="T482" s="46">
        <f>IFERROR(VLOOKUP($A482,AlgoUi!$A:$X,23,0),"")</f>
        <v>10000000</v>
      </c>
      <c r="U482" s="46">
        <f>IFERROR(VLOOKUP($A482,AlgoUi!$A:$X,24,0),"")</f>
        <v>100000</v>
      </c>
      <c r="V482" s="42" t="str">
        <f>IFERROR(__xludf.DUMMYFUNCTION("IFERROR(VLOOKUP(I482,IMPORTRANGE(""https://docs.google.com/spreadsheets/d/17FOIUYQAjPk1pPQIlvOgqYDBqwUqgb7KWzp4DtVksBk/edit?gid=0#gid=0"",""Servers!A:S""),19,FALSE), ""Not Running"")"),"PRACHI")</f>
        <v>PRACHI</v>
      </c>
      <c r="W482" s="47" t="str">
        <f>VLOOKUP($A482,Category!$A:$E,4,0)</f>
        <v>MS</v>
      </c>
      <c r="X482" s="47" t="str">
        <f>VLOOKUP($A482,Category!$A:$E,5,0)</f>
        <v>MSS</v>
      </c>
      <c r="Y482" s="18" t="str">
        <f>VLOOKUP(A482,PAcc!$A$1:$J$27,10,0)</f>
        <v>#N/A</v>
      </c>
      <c r="Z482" s="42" t="b">
        <f t="shared" si="4"/>
        <v>0</v>
      </c>
      <c r="AA482" s="50">
        <v>0.4</v>
      </c>
      <c r="AB482" s="42" t="str">
        <f>VLOOKUP(A482,VlookupSheet!$A$383:$A$523,1,0)</f>
        <v>#N/A</v>
      </c>
      <c r="AC482" s="87">
        <v>0.008</v>
      </c>
      <c r="AD482" s="42">
        <f t="shared" si="57"/>
        <v>3999999.6</v>
      </c>
      <c r="AE482" s="42">
        <f t="shared" si="58"/>
        <v>40000</v>
      </c>
      <c r="AF482" s="123">
        <f t="shared" si="59"/>
        <v>0</v>
      </c>
    </row>
    <row r="483">
      <c r="A483" s="75" t="s">
        <v>832</v>
      </c>
      <c r="B483" s="11" t="s">
        <v>934</v>
      </c>
      <c r="C483" s="25"/>
      <c r="D483" s="11" t="s">
        <v>964</v>
      </c>
      <c r="E483" s="11">
        <f t="shared" ref="E483:E521" si="60">H483*D483</f>
        <v>140000</v>
      </c>
      <c r="F483" s="11" t="s">
        <v>751</v>
      </c>
      <c r="G483" s="31">
        <f>VLOOKUP(A483,'A8 Daily SL verification'!$A:$G,7,0)</f>
        <v>166802</v>
      </c>
      <c r="H483" s="31">
        <f>VLOOKUP(A483,'A8 Daily SL verification'!$A:$G,3,0)</f>
        <v>200000</v>
      </c>
      <c r="I483" s="11" t="s">
        <v>162</v>
      </c>
      <c r="J483" s="11" t="s">
        <v>586</v>
      </c>
      <c r="K483" s="38">
        <f t="shared" si="46"/>
        <v>0.83401</v>
      </c>
      <c r="L483" s="18" t="s">
        <v>1068</v>
      </c>
      <c r="M483" s="18" t="s">
        <v>1077</v>
      </c>
      <c r="N483" s="42"/>
      <c r="O483" s="42"/>
      <c r="P483" s="42"/>
      <c r="Q483" s="42" t="str">
        <f>iferror(VLOOKUP(A483,'Positional cal'!A:H,1,0)=A483,"FALSE")</f>
        <v>FALSE</v>
      </c>
      <c r="R483" s="43" t="b">
        <f t="shared" si="3"/>
        <v>0</v>
      </c>
      <c r="S483" s="46">
        <f>IFERROR(VLOOKUP($A483,AlgoUi!$A:$X,21,0),"NA")</f>
        <v>40000000</v>
      </c>
      <c r="T483" s="46">
        <f>IFERROR(VLOOKUP($A483,AlgoUi!$A:$X,23,0),"")</f>
        <v>40000000</v>
      </c>
      <c r="U483" s="46">
        <f>IFERROR(VLOOKUP($A483,AlgoUi!$A:$X,24,0),"")</f>
        <v>280000</v>
      </c>
      <c r="V483" s="42" t="str">
        <f>IFERROR(__xludf.DUMMYFUNCTION("IFERROR(VLOOKUP(I483,IMPORTRANGE(""https://docs.google.com/spreadsheets/d/17FOIUYQAjPk1pPQIlvOgqYDBqwUqgb7KWzp4DtVksBk/edit?gid=0#gid=0"",""Servers!A:S""),19,FALSE), ""Not Running"")"),"AYSHAJ")</f>
        <v>AYSHAJ</v>
      </c>
      <c r="W483" s="47" t="str">
        <f>VLOOKUP($A483,Category!$A:$E,4,0)</f>
        <v>MS</v>
      </c>
      <c r="X483" s="47" t="str">
        <f>VLOOKUP($A483,Category!$A:$E,5,0)</f>
        <v>MSR</v>
      </c>
      <c r="Y483" s="18" t="str">
        <f>VLOOKUP(A483,PAcc!$A$1:$J$27,10,0)</f>
        <v>#N/A</v>
      </c>
      <c r="Z483" s="42" t="b">
        <f t="shared" si="4"/>
        <v>0</v>
      </c>
      <c r="AA483" s="42"/>
      <c r="AB483" s="25" t="str">
        <f>VLOOKUP(A483,VlookupSheet!$A$383:$A$523,1,0)</f>
        <v>S0147</v>
      </c>
      <c r="AC483" s="87">
        <v>0.008</v>
      </c>
      <c r="AD483" s="42"/>
      <c r="AE483" s="42"/>
      <c r="AF483" s="42"/>
    </row>
    <row r="484">
      <c r="A484" s="11" t="s">
        <v>2677</v>
      </c>
      <c r="B484" s="24" t="s">
        <v>3586</v>
      </c>
      <c r="C484" s="25"/>
      <c r="D484" s="11" t="s">
        <v>77</v>
      </c>
      <c r="E484" s="11">
        <f t="shared" si="60"/>
        <v>1</v>
      </c>
      <c r="F484" s="30" t="s">
        <v>272</v>
      </c>
      <c r="G484" s="31">
        <v>1.0</v>
      </c>
      <c r="H484" s="31">
        <v>1.0</v>
      </c>
      <c r="I484" s="11" t="s">
        <v>267</v>
      </c>
      <c r="J484" s="11" t="s">
        <v>87</v>
      </c>
      <c r="K484" s="38">
        <f t="shared" si="46"/>
        <v>1</v>
      </c>
      <c r="L484" s="18" t="s">
        <v>268</v>
      </c>
      <c r="M484" s="18" t="s">
        <v>268</v>
      </c>
      <c r="N484" s="42"/>
      <c r="O484" s="42"/>
      <c r="P484" s="42"/>
      <c r="Q484" s="42" t="str">
        <f>iferror(VLOOKUP(A484,'Positional cal'!A:H,1,0)=A484,"FALSE")</f>
        <v>FALSE</v>
      </c>
      <c r="R484" s="43" t="b">
        <f t="shared" si="3"/>
        <v>0</v>
      </c>
      <c r="S484" s="46" t="str">
        <f>IFERROR(VLOOKUP($A484,AlgoUi!$A:$X,21,0),"NA")</f>
        <v/>
      </c>
      <c r="T484" s="46" t="str">
        <f>IFERROR(VLOOKUP($A484,AlgoUi!$A:$X,23,0),"")</f>
        <v/>
      </c>
      <c r="U484" s="46" t="str">
        <f>IFERROR(VLOOKUP($A484,AlgoUi!$A:$X,24,0),"")</f>
        <v/>
      </c>
      <c r="V484" s="42" t="str">
        <f>IFERROR(__xludf.DUMMYFUNCTION("IFERROR(VLOOKUP(I484,IMPORTRANGE(""https://docs.google.com/spreadsheets/d/17FOIUYQAjPk1pPQIlvOgqYDBqwUqgb7KWzp4DtVksBk/edit?gid=0#gid=0"",""Servers!A:S""),19,FALSE), ""Not Running"")"),"Not Running")</f>
        <v>Not Running</v>
      </c>
      <c r="W484" s="47" t="str">
        <f>VLOOKUP($A484,Category!$A:$E,4,0)</f>
        <v>MS</v>
      </c>
      <c r="X484" s="47" t="str">
        <f>VLOOKUP($A484,Category!$A:$E,5,0)</f>
        <v>MSJ</v>
      </c>
      <c r="Y484" s="18" t="str">
        <f>VLOOKUP(A484,PAcc!$A$1:$J$27,10,0)</f>
        <v>#N/A</v>
      </c>
      <c r="Z484" s="42" t="b">
        <f t="shared" si="4"/>
        <v>0</v>
      </c>
      <c r="AA484" s="50">
        <v>0.5</v>
      </c>
      <c r="AB484" s="42" t="str">
        <f>VLOOKUP(A484,VlookupSheet!$A$383:$A$523,1,0)</f>
        <v>#N/A</v>
      </c>
      <c r="AC484" s="87">
        <v>0.008</v>
      </c>
      <c r="AD484" s="42"/>
      <c r="AE484" s="42"/>
      <c r="AF484" s="42"/>
    </row>
    <row r="485">
      <c r="A485" s="30" t="s">
        <v>614</v>
      </c>
      <c r="B485" s="84" t="s">
        <v>1691</v>
      </c>
      <c r="C485" s="85"/>
      <c r="D485" s="11" t="s">
        <v>77</v>
      </c>
      <c r="E485" s="11">
        <f t="shared" si="60"/>
        <v>100000</v>
      </c>
      <c r="F485" s="30" t="s">
        <v>311</v>
      </c>
      <c r="G485" s="31">
        <f t="shared" ref="G485:G488" si="61">E485</f>
        <v>100000</v>
      </c>
      <c r="H485" s="31">
        <f>VLOOKUP(A485,'A8 Daily SL verification'!$A:$G,3,0)</f>
        <v>100000</v>
      </c>
      <c r="I485" s="34" t="s">
        <v>162</v>
      </c>
      <c r="J485" s="11" t="s">
        <v>586</v>
      </c>
      <c r="K485" s="38">
        <f t="shared" si="46"/>
        <v>1</v>
      </c>
      <c r="L485" s="18" t="s">
        <v>910</v>
      </c>
      <c r="M485" s="18" t="s">
        <v>736</v>
      </c>
      <c r="N485" s="74"/>
      <c r="O485" s="74"/>
      <c r="P485" s="74"/>
      <c r="Q485" s="42" t="str">
        <f>iferror(VLOOKUP(A485,'Positional cal'!A:H,1,0)=A485,"FALSE")</f>
        <v>FALSE</v>
      </c>
      <c r="R485" s="43" t="b">
        <f t="shared" si="3"/>
        <v>0</v>
      </c>
      <c r="S485" s="46">
        <f>IFERROR(VLOOKUP($A485,AlgoUi!$A:$X,21,0),"NA")</f>
        <v>23040263</v>
      </c>
      <c r="T485" s="46">
        <f>IFERROR(VLOOKUP($A485,AlgoUi!$A:$X,23,0),"")</f>
        <v>24000000</v>
      </c>
      <c r="U485" s="46">
        <f>IFERROR(VLOOKUP($A485,AlgoUi!$A:$X,24,0),"")</f>
        <v>168000</v>
      </c>
      <c r="V485" s="42" t="str">
        <f>IFERROR(__xludf.DUMMYFUNCTION("IFERROR(VLOOKUP(I485,IMPORTRANGE(""https://docs.google.com/spreadsheets/d/17FOIUYQAjPk1pPQIlvOgqYDBqwUqgb7KWzp4DtVksBk/edit?gid=0#gid=0"",""Servers!A:S""),19,FALSE), ""Not Running"")"),"AYSHAJ")</f>
        <v>AYSHAJ</v>
      </c>
      <c r="W485" s="47" t="str">
        <f>VLOOKUP($A485,Category!$A:$E,4,0)</f>
        <v>MS</v>
      </c>
      <c r="X485" s="47" t="str">
        <f>VLOOKUP($A485,Category!$A:$E,5,0)</f>
        <v>MSR</v>
      </c>
      <c r="Y485" s="18" t="str">
        <f>VLOOKUP(A485,PAcc!$A$1:$J$27,10,0)</f>
        <v>#N/A</v>
      </c>
      <c r="Z485" s="42" t="b">
        <f t="shared" si="4"/>
        <v>0</v>
      </c>
      <c r="AA485" s="50">
        <v>0.5</v>
      </c>
      <c r="AB485" s="42" t="str">
        <f>VLOOKUP(A485,VlookupSheet!$A$383:$A$523,1,0)</f>
        <v>#N/A</v>
      </c>
      <c r="AC485" s="87">
        <v>0.008</v>
      </c>
      <c r="AD485" s="42"/>
      <c r="AE485" s="42"/>
      <c r="AF485" s="42"/>
    </row>
    <row r="486">
      <c r="A486" s="30" t="s">
        <v>595</v>
      </c>
      <c r="B486" s="84" t="s">
        <v>1702</v>
      </c>
      <c r="C486" s="85"/>
      <c r="D486" s="11" t="s">
        <v>77</v>
      </c>
      <c r="E486" s="11">
        <f t="shared" si="60"/>
        <v>100000</v>
      </c>
      <c r="F486" s="30" t="s">
        <v>311</v>
      </c>
      <c r="G486" s="31">
        <f t="shared" si="61"/>
        <v>100000</v>
      </c>
      <c r="H486" s="31">
        <f>VLOOKUP(A486,'A8 Daily SL verification'!$A:$G,3,0)</f>
        <v>100000</v>
      </c>
      <c r="I486" s="34" t="s">
        <v>162</v>
      </c>
      <c r="J486" s="11" t="s">
        <v>586</v>
      </c>
      <c r="K486" s="38">
        <f t="shared" si="46"/>
        <v>1</v>
      </c>
      <c r="L486" s="18" t="s">
        <v>910</v>
      </c>
      <c r="M486" s="18" t="s">
        <v>736</v>
      </c>
      <c r="N486" s="34"/>
      <c r="O486" s="34"/>
      <c r="P486" s="34"/>
      <c r="Q486" s="42" t="str">
        <f>iferror(VLOOKUP(A486,'Positional cal'!A:H,1,0)=A486,"FALSE")</f>
        <v>FALSE</v>
      </c>
      <c r="R486" s="43" t="b">
        <f t="shared" si="3"/>
        <v>0</v>
      </c>
      <c r="S486" s="46">
        <f>IFERROR(VLOOKUP($A486,AlgoUi!$A:$X,21,0),"NA")</f>
        <v>35167489</v>
      </c>
      <c r="T486" s="46">
        <f>IFERROR(VLOOKUP($A486,AlgoUi!$A:$X,23,0),"")</f>
        <v>36000000</v>
      </c>
      <c r="U486" s="46">
        <f>IFERROR(VLOOKUP($A486,AlgoUi!$A:$X,24,0),"")</f>
        <v>252000</v>
      </c>
      <c r="V486" s="42" t="str">
        <f>IFERROR(__xludf.DUMMYFUNCTION("IFERROR(VLOOKUP(I486,IMPORTRANGE(""https://docs.google.com/spreadsheets/d/17FOIUYQAjPk1pPQIlvOgqYDBqwUqgb7KWzp4DtVksBk/edit?gid=0#gid=0"",""Servers!A:S""),19,FALSE), ""Not Running"")"),"AYSHAJ")</f>
        <v>AYSHAJ</v>
      </c>
      <c r="W486" s="47" t="str">
        <f>VLOOKUP($A486,Category!$A:$E,4,0)</f>
        <v>MS</v>
      </c>
      <c r="X486" s="47" t="str">
        <f>VLOOKUP($A486,Category!$A:$E,5,0)</f>
        <v>MSP</v>
      </c>
      <c r="Y486" s="18" t="str">
        <f>VLOOKUP(A486,PAcc!$A$1:$J$27,10,0)</f>
        <v>#N/A</v>
      </c>
      <c r="Z486" s="42" t="b">
        <f t="shared" si="4"/>
        <v>0</v>
      </c>
      <c r="AA486" s="50">
        <v>0.5</v>
      </c>
      <c r="AB486" s="42" t="str">
        <f>VLOOKUP(A486,VlookupSheet!$A$383:$A$523,1,0)</f>
        <v>#N/A</v>
      </c>
      <c r="AC486" s="87">
        <v>0.008</v>
      </c>
      <c r="AD486" s="42"/>
      <c r="AE486" s="42"/>
      <c r="AF486" s="42"/>
    </row>
    <row r="487">
      <c r="A487" s="30" t="s">
        <v>601</v>
      </c>
      <c r="B487" s="84" t="s">
        <v>2637</v>
      </c>
      <c r="C487" s="85"/>
      <c r="D487" s="11" t="s">
        <v>77</v>
      </c>
      <c r="E487" s="11">
        <f t="shared" si="60"/>
        <v>100000</v>
      </c>
      <c r="F487" s="30" t="s">
        <v>311</v>
      </c>
      <c r="G487" s="31">
        <f t="shared" si="61"/>
        <v>100000</v>
      </c>
      <c r="H487" s="31">
        <f>VLOOKUP(A487,'A8 Daily SL verification'!$A:$G,3,0)</f>
        <v>100000</v>
      </c>
      <c r="I487" s="34" t="s">
        <v>162</v>
      </c>
      <c r="J487" s="11" t="s">
        <v>586</v>
      </c>
      <c r="K487" s="38">
        <f t="shared" si="46"/>
        <v>1</v>
      </c>
      <c r="L487" s="18" t="s">
        <v>910</v>
      </c>
      <c r="M487" s="18" t="s">
        <v>736</v>
      </c>
      <c r="N487" s="74"/>
      <c r="O487" s="74"/>
      <c r="P487" s="74"/>
      <c r="Q487" s="42" t="str">
        <f>iferror(VLOOKUP(A487,'Positional cal'!A:H,1,0)=A487,"FALSE")</f>
        <v>FALSE</v>
      </c>
      <c r="R487" s="43" t="b">
        <f t="shared" si="3"/>
        <v>0</v>
      </c>
      <c r="S487" s="46">
        <f>IFERROR(VLOOKUP($A487,AlgoUi!$A:$X,21,0),"NA")</f>
        <v>20760565</v>
      </c>
      <c r="T487" s="46">
        <f>IFERROR(VLOOKUP($A487,AlgoUi!$A:$X,23,0),"")</f>
        <v>20000000</v>
      </c>
      <c r="U487" s="46">
        <f>IFERROR(VLOOKUP($A487,AlgoUi!$A:$X,24,0),"")</f>
        <v>140000</v>
      </c>
      <c r="V487" s="42" t="str">
        <f>IFERROR(__xludf.DUMMYFUNCTION("IFERROR(VLOOKUP(I487,IMPORTRANGE(""https://docs.google.com/spreadsheets/d/17FOIUYQAjPk1pPQIlvOgqYDBqwUqgb7KWzp4DtVksBk/edit?gid=0#gid=0"",""Servers!A:S""),19,FALSE), ""Not Running"")"),"AYSHAJ")</f>
        <v>AYSHAJ</v>
      </c>
      <c r="W487" s="47" t="str">
        <f>VLOOKUP($A487,Category!$A:$E,4,0)</f>
        <v>MS</v>
      </c>
      <c r="X487" s="47" t="str">
        <f>VLOOKUP($A487,Category!$A:$E,5,0)</f>
        <v>MSR</v>
      </c>
      <c r="Y487" s="18" t="str">
        <f>VLOOKUP(A487,PAcc!$A$1:$J$27,10,0)</f>
        <v>#N/A</v>
      </c>
      <c r="Z487" s="42" t="b">
        <f t="shared" si="4"/>
        <v>0</v>
      </c>
      <c r="AA487" s="50">
        <v>0.5</v>
      </c>
      <c r="AB487" s="42" t="str">
        <f>VLOOKUP(A487,VlookupSheet!$A$383:$A$523,1,0)</f>
        <v>#N/A</v>
      </c>
      <c r="AC487" s="87">
        <v>0.008</v>
      </c>
      <c r="AD487" s="42"/>
      <c r="AE487" s="42"/>
      <c r="AF487" s="42"/>
    </row>
    <row r="488">
      <c r="A488" s="30" t="s">
        <v>604</v>
      </c>
      <c r="B488" s="84" t="s">
        <v>1566</v>
      </c>
      <c r="C488" s="30" t="s">
        <v>320</v>
      </c>
      <c r="D488" s="11" t="s">
        <v>77</v>
      </c>
      <c r="E488" s="11">
        <f t="shared" si="60"/>
        <v>100000</v>
      </c>
      <c r="F488" s="30" t="s">
        <v>311</v>
      </c>
      <c r="G488" s="31">
        <f t="shared" si="61"/>
        <v>100000</v>
      </c>
      <c r="H488" s="31">
        <f>VLOOKUP(A488,'A8 Daily SL verification'!$A:$G,3,0)</f>
        <v>100000</v>
      </c>
      <c r="I488" s="34" t="s">
        <v>162</v>
      </c>
      <c r="J488" s="11" t="s">
        <v>586</v>
      </c>
      <c r="K488" s="38">
        <f t="shared" si="46"/>
        <v>1</v>
      </c>
      <c r="L488" s="18" t="s">
        <v>910</v>
      </c>
      <c r="M488" s="18" t="s">
        <v>736</v>
      </c>
      <c r="N488" s="74"/>
      <c r="O488" s="74"/>
      <c r="P488" s="74"/>
      <c r="Q488" s="42" t="str">
        <f>iferror(VLOOKUP(A488,'Positional cal'!A:H,1,0)=A488,"FALSE")</f>
        <v>FALSE</v>
      </c>
      <c r="R488" s="43" t="b">
        <f t="shared" si="3"/>
        <v>0</v>
      </c>
      <c r="S488" s="46">
        <f>IFERROR(VLOOKUP($A488,AlgoUi!$A:$X,21,0),"NA")</f>
        <v>20943098</v>
      </c>
      <c r="T488" s="46">
        <f>IFERROR(VLOOKUP($A488,AlgoUi!$A:$X,23,0),"")</f>
        <v>20000000</v>
      </c>
      <c r="U488" s="46">
        <f>IFERROR(VLOOKUP($A488,AlgoUi!$A:$X,24,0),"")</f>
        <v>140000</v>
      </c>
      <c r="V488" s="42" t="str">
        <f>IFERROR(__xludf.DUMMYFUNCTION("IFERROR(VLOOKUP(I488,IMPORTRANGE(""https://docs.google.com/spreadsheets/d/17FOIUYQAjPk1pPQIlvOgqYDBqwUqgb7KWzp4DtVksBk/edit?gid=0#gid=0"",""Servers!A:S""),19,FALSE), ""Not Running"")"),"AYSHAJ")</f>
        <v>AYSHAJ</v>
      </c>
      <c r="W488" s="47" t="str">
        <f>VLOOKUP($A488,Category!$A:$E,4,0)</f>
        <v>MS</v>
      </c>
      <c r="X488" s="47" t="str">
        <f>VLOOKUP($A488,Category!$A:$E,5,0)</f>
        <v>MSR</v>
      </c>
      <c r="Y488" s="18" t="str">
        <f>VLOOKUP(A488,PAcc!$A$1:$J$27,10,0)</f>
        <v>#N/A</v>
      </c>
      <c r="Z488" s="42" t="b">
        <f t="shared" si="4"/>
        <v>0</v>
      </c>
      <c r="AA488" s="50">
        <v>0.5</v>
      </c>
      <c r="AB488" s="42" t="str">
        <f>VLOOKUP(A488,VlookupSheet!$A$383:$A$523,1,0)</f>
        <v>#N/A</v>
      </c>
      <c r="AC488" s="87">
        <v>0.008</v>
      </c>
      <c r="AD488" s="42"/>
      <c r="AE488" s="42"/>
      <c r="AF488" s="42"/>
    </row>
    <row r="489">
      <c r="A489" s="30" t="s">
        <v>609</v>
      </c>
      <c r="B489" s="84" t="s">
        <v>932</v>
      </c>
      <c r="C489" s="30" t="s">
        <v>320</v>
      </c>
      <c r="D489" s="11" t="s">
        <v>964</v>
      </c>
      <c r="E489" s="11">
        <f t="shared" si="60"/>
        <v>140000</v>
      </c>
      <c r="F489" s="30" t="s">
        <v>311</v>
      </c>
      <c r="G489" s="31">
        <f>VLOOKUP(A489,'A8 Daily SL verification'!$A:$G,7,0)</f>
        <v>167043</v>
      </c>
      <c r="H489" s="31">
        <f>VLOOKUP(A489,'A8 Daily SL verification'!$A:$G,3,0)</f>
        <v>200000</v>
      </c>
      <c r="I489" s="34" t="s">
        <v>162</v>
      </c>
      <c r="J489" s="11" t="s">
        <v>586</v>
      </c>
      <c r="K489" s="38">
        <f t="shared" si="46"/>
        <v>0.835215</v>
      </c>
      <c r="L489" s="18" t="s">
        <v>1068</v>
      </c>
      <c r="M489" s="18" t="s">
        <v>1077</v>
      </c>
      <c r="N489" s="74"/>
      <c r="O489" s="74"/>
      <c r="P489" s="74"/>
      <c r="Q489" s="42" t="str">
        <f>iferror(VLOOKUP(A489,'Positional cal'!A:H,1,0)=A489,"FALSE")</f>
        <v>FALSE</v>
      </c>
      <c r="R489" s="43" t="b">
        <f t="shared" si="3"/>
        <v>0</v>
      </c>
      <c r="S489" s="46">
        <f>IFERROR(VLOOKUP($A489,AlgoUi!$A:$X,21,0),"NA")</f>
        <v>161000000</v>
      </c>
      <c r="T489" s="46">
        <f>IFERROR(VLOOKUP($A489,AlgoUi!$A:$X,23,0),"")</f>
        <v>160000000</v>
      </c>
      <c r="U489" s="46">
        <f>IFERROR(VLOOKUP($A489,AlgoUi!$A:$X,24,0),"")</f>
        <v>1120000</v>
      </c>
      <c r="V489" s="42" t="str">
        <f>IFERROR(__xludf.DUMMYFUNCTION("IFERROR(VLOOKUP(I489,IMPORTRANGE(""https://docs.google.com/spreadsheets/d/17FOIUYQAjPk1pPQIlvOgqYDBqwUqgb7KWzp4DtVksBk/edit?gid=0#gid=0"",""Servers!A:S""),19,FALSE), ""Not Running"")"),"AYSHAJ")</f>
        <v>AYSHAJ</v>
      </c>
      <c r="W489" s="47" t="str">
        <f>VLOOKUP($A489,Category!$A:$E,4,0)</f>
        <v>MS</v>
      </c>
      <c r="X489" s="47" t="str">
        <f>VLOOKUP($A489,Category!$A:$E,5,0)</f>
        <v>MSR</v>
      </c>
      <c r="Y489" s="18" t="str">
        <f>VLOOKUP(A489,PAcc!$A$1:$J$27,10,0)</f>
        <v>#N/A</v>
      </c>
      <c r="Z489" s="42" t="b">
        <f t="shared" si="4"/>
        <v>0</v>
      </c>
      <c r="AA489" s="30"/>
      <c r="AB489" s="25" t="str">
        <f>VLOOKUP(A489,VlookupSheet!$A$383:$A$523,1,0)</f>
        <v>RAJMOTOR</v>
      </c>
      <c r="AC489" s="87">
        <v>0.008</v>
      </c>
      <c r="AD489" s="42"/>
      <c r="AE489" s="42"/>
      <c r="AF489" s="42"/>
    </row>
    <row r="490">
      <c r="A490" s="30" t="s">
        <v>351</v>
      </c>
      <c r="B490" s="84" t="s">
        <v>2058</v>
      </c>
      <c r="C490" s="85"/>
      <c r="D490" s="11" t="s">
        <v>77</v>
      </c>
      <c r="E490" s="11">
        <f t="shared" si="60"/>
        <v>100000</v>
      </c>
      <c r="F490" s="71" t="s">
        <v>311</v>
      </c>
      <c r="G490" s="31">
        <f>E490</f>
        <v>100000</v>
      </c>
      <c r="H490" s="31">
        <f>VLOOKUP(A490,'A8 Daily SL verification'!$A:$G,3,0)</f>
        <v>100000</v>
      </c>
      <c r="I490" s="34" t="s">
        <v>162</v>
      </c>
      <c r="J490" s="30" t="s">
        <v>586</v>
      </c>
      <c r="K490" s="38">
        <f t="shared" si="46"/>
        <v>1</v>
      </c>
      <c r="L490" s="18" t="s">
        <v>910</v>
      </c>
      <c r="M490" s="18" t="s">
        <v>736</v>
      </c>
      <c r="N490" s="34"/>
      <c r="O490" s="34"/>
      <c r="P490" s="34"/>
      <c r="Q490" s="42" t="str">
        <f>iferror(VLOOKUP(A490,'Positional cal'!A:H,1,0)=A490,"FALSE")</f>
        <v>FALSE</v>
      </c>
      <c r="R490" s="43" t="b">
        <f t="shared" si="3"/>
        <v>0</v>
      </c>
      <c r="S490" s="46">
        <f>IFERROR(VLOOKUP($A490,AlgoUi!$A:$X,21,0),"NA")</f>
        <v>22649101</v>
      </c>
      <c r="T490" s="46">
        <f>IFERROR(VLOOKUP($A490,AlgoUi!$A:$X,23,0),"")</f>
        <v>22000000</v>
      </c>
      <c r="U490" s="46">
        <f>IFERROR(VLOOKUP($A490,AlgoUi!$A:$X,24,0),"")</f>
        <v>154000</v>
      </c>
      <c r="V490" s="42" t="str">
        <f>IFERROR(__xludf.DUMMYFUNCTION("IFERROR(VLOOKUP(I490,IMPORTRANGE(""https://docs.google.com/spreadsheets/d/17FOIUYQAjPk1pPQIlvOgqYDBqwUqgb7KWzp4DtVksBk/edit?gid=0#gid=0"",""Servers!A:S""),19,FALSE), ""Not Running"")"),"AYSHAJ")</f>
        <v>AYSHAJ</v>
      </c>
      <c r="W490" s="47" t="str">
        <f>VLOOKUP($A490,Category!$A:$E,4,0)</f>
        <v>MS</v>
      </c>
      <c r="X490" s="47" t="str">
        <f>VLOOKUP($A490,Category!$A:$E,5,0)</f>
        <v>MSR</v>
      </c>
      <c r="Y490" s="18" t="str">
        <f>VLOOKUP(A490,PAcc!$A$1:$J$27,10,0)</f>
        <v>#N/A</v>
      </c>
      <c r="Z490" s="42" t="b">
        <f t="shared" si="4"/>
        <v>0</v>
      </c>
      <c r="AA490" s="50">
        <v>0.5</v>
      </c>
      <c r="AB490" s="42" t="str">
        <f>VLOOKUP(A490,VlookupSheet!$A$383:$A$523,1,0)</f>
        <v>#N/A</v>
      </c>
      <c r="AC490" s="87">
        <v>0.008</v>
      </c>
      <c r="AD490" s="42"/>
      <c r="AE490" s="42"/>
      <c r="AF490" s="42"/>
    </row>
    <row r="491">
      <c r="A491" s="30" t="s">
        <v>658</v>
      </c>
      <c r="B491" s="84" t="s">
        <v>929</v>
      </c>
      <c r="C491" s="25"/>
      <c r="D491" s="11" t="s">
        <v>964</v>
      </c>
      <c r="E491" s="11">
        <f t="shared" si="60"/>
        <v>420000</v>
      </c>
      <c r="F491" s="75" t="s">
        <v>297</v>
      </c>
      <c r="G491" s="31">
        <f>VLOOKUP(A491,'A8 Daily SL verification'!$A:$G,7,0)</f>
        <v>560923</v>
      </c>
      <c r="H491" s="31">
        <f>VLOOKUP(A491,'A8 Daily SL verification'!$A:$G,3,0)</f>
        <v>600000</v>
      </c>
      <c r="I491" s="34" t="s">
        <v>162</v>
      </c>
      <c r="J491" s="11" t="s">
        <v>586</v>
      </c>
      <c r="K491" s="38">
        <f t="shared" si="46"/>
        <v>0.9348716667</v>
      </c>
      <c r="L491" s="18" t="s">
        <v>1068</v>
      </c>
      <c r="M491" s="18" t="s">
        <v>1077</v>
      </c>
      <c r="N491" s="42"/>
      <c r="O491" s="42"/>
      <c r="P491" s="42"/>
      <c r="Q491" s="42" t="str">
        <f>iferror(VLOOKUP(A491,'Positional cal'!A:H,1,0)=A491,"FALSE")</f>
        <v>FALSE</v>
      </c>
      <c r="R491" s="43" t="b">
        <f t="shared" si="3"/>
        <v>0</v>
      </c>
      <c r="S491" s="46">
        <f>IFERROR(VLOOKUP($A491,AlgoUi!$A:$X,21,0),"NA")</f>
        <v>60000000</v>
      </c>
      <c r="T491" s="46">
        <f>IFERROR(VLOOKUP($A491,AlgoUi!$A:$X,23,0),"")</f>
        <v>60000000</v>
      </c>
      <c r="U491" s="46">
        <f>IFERROR(VLOOKUP($A491,AlgoUi!$A:$X,24,0),"")</f>
        <v>420000</v>
      </c>
      <c r="V491" s="42" t="str">
        <f>IFERROR(__xludf.DUMMYFUNCTION("IFERROR(VLOOKUP(I491,IMPORTRANGE(""https://docs.google.com/spreadsheets/d/17FOIUYQAjPk1pPQIlvOgqYDBqwUqgb7KWzp4DtVksBk/edit?gid=0#gid=0"",""Servers!A:S""),19,FALSE), ""Not Running"")"),"AYSHAJ")</f>
        <v>AYSHAJ</v>
      </c>
      <c r="W491" s="47" t="str">
        <f>VLOOKUP($A491,Category!$A:$E,4,0)</f>
        <v>CC</v>
      </c>
      <c r="X491" s="47" t="str">
        <f>VLOOKUP($A491,Category!$A:$E,5,0)</f>
        <v>CCG</v>
      </c>
      <c r="Y491" s="18" t="str">
        <f>VLOOKUP(A491,PAcc!$A$1:$J$27,10,0)</f>
        <v>#N/A</v>
      </c>
      <c r="Z491" s="42" t="b">
        <f t="shared" si="4"/>
        <v>1</v>
      </c>
      <c r="AA491" s="50">
        <v>1.0</v>
      </c>
      <c r="AB491" s="25" t="str">
        <f>VLOOKUP(A491,VlookupSheet!$A$383:$A$523,1,0)</f>
        <v>GSPL20</v>
      </c>
      <c r="AC491" s="87">
        <v>0.008</v>
      </c>
      <c r="AD491" s="42"/>
      <c r="AE491" s="42"/>
      <c r="AF491" s="42"/>
    </row>
    <row r="492">
      <c r="A492" s="30" t="s">
        <v>659</v>
      </c>
      <c r="B492" s="84" t="s">
        <v>316</v>
      </c>
      <c r="C492" s="25"/>
      <c r="D492" s="11" t="s">
        <v>964</v>
      </c>
      <c r="E492" s="11">
        <f t="shared" si="60"/>
        <v>140000</v>
      </c>
      <c r="F492" s="11" t="s">
        <v>317</v>
      </c>
      <c r="G492" s="31">
        <f>VLOOKUP(A492,'A8 Daily SL verification'!$A:$G,7,0)</f>
        <v>187210</v>
      </c>
      <c r="H492" s="31">
        <f>VLOOKUP(A492,'A8 Daily SL verification'!$A:$G,3,0)</f>
        <v>200000</v>
      </c>
      <c r="I492" s="34" t="s">
        <v>162</v>
      </c>
      <c r="J492" s="11" t="s">
        <v>586</v>
      </c>
      <c r="K492" s="38">
        <f t="shared" si="46"/>
        <v>0.93605</v>
      </c>
      <c r="L492" s="18" t="s">
        <v>1068</v>
      </c>
      <c r="M492" s="18" t="s">
        <v>1077</v>
      </c>
      <c r="N492" s="42"/>
      <c r="O492" s="42"/>
      <c r="P492" s="42"/>
      <c r="Q492" s="42" t="str">
        <f>iferror(VLOOKUP(A492,'Positional cal'!A:H,1,0)=A492,"FALSE")</f>
        <v>FALSE</v>
      </c>
      <c r="R492" s="43" t="b">
        <f t="shared" si="3"/>
        <v>0</v>
      </c>
      <c r="S492" s="46">
        <f>IFERROR(VLOOKUP($A492,AlgoUi!$A:$X,21,0),"NA")</f>
        <v>20000000</v>
      </c>
      <c r="T492" s="46">
        <f>IFERROR(VLOOKUP($A492,AlgoUi!$A:$X,23,0),"")</f>
        <v>20000000</v>
      </c>
      <c r="U492" s="46">
        <f>IFERROR(VLOOKUP($A492,AlgoUi!$A:$X,24,0),"")</f>
        <v>140000</v>
      </c>
      <c r="V492" s="42" t="str">
        <f>IFERROR(__xludf.DUMMYFUNCTION("IFERROR(VLOOKUP(I492,IMPORTRANGE(""https://docs.google.com/spreadsheets/d/17FOIUYQAjPk1pPQIlvOgqYDBqwUqgb7KWzp4DtVksBk/edit?gid=0#gid=0"",""Servers!A:S""),19,FALSE), ""Not Running"")"),"AYSHAJ")</f>
        <v>AYSHAJ</v>
      </c>
      <c r="W492" s="47" t="str">
        <f>VLOOKUP($A492,Category!$A:$E,4,0)</f>
        <v>CC</v>
      </c>
      <c r="X492" s="47" t="str">
        <f>VLOOKUP($A492,Category!$A:$E,5,0)</f>
        <v>CCV</v>
      </c>
      <c r="Y492" s="18" t="str">
        <f>VLOOKUP(A492,PAcc!$A$1:$J$27,10,0)</f>
        <v>#N/A</v>
      </c>
      <c r="Z492" s="42" t="b">
        <f t="shared" si="4"/>
        <v>1</v>
      </c>
      <c r="AA492" s="50">
        <v>0.6</v>
      </c>
      <c r="AB492" s="25" t="str">
        <f>VLOOKUP(A492,VlookupSheet!$A$383:$A$523,1,0)</f>
        <v>SF195</v>
      </c>
      <c r="AC492" s="87">
        <v>0.008</v>
      </c>
      <c r="AD492" s="42"/>
      <c r="AE492" s="42"/>
      <c r="AF492" s="42"/>
    </row>
    <row r="493">
      <c r="A493" s="152" t="s">
        <v>660</v>
      </c>
      <c r="B493" s="24" t="s">
        <v>3252</v>
      </c>
      <c r="C493" s="25"/>
      <c r="D493" s="11" t="s">
        <v>77</v>
      </c>
      <c r="E493" s="11">
        <f t="shared" si="60"/>
        <v>200000</v>
      </c>
      <c r="F493" s="11" t="s">
        <v>2402</v>
      </c>
      <c r="G493" s="31">
        <f t="shared" ref="G493:G498" si="62">E493</f>
        <v>200000</v>
      </c>
      <c r="H493" s="31">
        <f>VLOOKUP(A493,'A8 Daily SL verification'!$A:$G,3,0)</f>
        <v>200000</v>
      </c>
      <c r="I493" s="34" t="s">
        <v>162</v>
      </c>
      <c r="J493" s="11" t="s">
        <v>586</v>
      </c>
      <c r="K493" s="38">
        <f t="shared" si="46"/>
        <v>1</v>
      </c>
      <c r="L493" s="18" t="s">
        <v>910</v>
      </c>
      <c r="M493" s="18" t="s">
        <v>736</v>
      </c>
      <c r="N493" s="42"/>
      <c r="O493" s="42"/>
      <c r="P493" s="42"/>
      <c r="Q493" s="42" t="str">
        <f>iferror(VLOOKUP(A493,'Positional cal'!A:H,1,0)=A493,"FALSE")</f>
        <v>FALSE</v>
      </c>
      <c r="R493" s="43" t="b">
        <f t="shared" si="3"/>
        <v>0</v>
      </c>
      <c r="S493" s="46">
        <f>IFERROR(VLOOKUP($A493,AlgoUi!$A:$X,21,0),"NA")</f>
        <v>10000000000</v>
      </c>
      <c r="T493" s="46">
        <f>IFERROR(VLOOKUP($A493,AlgoUi!$A:$X,23,0),"")</f>
        <v>10000000000</v>
      </c>
      <c r="U493" s="46">
        <f>IFERROR(VLOOKUP($A493,AlgoUi!$A:$X,24,0),"")</f>
        <v>70000000</v>
      </c>
      <c r="V493" s="42" t="str">
        <f>IFERROR(__xludf.DUMMYFUNCTION("IFERROR(VLOOKUP(I493,IMPORTRANGE(""https://docs.google.com/spreadsheets/d/17FOIUYQAjPk1pPQIlvOgqYDBqwUqgb7KWzp4DtVksBk/edit?gid=0#gid=0"",""Servers!A:S""),19,FALSE), ""Not Running"")"),"AYSHAJ")</f>
        <v>AYSHAJ</v>
      </c>
      <c r="W493" s="47" t="str">
        <f>VLOOKUP($A493,Category!$A:$E,4,0)</f>
        <v>MS</v>
      </c>
      <c r="X493" s="47" t="str">
        <f>VLOOKUP($A493,Category!$A:$E,5,0)</f>
        <v>MSR</v>
      </c>
      <c r="Y493" s="18" t="str">
        <f>VLOOKUP(A493,PAcc!$A$1:$J$27,10,0)</f>
        <v>#N/A</v>
      </c>
      <c r="Z493" s="42" t="b">
        <f t="shared" si="4"/>
        <v>0</v>
      </c>
      <c r="AA493" s="42"/>
      <c r="AB493" s="25" t="str">
        <f>VLOOKUP(A493,VlookupSheet!$A$383:$A$523,1,0)</f>
        <v>GI1654</v>
      </c>
      <c r="AC493" s="87">
        <v>0.008</v>
      </c>
      <c r="AD493" s="42"/>
      <c r="AE493" s="42"/>
      <c r="AF493" s="42"/>
    </row>
    <row r="494">
      <c r="A494" s="30" t="s">
        <v>661</v>
      </c>
      <c r="B494" s="84" t="s">
        <v>1469</v>
      </c>
      <c r="C494" s="85"/>
      <c r="D494" s="11" t="s">
        <v>77</v>
      </c>
      <c r="E494" s="11">
        <f t="shared" si="60"/>
        <v>100000</v>
      </c>
      <c r="F494" s="30" t="s">
        <v>311</v>
      </c>
      <c r="G494" s="31">
        <f t="shared" si="62"/>
        <v>100000</v>
      </c>
      <c r="H494" s="31">
        <f>VLOOKUP(A494,'A8 Daily SL verification'!$A:$G,3,0)</f>
        <v>100000</v>
      </c>
      <c r="I494" s="34" t="s">
        <v>162</v>
      </c>
      <c r="J494" s="11" t="s">
        <v>586</v>
      </c>
      <c r="K494" s="38">
        <f t="shared" si="46"/>
        <v>1</v>
      </c>
      <c r="L494" s="18" t="s">
        <v>910</v>
      </c>
      <c r="M494" s="18" t="s">
        <v>736</v>
      </c>
      <c r="N494" s="74"/>
      <c r="O494" s="74"/>
      <c r="P494" s="74"/>
      <c r="Q494" s="42" t="str">
        <f>iferror(VLOOKUP(A494,'Positional cal'!A:H,1,0)=A494,"FALSE")</f>
        <v>FALSE</v>
      </c>
      <c r="R494" s="43" t="b">
        <f t="shared" si="3"/>
        <v>0</v>
      </c>
      <c r="S494" s="46">
        <f>IFERROR(VLOOKUP($A494,AlgoUi!$A:$X,21,0),"NA")</f>
        <v>24394884</v>
      </c>
      <c r="T494" s="46">
        <f>IFERROR(VLOOKUP($A494,AlgoUi!$A:$X,23,0),"")</f>
        <v>24000000</v>
      </c>
      <c r="U494" s="46">
        <f>IFERROR(VLOOKUP($A494,AlgoUi!$A:$X,24,0),"")</f>
        <v>168000</v>
      </c>
      <c r="V494" s="42" t="str">
        <f>IFERROR(__xludf.DUMMYFUNCTION("IFERROR(VLOOKUP(I494,IMPORTRANGE(""https://docs.google.com/spreadsheets/d/17FOIUYQAjPk1pPQIlvOgqYDBqwUqgb7KWzp4DtVksBk/edit?gid=0#gid=0"",""Servers!A:S""),19,FALSE), ""Not Running"")"),"AYSHAJ")</f>
        <v>AYSHAJ</v>
      </c>
      <c r="W494" s="47" t="str">
        <f>VLOOKUP($A494,Category!$A:$E,4,0)</f>
        <v>MS</v>
      </c>
      <c r="X494" s="47" t="str">
        <f>VLOOKUP($A494,Category!$A:$E,5,0)</f>
        <v>MSR</v>
      </c>
      <c r="Y494" s="18" t="str">
        <f>VLOOKUP(A494,PAcc!$A$1:$J$27,10,0)</f>
        <v>#N/A</v>
      </c>
      <c r="Z494" s="42" t="b">
        <f t="shared" si="4"/>
        <v>0</v>
      </c>
      <c r="AA494" s="50">
        <v>0.5</v>
      </c>
      <c r="AB494" s="42" t="str">
        <f>VLOOKUP(A494,VlookupSheet!$A$383:$A$523,1,0)</f>
        <v>#N/A</v>
      </c>
      <c r="AC494" s="87">
        <v>0.008</v>
      </c>
      <c r="AD494" s="42"/>
      <c r="AE494" s="42"/>
      <c r="AF494" s="42"/>
    </row>
    <row r="495">
      <c r="A495" s="11" t="s">
        <v>781</v>
      </c>
      <c r="B495" s="24" t="s">
        <v>2563</v>
      </c>
      <c r="C495" s="25"/>
      <c r="D495" s="11" t="s">
        <v>77</v>
      </c>
      <c r="E495" s="11">
        <f t="shared" si="60"/>
        <v>100000</v>
      </c>
      <c r="F495" s="30" t="s">
        <v>311</v>
      </c>
      <c r="G495" s="31">
        <f t="shared" si="62"/>
        <v>100000</v>
      </c>
      <c r="H495" s="31">
        <f>VLOOKUP(A495,'A8 Daily SL verification'!$A:$G,3,0)</f>
        <v>100000</v>
      </c>
      <c r="I495" s="11" t="s">
        <v>162</v>
      </c>
      <c r="J495" s="11" t="s">
        <v>586</v>
      </c>
      <c r="K495" s="38">
        <f t="shared" si="46"/>
        <v>1</v>
      </c>
      <c r="L495" s="18" t="s">
        <v>910</v>
      </c>
      <c r="M495" s="18" t="s">
        <v>736</v>
      </c>
      <c r="N495" s="42"/>
      <c r="O495" s="42"/>
      <c r="P495" s="42"/>
      <c r="Q495" s="42" t="str">
        <f>iferror(VLOOKUP(A495,'Positional cal'!A:H,1,0)=A495,"FALSE")</f>
        <v>FALSE</v>
      </c>
      <c r="R495" s="43" t="b">
        <f t="shared" si="3"/>
        <v>0</v>
      </c>
      <c r="S495" s="46">
        <f>IFERROR(VLOOKUP($A495,AlgoUi!$A:$X,21,0),"NA")</f>
        <v>22753979</v>
      </c>
      <c r="T495" s="46">
        <f>IFERROR(VLOOKUP($A495,AlgoUi!$A:$X,23,0),"")</f>
        <v>22000000</v>
      </c>
      <c r="U495" s="46">
        <f>IFERROR(VLOOKUP($A495,AlgoUi!$A:$X,24,0),"")</f>
        <v>154000</v>
      </c>
      <c r="V495" s="42" t="str">
        <f>IFERROR(__xludf.DUMMYFUNCTION("IFERROR(VLOOKUP(I495,IMPORTRANGE(""https://docs.google.com/spreadsheets/d/17FOIUYQAjPk1pPQIlvOgqYDBqwUqgb7KWzp4DtVksBk/edit?gid=0#gid=0"",""Servers!A:S""),19,FALSE), ""Not Running"")"),"AYSHAJ")</f>
        <v>AYSHAJ</v>
      </c>
      <c r="W495" s="47" t="str">
        <f>VLOOKUP($A495,Category!$A:$E,4,0)</f>
        <v>MS</v>
      </c>
      <c r="X495" s="47" t="str">
        <f>VLOOKUP($A495,Category!$A:$E,5,0)</f>
        <v>MSN</v>
      </c>
      <c r="Y495" s="18" t="str">
        <f>VLOOKUP(A495,PAcc!$A$1:$J$27,10,0)</f>
        <v>#N/A</v>
      </c>
      <c r="Z495" s="42" t="b">
        <f t="shared" si="4"/>
        <v>0</v>
      </c>
      <c r="AA495" s="50">
        <v>0.5</v>
      </c>
      <c r="AB495" s="42" t="str">
        <f>VLOOKUP(A495,VlookupSheet!$A$383:$A$523,1,0)</f>
        <v>#N/A</v>
      </c>
      <c r="AC495" s="87">
        <v>0.008</v>
      </c>
      <c r="AD495" s="42"/>
      <c r="AE495" s="42"/>
      <c r="AF495" s="42"/>
    </row>
    <row r="496">
      <c r="A496" s="11" t="s">
        <v>817</v>
      </c>
      <c r="B496" s="24" t="s">
        <v>3502</v>
      </c>
      <c r="C496" s="25"/>
      <c r="D496" s="11" t="s">
        <v>77</v>
      </c>
      <c r="E496" s="11">
        <f t="shared" si="60"/>
        <v>200000</v>
      </c>
      <c r="F496" s="30" t="s">
        <v>311</v>
      </c>
      <c r="G496" s="31">
        <f t="shared" si="62"/>
        <v>200000</v>
      </c>
      <c r="H496" s="31">
        <f>VLOOKUP(A496,'A8 Daily SL verification'!$A:$G,3,0)</f>
        <v>200000</v>
      </c>
      <c r="I496" s="11" t="s">
        <v>162</v>
      </c>
      <c r="J496" s="11" t="s">
        <v>586</v>
      </c>
      <c r="K496" s="38">
        <f t="shared" si="46"/>
        <v>1</v>
      </c>
      <c r="L496" s="18" t="s">
        <v>910</v>
      </c>
      <c r="M496" s="18" t="s">
        <v>736</v>
      </c>
      <c r="N496" s="42"/>
      <c r="O496" s="42"/>
      <c r="P496" s="42"/>
      <c r="Q496" s="42" t="str">
        <f>iferror(VLOOKUP(A496,'Positional cal'!A:H,1,0)=A496,"FALSE")</f>
        <v>FALSE</v>
      </c>
      <c r="R496" s="43" t="b">
        <f t="shared" si="3"/>
        <v>0</v>
      </c>
      <c r="S496" s="46">
        <f>IFERROR(VLOOKUP($A496,AlgoUi!$A:$X,21,0),"NA")</f>
        <v>39464937</v>
      </c>
      <c r="T496" s="46">
        <f>IFERROR(VLOOKUP($A496,AlgoUi!$A:$X,23,0),"")</f>
        <v>40000000</v>
      </c>
      <c r="U496" s="46">
        <f>IFERROR(VLOOKUP($A496,AlgoUi!$A:$X,24,0),"")</f>
        <v>280000</v>
      </c>
      <c r="V496" s="42" t="str">
        <f>IFERROR(__xludf.DUMMYFUNCTION("IFERROR(VLOOKUP(I496,IMPORTRANGE(""https://docs.google.com/spreadsheets/d/17FOIUYQAjPk1pPQIlvOgqYDBqwUqgb7KWzp4DtVksBk/edit?gid=0#gid=0"",""Servers!A:S""),19,FALSE), ""Not Running"")"),"AYSHAJ")</f>
        <v>AYSHAJ</v>
      </c>
      <c r="W496" s="47" t="str">
        <f>VLOOKUP($A496,Category!$A:$E,4,0)</f>
        <v>MS</v>
      </c>
      <c r="X496" s="47" t="str">
        <f>VLOOKUP($A496,Category!$A:$E,5,0)</f>
        <v>MSR</v>
      </c>
      <c r="Y496" s="18" t="str">
        <f>VLOOKUP(A496,PAcc!$A$1:$J$27,10,0)</f>
        <v>#N/A</v>
      </c>
      <c r="Z496" s="42" t="b">
        <f t="shared" si="4"/>
        <v>0</v>
      </c>
      <c r="AA496" s="50">
        <v>0.5</v>
      </c>
      <c r="AB496" s="42" t="str">
        <f>VLOOKUP(A496,VlookupSheet!$A$383:$A$523,1,0)</f>
        <v>#N/A</v>
      </c>
      <c r="AC496" s="87">
        <v>0.008</v>
      </c>
      <c r="AD496" s="42"/>
      <c r="AE496" s="42"/>
      <c r="AF496" s="42"/>
    </row>
    <row r="497">
      <c r="A497" s="11" t="s">
        <v>822</v>
      </c>
      <c r="B497" s="24" t="s">
        <v>2605</v>
      </c>
      <c r="C497" s="25"/>
      <c r="D497" s="11" t="s">
        <v>77</v>
      </c>
      <c r="E497" s="11">
        <f t="shared" si="60"/>
        <v>100000</v>
      </c>
      <c r="F497" s="30" t="s">
        <v>311</v>
      </c>
      <c r="G497" s="31">
        <f t="shared" si="62"/>
        <v>100000</v>
      </c>
      <c r="H497" s="31">
        <f>VLOOKUP(A497,'A8 Daily SL verification'!$A:$G,3,0)</f>
        <v>100000</v>
      </c>
      <c r="I497" s="11" t="s">
        <v>162</v>
      </c>
      <c r="J497" s="11" t="s">
        <v>586</v>
      </c>
      <c r="K497" s="38">
        <f t="shared" si="46"/>
        <v>1</v>
      </c>
      <c r="L497" s="18" t="s">
        <v>910</v>
      </c>
      <c r="M497" s="18" t="s">
        <v>736</v>
      </c>
      <c r="N497" s="42"/>
      <c r="O497" s="42"/>
      <c r="P497" s="42"/>
      <c r="Q497" s="42" t="str">
        <f>iferror(VLOOKUP(A497,'Positional cal'!A:H,1,0)=A497,"FALSE")</f>
        <v>FALSE</v>
      </c>
      <c r="R497" s="43" t="b">
        <f t="shared" si="3"/>
        <v>0</v>
      </c>
      <c r="S497" s="46">
        <f>IFERROR(VLOOKUP($A497,AlgoUi!$A:$X,21,0),"NA")</f>
        <v>33464704</v>
      </c>
      <c r="T497" s="46">
        <f>IFERROR(VLOOKUP($A497,AlgoUi!$A:$X,23,0),"")</f>
        <v>34000000</v>
      </c>
      <c r="U497" s="46">
        <f>IFERROR(VLOOKUP($A497,AlgoUi!$A:$X,24,0),"")</f>
        <v>238000</v>
      </c>
      <c r="V497" s="42" t="str">
        <f>IFERROR(__xludf.DUMMYFUNCTION("IFERROR(VLOOKUP(I497,IMPORTRANGE(""https://docs.google.com/spreadsheets/d/17FOIUYQAjPk1pPQIlvOgqYDBqwUqgb7KWzp4DtVksBk/edit?gid=0#gid=0"",""Servers!A:S""),19,FALSE), ""Not Running"")"),"AYSHAJ")</f>
        <v>AYSHAJ</v>
      </c>
      <c r="W497" s="47" t="str">
        <f>VLOOKUP($A497,Category!$A:$E,4,0)</f>
        <v>MS</v>
      </c>
      <c r="X497" s="47" t="str">
        <f>VLOOKUP($A497,Category!$A:$E,5,0)</f>
        <v>MSR</v>
      </c>
      <c r="Y497" s="18" t="str">
        <f>VLOOKUP(A497,PAcc!$A$1:$J$27,10,0)</f>
        <v>#N/A</v>
      </c>
      <c r="Z497" s="42" t="b">
        <f t="shared" si="4"/>
        <v>0</v>
      </c>
      <c r="AA497" s="50">
        <v>0.5</v>
      </c>
      <c r="AB497" s="42" t="str">
        <f>VLOOKUP(A497,VlookupSheet!$A$383:$A$523,1,0)</f>
        <v>#N/A</v>
      </c>
      <c r="AC497" s="87">
        <v>0.008</v>
      </c>
      <c r="AD497" s="42"/>
      <c r="AE497" s="42"/>
      <c r="AF497" s="42"/>
    </row>
    <row r="498">
      <c r="A498" s="11" t="s">
        <v>825</v>
      </c>
      <c r="B498" s="24" t="s">
        <v>2647</v>
      </c>
      <c r="C498" s="25"/>
      <c r="D498" s="11" t="s">
        <v>77</v>
      </c>
      <c r="E498" s="11">
        <f t="shared" si="60"/>
        <v>100000</v>
      </c>
      <c r="F498" s="30" t="s">
        <v>311</v>
      </c>
      <c r="G498" s="31">
        <f t="shared" si="62"/>
        <v>100000</v>
      </c>
      <c r="H498" s="31">
        <f>VLOOKUP(A498,'A8 Daily SL verification'!$A:$G,3,0)</f>
        <v>100000</v>
      </c>
      <c r="I498" s="11" t="s">
        <v>162</v>
      </c>
      <c r="J498" s="11" t="s">
        <v>586</v>
      </c>
      <c r="K498" s="38">
        <f t="shared" si="46"/>
        <v>1</v>
      </c>
      <c r="L498" s="18" t="s">
        <v>910</v>
      </c>
      <c r="M498" s="18" t="s">
        <v>736</v>
      </c>
      <c r="N498" s="42"/>
      <c r="O498" s="42"/>
      <c r="P498" s="42"/>
      <c r="Q498" s="42" t="str">
        <f>iferror(VLOOKUP(A498,'Positional cal'!A:H,1,0)=A498,"FALSE")</f>
        <v>FALSE</v>
      </c>
      <c r="R498" s="43" t="b">
        <f t="shared" si="3"/>
        <v>0</v>
      </c>
      <c r="S498" s="46">
        <f>IFERROR(VLOOKUP($A498,AlgoUi!$A:$X,21,0),"NA")</f>
        <v>21701440</v>
      </c>
      <c r="T498" s="46">
        <f>IFERROR(VLOOKUP($A498,AlgoUi!$A:$X,23,0),"")</f>
        <v>22000000</v>
      </c>
      <c r="U498" s="46">
        <f>IFERROR(VLOOKUP($A498,AlgoUi!$A:$X,24,0),"")</f>
        <v>154000</v>
      </c>
      <c r="V498" s="42" t="str">
        <f>IFERROR(__xludf.DUMMYFUNCTION("IFERROR(VLOOKUP(I498,IMPORTRANGE(""https://docs.google.com/spreadsheets/d/17FOIUYQAjPk1pPQIlvOgqYDBqwUqgb7KWzp4DtVksBk/edit?gid=0#gid=0"",""Servers!A:S""),19,FALSE), ""Not Running"")"),"AYSHAJ")</f>
        <v>AYSHAJ</v>
      </c>
      <c r="W498" s="47" t="str">
        <f>VLOOKUP($A498,Category!$A:$E,4,0)</f>
        <v>MS</v>
      </c>
      <c r="X498" s="47" t="str">
        <f>VLOOKUP($A498,Category!$A:$E,5,0)</f>
        <v>MSR</v>
      </c>
      <c r="Y498" s="18" t="str">
        <f>VLOOKUP(A498,PAcc!$A$1:$J$27,10,0)</f>
        <v>#N/A</v>
      </c>
      <c r="Z498" s="42" t="b">
        <f t="shared" si="4"/>
        <v>0</v>
      </c>
      <c r="AA498" s="50">
        <v>0.5</v>
      </c>
      <c r="AB498" s="42" t="str">
        <f>VLOOKUP(A498,VlookupSheet!$A$383:$A$523,1,0)</f>
        <v>#N/A</v>
      </c>
      <c r="AC498" s="87">
        <v>0.008</v>
      </c>
      <c r="AD498" s="42"/>
      <c r="AE498" s="42"/>
      <c r="AF498" s="42"/>
    </row>
    <row r="499">
      <c r="A499" s="11" t="s">
        <v>838</v>
      </c>
      <c r="B499" s="24" t="s">
        <v>931</v>
      </c>
      <c r="C499" s="25"/>
      <c r="D499" s="11" t="s">
        <v>964</v>
      </c>
      <c r="E499" s="11">
        <f t="shared" si="60"/>
        <v>420000</v>
      </c>
      <c r="F499" s="11" t="s">
        <v>3846</v>
      </c>
      <c r="G499" s="31">
        <f>VLOOKUP(A499,'A8 Daily SL verification'!$A:$G,7,0)</f>
        <v>420000</v>
      </c>
      <c r="H499" s="31">
        <f>VLOOKUP(A499,'A8 Daily SL verification'!$A:$G,3,0)</f>
        <v>600000</v>
      </c>
      <c r="I499" s="11" t="s">
        <v>162</v>
      </c>
      <c r="J499" s="11" t="s">
        <v>586</v>
      </c>
      <c r="K499" s="38">
        <f t="shared" si="46"/>
        <v>0.7</v>
      </c>
      <c r="L499" s="18" t="s">
        <v>1068</v>
      </c>
      <c r="M499" s="18" t="s">
        <v>1077</v>
      </c>
      <c r="N499" s="42"/>
      <c r="O499" s="42"/>
      <c r="P499" s="42"/>
      <c r="Q499" s="42" t="str">
        <f>iferror(VLOOKUP(A499,'Positional cal'!A:H,1,0)=A499,"FALSE")</f>
        <v>FALSE</v>
      </c>
      <c r="R499" s="43" t="b">
        <f t="shared" si="3"/>
        <v>0</v>
      </c>
      <c r="S499" s="46">
        <f>IFERROR(VLOOKUP($A499,AlgoUi!$A:$X,21,0),"NA")</f>
        <v>315000000</v>
      </c>
      <c r="T499" s="46">
        <f>IFERROR(VLOOKUP($A499,AlgoUi!$A:$X,23,0),"")</f>
        <v>316000000</v>
      </c>
      <c r="U499" s="46">
        <f>IFERROR(VLOOKUP($A499,AlgoUi!$A:$X,24,0),"")</f>
        <v>2212000</v>
      </c>
      <c r="V499" s="42" t="str">
        <f>IFERROR(__xludf.DUMMYFUNCTION("IFERROR(VLOOKUP(I499,IMPORTRANGE(""https://docs.google.com/spreadsheets/d/17FOIUYQAjPk1pPQIlvOgqYDBqwUqgb7KWzp4DtVksBk/edit?gid=0#gid=0"",""Servers!A:S""),19,FALSE), ""Not Running"")"),"AYSHAJ")</f>
        <v>AYSHAJ</v>
      </c>
      <c r="W499" s="47" t="str">
        <f>VLOOKUP($A499,Category!$A:$E,4,0)</f>
        <v>MS</v>
      </c>
      <c r="X499" s="47" t="str">
        <f>VLOOKUP($A499,Category!$A:$E,5,0)</f>
        <v>MSR</v>
      </c>
      <c r="Y499" s="18" t="str">
        <f>VLOOKUP(A499,PAcc!$A$1:$J$27,10,0)</f>
        <v>#N/A</v>
      </c>
      <c r="Z499" s="42" t="b">
        <f t="shared" si="4"/>
        <v>0</v>
      </c>
      <c r="AA499" s="42"/>
      <c r="AB499" s="25" t="str">
        <f>VLOOKUP(A499,VlookupSheet!$A$383:$A$523,1,0)</f>
        <v>DXX05</v>
      </c>
      <c r="AC499" s="87">
        <v>0.008</v>
      </c>
      <c r="AD499" s="42"/>
      <c r="AE499" s="42"/>
      <c r="AF499" s="42"/>
    </row>
    <row r="500">
      <c r="A500" s="11" t="s">
        <v>844</v>
      </c>
      <c r="B500" s="24" t="s">
        <v>2701</v>
      </c>
      <c r="C500" s="25"/>
      <c r="D500" s="11" t="s">
        <v>77</v>
      </c>
      <c r="E500" s="11">
        <f t="shared" si="60"/>
        <v>100000</v>
      </c>
      <c r="F500" s="30" t="s">
        <v>311</v>
      </c>
      <c r="G500" s="31">
        <f t="shared" ref="G500:G505" si="63">E500</f>
        <v>100000</v>
      </c>
      <c r="H500" s="31">
        <f>VLOOKUP(A500,'A8 Daily SL verification'!$A:$G,3,0)</f>
        <v>100000</v>
      </c>
      <c r="I500" s="11" t="s">
        <v>162</v>
      </c>
      <c r="J500" s="11" t="s">
        <v>586</v>
      </c>
      <c r="K500" s="38">
        <f t="shared" si="46"/>
        <v>1</v>
      </c>
      <c r="L500" s="18" t="s">
        <v>910</v>
      </c>
      <c r="M500" s="18" t="s">
        <v>736</v>
      </c>
      <c r="N500" s="42"/>
      <c r="O500" s="42"/>
      <c r="P500" s="42"/>
      <c r="Q500" s="42" t="str">
        <f>iferror(VLOOKUP(A500,'Positional cal'!A:H,1,0)=A500,"FALSE")</f>
        <v>FALSE</v>
      </c>
      <c r="R500" s="43" t="b">
        <f t="shared" si="3"/>
        <v>0</v>
      </c>
      <c r="S500" s="46">
        <f>IFERROR(VLOOKUP($A500,AlgoUi!$A:$X,21,0),"NA")</f>
        <v>19823386</v>
      </c>
      <c r="T500" s="46">
        <f>IFERROR(VLOOKUP($A500,AlgoUi!$A:$X,23,0),"")</f>
        <v>20000000</v>
      </c>
      <c r="U500" s="46">
        <f>IFERROR(VLOOKUP($A500,AlgoUi!$A:$X,24,0),"")</f>
        <v>140000</v>
      </c>
      <c r="V500" s="42" t="str">
        <f>IFERROR(__xludf.DUMMYFUNCTION("IFERROR(VLOOKUP(I500,IMPORTRANGE(""https://docs.google.com/spreadsheets/d/17FOIUYQAjPk1pPQIlvOgqYDBqwUqgb7KWzp4DtVksBk/edit?gid=0#gid=0"",""Servers!A:S""),19,FALSE), ""Not Running"")"),"AYSHAJ")</f>
        <v>AYSHAJ</v>
      </c>
      <c r="W500" s="47" t="str">
        <f>VLOOKUP($A500,Category!$A:$E,4,0)</f>
        <v>MS</v>
      </c>
      <c r="X500" s="47" t="str">
        <f>VLOOKUP($A500,Category!$A:$E,5,0)</f>
        <v>MSR</v>
      </c>
      <c r="Y500" s="18" t="str">
        <f>VLOOKUP(A500,PAcc!$A$1:$J$27,10,0)</f>
        <v>#N/A</v>
      </c>
      <c r="Z500" s="42" t="b">
        <f t="shared" si="4"/>
        <v>0</v>
      </c>
      <c r="AA500" s="50">
        <v>0.5</v>
      </c>
      <c r="AB500" s="42" t="str">
        <f>VLOOKUP(A500,VlookupSheet!$A$383:$A$523,1,0)</f>
        <v>#N/A</v>
      </c>
      <c r="AC500" s="50">
        <v>0.01</v>
      </c>
      <c r="AD500" s="42"/>
      <c r="AE500" s="42"/>
      <c r="AF500" s="42"/>
    </row>
    <row r="501">
      <c r="A501" s="11" t="s">
        <v>867</v>
      </c>
      <c r="B501" s="24" t="s">
        <v>2757</v>
      </c>
      <c r="C501" s="25"/>
      <c r="D501" s="11" t="s">
        <v>77</v>
      </c>
      <c r="E501" s="11">
        <f t="shared" si="60"/>
        <v>100000</v>
      </c>
      <c r="F501" s="30" t="s">
        <v>311</v>
      </c>
      <c r="G501" s="31">
        <f t="shared" si="63"/>
        <v>100000</v>
      </c>
      <c r="H501" s="31">
        <f>VLOOKUP(A501,'A8 Daily SL verification'!$A:$G,3,0)</f>
        <v>100000</v>
      </c>
      <c r="I501" s="11" t="s">
        <v>162</v>
      </c>
      <c r="J501" s="11" t="s">
        <v>586</v>
      </c>
      <c r="K501" s="38">
        <f t="shared" si="46"/>
        <v>1</v>
      </c>
      <c r="L501" s="18" t="s">
        <v>910</v>
      </c>
      <c r="M501" s="18" t="s">
        <v>736</v>
      </c>
      <c r="N501" s="42"/>
      <c r="O501" s="42"/>
      <c r="P501" s="42"/>
      <c r="Q501" s="42" t="str">
        <f>iferror(VLOOKUP(A501,'Positional cal'!A:H,1,0)=A501,"FALSE")</f>
        <v>FALSE</v>
      </c>
      <c r="R501" s="43" t="b">
        <f t="shared" si="3"/>
        <v>0</v>
      </c>
      <c r="S501" s="46">
        <f>IFERROR(VLOOKUP($A501,AlgoUi!$A:$X,21,0),"NA")</f>
        <v>20911533</v>
      </c>
      <c r="T501" s="46">
        <f>IFERROR(VLOOKUP($A501,AlgoUi!$A:$X,23,0),"")</f>
        <v>20000000</v>
      </c>
      <c r="U501" s="46">
        <f>IFERROR(VLOOKUP($A501,AlgoUi!$A:$X,24,0),"")</f>
        <v>140000</v>
      </c>
      <c r="V501" s="42" t="str">
        <f>IFERROR(__xludf.DUMMYFUNCTION("IFERROR(VLOOKUP(I501,IMPORTRANGE(""https://docs.google.com/spreadsheets/d/17FOIUYQAjPk1pPQIlvOgqYDBqwUqgb7KWzp4DtVksBk/edit?gid=0#gid=0"",""Servers!A:S""),19,FALSE), ""Not Running"")"),"AYSHAJ")</f>
        <v>AYSHAJ</v>
      </c>
      <c r="W501" s="47" t="str">
        <f>VLOOKUP($A501,Category!$A:$E,4,0)</f>
        <v>MS</v>
      </c>
      <c r="X501" s="47" t="str">
        <f>VLOOKUP($A501,Category!$A:$E,5,0)</f>
        <v>MSR</v>
      </c>
      <c r="Y501" s="18" t="str">
        <f>VLOOKUP(A501,PAcc!$A$1:$J$27,10,0)</f>
        <v>#N/A</v>
      </c>
      <c r="Z501" s="42" t="b">
        <f t="shared" si="4"/>
        <v>0</v>
      </c>
      <c r="AA501" s="50">
        <v>0.5</v>
      </c>
      <c r="AB501" s="42" t="str">
        <f>VLOOKUP(A501,VlookupSheet!$A$383:$A$523,1,0)</f>
        <v>#N/A</v>
      </c>
      <c r="AC501" s="50">
        <v>0.01</v>
      </c>
      <c r="AD501" s="42"/>
      <c r="AE501" s="42"/>
      <c r="AF501" s="42"/>
    </row>
    <row r="502">
      <c r="A502" s="11" t="s">
        <v>871</v>
      </c>
      <c r="B502" s="24" t="s">
        <v>3616</v>
      </c>
      <c r="C502" s="11"/>
      <c r="D502" s="11" t="s">
        <v>77</v>
      </c>
      <c r="E502" s="11">
        <f t="shared" si="60"/>
        <v>100000</v>
      </c>
      <c r="F502" s="30" t="s">
        <v>311</v>
      </c>
      <c r="G502" s="31">
        <f t="shared" si="63"/>
        <v>100000</v>
      </c>
      <c r="H502" s="31">
        <f>VLOOKUP(A502,'A8 Daily SL verification'!$A:$G,3,0)</f>
        <v>100000</v>
      </c>
      <c r="I502" s="11" t="s">
        <v>162</v>
      </c>
      <c r="J502" s="11" t="s">
        <v>586</v>
      </c>
      <c r="K502" s="38">
        <f t="shared" si="46"/>
        <v>1</v>
      </c>
      <c r="L502" s="18" t="s">
        <v>910</v>
      </c>
      <c r="M502" s="18" t="s">
        <v>736</v>
      </c>
      <c r="N502" s="42"/>
      <c r="O502" s="42"/>
      <c r="P502" s="42"/>
      <c r="Q502" s="42" t="str">
        <f>iferror(VLOOKUP(A502,'Positional cal'!A:H,1,0)=A502,"FALSE")</f>
        <v>FALSE</v>
      </c>
      <c r="R502" s="43" t="b">
        <f t="shared" si="3"/>
        <v>0</v>
      </c>
      <c r="S502" s="46">
        <f>IFERROR(VLOOKUP($A502,AlgoUi!$A:$X,21,0),"NA")</f>
        <v>20657758</v>
      </c>
      <c r="T502" s="46">
        <f>IFERROR(VLOOKUP($A502,AlgoUi!$A:$X,23,0),"")</f>
        <v>20000000</v>
      </c>
      <c r="U502" s="46">
        <f>IFERROR(VLOOKUP($A502,AlgoUi!$A:$X,24,0),"")</f>
        <v>140000</v>
      </c>
      <c r="V502" s="42" t="str">
        <f>IFERROR(__xludf.DUMMYFUNCTION("IFERROR(VLOOKUP(I502,IMPORTRANGE(""https://docs.google.com/spreadsheets/d/17FOIUYQAjPk1pPQIlvOgqYDBqwUqgb7KWzp4DtVksBk/edit?gid=0#gid=0"",""Servers!A:S""),19,FALSE), ""Not Running"")"),"AYSHAJ")</f>
        <v>AYSHAJ</v>
      </c>
      <c r="W502" s="47" t="str">
        <f>VLOOKUP($A502,Category!$A:$E,4,0)</f>
        <v>MS</v>
      </c>
      <c r="X502" s="47" t="str">
        <f>VLOOKUP($A502,Category!$A:$E,5,0)</f>
        <v>MSR</v>
      </c>
      <c r="Y502" s="18" t="str">
        <f>VLOOKUP(A502,PAcc!$A$1:$J$27,10,0)</f>
        <v>#N/A</v>
      </c>
      <c r="Z502" s="42" t="b">
        <f t="shared" si="4"/>
        <v>0</v>
      </c>
      <c r="AA502" s="50">
        <v>0.5</v>
      </c>
      <c r="AB502" s="42" t="str">
        <f>VLOOKUP(A502,VlookupSheet!$A$383:$A$523,1,0)</f>
        <v>#N/A</v>
      </c>
      <c r="AC502" s="50">
        <v>0.01</v>
      </c>
      <c r="AD502" s="42"/>
      <c r="AE502" s="42"/>
      <c r="AF502" s="42"/>
    </row>
    <row r="503">
      <c r="A503" s="11" t="s">
        <v>880</v>
      </c>
      <c r="B503" s="24" t="s">
        <v>3631</v>
      </c>
      <c r="C503" s="25"/>
      <c r="D503" s="11" t="s">
        <v>77</v>
      </c>
      <c r="E503" s="11">
        <f t="shared" si="60"/>
        <v>100000</v>
      </c>
      <c r="F503" s="11" t="s">
        <v>886</v>
      </c>
      <c r="G503" s="31">
        <f t="shared" si="63"/>
        <v>100000</v>
      </c>
      <c r="H503" s="31">
        <f>VLOOKUP(A503,'A8 Daily SL verification'!$A:$G,3,0)</f>
        <v>100000</v>
      </c>
      <c r="I503" s="11" t="s">
        <v>162</v>
      </c>
      <c r="J503" s="11" t="s">
        <v>586</v>
      </c>
      <c r="K503" s="38">
        <f t="shared" si="46"/>
        <v>1</v>
      </c>
      <c r="L503" s="18" t="s">
        <v>910</v>
      </c>
      <c r="M503" s="18" t="s">
        <v>736</v>
      </c>
      <c r="N503" s="42"/>
      <c r="O503" s="42"/>
      <c r="P503" s="42"/>
      <c r="Q503" s="42" t="str">
        <f>iferror(VLOOKUP(A503,'Positional cal'!A:H,1,0)=A503,"FALSE")</f>
        <v>FALSE</v>
      </c>
      <c r="R503" s="43" t="b">
        <f t="shared" si="3"/>
        <v>0</v>
      </c>
      <c r="S503" s="46" t="str">
        <f>IFERROR(VLOOKUP($A503,AlgoUi!$A:$X,21,0),"NA")</f>
        <v/>
      </c>
      <c r="T503" s="46" t="str">
        <f>IFERROR(VLOOKUP($A503,AlgoUi!$A:$X,23,0),"")</f>
        <v/>
      </c>
      <c r="U503" s="46" t="str">
        <f>IFERROR(VLOOKUP($A503,AlgoUi!$A:$X,24,0),"")</f>
        <v/>
      </c>
      <c r="V503" s="42" t="str">
        <f>IFERROR(__xludf.DUMMYFUNCTION("IFERROR(VLOOKUP(I503,IMPORTRANGE(""https://docs.google.com/spreadsheets/d/17FOIUYQAjPk1pPQIlvOgqYDBqwUqgb7KWzp4DtVksBk/edit?gid=0#gid=0"",""Servers!A:S""),19,FALSE), ""Not Running"")"),"AYSHAJ")</f>
        <v>AYSHAJ</v>
      </c>
      <c r="W503" s="47" t="str">
        <f>VLOOKUP($A503,Category!$A:$E,4,0)</f>
        <v>MS</v>
      </c>
      <c r="X503" s="47" t="str">
        <f>VLOOKUP($A503,Category!$A:$E,5,0)</f>
        <v>MSS</v>
      </c>
      <c r="Y503" s="18" t="str">
        <f>VLOOKUP(A503,PAcc!$A$1:$J$27,10,0)</f>
        <v>#N/A</v>
      </c>
      <c r="Z503" s="42" t="b">
        <f t="shared" si="4"/>
        <v>0</v>
      </c>
      <c r="AA503" s="50">
        <v>0.5</v>
      </c>
      <c r="AB503" s="42" t="str">
        <f>VLOOKUP(A503,VlookupSheet!$A$383:$A$523,1,0)</f>
        <v>#N/A</v>
      </c>
      <c r="AC503" s="50">
        <v>0.01</v>
      </c>
      <c r="AD503" s="42"/>
      <c r="AE503" s="42"/>
      <c r="AF503" s="42"/>
    </row>
    <row r="504">
      <c r="A504" s="11" t="s">
        <v>892</v>
      </c>
      <c r="B504" s="24" t="s">
        <v>2841</v>
      </c>
      <c r="C504" s="297"/>
      <c r="D504" s="11" t="s">
        <v>77</v>
      </c>
      <c r="E504" s="11">
        <f t="shared" si="60"/>
        <v>100000</v>
      </c>
      <c r="F504" s="11" t="s">
        <v>2837</v>
      </c>
      <c r="G504" s="31">
        <f t="shared" si="63"/>
        <v>100000</v>
      </c>
      <c r="H504" s="31">
        <f>VLOOKUP(A504,'A8 Daily SL verification'!$A:$G,3,0)</f>
        <v>100000</v>
      </c>
      <c r="I504" s="34" t="s">
        <v>162</v>
      </c>
      <c r="J504" s="11" t="s">
        <v>586</v>
      </c>
      <c r="K504" s="38">
        <f t="shared" si="46"/>
        <v>1</v>
      </c>
      <c r="L504" s="18" t="s">
        <v>910</v>
      </c>
      <c r="M504" s="18" t="s">
        <v>736</v>
      </c>
      <c r="N504" s="42"/>
      <c r="O504" s="42"/>
      <c r="P504" s="42"/>
      <c r="Q504" s="42" t="str">
        <f>iferror(VLOOKUP(A504,'Positional cal'!A:H,1,0)=A504,"FALSE")</f>
        <v>FALSE</v>
      </c>
      <c r="R504" s="43" t="b">
        <f t="shared" si="3"/>
        <v>0</v>
      </c>
      <c r="S504" s="46">
        <f>IFERROR(VLOOKUP($A504,AlgoUi!$A:$X,21,0),"NA")</f>
        <v>20000000</v>
      </c>
      <c r="T504" s="46">
        <f>IFERROR(VLOOKUP($A504,AlgoUi!$A:$X,23,0),"")</f>
        <v>20000000</v>
      </c>
      <c r="U504" s="46">
        <f>IFERROR(VLOOKUP($A504,AlgoUi!$A:$X,24,0),"")</f>
        <v>140000</v>
      </c>
      <c r="V504" s="42" t="str">
        <f>IFERROR(__xludf.DUMMYFUNCTION("IFERROR(VLOOKUP(I504,IMPORTRANGE(""https://docs.google.com/spreadsheets/d/17FOIUYQAjPk1pPQIlvOgqYDBqwUqgb7KWzp4DtVksBk/edit?gid=0#gid=0"",""Servers!A:S""),19,FALSE), ""Not Running"")"),"AYSHAJ")</f>
        <v>AYSHAJ</v>
      </c>
      <c r="W504" s="47" t="str">
        <f>VLOOKUP($A504,Category!$A:$E,4,0)</f>
        <v>MS</v>
      </c>
      <c r="X504" s="47" t="str">
        <f>VLOOKUP($A504,Category!$A:$E,5,0)</f>
        <v>MSR</v>
      </c>
      <c r="Y504" s="18" t="str">
        <f>VLOOKUP(A504,PAcc!$A$1:$J$27,10,0)</f>
        <v>#N/A</v>
      </c>
      <c r="Z504" s="42" t="b">
        <f t="shared" si="4"/>
        <v>0</v>
      </c>
      <c r="AA504" s="50">
        <v>0.5</v>
      </c>
      <c r="AB504" s="42" t="str">
        <f>VLOOKUP(A504,VlookupSheet!$A$383:$A$523,1,0)</f>
        <v>#N/A</v>
      </c>
      <c r="AC504" s="42"/>
      <c r="AD504" s="42"/>
      <c r="AE504" s="42"/>
      <c r="AF504" s="42"/>
    </row>
    <row r="505">
      <c r="A505" s="30" t="s">
        <v>679</v>
      </c>
      <c r="B505" s="84" t="s">
        <v>2191</v>
      </c>
      <c r="C505" s="85"/>
      <c r="D505" s="11" t="s">
        <v>77</v>
      </c>
      <c r="E505" s="11">
        <f t="shared" si="60"/>
        <v>100000</v>
      </c>
      <c r="F505" s="30" t="s">
        <v>311</v>
      </c>
      <c r="G505" s="31">
        <f t="shared" si="63"/>
        <v>100000</v>
      </c>
      <c r="H505" s="31">
        <f>VLOOKUP(A505,'A8 Daily SL verification'!$A:$G,3,0)</f>
        <v>100000</v>
      </c>
      <c r="I505" s="34" t="s">
        <v>162</v>
      </c>
      <c r="J505" s="11" t="s">
        <v>586</v>
      </c>
      <c r="K505" s="38">
        <f t="shared" si="46"/>
        <v>1</v>
      </c>
      <c r="L505" s="18" t="s">
        <v>910</v>
      </c>
      <c r="M505" s="18" t="s">
        <v>736</v>
      </c>
      <c r="N505" s="74"/>
      <c r="O505" s="74"/>
      <c r="P505" s="74"/>
      <c r="Q505" s="42" t="str">
        <f>iferror(VLOOKUP(A505,'Positional cal'!A:H,1,0)=A505,"FALSE")</f>
        <v>FALSE</v>
      </c>
      <c r="R505" s="43" t="b">
        <f t="shared" si="3"/>
        <v>0</v>
      </c>
      <c r="S505" s="46">
        <f>IFERROR(VLOOKUP($A505,AlgoUi!$A:$X,21,0),"NA")</f>
        <v>27897169</v>
      </c>
      <c r="T505" s="46">
        <f>IFERROR(VLOOKUP($A505,AlgoUi!$A:$X,23,0),"")</f>
        <v>28000000</v>
      </c>
      <c r="U505" s="46">
        <f>IFERROR(VLOOKUP($A505,AlgoUi!$A:$X,24,0),"")</f>
        <v>196000</v>
      </c>
      <c r="V505" s="42" t="str">
        <f>IFERROR(__xludf.DUMMYFUNCTION("IFERROR(VLOOKUP(I505,IMPORTRANGE(""https://docs.google.com/spreadsheets/d/17FOIUYQAjPk1pPQIlvOgqYDBqwUqgb7KWzp4DtVksBk/edit?gid=0#gid=0"",""Servers!A:S""),19,FALSE), ""Not Running"")"),"AYSHAJ")</f>
        <v>AYSHAJ</v>
      </c>
      <c r="W505" s="47" t="str">
        <f>VLOOKUP($A505,Category!$A:$E,4,0)</f>
        <v>MS</v>
      </c>
      <c r="X505" s="47" t="str">
        <f>VLOOKUP($A505,Category!$A:$E,5,0)</f>
        <v>MSR</v>
      </c>
      <c r="Y505" s="18" t="str">
        <f>VLOOKUP(A505,PAcc!$A$1:$J$27,10,0)</f>
        <v>#N/A</v>
      </c>
      <c r="Z505" s="42" t="b">
        <f t="shared" si="4"/>
        <v>0</v>
      </c>
      <c r="AA505" s="50">
        <v>0.5</v>
      </c>
      <c r="AB505" s="42" t="str">
        <f>VLOOKUP(A505,VlookupSheet!$A$383:$A$523,1,0)</f>
        <v>#N/A</v>
      </c>
      <c r="AC505" s="42"/>
      <c r="AD505" s="42"/>
      <c r="AE505" s="42"/>
      <c r="AF505" s="42"/>
    </row>
    <row r="506">
      <c r="A506" s="11" t="s">
        <v>898</v>
      </c>
      <c r="B506" s="24" t="s">
        <v>933</v>
      </c>
      <c r="C506" s="25"/>
      <c r="D506" s="11" t="s">
        <v>964</v>
      </c>
      <c r="E506" s="11">
        <f t="shared" si="60"/>
        <v>280000</v>
      </c>
      <c r="F506" s="11" t="s">
        <v>875</v>
      </c>
      <c r="G506" s="31">
        <f>VLOOKUP(A506,'A8 Daily SL verification'!$A:$G,7,0)</f>
        <v>374575</v>
      </c>
      <c r="H506" s="31">
        <f>VLOOKUP(A506,'A8 Daily SL verification'!$A:$G,3,0)</f>
        <v>400000</v>
      </c>
      <c r="I506" s="11" t="s">
        <v>162</v>
      </c>
      <c r="J506" s="11" t="s">
        <v>586</v>
      </c>
      <c r="K506" s="173">
        <v>0.7</v>
      </c>
      <c r="L506" s="18" t="s">
        <v>1068</v>
      </c>
      <c r="M506" s="18" t="s">
        <v>1077</v>
      </c>
      <c r="N506" s="42"/>
      <c r="O506" s="42"/>
      <c r="P506" s="42"/>
      <c r="Q506" s="42" t="str">
        <f>iferror(VLOOKUP(A506,'Positional cal'!A:H,1,0)=A506,"FALSE")</f>
        <v>FALSE</v>
      </c>
      <c r="R506" s="43" t="b">
        <f t="shared" si="3"/>
        <v>0</v>
      </c>
      <c r="S506" s="46">
        <f>IFERROR(VLOOKUP($A506,AlgoUi!$A:$X,21,0),"NA")</f>
        <v>1000000000</v>
      </c>
      <c r="T506" s="46">
        <f>IFERROR(VLOOKUP($A506,AlgoUi!$A:$X,23,0),"")</f>
        <v>1000000000</v>
      </c>
      <c r="U506" s="46">
        <f>IFERROR(VLOOKUP($A506,AlgoUi!$A:$X,24,0),"")</f>
        <v>7000000</v>
      </c>
      <c r="V506" s="42" t="str">
        <f>IFERROR(__xludf.DUMMYFUNCTION("IFERROR(VLOOKUP(I506,IMPORTRANGE(""https://docs.google.com/spreadsheets/d/17FOIUYQAjPk1pPQIlvOgqYDBqwUqgb7KWzp4DtVksBk/edit?gid=0#gid=0"",""Servers!A:S""),19,FALSE), ""Not Running"")"),"AYSHAJ")</f>
        <v>AYSHAJ</v>
      </c>
      <c r="W506" s="47" t="str">
        <f>VLOOKUP($A506,Category!$A:$E,4,0)</f>
        <v>MS</v>
      </c>
      <c r="X506" s="47" t="str">
        <f>VLOOKUP($A506,Category!$A:$E,5,0)</f>
        <v>MSJ</v>
      </c>
      <c r="Y506" s="18" t="str">
        <f>VLOOKUP(A506,PAcc!$A$1:$J$27,10,0)</f>
        <v>#N/A</v>
      </c>
      <c r="Z506" s="42" t="b">
        <f t="shared" si="4"/>
        <v>0</v>
      </c>
      <c r="AA506" s="42"/>
      <c r="AB506" s="25" t="str">
        <f>VLOOKUP(A506,VlookupSheet!$A$383:$A$523,1,0)</f>
        <v>AM010</v>
      </c>
      <c r="AC506" s="42"/>
      <c r="AD506" s="42"/>
      <c r="AE506" s="42"/>
      <c r="AF506" s="42"/>
    </row>
    <row r="507">
      <c r="A507" s="11" t="s">
        <v>2885</v>
      </c>
      <c r="B507" s="24" t="s">
        <v>3730</v>
      </c>
      <c r="C507" s="25"/>
      <c r="D507" s="11" t="s">
        <v>874</v>
      </c>
      <c r="E507" s="11">
        <f t="shared" si="60"/>
        <v>6000000</v>
      </c>
      <c r="F507" s="11" t="s">
        <v>751</v>
      </c>
      <c r="G507" s="11" t="s">
        <v>1639</v>
      </c>
      <c r="H507" s="31">
        <v>200000.0</v>
      </c>
      <c r="I507" s="34" t="s">
        <v>667</v>
      </c>
      <c r="J507" s="11" t="s">
        <v>625</v>
      </c>
      <c r="K507" s="38">
        <f t="shared" ref="K507:K592" si="64">iferror(G507/H507,"-")</f>
        <v>30</v>
      </c>
      <c r="L507" s="18" t="s">
        <v>1068</v>
      </c>
      <c r="M507" s="18" t="s">
        <v>1059</v>
      </c>
      <c r="N507" s="18"/>
      <c r="O507" s="18">
        <v>0.0</v>
      </c>
      <c r="P507" s="18" t="s">
        <v>112</v>
      </c>
      <c r="Q507" s="42" t="str">
        <f>iferror(VLOOKUP(A507,'Positional cal'!A:H,1,0)=A507,"FALSE")</f>
        <v>FALSE</v>
      </c>
      <c r="R507" s="43" t="b">
        <f t="shared" si="3"/>
        <v>0</v>
      </c>
      <c r="S507" s="46">
        <f>IFERROR(VLOOKUP($A507,AlgoUi!$A:$X,21,0),"NA")</f>
        <v>40000000</v>
      </c>
      <c r="T507" s="46">
        <f>IFERROR(VLOOKUP($A507,AlgoUi!$A:$X,23,0),"")</f>
        <v>40000000</v>
      </c>
      <c r="U507" s="46">
        <f>IFERROR(VLOOKUP($A507,AlgoUi!$A:$X,24,0),"")</f>
        <v>4000000000</v>
      </c>
      <c r="V507" s="42" t="str">
        <f>IFERROR(__xludf.DUMMYFUNCTION("IFERROR(VLOOKUP(I507,IMPORTRANGE(""https://docs.google.com/spreadsheets/d/17FOIUYQAjPk1pPQIlvOgqYDBqwUqgb7KWzp4DtVksBk/edit?gid=0#gid=0"",""Servers!A:S""),19,FALSE), ""Not Running"")"),"MEENAKSHI")</f>
        <v>MEENAKSHI</v>
      </c>
      <c r="W507" s="47" t="str">
        <f>VLOOKUP($A507,Category!$A:$E,4,0)</f>
        <v>MS</v>
      </c>
      <c r="X507" s="47" t="str">
        <f>VLOOKUP($A507,Category!$A:$E,5,0)</f>
        <v>MSR</v>
      </c>
      <c r="Y507" s="18" t="str">
        <f>VLOOKUP(A507,PAcc!$A$1:$J$27,10,0)</f>
        <v>#N/A</v>
      </c>
      <c r="Z507" s="42" t="b">
        <f t="shared" si="4"/>
        <v>0</v>
      </c>
      <c r="AA507" s="42"/>
      <c r="AB507" s="25" t="str">
        <f>VLOOKUP(A507,VlookupSheet!$A$383:$A$523,1,0)</f>
        <v>S0393FOUR</v>
      </c>
      <c r="AC507" s="42"/>
      <c r="AD507" s="42"/>
      <c r="AE507" s="42"/>
      <c r="AF507" s="42"/>
    </row>
    <row r="508">
      <c r="A508" s="11" t="s">
        <v>2887</v>
      </c>
      <c r="B508" s="24" t="s">
        <v>3749</v>
      </c>
      <c r="C508" s="25"/>
      <c r="D508" s="11" t="s">
        <v>874</v>
      </c>
      <c r="E508" s="11">
        <f t="shared" si="60"/>
        <v>6000000</v>
      </c>
      <c r="F508" s="11" t="s">
        <v>751</v>
      </c>
      <c r="G508" s="11" t="s">
        <v>1639</v>
      </c>
      <c r="H508" s="31">
        <v>200000.0</v>
      </c>
      <c r="I508" s="34" t="s">
        <v>667</v>
      </c>
      <c r="J508" s="11" t="s">
        <v>625</v>
      </c>
      <c r="K508" s="38">
        <f t="shared" si="64"/>
        <v>30</v>
      </c>
      <c r="L508" s="18" t="s">
        <v>1068</v>
      </c>
      <c r="M508" s="18" t="s">
        <v>1059</v>
      </c>
      <c r="N508" s="18"/>
      <c r="O508" s="18">
        <v>0.0</v>
      </c>
      <c r="P508" s="18" t="s">
        <v>112</v>
      </c>
      <c r="Q508" s="42" t="str">
        <f>iferror(VLOOKUP(A508,'Positional cal'!A:H,1,0)=A508,"FALSE")</f>
        <v>FALSE</v>
      </c>
      <c r="R508" s="43" t="b">
        <f t="shared" si="3"/>
        <v>0</v>
      </c>
      <c r="S508" s="46">
        <f>IFERROR(VLOOKUP($A508,AlgoUi!$A:$X,21,0),"NA")</f>
        <v>80000000</v>
      </c>
      <c r="T508" s="46">
        <f>IFERROR(VLOOKUP($A508,AlgoUi!$A:$X,23,0),"")</f>
        <v>80000000</v>
      </c>
      <c r="U508" s="46">
        <f>IFERROR(VLOOKUP($A508,AlgoUi!$A:$X,24,0),"")</f>
        <v>8000000000</v>
      </c>
      <c r="V508" s="42" t="str">
        <f>IFERROR(__xludf.DUMMYFUNCTION("IFERROR(VLOOKUP(I508,IMPORTRANGE(""https://docs.google.com/spreadsheets/d/17FOIUYQAjPk1pPQIlvOgqYDBqwUqgb7KWzp4DtVksBk/edit?gid=0#gid=0"",""Servers!A:S""),19,FALSE), ""Not Running"")"),"MEENAKSHI")</f>
        <v>MEENAKSHI</v>
      </c>
      <c r="W508" s="47" t="str">
        <f>VLOOKUP($A508,Category!$A:$E,4,0)</f>
        <v>MS</v>
      </c>
      <c r="X508" s="47" t="str">
        <f>VLOOKUP($A508,Category!$A:$E,5,0)</f>
        <v>MSR</v>
      </c>
      <c r="Y508" s="18" t="str">
        <f>VLOOKUP(A508,PAcc!$A$1:$J$27,10,0)</f>
        <v>#N/A</v>
      </c>
      <c r="Z508" s="42" t="b">
        <f t="shared" si="4"/>
        <v>0</v>
      </c>
      <c r="AA508" s="42"/>
      <c r="AB508" s="25" t="str">
        <f>VLOOKUP(A508,VlookupSheet!$A$383:$A$523,1,0)</f>
        <v>Z0004FOUR</v>
      </c>
      <c r="AC508" s="42"/>
      <c r="AD508" s="42"/>
      <c r="AE508" s="42"/>
      <c r="AF508" s="42"/>
    </row>
    <row r="509">
      <c r="A509" s="11" t="s">
        <v>707</v>
      </c>
      <c r="B509" s="24" t="s">
        <v>3793</v>
      </c>
      <c r="C509" s="25"/>
      <c r="D509" s="11" t="s">
        <v>874</v>
      </c>
      <c r="E509" s="11">
        <f t="shared" si="60"/>
        <v>12000000</v>
      </c>
      <c r="F509" s="11" t="s">
        <v>875</v>
      </c>
      <c r="G509" s="11">
        <v>1.2E7</v>
      </c>
      <c r="H509" s="31">
        <v>400000.0</v>
      </c>
      <c r="I509" s="34" t="s">
        <v>667</v>
      </c>
      <c r="J509" s="11" t="s">
        <v>625</v>
      </c>
      <c r="K509" s="38">
        <f t="shared" si="64"/>
        <v>30</v>
      </c>
      <c r="L509" s="18" t="s">
        <v>1068</v>
      </c>
      <c r="M509" s="18" t="s">
        <v>1059</v>
      </c>
      <c r="N509" s="18"/>
      <c r="O509" s="18">
        <v>0.0</v>
      </c>
      <c r="P509" s="18" t="s">
        <v>112</v>
      </c>
      <c r="Q509" s="42" t="str">
        <f>iferror(VLOOKUP(A509,'Positional cal'!A:H,1,0)=A509,"FALSE")</f>
        <v>FALSE</v>
      </c>
      <c r="R509" s="43" t="b">
        <f t="shared" si="3"/>
        <v>0</v>
      </c>
      <c r="S509" s="46">
        <f>IFERROR(VLOOKUP($A509,AlgoUi!$A:$X,21,0),"NA")</f>
        <v>1000000000</v>
      </c>
      <c r="T509" s="46">
        <f>IFERROR(VLOOKUP($A509,AlgoUi!$A:$X,23,0),"")</f>
        <v>1000000000</v>
      </c>
      <c r="U509" s="46">
        <f>IFERROR(VLOOKUP($A509,AlgoUi!$A:$X,24,0),"")</f>
        <v>100000000000</v>
      </c>
      <c r="V509" s="42" t="str">
        <f>IFERROR(__xludf.DUMMYFUNCTION("IFERROR(VLOOKUP(I509,IMPORTRANGE(""https://docs.google.com/spreadsheets/d/17FOIUYQAjPk1pPQIlvOgqYDBqwUqgb7KWzp4DtVksBk/edit?gid=0#gid=0"",""Servers!A:S""),19,FALSE), ""Not Running"")"),"MEENAKSHI")</f>
        <v>MEENAKSHI</v>
      </c>
      <c r="W509" s="47" t="str">
        <f>VLOOKUP($A509,Category!$A:$E,4,0)</f>
        <v>MS</v>
      </c>
      <c r="X509" s="47" t="str">
        <f>VLOOKUP($A509,Category!$A:$E,5,0)</f>
        <v>MSJ</v>
      </c>
      <c r="Y509" s="18" t="str">
        <f>VLOOKUP(A509,PAcc!$A$1:$J$27,10,0)</f>
        <v>#N/A</v>
      </c>
      <c r="Z509" s="42" t="b">
        <f t="shared" si="4"/>
        <v>0</v>
      </c>
      <c r="AA509" s="42"/>
      <c r="AB509" s="25" t="str">
        <f>VLOOKUP(A509,VlookupSheet!$A$383:$A$523,1,0)</f>
        <v>AM007</v>
      </c>
      <c r="AC509" s="42"/>
      <c r="AD509" s="42"/>
      <c r="AE509" s="42"/>
      <c r="AF509" s="42"/>
    </row>
    <row r="510">
      <c r="A510" s="11" t="s">
        <v>1365</v>
      </c>
      <c r="B510" s="24" t="s">
        <v>3847</v>
      </c>
      <c r="C510" s="25"/>
      <c r="D510" s="11" t="s">
        <v>874</v>
      </c>
      <c r="E510" s="11">
        <f t="shared" si="60"/>
        <v>6000000</v>
      </c>
      <c r="F510" s="11" t="s">
        <v>1367</v>
      </c>
      <c r="G510" s="11">
        <v>6000000.0</v>
      </c>
      <c r="H510" s="31">
        <v>200000.0</v>
      </c>
      <c r="I510" s="34" t="s">
        <v>667</v>
      </c>
      <c r="J510" s="11" t="s">
        <v>625</v>
      </c>
      <c r="K510" s="38">
        <f t="shared" si="64"/>
        <v>30</v>
      </c>
      <c r="L510" s="18" t="s">
        <v>1068</v>
      </c>
      <c r="M510" s="18" t="s">
        <v>1059</v>
      </c>
      <c r="N510" s="18">
        <v>2.0</v>
      </c>
      <c r="O510" s="18">
        <v>0.0</v>
      </c>
      <c r="P510" s="18" t="s">
        <v>3848</v>
      </c>
      <c r="Q510" s="42" t="str">
        <f>iferror(VLOOKUP(A510,'Positional cal'!A:H,1,0)=A510,"FALSE")</f>
        <v>FALSE</v>
      </c>
      <c r="R510" s="43" t="b">
        <f t="shared" si="3"/>
        <v>0</v>
      </c>
      <c r="S510" s="46" t="str">
        <f>IFERROR(VLOOKUP($A510,AlgoUi!$A:$X,21,0),"NA")</f>
        <v>NA</v>
      </c>
      <c r="T510" s="46" t="str">
        <f>IFERROR(VLOOKUP($A510,AlgoUi!$A:$X,23,0),"")</f>
        <v/>
      </c>
      <c r="U510" s="46" t="str">
        <f>IFERROR(VLOOKUP($A510,AlgoUi!$A:$X,24,0),"")</f>
        <v/>
      </c>
      <c r="V510" s="42" t="str">
        <f>IFERROR(__xludf.DUMMYFUNCTION("IFERROR(VLOOKUP(I510,IMPORTRANGE(""https://docs.google.com/spreadsheets/d/17FOIUYQAjPk1pPQIlvOgqYDBqwUqgb7KWzp4DtVksBk/edit?gid=0#gid=0"",""Servers!A:S""),19,FALSE), ""Not Running"")"),"MEENAKSHI")</f>
        <v>MEENAKSHI</v>
      </c>
      <c r="W510" s="47" t="str">
        <f>VLOOKUP($A510,Category!$A:$E,4,0)</f>
        <v>MS</v>
      </c>
      <c r="X510" s="47" t="str">
        <f>VLOOKUP($A510,Category!$A:$E,5,0)</f>
        <v>MSR</v>
      </c>
      <c r="Y510" s="18" t="str">
        <f>VLOOKUP(A510,PAcc!$A$1:$J$27,10,0)</f>
        <v>#N/A</v>
      </c>
      <c r="Z510" s="42" t="b">
        <f t="shared" si="4"/>
        <v>0</v>
      </c>
      <c r="AA510" s="42"/>
      <c r="AB510" s="42" t="str">
        <f>VLOOKUP(A510,VlookupSheet!$A$383:$A$523,1,0)</f>
        <v>#N/A</v>
      </c>
      <c r="AC510" s="42"/>
      <c r="AD510" s="42"/>
      <c r="AE510" s="42"/>
      <c r="AF510" s="42"/>
    </row>
    <row r="511">
      <c r="A511" s="11" t="s">
        <v>561</v>
      </c>
      <c r="B511" s="24" t="s">
        <v>1220</v>
      </c>
      <c r="C511" s="25" t="s">
        <v>77</v>
      </c>
      <c r="D511" s="11" t="s">
        <v>874</v>
      </c>
      <c r="E511" s="11">
        <f t="shared" si="60"/>
        <v>6000000</v>
      </c>
      <c r="F511" s="11" t="s">
        <v>311</v>
      </c>
      <c r="G511" s="11">
        <v>6000000.0</v>
      </c>
      <c r="H511" s="31">
        <v>200000.0</v>
      </c>
      <c r="I511" s="34" t="s">
        <v>667</v>
      </c>
      <c r="J511" s="11" t="s">
        <v>625</v>
      </c>
      <c r="K511" s="38">
        <f t="shared" si="64"/>
        <v>30</v>
      </c>
      <c r="L511" s="18" t="s">
        <v>1068</v>
      </c>
      <c r="M511" s="18" t="s">
        <v>1059</v>
      </c>
      <c r="N511" s="18"/>
      <c r="O511" s="18">
        <v>0.0</v>
      </c>
      <c r="P511" s="18" t="s">
        <v>112</v>
      </c>
      <c r="Q511" s="42" t="str">
        <f>iferror(VLOOKUP(A511,'Positional cal'!A:H,1,0)=A511,"FALSE")</f>
        <v>FALSE</v>
      </c>
      <c r="R511" s="43" t="b">
        <f t="shared" si="3"/>
        <v>0</v>
      </c>
      <c r="S511" s="46">
        <f>IFERROR(VLOOKUP($A511,AlgoUi!$A:$X,21,0),"NA")</f>
        <v>22154730</v>
      </c>
      <c r="T511" s="46">
        <f>IFERROR(VLOOKUP($A511,AlgoUi!$A:$X,23,0),"")</f>
        <v>22000000</v>
      </c>
      <c r="U511" s="46">
        <f>IFERROR(VLOOKUP($A511,AlgoUi!$A:$X,24,0),"")</f>
        <v>2200000000</v>
      </c>
      <c r="V511" s="42" t="str">
        <f>IFERROR(__xludf.DUMMYFUNCTION("IFERROR(VLOOKUP(I511,IMPORTRANGE(""https://docs.google.com/spreadsheets/d/17FOIUYQAjPk1pPQIlvOgqYDBqwUqgb7KWzp4DtVksBk/edit?gid=0#gid=0"",""Servers!A:S""),19,FALSE), ""Not Running"")"),"MEENAKSHI")</f>
        <v>MEENAKSHI</v>
      </c>
      <c r="W511" s="47" t="str">
        <f>VLOOKUP($A511,Category!$A:$E,4,0)</f>
        <v>CC</v>
      </c>
      <c r="X511" s="47" t="str">
        <f>VLOOKUP($A511,Category!$A:$E,5,0)</f>
        <v>CCV</v>
      </c>
      <c r="Y511" s="18" t="str">
        <f>VLOOKUP(A511,PAcc!$A$1:$J$27,10,0)</f>
        <v>#N/A</v>
      </c>
      <c r="Z511" s="42" t="b">
        <f t="shared" si="4"/>
        <v>0</v>
      </c>
      <c r="AA511" s="50">
        <v>0.6</v>
      </c>
      <c r="AB511" s="25" t="str">
        <f>VLOOKUP(A511,VlookupSheet!$A$383:$A$523,1,0)</f>
        <v>97255501</v>
      </c>
      <c r="AC511" s="42"/>
      <c r="AD511" s="42"/>
      <c r="AE511" s="42"/>
      <c r="AF511" s="42"/>
    </row>
    <row r="512">
      <c r="A512" s="11" t="s">
        <v>332</v>
      </c>
      <c r="B512" s="24" t="s">
        <v>2585</v>
      </c>
      <c r="C512" s="25" t="s">
        <v>320</v>
      </c>
      <c r="D512" s="11" t="s">
        <v>874</v>
      </c>
      <c r="E512" s="11">
        <f t="shared" si="60"/>
        <v>6000000</v>
      </c>
      <c r="F512" s="11" t="s">
        <v>311</v>
      </c>
      <c r="G512" s="11">
        <v>6000000.0</v>
      </c>
      <c r="H512" s="31">
        <v>200000.0</v>
      </c>
      <c r="I512" s="34" t="s">
        <v>667</v>
      </c>
      <c r="J512" s="11" t="s">
        <v>625</v>
      </c>
      <c r="K512" s="38">
        <f t="shared" si="64"/>
        <v>30</v>
      </c>
      <c r="L512" s="18" t="s">
        <v>1068</v>
      </c>
      <c r="M512" s="18" t="s">
        <v>1059</v>
      </c>
      <c r="N512" s="18"/>
      <c r="O512" s="18">
        <v>0.0</v>
      </c>
      <c r="P512" s="18" t="s">
        <v>112</v>
      </c>
      <c r="Q512" s="42" t="str">
        <f>iferror(VLOOKUP(A512,'Positional cal'!A:H,1,0)=A512,"FALSE")</f>
        <v>FALSE</v>
      </c>
      <c r="R512" s="43" t="b">
        <f t="shared" si="3"/>
        <v>0</v>
      </c>
      <c r="S512" s="46">
        <f>IFERROR(VLOOKUP($A512,AlgoUi!$A:$X,21,0),"NA")</f>
        <v>22342507</v>
      </c>
      <c r="T512" s="46">
        <f>IFERROR(VLOOKUP($A512,AlgoUi!$A:$X,23,0),"")</f>
        <v>22000000</v>
      </c>
      <c r="U512" s="46">
        <f>IFERROR(VLOOKUP($A512,AlgoUi!$A:$X,24,0),"")</f>
        <v>2200000000</v>
      </c>
      <c r="V512" s="42" t="str">
        <f>IFERROR(__xludf.DUMMYFUNCTION("IFERROR(VLOOKUP(I512,IMPORTRANGE(""https://docs.google.com/spreadsheets/d/17FOIUYQAjPk1pPQIlvOgqYDBqwUqgb7KWzp4DtVksBk/edit?gid=0#gid=0"",""Servers!A:S""),19,FALSE), ""Not Running"")"),"MEENAKSHI")</f>
        <v>MEENAKSHI</v>
      </c>
      <c r="W512" s="47" t="str">
        <f>VLOOKUP($A512,Category!$A:$E,4,0)</f>
        <v>MS</v>
      </c>
      <c r="X512" s="47" t="str">
        <f>VLOOKUP($A512,Category!$A:$E,5,0)</f>
        <v>MSR</v>
      </c>
      <c r="Y512" s="18" t="str">
        <f>VLOOKUP(A512,PAcc!$A$1:$J$27,10,0)</f>
        <v>#N/A</v>
      </c>
      <c r="Z512" s="42" t="b">
        <f t="shared" si="4"/>
        <v>0</v>
      </c>
      <c r="AA512" s="42"/>
      <c r="AB512" s="25" t="str">
        <f>VLOOKUP(A512,VlookupSheet!$A$383:$A$523,1,0)</f>
        <v>MDIGVSS2</v>
      </c>
      <c r="AC512" s="42"/>
      <c r="AD512" s="42"/>
      <c r="AE512" s="42"/>
      <c r="AF512" s="42"/>
    </row>
    <row r="513">
      <c r="A513" s="11" t="s">
        <v>1955</v>
      </c>
      <c r="B513" s="24" t="s">
        <v>1956</v>
      </c>
      <c r="C513" s="25" t="s">
        <v>874</v>
      </c>
      <c r="D513" s="11" t="s">
        <v>874</v>
      </c>
      <c r="E513" s="11">
        <f t="shared" si="60"/>
        <v>6000000</v>
      </c>
      <c r="F513" s="11" t="s">
        <v>311</v>
      </c>
      <c r="G513" s="11">
        <v>6000000.0</v>
      </c>
      <c r="H513" s="31">
        <v>200000.0</v>
      </c>
      <c r="I513" s="34" t="s">
        <v>667</v>
      </c>
      <c r="J513" s="11" t="s">
        <v>625</v>
      </c>
      <c r="K513" s="38">
        <f t="shared" si="64"/>
        <v>30</v>
      </c>
      <c r="L513" s="18" t="s">
        <v>1068</v>
      </c>
      <c r="M513" s="18" t="s">
        <v>1059</v>
      </c>
      <c r="N513" s="18"/>
      <c r="O513" s="18">
        <v>0.0</v>
      </c>
      <c r="P513" s="18" t="s">
        <v>112</v>
      </c>
      <c r="Q513" s="42" t="str">
        <f>iferror(VLOOKUP(A513,'Positional cal'!A:H,1,0)=A513,"FALSE")</f>
        <v>FALSE</v>
      </c>
      <c r="R513" s="43" t="b">
        <f t="shared" si="3"/>
        <v>0</v>
      </c>
      <c r="S513" s="46">
        <f>IFERROR(VLOOKUP($A513,AlgoUi!$A:$X,21,0),"NA")</f>
        <v>23121433</v>
      </c>
      <c r="T513" s="46">
        <f>IFERROR(VLOOKUP($A513,AlgoUi!$A:$X,23,0),"")</f>
        <v>24000000</v>
      </c>
      <c r="U513" s="46">
        <f>IFERROR(VLOOKUP($A513,AlgoUi!$A:$X,24,0),"")</f>
        <v>2400000000</v>
      </c>
      <c r="V513" s="42" t="str">
        <f>IFERROR(__xludf.DUMMYFUNCTION("IFERROR(VLOOKUP(I513,IMPORTRANGE(""https://docs.google.com/spreadsheets/d/17FOIUYQAjPk1pPQIlvOgqYDBqwUqgb7KWzp4DtVksBk/edit?gid=0#gid=0"",""Servers!A:S""),19,FALSE), ""Not Running"")"),"MEENAKSHI")</f>
        <v>MEENAKSHI</v>
      </c>
      <c r="W513" s="47" t="str">
        <f>VLOOKUP($A513,Category!$A:$E,4,0)</f>
        <v>CC</v>
      </c>
      <c r="X513" s="47" t="str">
        <f>VLOOKUP($A513,Category!$A:$E,5,0)</f>
        <v>PVT</v>
      </c>
      <c r="Y513" s="18" t="str">
        <f>VLOOKUP(A513,PAcc!$A$1:$J$27,10,0)</f>
        <v>VT Personal </v>
      </c>
      <c r="Z513" s="42" t="b">
        <f t="shared" si="4"/>
        <v>0</v>
      </c>
      <c r="AA513" s="50">
        <v>1.0</v>
      </c>
      <c r="AB513" s="25" t="str">
        <f>VLOOKUP(A513,VlookupSheet!$A$383:$A$523,1,0)</f>
        <v>MAJAYM02</v>
      </c>
      <c r="AC513" s="42"/>
      <c r="AD513" s="42"/>
      <c r="AE513" s="42"/>
      <c r="AF513" s="42"/>
    </row>
    <row r="514">
      <c r="A514" s="11" t="s">
        <v>666</v>
      </c>
      <c r="B514" s="24" t="s">
        <v>2408</v>
      </c>
      <c r="C514" s="25"/>
      <c r="D514" s="11" t="s">
        <v>874</v>
      </c>
      <c r="E514" s="11">
        <f t="shared" si="60"/>
        <v>6000000</v>
      </c>
      <c r="F514" s="11" t="s">
        <v>85</v>
      </c>
      <c r="G514" s="11">
        <v>6000000.0</v>
      </c>
      <c r="H514" s="31">
        <v>200000.0</v>
      </c>
      <c r="I514" s="34" t="s">
        <v>667</v>
      </c>
      <c r="J514" s="11" t="s">
        <v>625</v>
      </c>
      <c r="K514" s="38">
        <f t="shared" si="64"/>
        <v>30</v>
      </c>
      <c r="L514" s="18" t="s">
        <v>1068</v>
      </c>
      <c r="M514" s="18" t="s">
        <v>1059</v>
      </c>
      <c r="N514" s="18"/>
      <c r="O514" s="18">
        <v>0.0</v>
      </c>
      <c r="P514" s="18" t="s">
        <v>112</v>
      </c>
      <c r="Q514" s="42" t="str">
        <f>iferror(VLOOKUP(A514,'Positional cal'!A:H,1,0)=A514,"FALSE")</f>
        <v>FALSE</v>
      </c>
      <c r="R514" s="43" t="b">
        <f t="shared" si="3"/>
        <v>0</v>
      </c>
      <c r="S514" s="46">
        <f>IFERROR(VLOOKUP($A514,AlgoUi!$A:$X,21,0),"NA")</f>
        <v>20000000</v>
      </c>
      <c r="T514" s="46">
        <f>IFERROR(VLOOKUP($A514,AlgoUi!$A:$X,23,0),"")</f>
        <v>20000000</v>
      </c>
      <c r="U514" s="46">
        <f>IFERROR(VLOOKUP($A514,AlgoUi!$A:$X,24,0),"")</f>
        <v>2000000000</v>
      </c>
      <c r="V514" s="42" t="str">
        <f>IFERROR(__xludf.DUMMYFUNCTION("IFERROR(VLOOKUP(I514,IMPORTRANGE(""https://docs.google.com/spreadsheets/d/17FOIUYQAjPk1pPQIlvOgqYDBqwUqgb7KWzp4DtVksBk/edit?gid=0#gid=0"",""Servers!A:S""),19,FALSE), ""Not Running"")"),"MEENAKSHI")</f>
        <v>MEENAKSHI</v>
      </c>
      <c r="W514" s="47" t="str">
        <f>VLOOKUP($A514,Category!$A:$E,4,0)</f>
        <v>CC</v>
      </c>
      <c r="X514" s="47" t="str">
        <f>VLOOKUP($A514,Category!$A:$E,5,0)</f>
        <v>CC</v>
      </c>
      <c r="Y514" s="18" t="str">
        <f>VLOOKUP(A514,PAcc!$A$1:$J$27,10,0)</f>
        <v>#N/A</v>
      </c>
      <c r="Z514" s="42" t="b">
        <f t="shared" si="4"/>
        <v>1</v>
      </c>
      <c r="AA514" s="50">
        <v>1.0</v>
      </c>
      <c r="AB514" s="25" t="str">
        <f>VLOOKUP(A514,VlookupSheet!$A$383:$A$523,1,0)</f>
        <v>CC08</v>
      </c>
      <c r="AC514" s="42"/>
      <c r="AD514" s="42"/>
      <c r="AE514" s="42"/>
      <c r="AF514" s="42"/>
    </row>
    <row r="515">
      <c r="A515" s="11" t="s">
        <v>669</v>
      </c>
      <c r="B515" s="24" t="s">
        <v>3116</v>
      </c>
      <c r="C515" s="25">
        <v>2.0</v>
      </c>
      <c r="D515" s="11" t="s">
        <v>874</v>
      </c>
      <c r="E515" s="11">
        <f t="shared" si="60"/>
        <v>6000000</v>
      </c>
      <c r="F515" s="11" t="s">
        <v>311</v>
      </c>
      <c r="G515" s="11">
        <v>6000000.0</v>
      </c>
      <c r="H515" s="31">
        <v>200000.0</v>
      </c>
      <c r="I515" s="34" t="s">
        <v>667</v>
      </c>
      <c r="J515" s="11" t="s">
        <v>625</v>
      </c>
      <c r="K515" s="38">
        <f t="shared" si="64"/>
        <v>30</v>
      </c>
      <c r="L515" s="18" t="s">
        <v>1068</v>
      </c>
      <c r="M515" s="18" t="s">
        <v>1059</v>
      </c>
      <c r="N515" s="18"/>
      <c r="O515" s="18">
        <v>0.0</v>
      </c>
      <c r="P515" s="18" t="s">
        <v>112</v>
      </c>
      <c r="Q515" s="42" t="str">
        <f>iferror(VLOOKUP(A515,'Positional cal'!A:H,1,0)=A515,"FALSE")</f>
        <v>FALSE</v>
      </c>
      <c r="R515" s="43" t="b">
        <f t="shared" si="3"/>
        <v>0</v>
      </c>
      <c r="S515" s="46">
        <f>IFERROR(VLOOKUP($A515,AlgoUi!$A:$X,21,0),"NA")</f>
        <v>25919836</v>
      </c>
      <c r="T515" s="46">
        <f>IFERROR(VLOOKUP($A515,AlgoUi!$A:$X,23,0),"")</f>
        <v>26000000</v>
      </c>
      <c r="U515" s="46">
        <f>IFERROR(VLOOKUP($A515,AlgoUi!$A:$X,24,0),"")</f>
        <v>2600000000</v>
      </c>
      <c r="V515" s="42" t="str">
        <f>IFERROR(__xludf.DUMMYFUNCTION("IFERROR(VLOOKUP(I515,IMPORTRANGE(""https://docs.google.com/spreadsheets/d/17FOIUYQAjPk1pPQIlvOgqYDBqwUqgb7KWzp4DtVksBk/edit?gid=0#gid=0"",""Servers!A:S""),19,FALSE), ""Not Running"")"),"MEENAKSHI")</f>
        <v>MEENAKSHI</v>
      </c>
      <c r="W515" s="47" t="str">
        <f>VLOOKUP($A515,Category!$A:$E,4,0)</f>
        <v>CC</v>
      </c>
      <c r="X515" s="47" t="str">
        <f>VLOOKUP($A515,Category!$A:$E,5,0)</f>
        <v>PGB</v>
      </c>
      <c r="Y515" s="18" t="str">
        <f>VLOOKUP(A515,PAcc!$A$1:$J$27,10,0)</f>
        <v>GB Personal </v>
      </c>
      <c r="Z515" s="42" t="b">
        <f t="shared" si="4"/>
        <v>0</v>
      </c>
      <c r="AA515" s="50">
        <v>1.0</v>
      </c>
      <c r="AB515" s="25" t="str">
        <f>VLOOKUP(A515,VlookupSheet!$A$383:$A$523,1,0)</f>
        <v>YW362900</v>
      </c>
      <c r="AC515" s="42"/>
      <c r="AD515" s="42"/>
      <c r="AE515" s="42"/>
      <c r="AF515" s="42"/>
    </row>
    <row r="516">
      <c r="A516" s="11" t="s">
        <v>670</v>
      </c>
      <c r="B516" s="24" t="s">
        <v>3389</v>
      </c>
      <c r="C516" s="25"/>
      <c r="D516" s="11" t="s">
        <v>874</v>
      </c>
      <c r="E516" s="11">
        <f t="shared" si="60"/>
        <v>6000000</v>
      </c>
      <c r="F516" s="11" t="s">
        <v>3715</v>
      </c>
      <c r="G516" s="11">
        <v>6000000.0</v>
      </c>
      <c r="H516" s="31">
        <v>200000.0</v>
      </c>
      <c r="I516" s="34" t="s">
        <v>667</v>
      </c>
      <c r="J516" s="11" t="s">
        <v>625</v>
      </c>
      <c r="K516" s="38">
        <f t="shared" si="64"/>
        <v>30</v>
      </c>
      <c r="L516" s="18" t="s">
        <v>1068</v>
      </c>
      <c r="M516" s="18" t="s">
        <v>1059</v>
      </c>
      <c r="N516" s="18"/>
      <c r="O516" s="18">
        <v>0.0</v>
      </c>
      <c r="P516" s="18" t="s">
        <v>112</v>
      </c>
      <c r="Q516" s="42" t="str">
        <f>iferror(VLOOKUP(A516,'Positional cal'!A:H,1,0)=A516,"FALSE")</f>
        <v>FALSE</v>
      </c>
      <c r="R516" s="43" t="b">
        <f t="shared" si="3"/>
        <v>0</v>
      </c>
      <c r="S516" s="46">
        <f>IFERROR(VLOOKUP($A516,AlgoUi!$A:$X,21,0),"NA")</f>
        <v>20000000</v>
      </c>
      <c r="T516" s="46">
        <f>IFERROR(VLOOKUP($A516,AlgoUi!$A:$X,23,0),"")</f>
        <v>20000000</v>
      </c>
      <c r="U516" s="46">
        <f>IFERROR(VLOOKUP($A516,AlgoUi!$A:$X,24,0),"")</f>
        <v>2000000000</v>
      </c>
      <c r="V516" s="42" t="str">
        <f>IFERROR(__xludf.DUMMYFUNCTION("IFERROR(VLOOKUP(I516,IMPORTRANGE(""https://docs.google.com/spreadsheets/d/17FOIUYQAjPk1pPQIlvOgqYDBqwUqgb7KWzp4DtVksBk/edit?gid=0#gid=0"",""Servers!A:S""),19,FALSE), ""Not Running"")"),"MEENAKSHI")</f>
        <v>MEENAKSHI</v>
      </c>
      <c r="W516" s="47" t="str">
        <f>VLOOKUP($A516,Category!$A:$E,4,0)</f>
        <v>CC</v>
      </c>
      <c r="X516" s="47" t="str">
        <f>VLOOKUP($A516,Category!$A:$E,5,0)</f>
        <v>CCV</v>
      </c>
      <c r="Y516" s="18" t="str">
        <f>VLOOKUP(A516,PAcc!$A$1:$J$27,10,0)</f>
        <v>#N/A</v>
      </c>
      <c r="Z516" s="42" t="b">
        <f t="shared" si="4"/>
        <v>1</v>
      </c>
      <c r="AA516" s="50">
        <v>1.0</v>
      </c>
      <c r="AB516" s="25" t="str">
        <f>VLOOKUP(A516,VlookupSheet!$A$383:$A$523,1,0)</f>
        <v>2037</v>
      </c>
      <c r="AC516" s="42"/>
      <c r="AD516" s="42"/>
      <c r="AE516" s="42"/>
      <c r="AF516" s="42"/>
    </row>
    <row r="517">
      <c r="A517" s="11" t="s">
        <v>2679</v>
      </c>
      <c r="B517" s="24" t="s">
        <v>2680</v>
      </c>
      <c r="C517" s="25"/>
      <c r="D517" s="11" t="s">
        <v>874</v>
      </c>
      <c r="E517" s="11">
        <f t="shared" si="60"/>
        <v>6000000</v>
      </c>
      <c r="F517" s="11" t="s">
        <v>317</v>
      </c>
      <c r="G517" s="11">
        <v>6000000.0</v>
      </c>
      <c r="H517" s="31">
        <v>200000.0</v>
      </c>
      <c r="I517" s="34" t="s">
        <v>667</v>
      </c>
      <c r="J517" s="11" t="s">
        <v>625</v>
      </c>
      <c r="K517" s="38">
        <f t="shared" si="64"/>
        <v>30</v>
      </c>
      <c r="L517" s="18" t="s">
        <v>1068</v>
      </c>
      <c r="M517" s="18" t="s">
        <v>1059</v>
      </c>
      <c r="N517" s="18"/>
      <c r="O517" s="18">
        <v>0.0</v>
      </c>
      <c r="P517" s="18" t="s">
        <v>112</v>
      </c>
      <c r="Q517" s="42" t="str">
        <f>iferror(VLOOKUP(A517,'Positional cal'!A:H,1,0)=A517,"FALSE")</f>
        <v>FALSE</v>
      </c>
      <c r="R517" s="43" t="b">
        <f t="shared" si="3"/>
        <v>0</v>
      </c>
      <c r="S517" s="46">
        <f>IFERROR(VLOOKUP($A517,AlgoUi!$A:$X,21,0),"NA")</f>
        <v>20000000</v>
      </c>
      <c r="T517" s="46">
        <f>IFERROR(VLOOKUP($A517,AlgoUi!$A:$X,23,0),"")</f>
        <v>20000000</v>
      </c>
      <c r="U517" s="46">
        <f>IFERROR(VLOOKUP($A517,AlgoUi!$A:$X,24,0),"")</f>
        <v>2000000000</v>
      </c>
      <c r="V517" s="42" t="str">
        <f>IFERROR(__xludf.DUMMYFUNCTION("IFERROR(VLOOKUP(I517,IMPORTRANGE(""https://docs.google.com/spreadsheets/d/17FOIUYQAjPk1pPQIlvOgqYDBqwUqgb7KWzp4DtVksBk/edit?gid=0#gid=0"",""Servers!A:S""),19,FALSE), ""Not Running"")"),"MEENAKSHI")</f>
        <v>MEENAKSHI</v>
      </c>
      <c r="W517" s="47" t="str">
        <f>VLOOKUP($A517,Category!$A:$E,4,0)</f>
        <v>CC</v>
      </c>
      <c r="X517" s="47" t="str">
        <f>VLOOKUP($A517,Category!$A:$E,5,0)</f>
        <v>CCV</v>
      </c>
      <c r="Y517" s="18" t="str">
        <f>VLOOKUP(A517,PAcc!$A$1:$J$27,10,0)</f>
        <v>#N/A</v>
      </c>
      <c r="Z517" s="42" t="b">
        <f t="shared" si="4"/>
        <v>1</v>
      </c>
      <c r="AA517" s="50">
        <v>0.6</v>
      </c>
      <c r="AB517" s="25" t="str">
        <f>VLOOKUP(A517,VlookupSheet!$A$383:$A$523,1,0)</f>
        <v>SF207</v>
      </c>
      <c r="AC517" s="42"/>
      <c r="AD517" s="42"/>
      <c r="AE517" s="42"/>
      <c r="AF517" s="42"/>
    </row>
    <row r="518">
      <c r="A518" s="11" t="s">
        <v>1329</v>
      </c>
      <c r="B518" s="24" t="s">
        <v>2641</v>
      </c>
      <c r="C518" s="25"/>
      <c r="D518" s="11" t="s">
        <v>874</v>
      </c>
      <c r="E518" s="11">
        <f t="shared" si="60"/>
        <v>6000000</v>
      </c>
      <c r="F518" s="11" t="s">
        <v>311</v>
      </c>
      <c r="G518" s="11">
        <v>6000000.0</v>
      </c>
      <c r="H518" s="31">
        <v>200000.0</v>
      </c>
      <c r="I518" s="34" t="s">
        <v>667</v>
      </c>
      <c r="J518" s="11" t="s">
        <v>625</v>
      </c>
      <c r="K518" s="38">
        <f t="shared" si="64"/>
        <v>30</v>
      </c>
      <c r="L518" s="18" t="s">
        <v>1068</v>
      </c>
      <c r="M518" s="18" t="s">
        <v>1059</v>
      </c>
      <c r="N518" s="18"/>
      <c r="O518" s="18">
        <v>0.0</v>
      </c>
      <c r="P518" s="18" t="s">
        <v>112</v>
      </c>
      <c r="Q518" s="42" t="str">
        <f>iferror(VLOOKUP(A518,'Positional cal'!A:H,1,0)=A518,"FALSE")</f>
        <v>FALSE</v>
      </c>
      <c r="R518" s="43" t="b">
        <f t="shared" si="3"/>
        <v>0</v>
      </c>
      <c r="S518" s="46">
        <f>IFERROR(VLOOKUP($A518,AlgoUi!$A:$X,21,0),"NA")</f>
        <v>24473876</v>
      </c>
      <c r="T518" s="46">
        <f>IFERROR(VLOOKUP($A518,AlgoUi!$A:$X,23,0),"")</f>
        <v>24000000</v>
      </c>
      <c r="U518" s="46">
        <f>IFERROR(VLOOKUP($A518,AlgoUi!$A:$X,24,0),"")</f>
        <v>2400000000</v>
      </c>
      <c r="V518" s="42" t="str">
        <f>IFERROR(__xludf.DUMMYFUNCTION("IFERROR(VLOOKUP(I518,IMPORTRANGE(""https://docs.google.com/spreadsheets/d/17FOIUYQAjPk1pPQIlvOgqYDBqwUqgb7KWzp4DtVksBk/edit?gid=0#gid=0"",""Servers!A:S""),19,FALSE), ""Not Running"")"),"MEENAKSHI")</f>
        <v>MEENAKSHI</v>
      </c>
      <c r="W518" s="47" t="str">
        <f>VLOOKUP($A518,Category!$A:$E,4,0)</f>
        <v>MS</v>
      </c>
      <c r="X518" s="47" t="str">
        <f>VLOOKUP($A518,Category!$A:$E,5,0)</f>
        <v>MSR</v>
      </c>
      <c r="Y518" s="18" t="str">
        <f>VLOOKUP(A518,PAcc!$A$1:$J$27,10,0)</f>
        <v>#N/A</v>
      </c>
      <c r="Z518" s="42" t="b">
        <f t="shared" si="4"/>
        <v>0</v>
      </c>
      <c r="AA518" s="42"/>
      <c r="AB518" s="25" t="str">
        <f>VLOOKUP(A518,VlookupSheet!$A$383:$A$523,1,0)</f>
        <v>MRAJESH0</v>
      </c>
      <c r="AC518" s="42"/>
      <c r="AD518" s="42"/>
      <c r="AE518" s="42"/>
      <c r="AF518" s="42"/>
    </row>
    <row r="519">
      <c r="A519" s="11" t="s">
        <v>2663</v>
      </c>
      <c r="B519" s="24" t="s">
        <v>3507</v>
      </c>
      <c r="C519" s="25"/>
      <c r="D519" s="11" t="s">
        <v>874</v>
      </c>
      <c r="E519" s="11">
        <f t="shared" si="60"/>
        <v>6000000</v>
      </c>
      <c r="F519" s="11" t="s">
        <v>311</v>
      </c>
      <c r="G519" s="11">
        <v>6000000.0</v>
      </c>
      <c r="H519" s="31">
        <v>200000.0</v>
      </c>
      <c r="I519" s="34" t="s">
        <v>667</v>
      </c>
      <c r="J519" s="11" t="s">
        <v>625</v>
      </c>
      <c r="K519" s="38">
        <f t="shared" si="64"/>
        <v>30</v>
      </c>
      <c r="L519" s="18" t="s">
        <v>1068</v>
      </c>
      <c r="M519" s="18" t="s">
        <v>1059</v>
      </c>
      <c r="N519" s="18"/>
      <c r="O519" s="18">
        <v>0.0</v>
      </c>
      <c r="P519" s="18" t="s">
        <v>112</v>
      </c>
      <c r="Q519" s="42" t="str">
        <f>iferror(VLOOKUP(A519,'Positional cal'!A:H,1,0)=A519,"FALSE")</f>
        <v>FALSE</v>
      </c>
      <c r="R519" s="43" t="b">
        <f t="shared" si="3"/>
        <v>0</v>
      </c>
      <c r="S519" s="46">
        <f>IFERROR(VLOOKUP($A519,AlgoUi!$A:$X,21,0),"NA")</f>
        <v>21386088</v>
      </c>
      <c r="T519" s="46">
        <f>IFERROR(VLOOKUP($A519,AlgoUi!$A:$X,23,0),"")</f>
        <v>22000000</v>
      </c>
      <c r="U519" s="46">
        <f>IFERROR(VLOOKUP($A519,AlgoUi!$A:$X,24,0),"")</f>
        <v>2200000000</v>
      </c>
      <c r="V519" s="42" t="str">
        <f>IFERROR(__xludf.DUMMYFUNCTION("IFERROR(VLOOKUP(I519,IMPORTRANGE(""https://docs.google.com/spreadsheets/d/17FOIUYQAjPk1pPQIlvOgqYDBqwUqgb7KWzp4DtVksBk/edit?gid=0#gid=0"",""Servers!A:S""),19,FALSE), ""Not Running"")"),"MEENAKSHI")</f>
        <v>MEENAKSHI</v>
      </c>
      <c r="W519" s="47" t="str">
        <f>VLOOKUP($A519,Category!$A:$E,4,0)</f>
        <v>MS</v>
      </c>
      <c r="X519" s="47" t="str">
        <f>VLOOKUP($A519,Category!$A:$E,5,0)</f>
        <v>MSR</v>
      </c>
      <c r="Y519" s="18" t="str">
        <f>VLOOKUP(A519,PAcc!$A$1:$J$27,10,0)</f>
        <v>#N/A</v>
      </c>
      <c r="Z519" s="42" t="b">
        <f t="shared" si="4"/>
        <v>0</v>
      </c>
      <c r="AA519" s="42"/>
      <c r="AB519" s="25" t="str">
        <f>VLOOKUP(A519,VlookupSheet!$A$383:$A$523,1,0)</f>
        <v>REORETAI</v>
      </c>
      <c r="AC519" s="42"/>
      <c r="AD519" s="42"/>
      <c r="AE519" s="42"/>
      <c r="AF519" s="42"/>
    </row>
    <row r="520">
      <c r="A520" s="11" t="s">
        <v>2814</v>
      </c>
      <c r="B520" s="24" t="s">
        <v>2815</v>
      </c>
      <c r="C520" s="25"/>
      <c r="D520" s="11" t="s">
        <v>874</v>
      </c>
      <c r="E520" s="11">
        <f t="shared" si="60"/>
        <v>6000000</v>
      </c>
      <c r="F520" s="11" t="s">
        <v>311</v>
      </c>
      <c r="G520" s="11">
        <v>6000000.0</v>
      </c>
      <c r="H520" s="31">
        <v>200000.0</v>
      </c>
      <c r="I520" s="34" t="s">
        <v>667</v>
      </c>
      <c r="J520" s="11" t="s">
        <v>625</v>
      </c>
      <c r="K520" s="38">
        <f t="shared" si="64"/>
        <v>30</v>
      </c>
      <c r="L520" s="18" t="s">
        <v>1068</v>
      </c>
      <c r="M520" s="18" t="s">
        <v>1059</v>
      </c>
      <c r="N520" s="18"/>
      <c r="O520" s="18">
        <v>0.0</v>
      </c>
      <c r="P520" s="18" t="s">
        <v>112</v>
      </c>
      <c r="Q520" s="42" t="str">
        <f>iferror(VLOOKUP(A520,'Positional cal'!A:H,1,0)=A520,"FALSE")</f>
        <v>FALSE</v>
      </c>
      <c r="R520" s="43" t="b">
        <f t="shared" si="3"/>
        <v>0</v>
      </c>
      <c r="S520" s="46">
        <f>IFERROR(VLOOKUP($A520,AlgoUi!$A:$X,21,0),"NA")</f>
        <v>21260609</v>
      </c>
      <c r="T520" s="46">
        <f>IFERROR(VLOOKUP($A520,AlgoUi!$A:$X,23,0),"")</f>
        <v>22000000</v>
      </c>
      <c r="U520" s="46">
        <f>IFERROR(VLOOKUP($A520,AlgoUi!$A:$X,24,0),"")</f>
        <v>2200000000</v>
      </c>
      <c r="V520" s="42" t="str">
        <f>IFERROR(__xludf.DUMMYFUNCTION("IFERROR(VLOOKUP(I520,IMPORTRANGE(""https://docs.google.com/spreadsheets/d/17FOIUYQAjPk1pPQIlvOgqYDBqwUqgb7KWzp4DtVksBk/edit?gid=0#gid=0"",""Servers!A:S""),19,FALSE), ""Not Running"")"),"MEENAKSHI")</f>
        <v>MEENAKSHI</v>
      </c>
      <c r="W520" s="47" t="str">
        <f>VLOOKUP($A520,Category!$A:$E,4,0)</f>
        <v>MS</v>
      </c>
      <c r="X520" s="47" t="str">
        <f>VLOOKUP($A520,Category!$A:$E,5,0)</f>
        <v>MSN</v>
      </c>
      <c r="Y520" s="18" t="str">
        <f>VLOOKUP(A520,PAcc!$A$1:$J$27,10,0)</f>
        <v>#N/A</v>
      </c>
      <c r="Z520" s="42" t="b">
        <f t="shared" si="4"/>
        <v>0</v>
      </c>
      <c r="AA520" s="42"/>
      <c r="AB520" s="25" t="str">
        <f>VLOOKUP(A520,VlookupSheet!$A$383:$A$523,1,0)</f>
        <v>SBAXIENT</v>
      </c>
      <c r="AC520" s="42"/>
      <c r="AD520" s="42"/>
      <c r="AE520" s="42"/>
      <c r="AF520" s="42"/>
    </row>
    <row r="521">
      <c r="A521" s="11" t="s">
        <v>2844</v>
      </c>
      <c r="B521" s="24" t="s">
        <v>2845</v>
      </c>
      <c r="C521" s="25"/>
      <c r="D521" s="11" t="s">
        <v>874</v>
      </c>
      <c r="E521" s="11">
        <f t="shared" si="60"/>
        <v>6000000</v>
      </c>
      <c r="F521" s="11" t="s">
        <v>2837</v>
      </c>
      <c r="G521" s="11">
        <v>6000000.0</v>
      </c>
      <c r="H521" s="31">
        <v>200000.0</v>
      </c>
      <c r="I521" s="34" t="s">
        <v>667</v>
      </c>
      <c r="J521" s="11" t="s">
        <v>625</v>
      </c>
      <c r="K521" s="38">
        <f t="shared" si="64"/>
        <v>30</v>
      </c>
      <c r="L521" s="18" t="s">
        <v>1068</v>
      </c>
      <c r="M521" s="18" t="s">
        <v>1059</v>
      </c>
      <c r="N521" s="18"/>
      <c r="O521" s="18">
        <v>0.0</v>
      </c>
      <c r="P521" s="18" t="s">
        <v>112</v>
      </c>
      <c r="Q521" s="42" t="str">
        <f>iferror(VLOOKUP(A521,'Positional cal'!A:H,1,0)=A521,"FALSE")</f>
        <v>FALSE</v>
      </c>
      <c r="R521" s="43" t="b">
        <f t="shared" si="3"/>
        <v>0</v>
      </c>
      <c r="S521" s="46">
        <f>IFERROR(VLOOKUP($A521,AlgoUi!$A:$X,21,0),"NA")</f>
        <v>20000000</v>
      </c>
      <c r="T521" s="46">
        <f>IFERROR(VLOOKUP($A521,AlgoUi!$A:$X,23,0),"")</f>
        <v>20000000</v>
      </c>
      <c r="U521" s="46">
        <f>IFERROR(VLOOKUP($A521,AlgoUi!$A:$X,24,0),"")</f>
        <v>2000000000</v>
      </c>
      <c r="V521" s="42" t="str">
        <f>IFERROR(__xludf.DUMMYFUNCTION("IFERROR(VLOOKUP(I521,IMPORTRANGE(""https://docs.google.com/spreadsheets/d/17FOIUYQAjPk1pPQIlvOgqYDBqwUqgb7KWzp4DtVksBk/edit?gid=0#gid=0"",""Servers!A:S""),19,FALSE), ""Not Running"")"),"MEENAKSHI")</f>
        <v>MEENAKSHI</v>
      </c>
      <c r="W521" s="47" t="str">
        <f>VLOOKUP($A521,Category!$A:$E,4,0)</f>
        <v>MS</v>
      </c>
      <c r="X521" s="47" t="str">
        <f>VLOOKUP($A521,Category!$A:$E,5,0)</f>
        <v>MSR</v>
      </c>
      <c r="Y521" s="18" t="str">
        <f>VLOOKUP(A521,PAcc!$A$1:$J$27,10,0)</f>
        <v>#N/A</v>
      </c>
      <c r="Z521" s="42" t="b">
        <f t="shared" si="4"/>
        <v>1</v>
      </c>
      <c r="AA521" s="42"/>
      <c r="AB521" s="25" t="str">
        <f>VLOOKUP(A521,VlookupSheet!$A$383:$A$523,1,0)</f>
        <v>V401D</v>
      </c>
      <c r="AC521" s="42"/>
      <c r="AD521" s="42"/>
      <c r="AE521" s="42"/>
      <c r="AF521" s="42"/>
    </row>
    <row r="522">
      <c r="A522" s="30" t="s">
        <v>378</v>
      </c>
      <c r="B522" s="84" t="s">
        <v>3016</v>
      </c>
      <c r="C522" s="85"/>
      <c r="D522" s="11">
        <f t="shared" ref="D522:D533" si="65">IF(J522="7",0.8,1)</f>
        <v>0.8</v>
      </c>
      <c r="E522" s="11">
        <f t="shared" ref="E522:E533" si="66">D522*H522</f>
        <v>32000</v>
      </c>
      <c r="F522" s="30" t="s">
        <v>232</v>
      </c>
      <c r="G522" s="11" t="s">
        <v>1039</v>
      </c>
      <c r="H522" s="31">
        <v>40000.0</v>
      </c>
      <c r="I522" s="34" t="s">
        <v>66</v>
      </c>
      <c r="J522" s="11" t="s">
        <v>1018</v>
      </c>
      <c r="K522" s="38">
        <f t="shared" si="64"/>
        <v>0.8</v>
      </c>
      <c r="L522" s="18" t="s">
        <v>910</v>
      </c>
      <c r="M522" s="18" t="s">
        <v>736</v>
      </c>
      <c r="N522" s="74"/>
      <c r="O522" s="74"/>
      <c r="P522" s="74"/>
      <c r="Q522" s="42" t="str">
        <f>iferror(VLOOKUP(A522,'Positional cal'!A:H,1,0)=A522,"FALSE")</f>
        <v>FALSE</v>
      </c>
      <c r="R522" s="43" t="b">
        <f t="shared" si="3"/>
        <v>0</v>
      </c>
      <c r="S522" s="46">
        <f>IFERROR(VLOOKUP($A522,AlgoUi!$A:$X,21,0),"NA")</f>
        <v>9066265</v>
      </c>
      <c r="T522" s="46">
        <f>IFERROR(VLOOKUP($A522,AlgoUi!$A:$X,23,0),"")</f>
        <v>10000000</v>
      </c>
      <c r="U522" s="46">
        <f>IFERROR(VLOOKUP($A522,AlgoUi!$A:$X,24,0),"")</f>
        <v>80000</v>
      </c>
      <c r="V522" s="42" t="str">
        <f>IFERROR(__xludf.DUMMYFUNCTION("IFERROR(VLOOKUP(I522,IMPORTRANGE(""https://docs.google.com/spreadsheets/d/17FOIUYQAjPk1pPQIlvOgqYDBqwUqgb7KWzp4DtVksBk/edit?gid=0#gid=0"",""Servers!A:S""),19,FALSE), ""Not Running"")"),"ANIKETG")</f>
        <v>ANIKETG</v>
      </c>
      <c r="W522" s="47" t="str">
        <f>VLOOKUP($A522,Category!$A:$E,4,0)</f>
        <v>MS</v>
      </c>
      <c r="X522" s="47" t="str">
        <f>VLOOKUP($A522,Category!$A:$E,5,0)</f>
        <v>MSR</v>
      </c>
      <c r="Y522" s="18" t="str">
        <f>VLOOKUP(A522,PAcc!$A$1:$J$27,10,0)</f>
        <v>#N/A</v>
      </c>
      <c r="Z522" s="42" t="b">
        <f t="shared" si="4"/>
        <v>0</v>
      </c>
      <c r="AA522" s="50">
        <v>0.4</v>
      </c>
      <c r="AB522" s="42" t="str">
        <f>VLOOKUP(A522,VlookupSheet!$A$383:$A$523,1,0)</f>
        <v>#N/A</v>
      </c>
      <c r="AC522" s="42"/>
      <c r="AD522" s="42">
        <f t="shared" ref="AD522:AD525" si="67">S522*AA522</f>
        <v>3626506</v>
      </c>
      <c r="AE522" s="42">
        <f t="shared" ref="AE522:AE525" si="68">MROUND(AD522,2000000)/100</f>
        <v>40000</v>
      </c>
      <c r="AF522" s="123">
        <f t="shared" ref="AF522:AF525" si="69">AE522-H522</f>
        <v>0</v>
      </c>
    </row>
    <row r="523">
      <c r="A523" s="11" t="s">
        <v>389</v>
      </c>
      <c r="B523" s="84" t="s">
        <v>3118</v>
      </c>
      <c r="C523" s="25"/>
      <c r="D523" s="11">
        <f t="shared" si="65"/>
        <v>0.8</v>
      </c>
      <c r="E523" s="11">
        <f t="shared" si="66"/>
        <v>32000</v>
      </c>
      <c r="F523" s="30" t="s">
        <v>232</v>
      </c>
      <c r="G523" s="11" t="s">
        <v>1039</v>
      </c>
      <c r="H523" s="31">
        <v>40000.0</v>
      </c>
      <c r="I523" s="34" t="s">
        <v>66</v>
      </c>
      <c r="J523" s="11" t="s">
        <v>1018</v>
      </c>
      <c r="K523" s="38">
        <f t="shared" si="64"/>
        <v>0.8</v>
      </c>
      <c r="L523" s="18" t="s">
        <v>910</v>
      </c>
      <c r="M523" s="18" t="s">
        <v>736</v>
      </c>
      <c r="N523" s="42"/>
      <c r="O523" s="42"/>
      <c r="P523" s="42"/>
      <c r="Q523" s="42" t="str">
        <f>iferror(VLOOKUP(A523,'Positional cal'!A:H,1,0)=A523,"FALSE")</f>
        <v>FALSE</v>
      </c>
      <c r="R523" s="43" t="b">
        <f t="shared" si="3"/>
        <v>0</v>
      </c>
      <c r="S523" s="46">
        <f>IFERROR(VLOOKUP($A523,AlgoUi!$A:$X,21,0),"NA")</f>
        <v>11195639</v>
      </c>
      <c r="T523" s="46">
        <f>IFERROR(VLOOKUP($A523,AlgoUi!$A:$X,23,0),"")</f>
        <v>12000000</v>
      </c>
      <c r="U523" s="46">
        <f>IFERROR(VLOOKUP($A523,AlgoUi!$A:$X,24,0),"")</f>
        <v>96000</v>
      </c>
      <c r="V523" s="42" t="str">
        <f>IFERROR(__xludf.DUMMYFUNCTION("IFERROR(VLOOKUP(I523,IMPORTRANGE(""https://docs.google.com/spreadsheets/d/17FOIUYQAjPk1pPQIlvOgqYDBqwUqgb7KWzp4DtVksBk/edit?gid=0#gid=0"",""Servers!A:S""),19,FALSE), ""Not Running"")"),"ANIKETG")</f>
        <v>ANIKETG</v>
      </c>
      <c r="W523" s="47" t="str">
        <f>VLOOKUP($A523,Category!$A:$E,4,0)</f>
        <v>MS</v>
      </c>
      <c r="X523" s="47" t="str">
        <f>VLOOKUP($A523,Category!$A:$E,5,0)</f>
        <v>MSR</v>
      </c>
      <c r="Y523" s="18" t="str">
        <f>VLOOKUP(A523,PAcc!$A$1:$J$27,10,0)</f>
        <v>#N/A</v>
      </c>
      <c r="Z523" s="42" t="b">
        <f t="shared" si="4"/>
        <v>0</v>
      </c>
      <c r="AA523" s="50">
        <v>0.4</v>
      </c>
      <c r="AB523" s="42" t="str">
        <f>VLOOKUP(A523,VlookupSheet!$A$383:$A$523,1,0)</f>
        <v>#N/A</v>
      </c>
      <c r="AC523" s="42"/>
      <c r="AD523" s="42">
        <f t="shared" si="67"/>
        <v>4478255.6</v>
      </c>
      <c r="AE523" s="42">
        <f t="shared" si="68"/>
        <v>40000</v>
      </c>
      <c r="AF523" s="123">
        <f t="shared" si="69"/>
        <v>0</v>
      </c>
    </row>
    <row r="524">
      <c r="A524" s="30" t="s">
        <v>565</v>
      </c>
      <c r="B524" s="84" t="s">
        <v>2328</v>
      </c>
      <c r="C524" s="85"/>
      <c r="D524" s="11">
        <f t="shared" si="65"/>
        <v>0.8</v>
      </c>
      <c r="E524" s="11">
        <f t="shared" si="66"/>
        <v>32000</v>
      </c>
      <c r="F524" s="30" t="s">
        <v>232</v>
      </c>
      <c r="G524" s="11" t="s">
        <v>1039</v>
      </c>
      <c r="H524" s="31">
        <v>40000.0</v>
      </c>
      <c r="I524" s="34" t="s">
        <v>66</v>
      </c>
      <c r="J524" s="11" t="s">
        <v>1018</v>
      </c>
      <c r="K524" s="38">
        <f t="shared" si="64"/>
        <v>0.8</v>
      </c>
      <c r="L524" s="18" t="s">
        <v>910</v>
      </c>
      <c r="M524" s="18" t="s">
        <v>736</v>
      </c>
      <c r="N524" s="74"/>
      <c r="O524" s="74"/>
      <c r="P524" s="74"/>
      <c r="Q524" s="42" t="str">
        <f>iferror(VLOOKUP(A524,'Positional cal'!A:H,1,0)=A524,"FALSE")</f>
        <v>FALSE</v>
      </c>
      <c r="R524" s="43" t="b">
        <f t="shared" si="3"/>
        <v>0</v>
      </c>
      <c r="S524" s="46">
        <f>IFERROR(VLOOKUP($A524,AlgoUi!$A:$X,21,0),"NA")</f>
        <v>10370644</v>
      </c>
      <c r="T524" s="46">
        <f>IFERROR(VLOOKUP($A524,AlgoUi!$A:$X,23,0),"")</f>
        <v>10000000</v>
      </c>
      <c r="U524" s="46">
        <f>IFERROR(VLOOKUP($A524,AlgoUi!$A:$X,24,0),"")</f>
        <v>80000</v>
      </c>
      <c r="V524" s="42" t="str">
        <f>IFERROR(__xludf.DUMMYFUNCTION("IFERROR(VLOOKUP(I524,IMPORTRANGE(""https://docs.google.com/spreadsheets/d/17FOIUYQAjPk1pPQIlvOgqYDBqwUqgb7KWzp4DtVksBk/edit?gid=0#gid=0"",""Servers!A:S""),19,FALSE), ""Not Running"")"),"ANIKETG")</f>
        <v>ANIKETG</v>
      </c>
      <c r="W524" s="47" t="str">
        <f>VLOOKUP($A524,Category!$A:$E,4,0)</f>
        <v>MS</v>
      </c>
      <c r="X524" s="47" t="str">
        <f>VLOOKUP($A524,Category!$A:$E,5,0)</f>
        <v>MSR</v>
      </c>
      <c r="Y524" s="18" t="str">
        <f>VLOOKUP(A524,PAcc!$A$1:$J$27,10,0)</f>
        <v>#N/A</v>
      </c>
      <c r="Z524" s="42" t="b">
        <f t="shared" si="4"/>
        <v>0</v>
      </c>
      <c r="AA524" s="50">
        <v>0.4</v>
      </c>
      <c r="AB524" s="42" t="str">
        <f>VLOOKUP(A524,VlookupSheet!$A$383:$A$523,1,0)</f>
        <v>#N/A</v>
      </c>
      <c r="AC524" s="42"/>
      <c r="AD524" s="42">
        <f t="shared" si="67"/>
        <v>4148257.6</v>
      </c>
      <c r="AE524" s="42">
        <f t="shared" si="68"/>
        <v>40000</v>
      </c>
      <c r="AF524" s="123">
        <f t="shared" si="69"/>
        <v>0</v>
      </c>
    </row>
    <row r="525">
      <c r="A525" s="11" t="s">
        <v>336</v>
      </c>
      <c r="B525" s="24" t="s">
        <v>3219</v>
      </c>
      <c r="C525" s="25"/>
      <c r="D525" s="11">
        <f t="shared" si="65"/>
        <v>0.8</v>
      </c>
      <c r="E525" s="11">
        <f t="shared" si="66"/>
        <v>64000</v>
      </c>
      <c r="F525" s="11" t="s">
        <v>232</v>
      </c>
      <c r="G525" s="11" t="s">
        <v>1249</v>
      </c>
      <c r="H525" s="31">
        <v>80000.0</v>
      </c>
      <c r="I525" s="34" t="s">
        <v>66</v>
      </c>
      <c r="J525" s="11" t="s">
        <v>1018</v>
      </c>
      <c r="K525" s="38">
        <f t="shared" si="64"/>
        <v>0.8</v>
      </c>
      <c r="L525" s="18" t="s">
        <v>910</v>
      </c>
      <c r="M525" s="18" t="s">
        <v>736</v>
      </c>
      <c r="N525" s="42"/>
      <c r="O525" s="42"/>
      <c r="P525" s="42"/>
      <c r="Q525" s="42" t="str">
        <f>iferror(VLOOKUP(A525,'Positional cal'!A:H,1,0)=A525,"FALSE")</f>
        <v>FALSE</v>
      </c>
      <c r="R525" s="43" t="b">
        <f t="shared" si="3"/>
        <v>0</v>
      </c>
      <c r="S525" s="46">
        <f>IFERROR(VLOOKUP($A525,AlgoUi!$A:$X,21,0),"NA")</f>
        <v>17659122</v>
      </c>
      <c r="T525" s="46">
        <f>IFERROR(VLOOKUP($A525,AlgoUi!$A:$X,23,0),"")</f>
        <v>18000000</v>
      </c>
      <c r="U525" s="46">
        <f>IFERROR(VLOOKUP($A525,AlgoUi!$A:$X,24,0),"")</f>
        <v>144000</v>
      </c>
      <c r="V525" s="42" t="str">
        <f>IFERROR(__xludf.DUMMYFUNCTION("IFERROR(VLOOKUP(I525,IMPORTRANGE(""https://docs.google.com/spreadsheets/d/17FOIUYQAjPk1pPQIlvOgqYDBqwUqgb7KWzp4DtVksBk/edit?gid=0#gid=0"",""Servers!A:S""),19,FALSE), ""Not Running"")"),"ANIKETG")</f>
        <v>ANIKETG</v>
      </c>
      <c r="W525" s="47" t="str">
        <f>VLOOKUP($A525,Category!$A:$E,4,0)</f>
        <v>MS</v>
      </c>
      <c r="X525" s="47" t="str">
        <f>VLOOKUP($A525,Category!$A:$E,5,0)</f>
        <v>MSR</v>
      </c>
      <c r="Y525" s="18" t="str">
        <f>VLOOKUP(A525,PAcc!$A$1:$J$27,10,0)</f>
        <v>#N/A</v>
      </c>
      <c r="Z525" s="42" t="b">
        <f t="shared" si="4"/>
        <v>0</v>
      </c>
      <c r="AA525" s="50">
        <v>0.4</v>
      </c>
      <c r="AB525" s="42" t="str">
        <f>VLOOKUP(A525,VlookupSheet!$A$383:$A$523,1,0)</f>
        <v>#N/A</v>
      </c>
      <c r="AC525" s="42"/>
      <c r="AD525" s="42">
        <f t="shared" si="67"/>
        <v>7063648.8</v>
      </c>
      <c r="AE525" s="42">
        <f t="shared" si="68"/>
        <v>80000</v>
      </c>
      <c r="AF525" s="123">
        <f t="shared" si="69"/>
        <v>0</v>
      </c>
    </row>
    <row r="526">
      <c r="A526" s="11" t="s">
        <v>149</v>
      </c>
      <c r="B526" s="24" t="s">
        <v>3264</v>
      </c>
      <c r="C526" s="25"/>
      <c r="D526" s="11">
        <f t="shared" si="65"/>
        <v>1</v>
      </c>
      <c r="E526" s="11">
        <f t="shared" si="66"/>
        <v>200000</v>
      </c>
      <c r="F526" s="34" t="s">
        <v>272</v>
      </c>
      <c r="G526" s="11">
        <v>160000.0</v>
      </c>
      <c r="H526" s="31">
        <v>200000.0</v>
      </c>
      <c r="I526" s="34" t="s">
        <v>267</v>
      </c>
      <c r="J526" s="11" t="s">
        <v>87</v>
      </c>
      <c r="K526" s="38">
        <f t="shared" si="64"/>
        <v>0.8</v>
      </c>
      <c r="L526" s="18" t="s">
        <v>268</v>
      </c>
      <c r="M526" s="18" t="s">
        <v>268</v>
      </c>
      <c r="N526" s="18"/>
      <c r="O526" s="18"/>
      <c r="P526" s="18" t="s">
        <v>1396</v>
      </c>
      <c r="Q526" s="42" t="str">
        <f>iferror(VLOOKUP(A526,'Positional cal'!A:H,1,0)=A526,"FALSE")</f>
        <v>FALSE</v>
      </c>
      <c r="R526" s="43" t="b">
        <f t="shared" si="3"/>
        <v>0</v>
      </c>
      <c r="S526" s="46">
        <f>IFERROR(VLOOKUP($A526,AlgoUi!$A:$X,21,0),"NA")</f>
        <v>1000000000</v>
      </c>
      <c r="T526" s="46">
        <f>IFERROR(VLOOKUP($A526,AlgoUi!$A:$X,23,0),"")</f>
        <v>1000000000</v>
      </c>
      <c r="U526" s="46">
        <f>IFERROR(VLOOKUP($A526,AlgoUi!$A:$X,24,0),"")</f>
        <v>100000000000</v>
      </c>
      <c r="V526" s="42" t="str">
        <f>IFERROR(__xludf.DUMMYFUNCTION("IFERROR(VLOOKUP(I526,IMPORTRANGE(""https://docs.google.com/spreadsheets/d/17FOIUYQAjPk1pPQIlvOgqYDBqwUqgb7KWzp4DtVksBk/edit?gid=0#gid=0"",""Servers!A:S""),19,FALSE), ""Not Running"")"),"Not Running")</f>
        <v>Not Running</v>
      </c>
      <c r="W526" s="47" t="str">
        <f>VLOOKUP($A526,Category!$A:$E,4,0)</f>
        <v>MS</v>
      </c>
      <c r="X526" s="47" t="str">
        <f>VLOOKUP($A526,Category!$A:$E,5,0)</f>
        <v>MSJ</v>
      </c>
      <c r="Y526" s="18" t="str">
        <f>VLOOKUP(A526,PAcc!$A$1:$J$27,10,0)</f>
        <v>#N/A</v>
      </c>
      <c r="Z526" s="42" t="b">
        <f t="shared" si="4"/>
        <v>0</v>
      </c>
      <c r="AA526" s="50">
        <v>0.5</v>
      </c>
      <c r="AB526" s="42" t="str">
        <f>VLOOKUP(A526,VlookupSheet!$A$383:$A$523,1,0)</f>
        <v>#N/A</v>
      </c>
      <c r="AC526" s="42"/>
      <c r="AD526" s="42"/>
      <c r="AE526" s="42"/>
      <c r="AF526" s="42"/>
    </row>
    <row r="527">
      <c r="A527" s="11" t="s">
        <v>568</v>
      </c>
      <c r="B527" s="84" t="s">
        <v>3046</v>
      </c>
      <c r="C527" s="25"/>
      <c r="D527" s="11">
        <f t="shared" si="65"/>
        <v>0.8</v>
      </c>
      <c r="E527" s="11">
        <f t="shared" si="66"/>
        <v>64000</v>
      </c>
      <c r="F527" s="30" t="s">
        <v>232</v>
      </c>
      <c r="G527" s="11" t="s">
        <v>1249</v>
      </c>
      <c r="H527" s="31">
        <v>80000.0</v>
      </c>
      <c r="I527" s="74" t="s">
        <v>66</v>
      </c>
      <c r="J527" s="85" t="s">
        <v>1018</v>
      </c>
      <c r="K527" s="38">
        <f t="shared" si="64"/>
        <v>0.8</v>
      </c>
      <c r="L527" s="18" t="s">
        <v>910</v>
      </c>
      <c r="M527" s="18" t="s">
        <v>736</v>
      </c>
      <c r="N527" s="42"/>
      <c r="O527" s="42"/>
      <c r="P527" s="42"/>
      <c r="Q527" s="42" t="str">
        <f>iferror(VLOOKUP(A527,'Positional cal'!A:H,1,0)=A527,"FALSE")</f>
        <v>FALSE</v>
      </c>
      <c r="R527" s="43" t="b">
        <f t="shared" si="3"/>
        <v>0</v>
      </c>
      <c r="S527" s="46">
        <f>IFERROR(VLOOKUP($A527,AlgoUi!$A:$X,21,0),"NA")</f>
        <v>17505474</v>
      </c>
      <c r="T527" s="46">
        <f>IFERROR(VLOOKUP($A527,AlgoUi!$A:$X,23,0),"")</f>
        <v>18000000</v>
      </c>
      <c r="U527" s="46">
        <f>IFERROR(VLOOKUP($A527,AlgoUi!$A:$X,24,0),"")</f>
        <v>144000</v>
      </c>
      <c r="V527" s="42" t="str">
        <f>IFERROR(__xludf.DUMMYFUNCTION("IFERROR(VLOOKUP(I527,IMPORTRANGE(""https://docs.google.com/spreadsheets/d/17FOIUYQAjPk1pPQIlvOgqYDBqwUqgb7KWzp4DtVksBk/edit?gid=0#gid=0"",""Servers!A:S""),19,FALSE), ""Not Running"")"),"ANIKETG")</f>
        <v>ANIKETG</v>
      </c>
      <c r="W527" s="47" t="str">
        <f>VLOOKUP($A527,Category!$A:$E,4,0)</f>
        <v>MS</v>
      </c>
      <c r="X527" s="47" t="str">
        <f>VLOOKUP($A527,Category!$A:$E,5,0)</f>
        <v>MSR</v>
      </c>
      <c r="Y527" s="18" t="str">
        <f>VLOOKUP(A527,PAcc!$A$1:$J$27,10,0)</f>
        <v>#N/A</v>
      </c>
      <c r="Z527" s="42" t="b">
        <f t="shared" si="4"/>
        <v>0</v>
      </c>
      <c r="AA527" s="50">
        <v>0.4</v>
      </c>
      <c r="AB527" s="42" t="str">
        <f>VLOOKUP(A527,VlookupSheet!$A$383:$A$523,1,0)</f>
        <v>#N/A</v>
      </c>
      <c r="AC527" s="42"/>
      <c r="AD527" s="42">
        <f t="shared" ref="AD527:AD536" si="70">S527*AA527</f>
        <v>7002189.6</v>
      </c>
      <c r="AE527" s="42">
        <f t="shared" ref="AE527:AE536" si="71">MROUND(AD527,2000000)/100</f>
        <v>80000</v>
      </c>
      <c r="AF527" s="123">
        <f t="shared" ref="AF527:AF536" si="72">AE527-H527</f>
        <v>0</v>
      </c>
    </row>
    <row r="528">
      <c r="A528" s="83" t="s">
        <v>365</v>
      </c>
      <c r="B528" s="84" t="s">
        <v>2330</v>
      </c>
      <c r="C528" s="85"/>
      <c r="D528" s="11">
        <f t="shared" si="65"/>
        <v>0.8</v>
      </c>
      <c r="E528" s="11">
        <f t="shared" si="66"/>
        <v>64000</v>
      </c>
      <c r="F528" s="30" t="s">
        <v>232</v>
      </c>
      <c r="G528" s="11" t="s">
        <v>1249</v>
      </c>
      <c r="H528" s="31">
        <v>80000.0</v>
      </c>
      <c r="I528" s="74" t="s">
        <v>66</v>
      </c>
      <c r="J528" s="25" t="s">
        <v>1018</v>
      </c>
      <c r="K528" s="38">
        <f t="shared" si="64"/>
        <v>0.8</v>
      </c>
      <c r="L528" s="18" t="s">
        <v>910</v>
      </c>
      <c r="M528" s="18" t="s">
        <v>736</v>
      </c>
      <c r="N528" s="74"/>
      <c r="O528" s="74"/>
      <c r="P528" s="74"/>
      <c r="Q528" s="42" t="str">
        <f>iferror(VLOOKUP(A528,'Positional cal'!A:H,1,0)=A528,"FALSE")</f>
        <v>FALSE</v>
      </c>
      <c r="R528" s="43" t="b">
        <f t="shared" si="3"/>
        <v>0</v>
      </c>
      <c r="S528" s="46">
        <f>IFERROR(VLOOKUP($A528,AlgoUi!$A:$X,21,0),"NA")</f>
        <v>17934469</v>
      </c>
      <c r="T528" s="46">
        <f>IFERROR(VLOOKUP($A528,AlgoUi!$A:$X,23,0),"")</f>
        <v>18000000</v>
      </c>
      <c r="U528" s="46">
        <f>IFERROR(VLOOKUP($A528,AlgoUi!$A:$X,24,0),"")</f>
        <v>144000</v>
      </c>
      <c r="V528" s="42" t="str">
        <f>IFERROR(__xludf.DUMMYFUNCTION("IFERROR(VLOOKUP(I528,IMPORTRANGE(""https://docs.google.com/spreadsheets/d/17FOIUYQAjPk1pPQIlvOgqYDBqwUqgb7KWzp4DtVksBk/edit?gid=0#gid=0"",""Servers!A:S""),19,FALSE), ""Not Running"")"),"ANIKETG")</f>
        <v>ANIKETG</v>
      </c>
      <c r="W528" s="47" t="str">
        <f>VLOOKUP($A528,Category!$A:$E,4,0)</f>
        <v>MS</v>
      </c>
      <c r="X528" s="47" t="str">
        <f>VLOOKUP($A528,Category!$A:$E,5,0)</f>
        <v>MSR</v>
      </c>
      <c r="Y528" s="18" t="str">
        <f>VLOOKUP(A528,PAcc!$A$1:$J$27,10,0)</f>
        <v>#N/A</v>
      </c>
      <c r="Z528" s="42" t="b">
        <f t="shared" si="4"/>
        <v>0</v>
      </c>
      <c r="AA528" s="50">
        <v>0.4</v>
      </c>
      <c r="AB528" s="42" t="str">
        <f>VLOOKUP(A528,VlookupSheet!$A$383:$A$523,1,0)</f>
        <v>#N/A</v>
      </c>
      <c r="AC528" s="42"/>
      <c r="AD528" s="42">
        <f t="shared" si="70"/>
        <v>7173787.6</v>
      </c>
      <c r="AE528" s="42">
        <f t="shared" si="71"/>
        <v>80000</v>
      </c>
      <c r="AF528" s="123">
        <f t="shared" si="72"/>
        <v>0</v>
      </c>
    </row>
    <row r="529">
      <c r="A529" s="83" t="s">
        <v>387</v>
      </c>
      <c r="B529" s="84" t="s">
        <v>2335</v>
      </c>
      <c r="C529" s="85"/>
      <c r="D529" s="11">
        <f t="shared" si="65"/>
        <v>0.8</v>
      </c>
      <c r="E529" s="11">
        <f t="shared" si="66"/>
        <v>32000</v>
      </c>
      <c r="F529" s="30" t="s">
        <v>232</v>
      </c>
      <c r="G529" s="11" t="s">
        <v>1039</v>
      </c>
      <c r="H529" s="31">
        <v>40000.0</v>
      </c>
      <c r="I529" s="74" t="s">
        <v>66</v>
      </c>
      <c r="J529" s="25" t="s">
        <v>1018</v>
      </c>
      <c r="K529" s="38">
        <f t="shared" si="64"/>
        <v>0.8</v>
      </c>
      <c r="L529" s="18" t="s">
        <v>910</v>
      </c>
      <c r="M529" s="18" t="s">
        <v>736</v>
      </c>
      <c r="N529" s="74"/>
      <c r="O529" s="74"/>
      <c r="P529" s="74"/>
      <c r="Q529" s="42" t="str">
        <f>iferror(VLOOKUP(A529,'Positional cal'!A:H,1,0)=A529,"FALSE")</f>
        <v>FALSE</v>
      </c>
      <c r="R529" s="43" t="b">
        <f t="shared" si="3"/>
        <v>0</v>
      </c>
      <c r="S529" s="46">
        <f>IFERROR(VLOOKUP($A529,AlgoUi!$A:$X,21,0),"NA")</f>
        <v>10501193</v>
      </c>
      <c r="T529" s="46">
        <f>IFERROR(VLOOKUP($A529,AlgoUi!$A:$X,23,0),"")</f>
        <v>10000000</v>
      </c>
      <c r="U529" s="46">
        <f>IFERROR(VLOOKUP($A529,AlgoUi!$A:$X,24,0),"")</f>
        <v>80000</v>
      </c>
      <c r="V529" s="42" t="str">
        <f>IFERROR(__xludf.DUMMYFUNCTION("IFERROR(VLOOKUP(I529,IMPORTRANGE(""https://docs.google.com/spreadsheets/d/17FOIUYQAjPk1pPQIlvOgqYDBqwUqgb7KWzp4DtVksBk/edit?gid=0#gid=0"",""Servers!A:S""),19,FALSE), ""Not Running"")"),"ANIKETG")</f>
        <v>ANIKETG</v>
      </c>
      <c r="W529" s="47" t="str">
        <f>VLOOKUP($A529,Category!$A:$E,4,0)</f>
        <v>MS</v>
      </c>
      <c r="X529" s="47" t="str">
        <f>VLOOKUP($A529,Category!$A:$E,5,0)</f>
        <v>MSR</v>
      </c>
      <c r="Y529" s="18" t="str">
        <f>VLOOKUP(A529,PAcc!$A$1:$J$27,10,0)</f>
        <v>#N/A</v>
      </c>
      <c r="Z529" s="42" t="b">
        <f t="shared" si="4"/>
        <v>0</v>
      </c>
      <c r="AA529" s="50">
        <v>0.4</v>
      </c>
      <c r="AB529" s="42" t="str">
        <f>VLOOKUP(A529,VlookupSheet!$A$383:$A$523,1,0)</f>
        <v>#N/A</v>
      </c>
      <c r="AC529" s="42"/>
      <c r="AD529" s="42">
        <f t="shared" si="70"/>
        <v>4200477.2</v>
      </c>
      <c r="AE529" s="42">
        <f t="shared" si="71"/>
        <v>40000</v>
      </c>
      <c r="AF529" s="123">
        <f t="shared" si="72"/>
        <v>0</v>
      </c>
    </row>
    <row r="530">
      <c r="A530" s="83" t="s">
        <v>472</v>
      </c>
      <c r="B530" s="84" t="s">
        <v>2620</v>
      </c>
      <c r="C530" s="85"/>
      <c r="D530" s="11">
        <f t="shared" si="65"/>
        <v>0.8</v>
      </c>
      <c r="E530" s="11">
        <f t="shared" si="66"/>
        <v>32000</v>
      </c>
      <c r="F530" s="30" t="s">
        <v>232</v>
      </c>
      <c r="G530" s="11" t="s">
        <v>1039</v>
      </c>
      <c r="H530" s="31">
        <v>40000.0</v>
      </c>
      <c r="I530" s="74" t="s">
        <v>66</v>
      </c>
      <c r="J530" s="25" t="s">
        <v>1018</v>
      </c>
      <c r="K530" s="38">
        <f t="shared" si="64"/>
        <v>0.8</v>
      </c>
      <c r="L530" s="18" t="s">
        <v>910</v>
      </c>
      <c r="M530" s="18" t="s">
        <v>736</v>
      </c>
      <c r="N530" s="74"/>
      <c r="O530" s="74"/>
      <c r="P530" s="74"/>
      <c r="Q530" s="42" t="str">
        <f>iferror(VLOOKUP(A530,'Positional cal'!A:H,1,0)=A530,"FALSE")</f>
        <v>FALSE</v>
      </c>
      <c r="R530" s="43" t="b">
        <f t="shared" si="3"/>
        <v>0</v>
      </c>
      <c r="S530" s="46">
        <f>IFERROR(VLOOKUP($A530,AlgoUi!$A:$X,21,0),"NA")</f>
        <v>9164449</v>
      </c>
      <c r="T530" s="46">
        <f>IFERROR(VLOOKUP($A530,AlgoUi!$A:$X,23,0),"")</f>
        <v>10000000</v>
      </c>
      <c r="U530" s="46">
        <f>IFERROR(VLOOKUP($A530,AlgoUi!$A:$X,24,0),"")</f>
        <v>80000</v>
      </c>
      <c r="V530" s="42" t="str">
        <f>IFERROR(__xludf.DUMMYFUNCTION("IFERROR(VLOOKUP(I530,IMPORTRANGE(""https://docs.google.com/spreadsheets/d/17FOIUYQAjPk1pPQIlvOgqYDBqwUqgb7KWzp4DtVksBk/edit?gid=0#gid=0"",""Servers!A:S""),19,FALSE), ""Not Running"")"),"ANIKETG")</f>
        <v>ANIKETG</v>
      </c>
      <c r="W530" s="47" t="str">
        <f>VLOOKUP($A530,Category!$A:$E,4,0)</f>
        <v>MS</v>
      </c>
      <c r="X530" s="47" t="str">
        <f>VLOOKUP($A530,Category!$A:$E,5,0)</f>
        <v>MSR</v>
      </c>
      <c r="Y530" s="18" t="str">
        <f>VLOOKUP(A530,PAcc!$A$1:$J$27,10,0)</f>
        <v>#N/A</v>
      </c>
      <c r="Z530" s="42" t="b">
        <f t="shared" si="4"/>
        <v>0</v>
      </c>
      <c r="AA530" s="50">
        <v>0.4</v>
      </c>
      <c r="AB530" s="42" t="str">
        <f>VLOOKUP(A530,VlookupSheet!$A$383:$A$523,1,0)</f>
        <v>#N/A</v>
      </c>
      <c r="AC530" s="42"/>
      <c r="AD530" s="42">
        <f t="shared" si="70"/>
        <v>3665779.6</v>
      </c>
      <c r="AE530" s="42">
        <f t="shared" si="71"/>
        <v>40000</v>
      </c>
      <c r="AF530" s="123">
        <f t="shared" si="72"/>
        <v>0</v>
      </c>
    </row>
    <row r="531">
      <c r="A531" s="83" t="s">
        <v>115</v>
      </c>
      <c r="B531" s="84" t="s">
        <v>2376</v>
      </c>
      <c r="C531" s="85"/>
      <c r="D531" s="11">
        <f t="shared" si="65"/>
        <v>0.8</v>
      </c>
      <c r="E531" s="11">
        <f t="shared" si="66"/>
        <v>320000</v>
      </c>
      <c r="F531" s="30" t="s">
        <v>232</v>
      </c>
      <c r="G531" s="11">
        <v>320000.0</v>
      </c>
      <c r="H531" s="31">
        <v>400000.0</v>
      </c>
      <c r="I531" s="74" t="s">
        <v>66</v>
      </c>
      <c r="J531" s="25" t="s">
        <v>1018</v>
      </c>
      <c r="K531" s="38">
        <f t="shared" si="64"/>
        <v>0.8</v>
      </c>
      <c r="L531" s="18" t="s">
        <v>910</v>
      </c>
      <c r="M531" s="18" t="s">
        <v>736</v>
      </c>
      <c r="N531" s="34"/>
      <c r="O531" s="34"/>
      <c r="P531" s="34" t="s">
        <v>3870</v>
      </c>
      <c r="Q531" s="42" t="str">
        <f>iferror(VLOOKUP(A531,'Positional cal'!A:H,1,0)=A531,"FALSE")</f>
        <v>FALSE</v>
      </c>
      <c r="R531" s="43" t="b">
        <f t="shared" si="3"/>
        <v>0</v>
      </c>
      <c r="S531" s="46">
        <f>IFERROR(VLOOKUP($A531,AlgoUi!$A:$X,21,0),"NA")</f>
        <v>45404694</v>
      </c>
      <c r="T531" s="46">
        <f>IFERROR(VLOOKUP($A531,AlgoUi!$A:$X,23,0),"")</f>
        <v>46000000</v>
      </c>
      <c r="U531" s="46">
        <f>IFERROR(VLOOKUP($A531,AlgoUi!$A:$X,24,0),"")</f>
        <v>368000</v>
      </c>
      <c r="V531" s="42" t="str">
        <f>IFERROR(__xludf.DUMMYFUNCTION("IFERROR(VLOOKUP(I531,IMPORTRANGE(""https://docs.google.com/spreadsheets/d/17FOIUYQAjPk1pPQIlvOgqYDBqwUqgb7KWzp4DtVksBk/edit?gid=0#gid=0"",""Servers!A:S""),19,FALSE), ""Not Running"")"),"ANIKETG")</f>
        <v>ANIKETG</v>
      </c>
      <c r="W531" s="47" t="str">
        <f>VLOOKUP($A531,Category!$A:$E,4,0)</f>
        <v>MS</v>
      </c>
      <c r="X531" s="47" t="str">
        <f>VLOOKUP($A531,Category!$A:$E,5,0)</f>
        <v>PRD</v>
      </c>
      <c r="Y531" s="18" t="str">
        <f>VLOOKUP(A531,PAcc!$A$1:$J$27,10,0)</f>
        <v>RD Personal </v>
      </c>
      <c r="Z531" s="42" t="b">
        <f t="shared" si="4"/>
        <v>0</v>
      </c>
      <c r="AA531" s="50">
        <v>1.0</v>
      </c>
      <c r="AB531" s="42" t="str">
        <f>VLOOKUP(A531,VlookupSheet!$A$383:$A$523,1,0)</f>
        <v>#N/A</v>
      </c>
      <c r="AC531" s="42"/>
      <c r="AD531" s="42">
        <f t="shared" si="70"/>
        <v>45404694</v>
      </c>
      <c r="AE531" s="42">
        <f t="shared" si="71"/>
        <v>460000</v>
      </c>
      <c r="AF531" s="123">
        <f t="shared" si="72"/>
        <v>60000</v>
      </c>
    </row>
    <row r="532">
      <c r="A532" s="83" t="s">
        <v>482</v>
      </c>
      <c r="B532" s="84" t="s">
        <v>3001</v>
      </c>
      <c r="C532" s="85"/>
      <c r="D532" s="11">
        <f t="shared" si="65"/>
        <v>0.8</v>
      </c>
      <c r="E532" s="11">
        <f t="shared" si="66"/>
        <v>64000</v>
      </c>
      <c r="F532" s="30" t="s">
        <v>232</v>
      </c>
      <c r="G532" s="11" t="s">
        <v>1249</v>
      </c>
      <c r="H532" s="31">
        <v>80000.0</v>
      </c>
      <c r="I532" s="74" t="s">
        <v>66</v>
      </c>
      <c r="J532" s="25" t="s">
        <v>1018</v>
      </c>
      <c r="K532" s="38">
        <f t="shared" si="64"/>
        <v>0.8</v>
      </c>
      <c r="L532" s="18" t="s">
        <v>910</v>
      </c>
      <c r="M532" s="18" t="s">
        <v>736</v>
      </c>
      <c r="N532" s="74"/>
      <c r="O532" s="74"/>
      <c r="P532" s="74"/>
      <c r="Q532" s="42" t="str">
        <f>iferror(VLOOKUP(A532,'Positional cal'!A:H,1,0)=A532,"FALSE")</f>
        <v>FALSE</v>
      </c>
      <c r="R532" s="43" t="b">
        <f t="shared" si="3"/>
        <v>0</v>
      </c>
      <c r="S532" s="46">
        <f>IFERROR(VLOOKUP($A532,AlgoUi!$A:$X,21,0),"NA")</f>
        <v>19241458</v>
      </c>
      <c r="T532" s="46">
        <f>IFERROR(VLOOKUP($A532,AlgoUi!$A:$X,23,0),"")</f>
        <v>20000000</v>
      </c>
      <c r="U532" s="46">
        <f>IFERROR(VLOOKUP($A532,AlgoUi!$A:$X,24,0),"")</f>
        <v>160000</v>
      </c>
      <c r="V532" s="42" t="str">
        <f>IFERROR(__xludf.DUMMYFUNCTION("IFERROR(VLOOKUP(I532,IMPORTRANGE(""https://docs.google.com/spreadsheets/d/17FOIUYQAjPk1pPQIlvOgqYDBqwUqgb7KWzp4DtVksBk/edit?gid=0#gid=0"",""Servers!A:S""),19,FALSE), ""Not Running"")"),"ANIKETG")</f>
        <v>ANIKETG</v>
      </c>
      <c r="W532" s="47" t="str">
        <f>VLOOKUP($A532,Category!$A:$E,4,0)</f>
        <v>MS</v>
      </c>
      <c r="X532" s="47" t="str">
        <f>VLOOKUP($A532,Category!$A:$E,5,0)</f>
        <v>MSR</v>
      </c>
      <c r="Y532" s="18" t="str">
        <f>VLOOKUP(A532,PAcc!$A$1:$J$27,10,0)</f>
        <v>#N/A</v>
      </c>
      <c r="Z532" s="42" t="b">
        <f t="shared" si="4"/>
        <v>0</v>
      </c>
      <c r="AA532" s="50">
        <v>0.4</v>
      </c>
      <c r="AB532" s="42" t="str">
        <f>VLOOKUP(A532,VlookupSheet!$A$383:$A$523,1,0)</f>
        <v>#N/A</v>
      </c>
      <c r="AC532" s="42"/>
      <c r="AD532" s="42">
        <f t="shared" si="70"/>
        <v>7696583.2</v>
      </c>
      <c r="AE532" s="42">
        <f t="shared" si="71"/>
        <v>80000</v>
      </c>
      <c r="AF532" s="123">
        <f t="shared" si="72"/>
        <v>0</v>
      </c>
    </row>
    <row r="533">
      <c r="A533" s="83" t="s">
        <v>456</v>
      </c>
      <c r="B533" s="84" t="s">
        <v>2356</v>
      </c>
      <c r="C533" s="85"/>
      <c r="D533" s="11">
        <f t="shared" si="65"/>
        <v>0.8</v>
      </c>
      <c r="E533" s="11">
        <f t="shared" si="66"/>
        <v>48000</v>
      </c>
      <c r="F533" s="30" t="s">
        <v>232</v>
      </c>
      <c r="G533" s="11" t="s">
        <v>1219</v>
      </c>
      <c r="H533" s="31">
        <v>60000.0</v>
      </c>
      <c r="I533" s="74" t="s">
        <v>66</v>
      </c>
      <c r="J533" s="25" t="s">
        <v>1018</v>
      </c>
      <c r="K533" s="38">
        <f t="shared" si="64"/>
        <v>0.8</v>
      </c>
      <c r="L533" s="18" t="s">
        <v>910</v>
      </c>
      <c r="M533" s="18" t="s">
        <v>736</v>
      </c>
      <c r="N533" s="74"/>
      <c r="O533" s="74"/>
      <c r="P533" s="74"/>
      <c r="Q533" s="42" t="str">
        <f>iferror(VLOOKUP(A533,'Positional cal'!A:H,1,0)=A533,"FALSE")</f>
        <v>FALSE</v>
      </c>
      <c r="R533" s="43" t="b">
        <f t="shared" si="3"/>
        <v>0</v>
      </c>
      <c r="S533" s="46">
        <f>IFERROR(VLOOKUP($A533,AlgoUi!$A:$X,21,0),"NA")</f>
        <v>14123710</v>
      </c>
      <c r="T533" s="46">
        <f>IFERROR(VLOOKUP($A533,AlgoUi!$A:$X,23,0),"")</f>
        <v>14000000</v>
      </c>
      <c r="U533" s="46">
        <f>IFERROR(VLOOKUP($A533,AlgoUi!$A:$X,24,0),"")</f>
        <v>112000</v>
      </c>
      <c r="V533" s="42" t="str">
        <f>IFERROR(__xludf.DUMMYFUNCTION("IFERROR(VLOOKUP(I533,IMPORTRANGE(""https://docs.google.com/spreadsheets/d/17FOIUYQAjPk1pPQIlvOgqYDBqwUqgb7KWzp4DtVksBk/edit?gid=0#gid=0"",""Servers!A:S""),19,FALSE), ""Not Running"")"),"ANIKETG")</f>
        <v>ANIKETG</v>
      </c>
      <c r="W533" s="47" t="str">
        <f>VLOOKUP($A533,Category!$A:$E,4,0)</f>
        <v>MS</v>
      </c>
      <c r="X533" s="47" t="str">
        <f>VLOOKUP($A533,Category!$A:$E,5,0)</f>
        <v>MSR</v>
      </c>
      <c r="Y533" s="18" t="str">
        <f>VLOOKUP(A533,PAcc!$A$1:$J$27,10,0)</f>
        <v>#N/A</v>
      </c>
      <c r="Z533" s="42" t="b">
        <f t="shared" si="4"/>
        <v>0</v>
      </c>
      <c r="AA533" s="50">
        <v>0.4</v>
      </c>
      <c r="AB533" s="42" t="str">
        <f>VLOOKUP(A533,VlookupSheet!$A$383:$A$523,1,0)</f>
        <v>#N/A</v>
      </c>
      <c r="AC533" s="65"/>
      <c r="AD533" s="42">
        <f t="shared" si="70"/>
        <v>5649484</v>
      </c>
      <c r="AE533" s="42">
        <f t="shared" si="71"/>
        <v>60000</v>
      </c>
      <c r="AF533" s="123">
        <f t="shared" si="72"/>
        <v>0</v>
      </c>
    </row>
    <row r="534">
      <c r="A534" s="11" t="s">
        <v>135</v>
      </c>
      <c r="B534" s="24" t="s">
        <v>735</v>
      </c>
      <c r="C534" s="25"/>
      <c r="D534" s="11" t="s">
        <v>956</v>
      </c>
      <c r="E534" s="11">
        <f>H534*D534</f>
        <v>96000</v>
      </c>
      <c r="F534" s="11" t="s">
        <v>232</v>
      </c>
      <c r="G534" s="31">
        <f>iferror(VLOOKUP(A534,'Positional cal'!A:H,8,0),"Not_positional")</f>
        <v>259618</v>
      </c>
      <c r="H534" s="31">
        <f>iferror(VLOOKUP(A534,'Positional cal'!A:H,4,0),"Not_positional")</f>
        <v>120000</v>
      </c>
      <c r="I534" s="42" t="s">
        <v>66</v>
      </c>
      <c r="J534" s="25" t="s">
        <v>1018</v>
      </c>
      <c r="K534" s="38">
        <f t="shared" si="64"/>
        <v>2.163483333</v>
      </c>
      <c r="L534" s="18" t="s">
        <v>1068</v>
      </c>
      <c r="M534" s="18" t="s">
        <v>1059</v>
      </c>
      <c r="N534" s="18"/>
      <c r="O534" s="18"/>
      <c r="P534" s="18" t="s">
        <v>3873</v>
      </c>
      <c r="Q534" s="42" t="b">
        <f>iferror(VLOOKUP(A534,'Positional cal'!A:H,1,0)=A534,"FALSE")</f>
        <v>1</v>
      </c>
      <c r="R534" s="43" t="b">
        <f t="shared" si="3"/>
        <v>0</v>
      </c>
      <c r="S534" s="46">
        <f>IFERROR(VLOOKUP($A534,AlgoUi!$A:$X,21,0),"NA")</f>
        <v>11864855</v>
      </c>
      <c r="T534" s="46">
        <f>IFERROR(VLOOKUP($A534,AlgoUi!$A:$X,23,0),"")</f>
        <v>12000000</v>
      </c>
      <c r="U534" s="46">
        <f>IFERROR(VLOOKUP($A534,AlgoUi!$A:$X,24,0),"")</f>
        <v>96000</v>
      </c>
      <c r="V534" s="42" t="str">
        <f>IFERROR(__xludf.DUMMYFUNCTION("IFERROR(VLOOKUP(I534,IMPORTRANGE(""https://docs.google.com/spreadsheets/d/17FOIUYQAjPk1pPQIlvOgqYDBqwUqgb7KWzp4DtVksBk/edit?gid=0#gid=0"",""Servers!A:S""),19,FALSE), ""Not Running"")"),"ANIKETG")</f>
        <v>ANIKETG</v>
      </c>
      <c r="W534" s="47" t="str">
        <f>VLOOKUP($A534,Category!$A:$E,4,0)</f>
        <v>MS</v>
      </c>
      <c r="X534" s="47" t="str">
        <f>VLOOKUP($A534,Category!$A:$E,5,0)</f>
        <v>PPS</v>
      </c>
      <c r="Y534" s="18" t="str">
        <f>VLOOKUP(A534,PAcc!$A$1:$J$27,10,0)</f>
        <v>PS Personal</v>
      </c>
      <c r="Z534" s="42" t="b">
        <f t="shared" si="4"/>
        <v>1</v>
      </c>
      <c r="AA534" s="50">
        <v>1.0</v>
      </c>
      <c r="AB534" s="25" t="str">
        <f>VLOOKUP(A534,VlookupSheet!$A$383:$A$523,1,0)</f>
        <v>7RIK2042</v>
      </c>
      <c r="AC534" s="42"/>
      <c r="AD534" s="42">
        <f t="shared" si="70"/>
        <v>11864855</v>
      </c>
      <c r="AE534" s="42">
        <f t="shared" si="71"/>
        <v>120000</v>
      </c>
      <c r="AF534" s="123">
        <f t="shared" si="72"/>
        <v>0</v>
      </c>
    </row>
    <row r="535">
      <c r="A535" s="11" t="s">
        <v>239</v>
      </c>
      <c r="B535" s="145" t="s">
        <v>3876</v>
      </c>
      <c r="C535" s="25"/>
      <c r="D535" s="11">
        <f t="shared" ref="D535:D549" si="73">IF(J535="7",0.8,1)</f>
        <v>0.8</v>
      </c>
      <c r="E535" s="11">
        <f t="shared" ref="E535:E549" si="74">D535*H535</f>
        <v>64000</v>
      </c>
      <c r="F535" s="11" t="s">
        <v>1204</v>
      </c>
      <c r="G535" s="11" t="s">
        <v>1249</v>
      </c>
      <c r="H535" s="31">
        <v>80000.0</v>
      </c>
      <c r="I535" s="18" t="s">
        <v>66</v>
      </c>
      <c r="J535" s="11" t="s">
        <v>1018</v>
      </c>
      <c r="K535" s="38">
        <f t="shared" si="64"/>
        <v>0.8</v>
      </c>
      <c r="L535" s="18" t="s">
        <v>910</v>
      </c>
      <c r="M535" s="18" t="s">
        <v>736</v>
      </c>
      <c r="N535" s="42"/>
      <c r="O535" s="42"/>
      <c r="P535" s="42"/>
      <c r="Q535" s="42" t="str">
        <f>iferror(VLOOKUP(A535,'Positional cal'!A:H,1,0)=A535,"FALSE")</f>
        <v>FALSE</v>
      </c>
      <c r="R535" s="43" t="b">
        <f t="shared" si="3"/>
        <v>0</v>
      </c>
      <c r="S535" s="46">
        <f>IFERROR(VLOOKUP($A535,AlgoUi!$A:$X,21,0),"NA")</f>
        <v>20000000</v>
      </c>
      <c r="T535" s="46">
        <f>IFERROR(VLOOKUP($A535,AlgoUi!$A:$X,23,0),"")</f>
        <v>20000000</v>
      </c>
      <c r="U535" s="46">
        <f>IFERROR(VLOOKUP($A535,AlgoUi!$A:$X,24,0),"")</f>
        <v>160000</v>
      </c>
      <c r="V535" s="42" t="str">
        <f>IFERROR(__xludf.DUMMYFUNCTION("IFERROR(VLOOKUP(I535,IMPORTRANGE(""https://docs.google.com/spreadsheets/d/17FOIUYQAjPk1pPQIlvOgqYDBqwUqgb7KWzp4DtVksBk/edit?gid=0#gid=0"",""Servers!A:S""),19,FALSE), ""Not Running"")"),"ANIKETG")</f>
        <v>ANIKETG</v>
      </c>
      <c r="W535" s="47" t="str">
        <f>VLOOKUP($A535,Category!$A:$E,4,0)</f>
        <v>MS</v>
      </c>
      <c r="X535" s="47" t="str">
        <f>VLOOKUP($A535,Category!$A:$E,5,0)</f>
        <v>MSR</v>
      </c>
      <c r="Y535" s="18" t="str">
        <f>VLOOKUP(A535,PAcc!$A$1:$J$27,10,0)</f>
        <v>#N/A</v>
      </c>
      <c r="Z535" s="42" t="b">
        <f t="shared" si="4"/>
        <v>0</v>
      </c>
      <c r="AA535" s="50">
        <v>0.4</v>
      </c>
      <c r="AB535" s="42" t="str">
        <f>VLOOKUP(A535,VlookupSheet!$A$383:$A$523,1,0)</f>
        <v>#N/A</v>
      </c>
      <c r="AC535" s="42"/>
      <c r="AD535" s="42">
        <f t="shared" si="70"/>
        <v>8000000</v>
      </c>
      <c r="AE535" s="42">
        <f t="shared" si="71"/>
        <v>80000</v>
      </c>
      <c r="AF535" s="123">
        <f t="shared" si="72"/>
        <v>0</v>
      </c>
    </row>
    <row r="536">
      <c r="A536" s="11" t="s">
        <v>2752</v>
      </c>
      <c r="B536" s="24" t="s">
        <v>3607</v>
      </c>
      <c r="C536" s="25"/>
      <c r="D536" s="11">
        <f t="shared" si="73"/>
        <v>0.8</v>
      </c>
      <c r="E536" s="11">
        <f t="shared" si="74"/>
        <v>32000</v>
      </c>
      <c r="F536" s="11" t="s">
        <v>716</v>
      </c>
      <c r="G536" s="11">
        <v>32000.0</v>
      </c>
      <c r="H536" s="31">
        <v>40000.0</v>
      </c>
      <c r="I536" s="11" t="s">
        <v>66</v>
      </c>
      <c r="J536" s="11" t="s">
        <v>1018</v>
      </c>
      <c r="K536" s="38">
        <f t="shared" si="64"/>
        <v>0.8</v>
      </c>
      <c r="L536" s="18" t="s">
        <v>910</v>
      </c>
      <c r="M536" s="18" t="s">
        <v>736</v>
      </c>
      <c r="N536" s="18">
        <v>1.0</v>
      </c>
      <c r="O536" s="42"/>
      <c r="P536" s="42"/>
      <c r="Q536" s="42" t="str">
        <f>iferror(VLOOKUP(A536,'Positional cal'!A:H,1,0)=A536,"FALSE")</f>
        <v>FALSE</v>
      </c>
      <c r="R536" s="43" t="b">
        <f t="shared" si="3"/>
        <v>0</v>
      </c>
      <c r="S536" s="46">
        <f>IFERROR(VLOOKUP($A536,AlgoUi!$A:$X,21,0),"NA")</f>
        <v>9999999</v>
      </c>
      <c r="T536" s="46">
        <f>IFERROR(VLOOKUP($A536,AlgoUi!$A:$X,23,0),"")</f>
        <v>10000000</v>
      </c>
      <c r="U536" s="46">
        <f>IFERROR(VLOOKUP($A536,AlgoUi!$A:$X,24,0),"")</f>
        <v>80000</v>
      </c>
      <c r="V536" s="42" t="str">
        <f>IFERROR(__xludf.DUMMYFUNCTION("IFERROR(VLOOKUP(I536,IMPORTRANGE(""https://docs.google.com/spreadsheets/d/17FOIUYQAjPk1pPQIlvOgqYDBqwUqgb7KWzp4DtVksBk/edit?gid=0#gid=0"",""Servers!A:S""),19,FALSE), ""Not Running"")"),"ANIKETG")</f>
        <v>ANIKETG</v>
      </c>
      <c r="W536" s="47" t="str">
        <f>VLOOKUP($A536,Category!$A:$E,4,0)</f>
        <v>MS</v>
      </c>
      <c r="X536" s="47" t="str">
        <f>VLOOKUP($A536,Category!$A:$E,5,0)</f>
        <v>MSS</v>
      </c>
      <c r="Y536" s="18" t="str">
        <f>VLOOKUP(A536,PAcc!$A$1:$J$27,10,0)</f>
        <v>#N/A</v>
      </c>
      <c r="Z536" s="42" t="b">
        <f t="shared" si="4"/>
        <v>0</v>
      </c>
      <c r="AA536" s="50">
        <v>0.4</v>
      </c>
      <c r="AB536" s="42" t="str">
        <f>VLOOKUP(A536,VlookupSheet!$A$383:$A$523,1,0)</f>
        <v>#N/A</v>
      </c>
      <c r="AC536" s="42"/>
      <c r="AD536" s="42">
        <f t="shared" si="70"/>
        <v>3999999.6</v>
      </c>
      <c r="AE536" s="42">
        <f t="shared" si="71"/>
        <v>40000</v>
      </c>
      <c r="AF536" s="123">
        <f t="shared" si="72"/>
        <v>0</v>
      </c>
    </row>
    <row r="537">
      <c r="A537" s="11" t="s">
        <v>128</v>
      </c>
      <c r="B537" s="24" t="s">
        <v>2962</v>
      </c>
      <c r="C537" s="25"/>
      <c r="D537" s="11">
        <f t="shared" si="73"/>
        <v>1</v>
      </c>
      <c r="E537" s="11">
        <f t="shared" si="74"/>
        <v>1100000</v>
      </c>
      <c r="F537" s="11" t="s">
        <v>285</v>
      </c>
      <c r="G537" s="11">
        <v>880000.0</v>
      </c>
      <c r="H537" s="31">
        <v>1100000.0</v>
      </c>
      <c r="I537" s="34" t="s">
        <v>267</v>
      </c>
      <c r="J537" s="11" t="s">
        <v>87</v>
      </c>
      <c r="K537" s="38">
        <f t="shared" si="64"/>
        <v>0.8</v>
      </c>
      <c r="L537" s="18" t="s">
        <v>268</v>
      </c>
      <c r="M537" s="18" t="s">
        <v>268</v>
      </c>
      <c r="N537" s="18"/>
      <c r="O537" s="18"/>
      <c r="P537" s="18" t="s">
        <v>1396</v>
      </c>
      <c r="Q537" s="42" t="str">
        <f>iferror(VLOOKUP(A537,'Positional cal'!A:H,1,0)=A537,"FALSE")</f>
        <v>FALSE</v>
      </c>
      <c r="R537" s="43" t="b">
        <f t="shared" si="3"/>
        <v>0</v>
      </c>
      <c r="S537" s="46" t="str">
        <f>IFERROR(VLOOKUP($A537,AlgoUi!$A:$X,21,0),"NA")</f>
        <v/>
      </c>
      <c r="T537" s="46" t="str">
        <f>IFERROR(VLOOKUP($A537,AlgoUi!$A:$X,23,0),"")</f>
        <v/>
      </c>
      <c r="U537" s="46" t="str">
        <f>IFERROR(VLOOKUP($A537,AlgoUi!$A:$X,24,0),"")</f>
        <v/>
      </c>
      <c r="V537" s="42" t="str">
        <f>IFERROR(__xludf.DUMMYFUNCTION("IFERROR(VLOOKUP(I537,IMPORTRANGE(""https://docs.google.com/spreadsheets/d/17FOIUYQAjPk1pPQIlvOgqYDBqwUqgb7KWzp4DtVksBk/edit?gid=0#gid=0"",""Servers!A:S""),19,FALSE), ""Not Running"")"),"Not Running")</f>
        <v>Not Running</v>
      </c>
      <c r="W537" s="47" t="str">
        <f>VLOOKUP($A537,Category!$A:$E,4,0)</f>
        <v>MS</v>
      </c>
      <c r="X537" s="47" t="str">
        <f>VLOOKUP($A537,Category!$A:$E,5,0)</f>
        <v>MSJ</v>
      </c>
      <c r="Y537" s="18" t="str">
        <f>VLOOKUP(A537,PAcc!$A$1:$J$27,10,0)</f>
        <v>#N/A</v>
      </c>
      <c r="Z537" s="42" t="b">
        <f t="shared" si="4"/>
        <v>0</v>
      </c>
      <c r="AA537" s="50">
        <v>0.5</v>
      </c>
      <c r="AB537" s="42" t="str">
        <f>VLOOKUP(A537,VlookupSheet!$A$383:$A$523,1,0)</f>
        <v>#N/A</v>
      </c>
      <c r="AC537" s="42"/>
      <c r="AD537" s="42"/>
      <c r="AE537" s="42"/>
      <c r="AF537" s="42"/>
    </row>
    <row r="538">
      <c r="A538" s="11" t="s">
        <v>68</v>
      </c>
      <c r="B538" s="24" t="s">
        <v>3633</v>
      </c>
      <c r="C538" s="25"/>
      <c r="D538" s="11">
        <f t="shared" si="73"/>
        <v>0.8</v>
      </c>
      <c r="E538" s="11">
        <f t="shared" si="74"/>
        <v>32000</v>
      </c>
      <c r="F538" s="11" t="s">
        <v>716</v>
      </c>
      <c r="G538" s="11">
        <v>32000.0</v>
      </c>
      <c r="H538" s="31">
        <v>40000.0</v>
      </c>
      <c r="I538" s="11" t="s">
        <v>66</v>
      </c>
      <c r="J538" s="11" t="s">
        <v>1018</v>
      </c>
      <c r="K538" s="38">
        <f t="shared" si="64"/>
        <v>0.8</v>
      </c>
      <c r="L538" s="18" t="s">
        <v>910</v>
      </c>
      <c r="M538" s="18" t="s">
        <v>736</v>
      </c>
      <c r="N538" s="18">
        <v>1.0</v>
      </c>
      <c r="O538" s="18"/>
      <c r="P538" s="18" t="s">
        <v>848</v>
      </c>
      <c r="Q538" s="42" t="str">
        <f>iferror(VLOOKUP(A538,'Positional cal'!A:H,1,0)=A538,"FALSE")</f>
        <v>FALSE</v>
      </c>
      <c r="R538" s="43" t="b">
        <f t="shared" si="3"/>
        <v>0</v>
      </c>
      <c r="S538" s="46">
        <f>IFERROR(VLOOKUP($A538,AlgoUi!$A:$X,21,0),"NA")</f>
        <v>10000000</v>
      </c>
      <c r="T538" s="46">
        <f>IFERROR(VLOOKUP($A538,AlgoUi!$A:$X,23,0),"")</f>
        <v>10000000</v>
      </c>
      <c r="U538" s="46">
        <f>IFERROR(VLOOKUP($A538,AlgoUi!$A:$X,24,0),"")</f>
        <v>80000</v>
      </c>
      <c r="V538" s="42" t="str">
        <f>IFERROR(__xludf.DUMMYFUNCTION("IFERROR(VLOOKUP(I538,IMPORTRANGE(""https://docs.google.com/spreadsheets/d/17FOIUYQAjPk1pPQIlvOgqYDBqwUqgb7KWzp4DtVksBk/edit?gid=0#gid=0"",""Servers!A:S""),19,FALSE), ""Not Running"")"),"ANIKETG")</f>
        <v>ANIKETG</v>
      </c>
      <c r="W538" s="47" t="str">
        <f>VLOOKUP($A538,Category!$A:$E,4,0)</f>
        <v>MS</v>
      </c>
      <c r="X538" s="47" t="str">
        <f>VLOOKUP($A538,Category!$A:$E,5,0)</f>
        <v>MSS</v>
      </c>
      <c r="Y538" s="18" t="str">
        <f>VLOOKUP(A538,PAcc!$A$1:$J$27,10,0)</f>
        <v>#N/A</v>
      </c>
      <c r="Z538" s="42" t="b">
        <f t="shared" si="4"/>
        <v>0</v>
      </c>
      <c r="AA538" s="50">
        <v>0.4</v>
      </c>
      <c r="AB538" s="42" t="str">
        <f>VLOOKUP(A538,VlookupSheet!$A$383:$A$523,1,0)</f>
        <v>#N/A</v>
      </c>
      <c r="AC538" s="42"/>
      <c r="AD538" s="42">
        <f t="shared" ref="AD538:AD545" si="75">S538*AA538</f>
        <v>4000000</v>
      </c>
      <c r="AE538" s="42">
        <f t="shared" ref="AE538:AE545" si="76">MROUND(AD538,2000000)/100</f>
        <v>40000</v>
      </c>
      <c r="AF538" s="123">
        <f t="shared" ref="AF538:AF545" si="77">AE538-H538</f>
        <v>0</v>
      </c>
    </row>
    <row r="539">
      <c r="A539" s="11" t="s">
        <v>2795</v>
      </c>
      <c r="B539" s="24" t="s">
        <v>2797</v>
      </c>
      <c r="C539" s="25"/>
      <c r="D539" s="11">
        <f t="shared" si="73"/>
        <v>0.8</v>
      </c>
      <c r="E539" s="11">
        <f t="shared" si="74"/>
        <v>32000</v>
      </c>
      <c r="F539" s="30" t="s">
        <v>232</v>
      </c>
      <c r="G539" s="11" t="s">
        <v>1039</v>
      </c>
      <c r="H539" s="31">
        <v>40000.0</v>
      </c>
      <c r="I539" s="11" t="s">
        <v>66</v>
      </c>
      <c r="J539" s="11" t="s">
        <v>1018</v>
      </c>
      <c r="K539" s="38">
        <f t="shared" si="64"/>
        <v>0.8</v>
      </c>
      <c r="L539" s="18" t="s">
        <v>910</v>
      </c>
      <c r="M539" s="18" t="s">
        <v>736</v>
      </c>
      <c r="N539" s="42"/>
      <c r="O539" s="42"/>
      <c r="P539" s="42"/>
      <c r="Q539" s="42" t="str">
        <f>iferror(VLOOKUP(A539,'Positional cal'!A:H,1,0)=A539,"FALSE")</f>
        <v>FALSE</v>
      </c>
      <c r="R539" s="43" t="b">
        <f t="shared" si="3"/>
        <v>0</v>
      </c>
      <c r="S539" s="46">
        <f>IFERROR(VLOOKUP($A539,AlgoUi!$A:$X,21,0),"NA")</f>
        <v>11908268</v>
      </c>
      <c r="T539" s="46">
        <f>IFERROR(VLOOKUP($A539,AlgoUi!$A:$X,23,0),"")</f>
        <v>12000000</v>
      </c>
      <c r="U539" s="46">
        <f>IFERROR(VLOOKUP($A539,AlgoUi!$A:$X,24,0),"")</f>
        <v>96000</v>
      </c>
      <c r="V539" s="42" t="str">
        <f>IFERROR(__xludf.DUMMYFUNCTION("IFERROR(VLOOKUP(I539,IMPORTRANGE(""https://docs.google.com/spreadsheets/d/17FOIUYQAjPk1pPQIlvOgqYDBqwUqgb7KWzp4DtVksBk/edit?gid=0#gid=0"",""Servers!A:S""),19,FALSE), ""Not Running"")"),"ANIKETG")</f>
        <v>ANIKETG</v>
      </c>
      <c r="W539" s="47" t="str">
        <f>VLOOKUP($A539,Category!$A:$E,4,0)</f>
        <v>MS</v>
      </c>
      <c r="X539" s="47" t="str">
        <f>VLOOKUP($A539,Category!$A:$E,5,0)</f>
        <v>MSR</v>
      </c>
      <c r="Y539" s="18" t="str">
        <f>VLOOKUP(A539,PAcc!$A$1:$J$27,10,0)</f>
        <v>#N/A</v>
      </c>
      <c r="Z539" s="42" t="b">
        <f t="shared" si="4"/>
        <v>0</v>
      </c>
      <c r="AA539" s="50">
        <v>0.4</v>
      </c>
      <c r="AB539" s="42" t="str">
        <f>VLOOKUP(A539,VlookupSheet!$A$383:$A$523,1,0)</f>
        <v>#N/A</v>
      </c>
      <c r="AC539" s="42"/>
      <c r="AD539" s="42">
        <f t="shared" si="75"/>
        <v>4763307.2</v>
      </c>
      <c r="AE539" s="42">
        <f t="shared" si="76"/>
        <v>40000</v>
      </c>
      <c r="AF539" s="123">
        <f t="shared" si="77"/>
        <v>0</v>
      </c>
    </row>
    <row r="540">
      <c r="A540" s="11" t="s">
        <v>2828</v>
      </c>
      <c r="B540" s="24" t="s">
        <v>2829</v>
      </c>
      <c r="C540" s="25"/>
      <c r="D540" s="11">
        <f t="shared" si="73"/>
        <v>0.8</v>
      </c>
      <c r="E540" s="11">
        <f t="shared" si="74"/>
        <v>32000</v>
      </c>
      <c r="F540" s="11" t="s">
        <v>716</v>
      </c>
      <c r="G540" s="11">
        <v>32000.0</v>
      </c>
      <c r="H540" s="31">
        <v>40000.0</v>
      </c>
      <c r="I540" s="11" t="s">
        <v>66</v>
      </c>
      <c r="J540" s="11" t="s">
        <v>1018</v>
      </c>
      <c r="K540" s="38">
        <f t="shared" si="64"/>
        <v>0.8</v>
      </c>
      <c r="L540" s="18" t="s">
        <v>910</v>
      </c>
      <c r="M540" s="18" t="s">
        <v>736</v>
      </c>
      <c r="N540" s="18">
        <v>1.0</v>
      </c>
      <c r="O540" s="42"/>
      <c r="P540" s="42"/>
      <c r="Q540" s="42" t="str">
        <f>iferror(VLOOKUP(A540,'Positional cal'!A:H,1,0)=A540,"FALSE")</f>
        <v>FALSE</v>
      </c>
      <c r="R540" s="43" t="b">
        <f t="shared" si="3"/>
        <v>0</v>
      </c>
      <c r="S540" s="46">
        <f>IFERROR(VLOOKUP($A540,AlgoUi!$A:$X,21,0),"NA")</f>
        <v>9470759</v>
      </c>
      <c r="T540" s="46">
        <f>IFERROR(VLOOKUP($A540,AlgoUi!$A:$X,23,0),"")</f>
        <v>10000000</v>
      </c>
      <c r="U540" s="46">
        <f>IFERROR(VLOOKUP($A540,AlgoUi!$A:$X,24,0),"")</f>
        <v>80000</v>
      </c>
      <c r="V540" s="42" t="str">
        <f>IFERROR(__xludf.DUMMYFUNCTION("IFERROR(VLOOKUP(I540,IMPORTRANGE(""https://docs.google.com/spreadsheets/d/17FOIUYQAjPk1pPQIlvOgqYDBqwUqgb7KWzp4DtVksBk/edit?gid=0#gid=0"",""Servers!A:S""),19,FALSE), ""Not Running"")"),"ANIKETG")</f>
        <v>ANIKETG</v>
      </c>
      <c r="W540" s="47" t="str">
        <f>VLOOKUP($A540,Category!$A:$E,4,0)</f>
        <v>MS</v>
      </c>
      <c r="X540" s="47" t="str">
        <f>VLOOKUP($A540,Category!$A:$E,5,0)</f>
        <v>MSS</v>
      </c>
      <c r="Y540" s="18" t="str">
        <f>VLOOKUP(A540,PAcc!$A$1:$J$27,10,0)</f>
        <v>#N/A</v>
      </c>
      <c r="Z540" s="42" t="b">
        <f t="shared" si="4"/>
        <v>0</v>
      </c>
      <c r="AA540" s="50">
        <v>0.4</v>
      </c>
      <c r="AB540" s="42" t="str">
        <f>VLOOKUP(A540,VlookupSheet!$A$383:$A$523,1,0)</f>
        <v>#N/A</v>
      </c>
      <c r="AC540" s="42"/>
      <c r="AD540" s="42">
        <f t="shared" si="75"/>
        <v>3788303.6</v>
      </c>
      <c r="AE540" s="42">
        <f t="shared" si="76"/>
        <v>40000</v>
      </c>
      <c r="AF540" s="123">
        <f t="shared" si="77"/>
        <v>0</v>
      </c>
    </row>
    <row r="541">
      <c r="A541" s="11" t="s">
        <v>241</v>
      </c>
      <c r="B541" s="24" t="s">
        <v>3685</v>
      </c>
      <c r="C541" s="25"/>
      <c r="D541" s="11">
        <f t="shared" si="73"/>
        <v>0.8</v>
      </c>
      <c r="E541" s="11">
        <f t="shared" si="74"/>
        <v>64000</v>
      </c>
      <c r="F541" s="11" t="s">
        <v>2837</v>
      </c>
      <c r="G541" s="11" t="s">
        <v>1249</v>
      </c>
      <c r="H541" s="31">
        <v>80000.0</v>
      </c>
      <c r="I541" s="11" t="s">
        <v>66</v>
      </c>
      <c r="J541" s="11" t="s">
        <v>1018</v>
      </c>
      <c r="K541" s="38">
        <f t="shared" si="64"/>
        <v>0.8</v>
      </c>
      <c r="L541" s="18" t="s">
        <v>910</v>
      </c>
      <c r="M541" s="18" t="s">
        <v>736</v>
      </c>
      <c r="N541" s="42"/>
      <c r="O541" s="42"/>
      <c r="P541" s="42"/>
      <c r="Q541" s="42" t="str">
        <f>iferror(VLOOKUP(A541,'Positional cal'!A:H,1,0)=A541,"FALSE")</f>
        <v>FALSE</v>
      </c>
      <c r="R541" s="43" t="b">
        <f t="shared" si="3"/>
        <v>0</v>
      </c>
      <c r="S541" s="46">
        <f>IFERROR(VLOOKUP($A541,AlgoUi!$A:$X,21,0),"NA")</f>
        <v>20000000</v>
      </c>
      <c r="T541" s="46">
        <f>IFERROR(VLOOKUP($A541,AlgoUi!$A:$X,23,0),"")</f>
        <v>20000000</v>
      </c>
      <c r="U541" s="46">
        <f>IFERROR(VLOOKUP($A541,AlgoUi!$A:$X,24,0),"")</f>
        <v>160000</v>
      </c>
      <c r="V541" s="42" t="str">
        <f>IFERROR(__xludf.DUMMYFUNCTION("IFERROR(VLOOKUP(I541,IMPORTRANGE(""https://docs.google.com/spreadsheets/d/17FOIUYQAjPk1pPQIlvOgqYDBqwUqgb7KWzp4DtVksBk/edit?gid=0#gid=0"",""Servers!A:S""),19,FALSE), ""Not Running"")"),"ANIKETG")</f>
        <v>ANIKETG</v>
      </c>
      <c r="W541" s="47" t="str">
        <f>VLOOKUP($A541,Category!$A:$E,4,0)</f>
        <v>MS</v>
      </c>
      <c r="X541" s="47" t="str">
        <f>VLOOKUP($A541,Category!$A:$E,5,0)</f>
        <v>MSR</v>
      </c>
      <c r="Y541" s="18" t="str">
        <f>VLOOKUP(A541,PAcc!$A$1:$J$27,10,0)</f>
        <v>#N/A</v>
      </c>
      <c r="Z541" s="42" t="b">
        <f t="shared" si="4"/>
        <v>0</v>
      </c>
      <c r="AA541" s="50">
        <v>0.4</v>
      </c>
      <c r="AB541" s="42" t="str">
        <f>VLOOKUP(A541,VlookupSheet!$A$383:$A$523,1,0)</f>
        <v>#N/A</v>
      </c>
      <c r="AC541" s="42"/>
      <c r="AD541" s="42">
        <f t="shared" si="75"/>
        <v>8000000</v>
      </c>
      <c r="AE541" s="42">
        <f t="shared" si="76"/>
        <v>80000</v>
      </c>
      <c r="AF541" s="123">
        <f t="shared" si="77"/>
        <v>0</v>
      </c>
    </row>
    <row r="542">
      <c r="A542" s="11" t="s">
        <v>157</v>
      </c>
      <c r="B542" s="24" t="s">
        <v>2850</v>
      </c>
      <c r="C542" s="25"/>
      <c r="D542" s="11">
        <f t="shared" si="73"/>
        <v>0.8</v>
      </c>
      <c r="E542" s="11">
        <f t="shared" si="74"/>
        <v>32000</v>
      </c>
      <c r="F542" s="30" t="s">
        <v>232</v>
      </c>
      <c r="G542" s="11" t="s">
        <v>1039</v>
      </c>
      <c r="H542" s="31">
        <v>40000.0</v>
      </c>
      <c r="I542" s="11" t="s">
        <v>66</v>
      </c>
      <c r="J542" s="11" t="s">
        <v>1018</v>
      </c>
      <c r="K542" s="38">
        <f t="shared" si="64"/>
        <v>0.8</v>
      </c>
      <c r="L542" s="18" t="s">
        <v>910</v>
      </c>
      <c r="M542" s="18" t="s">
        <v>736</v>
      </c>
      <c r="N542" s="42"/>
      <c r="O542" s="42"/>
      <c r="P542" s="42"/>
      <c r="Q542" s="42" t="str">
        <f>iferror(VLOOKUP(A542,'Positional cal'!A:H,1,0)=A542,"FALSE")</f>
        <v>FALSE</v>
      </c>
      <c r="R542" s="43" t="b">
        <f t="shared" si="3"/>
        <v>0</v>
      </c>
      <c r="S542" s="46">
        <f>IFERROR(VLOOKUP($A542,AlgoUi!$A:$X,21,0),"NA")</f>
        <v>10185491</v>
      </c>
      <c r="T542" s="46">
        <f>IFERROR(VLOOKUP($A542,AlgoUi!$A:$X,23,0),"")</f>
        <v>10000000</v>
      </c>
      <c r="U542" s="46">
        <f>IFERROR(VLOOKUP($A542,AlgoUi!$A:$X,24,0),"")</f>
        <v>80000</v>
      </c>
      <c r="V542" s="42" t="str">
        <f>IFERROR(__xludf.DUMMYFUNCTION("IFERROR(VLOOKUP(I542,IMPORTRANGE(""https://docs.google.com/spreadsheets/d/17FOIUYQAjPk1pPQIlvOgqYDBqwUqgb7KWzp4DtVksBk/edit?gid=0#gid=0"",""Servers!A:S""),19,FALSE), ""Not Running"")"),"ANIKETG")</f>
        <v>ANIKETG</v>
      </c>
      <c r="W542" s="47" t="str">
        <f>VLOOKUP($A542,Category!$A:$E,4,0)</f>
        <v>MS</v>
      </c>
      <c r="X542" s="47" t="str">
        <f>VLOOKUP($A542,Category!$A:$E,5,0)</f>
        <v>MSR</v>
      </c>
      <c r="Y542" s="18" t="str">
        <f>VLOOKUP(A542,PAcc!$A$1:$J$27,10,0)</f>
        <v>#N/A</v>
      </c>
      <c r="Z542" s="42" t="b">
        <f t="shared" si="4"/>
        <v>0</v>
      </c>
      <c r="AA542" s="50">
        <v>0.4</v>
      </c>
      <c r="AB542" s="42" t="str">
        <f>VLOOKUP(A542,VlookupSheet!$A$383:$A$523,1,0)</f>
        <v>#N/A</v>
      </c>
      <c r="AC542" s="42"/>
      <c r="AD542" s="42">
        <f t="shared" si="75"/>
        <v>4074196.4</v>
      </c>
      <c r="AE542" s="42">
        <f t="shared" si="76"/>
        <v>40000</v>
      </c>
      <c r="AF542" s="123">
        <f t="shared" si="77"/>
        <v>0</v>
      </c>
    </row>
    <row r="543">
      <c r="A543" s="11" t="s">
        <v>242</v>
      </c>
      <c r="B543" s="24" t="s">
        <v>3783</v>
      </c>
      <c r="C543" s="25"/>
      <c r="D543" s="11">
        <f t="shared" si="73"/>
        <v>0.8</v>
      </c>
      <c r="E543" s="11">
        <f t="shared" si="74"/>
        <v>32000</v>
      </c>
      <c r="F543" s="11" t="s">
        <v>1014</v>
      </c>
      <c r="G543" s="11" t="s">
        <v>1039</v>
      </c>
      <c r="H543" s="31">
        <v>40000.0</v>
      </c>
      <c r="I543" s="11" t="s">
        <v>66</v>
      </c>
      <c r="J543" s="11" t="s">
        <v>1018</v>
      </c>
      <c r="K543" s="38">
        <f t="shared" si="64"/>
        <v>0.8</v>
      </c>
      <c r="L543" s="18" t="s">
        <v>910</v>
      </c>
      <c r="M543" s="18" t="s">
        <v>736</v>
      </c>
      <c r="N543" s="42"/>
      <c r="O543" s="42"/>
      <c r="P543" s="42"/>
      <c r="Q543" s="42" t="str">
        <f>iferror(VLOOKUP(A543,'Positional cal'!A:H,1,0)=A543,"FALSE")</f>
        <v>FALSE</v>
      </c>
      <c r="R543" s="43" t="b">
        <f t="shared" si="3"/>
        <v>0</v>
      </c>
      <c r="S543" s="46">
        <f>IFERROR(VLOOKUP($A543,AlgoUi!$A:$X,21,0),"NA")</f>
        <v>10000000</v>
      </c>
      <c r="T543" s="46">
        <f>IFERROR(VLOOKUP($A543,AlgoUi!$A:$X,23,0),"")</f>
        <v>10000000</v>
      </c>
      <c r="U543" s="46">
        <f>IFERROR(VLOOKUP($A543,AlgoUi!$A:$X,24,0),"")</f>
        <v>80000</v>
      </c>
      <c r="V543" s="42" t="str">
        <f>IFERROR(__xludf.DUMMYFUNCTION("IFERROR(VLOOKUP(I543,IMPORTRANGE(""https://docs.google.com/spreadsheets/d/17FOIUYQAjPk1pPQIlvOgqYDBqwUqgb7KWzp4DtVksBk/edit?gid=0#gid=0"",""Servers!A:S""),19,FALSE), ""Not Running"")"),"ANIKETG")</f>
        <v>ANIKETG</v>
      </c>
      <c r="W543" s="47" t="str">
        <f>VLOOKUP($A543,Category!$A:$E,4,0)</f>
        <v>MS</v>
      </c>
      <c r="X543" s="47" t="str">
        <f>VLOOKUP($A543,Category!$A:$E,5,0)</f>
        <v>MSR</v>
      </c>
      <c r="Y543" s="18" t="str">
        <f>VLOOKUP(A543,PAcc!$A$1:$J$27,10,0)</f>
        <v>#N/A</v>
      </c>
      <c r="Z543" s="42" t="b">
        <f t="shared" si="4"/>
        <v>0</v>
      </c>
      <c r="AA543" s="50">
        <v>0.4</v>
      </c>
      <c r="AB543" s="42" t="str">
        <f>VLOOKUP(A543,VlookupSheet!$A$383:$A$523,1,0)</f>
        <v>#N/A</v>
      </c>
      <c r="AC543" s="42"/>
      <c r="AD543" s="42">
        <f t="shared" si="75"/>
        <v>4000000</v>
      </c>
      <c r="AE543" s="42">
        <f t="shared" si="76"/>
        <v>40000</v>
      </c>
      <c r="AF543" s="123">
        <f t="shared" si="77"/>
        <v>0</v>
      </c>
    </row>
    <row r="544">
      <c r="A544" s="11" t="s">
        <v>191</v>
      </c>
      <c r="B544" s="24" t="s">
        <v>192</v>
      </c>
      <c r="C544" s="25"/>
      <c r="D544" s="11">
        <f t="shared" si="73"/>
        <v>0.8</v>
      </c>
      <c r="E544" s="11">
        <f t="shared" si="74"/>
        <v>32000</v>
      </c>
      <c r="F544" s="30" t="s">
        <v>232</v>
      </c>
      <c r="G544" s="11" t="s">
        <v>1039</v>
      </c>
      <c r="H544" s="31">
        <v>40000.0</v>
      </c>
      <c r="I544" s="11" t="s">
        <v>66</v>
      </c>
      <c r="J544" s="11" t="s">
        <v>1018</v>
      </c>
      <c r="K544" s="38">
        <f t="shared" si="64"/>
        <v>0.8</v>
      </c>
      <c r="L544" s="18" t="s">
        <v>910</v>
      </c>
      <c r="M544" s="18" t="s">
        <v>736</v>
      </c>
      <c r="N544" s="42"/>
      <c r="O544" s="42"/>
      <c r="P544" s="42"/>
      <c r="Q544" s="42" t="str">
        <f>iferror(VLOOKUP(A544,'Positional cal'!A:H,1,0)=A544,"FALSE")</f>
        <v>FALSE</v>
      </c>
      <c r="R544" s="43" t="b">
        <f t="shared" si="3"/>
        <v>0</v>
      </c>
      <c r="S544" s="46">
        <f>IFERROR(VLOOKUP($A544,AlgoUi!$A:$X,21,0),"NA")</f>
        <v>6663077</v>
      </c>
      <c r="T544" s="46">
        <f>IFERROR(VLOOKUP($A544,AlgoUi!$A:$X,23,0),"")</f>
        <v>6000000</v>
      </c>
      <c r="U544" s="46">
        <f>IFERROR(VLOOKUP($A544,AlgoUi!$A:$X,24,0),"")</f>
        <v>48000</v>
      </c>
      <c r="V544" s="42" t="str">
        <f>IFERROR(__xludf.DUMMYFUNCTION("IFERROR(VLOOKUP(I544,IMPORTRANGE(""https://docs.google.com/spreadsheets/d/17FOIUYQAjPk1pPQIlvOgqYDBqwUqgb7KWzp4DtVksBk/edit?gid=0#gid=0"",""Servers!A:S""),19,FALSE), ""Not Running"")"),"ANIKETG")</f>
        <v>ANIKETG</v>
      </c>
      <c r="W544" s="47" t="str">
        <f>VLOOKUP($A544,Category!$A:$E,4,0)</f>
        <v>CC</v>
      </c>
      <c r="X544" s="47" t="str">
        <f>VLOOKUP($A544,Category!$A:$E,5,0)</f>
        <v>CCV</v>
      </c>
      <c r="Y544" s="18" t="str">
        <f>VLOOKUP(A544,PAcc!$A$1:$J$27,10,0)</f>
        <v>#N/A</v>
      </c>
      <c r="Z544" s="42" t="b">
        <f t="shared" si="4"/>
        <v>0</v>
      </c>
      <c r="AA544" s="50">
        <v>0.6</v>
      </c>
      <c r="AB544" s="42" t="str">
        <f>VLOOKUP(A544,VlookupSheet!$A$383:$A$523,1,0)</f>
        <v>#N/A</v>
      </c>
      <c r="AC544" s="42"/>
      <c r="AD544" s="42">
        <f t="shared" si="75"/>
        <v>3997846.2</v>
      </c>
      <c r="AE544" s="42">
        <f t="shared" si="76"/>
        <v>40000</v>
      </c>
      <c r="AF544" s="123">
        <f t="shared" si="77"/>
        <v>0</v>
      </c>
    </row>
    <row r="545">
      <c r="A545" s="11" t="s">
        <v>2968</v>
      </c>
      <c r="B545" s="24" t="s">
        <v>2969</v>
      </c>
      <c r="C545" s="25"/>
      <c r="D545" s="11">
        <f t="shared" si="73"/>
        <v>0.8</v>
      </c>
      <c r="E545" s="11">
        <f t="shared" si="74"/>
        <v>32000</v>
      </c>
      <c r="F545" s="30" t="s">
        <v>232</v>
      </c>
      <c r="G545" s="11" t="s">
        <v>1039</v>
      </c>
      <c r="H545" s="31">
        <v>40000.0</v>
      </c>
      <c r="I545" s="11" t="s">
        <v>66</v>
      </c>
      <c r="J545" s="11" t="s">
        <v>1018</v>
      </c>
      <c r="K545" s="38">
        <f t="shared" si="64"/>
        <v>0.8</v>
      </c>
      <c r="L545" s="18" t="s">
        <v>910</v>
      </c>
      <c r="M545" s="18" t="s">
        <v>736</v>
      </c>
      <c r="N545" s="42"/>
      <c r="O545" s="42"/>
      <c r="P545" s="42"/>
      <c r="Q545" s="42"/>
      <c r="R545" s="43" t="b">
        <f t="shared" si="3"/>
        <v>0</v>
      </c>
      <c r="S545" s="46">
        <f>IFERROR(VLOOKUP($A545,AlgoUi!$A:$X,21,0),"NA")</f>
        <v>10000000</v>
      </c>
      <c r="T545" s="46">
        <f>IFERROR(VLOOKUP($A545,AlgoUi!$A:$X,23,0),"")</f>
        <v>10000000</v>
      </c>
      <c r="U545" s="46">
        <f>IFERROR(VLOOKUP($A545,AlgoUi!$A:$X,24,0),"")</f>
        <v>80000</v>
      </c>
      <c r="V545" s="42" t="str">
        <f>IFERROR(__xludf.DUMMYFUNCTION("IFERROR(VLOOKUP(I545,IMPORTRANGE(""https://docs.google.com/spreadsheets/d/17FOIUYQAjPk1pPQIlvOgqYDBqwUqgb7KWzp4DtVksBk/edit?gid=0#gid=0"",""Servers!A:S""),19,FALSE), ""Not Running"")"),"ANIKETG")</f>
        <v>ANIKETG</v>
      </c>
      <c r="W545" s="47" t="str">
        <f>VLOOKUP($A545,Category!$A:$E,4,0)</f>
        <v>MS</v>
      </c>
      <c r="X545" s="47" t="str">
        <f>VLOOKUP($A545,Category!$A:$E,5,0)</f>
        <v>MSR</v>
      </c>
      <c r="Y545" s="18" t="str">
        <f>VLOOKUP(A545,PAcc!$A$1:$J$27,10,0)</f>
        <v>#N/A</v>
      </c>
      <c r="Z545" s="42" t="b">
        <f t="shared" si="4"/>
        <v>0</v>
      </c>
      <c r="AA545" s="50">
        <v>0.4</v>
      </c>
      <c r="AB545" s="42" t="str">
        <f>VLOOKUP(A545,VlookupSheet!$A$383:$A$523,1,0)</f>
        <v>#N/A</v>
      </c>
      <c r="AC545" s="42"/>
      <c r="AD545" s="42">
        <f t="shared" si="75"/>
        <v>4000000</v>
      </c>
      <c r="AE545" s="42">
        <f t="shared" si="76"/>
        <v>40000</v>
      </c>
      <c r="AF545" s="123">
        <f t="shared" si="77"/>
        <v>0</v>
      </c>
    </row>
    <row r="546">
      <c r="A546" s="11" t="s">
        <v>144</v>
      </c>
      <c r="B546" s="24" t="s">
        <v>3368</v>
      </c>
      <c r="C546" s="25"/>
      <c r="D546" s="11">
        <f t="shared" si="73"/>
        <v>1</v>
      </c>
      <c r="E546" s="11">
        <f t="shared" si="74"/>
        <v>1</v>
      </c>
      <c r="F546" s="30" t="s">
        <v>266</v>
      </c>
      <c r="G546" s="11" t="s">
        <v>77</v>
      </c>
      <c r="H546" s="31">
        <v>1.0</v>
      </c>
      <c r="I546" s="11" t="s">
        <v>267</v>
      </c>
      <c r="J546" s="11" t="s">
        <v>87</v>
      </c>
      <c r="K546" s="38">
        <f t="shared" si="64"/>
        <v>1</v>
      </c>
      <c r="L546" s="18" t="s">
        <v>268</v>
      </c>
      <c r="M546" s="18" t="s">
        <v>268</v>
      </c>
      <c r="N546" s="18"/>
      <c r="O546" s="18"/>
      <c r="P546" s="18"/>
      <c r="Q546" s="42" t="str">
        <f>iferror(VLOOKUP(A546,'Positional cal'!A:H,1,0)=A546,"FALSE")</f>
        <v>FALSE</v>
      </c>
      <c r="R546" s="43" t="b">
        <f t="shared" si="3"/>
        <v>0</v>
      </c>
      <c r="S546" s="46">
        <f>IFERROR(VLOOKUP($A546,AlgoUi!$A:$X,21,0),"NA")</f>
        <v>1000000000</v>
      </c>
      <c r="T546" s="46">
        <f>IFERROR(VLOOKUP($A546,AlgoUi!$A:$X,23,0),"")</f>
        <v>1000000000</v>
      </c>
      <c r="U546" s="46">
        <f>IFERROR(VLOOKUP($A546,AlgoUi!$A:$X,24,0),"")</f>
        <v>100000000000</v>
      </c>
      <c r="V546" s="42" t="str">
        <f>IFERROR(__xludf.DUMMYFUNCTION("IFERROR(VLOOKUP(I546,IMPORTRANGE(""https://docs.google.com/spreadsheets/d/17FOIUYQAjPk1pPQIlvOgqYDBqwUqgb7KWzp4DtVksBk/edit?gid=0#gid=0"",""Servers!A:S""),19,FALSE), ""Not Running"")"),"Not Running")</f>
        <v>Not Running</v>
      </c>
      <c r="W546" s="47" t="str">
        <f>VLOOKUP($A546,Category!$A:$E,4,0)</f>
        <v>MS</v>
      </c>
      <c r="X546" s="47" t="str">
        <f>VLOOKUP($A546,Category!$A:$E,5,0)</f>
        <v>MSJ</v>
      </c>
      <c r="Y546" s="18" t="str">
        <f>VLOOKUP(A546,PAcc!$A$1:$J$27,10,0)</f>
        <v>#N/A</v>
      </c>
      <c r="Z546" s="42" t="b">
        <f t="shared" si="4"/>
        <v>0</v>
      </c>
      <c r="AA546" s="50">
        <v>0.5</v>
      </c>
      <c r="AB546" s="42" t="str">
        <f>VLOOKUP(A546,VlookupSheet!$A$383:$A$523,1,0)</f>
        <v>#N/A</v>
      </c>
      <c r="AC546" s="42"/>
      <c r="AD546" s="42"/>
      <c r="AE546" s="42"/>
      <c r="AF546" s="42"/>
    </row>
    <row r="547">
      <c r="A547" s="30" t="s">
        <v>1888</v>
      </c>
      <c r="B547" s="84" t="s">
        <v>2076</v>
      </c>
      <c r="C547" s="85"/>
      <c r="D547" s="11">
        <f t="shared" si="73"/>
        <v>1</v>
      </c>
      <c r="E547" s="11">
        <f t="shared" si="74"/>
        <v>40000</v>
      </c>
      <c r="F547" s="30" t="s">
        <v>311</v>
      </c>
      <c r="G547" s="11" t="s">
        <v>1100</v>
      </c>
      <c r="H547" s="31">
        <v>40000.0</v>
      </c>
      <c r="I547" s="34" t="s">
        <v>143</v>
      </c>
      <c r="J547" s="25" t="s">
        <v>77</v>
      </c>
      <c r="K547" s="38">
        <f t="shared" si="64"/>
        <v>1</v>
      </c>
      <c r="L547" s="18" t="s">
        <v>910</v>
      </c>
      <c r="M547" s="18" t="s">
        <v>736</v>
      </c>
      <c r="N547" s="74"/>
      <c r="O547" s="74"/>
      <c r="P547" s="74"/>
      <c r="Q547" s="42" t="str">
        <f>iferror(VLOOKUP(A547,'Positional cal'!A:H,1,0)=A547,"FALSE")</f>
        <v>FALSE</v>
      </c>
      <c r="R547" s="43" t="b">
        <f t="shared" si="3"/>
        <v>0</v>
      </c>
      <c r="S547" s="46">
        <f>IFERROR(VLOOKUP($A547,AlgoUi!$A:$X,21,0),"NA")</f>
        <v>10073576</v>
      </c>
      <c r="T547" s="46">
        <f>IFERROR(VLOOKUP($A547,AlgoUi!$A:$X,23,0),"")</f>
        <v>10000000</v>
      </c>
      <c r="U547" s="46">
        <f>IFERROR(VLOOKUP($A547,AlgoUi!$A:$X,24,0),"")</f>
        <v>100000</v>
      </c>
      <c r="V547" s="42" t="str">
        <f>IFERROR(__xludf.DUMMYFUNCTION("IFERROR(VLOOKUP(I547,IMPORTRANGE(""https://docs.google.com/spreadsheets/d/17FOIUYQAjPk1pPQIlvOgqYDBqwUqgb7KWzp4DtVksBk/edit?gid=0#gid=0"",""Servers!A:S""),19,FALSE), ""Not Running"")"),"VIKASA")</f>
        <v>VIKASA</v>
      </c>
      <c r="W547" s="47" t="str">
        <f>VLOOKUP($A547,Category!$A:$E,4,0)</f>
        <v>MS</v>
      </c>
      <c r="X547" s="47" t="str">
        <f>VLOOKUP($A547,Category!$A:$E,5,0)</f>
        <v>MSR</v>
      </c>
      <c r="Y547" s="18" t="str">
        <f>VLOOKUP(A547,PAcc!$A$1:$J$27,10,0)</f>
        <v>#N/A</v>
      </c>
      <c r="Z547" s="42" t="b">
        <f t="shared" si="4"/>
        <v>0</v>
      </c>
      <c r="AA547" s="50">
        <v>0.4</v>
      </c>
      <c r="AB547" s="42" t="str">
        <f>VLOOKUP(A547,VlookupSheet!$A$383:$A$523,1,0)</f>
        <v>#N/A</v>
      </c>
      <c r="AC547" s="42"/>
      <c r="AD547" s="42">
        <f t="shared" ref="AD547:AD563" si="78">S547*AA547</f>
        <v>4029430.4</v>
      </c>
      <c r="AE547" s="42">
        <f t="shared" ref="AE547:AE563" si="79">MROUND(AD547,2000000)/100</f>
        <v>40000</v>
      </c>
      <c r="AF547" s="123">
        <f t="shared" ref="AF547:AF563" si="80">AE547-H547</f>
        <v>0</v>
      </c>
    </row>
    <row r="548">
      <c r="A548" s="11" t="s">
        <v>2703</v>
      </c>
      <c r="B548" s="24" t="s">
        <v>3581</v>
      </c>
      <c r="C548" s="25"/>
      <c r="D548" s="11">
        <f t="shared" si="73"/>
        <v>1</v>
      </c>
      <c r="E548" s="11">
        <f t="shared" si="74"/>
        <v>40000</v>
      </c>
      <c r="F548" s="11" t="s">
        <v>716</v>
      </c>
      <c r="G548" s="11">
        <v>40000.0</v>
      </c>
      <c r="H548" s="31">
        <v>40000.0</v>
      </c>
      <c r="I548" s="11" t="s">
        <v>143</v>
      </c>
      <c r="J548" s="11" t="s">
        <v>77</v>
      </c>
      <c r="K548" s="38">
        <f t="shared" si="64"/>
        <v>1</v>
      </c>
      <c r="L548" s="18" t="s">
        <v>910</v>
      </c>
      <c r="M548" s="18" t="s">
        <v>736</v>
      </c>
      <c r="N548" s="18">
        <v>1.0</v>
      </c>
      <c r="O548" s="18"/>
      <c r="P548" s="18" t="s">
        <v>848</v>
      </c>
      <c r="Q548" s="42" t="str">
        <f>iferror(VLOOKUP(A548,'Positional cal'!A:H,1,0)=A548,"FALSE")</f>
        <v>FALSE</v>
      </c>
      <c r="R548" s="43" t="b">
        <f t="shared" si="3"/>
        <v>0</v>
      </c>
      <c r="S548" s="46">
        <f>IFERROR(VLOOKUP($A548,AlgoUi!$A:$X,21,0),"NA")</f>
        <v>9580732</v>
      </c>
      <c r="T548" s="46">
        <f>IFERROR(VLOOKUP($A548,AlgoUi!$A:$X,23,0),"")</f>
        <v>10000000</v>
      </c>
      <c r="U548" s="46">
        <f>IFERROR(VLOOKUP($A548,AlgoUi!$A:$X,24,0),"")</f>
        <v>100000</v>
      </c>
      <c r="V548" s="42" t="str">
        <f>IFERROR(__xludf.DUMMYFUNCTION("IFERROR(VLOOKUP(I548,IMPORTRANGE(""https://docs.google.com/spreadsheets/d/17FOIUYQAjPk1pPQIlvOgqYDBqwUqgb7KWzp4DtVksBk/edit?gid=0#gid=0"",""Servers!A:S""),19,FALSE), ""Not Running"")"),"VIKASA")</f>
        <v>VIKASA</v>
      </c>
      <c r="W548" s="47" t="str">
        <f>VLOOKUP($A548,Category!$A:$E,4,0)</f>
        <v>MS</v>
      </c>
      <c r="X548" s="47" t="str">
        <f>VLOOKUP($A548,Category!$A:$E,5,0)</f>
        <v>MSS</v>
      </c>
      <c r="Y548" s="18" t="str">
        <f>VLOOKUP(A548,PAcc!$A$1:$J$27,10,0)</f>
        <v>#N/A</v>
      </c>
      <c r="Z548" s="42" t="b">
        <f t="shared" si="4"/>
        <v>0</v>
      </c>
      <c r="AA548" s="50">
        <v>0.4</v>
      </c>
      <c r="AB548" s="42" t="str">
        <f>VLOOKUP(A548,VlookupSheet!$A$383:$A$523,1,0)</f>
        <v>#N/A</v>
      </c>
      <c r="AC548" s="42"/>
      <c r="AD548" s="42">
        <f t="shared" si="78"/>
        <v>3832292.8</v>
      </c>
      <c r="AE548" s="42">
        <f t="shared" si="79"/>
        <v>40000</v>
      </c>
      <c r="AF548" s="123">
        <f t="shared" si="80"/>
        <v>0</v>
      </c>
    </row>
    <row r="549">
      <c r="A549" s="11" t="s">
        <v>154</v>
      </c>
      <c r="B549" s="84" t="s">
        <v>3376</v>
      </c>
      <c r="C549" s="25"/>
      <c r="D549" s="11">
        <f t="shared" si="73"/>
        <v>1</v>
      </c>
      <c r="E549" s="11">
        <f t="shared" si="74"/>
        <v>300000</v>
      </c>
      <c r="F549" s="11" t="s">
        <v>1029</v>
      </c>
      <c r="G549" s="11">
        <v>300000.0</v>
      </c>
      <c r="H549" s="31">
        <v>300000.0</v>
      </c>
      <c r="I549" s="11" t="s">
        <v>143</v>
      </c>
      <c r="J549" s="11" t="s">
        <v>77</v>
      </c>
      <c r="K549" s="38">
        <f t="shared" si="64"/>
        <v>1</v>
      </c>
      <c r="L549" s="18" t="s">
        <v>910</v>
      </c>
      <c r="M549" s="18" t="s">
        <v>736</v>
      </c>
      <c r="N549" s="18"/>
      <c r="O549" s="18"/>
      <c r="P549" s="18" t="s">
        <v>3881</v>
      </c>
      <c r="Q549" s="42" t="str">
        <f>iferror(VLOOKUP(A549,'Positional cal'!A:H,1,0)=A549,"FALSE")</f>
        <v>FALSE</v>
      </c>
      <c r="R549" s="43" t="b">
        <f t="shared" si="3"/>
        <v>0</v>
      </c>
      <c r="S549" s="46">
        <f>IFERROR(VLOOKUP($A549,AlgoUi!$A:$X,21,0),"NA")</f>
        <v>76379670</v>
      </c>
      <c r="T549" s="46">
        <f>IFERROR(VLOOKUP($A549,AlgoUi!$A:$X,23,0),"")</f>
        <v>76000000</v>
      </c>
      <c r="U549" s="46">
        <f>IFERROR(VLOOKUP($A549,AlgoUi!$A:$X,24,0),"")</f>
        <v>760000</v>
      </c>
      <c r="V549" s="42" t="str">
        <f>IFERROR(__xludf.DUMMYFUNCTION("IFERROR(VLOOKUP(I549,IMPORTRANGE(""https://docs.google.com/spreadsheets/d/17FOIUYQAjPk1pPQIlvOgqYDBqwUqgb7KWzp4DtVksBk/edit?gid=0#gid=0"",""Servers!A:S""),19,FALSE), ""Not Running"")"),"VIKASA")</f>
        <v>VIKASA</v>
      </c>
      <c r="W549" s="47" t="str">
        <f>VLOOKUP($A549,Category!$A:$E,4,0)</f>
        <v>MS</v>
      </c>
      <c r="X549" s="47" t="str">
        <f>VLOOKUP($A549,Category!$A:$E,5,0)</f>
        <v>MSS</v>
      </c>
      <c r="Y549" s="18" t="str">
        <f>VLOOKUP(A549,PAcc!$A$1:$J$27,10,0)</f>
        <v>#N/A</v>
      </c>
      <c r="Z549" s="42" t="b">
        <f t="shared" si="4"/>
        <v>0</v>
      </c>
      <c r="AA549" s="50">
        <v>0.4</v>
      </c>
      <c r="AB549" s="42" t="str">
        <f>VLOOKUP(A549,VlookupSheet!$A$383:$A$523,1,0)</f>
        <v>#N/A</v>
      </c>
      <c r="AC549" s="42"/>
      <c r="AD549" s="42">
        <f t="shared" si="78"/>
        <v>30551868</v>
      </c>
      <c r="AE549" s="42">
        <f t="shared" si="79"/>
        <v>300000</v>
      </c>
      <c r="AF549" s="123">
        <f t="shared" si="80"/>
        <v>0</v>
      </c>
    </row>
    <row r="550">
      <c r="A550" s="11" t="s">
        <v>107</v>
      </c>
      <c r="B550" s="24" t="s">
        <v>852</v>
      </c>
      <c r="C550" s="25"/>
      <c r="D550" s="11" t="s">
        <v>320</v>
      </c>
      <c r="E550" s="11">
        <f>H550*D550</f>
        <v>200000</v>
      </c>
      <c r="F550" s="30" t="s">
        <v>266</v>
      </c>
      <c r="G550" s="31">
        <f>iferror(VLOOKUP(A550,'Positional cal'!A:H,8,0),"Not_positional")</f>
        <v>163133</v>
      </c>
      <c r="H550" s="31">
        <f>iferror(VLOOKUP(A550,'Positional cal'!A:H,4,0),"Not_positional")</f>
        <v>100000</v>
      </c>
      <c r="I550" s="34" t="s">
        <v>143</v>
      </c>
      <c r="J550" s="11" t="s">
        <v>77</v>
      </c>
      <c r="K550" s="38">
        <f t="shared" si="64"/>
        <v>1.63133</v>
      </c>
      <c r="L550" s="18" t="s">
        <v>1068</v>
      </c>
      <c r="M550" s="18" t="s">
        <v>1077</v>
      </c>
      <c r="N550" s="18"/>
      <c r="O550" s="18"/>
      <c r="P550" s="18"/>
      <c r="Q550" s="42" t="b">
        <f>iferror(VLOOKUP(A550,'Positional cal'!A:H,1,0)=A550,"FALSE")</f>
        <v>1</v>
      </c>
      <c r="R550" s="43" t="b">
        <f t="shared" si="3"/>
        <v>0</v>
      </c>
      <c r="S550" s="46">
        <f>IFERROR(VLOOKUP($A550,AlgoUi!$A:$X,21,0),"NA")</f>
        <v>1000000000</v>
      </c>
      <c r="T550" s="46">
        <f>IFERROR(VLOOKUP($A550,AlgoUi!$A:$X,23,0),"")</f>
        <v>1000000000</v>
      </c>
      <c r="U550" s="46">
        <f>IFERROR(VLOOKUP($A550,AlgoUi!$A:$X,24,0),"")</f>
        <v>10000000</v>
      </c>
      <c r="V550" s="42" t="str">
        <f>IFERROR(__xludf.DUMMYFUNCTION("IFERROR(VLOOKUP(I550,IMPORTRANGE(""https://docs.google.com/spreadsheets/d/17FOIUYQAjPk1pPQIlvOgqYDBqwUqgb7KWzp4DtVksBk/edit?gid=0#gid=0"",""Servers!A:S""),19,FALSE), ""Not Running"")"),"VIKASA")</f>
        <v>VIKASA</v>
      </c>
      <c r="W550" s="47" t="str">
        <f>VLOOKUP($A550,Category!$A:$E,4,0)</f>
        <v>MS</v>
      </c>
      <c r="X550" s="47" t="str">
        <f>VLOOKUP($A550,Category!$A:$E,5,0)</f>
        <v>MSJ</v>
      </c>
      <c r="Y550" s="18" t="str">
        <f>VLOOKUP(A550,PAcc!$A$1:$J$27,10,0)</f>
        <v>#N/A</v>
      </c>
      <c r="Z550" s="42" t="b">
        <f t="shared" si="4"/>
        <v>0</v>
      </c>
      <c r="AA550" s="50">
        <v>0.5</v>
      </c>
      <c r="AB550" s="25" t="str">
        <f>VLOOKUP(A550,VlookupSheet!$A$383:$A$523,1,0)</f>
        <v>ZZJ17221</v>
      </c>
      <c r="AC550" s="42"/>
      <c r="AD550" s="42">
        <f t="shared" si="78"/>
        <v>500000000</v>
      </c>
      <c r="AE550" s="42">
        <f t="shared" si="79"/>
        <v>5000000</v>
      </c>
      <c r="AF550" s="123">
        <f t="shared" si="80"/>
        <v>4900000</v>
      </c>
    </row>
    <row r="551">
      <c r="A551" s="60" t="s">
        <v>170</v>
      </c>
      <c r="B551" s="60" t="s">
        <v>3153</v>
      </c>
      <c r="C551" s="174"/>
      <c r="D551" s="11">
        <f t="shared" ref="D551:D571" si="81">IF(J551="7",0.8,1)</f>
        <v>1</v>
      </c>
      <c r="E551" s="11">
        <f t="shared" ref="E551:E571" si="82">D551*H551</f>
        <v>40000</v>
      </c>
      <c r="F551" s="60" t="s">
        <v>1261</v>
      </c>
      <c r="G551" s="11" t="s">
        <v>1100</v>
      </c>
      <c r="H551" s="31">
        <v>40000.0</v>
      </c>
      <c r="I551" s="202" t="s">
        <v>143</v>
      </c>
      <c r="J551" s="60" t="s">
        <v>77</v>
      </c>
      <c r="K551" s="38">
        <f t="shared" si="64"/>
        <v>1</v>
      </c>
      <c r="L551" s="18" t="s">
        <v>910</v>
      </c>
      <c r="M551" s="18" t="s">
        <v>736</v>
      </c>
      <c r="N551" s="18">
        <v>1.0</v>
      </c>
      <c r="O551" s="202"/>
      <c r="P551" s="202" t="s">
        <v>848</v>
      </c>
      <c r="Q551" s="176" t="str">
        <f>iferror(VLOOKUP(A551,'Positional cal'!A:H,1,0)=A551,"FALSE")</f>
        <v>FALSE</v>
      </c>
      <c r="R551" s="43" t="b">
        <f t="shared" si="3"/>
        <v>0</v>
      </c>
      <c r="S551" s="46">
        <f>IFERROR(VLOOKUP($A551,AlgoUi!$A:$X,21,0),"NA")</f>
        <v>10000000</v>
      </c>
      <c r="T551" s="46">
        <f>IFERROR(VLOOKUP($A551,AlgoUi!$A:$X,23,0),"")</f>
        <v>10000000</v>
      </c>
      <c r="U551" s="46">
        <f>IFERROR(VLOOKUP($A551,AlgoUi!$A:$X,24,0),"")</f>
        <v>100000</v>
      </c>
      <c r="V551" s="42" t="str">
        <f>IFERROR(__xludf.DUMMYFUNCTION("IFERROR(VLOOKUP(I551,IMPORTRANGE(""https://docs.google.com/spreadsheets/d/17FOIUYQAjPk1pPQIlvOgqYDBqwUqgb7KWzp4DtVksBk/edit?gid=0#gid=0"",""Servers!A:S""),19,FALSE), ""Not Running"")"),"VIKASA")</f>
        <v>VIKASA</v>
      </c>
      <c r="W551" s="47" t="str">
        <f>VLOOKUP($A551,Category!$A:$E,4,0)</f>
        <v>MS</v>
      </c>
      <c r="X551" s="47" t="str">
        <f>VLOOKUP($A551,Category!$A:$E,5,0)</f>
        <v>MSS</v>
      </c>
      <c r="Y551" s="18" t="str">
        <f>VLOOKUP(A551,PAcc!$A$1:$J$27,10,0)</f>
        <v>#N/A</v>
      </c>
      <c r="Z551" s="42" t="b">
        <f t="shared" si="4"/>
        <v>0</v>
      </c>
      <c r="AA551" s="50">
        <v>0.4</v>
      </c>
      <c r="AB551" s="42" t="str">
        <f>VLOOKUP(A551,VlookupSheet!$A$383:$A$523,1,0)</f>
        <v>#N/A</v>
      </c>
      <c r="AC551" s="176"/>
      <c r="AD551" s="42">
        <f t="shared" si="78"/>
        <v>4000000</v>
      </c>
      <c r="AE551" s="42">
        <f t="shared" si="79"/>
        <v>40000</v>
      </c>
      <c r="AF551" s="123">
        <f t="shared" si="80"/>
        <v>0</v>
      </c>
    </row>
    <row r="552">
      <c r="A552" s="30" t="s">
        <v>546</v>
      </c>
      <c r="B552" s="84" t="s">
        <v>1761</v>
      </c>
      <c r="C552" s="30" t="s">
        <v>320</v>
      </c>
      <c r="D552" s="11">
        <f t="shared" si="81"/>
        <v>1</v>
      </c>
      <c r="E552" s="11">
        <f t="shared" si="82"/>
        <v>40000</v>
      </c>
      <c r="F552" s="30" t="s">
        <v>311</v>
      </c>
      <c r="G552" s="11" t="s">
        <v>1100</v>
      </c>
      <c r="H552" s="31">
        <v>40000.0</v>
      </c>
      <c r="I552" s="34" t="s">
        <v>143</v>
      </c>
      <c r="J552" s="11" t="s">
        <v>77</v>
      </c>
      <c r="K552" s="38">
        <f t="shared" si="64"/>
        <v>1</v>
      </c>
      <c r="L552" s="18" t="s">
        <v>910</v>
      </c>
      <c r="M552" s="18" t="s">
        <v>736</v>
      </c>
      <c r="N552" s="74"/>
      <c r="O552" s="74"/>
      <c r="P552" s="74"/>
      <c r="Q552" s="42" t="str">
        <f>iferror(VLOOKUP(A552,'Positional cal'!A:H,1,0)=A552,"FALSE")</f>
        <v>FALSE</v>
      </c>
      <c r="R552" s="43" t="b">
        <f t="shared" si="3"/>
        <v>0</v>
      </c>
      <c r="S552" s="46">
        <f>IFERROR(VLOOKUP($A552,AlgoUi!$A:$X,21,0),"NA")</f>
        <v>11068778</v>
      </c>
      <c r="T552" s="46">
        <f>IFERROR(VLOOKUP($A552,AlgoUi!$A:$X,23,0),"")</f>
        <v>12000000</v>
      </c>
      <c r="U552" s="46">
        <f>IFERROR(VLOOKUP($A552,AlgoUi!$A:$X,24,0),"")</f>
        <v>120000</v>
      </c>
      <c r="V552" s="42" t="str">
        <f>IFERROR(__xludf.DUMMYFUNCTION("IFERROR(VLOOKUP(I552,IMPORTRANGE(""https://docs.google.com/spreadsheets/d/17FOIUYQAjPk1pPQIlvOgqYDBqwUqgb7KWzp4DtVksBk/edit?gid=0#gid=0"",""Servers!A:S""),19,FALSE), ""Not Running"")"),"VIKASA")</f>
        <v>VIKASA</v>
      </c>
      <c r="W552" s="47" t="str">
        <f>VLOOKUP($A552,Category!$A:$E,4,0)</f>
        <v>MS</v>
      </c>
      <c r="X552" s="47" t="str">
        <f>VLOOKUP($A552,Category!$A:$E,5,0)</f>
        <v>MSR</v>
      </c>
      <c r="Y552" s="18" t="str">
        <f>VLOOKUP(A552,PAcc!$A$1:$J$27,10,0)</f>
        <v>#N/A</v>
      </c>
      <c r="Z552" s="42" t="b">
        <f t="shared" si="4"/>
        <v>0</v>
      </c>
      <c r="AA552" s="50">
        <v>0.4</v>
      </c>
      <c r="AB552" s="42" t="str">
        <f>VLOOKUP(A552,VlookupSheet!$A$383:$A$523,1,0)</f>
        <v>#N/A</v>
      </c>
      <c r="AC552" s="42"/>
      <c r="AD552" s="42">
        <f t="shared" si="78"/>
        <v>4427511.2</v>
      </c>
      <c r="AE552" s="42">
        <f t="shared" si="79"/>
        <v>40000</v>
      </c>
      <c r="AF552" s="123">
        <f t="shared" si="80"/>
        <v>0</v>
      </c>
    </row>
    <row r="553">
      <c r="A553" s="60" t="s">
        <v>2705</v>
      </c>
      <c r="B553" s="65" t="s">
        <v>3528</v>
      </c>
      <c r="C553" s="65"/>
      <c r="D553" s="11">
        <f t="shared" si="81"/>
        <v>1</v>
      </c>
      <c r="E553" s="11">
        <f t="shared" si="82"/>
        <v>80000</v>
      </c>
      <c r="F553" s="30" t="s">
        <v>311</v>
      </c>
      <c r="G553" s="11" t="s">
        <v>906</v>
      </c>
      <c r="H553" s="31">
        <v>80000.0</v>
      </c>
      <c r="I553" s="11" t="s">
        <v>143</v>
      </c>
      <c r="J553" s="11" t="s">
        <v>77</v>
      </c>
      <c r="K553" s="38">
        <f t="shared" si="64"/>
        <v>1</v>
      </c>
      <c r="L553" s="18" t="s">
        <v>910</v>
      </c>
      <c r="M553" s="18" t="s">
        <v>736</v>
      </c>
      <c r="N553" s="18"/>
      <c r="O553" s="18"/>
      <c r="P553" s="18" t="s">
        <v>1501</v>
      </c>
      <c r="Q553" s="42" t="str">
        <f>iferror(VLOOKUP(A553,'Positional cal'!A:H,1,0)=A553,"FALSE")</f>
        <v>FALSE</v>
      </c>
      <c r="R553" s="43" t="b">
        <f t="shared" si="3"/>
        <v>0</v>
      </c>
      <c r="S553" s="46">
        <f>IFERROR(VLOOKUP($A553,AlgoUi!$A:$X,21,0),"NA")</f>
        <v>7002202</v>
      </c>
      <c r="T553" s="46">
        <f>IFERROR(VLOOKUP($A553,AlgoUi!$A:$X,23,0),"")</f>
        <v>8000000</v>
      </c>
      <c r="U553" s="46">
        <f>IFERROR(VLOOKUP($A553,AlgoUi!$A:$X,24,0),"")</f>
        <v>80000</v>
      </c>
      <c r="V553" s="42" t="str">
        <f>IFERROR(__xludf.DUMMYFUNCTION("IFERROR(VLOOKUP(I553,IMPORTRANGE(""https://docs.google.com/spreadsheets/d/17FOIUYQAjPk1pPQIlvOgqYDBqwUqgb7KWzp4DtVksBk/edit?gid=0#gid=0"",""Servers!A:S""),19,FALSE), ""Not Running"")"),"VIKASA")</f>
        <v>VIKASA</v>
      </c>
      <c r="W553" s="47" t="str">
        <f>VLOOKUP($A553,Category!$A:$E,4,0)</f>
        <v>MS</v>
      </c>
      <c r="X553" s="47" t="str">
        <f>VLOOKUP($A553,Category!$A:$E,5,0)</f>
        <v>PPS</v>
      </c>
      <c r="Y553" s="18" t="str">
        <f>VLOOKUP(A553,PAcc!$A$1:$J$27,10,0)</f>
        <v>PS Personal</v>
      </c>
      <c r="Z553" s="42" t="b">
        <f t="shared" si="4"/>
        <v>1</v>
      </c>
      <c r="AA553" s="50">
        <v>1.0</v>
      </c>
      <c r="AB553" s="42" t="str">
        <f>VLOOKUP(A553,VlookupSheet!$A$383:$A$523,1,0)</f>
        <v>#N/A</v>
      </c>
      <c r="AC553" s="42"/>
      <c r="AD553" s="42">
        <f t="shared" si="78"/>
        <v>7002202</v>
      </c>
      <c r="AE553" s="42">
        <f t="shared" si="79"/>
        <v>80000</v>
      </c>
      <c r="AF553" s="123">
        <f t="shared" si="80"/>
        <v>0</v>
      </c>
    </row>
    <row r="554">
      <c r="A554" s="11" t="s">
        <v>2658</v>
      </c>
      <c r="B554" s="24" t="s">
        <v>2659</v>
      </c>
      <c r="C554" s="25"/>
      <c r="D554" s="11">
        <f t="shared" si="81"/>
        <v>1</v>
      </c>
      <c r="E554" s="11">
        <f t="shared" si="82"/>
        <v>40000</v>
      </c>
      <c r="F554" s="30" t="s">
        <v>311</v>
      </c>
      <c r="G554" s="11" t="s">
        <v>1100</v>
      </c>
      <c r="H554" s="31">
        <v>40000.0</v>
      </c>
      <c r="I554" s="18" t="s">
        <v>143</v>
      </c>
      <c r="J554" s="25" t="s">
        <v>77</v>
      </c>
      <c r="K554" s="38">
        <f t="shared" si="64"/>
        <v>1</v>
      </c>
      <c r="L554" s="18" t="s">
        <v>910</v>
      </c>
      <c r="M554" s="18" t="s">
        <v>736</v>
      </c>
      <c r="N554" s="42"/>
      <c r="O554" s="42"/>
      <c r="P554" s="42"/>
      <c r="Q554" s="42" t="str">
        <f>iferror(VLOOKUP(A554,'Positional cal'!A:H,1,0)=A554,"FALSE")</f>
        <v>FALSE</v>
      </c>
      <c r="R554" s="43" t="b">
        <f t="shared" si="3"/>
        <v>0</v>
      </c>
      <c r="S554" s="46">
        <f>IFERROR(VLOOKUP($A554,AlgoUi!$A:$X,21,0),"NA")</f>
        <v>10601371</v>
      </c>
      <c r="T554" s="46">
        <f>IFERROR(VLOOKUP($A554,AlgoUi!$A:$X,23,0),"")</f>
        <v>10000000</v>
      </c>
      <c r="U554" s="46">
        <f>IFERROR(VLOOKUP($A554,AlgoUi!$A:$X,24,0),"")</f>
        <v>100000</v>
      </c>
      <c r="V554" s="42" t="str">
        <f>IFERROR(__xludf.DUMMYFUNCTION("IFERROR(VLOOKUP(I554,IMPORTRANGE(""https://docs.google.com/spreadsheets/d/17FOIUYQAjPk1pPQIlvOgqYDBqwUqgb7KWzp4DtVksBk/edit?gid=0#gid=0"",""Servers!A:S""),19,FALSE), ""Not Running"")"),"VIKASA")</f>
        <v>VIKASA</v>
      </c>
      <c r="W554" s="47" t="str">
        <f>VLOOKUP($A554,Category!$A:$E,4,0)</f>
        <v>MS</v>
      </c>
      <c r="X554" s="47" t="str">
        <f>VLOOKUP($A554,Category!$A:$E,5,0)</f>
        <v>MSN</v>
      </c>
      <c r="Y554" s="18" t="str">
        <f>VLOOKUP(A554,PAcc!$A$1:$J$27,10,0)</f>
        <v>#N/A</v>
      </c>
      <c r="Z554" s="42" t="b">
        <f t="shared" si="4"/>
        <v>0</v>
      </c>
      <c r="AA554" s="50">
        <v>0.4</v>
      </c>
      <c r="AB554" s="42" t="str">
        <f>VLOOKUP(A554,VlookupSheet!$A$383:$A$523,1,0)</f>
        <v>#N/A</v>
      </c>
      <c r="AC554" s="176"/>
      <c r="AD554" s="42">
        <f t="shared" si="78"/>
        <v>4240548.4</v>
      </c>
      <c r="AE554" s="42">
        <f t="shared" si="79"/>
        <v>40000</v>
      </c>
      <c r="AF554" s="123">
        <f t="shared" si="80"/>
        <v>0</v>
      </c>
    </row>
    <row r="555">
      <c r="A555" s="11" t="s">
        <v>2649</v>
      </c>
      <c r="B555" s="24" t="s">
        <v>3513</v>
      </c>
      <c r="C555" s="25"/>
      <c r="D555" s="11">
        <f t="shared" si="81"/>
        <v>1</v>
      </c>
      <c r="E555" s="11">
        <f t="shared" si="82"/>
        <v>20000</v>
      </c>
      <c r="F555" s="30" t="s">
        <v>311</v>
      </c>
      <c r="G555" s="11" t="s">
        <v>1134</v>
      </c>
      <c r="H555" s="31">
        <v>20000.0</v>
      </c>
      <c r="I555" s="18" t="s">
        <v>143</v>
      </c>
      <c r="J555" s="25" t="s">
        <v>77</v>
      </c>
      <c r="K555" s="38">
        <f t="shared" si="64"/>
        <v>1</v>
      </c>
      <c r="L555" s="18" t="s">
        <v>910</v>
      </c>
      <c r="M555" s="18" t="s">
        <v>736</v>
      </c>
      <c r="N555" s="42"/>
      <c r="O555" s="42"/>
      <c r="P555" s="42"/>
      <c r="Q555" s="42" t="str">
        <f>iferror(VLOOKUP(A555,'Positional cal'!A:H,1,0)=A555,"FALSE")</f>
        <v>FALSE</v>
      </c>
      <c r="R555" s="43" t="b">
        <f t="shared" si="3"/>
        <v>0</v>
      </c>
      <c r="S555" s="46">
        <f>IFERROR(VLOOKUP($A555,AlgoUi!$A:$X,21,0),"NA")</f>
        <v>6530041</v>
      </c>
      <c r="T555" s="46">
        <f>IFERROR(VLOOKUP($A555,AlgoUi!$A:$X,23,0),"")</f>
        <v>6000000</v>
      </c>
      <c r="U555" s="46">
        <f>IFERROR(VLOOKUP($A555,AlgoUi!$A:$X,24,0),"")</f>
        <v>60000</v>
      </c>
      <c r="V555" s="42" t="str">
        <f>IFERROR(__xludf.DUMMYFUNCTION("IFERROR(VLOOKUP(I555,IMPORTRANGE(""https://docs.google.com/spreadsheets/d/17FOIUYQAjPk1pPQIlvOgqYDBqwUqgb7KWzp4DtVksBk/edit?gid=0#gid=0"",""Servers!A:S""),19,FALSE), ""Not Running"")"),"VIKASA")</f>
        <v>VIKASA</v>
      </c>
      <c r="W555" s="47" t="str">
        <f>VLOOKUP($A555,Category!$A:$E,4,0)</f>
        <v>MS</v>
      </c>
      <c r="X555" s="47" t="str">
        <f>VLOOKUP($A555,Category!$A:$E,5,0)</f>
        <v>MSR</v>
      </c>
      <c r="Y555" s="18" t="str">
        <f>VLOOKUP(A555,PAcc!$A$1:$J$27,10,0)</f>
        <v>#N/A</v>
      </c>
      <c r="Z555" s="42" t="b">
        <f t="shared" si="4"/>
        <v>0</v>
      </c>
      <c r="AA555" s="50">
        <v>0.4</v>
      </c>
      <c r="AB555" s="42" t="str">
        <f>VLOOKUP(A555,VlookupSheet!$A$383:$A$523,1,0)</f>
        <v>#N/A</v>
      </c>
      <c r="AC555" s="42"/>
      <c r="AD555" s="42">
        <f t="shared" si="78"/>
        <v>2612016.4</v>
      </c>
      <c r="AE555" s="42">
        <f t="shared" si="79"/>
        <v>20000</v>
      </c>
      <c r="AF555" s="123">
        <f t="shared" si="80"/>
        <v>0</v>
      </c>
    </row>
    <row r="556">
      <c r="A556" s="11" t="s">
        <v>2739</v>
      </c>
      <c r="B556" s="24" t="s">
        <v>2740</v>
      </c>
      <c r="C556" s="25"/>
      <c r="D556" s="11">
        <f t="shared" si="81"/>
        <v>1</v>
      </c>
      <c r="E556" s="11">
        <f t="shared" si="82"/>
        <v>40000</v>
      </c>
      <c r="F556" s="30" t="s">
        <v>311</v>
      </c>
      <c r="G556" s="11" t="s">
        <v>1100</v>
      </c>
      <c r="H556" s="31">
        <v>40000.0</v>
      </c>
      <c r="I556" s="18" t="s">
        <v>143</v>
      </c>
      <c r="J556" s="25" t="s">
        <v>77</v>
      </c>
      <c r="K556" s="38">
        <f t="shared" si="64"/>
        <v>1</v>
      </c>
      <c r="L556" s="18" t="s">
        <v>910</v>
      </c>
      <c r="M556" s="18" t="s">
        <v>736</v>
      </c>
      <c r="N556" s="42"/>
      <c r="O556" s="42"/>
      <c r="P556" s="42"/>
      <c r="Q556" s="42" t="str">
        <f>iferror(VLOOKUP(A556,'Positional cal'!A:H,1,0)=A556,"FALSE")</f>
        <v>FALSE</v>
      </c>
      <c r="R556" s="43" t="b">
        <f t="shared" si="3"/>
        <v>0</v>
      </c>
      <c r="S556" s="46">
        <f>IFERROR(VLOOKUP($A556,AlgoUi!$A:$X,21,0),"NA")</f>
        <v>11746004</v>
      </c>
      <c r="T556" s="46">
        <f>IFERROR(VLOOKUP($A556,AlgoUi!$A:$X,23,0),"")</f>
        <v>12000000</v>
      </c>
      <c r="U556" s="46">
        <f>IFERROR(VLOOKUP($A556,AlgoUi!$A:$X,24,0),"")</f>
        <v>120000</v>
      </c>
      <c r="V556" s="42" t="str">
        <f>IFERROR(__xludf.DUMMYFUNCTION("IFERROR(VLOOKUP(I556,IMPORTRANGE(""https://docs.google.com/spreadsheets/d/17FOIUYQAjPk1pPQIlvOgqYDBqwUqgb7KWzp4DtVksBk/edit?gid=0#gid=0"",""Servers!A:S""),19,FALSE), ""Not Running"")"),"VIKASA")</f>
        <v>VIKASA</v>
      </c>
      <c r="W556" s="47" t="str">
        <f>VLOOKUP($A556,Category!$A:$E,4,0)</f>
        <v>MS</v>
      </c>
      <c r="X556" s="47" t="str">
        <f>VLOOKUP($A556,Category!$A:$E,5,0)</f>
        <v>MSR</v>
      </c>
      <c r="Y556" s="18" t="str">
        <f>VLOOKUP(A556,PAcc!$A$1:$J$27,10,0)</f>
        <v>#N/A</v>
      </c>
      <c r="Z556" s="42" t="b">
        <f t="shared" si="4"/>
        <v>0</v>
      </c>
      <c r="AA556" s="50">
        <v>0.4</v>
      </c>
      <c r="AB556" s="42" t="str">
        <f>VLOOKUP(A556,VlookupSheet!$A$383:$A$523,1,0)</f>
        <v>#N/A</v>
      </c>
      <c r="AC556" s="42"/>
      <c r="AD556" s="42">
        <f t="shared" si="78"/>
        <v>4698401.6</v>
      </c>
      <c r="AE556" s="42">
        <f t="shared" si="79"/>
        <v>40000</v>
      </c>
      <c r="AF556" s="123">
        <f t="shared" si="80"/>
        <v>0</v>
      </c>
    </row>
    <row r="557">
      <c r="A557" s="11" t="s">
        <v>2699</v>
      </c>
      <c r="B557" s="24" t="s">
        <v>2700</v>
      </c>
      <c r="C557" s="25"/>
      <c r="D557" s="11">
        <f t="shared" si="81"/>
        <v>1</v>
      </c>
      <c r="E557" s="11">
        <f t="shared" si="82"/>
        <v>80000</v>
      </c>
      <c r="F557" s="30" t="s">
        <v>311</v>
      </c>
      <c r="G557" s="11" t="s">
        <v>906</v>
      </c>
      <c r="H557" s="31">
        <v>80000.0</v>
      </c>
      <c r="I557" s="11" t="s">
        <v>143</v>
      </c>
      <c r="J557" s="11" t="s">
        <v>77</v>
      </c>
      <c r="K557" s="38">
        <f t="shared" si="64"/>
        <v>1</v>
      </c>
      <c r="L557" s="18" t="s">
        <v>910</v>
      </c>
      <c r="M557" s="18" t="s">
        <v>736</v>
      </c>
      <c r="N557" s="42"/>
      <c r="O557" s="42"/>
      <c r="P557" s="42"/>
      <c r="Q557" s="42" t="str">
        <f>iferror(VLOOKUP(A557,'Positional cal'!A:H,1,0)=A557,"FALSE")</f>
        <v>FALSE</v>
      </c>
      <c r="R557" s="43" t="b">
        <f t="shared" si="3"/>
        <v>0</v>
      </c>
      <c r="S557" s="46">
        <f>IFERROR(VLOOKUP($A557,AlgoUi!$A:$X,21,0),"NA")</f>
        <v>19170952</v>
      </c>
      <c r="T557" s="46">
        <f>IFERROR(VLOOKUP($A557,AlgoUi!$A:$X,23,0),"")</f>
        <v>20000000</v>
      </c>
      <c r="U557" s="46">
        <f>IFERROR(VLOOKUP($A557,AlgoUi!$A:$X,24,0),"")</f>
        <v>200000</v>
      </c>
      <c r="V557" s="42" t="str">
        <f>IFERROR(__xludf.DUMMYFUNCTION("IFERROR(VLOOKUP(I557,IMPORTRANGE(""https://docs.google.com/spreadsheets/d/17FOIUYQAjPk1pPQIlvOgqYDBqwUqgb7KWzp4DtVksBk/edit?gid=0#gid=0"",""Servers!A:S""),19,FALSE), ""Not Running"")"),"VIKASA")</f>
        <v>VIKASA</v>
      </c>
      <c r="W557" s="47" t="str">
        <f>VLOOKUP($A557,Category!$A:$E,4,0)</f>
        <v>MS</v>
      </c>
      <c r="X557" s="47" t="str">
        <f>VLOOKUP($A557,Category!$A:$E,5,0)</f>
        <v>MSN</v>
      </c>
      <c r="Y557" s="18" t="str">
        <f>VLOOKUP(A557,PAcc!$A$1:$J$27,10,0)</f>
        <v>#N/A</v>
      </c>
      <c r="Z557" s="42" t="b">
        <f t="shared" si="4"/>
        <v>0</v>
      </c>
      <c r="AA557" s="50">
        <v>0.4</v>
      </c>
      <c r="AB557" s="42" t="str">
        <f>VLOOKUP(A557,VlookupSheet!$A$383:$A$523,1,0)</f>
        <v>#N/A</v>
      </c>
      <c r="AC557" s="42"/>
      <c r="AD557" s="42">
        <f t="shared" si="78"/>
        <v>7668380.8</v>
      </c>
      <c r="AE557" s="42">
        <f t="shared" si="79"/>
        <v>80000</v>
      </c>
      <c r="AF557" s="123">
        <f t="shared" si="80"/>
        <v>0</v>
      </c>
    </row>
    <row r="558">
      <c r="A558" s="11" t="s">
        <v>584</v>
      </c>
      <c r="B558" s="84" t="s">
        <v>3130</v>
      </c>
      <c r="C558" s="25"/>
      <c r="D558" s="11">
        <f t="shared" si="81"/>
        <v>1</v>
      </c>
      <c r="E558" s="11">
        <f t="shared" si="82"/>
        <v>40000</v>
      </c>
      <c r="F558" s="30" t="s">
        <v>311</v>
      </c>
      <c r="G558" s="11" t="s">
        <v>1100</v>
      </c>
      <c r="H558" s="31">
        <v>40000.0</v>
      </c>
      <c r="I558" s="34" t="s">
        <v>143</v>
      </c>
      <c r="J558" s="25" t="s">
        <v>77</v>
      </c>
      <c r="K558" s="38">
        <f t="shared" si="64"/>
        <v>1</v>
      </c>
      <c r="L558" s="18" t="s">
        <v>910</v>
      </c>
      <c r="M558" s="18" t="s">
        <v>736</v>
      </c>
      <c r="N558" s="42"/>
      <c r="O558" s="42"/>
      <c r="P558" s="42"/>
      <c r="Q558" s="42" t="str">
        <f>iferror(VLOOKUP(A558,'Positional cal'!A:H,1,0)=A558,"FALSE")</f>
        <v>FALSE</v>
      </c>
      <c r="R558" s="43" t="b">
        <f t="shared" si="3"/>
        <v>0</v>
      </c>
      <c r="S558" s="46">
        <f>IFERROR(VLOOKUP($A558,AlgoUi!$A:$X,21,0),"NA")</f>
        <v>10797801</v>
      </c>
      <c r="T558" s="46">
        <f>IFERROR(VLOOKUP($A558,AlgoUi!$A:$X,23,0),"")</f>
        <v>10000000</v>
      </c>
      <c r="U558" s="46">
        <f>IFERROR(VLOOKUP($A558,AlgoUi!$A:$X,24,0),"")</f>
        <v>100000</v>
      </c>
      <c r="V558" s="42" t="str">
        <f>IFERROR(__xludf.DUMMYFUNCTION("IFERROR(VLOOKUP(I558,IMPORTRANGE(""https://docs.google.com/spreadsheets/d/17FOIUYQAjPk1pPQIlvOgqYDBqwUqgb7KWzp4DtVksBk/edit?gid=0#gid=0"",""Servers!A:S""),19,FALSE), ""Not Running"")"),"VIKASA")</f>
        <v>VIKASA</v>
      </c>
      <c r="W558" s="47" t="str">
        <f>VLOOKUP($A558,Category!$A:$E,4,0)</f>
        <v>MS</v>
      </c>
      <c r="X558" s="47" t="str">
        <f>VLOOKUP($A558,Category!$A:$E,5,0)</f>
        <v>MSN</v>
      </c>
      <c r="Y558" s="18" t="str">
        <f>VLOOKUP(A558,PAcc!$A$1:$J$27,10,0)</f>
        <v>#N/A</v>
      </c>
      <c r="Z558" s="42" t="b">
        <f t="shared" si="4"/>
        <v>0</v>
      </c>
      <c r="AA558" s="50">
        <v>0.4</v>
      </c>
      <c r="AB558" s="42" t="str">
        <f>VLOOKUP(A558,VlookupSheet!$A$383:$A$523,1,0)</f>
        <v>#N/A</v>
      </c>
      <c r="AC558" s="42"/>
      <c r="AD558" s="42">
        <f t="shared" si="78"/>
        <v>4319120.4</v>
      </c>
      <c r="AE558" s="42">
        <f t="shared" si="79"/>
        <v>40000</v>
      </c>
      <c r="AF558" s="123">
        <f t="shared" si="80"/>
        <v>0</v>
      </c>
    </row>
    <row r="559">
      <c r="A559" s="11" t="s">
        <v>2665</v>
      </c>
      <c r="B559" s="24" t="s">
        <v>2666</v>
      </c>
      <c r="C559" s="25"/>
      <c r="D559" s="11">
        <f t="shared" si="81"/>
        <v>1</v>
      </c>
      <c r="E559" s="11">
        <f t="shared" si="82"/>
        <v>60000</v>
      </c>
      <c r="F559" s="30" t="s">
        <v>311</v>
      </c>
      <c r="G559" s="11" t="s">
        <v>1550</v>
      </c>
      <c r="H559" s="31">
        <v>60000.0</v>
      </c>
      <c r="I559" s="18" t="s">
        <v>143</v>
      </c>
      <c r="J559" s="25" t="s">
        <v>77</v>
      </c>
      <c r="K559" s="38">
        <f t="shared" si="64"/>
        <v>1</v>
      </c>
      <c r="L559" s="18" t="s">
        <v>910</v>
      </c>
      <c r="M559" s="18" t="s">
        <v>736</v>
      </c>
      <c r="N559" s="42"/>
      <c r="O559" s="42"/>
      <c r="P559" s="42"/>
      <c r="Q559" s="42" t="str">
        <f>iferror(VLOOKUP(A559,'Positional cal'!A:H,1,0)=A559,"FALSE")</f>
        <v>FALSE</v>
      </c>
      <c r="R559" s="43" t="b">
        <f t="shared" si="3"/>
        <v>0</v>
      </c>
      <c r="S559" s="46">
        <f>IFERROR(VLOOKUP($A559,AlgoUi!$A:$X,21,0),"NA")</f>
        <v>12837405</v>
      </c>
      <c r="T559" s="46">
        <f>IFERROR(VLOOKUP($A559,AlgoUi!$A:$X,23,0),"")</f>
        <v>12000000</v>
      </c>
      <c r="U559" s="46">
        <f>IFERROR(VLOOKUP($A559,AlgoUi!$A:$X,24,0),"")</f>
        <v>120000</v>
      </c>
      <c r="V559" s="42" t="str">
        <f>IFERROR(__xludf.DUMMYFUNCTION("IFERROR(VLOOKUP(I559,IMPORTRANGE(""https://docs.google.com/spreadsheets/d/17FOIUYQAjPk1pPQIlvOgqYDBqwUqgb7KWzp4DtVksBk/edit?gid=0#gid=0"",""Servers!A:S""),19,FALSE), ""Not Running"")"),"VIKASA")</f>
        <v>VIKASA</v>
      </c>
      <c r="W559" s="47" t="str">
        <f>VLOOKUP($A559,Category!$A:$E,4,0)</f>
        <v>MS</v>
      </c>
      <c r="X559" s="47" t="str">
        <f>VLOOKUP($A559,Category!$A:$E,5,0)</f>
        <v>MSR</v>
      </c>
      <c r="Y559" s="18" t="str">
        <f>VLOOKUP(A559,PAcc!$A$1:$J$27,10,0)</f>
        <v>#N/A</v>
      </c>
      <c r="Z559" s="42" t="b">
        <f t="shared" si="4"/>
        <v>0</v>
      </c>
      <c r="AA559" s="50">
        <v>0.4</v>
      </c>
      <c r="AB559" s="42" t="str">
        <f>VLOOKUP(A559,VlookupSheet!$A$383:$A$523,1,0)</f>
        <v>#N/A</v>
      </c>
      <c r="AC559" s="42"/>
      <c r="AD559" s="42">
        <f t="shared" si="78"/>
        <v>5134962</v>
      </c>
      <c r="AE559" s="42">
        <f t="shared" si="79"/>
        <v>60000</v>
      </c>
      <c r="AF559" s="123">
        <f t="shared" si="80"/>
        <v>0</v>
      </c>
    </row>
    <row r="560">
      <c r="A560" s="11" t="s">
        <v>2667</v>
      </c>
      <c r="B560" s="24" t="s">
        <v>2668</v>
      </c>
      <c r="C560" s="25"/>
      <c r="D560" s="11">
        <f t="shared" si="81"/>
        <v>1</v>
      </c>
      <c r="E560" s="11">
        <f t="shared" si="82"/>
        <v>60000</v>
      </c>
      <c r="F560" s="30" t="s">
        <v>311</v>
      </c>
      <c r="G560" s="11" t="s">
        <v>1550</v>
      </c>
      <c r="H560" s="31">
        <v>60000.0</v>
      </c>
      <c r="I560" s="18" t="s">
        <v>143</v>
      </c>
      <c r="J560" s="25" t="s">
        <v>77</v>
      </c>
      <c r="K560" s="38">
        <f t="shared" si="64"/>
        <v>1</v>
      </c>
      <c r="L560" s="18" t="s">
        <v>910</v>
      </c>
      <c r="M560" s="18" t="s">
        <v>736</v>
      </c>
      <c r="N560" s="42"/>
      <c r="O560" s="42"/>
      <c r="P560" s="42"/>
      <c r="Q560" s="42" t="str">
        <f>iferror(VLOOKUP(A560,'Positional cal'!A:H,1,0)=A560,"FALSE")</f>
        <v>FALSE</v>
      </c>
      <c r="R560" s="43" t="b">
        <f t="shared" si="3"/>
        <v>0</v>
      </c>
      <c r="S560" s="46">
        <f>IFERROR(VLOOKUP($A560,AlgoUi!$A:$X,21,0),"NA")</f>
        <v>12849393</v>
      </c>
      <c r="T560" s="46">
        <f>IFERROR(VLOOKUP($A560,AlgoUi!$A:$X,23,0),"")</f>
        <v>12000000</v>
      </c>
      <c r="U560" s="46">
        <f>IFERROR(VLOOKUP($A560,AlgoUi!$A:$X,24,0),"")</f>
        <v>120000</v>
      </c>
      <c r="V560" s="42" t="str">
        <f>IFERROR(__xludf.DUMMYFUNCTION("IFERROR(VLOOKUP(I560,IMPORTRANGE(""https://docs.google.com/spreadsheets/d/17FOIUYQAjPk1pPQIlvOgqYDBqwUqgb7KWzp4DtVksBk/edit?gid=0#gid=0"",""Servers!A:S""),19,FALSE), ""Not Running"")"),"VIKASA")</f>
        <v>VIKASA</v>
      </c>
      <c r="W560" s="47" t="str">
        <f>VLOOKUP($A560,Category!$A:$E,4,0)</f>
        <v>MS</v>
      </c>
      <c r="X560" s="47" t="str">
        <f>VLOOKUP($A560,Category!$A:$E,5,0)</f>
        <v>MSS</v>
      </c>
      <c r="Y560" s="18" t="str">
        <f>VLOOKUP(A560,PAcc!$A$1:$J$27,10,0)</f>
        <v>#N/A</v>
      </c>
      <c r="Z560" s="42" t="b">
        <f t="shared" si="4"/>
        <v>0</v>
      </c>
      <c r="AA560" s="50">
        <v>0.4</v>
      </c>
      <c r="AB560" s="42" t="str">
        <f>VLOOKUP(A560,VlookupSheet!$A$383:$A$523,1,0)</f>
        <v>#N/A</v>
      </c>
      <c r="AC560" s="42"/>
      <c r="AD560" s="42">
        <f t="shared" si="78"/>
        <v>5139757.2</v>
      </c>
      <c r="AE560" s="42">
        <f t="shared" si="79"/>
        <v>60000</v>
      </c>
      <c r="AF560" s="123">
        <f t="shared" si="80"/>
        <v>0</v>
      </c>
    </row>
    <row r="561">
      <c r="A561" s="11" t="s">
        <v>2669</v>
      </c>
      <c r="B561" s="24" t="s">
        <v>2670</v>
      </c>
      <c r="C561" s="25"/>
      <c r="D561" s="11">
        <f t="shared" si="81"/>
        <v>1</v>
      </c>
      <c r="E561" s="11">
        <f t="shared" si="82"/>
        <v>60000</v>
      </c>
      <c r="F561" s="30" t="s">
        <v>311</v>
      </c>
      <c r="G561" s="11" t="s">
        <v>1550</v>
      </c>
      <c r="H561" s="31">
        <v>60000.0</v>
      </c>
      <c r="I561" s="18" t="s">
        <v>143</v>
      </c>
      <c r="J561" s="25" t="s">
        <v>77</v>
      </c>
      <c r="K561" s="38">
        <f t="shared" si="64"/>
        <v>1</v>
      </c>
      <c r="L561" s="18" t="s">
        <v>910</v>
      </c>
      <c r="M561" s="18" t="s">
        <v>736</v>
      </c>
      <c r="N561" s="42"/>
      <c r="O561" s="42"/>
      <c r="P561" s="42"/>
      <c r="Q561" s="42" t="str">
        <f>iferror(VLOOKUP(A561,'Positional cal'!A:H,1,0)=A561,"FALSE")</f>
        <v>FALSE</v>
      </c>
      <c r="R561" s="43" t="b">
        <f t="shared" si="3"/>
        <v>0</v>
      </c>
      <c r="S561" s="46">
        <f>IFERROR(VLOOKUP($A561,AlgoUi!$A:$X,21,0),"NA")</f>
        <v>13340097</v>
      </c>
      <c r="T561" s="46">
        <f>IFERROR(VLOOKUP($A561,AlgoUi!$A:$X,23,0),"")</f>
        <v>14000000</v>
      </c>
      <c r="U561" s="46">
        <f>IFERROR(VLOOKUP($A561,AlgoUi!$A:$X,24,0),"")</f>
        <v>140000</v>
      </c>
      <c r="V561" s="42" t="str">
        <f>IFERROR(__xludf.DUMMYFUNCTION("IFERROR(VLOOKUP(I561,IMPORTRANGE(""https://docs.google.com/spreadsheets/d/17FOIUYQAjPk1pPQIlvOgqYDBqwUqgb7KWzp4DtVksBk/edit?gid=0#gid=0"",""Servers!A:S""),19,FALSE), ""Not Running"")"),"VIKASA")</f>
        <v>VIKASA</v>
      </c>
      <c r="W561" s="47" t="str">
        <f>VLOOKUP($A561,Category!$A:$E,4,0)</f>
        <v>MS</v>
      </c>
      <c r="X561" s="47" t="str">
        <f>VLOOKUP($A561,Category!$A:$E,5,0)</f>
        <v>MSR</v>
      </c>
      <c r="Y561" s="18" t="str">
        <f>VLOOKUP(A561,PAcc!$A$1:$J$27,10,0)</f>
        <v>#N/A</v>
      </c>
      <c r="Z561" s="42" t="b">
        <f t="shared" si="4"/>
        <v>0</v>
      </c>
      <c r="AA561" s="50">
        <v>0.4</v>
      </c>
      <c r="AB561" s="42" t="str">
        <f>VLOOKUP(A561,VlookupSheet!$A$383:$A$523,1,0)</f>
        <v>#N/A</v>
      </c>
      <c r="AC561" s="42"/>
      <c r="AD561" s="42">
        <f t="shared" si="78"/>
        <v>5336038.8</v>
      </c>
      <c r="AE561" s="42">
        <f t="shared" si="79"/>
        <v>60000</v>
      </c>
      <c r="AF561" s="123">
        <f t="shared" si="80"/>
        <v>0</v>
      </c>
    </row>
    <row r="562">
      <c r="A562" s="11" t="s">
        <v>2713</v>
      </c>
      <c r="B562" s="24" t="s">
        <v>3572</v>
      </c>
      <c r="C562" s="25"/>
      <c r="D562" s="11">
        <f t="shared" si="81"/>
        <v>1</v>
      </c>
      <c r="E562" s="11">
        <f t="shared" si="82"/>
        <v>40000</v>
      </c>
      <c r="F562" s="11" t="s">
        <v>716</v>
      </c>
      <c r="G562" s="11">
        <v>40000.0</v>
      </c>
      <c r="H562" s="31">
        <v>40000.0</v>
      </c>
      <c r="I562" s="18" t="s">
        <v>143</v>
      </c>
      <c r="J562" s="11" t="s">
        <v>77</v>
      </c>
      <c r="K562" s="38">
        <f t="shared" si="64"/>
        <v>1</v>
      </c>
      <c r="L562" s="18" t="s">
        <v>910</v>
      </c>
      <c r="M562" s="18" t="s">
        <v>736</v>
      </c>
      <c r="N562" s="18">
        <v>1.0</v>
      </c>
      <c r="O562" s="18"/>
      <c r="P562" s="18" t="s">
        <v>848</v>
      </c>
      <c r="Q562" s="42" t="str">
        <f>iferror(VLOOKUP(A562,'Positional cal'!A:H,1,0)=A562,"FALSE")</f>
        <v>FALSE</v>
      </c>
      <c r="R562" s="43" t="b">
        <f t="shared" si="3"/>
        <v>0</v>
      </c>
      <c r="S562" s="46">
        <f>IFERROR(VLOOKUP($A562,AlgoUi!$A:$X,21,0),"NA")</f>
        <v>11709756</v>
      </c>
      <c r="T562" s="46">
        <f>IFERROR(VLOOKUP($A562,AlgoUi!$A:$X,23,0),"")</f>
        <v>12000000</v>
      </c>
      <c r="U562" s="46">
        <f>IFERROR(VLOOKUP($A562,AlgoUi!$A:$X,24,0),"")</f>
        <v>120000</v>
      </c>
      <c r="V562" s="42" t="str">
        <f>IFERROR(__xludf.DUMMYFUNCTION("IFERROR(VLOOKUP(I562,IMPORTRANGE(""https://docs.google.com/spreadsheets/d/17FOIUYQAjPk1pPQIlvOgqYDBqwUqgb7KWzp4DtVksBk/edit?gid=0#gid=0"",""Servers!A:S""),19,FALSE), ""Not Running"")"),"VIKASA")</f>
        <v>VIKASA</v>
      </c>
      <c r="W562" s="47" t="str">
        <f>VLOOKUP($A562,Category!$A:$E,4,0)</f>
        <v>MS</v>
      </c>
      <c r="X562" s="47" t="str">
        <f>VLOOKUP($A562,Category!$A:$E,5,0)</f>
        <v>MSS</v>
      </c>
      <c r="Y562" s="18" t="str">
        <f>VLOOKUP(A562,PAcc!$A$1:$J$27,10,0)</f>
        <v>#N/A</v>
      </c>
      <c r="Z562" s="42" t="b">
        <f t="shared" si="4"/>
        <v>0</v>
      </c>
      <c r="AA562" s="50">
        <v>0.4</v>
      </c>
      <c r="AB562" s="42" t="str">
        <f>VLOOKUP(A562,VlookupSheet!$A$383:$A$523,1,0)</f>
        <v>#N/A</v>
      </c>
      <c r="AC562" s="42"/>
      <c r="AD562" s="42">
        <f t="shared" si="78"/>
        <v>4683902.4</v>
      </c>
      <c r="AE562" s="42">
        <f t="shared" si="79"/>
        <v>40000</v>
      </c>
      <c r="AF562" s="123">
        <f t="shared" si="80"/>
        <v>0</v>
      </c>
    </row>
    <row r="563">
      <c r="A563" s="11" t="s">
        <v>2747</v>
      </c>
      <c r="B563" s="24" t="s">
        <v>2748</v>
      </c>
      <c r="C563" s="25"/>
      <c r="D563" s="11">
        <f t="shared" si="81"/>
        <v>1</v>
      </c>
      <c r="E563" s="11">
        <f t="shared" si="82"/>
        <v>40000</v>
      </c>
      <c r="F563" s="30" t="s">
        <v>311</v>
      </c>
      <c r="G563" s="11" t="s">
        <v>1100</v>
      </c>
      <c r="H563" s="31">
        <v>40000.0</v>
      </c>
      <c r="I563" s="11" t="s">
        <v>143</v>
      </c>
      <c r="J563" s="11" t="s">
        <v>77</v>
      </c>
      <c r="K563" s="38">
        <f t="shared" si="64"/>
        <v>1</v>
      </c>
      <c r="L563" s="18" t="s">
        <v>910</v>
      </c>
      <c r="M563" s="18" t="s">
        <v>736</v>
      </c>
      <c r="N563" s="42"/>
      <c r="O563" s="42"/>
      <c r="P563" s="42"/>
      <c r="Q563" s="42" t="str">
        <f>iferror(VLOOKUP(A563,'Positional cal'!A:H,1,0)=A563,"FALSE")</f>
        <v>FALSE</v>
      </c>
      <c r="R563" s="43" t="b">
        <f t="shared" si="3"/>
        <v>0</v>
      </c>
      <c r="S563" s="46">
        <f>IFERROR(VLOOKUP($A563,AlgoUi!$A:$X,21,0),"NA")</f>
        <v>11133934</v>
      </c>
      <c r="T563" s="46">
        <f>IFERROR(VLOOKUP($A563,AlgoUi!$A:$X,23,0),"")</f>
        <v>12000000</v>
      </c>
      <c r="U563" s="46">
        <f>IFERROR(VLOOKUP($A563,AlgoUi!$A:$X,24,0),"")</f>
        <v>120000</v>
      </c>
      <c r="V563" s="42" t="str">
        <f>IFERROR(__xludf.DUMMYFUNCTION("IFERROR(VLOOKUP(I563,IMPORTRANGE(""https://docs.google.com/spreadsheets/d/17FOIUYQAjPk1pPQIlvOgqYDBqwUqgb7KWzp4DtVksBk/edit?gid=0#gid=0"",""Servers!A:S""),19,FALSE), ""Not Running"")"),"VIKASA")</f>
        <v>VIKASA</v>
      </c>
      <c r="W563" s="47" t="str">
        <f>VLOOKUP($A563,Category!$A:$E,4,0)</f>
        <v>MS</v>
      </c>
      <c r="X563" s="47" t="str">
        <f>VLOOKUP($A563,Category!$A:$E,5,0)</f>
        <v>MSR</v>
      </c>
      <c r="Y563" s="18" t="str">
        <f>VLOOKUP(A563,PAcc!$A$1:$J$27,10,0)</f>
        <v>#N/A</v>
      </c>
      <c r="Z563" s="42" t="b">
        <f t="shared" si="4"/>
        <v>0</v>
      </c>
      <c r="AA563" s="50">
        <v>0.4</v>
      </c>
      <c r="AB563" s="42" t="str">
        <f>VLOOKUP(A563,VlookupSheet!$A$383:$A$523,1,0)</f>
        <v>#N/A</v>
      </c>
      <c r="AC563" s="42"/>
      <c r="AD563" s="42">
        <f t="shared" si="78"/>
        <v>4453573.6</v>
      </c>
      <c r="AE563" s="42">
        <f t="shared" si="79"/>
        <v>40000</v>
      </c>
      <c r="AF563" s="123">
        <f t="shared" si="80"/>
        <v>0</v>
      </c>
    </row>
    <row r="564">
      <c r="A564" s="11" t="s">
        <v>181</v>
      </c>
      <c r="B564" s="84" t="s">
        <v>2967</v>
      </c>
      <c r="C564" s="25"/>
      <c r="D564" s="11">
        <f t="shared" si="81"/>
        <v>1</v>
      </c>
      <c r="E564" s="11">
        <f t="shared" si="82"/>
        <v>1</v>
      </c>
      <c r="F564" s="11" t="s">
        <v>285</v>
      </c>
      <c r="G564" s="11" t="s">
        <v>77</v>
      </c>
      <c r="H564" s="31">
        <v>1.0</v>
      </c>
      <c r="I564" s="34" t="s">
        <v>267</v>
      </c>
      <c r="J564" s="11" t="s">
        <v>87</v>
      </c>
      <c r="K564" s="38">
        <f t="shared" si="64"/>
        <v>1</v>
      </c>
      <c r="L564" s="18" t="s">
        <v>268</v>
      </c>
      <c r="M564" s="18" t="s">
        <v>268</v>
      </c>
      <c r="N564" s="18"/>
      <c r="O564" s="18"/>
      <c r="P564" s="18" t="s">
        <v>3885</v>
      </c>
      <c r="Q564" s="42" t="str">
        <f>iferror(VLOOKUP(A564,'Positional cal'!A:H,1,0)=A564,"FALSE")</f>
        <v>FALSE</v>
      </c>
      <c r="R564" s="43" t="b">
        <f t="shared" si="3"/>
        <v>0</v>
      </c>
      <c r="S564" s="46" t="str">
        <f>IFERROR(VLOOKUP($A564,AlgoUi!$A:$X,21,0),"NA")</f>
        <v/>
      </c>
      <c r="T564" s="46" t="str">
        <f>IFERROR(VLOOKUP($A564,AlgoUi!$A:$X,23,0),"")</f>
        <v/>
      </c>
      <c r="U564" s="46" t="str">
        <f>IFERROR(VLOOKUP($A564,AlgoUi!$A:$X,24,0),"")</f>
        <v/>
      </c>
      <c r="V564" s="42" t="str">
        <f>IFERROR(__xludf.DUMMYFUNCTION("IFERROR(VLOOKUP(I564,IMPORTRANGE(""https://docs.google.com/spreadsheets/d/17FOIUYQAjPk1pPQIlvOgqYDBqwUqgb7KWzp4DtVksBk/edit?gid=0#gid=0"",""Servers!A:S""),19,FALSE), ""Not Running"")"),"Not Running")</f>
        <v>Not Running</v>
      </c>
      <c r="W564" s="47" t="str">
        <f>VLOOKUP($A564,Category!$A:$E,4,0)</f>
        <v>MS</v>
      </c>
      <c r="X564" s="47" t="str">
        <f>VLOOKUP($A564,Category!$A:$E,5,0)</f>
        <v>MSJ</v>
      </c>
      <c r="Y564" s="18" t="str">
        <f>VLOOKUP(A564,PAcc!$A$1:$J$27,10,0)</f>
        <v>#N/A</v>
      </c>
      <c r="Z564" s="42" t="b">
        <f t="shared" si="4"/>
        <v>0</v>
      </c>
      <c r="AA564" s="50">
        <v>0.5</v>
      </c>
      <c r="AB564" s="42" t="str">
        <f>VLOOKUP(A564,VlookupSheet!$A$383:$A$523,1,0)</f>
        <v>#N/A</v>
      </c>
      <c r="AC564" s="42"/>
      <c r="AD564" s="42"/>
      <c r="AE564" s="42"/>
      <c r="AF564" s="42"/>
    </row>
    <row r="565">
      <c r="A565" s="11" t="s">
        <v>2798</v>
      </c>
      <c r="B565" s="24" t="s">
        <v>2799</v>
      </c>
      <c r="C565" s="25"/>
      <c r="D565" s="11">
        <f t="shared" si="81"/>
        <v>1</v>
      </c>
      <c r="E565" s="11">
        <f t="shared" si="82"/>
        <v>40000</v>
      </c>
      <c r="F565" s="30" t="s">
        <v>311</v>
      </c>
      <c r="G565" s="11" t="s">
        <v>1100</v>
      </c>
      <c r="H565" s="31">
        <v>40000.0</v>
      </c>
      <c r="I565" s="18" t="s">
        <v>143</v>
      </c>
      <c r="J565" s="25" t="s">
        <v>77</v>
      </c>
      <c r="K565" s="38">
        <f t="shared" si="64"/>
        <v>1</v>
      </c>
      <c r="L565" s="18" t="s">
        <v>910</v>
      </c>
      <c r="M565" s="18" t="s">
        <v>736</v>
      </c>
      <c r="N565" s="42"/>
      <c r="O565" s="42"/>
      <c r="P565" s="42"/>
      <c r="Q565" s="42" t="str">
        <f>iferror(VLOOKUP(A565,'Positional cal'!A:H,1,0)=A565,"FALSE")</f>
        <v>FALSE</v>
      </c>
      <c r="R565" s="43" t="b">
        <f t="shared" si="3"/>
        <v>0</v>
      </c>
      <c r="S565" s="46">
        <f>IFERROR(VLOOKUP($A565,AlgoUi!$A:$X,21,0),"NA")</f>
        <v>7989973</v>
      </c>
      <c r="T565" s="46">
        <f>IFERROR(VLOOKUP($A565,AlgoUi!$A:$X,23,0),"")</f>
        <v>8000000</v>
      </c>
      <c r="U565" s="46">
        <f>IFERROR(VLOOKUP($A565,AlgoUi!$A:$X,24,0),"")</f>
        <v>80000</v>
      </c>
      <c r="V565" s="42" t="str">
        <f>IFERROR(__xludf.DUMMYFUNCTION("IFERROR(VLOOKUP(I565,IMPORTRANGE(""https://docs.google.com/spreadsheets/d/17FOIUYQAjPk1pPQIlvOgqYDBqwUqgb7KWzp4DtVksBk/edit?gid=0#gid=0"",""Servers!A:S""),19,FALSE), ""Not Running"")"),"VIKASA")</f>
        <v>VIKASA</v>
      </c>
      <c r="W565" s="47" t="str">
        <f>VLOOKUP($A565,Category!$A:$E,4,0)</f>
        <v>MS</v>
      </c>
      <c r="X565" s="47" t="str">
        <f>VLOOKUP($A565,Category!$A:$E,5,0)</f>
        <v>MSR</v>
      </c>
      <c r="Y565" s="18" t="str">
        <f>VLOOKUP(A565,PAcc!$A$1:$J$27,10,0)</f>
        <v>#N/A</v>
      </c>
      <c r="Z565" s="42" t="b">
        <f t="shared" si="4"/>
        <v>0</v>
      </c>
      <c r="AA565" s="50">
        <v>0.4</v>
      </c>
      <c r="AB565" s="42" t="str">
        <f>VLOOKUP(A565,VlookupSheet!$A$383:$A$523,1,0)</f>
        <v>#N/A</v>
      </c>
      <c r="AC565" s="42"/>
      <c r="AD565" s="42">
        <f t="shared" ref="AD565:AD571" si="83">S565*AA565</f>
        <v>3195989.2</v>
      </c>
      <c r="AE565" s="42">
        <f t="shared" ref="AE565:AE571" si="84">MROUND(AD565,2000000)/100</f>
        <v>40000</v>
      </c>
      <c r="AF565" s="123">
        <f t="shared" ref="AF565:AF571" si="85">AE565-H565</f>
        <v>0</v>
      </c>
    </row>
    <row r="566">
      <c r="A566" s="11" t="s">
        <v>2847</v>
      </c>
      <c r="B566" s="24" t="s">
        <v>2848</v>
      </c>
      <c r="C566" s="25"/>
      <c r="D566" s="11">
        <f t="shared" si="81"/>
        <v>1</v>
      </c>
      <c r="E566" s="11">
        <f t="shared" si="82"/>
        <v>40000</v>
      </c>
      <c r="F566" s="11" t="s">
        <v>886</v>
      </c>
      <c r="G566" s="11">
        <v>40000.0</v>
      </c>
      <c r="H566" s="31">
        <v>40000.0</v>
      </c>
      <c r="I566" s="11" t="s">
        <v>143</v>
      </c>
      <c r="J566" s="11" t="s">
        <v>77</v>
      </c>
      <c r="K566" s="38">
        <f t="shared" si="64"/>
        <v>1</v>
      </c>
      <c r="L566" s="18" t="s">
        <v>910</v>
      </c>
      <c r="M566" s="18" t="s">
        <v>736</v>
      </c>
      <c r="N566" s="18">
        <v>1.0</v>
      </c>
      <c r="O566" s="42"/>
      <c r="P566" s="42"/>
      <c r="Q566" s="42" t="str">
        <f>iferror(VLOOKUP(A566,'Positional cal'!A:H,1,0)=A566,"FALSE")</f>
        <v>FALSE</v>
      </c>
      <c r="R566" s="43" t="b">
        <f t="shared" si="3"/>
        <v>0</v>
      </c>
      <c r="S566" s="46">
        <f>IFERROR(VLOOKUP($A566,AlgoUi!$A:$X,21,0),"NA")</f>
        <v>10000000</v>
      </c>
      <c r="T566" s="46">
        <f>IFERROR(VLOOKUP($A566,AlgoUi!$A:$X,23,0),"")</f>
        <v>10000000</v>
      </c>
      <c r="U566" s="46">
        <f>IFERROR(VLOOKUP($A566,AlgoUi!$A:$X,24,0),"")</f>
        <v>100000</v>
      </c>
      <c r="V566" s="42" t="str">
        <f>IFERROR(__xludf.DUMMYFUNCTION("IFERROR(VLOOKUP(I566,IMPORTRANGE(""https://docs.google.com/spreadsheets/d/17FOIUYQAjPk1pPQIlvOgqYDBqwUqgb7KWzp4DtVksBk/edit?gid=0#gid=0"",""Servers!A:S""),19,FALSE), ""Not Running"")"),"VIKASA")</f>
        <v>VIKASA</v>
      </c>
      <c r="W566" s="47" t="str">
        <f>VLOOKUP($A566,Category!$A:$E,4,0)</f>
        <v>MS</v>
      </c>
      <c r="X566" s="47" t="str">
        <f>VLOOKUP($A566,Category!$A:$E,5,0)</f>
        <v>MSS</v>
      </c>
      <c r="Y566" s="18" t="str">
        <f>VLOOKUP(A566,PAcc!$A$1:$J$27,10,0)</f>
        <v>#N/A</v>
      </c>
      <c r="Z566" s="42" t="b">
        <f t="shared" si="4"/>
        <v>0</v>
      </c>
      <c r="AA566" s="50">
        <v>0.4</v>
      </c>
      <c r="AB566" s="42" t="str">
        <f>VLOOKUP(A566,VlookupSheet!$A$383:$A$523,1,0)</f>
        <v>#N/A</v>
      </c>
      <c r="AC566" s="42"/>
      <c r="AD566" s="42">
        <f t="shared" si="83"/>
        <v>4000000</v>
      </c>
      <c r="AE566" s="42">
        <f t="shared" si="84"/>
        <v>40000</v>
      </c>
      <c r="AF566" s="123">
        <f t="shared" si="85"/>
        <v>0</v>
      </c>
    </row>
    <row r="567">
      <c r="A567" s="11" t="s">
        <v>2935</v>
      </c>
      <c r="B567" s="24" t="s">
        <v>2936</v>
      </c>
      <c r="C567" s="25"/>
      <c r="D567" s="11">
        <f t="shared" si="81"/>
        <v>1</v>
      </c>
      <c r="E567" s="11">
        <f t="shared" si="82"/>
        <v>40000</v>
      </c>
      <c r="F567" s="60" t="s">
        <v>886</v>
      </c>
      <c r="G567" s="60">
        <v>40000.0</v>
      </c>
      <c r="H567" s="175">
        <v>40000.0</v>
      </c>
      <c r="I567" s="60" t="s">
        <v>143</v>
      </c>
      <c r="J567" s="60" t="s">
        <v>77</v>
      </c>
      <c r="K567" s="38">
        <f t="shared" si="64"/>
        <v>1</v>
      </c>
      <c r="L567" s="18" t="s">
        <v>910</v>
      </c>
      <c r="M567" s="18" t="s">
        <v>736</v>
      </c>
      <c r="N567" s="18">
        <v>1.0</v>
      </c>
      <c r="O567" s="18"/>
      <c r="P567" s="18" t="s">
        <v>848</v>
      </c>
      <c r="Q567" s="42" t="str">
        <f>iferror(VLOOKUP(A567,'Positional cal'!A:H,1,0)=A567,"FALSE")</f>
        <v>FALSE</v>
      </c>
      <c r="R567" s="43" t="b">
        <f t="shared" si="3"/>
        <v>0</v>
      </c>
      <c r="S567" s="46">
        <f>IFERROR(VLOOKUP($A567,AlgoUi!$A:$X,21,0),"NA")</f>
        <v>6357761</v>
      </c>
      <c r="T567" s="46">
        <f>IFERROR(VLOOKUP($A567,AlgoUi!$A:$X,23,0),"")</f>
        <v>6000000</v>
      </c>
      <c r="U567" s="46">
        <f>IFERROR(VLOOKUP($A567,AlgoUi!$A:$X,24,0),"")</f>
        <v>60000</v>
      </c>
      <c r="V567" s="42" t="str">
        <f>IFERROR(__xludf.DUMMYFUNCTION("IFERROR(VLOOKUP(I567,IMPORTRANGE(""https://docs.google.com/spreadsheets/d/17FOIUYQAjPk1pPQIlvOgqYDBqwUqgb7KWzp4DtVksBk/edit?gid=0#gid=0"",""Servers!A:S""),19,FALSE), ""Not Running"")"),"VIKASA")</f>
        <v>VIKASA</v>
      </c>
      <c r="W567" s="47" t="str">
        <f>VLOOKUP($A567,Category!$A:$E,4,0)</f>
        <v>MS</v>
      </c>
      <c r="X567" s="47" t="str">
        <f>VLOOKUP($A567,Category!$A:$E,5,0)</f>
        <v>MSS</v>
      </c>
      <c r="Y567" s="18" t="str">
        <f>VLOOKUP(A567,PAcc!$A$1:$J$27,10,0)</f>
        <v>#N/A</v>
      </c>
      <c r="Z567" s="42" t="b">
        <f t="shared" si="4"/>
        <v>0</v>
      </c>
      <c r="AA567" s="50">
        <v>0.4</v>
      </c>
      <c r="AB567" s="42" t="str">
        <f>VLOOKUP(A567,VlookupSheet!$A$383:$A$523,1,0)</f>
        <v>#N/A</v>
      </c>
      <c r="AC567" s="42"/>
      <c r="AD567" s="42">
        <f t="shared" si="83"/>
        <v>2543104.4</v>
      </c>
      <c r="AE567" s="42">
        <f t="shared" si="84"/>
        <v>20000</v>
      </c>
      <c r="AF567" s="123">
        <f t="shared" si="85"/>
        <v>-20000</v>
      </c>
    </row>
    <row r="568">
      <c r="A568" s="11" t="s">
        <v>2937</v>
      </c>
      <c r="B568" s="24" t="s">
        <v>2938</v>
      </c>
      <c r="C568" s="25"/>
      <c r="D568" s="11">
        <f t="shared" si="81"/>
        <v>1</v>
      </c>
      <c r="E568" s="11">
        <f t="shared" si="82"/>
        <v>40000</v>
      </c>
      <c r="F568" s="60" t="s">
        <v>886</v>
      </c>
      <c r="G568" s="60">
        <v>40000.0</v>
      </c>
      <c r="H568" s="175">
        <v>40000.0</v>
      </c>
      <c r="I568" s="60" t="s">
        <v>143</v>
      </c>
      <c r="J568" s="60" t="s">
        <v>77</v>
      </c>
      <c r="K568" s="38">
        <f t="shared" si="64"/>
        <v>1</v>
      </c>
      <c r="L568" s="18" t="s">
        <v>910</v>
      </c>
      <c r="M568" s="18" t="s">
        <v>736</v>
      </c>
      <c r="N568" s="18">
        <v>1.0</v>
      </c>
      <c r="O568" s="18"/>
      <c r="P568" s="18" t="s">
        <v>848</v>
      </c>
      <c r="Q568" s="42" t="str">
        <f>iferror(VLOOKUP(A568,'Positional cal'!A:H,1,0)=A568,"FALSE")</f>
        <v>FALSE</v>
      </c>
      <c r="R568" s="43" t="b">
        <f t="shared" si="3"/>
        <v>0</v>
      </c>
      <c r="S568" s="46">
        <f>IFERROR(VLOOKUP($A568,AlgoUi!$A:$X,21,0),"NA")</f>
        <v>15484995</v>
      </c>
      <c r="T568" s="46">
        <f>IFERROR(VLOOKUP($A568,AlgoUi!$A:$X,23,0),"")</f>
        <v>16000000</v>
      </c>
      <c r="U568" s="46">
        <f>IFERROR(VLOOKUP($A568,AlgoUi!$A:$X,24,0),"")</f>
        <v>160000</v>
      </c>
      <c r="V568" s="42" t="str">
        <f>IFERROR(__xludf.DUMMYFUNCTION("IFERROR(VLOOKUP(I568,IMPORTRANGE(""https://docs.google.com/spreadsheets/d/17FOIUYQAjPk1pPQIlvOgqYDBqwUqgb7KWzp4DtVksBk/edit?gid=0#gid=0"",""Servers!A:S""),19,FALSE), ""Not Running"")"),"VIKASA")</f>
        <v>VIKASA</v>
      </c>
      <c r="W568" s="47" t="str">
        <f>VLOOKUP($A568,Category!$A:$E,4,0)</f>
        <v>MS</v>
      </c>
      <c r="X568" s="47" t="str">
        <f>VLOOKUP($A568,Category!$A:$E,5,0)</f>
        <v>MSS</v>
      </c>
      <c r="Y568" s="18" t="str">
        <f>VLOOKUP(A568,PAcc!$A$1:$J$27,10,0)</f>
        <v>#N/A</v>
      </c>
      <c r="Z568" s="42" t="b">
        <f t="shared" si="4"/>
        <v>0</v>
      </c>
      <c r="AA568" s="50">
        <v>0.4</v>
      </c>
      <c r="AB568" s="42" t="str">
        <f>VLOOKUP(A568,VlookupSheet!$A$383:$A$523,1,0)</f>
        <v>#N/A</v>
      </c>
      <c r="AC568" s="42"/>
      <c r="AD568" s="42">
        <f t="shared" si="83"/>
        <v>6193998</v>
      </c>
      <c r="AE568" s="42">
        <f t="shared" si="84"/>
        <v>60000</v>
      </c>
      <c r="AF568" s="123">
        <f t="shared" si="85"/>
        <v>20000</v>
      </c>
    </row>
    <row r="569">
      <c r="A569" s="11" t="s">
        <v>2940</v>
      </c>
      <c r="B569" s="24" t="s">
        <v>2941</v>
      </c>
      <c r="C569" s="25"/>
      <c r="D569" s="11">
        <f t="shared" si="81"/>
        <v>1</v>
      </c>
      <c r="E569" s="11">
        <f t="shared" si="82"/>
        <v>40000</v>
      </c>
      <c r="F569" s="60" t="s">
        <v>886</v>
      </c>
      <c r="G569" s="60">
        <v>40000.0</v>
      </c>
      <c r="H569" s="175">
        <v>40000.0</v>
      </c>
      <c r="I569" s="60" t="s">
        <v>143</v>
      </c>
      <c r="J569" s="60" t="s">
        <v>77</v>
      </c>
      <c r="K569" s="38">
        <f t="shared" si="64"/>
        <v>1</v>
      </c>
      <c r="L569" s="18" t="s">
        <v>910</v>
      </c>
      <c r="M569" s="18" t="s">
        <v>736</v>
      </c>
      <c r="N569" s="18">
        <v>1.0</v>
      </c>
      <c r="O569" s="18"/>
      <c r="P569" s="18" t="s">
        <v>848</v>
      </c>
      <c r="Q569" s="42" t="str">
        <f>iferror(VLOOKUP(A569,'Positional cal'!A:H,1,0)=A569,"FALSE")</f>
        <v>FALSE</v>
      </c>
      <c r="R569" s="43" t="b">
        <f t="shared" si="3"/>
        <v>0</v>
      </c>
      <c r="S569" s="46">
        <f>IFERROR(VLOOKUP($A569,AlgoUi!$A:$X,21,0),"NA")</f>
        <v>9999999</v>
      </c>
      <c r="T569" s="46">
        <f>IFERROR(VLOOKUP($A569,AlgoUi!$A:$X,23,0),"")</f>
        <v>10000000</v>
      </c>
      <c r="U569" s="46">
        <f>IFERROR(VLOOKUP($A569,AlgoUi!$A:$X,24,0),"")</f>
        <v>100000</v>
      </c>
      <c r="V569" s="42" t="str">
        <f>IFERROR(__xludf.DUMMYFUNCTION("IFERROR(VLOOKUP(I569,IMPORTRANGE(""https://docs.google.com/spreadsheets/d/17FOIUYQAjPk1pPQIlvOgqYDBqwUqgb7KWzp4DtVksBk/edit?gid=0#gid=0"",""Servers!A:S""),19,FALSE), ""Not Running"")"),"VIKASA")</f>
        <v>VIKASA</v>
      </c>
      <c r="W569" s="47" t="str">
        <f>VLOOKUP($A569,Category!$A:$E,4,0)</f>
        <v>MS</v>
      </c>
      <c r="X569" s="47" t="str">
        <f>VLOOKUP($A569,Category!$A:$E,5,0)</f>
        <v>MSS</v>
      </c>
      <c r="Y569" s="18" t="str">
        <f>VLOOKUP(A569,PAcc!$A$1:$J$27,10,0)</f>
        <v>#N/A</v>
      </c>
      <c r="Z569" s="42" t="b">
        <f t="shared" si="4"/>
        <v>0</v>
      </c>
      <c r="AA569" s="50">
        <v>0.4</v>
      </c>
      <c r="AB569" s="42" t="str">
        <f>VLOOKUP(A569,VlookupSheet!$A$383:$A$523,1,0)</f>
        <v>#N/A</v>
      </c>
      <c r="AC569" s="42"/>
      <c r="AD569" s="42">
        <f t="shared" si="83"/>
        <v>3999999.6</v>
      </c>
      <c r="AE569" s="42">
        <f t="shared" si="84"/>
        <v>40000</v>
      </c>
      <c r="AF569" s="123">
        <f t="shared" si="85"/>
        <v>0</v>
      </c>
    </row>
    <row r="570">
      <c r="A570" s="11" t="s">
        <v>2955</v>
      </c>
      <c r="B570" s="24" t="s">
        <v>2956</v>
      </c>
      <c r="C570" s="25"/>
      <c r="D570" s="11">
        <f t="shared" si="81"/>
        <v>1</v>
      </c>
      <c r="E570" s="11">
        <f t="shared" si="82"/>
        <v>40000</v>
      </c>
      <c r="F570" s="60" t="s">
        <v>886</v>
      </c>
      <c r="G570" s="60">
        <v>40000.0</v>
      </c>
      <c r="H570" s="175">
        <v>40000.0</v>
      </c>
      <c r="I570" s="60" t="s">
        <v>143</v>
      </c>
      <c r="J570" s="60" t="s">
        <v>77</v>
      </c>
      <c r="K570" s="38">
        <f t="shared" si="64"/>
        <v>1</v>
      </c>
      <c r="L570" s="18" t="s">
        <v>910</v>
      </c>
      <c r="M570" s="18" t="s">
        <v>736</v>
      </c>
      <c r="N570" s="18">
        <v>1.0</v>
      </c>
      <c r="O570" s="18"/>
      <c r="P570" s="18" t="s">
        <v>3888</v>
      </c>
      <c r="Q570" s="42" t="str">
        <f>iferror(VLOOKUP(A570,'Positional cal'!A:H,1,0)=A570,"FALSE")</f>
        <v>FALSE</v>
      </c>
      <c r="R570" s="43" t="b">
        <f t="shared" si="3"/>
        <v>0</v>
      </c>
      <c r="S570" s="46">
        <f>IFERROR(VLOOKUP($A570,AlgoUi!$A:$X,21,0),"NA")</f>
        <v>9995938</v>
      </c>
      <c r="T570" s="46">
        <f>IFERROR(VLOOKUP($A570,AlgoUi!$A:$X,23,0),"")</f>
        <v>10000000</v>
      </c>
      <c r="U570" s="46">
        <f>IFERROR(VLOOKUP($A570,AlgoUi!$A:$X,24,0),"")</f>
        <v>100000</v>
      </c>
      <c r="V570" s="42" t="str">
        <f>IFERROR(__xludf.DUMMYFUNCTION("IFERROR(VLOOKUP(I570,IMPORTRANGE(""https://docs.google.com/spreadsheets/d/17FOIUYQAjPk1pPQIlvOgqYDBqwUqgb7KWzp4DtVksBk/edit?gid=0#gid=0"",""Servers!A:S""),19,FALSE), ""Not Running"")"),"VIKASA")</f>
        <v>VIKASA</v>
      </c>
      <c r="W570" s="47" t="str">
        <f>VLOOKUP($A570,Category!$A:$E,4,0)</f>
        <v>MS</v>
      </c>
      <c r="X570" s="47" t="str">
        <f>VLOOKUP($A570,Category!$A:$E,5,0)</f>
        <v>MSS</v>
      </c>
      <c r="Y570" s="18" t="str">
        <f>VLOOKUP(A570,PAcc!$A$1:$J$27,10,0)</f>
        <v>#N/A</v>
      </c>
      <c r="Z570" s="42" t="b">
        <f t="shared" si="4"/>
        <v>0</v>
      </c>
      <c r="AA570" s="50">
        <v>0.4</v>
      </c>
      <c r="AB570" s="42" t="str">
        <f>VLOOKUP(A570,VlookupSheet!$A$383:$A$523,1,0)</f>
        <v>#N/A</v>
      </c>
      <c r="AC570" s="42"/>
      <c r="AD570" s="42">
        <f t="shared" si="83"/>
        <v>3998375.2</v>
      </c>
      <c r="AE570" s="42">
        <f t="shared" si="84"/>
        <v>40000</v>
      </c>
      <c r="AF570" s="123">
        <f t="shared" si="85"/>
        <v>0</v>
      </c>
    </row>
    <row r="571">
      <c r="A571" s="11" t="s">
        <v>2957</v>
      </c>
      <c r="B571" s="24" t="s">
        <v>2958</v>
      </c>
      <c r="C571" s="25"/>
      <c r="D571" s="11">
        <f t="shared" si="81"/>
        <v>1</v>
      </c>
      <c r="E571" s="11">
        <f t="shared" si="82"/>
        <v>40000</v>
      </c>
      <c r="F571" s="60" t="s">
        <v>886</v>
      </c>
      <c r="G571" s="60">
        <v>40000.0</v>
      </c>
      <c r="H571" s="175">
        <v>40000.0</v>
      </c>
      <c r="I571" s="60" t="s">
        <v>143</v>
      </c>
      <c r="J571" s="60" t="s">
        <v>77</v>
      </c>
      <c r="K571" s="38">
        <f t="shared" si="64"/>
        <v>1</v>
      </c>
      <c r="L571" s="18" t="s">
        <v>910</v>
      </c>
      <c r="M571" s="18" t="s">
        <v>736</v>
      </c>
      <c r="N571" s="18">
        <v>1.0</v>
      </c>
      <c r="O571" s="18"/>
      <c r="P571" s="18" t="s">
        <v>3888</v>
      </c>
      <c r="Q571" s="42" t="str">
        <f>iferror(VLOOKUP(A571,'Positional cal'!A:H,1,0)=A571,"FALSE")</f>
        <v>FALSE</v>
      </c>
      <c r="R571" s="43" t="b">
        <f t="shared" si="3"/>
        <v>0</v>
      </c>
      <c r="S571" s="46">
        <f>IFERROR(VLOOKUP($A571,AlgoUi!$A:$X,21,0),"NA")</f>
        <v>9999999</v>
      </c>
      <c r="T571" s="46">
        <f>IFERROR(VLOOKUP($A571,AlgoUi!$A:$X,23,0),"")</f>
        <v>10000000</v>
      </c>
      <c r="U571" s="46">
        <f>IFERROR(VLOOKUP($A571,AlgoUi!$A:$X,24,0),"")</f>
        <v>100000</v>
      </c>
      <c r="V571" s="42" t="str">
        <f>IFERROR(__xludf.DUMMYFUNCTION("IFERROR(VLOOKUP(I571,IMPORTRANGE(""https://docs.google.com/spreadsheets/d/17FOIUYQAjPk1pPQIlvOgqYDBqwUqgb7KWzp4DtVksBk/edit?gid=0#gid=0"",""Servers!A:S""),19,FALSE), ""Not Running"")"),"VIKASA")</f>
        <v>VIKASA</v>
      </c>
      <c r="W571" s="47" t="str">
        <f>VLOOKUP($A571,Category!$A:$E,4,0)</f>
        <v>MS</v>
      </c>
      <c r="X571" s="47" t="str">
        <f>VLOOKUP($A571,Category!$A:$E,5,0)</f>
        <v>MSS</v>
      </c>
      <c r="Y571" s="18" t="str">
        <f>VLOOKUP(A571,PAcc!$A$1:$J$27,10,0)</f>
        <v>#N/A</v>
      </c>
      <c r="Z571" s="42" t="b">
        <f t="shared" si="4"/>
        <v>0</v>
      </c>
      <c r="AA571" s="50">
        <v>0.4</v>
      </c>
      <c r="AB571" s="42" t="str">
        <f>VLOOKUP(A571,VlookupSheet!$A$383:$A$523,1,0)</f>
        <v>#N/A</v>
      </c>
      <c r="AC571" s="42"/>
      <c r="AD571" s="42">
        <f t="shared" si="83"/>
        <v>3999999.6</v>
      </c>
      <c r="AE571" s="42">
        <f t="shared" si="84"/>
        <v>40000</v>
      </c>
      <c r="AF571" s="123">
        <f t="shared" si="85"/>
        <v>0</v>
      </c>
    </row>
    <row r="572">
      <c r="A572" s="11" t="s">
        <v>2640</v>
      </c>
      <c r="B572" s="24" t="s">
        <v>3319</v>
      </c>
      <c r="C572" s="25"/>
      <c r="D572" s="11" t="s">
        <v>874</v>
      </c>
      <c r="E572" s="11">
        <f t="shared" ref="E572:E577" si="86">H572*D572</f>
        <v>15000000</v>
      </c>
      <c r="F572" s="11" t="s">
        <v>285</v>
      </c>
      <c r="G572" s="11">
        <v>1.5E7</v>
      </c>
      <c r="H572" s="31">
        <v>500000.0</v>
      </c>
      <c r="I572" s="18" t="s">
        <v>1066</v>
      </c>
      <c r="J572" s="11" t="s">
        <v>1067</v>
      </c>
      <c r="K572" s="38">
        <f t="shared" si="64"/>
        <v>30</v>
      </c>
      <c r="L572" s="18" t="s">
        <v>1068</v>
      </c>
      <c r="M572" s="18" t="s">
        <v>1059</v>
      </c>
      <c r="N572" s="18"/>
      <c r="O572" s="18">
        <v>0.0</v>
      </c>
      <c r="P572" s="18" t="s">
        <v>1063</v>
      </c>
      <c r="Q572" s="42" t="str">
        <f>iferror(VLOOKUP(A572,'Positional cal'!A:H,1,0)=A572,"FALSE")</f>
        <v>FALSE</v>
      </c>
      <c r="R572" s="43" t="b">
        <f t="shared" si="3"/>
        <v>0</v>
      </c>
      <c r="S572" s="46">
        <f>IFERROR(VLOOKUP($A572,AlgoUi!$A:$X,21,0),"NA")</f>
        <v>50000000</v>
      </c>
      <c r="T572" s="46">
        <f>IFERROR(VLOOKUP($A572,AlgoUi!$A:$X,23,0),"")</f>
        <v>50000000</v>
      </c>
      <c r="U572" s="46">
        <f>IFERROR(VLOOKUP($A572,AlgoUi!$A:$X,24,0),"")</f>
        <v>5000000000</v>
      </c>
      <c r="V572" s="42" t="str">
        <f>IFERROR(__xludf.DUMMYFUNCTION("IFERROR(VLOOKUP(I572,IMPORTRANGE(""https://docs.google.com/spreadsheets/d/17FOIUYQAjPk1pPQIlvOgqYDBqwUqgb7KWzp4DtVksBk/edit?gid=0#gid=0"",""Servers!A:S""),19,FALSE), ""Not Running"")"),"YOGESHS")</f>
        <v>YOGESHS</v>
      </c>
      <c r="W572" s="47" t="str">
        <f>VLOOKUP($A572,Category!$A:$E,4,0)</f>
        <v>MS</v>
      </c>
      <c r="X572" s="47" t="str">
        <f>VLOOKUP($A572,Category!$A:$E,5,0)</f>
        <v>MSJ</v>
      </c>
      <c r="Y572" s="18" t="str">
        <f>VLOOKUP(A572,PAcc!$A$1:$J$27,10,0)</f>
        <v>#N/A</v>
      </c>
      <c r="Z572" s="42" t="b">
        <f t="shared" si="4"/>
        <v>1</v>
      </c>
      <c r="AA572" s="42"/>
      <c r="AB572" s="25" t="str">
        <f>VLOOKUP(A572,VlookupSheet!$A$383:$A$523,1,0)</f>
        <v>AJ008KC</v>
      </c>
      <c r="AC572" s="42"/>
      <c r="AD572" s="42"/>
      <c r="AE572" s="42"/>
      <c r="AF572" s="42"/>
    </row>
    <row r="573">
      <c r="A573" s="11" t="s">
        <v>2675</v>
      </c>
      <c r="B573" s="24" t="s">
        <v>3585</v>
      </c>
      <c r="C573" s="25"/>
      <c r="D573" s="11" t="s">
        <v>874</v>
      </c>
      <c r="E573" s="11">
        <f t="shared" si="86"/>
        <v>15000000</v>
      </c>
      <c r="F573" s="30" t="s">
        <v>272</v>
      </c>
      <c r="G573" s="11">
        <v>1.5E7</v>
      </c>
      <c r="H573" s="31">
        <v>500000.0</v>
      </c>
      <c r="I573" s="11" t="s">
        <v>1066</v>
      </c>
      <c r="J573" s="11" t="s">
        <v>1067</v>
      </c>
      <c r="K573" s="38">
        <f t="shared" si="64"/>
        <v>30</v>
      </c>
      <c r="L573" s="18" t="s">
        <v>1068</v>
      </c>
      <c r="M573" s="18" t="s">
        <v>1059</v>
      </c>
      <c r="N573" s="18"/>
      <c r="O573" s="18">
        <v>0.0</v>
      </c>
      <c r="P573" s="18" t="s">
        <v>1063</v>
      </c>
      <c r="Q573" s="42" t="str">
        <f>iferror(VLOOKUP(A573,'Positional cal'!A:H,1,0)=A573,"FALSE")</f>
        <v>FALSE</v>
      </c>
      <c r="R573" s="43" t="b">
        <f t="shared" si="3"/>
        <v>0</v>
      </c>
      <c r="S573" s="46">
        <f>IFERROR(VLOOKUP($A573,AlgoUi!$A:$X,21,0),"NA")</f>
        <v>1000000000</v>
      </c>
      <c r="T573" s="46">
        <f>IFERROR(VLOOKUP($A573,AlgoUi!$A:$X,23,0),"")</f>
        <v>1000000000</v>
      </c>
      <c r="U573" s="46">
        <f>IFERROR(VLOOKUP($A573,AlgoUi!$A:$X,24,0),"")</f>
        <v>100000000000</v>
      </c>
      <c r="V573" s="42" t="str">
        <f>IFERROR(__xludf.DUMMYFUNCTION("IFERROR(VLOOKUP(I573,IMPORTRANGE(""https://docs.google.com/spreadsheets/d/17FOIUYQAjPk1pPQIlvOgqYDBqwUqgb7KWzp4DtVksBk/edit?gid=0#gid=0"",""Servers!A:S""),19,FALSE), ""Not Running"")"),"YOGESHS")</f>
        <v>YOGESHS</v>
      </c>
      <c r="W573" s="47" t="str">
        <f>VLOOKUP($A573,Category!$A:$E,4,0)</f>
        <v>MS</v>
      </c>
      <c r="X573" s="47" t="str">
        <f>VLOOKUP($A573,Category!$A:$E,5,0)</f>
        <v>MSJ</v>
      </c>
      <c r="Y573" s="18" t="str">
        <f>VLOOKUP(A573,PAcc!$A$1:$J$27,10,0)</f>
        <v>#N/A</v>
      </c>
      <c r="Z573" s="42" t="b">
        <f t="shared" si="4"/>
        <v>0</v>
      </c>
      <c r="AA573" s="42"/>
      <c r="AB573" s="25" t="str">
        <f>VLOOKUP(A573,VlookupSheet!$A$383:$A$523,1,0)</f>
        <v>DWH10008</v>
      </c>
      <c r="AC573" s="42"/>
      <c r="AD573" s="42"/>
      <c r="AE573" s="42"/>
      <c r="AF573" s="42"/>
    </row>
    <row r="574">
      <c r="A574" s="11" t="s">
        <v>2792</v>
      </c>
      <c r="B574" s="24" t="s">
        <v>2793</v>
      </c>
      <c r="C574" s="25"/>
      <c r="D574" s="11" t="s">
        <v>874</v>
      </c>
      <c r="E574" s="11">
        <f t="shared" si="86"/>
        <v>15000000</v>
      </c>
      <c r="F574" s="11" t="s">
        <v>311</v>
      </c>
      <c r="G574" s="11">
        <v>1.5E7</v>
      </c>
      <c r="H574" s="31">
        <v>500000.0</v>
      </c>
      <c r="I574" s="11" t="s">
        <v>1066</v>
      </c>
      <c r="J574" s="11" t="s">
        <v>1067</v>
      </c>
      <c r="K574" s="38">
        <f t="shared" si="64"/>
        <v>30</v>
      </c>
      <c r="L574" s="18" t="s">
        <v>1068</v>
      </c>
      <c r="M574" s="18" t="s">
        <v>1059</v>
      </c>
      <c r="N574" s="18"/>
      <c r="O574" s="18">
        <v>0.0</v>
      </c>
      <c r="P574" s="18" t="s">
        <v>1063</v>
      </c>
      <c r="Q574" s="42" t="str">
        <f>iferror(VLOOKUP(A574,'Positional cal'!A:H,1,0)=A574,"FALSE")</f>
        <v>FALSE</v>
      </c>
      <c r="R574" s="43" t="b">
        <f t="shared" si="3"/>
        <v>0</v>
      </c>
      <c r="S574" s="46">
        <f>IFERROR(VLOOKUP($A574,AlgoUi!$A:$X,21,0),"NA")</f>
        <v>52460233</v>
      </c>
      <c r="T574" s="46">
        <f>IFERROR(VLOOKUP($A574,AlgoUi!$A:$X,23,0),"")</f>
        <v>52000000</v>
      </c>
      <c r="U574" s="46">
        <f>IFERROR(VLOOKUP($A574,AlgoUi!$A:$X,24,0),"")</f>
        <v>5200000000</v>
      </c>
      <c r="V574" s="42" t="str">
        <f>IFERROR(__xludf.DUMMYFUNCTION("IFERROR(VLOOKUP(I574,IMPORTRANGE(""https://docs.google.com/spreadsheets/d/17FOIUYQAjPk1pPQIlvOgqYDBqwUqgb7KWzp4DtVksBk/edit?gid=0#gid=0"",""Servers!A:S""),19,FALSE), ""Not Running"")"),"YOGESHS")</f>
        <v>YOGESHS</v>
      </c>
      <c r="W574" s="47" t="str">
        <f>VLOOKUP($A574,Category!$A:$E,4,0)</f>
        <v>MS</v>
      </c>
      <c r="X574" s="47" t="str">
        <f>VLOOKUP($A574,Category!$A:$E,5,0)</f>
        <v>MSN</v>
      </c>
      <c r="Y574" s="18" t="str">
        <f>VLOOKUP(A574,PAcc!$A$1:$J$27,10,0)</f>
        <v>#N/A</v>
      </c>
      <c r="Z574" s="42" t="b">
        <f t="shared" si="4"/>
        <v>0</v>
      </c>
      <c r="AA574" s="42"/>
      <c r="AB574" s="25" t="str">
        <f>VLOOKUP(A574,VlookupSheet!$A$383:$A$523,1,0)</f>
        <v>67374092</v>
      </c>
      <c r="AC574" s="42"/>
      <c r="AD574" s="42"/>
      <c r="AE574" s="42"/>
      <c r="AF574" s="42"/>
    </row>
    <row r="575">
      <c r="A575" s="11" t="s">
        <v>2802</v>
      </c>
      <c r="B575" s="24" t="s">
        <v>2803</v>
      </c>
      <c r="C575" s="25"/>
      <c r="D575" s="11" t="s">
        <v>874</v>
      </c>
      <c r="E575" s="11">
        <f t="shared" si="86"/>
        <v>15000000</v>
      </c>
      <c r="F575" s="11" t="s">
        <v>297</v>
      </c>
      <c r="G575" s="11">
        <v>1.5E7</v>
      </c>
      <c r="H575" s="31">
        <v>500000.0</v>
      </c>
      <c r="I575" s="11" t="s">
        <v>1066</v>
      </c>
      <c r="J575" s="11" t="s">
        <v>1067</v>
      </c>
      <c r="K575" s="38">
        <f t="shared" si="64"/>
        <v>30</v>
      </c>
      <c r="L575" s="18" t="s">
        <v>1068</v>
      </c>
      <c r="M575" s="18" t="s">
        <v>1059</v>
      </c>
      <c r="N575" s="18"/>
      <c r="O575" s="18">
        <v>0.0</v>
      </c>
      <c r="P575" s="18" t="s">
        <v>1063</v>
      </c>
      <c r="Q575" s="42" t="str">
        <f>iferror(VLOOKUP(A575,'Positional cal'!A:H,1,0)=A575,"FALSE")</f>
        <v>FALSE</v>
      </c>
      <c r="R575" s="43" t="b">
        <f t="shared" si="3"/>
        <v>0</v>
      </c>
      <c r="S575" s="46">
        <f>IFERROR(VLOOKUP($A575,AlgoUi!$A:$X,21,0),"NA")</f>
        <v>50000000</v>
      </c>
      <c r="T575" s="46">
        <f>IFERROR(VLOOKUP($A575,AlgoUi!$A:$X,23,0),"")</f>
        <v>50000000</v>
      </c>
      <c r="U575" s="46">
        <f>IFERROR(VLOOKUP($A575,AlgoUi!$A:$X,24,0),"")</f>
        <v>5000000000</v>
      </c>
      <c r="V575" s="42" t="str">
        <f>IFERROR(__xludf.DUMMYFUNCTION("IFERROR(VLOOKUP(I575,IMPORTRANGE(""https://docs.google.com/spreadsheets/d/17FOIUYQAjPk1pPQIlvOgqYDBqwUqgb7KWzp4DtVksBk/edit?gid=0#gid=0"",""Servers!A:S""),19,FALSE), ""Not Running"")"),"YOGESHS")</f>
        <v>YOGESHS</v>
      </c>
      <c r="W575" s="47" t="str">
        <f>VLOOKUP($A575,Category!$A:$E,4,0)</f>
        <v>CC</v>
      </c>
      <c r="X575" s="47" t="str">
        <f>VLOOKUP($A575,Category!$A:$E,5,0)</f>
        <v>CCG</v>
      </c>
      <c r="Y575" s="18" t="str">
        <f>VLOOKUP(A575,PAcc!$A$1:$J$27,10,0)</f>
        <v>#N/A</v>
      </c>
      <c r="Z575" s="42" t="b">
        <f t="shared" si="4"/>
        <v>1</v>
      </c>
      <c r="AA575" s="50">
        <v>1.0</v>
      </c>
      <c r="AB575" s="25" t="str">
        <f>VLOOKUP(A575,VlookupSheet!$A$383:$A$523,1,0)</f>
        <v>GSPL24</v>
      </c>
      <c r="AC575" s="42"/>
      <c r="AD575" s="42"/>
      <c r="AE575" s="42"/>
      <c r="AF575" s="42"/>
    </row>
    <row r="576">
      <c r="A576" s="11" t="s">
        <v>2804</v>
      </c>
      <c r="B576" s="24" t="s">
        <v>2806</v>
      </c>
      <c r="C576" s="25"/>
      <c r="D576" s="11" t="s">
        <v>874</v>
      </c>
      <c r="E576" s="11">
        <f t="shared" si="86"/>
        <v>15000000</v>
      </c>
      <c r="F576" s="30" t="s">
        <v>85</v>
      </c>
      <c r="G576" s="11">
        <v>1.5E7</v>
      </c>
      <c r="H576" s="31">
        <v>500000.0</v>
      </c>
      <c r="I576" s="11" t="s">
        <v>1066</v>
      </c>
      <c r="J576" s="11" t="s">
        <v>1067</v>
      </c>
      <c r="K576" s="38">
        <f t="shared" si="64"/>
        <v>30</v>
      </c>
      <c r="L576" s="18" t="s">
        <v>1068</v>
      </c>
      <c r="M576" s="18" t="s">
        <v>1059</v>
      </c>
      <c r="N576" s="18"/>
      <c r="O576" s="18">
        <v>0.0</v>
      </c>
      <c r="P576" s="18" t="s">
        <v>1063</v>
      </c>
      <c r="Q576" s="42" t="str">
        <f>iferror(VLOOKUP(A576,'Positional cal'!A:H,1,0)=A576,"FALSE")</f>
        <v>FALSE</v>
      </c>
      <c r="R576" s="43" t="b">
        <f t="shared" si="3"/>
        <v>0</v>
      </c>
      <c r="S576" s="46">
        <f>IFERROR(VLOOKUP($A576,AlgoUi!$A:$X,21,0),"NA")</f>
        <v>50000000</v>
      </c>
      <c r="T576" s="46">
        <f>IFERROR(VLOOKUP($A576,AlgoUi!$A:$X,23,0),"")</f>
        <v>50000000</v>
      </c>
      <c r="U576" s="46">
        <f>IFERROR(VLOOKUP($A576,AlgoUi!$A:$X,24,0),"")</f>
        <v>5000000000</v>
      </c>
      <c r="V576" s="42" t="str">
        <f>IFERROR(__xludf.DUMMYFUNCTION("IFERROR(VLOOKUP(I576,IMPORTRANGE(""https://docs.google.com/spreadsheets/d/17FOIUYQAjPk1pPQIlvOgqYDBqwUqgb7KWzp4DtVksBk/edit?gid=0#gid=0"",""Servers!A:S""),19,FALSE), ""Not Running"")"),"YOGESHS")</f>
        <v>YOGESHS</v>
      </c>
      <c r="W576" s="47" t="str">
        <f>VLOOKUP($A576,Category!$A:$E,4,0)</f>
        <v>CC</v>
      </c>
      <c r="X576" s="47" t="str">
        <f>VLOOKUP($A576,Category!$A:$E,5,0)</f>
        <v>CC</v>
      </c>
      <c r="Y576" s="18" t="str">
        <f>VLOOKUP(A576,PAcc!$A$1:$J$27,10,0)</f>
        <v>#N/A</v>
      </c>
      <c r="Z576" s="42" t="b">
        <f t="shared" si="4"/>
        <v>1</v>
      </c>
      <c r="AA576" s="50">
        <v>1.0</v>
      </c>
      <c r="AB576" s="25" t="str">
        <f>VLOOKUP(A576,VlookupSheet!$A$383:$A$523,1,0)</f>
        <v>CC11</v>
      </c>
      <c r="AC576" s="42"/>
      <c r="AD576" s="42"/>
      <c r="AE576" s="42"/>
      <c r="AF576" s="42"/>
    </row>
    <row r="577">
      <c r="A577" s="11" t="s">
        <v>2842</v>
      </c>
      <c r="B577" s="24" t="s">
        <v>2843</v>
      </c>
      <c r="C577" s="25"/>
      <c r="D577" s="11" t="s">
        <v>874</v>
      </c>
      <c r="E577" s="11">
        <f t="shared" si="86"/>
        <v>15000000</v>
      </c>
      <c r="F577" s="11" t="s">
        <v>2837</v>
      </c>
      <c r="G577" s="11">
        <v>1.5E7</v>
      </c>
      <c r="H577" s="31">
        <v>500000.0</v>
      </c>
      <c r="I577" s="11" t="s">
        <v>1066</v>
      </c>
      <c r="J577" s="11" t="s">
        <v>1067</v>
      </c>
      <c r="K577" s="38">
        <f t="shared" si="64"/>
        <v>30</v>
      </c>
      <c r="L577" s="18" t="s">
        <v>1068</v>
      </c>
      <c r="M577" s="18" t="s">
        <v>1059</v>
      </c>
      <c r="N577" s="18"/>
      <c r="O577" s="18">
        <v>0.0</v>
      </c>
      <c r="P577" s="18" t="s">
        <v>1063</v>
      </c>
      <c r="Q577" s="42" t="str">
        <f>iferror(VLOOKUP(A577,'Positional cal'!A:H,1,0)=A577,"FALSE")</f>
        <v>FALSE</v>
      </c>
      <c r="R577" s="43" t="b">
        <f t="shared" si="3"/>
        <v>0</v>
      </c>
      <c r="S577" s="46">
        <f>IFERROR(VLOOKUP($A577,AlgoUi!$A:$X,21,0),"NA")</f>
        <v>50000000</v>
      </c>
      <c r="T577" s="46">
        <f>IFERROR(VLOOKUP($A577,AlgoUi!$A:$X,23,0),"")</f>
        <v>50000000</v>
      </c>
      <c r="U577" s="46">
        <f>IFERROR(VLOOKUP($A577,AlgoUi!$A:$X,24,0),"")</f>
        <v>5000000000</v>
      </c>
      <c r="V577" s="42" t="str">
        <f>IFERROR(__xludf.DUMMYFUNCTION("IFERROR(VLOOKUP(I577,IMPORTRANGE(""https://docs.google.com/spreadsheets/d/17FOIUYQAjPk1pPQIlvOgqYDBqwUqgb7KWzp4DtVksBk/edit?gid=0#gid=0"",""Servers!A:S""),19,FALSE), ""Not Running"")"),"YOGESHS")</f>
        <v>YOGESHS</v>
      </c>
      <c r="W577" s="47" t="str">
        <f>VLOOKUP($A577,Category!$A:$E,4,0)</f>
        <v>MS</v>
      </c>
      <c r="X577" s="47" t="str">
        <f>VLOOKUP($A577,Category!$A:$E,5,0)</f>
        <v>MSR</v>
      </c>
      <c r="Y577" s="18" t="str">
        <f>VLOOKUP(A577,PAcc!$A$1:$J$27,10,0)</f>
        <v>#N/A</v>
      </c>
      <c r="Z577" s="42" t="b">
        <f t="shared" si="4"/>
        <v>1</v>
      </c>
      <c r="AA577" s="42"/>
      <c r="AB577" s="25" t="str">
        <f>VLOOKUP(A577,VlookupSheet!$A$383:$A$523,1,0)</f>
        <v>V401E</v>
      </c>
      <c r="AC577" s="42"/>
      <c r="AD577" s="42"/>
      <c r="AE577" s="42"/>
      <c r="AF577" s="42"/>
    </row>
    <row r="578">
      <c r="A578" s="11" t="s">
        <v>125</v>
      </c>
      <c r="B578" s="24" t="s">
        <v>3659</v>
      </c>
      <c r="C578" s="25"/>
      <c r="D578" s="11">
        <f t="shared" ref="D578:D596" si="87">IF(J578="7",0.8,1)</f>
        <v>0.8</v>
      </c>
      <c r="E578" s="11">
        <f t="shared" ref="E578:E596" si="88">D578*H578</f>
        <v>144000</v>
      </c>
      <c r="F578" s="30" t="s">
        <v>311</v>
      </c>
      <c r="G578" s="11" t="s">
        <v>3891</v>
      </c>
      <c r="H578" s="31">
        <v>180000.0</v>
      </c>
      <c r="I578" s="11" t="s">
        <v>132</v>
      </c>
      <c r="J578" s="11" t="s">
        <v>1018</v>
      </c>
      <c r="K578" s="38">
        <f t="shared" si="64"/>
        <v>0.8</v>
      </c>
      <c r="L578" s="18" t="s">
        <v>910</v>
      </c>
      <c r="M578" s="18" t="s">
        <v>736</v>
      </c>
      <c r="N578" s="42"/>
      <c r="O578" s="42"/>
      <c r="P578" s="42"/>
      <c r="Q578" s="42" t="str">
        <f>iferror(VLOOKUP(A578,'Positional cal'!A:H,1,0)=A578,"FALSE")</f>
        <v>FALSE</v>
      </c>
      <c r="R578" s="43" t="b">
        <f t="shared" si="3"/>
        <v>0</v>
      </c>
      <c r="S578" s="46">
        <f>IFERROR(VLOOKUP($A578,AlgoUi!$A:$X,21,0),"NA")</f>
        <v>47435972</v>
      </c>
      <c r="T578" s="46">
        <f>IFERROR(VLOOKUP($A578,AlgoUi!$A:$X,23,0),"")</f>
        <v>48000000</v>
      </c>
      <c r="U578" s="46">
        <f>IFERROR(VLOOKUP($A578,AlgoUi!$A:$X,24,0),"")</f>
        <v>384000</v>
      </c>
      <c r="V578" s="42" t="str">
        <f>IFERROR(__xludf.DUMMYFUNCTION("IFERROR(VLOOKUP(I578,IMPORTRANGE(""https://docs.google.com/spreadsheets/d/17FOIUYQAjPk1pPQIlvOgqYDBqwUqgb7KWzp4DtVksBk/edit?gid=0#gid=0"",""Servers!A:S""),19,FALSE), ""Not Running"")"),"ANIKETG")</f>
        <v>ANIKETG</v>
      </c>
      <c r="W578" s="47" t="str">
        <f>VLOOKUP($A578,Category!$A:$E,4,0)</f>
        <v>MS</v>
      </c>
      <c r="X578" s="47" t="str">
        <f>VLOOKUP($A578,Category!$A:$E,5,0)</f>
        <v>MSN</v>
      </c>
      <c r="Y578" s="18" t="str">
        <f>VLOOKUP(A578,PAcc!$A$1:$J$27,10,0)</f>
        <v>#N/A</v>
      </c>
      <c r="Z578" s="42" t="b">
        <f t="shared" si="4"/>
        <v>0</v>
      </c>
      <c r="AA578" s="50">
        <v>0.4</v>
      </c>
      <c r="AB578" s="42" t="str">
        <f>VLOOKUP(A578,VlookupSheet!$A$383:$A$523,1,0)</f>
        <v>#N/A</v>
      </c>
      <c r="AC578" s="42"/>
      <c r="AD578" s="42">
        <f t="shared" ref="AD578:AD626" si="89">S578*AA578</f>
        <v>18974388.8</v>
      </c>
      <c r="AE578" s="42">
        <f t="shared" ref="AE578:AE626" si="90">MROUND(AD578,2000000)/100</f>
        <v>180000</v>
      </c>
      <c r="AF578" s="123">
        <f t="shared" ref="AF578:AF626" si="91">AE578-H578</f>
        <v>0</v>
      </c>
    </row>
    <row r="579">
      <c r="A579" s="30" t="s">
        <v>1439</v>
      </c>
      <c r="B579" s="84" t="s">
        <v>1650</v>
      </c>
      <c r="C579" s="85"/>
      <c r="D579" s="11">
        <f t="shared" si="87"/>
        <v>0.8</v>
      </c>
      <c r="E579" s="11">
        <f t="shared" si="88"/>
        <v>32000</v>
      </c>
      <c r="F579" s="30" t="s">
        <v>311</v>
      </c>
      <c r="G579" s="11" t="s">
        <v>1039</v>
      </c>
      <c r="H579" s="31">
        <v>40000.0</v>
      </c>
      <c r="I579" s="34" t="s">
        <v>132</v>
      </c>
      <c r="J579" s="11" t="s">
        <v>1018</v>
      </c>
      <c r="K579" s="38">
        <f t="shared" si="64"/>
        <v>0.8</v>
      </c>
      <c r="L579" s="18" t="s">
        <v>910</v>
      </c>
      <c r="M579" s="18" t="s">
        <v>736</v>
      </c>
      <c r="N579" s="74"/>
      <c r="O579" s="74"/>
      <c r="P579" s="74"/>
      <c r="Q579" s="42" t="str">
        <f>iferror(VLOOKUP(A579,'Positional cal'!A:H,1,0)=A579,"FALSE")</f>
        <v>FALSE</v>
      </c>
      <c r="R579" s="43" t="b">
        <f t="shared" si="3"/>
        <v>0</v>
      </c>
      <c r="S579" s="46">
        <f>IFERROR(VLOOKUP($A579,AlgoUi!$A:$X,21,0),"NA")</f>
        <v>11647362</v>
      </c>
      <c r="T579" s="46">
        <f>IFERROR(VLOOKUP($A579,AlgoUi!$A:$X,23,0),"")</f>
        <v>12000000</v>
      </c>
      <c r="U579" s="46">
        <f>IFERROR(VLOOKUP($A579,AlgoUi!$A:$X,24,0),"")</f>
        <v>96000</v>
      </c>
      <c r="V579" s="42" t="str">
        <f>IFERROR(__xludf.DUMMYFUNCTION("IFERROR(VLOOKUP(I579,IMPORTRANGE(""https://docs.google.com/spreadsheets/d/17FOIUYQAjPk1pPQIlvOgqYDBqwUqgb7KWzp4DtVksBk/edit?gid=0#gid=0"",""Servers!A:S""),19,FALSE), ""Not Running"")"),"ANIKETG")</f>
        <v>ANIKETG</v>
      </c>
      <c r="W579" s="47" t="str">
        <f>VLOOKUP($A579,Category!$A:$E,4,0)</f>
        <v>MS</v>
      </c>
      <c r="X579" s="47" t="str">
        <f>VLOOKUP($A579,Category!$A:$E,5,0)</f>
        <v>MSP</v>
      </c>
      <c r="Y579" s="18" t="str">
        <f>VLOOKUP(A579,PAcc!$A$1:$J$27,10,0)</f>
        <v>#N/A</v>
      </c>
      <c r="Z579" s="42" t="b">
        <f t="shared" si="4"/>
        <v>0</v>
      </c>
      <c r="AA579" s="50">
        <v>0.4</v>
      </c>
      <c r="AB579" s="42" t="str">
        <f>VLOOKUP(A579,VlookupSheet!$A$383:$A$523,1,0)</f>
        <v>#N/A</v>
      </c>
      <c r="AC579" s="42"/>
      <c r="AD579" s="42">
        <f t="shared" si="89"/>
        <v>4658944.8</v>
      </c>
      <c r="AE579" s="42">
        <f t="shared" si="90"/>
        <v>40000</v>
      </c>
      <c r="AF579" s="123">
        <f t="shared" si="91"/>
        <v>0</v>
      </c>
    </row>
    <row r="580">
      <c r="A580" s="30" t="s">
        <v>205</v>
      </c>
      <c r="B580" s="84" t="s">
        <v>1716</v>
      </c>
      <c r="C580" s="85"/>
      <c r="D580" s="11">
        <f t="shared" si="87"/>
        <v>0.8</v>
      </c>
      <c r="E580" s="11">
        <f t="shared" si="88"/>
        <v>32000</v>
      </c>
      <c r="F580" s="30" t="s">
        <v>311</v>
      </c>
      <c r="G580" s="11" t="s">
        <v>1039</v>
      </c>
      <c r="H580" s="31">
        <v>40000.0</v>
      </c>
      <c r="I580" s="34" t="s">
        <v>132</v>
      </c>
      <c r="J580" s="11" t="s">
        <v>1018</v>
      </c>
      <c r="K580" s="38">
        <f t="shared" si="64"/>
        <v>0.8</v>
      </c>
      <c r="L580" s="18" t="s">
        <v>910</v>
      </c>
      <c r="M580" s="18" t="s">
        <v>736</v>
      </c>
      <c r="N580" s="74"/>
      <c r="O580" s="74"/>
      <c r="P580" s="74"/>
      <c r="Q580" s="42" t="str">
        <f>iferror(VLOOKUP(A580,'Positional cal'!A:H,1,0)=A580,"FALSE")</f>
        <v>FALSE</v>
      </c>
      <c r="R580" s="43" t="b">
        <f t="shared" si="3"/>
        <v>0</v>
      </c>
      <c r="S580" s="46">
        <f>IFERROR(VLOOKUP($A580,AlgoUi!$A:$X,21,0),"NA")</f>
        <v>11136561</v>
      </c>
      <c r="T580" s="46">
        <f>IFERROR(VLOOKUP($A580,AlgoUi!$A:$X,23,0),"")</f>
        <v>12000000</v>
      </c>
      <c r="U580" s="46">
        <f>IFERROR(VLOOKUP($A580,AlgoUi!$A:$X,24,0),"")</f>
        <v>96000</v>
      </c>
      <c r="V580" s="42" t="str">
        <f>IFERROR(__xludf.DUMMYFUNCTION("IFERROR(VLOOKUP(I580,IMPORTRANGE(""https://docs.google.com/spreadsheets/d/17FOIUYQAjPk1pPQIlvOgqYDBqwUqgb7KWzp4DtVksBk/edit?gid=0#gid=0"",""Servers!A:S""),19,FALSE), ""Not Running"")"),"ANIKETG")</f>
        <v>ANIKETG</v>
      </c>
      <c r="W580" s="47" t="str">
        <f>VLOOKUP($A580,Category!$A:$E,4,0)</f>
        <v>MS</v>
      </c>
      <c r="X580" s="47" t="str">
        <f>VLOOKUP($A580,Category!$A:$E,5,0)</f>
        <v>MSP</v>
      </c>
      <c r="Y580" s="18" t="str">
        <f>VLOOKUP(A580,PAcc!$A$1:$J$27,10,0)</f>
        <v>#N/A</v>
      </c>
      <c r="Z580" s="42" t="b">
        <f t="shared" si="4"/>
        <v>0</v>
      </c>
      <c r="AA580" s="50">
        <v>0.4</v>
      </c>
      <c r="AB580" s="42" t="str">
        <f>VLOOKUP(A580,VlookupSheet!$A$383:$A$523,1,0)</f>
        <v>#N/A</v>
      </c>
      <c r="AC580" s="42"/>
      <c r="AD580" s="42">
        <f t="shared" si="89"/>
        <v>4454624.4</v>
      </c>
      <c r="AE580" s="42">
        <f t="shared" si="90"/>
        <v>40000</v>
      </c>
      <c r="AF580" s="123">
        <f t="shared" si="91"/>
        <v>0</v>
      </c>
    </row>
    <row r="581">
      <c r="A581" s="30" t="s">
        <v>488</v>
      </c>
      <c r="B581" s="84" t="s">
        <v>2097</v>
      </c>
      <c r="C581" s="85"/>
      <c r="D581" s="11">
        <f t="shared" si="87"/>
        <v>0.8</v>
      </c>
      <c r="E581" s="11">
        <f t="shared" si="88"/>
        <v>32000</v>
      </c>
      <c r="F581" s="30" t="s">
        <v>311</v>
      </c>
      <c r="G581" s="11" t="s">
        <v>1039</v>
      </c>
      <c r="H581" s="31">
        <v>40000.0</v>
      </c>
      <c r="I581" s="34" t="s">
        <v>132</v>
      </c>
      <c r="J581" s="11" t="s">
        <v>1018</v>
      </c>
      <c r="K581" s="38">
        <f t="shared" si="64"/>
        <v>0.8</v>
      </c>
      <c r="L581" s="18" t="s">
        <v>910</v>
      </c>
      <c r="M581" s="18" t="s">
        <v>736</v>
      </c>
      <c r="N581" s="74"/>
      <c r="O581" s="74"/>
      <c r="P581" s="74"/>
      <c r="Q581" s="42" t="str">
        <f>iferror(VLOOKUP(A581,'Positional cal'!A:H,1,0)=A581,"FALSE")</f>
        <v>FALSE</v>
      </c>
      <c r="R581" s="43" t="b">
        <f t="shared" si="3"/>
        <v>0</v>
      </c>
      <c r="S581" s="46">
        <f>IFERROR(VLOOKUP($A581,AlgoUi!$A:$X,21,0),"NA")</f>
        <v>9279886</v>
      </c>
      <c r="T581" s="46">
        <f>IFERROR(VLOOKUP($A581,AlgoUi!$A:$X,23,0),"")</f>
        <v>10000000</v>
      </c>
      <c r="U581" s="46">
        <f>IFERROR(VLOOKUP($A581,AlgoUi!$A:$X,24,0),"")</f>
        <v>80000</v>
      </c>
      <c r="V581" s="42" t="str">
        <f>IFERROR(__xludf.DUMMYFUNCTION("IFERROR(VLOOKUP(I581,IMPORTRANGE(""https://docs.google.com/spreadsheets/d/17FOIUYQAjPk1pPQIlvOgqYDBqwUqgb7KWzp4DtVksBk/edit?gid=0#gid=0"",""Servers!A:S""),19,FALSE), ""Not Running"")"),"ANIKETG")</f>
        <v>ANIKETG</v>
      </c>
      <c r="W581" s="47" t="str">
        <f>VLOOKUP($A581,Category!$A:$E,4,0)</f>
        <v>MS</v>
      </c>
      <c r="X581" s="47" t="str">
        <f>VLOOKUP($A581,Category!$A:$E,5,0)</f>
        <v>MSP</v>
      </c>
      <c r="Y581" s="18" t="str">
        <f>VLOOKUP(A581,PAcc!$A$1:$J$27,10,0)</f>
        <v>#N/A</v>
      </c>
      <c r="Z581" s="42" t="b">
        <f t="shared" si="4"/>
        <v>0</v>
      </c>
      <c r="AA581" s="50">
        <v>0.4</v>
      </c>
      <c r="AB581" s="42" t="str">
        <f>VLOOKUP(A581,VlookupSheet!$A$383:$A$523,1,0)</f>
        <v>#N/A</v>
      </c>
      <c r="AC581" s="42"/>
      <c r="AD581" s="42">
        <f t="shared" si="89"/>
        <v>3711954.4</v>
      </c>
      <c r="AE581" s="42">
        <f t="shared" si="90"/>
        <v>40000</v>
      </c>
      <c r="AF581" s="123">
        <f t="shared" si="91"/>
        <v>0</v>
      </c>
    </row>
    <row r="582">
      <c r="A582" s="11" t="s">
        <v>2632</v>
      </c>
      <c r="B582" s="145" t="s">
        <v>3564</v>
      </c>
      <c r="C582" s="25"/>
      <c r="D582" s="11">
        <f t="shared" si="87"/>
        <v>0.8</v>
      </c>
      <c r="E582" s="11">
        <f t="shared" si="88"/>
        <v>32000</v>
      </c>
      <c r="F582" s="11" t="s">
        <v>716</v>
      </c>
      <c r="G582" s="11">
        <v>32000.0</v>
      </c>
      <c r="H582" s="31">
        <v>40000.0</v>
      </c>
      <c r="I582" s="11" t="s">
        <v>132</v>
      </c>
      <c r="J582" s="11" t="s">
        <v>1018</v>
      </c>
      <c r="K582" s="38">
        <f t="shared" si="64"/>
        <v>0.8</v>
      </c>
      <c r="L582" s="18" t="s">
        <v>910</v>
      </c>
      <c r="M582" s="18" t="s">
        <v>736</v>
      </c>
      <c r="N582" s="18">
        <v>1.0</v>
      </c>
      <c r="O582" s="18"/>
      <c r="P582" s="18" t="s">
        <v>848</v>
      </c>
      <c r="Q582" s="42" t="str">
        <f>iferror(VLOOKUP(A582,'Positional cal'!A:H,1,0)=A582,"FALSE")</f>
        <v>FALSE</v>
      </c>
      <c r="R582" s="43" t="b">
        <f t="shared" si="3"/>
        <v>0</v>
      </c>
      <c r="S582" s="46">
        <f>IFERROR(VLOOKUP($A582,AlgoUi!$A:$X,21,0),"NA")</f>
        <v>9804768</v>
      </c>
      <c r="T582" s="46">
        <f>IFERROR(VLOOKUP($A582,AlgoUi!$A:$X,23,0),"")</f>
        <v>10000000</v>
      </c>
      <c r="U582" s="46">
        <f>IFERROR(VLOOKUP($A582,AlgoUi!$A:$X,24,0),"")</f>
        <v>80000</v>
      </c>
      <c r="V582" s="42" t="str">
        <f>IFERROR(__xludf.DUMMYFUNCTION("IFERROR(VLOOKUP(I582,IMPORTRANGE(""https://docs.google.com/spreadsheets/d/17FOIUYQAjPk1pPQIlvOgqYDBqwUqgb7KWzp4DtVksBk/edit?gid=0#gid=0"",""Servers!A:S""),19,FALSE), ""Not Running"")"),"ANIKETG")</f>
        <v>ANIKETG</v>
      </c>
      <c r="W582" s="47" t="str">
        <f>VLOOKUP($A582,Category!$A:$E,4,0)</f>
        <v>MS</v>
      </c>
      <c r="X582" s="47" t="str">
        <f>VLOOKUP($A582,Category!$A:$E,5,0)</f>
        <v>MSS</v>
      </c>
      <c r="Y582" s="18" t="str">
        <f>VLOOKUP(A582,PAcc!$A$1:$J$27,10,0)</f>
        <v>#N/A</v>
      </c>
      <c r="Z582" s="42" t="b">
        <f t="shared" si="4"/>
        <v>0</v>
      </c>
      <c r="AA582" s="50">
        <v>0.4</v>
      </c>
      <c r="AB582" s="42" t="str">
        <f>VLOOKUP(A582,VlookupSheet!$A$383:$A$523,1,0)</f>
        <v>#N/A</v>
      </c>
      <c r="AC582" s="42"/>
      <c r="AD582" s="42">
        <f t="shared" si="89"/>
        <v>3921907.2</v>
      </c>
      <c r="AE582" s="42">
        <f t="shared" si="90"/>
        <v>40000</v>
      </c>
      <c r="AF582" s="123">
        <f t="shared" si="91"/>
        <v>0</v>
      </c>
    </row>
    <row r="583">
      <c r="A583" s="11" t="s">
        <v>208</v>
      </c>
      <c r="B583" s="24" t="s">
        <v>3170</v>
      </c>
      <c r="C583" s="25"/>
      <c r="D583" s="11">
        <f t="shared" si="87"/>
        <v>0.8</v>
      </c>
      <c r="E583" s="11">
        <f t="shared" si="88"/>
        <v>32000</v>
      </c>
      <c r="F583" s="30" t="s">
        <v>311</v>
      </c>
      <c r="G583" s="11" t="s">
        <v>1039</v>
      </c>
      <c r="H583" s="31">
        <v>40000.0</v>
      </c>
      <c r="I583" s="34" t="s">
        <v>132</v>
      </c>
      <c r="J583" s="30" t="s">
        <v>1018</v>
      </c>
      <c r="K583" s="38">
        <f t="shared" si="64"/>
        <v>0.8</v>
      </c>
      <c r="L583" s="18" t="s">
        <v>910</v>
      </c>
      <c r="M583" s="18" t="s">
        <v>736</v>
      </c>
      <c r="N583" s="42"/>
      <c r="O583" s="42"/>
      <c r="P583" s="42"/>
      <c r="Q583" s="42" t="str">
        <f>iferror(VLOOKUP(A583,'Positional cal'!A:H,1,0)=A583,"FALSE")</f>
        <v>FALSE</v>
      </c>
      <c r="R583" s="43" t="b">
        <f t="shared" si="3"/>
        <v>0</v>
      </c>
      <c r="S583" s="46">
        <f>IFERROR(VLOOKUP($A583,AlgoUi!$A:$X,21,0),"NA")</f>
        <v>11502950</v>
      </c>
      <c r="T583" s="46">
        <f>IFERROR(VLOOKUP($A583,AlgoUi!$A:$X,23,0),"")</f>
        <v>12000000</v>
      </c>
      <c r="U583" s="46">
        <f>IFERROR(VLOOKUP($A583,AlgoUi!$A:$X,24,0),"")</f>
        <v>96000</v>
      </c>
      <c r="V583" s="42" t="str">
        <f>IFERROR(__xludf.DUMMYFUNCTION("IFERROR(VLOOKUP(I583,IMPORTRANGE(""https://docs.google.com/spreadsheets/d/17FOIUYQAjPk1pPQIlvOgqYDBqwUqgb7KWzp4DtVksBk/edit?gid=0#gid=0"",""Servers!A:S""),19,FALSE), ""Not Running"")"),"ANIKETG")</f>
        <v>ANIKETG</v>
      </c>
      <c r="W583" s="47" t="str">
        <f>VLOOKUP($A583,Category!$A:$E,4,0)</f>
        <v>MS</v>
      </c>
      <c r="X583" s="47" t="str">
        <f>VLOOKUP($A583,Category!$A:$E,5,0)</f>
        <v>MSR</v>
      </c>
      <c r="Y583" s="18" t="str">
        <f>VLOOKUP(A583,PAcc!$A$1:$J$27,10,0)</f>
        <v>#N/A</v>
      </c>
      <c r="Z583" s="42" t="b">
        <f t="shared" si="4"/>
        <v>0</v>
      </c>
      <c r="AA583" s="50">
        <v>0.4</v>
      </c>
      <c r="AB583" s="42" t="str">
        <f>VLOOKUP(A583,VlookupSheet!$A$383:$A$523,1,0)</f>
        <v>#N/A</v>
      </c>
      <c r="AC583" s="42"/>
      <c r="AD583" s="42">
        <f t="shared" si="89"/>
        <v>4601180</v>
      </c>
      <c r="AE583" s="42">
        <f t="shared" si="90"/>
        <v>40000</v>
      </c>
      <c r="AF583" s="123">
        <f t="shared" si="91"/>
        <v>0</v>
      </c>
    </row>
    <row r="584">
      <c r="A584" s="11" t="s">
        <v>2810</v>
      </c>
      <c r="B584" s="24" t="s">
        <v>3656</v>
      </c>
      <c r="C584" s="25"/>
      <c r="D584" s="11">
        <f t="shared" si="87"/>
        <v>0.8</v>
      </c>
      <c r="E584" s="11">
        <f t="shared" si="88"/>
        <v>32000</v>
      </c>
      <c r="F584" s="11" t="s">
        <v>716</v>
      </c>
      <c r="G584" s="11">
        <v>32000.0</v>
      </c>
      <c r="H584" s="31">
        <v>40000.0</v>
      </c>
      <c r="I584" s="11" t="s">
        <v>132</v>
      </c>
      <c r="J584" s="11" t="s">
        <v>1018</v>
      </c>
      <c r="K584" s="38">
        <f t="shared" si="64"/>
        <v>0.8</v>
      </c>
      <c r="L584" s="18" t="s">
        <v>910</v>
      </c>
      <c r="M584" s="18" t="s">
        <v>736</v>
      </c>
      <c r="N584" s="18">
        <v>1.0</v>
      </c>
      <c r="O584" s="18"/>
      <c r="P584" s="18" t="s">
        <v>848</v>
      </c>
      <c r="Q584" s="42" t="str">
        <f>iferror(VLOOKUP(A584,'Positional cal'!A:H,1,0)=A584,"FALSE")</f>
        <v>FALSE</v>
      </c>
      <c r="R584" s="43" t="b">
        <f t="shared" si="3"/>
        <v>0</v>
      </c>
      <c r="S584" s="46">
        <f>IFERROR(VLOOKUP($A584,AlgoUi!$A:$X,21,0),"NA")</f>
        <v>13352615</v>
      </c>
      <c r="T584" s="46">
        <f>IFERROR(VLOOKUP($A584,AlgoUi!$A:$X,23,0),"")</f>
        <v>14000000</v>
      </c>
      <c r="U584" s="46">
        <f>IFERROR(VLOOKUP($A584,AlgoUi!$A:$X,24,0),"")</f>
        <v>112000</v>
      </c>
      <c r="V584" s="42" t="str">
        <f>IFERROR(__xludf.DUMMYFUNCTION("IFERROR(VLOOKUP(I584,IMPORTRANGE(""https://docs.google.com/spreadsheets/d/17FOIUYQAjPk1pPQIlvOgqYDBqwUqgb7KWzp4DtVksBk/edit?gid=0#gid=0"",""Servers!A:S""),19,FALSE), ""Not Running"")"),"ANIKETG")</f>
        <v>ANIKETG</v>
      </c>
      <c r="W584" s="47" t="str">
        <f>VLOOKUP($A584,Category!$A:$E,4,0)</f>
        <v>MS</v>
      </c>
      <c r="X584" s="47" t="str">
        <f>VLOOKUP($A584,Category!$A:$E,5,0)</f>
        <v>MSS</v>
      </c>
      <c r="Y584" s="18" t="str">
        <f>VLOOKUP(A584,PAcc!$A$1:$J$27,10,0)</f>
        <v>#N/A</v>
      </c>
      <c r="Z584" s="42" t="b">
        <f t="shared" si="4"/>
        <v>0</v>
      </c>
      <c r="AA584" s="50">
        <v>0.4</v>
      </c>
      <c r="AB584" s="42" t="str">
        <f>VLOOKUP(A584,VlookupSheet!$A$383:$A$523,1,0)</f>
        <v>#N/A</v>
      </c>
      <c r="AC584" s="42"/>
      <c r="AD584" s="42">
        <f t="shared" si="89"/>
        <v>5341046</v>
      </c>
      <c r="AE584" s="42">
        <f t="shared" si="90"/>
        <v>60000</v>
      </c>
      <c r="AF584" s="123">
        <f t="shared" si="91"/>
        <v>20000</v>
      </c>
    </row>
    <row r="585">
      <c r="A585" s="11" t="s">
        <v>2853</v>
      </c>
      <c r="B585" s="24" t="s">
        <v>3706</v>
      </c>
      <c r="C585" s="25"/>
      <c r="D585" s="11">
        <f t="shared" si="87"/>
        <v>0.8</v>
      </c>
      <c r="E585" s="11">
        <f t="shared" si="88"/>
        <v>80000</v>
      </c>
      <c r="F585" s="34" t="s">
        <v>973</v>
      </c>
      <c r="G585" s="11" t="s">
        <v>906</v>
      </c>
      <c r="H585" s="31">
        <v>100000.0</v>
      </c>
      <c r="I585" s="11" t="s">
        <v>132</v>
      </c>
      <c r="J585" s="11" t="s">
        <v>1018</v>
      </c>
      <c r="K585" s="38">
        <f t="shared" si="64"/>
        <v>0.8</v>
      </c>
      <c r="L585" s="18" t="s">
        <v>910</v>
      </c>
      <c r="M585" s="18" t="s">
        <v>736</v>
      </c>
      <c r="N585" s="42"/>
      <c r="O585" s="42"/>
      <c r="P585" s="42"/>
      <c r="Q585" s="42" t="str">
        <f>iferror(VLOOKUP(A585,'Positional cal'!A:H,1,0)=A585,"FALSE")</f>
        <v>FALSE</v>
      </c>
      <c r="R585" s="43" t="b">
        <f t="shared" si="3"/>
        <v>0</v>
      </c>
      <c r="S585" s="46">
        <f>IFERROR(VLOOKUP($A585,AlgoUi!$A:$X,21,0),"NA")</f>
        <v>10000000</v>
      </c>
      <c r="T585" s="46">
        <f>IFERROR(VLOOKUP($A585,AlgoUi!$A:$X,23,0),"")</f>
        <v>10000000</v>
      </c>
      <c r="U585" s="46">
        <f>IFERROR(VLOOKUP($A585,AlgoUi!$A:$X,24,0),"")</f>
        <v>80000</v>
      </c>
      <c r="V585" s="42" t="str">
        <f>IFERROR(__xludf.DUMMYFUNCTION("IFERROR(VLOOKUP(I585,IMPORTRANGE(""https://docs.google.com/spreadsheets/d/17FOIUYQAjPk1pPQIlvOgqYDBqwUqgb7KWzp4DtVksBk/edit?gid=0#gid=0"",""Servers!A:S""),19,FALSE), ""Not Running"")"),"ANIKETG")</f>
        <v>ANIKETG</v>
      </c>
      <c r="W585" s="47" t="str">
        <f>VLOOKUP($A585,Category!$A:$E,4,0)</f>
        <v>MS</v>
      </c>
      <c r="X585" s="47" t="str">
        <f>VLOOKUP($A585,Category!$A:$E,5,0)</f>
        <v>MSR</v>
      </c>
      <c r="Y585" s="18" t="str">
        <f>VLOOKUP(A585,PAcc!$A$1:$J$27,10,0)</f>
        <v>#N/A</v>
      </c>
      <c r="Z585" s="42" t="b">
        <f t="shared" si="4"/>
        <v>1</v>
      </c>
      <c r="AA585" s="50">
        <v>0.4</v>
      </c>
      <c r="AB585" s="42" t="str">
        <f>VLOOKUP(A585,VlookupSheet!$A$383:$A$523,1,0)</f>
        <v>#N/A</v>
      </c>
      <c r="AC585" s="42"/>
      <c r="AD585" s="42">
        <f t="shared" si="89"/>
        <v>4000000</v>
      </c>
      <c r="AE585" s="42">
        <f t="shared" si="90"/>
        <v>40000</v>
      </c>
      <c r="AF585" s="123">
        <f t="shared" si="91"/>
        <v>-60000</v>
      </c>
    </row>
    <row r="586">
      <c r="A586" s="11" t="s">
        <v>2741</v>
      </c>
      <c r="B586" s="24" t="s">
        <v>3816</v>
      </c>
      <c r="C586" s="25"/>
      <c r="D586" s="11">
        <f t="shared" si="87"/>
        <v>0.8</v>
      </c>
      <c r="E586" s="11">
        <f t="shared" si="88"/>
        <v>32000</v>
      </c>
      <c r="F586" s="11" t="s">
        <v>716</v>
      </c>
      <c r="G586" s="11">
        <v>32000.0</v>
      </c>
      <c r="H586" s="31">
        <v>40000.0</v>
      </c>
      <c r="I586" s="11" t="s">
        <v>132</v>
      </c>
      <c r="J586" s="11" t="s">
        <v>1018</v>
      </c>
      <c r="K586" s="38">
        <f t="shared" si="64"/>
        <v>0.8</v>
      </c>
      <c r="L586" s="18" t="s">
        <v>910</v>
      </c>
      <c r="M586" s="18" t="s">
        <v>736</v>
      </c>
      <c r="N586" s="18">
        <v>1.0</v>
      </c>
      <c r="O586" s="18"/>
      <c r="P586" s="18" t="s">
        <v>848</v>
      </c>
      <c r="Q586" s="42" t="str">
        <f>iferror(VLOOKUP(A586,'Positional cal'!A:H,1,0)=A586,"FALSE")</f>
        <v>FALSE</v>
      </c>
      <c r="R586" s="43" t="b">
        <f t="shared" si="3"/>
        <v>0</v>
      </c>
      <c r="S586" s="46">
        <f>IFERROR(VLOOKUP($A586,AlgoUi!$A:$X,21,0),"NA")</f>
        <v>9999999</v>
      </c>
      <c r="T586" s="46">
        <f>IFERROR(VLOOKUP($A586,AlgoUi!$A:$X,23,0),"")</f>
        <v>10000000</v>
      </c>
      <c r="U586" s="46">
        <f>IFERROR(VLOOKUP($A586,AlgoUi!$A:$X,24,0),"")</f>
        <v>80000</v>
      </c>
      <c r="V586" s="42" t="str">
        <f>IFERROR(__xludf.DUMMYFUNCTION("IFERROR(VLOOKUP(I586,IMPORTRANGE(""https://docs.google.com/spreadsheets/d/17FOIUYQAjPk1pPQIlvOgqYDBqwUqgb7KWzp4DtVksBk/edit?gid=0#gid=0"",""Servers!A:S""),19,FALSE), ""Not Running"")"),"ANIKETG")</f>
        <v>ANIKETG</v>
      </c>
      <c r="W586" s="47" t="str">
        <f>VLOOKUP($A586,Category!$A:$E,4,0)</f>
        <v>MS</v>
      </c>
      <c r="X586" s="47" t="str">
        <f>VLOOKUP($A586,Category!$A:$E,5,0)</f>
        <v>MSS</v>
      </c>
      <c r="Y586" s="18" t="str">
        <f>VLOOKUP(A586,PAcc!$A$1:$J$27,10,0)</f>
        <v>#N/A</v>
      </c>
      <c r="Z586" s="42" t="b">
        <f t="shared" si="4"/>
        <v>0</v>
      </c>
      <c r="AA586" s="50">
        <v>0.4</v>
      </c>
      <c r="AB586" s="42" t="str">
        <f>VLOOKUP(A586,VlookupSheet!$A$383:$A$523,1,0)</f>
        <v>#N/A</v>
      </c>
      <c r="AC586" s="42"/>
      <c r="AD586" s="42">
        <f t="shared" si="89"/>
        <v>3999999.6</v>
      </c>
      <c r="AE586" s="42">
        <f t="shared" si="90"/>
        <v>40000</v>
      </c>
      <c r="AF586" s="123">
        <f t="shared" si="91"/>
        <v>0</v>
      </c>
    </row>
    <row r="587">
      <c r="A587" s="11" t="s">
        <v>2655</v>
      </c>
      <c r="B587" s="24" t="s">
        <v>2656</v>
      </c>
      <c r="C587" s="25"/>
      <c r="D587" s="11">
        <f t="shared" si="87"/>
        <v>0.8</v>
      </c>
      <c r="E587" s="11">
        <f t="shared" si="88"/>
        <v>16000</v>
      </c>
      <c r="F587" s="30" t="s">
        <v>311</v>
      </c>
      <c r="G587" s="11">
        <v>16000.0</v>
      </c>
      <c r="H587" s="31">
        <v>20000.0</v>
      </c>
      <c r="I587" s="18" t="s">
        <v>132</v>
      </c>
      <c r="J587" s="11" t="s">
        <v>1018</v>
      </c>
      <c r="K587" s="38">
        <f t="shared" si="64"/>
        <v>0.8</v>
      </c>
      <c r="L587" s="18" t="s">
        <v>910</v>
      </c>
      <c r="M587" s="18" t="s">
        <v>736</v>
      </c>
      <c r="N587" s="42"/>
      <c r="O587" s="42"/>
      <c r="P587" s="42"/>
      <c r="Q587" s="42" t="str">
        <f>iferror(VLOOKUP(A587,'Positional cal'!A:H,1,0)=A587,"FALSE")</f>
        <v>FALSE</v>
      </c>
      <c r="R587" s="43" t="b">
        <f t="shared" si="3"/>
        <v>0</v>
      </c>
      <c r="S587" s="46">
        <f>IFERROR(VLOOKUP($A587,AlgoUi!$A:$X,21,0),"NA")</f>
        <v>6377247</v>
      </c>
      <c r="T587" s="46">
        <f>IFERROR(VLOOKUP($A587,AlgoUi!$A:$X,23,0),"")</f>
        <v>6000000</v>
      </c>
      <c r="U587" s="46">
        <f>IFERROR(VLOOKUP($A587,AlgoUi!$A:$X,24,0),"")</f>
        <v>48000</v>
      </c>
      <c r="V587" s="42" t="str">
        <f>IFERROR(__xludf.DUMMYFUNCTION("IFERROR(VLOOKUP(I587,IMPORTRANGE(""https://docs.google.com/spreadsheets/d/17FOIUYQAjPk1pPQIlvOgqYDBqwUqgb7KWzp4DtVksBk/edit?gid=0#gid=0"",""Servers!A:S""),19,FALSE), ""Not Running"")"),"ANIKETG")</f>
        <v>ANIKETG</v>
      </c>
      <c r="W587" s="47" t="str">
        <f>VLOOKUP($A587,Category!$A:$E,4,0)</f>
        <v>MS</v>
      </c>
      <c r="X587" s="47" t="str">
        <f>VLOOKUP($A587,Category!$A:$E,5,0)</f>
        <v>MSR</v>
      </c>
      <c r="Y587" s="18" t="str">
        <f>VLOOKUP(A587,PAcc!$A$1:$J$27,10,0)</f>
        <v>#N/A</v>
      </c>
      <c r="Z587" s="42" t="b">
        <f t="shared" si="4"/>
        <v>0</v>
      </c>
      <c r="AA587" s="50">
        <v>0.4</v>
      </c>
      <c r="AB587" s="42" t="str">
        <f>VLOOKUP(A587,VlookupSheet!$A$383:$A$523,1,0)</f>
        <v>#N/A</v>
      </c>
      <c r="AC587" s="42"/>
      <c r="AD587" s="42">
        <f t="shared" si="89"/>
        <v>2550898.8</v>
      </c>
      <c r="AE587" s="42">
        <f t="shared" si="90"/>
        <v>20000</v>
      </c>
      <c r="AF587" s="123">
        <f t="shared" si="91"/>
        <v>0</v>
      </c>
    </row>
    <row r="588">
      <c r="A588" s="11" t="s">
        <v>2889</v>
      </c>
      <c r="B588" s="24" t="s">
        <v>2890</v>
      </c>
      <c r="C588" s="25"/>
      <c r="D588" s="11">
        <f t="shared" si="87"/>
        <v>0.8</v>
      </c>
      <c r="E588" s="11">
        <f t="shared" si="88"/>
        <v>32000</v>
      </c>
      <c r="F588" s="11" t="s">
        <v>716</v>
      </c>
      <c r="G588" s="11">
        <v>32000.0</v>
      </c>
      <c r="H588" s="31">
        <v>40000.0</v>
      </c>
      <c r="I588" s="11" t="s">
        <v>132</v>
      </c>
      <c r="J588" s="11" t="s">
        <v>1018</v>
      </c>
      <c r="K588" s="38">
        <f t="shared" si="64"/>
        <v>0.8</v>
      </c>
      <c r="L588" s="18" t="s">
        <v>910</v>
      </c>
      <c r="M588" s="18" t="s">
        <v>736</v>
      </c>
      <c r="N588" s="18">
        <v>1.0</v>
      </c>
      <c r="O588" s="18"/>
      <c r="P588" s="18" t="s">
        <v>848</v>
      </c>
      <c r="Q588" s="42" t="str">
        <f>iferror(VLOOKUP(A588,'Positional cal'!A:H,1,0)=A588,"FALSE")</f>
        <v>FALSE</v>
      </c>
      <c r="R588" s="43" t="b">
        <f t="shared" si="3"/>
        <v>0</v>
      </c>
      <c r="S588" s="46">
        <f>IFERROR(VLOOKUP($A588,AlgoUi!$A:$X,21,0),"NA")</f>
        <v>10000000</v>
      </c>
      <c r="T588" s="46">
        <f>IFERROR(VLOOKUP($A588,AlgoUi!$A:$X,23,0),"")</f>
        <v>10000000</v>
      </c>
      <c r="U588" s="46">
        <f>IFERROR(VLOOKUP($A588,AlgoUi!$A:$X,24,0),"")</f>
        <v>80000</v>
      </c>
      <c r="V588" s="42" t="str">
        <f>IFERROR(__xludf.DUMMYFUNCTION("IFERROR(VLOOKUP(I588,IMPORTRANGE(""https://docs.google.com/spreadsheets/d/17FOIUYQAjPk1pPQIlvOgqYDBqwUqgb7KWzp4DtVksBk/edit?gid=0#gid=0"",""Servers!A:S""),19,FALSE), ""Not Running"")"),"ANIKETG")</f>
        <v>ANIKETG</v>
      </c>
      <c r="W588" s="47" t="str">
        <f>VLOOKUP($A588,Category!$A:$E,4,0)</f>
        <v>MS</v>
      </c>
      <c r="X588" s="47" t="str">
        <f>VLOOKUP($A588,Category!$A:$E,5,0)</f>
        <v>MSS</v>
      </c>
      <c r="Y588" s="18" t="str">
        <f>VLOOKUP(A588,PAcc!$A$1:$J$27,10,0)</f>
        <v>#N/A</v>
      </c>
      <c r="Z588" s="42" t="b">
        <f t="shared" si="4"/>
        <v>0</v>
      </c>
      <c r="AA588" s="50">
        <v>0.4</v>
      </c>
      <c r="AB588" s="42" t="str">
        <f>VLOOKUP(A588,VlookupSheet!$A$383:$A$523,1,0)</f>
        <v>#N/A</v>
      </c>
      <c r="AC588" s="42"/>
      <c r="AD588" s="42">
        <f t="shared" si="89"/>
        <v>4000000</v>
      </c>
      <c r="AE588" s="42">
        <f t="shared" si="90"/>
        <v>40000</v>
      </c>
      <c r="AF588" s="123">
        <f t="shared" si="91"/>
        <v>0</v>
      </c>
    </row>
    <row r="589">
      <c r="A589" s="11" t="s">
        <v>2723</v>
      </c>
      <c r="B589" s="24" t="s">
        <v>3567</v>
      </c>
      <c r="C589" s="25"/>
      <c r="D589" s="11">
        <f t="shared" si="87"/>
        <v>0.8</v>
      </c>
      <c r="E589" s="11">
        <f t="shared" si="88"/>
        <v>32000</v>
      </c>
      <c r="F589" s="11" t="s">
        <v>716</v>
      </c>
      <c r="G589" s="11">
        <v>32000.0</v>
      </c>
      <c r="H589" s="31">
        <v>40000.0</v>
      </c>
      <c r="I589" s="11" t="s">
        <v>1017</v>
      </c>
      <c r="J589" s="11" t="s">
        <v>1018</v>
      </c>
      <c r="K589" s="38">
        <f t="shared" si="64"/>
        <v>0.8</v>
      </c>
      <c r="L589" s="18" t="s">
        <v>910</v>
      </c>
      <c r="M589" s="18" t="s">
        <v>736</v>
      </c>
      <c r="N589" s="18">
        <v>1.0</v>
      </c>
      <c r="O589" s="34"/>
      <c r="P589" s="34" t="s">
        <v>848</v>
      </c>
      <c r="Q589" s="42" t="str">
        <f>iferror(VLOOKUP(A589,'Positional cal'!A:H,1,0)=A589,"FALSE")</f>
        <v>FALSE</v>
      </c>
      <c r="R589" s="43" t="b">
        <f t="shared" si="3"/>
        <v>0</v>
      </c>
      <c r="S589" s="46">
        <f>IFERROR(VLOOKUP($A589,AlgoUi!$A:$X,21,0),"NA")</f>
        <v>9999999</v>
      </c>
      <c r="T589" s="46">
        <f>IFERROR(VLOOKUP($A589,AlgoUi!$A:$X,23,0),"")</f>
        <v>10000000</v>
      </c>
      <c r="U589" s="46">
        <f>IFERROR(VLOOKUP($A589,AlgoUi!$A:$X,24,0),"")</f>
        <v>80000</v>
      </c>
      <c r="V589" s="42" t="str">
        <f>IFERROR(__xludf.DUMMYFUNCTION("IFERROR(VLOOKUP(I589,IMPORTRANGE(""https://docs.google.com/spreadsheets/d/17FOIUYQAjPk1pPQIlvOgqYDBqwUqgb7KWzp4DtVksBk/edit?gid=0#gid=0"",""Servers!A:S""),19,FALSE), ""Not Running"")"),"DUSHYANT")</f>
        <v>DUSHYANT</v>
      </c>
      <c r="W589" s="47" t="str">
        <f>VLOOKUP($A589,Category!$A:$E,4,0)</f>
        <v>MS</v>
      </c>
      <c r="X589" s="47" t="str">
        <f>VLOOKUP($A589,Category!$A:$E,5,0)</f>
        <v>MSS</v>
      </c>
      <c r="Y589" s="18" t="str">
        <f>VLOOKUP(A589,PAcc!$A$1:$J$27,10,0)</f>
        <v>#N/A</v>
      </c>
      <c r="Z589" s="42" t="b">
        <f t="shared" si="4"/>
        <v>0</v>
      </c>
      <c r="AA589" s="50">
        <v>0.4</v>
      </c>
      <c r="AB589" s="42" t="str">
        <f>VLOOKUP(A589,VlookupSheet!$A$383:$A$523,1,0)</f>
        <v>#N/A</v>
      </c>
      <c r="AC589" s="42"/>
      <c r="AD589" s="42">
        <f t="shared" si="89"/>
        <v>3999999.6</v>
      </c>
      <c r="AE589" s="42">
        <f t="shared" si="90"/>
        <v>40000</v>
      </c>
      <c r="AF589" s="123">
        <f t="shared" si="91"/>
        <v>0</v>
      </c>
    </row>
    <row r="590">
      <c r="A590" s="11" t="s">
        <v>155</v>
      </c>
      <c r="B590" s="24" t="s">
        <v>2521</v>
      </c>
      <c r="C590" s="25"/>
      <c r="D590" s="11">
        <f t="shared" si="87"/>
        <v>0.8</v>
      </c>
      <c r="E590" s="11">
        <f t="shared" si="88"/>
        <v>64000</v>
      </c>
      <c r="F590" s="30" t="s">
        <v>311</v>
      </c>
      <c r="G590" s="11">
        <v>64000.0</v>
      </c>
      <c r="H590" s="31">
        <v>80000.0</v>
      </c>
      <c r="I590" s="34" t="s">
        <v>132</v>
      </c>
      <c r="J590" s="11" t="s">
        <v>1018</v>
      </c>
      <c r="K590" s="38">
        <f t="shared" si="64"/>
        <v>0.8</v>
      </c>
      <c r="L590" s="18" t="s">
        <v>910</v>
      </c>
      <c r="M590" s="18" t="s">
        <v>736</v>
      </c>
      <c r="N590" s="42"/>
      <c r="O590" s="42"/>
      <c r="P590" s="42"/>
      <c r="Q590" s="42" t="str">
        <f>iferror(VLOOKUP(A590,'Positional cal'!A:H,1,0)=A590,"FALSE")</f>
        <v>FALSE</v>
      </c>
      <c r="R590" s="43" t="b">
        <f t="shared" si="3"/>
        <v>0</v>
      </c>
      <c r="S590" s="46">
        <f>IFERROR(VLOOKUP($A590,AlgoUi!$A:$X,21,0),"NA")</f>
        <v>19089999</v>
      </c>
      <c r="T590" s="46">
        <f>IFERROR(VLOOKUP($A590,AlgoUi!$A:$X,23,0),"")</f>
        <v>20000000</v>
      </c>
      <c r="U590" s="46">
        <f>IFERROR(VLOOKUP($A590,AlgoUi!$A:$X,24,0),"")</f>
        <v>160000</v>
      </c>
      <c r="V590" s="42" t="str">
        <f>IFERROR(__xludf.DUMMYFUNCTION("IFERROR(VLOOKUP(I590,IMPORTRANGE(""https://docs.google.com/spreadsheets/d/17FOIUYQAjPk1pPQIlvOgqYDBqwUqgb7KWzp4DtVksBk/edit?gid=0#gid=0"",""Servers!A:S""),19,FALSE), ""Not Running"")"),"ANIKETG")</f>
        <v>ANIKETG</v>
      </c>
      <c r="W590" s="47" t="str">
        <f>VLOOKUP($A590,Category!$A:$E,4,0)</f>
        <v>MS</v>
      </c>
      <c r="X590" s="47" t="str">
        <f>VLOOKUP($A590,Category!$A:$E,5,0)</f>
        <v>MSR</v>
      </c>
      <c r="Y590" s="18" t="str">
        <f>VLOOKUP(A590,PAcc!$A$1:$J$27,10,0)</f>
        <v>#N/A</v>
      </c>
      <c r="Z590" s="42" t="b">
        <f t="shared" si="4"/>
        <v>0</v>
      </c>
      <c r="AA590" s="50">
        <v>0.4</v>
      </c>
      <c r="AB590" s="42" t="str">
        <f>VLOOKUP(A590,VlookupSheet!$A$383:$A$523,1,0)</f>
        <v>#N/A</v>
      </c>
      <c r="AC590" s="42"/>
      <c r="AD590" s="42">
        <f t="shared" si="89"/>
        <v>7635999.6</v>
      </c>
      <c r="AE590" s="42">
        <f t="shared" si="90"/>
        <v>80000</v>
      </c>
      <c r="AF590" s="123">
        <f t="shared" si="91"/>
        <v>0</v>
      </c>
    </row>
    <row r="591">
      <c r="A591" s="11" t="s">
        <v>2754</v>
      </c>
      <c r="B591" s="24" t="s">
        <v>3613</v>
      </c>
      <c r="C591" s="25"/>
      <c r="D591" s="11">
        <f t="shared" si="87"/>
        <v>0.8</v>
      </c>
      <c r="E591" s="11">
        <f t="shared" si="88"/>
        <v>32000</v>
      </c>
      <c r="F591" s="11" t="s">
        <v>716</v>
      </c>
      <c r="G591" s="11">
        <v>32000.0</v>
      </c>
      <c r="H591" s="31">
        <v>40000.0</v>
      </c>
      <c r="I591" s="18" t="s">
        <v>1017</v>
      </c>
      <c r="J591" s="11" t="s">
        <v>1018</v>
      </c>
      <c r="K591" s="38">
        <f t="shared" si="64"/>
        <v>0.8</v>
      </c>
      <c r="L591" s="18" t="s">
        <v>910</v>
      </c>
      <c r="M591" s="18" t="s">
        <v>736</v>
      </c>
      <c r="N591" s="18">
        <v>1.0</v>
      </c>
      <c r="O591" s="18"/>
      <c r="P591" s="18" t="s">
        <v>848</v>
      </c>
      <c r="Q591" s="42" t="str">
        <f>iferror(VLOOKUP(A591,'Positional cal'!A:H,1,0)=A591,"FALSE")</f>
        <v>FALSE</v>
      </c>
      <c r="R591" s="43" t="b">
        <f t="shared" si="3"/>
        <v>0</v>
      </c>
      <c r="S591" s="46">
        <f>IFERROR(VLOOKUP($A591,AlgoUi!$A:$X,21,0),"NA")</f>
        <v>9195189</v>
      </c>
      <c r="T591" s="46">
        <f>IFERROR(VLOOKUP($A591,AlgoUi!$A:$X,23,0),"")</f>
        <v>10000000</v>
      </c>
      <c r="U591" s="46">
        <f>IFERROR(VLOOKUP($A591,AlgoUi!$A:$X,24,0),"")</f>
        <v>80000</v>
      </c>
      <c r="V591" s="42" t="str">
        <f>IFERROR(__xludf.DUMMYFUNCTION("IFERROR(VLOOKUP(I591,IMPORTRANGE(""https://docs.google.com/spreadsheets/d/17FOIUYQAjPk1pPQIlvOgqYDBqwUqgb7KWzp4DtVksBk/edit?gid=0#gid=0"",""Servers!A:S""),19,FALSE), ""Not Running"")"),"DUSHYANT")</f>
        <v>DUSHYANT</v>
      </c>
      <c r="W591" s="47" t="str">
        <f>VLOOKUP($A591,Category!$A:$E,4,0)</f>
        <v>MS</v>
      </c>
      <c r="X591" s="47" t="str">
        <f>VLOOKUP($A591,Category!$A:$E,5,0)</f>
        <v>MSS</v>
      </c>
      <c r="Y591" s="18" t="str">
        <f>VLOOKUP(A591,PAcc!$A$1:$J$27,10,0)</f>
        <v>#N/A</v>
      </c>
      <c r="Z591" s="42" t="b">
        <f t="shared" si="4"/>
        <v>0</v>
      </c>
      <c r="AA591" s="50">
        <v>0.4</v>
      </c>
      <c r="AB591" s="42" t="str">
        <f>VLOOKUP(A591,VlookupSheet!$A$383:$A$523,1,0)</f>
        <v>#N/A</v>
      </c>
      <c r="AC591" s="42"/>
      <c r="AD591" s="42">
        <f t="shared" si="89"/>
        <v>3678075.6</v>
      </c>
      <c r="AE591" s="42">
        <f t="shared" si="90"/>
        <v>40000</v>
      </c>
      <c r="AF591" s="123">
        <f t="shared" si="91"/>
        <v>0</v>
      </c>
    </row>
    <row r="592">
      <c r="A592" s="11" t="s">
        <v>133</v>
      </c>
      <c r="B592" s="24" t="s">
        <v>2852</v>
      </c>
      <c r="C592" s="25"/>
      <c r="D592" s="11">
        <f t="shared" si="87"/>
        <v>0.8</v>
      </c>
      <c r="E592" s="11">
        <f t="shared" si="88"/>
        <v>48000</v>
      </c>
      <c r="F592" s="30" t="s">
        <v>311</v>
      </c>
      <c r="G592" s="11" t="s">
        <v>1219</v>
      </c>
      <c r="H592" s="31">
        <v>60000.0</v>
      </c>
      <c r="I592" s="11" t="s">
        <v>132</v>
      </c>
      <c r="J592" s="11" t="s">
        <v>1018</v>
      </c>
      <c r="K592" s="38">
        <f t="shared" si="64"/>
        <v>0.8</v>
      </c>
      <c r="L592" s="18" t="s">
        <v>910</v>
      </c>
      <c r="M592" s="18" t="s">
        <v>736</v>
      </c>
      <c r="N592" s="42"/>
      <c r="O592" s="42"/>
      <c r="P592" s="42"/>
      <c r="Q592" s="42" t="str">
        <f>iferror(VLOOKUP(A592,'Positional cal'!A:H,1,0)=A592,"FALSE")</f>
        <v>FALSE</v>
      </c>
      <c r="R592" s="43" t="b">
        <f t="shared" si="3"/>
        <v>0</v>
      </c>
      <c r="S592" s="46">
        <f>IFERROR(VLOOKUP($A592,AlgoUi!$A:$X,21,0),"NA")</f>
        <v>12578580</v>
      </c>
      <c r="T592" s="46">
        <f>IFERROR(VLOOKUP($A592,AlgoUi!$A:$X,23,0),"")</f>
        <v>12000000</v>
      </c>
      <c r="U592" s="46">
        <f>IFERROR(VLOOKUP($A592,AlgoUi!$A:$X,24,0),"")</f>
        <v>96000</v>
      </c>
      <c r="V592" s="42" t="str">
        <f>IFERROR(__xludf.DUMMYFUNCTION("IFERROR(VLOOKUP(I592,IMPORTRANGE(""https://docs.google.com/spreadsheets/d/17FOIUYQAjPk1pPQIlvOgqYDBqwUqgb7KWzp4DtVksBk/edit?gid=0#gid=0"",""Servers!A:S""),19,FALSE), ""Not Running"")"),"ANIKETG")</f>
        <v>ANIKETG</v>
      </c>
      <c r="W592" s="47" t="str">
        <f>VLOOKUP($A592,Category!$A:$E,4,0)</f>
        <v>MS</v>
      </c>
      <c r="X592" s="47" t="str">
        <f>VLOOKUP($A592,Category!$A:$E,5,0)</f>
        <v>MSP</v>
      </c>
      <c r="Y592" s="18" t="str">
        <f>VLOOKUP(A592,PAcc!$A$1:$J$27,10,0)</f>
        <v>#N/A</v>
      </c>
      <c r="Z592" s="42" t="b">
        <f t="shared" si="4"/>
        <v>0</v>
      </c>
      <c r="AA592" s="50">
        <v>0.4</v>
      </c>
      <c r="AB592" s="42" t="str">
        <f>VLOOKUP(A592,VlookupSheet!$A$383:$A$523,1,0)</f>
        <v>#N/A</v>
      </c>
      <c r="AC592" s="42"/>
      <c r="AD592" s="42">
        <f t="shared" si="89"/>
        <v>5031432</v>
      </c>
      <c r="AE592" s="42">
        <f t="shared" si="90"/>
        <v>60000</v>
      </c>
      <c r="AF592" s="123">
        <f t="shared" si="91"/>
        <v>0</v>
      </c>
    </row>
    <row r="593">
      <c r="A593" s="11" t="s">
        <v>2894</v>
      </c>
      <c r="B593" s="24" t="s">
        <v>2895</v>
      </c>
      <c r="C593" s="25"/>
      <c r="D593" s="11">
        <f t="shared" si="87"/>
        <v>0.8</v>
      </c>
      <c r="E593" s="11">
        <f t="shared" si="88"/>
        <v>32000</v>
      </c>
      <c r="F593" s="11" t="s">
        <v>716</v>
      </c>
      <c r="G593" s="11">
        <v>32000.0</v>
      </c>
      <c r="H593" s="31">
        <v>40000.0</v>
      </c>
      <c r="I593" s="11" t="s">
        <v>132</v>
      </c>
      <c r="J593" s="11" t="s">
        <v>1018</v>
      </c>
      <c r="K593" s="173">
        <v>0.8</v>
      </c>
      <c r="L593" s="18" t="s">
        <v>910</v>
      </c>
      <c r="M593" s="18" t="s">
        <v>736</v>
      </c>
      <c r="N593" s="18">
        <v>1.0</v>
      </c>
      <c r="O593" s="18"/>
      <c r="P593" s="18" t="s">
        <v>848</v>
      </c>
      <c r="Q593" s="42" t="str">
        <f>iferror(VLOOKUP(A593,'Positional cal'!A:H,1,0)=A593,"FALSE")</f>
        <v>FALSE</v>
      </c>
      <c r="R593" s="43" t="b">
        <f t="shared" si="3"/>
        <v>0</v>
      </c>
      <c r="S593" s="46">
        <f>IFERROR(VLOOKUP($A593,AlgoUi!$A:$X,21,0),"NA")</f>
        <v>75772745</v>
      </c>
      <c r="T593" s="46">
        <f>IFERROR(VLOOKUP($A593,AlgoUi!$A:$X,23,0),"")</f>
        <v>76000000</v>
      </c>
      <c r="U593" s="46">
        <f>IFERROR(VLOOKUP($A593,AlgoUi!$A:$X,24,0),"")</f>
        <v>608000</v>
      </c>
      <c r="V593" s="42" t="str">
        <f>IFERROR(__xludf.DUMMYFUNCTION("IFERROR(VLOOKUP(I593,IMPORTRANGE(""https://docs.google.com/spreadsheets/d/17FOIUYQAjPk1pPQIlvOgqYDBqwUqgb7KWzp4DtVksBk/edit?gid=0#gid=0"",""Servers!A:S""),19,FALSE), ""Not Running"")"),"ANIKETG")</f>
        <v>ANIKETG</v>
      </c>
      <c r="W593" s="47" t="str">
        <f>VLOOKUP($A593,Category!$A:$E,4,0)</f>
        <v>MS</v>
      </c>
      <c r="X593" s="47" t="str">
        <f>VLOOKUP($A593,Category!$A:$E,5,0)</f>
        <v>MSS</v>
      </c>
      <c r="Y593" s="18" t="str">
        <f>VLOOKUP(A593,PAcc!$A$1:$J$27,10,0)</f>
        <v>#N/A</v>
      </c>
      <c r="Z593" s="42" t="b">
        <f t="shared" si="4"/>
        <v>0</v>
      </c>
      <c r="AA593" s="50">
        <v>0.4</v>
      </c>
      <c r="AB593" s="42" t="str">
        <f>VLOOKUP(A593,VlookupSheet!$A$383:$A$523,1,0)</f>
        <v>#N/A</v>
      </c>
      <c r="AC593" s="42"/>
      <c r="AD593" s="42">
        <f t="shared" si="89"/>
        <v>30309098</v>
      </c>
      <c r="AE593" s="42">
        <f t="shared" si="90"/>
        <v>300000</v>
      </c>
      <c r="AF593" s="123">
        <f t="shared" si="91"/>
        <v>260000</v>
      </c>
    </row>
    <row r="594">
      <c r="A594" s="11" t="s">
        <v>2900</v>
      </c>
      <c r="B594" s="24" t="s">
        <v>3777</v>
      </c>
      <c r="C594" s="25"/>
      <c r="D594" s="11">
        <f t="shared" si="87"/>
        <v>0.8</v>
      </c>
      <c r="E594" s="11">
        <f t="shared" si="88"/>
        <v>32000</v>
      </c>
      <c r="F594" s="11" t="s">
        <v>2902</v>
      </c>
      <c r="G594" s="11">
        <v>32000.0</v>
      </c>
      <c r="H594" s="31">
        <v>40000.0</v>
      </c>
      <c r="I594" s="11" t="s">
        <v>132</v>
      </c>
      <c r="J594" s="11" t="s">
        <v>1018</v>
      </c>
      <c r="K594" s="173">
        <v>0.8</v>
      </c>
      <c r="L594" s="18" t="s">
        <v>910</v>
      </c>
      <c r="M594" s="18" t="s">
        <v>736</v>
      </c>
      <c r="N594" s="18">
        <v>1.0</v>
      </c>
      <c r="O594" s="42"/>
      <c r="P594" s="42"/>
      <c r="Q594" s="42" t="str">
        <f>iferror(VLOOKUP(A594,'Positional cal'!A:H,1,0)=A594,"FALSE")</f>
        <v>FALSE</v>
      </c>
      <c r="R594" s="43" t="b">
        <f t="shared" si="3"/>
        <v>0</v>
      </c>
      <c r="S594" s="46">
        <f>IFERROR(VLOOKUP($A594,AlgoUi!$A:$X,21,0),"NA")</f>
        <v>10000000</v>
      </c>
      <c r="T594" s="46">
        <f>IFERROR(VLOOKUP($A594,AlgoUi!$A:$X,23,0),"")</f>
        <v>10000000</v>
      </c>
      <c r="U594" s="46">
        <f>IFERROR(VLOOKUP($A594,AlgoUi!$A:$X,24,0),"")</f>
        <v>80000</v>
      </c>
      <c r="V594" s="42" t="str">
        <f>IFERROR(__xludf.DUMMYFUNCTION("IFERROR(VLOOKUP(I594,IMPORTRANGE(""https://docs.google.com/spreadsheets/d/17FOIUYQAjPk1pPQIlvOgqYDBqwUqgb7KWzp4DtVksBk/edit?gid=0#gid=0"",""Servers!A:S""),19,FALSE), ""Not Running"")"),"ANIKETG")</f>
        <v>ANIKETG</v>
      </c>
      <c r="W594" s="47" t="str">
        <f>VLOOKUP($A594,Category!$A:$E,4,0)</f>
        <v>MS</v>
      </c>
      <c r="X594" s="47" t="str">
        <f>VLOOKUP($A594,Category!$A:$E,5,0)</f>
        <v>MSS</v>
      </c>
      <c r="Y594" s="18" t="str">
        <f>VLOOKUP(A594,PAcc!$A$1:$J$27,10,0)</f>
        <v>#N/A</v>
      </c>
      <c r="Z594" s="42" t="b">
        <f t="shared" si="4"/>
        <v>0</v>
      </c>
      <c r="AA594" s="50">
        <v>0.4</v>
      </c>
      <c r="AB594" s="42" t="str">
        <f>VLOOKUP(A594,VlookupSheet!$A$383:$A$523,1,0)</f>
        <v>#N/A</v>
      </c>
      <c r="AC594" s="42"/>
      <c r="AD594" s="42">
        <f t="shared" si="89"/>
        <v>4000000</v>
      </c>
      <c r="AE594" s="42">
        <f t="shared" si="90"/>
        <v>40000</v>
      </c>
      <c r="AF594" s="123">
        <f t="shared" si="91"/>
        <v>0</v>
      </c>
    </row>
    <row r="595">
      <c r="A595" s="11" t="s">
        <v>2903</v>
      </c>
      <c r="B595" s="24" t="s">
        <v>2904</v>
      </c>
      <c r="C595" s="25"/>
      <c r="D595" s="11">
        <f t="shared" si="87"/>
        <v>0.8</v>
      </c>
      <c r="E595" s="11">
        <f t="shared" si="88"/>
        <v>32000</v>
      </c>
      <c r="F595" s="11" t="s">
        <v>311</v>
      </c>
      <c r="G595" s="11" t="s">
        <v>1039</v>
      </c>
      <c r="H595" s="31">
        <v>40000.0</v>
      </c>
      <c r="I595" s="11" t="s">
        <v>132</v>
      </c>
      <c r="J595" s="11" t="s">
        <v>1018</v>
      </c>
      <c r="K595" s="173">
        <v>0.8</v>
      </c>
      <c r="L595" s="18" t="s">
        <v>910</v>
      </c>
      <c r="M595" s="18" t="s">
        <v>736</v>
      </c>
      <c r="N595" s="42"/>
      <c r="O595" s="42"/>
      <c r="P595" s="42"/>
      <c r="Q595" s="42" t="str">
        <f>iferror(VLOOKUP(A595,'Positional cal'!A:H,1,0)=A595,"FALSE")</f>
        <v>FALSE</v>
      </c>
      <c r="R595" s="43" t="b">
        <f t="shared" si="3"/>
        <v>0</v>
      </c>
      <c r="S595" s="46">
        <f>IFERROR(VLOOKUP($A595,AlgoUi!$A:$X,21,0),"NA")</f>
        <v>12001367</v>
      </c>
      <c r="T595" s="46">
        <f>IFERROR(VLOOKUP($A595,AlgoUi!$A:$X,23,0),"")</f>
        <v>12000000</v>
      </c>
      <c r="U595" s="46">
        <f>IFERROR(VLOOKUP($A595,AlgoUi!$A:$X,24,0),"")</f>
        <v>96000</v>
      </c>
      <c r="V595" s="42" t="str">
        <f>IFERROR(__xludf.DUMMYFUNCTION("IFERROR(VLOOKUP(I595,IMPORTRANGE(""https://docs.google.com/spreadsheets/d/17FOIUYQAjPk1pPQIlvOgqYDBqwUqgb7KWzp4DtVksBk/edit?gid=0#gid=0"",""Servers!A:S""),19,FALSE), ""Not Running"")"),"ANIKETG")</f>
        <v>ANIKETG</v>
      </c>
      <c r="W595" s="47" t="str">
        <f>VLOOKUP($A595,Category!$A:$E,4,0)</f>
        <v>MS</v>
      </c>
      <c r="X595" s="47" t="str">
        <f>VLOOKUP($A595,Category!$A:$E,5,0)</f>
        <v>MSR</v>
      </c>
      <c r="Y595" s="18" t="str">
        <f>VLOOKUP(A595,PAcc!$A$1:$J$27,10,0)</f>
        <v>#N/A</v>
      </c>
      <c r="Z595" s="42" t="b">
        <f t="shared" si="4"/>
        <v>0</v>
      </c>
      <c r="AA595" s="50">
        <v>0.4</v>
      </c>
      <c r="AB595" s="42" t="str">
        <f>VLOOKUP(A595,VlookupSheet!$A$383:$A$523,1,0)</f>
        <v>#N/A</v>
      </c>
      <c r="AC595" s="42"/>
      <c r="AD595" s="42">
        <f t="shared" si="89"/>
        <v>4800546.8</v>
      </c>
      <c r="AE595" s="42">
        <f t="shared" si="90"/>
        <v>40000</v>
      </c>
      <c r="AF595" s="123">
        <f t="shared" si="91"/>
        <v>0</v>
      </c>
    </row>
    <row r="596">
      <c r="A596" s="11" t="s">
        <v>2905</v>
      </c>
      <c r="B596" s="24" t="s">
        <v>2906</v>
      </c>
      <c r="C596" s="25"/>
      <c r="D596" s="11">
        <f t="shared" si="87"/>
        <v>0.8</v>
      </c>
      <c r="E596" s="11">
        <f t="shared" si="88"/>
        <v>32000</v>
      </c>
      <c r="F596" s="11" t="s">
        <v>716</v>
      </c>
      <c r="G596" s="11">
        <v>32000.0</v>
      </c>
      <c r="H596" s="31">
        <v>40000.0</v>
      </c>
      <c r="I596" s="11" t="s">
        <v>132</v>
      </c>
      <c r="J596" s="11" t="s">
        <v>1018</v>
      </c>
      <c r="K596" s="173">
        <v>0.8</v>
      </c>
      <c r="L596" s="18" t="s">
        <v>910</v>
      </c>
      <c r="M596" s="18" t="s">
        <v>736</v>
      </c>
      <c r="N596" s="18">
        <v>1.0</v>
      </c>
      <c r="O596" s="18"/>
      <c r="P596" s="18" t="s">
        <v>848</v>
      </c>
      <c r="Q596" s="42" t="str">
        <f>iferror(VLOOKUP(A596,'Positional cal'!A:H,1,0)=A596,"FALSE")</f>
        <v>FALSE</v>
      </c>
      <c r="R596" s="43" t="b">
        <f t="shared" si="3"/>
        <v>0</v>
      </c>
      <c r="S596" s="46">
        <f>IFERROR(VLOOKUP($A596,AlgoUi!$A:$X,21,0),"NA")</f>
        <v>10000000</v>
      </c>
      <c r="T596" s="46">
        <f>IFERROR(VLOOKUP($A596,AlgoUi!$A:$X,23,0),"")</f>
        <v>10000000</v>
      </c>
      <c r="U596" s="46">
        <f>IFERROR(VLOOKUP($A596,AlgoUi!$A:$X,24,0),"")</f>
        <v>80000</v>
      </c>
      <c r="V596" s="42" t="str">
        <f>IFERROR(__xludf.DUMMYFUNCTION("IFERROR(VLOOKUP(I596,IMPORTRANGE(""https://docs.google.com/spreadsheets/d/17FOIUYQAjPk1pPQIlvOgqYDBqwUqgb7KWzp4DtVksBk/edit?gid=0#gid=0"",""Servers!A:S""),19,FALSE), ""Not Running"")"),"ANIKETG")</f>
        <v>ANIKETG</v>
      </c>
      <c r="W596" s="47" t="str">
        <f>VLOOKUP($A596,Category!$A:$E,4,0)</f>
        <v>MS</v>
      </c>
      <c r="X596" s="47" t="str">
        <f>VLOOKUP($A596,Category!$A:$E,5,0)</f>
        <v>MSS</v>
      </c>
      <c r="Y596" s="18" t="str">
        <f>VLOOKUP(A596,PAcc!$A$1:$J$27,10,0)</f>
        <v>#N/A</v>
      </c>
      <c r="Z596" s="42" t="b">
        <f t="shared" si="4"/>
        <v>0</v>
      </c>
      <c r="AA596" s="50">
        <v>0.4</v>
      </c>
      <c r="AB596" s="42" t="str">
        <f>VLOOKUP(A596,VlookupSheet!$A$383:$A$523,1,0)</f>
        <v>#N/A</v>
      </c>
      <c r="AC596" s="42"/>
      <c r="AD596" s="42">
        <f t="shared" si="89"/>
        <v>4000000</v>
      </c>
      <c r="AE596" s="42">
        <f t="shared" si="90"/>
        <v>40000</v>
      </c>
      <c r="AF596" s="123">
        <f t="shared" si="91"/>
        <v>0</v>
      </c>
    </row>
    <row r="597">
      <c r="A597" s="30" t="s">
        <v>380</v>
      </c>
      <c r="B597" s="84" t="s">
        <v>796</v>
      </c>
      <c r="C597" s="85"/>
      <c r="D597" s="11" t="s">
        <v>874</v>
      </c>
      <c r="E597" s="11">
        <f>H597*D597</f>
        <v>2400000</v>
      </c>
      <c r="F597" s="30" t="s">
        <v>311</v>
      </c>
      <c r="G597" s="11">
        <v>2400000.0</v>
      </c>
      <c r="H597" s="31">
        <f>iferror(VLOOKUP(A597,'Positional cal'!A:H,4,0),"Not_positional")</f>
        <v>80000</v>
      </c>
      <c r="I597" s="34" t="s">
        <v>132</v>
      </c>
      <c r="J597" s="25" t="s">
        <v>1018</v>
      </c>
      <c r="K597" s="38">
        <f t="shared" ref="K597:K638" si="92">iferror(G597/H597,"-")</f>
        <v>30</v>
      </c>
      <c r="L597" s="18" t="s">
        <v>1068</v>
      </c>
      <c r="M597" s="18" t="s">
        <v>1077</v>
      </c>
      <c r="N597" s="74"/>
      <c r="O597" s="18">
        <v>0.0</v>
      </c>
      <c r="P597" s="74"/>
      <c r="Q597" s="42" t="b">
        <f>iferror(VLOOKUP(A597,'Positional cal'!A:H,1,0)=A597,"FALSE")</f>
        <v>1</v>
      </c>
      <c r="R597" s="43" t="b">
        <f t="shared" si="3"/>
        <v>0</v>
      </c>
      <c r="S597" s="46">
        <f>IFERROR(VLOOKUP($A597,AlgoUi!$A:$X,21,0),"NA")</f>
        <v>8471501</v>
      </c>
      <c r="T597" s="46">
        <f>IFERROR(VLOOKUP($A597,AlgoUi!$A:$X,23,0),"")</f>
        <v>8000000</v>
      </c>
      <c r="U597" s="46">
        <f>IFERROR(VLOOKUP($A597,AlgoUi!$A:$X,24,0),"")</f>
        <v>64000</v>
      </c>
      <c r="V597" s="42" t="str">
        <f>IFERROR(__xludf.DUMMYFUNCTION("IFERROR(VLOOKUP(I597,IMPORTRANGE(""https://docs.google.com/spreadsheets/d/17FOIUYQAjPk1pPQIlvOgqYDBqwUqgb7KWzp4DtVksBk/edit?gid=0#gid=0"",""Servers!A:S""),19,FALSE), ""Not Running"")"),"ANIKETG")</f>
        <v>ANIKETG</v>
      </c>
      <c r="W597" s="47" t="str">
        <f>VLOOKUP($A597,Category!$A:$E,4,0)</f>
        <v>CC</v>
      </c>
      <c r="X597" s="47" t="str">
        <f>VLOOKUP($A597,Category!$A:$E,5,0)</f>
        <v>PVT</v>
      </c>
      <c r="Y597" s="18" t="str">
        <f>VLOOKUP(A597,PAcc!$A$1:$J$27,10,0)</f>
        <v>VT Personal </v>
      </c>
      <c r="Z597" s="42" t="b">
        <f t="shared" si="4"/>
        <v>1</v>
      </c>
      <c r="AA597" s="50">
        <v>1.0</v>
      </c>
      <c r="AB597" s="25" t="str">
        <f>VLOOKUP(A597,VlookupSheet!$A$383:$A$523,1,0)</f>
        <v>MAKANSHA</v>
      </c>
      <c r="AC597" s="42"/>
      <c r="AD597" s="42">
        <f t="shared" si="89"/>
        <v>8471501</v>
      </c>
      <c r="AE597" s="42">
        <f t="shared" si="90"/>
        <v>80000</v>
      </c>
      <c r="AF597" s="123">
        <f t="shared" si="91"/>
        <v>0</v>
      </c>
    </row>
    <row r="598">
      <c r="A598" s="11" t="s">
        <v>2626</v>
      </c>
      <c r="B598" s="24" t="s">
        <v>3552</v>
      </c>
      <c r="C598" s="25"/>
      <c r="D598" s="11">
        <f t="shared" ref="D598:D603" si="93">IF(J598="7",0.8,1)</f>
        <v>0.8</v>
      </c>
      <c r="E598" s="11">
        <f t="shared" ref="E598:E603" si="94">D598*H598</f>
        <v>32000</v>
      </c>
      <c r="F598" s="11" t="s">
        <v>716</v>
      </c>
      <c r="G598" s="11">
        <v>32000.0</v>
      </c>
      <c r="H598" s="31">
        <v>40000.0</v>
      </c>
      <c r="I598" s="18" t="s">
        <v>132</v>
      </c>
      <c r="J598" s="11" t="s">
        <v>1018</v>
      </c>
      <c r="K598" s="38">
        <f t="shared" si="92"/>
        <v>0.8</v>
      </c>
      <c r="L598" s="18" t="s">
        <v>910</v>
      </c>
      <c r="M598" s="18" t="s">
        <v>736</v>
      </c>
      <c r="N598" s="18">
        <v>1.0</v>
      </c>
      <c r="O598" s="34"/>
      <c r="P598" s="34" t="s">
        <v>848</v>
      </c>
      <c r="Q598" s="42" t="str">
        <f>iferror(VLOOKUP(A598,'Positional cal'!A:H,1,0)=A598,"FALSE")</f>
        <v>FALSE</v>
      </c>
      <c r="R598" s="43" t="b">
        <f t="shared" si="3"/>
        <v>0</v>
      </c>
      <c r="S598" s="46">
        <f>IFERROR(VLOOKUP($A598,AlgoUi!$A:$X,21,0),"NA")</f>
        <v>10636513</v>
      </c>
      <c r="T598" s="46">
        <f>IFERROR(VLOOKUP($A598,AlgoUi!$A:$X,23,0),"")</f>
        <v>10000000</v>
      </c>
      <c r="U598" s="46">
        <f>IFERROR(VLOOKUP($A598,AlgoUi!$A:$X,24,0),"")</f>
        <v>80000</v>
      </c>
      <c r="V598" s="42" t="str">
        <f>IFERROR(__xludf.DUMMYFUNCTION("IFERROR(VLOOKUP(I598,IMPORTRANGE(""https://docs.google.com/spreadsheets/d/17FOIUYQAjPk1pPQIlvOgqYDBqwUqgb7KWzp4DtVksBk/edit?gid=0#gid=0"",""Servers!A:S""),19,FALSE), ""Not Running"")"),"ANIKETG")</f>
        <v>ANIKETG</v>
      </c>
      <c r="W598" s="47" t="str">
        <f>VLOOKUP($A598,Category!$A:$E,4,0)</f>
        <v>MS</v>
      </c>
      <c r="X598" s="47" t="str">
        <f>VLOOKUP($A598,Category!$A:$E,5,0)</f>
        <v>MSS</v>
      </c>
      <c r="Y598" s="18" t="str">
        <f>VLOOKUP(A598,PAcc!$A$1:$J$27,10,0)</f>
        <v>#N/A</v>
      </c>
      <c r="Z598" s="42" t="b">
        <f t="shared" si="4"/>
        <v>0</v>
      </c>
      <c r="AA598" s="50">
        <v>0.4</v>
      </c>
      <c r="AB598" s="42" t="str">
        <f>VLOOKUP(A598,VlookupSheet!$A$383:$A$523,1,0)</f>
        <v>#N/A</v>
      </c>
      <c r="AC598" s="42"/>
      <c r="AD598" s="42">
        <f t="shared" si="89"/>
        <v>4254605.2</v>
      </c>
      <c r="AE598" s="42">
        <f t="shared" si="90"/>
        <v>40000</v>
      </c>
      <c r="AF598" s="123">
        <f t="shared" si="91"/>
        <v>0</v>
      </c>
    </row>
    <row r="599">
      <c r="A599" s="75" t="s">
        <v>2921</v>
      </c>
      <c r="B599" s="145" t="s">
        <v>3787</v>
      </c>
      <c r="C599" s="25"/>
      <c r="D599" s="11">
        <f t="shared" si="93"/>
        <v>0.8</v>
      </c>
      <c r="E599" s="11">
        <f t="shared" si="94"/>
        <v>32000</v>
      </c>
      <c r="F599" s="11" t="s">
        <v>716</v>
      </c>
      <c r="G599" s="11">
        <v>32000.0</v>
      </c>
      <c r="H599" s="31">
        <v>40000.0</v>
      </c>
      <c r="I599" s="11" t="s">
        <v>132</v>
      </c>
      <c r="J599" s="11" t="s">
        <v>1018</v>
      </c>
      <c r="K599" s="38">
        <f t="shared" si="92"/>
        <v>0.8</v>
      </c>
      <c r="L599" s="18" t="s">
        <v>910</v>
      </c>
      <c r="M599" s="18" t="s">
        <v>736</v>
      </c>
      <c r="N599" s="18">
        <v>1.0</v>
      </c>
      <c r="O599" s="18"/>
      <c r="P599" s="18" t="s">
        <v>3899</v>
      </c>
      <c r="Q599" s="42" t="str">
        <f>iferror(VLOOKUP(A599,'Positional cal'!A:H,1,0)=A599,"FALSE")</f>
        <v>FALSE</v>
      </c>
      <c r="R599" s="43" t="b">
        <f t="shared" si="3"/>
        <v>0</v>
      </c>
      <c r="S599" s="46">
        <f>IFERROR(VLOOKUP($A599,AlgoUi!$A:$X,21,0),"NA")</f>
        <v>13490772</v>
      </c>
      <c r="T599" s="46">
        <f>IFERROR(VLOOKUP($A599,AlgoUi!$A:$X,23,0),"")</f>
        <v>14000000</v>
      </c>
      <c r="U599" s="46">
        <f>IFERROR(VLOOKUP($A599,AlgoUi!$A:$X,24,0),"")</f>
        <v>112000</v>
      </c>
      <c r="V599" s="42" t="str">
        <f>IFERROR(__xludf.DUMMYFUNCTION("IFERROR(VLOOKUP(I599,IMPORTRANGE(""https://docs.google.com/spreadsheets/d/17FOIUYQAjPk1pPQIlvOgqYDBqwUqgb7KWzp4DtVksBk/edit?gid=0#gid=0"",""Servers!A:S""),19,FALSE), ""Not Running"")"),"ANIKETG")</f>
        <v>ANIKETG</v>
      </c>
      <c r="W599" s="47" t="str">
        <f>VLOOKUP($A599,Category!$A:$E,4,0)</f>
        <v>MS</v>
      </c>
      <c r="X599" s="47" t="str">
        <f>VLOOKUP($A599,Category!$A:$E,5,0)</f>
        <v>MSS</v>
      </c>
      <c r="Y599" s="18" t="str">
        <f>VLOOKUP(A599,PAcc!$A$1:$J$27,10,0)</f>
        <v>#N/A</v>
      </c>
      <c r="Z599" s="42" t="b">
        <f t="shared" si="4"/>
        <v>0</v>
      </c>
      <c r="AA599" s="50">
        <v>0.4</v>
      </c>
      <c r="AB599" s="42" t="str">
        <f>VLOOKUP(A599,VlookupSheet!$A$383:$A$523,1,0)</f>
        <v>#N/A</v>
      </c>
      <c r="AC599" s="42"/>
      <c r="AD599" s="42">
        <f t="shared" si="89"/>
        <v>5396308.8</v>
      </c>
      <c r="AE599" s="42">
        <f t="shared" si="90"/>
        <v>60000</v>
      </c>
      <c r="AF599" s="123">
        <f t="shared" si="91"/>
        <v>20000</v>
      </c>
    </row>
    <row r="600">
      <c r="A600" s="11" t="s">
        <v>2924</v>
      </c>
      <c r="B600" s="24" t="s">
        <v>180</v>
      </c>
      <c r="C600" s="25"/>
      <c r="D600" s="11">
        <f t="shared" si="93"/>
        <v>0.8</v>
      </c>
      <c r="E600" s="11">
        <f t="shared" si="94"/>
        <v>32000</v>
      </c>
      <c r="F600" s="11" t="s">
        <v>311</v>
      </c>
      <c r="G600" s="11" t="s">
        <v>1039</v>
      </c>
      <c r="H600" s="31">
        <v>40000.0</v>
      </c>
      <c r="I600" s="11" t="s">
        <v>132</v>
      </c>
      <c r="J600" s="11" t="s">
        <v>1018</v>
      </c>
      <c r="K600" s="38">
        <f t="shared" si="92"/>
        <v>0.8</v>
      </c>
      <c r="L600" s="18" t="s">
        <v>910</v>
      </c>
      <c r="M600" s="18" t="s">
        <v>736</v>
      </c>
      <c r="N600" s="42"/>
      <c r="O600" s="42"/>
      <c r="P600" s="42"/>
      <c r="Q600" s="42" t="str">
        <f>iferror(VLOOKUP(A600,'Positional cal'!A:H,1,0)=A600,"FALSE")</f>
        <v>FALSE</v>
      </c>
      <c r="R600" s="43" t="b">
        <f t="shared" si="3"/>
        <v>0</v>
      </c>
      <c r="S600" s="46">
        <f>IFERROR(VLOOKUP($A600,AlgoUi!$A:$X,21,0),"NA")</f>
        <v>11455129</v>
      </c>
      <c r="T600" s="46">
        <f>IFERROR(VLOOKUP($A600,AlgoUi!$A:$X,23,0),"")</f>
        <v>12000000</v>
      </c>
      <c r="U600" s="46">
        <f>IFERROR(VLOOKUP($A600,AlgoUi!$A:$X,24,0),"")</f>
        <v>96000</v>
      </c>
      <c r="V600" s="42" t="str">
        <f>IFERROR(__xludf.DUMMYFUNCTION("IFERROR(VLOOKUP(I600,IMPORTRANGE(""https://docs.google.com/spreadsheets/d/17FOIUYQAjPk1pPQIlvOgqYDBqwUqgb7KWzp4DtVksBk/edit?gid=0#gid=0"",""Servers!A:S""),19,FALSE), ""Not Running"")"),"ANIKETG")</f>
        <v>ANIKETG</v>
      </c>
      <c r="W600" s="47" t="str">
        <f>VLOOKUP($A600,Category!$A:$E,4,0)</f>
        <v>MS</v>
      </c>
      <c r="X600" s="47" t="str">
        <f>VLOOKUP($A600,Category!$A:$E,5,0)</f>
        <v>MSR</v>
      </c>
      <c r="Y600" s="18" t="str">
        <f>VLOOKUP(A600,PAcc!$A$1:$J$27,10,0)</f>
        <v>#N/A</v>
      </c>
      <c r="Z600" s="42" t="b">
        <f t="shared" si="4"/>
        <v>0</v>
      </c>
      <c r="AA600" s="50">
        <v>0.4</v>
      </c>
      <c r="AB600" s="42" t="str">
        <f>VLOOKUP(A600,VlookupSheet!$A$383:$A$523,1,0)</f>
        <v>#N/A</v>
      </c>
      <c r="AC600" s="42"/>
      <c r="AD600" s="42">
        <f t="shared" si="89"/>
        <v>4582051.6</v>
      </c>
      <c r="AE600" s="42">
        <f t="shared" si="90"/>
        <v>40000</v>
      </c>
      <c r="AF600" s="123">
        <f t="shared" si="91"/>
        <v>0</v>
      </c>
    </row>
    <row r="601">
      <c r="A601" s="11" t="s">
        <v>2932</v>
      </c>
      <c r="B601" s="24" t="s">
        <v>2933</v>
      </c>
      <c r="C601" s="25"/>
      <c r="D601" s="11">
        <f t="shared" si="93"/>
        <v>0.8</v>
      </c>
      <c r="E601" s="11">
        <f t="shared" si="94"/>
        <v>32000</v>
      </c>
      <c r="F601" s="11" t="s">
        <v>716</v>
      </c>
      <c r="G601" s="11">
        <v>32000.0</v>
      </c>
      <c r="H601" s="31">
        <v>40000.0</v>
      </c>
      <c r="I601" s="11" t="s">
        <v>132</v>
      </c>
      <c r="J601" s="11" t="s">
        <v>1018</v>
      </c>
      <c r="K601" s="38">
        <f t="shared" si="92"/>
        <v>0.8</v>
      </c>
      <c r="L601" s="18" t="s">
        <v>910</v>
      </c>
      <c r="M601" s="18" t="s">
        <v>736</v>
      </c>
      <c r="N601" s="18">
        <v>1.0</v>
      </c>
      <c r="O601" s="18"/>
      <c r="P601" s="18" t="s">
        <v>3899</v>
      </c>
      <c r="Q601" s="42" t="str">
        <f>iferror(VLOOKUP(A601,'Positional cal'!A:H,1,0)=A601,"FALSE")</f>
        <v>FALSE</v>
      </c>
      <c r="R601" s="43" t="b">
        <f t="shared" si="3"/>
        <v>0</v>
      </c>
      <c r="S601" s="46">
        <f>IFERROR(VLOOKUP($A601,AlgoUi!$A:$X,21,0),"NA")</f>
        <v>10000000</v>
      </c>
      <c r="T601" s="46">
        <f>IFERROR(VLOOKUP($A601,AlgoUi!$A:$X,23,0),"")</f>
        <v>10000000</v>
      </c>
      <c r="U601" s="46">
        <f>IFERROR(VLOOKUP($A601,AlgoUi!$A:$X,24,0),"")</f>
        <v>80000</v>
      </c>
      <c r="V601" s="42" t="str">
        <f>IFERROR(__xludf.DUMMYFUNCTION("IFERROR(VLOOKUP(I601,IMPORTRANGE(""https://docs.google.com/spreadsheets/d/17FOIUYQAjPk1pPQIlvOgqYDBqwUqgb7KWzp4DtVksBk/edit?gid=0#gid=0"",""Servers!A:S""),19,FALSE), ""Not Running"")"),"ANIKETG")</f>
        <v>ANIKETG</v>
      </c>
      <c r="W601" s="47" t="str">
        <f>VLOOKUP($A601,Category!$A:$E,4,0)</f>
        <v>MS</v>
      </c>
      <c r="X601" s="47" t="str">
        <f>VLOOKUP($A601,Category!$A:$E,5,0)</f>
        <v>MSS</v>
      </c>
      <c r="Y601" s="18" t="str">
        <f>VLOOKUP(A601,PAcc!$A$1:$J$27,10,0)</f>
        <v>#N/A</v>
      </c>
      <c r="Z601" s="42" t="b">
        <f t="shared" si="4"/>
        <v>0</v>
      </c>
      <c r="AA601" s="50">
        <v>0.4</v>
      </c>
      <c r="AB601" s="42" t="str">
        <f>VLOOKUP(A601,VlookupSheet!$A$383:$A$523,1,0)</f>
        <v>#N/A</v>
      </c>
      <c r="AC601" s="42"/>
      <c r="AD601" s="42">
        <f t="shared" si="89"/>
        <v>4000000</v>
      </c>
      <c r="AE601" s="42">
        <f t="shared" si="90"/>
        <v>40000</v>
      </c>
      <c r="AF601" s="123">
        <f t="shared" si="91"/>
        <v>0</v>
      </c>
    </row>
    <row r="602">
      <c r="A602" s="11" t="s">
        <v>2948</v>
      </c>
      <c r="B602" s="24" t="s">
        <v>3818</v>
      </c>
      <c r="C602" s="25"/>
      <c r="D602" s="11">
        <f t="shared" si="93"/>
        <v>0.8</v>
      </c>
      <c r="E602" s="11">
        <f t="shared" si="94"/>
        <v>32000</v>
      </c>
      <c r="F602" s="30" t="s">
        <v>311</v>
      </c>
      <c r="G602" s="11" t="s">
        <v>1039</v>
      </c>
      <c r="H602" s="31">
        <v>40000.0</v>
      </c>
      <c r="I602" s="11" t="s">
        <v>132</v>
      </c>
      <c r="J602" s="11" t="s">
        <v>1018</v>
      </c>
      <c r="K602" s="38">
        <f t="shared" si="92"/>
        <v>0.8</v>
      </c>
      <c r="L602" s="18" t="s">
        <v>910</v>
      </c>
      <c r="M602" s="18" t="s">
        <v>736</v>
      </c>
      <c r="N602" s="42"/>
      <c r="O602" s="42"/>
      <c r="P602" s="42"/>
      <c r="Q602" s="42" t="str">
        <f>iferror(VLOOKUP(A602,'Positional cal'!A:H,1,0)=A602,"FALSE")</f>
        <v>FALSE</v>
      </c>
      <c r="R602" s="43" t="b">
        <f t="shared" si="3"/>
        <v>0</v>
      </c>
      <c r="S602" s="46">
        <f>IFERROR(VLOOKUP($A602,AlgoUi!$A:$X,21,0),"NA")</f>
        <v>10429622</v>
      </c>
      <c r="T602" s="46">
        <f>IFERROR(VLOOKUP($A602,AlgoUi!$A:$X,23,0),"")</f>
        <v>10000000</v>
      </c>
      <c r="U602" s="46">
        <f>IFERROR(VLOOKUP($A602,AlgoUi!$A:$X,24,0),"")</f>
        <v>80000</v>
      </c>
      <c r="V602" s="42" t="str">
        <f>IFERROR(__xludf.DUMMYFUNCTION("IFERROR(VLOOKUP(I602,IMPORTRANGE(""https://docs.google.com/spreadsheets/d/17FOIUYQAjPk1pPQIlvOgqYDBqwUqgb7KWzp4DtVksBk/edit?gid=0#gid=0"",""Servers!A:S""),19,FALSE), ""Not Running"")"),"ANIKETG")</f>
        <v>ANIKETG</v>
      </c>
      <c r="W602" s="47" t="str">
        <f>VLOOKUP($A602,Category!$A:$E,4,0)</f>
        <v>MS</v>
      </c>
      <c r="X602" s="47" t="str">
        <f>VLOOKUP($A602,Category!$A:$E,5,0)</f>
        <v>MSR</v>
      </c>
      <c r="Y602" s="18" t="str">
        <f>VLOOKUP(A602,PAcc!$A$1:$J$27,10,0)</f>
        <v>#N/A</v>
      </c>
      <c r="Z602" s="42" t="b">
        <f t="shared" si="4"/>
        <v>0</v>
      </c>
      <c r="AA602" s="50">
        <v>0.4</v>
      </c>
      <c r="AB602" s="42" t="str">
        <f>VLOOKUP(A602,VlookupSheet!$A$383:$A$523,1,0)</f>
        <v>#N/A</v>
      </c>
      <c r="AC602" s="42"/>
      <c r="AD602" s="42">
        <f t="shared" si="89"/>
        <v>4171848.8</v>
      </c>
      <c r="AE602" s="42">
        <f t="shared" si="90"/>
        <v>40000</v>
      </c>
      <c r="AF602" s="123">
        <f t="shared" si="91"/>
        <v>0</v>
      </c>
    </row>
    <row r="603">
      <c r="A603" s="11" t="s">
        <v>2122</v>
      </c>
      <c r="B603" s="24" t="s">
        <v>3624</v>
      </c>
      <c r="C603" s="25"/>
      <c r="D603" s="11">
        <f t="shared" si="93"/>
        <v>1</v>
      </c>
      <c r="E603" s="11">
        <f t="shared" si="94"/>
        <v>40000</v>
      </c>
      <c r="F603" s="30" t="s">
        <v>311</v>
      </c>
      <c r="G603" s="11" t="s">
        <v>1100</v>
      </c>
      <c r="H603" s="31">
        <v>40000.0</v>
      </c>
      <c r="I603" s="18" t="s">
        <v>329</v>
      </c>
      <c r="J603" s="25" t="s">
        <v>77</v>
      </c>
      <c r="K603" s="38">
        <f t="shared" si="92"/>
        <v>1</v>
      </c>
      <c r="L603" s="18" t="s">
        <v>910</v>
      </c>
      <c r="M603" s="18" t="s">
        <v>736</v>
      </c>
      <c r="N603" s="42"/>
      <c r="O603" s="42"/>
      <c r="P603" s="42"/>
      <c r="Q603" s="42" t="str">
        <f>iferror(VLOOKUP(A603,'Positional cal'!A:H,1,0)=A603,"FALSE")</f>
        <v>FALSE</v>
      </c>
      <c r="R603" s="43" t="b">
        <f t="shared" si="3"/>
        <v>0</v>
      </c>
      <c r="S603" s="46">
        <f>IFERROR(VLOOKUP($A603,AlgoUi!$A:$X,21,0),"NA")</f>
        <v>11461472</v>
      </c>
      <c r="T603" s="46">
        <f>IFERROR(VLOOKUP($A603,AlgoUi!$A:$X,23,0),"")</f>
        <v>12000000</v>
      </c>
      <c r="U603" s="46">
        <f>IFERROR(VLOOKUP($A603,AlgoUi!$A:$X,24,0),"")</f>
        <v>120000</v>
      </c>
      <c r="V603" s="42" t="str">
        <f>IFERROR(__xludf.DUMMYFUNCTION("IFERROR(VLOOKUP(I603,IMPORTRANGE(""https://docs.google.com/spreadsheets/d/17FOIUYQAjPk1pPQIlvOgqYDBqwUqgb7KWzp4DtVksBk/edit?gid=0#gid=0"",""Servers!A:S""),19,FALSE), ""Not Running"")"),"MOHITC")</f>
        <v>MOHITC</v>
      </c>
      <c r="W603" s="47" t="str">
        <f>VLOOKUP($A603,Category!$A:$E,4,0)</f>
        <v>MS</v>
      </c>
      <c r="X603" s="47" t="str">
        <f>VLOOKUP($A603,Category!$A:$E,5,0)</f>
        <v>MSN</v>
      </c>
      <c r="Y603" s="18" t="str">
        <f>VLOOKUP(A603,PAcc!$A$1:$J$27,10,0)</f>
        <v>#N/A</v>
      </c>
      <c r="Z603" s="42" t="b">
        <f t="shared" si="4"/>
        <v>0</v>
      </c>
      <c r="AA603" s="50">
        <v>0.4</v>
      </c>
      <c r="AB603" s="42" t="str">
        <f>VLOOKUP(A603,VlookupSheet!$A$383:$A$523,1,0)</f>
        <v>#N/A</v>
      </c>
      <c r="AC603" s="42"/>
      <c r="AD603" s="42">
        <f t="shared" si="89"/>
        <v>4584588.8</v>
      </c>
      <c r="AE603" s="42">
        <f t="shared" si="90"/>
        <v>40000</v>
      </c>
      <c r="AF603" s="123">
        <f t="shared" si="91"/>
        <v>0</v>
      </c>
    </row>
    <row r="604">
      <c r="A604" s="30" t="s">
        <v>882</v>
      </c>
      <c r="B604" s="84" t="s">
        <v>883</v>
      </c>
      <c r="C604" s="85"/>
      <c r="D604" s="11" t="s">
        <v>874</v>
      </c>
      <c r="E604" s="11">
        <f t="shared" ref="E604:E605" si="95">H604*D604</f>
        <v>1800000</v>
      </c>
      <c r="F604" s="30" t="s">
        <v>311</v>
      </c>
      <c r="G604" s="31">
        <f t="shared" ref="G604:G605" si="96">H604*30</f>
        <v>1800000</v>
      </c>
      <c r="H604" s="31">
        <f>iferror(VLOOKUP(A604,'Positional cal'!A:H,4,0),"Not_positional")</f>
        <v>60000</v>
      </c>
      <c r="I604" s="34" t="s">
        <v>329</v>
      </c>
      <c r="J604" s="11" t="s">
        <v>77</v>
      </c>
      <c r="K604" s="38">
        <f t="shared" si="92"/>
        <v>30</v>
      </c>
      <c r="L604" s="18" t="s">
        <v>1068</v>
      </c>
      <c r="M604" s="18" t="s">
        <v>1077</v>
      </c>
      <c r="N604" s="74"/>
      <c r="O604" s="18">
        <v>0.0</v>
      </c>
      <c r="P604" s="74"/>
      <c r="Q604" s="42" t="b">
        <f>iferror(VLOOKUP(A604,'Positional cal'!A:H,1,0)=A604,"FALSE")</f>
        <v>1</v>
      </c>
      <c r="R604" s="43" t="b">
        <f t="shared" si="3"/>
        <v>0</v>
      </c>
      <c r="S604" s="46">
        <f>IFERROR(VLOOKUP($A604,AlgoUi!$A:$X,21,0),"NA")</f>
        <v>6796056</v>
      </c>
      <c r="T604" s="46">
        <f>IFERROR(VLOOKUP($A604,AlgoUi!$A:$X,23,0),"")</f>
        <v>6000000</v>
      </c>
      <c r="U604" s="46">
        <f>IFERROR(VLOOKUP($A604,AlgoUi!$A:$X,24,0),"")</f>
        <v>60000</v>
      </c>
      <c r="V604" s="42" t="str">
        <f>IFERROR(__xludf.DUMMYFUNCTION("IFERROR(VLOOKUP(I604,IMPORTRANGE(""https://docs.google.com/spreadsheets/d/17FOIUYQAjPk1pPQIlvOgqYDBqwUqgb7KWzp4DtVksBk/edit?gid=0#gid=0"",""Servers!A:S""),19,FALSE), ""Not Running"")"),"MOHITC")</f>
        <v>MOHITC</v>
      </c>
      <c r="W604" s="47" t="str">
        <f>VLOOKUP($A604,Category!$A:$E,4,0)</f>
        <v>CC</v>
      </c>
      <c r="X604" s="47" t="str">
        <f>VLOOKUP($A604,Category!$A:$E,5,0)</f>
        <v>CCG</v>
      </c>
      <c r="Y604" s="18" t="str">
        <f>VLOOKUP(A604,PAcc!$A$1:$J$27,10,0)</f>
        <v>#N/A</v>
      </c>
      <c r="Z604" s="42" t="b">
        <f t="shared" si="4"/>
        <v>1</v>
      </c>
      <c r="AA604" s="50">
        <v>1.0</v>
      </c>
      <c r="AB604" s="25" t="str">
        <f>VLOOKUP(A604,VlookupSheet!$A$383:$A$523,1,0)</f>
        <v>52055541</v>
      </c>
      <c r="AC604" s="50">
        <v>0.3</v>
      </c>
      <c r="AD604" s="42">
        <f t="shared" si="89"/>
        <v>6796056</v>
      </c>
      <c r="AE604" s="42">
        <f t="shared" si="90"/>
        <v>60000</v>
      </c>
      <c r="AF604" s="123">
        <f t="shared" si="91"/>
        <v>0</v>
      </c>
    </row>
    <row r="605">
      <c r="A605" s="30" t="s">
        <v>455</v>
      </c>
      <c r="B605" s="84" t="s">
        <v>881</v>
      </c>
      <c r="C605" s="30"/>
      <c r="D605" s="11" t="s">
        <v>874</v>
      </c>
      <c r="E605" s="11">
        <f t="shared" si="95"/>
        <v>3000000</v>
      </c>
      <c r="F605" s="30" t="s">
        <v>311</v>
      </c>
      <c r="G605" s="31">
        <f t="shared" si="96"/>
        <v>3000000</v>
      </c>
      <c r="H605" s="31">
        <f>iferror(VLOOKUP(A605,'Positional cal'!A:H,4,0),"Not_positional")</f>
        <v>100000</v>
      </c>
      <c r="I605" s="34" t="s">
        <v>329</v>
      </c>
      <c r="J605" s="25" t="s">
        <v>77</v>
      </c>
      <c r="K605" s="38">
        <f t="shared" si="92"/>
        <v>30</v>
      </c>
      <c r="L605" s="18" t="s">
        <v>1068</v>
      </c>
      <c r="M605" s="18" t="s">
        <v>1077</v>
      </c>
      <c r="N605" s="42"/>
      <c r="O605" s="18">
        <v>0.0</v>
      </c>
      <c r="P605" s="42"/>
      <c r="Q605" s="42" t="b">
        <f>iferror(VLOOKUP(A605,'Positional cal'!A:H,1,0)=A605,"FALSE")</f>
        <v>1</v>
      </c>
      <c r="R605" s="43" t="b">
        <f t="shared" si="3"/>
        <v>0</v>
      </c>
      <c r="S605" s="46">
        <f>IFERROR(VLOOKUP($A605,AlgoUi!$A:$X,21,0),"NA")</f>
        <v>9401647</v>
      </c>
      <c r="T605" s="46">
        <f>IFERROR(VLOOKUP($A605,AlgoUi!$A:$X,23,0),"")</f>
        <v>10000000</v>
      </c>
      <c r="U605" s="46">
        <f>IFERROR(VLOOKUP($A605,AlgoUi!$A:$X,24,0),"")</f>
        <v>100000</v>
      </c>
      <c r="V605" s="42" t="str">
        <f>IFERROR(__xludf.DUMMYFUNCTION("IFERROR(VLOOKUP(I605,IMPORTRANGE(""https://docs.google.com/spreadsheets/d/17FOIUYQAjPk1pPQIlvOgqYDBqwUqgb7KWzp4DtVksBk/edit?gid=0#gid=0"",""Servers!A:S""),19,FALSE), ""Not Running"")"),"MOHITC")</f>
        <v>MOHITC</v>
      </c>
      <c r="W605" s="47" t="str">
        <f>VLOOKUP($A605,Category!$A:$E,4,0)</f>
        <v>CC</v>
      </c>
      <c r="X605" s="47" t="str">
        <f>VLOOKUP($A605,Category!$A:$E,5,0)</f>
        <v>CCG</v>
      </c>
      <c r="Y605" s="18" t="str">
        <f>VLOOKUP(A605,PAcc!$A$1:$J$27,10,0)</f>
        <v>#N/A</v>
      </c>
      <c r="Z605" s="42" t="b">
        <f t="shared" si="4"/>
        <v>1</v>
      </c>
      <c r="AA605" s="50">
        <v>1.0</v>
      </c>
      <c r="AB605" s="25" t="str">
        <f>VLOOKUP(A605,VlookupSheet!$A$383:$A$523,1,0)</f>
        <v>62288965</v>
      </c>
      <c r="AC605" s="50">
        <v>0.3</v>
      </c>
      <c r="AD605" s="42">
        <f t="shared" si="89"/>
        <v>9401647</v>
      </c>
      <c r="AE605" s="42">
        <f t="shared" si="90"/>
        <v>100000</v>
      </c>
      <c r="AF605" s="123">
        <f t="shared" si="91"/>
        <v>0</v>
      </c>
    </row>
    <row r="606">
      <c r="A606" s="30" t="s">
        <v>345</v>
      </c>
      <c r="B606" s="84" t="s">
        <v>1802</v>
      </c>
      <c r="C606" s="30" t="s">
        <v>77</v>
      </c>
      <c r="D606" s="11">
        <f>IF(J606="7",0.8,1)</f>
        <v>1</v>
      </c>
      <c r="E606" s="11">
        <f>D606*H606</f>
        <v>40000</v>
      </c>
      <c r="F606" s="30" t="s">
        <v>311</v>
      </c>
      <c r="G606" s="11" t="s">
        <v>1100</v>
      </c>
      <c r="H606" s="31">
        <v>40000.0</v>
      </c>
      <c r="I606" s="74" t="s">
        <v>329</v>
      </c>
      <c r="J606" s="25" t="s">
        <v>77</v>
      </c>
      <c r="K606" s="38">
        <f t="shared" si="92"/>
        <v>1</v>
      </c>
      <c r="L606" s="18" t="s">
        <v>910</v>
      </c>
      <c r="M606" s="18" t="s">
        <v>736</v>
      </c>
      <c r="N606" s="74"/>
      <c r="O606" s="18">
        <v>0.0</v>
      </c>
      <c r="P606" s="74"/>
      <c r="Q606" s="42" t="str">
        <f>iferror(VLOOKUP(A606,'Positional cal'!A:H,1,0)=A606,"FALSE")</f>
        <v>FALSE</v>
      </c>
      <c r="R606" s="43" t="b">
        <f t="shared" si="3"/>
        <v>0</v>
      </c>
      <c r="S606" s="46">
        <f>IFERROR(VLOOKUP($A606,AlgoUi!$A:$X,21,0),"NA")</f>
        <v>7519878</v>
      </c>
      <c r="T606" s="46">
        <f>IFERROR(VLOOKUP($A606,AlgoUi!$A:$X,23,0),"")</f>
        <v>8000000</v>
      </c>
      <c r="U606" s="46">
        <f>IFERROR(VLOOKUP($A606,AlgoUi!$A:$X,24,0),"")</f>
        <v>80000</v>
      </c>
      <c r="V606" s="42" t="str">
        <f>IFERROR(__xludf.DUMMYFUNCTION("IFERROR(VLOOKUP(I606,IMPORTRANGE(""https://docs.google.com/spreadsheets/d/17FOIUYQAjPk1pPQIlvOgqYDBqwUqgb7KWzp4DtVksBk/edit?gid=0#gid=0"",""Servers!A:S""),19,FALSE), ""Not Running"")"),"MOHITC")</f>
        <v>MOHITC</v>
      </c>
      <c r="W606" s="47" t="str">
        <f>VLOOKUP($A606,Category!$A:$E,4,0)</f>
        <v>CC</v>
      </c>
      <c r="X606" s="47" t="str">
        <f>VLOOKUP($A606,Category!$A:$E,5,0)</f>
        <v>CCV</v>
      </c>
      <c r="Y606" s="18" t="str">
        <f>VLOOKUP(A606,PAcc!$A$1:$J$27,10,0)</f>
        <v>#N/A</v>
      </c>
      <c r="Z606" s="42" t="b">
        <f t="shared" si="4"/>
        <v>0</v>
      </c>
      <c r="AA606" s="50">
        <v>0.6</v>
      </c>
      <c r="AB606" s="42" t="str">
        <f>VLOOKUP(A606,VlookupSheet!$A$383:$A$523,1,0)</f>
        <v>#N/A</v>
      </c>
      <c r="AC606" s="50"/>
      <c r="AD606" s="42">
        <f t="shared" si="89"/>
        <v>4511926.8</v>
      </c>
      <c r="AE606" s="42">
        <f t="shared" si="90"/>
        <v>40000</v>
      </c>
      <c r="AF606" s="123">
        <f t="shared" si="91"/>
        <v>0</v>
      </c>
    </row>
    <row r="607">
      <c r="A607" s="30" t="s">
        <v>475</v>
      </c>
      <c r="B607" s="84" t="s">
        <v>902</v>
      </c>
      <c r="C607" s="85"/>
      <c r="D607" s="11" t="s">
        <v>874</v>
      </c>
      <c r="E607" s="11">
        <f t="shared" ref="E607:E620" si="97">H607*D607</f>
        <v>3000000</v>
      </c>
      <c r="F607" s="30" t="s">
        <v>311</v>
      </c>
      <c r="G607" s="31">
        <f t="shared" ref="G607:G619" si="98">H607*30</f>
        <v>3000000</v>
      </c>
      <c r="H607" s="31">
        <f>iferror(VLOOKUP(A607,'Positional cal'!A:H,4,0),"Not_positional")</f>
        <v>100000</v>
      </c>
      <c r="I607" s="74" t="s">
        <v>329</v>
      </c>
      <c r="J607" s="25" t="s">
        <v>77</v>
      </c>
      <c r="K607" s="38">
        <f t="shared" si="92"/>
        <v>30</v>
      </c>
      <c r="L607" s="18" t="s">
        <v>1068</v>
      </c>
      <c r="M607" s="18" t="s">
        <v>1059</v>
      </c>
      <c r="N607" s="74"/>
      <c r="O607" s="18">
        <v>0.0</v>
      </c>
      <c r="P607" s="74"/>
      <c r="Q607" s="42" t="b">
        <f>iferror(VLOOKUP(A607,'Positional cal'!A:H,1,0)=A607,"FALSE")</f>
        <v>1</v>
      </c>
      <c r="R607" s="43" t="b">
        <f t="shared" si="3"/>
        <v>0</v>
      </c>
      <c r="S607" s="46">
        <f>IFERROR(VLOOKUP($A607,AlgoUi!$A:$X,21,0),"NA")</f>
        <v>11072727</v>
      </c>
      <c r="T607" s="46">
        <f>IFERROR(VLOOKUP($A607,AlgoUi!$A:$X,23,0),"")</f>
        <v>12000000</v>
      </c>
      <c r="U607" s="46">
        <f>IFERROR(VLOOKUP($A607,AlgoUi!$A:$X,24,0),"")</f>
        <v>120000</v>
      </c>
      <c r="V607" s="42" t="str">
        <f>IFERROR(__xludf.DUMMYFUNCTION("IFERROR(VLOOKUP(I607,IMPORTRANGE(""https://docs.google.com/spreadsheets/d/17FOIUYQAjPk1pPQIlvOgqYDBqwUqgb7KWzp4DtVksBk/edit?gid=0#gid=0"",""Servers!A:S""),19,FALSE), ""Not Running"")"),"MOHITC")</f>
        <v>MOHITC</v>
      </c>
      <c r="W607" s="47" t="str">
        <f>VLOOKUP($A607,Category!$A:$E,4,0)</f>
        <v>CC</v>
      </c>
      <c r="X607" s="47" t="str">
        <f>VLOOKUP($A607,Category!$A:$E,5,0)</f>
        <v>CCG</v>
      </c>
      <c r="Y607" s="18" t="str">
        <f>VLOOKUP(A607,PAcc!$A$1:$J$27,10,0)</f>
        <v>#N/A</v>
      </c>
      <c r="Z607" s="42" t="b">
        <f t="shared" si="4"/>
        <v>0</v>
      </c>
      <c r="AA607" s="50">
        <v>1.0</v>
      </c>
      <c r="AB607" s="25" t="str">
        <f>VLOOKUP(A607,VlookupSheet!$A$383:$A$523,1,0)</f>
        <v>58480023</v>
      </c>
      <c r="AC607" s="50">
        <v>0.3</v>
      </c>
      <c r="AD607" s="42">
        <f t="shared" si="89"/>
        <v>11072727</v>
      </c>
      <c r="AE607" s="42">
        <f t="shared" si="90"/>
        <v>120000</v>
      </c>
      <c r="AF607" s="123">
        <f t="shared" si="91"/>
        <v>20000</v>
      </c>
    </row>
    <row r="608">
      <c r="A608" s="30" t="s">
        <v>527</v>
      </c>
      <c r="B608" s="84" t="s">
        <v>890</v>
      </c>
      <c r="C608" s="30" t="s">
        <v>77</v>
      </c>
      <c r="D608" s="11" t="s">
        <v>874</v>
      </c>
      <c r="E608" s="11">
        <f t="shared" si="97"/>
        <v>3600000</v>
      </c>
      <c r="F608" s="30" t="s">
        <v>311</v>
      </c>
      <c r="G608" s="31">
        <f t="shared" si="98"/>
        <v>3600000</v>
      </c>
      <c r="H608" s="31">
        <f>iferror(VLOOKUP(A608,'Positional cal'!A:H,4,0),"Not_positional")</f>
        <v>120000</v>
      </c>
      <c r="I608" s="74" t="s">
        <v>329</v>
      </c>
      <c r="J608" s="25" t="s">
        <v>77</v>
      </c>
      <c r="K608" s="38">
        <f t="shared" si="92"/>
        <v>30</v>
      </c>
      <c r="L608" s="18" t="s">
        <v>1068</v>
      </c>
      <c r="M608" s="18" t="s">
        <v>1059</v>
      </c>
      <c r="N608" s="74"/>
      <c r="O608" s="18">
        <v>0.0</v>
      </c>
      <c r="P608" s="74"/>
      <c r="Q608" s="42" t="b">
        <f>iferror(VLOOKUP(A608,'Positional cal'!A:H,1,0)=A608,"FALSE")</f>
        <v>1</v>
      </c>
      <c r="R608" s="43" t="b">
        <f t="shared" si="3"/>
        <v>0</v>
      </c>
      <c r="S608" s="46">
        <f>IFERROR(VLOOKUP($A608,AlgoUi!$A:$X,21,0),"NA")</f>
        <v>12371793</v>
      </c>
      <c r="T608" s="46">
        <f>IFERROR(VLOOKUP($A608,AlgoUi!$A:$X,23,0),"")</f>
        <v>12000000</v>
      </c>
      <c r="U608" s="46">
        <f>IFERROR(VLOOKUP($A608,AlgoUi!$A:$X,24,0),"")</f>
        <v>120000</v>
      </c>
      <c r="V608" s="42" t="str">
        <f>IFERROR(__xludf.DUMMYFUNCTION("IFERROR(VLOOKUP(I608,IMPORTRANGE(""https://docs.google.com/spreadsheets/d/17FOIUYQAjPk1pPQIlvOgqYDBqwUqgb7KWzp4DtVksBk/edit?gid=0#gid=0"",""Servers!A:S""),19,FALSE), ""Not Running"")"),"MOHITC")</f>
        <v>MOHITC</v>
      </c>
      <c r="W608" s="47" t="str">
        <f>VLOOKUP($A608,Category!$A:$E,4,0)</f>
        <v>CC</v>
      </c>
      <c r="X608" s="47" t="str">
        <f>VLOOKUP($A608,Category!$A:$E,5,0)</f>
        <v>CCG</v>
      </c>
      <c r="Y608" s="18" t="str">
        <f>VLOOKUP(A608,PAcc!$A$1:$J$27,10,0)</f>
        <v>#N/A</v>
      </c>
      <c r="Z608" s="42" t="b">
        <f t="shared" si="4"/>
        <v>1</v>
      </c>
      <c r="AA608" s="50">
        <v>1.0</v>
      </c>
      <c r="AB608" s="25" t="str">
        <f>VLOOKUP(A608,VlookupSheet!$A$383:$A$523,1,0)</f>
        <v>29898256</v>
      </c>
      <c r="AC608" s="50">
        <v>0.3</v>
      </c>
      <c r="AD608" s="42">
        <f t="shared" si="89"/>
        <v>12371793</v>
      </c>
      <c r="AE608" s="42">
        <f t="shared" si="90"/>
        <v>120000</v>
      </c>
      <c r="AF608" s="123">
        <f t="shared" si="91"/>
        <v>0</v>
      </c>
    </row>
    <row r="609">
      <c r="A609" s="30" t="s">
        <v>544</v>
      </c>
      <c r="B609" s="84" t="s">
        <v>858</v>
      </c>
      <c r="C609" s="30" t="s">
        <v>77</v>
      </c>
      <c r="D609" s="11" t="s">
        <v>874</v>
      </c>
      <c r="E609" s="11">
        <f t="shared" si="97"/>
        <v>2400000</v>
      </c>
      <c r="F609" s="30" t="s">
        <v>311</v>
      </c>
      <c r="G609" s="31">
        <f t="shared" si="98"/>
        <v>2400000</v>
      </c>
      <c r="H609" s="31">
        <f>iferror(VLOOKUP(A609,'Positional cal'!A:H,4,0),"Not_positional")</f>
        <v>80000</v>
      </c>
      <c r="I609" s="74" t="s">
        <v>329</v>
      </c>
      <c r="J609" s="25" t="s">
        <v>77</v>
      </c>
      <c r="K609" s="38">
        <f t="shared" si="92"/>
        <v>30</v>
      </c>
      <c r="L609" s="18" t="s">
        <v>1068</v>
      </c>
      <c r="M609" s="18" t="s">
        <v>1077</v>
      </c>
      <c r="N609" s="74"/>
      <c r="O609" s="18">
        <v>0.0</v>
      </c>
      <c r="P609" s="74"/>
      <c r="Q609" s="42" t="b">
        <f>iferror(VLOOKUP(A609,'Positional cal'!A:H,1,0)=A609,"FALSE")</f>
        <v>1</v>
      </c>
      <c r="R609" s="43" t="b">
        <f t="shared" si="3"/>
        <v>0</v>
      </c>
      <c r="S609" s="46">
        <f>IFERROR(VLOOKUP($A609,AlgoUi!$A:$X,21,0),"NA")</f>
        <v>8286483</v>
      </c>
      <c r="T609" s="46">
        <f>IFERROR(VLOOKUP($A609,AlgoUi!$A:$X,23,0),"")</f>
        <v>8000000</v>
      </c>
      <c r="U609" s="46">
        <f>IFERROR(VLOOKUP($A609,AlgoUi!$A:$X,24,0),"")</f>
        <v>80000</v>
      </c>
      <c r="V609" s="42" t="str">
        <f>IFERROR(__xludf.DUMMYFUNCTION("IFERROR(VLOOKUP(I609,IMPORTRANGE(""https://docs.google.com/spreadsheets/d/17FOIUYQAjPk1pPQIlvOgqYDBqwUqgb7KWzp4DtVksBk/edit?gid=0#gid=0"",""Servers!A:S""),19,FALSE), ""Not Running"")"),"MOHITC")</f>
        <v>MOHITC</v>
      </c>
      <c r="W609" s="47" t="str">
        <f>VLOOKUP($A609,Category!$A:$E,4,0)</f>
        <v>CC</v>
      </c>
      <c r="X609" s="47" t="str">
        <f>VLOOKUP($A609,Category!$A:$E,5,0)</f>
        <v>CCG</v>
      </c>
      <c r="Y609" s="18" t="str">
        <f>VLOOKUP(A609,PAcc!$A$1:$J$27,10,0)</f>
        <v>#N/A</v>
      </c>
      <c r="Z609" s="42" t="b">
        <f t="shared" si="4"/>
        <v>1</v>
      </c>
      <c r="AA609" s="50">
        <v>1.0</v>
      </c>
      <c r="AB609" s="25" t="str">
        <f>VLOOKUP(A609,VlookupSheet!$A$383:$A$523,1,0)</f>
        <v>16384608</v>
      </c>
      <c r="AC609" s="50">
        <v>0.3</v>
      </c>
      <c r="AD609" s="42">
        <f t="shared" si="89"/>
        <v>8286483</v>
      </c>
      <c r="AE609" s="42">
        <f t="shared" si="90"/>
        <v>80000</v>
      </c>
      <c r="AF609" s="123">
        <f t="shared" si="91"/>
        <v>0</v>
      </c>
    </row>
    <row r="610">
      <c r="A610" s="30" t="s">
        <v>366</v>
      </c>
      <c r="B610" s="84" t="s">
        <v>857</v>
      </c>
      <c r="C610" s="85"/>
      <c r="D610" s="11" t="s">
        <v>874</v>
      </c>
      <c r="E610" s="11">
        <f t="shared" si="97"/>
        <v>1800000</v>
      </c>
      <c r="F610" s="30" t="s">
        <v>311</v>
      </c>
      <c r="G610" s="31">
        <f t="shared" si="98"/>
        <v>1800000</v>
      </c>
      <c r="H610" s="31">
        <f>iferror(VLOOKUP(A610,'Positional cal'!A:H,4,0),"Not_positional")</f>
        <v>60000</v>
      </c>
      <c r="I610" s="74" t="s">
        <v>329</v>
      </c>
      <c r="J610" s="25" t="s">
        <v>77</v>
      </c>
      <c r="K610" s="38">
        <f t="shared" si="92"/>
        <v>30</v>
      </c>
      <c r="L610" s="18" t="s">
        <v>1068</v>
      </c>
      <c r="M610" s="18" t="s">
        <v>1077</v>
      </c>
      <c r="N610" s="74"/>
      <c r="O610" s="18">
        <v>0.0</v>
      </c>
      <c r="P610" s="74"/>
      <c r="Q610" s="42" t="b">
        <f>iferror(VLOOKUP(A610,'Positional cal'!A:H,1,0)=A610,"FALSE")</f>
        <v>1</v>
      </c>
      <c r="R610" s="43" t="b">
        <f t="shared" si="3"/>
        <v>0</v>
      </c>
      <c r="S610" s="46">
        <f>IFERROR(VLOOKUP($A610,AlgoUi!$A:$X,21,0),"NA")</f>
        <v>5677092</v>
      </c>
      <c r="T610" s="46">
        <f>IFERROR(VLOOKUP($A610,AlgoUi!$A:$X,23,0),"")</f>
        <v>6000000</v>
      </c>
      <c r="U610" s="46">
        <f>IFERROR(VLOOKUP($A610,AlgoUi!$A:$X,24,0),"")</f>
        <v>60000</v>
      </c>
      <c r="V610" s="42" t="str">
        <f>IFERROR(__xludf.DUMMYFUNCTION("IFERROR(VLOOKUP(I610,IMPORTRANGE(""https://docs.google.com/spreadsheets/d/17FOIUYQAjPk1pPQIlvOgqYDBqwUqgb7KWzp4DtVksBk/edit?gid=0#gid=0"",""Servers!A:S""),19,FALSE), ""Not Running"")"),"MOHITC")</f>
        <v>MOHITC</v>
      </c>
      <c r="W610" s="47" t="str">
        <f>VLOOKUP($A610,Category!$A:$E,4,0)</f>
        <v>CC</v>
      </c>
      <c r="X610" s="47" t="str">
        <f>VLOOKUP($A610,Category!$A:$E,5,0)</f>
        <v>CCG</v>
      </c>
      <c r="Y610" s="18" t="str">
        <f>VLOOKUP(A610,PAcc!$A$1:$J$27,10,0)</f>
        <v>#N/A</v>
      </c>
      <c r="Z610" s="42" t="b">
        <f t="shared" si="4"/>
        <v>1</v>
      </c>
      <c r="AA610" s="50">
        <v>1.0</v>
      </c>
      <c r="AB610" s="25" t="str">
        <f>VLOOKUP(A610,VlookupSheet!$A$383:$A$523,1,0)</f>
        <v>91582593</v>
      </c>
      <c r="AC610" s="50">
        <v>0.3</v>
      </c>
      <c r="AD610" s="42">
        <f t="shared" si="89"/>
        <v>5677092</v>
      </c>
      <c r="AE610" s="42">
        <f t="shared" si="90"/>
        <v>60000</v>
      </c>
      <c r="AF610" s="123">
        <f t="shared" si="91"/>
        <v>0</v>
      </c>
    </row>
    <row r="611">
      <c r="A611" s="30" t="s">
        <v>324</v>
      </c>
      <c r="B611" s="84" t="s">
        <v>861</v>
      </c>
      <c r="C611" s="30" t="s">
        <v>77</v>
      </c>
      <c r="D611" s="11" t="s">
        <v>874</v>
      </c>
      <c r="E611" s="11">
        <f t="shared" si="97"/>
        <v>2400000</v>
      </c>
      <c r="F611" s="30" t="s">
        <v>311</v>
      </c>
      <c r="G611" s="31">
        <f t="shared" si="98"/>
        <v>2400000</v>
      </c>
      <c r="H611" s="31">
        <f>iferror(VLOOKUP(A611,'Positional cal'!A:H,4,0),"Not_positional")</f>
        <v>80000</v>
      </c>
      <c r="I611" s="74" t="s">
        <v>329</v>
      </c>
      <c r="J611" s="25" t="s">
        <v>77</v>
      </c>
      <c r="K611" s="38">
        <f t="shared" si="92"/>
        <v>30</v>
      </c>
      <c r="L611" s="18" t="s">
        <v>1068</v>
      </c>
      <c r="M611" s="18" t="s">
        <v>1077</v>
      </c>
      <c r="N611" s="74"/>
      <c r="O611" s="18">
        <v>0.0</v>
      </c>
      <c r="P611" s="74"/>
      <c r="Q611" s="42" t="b">
        <f>iferror(VLOOKUP(A611,'Positional cal'!A:H,1,0)=A611,"FALSE")</f>
        <v>1</v>
      </c>
      <c r="R611" s="43" t="b">
        <f t="shared" si="3"/>
        <v>0</v>
      </c>
      <c r="S611" s="46">
        <f>IFERROR(VLOOKUP($A611,AlgoUi!$A:$X,21,0),"NA")</f>
        <v>8763358</v>
      </c>
      <c r="T611" s="46">
        <f>IFERROR(VLOOKUP($A611,AlgoUi!$A:$X,23,0),"")</f>
        <v>8000000</v>
      </c>
      <c r="U611" s="46">
        <f>IFERROR(VLOOKUP($A611,AlgoUi!$A:$X,24,0),"")</f>
        <v>80000</v>
      </c>
      <c r="V611" s="42" t="str">
        <f>IFERROR(__xludf.DUMMYFUNCTION("IFERROR(VLOOKUP(I611,IMPORTRANGE(""https://docs.google.com/spreadsheets/d/17FOIUYQAjPk1pPQIlvOgqYDBqwUqgb7KWzp4DtVksBk/edit?gid=0#gid=0"",""Servers!A:S""),19,FALSE), ""Not Running"")"),"MOHITC")</f>
        <v>MOHITC</v>
      </c>
      <c r="W611" s="47" t="str">
        <f>VLOOKUP($A611,Category!$A:$E,4,0)</f>
        <v>CC</v>
      </c>
      <c r="X611" s="47" t="str">
        <f>VLOOKUP($A611,Category!$A:$E,5,0)</f>
        <v>CCG</v>
      </c>
      <c r="Y611" s="18" t="str">
        <f>VLOOKUP(A611,PAcc!$A$1:$J$27,10,0)</f>
        <v>#N/A</v>
      </c>
      <c r="Z611" s="42" t="b">
        <f t="shared" si="4"/>
        <v>1</v>
      </c>
      <c r="AA611" s="50">
        <v>1.0</v>
      </c>
      <c r="AB611" s="25" t="str">
        <f>VLOOKUP(A611,VlookupSheet!$A$383:$A$523,1,0)</f>
        <v>22196536</v>
      </c>
      <c r="AC611" s="50">
        <v>0.3</v>
      </c>
      <c r="AD611" s="42">
        <f t="shared" si="89"/>
        <v>8763358</v>
      </c>
      <c r="AE611" s="42">
        <f t="shared" si="90"/>
        <v>80000</v>
      </c>
      <c r="AF611" s="123">
        <f t="shared" si="91"/>
        <v>0</v>
      </c>
    </row>
    <row r="612">
      <c r="A612" s="30" t="s">
        <v>438</v>
      </c>
      <c r="B612" s="84" t="s">
        <v>872</v>
      </c>
      <c r="C612" s="85"/>
      <c r="D612" s="11" t="s">
        <v>874</v>
      </c>
      <c r="E612" s="11">
        <f t="shared" si="97"/>
        <v>1200000</v>
      </c>
      <c r="F612" s="30" t="s">
        <v>311</v>
      </c>
      <c r="G612" s="31">
        <f t="shared" si="98"/>
        <v>1200000</v>
      </c>
      <c r="H612" s="31">
        <f>iferror(VLOOKUP(A612,'Positional cal'!A:H,4,0),"Not_positional")</f>
        <v>40000</v>
      </c>
      <c r="I612" s="74" t="s">
        <v>329</v>
      </c>
      <c r="J612" s="25" t="s">
        <v>77</v>
      </c>
      <c r="K612" s="38">
        <f t="shared" si="92"/>
        <v>30</v>
      </c>
      <c r="L612" s="18" t="s">
        <v>1068</v>
      </c>
      <c r="M612" s="18" t="s">
        <v>1077</v>
      </c>
      <c r="N612" s="74"/>
      <c r="O612" s="18">
        <v>0.0</v>
      </c>
      <c r="P612" s="74"/>
      <c r="Q612" s="42" t="b">
        <f>iferror(VLOOKUP(A612,'Positional cal'!A:H,1,0)=A612,"FALSE")</f>
        <v>1</v>
      </c>
      <c r="R612" s="43" t="b">
        <f t="shared" si="3"/>
        <v>0</v>
      </c>
      <c r="S612" s="46">
        <f>IFERROR(VLOOKUP($A612,AlgoUi!$A:$X,21,0),"NA")</f>
        <v>3146248</v>
      </c>
      <c r="T612" s="46">
        <f>IFERROR(VLOOKUP($A612,AlgoUi!$A:$X,23,0),"")</f>
        <v>4000000</v>
      </c>
      <c r="U612" s="46">
        <f>IFERROR(VLOOKUP($A612,AlgoUi!$A:$X,24,0),"")</f>
        <v>40000</v>
      </c>
      <c r="V612" s="42" t="str">
        <f>IFERROR(__xludf.DUMMYFUNCTION("IFERROR(VLOOKUP(I612,IMPORTRANGE(""https://docs.google.com/spreadsheets/d/17FOIUYQAjPk1pPQIlvOgqYDBqwUqgb7KWzp4DtVksBk/edit?gid=0#gid=0"",""Servers!A:S""),19,FALSE), ""Not Running"")"),"MOHITC")</f>
        <v>MOHITC</v>
      </c>
      <c r="W612" s="47" t="str">
        <f>VLOOKUP($A612,Category!$A:$E,4,0)</f>
        <v>CC</v>
      </c>
      <c r="X612" s="47" t="str">
        <f>VLOOKUP($A612,Category!$A:$E,5,0)</f>
        <v>CCG</v>
      </c>
      <c r="Y612" s="18" t="str">
        <f>VLOOKUP(A612,PAcc!$A$1:$J$27,10,0)</f>
        <v>#N/A</v>
      </c>
      <c r="Z612" s="42" t="b">
        <f t="shared" si="4"/>
        <v>1</v>
      </c>
      <c r="AA612" s="50">
        <v>1.0</v>
      </c>
      <c r="AB612" s="25" t="str">
        <f>VLOOKUP(A612,VlookupSheet!$A$383:$A$523,1,0)</f>
        <v>65872914</v>
      </c>
      <c r="AC612" s="50">
        <v>0.3</v>
      </c>
      <c r="AD612" s="42">
        <f t="shared" si="89"/>
        <v>3146248</v>
      </c>
      <c r="AE612" s="42">
        <f t="shared" si="90"/>
        <v>40000</v>
      </c>
      <c r="AF612" s="123">
        <f t="shared" si="91"/>
        <v>0</v>
      </c>
    </row>
    <row r="613">
      <c r="A613" s="30" t="s">
        <v>334</v>
      </c>
      <c r="B613" s="84" t="s">
        <v>862</v>
      </c>
      <c r="C613" s="85"/>
      <c r="D613" s="11" t="s">
        <v>874</v>
      </c>
      <c r="E613" s="11">
        <f t="shared" si="97"/>
        <v>2400000</v>
      </c>
      <c r="F613" s="30" t="s">
        <v>311</v>
      </c>
      <c r="G613" s="31">
        <f t="shared" si="98"/>
        <v>2400000</v>
      </c>
      <c r="H613" s="31">
        <f>iferror(VLOOKUP(A613,'Positional cal'!A:H,4,0),"Not_positional")</f>
        <v>80000</v>
      </c>
      <c r="I613" s="74" t="s">
        <v>329</v>
      </c>
      <c r="J613" s="25" t="s">
        <v>77</v>
      </c>
      <c r="K613" s="38">
        <f t="shared" si="92"/>
        <v>30</v>
      </c>
      <c r="L613" s="18" t="s">
        <v>1068</v>
      </c>
      <c r="M613" s="18" t="s">
        <v>1077</v>
      </c>
      <c r="N613" s="74"/>
      <c r="O613" s="18">
        <v>0.0</v>
      </c>
      <c r="P613" s="74"/>
      <c r="Q613" s="42" t="b">
        <f>iferror(VLOOKUP(A613,'Positional cal'!A:H,1,0)=A613,"FALSE")</f>
        <v>1</v>
      </c>
      <c r="R613" s="43" t="b">
        <f t="shared" si="3"/>
        <v>0</v>
      </c>
      <c r="S613" s="46">
        <f>IFERROR(VLOOKUP($A613,AlgoUi!$A:$X,21,0),"NA")</f>
        <v>7269677</v>
      </c>
      <c r="T613" s="46">
        <f>IFERROR(VLOOKUP($A613,AlgoUi!$A:$X,23,0),"")</f>
        <v>8000000</v>
      </c>
      <c r="U613" s="46">
        <f>IFERROR(VLOOKUP($A613,AlgoUi!$A:$X,24,0),"")</f>
        <v>80000</v>
      </c>
      <c r="V613" s="42" t="str">
        <f>IFERROR(__xludf.DUMMYFUNCTION("IFERROR(VLOOKUP(I613,IMPORTRANGE(""https://docs.google.com/spreadsheets/d/17FOIUYQAjPk1pPQIlvOgqYDBqwUqgb7KWzp4DtVksBk/edit?gid=0#gid=0"",""Servers!A:S""),19,FALSE), ""Not Running"")"),"MOHITC")</f>
        <v>MOHITC</v>
      </c>
      <c r="W613" s="47" t="str">
        <f>VLOOKUP($A613,Category!$A:$E,4,0)</f>
        <v>CC</v>
      </c>
      <c r="X613" s="47" t="str">
        <f>VLOOKUP($A613,Category!$A:$E,5,0)</f>
        <v>CCG</v>
      </c>
      <c r="Y613" s="18" t="str">
        <f>VLOOKUP(A613,PAcc!$A$1:$J$27,10,0)</f>
        <v>#N/A</v>
      </c>
      <c r="Z613" s="42" t="b">
        <f t="shared" si="4"/>
        <v>1</v>
      </c>
      <c r="AA613" s="50">
        <v>1.0</v>
      </c>
      <c r="AB613" s="25" t="str">
        <f>VLOOKUP(A613,VlookupSheet!$A$383:$A$523,1,0)</f>
        <v>40023384</v>
      </c>
      <c r="AC613" s="50">
        <v>0.3</v>
      </c>
      <c r="AD613" s="42">
        <f t="shared" si="89"/>
        <v>7269677</v>
      </c>
      <c r="AE613" s="42">
        <f t="shared" si="90"/>
        <v>80000</v>
      </c>
      <c r="AF613" s="123">
        <f t="shared" si="91"/>
        <v>0</v>
      </c>
    </row>
    <row r="614">
      <c r="A614" s="30" t="s">
        <v>344</v>
      </c>
      <c r="B614" s="84" t="s">
        <v>866</v>
      </c>
      <c r="C614" s="85"/>
      <c r="D614" s="11" t="s">
        <v>874</v>
      </c>
      <c r="E614" s="11">
        <f t="shared" si="97"/>
        <v>1800000</v>
      </c>
      <c r="F614" s="30" t="s">
        <v>311</v>
      </c>
      <c r="G614" s="31">
        <f t="shared" si="98"/>
        <v>1800000</v>
      </c>
      <c r="H614" s="31">
        <f>iferror(VLOOKUP(A614,'Positional cal'!A:H,4,0),"Not_positional")</f>
        <v>60000</v>
      </c>
      <c r="I614" s="74" t="s">
        <v>329</v>
      </c>
      <c r="J614" s="25" t="s">
        <v>77</v>
      </c>
      <c r="K614" s="38">
        <f t="shared" si="92"/>
        <v>30</v>
      </c>
      <c r="L614" s="18" t="s">
        <v>1068</v>
      </c>
      <c r="M614" s="18" t="s">
        <v>1077</v>
      </c>
      <c r="N614" s="74"/>
      <c r="O614" s="18">
        <v>0.0</v>
      </c>
      <c r="P614" s="74"/>
      <c r="Q614" s="42" t="b">
        <f>iferror(VLOOKUP(A614,'Positional cal'!A:H,1,0)=A614,"FALSE")</f>
        <v>1</v>
      </c>
      <c r="R614" s="43" t="b">
        <f t="shared" si="3"/>
        <v>0</v>
      </c>
      <c r="S614" s="46">
        <f>IFERROR(VLOOKUP($A614,AlgoUi!$A:$X,21,0),"NA")</f>
        <v>6858369</v>
      </c>
      <c r="T614" s="46">
        <f>IFERROR(VLOOKUP($A614,AlgoUi!$A:$X,23,0),"")</f>
        <v>6000000</v>
      </c>
      <c r="U614" s="46">
        <f>IFERROR(VLOOKUP($A614,AlgoUi!$A:$X,24,0),"")</f>
        <v>60000</v>
      </c>
      <c r="V614" s="42" t="str">
        <f>IFERROR(__xludf.DUMMYFUNCTION("IFERROR(VLOOKUP(I614,IMPORTRANGE(""https://docs.google.com/spreadsheets/d/17FOIUYQAjPk1pPQIlvOgqYDBqwUqgb7KWzp4DtVksBk/edit?gid=0#gid=0"",""Servers!A:S""),19,FALSE), ""Not Running"")"),"MOHITC")</f>
        <v>MOHITC</v>
      </c>
      <c r="W614" s="47" t="str">
        <f>VLOOKUP($A614,Category!$A:$E,4,0)</f>
        <v>CC</v>
      </c>
      <c r="X614" s="47" t="str">
        <f>VLOOKUP($A614,Category!$A:$E,5,0)</f>
        <v>CCG</v>
      </c>
      <c r="Y614" s="18" t="str">
        <f>VLOOKUP(A614,PAcc!$A$1:$J$27,10,0)</f>
        <v>#N/A</v>
      </c>
      <c r="Z614" s="42" t="b">
        <f t="shared" si="4"/>
        <v>1</v>
      </c>
      <c r="AA614" s="50">
        <v>1.0</v>
      </c>
      <c r="AB614" s="25" t="str">
        <f>VLOOKUP(A614,VlookupSheet!$A$383:$A$523,1,0)</f>
        <v>74962685</v>
      </c>
      <c r="AC614" s="50">
        <v>0.3</v>
      </c>
      <c r="AD614" s="42">
        <f t="shared" si="89"/>
        <v>6858369</v>
      </c>
      <c r="AE614" s="42">
        <f t="shared" si="90"/>
        <v>60000</v>
      </c>
      <c r="AF614" s="123">
        <f t="shared" si="91"/>
        <v>0</v>
      </c>
    </row>
    <row r="615">
      <c r="A615" s="30" t="s">
        <v>377</v>
      </c>
      <c r="B615" s="84" t="s">
        <v>894</v>
      </c>
      <c r="C615" s="30" t="s">
        <v>77</v>
      </c>
      <c r="D615" s="11" t="s">
        <v>874</v>
      </c>
      <c r="E615" s="11">
        <f t="shared" si="97"/>
        <v>3000000</v>
      </c>
      <c r="F615" s="30" t="s">
        <v>311</v>
      </c>
      <c r="G615" s="31">
        <f t="shared" si="98"/>
        <v>3000000</v>
      </c>
      <c r="H615" s="31">
        <f>iferror(VLOOKUP(A615,'Positional cal'!A:H,4,0),"Not_positional")</f>
        <v>100000</v>
      </c>
      <c r="I615" s="74" t="s">
        <v>329</v>
      </c>
      <c r="J615" s="25" t="s">
        <v>77</v>
      </c>
      <c r="K615" s="38">
        <f t="shared" si="92"/>
        <v>30</v>
      </c>
      <c r="L615" s="18" t="s">
        <v>1068</v>
      </c>
      <c r="M615" s="18" t="s">
        <v>1059</v>
      </c>
      <c r="N615" s="74"/>
      <c r="O615" s="18">
        <v>0.0</v>
      </c>
      <c r="P615" s="74"/>
      <c r="Q615" s="42" t="b">
        <f>iferror(VLOOKUP(A615,'Positional cal'!A:H,1,0)=A615,"FALSE")</f>
        <v>1</v>
      </c>
      <c r="R615" s="43" t="b">
        <f t="shared" si="3"/>
        <v>0</v>
      </c>
      <c r="S615" s="46">
        <f>IFERROR(VLOOKUP($A615,AlgoUi!$A:$X,21,0),"NA")</f>
        <v>10578566</v>
      </c>
      <c r="T615" s="46">
        <f>IFERROR(VLOOKUP($A615,AlgoUi!$A:$X,23,0),"")</f>
        <v>10000000</v>
      </c>
      <c r="U615" s="46">
        <f>IFERROR(VLOOKUP($A615,AlgoUi!$A:$X,24,0),"")</f>
        <v>100000</v>
      </c>
      <c r="V615" s="42" t="str">
        <f>IFERROR(__xludf.DUMMYFUNCTION("IFERROR(VLOOKUP(I615,IMPORTRANGE(""https://docs.google.com/spreadsheets/d/17FOIUYQAjPk1pPQIlvOgqYDBqwUqgb7KWzp4DtVksBk/edit?gid=0#gid=0"",""Servers!A:S""),19,FALSE), ""Not Running"")"),"MOHITC")</f>
        <v>MOHITC</v>
      </c>
      <c r="W615" s="47" t="str">
        <f>VLOOKUP($A615,Category!$A:$E,4,0)</f>
        <v>CC</v>
      </c>
      <c r="X615" s="47" t="str">
        <f>VLOOKUP($A615,Category!$A:$E,5,0)</f>
        <v>CCG</v>
      </c>
      <c r="Y615" s="18" t="str">
        <f>VLOOKUP(A615,PAcc!$A$1:$J$27,10,0)</f>
        <v>#N/A</v>
      </c>
      <c r="Z615" s="42" t="b">
        <f t="shared" si="4"/>
        <v>1</v>
      </c>
      <c r="AA615" s="50">
        <v>1.0</v>
      </c>
      <c r="AB615" s="25" t="str">
        <f>VLOOKUP(A615,VlookupSheet!$A$383:$A$523,1,0)</f>
        <v>30368271</v>
      </c>
      <c r="AC615" s="50">
        <v>0.3</v>
      </c>
      <c r="AD615" s="42">
        <f t="shared" si="89"/>
        <v>10578566</v>
      </c>
      <c r="AE615" s="42">
        <f t="shared" si="90"/>
        <v>100000</v>
      </c>
      <c r="AF615" s="123">
        <f t="shared" si="91"/>
        <v>0</v>
      </c>
    </row>
    <row r="616">
      <c r="A616" s="30" t="s">
        <v>400</v>
      </c>
      <c r="B616" s="84" t="s">
        <v>876</v>
      </c>
      <c r="C616" s="85"/>
      <c r="D616" s="11" t="s">
        <v>874</v>
      </c>
      <c r="E616" s="11">
        <f t="shared" si="97"/>
        <v>1800000</v>
      </c>
      <c r="F616" s="30" t="s">
        <v>311</v>
      </c>
      <c r="G616" s="31">
        <f t="shared" si="98"/>
        <v>1800000</v>
      </c>
      <c r="H616" s="31">
        <f>iferror(VLOOKUP(A616,'Positional cal'!A:H,4,0),"Not_positional")</f>
        <v>60000</v>
      </c>
      <c r="I616" s="74" t="s">
        <v>329</v>
      </c>
      <c r="J616" s="25" t="s">
        <v>77</v>
      </c>
      <c r="K616" s="38">
        <f t="shared" si="92"/>
        <v>30</v>
      </c>
      <c r="L616" s="18" t="s">
        <v>1068</v>
      </c>
      <c r="M616" s="18" t="s">
        <v>1077</v>
      </c>
      <c r="N616" s="74"/>
      <c r="O616" s="18">
        <v>0.0</v>
      </c>
      <c r="P616" s="74"/>
      <c r="Q616" s="42" t="b">
        <f>iferror(VLOOKUP(A616,'Positional cal'!A:H,1,0)=A616,"FALSE")</f>
        <v>1</v>
      </c>
      <c r="R616" s="43" t="b">
        <f t="shared" si="3"/>
        <v>0</v>
      </c>
      <c r="S616" s="46">
        <f>IFERROR(VLOOKUP($A616,AlgoUi!$A:$X,21,0),"NA")</f>
        <v>5612265</v>
      </c>
      <c r="T616" s="46">
        <f>IFERROR(VLOOKUP($A616,AlgoUi!$A:$X,23,0),"")</f>
        <v>6000000</v>
      </c>
      <c r="U616" s="46">
        <f>IFERROR(VLOOKUP($A616,AlgoUi!$A:$X,24,0),"")</f>
        <v>60000</v>
      </c>
      <c r="V616" s="42" t="str">
        <f>IFERROR(__xludf.DUMMYFUNCTION("IFERROR(VLOOKUP(I616,IMPORTRANGE(""https://docs.google.com/spreadsheets/d/17FOIUYQAjPk1pPQIlvOgqYDBqwUqgb7KWzp4DtVksBk/edit?gid=0#gid=0"",""Servers!A:S""),19,FALSE), ""Not Running"")"),"MOHITC")</f>
        <v>MOHITC</v>
      </c>
      <c r="W616" s="47" t="str">
        <f>VLOOKUP($A616,Category!$A:$E,4,0)</f>
        <v>CC</v>
      </c>
      <c r="X616" s="47" t="str">
        <f>VLOOKUP($A616,Category!$A:$E,5,0)</f>
        <v>CCG</v>
      </c>
      <c r="Y616" s="18" t="str">
        <f>VLOOKUP(A616,PAcc!$A$1:$J$27,10,0)</f>
        <v>#N/A</v>
      </c>
      <c r="Z616" s="42" t="b">
        <f t="shared" si="4"/>
        <v>1</v>
      </c>
      <c r="AA616" s="50">
        <v>1.0</v>
      </c>
      <c r="AB616" s="25" t="str">
        <f>VLOOKUP(A616,VlookupSheet!$A$383:$A$523,1,0)</f>
        <v>74727658</v>
      </c>
      <c r="AC616" s="50">
        <v>0.3</v>
      </c>
      <c r="AD616" s="42">
        <f t="shared" si="89"/>
        <v>5612265</v>
      </c>
      <c r="AE616" s="42">
        <f t="shared" si="90"/>
        <v>60000</v>
      </c>
      <c r="AF616" s="123">
        <f t="shared" si="91"/>
        <v>0</v>
      </c>
    </row>
    <row r="617">
      <c r="A617" s="30" t="s">
        <v>418</v>
      </c>
      <c r="B617" s="84" t="s">
        <v>887</v>
      </c>
      <c r="C617" s="30" t="s">
        <v>77</v>
      </c>
      <c r="D617" s="11" t="s">
        <v>874</v>
      </c>
      <c r="E617" s="11">
        <f t="shared" si="97"/>
        <v>3600000</v>
      </c>
      <c r="F617" s="30" t="s">
        <v>311</v>
      </c>
      <c r="G617" s="31">
        <f t="shared" si="98"/>
        <v>3600000</v>
      </c>
      <c r="H617" s="31">
        <f>iferror(VLOOKUP(A617,'Positional cal'!A:H,4,0),"Not_positional")</f>
        <v>120000</v>
      </c>
      <c r="I617" s="74" t="s">
        <v>329</v>
      </c>
      <c r="J617" s="25" t="s">
        <v>77</v>
      </c>
      <c r="K617" s="38">
        <f t="shared" si="92"/>
        <v>30</v>
      </c>
      <c r="L617" s="18" t="s">
        <v>1068</v>
      </c>
      <c r="M617" s="18" t="s">
        <v>1059</v>
      </c>
      <c r="N617" s="74"/>
      <c r="O617" s="18">
        <v>0.0</v>
      </c>
      <c r="P617" s="74"/>
      <c r="Q617" s="42" t="b">
        <f>iferror(VLOOKUP(A617,'Positional cal'!A:H,1,0)=A617,"FALSE")</f>
        <v>1</v>
      </c>
      <c r="R617" s="43" t="b">
        <f t="shared" si="3"/>
        <v>0</v>
      </c>
      <c r="S617" s="46">
        <f>IFERROR(VLOOKUP($A617,AlgoUi!$A:$X,21,0),"NA")</f>
        <v>12653061</v>
      </c>
      <c r="T617" s="46">
        <f>IFERROR(VLOOKUP($A617,AlgoUi!$A:$X,23,0),"")</f>
        <v>12000000</v>
      </c>
      <c r="U617" s="46">
        <f>IFERROR(VLOOKUP($A617,AlgoUi!$A:$X,24,0),"")</f>
        <v>120000</v>
      </c>
      <c r="V617" s="42" t="str">
        <f>IFERROR(__xludf.DUMMYFUNCTION("IFERROR(VLOOKUP(I617,IMPORTRANGE(""https://docs.google.com/spreadsheets/d/17FOIUYQAjPk1pPQIlvOgqYDBqwUqgb7KWzp4DtVksBk/edit?gid=0#gid=0"",""Servers!A:S""),19,FALSE), ""Not Running"")"),"MOHITC")</f>
        <v>MOHITC</v>
      </c>
      <c r="W617" s="47" t="str">
        <f>VLOOKUP($A617,Category!$A:$E,4,0)</f>
        <v>CC</v>
      </c>
      <c r="X617" s="47" t="str">
        <f>VLOOKUP($A617,Category!$A:$E,5,0)</f>
        <v>CCG</v>
      </c>
      <c r="Y617" s="18" t="str">
        <f>VLOOKUP(A617,PAcc!$A$1:$J$27,10,0)</f>
        <v>#N/A</v>
      </c>
      <c r="Z617" s="42" t="b">
        <f t="shared" si="4"/>
        <v>1</v>
      </c>
      <c r="AA617" s="50">
        <v>1.0</v>
      </c>
      <c r="AB617" s="25" t="str">
        <f>VLOOKUP(A617,VlookupSheet!$A$383:$A$523,1,0)</f>
        <v>46891412</v>
      </c>
      <c r="AC617" s="50">
        <v>0.3</v>
      </c>
      <c r="AD617" s="42">
        <f t="shared" si="89"/>
        <v>12653061</v>
      </c>
      <c r="AE617" s="42">
        <f t="shared" si="90"/>
        <v>120000</v>
      </c>
      <c r="AF617" s="123">
        <f t="shared" si="91"/>
        <v>0</v>
      </c>
    </row>
    <row r="618">
      <c r="A618" s="30" t="s">
        <v>430</v>
      </c>
      <c r="B618" s="84" t="s">
        <v>868</v>
      </c>
      <c r="C618" s="30" t="s">
        <v>77</v>
      </c>
      <c r="D618" s="11" t="s">
        <v>874</v>
      </c>
      <c r="E618" s="11">
        <f t="shared" si="97"/>
        <v>2400000</v>
      </c>
      <c r="F618" s="30" t="s">
        <v>311</v>
      </c>
      <c r="G618" s="31">
        <f t="shared" si="98"/>
        <v>2400000</v>
      </c>
      <c r="H618" s="31">
        <f>iferror(VLOOKUP(A618,'Positional cal'!A:H,4,0),"Not_positional")</f>
        <v>80000</v>
      </c>
      <c r="I618" s="74" t="s">
        <v>329</v>
      </c>
      <c r="J618" s="25" t="s">
        <v>77</v>
      </c>
      <c r="K618" s="38">
        <f t="shared" si="92"/>
        <v>30</v>
      </c>
      <c r="L618" s="18" t="s">
        <v>1068</v>
      </c>
      <c r="M618" s="18" t="s">
        <v>1077</v>
      </c>
      <c r="N618" s="74"/>
      <c r="O618" s="18">
        <v>0.0</v>
      </c>
      <c r="P618" s="74"/>
      <c r="Q618" s="42" t="b">
        <f>iferror(VLOOKUP(A618,'Positional cal'!A:H,1,0)=A618,"FALSE")</f>
        <v>1</v>
      </c>
      <c r="R618" s="43" t="b">
        <f t="shared" si="3"/>
        <v>0</v>
      </c>
      <c r="S618" s="46">
        <f>IFERROR(VLOOKUP($A618,AlgoUi!$A:$X,21,0),"NA")</f>
        <v>8341030</v>
      </c>
      <c r="T618" s="46">
        <f>IFERROR(VLOOKUP($A618,AlgoUi!$A:$X,23,0),"")</f>
        <v>8000000</v>
      </c>
      <c r="U618" s="46">
        <f>IFERROR(VLOOKUP($A618,AlgoUi!$A:$X,24,0),"")</f>
        <v>80000</v>
      </c>
      <c r="V618" s="42" t="str">
        <f>IFERROR(__xludf.DUMMYFUNCTION("IFERROR(VLOOKUP(I618,IMPORTRANGE(""https://docs.google.com/spreadsheets/d/17FOIUYQAjPk1pPQIlvOgqYDBqwUqgb7KWzp4DtVksBk/edit?gid=0#gid=0"",""Servers!A:S""),19,FALSE), ""Not Running"")"),"MOHITC")</f>
        <v>MOHITC</v>
      </c>
      <c r="W618" s="47" t="str">
        <f>VLOOKUP($A618,Category!$A:$E,4,0)</f>
        <v>CC</v>
      </c>
      <c r="X618" s="47" t="str">
        <f>VLOOKUP($A618,Category!$A:$E,5,0)</f>
        <v>CCG</v>
      </c>
      <c r="Y618" s="18" t="str">
        <f>VLOOKUP(A618,PAcc!$A$1:$J$27,10,0)</f>
        <v>#N/A</v>
      </c>
      <c r="Z618" s="42" t="b">
        <f t="shared" si="4"/>
        <v>1</v>
      </c>
      <c r="AA618" s="50">
        <v>1.0</v>
      </c>
      <c r="AB618" s="25" t="str">
        <f>VLOOKUP(A618,VlookupSheet!$A$383:$A$523,1,0)</f>
        <v>55802167</v>
      </c>
      <c r="AC618" s="50">
        <v>0.3</v>
      </c>
      <c r="AD618" s="42">
        <f t="shared" si="89"/>
        <v>8341030</v>
      </c>
      <c r="AE618" s="42">
        <f t="shared" si="90"/>
        <v>80000</v>
      </c>
      <c r="AF618" s="123">
        <f t="shared" si="91"/>
        <v>0</v>
      </c>
    </row>
    <row r="619">
      <c r="A619" s="30" t="s">
        <v>348</v>
      </c>
      <c r="B619" s="84" t="s">
        <v>877</v>
      </c>
      <c r="C619" s="30" t="s">
        <v>77</v>
      </c>
      <c r="D619" s="11" t="s">
        <v>874</v>
      </c>
      <c r="E619" s="11">
        <f t="shared" si="97"/>
        <v>2400000</v>
      </c>
      <c r="F619" s="30" t="s">
        <v>311</v>
      </c>
      <c r="G619" s="31">
        <f t="shared" si="98"/>
        <v>2400000</v>
      </c>
      <c r="H619" s="31">
        <f>iferror(VLOOKUP(A619,'Positional cal'!A:H,4,0),"Not_positional")</f>
        <v>80000</v>
      </c>
      <c r="I619" s="74" t="s">
        <v>329</v>
      </c>
      <c r="J619" s="25" t="s">
        <v>77</v>
      </c>
      <c r="K619" s="38">
        <f t="shared" si="92"/>
        <v>30</v>
      </c>
      <c r="L619" s="18" t="s">
        <v>1068</v>
      </c>
      <c r="M619" s="18" t="s">
        <v>1077</v>
      </c>
      <c r="N619" s="74"/>
      <c r="O619" s="18">
        <v>0.0</v>
      </c>
      <c r="P619" s="74"/>
      <c r="Q619" s="42" t="b">
        <f>iferror(VLOOKUP(A619,'Positional cal'!A:H,1,0)=A619,"FALSE")</f>
        <v>1</v>
      </c>
      <c r="R619" s="43" t="b">
        <f t="shared" si="3"/>
        <v>0</v>
      </c>
      <c r="S619" s="46">
        <f>IFERROR(VLOOKUP($A619,AlgoUi!$A:$X,21,0),"NA")</f>
        <v>7690749</v>
      </c>
      <c r="T619" s="46">
        <f>IFERROR(VLOOKUP($A619,AlgoUi!$A:$X,23,0),"")</f>
        <v>8000000</v>
      </c>
      <c r="U619" s="46">
        <f>IFERROR(VLOOKUP($A619,AlgoUi!$A:$X,24,0),"")</f>
        <v>80000</v>
      </c>
      <c r="V619" s="42" t="str">
        <f>IFERROR(__xludf.DUMMYFUNCTION("IFERROR(VLOOKUP(I619,IMPORTRANGE(""https://docs.google.com/spreadsheets/d/17FOIUYQAjPk1pPQIlvOgqYDBqwUqgb7KWzp4DtVksBk/edit?gid=0#gid=0"",""Servers!A:S""),19,FALSE), ""Not Running"")"),"MOHITC")</f>
        <v>MOHITC</v>
      </c>
      <c r="W619" s="47" t="str">
        <f>VLOOKUP($A619,Category!$A:$E,4,0)</f>
        <v>CC</v>
      </c>
      <c r="X619" s="47" t="str">
        <f>VLOOKUP($A619,Category!$A:$E,5,0)</f>
        <v>CCG</v>
      </c>
      <c r="Y619" s="18" t="str">
        <f>VLOOKUP(A619,PAcc!$A$1:$J$27,10,0)</f>
        <v>#N/A</v>
      </c>
      <c r="Z619" s="42" t="b">
        <f t="shared" si="4"/>
        <v>1</v>
      </c>
      <c r="AA619" s="50">
        <v>1.0</v>
      </c>
      <c r="AB619" s="25" t="str">
        <f>VLOOKUP(A619,VlookupSheet!$A$383:$A$523,1,0)</f>
        <v>92609325</v>
      </c>
      <c r="AC619" s="50">
        <v>0.3</v>
      </c>
      <c r="AD619" s="42">
        <f t="shared" si="89"/>
        <v>7690749</v>
      </c>
      <c r="AE619" s="42">
        <f t="shared" si="90"/>
        <v>80000</v>
      </c>
      <c r="AF619" s="123">
        <f t="shared" si="91"/>
        <v>0</v>
      </c>
    </row>
    <row r="620">
      <c r="A620" s="30" t="s">
        <v>326</v>
      </c>
      <c r="B620" s="84" t="s">
        <v>1728</v>
      </c>
      <c r="C620" s="30" t="s">
        <v>77</v>
      </c>
      <c r="D620" s="11" t="s">
        <v>874</v>
      </c>
      <c r="E620" s="11">
        <f t="shared" si="97"/>
        <v>2400000</v>
      </c>
      <c r="F620" s="30" t="s">
        <v>311</v>
      </c>
      <c r="G620" s="31">
        <f>iferror(VLOOKUP(A620,'Positional cal'!A:H,8,0),"Not_positional")</f>
        <v>163086</v>
      </c>
      <c r="H620" s="31">
        <f>iferror(VLOOKUP(A620,'Positional cal'!A:H,4,0),"Not_positional")</f>
        <v>80000</v>
      </c>
      <c r="I620" s="74" t="s">
        <v>329</v>
      </c>
      <c r="J620" s="25" t="s">
        <v>77</v>
      </c>
      <c r="K620" s="38">
        <f t="shared" si="92"/>
        <v>2.038575</v>
      </c>
      <c r="L620" s="18" t="s">
        <v>1068</v>
      </c>
      <c r="M620" s="18" t="s">
        <v>1077</v>
      </c>
      <c r="N620" s="34">
        <v>1.4</v>
      </c>
      <c r="O620" s="18">
        <v>0.0</v>
      </c>
      <c r="P620" s="34" t="s">
        <v>3904</v>
      </c>
      <c r="Q620" s="42" t="b">
        <f>iferror(VLOOKUP(A620,'Positional cal'!A:H,1,0)=A620,"FALSE")</f>
        <v>1</v>
      </c>
      <c r="R620" s="43" t="b">
        <f t="shared" si="3"/>
        <v>0</v>
      </c>
      <c r="S620" s="46">
        <f>IFERROR(VLOOKUP($A620,AlgoUi!$A:$X,21,0),"NA")</f>
        <v>16802171</v>
      </c>
      <c r="T620" s="46">
        <f>IFERROR(VLOOKUP($A620,AlgoUi!$A:$X,23,0),"")</f>
        <v>16000000</v>
      </c>
      <c r="U620" s="46">
        <f>IFERROR(VLOOKUP($A620,AlgoUi!$A:$X,24,0),"")</f>
        <v>160000</v>
      </c>
      <c r="V620" s="42" t="str">
        <f>IFERROR(__xludf.DUMMYFUNCTION("IFERROR(VLOOKUP(I620,IMPORTRANGE(""https://docs.google.com/spreadsheets/d/17FOIUYQAjPk1pPQIlvOgqYDBqwUqgb7KWzp4DtVksBk/edit?gid=0#gid=0"",""Servers!A:S""),19,FALSE), ""Not Running"")"),"MOHITC")</f>
        <v>MOHITC</v>
      </c>
      <c r="W620" s="47" t="str">
        <f>VLOOKUP($A620,Category!$A:$E,4,0)</f>
        <v>CC</v>
      </c>
      <c r="X620" s="47" t="str">
        <f>VLOOKUP($A620,Category!$A:$E,5,0)</f>
        <v>CCV</v>
      </c>
      <c r="Y620" s="18" t="str">
        <f>VLOOKUP(A620,PAcc!$A$1:$J$27,10,0)</f>
        <v>#N/A</v>
      </c>
      <c r="Z620" s="42" t="b">
        <f t="shared" si="4"/>
        <v>0</v>
      </c>
      <c r="AA620" s="50">
        <v>0.6</v>
      </c>
      <c r="AB620" s="25" t="str">
        <f>VLOOKUP(A620,VlookupSheet!$A$383:$A$523,1,0)</f>
        <v>54046262</v>
      </c>
      <c r="AC620" s="50"/>
      <c r="AD620" s="42">
        <f t="shared" si="89"/>
        <v>10081302.6</v>
      </c>
      <c r="AE620" s="42">
        <f t="shared" si="90"/>
        <v>100000</v>
      </c>
      <c r="AF620" s="123">
        <f t="shared" si="91"/>
        <v>20000</v>
      </c>
    </row>
    <row r="621">
      <c r="A621" s="30" t="s">
        <v>422</v>
      </c>
      <c r="B621" s="84" t="s">
        <v>2917</v>
      </c>
      <c r="C621" s="85"/>
      <c r="D621" s="11">
        <f>IF(J621="7",0.8,1)</f>
        <v>1</v>
      </c>
      <c r="E621" s="11">
        <f>D621*H621</f>
        <v>60000</v>
      </c>
      <c r="F621" s="30" t="s">
        <v>311</v>
      </c>
      <c r="G621" s="11" t="s">
        <v>1550</v>
      </c>
      <c r="H621" s="31">
        <v>60000.0</v>
      </c>
      <c r="I621" s="74" t="s">
        <v>329</v>
      </c>
      <c r="J621" s="25" t="s">
        <v>77</v>
      </c>
      <c r="K621" s="38">
        <f t="shared" si="92"/>
        <v>1</v>
      </c>
      <c r="L621" s="18" t="s">
        <v>910</v>
      </c>
      <c r="M621" s="18" t="s">
        <v>736</v>
      </c>
      <c r="N621" s="74"/>
      <c r="O621" s="18">
        <v>0.0</v>
      </c>
      <c r="P621" s="74"/>
      <c r="Q621" s="42" t="str">
        <f>iferror(VLOOKUP(A621,'Positional cal'!A:H,1,0)=A621,"FALSE")</f>
        <v>FALSE</v>
      </c>
      <c r="R621" s="43" t="b">
        <f t="shared" si="3"/>
        <v>0</v>
      </c>
      <c r="S621" s="46">
        <f>IFERROR(VLOOKUP($A621,AlgoUi!$A:$X,21,0),"NA")</f>
        <v>8864894</v>
      </c>
      <c r="T621" s="46">
        <f>IFERROR(VLOOKUP($A621,AlgoUi!$A:$X,23,0),"")</f>
        <v>8000000</v>
      </c>
      <c r="U621" s="46">
        <f>IFERROR(VLOOKUP($A621,AlgoUi!$A:$X,24,0),"")</f>
        <v>80000</v>
      </c>
      <c r="V621" s="42" t="str">
        <f>IFERROR(__xludf.DUMMYFUNCTION("IFERROR(VLOOKUP(I621,IMPORTRANGE(""https://docs.google.com/spreadsheets/d/17FOIUYQAjPk1pPQIlvOgqYDBqwUqgb7KWzp4DtVksBk/edit?gid=0#gid=0"",""Servers!A:S""),19,FALSE), ""Not Running"")"),"MOHITC")</f>
        <v>MOHITC</v>
      </c>
      <c r="W621" s="47" t="str">
        <f>VLOOKUP($A621,Category!$A:$E,4,0)</f>
        <v>CC</v>
      </c>
      <c r="X621" s="47" t="str">
        <f>VLOOKUP($A621,Category!$A:$E,5,0)</f>
        <v>CCV</v>
      </c>
      <c r="Y621" s="18" t="str">
        <f>VLOOKUP(A621,PAcc!$A$1:$J$27,10,0)</f>
        <v>#N/A</v>
      </c>
      <c r="Z621" s="42" t="b">
        <f t="shared" si="4"/>
        <v>0</v>
      </c>
      <c r="AA621" s="50">
        <v>0.6</v>
      </c>
      <c r="AB621" s="42" t="str">
        <f>VLOOKUP(A621,VlookupSheet!$A$383:$A$523,1,0)</f>
        <v>#N/A</v>
      </c>
      <c r="AC621" s="50"/>
      <c r="AD621" s="42">
        <f t="shared" si="89"/>
        <v>5318936.4</v>
      </c>
      <c r="AE621" s="42">
        <f t="shared" si="90"/>
        <v>60000</v>
      </c>
      <c r="AF621" s="123">
        <f t="shared" si="91"/>
        <v>0</v>
      </c>
    </row>
    <row r="622">
      <c r="A622" s="30" t="s">
        <v>289</v>
      </c>
      <c r="B622" s="84" t="s">
        <v>893</v>
      </c>
      <c r="C622" s="30" t="s">
        <v>77</v>
      </c>
      <c r="D622" s="11" t="s">
        <v>874</v>
      </c>
      <c r="E622" s="11">
        <f t="shared" ref="E622:E623" si="99">H622*D622</f>
        <v>2400000</v>
      </c>
      <c r="F622" s="30" t="s">
        <v>311</v>
      </c>
      <c r="G622" s="31">
        <f>iferror(VLOOKUP(A622,'Positional cal'!A:H,8,0),"Not_positional")</f>
        <v>163080</v>
      </c>
      <c r="H622" s="31">
        <f>iferror(VLOOKUP(A622,'Positional cal'!A:H,4,0),"Not_positional")</f>
        <v>80000</v>
      </c>
      <c r="I622" s="74" t="s">
        <v>329</v>
      </c>
      <c r="J622" s="25" t="s">
        <v>77</v>
      </c>
      <c r="K622" s="38">
        <f t="shared" si="92"/>
        <v>2.0385</v>
      </c>
      <c r="L622" s="18" t="s">
        <v>1068</v>
      </c>
      <c r="M622" s="18" t="s">
        <v>1077</v>
      </c>
      <c r="N622" s="74"/>
      <c r="O622" s="18">
        <v>0.0</v>
      </c>
      <c r="P622" s="74"/>
      <c r="Q622" s="42" t="b">
        <f>iferror(VLOOKUP(A622,'Positional cal'!A:H,1,0)=A622,"FALSE")</f>
        <v>1</v>
      </c>
      <c r="R622" s="43" t="b">
        <f t="shared" si="3"/>
        <v>0</v>
      </c>
      <c r="S622" s="46">
        <f>IFERROR(VLOOKUP($A622,AlgoUi!$A:$X,21,0),"NA")</f>
        <v>14944111</v>
      </c>
      <c r="T622" s="46">
        <f>IFERROR(VLOOKUP($A622,AlgoUi!$A:$X,23,0),"")</f>
        <v>14000000</v>
      </c>
      <c r="U622" s="46">
        <f>IFERROR(VLOOKUP($A622,AlgoUi!$A:$X,24,0),"")</f>
        <v>140000</v>
      </c>
      <c r="V622" s="42" t="str">
        <f>IFERROR(__xludf.DUMMYFUNCTION("IFERROR(VLOOKUP(I622,IMPORTRANGE(""https://docs.google.com/spreadsheets/d/17FOIUYQAjPk1pPQIlvOgqYDBqwUqgb7KWzp4DtVksBk/edit?gid=0#gid=0"",""Servers!A:S""),19,FALSE), ""Not Running"")"),"MOHITC")</f>
        <v>MOHITC</v>
      </c>
      <c r="W622" s="47" t="str">
        <f>VLOOKUP($A622,Category!$A:$E,4,0)</f>
        <v>CC</v>
      </c>
      <c r="X622" s="47" t="str">
        <f>VLOOKUP($A622,Category!$A:$E,5,0)</f>
        <v>CCV</v>
      </c>
      <c r="Y622" s="18" t="str">
        <f>VLOOKUP(A622,PAcc!$A$1:$J$27,10,0)</f>
        <v>#N/A</v>
      </c>
      <c r="Z622" s="42" t="b">
        <f t="shared" si="4"/>
        <v>0</v>
      </c>
      <c r="AA622" s="50">
        <v>0.6</v>
      </c>
      <c r="AB622" s="25" t="str">
        <f>VLOOKUP(A622,VlookupSheet!$A$383:$A$523,1,0)</f>
        <v>KRISTA78</v>
      </c>
      <c r="AC622" s="50"/>
      <c r="AD622" s="42">
        <f t="shared" si="89"/>
        <v>8966466.6</v>
      </c>
      <c r="AE622" s="42">
        <f t="shared" si="90"/>
        <v>80000</v>
      </c>
      <c r="AF622" s="123">
        <f t="shared" si="91"/>
        <v>0</v>
      </c>
    </row>
    <row r="623">
      <c r="A623" s="30" t="s">
        <v>306</v>
      </c>
      <c r="B623" s="84" t="s">
        <v>899</v>
      </c>
      <c r="C623" s="85"/>
      <c r="D623" s="11" t="s">
        <v>874</v>
      </c>
      <c r="E623" s="11">
        <f t="shared" si="99"/>
        <v>4200000</v>
      </c>
      <c r="F623" s="30" t="s">
        <v>311</v>
      </c>
      <c r="G623" s="31">
        <f>H623*30</f>
        <v>4200000</v>
      </c>
      <c r="H623" s="31">
        <f>iferror(VLOOKUP(A623,'Positional cal'!A:H,4,0),"Not_positional")</f>
        <v>140000</v>
      </c>
      <c r="I623" s="74" t="s">
        <v>329</v>
      </c>
      <c r="J623" s="25" t="s">
        <v>77</v>
      </c>
      <c r="K623" s="38">
        <f t="shared" si="92"/>
        <v>30</v>
      </c>
      <c r="L623" s="18" t="s">
        <v>1068</v>
      </c>
      <c r="M623" s="18" t="s">
        <v>1059</v>
      </c>
      <c r="N623" s="74"/>
      <c r="O623" s="18">
        <v>0.0</v>
      </c>
      <c r="P623" s="74"/>
      <c r="Q623" s="42" t="b">
        <f>iferror(VLOOKUP(A623,'Positional cal'!A:H,1,0)=A623,"FALSE")</f>
        <v>1</v>
      </c>
      <c r="R623" s="43" t="b">
        <f t="shared" si="3"/>
        <v>0</v>
      </c>
      <c r="S623" s="46">
        <f>IFERROR(VLOOKUP($A623,AlgoUi!$A:$X,21,0),"NA")</f>
        <v>14122933</v>
      </c>
      <c r="T623" s="46">
        <f>IFERROR(VLOOKUP($A623,AlgoUi!$A:$X,23,0),"")</f>
        <v>14000000</v>
      </c>
      <c r="U623" s="46">
        <f>IFERROR(VLOOKUP($A623,AlgoUi!$A:$X,24,0),"")</f>
        <v>140000</v>
      </c>
      <c r="V623" s="42" t="str">
        <f>IFERROR(__xludf.DUMMYFUNCTION("IFERROR(VLOOKUP(I623,IMPORTRANGE(""https://docs.google.com/spreadsheets/d/17FOIUYQAjPk1pPQIlvOgqYDBqwUqgb7KWzp4DtVksBk/edit?gid=0#gid=0"",""Servers!A:S""),19,FALSE), ""Not Running"")"),"MOHITC")</f>
        <v>MOHITC</v>
      </c>
      <c r="W623" s="47" t="str">
        <f>VLOOKUP($A623,Category!$A:$E,4,0)</f>
        <v>CC</v>
      </c>
      <c r="X623" s="47" t="str">
        <f>VLOOKUP($A623,Category!$A:$E,5,0)</f>
        <v>CCG</v>
      </c>
      <c r="Y623" s="18" t="str">
        <f>VLOOKUP(A623,PAcc!$A$1:$J$27,10,0)</f>
        <v>#N/A</v>
      </c>
      <c r="Z623" s="42" t="b">
        <f t="shared" si="4"/>
        <v>1</v>
      </c>
      <c r="AA623" s="50">
        <v>1.0</v>
      </c>
      <c r="AB623" s="25" t="str">
        <f>VLOOKUP(A623,VlookupSheet!$A$383:$A$523,1,0)</f>
        <v>AVS00RKL</v>
      </c>
      <c r="AC623" s="50">
        <v>0.3</v>
      </c>
      <c r="AD623" s="42">
        <f t="shared" si="89"/>
        <v>14122933</v>
      </c>
      <c r="AE623" s="42">
        <f t="shared" si="90"/>
        <v>140000</v>
      </c>
      <c r="AF623" s="123">
        <f t="shared" si="91"/>
        <v>0</v>
      </c>
    </row>
    <row r="624">
      <c r="A624" s="30" t="s">
        <v>562</v>
      </c>
      <c r="B624" s="84" t="s">
        <v>2489</v>
      </c>
      <c r="C624" s="30" t="s">
        <v>77</v>
      </c>
      <c r="D624" s="11">
        <f>IF(J624="7",0.8,1)</f>
        <v>1</v>
      </c>
      <c r="E624" s="11">
        <f>D624*H624</f>
        <v>40000</v>
      </c>
      <c r="F624" s="11" t="s">
        <v>317</v>
      </c>
      <c r="G624" s="11" t="s">
        <v>1100</v>
      </c>
      <c r="H624" s="31">
        <v>40000.0</v>
      </c>
      <c r="I624" s="74" t="s">
        <v>329</v>
      </c>
      <c r="J624" s="25" t="s">
        <v>77</v>
      </c>
      <c r="K624" s="38">
        <f t="shared" si="92"/>
        <v>1</v>
      </c>
      <c r="L624" s="18" t="s">
        <v>910</v>
      </c>
      <c r="M624" s="18" t="s">
        <v>736</v>
      </c>
      <c r="N624" s="34"/>
      <c r="O624" s="18">
        <v>0.0</v>
      </c>
      <c r="P624" s="34"/>
      <c r="Q624" s="42" t="str">
        <f>iferror(VLOOKUP(A624,'Positional cal'!A:H,1,0)=A624,"FALSE")</f>
        <v>FALSE</v>
      </c>
      <c r="R624" s="43" t="b">
        <f t="shared" si="3"/>
        <v>0</v>
      </c>
      <c r="S624" s="46">
        <f>IFERROR(VLOOKUP($A624,AlgoUi!$A:$X,21,0),"NA")</f>
        <v>7423098</v>
      </c>
      <c r="T624" s="46">
        <f>IFERROR(VLOOKUP($A624,AlgoUi!$A:$X,23,0),"")</f>
        <v>8000000</v>
      </c>
      <c r="U624" s="46">
        <f>IFERROR(VLOOKUP($A624,AlgoUi!$A:$X,24,0),"")</f>
        <v>80000</v>
      </c>
      <c r="V624" s="42" t="str">
        <f>IFERROR(__xludf.DUMMYFUNCTION("IFERROR(VLOOKUP(I624,IMPORTRANGE(""https://docs.google.com/spreadsheets/d/17FOIUYQAjPk1pPQIlvOgqYDBqwUqgb7KWzp4DtVksBk/edit?gid=0#gid=0"",""Servers!A:S""),19,FALSE), ""Not Running"")"),"MOHITC")</f>
        <v>MOHITC</v>
      </c>
      <c r="W624" s="47" t="str">
        <f>VLOOKUP($A624,Category!$A:$E,4,0)</f>
        <v>CC</v>
      </c>
      <c r="X624" s="47" t="str">
        <f>VLOOKUP($A624,Category!$A:$E,5,0)</f>
        <v>CCV</v>
      </c>
      <c r="Y624" s="18" t="str">
        <f>VLOOKUP(A624,PAcc!$A$1:$J$27,10,0)</f>
        <v>#N/A</v>
      </c>
      <c r="Z624" s="42" t="b">
        <f t="shared" si="4"/>
        <v>0</v>
      </c>
      <c r="AA624" s="50">
        <v>0.6</v>
      </c>
      <c r="AB624" s="42" t="str">
        <f>VLOOKUP(A624,VlookupSheet!$A$383:$A$523,1,0)</f>
        <v>#N/A</v>
      </c>
      <c r="AC624" s="50"/>
      <c r="AD624" s="42">
        <f t="shared" si="89"/>
        <v>4453858.8</v>
      </c>
      <c r="AE624" s="42">
        <f t="shared" si="90"/>
        <v>40000</v>
      </c>
      <c r="AF624" s="123">
        <f t="shared" si="91"/>
        <v>0</v>
      </c>
    </row>
    <row r="625">
      <c r="A625" s="11" t="s">
        <v>299</v>
      </c>
      <c r="B625" s="84" t="s">
        <v>853</v>
      </c>
      <c r="C625" s="25"/>
      <c r="D625" s="11" t="s">
        <v>874</v>
      </c>
      <c r="E625" s="11">
        <f t="shared" ref="E625:E646" si="100">H625*D625</f>
        <v>1800000</v>
      </c>
      <c r="F625" s="11" t="s">
        <v>317</v>
      </c>
      <c r="G625" s="31">
        <f>iferror(VLOOKUP(A625,'Positional cal'!A:H,8,0),"Not_positional")</f>
        <v>122990</v>
      </c>
      <c r="H625" s="31">
        <f>iferror(VLOOKUP(A625,'Positional cal'!A:H,4,0),"Not_positional")</f>
        <v>60000</v>
      </c>
      <c r="I625" s="74" t="s">
        <v>329</v>
      </c>
      <c r="J625" s="25" t="s">
        <v>77</v>
      </c>
      <c r="K625" s="38">
        <f t="shared" si="92"/>
        <v>2.049833333</v>
      </c>
      <c r="L625" s="18" t="s">
        <v>1068</v>
      </c>
      <c r="M625" s="18" t="s">
        <v>1077</v>
      </c>
      <c r="N625" s="42"/>
      <c r="O625" s="18">
        <v>0.0</v>
      </c>
      <c r="P625" s="42"/>
      <c r="Q625" s="42" t="b">
        <f>iferror(VLOOKUP(A625,'Positional cal'!A:H,1,0)=A625,"FALSE")</f>
        <v>1</v>
      </c>
      <c r="R625" s="43" t="b">
        <f t="shared" si="3"/>
        <v>0</v>
      </c>
      <c r="S625" s="46">
        <f>IFERROR(VLOOKUP($A625,AlgoUi!$A:$X,21,0),"NA")</f>
        <v>9920380</v>
      </c>
      <c r="T625" s="46">
        <f>IFERROR(VLOOKUP($A625,AlgoUi!$A:$X,23,0),"")</f>
        <v>10000000</v>
      </c>
      <c r="U625" s="46">
        <f>IFERROR(VLOOKUP($A625,AlgoUi!$A:$X,24,0),"")</f>
        <v>100000</v>
      </c>
      <c r="V625" s="42" t="str">
        <f>IFERROR(__xludf.DUMMYFUNCTION("IFERROR(VLOOKUP(I625,IMPORTRANGE(""https://docs.google.com/spreadsheets/d/17FOIUYQAjPk1pPQIlvOgqYDBqwUqgb7KWzp4DtVksBk/edit?gid=0#gid=0"",""Servers!A:S""),19,FALSE), ""Not Running"")"),"MOHITC")</f>
        <v>MOHITC</v>
      </c>
      <c r="W625" s="47" t="str">
        <f>VLOOKUP($A625,Category!$A:$E,4,0)</f>
        <v>CC</v>
      </c>
      <c r="X625" s="47" t="str">
        <f>VLOOKUP($A625,Category!$A:$E,5,0)</f>
        <v>CCV</v>
      </c>
      <c r="Y625" s="18" t="str">
        <f>VLOOKUP(A625,PAcc!$A$1:$J$27,10,0)</f>
        <v>#N/A</v>
      </c>
      <c r="Z625" s="42" t="b">
        <f t="shared" si="4"/>
        <v>0</v>
      </c>
      <c r="AA625" s="50">
        <v>0.6</v>
      </c>
      <c r="AB625" s="25" t="str">
        <f>VLOOKUP(A625,VlookupSheet!$A$383:$A$523,1,0)</f>
        <v>IR0012</v>
      </c>
      <c r="AC625" s="50"/>
      <c r="AD625" s="42">
        <f t="shared" si="89"/>
        <v>5952228</v>
      </c>
      <c r="AE625" s="42">
        <f t="shared" si="90"/>
        <v>60000</v>
      </c>
      <c r="AF625" s="123">
        <f t="shared" si="91"/>
        <v>0</v>
      </c>
    </row>
    <row r="626">
      <c r="A626" s="11" t="s">
        <v>854</v>
      </c>
      <c r="B626" s="24" t="s">
        <v>855</v>
      </c>
      <c r="C626" s="25"/>
      <c r="D626" s="11" t="s">
        <v>874</v>
      </c>
      <c r="E626" s="11">
        <f t="shared" si="100"/>
        <v>1800000</v>
      </c>
      <c r="F626" s="11" t="s">
        <v>317</v>
      </c>
      <c r="G626" s="31">
        <f>iferror(VLOOKUP(A626,'Positional cal'!A:H,8,0),"Not_positional")</f>
        <v>123047</v>
      </c>
      <c r="H626" s="31">
        <f>iferror(VLOOKUP(A626,'Positional cal'!A:H,4,0),"Not_positional")</f>
        <v>60000</v>
      </c>
      <c r="I626" s="11" t="s">
        <v>329</v>
      </c>
      <c r="J626" s="25" t="s">
        <v>77</v>
      </c>
      <c r="K626" s="38">
        <f t="shared" si="92"/>
        <v>2.050783333</v>
      </c>
      <c r="L626" s="18" t="s">
        <v>1068</v>
      </c>
      <c r="M626" s="18" t="s">
        <v>1077</v>
      </c>
      <c r="N626" s="42"/>
      <c r="O626" s="18">
        <v>0.0</v>
      </c>
      <c r="P626" s="42"/>
      <c r="Q626" s="42" t="b">
        <f>iferror(VLOOKUP(A626,'Positional cal'!A:H,1,0)=A626,"FALSE")</f>
        <v>1</v>
      </c>
      <c r="R626" s="43" t="b">
        <f t="shared" si="3"/>
        <v>0</v>
      </c>
      <c r="S626" s="46">
        <f>IFERROR(VLOOKUP($A626,AlgoUi!$A:$X,21,0),"NA")</f>
        <v>10873735</v>
      </c>
      <c r="T626" s="46">
        <f>IFERROR(VLOOKUP($A626,AlgoUi!$A:$X,23,0),"")</f>
        <v>10000000</v>
      </c>
      <c r="U626" s="46">
        <f>IFERROR(VLOOKUP($A626,AlgoUi!$A:$X,24,0),"")</f>
        <v>100000</v>
      </c>
      <c r="V626" s="42" t="str">
        <f>IFERROR(__xludf.DUMMYFUNCTION("IFERROR(VLOOKUP(I626,IMPORTRANGE(""https://docs.google.com/spreadsheets/d/17FOIUYQAjPk1pPQIlvOgqYDBqwUqgb7KWzp4DtVksBk/edit?gid=0#gid=0"",""Servers!A:S""),19,FALSE), ""Not Running"")"),"MOHITC")</f>
        <v>MOHITC</v>
      </c>
      <c r="W626" s="47" t="str">
        <f>VLOOKUP($A626,Category!$A:$E,4,0)</f>
        <v>CC</v>
      </c>
      <c r="X626" s="47" t="str">
        <f>VLOOKUP($A626,Category!$A:$E,5,0)</f>
        <v>CCV</v>
      </c>
      <c r="Y626" s="18" t="str">
        <f>VLOOKUP(A626,PAcc!$A$1:$J$27,10,0)</f>
        <v>#N/A</v>
      </c>
      <c r="Z626" s="42" t="b">
        <f t="shared" si="4"/>
        <v>0</v>
      </c>
      <c r="AA626" s="50">
        <v>0.6</v>
      </c>
      <c r="AB626" s="25" t="str">
        <f>VLOOKUP(A626,VlookupSheet!$A$383:$A$523,1,0)</f>
        <v>NS0008</v>
      </c>
      <c r="AC626" s="50"/>
      <c r="AD626" s="42">
        <f t="shared" si="89"/>
        <v>6524241</v>
      </c>
      <c r="AE626" s="42">
        <f t="shared" si="90"/>
        <v>60000</v>
      </c>
      <c r="AF626" s="123">
        <f t="shared" si="91"/>
        <v>0</v>
      </c>
    </row>
    <row r="627">
      <c r="A627" s="11" t="s">
        <v>945</v>
      </c>
      <c r="B627" s="24" t="s">
        <v>946</v>
      </c>
      <c r="C627" s="25"/>
      <c r="D627" s="11" t="s">
        <v>964</v>
      </c>
      <c r="E627" s="11">
        <f t="shared" si="100"/>
        <v>140000</v>
      </c>
      <c r="F627" s="11" t="s">
        <v>3905</v>
      </c>
      <c r="G627" s="31">
        <f>VLOOKUP(A627,'A8 Daily SL verification'!$A:$G,7,0)</f>
        <v>166863</v>
      </c>
      <c r="H627" s="31">
        <f>VLOOKUP(A627,'A8 Daily SL verification'!$A:$G,3,0)</f>
        <v>200000</v>
      </c>
      <c r="I627" s="11" t="s">
        <v>936</v>
      </c>
      <c r="J627" s="11" t="s">
        <v>586</v>
      </c>
      <c r="K627" s="38">
        <f t="shared" si="92"/>
        <v>0.834315</v>
      </c>
      <c r="L627" s="18" t="s">
        <v>1068</v>
      </c>
      <c r="M627" s="18" t="s">
        <v>1077</v>
      </c>
      <c r="N627" s="42"/>
      <c r="O627" s="42"/>
      <c r="P627" s="42"/>
      <c r="Q627" s="42" t="str">
        <f>iferror(VLOOKUP(A627,'Positional cal'!A:H,1,0)=A627,"FALSE")</f>
        <v>FALSE</v>
      </c>
      <c r="R627" s="43" t="b">
        <f t="shared" si="3"/>
        <v>0</v>
      </c>
      <c r="S627" s="46">
        <f>IFERROR(VLOOKUP($A627,AlgoUi!$A:$X,21,0),"NA")</f>
        <v>20000000</v>
      </c>
      <c r="T627" s="46">
        <f>IFERROR(VLOOKUP($A627,AlgoUi!$A:$X,23,0),"")</f>
        <v>20000000</v>
      </c>
      <c r="U627" s="46">
        <f>IFERROR(VLOOKUP($A627,AlgoUi!$A:$X,24,0),"")</f>
        <v>140000</v>
      </c>
      <c r="V627" s="42" t="str">
        <f>IFERROR(__xludf.DUMMYFUNCTION("IFERROR(VLOOKUP(I627,IMPORTRANGE(""https://docs.google.com/spreadsheets/d/17FOIUYQAjPk1pPQIlvOgqYDBqwUqgb7KWzp4DtVksBk/edit?gid=0#gid=0"",""Servers!A:S""),19,FALSE), ""Not Running"")"),"DHANANJAYS")</f>
        <v>DHANANJAYS</v>
      </c>
      <c r="W627" s="47" t="str">
        <f>VLOOKUP($A627,Category!$A:$E,4,0)</f>
        <v>MS</v>
      </c>
      <c r="X627" s="47" t="str">
        <f>VLOOKUP($A627,Category!$A:$E,5,0)</f>
        <v>MSR</v>
      </c>
      <c r="Y627" s="18" t="str">
        <f>VLOOKUP(A627,PAcc!$A$1:$J$27,10,0)</f>
        <v>#N/A</v>
      </c>
      <c r="Z627" s="42" t="b">
        <f t="shared" si="4"/>
        <v>1</v>
      </c>
      <c r="AA627" s="42"/>
      <c r="AB627" s="25" t="str">
        <f>VLOOKUP(A627,VlookupSheet!$A$383:$A$523,1,0)</f>
        <v>XTSD1</v>
      </c>
      <c r="AC627" s="42"/>
      <c r="AD627" s="42"/>
      <c r="AE627" s="42"/>
      <c r="AF627" s="42"/>
    </row>
    <row r="628">
      <c r="A628" s="30" t="s">
        <v>597</v>
      </c>
      <c r="B628" s="84" t="s">
        <v>1696</v>
      </c>
      <c r="C628" s="85"/>
      <c r="D628" s="11" t="s">
        <v>77</v>
      </c>
      <c r="E628" s="11">
        <f t="shared" si="100"/>
        <v>100000</v>
      </c>
      <c r="F628" s="30" t="s">
        <v>311</v>
      </c>
      <c r="G628" s="31">
        <f t="shared" ref="G628:G629" si="101">E628</f>
        <v>100000</v>
      </c>
      <c r="H628" s="31">
        <f>VLOOKUP(A628,'A8 Daily SL verification'!$A:$G,3,0)</f>
        <v>100000</v>
      </c>
      <c r="I628" s="34" t="s">
        <v>936</v>
      </c>
      <c r="J628" s="11" t="s">
        <v>586</v>
      </c>
      <c r="K628" s="38">
        <f t="shared" si="92"/>
        <v>1</v>
      </c>
      <c r="L628" s="18" t="s">
        <v>910</v>
      </c>
      <c r="M628" s="18" t="s">
        <v>736</v>
      </c>
      <c r="N628" s="74"/>
      <c r="O628" s="74"/>
      <c r="P628" s="74"/>
      <c r="Q628" s="42" t="str">
        <f>iferror(VLOOKUP(A628,'Positional cal'!A:H,1,0)=A628,"FALSE")</f>
        <v>FALSE</v>
      </c>
      <c r="R628" s="43" t="b">
        <f t="shared" si="3"/>
        <v>0</v>
      </c>
      <c r="S628" s="46">
        <f>IFERROR(VLOOKUP($A628,AlgoUi!$A:$X,21,0),"NA")</f>
        <v>36560968</v>
      </c>
      <c r="T628" s="46">
        <f>IFERROR(VLOOKUP($A628,AlgoUi!$A:$X,23,0),"")</f>
        <v>36000000</v>
      </c>
      <c r="U628" s="46">
        <f>IFERROR(VLOOKUP($A628,AlgoUi!$A:$X,24,0),"")</f>
        <v>252000</v>
      </c>
      <c r="V628" s="42" t="str">
        <f>IFERROR(__xludf.DUMMYFUNCTION("IFERROR(VLOOKUP(I628,IMPORTRANGE(""https://docs.google.com/spreadsheets/d/17FOIUYQAjPk1pPQIlvOgqYDBqwUqgb7KWzp4DtVksBk/edit?gid=0#gid=0"",""Servers!A:S""),19,FALSE), ""Not Running"")"),"DHANANJAYS")</f>
        <v>DHANANJAYS</v>
      </c>
      <c r="W628" s="47" t="str">
        <f>VLOOKUP($A628,Category!$A:$E,4,0)</f>
        <v>MS</v>
      </c>
      <c r="X628" s="47" t="str">
        <f>VLOOKUP($A628,Category!$A:$E,5,0)</f>
        <v>MSP</v>
      </c>
      <c r="Y628" s="18" t="str">
        <f>VLOOKUP(A628,PAcc!$A$1:$J$27,10,0)</f>
        <v>#N/A</v>
      </c>
      <c r="Z628" s="42" t="b">
        <f t="shared" si="4"/>
        <v>0</v>
      </c>
      <c r="AA628" s="50">
        <v>0.5</v>
      </c>
      <c r="AB628" s="42" t="str">
        <f>VLOOKUP(A628,VlookupSheet!$A$383:$A$523,1,0)</f>
        <v>#N/A</v>
      </c>
      <c r="AC628" s="42"/>
      <c r="AD628" s="42"/>
      <c r="AE628" s="42"/>
      <c r="AF628" s="42"/>
    </row>
    <row r="629">
      <c r="A629" s="30" t="s">
        <v>598</v>
      </c>
      <c r="B629" s="84" t="s">
        <v>1772</v>
      </c>
      <c r="C629" s="85"/>
      <c r="D629" s="11" t="s">
        <v>77</v>
      </c>
      <c r="E629" s="11">
        <f t="shared" si="100"/>
        <v>100000</v>
      </c>
      <c r="F629" s="30" t="s">
        <v>311</v>
      </c>
      <c r="G629" s="31">
        <f t="shared" si="101"/>
        <v>100000</v>
      </c>
      <c r="H629" s="31">
        <f>VLOOKUP(A629,'A8 Daily SL verification'!$A:$G,3,0)</f>
        <v>100000</v>
      </c>
      <c r="I629" s="34" t="s">
        <v>936</v>
      </c>
      <c r="J629" s="11" t="s">
        <v>586</v>
      </c>
      <c r="K629" s="38">
        <f t="shared" si="92"/>
        <v>1</v>
      </c>
      <c r="L629" s="18" t="s">
        <v>910</v>
      </c>
      <c r="M629" s="18" t="s">
        <v>736</v>
      </c>
      <c r="N629" s="74"/>
      <c r="O629" s="74"/>
      <c r="P629" s="74"/>
      <c r="Q629" s="42" t="str">
        <f>iferror(VLOOKUP(A629,'Positional cal'!A:H,1,0)=A629,"FALSE")</f>
        <v>FALSE</v>
      </c>
      <c r="R629" s="43" t="b">
        <f t="shared" si="3"/>
        <v>0</v>
      </c>
      <c r="S629" s="46">
        <f>IFERROR(VLOOKUP($A629,AlgoUi!$A:$X,21,0),"NA")</f>
        <v>27516740</v>
      </c>
      <c r="T629" s="46">
        <f>IFERROR(VLOOKUP($A629,AlgoUi!$A:$X,23,0),"")</f>
        <v>28000000</v>
      </c>
      <c r="U629" s="46">
        <f>IFERROR(VLOOKUP($A629,AlgoUi!$A:$X,24,0),"")</f>
        <v>196000</v>
      </c>
      <c r="V629" s="42" t="str">
        <f>IFERROR(__xludf.DUMMYFUNCTION("IFERROR(VLOOKUP(I629,IMPORTRANGE(""https://docs.google.com/spreadsheets/d/17FOIUYQAjPk1pPQIlvOgqYDBqwUqgb7KWzp4DtVksBk/edit?gid=0#gid=0"",""Servers!A:S""),19,FALSE), ""Not Running"")"),"DHANANJAYS")</f>
        <v>DHANANJAYS</v>
      </c>
      <c r="W629" s="47" t="str">
        <f>VLOOKUP($A629,Category!$A:$E,4,0)</f>
        <v>MS</v>
      </c>
      <c r="X629" s="47" t="str">
        <f>VLOOKUP($A629,Category!$A:$E,5,0)</f>
        <v>MSP</v>
      </c>
      <c r="Y629" s="18" t="str">
        <f>VLOOKUP(A629,PAcc!$A$1:$J$27,10,0)</f>
        <v>#N/A</v>
      </c>
      <c r="Z629" s="42" t="b">
        <f t="shared" si="4"/>
        <v>0</v>
      </c>
      <c r="AA629" s="50">
        <v>0.5</v>
      </c>
      <c r="AB629" s="42" t="str">
        <f>VLOOKUP(A629,VlookupSheet!$A$383:$A$523,1,0)</f>
        <v>#N/A</v>
      </c>
      <c r="AC629" s="42"/>
      <c r="AD629" s="42"/>
      <c r="AE629" s="42"/>
      <c r="AF629" s="42"/>
    </row>
    <row r="630">
      <c r="A630" s="30" t="s">
        <v>599</v>
      </c>
      <c r="B630" s="84" t="s">
        <v>943</v>
      </c>
      <c r="C630" s="85"/>
      <c r="D630" s="11" t="s">
        <v>964</v>
      </c>
      <c r="E630" s="11">
        <f t="shared" si="100"/>
        <v>140000</v>
      </c>
      <c r="F630" s="30" t="s">
        <v>311</v>
      </c>
      <c r="G630" s="31">
        <f>VLOOKUP(A630,'A8 Daily SL verification'!$A:$G,7,0)</f>
        <v>166796</v>
      </c>
      <c r="H630" s="31">
        <f>VLOOKUP(A630,'A8 Daily SL verification'!$A:$G,3,0)</f>
        <v>200000</v>
      </c>
      <c r="I630" s="34" t="s">
        <v>936</v>
      </c>
      <c r="J630" s="11" t="s">
        <v>586</v>
      </c>
      <c r="K630" s="38">
        <f t="shared" si="92"/>
        <v>0.83398</v>
      </c>
      <c r="L630" s="18" t="s">
        <v>1068</v>
      </c>
      <c r="M630" s="18" t="s">
        <v>1077</v>
      </c>
      <c r="N630" s="47"/>
      <c r="O630" s="47"/>
      <c r="P630" s="47"/>
      <c r="Q630" s="42" t="str">
        <f>iferror(VLOOKUP(A630,'Positional cal'!A:H,1,0)=A630,"FALSE")</f>
        <v>FALSE</v>
      </c>
      <c r="R630" s="43" t="b">
        <f t="shared" si="3"/>
        <v>0</v>
      </c>
      <c r="S630" s="46">
        <f>IFERROR(VLOOKUP($A630,AlgoUi!$A:$X,21,0),"NA")</f>
        <v>61888991</v>
      </c>
      <c r="T630" s="46">
        <f>IFERROR(VLOOKUP($A630,AlgoUi!$A:$X,23,0),"")</f>
        <v>62000000</v>
      </c>
      <c r="U630" s="46">
        <f>IFERROR(VLOOKUP($A630,AlgoUi!$A:$X,24,0),"")</f>
        <v>434000</v>
      </c>
      <c r="V630" s="42" t="str">
        <f>IFERROR(__xludf.DUMMYFUNCTION("IFERROR(VLOOKUP(I630,IMPORTRANGE(""https://docs.google.com/spreadsheets/d/17FOIUYQAjPk1pPQIlvOgqYDBqwUqgb7KWzp4DtVksBk/edit?gid=0#gid=0"",""Servers!A:S""),19,FALSE), ""Not Running"")"),"DHANANJAYS")</f>
        <v>DHANANJAYS</v>
      </c>
      <c r="W630" s="47" t="str">
        <f>VLOOKUP($A630,Category!$A:$E,4,0)</f>
        <v>MS</v>
      </c>
      <c r="X630" s="47" t="str">
        <f>VLOOKUP($A630,Category!$A:$E,5,0)</f>
        <v>MSR</v>
      </c>
      <c r="Y630" s="18" t="str">
        <f>VLOOKUP(A630,PAcc!$A$1:$J$27,10,0)</f>
        <v>#N/A</v>
      </c>
      <c r="Z630" s="42" t="b">
        <f t="shared" si="4"/>
        <v>0</v>
      </c>
      <c r="AA630" s="42"/>
      <c r="AB630" s="25" t="str">
        <f>VLOOKUP(A630,VlookupSheet!$A$383:$A$523,1,0)</f>
        <v>AJIT0112</v>
      </c>
      <c r="AC630" s="42"/>
      <c r="AD630" s="42"/>
      <c r="AE630" s="42"/>
      <c r="AF630" s="42"/>
    </row>
    <row r="631">
      <c r="A631" s="30" t="s">
        <v>605</v>
      </c>
      <c r="B631" s="84" t="s">
        <v>938</v>
      </c>
      <c r="C631" s="85"/>
      <c r="D631" s="11" t="s">
        <v>964</v>
      </c>
      <c r="E631" s="11">
        <f t="shared" si="100"/>
        <v>140000</v>
      </c>
      <c r="F631" s="30" t="s">
        <v>311</v>
      </c>
      <c r="G631" s="31">
        <f>VLOOKUP(A631,'A8 Daily SL verification'!$A:$G,7,0)</f>
        <v>166846</v>
      </c>
      <c r="H631" s="31">
        <f>VLOOKUP(A631,'A8 Daily SL verification'!$A:$G,3,0)</f>
        <v>200000</v>
      </c>
      <c r="I631" s="34" t="s">
        <v>936</v>
      </c>
      <c r="J631" s="11" t="s">
        <v>586</v>
      </c>
      <c r="K631" s="38">
        <f t="shared" si="92"/>
        <v>0.83423</v>
      </c>
      <c r="L631" s="18" t="s">
        <v>1068</v>
      </c>
      <c r="M631" s="18" t="s">
        <v>1077</v>
      </c>
      <c r="N631" s="74"/>
      <c r="O631" s="74"/>
      <c r="P631" s="74"/>
      <c r="Q631" s="42" t="str">
        <f>iferror(VLOOKUP(A631,'Positional cal'!A:H,1,0)=A631,"FALSE")</f>
        <v>FALSE</v>
      </c>
      <c r="R631" s="43" t="b">
        <f t="shared" si="3"/>
        <v>0</v>
      </c>
      <c r="S631" s="46">
        <f>IFERROR(VLOOKUP($A631,AlgoUi!$A:$X,21,0),"NA")</f>
        <v>89691780</v>
      </c>
      <c r="T631" s="46">
        <f>IFERROR(VLOOKUP($A631,AlgoUi!$A:$X,23,0),"")</f>
        <v>90000000</v>
      </c>
      <c r="U631" s="46">
        <f>IFERROR(VLOOKUP($A631,AlgoUi!$A:$X,24,0),"")</f>
        <v>630000</v>
      </c>
      <c r="V631" s="42" t="str">
        <f>IFERROR(__xludf.DUMMYFUNCTION("IFERROR(VLOOKUP(I631,IMPORTRANGE(""https://docs.google.com/spreadsheets/d/17FOIUYQAjPk1pPQIlvOgqYDBqwUqgb7KWzp4DtVksBk/edit?gid=0#gid=0"",""Servers!A:S""),19,FALSE), ""Not Running"")"),"DHANANJAYS")</f>
        <v>DHANANJAYS</v>
      </c>
      <c r="W631" s="47" t="str">
        <f>VLOOKUP($A631,Category!$A:$E,4,0)</f>
        <v>MS</v>
      </c>
      <c r="X631" s="47" t="str">
        <f>VLOOKUP($A631,Category!$A:$E,5,0)</f>
        <v>MSR</v>
      </c>
      <c r="Y631" s="18" t="str">
        <f>VLOOKUP(A631,PAcc!$A$1:$J$27,10,0)</f>
        <v>#N/A</v>
      </c>
      <c r="Z631" s="42" t="b">
        <f t="shared" si="4"/>
        <v>0</v>
      </c>
      <c r="AA631" s="42"/>
      <c r="AB631" s="25" t="str">
        <f>VLOOKUP(A631,VlookupSheet!$A$383:$A$523,1,0)</f>
        <v>VCUBEVEN</v>
      </c>
      <c r="AC631" s="42"/>
      <c r="AD631" s="42"/>
      <c r="AE631" s="42"/>
      <c r="AF631" s="42"/>
    </row>
    <row r="632">
      <c r="A632" s="30" t="s">
        <v>606</v>
      </c>
      <c r="B632" s="84" t="s">
        <v>944</v>
      </c>
      <c r="C632" s="30" t="s">
        <v>320</v>
      </c>
      <c r="D632" s="11" t="s">
        <v>964</v>
      </c>
      <c r="E632" s="11">
        <f t="shared" si="100"/>
        <v>140000</v>
      </c>
      <c r="F632" s="30" t="s">
        <v>311</v>
      </c>
      <c r="G632" s="31">
        <f>VLOOKUP(A632,'A8 Daily SL verification'!$A:$G,7,0)</f>
        <v>187838</v>
      </c>
      <c r="H632" s="31">
        <f>VLOOKUP(A632,'A8 Daily SL verification'!$A:$G,3,0)</f>
        <v>200000</v>
      </c>
      <c r="I632" s="34" t="s">
        <v>936</v>
      </c>
      <c r="J632" s="11" t="s">
        <v>586</v>
      </c>
      <c r="K632" s="38">
        <f t="shared" si="92"/>
        <v>0.93919</v>
      </c>
      <c r="L632" s="18" t="s">
        <v>1068</v>
      </c>
      <c r="M632" s="18" t="s">
        <v>1077</v>
      </c>
      <c r="N632" s="34"/>
      <c r="O632" s="34"/>
      <c r="P632" s="34"/>
      <c r="Q632" s="42" t="str">
        <f>iferror(VLOOKUP(A632,'Positional cal'!A:H,1,0)=A632,"FALSE")</f>
        <v>FALSE</v>
      </c>
      <c r="R632" s="43" t="b">
        <f t="shared" si="3"/>
        <v>0</v>
      </c>
      <c r="S632" s="46">
        <f>IFERROR(VLOOKUP($A632,AlgoUi!$A:$X,21,0),"NA")</f>
        <v>77643187</v>
      </c>
      <c r="T632" s="46">
        <f>IFERROR(VLOOKUP($A632,AlgoUi!$A:$X,23,0),"")</f>
        <v>78000000</v>
      </c>
      <c r="U632" s="46">
        <f>IFERROR(VLOOKUP($A632,AlgoUi!$A:$X,24,0),"")</f>
        <v>546000</v>
      </c>
      <c r="V632" s="42" t="str">
        <f>IFERROR(__xludf.DUMMYFUNCTION("IFERROR(VLOOKUP(I632,IMPORTRANGE(""https://docs.google.com/spreadsheets/d/17FOIUYQAjPk1pPQIlvOgqYDBqwUqgb7KWzp4DtVksBk/edit?gid=0#gid=0"",""Servers!A:S""),19,FALSE), ""Not Running"")"),"DHANANJAYS")</f>
        <v>DHANANJAYS</v>
      </c>
      <c r="W632" s="47" t="str">
        <f>VLOOKUP($A632,Category!$A:$E,4,0)</f>
        <v>MS</v>
      </c>
      <c r="X632" s="47" t="str">
        <f>VLOOKUP($A632,Category!$A:$E,5,0)</f>
        <v>PRD</v>
      </c>
      <c r="Y632" s="18" t="str">
        <f>VLOOKUP(A632,PAcc!$A$1:$J$27,10,0)</f>
        <v>RD Personal </v>
      </c>
      <c r="Z632" s="42" t="b">
        <f t="shared" si="4"/>
        <v>0</v>
      </c>
      <c r="AA632" s="42"/>
      <c r="AB632" s="25" t="str">
        <f>VLOOKUP(A632,VlookupSheet!$A$383:$A$523,1,0)</f>
        <v>SUCHI076</v>
      </c>
      <c r="AC632" s="42"/>
      <c r="AD632" s="42"/>
      <c r="AE632" s="42"/>
      <c r="AF632" s="42"/>
    </row>
    <row r="633">
      <c r="A633" s="30" t="s">
        <v>607</v>
      </c>
      <c r="B633" s="84" t="s">
        <v>941</v>
      </c>
      <c r="C633" s="85"/>
      <c r="D633" s="11" t="s">
        <v>964</v>
      </c>
      <c r="E633" s="11">
        <f t="shared" si="100"/>
        <v>140000</v>
      </c>
      <c r="F633" s="30" t="s">
        <v>311</v>
      </c>
      <c r="G633" s="31">
        <f>VLOOKUP(A633,'A8 Daily SL verification'!$A:$G,7,0)</f>
        <v>166848</v>
      </c>
      <c r="H633" s="31">
        <f>VLOOKUP(A633,'A8 Daily SL verification'!$A:$G,3,0)</f>
        <v>200000</v>
      </c>
      <c r="I633" s="34" t="s">
        <v>936</v>
      </c>
      <c r="J633" s="11" t="s">
        <v>586</v>
      </c>
      <c r="K633" s="38">
        <f t="shared" si="92"/>
        <v>0.83424</v>
      </c>
      <c r="L633" s="18" t="s">
        <v>1068</v>
      </c>
      <c r="M633" s="18" t="s">
        <v>1077</v>
      </c>
      <c r="N633" s="47"/>
      <c r="O633" s="47"/>
      <c r="P633" s="47"/>
      <c r="Q633" s="42" t="str">
        <f>iferror(VLOOKUP(A633,'Positional cal'!A:H,1,0)=A633,"FALSE")</f>
        <v>FALSE</v>
      </c>
      <c r="R633" s="43" t="b">
        <f t="shared" si="3"/>
        <v>0</v>
      </c>
      <c r="S633" s="46">
        <f>IFERROR(VLOOKUP($A633,AlgoUi!$A:$X,21,0),"NA")</f>
        <v>67964145</v>
      </c>
      <c r="T633" s="46">
        <f>IFERROR(VLOOKUP($A633,AlgoUi!$A:$X,23,0),"")</f>
        <v>68000000</v>
      </c>
      <c r="U633" s="46">
        <f>IFERROR(VLOOKUP($A633,AlgoUi!$A:$X,24,0),"")</f>
        <v>476000</v>
      </c>
      <c r="V633" s="42" t="str">
        <f>IFERROR(__xludf.DUMMYFUNCTION("IFERROR(VLOOKUP(I633,IMPORTRANGE(""https://docs.google.com/spreadsheets/d/17FOIUYQAjPk1pPQIlvOgqYDBqwUqgb7KWzp4DtVksBk/edit?gid=0#gid=0"",""Servers!A:S""),19,FALSE), ""Not Running"")"),"DHANANJAYS")</f>
        <v>DHANANJAYS</v>
      </c>
      <c r="W633" s="47" t="str">
        <f>VLOOKUP($A633,Category!$A:$E,4,0)</f>
        <v>MS</v>
      </c>
      <c r="X633" s="47" t="str">
        <f>VLOOKUP($A633,Category!$A:$E,5,0)</f>
        <v>MSR</v>
      </c>
      <c r="Y633" s="18" t="str">
        <f>VLOOKUP(A633,PAcc!$A$1:$J$27,10,0)</f>
        <v>#N/A</v>
      </c>
      <c r="Z633" s="42" t="b">
        <f t="shared" si="4"/>
        <v>0</v>
      </c>
      <c r="AA633" s="42"/>
      <c r="AB633" s="25" t="str">
        <f>VLOOKUP(A633,VlookupSheet!$A$383:$A$523,1,0)</f>
        <v>MELOGIST</v>
      </c>
      <c r="AC633" s="42"/>
      <c r="AD633" s="42"/>
      <c r="AE633" s="42"/>
      <c r="AF633" s="42"/>
    </row>
    <row r="634">
      <c r="A634" s="11" t="s">
        <v>612</v>
      </c>
      <c r="B634" s="24" t="s">
        <v>2381</v>
      </c>
      <c r="C634" s="25"/>
      <c r="D634" s="11" t="s">
        <v>77</v>
      </c>
      <c r="E634" s="11">
        <f t="shared" si="100"/>
        <v>100000</v>
      </c>
      <c r="F634" s="30" t="s">
        <v>311</v>
      </c>
      <c r="G634" s="31">
        <f t="shared" ref="G634:G635" si="102">E634</f>
        <v>100000</v>
      </c>
      <c r="H634" s="31">
        <f>VLOOKUP(A634,'A8 Daily SL verification'!$A:$G,3,0)</f>
        <v>100000</v>
      </c>
      <c r="I634" s="34" t="s">
        <v>936</v>
      </c>
      <c r="J634" s="11" t="s">
        <v>586</v>
      </c>
      <c r="K634" s="38">
        <f t="shared" si="92"/>
        <v>1</v>
      </c>
      <c r="L634" s="18" t="s">
        <v>910</v>
      </c>
      <c r="M634" s="18" t="s">
        <v>736</v>
      </c>
      <c r="N634" s="42"/>
      <c r="O634" s="42"/>
      <c r="P634" s="42"/>
      <c r="Q634" s="42" t="str">
        <f>iferror(VLOOKUP(A634,'Positional cal'!A:H,1,0)=A634,"FALSE")</f>
        <v>FALSE</v>
      </c>
      <c r="R634" s="43" t="b">
        <f t="shared" si="3"/>
        <v>0</v>
      </c>
      <c r="S634" s="46">
        <f>IFERROR(VLOOKUP($A634,AlgoUi!$A:$X,21,0),"NA")</f>
        <v>23565296</v>
      </c>
      <c r="T634" s="46">
        <f>IFERROR(VLOOKUP($A634,AlgoUi!$A:$X,23,0),"")</f>
        <v>24000000</v>
      </c>
      <c r="U634" s="46">
        <f>IFERROR(VLOOKUP($A634,AlgoUi!$A:$X,24,0),"")</f>
        <v>168000</v>
      </c>
      <c r="V634" s="42" t="str">
        <f>IFERROR(__xludf.DUMMYFUNCTION("IFERROR(VLOOKUP(I634,IMPORTRANGE(""https://docs.google.com/spreadsheets/d/17FOIUYQAjPk1pPQIlvOgqYDBqwUqgb7KWzp4DtVksBk/edit?gid=0#gid=0"",""Servers!A:S""),19,FALSE), ""Not Running"")"),"DHANANJAYS")</f>
        <v>DHANANJAYS</v>
      </c>
      <c r="W634" s="47" t="str">
        <f>VLOOKUP($A634,Category!$A:$E,4,0)</f>
        <v>MS</v>
      </c>
      <c r="X634" s="47" t="str">
        <f>VLOOKUP($A634,Category!$A:$E,5,0)</f>
        <v>MSR</v>
      </c>
      <c r="Y634" s="18" t="str">
        <f>VLOOKUP(A634,PAcc!$A$1:$J$27,10,0)</f>
        <v>#N/A</v>
      </c>
      <c r="Z634" s="42" t="b">
        <f t="shared" si="4"/>
        <v>0</v>
      </c>
      <c r="AA634" s="50">
        <v>0.5</v>
      </c>
      <c r="AB634" s="42" t="str">
        <f>VLOOKUP(A634,VlookupSheet!$A$383:$A$523,1,0)</f>
        <v>#N/A</v>
      </c>
      <c r="AC634" s="42"/>
      <c r="AD634" s="42"/>
      <c r="AE634" s="42"/>
      <c r="AF634" s="42"/>
    </row>
    <row r="635">
      <c r="A635" s="30" t="s">
        <v>615</v>
      </c>
      <c r="B635" s="84" t="s">
        <v>2125</v>
      </c>
      <c r="C635" s="85"/>
      <c r="D635" s="11" t="s">
        <v>77</v>
      </c>
      <c r="E635" s="11">
        <f t="shared" si="100"/>
        <v>100000</v>
      </c>
      <c r="F635" s="30" t="s">
        <v>311</v>
      </c>
      <c r="G635" s="31">
        <f t="shared" si="102"/>
        <v>100000</v>
      </c>
      <c r="H635" s="31">
        <f>VLOOKUP(A635,'A8 Daily SL verification'!$A:$G,3,0)</f>
        <v>100000</v>
      </c>
      <c r="I635" s="34" t="s">
        <v>936</v>
      </c>
      <c r="J635" s="30" t="s">
        <v>586</v>
      </c>
      <c r="K635" s="38">
        <f t="shared" si="92"/>
        <v>1</v>
      </c>
      <c r="L635" s="18" t="s">
        <v>910</v>
      </c>
      <c r="M635" s="18" t="s">
        <v>736</v>
      </c>
      <c r="N635" s="74"/>
      <c r="O635" s="74"/>
      <c r="P635" s="74"/>
      <c r="Q635" s="42" t="str">
        <f>iferror(VLOOKUP(A635,'Positional cal'!A:H,1,0)=A635,"FALSE")</f>
        <v>FALSE</v>
      </c>
      <c r="R635" s="43" t="b">
        <f t="shared" si="3"/>
        <v>0</v>
      </c>
      <c r="S635" s="46">
        <f>IFERROR(VLOOKUP($A635,AlgoUi!$A:$X,21,0),"NA")</f>
        <v>22419044</v>
      </c>
      <c r="T635" s="46">
        <f>IFERROR(VLOOKUP($A635,AlgoUi!$A:$X,23,0),"")</f>
        <v>22000000</v>
      </c>
      <c r="U635" s="46">
        <f>IFERROR(VLOOKUP($A635,AlgoUi!$A:$X,24,0),"")</f>
        <v>154000</v>
      </c>
      <c r="V635" s="42" t="str">
        <f>IFERROR(__xludf.DUMMYFUNCTION("IFERROR(VLOOKUP(I635,IMPORTRANGE(""https://docs.google.com/spreadsheets/d/17FOIUYQAjPk1pPQIlvOgqYDBqwUqgb7KWzp4DtVksBk/edit?gid=0#gid=0"",""Servers!A:S""),19,FALSE), ""Not Running"")"),"DHANANJAYS")</f>
        <v>DHANANJAYS</v>
      </c>
      <c r="W635" s="47" t="str">
        <f>VLOOKUP($A635,Category!$A:$E,4,0)</f>
        <v>MS</v>
      </c>
      <c r="X635" s="47" t="str">
        <f>VLOOKUP($A635,Category!$A:$E,5,0)</f>
        <v>MSR</v>
      </c>
      <c r="Y635" s="18" t="str">
        <f>VLOOKUP(A635,PAcc!$A$1:$J$27,10,0)</f>
        <v>#N/A</v>
      </c>
      <c r="Z635" s="42" t="b">
        <f t="shared" si="4"/>
        <v>0</v>
      </c>
      <c r="AA635" s="50">
        <v>0.5</v>
      </c>
      <c r="AB635" s="42" t="str">
        <f>VLOOKUP(A635,VlookupSheet!$A$383:$A$523,1,0)</f>
        <v>#N/A</v>
      </c>
      <c r="AC635" s="42"/>
      <c r="AD635" s="42"/>
      <c r="AE635" s="42"/>
      <c r="AF635" s="42"/>
    </row>
    <row r="636">
      <c r="A636" s="11" t="s">
        <v>617</v>
      </c>
      <c r="B636" s="24" t="s">
        <v>3387</v>
      </c>
      <c r="C636" s="25"/>
      <c r="D636" s="11" t="s">
        <v>964</v>
      </c>
      <c r="E636" s="11">
        <f t="shared" si="100"/>
        <v>140000</v>
      </c>
      <c r="F636" s="11" t="s">
        <v>3715</v>
      </c>
      <c r="G636" s="31">
        <f>VLOOKUP(A636,'A8 Daily SL verification'!$A:$G,7,0)</f>
        <v>186880</v>
      </c>
      <c r="H636" s="31">
        <f>VLOOKUP(A636,'A8 Daily SL verification'!$A:$G,3,0)</f>
        <v>200000</v>
      </c>
      <c r="I636" s="11" t="s">
        <v>936</v>
      </c>
      <c r="J636" s="11" t="s">
        <v>586</v>
      </c>
      <c r="K636" s="38">
        <f t="shared" si="92"/>
        <v>0.9344</v>
      </c>
      <c r="L636" s="18" t="s">
        <v>1068</v>
      </c>
      <c r="M636" s="18" t="s">
        <v>1077</v>
      </c>
      <c r="N636" s="42"/>
      <c r="O636" s="42"/>
      <c r="P636" s="42"/>
      <c r="Q636" s="42" t="str">
        <f>iferror(VLOOKUP(A636,'Positional cal'!A:H,1,0)=A636,"FALSE")</f>
        <v>FALSE</v>
      </c>
      <c r="R636" s="43" t="b">
        <f t="shared" si="3"/>
        <v>0</v>
      </c>
      <c r="S636" s="46">
        <f>IFERROR(VLOOKUP($A636,AlgoUi!$A:$X,21,0),"NA")</f>
        <v>20000000</v>
      </c>
      <c r="T636" s="46">
        <f>IFERROR(VLOOKUP($A636,AlgoUi!$A:$X,23,0),"")</f>
        <v>20000000</v>
      </c>
      <c r="U636" s="46">
        <f>IFERROR(VLOOKUP($A636,AlgoUi!$A:$X,24,0),"")</f>
        <v>140000</v>
      </c>
      <c r="V636" s="42" t="str">
        <f>IFERROR(__xludf.DUMMYFUNCTION("IFERROR(VLOOKUP(I636,IMPORTRANGE(""https://docs.google.com/spreadsheets/d/17FOIUYQAjPk1pPQIlvOgqYDBqwUqgb7KWzp4DtVksBk/edit?gid=0#gid=0"",""Servers!A:S""),19,FALSE), ""Not Running"")"),"DHANANJAYS")</f>
        <v>DHANANJAYS</v>
      </c>
      <c r="W636" s="47" t="str">
        <f>VLOOKUP($A636,Category!$A:$E,4,0)</f>
        <v>CC</v>
      </c>
      <c r="X636" s="47" t="str">
        <f>VLOOKUP($A636,Category!$A:$E,5,0)</f>
        <v>CCV</v>
      </c>
      <c r="Y636" s="18" t="str">
        <f>VLOOKUP(A636,PAcc!$A$1:$J$27,10,0)</f>
        <v>#N/A</v>
      </c>
      <c r="Z636" s="42" t="b">
        <f t="shared" si="4"/>
        <v>1</v>
      </c>
      <c r="AA636" s="50">
        <v>1.0</v>
      </c>
      <c r="AB636" s="25" t="str">
        <f>VLOOKUP(A636,VlookupSheet!$A$383:$A$523,1,0)</f>
        <v>2035</v>
      </c>
      <c r="AC636" s="42"/>
      <c r="AD636" s="42"/>
      <c r="AE636" s="42"/>
      <c r="AF636" s="42"/>
    </row>
    <row r="637">
      <c r="A637" s="30" t="s">
        <v>697</v>
      </c>
      <c r="B637" s="84" t="s">
        <v>2275</v>
      </c>
      <c r="C637" s="30" t="s">
        <v>3054</v>
      </c>
      <c r="D637" s="11" t="s">
        <v>77</v>
      </c>
      <c r="E637" s="11">
        <f t="shared" si="100"/>
        <v>100000</v>
      </c>
      <c r="F637" s="30" t="s">
        <v>311</v>
      </c>
      <c r="G637" s="31">
        <f t="shared" ref="G637:G638" si="103">E637</f>
        <v>100000</v>
      </c>
      <c r="H637" s="31">
        <f>VLOOKUP(A637,'A8 Daily SL verification'!$A:$G,3,0)</f>
        <v>100000</v>
      </c>
      <c r="I637" s="34" t="s">
        <v>936</v>
      </c>
      <c r="J637" s="11" t="s">
        <v>586</v>
      </c>
      <c r="K637" s="38">
        <f t="shared" si="92"/>
        <v>1</v>
      </c>
      <c r="L637" s="18" t="s">
        <v>910</v>
      </c>
      <c r="M637" s="18" t="s">
        <v>736</v>
      </c>
      <c r="N637" s="34"/>
      <c r="O637" s="34"/>
      <c r="P637" s="34"/>
      <c r="Q637" s="42" t="str">
        <f>iferror(VLOOKUP(A637,'Positional cal'!A:H,1,0)=A637,"FALSE")</f>
        <v>FALSE</v>
      </c>
      <c r="R637" s="43" t="b">
        <f t="shared" si="3"/>
        <v>0</v>
      </c>
      <c r="S637" s="46">
        <f>IFERROR(VLOOKUP($A637,AlgoUi!$A:$X,21,0),"NA")</f>
        <v>20778359</v>
      </c>
      <c r="T637" s="46">
        <f>IFERROR(VLOOKUP($A637,AlgoUi!$A:$X,23,0),"")</f>
        <v>20000000</v>
      </c>
      <c r="U637" s="46">
        <f>IFERROR(VLOOKUP($A637,AlgoUi!$A:$X,24,0),"")</f>
        <v>140000</v>
      </c>
      <c r="V637" s="42" t="str">
        <f>IFERROR(__xludf.DUMMYFUNCTION("IFERROR(VLOOKUP(I637,IMPORTRANGE(""https://docs.google.com/spreadsheets/d/17FOIUYQAjPk1pPQIlvOgqYDBqwUqgb7KWzp4DtVksBk/edit?gid=0#gid=0"",""Servers!A:S""),19,FALSE), ""Not Running"")"),"DHANANJAYS")</f>
        <v>DHANANJAYS</v>
      </c>
      <c r="W637" s="47" t="str">
        <f>VLOOKUP($A637,Category!$A:$E,4,0)</f>
        <v>MS</v>
      </c>
      <c r="X637" s="47" t="str">
        <f>VLOOKUP($A637,Category!$A:$E,5,0)</f>
        <v>MSR</v>
      </c>
      <c r="Y637" s="18" t="str">
        <f>VLOOKUP(A637,PAcc!$A$1:$J$27,10,0)</f>
        <v>#N/A</v>
      </c>
      <c r="Z637" s="42" t="b">
        <f t="shared" si="4"/>
        <v>0</v>
      </c>
      <c r="AA637" s="50">
        <v>0.5</v>
      </c>
      <c r="AB637" s="42" t="str">
        <f>VLOOKUP(A637,VlookupSheet!$A$383:$A$523,1,0)</f>
        <v>#N/A</v>
      </c>
      <c r="AC637" s="42"/>
      <c r="AD637" s="42"/>
      <c r="AE637" s="42"/>
      <c r="AF637" s="42"/>
    </row>
    <row r="638">
      <c r="A638" s="11" t="s">
        <v>183</v>
      </c>
      <c r="B638" s="24" t="s">
        <v>3549</v>
      </c>
      <c r="C638" s="25"/>
      <c r="D638" s="11" t="s">
        <v>77</v>
      </c>
      <c r="E638" s="11">
        <f t="shared" si="100"/>
        <v>100000</v>
      </c>
      <c r="F638" s="11" t="s">
        <v>716</v>
      </c>
      <c r="G638" s="31">
        <f t="shared" si="103"/>
        <v>100000</v>
      </c>
      <c r="H638" s="31">
        <f>VLOOKUP(A638,'A8 Daily SL verification'!$A:$G,3,0)</f>
        <v>100000</v>
      </c>
      <c r="I638" s="18" t="s">
        <v>936</v>
      </c>
      <c r="J638" s="11" t="s">
        <v>586</v>
      </c>
      <c r="K638" s="38">
        <f t="shared" si="92"/>
        <v>1</v>
      </c>
      <c r="L638" s="18" t="s">
        <v>910</v>
      </c>
      <c r="M638" s="18" t="s">
        <v>736</v>
      </c>
      <c r="N638" s="18"/>
      <c r="O638" s="18"/>
      <c r="P638" s="18"/>
      <c r="Q638" s="42" t="str">
        <f>iferror(VLOOKUP(A638,'Positional cal'!A:H,1,0)=A638,"FALSE")</f>
        <v>FALSE</v>
      </c>
      <c r="R638" s="43" t="b">
        <f t="shared" si="3"/>
        <v>0</v>
      </c>
      <c r="S638" s="46">
        <f>IFERROR(VLOOKUP($A638,AlgoUi!$A:$X,21,0),"NA")</f>
        <v>22630534</v>
      </c>
      <c r="T638" s="46">
        <f>IFERROR(VLOOKUP($A638,AlgoUi!$A:$X,23,0),"")</f>
        <v>22000000</v>
      </c>
      <c r="U638" s="46">
        <f>IFERROR(VLOOKUP($A638,AlgoUi!$A:$X,24,0),"")</f>
        <v>154000</v>
      </c>
      <c r="V638" s="42" t="str">
        <f>IFERROR(__xludf.DUMMYFUNCTION("IFERROR(VLOOKUP(I638,IMPORTRANGE(""https://docs.google.com/spreadsheets/d/17FOIUYQAjPk1pPQIlvOgqYDBqwUqgb7KWzp4DtVksBk/edit?gid=0#gid=0"",""Servers!A:S""),19,FALSE), ""Not Running"")"),"DHANANJAYS")</f>
        <v>DHANANJAYS</v>
      </c>
      <c r="W638" s="47" t="str">
        <f>VLOOKUP($A638,Category!$A:$E,4,0)</f>
        <v>MS</v>
      </c>
      <c r="X638" s="47" t="str">
        <f>VLOOKUP($A638,Category!$A:$E,5,0)</f>
        <v>MSS</v>
      </c>
      <c r="Y638" s="18" t="str">
        <f>VLOOKUP(A638,PAcc!$A$1:$J$27,10,0)</f>
        <v>#N/A</v>
      </c>
      <c r="Z638" s="42" t="b">
        <f t="shared" si="4"/>
        <v>0</v>
      </c>
      <c r="AA638" s="50">
        <v>0.5</v>
      </c>
      <c r="AB638" s="42" t="str">
        <f>VLOOKUP(A638,VlookupSheet!$A$383:$A$523,1,0)</f>
        <v>#N/A</v>
      </c>
      <c r="AC638" s="42"/>
      <c r="AD638" s="42"/>
      <c r="AE638" s="42"/>
      <c r="AF638" s="42"/>
    </row>
    <row r="639">
      <c r="A639" s="11" t="s">
        <v>909</v>
      </c>
      <c r="B639" s="24" t="s">
        <v>935</v>
      </c>
      <c r="C639" s="25"/>
      <c r="D639" s="11" t="s">
        <v>964</v>
      </c>
      <c r="E639" s="11">
        <f t="shared" si="100"/>
        <v>140000</v>
      </c>
      <c r="F639" s="11" t="s">
        <v>875</v>
      </c>
      <c r="G639" s="31">
        <f>VLOOKUP(A639,'A8 Daily SL verification'!$A:$G,7,0)</f>
        <v>186579</v>
      </c>
      <c r="H639" s="31">
        <f>VLOOKUP(A639,'A8 Daily SL verification'!$A:$G,3,0)</f>
        <v>200000</v>
      </c>
      <c r="I639" s="11" t="s">
        <v>936</v>
      </c>
      <c r="J639" s="11" t="s">
        <v>586</v>
      </c>
      <c r="K639" s="173">
        <v>0.7</v>
      </c>
      <c r="L639" s="18" t="s">
        <v>1068</v>
      </c>
      <c r="M639" s="18" t="s">
        <v>1077</v>
      </c>
      <c r="N639" s="42"/>
      <c r="O639" s="42"/>
      <c r="P639" s="42"/>
      <c r="Q639" s="42" t="str">
        <f>iferror(VLOOKUP(A639,'Positional cal'!A:H,1,0)=A639,"FALSE")</f>
        <v>FALSE</v>
      </c>
      <c r="R639" s="43" t="b">
        <f t="shared" si="3"/>
        <v>0</v>
      </c>
      <c r="S639" s="46">
        <f>IFERROR(VLOOKUP($A639,AlgoUi!$A:$X,21,0),"NA")</f>
        <v>1000000000</v>
      </c>
      <c r="T639" s="46">
        <f>IFERROR(VLOOKUP($A639,AlgoUi!$A:$X,23,0),"")</f>
        <v>1000000000</v>
      </c>
      <c r="U639" s="46">
        <f>IFERROR(VLOOKUP($A639,AlgoUi!$A:$X,24,0),"")</f>
        <v>7000000</v>
      </c>
      <c r="V639" s="42" t="str">
        <f>IFERROR(__xludf.DUMMYFUNCTION("IFERROR(VLOOKUP(I639,IMPORTRANGE(""https://docs.google.com/spreadsheets/d/17FOIUYQAjPk1pPQIlvOgqYDBqwUqgb7KWzp4DtVksBk/edit?gid=0#gid=0"",""Servers!A:S""),19,FALSE), ""Not Running"")"),"DHANANJAYS")</f>
        <v>DHANANJAYS</v>
      </c>
      <c r="W639" s="47" t="str">
        <f>VLOOKUP($A639,Category!$A:$E,4,0)</f>
        <v>MS</v>
      </c>
      <c r="X639" s="47" t="str">
        <f>VLOOKUP($A639,Category!$A:$E,5,0)</f>
        <v>MSJ</v>
      </c>
      <c r="Y639" s="18" t="str">
        <f>VLOOKUP(A639,PAcc!$A$1:$J$27,10,0)</f>
        <v>#N/A</v>
      </c>
      <c r="Z639" s="42" t="b">
        <f t="shared" si="4"/>
        <v>0</v>
      </c>
      <c r="AA639" s="42"/>
      <c r="AB639" s="25" t="str">
        <f>VLOOKUP(A639,VlookupSheet!$A$383:$A$523,1,0)</f>
        <v>AM009</v>
      </c>
      <c r="AC639" s="42"/>
      <c r="AD639" s="42"/>
      <c r="AE639" s="42"/>
      <c r="AF639" s="42"/>
    </row>
    <row r="640">
      <c r="A640" s="11" t="s">
        <v>957</v>
      </c>
      <c r="B640" s="24" t="s">
        <v>2959</v>
      </c>
      <c r="C640" s="25"/>
      <c r="D640" s="11" t="s">
        <v>77</v>
      </c>
      <c r="E640" s="11">
        <f t="shared" si="100"/>
        <v>100000</v>
      </c>
      <c r="F640" s="60" t="s">
        <v>886</v>
      </c>
      <c r="G640" s="31">
        <f t="shared" ref="G640:G641" si="104">E640</f>
        <v>100000</v>
      </c>
      <c r="H640" s="31">
        <f>VLOOKUP(A640,'A8 Daily SL verification'!$A:$G,3,0)</f>
        <v>100000</v>
      </c>
      <c r="I640" s="11" t="s">
        <v>936</v>
      </c>
      <c r="J640" s="11" t="s">
        <v>586</v>
      </c>
      <c r="K640" s="38">
        <f t="shared" ref="K640:K762" si="105">iferror(G640/H640,"-")</f>
        <v>1</v>
      </c>
      <c r="L640" s="18" t="s">
        <v>910</v>
      </c>
      <c r="M640" s="18" t="s">
        <v>736</v>
      </c>
      <c r="N640" s="42"/>
      <c r="O640" s="42"/>
      <c r="P640" s="42"/>
      <c r="Q640" s="42" t="str">
        <f>iferror(VLOOKUP(A640,'Positional cal'!A:H,1,0)=A640,"FALSE")</f>
        <v>FALSE</v>
      </c>
      <c r="R640" s="43" t="b">
        <f t="shared" si="3"/>
        <v>0</v>
      </c>
      <c r="S640" s="46">
        <f>IFERROR(VLOOKUP($A640,AlgoUi!$A:$X,21,0),"NA")</f>
        <v>38713338</v>
      </c>
      <c r="T640" s="46">
        <f>IFERROR(VLOOKUP($A640,AlgoUi!$A:$X,23,0),"")</f>
        <v>38000000</v>
      </c>
      <c r="U640" s="46">
        <f>IFERROR(VLOOKUP($A640,AlgoUi!$A:$X,24,0),"")</f>
        <v>266000</v>
      </c>
      <c r="V640" s="42" t="str">
        <f>IFERROR(__xludf.DUMMYFUNCTION("IFERROR(VLOOKUP(I640,IMPORTRANGE(""https://docs.google.com/spreadsheets/d/17FOIUYQAjPk1pPQIlvOgqYDBqwUqgb7KWzp4DtVksBk/edit?gid=0#gid=0"",""Servers!A:S""),19,FALSE), ""Not Running"")"),"DHANANJAYS")</f>
        <v>DHANANJAYS</v>
      </c>
      <c r="W640" s="47" t="str">
        <f>VLOOKUP($A640,Category!$A:$E,4,0)</f>
        <v>MS</v>
      </c>
      <c r="X640" s="47" t="str">
        <f>VLOOKUP($A640,Category!$A:$E,5,0)</f>
        <v>MSS</v>
      </c>
      <c r="Y640" s="18" t="str">
        <f>VLOOKUP(A640,PAcc!$A$1:$J$27,10,0)</f>
        <v>#N/A</v>
      </c>
      <c r="Z640" s="42" t="b">
        <f t="shared" si="4"/>
        <v>0</v>
      </c>
      <c r="AA640" s="50">
        <v>0.5</v>
      </c>
      <c r="AB640" s="42" t="str">
        <f>VLOOKUP(A640,VlookupSheet!$A$383:$A$523,1,0)</f>
        <v>#N/A</v>
      </c>
      <c r="AC640" s="42"/>
      <c r="AD640" s="42"/>
      <c r="AE640" s="42"/>
      <c r="AF640" s="42"/>
    </row>
    <row r="641">
      <c r="A641" s="11" t="s">
        <v>966</v>
      </c>
      <c r="B641" s="24" t="s">
        <v>2960</v>
      </c>
      <c r="C641" s="25"/>
      <c r="D641" s="11" t="s">
        <v>77</v>
      </c>
      <c r="E641" s="11">
        <f t="shared" si="100"/>
        <v>100000</v>
      </c>
      <c r="F641" s="60" t="s">
        <v>886</v>
      </c>
      <c r="G641" s="31">
        <f t="shared" si="104"/>
        <v>100000</v>
      </c>
      <c r="H641" s="31">
        <f>VLOOKUP(A641,'A8 Daily SL verification'!$A:$G,3,0)</f>
        <v>100000</v>
      </c>
      <c r="I641" s="11" t="s">
        <v>936</v>
      </c>
      <c r="J641" s="11" t="s">
        <v>586</v>
      </c>
      <c r="K641" s="38">
        <f t="shared" si="105"/>
        <v>1</v>
      </c>
      <c r="L641" s="18" t="s">
        <v>910</v>
      </c>
      <c r="M641" s="18" t="s">
        <v>736</v>
      </c>
      <c r="N641" s="42"/>
      <c r="O641" s="42"/>
      <c r="P641" s="42"/>
      <c r="Q641" s="42" t="str">
        <f>iferror(VLOOKUP(A641,'Positional cal'!A:H,1,0)=A641,"FALSE")</f>
        <v>FALSE</v>
      </c>
      <c r="R641" s="43" t="b">
        <f t="shared" si="3"/>
        <v>0</v>
      </c>
      <c r="S641" s="46">
        <f>IFERROR(VLOOKUP($A641,AlgoUi!$A:$X,21,0),"NA")</f>
        <v>25191277</v>
      </c>
      <c r="T641" s="46">
        <f>IFERROR(VLOOKUP($A641,AlgoUi!$A:$X,23,0),"")</f>
        <v>26000000</v>
      </c>
      <c r="U641" s="46">
        <f>IFERROR(VLOOKUP($A641,AlgoUi!$A:$X,24,0),"")</f>
        <v>182000</v>
      </c>
      <c r="V641" s="42" t="str">
        <f>IFERROR(__xludf.DUMMYFUNCTION("IFERROR(VLOOKUP(I641,IMPORTRANGE(""https://docs.google.com/spreadsheets/d/17FOIUYQAjPk1pPQIlvOgqYDBqwUqgb7KWzp4DtVksBk/edit?gid=0#gid=0"",""Servers!A:S""),19,FALSE), ""Not Running"")"),"DHANANJAYS")</f>
        <v>DHANANJAYS</v>
      </c>
      <c r="W641" s="47" t="str">
        <f>VLOOKUP($A641,Category!$A:$E,4,0)</f>
        <v>MS</v>
      </c>
      <c r="X641" s="47" t="str">
        <f>VLOOKUP($A641,Category!$A:$E,5,0)</f>
        <v>MSS</v>
      </c>
      <c r="Y641" s="18" t="str">
        <f>VLOOKUP(A641,PAcc!$A$1:$J$27,10,0)</f>
        <v>#N/A</v>
      </c>
      <c r="Z641" s="42" t="b">
        <f t="shared" si="4"/>
        <v>0</v>
      </c>
      <c r="AA641" s="50">
        <v>0.5</v>
      </c>
      <c r="AB641" s="42" t="str">
        <f>VLOOKUP(A641,VlookupSheet!$A$383:$A$523,1,0)</f>
        <v>#N/A</v>
      </c>
      <c r="AC641" s="42"/>
      <c r="AD641" s="42"/>
      <c r="AE641" s="42"/>
      <c r="AF641" s="42"/>
    </row>
    <row r="642">
      <c r="A642" s="30" t="s">
        <v>50</v>
      </c>
      <c r="B642" s="84" t="s">
        <v>765</v>
      </c>
      <c r="C642" s="85"/>
      <c r="D642" s="11" t="s">
        <v>874</v>
      </c>
      <c r="E642" s="11">
        <f t="shared" si="100"/>
        <v>12600000</v>
      </c>
      <c r="F642" s="30" t="s">
        <v>311</v>
      </c>
      <c r="G642" s="31">
        <f t="shared" ref="G642:G643" si="106">H642*30</f>
        <v>12600000</v>
      </c>
      <c r="H642" s="31">
        <f>iferror(VLOOKUP(A642,'Positional cal'!A:H,4,0),"Not_positional")</f>
        <v>420000</v>
      </c>
      <c r="I642" s="74" t="s">
        <v>113</v>
      </c>
      <c r="J642" s="25" t="s">
        <v>1018</v>
      </c>
      <c r="K642" s="38">
        <f t="shared" si="105"/>
        <v>30</v>
      </c>
      <c r="L642" s="18" t="s">
        <v>1068</v>
      </c>
      <c r="M642" s="18" t="s">
        <v>1059</v>
      </c>
      <c r="N642" s="34"/>
      <c r="O642" s="34"/>
      <c r="P642" s="34" t="s">
        <v>3908</v>
      </c>
      <c r="Q642" s="42" t="b">
        <f>iferror(VLOOKUP(A642,'Positional cal'!A:H,1,0)=A642,"FALSE")</f>
        <v>1</v>
      </c>
      <c r="R642" s="43" t="b">
        <f t="shared" si="3"/>
        <v>0</v>
      </c>
      <c r="S642" s="46">
        <f>IFERROR(VLOOKUP($A642,AlgoUi!$A:$X,21,0),"NA")</f>
        <v>41553152</v>
      </c>
      <c r="T642" s="46">
        <f>IFERROR(VLOOKUP($A642,AlgoUi!$A:$X,23,0),"")</f>
        <v>42000000</v>
      </c>
      <c r="U642" s="46">
        <f>IFERROR(VLOOKUP($A642,AlgoUi!$A:$X,24,0),"")</f>
        <v>336000</v>
      </c>
      <c r="V642" s="42" t="str">
        <f>IFERROR(__xludf.DUMMYFUNCTION("IFERROR(VLOOKUP(I642,IMPORTRANGE(""https://docs.google.com/spreadsheets/d/17FOIUYQAjPk1pPQIlvOgqYDBqwUqgb7KWzp4DtVksBk/edit?gid=0#gid=0"",""Servers!A:S""),19,FALSE), ""Not Running"")"),"SHIVANSHU")</f>
        <v>SHIVANSHU</v>
      </c>
      <c r="W642" s="47" t="str">
        <f>VLOOKUP($A642,Category!$A:$E,4,0)</f>
        <v>CC</v>
      </c>
      <c r="X642" s="47" t="str">
        <f>VLOOKUP($A642,Category!$A:$E,5,0)</f>
        <v>CCG</v>
      </c>
      <c r="Y642" s="18" t="str">
        <f>VLOOKUP(A642,PAcc!$A$1:$J$27,10,0)</f>
        <v>#N/A</v>
      </c>
      <c r="Z642" s="42" t="b">
        <f t="shared" si="4"/>
        <v>1</v>
      </c>
      <c r="AA642" s="50">
        <v>1.0</v>
      </c>
      <c r="AB642" s="25" t="str">
        <f>VLOOKUP(A642,VlookupSheet!$A$383:$A$523,1,0)</f>
        <v>85533200</v>
      </c>
      <c r="AC642" s="50">
        <v>0.3</v>
      </c>
      <c r="AD642" s="42">
        <f t="shared" ref="AD642:AD668" si="107">S642*AA642</f>
        <v>41553152</v>
      </c>
      <c r="AE642" s="42">
        <f t="shared" ref="AE642:AE668" si="108">MROUND(AD642,2000000)/100</f>
        <v>420000</v>
      </c>
      <c r="AF642" s="123">
        <f t="shared" ref="AF642:AF668" si="109">AE642-H642</f>
        <v>0</v>
      </c>
    </row>
    <row r="643">
      <c r="A643" s="30" t="s">
        <v>442</v>
      </c>
      <c r="B643" s="84" t="s">
        <v>190</v>
      </c>
      <c r="C643" s="85"/>
      <c r="D643" s="11" t="s">
        <v>874</v>
      </c>
      <c r="E643" s="11">
        <f t="shared" si="100"/>
        <v>3600000</v>
      </c>
      <c r="F643" s="30" t="s">
        <v>311</v>
      </c>
      <c r="G643" s="31">
        <f t="shared" si="106"/>
        <v>3600000</v>
      </c>
      <c r="H643" s="31">
        <f>iferror(VLOOKUP(A643,'Positional cal'!A:H,4,0),"Not_positional")</f>
        <v>120000</v>
      </c>
      <c r="I643" s="74" t="s">
        <v>113</v>
      </c>
      <c r="J643" s="25" t="s">
        <v>1018</v>
      </c>
      <c r="K643" s="38">
        <f t="shared" si="105"/>
        <v>30</v>
      </c>
      <c r="L643" s="18" t="s">
        <v>1068</v>
      </c>
      <c r="M643" s="18" t="s">
        <v>1059</v>
      </c>
      <c r="N643" s="74"/>
      <c r="O643" s="18">
        <v>0.0</v>
      </c>
      <c r="P643" s="74"/>
      <c r="Q643" s="42" t="b">
        <f>iferror(VLOOKUP(A643,'Positional cal'!A:H,1,0)=A643,"FALSE")</f>
        <v>1</v>
      </c>
      <c r="R643" s="43" t="b">
        <f t="shared" si="3"/>
        <v>0</v>
      </c>
      <c r="S643" s="46">
        <f>IFERROR(VLOOKUP($A643,AlgoUi!$A:$X,21,0),"NA")</f>
        <v>13121449</v>
      </c>
      <c r="T643" s="46">
        <f>IFERROR(VLOOKUP($A643,AlgoUi!$A:$X,23,0),"")</f>
        <v>14000000</v>
      </c>
      <c r="U643" s="46">
        <f>IFERROR(VLOOKUP($A643,AlgoUi!$A:$X,24,0),"")</f>
        <v>112000</v>
      </c>
      <c r="V643" s="42" t="str">
        <f>IFERROR(__xludf.DUMMYFUNCTION("IFERROR(VLOOKUP(I643,IMPORTRANGE(""https://docs.google.com/spreadsheets/d/17FOIUYQAjPk1pPQIlvOgqYDBqwUqgb7KWzp4DtVksBk/edit?gid=0#gid=0"",""Servers!A:S""),19,FALSE), ""Not Running"")"),"SHIVANSHU")</f>
        <v>SHIVANSHU</v>
      </c>
      <c r="W643" s="47" t="str">
        <f>VLOOKUP($A643,Category!$A:$E,4,0)</f>
        <v>CC</v>
      </c>
      <c r="X643" s="47" t="str">
        <f>VLOOKUP($A643,Category!$A:$E,5,0)</f>
        <v>CCG</v>
      </c>
      <c r="Y643" s="18" t="str">
        <f>VLOOKUP(A643,PAcc!$A$1:$J$27,10,0)</f>
        <v>#N/A</v>
      </c>
      <c r="Z643" s="42" t="b">
        <f t="shared" si="4"/>
        <v>0</v>
      </c>
      <c r="AA643" s="50">
        <v>1.0</v>
      </c>
      <c r="AB643" s="25" t="str">
        <f>VLOOKUP(A643,VlookupSheet!$A$383:$A$523,1,0)</f>
        <v>10408756</v>
      </c>
      <c r="AC643" s="50">
        <v>0.3</v>
      </c>
      <c r="AD643" s="42">
        <f t="shared" si="107"/>
        <v>13121449</v>
      </c>
      <c r="AE643" s="42">
        <f t="shared" si="108"/>
        <v>140000</v>
      </c>
      <c r="AF643" s="123">
        <f t="shared" si="109"/>
        <v>20000</v>
      </c>
    </row>
    <row r="644">
      <c r="A644" s="30" t="s">
        <v>478</v>
      </c>
      <c r="B644" s="84" t="s">
        <v>753</v>
      </c>
      <c r="C644" s="30" t="s">
        <v>77</v>
      </c>
      <c r="D644" s="11" t="s">
        <v>874</v>
      </c>
      <c r="E644" s="11">
        <f t="shared" si="100"/>
        <v>3600000</v>
      </c>
      <c r="F644" s="30" t="s">
        <v>311</v>
      </c>
      <c r="G644" s="11">
        <v>3600000.0</v>
      </c>
      <c r="H644" s="31">
        <f>iferror(VLOOKUP(A644,'Positional cal'!A:H,4,0),"Not_positional")</f>
        <v>120000</v>
      </c>
      <c r="I644" s="74" t="s">
        <v>113</v>
      </c>
      <c r="J644" s="25" t="s">
        <v>1018</v>
      </c>
      <c r="K644" s="38">
        <f t="shared" si="105"/>
        <v>30</v>
      </c>
      <c r="L644" s="18" t="s">
        <v>1068</v>
      </c>
      <c r="M644" s="18" t="s">
        <v>1059</v>
      </c>
      <c r="N644" s="74"/>
      <c r="O644" s="18">
        <v>0.0</v>
      </c>
      <c r="P644" s="74"/>
      <c r="Q644" s="42" t="b">
        <f>iferror(VLOOKUP(A644,'Positional cal'!A:H,1,0)=A644,"FALSE")</f>
        <v>1</v>
      </c>
      <c r="R644" s="43" t="b">
        <f t="shared" si="3"/>
        <v>0</v>
      </c>
      <c r="S644" s="46">
        <f>IFERROR(VLOOKUP($A644,AlgoUi!$A:$X,21,0),"NA")</f>
        <v>11773517</v>
      </c>
      <c r="T644" s="46">
        <f>IFERROR(VLOOKUP($A644,AlgoUi!$A:$X,23,0),"")</f>
        <v>12000000</v>
      </c>
      <c r="U644" s="46">
        <f>IFERROR(VLOOKUP($A644,AlgoUi!$A:$X,24,0),"")</f>
        <v>96000</v>
      </c>
      <c r="V644" s="42" t="str">
        <f>IFERROR(__xludf.DUMMYFUNCTION("IFERROR(VLOOKUP(I644,IMPORTRANGE(""https://docs.google.com/spreadsheets/d/17FOIUYQAjPk1pPQIlvOgqYDBqwUqgb7KWzp4DtVksBk/edit?gid=0#gid=0"",""Servers!A:S""),19,FALSE), ""Not Running"")"),"SHIVANSHU")</f>
        <v>SHIVANSHU</v>
      </c>
      <c r="W644" s="47" t="str">
        <f>VLOOKUP($A644,Category!$A:$E,4,0)</f>
        <v>CC</v>
      </c>
      <c r="X644" s="47" t="str">
        <f>VLOOKUP($A644,Category!$A:$E,5,0)</f>
        <v>PGB</v>
      </c>
      <c r="Y644" s="18" t="str">
        <f>VLOOKUP(A644,PAcc!$A$1:$J$27,10,0)</f>
        <v>GB Personal </v>
      </c>
      <c r="Z644" s="42" t="b">
        <f t="shared" si="4"/>
        <v>1</v>
      </c>
      <c r="AA644" s="50">
        <v>1.0</v>
      </c>
      <c r="AB644" s="25" t="str">
        <f>VLOOKUP(A644,VlookupSheet!$A$383:$A$523,1,0)</f>
        <v>19583994</v>
      </c>
      <c r="AC644" s="42"/>
      <c r="AD644" s="42">
        <f t="shared" si="107"/>
        <v>11773517</v>
      </c>
      <c r="AE644" s="42">
        <f t="shared" si="108"/>
        <v>120000</v>
      </c>
      <c r="AF644" s="123">
        <f t="shared" si="109"/>
        <v>0</v>
      </c>
    </row>
    <row r="645">
      <c r="A645" s="30" t="s">
        <v>452</v>
      </c>
      <c r="B645" s="84" t="s">
        <v>744</v>
      </c>
      <c r="C645" s="30" t="s">
        <v>77</v>
      </c>
      <c r="D645" s="11" t="s">
        <v>874</v>
      </c>
      <c r="E645" s="11">
        <f t="shared" si="100"/>
        <v>2400000</v>
      </c>
      <c r="F645" s="30" t="s">
        <v>311</v>
      </c>
      <c r="G645" s="31">
        <f>H645*30</f>
        <v>2400000</v>
      </c>
      <c r="H645" s="31">
        <f>iferror(VLOOKUP(A645,'Positional cal'!A:H,4,0),"Not_positional")</f>
        <v>80000</v>
      </c>
      <c r="I645" s="74" t="s">
        <v>113</v>
      </c>
      <c r="J645" s="25" t="s">
        <v>1018</v>
      </c>
      <c r="K645" s="38">
        <f t="shared" si="105"/>
        <v>30</v>
      </c>
      <c r="L645" s="18" t="s">
        <v>1068</v>
      </c>
      <c r="M645" s="18" t="s">
        <v>1077</v>
      </c>
      <c r="N645" s="74"/>
      <c r="O645" s="18">
        <v>0.0</v>
      </c>
      <c r="P645" s="74"/>
      <c r="Q645" s="42" t="b">
        <f>iferror(VLOOKUP(A645,'Positional cal'!A:H,1,0)=A645,"FALSE")</f>
        <v>1</v>
      </c>
      <c r="R645" s="43" t="b">
        <f t="shared" si="3"/>
        <v>0</v>
      </c>
      <c r="S645" s="46">
        <f>IFERROR(VLOOKUP($A645,AlgoUi!$A:$X,21,0),"NA")</f>
        <v>7999439</v>
      </c>
      <c r="T645" s="46">
        <f>IFERROR(VLOOKUP($A645,AlgoUi!$A:$X,23,0),"")</f>
        <v>8000000</v>
      </c>
      <c r="U645" s="46">
        <f>IFERROR(VLOOKUP($A645,AlgoUi!$A:$X,24,0),"")</f>
        <v>64000</v>
      </c>
      <c r="V645" s="42" t="str">
        <f>IFERROR(__xludf.DUMMYFUNCTION("IFERROR(VLOOKUP(I645,IMPORTRANGE(""https://docs.google.com/spreadsheets/d/17FOIUYQAjPk1pPQIlvOgqYDBqwUqgb7KWzp4DtVksBk/edit?gid=0#gid=0"",""Servers!A:S""),19,FALSE), ""Not Running"")"),"SHIVANSHU")</f>
        <v>SHIVANSHU</v>
      </c>
      <c r="W645" s="47" t="str">
        <f>VLOOKUP($A645,Category!$A:$E,4,0)</f>
        <v>CC</v>
      </c>
      <c r="X645" s="47" t="str">
        <f>VLOOKUP($A645,Category!$A:$E,5,0)</f>
        <v>CCG</v>
      </c>
      <c r="Y645" s="18" t="str">
        <f>VLOOKUP(A645,PAcc!$A$1:$J$27,10,0)</f>
        <v>#N/A</v>
      </c>
      <c r="Z645" s="42" t="b">
        <f t="shared" si="4"/>
        <v>1</v>
      </c>
      <c r="AA645" s="50">
        <v>1.0</v>
      </c>
      <c r="AB645" s="25" t="str">
        <f>VLOOKUP(A645,VlookupSheet!$A$383:$A$523,1,0)</f>
        <v>46966951</v>
      </c>
      <c r="AC645" s="50">
        <v>0.3</v>
      </c>
      <c r="AD645" s="42">
        <f t="shared" si="107"/>
        <v>7999439</v>
      </c>
      <c r="AE645" s="42">
        <f t="shared" si="108"/>
        <v>80000</v>
      </c>
      <c r="AF645" s="123">
        <f t="shared" si="109"/>
        <v>0</v>
      </c>
    </row>
    <row r="646">
      <c r="A646" s="30" t="s">
        <v>421</v>
      </c>
      <c r="B646" s="84" t="s">
        <v>756</v>
      </c>
      <c r="C646" s="30" t="s">
        <v>77</v>
      </c>
      <c r="D646" s="11" t="s">
        <v>1389</v>
      </c>
      <c r="E646" s="11">
        <f t="shared" si="100"/>
        <v>108000</v>
      </c>
      <c r="F646" s="30" t="s">
        <v>311</v>
      </c>
      <c r="G646" s="31">
        <f>iferror(VLOOKUP(A646,'Positional cal'!A:H,8,0),"Not_positional")</f>
        <v>111042</v>
      </c>
      <c r="H646" s="31">
        <f>iferror(VLOOKUP(A646,'Positional cal'!A:H,4,0),"Not_positional")</f>
        <v>60000</v>
      </c>
      <c r="I646" s="74" t="s">
        <v>113</v>
      </c>
      <c r="J646" s="25" t="s">
        <v>1018</v>
      </c>
      <c r="K646" s="38">
        <f t="shared" si="105"/>
        <v>1.8507</v>
      </c>
      <c r="L646" s="18" t="s">
        <v>1068</v>
      </c>
      <c r="M646" s="18" t="s">
        <v>1077</v>
      </c>
      <c r="N646" s="74"/>
      <c r="O646" s="18">
        <v>0.0</v>
      </c>
      <c r="P646" s="74"/>
      <c r="Q646" s="42" t="b">
        <f>iferror(VLOOKUP(A646,'Positional cal'!A:H,1,0)=A646,"FALSE")</f>
        <v>1</v>
      </c>
      <c r="R646" s="43" t="b">
        <f t="shared" si="3"/>
        <v>0</v>
      </c>
      <c r="S646" s="46">
        <f>IFERROR(VLOOKUP($A646,AlgoUi!$A:$X,21,0),"NA")</f>
        <v>10783336</v>
      </c>
      <c r="T646" s="46">
        <f>IFERROR(VLOOKUP($A646,AlgoUi!$A:$X,23,0),"")</f>
        <v>10000000</v>
      </c>
      <c r="U646" s="46">
        <f>IFERROR(VLOOKUP($A646,AlgoUi!$A:$X,24,0),"")</f>
        <v>80000</v>
      </c>
      <c r="V646" s="42" t="str">
        <f>IFERROR(__xludf.DUMMYFUNCTION("IFERROR(VLOOKUP(I646,IMPORTRANGE(""https://docs.google.com/spreadsheets/d/17FOIUYQAjPk1pPQIlvOgqYDBqwUqgb7KWzp4DtVksBk/edit?gid=0#gid=0"",""Servers!A:S""),19,FALSE), ""Not Running"")"),"SHIVANSHU")</f>
        <v>SHIVANSHU</v>
      </c>
      <c r="W646" s="47" t="str">
        <f>VLOOKUP($A646,Category!$A:$E,4,0)</f>
        <v>CC</v>
      </c>
      <c r="X646" s="47" t="str">
        <f>VLOOKUP($A646,Category!$A:$E,5,0)</f>
        <v>CCV</v>
      </c>
      <c r="Y646" s="18" t="str">
        <f>VLOOKUP(A646,PAcc!$A$1:$J$27,10,0)</f>
        <v>#N/A</v>
      </c>
      <c r="Z646" s="42" t="b">
        <f t="shared" si="4"/>
        <v>0</v>
      </c>
      <c r="AA646" s="50">
        <v>0.6</v>
      </c>
      <c r="AB646" s="25" t="str">
        <f>VLOOKUP(A646,VlookupSheet!$A$383:$A$523,1,0)</f>
        <v>92348046</v>
      </c>
      <c r="AC646" s="42"/>
      <c r="AD646" s="42">
        <f t="shared" si="107"/>
        <v>6470001.6</v>
      </c>
      <c r="AE646" s="42">
        <f t="shared" si="108"/>
        <v>60000</v>
      </c>
      <c r="AF646" s="123">
        <f t="shared" si="109"/>
        <v>0</v>
      </c>
    </row>
    <row r="647">
      <c r="A647" s="30" t="s">
        <v>494</v>
      </c>
      <c r="B647" s="84" t="s">
        <v>2127</v>
      </c>
      <c r="C647" s="30" t="s">
        <v>77</v>
      </c>
      <c r="D647" s="11">
        <f t="shared" ref="D647:D648" si="110">IF(J647="7",0.8,1)</f>
        <v>0.8</v>
      </c>
      <c r="E647" s="11">
        <f t="shared" ref="E647:E648" si="111">D647*H647</f>
        <v>32000</v>
      </c>
      <c r="F647" s="30" t="s">
        <v>311</v>
      </c>
      <c r="G647" s="11">
        <v>32000.0</v>
      </c>
      <c r="H647" s="31">
        <v>40000.0</v>
      </c>
      <c r="I647" s="74" t="s">
        <v>113</v>
      </c>
      <c r="J647" s="25" t="s">
        <v>1018</v>
      </c>
      <c r="K647" s="38">
        <f t="shared" si="105"/>
        <v>0.8</v>
      </c>
      <c r="L647" s="18" t="s">
        <v>910</v>
      </c>
      <c r="M647" s="18" t="s">
        <v>736</v>
      </c>
      <c r="N647" s="74"/>
      <c r="O647" s="18">
        <v>0.0</v>
      </c>
      <c r="P647" s="74"/>
      <c r="Q647" s="42" t="str">
        <f>iferror(VLOOKUP(A647,'Positional cal'!A:H,1,0)=A647,"FALSE")</f>
        <v>FALSE</v>
      </c>
      <c r="R647" s="43" t="b">
        <f t="shared" si="3"/>
        <v>0</v>
      </c>
      <c r="S647" s="46">
        <f>IFERROR(VLOOKUP($A647,AlgoUi!$A:$X,21,0),"NA")</f>
        <v>6988619</v>
      </c>
      <c r="T647" s="46">
        <f>IFERROR(VLOOKUP($A647,AlgoUi!$A:$X,23,0),"")</f>
        <v>6000000</v>
      </c>
      <c r="U647" s="46">
        <f>IFERROR(VLOOKUP($A647,AlgoUi!$A:$X,24,0),"")</f>
        <v>48000</v>
      </c>
      <c r="V647" s="42" t="str">
        <f>IFERROR(__xludf.DUMMYFUNCTION("IFERROR(VLOOKUP(I647,IMPORTRANGE(""https://docs.google.com/spreadsheets/d/17FOIUYQAjPk1pPQIlvOgqYDBqwUqgb7KWzp4DtVksBk/edit?gid=0#gid=0"",""Servers!A:S""),19,FALSE), ""Not Running"")"),"SHIVANSHU")</f>
        <v>SHIVANSHU</v>
      </c>
      <c r="W647" s="47" t="str">
        <f>VLOOKUP($A647,Category!$A:$E,4,0)</f>
        <v>CC</v>
      </c>
      <c r="X647" s="47" t="str">
        <f>VLOOKUP($A647,Category!$A:$E,5,0)</f>
        <v>CCV</v>
      </c>
      <c r="Y647" s="18" t="str">
        <f>VLOOKUP(A647,PAcc!$A$1:$J$27,10,0)</f>
        <v>#N/A</v>
      </c>
      <c r="Z647" s="42" t="b">
        <f t="shared" si="4"/>
        <v>0</v>
      </c>
      <c r="AA647" s="50">
        <v>0.6</v>
      </c>
      <c r="AB647" s="42" t="str">
        <f>VLOOKUP(A647,VlookupSheet!$A$383:$A$523,1,0)</f>
        <v>#N/A</v>
      </c>
      <c r="AC647" s="42"/>
      <c r="AD647" s="42">
        <f t="shared" si="107"/>
        <v>4193171.4</v>
      </c>
      <c r="AE647" s="42">
        <f t="shared" si="108"/>
        <v>40000</v>
      </c>
      <c r="AF647" s="123">
        <f t="shared" si="109"/>
        <v>0</v>
      </c>
    </row>
    <row r="648">
      <c r="A648" s="30" t="s">
        <v>519</v>
      </c>
      <c r="B648" s="84" t="s">
        <v>1981</v>
      </c>
      <c r="C648" s="30" t="s">
        <v>77</v>
      </c>
      <c r="D648" s="11">
        <f t="shared" si="110"/>
        <v>0.8</v>
      </c>
      <c r="E648" s="11">
        <f t="shared" si="111"/>
        <v>32000</v>
      </c>
      <c r="F648" s="30" t="s">
        <v>311</v>
      </c>
      <c r="G648" s="11">
        <v>32000.0</v>
      </c>
      <c r="H648" s="31">
        <v>40000.0</v>
      </c>
      <c r="I648" s="74" t="s">
        <v>113</v>
      </c>
      <c r="J648" s="25" t="s">
        <v>1018</v>
      </c>
      <c r="K648" s="38">
        <f t="shared" si="105"/>
        <v>0.8</v>
      </c>
      <c r="L648" s="18" t="s">
        <v>910</v>
      </c>
      <c r="M648" s="18" t="s">
        <v>736</v>
      </c>
      <c r="N648" s="74"/>
      <c r="O648" s="18">
        <v>0.0</v>
      </c>
      <c r="P648" s="74"/>
      <c r="Q648" s="42" t="str">
        <f>iferror(VLOOKUP(A648,'Positional cal'!A:H,1,0)=A648,"FALSE")</f>
        <v>FALSE</v>
      </c>
      <c r="R648" s="43" t="b">
        <f t="shared" si="3"/>
        <v>0</v>
      </c>
      <c r="S648" s="46">
        <f>IFERROR(VLOOKUP($A648,AlgoUi!$A:$X,21,0),"NA")</f>
        <v>7282323</v>
      </c>
      <c r="T648" s="46">
        <f>IFERROR(VLOOKUP($A648,AlgoUi!$A:$X,23,0),"")</f>
        <v>8000000</v>
      </c>
      <c r="U648" s="46">
        <f>IFERROR(VLOOKUP($A648,AlgoUi!$A:$X,24,0),"")</f>
        <v>64000</v>
      </c>
      <c r="V648" s="42" t="str">
        <f>IFERROR(__xludf.DUMMYFUNCTION("IFERROR(VLOOKUP(I648,IMPORTRANGE(""https://docs.google.com/spreadsheets/d/17FOIUYQAjPk1pPQIlvOgqYDBqwUqgb7KWzp4DtVksBk/edit?gid=0#gid=0"",""Servers!A:S""),19,FALSE), ""Not Running"")"),"SHIVANSHU")</f>
        <v>SHIVANSHU</v>
      </c>
      <c r="W648" s="47" t="str">
        <f>VLOOKUP($A648,Category!$A:$E,4,0)</f>
        <v>CC</v>
      </c>
      <c r="X648" s="47" t="str">
        <f>VLOOKUP($A648,Category!$A:$E,5,0)</f>
        <v>CCV</v>
      </c>
      <c r="Y648" s="18" t="str">
        <f>VLOOKUP(A648,PAcc!$A$1:$J$27,10,0)</f>
        <v>#N/A</v>
      </c>
      <c r="Z648" s="42" t="b">
        <f t="shared" si="4"/>
        <v>0</v>
      </c>
      <c r="AA648" s="50">
        <v>0.6</v>
      </c>
      <c r="AB648" s="42" t="str">
        <f>VLOOKUP(A648,VlookupSheet!$A$383:$A$523,1,0)</f>
        <v>#N/A</v>
      </c>
      <c r="AC648" s="42"/>
      <c r="AD648" s="42">
        <f t="shared" si="107"/>
        <v>4369393.8</v>
      </c>
      <c r="AE648" s="42">
        <f t="shared" si="108"/>
        <v>40000</v>
      </c>
      <c r="AF648" s="123">
        <f t="shared" si="109"/>
        <v>0</v>
      </c>
    </row>
    <row r="649">
      <c r="A649" s="30" t="s">
        <v>466</v>
      </c>
      <c r="B649" s="84" t="s">
        <v>748</v>
      </c>
      <c r="C649" s="85"/>
      <c r="D649" s="11" t="s">
        <v>874</v>
      </c>
      <c r="E649" s="11">
        <f t="shared" ref="E649:E652" si="112">H649*D649</f>
        <v>2400000</v>
      </c>
      <c r="F649" s="30" t="s">
        <v>311</v>
      </c>
      <c r="G649" s="31">
        <f t="shared" ref="G649:G652" si="113">H649*30</f>
        <v>2400000</v>
      </c>
      <c r="H649" s="31">
        <f>iferror(VLOOKUP(A649,'Positional cal'!A:H,4,0),"Not_positional")</f>
        <v>80000</v>
      </c>
      <c r="I649" s="74" t="s">
        <v>113</v>
      </c>
      <c r="J649" s="25" t="s">
        <v>1018</v>
      </c>
      <c r="K649" s="38">
        <f t="shared" si="105"/>
        <v>30</v>
      </c>
      <c r="L649" s="18" t="s">
        <v>1068</v>
      </c>
      <c r="M649" s="18" t="s">
        <v>1077</v>
      </c>
      <c r="N649" s="74"/>
      <c r="O649" s="18">
        <v>0.0</v>
      </c>
      <c r="P649" s="74"/>
      <c r="Q649" s="42" t="b">
        <f>iferror(VLOOKUP(A649,'Positional cal'!A:H,1,0)=A649,"FALSE")</f>
        <v>1</v>
      </c>
      <c r="R649" s="43" t="b">
        <f t="shared" si="3"/>
        <v>0</v>
      </c>
      <c r="S649" s="46">
        <f>IFERROR(VLOOKUP($A649,AlgoUi!$A:$X,21,0),"NA")</f>
        <v>7476733</v>
      </c>
      <c r="T649" s="46">
        <f>IFERROR(VLOOKUP($A649,AlgoUi!$A:$X,23,0),"")</f>
        <v>8000000</v>
      </c>
      <c r="U649" s="46">
        <f>IFERROR(VLOOKUP($A649,AlgoUi!$A:$X,24,0),"")</f>
        <v>64000</v>
      </c>
      <c r="V649" s="42" t="str">
        <f>IFERROR(__xludf.DUMMYFUNCTION("IFERROR(VLOOKUP(I649,IMPORTRANGE(""https://docs.google.com/spreadsheets/d/17FOIUYQAjPk1pPQIlvOgqYDBqwUqgb7KWzp4DtVksBk/edit?gid=0#gid=0"",""Servers!A:S""),19,FALSE), ""Not Running"")"),"SHIVANSHU")</f>
        <v>SHIVANSHU</v>
      </c>
      <c r="W649" s="47" t="str">
        <f>VLOOKUP($A649,Category!$A:$E,4,0)</f>
        <v>CC</v>
      </c>
      <c r="X649" s="47" t="str">
        <f>VLOOKUP($A649,Category!$A:$E,5,0)</f>
        <v>CCG</v>
      </c>
      <c r="Y649" s="18" t="str">
        <f>VLOOKUP(A649,PAcc!$A$1:$J$27,10,0)</f>
        <v>#N/A</v>
      </c>
      <c r="Z649" s="42" t="b">
        <f t="shared" si="4"/>
        <v>1</v>
      </c>
      <c r="AA649" s="50">
        <v>1.0</v>
      </c>
      <c r="AB649" s="25" t="str">
        <f>VLOOKUP(A649,VlookupSheet!$A$383:$A$523,1,0)</f>
        <v>77149338</v>
      </c>
      <c r="AC649" s="50">
        <v>0.3</v>
      </c>
      <c r="AD649" s="42">
        <f t="shared" si="107"/>
        <v>7476733</v>
      </c>
      <c r="AE649" s="42">
        <f t="shared" si="108"/>
        <v>80000</v>
      </c>
      <c r="AF649" s="123">
        <f t="shared" si="109"/>
        <v>0</v>
      </c>
    </row>
    <row r="650">
      <c r="A650" s="30" t="s">
        <v>399</v>
      </c>
      <c r="B650" s="84" t="s">
        <v>779</v>
      </c>
      <c r="C650" s="85"/>
      <c r="D650" s="11" t="s">
        <v>874</v>
      </c>
      <c r="E650" s="11">
        <f t="shared" si="112"/>
        <v>3600000</v>
      </c>
      <c r="F650" s="30" t="s">
        <v>311</v>
      </c>
      <c r="G650" s="31">
        <f t="shared" si="113"/>
        <v>3600000</v>
      </c>
      <c r="H650" s="31">
        <f>iferror(VLOOKUP(A650,'Positional cal'!A:H,4,0),"Not_positional")</f>
        <v>120000</v>
      </c>
      <c r="I650" s="74" t="s">
        <v>113</v>
      </c>
      <c r="J650" s="25" t="s">
        <v>1018</v>
      </c>
      <c r="K650" s="38">
        <f t="shared" si="105"/>
        <v>30</v>
      </c>
      <c r="L650" s="18" t="s">
        <v>1068</v>
      </c>
      <c r="M650" s="18" t="s">
        <v>1059</v>
      </c>
      <c r="N650" s="74"/>
      <c r="O650" s="18">
        <v>0.0</v>
      </c>
      <c r="P650" s="74"/>
      <c r="Q650" s="42" t="b">
        <f>iferror(VLOOKUP(A650,'Positional cal'!A:H,1,0)=A650,"FALSE")</f>
        <v>1</v>
      </c>
      <c r="R650" s="43" t="b">
        <f t="shared" si="3"/>
        <v>0</v>
      </c>
      <c r="S650" s="46">
        <f>IFERROR(VLOOKUP($A650,AlgoUi!$A:$X,21,0),"NA")</f>
        <v>12252214</v>
      </c>
      <c r="T650" s="46">
        <f>IFERROR(VLOOKUP($A650,AlgoUi!$A:$X,23,0),"")</f>
        <v>12000000</v>
      </c>
      <c r="U650" s="46">
        <f>IFERROR(VLOOKUP($A650,AlgoUi!$A:$X,24,0),"")</f>
        <v>96000</v>
      </c>
      <c r="V650" s="42" t="str">
        <f>IFERROR(__xludf.DUMMYFUNCTION("IFERROR(VLOOKUP(I650,IMPORTRANGE(""https://docs.google.com/spreadsheets/d/17FOIUYQAjPk1pPQIlvOgqYDBqwUqgb7KWzp4DtVksBk/edit?gid=0#gid=0"",""Servers!A:S""),19,FALSE), ""Not Running"")"),"SHIVANSHU")</f>
        <v>SHIVANSHU</v>
      </c>
      <c r="W650" s="47" t="str">
        <f>VLOOKUP($A650,Category!$A:$E,4,0)</f>
        <v>CC</v>
      </c>
      <c r="X650" s="47" t="str">
        <f>VLOOKUP($A650,Category!$A:$E,5,0)</f>
        <v>CCG</v>
      </c>
      <c r="Y650" s="18" t="str">
        <f>VLOOKUP(A650,PAcc!$A$1:$J$27,10,0)</f>
        <v>#N/A</v>
      </c>
      <c r="Z650" s="42" t="b">
        <f t="shared" si="4"/>
        <v>1</v>
      </c>
      <c r="AA650" s="50">
        <v>1.0</v>
      </c>
      <c r="AB650" s="25" t="str">
        <f>VLOOKUP(A650,VlookupSheet!$A$383:$A$523,1,0)</f>
        <v>64785796</v>
      </c>
      <c r="AC650" s="50">
        <v>0.3</v>
      </c>
      <c r="AD650" s="42">
        <f t="shared" si="107"/>
        <v>12252214</v>
      </c>
      <c r="AE650" s="42">
        <f t="shared" si="108"/>
        <v>120000</v>
      </c>
      <c r="AF650" s="123">
        <f t="shared" si="109"/>
        <v>0</v>
      </c>
    </row>
    <row r="651">
      <c r="A651" s="30" t="s">
        <v>429</v>
      </c>
      <c r="B651" s="84" t="s">
        <v>747</v>
      </c>
      <c r="C651" s="30" t="s">
        <v>77</v>
      </c>
      <c r="D651" s="11" t="s">
        <v>874</v>
      </c>
      <c r="E651" s="11">
        <f t="shared" si="112"/>
        <v>3000000</v>
      </c>
      <c r="F651" s="30" t="s">
        <v>311</v>
      </c>
      <c r="G651" s="31">
        <f t="shared" si="113"/>
        <v>3000000</v>
      </c>
      <c r="H651" s="31">
        <f>iferror(VLOOKUP(A651,'Positional cal'!A:H,4,0),"Not_positional")</f>
        <v>100000</v>
      </c>
      <c r="I651" s="74" t="s">
        <v>113</v>
      </c>
      <c r="J651" s="25" t="s">
        <v>1018</v>
      </c>
      <c r="K651" s="38">
        <f t="shared" si="105"/>
        <v>30</v>
      </c>
      <c r="L651" s="18" t="s">
        <v>1068</v>
      </c>
      <c r="M651" s="18" t="s">
        <v>1077</v>
      </c>
      <c r="N651" s="74"/>
      <c r="O651" s="18">
        <v>0.0</v>
      </c>
      <c r="P651" s="74"/>
      <c r="Q651" s="42" t="b">
        <f>iferror(VLOOKUP(A651,'Positional cal'!A:H,1,0)=A651,"FALSE")</f>
        <v>1</v>
      </c>
      <c r="R651" s="43" t="b">
        <f t="shared" si="3"/>
        <v>0</v>
      </c>
      <c r="S651" s="46">
        <f>IFERROR(VLOOKUP($A651,AlgoUi!$A:$X,21,0),"NA")</f>
        <v>9843198</v>
      </c>
      <c r="T651" s="46">
        <f>IFERROR(VLOOKUP($A651,AlgoUi!$A:$X,23,0),"")</f>
        <v>10000000</v>
      </c>
      <c r="U651" s="46">
        <f>IFERROR(VLOOKUP($A651,AlgoUi!$A:$X,24,0),"")</f>
        <v>80000</v>
      </c>
      <c r="V651" s="42" t="str">
        <f>IFERROR(__xludf.DUMMYFUNCTION("IFERROR(VLOOKUP(I651,IMPORTRANGE(""https://docs.google.com/spreadsheets/d/17FOIUYQAjPk1pPQIlvOgqYDBqwUqgb7KWzp4DtVksBk/edit?gid=0#gid=0"",""Servers!A:S""),19,FALSE), ""Not Running"")"),"SHIVANSHU")</f>
        <v>SHIVANSHU</v>
      </c>
      <c r="W651" s="47" t="str">
        <f>VLOOKUP($A651,Category!$A:$E,4,0)</f>
        <v>CC</v>
      </c>
      <c r="X651" s="47" t="str">
        <f>VLOOKUP($A651,Category!$A:$E,5,0)</f>
        <v>CCG</v>
      </c>
      <c r="Y651" s="18" t="str">
        <f>VLOOKUP(A651,PAcc!$A$1:$J$27,10,0)</f>
        <v>#N/A</v>
      </c>
      <c r="Z651" s="42" t="b">
        <f t="shared" si="4"/>
        <v>1</v>
      </c>
      <c r="AA651" s="50">
        <v>1.0</v>
      </c>
      <c r="AB651" s="25" t="str">
        <f>VLOOKUP(A651,VlookupSheet!$A$383:$A$523,1,0)</f>
        <v>24699329</v>
      </c>
      <c r="AC651" s="50">
        <v>0.3</v>
      </c>
      <c r="AD651" s="42">
        <f t="shared" si="107"/>
        <v>9843198</v>
      </c>
      <c r="AE651" s="42">
        <f t="shared" si="108"/>
        <v>100000</v>
      </c>
      <c r="AF651" s="123">
        <f t="shared" si="109"/>
        <v>0</v>
      </c>
    </row>
    <row r="652">
      <c r="A652" s="30" t="s">
        <v>410</v>
      </c>
      <c r="B652" s="84" t="s">
        <v>780</v>
      </c>
      <c r="C652" s="30" t="s">
        <v>77</v>
      </c>
      <c r="D652" s="11" t="s">
        <v>874</v>
      </c>
      <c r="E652" s="11">
        <f t="shared" si="112"/>
        <v>4200000</v>
      </c>
      <c r="F652" s="30" t="s">
        <v>311</v>
      </c>
      <c r="G652" s="31">
        <f t="shared" si="113"/>
        <v>4200000</v>
      </c>
      <c r="H652" s="31">
        <f>iferror(VLOOKUP(A652,'Positional cal'!A:H,4,0),"Not_positional")</f>
        <v>140000</v>
      </c>
      <c r="I652" s="74" t="s">
        <v>113</v>
      </c>
      <c r="J652" s="25" t="s">
        <v>1018</v>
      </c>
      <c r="K652" s="38">
        <f t="shared" si="105"/>
        <v>30</v>
      </c>
      <c r="L652" s="18" t="s">
        <v>1068</v>
      </c>
      <c r="M652" s="18" t="s">
        <v>1059</v>
      </c>
      <c r="N652" s="74"/>
      <c r="O652" s="18">
        <v>0.0</v>
      </c>
      <c r="P652" s="74"/>
      <c r="Q652" s="42" t="b">
        <f>iferror(VLOOKUP(A652,'Positional cal'!A:H,1,0)=A652,"FALSE")</f>
        <v>1</v>
      </c>
      <c r="R652" s="43" t="b">
        <f t="shared" si="3"/>
        <v>0</v>
      </c>
      <c r="S652" s="46">
        <f>IFERROR(VLOOKUP($A652,AlgoUi!$A:$X,21,0),"NA")</f>
        <v>15001167</v>
      </c>
      <c r="T652" s="46">
        <f>IFERROR(VLOOKUP($A652,AlgoUi!$A:$X,23,0),"")</f>
        <v>16000000</v>
      </c>
      <c r="U652" s="46">
        <f>IFERROR(VLOOKUP($A652,AlgoUi!$A:$X,24,0),"")</f>
        <v>128000</v>
      </c>
      <c r="V652" s="42" t="str">
        <f>IFERROR(__xludf.DUMMYFUNCTION("IFERROR(VLOOKUP(I652,IMPORTRANGE(""https://docs.google.com/spreadsheets/d/17FOIUYQAjPk1pPQIlvOgqYDBqwUqgb7KWzp4DtVksBk/edit?gid=0#gid=0"",""Servers!A:S""),19,FALSE), ""Not Running"")"),"SHIVANSHU")</f>
        <v>SHIVANSHU</v>
      </c>
      <c r="W652" s="47" t="str">
        <f>VLOOKUP($A652,Category!$A:$E,4,0)</f>
        <v>CC</v>
      </c>
      <c r="X652" s="47" t="str">
        <f>VLOOKUP($A652,Category!$A:$E,5,0)</f>
        <v>CCG</v>
      </c>
      <c r="Y652" s="18" t="str">
        <f>VLOOKUP(A652,PAcc!$A$1:$J$27,10,0)</f>
        <v>#N/A</v>
      </c>
      <c r="Z652" s="42" t="b">
        <f t="shared" si="4"/>
        <v>0</v>
      </c>
      <c r="AA652" s="50">
        <v>1.0</v>
      </c>
      <c r="AB652" s="25" t="str">
        <f>VLOOKUP(A652,VlookupSheet!$A$383:$A$523,1,0)</f>
        <v>57437129</v>
      </c>
      <c r="AC652" s="50">
        <v>0.3</v>
      </c>
      <c r="AD652" s="42">
        <f t="shared" si="107"/>
        <v>15001167</v>
      </c>
      <c r="AE652" s="42">
        <f t="shared" si="108"/>
        <v>160000</v>
      </c>
      <c r="AF652" s="123">
        <f t="shared" si="109"/>
        <v>20000</v>
      </c>
    </row>
    <row r="653">
      <c r="A653" s="30" t="s">
        <v>535</v>
      </c>
      <c r="B653" s="84" t="s">
        <v>1950</v>
      </c>
      <c r="C653" s="85"/>
      <c r="D653" s="11">
        <f>IF(J653="7",0.8,1)</f>
        <v>0.8</v>
      </c>
      <c r="E653" s="11">
        <f>D653*H653</f>
        <v>32000</v>
      </c>
      <c r="F653" s="30" t="s">
        <v>311</v>
      </c>
      <c r="G653" s="11">
        <v>32000.0</v>
      </c>
      <c r="H653" s="31">
        <v>40000.0</v>
      </c>
      <c r="I653" s="74" t="s">
        <v>113</v>
      </c>
      <c r="J653" s="25" t="s">
        <v>1018</v>
      </c>
      <c r="K653" s="38">
        <f t="shared" si="105"/>
        <v>0.8</v>
      </c>
      <c r="L653" s="18" t="s">
        <v>910</v>
      </c>
      <c r="M653" s="18" t="s">
        <v>736</v>
      </c>
      <c r="N653" s="74"/>
      <c r="O653" s="18">
        <v>0.0</v>
      </c>
      <c r="P653" s="74"/>
      <c r="Q653" s="42" t="str">
        <f>iferror(VLOOKUP(A653,'Positional cal'!A:H,1,0)=A653,"FALSE")</f>
        <v>FALSE</v>
      </c>
      <c r="R653" s="43" t="b">
        <f t="shared" si="3"/>
        <v>0</v>
      </c>
      <c r="S653" s="46">
        <f>IFERROR(VLOOKUP($A653,AlgoUi!$A:$X,21,0),"NA")</f>
        <v>7643837</v>
      </c>
      <c r="T653" s="46">
        <f>IFERROR(VLOOKUP($A653,AlgoUi!$A:$X,23,0),"")</f>
        <v>8000000</v>
      </c>
      <c r="U653" s="46">
        <f>IFERROR(VLOOKUP($A653,AlgoUi!$A:$X,24,0),"")</f>
        <v>64000</v>
      </c>
      <c r="V653" s="42" t="str">
        <f>IFERROR(__xludf.DUMMYFUNCTION("IFERROR(VLOOKUP(I653,IMPORTRANGE(""https://docs.google.com/spreadsheets/d/17FOIUYQAjPk1pPQIlvOgqYDBqwUqgb7KWzp4DtVksBk/edit?gid=0#gid=0"",""Servers!A:S""),19,FALSE), ""Not Running"")"),"SHIVANSHU")</f>
        <v>SHIVANSHU</v>
      </c>
      <c r="W653" s="47" t="str">
        <f>VLOOKUP($A653,Category!$A:$E,4,0)</f>
        <v>CC</v>
      </c>
      <c r="X653" s="47" t="str">
        <f>VLOOKUP($A653,Category!$A:$E,5,0)</f>
        <v>CCV</v>
      </c>
      <c r="Y653" s="18" t="str">
        <f>VLOOKUP(A653,PAcc!$A$1:$J$27,10,0)</f>
        <v>#N/A</v>
      </c>
      <c r="Z653" s="42" t="b">
        <f t="shared" si="4"/>
        <v>0</v>
      </c>
      <c r="AA653" s="50">
        <v>0.6</v>
      </c>
      <c r="AB653" s="42" t="str">
        <f>VLOOKUP(A653,VlookupSheet!$A$383:$A$523,1,0)</f>
        <v>#N/A</v>
      </c>
      <c r="AC653" s="42"/>
      <c r="AD653" s="42">
        <f t="shared" si="107"/>
        <v>4586302.2</v>
      </c>
      <c r="AE653" s="42">
        <f t="shared" si="108"/>
        <v>40000</v>
      </c>
      <c r="AF653" s="123">
        <f t="shared" si="109"/>
        <v>0</v>
      </c>
    </row>
    <row r="654">
      <c r="A654" s="30" t="s">
        <v>569</v>
      </c>
      <c r="B654" s="84" t="s">
        <v>188</v>
      </c>
      <c r="C654" s="85"/>
      <c r="D654" s="11" t="s">
        <v>874</v>
      </c>
      <c r="E654" s="11">
        <f t="shared" ref="E654:E656" si="114">H654*D654</f>
        <v>4800000</v>
      </c>
      <c r="F654" s="30" t="s">
        <v>311</v>
      </c>
      <c r="G654" s="31">
        <f>H654*30</f>
        <v>4800000</v>
      </c>
      <c r="H654" s="31">
        <f>iferror(VLOOKUP(A654,'Positional cal'!A:H,4,0),"Not_positional")</f>
        <v>160000</v>
      </c>
      <c r="I654" s="74" t="s">
        <v>113</v>
      </c>
      <c r="J654" s="25" t="s">
        <v>1018</v>
      </c>
      <c r="K654" s="38">
        <f t="shared" si="105"/>
        <v>30</v>
      </c>
      <c r="L654" s="18" t="s">
        <v>1068</v>
      </c>
      <c r="M654" s="18" t="s">
        <v>1059</v>
      </c>
      <c r="N654" s="74"/>
      <c r="O654" s="18">
        <v>0.0</v>
      </c>
      <c r="P654" s="74"/>
      <c r="Q654" s="42" t="b">
        <f>iferror(VLOOKUP(A654,'Positional cal'!A:H,1,0)=A654,"FALSE")</f>
        <v>1</v>
      </c>
      <c r="R654" s="43" t="b">
        <f t="shared" si="3"/>
        <v>0</v>
      </c>
      <c r="S654" s="46">
        <f>IFERROR(VLOOKUP($A654,AlgoUi!$A:$X,21,0),"NA")</f>
        <v>15030094</v>
      </c>
      <c r="T654" s="46">
        <f>IFERROR(VLOOKUP($A654,AlgoUi!$A:$X,23,0),"")</f>
        <v>16000000</v>
      </c>
      <c r="U654" s="46">
        <f>IFERROR(VLOOKUP($A654,AlgoUi!$A:$X,24,0),"")</f>
        <v>128000</v>
      </c>
      <c r="V654" s="42" t="str">
        <f>IFERROR(__xludf.DUMMYFUNCTION("IFERROR(VLOOKUP(I654,IMPORTRANGE(""https://docs.google.com/spreadsheets/d/17FOIUYQAjPk1pPQIlvOgqYDBqwUqgb7KWzp4DtVksBk/edit?gid=0#gid=0"",""Servers!A:S""),19,FALSE), ""Not Running"")"),"SHIVANSHU")</f>
        <v>SHIVANSHU</v>
      </c>
      <c r="W654" s="47" t="str">
        <f>VLOOKUP($A654,Category!$A:$E,4,0)</f>
        <v>CC</v>
      </c>
      <c r="X654" s="47" t="str">
        <f>VLOOKUP($A654,Category!$A:$E,5,0)</f>
        <v>CCG</v>
      </c>
      <c r="Y654" s="18" t="str">
        <f>VLOOKUP(A654,PAcc!$A$1:$J$27,10,0)</f>
        <v>#N/A</v>
      </c>
      <c r="Z654" s="42" t="b">
        <f t="shared" si="4"/>
        <v>1</v>
      </c>
      <c r="AA654" s="50">
        <v>1.0</v>
      </c>
      <c r="AB654" s="25" t="str">
        <f>VLOOKUP(A654,VlookupSheet!$A$383:$A$523,1,0)</f>
        <v>MARIA196</v>
      </c>
      <c r="AC654" s="50">
        <v>0.3</v>
      </c>
      <c r="AD654" s="42">
        <f t="shared" si="107"/>
        <v>15030094</v>
      </c>
      <c r="AE654" s="42">
        <f t="shared" si="108"/>
        <v>160000</v>
      </c>
      <c r="AF654" s="123">
        <f t="shared" si="109"/>
        <v>0</v>
      </c>
    </row>
    <row r="655">
      <c r="A655" s="30" t="s">
        <v>95</v>
      </c>
      <c r="B655" s="84" t="s">
        <v>773</v>
      </c>
      <c r="C655" s="85"/>
      <c r="D655" s="11" t="s">
        <v>874</v>
      </c>
      <c r="E655" s="11">
        <f t="shared" si="114"/>
        <v>3000000</v>
      </c>
      <c r="F655" s="30" t="s">
        <v>311</v>
      </c>
      <c r="G655" s="11">
        <v>3000000.0</v>
      </c>
      <c r="H655" s="31">
        <f>iferror(VLOOKUP(A655,'Positional cal'!A:H,4,0),"Not_positional")</f>
        <v>100000</v>
      </c>
      <c r="I655" s="74" t="s">
        <v>113</v>
      </c>
      <c r="J655" s="25" t="s">
        <v>1018</v>
      </c>
      <c r="K655" s="38">
        <f t="shared" si="105"/>
        <v>30</v>
      </c>
      <c r="L655" s="18" t="s">
        <v>1068</v>
      </c>
      <c r="M655" s="18" t="s">
        <v>1059</v>
      </c>
      <c r="N655" s="34">
        <v>1.0</v>
      </c>
      <c r="O655" s="18">
        <v>0.0</v>
      </c>
      <c r="P655" s="34" t="s">
        <v>3910</v>
      </c>
      <c r="Q655" s="42" t="b">
        <f>iferror(VLOOKUP(A655,'Positional cal'!A:H,1,0)=A655,"FALSE")</f>
        <v>1</v>
      </c>
      <c r="R655" s="43" t="b">
        <f t="shared" si="3"/>
        <v>0</v>
      </c>
      <c r="S655" s="46">
        <f>IFERROR(VLOOKUP($A655,AlgoUi!$A:$X,21,0),"NA")</f>
        <v>16110562</v>
      </c>
      <c r="T655" s="46">
        <f>IFERROR(VLOOKUP($A655,AlgoUi!$A:$X,23,0),"")</f>
        <v>16000000</v>
      </c>
      <c r="U655" s="46">
        <f>IFERROR(VLOOKUP($A655,AlgoUi!$A:$X,24,0),"")</f>
        <v>128000</v>
      </c>
      <c r="V655" s="42" t="str">
        <f>IFERROR(__xludf.DUMMYFUNCTION("IFERROR(VLOOKUP(I655,IMPORTRANGE(""https://docs.google.com/spreadsheets/d/17FOIUYQAjPk1pPQIlvOgqYDBqwUqgb7KWzp4DtVksBk/edit?gid=0#gid=0"",""Servers!A:S""),19,FALSE), ""Not Running"")"),"SHIVANSHU")</f>
        <v>SHIVANSHU</v>
      </c>
      <c r="W655" s="47" t="str">
        <f>VLOOKUP($A655,Category!$A:$E,4,0)</f>
        <v>CC</v>
      </c>
      <c r="X655" s="47" t="str">
        <f>VLOOKUP($A655,Category!$A:$E,5,0)</f>
        <v>PGB</v>
      </c>
      <c r="Y655" s="18" t="str">
        <f>VLOOKUP(A655,PAcc!$A$1:$J$27,10,0)</f>
        <v>GB Personal </v>
      </c>
      <c r="Z655" s="42" t="b">
        <f t="shared" si="4"/>
        <v>0</v>
      </c>
      <c r="AA655" s="50">
        <v>1.0</v>
      </c>
      <c r="AB655" s="25" t="str">
        <f>VLOOKUP(A655,VlookupSheet!$A$383:$A$523,1,0)</f>
        <v>BHADADAG</v>
      </c>
      <c r="AC655" s="50">
        <v>0.3</v>
      </c>
      <c r="AD655" s="42">
        <f t="shared" si="107"/>
        <v>16110562</v>
      </c>
      <c r="AE655" s="42">
        <f t="shared" si="108"/>
        <v>160000</v>
      </c>
      <c r="AF655" s="123">
        <f t="shared" si="109"/>
        <v>60000</v>
      </c>
    </row>
    <row r="656">
      <c r="A656" s="30" t="s">
        <v>225</v>
      </c>
      <c r="B656" s="84" t="s">
        <v>788</v>
      </c>
      <c r="C656" s="85"/>
      <c r="D656" s="11" t="s">
        <v>1389</v>
      </c>
      <c r="E656" s="11">
        <f t="shared" si="114"/>
        <v>144000</v>
      </c>
      <c r="F656" s="11" t="s">
        <v>317</v>
      </c>
      <c r="G656" s="31">
        <f>VLOOKUP(A656,'Positional cal'!$A$1:$H$67,7,0)</f>
        <v>147125</v>
      </c>
      <c r="H656" s="31">
        <f>iferror(VLOOKUP(A656,'Positional cal'!A:H,4,0),"Not_positional")</f>
        <v>80000</v>
      </c>
      <c r="I656" s="74" t="s">
        <v>113</v>
      </c>
      <c r="J656" s="25" t="s">
        <v>1018</v>
      </c>
      <c r="K656" s="38">
        <f t="shared" si="105"/>
        <v>1.8390625</v>
      </c>
      <c r="L656" s="18" t="s">
        <v>1068</v>
      </c>
      <c r="M656" s="18" t="s">
        <v>1077</v>
      </c>
      <c r="N656" s="34"/>
      <c r="O656" s="18">
        <v>0.0</v>
      </c>
      <c r="P656" s="34"/>
      <c r="Q656" s="42" t="b">
        <f>iferror(VLOOKUP(A656,'Positional cal'!A:H,1,0)=A656,"FALSE")</f>
        <v>1</v>
      </c>
      <c r="R656" s="43" t="b">
        <f t="shared" si="3"/>
        <v>0</v>
      </c>
      <c r="S656" s="46">
        <f>IFERROR(VLOOKUP($A656,AlgoUi!$A:$X,21,0),"NA")</f>
        <v>15216818</v>
      </c>
      <c r="T656" s="46">
        <f>IFERROR(VLOOKUP($A656,AlgoUi!$A:$X,23,0),"")</f>
        <v>16000000</v>
      </c>
      <c r="U656" s="46">
        <f>IFERROR(VLOOKUP($A656,AlgoUi!$A:$X,24,0),"")</f>
        <v>128000</v>
      </c>
      <c r="V656" s="42" t="str">
        <f>IFERROR(__xludf.DUMMYFUNCTION("IFERROR(VLOOKUP(I656,IMPORTRANGE(""https://docs.google.com/spreadsheets/d/17FOIUYQAjPk1pPQIlvOgqYDBqwUqgb7KWzp4DtVksBk/edit?gid=0#gid=0"",""Servers!A:S""),19,FALSE), ""Not Running"")"),"SHIVANSHU")</f>
        <v>SHIVANSHU</v>
      </c>
      <c r="W656" s="47" t="str">
        <f>VLOOKUP($A656,Category!$A:$E,4,0)</f>
        <v>CC</v>
      </c>
      <c r="X656" s="47" t="str">
        <f>VLOOKUP($A656,Category!$A:$E,5,0)</f>
        <v>CCV</v>
      </c>
      <c r="Y656" s="18" t="str">
        <f>VLOOKUP(A656,PAcc!$A$1:$J$27,10,0)</f>
        <v>#N/A</v>
      </c>
      <c r="Z656" s="42" t="b">
        <f t="shared" si="4"/>
        <v>0</v>
      </c>
      <c r="AA656" s="50">
        <v>0.6</v>
      </c>
      <c r="AB656" s="25" t="str">
        <f>VLOOKUP(A656,VlookupSheet!$A$383:$A$523,1,0)</f>
        <v>NK0002</v>
      </c>
      <c r="AC656" s="50">
        <v>0.02</v>
      </c>
      <c r="AD656" s="42">
        <f t="shared" si="107"/>
        <v>9130090.8</v>
      </c>
      <c r="AE656" s="42">
        <f t="shared" si="108"/>
        <v>100000</v>
      </c>
      <c r="AF656" s="123">
        <f t="shared" si="109"/>
        <v>20000</v>
      </c>
    </row>
    <row r="657">
      <c r="A657" s="11" t="s">
        <v>227</v>
      </c>
      <c r="B657" s="24" t="s">
        <v>3190</v>
      </c>
      <c r="C657" s="25"/>
      <c r="D657" s="11">
        <f>IF(J657="7",0.8,1)</f>
        <v>0.8</v>
      </c>
      <c r="E657" s="11">
        <f>D657*H657</f>
        <v>32000</v>
      </c>
      <c r="F657" s="11" t="s">
        <v>317</v>
      </c>
      <c r="G657" s="11">
        <v>32000.0</v>
      </c>
      <c r="H657" s="31">
        <v>40000.0</v>
      </c>
      <c r="I657" s="74" t="s">
        <v>113</v>
      </c>
      <c r="J657" s="25" t="s">
        <v>1018</v>
      </c>
      <c r="K657" s="38">
        <f t="shared" si="105"/>
        <v>0.8</v>
      </c>
      <c r="L657" s="18" t="s">
        <v>910</v>
      </c>
      <c r="M657" s="18" t="s">
        <v>736</v>
      </c>
      <c r="N657" s="18"/>
      <c r="O657" s="18">
        <v>0.0</v>
      </c>
      <c r="P657" s="18" t="s">
        <v>3911</v>
      </c>
      <c r="Q657" s="42" t="str">
        <f>iferror(VLOOKUP(A657,'Positional cal'!A:H,1,0)=A657,"FALSE")</f>
        <v>FALSE</v>
      </c>
      <c r="R657" s="43" t="b">
        <f t="shared" si="3"/>
        <v>0</v>
      </c>
      <c r="S657" s="46">
        <f>IFERROR(VLOOKUP($A657,AlgoUi!$A:$X,21,0),"NA")</f>
        <v>7938883</v>
      </c>
      <c r="T657" s="46">
        <f>IFERROR(VLOOKUP($A657,AlgoUi!$A:$X,23,0),"")</f>
        <v>8000000</v>
      </c>
      <c r="U657" s="46">
        <f>IFERROR(VLOOKUP($A657,AlgoUi!$A:$X,24,0),"")</f>
        <v>64000</v>
      </c>
      <c r="V657" s="42" t="str">
        <f>IFERROR(__xludf.DUMMYFUNCTION("IFERROR(VLOOKUP(I657,IMPORTRANGE(""https://docs.google.com/spreadsheets/d/17FOIUYQAjPk1pPQIlvOgqYDBqwUqgb7KWzp4DtVksBk/edit?gid=0#gid=0"",""Servers!A:S""),19,FALSE), ""Not Running"")"),"SHIVANSHU")</f>
        <v>SHIVANSHU</v>
      </c>
      <c r="W657" s="47" t="str">
        <f>VLOOKUP($A657,Category!$A:$E,4,0)</f>
        <v>CC</v>
      </c>
      <c r="X657" s="47" t="str">
        <f>VLOOKUP($A657,Category!$A:$E,5,0)</f>
        <v>CCV</v>
      </c>
      <c r="Y657" s="18" t="str">
        <f>VLOOKUP(A657,PAcc!$A$1:$J$27,10,0)</f>
        <v>#N/A</v>
      </c>
      <c r="Z657" s="42" t="b">
        <f t="shared" si="4"/>
        <v>0</v>
      </c>
      <c r="AA657" s="50">
        <v>0.6</v>
      </c>
      <c r="AB657" s="42" t="str">
        <f>VLOOKUP(A657,VlookupSheet!$A$383:$A$523,1,0)</f>
        <v>#N/A</v>
      </c>
      <c r="AC657" s="50">
        <v>0.02</v>
      </c>
      <c r="AD657" s="42">
        <f t="shared" si="107"/>
        <v>4763329.8</v>
      </c>
      <c r="AE657" s="42">
        <f t="shared" si="108"/>
        <v>40000</v>
      </c>
      <c r="AF657" s="123">
        <f t="shared" si="109"/>
        <v>0</v>
      </c>
    </row>
    <row r="658">
      <c r="A658" s="11" t="s">
        <v>361</v>
      </c>
      <c r="B658" s="24" t="s">
        <v>757</v>
      </c>
      <c r="C658" s="25"/>
      <c r="D658" s="11" t="s">
        <v>874</v>
      </c>
      <c r="E658" s="11">
        <f t="shared" ref="E658:E665" si="115">H658*D658</f>
        <v>5400000</v>
      </c>
      <c r="F658" s="30" t="s">
        <v>311</v>
      </c>
      <c r="G658" s="31">
        <f t="shared" ref="G658:G663" si="116">H658*30</f>
        <v>5400000</v>
      </c>
      <c r="H658" s="31">
        <f>iferror(VLOOKUP(A658,'Positional cal'!A:H,4,0),"Not_positional")</f>
        <v>180000</v>
      </c>
      <c r="I658" s="74" t="s">
        <v>113</v>
      </c>
      <c r="J658" s="25" t="s">
        <v>1018</v>
      </c>
      <c r="K658" s="38">
        <f t="shared" si="105"/>
        <v>30</v>
      </c>
      <c r="L658" s="18" t="s">
        <v>1068</v>
      </c>
      <c r="M658" s="18" t="s">
        <v>1059</v>
      </c>
      <c r="N658" s="18"/>
      <c r="O658" s="18">
        <v>0.0</v>
      </c>
      <c r="P658" s="18"/>
      <c r="Q658" s="42" t="b">
        <f>iferror(VLOOKUP(A658,'Positional cal'!A:H,1,0)=A658,"FALSE")</f>
        <v>1</v>
      </c>
      <c r="R658" s="43" t="b">
        <f t="shared" si="3"/>
        <v>0</v>
      </c>
      <c r="S658" s="46">
        <f>IFERROR(VLOOKUP($A658,AlgoUi!$A:$X,21,0),"NA")</f>
        <v>17248483</v>
      </c>
      <c r="T658" s="46">
        <f>IFERROR(VLOOKUP($A658,AlgoUi!$A:$X,23,0),"")</f>
        <v>18000000</v>
      </c>
      <c r="U658" s="46">
        <f>IFERROR(VLOOKUP($A658,AlgoUi!$A:$X,24,0),"")</f>
        <v>144000</v>
      </c>
      <c r="V658" s="42" t="str">
        <f>IFERROR(__xludf.DUMMYFUNCTION("IFERROR(VLOOKUP(I658,IMPORTRANGE(""https://docs.google.com/spreadsheets/d/17FOIUYQAjPk1pPQIlvOgqYDBqwUqgb7KWzp4DtVksBk/edit?gid=0#gid=0"",""Servers!A:S""),19,FALSE), ""Not Running"")"),"SHIVANSHU")</f>
        <v>SHIVANSHU</v>
      </c>
      <c r="W658" s="47" t="str">
        <f>VLOOKUP($A658,Category!$A:$E,4,0)</f>
        <v>CC</v>
      </c>
      <c r="X658" s="47" t="str">
        <f>VLOOKUP($A658,Category!$A:$E,5,0)</f>
        <v>CCG</v>
      </c>
      <c r="Y658" s="18" t="str">
        <f>VLOOKUP(A658,PAcc!$A$1:$J$27,10,0)</f>
        <v>#N/A</v>
      </c>
      <c r="Z658" s="42" t="b">
        <f t="shared" si="4"/>
        <v>1</v>
      </c>
      <c r="AA658" s="50">
        <v>1.0</v>
      </c>
      <c r="AB658" s="25" t="str">
        <f>VLOOKUP(A658,VlookupSheet!$A$383:$A$523,1,0)</f>
        <v>HUFPUGAL</v>
      </c>
      <c r="AC658" s="50">
        <v>0.3</v>
      </c>
      <c r="AD658" s="42">
        <f t="shared" si="107"/>
        <v>17248483</v>
      </c>
      <c r="AE658" s="42">
        <f t="shared" si="108"/>
        <v>180000</v>
      </c>
      <c r="AF658" s="123">
        <f t="shared" si="109"/>
        <v>0</v>
      </c>
    </row>
    <row r="659">
      <c r="A659" s="30" t="s">
        <v>498</v>
      </c>
      <c r="B659" s="84" t="s">
        <v>784</v>
      </c>
      <c r="C659" s="30" t="s">
        <v>77</v>
      </c>
      <c r="D659" s="11" t="s">
        <v>874</v>
      </c>
      <c r="E659" s="11">
        <f t="shared" si="115"/>
        <v>3600000</v>
      </c>
      <c r="F659" s="30" t="s">
        <v>311</v>
      </c>
      <c r="G659" s="31">
        <f t="shared" si="116"/>
        <v>3600000</v>
      </c>
      <c r="H659" s="31">
        <f>iferror(VLOOKUP(A659,'Positional cal'!A:H,4,0),"Not_positional")</f>
        <v>120000</v>
      </c>
      <c r="I659" s="74" t="s">
        <v>113</v>
      </c>
      <c r="J659" s="25" t="s">
        <v>1018</v>
      </c>
      <c r="K659" s="38">
        <f t="shared" si="105"/>
        <v>30</v>
      </c>
      <c r="L659" s="18" t="s">
        <v>1068</v>
      </c>
      <c r="M659" s="18" t="s">
        <v>1059</v>
      </c>
      <c r="N659" s="74"/>
      <c r="O659" s="18">
        <v>0.0</v>
      </c>
      <c r="P659" s="74"/>
      <c r="Q659" s="42" t="b">
        <f>iferror(VLOOKUP(A659,'Positional cal'!A:H,1,0)=A659,"FALSE")</f>
        <v>1</v>
      </c>
      <c r="R659" s="43" t="b">
        <f t="shared" si="3"/>
        <v>0</v>
      </c>
      <c r="S659" s="46">
        <f>IFERROR(VLOOKUP($A659,AlgoUi!$A:$X,21,0),"NA")</f>
        <v>11757806</v>
      </c>
      <c r="T659" s="46">
        <f>IFERROR(VLOOKUP($A659,AlgoUi!$A:$X,23,0),"")</f>
        <v>12000000</v>
      </c>
      <c r="U659" s="46">
        <f>IFERROR(VLOOKUP($A659,AlgoUi!$A:$X,24,0),"")</f>
        <v>96000</v>
      </c>
      <c r="V659" s="42" t="str">
        <f>IFERROR(__xludf.DUMMYFUNCTION("IFERROR(VLOOKUP(I659,IMPORTRANGE(""https://docs.google.com/spreadsheets/d/17FOIUYQAjPk1pPQIlvOgqYDBqwUqgb7KWzp4DtVksBk/edit?gid=0#gid=0"",""Servers!A:S""),19,FALSE), ""Not Running"")"),"SHIVANSHU")</f>
        <v>SHIVANSHU</v>
      </c>
      <c r="W659" s="47" t="str">
        <f>VLOOKUP($A659,Category!$A:$E,4,0)</f>
        <v>CC</v>
      </c>
      <c r="X659" s="47" t="str">
        <f>VLOOKUP($A659,Category!$A:$E,5,0)</f>
        <v>CCG</v>
      </c>
      <c r="Y659" s="18" t="str">
        <f>VLOOKUP(A659,PAcc!$A$1:$J$27,10,0)</f>
        <v>#N/A</v>
      </c>
      <c r="Z659" s="42" t="b">
        <f t="shared" si="4"/>
        <v>1</v>
      </c>
      <c r="AA659" s="50">
        <v>1.0</v>
      </c>
      <c r="AB659" s="25" t="str">
        <f>VLOOKUP(A659,VlookupSheet!$A$383:$A$523,1,0)</f>
        <v>KASAR116</v>
      </c>
      <c r="AC659" s="50">
        <v>0.3</v>
      </c>
      <c r="AD659" s="42">
        <f t="shared" si="107"/>
        <v>11757806</v>
      </c>
      <c r="AE659" s="42">
        <f t="shared" si="108"/>
        <v>120000</v>
      </c>
      <c r="AF659" s="123">
        <f t="shared" si="109"/>
        <v>0</v>
      </c>
    </row>
    <row r="660">
      <c r="A660" s="30" t="s">
        <v>391</v>
      </c>
      <c r="B660" s="84" t="s">
        <v>743</v>
      </c>
      <c r="C660" s="30" t="s">
        <v>77</v>
      </c>
      <c r="D660" s="11" t="s">
        <v>874</v>
      </c>
      <c r="E660" s="11">
        <f t="shared" si="115"/>
        <v>2400000</v>
      </c>
      <c r="F660" s="30" t="s">
        <v>311</v>
      </c>
      <c r="G660" s="31">
        <f t="shared" si="116"/>
        <v>2400000</v>
      </c>
      <c r="H660" s="31">
        <f>iferror(VLOOKUP(A660,'Positional cal'!A:H,4,0),"Not_positional")</f>
        <v>80000</v>
      </c>
      <c r="I660" s="74" t="s">
        <v>113</v>
      </c>
      <c r="J660" s="25" t="s">
        <v>1018</v>
      </c>
      <c r="K660" s="38">
        <f t="shared" si="105"/>
        <v>30</v>
      </c>
      <c r="L660" s="18" t="s">
        <v>1068</v>
      </c>
      <c r="M660" s="18" t="s">
        <v>1077</v>
      </c>
      <c r="N660" s="74"/>
      <c r="O660" s="18">
        <v>0.0</v>
      </c>
      <c r="P660" s="74"/>
      <c r="Q660" s="42" t="b">
        <f>iferror(VLOOKUP(A660,'Positional cal'!A:H,1,0)=A660,"FALSE")</f>
        <v>1</v>
      </c>
      <c r="R660" s="43" t="b">
        <f t="shared" si="3"/>
        <v>0</v>
      </c>
      <c r="S660" s="46">
        <f>IFERROR(VLOOKUP($A660,AlgoUi!$A:$X,21,0),"NA")</f>
        <v>8532470</v>
      </c>
      <c r="T660" s="46">
        <f>IFERROR(VLOOKUP($A660,AlgoUi!$A:$X,23,0),"")</f>
        <v>8000000</v>
      </c>
      <c r="U660" s="46">
        <f>IFERROR(VLOOKUP($A660,AlgoUi!$A:$X,24,0),"")</f>
        <v>64000</v>
      </c>
      <c r="V660" s="42" t="str">
        <f>IFERROR(__xludf.DUMMYFUNCTION("IFERROR(VLOOKUP(I660,IMPORTRANGE(""https://docs.google.com/spreadsheets/d/17FOIUYQAjPk1pPQIlvOgqYDBqwUqgb7KWzp4DtVksBk/edit?gid=0#gid=0"",""Servers!A:S""),19,FALSE), ""Not Running"")"),"SHIVANSHU")</f>
        <v>SHIVANSHU</v>
      </c>
      <c r="W660" s="47" t="str">
        <f>VLOOKUP($A660,Category!$A:$E,4,0)</f>
        <v>CC</v>
      </c>
      <c r="X660" s="47" t="str">
        <f>VLOOKUP($A660,Category!$A:$E,5,0)</f>
        <v>CCG</v>
      </c>
      <c r="Y660" s="18" t="str">
        <f>VLOOKUP(A660,PAcc!$A$1:$J$27,10,0)</f>
        <v>#N/A</v>
      </c>
      <c r="Z660" s="42" t="b">
        <f t="shared" si="4"/>
        <v>1</v>
      </c>
      <c r="AA660" s="50">
        <v>1.0</v>
      </c>
      <c r="AB660" s="25" t="str">
        <f>VLOOKUP(A660,VlookupSheet!$A$383:$A$523,1,0)</f>
        <v>DHIRAJYS</v>
      </c>
      <c r="AC660" s="50">
        <v>0.3</v>
      </c>
      <c r="AD660" s="42">
        <f t="shared" si="107"/>
        <v>8532470</v>
      </c>
      <c r="AE660" s="42">
        <f t="shared" si="108"/>
        <v>80000</v>
      </c>
      <c r="AF660" s="123">
        <f t="shared" si="109"/>
        <v>0</v>
      </c>
    </row>
    <row r="661">
      <c r="A661" s="30" t="s">
        <v>444</v>
      </c>
      <c r="B661" s="84" t="s">
        <v>764</v>
      </c>
      <c r="C661" s="30" t="s">
        <v>77</v>
      </c>
      <c r="D661" s="11" t="s">
        <v>874</v>
      </c>
      <c r="E661" s="11">
        <f t="shared" si="115"/>
        <v>3600000</v>
      </c>
      <c r="F661" s="30" t="s">
        <v>311</v>
      </c>
      <c r="G661" s="31">
        <f t="shared" si="116"/>
        <v>3600000</v>
      </c>
      <c r="H661" s="31">
        <f>iferror(VLOOKUP(A661,'Positional cal'!A:H,4,0),"Not_positional")</f>
        <v>120000</v>
      </c>
      <c r="I661" s="74" t="s">
        <v>113</v>
      </c>
      <c r="J661" s="25" t="s">
        <v>1018</v>
      </c>
      <c r="K661" s="38">
        <f t="shared" si="105"/>
        <v>30</v>
      </c>
      <c r="L661" s="18" t="s">
        <v>1068</v>
      </c>
      <c r="M661" s="18" t="s">
        <v>1059</v>
      </c>
      <c r="N661" s="74"/>
      <c r="O661" s="18">
        <v>0.0</v>
      </c>
      <c r="P661" s="74"/>
      <c r="Q661" s="42" t="b">
        <f>iferror(VLOOKUP(A661,'Positional cal'!A:H,1,0)=A661,"FALSE")</f>
        <v>1</v>
      </c>
      <c r="R661" s="43" t="b">
        <f t="shared" si="3"/>
        <v>0</v>
      </c>
      <c r="S661" s="46">
        <f>IFERROR(VLOOKUP($A661,AlgoUi!$A:$X,21,0),"NA")</f>
        <v>12675262</v>
      </c>
      <c r="T661" s="46">
        <f>IFERROR(VLOOKUP($A661,AlgoUi!$A:$X,23,0),"")</f>
        <v>12000000</v>
      </c>
      <c r="U661" s="46">
        <f>IFERROR(VLOOKUP($A661,AlgoUi!$A:$X,24,0),"")</f>
        <v>96000</v>
      </c>
      <c r="V661" s="42" t="str">
        <f>IFERROR(__xludf.DUMMYFUNCTION("IFERROR(VLOOKUP(I661,IMPORTRANGE(""https://docs.google.com/spreadsheets/d/17FOIUYQAjPk1pPQIlvOgqYDBqwUqgb7KWzp4DtVksBk/edit?gid=0#gid=0"",""Servers!A:S""),19,FALSE), ""Not Running"")"),"SHIVANSHU")</f>
        <v>SHIVANSHU</v>
      </c>
      <c r="W661" s="47" t="str">
        <f>VLOOKUP($A661,Category!$A:$E,4,0)</f>
        <v>CC</v>
      </c>
      <c r="X661" s="47" t="str">
        <f>VLOOKUP($A661,Category!$A:$E,5,0)</f>
        <v>CCG</v>
      </c>
      <c r="Y661" s="18" t="str">
        <f>VLOOKUP(A661,PAcc!$A$1:$J$27,10,0)</f>
        <v>#N/A</v>
      </c>
      <c r="Z661" s="42" t="b">
        <f t="shared" si="4"/>
        <v>1</v>
      </c>
      <c r="AA661" s="50">
        <v>1.0</v>
      </c>
      <c r="AB661" s="25" t="str">
        <f>VLOOKUP(A661,VlookupSheet!$A$383:$A$523,1,0)</f>
        <v>AVS03LKW</v>
      </c>
      <c r="AC661" s="50">
        <v>0.3</v>
      </c>
      <c r="AD661" s="42">
        <f t="shared" si="107"/>
        <v>12675262</v>
      </c>
      <c r="AE661" s="42">
        <f t="shared" si="108"/>
        <v>120000</v>
      </c>
      <c r="AF661" s="123">
        <f t="shared" si="109"/>
        <v>0</v>
      </c>
    </row>
    <row r="662">
      <c r="A662" s="30" t="s">
        <v>464</v>
      </c>
      <c r="B662" s="84" t="s">
        <v>785</v>
      </c>
      <c r="C662" s="30" t="s">
        <v>77</v>
      </c>
      <c r="D662" s="11" t="s">
        <v>874</v>
      </c>
      <c r="E662" s="11">
        <f t="shared" si="115"/>
        <v>5400000</v>
      </c>
      <c r="F662" s="30" t="s">
        <v>311</v>
      </c>
      <c r="G662" s="31">
        <f t="shared" si="116"/>
        <v>5400000</v>
      </c>
      <c r="H662" s="31">
        <f>iferror(VLOOKUP(A662,'Positional cal'!A:H,4,0),"Not_positional")</f>
        <v>180000</v>
      </c>
      <c r="I662" s="74" t="s">
        <v>113</v>
      </c>
      <c r="J662" s="25" t="s">
        <v>1018</v>
      </c>
      <c r="K662" s="38">
        <f t="shared" si="105"/>
        <v>30</v>
      </c>
      <c r="L662" s="18" t="s">
        <v>1068</v>
      </c>
      <c r="M662" s="18" t="s">
        <v>1059</v>
      </c>
      <c r="N662" s="34"/>
      <c r="O662" s="18">
        <v>0.0</v>
      </c>
      <c r="P662" s="34" t="s">
        <v>3054</v>
      </c>
      <c r="Q662" s="42" t="b">
        <f>iferror(VLOOKUP(A662,'Positional cal'!A:H,1,0)=A662,"FALSE")</f>
        <v>1</v>
      </c>
      <c r="R662" s="43" t="b">
        <f t="shared" si="3"/>
        <v>0</v>
      </c>
      <c r="S662" s="46">
        <f>IFERROR(VLOOKUP($A662,AlgoUi!$A:$X,21,0),"NA")</f>
        <v>18232716</v>
      </c>
      <c r="T662" s="46">
        <f>IFERROR(VLOOKUP($A662,AlgoUi!$A:$X,23,0),"")</f>
        <v>18000000</v>
      </c>
      <c r="U662" s="46">
        <f>IFERROR(VLOOKUP($A662,AlgoUi!$A:$X,24,0),"")</f>
        <v>144000</v>
      </c>
      <c r="V662" s="42" t="str">
        <f>IFERROR(__xludf.DUMMYFUNCTION("IFERROR(VLOOKUP(I662,IMPORTRANGE(""https://docs.google.com/spreadsheets/d/17FOIUYQAjPk1pPQIlvOgqYDBqwUqgb7KWzp4DtVksBk/edit?gid=0#gid=0"",""Servers!A:S""),19,FALSE), ""Not Running"")"),"SHIVANSHU")</f>
        <v>SHIVANSHU</v>
      </c>
      <c r="W662" s="47" t="str">
        <f>VLOOKUP($A662,Category!$A:$E,4,0)</f>
        <v>CC</v>
      </c>
      <c r="X662" s="47" t="str">
        <f>VLOOKUP($A662,Category!$A:$E,5,0)</f>
        <v>CCG</v>
      </c>
      <c r="Y662" s="18" t="str">
        <f>VLOOKUP(A662,PAcc!$A$1:$J$27,10,0)</f>
        <v>#N/A</v>
      </c>
      <c r="Z662" s="42" t="b">
        <f t="shared" si="4"/>
        <v>1</v>
      </c>
      <c r="AA662" s="50">
        <v>1.0</v>
      </c>
      <c r="AB662" s="25" t="str">
        <f>VLOOKUP(A662,VlookupSheet!$A$383:$A$523,1,0)</f>
        <v>RAHULG15</v>
      </c>
      <c r="AC662" s="50">
        <v>0.3</v>
      </c>
      <c r="AD662" s="42">
        <f t="shared" si="107"/>
        <v>18232716</v>
      </c>
      <c r="AE662" s="42">
        <f t="shared" si="108"/>
        <v>180000</v>
      </c>
      <c r="AF662" s="123">
        <f t="shared" si="109"/>
        <v>0</v>
      </c>
    </row>
    <row r="663">
      <c r="A663" s="30" t="s">
        <v>428</v>
      </c>
      <c r="B663" s="84" t="s">
        <v>775</v>
      </c>
      <c r="C663" s="30" t="s">
        <v>77</v>
      </c>
      <c r="D663" s="11" t="s">
        <v>874</v>
      </c>
      <c r="E663" s="11">
        <f t="shared" si="115"/>
        <v>4200000</v>
      </c>
      <c r="F663" s="30" t="s">
        <v>311</v>
      </c>
      <c r="G663" s="31">
        <f t="shared" si="116"/>
        <v>4200000</v>
      </c>
      <c r="H663" s="31">
        <f>iferror(VLOOKUP(A663,'Positional cal'!A:H,4,0),"Not_positional")</f>
        <v>140000</v>
      </c>
      <c r="I663" s="74" t="s">
        <v>113</v>
      </c>
      <c r="J663" s="25" t="s">
        <v>1018</v>
      </c>
      <c r="K663" s="38">
        <f t="shared" si="105"/>
        <v>30</v>
      </c>
      <c r="L663" s="18" t="s">
        <v>1068</v>
      </c>
      <c r="M663" s="18" t="s">
        <v>1059</v>
      </c>
      <c r="N663" s="74"/>
      <c r="O663" s="18">
        <v>0.0</v>
      </c>
      <c r="P663" s="74"/>
      <c r="Q663" s="42" t="b">
        <f>iferror(VLOOKUP(A663,'Positional cal'!A:H,1,0)=A663,"FALSE")</f>
        <v>1</v>
      </c>
      <c r="R663" s="43" t="b">
        <f t="shared" si="3"/>
        <v>0</v>
      </c>
      <c r="S663" s="46">
        <f>IFERROR(VLOOKUP($A663,AlgoUi!$A:$X,21,0),"NA")</f>
        <v>14936747</v>
      </c>
      <c r="T663" s="46">
        <f>IFERROR(VLOOKUP($A663,AlgoUi!$A:$X,23,0),"")</f>
        <v>14000000</v>
      </c>
      <c r="U663" s="46">
        <f>IFERROR(VLOOKUP($A663,AlgoUi!$A:$X,24,0),"")</f>
        <v>112000</v>
      </c>
      <c r="V663" s="42" t="str">
        <f>IFERROR(__xludf.DUMMYFUNCTION("IFERROR(VLOOKUP(I663,IMPORTRANGE(""https://docs.google.com/spreadsheets/d/17FOIUYQAjPk1pPQIlvOgqYDBqwUqgb7KWzp4DtVksBk/edit?gid=0#gid=0"",""Servers!A:S""),19,FALSE), ""Not Running"")"),"SHIVANSHU")</f>
        <v>SHIVANSHU</v>
      </c>
      <c r="W663" s="47" t="str">
        <f>VLOOKUP($A663,Category!$A:$E,4,0)</f>
        <v>CC</v>
      </c>
      <c r="X663" s="47" t="str">
        <f>VLOOKUP($A663,Category!$A:$E,5,0)</f>
        <v>CCG</v>
      </c>
      <c r="Y663" s="18" t="str">
        <f>VLOOKUP(A663,PAcc!$A$1:$J$27,10,0)</f>
        <v>#N/A</v>
      </c>
      <c r="Z663" s="42" t="b">
        <f t="shared" si="4"/>
        <v>1</v>
      </c>
      <c r="AA663" s="50">
        <v>1.0</v>
      </c>
      <c r="AB663" s="25" t="str">
        <f>VLOOKUP(A663,VlookupSheet!$A$383:$A$523,1,0)</f>
        <v>SHAMLAL4</v>
      </c>
      <c r="AC663" s="50">
        <v>0.3</v>
      </c>
      <c r="AD663" s="42">
        <f t="shared" si="107"/>
        <v>14936747</v>
      </c>
      <c r="AE663" s="42">
        <f t="shared" si="108"/>
        <v>140000</v>
      </c>
      <c r="AF663" s="123">
        <f t="shared" si="109"/>
        <v>0</v>
      </c>
    </row>
    <row r="664">
      <c r="A664" s="11" t="s">
        <v>228</v>
      </c>
      <c r="B664" s="24" t="s">
        <v>752</v>
      </c>
      <c r="C664" s="25"/>
      <c r="D664" s="11" t="s">
        <v>1389</v>
      </c>
      <c r="E664" s="11">
        <f t="shared" si="115"/>
        <v>108000</v>
      </c>
      <c r="F664" s="11" t="s">
        <v>317</v>
      </c>
      <c r="G664" s="31">
        <f>VLOOKUP(A664,'Positional cal'!$A$1:$H$67,7,0)</f>
        <v>111064</v>
      </c>
      <c r="H664" s="31">
        <f>iferror(VLOOKUP(A664,'Positional cal'!A:H,4,0),"Not_positional")</f>
        <v>60000</v>
      </c>
      <c r="I664" s="42" t="s">
        <v>113</v>
      </c>
      <c r="J664" s="25" t="s">
        <v>1018</v>
      </c>
      <c r="K664" s="38">
        <f t="shared" si="105"/>
        <v>1.851066667</v>
      </c>
      <c r="L664" s="18" t="s">
        <v>1068</v>
      </c>
      <c r="M664" s="18" t="s">
        <v>1077</v>
      </c>
      <c r="N664" s="42"/>
      <c r="O664" s="18">
        <v>0.0</v>
      </c>
      <c r="P664" s="42"/>
      <c r="Q664" s="42" t="b">
        <f>iferror(VLOOKUP(A664,'Positional cal'!A:H,1,0)=A664,"FALSE")</f>
        <v>1</v>
      </c>
      <c r="R664" s="43" t="b">
        <f t="shared" si="3"/>
        <v>0</v>
      </c>
      <c r="S664" s="46">
        <f>IFERROR(VLOOKUP($A664,AlgoUi!$A:$X,21,0),"NA")</f>
        <v>8418931</v>
      </c>
      <c r="T664" s="46">
        <f>IFERROR(VLOOKUP($A664,AlgoUi!$A:$X,23,0),"")</f>
        <v>8000000</v>
      </c>
      <c r="U664" s="46">
        <f>IFERROR(VLOOKUP($A664,AlgoUi!$A:$X,24,0),"")</f>
        <v>64000</v>
      </c>
      <c r="V664" s="42" t="str">
        <f>IFERROR(__xludf.DUMMYFUNCTION("IFERROR(VLOOKUP(I664,IMPORTRANGE(""https://docs.google.com/spreadsheets/d/17FOIUYQAjPk1pPQIlvOgqYDBqwUqgb7KWzp4DtVksBk/edit?gid=0#gid=0"",""Servers!A:S""),19,FALSE), ""Not Running"")"),"SHIVANSHU")</f>
        <v>SHIVANSHU</v>
      </c>
      <c r="W664" s="47" t="str">
        <f>VLOOKUP($A664,Category!$A:$E,4,0)</f>
        <v>CC</v>
      </c>
      <c r="X664" s="47" t="str">
        <f>VLOOKUP($A664,Category!$A:$E,5,0)</f>
        <v>CCV</v>
      </c>
      <c r="Y664" s="18" t="str">
        <f>VLOOKUP(A664,PAcc!$A$1:$J$27,10,0)</f>
        <v>#N/A</v>
      </c>
      <c r="Z664" s="42" t="b">
        <f t="shared" si="4"/>
        <v>0</v>
      </c>
      <c r="AA664" s="50">
        <v>0.6</v>
      </c>
      <c r="AB664" s="25" t="str">
        <f>VLOOKUP(A664,VlookupSheet!$A$383:$A$523,1,0)</f>
        <v>IR0029</v>
      </c>
      <c r="AC664" s="42"/>
      <c r="AD664" s="42">
        <f t="shared" si="107"/>
        <v>5051358.6</v>
      </c>
      <c r="AE664" s="42">
        <f t="shared" si="108"/>
        <v>60000</v>
      </c>
      <c r="AF664" s="123">
        <f t="shared" si="109"/>
        <v>0</v>
      </c>
    </row>
    <row r="665">
      <c r="A665" s="11" t="s">
        <v>759</v>
      </c>
      <c r="B665" s="24" t="s">
        <v>760</v>
      </c>
      <c r="C665" s="25"/>
      <c r="D665" s="11" t="s">
        <v>874</v>
      </c>
      <c r="E665" s="11">
        <f t="shared" si="115"/>
        <v>3600000</v>
      </c>
      <c r="F665" s="11" t="s">
        <v>311</v>
      </c>
      <c r="G665" s="31">
        <f>H665*30</f>
        <v>3600000</v>
      </c>
      <c r="H665" s="31">
        <f>iferror(VLOOKUP(A665,'Positional cal'!A:H,4,0),"Not_positional")</f>
        <v>120000</v>
      </c>
      <c r="I665" s="42" t="s">
        <v>113</v>
      </c>
      <c r="J665" s="25" t="s">
        <v>1018</v>
      </c>
      <c r="K665" s="38">
        <f t="shared" si="105"/>
        <v>30</v>
      </c>
      <c r="L665" s="18" t="s">
        <v>1068</v>
      </c>
      <c r="M665" s="18" t="s">
        <v>1059</v>
      </c>
      <c r="N665" s="42"/>
      <c r="O665" s="18">
        <v>0.0</v>
      </c>
      <c r="P665" s="42"/>
      <c r="Q665" s="42" t="b">
        <f>iferror(VLOOKUP(A665,'Positional cal'!A:H,1,0)=A665,"FALSE")</f>
        <v>1</v>
      </c>
      <c r="R665" s="43" t="b">
        <f t="shared" si="3"/>
        <v>0</v>
      </c>
      <c r="S665" s="46">
        <f>IFERROR(VLOOKUP($A665,AlgoUi!$A:$X,21,0),"NA")</f>
        <v>11819829</v>
      </c>
      <c r="T665" s="46">
        <f>IFERROR(VLOOKUP($A665,AlgoUi!$A:$X,23,0),"")</f>
        <v>12000000</v>
      </c>
      <c r="U665" s="46">
        <f>IFERROR(VLOOKUP($A665,AlgoUi!$A:$X,24,0),"")</f>
        <v>96000</v>
      </c>
      <c r="V665" s="42" t="str">
        <f>IFERROR(__xludf.DUMMYFUNCTION("IFERROR(VLOOKUP(I665,IMPORTRANGE(""https://docs.google.com/spreadsheets/d/17FOIUYQAjPk1pPQIlvOgqYDBqwUqgb7KWzp4DtVksBk/edit?gid=0#gid=0"",""Servers!A:S""),19,FALSE), ""Not Running"")"),"SHIVANSHU")</f>
        <v>SHIVANSHU</v>
      </c>
      <c r="W665" s="47" t="str">
        <f>VLOOKUP($A665,Category!$A:$E,4,0)</f>
        <v>CC</v>
      </c>
      <c r="X665" s="47" t="str">
        <f>VLOOKUP($A665,Category!$A:$E,5,0)</f>
        <v>CCG</v>
      </c>
      <c r="Y665" s="18" t="str">
        <f>VLOOKUP(A665,PAcc!$A$1:$J$27,10,0)</f>
        <v>#N/A</v>
      </c>
      <c r="Z665" s="42" t="b">
        <f t="shared" si="4"/>
        <v>1</v>
      </c>
      <c r="AA665" s="50">
        <v>1.0</v>
      </c>
      <c r="AB665" s="25" t="str">
        <f>VLOOKUP(A665,VlookupSheet!$A$383:$A$523,1,0)</f>
        <v>14419090</v>
      </c>
      <c r="AC665" s="50">
        <v>0.3</v>
      </c>
      <c r="AD665" s="42">
        <f t="shared" si="107"/>
        <v>11819829</v>
      </c>
      <c r="AE665" s="42">
        <f t="shared" si="108"/>
        <v>120000</v>
      </c>
      <c r="AF665" s="123">
        <f t="shared" si="109"/>
        <v>0</v>
      </c>
    </row>
    <row r="666">
      <c r="A666" s="11" t="s">
        <v>2819</v>
      </c>
      <c r="B666" s="24" t="s">
        <v>2820</v>
      </c>
      <c r="C666" s="30" t="s">
        <v>77</v>
      </c>
      <c r="D666" s="11">
        <f t="shared" ref="D666:D667" si="117">IF(J666="7",0.8,1)</f>
        <v>0.8</v>
      </c>
      <c r="E666" s="11">
        <f t="shared" ref="E666:E667" si="118">D666*H666</f>
        <v>32000</v>
      </c>
      <c r="F666" s="11" t="s">
        <v>317</v>
      </c>
      <c r="G666" s="11">
        <v>32000.0</v>
      </c>
      <c r="H666" s="31">
        <v>40000.0</v>
      </c>
      <c r="I666" s="11" t="s">
        <v>113</v>
      </c>
      <c r="J666" s="11" t="s">
        <v>1018</v>
      </c>
      <c r="K666" s="38">
        <f t="shared" si="105"/>
        <v>0.8</v>
      </c>
      <c r="L666" s="18" t="s">
        <v>910</v>
      </c>
      <c r="M666" s="18" t="s">
        <v>736</v>
      </c>
      <c r="N666" s="42"/>
      <c r="O666" s="42"/>
      <c r="P666" s="42"/>
      <c r="Q666" s="42" t="str">
        <f>iferror(VLOOKUP(A666,'Positional cal'!A:H,1,0)=A666,"FALSE")</f>
        <v>FALSE</v>
      </c>
      <c r="R666" s="43" t="b">
        <f t="shared" si="3"/>
        <v>0</v>
      </c>
      <c r="S666" s="46">
        <f>IFERROR(VLOOKUP($A666,AlgoUi!$A:$X,21,0),"NA")</f>
        <v>7335409</v>
      </c>
      <c r="T666" s="46">
        <f>IFERROR(VLOOKUP($A666,AlgoUi!$A:$X,23,0),"")</f>
        <v>8000000</v>
      </c>
      <c r="U666" s="46">
        <f>IFERROR(VLOOKUP($A666,AlgoUi!$A:$X,24,0),"")</f>
        <v>64000</v>
      </c>
      <c r="V666" s="42" t="str">
        <f>IFERROR(__xludf.DUMMYFUNCTION("IFERROR(VLOOKUP(I666,IMPORTRANGE(""https://docs.google.com/spreadsheets/d/17FOIUYQAjPk1pPQIlvOgqYDBqwUqgb7KWzp4DtVksBk/edit?gid=0#gid=0"",""Servers!A:S""),19,FALSE), ""Not Running"")"),"SHIVANSHU")</f>
        <v>SHIVANSHU</v>
      </c>
      <c r="W666" s="47" t="str">
        <f>VLOOKUP($A666,Category!$A:$E,4,0)</f>
        <v>CC</v>
      </c>
      <c r="X666" s="47" t="str">
        <f>VLOOKUP($A666,Category!$A:$E,5,0)</f>
        <v>CCV</v>
      </c>
      <c r="Y666" s="18" t="str">
        <f>VLOOKUP(A666,PAcc!$A$1:$J$27,10,0)</f>
        <v>#N/A</v>
      </c>
      <c r="Z666" s="42" t="b">
        <f t="shared" si="4"/>
        <v>0</v>
      </c>
      <c r="AA666" s="50">
        <v>0.6</v>
      </c>
      <c r="AB666" s="42" t="str">
        <f>VLOOKUP(A666,VlookupSheet!$A$383:$A$523,1,0)</f>
        <v>#N/A</v>
      </c>
      <c r="AC666" s="42"/>
      <c r="AD666" s="42">
        <f t="shared" si="107"/>
        <v>4401245.4</v>
      </c>
      <c r="AE666" s="42">
        <f t="shared" si="108"/>
        <v>40000</v>
      </c>
      <c r="AF666" s="123">
        <f t="shared" si="109"/>
        <v>0</v>
      </c>
    </row>
    <row r="667">
      <c r="A667" s="11" t="s">
        <v>2822</v>
      </c>
      <c r="B667" s="24" t="s">
        <v>2823</v>
      </c>
      <c r="C667" s="30"/>
      <c r="D667" s="11">
        <f t="shared" si="117"/>
        <v>0.8</v>
      </c>
      <c r="E667" s="11">
        <f t="shared" si="118"/>
        <v>32000</v>
      </c>
      <c r="F667" s="11" t="s">
        <v>317</v>
      </c>
      <c r="G667" s="11">
        <v>32000.0</v>
      </c>
      <c r="H667" s="31">
        <v>40000.0</v>
      </c>
      <c r="I667" s="11" t="s">
        <v>113</v>
      </c>
      <c r="J667" s="11" t="s">
        <v>1018</v>
      </c>
      <c r="K667" s="38">
        <f t="shared" si="105"/>
        <v>0.8</v>
      </c>
      <c r="L667" s="18" t="s">
        <v>910</v>
      </c>
      <c r="M667" s="18" t="s">
        <v>736</v>
      </c>
      <c r="N667" s="42"/>
      <c r="O667" s="42"/>
      <c r="P667" s="42"/>
      <c r="Q667" s="42" t="str">
        <f>iferror(VLOOKUP(A667,'Positional cal'!A:H,1,0)=A667,"FALSE")</f>
        <v>FALSE</v>
      </c>
      <c r="R667" s="43" t="b">
        <f t="shared" si="3"/>
        <v>0</v>
      </c>
      <c r="S667" s="46">
        <f>IFERROR(VLOOKUP($A667,AlgoUi!$A:$X,21,0),"NA")</f>
        <v>7639225</v>
      </c>
      <c r="T667" s="46">
        <f>IFERROR(VLOOKUP($A667,AlgoUi!$A:$X,23,0),"")</f>
        <v>8000000</v>
      </c>
      <c r="U667" s="46">
        <f>IFERROR(VLOOKUP($A667,AlgoUi!$A:$X,24,0),"")</f>
        <v>64000</v>
      </c>
      <c r="V667" s="42" t="str">
        <f>IFERROR(__xludf.DUMMYFUNCTION("IFERROR(VLOOKUP(I667,IMPORTRANGE(""https://docs.google.com/spreadsheets/d/17FOIUYQAjPk1pPQIlvOgqYDBqwUqgb7KWzp4DtVksBk/edit?gid=0#gid=0"",""Servers!A:S""),19,FALSE), ""Not Running"")"),"SHIVANSHU")</f>
        <v>SHIVANSHU</v>
      </c>
      <c r="W667" s="47" t="str">
        <f>VLOOKUP($A667,Category!$A:$E,4,0)</f>
        <v>CC</v>
      </c>
      <c r="X667" s="47" t="str">
        <f>VLOOKUP($A667,Category!$A:$E,5,0)</f>
        <v>CCV</v>
      </c>
      <c r="Y667" s="18" t="str">
        <f>VLOOKUP(A667,PAcc!$A$1:$J$27,10,0)</f>
        <v>#N/A</v>
      </c>
      <c r="Z667" s="42" t="b">
        <f t="shared" si="4"/>
        <v>0</v>
      </c>
      <c r="AA667" s="50">
        <v>0.6</v>
      </c>
      <c r="AB667" s="42" t="str">
        <f>VLOOKUP(A667,VlookupSheet!$A$383:$A$523,1,0)</f>
        <v>#N/A</v>
      </c>
      <c r="AC667" s="42"/>
      <c r="AD667" s="42">
        <f t="shared" si="107"/>
        <v>4583535</v>
      </c>
      <c r="AE667" s="42">
        <f t="shared" si="108"/>
        <v>40000</v>
      </c>
      <c r="AF667" s="123">
        <f t="shared" si="109"/>
        <v>0</v>
      </c>
    </row>
    <row r="668">
      <c r="A668" s="11" t="s">
        <v>234</v>
      </c>
      <c r="B668" s="24" t="s">
        <v>985</v>
      </c>
      <c r="C668" s="25"/>
      <c r="D668" s="11" t="s">
        <v>865</v>
      </c>
      <c r="E668" s="11">
        <f t="shared" ref="E668:E694" si="119">H668*D668</f>
        <v>320000</v>
      </c>
      <c r="F668" s="11" t="s">
        <v>875</v>
      </c>
      <c r="G668" s="31">
        <f>iferror(VLOOKUP(A668,'Positional cal'!A:H,8,0),"Not_positional")</f>
        <v>438989</v>
      </c>
      <c r="H668" s="31">
        <f>iferror(VLOOKUP(A668,'Positional cal'!A:H,4,0),"Not_positional")</f>
        <v>400000</v>
      </c>
      <c r="I668" s="18" t="s">
        <v>113</v>
      </c>
      <c r="J668" s="25" t="s">
        <v>1018</v>
      </c>
      <c r="K668" s="38">
        <f t="shared" si="105"/>
        <v>1.0974725</v>
      </c>
      <c r="L668" s="18" t="s">
        <v>1068</v>
      </c>
      <c r="M668" s="18" t="s">
        <v>1077</v>
      </c>
      <c r="N668" s="34"/>
      <c r="O668" s="34"/>
      <c r="P668" s="34" t="s">
        <v>273</v>
      </c>
      <c r="Q668" s="42" t="b">
        <f>iferror(VLOOKUP(A668,'Positional cal'!A:H,1,0)=A668,"FALSE")</f>
        <v>1</v>
      </c>
      <c r="R668" s="43" t="b">
        <f t="shared" si="3"/>
        <v>0</v>
      </c>
      <c r="S668" s="46">
        <f>IFERROR(VLOOKUP($A668,AlgoUi!$A:$X,21,0),"NA")</f>
        <v>1000000000</v>
      </c>
      <c r="T668" s="46">
        <f>IFERROR(VLOOKUP($A668,AlgoUi!$A:$X,23,0),"")</f>
        <v>1000000000</v>
      </c>
      <c r="U668" s="46">
        <f>IFERROR(VLOOKUP($A668,AlgoUi!$A:$X,24,0),"")</f>
        <v>8000000</v>
      </c>
      <c r="V668" s="42" t="str">
        <f>IFERROR(__xludf.DUMMYFUNCTION("IFERROR(VLOOKUP(I668,IMPORTRANGE(""https://docs.google.com/spreadsheets/d/17FOIUYQAjPk1pPQIlvOgqYDBqwUqgb7KWzp4DtVksBk/edit?gid=0#gid=0"",""Servers!A:S""),19,FALSE), ""Not Running"")"),"SHIVANSHU")</f>
        <v>SHIVANSHU</v>
      </c>
      <c r="W668" s="47" t="str">
        <f>VLOOKUP($A668,Category!$A:$E,4,0)</f>
        <v>MS</v>
      </c>
      <c r="X668" s="47" t="str">
        <f>VLOOKUP($A668,Category!$A:$E,5,0)</f>
        <v>MSJ</v>
      </c>
      <c r="Y668" s="18" t="str">
        <f>VLOOKUP(A668,PAcc!$A$1:$J$27,10,0)</f>
        <v>#N/A</v>
      </c>
      <c r="Z668" s="42" t="b">
        <f t="shared" si="4"/>
        <v>0</v>
      </c>
      <c r="AA668" s="18" t="s">
        <v>3913</v>
      </c>
      <c r="AB668" s="25" t="str">
        <f>VLOOKUP(A668,VlookupSheet!$A$383:$A$523,1,0)</f>
        <v>AM008</v>
      </c>
      <c r="AC668" s="42"/>
      <c r="AD668" s="42" t="str">
        <f t="shared" si="107"/>
        <v>#VALUE!</v>
      </c>
      <c r="AE668" s="42" t="str">
        <f t="shared" si="108"/>
        <v>#VALUE!</v>
      </c>
      <c r="AF668" s="42" t="str">
        <f t="shared" si="109"/>
        <v>#VALUE!</v>
      </c>
    </row>
    <row r="669">
      <c r="A669" s="11" t="s">
        <v>677</v>
      </c>
      <c r="B669" s="24" t="s">
        <v>3209</v>
      </c>
      <c r="C669" s="25"/>
      <c r="D669" s="11" t="s">
        <v>964</v>
      </c>
      <c r="E669" s="11">
        <f t="shared" si="119"/>
        <v>140000</v>
      </c>
      <c r="F669" s="11" t="s">
        <v>751</v>
      </c>
      <c r="G669" s="31">
        <f>VLOOKUP(A669,'A8 Daily SL verification'!$A:$G,7,0)</f>
        <v>166673</v>
      </c>
      <c r="H669" s="31">
        <f>VLOOKUP(A669,'A8 Daily SL verification'!$A:$G,3,0)</f>
        <v>200000</v>
      </c>
      <c r="I669" s="34" t="s">
        <v>674</v>
      </c>
      <c r="J669" s="11" t="s">
        <v>586</v>
      </c>
      <c r="K669" s="38">
        <f t="shared" si="105"/>
        <v>0.833365</v>
      </c>
      <c r="L669" s="18" t="s">
        <v>1068</v>
      </c>
      <c r="M669" s="18" t="s">
        <v>1077</v>
      </c>
      <c r="N669" s="42"/>
      <c r="O669" s="42"/>
      <c r="P669" s="42"/>
      <c r="Q669" s="42" t="str">
        <f>iferror(VLOOKUP(A669,'Positional cal'!A:H,1,0)=A669,"FALSE")</f>
        <v>FALSE</v>
      </c>
      <c r="R669" s="43" t="b">
        <f t="shared" si="3"/>
        <v>0</v>
      </c>
      <c r="S669" s="46">
        <f>IFERROR(VLOOKUP($A669,AlgoUi!$A:$X,21,0),"NA")</f>
        <v>60000000</v>
      </c>
      <c r="T669" s="46">
        <f>IFERROR(VLOOKUP($A669,AlgoUi!$A:$X,23,0),"")</f>
        <v>60000000</v>
      </c>
      <c r="U669" s="46">
        <f>IFERROR(VLOOKUP($A669,AlgoUi!$A:$X,24,0),"")</f>
        <v>420000</v>
      </c>
      <c r="V669" s="42" t="str">
        <f>IFERROR(__xludf.DUMMYFUNCTION("IFERROR(VLOOKUP(I669,IMPORTRANGE(""https://docs.google.com/spreadsheets/d/17FOIUYQAjPk1pPQIlvOgqYDBqwUqgb7KWzp4DtVksBk/edit?gid=0#gid=0"",""Servers!A:S""),19,FALSE), ""Not Running"")"),"GULSHANS")</f>
        <v>GULSHANS</v>
      </c>
      <c r="W669" s="47" t="str">
        <f>VLOOKUP($A669,Category!$A:$E,4,0)</f>
        <v>MS</v>
      </c>
      <c r="X669" s="47" t="str">
        <f>VLOOKUP($A669,Category!$A:$E,5,0)</f>
        <v>MSR</v>
      </c>
      <c r="Y669" s="18" t="str">
        <f>VLOOKUP(A669,PAcc!$A$1:$J$27,10,0)</f>
        <v>#N/A</v>
      </c>
      <c r="Z669" s="42" t="b">
        <f t="shared" si="4"/>
        <v>0</v>
      </c>
      <c r="AA669" s="42"/>
      <c r="AB669" s="25" t="str">
        <f>VLOOKUP(A669,VlookupSheet!$A$383:$A$523,1,0)</f>
        <v>R0299</v>
      </c>
      <c r="AC669" s="42"/>
      <c r="AD669" s="42"/>
      <c r="AE669" s="42"/>
      <c r="AF669" s="42"/>
    </row>
    <row r="670">
      <c r="A670" s="11" t="s">
        <v>770</v>
      </c>
      <c r="B670" s="24" t="s">
        <v>3723</v>
      </c>
      <c r="C670" s="25"/>
      <c r="D670" s="11" t="s">
        <v>964</v>
      </c>
      <c r="E670" s="11">
        <f t="shared" si="119"/>
        <v>140000</v>
      </c>
      <c r="F670" s="11" t="s">
        <v>751</v>
      </c>
      <c r="G670" s="31">
        <f>VLOOKUP(A670,'A8 Daily SL verification'!$A:$G,7,0)</f>
        <v>166726</v>
      </c>
      <c r="H670" s="31">
        <f>VLOOKUP(A670,'A8 Daily SL verification'!$A:$G,3,0)</f>
        <v>200000</v>
      </c>
      <c r="I670" s="11" t="s">
        <v>674</v>
      </c>
      <c r="J670" s="11" t="s">
        <v>586</v>
      </c>
      <c r="K670" s="38">
        <f t="shared" si="105"/>
        <v>0.83363</v>
      </c>
      <c r="L670" s="18" t="s">
        <v>1068</v>
      </c>
      <c r="M670" s="18" t="s">
        <v>1077</v>
      </c>
      <c r="N670" s="42"/>
      <c r="O670" s="42"/>
      <c r="P670" s="42"/>
      <c r="Q670" s="42" t="str">
        <f>iferror(VLOOKUP(A670,'Positional cal'!A:H,1,0)=A670,"FALSE")</f>
        <v>FALSE</v>
      </c>
      <c r="R670" s="43" t="b">
        <f t="shared" si="3"/>
        <v>0</v>
      </c>
      <c r="S670" s="46">
        <f>IFERROR(VLOOKUP($A670,AlgoUi!$A:$X,21,0),"NA")</f>
        <v>40000000</v>
      </c>
      <c r="T670" s="46">
        <f>IFERROR(VLOOKUP($A670,AlgoUi!$A:$X,23,0),"")</f>
        <v>40000000</v>
      </c>
      <c r="U670" s="46">
        <f>IFERROR(VLOOKUP($A670,AlgoUi!$A:$X,24,0),"")</f>
        <v>280000</v>
      </c>
      <c r="V670" s="42" t="str">
        <f>IFERROR(__xludf.DUMMYFUNCTION("IFERROR(VLOOKUP(I670,IMPORTRANGE(""https://docs.google.com/spreadsheets/d/17FOIUYQAjPk1pPQIlvOgqYDBqwUqgb7KWzp4DtVksBk/edit?gid=0#gid=0"",""Servers!A:S""),19,FALSE), ""Not Running"")"),"GULSHANS")</f>
        <v>GULSHANS</v>
      </c>
      <c r="W670" s="47" t="str">
        <f>VLOOKUP($A670,Category!$A:$E,4,0)</f>
        <v>MS</v>
      </c>
      <c r="X670" s="47" t="str">
        <f>VLOOKUP($A670,Category!$A:$E,5,0)</f>
        <v>MSR</v>
      </c>
      <c r="Y670" s="18" t="str">
        <f>VLOOKUP(A670,PAcc!$A$1:$J$27,10,0)</f>
        <v>#N/A</v>
      </c>
      <c r="Z670" s="42" t="b">
        <f t="shared" si="4"/>
        <v>0</v>
      </c>
      <c r="AA670" s="42"/>
      <c r="AB670" s="25" t="str">
        <f>VLOOKUP(A670,VlookupSheet!$A$383:$A$523,1,0)</f>
        <v>S0393THREE</v>
      </c>
      <c r="AC670" s="42"/>
      <c r="AD670" s="42"/>
      <c r="AE670" s="42"/>
      <c r="AF670" s="42"/>
    </row>
    <row r="671">
      <c r="A671" s="18" t="s">
        <v>763</v>
      </c>
      <c r="B671" s="11" t="s">
        <v>3746</v>
      </c>
      <c r="C671" s="25"/>
      <c r="D671" s="11" t="s">
        <v>964</v>
      </c>
      <c r="E671" s="11">
        <f t="shared" si="119"/>
        <v>140000</v>
      </c>
      <c r="F671" s="11" t="s">
        <v>751</v>
      </c>
      <c r="G671" s="31">
        <f>VLOOKUP(A671,'A8 Daily SL verification'!$A:$G,7,0)</f>
        <v>166607</v>
      </c>
      <c r="H671" s="31">
        <f>VLOOKUP(A671,'A8 Daily SL verification'!$A:$G,3,0)</f>
        <v>200000</v>
      </c>
      <c r="I671" s="11" t="s">
        <v>674</v>
      </c>
      <c r="J671" s="11" t="s">
        <v>586</v>
      </c>
      <c r="K671" s="38">
        <f t="shared" si="105"/>
        <v>0.833035</v>
      </c>
      <c r="L671" s="18" t="s">
        <v>1068</v>
      </c>
      <c r="M671" s="18" t="s">
        <v>1077</v>
      </c>
      <c r="N671" s="42"/>
      <c r="O671" s="42"/>
      <c r="P671" s="42"/>
      <c r="Q671" s="42" t="str">
        <f>iferror(VLOOKUP(A671,'Positional cal'!A:H,1,0)=A671,"FALSE")</f>
        <v>FALSE</v>
      </c>
      <c r="R671" s="43" t="b">
        <f t="shared" si="3"/>
        <v>0</v>
      </c>
      <c r="S671" s="46">
        <f>IFERROR(VLOOKUP($A671,AlgoUi!$A:$X,21,0),"NA")</f>
        <v>80000000</v>
      </c>
      <c r="T671" s="46">
        <f>IFERROR(VLOOKUP($A671,AlgoUi!$A:$X,23,0),"")</f>
        <v>80000000</v>
      </c>
      <c r="U671" s="46">
        <f>IFERROR(VLOOKUP($A671,AlgoUi!$A:$X,24,0),"")</f>
        <v>560000</v>
      </c>
      <c r="V671" s="42" t="str">
        <f>IFERROR(__xludf.DUMMYFUNCTION("IFERROR(VLOOKUP(I671,IMPORTRANGE(""https://docs.google.com/spreadsheets/d/17FOIUYQAjPk1pPQIlvOgqYDBqwUqgb7KWzp4DtVksBk/edit?gid=0#gid=0"",""Servers!A:S""),19,FALSE), ""Not Running"")"),"GULSHANS")</f>
        <v>GULSHANS</v>
      </c>
      <c r="W671" s="47" t="str">
        <f>VLOOKUP($A671,Category!$A:$E,4,0)</f>
        <v>MS</v>
      </c>
      <c r="X671" s="47" t="str">
        <f>VLOOKUP($A671,Category!$A:$E,5,0)</f>
        <v>MSR</v>
      </c>
      <c r="Y671" s="18" t="str">
        <f>VLOOKUP(A671,PAcc!$A$1:$J$27,10,0)</f>
        <v>#N/A</v>
      </c>
      <c r="Z671" s="42" t="b">
        <f t="shared" si="4"/>
        <v>0</v>
      </c>
      <c r="AA671" s="42"/>
      <c r="AB671" s="25" t="str">
        <f>VLOOKUP(A671,VlookupSheet!$A$383:$A$523,1,0)</f>
        <v>Z0004THREE</v>
      </c>
      <c r="AC671" s="42"/>
      <c r="AD671" s="42"/>
      <c r="AE671" s="42"/>
      <c r="AF671" s="42"/>
    </row>
    <row r="672">
      <c r="A672" s="11" t="s">
        <v>672</v>
      </c>
      <c r="B672" s="24" t="s">
        <v>916</v>
      </c>
      <c r="C672" s="25"/>
      <c r="D672" s="11" t="s">
        <v>964</v>
      </c>
      <c r="E672" s="11">
        <f t="shared" si="119"/>
        <v>280000</v>
      </c>
      <c r="F672" s="30" t="s">
        <v>85</v>
      </c>
      <c r="G672" s="31">
        <f>VLOOKUP(A672,'A8 Daily SL verification'!$A:$G,7,0)</f>
        <v>373638</v>
      </c>
      <c r="H672" s="31">
        <f>VLOOKUP(A672,'A8 Daily SL verification'!$A:$G,3,0)</f>
        <v>400000</v>
      </c>
      <c r="I672" s="34" t="s">
        <v>674</v>
      </c>
      <c r="J672" s="11" t="s">
        <v>586</v>
      </c>
      <c r="K672" s="38">
        <f t="shared" si="105"/>
        <v>0.934095</v>
      </c>
      <c r="L672" s="18" t="s">
        <v>1068</v>
      </c>
      <c r="M672" s="18" t="s">
        <v>1077</v>
      </c>
      <c r="N672" s="42"/>
      <c r="O672" s="42"/>
      <c r="P672" s="42"/>
      <c r="Q672" s="42" t="str">
        <f>iferror(VLOOKUP(A672,'Positional cal'!A:H,1,0)=A672,"FALSE")</f>
        <v>FALSE</v>
      </c>
      <c r="R672" s="43" t="b">
        <f t="shared" si="3"/>
        <v>0</v>
      </c>
      <c r="S672" s="46">
        <f>IFERROR(VLOOKUP($A672,AlgoUi!$A:$X,21,0),"NA")</f>
        <v>40000000</v>
      </c>
      <c r="T672" s="46">
        <f>IFERROR(VLOOKUP($A672,AlgoUi!$A:$X,23,0),"")</f>
        <v>40000000</v>
      </c>
      <c r="U672" s="46">
        <f>IFERROR(VLOOKUP($A672,AlgoUi!$A:$X,24,0),"")</f>
        <v>280000</v>
      </c>
      <c r="V672" s="42" t="str">
        <f>IFERROR(__xludf.DUMMYFUNCTION("IFERROR(VLOOKUP(I672,IMPORTRANGE(""https://docs.google.com/spreadsheets/d/17FOIUYQAjPk1pPQIlvOgqYDBqwUqgb7KWzp4DtVksBk/edit?gid=0#gid=0"",""Servers!A:S""),19,FALSE), ""Not Running"")"),"GULSHANS")</f>
        <v>GULSHANS</v>
      </c>
      <c r="W672" s="47" t="str">
        <f>VLOOKUP($A672,Category!$A:$E,4,0)</f>
        <v>CC</v>
      </c>
      <c r="X672" s="47" t="str">
        <f>VLOOKUP($A672,Category!$A:$E,5,0)</f>
        <v>CC</v>
      </c>
      <c r="Y672" s="18" t="str">
        <f>VLOOKUP(A672,PAcc!$A$1:$J$27,10,0)</f>
        <v>#N/A</v>
      </c>
      <c r="Z672" s="42" t="b">
        <f t="shared" si="4"/>
        <v>1</v>
      </c>
      <c r="AA672" s="50">
        <v>1.0</v>
      </c>
      <c r="AB672" s="25" t="str">
        <f>VLOOKUP(A672,VlookupSheet!$A$383:$A$523,1,0)</f>
        <v>CC10</v>
      </c>
      <c r="AC672" s="42"/>
      <c r="AD672" s="42"/>
      <c r="AE672" s="42"/>
      <c r="AF672" s="42"/>
    </row>
    <row r="673">
      <c r="A673" s="11" t="s">
        <v>678</v>
      </c>
      <c r="B673" s="24" t="s">
        <v>2290</v>
      </c>
      <c r="C673" s="25"/>
      <c r="D673" s="11" t="s">
        <v>77</v>
      </c>
      <c r="E673" s="11">
        <f t="shared" si="119"/>
        <v>100000</v>
      </c>
      <c r="F673" s="30" t="s">
        <v>965</v>
      </c>
      <c r="G673" s="31">
        <f t="shared" ref="G673:G674" si="120">E673</f>
        <v>100000</v>
      </c>
      <c r="H673" s="31">
        <f>VLOOKUP(A673,'A8 Daily SL verification'!$A:$G,3,0)</f>
        <v>100000</v>
      </c>
      <c r="I673" s="34" t="s">
        <v>674</v>
      </c>
      <c r="J673" s="11" t="s">
        <v>586</v>
      </c>
      <c r="K673" s="38">
        <f t="shared" si="105"/>
        <v>1</v>
      </c>
      <c r="L673" s="18" t="s">
        <v>910</v>
      </c>
      <c r="M673" s="18" t="s">
        <v>736</v>
      </c>
      <c r="N673" s="42"/>
      <c r="O673" s="42"/>
      <c r="P673" s="42"/>
      <c r="Q673" s="42" t="str">
        <f>iferror(VLOOKUP(A673,'Positional cal'!A:H,1,0)=A673,"FALSE")</f>
        <v>FALSE</v>
      </c>
      <c r="R673" s="43" t="b">
        <f t="shared" si="3"/>
        <v>0</v>
      </c>
      <c r="S673" s="46">
        <f>IFERROR(VLOOKUP($A673,AlgoUi!$A:$X,21,0),"NA")</f>
        <v>27004470</v>
      </c>
      <c r="T673" s="46">
        <f>IFERROR(VLOOKUP($A673,AlgoUi!$A:$X,23,0),"")</f>
        <v>28000000</v>
      </c>
      <c r="U673" s="46">
        <f>IFERROR(VLOOKUP($A673,AlgoUi!$A:$X,24,0),"")</f>
        <v>196000</v>
      </c>
      <c r="V673" s="42" t="str">
        <f>IFERROR(__xludf.DUMMYFUNCTION("IFERROR(VLOOKUP(I673,IMPORTRANGE(""https://docs.google.com/spreadsheets/d/17FOIUYQAjPk1pPQIlvOgqYDBqwUqgb7KWzp4DtVksBk/edit?gid=0#gid=0"",""Servers!A:S""),19,FALSE), ""Not Running"")"),"GULSHANS")</f>
        <v>GULSHANS</v>
      </c>
      <c r="W673" s="47" t="str">
        <f>VLOOKUP($A673,Category!$A:$E,4,0)</f>
        <v>MS</v>
      </c>
      <c r="X673" s="47" t="str">
        <f>VLOOKUP($A673,Category!$A:$E,5,0)</f>
        <v>MSR</v>
      </c>
      <c r="Y673" s="18" t="str">
        <f>VLOOKUP(A673,PAcc!$A$1:$J$27,10,0)</f>
        <v>#N/A</v>
      </c>
      <c r="Z673" s="42" t="b">
        <f t="shared" si="4"/>
        <v>0</v>
      </c>
      <c r="AA673" s="50">
        <v>0.5</v>
      </c>
      <c r="AB673" s="42" t="str">
        <f>VLOOKUP(A673,VlookupSheet!$A$383:$A$523,1,0)</f>
        <v>#N/A</v>
      </c>
      <c r="AC673" s="42"/>
      <c r="AD673" s="42"/>
      <c r="AE673" s="42"/>
      <c r="AF673" s="42"/>
    </row>
    <row r="674">
      <c r="A674" s="30" t="s">
        <v>680</v>
      </c>
      <c r="B674" s="84" t="s">
        <v>3019</v>
      </c>
      <c r="C674" s="85"/>
      <c r="D674" s="11" t="s">
        <v>77</v>
      </c>
      <c r="E674" s="11">
        <f t="shared" si="119"/>
        <v>100000</v>
      </c>
      <c r="F674" s="30" t="s">
        <v>3914</v>
      </c>
      <c r="G674" s="31">
        <f t="shared" si="120"/>
        <v>100000</v>
      </c>
      <c r="H674" s="31">
        <f>VLOOKUP(A674,'A8 Daily SL verification'!$A:$G,3,0)</f>
        <v>100000</v>
      </c>
      <c r="I674" s="34" t="s">
        <v>674</v>
      </c>
      <c r="J674" s="11" t="s">
        <v>586</v>
      </c>
      <c r="K674" s="38">
        <f t="shared" si="105"/>
        <v>1</v>
      </c>
      <c r="L674" s="18" t="s">
        <v>910</v>
      </c>
      <c r="M674" s="18" t="s">
        <v>736</v>
      </c>
      <c r="N674" s="34"/>
      <c r="O674" s="34"/>
      <c r="P674" s="34"/>
      <c r="Q674" s="42" t="str">
        <f>iferror(VLOOKUP(A674,'Positional cal'!A:H,1,0)=A674,"FALSE")</f>
        <v>FALSE</v>
      </c>
      <c r="R674" s="43" t="b">
        <f t="shared" si="3"/>
        <v>0</v>
      </c>
      <c r="S674" s="46">
        <f>IFERROR(VLOOKUP($A674,AlgoUi!$A:$X,21,0),"NA")</f>
        <v>37474005</v>
      </c>
      <c r="T674" s="46">
        <f>IFERROR(VLOOKUP($A674,AlgoUi!$A:$X,23,0),"")</f>
        <v>38000000</v>
      </c>
      <c r="U674" s="46">
        <f>IFERROR(VLOOKUP($A674,AlgoUi!$A:$X,24,0),"")</f>
        <v>266000</v>
      </c>
      <c r="V674" s="42" t="str">
        <f>IFERROR(__xludf.DUMMYFUNCTION("IFERROR(VLOOKUP(I674,IMPORTRANGE(""https://docs.google.com/spreadsheets/d/17FOIUYQAjPk1pPQIlvOgqYDBqwUqgb7KWzp4DtVksBk/edit?gid=0#gid=0"",""Servers!A:S""),19,FALSE), ""Not Running"")"),"GULSHANS")</f>
        <v>GULSHANS</v>
      </c>
      <c r="W674" s="47" t="str">
        <f>VLOOKUP($A674,Category!$A:$E,4,0)</f>
        <v>MS</v>
      </c>
      <c r="X674" s="47" t="str">
        <f>VLOOKUP($A674,Category!$A:$E,5,0)</f>
        <v>MSR</v>
      </c>
      <c r="Y674" s="18" t="str">
        <f>VLOOKUP(A674,PAcc!$A$1:$J$27,10,0)</f>
        <v>#N/A</v>
      </c>
      <c r="Z674" s="42" t="b">
        <f t="shared" si="4"/>
        <v>0</v>
      </c>
      <c r="AA674" s="50">
        <v>0.5</v>
      </c>
      <c r="AB674" s="42" t="str">
        <f>VLOOKUP(A674,VlookupSheet!$A$383:$A$523,1,0)</f>
        <v>#N/A</v>
      </c>
      <c r="AC674" s="42"/>
      <c r="AD674" s="42"/>
      <c r="AE674" s="42"/>
      <c r="AF674" s="42"/>
    </row>
    <row r="675">
      <c r="A675" s="11" t="s">
        <v>681</v>
      </c>
      <c r="B675" s="84" t="s">
        <v>919</v>
      </c>
      <c r="C675" s="25"/>
      <c r="D675" s="11" t="s">
        <v>964</v>
      </c>
      <c r="E675" s="11">
        <f t="shared" si="119"/>
        <v>420000</v>
      </c>
      <c r="F675" s="30" t="s">
        <v>266</v>
      </c>
      <c r="G675" s="31">
        <f>VLOOKUP(A675,'A8 Daily SL verification'!$A:$G,7,0)</f>
        <v>559713</v>
      </c>
      <c r="H675" s="31">
        <f>VLOOKUP(A675,'A8 Daily SL verification'!$A:$G,3,0)</f>
        <v>600000</v>
      </c>
      <c r="I675" s="74" t="s">
        <v>674</v>
      </c>
      <c r="J675" s="11" t="s">
        <v>586</v>
      </c>
      <c r="K675" s="38">
        <f t="shared" si="105"/>
        <v>0.932855</v>
      </c>
      <c r="L675" s="18" t="s">
        <v>1068</v>
      </c>
      <c r="M675" s="18" t="s">
        <v>1077</v>
      </c>
      <c r="N675" s="42"/>
      <c r="O675" s="42"/>
      <c r="P675" s="42"/>
      <c r="Q675" s="42" t="str">
        <f>iferror(VLOOKUP(A675,'Positional cal'!A:H,1,0)=A675,"FALSE")</f>
        <v>FALSE</v>
      </c>
      <c r="R675" s="43" t="b">
        <f t="shared" si="3"/>
        <v>0</v>
      </c>
      <c r="S675" s="46">
        <f>IFERROR(VLOOKUP($A675,AlgoUi!$A:$X,21,0),"NA")</f>
        <v>1000000000</v>
      </c>
      <c r="T675" s="46">
        <f>IFERROR(VLOOKUP($A675,AlgoUi!$A:$X,23,0),"")</f>
        <v>1000000000</v>
      </c>
      <c r="U675" s="46">
        <f>IFERROR(VLOOKUP($A675,AlgoUi!$A:$X,24,0),"")</f>
        <v>7000000</v>
      </c>
      <c r="V675" s="42" t="str">
        <f>IFERROR(__xludf.DUMMYFUNCTION("IFERROR(VLOOKUP(I675,IMPORTRANGE(""https://docs.google.com/spreadsheets/d/17FOIUYQAjPk1pPQIlvOgqYDBqwUqgb7KWzp4DtVksBk/edit?gid=0#gid=0"",""Servers!A:S""),19,FALSE), ""Not Running"")"),"GULSHANS")</f>
        <v>GULSHANS</v>
      </c>
      <c r="W675" s="47" t="str">
        <f>VLOOKUP($A675,Category!$A:$E,4,0)</f>
        <v>MS</v>
      </c>
      <c r="X675" s="47" t="str">
        <f>VLOOKUP($A675,Category!$A:$E,5,0)</f>
        <v>MSJ</v>
      </c>
      <c r="Y675" s="18" t="str">
        <f>VLOOKUP(A675,PAcc!$A$1:$J$27,10,0)</f>
        <v>#N/A</v>
      </c>
      <c r="Z675" s="42" t="b">
        <f t="shared" si="4"/>
        <v>0</v>
      </c>
      <c r="AA675" s="42"/>
      <c r="AB675" s="25" t="str">
        <f>VLOOKUP(A675,VlookupSheet!$A$383:$A$523,1,0)</f>
        <v>ZZJ16973</v>
      </c>
      <c r="AC675" s="42"/>
      <c r="AD675" s="42"/>
      <c r="AE675" s="42"/>
      <c r="AF675" s="42"/>
    </row>
    <row r="676">
      <c r="A676" s="30" t="s">
        <v>682</v>
      </c>
      <c r="B676" s="84" t="s">
        <v>2808</v>
      </c>
      <c r="C676" s="85"/>
      <c r="D676" s="11" t="s">
        <v>77</v>
      </c>
      <c r="E676" s="11">
        <f t="shared" si="119"/>
        <v>100000</v>
      </c>
      <c r="F676" s="30" t="s">
        <v>311</v>
      </c>
      <c r="G676" s="31">
        <f t="shared" ref="G676:G679" si="121">E676</f>
        <v>100000</v>
      </c>
      <c r="H676" s="31">
        <f>VLOOKUP(A676,'A8 Daily SL verification'!$A:$G,3,0)</f>
        <v>100000</v>
      </c>
      <c r="I676" s="74" t="s">
        <v>674</v>
      </c>
      <c r="J676" s="11" t="s">
        <v>586</v>
      </c>
      <c r="K676" s="38">
        <f t="shared" si="105"/>
        <v>1</v>
      </c>
      <c r="L676" s="18" t="s">
        <v>910</v>
      </c>
      <c r="M676" s="18" t="s">
        <v>736</v>
      </c>
      <c r="N676" s="74"/>
      <c r="O676" s="74"/>
      <c r="P676" s="74"/>
      <c r="Q676" s="42" t="str">
        <f>iferror(VLOOKUP(A676,'Positional cal'!A:H,1,0)=A676,"FALSE")</f>
        <v>FALSE</v>
      </c>
      <c r="R676" s="43" t="b">
        <f t="shared" si="3"/>
        <v>0</v>
      </c>
      <c r="S676" s="46">
        <f>IFERROR(VLOOKUP($A676,AlgoUi!$A:$X,21,0),"NA")</f>
        <v>20237418</v>
      </c>
      <c r="T676" s="46">
        <f>IFERROR(VLOOKUP($A676,AlgoUi!$A:$X,23,0),"")</f>
        <v>20000000</v>
      </c>
      <c r="U676" s="46">
        <f>IFERROR(VLOOKUP($A676,AlgoUi!$A:$X,24,0),"")</f>
        <v>140000</v>
      </c>
      <c r="V676" s="42" t="str">
        <f>IFERROR(__xludf.DUMMYFUNCTION("IFERROR(VLOOKUP(I676,IMPORTRANGE(""https://docs.google.com/spreadsheets/d/17FOIUYQAjPk1pPQIlvOgqYDBqwUqgb7KWzp4DtVksBk/edit?gid=0#gid=0"",""Servers!A:S""),19,FALSE), ""Not Running"")"),"GULSHANS")</f>
        <v>GULSHANS</v>
      </c>
      <c r="W676" s="47" t="str">
        <f>VLOOKUP($A676,Category!$A:$E,4,0)</f>
        <v>MS</v>
      </c>
      <c r="X676" s="47" t="str">
        <f>VLOOKUP($A676,Category!$A:$E,5,0)</f>
        <v>MSR</v>
      </c>
      <c r="Y676" s="18" t="str">
        <f>VLOOKUP(A676,PAcc!$A$1:$J$27,10,0)</f>
        <v>#N/A</v>
      </c>
      <c r="Z676" s="42" t="b">
        <f t="shared" si="4"/>
        <v>0</v>
      </c>
      <c r="AA676" s="50">
        <v>0.5</v>
      </c>
      <c r="AB676" s="42" t="str">
        <f>VLOOKUP(A676,VlookupSheet!$A$383:$A$523,1,0)</f>
        <v>#N/A</v>
      </c>
      <c r="AC676" s="42"/>
      <c r="AD676" s="42"/>
      <c r="AE676" s="42"/>
      <c r="AF676" s="42"/>
    </row>
    <row r="677">
      <c r="A677" s="30" t="s">
        <v>683</v>
      </c>
      <c r="B677" s="84" t="s">
        <v>2689</v>
      </c>
      <c r="C677" s="85"/>
      <c r="D677" s="11" t="s">
        <v>77</v>
      </c>
      <c r="E677" s="11">
        <f t="shared" si="119"/>
        <v>100000</v>
      </c>
      <c r="F677" s="30" t="s">
        <v>311</v>
      </c>
      <c r="G677" s="31">
        <f t="shared" si="121"/>
        <v>100000</v>
      </c>
      <c r="H677" s="31">
        <f>VLOOKUP(A677,'A8 Daily SL verification'!$A:$G,3,0)</f>
        <v>100000</v>
      </c>
      <c r="I677" s="74" t="s">
        <v>674</v>
      </c>
      <c r="J677" s="11" t="s">
        <v>586</v>
      </c>
      <c r="K677" s="38">
        <f t="shared" si="105"/>
        <v>1</v>
      </c>
      <c r="L677" s="18" t="s">
        <v>910</v>
      </c>
      <c r="M677" s="18" t="s">
        <v>736</v>
      </c>
      <c r="N677" s="74"/>
      <c r="O677" s="74"/>
      <c r="P677" s="74"/>
      <c r="Q677" s="42" t="str">
        <f>iferror(VLOOKUP(A677,'Positional cal'!A:H,1,0)=A677,"FALSE")</f>
        <v>FALSE</v>
      </c>
      <c r="R677" s="43" t="b">
        <f t="shared" si="3"/>
        <v>0</v>
      </c>
      <c r="S677" s="46">
        <f>IFERROR(VLOOKUP($A677,AlgoUi!$A:$X,21,0),"NA")</f>
        <v>36436224</v>
      </c>
      <c r="T677" s="46">
        <f>IFERROR(VLOOKUP($A677,AlgoUi!$A:$X,23,0),"")</f>
        <v>36000000</v>
      </c>
      <c r="U677" s="46">
        <f>IFERROR(VLOOKUP($A677,AlgoUi!$A:$X,24,0),"")</f>
        <v>252000</v>
      </c>
      <c r="V677" s="42" t="str">
        <f>IFERROR(__xludf.DUMMYFUNCTION("IFERROR(VLOOKUP(I677,IMPORTRANGE(""https://docs.google.com/spreadsheets/d/17FOIUYQAjPk1pPQIlvOgqYDBqwUqgb7KWzp4DtVksBk/edit?gid=0#gid=0"",""Servers!A:S""),19,FALSE), ""Not Running"")"),"GULSHANS")</f>
        <v>GULSHANS</v>
      </c>
      <c r="W677" s="47" t="str">
        <f>VLOOKUP($A677,Category!$A:$E,4,0)</f>
        <v>MS</v>
      </c>
      <c r="X677" s="47" t="str">
        <f>VLOOKUP($A677,Category!$A:$E,5,0)</f>
        <v>MSR</v>
      </c>
      <c r="Y677" s="18" t="str">
        <f>VLOOKUP(A677,PAcc!$A$1:$J$27,10,0)</f>
        <v>#N/A</v>
      </c>
      <c r="Z677" s="42" t="b">
        <f t="shared" si="4"/>
        <v>0</v>
      </c>
      <c r="AA677" s="50">
        <v>0.5</v>
      </c>
      <c r="AB677" s="42" t="str">
        <f>VLOOKUP(A677,VlookupSheet!$A$383:$A$523,1,0)</f>
        <v>#N/A</v>
      </c>
      <c r="AC677" s="42"/>
      <c r="AD677" s="42"/>
      <c r="AE677" s="42"/>
      <c r="AF677" s="42"/>
    </row>
    <row r="678">
      <c r="A678" s="30" t="s">
        <v>685</v>
      </c>
      <c r="B678" s="84" t="s">
        <v>2207</v>
      </c>
      <c r="C678" s="85"/>
      <c r="D678" s="11" t="s">
        <v>77</v>
      </c>
      <c r="E678" s="11">
        <f t="shared" si="119"/>
        <v>100000</v>
      </c>
      <c r="F678" s="30" t="s">
        <v>311</v>
      </c>
      <c r="G678" s="31">
        <f t="shared" si="121"/>
        <v>100000</v>
      </c>
      <c r="H678" s="31">
        <f>VLOOKUP(A678,'A8 Daily SL verification'!$A:$G,3,0)</f>
        <v>100000</v>
      </c>
      <c r="I678" s="74" t="s">
        <v>674</v>
      </c>
      <c r="J678" s="11" t="s">
        <v>586</v>
      </c>
      <c r="K678" s="38">
        <f t="shared" si="105"/>
        <v>1</v>
      </c>
      <c r="L678" s="18" t="s">
        <v>910</v>
      </c>
      <c r="M678" s="18" t="s">
        <v>736</v>
      </c>
      <c r="N678" s="74"/>
      <c r="O678" s="74"/>
      <c r="P678" s="74"/>
      <c r="Q678" s="42" t="str">
        <f>iferror(VLOOKUP(A678,'Positional cal'!A:H,1,0)=A678,"FALSE")</f>
        <v>FALSE</v>
      </c>
      <c r="R678" s="43" t="b">
        <f t="shared" si="3"/>
        <v>0</v>
      </c>
      <c r="S678" s="46">
        <f>IFERROR(VLOOKUP($A678,AlgoUi!$A:$X,21,0),"NA")</f>
        <v>24198292</v>
      </c>
      <c r="T678" s="46">
        <f>IFERROR(VLOOKUP($A678,AlgoUi!$A:$X,23,0),"")</f>
        <v>24000000</v>
      </c>
      <c r="U678" s="46">
        <f>IFERROR(VLOOKUP($A678,AlgoUi!$A:$X,24,0),"")</f>
        <v>168000</v>
      </c>
      <c r="V678" s="42" t="str">
        <f>IFERROR(__xludf.DUMMYFUNCTION("IFERROR(VLOOKUP(I678,IMPORTRANGE(""https://docs.google.com/spreadsheets/d/17FOIUYQAjPk1pPQIlvOgqYDBqwUqgb7KWzp4DtVksBk/edit?gid=0#gid=0"",""Servers!A:S""),19,FALSE), ""Not Running"")"),"GULSHANS")</f>
        <v>GULSHANS</v>
      </c>
      <c r="W678" s="47" t="str">
        <f>VLOOKUP($A678,Category!$A:$E,4,0)</f>
        <v>MS</v>
      </c>
      <c r="X678" s="47" t="str">
        <f>VLOOKUP($A678,Category!$A:$E,5,0)</f>
        <v>MSP</v>
      </c>
      <c r="Y678" s="18" t="str">
        <f>VLOOKUP(A678,PAcc!$A$1:$J$27,10,0)</f>
        <v>#N/A</v>
      </c>
      <c r="Z678" s="42" t="b">
        <f t="shared" si="4"/>
        <v>0</v>
      </c>
      <c r="AA678" s="50">
        <v>0.5</v>
      </c>
      <c r="AB678" s="42" t="str">
        <f>VLOOKUP(A678,VlookupSheet!$A$383:$A$523,1,0)</f>
        <v>#N/A</v>
      </c>
      <c r="AC678" s="42"/>
      <c r="AD678" s="42"/>
      <c r="AE678" s="42"/>
      <c r="AF678" s="42"/>
    </row>
    <row r="679">
      <c r="A679" s="30" t="s">
        <v>686</v>
      </c>
      <c r="B679" s="84" t="s">
        <v>2987</v>
      </c>
      <c r="C679" s="85"/>
      <c r="D679" s="11" t="s">
        <v>77</v>
      </c>
      <c r="E679" s="11">
        <f t="shared" si="119"/>
        <v>100000</v>
      </c>
      <c r="F679" s="30" t="s">
        <v>311</v>
      </c>
      <c r="G679" s="31">
        <f t="shared" si="121"/>
        <v>100000</v>
      </c>
      <c r="H679" s="31">
        <f>VLOOKUP(A679,'A8 Daily SL verification'!$A:$G,3,0)</f>
        <v>100000</v>
      </c>
      <c r="I679" s="74" t="s">
        <v>674</v>
      </c>
      <c r="J679" s="11" t="s">
        <v>586</v>
      </c>
      <c r="K679" s="38">
        <f t="shared" si="105"/>
        <v>1</v>
      </c>
      <c r="L679" s="18" t="s">
        <v>910</v>
      </c>
      <c r="M679" s="18" t="s">
        <v>736</v>
      </c>
      <c r="N679" s="47"/>
      <c r="O679" s="47"/>
      <c r="P679" s="47"/>
      <c r="Q679" s="42" t="str">
        <f>iferror(VLOOKUP(A679,'Positional cal'!A:H,1,0)=A679,"FALSE")</f>
        <v>FALSE</v>
      </c>
      <c r="R679" s="43" t="b">
        <f t="shared" si="3"/>
        <v>0</v>
      </c>
      <c r="S679" s="46">
        <f>IFERROR(VLOOKUP($A679,AlgoUi!$A:$X,21,0),"NA")</f>
        <v>24662480</v>
      </c>
      <c r="T679" s="46">
        <f>IFERROR(VLOOKUP($A679,AlgoUi!$A:$X,23,0),"")</f>
        <v>24000000</v>
      </c>
      <c r="U679" s="46">
        <f>IFERROR(VLOOKUP($A679,AlgoUi!$A:$X,24,0),"")</f>
        <v>168000</v>
      </c>
      <c r="V679" s="42" t="str">
        <f>IFERROR(__xludf.DUMMYFUNCTION("IFERROR(VLOOKUP(I679,IMPORTRANGE(""https://docs.google.com/spreadsheets/d/17FOIUYQAjPk1pPQIlvOgqYDBqwUqgb7KWzp4DtVksBk/edit?gid=0#gid=0"",""Servers!A:S""),19,FALSE), ""Not Running"")"),"GULSHANS")</f>
        <v>GULSHANS</v>
      </c>
      <c r="W679" s="47" t="str">
        <f>VLOOKUP($A679,Category!$A:$E,4,0)</f>
        <v>MS</v>
      </c>
      <c r="X679" s="47" t="str">
        <f>VLOOKUP($A679,Category!$A:$E,5,0)</f>
        <v>MSR</v>
      </c>
      <c r="Y679" s="18" t="str">
        <f>VLOOKUP(A679,PAcc!$A$1:$J$27,10,0)</f>
        <v>#N/A</v>
      </c>
      <c r="Z679" s="42" t="b">
        <f t="shared" si="4"/>
        <v>0</v>
      </c>
      <c r="AA679" s="50">
        <v>0.5</v>
      </c>
      <c r="AB679" s="42" t="str">
        <f>VLOOKUP(A679,VlookupSheet!$A$383:$A$523,1,0)</f>
        <v>#N/A</v>
      </c>
      <c r="AC679" s="42"/>
      <c r="AD679" s="42"/>
      <c r="AE679" s="42"/>
      <c r="AF679" s="42"/>
    </row>
    <row r="680">
      <c r="A680" s="30" t="s">
        <v>687</v>
      </c>
      <c r="B680" s="84" t="s">
        <v>925</v>
      </c>
      <c r="C680" s="85"/>
      <c r="D680" s="11" t="s">
        <v>964</v>
      </c>
      <c r="E680" s="11">
        <f t="shared" si="119"/>
        <v>140000</v>
      </c>
      <c r="F680" s="30" t="s">
        <v>311</v>
      </c>
      <c r="G680" s="31">
        <f>VLOOKUP(A680,'A8 Daily SL verification'!$A:$G,7,0)</f>
        <v>166747</v>
      </c>
      <c r="H680" s="31">
        <f>VLOOKUP(A680,'A8 Daily SL verification'!$A:$G,3,0)</f>
        <v>200000</v>
      </c>
      <c r="I680" s="74" t="s">
        <v>674</v>
      </c>
      <c r="J680" s="11" t="s">
        <v>586</v>
      </c>
      <c r="K680" s="38">
        <f t="shared" si="105"/>
        <v>0.833735</v>
      </c>
      <c r="L680" s="18" t="s">
        <v>1068</v>
      </c>
      <c r="M680" s="18" t="s">
        <v>1077</v>
      </c>
      <c r="N680" s="47"/>
      <c r="O680" s="47"/>
      <c r="P680" s="47"/>
      <c r="Q680" s="42" t="str">
        <f>iferror(VLOOKUP(A680,'Positional cal'!A:H,1,0)=A680,"FALSE")</f>
        <v>FALSE</v>
      </c>
      <c r="R680" s="43" t="b">
        <f t="shared" si="3"/>
        <v>0</v>
      </c>
      <c r="S680" s="46">
        <f>IFERROR(VLOOKUP($A680,AlgoUi!$A:$X,21,0),"NA")</f>
        <v>89676470</v>
      </c>
      <c r="T680" s="46">
        <f>IFERROR(VLOOKUP($A680,AlgoUi!$A:$X,23,0),"")</f>
        <v>90000000</v>
      </c>
      <c r="U680" s="46">
        <f>IFERROR(VLOOKUP($A680,AlgoUi!$A:$X,24,0),"")</f>
        <v>630000</v>
      </c>
      <c r="V680" s="42" t="str">
        <f>IFERROR(__xludf.DUMMYFUNCTION("IFERROR(VLOOKUP(I680,IMPORTRANGE(""https://docs.google.com/spreadsheets/d/17FOIUYQAjPk1pPQIlvOgqYDBqwUqgb7KWzp4DtVksBk/edit?gid=0#gid=0"",""Servers!A:S""),19,FALSE), ""Not Running"")"),"GULSHANS")</f>
        <v>GULSHANS</v>
      </c>
      <c r="W680" s="47" t="str">
        <f>VLOOKUP($A680,Category!$A:$E,4,0)</f>
        <v>MS</v>
      </c>
      <c r="X680" s="47" t="str">
        <f>VLOOKUP($A680,Category!$A:$E,5,0)</f>
        <v>MSR</v>
      </c>
      <c r="Y680" s="18" t="str">
        <f>VLOOKUP(A680,PAcc!$A$1:$J$27,10,0)</f>
        <v>#N/A</v>
      </c>
      <c r="Z680" s="42" t="b">
        <f t="shared" si="4"/>
        <v>0</v>
      </c>
      <c r="AA680" s="42"/>
      <c r="AB680" s="25" t="str">
        <f>VLOOKUP(A680,VlookupSheet!$A$383:$A$523,1,0)</f>
        <v>ASRENTER</v>
      </c>
      <c r="AC680" s="42"/>
      <c r="AD680" s="42"/>
      <c r="AE680" s="42"/>
      <c r="AF680" s="42"/>
    </row>
    <row r="681">
      <c r="A681" s="30" t="s">
        <v>688</v>
      </c>
      <c r="B681" s="84" t="s">
        <v>2467</v>
      </c>
      <c r="C681" s="30" t="s">
        <v>320</v>
      </c>
      <c r="D681" s="11" t="s">
        <v>77</v>
      </c>
      <c r="E681" s="11">
        <f t="shared" si="119"/>
        <v>100000</v>
      </c>
      <c r="F681" s="30" t="s">
        <v>311</v>
      </c>
      <c r="G681" s="31">
        <f>E681</f>
        <v>100000</v>
      </c>
      <c r="H681" s="31">
        <f>VLOOKUP(A681,'A8 Daily SL verification'!$A:$G,3,0)</f>
        <v>100000</v>
      </c>
      <c r="I681" s="74" t="s">
        <v>674</v>
      </c>
      <c r="J681" s="11" t="s">
        <v>586</v>
      </c>
      <c r="K681" s="38">
        <f t="shared" si="105"/>
        <v>1</v>
      </c>
      <c r="L681" s="18" t="s">
        <v>910</v>
      </c>
      <c r="M681" s="18" t="s">
        <v>736</v>
      </c>
      <c r="N681" s="34"/>
      <c r="O681" s="34"/>
      <c r="P681" s="34"/>
      <c r="Q681" s="42" t="str">
        <f>iferror(VLOOKUP(A681,'Positional cal'!A:H,1,0)=A681,"FALSE")</f>
        <v>FALSE</v>
      </c>
      <c r="R681" s="43" t="b">
        <f t="shared" si="3"/>
        <v>0</v>
      </c>
      <c r="S681" s="46">
        <f>IFERROR(VLOOKUP($A681,AlgoUi!$A:$X,21,0),"NA")</f>
        <v>25890219</v>
      </c>
      <c r="T681" s="46">
        <f>IFERROR(VLOOKUP($A681,AlgoUi!$A:$X,23,0),"")</f>
        <v>26000000</v>
      </c>
      <c r="U681" s="46">
        <f>IFERROR(VLOOKUP($A681,AlgoUi!$A:$X,24,0),"")</f>
        <v>182000</v>
      </c>
      <c r="V681" s="42" t="str">
        <f>IFERROR(__xludf.DUMMYFUNCTION("IFERROR(VLOOKUP(I681,IMPORTRANGE(""https://docs.google.com/spreadsheets/d/17FOIUYQAjPk1pPQIlvOgqYDBqwUqgb7KWzp4DtVksBk/edit?gid=0#gid=0"",""Servers!A:S""),19,FALSE), ""Not Running"")"),"GULSHANS")</f>
        <v>GULSHANS</v>
      </c>
      <c r="W681" s="47" t="str">
        <f>VLOOKUP($A681,Category!$A:$E,4,0)</f>
        <v>MS</v>
      </c>
      <c r="X681" s="47" t="str">
        <f>VLOOKUP($A681,Category!$A:$E,5,0)</f>
        <v>MSR</v>
      </c>
      <c r="Y681" s="18" t="str">
        <f>VLOOKUP(A681,PAcc!$A$1:$J$27,10,0)</f>
        <v>#N/A</v>
      </c>
      <c r="Z681" s="42" t="b">
        <f t="shared" si="4"/>
        <v>0</v>
      </c>
      <c r="AA681" s="50">
        <v>0.5</v>
      </c>
      <c r="AB681" s="42" t="str">
        <f>VLOOKUP(A681,VlookupSheet!$A$383:$A$523,1,0)</f>
        <v>#N/A</v>
      </c>
      <c r="AC681" s="42"/>
      <c r="AD681" s="42"/>
      <c r="AE681" s="42"/>
      <c r="AF681" s="42"/>
    </row>
    <row r="682">
      <c r="A682" s="30" t="s">
        <v>690</v>
      </c>
      <c r="B682" s="84" t="s">
        <v>921</v>
      </c>
      <c r="C682" s="30" t="s">
        <v>320</v>
      </c>
      <c r="D682" s="11" t="s">
        <v>964</v>
      </c>
      <c r="E682" s="11">
        <f t="shared" si="119"/>
        <v>140000</v>
      </c>
      <c r="F682" s="30" t="s">
        <v>311</v>
      </c>
      <c r="G682" s="31">
        <f>VLOOKUP(A682,'A8 Daily SL verification'!$A:$G,7,0)</f>
        <v>166627</v>
      </c>
      <c r="H682" s="31">
        <f>VLOOKUP(A682,'A8 Daily SL verification'!$A:$G,3,0)</f>
        <v>200000</v>
      </c>
      <c r="I682" s="74" t="s">
        <v>674</v>
      </c>
      <c r="J682" s="11" t="s">
        <v>586</v>
      </c>
      <c r="K682" s="38">
        <f t="shared" si="105"/>
        <v>0.833135</v>
      </c>
      <c r="L682" s="18" t="s">
        <v>1068</v>
      </c>
      <c r="M682" s="18" t="s">
        <v>1077</v>
      </c>
      <c r="N682" s="74"/>
      <c r="O682" s="74"/>
      <c r="P682" s="74"/>
      <c r="Q682" s="42" t="str">
        <f>iferror(VLOOKUP(A682,'Positional cal'!A:H,1,0)=A682,"FALSE")</f>
        <v>FALSE</v>
      </c>
      <c r="R682" s="43" t="b">
        <f t="shared" si="3"/>
        <v>0</v>
      </c>
      <c r="S682" s="46">
        <f>IFERROR(VLOOKUP($A682,AlgoUi!$A:$X,21,0),"NA")</f>
        <v>83694020</v>
      </c>
      <c r="T682" s="46">
        <f>IFERROR(VLOOKUP($A682,AlgoUi!$A:$X,23,0),"")</f>
        <v>84000000</v>
      </c>
      <c r="U682" s="46">
        <f>IFERROR(VLOOKUP($A682,AlgoUi!$A:$X,24,0),"")</f>
        <v>588000</v>
      </c>
      <c r="V682" s="42" t="str">
        <f>IFERROR(__xludf.DUMMYFUNCTION("IFERROR(VLOOKUP(I682,IMPORTRANGE(""https://docs.google.com/spreadsheets/d/17FOIUYQAjPk1pPQIlvOgqYDBqwUqgb7KWzp4DtVksBk/edit?gid=0#gid=0"",""Servers!A:S""),19,FALSE), ""Not Running"")"),"GULSHANS")</f>
        <v>GULSHANS</v>
      </c>
      <c r="W682" s="47" t="str">
        <f>VLOOKUP($A682,Category!$A:$E,4,0)</f>
        <v>MS</v>
      </c>
      <c r="X682" s="47" t="str">
        <f>VLOOKUP($A682,Category!$A:$E,5,0)</f>
        <v>MSR</v>
      </c>
      <c r="Y682" s="18" t="str">
        <f>VLOOKUP(A682,PAcc!$A$1:$J$27,10,0)</f>
        <v>#N/A</v>
      </c>
      <c r="Z682" s="42" t="b">
        <f t="shared" si="4"/>
        <v>0</v>
      </c>
      <c r="AA682" s="42"/>
      <c r="AB682" s="25" t="str">
        <f>VLOOKUP(A682,VlookupSheet!$A$383:$A$523,1,0)</f>
        <v>VIVEK773</v>
      </c>
      <c r="AC682" s="42"/>
      <c r="AD682" s="42"/>
      <c r="AE682" s="42"/>
      <c r="AF682" s="42"/>
    </row>
    <row r="683">
      <c r="A683" s="30" t="s">
        <v>693</v>
      </c>
      <c r="B683" s="84" t="s">
        <v>2235</v>
      </c>
      <c r="C683" s="85"/>
      <c r="D683" s="11" t="s">
        <v>77</v>
      </c>
      <c r="E683" s="11">
        <f t="shared" si="119"/>
        <v>100000</v>
      </c>
      <c r="F683" s="30" t="s">
        <v>311</v>
      </c>
      <c r="G683" s="31">
        <f>E683</f>
        <v>100000</v>
      </c>
      <c r="H683" s="31">
        <f>VLOOKUP(A683,'A8 Daily SL verification'!$A:$G,3,0)</f>
        <v>100000</v>
      </c>
      <c r="I683" s="74" t="s">
        <v>674</v>
      </c>
      <c r="J683" s="11" t="s">
        <v>586</v>
      </c>
      <c r="K683" s="38">
        <f t="shared" si="105"/>
        <v>1</v>
      </c>
      <c r="L683" s="18" t="s">
        <v>910</v>
      </c>
      <c r="M683" s="18" t="s">
        <v>736</v>
      </c>
      <c r="N683" s="18"/>
      <c r="O683" s="18"/>
      <c r="P683" s="18"/>
      <c r="Q683" s="42" t="str">
        <f>iferror(VLOOKUP(A683,'Positional cal'!A:H,1,0)=A683,"FALSE")</f>
        <v>FALSE</v>
      </c>
      <c r="R683" s="43" t="b">
        <f t="shared" si="3"/>
        <v>0</v>
      </c>
      <c r="S683" s="46">
        <f>IFERROR(VLOOKUP($A683,AlgoUi!$A:$X,21,0),"NA")</f>
        <v>20570752</v>
      </c>
      <c r="T683" s="46">
        <f>IFERROR(VLOOKUP($A683,AlgoUi!$A:$X,23,0),"")</f>
        <v>20000000</v>
      </c>
      <c r="U683" s="46">
        <f>IFERROR(VLOOKUP($A683,AlgoUi!$A:$X,24,0),"")</f>
        <v>140000</v>
      </c>
      <c r="V683" s="42" t="str">
        <f>IFERROR(__xludf.DUMMYFUNCTION("IFERROR(VLOOKUP(I683,IMPORTRANGE(""https://docs.google.com/spreadsheets/d/17FOIUYQAjPk1pPQIlvOgqYDBqwUqgb7KWzp4DtVksBk/edit?gid=0#gid=0"",""Servers!A:S""),19,FALSE), ""Not Running"")"),"GULSHANS")</f>
        <v>GULSHANS</v>
      </c>
      <c r="W683" s="47" t="str">
        <f>VLOOKUP($A683,Category!$A:$E,4,0)</f>
        <v>MS</v>
      </c>
      <c r="X683" s="47" t="str">
        <f>VLOOKUP($A683,Category!$A:$E,5,0)</f>
        <v>MSR</v>
      </c>
      <c r="Y683" s="18" t="str">
        <f>VLOOKUP(A683,PAcc!$A$1:$J$27,10,0)</f>
        <v>#N/A</v>
      </c>
      <c r="Z683" s="42" t="b">
        <f t="shared" si="4"/>
        <v>0</v>
      </c>
      <c r="AA683" s="50">
        <v>0.5</v>
      </c>
      <c r="AB683" s="42" t="str">
        <f>VLOOKUP(A683,VlookupSheet!$A$383:$A$523,1,0)</f>
        <v>#N/A</v>
      </c>
      <c r="AC683" s="42"/>
      <c r="AD683" s="42"/>
      <c r="AE683" s="42"/>
      <c r="AF683" s="42"/>
    </row>
    <row r="684">
      <c r="A684" s="11" t="s">
        <v>694</v>
      </c>
      <c r="B684" s="84" t="s">
        <v>922</v>
      </c>
      <c r="C684" s="25"/>
      <c r="D684" s="11" t="s">
        <v>964</v>
      </c>
      <c r="E684" s="11">
        <f t="shared" si="119"/>
        <v>140000</v>
      </c>
      <c r="F684" s="30" t="s">
        <v>311</v>
      </c>
      <c r="G684" s="31">
        <f>VLOOKUP(A684,'A8 Daily SL verification'!$A:$G,7,0)</f>
        <v>166762</v>
      </c>
      <c r="H684" s="31">
        <f>VLOOKUP(A684,'A8 Daily SL verification'!$A:$G,3,0)</f>
        <v>200000</v>
      </c>
      <c r="I684" s="74" t="s">
        <v>674</v>
      </c>
      <c r="J684" s="11" t="s">
        <v>586</v>
      </c>
      <c r="K684" s="38">
        <f t="shared" si="105"/>
        <v>0.83381</v>
      </c>
      <c r="L684" s="18" t="s">
        <v>1068</v>
      </c>
      <c r="M684" s="18" t="s">
        <v>1077</v>
      </c>
      <c r="N684" s="18"/>
      <c r="O684" s="18"/>
      <c r="P684" s="18"/>
      <c r="Q684" s="42" t="str">
        <f>iferror(VLOOKUP(A684,'Positional cal'!A:H,1,0)=A684,"FALSE")</f>
        <v>FALSE</v>
      </c>
      <c r="R684" s="43" t="b">
        <f t="shared" si="3"/>
        <v>0</v>
      </c>
      <c r="S684" s="46">
        <f>IFERROR(VLOOKUP($A684,AlgoUi!$A:$X,21,0),"NA")</f>
        <v>96293704</v>
      </c>
      <c r="T684" s="46">
        <f>IFERROR(VLOOKUP($A684,AlgoUi!$A:$X,23,0),"")</f>
        <v>96000000</v>
      </c>
      <c r="U684" s="46">
        <f>IFERROR(VLOOKUP($A684,AlgoUi!$A:$X,24,0),"")</f>
        <v>672000</v>
      </c>
      <c r="V684" s="42" t="str">
        <f>IFERROR(__xludf.DUMMYFUNCTION("IFERROR(VLOOKUP(I684,IMPORTRANGE(""https://docs.google.com/spreadsheets/d/17FOIUYQAjPk1pPQIlvOgqYDBqwUqgb7KWzp4DtVksBk/edit?gid=0#gid=0"",""Servers!A:S""),19,FALSE), ""Not Running"")"),"GULSHANS")</f>
        <v>GULSHANS</v>
      </c>
      <c r="W684" s="47" t="str">
        <f>VLOOKUP($A684,Category!$A:$E,4,0)</f>
        <v>MS</v>
      </c>
      <c r="X684" s="47" t="str">
        <f>VLOOKUP($A684,Category!$A:$E,5,0)</f>
        <v>MSR</v>
      </c>
      <c r="Y684" s="18" t="str">
        <f>VLOOKUP(A684,PAcc!$A$1:$J$27,10,0)</f>
        <v>#N/A</v>
      </c>
      <c r="Z684" s="42" t="b">
        <f t="shared" si="4"/>
        <v>0</v>
      </c>
      <c r="AA684" s="42"/>
      <c r="AB684" s="25" t="str">
        <f>VLOOKUP(A684,VlookupSheet!$A$383:$A$523,1,0)</f>
        <v>MPRSHANT</v>
      </c>
      <c r="AC684" s="42"/>
      <c r="AD684" s="42"/>
      <c r="AE684" s="42"/>
      <c r="AF684" s="42"/>
    </row>
    <row r="685">
      <c r="A685" s="30" t="s">
        <v>695</v>
      </c>
      <c r="B685" s="84" t="s">
        <v>2101</v>
      </c>
      <c r="C685" s="85"/>
      <c r="D685" s="11" t="s">
        <v>77</v>
      </c>
      <c r="E685" s="11">
        <f t="shared" si="119"/>
        <v>100000</v>
      </c>
      <c r="F685" s="30" t="s">
        <v>311</v>
      </c>
      <c r="G685" s="31">
        <f>E685</f>
        <v>100000</v>
      </c>
      <c r="H685" s="31">
        <f>VLOOKUP(A685,'A8 Daily SL verification'!$A:$G,3,0)</f>
        <v>100000</v>
      </c>
      <c r="I685" s="74" t="s">
        <v>674</v>
      </c>
      <c r="J685" s="11" t="s">
        <v>586</v>
      </c>
      <c r="K685" s="38">
        <f t="shared" si="105"/>
        <v>1</v>
      </c>
      <c r="L685" s="18" t="s">
        <v>910</v>
      </c>
      <c r="M685" s="18" t="s">
        <v>736</v>
      </c>
      <c r="N685" s="74"/>
      <c r="O685" s="74"/>
      <c r="P685" s="74"/>
      <c r="Q685" s="42" t="str">
        <f>iferror(VLOOKUP(A685,'Positional cal'!A:H,1,0)=A685,"FALSE")</f>
        <v>FALSE</v>
      </c>
      <c r="R685" s="43" t="b">
        <f t="shared" si="3"/>
        <v>0</v>
      </c>
      <c r="S685" s="46">
        <f>IFERROR(VLOOKUP($A685,AlgoUi!$A:$X,21,0),"NA")</f>
        <v>27516162</v>
      </c>
      <c r="T685" s="46">
        <f>IFERROR(VLOOKUP($A685,AlgoUi!$A:$X,23,0),"")</f>
        <v>28000000</v>
      </c>
      <c r="U685" s="46">
        <f>IFERROR(VLOOKUP($A685,AlgoUi!$A:$X,24,0),"")</f>
        <v>196000</v>
      </c>
      <c r="V685" s="42" t="str">
        <f>IFERROR(__xludf.DUMMYFUNCTION("IFERROR(VLOOKUP(I685,IMPORTRANGE(""https://docs.google.com/spreadsheets/d/17FOIUYQAjPk1pPQIlvOgqYDBqwUqgb7KWzp4DtVksBk/edit?gid=0#gid=0"",""Servers!A:S""),19,FALSE), ""Not Running"")"),"GULSHANS")</f>
        <v>GULSHANS</v>
      </c>
      <c r="W685" s="47" t="str">
        <f>VLOOKUP($A685,Category!$A:$E,4,0)</f>
        <v>MS</v>
      </c>
      <c r="X685" s="47" t="str">
        <f>VLOOKUP($A685,Category!$A:$E,5,0)</f>
        <v>MSR</v>
      </c>
      <c r="Y685" s="18" t="str">
        <f>VLOOKUP(A685,PAcc!$A$1:$J$27,10,0)</f>
        <v>#N/A</v>
      </c>
      <c r="Z685" s="42" t="b">
        <f t="shared" si="4"/>
        <v>0</v>
      </c>
      <c r="AA685" s="50">
        <v>0.5</v>
      </c>
      <c r="AB685" s="42" t="str">
        <f>VLOOKUP(A685,VlookupSheet!$A$383:$A$523,1,0)</f>
        <v>#N/A</v>
      </c>
      <c r="AC685" s="42"/>
      <c r="AD685" s="42"/>
      <c r="AE685" s="42"/>
      <c r="AF685" s="42"/>
    </row>
    <row r="686">
      <c r="A686" s="30" t="s">
        <v>684</v>
      </c>
      <c r="B686" s="84" t="s">
        <v>918</v>
      </c>
      <c r="C686" s="85"/>
      <c r="D686" s="11" t="s">
        <v>964</v>
      </c>
      <c r="E686" s="11">
        <f t="shared" si="119"/>
        <v>140000</v>
      </c>
      <c r="F686" s="30" t="s">
        <v>311</v>
      </c>
      <c r="G686" s="31">
        <f>VLOOKUP(A686,'A8 Daily SL verification'!$A:$G,7,0)</f>
        <v>166765</v>
      </c>
      <c r="H686" s="31">
        <f>VLOOKUP(A686,'A8 Daily SL verification'!$A:$G,3,0)</f>
        <v>200000</v>
      </c>
      <c r="I686" s="34" t="s">
        <v>674</v>
      </c>
      <c r="J686" s="11" t="s">
        <v>586</v>
      </c>
      <c r="K686" s="38">
        <f t="shared" si="105"/>
        <v>0.833825</v>
      </c>
      <c r="L686" s="18" t="s">
        <v>1068</v>
      </c>
      <c r="M686" s="18" t="s">
        <v>1077</v>
      </c>
      <c r="N686" s="34"/>
      <c r="O686" s="34"/>
      <c r="P686" s="34"/>
      <c r="Q686" s="42" t="str">
        <f>iferror(VLOOKUP(A686,'Positional cal'!A:H,1,0)=A686,"FALSE")</f>
        <v>FALSE</v>
      </c>
      <c r="R686" s="43" t="b">
        <f t="shared" si="3"/>
        <v>0</v>
      </c>
      <c r="S686" s="46">
        <f>IFERROR(VLOOKUP($A686,AlgoUi!$A:$X,21,0),"NA")</f>
        <v>77559796</v>
      </c>
      <c r="T686" s="46">
        <f>IFERROR(VLOOKUP($A686,AlgoUi!$A:$X,23,0),"")</f>
        <v>78000000</v>
      </c>
      <c r="U686" s="46">
        <f>IFERROR(VLOOKUP($A686,AlgoUi!$A:$X,24,0),"")</f>
        <v>546000</v>
      </c>
      <c r="V686" s="42" t="str">
        <f>IFERROR(__xludf.DUMMYFUNCTION("IFERROR(VLOOKUP(I686,IMPORTRANGE(""https://docs.google.com/spreadsheets/d/17FOIUYQAjPk1pPQIlvOgqYDBqwUqgb7KWzp4DtVksBk/edit?gid=0#gid=0"",""Servers!A:S""),19,FALSE), ""Not Running"")"),"GULSHANS")</f>
        <v>GULSHANS</v>
      </c>
      <c r="W686" s="47" t="str">
        <f>VLOOKUP($A686,Category!$A:$E,4,0)</f>
        <v>MS</v>
      </c>
      <c r="X686" s="47" t="str">
        <f>VLOOKUP($A686,Category!$A:$E,5,0)</f>
        <v>PRD</v>
      </c>
      <c r="Y686" s="18" t="str">
        <f>VLOOKUP(A686,PAcc!$A$1:$J$27,10,0)</f>
        <v>RD Personal </v>
      </c>
      <c r="Z686" s="42" t="b">
        <f t="shared" si="4"/>
        <v>0</v>
      </c>
      <c r="AA686" s="42"/>
      <c r="AB686" s="25" t="str">
        <f>VLOOKUP(A686,VlookupSheet!$A$383:$A$523,1,0)</f>
        <v>DANGA982</v>
      </c>
      <c r="AC686" s="42"/>
      <c r="AD686" s="42"/>
      <c r="AE686" s="42"/>
      <c r="AF686" s="42"/>
    </row>
    <row r="687">
      <c r="A687" s="30" t="s">
        <v>696</v>
      </c>
      <c r="B687" s="84" t="s">
        <v>2692</v>
      </c>
      <c r="C687" s="85"/>
      <c r="D687" s="11" t="s">
        <v>77</v>
      </c>
      <c r="E687" s="11">
        <f t="shared" si="119"/>
        <v>100000</v>
      </c>
      <c r="F687" s="30" t="s">
        <v>311</v>
      </c>
      <c r="G687" s="31">
        <f>E687</f>
        <v>100000</v>
      </c>
      <c r="H687" s="31">
        <f>VLOOKUP(A687,'A8 Daily SL verification'!$A:$G,3,0)</f>
        <v>100000</v>
      </c>
      <c r="I687" s="74" t="s">
        <v>674</v>
      </c>
      <c r="J687" s="11" t="s">
        <v>586</v>
      </c>
      <c r="K687" s="38">
        <f t="shared" si="105"/>
        <v>1</v>
      </c>
      <c r="L687" s="18" t="s">
        <v>910</v>
      </c>
      <c r="M687" s="18" t="s">
        <v>736</v>
      </c>
      <c r="N687" s="74"/>
      <c r="O687" s="74"/>
      <c r="P687" s="74"/>
      <c r="Q687" s="42" t="str">
        <f>iferror(VLOOKUP(A687,'Positional cal'!A:H,1,0)=A687,"FALSE")</f>
        <v>FALSE</v>
      </c>
      <c r="R687" s="43" t="b">
        <f t="shared" si="3"/>
        <v>0</v>
      </c>
      <c r="S687" s="46">
        <f>IFERROR(VLOOKUP($A687,AlgoUi!$A:$X,21,0),"NA")</f>
        <v>24220776</v>
      </c>
      <c r="T687" s="46">
        <f>IFERROR(VLOOKUP($A687,AlgoUi!$A:$X,23,0),"")</f>
        <v>24000000</v>
      </c>
      <c r="U687" s="46">
        <f>IFERROR(VLOOKUP($A687,AlgoUi!$A:$X,24,0),"")</f>
        <v>168000</v>
      </c>
      <c r="V687" s="42" t="str">
        <f>IFERROR(__xludf.DUMMYFUNCTION("IFERROR(VLOOKUP(I687,IMPORTRANGE(""https://docs.google.com/spreadsheets/d/17FOIUYQAjPk1pPQIlvOgqYDBqwUqgb7KWzp4DtVksBk/edit?gid=0#gid=0"",""Servers!A:S""),19,FALSE), ""Not Running"")"),"GULSHANS")</f>
        <v>GULSHANS</v>
      </c>
      <c r="W687" s="47" t="str">
        <f>VLOOKUP($A687,Category!$A:$E,4,0)</f>
        <v>MS</v>
      </c>
      <c r="X687" s="47" t="str">
        <f>VLOOKUP($A687,Category!$A:$E,5,0)</f>
        <v>MSR</v>
      </c>
      <c r="Y687" s="18" t="str">
        <f>VLOOKUP(A687,PAcc!$A$1:$J$27,10,0)</f>
        <v>#N/A</v>
      </c>
      <c r="Z687" s="42" t="b">
        <f t="shared" si="4"/>
        <v>0</v>
      </c>
      <c r="AA687" s="50">
        <v>0.5</v>
      </c>
      <c r="AB687" s="42" t="str">
        <f>VLOOKUP(A687,VlookupSheet!$A$383:$A$523,1,0)</f>
        <v>#N/A</v>
      </c>
      <c r="AC687" s="42"/>
      <c r="AD687" s="42"/>
      <c r="AE687" s="42"/>
      <c r="AF687" s="42"/>
    </row>
    <row r="688">
      <c r="A688" s="30" t="s">
        <v>698</v>
      </c>
      <c r="B688" s="84" t="s">
        <v>920</v>
      </c>
      <c r="C688" s="85"/>
      <c r="D688" s="11" t="s">
        <v>964</v>
      </c>
      <c r="E688" s="11">
        <f t="shared" si="119"/>
        <v>140000</v>
      </c>
      <c r="F688" s="30" t="s">
        <v>311</v>
      </c>
      <c r="G688" s="31">
        <f>VLOOKUP(A688,'A8 Daily SL verification'!$A:$G,7,0)</f>
        <v>166777</v>
      </c>
      <c r="H688" s="31">
        <f>VLOOKUP(A688,'A8 Daily SL verification'!$A:$G,3,0)</f>
        <v>200000</v>
      </c>
      <c r="I688" s="74" t="s">
        <v>674</v>
      </c>
      <c r="J688" s="11" t="s">
        <v>586</v>
      </c>
      <c r="K688" s="38">
        <f t="shared" si="105"/>
        <v>0.833885</v>
      </c>
      <c r="L688" s="18" t="s">
        <v>1068</v>
      </c>
      <c r="M688" s="18" t="s">
        <v>1077</v>
      </c>
      <c r="N688" s="47"/>
      <c r="O688" s="47"/>
      <c r="P688" s="47"/>
      <c r="Q688" s="42" t="str">
        <f>iferror(VLOOKUP(A688,'Positional cal'!A:H,1,0)=A688,"FALSE")</f>
        <v>FALSE</v>
      </c>
      <c r="R688" s="43" t="b">
        <f t="shared" si="3"/>
        <v>0</v>
      </c>
      <c r="S688" s="46">
        <f>IFERROR(VLOOKUP($A688,AlgoUi!$A:$X,21,0),"NA")</f>
        <v>80449887</v>
      </c>
      <c r="T688" s="46">
        <f>IFERROR(VLOOKUP($A688,AlgoUi!$A:$X,23,0),"")</f>
        <v>80000000</v>
      </c>
      <c r="U688" s="46">
        <f>IFERROR(VLOOKUP($A688,AlgoUi!$A:$X,24,0),"")</f>
        <v>560000</v>
      </c>
      <c r="V688" s="42" t="str">
        <f>IFERROR(__xludf.DUMMYFUNCTION("IFERROR(VLOOKUP(I688,IMPORTRANGE(""https://docs.google.com/spreadsheets/d/17FOIUYQAjPk1pPQIlvOgqYDBqwUqgb7KWzp4DtVksBk/edit?gid=0#gid=0"",""Servers!A:S""),19,FALSE), ""Not Running"")"),"GULSHANS")</f>
        <v>GULSHANS</v>
      </c>
      <c r="W688" s="47" t="str">
        <f>VLOOKUP($A688,Category!$A:$E,4,0)</f>
        <v>MS</v>
      </c>
      <c r="X688" s="47" t="str">
        <f>VLOOKUP($A688,Category!$A:$E,5,0)</f>
        <v>MSR</v>
      </c>
      <c r="Y688" s="18" t="str">
        <f>VLOOKUP(A688,PAcc!$A$1:$J$27,10,0)</f>
        <v>#N/A</v>
      </c>
      <c r="Z688" s="42" t="b">
        <f t="shared" si="4"/>
        <v>0</v>
      </c>
      <c r="AA688" s="42"/>
      <c r="AB688" s="25" t="str">
        <f>VLOOKUP(A688,VlookupSheet!$A$383:$A$523,1,0)</f>
        <v>YOGESC44</v>
      </c>
      <c r="AC688" s="42"/>
      <c r="AD688" s="42"/>
      <c r="AE688" s="42"/>
      <c r="AF688" s="42"/>
    </row>
    <row r="689">
      <c r="A689" s="25" t="s">
        <v>663</v>
      </c>
      <c r="B689" s="24" t="s">
        <v>912</v>
      </c>
      <c r="C689" s="85"/>
      <c r="D689" s="11" t="s">
        <v>964</v>
      </c>
      <c r="E689" s="11">
        <f t="shared" si="119"/>
        <v>280000</v>
      </c>
      <c r="F689" s="30" t="s">
        <v>285</v>
      </c>
      <c r="G689" s="31">
        <f>VLOOKUP(A689,'A8 Daily SL verification'!$A:$G,7,0)</f>
        <v>373145</v>
      </c>
      <c r="H689" s="31">
        <f>VLOOKUP(A689,'A8 Daily SL verification'!$A:$G,3,0)</f>
        <v>400000</v>
      </c>
      <c r="I689" s="74" t="s">
        <v>674</v>
      </c>
      <c r="J689" s="11" t="s">
        <v>586</v>
      </c>
      <c r="K689" s="38">
        <f t="shared" si="105"/>
        <v>0.9328625</v>
      </c>
      <c r="L689" s="18" t="s">
        <v>1068</v>
      </c>
      <c r="M689" s="18" t="s">
        <v>1077</v>
      </c>
      <c r="N689" s="74"/>
      <c r="O689" s="74"/>
      <c r="P689" s="74"/>
      <c r="Q689" s="42" t="str">
        <f>iferror(VLOOKUP(A689,'Positional cal'!A:H,1,0)=A689,"FALSE")</f>
        <v>FALSE</v>
      </c>
      <c r="R689" s="43" t="b">
        <f t="shared" si="3"/>
        <v>0</v>
      </c>
      <c r="S689" s="46">
        <f>IFERROR(VLOOKUP($A689,AlgoUi!$A:$X,21,0),"NA")</f>
        <v>40000000</v>
      </c>
      <c r="T689" s="46">
        <f>IFERROR(VLOOKUP($A689,AlgoUi!$A:$X,23,0),"")</f>
        <v>40000000</v>
      </c>
      <c r="U689" s="46">
        <f>IFERROR(VLOOKUP($A689,AlgoUi!$A:$X,24,0),"")</f>
        <v>280000</v>
      </c>
      <c r="V689" s="42" t="str">
        <f>IFERROR(__xludf.DUMMYFUNCTION("IFERROR(VLOOKUP(I689,IMPORTRANGE(""https://docs.google.com/spreadsheets/d/17FOIUYQAjPk1pPQIlvOgqYDBqwUqgb7KWzp4DtVksBk/edit?gid=0#gid=0"",""Servers!A:S""),19,FALSE), ""Not Running"")"),"GULSHANS")</f>
        <v>GULSHANS</v>
      </c>
      <c r="W689" s="47" t="str">
        <f>VLOOKUP($A689,Category!$A:$E,4,0)</f>
        <v>MS</v>
      </c>
      <c r="X689" s="47" t="str">
        <f>VLOOKUP($A689,Category!$A:$E,5,0)</f>
        <v>MSJ</v>
      </c>
      <c r="Y689" s="18" t="str">
        <f>VLOOKUP(A689,PAcc!$A$1:$J$27,10,0)</f>
        <v>#N/A</v>
      </c>
      <c r="Z689" s="42" t="b">
        <f t="shared" si="4"/>
        <v>1</v>
      </c>
      <c r="AA689" s="42"/>
      <c r="AB689" s="25" t="str">
        <f>VLOOKUP(A689,VlookupSheet!$A$383:$A$523,1,0)</f>
        <v>AJ008DW</v>
      </c>
      <c r="AC689" s="42"/>
      <c r="AD689" s="42"/>
      <c r="AE689" s="42"/>
      <c r="AF689" s="42"/>
    </row>
    <row r="690">
      <c r="A690" s="11" t="s">
        <v>700</v>
      </c>
      <c r="B690" s="24" t="s">
        <v>1683</v>
      </c>
      <c r="C690" s="25"/>
      <c r="D690" s="11" t="s">
        <v>77</v>
      </c>
      <c r="E690" s="11">
        <f t="shared" si="119"/>
        <v>100000</v>
      </c>
      <c r="F690" s="30" t="s">
        <v>311</v>
      </c>
      <c r="G690" s="31">
        <f t="shared" ref="G690:G694" si="122">E690</f>
        <v>100000</v>
      </c>
      <c r="H690" s="31">
        <f>VLOOKUP(A690,'A8 Daily SL verification'!$A:$G,3,0)</f>
        <v>100000</v>
      </c>
      <c r="I690" s="11" t="s">
        <v>674</v>
      </c>
      <c r="J690" s="11" t="s">
        <v>586</v>
      </c>
      <c r="K690" s="38">
        <f t="shared" si="105"/>
        <v>1</v>
      </c>
      <c r="L690" s="18" t="s">
        <v>910</v>
      </c>
      <c r="M690" s="18" t="s">
        <v>736</v>
      </c>
      <c r="N690" s="42"/>
      <c r="O690" s="42"/>
      <c r="P690" s="42"/>
      <c r="Q690" s="42" t="str">
        <f>iferror(VLOOKUP(A690,'Positional cal'!A:H,1,0)=A690,"FALSE")</f>
        <v>FALSE</v>
      </c>
      <c r="R690" s="43" t="b">
        <f t="shared" si="3"/>
        <v>0</v>
      </c>
      <c r="S690" s="46">
        <f>IFERROR(VLOOKUP($A690,AlgoUi!$A:$X,21,0),"NA")</f>
        <v>25065292</v>
      </c>
      <c r="T690" s="46">
        <f>IFERROR(VLOOKUP($A690,AlgoUi!$A:$X,23,0),"")</f>
        <v>26000000</v>
      </c>
      <c r="U690" s="46">
        <f>IFERROR(VLOOKUP($A690,AlgoUi!$A:$X,24,0),"")</f>
        <v>182000</v>
      </c>
      <c r="V690" s="42" t="str">
        <f>IFERROR(__xludf.DUMMYFUNCTION("IFERROR(VLOOKUP(I690,IMPORTRANGE(""https://docs.google.com/spreadsheets/d/17FOIUYQAjPk1pPQIlvOgqYDBqwUqgb7KWzp4DtVksBk/edit?gid=0#gid=0"",""Servers!A:S""),19,FALSE), ""Not Running"")"),"GULSHANS")</f>
        <v>GULSHANS</v>
      </c>
      <c r="W690" s="47" t="str">
        <f>VLOOKUP($A690,Category!$A:$E,4,0)</f>
        <v>MS</v>
      </c>
      <c r="X690" s="47" t="str">
        <f>VLOOKUP($A690,Category!$A:$E,5,0)</f>
        <v>MSR</v>
      </c>
      <c r="Y690" s="18" t="str">
        <f>VLOOKUP(A690,PAcc!$A$1:$J$27,10,0)</f>
        <v>#N/A</v>
      </c>
      <c r="Z690" s="42" t="b">
        <f t="shared" si="4"/>
        <v>0</v>
      </c>
      <c r="AA690" s="50">
        <v>0.5</v>
      </c>
      <c r="AB690" s="42" t="str">
        <f>VLOOKUP(A690,VlookupSheet!$A$383:$A$523,1,0)</f>
        <v>#N/A</v>
      </c>
      <c r="AC690" s="42"/>
      <c r="AD690" s="42"/>
      <c r="AE690" s="42"/>
      <c r="AF690" s="42"/>
    </row>
    <row r="691">
      <c r="A691" s="11" t="s">
        <v>706</v>
      </c>
      <c r="B691" s="24" t="s">
        <v>3393</v>
      </c>
      <c r="C691" s="25"/>
      <c r="D691" s="11" t="s">
        <v>77</v>
      </c>
      <c r="E691" s="11">
        <f t="shared" si="119"/>
        <v>100000</v>
      </c>
      <c r="F691" s="30" t="s">
        <v>311</v>
      </c>
      <c r="G691" s="31">
        <f t="shared" si="122"/>
        <v>100000</v>
      </c>
      <c r="H691" s="31">
        <f>VLOOKUP(A691,'A8 Daily SL verification'!$A:$G,3,0)</f>
        <v>100000</v>
      </c>
      <c r="I691" s="11" t="s">
        <v>674</v>
      </c>
      <c r="J691" s="11" t="s">
        <v>586</v>
      </c>
      <c r="K691" s="38">
        <f t="shared" si="105"/>
        <v>1</v>
      </c>
      <c r="L691" s="18" t="s">
        <v>910</v>
      </c>
      <c r="M691" s="18" t="s">
        <v>736</v>
      </c>
      <c r="N691" s="42"/>
      <c r="O691" s="42"/>
      <c r="P691" s="42"/>
      <c r="Q691" s="42" t="str">
        <f>iferror(VLOOKUP(A691,'Positional cal'!A:H,1,0)=A691,"FALSE")</f>
        <v>FALSE</v>
      </c>
      <c r="R691" s="43" t="b">
        <f t="shared" si="3"/>
        <v>0</v>
      </c>
      <c r="S691" s="46">
        <f>IFERROR(VLOOKUP($A691,AlgoUi!$A:$X,21,0),"NA")</f>
        <v>36124793</v>
      </c>
      <c r="T691" s="46">
        <f>IFERROR(VLOOKUP($A691,AlgoUi!$A:$X,23,0),"")</f>
        <v>36000000</v>
      </c>
      <c r="U691" s="46">
        <f>IFERROR(VLOOKUP($A691,AlgoUi!$A:$X,24,0),"")</f>
        <v>252000</v>
      </c>
      <c r="V691" s="42" t="str">
        <f>IFERROR(__xludf.DUMMYFUNCTION("IFERROR(VLOOKUP(I691,IMPORTRANGE(""https://docs.google.com/spreadsheets/d/17FOIUYQAjPk1pPQIlvOgqYDBqwUqgb7KWzp4DtVksBk/edit?gid=0#gid=0"",""Servers!A:S""),19,FALSE), ""Not Running"")"),"GULSHANS")</f>
        <v>GULSHANS</v>
      </c>
      <c r="W691" s="47" t="str">
        <f>VLOOKUP($A691,Category!$A:$E,4,0)</f>
        <v>MS</v>
      </c>
      <c r="X691" s="47" t="str">
        <f>VLOOKUP($A691,Category!$A:$E,5,0)</f>
        <v>MSN</v>
      </c>
      <c r="Y691" s="18" t="str">
        <f>VLOOKUP(A691,PAcc!$A$1:$J$27,10,0)</f>
        <v>#N/A</v>
      </c>
      <c r="Z691" s="42" t="b">
        <f t="shared" si="4"/>
        <v>0</v>
      </c>
      <c r="AA691" s="50">
        <v>0.5</v>
      </c>
      <c r="AB691" s="42" t="str">
        <f>VLOOKUP(A691,VlookupSheet!$A$383:$A$523,1,0)</f>
        <v>#N/A</v>
      </c>
      <c r="AC691" s="42"/>
      <c r="AD691" s="42"/>
      <c r="AE691" s="42"/>
      <c r="AF691" s="42"/>
    </row>
    <row r="692">
      <c r="A692" s="11" t="s">
        <v>758</v>
      </c>
      <c r="B692" s="24" t="s">
        <v>3460</v>
      </c>
      <c r="C692" s="25"/>
      <c r="D692" s="11" t="s">
        <v>77</v>
      </c>
      <c r="E692" s="11">
        <f t="shared" si="119"/>
        <v>200000</v>
      </c>
      <c r="F692" s="11" t="s">
        <v>1204</v>
      </c>
      <c r="G692" s="31">
        <f t="shared" si="122"/>
        <v>200000</v>
      </c>
      <c r="H692" s="31">
        <f>VLOOKUP(A692,'A8 Daily SL verification'!$A:$G,3,0)</f>
        <v>200000</v>
      </c>
      <c r="I692" s="11" t="s">
        <v>674</v>
      </c>
      <c r="J692" s="11" t="s">
        <v>586</v>
      </c>
      <c r="K692" s="38">
        <f t="shared" si="105"/>
        <v>1</v>
      </c>
      <c r="L692" s="18" t="s">
        <v>910</v>
      </c>
      <c r="M692" s="18" t="s">
        <v>736</v>
      </c>
      <c r="N692" s="42"/>
      <c r="O692" s="42"/>
      <c r="P692" s="42"/>
      <c r="Q692" s="42" t="str">
        <f>iferror(VLOOKUP(A692,'Positional cal'!A:H,1,0)=A692,"FALSE")</f>
        <v>FALSE</v>
      </c>
      <c r="R692" s="43" t="b">
        <f t="shared" si="3"/>
        <v>0</v>
      </c>
      <c r="S692" s="46">
        <f>IFERROR(VLOOKUP($A692,AlgoUi!$A:$X,21,0),"NA")</f>
        <v>40000000</v>
      </c>
      <c r="T692" s="46">
        <f>IFERROR(VLOOKUP($A692,AlgoUi!$A:$X,23,0),"")</f>
        <v>40000000</v>
      </c>
      <c r="U692" s="46">
        <f>IFERROR(VLOOKUP($A692,AlgoUi!$A:$X,24,0),"")</f>
        <v>280000</v>
      </c>
      <c r="V692" s="42" t="str">
        <f>IFERROR(__xludf.DUMMYFUNCTION("IFERROR(VLOOKUP(I692,IMPORTRANGE(""https://docs.google.com/spreadsheets/d/17FOIUYQAjPk1pPQIlvOgqYDBqwUqgb7KWzp4DtVksBk/edit?gid=0#gid=0"",""Servers!A:S""),19,FALSE), ""Not Running"")"),"GULSHANS")</f>
        <v>GULSHANS</v>
      </c>
      <c r="W692" s="47" t="str">
        <f>VLOOKUP($A692,Category!$A:$E,4,0)</f>
        <v>MS</v>
      </c>
      <c r="X692" s="47" t="str">
        <f>VLOOKUP($A692,Category!$A:$E,5,0)</f>
        <v>MSR</v>
      </c>
      <c r="Y692" s="18" t="str">
        <f>VLOOKUP(A692,PAcc!$A$1:$J$27,10,0)</f>
        <v>#N/A</v>
      </c>
      <c r="Z692" s="42" t="b">
        <f t="shared" si="4"/>
        <v>0</v>
      </c>
      <c r="AA692" s="50">
        <v>0.5</v>
      </c>
      <c r="AB692" s="42" t="str">
        <f>VLOOKUP(A692,VlookupSheet!$A$383:$A$523,1,0)</f>
        <v>#N/A</v>
      </c>
      <c r="AC692" s="42"/>
      <c r="AD692" s="42"/>
      <c r="AE692" s="42"/>
      <c r="AF692" s="42"/>
    </row>
    <row r="693">
      <c r="A693" s="11" t="s">
        <v>774</v>
      </c>
      <c r="B693" s="24" t="s">
        <v>2911</v>
      </c>
      <c r="C693" s="25"/>
      <c r="D693" s="11" t="s">
        <v>77</v>
      </c>
      <c r="E693" s="11">
        <f t="shared" si="119"/>
        <v>100000</v>
      </c>
      <c r="F693" s="11" t="s">
        <v>2884</v>
      </c>
      <c r="G693" s="31">
        <f t="shared" si="122"/>
        <v>100000</v>
      </c>
      <c r="H693" s="31">
        <f>VLOOKUP(A693,'A8 Daily SL verification'!$A:$G,3,0)</f>
        <v>100000</v>
      </c>
      <c r="I693" s="11" t="s">
        <v>674</v>
      </c>
      <c r="J693" s="11" t="s">
        <v>586</v>
      </c>
      <c r="K693" s="38">
        <f t="shared" si="105"/>
        <v>1</v>
      </c>
      <c r="L693" s="18" t="s">
        <v>910</v>
      </c>
      <c r="M693" s="18" t="s">
        <v>736</v>
      </c>
      <c r="N693" s="42"/>
      <c r="O693" s="42"/>
      <c r="P693" s="42"/>
      <c r="Q693" s="42" t="str">
        <f>iferror(VLOOKUP(A693,'Positional cal'!A:H,1,0)=A693,"FALSE")</f>
        <v>FALSE</v>
      </c>
      <c r="R693" s="43" t="b">
        <f t="shared" si="3"/>
        <v>0</v>
      </c>
      <c r="S693" s="46">
        <f>IFERROR(VLOOKUP($A693,AlgoUi!$A:$X,21,0),"NA")</f>
        <v>40000000</v>
      </c>
      <c r="T693" s="46">
        <f>IFERROR(VLOOKUP($A693,AlgoUi!$A:$X,23,0),"")</f>
        <v>40000000</v>
      </c>
      <c r="U693" s="46">
        <f>IFERROR(VLOOKUP($A693,AlgoUi!$A:$X,24,0),"")</f>
        <v>280000</v>
      </c>
      <c r="V693" s="42" t="str">
        <f>IFERROR(__xludf.DUMMYFUNCTION("IFERROR(VLOOKUP(I693,IMPORTRANGE(""https://docs.google.com/spreadsheets/d/17FOIUYQAjPk1pPQIlvOgqYDBqwUqgb7KWzp4DtVksBk/edit?gid=0#gid=0"",""Servers!A:S""),19,FALSE), ""Not Running"")"),"GULSHANS")</f>
        <v>GULSHANS</v>
      </c>
      <c r="W693" s="47" t="str">
        <f>VLOOKUP($A693,Category!$A:$E,4,0)</f>
        <v>MS</v>
      </c>
      <c r="X693" s="47" t="str">
        <f>VLOOKUP($A693,Category!$A:$E,5,0)</f>
        <v>MSS</v>
      </c>
      <c r="Y693" s="18" t="str">
        <f>VLOOKUP(A693,PAcc!$A$1:$J$27,10,0)</f>
        <v>#N/A</v>
      </c>
      <c r="Z693" s="42" t="b">
        <f t="shared" si="4"/>
        <v>0</v>
      </c>
      <c r="AA693" s="50">
        <v>0.5</v>
      </c>
      <c r="AB693" s="42" t="str">
        <f>VLOOKUP(A693,VlookupSheet!$A$383:$A$523,1,0)</f>
        <v>#N/A</v>
      </c>
      <c r="AC693" s="42"/>
      <c r="AD693" s="42"/>
      <c r="AE693" s="42"/>
      <c r="AF693" s="42"/>
    </row>
    <row r="694">
      <c r="A694" s="11" t="s">
        <v>778</v>
      </c>
      <c r="B694" s="24" t="s">
        <v>3780</v>
      </c>
      <c r="C694" s="25"/>
      <c r="D694" s="11" t="s">
        <v>77</v>
      </c>
      <c r="E694" s="11">
        <f t="shared" si="119"/>
        <v>100000</v>
      </c>
      <c r="F694" s="11" t="s">
        <v>1014</v>
      </c>
      <c r="G694" s="31">
        <f t="shared" si="122"/>
        <v>100000</v>
      </c>
      <c r="H694" s="31">
        <f>VLOOKUP(A694,'A8 Daily SL verification'!$A:$G,3,0)</f>
        <v>100000</v>
      </c>
      <c r="I694" s="11" t="s">
        <v>674</v>
      </c>
      <c r="J694" s="11" t="s">
        <v>586</v>
      </c>
      <c r="K694" s="38">
        <f t="shared" si="105"/>
        <v>1</v>
      </c>
      <c r="L694" s="18" t="s">
        <v>910</v>
      </c>
      <c r="M694" s="18" t="s">
        <v>736</v>
      </c>
      <c r="N694" s="42"/>
      <c r="O694" s="42"/>
      <c r="P694" s="42"/>
      <c r="Q694" s="42" t="str">
        <f>iferror(VLOOKUP(A694,'Positional cal'!A:H,1,0)=A694,"FALSE")</f>
        <v>FALSE</v>
      </c>
      <c r="R694" s="43" t="b">
        <f t="shared" si="3"/>
        <v>0</v>
      </c>
      <c r="S694" s="46">
        <f>IFERROR(VLOOKUP($A694,AlgoUi!$A:$X,21,0),"NA")</f>
        <v>20000000</v>
      </c>
      <c r="T694" s="46">
        <f>IFERROR(VLOOKUP($A694,AlgoUi!$A:$X,23,0),"")</f>
        <v>20000000</v>
      </c>
      <c r="U694" s="46">
        <f>IFERROR(VLOOKUP($A694,AlgoUi!$A:$X,24,0),"")</f>
        <v>140000</v>
      </c>
      <c r="V694" s="42" t="str">
        <f>IFERROR(__xludf.DUMMYFUNCTION("IFERROR(VLOOKUP(I694,IMPORTRANGE(""https://docs.google.com/spreadsheets/d/17FOIUYQAjPk1pPQIlvOgqYDBqwUqgb7KWzp4DtVksBk/edit?gid=0#gid=0"",""Servers!A:S""),19,FALSE), ""Not Running"")"),"GULSHANS")</f>
        <v>GULSHANS</v>
      </c>
      <c r="W694" s="47" t="str">
        <f>VLOOKUP($A694,Category!$A:$E,4,0)</f>
        <v>MS</v>
      </c>
      <c r="X694" s="47" t="str">
        <f>VLOOKUP($A694,Category!$A:$E,5,0)</f>
        <v>MSR</v>
      </c>
      <c r="Y694" s="18" t="str">
        <f>VLOOKUP(A694,PAcc!$A$1:$J$27,10,0)</f>
        <v>#N/A</v>
      </c>
      <c r="Z694" s="42" t="b">
        <f t="shared" si="4"/>
        <v>0</v>
      </c>
      <c r="AA694" s="50">
        <v>0.5</v>
      </c>
      <c r="AB694" s="42" t="str">
        <f>VLOOKUP(A694,VlookupSheet!$A$383:$A$523,1,0)</f>
        <v>#N/A</v>
      </c>
      <c r="AC694" s="42"/>
      <c r="AD694" s="42"/>
      <c r="AE694" s="42"/>
      <c r="AF694" s="42"/>
    </row>
    <row r="695">
      <c r="A695" s="11" t="s">
        <v>2730</v>
      </c>
      <c r="B695" s="24" t="s">
        <v>2731</v>
      </c>
      <c r="C695" s="25"/>
      <c r="D695" s="11">
        <f>IF(J695="7",0.8,1)</f>
        <v>1</v>
      </c>
      <c r="E695" s="11">
        <f>D695*H695</f>
        <v>40000</v>
      </c>
      <c r="F695" s="30" t="s">
        <v>311</v>
      </c>
      <c r="G695" s="11">
        <v>40000.0</v>
      </c>
      <c r="H695" s="31">
        <v>40000.0</v>
      </c>
      <c r="I695" s="11" t="s">
        <v>140</v>
      </c>
      <c r="J695" s="11" t="s">
        <v>77</v>
      </c>
      <c r="K695" s="38">
        <f t="shared" si="105"/>
        <v>1</v>
      </c>
      <c r="L695" s="18" t="s">
        <v>910</v>
      </c>
      <c r="M695" s="18" t="s">
        <v>736</v>
      </c>
      <c r="N695" s="42"/>
      <c r="O695" s="18">
        <v>0.0</v>
      </c>
      <c r="P695" s="42"/>
      <c r="Q695" s="42" t="str">
        <f>iferror(VLOOKUP(A695,'Positional cal'!A:H,1,0)=A695,"FALSE")</f>
        <v>FALSE</v>
      </c>
      <c r="R695" s="43" t="b">
        <f t="shared" si="3"/>
        <v>0</v>
      </c>
      <c r="S695" s="46">
        <f>IFERROR(VLOOKUP($A695,AlgoUi!$A:$X,21,0),"NA")</f>
        <v>6498066</v>
      </c>
      <c r="T695" s="46">
        <f>IFERROR(VLOOKUP($A695,AlgoUi!$A:$X,23,0),"")</f>
        <v>6000000</v>
      </c>
      <c r="U695" s="46">
        <f>IFERROR(VLOOKUP($A695,AlgoUi!$A:$X,24,0),"")</f>
        <v>60000</v>
      </c>
      <c r="V695" s="42" t="str">
        <f>IFERROR(__xludf.DUMMYFUNCTION("IFERROR(VLOOKUP(I695,IMPORTRANGE(""https://docs.google.com/spreadsheets/d/17FOIUYQAjPk1pPQIlvOgqYDBqwUqgb7KWzp4DtVksBk/edit?gid=0#gid=0"",""Servers!A:S""),19,FALSE), ""Not Running"")"),"MOHITC")</f>
        <v>MOHITC</v>
      </c>
      <c r="W695" s="47" t="str">
        <f>VLOOKUP($A695,Category!$A:$E,4,0)</f>
        <v>CC</v>
      </c>
      <c r="X695" s="47" t="str">
        <f>VLOOKUP($A695,Category!$A:$E,5,0)</f>
        <v>CCV</v>
      </c>
      <c r="Y695" s="18" t="str">
        <f>VLOOKUP(A695,PAcc!$A$1:$J$27,10,0)</f>
        <v>#N/A</v>
      </c>
      <c r="Z695" s="42" t="b">
        <f t="shared" si="4"/>
        <v>0</v>
      </c>
      <c r="AA695" s="50">
        <v>0.6</v>
      </c>
      <c r="AB695" s="42" t="str">
        <f>VLOOKUP(A695,VlookupSheet!$A$383:$A$523,1,0)</f>
        <v>#N/A</v>
      </c>
      <c r="AC695" s="50"/>
      <c r="AD695" s="42">
        <f t="shared" ref="AD695:AD721" si="123">S695*AA695</f>
        <v>3898839.6</v>
      </c>
      <c r="AE695" s="42">
        <f t="shared" ref="AE695:AE721" si="124">MROUND(AD695,2000000)/100</f>
        <v>40000</v>
      </c>
      <c r="AF695" s="123">
        <f t="shared" ref="AF695:AF721" si="125">AE695-H695</f>
        <v>0</v>
      </c>
    </row>
    <row r="696">
      <c r="A696" s="30" t="s">
        <v>467</v>
      </c>
      <c r="B696" s="84" t="s">
        <v>823</v>
      </c>
      <c r="C696" s="30" t="s">
        <v>77</v>
      </c>
      <c r="D696" s="11" t="s">
        <v>874</v>
      </c>
      <c r="E696" s="11">
        <f>H696*D696</f>
        <v>1800000</v>
      </c>
      <c r="F696" s="30" t="s">
        <v>311</v>
      </c>
      <c r="G696" s="31">
        <f>H696*30</f>
        <v>1800000</v>
      </c>
      <c r="H696" s="31">
        <f>iferror(VLOOKUP(A696,'Positional cal'!A:H,4,0),"Not_positional")</f>
        <v>60000</v>
      </c>
      <c r="I696" s="34" t="s">
        <v>140</v>
      </c>
      <c r="J696" s="25" t="s">
        <v>77</v>
      </c>
      <c r="K696" s="38">
        <f t="shared" si="105"/>
        <v>30</v>
      </c>
      <c r="L696" s="18" t="s">
        <v>1068</v>
      </c>
      <c r="M696" s="18" t="s">
        <v>1077</v>
      </c>
      <c r="N696" s="74"/>
      <c r="O696" s="18">
        <v>0.0</v>
      </c>
      <c r="P696" s="74"/>
      <c r="Q696" s="42" t="b">
        <f>iferror(VLOOKUP(A696,'Positional cal'!A:H,1,0)=A696,"FALSE")</f>
        <v>1</v>
      </c>
      <c r="R696" s="43" t="b">
        <f t="shared" si="3"/>
        <v>0</v>
      </c>
      <c r="S696" s="46">
        <f>IFERROR(VLOOKUP($A696,AlgoUi!$A:$X,21,0),"NA")</f>
        <v>5922655</v>
      </c>
      <c r="T696" s="46">
        <f>IFERROR(VLOOKUP($A696,AlgoUi!$A:$X,23,0),"")</f>
        <v>6000000</v>
      </c>
      <c r="U696" s="46">
        <f>IFERROR(VLOOKUP($A696,AlgoUi!$A:$X,24,0),"")</f>
        <v>60000</v>
      </c>
      <c r="V696" s="42" t="str">
        <f>IFERROR(__xludf.DUMMYFUNCTION("IFERROR(VLOOKUP(I696,IMPORTRANGE(""https://docs.google.com/spreadsheets/d/17FOIUYQAjPk1pPQIlvOgqYDBqwUqgb7KWzp4DtVksBk/edit?gid=0#gid=0"",""Servers!A:S""),19,FALSE), ""Not Running"")"),"MOHITC")</f>
        <v>MOHITC</v>
      </c>
      <c r="W696" s="47" t="str">
        <f>VLOOKUP($A696,Category!$A:$E,4,0)</f>
        <v>CC</v>
      </c>
      <c r="X696" s="47" t="str">
        <f>VLOOKUP($A696,Category!$A:$E,5,0)</f>
        <v>CCG</v>
      </c>
      <c r="Y696" s="18" t="str">
        <f>VLOOKUP(A696,PAcc!$A$1:$J$27,10,0)</f>
        <v>#N/A</v>
      </c>
      <c r="Z696" s="42" t="b">
        <f t="shared" si="4"/>
        <v>1</v>
      </c>
      <c r="AA696" s="50">
        <v>1.0</v>
      </c>
      <c r="AB696" s="25" t="str">
        <f>VLOOKUP(A696,VlookupSheet!$A$383:$A$523,1,0)</f>
        <v>87316853</v>
      </c>
      <c r="AC696" s="50">
        <v>0.3</v>
      </c>
      <c r="AD696" s="42">
        <f t="shared" si="123"/>
        <v>5922655</v>
      </c>
      <c r="AE696" s="42">
        <f t="shared" si="124"/>
        <v>60000</v>
      </c>
      <c r="AF696" s="123">
        <f t="shared" si="125"/>
        <v>0</v>
      </c>
    </row>
    <row r="697">
      <c r="A697" s="30" t="s">
        <v>1299</v>
      </c>
      <c r="B697" s="84" t="s">
        <v>1870</v>
      </c>
      <c r="C697" s="85"/>
      <c r="D697" s="11">
        <f>IF(J697="7",0.8,1)</f>
        <v>1</v>
      </c>
      <c r="E697" s="11">
        <f>D697*H697</f>
        <v>20000</v>
      </c>
      <c r="F697" s="30" t="s">
        <v>311</v>
      </c>
      <c r="G697" s="11">
        <v>20000.0</v>
      </c>
      <c r="H697" s="31">
        <v>20000.0</v>
      </c>
      <c r="I697" s="74" t="s">
        <v>140</v>
      </c>
      <c r="J697" s="25" t="s">
        <v>77</v>
      </c>
      <c r="K697" s="38">
        <f t="shared" si="105"/>
        <v>1</v>
      </c>
      <c r="L697" s="18" t="s">
        <v>910</v>
      </c>
      <c r="M697" s="18" t="s">
        <v>736</v>
      </c>
      <c r="N697" s="74"/>
      <c r="O697" s="18">
        <v>0.0</v>
      </c>
      <c r="P697" s="74"/>
      <c r="Q697" s="42" t="str">
        <f>iferror(VLOOKUP(A697,'Positional cal'!A:H,1,0)=A697,"FALSE")</f>
        <v>FALSE</v>
      </c>
      <c r="R697" s="43" t="b">
        <f t="shared" si="3"/>
        <v>0</v>
      </c>
      <c r="S697" s="46">
        <f>IFERROR(VLOOKUP($A697,AlgoUi!$A:$X,21,0),"NA")</f>
        <v>4704712</v>
      </c>
      <c r="T697" s="46">
        <f>IFERROR(VLOOKUP($A697,AlgoUi!$A:$X,23,0),"")</f>
        <v>4000000</v>
      </c>
      <c r="U697" s="46">
        <f>IFERROR(VLOOKUP($A697,AlgoUi!$A:$X,24,0),"")</f>
        <v>40000</v>
      </c>
      <c r="V697" s="42" t="str">
        <f>IFERROR(__xludf.DUMMYFUNCTION("IFERROR(VLOOKUP(I697,IMPORTRANGE(""https://docs.google.com/spreadsheets/d/17FOIUYQAjPk1pPQIlvOgqYDBqwUqgb7KWzp4DtVksBk/edit?gid=0#gid=0"",""Servers!A:S""),19,FALSE), ""Not Running"")"),"MOHITC")</f>
        <v>MOHITC</v>
      </c>
      <c r="W697" s="47" t="str">
        <f>VLOOKUP($A697,Category!$A:$E,4,0)</f>
        <v>CC</v>
      </c>
      <c r="X697" s="47" t="str">
        <f>VLOOKUP($A697,Category!$A:$E,5,0)</f>
        <v>CCV</v>
      </c>
      <c r="Y697" s="18" t="str">
        <f>VLOOKUP(A697,PAcc!$A$1:$J$27,10,0)</f>
        <v>#N/A</v>
      </c>
      <c r="Z697" s="42" t="b">
        <f t="shared" si="4"/>
        <v>0</v>
      </c>
      <c r="AA697" s="50">
        <v>0.6</v>
      </c>
      <c r="AB697" s="42" t="str">
        <f>VLOOKUP(A697,VlookupSheet!$A$383:$A$523,1,0)</f>
        <v>#N/A</v>
      </c>
      <c r="AC697" s="50"/>
      <c r="AD697" s="42">
        <f t="shared" si="123"/>
        <v>2822827.2</v>
      </c>
      <c r="AE697" s="42">
        <f t="shared" si="124"/>
        <v>20000</v>
      </c>
      <c r="AF697" s="123">
        <f t="shared" si="125"/>
        <v>0</v>
      </c>
    </row>
    <row r="698">
      <c r="A698" s="71" t="s">
        <v>216</v>
      </c>
      <c r="B698" s="84" t="s">
        <v>843</v>
      </c>
      <c r="C698" s="30" t="s">
        <v>320</v>
      </c>
      <c r="D698" s="11" t="s">
        <v>874</v>
      </c>
      <c r="E698" s="11">
        <f t="shared" ref="E698:E701" si="126">H698*D698</f>
        <v>3000000</v>
      </c>
      <c r="F698" s="30" t="s">
        <v>311</v>
      </c>
      <c r="G698" s="11">
        <v>3000000.0</v>
      </c>
      <c r="H698" s="31">
        <f>iferror(VLOOKUP(A698,'Positional cal'!A:H,4,0),"Not_positional")</f>
        <v>100000</v>
      </c>
      <c r="I698" s="34" t="s">
        <v>140</v>
      </c>
      <c r="J698" s="25" t="s">
        <v>77</v>
      </c>
      <c r="K698" s="38">
        <f t="shared" si="105"/>
        <v>30</v>
      </c>
      <c r="L698" s="18" t="s">
        <v>1068</v>
      </c>
      <c r="M698" s="18" t="s">
        <v>1059</v>
      </c>
      <c r="N698" s="34">
        <v>1.0</v>
      </c>
      <c r="O698" s="18">
        <v>0.0</v>
      </c>
      <c r="P698" s="34" t="s">
        <v>848</v>
      </c>
      <c r="Q698" s="42" t="b">
        <f>iferror(VLOOKUP(A698,'Positional cal'!A:H,1,0)=A698,"FALSE")</f>
        <v>1</v>
      </c>
      <c r="R698" s="43" t="b">
        <f t="shared" si="3"/>
        <v>0</v>
      </c>
      <c r="S698" s="46">
        <f>IFERROR(VLOOKUP($A698,AlgoUi!$A:$X,21,0),"NA")</f>
        <v>11401879</v>
      </c>
      <c r="T698" s="46">
        <f>IFERROR(VLOOKUP($A698,AlgoUi!$A:$X,23,0),"")</f>
        <v>12000000</v>
      </c>
      <c r="U698" s="46">
        <f>IFERROR(VLOOKUP($A698,AlgoUi!$A:$X,24,0),"")</f>
        <v>120000</v>
      </c>
      <c r="V698" s="42" t="str">
        <f>IFERROR(__xludf.DUMMYFUNCTION("IFERROR(VLOOKUP(I698,IMPORTRANGE(""https://docs.google.com/spreadsheets/d/17FOIUYQAjPk1pPQIlvOgqYDBqwUqgb7KWzp4DtVksBk/edit?gid=0#gid=0"",""Servers!A:S""),19,FALSE), ""Not Running"")"),"MOHITC")</f>
        <v>MOHITC</v>
      </c>
      <c r="W698" s="47" t="str">
        <f>VLOOKUP($A698,Category!$A:$E,4,0)</f>
        <v>CC</v>
      </c>
      <c r="X698" s="47" t="str">
        <f>VLOOKUP($A698,Category!$A:$E,5,0)</f>
        <v>PVT</v>
      </c>
      <c r="Y698" s="18" t="str">
        <f>VLOOKUP(A698,PAcc!$A$1:$J$27,10,0)</f>
        <v>VT Personal </v>
      </c>
      <c r="Z698" s="42" t="b">
        <f t="shared" si="4"/>
        <v>0</v>
      </c>
      <c r="AA698" s="50">
        <v>1.0</v>
      </c>
      <c r="AB698" s="25" t="str">
        <f>VLOOKUP(A698,VlookupSheet!$A$383:$A$523,1,0)</f>
        <v>92176368</v>
      </c>
      <c r="AC698" s="42"/>
      <c r="AD698" s="42">
        <f t="shared" si="123"/>
        <v>11401879</v>
      </c>
      <c r="AE698" s="42">
        <f t="shared" si="124"/>
        <v>120000</v>
      </c>
      <c r="AF698" s="123">
        <f t="shared" si="125"/>
        <v>20000</v>
      </c>
    </row>
    <row r="699">
      <c r="A699" s="11" t="s">
        <v>335</v>
      </c>
      <c r="B699" s="84" t="s">
        <v>837</v>
      </c>
      <c r="C699" s="25"/>
      <c r="D699" s="11" t="s">
        <v>874</v>
      </c>
      <c r="E699" s="11">
        <f t="shared" si="126"/>
        <v>2400000</v>
      </c>
      <c r="F699" s="30" t="s">
        <v>311</v>
      </c>
      <c r="G699" s="31">
        <f>iferror(VLOOKUP(A699,'Positional cal'!A:H,8,0),"Not_positional")</f>
        <v>163155</v>
      </c>
      <c r="H699" s="31">
        <f>iferror(VLOOKUP(A699,'Positional cal'!A:H,4,0),"Not_positional")</f>
        <v>80000</v>
      </c>
      <c r="I699" s="74" t="s">
        <v>140</v>
      </c>
      <c r="J699" s="25" t="s">
        <v>77</v>
      </c>
      <c r="K699" s="38">
        <f t="shared" si="105"/>
        <v>2.0394375</v>
      </c>
      <c r="L699" s="18" t="s">
        <v>1068</v>
      </c>
      <c r="M699" s="18" t="s">
        <v>1077</v>
      </c>
      <c r="N699" s="18"/>
      <c r="O699" s="18">
        <v>0.0</v>
      </c>
      <c r="P699" s="18"/>
      <c r="Q699" s="42" t="b">
        <f>iferror(VLOOKUP(A699,'Positional cal'!A:H,1,0)=A699,"FALSE")</f>
        <v>1</v>
      </c>
      <c r="R699" s="43" t="b">
        <f t="shared" si="3"/>
        <v>0</v>
      </c>
      <c r="S699" s="46">
        <f>IFERROR(VLOOKUP($A699,AlgoUi!$A:$X,21,0),"NA")</f>
        <v>14920272</v>
      </c>
      <c r="T699" s="46">
        <f>IFERROR(VLOOKUP($A699,AlgoUi!$A:$X,23,0),"")</f>
        <v>14000000</v>
      </c>
      <c r="U699" s="46">
        <f>IFERROR(VLOOKUP($A699,AlgoUi!$A:$X,24,0),"")</f>
        <v>140000</v>
      </c>
      <c r="V699" s="42" t="str">
        <f>IFERROR(__xludf.DUMMYFUNCTION("IFERROR(VLOOKUP(I699,IMPORTRANGE(""https://docs.google.com/spreadsheets/d/17FOIUYQAjPk1pPQIlvOgqYDBqwUqgb7KWzp4DtVksBk/edit?gid=0#gid=0"",""Servers!A:S""),19,FALSE), ""Not Running"")"),"MOHITC")</f>
        <v>MOHITC</v>
      </c>
      <c r="W699" s="47" t="str">
        <f>VLOOKUP($A699,Category!$A:$E,4,0)</f>
        <v>CC</v>
      </c>
      <c r="X699" s="47" t="str">
        <f>VLOOKUP($A699,Category!$A:$E,5,0)</f>
        <v>CCV</v>
      </c>
      <c r="Y699" s="18" t="str">
        <f>VLOOKUP(A699,PAcc!$A$1:$J$27,10,0)</f>
        <v>#N/A</v>
      </c>
      <c r="Z699" s="42" t="b">
        <f t="shared" si="4"/>
        <v>0</v>
      </c>
      <c r="AA699" s="50">
        <v>0.6</v>
      </c>
      <c r="AB699" s="25" t="str">
        <f>VLOOKUP(A699,VlookupSheet!$A$383:$A$523,1,0)</f>
        <v>75962003</v>
      </c>
      <c r="AC699" s="50"/>
      <c r="AD699" s="42">
        <f t="shared" si="123"/>
        <v>8952163.2</v>
      </c>
      <c r="AE699" s="42">
        <f t="shared" si="124"/>
        <v>80000</v>
      </c>
      <c r="AF699" s="123">
        <f t="shared" si="125"/>
        <v>0</v>
      </c>
    </row>
    <row r="700">
      <c r="A700" s="363" t="s">
        <v>805</v>
      </c>
      <c r="B700" s="84" t="s">
        <v>807</v>
      </c>
      <c r="C700" s="85"/>
      <c r="D700" s="11" t="s">
        <v>874</v>
      </c>
      <c r="E700" s="11">
        <f t="shared" si="126"/>
        <v>1200000</v>
      </c>
      <c r="F700" s="30" t="s">
        <v>311</v>
      </c>
      <c r="G700" s="31">
        <f t="shared" ref="G700:G701" si="127">H700*30</f>
        <v>1200000</v>
      </c>
      <c r="H700" s="31">
        <f>iferror(VLOOKUP(A700,'Positional cal'!A:H,4,0),"Not_positional")</f>
        <v>40000</v>
      </c>
      <c r="I700" s="74" t="s">
        <v>140</v>
      </c>
      <c r="J700" s="25" t="s">
        <v>77</v>
      </c>
      <c r="K700" s="38">
        <f t="shared" si="105"/>
        <v>30</v>
      </c>
      <c r="L700" s="18" t="s">
        <v>1068</v>
      </c>
      <c r="M700" s="18" t="s">
        <v>1077</v>
      </c>
      <c r="N700" s="74"/>
      <c r="O700" s="18">
        <v>0.0</v>
      </c>
      <c r="P700" s="74"/>
      <c r="Q700" s="42" t="b">
        <f>iferror(VLOOKUP(A700,'Positional cal'!A:H,1,0)=A700,"FALSE")</f>
        <v>1</v>
      </c>
      <c r="R700" s="43" t="b">
        <f t="shared" si="3"/>
        <v>0</v>
      </c>
      <c r="S700" s="46">
        <f>IFERROR(VLOOKUP($A700,AlgoUi!$A:$X,21,0),"NA")</f>
        <v>3980138</v>
      </c>
      <c r="T700" s="46">
        <f>IFERROR(VLOOKUP($A700,AlgoUi!$A:$X,23,0),"")</f>
        <v>4000000</v>
      </c>
      <c r="U700" s="46">
        <f>IFERROR(VLOOKUP($A700,AlgoUi!$A:$X,24,0),"")</f>
        <v>40000</v>
      </c>
      <c r="V700" s="42" t="str">
        <f>IFERROR(__xludf.DUMMYFUNCTION("IFERROR(VLOOKUP(I700,IMPORTRANGE(""https://docs.google.com/spreadsheets/d/17FOIUYQAjPk1pPQIlvOgqYDBqwUqgb7KWzp4DtVksBk/edit?gid=0#gid=0"",""Servers!A:S""),19,FALSE), ""Not Running"")"),"MOHITC")</f>
        <v>MOHITC</v>
      </c>
      <c r="W700" s="47" t="str">
        <f>VLOOKUP($A700,Category!$A:$E,4,0)</f>
        <v>CC</v>
      </c>
      <c r="X700" s="47" t="str">
        <f>VLOOKUP($A700,Category!$A:$E,5,0)</f>
        <v>CCG</v>
      </c>
      <c r="Y700" s="18" t="str">
        <f>VLOOKUP(A700,PAcc!$A$1:$J$27,10,0)</f>
        <v>#N/A</v>
      </c>
      <c r="Z700" s="42" t="b">
        <f t="shared" si="4"/>
        <v>1</v>
      </c>
      <c r="AA700" s="50">
        <v>1.0</v>
      </c>
      <c r="AB700" s="25" t="str">
        <f>VLOOKUP(A700,VlookupSheet!$A$383:$A$523,1,0)</f>
        <v>56718024</v>
      </c>
      <c r="AC700" s="50">
        <v>0.3</v>
      </c>
      <c r="AD700" s="42">
        <f t="shared" si="123"/>
        <v>3980138</v>
      </c>
      <c r="AE700" s="42">
        <f t="shared" si="124"/>
        <v>40000</v>
      </c>
      <c r="AF700" s="123">
        <f t="shared" si="125"/>
        <v>0</v>
      </c>
    </row>
    <row r="701">
      <c r="A701" s="363" t="s">
        <v>808</v>
      </c>
      <c r="B701" s="84" t="s">
        <v>809</v>
      </c>
      <c r="C701" s="85"/>
      <c r="D701" s="11" t="s">
        <v>874</v>
      </c>
      <c r="E701" s="11">
        <f t="shared" si="126"/>
        <v>1200000</v>
      </c>
      <c r="F701" s="30" t="s">
        <v>311</v>
      </c>
      <c r="G701" s="31">
        <f t="shared" si="127"/>
        <v>1200000</v>
      </c>
      <c r="H701" s="31">
        <f>iferror(VLOOKUP(A701,'Positional cal'!A:H,4,0),"Not_positional")</f>
        <v>40000</v>
      </c>
      <c r="I701" s="74" t="s">
        <v>140</v>
      </c>
      <c r="J701" s="25" t="s">
        <v>77</v>
      </c>
      <c r="K701" s="38">
        <f t="shared" si="105"/>
        <v>30</v>
      </c>
      <c r="L701" s="18" t="s">
        <v>1068</v>
      </c>
      <c r="M701" s="18" t="s">
        <v>1077</v>
      </c>
      <c r="N701" s="74"/>
      <c r="O701" s="18">
        <v>0.0</v>
      </c>
      <c r="P701" s="74"/>
      <c r="Q701" s="42" t="b">
        <f>iferror(VLOOKUP(A701,'Positional cal'!A:H,1,0)=A701,"FALSE")</f>
        <v>1</v>
      </c>
      <c r="R701" s="43" t="b">
        <f t="shared" si="3"/>
        <v>0</v>
      </c>
      <c r="S701" s="46">
        <f>IFERROR(VLOOKUP($A701,AlgoUi!$A:$X,21,0),"NA")</f>
        <v>4424678</v>
      </c>
      <c r="T701" s="46">
        <f>IFERROR(VLOOKUP($A701,AlgoUi!$A:$X,23,0),"")</f>
        <v>4000000</v>
      </c>
      <c r="U701" s="46">
        <f>IFERROR(VLOOKUP($A701,AlgoUi!$A:$X,24,0),"")</f>
        <v>40000</v>
      </c>
      <c r="V701" s="42" t="str">
        <f>IFERROR(__xludf.DUMMYFUNCTION("IFERROR(VLOOKUP(I701,IMPORTRANGE(""https://docs.google.com/spreadsheets/d/17FOIUYQAjPk1pPQIlvOgqYDBqwUqgb7KWzp4DtVksBk/edit?gid=0#gid=0"",""Servers!A:S""),19,FALSE), ""Not Running"")"),"MOHITC")</f>
        <v>MOHITC</v>
      </c>
      <c r="W701" s="47" t="str">
        <f>VLOOKUP($A701,Category!$A:$E,4,0)</f>
        <v>CC</v>
      </c>
      <c r="X701" s="47" t="str">
        <f>VLOOKUP($A701,Category!$A:$E,5,0)</f>
        <v>CCG</v>
      </c>
      <c r="Y701" s="18" t="str">
        <f>VLOOKUP(A701,PAcc!$A$1:$J$27,10,0)</f>
        <v>#N/A</v>
      </c>
      <c r="Z701" s="42" t="b">
        <f t="shared" si="4"/>
        <v>1</v>
      </c>
      <c r="AA701" s="50">
        <v>1.0</v>
      </c>
      <c r="AB701" s="25" t="str">
        <f>VLOOKUP(A701,VlookupSheet!$A$383:$A$523,1,0)</f>
        <v>82930874</v>
      </c>
      <c r="AC701" s="50">
        <v>0.3</v>
      </c>
      <c r="AD701" s="42">
        <f t="shared" si="123"/>
        <v>4424678</v>
      </c>
      <c r="AE701" s="42">
        <f t="shared" si="124"/>
        <v>40000</v>
      </c>
      <c r="AF701" s="123">
        <f t="shared" si="125"/>
        <v>0</v>
      </c>
    </row>
    <row r="702">
      <c r="A702" s="30" t="s">
        <v>1245</v>
      </c>
      <c r="B702" s="84" t="s">
        <v>2028</v>
      </c>
      <c r="C702" s="85"/>
      <c r="D702" s="11">
        <f>IF(J702="7",0.8,1)</f>
        <v>1</v>
      </c>
      <c r="E702" s="11">
        <f>D702*H702</f>
        <v>40000</v>
      </c>
      <c r="F702" s="30" t="s">
        <v>311</v>
      </c>
      <c r="G702" s="11">
        <v>40000.0</v>
      </c>
      <c r="H702" s="31">
        <v>40000.0</v>
      </c>
      <c r="I702" s="74" t="s">
        <v>140</v>
      </c>
      <c r="J702" s="25" t="s">
        <v>77</v>
      </c>
      <c r="K702" s="38">
        <f t="shared" si="105"/>
        <v>1</v>
      </c>
      <c r="L702" s="18" t="s">
        <v>910</v>
      </c>
      <c r="M702" s="18" t="s">
        <v>736</v>
      </c>
      <c r="N702" s="74"/>
      <c r="O702" s="18">
        <v>0.0</v>
      </c>
      <c r="P702" s="74"/>
      <c r="Q702" s="42" t="str">
        <f>iferror(VLOOKUP(A702,'Positional cal'!A:H,1,0)=A702,"FALSE")</f>
        <v>FALSE</v>
      </c>
      <c r="R702" s="43" t="b">
        <f t="shared" si="3"/>
        <v>1</v>
      </c>
      <c r="S702" s="46">
        <f>IFERROR(VLOOKUP($A702,AlgoUi!$A:$X,21,0),"NA")</f>
        <v>4087852</v>
      </c>
      <c r="T702" s="46">
        <f>IFERROR(VLOOKUP($A702,AlgoUi!$A:$X,23,0),"")</f>
        <v>4000000</v>
      </c>
      <c r="U702" s="46">
        <f>IFERROR(VLOOKUP($A702,AlgoUi!$A:$X,24,0),"")</f>
        <v>40000</v>
      </c>
      <c r="V702" s="42" t="str">
        <f>IFERROR(__xludf.DUMMYFUNCTION("IFERROR(VLOOKUP(I702,IMPORTRANGE(""https://docs.google.com/spreadsheets/d/17FOIUYQAjPk1pPQIlvOgqYDBqwUqgb7KWzp4DtVksBk/edit?gid=0#gid=0"",""Servers!A:S""),19,FALSE), ""Not Running"")"),"MOHITC")</f>
        <v>MOHITC</v>
      </c>
      <c r="W702" s="47" t="str">
        <f>VLOOKUP($A702,Category!$A:$E,4,0)</f>
        <v>CC</v>
      </c>
      <c r="X702" s="47" t="str">
        <f>VLOOKUP($A702,Category!$A:$E,5,0)</f>
        <v>CCG</v>
      </c>
      <c r="Y702" s="18" t="str">
        <f>VLOOKUP(A702,PAcc!$A$1:$J$27,10,0)</f>
        <v>#N/A</v>
      </c>
      <c r="Z702" s="42" t="b">
        <f t="shared" si="4"/>
        <v>1</v>
      </c>
      <c r="AA702" s="50">
        <v>1.0</v>
      </c>
      <c r="AB702" s="42" t="str">
        <f>VLOOKUP(A702,VlookupSheet!$A$383:$A$523,1,0)</f>
        <v>#N/A</v>
      </c>
      <c r="AC702" s="50">
        <v>0.01</v>
      </c>
      <c r="AD702" s="42">
        <f t="shared" si="123"/>
        <v>4087852</v>
      </c>
      <c r="AE702" s="42">
        <f t="shared" si="124"/>
        <v>40000</v>
      </c>
      <c r="AF702" s="123">
        <f t="shared" si="125"/>
        <v>0</v>
      </c>
    </row>
    <row r="703">
      <c r="A703" s="363" t="s">
        <v>810</v>
      </c>
      <c r="B703" s="84" t="s">
        <v>811</v>
      </c>
      <c r="C703" s="85"/>
      <c r="D703" s="11" t="s">
        <v>874</v>
      </c>
      <c r="E703" s="11">
        <f t="shared" ref="E703:E710" si="128">H703*D703</f>
        <v>1800000</v>
      </c>
      <c r="F703" s="30" t="s">
        <v>311</v>
      </c>
      <c r="G703" s="31">
        <f t="shared" ref="G703:G709" si="129">H703*30</f>
        <v>1800000</v>
      </c>
      <c r="H703" s="31">
        <f>iferror(VLOOKUP(A703,'Positional cal'!A:H,4,0),"Not_positional")</f>
        <v>60000</v>
      </c>
      <c r="I703" s="74" t="s">
        <v>140</v>
      </c>
      <c r="J703" s="25" t="s">
        <v>77</v>
      </c>
      <c r="K703" s="38">
        <f t="shared" si="105"/>
        <v>30</v>
      </c>
      <c r="L703" s="18" t="s">
        <v>1068</v>
      </c>
      <c r="M703" s="18" t="s">
        <v>1077</v>
      </c>
      <c r="N703" s="74"/>
      <c r="O703" s="18">
        <v>0.0</v>
      </c>
      <c r="P703" s="74"/>
      <c r="Q703" s="42" t="b">
        <f>iferror(VLOOKUP(A703,'Positional cal'!A:H,1,0)=A703,"FALSE")</f>
        <v>1</v>
      </c>
      <c r="R703" s="43" t="b">
        <f t="shared" si="3"/>
        <v>0</v>
      </c>
      <c r="S703" s="46">
        <f>IFERROR(VLOOKUP($A703,AlgoUi!$A:$X,21,0),"NA")</f>
        <v>5247103</v>
      </c>
      <c r="T703" s="46">
        <f>IFERROR(VLOOKUP($A703,AlgoUi!$A:$X,23,0),"")</f>
        <v>6000000</v>
      </c>
      <c r="U703" s="46">
        <f>IFERROR(VLOOKUP($A703,AlgoUi!$A:$X,24,0),"")</f>
        <v>60000</v>
      </c>
      <c r="V703" s="42" t="str">
        <f>IFERROR(__xludf.DUMMYFUNCTION("IFERROR(VLOOKUP(I703,IMPORTRANGE(""https://docs.google.com/spreadsheets/d/17FOIUYQAjPk1pPQIlvOgqYDBqwUqgb7KWzp4DtVksBk/edit?gid=0#gid=0"",""Servers!A:S""),19,FALSE), ""Not Running"")"),"MOHITC")</f>
        <v>MOHITC</v>
      </c>
      <c r="W703" s="47" t="str">
        <f>VLOOKUP($A703,Category!$A:$E,4,0)</f>
        <v>CC</v>
      </c>
      <c r="X703" s="47" t="str">
        <f>VLOOKUP($A703,Category!$A:$E,5,0)</f>
        <v>CCG</v>
      </c>
      <c r="Y703" s="18" t="str">
        <f>VLOOKUP(A703,PAcc!$A$1:$J$27,10,0)</f>
        <v>#N/A</v>
      </c>
      <c r="Z703" s="42" t="b">
        <f t="shared" si="4"/>
        <v>1</v>
      </c>
      <c r="AA703" s="50">
        <v>1.0</v>
      </c>
      <c r="AB703" s="25" t="str">
        <f>VLOOKUP(A703,VlookupSheet!$A$383:$A$523,1,0)</f>
        <v>72881081</v>
      </c>
      <c r="AC703" s="50">
        <v>0.3</v>
      </c>
      <c r="AD703" s="42">
        <f t="shared" si="123"/>
        <v>5247103</v>
      </c>
      <c r="AE703" s="42">
        <f t="shared" si="124"/>
        <v>60000</v>
      </c>
      <c r="AF703" s="123">
        <f t="shared" si="125"/>
        <v>0</v>
      </c>
    </row>
    <row r="704">
      <c r="A704" s="363" t="s">
        <v>815</v>
      </c>
      <c r="B704" s="84" t="s">
        <v>816</v>
      </c>
      <c r="C704" s="85"/>
      <c r="D704" s="11" t="s">
        <v>874</v>
      </c>
      <c r="E704" s="11">
        <f t="shared" si="128"/>
        <v>1200000</v>
      </c>
      <c r="F704" s="30" t="s">
        <v>311</v>
      </c>
      <c r="G704" s="31">
        <f t="shared" si="129"/>
        <v>1200000</v>
      </c>
      <c r="H704" s="31">
        <f>iferror(VLOOKUP(A704,'Positional cal'!A:H,4,0),"Not_positional")</f>
        <v>40000</v>
      </c>
      <c r="I704" s="74" t="s">
        <v>140</v>
      </c>
      <c r="J704" s="25" t="s">
        <v>77</v>
      </c>
      <c r="K704" s="38">
        <f t="shared" si="105"/>
        <v>30</v>
      </c>
      <c r="L704" s="18" t="s">
        <v>1068</v>
      </c>
      <c r="M704" s="18" t="s">
        <v>1077</v>
      </c>
      <c r="N704" s="74"/>
      <c r="O704" s="18">
        <v>0.0</v>
      </c>
      <c r="P704" s="74"/>
      <c r="Q704" s="42" t="b">
        <f>iferror(VLOOKUP(A704,'Positional cal'!A:H,1,0)=A704,"FALSE")</f>
        <v>1</v>
      </c>
      <c r="R704" s="43" t="b">
        <f t="shared" si="3"/>
        <v>0</v>
      </c>
      <c r="S704" s="46">
        <f>IFERROR(VLOOKUP($A704,AlgoUi!$A:$X,21,0),"NA")</f>
        <v>4856400</v>
      </c>
      <c r="T704" s="46">
        <f>IFERROR(VLOOKUP($A704,AlgoUi!$A:$X,23,0),"")</f>
        <v>4000000</v>
      </c>
      <c r="U704" s="46">
        <f>IFERROR(VLOOKUP($A704,AlgoUi!$A:$X,24,0),"")</f>
        <v>40000</v>
      </c>
      <c r="V704" s="42" t="str">
        <f>IFERROR(__xludf.DUMMYFUNCTION("IFERROR(VLOOKUP(I704,IMPORTRANGE(""https://docs.google.com/spreadsheets/d/17FOIUYQAjPk1pPQIlvOgqYDBqwUqgb7KWzp4DtVksBk/edit?gid=0#gid=0"",""Servers!A:S""),19,FALSE), ""Not Running"")"),"MOHITC")</f>
        <v>MOHITC</v>
      </c>
      <c r="W704" s="47" t="str">
        <f>VLOOKUP($A704,Category!$A:$E,4,0)</f>
        <v>CC</v>
      </c>
      <c r="X704" s="47" t="str">
        <f>VLOOKUP($A704,Category!$A:$E,5,0)</f>
        <v>CCG</v>
      </c>
      <c r="Y704" s="18" t="str">
        <f>VLOOKUP(A704,PAcc!$A$1:$J$27,10,0)</f>
        <v>#N/A</v>
      </c>
      <c r="Z704" s="42" t="b">
        <f t="shared" si="4"/>
        <v>1</v>
      </c>
      <c r="AA704" s="50">
        <v>1.0</v>
      </c>
      <c r="AB704" s="25" t="str">
        <f>VLOOKUP(A704,VlookupSheet!$A$383:$A$523,1,0)</f>
        <v>27344149</v>
      </c>
      <c r="AC704" s="50">
        <v>0.3</v>
      </c>
      <c r="AD704" s="42">
        <f t="shared" si="123"/>
        <v>4856400</v>
      </c>
      <c r="AE704" s="42">
        <f t="shared" si="124"/>
        <v>40000</v>
      </c>
      <c r="AF704" s="123">
        <f t="shared" si="125"/>
        <v>0</v>
      </c>
    </row>
    <row r="705">
      <c r="A705" s="11" t="s">
        <v>321</v>
      </c>
      <c r="B705" s="84" t="s">
        <v>802</v>
      </c>
      <c r="C705" s="25"/>
      <c r="D705" s="11" t="s">
        <v>874</v>
      </c>
      <c r="E705" s="11">
        <f t="shared" si="128"/>
        <v>1800000</v>
      </c>
      <c r="F705" s="30" t="s">
        <v>311</v>
      </c>
      <c r="G705" s="31">
        <f t="shared" si="129"/>
        <v>1800000</v>
      </c>
      <c r="H705" s="31">
        <f>iferror(VLOOKUP(A705,'Positional cal'!A:H,4,0),"Not_positional")</f>
        <v>60000</v>
      </c>
      <c r="I705" s="74" t="s">
        <v>140</v>
      </c>
      <c r="J705" s="25" t="s">
        <v>77</v>
      </c>
      <c r="K705" s="38">
        <f t="shared" si="105"/>
        <v>30</v>
      </c>
      <c r="L705" s="18" t="s">
        <v>1068</v>
      </c>
      <c r="M705" s="18" t="s">
        <v>1077</v>
      </c>
      <c r="N705" s="42"/>
      <c r="O705" s="18">
        <v>0.0</v>
      </c>
      <c r="P705" s="42"/>
      <c r="Q705" s="42" t="b">
        <f>iferror(VLOOKUP(A705,'Positional cal'!A:H,1,0)=A705,"FALSE")</f>
        <v>1</v>
      </c>
      <c r="R705" s="43" t="b">
        <f t="shared" si="3"/>
        <v>0</v>
      </c>
      <c r="S705" s="46">
        <f>IFERROR(VLOOKUP($A705,AlgoUi!$A:$X,21,0),"NA")</f>
        <v>6895543</v>
      </c>
      <c r="T705" s="46">
        <f>IFERROR(VLOOKUP($A705,AlgoUi!$A:$X,23,0),"")</f>
        <v>6000000</v>
      </c>
      <c r="U705" s="46">
        <f>IFERROR(VLOOKUP($A705,AlgoUi!$A:$X,24,0),"")</f>
        <v>60000</v>
      </c>
      <c r="V705" s="42" t="str">
        <f>IFERROR(__xludf.DUMMYFUNCTION("IFERROR(VLOOKUP(I705,IMPORTRANGE(""https://docs.google.com/spreadsheets/d/17FOIUYQAjPk1pPQIlvOgqYDBqwUqgb7KWzp4DtVksBk/edit?gid=0#gid=0"",""Servers!A:S""),19,FALSE), ""Not Running"")"),"MOHITC")</f>
        <v>MOHITC</v>
      </c>
      <c r="W705" s="47" t="str">
        <f>VLOOKUP($A705,Category!$A:$E,4,0)</f>
        <v>CC</v>
      </c>
      <c r="X705" s="47" t="str">
        <f>VLOOKUP($A705,Category!$A:$E,5,0)</f>
        <v>CCG</v>
      </c>
      <c r="Y705" s="18" t="str">
        <f>VLOOKUP(A705,PAcc!$A$1:$J$27,10,0)</f>
        <v>#N/A</v>
      </c>
      <c r="Z705" s="42" t="b">
        <f t="shared" si="4"/>
        <v>1</v>
      </c>
      <c r="AA705" s="50">
        <v>1.0</v>
      </c>
      <c r="AB705" s="25" t="str">
        <f>VLOOKUP(A705,VlookupSheet!$A$383:$A$523,1,0)</f>
        <v>99972022</v>
      </c>
      <c r="AC705" s="50">
        <v>0.3</v>
      </c>
      <c r="AD705" s="42">
        <f t="shared" si="123"/>
        <v>6895543</v>
      </c>
      <c r="AE705" s="42">
        <f t="shared" si="124"/>
        <v>60000</v>
      </c>
      <c r="AF705" s="123">
        <f t="shared" si="125"/>
        <v>0</v>
      </c>
    </row>
    <row r="706">
      <c r="A706" s="30" t="s">
        <v>477</v>
      </c>
      <c r="B706" s="24" t="s">
        <v>842</v>
      </c>
      <c r="C706" s="25"/>
      <c r="D706" s="11" t="s">
        <v>874</v>
      </c>
      <c r="E706" s="11">
        <f t="shared" si="128"/>
        <v>3600000</v>
      </c>
      <c r="F706" s="30" t="s">
        <v>311</v>
      </c>
      <c r="G706" s="31">
        <f t="shared" si="129"/>
        <v>3600000</v>
      </c>
      <c r="H706" s="31">
        <f>iferror(VLOOKUP(A706,'Positional cal'!A:H,4,0),"Not_positional")</f>
        <v>120000</v>
      </c>
      <c r="I706" s="74" t="s">
        <v>140</v>
      </c>
      <c r="J706" s="25" t="s">
        <v>77</v>
      </c>
      <c r="K706" s="38">
        <f t="shared" si="105"/>
        <v>30</v>
      </c>
      <c r="L706" s="18" t="s">
        <v>1068</v>
      </c>
      <c r="M706" s="18" t="s">
        <v>1059</v>
      </c>
      <c r="N706" s="42"/>
      <c r="O706" s="18">
        <v>0.0</v>
      </c>
      <c r="P706" s="42"/>
      <c r="Q706" s="42" t="b">
        <f>iferror(VLOOKUP(A706,'Positional cal'!A:H,1,0)=A706,"FALSE")</f>
        <v>1</v>
      </c>
      <c r="R706" s="43" t="b">
        <f t="shared" si="3"/>
        <v>0</v>
      </c>
      <c r="S706" s="46">
        <f>IFERROR(VLOOKUP($A706,AlgoUi!$A:$X,21,0),"NA")</f>
        <v>12516893</v>
      </c>
      <c r="T706" s="46">
        <f>IFERROR(VLOOKUP($A706,AlgoUi!$A:$X,23,0),"")</f>
        <v>12000000</v>
      </c>
      <c r="U706" s="46">
        <f>IFERROR(VLOOKUP($A706,AlgoUi!$A:$X,24,0),"")</f>
        <v>120000</v>
      </c>
      <c r="V706" s="42" t="str">
        <f>IFERROR(__xludf.DUMMYFUNCTION("IFERROR(VLOOKUP(I706,IMPORTRANGE(""https://docs.google.com/spreadsheets/d/17FOIUYQAjPk1pPQIlvOgqYDBqwUqgb7KWzp4DtVksBk/edit?gid=0#gid=0"",""Servers!A:S""),19,FALSE), ""Not Running"")"),"MOHITC")</f>
        <v>MOHITC</v>
      </c>
      <c r="W706" s="47" t="str">
        <f>VLOOKUP($A706,Category!$A:$E,4,0)</f>
        <v>CC</v>
      </c>
      <c r="X706" s="47" t="str">
        <f>VLOOKUP($A706,Category!$A:$E,5,0)</f>
        <v>CCG</v>
      </c>
      <c r="Y706" s="18" t="str">
        <f>VLOOKUP(A706,PAcc!$A$1:$J$27,10,0)</f>
        <v>#N/A</v>
      </c>
      <c r="Z706" s="42" t="b">
        <f t="shared" si="4"/>
        <v>1</v>
      </c>
      <c r="AA706" s="50">
        <v>1.0</v>
      </c>
      <c r="AB706" s="25" t="str">
        <f>VLOOKUP(A706,VlookupSheet!$A$383:$A$523,1,0)</f>
        <v>18400763</v>
      </c>
      <c r="AC706" s="50">
        <v>0.3</v>
      </c>
      <c r="AD706" s="42">
        <f t="shared" si="123"/>
        <v>12516893</v>
      </c>
      <c r="AE706" s="42">
        <f t="shared" si="124"/>
        <v>120000</v>
      </c>
      <c r="AF706" s="123">
        <f t="shared" si="125"/>
        <v>0</v>
      </c>
    </row>
    <row r="707">
      <c r="A707" s="30" t="s">
        <v>516</v>
      </c>
      <c r="B707" s="84" t="s">
        <v>824</v>
      </c>
      <c r="C707" s="85"/>
      <c r="D707" s="11" t="s">
        <v>874</v>
      </c>
      <c r="E707" s="11">
        <f t="shared" si="128"/>
        <v>1800000</v>
      </c>
      <c r="F707" s="30" t="s">
        <v>311</v>
      </c>
      <c r="G707" s="31">
        <f t="shared" si="129"/>
        <v>1800000</v>
      </c>
      <c r="H707" s="31">
        <f>iferror(VLOOKUP(A707,'Positional cal'!A:H,4,0),"Not_positional")</f>
        <v>60000</v>
      </c>
      <c r="I707" s="74" t="s">
        <v>140</v>
      </c>
      <c r="J707" s="25" t="s">
        <v>77</v>
      </c>
      <c r="K707" s="38">
        <f t="shared" si="105"/>
        <v>30</v>
      </c>
      <c r="L707" s="18" t="s">
        <v>1068</v>
      </c>
      <c r="M707" s="18" t="s">
        <v>1077</v>
      </c>
      <c r="N707" s="74"/>
      <c r="O707" s="18">
        <v>0.0</v>
      </c>
      <c r="P707" s="74"/>
      <c r="Q707" s="42" t="b">
        <f>iferror(VLOOKUP(A707,'Positional cal'!A:H,1,0)=A707,"FALSE")</f>
        <v>1</v>
      </c>
      <c r="R707" s="43" t="b">
        <f t="shared" si="3"/>
        <v>0</v>
      </c>
      <c r="S707" s="46">
        <f>IFERROR(VLOOKUP($A707,AlgoUi!$A:$X,21,0),"NA")</f>
        <v>5563025</v>
      </c>
      <c r="T707" s="46">
        <f>IFERROR(VLOOKUP($A707,AlgoUi!$A:$X,23,0),"")</f>
        <v>6000000</v>
      </c>
      <c r="U707" s="46">
        <f>IFERROR(VLOOKUP($A707,AlgoUi!$A:$X,24,0),"")</f>
        <v>60000</v>
      </c>
      <c r="V707" s="42" t="str">
        <f>IFERROR(__xludf.DUMMYFUNCTION("IFERROR(VLOOKUP(I707,IMPORTRANGE(""https://docs.google.com/spreadsheets/d/17FOIUYQAjPk1pPQIlvOgqYDBqwUqgb7KWzp4DtVksBk/edit?gid=0#gid=0"",""Servers!A:S""),19,FALSE), ""Not Running"")"),"MOHITC")</f>
        <v>MOHITC</v>
      </c>
      <c r="W707" s="47" t="str">
        <f>VLOOKUP($A707,Category!$A:$E,4,0)</f>
        <v>CC</v>
      </c>
      <c r="X707" s="47" t="str">
        <f>VLOOKUP($A707,Category!$A:$E,5,0)</f>
        <v>CCG</v>
      </c>
      <c r="Y707" s="18" t="str">
        <f>VLOOKUP(A707,PAcc!$A$1:$J$27,10,0)</f>
        <v>#N/A</v>
      </c>
      <c r="Z707" s="42" t="b">
        <f t="shared" si="4"/>
        <v>1</v>
      </c>
      <c r="AA707" s="50">
        <v>1.0</v>
      </c>
      <c r="AB707" s="25" t="str">
        <f>VLOOKUP(A707,VlookupSheet!$A$383:$A$523,1,0)</f>
        <v>35300800</v>
      </c>
      <c r="AC707" s="50">
        <v>0.3</v>
      </c>
      <c r="AD707" s="42">
        <f t="shared" si="123"/>
        <v>5563025</v>
      </c>
      <c r="AE707" s="42">
        <f t="shared" si="124"/>
        <v>60000</v>
      </c>
      <c r="AF707" s="123">
        <f t="shared" si="125"/>
        <v>0</v>
      </c>
    </row>
    <row r="708">
      <c r="A708" s="11" t="s">
        <v>526</v>
      </c>
      <c r="B708" s="84" t="s">
        <v>803</v>
      </c>
      <c r="C708" s="25"/>
      <c r="D708" s="11" t="s">
        <v>874</v>
      </c>
      <c r="E708" s="11">
        <f t="shared" si="128"/>
        <v>1800000</v>
      </c>
      <c r="F708" s="30" t="s">
        <v>311</v>
      </c>
      <c r="G708" s="31">
        <f t="shared" si="129"/>
        <v>1800000</v>
      </c>
      <c r="H708" s="31">
        <f>iferror(VLOOKUP(A708,'Positional cal'!A:H,4,0),"Not_positional")</f>
        <v>60000</v>
      </c>
      <c r="I708" s="74" t="s">
        <v>140</v>
      </c>
      <c r="J708" s="25" t="s">
        <v>77</v>
      </c>
      <c r="K708" s="38">
        <f t="shared" si="105"/>
        <v>30</v>
      </c>
      <c r="L708" s="18" t="s">
        <v>1068</v>
      </c>
      <c r="M708" s="18" t="s">
        <v>1077</v>
      </c>
      <c r="N708" s="42"/>
      <c r="O708" s="18">
        <v>0.0</v>
      </c>
      <c r="P708" s="42"/>
      <c r="Q708" s="42" t="b">
        <f>iferror(VLOOKUP(A708,'Positional cal'!A:H,1,0)=A708,"FALSE")</f>
        <v>1</v>
      </c>
      <c r="R708" s="43" t="b">
        <f t="shared" si="3"/>
        <v>0</v>
      </c>
      <c r="S708" s="46">
        <f>IFERROR(VLOOKUP($A708,AlgoUi!$A:$X,21,0),"NA")</f>
        <v>6731682</v>
      </c>
      <c r="T708" s="46">
        <f>IFERROR(VLOOKUP($A708,AlgoUi!$A:$X,23,0),"")</f>
        <v>6000000</v>
      </c>
      <c r="U708" s="46">
        <f>IFERROR(VLOOKUP($A708,AlgoUi!$A:$X,24,0),"")</f>
        <v>60000</v>
      </c>
      <c r="V708" s="42" t="str">
        <f>IFERROR(__xludf.DUMMYFUNCTION("IFERROR(VLOOKUP(I708,IMPORTRANGE(""https://docs.google.com/spreadsheets/d/17FOIUYQAjPk1pPQIlvOgqYDBqwUqgb7KWzp4DtVksBk/edit?gid=0#gid=0"",""Servers!A:S""),19,FALSE), ""Not Running"")"),"MOHITC")</f>
        <v>MOHITC</v>
      </c>
      <c r="W708" s="47" t="str">
        <f>VLOOKUP($A708,Category!$A:$E,4,0)</f>
        <v>CC</v>
      </c>
      <c r="X708" s="47" t="str">
        <f>VLOOKUP($A708,Category!$A:$E,5,0)</f>
        <v>CCG</v>
      </c>
      <c r="Y708" s="18" t="str">
        <f>VLOOKUP(A708,PAcc!$A$1:$J$27,10,0)</f>
        <v>#N/A</v>
      </c>
      <c r="Z708" s="42" t="b">
        <f t="shared" si="4"/>
        <v>1</v>
      </c>
      <c r="AA708" s="50">
        <v>1.0</v>
      </c>
      <c r="AB708" s="25" t="str">
        <f>VLOOKUP(A708,VlookupSheet!$A$383:$A$523,1,0)</f>
        <v>15524387</v>
      </c>
      <c r="AC708" s="50">
        <v>0.3</v>
      </c>
      <c r="AD708" s="42">
        <f t="shared" si="123"/>
        <v>6731682</v>
      </c>
      <c r="AE708" s="42">
        <f t="shared" si="124"/>
        <v>60000</v>
      </c>
      <c r="AF708" s="123">
        <f t="shared" si="125"/>
        <v>0</v>
      </c>
    </row>
    <row r="709">
      <c r="A709" s="363" t="s">
        <v>818</v>
      </c>
      <c r="B709" s="84" t="s">
        <v>819</v>
      </c>
      <c r="D709" s="11" t="s">
        <v>874</v>
      </c>
      <c r="E709" s="11">
        <f t="shared" si="128"/>
        <v>600000</v>
      </c>
      <c r="F709" s="30" t="s">
        <v>311</v>
      </c>
      <c r="G709" s="31">
        <f t="shared" si="129"/>
        <v>600000</v>
      </c>
      <c r="H709" s="31">
        <f>iferror(VLOOKUP(A709,'Positional cal'!A:H,4,0),"Not_positional")</f>
        <v>20000</v>
      </c>
      <c r="I709" s="74" t="s">
        <v>140</v>
      </c>
      <c r="J709" s="25" t="s">
        <v>77</v>
      </c>
      <c r="K709" s="38">
        <f t="shared" si="105"/>
        <v>30</v>
      </c>
      <c r="L709" s="18" t="s">
        <v>1068</v>
      </c>
      <c r="M709" s="18" t="s">
        <v>1077</v>
      </c>
      <c r="Q709" s="42" t="b">
        <f>iferror(VLOOKUP(A709,'Positional cal'!A:H,1,0)=A709,"FALSE")</f>
        <v>1</v>
      </c>
      <c r="R709" s="43" t="b">
        <f t="shared" si="3"/>
        <v>0</v>
      </c>
      <c r="S709" s="46">
        <f>IFERROR(VLOOKUP($A709,AlgoUi!$A:$X,21,0),"NA")</f>
        <v>2987559</v>
      </c>
      <c r="T709" s="46">
        <f>IFERROR(VLOOKUP($A709,AlgoUi!$A:$X,23,0),"")</f>
        <v>2000000</v>
      </c>
      <c r="U709" s="46">
        <f>IFERROR(VLOOKUP($A709,AlgoUi!$A:$X,24,0),"")</f>
        <v>20000</v>
      </c>
      <c r="V709" s="42" t="str">
        <f>IFERROR(__xludf.DUMMYFUNCTION("IFERROR(VLOOKUP(I709,IMPORTRANGE(""https://docs.google.com/spreadsheets/d/17FOIUYQAjPk1pPQIlvOgqYDBqwUqgb7KWzp4DtVksBk/edit?gid=0#gid=0"",""Servers!A:S""),19,FALSE), ""Not Running"")"),"MOHITC")</f>
        <v>MOHITC</v>
      </c>
      <c r="W709" s="47" t="str">
        <f>VLOOKUP($A709,Category!$A:$E,4,0)</f>
        <v>CC</v>
      </c>
      <c r="X709" s="47" t="str">
        <f>VLOOKUP($A709,Category!$A:$E,5,0)</f>
        <v>CCG</v>
      </c>
      <c r="Y709" s="18" t="str">
        <f>VLOOKUP(A709,PAcc!$A$1:$J$27,10,0)</f>
        <v>#N/A</v>
      </c>
      <c r="Z709" s="42" t="b">
        <f t="shared" si="4"/>
        <v>1</v>
      </c>
      <c r="AA709" s="50">
        <v>1.0</v>
      </c>
      <c r="AB709" s="25" t="str">
        <f>VLOOKUP(A709,VlookupSheet!$A$383:$A$523,1,0)</f>
        <v>17055796</v>
      </c>
      <c r="AC709" s="50">
        <v>0.3</v>
      </c>
      <c r="AD709" s="42">
        <f t="shared" si="123"/>
        <v>2987559</v>
      </c>
      <c r="AE709" s="42">
        <f t="shared" si="124"/>
        <v>20000</v>
      </c>
      <c r="AF709" s="123">
        <f t="shared" si="125"/>
        <v>0</v>
      </c>
    </row>
    <row r="710">
      <c r="A710" s="11" t="s">
        <v>797</v>
      </c>
      <c r="B710" s="24" t="s">
        <v>798</v>
      </c>
      <c r="C710" s="25"/>
      <c r="D710" s="11" t="s">
        <v>874</v>
      </c>
      <c r="E710" s="11">
        <f t="shared" si="128"/>
        <v>3000000</v>
      </c>
      <c r="F710" s="71" t="s">
        <v>311</v>
      </c>
      <c r="G710" s="11">
        <v>3000000.0</v>
      </c>
      <c r="H710" s="31">
        <f>iferror(VLOOKUP(A710,'Positional cal'!A:H,4,0),"Not_positional")</f>
        <v>100000</v>
      </c>
      <c r="I710" s="42" t="s">
        <v>140</v>
      </c>
      <c r="J710" s="25" t="s">
        <v>77</v>
      </c>
      <c r="K710" s="38">
        <f t="shared" si="105"/>
        <v>30</v>
      </c>
      <c r="L710" s="18" t="s">
        <v>1068</v>
      </c>
      <c r="M710" s="18" t="s">
        <v>1077</v>
      </c>
      <c r="N710" s="42"/>
      <c r="O710" s="18">
        <v>0.0</v>
      </c>
      <c r="P710" s="42"/>
      <c r="Q710" s="42" t="b">
        <f>iferror(VLOOKUP(A710,'Positional cal'!A:H,1,0)=A710,"FALSE")</f>
        <v>1</v>
      </c>
      <c r="R710" s="43" t="b">
        <f t="shared" si="3"/>
        <v>0</v>
      </c>
      <c r="S710" s="46">
        <f>IFERROR(VLOOKUP($A710,AlgoUi!$A:$X,21,0),"NA")</f>
        <v>9760407</v>
      </c>
      <c r="T710" s="46">
        <f>IFERROR(VLOOKUP($A710,AlgoUi!$A:$X,23,0),"")</f>
        <v>10000000</v>
      </c>
      <c r="U710" s="46">
        <f>IFERROR(VLOOKUP($A710,AlgoUi!$A:$X,24,0),"")</f>
        <v>100000</v>
      </c>
      <c r="V710" s="42" t="str">
        <f>IFERROR(__xludf.DUMMYFUNCTION("IFERROR(VLOOKUP(I710,IMPORTRANGE(""https://docs.google.com/spreadsheets/d/17FOIUYQAjPk1pPQIlvOgqYDBqwUqgb7KWzp4DtVksBk/edit?gid=0#gid=0"",""Servers!A:S""),19,FALSE), ""Not Running"")"),"MOHITC")</f>
        <v>MOHITC</v>
      </c>
      <c r="W710" s="47" t="str">
        <f>VLOOKUP($A710,Category!$A:$E,4,0)</f>
        <v>CC</v>
      </c>
      <c r="X710" s="47" t="str">
        <f>VLOOKUP($A710,Category!$A:$E,5,0)</f>
        <v>PVT</v>
      </c>
      <c r="Y710" s="18" t="str">
        <f>VLOOKUP(A710,PAcc!$A$1:$J$27,10,0)</f>
        <v>VT Personal</v>
      </c>
      <c r="Z710" s="42" t="b">
        <f t="shared" si="4"/>
        <v>1</v>
      </c>
      <c r="AA710" s="50">
        <v>1.0</v>
      </c>
      <c r="AB710" s="25" t="str">
        <f>VLOOKUP(A710,VlookupSheet!$A$383:$A$523,1,0)</f>
        <v>55910733</v>
      </c>
      <c r="AC710" s="42"/>
      <c r="AD710" s="42">
        <f t="shared" si="123"/>
        <v>9760407</v>
      </c>
      <c r="AE710" s="42">
        <f t="shared" si="124"/>
        <v>100000</v>
      </c>
      <c r="AF710" s="123">
        <f t="shared" si="125"/>
        <v>0</v>
      </c>
    </row>
    <row r="711">
      <c r="A711" s="84" t="s">
        <v>2295</v>
      </c>
      <c r="B711" s="84" t="s">
        <v>3147</v>
      </c>
      <c r="C711" s="85"/>
      <c r="D711" s="11">
        <f t="shared" ref="D711:D713" si="130">IF(J711="7",0.8,1)</f>
        <v>1</v>
      </c>
      <c r="E711" s="11">
        <f t="shared" ref="E711:E713" si="131">D711*H711</f>
        <v>300000</v>
      </c>
      <c r="F711" s="11" t="s">
        <v>85</v>
      </c>
      <c r="G711" s="11">
        <v>300000.0</v>
      </c>
      <c r="H711" s="31">
        <v>300000.0</v>
      </c>
      <c r="I711" s="74" t="s">
        <v>140</v>
      </c>
      <c r="J711" s="25" t="s">
        <v>77</v>
      </c>
      <c r="K711" s="38">
        <f t="shared" si="105"/>
        <v>1</v>
      </c>
      <c r="L711" s="18" t="s">
        <v>910</v>
      </c>
      <c r="M711" s="18" t="s">
        <v>736</v>
      </c>
      <c r="N711" s="34">
        <v>3.0</v>
      </c>
      <c r="O711" s="18">
        <v>0.0</v>
      </c>
      <c r="P711" s="18" t="s">
        <v>942</v>
      </c>
      <c r="Q711" s="42" t="str">
        <f>iferror(VLOOKUP(A711,'Positional cal'!A:H,1,0)=A711,"FALSE")</f>
        <v>FALSE</v>
      </c>
      <c r="R711" s="43" t="b">
        <f t="shared" si="3"/>
        <v>1</v>
      </c>
      <c r="S711" s="46">
        <f>IFERROR(VLOOKUP($A711,AlgoUi!$A:$X,21,0),"NA")</f>
        <v>30000000</v>
      </c>
      <c r="T711" s="46">
        <f>IFERROR(VLOOKUP($A711,AlgoUi!$A:$X,23,0),"")</f>
        <v>30000000</v>
      </c>
      <c r="U711" s="46">
        <f>IFERROR(VLOOKUP($A711,AlgoUi!$A:$X,24,0),"")</f>
        <v>300000</v>
      </c>
      <c r="V711" s="42" t="str">
        <f>IFERROR(__xludf.DUMMYFUNCTION("IFERROR(VLOOKUP(I711,IMPORTRANGE(""https://docs.google.com/spreadsheets/d/17FOIUYQAjPk1pPQIlvOgqYDBqwUqgb7KWzp4DtVksBk/edit?gid=0#gid=0"",""Servers!A:S""),19,FALSE), ""Not Running"")"),"MOHITC")</f>
        <v>MOHITC</v>
      </c>
      <c r="W711" s="47" t="str">
        <f>VLOOKUP($A711,Category!$A:$E,4,0)</f>
        <v>CC</v>
      </c>
      <c r="X711" s="47" t="str">
        <f>VLOOKUP($A711,Category!$A:$E,5,0)</f>
        <v>CC</v>
      </c>
      <c r="Y711" s="18" t="str">
        <f>VLOOKUP(A711,PAcc!$A$1:$J$27,10,0)</f>
        <v>#N/A</v>
      </c>
      <c r="Z711" s="42" t="b">
        <f t="shared" si="4"/>
        <v>1</v>
      </c>
      <c r="AA711" s="50">
        <v>1.0</v>
      </c>
      <c r="AB711" s="42" t="str">
        <f>VLOOKUP(A711,VlookupSheet!$A$383:$A$523,1,0)</f>
        <v>#N/A</v>
      </c>
      <c r="AC711" s="50">
        <v>0.01</v>
      </c>
      <c r="AD711" s="42">
        <f t="shared" si="123"/>
        <v>30000000</v>
      </c>
      <c r="AE711" s="42">
        <f t="shared" si="124"/>
        <v>300000</v>
      </c>
      <c r="AF711" s="123">
        <f t="shared" si="125"/>
        <v>0</v>
      </c>
    </row>
    <row r="712">
      <c r="A712" s="30" t="s">
        <v>1327</v>
      </c>
      <c r="B712" s="84" t="s">
        <v>2501</v>
      </c>
      <c r="C712" s="85"/>
      <c r="D712" s="11">
        <f t="shared" si="130"/>
        <v>1</v>
      </c>
      <c r="E712" s="11">
        <f t="shared" si="131"/>
        <v>200000</v>
      </c>
      <c r="F712" s="30" t="s">
        <v>297</v>
      </c>
      <c r="G712" s="11">
        <v>200000.0</v>
      </c>
      <c r="H712" s="31">
        <v>200000.0</v>
      </c>
      <c r="I712" s="74" t="s">
        <v>140</v>
      </c>
      <c r="J712" s="25" t="s">
        <v>77</v>
      </c>
      <c r="K712" s="38">
        <f t="shared" si="105"/>
        <v>1</v>
      </c>
      <c r="L712" s="18" t="s">
        <v>910</v>
      </c>
      <c r="M712" s="18" t="s">
        <v>736</v>
      </c>
      <c r="N712" s="18">
        <v>2.0</v>
      </c>
      <c r="O712" s="18">
        <v>0.0</v>
      </c>
      <c r="P712" s="34" t="s">
        <v>911</v>
      </c>
      <c r="Q712" s="42" t="str">
        <f>iferror(VLOOKUP(A712,'Positional cal'!A:H,1,0)=A712,"FALSE")</f>
        <v>FALSE</v>
      </c>
      <c r="R712" s="43" t="b">
        <f t="shared" si="3"/>
        <v>1</v>
      </c>
      <c r="S712" s="46">
        <f>IFERROR(VLOOKUP($A712,AlgoUi!$A:$X,21,0),"NA")</f>
        <v>20000000</v>
      </c>
      <c r="T712" s="46">
        <f>IFERROR(VLOOKUP($A712,AlgoUi!$A:$X,23,0),"")</f>
        <v>20000000</v>
      </c>
      <c r="U712" s="46">
        <f>IFERROR(VLOOKUP($A712,AlgoUi!$A:$X,24,0),"")</f>
        <v>200000</v>
      </c>
      <c r="V712" s="42" t="str">
        <f>IFERROR(__xludf.DUMMYFUNCTION("IFERROR(VLOOKUP(I712,IMPORTRANGE(""https://docs.google.com/spreadsheets/d/17FOIUYQAjPk1pPQIlvOgqYDBqwUqgb7KWzp4DtVksBk/edit?gid=0#gid=0"",""Servers!A:S""),19,FALSE), ""Not Running"")"),"MOHITC")</f>
        <v>MOHITC</v>
      </c>
      <c r="W712" s="47" t="str">
        <f>VLOOKUP($A712,Category!$A:$E,4,0)</f>
        <v>CC</v>
      </c>
      <c r="X712" s="47" t="str">
        <f>VLOOKUP($A712,Category!$A:$E,5,0)</f>
        <v>CCG</v>
      </c>
      <c r="Y712" s="18" t="str">
        <f>VLOOKUP(A712,PAcc!$A$1:$J$27,10,0)</f>
        <v>#N/A</v>
      </c>
      <c r="Z712" s="42" t="b">
        <f t="shared" si="4"/>
        <v>1</v>
      </c>
      <c r="AA712" s="50">
        <v>1.0</v>
      </c>
      <c r="AB712" s="42" t="str">
        <f>VLOOKUP(A712,VlookupSheet!$A$383:$A$523,1,0)</f>
        <v>#N/A</v>
      </c>
      <c r="AC712" s="50">
        <v>0.01</v>
      </c>
      <c r="AD712" s="42">
        <f t="shared" si="123"/>
        <v>20000000</v>
      </c>
      <c r="AE712" s="42">
        <f t="shared" si="124"/>
        <v>200000</v>
      </c>
      <c r="AF712" s="123">
        <f t="shared" si="125"/>
        <v>0</v>
      </c>
    </row>
    <row r="713">
      <c r="A713" s="11" t="s">
        <v>563</v>
      </c>
      <c r="B713" s="84" t="s">
        <v>3095</v>
      </c>
      <c r="C713" s="25"/>
      <c r="D713" s="11">
        <f t="shared" si="130"/>
        <v>1</v>
      </c>
      <c r="E713" s="11">
        <f t="shared" si="131"/>
        <v>240000</v>
      </c>
      <c r="F713" s="11" t="s">
        <v>1283</v>
      </c>
      <c r="G713" s="11">
        <v>240000.0</v>
      </c>
      <c r="H713" s="31">
        <v>240000.0</v>
      </c>
      <c r="I713" s="74" t="s">
        <v>140</v>
      </c>
      <c r="J713" s="25" t="s">
        <v>77</v>
      </c>
      <c r="K713" s="38">
        <f t="shared" si="105"/>
        <v>1</v>
      </c>
      <c r="L713" s="18" t="s">
        <v>910</v>
      </c>
      <c r="M713" s="18" t="s">
        <v>736</v>
      </c>
      <c r="N713" s="34">
        <v>4.0</v>
      </c>
      <c r="O713" s="18">
        <v>0.0</v>
      </c>
      <c r="P713" s="34" t="s">
        <v>814</v>
      </c>
      <c r="Q713" s="42" t="str">
        <f>iferror(VLOOKUP(A713,'Positional cal'!A:H,1,0)=A713,"FALSE")</f>
        <v>FALSE</v>
      </c>
      <c r="R713" s="43" t="b">
        <f t="shared" si="3"/>
        <v>0</v>
      </c>
      <c r="S713" s="46">
        <f>IFERROR(VLOOKUP($A713,AlgoUi!$A:$X,21,0),"NA")</f>
        <v>40000000</v>
      </c>
      <c r="T713" s="46">
        <f>IFERROR(VLOOKUP($A713,AlgoUi!$A:$X,23,0),"")</f>
        <v>40000000</v>
      </c>
      <c r="U713" s="46">
        <f>IFERROR(VLOOKUP($A713,AlgoUi!$A:$X,24,0),"")</f>
        <v>400000</v>
      </c>
      <c r="V713" s="42" t="str">
        <f>IFERROR(__xludf.DUMMYFUNCTION("IFERROR(VLOOKUP(I713,IMPORTRANGE(""https://docs.google.com/spreadsheets/d/17FOIUYQAjPk1pPQIlvOgqYDBqwUqgb7KWzp4DtVksBk/edit?gid=0#gid=0"",""Servers!A:S""),19,FALSE), ""Not Running"")"),"MOHITC")</f>
        <v>MOHITC</v>
      </c>
      <c r="W713" s="47" t="str">
        <f>VLOOKUP($A713,Category!$A:$E,4,0)</f>
        <v>CC</v>
      </c>
      <c r="X713" s="47" t="str">
        <f>VLOOKUP($A713,Category!$A:$E,5,0)</f>
        <v>CCV</v>
      </c>
      <c r="Y713" s="18" t="str">
        <f>VLOOKUP(A713,PAcc!$A$1:$J$27,10,0)</f>
        <v>#N/A</v>
      </c>
      <c r="Z713" s="42" t="b">
        <f t="shared" si="4"/>
        <v>0</v>
      </c>
      <c r="AA713" s="50">
        <v>0.6</v>
      </c>
      <c r="AB713" s="42" t="str">
        <f>VLOOKUP(A713,VlookupSheet!$A$383:$A$523,1,0)</f>
        <v>#N/A</v>
      </c>
      <c r="AC713" s="50"/>
      <c r="AD713" s="42">
        <f t="shared" si="123"/>
        <v>24000000</v>
      </c>
      <c r="AE713" s="42">
        <f t="shared" si="124"/>
        <v>240000</v>
      </c>
      <c r="AF713" s="123">
        <f t="shared" si="125"/>
        <v>0</v>
      </c>
    </row>
    <row r="714">
      <c r="A714" s="30" t="s">
        <v>222</v>
      </c>
      <c r="B714" s="84" t="s">
        <v>836</v>
      </c>
      <c r="C714" s="85"/>
      <c r="D714" s="11" t="s">
        <v>874</v>
      </c>
      <c r="E714" s="11">
        <f t="shared" ref="E714:E717" si="132">H714*D714</f>
        <v>2400000</v>
      </c>
      <c r="F714" s="30" t="s">
        <v>311</v>
      </c>
      <c r="G714" s="31">
        <f>iferror(VLOOKUP(A714,'Positional cal'!A:H,8,0),"Not_positional")</f>
        <v>163139</v>
      </c>
      <c r="H714" s="31">
        <f>iferror(VLOOKUP(A714,'Positional cal'!A:H,4,0),"Not_positional")</f>
        <v>80000</v>
      </c>
      <c r="I714" s="74" t="s">
        <v>140</v>
      </c>
      <c r="J714" s="25" t="s">
        <v>77</v>
      </c>
      <c r="K714" s="38">
        <f t="shared" si="105"/>
        <v>2.0392375</v>
      </c>
      <c r="L714" s="18" t="s">
        <v>1068</v>
      </c>
      <c r="M714" s="18" t="s">
        <v>1077</v>
      </c>
      <c r="N714" s="74"/>
      <c r="O714" s="18">
        <v>0.0</v>
      </c>
      <c r="P714" s="74"/>
      <c r="Q714" s="42" t="b">
        <f>iferror(VLOOKUP(A714,'Positional cal'!A:H,1,0)=A714,"FALSE")</f>
        <v>1</v>
      </c>
      <c r="R714" s="43" t="b">
        <f t="shared" si="3"/>
        <v>0</v>
      </c>
      <c r="S714" s="46">
        <f>IFERROR(VLOOKUP($A714,AlgoUi!$A:$X,21,0),"NA")</f>
        <v>12132739</v>
      </c>
      <c r="T714" s="46">
        <f>IFERROR(VLOOKUP($A714,AlgoUi!$A:$X,23,0),"")</f>
        <v>12000000</v>
      </c>
      <c r="U714" s="46">
        <f>IFERROR(VLOOKUP($A714,AlgoUi!$A:$X,24,0),"")</f>
        <v>120000</v>
      </c>
      <c r="V714" s="42" t="str">
        <f>IFERROR(__xludf.DUMMYFUNCTION("IFERROR(VLOOKUP(I714,IMPORTRANGE(""https://docs.google.com/spreadsheets/d/17FOIUYQAjPk1pPQIlvOgqYDBqwUqgb7KWzp4DtVksBk/edit?gid=0#gid=0"",""Servers!A:S""),19,FALSE), ""Not Running"")"),"MOHITC")</f>
        <v>MOHITC</v>
      </c>
      <c r="W714" s="47" t="str">
        <f>VLOOKUP($A714,Category!$A:$E,4,0)</f>
        <v>CC</v>
      </c>
      <c r="X714" s="47" t="str">
        <f>VLOOKUP($A714,Category!$A:$E,5,0)</f>
        <v>CCV</v>
      </c>
      <c r="Y714" s="18" t="str">
        <f>VLOOKUP(A714,PAcc!$A$1:$J$27,10,0)</f>
        <v>#N/A</v>
      </c>
      <c r="Z714" s="42" t="b">
        <f t="shared" si="4"/>
        <v>0</v>
      </c>
      <c r="AA714" s="50">
        <v>0.6</v>
      </c>
      <c r="AB714" s="25" t="str">
        <f>VLOOKUP(A714,VlookupSheet!$A$383:$A$523,1,0)</f>
        <v>SPAN0050</v>
      </c>
      <c r="AC714" s="50"/>
      <c r="AD714" s="42">
        <f t="shared" si="123"/>
        <v>7279643.4</v>
      </c>
      <c r="AE714" s="42">
        <f t="shared" si="124"/>
        <v>80000</v>
      </c>
      <c r="AF714" s="123">
        <f t="shared" si="125"/>
        <v>0</v>
      </c>
    </row>
    <row r="715">
      <c r="A715" s="30" t="s">
        <v>282</v>
      </c>
      <c r="B715" s="84" t="s">
        <v>828</v>
      </c>
      <c r="C715" s="85"/>
      <c r="D715" s="11" t="s">
        <v>874</v>
      </c>
      <c r="E715" s="11">
        <f t="shared" si="132"/>
        <v>3600000</v>
      </c>
      <c r="F715" s="30" t="s">
        <v>311</v>
      </c>
      <c r="G715" s="11">
        <v>3600000.0</v>
      </c>
      <c r="H715" s="31">
        <f>iferror(VLOOKUP(A715,'Positional cal'!A:H,4,0),"Not_positional")</f>
        <v>120000</v>
      </c>
      <c r="I715" s="74" t="s">
        <v>140</v>
      </c>
      <c r="J715" s="25" t="s">
        <v>77</v>
      </c>
      <c r="K715" s="38">
        <f t="shared" si="105"/>
        <v>30</v>
      </c>
      <c r="L715" s="18" t="s">
        <v>1068</v>
      </c>
      <c r="M715" s="18" t="s">
        <v>1059</v>
      </c>
      <c r="N715" s="74"/>
      <c r="O715" s="74"/>
      <c r="P715" s="74"/>
      <c r="Q715" s="42" t="b">
        <f>iferror(VLOOKUP(A715,'Positional cal'!A:H,1,0)=A715,"FALSE")</f>
        <v>1</v>
      </c>
      <c r="R715" s="43" t="b">
        <f t="shared" si="3"/>
        <v>0</v>
      </c>
      <c r="S715" s="46">
        <f>IFERROR(VLOOKUP($A715,AlgoUi!$A:$X,21,0),"NA")</f>
        <v>12660317</v>
      </c>
      <c r="T715" s="46">
        <f>IFERROR(VLOOKUP($A715,AlgoUi!$A:$X,23,0),"")</f>
        <v>12000000</v>
      </c>
      <c r="U715" s="46">
        <f>IFERROR(VLOOKUP($A715,AlgoUi!$A:$X,24,0),"")</f>
        <v>120000</v>
      </c>
      <c r="V715" s="42" t="str">
        <f>IFERROR(__xludf.DUMMYFUNCTION("IFERROR(VLOOKUP(I715,IMPORTRANGE(""https://docs.google.com/spreadsheets/d/17FOIUYQAjPk1pPQIlvOgqYDBqwUqgb7KWzp4DtVksBk/edit?gid=0#gid=0"",""Servers!A:S""),19,FALSE), ""Not Running"")"),"MOHITC")</f>
        <v>MOHITC</v>
      </c>
      <c r="W715" s="47" t="str">
        <f>VLOOKUP($A715,Category!$A:$E,4,0)</f>
        <v>CC</v>
      </c>
      <c r="X715" s="47" t="str">
        <f>VLOOKUP($A715,Category!$A:$E,5,0)</f>
        <v>PVT</v>
      </c>
      <c r="Y715" s="18" t="str">
        <f>VLOOKUP(A715,PAcc!$A$1:$J$27,10,0)</f>
        <v>VT Personal </v>
      </c>
      <c r="Z715" s="42" t="b">
        <f t="shared" si="4"/>
        <v>1</v>
      </c>
      <c r="AA715" s="50">
        <v>1.0</v>
      </c>
      <c r="AB715" s="25" t="str">
        <f>VLOOKUP(A715,VlookupSheet!$A$383:$A$523,1,0)</f>
        <v>MAMIT782</v>
      </c>
      <c r="AC715" s="42"/>
      <c r="AD715" s="42">
        <f t="shared" si="123"/>
        <v>12660317</v>
      </c>
      <c r="AE715" s="42">
        <f t="shared" si="124"/>
        <v>120000</v>
      </c>
      <c r="AF715" s="123">
        <f t="shared" si="125"/>
        <v>0</v>
      </c>
    </row>
    <row r="716">
      <c r="A716" s="30" t="s">
        <v>314</v>
      </c>
      <c r="B716" s="84" t="s">
        <v>830</v>
      </c>
      <c r="C716" s="30" t="s">
        <v>320</v>
      </c>
      <c r="D716" s="11" t="s">
        <v>874</v>
      </c>
      <c r="E716" s="11">
        <f t="shared" si="132"/>
        <v>2400000</v>
      </c>
      <c r="F716" s="30" t="s">
        <v>311</v>
      </c>
      <c r="G716" s="31">
        <f>iferror(VLOOKUP(A716,'Positional cal'!A:H,8,0),"Not_positional")</f>
        <v>163177</v>
      </c>
      <c r="H716" s="31">
        <f>iferror(VLOOKUP(A716,'Positional cal'!A:H,4,0),"Not_positional")</f>
        <v>80000</v>
      </c>
      <c r="I716" s="74" t="s">
        <v>140</v>
      </c>
      <c r="J716" s="25" t="s">
        <v>77</v>
      </c>
      <c r="K716" s="38">
        <f t="shared" si="105"/>
        <v>2.0397125</v>
      </c>
      <c r="L716" s="18" t="s">
        <v>1068</v>
      </c>
      <c r="M716" s="18" t="s">
        <v>1077</v>
      </c>
      <c r="N716" s="74"/>
      <c r="O716" s="18">
        <v>0.0</v>
      </c>
      <c r="P716" s="74"/>
      <c r="Q716" s="42" t="b">
        <f>iferror(VLOOKUP(A716,'Positional cal'!A:H,1,0)=A716,"FALSE")</f>
        <v>1</v>
      </c>
      <c r="R716" s="43" t="b">
        <f t="shared" si="3"/>
        <v>0</v>
      </c>
      <c r="S716" s="46">
        <f>IFERROR(VLOOKUP($A716,AlgoUi!$A:$X,21,0),"NA")</f>
        <v>12735791</v>
      </c>
      <c r="T716" s="46">
        <f>IFERROR(VLOOKUP($A716,AlgoUi!$A:$X,23,0),"")</f>
        <v>12000000</v>
      </c>
      <c r="U716" s="46">
        <f>IFERROR(VLOOKUP($A716,AlgoUi!$A:$X,24,0),"")</f>
        <v>120000</v>
      </c>
      <c r="V716" s="42" t="str">
        <f>IFERROR(__xludf.DUMMYFUNCTION("IFERROR(VLOOKUP(I716,IMPORTRANGE(""https://docs.google.com/spreadsheets/d/17FOIUYQAjPk1pPQIlvOgqYDBqwUqgb7KWzp4DtVksBk/edit?gid=0#gid=0"",""Servers!A:S""),19,FALSE), ""Not Running"")"),"MOHITC")</f>
        <v>MOHITC</v>
      </c>
      <c r="W716" s="47" t="str">
        <f>VLOOKUP($A716,Category!$A:$E,4,0)</f>
        <v>CC</v>
      </c>
      <c r="X716" s="47" t="str">
        <f>VLOOKUP($A716,Category!$A:$E,5,0)</f>
        <v>CCV</v>
      </c>
      <c r="Y716" s="18" t="str">
        <f>VLOOKUP(A716,PAcc!$A$1:$J$27,10,0)</f>
        <v>#N/A</v>
      </c>
      <c r="Z716" s="42" t="b">
        <f t="shared" si="4"/>
        <v>0</v>
      </c>
      <c r="AA716" s="50">
        <v>0.6</v>
      </c>
      <c r="AB716" s="25" t="str">
        <f>VLOOKUP(A716,VlookupSheet!$A$383:$A$523,1,0)</f>
        <v>AMITHUFB</v>
      </c>
      <c r="AC716" s="50"/>
      <c r="AD716" s="42">
        <f t="shared" si="123"/>
        <v>7641474.6</v>
      </c>
      <c r="AE716" s="42">
        <f t="shared" si="124"/>
        <v>80000</v>
      </c>
      <c r="AF716" s="123">
        <f t="shared" si="125"/>
        <v>0</v>
      </c>
    </row>
    <row r="717">
      <c r="A717" s="30" t="s">
        <v>274</v>
      </c>
      <c r="B717" s="84" t="s">
        <v>831</v>
      </c>
      <c r="C717" s="30" t="s">
        <v>320</v>
      </c>
      <c r="D717" s="11" t="s">
        <v>874</v>
      </c>
      <c r="E717" s="11">
        <f t="shared" si="132"/>
        <v>2400000</v>
      </c>
      <c r="F717" s="30" t="s">
        <v>311</v>
      </c>
      <c r="G717" s="31">
        <f>iferror(VLOOKUP(A717,'Positional cal'!A:H,8,0),"Not_positional")</f>
        <v>163126</v>
      </c>
      <c r="H717" s="31">
        <f>iferror(VLOOKUP(A717,'Positional cal'!A:H,4,0),"Not_positional")</f>
        <v>80000</v>
      </c>
      <c r="I717" s="74" t="s">
        <v>140</v>
      </c>
      <c r="J717" s="25" t="s">
        <v>77</v>
      </c>
      <c r="K717" s="38">
        <f t="shared" si="105"/>
        <v>2.039075</v>
      </c>
      <c r="L717" s="18" t="s">
        <v>1068</v>
      </c>
      <c r="M717" s="18" t="s">
        <v>1077</v>
      </c>
      <c r="N717" s="74"/>
      <c r="O717" s="18">
        <v>0.0</v>
      </c>
      <c r="P717" s="74"/>
      <c r="Q717" s="42" t="b">
        <f>iferror(VLOOKUP(A717,'Positional cal'!A:H,1,0)=A717,"FALSE")</f>
        <v>1</v>
      </c>
      <c r="R717" s="43" t="b">
        <f t="shared" si="3"/>
        <v>0</v>
      </c>
      <c r="S717" s="46">
        <f>IFERROR(VLOOKUP($A717,AlgoUi!$A:$X,21,0),"NA")</f>
        <v>14085085</v>
      </c>
      <c r="T717" s="46">
        <f>IFERROR(VLOOKUP($A717,AlgoUi!$A:$X,23,0),"")</f>
        <v>14000000</v>
      </c>
      <c r="U717" s="46">
        <f>IFERROR(VLOOKUP($A717,AlgoUi!$A:$X,24,0),"")</f>
        <v>140000</v>
      </c>
      <c r="V717" s="42" t="str">
        <f>IFERROR(__xludf.DUMMYFUNCTION("IFERROR(VLOOKUP(I717,IMPORTRANGE(""https://docs.google.com/spreadsheets/d/17FOIUYQAjPk1pPQIlvOgqYDBqwUqgb7KWzp4DtVksBk/edit?gid=0#gid=0"",""Servers!A:S""),19,FALSE), ""Not Running"")"),"MOHITC")</f>
        <v>MOHITC</v>
      </c>
      <c r="W717" s="47" t="str">
        <f>VLOOKUP($A717,Category!$A:$E,4,0)</f>
        <v>CC</v>
      </c>
      <c r="X717" s="47" t="str">
        <f>VLOOKUP($A717,Category!$A:$E,5,0)</f>
        <v>CCV</v>
      </c>
      <c r="Y717" s="18" t="str">
        <f>VLOOKUP(A717,PAcc!$A$1:$J$27,10,0)</f>
        <v>#N/A</v>
      </c>
      <c r="Z717" s="42" t="b">
        <f t="shared" si="4"/>
        <v>0</v>
      </c>
      <c r="AA717" s="50">
        <v>0.6</v>
      </c>
      <c r="AB717" s="25" t="str">
        <f>VLOOKUP(A717,VlookupSheet!$A$383:$A$523,1,0)</f>
        <v>MMILIND7</v>
      </c>
      <c r="AC717" s="50">
        <v>0.3</v>
      </c>
      <c r="AD717" s="42">
        <f t="shared" si="123"/>
        <v>8451051</v>
      </c>
      <c r="AE717" s="42">
        <f t="shared" si="124"/>
        <v>80000</v>
      </c>
      <c r="AF717" s="123">
        <f t="shared" si="125"/>
        <v>0</v>
      </c>
    </row>
    <row r="718">
      <c r="A718" s="11" t="s">
        <v>2711</v>
      </c>
      <c r="B718" s="24" t="s">
        <v>3475</v>
      </c>
      <c r="C718" s="25"/>
      <c r="D718" s="11">
        <f t="shared" ref="D718:D721" si="133">IF(J718="7",0.8,1)</f>
        <v>1</v>
      </c>
      <c r="E718" s="11">
        <f t="shared" ref="E718:E721" si="134">D718*H718</f>
        <v>60000</v>
      </c>
      <c r="F718" s="11" t="s">
        <v>317</v>
      </c>
      <c r="G718" s="11">
        <v>60000.0</v>
      </c>
      <c r="H718" s="31">
        <v>60000.0</v>
      </c>
      <c r="I718" s="42" t="s">
        <v>140</v>
      </c>
      <c r="J718" s="25" t="s">
        <v>77</v>
      </c>
      <c r="K718" s="38">
        <f t="shared" si="105"/>
        <v>1</v>
      </c>
      <c r="L718" s="18" t="s">
        <v>910</v>
      </c>
      <c r="M718" s="18" t="s">
        <v>736</v>
      </c>
      <c r="N718" s="18"/>
      <c r="O718" s="18">
        <v>0.0</v>
      </c>
      <c r="P718" s="18"/>
      <c r="Q718" s="42" t="str">
        <f>iferror(VLOOKUP(A718,'Positional cal'!A:H,1,0)=A718,"FALSE")</f>
        <v>FALSE</v>
      </c>
      <c r="R718" s="43" t="b">
        <f t="shared" si="3"/>
        <v>0</v>
      </c>
      <c r="S718" s="46">
        <f>IFERROR(VLOOKUP($A718,AlgoUi!$A:$X,21,0),"NA")</f>
        <v>10000000</v>
      </c>
      <c r="T718" s="46">
        <f>IFERROR(VLOOKUP($A718,AlgoUi!$A:$X,23,0),"")</f>
        <v>10000000</v>
      </c>
      <c r="U718" s="46">
        <f>IFERROR(VLOOKUP($A718,AlgoUi!$A:$X,24,0),"")</f>
        <v>100000</v>
      </c>
      <c r="V718" s="42" t="str">
        <f>IFERROR(__xludf.DUMMYFUNCTION("IFERROR(VLOOKUP(I718,IMPORTRANGE(""https://docs.google.com/spreadsheets/d/17FOIUYQAjPk1pPQIlvOgqYDBqwUqgb7KWzp4DtVksBk/edit?gid=0#gid=0"",""Servers!A:S""),19,FALSE), ""Not Running"")"),"MOHITC")</f>
        <v>MOHITC</v>
      </c>
      <c r="W718" s="47" t="str">
        <f>VLOOKUP($A718,Category!$A:$E,4,0)</f>
        <v>CC</v>
      </c>
      <c r="X718" s="47" t="str">
        <f>VLOOKUP($A718,Category!$A:$E,5,0)</f>
        <v>CCV</v>
      </c>
      <c r="Y718" s="18" t="str">
        <f>VLOOKUP(A718,PAcc!$A$1:$J$27,10,0)</f>
        <v>#N/A</v>
      </c>
      <c r="Z718" s="42" t="b">
        <f t="shared" si="4"/>
        <v>0</v>
      </c>
      <c r="AA718" s="50">
        <v>0.6</v>
      </c>
      <c r="AB718" s="42" t="str">
        <f>VLOOKUP(A718,VlookupSheet!$A$383:$A$523,1,0)</f>
        <v>#N/A</v>
      </c>
      <c r="AC718" s="50"/>
      <c r="AD718" s="42">
        <f t="shared" si="123"/>
        <v>6000000</v>
      </c>
      <c r="AE718" s="42">
        <f t="shared" si="124"/>
        <v>60000</v>
      </c>
      <c r="AF718" s="123">
        <f t="shared" si="125"/>
        <v>0</v>
      </c>
    </row>
    <row r="719">
      <c r="A719" s="11" t="s">
        <v>141</v>
      </c>
      <c r="B719" s="84" t="s">
        <v>3150</v>
      </c>
      <c r="C719" s="25"/>
      <c r="D719" s="11">
        <f t="shared" si="133"/>
        <v>1</v>
      </c>
      <c r="E719" s="11">
        <f t="shared" si="134"/>
        <v>80000</v>
      </c>
      <c r="F719" s="11" t="s">
        <v>3926</v>
      </c>
      <c r="G719" s="11">
        <v>80000.0</v>
      </c>
      <c r="H719" s="31">
        <v>80000.0</v>
      </c>
      <c r="I719" s="18" t="s">
        <v>140</v>
      </c>
      <c r="J719" s="25" t="s">
        <v>77</v>
      </c>
      <c r="K719" s="38">
        <f t="shared" si="105"/>
        <v>1</v>
      </c>
      <c r="L719" s="18" t="s">
        <v>910</v>
      </c>
      <c r="M719" s="18" t="s">
        <v>736</v>
      </c>
      <c r="N719" s="18">
        <v>1.2</v>
      </c>
      <c r="O719" s="18">
        <v>0.0</v>
      </c>
      <c r="P719" s="18" t="s">
        <v>3927</v>
      </c>
      <c r="Q719" s="42" t="str">
        <f>iferror(VLOOKUP(A719,'Positional cal'!A:H,1,0)=A719,"FALSE")</f>
        <v>FALSE</v>
      </c>
      <c r="R719" s="43" t="b">
        <f t="shared" si="3"/>
        <v>0</v>
      </c>
      <c r="S719" s="46">
        <f>IFERROR(VLOOKUP($A719,AlgoUi!$A:$X,21,0),"NA")</f>
        <v>12600000</v>
      </c>
      <c r="T719" s="46">
        <f>IFERROR(VLOOKUP($A719,AlgoUi!$A:$X,23,0),"")</f>
        <v>12000000</v>
      </c>
      <c r="U719" s="46">
        <f>IFERROR(VLOOKUP($A719,AlgoUi!$A:$X,24,0),"")</f>
        <v>120000</v>
      </c>
      <c r="V719" s="42" t="str">
        <f>IFERROR(__xludf.DUMMYFUNCTION("IFERROR(VLOOKUP(I719,IMPORTRANGE(""https://docs.google.com/spreadsheets/d/17FOIUYQAjPk1pPQIlvOgqYDBqwUqgb7KWzp4DtVksBk/edit?gid=0#gid=0"",""Servers!A:S""),19,FALSE), ""Not Running"")"),"MOHITC")</f>
        <v>MOHITC</v>
      </c>
      <c r="W719" s="47" t="str">
        <f>VLOOKUP($A719,Category!$A:$E,4,0)</f>
        <v>CC</v>
      </c>
      <c r="X719" s="47" t="str">
        <f>VLOOKUP($A719,Category!$A:$E,5,0)</f>
        <v>CCV</v>
      </c>
      <c r="Y719" s="18" t="str">
        <f>VLOOKUP(A719,PAcc!$A$1:$J$27,10,0)</f>
        <v>#N/A</v>
      </c>
      <c r="Z719" s="42" t="b">
        <f t="shared" si="4"/>
        <v>0</v>
      </c>
      <c r="AA719" s="50">
        <v>0.6</v>
      </c>
      <c r="AB719" s="42" t="str">
        <f>VLOOKUP(A719,VlookupSheet!$A$383:$A$523,1,0)</f>
        <v>#N/A</v>
      </c>
      <c r="AC719" s="50"/>
      <c r="AD719" s="42">
        <f t="shared" si="123"/>
        <v>7560000</v>
      </c>
      <c r="AE719" s="42">
        <f t="shared" si="124"/>
        <v>80000</v>
      </c>
      <c r="AF719" s="123">
        <f t="shared" si="125"/>
        <v>0</v>
      </c>
    </row>
    <row r="720">
      <c r="A720" s="11" t="s">
        <v>2970</v>
      </c>
      <c r="B720" s="24" t="s">
        <v>2728</v>
      </c>
      <c r="C720" s="25"/>
      <c r="D720" s="11">
        <f t="shared" si="133"/>
        <v>1</v>
      </c>
      <c r="E720" s="11">
        <f t="shared" si="134"/>
        <v>20000</v>
      </c>
      <c r="F720" s="30" t="s">
        <v>311</v>
      </c>
      <c r="G720" s="11">
        <v>20000.0</v>
      </c>
      <c r="H720" s="31">
        <v>20000.0</v>
      </c>
      <c r="I720" s="18" t="s">
        <v>140</v>
      </c>
      <c r="J720" s="25" t="s">
        <v>77</v>
      </c>
      <c r="K720" s="38">
        <f t="shared" si="105"/>
        <v>1</v>
      </c>
      <c r="L720" s="18" t="s">
        <v>910</v>
      </c>
      <c r="M720" s="18" t="s">
        <v>736</v>
      </c>
      <c r="O720" s="18">
        <v>0.0</v>
      </c>
      <c r="Q720" s="42" t="str">
        <f>iferror(VLOOKUP(A720,'Positional cal'!A:H,1,0)=A720,"FALSE")</f>
        <v>FALSE</v>
      </c>
      <c r="R720" s="43" t="b">
        <f t="shared" si="3"/>
        <v>1</v>
      </c>
      <c r="S720" s="364">
        <f>IFERROR(VLOOKUP($A720,AlgoUi!$A:$X,21,0),"NA")</f>
        <v>2625573</v>
      </c>
      <c r="T720" s="364">
        <f>IFERROR(VLOOKUP($A720,AlgoUi!$A:$X,23,0),"")</f>
        <v>2000000</v>
      </c>
      <c r="U720" s="364">
        <f>IFERROR(VLOOKUP($A720,AlgoUi!$A:$X,24,0),"")</f>
        <v>20000</v>
      </c>
      <c r="V720" s="88" t="str">
        <f>IFERROR(__xludf.DUMMYFUNCTION("IFERROR(VLOOKUP(I720,IMPORTRANGE(""https://docs.google.com/spreadsheets/d/17FOIUYQAjPk1pPQIlvOgqYDBqwUqgb7KWzp4DtVksBk/edit?gid=0#gid=0"",""Servers!A:S""),19,FALSE), ""Not Running"")"),"MOHITC")</f>
        <v>MOHITC</v>
      </c>
      <c r="W720" s="47" t="str">
        <f>VLOOKUP($A720,Category!$A:$E,4,0)</f>
        <v>CC</v>
      </c>
      <c r="X720" s="47" t="str">
        <f>VLOOKUP($A720,Category!$A:$E,5,0)</f>
        <v>CCV</v>
      </c>
      <c r="Y720" s="18" t="str">
        <f>VLOOKUP(A720,PAcc!$A$1:$J$27,10,0)</f>
        <v>#N/A</v>
      </c>
      <c r="Z720" s="42" t="b">
        <f t="shared" si="4"/>
        <v>1</v>
      </c>
      <c r="AA720" s="50">
        <v>0.6</v>
      </c>
      <c r="AB720" s="42" t="str">
        <f>VLOOKUP(A720,VlookupSheet!$A$383:$A$523,1,0)</f>
        <v>#N/A</v>
      </c>
      <c r="AC720" s="50"/>
      <c r="AD720" s="42">
        <f t="shared" si="123"/>
        <v>1575343.8</v>
      </c>
      <c r="AE720" s="42">
        <f t="shared" si="124"/>
        <v>20000</v>
      </c>
      <c r="AF720" s="123">
        <f t="shared" si="125"/>
        <v>0</v>
      </c>
    </row>
    <row r="721">
      <c r="A721" s="11" t="s">
        <v>2964</v>
      </c>
      <c r="B721" s="24" t="s">
        <v>1034</v>
      </c>
      <c r="C721" s="25"/>
      <c r="D721" s="11">
        <f t="shared" si="133"/>
        <v>1</v>
      </c>
      <c r="E721" s="11">
        <f t="shared" si="134"/>
        <v>100000</v>
      </c>
      <c r="F721" s="11" t="s">
        <v>85</v>
      </c>
      <c r="G721" s="11">
        <v>100000.0</v>
      </c>
      <c r="H721" s="31">
        <v>100000.0</v>
      </c>
      <c r="I721" s="11" t="s">
        <v>140</v>
      </c>
      <c r="J721" s="11" t="s">
        <v>77</v>
      </c>
      <c r="K721" s="38">
        <f t="shared" si="105"/>
        <v>1</v>
      </c>
      <c r="L721" s="18" t="s">
        <v>910</v>
      </c>
      <c r="M721" s="18" t="s">
        <v>736</v>
      </c>
      <c r="N721" s="18">
        <v>1.0</v>
      </c>
      <c r="O721" s="18">
        <v>0.0</v>
      </c>
      <c r="P721" s="18" t="s">
        <v>3928</v>
      </c>
      <c r="Q721" s="42" t="str">
        <f>iferror(VLOOKUP(A721,'Positional cal'!A:H,1,0)=A721,"FALSE")</f>
        <v>FALSE</v>
      </c>
      <c r="R721" s="43" t="b">
        <f t="shared" si="3"/>
        <v>1</v>
      </c>
      <c r="S721" s="364">
        <f>IFERROR(VLOOKUP($A721,AlgoUi!$A:$X,21,0),"NA")</f>
        <v>10000000</v>
      </c>
      <c r="T721" s="364">
        <f>IFERROR(VLOOKUP($A721,AlgoUi!$A:$X,23,0),"")</f>
        <v>10000000</v>
      </c>
      <c r="U721" s="364">
        <f>IFERROR(VLOOKUP($A721,AlgoUi!$A:$X,24,0),"")</f>
        <v>100000</v>
      </c>
      <c r="V721" s="88" t="str">
        <f>IFERROR(__xludf.DUMMYFUNCTION("IFERROR(VLOOKUP(I721,IMPORTRANGE(""https://docs.google.com/spreadsheets/d/17FOIUYQAjPk1pPQIlvOgqYDBqwUqgb7KWzp4DtVksBk/edit?gid=0#gid=0"",""Servers!A:S""),19,FALSE), ""Not Running"")"),"MOHITC")</f>
        <v>MOHITC</v>
      </c>
      <c r="W721" s="47" t="str">
        <f>VLOOKUP($A721,Category!$A:$E,4,0)</f>
        <v>CC</v>
      </c>
      <c r="X721" s="47" t="str">
        <f>VLOOKUP($A721,Category!$A:$E,5,0)</f>
        <v>CC</v>
      </c>
      <c r="Y721" s="18" t="str">
        <f>VLOOKUP(A721,PAcc!$A$1:$J$27,10,0)</f>
        <v>#N/A</v>
      </c>
      <c r="Z721" s="42" t="b">
        <f t="shared" si="4"/>
        <v>1</v>
      </c>
      <c r="AA721" s="50">
        <v>1.0</v>
      </c>
      <c r="AB721" s="42" t="str">
        <f>VLOOKUP(A721,VlookupSheet!$A$383:$A$523,1,0)</f>
        <v>#N/A</v>
      </c>
      <c r="AC721" s="50">
        <v>0.01</v>
      </c>
      <c r="AD721" s="42">
        <f t="shared" si="123"/>
        <v>10000000</v>
      </c>
      <c r="AE721" s="42">
        <f t="shared" si="124"/>
        <v>100000</v>
      </c>
      <c r="AF721" s="123">
        <f t="shared" si="125"/>
        <v>0</v>
      </c>
    </row>
    <row r="722">
      <c r="A722" s="11" t="s">
        <v>2578</v>
      </c>
      <c r="B722" s="24" t="s">
        <v>3605</v>
      </c>
      <c r="C722" s="25"/>
      <c r="D722" s="11" t="s">
        <v>865</v>
      </c>
      <c r="E722" s="11">
        <f>H722*D722</f>
        <v>32000</v>
      </c>
      <c r="F722" s="11" t="s">
        <v>2580</v>
      </c>
      <c r="G722" s="31">
        <v>32000.0</v>
      </c>
      <c r="H722" s="31">
        <v>40000.0</v>
      </c>
      <c r="I722" s="11" t="s">
        <v>267</v>
      </c>
      <c r="J722" s="11" t="s">
        <v>1018</v>
      </c>
      <c r="K722" s="38">
        <f t="shared" si="105"/>
        <v>0.8</v>
      </c>
      <c r="L722" s="18" t="s">
        <v>268</v>
      </c>
      <c r="M722" s="18" t="s">
        <v>268</v>
      </c>
      <c r="N722" s="18">
        <v>2.0</v>
      </c>
      <c r="O722" s="18"/>
      <c r="P722" s="18" t="s">
        <v>3929</v>
      </c>
      <c r="Q722" s="42" t="str">
        <f>iferror(VLOOKUP(A722,'Positional cal'!A:H,1,0)=A722,"FALSE")</f>
        <v>FALSE</v>
      </c>
      <c r="R722" s="43" t="b">
        <f t="shared" si="3"/>
        <v>0</v>
      </c>
      <c r="S722" s="46" t="str">
        <f>IFERROR(VLOOKUP($A722,AlgoUi!$A:$X,21,0),"NA")</f>
        <v/>
      </c>
      <c r="T722" s="46" t="str">
        <f>IFERROR(VLOOKUP($A722,AlgoUi!$A:$X,23,0),"")</f>
        <v/>
      </c>
      <c r="U722" s="46" t="str">
        <f>IFERROR(VLOOKUP($A722,AlgoUi!$A:$X,24,0),"")</f>
        <v/>
      </c>
      <c r="V722" s="42" t="str">
        <f>IFERROR(__xludf.DUMMYFUNCTION("IFERROR(VLOOKUP(I722,IMPORTRANGE(""https://docs.google.com/spreadsheets/d/17FOIUYQAjPk1pPQIlvOgqYDBqwUqgb7KWzp4DtVksBk/edit?gid=0#gid=0"",""Servers!A:S""),19,FALSE), ""Not Running"")"),"Not Running")</f>
        <v>Not Running</v>
      </c>
      <c r="W722" s="47" t="str">
        <f>VLOOKUP($A722,Category!$A:$E,4,0)</f>
        <v>MS</v>
      </c>
      <c r="X722" s="47" t="str">
        <f>VLOOKUP($A722,Category!$A:$E,5,0)</f>
        <v>MSR</v>
      </c>
      <c r="Y722" s="18" t="str">
        <f>VLOOKUP(A722,PAcc!$A$1:$J$27,10,0)</f>
        <v>#N/A</v>
      </c>
      <c r="Z722" s="42" t="b">
        <f t="shared" si="4"/>
        <v>0</v>
      </c>
      <c r="AA722" s="50">
        <v>0.4</v>
      </c>
      <c r="AB722" s="42" t="str">
        <f>VLOOKUP(A722,VlookupSheet!$A$383:$A$523,1,0)</f>
        <v>#N/A</v>
      </c>
      <c r="AC722" s="42"/>
      <c r="AD722" s="42"/>
      <c r="AE722" s="42"/>
      <c r="AF722" s="42"/>
    </row>
    <row r="723">
      <c r="A723" s="84" t="s">
        <v>575</v>
      </c>
      <c r="B723" s="84" t="s">
        <v>3025</v>
      </c>
      <c r="C723" s="85"/>
      <c r="D723" s="11">
        <f t="shared" ref="D723:D726" si="135">IF(J723="7",0.8,1)</f>
        <v>0.8</v>
      </c>
      <c r="E723" s="11">
        <f t="shared" ref="E723:E731" si="136">D723*H723</f>
        <v>32000</v>
      </c>
      <c r="F723" s="30" t="s">
        <v>311</v>
      </c>
      <c r="G723" s="11">
        <v>32000.0</v>
      </c>
      <c r="H723" s="31">
        <v>40000.0</v>
      </c>
      <c r="I723" s="34" t="s">
        <v>75</v>
      </c>
      <c r="J723" s="11" t="s">
        <v>1018</v>
      </c>
      <c r="K723" s="38">
        <f t="shared" si="105"/>
        <v>0.8</v>
      </c>
      <c r="L723" s="18" t="s">
        <v>910</v>
      </c>
      <c r="M723" s="18" t="s">
        <v>736</v>
      </c>
      <c r="N723" s="74"/>
      <c r="O723" s="74"/>
      <c r="P723" s="74"/>
      <c r="Q723" s="42" t="str">
        <f>iferror(VLOOKUP(A723,'Positional cal'!A:H,1,0)=A723,"FALSE")</f>
        <v>FALSE</v>
      </c>
      <c r="R723" s="43" t="b">
        <f t="shared" si="3"/>
        <v>0</v>
      </c>
      <c r="S723" s="46">
        <f>IFERROR(VLOOKUP($A723,AlgoUi!$A:$X,21,0),"NA")</f>
        <v>10176737</v>
      </c>
      <c r="T723" s="46">
        <f>IFERROR(VLOOKUP($A723,AlgoUi!$A:$X,23,0),"")</f>
        <v>10000000</v>
      </c>
      <c r="U723" s="46">
        <f>IFERROR(VLOOKUP($A723,AlgoUi!$A:$X,24,0),"")</f>
        <v>80000</v>
      </c>
      <c r="V723" s="42" t="str">
        <f>IFERROR(__xludf.DUMMYFUNCTION("IFERROR(VLOOKUP(I723,IMPORTRANGE(""https://docs.google.com/spreadsheets/d/17FOIUYQAjPk1pPQIlvOgqYDBqwUqgb7KWzp4DtVksBk/edit?gid=0#gid=0"",""Servers!A:S""),19,FALSE), ""Not Running"")"),"DUSHYANT")</f>
        <v>DUSHYANT</v>
      </c>
      <c r="W723" s="47" t="str">
        <f>VLOOKUP($A723,Category!$A:$E,4,0)</f>
        <v>MS</v>
      </c>
      <c r="X723" s="47" t="str">
        <f>VLOOKUP($A723,Category!$A:$E,5,0)</f>
        <v>MSR</v>
      </c>
      <c r="Y723" s="18" t="str">
        <f>VLOOKUP(A723,PAcc!$A$1:$J$27,10,0)</f>
        <v>#N/A</v>
      </c>
      <c r="Z723" s="42" t="b">
        <f t="shared" si="4"/>
        <v>0</v>
      </c>
      <c r="AA723" s="50">
        <v>0.4</v>
      </c>
      <c r="AB723" s="42" t="str">
        <f>VLOOKUP(A723,VlookupSheet!$A$383:$A$523,1,0)</f>
        <v>#N/A</v>
      </c>
      <c r="AC723" s="42"/>
      <c r="AD723" s="42">
        <f t="shared" ref="AD723:AD731" si="137">S723*AA723</f>
        <v>4070694.8</v>
      </c>
      <c r="AE723" s="42">
        <f t="shared" ref="AE723:AE731" si="138">MROUND(AD723,2000000)/100</f>
        <v>40000</v>
      </c>
      <c r="AF723" s="123">
        <f t="shared" ref="AF723:AF731" si="139">AE723-H723</f>
        <v>0</v>
      </c>
    </row>
    <row r="724">
      <c r="A724" s="11" t="s">
        <v>2783</v>
      </c>
      <c r="B724" s="24" t="s">
        <v>3647</v>
      </c>
      <c r="C724" s="25"/>
      <c r="D724" s="11">
        <f t="shared" si="135"/>
        <v>0.8</v>
      </c>
      <c r="E724" s="11">
        <f t="shared" si="136"/>
        <v>32000</v>
      </c>
      <c r="F724" s="11" t="s">
        <v>716</v>
      </c>
      <c r="G724" s="11">
        <v>32000.0</v>
      </c>
      <c r="H724" s="31">
        <v>40000.0</v>
      </c>
      <c r="I724" s="11" t="s">
        <v>75</v>
      </c>
      <c r="J724" s="11" t="s">
        <v>1018</v>
      </c>
      <c r="K724" s="38">
        <f t="shared" si="105"/>
        <v>0.8</v>
      </c>
      <c r="L724" s="18" t="s">
        <v>910</v>
      </c>
      <c r="M724" s="18" t="s">
        <v>736</v>
      </c>
      <c r="N724" s="18">
        <v>1.0</v>
      </c>
      <c r="O724" s="18"/>
      <c r="P724" s="18" t="s">
        <v>848</v>
      </c>
      <c r="Q724" s="42" t="str">
        <f>iferror(VLOOKUP(A724,'Positional cal'!A:H,1,0)=A724,"FALSE")</f>
        <v>FALSE</v>
      </c>
      <c r="R724" s="43" t="b">
        <f t="shared" si="3"/>
        <v>0</v>
      </c>
      <c r="S724" s="46">
        <f>IFERROR(VLOOKUP($A724,AlgoUi!$A:$X,21,0),"NA")</f>
        <v>10000000</v>
      </c>
      <c r="T724" s="46">
        <f>IFERROR(VLOOKUP($A724,AlgoUi!$A:$X,23,0),"")</f>
        <v>10000000</v>
      </c>
      <c r="U724" s="46">
        <f>IFERROR(VLOOKUP($A724,AlgoUi!$A:$X,24,0),"")</f>
        <v>80000</v>
      </c>
      <c r="V724" s="42" t="str">
        <f>IFERROR(__xludf.DUMMYFUNCTION("IFERROR(VLOOKUP(I724,IMPORTRANGE(""https://docs.google.com/spreadsheets/d/17FOIUYQAjPk1pPQIlvOgqYDBqwUqgb7KWzp4DtVksBk/edit?gid=0#gid=0"",""Servers!A:S""),19,FALSE), ""Not Running"")"),"DUSHYANT")</f>
        <v>DUSHYANT</v>
      </c>
      <c r="W724" s="47" t="str">
        <f>VLOOKUP($A724,Category!$A:$E,4,0)</f>
        <v>MS</v>
      </c>
      <c r="X724" s="47" t="str">
        <f>VLOOKUP($A724,Category!$A:$E,5,0)</f>
        <v>MSS</v>
      </c>
      <c r="Y724" s="18" t="str">
        <f>VLOOKUP(A724,PAcc!$A$1:$J$27,10,0)</f>
        <v>#N/A</v>
      </c>
      <c r="Z724" s="42" t="b">
        <f t="shared" si="4"/>
        <v>0</v>
      </c>
      <c r="AA724" s="50">
        <v>0.4</v>
      </c>
      <c r="AB724" s="42" t="str">
        <f>VLOOKUP(A724,VlookupSheet!$A$383:$A$523,1,0)</f>
        <v>#N/A</v>
      </c>
      <c r="AC724" s="42"/>
      <c r="AD724" s="42">
        <f t="shared" si="137"/>
        <v>4000000</v>
      </c>
      <c r="AE724" s="42">
        <f t="shared" si="138"/>
        <v>40000</v>
      </c>
      <c r="AF724" s="123">
        <f t="shared" si="139"/>
        <v>0</v>
      </c>
    </row>
    <row r="725">
      <c r="A725" s="11" t="s">
        <v>2695</v>
      </c>
      <c r="B725" s="24" t="s">
        <v>2696</v>
      </c>
      <c r="C725" s="25"/>
      <c r="D725" s="11">
        <f t="shared" si="135"/>
        <v>0.8</v>
      </c>
      <c r="E725" s="11">
        <f t="shared" si="136"/>
        <v>48000</v>
      </c>
      <c r="F725" s="30" t="s">
        <v>311</v>
      </c>
      <c r="G725" s="11">
        <v>48000.0</v>
      </c>
      <c r="H725" s="31">
        <v>60000.0</v>
      </c>
      <c r="I725" s="11" t="s">
        <v>75</v>
      </c>
      <c r="J725" s="11" t="s">
        <v>1018</v>
      </c>
      <c r="K725" s="38">
        <f t="shared" si="105"/>
        <v>0.8</v>
      </c>
      <c r="L725" s="18" t="s">
        <v>910</v>
      </c>
      <c r="M725" s="18" t="s">
        <v>736</v>
      </c>
      <c r="N725" s="42"/>
      <c r="O725" s="42"/>
      <c r="P725" s="42"/>
      <c r="Q725" s="42" t="str">
        <f>iferror(VLOOKUP(A725,'Positional cal'!A:H,1,0)=A725,"FALSE")</f>
        <v>FALSE</v>
      </c>
      <c r="R725" s="43" t="b">
        <f t="shared" si="3"/>
        <v>0</v>
      </c>
      <c r="S725" s="46">
        <f>IFERROR(VLOOKUP($A725,AlgoUi!$A:$X,21,0),"NA")</f>
        <v>13751622</v>
      </c>
      <c r="T725" s="46">
        <f>IFERROR(VLOOKUP($A725,AlgoUi!$A:$X,23,0),"")</f>
        <v>14000000</v>
      </c>
      <c r="U725" s="46">
        <f>IFERROR(VLOOKUP($A725,AlgoUi!$A:$X,24,0),"")</f>
        <v>112000</v>
      </c>
      <c r="V725" s="42" t="str">
        <f>IFERROR(__xludf.DUMMYFUNCTION("IFERROR(VLOOKUP(I725,IMPORTRANGE(""https://docs.google.com/spreadsheets/d/17FOIUYQAjPk1pPQIlvOgqYDBqwUqgb7KWzp4DtVksBk/edit?gid=0#gid=0"",""Servers!A:S""),19,FALSE), ""Not Running"")"),"DUSHYANT")</f>
        <v>DUSHYANT</v>
      </c>
      <c r="W725" s="47" t="str">
        <f>VLOOKUP($A725,Category!$A:$E,4,0)</f>
        <v>MS</v>
      </c>
      <c r="X725" s="47" t="str">
        <f>VLOOKUP($A725,Category!$A:$E,5,0)</f>
        <v>MSN</v>
      </c>
      <c r="Y725" s="18" t="str">
        <f>VLOOKUP(A725,PAcc!$A$1:$J$27,10,0)</f>
        <v>#N/A</v>
      </c>
      <c r="Z725" s="42" t="b">
        <f t="shared" si="4"/>
        <v>0</v>
      </c>
      <c r="AA725" s="50">
        <v>0.4</v>
      </c>
      <c r="AB725" s="42" t="str">
        <f>VLOOKUP(A725,VlookupSheet!$A$383:$A$523,1,0)</f>
        <v>#N/A</v>
      </c>
      <c r="AC725" s="42"/>
      <c r="AD725" s="42">
        <f t="shared" si="137"/>
        <v>5500648.8</v>
      </c>
      <c r="AE725" s="42">
        <f t="shared" si="138"/>
        <v>60000</v>
      </c>
      <c r="AF725" s="123">
        <f t="shared" si="139"/>
        <v>0</v>
      </c>
    </row>
    <row r="726">
      <c r="A726" s="11" t="s">
        <v>2449</v>
      </c>
      <c r="B726" s="24" t="s">
        <v>3382</v>
      </c>
      <c r="C726" s="25"/>
      <c r="D726" s="11">
        <f t="shared" si="135"/>
        <v>0.8</v>
      </c>
      <c r="E726" s="11">
        <f t="shared" si="136"/>
        <v>80000</v>
      </c>
      <c r="F726" s="11" t="s">
        <v>3715</v>
      </c>
      <c r="G726" s="158" t="s">
        <v>3530</v>
      </c>
      <c r="H726" s="289">
        <v>100000.0</v>
      </c>
      <c r="I726" s="42" t="s">
        <v>75</v>
      </c>
      <c r="J726" s="11" t="s">
        <v>1018</v>
      </c>
      <c r="K726" s="38">
        <f t="shared" si="105"/>
        <v>1</v>
      </c>
      <c r="L726" s="18" t="s">
        <v>910</v>
      </c>
      <c r="M726" s="18" t="s">
        <v>736</v>
      </c>
      <c r="N726" s="18">
        <v>1.0</v>
      </c>
      <c r="O726" s="42"/>
      <c r="P726" s="42"/>
      <c r="Q726" s="42" t="str">
        <f>iferror(VLOOKUP(A726,'Positional cal'!A:H,1,0)=A726,"FALSE")</f>
        <v>FALSE</v>
      </c>
      <c r="R726" s="43" t="b">
        <f t="shared" si="3"/>
        <v>0</v>
      </c>
      <c r="S726" s="46">
        <f>IFERROR(VLOOKUP($A726,AlgoUi!$A:$X,21,0),"NA")</f>
        <v>20000000</v>
      </c>
      <c r="T726" s="46">
        <f>IFERROR(VLOOKUP($A726,AlgoUi!$A:$X,23,0),"")</f>
        <v>20000000</v>
      </c>
      <c r="U726" s="46">
        <f>IFERROR(VLOOKUP($A726,AlgoUi!$A:$X,24,0),"")</f>
        <v>160000</v>
      </c>
      <c r="V726" s="42" t="str">
        <f>IFERROR(__xludf.DUMMYFUNCTION("IFERROR(VLOOKUP(I726,IMPORTRANGE(""https://docs.google.com/spreadsheets/d/17FOIUYQAjPk1pPQIlvOgqYDBqwUqgb7KWzp4DtVksBk/edit?gid=0#gid=0"",""Servers!A:S""),19,FALSE), ""Not Running"")"),"DUSHYANT")</f>
        <v>DUSHYANT</v>
      </c>
      <c r="W726" s="47" t="str">
        <f>VLOOKUP($A726,Category!$A:$E,4,0)</f>
        <v>CC</v>
      </c>
      <c r="X726" s="47" t="str">
        <f>VLOOKUP($A726,Category!$A:$E,5,0)</f>
        <v>CCV</v>
      </c>
      <c r="Y726" s="18" t="str">
        <f>VLOOKUP(A726,PAcc!$A$1:$J$27,10,0)</f>
        <v>#N/A</v>
      </c>
      <c r="Z726" s="42" t="b">
        <f t="shared" si="4"/>
        <v>0</v>
      </c>
      <c r="AA726" s="50">
        <v>1.0</v>
      </c>
      <c r="AB726" s="42" t="str">
        <f>VLOOKUP(A726,VlookupSheet!$A$383:$A$523,1,0)</f>
        <v>#N/A</v>
      </c>
      <c r="AC726" s="11">
        <v>0.8</v>
      </c>
      <c r="AD726" s="42">
        <f t="shared" si="137"/>
        <v>20000000</v>
      </c>
      <c r="AE726" s="42">
        <f t="shared" si="138"/>
        <v>200000</v>
      </c>
      <c r="AF726" s="123">
        <f t="shared" si="139"/>
        <v>100000</v>
      </c>
    </row>
    <row r="727">
      <c r="A727" s="11" t="s">
        <v>2286</v>
      </c>
      <c r="B727" s="84" t="s">
        <v>3126</v>
      </c>
      <c r="C727" s="25"/>
      <c r="D727" s="11" t="s">
        <v>865</v>
      </c>
      <c r="E727" s="11">
        <f t="shared" si="136"/>
        <v>240000</v>
      </c>
      <c r="F727" s="11" t="s">
        <v>85</v>
      </c>
      <c r="G727" s="11">
        <v>240000.0</v>
      </c>
      <c r="H727" s="31">
        <v>300000.0</v>
      </c>
      <c r="I727" s="74" t="s">
        <v>75</v>
      </c>
      <c r="J727" s="25" t="s">
        <v>1018</v>
      </c>
      <c r="K727" s="38">
        <f t="shared" si="105"/>
        <v>0.8</v>
      </c>
      <c r="L727" s="18" t="s">
        <v>910</v>
      </c>
      <c r="M727" s="18" t="s">
        <v>736</v>
      </c>
      <c r="N727" s="34">
        <v>3.0</v>
      </c>
      <c r="O727" s="18"/>
      <c r="P727" s="18" t="s">
        <v>942</v>
      </c>
      <c r="Q727" s="42" t="str">
        <f>iferror(VLOOKUP(A727,'Positional cal'!A:H,1,0)=A727,"FALSE")</f>
        <v>FALSE</v>
      </c>
      <c r="R727" s="43" t="b">
        <f t="shared" si="3"/>
        <v>1</v>
      </c>
      <c r="S727" s="46">
        <f>IFERROR(VLOOKUP($A727,AlgoUi!$A:$X,21,0),"NA")</f>
        <v>30000000</v>
      </c>
      <c r="T727" s="46">
        <f>IFERROR(VLOOKUP($A727,AlgoUi!$A:$X,23,0),"")</f>
        <v>30000000</v>
      </c>
      <c r="U727" s="46">
        <f>IFERROR(VLOOKUP($A727,AlgoUi!$A:$X,24,0),"")</f>
        <v>240000</v>
      </c>
      <c r="V727" s="42" t="str">
        <f>IFERROR(__xludf.DUMMYFUNCTION("IFERROR(VLOOKUP(I727,IMPORTRANGE(""https://docs.google.com/spreadsheets/d/17FOIUYQAjPk1pPQIlvOgqYDBqwUqgb7KWzp4DtVksBk/edit?gid=0#gid=0"",""Servers!A:S""),19,FALSE), ""Not Running"")"),"DUSHYANT")</f>
        <v>DUSHYANT</v>
      </c>
      <c r="W727" s="47" t="str">
        <f>VLOOKUP($A727,Category!$A:$E,4,0)</f>
        <v>CC</v>
      </c>
      <c r="X727" s="47" t="str">
        <f>VLOOKUP($A727,Category!$A:$E,5,0)</f>
        <v>CC</v>
      </c>
      <c r="Y727" s="18" t="str">
        <f>VLOOKUP(A727,PAcc!$A$1:$J$27,10,0)</f>
        <v>#N/A</v>
      </c>
      <c r="Z727" s="42" t="b">
        <f t="shared" si="4"/>
        <v>1</v>
      </c>
      <c r="AA727" s="50">
        <v>1.0</v>
      </c>
      <c r="AB727" s="42" t="str">
        <f>VLOOKUP(A727,VlookupSheet!$A$383:$A$523,1,0)</f>
        <v>#N/A</v>
      </c>
      <c r="AC727" s="87">
        <v>0.008</v>
      </c>
      <c r="AD727" s="42">
        <f t="shared" si="137"/>
        <v>30000000</v>
      </c>
      <c r="AE727" s="42">
        <f t="shared" si="138"/>
        <v>300000</v>
      </c>
      <c r="AF727" s="123">
        <f t="shared" si="139"/>
        <v>0</v>
      </c>
    </row>
    <row r="728">
      <c r="A728" s="11" t="s">
        <v>2590</v>
      </c>
      <c r="B728" s="24" t="s">
        <v>3552</v>
      </c>
      <c r="C728" s="25"/>
      <c r="D728" s="11">
        <f t="shared" ref="D728:D731" si="140">IF(J728="7",0.8,1)</f>
        <v>0.8</v>
      </c>
      <c r="E728" s="11">
        <f t="shared" si="136"/>
        <v>32000</v>
      </c>
      <c r="F728" s="11" t="s">
        <v>716</v>
      </c>
      <c r="G728" s="11">
        <v>32000.0</v>
      </c>
      <c r="H728" s="31">
        <v>40000.0</v>
      </c>
      <c r="I728" s="42" t="s">
        <v>75</v>
      </c>
      <c r="J728" s="25" t="s">
        <v>1018</v>
      </c>
      <c r="K728" s="38">
        <f t="shared" si="105"/>
        <v>0.8</v>
      </c>
      <c r="L728" s="18" t="s">
        <v>910</v>
      </c>
      <c r="M728" s="18" t="s">
        <v>736</v>
      </c>
      <c r="N728" s="18">
        <v>1.0</v>
      </c>
      <c r="O728" s="18"/>
      <c r="P728" s="18" t="s">
        <v>848</v>
      </c>
      <c r="Q728" s="42" t="str">
        <f>iferror(VLOOKUP(A728,'Positional cal'!A:H,1,0)=A728,"FALSE")</f>
        <v>FALSE</v>
      </c>
      <c r="R728" s="43" t="b">
        <f t="shared" si="3"/>
        <v>0</v>
      </c>
      <c r="S728" s="46">
        <f>IFERROR(VLOOKUP($A728,AlgoUi!$A:$X,21,0),"NA")</f>
        <v>9291238</v>
      </c>
      <c r="T728" s="46">
        <f>IFERROR(VLOOKUP($A728,AlgoUi!$A:$X,23,0),"")</f>
        <v>10000000</v>
      </c>
      <c r="U728" s="46">
        <f>IFERROR(VLOOKUP($A728,AlgoUi!$A:$X,24,0),"")</f>
        <v>80000</v>
      </c>
      <c r="V728" s="42" t="str">
        <f>IFERROR(__xludf.DUMMYFUNCTION("IFERROR(VLOOKUP(I728,IMPORTRANGE(""https://docs.google.com/spreadsheets/d/17FOIUYQAjPk1pPQIlvOgqYDBqwUqgb7KWzp4DtVksBk/edit?gid=0#gid=0"",""Servers!A:S""),19,FALSE), ""Not Running"")"),"DUSHYANT")</f>
        <v>DUSHYANT</v>
      </c>
      <c r="W728" s="47" t="str">
        <f>VLOOKUP($A728,Category!$A:$E,4,0)</f>
        <v>MS</v>
      </c>
      <c r="X728" s="47" t="str">
        <f>VLOOKUP($A728,Category!$A:$E,5,0)</f>
        <v>MSS</v>
      </c>
      <c r="Y728" s="18" t="str">
        <f>VLOOKUP(A728,PAcc!$A$1:$J$27,10,0)</f>
        <v>#N/A</v>
      </c>
      <c r="Z728" s="42" t="b">
        <f t="shared" si="4"/>
        <v>0</v>
      </c>
      <c r="AA728" s="50">
        <v>0.4</v>
      </c>
      <c r="AB728" s="42" t="str">
        <f>VLOOKUP(A728,VlookupSheet!$A$383:$A$523,1,0)</f>
        <v>#N/A</v>
      </c>
      <c r="AC728" s="42"/>
      <c r="AD728" s="42">
        <f t="shared" si="137"/>
        <v>3716495.2</v>
      </c>
      <c r="AE728" s="42">
        <f t="shared" si="138"/>
        <v>40000</v>
      </c>
      <c r="AF728" s="123">
        <f t="shared" si="139"/>
        <v>0</v>
      </c>
    </row>
    <row r="729">
      <c r="A729" s="11" t="s">
        <v>2388</v>
      </c>
      <c r="B729" s="24" t="s">
        <v>3238</v>
      </c>
      <c r="C729" s="25"/>
      <c r="D729" s="11">
        <f t="shared" si="140"/>
        <v>0.8</v>
      </c>
      <c r="E729" s="11">
        <f t="shared" si="136"/>
        <v>32000</v>
      </c>
      <c r="F729" s="11" t="s">
        <v>716</v>
      </c>
      <c r="G729" s="11">
        <v>32000.0</v>
      </c>
      <c r="H729" s="31">
        <v>40000.0</v>
      </c>
      <c r="I729" s="74" t="s">
        <v>75</v>
      </c>
      <c r="J729" s="25" t="s">
        <v>1018</v>
      </c>
      <c r="K729" s="38">
        <f t="shared" si="105"/>
        <v>0.8</v>
      </c>
      <c r="L729" s="18" t="s">
        <v>910</v>
      </c>
      <c r="M729" s="18" t="s">
        <v>736</v>
      </c>
      <c r="N729" s="18">
        <v>1.0</v>
      </c>
      <c r="O729" s="18"/>
      <c r="P729" s="18" t="s">
        <v>848</v>
      </c>
      <c r="Q729" s="42" t="str">
        <f>iferror(VLOOKUP(A729,'Positional cal'!A:H,1,0)=A729,"FALSE")</f>
        <v>FALSE</v>
      </c>
      <c r="R729" s="43" t="b">
        <f t="shared" si="3"/>
        <v>0</v>
      </c>
      <c r="S729" s="46">
        <f>IFERROR(VLOOKUP($A729,AlgoUi!$A:$X,21,0),"NA")</f>
        <v>9999999</v>
      </c>
      <c r="T729" s="46">
        <f>IFERROR(VLOOKUP($A729,AlgoUi!$A:$X,23,0),"")</f>
        <v>10000000</v>
      </c>
      <c r="U729" s="46">
        <f>IFERROR(VLOOKUP($A729,AlgoUi!$A:$X,24,0),"")</f>
        <v>80000</v>
      </c>
      <c r="V729" s="42" t="str">
        <f>IFERROR(__xludf.DUMMYFUNCTION("IFERROR(VLOOKUP(I729,IMPORTRANGE(""https://docs.google.com/spreadsheets/d/17FOIUYQAjPk1pPQIlvOgqYDBqwUqgb7KWzp4DtVksBk/edit?gid=0#gid=0"",""Servers!A:S""),19,FALSE), ""Not Running"")"),"DUSHYANT")</f>
        <v>DUSHYANT</v>
      </c>
      <c r="W729" s="47" t="str">
        <f>VLOOKUP($A729,Category!$A:$E,4,0)</f>
        <v>MS</v>
      </c>
      <c r="X729" s="47" t="str">
        <f>VLOOKUP($A729,Category!$A:$E,5,0)</f>
        <v>MSS</v>
      </c>
      <c r="Y729" s="18" t="str">
        <f>VLOOKUP(A729,PAcc!$A$1:$J$27,10,0)</f>
        <v>#N/A</v>
      </c>
      <c r="Z729" s="42" t="b">
        <f t="shared" si="4"/>
        <v>0</v>
      </c>
      <c r="AA729" s="50">
        <v>0.4</v>
      </c>
      <c r="AB729" s="42" t="str">
        <f>VLOOKUP(A729,VlookupSheet!$A$383:$A$523,1,0)</f>
        <v>#N/A</v>
      </c>
      <c r="AC729" s="42"/>
      <c r="AD729" s="42">
        <f t="shared" si="137"/>
        <v>3999999.6</v>
      </c>
      <c r="AE729" s="42">
        <f t="shared" si="138"/>
        <v>40000</v>
      </c>
      <c r="AF729" s="123">
        <f t="shared" si="139"/>
        <v>0</v>
      </c>
    </row>
    <row r="730">
      <c r="A730" s="11" t="s">
        <v>2498</v>
      </c>
      <c r="B730" s="24" t="s">
        <v>3410</v>
      </c>
      <c r="C730" s="25"/>
      <c r="D730" s="11">
        <f t="shared" si="140"/>
        <v>0.8</v>
      </c>
      <c r="E730" s="11">
        <f t="shared" si="136"/>
        <v>32000</v>
      </c>
      <c r="F730" s="11" t="s">
        <v>716</v>
      </c>
      <c r="G730" s="11">
        <v>32000.0</v>
      </c>
      <c r="H730" s="31">
        <v>40000.0</v>
      </c>
      <c r="I730" s="42" t="s">
        <v>75</v>
      </c>
      <c r="J730" s="25" t="s">
        <v>1018</v>
      </c>
      <c r="K730" s="38">
        <f t="shared" si="105"/>
        <v>0.8</v>
      </c>
      <c r="L730" s="18" t="s">
        <v>910</v>
      </c>
      <c r="M730" s="18" t="s">
        <v>736</v>
      </c>
      <c r="N730" s="18">
        <v>1.0</v>
      </c>
      <c r="O730" s="18"/>
      <c r="P730" s="18" t="s">
        <v>848</v>
      </c>
      <c r="Q730" s="42" t="str">
        <f>iferror(VLOOKUP(A730,'Positional cal'!A:H,1,0)=A730,"FALSE")</f>
        <v>FALSE</v>
      </c>
      <c r="R730" s="43" t="b">
        <f t="shared" si="3"/>
        <v>0</v>
      </c>
      <c r="S730" s="46">
        <f>IFERROR(VLOOKUP($A730,AlgoUi!$A:$X,21,0),"NA")</f>
        <v>10000000</v>
      </c>
      <c r="T730" s="46">
        <f>IFERROR(VLOOKUP($A730,AlgoUi!$A:$X,23,0),"")</f>
        <v>10000000</v>
      </c>
      <c r="U730" s="46">
        <f>IFERROR(VLOOKUP($A730,AlgoUi!$A:$X,24,0),"")</f>
        <v>80000</v>
      </c>
      <c r="V730" s="42" t="str">
        <f>IFERROR(__xludf.DUMMYFUNCTION("IFERROR(VLOOKUP(I730,IMPORTRANGE(""https://docs.google.com/spreadsheets/d/17FOIUYQAjPk1pPQIlvOgqYDBqwUqgb7KWzp4DtVksBk/edit?gid=0#gid=0"",""Servers!A:S""),19,FALSE), ""Not Running"")"),"DUSHYANT")</f>
        <v>DUSHYANT</v>
      </c>
      <c r="W730" s="47" t="str">
        <f>VLOOKUP($A730,Category!$A:$E,4,0)</f>
        <v>MS</v>
      </c>
      <c r="X730" s="47" t="str">
        <f>VLOOKUP($A730,Category!$A:$E,5,0)</f>
        <v>MSS</v>
      </c>
      <c r="Y730" s="18" t="str">
        <f>VLOOKUP(A730,PAcc!$A$1:$J$27,10,0)</f>
        <v>#N/A</v>
      </c>
      <c r="Z730" s="42" t="b">
        <f t="shared" si="4"/>
        <v>0</v>
      </c>
      <c r="AA730" s="50">
        <v>0.4</v>
      </c>
      <c r="AB730" s="42" t="str">
        <f>VLOOKUP(A730,VlookupSheet!$A$383:$A$523,1,0)</f>
        <v>#N/A</v>
      </c>
      <c r="AC730" s="42"/>
      <c r="AD730" s="42">
        <f t="shared" si="137"/>
        <v>4000000</v>
      </c>
      <c r="AE730" s="42">
        <f t="shared" si="138"/>
        <v>40000</v>
      </c>
      <c r="AF730" s="123">
        <f t="shared" si="139"/>
        <v>0</v>
      </c>
    </row>
    <row r="731">
      <c r="A731" s="75" t="s">
        <v>2545</v>
      </c>
      <c r="B731" s="75" t="s">
        <v>3415</v>
      </c>
      <c r="C731" s="25"/>
      <c r="D731" s="11">
        <f t="shared" si="140"/>
        <v>0.8</v>
      </c>
      <c r="E731" s="11">
        <f t="shared" si="136"/>
        <v>32000</v>
      </c>
      <c r="F731" s="11" t="s">
        <v>716</v>
      </c>
      <c r="G731" s="11">
        <v>32000.0</v>
      </c>
      <c r="H731" s="31">
        <v>40000.0</v>
      </c>
      <c r="I731" s="42" t="s">
        <v>75</v>
      </c>
      <c r="J731" s="25" t="s">
        <v>1018</v>
      </c>
      <c r="K731" s="38">
        <f t="shared" si="105"/>
        <v>0.8</v>
      </c>
      <c r="L731" s="18" t="s">
        <v>910</v>
      </c>
      <c r="M731" s="18" t="s">
        <v>736</v>
      </c>
      <c r="N731" s="18">
        <v>1.0</v>
      </c>
      <c r="O731" s="18"/>
      <c r="P731" s="18" t="s">
        <v>848</v>
      </c>
      <c r="Q731" s="42" t="str">
        <f>iferror(VLOOKUP(A731,'Positional cal'!A:H,1,0)=A731,"FALSE")</f>
        <v>FALSE</v>
      </c>
      <c r="R731" s="43" t="b">
        <f t="shared" si="3"/>
        <v>0</v>
      </c>
      <c r="S731" s="46">
        <f>IFERROR(VLOOKUP($A731,AlgoUi!$A:$X,21,0),"NA")</f>
        <v>9999231</v>
      </c>
      <c r="T731" s="46">
        <f>IFERROR(VLOOKUP($A731,AlgoUi!$A:$X,23,0),"")</f>
        <v>10000000</v>
      </c>
      <c r="U731" s="46">
        <f>IFERROR(VLOOKUP($A731,AlgoUi!$A:$X,24,0),"")</f>
        <v>80000</v>
      </c>
      <c r="V731" s="42" t="str">
        <f>IFERROR(__xludf.DUMMYFUNCTION("IFERROR(VLOOKUP(I731,IMPORTRANGE(""https://docs.google.com/spreadsheets/d/17FOIUYQAjPk1pPQIlvOgqYDBqwUqgb7KWzp4DtVksBk/edit?gid=0#gid=0"",""Servers!A:S""),19,FALSE), ""Not Running"")"),"DUSHYANT")</f>
        <v>DUSHYANT</v>
      </c>
      <c r="W731" s="47" t="str">
        <f>VLOOKUP($A731,Category!$A:$E,4,0)</f>
        <v>MS</v>
      </c>
      <c r="X731" s="47" t="str">
        <f>VLOOKUP($A731,Category!$A:$E,5,0)</f>
        <v>MSS</v>
      </c>
      <c r="Y731" s="18" t="str">
        <f>VLOOKUP(A731,PAcc!$A$1:$J$27,10,0)</f>
        <v>#N/A</v>
      </c>
      <c r="Z731" s="42" t="b">
        <f t="shared" si="4"/>
        <v>0</v>
      </c>
      <c r="AA731" s="50">
        <v>0.4</v>
      </c>
      <c r="AB731" s="42" t="str">
        <f>VLOOKUP(A731,VlookupSheet!$A$383:$A$523,1,0)</f>
        <v>#N/A</v>
      </c>
      <c r="AC731" s="42"/>
      <c r="AD731" s="42">
        <f t="shared" si="137"/>
        <v>3999692.4</v>
      </c>
      <c r="AE731" s="42">
        <f t="shared" si="138"/>
        <v>40000</v>
      </c>
      <c r="AF731" s="123">
        <f t="shared" si="139"/>
        <v>0</v>
      </c>
    </row>
    <row r="732">
      <c r="A732" s="11" t="s">
        <v>2617</v>
      </c>
      <c r="B732" s="24" t="s">
        <v>3558</v>
      </c>
      <c r="C732" s="25"/>
      <c r="D732" s="11" t="s">
        <v>865</v>
      </c>
      <c r="E732" s="11">
        <f>H732*D732</f>
        <v>32000</v>
      </c>
      <c r="F732" s="11" t="s">
        <v>716</v>
      </c>
      <c r="G732" s="31">
        <v>32000.0</v>
      </c>
      <c r="H732" s="31">
        <v>40000.0</v>
      </c>
      <c r="I732" s="18" t="s">
        <v>267</v>
      </c>
      <c r="J732" s="11" t="s">
        <v>87</v>
      </c>
      <c r="K732" s="38">
        <f t="shared" si="105"/>
        <v>0.8</v>
      </c>
      <c r="L732" s="18" t="s">
        <v>268</v>
      </c>
      <c r="M732" s="18" t="s">
        <v>268</v>
      </c>
      <c r="N732" s="18">
        <v>1.0</v>
      </c>
      <c r="O732" s="18"/>
      <c r="P732" s="18" t="s">
        <v>848</v>
      </c>
      <c r="Q732" s="42" t="str">
        <f>iferror(VLOOKUP(A732,'Positional cal'!A:H,1,0)=A732,"FALSE")</f>
        <v>FALSE</v>
      </c>
      <c r="R732" s="43" t="b">
        <f t="shared" si="3"/>
        <v>0</v>
      </c>
      <c r="S732" s="46" t="str">
        <f>IFERROR(VLOOKUP($A732,AlgoUi!$A:$X,21,0),"NA")</f>
        <v/>
      </c>
      <c r="T732" s="46" t="str">
        <f>IFERROR(VLOOKUP($A732,AlgoUi!$A:$X,23,0),"")</f>
        <v/>
      </c>
      <c r="U732" s="46" t="str">
        <f>IFERROR(VLOOKUP($A732,AlgoUi!$A:$X,24,0),"")</f>
        <v/>
      </c>
      <c r="V732" s="42" t="str">
        <f>IFERROR(__xludf.DUMMYFUNCTION("IFERROR(VLOOKUP(I732,IMPORTRANGE(""https://docs.google.com/spreadsheets/d/17FOIUYQAjPk1pPQIlvOgqYDBqwUqgb7KWzp4DtVksBk/edit?gid=0#gid=0"",""Servers!A:S""),19,FALSE), ""Not Running"")"),"Not Running")</f>
        <v>Not Running</v>
      </c>
      <c r="W732" s="47" t="str">
        <f>VLOOKUP($A732,Category!$A:$E,4,0)</f>
        <v>MS</v>
      </c>
      <c r="X732" s="47" t="str">
        <f>VLOOKUP($A732,Category!$A:$E,5,0)</f>
        <v>MSS</v>
      </c>
      <c r="Y732" s="18" t="str">
        <f>VLOOKUP(A732,PAcc!$A$1:$J$27,10,0)</f>
        <v>#N/A</v>
      </c>
      <c r="Z732" s="42" t="b">
        <f t="shared" si="4"/>
        <v>0</v>
      </c>
      <c r="AA732" s="50">
        <v>0.4</v>
      </c>
      <c r="AB732" s="42" t="str">
        <f>VLOOKUP(A732,VlookupSheet!$A$383:$A$523,1,0)</f>
        <v>#N/A</v>
      </c>
      <c r="AC732" s="42"/>
      <c r="AD732" s="42"/>
      <c r="AE732" s="42"/>
      <c r="AF732" s="42"/>
    </row>
    <row r="733" ht="15.0" customHeight="1">
      <c r="A733" s="11" t="s">
        <v>2653</v>
      </c>
      <c r="B733" s="24" t="s">
        <v>2654</v>
      </c>
      <c r="C733" s="25"/>
      <c r="D733" s="11">
        <f t="shared" ref="D733:D752" si="141">IF(J733="7",0.8,1)</f>
        <v>0.8</v>
      </c>
      <c r="E733" s="11">
        <f t="shared" ref="E733:E752" si="142">D733*H733</f>
        <v>48000</v>
      </c>
      <c r="F733" s="30" t="s">
        <v>311</v>
      </c>
      <c r="G733" s="11">
        <v>48000.0</v>
      </c>
      <c r="H733" s="31">
        <v>60000.0</v>
      </c>
      <c r="I733" s="42" t="s">
        <v>75</v>
      </c>
      <c r="J733" s="25" t="s">
        <v>1018</v>
      </c>
      <c r="K733" s="38">
        <f t="shared" si="105"/>
        <v>0.8</v>
      </c>
      <c r="L733" s="18" t="s">
        <v>910</v>
      </c>
      <c r="M733" s="18" t="s">
        <v>736</v>
      </c>
      <c r="N733" s="42"/>
      <c r="O733" s="42"/>
      <c r="P733" s="42"/>
      <c r="Q733" s="42" t="str">
        <f>iferror(VLOOKUP(A733,'Positional cal'!A:H,1,0)=A733,"FALSE")</f>
        <v>FALSE</v>
      </c>
      <c r="R733" s="43" t="b">
        <f t="shared" si="3"/>
        <v>0</v>
      </c>
      <c r="S733" s="46">
        <f>IFERROR(VLOOKUP($A733,AlgoUi!$A:$X,21,0),"NA")</f>
        <v>13797209</v>
      </c>
      <c r="T733" s="46">
        <f>IFERROR(VLOOKUP($A733,AlgoUi!$A:$X,23,0),"")</f>
        <v>14000000</v>
      </c>
      <c r="U733" s="46">
        <f>IFERROR(VLOOKUP($A733,AlgoUi!$A:$X,24,0),"")</f>
        <v>112000</v>
      </c>
      <c r="V733" s="42" t="str">
        <f>IFERROR(__xludf.DUMMYFUNCTION("IFERROR(VLOOKUP(I733,IMPORTRANGE(""https://docs.google.com/spreadsheets/d/17FOIUYQAjPk1pPQIlvOgqYDBqwUqgb7KWzp4DtVksBk/edit?gid=0#gid=0"",""Servers!A:S""),19,FALSE), ""Not Running"")"),"DUSHYANT")</f>
        <v>DUSHYANT</v>
      </c>
      <c r="W733" s="47" t="str">
        <f>VLOOKUP($A733,Category!$A:$E,4,0)</f>
        <v>MS</v>
      </c>
      <c r="X733" s="47" t="str">
        <f>VLOOKUP($A733,Category!$A:$E,5,0)</f>
        <v>MSN</v>
      </c>
      <c r="Y733" s="18" t="str">
        <f>VLOOKUP(A733,PAcc!$A$1:$J$27,10,0)</f>
        <v>#N/A</v>
      </c>
      <c r="Z733" s="42" t="b">
        <f t="shared" si="4"/>
        <v>0</v>
      </c>
      <c r="AA733" s="50">
        <v>0.4</v>
      </c>
      <c r="AB733" s="42" t="str">
        <f>VLOOKUP(A733,VlookupSheet!$A$383:$A$523,1,0)</f>
        <v>#N/A</v>
      </c>
      <c r="AC733" s="50">
        <v>0.02</v>
      </c>
      <c r="AD733" s="42">
        <f t="shared" ref="AD733:AD747" si="143">S733*AA733</f>
        <v>5518883.6</v>
      </c>
      <c r="AE733" s="42">
        <f t="shared" ref="AE733:AE747" si="144">MROUND(AD733,2000000)/100</f>
        <v>60000</v>
      </c>
      <c r="AF733" s="123">
        <f t="shared" ref="AF733:AF747" si="145">AE733-H733</f>
        <v>0</v>
      </c>
    </row>
    <row r="734">
      <c r="A734" s="365" t="s">
        <v>2012</v>
      </c>
      <c r="B734" s="84" t="s">
        <v>2865</v>
      </c>
      <c r="C734" s="25"/>
      <c r="D734" s="11">
        <f t="shared" si="141"/>
        <v>0.8</v>
      </c>
      <c r="E734" s="11">
        <f t="shared" si="142"/>
        <v>160000</v>
      </c>
      <c r="F734" s="75" t="s">
        <v>297</v>
      </c>
      <c r="G734" s="11">
        <v>160000.0</v>
      </c>
      <c r="H734" s="31">
        <v>200000.0</v>
      </c>
      <c r="I734" s="74" t="s">
        <v>75</v>
      </c>
      <c r="J734" s="25" t="s">
        <v>1018</v>
      </c>
      <c r="K734" s="38">
        <f t="shared" si="105"/>
        <v>0.8</v>
      </c>
      <c r="L734" s="18" t="s">
        <v>910</v>
      </c>
      <c r="M734" s="18" t="s">
        <v>736</v>
      </c>
      <c r="N734" s="18">
        <v>2.0</v>
      </c>
      <c r="O734" s="34"/>
      <c r="P734" s="34" t="s">
        <v>911</v>
      </c>
      <c r="Q734" s="42" t="str">
        <f>iferror(VLOOKUP(A734,'Positional cal'!A:H,1,0)=A734,"FALSE")</f>
        <v>FALSE</v>
      </c>
      <c r="R734" s="43" t="b">
        <f t="shared" si="3"/>
        <v>1</v>
      </c>
      <c r="S734" s="46">
        <f>IFERROR(VLOOKUP($A734,AlgoUi!$A:$X,21,0),"NA")</f>
        <v>20000000</v>
      </c>
      <c r="T734" s="46">
        <f>IFERROR(VLOOKUP($A734,AlgoUi!$A:$X,23,0),"")</f>
        <v>20000000</v>
      </c>
      <c r="U734" s="46">
        <f>IFERROR(VLOOKUP($A734,AlgoUi!$A:$X,24,0),"")</f>
        <v>160000</v>
      </c>
      <c r="V734" s="42" t="str">
        <f>IFERROR(__xludf.DUMMYFUNCTION("IFERROR(VLOOKUP(I734,IMPORTRANGE(""https://docs.google.com/spreadsheets/d/17FOIUYQAjPk1pPQIlvOgqYDBqwUqgb7KWzp4DtVksBk/edit?gid=0#gid=0"",""Servers!A:S""),19,FALSE), ""Not Running"")"),"DUSHYANT")</f>
        <v>DUSHYANT</v>
      </c>
      <c r="W734" s="47" t="str">
        <f>VLOOKUP($A734,Category!$A:$E,4,0)</f>
        <v>CC</v>
      </c>
      <c r="X734" s="47" t="str">
        <f>VLOOKUP($A734,Category!$A:$E,5,0)</f>
        <v>CCG</v>
      </c>
      <c r="Y734" s="18" t="str">
        <f>VLOOKUP(A734,PAcc!$A$1:$J$27,10,0)</f>
        <v>#N/A</v>
      </c>
      <c r="Z734" s="42" t="b">
        <f t="shared" si="4"/>
        <v>1</v>
      </c>
      <c r="AA734" s="50">
        <v>1.0</v>
      </c>
      <c r="AB734" s="42" t="str">
        <f>VLOOKUP(A734,VlookupSheet!$A$383:$A$523,1,0)</f>
        <v>#N/A</v>
      </c>
      <c r="AC734" s="87">
        <v>0.008</v>
      </c>
      <c r="AD734" s="42">
        <f t="shared" si="143"/>
        <v>20000000</v>
      </c>
      <c r="AE734" s="42">
        <f t="shared" si="144"/>
        <v>200000</v>
      </c>
      <c r="AF734" s="123">
        <f t="shared" si="145"/>
        <v>0</v>
      </c>
    </row>
    <row r="735">
      <c r="A735" s="30" t="s">
        <v>532</v>
      </c>
      <c r="B735" s="84" t="s">
        <v>2458</v>
      </c>
      <c r="C735" s="30" t="s">
        <v>77</v>
      </c>
      <c r="D735" s="11">
        <f t="shared" si="141"/>
        <v>0.8</v>
      </c>
      <c r="E735" s="11">
        <f t="shared" si="142"/>
        <v>192000</v>
      </c>
      <c r="F735" s="30" t="s">
        <v>1283</v>
      </c>
      <c r="G735" s="11">
        <v>192000.0</v>
      </c>
      <c r="H735" s="31">
        <v>240000.0</v>
      </c>
      <c r="I735" s="74" t="s">
        <v>75</v>
      </c>
      <c r="J735" s="25" t="s">
        <v>1018</v>
      </c>
      <c r="K735" s="38">
        <f t="shared" si="105"/>
        <v>0.8</v>
      </c>
      <c r="L735" s="18" t="s">
        <v>910</v>
      </c>
      <c r="M735" s="18" t="s">
        <v>736</v>
      </c>
      <c r="N735" s="34">
        <v>4.0</v>
      </c>
      <c r="O735" s="34"/>
      <c r="P735" s="34" t="s">
        <v>814</v>
      </c>
      <c r="Q735" s="42" t="str">
        <f>iferror(VLOOKUP(A735,'Positional cal'!A:H,1,0)=A735,"FALSE")</f>
        <v>FALSE</v>
      </c>
      <c r="R735" s="43" t="b">
        <f t="shared" si="3"/>
        <v>0</v>
      </c>
      <c r="S735" s="46">
        <f>IFERROR(VLOOKUP($A735,AlgoUi!$A:$X,21,0),"NA")</f>
        <v>51000000</v>
      </c>
      <c r="T735" s="46">
        <f>IFERROR(VLOOKUP($A735,AlgoUi!$A:$X,23,0),"")</f>
        <v>52000000</v>
      </c>
      <c r="U735" s="46">
        <f>IFERROR(VLOOKUP($A735,AlgoUi!$A:$X,24,0),"")</f>
        <v>416000</v>
      </c>
      <c r="V735" s="42" t="str">
        <f>IFERROR(__xludf.DUMMYFUNCTION("IFERROR(VLOOKUP(I735,IMPORTRANGE(""https://docs.google.com/spreadsheets/d/17FOIUYQAjPk1pPQIlvOgqYDBqwUqgb7KWzp4DtVksBk/edit?gid=0#gid=0"",""Servers!A:S""),19,FALSE), ""Not Running"")"),"DUSHYANT")</f>
        <v>DUSHYANT</v>
      </c>
      <c r="W735" s="47" t="str">
        <f>VLOOKUP($A735,Category!$A:$E,4,0)</f>
        <v>CC</v>
      </c>
      <c r="X735" s="47" t="str">
        <f>VLOOKUP($A735,Category!$A:$E,5,0)</f>
        <v>CCV</v>
      </c>
      <c r="Y735" s="18" t="str">
        <f>VLOOKUP(A735,PAcc!$A$1:$J$27,10,0)</f>
        <v>#N/A</v>
      </c>
      <c r="Z735" s="42" t="b">
        <f t="shared" si="4"/>
        <v>0</v>
      </c>
      <c r="AA735" s="50">
        <v>0.6</v>
      </c>
      <c r="AB735" s="42" t="str">
        <f>VLOOKUP(A735,VlookupSheet!$A$383:$A$523,1,0)</f>
        <v>#N/A</v>
      </c>
      <c r="AC735" s="42"/>
      <c r="AD735" s="42">
        <f t="shared" si="143"/>
        <v>30600000</v>
      </c>
      <c r="AE735" s="42">
        <f t="shared" si="144"/>
        <v>300000</v>
      </c>
      <c r="AF735" s="123">
        <f t="shared" si="145"/>
        <v>60000</v>
      </c>
    </row>
    <row r="736">
      <c r="A736" s="30" t="s">
        <v>1307</v>
      </c>
      <c r="B736" s="84" t="s">
        <v>2494</v>
      </c>
      <c r="C736" s="85"/>
      <c r="D736" s="11">
        <f t="shared" si="141"/>
        <v>0.8</v>
      </c>
      <c r="E736" s="11">
        <f t="shared" si="142"/>
        <v>240000</v>
      </c>
      <c r="F736" s="30" t="s">
        <v>1310</v>
      </c>
      <c r="G736" s="11">
        <v>240000.0</v>
      </c>
      <c r="H736" s="31">
        <v>300000.0</v>
      </c>
      <c r="I736" s="74" t="s">
        <v>75</v>
      </c>
      <c r="J736" s="25" t="s">
        <v>1018</v>
      </c>
      <c r="K736" s="38">
        <f t="shared" si="105"/>
        <v>0.8</v>
      </c>
      <c r="L736" s="18" t="s">
        <v>910</v>
      </c>
      <c r="M736" s="18" t="s">
        <v>736</v>
      </c>
      <c r="N736" s="34">
        <v>5.0</v>
      </c>
      <c r="O736" s="34"/>
      <c r="P736" s="34" t="s">
        <v>3930</v>
      </c>
      <c r="Q736" s="42" t="str">
        <f>iferror(VLOOKUP(A736,'Positional cal'!A:H,1,0)=A736,"FALSE")</f>
        <v>FALSE</v>
      </c>
      <c r="R736" s="43" t="b">
        <f t="shared" si="3"/>
        <v>0</v>
      </c>
      <c r="S736" s="46">
        <f>IFERROR(VLOOKUP($A736,AlgoUi!$A:$X,21,0),"NA")</f>
        <v>50000000</v>
      </c>
      <c r="T736" s="46">
        <f>IFERROR(VLOOKUP($A736,AlgoUi!$A:$X,23,0),"")</f>
        <v>50000000</v>
      </c>
      <c r="U736" s="46">
        <f>IFERROR(VLOOKUP($A736,AlgoUi!$A:$X,24,0),"")</f>
        <v>400000</v>
      </c>
      <c r="V736" s="42" t="str">
        <f>IFERROR(__xludf.DUMMYFUNCTION("IFERROR(VLOOKUP(I736,IMPORTRANGE(""https://docs.google.com/spreadsheets/d/17FOIUYQAjPk1pPQIlvOgqYDBqwUqgb7KWzp4DtVksBk/edit?gid=0#gid=0"",""Servers!A:S""),19,FALSE), ""Not Running"")"),"DUSHYANT")</f>
        <v>DUSHYANT</v>
      </c>
      <c r="W736" s="47" t="str">
        <f>VLOOKUP($A736,Category!$A:$E,4,0)</f>
        <v>CC</v>
      </c>
      <c r="X736" s="47" t="str">
        <f>VLOOKUP($A736,Category!$A:$E,5,0)</f>
        <v>CCV</v>
      </c>
      <c r="Y736" s="18" t="str">
        <f>VLOOKUP(A736,PAcc!$A$1:$J$27,10,0)</f>
        <v>#N/A</v>
      </c>
      <c r="Z736" s="42" t="b">
        <f t="shared" si="4"/>
        <v>0</v>
      </c>
      <c r="AA736" s="50">
        <v>0.6</v>
      </c>
      <c r="AB736" s="42" t="str">
        <f>VLOOKUP(A736,VlookupSheet!$A$383:$A$523,1,0)</f>
        <v>#N/A</v>
      </c>
      <c r="AC736" s="50">
        <v>0.02</v>
      </c>
      <c r="AD736" s="42">
        <f t="shared" si="143"/>
        <v>30000000</v>
      </c>
      <c r="AE736" s="42">
        <f t="shared" si="144"/>
        <v>300000</v>
      </c>
      <c r="AF736" s="123">
        <f t="shared" si="145"/>
        <v>0</v>
      </c>
    </row>
    <row r="737">
      <c r="A737" s="11" t="s">
        <v>2682</v>
      </c>
      <c r="B737" s="24" t="s">
        <v>3477</v>
      </c>
      <c r="C737" s="25"/>
      <c r="D737" s="11">
        <f t="shared" si="141"/>
        <v>0.8</v>
      </c>
      <c r="E737" s="11">
        <f t="shared" si="142"/>
        <v>48000</v>
      </c>
      <c r="F737" s="11" t="s">
        <v>317</v>
      </c>
      <c r="G737" s="11">
        <v>48000.0</v>
      </c>
      <c r="H737" s="31">
        <v>60000.0</v>
      </c>
      <c r="I737" s="42" t="s">
        <v>75</v>
      </c>
      <c r="J737" s="25" t="s">
        <v>1018</v>
      </c>
      <c r="K737" s="38">
        <f t="shared" si="105"/>
        <v>0.8</v>
      </c>
      <c r="L737" s="18" t="s">
        <v>910</v>
      </c>
      <c r="M737" s="18" t="s">
        <v>736</v>
      </c>
      <c r="N737" s="42"/>
      <c r="O737" s="42"/>
      <c r="P737" s="42"/>
      <c r="Q737" s="42" t="str">
        <f>iferror(VLOOKUP(A737,'Positional cal'!A:H,1,0)=A737,"FALSE")</f>
        <v>FALSE</v>
      </c>
      <c r="R737" s="43" t="b">
        <f t="shared" si="3"/>
        <v>0</v>
      </c>
      <c r="S737" s="46">
        <f>IFERROR(VLOOKUP($A737,AlgoUi!$A:$X,21,0),"NA")</f>
        <v>10000000</v>
      </c>
      <c r="T737" s="46">
        <f>IFERROR(VLOOKUP($A737,AlgoUi!$A:$X,23,0),"")</f>
        <v>10000000</v>
      </c>
      <c r="U737" s="46">
        <f>IFERROR(VLOOKUP($A737,AlgoUi!$A:$X,24,0),"")</f>
        <v>80000</v>
      </c>
      <c r="V737" s="42" t="str">
        <f>IFERROR(__xludf.DUMMYFUNCTION("IFERROR(VLOOKUP(I737,IMPORTRANGE(""https://docs.google.com/spreadsheets/d/17FOIUYQAjPk1pPQIlvOgqYDBqwUqgb7KWzp4DtVksBk/edit?gid=0#gid=0"",""Servers!A:S""),19,FALSE), ""Not Running"")"),"DUSHYANT")</f>
        <v>DUSHYANT</v>
      </c>
      <c r="W737" s="47" t="str">
        <f>VLOOKUP($A737,Category!$A:$E,4,0)</f>
        <v>CC</v>
      </c>
      <c r="X737" s="47" t="str">
        <f>VLOOKUP($A737,Category!$A:$E,5,0)</f>
        <v>CCV</v>
      </c>
      <c r="Y737" s="18" t="str">
        <f>VLOOKUP(A737,PAcc!$A$1:$J$27,10,0)</f>
        <v>#N/A</v>
      </c>
      <c r="Z737" s="42" t="b">
        <f t="shared" si="4"/>
        <v>0</v>
      </c>
      <c r="AA737" s="50">
        <v>0.6</v>
      </c>
      <c r="AB737" s="42" t="str">
        <f>VLOOKUP(A737,VlookupSheet!$A$383:$A$523,1,0)</f>
        <v>#N/A</v>
      </c>
      <c r="AC737" s="50">
        <v>0.02</v>
      </c>
      <c r="AD737" s="42">
        <f t="shared" si="143"/>
        <v>6000000</v>
      </c>
      <c r="AE737" s="42">
        <f t="shared" si="144"/>
        <v>60000</v>
      </c>
      <c r="AF737" s="123">
        <f t="shared" si="145"/>
        <v>0</v>
      </c>
    </row>
    <row r="738">
      <c r="A738" s="11" t="s">
        <v>2384</v>
      </c>
      <c r="B738" s="24" t="s">
        <v>3222</v>
      </c>
      <c r="C738" s="25"/>
      <c r="D738" s="11">
        <f t="shared" si="141"/>
        <v>0.8</v>
      </c>
      <c r="E738" s="11">
        <f t="shared" si="142"/>
        <v>640000</v>
      </c>
      <c r="F738" s="30" t="s">
        <v>266</v>
      </c>
      <c r="G738" s="11">
        <v>640000.0</v>
      </c>
      <c r="H738" s="31">
        <v>800000.0</v>
      </c>
      <c r="I738" s="74" t="s">
        <v>75</v>
      </c>
      <c r="J738" s="25" t="s">
        <v>1018</v>
      </c>
      <c r="K738" s="38">
        <f t="shared" si="105"/>
        <v>0.8</v>
      </c>
      <c r="L738" s="18" t="s">
        <v>910</v>
      </c>
      <c r="M738" s="18" t="s">
        <v>736</v>
      </c>
      <c r="N738" s="18"/>
      <c r="O738" s="18"/>
      <c r="P738" s="18" t="s">
        <v>1396</v>
      </c>
      <c r="Q738" s="42" t="str">
        <f>iferror(VLOOKUP(A738,'Positional cal'!A:H,1,0)=A738,"FALSE")</f>
        <v>FALSE</v>
      </c>
      <c r="R738" s="43" t="b">
        <f t="shared" si="3"/>
        <v>0</v>
      </c>
      <c r="S738" s="46">
        <f>IFERROR(VLOOKUP($A738,AlgoUi!$A:$X,21,0),"NA")</f>
        <v>1000000000</v>
      </c>
      <c r="T738" s="46">
        <f>IFERROR(VLOOKUP($A738,AlgoUi!$A:$X,23,0),"")</f>
        <v>1000000000</v>
      </c>
      <c r="U738" s="46">
        <f>IFERROR(VLOOKUP($A738,AlgoUi!$A:$X,24,0),"")</f>
        <v>8000000</v>
      </c>
      <c r="V738" s="42" t="str">
        <f>IFERROR(__xludf.DUMMYFUNCTION("IFERROR(VLOOKUP(I738,IMPORTRANGE(""https://docs.google.com/spreadsheets/d/17FOIUYQAjPk1pPQIlvOgqYDBqwUqgb7KWzp4DtVksBk/edit?gid=0#gid=0"",""Servers!A:S""),19,FALSE), ""Not Running"")"),"DUSHYANT")</f>
        <v>DUSHYANT</v>
      </c>
      <c r="W738" s="47" t="str">
        <f>VLOOKUP($A738,Category!$A:$E,4,0)</f>
        <v>MS</v>
      </c>
      <c r="X738" s="47" t="str">
        <f>VLOOKUP($A738,Category!$A:$E,5,0)</f>
        <v>MSJ</v>
      </c>
      <c r="Y738" s="18" t="str">
        <f>VLOOKUP(A738,PAcc!$A$1:$J$27,10,0)</f>
        <v>#N/A</v>
      </c>
      <c r="Z738" s="42" t="b">
        <f t="shared" si="4"/>
        <v>0</v>
      </c>
      <c r="AA738" s="42"/>
      <c r="AB738" s="42" t="str">
        <f>VLOOKUP(A738,VlookupSheet!$A$383:$A$523,1,0)</f>
        <v>#N/A</v>
      </c>
      <c r="AC738" s="42"/>
      <c r="AD738" s="42">
        <f t="shared" si="143"/>
        <v>0</v>
      </c>
      <c r="AE738" s="42">
        <f t="shared" si="144"/>
        <v>0</v>
      </c>
      <c r="AF738" s="123">
        <f t="shared" si="145"/>
        <v>-800000</v>
      </c>
    </row>
    <row r="739">
      <c r="A739" s="11" t="s">
        <v>2386</v>
      </c>
      <c r="B739" s="24" t="s">
        <v>3240</v>
      </c>
      <c r="C739" s="25"/>
      <c r="D739" s="11">
        <f t="shared" si="141"/>
        <v>0.8</v>
      </c>
      <c r="E739" s="11">
        <f t="shared" si="142"/>
        <v>64000</v>
      </c>
      <c r="F739" s="11" t="s">
        <v>1283</v>
      </c>
      <c r="G739" s="11">
        <v>64000.0</v>
      </c>
      <c r="H739" s="31">
        <v>80000.0</v>
      </c>
      <c r="I739" s="74" t="s">
        <v>75</v>
      </c>
      <c r="J739" s="25" t="s">
        <v>1018</v>
      </c>
      <c r="K739" s="38">
        <f t="shared" si="105"/>
        <v>0.8</v>
      </c>
      <c r="L739" s="18" t="s">
        <v>910</v>
      </c>
      <c r="M739" s="18" t="s">
        <v>736</v>
      </c>
      <c r="N739" s="18">
        <v>2.0</v>
      </c>
      <c r="O739" s="18"/>
      <c r="P739" s="18" t="s">
        <v>911</v>
      </c>
      <c r="Q739" s="42" t="str">
        <f>iferror(VLOOKUP(A739,'Positional cal'!A:H,1,0)=A739,"FALSE")</f>
        <v>FALSE</v>
      </c>
      <c r="R739" s="43" t="b">
        <f t="shared" si="3"/>
        <v>0</v>
      </c>
      <c r="S739" s="46">
        <f>IFERROR(VLOOKUP($A739,AlgoUi!$A:$X,21,0),"NA")</f>
        <v>20000000</v>
      </c>
      <c r="T739" s="46">
        <f>IFERROR(VLOOKUP($A739,AlgoUi!$A:$X,23,0),"")</f>
        <v>20000000</v>
      </c>
      <c r="U739" s="46">
        <f>IFERROR(VLOOKUP($A739,AlgoUi!$A:$X,24,0),"")</f>
        <v>160000</v>
      </c>
      <c r="V739" s="42" t="str">
        <f>IFERROR(__xludf.DUMMYFUNCTION("IFERROR(VLOOKUP(I739,IMPORTRANGE(""https://docs.google.com/spreadsheets/d/17FOIUYQAjPk1pPQIlvOgqYDBqwUqgb7KWzp4DtVksBk/edit?gid=0#gid=0"",""Servers!A:S""),19,FALSE), ""Not Running"")"),"DUSHYANT")</f>
        <v>DUSHYANT</v>
      </c>
      <c r="W739" s="47" t="str">
        <f>VLOOKUP($A739,Category!$A:$E,4,0)</f>
        <v>MS</v>
      </c>
      <c r="X739" s="47" t="str">
        <f>VLOOKUP($A739,Category!$A:$E,5,0)</f>
        <v>MSS</v>
      </c>
      <c r="Y739" s="18" t="str">
        <f>VLOOKUP(A739,PAcc!$A$1:$J$27,10,0)</f>
        <v>#N/A</v>
      </c>
      <c r="Z739" s="42" t="b">
        <f t="shared" si="4"/>
        <v>0</v>
      </c>
      <c r="AA739" s="50">
        <v>0.4</v>
      </c>
      <c r="AB739" s="42" t="str">
        <f>VLOOKUP(A739,VlookupSheet!$A$383:$A$523,1,0)</f>
        <v>#N/A</v>
      </c>
      <c r="AC739" s="42"/>
      <c r="AD739" s="42">
        <f t="shared" si="143"/>
        <v>8000000</v>
      </c>
      <c r="AE739" s="42">
        <f t="shared" si="144"/>
        <v>80000</v>
      </c>
      <c r="AF739" s="123">
        <f t="shared" si="145"/>
        <v>0</v>
      </c>
    </row>
    <row r="740">
      <c r="A740" s="11" t="s">
        <v>2413</v>
      </c>
      <c r="B740" s="24" t="s">
        <v>3257</v>
      </c>
      <c r="C740" s="25"/>
      <c r="D740" s="11">
        <f t="shared" si="141"/>
        <v>0.8</v>
      </c>
      <c r="E740" s="11">
        <f t="shared" si="142"/>
        <v>256000</v>
      </c>
      <c r="F740" s="11" t="s">
        <v>2402</v>
      </c>
      <c r="G740" s="11">
        <v>256000.0</v>
      </c>
      <c r="H740" s="31">
        <v>320000.0</v>
      </c>
      <c r="I740" s="74" t="s">
        <v>75</v>
      </c>
      <c r="J740" s="25" t="s">
        <v>1018</v>
      </c>
      <c r="K740" s="38">
        <f t="shared" si="105"/>
        <v>0.8</v>
      </c>
      <c r="L740" s="18" t="s">
        <v>910</v>
      </c>
      <c r="M740" s="18" t="s">
        <v>736</v>
      </c>
      <c r="N740" s="18"/>
      <c r="O740" s="18"/>
      <c r="P740" s="18" t="s">
        <v>1396</v>
      </c>
      <c r="Q740" s="42" t="str">
        <f>iferror(VLOOKUP(A740,'Positional cal'!A:H,1,0)=A740,"FALSE")</f>
        <v>FALSE</v>
      </c>
      <c r="R740" s="43" t="b">
        <f t="shared" si="3"/>
        <v>0</v>
      </c>
      <c r="S740" s="46">
        <f>IFERROR(VLOOKUP($A740,AlgoUi!$A:$X,21,0),"NA")</f>
        <v>10000000000</v>
      </c>
      <c r="T740" s="46">
        <f>IFERROR(VLOOKUP($A740,AlgoUi!$A:$X,23,0),"")</f>
        <v>10000000000</v>
      </c>
      <c r="U740" s="46">
        <f>IFERROR(VLOOKUP($A740,AlgoUi!$A:$X,24,0),"")</f>
        <v>80000000</v>
      </c>
      <c r="V740" s="42" t="str">
        <f>IFERROR(__xludf.DUMMYFUNCTION("IFERROR(VLOOKUP(I740,IMPORTRANGE(""https://docs.google.com/spreadsheets/d/17FOIUYQAjPk1pPQIlvOgqYDBqwUqgb7KWzp4DtVksBk/edit?gid=0#gid=0"",""Servers!A:S""),19,FALSE), ""Not Running"")"),"DUSHYANT")</f>
        <v>DUSHYANT</v>
      </c>
      <c r="W740" s="47" t="str">
        <f>VLOOKUP($A740,Category!$A:$E,4,0)</f>
        <v>MS</v>
      </c>
      <c r="X740" s="47" t="str">
        <f>VLOOKUP($A740,Category!$A:$E,5,0)</f>
        <v>MSR</v>
      </c>
      <c r="Y740" s="18" t="str">
        <f>VLOOKUP(A740,PAcc!$A$1:$J$27,10,0)</f>
        <v>#N/A</v>
      </c>
      <c r="Z740" s="42" t="b">
        <f t="shared" si="4"/>
        <v>0</v>
      </c>
      <c r="AA740" s="50">
        <v>0.4</v>
      </c>
      <c r="AB740" s="42" t="str">
        <f>VLOOKUP(A740,VlookupSheet!$A$383:$A$523,1,0)</f>
        <v>#N/A</v>
      </c>
      <c r="AC740" s="42"/>
      <c r="AD740" s="42">
        <f t="shared" si="143"/>
        <v>4000000000</v>
      </c>
      <c r="AE740" s="42">
        <f t="shared" si="144"/>
        <v>40000000</v>
      </c>
      <c r="AF740" s="123">
        <f t="shared" si="145"/>
        <v>39680000</v>
      </c>
    </row>
    <row r="741">
      <c r="A741" s="30" t="s">
        <v>1818</v>
      </c>
      <c r="B741" s="84" t="s">
        <v>1852</v>
      </c>
      <c r="C741" s="85"/>
      <c r="D741" s="11">
        <f t="shared" si="141"/>
        <v>0.8</v>
      </c>
      <c r="E741" s="11">
        <f t="shared" si="142"/>
        <v>48000</v>
      </c>
      <c r="F741" s="30" t="s">
        <v>311</v>
      </c>
      <c r="G741" s="11">
        <v>48000.0</v>
      </c>
      <c r="H741" s="31">
        <v>60000.0</v>
      </c>
      <c r="I741" s="34" t="s">
        <v>75</v>
      </c>
      <c r="J741" s="25" t="s">
        <v>1018</v>
      </c>
      <c r="K741" s="38">
        <f t="shared" si="105"/>
        <v>0.8</v>
      </c>
      <c r="L741" s="18" t="s">
        <v>910</v>
      </c>
      <c r="M741" s="18" t="s">
        <v>736</v>
      </c>
      <c r="N741" s="18">
        <v>1.0</v>
      </c>
      <c r="O741" s="34"/>
      <c r="P741" s="34" t="s">
        <v>848</v>
      </c>
      <c r="Q741" s="42" t="str">
        <f>iferror(VLOOKUP(A741,'Positional cal'!A:H,1,0)=A741,"FALSE")</f>
        <v>FALSE</v>
      </c>
      <c r="R741" s="43" t="b">
        <f t="shared" si="3"/>
        <v>0</v>
      </c>
      <c r="S741" s="46">
        <f>IFERROR(VLOOKUP($A741,AlgoUi!$A:$X,21,0),"NA")</f>
        <v>14697854</v>
      </c>
      <c r="T741" s="46">
        <f>IFERROR(VLOOKUP($A741,AlgoUi!$A:$X,23,0),"")</f>
        <v>14000000</v>
      </c>
      <c r="U741" s="46">
        <f>IFERROR(VLOOKUP($A741,AlgoUi!$A:$X,24,0),"")</f>
        <v>112000</v>
      </c>
      <c r="V741" s="42" t="str">
        <f>IFERROR(__xludf.DUMMYFUNCTION("IFERROR(VLOOKUP(I741,IMPORTRANGE(""https://docs.google.com/spreadsheets/d/17FOIUYQAjPk1pPQIlvOgqYDBqwUqgb7KWzp4DtVksBk/edit?gid=0#gid=0"",""Servers!A:S""),19,FALSE), ""Not Running"")"),"DUSHYANT")</f>
        <v>DUSHYANT</v>
      </c>
      <c r="W741" s="47" t="str">
        <f>VLOOKUP($A741,Category!$A:$E,4,0)</f>
        <v>MS</v>
      </c>
      <c r="X741" s="47" t="str">
        <f>VLOOKUP($A741,Category!$A:$E,5,0)</f>
        <v>MSR</v>
      </c>
      <c r="Y741" s="18" t="str">
        <f>VLOOKUP(A741,PAcc!$A$1:$J$27,10,0)</f>
        <v>#N/A</v>
      </c>
      <c r="Z741" s="42" t="b">
        <f t="shared" si="4"/>
        <v>0</v>
      </c>
      <c r="AA741" s="50">
        <v>0.4</v>
      </c>
      <c r="AB741" s="42" t="str">
        <f>VLOOKUP(A741,VlookupSheet!$A$383:$A$523,1,0)</f>
        <v>#N/A</v>
      </c>
      <c r="AC741" s="42"/>
      <c r="AD741" s="42">
        <f t="shared" si="143"/>
        <v>5879141.6</v>
      </c>
      <c r="AE741" s="42">
        <f t="shared" si="144"/>
        <v>60000</v>
      </c>
      <c r="AF741" s="123">
        <f t="shared" si="145"/>
        <v>0</v>
      </c>
    </row>
    <row r="742">
      <c r="A742" s="11" t="s">
        <v>2744</v>
      </c>
      <c r="B742" s="24" t="s">
        <v>3583</v>
      </c>
      <c r="C742" s="25"/>
      <c r="D742" s="11">
        <f t="shared" si="141"/>
        <v>0.8</v>
      </c>
      <c r="E742" s="11">
        <f t="shared" si="142"/>
        <v>32000</v>
      </c>
      <c r="F742" s="11" t="s">
        <v>716</v>
      </c>
      <c r="G742" s="11">
        <v>32000.0</v>
      </c>
      <c r="H742" s="31">
        <v>40000.0</v>
      </c>
      <c r="I742" s="11" t="s">
        <v>75</v>
      </c>
      <c r="J742" s="11" t="s">
        <v>1018</v>
      </c>
      <c r="K742" s="38">
        <f t="shared" si="105"/>
        <v>0.8</v>
      </c>
      <c r="L742" s="18" t="s">
        <v>910</v>
      </c>
      <c r="M742" s="18" t="s">
        <v>736</v>
      </c>
      <c r="N742" s="18">
        <v>1.0</v>
      </c>
      <c r="O742" s="18"/>
      <c r="P742" s="18" t="s">
        <v>848</v>
      </c>
      <c r="Q742" s="42" t="str">
        <f>iferror(VLOOKUP(A742,'Positional cal'!A:H,1,0)=A742,"FALSE")</f>
        <v>FALSE</v>
      </c>
      <c r="R742" s="43" t="b">
        <f t="shared" si="3"/>
        <v>0</v>
      </c>
      <c r="S742" s="46">
        <f>IFERROR(VLOOKUP($A742,AlgoUi!$A:$X,21,0),"NA")</f>
        <v>9999999</v>
      </c>
      <c r="T742" s="46">
        <f>IFERROR(VLOOKUP($A742,AlgoUi!$A:$X,23,0),"")</f>
        <v>10000000</v>
      </c>
      <c r="U742" s="46">
        <f>IFERROR(VLOOKUP($A742,AlgoUi!$A:$X,24,0),"")</f>
        <v>80000</v>
      </c>
      <c r="V742" s="42" t="str">
        <f>IFERROR(__xludf.DUMMYFUNCTION("IFERROR(VLOOKUP(I742,IMPORTRANGE(""https://docs.google.com/spreadsheets/d/17FOIUYQAjPk1pPQIlvOgqYDBqwUqgb7KWzp4DtVksBk/edit?gid=0#gid=0"",""Servers!A:S""),19,FALSE), ""Not Running"")"),"DUSHYANT")</f>
        <v>DUSHYANT</v>
      </c>
      <c r="W742" s="47" t="str">
        <f>VLOOKUP($A742,Category!$A:$E,4,0)</f>
        <v>MS</v>
      </c>
      <c r="X742" s="47" t="str">
        <f>VLOOKUP($A742,Category!$A:$E,5,0)</f>
        <v>MSS</v>
      </c>
      <c r="Y742" s="18" t="str">
        <f>VLOOKUP(A742,PAcc!$A$1:$J$27,10,0)</f>
        <v>#N/A</v>
      </c>
      <c r="Z742" s="42" t="b">
        <f t="shared" si="4"/>
        <v>0</v>
      </c>
      <c r="AA742" s="50">
        <v>0.4</v>
      </c>
      <c r="AB742" s="42" t="str">
        <f>VLOOKUP(A742,VlookupSheet!$A$383:$A$523,1,0)</f>
        <v>#N/A</v>
      </c>
      <c r="AC742" s="42"/>
      <c r="AD742" s="42">
        <f t="shared" si="143"/>
        <v>3999999.6</v>
      </c>
      <c r="AE742" s="42">
        <f t="shared" si="144"/>
        <v>40000</v>
      </c>
      <c r="AF742" s="123">
        <f t="shared" si="145"/>
        <v>0</v>
      </c>
    </row>
    <row r="743">
      <c r="A743" s="11" t="s">
        <v>2750</v>
      </c>
      <c r="B743" s="24" t="s">
        <v>2751</v>
      </c>
      <c r="C743" s="25"/>
      <c r="D743" s="11">
        <f t="shared" si="141"/>
        <v>0.8</v>
      </c>
      <c r="E743" s="11">
        <f t="shared" si="142"/>
        <v>32000</v>
      </c>
      <c r="F743" s="30" t="s">
        <v>311</v>
      </c>
      <c r="G743" s="11">
        <v>32000.0</v>
      </c>
      <c r="H743" s="31">
        <v>40000.0</v>
      </c>
      <c r="I743" s="11" t="s">
        <v>75</v>
      </c>
      <c r="J743" s="11" t="s">
        <v>1018</v>
      </c>
      <c r="K743" s="38">
        <f t="shared" si="105"/>
        <v>0.8</v>
      </c>
      <c r="L743" s="18" t="s">
        <v>910</v>
      </c>
      <c r="M743" s="18" t="s">
        <v>736</v>
      </c>
      <c r="N743" s="42"/>
      <c r="O743" s="42"/>
      <c r="P743" s="42"/>
      <c r="Q743" s="42" t="str">
        <f>iferror(VLOOKUP(A743,'Positional cal'!A:H,1,0)=A743,"FALSE")</f>
        <v>FALSE</v>
      </c>
      <c r="R743" s="43" t="b">
        <f t="shared" si="3"/>
        <v>0</v>
      </c>
      <c r="S743" s="46">
        <f>IFERROR(VLOOKUP($A743,AlgoUi!$A:$X,21,0),"NA")</f>
        <v>10692482</v>
      </c>
      <c r="T743" s="46">
        <f>IFERROR(VLOOKUP($A743,AlgoUi!$A:$X,23,0),"")</f>
        <v>10000000</v>
      </c>
      <c r="U743" s="46">
        <f>IFERROR(VLOOKUP($A743,AlgoUi!$A:$X,24,0),"")</f>
        <v>80000</v>
      </c>
      <c r="V743" s="42" t="str">
        <f>IFERROR(__xludf.DUMMYFUNCTION("IFERROR(VLOOKUP(I743,IMPORTRANGE(""https://docs.google.com/spreadsheets/d/17FOIUYQAjPk1pPQIlvOgqYDBqwUqgb7KWzp4DtVksBk/edit?gid=0#gid=0"",""Servers!A:S""),19,FALSE), ""Not Running"")"),"DUSHYANT")</f>
        <v>DUSHYANT</v>
      </c>
      <c r="W743" s="47" t="str">
        <f>VLOOKUP($A743,Category!$A:$E,4,0)</f>
        <v>MS</v>
      </c>
      <c r="X743" s="47" t="str">
        <f>VLOOKUP($A743,Category!$A:$E,5,0)</f>
        <v>MSR</v>
      </c>
      <c r="Y743" s="18" t="str">
        <f>VLOOKUP(A743,PAcc!$A$1:$J$27,10,0)</f>
        <v>#N/A</v>
      </c>
      <c r="Z743" s="42" t="b">
        <f t="shared" si="4"/>
        <v>0</v>
      </c>
      <c r="AA743" s="50">
        <v>0.4</v>
      </c>
      <c r="AB743" s="42" t="str">
        <f>VLOOKUP(A743,VlookupSheet!$A$383:$A$523,1,0)</f>
        <v>#N/A</v>
      </c>
      <c r="AC743" s="42"/>
      <c r="AD743" s="42">
        <f t="shared" si="143"/>
        <v>4276992.8</v>
      </c>
      <c r="AE743" s="42">
        <f t="shared" si="144"/>
        <v>40000</v>
      </c>
      <c r="AF743" s="123">
        <f t="shared" si="145"/>
        <v>0</v>
      </c>
    </row>
    <row r="744">
      <c r="A744" s="11" t="s">
        <v>2766</v>
      </c>
      <c r="B744" s="24" t="s">
        <v>3628</v>
      </c>
      <c r="C744" s="25"/>
      <c r="D744" s="11">
        <f t="shared" si="141"/>
        <v>0.8</v>
      </c>
      <c r="E744" s="11">
        <f t="shared" si="142"/>
        <v>32000</v>
      </c>
      <c r="F744" s="11" t="s">
        <v>886</v>
      </c>
      <c r="G744" s="11">
        <v>32000.0</v>
      </c>
      <c r="H744" s="31">
        <v>40000.0</v>
      </c>
      <c r="I744" s="11" t="s">
        <v>75</v>
      </c>
      <c r="J744" s="11" t="s">
        <v>1018</v>
      </c>
      <c r="K744" s="38">
        <f t="shared" si="105"/>
        <v>0.8</v>
      </c>
      <c r="L744" s="18" t="s">
        <v>910</v>
      </c>
      <c r="M744" s="18" t="s">
        <v>736</v>
      </c>
      <c r="N744" s="18">
        <v>1.0</v>
      </c>
      <c r="O744" s="18"/>
      <c r="P744" s="18" t="s">
        <v>848</v>
      </c>
      <c r="Q744" s="42" t="str">
        <f>iferror(VLOOKUP(A744,'Positional cal'!A:H,1,0)=A744,"FALSE")</f>
        <v>FALSE</v>
      </c>
      <c r="R744" s="43" t="b">
        <f t="shared" si="3"/>
        <v>0</v>
      </c>
      <c r="S744" s="46">
        <f>IFERROR(VLOOKUP($A744,AlgoUi!$A:$X,21,0),"NA")</f>
        <v>9999999</v>
      </c>
      <c r="T744" s="46">
        <f>IFERROR(VLOOKUP($A744,AlgoUi!$A:$X,23,0),"")</f>
        <v>10000000</v>
      </c>
      <c r="U744" s="46">
        <f>IFERROR(VLOOKUP($A744,AlgoUi!$A:$X,24,0),"")</f>
        <v>80000</v>
      </c>
      <c r="V744" s="42" t="str">
        <f>IFERROR(__xludf.DUMMYFUNCTION("IFERROR(VLOOKUP(I744,IMPORTRANGE(""https://docs.google.com/spreadsheets/d/17FOIUYQAjPk1pPQIlvOgqYDBqwUqgb7KWzp4DtVksBk/edit?gid=0#gid=0"",""Servers!A:S""),19,FALSE), ""Not Running"")"),"DUSHYANT")</f>
        <v>DUSHYANT</v>
      </c>
      <c r="W744" s="47" t="str">
        <f>VLOOKUP($A744,Category!$A:$E,4,0)</f>
        <v>MS</v>
      </c>
      <c r="X744" s="47" t="str">
        <f>VLOOKUP($A744,Category!$A:$E,5,0)</f>
        <v>MSS</v>
      </c>
      <c r="Y744" s="18" t="str">
        <f>VLOOKUP(A744,PAcc!$A$1:$J$27,10,0)</f>
        <v>#N/A</v>
      </c>
      <c r="Z744" s="42" t="b">
        <f t="shared" si="4"/>
        <v>0</v>
      </c>
      <c r="AA744" s="50">
        <v>0.4</v>
      </c>
      <c r="AB744" s="42" t="str">
        <f>VLOOKUP(A744,VlookupSheet!$A$383:$A$523,1,0)</f>
        <v>#N/A</v>
      </c>
      <c r="AC744" s="42"/>
      <c r="AD744" s="42">
        <f t="shared" si="143"/>
        <v>3999999.6</v>
      </c>
      <c r="AE744" s="42">
        <f t="shared" si="144"/>
        <v>40000</v>
      </c>
      <c r="AF744" s="123">
        <f t="shared" si="145"/>
        <v>0</v>
      </c>
    </row>
    <row r="745">
      <c r="A745" s="11" t="s">
        <v>2768</v>
      </c>
      <c r="B745" s="24" t="s">
        <v>3626</v>
      </c>
      <c r="C745" s="25"/>
      <c r="D745" s="11">
        <f t="shared" si="141"/>
        <v>0.8</v>
      </c>
      <c r="E745" s="11">
        <f t="shared" si="142"/>
        <v>32000</v>
      </c>
      <c r="F745" s="11" t="s">
        <v>886</v>
      </c>
      <c r="G745" s="11">
        <v>32000.0</v>
      </c>
      <c r="H745" s="31">
        <v>40000.0</v>
      </c>
      <c r="I745" s="11" t="s">
        <v>75</v>
      </c>
      <c r="J745" s="11" t="s">
        <v>1018</v>
      </c>
      <c r="K745" s="38">
        <f t="shared" si="105"/>
        <v>0.8</v>
      </c>
      <c r="L745" s="18" t="s">
        <v>910</v>
      </c>
      <c r="M745" s="18" t="s">
        <v>736</v>
      </c>
      <c r="N745" s="18">
        <v>1.0</v>
      </c>
      <c r="O745" s="18"/>
      <c r="P745" s="18" t="s">
        <v>848</v>
      </c>
      <c r="Q745" s="42" t="str">
        <f>iferror(VLOOKUP(A745,'Positional cal'!A:H,1,0)=A745,"FALSE")</f>
        <v>FALSE</v>
      </c>
      <c r="R745" s="43" t="b">
        <f t="shared" si="3"/>
        <v>0</v>
      </c>
      <c r="S745" s="46">
        <f>IFERROR(VLOOKUP($A745,AlgoUi!$A:$X,21,0),"NA")</f>
        <v>9839134</v>
      </c>
      <c r="T745" s="46">
        <f>IFERROR(VLOOKUP($A745,AlgoUi!$A:$X,23,0),"")</f>
        <v>10000000</v>
      </c>
      <c r="U745" s="46">
        <f>IFERROR(VLOOKUP($A745,AlgoUi!$A:$X,24,0),"")</f>
        <v>80000</v>
      </c>
      <c r="V745" s="42" t="str">
        <f>IFERROR(__xludf.DUMMYFUNCTION("IFERROR(VLOOKUP(I745,IMPORTRANGE(""https://docs.google.com/spreadsheets/d/17FOIUYQAjPk1pPQIlvOgqYDBqwUqgb7KWzp4DtVksBk/edit?gid=0#gid=0"",""Servers!A:S""),19,FALSE), ""Not Running"")"),"DUSHYANT")</f>
        <v>DUSHYANT</v>
      </c>
      <c r="W745" s="47" t="str">
        <f>VLOOKUP($A745,Category!$A:$E,4,0)</f>
        <v>MS</v>
      </c>
      <c r="X745" s="47" t="str">
        <f>VLOOKUP($A745,Category!$A:$E,5,0)</f>
        <v>MSS</v>
      </c>
      <c r="Y745" s="18" t="str">
        <f>VLOOKUP(A745,PAcc!$A$1:$J$27,10,0)</f>
        <v>#N/A</v>
      </c>
      <c r="Z745" s="42" t="b">
        <f t="shared" si="4"/>
        <v>0</v>
      </c>
      <c r="AA745" s="50">
        <v>0.4</v>
      </c>
      <c r="AB745" s="42" t="str">
        <f>VLOOKUP(A745,VlookupSheet!$A$383:$A$523,1,0)</f>
        <v>#N/A</v>
      </c>
      <c r="AC745" s="42"/>
      <c r="AD745" s="42">
        <f t="shared" si="143"/>
        <v>3935653.6</v>
      </c>
      <c r="AE745" s="42">
        <f t="shared" si="144"/>
        <v>40000</v>
      </c>
      <c r="AF745" s="123">
        <f t="shared" si="145"/>
        <v>0</v>
      </c>
    </row>
    <row r="746">
      <c r="A746" s="11" t="s">
        <v>2773</v>
      </c>
      <c r="B746" s="24" t="s">
        <v>2774</v>
      </c>
      <c r="C746" s="25"/>
      <c r="D746" s="11">
        <f t="shared" si="141"/>
        <v>0.8</v>
      </c>
      <c r="E746" s="11">
        <f t="shared" si="142"/>
        <v>64000</v>
      </c>
      <c r="F746" s="30" t="s">
        <v>311</v>
      </c>
      <c r="G746" s="11">
        <v>64000.0</v>
      </c>
      <c r="H746" s="31">
        <v>80000.0</v>
      </c>
      <c r="I746" s="11" t="s">
        <v>75</v>
      </c>
      <c r="J746" s="11" t="s">
        <v>1018</v>
      </c>
      <c r="K746" s="38">
        <f t="shared" si="105"/>
        <v>0.8</v>
      </c>
      <c r="L746" s="18" t="s">
        <v>910</v>
      </c>
      <c r="M746" s="18" t="s">
        <v>736</v>
      </c>
      <c r="N746" s="42"/>
      <c r="O746" s="42"/>
      <c r="P746" s="42"/>
      <c r="Q746" s="42" t="str">
        <f>iferror(VLOOKUP(A746,'Positional cal'!A:H,1,0)=A746,"FALSE")</f>
        <v>FALSE</v>
      </c>
      <c r="R746" s="43" t="b">
        <f t="shared" si="3"/>
        <v>0</v>
      </c>
      <c r="S746" s="46">
        <f>IFERROR(VLOOKUP($A746,AlgoUi!$A:$X,21,0),"NA")</f>
        <v>18876300</v>
      </c>
      <c r="T746" s="46">
        <f>IFERROR(VLOOKUP($A746,AlgoUi!$A:$X,23,0),"")</f>
        <v>18000000</v>
      </c>
      <c r="U746" s="46">
        <f>IFERROR(VLOOKUP($A746,AlgoUi!$A:$X,24,0),"")</f>
        <v>144000</v>
      </c>
      <c r="V746" s="42" t="str">
        <f>IFERROR(__xludf.DUMMYFUNCTION("IFERROR(VLOOKUP(I746,IMPORTRANGE(""https://docs.google.com/spreadsheets/d/17FOIUYQAjPk1pPQIlvOgqYDBqwUqgb7KWzp4DtVksBk/edit?gid=0#gid=0"",""Servers!A:S""),19,FALSE), ""Not Running"")"),"DUSHYANT")</f>
        <v>DUSHYANT</v>
      </c>
      <c r="W746" s="47" t="str">
        <f>VLOOKUP($A746,Category!$A:$E,4,0)</f>
        <v>MS</v>
      </c>
      <c r="X746" s="47" t="str">
        <f>VLOOKUP($A746,Category!$A:$E,5,0)</f>
        <v>MSR</v>
      </c>
      <c r="Y746" s="18" t="str">
        <f>VLOOKUP(A746,PAcc!$A$1:$J$27,10,0)</f>
        <v>#N/A</v>
      </c>
      <c r="Z746" s="42" t="b">
        <f t="shared" si="4"/>
        <v>0</v>
      </c>
      <c r="AA746" s="50">
        <v>0.4</v>
      </c>
      <c r="AB746" s="42" t="str">
        <f>VLOOKUP(A746,VlookupSheet!$A$383:$A$523,1,0)</f>
        <v>#N/A</v>
      </c>
      <c r="AC746" s="42"/>
      <c r="AD746" s="42">
        <f t="shared" si="143"/>
        <v>7550520</v>
      </c>
      <c r="AE746" s="42">
        <f t="shared" si="144"/>
        <v>80000</v>
      </c>
      <c r="AF746" s="123">
        <f t="shared" si="145"/>
        <v>0</v>
      </c>
    </row>
    <row r="747">
      <c r="A747" s="11" t="s">
        <v>2826</v>
      </c>
      <c r="B747" s="24" t="s">
        <v>2827</v>
      </c>
      <c r="C747" s="25"/>
      <c r="D747" s="11">
        <f t="shared" si="141"/>
        <v>0.8</v>
      </c>
      <c r="E747" s="11">
        <f t="shared" si="142"/>
        <v>32000</v>
      </c>
      <c r="F747" s="30" t="s">
        <v>311</v>
      </c>
      <c r="G747" s="11" t="s">
        <v>1039</v>
      </c>
      <c r="H747" s="11" t="s">
        <v>1100</v>
      </c>
      <c r="I747" s="11" t="s">
        <v>75</v>
      </c>
      <c r="J747" s="11" t="s">
        <v>1018</v>
      </c>
      <c r="K747" s="38">
        <f t="shared" si="105"/>
        <v>0.8</v>
      </c>
      <c r="L747" s="18" t="s">
        <v>910</v>
      </c>
      <c r="M747" s="18" t="s">
        <v>736</v>
      </c>
      <c r="N747" s="42"/>
      <c r="O747" s="42"/>
      <c r="P747" s="42"/>
      <c r="Q747" s="42" t="str">
        <f>iferror(VLOOKUP(A747,'Positional cal'!A:H,1,0)=A747,"FALSE")</f>
        <v>FALSE</v>
      </c>
      <c r="R747" s="43" t="b">
        <f t="shared" si="3"/>
        <v>0</v>
      </c>
      <c r="S747" s="46">
        <f>IFERROR(VLOOKUP($A747,AlgoUi!$A:$X,21,0),"NA")</f>
        <v>11229280</v>
      </c>
      <c r="T747" s="46">
        <f>IFERROR(VLOOKUP($A747,AlgoUi!$A:$X,23,0),"")</f>
        <v>12000000</v>
      </c>
      <c r="U747" s="46">
        <f>IFERROR(VLOOKUP($A747,AlgoUi!$A:$X,24,0),"")</f>
        <v>96000</v>
      </c>
      <c r="V747" s="42" t="str">
        <f>IFERROR(__xludf.DUMMYFUNCTION("IFERROR(VLOOKUP(I747,IMPORTRANGE(""https://docs.google.com/spreadsheets/d/17FOIUYQAjPk1pPQIlvOgqYDBqwUqgb7KWzp4DtVksBk/edit?gid=0#gid=0"",""Servers!A:S""),19,FALSE), ""Not Running"")"),"DUSHYANT")</f>
        <v>DUSHYANT</v>
      </c>
      <c r="W747" s="47" t="str">
        <f>VLOOKUP($A747,Category!$A:$E,4,0)</f>
        <v>MS</v>
      </c>
      <c r="X747" s="47" t="str">
        <f>VLOOKUP($A747,Category!$A:$E,5,0)</f>
        <v>MSN</v>
      </c>
      <c r="Y747" s="18" t="str">
        <f>VLOOKUP(A747,PAcc!$A$1:$J$27,10,0)</f>
        <v>#N/A</v>
      </c>
      <c r="Z747" s="42" t="b">
        <f t="shared" si="4"/>
        <v>0</v>
      </c>
      <c r="AA747" s="50">
        <v>0.4</v>
      </c>
      <c r="AB747" s="42" t="str">
        <f>VLOOKUP(A747,VlookupSheet!$A$383:$A$523,1,0)</f>
        <v>#N/A</v>
      </c>
      <c r="AC747" s="50">
        <v>0.3</v>
      </c>
      <c r="AD747" s="42">
        <f t="shared" si="143"/>
        <v>4491712</v>
      </c>
      <c r="AE747" s="42">
        <f t="shared" si="144"/>
        <v>40000</v>
      </c>
      <c r="AF747" s="25">
        <f t="shared" si="145"/>
        <v>0</v>
      </c>
    </row>
    <row r="748">
      <c r="A748" s="11" t="s">
        <v>2358</v>
      </c>
      <c r="B748" s="24" t="s">
        <v>3622</v>
      </c>
      <c r="C748" s="25"/>
      <c r="D748" s="11">
        <f t="shared" si="141"/>
        <v>1</v>
      </c>
      <c r="E748" s="11">
        <f t="shared" si="142"/>
        <v>40000</v>
      </c>
      <c r="F748" s="11" t="s">
        <v>2360</v>
      </c>
      <c r="G748" s="11">
        <v>40000.0</v>
      </c>
      <c r="H748" s="152">
        <v>40000.0</v>
      </c>
      <c r="I748" s="34" t="s">
        <v>267</v>
      </c>
      <c r="J748" s="11" t="s">
        <v>87</v>
      </c>
      <c r="K748" s="38">
        <f t="shared" si="105"/>
        <v>1</v>
      </c>
      <c r="L748" s="18" t="s">
        <v>268</v>
      </c>
      <c r="M748" s="18" t="s">
        <v>268</v>
      </c>
      <c r="N748" s="18">
        <v>2.0</v>
      </c>
      <c r="O748" s="18"/>
      <c r="P748" s="18" t="s">
        <v>911</v>
      </c>
      <c r="Q748" s="42" t="str">
        <f>iferror(VLOOKUP(A748,'Positional cal'!A:H,1,0)=A748,"FALSE")</f>
        <v>FALSE</v>
      </c>
      <c r="R748" s="43" t="b">
        <f t="shared" si="3"/>
        <v>0</v>
      </c>
      <c r="S748" s="46" t="str">
        <f>IFERROR(VLOOKUP($A748,AlgoUi!$A:$X,21,0),"NA")</f>
        <v/>
      </c>
      <c r="T748" s="46" t="str">
        <f>IFERROR(VLOOKUP($A748,AlgoUi!$A:$X,23,0),"")</f>
        <v/>
      </c>
      <c r="U748" s="46" t="str">
        <f>IFERROR(VLOOKUP($A748,AlgoUi!$A:$X,24,0),"")</f>
        <v/>
      </c>
      <c r="V748" s="42" t="str">
        <f>IFERROR(__xludf.DUMMYFUNCTION("IFERROR(VLOOKUP(I748,IMPORTRANGE(""https://docs.google.com/spreadsheets/d/17FOIUYQAjPk1pPQIlvOgqYDBqwUqgb7KWzp4DtVksBk/edit?gid=0#gid=0"",""Servers!A:S""),19,FALSE), ""Not Running"")"),"Not Running")</f>
        <v>Not Running</v>
      </c>
      <c r="W748" s="47" t="str">
        <f>VLOOKUP($A748,Category!$A:$E,4,0)</f>
        <v>MS</v>
      </c>
      <c r="X748" s="47" t="str">
        <f>VLOOKUP($A748,Category!$A:$E,5,0)</f>
        <v>MSR</v>
      </c>
      <c r="Y748" s="18" t="str">
        <f>VLOOKUP(A748,PAcc!$A$1:$J$27,10,0)</f>
        <v>#N/A</v>
      </c>
      <c r="Z748" s="42" t="b">
        <f t="shared" si="4"/>
        <v>0</v>
      </c>
      <c r="AA748" s="50">
        <v>0.2</v>
      </c>
      <c r="AB748" s="42" t="str">
        <f>VLOOKUP(A748,VlookupSheet!$A$383:$A$523,1,0)</f>
        <v>#N/A</v>
      </c>
      <c r="AC748" s="42"/>
      <c r="AD748" s="42"/>
      <c r="AE748" s="42"/>
      <c r="AF748" s="42"/>
    </row>
    <row r="749">
      <c r="A749" s="11" t="s">
        <v>2475</v>
      </c>
      <c r="B749" s="24" t="s">
        <v>3373</v>
      </c>
      <c r="C749" s="25"/>
      <c r="D749" s="11">
        <f t="shared" si="141"/>
        <v>1</v>
      </c>
      <c r="E749" s="11">
        <f t="shared" si="142"/>
        <v>100000</v>
      </c>
      <c r="F749" s="11" t="s">
        <v>3715</v>
      </c>
      <c r="G749" s="11">
        <v>100000.0</v>
      </c>
      <c r="H749" s="152">
        <v>100000.0</v>
      </c>
      <c r="I749" s="42" t="s">
        <v>249</v>
      </c>
      <c r="J749" s="25" t="s">
        <v>77</v>
      </c>
      <c r="K749" s="38">
        <f t="shared" si="105"/>
        <v>1</v>
      </c>
      <c r="L749" s="18" t="s">
        <v>910</v>
      </c>
      <c r="M749" s="18" t="s">
        <v>736</v>
      </c>
      <c r="N749" s="18">
        <v>1.0</v>
      </c>
      <c r="O749" s="42"/>
      <c r="P749" s="42"/>
      <c r="Q749" s="42" t="str">
        <f>iferror(VLOOKUP(A749,'Positional cal'!A:H,1,0)=A749,"FALSE")</f>
        <v>FALSE</v>
      </c>
      <c r="R749" s="43" t="b">
        <f t="shared" si="3"/>
        <v>0</v>
      </c>
      <c r="S749" s="46">
        <f>IFERROR(VLOOKUP($A749,AlgoUi!$A:$X,21,0),"NA")</f>
        <v>20000000</v>
      </c>
      <c r="T749" s="46">
        <f>IFERROR(VLOOKUP($A749,AlgoUi!$A:$X,23,0),"")</f>
        <v>20000000</v>
      </c>
      <c r="U749" s="46">
        <f>IFERROR(VLOOKUP($A749,AlgoUi!$A:$X,24,0),"")</f>
        <v>200000</v>
      </c>
      <c r="V749" s="42" t="str">
        <f>IFERROR(__xludf.DUMMYFUNCTION("IFERROR(VLOOKUP(I749,IMPORTRANGE(""https://docs.google.com/spreadsheets/d/17FOIUYQAjPk1pPQIlvOgqYDBqwUqgb7KWzp4DtVksBk/edit?gid=0#gid=0"",""Servers!A:S""),19,FALSE), ""Not Running"")"),"AYUSHS")</f>
        <v>AYUSHS</v>
      </c>
      <c r="W749" s="47" t="str">
        <f>VLOOKUP($A749,Category!$A:$E,4,0)</f>
        <v>CC</v>
      </c>
      <c r="X749" s="47" t="str">
        <f>VLOOKUP($A749,Category!$A:$E,5,0)</f>
        <v>CCV</v>
      </c>
      <c r="Y749" s="18" t="str">
        <f>VLOOKUP(A749,PAcc!$A$1:$J$27,10,0)</f>
        <v>#N/A</v>
      </c>
      <c r="Z749" s="42" t="b">
        <f t="shared" si="4"/>
        <v>0</v>
      </c>
      <c r="AA749" s="50">
        <v>0.6</v>
      </c>
      <c r="AB749" s="42" t="str">
        <f>VLOOKUP(A749,VlookupSheet!$A$383:$A$523,1,0)</f>
        <v>#N/A</v>
      </c>
      <c r="AC749" s="122">
        <v>1.8</v>
      </c>
      <c r="AD749" s="42">
        <f t="shared" ref="AD749:AD794" si="146">S749*AA749</f>
        <v>12000000</v>
      </c>
      <c r="AE749" s="42">
        <f t="shared" ref="AE749:AE794" si="147">MROUND(AD749,2000000)/100</f>
        <v>120000</v>
      </c>
      <c r="AF749" s="123">
        <f t="shared" ref="AF749:AF794" si="148">AE749-H749</f>
        <v>20000</v>
      </c>
    </row>
    <row r="750">
      <c r="A750" s="11" t="s">
        <v>2538</v>
      </c>
      <c r="B750" s="24" t="s">
        <v>3438</v>
      </c>
      <c r="C750" s="25"/>
      <c r="D750" s="11">
        <f t="shared" si="141"/>
        <v>1</v>
      </c>
      <c r="E750" s="11">
        <f t="shared" si="142"/>
        <v>40000</v>
      </c>
      <c r="F750" s="11" t="s">
        <v>716</v>
      </c>
      <c r="G750" s="75">
        <v>40000.0</v>
      </c>
      <c r="H750" s="366">
        <v>40000.0</v>
      </c>
      <c r="I750" s="18" t="s">
        <v>249</v>
      </c>
      <c r="J750" s="11" t="s">
        <v>77</v>
      </c>
      <c r="K750" s="38">
        <f t="shared" si="105"/>
        <v>1</v>
      </c>
      <c r="L750" s="18" t="s">
        <v>910</v>
      </c>
      <c r="M750" s="18" t="s">
        <v>736</v>
      </c>
      <c r="N750" s="18">
        <v>1.0</v>
      </c>
      <c r="O750" s="18"/>
      <c r="P750" s="18" t="s">
        <v>848</v>
      </c>
      <c r="Q750" s="42" t="str">
        <f>iferror(VLOOKUP(A750,'Positional cal'!A:H,1,0)=A750,"FALSE")</f>
        <v>FALSE</v>
      </c>
      <c r="R750" s="43" t="b">
        <f t="shared" si="3"/>
        <v>0</v>
      </c>
      <c r="S750" s="46">
        <f>IFERROR(VLOOKUP($A750,AlgoUi!$A:$X,21,0),"NA")</f>
        <v>10332781</v>
      </c>
      <c r="T750" s="46">
        <f>IFERROR(VLOOKUP($A750,AlgoUi!$A:$X,23,0),"")</f>
        <v>10000000</v>
      </c>
      <c r="U750" s="46">
        <f>IFERROR(VLOOKUP($A750,AlgoUi!$A:$X,24,0),"")</f>
        <v>100000</v>
      </c>
      <c r="V750" s="42" t="str">
        <f>IFERROR(__xludf.DUMMYFUNCTION("IFERROR(VLOOKUP(I750,IMPORTRANGE(""https://docs.google.com/spreadsheets/d/17FOIUYQAjPk1pPQIlvOgqYDBqwUqgb7KWzp4DtVksBk/edit?gid=0#gid=0"",""Servers!A:S""),19,FALSE), ""Not Running"")"),"AYUSHS")</f>
        <v>AYUSHS</v>
      </c>
      <c r="W750" s="47" t="str">
        <f>VLOOKUP($A750,Category!$A:$E,4,0)</f>
        <v>MS</v>
      </c>
      <c r="X750" s="47" t="str">
        <f>VLOOKUP($A750,Category!$A:$E,5,0)</f>
        <v>MSS</v>
      </c>
      <c r="Y750" s="18" t="str">
        <f>VLOOKUP(A750,PAcc!$A$1:$J$27,10,0)</f>
        <v>#N/A</v>
      </c>
      <c r="Z750" s="42" t="b">
        <f t="shared" si="4"/>
        <v>0</v>
      </c>
      <c r="AA750" s="50">
        <v>0.4</v>
      </c>
      <c r="AB750" s="42" t="str">
        <f>VLOOKUP(A750,VlookupSheet!$A$383:$A$523,1,0)</f>
        <v>#N/A</v>
      </c>
      <c r="AC750" s="42"/>
      <c r="AD750" s="42">
        <f t="shared" si="146"/>
        <v>4133112.4</v>
      </c>
      <c r="AE750" s="42">
        <f t="shared" si="147"/>
        <v>40000</v>
      </c>
      <c r="AF750" s="123">
        <f t="shared" si="148"/>
        <v>0</v>
      </c>
    </row>
    <row r="751">
      <c r="A751" s="11" t="s">
        <v>2536</v>
      </c>
      <c r="B751" s="24" t="s">
        <v>3468</v>
      </c>
      <c r="C751" s="25"/>
      <c r="D751" s="11">
        <f t="shared" si="141"/>
        <v>1</v>
      </c>
      <c r="E751" s="11">
        <f t="shared" si="142"/>
        <v>80000</v>
      </c>
      <c r="F751" s="11" t="s">
        <v>1204</v>
      </c>
      <c r="G751" s="75" t="s">
        <v>906</v>
      </c>
      <c r="H751" s="152">
        <v>80000.0</v>
      </c>
      <c r="I751" s="42" t="s">
        <v>249</v>
      </c>
      <c r="J751" s="25" t="s">
        <v>77</v>
      </c>
      <c r="K751" s="38">
        <f t="shared" si="105"/>
        <v>1</v>
      </c>
      <c r="L751" s="18" t="s">
        <v>910</v>
      </c>
      <c r="M751" s="18" t="s">
        <v>736</v>
      </c>
      <c r="N751" s="42"/>
      <c r="O751" s="42"/>
      <c r="P751" s="42"/>
      <c r="Q751" s="42" t="str">
        <f>iferror(VLOOKUP(A751,'Positional cal'!A:H,1,0)=A751,"FALSE")</f>
        <v>FALSE</v>
      </c>
      <c r="R751" s="43" t="b">
        <f t="shared" si="3"/>
        <v>0</v>
      </c>
      <c r="S751" s="46">
        <f>IFERROR(VLOOKUP($A751,AlgoUi!$A:$X,21,0),"NA")</f>
        <v>20000000</v>
      </c>
      <c r="T751" s="46">
        <f>IFERROR(VLOOKUP($A751,AlgoUi!$A:$X,23,0),"")</f>
        <v>20000000</v>
      </c>
      <c r="U751" s="46">
        <f>IFERROR(VLOOKUP($A751,AlgoUi!$A:$X,24,0),"")</f>
        <v>200000</v>
      </c>
      <c r="V751" s="42" t="str">
        <f>IFERROR(__xludf.DUMMYFUNCTION("IFERROR(VLOOKUP(I751,IMPORTRANGE(""https://docs.google.com/spreadsheets/d/17FOIUYQAjPk1pPQIlvOgqYDBqwUqgb7KWzp4DtVksBk/edit?gid=0#gid=0"",""Servers!A:S""),19,FALSE), ""Not Running"")"),"AYUSHS")</f>
        <v>AYUSHS</v>
      </c>
      <c r="W751" s="47" t="str">
        <f>VLOOKUP($A751,Category!$A:$E,4,0)</f>
        <v>MS</v>
      </c>
      <c r="X751" s="47" t="str">
        <f>VLOOKUP($A751,Category!$A:$E,5,0)</f>
        <v>MSR</v>
      </c>
      <c r="Y751" s="18" t="str">
        <f>VLOOKUP(A751,PAcc!$A$1:$J$27,10,0)</f>
        <v>#N/A</v>
      </c>
      <c r="Z751" s="42" t="b">
        <f t="shared" si="4"/>
        <v>0</v>
      </c>
      <c r="AA751" s="50">
        <v>0.4</v>
      </c>
      <c r="AB751" s="42" t="str">
        <f>VLOOKUP(A751,VlookupSheet!$A$383:$A$523,1,0)</f>
        <v>#N/A</v>
      </c>
      <c r="AC751" s="42"/>
      <c r="AD751" s="42">
        <f t="shared" si="146"/>
        <v>8000000</v>
      </c>
      <c r="AE751" s="42">
        <f t="shared" si="147"/>
        <v>80000</v>
      </c>
      <c r="AF751" s="123">
        <f t="shared" si="148"/>
        <v>0</v>
      </c>
    </row>
    <row r="752">
      <c r="A752" s="11" t="s">
        <v>2613</v>
      </c>
      <c r="B752" s="24" t="s">
        <v>3555</v>
      </c>
      <c r="C752" s="25"/>
      <c r="D752" s="11">
        <f t="shared" si="141"/>
        <v>1</v>
      </c>
      <c r="E752" s="11">
        <f t="shared" si="142"/>
        <v>40000</v>
      </c>
      <c r="F752" s="11" t="s">
        <v>716</v>
      </c>
      <c r="G752" s="75">
        <v>40000.0</v>
      </c>
      <c r="H752" s="366">
        <v>40000.0</v>
      </c>
      <c r="I752" s="18" t="s">
        <v>249</v>
      </c>
      <c r="J752" s="25" t="s">
        <v>77</v>
      </c>
      <c r="K752" s="38">
        <f t="shared" si="105"/>
        <v>1</v>
      </c>
      <c r="L752" s="18" t="s">
        <v>910</v>
      </c>
      <c r="M752" s="18" t="s">
        <v>736</v>
      </c>
      <c r="N752" s="18">
        <v>1.0</v>
      </c>
      <c r="O752" s="18"/>
      <c r="P752" s="18" t="s">
        <v>848</v>
      </c>
      <c r="Q752" s="42" t="str">
        <f>iferror(VLOOKUP(A752,'Positional cal'!A:H,1,0)=A752,"FALSE")</f>
        <v>FALSE</v>
      </c>
      <c r="R752" s="43" t="b">
        <f t="shared" si="3"/>
        <v>0</v>
      </c>
      <c r="S752" s="46">
        <f>IFERROR(VLOOKUP($A752,AlgoUi!$A:$X,21,0),"NA")</f>
        <v>15394458</v>
      </c>
      <c r="T752" s="46">
        <f>IFERROR(VLOOKUP($A752,AlgoUi!$A:$X,23,0),"")</f>
        <v>16000000</v>
      </c>
      <c r="U752" s="46">
        <f>IFERROR(VLOOKUP($A752,AlgoUi!$A:$X,24,0),"")</f>
        <v>160000</v>
      </c>
      <c r="V752" s="42" t="str">
        <f>IFERROR(__xludf.DUMMYFUNCTION("IFERROR(VLOOKUP(I752,IMPORTRANGE(""https://docs.google.com/spreadsheets/d/17FOIUYQAjPk1pPQIlvOgqYDBqwUqgb7KWzp4DtVksBk/edit?gid=0#gid=0"",""Servers!A:S""),19,FALSE), ""Not Running"")"),"AYUSHS")</f>
        <v>AYUSHS</v>
      </c>
      <c r="W752" s="47" t="str">
        <f>VLOOKUP($A752,Category!$A:$E,4,0)</f>
        <v>MS</v>
      </c>
      <c r="X752" s="47" t="str">
        <f>VLOOKUP($A752,Category!$A:$E,5,0)</f>
        <v>MSS</v>
      </c>
      <c r="Y752" s="18" t="str">
        <f>VLOOKUP(A752,PAcc!$A$1:$J$27,10,0)</f>
        <v>#N/A</v>
      </c>
      <c r="Z752" s="42" t="b">
        <f t="shared" si="4"/>
        <v>0</v>
      </c>
      <c r="AA752" s="50">
        <v>0.4</v>
      </c>
      <c r="AB752" s="42" t="str">
        <f>VLOOKUP(A752,VlookupSheet!$A$383:$A$523,1,0)</f>
        <v>#N/A</v>
      </c>
      <c r="AC752" s="42"/>
      <c r="AD752" s="42">
        <f t="shared" si="146"/>
        <v>6157783.2</v>
      </c>
      <c r="AE752" s="42">
        <f t="shared" si="147"/>
        <v>60000</v>
      </c>
      <c r="AF752" s="123">
        <f t="shared" si="148"/>
        <v>20000</v>
      </c>
    </row>
    <row r="753">
      <c r="A753" s="11" t="s">
        <v>224</v>
      </c>
      <c r="B753" s="24" t="s">
        <v>847</v>
      </c>
      <c r="C753" s="25"/>
      <c r="D753" s="11" t="s">
        <v>77</v>
      </c>
      <c r="E753" s="11">
        <f>H753*D753</f>
        <v>400000</v>
      </c>
      <c r="F753" s="11" t="s">
        <v>875</v>
      </c>
      <c r="G753" s="31">
        <f>iferror(VLOOKUP(A753,'Positional cal'!A:H,8,0),"Not_positional")</f>
        <v>526178</v>
      </c>
      <c r="H753" s="31">
        <f>iferror(VLOOKUP(A753,'Positional cal'!A:H,4,0),"Not_positional")</f>
        <v>400000</v>
      </c>
      <c r="I753" s="42" t="s">
        <v>249</v>
      </c>
      <c r="J753" s="25" t="s">
        <v>77</v>
      </c>
      <c r="K753" s="38">
        <f t="shared" si="105"/>
        <v>1.315445</v>
      </c>
      <c r="L753" s="18" t="s">
        <v>1068</v>
      </c>
      <c r="M753" s="18" t="s">
        <v>1077</v>
      </c>
      <c r="N753" s="42"/>
      <c r="O753" s="42"/>
      <c r="P753" s="42"/>
      <c r="Q753" s="42" t="b">
        <f>iferror(VLOOKUP(A753,'Positional cal'!A:H,1,0)=A753,"FALSE")</f>
        <v>1</v>
      </c>
      <c r="R753" s="43" t="b">
        <f t="shared" si="3"/>
        <v>0</v>
      </c>
      <c r="S753" s="46">
        <f>IFERROR(VLOOKUP($A753,AlgoUi!$A:$X,21,0),"NA")</f>
        <v>1000000000</v>
      </c>
      <c r="T753" s="46">
        <f>IFERROR(VLOOKUP($A753,AlgoUi!$A:$X,23,0),"")</f>
        <v>1000000000</v>
      </c>
      <c r="U753" s="46">
        <f>IFERROR(VLOOKUP($A753,AlgoUi!$A:$X,24,0),"")</f>
        <v>10000000</v>
      </c>
      <c r="V753" s="42" t="str">
        <f>IFERROR(__xludf.DUMMYFUNCTION("IFERROR(VLOOKUP(I753,IMPORTRANGE(""https://docs.google.com/spreadsheets/d/17FOIUYQAjPk1pPQIlvOgqYDBqwUqgb7KWzp4DtVksBk/edit?gid=0#gid=0"",""Servers!A:S""),19,FALSE), ""Not Running"")"),"AYUSHS")</f>
        <v>AYUSHS</v>
      </c>
      <c r="W753" s="47" t="str">
        <f>VLOOKUP($A753,Category!$A:$E,4,0)</f>
        <v>MS</v>
      </c>
      <c r="X753" s="47" t="str">
        <f>VLOOKUP($A753,Category!$A:$E,5,0)</f>
        <v>MSJ</v>
      </c>
      <c r="Y753" s="18" t="str">
        <f>VLOOKUP(A753,PAcc!$A$1:$J$27,10,0)</f>
        <v>#N/A</v>
      </c>
      <c r="Z753" s="42" t="b">
        <f t="shared" si="4"/>
        <v>0</v>
      </c>
      <c r="AA753" s="50">
        <v>0.5</v>
      </c>
      <c r="AB753" s="25" t="str">
        <f>VLOOKUP(A753,VlookupSheet!$A$383:$A$523,1,0)</f>
        <v>AM005</v>
      </c>
      <c r="AC753" s="42"/>
      <c r="AD753" s="42">
        <f t="shared" si="146"/>
        <v>500000000</v>
      </c>
      <c r="AE753" s="42">
        <f t="shared" si="147"/>
        <v>5000000</v>
      </c>
      <c r="AF753" s="123">
        <f t="shared" si="148"/>
        <v>4600000</v>
      </c>
    </row>
    <row r="754">
      <c r="A754" s="11" t="s">
        <v>2574</v>
      </c>
      <c r="B754" s="24" t="s">
        <v>3576</v>
      </c>
      <c r="C754" s="25"/>
      <c r="D754" s="11">
        <f t="shared" ref="D754:D793" si="149">IF(J754="7",0.8,1)</f>
        <v>1</v>
      </c>
      <c r="E754" s="11">
        <f t="shared" ref="E754:E793" si="150">D754*H754</f>
        <v>400000</v>
      </c>
      <c r="F754" s="11" t="s">
        <v>1204</v>
      </c>
      <c r="G754" s="11" t="s">
        <v>3931</v>
      </c>
      <c r="H754" s="152">
        <v>400000.0</v>
      </c>
      <c r="I754" s="42" t="s">
        <v>249</v>
      </c>
      <c r="J754" s="25" t="s">
        <v>77</v>
      </c>
      <c r="K754" s="38">
        <f t="shared" si="105"/>
        <v>1</v>
      </c>
      <c r="L754" s="18" t="s">
        <v>910</v>
      </c>
      <c r="M754" s="18" t="s">
        <v>736</v>
      </c>
      <c r="N754" s="42"/>
      <c r="O754" s="42"/>
      <c r="P754" s="42"/>
      <c r="Q754" s="42" t="str">
        <f>iferror(VLOOKUP(A754,'Positional cal'!A:H,1,0)=A754,"FALSE")</f>
        <v>FALSE</v>
      </c>
      <c r="R754" s="43" t="b">
        <f t="shared" si="3"/>
        <v>0</v>
      </c>
      <c r="S754" s="46">
        <f>IFERROR(VLOOKUP($A754,AlgoUi!$A:$X,21,0),"NA")</f>
        <v>100000000</v>
      </c>
      <c r="T754" s="46">
        <f>IFERROR(VLOOKUP($A754,AlgoUi!$A:$X,23,0),"")</f>
        <v>100000000</v>
      </c>
      <c r="U754" s="46">
        <f>IFERROR(VLOOKUP($A754,AlgoUi!$A:$X,24,0),"")</f>
        <v>1000000</v>
      </c>
      <c r="V754" s="42" t="str">
        <f>IFERROR(__xludf.DUMMYFUNCTION("IFERROR(VLOOKUP(I754,IMPORTRANGE(""https://docs.google.com/spreadsheets/d/17FOIUYQAjPk1pPQIlvOgqYDBqwUqgb7KWzp4DtVksBk/edit?gid=0#gid=0"",""Servers!A:S""),19,FALSE), ""Not Running"")"),"AYUSHS")</f>
        <v>AYUSHS</v>
      </c>
      <c r="W754" s="47" t="str">
        <f>VLOOKUP($A754,Category!$A:$E,4,0)</f>
        <v>MS</v>
      </c>
      <c r="X754" s="47" t="str">
        <f>VLOOKUP($A754,Category!$A:$E,5,0)</f>
        <v>MSR</v>
      </c>
      <c r="Y754" s="18" t="str">
        <f>VLOOKUP(A754,PAcc!$A$1:$J$27,10,0)</f>
        <v>#N/A</v>
      </c>
      <c r="Z754" s="42" t="b">
        <f t="shared" si="4"/>
        <v>0</v>
      </c>
      <c r="AA754" s="50">
        <v>0.4</v>
      </c>
      <c r="AB754" s="42" t="str">
        <f>VLOOKUP(A754,VlookupSheet!$A$383:$A$523,1,0)</f>
        <v>#N/A</v>
      </c>
      <c r="AC754" s="42"/>
      <c r="AD754" s="42">
        <f t="shared" si="146"/>
        <v>40000000</v>
      </c>
      <c r="AE754" s="42">
        <f t="shared" si="147"/>
        <v>400000</v>
      </c>
      <c r="AF754" s="123">
        <f t="shared" si="148"/>
        <v>0</v>
      </c>
    </row>
    <row r="755">
      <c r="A755" s="11" t="s">
        <v>2320</v>
      </c>
      <c r="B755" s="84" t="s">
        <v>3139</v>
      </c>
      <c r="C755" s="25"/>
      <c r="D755" s="11">
        <f t="shared" si="149"/>
        <v>1</v>
      </c>
      <c r="E755" s="11">
        <f t="shared" si="150"/>
        <v>80000</v>
      </c>
      <c r="F755" s="11" t="s">
        <v>1283</v>
      </c>
      <c r="G755" s="11">
        <v>80000.0</v>
      </c>
      <c r="H755" s="31">
        <v>80000.0</v>
      </c>
      <c r="I755" s="74" t="s">
        <v>249</v>
      </c>
      <c r="J755" s="25" t="s">
        <v>77</v>
      </c>
      <c r="K755" s="38">
        <f t="shared" si="105"/>
        <v>1</v>
      </c>
      <c r="L755" s="18" t="s">
        <v>910</v>
      </c>
      <c r="M755" s="18" t="s">
        <v>736</v>
      </c>
      <c r="N755" s="18">
        <v>2.0</v>
      </c>
      <c r="O755" s="47"/>
      <c r="P755" s="47" t="s">
        <v>911</v>
      </c>
      <c r="Q755" s="42" t="str">
        <f>iferror(VLOOKUP(A755,'Positional cal'!A:H,1,0)=A755,"FALSE")</f>
        <v>FALSE</v>
      </c>
      <c r="R755" s="43" t="b">
        <f t="shared" si="3"/>
        <v>0</v>
      </c>
      <c r="S755" s="46">
        <f>IFERROR(VLOOKUP($A755,AlgoUi!$A:$X,21,0),"NA")</f>
        <v>20000000</v>
      </c>
      <c r="T755" s="46">
        <f>IFERROR(VLOOKUP($A755,AlgoUi!$A:$X,23,0),"")</f>
        <v>20000000</v>
      </c>
      <c r="U755" s="46">
        <f>IFERROR(VLOOKUP($A755,AlgoUi!$A:$X,24,0),"")</f>
        <v>200000</v>
      </c>
      <c r="V755" s="42" t="str">
        <f>IFERROR(__xludf.DUMMYFUNCTION("IFERROR(VLOOKUP(I755,IMPORTRANGE(""https://docs.google.com/spreadsheets/d/17FOIUYQAjPk1pPQIlvOgqYDBqwUqgb7KWzp4DtVksBk/edit?gid=0#gid=0"",""Servers!A:S""),19,FALSE), ""Not Running"")"),"AYUSHS")</f>
        <v>AYUSHS</v>
      </c>
      <c r="W755" s="47" t="str">
        <f>VLOOKUP($A755,Category!$A:$E,4,0)</f>
        <v>MS</v>
      </c>
      <c r="X755" s="47" t="str">
        <f>VLOOKUP($A755,Category!$A:$E,5,0)</f>
        <v>MSS</v>
      </c>
      <c r="Y755" s="18" t="str">
        <f>VLOOKUP(A755,PAcc!$A$1:$J$27,10,0)</f>
        <v>#N/A</v>
      </c>
      <c r="Z755" s="42" t="b">
        <f t="shared" si="4"/>
        <v>0</v>
      </c>
      <c r="AA755" s="50">
        <v>0.4</v>
      </c>
      <c r="AB755" s="42" t="str">
        <f>VLOOKUP(A755,VlookupSheet!$A$383:$A$523,1,0)</f>
        <v>#N/A</v>
      </c>
      <c r="AC755" s="50">
        <v>0.3</v>
      </c>
      <c r="AD755" s="42">
        <f t="shared" si="146"/>
        <v>8000000</v>
      </c>
      <c r="AE755" s="42">
        <f t="shared" si="147"/>
        <v>80000</v>
      </c>
      <c r="AF755" s="123">
        <f t="shared" si="148"/>
        <v>0</v>
      </c>
    </row>
    <row r="756">
      <c r="A756" s="11" t="s">
        <v>2368</v>
      </c>
      <c r="B756" s="24" t="s">
        <v>3234</v>
      </c>
      <c r="C756" s="25"/>
      <c r="D756" s="11">
        <f t="shared" si="149"/>
        <v>1</v>
      </c>
      <c r="E756" s="11">
        <f t="shared" si="150"/>
        <v>40000</v>
      </c>
      <c r="F756" s="11" t="s">
        <v>886</v>
      </c>
      <c r="G756" s="75">
        <v>40000.0</v>
      </c>
      <c r="H756" s="366">
        <v>40000.0</v>
      </c>
      <c r="I756" s="34" t="s">
        <v>249</v>
      </c>
      <c r="J756" s="11" t="s">
        <v>77</v>
      </c>
      <c r="K756" s="38">
        <f t="shared" si="105"/>
        <v>1</v>
      </c>
      <c r="L756" s="18" t="s">
        <v>910</v>
      </c>
      <c r="M756" s="18" t="s">
        <v>736</v>
      </c>
      <c r="N756" s="18">
        <v>1.0</v>
      </c>
      <c r="O756" s="18"/>
      <c r="P756" s="18" t="s">
        <v>848</v>
      </c>
      <c r="Q756" s="42" t="str">
        <f>iferror(VLOOKUP(A756,'Positional cal'!A:H,1,0)=A756,"FALSE")</f>
        <v>FALSE</v>
      </c>
      <c r="R756" s="43" t="b">
        <f t="shared" si="3"/>
        <v>0</v>
      </c>
      <c r="S756" s="46">
        <f>IFERROR(VLOOKUP($A756,AlgoUi!$A:$X,21,0),"NA")</f>
        <v>12442757</v>
      </c>
      <c r="T756" s="46">
        <f>IFERROR(VLOOKUP($A756,AlgoUi!$A:$X,23,0),"")</f>
        <v>12000000</v>
      </c>
      <c r="U756" s="46">
        <f>IFERROR(VLOOKUP($A756,AlgoUi!$A:$X,24,0),"")</f>
        <v>120000</v>
      </c>
      <c r="V756" s="42" t="str">
        <f>IFERROR(__xludf.DUMMYFUNCTION("IFERROR(VLOOKUP(I756,IMPORTRANGE(""https://docs.google.com/spreadsheets/d/17FOIUYQAjPk1pPQIlvOgqYDBqwUqgb7KWzp4DtVksBk/edit?gid=0#gid=0"",""Servers!A:S""),19,FALSE), ""Not Running"")"),"AYUSHS")</f>
        <v>AYUSHS</v>
      </c>
      <c r="W756" s="47" t="str">
        <f>VLOOKUP($A756,Category!$A:$E,4,0)</f>
        <v>MS</v>
      </c>
      <c r="X756" s="47" t="str">
        <f>VLOOKUP($A756,Category!$A:$E,5,0)</f>
        <v>MSS</v>
      </c>
      <c r="Y756" s="18" t="str">
        <f>VLOOKUP(A756,PAcc!$A$1:$J$27,10,0)</f>
        <v>#N/A</v>
      </c>
      <c r="Z756" s="42" t="b">
        <f t="shared" si="4"/>
        <v>0</v>
      </c>
      <c r="AA756" s="50">
        <v>0.4</v>
      </c>
      <c r="AB756" s="42" t="str">
        <f>VLOOKUP(A756,VlookupSheet!$A$383:$A$523,1,0)</f>
        <v>#N/A</v>
      </c>
      <c r="AC756" s="122">
        <v>1.8</v>
      </c>
      <c r="AD756" s="42">
        <f t="shared" si="146"/>
        <v>4977102.8</v>
      </c>
      <c r="AE756" s="42">
        <f t="shared" si="147"/>
        <v>40000</v>
      </c>
      <c r="AF756" s="123">
        <f t="shared" si="148"/>
        <v>0</v>
      </c>
    </row>
    <row r="757">
      <c r="A757" s="11" t="s">
        <v>2437</v>
      </c>
      <c r="B757" s="24" t="s">
        <v>3300</v>
      </c>
      <c r="C757" s="25"/>
      <c r="D757" s="11">
        <f t="shared" si="149"/>
        <v>1</v>
      </c>
      <c r="E757" s="11">
        <f t="shared" si="150"/>
        <v>80000</v>
      </c>
      <c r="F757" s="11" t="s">
        <v>886</v>
      </c>
      <c r="G757" s="11">
        <v>80000.0</v>
      </c>
      <c r="H757" s="31">
        <v>80000.0</v>
      </c>
      <c r="I757" s="74" t="s">
        <v>249</v>
      </c>
      <c r="J757" s="25" t="s">
        <v>77</v>
      </c>
      <c r="K757" s="38">
        <f t="shared" si="105"/>
        <v>1</v>
      </c>
      <c r="L757" s="18" t="s">
        <v>910</v>
      </c>
      <c r="M757" s="18" t="s">
        <v>736</v>
      </c>
      <c r="N757" s="18">
        <v>2.0</v>
      </c>
      <c r="O757" s="18"/>
      <c r="P757" s="18" t="s">
        <v>911</v>
      </c>
      <c r="Q757" s="42" t="str">
        <f>iferror(VLOOKUP(A757,'Positional cal'!A:H,1,0)=A757,"FALSE")</f>
        <v>FALSE</v>
      </c>
      <c r="R757" s="43" t="b">
        <f t="shared" si="3"/>
        <v>0</v>
      </c>
      <c r="S757" s="46">
        <f>IFERROR(VLOOKUP($A757,AlgoUi!$A:$X,21,0),"NA")</f>
        <v>185771</v>
      </c>
      <c r="T757" s="46">
        <f>IFERROR(VLOOKUP($A757,AlgoUi!$A:$X,23,0),"")</f>
        <v>0</v>
      </c>
      <c r="U757" s="46">
        <f>IFERROR(VLOOKUP($A757,AlgoUi!$A:$X,24,0),"")</f>
        <v>0</v>
      </c>
      <c r="V757" s="42" t="str">
        <f>IFERROR(__xludf.DUMMYFUNCTION("IFERROR(VLOOKUP(I757,IMPORTRANGE(""https://docs.google.com/spreadsheets/d/17FOIUYQAjPk1pPQIlvOgqYDBqwUqgb7KWzp4DtVksBk/edit?gid=0#gid=0"",""Servers!A:S""),19,FALSE), ""Not Running"")"),"AYUSHS")</f>
        <v>AYUSHS</v>
      </c>
      <c r="W757" s="47" t="str">
        <f>VLOOKUP($A757,Category!$A:$E,4,0)</f>
        <v>MS</v>
      </c>
      <c r="X757" s="47" t="str">
        <f>VLOOKUP($A757,Category!$A:$E,5,0)</f>
        <v>MSS</v>
      </c>
      <c r="Y757" s="18" t="str">
        <f>VLOOKUP(A757,PAcc!$A$1:$J$27,10,0)</f>
        <v>#N/A</v>
      </c>
      <c r="Z757" s="42" t="b">
        <f t="shared" si="4"/>
        <v>0</v>
      </c>
      <c r="AA757" s="50">
        <v>0.4</v>
      </c>
      <c r="AB757" s="42" t="str">
        <f>VLOOKUP(A757,VlookupSheet!$A$383:$A$523,1,0)</f>
        <v>#N/A</v>
      </c>
      <c r="AC757" s="42"/>
      <c r="AD757" s="42">
        <f t="shared" si="146"/>
        <v>74308.4</v>
      </c>
      <c r="AE757" s="42">
        <f t="shared" si="147"/>
        <v>0</v>
      </c>
      <c r="AF757" s="123">
        <f t="shared" si="148"/>
        <v>-80000</v>
      </c>
    </row>
    <row r="758" ht="17.25" customHeight="1">
      <c r="A758" s="11" t="s">
        <v>2399</v>
      </c>
      <c r="B758" s="24" t="s">
        <v>3243</v>
      </c>
      <c r="C758" s="25"/>
      <c r="D758" s="11">
        <f t="shared" si="149"/>
        <v>1</v>
      </c>
      <c r="E758" s="11">
        <f t="shared" si="150"/>
        <v>320000</v>
      </c>
      <c r="F758" s="11" t="s">
        <v>2402</v>
      </c>
      <c r="G758" s="11" t="s">
        <v>3536</v>
      </c>
      <c r="H758" s="31">
        <v>320000.0</v>
      </c>
      <c r="I758" s="74" t="s">
        <v>249</v>
      </c>
      <c r="J758" s="25" t="s">
        <v>77</v>
      </c>
      <c r="K758" s="38">
        <f t="shared" si="105"/>
        <v>1</v>
      </c>
      <c r="L758" s="18" t="s">
        <v>910</v>
      </c>
      <c r="M758" s="18" t="s">
        <v>736</v>
      </c>
      <c r="N758" s="18"/>
      <c r="O758" s="18"/>
      <c r="P758" s="18" t="s">
        <v>1396</v>
      </c>
      <c r="Q758" s="42" t="str">
        <f>iferror(VLOOKUP(A758,'Positional cal'!A:H,1,0)=A758,"FALSE")</f>
        <v>FALSE</v>
      </c>
      <c r="R758" s="43" t="b">
        <f t="shared" si="3"/>
        <v>0</v>
      </c>
      <c r="S758" s="46">
        <f>IFERROR(VLOOKUP($A758,AlgoUi!$A:$X,21,0),"NA")</f>
        <v>10000000000</v>
      </c>
      <c r="T758" s="46">
        <f>IFERROR(VLOOKUP($A758,AlgoUi!$A:$X,23,0),"")</f>
        <v>10000000000</v>
      </c>
      <c r="U758" s="46">
        <f>IFERROR(VLOOKUP($A758,AlgoUi!$A:$X,24,0),"")</f>
        <v>100000000</v>
      </c>
      <c r="V758" s="42" t="str">
        <f>IFERROR(__xludf.DUMMYFUNCTION("IFERROR(VLOOKUP(I758,IMPORTRANGE(""https://docs.google.com/spreadsheets/d/17FOIUYQAjPk1pPQIlvOgqYDBqwUqgb7KWzp4DtVksBk/edit?gid=0#gid=0"",""Servers!A:S""),19,FALSE), ""Not Running"")"),"AYUSHS")</f>
        <v>AYUSHS</v>
      </c>
      <c r="W758" s="47" t="str">
        <f>VLOOKUP($A758,Category!$A:$E,4,0)</f>
        <v>MS</v>
      </c>
      <c r="X758" s="47" t="str">
        <f>VLOOKUP($A758,Category!$A:$E,5,0)</f>
        <v>MSR</v>
      </c>
      <c r="Y758" s="18" t="str">
        <f>VLOOKUP(A758,PAcc!$A$1:$J$27,10,0)</f>
        <v>#N/A</v>
      </c>
      <c r="Z758" s="42" t="b">
        <f t="shared" si="4"/>
        <v>0</v>
      </c>
      <c r="AA758" s="50">
        <v>0.4</v>
      </c>
      <c r="AB758" s="42" t="str">
        <f>VLOOKUP(A758,VlookupSheet!$A$383:$A$523,1,0)</f>
        <v>#N/A</v>
      </c>
      <c r="AC758" s="42"/>
      <c r="AD758" s="42">
        <f t="shared" si="146"/>
        <v>4000000000</v>
      </c>
      <c r="AE758" s="42">
        <f t="shared" si="147"/>
        <v>40000000</v>
      </c>
      <c r="AF758" s="123">
        <f t="shared" si="148"/>
        <v>39680000</v>
      </c>
    </row>
    <row r="759">
      <c r="A759" s="11" t="s">
        <v>2502</v>
      </c>
      <c r="B759" s="145" t="s">
        <v>3412</v>
      </c>
      <c r="C759" s="25"/>
      <c r="D759" s="11">
        <f t="shared" si="149"/>
        <v>1</v>
      </c>
      <c r="E759" s="11">
        <f t="shared" si="150"/>
        <v>40000</v>
      </c>
      <c r="F759" s="30" t="s">
        <v>716</v>
      </c>
      <c r="G759" s="75">
        <v>40000.0</v>
      </c>
      <c r="H759" s="366">
        <v>40000.0</v>
      </c>
      <c r="I759" s="42" t="s">
        <v>249</v>
      </c>
      <c r="J759" s="25" t="s">
        <v>77</v>
      </c>
      <c r="K759" s="38">
        <f t="shared" si="105"/>
        <v>1</v>
      </c>
      <c r="L759" s="18" t="s">
        <v>910</v>
      </c>
      <c r="M759" s="18" t="s">
        <v>736</v>
      </c>
      <c r="N759" s="18">
        <v>1.0</v>
      </c>
      <c r="O759" s="18"/>
      <c r="P759" s="18" t="s">
        <v>848</v>
      </c>
      <c r="Q759" s="42" t="str">
        <f>iferror(VLOOKUP(A759,'Positional cal'!A:H,1,0)=A759,"FALSE")</f>
        <v>FALSE</v>
      </c>
      <c r="R759" s="43" t="b">
        <f t="shared" si="3"/>
        <v>0</v>
      </c>
      <c r="S759" s="46">
        <f>IFERROR(VLOOKUP($A759,AlgoUi!$A:$X,21,0),"NA")</f>
        <v>1</v>
      </c>
      <c r="T759" s="46">
        <f>IFERROR(VLOOKUP($A759,AlgoUi!$A:$X,23,0),"")</f>
        <v>0</v>
      </c>
      <c r="U759" s="46">
        <f>IFERROR(VLOOKUP($A759,AlgoUi!$A:$X,24,0),"")</f>
        <v>0</v>
      </c>
      <c r="V759" s="42" t="str">
        <f>IFERROR(__xludf.DUMMYFUNCTION("IFERROR(VLOOKUP(I759,IMPORTRANGE(""https://docs.google.com/spreadsheets/d/17FOIUYQAjPk1pPQIlvOgqYDBqwUqgb7KWzp4DtVksBk/edit?gid=0#gid=0"",""Servers!A:S""),19,FALSE), ""Not Running"")"),"AYUSHS")</f>
        <v>AYUSHS</v>
      </c>
      <c r="W759" s="47" t="str">
        <f>VLOOKUP($A759,Category!$A:$E,4,0)</f>
        <v>MS</v>
      </c>
      <c r="X759" s="47" t="str">
        <f>VLOOKUP($A759,Category!$A:$E,5,0)</f>
        <v>MSS</v>
      </c>
      <c r="Y759" s="18" t="str">
        <f>VLOOKUP(A759,PAcc!$A$1:$J$27,10,0)</f>
        <v>#N/A</v>
      </c>
      <c r="Z759" s="42" t="b">
        <f t="shared" si="4"/>
        <v>0</v>
      </c>
      <c r="AA759" s="50">
        <v>0.4</v>
      </c>
      <c r="AB759" s="42" t="str">
        <f>VLOOKUP(A759,VlookupSheet!$A$383:$A$523,1,0)</f>
        <v>#N/A</v>
      </c>
      <c r="AC759" s="42"/>
      <c r="AD759" s="42">
        <f t="shared" si="146"/>
        <v>0.4</v>
      </c>
      <c r="AE759" s="42">
        <f t="shared" si="147"/>
        <v>0</v>
      </c>
      <c r="AF759" s="123">
        <f t="shared" si="148"/>
        <v>-40000</v>
      </c>
    </row>
    <row r="760">
      <c r="A760" s="11" t="s">
        <v>2718</v>
      </c>
      <c r="B760" s="24" t="s">
        <v>3569</v>
      </c>
      <c r="C760" s="25"/>
      <c r="D760" s="11">
        <f t="shared" si="149"/>
        <v>1</v>
      </c>
      <c r="E760" s="11">
        <f t="shared" si="150"/>
        <v>40000</v>
      </c>
      <c r="F760" s="11" t="s">
        <v>716</v>
      </c>
      <c r="G760" s="75">
        <v>40000.0</v>
      </c>
      <c r="H760" s="366">
        <v>40000.0</v>
      </c>
      <c r="I760" s="18" t="s">
        <v>249</v>
      </c>
      <c r="J760" s="11" t="s">
        <v>77</v>
      </c>
      <c r="K760" s="38">
        <f t="shared" si="105"/>
        <v>1</v>
      </c>
      <c r="L760" s="18" t="s">
        <v>910</v>
      </c>
      <c r="M760" s="18" t="s">
        <v>736</v>
      </c>
      <c r="N760" s="18">
        <v>1.0</v>
      </c>
      <c r="O760" s="18"/>
      <c r="P760" s="18" t="s">
        <v>848</v>
      </c>
      <c r="Q760" s="42" t="str">
        <f>iferror(VLOOKUP(A760,'Positional cal'!A:H,1,0)=A760,"FALSE")</f>
        <v>FALSE</v>
      </c>
      <c r="R760" s="43" t="b">
        <f t="shared" si="3"/>
        <v>0</v>
      </c>
      <c r="S760" s="46">
        <f>IFERROR(VLOOKUP($A760,AlgoUi!$A:$X,21,0),"NA")</f>
        <v>10000000</v>
      </c>
      <c r="T760" s="46">
        <f>IFERROR(VLOOKUP($A760,AlgoUi!$A:$X,23,0),"")</f>
        <v>10000000</v>
      </c>
      <c r="U760" s="46">
        <f>IFERROR(VLOOKUP($A760,AlgoUi!$A:$X,24,0),"")</f>
        <v>100000</v>
      </c>
      <c r="V760" s="42" t="str">
        <f>IFERROR(__xludf.DUMMYFUNCTION("IFERROR(VLOOKUP(I760,IMPORTRANGE(""https://docs.google.com/spreadsheets/d/17FOIUYQAjPk1pPQIlvOgqYDBqwUqgb7KWzp4DtVksBk/edit?gid=0#gid=0"",""Servers!A:S""),19,FALSE), ""Not Running"")"),"AYUSHS")</f>
        <v>AYUSHS</v>
      </c>
      <c r="W760" s="47" t="str">
        <f>VLOOKUP($A760,Category!$A:$E,4,0)</f>
        <v>MS</v>
      </c>
      <c r="X760" s="47" t="str">
        <f>VLOOKUP($A760,Category!$A:$E,5,0)</f>
        <v>MSS</v>
      </c>
      <c r="Y760" s="18" t="str">
        <f>VLOOKUP(A760,PAcc!$A$1:$J$27,10,0)</f>
        <v>#N/A</v>
      </c>
      <c r="Z760" s="42" t="b">
        <f t="shared" si="4"/>
        <v>0</v>
      </c>
      <c r="AA760" s="50">
        <v>0.4</v>
      </c>
      <c r="AB760" s="42" t="str">
        <f>VLOOKUP(A760,VlookupSheet!$A$383:$A$523,1,0)</f>
        <v>#N/A</v>
      </c>
      <c r="AC760" s="42"/>
      <c r="AD760" s="42">
        <f t="shared" si="146"/>
        <v>4000000</v>
      </c>
      <c r="AE760" s="42">
        <f t="shared" si="147"/>
        <v>40000</v>
      </c>
      <c r="AF760" s="123">
        <f t="shared" si="148"/>
        <v>0</v>
      </c>
    </row>
    <row r="761">
      <c r="A761" s="11" t="s">
        <v>2830</v>
      </c>
      <c r="B761" s="84" t="s">
        <v>972</v>
      </c>
      <c r="C761" s="25"/>
      <c r="D761" s="11">
        <f t="shared" si="149"/>
        <v>1</v>
      </c>
      <c r="E761" s="11">
        <f t="shared" si="150"/>
        <v>600000</v>
      </c>
      <c r="F761" s="34" t="s">
        <v>973</v>
      </c>
      <c r="G761" s="11">
        <v>600000.0</v>
      </c>
      <c r="H761" s="152">
        <v>600000.0</v>
      </c>
      <c r="I761" s="34" t="s">
        <v>249</v>
      </c>
      <c r="J761" s="25" t="s">
        <v>77</v>
      </c>
      <c r="K761" s="38">
        <f t="shared" si="105"/>
        <v>1</v>
      </c>
      <c r="L761" s="18" t="s">
        <v>910</v>
      </c>
      <c r="M761" s="18" t="s">
        <v>736</v>
      </c>
      <c r="N761" s="18"/>
      <c r="O761" s="18"/>
      <c r="P761" s="18" t="s">
        <v>1396</v>
      </c>
      <c r="Q761" s="42" t="str">
        <f>iferror(VLOOKUP(A761,'Positional cal'!A:H,1,0)=A761,"FALSE")</f>
        <v>FALSE</v>
      </c>
      <c r="R761" s="43" t="b">
        <f t="shared" si="3"/>
        <v>1</v>
      </c>
      <c r="S761" s="46">
        <f>IFERROR(VLOOKUP($A761,AlgoUi!$A:$X,21,0),"NA")</f>
        <v>60000000</v>
      </c>
      <c r="T761" s="46">
        <f>IFERROR(VLOOKUP($A761,AlgoUi!$A:$X,23,0),"")</f>
        <v>60000000</v>
      </c>
      <c r="U761" s="46">
        <f>IFERROR(VLOOKUP($A761,AlgoUi!$A:$X,24,0),"")</f>
        <v>600000</v>
      </c>
      <c r="V761" s="42" t="str">
        <f>IFERROR(__xludf.DUMMYFUNCTION("IFERROR(VLOOKUP(I761,IMPORTRANGE(""https://docs.google.com/spreadsheets/d/17FOIUYQAjPk1pPQIlvOgqYDBqwUqgb7KWzp4DtVksBk/edit?gid=0#gid=0"",""Servers!A:S""),19,FALSE), ""Not Running"")"),"AYUSHS")</f>
        <v>AYUSHS</v>
      </c>
      <c r="W761" s="47" t="str">
        <f>VLOOKUP($A761,Category!$A:$E,4,0)</f>
        <v>MS</v>
      </c>
      <c r="X761" s="47" t="str">
        <f>VLOOKUP($A761,Category!$A:$E,5,0)</f>
        <v>MSR</v>
      </c>
      <c r="Y761" s="18" t="str">
        <f>VLOOKUP(A761,PAcc!$A$1:$J$27,10,0)</f>
        <v>#N/A</v>
      </c>
      <c r="Z761" s="42" t="b">
        <f t="shared" si="4"/>
        <v>1</v>
      </c>
      <c r="AA761" s="50">
        <v>1.0</v>
      </c>
      <c r="AB761" s="42" t="str">
        <f>VLOOKUP(A761,VlookupSheet!$A$383:$A$523,1,0)</f>
        <v>#N/A</v>
      </c>
      <c r="AC761" s="42"/>
      <c r="AD761" s="42">
        <f t="shared" si="146"/>
        <v>60000000</v>
      </c>
      <c r="AE761" s="42">
        <f t="shared" si="147"/>
        <v>600000</v>
      </c>
      <c r="AF761" s="123">
        <f t="shared" si="148"/>
        <v>0</v>
      </c>
    </row>
    <row r="762">
      <c r="A762" s="11" t="s">
        <v>2839</v>
      </c>
      <c r="B762" s="24" t="s">
        <v>2840</v>
      </c>
      <c r="C762" s="25"/>
      <c r="D762" s="11">
        <f t="shared" si="149"/>
        <v>1</v>
      </c>
      <c r="E762" s="11">
        <f t="shared" si="150"/>
        <v>40000</v>
      </c>
      <c r="F762" s="11" t="s">
        <v>716</v>
      </c>
      <c r="G762" s="75">
        <v>40000.0</v>
      </c>
      <c r="H762" s="366">
        <v>40000.0</v>
      </c>
      <c r="I762" s="34" t="s">
        <v>249</v>
      </c>
      <c r="J762" s="25" t="s">
        <v>77</v>
      </c>
      <c r="K762" s="38">
        <f t="shared" si="105"/>
        <v>1</v>
      </c>
      <c r="L762" s="18" t="s">
        <v>910</v>
      </c>
      <c r="M762" s="18" t="s">
        <v>736</v>
      </c>
      <c r="N762" s="42"/>
      <c r="O762" s="42"/>
      <c r="P762" s="42"/>
      <c r="Q762" s="42" t="str">
        <f>iferror(VLOOKUP(A762,'Positional cal'!A:H,1,0)=A762,"FALSE")</f>
        <v>FALSE</v>
      </c>
      <c r="R762" s="43" t="b">
        <f t="shared" si="3"/>
        <v>0</v>
      </c>
      <c r="S762" s="46">
        <f>IFERROR(VLOOKUP($A762,AlgoUi!$A:$X,21,0),"NA")</f>
        <v>10000000</v>
      </c>
      <c r="T762" s="46">
        <f>IFERROR(VLOOKUP($A762,AlgoUi!$A:$X,23,0),"")</f>
        <v>10000000</v>
      </c>
      <c r="U762" s="46">
        <f>IFERROR(VLOOKUP($A762,AlgoUi!$A:$X,24,0),"")</f>
        <v>100000</v>
      </c>
      <c r="V762" s="42" t="str">
        <f>IFERROR(__xludf.DUMMYFUNCTION("IFERROR(VLOOKUP(I762,IMPORTRANGE(""https://docs.google.com/spreadsheets/d/17FOIUYQAjPk1pPQIlvOgqYDBqwUqgb7KWzp4DtVksBk/edit?gid=0#gid=0"",""Servers!A:S""),19,FALSE), ""Not Running"")"),"AYUSHS")</f>
        <v>AYUSHS</v>
      </c>
      <c r="W762" s="47" t="str">
        <f>VLOOKUP($A762,Category!$A:$E,4,0)</f>
        <v>MS</v>
      </c>
      <c r="X762" s="47" t="str">
        <f>VLOOKUP($A762,Category!$A:$E,5,0)</f>
        <v>MSS</v>
      </c>
      <c r="Y762" s="18" t="str">
        <f>VLOOKUP(A762,PAcc!$A$1:$J$27,10,0)</f>
        <v>#N/A</v>
      </c>
      <c r="Z762" s="42" t="b">
        <f t="shared" si="4"/>
        <v>0</v>
      </c>
      <c r="AA762" s="50">
        <v>0.4</v>
      </c>
      <c r="AB762" s="42" t="str">
        <f>VLOOKUP(A762,VlookupSheet!$A$383:$A$523,1,0)</f>
        <v>#N/A</v>
      </c>
      <c r="AC762" s="42"/>
      <c r="AD762" s="42">
        <f t="shared" si="146"/>
        <v>4000000</v>
      </c>
      <c r="AE762" s="42">
        <f t="shared" si="147"/>
        <v>40000</v>
      </c>
      <c r="AF762" s="123">
        <f t="shared" si="148"/>
        <v>0</v>
      </c>
    </row>
    <row r="763">
      <c r="A763" s="11" t="s">
        <v>2965</v>
      </c>
      <c r="B763" s="24" t="s">
        <v>3837</v>
      </c>
      <c r="C763" s="25"/>
      <c r="D763" s="11">
        <f t="shared" si="149"/>
        <v>1</v>
      </c>
      <c r="E763" s="11">
        <f t="shared" si="150"/>
        <v>40000</v>
      </c>
      <c r="F763" s="60" t="s">
        <v>886</v>
      </c>
      <c r="G763" s="11">
        <v>40000.0</v>
      </c>
      <c r="H763" s="366">
        <v>40000.0</v>
      </c>
      <c r="I763" s="11" t="s">
        <v>249</v>
      </c>
      <c r="J763" s="11" t="s">
        <v>77</v>
      </c>
      <c r="K763" s="173">
        <v>1.0</v>
      </c>
      <c r="L763" s="18" t="s">
        <v>910</v>
      </c>
      <c r="M763" s="18" t="s">
        <v>736</v>
      </c>
      <c r="N763" s="18">
        <v>1.0</v>
      </c>
      <c r="O763" s="18"/>
      <c r="P763" s="18" t="s">
        <v>848</v>
      </c>
      <c r="Q763" s="42" t="str">
        <f>iferror(VLOOKUP(A763,'Positional cal'!A:H,1,0)=A763,"FALSE")</f>
        <v>FALSE</v>
      </c>
      <c r="R763" s="43" t="b">
        <f t="shared" si="3"/>
        <v>0</v>
      </c>
      <c r="S763" s="46">
        <f>IFERROR(VLOOKUP($A763,AlgoUi!$A:$X,21,0),"NA")</f>
        <v>14925090</v>
      </c>
      <c r="T763" s="46">
        <f>IFERROR(VLOOKUP($A763,AlgoUi!$A:$X,23,0),"")</f>
        <v>14000000</v>
      </c>
      <c r="U763" s="46">
        <f>IFERROR(VLOOKUP($A763,AlgoUi!$A:$X,24,0),"")</f>
        <v>140000</v>
      </c>
      <c r="V763" s="42" t="str">
        <f>IFERROR(__xludf.DUMMYFUNCTION("IFERROR(VLOOKUP(I763,IMPORTRANGE(""https://docs.google.com/spreadsheets/d/17FOIUYQAjPk1pPQIlvOgqYDBqwUqgb7KWzp4DtVksBk/edit?gid=0#gid=0"",""Servers!A:S""),19,FALSE), ""Not Running"")"),"AYUSHS")</f>
        <v>AYUSHS</v>
      </c>
      <c r="W763" s="47" t="str">
        <f>VLOOKUP($A763,Category!$A:$E,4,0)</f>
        <v>MS</v>
      </c>
      <c r="X763" s="47" t="str">
        <f>VLOOKUP($A763,Category!$A:$E,5,0)</f>
        <v>MSS</v>
      </c>
      <c r="Y763" s="18" t="str">
        <f>VLOOKUP(A763,PAcc!$A$1:$J$27,10,0)</f>
        <v>#N/A</v>
      </c>
      <c r="Z763" s="42" t="b">
        <f t="shared" si="4"/>
        <v>0</v>
      </c>
      <c r="AA763" s="50">
        <v>0.4</v>
      </c>
      <c r="AB763" s="42" t="str">
        <f>VLOOKUP(A763,VlookupSheet!$A$383:$A$523,1,0)</f>
        <v>#N/A</v>
      </c>
      <c r="AC763" s="122">
        <v>1.8</v>
      </c>
      <c r="AD763" s="42">
        <f t="shared" si="146"/>
        <v>5970036</v>
      </c>
      <c r="AE763" s="42">
        <f t="shared" si="147"/>
        <v>60000</v>
      </c>
      <c r="AF763" s="123">
        <f t="shared" si="148"/>
        <v>20000</v>
      </c>
    </row>
    <row r="764">
      <c r="A764" s="11" t="s">
        <v>2634</v>
      </c>
      <c r="B764" s="24" t="s">
        <v>3578</v>
      </c>
      <c r="C764" s="25"/>
      <c r="D764" s="11">
        <f t="shared" si="149"/>
        <v>0.8</v>
      </c>
      <c r="E764" s="11">
        <f t="shared" si="150"/>
        <v>160000</v>
      </c>
      <c r="F764" s="11" t="s">
        <v>1204</v>
      </c>
      <c r="G764" s="11">
        <v>160000.0</v>
      </c>
      <c r="H764" s="31">
        <v>200000.0</v>
      </c>
      <c r="I764" s="11" t="s">
        <v>92</v>
      </c>
      <c r="J764" s="11" t="s">
        <v>1018</v>
      </c>
      <c r="K764" s="38">
        <f t="shared" ref="K764:K787" si="151">iferror(G764/H764,"-")</f>
        <v>0.8</v>
      </c>
      <c r="L764" s="18" t="s">
        <v>910</v>
      </c>
      <c r="M764" s="18" t="s">
        <v>736</v>
      </c>
      <c r="N764" s="18"/>
      <c r="O764" s="18"/>
      <c r="P764" s="18" t="s">
        <v>3930</v>
      </c>
      <c r="Q764" s="42" t="str">
        <f>iferror(VLOOKUP(A764,'Positional cal'!A:H,1,0)=A764,"FALSE")</f>
        <v>FALSE</v>
      </c>
      <c r="R764" s="43" t="b">
        <f t="shared" si="3"/>
        <v>0</v>
      </c>
      <c r="S764" s="46">
        <f>IFERROR(VLOOKUP($A764,AlgoUi!$A:$X,21,0),"NA")</f>
        <v>50000000</v>
      </c>
      <c r="T764" s="46">
        <f>IFERROR(VLOOKUP($A764,AlgoUi!$A:$X,23,0),"")</f>
        <v>50000000</v>
      </c>
      <c r="U764" s="46">
        <f>IFERROR(VLOOKUP($A764,AlgoUi!$A:$X,24,0),"")</f>
        <v>400000</v>
      </c>
      <c r="V764" s="42" t="str">
        <f>IFERROR(__xludf.DUMMYFUNCTION("IFERROR(VLOOKUP(I764,IMPORTRANGE(""https://docs.google.com/spreadsheets/d/17FOIUYQAjPk1pPQIlvOgqYDBqwUqgb7KWzp4DtVksBk/edit?gid=0#gid=0"",""Servers!A:S""),19,FALSE), ""Not Running"")"),"SHIVANSHU")</f>
        <v>SHIVANSHU</v>
      </c>
      <c r="W764" s="47" t="str">
        <f>VLOOKUP($A764,Category!$A:$E,4,0)</f>
        <v>MS</v>
      </c>
      <c r="X764" s="47" t="str">
        <f>VLOOKUP($A764,Category!$A:$E,5,0)</f>
        <v>MSR</v>
      </c>
      <c r="Y764" s="18" t="str">
        <f>VLOOKUP(A764,PAcc!$A$1:$J$27,10,0)</f>
        <v>#N/A</v>
      </c>
      <c r="Z764" s="42" t="b">
        <f t="shared" si="4"/>
        <v>0</v>
      </c>
      <c r="AA764" s="50">
        <v>0.4</v>
      </c>
      <c r="AB764" s="42" t="str">
        <f>VLOOKUP(A764,VlookupSheet!$A$383:$A$523,1,0)</f>
        <v>#N/A</v>
      </c>
      <c r="AC764" s="42"/>
      <c r="AD764" s="42">
        <f t="shared" si="146"/>
        <v>20000000</v>
      </c>
      <c r="AE764" s="42">
        <f t="shared" si="147"/>
        <v>200000</v>
      </c>
      <c r="AF764" s="123">
        <f t="shared" si="148"/>
        <v>0</v>
      </c>
    </row>
    <row r="765">
      <c r="A765" s="30" t="s">
        <v>235</v>
      </c>
      <c r="B765" s="84" t="s">
        <v>2707</v>
      </c>
      <c r="C765" s="85"/>
      <c r="D765" s="11">
        <f t="shared" si="149"/>
        <v>0.8</v>
      </c>
      <c r="E765" s="11">
        <f t="shared" si="150"/>
        <v>32000</v>
      </c>
      <c r="F765" s="30" t="s">
        <v>311</v>
      </c>
      <c r="G765" s="11">
        <v>32000.0</v>
      </c>
      <c r="H765" s="31">
        <v>40000.0</v>
      </c>
      <c r="I765" s="34" t="s">
        <v>92</v>
      </c>
      <c r="J765" s="11" t="s">
        <v>1018</v>
      </c>
      <c r="K765" s="38">
        <f t="shared" si="151"/>
        <v>0.8</v>
      </c>
      <c r="L765" s="18" t="s">
        <v>910</v>
      </c>
      <c r="M765" s="18" t="s">
        <v>736</v>
      </c>
      <c r="N765" s="74"/>
      <c r="O765" s="74"/>
      <c r="P765" s="74"/>
      <c r="Q765" s="42" t="str">
        <f>iferror(VLOOKUP(A765,'Positional cal'!A:H,1,0)=A765,"FALSE")</f>
        <v>FALSE</v>
      </c>
      <c r="R765" s="43" t="b">
        <f t="shared" si="3"/>
        <v>0</v>
      </c>
      <c r="S765" s="46">
        <f>IFERROR(VLOOKUP($A765,AlgoUi!$A:$X,21,0),"NA")</f>
        <v>12084047</v>
      </c>
      <c r="T765" s="46">
        <f>IFERROR(VLOOKUP($A765,AlgoUi!$A:$X,23,0),"")</f>
        <v>12000000</v>
      </c>
      <c r="U765" s="46">
        <f>IFERROR(VLOOKUP($A765,AlgoUi!$A:$X,24,0),"")</f>
        <v>96000</v>
      </c>
      <c r="V765" s="42" t="str">
        <f>IFERROR(__xludf.DUMMYFUNCTION("IFERROR(VLOOKUP(I765,IMPORTRANGE(""https://docs.google.com/spreadsheets/d/17FOIUYQAjPk1pPQIlvOgqYDBqwUqgb7KWzp4DtVksBk/edit?gid=0#gid=0"",""Servers!A:S""),19,FALSE), ""Not Running"")"),"SHIVANSHU")</f>
        <v>SHIVANSHU</v>
      </c>
      <c r="W765" s="47" t="str">
        <f>VLOOKUP($A765,Category!$A:$E,4,0)</f>
        <v>MS</v>
      </c>
      <c r="X765" s="47" t="str">
        <f>VLOOKUP($A765,Category!$A:$E,5,0)</f>
        <v>MSR</v>
      </c>
      <c r="Y765" s="18" t="str">
        <f>VLOOKUP(A765,PAcc!$A$1:$J$27,10,0)</f>
        <v>#N/A</v>
      </c>
      <c r="Z765" s="42" t="b">
        <f t="shared" si="4"/>
        <v>0</v>
      </c>
      <c r="AA765" s="50">
        <v>0.4</v>
      </c>
      <c r="AB765" s="42" t="str">
        <f>VLOOKUP(A765,VlookupSheet!$A$383:$A$523,1,0)</f>
        <v>#N/A</v>
      </c>
      <c r="AC765" s="42"/>
      <c r="AD765" s="42">
        <f t="shared" si="146"/>
        <v>4833618.8</v>
      </c>
      <c r="AE765" s="42">
        <f t="shared" si="147"/>
        <v>40000</v>
      </c>
      <c r="AF765" s="123">
        <f t="shared" si="148"/>
        <v>0</v>
      </c>
    </row>
    <row r="766">
      <c r="A766" s="30" t="s">
        <v>233</v>
      </c>
      <c r="B766" s="84" t="s">
        <v>1659</v>
      </c>
      <c r="C766" s="85"/>
      <c r="D766" s="11">
        <f t="shared" si="149"/>
        <v>0.8</v>
      </c>
      <c r="E766" s="11">
        <f t="shared" si="150"/>
        <v>80000</v>
      </c>
      <c r="F766" s="30" t="s">
        <v>311</v>
      </c>
      <c r="G766" s="11">
        <v>80000.0</v>
      </c>
      <c r="H766" s="31">
        <v>100000.0</v>
      </c>
      <c r="I766" s="34" t="s">
        <v>92</v>
      </c>
      <c r="J766" s="11" t="s">
        <v>1018</v>
      </c>
      <c r="K766" s="38">
        <f t="shared" si="151"/>
        <v>0.8</v>
      </c>
      <c r="L766" s="18" t="s">
        <v>910</v>
      </c>
      <c r="M766" s="18" t="s">
        <v>736</v>
      </c>
      <c r="N766" s="47"/>
      <c r="O766" s="47"/>
      <c r="P766" s="47"/>
      <c r="Q766" s="42" t="str">
        <f>iferror(VLOOKUP(A766,'Positional cal'!A:H,1,0)=A766,"FALSE")</f>
        <v>FALSE</v>
      </c>
      <c r="R766" s="43" t="b">
        <f t="shared" si="3"/>
        <v>0</v>
      </c>
      <c r="S766" s="46">
        <f>IFERROR(VLOOKUP($A766,AlgoUi!$A:$X,21,0),"NA")</f>
        <v>24338966</v>
      </c>
      <c r="T766" s="46">
        <f>IFERROR(VLOOKUP($A766,AlgoUi!$A:$X,23,0),"")</f>
        <v>24000000</v>
      </c>
      <c r="U766" s="46">
        <f>IFERROR(VLOOKUP($A766,AlgoUi!$A:$X,24,0),"")</f>
        <v>192000</v>
      </c>
      <c r="V766" s="42" t="str">
        <f>IFERROR(__xludf.DUMMYFUNCTION("IFERROR(VLOOKUP(I766,IMPORTRANGE(""https://docs.google.com/spreadsheets/d/17FOIUYQAjPk1pPQIlvOgqYDBqwUqgb7KWzp4DtVksBk/edit?gid=0#gid=0"",""Servers!A:S""),19,FALSE), ""Not Running"")"),"SHIVANSHU")</f>
        <v>SHIVANSHU</v>
      </c>
      <c r="W766" s="47" t="str">
        <f>VLOOKUP($A766,Category!$A:$E,4,0)</f>
        <v>MS</v>
      </c>
      <c r="X766" s="47" t="str">
        <f>VLOOKUP($A766,Category!$A:$E,5,0)</f>
        <v>MSR</v>
      </c>
      <c r="Y766" s="18" t="str">
        <f>VLOOKUP(A766,PAcc!$A$1:$J$27,10,0)</f>
        <v>#N/A</v>
      </c>
      <c r="Z766" s="42" t="b">
        <f t="shared" si="4"/>
        <v>0</v>
      </c>
      <c r="AA766" s="50">
        <v>0.4</v>
      </c>
      <c r="AB766" s="42" t="str">
        <f>VLOOKUP(A766,VlookupSheet!$A$383:$A$523,1,0)</f>
        <v>#N/A</v>
      </c>
      <c r="AC766" s="42"/>
      <c r="AD766" s="42">
        <f t="shared" si="146"/>
        <v>9735586.4</v>
      </c>
      <c r="AE766" s="42">
        <f t="shared" si="147"/>
        <v>100000</v>
      </c>
      <c r="AF766" s="123">
        <f t="shared" si="148"/>
        <v>0</v>
      </c>
    </row>
    <row r="767">
      <c r="A767" s="11" t="s">
        <v>229</v>
      </c>
      <c r="B767" s="24" t="s">
        <v>2846</v>
      </c>
      <c r="C767" s="25"/>
      <c r="D767" s="11">
        <f t="shared" si="149"/>
        <v>0.8</v>
      </c>
      <c r="E767" s="11">
        <f t="shared" si="150"/>
        <v>32000</v>
      </c>
      <c r="F767" s="30" t="s">
        <v>311</v>
      </c>
      <c r="G767" s="11">
        <v>32000.0</v>
      </c>
      <c r="H767" s="31">
        <v>40000.0</v>
      </c>
      <c r="I767" s="11" t="s">
        <v>92</v>
      </c>
      <c r="J767" s="11" t="s">
        <v>1018</v>
      </c>
      <c r="K767" s="38">
        <f t="shared" si="151"/>
        <v>0.8</v>
      </c>
      <c r="L767" s="18" t="s">
        <v>910</v>
      </c>
      <c r="M767" s="18" t="s">
        <v>736</v>
      </c>
      <c r="N767" s="42"/>
      <c r="O767" s="42"/>
      <c r="P767" s="42"/>
      <c r="Q767" s="42" t="str">
        <f>iferror(VLOOKUP(A767,'Positional cal'!A:H,1,0)=A767,"FALSE")</f>
        <v>FALSE</v>
      </c>
      <c r="R767" s="43" t="b">
        <f t="shared" si="3"/>
        <v>0</v>
      </c>
      <c r="S767" s="46">
        <f>IFERROR(VLOOKUP($A767,AlgoUi!$A:$X,21,0),"NA")</f>
        <v>10041092</v>
      </c>
      <c r="T767" s="46">
        <f>IFERROR(VLOOKUP($A767,AlgoUi!$A:$X,23,0),"")</f>
        <v>10000000</v>
      </c>
      <c r="U767" s="46">
        <f>IFERROR(VLOOKUP($A767,AlgoUi!$A:$X,24,0),"")</f>
        <v>80000</v>
      </c>
      <c r="V767" s="42" t="str">
        <f>IFERROR(__xludf.DUMMYFUNCTION("IFERROR(VLOOKUP(I767,IMPORTRANGE(""https://docs.google.com/spreadsheets/d/17FOIUYQAjPk1pPQIlvOgqYDBqwUqgb7KWzp4DtVksBk/edit?gid=0#gid=0"",""Servers!A:S""),19,FALSE), ""Not Running"")"),"SHIVANSHU")</f>
        <v>SHIVANSHU</v>
      </c>
      <c r="W767" s="47" t="str">
        <f>VLOOKUP($A767,Category!$A:$E,4,0)</f>
        <v>MS</v>
      </c>
      <c r="X767" s="47" t="str">
        <f>VLOOKUP($A767,Category!$A:$E,5,0)</f>
        <v>MSR</v>
      </c>
      <c r="Y767" s="18" t="str">
        <f>VLOOKUP(A767,PAcc!$A$1:$J$27,10,0)</f>
        <v>#N/A</v>
      </c>
      <c r="Z767" s="42" t="b">
        <f t="shared" si="4"/>
        <v>0</v>
      </c>
      <c r="AA767" s="50">
        <v>0.4</v>
      </c>
      <c r="AB767" s="42" t="str">
        <f>VLOOKUP(A767,VlookupSheet!$A$383:$A$523,1,0)</f>
        <v>#N/A</v>
      </c>
      <c r="AC767" s="42"/>
      <c r="AD767" s="42">
        <f t="shared" si="146"/>
        <v>4016436.8</v>
      </c>
      <c r="AE767" s="42">
        <f t="shared" si="147"/>
        <v>40000</v>
      </c>
      <c r="AF767" s="123">
        <f t="shared" si="148"/>
        <v>0</v>
      </c>
    </row>
    <row r="768">
      <c r="A768" s="11" t="s">
        <v>2602</v>
      </c>
      <c r="B768" s="24" t="s">
        <v>2603</v>
      </c>
      <c r="C768" s="25"/>
      <c r="D768" s="11">
        <f t="shared" si="149"/>
        <v>0.8</v>
      </c>
      <c r="E768" s="11">
        <f t="shared" si="150"/>
        <v>48000</v>
      </c>
      <c r="F768" s="30" t="s">
        <v>311</v>
      </c>
      <c r="G768" s="11">
        <v>48000.0</v>
      </c>
      <c r="H768" s="31">
        <v>60000.0</v>
      </c>
      <c r="I768" s="42" t="s">
        <v>92</v>
      </c>
      <c r="J768" s="25" t="s">
        <v>1018</v>
      </c>
      <c r="K768" s="38">
        <f t="shared" si="151"/>
        <v>0.8</v>
      </c>
      <c r="L768" s="18" t="s">
        <v>910</v>
      </c>
      <c r="M768" s="18" t="s">
        <v>736</v>
      </c>
      <c r="N768" s="42"/>
      <c r="O768" s="42"/>
      <c r="P768" s="42"/>
      <c r="Q768" s="42" t="str">
        <f>iferror(VLOOKUP(A768,'Positional cal'!A:H,1,0)=A768,"FALSE")</f>
        <v>FALSE</v>
      </c>
      <c r="R768" s="43" t="b">
        <f t="shared" si="3"/>
        <v>0</v>
      </c>
      <c r="S768" s="46">
        <f>IFERROR(VLOOKUP($A768,AlgoUi!$A:$X,21,0),"NA")</f>
        <v>14356531</v>
      </c>
      <c r="T768" s="46">
        <f>IFERROR(VLOOKUP($A768,AlgoUi!$A:$X,23,0),"")</f>
        <v>14000000</v>
      </c>
      <c r="U768" s="46">
        <f>IFERROR(VLOOKUP($A768,AlgoUi!$A:$X,24,0),"")</f>
        <v>112000</v>
      </c>
      <c r="V768" s="42" t="str">
        <f>IFERROR(__xludf.DUMMYFUNCTION("IFERROR(VLOOKUP(I768,IMPORTRANGE(""https://docs.google.com/spreadsheets/d/17FOIUYQAjPk1pPQIlvOgqYDBqwUqgb7KWzp4DtVksBk/edit?gid=0#gid=0"",""Servers!A:S""),19,FALSE), ""Not Running"")"),"SHIVANSHU")</f>
        <v>SHIVANSHU</v>
      </c>
      <c r="W768" s="47" t="str">
        <f>VLOOKUP($A768,Category!$A:$E,4,0)</f>
        <v>MS</v>
      </c>
      <c r="X768" s="47" t="str">
        <f>VLOOKUP($A768,Category!$A:$E,5,0)</f>
        <v>MSR</v>
      </c>
      <c r="Y768" s="18" t="str">
        <f>VLOOKUP(A768,PAcc!$A$1:$J$27,10,0)</f>
        <v>#N/A</v>
      </c>
      <c r="Z768" s="42" t="b">
        <f t="shared" si="4"/>
        <v>0</v>
      </c>
      <c r="AA768" s="50">
        <v>0.4</v>
      </c>
      <c r="AB768" s="42" t="str">
        <f>VLOOKUP(A768,VlookupSheet!$A$383:$A$523,1,0)</f>
        <v>#N/A</v>
      </c>
      <c r="AC768" s="42"/>
      <c r="AD768" s="42">
        <f t="shared" si="146"/>
        <v>5742612.4</v>
      </c>
      <c r="AE768" s="42">
        <f t="shared" si="147"/>
        <v>60000</v>
      </c>
      <c r="AF768" s="123">
        <f t="shared" si="148"/>
        <v>0</v>
      </c>
    </row>
    <row r="769">
      <c r="A769" s="30" t="s">
        <v>1340</v>
      </c>
      <c r="B769" s="84" t="s">
        <v>2623</v>
      </c>
      <c r="C769" s="85"/>
      <c r="D769" s="11">
        <f t="shared" si="149"/>
        <v>0.8</v>
      </c>
      <c r="E769" s="11">
        <f t="shared" si="150"/>
        <v>48000</v>
      </c>
      <c r="F769" s="30" t="s">
        <v>311</v>
      </c>
      <c r="G769" s="11">
        <v>48000.0</v>
      </c>
      <c r="H769" s="31">
        <v>60000.0</v>
      </c>
      <c r="I769" s="74" t="s">
        <v>92</v>
      </c>
      <c r="J769" s="25" t="s">
        <v>1018</v>
      </c>
      <c r="K769" s="38">
        <f t="shared" si="151"/>
        <v>0.8</v>
      </c>
      <c r="L769" s="18" t="s">
        <v>910</v>
      </c>
      <c r="M769" s="18" t="s">
        <v>736</v>
      </c>
      <c r="N769" s="74"/>
      <c r="O769" s="74"/>
      <c r="P769" s="74"/>
      <c r="Q769" s="42" t="str">
        <f>iferror(VLOOKUP(A769,'Positional cal'!A:H,1,0)=A769,"FALSE")</f>
        <v>FALSE</v>
      </c>
      <c r="R769" s="43" t="b">
        <f t="shared" si="3"/>
        <v>0</v>
      </c>
      <c r="S769" s="46">
        <f>IFERROR(VLOOKUP($A769,AlgoUi!$A:$X,21,0),"NA")</f>
        <v>17038736</v>
      </c>
      <c r="T769" s="46">
        <f>IFERROR(VLOOKUP($A769,AlgoUi!$A:$X,23,0),"")</f>
        <v>18000000</v>
      </c>
      <c r="U769" s="46">
        <f>IFERROR(VLOOKUP($A769,AlgoUi!$A:$X,24,0),"")</f>
        <v>144000</v>
      </c>
      <c r="V769" s="42" t="str">
        <f>IFERROR(__xludf.DUMMYFUNCTION("IFERROR(VLOOKUP(I769,IMPORTRANGE(""https://docs.google.com/spreadsheets/d/17FOIUYQAjPk1pPQIlvOgqYDBqwUqgb7KWzp4DtVksBk/edit?gid=0#gid=0"",""Servers!A:S""),19,FALSE), ""Not Running"")"),"SHIVANSHU")</f>
        <v>SHIVANSHU</v>
      </c>
      <c r="W769" s="47" t="str">
        <f>VLOOKUP($A769,Category!$A:$E,4,0)</f>
        <v>MS</v>
      </c>
      <c r="X769" s="47" t="str">
        <f>VLOOKUP($A769,Category!$A:$E,5,0)</f>
        <v>MSR</v>
      </c>
      <c r="Y769" s="18" t="str">
        <f>VLOOKUP(A769,PAcc!$A$1:$J$27,10,0)</f>
        <v>#N/A</v>
      </c>
      <c r="Z769" s="42" t="b">
        <f t="shared" si="4"/>
        <v>0</v>
      </c>
      <c r="AA769" s="50">
        <v>0.4</v>
      </c>
      <c r="AB769" s="42" t="str">
        <f>VLOOKUP(A769,VlookupSheet!$A$383:$A$523,1,0)</f>
        <v>#N/A</v>
      </c>
      <c r="AC769" s="42"/>
      <c r="AD769" s="42">
        <f t="shared" si="146"/>
        <v>6815494.4</v>
      </c>
      <c r="AE769" s="42">
        <f t="shared" si="147"/>
        <v>60000</v>
      </c>
      <c r="AF769" s="123">
        <f t="shared" si="148"/>
        <v>0</v>
      </c>
    </row>
    <row r="770">
      <c r="A770" s="11" t="s">
        <v>2570</v>
      </c>
      <c r="B770" s="24" t="s">
        <v>2571</v>
      </c>
      <c r="C770" s="25"/>
      <c r="D770" s="11">
        <f t="shared" si="149"/>
        <v>0.8</v>
      </c>
      <c r="E770" s="11">
        <f t="shared" si="150"/>
        <v>32000</v>
      </c>
      <c r="F770" s="30" t="s">
        <v>311</v>
      </c>
      <c r="G770" s="11">
        <v>32000.0</v>
      </c>
      <c r="H770" s="31">
        <v>40000.0</v>
      </c>
      <c r="I770" s="42" t="s">
        <v>92</v>
      </c>
      <c r="J770" s="25" t="s">
        <v>1018</v>
      </c>
      <c r="K770" s="38">
        <f t="shared" si="151"/>
        <v>0.8</v>
      </c>
      <c r="L770" s="18" t="s">
        <v>910</v>
      </c>
      <c r="M770" s="18" t="s">
        <v>736</v>
      </c>
      <c r="N770" s="42"/>
      <c r="O770" s="42"/>
      <c r="P770" s="42"/>
      <c r="Q770" s="42" t="str">
        <f>iferror(VLOOKUP(A770,'Positional cal'!A:H,1,0)=A770,"FALSE")</f>
        <v>FALSE</v>
      </c>
      <c r="R770" s="43" t="b">
        <f t="shared" si="3"/>
        <v>0</v>
      </c>
      <c r="S770" s="46">
        <f>IFERROR(VLOOKUP($A770,AlgoUi!$A:$X,21,0),"NA")</f>
        <v>11928465</v>
      </c>
      <c r="T770" s="46">
        <f>IFERROR(VLOOKUP($A770,AlgoUi!$A:$X,23,0),"")</f>
        <v>12000000</v>
      </c>
      <c r="U770" s="46">
        <f>IFERROR(VLOOKUP($A770,AlgoUi!$A:$X,24,0),"")</f>
        <v>96000</v>
      </c>
      <c r="V770" s="42" t="str">
        <f>IFERROR(__xludf.DUMMYFUNCTION("IFERROR(VLOOKUP(I770,IMPORTRANGE(""https://docs.google.com/spreadsheets/d/17FOIUYQAjPk1pPQIlvOgqYDBqwUqgb7KWzp4DtVksBk/edit?gid=0#gid=0"",""Servers!A:S""),19,FALSE), ""Not Running"")"),"SHIVANSHU")</f>
        <v>SHIVANSHU</v>
      </c>
      <c r="W770" s="47" t="str">
        <f>VLOOKUP($A770,Category!$A:$E,4,0)</f>
        <v>MS</v>
      </c>
      <c r="X770" s="47" t="str">
        <f>VLOOKUP($A770,Category!$A:$E,5,0)</f>
        <v>MSR</v>
      </c>
      <c r="Y770" s="18" t="str">
        <f>VLOOKUP(A770,PAcc!$A$1:$J$27,10,0)</f>
        <v>#N/A</v>
      </c>
      <c r="Z770" s="42" t="b">
        <f t="shared" si="4"/>
        <v>0</v>
      </c>
      <c r="AA770" s="50">
        <v>0.4</v>
      </c>
      <c r="AB770" s="42" t="str">
        <f>VLOOKUP(A770,VlookupSheet!$A$383:$A$523,1,0)</f>
        <v>#N/A</v>
      </c>
      <c r="AC770" s="42"/>
      <c r="AD770" s="42">
        <f t="shared" si="146"/>
        <v>4771386</v>
      </c>
      <c r="AE770" s="42">
        <f t="shared" si="147"/>
        <v>40000</v>
      </c>
      <c r="AF770" s="123">
        <f t="shared" si="148"/>
        <v>0</v>
      </c>
    </row>
    <row r="771">
      <c r="A771" s="30" t="s">
        <v>1530</v>
      </c>
      <c r="B771" s="84" t="s">
        <v>2725</v>
      </c>
      <c r="C771" s="85"/>
      <c r="D771" s="11">
        <f t="shared" si="149"/>
        <v>0.8</v>
      </c>
      <c r="E771" s="11">
        <f t="shared" si="150"/>
        <v>64000</v>
      </c>
      <c r="F771" s="30" t="s">
        <v>311</v>
      </c>
      <c r="G771" s="11">
        <v>64000.0</v>
      </c>
      <c r="H771" s="31">
        <v>80000.0</v>
      </c>
      <c r="I771" s="74" t="s">
        <v>92</v>
      </c>
      <c r="J771" s="25" t="s">
        <v>1018</v>
      </c>
      <c r="K771" s="38">
        <f t="shared" si="151"/>
        <v>0.8</v>
      </c>
      <c r="L771" s="18" t="s">
        <v>910</v>
      </c>
      <c r="M771" s="18" t="s">
        <v>736</v>
      </c>
      <c r="N771" s="74"/>
      <c r="O771" s="74"/>
      <c r="P771" s="74"/>
      <c r="Q771" s="42" t="str">
        <f>iferror(VLOOKUP(A771,'Positional cal'!A:H,1,0)=A771,"FALSE")</f>
        <v>FALSE</v>
      </c>
      <c r="R771" s="43" t="b">
        <f t="shared" si="3"/>
        <v>0</v>
      </c>
      <c r="S771" s="46">
        <f>IFERROR(VLOOKUP($A771,AlgoUi!$A:$X,21,0),"NA")</f>
        <v>19337383</v>
      </c>
      <c r="T771" s="46">
        <f>IFERROR(VLOOKUP($A771,AlgoUi!$A:$X,23,0),"")</f>
        <v>20000000</v>
      </c>
      <c r="U771" s="46">
        <f>IFERROR(VLOOKUP($A771,AlgoUi!$A:$X,24,0),"")</f>
        <v>160000</v>
      </c>
      <c r="V771" s="42" t="str">
        <f>IFERROR(__xludf.DUMMYFUNCTION("IFERROR(VLOOKUP(I771,IMPORTRANGE(""https://docs.google.com/spreadsheets/d/17FOIUYQAjPk1pPQIlvOgqYDBqwUqgb7KWzp4DtVksBk/edit?gid=0#gid=0"",""Servers!A:S""),19,FALSE), ""Not Running"")"),"SHIVANSHU")</f>
        <v>SHIVANSHU</v>
      </c>
      <c r="W771" s="47" t="str">
        <f>VLOOKUP($A771,Category!$A:$E,4,0)</f>
        <v>MS</v>
      </c>
      <c r="X771" s="47" t="str">
        <f>VLOOKUP($A771,Category!$A:$E,5,0)</f>
        <v>MSR</v>
      </c>
      <c r="Y771" s="18" t="str">
        <f>VLOOKUP(A771,PAcc!$A$1:$J$27,10,0)</f>
        <v>#N/A</v>
      </c>
      <c r="Z771" s="42" t="b">
        <f t="shared" si="4"/>
        <v>0</v>
      </c>
      <c r="AA771" s="50">
        <v>0.4</v>
      </c>
      <c r="AB771" s="42" t="str">
        <f>VLOOKUP(A771,VlookupSheet!$A$383:$A$523,1,0)</f>
        <v>#N/A</v>
      </c>
      <c r="AC771" s="42"/>
      <c r="AD771" s="42">
        <f t="shared" si="146"/>
        <v>7734953.2</v>
      </c>
      <c r="AE771" s="42">
        <f t="shared" si="147"/>
        <v>80000</v>
      </c>
      <c r="AF771" s="123">
        <f t="shared" si="148"/>
        <v>0</v>
      </c>
    </row>
    <row r="772">
      <c r="A772" s="30" t="s">
        <v>2049</v>
      </c>
      <c r="B772" s="84" t="s">
        <v>2942</v>
      </c>
      <c r="C772" s="85"/>
      <c r="D772" s="11">
        <f t="shared" si="149"/>
        <v>0.8</v>
      </c>
      <c r="E772" s="11">
        <f t="shared" si="150"/>
        <v>48000</v>
      </c>
      <c r="F772" s="30" t="s">
        <v>311</v>
      </c>
      <c r="G772" s="11">
        <v>48000.0</v>
      </c>
      <c r="H772" s="31">
        <v>60000.0</v>
      </c>
      <c r="I772" s="74" t="s">
        <v>92</v>
      </c>
      <c r="J772" s="25" t="s">
        <v>1018</v>
      </c>
      <c r="K772" s="38">
        <f t="shared" si="151"/>
        <v>0.8</v>
      </c>
      <c r="L772" s="18" t="s">
        <v>910</v>
      </c>
      <c r="M772" s="18" t="s">
        <v>736</v>
      </c>
      <c r="N772" s="74"/>
      <c r="O772" s="74"/>
      <c r="P772" s="74"/>
      <c r="Q772" s="42" t="str">
        <f>iferror(VLOOKUP(A772,'Positional cal'!A:H,1,0)=A772,"FALSE")</f>
        <v>FALSE</v>
      </c>
      <c r="R772" s="43" t="b">
        <f t="shared" si="3"/>
        <v>0</v>
      </c>
      <c r="S772" s="46">
        <f>IFERROR(VLOOKUP($A772,AlgoUi!$A:$X,21,0),"NA")</f>
        <v>15251357</v>
      </c>
      <c r="T772" s="46">
        <f>IFERROR(VLOOKUP($A772,AlgoUi!$A:$X,23,0),"")</f>
        <v>16000000</v>
      </c>
      <c r="U772" s="46">
        <f>IFERROR(VLOOKUP($A772,AlgoUi!$A:$X,24,0),"")</f>
        <v>128000</v>
      </c>
      <c r="V772" s="42" t="str">
        <f>IFERROR(__xludf.DUMMYFUNCTION("IFERROR(VLOOKUP(I772,IMPORTRANGE(""https://docs.google.com/spreadsheets/d/17FOIUYQAjPk1pPQIlvOgqYDBqwUqgb7KWzp4DtVksBk/edit?gid=0#gid=0"",""Servers!A:S""),19,FALSE), ""Not Running"")"),"SHIVANSHU")</f>
        <v>SHIVANSHU</v>
      </c>
      <c r="W772" s="47" t="str">
        <f>VLOOKUP($A772,Category!$A:$E,4,0)</f>
        <v>MS</v>
      </c>
      <c r="X772" s="47" t="str">
        <f>VLOOKUP($A772,Category!$A:$E,5,0)</f>
        <v>MSR</v>
      </c>
      <c r="Y772" s="18" t="str">
        <f>VLOOKUP(A772,PAcc!$A$1:$J$27,10,0)</f>
        <v>#N/A</v>
      </c>
      <c r="Z772" s="42" t="b">
        <f t="shared" si="4"/>
        <v>0</v>
      </c>
      <c r="AA772" s="50">
        <v>0.4</v>
      </c>
      <c r="AB772" s="42" t="str">
        <f>VLOOKUP(A772,VlookupSheet!$A$383:$A$523,1,0)</f>
        <v>#N/A</v>
      </c>
      <c r="AC772" s="42"/>
      <c r="AD772" s="42">
        <f t="shared" si="146"/>
        <v>6100542.8</v>
      </c>
      <c r="AE772" s="42">
        <f t="shared" si="147"/>
        <v>60000</v>
      </c>
      <c r="AF772" s="123">
        <f t="shared" si="148"/>
        <v>0</v>
      </c>
    </row>
    <row r="773">
      <c r="A773" s="30" t="s">
        <v>1877</v>
      </c>
      <c r="B773" s="84" t="s">
        <v>1930</v>
      </c>
      <c r="C773" s="85"/>
      <c r="D773" s="11">
        <f t="shared" si="149"/>
        <v>0.8</v>
      </c>
      <c r="E773" s="11">
        <f t="shared" si="150"/>
        <v>48000</v>
      </c>
      <c r="F773" s="30" t="s">
        <v>311</v>
      </c>
      <c r="G773" s="11">
        <v>48000.0</v>
      </c>
      <c r="H773" s="31">
        <v>60000.0</v>
      </c>
      <c r="I773" s="74" t="s">
        <v>92</v>
      </c>
      <c r="J773" s="25" t="s">
        <v>1018</v>
      </c>
      <c r="K773" s="38">
        <f t="shared" si="151"/>
        <v>0.8</v>
      </c>
      <c r="L773" s="18" t="s">
        <v>910</v>
      </c>
      <c r="M773" s="18" t="s">
        <v>736</v>
      </c>
      <c r="N773" s="74"/>
      <c r="O773" s="74"/>
      <c r="P773" s="74"/>
      <c r="Q773" s="42" t="str">
        <f>iferror(VLOOKUP(A773,'Positional cal'!A:H,1,0)=A773,"FALSE")</f>
        <v>FALSE</v>
      </c>
      <c r="R773" s="43" t="b">
        <f t="shared" si="3"/>
        <v>0</v>
      </c>
      <c r="S773" s="46">
        <f>IFERROR(VLOOKUP($A773,AlgoUi!$A:$X,21,0),"NA")</f>
        <v>15963145</v>
      </c>
      <c r="T773" s="46">
        <f>IFERROR(VLOOKUP($A773,AlgoUi!$A:$X,23,0),"")</f>
        <v>16000000</v>
      </c>
      <c r="U773" s="46">
        <f>IFERROR(VLOOKUP($A773,AlgoUi!$A:$X,24,0),"")</f>
        <v>128000</v>
      </c>
      <c r="V773" s="42" t="str">
        <f>IFERROR(__xludf.DUMMYFUNCTION("IFERROR(VLOOKUP(I773,IMPORTRANGE(""https://docs.google.com/spreadsheets/d/17FOIUYQAjPk1pPQIlvOgqYDBqwUqgb7KWzp4DtVksBk/edit?gid=0#gid=0"",""Servers!A:S""),19,FALSE), ""Not Running"")"),"SHIVANSHU")</f>
        <v>SHIVANSHU</v>
      </c>
      <c r="W773" s="47" t="str">
        <f>VLOOKUP($A773,Category!$A:$E,4,0)</f>
        <v>MS</v>
      </c>
      <c r="X773" s="47" t="str">
        <f>VLOOKUP($A773,Category!$A:$E,5,0)</f>
        <v>MSR</v>
      </c>
      <c r="Y773" s="18" t="str">
        <f>VLOOKUP(A773,PAcc!$A$1:$J$27,10,0)</f>
        <v>#N/A</v>
      </c>
      <c r="Z773" s="42" t="b">
        <f t="shared" si="4"/>
        <v>0</v>
      </c>
      <c r="AA773" s="50">
        <v>0.4</v>
      </c>
      <c r="AB773" s="42" t="str">
        <f>VLOOKUP(A773,VlookupSheet!$A$383:$A$523,1,0)</f>
        <v>#N/A</v>
      </c>
      <c r="AC773" s="42"/>
      <c r="AD773" s="42">
        <f t="shared" si="146"/>
        <v>6385258</v>
      </c>
      <c r="AE773" s="42">
        <f t="shared" si="147"/>
        <v>60000</v>
      </c>
      <c r="AF773" s="123">
        <f t="shared" si="148"/>
        <v>0</v>
      </c>
    </row>
    <row r="774">
      <c r="A774" s="83" t="s">
        <v>2391</v>
      </c>
      <c r="B774" s="24" t="s">
        <v>3260</v>
      </c>
      <c r="C774" s="25"/>
      <c r="D774" s="11">
        <f t="shared" si="149"/>
        <v>0.8</v>
      </c>
      <c r="E774" s="11">
        <f t="shared" si="150"/>
        <v>32000</v>
      </c>
      <c r="F774" s="30" t="s">
        <v>232</v>
      </c>
      <c r="G774" s="11">
        <v>32000.0</v>
      </c>
      <c r="H774" s="31">
        <v>40000.0</v>
      </c>
      <c r="I774" s="74" t="s">
        <v>92</v>
      </c>
      <c r="J774" s="25" t="s">
        <v>1018</v>
      </c>
      <c r="K774" s="38">
        <f t="shared" si="151"/>
        <v>0.8</v>
      </c>
      <c r="L774" s="18" t="s">
        <v>910</v>
      </c>
      <c r="M774" s="18" t="s">
        <v>736</v>
      </c>
      <c r="N774" s="42"/>
      <c r="O774" s="42"/>
      <c r="P774" s="42"/>
      <c r="Q774" s="42" t="str">
        <f>iferror(VLOOKUP(A774,'Positional cal'!A:H,1,0)=A774,"FALSE")</f>
        <v>FALSE</v>
      </c>
      <c r="R774" s="43" t="b">
        <f t="shared" si="3"/>
        <v>0</v>
      </c>
      <c r="S774" s="46">
        <f>IFERROR(VLOOKUP($A774,AlgoUi!$A:$X,21,0),"NA")</f>
        <v>10659881</v>
      </c>
      <c r="T774" s="46">
        <f>IFERROR(VLOOKUP($A774,AlgoUi!$A:$X,23,0),"")</f>
        <v>10000000</v>
      </c>
      <c r="U774" s="46">
        <f>IFERROR(VLOOKUP($A774,AlgoUi!$A:$X,24,0),"")</f>
        <v>80000</v>
      </c>
      <c r="V774" s="42" t="str">
        <f>IFERROR(__xludf.DUMMYFUNCTION("IFERROR(VLOOKUP(I774,IMPORTRANGE(""https://docs.google.com/spreadsheets/d/17FOIUYQAjPk1pPQIlvOgqYDBqwUqgb7KWzp4DtVksBk/edit?gid=0#gid=0"",""Servers!A:S""),19,FALSE), ""Not Running"")"),"SHIVANSHU")</f>
        <v>SHIVANSHU</v>
      </c>
      <c r="W774" s="47" t="str">
        <f>VLOOKUP($A774,Category!$A:$E,4,0)</f>
        <v>MS</v>
      </c>
      <c r="X774" s="47" t="str">
        <f>VLOOKUP($A774,Category!$A:$E,5,0)</f>
        <v>MSR</v>
      </c>
      <c r="Y774" s="18" t="str">
        <f>VLOOKUP(A774,PAcc!$A$1:$J$27,10,0)</f>
        <v>#N/A</v>
      </c>
      <c r="Z774" s="42" t="b">
        <f t="shared" si="4"/>
        <v>0</v>
      </c>
      <c r="AA774" s="50">
        <v>0.4</v>
      </c>
      <c r="AB774" s="42" t="str">
        <f>VLOOKUP(A774,VlookupSheet!$A$383:$A$523,1,0)</f>
        <v>#N/A</v>
      </c>
      <c r="AC774" s="42"/>
      <c r="AD774" s="42">
        <f t="shared" si="146"/>
        <v>4263952.4</v>
      </c>
      <c r="AE774" s="42">
        <f t="shared" si="147"/>
        <v>40000</v>
      </c>
      <c r="AF774" s="123">
        <f t="shared" si="148"/>
        <v>0</v>
      </c>
    </row>
    <row r="775">
      <c r="A775" s="83" t="s">
        <v>1911</v>
      </c>
      <c r="B775" s="84" t="s">
        <v>2289</v>
      </c>
      <c r="C775" s="30" t="s">
        <v>320</v>
      </c>
      <c r="D775" s="11">
        <f t="shared" si="149"/>
        <v>0.8</v>
      </c>
      <c r="E775" s="11">
        <f t="shared" si="150"/>
        <v>32000</v>
      </c>
      <c r="F775" s="30" t="s">
        <v>232</v>
      </c>
      <c r="G775" s="11">
        <v>32000.0</v>
      </c>
      <c r="H775" s="31">
        <v>40000.0</v>
      </c>
      <c r="I775" s="74" t="s">
        <v>92</v>
      </c>
      <c r="J775" s="25" t="s">
        <v>1018</v>
      </c>
      <c r="K775" s="38">
        <f t="shared" si="151"/>
        <v>0.8</v>
      </c>
      <c r="L775" s="18" t="s">
        <v>910</v>
      </c>
      <c r="M775" s="18" t="s">
        <v>736</v>
      </c>
      <c r="N775" s="74"/>
      <c r="O775" s="74"/>
      <c r="P775" s="74"/>
      <c r="Q775" s="42" t="str">
        <f>iferror(VLOOKUP(A775,'Positional cal'!A:H,1,0)=A775,"FALSE")</f>
        <v>FALSE</v>
      </c>
      <c r="R775" s="43" t="b">
        <f t="shared" si="3"/>
        <v>0</v>
      </c>
      <c r="S775" s="46">
        <f>IFERROR(VLOOKUP($A775,AlgoUi!$A:$X,21,0),"NA")</f>
        <v>11606159</v>
      </c>
      <c r="T775" s="46">
        <f>IFERROR(VLOOKUP($A775,AlgoUi!$A:$X,23,0),"")</f>
        <v>12000000</v>
      </c>
      <c r="U775" s="46">
        <f>IFERROR(VLOOKUP($A775,AlgoUi!$A:$X,24,0),"")</f>
        <v>96000</v>
      </c>
      <c r="V775" s="42" t="str">
        <f>IFERROR(__xludf.DUMMYFUNCTION("IFERROR(VLOOKUP(I775,IMPORTRANGE(""https://docs.google.com/spreadsheets/d/17FOIUYQAjPk1pPQIlvOgqYDBqwUqgb7KWzp4DtVksBk/edit?gid=0#gid=0"",""Servers!A:S""),19,FALSE), ""Not Running"")"),"SHIVANSHU")</f>
        <v>SHIVANSHU</v>
      </c>
      <c r="W775" s="47" t="str">
        <f>VLOOKUP($A775,Category!$A:$E,4,0)</f>
        <v>MS</v>
      </c>
      <c r="X775" s="47" t="str">
        <f>VLOOKUP($A775,Category!$A:$E,5,0)</f>
        <v>MSR</v>
      </c>
      <c r="Y775" s="18" t="str">
        <f>VLOOKUP(A775,PAcc!$A$1:$J$27,10,0)</f>
        <v>#N/A</v>
      </c>
      <c r="Z775" s="42" t="b">
        <f t="shared" si="4"/>
        <v>0</v>
      </c>
      <c r="AA775" s="50">
        <v>0.4</v>
      </c>
      <c r="AB775" s="42" t="str">
        <f>VLOOKUP(A775,VlookupSheet!$A$383:$A$523,1,0)</f>
        <v>#N/A</v>
      </c>
      <c r="AC775" s="42"/>
      <c r="AD775" s="42">
        <f t="shared" si="146"/>
        <v>4642463.6</v>
      </c>
      <c r="AE775" s="42">
        <f t="shared" si="147"/>
        <v>40000</v>
      </c>
      <c r="AF775" s="123">
        <f t="shared" si="148"/>
        <v>0</v>
      </c>
    </row>
    <row r="776">
      <c r="A776" s="83" t="s">
        <v>1879</v>
      </c>
      <c r="B776" s="84" t="s">
        <v>2364</v>
      </c>
      <c r="C776" s="85"/>
      <c r="D776" s="11">
        <f t="shared" si="149"/>
        <v>0.8</v>
      </c>
      <c r="E776" s="11">
        <f t="shared" si="150"/>
        <v>32000</v>
      </c>
      <c r="F776" s="30" t="s">
        <v>232</v>
      </c>
      <c r="G776" s="11">
        <v>32000.0</v>
      </c>
      <c r="H776" s="31">
        <v>40000.0</v>
      </c>
      <c r="I776" s="74" t="s">
        <v>92</v>
      </c>
      <c r="J776" s="25" t="s">
        <v>1018</v>
      </c>
      <c r="K776" s="38">
        <f t="shared" si="151"/>
        <v>0.8</v>
      </c>
      <c r="L776" s="18" t="s">
        <v>910</v>
      </c>
      <c r="M776" s="18" t="s">
        <v>736</v>
      </c>
      <c r="N776" s="74"/>
      <c r="O776" s="74"/>
      <c r="P776" s="74"/>
      <c r="Q776" s="42" t="str">
        <f>iferror(VLOOKUP(A776,'Positional cal'!A:H,1,0)=A776,"FALSE")</f>
        <v>FALSE</v>
      </c>
      <c r="R776" s="43" t="b">
        <f t="shared" si="3"/>
        <v>0</v>
      </c>
      <c r="S776" s="46">
        <f>IFERROR(VLOOKUP($A776,AlgoUi!$A:$X,21,0),"NA")</f>
        <v>10845889</v>
      </c>
      <c r="T776" s="46">
        <f>IFERROR(VLOOKUP($A776,AlgoUi!$A:$X,23,0),"")</f>
        <v>10000000</v>
      </c>
      <c r="U776" s="46">
        <f>IFERROR(VLOOKUP($A776,AlgoUi!$A:$X,24,0),"")</f>
        <v>80000</v>
      </c>
      <c r="V776" s="42" t="str">
        <f>IFERROR(__xludf.DUMMYFUNCTION("IFERROR(VLOOKUP(I776,IMPORTRANGE(""https://docs.google.com/spreadsheets/d/17FOIUYQAjPk1pPQIlvOgqYDBqwUqgb7KWzp4DtVksBk/edit?gid=0#gid=0"",""Servers!A:S""),19,FALSE), ""Not Running"")"),"SHIVANSHU")</f>
        <v>SHIVANSHU</v>
      </c>
      <c r="W776" s="47" t="str">
        <f>VLOOKUP($A776,Category!$A:$E,4,0)</f>
        <v>MS</v>
      </c>
      <c r="X776" s="47" t="str">
        <f>VLOOKUP($A776,Category!$A:$E,5,0)</f>
        <v>MSR</v>
      </c>
      <c r="Y776" s="18" t="str">
        <f>VLOOKUP(A776,PAcc!$A$1:$J$27,10,0)</f>
        <v>#N/A</v>
      </c>
      <c r="Z776" s="42" t="b">
        <f t="shared" si="4"/>
        <v>0</v>
      </c>
      <c r="AA776" s="50">
        <v>0.4</v>
      </c>
      <c r="AB776" s="42" t="str">
        <f>VLOOKUP(A776,VlookupSheet!$A$383:$A$523,1,0)</f>
        <v>#N/A</v>
      </c>
      <c r="AC776" s="42"/>
      <c r="AD776" s="42">
        <f t="shared" si="146"/>
        <v>4338355.6</v>
      </c>
      <c r="AE776" s="42">
        <f t="shared" si="147"/>
        <v>40000</v>
      </c>
      <c r="AF776" s="123">
        <f t="shared" si="148"/>
        <v>0</v>
      </c>
    </row>
    <row r="777">
      <c r="A777" s="83" t="s">
        <v>433</v>
      </c>
      <c r="B777" s="84" t="s">
        <v>2566</v>
      </c>
      <c r="C777" s="85"/>
      <c r="D777" s="11">
        <f t="shared" si="149"/>
        <v>0.8</v>
      </c>
      <c r="E777" s="11">
        <f t="shared" si="150"/>
        <v>32000</v>
      </c>
      <c r="F777" s="30" t="s">
        <v>232</v>
      </c>
      <c r="G777" s="11">
        <v>32000.0</v>
      </c>
      <c r="H777" s="31">
        <v>40000.0</v>
      </c>
      <c r="I777" s="74" t="s">
        <v>92</v>
      </c>
      <c r="J777" s="25" t="s">
        <v>1018</v>
      </c>
      <c r="K777" s="38">
        <f t="shared" si="151"/>
        <v>0.8</v>
      </c>
      <c r="L777" s="18" t="s">
        <v>910</v>
      </c>
      <c r="M777" s="18" t="s">
        <v>736</v>
      </c>
      <c r="N777" s="74"/>
      <c r="O777" s="74"/>
      <c r="P777" s="74"/>
      <c r="Q777" s="42" t="str">
        <f>iferror(VLOOKUP(A777,'Positional cal'!A:H,1,0)=A777,"FALSE")</f>
        <v>FALSE</v>
      </c>
      <c r="R777" s="43" t="b">
        <f t="shared" si="3"/>
        <v>0</v>
      </c>
      <c r="S777" s="46">
        <f>IFERROR(VLOOKUP($A777,AlgoUi!$A:$X,21,0),"NA")</f>
        <v>10331594</v>
      </c>
      <c r="T777" s="46">
        <f>IFERROR(VLOOKUP($A777,AlgoUi!$A:$X,23,0),"")</f>
        <v>10000000</v>
      </c>
      <c r="U777" s="46">
        <f>IFERROR(VLOOKUP($A777,AlgoUi!$A:$X,24,0),"")</f>
        <v>80000</v>
      </c>
      <c r="V777" s="42" t="str">
        <f>IFERROR(__xludf.DUMMYFUNCTION("IFERROR(VLOOKUP(I777,IMPORTRANGE(""https://docs.google.com/spreadsheets/d/17FOIUYQAjPk1pPQIlvOgqYDBqwUqgb7KWzp4DtVksBk/edit?gid=0#gid=0"",""Servers!A:S""),19,FALSE), ""Not Running"")"),"SHIVANSHU")</f>
        <v>SHIVANSHU</v>
      </c>
      <c r="W777" s="47" t="str">
        <f>VLOOKUP($A777,Category!$A:$E,4,0)</f>
        <v>MS</v>
      </c>
      <c r="X777" s="47" t="str">
        <f>VLOOKUP($A777,Category!$A:$E,5,0)</f>
        <v>MSR</v>
      </c>
      <c r="Y777" s="18" t="str">
        <f>VLOOKUP(A777,PAcc!$A$1:$J$27,10,0)</f>
        <v>#N/A</v>
      </c>
      <c r="Z777" s="42" t="b">
        <f t="shared" si="4"/>
        <v>0</v>
      </c>
      <c r="AA777" s="50">
        <v>0.4</v>
      </c>
      <c r="AB777" s="42" t="str">
        <f>VLOOKUP(A777,VlookupSheet!$A$383:$A$523,1,0)</f>
        <v>#N/A</v>
      </c>
      <c r="AC777" s="42"/>
      <c r="AD777" s="42">
        <f t="shared" si="146"/>
        <v>4132637.6</v>
      </c>
      <c r="AE777" s="42">
        <f t="shared" si="147"/>
        <v>40000</v>
      </c>
      <c r="AF777" s="123">
        <f t="shared" si="148"/>
        <v>0</v>
      </c>
    </row>
    <row r="778">
      <c r="A778" s="83" t="s">
        <v>1470</v>
      </c>
      <c r="B778" s="84" t="s">
        <v>2346</v>
      </c>
      <c r="C778" s="85"/>
      <c r="D778" s="11">
        <f t="shared" si="149"/>
        <v>0.8</v>
      </c>
      <c r="E778" s="11">
        <f t="shared" si="150"/>
        <v>192000</v>
      </c>
      <c r="F778" s="30" t="s">
        <v>232</v>
      </c>
      <c r="G778" s="11">
        <v>192000.0</v>
      </c>
      <c r="H778" s="31">
        <v>240000.0</v>
      </c>
      <c r="I778" s="74" t="s">
        <v>92</v>
      </c>
      <c r="J778" s="25" t="s">
        <v>1018</v>
      </c>
      <c r="K778" s="38">
        <f t="shared" si="151"/>
        <v>0.8</v>
      </c>
      <c r="L778" s="18" t="s">
        <v>910</v>
      </c>
      <c r="M778" s="18" t="s">
        <v>736</v>
      </c>
      <c r="N778" s="74"/>
      <c r="O778" s="74"/>
      <c r="P778" s="74"/>
      <c r="Q778" s="42" t="str">
        <f>iferror(VLOOKUP(A778,'Positional cal'!A:H,1,0)=A778,"FALSE")</f>
        <v>FALSE</v>
      </c>
      <c r="R778" s="43" t="b">
        <f t="shared" si="3"/>
        <v>0</v>
      </c>
      <c r="S778" s="46">
        <f>IFERROR(VLOOKUP($A778,AlgoUi!$A:$X,21,0),"NA")</f>
        <v>59380312</v>
      </c>
      <c r="T778" s="46">
        <f>IFERROR(VLOOKUP($A778,AlgoUi!$A:$X,23,0),"")</f>
        <v>60000000</v>
      </c>
      <c r="U778" s="46">
        <f>IFERROR(VLOOKUP($A778,AlgoUi!$A:$X,24,0),"")</f>
        <v>480000</v>
      </c>
      <c r="V778" s="42" t="str">
        <f>IFERROR(__xludf.DUMMYFUNCTION("IFERROR(VLOOKUP(I778,IMPORTRANGE(""https://docs.google.com/spreadsheets/d/17FOIUYQAjPk1pPQIlvOgqYDBqwUqgb7KWzp4DtVksBk/edit?gid=0#gid=0"",""Servers!A:S""),19,FALSE), ""Not Running"")"),"SHIVANSHU")</f>
        <v>SHIVANSHU</v>
      </c>
      <c r="W778" s="47" t="str">
        <f>VLOOKUP($A778,Category!$A:$E,4,0)</f>
        <v>MS</v>
      </c>
      <c r="X778" s="47" t="str">
        <f>VLOOKUP($A778,Category!$A:$E,5,0)</f>
        <v>MSR</v>
      </c>
      <c r="Y778" s="18" t="str">
        <f>VLOOKUP(A778,PAcc!$A$1:$J$27,10,0)</f>
        <v>#N/A</v>
      </c>
      <c r="Z778" s="42" t="b">
        <f t="shared" si="4"/>
        <v>0</v>
      </c>
      <c r="AA778" s="50">
        <v>0.4</v>
      </c>
      <c r="AB778" s="42" t="str">
        <f>VLOOKUP(A778,VlookupSheet!$A$383:$A$523,1,0)</f>
        <v>#N/A</v>
      </c>
      <c r="AC778" s="50">
        <v>0.3</v>
      </c>
      <c r="AD778" s="42">
        <f t="shared" si="146"/>
        <v>23752124.8</v>
      </c>
      <c r="AE778" s="42">
        <f t="shared" si="147"/>
        <v>240000</v>
      </c>
      <c r="AF778" s="123">
        <f t="shared" si="148"/>
        <v>0</v>
      </c>
    </row>
    <row r="779">
      <c r="A779" s="83" t="s">
        <v>1473</v>
      </c>
      <c r="B779" s="84" t="s">
        <v>2770</v>
      </c>
      <c r="C779" s="85"/>
      <c r="D779" s="11">
        <f t="shared" si="149"/>
        <v>0.8</v>
      </c>
      <c r="E779" s="11">
        <f t="shared" si="150"/>
        <v>48000</v>
      </c>
      <c r="F779" s="30" t="s">
        <v>232</v>
      </c>
      <c r="G779" s="11">
        <v>48000.0</v>
      </c>
      <c r="H779" s="31">
        <v>60000.0</v>
      </c>
      <c r="I779" s="74" t="s">
        <v>92</v>
      </c>
      <c r="J779" s="25" t="s">
        <v>1018</v>
      </c>
      <c r="K779" s="38">
        <f t="shared" si="151"/>
        <v>0.8</v>
      </c>
      <c r="L779" s="18" t="s">
        <v>910</v>
      </c>
      <c r="M779" s="18" t="s">
        <v>736</v>
      </c>
      <c r="N779" s="74"/>
      <c r="O779" s="74"/>
      <c r="P779" s="74"/>
      <c r="Q779" s="42" t="str">
        <f>iferror(VLOOKUP(A779,'Positional cal'!A:H,1,0)=A779,"FALSE")</f>
        <v>FALSE</v>
      </c>
      <c r="R779" s="43" t="b">
        <f t="shared" si="3"/>
        <v>0</v>
      </c>
      <c r="S779" s="46">
        <f>IFERROR(VLOOKUP($A779,AlgoUi!$A:$X,21,0),"NA")</f>
        <v>12959415</v>
      </c>
      <c r="T779" s="46">
        <f>IFERROR(VLOOKUP($A779,AlgoUi!$A:$X,23,0),"")</f>
        <v>12000000</v>
      </c>
      <c r="U779" s="46">
        <f>IFERROR(VLOOKUP($A779,AlgoUi!$A:$X,24,0),"")</f>
        <v>96000</v>
      </c>
      <c r="V779" s="42" t="str">
        <f>IFERROR(__xludf.DUMMYFUNCTION("IFERROR(VLOOKUP(I779,IMPORTRANGE(""https://docs.google.com/spreadsheets/d/17FOIUYQAjPk1pPQIlvOgqYDBqwUqgb7KWzp4DtVksBk/edit?gid=0#gid=0"",""Servers!A:S""),19,FALSE), ""Not Running"")"),"SHIVANSHU")</f>
        <v>SHIVANSHU</v>
      </c>
      <c r="W779" s="47" t="str">
        <f>VLOOKUP($A779,Category!$A:$E,4,0)</f>
        <v>MS</v>
      </c>
      <c r="X779" s="47" t="str">
        <f>VLOOKUP($A779,Category!$A:$E,5,0)</f>
        <v>MSR</v>
      </c>
      <c r="Y779" s="18" t="str">
        <f>VLOOKUP(A779,PAcc!$A$1:$J$27,10,0)</f>
        <v>#N/A</v>
      </c>
      <c r="Z779" s="42" t="b">
        <f t="shared" si="4"/>
        <v>0</v>
      </c>
      <c r="AA779" s="50">
        <v>0.4</v>
      </c>
      <c r="AB779" s="42" t="str">
        <f>VLOOKUP(A779,VlookupSheet!$A$383:$A$523,1,0)</f>
        <v>#N/A</v>
      </c>
      <c r="AC779" s="50">
        <v>0.02</v>
      </c>
      <c r="AD779" s="42">
        <f t="shared" si="146"/>
        <v>5183766</v>
      </c>
      <c r="AE779" s="42">
        <f t="shared" si="147"/>
        <v>60000</v>
      </c>
      <c r="AF779" s="123">
        <f t="shared" si="148"/>
        <v>0</v>
      </c>
    </row>
    <row r="780">
      <c r="A780" s="83" t="s">
        <v>1545</v>
      </c>
      <c r="B780" s="84" t="s">
        <v>2292</v>
      </c>
      <c r="C780" s="85"/>
      <c r="D780" s="11">
        <f t="shared" si="149"/>
        <v>0.8</v>
      </c>
      <c r="E780" s="11">
        <f t="shared" si="150"/>
        <v>80000</v>
      </c>
      <c r="F780" s="30" t="s">
        <v>232</v>
      </c>
      <c r="G780" s="11">
        <v>80000.0</v>
      </c>
      <c r="H780" s="31">
        <v>100000.0</v>
      </c>
      <c r="I780" s="74" t="s">
        <v>92</v>
      </c>
      <c r="J780" s="25" t="s">
        <v>1018</v>
      </c>
      <c r="K780" s="38">
        <f t="shared" si="151"/>
        <v>0.8</v>
      </c>
      <c r="L780" s="18" t="s">
        <v>910</v>
      </c>
      <c r="M780" s="18" t="s">
        <v>736</v>
      </c>
      <c r="N780" s="47"/>
      <c r="O780" s="47"/>
      <c r="P780" s="47"/>
      <c r="Q780" s="42" t="str">
        <f>iferror(VLOOKUP(A780,'Positional cal'!A:H,1,0)=A780,"FALSE")</f>
        <v>FALSE</v>
      </c>
      <c r="R780" s="43" t="b">
        <f t="shared" si="3"/>
        <v>0</v>
      </c>
      <c r="S780" s="46">
        <f>IFERROR(VLOOKUP($A780,AlgoUi!$A:$X,21,0),"NA")</f>
        <v>25812080</v>
      </c>
      <c r="T780" s="46">
        <f>IFERROR(VLOOKUP($A780,AlgoUi!$A:$X,23,0),"")</f>
        <v>26000000</v>
      </c>
      <c r="U780" s="46">
        <f>IFERROR(VLOOKUP($A780,AlgoUi!$A:$X,24,0),"")</f>
        <v>208000</v>
      </c>
      <c r="V780" s="42" t="str">
        <f>IFERROR(__xludf.DUMMYFUNCTION("IFERROR(VLOOKUP(I780,IMPORTRANGE(""https://docs.google.com/spreadsheets/d/17FOIUYQAjPk1pPQIlvOgqYDBqwUqgb7KWzp4DtVksBk/edit?gid=0#gid=0"",""Servers!A:S""),19,FALSE), ""Not Running"")"),"SHIVANSHU")</f>
        <v>SHIVANSHU</v>
      </c>
      <c r="W780" s="47" t="str">
        <f>VLOOKUP($A780,Category!$A:$E,4,0)</f>
        <v>MS</v>
      </c>
      <c r="X780" s="47" t="str">
        <f>VLOOKUP($A780,Category!$A:$E,5,0)</f>
        <v>MSR</v>
      </c>
      <c r="Y780" s="18" t="str">
        <f>VLOOKUP(A780,PAcc!$A$1:$J$27,10,0)</f>
        <v>#N/A</v>
      </c>
      <c r="Z780" s="42" t="b">
        <f t="shared" si="4"/>
        <v>0</v>
      </c>
      <c r="AA780" s="50">
        <v>0.4</v>
      </c>
      <c r="AB780" s="42" t="str">
        <f>VLOOKUP(A780,VlookupSheet!$A$383:$A$523,1,0)</f>
        <v>#N/A</v>
      </c>
      <c r="AC780" s="42"/>
      <c r="AD780" s="42">
        <f t="shared" si="146"/>
        <v>10324832</v>
      </c>
      <c r="AE780" s="42">
        <f t="shared" si="147"/>
        <v>100000</v>
      </c>
      <c r="AF780" s="123">
        <f t="shared" si="148"/>
        <v>0</v>
      </c>
    </row>
    <row r="781">
      <c r="A781" s="83" t="s">
        <v>2252</v>
      </c>
      <c r="B781" s="84" t="s">
        <v>3102</v>
      </c>
      <c r="C781" s="25"/>
      <c r="D781" s="11">
        <f t="shared" si="149"/>
        <v>0.8</v>
      </c>
      <c r="E781" s="11">
        <f t="shared" si="150"/>
        <v>320000</v>
      </c>
      <c r="F781" s="30" t="s">
        <v>232</v>
      </c>
      <c r="G781" s="11">
        <v>320000.0</v>
      </c>
      <c r="H781" s="31">
        <v>400000.0</v>
      </c>
      <c r="I781" s="74" t="s">
        <v>92</v>
      </c>
      <c r="J781" s="25" t="s">
        <v>1018</v>
      </c>
      <c r="K781" s="38">
        <f t="shared" si="151"/>
        <v>0.8</v>
      </c>
      <c r="L781" s="18" t="s">
        <v>910</v>
      </c>
      <c r="M781" s="18" t="s">
        <v>736</v>
      </c>
      <c r="N781" s="18">
        <v>7.0</v>
      </c>
      <c r="O781" s="18"/>
      <c r="P781" s="18" t="s">
        <v>3932</v>
      </c>
      <c r="Q781" s="42" t="str">
        <f>iferror(VLOOKUP(A781,'Positional cal'!A:H,1,0)=A781,"FALSE")</f>
        <v>FALSE</v>
      </c>
      <c r="R781" s="43" t="b">
        <f t="shared" si="3"/>
        <v>0</v>
      </c>
      <c r="S781" s="46">
        <f>IFERROR(VLOOKUP($A781,AlgoUi!$A:$X,21,0),"NA")</f>
        <v>98585679</v>
      </c>
      <c r="T781" s="46">
        <f>IFERROR(VLOOKUP($A781,AlgoUi!$A:$X,23,0),"")</f>
        <v>98000000</v>
      </c>
      <c r="U781" s="46">
        <f>IFERROR(VLOOKUP($A781,AlgoUi!$A:$X,24,0),"")</f>
        <v>784000</v>
      </c>
      <c r="V781" s="42" t="str">
        <f>IFERROR(__xludf.DUMMYFUNCTION("IFERROR(VLOOKUP(I781,IMPORTRANGE(""https://docs.google.com/spreadsheets/d/17FOIUYQAjPk1pPQIlvOgqYDBqwUqgb7KWzp4DtVksBk/edit?gid=0#gid=0"",""Servers!A:S""),19,FALSE), ""Not Running"")"),"SHIVANSHU")</f>
        <v>SHIVANSHU</v>
      </c>
      <c r="W781" s="47" t="str">
        <f>VLOOKUP($A781,Category!$A:$E,4,0)</f>
        <v>MS</v>
      </c>
      <c r="X781" s="47" t="str">
        <f>VLOOKUP($A781,Category!$A:$E,5,0)</f>
        <v>MSR</v>
      </c>
      <c r="Y781" s="18" t="str">
        <f>VLOOKUP(A781,PAcc!$A$1:$J$27,10,0)</f>
        <v>#N/A</v>
      </c>
      <c r="Z781" s="42" t="b">
        <f t="shared" si="4"/>
        <v>0</v>
      </c>
      <c r="AA781" s="50">
        <v>0.4</v>
      </c>
      <c r="AB781" s="42" t="str">
        <f>VLOOKUP(A781,VlookupSheet!$A$383:$A$523,1,0)</f>
        <v>#N/A</v>
      </c>
      <c r="AC781" s="42"/>
      <c r="AD781" s="42">
        <f t="shared" si="146"/>
        <v>39434271.6</v>
      </c>
      <c r="AE781" s="42">
        <f t="shared" si="147"/>
        <v>400000</v>
      </c>
      <c r="AF781" s="123">
        <f t="shared" si="148"/>
        <v>0</v>
      </c>
    </row>
    <row r="782">
      <c r="A782" s="83" t="s">
        <v>2051</v>
      </c>
      <c r="B782" s="84" t="s">
        <v>2952</v>
      </c>
      <c r="C782" s="85"/>
      <c r="D782" s="11">
        <f t="shared" si="149"/>
        <v>0.8</v>
      </c>
      <c r="E782" s="11">
        <f t="shared" si="150"/>
        <v>48000</v>
      </c>
      <c r="F782" s="30" t="s">
        <v>232</v>
      </c>
      <c r="G782" s="11">
        <v>48000.0</v>
      </c>
      <c r="H782" s="31">
        <v>60000.0</v>
      </c>
      <c r="I782" s="74" t="s">
        <v>92</v>
      </c>
      <c r="J782" s="25" t="s">
        <v>1018</v>
      </c>
      <c r="K782" s="38">
        <f t="shared" si="151"/>
        <v>0.8</v>
      </c>
      <c r="L782" s="18" t="s">
        <v>910</v>
      </c>
      <c r="M782" s="18" t="s">
        <v>736</v>
      </c>
      <c r="N782" s="34"/>
      <c r="O782" s="34"/>
      <c r="P782" s="34"/>
      <c r="Q782" s="42" t="str">
        <f>iferror(VLOOKUP(A782,'Positional cal'!A:H,1,0)=A782,"FALSE")</f>
        <v>FALSE</v>
      </c>
      <c r="R782" s="43" t="b">
        <f t="shared" si="3"/>
        <v>0</v>
      </c>
      <c r="S782" s="46">
        <f>IFERROR(VLOOKUP($A782,AlgoUi!$A:$X,21,0),"NA")</f>
        <v>13208189</v>
      </c>
      <c r="T782" s="46">
        <f>IFERROR(VLOOKUP($A782,AlgoUi!$A:$X,23,0),"")</f>
        <v>14000000</v>
      </c>
      <c r="U782" s="46">
        <f>IFERROR(VLOOKUP($A782,AlgoUi!$A:$X,24,0),"")</f>
        <v>112000</v>
      </c>
      <c r="V782" s="42" t="str">
        <f>IFERROR(__xludf.DUMMYFUNCTION("IFERROR(VLOOKUP(I782,IMPORTRANGE(""https://docs.google.com/spreadsheets/d/17FOIUYQAjPk1pPQIlvOgqYDBqwUqgb7KWzp4DtVksBk/edit?gid=0#gid=0"",""Servers!A:S""),19,FALSE), ""Not Running"")"),"SHIVANSHU")</f>
        <v>SHIVANSHU</v>
      </c>
      <c r="W782" s="47" t="str">
        <f>VLOOKUP($A782,Category!$A:$E,4,0)</f>
        <v>MS</v>
      </c>
      <c r="X782" s="47" t="str">
        <f>VLOOKUP($A782,Category!$A:$E,5,0)</f>
        <v>MSR</v>
      </c>
      <c r="Y782" s="18" t="str">
        <f>VLOOKUP(A782,PAcc!$A$1:$J$27,10,0)</f>
        <v>#N/A</v>
      </c>
      <c r="Z782" s="42" t="b">
        <f t="shared" si="4"/>
        <v>0</v>
      </c>
      <c r="AA782" s="50">
        <v>0.4</v>
      </c>
      <c r="AB782" s="42" t="str">
        <f>VLOOKUP(A782,VlookupSheet!$A$383:$A$523,1,0)</f>
        <v>#N/A</v>
      </c>
      <c r="AC782" s="42"/>
      <c r="AD782" s="42">
        <f t="shared" si="146"/>
        <v>5283275.6</v>
      </c>
      <c r="AE782" s="42">
        <f t="shared" si="147"/>
        <v>60000</v>
      </c>
      <c r="AF782" s="123">
        <f t="shared" si="148"/>
        <v>0</v>
      </c>
    </row>
    <row r="783">
      <c r="A783" s="83" t="s">
        <v>1948</v>
      </c>
      <c r="B783" s="84" t="s">
        <v>2576</v>
      </c>
      <c r="C783" s="30" t="s">
        <v>320</v>
      </c>
      <c r="D783" s="11">
        <f t="shared" si="149"/>
        <v>0.8</v>
      </c>
      <c r="E783" s="11">
        <f t="shared" si="150"/>
        <v>48000</v>
      </c>
      <c r="F783" s="30" t="s">
        <v>232</v>
      </c>
      <c r="G783" s="11">
        <v>48000.0</v>
      </c>
      <c r="H783" s="31">
        <v>60000.0</v>
      </c>
      <c r="I783" s="74" t="s">
        <v>92</v>
      </c>
      <c r="J783" s="25" t="s">
        <v>1018</v>
      </c>
      <c r="K783" s="38">
        <f t="shared" si="151"/>
        <v>0.8</v>
      </c>
      <c r="L783" s="18" t="s">
        <v>910</v>
      </c>
      <c r="M783" s="18" t="s">
        <v>736</v>
      </c>
      <c r="N783" s="74"/>
      <c r="O783" s="74"/>
      <c r="P783" s="74"/>
      <c r="Q783" s="42" t="str">
        <f>iferror(VLOOKUP(A783,'Positional cal'!A:H,1,0)=A783,"FALSE")</f>
        <v>FALSE</v>
      </c>
      <c r="R783" s="43" t="b">
        <f t="shared" si="3"/>
        <v>0</v>
      </c>
      <c r="S783" s="46">
        <f>IFERROR(VLOOKUP($A783,AlgoUi!$A:$X,21,0),"NA")</f>
        <v>12665821</v>
      </c>
      <c r="T783" s="46">
        <f>IFERROR(VLOOKUP($A783,AlgoUi!$A:$X,23,0),"")</f>
        <v>12000000</v>
      </c>
      <c r="U783" s="46">
        <f>IFERROR(VLOOKUP($A783,AlgoUi!$A:$X,24,0),"")</f>
        <v>96000</v>
      </c>
      <c r="V783" s="42" t="str">
        <f>IFERROR(__xludf.DUMMYFUNCTION("IFERROR(VLOOKUP(I783,IMPORTRANGE(""https://docs.google.com/spreadsheets/d/17FOIUYQAjPk1pPQIlvOgqYDBqwUqgb7KWzp4DtVksBk/edit?gid=0#gid=0"",""Servers!A:S""),19,FALSE), ""Not Running"")"),"SHIVANSHU")</f>
        <v>SHIVANSHU</v>
      </c>
      <c r="W783" s="47" t="str">
        <f>VLOOKUP($A783,Category!$A:$E,4,0)</f>
        <v>MS</v>
      </c>
      <c r="X783" s="47" t="str">
        <f>VLOOKUP($A783,Category!$A:$E,5,0)</f>
        <v>MSS</v>
      </c>
      <c r="Y783" s="18" t="str">
        <f>VLOOKUP(A783,PAcc!$A$1:$J$27,10,0)</f>
        <v>#N/A</v>
      </c>
      <c r="Z783" s="42" t="b">
        <f t="shared" si="4"/>
        <v>0</v>
      </c>
      <c r="AA783" s="50">
        <v>0.4</v>
      </c>
      <c r="AB783" s="42" t="str">
        <f>VLOOKUP(A783,VlookupSheet!$A$383:$A$523,1,0)</f>
        <v>#N/A</v>
      </c>
      <c r="AC783" s="42"/>
      <c r="AD783" s="42">
        <f t="shared" si="146"/>
        <v>5066328.4</v>
      </c>
      <c r="AE783" s="42">
        <f t="shared" si="147"/>
        <v>60000</v>
      </c>
      <c r="AF783" s="123">
        <f t="shared" si="148"/>
        <v>0</v>
      </c>
    </row>
    <row r="784">
      <c r="A784" s="11" t="s">
        <v>2606</v>
      </c>
      <c r="B784" s="24" t="s">
        <v>2607</v>
      </c>
      <c r="C784" s="25"/>
      <c r="D784" s="11">
        <f t="shared" si="149"/>
        <v>0.8</v>
      </c>
      <c r="E784" s="11">
        <f t="shared" si="150"/>
        <v>32000</v>
      </c>
      <c r="F784" s="11" t="s">
        <v>232</v>
      </c>
      <c r="G784" s="11">
        <v>32000.0</v>
      </c>
      <c r="H784" s="31">
        <v>40000.0</v>
      </c>
      <c r="I784" s="42" t="s">
        <v>92</v>
      </c>
      <c r="J784" s="25" t="s">
        <v>1018</v>
      </c>
      <c r="K784" s="38">
        <f t="shared" si="151"/>
        <v>0.8</v>
      </c>
      <c r="L784" s="18" t="s">
        <v>910</v>
      </c>
      <c r="M784" s="18" t="s">
        <v>736</v>
      </c>
      <c r="N784" s="42"/>
      <c r="O784" s="42"/>
      <c r="P784" s="42"/>
      <c r="Q784" s="42" t="str">
        <f>iferror(VLOOKUP(A784,'Positional cal'!A:H,1,0)=A784,"FALSE")</f>
        <v>FALSE</v>
      </c>
      <c r="R784" s="43" t="b">
        <f t="shared" si="3"/>
        <v>0</v>
      </c>
      <c r="S784" s="46">
        <f>IFERROR(VLOOKUP($A784,AlgoUi!$A:$X,21,0),"NA")</f>
        <v>10124433</v>
      </c>
      <c r="T784" s="46">
        <f>IFERROR(VLOOKUP($A784,AlgoUi!$A:$X,23,0),"")</f>
        <v>10000000</v>
      </c>
      <c r="U784" s="46">
        <f>IFERROR(VLOOKUP($A784,AlgoUi!$A:$X,24,0),"")</f>
        <v>80000</v>
      </c>
      <c r="V784" s="42" t="str">
        <f>IFERROR(__xludf.DUMMYFUNCTION("IFERROR(VLOOKUP(I784,IMPORTRANGE(""https://docs.google.com/spreadsheets/d/17FOIUYQAjPk1pPQIlvOgqYDBqwUqgb7KWzp4DtVksBk/edit?gid=0#gid=0"",""Servers!A:S""),19,FALSE), ""Not Running"")"),"SHIVANSHU")</f>
        <v>SHIVANSHU</v>
      </c>
      <c r="W784" s="47" t="str">
        <f>VLOOKUP($A784,Category!$A:$E,4,0)</f>
        <v>MS</v>
      </c>
      <c r="X784" s="47" t="str">
        <f>VLOOKUP($A784,Category!$A:$E,5,0)</f>
        <v>MSR</v>
      </c>
      <c r="Y784" s="18" t="str">
        <f>VLOOKUP(A784,PAcc!$A$1:$J$27,10,0)</f>
        <v>#N/A</v>
      </c>
      <c r="Z784" s="42" t="b">
        <f t="shared" si="4"/>
        <v>0</v>
      </c>
      <c r="AA784" s="50">
        <v>0.4</v>
      </c>
      <c r="AB784" s="42" t="str">
        <f>VLOOKUP(A784,VlookupSheet!$A$383:$A$523,1,0)</f>
        <v>#N/A</v>
      </c>
      <c r="AC784" s="42"/>
      <c r="AD784" s="42">
        <f t="shared" si="146"/>
        <v>4049773.2</v>
      </c>
      <c r="AE784" s="42">
        <f t="shared" si="147"/>
        <v>40000</v>
      </c>
      <c r="AF784" s="123">
        <f t="shared" si="148"/>
        <v>0</v>
      </c>
    </row>
    <row r="785">
      <c r="A785" s="11" t="s">
        <v>2608</v>
      </c>
      <c r="B785" s="24" t="s">
        <v>1716</v>
      </c>
      <c r="C785" s="25"/>
      <c r="D785" s="11">
        <f t="shared" si="149"/>
        <v>0.8</v>
      </c>
      <c r="E785" s="11">
        <f t="shared" si="150"/>
        <v>96000</v>
      </c>
      <c r="F785" s="30" t="s">
        <v>232</v>
      </c>
      <c r="G785" s="11">
        <v>96000.0</v>
      </c>
      <c r="H785" s="31">
        <v>120000.0</v>
      </c>
      <c r="I785" s="42" t="s">
        <v>92</v>
      </c>
      <c r="J785" s="25" t="s">
        <v>1018</v>
      </c>
      <c r="K785" s="38">
        <f t="shared" si="151"/>
        <v>0.8</v>
      </c>
      <c r="L785" s="18" t="s">
        <v>910</v>
      </c>
      <c r="M785" s="18" t="s">
        <v>736</v>
      </c>
      <c r="N785" s="42"/>
      <c r="O785" s="42"/>
      <c r="P785" s="42"/>
      <c r="Q785" s="42" t="str">
        <f>iferror(VLOOKUP(A785,'Positional cal'!A:H,1,0)=A785,"FALSE")</f>
        <v>FALSE</v>
      </c>
      <c r="R785" s="43" t="b">
        <f t="shared" si="3"/>
        <v>0</v>
      </c>
      <c r="S785" s="46">
        <f>IFERROR(VLOOKUP($A785,AlgoUi!$A:$X,21,0),"NA")</f>
        <v>29699057</v>
      </c>
      <c r="T785" s="46">
        <f>IFERROR(VLOOKUP($A785,AlgoUi!$A:$X,23,0),"")</f>
        <v>30000000</v>
      </c>
      <c r="U785" s="46">
        <f>IFERROR(VLOOKUP($A785,AlgoUi!$A:$X,24,0),"")</f>
        <v>240000</v>
      </c>
      <c r="V785" s="42" t="str">
        <f>IFERROR(__xludf.DUMMYFUNCTION("IFERROR(VLOOKUP(I785,IMPORTRANGE(""https://docs.google.com/spreadsheets/d/17FOIUYQAjPk1pPQIlvOgqYDBqwUqgb7KWzp4DtVksBk/edit?gid=0#gid=0"",""Servers!A:S""),19,FALSE), ""Not Running"")"),"SHIVANSHU")</f>
        <v>SHIVANSHU</v>
      </c>
      <c r="W785" s="47" t="str">
        <f>VLOOKUP($A785,Category!$A:$E,4,0)</f>
        <v>MS</v>
      </c>
      <c r="X785" s="47" t="str">
        <f>VLOOKUP($A785,Category!$A:$E,5,0)</f>
        <v>MSP</v>
      </c>
      <c r="Y785" s="18" t="str">
        <f>VLOOKUP(A785,PAcc!$A$1:$J$27,10,0)</f>
        <v>#N/A</v>
      </c>
      <c r="Z785" s="42" t="b">
        <f t="shared" si="4"/>
        <v>0</v>
      </c>
      <c r="AA785" s="50">
        <v>0.4</v>
      </c>
      <c r="AB785" s="42" t="str">
        <f>VLOOKUP(A785,VlookupSheet!$A$383:$A$523,1,0)</f>
        <v>#N/A</v>
      </c>
      <c r="AC785" s="42"/>
      <c r="AD785" s="42">
        <f t="shared" si="146"/>
        <v>11879622.8</v>
      </c>
      <c r="AE785" s="42">
        <f t="shared" si="147"/>
        <v>120000</v>
      </c>
      <c r="AF785" s="123">
        <f t="shared" si="148"/>
        <v>0</v>
      </c>
    </row>
    <row r="786">
      <c r="A786" s="11" t="s">
        <v>2686</v>
      </c>
      <c r="B786" s="24" t="s">
        <v>2687</v>
      </c>
      <c r="C786" s="25"/>
      <c r="D786" s="11">
        <f t="shared" si="149"/>
        <v>0.8</v>
      </c>
      <c r="E786" s="11">
        <f t="shared" si="150"/>
        <v>48000</v>
      </c>
      <c r="F786" s="30" t="s">
        <v>232</v>
      </c>
      <c r="G786" s="11">
        <v>48000.0</v>
      </c>
      <c r="H786" s="31">
        <v>60000.0</v>
      </c>
      <c r="I786" s="42" t="s">
        <v>92</v>
      </c>
      <c r="J786" s="25" t="s">
        <v>1018</v>
      </c>
      <c r="K786" s="38">
        <f t="shared" si="151"/>
        <v>0.8</v>
      </c>
      <c r="L786" s="18" t="s">
        <v>910</v>
      </c>
      <c r="M786" s="18" t="s">
        <v>736</v>
      </c>
      <c r="N786" s="42"/>
      <c r="O786" s="42"/>
      <c r="P786" s="42"/>
      <c r="Q786" s="42" t="str">
        <f>iferror(VLOOKUP(A786,'Positional cal'!A:H,1,0)=A786,"FALSE")</f>
        <v>FALSE</v>
      </c>
      <c r="R786" s="43" t="b">
        <f t="shared" si="3"/>
        <v>0</v>
      </c>
      <c r="S786" s="46">
        <f>IFERROR(VLOOKUP($A786,AlgoUi!$A:$X,21,0),"NA")</f>
        <v>14155355</v>
      </c>
      <c r="T786" s="46">
        <f>IFERROR(VLOOKUP($A786,AlgoUi!$A:$X,23,0),"")</f>
        <v>14000000</v>
      </c>
      <c r="U786" s="46">
        <f>IFERROR(VLOOKUP($A786,AlgoUi!$A:$X,24,0),"")</f>
        <v>112000</v>
      </c>
      <c r="V786" s="42" t="str">
        <f>IFERROR(__xludf.DUMMYFUNCTION("IFERROR(VLOOKUP(I786,IMPORTRANGE(""https://docs.google.com/spreadsheets/d/17FOIUYQAjPk1pPQIlvOgqYDBqwUqgb7KWzp4DtVksBk/edit?gid=0#gid=0"",""Servers!A:S""),19,FALSE), ""Not Running"")"),"SHIVANSHU")</f>
        <v>SHIVANSHU</v>
      </c>
      <c r="W786" s="47" t="str">
        <f>VLOOKUP($A786,Category!$A:$E,4,0)</f>
        <v>MS</v>
      </c>
      <c r="X786" s="47" t="str">
        <f>VLOOKUP($A786,Category!$A:$E,5,0)</f>
        <v>MSR</v>
      </c>
      <c r="Y786" s="18" t="str">
        <f>VLOOKUP(A786,PAcc!$A$1:$J$27,10,0)</f>
        <v>#N/A</v>
      </c>
      <c r="Z786" s="42" t="b">
        <f t="shared" si="4"/>
        <v>0</v>
      </c>
      <c r="AA786" s="50">
        <v>0.4</v>
      </c>
      <c r="AB786" s="42" t="str">
        <f>VLOOKUP(A786,VlookupSheet!$A$383:$A$523,1,0)</f>
        <v>#N/A</v>
      </c>
      <c r="AC786" s="42"/>
      <c r="AD786" s="42">
        <f t="shared" si="146"/>
        <v>5662142</v>
      </c>
      <c r="AE786" s="42">
        <f t="shared" si="147"/>
        <v>60000</v>
      </c>
      <c r="AF786" s="123">
        <f t="shared" si="148"/>
        <v>0</v>
      </c>
    </row>
    <row r="787">
      <c r="A787" s="11" t="s">
        <v>2771</v>
      </c>
      <c r="B787" s="24" t="s">
        <v>3636</v>
      </c>
      <c r="C787" s="25"/>
      <c r="D787" s="11">
        <f t="shared" si="149"/>
        <v>0.8</v>
      </c>
      <c r="E787" s="11">
        <f t="shared" si="150"/>
        <v>32000</v>
      </c>
      <c r="F787" s="11" t="s">
        <v>1029</v>
      </c>
      <c r="G787" s="11">
        <v>32000.0</v>
      </c>
      <c r="H787" s="31">
        <v>40000.0</v>
      </c>
      <c r="I787" s="11" t="s">
        <v>92</v>
      </c>
      <c r="J787" s="11" t="s">
        <v>1018</v>
      </c>
      <c r="K787" s="38">
        <f t="shared" si="151"/>
        <v>0.8</v>
      </c>
      <c r="L787" s="18" t="s">
        <v>910</v>
      </c>
      <c r="M787" s="18" t="s">
        <v>736</v>
      </c>
      <c r="N787" s="42"/>
      <c r="O787" s="42"/>
      <c r="P787" s="42"/>
      <c r="Q787" s="42" t="str">
        <f>iferror(VLOOKUP(A787,'Positional cal'!A:H,1,0)=A787,"FALSE")</f>
        <v>FALSE</v>
      </c>
      <c r="R787" s="43" t="b">
        <f t="shared" si="3"/>
        <v>0</v>
      </c>
      <c r="S787" s="46">
        <f>IFERROR(VLOOKUP($A787,AlgoUi!$A:$X,21,0),"NA")</f>
        <v>9058178</v>
      </c>
      <c r="T787" s="46">
        <f>IFERROR(VLOOKUP($A787,AlgoUi!$A:$X,23,0),"")</f>
        <v>10000000</v>
      </c>
      <c r="U787" s="46">
        <f>IFERROR(VLOOKUP($A787,AlgoUi!$A:$X,24,0),"")</f>
        <v>80000</v>
      </c>
      <c r="V787" s="42" t="str">
        <f>IFERROR(__xludf.DUMMYFUNCTION("IFERROR(VLOOKUP(I787,IMPORTRANGE(""https://docs.google.com/spreadsheets/d/17FOIUYQAjPk1pPQIlvOgqYDBqwUqgb7KWzp4DtVksBk/edit?gid=0#gid=0"",""Servers!A:S""),19,FALSE), ""Not Running"")"),"SHIVANSHU")</f>
        <v>SHIVANSHU</v>
      </c>
      <c r="W787" s="47" t="str">
        <f>VLOOKUP($A787,Category!$A:$E,4,0)</f>
        <v>MS</v>
      </c>
      <c r="X787" s="47" t="str">
        <f>VLOOKUP($A787,Category!$A:$E,5,0)</f>
        <v>MSS</v>
      </c>
      <c r="Y787" s="18" t="str">
        <f>VLOOKUP(A787,PAcc!$A$1:$J$27,10,0)</f>
        <v>#N/A</v>
      </c>
      <c r="Z787" s="42" t="b">
        <f t="shared" si="4"/>
        <v>0</v>
      </c>
      <c r="AA787" s="50">
        <v>0.4</v>
      </c>
      <c r="AB787" s="42" t="str">
        <f>VLOOKUP(A787,VlookupSheet!$A$383:$A$523,1,0)</f>
        <v>#N/A</v>
      </c>
      <c r="AC787" s="42"/>
      <c r="AD787" s="42">
        <f t="shared" si="146"/>
        <v>3623271.2</v>
      </c>
      <c r="AE787" s="42">
        <f t="shared" si="147"/>
        <v>40000</v>
      </c>
      <c r="AF787" s="123">
        <f t="shared" si="148"/>
        <v>0</v>
      </c>
    </row>
    <row r="788">
      <c r="A788" s="11" t="s">
        <v>2915</v>
      </c>
      <c r="B788" s="24" t="s">
        <v>2916</v>
      </c>
      <c r="C788" s="25"/>
      <c r="D788" s="11">
        <f t="shared" si="149"/>
        <v>0.8</v>
      </c>
      <c r="E788" s="11">
        <f t="shared" si="150"/>
        <v>48000</v>
      </c>
      <c r="F788" s="11" t="s">
        <v>311</v>
      </c>
      <c r="G788" s="11">
        <v>48000.0</v>
      </c>
      <c r="H788" s="31">
        <v>60000.0</v>
      </c>
      <c r="I788" s="11" t="s">
        <v>92</v>
      </c>
      <c r="J788" s="11" t="s">
        <v>1018</v>
      </c>
      <c r="K788" s="173">
        <v>0.8</v>
      </c>
      <c r="L788" s="18" t="s">
        <v>910</v>
      </c>
      <c r="M788" s="18" t="s">
        <v>736</v>
      </c>
      <c r="N788" s="42"/>
      <c r="O788" s="42"/>
      <c r="P788" s="42"/>
      <c r="Q788" s="42" t="str">
        <f>iferror(VLOOKUP(A788,'Positional cal'!A:H,1,0)=A788,"FALSE")</f>
        <v>FALSE</v>
      </c>
      <c r="R788" s="43" t="b">
        <f t="shared" si="3"/>
        <v>0</v>
      </c>
      <c r="S788" s="46">
        <f>IFERROR(VLOOKUP($A788,AlgoUi!$A:$X,21,0),"NA")</f>
        <v>12709642</v>
      </c>
      <c r="T788" s="46">
        <f>IFERROR(VLOOKUP($A788,AlgoUi!$A:$X,23,0),"")</f>
        <v>12000000</v>
      </c>
      <c r="U788" s="46">
        <f>IFERROR(VLOOKUP($A788,AlgoUi!$A:$X,24,0),"")</f>
        <v>96000</v>
      </c>
      <c r="V788" s="42" t="str">
        <f>IFERROR(__xludf.DUMMYFUNCTION("IFERROR(VLOOKUP(I788,IMPORTRANGE(""https://docs.google.com/spreadsheets/d/17FOIUYQAjPk1pPQIlvOgqYDBqwUqgb7KWzp4DtVksBk/edit?gid=0#gid=0"",""Servers!A:S""),19,FALSE), ""Not Running"")"),"SHIVANSHU")</f>
        <v>SHIVANSHU</v>
      </c>
      <c r="W788" s="47" t="str">
        <f>VLOOKUP($A788,Category!$A:$E,4,0)</f>
        <v>MS</v>
      </c>
      <c r="X788" s="47" t="str">
        <f>VLOOKUP($A788,Category!$A:$E,5,0)</f>
        <v>MSP</v>
      </c>
      <c r="Y788" s="18" t="str">
        <f>VLOOKUP(A788,PAcc!$A$1:$J$27,10,0)</f>
        <v>#N/A</v>
      </c>
      <c r="Z788" s="42" t="b">
        <f t="shared" si="4"/>
        <v>0</v>
      </c>
      <c r="AA788" s="50">
        <v>0.4</v>
      </c>
      <c r="AB788" s="42" t="str">
        <f>VLOOKUP(A788,VlookupSheet!$A$383:$A$523,1,0)</f>
        <v>#N/A</v>
      </c>
      <c r="AC788" s="42"/>
      <c r="AD788" s="42">
        <f t="shared" si="146"/>
        <v>5083856.8</v>
      </c>
      <c r="AE788" s="42">
        <f t="shared" si="147"/>
        <v>60000</v>
      </c>
      <c r="AF788" s="123">
        <f t="shared" si="148"/>
        <v>0</v>
      </c>
    </row>
    <row r="789">
      <c r="A789" s="11" t="s">
        <v>2926</v>
      </c>
      <c r="B789" s="24" t="s">
        <v>2928</v>
      </c>
      <c r="C789" s="25"/>
      <c r="D789" s="11">
        <f t="shared" si="149"/>
        <v>0.8</v>
      </c>
      <c r="E789" s="11">
        <f t="shared" si="150"/>
        <v>32000</v>
      </c>
      <c r="F789" s="30" t="s">
        <v>311</v>
      </c>
      <c r="G789" s="11">
        <v>32000.0</v>
      </c>
      <c r="H789" s="31">
        <v>40000.0</v>
      </c>
      <c r="I789" s="11" t="s">
        <v>92</v>
      </c>
      <c r="J789" s="11" t="s">
        <v>1018</v>
      </c>
      <c r="K789" s="38">
        <f t="shared" ref="K789:K794" si="152">iferror(G789/H789,"-")</f>
        <v>0.8</v>
      </c>
      <c r="L789" s="18" t="s">
        <v>910</v>
      </c>
      <c r="M789" s="18" t="s">
        <v>736</v>
      </c>
      <c r="N789" s="42"/>
      <c r="O789" s="42"/>
      <c r="P789" s="42"/>
      <c r="Q789" s="42" t="str">
        <f>iferror(VLOOKUP(A789,'Positional cal'!A:H,1,0)=A789,"FALSE")</f>
        <v>FALSE</v>
      </c>
      <c r="R789" s="43" t="b">
        <f t="shared" si="3"/>
        <v>0</v>
      </c>
      <c r="S789" s="46">
        <f>IFERROR(VLOOKUP($A789,AlgoUi!$A:$X,21,0),"NA")</f>
        <v>11580588</v>
      </c>
      <c r="T789" s="46">
        <f>IFERROR(VLOOKUP($A789,AlgoUi!$A:$X,23,0),"")</f>
        <v>12000000</v>
      </c>
      <c r="U789" s="46">
        <f>IFERROR(VLOOKUP($A789,AlgoUi!$A:$X,24,0),"")</f>
        <v>96000</v>
      </c>
      <c r="V789" s="42" t="str">
        <f>IFERROR(__xludf.DUMMYFUNCTION("IFERROR(VLOOKUP(I789,IMPORTRANGE(""https://docs.google.com/spreadsheets/d/17FOIUYQAjPk1pPQIlvOgqYDBqwUqgb7KWzp4DtVksBk/edit?gid=0#gid=0"",""Servers!A:S""),19,FALSE), ""Not Running"")"),"SHIVANSHU")</f>
        <v>SHIVANSHU</v>
      </c>
      <c r="W789" s="47" t="str">
        <f>VLOOKUP($A789,Category!$A:$E,4,0)</f>
        <v>MS</v>
      </c>
      <c r="X789" s="47" t="str">
        <f>VLOOKUP($A789,Category!$A:$E,5,0)</f>
        <v>MSN</v>
      </c>
      <c r="Y789" s="18" t="str">
        <f>VLOOKUP(A789,PAcc!$A$1:$J$27,10,0)</f>
        <v>#N/A</v>
      </c>
      <c r="Z789" s="42" t="b">
        <f t="shared" si="4"/>
        <v>0</v>
      </c>
      <c r="AA789" s="50">
        <v>0.4</v>
      </c>
      <c r="AB789" s="42" t="str">
        <f>VLOOKUP(A789,VlookupSheet!$A$383:$A$523,1,0)</f>
        <v>#N/A</v>
      </c>
      <c r="AC789" s="50">
        <v>0.3</v>
      </c>
      <c r="AD789" s="42">
        <f t="shared" si="146"/>
        <v>4632235.2</v>
      </c>
      <c r="AE789" s="42">
        <f t="shared" si="147"/>
        <v>40000</v>
      </c>
      <c r="AF789" s="123">
        <f t="shared" si="148"/>
        <v>0</v>
      </c>
    </row>
    <row r="790">
      <c r="A790" s="11" t="s">
        <v>2973</v>
      </c>
      <c r="B790" s="24" t="s">
        <v>2974</v>
      </c>
      <c r="C790" s="25"/>
      <c r="D790" s="11">
        <f t="shared" si="149"/>
        <v>1</v>
      </c>
      <c r="E790" s="11">
        <f t="shared" si="150"/>
        <v>40000</v>
      </c>
      <c r="F790" s="11" t="s">
        <v>716</v>
      </c>
      <c r="G790" s="11">
        <v>40000.0</v>
      </c>
      <c r="H790" s="31">
        <v>40000.0</v>
      </c>
      <c r="I790" s="11" t="s">
        <v>252</v>
      </c>
      <c r="J790" s="11" t="s">
        <v>77</v>
      </c>
      <c r="K790" s="38">
        <f t="shared" si="152"/>
        <v>1</v>
      </c>
      <c r="L790" s="18" t="s">
        <v>910</v>
      </c>
      <c r="M790" s="18" t="s">
        <v>736</v>
      </c>
      <c r="N790" s="18">
        <v>1.0</v>
      </c>
      <c r="O790" s="42"/>
      <c r="P790" s="18" t="s">
        <v>848</v>
      </c>
      <c r="Q790" s="42"/>
      <c r="R790" s="43" t="b">
        <f t="shared" si="3"/>
        <v>0</v>
      </c>
      <c r="S790" s="46">
        <f>IFERROR(VLOOKUP($A790,AlgoUi!$A:$X,21,0),"NA")</f>
        <v>8083977</v>
      </c>
      <c r="T790" s="46">
        <f>IFERROR(VLOOKUP($A790,AlgoUi!$A:$X,23,0),"")</f>
        <v>8000000</v>
      </c>
      <c r="U790" s="46">
        <f>IFERROR(VLOOKUP($A790,AlgoUi!$A:$X,24,0),"")</f>
        <v>80000</v>
      </c>
      <c r="V790" s="42" t="str">
        <f>IFERROR(__xludf.DUMMYFUNCTION("IFERROR(VLOOKUP(I790,IMPORTRANGE(""https://docs.google.com/spreadsheets/d/17FOIUYQAjPk1pPQIlvOgqYDBqwUqgb7KWzp4DtVksBk/edit?gid=0#gid=0"",""Servers!A:S""),19,FALSE), ""Not Running"")"),"PRACHI")</f>
        <v>PRACHI</v>
      </c>
      <c r="W790" s="47" t="str">
        <f>VLOOKUP($A790,Category!$A:$E,4,0)</f>
        <v>MS</v>
      </c>
      <c r="X790" s="47" t="str">
        <f>VLOOKUP($A790,Category!$A:$E,5,0)</f>
        <v>MSS</v>
      </c>
      <c r="Y790" s="18" t="str">
        <f>VLOOKUP(A790,PAcc!$A$1:$J$27,10,0)</f>
        <v>#N/A</v>
      </c>
      <c r="Z790" s="42" t="b">
        <f t="shared" si="4"/>
        <v>0</v>
      </c>
      <c r="AA790" s="50">
        <v>0.4</v>
      </c>
      <c r="AB790" s="42" t="str">
        <f>VLOOKUP(A790,VlookupSheet!$A$383:$A$523,1,0)</f>
        <v>#N/A</v>
      </c>
      <c r="AC790" s="50">
        <v>0.02</v>
      </c>
      <c r="AD790" s="42">
        <f t="shared" si="146"/>
        <v>3233590.8</v>
      </c>
      <c r="AE790" s="42">
        <f t="shared" si="147"/>
        <v>40000</v>
      </c>
      <c r="AF790" s="123">
        <f t="shared" si="148"/>
        <v>0</v>
      </c>
    </row>
    <row r="791">
      <c r="A791" s="11" t="s">
        <v>2975</v>
      </c>
      <c r="B791" s="24" t="s">
        <v>3840</v>
      </c>
      <c r="C791" s="25"/>
      <c r="D791" s="11">
        <f t="shared" si="149"/>
        <v>1</v>
      </c>
      <c r="E791" s="11">
        <f t="shared" si="150"/>
        <v>20000</v>
      </c>
      <c r="F791" s="30" t="s">
        <v>311</v>
      </c>
      <c r="G791" s="11">
        <v>20000.0</v>
      </c>
      <c r="H791" s="31">
        <v>20000.0</v>
      </c>
      <c r="I791" s="11" t="s">
        <v>252</v>
      </c>
      <c r="J791" s="11" t="s">
        <v>77</v>
      </c>
      <c r="K791" s="38">
        <f t="shared" si="152"/>
        <v>1</v>
      </c>
      <c r="L791" s="18" t="s">
        <v>910</v>
      </c>
      <c r="M791" s="18" t="s">
        <v>736</v>
      </c>
      <c r="N791" s="42"/>
      <c r="O791" s="42"/>
      <c r="P791" s="42"/>
      <c r="Q791" s="42"/>
      <c r="R791" s="43" t="b">
        <f t="shared" si="3"/>
        <v>0</v>
      </c>
      <c r="S791" s="46">
        <f>IFERROR(VLOOKUP($A791,AlgoUi!$A:$X,21,0),"NA")</f>
        <v>4647983</v>
      </c>
      <c r="T791" s="46">
        <f>IFERROR(VLOOKUP($A791,AlgoUi!$A:$X,23,0),"")</f>
        <v>4000000</v>
      </c>
      <c r="U791" s="46">
        <f>IFERROR(VLOOKUP($A791,AlgoUi!$A:$X,24,0),"")</f>
        <v>40000</v>
      </c>
      <c r="V791" s="42" t="str">
        <f>IFERROR(__xludf.DUMMYFUNCTION("IFERROR(VLOOKUP(I791,IMPORTRANGE(""https://docs.google.com/spreadsheets/d/17FOIUYQAjPk1pPQIlvOgqYDBqwUqgb7KWzp4DtVksBk/edit?gid=0#gid=0"",""Servers!A:S""),19,FALSE), ""Not Running"")"),"PRACHI")</f>
        <v>PRACHI</v>
      </c>
      <c r="W791" s="47" t="str">
        <f>VLOOKUP($A791,Category!$A:$E,4,0)</f>
        <v>MS</v>
      </c>
      <c r="X791" s="47" t="str">
        <f>VLOOKUP($A791,Category!$A:$E,5,0)</f>
        <v>MSN</v>
      </c>
      <c r="Y791" s="18" t="str">
        <f>VLOOKUP(A791,PAcc!$A$1:$J$27,10,0)</f>
        <v>#N/A</v>
      </c>
      <c r="Z791" s="42" t="b">
        <f t="shared" si="4"/>
        <v>0</v>
      </c>
      <c r="AA791" s="50">
        <v>0.4</v>
      </c>
      <c r="AB791" s="42" t="str">
        <f>VLOOKUP(A791,VlookupSheet!$A$383:$A$523,1,0)</f>
        <v>#N/A</v>
      </c>
      <c r="AC791" s="50">
        <v>0.3</v>
      </c>
      <c r="AD791" s="42">
        <f t="shared" si="146"/>
        <v>1859193.2</v>
      </c>
      <c r="AE791" s="42">
        <f t="shared" si="147"/>
        <v>20000</v>
      </c>
      <c r="AF791" s="123">
        <f t="shared" si="148"/>
        <v>0</v>
      </c>
    </row>
    <row r="792">
      <c r="A792" s="11" t="s">
        <v>2976</v>
      </c>
      <c r="B792" s="24" t="s">
        <v>3842</v>
      </c>
      <c r="C792" s="25"/>
      <c r="D792" s="11">
        <f t="shared" si="149"/>
        <v>1</v>
      </c>
      <c r="E792" s="11">
        <f t="shared" si="150"/>
        <v>20000</v>
      </c>
      <c r="F792" s="30" t="s">
        <v>311</v>
      </c>
      <c r="G792" s="11">
        <v>20000.0</v>
      </c>
      <c r="H792" s="31">
        <v>20000.0</v>
      </c>
      <c r="I792" s="11" t="s">
        <v>252</v>
      </c>
      <c r="J792" s="11" t="s">
        <v>77</v>
      </c>
      <c r="K792" s="38">
        <f t="shared" si="152"/>
        <v>1</v>
      </c>
      <c r="L792" s="18" t="s">
        <v>910</v>
      </c>
      <c r="M792" s="18" t="s">
        <v>736</v>
      </c>
      <c r="N792" s="42"/>
      <c r="O792" s="42"/>
      <c r="P792" s="42"/>
      <c r="Q792" s="42"/>
      <c r="R792" s="43" t="b">
        <f t="shared" si="3"/>
        <v>0</v>
      </c>
      <c r="S792" s="46">
        <f>IFERROR(VLOOKUP($A792,AlgoUi!$A:$X,21,0),"NA")</f>
        <v>6060240</v>
      </c>
      <c r="T792" s="46">
        <f>IFERROR(VLOOKUP($A792,AlgoUi!$A:$X,23,0),"")</f>
        <v>6000000</v>
      </c>
      <c r="U792" s="46">
        <f>IFERROR(VLOOKUP($A792,AlgoUi!$A:$X,24,0),"")</f>
        <v>60000</v>
      </c>
      <c r="V792" s="42" t="str">
        <f>IFERROR(__xludf.DUMMYFUNCTION("IFERROR(VLOOKUP(I792,IMPORTRANGE(""https://docs.google.com/spreadsheets/d/17FOIUYQAjPk1pPQIlvOgqYDBqwUqgb7KWzp4DtVksBk/edit?gid=0#gid=0"",""Servers!A:S""),19,FALSE), ""Not Running"")"),"PRACHI")</f>
        <v>PRACHI</v>
      </c>
      <c r="W792" s="47" t="str">
        <f>VLOOKUP($A792,Category!$A:$E,4,0)</f>
        <v>MS</v>
      </c>
      <c r="X792" s="47" t="str">
        <f>VLOOKUP($A792,Category!$A:$E,5,0)</f>
        <v>MSR</v>
      </c>
      <c r="Y792" s="18" t="str">
        <f>VLOOKUP(A792,PAcc!$A$1:$J$27,10,0)</f>
        <v>#N/A</v>
      </c>
      <c r="Z792" s="42" t="b">
        <f t="shared" si="4"/>
        <v>0</v>
      </c>
      <c r="AA792" s="50">
        <v>0.4</v>
      </c>
      <c r="AB792" s="42" t="str">
        <f>VLOOKUP(A792,VlookupSheet!$A$383:$A$523,1,0)</f>
        <v>#N/A</v>
      </c>
      <c r="AC792" s="50">
        <v>0.02</v>
      </c>
      <c r="AD792" s="42">
        <f t="shared" si="146"/>
        <v>2424096</v>
      </c>
      <c r="AE792" s="42">
        <f t="shared" si="147"/>
        <v>20000</v>
      </c>
      <c r="AF792" s="123">
        <f t="shared" si="148"/>
        <v>0</v>
      </c>
    </row>
    <row r="793">
      <c r="A793" s="11" t="s">
        <v>2978</v>
      </c>
      <c r="B793" s="24" t="s">
        <v>2979</v>
      </c>
      <c r="C793" s="25"/>
      <c r="D793" s="11">
        <f t="shared" si="149"/>
        <v>1</v>
      </c>
      <c r="E793" s="11">
        <f t="shared" si="150"/>
        <v>20000</v>
      </c>
      <c r="F793" s="30" t="s">
        <v>232</v>
      </c>
      <c r="G793" s="11">
        <v>20000.0</v>
      </c>
      <c r="H793" s="31">
        <v>20000.0</v>
      </c>
      <c r="I793" s="11" t="s">
        <v>174</v>
      </c>
      <c r="J793" s="11" t="s">
        <v>77</v>
      </c>
      <c r="K793" s="38">
        <f t="shared" si="152"/>
        <v>1</v>
      </c>
      <c r="L793" s="18" t="s">
        <v>910</v>
      </c>
      <c r="M793" s="18" t="s">
        <v>736</v>
      </c>
      <c r="N793" s="42"/>
      <c r="O793" s="42"/>
      <c r="P793" s="42"/>
      <c r="Q793" s="42" t="str">
        <f>iferror(VLOOKUP(A793,'Positional cal'!A:H,1,0)=A793,"FALSE")</f>
        <v>FALSE</v>
      </c>
      <c r="R793" s="43" t="b">
        <f t="shared" si="3"/>
        <v>0</v>
      </c>
      <c r="S793" s="46">
        <f>IFERROR(VLOOKUP($A793,AlgoUi!$A:$X,21,0),"NA")</f>
        <v>3747413</v>
      </c>
      <c r="T793" s="46">
        <f>IFERROR(VLOOKUP($A793,AlgoUi!$A:$X,23,0),"")</f>
        <v>4000000</v>
      </c>
      <c r="U793" s="46">
        <f>IFERROR(VLOOKUP($A793,AlgoUi!$A:$X,24,0),"")</f>
        <v>40000</v>
      </c>
      <c r="V793" s="42" t="str">
        <f>IFERROR(__xludf.DUMMYFUNCTION("IFERROR(VLOOKUP(I793,IMPORTRANGE(""https://docs.google.com/spreadsheets/d/17FOIUYQAjPk1pPQIlvOgqYDBqwUqgb7KWzp4DtVksBk/edit?gid=0#gid=0"",""Servers!A:S""),19,FALSE), ""Not Running"")"),"AYUSHS")</f>
        <v>AYUSHS</v>
      </c>
      <c r="W793" s="47" t="str">
        <f>VLOOKUP($A793,Category!$A:$E,4,0)</f>
        <v>CC</v>
      </c>
      <c r="X793" s="47" t="str">
        <f>VLOOKUP($A793,Category!$A:$E,5,0)</f>
        <v>CCV</v>
      </c>
      <c r="Y793" s="18" t="str">
        <f>VLOOKUP(A793,PAcc!$A$1:$J$27,10,0)</f>
        <v>#N/A</v>
      </c>
      <c r="Z793" s="42" t="b">
        <f t="shared" si="4"/>
        <v>0</v>
      </c>
      <c r="AA793" s="50">
        <v>0.6</v>
      </c>
      <c r="AB793" s="42" t="str">
        <f>VLOOKUP(A793,VlookupSheet!$A$383:$A$523,1,0)</f>
        <v>#N/A</v>
      </c>
      <c r="AC793" s="50">
        <v>0.02</v>
      </c>
      <c r="AD793" s="42">
        <f t="shared" si="146"/>
        <v>2248447.8</v>
      </c>
      <c r="AE793" s="42">
        <f t="shared" si="147"/>
        <v>20000</v>
      </c>
      <c r="AF793" s="123">
        <f t="shared" si="148"/>
        <v>0</v>
      </c>
    </row>
    <row r="794">
      <c r="A794" s="11" t="s">
        <v>2981</v>
      </c>
      <c r="B794" s="24" t="s">
        <v>2982</v>
      </c>
      <c r="C794" s="25"/>
      <c r="D794" s="11" t="s">
        <v>865</v>
      </c>
      <c r="E794" s="25"/>
      <c r="F794" s="30" t="s">
        <v>311</v>
      </c>
      <c r="G794" s="31">
        <v>64000.0</v>
      </c>
      <c r="H794" s="31">
        <v>80000.0</v>
      </c>
      <c r="I794" s="11" t="s">
        <v>132</v>
      </c>
      <c r="J794" s="11" t="s">
        <v>1018</v>
      </c>
      <c r="K794" s="38">
        <f t="shared" si="152"/>
        <v>0.8</v>
      </c>
      <c r="L794" s="18" t="s">
        <v>910</v>
      </c>
      <c r="M794" s="18" t="s">
        <v>736</v>
      </c>
      <c r="N794" s="42"/>
      <c r="O794" s="42"/>
      <c r="P794" s="42"/>
      <c r="Q794" s="42"/>
      <c r="R794" s="43" t="b">
        <f t="shared" si="3"/>
        <v>0</v>
      </c>
      <c r="S794" s="46">
        <f>IFERROR(VLOOKUP($A794,AlgoUi!$A:$X,21,0),"NA")</f>
        <v>18648200</v>
      </c>
      <c r="T794" s="46">
        <f>IFERROR(VLOOKUP($A794,AlgoUi!$A:$X,23,0),"")</f>
        <v>18000000</v>
      </c>
      <c r="U794" s="46">
        <f>IFERROR(VLOOKUP($A794,AlgoUi!$A:$X,24,0),"")</f>
        <v>144000</v>
      </c>
      <c r="V794" s="42" t="str">
        <f>IFERROR(__xludf.DUMMYFUNCTION("IFERROR(VLOOKUP(I794,IMPORTRANGE(""https://docs.google.com/spreadsheets/d/17FOIUYQAjPk1pPQIlvOgqYDBqwUqgb7KWzp4DtVksBk/edit?gid=0#gid=0"",""Servers!A:S""),19,FALSE), ""Not Running"")"),"ANIKETG")</f>
        <v>ANIKETG</v>
      </c>
      <c r="W794" s="47" t="str">
        <f>VLOOKUP($A794,Category!$A:$E,4,0)</f>
        <v>MS</v>
      </c>
      <c r="X794" s="47" t="str">
        <f>VLOOKUP($A794,Category!$A:$E,5,0)</f>
        <v>MSP</v>
      </c>
      <c r="Y794" s="18" t="str">
        <f>VLOOKUP(A794,PAcc!$A$1:$J$27,10,0)</f>
        <v>#N/A</v>
      </c>
      <c r="Z794" s="42" t="b">
        <f t="shared" si="4"/>
        <v>0</v>
      </c>
      <c r="AA794" s="50">
        <v>0.4</v>
      </c>
      <c r="AB794" s="42" t="str">
        <f>VLOOKUP(A794,VlookupSheet!$A$383:$A$523,1,0)</f>
        <v>#N/A</v>
      </c>
      <c r="AC794" s="50">
        <v>0.02</v>
      </c>
      <c r="AD794" s="42">
        <f t="shared" si="146"/>
        <v>7459280</v>
      </c>
      <c r="AE794" s="42">
        <f t="shared" si="147"/>
        <v>80000</v>
      </c>
      <c r="AF794" s="123">
        <f t="shared" si="148"/>
        <v>0</v>
      </c>
    </row>
    <row r="795">
      <c r="A795" s="25"/>
      <c r="B795" s="297"/>
      <c r="C795" s="25"/>
      <c r="D795" s="25"/>
      <c r="E795" s="25"/>
      <c r="F795" s="25"/>
      <c r="G795" s="123"/>
      <c r="H795" s="123"/>
      <c r="I795" s="25"/>
      <c r="J795" s="25"/>
      <c r="K795" s="367"/>
      <c r="L795" s="42"/>
      <c r="M795" s="42"/>
      <c r="N795" s="42"/>
      <c r="O795" s="42"/>
      <c r="P795" s="42"/>
      <c r="Q795" s="42"/>
      <c r="R795" s="176"/>
      <c r="S795" s="42"/>
      <c r="T795" s="42"/>
      <c r="U795" s="46"/>
      <c r="V795" s="42"/>
      <c r="W795" s="42"/>
      <c r="X795" s="42"/>
      <c r="Y795" s="42"/>
      <c r="Z795" s="42"/>
      <c r="AA795" s="42"/>
      <c r="AB795" s="42"/>
      <c r="AC795" s="42"/>
      <c r="AD795" s="42"/>
      <c r="AE795" s="42"/>
      <c r="AF795" s="42"/>
    </row>
    <row r="796">
      <c r="A796" s="25"/>
      <c r="B796" s="297"/>
      <c r="C796" s="25"/>
      <c r="D796" s="25"/>
      <c r="E796" s="25"/>
      <c r="F796" s="25"/>
      <c r="G796" s="123"/>
      <c r="H796" s="123"/>
      <c r="I796" s="25"/>
      <c r="J796" s="25"/>
      <c r="K796" s="367"/>
      <c r="L796" s="42"/>
      <c r="M796" s="42"/>
      <c r="N796" s="42"/>
      <c r="O796" s="42"/>
      <c r="P796" s="42"/>
      <c r="Q796" s="42"/>
      <c r="R796" s="176"/>
      <c r="S796" s="42"/>
      <c r="T796" s="42"/>
      <c r="U796" s="46"/>
      <c r="V796" s="42"/>
      <c r="W796" s="42"/>
      <c r="X796" s="31"/>
      <c r="Y796" s="18"/>
      <c r="Z796" s="42"/>
      <c r="AA796" s="42"/>
      <c r="AB796" s="42"/>
      <c r="AC796" s="42"/>
      <c r="AD796" s="42"/>
      <c r="AE796" s="42"/>
      <c r="AF796" s="42"/>
    </row>
    <row r="797">
      <c r="A797" s="25"/>
      <c r="B797" s="297"/>
      <c r="C797" s="25"/>
      <c r="D797" s="25"/>
      <c r="E797" s="25"/>
      <c r="F797" s="25"/>
      <c r="G797" s="123"/>
      <c r="H797" s="123"/>
      <c r="I797" s="25"/>
      <c r="J797" s="25"/>
      <c r="K797" s="367"/>
      <c r="L797" s="42"/>
      <c r="M797" s="42"/>
      <c r="N797" s="42"/>
      <c r="O797" s="42"/>
      <c r="P797" s="42"/>
      <c r="Q797" s="42"/>
      <c r="R797" s="176"/>
      <c r="S797" s="42"/>
      <c r="T797" s="42"/>
      <c r="U797" s="46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</row>
    <row r="798">
      <c r="A798" s="25"/>
      <c r="B798" s="297"/>
      <c r="C798" s="25"/>
      <c r="D798" s="25"/>
      <c r="E798" s="25"/>
      <c r="F798" s="25"/>
      <c r="G798" s="123"/>
      <c r="H798" s="123"/>
      <c r="I798" s="25"/>
      <c r="J798" s="25"/>
      <c r="K798" s="367"/>
      <c r="L798" s="42"/>
      <c r="M798" s="42"/>
      <c r="N798" s="42"/>
      <c r="O798" s="42"/>
      <c r="P798" s="42"/>
      <c r="Q798" s="42"/>
      <c r="R798" s="176"/>
      <c r="S798" s="42"/>
      <c r="T798" s="42"/>
      <c r="U798" s="46"/>
      <c r="V798" s="42"/>
      <c r="W798" s="42"/>
      <c r="X798" s="42"/>
      <c r="Y798" s="42"/>
      <c r="Z798" s="42"/>
      <c r="AA798" s="42"/>
      <c r="AB798" s="42"/>
      <c r="AC798" s="42"/>
      <c r="AD798" s="42"/>
      <c r="AE798" s="42"/>
      <c r="AF798" s="42"/>
    </row>
    <row r="799">
      <c r="A799" s="25"/>
      <c r="B799" s="297"/>
      <c r="C799" s="25"/>
      <c r="D799" s="25"/>
      <c r="E799" s="25"/>
      <c r="F799" s="25"/>
      <c r="G799" s="123"/>
      <c r="H799" s="123"/>
      <c r="I799" s="25"/>
      <c r="J799" s="25"/>
      <c r="K799" s="367"/>
      <c r="L799" s="42"/>
      <c r="M799" s="42"/>
      <c r="N799" s="42"/>
      <c r="O799" s="42"/>
      <c r="P799" s="42"/>
      <c r="Q799" s="42"/>
      <c r="R799" s="176"/>
      <c r="S799" s="42"/>
      <c r="T799" s="42"/>
      <c r="U799" s="46"/>
      <c r="V799" s="42"/>
      <c r="W799" s="42"/>
      <c r="X799" s="42"/>
      <c r="Y799" s="42"/>
      <c r="Z799" s="42"/>
      <c r="AA799" s="42"/>
      <c r="AB799" s="42"/>
      <c r="AC799" s="42"/>
      <c r="AD799" s="42"/>
      <c r="AE799" s="42"/>
      <c r="AF799" s="42"/>
    </row>
    <row r="800">
      <c r="A800" s="25"/>
      <c r="B800" s="297"/>
      <c r="C800" s="25"/>
      <c r="D800" s="25"/>
      <c r="E800" s="25"/>
      <c r="F800" s="25"/>
      <c r="G800" s="123"/>
      <c r="H800" s="123"/>
      <c r="I800" s="25"/>
      <c r="J800" s="25"/>
      <c r="K800" s="367"/>
      <c r="L800" s="42"/>
      <c r="M800" s="42"/>
      <c r="N800" s="42"/>
      <c r="O800" s="42"/>
      <c r="P800" s="42"/>
      <c r="Q800" s="42"/>
      <c r="R800" s="176"/>
      <c r="S800" s="42"/>
      <c r="T800" s="42"/>
      <c r="U800" s="46"/>
      <c r="V800" s="42"/>
      <c r="W800" s="42"/>
      <c r="X800" s="42"/>
      <c r="Y800" s="42"/>
      <c r="Z800" s="42"/>
      <c r="AA800" s="42"/>
      <c r="AB800" s="42"/>
      <c r="AC800" s="42"/>
      <c r="AD800" s="42"/>
      <c r="AE800" s="42"/>
      <c r="AF800" s="42"/>
    </row>
    <row r="801">
      <c r="A801" s="25"/>
      <c r="B801" s="297"/>
      <c r="C801" s="25"/>
      <c r="D801" s="25"/>
      <c r="E801" s="25"/>
      <c r="F801" s="25"/>
      <c r="G801" s="123"/>
      <c r="H801" s="123"/>
      <c r="I801" s="25"/>
      <c r="J801" s="25"/>
      <c r="K801" s="367"/>
      <c r="L801" s="42"/>
      <c r="M801" s="42"/>
      <c r="N801" s="42"/>
      <c r="O801" s="42"/>
      <c r="P801" s="42"/>
      <c r="Q801" s="42"/>
      <c r="R801" s="176"/>
      <c r="S801" s="42"/>
      <c r="T801" s="42"/>
      <c r="U801" s="46"/>
      <c r="V801" s="42"/>
      <c r="W801" s="42"/>
      <c r="X801" s="42"/>
      <c r="Y801" s="42"/>
      <c r="Z801" s="42"/>
      <c r="AA801" s="42"/>
      <c r="AB801" s="42"/>
      <c r="AC801" s="42"/>
      <c r="AD801" s="42"/>
      <c r="AE801" s="42"/>
      <c r="AF801" s="42"/>
    </row>
    <row r="802">
      <c r="A802" s="25"/>
      <c r="B802" s="297"/>
      <c r="C802" s="25"/>
      <c r="D802" s="25"/>
      <c r="E802" s="25"/>
      <c r="F802" s="25"/>
      <c r="G802" s="123"/>
      <c r="H802" s="123"/>
      <c r="I802" s="25"/>
      <c r="J802" s="25"/>
      <c r="K802" s="367"/>
      <c r="L802" s="42"/>
      <c r="M802" s="42"/>
      <c r="N802" s="42"/>
      <c r="O802" s="42"/>
      <c r="P802" s="42"/>
      <c r="Q802" s="42"/>
      <c r="R802" s="176"/>
      <c r="S802" s="42"/>
      <c r="T802" s="42"/>
      <c r="U802" s="46"/>
      <c r="V802" s="42"/>
      <c r="W802" s="42"/>
      <c r="X802" s="42"/>
      <c r="Y802" s="42"/>
      <c r="Z802" s="42"/>
      <c r="AA802" s="42"/>
      <c r="AB802" s="42"/>
      <c r="AC802" s="42"/>
      <c r="AD802" s="42"/>
      <c r="AE802" s="42"/>
      <c r="AF802" s="42"/>
    </row>
    <row r="803">
      <c r="A803" s="25"/>
      <c r="B803" s="297"/>
      <c r="C803" s="25"/>
      <c r="D803" s="25"/>
      <c r="E803" s="25"/>
      <c r="F803" s="25"/>
      <c r="G803" s="123"/>
      <c r="H803" s="123"/>
      <c r="I803" s="25"/>
      <c r="J803" s="25"/>
      <c r="K803" s="367"/>
      <c r="L803" s="42"/>
      <c r="M803" s="42"/>
      <c r="N803" s="42"/>
      <c r="O803" s="42"/>
      <c r="P803" s="42"/>
      <c r="Q803" s="42"/>
      <c r="R803" s="176"/>
      <c r="S803" s="42"/>
      <c r="T803" s="42"/>
      <c r="U803" s="46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</row>
    <row r="804">
      <c r="A804" s="25"/>
      <c r="B804" s="297"/>
      <c r="C804" s="25"/>
      <c r="D804" s="25"/>
      <c r="E804" s="25"/>
      <c r="F804" s="25"/>
      <c r="G804" s="123"/>
      <c r="H804" s="123"/>
      <c r="I804" s="25"/>
      <c r="J804" s="25"/>
      <c r="K804" s="367"/>
      <c r="L804" s="42"/>
      <c r="M804" s="42"/>
      <c r="N804" s="42"/>
      <c r="O804" s="42"/>
      <c r="P804" s="42"/>
      <c r="Q804" s="42"/>
      <c r="R804" s="176"/>
      <c r="S804" s="42"/>
      <c r="T804" s="42"/>
      <c r="U804" s="46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</row>
    <row r="805">
      <c r="A805" s="25"/>
      <c r="B805" s="297"/>
      <c r="C805" s="25"/>
      <c r="D805" s="25"/>
      <c r="E805" s="25"/>
      <c r="F805" s="25"/>
      <c r="G805" s="123"/>
      <c r="H805" s="123"/>
      <c r="I805" s="25"/>
      <c r="J805" s="25"/>
      <c r="K805" s="367"/>
      <c r="L805" s="42"/>
      <c r="M805" s="42"/>
      <c r="N805" s="42"/>
      <c r="O805" s="42"/>
      <c r="P805" s="42"/>
      <c r="Q805" s="42"/>
      <c r="R805" s="176"/>
      <c r="S805" s="42"/>
      <c r="T805" s="42"/>
      <c r="U805" s="46"/>
      <c r="V805" s="42"/>
      <c r="W805" s="42"/>
      <c r="X805" s="42"/>
      <c r="Y805" s="42"/>
      <c r="Z805" s="42"/>
      <c r="AA805" s="42"/>
      <c r="AB805" s="42"/>
      <c r="AC805" s="42"/>
      <c r="AD805" s="42"/>
      <c r="AE805" s="42"/>
      <c r="AF805" s="42"/>
    </row>
    <row r="806">
      <c r="A806" s="25"/>
      <c r="B806" s="297"/>
      <c r="C806" s="25"/>
      <c r="D806" s="25"/>
      <c r="E806" s="25"/>
      <c r="F806" s="25"/>
      <c r="G806" s="123"/>
      <c r="H806" s="123"/>
      <c r="I806" s="25"/>
      <c r="J806" s="25"/>
      <c r="K806" s="367"/>
      <c r="L806" s="42"/>
      <c r="M806" s="42"/>
      <c r="N806" s="42"/>
      <c r="O806" s="42"/>
      <c r="P806" s="42"/>
      <c r="Q806" s="42"/>
      <c r="R806" s="176"/>
      <c r="S806" s="42"/>
      <c r="T806" s="42"/>
      <c r="U806" s="46"/>
      <c r="V806" s="42"/>
      <c r="W806" s="42"/>
      <c r="X806" s="42"/>
      <c r="Y806" s="42"/>
      <c r="Z806" s="42"/>
      <c r="AA806" s="42"/>
      <c r="AB806" s="42"/>
      <c r="AC806" s="42"/>
      <c r="AD806" s="42"/>
      <c r="AE806" s="42"/>
      <c r="AF806" s="42"/>
    </row>
    <row r="807">
      <c r="A807" s="25"/>
      <c r="B807" s="297"/>
      <c r="C807" s="25"/>
      <c r="D807" s="25"/>
      <c r="E807" s="25"/>
      <c r="F807" s="25"/>
      <c r="G807" s="123"/>
      <c r="H807" s="123"/>
      <c r="I807" s="25"/>
      <c r="J807" s="25"/>
      <c r="K807" s="367"/>
      <c r="L807" s="42"/>
      <c r="M807" s="42"/>
      <c r="N807" s="42"/>
      <c r="O807" s="42"/>
      <c r="P807" s="42"/>
      <c r="Q807" s="42"/>
      <c r="R807" s="176"/>
      <c r="S807" s="42"/>
      <c r="T807" s="42"/>
      <c r="U807" s="46"/>
      <c r="V807" s="42"/>
      <c r="W807" s="42"/>
      <c r="X807" s="42"/>
      <c r="Y807" s="42"/>
      <c r="Z807" s="42"/>
      <c r="AA807" s="42"/>
      <c r="AB807" s="42"/>
      <c r="AC807" s="42"/>
      <c r="AD807" s="42"/>
      <c r="AE807" s="42"/>
      <c r="AF807" s="42"/>
    </row>
    <row r="808">
      <c r="A808" s="25"/>
      <c r="B808" s="297"/>
      <c r="C808" s="25"/>
      <c r="D808" s="25"/>
      <c r="E808" s="25"/>
      <c r="F808" s="25"/>
      <c r="G808" s="123"/>
      <c r="H808" s="123"/>
      <c r="I808" s="25"/>
      <c r="J808" s="25"/>
      <c r="K808" s="367"/>
      <c r="L808" s="42"/>
      <c r="M808" s="42"/>
      <c r="N808" s="42"/>
      <c r="O808" s="42"/>
      <c r="P808" s="42"/>
      <c r="Q808" s="42"/>
      <c r="R808" s="176"/>
      <c r="S808" s="42"/>
      <c r="T808" s="42"/>
      <c r="U808" s="46"/>
      <c r="V808" s="42"/>
      <c r="W808" s="42"/>
      <c r="X808" s="42"/>
      <c r="Y808" s="42"/>
      <c r="Z808" s="42"/>
      <c r="AA808" s="42"/>
      <c r="AB808" s="42"/>
      <c r="AC808" s="42"/>
      <c r="AD808" s="42"/>
      <c r="AE808" s="42"/>
      <c r="AF808" s="42"/>
    </row>
    <row r="809">
      <c r="A809" s="25"/>
      <c r="B809" s="297"/>
      <c r="C809" s="25"/>
      <c r="D809" s="25"/>
      <c r="E809" s="25"/>
      <c r="F809" s="25"/>
      <c r="G809" s="123"/>
      <c r="H809" s="123"/>
      <c r="I809" s="25"/>
      <c r="J809" s="25"/>
      <c r="K809" s="367"/>
      <c r="L809" s="42"/>
      <c r="M809" s="42"/>
      <c r="N809" s="42"/>
      <c r="O809" s="42"/>
      <c r="P809" s="42"/>
      <c r="Q809" s="42"/>
      <c r="R809" s="176"/>
      <c r="S809" s="42"/>
      <c r="T809" s="42"/>
      <c r="U809" s="46"/>
      <c r="V809" s="42"/>
      <c r="W809" s="42"/>
      <c r="X809" s="42"/>
      <c r="Y809" s="42"/>
      <c r="Z809" s="42"/>
      <c r="AA809" s="42"/>
      <c r="AB809" s="42"/>
      <c r="AC809" s="42"/>
      <c r="AD809" s="42"/>
      <c r="AE809" s="42"/>
      <c r="AF809" s="42"/>
    </row>
    <row r="810">
      <c r="A810" s="25"/>
      <c r="B810" s="297"/>
      <c r="C810" s="25"/>
      <c r="D810" s="25"/>
      <c r="E810" s="25"/>
      <c r="F810" s="25"/>
      <c r="G810" s="123"/>
      <c r="H810" s="123"/>
      <c r="I810" s="25"/>
      <c r="J810" s="25"/>
      <c r="K810" s="367"/>
      <c r="L810" s="42"/>
      <c r="M810" s="42"/>
      <c r="N810" s="42"/>
      <c r="O810" s="42"/>
      <c r="P810" s="42"/>
      <c r="Q810" s="42"/>
      <c r="R810" s="176"/>
      <c r="S810" s="42"/>
      <c r="T810" s="42"/>
      <c r="U810" s="46"/>
      <c r="V810" s="42"/>
      <c r="W810" s="42"/>
      <c r="X810" s="42"/>
      <c r="Y810" s="42"/>
      <c r="Z810" s="42"/>
      <c r="AA810" s="42"/>
      <c r="AB810" s="42"/>
      <c r="AC810" s="42"/>
      <c r="AD810" s="42"/>
      <c r="AE810" s="42"/>
      <c r="AF810" s="42"/>
    </row>
    <row r="811">
      <c r="A811" s="25"/>
      <c r="B811" s="297"/>
      <c r="C811" s="25"/>
      <c r="D811" s="25"/>
      <c r="E811" s="25"/>
      <c r="F811" s="25"/>
      <c r="G811" s="123"/>
      <c r="H811" s="123"/>
      <c r="I811" s="25"/>
      <c r="J811" s="25"/>
      <c r="K811" s="367"/>
      <c r="L811" s="42"/>
      <c r="M811" s="42"/>
      <c r="N811" s="42"/>
      <c r="O811" s="42"/>
      <c r="P811" s="42"/>
      <c r="Q811" s="42"/>
      <c r="R811" s="176"/>
      <c r="S811" s="42"/>
      <c r="T811" s="42"/>
      <c r="U811" s="46"/>
      <c r="V811" s="42"/>
      <c r="W811" s="42"/>
      <c r="X811" s="42"/>
      <c r="Y811" s="42"/>
      <c r="Z811" s="42"/>
      <c r="AA811" s="42"/>
      <c r="AB811" s="42"/>
      <c r="AC811" s="42"/>
      <c r="AD811" s="42"/>
      <c r="AE811" s="42"/>
      <c r="AF811" s="42"/>
    </row>
    <row r="812">
      <c r="A812" s="25"/>
      <c r="B812" s="297"/>
      <c r="C812" s="25"/>
      <c r="D812" s="25"/>
      <c r="E812" s="25"/>
      <c r="F812" s="25"/>
      <c r="G812" s="123"/>
      <c r="H812" s="123"/>
      <c r="I812" s="25"/>
      <c r="J812" s="25"/>
      <c r="K812" s="367"/>
      <c r="L812" s="42"/>
      <c r="M812" s="42"/>
      <c r="N812" s="42"/>
      <c r="O812" s="42"/>
      <c r="P812" s="42"/>
      <c r="Q812" s="42"/>
      <c r="R812" s="176"/>
      <c r="S812" s="42"/>
      <c r="T812" s="42"/>
      <c r="U812" s="46"/>
      <c r="V812" s="42"/>
      <c r="W812" s="42"/>
      <c r="X812" s="42"/>
      <c r="Y812" s="42"/>
      <c r="Z812" s="42"/>
      <c r="AA812" s="42"/>
      <c r="AB812" s="42"/>
      <c r="AC812" s="42"/>
      <c r="AD812" s="42"/>
      <c r="AE812" s="42"/>
      <c r="AF812" s="42"/>
    </row>
    <row r="813">
      <c r="A813" s="25"/>
      <c r="B813" s="297"/>
      <c r="C813" s="25"/>
      <c r="D813" s="25"/>
      <c r="E813" s="25"/>
      <c r="F813" s="25"/>
      <c r="G813" s="123"/>
      <c r="H813" s="123"/>
      <c r="I813" s="25"/>
      <c r="J813" s="25"/>
      <c r="K813" s="367"/>
      <c r="L813" s="42"/>
      <c r="M813" s="42"/>
      <c r="N813" s="42"/>
      <c r="O813" s="42"/>
      <c r="P813" s="42"/>
      <c r="Q813" s="42"/>
      <c r="R813" s="176"/>
      <c r="S813" s="42"/>
      <c r="T813" s="42"/>
      <c r="U813" s="46"/>
      <c r="V813" s="42"/>
      <c r="W813" s="42"/>
      <c r="X813" s="42"/>
      <c r="Y813" s="42"/>
      <c r="Z813" s="42"/>
      <c r="AA813" s="42"/>
      <c r="AB813" s="42"/>
      <c r="AC813" s="42"/>
      <c r="AD813" s="42"/>
      <c r="AE813" s="42"/>
      <c r="AF813" s="42"/>
    </row>
    <row r="814">
      <c r="A814" s="25"/>
      <c r="B814" s="297"/>
      <c r="C814" s="25"/>
      <c r="D814" s="25"/>
      <c r="E814" s="25"/>
      <c r="F814" s="25"/>
      <c r="G814" s="123"/>
      <c r="H814" s="123"/>
      <c r="I814" s="25"/>
      <c r="J814" s="25"/>
      <c r="K814" s="367"/>
      <c r="L814" s="42"/>
      <c r="M814" s="42"/>
      <c r="N814" s="42"/>
      <c r="O814" s="42"/>
      <c r="P814" s="42"/>
      <c r="Q814" s="42"/>
      <c r="R814" s="176"/>
      <c r="S814" s="42"/>
      <c r="T814" s="42"/>
      <c r="U814" s="46"/>
      <c r="V814" s="42"/>
      <c r="W814" s="42"/>
      <c r="X814" s="42"/>
      <c r="Y814" s="42"/>
      <c r="Z814" s="42"/>
      <c r="AA814" s="42"/>
      <c r="AB814" s="42"/>
      <c r="AC814" s="42"/>
      <c r="AD814" s="42"/>
      <c r="AE814" s="42"/>
      <c r="AF814" s="42"/>
    </row>
    <row r="815">
      <c r="A815" s="25"/>
      <c r="B815" s="297"/>
      <c r="C815" s="25"/>
      <c r="D815" s="25"/>
      <c r="E815" s="25"/>
      <c r="F815" s="25"/>
      <c r="G815" s="123"/>
      <c r="H815" s="123"/>
      <c r="I815" s="25"/>
      <c r="J815" s="25"/>
      <c r="K815" s="367"/>
      <c r="L815" s="42"/>
      <c r="M815" s="42"/>
      <c r="N815" s="42"/>
      <c r="O815" s="42"/>
      <c r="P815" s="42"/>
      <c r="Q815" s="42"/>
      <c r="R815" s="176"/>
      <c r="S815" s="42"/>
      <c r="T815" s="42"/>
      <c r="U815" s="46"/>
      <c r="V815" s="42"/>
      <c r="W815" s="42"/>
      <c r="X815" s="42"/>
      <c r="Y815" s="42"/>
      <c r="Z815" s="42"/>
      <c r="AA815" s="42"/>
      <c r="AB815" s="42"/>
      <c r="AC815" s="42"/>
      <c r="AD815" s="42"/>
      <c r="AE815" s="42"/>
      <c r="AF815" s="42"/>
    </row>
    <row r="816">
      <c r="A816" s="25"/>
      <c r="B816" s="297"/>
      <c r="C816" s="25"/>
      <c r="D816" s="25"/>
      <c r="E816" s="25"/>
      <c r="F816" s="25"/>
      <c r="G816" s="123"/>
      <c r="H816" s="123"/>
      <c r="I816" s="25"/>
      <c r="J816" s="25"/>
      <c r="K816" s="367"/>
      <c r="L816" s="42"/>
      <c r="M816" s="42"/>
      <c r="N816" s="42"/>
      <c r="O816" s="42"/>
      <c r="P816" s="42"/>
      <c r="Q816" s="42"/>
      <c r="R816" s="176"/>
      <c r="S816" s="42"/>
      <c r="T816" s="42"/>
      <c r="U816" s="46"/>
      <c r="V816" s="42"/>
      <c r="W816" s="42"/>
      <c r="X816" s="42"/>
      <c r="Y816" s="42"/>
      <c r="Z816" s="42"/>
      <c r="AA816" s="42"/>
      <c r="AB816" s="42"/>
      <c r="AC816" s="42"/>
      <c r="AD816" s="42"/>
      <c r="AE816" s="42"/>
      <c r="AF816" s="42"/>
    </row>
    <row r="817">
      <c r="A817" s="25"/>
      <c r="B817" s="297"/>
      <c r="C817" s="25"/>
      <c r="D817" s="25"/>
      <c r="E817" s="25"/>
      <c r="F817" s="25"/>
      <c r="G817" s="123"/>
      <c r="H817" s="123"/>
      <c r="I817" s="25"/>
      <c r="J817" s="25"/>
      <c r="K817" s="367"/>
      <c r="L817" s="42"/>
      <c r="M817" s="42"/>
      <c r="N817" s="42"/>
      <c r="O817" s="42"/>
      <c r="P817" s="42"/>
      <c r="Q817" s="42"/>
      <c r="R817" s="176"/>
      <c r="S817" s="42"/>
      <c r="T817" s="42"/>
      <c r="U817" s="46"/>
      <c r="V817" s="42"/>
      <c r="W817" s="42"/>
      <c r="X817" s="42"/>
      <c r="Y817" s="42"/>
      <c r="Z817" s="42"/>
      <c r="AA817" s="42"/>
      <c r="AB817" s="42"/>
      <c r="AC817" s="42"/>
      <c r="AD817" s="42"/>
      <c r="AE817" s="42"/>
      <c r="AF817" s="42"/>
    </row>
    <row r="818">
      <c r="A818" s="25"/>
      <c r="B818" s="297"/>
      <c r="C818" s="25"/>
      <c r="D818" s="25"/>
      <c r="E818" s="25"/>
      <c r="F818" s="25"/>
      <c r="G818" s="123"/>
      <c r="H818" s="123"/>
      <c r="I818" s="25"/>
      <c r="J818" s="25"/>
      <c r="K818" s="367"/>
      <c r="L818" s="42"/>
      <c r="M818" s="42"/>
      <c r="N818" s="42"/>
      <c r="O818" s="42"/>
      <c r="P818" s="42"/>
      <c r="Q818" s="42"/>
      <c r="R818" s="176"/>
      <c r="S818" s="42"/>
      <c r="T818" s="42"/>
      <c r="U818" s="46"/>
      <c r="V818" s="42"/>
      <c r="W818" s="42"/>
      <c r="X818" s="42"/>
      <c r="Y818" s="42"/>
      <c r="Z818" s="42"/>
      <c r="AA818" s="42"/>
      <c r="AB818" s="42"/>
      <c r="AC818" s="42"/>
      <c r="AD818" s="42"/>
      <c r="AE818" s="42"/>
      <c r="AF818" s="42"/>
    </row>
    <row r="819">
      <c r="A819" s="25"/>
      <c r="B819" s="297"/>
      <c r="C819" s="25"/>
      <c r="D819" s="25"/>
      <c r="E819" s="25"/>
      <c r="F819" s="25"/>
      <c r="G819" s="123"/>
      <c r="H819" s="123"/>
      <c r="I819" s="25"/>
      <c r="J819" s="25"/>
      <c r="K819" s="367"/>
      <c r="L819" s="42"/>
      <c r="M819" s="42"/>
      <c r="N819" s="42"/>
      <c r="O819" s="42"/>
      <c r="P819" s="42"/>
      <c r="Q819" s="42"/>
      <c r="R819" s="176"/>
      <c r="S819" s="42"/>
      <c r="T819" s="42"/>
      <c r="U819" s="46"/>
      <c r="V819" s="42"/>
      <c r="W819" s="42"/>
      <c r="X819" s="42"/>
      <c r="Y819" s="42"/>
      <c r="Z819" s="42"/>
      <c r="AA819" s="42"/>
      <c r="AB819" s="42"/>
      <c r="AC819" s="42"/>
      <c r="AD819" s="42"/>
      <c r="AE819" s="42"/>
      <c r="AF819" s="42"/>
    </row>
    <row r="820">
      <c r="A820" s="25"/>
      <c r="B820" s="297"/>
      <c r="C820" s="25"/>
      <c r="D820" s="25"/>
      <c r="E820" s="25"/>
      <c r="F820" s="25"/>
      <c r="G820" s="123"/>
      <c r="H820" s="123"/>
      <c r="I820" s="25"/>
      <c r="J820" s="25"/>
      <c r="K820" s="367"/>
      <c r="L820" s="42"/>
      <c r="M820" s="42"/>
      <c r="N820" s="42"/>
      <c r="O820" s="42"/>
      <c r="P820" s="42"/>
      <c r="Q820" s="42"/>
      <c r="R820" s="176"/>
      <c r="S820" s="42"/>
      <c r="T820" s="42"/>
      <c r="U820" s="46"/>
      <c r="V820" s="42"/>
      <c r="W820" s="42"/>
      <c r="X820" s="42"/>
      <c r="Y820" s="42"/>
      <c r="Z820" s="42"/>
      <c r="AA820" s="42"/>
      <c r="AB820" s="42"/>
      <c r="AC820" s="42"/>
      <c r="AD820" s="42"/>
      <c r="AE820" s="42"/>
      <c r="AF820" s="42"/>
    </row>
    <row r="821">
      <c r="A821" s="25"/>
      <c r="B821" s="297"/>
      <c r="C821" s="25"/>
      <c r="D821" s="25"/>
      <c r="E821" s="25"/>
      <c r="F821" s="25"/>
      <c r="G821" s="123"/>
      <c r="H821" s="123"/>
      <c r="I821" s="25"/>
      <c r="J821" s="25"/>
      <c r="K821" s="367"/>
      <c r="L821" s="42"/>
      <c r="M821" s="42"/>
      <c r="N821" s="42"/>
      <c r="O821" s="42"/>
      <c r="P821" s="42"/>
      <c r="Q821" s="42"/>
      <c r="R821" s="176"/>
      <c r="S821" s="42"/>
      <c r="T821" s="42"/>
      <c r="U821" s="46"/>
      <c r="V821" s="42"/>
      <c r="W821" s="42"/>
      <c r="X821" s="42"/>
      <c r="Y821" s="42"/>
      <c r="Z821" s="42"/>
      <c r="AA821" s="42"/>
      <c r="AB821" s="42"/>
      <c r="AC821" s="42"/>
      <c r="AD821" s="42"/>
      <c r="AE821" s="42"/>
      <c r="AF821" s="42"/>
    </row>
    <row r="822">
      <c r="A822" s="25"/>
      <c r="B822" s="297"/>
      <c r="C822" s="25"/>
      <c r="D822" s="25"/>
      <c r="E822" s="25"/>
      <c r="F822" s="25"/>
      <c r="G822" s="123"/>
      <c r="H822" s="123"/>
      <c r="I822" s="25"/>
      <c r="J822" s="25"/>
      <c r="K822" s="367"/>
      <c r="L822" s="42"/>
      <c r="M822" s="42"/>
      <c r="N822" s="42"/>
      <c r="O822" s="42"/>
      <c r="P822" s="42"/>
      <c r="Q822" s="42"/>
      <c r="R822" s="176"/>
      <c r="S822" s="42"/>
      <c r="T822" s="42"/>
      <c r="U822" s="46"/>
      <c r="V822" s="42"/>
      <c r="W822" s="42"/>
      <c r="X822" s="42"/>
      <c r="Y822" s="42"/>
      <c r="Z822" s="42"/>
      <c r="AA822" s="42"/>
      <c r="AB822" s="42"/>
      <c r="AC822" s="42"/>
      <c r="AD822" s="42"/>
      <c r="AE822" s="42"/>
      <c r="AF822" s="42"/>
    </row>
    <row r="823">
      <c r="A823" s="25"/>
      <c r="B823" s="297"/>
      <c r="C823" s="25"/>
      <c r="D823" s="25"/>
      <c r="E823" s="25"/>
      <c r="F823" s="25"/>
      <c r="G823" s="123"/>
      <c r="H823" s="123"/>
      <c r="I823" s="25"/>
      <c r="J823" s="25"/>
      <c r="K823" s="367"/>
      <c r="L823" s="42"/>
      <c r="M823" s="42"/>
      <c r="N823" s="42"/>
      <c r="O823" s="42"/>
      <c r="P823" s="42"/>
      <c r="Q823" s="42"/>
      <c r="R823" s="176"/>
      <c r="S823" s="42"/>
      <c r="T823" s="42"/>
      <c r="U823" s="46"/>
      <c r="V823" s="42"/>
      <c r="W823" s="42"/>
      <c r="X823" s="42"/>
      <c r="Y823" s="42"/>
      <c r="Z823" s="42"/>
      <c r="AA823" s="42"/>
      <c r="AB823" s="42"/>
      <c r="AC823" s="42"/>
      <c r="AD823" s="42"/>
      <c r="AE823" s="42"/>
      <c r="AF823" s="42"/>
    </row>
    <row r="824">
      <c r="A824" s="25"/>
      <c r="B824" s="297"/>
      <c r="C824" s="25"/>
      <c r="D824" s="25"/>
      <c r="E824" s="25"/>
      <c r="F824" s="25"/>
      <c r="G824" s="123"/>
      <c r="H824" s="123"/>
      <c r="I824" s="25"/>
      <c r="J824" s="25"/>
      <c r="K824" s="367"/>
      <c r="L824" s="42"/>
      <c r="M824" s="42"/>
      <c r="N824" s="42"/>
      <c r="O824" s="42"/>
      <c r="P824" s="42"/>
      <c r="Q824" s="42"/>
      <c r="R824" s="176"/>
      <c r="S824" s="42"/>
      <c r="T824" s="42"/>
      <c r="U824" s="46"/>
      <c r="V824" s="42"/>
      <c r="W824" s="42"/>
      <c r="X824" s="42"/>
      <c r="Y824" s="42"/>
      <c r="Z824" s="42"/>
      <c r="AA824" s="42"/>
      <c r="AB824" s="42"/>
      <c r="AC824" s="42"/>
      <c r="AD824" s="42"/>
      <c r="AE824" s="42"/>
      <c r="AF824" s="42"/>
    </row>
    <row r="825">
      <c r="A825" s="25"/>
      <c r="B825" s="297"/>
      <c r="C825" s="25"/>
      <c r="D825" s="25"/>
      <c r="E825" s="25"/>
      <c r="F825" s="25"/>
      <c r="G825" s="123"/>
      <c r="H825" s="123"/>
      <c r="I825" s="25"/>
      <c r="J825" s="25"/>
      <c r="K825" s="367"/>
      <c r="L825" s="42"/>
      <c r="M825" s="42"/>
      <c r="N825" s="42"/>
      <c r="O825" s="42"/>
      <c r="P825" s="42"/>
      <c r="Q825" s="42"/>
      <c r="R825" s="176"/>
      <c r="S825" s="42"/>
      <c r="T825" s="42"/>
      <c r="U825" s="46"/>
      <c r="V825" s="42"/>
      <c r="W825" s="42"/>
      <c r="X825" s="42"/>
      <c r="Y825" s="42"/>
      <c r="Z825" s="42"/>
      <c r="AA825" s="42"/>
      <c r="AB825" s="42"/>
      <c r="AC825" s="42"/>
      <c r="AD825" s="42"/>
      <c r="AE825" s="42"/>
      <c r="AF825" s="42"/>
    </row>
    <row r="826">
      <c r="A826" s="25"/>
      <c r="B826" s="297"/>
      <c r="C826" s="25"/>
      <c r="D826" s="25"/>
      <c r="E826" s="25"/>
      <c r="F826" s="25"/>
      <c r="G826" s="123"/>
      <c r="H826" s="123"/>
      <c r="I826" s="25"/>
      <c r="J826" s="25"/>
      <c r="K826" s="367"/>
      <c r="L826" s="42"/>
      <c r="M826" s="42"/>
      <c r="N826" s="42"/>
      <c r="O826" s="42"/>
      <c r="P826" s="42"/>
      <c r="Q826" s="42"/>
      <c r="R826" s="176"/>
      <c r="S826" s="42"/>
      <c r="T826" s="42"/>
      <c r="U826" s="46"/>
      <c r="V826" s="42"/>
      <c r="W826" s="42"/>
      <c r="X826" s="42"/>
      <c r="Y826" s="42"/>
      <c r="Z826" s="42"/>
      <c r="AA826" s="42"/>
      <c r="AB826" s="42"/>
      <c r="AC826" s="42"/>
      <c r="AD826" s="42"/>
      <c r="AE826" s="42"/>
      <c r="AF826" s="42"/>
    </row>
    <row r="827">
      <c r="A827" s="25"/>
      <c r="B827" s="297"/>
      <c r="C827" s="25"/>
      <c r="D827" s="25"/>
      <c r="E827" s="25"/>
      <c r="F827" s="25"/>
      <c r="G827" s="123"/>
      <c r="H827" s="123"/>
      <c r="I827" s="25"/>
      <c r="J827" s="25"/>
      <c r="K827" s="367"/>
      <c r="L827" s="42"/>
      <c r="M827" s="42"/>
      <c r="N827" s="42"/>
      <c r="O827" s="42"/>
      <c r="P827" s="42"/>
      <c r="Q827" s="42"/>
      <c r="R827" s="176"/>
      <c r="S827" s="42"/>
      <c r="T827" s="42"/>
      <c r="U827" s="46"/>
      <c r="V827" s="42"/>
      <c r="W827" s="42"/>
      <c r="X827" s="42"/>
      <c r="Y827" s="42"/>
      <c r="Z827" s="42"/>
      <c r="AA827" s="42"/>
      <c r="AB827" s="42"/>
      <c r="AC827" s="42"/>
      <c r="AD827" s="42"/>
      <c r="AE827" s="42"/>
      <c r="AF827" s="42"/>
    </row>
    <row r="828">
      <c r="A828" s="25"/>
      <c r="B828" s="297"/>
      <c r="C828" s="25"/>
      <c r="D828" s="25"/>
      <c r="E828" s="25"/>
      <c r="F828" s="25"/>
      <c r="G828" s="123"/>
      <c r="H828" s="123"/>
      <c r="I828" s="25"/>
      <c r="J828" s="25"/>
      <c r="K828" s="367"/>
      <c r="L828" s="42"/>
      <c r="M828" s="42"/>
      <c r="N828" s="42"/>
      <c r="O828" s="42"/>
      <c r="P828" s="42"/>
      <c r="Q828" s="42"/>
      <c r="R828" s="176"/>
      <c r="S828" s="42"/>
      <c r="T828" s="42"/>
      <c r="U828" s="46"/>
      <c r="V828" s="42"/>
      <c r="W828" s="42"/>
      <c r="X828" s="42"/>
      <c r="Y828" s="42"/>
      <c r="Z828" s="42"/>
      <c r="AA828" s="42"/>
      <c r="AB828" s="42"/>
      <c r="AC828" s="42"/>
      <c r="AD828" s="42"/>
      <c r="AE828" s="42"/>
      <c r="AF828" s="42"/>
    </row>
    <row r="829">
      <c r="A829" s="25"/>
      <c r="B829" s="297"/>
      <c r="C829" s="25"/>
      <c r="D829" s="25"/>
      <c r="E829" s="25"/>
      <c r="F829" s="25"/>
      <c r="G829" s="123"/>
      <c r="H829" s="123"/>
      <c r="I829" s="25"/>
      <c r="J829" s="25"/>
      <c r="K829" s="367"/>
      <c r="L829" s="42"/>
      <c r="M829" s="42"/>
      <c r="N829" s="42"/>
      <c r="O829" s="42"/>
      <c r="P829" s="42"/>
      <c r="Q829" s="42"/>
      <c r="R829" s="176"/>
      <c r="S829" s="42"/>
      <c r="T829" s="42"/>
      <c r="U829" s="46"/>
      <c r="V829" s="42"/>
      <c r="W829" s="42"/>
      <c r="X829" s="42"/>
      <c r="Y829" s="42"/>
      <c r="Z829" s="42"/>
      <c r="AA829" s="42"/>
      <c r="AB829" s="42"/>
      <c r="AC829" s="42"/>
      <c r="AD829" s="42"/>
      <c r="AE829" s="42"/>
      <c r="AF829" s="42"/>
    </row>
    <row r="830">
      <c r="A830" s="25"/>
      <c r="B830" s="297"/>
      <c r="C830" s="25"/>
      <c r="D830" s="25"/>
      <c r="E830" s="25"/>
      <c r="F830" s="25"/>
      <c r="G830" s="123"/>
      <c r="H830" s="123"/>
      <c r="I830" s="25"/>
      <c r="J830" s="25"/>
      <c r="K830" s="367"/>
      <c r="L830" s="42"/>
      <c r="M830" s="42"/>
      <c r="N830" s="42"/>
      <c r="O830" s="42"/>
      <c r="P830" s="42"/>
      <c r="Q830" s="42"/>
      <c r="R830" s="176"/>
      <c r="S830" s="42"/>
      <c r="T830" s="42"/>
      <c r="U830" s="46"/>
      <c r="V830" s="42"/>
      <c r="W830" s="42"/>
      <c r="X830" s="42"/>
      <c r="Y830" s="42"/>
      <c r="Z830" s="42"/>
      <c r="AA830" s="42"/>
      <c r="AB830" s="42"/>
      <c r="AC830" s="42"/>
      <c r="AD830" s="42"/>
      <c r="AE830" s="42"/>
      <c r="AF830" s="42"/>
    </row>
    <row r="831">
      <c r="A831" s="25"/>
      <c r="B831" s="297"/>
      <c r="C831" s="25"/>
      <c r="D831" s="25"/>
      <c r="E831" s="25"/>
      <c r="F831" s="25"/>
      <c r="G831" s="123"/>
      <c r="H831" s="123"/>
      <c r="I831" s="25"/>
      <c r="J831" s="25"/>
      <c r="K831" s="367"/>
      <c r="L831" s="42"/>
      <c r="M831" s="42"/>
      <c r="N831" s="42"/>
      <c r="O831" s="42"/>
      <c r="P831" s="42"/>
      <c r="Q831" s="42"/>
      <c r="R831" s="176"/>
      <c r="S831" s="42"/>
      <c r="T831" s="42"/>
      <c r="U831" s="46"/>
      <c r="V831" s="42"/>
      <c r="W831" s="42"/>
      <c r="X831" s="42"/>
      <c r="Y831" s="42"/>
      <c r="Z831" s="42"/>
      <c r="AA831" s="42"/>
      <c r="AB831" s="42"/>
      <c r="AC831" s="42"/>
      <c r="AD831" s="42"/>
      <c r="AE831" s="42"/>
      <c r="AF831" s="42"/>
    </row>
    <row r="832">
      <c r="A832" s="25"/>
      <c r="B832" s="297"/>
      <c r="C832" s="25"/>
      <c r="D832" s="25"/>
      <c r="E832" s="25"/>
      <c r="F832" s="25"/>
      <c r="G832" s="123"/>
      <c r="H832" s="123"/>
      <c r="I832" s="25"/>
      <c r="J832" s="25"/>
      <c r="K832" s="367"/>
      <c r="L832" s="42"/>
      <c r="M832" s="42"/>
      <c r="N832" s="42"/>
      <c r="O832" s="42"/>
      <c r="P832" s="42"/>
      <c r="Q832" s="42"/>
      <c r="R832" s="176"/>
      <c r="S832" s="42"/>
      <c r="T832" s="42"/>
      <c r="U832" s="46"/>
      <c r="V832" s="42"/>
      <c r="W832" s="42"/>
      <c r="X832" s="42"/>
      <c r="Y832" s="42"/>
      <c r="Z832" s="42"/>
      <c r="AA832" s="42"/>
      <c r="AB832" s="42"/>
      <c r="AC832" s="42"/>
      <c r="AD832" s="42"/>
      <c r="AE832" s="42"/>
      <c r="AF832" s="42"/>
    </row>
    <row r="833">
      <c r="A833" s="25"/>
      <c r="B833" s="297"/>
      <c r="C833" s="25"/>
      <c r="D833" s="25"/>
      <c r="E833" s="25"/>
      <c r="F833" s="25"/>
      <c r="G833" s="123"/>
      <c r="H833" s="123"/>
      <c r="I833" s="25"/>
      <c r="J833" s="25"/>
      <c r="K833" s="367"/>
      <c r="L833" s="42"/>
      <c r="M833" s="42"/>
      <c r="N833" s="42"/>
      <c r="O833" s="42"/>
      <c r="P833" s="42"/>
      <c r="Q833" s="42"/>
      <c r="R833" s="176"/>
      <c r="S833" s="42"/>
      <c r="T833" s="42"/>
      <c r="U833" s="46"/>
      <c r="V833" s="42"/>
      <c r="W833" s="42"/>
      <c r="X833" s="42"/>
      <c r="Y833" s="42"/>
      <c r="Z833" s="42"/>
      <c r="AA833" s="42"/>
      <c r="AB833" s="42"/>
      <c r="AC833" s="42"/>
      <c r="AD833" s="42"/>
      <c r="AE833" s="42"/>
      <c r="AF833" s="42"/>
    </row>
    <row r="834">
      <c r="A834" s="25"/>
      <c r="B834" s="297"/>
      <c r="C834" s="25"/>
      <c r="D834" s="25"/>
      <c r="E834" s="25"/>
      <c r="F834" s="25"/>
      <c r="G834" s="123"/>
      <c r="H834" s="123"/>
      <c r="I834" s="25"/>
      <c r="J834" s="25"/>
      <c r="K834" s="367"/>
      <c r="L834" s="42"/>
      <c r="M834" s="42"/>
      <c r="N834" s="42"/>
      <c r="O834" s="42"/>
      <c r="P834" s="42"/>
      <c r="Q834" s="42"/>
      <c r="R834" s="176"/>
      <c r="S834" s="42"/>
      <c r="T834" s="42"/>
      <c r="U834" s="46"/>
      <c r="V834" s="42"/>
      <c r="W834" s="42"/>
      <c r="X834" s="42"/>
      <c r="Y834" s="42"/>
      <c r="Z834" s="42"/>
      <c r="AA834" s="42"/>
      <c r="AB834" s="42"/>
      <c r="AC834" s="42"/>
      <c r="AD834" s="42"/>
      <c r="AE834" s="42"/>
      <c r="AF834" s="42"/>
    </row>
    <row r="835">
      <c r="A835" s="25"/>
      <c r="B835" s="297"/>
      <c r="C835" s="25"/>
      <c r="D835" s="25"/>
      <c r="E835" s="25"/>
      <c r="F835" s="25"/>
      <c r="G835" s="123"/>
      <c r="H835" s="123"/>
      <c r="I835" s="25"/>
      <c r="J835" s="25"/>
      <c r="K835" s="367"/>
      <c r="L835" s="42"/>
      <c r="M835" s="42"/>
      <c r="N835" s="42"/>
      <c r="O835" s="42"/>
      <c r="P835" s="42"/>
      <c r="Q835" s="42"/>
      <c r="R835" s="176"/>
      <c r="S835" s="42"/>
      <c r="T835" s="42"/>
      <c r="U835" s="46"/>
      <c r="V835" s="42"/>
      <c r="W835" s="42"/>
      <c r="X835" s="42"/>
      <c r="Y835" s="42"/>
      <c r="Z835" s="42"/>
      <c r="AA835" s="42"/>
      <c r="AB835" s="42"/>
      <c r="AC835" s="42"/>
      <c r="AD835" s="42"/>
      <c r="AE835" s="42"/>
      <c r="AF835" s="42"/>
    </row>
    <row r="836">
      <c r="A836" s="25"/>
      <c r="B836" s="297"/>
      <c r="C836" s="25"/>
      <c r="D836" s="25"/>
      <c r="E836" s="25"/>
      <c r="F836" s="25"/>
      <c r="G836" s="123"/>
      <c r="H836" s="123"/>
      <c r="I836" s="25"/>
      <c r="J836" s="25"/>
      <c r="K836" s="367"/>
      <c r="L836" s="42"/>
      <c r="M836" s="42"/>
      <c r="N836" s="42"/>
      <c r="O836" s="42"/>
      <c r="P836" s="42"/>
      <c r="Q836" s="42"/>
      <c r="R836" s="176"/>
      <c r="S836" s="42"/>
      <c r="T836" s="42"/>
      <c r="U836" s="46"/>
      <c r="V836" s="42"/>
      <c r="W836" s="42"/>
      <c r="X836" s="42"/>
      <c r="Y836" s="42"/>
      <c r="Z836" s="42"/>
      <c r="AA836" s="42"/>
      <c r="AB836" s="42"/>
      <c r="AC836" s="42"/>
      <c r="AD836" s="42"/>
      <c r="AE836" s="42"/>
      <c r="AF836" s="42"/>
    </row>
    <row r="837">
      <c r="A837" s="25"/>
      <c r="B837" s="297"/>
      <c r="C837" s="25"/>
      <c r="D837" s="25"/>
      <c r="E837" s="25"/>
      <c r="F837" s="25"/>
      <c r="G837" s="123"/>
      <c r="H837" s="123"/>
      <c r="I837" s="25"/>
      <c r="J837" s="25"/>
      <c r="K837" s="367"/>
      <c r="L837" s="42"/>
      <c r="M837" s="42"/>
      <c r="N837" s="42"/>
      <c r="O837" s="42"/>
      <c r="P837" s="42"/>
      <c r="Q837" s="42"/>
      <c r="R837" s="176"/>
      <c r="S837" s="42"/>
      <c r="T837" s="42"/>
      <c r="U837" s="46"/>
      <c r="V837" s="42"/>
      <c r="W837" s="42"/>
      <c r="X837" s="42"/>
      <c r="Y837" s="42"/>
      <c r="Z837" s="42"/>
      <c r="AA837" s="42"/>
      <c r="AB837" s="42"/>
      <c r="AC837" s="42"/>
      <c r="AD837" s="42"/>
      <c r="AE837" s="42"/>
      <c r="AF837" s="42"/>
    </row>
    <row r="838">
      <c r="A838" s="25"/>
      <c r="B838" s="297"/>
      <c r="C838" s="25"/>
      <c r="D838" s="25"/>
      <c r="E838" s="25"/>
      <c r="F838" s="25"/>
      <c r="G838" s="123"/>
      <c r="H838" s="123"/>
      <c r="I838" s="25"/>
      <c r="J838" s="25"/>
      <c r="K838" s="367"/>
      <c r="L838" s="42"/>
      <c r="M838" s="42"/>
      <c r="N838" s="42"/>
      <c r="O838" s="42"/>
      <c r="P838" s="42"/>
      <c r="Q838" s="42"/>
      <c r="R838" s="176"/>
      <c r="S838" s="42"/>
      <c r="T838" s="42"/>
      <c r="U838" s="46"/>
      <c r="V838" s="42"/>
      <c r="W838" s="42"/>
      <c r="X838" s="42"/>
      <c r="Y838" s="42"/>
      <c r="Z838" s="42"/>
      <c r="AA838" s="42"/>
      <c r="AB838" s="42"/>
      <c r="AC838" s="42"/>
      <c r="AD838" s="42"/>
      <c r="AE838" s="42"/>
      <c r="AF838" s="42"/>
    </row>
    <row r="839">
      <c r="A839" s="25"/>
      <c r="B839" s="297"/>
      <c r="C839" s="25"/>
      <c r="D839" s="25"/>
      <c r="E839" s="25"/>
      <c r="F839" s="25"/>
      <c r="G839" s="123"/>
      <c r="H839" s="123"/>
      <c r="I839" s="25"/>
      <c r="J839" s="25"/>
      <c r="K839" s="367"/>
      <c r="L839" s="42"/>
      <c r="M839" s="42"/>
      <c r="N839" s="42"/>
      <c r="O839" s="42"/>
      <c r="P839" s="42"/>
      <c r="Q839" s="42"/>
      <c r="R839" s="176"/>
      <c r="S839" s="42"/>
      <c r="T839" s="42"/>
      <c r="U839" s="46"/>
      <c r="V839" s="42"/>
      <c r="W839" s="42"/>
      <c r="X839" s="42"/>
      <c r="Y839" s="42"/>
      <c r="Z839" s="42"/>
      <c r="AA839" s="42"/>
      <c r="AB839" s="42"/>
      <c r="AC839" s="42"/>
      <c r="AD839" s="42"/>
      <c r="AE839" s="42"/>
      <c r="AF839" s="42"/>
    </row>
    <row r="840">
      <c r="A840" s="25"/>
      <c r="B840" s="297"/>
      <c r="C840" s="25"/>
      <c r="D840" s="25"/>
      <c r="E840" s="25"/>
      <c r="F840" s="25"/>
      <c r="G840" s="123"/>
      <c r="H840" s="123"/>
      <c r="I840" s="25"/>
      <c r="J840" s="25"/>
      <c r="K840" s="367"/>
      <c r="L840" s="42"/>
      <c r="M840" s="42"/>
      <c r="N840" s="42"/>
      <c r="O840" s="42"/>
      <c r="P840" s="42"/>
      <c r="Q840" s="42"/>
      <c r="R840" s="176"/>
      <c r="S840" s="42"/>
      <c r="T840" s="42"/>
      <c r="U840" s="46"/>
      <c r="V840" s="42"/>
      <c r="W840" s="42"/>
      <c r="X840" s="42"/>
      <c r="Y840" s="42"/>
      <c r="Z840" s="42"/>
      <c r="AA840" s="42"/>
      <c r="AB840" s="42"/>
      <c r="AC840" s="42"/>
      <c r="AD840" s="42"/>
      <c r="AE840" s="42"/>
      <c r="AF840" s="42"/>
    </row>
    <row r="841">
      <c r="A841" s="25"/>
      <c r="B841" s="297"/>
      <c r="C841" s="25"/>
      <c r="D841" s="25"/>
      <c r="E841" s="25"/>
      <c r="F841" s="25"/>
      <c r="G841" s="123"/>
      <c r="H841" s="123"/>
      <c r="I841" s="25"/>
      <c r="J841" s="25"/>
      <c r="K841" s="367"/>
      <c r="L841" s="42"/>
      <c r="M841" s="42"/>
      <c r="N841" s="42"/>
      <c r="O841" s="42"/>
      <c r="P841" s="42"/>
      <c r="Q841" s="42"/>
      <c r="R841" s="176"/>
      <c r="S841" s="42"/>
      <c r="T841" s="42"/>
      <c r="U841" s="46"/>
      <c r="V841" s="42"/>
      <c r="W841" s="42"/>
      <c r="X841" s="42"/>
      <c r="Y841" s="42"/>
      <c r="Z841" s="42"/>
      <c r="AA841" s="42"/>
      <c r="AB841" s="42"/>
      <c r="AC841" s="42"/>
      <c r="AD841" s="42"/>
      <c r="AE841" s="42"/>
      <c r="AF841" s="42"/>
    </row>
    <row r="842">
      <c r="A842" s="25"/>
      <c r="B842" s="297"/>
      <c r="C842" s="25"/>
      <c r="D842" s="25"/>
      <c r="E842" s="25"/>
      <c r="F842" s="25"/>
      <c r="G842" s="123"/>
      <c r="H842" s="123"/>
      <c r="I842" s="25"/>
      <c r="J842" s="25"/>
      <c r="K842" s="367"/>
      <c r="L842" s="42"/>
      <c r="M842" s="42"/>
      <c r="N842" s="42"/>
      <c r="O842" s="42"/>
      <c r="P842" s="42"/>
      <c r="Q842" s="42"/>
      <c r="R842" s="176"/>
      <c r="S842" s="42"/>
      <c r="T842" s="42"/>
      <c r="U842" s="46"/>
      <c r="V842" s="42"/>
      <c r="W842" s="42"/>
      <c r="X842" s="42"/>
      <c r="Y842" s="42"/>
      <c r="Z842" s="42"/>
      <c r="AA842" s="42"/>
      <c r="AB842" s="42"/>
      <c r="AC842" s="42"/>
      <c r="AD842" s="42"/>
      <c r="AE842" s="42"/>
      <c r="AF842" s="42"/>
    </row>
    <row r="843">
      <c r="A843" s="25"/>
      <c r="B843" s="297"/>
      <c r="C843" s="25"/>
      <c r="D843" s="25"/>
      <c r="E843" s="25"/>
      <c r="F843" s="25"/>
      <c r="G843" s="123"/>
      <c r="H843" s="123"/>
      <c r="I843" s="25"/>
      <c r="J843" s="25"/>
      <c r="K843" s="367"/>
      <c r="L843" s="42"/>
      <c r="M843" s="42"/>
      <c r="N843" s="42"/>
      <c r="O843" s="42"/>
      <c r="P843" s="42"/>
      <c r="Q843" s="42"/>
      <c r="R843" s="176"/>
      <c r="S843" s="42"/>
      <c r="T843" s="42"/>
      <c r="U843" s="46"/>
      <c r="V843" s="42"/>
      <c r="W843" s="42"/>
      <c r="X843" s="42"/>
      <c r="Y843" s="42"/>
      <c r="Z843" s="42"/>
      <c r="AA843" s="42"/>
      <c r="AB843" s="42"/>
      <c r="AC843" s="42"/>
      <c r="AD843" s="42"/>
      <c r="AE843" s="42"/>
      <c r="AF843" s="42"/>
    </row>
    <row r="844">
      <c r="A844" s="25"/>
      <c r="B844" s="297"/>
      <c r="C844" s="25"/>
      <c r="D844" s="25"/>
      <c r="E844" s="25"/>
      <c r="F844" s="25"/>
      <c r="G844" s="123"/>
      <c r="H844" s="123"/>
      <c r="I844" s="25"/>
      <c r="J844" s="25"/>
      <c r="K844" s="367"/>
      <c r="L844" s="42"/>
      <c r="M844" s="42"/>
      <c r="N844" s="42"/>
      <c r="O844" s="42"/>
      <c r="P844" s="42"/>
      <c r="Q844" s="42"/>
      <c r="R844" s="176"/>
      <c r="S844" s="42"/>
      <c r="T844" s="42"/>
      <c r="U844" s="46"/>
      <c r="V844" s="42"/>
      <c r="W844" s="42"/>
      <c r="X844" s="42"/>
      <c r="Y844" s="42"/>
      <c r="Z844" s="42"/>
      <c r="AA844" s="42"/>
      <c r="AB844" s="42"/>
      <c r="AC844" s="42"/>
      <c r="AD844" s="42"/>
      <c r="AE844" s="42"/>
      <c r="AF844" s="42"/>
    </row>
    <row r="845">
      <c r="A845" s="25"/>
      <c r="B845" s="297"/>
      <c r="C845" s="25"/>
      <c r="D845" s="25"/>
      <c r="E845" s="25"/>
      <c r="F845" s="25"/>
      <c r="G845" s="123"/>
      <c r="H845" s="123"/>
      <c r="I845" s="25"/>
      <c r="J845" s="25"/>
      <c r="K845" s="367"/>
      <c r="L845" s="42"/>
      <c r="M845" s="42"/>
      <c r="N845" s="42"/>
      <c r="O845" s="42"/>
      <c r="P845" s="42"/>
      <c r="Q845" s="42"/>
      <c r="R845" s="176"/>
      <c r="S845" s="42"/>
      <c r="T845" s="42"/>
      <c r="U845" s="46"/>
      <c r="V845" s="42"/>
      <c r="W845" s="42"/>
      <c r="X845" s="42"/>
      <c r="Y845" s="42"/>
      <c r="Z845" s="42"/>
      <c r="AA845" s="42"/>
      <c r="AB845" s="42"/>
      <c r="AC845" s="42"/>
      <c r="AD845" s="42"/>
      <c r="AE845" s="42"/>
      <c r="AF845" s="42"/>
    </row>
    <row r="846">
      <c r="A846" s="25"/>
      <c r="B846" s="297"/>
      <c r="C846" s="25"/>
      <c r="D846" s="25"/>
      <c r="E846" s="25"/>
      <c r="F846" s="25"/>
      <c r="G846" s="123"/>
      <c r="H846" s="123"/>
      <c r="I846" s="25"/>
      <c r="J846" s="25"/>
      <c r="K846" s="367"/>
      <c r="L846" s="42"/>
      <c r="M846" s="42"/>
      <c r="N846" s="42"/>
      <c r="O846" s="42"/>
      <c r="P846" s="42"/>
      <c r="Q846" s="42"/>
      <c r="R846" s="176"/>
      <c r="S846" s="42"/>
      <c r="T846" s="42"/>
      <c r="U846" s="46"/>
      <c r="V846" s="42"/>
      <c r="W846" s="42"/>
      <c r="X846" s="42"/>
      <c r="Y846" s="42"/>
      <c r="Z846" s="42"/>
      <c r="AA846" s="42"/>
      <c r="AB846" s="42"/>
      <c r="AC846" s="42"/>
      <c r="AD846" s="42"/>
      <c r="AE846" s="42"/>
      <c r="AF846" s="42"/>
    </row>
    <row r="847">
      <c r="A847" s="25"/>
      <c r="B847" s="297"/>
      <c r="C847" s="25"/>
      <c r="D847" s="25"/>
      <c r="E847" s="25"/>
      <c r="F847" s="25"/>
      <c r="G847" s="123"/>
      <c r="H847" s="123"/>
      <c r="I847" s="25"/>
      <c r="J847" s="25"/>
      <c r="K847" s="367"/>
      <c r="L847" s="42"/>
      <c r="M847" s="42"/>
      <c r="N847" s="42"/>
      <c r="O847" s="42"/>
      <c r="P847" s="42"/>
      <c r="Q847" s="42"/>
      <c r="R847" s="176"/>
      <c r="S847" s="42"/>
      <c r="T847" s="42"/>
      <c r="U847" s="46"/>
      <c r="V847" s="42"/>
      <c r="W847" s="42"/>
      <c r="X847" s="42"/>
      <c r="Y847" s="42"/>
      <c r="Z847" s="42"/>
      <c r="AA847" s="42"/>
      <c r="AB847" s="42"/>
      <c r="AC847" s="42"/>
      <c r="AD847" s="42"/>
      <c r="AE847" s="42"/>
      <c r="AF847" s="42"/>
    </row>
    <row r="848">
      <c r="A848" s="25"/>
      <c r="B848" s="297"/>
      <c r="C848" s="25"/>
      <c r="D848" s="25"/>
      <c r="E848" s="25"/>
      <c r="F848" s="25"/>
      <c r="G848" s="123"/>
      <c r="H848" s="123"/>
      <c r="I848" s="25"/>
      <c r="J848" s="25"/>
      <c r="K848" s="367"/>
      <c r="L848" s="42"/>
      <c r="M848" s="42"/>
      <c r="N848" s="42"/>
      <c r="O848" s="42"/>
      <c r="P848" s="42"/>
      <c r="Q848" s="42"/>
      <c r="R848" s="176"/>
      <c r="S848" s="42"/>
      <c r="T848" s="42"/>
      <c r="U848" s="46"/>
      <c r="V848" s="42"/>
      <c r="W848" s="42"/>
      <c r="X848" s="42"/>
      <c r="Y848" s="42"/>
      <c r="Z848" s="42"/>
      <c r="AA848" s="42"/>
      <c r="AB848" s="42"/>
      <c r="AC848" s="42"/>
      <c r="AD848" s="42"/>
      <c r="AE848" s="42"/>
      <c r="AF848" s="42"/>
    </row>
    <row r="849">
      <c r="A849" s="25"/>
      <c r="B849" s="297"/>
      <c r="C849" s="25"/>
      <c r="D849" s="25"/>
      <c r="E849" s="25"/>
      <c r="F849" s="25"/>
      <c r="G849" s="123"/>
      <c r="H849" s="123"/>
      <c r="I849" s="25"/>
      <c r="J849" s="25"/>
      <c r="K849" s="367"/>
      <c r="L849" s="42"/>
      <c r="M849" s="42"/>
      <c r="N849" s="42"/>
      <c r="O849" s="42"/>
      <c r="P849" s="42"/>
      <c r="Q849" s="42"/>
      <c r="R849" s="176"/>
      <c r="S849" s="42"/>
      <c r="T849" s="42"/>
      <c r="U849" s="46"/>
      <c r="V849" s="42"/>
      <c r="W849" s="42"/>
      <c r="X849" s="42"/>
      <c r="Y849" s="42"/>
      <c r="Z849" s="42"/>
      <c r="AA849" s="42"/>
      <c r="AB849" s="42"/>
      <c r="AC849" s="42"/>
      <c r="AD849" s="42"/>
      <c r="AE849" s="42"/>
      <c r="AF849" s="42"/>
    </row>
    <row r="850">
      <c r="A850" s="25"/>
      <c r="B850" s="297"/>
      <c r="C850" s="25"/>
      <c r="D850" s="25"/>
      <c r="E850" s="25"/>
      <c r="F850" s="25"/>
      <c r="G850" s="123"/>
      <c r="H850" s="123"/>
      <c r="I850" s="25"/>
      <c r="J850" s="25"/>
      <c r="K850" s="367"/>
      <c r="L850" s="42"/>
      <c r="M850" s="42"/>
      <c r="N850" s="42"/>
      <c r="O850" s="42"/>
      <c r="P850" s="42"/>
      <c r="Q850" s="42"/>
      <c r="R850" s="176"/>
      <c r="S850" s="42"/>
      <c r="T850" s="42"/>
      <c r="U850" s="46"/>
      <c r="V850" s="42"/>
      <c r="W850" s="42"/>
      <c r="X850" s="42"/>
      <c r="Y850" s="42"/>
      <c r="Z850" s="42"/>
      <c r="AA850" s="42"/>
      <c r="AB850" s="42"/>
      <c r="AC850" s="42"/>
      <c r="AD850" s="42"/>
      <c r="AE850" s="42"/>
      <c r="AF850" s="42"/>
    </row>
    <row r="851">
      <c r="A851" s="25"/>
      <c r="B851" s="297"/>
      <c r="C851" s="25"/>
      <c r="D851" s="25"/>
      <c r="E851" s="25"/>
      <c r="F851" s="25"/>
      <c r="G851" s="123"/>
      <c r="H851" s="123"/>
      <c r="I851" s="25"/>
      <c r="J851" s="25"/>
      <c r="K851" s="367"/>
      <c r="L851" s="42"/>
      <c r="M851" s="42"/>
      <c r="N851" s="42"/>
      <c r="O851" s="42"/>
      <c r="P851" s="42"/>
      <c r="Q851" s="42"/>
      <c r="R851" s="176"/>
      <c r="S851" s="42"/>
      <c r="T851" s="42"/>
      <c r="U851" s="46"/>
      <c r="V851" s="42"/>
      <c r="W851" s="42"/>
      <c r="X851" s="42"/>
      <c r="Y851" s="42"/>
      <c r="Z851" s="42"/>
      <c r="AA851" s="42"/>
      <c r="AB851" s="42"/>
      <c r="AC851" s="42"/>
      <c r="AD851" s="42"/>
      <c r="AE851" s="42"/>
      <c r="AF851" s="42"/>
    </row>
    <row r="852">
      <c r="A852" s="25"/>
      <c r="B852" s="297"/>
      <c r="C852" s="25"/>
      <c r="D852" s="25"/>
      <c r="E852" s="25"/>
      <c r="F852" s="25"/>
      <c r="G852" s="123"/>
      <c r="H852" s="123"/>
      <c r="I852" s="25"/>
      <c r="J852" s="25"/>
      <c r="K852" s="367"/>
      <c r="L852" s="42"/>
      <c r="M852" s="42"/>
      <c r="N852" s="42"/>
      <c r="O852" s="42"/>
      <c r="P852" s="42"/>
      <c r="Q852" s="42"/>
      <c r="R852" s="176"/>
      <c r="S852" s="42"/>
      <c r="T852" s="42"/>
      <c r="U852" s="46"/>
      <c r="V852" s="42"/>
      <c r="W852" s="42"/>
      <c r="X852" s="42"/>
      <c r="Y852" s="42"/>
      <c r="Z852" s="42"/>
      <c r="AA852" s="42"/>
      <c r="AB852" s="42"/>
      <c r="AC852" s="42"/>
      <c r="AD852" s="42"/>
      <c r="AE852" s="42"/>
      <c r="AF852" s="42"/>
    </row>
    <row r="853">
      <c r="A853" s="25"/>
      <c r="B853" s="297"/>
      <c r="C853" s="25"/>
      <c r="D853" s="25"/>
      <c r="E853" s="25"/>
      <c r="F853" s="25"/>
      <c r="G853" s="123"/>
      <c r="H853" s="123"/>
      <c r="I853" s="25"/>
      <c r="J853" s="25"/>
      <c r="K853" s="367"/>
      <c r="L853" s="42"/>
      <c r="M853" s="42"/>
      <c r="N853" s="42"/>
      <c r="O853" s="42"/>
      <c r="P853" s="42"/>
      <c r="Q853" s="42"/>
      <c r="R853" s="176"/>
      <c r="S853" s="42"/>
      <c r="T853" s="42"/>
      <c r="U853" s="46"/>
      <c r="V853" s="42"/>
      <c r="W853" s="42"/>
      <c r="X853" s="42"/>
      <c r="Y853" s="42"/>
      <c r="Z853" s="42"/>
      <c r="AA853" s="42"/>
      <c r="AB853" s="42"/>
      <c r="AC853" s="42"/>
      <c r="AD853" s="42"/>
      <c r="AE853" s="42"/>
      <c r="AF853" s="42"/>
    </row>
    <row r="854">
      <c r="A854" s="25"/>
      <c r="B854" s="297"/>
      <c r="C854" s="25"/>
      <c r="D854" s="25"/>
      <c r="E854" s="25"/>
      <c r="F854" s="25"/>
      <c r="G854" s="123"/>
      <c r="H854" s="123"/>
      <c r="I854" s="25"/>
      <c r="J854" s="25"/>
      <c r="K854" s="367"/>
      <c r="L854" s="42"/>
      <c r="M854" s="42"/>
      <c r="N854" s="42"/>
      <c r="O854" s="42"/>
      <c r="P854" s="42"/>
      <c r="Q854" s="42"/>
      <c r="R854" s="176"/>
      <c r="S854" s="42"/>
      <c r="T854" s="42"/>
      <c r="U854" s="46"/>
      <c r="V854" s="42"/>
      <c r="W854" s="42"/>
      <c r="X854" s="42"/>
      <c r="Y854" s="42"/>
      <c r="Z854" s="42"/>
      <c r="AA854" s="42"/>
      <c r="AB854" s="42"/>
      <c r="AC854" s="42"/>
      <c r="AD854" s="42"/>
      <c r="AE854" s="42"/>
      <c r="AF854" s="42"/>
    </row>
    <row r="855">
      <c r="A855" s="25"/>
      <c r="B855" s="297"/>
      <c r="C855" s="25"/>
      <c r="D855" s="25"/>
      <c r="E855" s="25"/>
      <c r="F855" s="25"/>
      <c r="G855" s="123"/>
      <c r="H855" s="123"/>
      <c r="I855" s="25"/>
      <c r="J855" s="25"/>
      <c r="K855" s="367"/>
      <c r="L855" s="42"/>
      <c r="M855" s="42"/>
      <c r="N855" s="42"/>
      <c r="O855" s="42"/>
      <c r="P855" s="42"/>
      <c r="Q855" s="42"/>
      <c r="R855" s="176"/>
      <c r="S855" s="42"/>
      <c r="T855" s="42"/>
      <c r="U855" s="46"/>
      <c r="V855" s="42"/>
      <c r="W855" s="42"/>
      <c r="X855" s="42"/>
      <c r="Y855" s="42"/>
      <c r="Z855" s="42"/>
      <c r="AA855" s="42"/>
      <c r="AB855" s="42"/>
      <c r="AC855" s="42"/>
      <c r="AD855" s="42"/>
      <c r="AE855" s="42"/>
      <c r="AF855" s="42"/>
    </row>
    <row r="856">
      <c r="A856" s="25"/>
      <c r="B856" s="297"/>
      <c r="C856" s="25"/>
      <c r="D856" s="25"/>
      <c r="E856" s="25"/>
      <c r="F856" s="25"/>
      <c r="G856" s="123"/>
      <c r="H856" s="123"/>
      <c r="I856" s="25"/>
      <c r="J856" s="25"/>
      <c r="K856" s="367"/>
      <c r="L856" s="42"/>
      <c r="M856" s="42"/>
      <c r="N856" s="42"/>
      <c r="O856" s="42"/>
      <c r="P856" s="42"/>
      <c r="Q856" s="42"/>
      <c r="R856" s="176"/>
      <c r="S856" s="42"/>
      <c r="T856" s="42"/>
      <c r="U856" s="46"/>
      <c r="V856" s="42"/>
      <c r="W856" s="42"/>
      <c r="X856" s="42"/>
      <c r="Y856" s="42"/>
      <c r="Z856" s="42"/>
      <c r="AA856" s="42"/>
      <c r="AB856" s="42"/>
      <c r="AC856" s="42"/>
      <c r="AD856" s="42"/>
      <c r="AE856" s="42"/>
      <c r="AF856" s="42"/>
    </row>
    <row r="857">
      <c r="A857" s="25"/>
      <c r="B857" s="297"/>
      <c r="C857" s="25"/>
      <c r="D857" s="25"/>
      <c r="E857" s="25"/>
      <c r="F857" s="25"/>
      <c r="G857" s="123"/>
      <c r="H857" s="123"/>
      <c r="I857" s="25"/>
      <c r="J857" s="25"/>
      <c r="K857" s="367"/>
      <c r="L857" s="42"/>
      <c r="M857" s="42"/>
      <c r="N857" s="42"/>
      <c r="O857" s="42"/>
      <c r="P857" s="42"/>
      <c r="Q857" s="42"/>
      <c r="R857" s="176"/>
      <c r="S857" s="42"/>
      <c r="T857" s="42"/>
      <c r="U857" s="46"/>
      <c r="V857" s="42"/>
      <c r="W857" s="42"/>
      <c r="X857" s="42"/>
      <c r="Y857" s="42"/>
      <c r="Z857" s="42"/>
      <c r="AA857" s="42"/>
      <c r="AB857" s="42"/>
      <c r="AC857" s="42"/>
      <c r="AD857" s="42"/>
      <c r="AE857" s="42"/>
      <c r="AF857" s="42"/>
    </row>
    <row r="858">
      <c r="A858" s="25"/>
      <c r="B858" s="297"/>
      <c r="C858" s="25"/>
      <c r="D858" s="25"/>
      <c r="E858" s="25"/>
      <c r="F858" s="25"/>
      <c r="G858" s="123"/>
      <c r="H858" s="123"/>
      <c r="I858" s="25"/>
      <c r="J858" s="25"/>
      <c r="K858" s="367"/>
      <c r="L858" s="42"/>
      <c r="M858" s="42"/>
      <c r="N858" s="42"/>
      <c r="O858" s="42"/>
      <c r="P858" s="42"/>
      <c r="Q858" s="42"/>
      <c r="R858" s="176"/>
      <c r="S858" s="42"/>
      <c r="T858" s="42"/>
      <c r="U858" s="46"/>
      <c r="V858" s="42"/>
      <c r="W858" s="42"/>
      <c r="X858" s="42"/>
      <c r="Y858" s="42"/>
      <c r="Z858" s="42"/>
      <c r="AA858" s="42"/>
      <c r="AB858" s="42"/>
      <c r="AC858" s="42"/>
      <c r="AD858" s="42"/>
      <c r="AE858" s="42"/>
      <c r="AF858" s="42"/>
    </row>
    <row r="859">
      <c r="A859" s="25"/>
      <c r="B859" s="297"/>
      <c r="C859" s="25"/>
      <c r="D859" s="25"/>
      <c r="E859" s="25"/>
      <c r="F859" s="25"/>
      <c r="G859" s="123"/>
      <c r="H859" s="123"/>
      <c r="I859" s="25"/>
      <c r="J859" s="25"/>
      <c r="K859" s="367"/>
      <c r="L859" s="42"/>
      <c r="M859" s="42"/>
      <c r="N859" s="42"/>
      <c r="O859" s="42"/>
      <c r="P859" s="42"/>
      <c r="Q859" s="42"/>
      <c r="R859" s="176"/>
      <c r="S859" s="42"/>
      <c r="T859" s="42"/>
      <c r="U859" s="46"/>
      <c r="V859" s="42"/>
      <c r="W859" s="42"/>
      <c r="X859" s="42"/>
      <c r="Y859" s="42"/>
      <c r="Z859" s="42"/>
      <c r="AA859" s="42"/>
      <c r="AB859" s="42"/>
      <c r="AC859" s="42"/>
      <c r="AD859" s="42"/>
      <c r="AE859" s="42"/>
      <c r="AF859" s="42"/>
    </row>
    <row r="860">
      <c r="A860" s="25"/>
      <c r="B860" s="297"/>
      <c r="C860" s="25"/>
      <c r="D860" s="25"/>
      <c r="E860" s="25"/>
      <c r="F860" s="25"/>
      <c r="G860" s="123"/>
      <c r="H860" s="123"/>
      <c r="I860" s="25"/>
      <c r="J860" s="25"/>
      <c r="K860" s="367"/>
      <c r="L860" s="42"/>
      <c r="M860" s="42"/>
      <c r="N860" s="42"/>
      <c r="O860" s="42"/>
      <c r="P860" s="42"/>
      <c r="Q860" s="42"/>
      <c r="R860" s="176"/>
      <c r="S860" s="42"/>
      <c r="T860" s="42"/>
      <c r="U860" s="46"/>
      <c r="V860" s="42"/>
      <c r="W860" s="42"/>
      <c r="X860" s="42"/>
      <c r="Y860" s="42"/>
      <c r="Z860" s="42"/>
      <c r="AA860" s="42"/>
      <c r="AB860" s="42"/>
      <c r="AC860" s="42"/>
      <c r="AD860" s="42"/>
      <c r="AE860" s="42"/>
      <c r="AF860" s="42"/>
    </row>
    <row r="861">
      <c r="A861" s="25"/>
      <c r="B861" s="297"/>
      <c r="C861" s="25"/>
      <c r="D861" s="25"/>
      <c r="E861" s="25"/>
      <c r="F861" s="25"/>
      <c r="G861" s="123"/>
      <c r="H861" s="123"/>
      <c r="I861" s="25"/>
      <c r="J861" s="25"/>
      <c r="K861" s="367"/>
      <c r="L861" s="42"/>
      <c r="M861" s="42"/>
      <c r="N861" s="42"/>
      <c r="O861" s="42"/>
      <c r="P861" s="42"/>
      <c r="Q861" s="42"/>
      <c r="R861" s="176"/>
      <c r="S861" s="42"/>
      <c r="T861" s="42"/>
      <c r="U861" s="46"/>
      <c r="V861" s="42"/>
      <c r="W861" s="42"/>
      <c r="X861" s="42"/>
      <c r="Y861" s="42"/>
      <c r="Z861" s="42"/>
      <c r="AA861" s="42"/>
      <c r="AB861" s="42"/>
      <c r="AC861" s="42"/>
      <c r="AD861" s="42"/>
      <c r="AE861" s="42"/>
      <c r="AF861" s="42"/>
    </row>
    <row r="862">
      <c r="A862" s="25"/>
      <c r="B862" s="297"/>
      <c r="C862" s="25"/>
      <c r="D862" s="25"/>
      <c r="E862" s="25"/>
      <c r="F862" s="25"/>
      <c r="G862" s="123"/>
      <c r="H862" s="123"/>
      <c r="I862" s="25"/>
      <c r="J862" s="25"/>
      <c r="K862" s="367"/>
      <c r="L862" s="42"/>
      <c r="M862" s="42"/>
      <c r="N862" s="42"/>
      <c r="O862" s="42"/>
      <c r="P862" s="42"/>
      <c r="Q862" s="42"/>
      <c r="R862" s="176"/>
      <c r="S862" s="42"/>
      <c r="T862" s="42"/>
      <c r="U862" s="46"/>
      <c r="V862" s="42"/>
      <c r="W862" s="42"/>
      <c r="X862" s="42"/>
      <c r="Y862" s="42"/>
      <c r="Z862" s="42"/>
      <c r="AA862" s="42"/>
      <c r="AB862" s="42"/>
      <c r="AC862" s="42"/>
      <c r="AD862" s="42"/>
      <c r="AE862" s="42"/>
      <c r="AF862" s="42"/>
    </row>
    <row r="863">
      <c r="A863" s="25"/>
      <c r="B863" s="297"/>
      <c r="C863" s="25"/>
      <c r="D863" s="25"/>
      <c r="E863" s="25"/>
      <c r="F863" s="25"/>
      <c r="G863" s="123"/>
      <c r="H863" s="123"/>
      <c r="I863" s="25"/>
      <c r="J863" s="25"/>
      <c r="K863" s="367"/>
      <c r="L863" s="42"/>
      <c r="M863" s="42"/>
      <c r="N863" s="42"/>
      <c r="O863" s="42"/>
      <c r="P863" s="42"/>
      <c r="Q863" s="42"/>
      <c r="R863" s="176"/>
      <c r="S863" s="42"/>
      <c r="T863" s="42"/>
      <c r="U863" s="46"/>
      <c r="V863" s="42"/>
      <c r="W863" s="42"/>
      <c r="X863" s="42"/>
      <c r="Y863" s="42"/>
      <c r="Z863" s="42"/>
      <c r="AA863" s="42"/>
      <c r="AB863" s="42"/>
      <c r="AC863" s="42"/>
      <c r="AD863" s="42"/>
      <c r="AE863" s="42"/>
      <c r="AF863" s="42"/>
    </row>
    <row r="864">
      <c r="A864" s="25"/>
      <c r="B864" s="297"/>
      <c r="C864" s="25"/>
      <c r="D864" s="25"/>
      <c r="E864" s="25"/>
      <c r="F864" s="25"/>
      <c r="G864" s="123"/>
      <c r="H864" s="123"/>
      <c r="I864" s="25"/>
      <c r="J864" s="25"/>
      <c r="K864" s="367"/>
      <c r="L864" s="42"/>
      <c r="M864" s="42"/>
      <c r="N864" s="42"/>
      <c r="O864" s="42"/>
      <c r="P864" s="42"/>
      <c r="Q864" s="42"/>
      <c r="R864" s="176"/>
      <c r="S864" s="42"/>
      <c r="T864" s="42"/>
      <c r="U864" s="46"/>
      <c r="V864" s="42"/>
      <c r="W864" s="42"/>
      <c r="X864" s="42"/>
      <c r="Y864" s="42"/>
      <c r="Z864" s="42"/>
      <c r="AA864" s="42"/>
      <c r="AB864" s="42"/>
      <c r="AC864" s="42"/>
      <c r="AD864" s="42"/>
      <c r="AE864" s="42"/>
      <c r="AF864" s="42"/>
    </row>
    <row r="865">
      <c r="A865" s="25"/>
      <c r="B865" s="297"/>
      <c r="C865" s="25"/>
      <c r="D865" s="25"/>
      <c r="E865" s="25"/>
      <c r="F865" s="25"/>
      <c r="G865" s="123"/>
      <c r="H865" s="123"/>
      <c r="I865" s="25"/>
      <c r="J865" s="25"/>
      <c r="K865" s="367"/>
      <c r="L865" s="42"/>
      <c r="M865" s="42"/>
      <c r="N865" s="42"/>
      <c r="O865" s="42"/>
      <c r="P865" s="42"/>
      <c r="Q865" s="42"/>
      <c r="R865" s="176"/>
      <c r="S865" s="42"/>
      <c r="T865" s="42"/>
      <c r="U865" s="46"/>
      <c r="V865" s="42"/>
      <c r="W865" s="42"/>
      <c r="X865" s="42"/>
      <c r="Y865" s="42"/>
      <c r="Z865" s="42"/>
      <c r="AA865" s="42"/>
      <c r="AB865" s="42"/>
      <c r="AC865" s="42"/>
      <c r="AD865" s="42"/>
      <c r="AE865" s="42"/>
      <c r="AF865" s="42"/>
    </row>
    <row r="866">
      <c r="A866" s="25"/>
      <c r="B866" s="297"/>
      <c r="C866" s="25"/>
      <c r="D866" s="25"/>
      <c r="E866" s="25"/>
      <c r="F866" s="25"/>
      <c r="G866" s="123"/>
      <c r="H866" s="123"/>
      <c r="I866" s="25"/>
      <c r="J866" s="25"/>
      <c r="K866" s="367"/>
      <c r="L866" s="42"/>
      <c r="M866" s="42"/>
      <c r="N866" s="42"/>
      <c r="O866" s="42"/>
      <c r="P866" s="42"/>
      <c r="Q866" s="42"/>
      <c r="R866" s="176"/>
      <c r="S866" s="42"/>
      <c r="T866" s="42"/>
      <c r="U866" s="46"/>
      <c r="V866" s="42"/>
      <c r="W866" s="42"/>
      <c r="X866" s="42"/>
      <c r="Y866" s="42"/>
      <c r="Z866" s="42"/>
      <c r="AA866" s="42"/>
      <c r="AB866" s="42"/>
      <c r="AC866" s="42"/>
      <c r="AD866" s="42"/>
      <c r="AE866" s="42"/>
      <c r="AF866" s="42"/>
    </row>
    <row r="867">
      <c r="A867" s="25"/>
      <c r="B867" s="297"/>
      <c r="C867" s="25"/>
      <c r="D867" s="25"/>
      <c r="E867" s="25"/>
      <c r="F867" s="25"/>
      <c r="G867" s="123"/>
      <c r="H867" s="123"/>
      <c r="I867" s="25"/>
      <c r="J867" s="25"/>
      <c r="K867" s="367"/>
      <c r="L867" s="42"/>
      <c r="M867" s="42"/>
      <c r="N867" s="42"/>
      <c r="O867" s="42"/>
      <c r="P867" s="42"/>
      <c r="Q867" s="42"/>
      <c r="R867" s="176"/>
      <c r="S867" s="42"/>
      <c r="T867" s="42"/>
      <c r="U867" s="46"/>
      <c r="V867" s="42"/>
      <c r="W867" s="42"/>
      <c r="X867" s="42"/>
      <c r="Y867" s="42"/>
      <c r="Z867" s="42"/>
      <c r="AA867" s="42"/>
      <c r="AB867" s="42"/>
      <c r="AC867" s="42"/>
      <c r="AD867" s="42"/>
      <c r="AE867" s="42"/>
      <c r="AF867" s="42"/>
    </row>
    <row r="868">
      <c r="A868" s="25"/>
      <c r="B868" s="297"/>
      <c r="C868" s="25"/>
      <c r="D868" s="25"/>
      <c r="E868" s="25"/>
      <c r="F868" s="25"/>
      <c r="G868" s="123"/>
      <c r="H868" s="123"/>
      <c r="I868" s="25"/>
      <c r="J868" s="25"/>
      <c r="K868" s="367"/>
      <c r="L868" s="42"/>
      <c r="M868" s="42"/>
      <c r="N868" s="42"/>
      <c r="O868" s="42"/>
      <c r="P868" s="42"/>
      <c r="Q868" s="42"/>
      <c r="R868" s="176"/>
      <c r="S868" s="42"/>
      <c r="T868" s="42"/>
      <c r="U868" s="46"/>
      <c r="V868" s="42"/>
      <c r="W868" s="42"/>
      <c r="X868" s="42"/>
      <c r="Y868" s="42"/>
      <c r="Z868" s="42"/>
      <c r="AA868" s="42"/>
      <c r="AB868" s="42"/>
      <c r="AC868" s="42"/>
      <c r="AD868" s="42"/>
      <c r="AE868" s="42"/>
      <c r="AF868" s="42"/>
    </row>
    <row r="869">
      <c r="A869" s="25"/>
      <c r="B869" s="297"/>
      <c r="C869" s="25"/>
      <c r="D869" s="25"/>
      <c r="E869" s="25"/>
      <c r="F869" s="25"/>
      <c r="G869" s="123"/>
      <c r="H869" s="123"/>
      <c r="I869" s="25"/>
      <c r="J869" s="25"/>
      <c r="K869" s="367"/>
      <c r="L869" s="42"/>
      <c r="M869" s="42"/>
      <c r="N869" s="42"/>
      <c r="O869" s="42"/>
      <c r="P869" s="42"/>
      <c r="Q869" s="42"/>
      <c r="R869" s="176"/>
      <c r="S869" s="42"/>
      <c r="T869" s="42"/>
      <c r="U869" s="46"/>
      <c r="V869" s="42"/>
      <c r="W869" s="42"/>
      <c r="X869" s="42"/>
      <c r="Y869" s="42"/>
      <c r="Z869" s="42"/>
      <c r="AA869" s="42"/>
      <c r="AB869" s="42"/>
      <c r="AC869" s="42"/>
      <c r="AD869" s="42"/>
      <c r="AE869" s="42"/>
      <c r="AF869" s="42"/>
    </row>
    <row r="870">
      <c r="A870" s="25"/>
      <c r="B870" s="297"/>
      <c r="C870" s="25"/>
      <c r="D870" s="25"/>
      <c r="E870" s="25"/>
      <c r="F870" s="25"/>
      <c r="G870" s="123"/>
      <c r="H870" s="123"/>
      <c r="I870" s="25"/>
      <c r="J870" s="25"/>
      <c r="K870" s="367"/>
      <c r="L870" s="42"/>
      <c r="M870" s="42"/>
      <c r="N870" s="42"/>
      <c r="O870" s="42"/>
      <c r="P870" s="42"/>
      <c r="Q870" s="42"/>
      <c r="R870" s="176"/>
      <c r="S870" s="42"/>
      <c r="T870" s="42"/>
      <c r="U870" s="46"/>
      <c r="V870" s="42"/>
      <c r="W870" s="42"/>
      <c r="X870" s="42"/>
      <c r="Y870" s="42"/>
      <c r="Z870" s="42"/>
      <c r="AA870" s="42"/>
      <c r="AB870" s="42"/>
      <c r="AC870" s="42"/>
      <c r="AD870" s="42"/>
      <c r="AE870" s="42"/>
      <c r="AF870" s="42"/>
    </row>
    <row r="871">
      <c r="A871" s="25"/>
      <c r="B871" s="297"/>
      <c r="C871" s="25"/>
      <c r="D871" s="25"/>
      <c r="E871" s="25"/>
      <c r="F871" s="25"/>
      <c r="G871" s="123"/>
      <c r="H871" s="123"/>
      <c r="I871" s="25"/>
      <c r="J871" s="25"/>
      <c r="K871" s="367"/>
      <c r="L871" s="42"/>
      <c r="M871" s="42"/>
      <c r="N871" s="42"/>
      <c r="O871" s="42"/>
      <c r="P871" s="42"/>
      <c r="Q871" s="42"/>
      <c r="R871" s="176"/>
      <c r="S871" s="42"/>
      <c r="T871" s="42"/>
      <c r="U871" s="46"/>
      <c r="V871" s="42"/>
      <c r="W871" s="42"/>
      <c r="X871" s="42"/>
      <c r="Y871" s="42"/>
      <c r="Z871" s="42"/>
      <c r="AA871" s="42"/>
      <c r="AB871" s="42"/>
      <c r="AC871" s="42"/>
      <c r="AD871" s="42"/>
      <c r="AE871" s="42"/>
      <c r="AF871" s="42"/>
    </row>
    <row r="872">
      <c r="A872" s="25"/>
      <c r="B872" s="297"/>
      <c r="C872" s="25"/>
      <c r="D872" s="25"/>
      <c r="E872" s="25"/>
      <c r="F872" s="25"/>
      <c r="G872" s="123"/>
      <c r="H872" s="123"/>
      <c r="I872" s="25"/>
      <c r="J872" s="25"/>
      <c r="K872" s="367"/>
      <c r="L872" s="42"/>
      <c r="M872" s="42"/>
      <c r="N872" s="42"/>
      <c r="O872" s="42"/>
      <c r="P872" s="42"/>
      <c r="Q872" s="42"/>
      <c r="R872" s="176"/>
      <c r="S872" s="42"/>
      <c r="T872" s="42"/>
      <c r="U872" s="46"/>
      <c r="V872" s="42"/>
      <c r="W872" s="42"/>
      <c r="X872" s="42"/>
      <c r="Y872" s="42"/>
      <c r="Z872" s="42"/>
      <c r="AA872" s="42"/>
      <c r="AB872" s="42"/>
      <c r="AC872" s="42"/>
      <c r="AD872" s="42"/>
      <c r="AE872" s="42"/>
      <c r="AF872" s="42"/>
    </row>
    <row r="873">
      <c r="A873" s="25"/>
      <c r="B873" s="297"/>
      <c r="C873" s="25"/>
      <c r="D873" s="25"/>
      <c r="E873" s="25"/>
      <c r="F873" s="25"/>
      <c r="G873" s="123"/>
      <c r="H873" s="123"/>
      <c r="I873" s="25"/>
      <c r="J873" s="25"/>
      <c r="K873" s="367"/>
      <c r="L873" s="42"/>
      <c r="M873" s="42"/>
      <c r="N873" s="42"/>
      <c r="O873" s="42"/>
      <c r="P873" s="42"/>
      <c r="Q873" s="42"/>
      <c r="R873" s="176"/>
      <c r="S873" s="42"/>
      <c r="T873" s="42"/>
      <c r="U873" s="46"/>
      <c r="V873" s="42"/>
      <c r="W873" s="42"/>
      <c r="X873" s="42"/>
      <c r="Y873" s="42"/>
      <c r="Z873" s="42"/>
      <c r="AA873" s="42"/>
      <c r="AB873" s="42"/>
      <c r="AC873" s="42"/>
      <c r="AD873" s="42"/>
      <c r="AE873" s="42"/>
      <c r="AF873" s="42"/>
    </row>
    <row r="874">
      <c r="A874" s="25"/>
      <c r="B874" s="297"/>
      <c r="C874" s="25"/>
      <c r="D874" s="25"/>
      <c r="E874" s="25"/>
      <c r="F874" s="25"/>
      <c r="G874" s="123"/>
      <c r="H874" s="123"/>
      <c r="I874" s="25"/>
      <c r="J874" s="25"/>
      <c r="K874" s="367"/>
      <c r="L874" s="42"/>
      <c r="M874" s="42"/>
      <c r="N874" s="42"/>
      <c r="O874" s="42"/>
      <c r="P874" s="42"/>
      <c r="Q874" s="42"/>
      <c r="R874" s="176"/>
      <c r="S874" s="42"/>
      <c r="T874" s="42"/>
      <c r="U874" s="46"/>
      <c r="V874" s="42"/>
      <c r="W874" s="42"/>
      <c r="X874" s="42"/>
      <c r="Y874" s="42"/>
      <c r="Z874" s="42"/>
      <c r="AA874" s="42"/>
      <c r="AB874" s="42"/>
      <c r="AC874" s="42"/>
      <c r="AD874" s="42"/>
      <c r="AE874" s="42"/>
      <c r="AF874" s="42"/>
    </row>
    <row r="875">
      <c r="A875" s="25"/>
      <c r="B875" s="297"/>
      <c r="C875" s="25"/>
      <c r="D875" s="25"/>
      <c r="E875" s="25"/>
      <c r="F875" s="25"/>
      <c r="G875" s="123"/>
      <c r="H875" s="123"/>
      <c r="I875" s="25"/>
      <c r="J875" s="25"/>
      <c r="K875" s="367"/>
      <c r="L875" s="42"/>
      <c r="M875" s="42"/>
      <c r="N875" s="42"/>
      <c r="O875" s="42"/>
      <c r="P875" s="42"/>
      <c r="Q875" s="42"/>
      <c r="R875" s="176"/>
      <c r="S875" s="42"/>
      <c r="T875" s="42"/>
      <c r="U875" s="46"/>
      <c r="V875" s="42"/>
      <c r="W875" s="42"/>
      <c r="X875" s="42"/>
      <c r="Y875" s="42"/>
      <c r="Z875" s="42"/>
      <c r="AA875" s="42"/>
      <c r="AB875" s="42"/>
      <c r="AC875" s="42"/>
      <c r="AD875" s="42"/>
      <c r="AE875" s="42"/>
      <c r="AF875" s="42"/>
    </row>
    <row r="876">
      <c r="A876" s="25"/>
      <c r="B876" s="297"/>
      <c r="C876" s="25"/>
      <c r="D876" s="25"/>
      <c r="E876" s="25"/>
      <c r="F876" s="25"/>
      <c r="G876" s="123"/>
      <c r="H876" s="123"/>
      <c r="I876" s="25"/>
      <c r="J876" s="25"/>
      <c r="K876" s="367"/>
      <c r="L876" s="42"/>
      <c r="M876" s="42"/>
      <c r="N876" s="42"/>
      <c r="O876" s="42"/>
      <c r="P876" s="42"/>
      <c r="Q876" s="42"/>
      <c r="R876" s="176"/>
      <c r="S876" s="42"/>
      <c r="T876" s="42"/>
      <c r="U876" s="46"/>
      <c r="V876" s="42"/>
      <c r="W876" s="42"/>
      <c r="X876" s="42"/>
      <c r="Y876" s="42"/>
      <c r="Z876" s="42"/>
      <c r="AA876" s="42"/>
      <c r="AB876" s="42"/>
      <c r="AC876" s="42"/>
      <c r="AD876" s="42"/>
      <c r="AE876" s="42"/>
      <c r="AF876" s="42"/>
    </row>
    <row r="877">
      <c r="A877" s="25"/>
      <c r="B877" s="297"/>
      <c r="C877" s="25"/>
      <c r="D877" s="25"/>
      <c r="E877" s="25"/>
      <c r="F877" s="25"/>
      <c r="G877" s="123"/>
      <c r="H877" s="123"/>
      <c r="I877" s="25"/>
      <c r="J877" s="25"/>
      <c r="K877" s="367"/>
      <c r="L877" s="42"/>
      <c r="M877" s="42"/>
      <c r="N877" s="42"/>
      <c r="O877" s="42"/>
      <c r="P877" s="42"/>
      <c r="Q877" s="42"/>
      <c r="R877" s="176"/>
      <c r="S877" s="42"/>
      <c r="T877" s="42"/>
      <c r="U877" s="46"/>
      <c r="V877" s="42"/>
      <c r="W877" s="42"/>
      <c r="X877" s="42"/>
      <c r="Y877" s="42"/>
      <c r="Z877" s="42"/>
      <c r="AA877" s="42"/>
      <c r="AB877" s="42"/>
      <c r="AC877" s="42"/>
      <c r="AD877" s="42"/>
      <c r="AE877" s="42"/>
      <c r="AF877" s="42"/>
    </row>
    <row r="878">
      <c r="A878" s="25"/>
      <c r="B878" s="297"/>
      <c r="C878" s="25"/>
      <c r="D878" s="25"/>
      <c r="E878" s="25"/>
      <c r="F878" s="25"/>
      <c r="G878" s="123"/>
      <c r="H878" s="123"/>
      <c r="I878" s="25"/>
      <c r="J878" s="25"/>
      <c r="K878" s="367"/>
      <c r="L878" s="42"/>
      <c r="M878" s="42"/>
      <c r="N878" s="42"/>
      <c r="O878" s="42"/>
      <c r="P878" s="42"/>
      <c r="Q878" s="42"/>
      <c r="R878" s="176"/>
      <c r="S878" s="42"/>
      <c r="T878" s="42"/>
      <c r="U878" s="46"/>
      <c r="V878" s="42"/>
      <c r="W878" s="42"/>
      <c r="X878" s="42"/>
      <c r="Y878" s="42"/>
      <c r="Z878" s="42"/>
      <c r="AA878" s="42"/>
      <c r="AB878" s="42"/>
      <c r="AC878" s="42"/>
      <c r="AD878" s="42"/>
      <c r="AE878" s="42"/>
      <c r="AF878" s="42"/>
    </row>
    <row r="879">
      <c r="A879" s="25"/>
      <c r="B879" s="297"/>
      <c r="C879" s="25"/>
      <c r="D879" s="25"/>
      <c r="E879" s="25"/>
      <c r="F879" s="25"/>
      <c r="G879" s="123"/>
      <c r="H879" s="123"/>
      <c r="I879" s="25"/>
      <c r="J879" s="25"/>
      <c r="K879" s="367"/>
      <c r="L879" s="42"/>
      <c r="M879" s="42"/>
      <c r="N879" s="42"/>
      <c r="O879" s="42"/>
      <c r="P879" s="42"/>
      <c r="Q879" s="42"/>
      <c r="R879" s="176"/>
      <c r="S879" s="42"/>
      <c r="T879" s="42"/>
      <c r="U879" s="46"/>
      <c r="V879" s="42"/>
      <c r="W879" s="42"/>
      <c r="X879" s="42"/>
      <c r="Y879" s="42"/>
      <c r="Z879" s="42"/>
      <c r="AA879" s="42"/>
      <c r="AB879" s="42"/>
      <c r="AC879" s="42"/>
      <c r="AD879" s="42"/>
      <c r="AE879" s="42"/>
      <c r="AF879" s="42"/>
    </row>
    <row r="880">
      <c r="A880" s="25"/>
      <c r="B880" s="297"/>
      <c r="C880" s="25"/>
      <c r="D880" s="25"/>
      <c r="E880" s="25"/>
      <c r="F880" s="25"/>
      <c r="G880" s="123"/>
      <c r="H880" s="123"/>
      <c r="I880" s="25"/>
      <c r="J880" s="25"/>
      <c r="K880" s="367"/>
      <c r="L880" s="42"/>
      <c r="M880" s="42"/>
      <c r="N880" s="42"/>
      <c r="O880" s="42"/>
      <c r="P880" s="42"/>
      <c r="Q880" s="42"/>
      <c r="R880" s="176"/>
      <c r="S880" s="42"/>
      <c r="T880" s="42"/>
      <c r="U880" s="46"/>
      <c r="V880" s="42"/>
      <c r="W880" s="42"/>
      <c r="X880" s="42"/>
      <c r="Y880" s="42"/>
      <c r="Z880" s="42"/>
      <c r="AA880" s="42"/>
      <c r="AB880" s="42"/>
      <c r="AC880" s="42"/>
      <c r="AD880" s="42"/>
      <c r="AE880" s="42"/>
      <c r="AF880" s="42"/>
    </row>
    <row r="881">
      <c r="A881" s="25"/>
      <c r="B881" s="297"/>
      <c r="C881" s="25"/>
      <c r="D881" s="25"/>
      <c r="E881" s="25"/>
      <c r="F881" s="25"/>
      <c r="G881" s="123"/>
      <c r="H881" s="123"/>
      <c r="I881" s="25"/>
      <c r="J881" s="25"/>
      <c r="K881" s="367"/>
      <c r="L881" s="42"/>
      <c r="M881" s="42"/>
      <c r="N881" s="42"/>
      <c r="O881" s="42"/>
      <c r="P881" s="42"/>
      <c r="Q881" s="42"/>
      <c r="R881" s="176"/>
      <c r="S881" s="42"/>
      <c r="T881" s="42"/>
      <c r="U881" s="46"/>
      <c r="V881" s="42"/>
      <c r="W881" s="42"/>
      <c r="X881" s="42"/>
      <c r="Y881" s="42"/>
      <c r="Z881" s="42"/>
      <c r="AA881" s="42"/>
      <c r="AB881" s="42"/>
      <c r="AC881" s="42"/>
      <c r="AD881" s="42"/>
      <c r="AE881" s="42"/>
      <c r="AF881" s="42"/>
    </row>
    <row r="882">
      <c r="A882" s="25"/>
      <c r="B882" s="297"/>
      <c r="C882" s="25"/>
      <c r="D882" s="25"/>
      <c r="E882" s="25"/>
      <c r="F882" s="25"/>
      <c r="G882" s="123"/>
      <c r="H882" s="123"/>
      <c r="I882" s="25"/>
      <c r="J882" s="25"/>
      <c r="K882" s="367"/>
      <c r="L882" s="42"/>
      <c r="M882" s="42"/>
      <c r="N882" s="42"/>
      <c r="O882" s="42"/>
      <c r="P882" s="42"/>
      <c r="Q882" s="42"/>
      <c r="R882" s="176"/>
      <c r="S882" s="42"/>
      <c r="T882" s="42"/>
      <c r="U882" s="46"/>
      <c r="V882" s="42"/>
      <c r="W882" s="42"/>
      <c r="X882" s="42"/>
      <c r="Y882" s="42"/>
      <c r="Z882" s="42"/>
      <c r="AA882" s="42"/>
      <c r="AB882" s="42"/>
      <c r="AC882" s="42"/>
      <c r="AD882" s="42"/>
      <c r="AE882" s="42"/>
      <c r="AF882" s="42"/>
    </row>
    <row r="883">
      <c r="A883" s="25"/>
      <c r="B883" s="297"/>
      <c r="C883" s="25"/>
      <c r="D883" s="25"/>
      <c r="E883" s="25"/>
      <c r="F883" s="25"/>
      <c r="G883" s="123"/>
      <c r="H883" s="123"/>
      <c r="I883" s="25"/>
      <c r="J883" s="25"/>
      <c r="K883" s="367"/>
      <c r="L883" s="42"/>
      <c r="M883" s="42"/>
      <c r="N883" s="42"/>
      <c r="O883" s="42"/>
      <c r="P883" s="42"/>
      <c r="Q883" s="42"/>
      <c r="R883" s="176"/>
      <c r="S883" s="42"/>
      <c r="T883" s="42"/>
      <c r="U883" s="46"/>
      <c r="V883" s="42"/>
      <c r="W883" s="42"/>
      <c r="X883" s="42"/>
      <c r="Y883" s="42"/>
      <c r="Z883" s="42"/>
      <c r="AA883" s="42"/>
      <c r="AB883" s="42"/>
      <c r="AC883" s="42"/>
      <c r="AD883" s="42"/>
      <c r="AE883" s="42"/>
      <c r="AF883" s="42"/>
    </row>
    <row r="884">
      <c r="A884" s="25"/>
      <c r="B884" s="297"/>
      <c r="C884" s="25"/>
      <c r="D884" s="25"/>
      <c r="E884" s="25"/>
      <c r="F884" s="25"/>
      <c r="G884" s="123"/>
      <c r="H884" s="123"/>
      <c r="I884" s="25"/>
      <c r="J884" s="25"/>
      <c r="K884" s="367"/>
      <c r="L884" s="42"/>
      <c r="M884" s="42"/>
      <c r="N884" s="42"/>
      <c r="O884" s="42"/>
      <c r="P884" s="42"/>
      <c r="Q884" s="42"/>
      <c r="R884" s="176"/>
      <c r="S884" s="42"/>
      <c r="T884" s="42"/>
      <c r="U884" s="46"/>
      <c r="V884" s="42"/>
      <c r="W884" s="42"/>
      <c r="X884" s="42"/>
      <c r="Y884" s="42"/>
      <c r="Z884" s="42"/>
      <c r="AA884" s="42"/>
      <c r="AB884" s="42"/>
      <c r="AC884" s="42"/>
      <c r="AD884" s="42"/>
      <c r="AE884" s="42"/>
      <c r="AF884" s="42"/>
    </row>
    <row r="885">
      <c r="A885" s="25"/>
      <c r="B885" s="297"/>
      <c r="C885" s="25"/>
      <c r="D885" s="25"/>
      <c r="E885" s="25"/>
      <c r="F885" s="25"/>
      <c r="G885" s="123"/>
      <c r="H885" s="123"/>
      <c r="I885" s="25"/>
      <c r="J885" s="25"/>
      <c r="K885" s="367"/>
      <c r="L885" s="42"/>
      <c r="M885" s="42"/>
      <c r="N885" s="42"/>
      <c r="O885" s="42"/>
      <c r="P885" s="42"/>
      <c r="Q885" s="42"/>
      <c r="R885" s="176"/>
      <c r="S885" s="42"/>
      <c r="T885" s="42"/>
      <c r="U885" s="46"/>
      <c r="V885" s="42"/>
      <c r="W885" s="42"/>
      <c r="X885" s="42"/>
      <c r="Y885" s="42"/>
      <c r="Z885" s="42"/>
      <c r="AA885" s="42"/>
      <c r="AB885" s="42"/>
      <c r="AC885" s="42"/>
      <c r="AD885" s="42"/>
      <c r="AE885" s="42"/>
      <c r="AF885" s="42"/>
    </row>
    <row r="886">
      <c r="A886" s="25"/>
      <c r="B886" s="297"/>
      <c r="C886" s="25"/>
      <c r="D886" s="25"/>
      <c r="E886" s="25"/>
      <c r="F886" s="25"/>
      <c r="G886" s="123"/>
      <c r="H886" s="123"/>
      <c r="I886" s="25"/>
      <c r="J886" s="25"/>
      <c r="K886" s="367"/>
      <c r="L886" s="42"/>
      <c r="M886" s="42"/>
      <c r="N886" s="42"/>
      <c r="O886" s="42"/>
      <c r="P886" s="42"/>
      <c r="Q886" s="42"/>
      <c r="R886" s="176"/>
      <c r="S886" s="42"/>
      <c r="T886" s="42"/>
      <c r="U886" s="46"/>
      <c r="V886" s="42"/>
      <c r="W886" s="42"/>
      <c r="X886" s="42"/>
      <c r="Y886" s="42"/>
      <c r="Z886" s="42"/>
      <c r="AA886" s="42"/>
      <c r="AB886" s="42"/>
      <c r="AC886" s="42"/>
      <c r="AD886" s="42"/>
      <c r="AE886" s="42"/>
      <c r="AF886" s="42"/>
    </row>
    <row r="887">
      <c r="A887" s="25"/>
      <c r="B887" s="297"/>
      <c r="C887" s="25"/>
      <c r="D887" s="25"/>
      <c r="E887" s="25"/>
      <c r="F887" s="25"/>
      <c r="G887" s="123"/>
      <c r="H887" s="123"/>
      <c r="I887" s="25"/>
      <c r="J887" s="25"/>
      <c r="K887" s="367"/>
      <c r="L887" s="42"/>
      <c r="M887" s="42"/>
      <c r="N887" s="42"/>
      <c r="O887" s="42"/>
      <c r="P887" s="42"/>
      <c r="Q887" s="42"/>
      <c r="R887" s="176"/>
      <c r="S887" s="42"/>
      <c r="T887" s="42"/>
      <c r="U887" s="46"/>
      <c r="V887" s="42"/>
      <c r="W887" s="42"/>
      <c r="X887" s="42"/>
      <c r="Y887" s="42"/>
      <c r="Z887" s="42"/>
      <c r="AA887" s="42"/>
      <c r="AB887" s="42"/>
      <c r="AC887" s="42"/>
      <c r="AD887" s="42"/>
      <c r="AE887" s="42"/>
      <c r="AF887" s="42"/>
    </row>
    <row r="888">
      <c r="A888" s="25"/>
      <c r="B888" s="297"/>
      <c r="C888" s="25"/>
      <c r="D888" s="25"/>
      <c r="E888" s="25"/>
      <c r="F888" s="25"/>
      <c r="G888" s="123"/>
      <c r="H888" s="123"/>
      <c r="I888" s="25"/>
      <c r="J888" s="25"/>
      <c r="K888" s="367"/>
      <c r="L888" s="42"/>
      <c r="M888" s="42"/>
      <c r="N888" s="42"/>
      <c r="O888" s="42"/>
      <c r="P888" s="42"/>
      <c r="Q888" s="42"/>
      <c r="R888" s="176"/>
      <c r="S888" s="42"/>
      <c r="T888" s="42"/>
      <c r="U888" s="46"/>
      <c r="V888" s="42"/>
      <c r="W888" s="42"/>
      <c r="X888" s="42"/>
      <c r="Y888" s="42"/>
      <c r="Z888" s="42"/>
      <c r="AA888" s="42"/>
      <c r="AB888" s="42"/>
      <c r="AC888" s="42"/>
      <c r="AD888" s="42"/>
      <c r="AE888" s="42"/>
      <c r="AF888" s="42"/>
    </row>
    <row r="889">
      <c r="A889" s="25"/>
      <c r="B889" s="297"/>
      <c r="C889" s="25"/>
      <c r="D889" s="25"/>
      <c r="E889" s="25"/>
      <c r="F889" s="25"/>
      <c r="G889" s="123"/>
      <c r="H889" s="123"/>
      <c r="I889" s="25"/>
      <c r="J889" s="25"/>
      <c r="K889" s="367"/>
      <c r="L889" s="42"/>
      <c r="M889" s="42"/>
      <c r="N889" s="42"/>
      <c r="O889" s="42"/>
      <c r="P889" s="42"/>
      <c r="Q889" s="42"/>
      <c r="R889" s="176"/>
      <c r="S889" s="42"/>
      <c r="T889" s="42"/>
      <c r="U889" s="46"/>
      <c r="V889" s="42"/>
      <c r="W889" s="42"/>
      <c r="X889" s="42"/>
      <c r="Y889" s="42"/>
      <c r="Z889" s="42"/>
      <c r="AA889" s="42"/>
      <c r="AB889" s="42"/>
      <c r="AC889" s="42"/>
      <c r="AD889" s="42"/>
      <c r="AE889" s="42"/>
      <c r="AF889" s="42"/>
    </row>
    <row r="890">
      <c r="A890" s="25"/>
      <c r="B890" s="297"/>
      <c r="C890" s="25"/>
      <c r="D890" s="25"/>
      <c r="E890" s="25"/>
      <c r="F890" s="25"/>
      <c r="G890" s="123"/>
      <c r="H890" s="123"/>
      <c r="I890" s="25"/>
      <c r="J890" s="25"/>
      <c r="K890" s="367"/>
      <c r="L890" s="42"/>
      <c r="M890" s="42"/>
      <c r="N890" s="42"/>
      <c r="O890" s="42"/>
      <c r="P890" s="42"/>
      <c r="Q890" s="42"/>
      <c r="R890" s="176"/>
      <c r="S890" s="42"/>
      <c r="T890" s="42"/>
      <c r="U890" s="46"/>
      <c r="V890" s="42"/>
      <c r="W890" s="42"/>
      <c r="X890" s="42"/>
      <c r="Y890" s="42"/>
      <c r="Z890" s="42"/>
      <c r="AA890" s="42"/>
      <c r="AB890" s="42"/>
      <c r="AC890" s="42"/>
      <c r="AD890" s="42"/>
      <c r="AE890" s="42"/>
      <c r="AF890" s="42"/>
    </row>
    <row r="891">
      <c r="A891" s="25"/>
      <c r="B891" s="297"/>
      <c r="C891" s="25"/>
      <c r="D891" s="25"/>
      <c r="E891" s="25"/>
      <c r="F891" s="25"/>
      <c r="G891" s="123"/>
      <c r="H891" s="123"/>
      <c r="I891" s="25"/>
      <c r="J891" s="25"/>
      <c r="K891" s="367"/>
      <c r="L891" s="42"/>
      <c r="M891" s="42"/>
      <c r="N891" s="42"/>
      <c r="O891" s="42"/>
      <c r="P891" s="42"/>
      <c r="Q891" s="42"/>
      <c r="R891" s="176"/>
      <c r="S891" s="42"/>
      <c r="T891" s="42"/>
      <c r="U891" s="46"/>
      <c r="V891" s="42"/>
      <c r="W891" s="42"/>
      <c r="X891" s="42"/>
      <c r="Y891" s="42"/>
      <c r="Z891" s="42"/>
      <c r="AA891" s="42"/>
      <c r="AB891" s="42"/>
      <c r="AC891" s="42"/>
      <c r="AD891" s="42"/>
      <c r="AE891" s="42"/>
      <c r="AF891" s="42"/>
    </row>
    <row r="892">
      <c r="A892" s="25"/>
      <c r="B892" s="297"/>
      <c r="C892" s="25"/>
      <c r="D892" s="25"/>
      <c r="E892" s="25"/>
      <c r="F892" s="25"/>
      <c r="G892" s="123"/>
      <c r="H892" s="123"/>
      <c r="I892" s="25"/>
      <c r="J892" s="25"/>
      <c r="K892" s="367"/>
      <c r="L892" s="42"/>
      <c r="M892" s="42"/>
      <c r="N892" s="42"/>
      <c r="O892" s="42"/>
      <c r="P892" s="42"/>
      <c r="Q892" s="42"/>
      <c r="R892" s="176"/>
      <c r="S892" s="42"/>
      <c r="T892" s="42"/>
      <c r="U892" s="46"/>
      <c r="V892" s="42"/>
      <c r="W892" s="42"/>
      <c r="X892" s="42"/>
      <c r="Y892" s="42"/>
      <c r="Z892" s="42"/>
      <c r="AA892" s="42"/>
      <c r="AB892" s="42"/>
      <c r="AC892" s="42"/>
      <c r="AD892" s="42"/>
      <c r="AE892" s="42"/>
      <c r="AF892" s="42"/>
    </row>
    <row r="893">
      <c r="A893" s="25"/>
      <c r="B893" s="297"/>
      <c r="C893" s="25"/>
      <c r="D893" s="25"/>
      <c r="E893" s="25"/>
      <c r="F893" s="25"/>
      <c r="G893" s="123"/>
      <c r="H893" s="123"/>
      <c r="I893" s="25"/>
      <c r="J893" s="25"/>
      <c r="K893" s="367"/>
      <c r="L893" s="42"/>
      <c r="M893" s="42"/>
      <c r="N893" s="42"/>
      <c r="O893" s="42"/>
      <c r="P893" s="42"/>
      <c r="Q893" s="42"/>
      <c r="R893" s="176"/>
      <c r="S893" s="42"/>
      <c r="T893" s="42"/>
      <c r="U893" s="46"/>
      <c r="V893" s="42"/>
      <c r="W893" s="42"/>
      <c r="X893" s="42"/>
      <c r="Y893" s="42"/>
      <c r="Z893" s="42"/>
      <c r="AA893" s="42"/>
      <c r="AB893" s="42"/>
      <c r="AC893" s="42"/>
      <c r="AD893" s="42"/>
      <c r="AE893" s="42"/>
      <c r="AF893" s="42"/>
    </row>
    <row r="894">
      <c r="A894" s="25"/>
      <c r="B894" s="297"/>
      <c r="C894" s="25"/>
      <c r="D894" s="25"/>
      <c r="E894" s="25"/>
      <c r="F894" s="25"/>
      <c r="G894" s="123"/>
      <c r="H894" s="123"/>
      <c r="I894" s="25"/>
      <c r="J894" s="25"/>
      <c r="K894" s="367"/>
      <c r="L894" s="42"/>
      <c r="M894" s="42"/>
      <c r="N894" s="42"/>
      <c r="O894" s="42"/>
      <c r="P894" s="42"/>
      <c r="Q894" s="42"/>
      <c r="R894" s="176"/>
      <c r="S894" s="42"/>
      <c r="T894" s="42"/>
      <c r="U894" s="46"/>
      <c r="V894" s="42"/>
      <c r="W894" s="42"/>
      <c r="X894" s="42"/>
      <c r="Y894" s="42"/>
      <c r="Z894" s="42"/>
      <c r="AA894" s="42"/>
      <c r="AB894" s="42"/>
      <c r="AC894" s="42"/>
      <c r="AD894" s="42"/>
      <c r="AE894" s="42"/>
      <c r="AF894" s="42"/>
    </row>
    <row r="895">
      <c r="A895" s="25"/>
      <c r="B895" s="297"/>
      <c r="C895" s="25"/>
      <c r="D895" s="25"/>
      <c r="E895" s="25"/>
      <c r="F895" s="25"/>
      <c r="G895" s="123"/>
      <c r="H895" s="123"/>
      <c r="I895" s="25"/>
      <c r="J895" s="25"/>
      <c r="K895" s="367"/>
      <c r="L895" s="42"/>
      <c r="M895" s="42"/>
      <c r="N895" s="42"/>
      <c r="O895" s="42"/>
      <c r="P895" s="42"/>
      <c r="Q895" s="42"/>
      <c r="R895" s="176"/>
      <c r="S895" s="42"/>
      <c r="T895" s="42"/>
      <c r="U895" s="46"/>
      <c r="V895" s="42"/>
      <c r="W895" s="42"/>
      <c r="X895" s="42"/>
      <c r="Y895" s="42"/>
      <c r="Z895" s="42"/>
      <c r="AA895" s="42"/>
      <c r="AB895" s="42"/>
      <c r="AC895" s="42"/>
      <c r="AD895" s="42"/>
      <c r="AE895" s="42"/>
      <c r="AF895" s="42"/>
    </row>
    <row r="896">
      <c r="A896" s="25"/>
      <c r="B896" s="297"/>
      <c r="C896" s="25"/>
      <c r="D896" s="25"/>
      <c r="E896" s="25"/>
      <c r="F896" s="25"/>
      <c r="G896" s="123"/>
      <c r="H896" s="123"/>
      <c r="I896" s="25"/>
      <c r="J896" s="25"/>
      <c r="K896" s="367"/>
      <c r="L896" s="42"/>
      <c r="M896" s="42"/>
      <c r="N896" s="42"/>
      <c r="O896" s="42"/>
      <c r="P896" s="42"/>
      <c r="Q896" s="42"/>
      <c r="R896" s="176"/>
      <c r="S896" s="42"/>
      <c r="T896" s="42"/>
      <c r="U896" s="46"/>
      <c r="V896" s="42"/>
      <c r="W896" s="42"/>
      <c r="X896" s="42"/>
      <c r="Y896" s="42"/>
      <c r="Z896" s="42"/>
      <c r="AA896" s="42"/>
      <c r="AB896" s="42"/>
      <c r="AC896" s="42"/>
      <c r="AD896" s="42"/>
      <c r="AE896" s="42"/>
      <c r="AF896" s="42"/>
    </row>
    <row r="897">
      <c r="A897" s="25"/>
      <c r="B897" s="297"/>
      <c r="C897" s="25"/>
      <c r="D897" s="25"/>
      <c r="E897" s="25"/>
      <c r="F897" s="25"/>
      <c r="G897" s="123"/>
      <c r="H897" s="123"/>
      <c r="I897" s="25"/>
      <c r="J897" s="25"/>
      <c r="K897" s="367"/>
      <c r="L897" s="42"/>
      <c r="M897" s="42"/>
      <c r="N897" s="42"/>
      <c r="O897" s="42"/>
      <c r="P897" s="42"/>
      <c r="Q897" s="42"/>
      <c r="R897" s="176"/>
      <c r="S897" s="42"/>
      <c r="T897" s="42"/>
      <c r="U897" s="46"/>
      <c r="V897" s="42"/>
      <c r="W897" s="42"/>
      <c r="X897" s="42"/>
      <c r="Y897" s="42"/>
      <c r="Z897" s="42"/>
      <c r="AA897" s="42"/>
      <c r="AB897" s="42"/>
      <c r="AC897" s="42"/>
      <c r="AD897" s="42"/>
      <c r="AE897" s="42"/>
      <c r="AF897" s="42"/>
    </row>
    <row r="898">
      <c r="A898" s="25"/>
      <c r="B898" s="297"/>
      <c r="C898" s="25"/>
      <c r="D898" s="25"/>
      <c r="E898" s="25"/>
      <c r="F898" s="25"/>
      <c r="G898" s="123"/>
      <c r="H898" s="123"/>
      <c r="I898" s="25"/>
      <c r="J898" s="25"/>
      <c r="K898" s="367"/>
      <c r="L898" s="42"/>
      <c r="M898" s="42"/>
      <c r="N898" s="42"/>
      <c r="O898" s="42"/>
      <c r="P898" s="42"/>
      <c r="Q898" s="42"/>
      <c r="R898" s="176"/>
      <c r="S898" s="42"/>
      <c r="T898" s="42"/>
      <c r="U898" s="46"/>
      <c r="V898" s="42"/>
      <c r="W898" s="42"/>
      <c r="X898" s="42"/>
      <c r="Y898" s="42"/>
      <c r="Z898" s="42"/>
      <c r="AA898" s="42"/>
      <c r="AB898" s="42"/>
      <c r="AC898" s="42"/>
      <c r="AD898" s="42"/>
      <c r="AE898" s="42"/>
      <c r="AF898" s="42"/>
    </row>
    <row r="899">
      <c r="A899" s="25"/>
      <c r="B899" s="297"/>
      <c r="C899" s="25"/>
      <c r="D899" s="25"/>
      <c r="E899" s="25"/>
      <c r="F899" s="25"/>
      <c r="G899" s="123"/>
      <c r="H899" s="123"/>
      <c r="I899" s="25"/>
      <c r="J899" s="25"/>
      <c r="K899" s="367"/>
      <c r="L899" s="42"/>
      <c r="M899" s="42"/>
      <c r="N899" s="42"/>
      <c r="O899" s="42"/>
      <c r="P899" s="42"/>
      <c r="Q899" s="42"/>
      <c r="R899" s="176"/>
      <c r="S899" s="42"/>
      <c r="T899" s="42"/>
      <c r="U899" s="46"/>
      <c r="V899" s="42"/>
      <c r="W899" s="42"/>
      <c r="X899" s="42"/>
      <c r="Y899" s="42"/>
      <c r="Z899" s="42"/>
      <c r="AA899" s="42"/>
      <c r="AB899" s="42"/>
      <c r="AC899" s="42"/>
      <c r="AD899" s="42"/>
      <c r="AE899" s="42"/>
      <c r="AF899" s="42"/>
    </row>
    <row r="900">
      <c r="A900" s="25"/>
      <c r="B900" s="297"/>
      <c r="C900" s="25"/>
      <c r="D900" s="25"/>
      <c r="E900" s="25"/>
      <c r="F900" s="25"/>
      <c r="G900" s="123"/>
      <c r="H900" s="123"/>
      <c r="I900" s="25"/>
      <c r="J900" s="25"/>
      <c r="K900" s="367"/>
      <c r="L900" s="42"/>
      <c r="M900" s="42"/>
      <c r="N900" s="42"/>
      <c r="O900" s="42"/>
      <c r="P900" s="42"/>
      <c r="Q900" s="42"/>
      <c r="R900" s="176"/>
      <c r="S900" s="42"/>
      <c r="T900" s="42"/>
      <c r="U900" s="46"/>
      <c r="V900" s="42"/>
      <c r="W900" s="42"/>
      <c r="X900" s="42"/>
      <c r="Y900" s="42"/>
      <c r="Z900" s="42"/>
      <c r="AA900" s="42"/>
      <c r="AB900" s="42"/>
      <c r="AC900" s="42"/>
      <c r="AD900" s="42"/>
      <c r="AE900" s="42"/>
      <c r="AF900" s="42"/>
    </row>
    <row r="901">
      <c r="A901" s="25"/>
      <c r="B901" s="297"/>
      <c r="C901" s="25"/>
      <c r="D901" s="25"/>
      <c r="E901" s="25"/>
      <c r="F901" s="25"/>
      <c r="G901" s="123"/>
      <c r="H901" s="123"/>
      <c r="I901" s="25"/>
      <c r="J901" s="25"/>
      <c r="K901" s="367"/>
      <c r="L901" s="42"/>
      <c r="M901" s="42"/>
      <c r="N901" s="42"/>
      <c r="O901" s="42"/>
      <c r="P901" s="42"/>
      <c r="Q901" s="42"/>
      <c r="R901" s="176"/>
      <c r="S901" s="42"/>
      <c r="T901" s="42"/>
      <c r="U901" s="46"/>
      <c r="V901" s="42"/>
      <c r="W901" s="42"/>
      <c r="X901" s="42"/>
      <c r="Y901" s="42"/>
      <c r="Z901" s="42"/>
      <c r="AA901" s="42"/>
      <c r="AB901" s="42"/>
      <c r="AC901" s="42"/>
      <c r="AD901" s="42"/>
      <c r="AE901" s="42"/>
      <c r="AF901" s="42"/>
    </row>
    <row r="902">
      <c r="A902" s="25"/>
      <c r="B902" s="297"/>
      <c r="C902" s="25"/>
      <c r="D902" s="25"/>
      <c r="E902" s="25"/>
      <c r="F902" s="25"/>
      <c r="G902" s="123"/>
      <c r="H902" s="123"/>
      <c r="I902" s="25"/>
      <c r="J902" s="25"/>
      <c r="K902" s="367"/>
      <c r="L902" s="42"/>
      <c r="M902" s="42"/>
      <c r="N902" s="42"/>
      <c r="O902" s="42"/>
      <c r="P902" s="42"/>
      <c r="Q902" s="42"/>
      <c r="R902" s="176"/>
      <c r="S902" s="42"/>
      <c r="T902" s="42"/>
      <c r="U902" s="46"/>
      <c r="V902" s="42"/>
      <c r="W902" s="42"/>
      <c r="X902" s="42"/>
      <c r="Y902" s="42"/>
      <c r="Z902" s="42"/>
      <c r="AA902" s="42"/>
      <c r="AB902" s="42"/>
      <c r="AC902" s="42"/>
      <c r="AD902" s="42"/>
      <c r="AE902" s="42"/>
      <c r="AF902" s="42"/>
    </row>
    <row r="903">
      <c r="A903" s="25"/>
      <c r="B903" s="297"/>
      <c r="C903" s="25"/>
      <c r="D903" s="25"/>
      <c r="E903" s="25"/>
      <c r="F903" s="25"/>
      <c r="G903" s="123"/>
      <c r="H903" s="123"/>
      <c r="I903" s="25"/>
      <c r="J903" s="25"/>
      <c r="K903" s="367"/>
      <c r="L903" s="42"/>
      <c r="M903" s="42"/>
      <c r="N903" s="42"/>
      <c r="O903" s="42"/>
      <c r="P903" s="42"/>
      <c r="Q903" s="42"/>
      <c r="R903" s="176"/>
      <c r="S903" s="42"/>
      <c r="T903" s="42"/>
      <c r="U903" s="46"/>
      <c r="V903" s="42"/>
      <c r="W903" s="42"/>
      <c r="X903" s="42"/>
      <c r="Y903" s="42"/>
      <c r="Z903" s="42"/>
      <c r="AA903" s="42"/>
      <c r="AB903" s="42"/>
      <c r="AC903" s="42"/>
      <c r="AD903" s="42"/>
      <c r="AE903" s="42"/>
      <c r="AF903" s="42"/>
    </row>
    <row r="904">
      <c r="A904" s="25"/>
      <c r="B904" s="297"/>
      <c r="C904" s="25"/>
      <c r="D904" s="25"/>
      <c r="E904" s="25"/>
      <c r="F904" s="25"/>
      <c r="G904" s="123"/>
      <c r="H904" s="123"/>
      <c r="I904" s="25"/>
      <c r="J904" s="25"/>
      <c r="K904" s="367"/>
      <c r="L904" s="42"/>
      <c r="M904" s="42"/>
      <c r="N904" s="42"/>
      <c r="O904" s="42"/>
      <c r="P904" s="42"/>
      <c r="Q904" s="42"/>
      <c r="R904" s="176"/>
      <c r="S904" s="42"/>
      <c r="T904" s="42"/>
      <c r="U904" s="46"/>
      <c r="V904" s="42"/>
      <c r="W904" s="42"/>
      <c r="X904" s="42"/>
      <c r="Y904" s="42"/>
      <c r="Z904" s="42"/>
      <c r="AA904" s="42"/>
      <c r="AB904" s="42"/>
      <c r="AC904" s="42"/>
      <c r="AD904" s="42"/>
      <c r="AE904" s="42"/>
      <c r="AF904" s="42"/>
    </row>
    <row r="905">
      <c r="A905" s="25"/>
      <c r="B905" s="297"/>
      <c r="C905" s="25"/>
      <c r="D905" s="25"/>
      <c r="E905" s="25"/>
      <c r="F905" s="25"/>
      <c r="G905" s="123"/>
      <c r="H905" s="123"/>
      <c r="I905" s="25"/>
      <c r="J905" s="25"/>
      <c r="K905" s="367"/>
      <c r="L905" s="42"/>
      <c r="M905" s="42"/>
      <c r="N905" s="42"/>
      <c r="O905" s="42"/>
      <c r="P905" s="42"/>
      <c r="Q905" s="42"/>
      <c r="R905" s="176"/>
      <c r="S905" s="42"/>
      <c r="T905" s="42"/>
      <c r="U905" s="46"/>
      <c r="V905" s="42"/>
      <c r="W905" s="42"/>
      <c r="X905" s="42"/>
      <c r="Y905" s="42"/>
      <c r="Z905" s="42"/>
      <c r="AA905" s="42"/>
      <c r="AB905" s="42"/>
      <c r="AC905" s="42"/>
      <c r="AD905" s="42"/>
      <c r="AE905" s="42"/>
      <c r="AF905" s="42"/>
    </row>
    <row r="906">
      <c r="A906" s="25"/>
      <c r="B906" s="297"/>
      <c r="C906" s="25"/>
      <c r="D906" s="25"/>
      <c r="E906" s="25"/>
      <c r="F906" s="25"/>
      <c r="G906" s="123"/>
      <c r="H906" s="123"/>
      <c r="I906" s="25"/>
      <c r="J906" s="25"/>
      <c r="K906" s="367"/>
      <c r="L906" s="42"/>
      <c r="M906" s="42"/>
      <c r="N906" s="42"/>
      <c r="O906" s="42"/>
      <c r="P906" s="42"/>
      <c r="Q906" s="42"/>
      <c r="R906" s="176"/>
      <c r="S906" s="42"/>
      <c r="T906" s="42"/>
      <c r="U906" s="46"/>
      <c r="V906" s="42"/>
      <c r="W906" s="42"/>
      <c r="X906" s="42"/>
      <c r="Y906" s="42"/>
      <c r="Z906" s="42"/>
      <c r="AA906" s="42"/>
      <c r="AB906" s="42"/>
      <c r="AC906" s="42"/>
      <c r="AD906" s="42"/>
      <c r="AE906" s="42"/>
      <c r="AF906" s="42"/>
    </row>
    <row r="907">
      <c r="A907" s="25"/>
      <c r="B907" s="297"/>
      <c r="C907" s="25"/>
      <c r="D907" s="25"/>
      <c r="E907" s="25"/>
      <c r="F907" s="25"/>
      <c r="G907" s="123"/>
      <c r="H907" s="123"/>
      <c r="I907" s="25"/>
      <c r="J907" s="25"/>
      <c r="K907" s="367"/>
      <c r="L907" s="42"/>
      <c r="M907" s="42"/>
      <c r="N907" s="42"/>
      <c r="O907" s="42"/>
      <c r="P907" s="42"/>
      <c r="Q907" s="42"/>
      <c r="R907" s="176"/>
      <c r="S907" s="42"/>
      <c r="T907" s="42"/>
      <c r="U907" s="46"/>
      <c r="V907" s="42"/>
      <c r="W907" s="42"/>
      <c r="X907" s="42"/>
      <c r="Y907" s="42"/>
      <c r="Z907" s="42"/>
      <c r="AA907" s="42"/>
      <c r="AB907" s="42"/>
      <c r="AC907" s="42"/>
      <c r="AD907" s="42"/>
      <c r="AE907" s="42"/>
      <c r="AF907" s="42"/>
    </row>
    <row r="908">
      <c r="A908" s="25"/>
      <c r="B908" s="297"/>
      <c r="C908" s="25"/>
      <c r="D908" s="25"/>
      <c r="E908" s="25"/>
      <c r="F908" s="25"/>
      <c r="G908" s="123"/>
      <c r="H908" s="123"/>
      <c r="I908" s="25"/>
      <c r="J908" s="25"/>
      <c r="K908" s="367"/>
      <c r="L908" s="42"/>
      <c r="M908" s="42"/>
      <c r="N908" s="42"/>
      <c r="O908" s="42"/>
      <c r="P908" s="42"/>
      <c r="Q908" s="42"/>
      <c r="R908" s="176"/>
      <c r="S908" s="42"/>
      <c r="T908" s="42"/>
      <c r="U908" s="46"/>
      <c r="V908" s="42"/>
      <c r="W908" s="42"/>
      <c r="X908" s="42"/>
      <c r="Y908" s="42"/>
      <c r="Z908" s="42"/>
      <c r="AA908" s="42"/>
      <c r="AB908" s="42"/>
      <c r="AC908" s="42"/>
      <c r="AD908" s="42"/>
      <c r="AE908" s="42"/>
      <c r="AF908" s="42"/>
    </row>
    <row r="909">
      <c r="A909" s="25"/>
      <c r="B909" s="297"/>
      <c r="C909" s="25"/>
      <c r="D909" s="25"/>
      <c r="E909" s="25"/>
      <c r="F909" s="25"/>
      <c r="G909" s="123"/>
      <c r="H909" s="123"/>
      <c r="I909" s="25"/>
      <c r="J909" s="25"/>
      <c r="K909" s="367"/>
      <c r="L909" s="42"/>
      <c r="M909" s="42"/>
      <c r="N909" s="42"/>
      <c r="O909" s="42"/>
      <c r="P909" s="42"/>
      <c r="Q909" s="42"/>
      <c r="R909" s="176"/>
      <c r="S909" s="42"/>
      <c r="T909" s="42"/>
      <c r="U909" s="46"/>
      <c r="V909" s="42"/>
      <c r="W909" s="42"/>
      <c r="X909" s="42"/>
      <c r="Y909" s="42"/>
      <c r="Z909" s="42"/>
      <c r="AA909" s="42"/>
      <c r="AB909" s="42"/>
      <c r="AC909" s="42"/>
      <c r="AD909" s="42"/>
      <c r="AE909" s="42"/>
      <c r="AF909" s="42"/>
    </row>
    <row r="910">
      <c r="A910" s="25"/>
      <c r="B910" s="297"/>
      <c r="C910" s="25"/>
      <c r="D910" s="25"/>
      <c r="E910" s="25"/>
      <c r="F910" s="25"/>
      <c r="G910" s="123"/>
      <c r="H910" s="123"/>
      <c r="I910" s="25"/>
      <c r="J910" s="25"/>
      <c r="K910" s="367"/>
      <c r="L910" s="42"/>
      <c r="M910" s="42"/>
      <c r="N910" s="42"/>
      <c r="O910" s="42"/>
      <c r="P910" s="42"/>
      <c r="Q910" s="42"/>
      <c r="R910" s="176"/>
      <c r="S910" s="42"/>
      <c r="T910" s="42"/>
      <c r="U910" s="46"/>
      <c r="V910" s="42"/>
      <c r="W910" s="42"/>
      <c r="X910" s="42"/>
      <c r="Y910" s="42"/>
      <c r="Z910" s="42"/>
      <c r="AA910" s="42"/>
      <c r="AB910" s="42"/>
      <c r="AC910" s="42"/>
      <c r="AD910" s="42"/>
      <c r="AE910" s="42"/>
      <c r="AF910" s="42"/>
    </row>
    <row r="911">
      <c r="A911" s="25"/>
      <c r="B911" s="297"/>
      <c r="C911" s="25"/>
      <c r="D911" s="25"/>
      <c r="E911" s="25"/>
      <c r="F911" s="25"/>
      <c r="G911" s="123"/>
      <c r="H911" s="123"/>
      <c r="I911" s="25"/>
      <c r="J911" s="25"/>
      <c r="K911" s="367"/>
      <c r="L911" s="42"/>
      <c r="M911" s="42"/>
      <c r="N911" s="42"/>
      <c r="O911" s="42"/>
      <c r="P911" s="42"/>
      <c r="Q911" s="42"/>
      <c r="R911" s="176"/>
      <c r="S911" s="42"/>
      <c r="T911" s="42"/>
      <c r="U911" s="46"/>
      <c r="V911" s="42"/>
      <c r="W911" s="42"/>
      <c r="X911" s="42"/>
      <c r="Y911" s="42"/>
      <c r="Z911" s="42"/>
      <c r="AA911" s="42"/>
      <c r="AB911" s="42"/>
      <c r="AC911" s="42"/>
      <c r="AD911" s="42"/>
      <c r="AE911" s="42"/>
      <c r="AF911" s="42"/>
    </row>
    <row r="912">
      <c r="A912" s="25"/>
      <c r="B912" s="297"/>
      <c r="C912" s="25"/>
      <c r="D912" s="25"/>
      <c r="E912" s="25"/>
      <c r="F912" s="25"/>
      <c r="G912" s="123"/>
      <c r="H912" s="123"/>
      <c r="I912" s="25"/>
      <c r="J912" s="25"/>
      <c r="K912" s="367"/>
      <c r="L912" s="42"/>
      <c r="M912" s="42"/>
      <c r="N912" s="42"/>
      <c r="O912" s="42"/>
      <c r="P912" s="42"/>
      <c r="Q912" s="42"/>
      <c r="R912" s="176"/>
      <c r="S912" s="42"/>
      <c r="T912" s="42"/>
      <c r="U912" s="46"/>
      <c r="V912" s="42"/>
      <c r="W912" s="42"/>
      <c r="X912" s="42"/>
      <c r="Y912" s="42"/>
      <c r="Z912" s="42"/>
      <c r="AA912" s="42"/>
      <c r="AB912" s="42"/>
      <c r="AC912" s="42"/>
      <c r="AD912" s="42"/>
      <c r="AE912" s="42"/>
      <c r="AF912" s="42"/>
    </row>
    <row r="913">
      <c r="A913" s="25"/>
      <c r="B913" s="297"/>
      <c r="C913" s="25"/>
      <c r="D913" s="25"/>
      <c r="E913" s="25"/>
      <c r="F913" s="25"/>
      <c r="G913" s="123"/>
      <c r="H913" s="123"/>
      <c r="I913" s="25"/>
      <c r="J913" s="25"/>
      <c r="K913" s="367"/>
      <c r="L913" s="42"/>
      <c r="M913" s="42"/>
      <c r="N913" s="42"/>
      <c r="O913" s="42"/>
      <c r="P913" s="42"/>
      <c r="Q913" s="42"/>
      <c r="R913" s="176"/>
      <c r="S913" s="42"/>
      <c r="T913" s="42"/>
      <c r="U913" s="46"/>
      <c r="V913" s="42"/>
      <c r="W913" s="42"/>
      <c r="X913" s="42"/>
      <c r="Y913" s="42"/>
      <c r="Z913" s="42"/>
      <c r="AA913" s="42"/>
      <c r="AB913" s="42"/>
      <c r="AC913" s="42"/>
      <c r="AD913" s="42"/>
      <c r="AE913" s="42"/>
      <c r="AF913" s="42"/>
    </row>
    <row r="914">
      <c r="A914" s="25"/>
      <c r="B914" s="297"/>
      <c r="C914" s="25"/>
      <c r="D914" s="25"/>
      <c r="E914" s="25"/>
      <c r="F914" s="25"/>
      <c r="G914" s="123"/>
      <c r="H914" s="123"/>
      <c r="I914" s="25"/>
      <c r="J914" s="25"/>
      <c r="K914" s="367"/>
      <c r="L914" s="42"/>
      <c r="M914" s="42"/>
      <c r="N914" s="42"/>
      <c r="O914" s="42"/>
      <c r="P914" s="42"/>
      <c r="Q914" s="42"/>
      <c r="R914" s="176"/>
      <c r="S914" s="42"/>
      <c r="T914" s="42"/>
      <c r="U914" s="46"/>
      <c r="V914" s="42"/>
      <c r="W914" s="42"/>
      <c r="X914" s="42"/>
      <c r="Y914" s="42"/>
      <c r="Z914" s="42"/>
      <c r="AA914" s="42"/>
      <c r="AB914" s="42"/>
      <c r="AC914" s="42"/>
      <c r="AD914" s="42"/>
      <c r="AE914" s="42"/>
      <c r="AF914" s="42"/>
    </row>
    <row r="915">
      <c r="A915" s="25"/>
      <c r="B915" s="297"/>
      <c r="C915" s="25"/>
      <c r="D915" s="25"/>
      <c r="E915" s="25"/>
      <c r="F915" s="25"/>
      <c r="G915" s="123"/>
      <c r="H915" s="123"/>
      <c r="I915" s="25"/>
      <c r="J915" s="25"/>
      <c r="K915" s="367"/>
      <c r="L915" s="42"/>
      <c r="M915" s="42"/>
      <c r="N915" s="42"/>
      <c r="O915" s="42"/>
      <c r="P915" s="42"/>
      <c r="Q915" s="42"/>
      <c r="R915" s="176"/>
      <c r="S915" s="42"/>
      <c r="T915" s="42"/>
      <c r="U915" s="46"/>
      <c r="V915" s="42"/>
      <c r="W915" s="42"/>
      <c r="X915" s="42"/>
      <c r="Y915" s="42"/>
      <c r="Z915" s="42"/>
      <c r="AA915" s="42"/>
      <c r="AB915" s="42"/>
      <c r="AC915" s="42"/>
      <c r="AD915" s="42"/>
      <c r="AE915" s="42"/>
      <c r="AF915" s="42"/>
    </row>
    <row r="916">
      <c r="A916" s="25"/>
      <c r="B916" s="297"/>
      <c r="C916" s="25"/>
      <c r="D916" s="25"/>
      <c r="E916" s="25"/>
      <c r="F916" s="25"/>
      <c r="G916" s="123"/>
      <c r="H916" s="123"/>
      <c r="I916" s="25"/>
      <c r="J916" s="25"/>
      <c r="K916" s="367"/>
      <c r="L916" s="42"/>
      <c r="M916" s="42"/>
      <c r="N916" s="42"/>
      <c r="O916" s="42"/>
      <c r="P916" s="42"/>
      <c r="Q916" s="42"/>
      <c r="R916" s="176"/>
      <c r="S916" s="42"/>
      <c r="T916" s="42"/>
      <c r="U916" s="46"/>
      <c r="V916" s="42"/>
      <c r="W916" s="42"/>
      <c r="X916" s="42"/>
      <c r="Y916" s="42"/>
      <c r="Z916" s="42"/>
      <c r="AA916" s="42"/>
      <c r="AB916" s="42"/>
      <c r="AC916" s="42"/>
      <c r="AD916" s="42"/>
      <c r="AE916" s="42"/>
      <c r="AF916" s="42"/>
    </row>
    <row r="917">
      <c r="A917" s="25"/>
      <c r="B917" s="297"/>
      <c r="C917" s="25"/>
      <c r="D917" s="25"/>
      <c r="E917" s="25"/>
      <c r="F917" s="25"/>
      <c r="G917" s="123"/>
      <c r="H917" s="123"/>
      <c r="I917" s="25"/>
      <c r="J917" s="25"/>
      <c r="K917" s="367"/>
      <c r="L917" s="42"/>
      <c r="M917" s="42"/>
      <c r="N917" s="42"/>
      <c r="O917" s="42"/>
      <c r="P917" s="42"/>
      <c r="Q917" s="42"/>
      <c r="R917" s="176"/>
      <c r="S917" s="42"/>
      <c r="T917" s="42"/>
      <c r="U917" s="46"/>
      <c r="V917" s="42"/>
      <c r="W917" s="42"/>
      <c r="X917" s="42"/>
      <c r="Y917" s="42"/>
      <c r="Z917" s="42"/>
      <c r="AA917" s="42"/>
      <c r="AB917" s="42"/>
      <c r="AC917" s="42"/>
      <c r="AD917" s="42"/>
      <c r="AE917" s="42"/>
      <c r="AF917" s="42"/>
    </row>
    <row r="918">
      <c r="A918" s="25"/>
      <c r="B918" s="297"/>
      <c r="C918" s="25"/>
      <c r="D918" s="25"/>
      <c r="E918" s="25"/>
      <c r="F918" s="25"/>
      <c r="G918" s="123"/>
      <c r="H918" s="123"/>
      <c r="I918" s="25"/>
      <c r="J918" s="25"/>
      <c r="K918" s="367"/>
      <c r="L918" s="42"/>
      <c r="M918" s="42"/>
      <c r="N918" s="42"/>
      <c r="O918" s="42"/>
      <c r="P918" s="42"/>
      <c r="Q918" s="42"/>
      <c r="R918" s="176"/>
      <c r="S918" s="42"/>
      <c r="T918" s="42"/>
      <c r="U918" s="46"/>
      <c r="V918" s="42"/>
      <c r="W918" s="42"/>
      <c r="X918" s="42"/>
      <c r="Y918" s="42"/>
      <c r="Z918" s="42"/>
      <c r="AA918" s="42"/>
      <c r="AB918" s="42"/>
      <c r="AC918" s="42"/>
      <c r="AD918" s="42"/>
      <c r="AE918" s="42"/>
      <c r="AF918" s="42"/>
    </row>
    <row r="919">
      <c r="A919" s="25"/>
      <c r="B919" s="297"/>
      <c r="C919" s="25"/>
      <c r="D919" s="25"/>
      <c r="E919" s="25"/>
      <c r="F919" s="25"/>
      <c r="G919" s="123"/>
      <c r="H919" s="123"/>
      <c r="I919" s="25"/>
      <c r="J919" s="25"/>
      <c r="K919" s="367"/>
      <c r="L919" s="42"/>
      <c r="M919" s="42"/>
      <c r="N919" s="42"/>
      <c r="O919" s="42"/>
      <c r="P919" s="42"/>
      <c r="Q919" s="42"/>
      <c r="R919" s="176"/>
      <c r="S919" s="42"/>
      <c r="T919" s="42"/>
      <c r="U919" s="46"/>
      <c r="V919" s="42"/>
      <c r="W919" s="42"/>
      <c r="X919" s="42"/>
      <c r="Y919" s="42"/>
      <c r="Z919" s="42"/>
      <c r="AA919" s="42"/>
      <c r="AB919" s="42"/>
      <c r="AC919" s="42"/>
      <c r="AD919" s="42"/>
      <c r="AE919" s="42"/>
      <c r="AF919" s="42"/>
    </row>
    <row r="920">
      <c r="A920" s="25"/>
      <c r="B920" s="297"/>
      <c r="C920" s="25"/>
      <c r="D920" s="25"/>
      <c r="E920" s="25"/>
      <c r="F920" s="25"/>
      <c r="G920" s="123"/>
      <c r="H920" s="123"/>
      <c r="I920" s="25"/>
      <c r="J920" s="25"/>
      <c r="K920" s="367"/>
      <c r="L920" s="42"/>
      <c r="M920" s="42"/>
      <c r="N920" s="42"/>
      <c r="O920" s="42"/>
      <c r="P920" s="42"/>
      <c r="Q920" s="42"/>
      <c r="R920" s="176"/>
      <c r="S920" s="42"/>
      <c r="T920" s="42"/>
      <c r="U920" s="46"/>
      <c r="V920" s="42"/>
      <c r="W920" s="42"/>
      <c r="X920" s="42"/>
      <c r="Y920" s="42"/>
      <c r="Z920" s="42"/>
      <c r="AA920" s="42"/>
      <c r="AB920" s="42"/>
      <c r="AC920" s="42"/>
      <c r="AD920" s="42"/>
      <c r="AE920" s="42"/>
      <c r="AF920" s="42"/>
    </row>
    <row r="921">
      <c r="A921" s="25"/>
      <c r="B921" s="297"/>
      <c r="C921" s="25"/>
      <c r="D921" s="25"/>
      <c r="E921" s="25"/>
      <c r="F921" s="25"/>
      <c r="G921" s="123"/>
      <c r="H921" s="123"/>
      <c r="I921" s="25"/>
      <c r="J921" s="25"/>
      <c r="K921" s="367"/>
      <c r="L921" s="42"/>
      <c r="M921" s="42"/>
      <c r="N921" s="42"/>
      <c r="O921" s="42"/>
      <c r="P921" s="42"/>
      <c r="Q921" s="42"/>
      <c r="R921" s="176"/>
      <c r="S921" s="42"/>
      <c r="T921" s="42"/>
      <c r="U921" s="46"/>
      <c r="V921" s="42"/>
      <c r="W921" s="42"/>
      <c r="X921" s="42"/>
      <c r="Y921" s="42"/>
      <c r="Z921" s="42"/>
      <c r="AA921" s="42"/>
      <c r="AB921" s="42"/>
      <c r="AC921" s="42"/>
      <c r="AD921" s="42"/>
      <c r="AE921" s="42"/>
      <c r="AF921" s="42"/>
    </row>
    <row r="922">
      <c r="A922" s="25"/>
      <c r="B922" s="297"/>
      <c r="C922" s="25"/>
      <c r="D922" s="25"/>
      <c r="E922" s="25"/>
      <c r="F922" s="25"/>
      <c r="G922" s="123"/>
      <c r="H922" s="123"/>
      <c r="I922" s="25"/>
      <c r="J922" s="25"/>
      <c r="K922" s="367"/>
      <c r="L922" s="42"/>
      <c r="M922" s="42"/>
      <c r="N922" s="42"/>
      <c r="O922" s="42"/>
      <c r="P922" s="42"/>
      <c r="Q922" s="42"/>
      <c r="R922" s="176"/>
      <c r="S922" s="42"/>
      <c r="T922" s="42"/>
      <c r="U922" s="46"/>
      <c r="V922" s="42"/>
      <c r="W922" s="42"/>
      <c r="X922" s="42"/>
      <c r="Y922" s="42"/>
      <c r="Z922" s="42"/>
      <c r="AA922" s="42"/>
      <c r="AB922" s="42"/>
      <c r="AC922" s="42"/>
      <c r="AD922" s="42"/>
      <c r="AE922" s="42"/>
      <c r="AF922" s="42"/>
    </row>
    <row r="923">
      <c r="A923" s="25"/>
      <c r="B923" s="297"/>
      <c r="C923" s="25"/>
      <c r="D923" s="25"/>
      <c r="E923" s="25"/>
      <c r="F923" s="25"/>
      <c r="G923" s="123"/>
      <c r="H923" s="123"/>
      <c r="I923" s="25"/>
      <c r="J923" s="25"/>
      <c r="K923" s="367"/>
      <c r="L923" s="42"/>
      <c r="M923" s="42"/>
      <c r="N923" s="42"/>
      <c r="O923" s="42"/>
      <c r="P923" s="42"/>
      <c r="Q923" s="42"/>
      <c r="R923" s="176"/>
      <c r="S923" s="42"/>
      <c r="T923" s="42"/>
      <c r="U923" s="46"/>
      <c r="V923" s="42"/>
      <c r="W923" s="42"/>
      <c r="X923" s="42"/>
      <c r="Y923" s="42"/>
      <c r="Z923" s="42"/>
      <c r="AA923" s="42"/>
      <c r="AB923" s="42"/>
      <c r="AC923" s="42"/>
      <c r="AD923" s="42"/>
      <c r="AE923" s="42"/>
      <c r="AF923" s="42"/>
    </row>
    <row r="924">
      <c r="A924" s="25"/>
      <c r="B924" s="297"/>
      <c r="C924" s="25"/>
      <c r="D924" s="25"/>
      <c r="E924" s="25"/>
      <c r="F924" s="25"/>
      <c r="G924" s="123"/>
      <c r="H924" s="123"/>
      <c r="I924" s="25"/>
      <c r="J924" s="25"/>
      <c r="K924" s="367"/>
      <c r="L924" s="42"/>
      <c r="M924" s="42"/>
      <c r="N924" s="42"/>
      <c r="O924" s="42"/>
      <c r="P924" s="42"/>
      <c r="Q924" s="42"/>
      <c r="R924" s="176"/>
      <c r="S924" s="42"/>
      <c r="T924" s="42"/>
      <c r="U924" s="46"/>
      <c r="V924" s="42"/>
      <c r="W924" s="42"/>
      <c r="X924" s="42"/>
      <c r="Y924" s="42"/>
      <c r="Z924" s="42"/>
      <c r="AA924" s="42"/>
      <c r="AB924" s="42"/>
      <c r="AC924" s="42"/>
      <c r="AD924" s="42"/>
      <c r="AE924" s="42"/>
      <c r="AF924" s="42"/>
    </row>
    <row r="925">
      <c r="A925" s="25"/>
      <c r="B925" s="297"/>
      <c r="C925" s="25"/>
      <c r="D925" s="25"/>
      <c r="E925" s="25"/>
      <c r="F925" s="25"/>
      <c r="G925" s="123"/>
      <c r="H925" s="123"/>
      <c r="I925" s="25"/>
      <c r="J925" s="25"/>
      <c r="K925" s="367"/>
      <c r="L925" s="42"/>
      <c r="M925" s="42"/>
      <c r="N925" s="42"/>
      <c r="O925" s="42"/>
      <c r="P925" s="42"/>
      <c r="Q925" s="42"/>
      <c r="R925" s="176"/>
      <c r="S925" s="42"/>
      <c r="T925" s="42"/>
      <c r="U925" s="46"/>
      <c r="V925" s="42"/>
      <c r="W925" s="42"/>
      <c r="X925" s="42"/>
      <c r="Y925" s="42"/>
      <c r="Z925" s="42"/>
      <c r="AA925" s="42"/>
      <c r="AB925" s="42"/>
      <c r="AC925" s="42"/>
      <c r="AD925" s="42"/>
      <c r="AE925" s="42"/>
      <c r="AF925" s="42"/>
    </row>
    <row r="926">
      <c r="A926" s="25"/>
      <c r="B926" s="297"/>
      <c r="C926" s="25"/>
      <c r="D926" s="25"/>
      <c r="E926" s="25"/>
      <c r="F926" s="25"/>
      <c r="G926" s="123"/>
      <c r="H926" s="123"/>
      <c r="I926" s="25"/>
      <c r="J926" s="25"/>
      <c r="K926" s="367"/>
      <c r="L926" s="42"/>
      <c r="M926" s="42"/>
      <c r="N926" s="42"/>
      <c r="O926" s="42"/>
      <c r="P926" s="42"/>
      <c r="Q926" s="42"/>
      <c r="R926" s="176"/>
      <c r="S926" s="42"/>
      <c r="T926" s="42"/>
      <c r="U926" s="46"/>
      <c r="V926" s="42"/>
      <c r="W926" s="42"/>
      <c r="X926" s="42"/>
      <c r="Y926" s="42"/>
      <c r="Z926" s="42"/>
      <c r="AA926" s="42"/>
      <c r="AB926" s="42"/>
      <c r="AC926" s="42"/>
      <c r="AD926" s="42"/>
      <c r="AE926" s="42"/>
      <c r="AF926" s="42"/>
    </row>
    <row r="927">
      <c r="A927" s="25"/>
      <c r="B927" s="297"/>
      <c r="C927" s="25"/>
      <c r="D927" s="25"/>
      <c r="E927" s="25"/>
      <c r="F927" s="25"/>
      <c r="G927" s="123"/>
      <c r="H927" s="123"/>
      <c r="I927" s="25"/>
      <c r="J927" s="25"/>
      <c r="K927" s="367"/>
      <c r="L927" s="42"/>
      <c r="M927" s="42"/>
      <c r="N927" s="42"/>
      <c r="O927" s="42"/>
      <c r="P927" s="42"/>
      <c r="Q927" s="42"/>
      <c r="R927" s="176"/>
      <c r="S927" s="42"/>
      <c r="T927" s="42"/>
      <c r="U927" s="46"/>
      <c r="V927" s="42"/>
      <c r="W927" s="42"/>
      <c r="X927" s="42"/>
      <c r="Y927" s="42"/>
      <c r="Z927" s="42"/>
      <c r="AA927" s="42"/>
      <c r="AB927" s="42"/>
      <c r="AC927" s="42"/>
      <c r="AD927" s="42"/>
      <c r="AE927" s="42"/>
      <c r="AF927" s="42"/>
    </row>
    <row r="928">
      <c r="A928" s="25"/>
      <c r="B928" s="297"/>
      <c r="C928" s="25"/>
      <c r="D928" s="25"/>
      <c r="E928" s="25"/>
      <c r="F928" s="25"/>
      <c r="G928" s="123"/>
      <c r="H928" s="123"/>
      <c r="I928" s="25"/>
      <c r="J928" s="25"/>
      <c r="K928" s="367"/>
      <c r="L928" s="42"/>
      <c r="M928" s="42"/>
      <c r="N928" s="42"/>
      <c r="O928" s="42"/>
      <c r="P928" s="42"/>
      <c r="Q928" s="42"/>
      <c r="R928" s="176"/>
      <c r="S928" s="42"/>
      <c r="T928" s="42"/>
      <c r="U928" s="46"/>
      <c r="V928" s="42"/>
      <c r="W928" s="42"/>
      <c r="X928" s="42"/>
      <c r="Y928" s="42"/>
      <c r="Z928" s="42"/>
      <c r="AA928" s="42"/>
      <c r="AB928" s="42"/>
      <c r="AC928" s="42"/>
      <c r="AD928" s="42"/>
      <c r="AE928" s="42"/>
      <c r="AF928" s="42"/>
    </row>
    <row r="929">
      <c r="A929" s="25"/>
      <c r="B929" s="297"/>
      <c r="C929" s="25"/>
      <c r="D929" s="25"/>
      <c r="E929" s="25"/>
      <c r="F929" s="25"/>
      <c r="G929" s="123"/>
      <c r="H929" s="123"/>
      <c r="I929" s="25"/>
      <c r="J929" s="25"/>
      <c r="K929" s="367"/>
      <c r="L929" s="42"/>
      <c r="M929" s="42"/>
      <c r="N929" s="42"/>
      <c r="O929" s="42"/>
      <c r="P929" s="42"/>
      <c r="Q929" s="42"/>
      <c r="R929" s="176"/>
      <c r="S929" s="42"/>
      <c r="T929" s="42"/>
      <c r="U929" s="46"/>
      <c r="V929" s="42"/>
      <c r="W929" s="42"/>
      <c r="X929" s="42"/>
      <c r="Y929" s="42"/>
      <c r="Z929" s="42"/>
      <c r="AA929" s="42"/>
      <c r="AB929" s="42"/>
      <c r="AC929" s="42"/>
      <c r="AD929" s="42"/>
      <c r="AE929" s="42"/>
      <c r="AF929" s="42"/>
    </row>
    <row r="930">
      <c r="A930" s="25"/>
      <c r="B930" s="297"/>
      <c r="C930" s="25"/>
      <c r="D930" s="25"/>
      <c r="E930" s="25"/>
      <c r="F930" s="25"/>
      <c r="G930" s="123"/>
      <c r="H930" s="123"/>
      <c r="I930" s="25"/>
      <c r="J930" s="25"/>
      <c r="K930" s="367"/>
      <c r="L930" s="42"/>
      <c r="M930" s="42"/>
      <c r="N930" s="42"/>
      <c r="O930" s="42"/>
      <c r="P930" s="42"/>
      <c r="Q930" s="42"/>
      <c r="R930" s="176"/>
      <c r="S930" s="42"/>
      <c r="T930" s="42"/>
      <c r="U930" s="46"/>
      <c r="V930" s="42"/>
      <c r="W930" s="42"/>
      <c r="X930" s="42"/>
      <c r="Y930" s="42"/>
      <c r="Z930" s="42"/>
      <c r="AA930" s="42"/>
      <c r="AB930" s="42"/>
      <c r="AC930" s="42"/>
      <c r="AD930" s="42"/>
      <c r="AE930" s="42"/>
      <c r="AF930" s="42"/>
    </row>
    <row r="931">
      <c r="A931" s="25"/>
      <c r="B931" s="297"/>
      <c r="C931" s="25"/>
      <c r="D931" s="25"/>
      <c r="E931" s="25"/>
      <c r="F931" s="25"/>
      <c r="G931" s="123"/>
      <c r="H931" s="123"/>
      <c r="I931" s="25"/>
      <c r="J931" s="25"/>
      <c r="K931" s="367"/>
      <c r="L931" s="42"/>
      <c r="M931" s="42"/>
      <c r="N931" s="42"/>
      <c r="O931" s="42"/>
      <c r="P931" s="42"/>
      <c r="Q931" s="42"/>
      <c r="R931" s="176"/>
      <c r="S931" s="42"/>
      <c r="T931" s="42"/>
      <c r="U931" s="46"/>
      <c r="V931" s="42"/>
      <c r="W931" s="42"/>
      <c r="X931" s="42"/>
      <c r="Y931" s="42"/>
      <c r="Z931" s="42"/>
      <c r="AA931" s="42"/>
      <c r="AB931" s="42"/>
      <c r="AC931" s="42"/>
      <c r="AD931" s="42"/>
      <c r="AE931" s="42"/>
      <c r="AF931" s="42"/>
    </row>
    <row r="932">
      <c r="A932" s="25"/>
      <c r="B932" s="297"/>
      <c r="C932" s="25"/>
      <c r="D932" s="25"/>
      <c r="E932" s="25"/>
      <c r="F932" s="25"/>
      <c r="G932" s="123"/>
      <c r="H932" s="123"/>
      <c r="I932" s="25"/>
      <c r="J932" s="25"/>
      <c r="K932" s="367"/>
      <c r="L932" s="42"/>
      <c r="M932" s="42"/>
      <c r="N932" s="42"/>
      <c r="O932" s="42"/>
      <c r="P932" s="42"/>
      <c r="Q932" s="42"/>
      <c r="R932" s="176"/>
      <c r="S932" s="42"/>
      <c r="T932" s="42"/>
      <c r="U932" s="46"/>
      <c r="V932" s="42"/>
      <c r="W932" s="42"/>
      <c r="X932" s="42"/>
      <c r="Y932" s="42"/>
      <c r="Z932" s="42"/>
      <c r="AA932" s="42"/>
      <c r="AB932" s="42"/>
      <c r="AC932" s="42"/>
      <c r="AD932" s="42"/>
      <c r="AE932" s="42"/>
      <c r="AF932" s="42"/>
    </row>
    <row r="933">
      <c r="A933" s="25"/>
      <c r="B933" s="297"/>
      <c r="C933" s="25"/>
      <c r="D933" s="25"/>
      <c r="E933" s="25"/>
      <c r="F933" s="25"/>
      <c r="G933" s="123"/>
      <c r="H933" s="123"/>
      <c r="I933" s="25"/>
      <c r="J933" s="25"/>
      <c r="K933" s="367"/>
      <c r="L933" s="42"/>
      <c r="M933" s="42"/>
      <c r="N933" s="42"/>
      <c r="O933" s="42"/>
      <c r="P933" s="42"/>
      <c r="Q933" s="42"/>
      <c r="R933" s="176"/>
      <c r="S933" s="42"/>
      <c r="T933" s="42"/>
      <c r="U933" s="46"/>
      <c r="V933" s="42"/>
      <c r="W933" s="42"/>
      <c r="X933" s="42"/>
      <c r="Y933" s="42"/>
      <c r="Z933" s="42"/>
      <c r="AA933" s="42"/>
      <c r="AB933" s="42"/>
      <c r="AC933" s="42"/>
      <c r="AD933" s="42"/>
      <c r="AE933" s="42"/>
      <c r="AF933" s="42"/>
    </row>
    <row r="934">
      <c r="A934" s="25"/>
      <c r="B934" s="297"/>
      <c r="C934" s="25"/>
      <c r="D934" s="25"/>
      <c r="E934" s="25"/>
      <c r="F934" s="25"/>
      <c r="G934" s="123"/>
      <c r="H934" s="123"/>
      <c r="I934" s="25"/>
      <c r="J934" s="25"/>
      <c r="K934" s="367"/>
      <c r="L934" s="42"/>
      <c r="M934" s="42"/>
      <c r="N934" s="42"/>
      <c r="O934" s="42"/>
      <c r="P934" s="42"/>
      <c r="Q934" s="42"/>
      <c r="R934" s="176"/>
      <c r="S934" s="42"/>
      <c r="T934" s="42"/>
      <c r="U934" s="46"/>
      <c r="V934" s="42"/>
      <c r="W934" s="42"/>
      <c r="X934" s="42"/>
      <c r="Y934" s="42"/>
      <c r="Z934" s="42"/>
      <c r="AA934" s="42"/>
      <c r="AB934" s="42"/>
      <c r="AC934" s="42"/>
      <c r="AD934" s="42"/>
      <c r="AE934" s="42"/>
      <c r="AF934" s="42"/>
    </row>
    <row r="935">
      <c r="A935" s="25"/>
      <c r="B935" s="297"/>
      <c r="C935" s="25"/>
      <c r="D935" s="25"/>
      <c r="E935" s="25"/>
      <c r="F935" s="25"/>
      <c r="G935" s="123"/>
      <c r="H935" s="123"/>
      <c r="I935" s="25"/>
      <c r="J935" s="25"/>
      <c r="K935" s="367"/>
      <c r="L935" s="42"/>
      <c r="M935" s="42"/>
      <c r="N935" s="42"/>
      <c r="O935" s="42"/>
      <c r="P935" s="42"/>
      <c r="Q935" s="42"/>
      <c r="R935" s="176"/>
      <c r="S935" s="42"/>
      <c r="T935" s="42"/>
      <c r="U935" s="46"/>
      <c r="V935" s="42"/>
      <c r="W935" s="42"/>
      <c r="X935" s="42"/>
      <c r="Y935" s="42"/>
      <c r="Z935" s="42"/>
      <c r="AA935" s="42"/>
      <c r="AB935" s="42"/>
      <c r="AC935" s="42"/>
      <c r="AD935" s="42"/>
      <c r="AE935" s="42"/>
      <c r="AF935" s="42"/>
    </row>
    <row r="936">
      <c r="A936" s="25"/>
      <c r="B936" s="297"/>
      <c r="C936" s="25"/>
      <c r="D936" s="25"/>
      <c r="E936" s="25"/>
      <c r="F936" s="25"/>
      <c r="G936" s="123"/>
      <c r="H936" s="123"/>
      <c r="I936" s="25"/>
      <c r="J936" s="25"/>
      <c r="K936" s="367"/>
      <c r="L936" s="42"/>
      <c r="M936" s="42"/>
      <c r="N936" s="42"/>
      <c r="O936" s="42"/>
      <c r="P936" s="42"/>
      <c r="Q936" s="42"/>
      <c r="R936" s="176"/>
      <c r="S936" s="42"/>
      <c r="T936" s="42"/>
      <c r="U936" s="46"/>
      <c r="V936" s="42"/>
      <c r="W936" s="42"/>
      <c r="X936" s="42"/>
      <c r="Y936" s="42"/>
      <c r="Z936" s="42"/>
      <c r="AA936" s="42"/>
      <c r="AB936" s="42"/>
      <c r="AC936" s="42"/>
      <c r="AD936" s="42"/>
      <c r="AE936" s="42"/>
      <c r="AF936" s="42"/>
    </row>
    <row r="937">
      <c r="A937" s="25"/>
      <c r="B937" s="297"/>
      <c r="C937" s="25"/>
      <c r="D937" s="25"/>
      <c r="E937" s="25"/>
      <c r="F937" s="25"/>
      <c r="G937" s="123"/>
      <c r="H937" s="123"/>
      <c r="I937" s="25"/>
      <c r="J937" s="25"/>
      <c r="K937" s="367"/>
      <c r="L937" s="42"/>
      <c r="M937" s="42"/>
      <c r="N937" s="42"/>
      <c r="O937" s="42"/>
      <c r="P937" s="42"/>
      <c r="Q937" s="42"/>
      <c r="R937" s="176"/>
      <c r="S937" s="42"/>
      <c r="T937" s="42"/>
      <c r="U937" s="46"/>
      <c r="V937" s="42"/>
      <c r="W937" s="42"/>
      <c r="X937" s="42"/>
      <c r="Y937" s="42"/>
      <c r="Z937" s="42"/>
      <c r="AA937" s="42"/>
      <c r="AB937" s="42"/>
      <c r="AC937" s="42"/>
      <c r="AD937" s="42"/>
      <c r="AE937" s="42"/>
      <c r="AF937" s="42"/>
    </row>
    <row r="938">
      <c r="A938" s="25"/>
      <c r="B938" s="297"/>
      <c r="C938" s="25"/>
      <c r="D938" s="25"/>
      <c r="E938" s="25"/>
      <c r="F938" s="25"/>
      <c r="G938" s="123"/>
      <c r="H938" s="123"/>
      <c r="I938" s="25"/>
      <c r="J938" s="25"/>
      <c r="K938" s="367"/>
      <c r="L938" s="42"/>
      <c r="M938" s="42"/>
      <c r="N938" s="42"/>
      <c r="O938" s="42"/>
      <c r="P938" s="42"/>
      <c r="Q938" s="42"/>
      <c r="R938" s="176"/>
      <c r="S938" s="42"/>
      <c r="T938" s="42"/>
      <c r="U938" s="46"/>
      <c r="V938" s="42"/>
      <c r="W938" s="42"/>
      <c r="X938" s="42"/>
      <c r="Y938" s="42"/>
      <c r="Z938" s="42"/>
      <c r="AA938" s="42"/>
      <c r="AB938" s="42"/>
      <c r="AC938" s="42"/>
      <c r="AD938" s="42"/>
      <c r="AE938" s="42"/>
      <c r="AF938" s="42"/>
    </row>
    <row r="939">
      <c r="A939" s="25"/>
      <c r="B939" s="297"/>
      <c r="C939" s="25"/>
      <c r="D939" s="25"/>
      <c r="E939" s="25"/>
      <c r="F939" s="25"/>
      <c r="G939" s="123"/>
      <c r="H939" s="123"/>
      <c r="I939" s="25"/>
      <c r="J939" s="25"/>
      <c r="K939" s="367"/>
      <c r="L939" s="42"/>
      <c r="M939" s="42"/>
      <c r="N939" s="42"/>
      <c r="O939" s="42"/>
      <c r="P939" s="42"/>
      <c r="Q939" s="42"/>
      <c r="R939" s="176"/>
      <c r="S939" s="42"/>
      <c r="T939" s="42"/>
      <c r="U939" s="46"/>
      <c r="V939" s="42"/>
      <c r="W939" s="42"/>
      <c r="X939" s="42"/>
      <c r="Y939" s="42"/>
      <c r="Z939" s="42"/>
      <c r="AA939" s="42"/>
      <c r="AB939" s="42"/>
      <c r="AC939" s="42"/>
      <c r="AD939" s="42"/>
      <c r="AE939" s="42"/>
      <c r="AF939" s="42"/>
    </row>
    <row r="940">
      <c r="A940" s="25"/>
      <c r="B940" s="297"/>
      <c r="C940" s="25"/>
      <c r="D940" s="25"/>
      <c r="E940" s="25"/>
      <c r="F940" s="25"/>
      <c r="G940" s="123"/>
      <c r="H940" s="123"/>
      <c r="I940" s="25"/>
      <c r="J940" s="25"/>
      <c r="K940" s="367"/>
      <c r="L940" s="42"/>
      <c r="M940" s="42"/>
      <c r="N940" s="42"/>
      <c r="O940" s="42"/>
      <c r="P940" s="42"/>
      <c r="Q940" s="42"/>
      <c r="R940" s="176"/>
      <c r="S940" s="42"/>
      <c r="T940" s="42"/>
      <c r="U940" s="46"/>
      <c r="V940" s="42"/>
      <c r="W940" s="42"/>
      <c r="X940" s="42"/>
      <c r="Y940" s="42"/>
      <c r="Z940" s="42"/>
      <c r="AA940" s="42"/>
      <c r="AB940" s="42"/>
      <c r="AC940" s="42"/>
      <c r="AD940" s="42"/>
      <c r="AE940" s="42"/>
      <c r="AF940" s="42"/>
    </row>
    <row r="941">
      <c r="A941" s="25"/>
      <c r="B941" s="297"/>
      <c r="C941" s="25"/>
      <c r="D941" s="25"/>
      <c r="E941" s="25"/>
      <c r="F941" s="25"/>
      <c r="G941" s="123"/>
      <c r="H941" s="123"/>
      <c r="I941" s="25"/>
      <c r="J941" s="25"/>
      <c r="K941" s="367"/>
      <c r="L941" s="42"/>
      <c r="M941" s="42"/>
      <c r="N941" s="42"/>
      <c r="O941" s="42"/>
      <c r="P941" s="42"/>
      <c r="Q941" s="42"/>
      <c r="R941" s="176"/>
      <c r="S941" s="42"/>
      <c r="T941" s="42"/>
      <c r="U941" s="46"/>
      <c r="V941" s="42"/>
      <c r="W941" s="42"/>
      <c r="X941" s="42"/>
      <c r="Y941" s="42"/>
      <c r="Z941" s="42"/>
      <c r="AA941" s="42"/>
      <c r="AB941" s="42"/>
      <c r="AC941" s="42"/>
      <c r="AD941" s="42"/>
      <c r="AE941" s="42"/>
      <c r="AF941" s="42"/>
    </row>
    <row r="942">
      <c r="A942" s="25"/>
      <c r="B942" s="297"/>
      <c r="C942" s="25"/>
      <c r="D942" s="25"/>
      <c r="E942" s="25"/>
      <c r="F942" s="25"/>
      <c r="G942" s="123"/>
      <c r="H942" s="123"/>
      <c r="I942" s="25"/>
      <c r="J942" s="25"/>
      <c r="K942" s="367"/>
      <c r="L942" s="42"/>
      <c r="M942" s="42"/>
      <c r="N942" s="42"/>
      <c r="O942" s="42"/>
      <c r="P942" s="42"/>
      <c r="Q942" s="42"/>
      <c r="R942" s="176"/>
      <c r="S942" s="42"/>
      <c r="T942" s="42"/>
      <c r="U942" s="46"/>
      <c r="V942" s="42"/>
      <c r="W942" s="42"/>
      <c r="X942" s="42"/>
      <c r="Y942" s="42"/>
      <c r="Z942" s="42"/>
      <c r="AA942" s="42"/>
      <c r="AB942" s="42"/>
      <c r="AC942" s="42"/>
      <c r="AD942" s="42"/>
      <c r="AE942" s="42"/>
      <c r="AF942" s="42"/>
    </row>
    <row r="943">
      <c r="A943" s="25"/>
      <c r="B943" s="297"/>
      <c r="C943" s="25"/>
      <c r="D943" s="25"/>
      <c r="E943" s="25"/>
      <c r="F943" s="25"/>
      <c r="G943" s="123"/>
      <c r="H943" s="123"/>
      <c r="I943" s="25"/>
      <c r="J943" s="25"/>
      <c r="K943" s="367"/>
      <c r="L943" s="42"/>
      <c r="M943" s="42"/>
      <c r="N943" s="42"/>
      <c r="O943" s="42"/>
      <c r="P943" s="42"/>
      <c r="Q943" s="42"/>
      <c r="R943" s="176"/>
      <c r="S943" s="42"/>
      <c r="T943" s="42"/>
      <c r="U943" s="46"/>
      <c r="V943" s="42"/>
      <c r="W943" s="42"/>
      <c r="X943" s="42"/>
      <c r="Y943" s="42"/>
      <c r="Z943" s="42"/>
      <c r="AA943" s="42"/>
      <c r="AB943" s="42"/>
      <c r="AC943" s="42"/>
      <c r="AD943" s="42"/>
      <c r="AE943" s="42"/>
      <c r="AF943" s="42"/>
    </row>
    <row r="944">
      <c r="A944" s="25"/>
      <c r="B944" s="297"/>
      <c r="C944" s="25"/>
      <c r="D944" s="25"/>
      <c r="E944" s="25"/>
      <c r="F944" s="25"/>
      <c r="G944" s="123"/>
      <c r="H944" s="123"/>
      <c r="I944" s="25"/>
      <c r="J944" s="25"/>
      <c r="K944" s="367"/>
      <c r="L944" s="42"/>
      <c r="M944" s="42"/>
      <c r="N944" s="42"/>
      <c r="O944" s="42"/>
      <c r="P944" s="42"/>
      <c r="Q944" s="42"/>
      <c r="R944" s="176"/>
      <c r="S944" s="42"/>
      <c r="T944" s="42"/>
      <c r="U944" s="46"/>
      <c r="V944" s="42"/>
      <c r="W944" s="42"/>
      <c r="X944" s="42"/>
      <c r="Y944" s="42"/>
      <c r="Z944" s="42"/>
      <c r="AA944" s="42"/>
      <c r="AB944" s="42"/>
      <c r="AC944" s="42"/>
      <c r="AD944" s="42"/>
      <c r="AE944" s="42"/>
      <c r="AF944" s="42"/>
    </row>
    <row r="945">
      <c r="A945" s="25"/>
      <c r="B945" s="297"/>
      <c r="C945" s="25"/>
      <c r="D945" s="25"/>
      <c r="E945" s="25"/>
      <c r="F945" s="25"/>
      <c r="G945" s="123"/>
      <c r="H945" s="123"/>
      <c r="I945" s="25"/>
      <c r="J945" s="25"/>
      <c r="K945" s="367"/>
      <c r="L945" s="42"/>
      <c r="M945" s="42"/>
      <c r="N945" s="42"/>
      <c r="O945" s="42"/>
      <c r="P945" s="42"/>
      <c r="Q945" s="42"/>
      <c r="R945" s="176"/>
      <c r="S945" s="42"/>
      <c r="T945" s="42"/>
      <c r="U945" s="46"/>
      <c r="V945" s="42"/>
      <c r="W945" s="42"/>
      <c r="X945" s="42"/>
      <c r="Y945" s="42"/>
      <c r="Z945" s="42"/>
      <c r="AA945" s="42"/>
      <c r="AB945" s="42"/>
      <c r="AC945" s="42"/>
      <c r="AD945" s="42"/>
      <c r="AE945" s="42"/>
      <c r="AF945" s="42"/>
    </row>
    <row r="946">
      <c r="A946" s="25"/>
      <c r="B946" s="297"/>
      <c r="C946" s="25"/>
      <c r="D946" s="25"/>
      <c r="E946" s="25"/>
      <c r="F946" s="25"/>
      <c r="G946" s="123"/>
      <c r="H946" s="123"/>
      <c r="I946" s="25"/>
      <c r="J946" s="25"/>
      <c r="K946" s="367"/>
      <c r="L946" s="42"/>
      <c r="M946" s="42"/>
      <c r="N946" s="42"/>
      <c r="O946" s="42"/>
      <c r="P946" s="42"/>
      <c r="Q946" s="42"/>
      <c r="R946" s="176"/>
      <c r="S946" s="42"/>
      <c r="T946" s="42"/>
      <c r="U946" s="46"/>
      <c r="V946" s="42"/>
      <c r="W946" s="42"/>
      <c r="X946" s="42"/>
      <c r="Y946" s="42"/>
      <c r="Z946" s="42"/>
      <c r="AA946" s="42"/>
      <c r="AB946" s="42"/>
      <c r="AC946" s="42"/>
      <c r="AD946" s="42"/>
      <c r="AE946" s="42"/>
      <c r="AF946" s="42"/>
    </row>
    <row r="947">
      <c r="A947" s="25"/>
      <c r="B947" s="297"/>
      <c r="C947" s="25"/>
      <c r="D947" s="25"/>
      <c r="E947" s="25"/>
      <c r="F947" s="25"/>
      <c r="G947" s="123"/>
      <c r="H947" s="123"/>
      <c r="I947" s="25"/>
      <c r="J947" s="25"/>
      <c r="K947" s="367"/>
      <c r="L947" s="42"/>
      <c r="M947" s="42"/>
      <c r="N947" s="42"/>
      <c r="O947" s="42"/>
      <c r="P947" s="42"/>
      <c r="Q947" s="42"/>
      <c r="R947" s="176"/>
      <c r="S947" s="42"/>
      <c r="T947" s="42"/>
      <c r="U947" s="46"/>
      <c r="V947" s="42"/>
      <c r="W947" s="42"/>
      <c r="X947" s="42"/>
      <c r="Y947" s="42"/>
      <c r="Z947" s="42"/>
      <c r="AA947" s="42"/>
      <c r="AB947" s="42"/>
      <c r="AC947" s="42"/>
      <c r="AD947" s="42"/>
      <c r="AE947" s="42"/>
      <c r="AF947" s="42"/>
    </row>
    <row r="948">
      <c r="A948" s="25"/>
      <c r="B948" s="297"/>
      <c r="C948" s="25"/>
      <c r="D948" s="25"/>
      <c r="E948" s="25"/>
      <c r="F948" s="25"/>
      <c r="G948" s="123"/>
      <c r="H948" s="123"/>
      <c r="I948" s="25"/>
      <c r="J948" s="25"/>
      <c r="K948" s="367"/>
      <c r="L948" s="42"/>
      <c r="M948" s="42"/>
      <c r="N948" s="42"/>
      <c r="O948" s="42"/>
      <c r="P948" s="42"/>
      <c r="Q948" s="42"/>
      <c r="R948" s="176"/>
      <c r="S948" s="42"/>
      <c r="T948" s="42"/>
      <c r="U948" s="46"/>
      <c r="V948" s="42"/>
      <c r="W948" s="42"/>
      <c r="X948" s="42"/>
      <c r="Y948" s="42"/>
      <c r="Z948" s="42"/>
      <c r="AA948" s="42"/>
      <c r="AB948" s="42"/>
      <c r="AC948" s="42"/>
      <c r="AD948" s="42"/>
      <c r="AE948" s="42"/>
      <c r="AF948" s="42"/>
    </row>
    <row r="949">
      <c r="A949" s="25"/>
      <c r="B949" s="297"/>
      <c r="C949" s="25"/>
      <c r="D949" s="25"/>
      <c r="E949" s="25"/>
      <c r="F949" s="25"/>
      <c r="G949" s="123"/>
      <c r="H949" s="123"/>
      <c r="I949" s="25"/>
      <c r="J949" s="25"/>
      <c r="K949" s="367"/>
      <c r="L949" s="42"/>
      <c r="M949" s="42"/>
      <c r="N949" s="42"/>
      <c r="O949" s="42"/>
      <c r="P949" s="42"/>
      <c r="Q949" s="42"/>
      <c r="R949" s="176"/>
      <c r="S949" s="42"/>
      <c r="T949" s="42"/>
      <c r="U949" s="46"/>
      <c r="V949" s="42"/>
      <c r="W949" s="42"/>
      <c r="X949" s="42"/>
      <c r="Y949" s="42"/>
      <c r="Z949" s="42"/>
      <c r="AA949" s="42"/>
      <c r="AB949" s="42"/>
      <c r="AC949" s="42"/>
      <c r="AD949" s="42"/>
      <c r="AE949" s="42"/>
      <c r="AF949" s="42"/>
    </row>
    <row r="950">
      <c r="A950" s="25"/>
      <c r="B950" s="297"/>
      <c r="C950" s="25"/>
      <c r="D950" s="25"/>
      <c r="E950" s="25"/>
      <c r="F950" s="25"/>
      <c r="G950" s="123"/>
      <c r="H950" s="123"/>
      <c r="I950" s="25"/>
      <c r="J950" s="25"/>
      <c r="K950" s="367"/>
      <c r="L950" s="42"/>
      <c r="M950" s="42"/>
      <c r="N950" s="42"/>
      <c r="O950" s="42"/>
      <c r="P950" s="42"/>
      <c r="Q950" s="42"/>
      <c r="R950" s="176"/>
      <c r="S950" s="42"/>
      <c r="T950" s="42"/>
      <c r="U950" s="46"/>
      <c r="V950" s="42"/>
      <c r="W950" s="42"/>
      <c r="X950" s="42"/>
      <c r="Y950" s="42"/>
      <c r="Z950" s="42"/>
      <c r="AA950" s="42"/>
      <c r="AB950" s="42"/>
      <c r="AC950" s="42"/>
      <c r="AD950" s="42"/>
      <c r="AE950" s="42"/>
      <c r="AF950" s="42"/>
    </row>
    <row r="951">
      <c r="A951" s="25"/>
      <c r="B951" s="297"/>
      <c r="C951" s="25"/>
      <c r="D951" s="25"/>
      <c r="E951" s="25"/>
      <c r="F951" s="25"/>
      <c r="G951" s="123"/>
      <c r="H951" s="123"/>
      <c r="I951" s="25"/>
      <c r="J951" s="25"/>
      <c r="K951" s="367"/>
      <c r="L951" s="42"/>
      <c r="M951" s="42"/>
      <c r="N951" s="42"/>
      <c r="O951" s="42"/>
      <c r="P951" s="42"/>
      <c r="Q951" s="42"/>
      <c r="R951" s="176"/>
      <c r="S951" s="42"/>
      <c r="T951" s="42"/>
      <c r="U951" s="46"/>
      <c r="V951" s="42"/>
      <c r="W951" s="42"/>
      <c r="X951" s="42"/>
      <c r="Y951" s="42"/>
      <c r="Z951" s="42"/>
      <c r="AA951" s="42"/>
      <c r="AB951" s="42"/>
      <c r="AC951" s="42"/>
      <c r="AD951" s="42"/>
      <c r="AE951" s="42"/>
      <c r="AF951" s="42"/>
    </row>
    <row r="952">
      <c r="A952" s="25"/>
      <c r="B952" s="297"/>
      <c r="C952" s="25"/>
      <c r="D952" s="25"/>
      <c r="E952" s="25"/>
      <c r="F952" s="25"/>
      <c r="G952" s="123"/>
      <c r="H952" s="123"/>
      <c r="I952" s="25"/>
      <c r="J952" s="25"/>
      <c r="K952" s="367"/>
      <c r="L952" s="42"/>
      <c r="M952" s="42"/>
      <c r="N952" s="42"/>
      <c r="O952" s="42"/>
      <c r="P952" s="42"/>
      <c r="Q952" s="42"/>
      <c r="R952" s="176"/>
      <c r="S952" s="42"/>
      <c r="T952" s="42"/>
      <c r="U952" s="46"/>
      <c r="V952" s="42"/>
      <c r="W952" s="42"/>
      <c r="X952" s="42"/>
      <c r="Y952" s="42"/>
      <c r="Z952" s="42"/>
      <c r="AA952" s="42"/>
      <c r="AB952" s="42"/>
      <c r="AC952" s="42"/>
      <c r="AD952" s="42"/>
      <c r="AE952" s="42"/>
      <c r="AF952" s="42"/>
    </row>
    <row r="953">
      <c r="A953" s="25"/>
      <c r="B953" s="297"/>
      <c r="C953" s="25"/>
      <c r="D953" s="25"/>
      <c r="E953" s="25"/>
      <c r="F953" s="25"/>
      <c r="G953" s="123"/>
      <c r="H953" s="123"/>
      <c r="I953" s="25"/>
      <c r="J953" s="25"/>
      <c r="K953" s="367"/>
      <c r="L953" s="42"/>
      <c r="M953" s="42"/>
      <c r="N953" s="42"/>
      <c r="O953" s="42"/>
      <c r="P953" s="42"/>
      <c r="Q953" s="42"/>
      <c r="R953" s="176"/>
      <c r="S953" s="42"/>
      <c r="T953" s="42"/>
      <c r="U953" s="46"/>
      <c r="V953" s="42"/>
      <c r="W953" s="42"/>
      <c r="X953" s="42"/>
      <c r="Y953" s="42"/>
      <c r="Z953" s="42"/>
      <c r="AA953" s="42"/>
      <c r="AB953" s="42"/>
      <c r="AC953" s="42"/>
      <c r="AD953" s="42"/>
      <c r="AE953" s="42"/>
      <c r="AF953" s="42"/>
    </row>
    <row r="954">
      <c r="A954" s="25"/>
      <c r="B954" s="297"/>
      <c r="C954" s="25"/>
      <c r="D954" s="25"/>
      <c r="E954" s="25"/>
      <c r="F954" s="25"/>
      <c r="G954" s="123"/>
      <c r="H954" s="123"/>
      <c r="I954" s="25"/>
      <c r="J954" s="25"/>
      <c r="K954" s="367"/>
      <c r="L954" s="42"/>
      <c r="M954" s="42"/>
      <c r="N954" s="42"/>
      <c r="O954" s="42"/>
      <c r="P954" s="42"/>
      <c r="Q954" s="42"/>
      <c r="R954" s="176"/>
      <c r="S954" s="42"/>
      <c r="T954" s="42"/>
      <c r="U954" s="46"/>
      <c r="V954" s="42"/>
      <c r="W954" s="42"/>
      <c r="X954" s="42"/>
      <c r="Y954" s="42"/>
      <c r="Z954" s="42"/>
      <c r="AA954" s="42"/>
      <c r="AB954" s="42"/>
      <c r="AC954" s="42"/>
      <c r="AD954" s="42"/>
      <c r="AE954" s="42"/>
      <c r="AF954" s="42"/>
    </row>
    <row r="955">
      <c r="A955" s="25"/>
      <c r="B955" s="297"/>
      <c r="C955" s="25"/>
      <c r="D955" s="25"/>
      <c r="E955" s="25"/>
      <c r="F955" s="25"/>
      <c r="G955" s="123"/>
      <c r="H955" s="123"/>
      <c r="I955" s="25"/>
      <c r="J955" s="25"/>
      <c r="K955" s="367"/>
      <c r="L955" s="42"/>
      <c r="M955" s="42"/>
      <c r="N955" s="42"/>
      <c r="O955" s="42"/>
      <c r="P955" s="42"/>
      <c r="Q955" s="42"/>
      <c r="R955" s="176"/>
      <c r="S955" s="42"/>
      <c r="T955" s="42"/>
      <c r="U955" s="46"/>
      <c r="V955" s="42"/>
      <c r="W955" s="42"/>
      <c r="X955" s="42"/>
      <c r="Y955" s="42"/>
      <c r="Z955" s="42"/>
      <c r="AA955" s="42"/>
      <c r="AB955" s="42"/>
      <c r="AC955" s="42"/>
      <c r="AD955" s="42"/>
      <c r="AE955" s="42"/>
      <c r="AF955" s="42"/>
    </row>
    <row r="956">
      <c r="A956" s="25"/>
      <c r="B956" s="297"/>
      <c r="C956" s="25"/>
      <c r="D956" s="25"/>
      <c r="E956" s="25"/>
      <c r="F956" s="25"/>
      <c r="G956" s="123"/>
      <c r="H956" s="123"/>
      <c r="I956" s="25"/>
      <c r="J956" s="25"/>
      <c r="K956" s="367"/>
      <c r="L956" s="42"/>
      <c r="M956" s="42"/>
      <c r="N956" s="42"/>
      <c r="O956" s="42"/>
      <c r="P956" s="42"/>
      <c r="Q956" s="42"/>
      <c r="R956" s="176"/>
      <c r="S956" s="42"/>
      <c r="T956" s="42"/>
      <c r="U956" s="46"/>
      <c r="V956" s="42"/>
      <c r="W956" s="42"/>
      <c r="X956" s="42"/>
      <c r="Y956" s="42"/>
      <c r="Z956" s="42"/>
      <c r="AA956" s="42"/>
      <c r="AB956" s="42"/>
      <c r="AC956" s="42"/>
      <c r="AD956" s="42"/>
      <c r="AE956" s="42"/>
      <c r="AF956" s="42"/>
    </row>
    <row r="957">
      <c r="A957" s="25"/>
      <c r="B957" s="297"/>
      <c r="C957" s="25"/>
      <c r="D957" s="25"/>
      <c r="E957" s="25"/>
      <c r="F957" s="25"/>
      <c r="G957" s="123"/>
      <c r="H957" s="123"/>
      <c r="I957" s="25"/>
      <c r="J957" s="25"/>
      <c r="K957" s="367"/>
      <c r="L957" s="42"/>
      <c r="M957" s="42"/>
      <c r="N957" s="42"/>
      <c r="O957" s="42"/>
      <c r="P957" s="42"/>
      <c r="Q957" s="42"/>
      <c r="R957" s="176"/>
      <c r="S957" s="42"/>
      <c r="T957" s="42"/>
      <c r="U957" s="46"/>
      <c r="V957" s="42"/>
      <c r="W957" s="42"/>
      <c r="X957" s="42"/>
      <c r="Y957" s="42"/>
      <c r="Z957" s="42"/>
      <c r="AA957" s="42"/>
      <c r="AB957" s="42"/>
      <c r="AC957" s="42"/>
      <c r="AD957" s="42"/>
      <c r="AE957" s="42"/>
      <c r="AF957" s="42"/>
    </row>
    <row r="958">
      <c r="A958" s="25"/>
      <c r="B958" s="297"/>
      <c r="C958" s="25"/>
      <c r="D958" s="25"/>
      <c r="E958" s="25"/>
      <c r="F958" s="25"/>
      <c r="G958" s="123"/>
      <c r="H958" s="123"/>
      <c r="I958" s="25"/>
      <c r="J958" s="25"/>
      <c r="K958" s="367"/>
      <c r="L958" s="42"/>
      <c r="M958" s="42"/>
      <c r="N958" s="42"/>
      <c r="O958" s="42"/>
      <c r="P958" s="42"/>
      <c r="Q958" s="42"/>
      <c r="R958" s="176"/>
      <c r="S958" s="42"/>
      <c r="T958" s="42"/>
      <c r="U958" s="46"/>
      <c r="V958" s="42"/>
      <c r="W958" s="42"/>
      <c r="X958" s="42"/>
      <c r="Y958" s="42"/>
      <c r="Z958" s="42"/>
      <c r="AA958" s="42"/>
      <c r="AB958" s="42"/>
      <c r="AC958" s="42"/>
      <c r="AD958" s="42"/>
      <c r="AE958" s="42"/>
      <c r="AF958" s="42"/>
    </row>
    <row r="959">
      <c r="A959" s="25"/>
      <c r="B959" s="297"/>
      <c r="C959" s="25"/>
      <c r="D959" s="25"/>
      <c r="E959" s="25"/>
      <c r="F959" s="25"/>
      <c r="G959" s="123"/>
      <c r="H959" s="123"/>
      <c r="I959" s="25"/>
      <c r="J959" s="25"/>
      <c r="K959" s="367"/>
      <c r="L959" s="42"/>
      <c r="M959" s="42"/>
      <c r="N959" s="42"/>
      <c r="O959" s="42"/>
      <c r="P959" s="42"/>
      <c r="Q959" s="42"/>
      <c r="R959" s="176"/>
      <c r="S959" s="42"/>
      <c r="T959" s="42"/>
      <c r="U959" s="46"/>
      <c r="V959" s="42"/>
      <c r="W959" s="42"/>
      <c r="X959" s="42"/>
      <c r="Y959" s="42"/>
      <c r="Z959" s="42"/>
      <c r="AA959" s="42"/>
      <c r="AB959" s="42"/>
      <c r="AC959" s="42"/>
      <c r="AD959" s="42"/>
      <c r="AE959" s="42"/>
      <c r="AF959" s="42"/>
    </row>
    <row r="960">
      <c r="A960" s="25"/>
      <c r="B960" s="297"/>
      <c r="C960" s="25"/>
      <c r="D960" s="25"/>
      <c r="E960" s="25"/>
      <c r="F960" s="25"/>
      <c r="G960" s="123"/>
      <c r="H960" s="123"/>
      <c r="I960" s="25"/>
      <c r="J960" s="25"/>
      <c r="K960" s="367"/>
      <c r="L960" s="42"/>
      <c r="M960" s="42"/>
      <c r="N960" s="42"/>
      <c r="O960" s="42"/>
      <c r="P960" s="42"/>
      <c r="Q960" s="42"/>
      <c r="R960" s="176"/>
      <c r="S960" s="42"/>
      <c r="T960" s="42"/>
      <c r="U960" s="46"/>
      <c r="V960" s="42"/>
      <c r="W960" s="42"/>
      <c r="X960" s="42"/>
      <c r="Y960" s="42"/>
      <c r="Z960" s="42"/>
      <c r="AA960" s="42"/>
      <c r="AB960" s="42"/>
      <c r="AC960" s="42"/>
      <c r="AD960" s="42"/>
      <c r="AE960" s="42"/>
      <c r="AF960" s="42"/>
    </row>
    <row r="961">
      <c r="A961" s="25"/>
      <c r="B961" s="297"/>
      <c r="C961" s="25"/>
      <c r="D961" s="25"/>
      <c r="E961" s="25"/>
      <c r="F961" s="25"/>
      <c r="G961" s="123"/>
      <c r="H961" s="123"/>
      <c r="I961" s="25"/>
      <c r="J961" s="25"/>
      <c r="K961" s="367"/>
      <c r="L961" s="42"/>
      <c r="M961" s="42"/>
      <c r="N961" s="42"/>
      <c r="O961" s="42"/>
      <c r="P961" s="42"/>
      <c r="Q961" s="42"/>
      <c r="R961" s="176"/>
      <c r="S961" s="42"/>
      <c r="T961" s="42"/>
      <c r="U961" s="46"/>
      <c r="V961" s="42"/>
      <c r="W961" s="42"/>
      <c r="X961" s="42"/>
      <c r="Y961" s="42"/>
      <c r="Z961" s="42"/>
      <c r="AA961" s="42"/>
      <c r="AB961" s="42"/>
      <c r="AC961" s="42"/>
      <c r="AD961" s="42"/>
      <c r="AE961" s="42"/>
      <c r="AF961" s="42"/>
    </row>
    <row r="962">
      <c r="A962" s="25"/>
      <c r="B962" s="297"/>
      <c r="C962" s="25"/>
      <c r="D962" s="25"/>
      <c r="E962" s="25"/>
      <c r="F962" s="25"/>
      <c r="G962" s="123"/>
      <c r="H962" s="123"/>
      <c r="I962" s="25"/>
      <c r="J962" s="25"/>
      <c r="K962" s="367"/>
      <c r="L962" s="42"/>
      <c r="M962" s="42"/>
      <c r="N962" s="42"/>
      <c r="O962" s="42"/>
      <c r="P962" s="42"/>
      <c r="Q962" s="42"/>
      <c r="R962" s="176"/>
      <c r="S962" s="42"/>
      <c r="T962" s="42"/>
      <c r="U962" s="46"/>
      <c r="V962" s="42"/>
      <c r="W962" s="42"/>
      <c r="X962" s="42"/>
      <c r="Y962" s="42"/>
      <c r="Z962" s="42"/>
      <c r="AA962" s="42"/>
      <c r="AB962" s="42"/>
      <c r="AC962" s="42"/>
      <c r="AD962" s="42"/>
      <c r="AE962" s="42"/>
      <c r="AF962" s="42"/>
    </row>
    <row r="963">
      <c r="A963" s="25"/>
      <c r="B963" s="297"/>
      <c r="C963" s="25"/>
      <c r="D963" s="25"/>
      <c r="E963" s="25"/>
      <c r="F963" s="25"/>
      <c r="G963" s="123"/>
      <c r="H963" s="123"/>
      <c r="I963" s="25"/>
      <c r="J963" s="25"/>
      <c r="K963" s="367"/>
      <c r="L963" s="42"/>
      <c r="M963" s="42"/>
      <c r="N963" s="42"/>
      <c r="O963" s="42"/>
      <c r="P963" s="42"/>
      <c r="Q963" s="42"/>
      <c r="R963" s="176"/>
      <c r="S963" s="42"/>
      <c r="T963" s="42"/>
      <c r="U963" s="46"/>
      <c r="V963" s="42"/>
      <c r="W963" s="42"/>
      <c r="X963" s="42"/>
      <c r="Y963" s="42"/>
      <c r="Z963" s="42"/>
      <c r="AA963" s="42"/>
      <c r="AB963" s="42"/>
      <c r="AC963" s="42"/>
      <c r="AD963" s="42"/>
      <c r="AE963" s="42"/>
      <c r="AF963" s="42"/>
    </row>
    <row r="964">
      <c r="A964" s="25"/>
      <c r="B964" s="297"/>
      <c r="C964" s="25"/>
      <c r="D964" s="25"/>
      <c r="E964" s="25"/>
      <c r="F964" s="25"/>
      <c r="G964" s="123"/>
      <c r="H964" s="123"/>
      <c r="I964" s="25"/>
      <c r="J964" s="25"/>
      <c r="K964" s="367"/>
      <c r="L964" s="42"/>
      <c r="M964" s="42"/>
      <c r="N964" s="42"/>
      <c r="O964" s="42"/>
      <c r="P964" s="42"/>
      <c r="Q964" s="42"/>
      <c r="R964" s="176"/>
      <c r="S964" s="42"/>
      <c r="T964" s="42"/>
      <c r="U964" s="46"/>
      <c r="V964" s="42"/>
      <c r="W964" s="42"/>
      <c r="X964" s="42"/>
      <c r="Y964" s="42"/>
      <c r="Z964" s="42"/>
      <c r="AA964" s="42"/>
      <c r="AB964" s="42"/>
      <c r="AC964" s="42"/>
      <c r="AD964" s="42"/>
      <c r="AE964" s="42"/>
      <c r="AF964" s="42"/>
    </row>
    <row r="965">
      <c r="A965" s="25"/>
      <c r="B965" s="297"/>
      <c r="C965" s="25"/>
      <c r="D965" s="25"/>
      <c r="E965" s="25"/>
      <c r="F965" s="25"/>
      <c r="G965" s="123"/>
      <c r="H965" s="123"/>
      <c r="I965" s="25"/>
      <c r="J965" s="25"/>
      <c r="K965" s="367"/>
      <c r="L965" s="42"/>
      <c r="M965" s="42"/>
      <c r="N965" s="42"/>
      <c r="O965" s="42"/>
      <c r="P965" s="42"/>
      <c r="Q965" s="42"/>
      <c r="R965" s="176"/>
      <c r="S965" s="42"/>
      <c r="T965" s="42"/>
      <c r="U965" s="46"/>
      <c r="V965" s="42"/>
      <c r="W965" s="42"/>
      <c r="X965" s="42"/>
      <c r="Y965" s="42"/>
      <c r="Z965" s="42"/>
      <c r="AA965" s="42"/>
      <c r="AB965" s="42"/>
      <c r="AC965" s="42"/>
      <c r="AD965" s="42"/>
      <c r="AE965" s="42"/>
      <c r="AF965" s="42"/>
    </row>
    <row r="966">
      <c r="A966" s="25"/>
      <c r="B966" s="297"/>
      <c r="C966" s="25"/>
      <c r="D966" s="25"/>
      <c r="E966" s="25"/>
      <c r="F966" s="25"/>
      <c r="G966" s="123"/>
      <c r="H966" s="123"/>
      <c r="I966" s="25"/>
      <c r="J966" s="25"/>
      <c r="K966" s="367"/>
      <c r="L966" s="42"/>
      <c r="M966" s="42"/>
      <c r="N966" s="42"/>
      <c r="O966" s="42"/>
      <c r="P966" s="42"/>
      <c r="Q966" s="42"/>
      <c r="R966" s="176"/>
      <c r="S966" s="42"/>
      <c r="T966" s="42"/>
      <c r="U966" s="46"/>
      <c r="V966" s="42"/>
      <c r="W966" s="42"/>
      <c r="X966" s="42"/>
      <c r="Y966" s="42"/>
      <c r="Z966" s="42"/>
      <c r="AA966" s="42"/>
      <c r="AB966" s="42"/>
      <c r="AC966" s="42"/>
      <c r="AD966" s="42"/>
      <c r="AE966" s="42"/>
      <c r="AF966" s="42"/>
    </row>
    <row r="967">
      <c r="A967" s="25"/>
      <c r="B967" s="297"/>
      <c r="C967" s="25"/>
      <c r="D967" s="25"/>
      <c r="E967" s="25"/>
      <c r="F967" s="25"/>
      <c r="G967" s="123"/>
      <c r="H967" s="123"/>
      <c r="I967" s="25"/>
      <c r="J967" s="25"/>
      <c r="K967" s="367"/>
      <c r="L967" s="42"/>
      <c r="M967" s="42"/>
      <c r="N967" s="42"/>
      <c r="O967" s="42"/>
      <c r="P967" s="42"/>
      <c r="Q967" s="42"/>
      <c r="R967" s="176"/>
      <c r="S967" s="42"/>
      <c r="T967" s="42"/>
      <c r="U967" s="46"/>
      <c r="V967" s="42"/>
      <c r="W967" s="42"/>
      <c r="X967" s="42"/>
      <c r="Y967" s="42"/>
      <c r="Z967" s="42"/>
      <c r="AA967" s="42"/>
      <c r="AB967" s="42"/>
      <c r="AC967" s="42"/>
      <c r="AD967" s="42"/>
      <c r="AE967" s="42"/>
      <c r="AF967" s="42"/>
    </row>
    <row r="968">
      <c r="A968" s="25"/>
      <c r="B968" s="297"/>
      <c r="C968" s="25"/>
      <c r="D968" s="25"/>
      <c r="E968" s="25"/>
      <c r="F968" s="25"/>
      <c r="G968" s="123"/>
      <c r="H968" s="123"/>
      <c r="I968" s="25"/>
      <c r="J968" s="25"/>
      <c r="K968" s="367"/>
      <c r="L968" s="42"/>
      <c r="M968" s="42"/>
      <c r="N968" s="42"/>
      <c r="O968" s="42"/>
      <c r="P968" s="42"/>
      <c r="Q968" s="42"/>
      <c r="R968" s="176"/>
      <c r="S968" s="42"/>
      <c r="T968" s="42"/>
      <c r="U968" s="46"/>
      <c r="V968" s="42"/>
      <c r="W968" s="42"/>
      <c r="X968" s="42"/>
      <c r="Y968" s="42"/>
      <c r="Z968" s="42"/>
      <c r="AA968" s="42"/>
      <c r="AB968" s="42"/>
      <c r="AC968" s="42"/>
      <c r="AD968" s="42"/>
      <c r="AE968" s="42"/>
      <c r="AF968" s="42"/>
    </row>
    <row r="969">
      <c r="A969" s="25"/>
      <c r="B969" s="297"/>
      <c r="C969" s="25"/>
      <c r="D969" s="25"/>
      <c r="E969" s="25"/>
      <c r="F969" s="25"/>
      <c r="G969" s="123"/>
      <c r="H969" s="123"/>
      <c r="I969" s="25"/>
      <c r="J969" s="25"/>
      <c r="K969" s="367"/>
      <c r="L969" s="42"/>
      <c r="M969" s="42"/>
      <c r="N969" s="42"/>
      <c r="O969" s="42"/>
      <c r="P969" s="42"/>
      <c r="Q969" s="42"/>
      <c r="R969" s="176"/>
      <c r="S969" s="42"/>
      <c r="T969" s="42"/>
      <c r="U969" s="46"/>
      <c r="V969" s="42"/>
      <c r="W969" s="42"/>
      <c r="X969" s="42"/>
      <c r="Y969" s="42"/>
      <c r="Z969" s="42"/>
      <c r="AA969" s="42"/>
      <c r="AB969" s="42"/>
      <c r="AC969" s="42"/>
      <c r="AD969" s="42"/>
      <c r="AE969" s="42"/>
      <c r="AF969" s="42"/>
    </row>
    <row r="970">
      <c r="A970" s="25"/>
      <c r="B970" s="297"/>
      <c r="C970" s="25"/>
      <c r="D970" s="25"/>
      <c r="E970" s="25"/>
      <c r="F970" s="25"/>
      <c r="G970" s="123"/>
      <c r="H970" s="123"/>
      <c r="I970" s="25"/>
      <c r="J970" s="25"/>
      <c r="K970" s="367"/>
      <c r="L970" s="42"/>
      <c r="M970" s="42"/>
      <c r="N970" s="42"/>
      <c r="O970" s="42"/>
      <c r="P970" s="42"/>
      <c r="Q970" s="42"/>
      <c r="R970" s="176"/>
      <c r="S970" s="42"/>
      <c r="T970" s="42"/>
      <c r="U970" s="46"/>
      <c r="V970" s="42"/>
      <c r="W970" s="42"/>
      <c r="X970" s="42"/>
      <c r="Y970" s="42"/>
      <c r="Z970" s="42"/>
      <c r="AA970" s="42"/>
      <c r="AB970" s="42"/>
      <c r="AC970" s="42"/>
      <c r="AD970" s="42"/>
      <c r="AE970" s="42"/>
      <c r="AF970" s="42"/>
    </row>
    <row r="971">
      <c r="A971" s="25"/>
      <c r="B971" s="297"/>
      <c r="C971" s="25"/>
      <c r="D971" s="25"/>
      <c r="E971" s="25"/>
      <c r="F971" s="25"/>
      <c r="G971" s="123"/>
      <c r="H971" s="123"/>
      <c r="I971" s="25"/>
      <c r="J971" s="25"/>
      <c r="K971" s="367"/>
      <c r="L971" s="42"/>
      <c r="M971" s="42"/>
      <c r="N971" s="42"/>
      <c r="O971" s="42"/>
      <c r="P971" s="42"/>
      <c r="Q971" s="42"/>
      <c r="R971" s="176"/>
      <c r="S971" s="42"/>
      <c r="T971" s="42"/>
      <c r="U971" s="46"/>
      <c r="V971" s="42"/>
      <c r="W971" s="42"/>
      <c r="X971" s="42"/>
      <c r="Y971" s="42"/>
      <c r="Z971" s="42"/>
      <c r="AA971" s="42"/>
      <c r="AB971" s="42"/>
      <c r="AC971" s="42"/>
      <c r="AD971" s="42"/>
      <c r="AE971" s="42"/>
      <c r="AF971" s="42"/>
    </row>
    <row r="972">
      <c r="A972" s="25"/>
      <c r="B972" s="297"/>
      <c r="C972" s="25"/>
      <c r="D972" s="25"/>
      <c r="E972" s="25"/>
      <c r="F972" s="25"/>
      <c r="G972" s="123"/>
      <c r="H972" s="123"/>
      <c r="I972" s="25"/>
      <c r="J972" s="25"/>
      <c r="K972" s="367"/>
      <c r="L972" s="42"/>
      <c r="M972" s="42"/>
      <c r="N972" s="42"/>
      <c r="O972" s="42"/>
      <c r="P972" s="42"/>
      <c r="Q972" s="42"/>
      <c r="R972" s="176"/>
      <c r="S972" s="42"/>
      <c r="T972" s="42"/>
      <c r="U972" s="46"/>
      <c r="V972" s="42"/>
      <c r="W972" s="42"/>
      <c r="X972" s="42"/>
      <c r="Y972" s="42"/>
      <c r="Z972" s="42"/>
      <c r="AA972" s="42"/>
      <c r="AB972" s="42"/>
      <c r="AC972" s="42"/>
      <c r="AD972" s="42"/>
      <c r="AE972" s="42"/>
      <c r="AF972" s="42"/>
    </row>
    <row r="973">
      <c r="A973" s="25"/>
      <c r="B973" s="297"/>
      <c r="C973" s="25"/>
      <c r="D973" s="25"/>
      <c r="E973" s="25"/>
      <c r="F973" s="25"/>
      <c r="G973" s="123"/>
      <c r="H973" s="123"/>
      <c r="I973" s="25"/>
      <c r="J973" s="25"/>
      <c r="K973" s="367"/>
      <c r="L973" s="42"/>
      <c r="M973" s="42"/>
      <c r="N973" s="42"/>
      <c r="O973" s="42"/>
      <c r="P973" s="42"/>
      <c r="Q973" s="42"/>
      <c r="R973" s="176"/>
      <c r="S973" s="42"/>
      <c r="T973" s="42"/>
      <c r="U973" s="46"/>
      <c r="V973" s="42"/>
      <c r="W973" s="42"/>
      <c r="X973" s="42"/>
      <c r="Y973" s="42"/>
      <c r="Z973" s="42"/>
      <c r="AA973" s="42"/>
      <c r="AB973" s="42"/>
      <c r="AC973" s="42"/>
      <c r="AD973" s="42"/>
      <c r="AE973" s="42"/>
      <c r="AF973" s="42"/>
    </row>
    <row r="974">
      <c r="A974" s="25"/>
      <c r="B974" s="297"/>
      <c r="C974" s="25"/>
      <c r="D974" s="25"/>
      <c r="E974" s="25"/>
      <c r="F974" s="25"/>
      <c r="G974" s="123"/>
      <c r="H974" s="123"/>
      <c r="I974" s="25"/>
      <c r="J974" s="25"/>
      <c r="K974" s="367"/>
      <c r="L974" s="42"/>
      <c r="M974" s="42"/>
      <c r="N974" s="42"/>
      <c r="O974" s="42"/>
      <c r="P974" s="42"/>
      <c r="Q974" s="42"/>
      <c r="R974" s="176"/>
      <c r="S974" s="42"/>
      <c r="T974" s="42"/>
      <c r="U974" s="46"/>
      <c r="V974" s="42"/>
      <c r="W974" s="42"/>
      <c r="X974" s="42"/>
      <c r="Y974" s="42"/>
      <c r="Z974" s="42"/>
      <c r="AA974" s="42"/>
      <c r="AB974" s="42"/>
      <c r="AC974" s="42"/>
      <c r="AD974" s="42"/>
      <c r="AE974" s="42"/>
      <c r="AF974" s="42"/>
    </row>
    <row r="975">
      <c r="A975" s="25"/>
      <c r="B975" s="297"/>
      <c r="C975" s="25"/>
      <c r="D975" s="25"/>
      <c r="E975" s="25"/>
      <c r="F975" s="25"/>
      <c r="G975" s="123"/>
      <c r="H975" s="123"/>
      <c r="I975" s="25"/>
      <c r="J975" s="25"/>
      <c r="K975" s="367"/>
      <c r="L975" s="42"/>
      <c r="M975" s="42"/>
      <c r="N975" s="42"/>
      <c r="O975" s="42"/>
      <c r="P975" s="42"/>
      <c r="Q975" s="42"/>
      <c r="R975" s="176"/>
      <c r="S975" s="42"/>
      <c r="T975" s="42"/>
      <c r="U975" s="46"/>
      <c r="V975" s="42"/>
      <c r="W975" s="42"/>
      <c r="X975" s="42"/>
      <c r="Y975" s="42"/>
      <c r="Z975" s="42"/>
      <c r="AA975" s="42"/>
      <c r="AB975" s="42"/>
      <c r="AC975" s="42"/>
      <c r="AD975" s="42"/>
      <c r="AE975" s="42"/>
      <c r="AF975" s="42"/>
    </row>
    <row r="976">
      <c r="A976" s="25"/>
      <c r="B976" s="297"/>
      <c r="C976" s="25"/>
      <c r="D976" s="25"/>
      <c r="E976" s="25"/>
      <c r="F976" s="25"/>
      <c r="G976" s="123"/>
      <c r="H976" s="123"/>
      <c r="I976" s="25"/>
      <c r="J976" s="25"/>
      <c r="K976" s="367"/>
      <c r="L976" s="42"/>
      <c r="M976" s="42"/>
      <c r="N976" s="42"/>
      <c r="O976" s="42"/>
      <c r="P976" s="42"/>
      <c r="Q976" s="42"/>
      <c r="R976" s="176"/>
      <c r="S976" s="42"/>
      <c r="T976" s="42"/>
      <c r="U976" s="46"/>
      <c r="V976" s="42"/>
      <c r="W976" s="42"/>
      <c r="X976" s="42"/>
      <c r="Y976" s="42"/>
      <c r="Z976" s="42"/>
      <c r="AA976" s="42"/>
      <c r="AB976" s="42"/>
      <c r="AC976" s="42"/>
      <c r="AD976" s="42"/>
      <c r="AE976" s="42"/>
      <c r="AF976" s="42"/>
    </row>
    <row r="977">
      <c r="A977" s="25"/>
      <c r="B977" s="297"/>
      <c r="C977" s="25"/>
      <c r="D977" s="25"/>
      <c r="E977" s="25"/>
      <c r="F977" s="25"/>
      <c r="G977" s="123"/>
      <c r="H977" s="123"/>
      <c r="I977" s="25"/>
      <c r="J977" s="25"/>
      <c r="K977" s="367"/>
      <c r="L977" s="42"/>
      <c r="M977" s="42"/>
      <c r="N977" s="42"/>
      <c r="O977" s="42"/>
      <c r="P977" s="42"/>
      <c r="Q977" s="42"/>
      <c r="R977" s="176"/>
      <c r="S977" s="42"/>
      <c r="T977" s="42"/>
      <c r="U977" s="46"/>
      <c r="V977" s="42"/>
      <c r="W977" s="42"/>
      <c r="X977" s="42"/>
      <c r="Y977" s="42"/>
      <c r="Z977" s="42"/>
      <c r="AA977" s="42"/>
      <c r="AB977" s="42"/>
      <c r="AC977" s="42"/>
      <c r="AD977" s="42"/>
      <c r="AE977" s="42"/>
      <c r="AF977" s="42"/>
    </row>
    <row r="978">
      <c r="A978" s="25"/>
      <c r="B978" s="297"/>
      <c r="C978" s="25"/>
      <c r="D978" s="25"/>
      <c r="E978" s="25"/>
      <c r="F978" s="25"/>
      <c r="G978" s="123"/>
      <c r="H978" s="123"/>
      <c r="I978" s="25"/>
      <c r="J978" s="25"/>
      <c r="K978" s="367"/>
      <c r="L978" s="42"/>
      <c r="M978" s="42"/>
      <c r="N978" s="42"/>
      <c r="O978" s="42"/>
      <c r="P978" s="42"/>
      <c r="Q978" s="42"/>
      <c r="R978" s="176"/>
      <c r="S978" s="42"/>
      <c r="T978" s="42"/>
      <c r="U978" s="46"/>
      <c r="V978" s="42"/>
      <c r="W978" s="42"/>
      <c r="X978" s="42"/>
      <c r="Y978" s="42"/>
      <c r="Z978" s="42"/>
      <c r="AA978" s="42"/>
      <c r="AB978" s="42"/>
      <c r="AC978" s="42"/>
      <c r="AD978" s="42"/>
      <c r="AE978" s="42"/>
      <c r="AF978" s="42"/>
    </row>
    <row r="979">
      <c r="A979" s="25"/>
      <c r="B979" s="297"/>
      <c r="C979" s="25"/>
      <c r="D979" s="25"/>
      <c r="E979" s="25"/>
      <c r="F979" s="25"/>
      <c r="G979" s="123"/>
      <c r="H979" s="123"/>
      <c r="I979" s="25"/>
      <c r="J979" s="25"/>
      <c r="K979" s="367"/>
      <c r="L979" s="42"/>
      <c r="M979" s="42"/>
      <c r="N979" s="42"/>
      <c r="O979" s="42"/>
      <c r="P979" s="42"/>
      <c r="Q979" s="42"/>
      <c r="R979" s="176"/>
      <c r="S979" s="42"/>
      <c r="T979" s="42"/>
      <c r="U979" s="46"/>
      <c r="V979" s="42"/>
      <c r="W979" s="42"/>
      <c r="X979" s="42"/>
      <c r="Y979" s="42"/>
      <c r="Z979" s="42"/>
      <c r="AA979" s="42"/>
      <c r="AB979" s="42"/>
      <c r="AC979" s="42"/>
      <c r="AD979" s="42"/>
      <c r="AE979" s="42"/>
      <c r="AF979" s="42"/>
    </row>
    <row r="980">
      <c r="A980" s="25"/>
      <c r="B980" s="297"/>
      <c r="C980" s="25"/>
      <c r="D980" s="25"/>
      <c r="E980" s="25"/>
      <c r="F980" s="25"/>
      <c r="G980" s="123"/>
      <c r="H980" s="123"/>
      <c r="I980" s="25"/>
      <c r="J980" s="25"/>
      <c r="K980" s="367"/>
      <c r="L980" s="42"/>
      <c r="M980" s="42"/>
      <c r="N980" s="42"/>
      <c r="O980" s="42"/>
      <c r="P980" s="42"/>
      <c r="Q980" s="42"/>
      <c r="R980" s="176"/>
      <c r="S980" s="42"/>
      <c r="T980" s="42"/>
      <c r="U980" s="46"/>
      <c r="V980" s="42"/>
      <c r="W980" s="42"/>
      <c r="X980" s="42"/>
      <c r="Y980" s="42"/>
      <c r="Z980" s="42"/>
      <c r="AA980" s="42"/>
      <c r="AB980" s="42"/>
      <c r="AC980" s="42"/>
      <c r="AD980" s="42"/>
      <c r="AE980" s="42"/>
      <c r="AF980" s="42"/>
    </row>
    <row r="981">
      <c r="A981" s="25"/>
      <c r="B981" s="297"/>
      <c r="C981" s="25"/>
      <c r="D981" s="25"/>
      <c r="E981" s="25"/>
      <c r="F981" s="25"/>
      <c r="G981" s="123"/>
      <c r="H981" s="123"/>
      <c r="I981" s="25"/>
      <c r="J981" s="25"/>
      <c r="K981" s="367"/>
      <c r="L981" s="42"/>
      <c r="M981" s="42"/>
      <c r="N981" s="42"/>
      <c r="O981" s="42"/>
      <c r="P981" s="42"/>
      <c r="Q981" s="42"/>
      <c r="R981" s="176"/>
      <c r="S981" s="42"/>
      <c r="T981" s="42"/>
      <c r="U981" s="46"/>
      <c r="V981" s="42"/>
      <c r="W981" s="42"/>
      <c r="X981" s="42"/>
      <c r="Y981" s="42"/>
      <c r="Z981" s="42"/>
      <c r="AA981" s="42"/>
      <c r="AB981" s="42"/>
      <c r="AC981" s="42"/>
      <c r="AD981" s="42"/>
      <c r="AE981" s="42"/>
      <c r="AF981" s="42"/>
    </row>
    <row r="982">
      <c r="A982" s="25"/>
      <c r="B982" s="297"/>
      <c r="C982" s="25"/>
      <c r="D982" s="25"/>
      <c r="E982" s="25"/>
      <c r="F982" s="25"/>
      <c r="G982" s="123"/>
      <c r="H982" s="123"/>
      <c r="I982" s="25"/>
      <c r="J982" s="25"/>
      <c r="K982" s="367"/>
      <c r="L982" s="42"/>
      <c r="M982" s="42"/>
      <c r="N982" s="42"/>
      <c r="O982" s="42"/>
      <c r="P982" s="42"/>
      <c r="Q982" s="42"/>
      <c r="R982" s="176"/>
      <c r="S982" s="42"/>
      <c r="T982" s="42"/>
      <c r="U982" s="46"/>
      <c r="V982" s="42"/>
      <c r="W982" s="42"/>
      <c r="X982" s="42"/>
      <c r="Y982" s="42"/>
      <c r="Z982" s="42"/>
      <c r="AA982" s="42"/>
      <c r="AB982" s="42"/>
      <c r="AC982" s="42"/>
      <c r="AD982" s="42"/>
      <c r="AE982" s="42"/>
      <c r="AF982" s="42"/>
    </row>
    <row r="983">
      <c r="A983" s="25"/>
      <c r="B983" s="297"/>
      <c r="C983" s="25"/>
      <c r="D983" s="25"/>
      <c r="E983" s="25"/>
      <c r="F983" s="25"/>
      <c r="G983" s="123"/>
      <c r="H983" s="123"/>
      <c r="I983" s="25"/>
      <c r="J983" s="25"/>
      <c r="K983" s="367"/>
      <c r="L983" s="42"/>
      <c r="M983" s="42"/>
      <c r="N983" s="42"/>
      <c r="O983" s="42"/>
      <c r="P983" s="42"/>
      <c r="Q983" s="42"/>
      <c r="R983" s="176"/>
      <c r="S983" s="42"/>
      <c r="T983" s="42"/>
      <c r="U983" s="46"/>
      <c r="V983" s="42"/>
      <c r="W983" s="42"/>
      <c r="X983" s="42"/>
      <c r="Y983" s="42"/>
      <c r="Z983" s="42"/>
      <c r="AA983" s="42"/>
      <c r="AB983" s="42"/>
      <c r="AC983" s="42"/>
      <c r="AD983" s="42"/>
      <c r="AE983" s="42"/>
      <c r="AF983" s="42"/>
    </row>
    <row r="984">
      <c r="A984" s="25"/>
      <c r="B984" s="297"/>
      <c r="C984" s="25"/>
      <c r="D984" s="25"/>
      <c r="E984" s="25"/>
      <c r="F984" s="25"/>
      <c r="G984" s="123"/>
      <c r="H984" s="123"/>
      <c r="I984" s="25"/>
      <c r="J984" s="25"/>
      <c r="K984" s="367"/>
      <c r="L984" s="42"/>
      <c r="M984" s="42"/>
      <c r="N984" s="42"/>
      <c r="O984" s="42"/>
      <c r="P984" s="42"/>
      <c r="Q984" s="42"/>
      <c r="R984" s="176"/>
      <c r="S984" s="42"/>
      <c r="T984" s="42"/>
      <c r="U984" s="46"/>
      <c r="V984" s="42"/>
      <c r="W984" s="42"/>
      <c r="X984" s="42"/>
      <c r="Y984" s="42"/>
      <c r="Z984" s="42"/>
      <c r="AA984" s="42"/>
      <c r="AB984" s="42"/>
      <c r="AC984" s="42"/>
      <c r="AD984" s="42"/>
      <c r="AE984" s="42"/>
      <c r="AF984" s="42"/>
    </row>
    <row r="985">
      <c r="A985" s="25"/>
      <c r="B985" s="297"/>
      <c r="C985" s="25"/>
      <c r="D985" s="25"/>
      <c r="E985" s="25"/>
      <c r="F985" s="25"/>
      <c r="G985" s="123"/>
      <c r="H985" s="123"/>
      <c r="I985" s="25"/>
      <c r="J985" s="25"/>
      <c r="K985" s="367"/>
      <c r="L985" s="42"/>
      <c r="M985" s="42"/>
      <c r="N985" s="42"/>
      <c r="O985" s="42"/>
      <c r="P985" s="42"/>
      <c r="Q985" s="42"/>
      <c r="R985" s="176"/>
      <c r="S985" s="42"/>
      <c r="T985" s="42"/>
      <c r="U985" s="46"/>
      <c r="V985" s="42"/>
      <c r="W985" s="42"/>
      <c r="X985" s="42"/>
      <c r="Y985" s="42"/>
      <c r="Z985" s="42"/>
      <c r="AA985" s="42"/>
      <c r="AB985" s="42"/>
      <c r="AC985" s="42"/>
      <c r="AD985" s="42"/>
      <c r="AE985" s="42"/>
      <c r="AF985" s="42"/>
    </row>
    <row r="986">
      <c r="A986" s="25"/>
      <c r="B986" s="297"/>
      <c r="C986" s="25"/>
      <c r="D986" s="25"/>
      <c r="E986" s="25"/>
      <c r="F986" s="25"/>
      <c r="G986" s="123"/>
      <c r="H986" s="123"/>
      <c r="I986" s="25"/>
      <c r="J986" s="25"/>
      <c r="K986" s="367"/>
      <c r="L986" s="42"/>
      <c r="M986" s="42"/>
      <c r="N986" s="42"/>
      <c r="O986" s="42"/>
      <c r="P986" s="42"/>
      <c r="Q986" s="42"/>
      <c r="R986" s="176"/>
      <c r="S986" s="42"/>
      <c r="T986" s="42"/>
      <c r="U986" s="46"/>
      <c r="V986" s="42"/>
      <c r="W986" s="42"/>
      <c r="X986" s="42"/>
      <c r="Y986" s="42"/>
      <c r="Z986" s="42"/>
      <c r="AA986" s="42"/>
      <c r="AB986" s="42"/>
      <c r="AC986" s="42"/>
      <c r="AD986" s="42"/>
      <c r="AE986" s="42"/>
      <c r="AF986" s="42"/>
    </row>
    <row r="987">
      <c r="A987" s="25"/>
      <c r="B987" s="297"/>
      <c r="C987" s="25"/>
      <c r="D987" s="25"/>
      <c r="E987" s="25"/>
      <c r="F987" s="25"/>
      <c r="G987" s="123"/>
      <c r="H987" s="123"/>
      <c r="I987" s="25"/>
      <c r="J987" s="25"/>
      <c r="K987" s="367"/>
      <c r="L987" s="42"/>
      <c r="M987" s="42"/>
      <c r="N987" s="42"/>
      <c r="O987" s="42"/>
      <c r="P987" s="42"/>
      <c r="Q987" s="42"/>
      <c r="R987" s="176"/>
      <c r="S987" s="42"/>
      <c r="T987" s="42"/>
      <c r="U987" s="46"/>
      <c r="V987" s="42"/>
      <c r="W987" s="42"/>
      <c r="X987" s="42"/>
      <c r="Y987" s="42"/>
      <c r="Z987" s="42"/>
      <c r="AA987" s="42"/>
      <c r="AB987" s="42"/>
      <c r="AC987" s="42"/>
      <c r="AD987" s="42"/>
      <c r="AE987" s="42"/>
      <c r="AF987" s="42"/>
    </row>
    <row r="988">
      <c r="A988" s="25"/>
      <c r="B988" s="297"/>
      <c r="C988" s="25"/>
      <c r="D988" s="25"/>
      <c r="E988" s="25"/>
      <c r="F988" s="25"/>
      <c r="G988" s="123"/>
      <c r="H988" s="123"/>
      <c r="I988" s="25"/>
      <c r="J988" s="25"/>
      <c r="K988" s="367"/>
      <c r="L988" s="42"/>
      <c r="M988" s="42"/>
      <c r="N988" s="42"/>
      <c r="O988" s="42"/>
      <c r="P988" s="42"/>
      <c r="Q988" s="42"/>
      <c r="R988" s="176"/>
      <c r="S988" s="42"/>
      <c r="T988" s="42"/>
      <c r="U988" s="46"/>
      <c r="V988" s="42"/>
      <c r="W988" s="42"/>
      <c r="X988" s="42"/>
      <c r="Y988" s="42"/>
      <c r="Z988" s="42"/>
      <c r="AA988" s="42"/>
      <c r="AB988" s="42"/>
      <c r="AC988" s="42"/>
      <c r="AD988" s="42"/>
      <c r="AE988" s="42"/>
      <c r="AF988" s="42"/>
    </row>
    <row r="989">
      <c r="A989" s="25"/>
      <c r="B989" s="297"/>
      <c r="C989" s="25"/>
      <c r="D989" s="25"/>
      <c r="E989" s="25"/>
      <c r="F989" s="25"/>
      <c r="G989" s="123"/>
      <c r="H989" s="123"/>
      <c r="I989" s="25"/>
      <c r="J989" s="25"/>
      <c r="K989" s="367"/>
      <c r="L989" s="42"/>
      <c r="M989" s="42"/>
      <c r="N989" s="42"/>
      <c r="O989" s="42"/>
      <c r="P989" s="42"/>
      <c r="Q989" s="42"/>
      <c r="R989" s="176"/>
      <c r="S989" s="42"/>
      <c r="T989" s="42"/>
      <c r="U989" s="46"/>
      <c r="V989" s="42"/>
      <c r="W989" s="42"/>
      <c r="X989" s="42"/>
      <c r="Y989" s="42"/>
      <c r="Z989" s="42"/>
      <c r="AA989" s="42"/>
      <c r="AB989" s="42"/>
      <c r="AC989" s="42"/>
      <c r="AD989" s="42"/>
      <c r="AE989" s="42"/>
      <c r="AF989" s="42"/>
    </row>
    <row r="990">
      <c r="A990" s="25"/>
      <c r="B990" s="297"/>
      <c r="C990" s="25"/>
      <c r="D990" s="25"/>
      <c r="E990" s="25"/>
      <c r="F990" s="25"/>
      <c r="G990" s="123"/>
      <c r="H990" s="123"/>
      <c r="I990" s="25"/>
      <c r="J990" s="25"/>
      <c r="K990" s="367"/>
      <c r="L990" s="42"/>
      <c r="M990" s="42"/>
      <c r="N990" s="42"/>
      <c r="O990" s="42"/>
      <c r="P990" s="42"/>
      <c r="Q990" s="42"/>
      <c r="R990" s="176"/>
      <c r="S990" s="42"/>
      <c r="T990" s="42"/>
      <c r="U990" s="46"/>
      <c r="V990" s="42"/>
      <c r="W990" s="42"/>
      <c r="X990" s="42"/>
      <c r="Y990" s="42"/>
      <c r="Z990" s="42"/>
      <c r="AA990" s="42"/>
      <c r="AB990" s="42"/>
      <c r="AC990" s="42"/>
      <c r="AD990" s="42"/>
      <c r="AE990" s="42"/>
      <c r="AF990" s="42"/>
    </row>
    <row r="991">
      <c r="A991" s="25"/>
      <c r="B991" s="297"/>
      <c r="C991" s="25"/>
      <c r="D991" s="25"/>
      <c r="E991" s="25"/>
      <c r="F991" s="25"/>
      <c r="G991" s="123"/>
      <c r="H991" s="123"/>
      <c r="I991" s="25"/>
      <c r="J991" s="25"/>
      <c r="K991" s="367"/>
      <c r="L991" s="42"/>
      <c r="M991" s="42"/>
      <c r="N991" s="42"/>
      <c r="O991" s="42"/>
      <c r="P991" s="42"/>
      <c r="Q991" s="42"/>
      <c r="R991" s="176"/>
      <c r="S991" s="42"/>
      <c r="T991" s="42"/>
      <c r="U991" s="46"/>
      <c r="V991" s="42"/>
      <c r="W991" s="42"/>
      <c r="X991" s="42"/>
      <c r="Y991" s="42"/>
      <c r="Z991" s="42"/>
      <c r="AA991" s="42"/>
      <c r="AB991" s="42"/>
      <c r="AC991" s="42"/>
      <c r="AD991" s="42"/>
      <c r="AE991" s="42"/>
      <c r="AF991" s="42"/>
    </row>
    <row r="992">
      <c r="A992" s="25"/>
      <c r="B992" s="297"/>
      <c r="C992" s="25"/>
      <c r="D992" s="25"/>
      <c r="E992" s="25"/>
      <c r="F992" s="25"/>
      <c r="G992" s="123"/>
      <c r="H992" s="123"/>
      <c r="I992" s="25"/>
      <c r="J992" s="25"/>
      <c r="K992" s="367"/>
      <c r="L992" s="42"/>
      <c r="M992" s="42"/>
      <c r="N992" s="42"/>
      <c r="O992" s="42"/>
      <c r="P992" s="42"/>
      <c r="Q992" s="42"/>
      <c r="R992" s="176"/>
      <c r="S992" s="42"/>
      <c r="T992" s="42"/>
      <c r="U992" s="46"/>
      <c r="V992" s="42"/>
      <c r="W992" s="42"/>
      <c r="X992" s="42"/>
      <c r="Y992" s="42"/>
      <c r="Z992" s="42"/>
      <c r="AA992" s="42"/>
      <c r="AB992" s="42"/>
      <c r="AC992" s="42"/>
      <c r="AD992" s="42"/>
      <c r="AE992" s="42"/>
      <c r="AF992" s="42"/>
    </row>
    <row r="993">
      <c r="A993" s="25"/>
      <c r="B993" s="297"/>
      <c r="C993" s="25"/>
      <c r="D993" s="25"/>
      <c r="E993" s="25"/>
      <c r="F993" s="25"/>
      <c r="G993" s="123"/>
      <c r="H993" s="123"/>
      <c r="I993" s="25"/>
      <c r="J993" s="25"/>
      <c r="K993" s="367"/>
      <c r="L993" s="42"/>
      <c r="M993" s="42"/>
      <c r="N993" s="42"/>
      <c r="O993" s="42"/>
      <c r="P993" s="42"/>
      <c r="Q993" s="42"/>
      <c r="R993" s="176"/>
      <c r="S993" s="42"/>
      <c r="T993" s="42"/>
      <c r="U993" s="46"/>
      <c r="V993" s="42"/>
      <c r="W993" s="42"/>
      <c r="X993" s="42"/>
      <c r="Y993" s="42"/>
      <c r="Z993" s="42"/>
      <c r="AA993" s="42"/>
      <c r="AB993" s="42"/>
      <c r="AC993" s="42"/>
      <c r="AD993" s="42"/>
      <c r="AE993" s="42"/>
      <c r="AF993" s="42"/>
    </row>
    <row r="994">
      <c r="A994" s="25"/>
      <c r="B994" s="297"/>
      <c r="C994" s="25"/>
      <c r="D994" s="25"/>
      <c r="E994" s="25"/>
      <c r="F994" s="25"/>
      <c r="G994" s="123"/>
      <c r="H994" s="123"/>
      <c r="I994" s="25"/>
      <c r="J994" s="25"/>
      <c r="K994" s="367"/>
      <c r="L994" s="42"/>
      <c r="M994" s="42"/>
      <c r="N994" s="42"/>
      <c r="O994" s="42"/>
      <c r="P994" s="42"/>
      <c r="Q994" s="42"/>
      <c r="R994" s="176"/>
      <c r="S994" s="42"/>
      <c r="T994" s="42"/>
      <c r="U994" s="46"/>
      <c r="V994" s="42"/>
      <c r="W994" s="42"/>
      <c r="X994" s="42"/>
      <c r="Y994" s="42"/>
      <c r="Z994" s="42"/>
      <c r="AA994" s="42"/>
      <c r="AB994" s="42"/>
      <c r="AC994" s="42"/>
      <c r="AD994" s="42"/>
      <c r="AE994" s="42"/>
      <c r="AF994" s="42"/>
    </row>
    <row r="995">
      <c r="A995" s="25"/>
      <c r="B995" s="297"/>
      <c r="C995" s="25"/>
      <c r="D995" s="25"/>
      <c r="E995" s="25"/>
      <c r="F995" s="25"/>
      <c r="G995" s="123"/>
      <c r="H995" s="123"/>
      <c r="I995" s="25"/>
      <c r="J995" s="25"/>
      <c r="K995" s="367"/>
      <c r="L995" s="42"/>
      <c r="M995" s="42"/>
      <c r="N995" s="42"/>
      <c r="O995" s="42"/>
      <c r="P995" s="42"/>
      <c r="Q995" s="42"/>
      <c r="R995" s="176"/>
      <c r="S995" s="42"/>
      <c r="T995" s="42"/>
      <c r="U995" s="46"/>
      <c r="V995" s="42"/>
      <c r="W995" s="42"/>
      <c r="X995" s="42"/>
      <c r="Y995" s="42"/>
      <c r="Z995" s="42"/>
      <c r="AA995" s="42"/>
      <c r="AB995" s="42"/>
      <c r="AC995" s="42"/>
      <c r="AD995" s="42"/>
      <c r="AE995" s="42"/>
      <c r="AF995" s="42"/>
    </row>
    <row r="996">
      <c r="A996" s="25"/>
      <c r="B996" s="297"/>
      <c r="C996" s="25"/>
      <c r="D996" s="25"/>
      <c r="E996" s="25"/>
      <c r="F996" s="25"/>
      <c r="G996" s="123"/>
      <c r="H996" s="123"/>
      <c r="I996" s="25"/>
      <c r="J996" s="25"/>
      <c r="K996" s="367"/>
      <c r="L996" s="42"/>
      <c r="M996" s="42"/>
      <c r="N996" s="42"/>
      <c r="O996" s="42"/>
      <c r="P996" s="42"/>
      <c r="Q996" s="42"/>
      <c r="R996" s="176"/>
      <c r="S996" s="42"/>
      <c r="T996" s="42"/>
      <c r="U996" s="46"/>
      <c r="V996" s="42"/>
      <c r="W996" s="42"/>
      <c r="X996" s="42"/>
      <c r="Y996" s="42"/>
      <c r="Z996" s="42"/>
      <c r="AA996" s="42"/>
      <c r="AB996" s="42"/>
      <c r="AC996" s="42"/>
      <c r="AD996" s="42"/>
      <c r="AE996" s="42"/>
      <c r="AF996" s="42"/>
    </row>
    <row r="997">
      <c r="A997" s="25"/>
      <c r="B997" s="297"/>
      <c r="C997" s="25"/>
      <c r="D997" s="25"/>
      <c r="E997" s="25"/>
      <c r="F997" s="25"/>
      <c r="G997" s="123"/>
      <c r="H997" s="123"/>
      <c r="I997" s="25"/>
      <c r="J997" s="25"/>
      <c r="K997" s="367"/>
      <c r="L997" s="42"/>
      <c r="M997" s="42"/>
      <c r="N997" s="42"/>
      <c r="O997" s="42"/>
      <c r="P997" s="42"/>
      <c r="Q997" s="42"/>
      <c r="R997" s="176"/>
      <c r="S997" s="42"/>
      <c r="T997" s="42"/>
      <c r="U997" s="46"/>
      <c r="V997" s="42"/>
      <c r="W997" s="42"/>
      <c r="X997" s="42"/>
      <c r="Y997" s="42"/>
      <c r="Z997" s="42"/>
      <c r="AA997" s="42"/>
      <c r="AB997" s="42"/>
      <c r="AC997" s="42"/>
      <c r="AD997" s="42"/>
      <c r="AE997" s="42"/>
      <c r="AF997" s="42"/>
    </row>
    <row r="998">
      <c r="A998" s="25"/>
      <c r="B998" s="297"/>
      <c r="C998" s="25"/>
      <c r="D998" s="25"/>
      <c r="E998" s="25"/>
      <c r="F998" s="25"/>
      <c r="G998" s="123"/>
      <c r="H998" s="123"/>
      <c r="I998" s="25"/>
      <c r="J998" s="25"/>
      <c r="K998" s="367"/>
      <c r="L998" s="42"/>
      <c r="M998" s="42"/>
      <c r="N998" s="42"/>
      <c r="O998" s="42"/>
      <c r="P998" s="42"/>
      <c r="Q998" s="42"/>
      <c r="R998" s="176"/>
      <c r="S998" s="42"/>
      <c r="T998" s="42"/>
      <c r="U998" s="46"/>
      <c r="V998" s="42"/>
      <c r="W998" s="42"/>
      <c r="X998" s="42"/>
      <c r="Y998" s="42"/>
      <c r="Z998" s="42"/>
      <c r="AA998" s="42"/>
      <c r="AB998" s="42"/>
      <c r="AC998" s="42"/>
      <c r="AD998" s="42"/>
      <c r="AE998" s="42"/>
      <c r="AF998" s="42"/>
    </row>
    <row r="999">
      <c r="A999" s="25"/>
      <c r="B999" s="297"/>
      <c r="C999" s="25"/>
      <c r="D999" s="25"/>
      <c r="E999" s="25"/>
      <c r="F999" s="25"/>
      <c r="G999" s="123"/>
      <c r="H999" s="123"/>
      <c r="I999" s="25"/>
      <c r="J999" s="25"/>
      <c r="K999" s="367"/>
      <c r="L999" s="42"/>
      <c r="M999" s="42"/>
      <c r="N999" s="42"/>
      <c r="O999" s="42"/>
      <c r="P999" s="42"/>
      <c r="Q999" s="42"/>
      <c r="R999" s="176"/>
      <c r="S999" s="42"/>
      <c r="T999" s="42"/>
      <c r="U999" s="46"/>
      <c r="V999" s="42"/>
      <c r="W999" s="42"/>
      <c r="X999" s="42"/>
      <c r="Y999" s="42"/>
      <c r="Z999" s="42"/>
      <c r="AA999" s="42"/>
      <c r="AB999" s="42"/>
      <c r="AC999" s="42"/>
      <c r="AD999" s="42"/>
      <c r="AE999" s="42"/>
      <c r="AF999" s="42"/>
    </row>
    <row r="1000">
      <c r="A1000" s="25"/>
      <c r="B1000" s="297"/>
      <c r="C1000" s="25"/>
      <c r="D1000" s="25"/>
      <c r="E1000" s="25"/>
      <c r="F1000" s="25"/>
      <c r="G1000" s="123"/>
      <c r="H1000" s="123"/>
      <c r="I1000" s="25"/>
      <c r="J1000" s="25"/>
      <c r="K1000" s="367"/>
      <c r="L1000" s="42"/>
      <c r="M1000" s="42"/>
      <c r="N1000" s="42"/>
      <c r="O1000" s="42"/>
      <c r="P1000" s="42"/>
      <c r="Q1000" s="42"/>
      <c r="R1000" s="176"/>
      <c r="S1000" s="42"/>
      <c r="T1000" s="42"/>
      <c r="U1000" s="46"/>
      <c r="V1000" s="42"/>
      <c r="W1000" s="42"/>
      <c r="X1000" s="42"/>
      <c r="Y1000" s="42"/>
      <c r="Z1000" s="42"/>
      <c r="AA1000" s="42"/>
      <c r="AB1000" s="42"/>
      <c r="AC1000" s="42"/>
      <c r="AD1000" s="42"/>
      <c r="AE1000" s="42"/>
      <c r="AF1000" s="42"/>
    </row>
    <row r="1001">
      <c r="A1001" s="25"/>
      <c r="B1001" s="297"/>
      <c r="C1001" s="25"/>
      <c r="D1001" s="25"/>
      <c r="E1001" s="25"/>
      <c r="F1001" s="25"/>
      <c r="G1001" s="123"/>
      <c r="H1001" s="123"/>
      <c r="I1001" s="25"/>
      <c r="J1001" s="25"/>
      <c r="K1001" s="367"/>
      <c r="L1001" s="42"/>
      <c r="M1001" s="42"/>
      <c r="N1001" s="42"/>
      <c r="O1001" s="42"/>
      <c r="P1001" s="42"/>
      <c r="Q1001" s="42"/>
      <c r="R1001" s="176"/>
      <c r="S1001" s="42"/>
      <c r="T1001" s="42"/>
      <c r="U1001" s="46"/>
      <c r="V1001" s="42"/>
      <c r="W1001" s="42"/>
      <c r="X1001" s="42"/>
      <c r="Y1001" s="42"/>
      <c r="Z1001" s="42"/>
      <c r="AA1001" s="42"/>
      <c r="AB1001" s="42"/>
      <c r="AC1001" s="42"/>
      <c r="AD1001" s="42"/>
      <c r="AE1001" s="42"/>
      <c r="AF1001" s="42"/>
    </row>
    <row r="1002">
      <c r="A1002" s="25"/>
      <c r="B1002" s="297"/>
      <c r="C1002" s="25"/>
      <c r="D1002" s="25"/>
      <c r="E1002" s="25"/>
      <c r="F1002" s="25"/>
      <c r="G1002" s="123"/>
      <c r="H1002" s="123"/>
      <c r="I1002" s="25"/>
      <c r="J1002" s="25"/>
      <c r="K1002" s="367"/>
      <c r="L1002" s="42"/>
      <c r="M1002" s="42"/>
      <c r="N1002" s="42"/>
      <c r="O1002" s="42"/>
      <c r="P1002" s="42"/>
      <c r="Q1002" s="42"/>
      <c r="R1002" s="176"/>
      <c r="S1002" s="42"/>
      <c r="T1002" s="42"/>
      <c r="U1002" s="46"/>
      <c r="V1002" s="42"/>
      <c r="W1002" s="42"/>
      <c r="X1002" s="42"/>
      <c r="Y1002" s="42"/>
      <c r="Z1002" s="42"/>
      <c r="AA1002" s="42"/>
      <c r="AB1002" s="42"/>
      <c r="AC1002" s="42"/>
      <c r="AD1002" s="42"/>
      <c r="AE1002" s="42"/>
      <c r="AF1002" s="42"/>
    </row>
    <row r="1003">
      <c r="A1003" s="25"/>
      <c r="B1003" s="297"/>
      <c r="C1003" s="25"/>
      <c r="D1003" s="25"/>
      <c r="E1003" s="25"/>
      <c r="F1003" s="25"/>
      <c r="G1003" s="123"/>
      <c r="H1003" s="123"/>
      <c r="I1003" s="25"/>
      <c r="J1003" s="25"/>
      <c r="K1003" s="367"/>
      <c r="L1003" s="42"/>
      <c r="M1003" s="42"/>
      <c r="N1003" s="42"/>
      <c r="O1003" s="42"/>
      <c r="P1003" s="42"/>
      <c r="Q1003" s="42"/>
      <c r="R1003" s="176"/>
      <c r="S1003" s="42"/>
      <c r="T1003" s="42"/>
      <c r="U1003" s="46"/>
      <c r="V1003" s="42"/>
      <c r="W1003" s="42"/>
      <c r="X1003" s="42"/>
      <c r="Y1003" s="42"/>
      <c r="Z1003" s="42"/>
      <c r="AA1003" s="42"/>
      <c r="AB1003" s="42"/>
      <c r="AC1003" s="42"/>
      <c r="AD1003" s="42"/>
      <c r="AE1003" s="42"/>
      <c r="AF1003" s="42"/>
    </row>
    <row r="1004">
      <c r="A1004" s="25"/>
      <c r="B1004" s="297"/>
      <c r="C1004" s="25"/>
      <c r="D1004" s="25"/>
      <c r="E1004" s="25"/>
      <c r="F1004" s="25"/>
      <c r="G1004" s="123"/>
      <c r="H1004" s="123"/>
      <c r="I1004" s="25"/>
      <c r="J1004" s="25"/>
      <c r="K1004" s="367"/>
      <c r="L1004" s="42"/>
      <c r="M1004" s="42"/>
      <c r="N1004" s="42"/>
      <c r="O1004" s="42"/>
      <c r="P1004" s="42"/>
      <c r="Q1004" s="42"/>
      <c r="R1004" s="176"/>
      <c r="S1004" s="42"/>
      <c r="T1004" s="42"/>
      <c r="U1004" s="46"/>
      <c r="V1004" s="42"/>
      <c r="W1004" s="42"/>
      <c r="X1004" s="42"/>
      <c r="Y1004" s="42"/>
      <c r="Z1004" s="42"/>
      <c r="AA1004" s="42"/>
      <c r="AB1004" s="42"/>
      <c r="AC1004" s="42"/>
      <c r="AD1004" s="42"/>
      <c r="AE1004" s="42"/>
      <c r="AF1004" s="42"/>
    </row>
    <row r="1005">
      <c r="A1005" s="25"/>
      <c r="B1005" s="297"/>
      <c r="C1005" s="25"/>
      <c r="D1005" s="25"/>
      <c r="E1005" s="25"/>
      <c r="F1005" s="25"/>
      <c r="G1005" s="123"/>
      <c r="H1005" s="123"/>
      <c r="I1005" s="25"/>
      <c r="J1005" s="25"/>
      <c r="K1005" s="367"/>
      <c r="L1005" s="42"/>
      <c r="M1005" s="42"/>
      <c r="N1005" s="42"/>
      <c r="O1005" s="42"/>
      <c r="P1005" s="42"/>
      <c r="Q1005" s="42"/>
      <c r="R1005" s="176"/>
      <c r="S1005" s="42"/>
      <c r="T1005" s="42"/>
      <c r="U1005" s="46"/>
      <c r="V1005" s="42"/>
      <c r="W1005" s="42"/>
      <c r="X1005" s="42"/>
      <c r="Y1005" s="42"/>
      <c r="Z1005" s="42"/>
      <c r="AA1005" s="42"/>
      <c r="AB1005" s="42"/>
      <c r="AC1005" s="42"/>
      <c r="AD1005" s="42"/>
      <c r="AE1005" s="42"/>
      <c r="AF1005" s="42"/>
    </row>
    <row r="1006">
      <c r="A1006" s="25"/>
      <c r="B1006" s="297"/>
      <c r="C1006" s="25"/>
      <c r="D1006" s="25"/>
      <c r="E1006" s="25"/>
      <c r="F1006" s="25"/>
      <c r="G1006" s="123"/>
      <c r="H1006" s="123"/>
      <c r="I1006" s="25"/>
      <c r="J1006" s="25"/>
      <c r="K1006" s="367"/>
      <c r="L1006" s="42"/>
      <c r="M1006" s="42"/>
      <c r="N1006" s="42"/>
      <c r="O1006" s="42"/>
      <c r="P1006" s="42"/>
      <c r="Q1006" s="42"/>
      <c r="R1006" s="176"/>
      <c r="S1006" s="42"/>
      <c r="T1006" s="42"/>
      <c r="U1006" s="46"/>
      <c r="V1006" s="42"/>
      <c r="W1006" s="42"/>
      <c r="X1006" s="42"/>
      <c r="Y1006" s="42"/>
      <c r="Z1006" s="42"/>
      <c r="AA1006" s="42"/>
      <c r="AB1006" s="42"/>
      <c r="AC1006" s="42"/>
      <c r="AD1006" s="42"/>
      <c r="AE1006" s="42"/>
      <c r="AF1006" s="42"/>
    </row>
    <row r="1007">
      <c r="A1007" s="25"/>
      <c r="B1007" s="297"/>
      <c r="C1007" s="25"/>
      <c r="D1007" s="25"/>
      <c r="E1007" s="25"/>
      <c r="F1007" s="25"/>
      <c r="G1007" s="123"/>
      <c r="H1007" s="123"/>
      <c r="I1007" s="25"/>
      <c r="J1007" s="25"/>
      <c r="K1007" s="367"/>
      <c r="L1007" s="42"/>
      <c r="M1007" s="42"/>
      <c r="N1007" s="42"/>
      <c r="O1007" s="42"/>
      <c r="P1007" s="42"/>
      <c r="Q1007" s="42"/>
      <c r="R1007" s="176"/>
      <c r="S1007" s="42"/>
      <c r="T1007" s="42"/>
      <c r="U1007" s="46"/>
      <c r="V1007" s="42"/>
      <c r="W1007" s="42"/>
      <c r="X1007" s="42"/>
      <c r="Y1007" s="42"/>
      <c r="Z1007" s="42"/>
      <c r="AA1007" s="42"/>
      <c r="AB1007" s="42"/>
      <c r="AC1007" s="42"/>
      <c r="AD1007" s="42"/>
      <c r="AE1007" s="42"/>
      <c r="AF1007" s="42"/>
    </row>
    <row r="1008">
      <c r="A1008" s="25"/>
      <c r="B1008" s="297"/>
      <c r="C1008" s="25"/>
      <c r="D1008" s="25"/>
      <c r="E1008" s="25"/>
      <c r="F1008" s="25"/>
      <c r="G1008" s="123"/>
      <c r="H1008" s="123"/>
      <c r="I1008" s="25"/>
      <c r="J1008" s="25"/>
      <c r="K1008" s="367"/>
      <c r="L1008" s="42"/>
      <c r="M1008" s="42"/>
      <c r="N1008" s="42"/>
      <c r="O1008" s="42"/>
      <c r="P1008" s="42"/>
      <c r="Q1008" s="42"/>
      <c r="R1008" s="176"/>
      <c r="S1008" s="42"/>
      <c r="T1008" s="42"/>
      <c r="U1008" s="46"/>
      <c r="V1008" s="42"/>
      <c r="W1008" s="42"/>
      <c r="X1008" s="42"/>
      <c r="Y1008" s="42"/>
      <c r="Z1008" s="42"/>
      <c r="AA1008" s="42"/>
      <c r="AB1008" s="42"/>
      <c r="AC1008" s="42"/>
      <c r="AD1008" s="42"/>
      <c r="AE1008" s="42"/>
      <c r="AF1008" s="42"/>
    </row>
    <row r="1009">
      <c r="A1009" s="25"/>
      <c r="B1009" s="297"/>
      <c r="C1009" s="25"/>
      <c r="D1009" s="25"/>
      <c r="E1009" s="25"/>
      <c r="F1009" s="25"/>
      <c r="G1009" s="123"/>
      <c r="H1009" s="123"/>
      <c r="I1009" s="25"/>
      <c r="J1009" s="25"/>
      <c r="K1009" s="367"/>
      <c r="L1009" s="42"/>
      <c r="M1009" s="42"/>
      <c r="N1009" s="42"/>
      <c r="O1009" s="42"/>
      <c r="P1009" s="42"/>
      <c r="Q1009" s="42"/>
      <c r="R1009" s="176"/>
      <c r="S1009" s="42"/>
      <c r="T1009" s="42"/>
      <c r="U1009" s="46"/>
      <c r="V1009" s="42"/>
      <c r="W1009" s="42"/>
      <c r="X1009" s="42"/>
      <c r="Y1009" s="42"/>
      <c r="Z1009" s="42"/>
      <c r="AA1009" s="42"/>
      <c r="AB1009" s="42"/>
      <c r="AC1009" s="42"/>
      <c r="AD1009" s="42"/>
      <c r="AE1009" s="42"/>
      <c r="AF1009" s="42"/>
    </row>
    <row r="1010">
      <c r="A1010" s="25"/>
      <c r="B1010" s="297"/>
      <c r="C1010" s="25"/>
      <c r="D1010" s="25"/>
      <c r="E1010" s="25"/>
      <c r="F1010" s="25"/>
      <c r="G1010" s="123"/>
      <c r="H1010" s="123"/>
      <c r="I1010" s="25"/>
      <c r="J1010" s="25"/>
      <c r="K1010" s="367"/>
      <c r="L1010" s="42"/>
      <c r="M1010" s="42"/>
      <c r="N1010" s="42"/>
      <c r="O1010" s="42"/>
      <c r="P1010" s="42"/>
      <c r="Q1010" s="42"/>
      <c r="R1010" s="176"/>
      <c r="S1010" s="42"/>
      <c r="T1010" s="42"/>
      <c r="U1010" s="46"/>
      <c r="V1010" s="42"/>
      <c r="W1010" s="42"/>
      <c r="X1010" s="42"/>
      <c r="Y1010" s="42"/>
      <c r="Z1010" s="42"/>
      <c r="AA1010" s="42"/>
      <c r="AB1010" s="42"/>
      <c r="AC1010" s="42"/>
      <c r="AD1010" s="42"/>
      <c r="AE1010" s="42"/>
      <c r="AF1010" s="42"/>
    </row>
    <row r="1011">
      <c r="A1011" s="25"/>
      <c r="B1011" s="297"/>
      <c r="C1011" s="25"/>
      <c r="D1011" s="25"/>
      <c r="E1011" s="25"/>
      <c r="F1011" s="25"/>
      <c r="G1011" s="123"/>
      <c r="H1011" s="123"/>
      <c r="I1011" s="25"/>
      <c r="J1011" s="25"/>
      <c r="K1011" s="367"/>
      <c r="L1011" s="42"/>
      <c r="M1011" s="42"/>
      <c r="N1011" s="42"/>
      <c r="O1011" s="42"/>
      <c r="P1011" s="42"/>
      <c r="Q1011" s="42"/>
      <c r="R1011" s="176"/>
      <c r="S1011" s="42"/>
      <c r="T1011" s="42"/>
      <c r="U1011" s="46"/>
      <c r="V1011" s="42"/>
      <c r="W1011" s="42"/>
      <c r="X1011" s="42"/>
      <c r="Y1011" s="42"/>
      <c r="Z1011" s="42"/>
      <c r="AA1011" s="42"/>
      <c r="AB1011" s="42"/>
      <c r="AC1011" s="42"/>
      <c r="AD1011" s="42"/>
      <c r="AE1011" s="42"/>
      <c r="AF1011" s="42"/>
    </row>
    <row r="1012">
      <c r="A1012" s="25"/>
      <c r="B1012" s="297"/>
      <c r="C1012" s="25"/>
      <c r="D1012" s="25"/>
      <c r="E1012" s="25"/>
      <c r="F1012" s="25"/>
      <c r="G1012" s="123"/>
      <c r="H1012" s="123"/>
      <c r="I1012" s="25"/>
      <c r="J1012" s="25"/>
      <c r="K1012" s="367"/>
      <c r="L1012" s="42"/>
      <c r="M1012" s="42"/>
      <c r="N1012" s="42"/>
      <c r="O1012" s="42"/>
      <c r="P1012" s="42"/>
      <c r="Q1012" s="42"/>
      <c r="R1012" s="176"/>
      <c r="S1012" s="42"/>
      <c r="T1012" s="42"/>
      <c r="U1012" s="46"/>
      <c r="V1012" s="42"/>
      <c r="W1012" s="42"/>
      <c r="X1012" s="42"/>
      <c r="Y1012" s="42"/>
      <c r="Z1012" s="42"/>
      <c r="AA1012" s="42"/>
      <c r="AB1012" s="42"/>
      <c r="AC1012" s="42"/>
      <c r="AD1012" s="42"/>
      <c r="AE1012" s="42"/>
      <c r="AF1012" s="42"/>
    </row>
    <row r="1013">
      <c r="A1013" s="25"/>
      <c r="B1013" s="297"/>
      <c r="C1013" s="25"/>
      <c r="D1013" s="25"/>
      <c r="E1013" s="25"/>
      <c r="F1013" s="25"/>
      <c r="G1013" s="123"/>
      <c r="H1013" s="123"/>
      <c r="I1013" s="25"/>
      <c r="J1013" s="25"/>
      <c r="K1013" s="367"/>
      <c r="L1013" s="42"/>
      <c r="M1013" s="42"/>
      <c r="N1013" s="42"/>
      <c r="O1013" s="42"/>
      <c r="P1013" s="42"/>
      <c r="Q1013" s="42"/>
      <c r="R1013" s="176"/>
      <c r="S1013" s="42"/>
      <c r="T1013" s="42"/>
      <c r="U1013" s="46"/>
      <c r="V1013" s="42"/>
      <c r="W1013" s="42"/>
      <c r="X1013" s="42"/>
      <c r="Y1013" s="42"/>
      <c r="Z1013" s="42"/>
      <c r="AA1013" s="42"/>
      <c r="AB1013" s="42"/>
      <c r="AC1013" s="42"/>
      <c r="AD1013" s="42"/>
      <c r="AE1013" s="42"/>
      <c r="AF1013" s="42"/>
    </row>
    <row r="1014">
      <c r="A1014" s="25"/>
      <c r="B1014" s="297"/>
      <c r="C1014" s="25"/>
      <c r="D1014" s="25"/>
      <c r="E1014" s="25"/>
      <c r="F1014" s="25"/>
      <c r="G1014" s="123"/>
      <c r="H1014" s="123"/>
      <c r="I1014" s="25"/>
      <c r="J1014" s="25"/>
      <c r="K1014" s="367"/>
      <c r="L1014" s="42"/>
      <c r="M1014" s="42"/>
      <c r="N1014" s="42"/>
      <c r="O1014" s="42"/>
      <c r="P1014" s="42"/>
      <c r="Q1014" s="42"/>
      <c r="R1014" s="176"/>
      <c r="S1014" s="42"/>
      <c r="T1014" s="42"/>
      <c r="U1014" s="46"/>
      <c r="V1014" s="42"/>
      <c r="W1014" s="42"/>
      <c r="X1014" s="42"/>
      <c r="Y1014" s="42"/>
      <c r="Z1014" s="42"/>
      <c r="AA1014" s="42"/>
      <c r="AB1014" s="42"/>
      <c r="AC1014" s="42"/>
      <c r="AD1014" s="42"/>
      <c r="AE1014" s="42"/>
      <c r="AF1014" s="42"/>
    </row>
    <row r="1015">
      <c r="A1015" s="25"/>
      <c r="B1015" s="297"/>
      <c r="C1015" s="25"/>
      <c r="D1015" s="25"/>
      <c r="E1015" s="25"/>
      <c r="F1015" s="25"/>
      <c r="G1015" s="123"/>
      <c r="H1015" s="123"/>
      <c r="I1015" s="25"/>
      <c r="J1015" s="25"/>
      <c r="K1015" s="367"/>
      <c r="L1015" s="42"/>
      <c r="M1015" s="42"/>
      <c r="N1015" s="42"/>
      <c r="O1015" s="42"/>
      <c r="P1015" s="42"/>
      <c r="Q1015" s="42"/>
      <c r="R1015" s="176"/>
      <c r="S1015" s="42"/>
      <c r="T1015" s="42"/>
      <c r="U1015" s="46"/>
      <c r="V1015" s="42"/>
      <c r="W1015" s="42"/>
      <c r="X1015" s="42"/>
      <c r="Y1015" s="42"/>
      <c r="Z1015" s="42"/>
      <c r="AA1015" s="42"/>
      <c r="AB1015" s="42"/>
      <c r="AC1015" s="42"/>
      <c r="AD1015" s="42"/>
      <c r="AE1015" s="42"/>
      <c r="AF1015" s="42"/>
    </row>
    <row r="1016">
      <c r="A1016" s="25"/>
      <c r="B1016" s="297"/>
      <c r="C1016" s="25"/>
      <c r="D1016" s="25"/>
      <c r="E1016" s="25"/>
      <c r="F1016" s="25"/>
      <c r="G1016" s="123"/>
      <c r="H1016" s="123"/>
      <c r="I1016" s="25"/>
      <c r="J1016" s="25"/>
      <c r="K1016" s="367"/>
      <c r="L1016" s="42"/>
      <c r="M1016" s="42"/>
      <c r="N1016" s="42"/>
      <c r="O1016" s="42"/>
      <c r="P1016" s="42"/>
      <c r="Q1016" s="42"/>
      <c r="R1016" s="176"/>
      <c r="S1016" s="42"/>
      <c r="T1016" s="42"/>
      <c r="U1016" s="46"/>
      <c r="V1016" s="42"/>
      <c r="W1016" s="42"/>
      <c r="X1016" s="42"/>
      <c r="Y1016" s="42"/>
      <c r="Z1016" s="42"/>
      <c r="AA1016" s="42"/>
      <c r="AB1016" s="42"/>
      <c r="AC1016" s="42"/>
      <c r="AD1016" s="42"/>
      <c r="AE1016" s="42"/>
      <c r="AF1016" s="42"/>
    </row>
    <row r="1017">
      <c r="A1017" s="25"/>
      <c r="B1017" s="297"/>
      <c r="C1017" s="25"/>
      <c r="D1017" s="25"/>
      <c r="E1017" s="25"/>
      <c r="F1017" s="25"/>
      <c r="G1017" s="123"/>
      <c r="H1017" s="123"/>
      <c r="I1017" s="25"/>
      <c r="J1017" s="25"/>
      <c r="K1017" s="367"/>
      <c r="L1017" s="42"/>
      <c r="M1017" s="42"/>
      <c r="N1017" s="42"/>
      <c r="O1017" s="42"/>
      <c r="P1017" s="42"/>
      <c r="Q1017" s="42"/>
      <c r="R1017" s="176"/>
      <c r="S1017" s="42"/>
      <c r="T1017" s="42"/>
      <c r="U1017" s="46"/>
      <c r="V1017" s="42"/>
      <c r="W1017" s="42"/>
      <c r="X1017" s="42"/>
      <c r="Y1017" s="42"/>
      <c r="Z1017" s="42"/>
      <c r="AA1017" s="42"/>
      <c r="AB1017" s="42"/>
      <c r="AC1017" s="42"/>
      <c r="AD1017" s="42"/>
      <c r="AE1017" s="42"/>
      <c r="AF1017" s="42"/>
    </row>
    <row r="1018">
      <c r="A1018" s="25"/>
      <c r="B1018" s="297"/>
      <c r="C1018" s="25"/>
      <c r="D1018" s="25"/>
      <c r="E1018" s="25"/>
      <c r="F1018" s="25"/>
      <c r="G1018" s="123"/>
      <c r="H1018" s="123"/>
      <c r="I1018" s="25"/>
      <c r="J1018" s="25"/>
      <c r="K1018" s="367"/>
      <c r="L1018" s="42"/>
      <c r="M1018" s="42"/>
      <c r="N1018" s="42"/>
      <c r="O1018" s="42"/>
      <c r="P1018" s="42"/>
      <c r="Q1018" s="42"/>
      <c r="R1018" s="176"/>
      <c r="S1018" s="42"/>
      <c r="T1018" s="42"/>
      <c r="U1018" s="46"/>
      <c r="V1018" s="42"/>
      <c r="W1018" s="42"/>
      <c r="X1018" s="42"/>
      <c r="Y1018" s="42"/>
      <c r="Z1018" s="42"/>
      <c r="AA1018" s="42"/>
      <c r="AB1018" s="42"/>
      <c r="AC1018" s="42"/>
      <c r="AD1018" s="42"/>
      <c r="AE1018" s="42"/>
      <c r="AF1018" s="42"/>
    </row>
    <row r="1019">
      <c r="A1019" s="25"/>
      <c r="B1019" s="297"/>
      <c r="C1019" s="25"/>
      <c r="D1019" s="25"/>
      <c r="E1019" s="25"/>
      <c r="F1019" s="25"/>
      <c r="G1019" s="123"/>
      <c r="H1019" s="123"/>
      <c r="I1019" s="25"/>
      <c r="J1019" s="25"/>
      <c r="K1019" s="367"/>
      <c r="L1019" s="42"/>
      <c r="M1019" s="42"/>
      <c r="N1019" s="42"/>
      <c r="O1019" s="42"/>
      <c r="P1019" s="42"/>
      <c r="Q1019" s="42"/>
      <c r="R1019" s="176"/>
      <c r="S1019" s="42"/>
      <c r="T1019" s="42"/>
      <c r="U1019" s="46"/>
      <c r="V1019" s="42"/>
      <c r="W1019" s="42"/>
      <c r="X1019" s="42"/>
      <c r="Y1019" s="42"/>
      <c r="Z1019" s="42"/>
      <c r="AA1019" s="42"/>
      <c r="AB1019" s="42"/>
      <c r="AC1019" s="42"/>
      <c r="AD1019" s="42"/>
      <c r="AE1019" s="42"/>
      <c r="AF1019" s="42"/>
    </row>
    <row r="1020">
      <c r="A1020" s="25"/>
      <c r="B1020" s="297"/>
      <c r="C1020" s="25"/>
      <c r="D1020" s="25"/>
      <c r="E1020" s="25"/>
      <c r="F1020" s="25"/>
      <c r="G1020" s="123"/>
      <c r="H1020" s="123"/>
      <c r="I1020" s="25"/>
      <c r="J1020" s="25"/>
      <c r="K1020" s="367"/>
      <c r="L1020" s="42"/>
      <c r="M1020" s="42"/>
      <c r="N1020" s="42"/>
      <c r="O1020" s="42"/>
      <c r="P1020" s="42"/>
      <c r="Q1020" s="42"/>
      <c r="R1020" s="176"/>
      <c r="S1020" s="42"/>
      <c r="T1020" s="42"/>
      <c r="U1020" s="46"/>
      <c r="V1020" s="42"/>
      <c r="W1020" s="42"/>
      <c r="X1020" s="42"/>
      <c r="Y1020" s="42"/>
      <c r="Z1020" s="42"/>
      <c r="AA1020" s="42"/>
      <c r="AB1020" s="42"/>
      <c r="AC1020" s="42"/>
      <c r="AD1020" s="42"/>
      <c r="AE1020" s="42"/>
      <c r="AF1020" s="42"/>
    </row>
    <row r="1021">
      <c r="A1021" s="25"/>
      <c r="B1021" s="297"/>
      <c r="C1021" s="25"/>
      <c r="D1021" s="25"/>
      <c r="E1021" s="25"/>
      <c r="F1021" s="25"/>
      <c r="G1021" s="123"/>
      <c r="H1021" s="123"/>
      <c r="I1021" s="25"/>
      <c r="J1021" s="25"/>
      <c r="K1021" s="367"/>
      <c r="L1021" s="42"/>
      <c r="M1021" s="42"/>
      <c r="N1021" s="42"/>
      <c r="O1021" s="42"/>
      <c r="P1021" s="42"/>
      <c r="Q1021" s="42"/>
      <c r="R1021" s="176"/>
      <c r="S1021" s="42"/>
      <c r="T1021" s="42"/>
      <c r="U1021" s="46"/>
      <c r="V1021" s="42"/>
      <c r="W1021" s="42"/>
      <c r="X1021" s="42"/>
      <c r="Y1021" s="42"/>
      <c r="Z1021" s="42"/>
      <c r="AA1021" s="42"/>
      <c r="AB1021" s="42"/>
      <c r="AC1021" s="42"/>
      <c r="AD1021" s="42"/>
      <c r="AE1021" s="42"/>
      <c r="AF1021" s="42"/>
    </row>
    <row r="1022">
      <c r="A1022" s="25"/>
      <c r="B1022" s="297"/>
      <c r="C1022" s="25"/>
      <c r="D1022" s="25"/>
      <c r="E1022" s="25"/>
      <c r="F1022" s="25"/>
      <c r="G1022" s="123"/>
      <c r="H1022" s="123"/>
      <c r="I1022" s="25"/>
      <c r="J1022" s="25"/>
      <c r="K1022" s="367"/>
      <c r="L1022" s="42"/>
      <c r="M1022" s="42"/>
      <c r="N1022" s="42"/>
      <c r="O1022" s="42"/>
      <c r="P1022" s="42"/>
      <c r="Q1022" s="42"/>
      <c r="R1022" s="176"/>
      <c r="S1022" s="42"/>
      <c r="T1022" s="42"/>
      <c r="U1022" s="46"/>
      <c r="V1022" s="42"/>
      <c r="W1022" s="42"/>
      <c r="X1022" s="42"/>
      <c r="Y1022" s="42"/>
      <c r="Z1022" s="42"/>
      <c r="AA1022" s="42"/>
      <c r="AB1022" s="42"/>
      <c r="AC1022" s="42"/>
      <c r="AD1022" s="42"/>
      <c r="AE1022" s="42"/>
      <c r="AF1022" s="42"/>
    </row>
    <row r="1023">
      <c r="A1023" s="25"/>
      <c r="B1023" s="297"/>
      <c r="C1023" s="25"/>
      <c r="D1023" s="25"/>
      <c r="E1023" s="25"/>
      <c r="F1023" s="25"/>
      <c r="G1023" s="123"/>
      <c r="H1023" s="123"/>
      <c r="I1023" s="25"/>
      <c r="J1023" s="25"/>
      <c r="K1023" s="367"/>
      <c r="L1023" s="42"/>
      <c r="M1023" s="42"/>
      <c r="N1023" s="42"/>
      <c r="O1023" s="42"/>
      <c r="P1023" s="42"/>
      <c r="Q1023" s="42"/>
      <c r="R1023" s="176"/>
      <c r="S1023" s="42"/>
      <c r="T1023" s="42"/>
      <c r="U1023" s="46"/>
      <c r="V1023" s="42"/>
      <c r="W1023" s="42"/>
      <c r="X1023" s="42"/>
      <c r="Y1023" s="42"/>
      <c r="Z1023" s="42"/>
      <c r="AA1023" s="42"/>
      <c r="AB1023" s="42"/>
      <c r="AC1023" s="42"/>
      <c r="AD1023" s="42"/>
      <c r="AE1023" s="42"/>
      <c r="AF1023" s="42"/>
    </row>
    <row r="1024">
      <c r="A1024" s="25"/>
      <c r="B1024" s="297"/>
      <c r="C1024" s="25"/>
      <c r="D1024" s="25"/>
      <c r="E1024" s="25"/>
      <c r="F1024" s="25"/>
      <c r="G1024" s="123"/>
      <c r="H1024" s="123"/>
      <c r="I1024" s="25"/>
      <c r="J1024" s="25"/>
      <c r="K1024" s="367"/>
      <c r="L1024" s="42"/>
      <c r="M1024" s="42"/>
      <c r="N1024" s="42"/>
      <c r="O1024" s="42"/>
      <c r="P1024" s="42"/>
      <c r="Q1024" s="42"/>
      <c r="R1024" s="176"/>
      <c r="S1024" s="42"/>
      <c r="T1024" s="42"/>
      <c r="U1024" s="46"/>
      <c r="V1024" s="42"/>
      <c r="W1024" s="42"/>
      <c r="X1024" s="42"/>
      <c r="Y1024" s="42"/>
      <c r="Z1024" s="42"/>
      <c r="AA1024" s="42"/>
      <c r="AB1024" s="42"/>
      <c r="AC1024" s="42"/>
      <c r="AD1024" s="42"/>
      <c r="AE1024" s="42"/>
      <c r="AF1024" s="42"/>
    </row>
    <row r="1025">
      <c r="A1025" s="25"/>
      <c r="B1025" s="297"/>
      <c r="C1025" s="25"/>
      <c r="D1025" s="25"/>
      <c r="E1025" s="25"/>
      <c r="F1025" s="25"/>
      <c r="G1025" s="123"/>
      <c r="H1025" s="123"/>
      <c r="I1025" s="25"/>
      <c r="J1025" s="25"/>
      <c r="K1025" s="367"/>
      <c r="L1025" s="42"/>
      <c r="M1025" s="42"/>
      <c r="N1025" s="42"/>
      <c r="O1025" s="42"/>
      <c r="P1025" s="42"/>
      <c r="Q1025" s="42"/>
      <c r="R1025" s="176"/>
      <c r="S1025" s="42"/>
      <c r="T1025" s="42"/>
      <c r="U1025" s="46"/>
      <c r="V1025" s="42"/>
      <c r="W1025" s="42"/>
      <c r="X1025" s="42"/>
      <c r="Y1025" s="42"/>
      <c r="Z1025" s="42"/>
      <c r="AA1025" s="42"/>
      <c r="AB1025" s="42"/>
      <c r="AC1025" s="42"/>
      <c r="AD1025" s="42"/>
      <c r="AE1025" s="42"/>
      <c r="AF1025" s="42"/>
    </row>
    <row r="1026">
      <c r="A1026" s="25"/>
      <c r="B1026" s="297"/>
      <c r="C1026" s="25"/>
      <c r="D1026" s="25"/>
      <c r="E1026" s="25"/>
      <c r="F1026" s="25"/>
      <c r="G1026" s="123"/>
      <c r="H1026" s="123"/>
      <c r="I1026" s="25"/>
      <c r="J1026" s="25"/>
      <c r="K1026" s="367"/>
      <c r="L1026" s="42"/>
      <c r="M1026" s="42"/>
      <c r="N1026" s="42"/>
      <c r="O1026" s="42"/>
      <c r="P1026" s="42"/>
      <c r="Q1026" s="42"/>
      <c r="R1026" s="176"/>
      <c r="S1026" s="42"/>
      <c r="T1026" s="42"/>
      <c r="U1026" s="46"/>
      <c r="V1026" s="42"/>
      <c r="W1026" s="42"/>
      <c r="X1026" s="42"/>
      <c r="Y1026" s="42"/>
      <c r="Z1026" s="42"/>
      <c r="AA1026" s="42"/>
      <c r="AB1026" s="42"/>
      <c r="AC1026" s="42"/>
      <c r="AD1026" s="42"/>
      <c r="AE1026" s="42"/>
      <c r="AF1026" s="42"/>
    </row>
    <row r="1027">
      <c r="A1027" s="25"/>
      <c r="B1027" s="297"/>
      <c r="C1027" s="25"/>
      <c r="D1027" s="25"/>
      <c r="E1027" s="25"/>
      <c r="F1027" s="25"/>
      <c r="G1027" s="123"/>
      <c r="H1027" s="123"/>
      <c r="I1027" s="25"/>
      <c r="J1027" s="25"/>
      <c r="K1027" s="367"/>
      <c r="L1027" s="42"/>
      <c r="M1027" s="42"/>
      <c r="N1027" s="42"/>
      <c r="O1027" s="42"/>
      <c r="P1027" s="42"/>
      <c r="Q1027" s="42"/>
      <c r="R1027" s="176"/>
      <c r="S1027" s="42"/>
      <c r="T1027" s="42"/>
      <c r="U1027" s="46"/>
      <c r="V1027" s="42"/>
      <c r="W1027" s="42"/>
      <c r="X1027" s="42"/>
      <c r="Y1027" s="42"/>
      <c r="Z1027" s="42"/>
      <c r="AA1027" s="42"/>
      <c r="AB1027" s="42"/>
      <c r="AC1027" s="42"/>
      <c r="AD1027" s="42"/>
      <c r="AE1027" s="42"/>
      <c r="AF1027" s="42"/>
    </row>
    <row r="1028">
      <c r="A1028" s="25"/>
      <c r="B1028" s="297"/>
      <c r="C1028" s="25"/>
      <c r="D1028" s="25"/>
      <c r="E1028" s="25"/>
      <c r="F1028" s="25"/>
      <c r="G1028" s="123"/>
      <c r="H1028" s="123"/>
      <c r="I1028" s="25"/>
      <c r="J1028" s="25"/>
      <c r="K1028" s="367"/>
      <c r="L1028" s="42"/>
      <c r="M1028" s="42"/>
      <c r="N1028" s="42"/>
      <c r="O1028" s="42"/>
      <c r="P1028" s="42"/>
      <c r="Q1028" s="42"/>
      <c r="R1028" s="176"/>
      <c r="S1028" s="42"/>
      <c r="T1028" s="42"/>
      <c r="U1028" s="46"/>
      <c r="V1028" s="42"/>
      <c r="W1028" s="42"/>
      <c r="X1028" s="42"/>
      <c r="Y1028" s="42"/>
      <c r="Z1028" s="42"/>
      <c r="AA1028" s="42"/>
      <c r="AB1028" s="42"/>
      <c r="AC1028" s="42"/>
      <c r="AD1028" s="42"/>
      <c r="AE1028" s="42"/>
      <c r="AF1028" s="42"/>
    </row>
    <row r="1029">
      <c r="A1029" s="25"/>
      <c r="B1029" s="297"/>
      <c r="C1029" s="25"/>
      <c r="D1029" s="25"/>
      <c r="E1029" s="25"/>
      <c r="F1029" s="25"/>
      <c r="G1029" s="123"/>
      <c r="H1029" s="123"/>
      <c r="I1029" s="25"/>
      <c r="J1029" s="25"/>
      <c r="K1029" s="367"/>
      <c r="L1029" s="42"/>
      <c r="M1029" s="42"/>
      <c r="N1029" s="42"/>
      <c r="O1029" s="42"/>
      <c r="P1029" s="42"/>
      <c r="Q1029" s="42"/>
      <c r="R1029" s="176"/>
      <c r="S1029" s="42"/>
      <c r="T1029" s="42"/>
      <c r="U1029" s="46"/>
      <c r="V1029" s="42"/>
      <c r="W1029" s="42"/>
      <c r="X1029" s="42"/>
      <c r="Y1029" s="42"/>
      <c r="Z1029" s="42"/>
      <c r="AA1029" s="42"/>
      <c r="AB1029" s="42"/>
      <c r="AC1029" s="42"/>
      <c r="AD1029" s="42"/>
      <c r="AE1029" s="42"/>
      <c r="AF1029" s="42"/>
    </row>
    <row r="1030">
      <c r="A1030" s="25"/>
      <c r="B1030" s="297"/>
      <c r="C1030" s="25"/>
      <c r="D1030" s="25"/>
      <c r="E1030" s="25"/>
      <c r="F1030" s="25"/>
      <c r="G1030" s="123"/>
      <c r="H1030" s="123"/>
      <c r="I1030" s="25"/>
      <c r="J1030" s="25"/>
      <c r="K1030" s="367"/>
      <c r="L1030" s="42"/>
      <c r="M1030" s="42"/>
      <c r="N1030" s="42"/>
      <c r="O1030" s="42"/>
      <c r="P1030" s="42"/>
      <c r="Q1030" s="42"/>
      <c r="R1030" s="176"/>
      <c r="S1030" s="42"/>
      <c r="T1030" s="42"/>
      <c r="U1030" s="46"/>
      <c r="V1030" s="42"/>
      <c r="W1030" s="42"/>
      <c r="X1030" s="42"/>
      <c r="Y1030" s="42"/>
      <c r="Z1030" s="42"/>
      <c r="AA1030" s="42"/>
      <c r="AB1030" s="42"/>
      <c r="AC1030" s="42"/>
      <c r="AD1030" s="42"/>
      <c r="AE1030" s="42"/>
      <c r="AF1030" s="42"/>
    </row>
    <row r="1031">
      <c r="A1031" s="25"/>
      <c r="B1031" s="297"/>
      <c r="C1031" s="25"/>
      <c r="D1031" s="25"/>
      <c r="E1031" s="25"/>
      <c r="F1031" s="25"/>
      <c r="G1031" s="123"/>
      <c r="H1031" s="123"/>
      <c r="I1031" s="25"/>
      <c r="J1031" s="25"/>
      <c r="K1031" s="367"/>
      <c r="L1031" s="42"/>
      <c r="M1031" s="42"/>
      <c r="N1031" s="42"/>
      <c r="O1031" s="42"/>
      <c r="P1031" s="42"/>
      <c r="Q1031" s="42"/>
      <c r="R1031" s="176"/>
      <c r="S1031" s="42"/>
      <c r="T1031" s="42"/>
      <c r="U1031" s="46"/>
      <c r="V1031" s="42"/>
      <c r="W1031" s="42"/>
      <c r="X1031" s="42"/>
      <c r="Y1031" s="42"/>
      <c r="Z1031" s="42"/>
      <c r="AA1031" s="42"/>
      <c r="AB1031" s="42"/>
      <c r="AC1031" s="42"/>
      <c r="AD1031" s="42"/>
      <c r="AE1031" s="42"/>
      <c r="AF1031" s="42"/>
    </row>
    <row r="1032">
      <c r="A1032" s="25"/>
      <c r="B1032" s="297"/>
      <c r="C1032" s="25"/>
      <c r="D1032" s="25"/>
      <c r="E1032" s="25"/>
      <c r="F1032" s="25"/>
      <c r="G1032" s="123"/>
      <c r="H1032" s="123"/>
      <c r="I1032" s="25"/>
      <c r="J1032" s="25"/>
      <c r="K1032" s="367"/>
      <c r="L1032" s="42"/>
      <c r="M1032" s="42"/>
      <c r="N1032" s="42"/>
      <c r="O1032" s="42"/>
      <c r="P1032" s="42"/>
      <c r="Q1032" s="42"/>
      <c r="R1032" s="176"/>
      <c r="S1032" s="42"/>
      <c r="T1032" s="42"/>
      <c r="U1032" s="46"/>
      <c r="V1032" s="42"/>
      <c r="W1032" s="42"/>
      <c r="X1032" s="42"/>
      <c r="Y1032" s="42"/>
      <c r="Z1032" s="42"/>
      <c r="AA1032" s="42"/>
      <c r="AB1032" s="42"/>
      <c r="AC1032" s="42"/>
      <c r="AD1032" s="42"/>
      <c r="AE1032" s="42"/>
      <c r="AF1032" s="42"/>
    </row>
    <row r="1033">
      <c r="A1033" s="25"/>
      <c r="B1033" s="297"/>
      <c r="C1033" s="25"/>
      <c r="D1033" s="25"/>
      <c r="E1033" s="25"/>
      <c r="F1033" s="25"/>
      <c r="G1033" s="123"/>
      <c r="H1033" s="123"/>
      <c r="I1033" s="25"/>
      <c r="J1033" s="25"/>
      <c r="K1033" s="367"/>
      <c r="L1033" s="42"/>
      <c r="M1033" s="42"/>
      <c r="N1033" s="42"/>
      <c r="O1033" s="42"/>
      <c r="P1033" s="42"/>
      <c r="Q1033" s="42"/>
      <c r="R1033" s="176"/>
      <c r="S1033" s="42"/>
      <c r="T1033" s="42"/>
      <c r="U1033" s="46"/>
      <c r="V1033" s="42"/>
      <c r="W1033" s="42"/>
      <c r="X1033" s="42"/>
      <c r="Y1033" s="42"/>
      <c r="Z1033" s="42"/>
      <c r="AA1033" s="42"/>
      <c r="AB1033" s="42"/>
      <c r="AC1033" s="42"/>
      <c r="AD1033" s="42"/>
      <c r="AE1033" s="42"/>
      <c r="AF1033" s="42"/>
    </row>
    <row r="1034">
      <c r="A1034" s="25"/>
      <c r="B1034" s="297"/>
      <c r="C1034" s="25"/>
      <c r="D1034" s="25"/>
      <c r="E1034" s="25"/>
      <c r="F1034" s="25"/>
      <c r="G1034" s="123"/>
      <c r="H1034" s="123"/>
      <c r="I1034" s="25"/>
      <c r="J1034" s="25"/>
      <c r="K1034" s="367"/>
      <c r="L1034" s="42"/>
      <c r="M1034" s="42"/>
      <c r="N1034" s="42"/>
      <c r="O1034" s="42"/>
      <c r="P1034" s="42"/>
      <c r="Q1034" s="42"/>
      <c r="R1034" s="176"/>
      <c r="S1034" s="42"/>
      <c r="T1034" s="42"/>
      <c r="U1034" s="46"/>
      <c r="V1034" s="42"/>
      <c r="W1034" s="42"/>
      <c r="X1034" s="42"/>
      <c r="Y1034" s="42"/>
      <c r="Z1034" s="42"/>
      <c r="AA1034" s="42"/>
      <c r="AB1034" s="42"/>
      <c r="AC1034" s="42"/>
      <c r="AD1034" s="42"/>
      <c r="AE1034" s="42"/>
      <c r="AF1034" s="42"/>
    </row>
    <row r="1035">
      <c r="A1035" s="25"/>
      <c r="B1035" s="297"/>
      <c r="C1035" s="25"/>
      <c r="D1035" s="25"/>
      <c r="E1035" s="25"/>
      <c r="F1035" s="25"/>
      <c r="G1035" s="123"/>
      <c r="H1035" s="123"/>
      <c r="I1035" s="25"/>
      <c r="J1035" s="25"/>
      <c r="K1035" s="367"/>
      <c r="L1035" s="42"/>
      <c r="M1035" s="42"/>
      <c r="N1035" s="42"/>
      <c r="O1035" s="42"/>
      <c r="P1035" s="42"/>
      <c r="Q1035" s="42"/>
      <c r="R1035" s="176"/>
      <c r="S1035" s="42"/>
      <c r="T1035" s="42"/>
      <c r="U1035" s="46"/>
      <c r="V1035" s="42"/>
      <c r="W1035" s="42"/>
      <c r="X1035" s="42"/>
      <c r="Y1035" s="42"/>
      <c r="Z1035" s="42"/>
      <c r="AA1035" s="42"/>
      <c r="AB1035" s="42"/>
      <c r="AC1035" s="42"/>
      <c r="AD1035" s="42"/>
      <c r="AE1035" s="42"/>
      <c r="AF1035" s="42"/>
    </row>
    <row r="1036">
      <c r="A1036" s="25"/>
      <c r="B1036" s="297"/>
      <c r="C1036" s="25"/>
      <c r="D1036" s="25"/>
      <c r="E1036" s="25"/>
      <c r="F1036" s="25"/>
      <c r="G1036" s="123"/>
      <c r="H1036" s="123"/>
      <c r="I1036" s="25"/>
      <c r="J1036" s="25"/>
      <c r="K1036" s="367"/>
      <c r="L1036" s="42"/>
      <c r="M1036" s="42"/>
      <c r="N1036" s="42"/>
      <c r="O1036" s="42"/>
      <c r="P1036" s="42"/>
      <c r="Q1036" s="42"/>
      <c r="R1036" s="176"/>
      <c r="S1036" s="42"/>
      <c r="T1036" s="42"/>
      <c r="U1036" s="46"/>
      <c r="V1036" s="42"/>
      <c r="W1036" s="42"/>
      <c r="X1036" s="42"/>
      <c r="Y1036" s="42"/>
      <c r="Z1036" s="42"/>
      <c r="AA1036" s="42"/>
      <c r="AB1036" s="42"/>
      <c r="AC1036" s="42"/>
      <c r="AD1036" s="42"/>
      <c r="AE1036" s="42"/>
      <c r="AF1036" s="42"/>
    </row>
    <row r="1037">
      <c r="A1037" s="25"/>
      <c r="B1037" s="297"/>
      <c r="C1037" s="25"/>
      <c r="D1037" s="25"/>
      <c r="E1037" s="25"/>
      <c r="F1037" s="25"/>
      <c r="G1037" s="123"/>
      <c r="H1037" s="123"/>
      <c r="I1037" s="25"/>
      <c r="J1037" s="25"/>
      <c r="K1037" s="367"/>
      <c r="L1037" s="42"/>
      <c r="M1037" s="42"/>
      <c r="N1037" s="42"/>
      <c r="O1037" s="42"/>
      <c r="P1037" s="42"/>
      <c r="Q1037" s="42"/>
      <c r="R1037" s="176"/>
      <c r="S1037" s="42"/>
      <c r="T1037" s="42"/>
      <c r="U1037" s="46"/>
      <c r="V1037" s="42"/>
      <c r="W1037" s="42"/>
      <c r="X1037" s="42"/>
      <c r="Y1037" s="42"/>
      <c r="Z1037" s="42"/>
      <c r="AA1037" s="42"/>
      <c r="AB1037" s="42"/>
      <c r="AC1037" s="42"/>
      <c r="AD1037" s="42"/>
      <c r="AE1037" s="42"/>
      <c r="AF1037" s="42"/>
    </row>
    <row r="1038">
      <c r="A1038" s="25"/>
      <c r="B1038" s="297"/>
      <c r="C1038" s="25"/>
      <c r="D1038" s="25"/>
      <c r="E1038" s="25"/>
      <c r="F1038" s="25"/>
      <c r="G1038" s="123"/>
      <c r="H1038" s="123"/>
      <c r="I1038" s="25"/>
      <c r="J1038" s="25"/>
      <c r="K1038" s="367"/>
      <c r="L1038" s="42"/>
      <c r="M1038" s="42"/>
      <c r="N1038" s="42"/>
      <c r="O1038" s="42"/>
      <c r="P1038" s="42"/>
      <c r="Q1038" s="42"/>
      <c r="R1038" s="176"/>
      <c r="S1038" s="42"/>
      <c r="T1038" s="42"/>
      <c r="U1038" s="46"/>
      <c r="V1038" s="42"/>
      <c r="W1038" s="42"/>
      <c r="X1038" s="42"/>
      <c r="Y1038" s="42"/>
      <c r="Z1038" s="42"/>
      <c r="AA1038" s="42"/>
      <c r="AB1038" s="42"/>
      <c r="AC1038" s="42"/>
      <c r="AD1038" s="42"/>
      <c r="AE1038" s="42"/>
      <c r="AF1038" s="42"/>
    </row>
    <row r="1039">
      <c r="A1039" s="25"/>
      <c r="B1039" s="297"/>
      <c r="C1039" s="25"/>
      <c r="D1039" s="25"/>
      <c r="E1039" s="25"/>
      <c r="F1039" s="25"/>
      <c r="G1039" s="123"/>
      <c r="H1039" s="123"/>
      <c r="I1039" s="25"/>
      <c r="J1039" s="25"/>
      <c r="K1039" s="367"/>
      <c r="L1039" s="42"/>
      <c r="M1039" s="42"/>
      <c r="N1039" s="42"/>
      <c r="O1039" s="42"/>
      <c r="P1039" s="42"/>
      <c r="Q1039" s="42"/>
      <c r="R1039" s="176"/>
      <c r="S1039" s="42"/>
      <c r="T1039" s="42"/>
      <c r="U1039" s="46"/>
      <c r="V1039" s="42"/>
      <c r="W1039" s="42"/>
      <c r="X1039" s="42"/>
      <c r="Y1039" s="42"/>
      <c r="Z1039" s="42"/>
      <c r="AA1039" s="42"/>
      <c r="AB1039" s="42"/>
      <c r="AC1039" s="42"/>
      <c r="AD1039" s="42"/>
      <c r="AE1039" s="42"/>
      <c r="AF1039" s="42"/>
    </row>
    <row r="1040">
      <c r="A1040" s="25"/>
      <c r="B1040" s="297"/>
      <c r="C1040" s="25"/>
      <c r="D1040" s="25"/>
      <c r="E1040" s="25"/>
      <c r="F1040" s="25"/>
      <c r="G1040" s="123"/>
      <c r="H1040" s="123"/>
      <c r="I1040" s="25"/>
      <c r="J1040" s="25"/>
      <c r="K1040" s="367"/>
      <c r="L1040" s="42"/>
      <c r="M1040" s="42"/>
      <c r="N1040" s="42"/>
      <c r="O1040" s="42"/>
      <c r="P1040" s="42"/>
      <c r="Q1040" s="42"/>
      <c r="R1040" s="176"/>
      <c r="S1040" s="42"/>
      <c r="T1040" s="42"/>
      <c r="U1040" s="46"/>
      <c r="V1040" s="42"/>
      <c r="W1040" s="42"/>
      <c r="X1040" s="42"/>
      <c r="Y1040" s="42"/>
      <c r="Z1040" s="42"/>
      <c r="AA1040" s="42"/>
      <c r="AB1040" s="42"/>
      <c r="AC1040" s="42"/>
      <c r="AD1040" s="42"/>
      <c r="AE1040" s="42"/>
      <c r="AF1040" s="42"/>
    </row>
    <row r="1041">
      <c r="A1041" s="25"/>
      <c r="B1041" s="297"/>
      <c r="C1041" s="25"/>
      <c r="D1041" s="25"/>
      <c r="E1041" s="25"/>
      <c r="F1041" s="25"/>
      <c r="G1041" s="123"/>
      <c r="H1041" s="123"/>
      <c r="I1041" s="25"/>
      <c r="J1041" s="25"/>
      <c r="K1041" s="367"/>
      <c r="L1041" s="42"/>
      <c r="M1041" s="42"/>
      <c r="N1041" s="42"/>
      <c r="O1041" s="42"/>
      <c r="P1041" s="42"/>
      <c r="Q1041" s="42"/>
      <c r="R1041" s="176"/>
      <c r="S1041" s="42"/>
      <c r="T1041" s="42"/>
      <c r="U1041" s="46"/>
      <c r="V1041" s="42"/>
      <c r="W1041" s="42"/>
      <c r="X1041" s="42"/>
      <c r="Y1041" s="42"/>
      <c r="Z1041" s="42"/>
      <c r="AA1041" s="42"/>
      <c r="AB1041" s="42"/>
      <c r="AC1041" s="42"/>
      <c r="AD1041" s="42"/>
      <c r="AE1041" s="42"/>
      <c r="AF1041" s="42"/>
    </row>
    <row r="1042">
      <c r="A1042" s="25"/>
      <c r="B1042" s="297"/>
      <c r="C1042" s="25"/>
      <c r="D1042" s="25"/>
      <c r="E1042" s="25"/>
      <c r="F1042" s="25"/>
      <c r="G1042" s="123"/>
      <c r="H1042" s="123"/>
      <c r="I1042" s="25"/>
      <c r="J1042" s="25"/>
      <c r="K1042" s="367"/>
      <c r="L1042" s="42"/>
      <c r="M1042" s="42"/>
      <c r="N1042" s="42"/>
      <c r="O1042" s="42"/>
      <c r="P1042" s="42"/>
      <c r="Q1042" s="42"/>
      <c r="R1042" s="176"/>
      <c r="S1042" s="42"/>
      <c r="T1042" s="42"/>
      <c r="U1042" s="46"/>
      <c r="V1042" s="42"/>
      <c r="W1042" s="42"/>
      <c r="X1042" s="42"/>
      <c r="Y1042" s="42"/>
      <c r="Z1042" s="42"/>
      <c r="AA1042" s="42"/>
      <c r="AB1042" s="42"/>
      <c r="AC1042" s="42"/>
      <c r="AD1042" s="42"/>
      <c r="AE1042" s="42"/>
      <c r="AF1042" s="42"/>
    </row>
    <row r="1043">
      <c r="A1043" s="25"/>
      <c r="B1043" s="297"/>
      <c r="C1043" s="25"/>
      <c r="D1043" s="25"/>
      <c r="E1043" s="25"/>
      <c r="F1043" s="25"/>
      <c r="G1043" s="123"/>
      <c r="H1043" s="123"/>
      <c r="I1043" s="25"/>
      <c r="J1043" s="25"/>
      <c r="K1043" s="367"/>
      <c r="L1043" s="42"/>
      <c r="M1043" s="42"/>
      <c r="N1043" s="42"/>
      <c r="O1043" s="42"/>
      <c r="P1043" s="42"/>
      <c r="Q1043" s="42"/>
      <c r="R1043" s="176"/>
      <c r="S1043" s="42"/>
      <c r="T1043" s="42"/>
      <c r="U1043" s="46"/>
      <c r="V1043" s="42"/>
      <c r="W1043" s="42"/>
      <c r="X1043" s="42"/>
      <c r="Y1043" s="42"/>
      <c r="Z1043" s="42"/>
      <c r="AA1043" s="42"/>
      <c r="AB1043" s="42"/>
      <c r="AC1043" s="42"/>
      <c r="AD1043" s="42"/>
      <c r="AE1043" s="42"/>
      <c r="AF1043" s="42"/>
    </row>
    <row r="1044">
      <c r="A1044" s="25"/>
      <c r="B1044" s="297"/>
      <c r="C1044" s="25"/>
      <c r="D1044" s="25"/>
      <c r="E1044" s="25"/>
      <c r="F1044" s="25"/>
      <c r="G1044" s="123"/>
      <c r="H1044" s="123"/>
      <c r="I1044" s="25"/>
      <c r="J1044" s="25"/>
      <c r="K1044" s="367"/>
      <c r="L1044" s="42"/>
      <c r="M1044" s="42"/>
      <c r="N1044" s="42"/>
      <c r="O1044" s="42"/>
      <c r="P1044" s="42"/>
      <c r="Q1044" s="42"/>
      <c r="R1044" s="176"/>
      <c r="S1044" s="42"/>
      <c r="T1044" s="42"/>
      <c r="U1044" s="46"/>
      <c r="V1044" s="42"/>
      <c r="W1044" s="42"/>
      <c r="X1044" s="42"/>
      <c r="Y1044" s="42"/>
      <c r="Z1044" s="42"/>
      <c r="AA1044" s="42"/>
      <c r="AB1044" s="42"/>
      <c r="AC1044" s="42"/>
      <c r="AD1044" s="42"/>
      <c r="AE1044" s="42"/>
      <c r="AF1044" s="42"/>
    </row>
    <row r="1045">
      <c r="A1045" s="25"/>
      <c r="B1045" s="297"/>
      <c r="C1045" s="25"/>
      <c r="D1045" s="25"/>
      <c r="E1045" s="25"/>
      <c r="F1045" s="25"/>
      <c r="G1045" s="123"/>
      <c r="H1045" s="123"/>
      <c r="I1045" s="25"/>
      <c r="J1045" s="25"/>
      <c r="K1045" s="367"/>
      <c r="L1045" s="42"/>
      <c r="M1045" s="42"/>
      <c r="N1045" s="42"/>
      <c r="O1045" s="42"/>
      <c r="P1045" s="42"/>
      <c r="Q1045" s="42"/>
      <c r="R1045" s="176"/>
      <c r="S1045" s="42"/>
      <c r="T1045" s="42"/>
      <c r="U1045" s="46"/>
      <c r="V1045" s="42"/>
      <c r="W1045" s="42"/>
      <c r="X1045" s="42"/>
      <c r="Y1045" s="42"/>
      <c r="Z1045" s="42"/>
      <c r="AA1045" s="42"/>
      <c r="AB1045" s="42"/>
      <c r="AC1045" s="42"/>
      <c r="AD1045" s="42"/>
      <c r="AE1045" s="42"/>
      <c r="AF1045" s="42"/>
    </row>
    <row r="1046">
      <c r="A1046" s="25"/>
      <c r="B1046" s="297"/>
      <c r="C1046" s="25"/>
      <c r="D1046" s="25"/>
      <c r="E1046" s="25"/>
      <c r="F1046" s="25"/>
      <c r="G1046" s="123"/>
      <c r="H1046" s="123"/>
      <c r="I1046" s="25"/>
      <c r="J1046" s="25"/>
      <c r="K1046" s="367"/>
      <c r="L1046" s="42"/>
      <c r="M1046" s="42"/>
      <c r="N1046" s="42"/>
      <c r="O1046" s="42"/>
      <c r="P1046" s="42"/>
      <c r="Q1046" s="42"/>
      <c r="R1046" s="176"/>
      <c r="S1046" s="42"/>
      <c r="T1046" s="42"/>
      <c r="U1046" s="46"/>
      <c r="V1046" s="42"/>
      <c r="W1046" s="42"/>
      <c r="X1046" s="42"/>
      <c r="Y1046" s="42"/>
      <c r="Z1046" s="42"/>
      <c r="AA1046" s="42"/>
      <c r="AB1046" s="42"/>
      <c r="AC1046" s="42"/>
      <c r="AD1046" s="42"/>
      <c r="AE1046" s="42"/>
      <c r="AF1046" s="42"/>
    </row>
    <row r="1047">
      <c r="A1047" s="25"/>
      <c r="B1047" s="297"/>
      <c r="C1047" s="25"/>
      <c r="D1047" s="25"/>
      <c r="E1047" s="25"/>
      <c r="F1047" s="25"/>
      <c r="G1047" s="123"/>
      <c r="H1047" s="123"/>
      <c r="I1047" s="25"/>
      <c r="J1047" s="25"/>
      <c r="K1047" s="367"/>
      <c r="L1047" s="42"/>
      <c r="M1047" s="42"/>
      <c r="N1047" s="42"/>
      <c r="O1047" s="42"/>
      <c r="P1047" s="42"/>
      <c r="Q1047" s="42"/>
      <c r="R1047" s="176"/>
      <c r="S1047" s="42"/>
      <c r="T1047" s="42"/>
      <c r="U1047" s="46"/>
      <c r="V1047" s="42"/>
      <c r="W1047" s="42"/>
      <c r="X1047" s="42"/>
      <c r="Y1047" s="42"/>
      <c r="Z1047" s="42"/>
      <c r="AA1047" s="42"/>
      <c r="AB1047" s="42"/>
      <c r="AC1047" s="42"/>
      <c r="AD1047" s="42"/>
      <c r="AE1047" s="42"/>
      <c r="AF1047" s="42"/>
    </row>
    <row r="1048">
      <c r="A1048" s="25"/>
      <c r="B1048" s="297"/>
      <c r="C1048" s="25"/>
      <c r="D1048" s="25"/>
      <c r="E1048" s="25"/>
      <c r="F1048" s="25"/>
      <c r="G1048" s="123"/>
      <c r="H1048" s="123"/>
      <c r="I1048" s="25"/>
      <c r="J1048" s="25"/>
      <c r="K1048" s="367"/>
      <c r="L1048" s="42"/>
      <c r="M1048" s="42"/>
      <c r="N1048" s="42"/>
      <c r="O1048" s="42"/>
      <c r="P1048" s="42"/>
      <c r="Q1048" s="42"/>
      <c r="R1048" s="176"/>
      <c r="S1048" s="42"/>
      <c r="T1048" s="42"/>
      <c r="U1048" s="46"/>
      <c r="V1048" s="42"/>
      <c r="W1048" s="42"/>
      <c r="X1048" s="42"/>
      <c r="Y1048" s="42"/>
      <c r="Z1048" s="42"/>
      <c r="AA1048" s="42"/>
      <c r="AB1048" s="42"/>
      <c r="AC1048" s="42"/>
      <c r="AD1048" s="42"/>
      <c r="AE1048" s="42"/>
      <c r="AF1048" s="42"/>
    </row>
    <row r="1049">
      <c r="A1049" s="25"/>
      <c r="B1049" s="297"/>
      <c r="C1049" s="25"/>
      <c r="D1049" s="25"/>
      <c r="E1049" s="25"/>
      <c r="F1049" s="25"/>
      <c r="G1049" s="123"/>
      <c r="H1049" s="123"/>
      <c r="I1049" s="25"/>
      <c r="J1049" s="25"/>
      <c r="K1049" s="367"/>
      <c r="L1049" s="42"/>
      <c r="M1049" s="42"/>
      <c r="N1049" s="42"/>
      <c r="O1049" s="42"/>
      <c r="P1049" s="42"/>
      <c r="Q1049" s="42"/>
      <c r="R1049" s="176"/>
      <c r="S1049" s="42"/>
      <c r="T1049" s="42"/>
      <c r="U1049" s="46"/>
      <c r="V1049" s="42"/>
      <c r="W1049" s="42"/>
      <c r="X1049" s="42"/>
      <c r="Y1049" s="42"/>
      <c r="Z1049" s="42"/>
      <c r="AA1049" s="42"/>
      <c r="AB1049" s="42"/>
      <c r="AC1049" s="42"/>
      <c r="AD1049" s="42"/>
      <c r="AE1049" s="42"/>
      <c r="AF1049" s="42"/>
    </row>
    <row r="1050">
      <c r="A1050" s="25"/>
      <c r="B1050" s="297"/>
      <c r="C1050" s="25"/>
      <c r="D1050" s="25"/>
      <c r="E1050" s="25"/>
      <c r="F1050" s="25"/>
      <c r="G1050" s="123"/>
      <c r="H1050" s="123"/>
      <c r="I1050" s="25"/>
      <c r="J1050" s="25"/>
      <c r="K1050" s="367"/>
      <c r="L1050" s="42"/>
      <c r="M1050" s="42"/>
      <c r="N1050" s="42"/>
      <c r="O1050" s="42"/>
      <c r="P1050" s="42"/>
      <c r="Q1050" s="42"/>
      <c r="R1050" s="176"/>
      <c r="S1050" s="42"/>
      <c r="T1050" s="42"/>
      <c r="U1050" s="46"/>
      <c r="V1050" s="42"/>
      <c r="W1050" s="42"/>
      <c r="X1050" s="42"/>
      <c r="Y1050" s="42"/>
      <c r="Z1050" s="42"/>
      <c r="AA1050" s="42"/>
      <c r="AB1050" s="42"/>
      <c r="AC1050" s="42"/>
      <c r="AD1050" s="42"/>
      <c r="AE1050" s="42"/>
      <c r="AF1050" s="42"/>
    </row>
    <row r="1051">
      <c r="A1051" s="25"/>
      <c r="B1051" s="297"/>
      <c r="C1051" s="25"/>
      <c r="D1051" s="25"/>
      <c r="E1051" s="25"/>
      <c r="F1051" s="25"/>
      <c r="G1051" s="123"/>
      <c r="H1051" s="123"/>
      <c r="I1051" s="25"/>
      <c r="J1051" s="25"/>
      <c r="K1051" s="367"/>
      <c r="L1051" s="42"/>
      <c r="M1051" s="42"/>
      <c r="N1051" s="42"/>
      <c r="O1051" s="42"/>
      <c r="P1051" s="42"/>
      <c r="Q1051" s="42"/>
      <c r="R1051" s="176"/>
      <c r="S1051" s="42"/>
      <c r="T1051" s="42"/>
      <c r="U1051" s="46"/>
      <c r="V1051" s="42"/>
      <c r="W1051" s="42"/>
      <c r="X1051" s="42"/>
      <c r="Y1051" s="42"/>
      <c r="Z1051" s="42"/>
      <c r="AA1051" s="42"/>
      <c r="AB1051" s="42"/>
      <c r="AC1051" s="42"/>
      <c r="AD1051" s="42"/>
      <c r="AE1051" s="42"/>
      <c r="AF1051" s="42"/>
    </row>
    <row r="1052">
      <c r="A1052" s="25"/>
      <c r="B1052" s="297"/>
      <c r="C1052" s="25"/>
      <c r="D1052" s="25"/>
      <c r="E1052" s="25"/>
      <c r="F1052" s="25"/>
      <c r="G1052" s="123"/>
      <c r="H1052" s="123"/>
      <c r="I1052" s="25"/>
      <c r="J1052" s="25"/>
      <c r="K1052" s="367"/>
      <c r="L1052" s="42"/>
      <c r="M1052" s="42"/>
      <c r="N1052" s="42"/>
      <c r="O1052" s="42"/>
      <c r="P1052" s="42"/>
      <c r="Q1052" s="42"/>
      <c r="R1052" s="176"/>
      <c r="S1052" s="42"/>
      <c r="T1052" s="42"/>
      <c r="U1052" s="46"/>
      <c r="V1052" s="42"/>
      <c r="W1052" s="42"/>
      <c r="X1052" s="42"/>
      <c r="Y1052" s="42"/>
      <c r="Z1052" s="42"/>
      <c r="AA1052" s="42"/>
      <c r="AB1052" s="42"/>
      <c r="AC1052" s="42"/>
      <c r="AD1052" s="42"/>
      <c r="AE1052" s="42"/>
      <c r="AF1052" s="42"/>
    </row>
    <row r="1053">
      <c r="A1053" s="25"/>
      <c r="B1053" s="297"/>
      <c r="C1053" s="25"/>
      <c r="D1053" s="25"/>
      <c r="E1053" s="25"/>
      <c r="F1053" s="25"/>
      <c r="G1053" s="123"/>
      <c r="H1053" s="123"/>
      <c r="I1053" s="25"/>
      <c r="J1053" s="25"/>
      <c r="K1053" s="367"/>
      <c r="L1053" s="42"/>
      <c r="M1053" s="42"/>
      <c r="N1053" s="42"/>
      <c r="O1053" s="42"/>
      <c r="P1053" s="42"/>
      <c r="Q1053" s="42"/>
      <c r="R1053" s="176"/>
      <c r="S1053" s="42"/>
      <c r="T1053" s="42"/>
      <c r="U1053" s="46"/>
      <c r="V1053" s="42"/>
      <c r="W1053" s="42"/>
      <c r="X1053" s="42"/>
      <c r="Y1053" s="42"/>
      <c r="Z1053" s="42"/>
      <c r="AA1053" s="42"/>
      <c r="AB1053" s="42"/>
      <c r="AC1053" s="42"/>
      <c r="AD1053" s="42"/>
      <c r="AE1053" s="42"/>
      <c r="AF1053" s="42"/>
    </row>
    <row r="1054">
      <c r="A1054" s="25"/>
      <c r="B1054" s="297"/>
      <c r="C1054" s="25"/>
      <c r="D1054" s="25"/>
      <c r="E1054" s="25"/>
      <c r="F1054" s="25"/>
      <c r="G1054" s="123"/>
      <c r="H1054" s="123"/>
      <c r="I1054" s="25"/>
      <c r="J1054" s="25"/>
      <c r="K1054" s="367"/>
      <c r="L1054" s="42"/>
      <c r="M1054" s="42"/>
      <c r="N1054" s="42"/>
      <c r="O1054" s="42"/>
      <c r="P1054" s="42"/>
      <c r="Q1054" s="42"/>
      <c r="R1054" s="176"/>
      <c r="S1054" s="42"/>
      <c r="T1054" s="42"/>
      <c r="U1054" s="46"/>
      <c r="V1054" s="42"/>
      <c r="W1054" s="42"/>
      <c r="X1054" s="42"/>
      <c r="Y1054" s="42"/>
      <c r="Z1054" s="42"/>
      <c r="AA1054" s="42"/>
      <c r="AB1054" s="42"/>
      <c r="AC1054" s="42"/>
      <c r="AD1054" s="42"/>
      <c r="AE1054" s="42"/>
      <c r="AF1054" s="42"/>
    </row>
    <row r="1055">
      <c r="A1055" s="25"/>
      <c r="B1055" s="297"/>
      <c r="C1055" s="25"/>
      <c r="D1055" s="25"/>
      <c r="E1055" s="25"/>
      <c r="F1055" s="25"/>
      <c r="G1055" s="123"/>
      <c r="H1055" s="123"/>
      <c r="I1055" s="25"/>
      <c r="J1055" s="25"/>
      <c r="K1055" s="367"/>
      <c r="L1055" s="42"/>
      <c r="M1055" s="42"/>
      <c r="N1055" s="42"/>
      <c r="O1055" s="42"/>
      <c r="P1055" s="42"/>
      <c r="Q1055" s="42"/>
      <c r="R1055" s="176"/>
      <c r="S1055" s="42"/>
      <c r="T1055" s="42"/>
      <c r="U1055" s="46"/>
      <c r="V1055" s="42"/>
      <c r="W1055" s="42"/>
      <c r="X1055" s="42"/>
      <c r="Y1055" s="42"/>
      <c r="Z1055" s="42"/>
      <c r="AA1055" s="42"/>
      <c r="AB1055" s="42"/>
      <c r="AC1055" s="42"/>
      <c r="AD1055" s="42"/>
      <c r="AE1055" s="42"/>
      <c r="AF1055" s="42"/>
    </row>
    <row r="1056">
      <c r="A1056" s="25"/>
      <c r="B1056" s="297"/>
      <c r="C1056" s="25"/>
      <c r="D1056" s="25"/>
      <c r="E1056" s="25"/>
      <c r="F1056" s="25"/>
      <c r="G1056" s="123"/>
      <c r="H1056" s="123"/>
      <c r="I1056" s="25"/>
      <c r="J1056" s="25"/>
      <c r="K1056" s="367"/>
      <c r="L1056" s="42"/>
      <c r="M1056" s="42"/>
      <c r="N1056" s="42"/>
      <c r="O1056" s="42"/>
      <c r="P1056" s="42"/>
      <c r="Q1056" s="42"/>
      <c r="R1056" s="176"/>
      <c r="S1056" s="42"/>
      <c r="T1056" s="42"/>
      <c r="U1056" s="46"/>
      <c r="V1056" s="42"/>
      <c r="W1056" s="42"/>
      <c r="X1056" s="42"/>
      <c r="Y1056" s="42"/>
      <c r="Z1056" s="42"/>
      <c r="AA1056" s="42"/>
      <c r="AB1056" s="42"/>
      <c r="AC1056" s="42"/>
      <c r="AD1056" s="42"/>
      <c r="AE1056" s="42"/>
      <c r="AF1056" s="42"/>
    </row>
    <row r="1057">
      <c r="A1057" s="25"/>
      <c r="B1057" s="297"/>
      <c r="C1057" s="25"/>
      <c r="D1057" s="25"/>
      <c r="E1057" s="25"/>
      <c r="F1057" s="25"/>
      <c r="G1057" s="123"/>
      <c r="H1057" s="123"/>
      <c r="I1057" s="25"/>
      <c r="J1057" s="25"/>
      <c r="K1057" s="367"/>
      <c r="L1057" s="42"/>
      <c r="M1057" s="42"/>
      <c r="N1057" s="42"/>
      <c r="O1057" s="42"/>
      <c r="P1057" s="42"/>
      <c r="Q1057" s="42"/>
      <c r="R1057" s="176"/>
      <c r="S1057" s="42"/>
      <c r="T1057" s="42"/>
      <c r="U1057" s="46"/>
      <c r="V1057" s="42"/>
      <c r="W1057" s="42"/>
      <c r="X1057" s="42"/>
      <c r="Y1057" s="42"/>
      <c r="Z1057" s="42"/>
      <c r="AA1057" s="42"/>
      <c r="AB1057" s="42"/>
      <c r="AC1057" s="42"/>
      <c r="AD1057" s="42"/>
      <c r="AE1057" s="42"/>
      <c r="AF1057" s="42"/>
    </row>
    <row r="1058">
      <c r="A1058" s="25"/>
      <c r="B1058" s="297"/>
      <c r="C1058" s="25"/>
      <c r="D1058" s="25"/>
      <c r="E1058" s="25"/>
      <c r="F1058" s="25"/>
      <c r="G1058" s="123"/>
      <c r="H1058" s="123"/>
      <c r="I1058" s="25"/>
      <c r="J1058" s="25"/>
      <c r="K1058" s="367"/>
      <c r="L1058" s="42"/>
      <c r="M1058" s="42"/>
      <c r="N1058" s="42"/>
      <c r="O1058" s="42"/>
      <c r="P1058" s="42"/>
      <c r="Q1058" s="42"/>
      <c r="R1058" s="176"/>
      <c r="S1058" s="42"/>
      <c r="T1058" s="42"/>
      <c r="U1058" s="46"/>
      <c r="V1058" s="42"/>
      <c r="W1058" s="42"/>
      <c r="X1058" s="42"/>
      <c r="Y1058" s="42"/>
      <c r="Z1058" s="42"/>
      <c r="AA1058" s="42"/>
      <c r="AB1058" s="42"/>
      <c r="AC1058" s="42"/>
      <c r="AD1058" s="42"/>
      <c r="AE1058" s="42"/>
      <c r="AF1058" s="42"/>
    </row>
    <row r="1059">
      <c r="A1059" s="25"/>
      <c r="B1059" s="297"/>
      <c r="C1059" s="25"/>
      <c r="D1059" s="25"/>
      <c r="E1059" s="25"/>
      <c r="F1059" s="25"/>
      <c r="G1059" s="123"/>
      <c r="H1059" s="123"/>
      <c r="I1059" s="25"/>
      <c r="J1059" s="25"/>
      <c r="K1059" s="367"/>
      <c r="L1059" s="42"/>
      <c r="M1059" s="42"/>
      <c r="N1059" s="42"/>
      <c r="O1059" s="42"/>
      <c r="P1059" s="42"/>
      <c r="Q1059" s="42"/>
      <c r="R1059" s="176"/>
      <c r="S1059" s="42"/>
      <c r="T1059" s="42"/>
      <c r="U1059" s="46"/>
      <c r="V1059" s="42"/>
      <c r="W1059" s="42"/>
      <c r="X1059" s="42"/>
      <c r="Y1059" s="42"/>
      <c r="Z1059" s="42"/>
      <c r="AA1059" s="42"/>
      <c r="AB1059" s="42"/>
      <c r="AC1059" s="42"/>
      <c r="AD1059" s="42"/>
      <c r="AE1059" s="42"/>
      <c r="AF1059" s="42"/>
    </row>
    <row r="1060">
      <c r="A1060" s="25"/>
      <c r="B1060" s="297"/>
      <c r="C1060" s="25"/>
      <c r="D1060" s="25"/>
      <c r="E1060" s="25"/>
      <c r="F1060" s="25"/>
      <c r="G1060" s="123"/>
      <c r="H1060" s="123"/>
      <c r="I1060" s="25"/>
      <c r="J1060" s="25"/>
      <c r="K1060" s="367"/>
      <c r="L1060" s="42"/>
      <c r="M1060" s="42"/>
      <c r="N1060" s="42"/>
      <c r="O1060" s="42"/>
      <c r="P1060" s="42"/>
      <c r="Q1060" s="42"/>
      <c r="R1060" s="176"/>
      <c r="S1060" s="42"/>
      <c r="T1060" s="42"/>
      <c r="U1060" s="46"/>
      <c r="V1060" s="42"/>
      <c r="W1060" s="42"/>
      <c r="X1060" s="42"/>
      <c r="Y1060" s="42"/>
      <c r="Z1060" s="42"/>
      <c r="AA1060" s="42"/>
      <c r="AB1060" s="42"/>
      <c r="AC1060" s="42"/>
      <c r="AD1060" s="42"/>
      <c r="AE1060" s="42"/>
      <c r="AF1060" s="42"/>
    </row>
    <row r="1061">
      <c r="A1061" s="25"/>
      <c r="B1061" s="297"/>
      <c r="C1061" s="25"/>
      <c r="D1061" s="25"/>
      <c r="E1061" s="25"/>
      <c r="F1061" s="25"/>
      <c r="G1061" s="123"/>
      <c r="H1061" s="123"/>
      <c r="I1061" s="25"/>
      <c r="J1061" s="25"/>
      <c r="K1061" s="367"/>
      <c r="L1061" s="42"/>
      <c r="M1061" s="42"/>
      <c r="N1061" s="42"/>
      <c r="O1061" s="42"/>
      <c r="P1061" s="42"/>
      <c r="Q1061" s="42"/>
      <c r="R1061" s="176"/>
      <c r="S1061" s="42"/>
      <c r="T1061" s="42"/>
      <c r="U1061" s="46"/>
      <c r="V1061" s="42"/>
      <c r="W1061" s="42"/>
      <c r="X1061" s="42"/>
      <c r="Y1061" s="42"/>
      <c r="Z1061" s="42"/>
      <c r="AA1061" s="42"/>
      <c r="AB1061" s="42"/>
      <c r="AC1061" s="42"/>
      <c r="AD1061" s="42"/>
      <c r="AE1061" s="42"/>
      <c r="AF1061" s="42"/>
    </row>
    <row r="1062">
      <c r="A1062" s="25"/>
      <c r="B1062" s="297"/>
      <c r="C1062" s="25"/>
      <c r="D1062" s="25"/>
      <c r="E1062" s="25"/>
      <c r="F1062" s="25"/>
      <c r="G1062" s="123"/>
      <c r="H1062" s="123"/>
      <c r="I1062" s="25"/>
      <c r="J1062" s="25"/>
      <c r="K1062" s="367"/>
      <c r="L1062" s="42"/>
      <c r="M1062" s="42"/>
      <c r="N1062" s="42"/>
      <c r="O1062" s="42"/>
      <c r="P1062" s="42"/>
      <c r="Q1062" s="42"/>
      <c r="R1062" s="176"/>
      <c r="S1062" s="42"/>
      <c r="T1062" s="42"/>
      <c r="U1062" s="46"/>
      <c r="V1062" s="42"/>
      <c r="W1062" s="42"/>
      <c r="X1062" s="42"/>
      <c r="Y1062" s="42"/>
      <c r="Z1062" s="42"/>
      <c r="AA1062" s="42"/>
      <c r="AB1062" s="42"/>
      <c r="AC1062" s="42"/>
      <c r="AD1062" s="42"/>
      <c r="AE1062" s="42"/>
      <c r="AF1062" s="42"/>
    </row>
    <row r="1063">
      <c r="A1063" s="25"/>
      <c r="B1063" s="297"/>
      <c r="C1063" s="25"/>
      <c r="D1063" s="25"/>
      <c r="E1063" s="25"/>
      <c r="F1063" s="25"/>
      <c r="G1063" s="123"/>
      <c r="H1063" s="123"/>
      <c r="I1063" s="25"/>
      <c r="J1063" s="25"/>
      <c r="K1063" s="367"/>
      <c r="L1063" s="42"/>
      <c r="M1063" s="42"/>
      <c r="N1063" s="42"/>
      <c r="O1063" s="42"/>
      <c r="P1063" s="42"/>
      <c r="Q1063" s="42"/>
      <c r="R1063" s="176"/>
      <c r="S1063" s="42"/>
      <c r="T1063" s="42"/>
      <c r="U1063" s="46"/>
      <c r="V1063" s="42"/>
      <c r="W1063" s="42"/>
      <c r="X1063" s="42"/>
      <c r="Y1063" s="42"/>
      <c r="Z1063" s="42"/>
      <c r="AA1063" s="42"/>
      <c r="AB1063" s="42"/>
      <c r="AC1063" s="42"/>
      <c r="AD1063" s="42"/>
      <c r="AE1063" s="42"/>
      <c r="AF1063" s="42"/>
    </row>
    <row r="1064">
      <c r="A1064" s="25"/>
      <c r="B1064" s="297"/>
      <c r="C1064" s="25"/>
      <c r="D1064" s="25"/>
      <c r="E1064" s="25"/>
      <c r="F1064" s="25"/>
      <c r="G1064" s="123"/>
      <c r="H1064" s="123"/>
      <c r="I1064" s="25"/>
      <c r="J1064" s="25"/>
      <c r="K1064" s="367"/>
      <c r="L1064" s="42"/>
      <c r="M1064" s="42"/>
      <c r="N1064" s="42"/>
      <c r="O1064" s="42"/>
      <c r="P1064" s="42"/>
      <c r="Q1064" s="42"/>
      <c r="R1064" s="176"/>
      <c r="S1064" s="42"/>
      <c r="T1064" s="42"/>
      <c r="U1064" s="46"/>
      <c r="V1064" s="42"/>
      <c r="W1064" s="42"/>
      <c r="X1064" s="42"/>
      <c r="Y1064" s="42"/>
      <c r="Z1064" s="42"/>
      <c r="AA1064" s="42"/>
      <c r="AB1064" s="42"/>
      <c r="AC1064" s="42"/>
      <c r="AD1064" s="42"/>
      <c r="AE1064" s="42"/>
      <c r="AF1064" s="42"/>
    </row>
    <row r="1065">
      <c r="A1065" s="25"/>
      <c r="B1065" s="297"/>
      <c r="C1065" s="25"/>
      <c r="D1065" s="25"/>
      <c r="E1065" s="25"/>
      <c r="F1065" s="25"/>
      <c r="G1065" s="123"/>
      <c r="H1065" s="123"/>
      <c r="I1065" s="25"/>
      <c r="J1065" s="25"/>
      <c r="K1065" s="367"/>
      <c r="L1065" s="42"/>
      <c r="M1065" s="42"/>
      <c r="N1065" s="42"/>
      <c r="O1065" s="42"/>
      <c r="P1065" s="42"/>
      <c r="Q1065" s="42"/>
      <c r="R1065" s="176"/>
      <c r="S1065" s="42"/>
      <c r="T1065" s="42"/>
      <c r="U1065" s="46"/>
      <c r="V1065" s="42"/>
      <c r="W1065" s="42"/>
      <c r="X1065" s="42"/>
      <c r="Y1065" s="42"/>
      <c r="Z1065" s="42"/>
      <c r="AA1065" s="42"/>
      <c r="AB1065" s="42"/>
      <c r="AC1065" s="42"/>
      <c r="AD1065" s="42"/>
      <c r="AE1065" s="42"/>
      <c r="AF1065" s="42"/>
    </row>
    <row r="1066">
      <c r="A1066" s="25"/>
      <c r="B1066" s="297"/>
      <c r="C1066" s="25"/>
      <c r="D1066" s="25"/>
      <c r="E1066" s="25"/>
      <c r="F1066" s="25"/>
      <c r="G1066" s="123"/>
      <c r="H1066" s="123"/>
      <c r="I1066" s="25"/>
      <c r="J1066" s="25"/>
      <c r="K1066" s="367"/>
      <c r="L1066" s="42"/>
      <c r="M1066" s="42"/>
      <c r="N1066" s="42"/>
      <c r="O1066" s="42"/>
      <c r="P1066" s="42"/>
      <c r="Q1066" s="42"/>
      <c r="R1066" s="176"/>
      <c r="S1066" s="42"/>
      <c r="T1066" s="42"/>
      <c r="U1066" s="46"/>
      <c r="V1066" s="42"/>
      <c r="W1066" s="42"/>
      <c r="X1066" s="42"/>
      <c r="Y1066" s="42"/>
      <c r="Z1066" s="42"/>
      <c r="AA1066" s="42"/>
      <c r="AB1066" s="42"/>
      <c r="AC1066" s="42"/>
      <c r="AD1066" s="42"/>
      <c r="AE1066" s="42"/>
      <c r="AF1066" s="42"/>
    </row>
    <row r="1067">
      <c r="A1067" s="25"/>
      <c r="B1067" s="297"/>
      <c r="C1067" s="25"/>
      <c r="D1067" s="25"/>
      <c r="E1067" s="25"/>
      <c r="F1067" s="25"/>
      <c r="G1067" s="123"/>
      <c r="H1067" s="123"/>
      <c r="I1067" s="25"/>
      <c r="J1067" s="25"/>
      <c r="K1067" s="367"/>
      <c r="L1067" s="42"/>
      <c r="M1067" s="42"/>
      <c r="N1067" s="42"/>
      <c r="O1067" s="42"/>
      <c r="P1067" s="42"/>
      <c r="Q1067" s="42"/>
      <c r="R1067" s="176"/>
      <c r="S1067" s="42"/>
      <c r="T1067" s="42"/>
      <c r="U1067" s="46"/>
      <c r="V1067" s="42"/>
      <c r="W1067" s="42"/>
      <c r="X1067" s="42"/>
      <c r="Y1067" s="42"/>
      <c r="Z1067" s="42"/>
      <c r="AA1067" s="42"/>
      <c r="AB1067" s="42"/>
      <c r="AC1067" s="42"/>
      <c r="AD1067" s="42"/>
      <c r="AE1067" s="42"/>
      <c r="AF1067" s="42"/>
    </row>
    <row r="1068">
      <c r="A1068" s="25"/>
      <c r="B1068" s="297"/>
      <c r="C1068" s="25"/>
      <c r="D1068" s="25"/>
      <c r="E1068" s="25"/>
      <c r="F1068" s="25"/>
      <c r="G1068" s="123"/>
      <c r="H1068" s="123"/>
      <c r="I1068" s="25"/>
      <c r="J1068" s="25"/>
      <c r="K1068" s="367"/>
      <c r="L1068" s="42"/>
      <c r="M1068" s="42"/>
      <c r="N1068" s="42"/>
      <c r="O1068" s="42"/>
      <c r="P1068" s="42"/>
      <c r="Q1068" s="42"/>
      <c r="R1068" s="176"/>
      <c r="S1068" s="42"/>
      <c r="T1068" s="42"/>
      <c r="U1068" s="46"/>
      <c r="V1068" s="42"/>
      <c r="W1068" s="42"/>
      <c r="X1068" s="42"/>
      <c r="Y1068" s="42"/>
      <c r="Z1068" s="42"/>
      <c r="AA1068" s="42"/>
      <c r="AB1068" s="42"/>
      <c r="AC1068" s="42"/>
      <c r="AD1068" s="42"/>
      <c r="AE1068" s="42"/>
      <c r="AF1068" s="42"/>
    </row>
    <row r="1069">
      <c r="A1069" s="25"/>
      <c r="B1069" s="297"/>
      <c r="C1069" s="25"/>
      <c r="D1069" s="25"/>
      <c r="E1069" s="25"/>
      <c r="F1069" s="25"/>
      <c r="G1069" s="123"/>
      <c r="H1069" s="123"/>
      <c r="I1069" s="25"/>
      <c r="J1069" s="25"/>
      <c r="K1069" s="367"/>
      <c r="L1069" s="42"/>
      <c r="M1069" s="42"/>
      <c r="N1069" s="42"/>
      <c r="O1069" s="42"/>
      <c r="P1069" s="42"/>
      <c r="Q1069" s="42"/>
      <c r="R1069" s="176"/>
      <c r="S1069" s="42"/>
      <c r="T1069" s="42"/>
      <c r="U1069" s="46"/>
      <c r="V1069" s="42"/>
      <c r="W1069" s="42"/>
      <c r="X1069" s="42"/>
      <c r="Y1069" s="42"/>
      <c r="Z1069" s="42"/>
      <c r="AA1069" s="42"/>
      <c r="AB1069" s="42"/>
      <c r="AC1069" s="42"/>
      <c r="AD1069" s="42"/>
      <c r="AE1069" s="42"/>
      <c r="AF1069" s="42"/>
    </row>
    <row r="1070">
      <c r="A1070" s="25"/>
      <c r="B1070" s="297"/>
      <c r="C1070" s="25"/>
      <c r="D1070" s="25"/>
      <c r="E1070" s="25"/>
      <c r="F1070" s="25"/>
      <c r="G1070" s="123"/>
      <c r="H1070" s="123"/>
      <c r="I1070" s="25"/>
      <c r="J1070" s="25"/>
      <c r="K1070" s="367"/>
      <c r="L1070" s="42"/>
      <c r="M1070" s="42"/>
      <c r="N1070" s="42"/>
      <c r="O1070" s="42"/>
      <c r="P1070" s="42"/>
      <c r="Q1070" s="42"/>
      <c r="R1070" s="176"/>
      <c r="S1070" s="42"/>
      <c r="T1070" s="42"/>
      <c r="U1070" s="46"/>
      <c r="V1070" s="42"/>
      <c r="W1070" s="42"/>
      <c r="X1070" s="42"/>
      <c r="Y1070" s="42"/>
      <c r="Z1070" s="42"/>
      <c r="AA1070" s="42"/>
      <c r="AB1070" s="42"/>
      <c r="AC1070" s="42"/>
      <c r="AD1070" s="42"/>
      <c r="AE1070" s="42"/>
      <c r="AF1070" s="42"/>
    </row>
    <row r="1071">
      <c r="A1071" s="25"/>
      <c r="B1071" s="297"/>
      <c r="C1071" s="25"/>
      <c r="D1071" s="25"/>
      <c r="E1071" s="25"/>
      <c r="F1071" s="25"/>
      <c r="G1071" s="123"/>
      <c r="H1071" s="123"/>
      <c r="I1071" s="25"/>
      <c r="J1071" s="25"/>
      <c r="K1071" s="367"/>
      <c r="L1071" s="42"/>
      <c r="M1071" s="42"/>
      <c r="N1071" s="42"/>
      <c r="O1071" s="42"/>
      <c r="P1071" s="42"/>
      <c r="Q1071" s="42"/>
      <c r="R1071" s="176"/>
      <c r="S1071" s="42"/>
      <c r="T1071" s="42"/>
      <c r="U1071" s="46"/>
      <c r="V1071" s="42"/>
      <c r="W1071" s="42"/>
      <c r="X1071" s="42"/>
      <c r="Y1071" s="42"/>
      <c r="Z1071" s="42"/>
      <c r="AA1071" s="42"/>
      <c r="AB1071" s="42"/>
      <c r="AC1071" s="42"/>
      <c r="AD1071" s="42"/>
      <c r="AE1071" s="42"/>
      <c r="AF1071" s="42"/>
    </row>
    <row r="1072">
      <c r="A1072" s="25"/>
      <c r="B1072" s="297"/>
      <c r="C1072" s="25"/>
      <c r="D1072" s="25"/>
      <c r="E1072" s="25"/>
      <c r="F1072" s="25"/>
      <c r="G1072" s="123"/>
      <c r="H1072" s="123"/>
      <c r="I1072" s="25"/>
      <c r="J1072" s="25"/>
      <c r="K1072" s="367"/>
      <c r="L1072" s="42"/>
      <c r="M1072" s="42"/>
      <c r="N1072" s="42"/>
      <c r="O1072" s="42"/>
      <c r="P1072" s="42"/>
      <c r="Q1072" s="42"/>
      <c r="R1072" s="176"/>
      <c r="S1072" s="42"/>
      <c r="T1072" s="42"/>
      <c r="U1072" s="46"/>
      <c r="V1072" s="42"/>
      <c r="W1072" s="42"/>
      <c r="X1072" s="42"/>
      <c r="Y1072" s="42"/>
      <c r="Z1072" s="42"/>
      <c r="AA1072" s="42"/>
      <c r="AB1072" s="42"/>
      <c r="AC1072" s="42"/>
      <c r="AD1072" s="42"/>
      <c r="AE1072" s="42"/>
      <c r="AF1072" s="42"/>
    </row>
    <row r="1073">
      <c r="A1073" s="25"/>
      <c r="B1073" s="297"/>
      <c r="C1073" s="25"/>
      <c r="D1073" s="25"/>
      <c r="E1073" s="25"/>
      <c r="F1073" s="25"/>
      <c r="G1073" s="123"/>
      <c r="H1073" s="123"/>
      <c r="I1073" s="25"/>
      <c r="J1073" s="25"/>
      <c r="K1073" s="367"/>
      <c r="L1073" s="42"/>
      <c r="M1073" s="42"/>
      <c r="N1073" s="42"/>
      <c r="O1073" s="42"/>
      <c r="P1073" s="42"/>
      <c r="Q1073" s="42"/>
      <c r="R1073" s="176"/>
      <c r="S1073" s="42"/>
      <c r="T1073" s="42"/>
      <c r="U1073" s="46"/>
      <c r="V1073" s="42"/>
      <c r="W1073" s="42"/>
      <c r="X1073" s="42"/>
      <c r="Y1073" s="42"/>
      <c r="Z1073" s="42"/>
      <c r="AA1073" s="42"/>
      <c r="AB1073" s="42"/>
      <c r="AC1073" s="42"/>
      <c r="AD1073" s="42"/>
      <c r="AE1073" s="42"/>
      <c r="AF1073" s="42"/>
    </row>
    <row r="1074">
      <c r="A1074" s="25"/>
      <c r="B1074" s="297"/>
      <c r="C1074" s="25"/>
      <c r="D1074" s="25"/>
      <c r="E1074" s="25"/>
      <c r="F1074" s="25"/>
      <c r="G1074" s="123"/>
      <c r="H1074" s="123"/>
      <c r="I1074" s="25"/>
      <c r="J1074" s="25"/>
      <c r="K1074" s="367"/>
      <c r="L1074" s="42"/>
      <c r="M1074" s="42"/>
      <c r="N1074" s="42"/>
      <c r="O1074" s="42"/>
      <c r="P1074" s="42"/>
      <c r="Q1074" s="42"/>
      <c r="R1074" s="176"/>
      <c r="S1074" s="42"/>
      <c r="T1074" s="42"/>
      <c r="U1074" s="46"/>
      <c r="V1074" s="42"/>
      <c r="W1074" s="42"/>
      <c r="X1074" s="42"/>
      <c r="Y1074" s="42"/>
      <c r="Z1074" s="42"/>
      <c r="AA1074" s="42"/>
      <c r="AB1074" s="42"/>
      <c r="AC1074" s="42"/>
      <c r="AD1074" s="42"/>
      <c r="AE1074" s="42"/>
      <c r="AF1074" s="42"/>
    </row>
    <row r="1075">
      <c r="A1075" s="25"/>
      <c r="B1075" s="297"/>
      <c r="C1075" s="25"/>
      <c r="D1075" s="25"/>
      <c r="E1075" s="25"/>
      <c r="F1075" s="25"/>
      <c r="G1075" s="123"/>
      <c r="H1075" s="123"/>
      <c r="I1075" s="25"/>
      <c r="J1075" s="25"/>
      <c r="K1075" s="367"/>
      <c r="L1075" s="42"/>
      <c r="M1075" s="42"/>
      <c r="N1075" s="42"/>
      <c r="O1075" s="42"/>
      <c r="P1075" s="42"/>
      <c r="Q1075" s="42"/>
      <c r="R1075" s="176"/>
      <c r="S1075" s="42"/>
      <c r="T1075" s="42"/>
      <c r="U1075" s="46"/>
      <c r="V1075" s="42"/>
      <c r="W1075" s="42"/>
      <c r="X1075" s="42"/>
      <c r="Y1075" s="42"/>
      <c r="Z1075" s="42"/>
      <c r="AA1075" s="42"/>
      <c r="AB1075" s="42"/>
      <c r="AC1075" s="42"/>
      <c r="AD1075" s="42"/>
      <c r="AE1075" s="42"/>
      <c r="AF1075" s="42"/>
    </row>
    <row r="1076">
      <c r="A1076" s="25"/>
      <c r="B1076" s="297"/>
      <c r="C1076" s="25"/>
      <c r="D1076" s="25"/>
      <c r="E1076" s="25"/>
      <c r="F1076" s="25"/>
      <c r="G1076" s="123"/>
      <c r="H1076" s="123"/>
      <c r="I1076" s="25"/>
      <c r="J1076" s="25"/>
      <c r="K1076" s="367"/>
      <c r="L1076" s="42"/>
      <c r="M1076" s="42"/>
      <c r="N1076" s="42"/>
      <c r="O1076" s="42"/>
      <c r="P1076" s="42"/>
      <c r="Q1076" s="42"/>
      <c r="R1076" s="176"/>
      <c r="S1076" s="42"/>
      <c r="T1076" s="42"/>
      <c r="U1076" s="46"/>
      <c r="V1076" s="42"/>
      <c r="W1076" s="42"/>
      <c r="X1076" s="42"/>
      <c r="Y1076" s="42"/>
      <c r="Z1076" s="42"/>
      <c r="AA1076" s="42"/>
      <c r="AB1076" s="42"/>
      <c r="AC1076" s="42"/>
      <c r="AD1076" s="42"/>
      <c r="AE1076" s="42"/>
      <c r="AF1076" s="42"/>
    </row>
    <row r="1077">
      <c r="A1077" s="25"/>
      <c r="B1077" s="297"/>
      <c r="C1077" s="25"/>
      <c r="D1077" s="25"/>
      <c r="E1077" s="25"/>
      <c r="F1077" s="25"/>
      <c r="G1077" s="123"/>
      <c r="H1077" s="123"/>
      <c r="I1077" s="25"/>
      <c r="J1077" s="25"/>
      <c r="K1077" s="367"/>
      <c r="L1077" s="42"/>
      <c r="M1077" s="42"/>
      <c r="N1077" s="42"/>
      <c r="O1077" s="42"/>
      <c r="P1077" s="42"/>
      <c r="Q1077" s="42"/>
      <c r="R1077" s="176"/>
      <c r="S1077" s="42"/>
      <c r="T1077" s="42"/>
      <c r="U1077" s="46"/>
      <c r="V1077" s="42"/>
      <c r="W1077" s="42"/>
      <c r="X1077" s="42"/>
      <c r="Y1077" s="42"/>
      <c r="Z1077" s="42"/>
      <c r="AA1077" s="42"/>
      <c r="AB1077" s="42"/>
      <c r="AC1077" s="42"/>
      <c r="AD1077" s="42"/>
      <c r="AE1077" s="42"/>
      <c r="AF1077" s="42"/>
    </row>
    <row r="1078">
      <c r="A1078" s="25"/>
      <c r="B1078" s="297"/>
      <c r="C1078" s="25"/>
      <c r="D1078" s="25"/>
      <c r="E1078" s="25"/>
      <c r="F1078" s="25"/>
      <c r="G1078" s="123"/>
      <c r="H1078" s="123"/>
      <c r="I1078" s="25"/>
      <c r="J1078" s="25"/>
      <c r="K1078" s="367"/>
      <c r="L1078" s="42"/>
      <c r="M1078" s="42"/>
      <c r="N1078" s="42"/>
      <c r="O1078" s="42"/>
      <c r="P1078" s="42"/>
      <c r="Q1078" s="42"/>
      <c r="R1078" s="176"/>
      <c r="S1078" s="42"/>
      <c r="T1078" s="42"/>
      <c r="U1078" s="46"/>
      <c r="V1078" s="42"/>
      <c r="W1078" s="42"/>
      <c r="X1078" s="42"/>
      <c r="Y1078" s="42"/>
      <c r="Z1078" s="42"/>
      <c r="AA1078" s="42"/>
      <c r="AB1078" s="42"/>
      <c r="AC1078" s="42"/>
      <c r="AD1078" s="42"/>
      <c r="AE1078" s="42"/>
      <c r="AF1078" s="42"/>
    </row>
    <row r="1079">
      <c r="A1079" s="25"/>
      <c r="B1079" s="297"/>
      <c r="C1079" s="25"/>
      <c r="D1079" s="25"/>
      <c r="E1079" s="25"/>
      <c r="F1079" s="25"/>
      <c r="G1079" s="123"/>
      <c r="H1079" s="123"/>
      <c r="I1079" s="25"/>
      <c r="J1079" s="25"/>
      <c r="K1079" s="367"/>
      <c r="L1079" s="42"/>
      <c r="M1079" s="42"/>
      <c r="N1079" s="42"/>
      <c r="O1079" s="42"/>
      <c r="P1079" s="42"/>
      <c r="Q1079" s="42"/>
      <c r="R1079" s="176"/>
      <c r="S1079" s="42"/>
      <c r="T1079" s="42"/>
      <c r="U1079" s="46"/>
      <c r="V1079" s="42"/>
      <c r="W1079" s="42"/>
      <c r="X1079" s="42"/>
      <c r="Y1079" s="42"/>
      <c r="Z1079" s="42"/>
      <c r="AA1079" s="42"/>
      <c r="AB1079" s="42"/>
      <c r="AC1079" s="42"/>
      <c r="AD1079" s="42"/>
      <c r="AE1079" s="42"/>
      <c r="AF1079" s="42"/>
    </row>
    <row r="1080">
      <c r="A1080" s="25"/>
      <c r="B1080" s="297"/>
      <c r="C1080" s="25"/>
      <c r="D1080" s="25"/>
      <c r="E1080" s="25"/>
      <c r="F1080" s="25"/>
      <c r="G1080" s="123"/>
      <c r="H1080" s="123"/>
      <c r="I1080" s="25"/>
      <c r="J1080" s="25"/>
      <c r="K1080" s="367"/>
      <c r="L1080" s="42"/>
      <c r="M1080" s="42"/>
      <c r="N1080" s="42"/>
      <c r="O1080" s="42"/>
      <c r="P1080" s="42"/>
      <c r="Q1080" s="42"/>
      <c r="R1080" s="176"/>
      <c r="S1080" s="42"/>
      <c r="T1080" s="42"/>
      <c r="U1080" s="46"/>
      <c r="V1080" s="42"/>
      <c r="W1080" s="42"/>
      <c r="X1080" s="42"/>
      <c r="Y1080" s="42"/>
      <c r="Z1080" s="42"/>
      <c r="AA1080" s="42"/>
      <c r="AB1080" s="42"/>
      <c r="AC1080" s="42"/>
      <c r="AD1080" s="42"/>
      <c r="AE1080" s="42"/>
      <c r="AF1080" s="42"/>
    </row>
    <row r="1081">
      <c r="A1081" s="25"/>
      <c r="B1081" s="297"/>
      <c r="C1081" s="25"/>
      <c r="D1081" s="25"/>
      <c r="E1081" s="25"/>
      <c r="F1081" s="25"/>
      <c r="G1081" s="123"/>
      <c r="H1081" s="123"/>
      <c r="I1081" s="25"/>
      <c r="J1081" s="25"/>
      <c r="K1081" s="367"/>
      <c r="L1081" s="42"/>
      <c r="M1081" s="42"/>
      <c r="N1081" s="42"/>
      <c r="O1081" s="42"/>
      <c r="P1081" s="42"/>
      <c r="Q1081" s="42"/>
      <c r="R1081" s="176"/>
      <c r="S1081" s="42"/>
      <c r="T1081" s="42"/>
      <c r="U1081" s="46"/>
      <c r="V1081" s="42"/>
      <c r="W1081" s="42"/>
      <c r="X1081" s="42"/>
      <c r="Y1081" s="42"/>
      <c r="Z1081" s="42"/>
      <c r="AA1081" s="42"/>
      <c r="AB1081" s="42"/>
      <c r="AC1081" s="42"/>
      <c r="AD1081" s="42"/>
      <c r="AE1081" s="42"/>
      <c r="AF1081" s="42"/>
    </row>
    <row r="1082">
      <c r="A1082" s="25"/>
      <c r="B1082" s="297"/>
      <c r="C1082" s="25"/>
      <c r="D1082" s="25"/>
      <c r="E1082" s="25"/>
      <c r="F1082" s="25"/>
      <c r="G1082" s="123"/>
      <c r="H1082" s="123"/>
      <c r="I1082" s="25"/>
      <c r="J1082" s="25"/>
      <c r="K1082" s="367"/>
      <c r="L1082" s="42"/>
      <c r="M1082" s="42"/>
      <c r="N1082" s="42"/>
      <c r="O1082" s="42"/>
      <c r="P1082" s="42"/>
      <c r="Q1082" s="42"/>
      <c r="R1082" s="176"/>
      <c r="S1082" s="42"/>
      <c r="T1082" s="42"/>
      <c r="U1082" s="46"/>
      <c r="V1082" s="42"/>
      <c r="W1082" s="42"/>
      <c r="X1082" s="42"/>
      <c r="Y1082" s="42"/>
      <c r="Z1082" s="42"/>
      <c r="AA1082" s="42"/>
      <c r="AB1082" s="42"/>
      <c r="AC1082" s="42"/>
      <c r="AD1082" s="42"/>
      <c r="AE1082" s="42"/>
      <c r="AF1082" s="42"/>
    </row>
    <row r="1083">
      <c r="A1083" s="25"/>
      <c r="B1083" s="297"/>
      <c r="C1083" s="25"/>
      <c r="D1083" s="25"/>
      <c r="E1083" s="25"/>
      <c r="F1083" s="25"/>
      <c r="G1083" s="123"/>
      <c r="H1083" s="123"/>
      <c r="I1083" s="25"/>
      <c r="J1083" s="25"/>
      <c r="K1083" s="367"/>
      <c r="L1083" s="42"/>
      <c r="M1083" s="42"/>
      <c r="N1083" s="42"/>
      <c r="O1083" s="42"/>
      <c r="P1083" s="42"/>
      <c r="Q1083" s="42"/>
      <c r="R1083" s="176"/>
      <c r="S1083" s="42"/>
      <c r="T1083" s="42"/>
      <c r="U1083" s="46"/>
      <c r="V1083" s="42"/>
      <c r="W1083" s="42"/>
      <c r="X1083" s="42"/>
      <c r="Y1083" s="42"/>
      <c r="Z1083" s="42"/>
      <c r="AA1083" s="42"/>
      <c r="AB1083" s="42"/>
      <c r="AC1083" s="42"/>
      <c r="AD1083" s="42"/>
      <c r="AE1083" s="42"/>
      <c r="AF1083" s="42"/>
    </row>
    <row r="1084">
      <c r="A1084" s="25"/>
      <c r="B1084" s="297"/>
      <c r="C1084" s="25"/>
      <c r="D1084" s="25"/>
      <c r="E1084" s="25"/>
      <c r="F1084" s="25"/>
      <c r="G1084" s="123"/>
      <c r="H1084" s="123"/>
      <c r="I1084" s="25"/>
      <c r="J1084" s="25"/>
      <c r="K1084" s="367"/>
      <c r="L1084" s="42"/>
      <c r="M1084" s="42"/>
      <c r="N1084" s="42"/>
      <c r="O1084" s="42"/>
      <c r="P1084" s="42"/>
      <c r="Q1084" s="42"/>
      <c r="R1084" s="176"/>
      <c r="S1084" s="42"/>
      <c r="T1084" s="42"/>
      <c r="U1084" s="46"/>
      <c r="V1084" s="42"/>
      <c r="W1084" s="42"/>
      <c r="X1084" s="42"/>
      <c r="Y1084" s="42"/>
      <c r="Z1084" s="42"/>
      <c r="AA1084" s="42"/>
      <c r="AB1084" s="42"/>
      <c r="AC1084" s="42"/>
      <c r="AD1084" s="42"/>
      <c r="AE1084" s="42"/>
      <c r="AF1084" s="42"/>
    </row>
    <row r="1085">
      <c r="A1085" s="25"/>
      <c r="B1085" s="297"/>
      <c r="C1085" s="25"/>
      <c r="D1085" s="25"/>
      <c r="E1085" s="25"/>
      <c r="F1085" s="25"/>
      <c r="G1085" s="123"/>
      <c r="H1085" s="123"/>
      <c r="I1085" s="25"/>
      <c r="J1085" s="25"/>
      <c r="K1085" s="367"/>
      <c r="L1085" s="42"/>
      <c r="M1085" s="42"/>
      <c r="N1085" s="42"/>
      <c r="O1085" s="42"/>
      <c r="P1085" s="42"/>
      <c r="Q1085" s="42"/>
      <c r="R1085" s="176"/>
      <c r="S1085" s="42"/>
      <c r="T1085" s="42"/>
      <c r="U1085" s="46"/>
      <c r="V1085" s="42"/>
      <c r="W1085" s="42"/>
      <c r="X1085" s="42"/>
      <c r="Y1085" s="42"/>
      <c r="Z1085" s="42"/>
      <c r="AA1085" s="42"/>
      <c r="AB1085" s="42"/>
      <c r="AC1085" s="42"/>
      <c r="AD1085" s="42"/>
      <c r="AE1085" s="42"/>
      <c r="AF1085" s="42"/>
    </row>
    <row r="1086">
      <c r="A1086" s="25"/>
      <c r="B1086" s="297"/>
      <c r="C1086" s="25"/>
      <c r="D1086" s="25"/>
      <c r="E1086" s="25"/>
      <c r="F1086" s="25"/>
      <c r="G1086" s="123"/>
      <c r="H1086" s="123"/>
      <c r="I1086" s="25"/>
      <c r="J1086" s="25"/>
      <c r="K1086" s="367"/>
      <c r="L1086" s="42"/>
      <c r="M1086" s="42"/>
      <c r="N1086" s="42"/>
      <c r="O1086" s="42"/>
      <c r="P1086" s="42"/>
      <c r="Q1086" s="42"/>
      <c r="R1086" s="176"/>
      <c r="S1086" s="42"/>
      <c r="T1086" s="42"/>
      <c r="U1086" s="46"/>
      <c r="V1086" s="42"/>
      <c r="W1086" s="42"/>
      <c r="X1086" s="42"/>
      <c r="Y1086" s="42"/>
      <c r="Z1086" s="42"/>
      <c r="AA1086" s="42"/>
      <c r="AB1086" s="42"/>
      <c r="AC1086" s="42"/>
      <c r="AD1086" s="42"/>
      <c r="AE1086" s="42"/>
      <c r="AF1086" s="42"/>
    </row>
    <row r="1087">
      <c r="A1087" s="25"/>
      <c r="B1087" s="297"/>
      <c r="C1087" s="25"/>
      <c r="D1087" s="25"/>
      <c r="E1087" s="25"/>
      <c r="F1087" s="25"/>
      <c r="G1087" s="123"/>
      <c r="H1087" s="123"/>
      <c r="I1087" s="25"/>
      <c r="J1087" s="25"/>
      <c r="K1087" s="367"/>
      <c r="L1087" s="42"/>
      <c r="M1087" s="42"/>
      <c r="N1087" s="42"/>
      <c r="O1087" s="42"/>
      <c r="P1087" s="42"/>
      <c r="Q1087" s="42"/>
      <c r="R1087" s="176"/>
      <c r="S1087" s="42"/>
      <c r="T1087" s="42"/>
      <c r="U1087" s="46"/>
      <c r="V1087" s="42"/>
      <c r="W1087" s="42"/>
      <c r="X1087" s="42"/>
      <c r="Y1087" s="42"/>
      <c r="Z1087" s="42"/>
      <c r="AA1087" s="42"/>
      <c r="AB1087" s="42"/>
      <c r="AC1087" s="42"/>
      <c r="AD1087" s="42"/>
      <c r="AE1087" s="42"/>
      <c r="AF1087" s="42"/>
    </row>
    <row r="1088">
      <c r="A1088" s="25"/>
      <c r="B1088" s="297"/>
      <c r="C1088" s="25"/>
      <c r="D1088" s="25"/>
      <c r="E1088" s="25"/>
      <c r="F1088" s="25"/>
      <c r="G1088" s="123"/>
      <c r="H1088" s="123"/>
      <c r="I1088" s="25"/>
      <c r="J1088" s="25"/>
      <c r="K1088" s="367"/>
      <c r="L1088" s="42"/>
      <c r="M1088" s="42"/>
      <c r="N1088" s="42"/>
      <c r="O1088" s="42"/>
      <c r="P1088" s="42"/>
      <c r="Q1088" s="42"/>
      <c r="R1088" s="176"/>
      <c r="S1088" s="42"/>
      <c r="T1088" s="42"/>
      <c r="U1088" s="46"/>
      <c r="V1088" s="42"/>
      <c r="W1088" s="42"/>
      <c r="X1088" s="42"/>
      <c r="Y1088" s="42"/>
      <c r="Z1088" s="42"/>
      <c r="AA1088" s="42"/>
      <c r="AB1088" s="42"/>
      <c r="AC1088" s="42"/>
      <c r="AD1088" s="42"/>
      <c r="AE1088" s="42"/>
      <c r="AF1088" s="42"/>
    </row>
    <row r="1089">
      <c r="A1089" s="25"/>
      <c r="B1089" s="297"/>
      <c r="C1089" s="25"/>
      <c r="D1089" s="25"/>
      <c r="E1089" s="25"/>
      <c r="F1089" s="25"/>
      <c r="G1089" s="123"/>
      <c r="H1089" s="123"/>
      <c r="I1089" s="25"/>
      <c r="J1089" s="25"/>
      <c r="K1089" s="367"/>
      <c r="L1089" s="42"/>
      <c r="M1089" s="42"/>
      <c r="N1089" s="42"/>
      <c r="O1089" s="42"/>
      <c r="P1089" s="42"/>
      <c r="Q1089" s="42"/>
      <c r="R1089" s="176"/>
      <c r="S1089" s="42"/>
      <c r="T1089" s="42"/>
      <c r="U1089" s="46"/>
      <c r="V1089" s="42"/>
      <c r="W1089" s="42"/>
      <c r="X1089" s="42"/>
      <c r="Y1089" s="42"/>
      <c r="Z1089" s="42"/>
      <c r="AA1089" s="42"/>
      <c r="AB1089" s="42"/>
      <c r="AC1089" s="42"/>
      <c r="AD1089" s="42"/>
      <c r="AE1089" s="42"/>
      <c r="AF1089" s="42"/>
    </row>
    <row r="1090">
      <c r="A1090" s="25"/>
      <c r="B1090" s="297"/>
      <c r="C1090" s="25"/>
      <c r="D1090" s="25"/>
      <c r="E1090" s="25"/>
      <c r="F1090" s="25"/>
      <c r="G1090" s="123"/>
      <c r="H1090" s="123"/>
      <c r="I1090" s="25"/>
      <c r="J1090" s="25"/>
      <c r="K1090" s="367"/>
      <c r="L1090" s="42"/>
      <c r="M1090" s="42"/>
      <c r="N1090" s="42"/>
      <c r="O1090" s="42"/>
      <c r="P1090" s="42"/>
      <c r="Q1090" s="42"/>
      <c r="R1090" s="176"/>
      <c r="S1090" s="42"/>
      <c r="T1090" s="42"/>
      <c r="U1090" s="46"/>
      <c r="V1090" s="42"/>
      <c r="W1090" s="42"/>
      <c r="X1090" s="42"/>
      <c r="Y1090" s="42"/>
      <c r="Z1090" s="42"/>
      <c r="AA1090" s="42"/>
      <c r="AB1090" s="42"/>
      <c r="AC1090" s="42"/>
      <c r="AD1090" s="42"/>
      <c r="AE1090" s="42"/>
      <c r="AF1090" s="42"/>
    </row>
    <row r="1091">
      <c r="A1091" s="25"/>
      <c r="B1091" s="297"/>
      <c r="C1091" s="25"/>
      <c r="D1091" s="25"/>
      <c r="E1091" s="25"/>
      <c r="F1091" s="25"/>
      <c r="G1091" s="123"/>
      <c r="H1091" s="123"/>
      <c r="I1091" s="25"/>
      <c r="J1091" s="25"/>
      <c r="K1091" s="367"/>
      <c r="L1091" s="42"/>
      <c r="M1091" s="42"/>
      <c r="N1091" s="42"/>
      <c r="O1091" s="42"/>
      <c r="P1091" s="42"/>
      <c r="Q1091" s="42"/>
      <c r="R1091" s="176"/>
      <c r="S1091" s="42"/>
      <c r="T1091" s="42"/>
      <c r="U1091" s="46"/>
      <c r="V1091" s="42"/>
      <c r="W1091" s="42"/>
      <c r="X1091" s="42"/>
      <c r="Y1091" s="42"/>
      <c r="Z1091" s="42"/>
      <c r="AA1091" s="42"/>
      <c r="AB1091" s="42"/>
      <c r="AC1091" s="42"/>
      <c r="AD1091" s="42"/>
      <c r="AE1091" s="42"/>
      <c r="AF1091" s="42"/>
    </row>
    <row r="1092">
      <c r="A1092" s="25"/>
      <c r="B1092" s="297"/>
      <c r="C1092" s="25"/>
      <c r="D1092" s="25"/>
      <c r="E1092" s="25"/>
      <c r="F1092" s="25"/>
      <c r="G1092" s="123"/>
      <c r="H1092" s="123"/>
      <c r="I1092" s="25"/>
      <c r="J1092" s="25"/>
      <c r="K1092" s="367"/>
      <c r="L1092" s="42"/>
      <c r="M1092" s="42"/>
      <c r="N1092" s="42"/>
      <c r="O1092" s="42"/>
      <c r="P1092" s="42"/>
      <c r="Q1092" s="42"/>
      <c r="R1092" s="176"/>
      <c r="S1092" s="42"/>
      <c r="T1092" s="42"/>
      <c r="U1092" s="46"/>
      <c r="V1092" s="42"/>
      <c r="W1092" s="42"/>
      <c r="X1092" s="42"/>
      <c r="Y1092" s="42"/>
      <c r="Z1092" s="42"/>
      <c r="AA1092" s="42"/>
      <c r="AB1092" s="42"/>
      <c r="AC1092" s="42"/>
      <c r="AD1092" s="42"/>
      <c r="AE1092" s="42"/>
      <c r="AF1092" s="42"/>
    </row>
    <row r="1093">
      <c r="A1093" s="25"/>
      <c r="B1093" s="297"/>
      <c r="C1093" s="25"/>
      <c r="D1093" s="25"/>
      <c r="E1093" s="25"/>
      <c r="F1093" s="25"/>
      <c r="G1093" s="123"/>
      <c r="H1093" s="123"/>
      <c r="I1093" s="25"/>
      <c r="J1093" s="25"/>
      <c r="K1093" s="367"/>
      <c r="L1093" s="42"/>
      <c r="M1093" s="42"/>
      <c r="N1093" s="42"/>
      <c r="O1093" s="42"/>
      <c r="P1093" s="42"/>
      <c r="Q1093" s="42"/>
      <c r="R1093" s="176"/>
      <c r="S1093" s="42"/>
      <c r="T1093" s="42"/>
      <c r="U1093" s="46"/>
      <c r="V1093" s="42"/>
      <c r="W1093" s="42"/>
      <c r="X1093" s="42"/>
      <c r="Y1093" s="42"/>
      <c r="Z1093" s="42"/>
      <c r="AA1093" s="42"/>
      <c r="AB1093" s="42"/>
      <c r="AC1093" s="42"/>
      <c r="AD1093" s="42"/>
      <c r="AE1093" s="42"/>
      <c r="AF1093" s="42"/>
    </row>
    <row r="1094">
      <c r="A1094" s="25"/>
      <c r="B1094" s="297"/>
      <c r="C1094" s="25"/>
      <c r="D1094" s="25"/>
      <c r="E1094" s="25"/>
      <c r="F1094" s="25"/>
      <c r="G1094" s="123"/>
      <c r="H1094" s="123"/>
      <c r="I1094" s="25"/>
      <c r="J1094" s="25"/>
      <c r="K1094" s="367"/>
      <c r="L1094" s="42"/>
      <c r="M1094" s="42"/>
      <c r="N1094" s="42"/>
      <c r="O1094" s="42"/>
      <c r="P1094" s="42"/>
      <c r="Q1094" s="42"/>
      <c r="R1094" s="176"/>
      <c r="S1094" s="42"/>
      <c r="T1094" s="42"/>
      <c r="U1094" s="46"/>
      <c r="V1094" s="42"/>
      <c r="W1094" s="42"/>
      <c r="X1094" s="42"/>
      <c r="Y1094" s="42"/>
      <c r="Z1094" s="42"/>
      <c r="AA1094" s="42"/>
      <c r="AB1094" s="42"/>
      <c r="AC1094" s="42"/>
      <c r="AD1094" s="42"/>
      <c r="AE1094" s="42"/>
      <c r="AF1094" s="42"/>
    </row>
    <row r="1095">
      <c r="A1095" s="25"/>
      <c r="B1095" s="297"/>
      <c r="C1095" s="25"/>
      <c r="D1095" s="25"/>
      <c r="E1095" s="25"/>
      <c r="F1095" s="25"/>
      <c r="G1095" s="123"/>
      <c r="H1095" s="123"/>
      <c r="I1095" s="25"/>
      <c r="J1095" s="25"/>
      <c r="K1095" s="367"/>
      <c r="L1095" s="42"/>
      <c r="M1095" s="42"/>
      <c r="N1095" s="42"/>
      <c r="O1095" s="42"/>
      <c r="P1095" s="42"/>
      <c r="Q1095" s="42"/>
      <c r="R1095" s="176"/>
      <c r="S1095" s="42"/>
      <c r="T1095" s="42"/>
      <c r="U1095" s="46"/>
      <c r="V1095" s="42"/>
      <c r="W1095" s="42"/>
      <c r="X1095" s="42"/>
      <c r="Y1095" s="42"/>
      <c r="Z1095" s="42"/>
      <c r="AA1095" s="42"/>
      <c r="AB1095" s="42"/>
      <c r="AC1095" s="42"/>
      <c r="AD1095" s="42"/>
      <c r="AE1095" s="42"/>
      <c r="AF1095" s="42"/>
    </row>
    <row r="1096">
      <c r="A1096" s="25"/>
      <c r="B1096" s="297"/>
      <c r="C1096" s="25"/>
      <c r="D1096" s="25"/>
      <c r="E1096" s="25"/>
      <c r="F1096" s="25"/>
      <c r="G1096" s="123"/>
      <c r="H1096" s="123"/>
      <c r="I1096" s="25"/>
      <c r="J1096" s="25"/>
      <c r="K1096" s="367"/>
      <c r="L1096" s="42"/>
      <c r="M1096" s="42"/>
      <c r="N1096" s="42"/>
      <c r="O1096" s="42"/>
      <c r="P1096" s="42"/>
      <c r="Q1096" s="42"/>
      <c r="R1096" s="176"/>
      <c r="S1096" s="42"/>
      <c r="T1096" s="42"/>
      <c r="U1096" s="46"/>
      <c r="V1096" s="42"/>
      <c r="W1096" s="42"/>
      <c r="X1096" s="42"/>
      <c r="Y1096" s="42"/>
      <c r="Z1096" s="42"/>
      <c r="AA1096" s="42"/>
      <c r="AB1096" s="42"/>
      <c r="AC1096" s="42"/>
      <c r="AD1096" s="42"/>
      <c r="AE1096" s="42"/>
      <c r="AF1096" s="42"/>
    </row>
    <row r="1097">
      <c r="A1097" s="25"/>
      <c r="B1097" s="297"/>
      <c r="C1097" s="25"/>
      <c r="D1097" s="25"/>
      <c r="E1097" s="25"/>
      <c r="F1097" s="25"/>
      <c r="G1097" s="123"/>
      <c r="H1097" s="123"/>
      <c r="I1097" s="25"/>
      <c r="J1097" s="25"/>
      <c r="K1097" s="367"/>
      <c r="L1097" s="42"/>
      <c r="M1097" s="42"/>
      <c r="N1097" s="42"/>
      <c r="O1097" s="42"/>
      <c r="P1097" s="42"/>
      <c r="Q1097" s="42"/>
      <c r="R1097" s="176"/>
      <c r="S1097" s="42"/>
      <c r="T1097" s="42"/>
      <c r="U1097" s="46"/>
      <c r="V1097" s="42"/>
      <c r="W1097" s="42"/>
      <c r="X1097" s="42"/>
      <c r="Y1097" s="42"/>
      <c r="Z1097" s="42"/>
      <c r="AA1097" s="42"/>
      <c r="AB1097" s="42"/>
      <c r="AC1097" s="42"/>
      <c r="AD1097" s="42"/>
      <c r="AE1097" s="42"/>
      <c r="AF1097" s="42"/>
    </row>
    <row r="1098">
      <c r="A1098" s="25"/>
      <c r="B1098" s="297"/>
      <c r="C1098" s="25"/>
      <c r="D1098" s="25"/>
      <c r="E1098" s="25"/>
      <c r="F1098" s="25"/>
      <c r="G1098" s="123"/>
      <c r="H1098" s="123"/>
      <c r="I1098" s="25"/>
      <c r="J1098" s="25"/>
      <c r="K1098" s="367"/>
      <c r="L1098" s="42"/>
      <c r="M1098" s="42"/>
      <c r="N1098" s="42"/>
      <c r="O1098" s="42"/>
      <c r="P1098" s="42"/>
      <c r="Q1098" s="42"/>
      <c r="R1098" s="176"/>
      <c r="S1098" s="42"/>
      <c r="T1098" s="42"/>
      <c r="U1098" s="46"/>
      <c r="V1098" s="42"/>
      <c r="W1098" s="42"/>
      <c r="X1098" s="42"/>
      <c r="Y1098" s="42"/>
      <c r="Z1098" s="42"/>
      <c r="AA1098" s="42"/>
      <c r="AB1098" s="42"/>
      <c r="AC1098" s="42"/>
      <c r="AD1098" s="42"/>
      <c r="AE1098" s="42"/>
      <c r="AF1098" s="42"/>
    </row>
    <row r="1099">
      <c r="A1099" s="25"/>
      <c r="B1099" s="297"/>
      <c r="C1099" s="25"/>
      <c r="D1099" s="25"/>
      <c r="E1099" s="25"/>
      <c r="F1099" s="25"/>
      <c r="G1099" s="123"/>
      <c r="H1099" s="123"/>
      <c r="I1099" s="25"/>
      <c r="J1099" s="25"/>
      <c r="K1099" s="367"/>
      <c r="L1099" s="42"/>
      <c r="M1099" s="42"/>
      <c r="N1099" s="42"/>
      <c r="O1099" s="42"/>
      <c r="P1099" s="42"/>
      <c r="Q1099" s="42"/>
      <c r="R1099" s="176"/>
      <c r="S1099" s="42"/>
      <c r="T1099" s="42"/>
      <c r="U1099" s="46"/>
      <c r="V1099" s="42"/>
      <c r="W1099" s="42"/>
      <c r="X1099" s="42"/>
      <c r="Y1099" s="42"/>
      <c r="Z1099" s="42"/>
      <c r="AA1099" s="42"/>
      <c r="AB1099" s="42"/>
      <c r="AC1099" s="42"/>
      <c r="AD1099" s="42"/>
      <c r="AE1099" s="42"/>
      <c r="AF1099" s="42"/>
    </row>
    <row r="1100">
      <c r="A1100" s="25"/>
      <c r="B1100" s="297"/>
      <c r="C1100" s="25"/>
      <c r="D1100" s="25"/>
      <c r="E1100" s="25"/>
      <c r="F1100" s="25"/>
      <c r="G1100" s="123"/>
      <c r="H1100" s="123"/>
      <c r="I1100" s="25"/>
      <c r="J1100" s="25"/>
      <c r="K1100" s="367"/>
      <c r="L1100" s="42"/>
      <c r="M1100" s="42"/>
      <c r="N1100" s="42"/>
      <c r="O1100" s="42"/>
      <c r="P1100" s="42"/>
      <c r="Q1100" s="42"/>
      <c r="R1100" s="176"/>
      <c r="S1100" s="42"/>
      <c r="T1100" s="42"/>
      <c r="U1100" s="46"/>
      <c r="V1100" s="42"/>
      <c r="W1100" s="42"/>
      <c r="X1100" s="42"/>
      <c r="Y1100" s="42"/>
      <c r="Z1100" s="42"/>
      <c r="AA1100" s="42"/>
      <c r="AB1100" s="42"/>
      <c r="AC1100" s="42"/>
      <c r="AD1100" s="42"/>
      <c r="AE1100" s="42"/>
      <c r="AF1100" s="42"/>
    </row>
    <row r="1101">
      <c r="A1101" s="25"/>
      <c r="B1101" s="297"/>
      <c r="C1101" s="25"/>
      <c r="D1101" s="25"/>
      <c r="E1101" s="25"/>
      <c r="F1101" s="25"/>
      <c r="G1101" s="123"/>
      <c r="H1101" s="123"/>
      <c r="I1101" s="25"/>
      <c r="J1101" s="25"/>
      <c r="K1101" s="367"/>
      <c r="L1101" s="42"/>
      <c r="M1101" s="42"/>
      <c r="N1101" s="42"/>
      <c r="O1101" s="42"/>
      <c r="P1101" s="42"/>
      <c r="Q1101" s="42"/>
      <c r="R1101" s="176"/>
      <c r="S1101" s="42"/>
      <c r="T1101" s="42"/>
      <c r="U1101" s="46"/>
      <c r="V1101" s="42"/>
      <c r="W1101" s="42"/>
      <c r="X1101" s="42"/>
      <c r="Y1101" s="42"/>
      <c r="Z1101" s="42"/>
      <c r="AA1101" s="42"/>
      <c r="AB1101" s="42"/>
      <c r="AC1101" s="42"/>
      <c r="AD1101" s="42"/>
      <c r="AE1101" s="42"/>
      <c r="AF1101" s="42"/>
    </row>
    <row r="1102">
      <c r="A1102" s="25"/>
      <c r="B1102" s="297"/>
      <c r="C1102" s="25"/>
      <c r="D1102" s="25"/>
      <c r="E1102" s="25"/>
      <c r="F1102" s="25"/>
      <c r="G1102" s="123"/>
      <c r="H1102" s="123"/>
      <c r="I1102" s="25"/>
      <c r="J1102" s="25"/>
      <c r="K1102" s="367"/>
      <c r="L1102" s="42"/>
      <c r="M1102" s="42"/>
      <c r="N1102" s="42"/>
      <c r="O1102" s="42"/>
      <c r="P1102" s="42"/>
      <c r="Q1102" s="42"/>
      <c r="R1102" s="176"/>
      <c r="S1102" s="42"/>
      <c r="T1102" s="42"/>
      <c r="U1102" s="46"/>
      <c r="V1102" s="42"/>
      <c r="W1102" s="42"/>
      <c r="X1102" s="42"/>
      <c r="Y1102" s="42"/>
      <c r="Z1102" s="42"/>
      <c r="AA1102" s="42"/>
      <c r="AB1102" s="42"/>
      <c r="AC1102" s="42"/>
      <c r="AD1102" s="42"/>
      <c r="AE1102" s="42"/>
      <c r="AF1102" s="42"/>
    </row>
    <row r="1103">
      <c r="A1103" s="25"/>
      <c r="B1103" s="297"/>
      <c r="C1103" s="25"/>
      <c r="D1103" s="25"/>
      <c r="E1103" s="25"/>
      <c r="F1103" s="25"/>
      <c r="G1103" s="123"/>
      <c r="H1103" s="123"/>
      <c r="I1103" s="25"/>
      <c r="J1103" s="25"/>
      <c r="K1103" s="367"/>
      <c r="L1103" s="42"/>
      <c r="M1103" s="42"/>
      <c r="N1103" s="42"/>
      <c r="O1103" s="42"/>
      <c r="P1103" s="42"/>
      <c r="Q1103" s="42"/>
      <c r="R1103" s="176"/>
      <c r="S1103" s="42"/>
      <c r="T1103" s="42"/>
      <c r="U1103" s="46"/>
      <c r="V1103" s="42"/>
      <c r="W1103" s="42"/>
      <c r="X1103" s="42"/>
      <c r="Y1103" s="42"/>
      <c r="Z1103" s="42"/>
      <c r="AA1103" s="42"/>
      <c r="AB1103" s="42"/>
      <c r="AC1103" s="42"/>
      <c r="AD1103" s="42"/>
      <c r="AE1103" s="42"/>
      <c r="AF1103" s="42"/>
    </row>
    <row r="1104">
      <c r="A1104" s="25"/>
      <c r="B1104" s="297"/>
      <c r="C1104" s="25"/>
      <c r="D1104" s="25"/>
      <c r="E1104" s="25"/>
      <c r="F1104" s="25"/>
      <c r="G1104" s="123"/>
      <c r="H1104" s="123"/>
      <c r="I1104" s="25"/>
      <c r="J1104" s="25"/>
      <c r="K1104" s="367"/>
      <c r="L1104" s="42"/>
      <c r="M1104" s="42"/>
      <c r="N1104" s="42"/>
      <c r="O1104" s="42"/>
      <c r="P1104" s="42"/>
      <c r="Q1104" s="42"/>
      <c r="R1104" s="176"/>
      <c r="S1104" s="42"/>
      <c r="T1104" s="42"/>
      <c r="U1104" s="46"/>
      <c r="V1104" s="42"/>
      <c r="W1104" s="42"/>
      <c r="X1104" s="42"/>
      <c r="Y1104" s="42"/>
      <c r="Z1104" s="42"/>
      <c r="AA1104" s="42"/>
      <c r="AB1104" s="42"/>
      <c r="AC1104" s="42"/>
      <c r="AD1104" s="42"/>
      <c r="AE1104" s="42"/>
      <c r="AF1104" s="42"/>
    </row>
    <row r="1105">
      <c r="A1105" s="25"/>
      <c r="B1105" s="297"/>
      <c r="C1105" s="25"/>
      <c r="D1105" s="25"/>
      <c r="E1105" s="25"/>
      <c r="F1105" s="25"/>
      <c r="G1105" s="123"/>
      <c r="H1105" s="123"/>
      <c r="I1105" s="25"/>
      <c r="J1105" s="25"/>
      <c r="K1105" s="367"/>
      <c r="L1105" s="42"/>
      <c r="M1105" s="42"/>
      <c r="N1105" s="42"/>
      <c r="O1105" s="42"/>
      <c r="P1105" s="42"/>
      <c r="Q1105" s="42"/>
      <c r="R1105" s="176"/>
      <c r="S1105" s="42"/>
      <c r="T1105" s="42"/>
      <c r="U1105" s="46"/>
      <c r="V1105" s="42"/>
      <c r="W1105" s="42"/>
      <c r="X1105" s="42"/>
      <c r="Y1105" s="42"/>
      <c r="Z1105" s="42"/>
      <c r="AA1105" s="42"/>
      <c r="AB1105" s="42"/>
      <c r="AC1105" s="42"/>
      <c r="AD1105" s="42"/>
      <c r="AE1105" s="42"/>
      <c r="AF1105" s="42"/>
    </row>
    <row r="1106">
      <c r="A1106" s="25"/>
      <c r="B1106" s="297"/>
      <c r="C1106" s="25"/>
      <c r="D1106" s="25"/>
      <c r="E1106" s="25"/>
      <c r="F1106" s="25"/>
      <c r="G1106" s="123"/>
      <c r="H1106" s="123"/>
      <c r="I1106" s="25"/>
      <c r="J1106" s="25"/>
      <c r="K1106" s="367"/>
      <c r="L1106" s="42"/>
      <c r="M1106" s="42"/>
      <c r="N1106" s="42"/>
      <c r="O1106" s="42"/>
      <c r="P1106" s="42"/>
      <c r="Q1106" s="42"/>
      <c r="R1106" s="176"/>
      <c r="S1106" s="42"/>
      <c r="T1106" s="42"/>
      <c r="U1106" s="46"/>
      <c r="V1106" s="42"/>
      <c r="W1106" s="42"/>
      <c r="X1106" s="42"/>
      <c r="Y1106" s="42"/>
      <c r="Z1106" s="42"/>
      <c r="AA1106" s="42"/>
      <c r="AB1106" s="42"/>
      <c r="AC1106" s="42"/>
      <c r="AD1106" s="42"/>
      <c r="AE1106" s="42"/>
      <c r="AF1106" s="42"/>
    </row>
    <row r="1107">
      <c r="A1107" s="25"/>
      <c r="B1107" s="297"/>
      <c r="C1107" s="25"/>
      <c r="D1107" s="25"/>
      <c r="E1107" s="25"/>
      <c r="F1107" s="25"/>
      <c r="G1107" s="123"/>
      <c r="H1107" s="123"/>
      <c r="I1107" s="25"/>
      <c r="J1107" s="25"/>
      <c r="K1107" s="367"/>
      <c r="L1107" s="42"/>
      <c r="M1107" s="42"/>
      <c r="N1107" s="42"/>
      <c r="O1107" s="42"/>
      <c r="P1107" s="42"/>
      <c r="Q1107" s="42"/>
      <c r="R1107" s="176"/>
      <c r="S1107" s="42"/>
      <c r="T1107" s="42"/>
      <c r="U1107" s="46"/>
      <c r="V1107" s="42"/>
      <c r="W1107" s="42"/>
      <c r="X1107" s="42"/>
      <c r="Y1107" s="42"/>
      <c r="Z1107" s="42"/>
      <c r="AA1107" s="42"/>
      <c r="AB1107" s="42"/>
      <c r="AC1107" s="42"/>
      <c r="AD1107" s="42"/>
      <c r="AE1107" s="42"/>
      <c r="AF1107" s="42"/>
    </row>
    <row r="1108">
      <c r="A1108" s="25"/>
      <c r="B1108" s="297"/>
      <c r="C1108" s="25"/>
      <c r="D1108" s="25"/>
      <c r="E1108" s="25"/>
      <c r="F1108" s="25"/>
      <c r="G1108" s="123"/>
      <c r="H1108" s="123"/>
      <c r="I1108" s="25"/>
      <c r="J1108" s="25"/>
      <c r="K1108" s="367"/>
      <c r="L1108" s="42"/>
      <c r="M1108" s="42"/>
      <c r="N1108" s="42"/>
      <c r="O1108" s="42"/>
      <c r="P1108" s="42"/>
      <c r="Q1108" s="42"/>
      <c r="R1108" s="176"/>
      <c r="S1108" s="42"/>
      <c r="T1108" s="42"/>
      <c r="U1108" s="46"/>
      <c r="V1108" s="42"/>
      <c r="W1108" s="42"/>
      <c r="X1108" s="42"/>
      <c r="Y1108" s="42"/>
      <c r="Z1108" s="42"/>
      <c r="AA1108" s="42"/>
      <c r="AB1108" s="42"/>
      <c r="AC1108" s="42"/>
      <c r="AD1108" s="42"/>
      <c r="AE1108" s="42"/>
      <c r="AF1108" s="42"/>
    </row>
    <row r="1109">
      <c r="A1109" s="25"/>
      <c r="B1109" s="297"/>
      <c r="C1109" s="25"/>
      <c r="D1109" s="25"/>
      <c r="E1109" s="25"/>
      <c r="F1109" s="25"/>
      <c r="G1109" s="123"/>
      <c r="H1109" s="123"/>
      <c r="I1109" s="25"/>
      <c r="J1109" s="25"/>
      <c r="K1109" s="367"/>
      <c r="L1109" s="42"/>
      <c r="M1109" s="42"/>
      <c r="N1109" s="42"/>
      <c r="O1109" s="42"/>
      <c r="P1109" s="42"/>
      <c r="Q1109" s="42"/>
      <c r="R1109" s="176"/>
      <c r="S1109" s="42"/>
      <c r="T1109" s="42"/>
      <c r="U1109" s="46"/>
      <c r="V1109" s="42"/>
      <c r="W1109" s="42"/>
      <c r="X1109" s="42"/>
      <c r="Y1109" s="42"/>
      <c r="Z1109" s="42"/>
      <c r="AA1109" s="42"/>
      <c r="AB1109" s="42"/>
      <c r="AC1109" s="42"/>
      <c r="AD1109" s="42"/>
      <c r="AE1109" s="42"/>
      <c r="AF1109" s="42"/>
    </row>
    <row r="1110">
      <c r="A1110" s="25"/>
      <c r="B1110" s="297"/>
      <c r="C1110" s="25"/>
      <c r="D1110" s="25"/>
      <c r="E1110" s="25"/>
      <c r="F1110" s="25"/>
      <c r="G1110" s="123"/>
      <c r="H1110" s="123"/>
      <c r="I1110" s="25"/>
      <c r="J1110" s="25"/>
      <c r="K1110" s="367"/>
      <c r="L1110" s="42"/>
      <c r="M1110" s="42"/>
      <c r="N1110" s="42"/>
      <c r="O1110" s="42"/>
      <c r="P1110" s="42"/>
      <c r="Q1110" s="42"/>
      <c r="R1110" s="176"/>
      <c r="S1110" s="42"/>
      <c r="T1110" s="42"/>
      <c r="U1110" s="46"/>
      <c r="V1110" s="42"/>
      <c r="W1110" s="42"/>
      <c r="X1110" s="42"/>
      <c r="Y1110" s="42"/>
      <c r="Z1110" s="42"/>
      <c r="AA1110" s="42"/>
      <c r="AB1110" s="42"/>
      <c r="AC1110" s="42"/>
      <c r="AD1110" s="42"/>
      <c r="AE1110" s="42"/>
      <c r="AF1110" s="42"/>
    </row>
    <row r="1111">
      <c r="A1111" s="25"/>
      <c r="B1111" s="297"/>
      <c r="C1111" s="25"/>
      <c r="D1111" s="25"/>
      <c r="E1111" s="25"/>
      <c r="F1111" s="25"/>
      <c r="G1111" s="123"/>
      <c r="H1111" s="123"/>
      <c r="I1111" s="25"/>
      <c r="J1111" s="25"/>
      <c r="K1111" s="367"/>
      <c r="L1111" s="42"/>
      <c r="M1111" s="42"/>
      <c r="N1111" s="42"/>
      <c r="O1111" s="42"/>
      <c r="P1111" s="42"/>
      <c r="Q1111" s="42"/>
      <c r="R1111" s="176"/>
      <c r="S1111" s="42"/>
      <c r="T1111" s="42"/>
      <c r="U1111" s="46"/>
      <c r="V1111" s="42"/>
      <c r="W1111" s="42"/>
      <c r="X1111" s="42"/>
      <c r="Y1111" s="42"/>
      <c r="Z1111" s="42"/>
      <c r="AA1111" s="42"/>
      <c r="AB1111" s="42"/>
      <c r="AC1111" s="42"/>
      <c r="AD1111" s="42"/>
      <c r="AE1111" s="42"/>
      <c r="AF1111" s="42"/>
    </row>
    <row r="1112">
      <c r="A1112" s="25"/>
      <c r="B1112" s="297"/>
      <c r="C1112" s="25"/>
      <c r="D1112" s="25"/>
      <c r="E1112" s="25"/>
      <c r="F1112" s="25"/>
      <c r="G1112" s="123"/>
      <c r="H1112" s="123"/>
      <c r="I1112" s="25"/>
      <c r="J1112" s="25"/>
      <c r="K1112" s="367"/>
      <c r="L1112" s="42"/>
      <c r="M1112" s="42"/>
      <c r="N1112" s="42"/>
      <c r="O1112" s="42"/>
      <c r="P1112" s="42"/>
      <c r="Q1112" s="42"/>
      <c r="R1112" s="176"/>
      <c r="S1112" s="42"/>
      <c r="T1112" s="42"/>
      <c r="U1112" s="46"/>
      <c r="V1112" s="42"/>
      <c r="W1112" s="42"/>
      <c r="X1112" s="42"/>
      <c r="Y1112" s="42"/>
      <c r="Z1112" s="42"/>
      <c r="AA1112" s="42"/>
      <c r="AB1112" s="42"/>
      <c r="AC1112" s="42"/>
      <c r="AD1112" s="42"/>
      <c r="AE1112" s="42"/>
      <c r="AF1112" s="42"/>
    </row>
    <row r="1113">
      <c r="A1113" s="25"/>
      <c r="B1113" s="297"/>
      <c r="C1113" s="25"/>
      <c r="D1113" s="25"/>
      <c r="E1113" s="25"/>
      <c r="F1113" s="25"/>
      <c r="G1113" s="123"/>
      <c r="H1113" s="123"/>
      <c r="I1113" s="25"/>
      <c r="J1113" s="25"/>
      <c r="K1113" s="367"/>
      <c r="L1113" s="42"/>
      <c r="M1113" s="42"/>
      <c r="N1113" s="42"/>
      <c r="O1113" s="42"/>
      <c r="P1113" s="42"/>
      <c r="Q1113" s="42"/>
      <c r="R1113" s="176"/>
      <c r="S1113" s="42"/>
      <c r="T1113" s="42"/>
      <c r="U1113" s="46"/>
      <c r="V1113" s="42"/>
      <c r="W1113" s="42"/>
      <c r="X1113" s="42"/>
      <c r="Y1113" s="42"/>
      <c r="Z1113" s="42"/>
      <c r="AA1113" s="42"/>
      <c r="AB1113" s="42"/>
      <c r="AC1113" s="42"/>
      <c r="AD1113" s="42"/>
      <c r="AE1113" s="42"/>
      <c r="AF1113" s="42"/>
    </row>
    <row r="1114">
      <c r="A1114" s="25"/>
      <c r="B1114" s="297"/>
      <c r="C1114" s="25"/>
      <c r="D1114" s="25"/>
      <c r="E1114" s="25"/>
      <c r="F1114" s="25"/>
      <c r="G1114" s="123"/>
      <c r="H1114" s="123"/>
      <c r="I1114" s="25"/>
      <c r="J1114" s="25"/>
      <c r="K1114" s="367"/>
      <c r="L1114" s="42"/>
      <c r="M1114" s="42"/>
      <c r="N1114" s="42"/>
      <c r="O1114" s="42"/>
      <c r="P1114" s="42"/>
      <c r="Q1114" s="42"/>
      <c r="R1114" s="176"/>
      <c r="S1114" s="42"/>
      <c r="T1114" s="42"/>
      <c r="U1114" s="46"/>
      <c r="V1114" s="42"/>
      <c r="W1114" s="42"/>
      <c r="X1114" s="42"/>
      <c r="Y1114" s="42"/>
      <c r="Z1114" s="42"/>
      <c r="AA1114" s="42"/>
      <c r="AB1114" s="42"/>
      <c r="AC1114" s="42"/>
      <c r="AD1114" s="42"/>
      <c r="AE1114" s="42"/>
      <c r="AF1114" s="42"/>
    </row>
    <row r="1115">
      <c r="A1115" s="25"/>
      <c r="B1115" s="297"/>
      <c r="C1115" s="25"/>
      <c r="D1115" s="25"/>
      <c r="E1115" s="25"/>
      <c r="F1115" s="25"/>
      <c r="G1115" s="123"/>
      <c r="H1115" s="123"/>
      <c r="I1115" s="25"/>
      <c r="J1115" s="25"/>
      <c r="K1115" s="367"/>
      <c r="L1115" s="42"/>
      <c r="M1115" s="42"/>
      <c r="N1115" s="42"/>
      <c r="O1115" s="42"/>
      <c r="P1115" s="42"/>
      <c r="Q1115" s="42"/>
      <c r="R1115" s="176"/>
      <c r="S1115" s="42"/>
      <c r="T1115" s="42"/>
      <c r="U1115" s="46"/>
      <c r="V1115" s="42"/>
      <c r="W1115" s="42"/>
      <c r="X1115" s="42"/>
      <c r="Y1115" s="42"/>
      <c r="Z1115" s="42"/>
      <c r="AA1115" s="42"/>
      <c r="AB1115" s="42"/>
      <c r="AC1115" s="42"/>
      <c r="AD1115" s="42"/>
      <c r="AE1115" s="42"/>
      <c r="AF1115" s="42"/>
    </row>
    <row r="1116">
      <c r="A1116" s="25"/>
      <c r="B1116" s="297"/>
      <c r="C1116" s="25"/>
      <c r="D1116" s="25"/>
      <c r="E1116" s="25"/>
      <c r="F1116" s="25"/>
      <c r="G1116" s="123"/>
      <c r="H1116" s="123"/>
      <c r="I1116" s="25"/>
      <c r="J1116" s="25"/>
      <c r="K1116" s="367"/>
      <c r="L1116" s="42"/>
      <c r="M1116" s="42"/>
      <c r="N1116" s="42"/>
      <c r="O1116" s="42"/>
      <c r="P1116" s="42"/>
      <c r="Q1116" s="42"/>
      <c r="R1116" s="176"/>
      <c r="S1116" s="42"/>
      <c r="T1116" s="42"/>
      <c r="U1116" s="46"/>
      <c r="V1116" s="42"/>
      <c r="W1116" s="42"/>
      <c r="X1116" s="42"/>
      <c r="Y1116" s="42"/>
      <c r="Z1116" s="42"/>
      <c r="AA1116" s="42"/>
      <c r="AB1116" s="42"/>
      <c r="AC1116" s="42"/>
      <c r="AD1116" s="42"/>
      <c r="AE1116" s="42"/>
      <c r="AF1116" s="42"/>
    </row>
    <row r="1117">
      <c r="A1117" s="25"/>
      <c r="B1117" s="297"/>
      <c r="C1117" s="25"/>
      <c r="D1117" s="25"/>
      <c r="E1117" s="25"/>
      <c r="F1117" s="25"/>
      <c r="G1117" s="123"/>
      <c r="H1117" s="123"/>
      <c r="I1117" s="25"/>
      <c r="J1117" s="25"/>
      <c r="K1117" s="367"/>
      <c r="L1117" s="42"/>
      <c r="M1117" s="42"/>
      <c r="N1117" s="42"/>
      <c r="O1117" s="42"/>
      <c r="P1117" s="42"/>
      <c r="Q1117" s="42"/>
      <c r="R1117" s="176"/>
      <c r="S1117" s="42"/>
      <c r="T1117" s="42"/>
      <c r="U1117" s="46"/>
      <c r="V1117" s="42"/>
      <c r="W1117" s="42"/>
      <c r="X1117" s="42"/>
      <c r="Y1117" s="42"/>
      <c r="Z1117" s="42"/>
      <c r="AA1117" s="42"/>
      <c r="AB1117" s="42"/>
      <c r="AC1117" s="42"/>
      <c r="AD1117" s="42"/>
      <c r="AE1117" s="42"/>
      <c r="AF1117" s="42"/>
    </row>
    <row r="1118">
      <c r="A1118" s="25"/>
      <c r="B1118" s="297"/>
      <c r="C1118" s="25"/>
      <c r="D1118" s="25"/>
      <c r="E1118" s="25"/>
      <c r="F1118" s="25"/>
      <c r="G1118" s="123"/>
      <c r="H1118" s="123"/>
      <c r="I1118" s="25"/>
      <c r="J1118" s="25"/>
      <c r="K1118" s="367"/>
      <c r="L1118" s="42"/>
      <c r="M1118" s="42"/>
      <c r="N1118" s="42"/>
      <c r="O1118" s="42"/>
      <c r="P1118" s="42"/>
      <c r="Q1118" s="42"/>
      <c r="R1118" s="176"/>
      <c r="S1118" s="42"/>
      <c r="T1118" s="42"/>
      <c r="U1118" s="46"/>
      <c r="V1118" s="42"/>
      <c r="W1118" s="42"/>
      <c r="X1118" s="42"/>
      <c r="Y1118" s="42"/>
      <c r="Z1118" s="42"/>
      <c r="AA1118" s="42"/>
      <c r="AB1118" s="42"/>
      <c r="AC1118" s="42"/>
      <c r="AD1118" s="42"/>
      <c r="AE1118" s="42"/>
      <c r="AF1118" s="42"/>
    </row>
    <row r="1119">
      <c r="A1119" s="25"/>
      <c r="B1119" s="297"/>
      <c r="C1119" s="25"/>
      <c r="D1119" s="25"/>
      <c r="E1119" s="25"/>
      <c r="F1119" s="25"/>
      <c r="G1119" s="123"/>
      <c r="H1119" s="123"/>
      <c r="I1119" s="25"/>
      <c r="J1119" s="25"/>
      <c r="K1119" s="367"/>
      <c r="L1119" s="42"/>
      <c r="M1119" s="42"/>
      <c r="N1119" s="42"/>
      <c r="O1119" s="42"/>
      <c r="P1119" s="42"/>
      <c r="Q1119" s="42"/>
      <c r="R1119" s="176"/>
      <c r="S1119" s="42"/>
      <c r="T1119" s="42"/>
      <c r="U1119" s="46"/>
      <c r="V1119" s="42"/>
      <c r="W1119" s="42"/>
      <c r="X1119" s="42"/>
      <c r="Y1119" s="42"/>
      <c r="Z1119" s="42"/>
      <c r="AA1119" s="42"/>
      <c r="AB1119" s="42"/>
      <c r="AC1119" s="42"/>
      <c r="AD1119" s="42"/>
      <c r="AE1119" s="42"/>
      <c r="AF1119" s="42"/>
    </row>
    <row r="1120">
      <c r="A1120" s="25"/>
      <c r="B1120" s="297"/>
      <c r="C1120" s="25"/>
      <c r="D1120" s="25"/>
      <c r="E1120" s="25"/>
      <c r="F1120" s="25"/>
      <c r="G1120" s="123"/>
      <c r="H1120" s="123"/>
      <c r="I1120" s="25"/>
      <c r="J1120" s="25"/>
      <c r="K1120" s="367"/>
      <c r="L1120" s="42"/>
      <c r="M1120" s="42"/>
      <c r="N1120" s="42"/>
      <c r="O1120" s="42"/>
      <c r="P1120" s="42"/>
      <c r="Q1120" s="42"/>
      <c r="R1120" s="176"/>
      <c r="S1120" s="42"/>
      <c r="T1120" s="42"/>
      <c r="U1120" s="46"/>
      <c r="V1120" s="42"/>
      <c r="W1120" s="42"/>
      <c r="X1120" s="42"/>
      <c r="Y1120" s="42"/>
      <c r="Z1120" s="42"/>
      <c r="AA1120" s="42"/>
      <c r="AB1120" s="42"/>
      <c r="AC1120" s="42"/>
      <c r="AD1120" s="42"/>
      <c r="AE1120" s="42"/>
      <c r="AF1120" s="42"/>
    </row>
    <row r="1121">
      <c r="A1121" s="25"/>
      <c r="B1121" s="297"/>
      <c r="C1121" s="25"/>
      <c r="D1121" s="25"/>
      <c r="E1121" s="25"/>
      <c r="F1121" s="25"/>
      <c r="G1121" s="123"/>
      <c r="H1121" s="123"/>
      <c r="I1121" s="25"/>
      <c r="J1121" s="25"/>
      <c r="K1121" s="367"/>
      <c r="L1121" s="42"/>
      <c r="M1121" s="42"/>
      <c r="N1121" s="42"/>
      <c r="O1121" s="42"/>
      <c r="P1121" s="42"/>
      <c r="Q1121" s="42"/>
      <c r="R1121" s="176"/>
      <c r="S1121" s="42"/>
      <c r="T1121" s="42"/>
      <c r="U1121" s="46"/>
      <c r="V1121" s="42"/>
      <c r="W1121" s="42"/>
      <c r="X1121" s="42"/>
      <c r="Y1121" s="42"/>
      <c r="Z1121" s="42"/>
      <c r="AA1121" s="42"/>
      <c r="AB1121" s="42"/>
      <c r="AC1121" s="42"/>
      <c r="AD1121" s="42"/>
      <c r="AE1121" s="42"/>
      <c r="AF1121" s="42"/>
    </row>
    <row r="1122">
      <c r="A1122" s="25"/>
      <c r="B1122" s="297"/>
      <c r="C1122" s="25"/>
      <c r="D1122" s="25"/>
      <c r="E1122" s="25"/>
      <c r="F1122" s="25"/>
      <c r="G1122" s="123"/>
      <c r="H1122" s="123"/>
      <c r="I1122" s="25"/>
      <c r="J1122" s="25"/>
      <c r="K1122" s="367"/>
      <c r="L1122" s="42"/>
      <c r="M1122" s="42"/>
      <c r="N1122" s="42"/>
      <c r="O1122" s="42"/>
      <c r="P1122" s="42"/>
      <c r="Q1122" s="42"/>
      <c r="R1122" s="176"/>
      <c r="S1122" s="42"/>
      <c r="T1122" s="42"/>
      <c r="U1122" s="46"/>
      <c r="V1122" s="42"/>
      <c r="W1122" s="42"/>
      <c r="X1122" s="42"/>
      <c r="Y1122" s="42"/>
      <c r="Z1122" s="42"/>
      <c r="AA1122" s="42"/>
      <c r="AB1122" s="42"/>
      <c r="AC1122" s="42"/>
      <c r="AD1122" s="42"/>
      <c r="AE1122" s="42"/>
      <c r="AF1122" s="42"/>
    </row>
    <row r="1123">
      <c r="A1123" s="25"/>
      <c r="B1123" s="297"/>
      <c r="C1123" s="25"/>
      <c r="D1123" s="25"/>
      <c r="E1123" s="25"/>
      <c r="F1123" s="25"/>
      <c r="G1123" s="123"/>
      <c r="H1123" s="123"/>
      <c r="I1123" s="25"/>
      <c r="J1123" s="25"/>
      <c r="K1123" s="367"/>
      <c r="L1123" s="42"/>
      <c r="M1123" s="42"/>
      <c r="N1123" s="42"/>
      <c r="O1123" s="42"/>
      <c r="P1123" s="42"/>
      <c r="Q1123" s="42"/>
      <c r="R1123" s="176"/>
      <c r="S1123" s="42"/>
      <c r="T1123" s="42"/>
      <c r="U1123" s="46"/>
      <c r="V1123" s="42"/>
      <c r="W1123" s="42"/>
      <c r="X1123" s="42"/>
      <c r="Y1123" s="42"/>
      <c r="Z1123" s="42"/>
      <c r="AA1123" s="42"/>
      <c r="AB1123" s="42"/>
      <c r="AC1123" s="42"/>
      <c r="AD1123" s="42"/>
      <c r="AE1123" s="42"/>
      <c r="AF1123" s="42"/>
    </row>
    <row r="1124">
      <c r="A1124" s="25"/>
      <c r="B1124" s="297"/>
      <c r="C1124" s="25"/>
      <c r="D1124" s="25"/>
      <c r="E1124" s="25"/>
      <c r="F1124" s="25"/>
      <c r="G1124" s="123"/>
      <c r="H1124" s="123"/>
      <c r="I1124" s="25"/>
      <c r="J1124" s="25"/>
      <c r="K1124" s="367"/>
      <c r="L1124" s="42"/>
      <c r="M1124" s="42"/>
      <c r="N1124" s="42"/>
      <c r="O1124" s="42"/>
      <c r="P1124" s="42"/>
      <c r="Q1124" s="42"/>
      <c r="R1124" s="176"/>
      <c r="S1124" s="42"/>
      <c r="T1124" s="42"/>
      <c r="U1124" s="46"/>
      <c r="V1124" s="42"/>
      <c r="W1124" s="42"/>
      <c r="X1124" s="42"/>
      <c r="Y1124" s="42"/>
      <c r="Z1124" s="42"/>
      <c r="AA1124" s="42"/>
      <c r="AB1124" s="42"/>
      <c r="AC1124" s="42"/>
      <c r="AD1124" s="42"/>
      <c r="AE1124" s="42"/>
      <c r="AF1124" s="42"/>
    </row>
    <row r="1125">
      <c r="A1125" s="25"/>
      <c r="B1125" s="297"/>
      <c r="C1125" s="25"/>
      <c r="D1125" s="25"/>
      <c r="E1125" s="25"/>
      <c r="F1125" s="25"/>
      <c r="G1125" s="123"/>
      <c r="H1125" s="123"/>
      <c r="I1125" s="25"/>
      <c r="J1125" s="25"/>
      <c r="K1125" s="367"/>
      <c r="L1125" s="42"/>
      <c r="M1125" s="42"/>
      <c r="N1125" s="42"/>
      <c r="O1125" s="42"/>
      <c r="P1125" s="42"/>
      <c r="Q1125" s="42"/>
      <c r="R1125" s="176"/>
      <c r="S1125" s="42"/>
      <c r="T1125" s="42"/>
      <c r="U1125" s="46"/>
      <c r="V1125" s="42"/>
      <c r="W1125" s="42"/>
      <c r="X1125" s="42"/>
      <c r="Y1125" s="42"/>
      <c r="Z1125" s="42"/>
      <c r="AA1125" s="42"/>
      <c r="AB1125" s="42"/>
      <c r="AC1125" s="42"/>
      <c r="AD1125" s="42"/>
      <c r="AE1125" s="42"/>
      <c r="AF1125" s="42"/>
    </row>
    <row r="1126">
      <c r="A1126" s="25"/>
      <c r="B1126" s="297"/>
      <c r="C1126" s="25"/>
      <c r="D1126" s="25"/>
      <c r="E1126" s="25"/>
      <c r="F1126" s="25"/>
      <c r="G1126" s="123"/>
      <c r="H1126" s="123"/>
      <c r="I1126" s="25"/>
      <c r="J1126" s="25"/>
      <c r="K1126" s="367"/>
      <c r="L1126" s="42"/>
      <c r="M1126" s="42"/>
      <c r="N1126" s="42"/>
      <c r="O1126" s="42"/>
      <c r="P1126" s="42"/>
      <c r="Q1126" s="42"/>
      <c r="R1126" s="176"/>
      <c r="S1126" s="42"/>
      <c r="T1126" s="42"/>
      <c r="U1126" s="46"/>
      <c r="V1126" s="42"/>
      <c r="W1126" s="42"/>
      <c r="X1126" s="42"/>
      <c r="Y1126" s="42"/>
      <c r="Z1126" s="42"/>
      <c r="AA1126" s="42"/>
      <c r="AB1126" s="42"/>
      <c r="AC1126" s="42"/>
      <c r="AD1126" s="42"/>
      <c r="AE1126" s="42"/>
      <c r="AF1126" s="42"/>
    </row>
    <row r="1127">
      <c r="A1127" s="25"/>
      <c r="B1127" s="297"/>
      <c r="C1127" s="25"/>
      <c r="D1127" s="25"/>
      <c r="E1127" s="25"/>
      <c r="F1127" s="25"/>
      <c r="G1127" s="123"/>
      <c r="H1127" s="123"/>
      <c r="I1127" s="25"/>
      <c r="J1127" s="25"/>
      <c r="K1127" s="367"/>
      <c r="L1127" s="42"/>
      <c r="M1127" s="42"/>
      <c r="N1127" s="42"/>
      <c r="O1127" s="42"/>
      <c r="P1127" s="42"/>
      <c r="Q1127" s="42"/>
      <c r="R1127" s="176"/>
      <c r="S1127" s="42"/>
      <c r="T1127" s="42"/>
      <c r="U1127" s="46"/>
      <c r="V1127" s="42"/>
      <c r="W1127" s="42"/>
      <c r="X1127" s="42"/>
      <c r="Y1127" s="42"/>
      <c r="Z1127" s="42"/>
      <c r="AA1127" s="42"/>
      <c r="AB1127" s="42"/>
      <c r="AC1127" s="42"/>
      <c r="AD1127" s="42"/>
      <c r="AE1127" s="42"/>
      <c r="AF1127" s="42"/>
    </row>
    <row r="1128">
      <c r="A1128" s="25"/>
      <c r="B1128" s="297"/>
      <c r="C1128" s="25"/>
      <c r="D1128" s="25"/>
      <c r="E1128" s="25"/>
      <c r="F1128" s="25"/>
      <c r="G1128" s="123"/>
      <c r="H1128" s="123"/>
      <c r="I1128" s="25"/>
      <c r="J1128" s="25"/>
      <c r="K1128" s="367"/>
      <c r="L1128" s="42"/>
      <c r="M1128" s="42"/>
      <c r="N1128" s="42"/>
      <c r="O1128" s="42"/>
      <c r="P1128" s="42"/>
      <c r="Q1128" s="42"/>
      <c r="R1128" s="176"/>
      <c r="S1128" s="42"/>
      <c r="T1128" s="42"/>
      <c r="U1128" s="46"/>
      <c r="V1128" s="42"/>
      <c r="W1128" s="42"/>
      <c r="X1128" s="42"/>
      <c r="Y1128" s="42"/>
      <c r="Z1128" s="42"/>
      <c r="AA1128" s="42"/>
      <c r="AB1128" s="42"/>
      <c r="AC1128" s="42"/>
      <c r="AD1128" s="42"/>
      <c r="AE1128" s="42"/>
      <c r="AF1128" s="42"/>
    </row>
    <row r="1129">
      <c r="A1129" s="25"/>
      <c r="B1129" s="297"/>
      <c r="C1129" s="25"/>
      <c r="D1129" s="25"/>
      <c r="E1129" s="25"/>
      <c r="F1129" s="25"/>
      <c r="G1129" s="123"/>
      <c r="H1129" s="123"/>
      <c r="I1129" s="25"/>
      <c r="J1129" s="25"/>
      <c r="K1129" s="367"/>
      <c r="L1129" s="42"/>
      <c r="M1129" s="42"/>
      <c r="N1129" s="42"/>
      <c r="O1129" s="42"/>
      <c r="P1129" s="42"/>
      <c r="Q1129" s="42"/>
      <c r="R1129" s="176"/>
      <c r="S1129" s="42"/>
      <c r="T1129" s="42"/>
      <c r="U1129" s="46"/>
      <c r="V1129" s="42"/>
      <c r="W1129" s="42"/>
      <c r="X1129" s="42"/>
      <c r="Y1129" s="42"/>
      <c r="Z1129" s="42"/>
      <c r="AA1129" s="42"/>
      <c r="AB1129" s="42"/>
      <c r="AC1129" s="42"/>
      <c r="AD1129" s="42"/>
      <c r="AE1129" s="42"/>
      <c r="AF1129" s="42"/>
    </row>
    <row r="1130">
      <c r="A1130" s="25"/>
      <c r="B1130" s="297"/>
      <c r="C1130" s="25"/>
      <c r="D1130" s="25"/>
      <c r="E1130" s="25"/>
      <c r="F1130" s="25"/>
      <c r="G1130" s="123"/>
      <c r="H1130" s="123"/>
      <c r="I1130" s="25"/>
      <c r="J1130" s="25"/>
      <c r="K1130" s="367"/>
      <c r="L1130" s="42"/>
      <c r="M1130" s="42"/>
      <c r="N1130" s="42"/>
      <c r="O1130" s="42"/>
      <c r="P1130" s="42"/>
      <c r="Q1130" s="42"/>
      <c r="R1130" s="176"/>
      <c r="S1130" s="42"/>
      <c r="T1130" s="42"/>
      <c r="U1130" s="46"/>
      <c r="V1130" s="42"/>
      <c r="W1130" s="42"/>
      <c r="X1130" s="42"/>
      <c r="Y1130" s="42"/>
      <c r="Z1130" s="42"/>
      <c r="AA1130" s="42"/>
      <c r="AB1130" s="42"/>
      <c r="AC1130" s="42"/>
      <c r="AD1130" s="42"/>
      <c r="AE1130" s="42"/>
      <c r="AF1130" s="42"/>
    </row>
    <row r="1131">
      <c r="A1131" s="25"/>
      <c r="B1131" s="297"/>
      <c r="C1131" s="25"/>
      <c r="D1131" s="25"/>
      <c r="E1131" s="25"/>
      <c r="F1131" s="25"/>
      <c r="G1131" s="123"/>
      <c r="H1131" s="123"/>
      <c r="I1131" s="25"/>
      <c r="J1131" s="25"/>
      <c r="K1131" s="367"/>
      <c r="L1131" s="42"/>
      <c r="M1131" s="42"/>
      <c r="N1131" s="42"/>
      <c r="O1131" s="42"/>
      <c r="P1131" s="42"/>
      <c r="Q1131" s="42"/>
      <c r="R1131" s="176"/>
      <c r="S1131" s="42"/>
      <c r="T1131" s="42"/>
      <c r="U1131" s="46"/>
      <c r="V1131" s="42"/>
      <c r="W1131" s="42"/>
      <c r="X1131" s="42"/>
      <c r="Y1131" s="42"/>
      <c r="Z1131" s="42"/>
      <c r="AA1131" s="42"/>
      <c r="AB1131" s="42"/>
      <c r="AC1131" s="42"/>
      <c r="AD1131" s="42"/>
      <c r="AE1131" s="42"/>
      <c r="AF1131" s="42"/>
    </row>
    <row r="1132">
      <c r="A1132" s="25"/>
      <c r="B1132" s="297"/>
      <c r="C1132" s="25"/>
      <c r="D1132" s="25"/>
      <c r="E1132" s="25"/>
      <c r="F1132" s="25"/>
      <c r="G1132" s="123"/>
      <c r="H1132" s="123"/>
      <c r="I1132" s="25"/>
      <c r="J1132" s="25"/>
      <c r="K1132" s="367"/>
      <c r="L1132" s="42"/>
      <c r="M1132" s="42"/>
      <c r="N1132" s="42"/>
      <c r="O1132" s="42"/>
      <c r="P1132" s="42"/>
      <c r="Q1132" s="42"/>
      <c r="R1132" s="176"/>
      <c r="S1132" s="42"/>
      <c r="T1132" s="42"/>
      <c r="U1132" s="46"/>
      <c r="V1132" s="42"/>
      <c r="W1132" s="42"/>
      <c r="X1132" s="42"/>
      <c r="Y1132" s="42"/>
      <c r="Z1132" s="42"/>
      <c r="AA1132" s="42"/>
      <c r="AB1132" s="42"/>
      <c r="AC1132" s="42"/>
      <c r="AD1132" s="42"/>
      <c r="AE1132" s="42"/>
      <c r="AF1132" s="42"/>
    </row>
    <row r="1133">
      <c r="A1133" s="25"/>
      <c r="B1133" s="297"/>
      <c r="C1133" s="25"/>
      <c r="D1133" s="25"/>
      <c r="E1133" s="25"/>
      <c r="F1133" s="25"/>
      <c r="G1133" s="123"/>
      <c r="H1133" s="123"/>
      <c r="I1133" s="25"/>
      <c r="J1133" s="25"/>
      <c r="K1133" s="367"/>
      <c r="L1133" s="42"/>
      <c r="M1133" s="42"/>
      <c r="N1133" s="42"/>
      <c r="O1133" s="42"/>
      <c r="P1133" s="42"/>
      <c r="Q1133" s="42"/>
      <c r="R1133" s="176"/>
      <c r="S1133" s="42"/>
      <c r="T1133" s="42"/>
      <c r="U1133" s="46"/>
      <c r="V1133" s="42"/>
      <c r="W1133" s="42"/>
      <c r="X1133" s="42"/>
      <c r="Y1133" s="42"/>
      <c r="Z1133" s="42"/>
      <c r="AA1133" s="42"/>
      <c r="AB1133" s="42"/>
      <c r="AC1133" s="42"/>
      <c r="AD1133" s="42"/>
      <c r="AE1133" s="42"/>
      <c r="AF1133" s="42"/>
    </row>
    <row r="1134">
      <c r="A1134" s="25"/>
      <c r="B1134" s="297"/>
      <c r="C1134" s="25"/>
      <c r="D1134" s="25"/>
      <c r="E1134" s="25"/>
      <c r="F1134" s="25"/>
      <c r="G1134" s="123"/>
      <c r="H1134" s="123"/>
      <c r="I1134" s="25"/>
      <c r="J1134" s="25"/>
      <c r="K1134" s="367"/>
      <c r="L1134" s="42"/>
      <c r="M1134" s="42"/>
      <c r="N1134" s="42"/>
      <c r="O1134" s="42"/>
      <c r="P1134" s="42"/>
      <c r="Q1134" s="42"/>
      <c r="R1134" s="176"/>
      <c r="S1134" s="42"/>
      <c r="T1134" s="42"/>
      <c r="U1134" s="46"/>
      <c r="V1134" s="42"/>
      <c r="W1134" s="42"/>
      <c r="X1134" s="42"/>
      <c r="Y1134" s="42"/>
      <c r="Z1134" s="42"/>
      <c r="AA1134" s="42"/>
      <c r="AB1134" s="42"/>
      <c r="AC1134" s="42"/>
      <c r="AD1134" s="42"/>
      <c r="AE1134" s="42"/>
      <c r="AF1134" s="42"/>
    </row>
    <row r="1135">
      <c r="A1135" s="25"/>
      <c r="B1135" s="297"/>
      <c r="C1135" s="25"/>
      <c r="D1135" s="25"/>
      <c r="E1135" s="25"/>
      <c r="F1135" s="25"/>
      <c r="G1135" s="123"/>
      <c r="H1135" s="123"/>
      <c r="I1135" s="25"/>
      <c r="J1135" s="25"/>
      <c r="K1135" s="367"/>
      <c r="L1135" s="42"/>
      <c r="M1135" s="42"/>
      <c r="N1135" s="42"/>
      <c r="O1135" s="42"/>
      <c r="P1135" s="42"/>
      <c r="Q1135" s="42"/>
      <c r="R1135" s="176"/>
      <c r="S1135" s="42"/>
      <c r="T1135" s="42"/>
      <c r="U1135" s="46"/>
      <c r="V1135" s="42"/>
      <c r="W1135" s="42"/>
      <c r="X1135" s="42"/>
      <c r="Y1135" s="42"/>
      <c r="Z1135" s="42"/>
      <c r="AA1135" s="42"/>
      <c r="AB1135" s="42"/>
      <c r="AC1135" s="42"/>
      <c r="AD1135" s="42"/>
      <c r="AE1135" s="42"/>
      <c r="AF1135" s="42"/>
    </row>
    <row r="1136">
      <c r="A1136" s="25"/>
      <c r="B1136" s="297"/>
      <c r="C1136" s="25"/>
      <c r="D1136" s="25"/>
      <c r="E1136" s="25"/>
      <c r="F1136" s="25"/>
      <c r="G1136" s="123"/>
      <c r="H1136" s="123"/>
      <c r="I1136" s="25"/>
      <c r="J1136" s="25"/>
      <c r="K1136" s="367"/>
      <c r="L1136" s="42"/>
      <c r="M1136" s="42"/>
      <c r="N1136" s="42"/>
      <c r="O1136" s="42"/>
      <c r="P1136" s="42"/>
      <c r="Q1136" s="42"/>
      <c r="R1136" s="176"/>
      <c r="S1136" s="42"/>
      <c r="T1136" s="42"/>
      <c r="U1136" s="46"/>
      <c r="V1136" s="42"/>
      <c r="W1136" s="42"/>
      <c r="X1136" s="42"/>
      <c r="Y1136" s="42"/>
      <c r="Z1136" s="42"/>
      <c r="AA1136" s="42"/>
      <c r="AB1136" s="42"/>
      <c r="AC1136" s="42"/>
      <c r="AD1136" s="42"/>
      <c r="AE1136" s="42"/>
      <c r="AF1136" s="42"/>
    </row>
    <row r="1137">
      <c r="A1137" s="25"/>
      <c r="B1137" s="297"/>
      <c r="C1137" s="25"/>
      <c r="D1137" s="25"/>
      <c r="E1137" s="25"/>
      <c r="F1137" s="25"/>
      <c r="G1137" s="123"/>
      <c r="H1137" s="123"/>
      <c r="I1137" s="25"/>
      <c r="J1137" s="25"/>
      <c r="K1137" s="367"/>
      <c r="L1137" s="42"/>
      <c r="M1137" s="42"/>
      <c r="N1137" s="42"/>
      <c r="O1137" s="42"/>
      <c r="P1137" s="42"/>
      <c r="Q1137" s="42"/>
      <c r="R1137" s="176"/>
      <c r="S1137" s="42"/>
      <c r="T1137" s="42"/>
      <c r="U1137" s="46"/>
      <c r="V1137" s="42"/>
      <c r="W1137" s="42"/>
      <c r="X1137" s="42"/>
      <c r="Y1137" s="42"/>
      <c r="Z1137" s="42"/>
      <c r="AA1137" s="42"/>
      <c r="AB1137" s="42"/>
      <c r="AC1137" s="42"/>
      <c r="AD1137" s="42"/>
      <c r="AE1137" s="42"/>
      <c r="AF1137" s="42"/>
    </row>
    <row r="1138">
      <c r="A1138" s="25"/>
      <c r="B1138" s="297"/>
      <c r="C1138" s="25"/>
      <c r="D1138" s="25"/>
      <c r="E1138" s="25"/>
      <c r="F1138" s="25"/>
      <c r="G1138" s="123"/>
      <c r="H1138" s="123"/>
      <c r="I1138" s="25"/>
      <c r="J1138" s="25"/>
      <c r="K1138" s="367"/>
      <c r="L1138" s="42"/>
      <c r="M1138" s="42"/>
      <c r="N1138" s="42"/>
      <c r="O1138" s="42"/>
      <c r="P1138" s="42"/>
      <c r="Q1138" s="42"/>
      <c r="R1138" s="176"/>
      <c r="S1138" s="42"/>
      <c r="T1138" s="42"/>
      <c r="U1138" s="46"/>
      <c r="V1138" s="42"/>
      <c r="W1138" s="42"/>
      <c r="X1138" s="42"/>
      <c r="Y1138" s="42"/>
      <c r="Z1138" s="42"/>
      <c r="AA1138" s="42"/>
      <c r="AB1138" s="42"/>
      <c r="AC1138" s="42"/>
      <c r="AD1138" s="42"/>
      <c r="AE1138" s="42"/>
      <c r="AF1138" s="42"/>
    </row>
    <row r="1139">
      <c r="A1139" s="25"/>
      <c r="B1139" s="297"/>
      <c r="C1139" s="25"/>
      <c r="D1139" s="25"/>
      <c r="E1139" s="25"/>
      <c r="F1139" s="25"/>
      <c r="G1139" s="123"/>
      <c r="H1139" s="123"/>
      <c r="I1139" s="25"/>
      <c r="J1139" s="25"/>
      <c r="K1139" s="367"/>
      <c r="L1139" s="42"/>
      <c r="M1139" s="42"/>
      <c r="N1139" s="42"/>
      <c r="O1139" s="42"/>
      <c r="P1139" s="42"/>
      <c r="Q1139" s="42"/>
      <c r="R1139" s="176"/>
      <c r="S1139" s="42"/>
      <c r="T1139" s="42"/>
      <c r="U1139" s="46"/>
      <c r="V1139" s="42"/>
      <c r="W1139" s="42"/>
      <c r="X1139" s="42"/>
      <c r="Y1139" s="42"/>
      <c r="Z1139" s="42"/>
      <c r="AA1139" s="42"/>
      <c r="AB1139" s="42"/>
      <c r="AC1139" s="42"/>
      <c r="AD1139" s="42"/>
      <c r="AE1139" s="42"/>
      <c r="AF1139" s="42"/>
    </row>
    <row r="1140">
      <c r="A1140" s="25"/>
      <c r="B1140" s="297"/>
      <c r="C1140" s="25"/>
      <c r="D1140" s="25"/>
      <c r="E1140" s="25"/>
      <c r="F1140" s="25"/>
      <c r="G1140" s="123"/>
      <c r="H1140" s="123"/>
      <c r="I1140" s="25"/>
      <c r="J1140" s="25"/>
      <c r="K1140" s="367"/>
      <c r="L1140" s="42"/>
      <c r="M1140" s="42"/>
      <c r="N1140" s="42"/>
      <c r="O1140" s="42"/>
      <c r="P1140" s="42"/>
      <c r="Q1140" s="42"/>
      <c r="R1140" s="176"/>
      <c r="S1140" s="42"/>
      <c r="T1140" s="42"/>
      <c r="U1140" s="46"/>
      <c r="V1140" s="42"/>
      <c r="W1140" s="42"/>
      <c r="X1140" s="42"/>
      <c r="Y1140" s="42"/>
      <c r="Z1140" s="42"/>
      <c r="AA1140" s="42"/>
      <c r="AB1140" s="42"/>
      <c r="AC1140" s="42"/>
      <c r="AD1140" s="42"/>
      <c r="AE1140" s="42"/>
      <c r="AF1140" s="42"/>
    </row>
    <row r="1141">
      <c r="A1141" s="25"/>
      <c r="B1141" s="297"/>
      <c r="C1141" s="25"/>
      <c r="D1141" s="25"/>
      <c r="E1141" s="25"/>
      <c r="F1141" s="25"/>
      <c r="G1141" s="123"/>
      <c r="H1141" s="123"/>
      <c r="I1141" s="25"/>
      <c r="J1141" s="25"/>
      <c r="K1141" s="367"/>
      <c r="L1141" s="42"/>
      <c r="M1141" s="42"/>
      <c r="N1141" s="42"/>
      <c r="O1141" s="42"/>
      <c r="P1141" s="42"/>
      <c r="Q1141" s="42"/>
      <c r="R1141" s="176"/>
      <c r="S1141" s="42"/>
      <c r="T1141" s="42"/>
      <c r="U1141" s="46"/>
      <c r="V1141" s="42"/>
      <c r="W1141" s="42"/>
      <c r="X1141" s="42"/>
      <c r="Y1141" s="42"/>
      <c r="Z1141" s="42"/>
      <c r="AA1141" s="42"/>
      <c r="AB1141" s="42"/>
      <c r="AC1141" s="42"/>
      <c r="AD1141" s="42"/>
      <c r="AE1141" s="42"/>
      <c r="AF1141" s="42"/>
    </row>
    <row r="1142">
      <c r="A1142" s="25"/>
      <c r="B1142" s="297"/>
      <c r="C1142" s="25"/>
      <c r="D1142" s="25"/>
      <c r="E1142" s="25"/>
      <c r="F1142" s="25"/>
      <c r="G1142" s="123"/>
      <c r="H1142" s="123"/>
      <c r="I1142" s="25"/>
      <c r="J1142" s="25"/>
      <c r="K1142" s="367"/>
      <c r="L1142" s="42"/>
      <c r="M1142" s="42"/>
      <c r="N1142" s="42"/>
      <c r="O1142" s="42"/>
      <c r="P1142" s="42"/>
      <c r="Q1142" s="42"/>
      <c r="R1142" s="176"/>
      <c r="S1142" s="42"/>
      <c r="T1142" s="42"/>
      <c r="U1142" s="46"/>
      <c r="V1142" s="42"/>
      <c r="W1142" s="42"/>
      <c r="X1142" s="42"/>
      <c r="Y1142" s="42"/>
      <c r="Z1142" s="42"/>
      <c r="AA1142" s="42"/>
      <c r="AB1142" s="42"/>
      <c r="AC1142" s="42"/>
      <c r="AD1142" s="42"/>
      <c r="AE1142" s="42"/>
      <c r="AF1142" s="42"/>
    </row>
    <row r="1143">
      <c r="A1143" s="25"/>
      <c r="B1143" s="297"/>
      <c r="C1143" s="25"/>
      <c r="D1143" s="25"/>
      <c r="E1143" s="25"/>
      <c r="F1143" s="25"/>
      <c r="G1143" s="123"/>
      <c r="H1143" s="123"/>
      <c r="I1143" s="25"/>
      <c r="J1143" s="25"/>
      <c r="K1143" s="367"/>
      <c r="L1143" s="42"/>
      <c r="M1143" s="42"/>
      <c r="N1143" s="42"/>
      <c r="O1143" s="42"/>
      <c r="P1143" s="42"/>
      <c r="Q1143" s="42"/>
      <c r="R1143" s="176"/>
      <c r="S1143" s="42"/>
      <c r="T1143" s="42"/>
      <c r="U1143" s="46"/>
      <c r="V1143" s="42"/>
      <c r="W1143" s="42"/>
      <c r="X1143" s="42"/>
      <c r="Y1143" s="42"/>
      <c r="Z1143" s="42"/>
      <c r="AA1143" s="42"/>
      <c r="AB1143" s="42"/>
      <c r="AC1143" s="42"/>
      <c r="AD1143" s="42"/>
      <c r="AE1143" s="42"/>
      <c r="AF1143" s="42"/>
    </row>
    <row r="1144">
      <c r="A1144" s="25"/>
      <c r="B1144" s="297"/>
      <c r="C1144" s="25"/>
      <c r="D1144" s="25"/>
      <c r="E1144" s="25"/>
      <c r="F1144" s="25"/>
      <c r="G1144" s="123"/>
      <c r="H1144" s="123"/>
      <c r="I1144" s="25"/>
      <c r="J1144" s="25"/>
      <c r="K1144" s="367"/>
      <c r="L1144" s="42"/>
      <c r="M1144" s="42"/>
      <c r="N1144" s="42"/>
      <c r="O1144" s="42"/>
      <c r="P1144" s="42"/>
      <c r="Q1144" s="42"/>
      <c r="R1144" s="176"/>
      <c r="S1144" s="42"/>
      <c r="T1144" s="42"/>
      <c r="U1144" s="46"/>
      <c r="V1144" s="42"/>
      <c r="W1144" s="42"/>
      <c r="X1144" s="42"/>
      <c r="Y1144" s="42"/>
      <c r="Z1144" s="42"/>
      <c r="AA1144" s="42"/>
      <c r="AB1144" s="42"/>
      <c r="AC1144" s="42"/>
      <c r="AD1144" s="42"/>
      <c r="AE1144" s="42"/>
      <c r="AF1144" s="42"/>
    </row>
    <row r="1145">
      <c r="A1145" s="25"/>
      <c r="B1145" s="297"/>
      <c r="C1145" s="25"/>
      <c r="D1145" s="25"/>
      <c r="E1145" s="25"/>
      <c r="F1145" s="25"/>
      <c r="G1145" s="123"/>
      <c r="H1145" s="123"/>
      <c r="I1145" s="25"/>
      <c r="J1145" s="25"/>
      <c r="K1145" s="367"/>
      <c r="L1145" s="42"/>
      <c r="M1145" s="42"/>
      <c r="N1145" s="42"/>
      <c r="O1145" s="42"/>
      <c r="P1145" s="42"/>
      <c r="Q1145" s="42"/>
      <c r="R1145" s="176"/>
      <c r="S1145" s="42"/>
      <c r="T1145" s="42"/>
      <c r="U1145" s="46"/>
      <c r="V1145" s="42"/>
      <c r="W1145" s="42"/>
      <c r="X1145" s="42"/>
      <c r="Y1145" s="42"/>
      <c r="Z1145" s="42"/>
      <c r="AA1145" s="42"/>
      <c r="AB1145" s="42"/>
      <c r="AC1145" s="42"/>
      <c r="AD1145" s="42"/>
      <c r="AE1145" s="42"/>
      <c r="AF1145" s="42"/>
    </row>
    <row r="1146">
      <c r="A1146" s="25"/>
      <c r="B1146" s="297"/>
      <c r="C1146" s="25"/>
      <c r="D1146" s="25"/>
      <c r="E1146" s="25"/>
      <c r="F1146" s="25"/>
      <c r="G1146" s="123"/>
      <c r="H1146" s="123"/>
      <c r="I1146" s="25"/>
      <c r="J1146" s="25"/>
      <c r="K1146" s="367"/>
      <c r="L1146" s="42"/>
      <c r="M1146" s="42"/>
      <c r="N1146" s="42"/>
      <c r="O1146" s="42"/>
      <c r="P1146" s="42"/>
      <c r="Q1146" s="42"/>
      <c r="R1146" s="176"/>
      <c r="S1146" s="42"/>
      <c r="T1146" s="42"/>
      <c r="U1146" s="46"/>
      <c r="V1146" s="42"/>
      <c r="W1146" s="42"/>
      <c r="X1146" s="42"/>
      <c r="Y1146" s="42"/>
      <c r="Z1146" s="42"/>
      <c r="AA1146" s="42"/>
      <c r="AB1146" s="42"/>
      <c r="AC1146" s="42"/>
      <c r="AD1146" s="42"/>
      <c r="AE1146" s="42"/>
      <c r="AF1146" s="42"/>
    </row>
    <row r="1147">
      <c r="A1147" s="25"/>
      <c r="B1147" s="297"/>
      <c r="C1147" s="25"/>
      <c r="D1147" s="25"/>
      <c r="E1147" s="25"/>
      <c r="F1147" s="25"/>
      <c r="G1147" s="123"/>
      <c r="H1147" s="123"/>
      <c r="I1147" s="25"/>
      <c r="J1147" s="25"/>
      <c r="K1147" s="367"/>
      <c r="L1147" s="42"/>
      <c r="M1147" s="42"/>
      <c r="N1147" s="42"/>
      <c r="O1147" s="42"/>
      <c r="P1147" s="42"/>
      <c r="Q1147" s="42"/>
      <c r="R1147" s="176"/>
      <c r="S1147" s="42"/>
      <c r="T1147" s="42"/>
      <c r="U1147" s="46"/>
      <c r="V1147" s="42"/>
      <c r="W1147" s="42"/>
      <c r="X1147" s="42"/>
      <c r="Y1147" s="42"/>
      <c r="Z1147" s="42"/>
      <c r="AA1147" s="42"/>
      <c r="AB1147" s="42"/>
      <c r="AC1147" s="42"/>
      <c r="AD1147" s="42"/>
      <c r="AE1147" s="42"/>
      <c r="AF1147" s="42"/>
    </row>
    <row r="1148">
      <c r="A1148" s="25"/>
      <c r="B1148" s="297"/>
      <c r="C1148" s="25"/>
      <c r="D1148" s="25"/>
      <c r="E1148" s="25"/>
      <c r="F1148" s="25"/>
      <c r="G1148" s="123"/>
      <c r="H1148" s="123"/>
      <c r="I1148" s="25"/>
      <c r="J1148" s="25"/>
      <c r="K1148" s="367"/>
      <c r="L1148" s="42"/>
      <c r="M1148" s="42"/>
      <c r="N1148" s="42"/>
      <c r="O1148" s="42"/>
      <c r="P1148" s="42"/>
      <c r="Q1148" s="42"/>
      <c r="R1148" s="176"/>
      <c r="S1148" s="42"/>
      <c r="T1148" s="42"/>
      <c r="U1148" s="46"/>
      <c r="V1148" s="42"/>
      <c r="W1148" s="42"/>
      <c r="X1148" s="42"/>
      <c r="Y1148" s="42"/>
      <c r="Z1148" s="42"/>
      <c r="AA1148" s="42"/>
      <c r="AB1148" s="42"/>
      <c r="AC1148" s="42"/>
      <c r="AD1148" s="42"/>
      <c r="AE1148" s="42"/>
      <c r="AF1148" s="42"/>
    </row>
    <row r="1149">
      <c r="A1149" s="25"/>
      <c r="B1149" s="297"/>
      <c r="C1149" s="25"/>
      <c r="D1149" s="25"/>
      <c r="E1149" s="25"/>
      <c r="F1149" s="25"/>
      <c r="G1149" s="123"/>
      <c r="H1149" s="123"/>
      <c r="I1149" s="25"/>
      <c r="J1149" s="25"/>
      <c r="K1149" s="367"/>
      <c r="L1149" s="42"/>
      <c r="M1149" s="42"/>
      <c r="N1149" s="42"/>
      <c r="O1149" s="42"/>
      <c r="P1149" s="42"/>
      <c r="Q1149" s="42"/>
      <c r="R1149" s="176"/>
      <c r="S1149" s="42"/>
      <c r="T1149" s="42"/>
      <c r="U1149" s="46"/>
      <c r="V1149" s="42"/>
      <c r="W1149" s="42"/>
      <c r="X1149" s="42"/>
      <c r="Y1149" s="42"/>
      <c r="Z1149" s="42"/>
      <c r="AA1149" s="42"/>
      <c r="AB1149" s="42"/>
      <c r="AC1149" s="42"/>
      <c r="AD1149" s="42"/>
      <c r="AE1149" s="42"/>
      <c r="AF1149" s="42"/>
    </row>
    <row r="1150">
      <c r="A1150" s="25"/>
      <c r="B1150" s="297"/>
      <c r="C1150" s="25"/>
      <c r="D1150" s="25"/>
      <c r="E1150" s="25"/>
      <c r="F1150" s="25"/>
      <c r="G1150" s="123"/>
      <c r="H1150" s="123"/>
      <c r="I1150" s="25"/>
      <c r="J1150" s="25"/>
      <c r="K1150" s="367"/>
      <c r="L1150" s="42"/>
      <c r="M1150" s="42"/>
      <c r="N1150" s="42"/>
      <c r="O1150" s="42"/>
      <c r="P1150" s="42"/>
      <c r="Q1150" s="42"/>
      <c r="R1150" s="176"/>
      <c r="S1150" s="42"/>
      <c r="T1150" s="42"/>
      <c r="U1150" s="46"/>
      <c r="V1150" s="42"/>
      <c r="W1150" s="42"/>
      <c r="X1150" s="42"/>
      <c r="Y1150" s="42"/>
      <c r="Z1150" s="42"/>
      <c r="AA1150" s="42"/>
      <c r="AB1150" s="42"/>
      <c r="AC1150" s="42"/>
      <c r="AD1150" s="42"/>
      <c r="AE1150" s="42"/>
      <c r="AF1150" s="42"/>
    </row>
    <row r="1151">
      <c r="A1151" s="25"/>
      <c r="B1151" s="297"/>
      <c r="C1151" s="25"/>
      <c r="D1151" s="25"/>
      <c r="E1151" s="25"/>
      <c r="F1151" s="25"/>
      <c r="G1151" s="123"/>
      <c r="H1151" s="123"/>
      <c r="I1151" s="25"/>
      <c r="J1151" s="25"/>
      <c r="K1151" s="367"/>
      <c r="L1151" s="42"/>
      <c r="M1151" s="42"/>
      <c r="N1151" s="42"/>
      <c r="O1151" s="42"/>
      <c r="P1151" s="42"/>
      <c r="Q1151" s="42"/>
      <c r="R1151" s="176"/>
      <c r="S1151" s="42"/>
      <c r="T1151" s="42"/>
      <c r="U1151" s="46"/>
      <c r="V1151" s="42"/>
      <c r="W1151" s="42"/>
      <c r="X1151" s="42"/>
      <c r="Y1151" s="42"/>
      <c r="Z1151" s="42"/>
      <c r="AA1151" s="42"/>
      <c r="AB1151" s="42"/>
      <c r="AC1151" s="42"/>
      <c r="AD1151" s="42"/>
      <c r="AE1151" s="42"/>
      <c r="AF1151" s="42"/>
    </row>
    <row r="1152">
      <c r="A1152" s="25"/>
      <c r="B1152" s="297"/>
      <c r="C1152" s="25"/>
      <c r="D1152" s="25"/>
      <c r="E1152" s="25"/>
      <c r="F1152" s="25"/>
      <c r="G1152" s="123"/>
      <c r="H1152" s="123"/>
      <c r="I1152" s="25"/>
      <c r="J1152" s="25"/>
      <c r="K1152" s="367"/>
      <c r="L1152" s="42"/>
      <c r="M1152" s="42"/>
      <c r="N1152" s="42"/>
      <c r="O1152" s="42"/>
      <c r="P1152" s="42"/>
      <c r="Q1152" s="42"/>
      <c r="R1152" s="176"/>
      <c r="S1152" s="42"/>
      <c r="T1152" s="42"/>
      <c r="U1152" s="46"/>
      <c r="V1152" s="42"/>
      <c r="W1152" s="42"/>
      <c r="X1152" s="42"/>
      <c r="Y1152" s="42"/>
      <c r="Z1152" s="42"/>
      <c r="AA1152" s="42"/>
      <c r="AB1152" s="42"/>
      <c r="AC1152" s="42"/>
      <c r="AD1152" s="42"/>
      <c r="AE1152" s="42"/>
      <c r="AF1152" s="42"/>
    </row>
    <row r="1153">
      <c r="A1153" s="25"/>
      <c r="B1153" s="297"/>
      <c r="C1153" s="25"/>
      <c r="D1153" s="25"/>
      <c r="E1153" s="25"/>
      <c r="F1153" s="25"/>
      <c r="G1153" s="123"/>
      <c r="H1153" s="123"/>
      <c r="I1153" s="25"/>
      <c r="J1153" s="25"/>
      <c r="K1153" s="367"/>
      <c r="L1153" s="42"/>
      <c r="M1153" s="42"/>
      <c r="N1153" s="42"/>
      <c r="O1153" s="42"/>
      <c r="P1153" s="42"/>
      <c r="Q1153" s="42"/>
      <c r="R1153" s="176"/>
      <c r="S1153" s="42"/>
      <c r="T1153" s="42"/>
      <c r="U1153" s="46"/>
      <c r="V1153" s="42"/>
      <c r="W1153" s="42"/>
      <c r="X1153" s="42"/>
      <c r="Y1153" s="42"/>
      <c r="Z1153" s="42"/>
      <c r="AA1153" s="42"/>
      <c r="AB1153" s="42"/>
      <c r="AC1153" s="42"/>
      <c r="AD1153" s="42"/>
      <c r="AE1153" s="42"/>
      <c r="AF1153" s="42"/>
    </row>
    <row r="1154">
      <c r="A1154" s="25"/>
      <c r="B1154" s="297"/>
      <c r="C1154" s="25"/>
      <c r="D1154" s="25"/>
      <c r="E1154" s="25"/>
      <c r="F1154" s="25"/>
      <c r="G1154" s="123"/>
      <c r="H1154" s="123"/>
      <c r="I1154" s="25"/>
      <c r="J1154" s="25"/>
      <c r="K1154" s="367"/>
      <c r="L1154" s="42"/>
      <c r="M1154" s="42"/>
      <c r="N1154" s="42"/>
      <c r="O1154" s="42"/>
      <c r="P1154" s="42"/>
      <c r="Q1154" s="42"/>
      <c r="R1154" s="176"/>
      <c r="S1154" s="42"/>
      <c r="T1154" s="42"/>
      <c r="U1154" s="46"/>
      <c r="V1154" s="42"/>
      <c r="W1154" s="42"/>
      <c r="X1154" s="42"/>
      <c r="Y1154" s="42"/>
      <c r="Z1154" s="42"/>
      <c r="AA1154" s="42"/>
      <c r="AB1154" s="42"/>
      <c r="AC1154" s="42"/>
      <c r="AD1154" s="42"/>
      <c r="AE1154" s="42"/>
      <c r="AF1154" s="42"/>
    </row>
    <row r="1155">
      <c r="A1155" s="25"/>
      <c r="B1155" s="297"/>
      <c r="C1155" s="25"/>
      <c r="D1155" s="25"/>
      <c r="E1155" s="25"/>
      <c r="F1155" s="25"/>
      <c r="G1155" s="123"/>
      <c r="H1155" s="123"/>
      <c r="I1155" s="25"/>
      <c r="J1155" s="25"/>
      <c r="K1155" s="367"/>
      <c r="L1155" s="42"/>
      <c r="M1155" s="42"/>
      <c r="N1155" s="42"/>
      <c r="O1155" s="42"/>
      <c r="P1155" s="42"/>
      <c r="Q1155" s="42"/>
      <c r="R1155" s="176"/>
      <c r="S1155" s="42"/>
      <c r="T1155" s="42"/>
      <c r="U1155" s="46"/>
      <c r="V1155" s="42"/>
      <c r="W1155" s="42"/>
      <c r="X1155" s="42"/>
      <c r="Y1155" s="42"/>
      <c r="Z1155" s="42"/>
      <c r="AA1155" s="42"/>
      <c r="AB1155" s="42"/>
      <c r="AC1155" s="42"/>
      <c r="AD1155" s="42"/>
      <c r="AE1155" s="42"/>
      <c r="AF1155" s="42"/>
    </row>
    <row r="1156">
      <c r="A1156" s="25"/>
      <c r="B1156" s="297"/>
      <c r="C1156" s="25"/>
      <c r="D1156" s="25"/>
      <c r="E1156" s="25"/>
      <c r="F1156" s="25"/>
      <c r="G1156" s="123"/>
      <c r="H1156" s="123"/>
      <c r="I1156" s="25"/>
      <c r="J1156" s="25"/>
      <c r="K1156" s="367"/>
      <c r="L1156" s="42"/>
      <c r="M1156" s="42"/>
      <c r="N1156" s="42"/>
      <c r="O1156" s="42"/>
      <c r="P1156" s="42"/>
      <c r="Q1156" s="42"/>
      <c r="R1156" s="176"/>
      <c r="S1156" s="42"/>
      <c r="T1156" s="42"/>
      <c r="U1156" s="46"/>
      <c r="V1156" s="42"/>
      <c r="W1156" s="42"/>
      <c r="X1156" s="42"/>
      <c r="Y1156" s="42"/>
      <c r="Z1156" s="42"/>
      <c r="AA1156" s="42"/>
      <c r="AB1156" s="42"/>
      <c r="AC1156" s="42"/>
      <c r="AD1156" s="42"/>
      <c r="AE1156" s="42"/>
      <c r="AF1156" s="42"/>
    </row>
    <row r="1157">
      <c r="A1157" s="25"/>
      <c r="B1157" s="297"/>
      <c r="C1157" s="25"/>
      <c r="D1157" s="25"/>
      <c r="E1157" s="25"/>
      <c r="F1157" s="25"/>
      <c r="G1157" s="123"/>
      <c r="H1157" s="123"/>
      <c r="I1157" s="25"/>
      <c r="J1157" s="25"/>
      <c r="K1157" s="367"/>
      <c r="L1157" s="42"/>
      <c r="M1157" s="42"/>
      <c r="N1157" s="42"/>
      <c r="O1157" s="42"/>
      <c r="P1157" s="42"/>
      <c r="Q1157" s="42"/>
      <c r="R1157" s="176"/>
      <c r="S1157" s="42"/>
      <c r="T1157" s="42"/>
      <c r="U1157" s="46"/>
      <c r="V1157" s="42"/>
      <c r="W1157" s="42"/>
      <c r="X1157" s="42"/>
      <c r="Y1157" s="42"/>
      <c r="Z1157" s="42"/>
      <c r="AA1157" s="42"/>
      <c r="AB1157" s="42"/>
      <c r="AC1157" s="42"/>
      <c r="AD1157" s="42"/>
      <c r="AE1157" s="42"/>
      <c r="AF1157" s="42"/>
    </row>
    <row r="1158">
      <c r="A1158" s="25"/>
      <c r="B1158" s="297"/>
      <c r="C1158" s="25"/>
      <c r="D1158" s="25"/>
      <c r="E1158" s="25"/>
      <c r="F1158" s="25"/>
      <c r="G1158" s="123"/>
      <c r="H1158" s="123"/>
      <c r="I1158" s="25"/>
      <c r="J1158" s="25"/>
      <c r="K1158" s="367"/>
      <c r="L1158" s="42"/>
      <c r="M1158" s="42"/>
      <c r="N1158" s="42"/>
      <c r="O1158" s="42"/>
      <c r="P1158" s="42"/>
      <c r="Q1158" s="42"/>
      <c r="R1158" s="176"/>
      <c r="S1158" s="42"/>
      <c r="T1158" s="42"/>
      <c r="U1158" s="46"/>
      <c r="V1158" s="42"/>
      <c r="W1158" s="42"/>
      <c r="X1158" s="42"/>
      <c r="Y1158" s="42"/>
      <c r="Z1158" s="42"/>
      <c r="AA1158" s="42"/>
      <c r="AB1158" s="42"/>
      <c r="AC1158" s="42"/>
      <c r="AD1158" s="42"/>
      <c r="AE1158" s="42"/>
      <c r="AF1158" s="42"/>
    </row>
    <row r="1159">
      <c r="A1159" s="25"/>
      <c r="B1159" s="297"/>
      <c r="C1159" s="25"/>
      <c r="D1159" s="25"/>
      <c r="E1159" s="25"/>
      <c r="F1159" s="25"/>
      <c r="G1159" s="123"/>
      <c r="H1159" s="123"/>
      <c r="I1159" s="25"/>
      <c r="J1159" s="25"/>
      <c r="K1159" s="367"/>
      <c r="L1159" s="42"/>
      <c r="M1159" s="42"/>
      <c r="N1159" s="42"/>
      <c r="O1159" s="42"/>
      <c r="P1159" s="42"/>
      <c r="Q1159" s="42"/>
      <c r="R1159" s="176"/>
      <c r="S1159" s="42"/>
      <c r="T1159" s="42"/>
      <c r="U1159" s="46"/>
      <c r="V1159" s="42"/>
      <c r="W1159" s="42"/>
      <c r="X1159" s="42"/>
      <c r="Y1159" s="42"/>
      <c r="Z1159" s="42"/>
      <c r="AA1159" s="42"/>
      <c r="AB1159" s="42"/>
      <c r="AC1159" s="42"/>
      <c r="AD1159" s="42"/>
      <c r="AE1159" s="42"/>
      <c r="AF1159" s="42"/>
    </row>
    <row r="1160">
      <c r="A1160" s="25"/>
      <c r="B1160" s="297"/>
      <c r="C1160" s="25"/>
      <c r="D1160" s="25"/>
      <c r="E1160" s="25"/>
      <c r="F1160" s="25"/>
      <c r="G1160" s="123"/>
      <c r="H1160" s="123"/>
      <c r="I1160" s="25"/>
      <c r="J1160" s="25"/>
      <c r="K1160" s="367"/>
      <c r="L1160" s="42"/>
      <c r="M1160" s="42"/>
      <c r="N1160" s="42"/>
      <c r="O1160" s="42"/>
      <c r="P1160" s="42"/>
      <c r="Q1160" s="42"/>
      <c r="R1160" s="176"/>
      <c r="S1160" s="42"/>
      <c r="T1160" s="42"/>
      <c r="U1160" s="46"/>
      <c r="V1160" s="42"/>
      <c r="W1160" s="42"/>
      <c r="X1160" s="42"/>
      <c r="Y1160" s="42"/>
      <c r="Z1160" s="42"/>
      <c r="AA1160" s="42"/>
      <c r="AB1160" s="42"/>
      <c r="AC1160" s="42"/>
      <c r="AD1160" s="42"/>
      <c r="AE1160" s="42"/>
      <c r="AF1160" s="42"/>
    </row>
    <row r="1161">
      <c r="A1161" s="25"/>
      <c r="B1161" s="297"/>
      <c r="C1161" s="25"/>
      <c r="D1161" s="25"/>
      <c r="E1161" s="25"/>
      <c r="F1161" s="25"/>
      <c r="G1161" s="123"/>
      <c r="H1161" s="123"/>
      <c r="I1161" s="25"/>
      <c r="J1161" s="25"/>
      <c r="K1161" s="367"/>
      <c r="L1161" s="42"/>
      <c r="M1161" s="42"/>
      <c r="N1161" s="42"/>
      <c r="O1161" s="42"/>
      <c r="P1161" s="42"/>
      <c r="Q1161" s="42"/>
      <c r="R1161" s="176"/>
      <c r="S1161" s="42"/>
      <c r="T1161" s="42"/>
      <c r="U1161" s="46"/>
      <c r="V1161" s="42"/>
      <c r="W1161" s="42"/>
      <c r="X1161" s="42"/>
      <c r="Y1161" s="42"/>
      <c r="Z1161" s="42"/>
      <c r="AA1161" s="42"/>
      <c r="AB1161" s="42"/>
      <c r="AC1161" s="42"/>
      <c r="AD1161" s="42"/>
      <c r="AE1161" s="42"/>
      <c r="AF1161" s="42"/>
    </row>
    <row r="1162">
      <c r="A1162" s="25"/>
      <c r="B1162" s="297"/>
      <c r="C1162" s="25"/>
      <c r="D1162" s="25"/>
      <c r="E1162" s="25"/>
      <c r="F1162" s="25"/>
      <c r="G1162" s="123"/>
      <c r="H1162" s="123"/>
      <c r="I1162" s="25"/>
      <c r="J1162" s="25"/>
      <c r="K1162" s="367"/>
      <c r="L1162" s="42"/>
      <c r="M1162" s="42"/>
      <c r="N1162" s="42"/>
      <c r="O1162" s="42"/>
      <c r="P1162" s="42"/>
      <c r="Q1162" s="42"/>
      <c r="R1162" s="176"/>
      <c r="S1162" s="42"/>
      <c r="T1162" s="42"/>
      <c r="U1162" s="46"/>
      <c r="V1162" s="42"/>
      <c r="W1162" s="42"/>
      <c r="X1162" s="42"/>
      <c r="Y1162" s="42"/>
      <c r="Z1162" s="42"/>
      <c r="AA1162" s="42"/>
      <c r="AB1162" s="42"/>
      <c r="AC1162" s="42"/>
      <c r="AD1162" s="42"/>
      <c r="AE1162" s="42"/>
      <c r="AF1162" s="42"/>
    </row>
    <row r="1163">
      <c r="A1163" s="25"/>
      <c r="B1163" s="297"/>
      <c r="C1163" s="25"/>
      <c r="D1163" s="25"/>
      <c r="E1163" s="25"/>
      <c r="F1163" s="25"/>
      <c r="G1163" s="123"/>
      <c r="H1163" s="123"/>
      <c r="I1163" s="25"/>
      <c r="J1163" s="25"/>
      <c r="K1163" s="367"/>
      <c r="L1163" s="42"/>
      <c r="M1163" s="42"/>
      <c r="N1163" s="42"/>
      <c r="O1163" s="42"/>
      <c r="P1163" s="42"/>
      <c r="Q1163" s="42"/>
      <c r="R1163" s="176"/>
      <c r="S1163" s="42"/>
      <c r="T1163" s="42"/>
      <c r="U1163" s="46"/>
      <c r="V1163" s="42"/>
      <c r="W1163" s="42"/>
      <c r="X1163" s="42"/>
      <c r="Y1163" s="42"/>
      <c r="Z1163" s="42"/>
      <c r="AA1163" s="42"/>
      <c r="AB1163" s="42"/>
      <c r="AC1163" s="42"/>
      <c r="AD1163" s="42"/>
      <c r="AE1163" s="42"/>
      <c r="AF1163" s="42"/>
    </row>
    <row r="1164">
      <c r="A1164" s="25"/>
      <c r="B1164" s="297"/>
      <c r="C1164" s="25"/>
      <c r="D1164" s="25"/>
      <c r="E1164" s="25"/>
      <c r="F1164" s="25"/>
      <c r="G1164" s="123"/>
      <c r="H1164" s="123"/>
      <c r="I1164" s="25"/>
      <c r="J1164" s="25"/>
      <c r="K1164" s="367"/>
      <c r="L1164" s="42"/>
      <c r="M1164" s="42"/>
      <c r="N1164" s="42"/>
      <c r="O1164" s="42"/>
      <c r="P1164" s="42"/>
      <c r="Q1164" s="42"/>
      <c r="R1164" s="176"/>
      <c r="S1164" s="42"/>
      <c r="T1164" s="42"/>
      <c r="U1164" s="46"/>
      <c r="V1164" s="42"/>
      <c r="W1164" s="42"/>
      <c r="X1164" s="42"/>
      <c r="Y1164" s="42"/>
      <c r="Z1164" s="42"/>
      <c r="AA1164" s="42"/>
      <c r="AB1164" s="42"/>
      <c r="AC1164" s="42"/>
      <c r="AD1164" s="42"/>
      <c r="AE1164" s="42"/>
      <c r="AF1164" s="42"/>
    </row>
    <row r="1165">
      <c r="A1165" s="25"/>
      <c r="B1165" s="297"/>
      <c r="C1165" s="25"/>
      <c r="D1165" s="25"/>
      <c r="E1165" s="25"/>
      <c r="F1165" s="25"/>
      <c r="G1165" s="123"/>
      <c r="H1165" s="123"/>
      <c r="I1165" s="25"/>
      <c r="J1165" s="25"/>
      <c r="K1165" s="367"/>
      <c r="L1165" s="42"/>
      <c r="M1165" s="42"/>
      <c r="N1165" s="42"/>
      <c r="O1165" s="42"/>
      <c r="P1165" s="42"/>
      <c r="Q1165" s="42"/>
      <c r="R1165" s="176"/>
      <c r="S1165" s="42"/>
      <c r="T1165" s="42"/>
      <c r="U1165" s="46"/>
      <c r="V1165" s="42"/>
      <c r="W1165" s="42"/>
      <c r="X1165" s="42"/>
      <c r="Y1165" s="42"/>
      <c r="Z1165" s="42"/>
      <c r="AA1165" s="42"/>
      <c r="AB1165" s="42"/>
      <c r="AC1165" s="42"/>
      <c r="AD1165" s="42"/>
      <c r="AE1165" s="42"/>
      <c r="AF1165" s="42"/>
    </row>
    <row r="1166">
      <c r="A1166" s="25"/>
      <c r="B1166" s="297"/>
      <c r="C1166" s="25"/>
      <c r="D1166" s="25"/>
      <c r="E1166" s="25"/>
      <c r="F1166" s="25"/>
      <c r="G1166" s="123"/>
      <c r="H1166" s="123"/>
      <c r="I1166" s="25"/>
      <c r="J1166" s="25"/>
      <c r="K1166" s="367"/>
      <c r="L1166" s="42"/>
      <c r="M1166" s="42"/>
      <c r="N1166" s="42"/>
      <c r="O1166" s="42"/>
      <c r="P1166" s="42"/>
      <c r="Q1166" s="42"/>
      <c r="R1166" s="176"/>
      <c r="S1166" s="42"/>
      <c r="T1166" s="42"/>
      <c r="U1166" s="46"/>
      <c r="V1166" s="42"/>
      <c r="W1166" s="42"/>
      <c r="X1166" s="42"/>
      <c r="Y1166" s="42"/>
      <c r="Z1166" s="42"/>
      <c r="AA1166" s="42"/>
      <c r="AB1166" s="42"/>
      <c r="AC1166" s="42"/>
      <c r="AD1166" s="42"/>
      <c r="AE1166" s="42"/>
      <c r="AF1166" s="42"/>
    </row>
    <row r="1167">
      <c r="A1167" s="25"/>
      <c r="B1167" s="297"/>
      <c r="C1167" s="25"/>
      <c r="D1167" s="25"/>
      <c r="E1167" s="25"/>
      <c r="F1167" s="25"/>
      <c r="G1167" s="123"/>
      <c r="H1167" s="123"/>
      <c r="I1167" s="25"/>
      <c r="J1167" s="25"/>
      <c r="K1167" s="367"/>
      <c r="L1167" s="42"/>
      <c r="M1167" s="42"/>
      <c r="N1167" s="42"/>
      <c r="O1167" s="42"/>
      <c r="P1167" s="42"/>
      <c r="Q1167" s="42"/>
      <c r="R1167" s="176"/>
      <c r="S1167" s="42"/>
      <c r="T1167" s="42"/>
      <c r="U1167" s="46"/>
      <c r="V1167" s="42"/>
      <c r="W1167" s="42"/>
      <c r="X1167" s="42"/>
      <c r="Y1167" s="42"/>
      <c r="Z1167" s="42"/>
      <c r="AA1167" s="42"/>
      <c r="AB1167" s="42"/>
      <c r="AC1167" s="42"/>
      <c r="AD1167" s="42"/>
      <c r="AE1167" s="42"/>
      <c r="AF1167" s="42"/>
    </row>
    <row r="1168">
      <c r="A1168" s="25"/>
      <c r="B1168" s="297"/>
      <c r="C1168" s="25"/>
      <c r="D1168" s="25"/>
      <c r="E1168" s="25"/>
      <c r="F1168" s="25"/>
      <c r="G1168" s="123"/>
      <c r="H1168" s="123"/>
      <c r="I1168" s="25"/>
      <c r="J1168" s="25"/>
      <c r="K1168" s="367"/>
      <c r="L1168" s="42"/>
      <c r="M1168" s="42"/>
      <c r="N1168" s="42"/>
      <c r="O1168" s="42"/>
      <c r="P1168" s="42"/>
      <c r="Q1168" s="42"/>
      <c r="R1168" s="176"/>
      <c r="S1168" s="42"/>
      <c r="T1168" s="42"/>
      <c r="U1168" s="46"/>
      <c r="V1168" s="42"/>
      <c r="W1168" s="42"/>
      <c r="X1168" s="42"/>
      <c r="Y1168" s="42"/>
      <c r="Z1168" s="42"/>
      <c r="AA1168" s="42"/>
      <c r="AB1168" s="42"/>
      <c r="AC1168" s="42"/>
      <c r="AD1168" s="42"/>
      <c r="AE1168" s="42"/>
      <c r="AF1168" s="42"/>
    </row>
    <row r="1169">
      <c r="A1169" s="25"/>
      <c r="B1169" s="297"/>
      <c r="C1169" s="25"/>
      <c r="D1169" s="25"/>
      <c r="E1169" s="25"/>
      <c r="F1169" s="25"/>
      <c r="G1169" s="123"/>
      <c r="H1169" s="123"/>
      <c r="I1169" s="25"/>
      <c r="J1169" s="25"/>
      <c r="K1169" s="367"/>
      <c r="L1169" s="42"/>
      <c r="M1169" s="42"/>
      <c r="N1169" s="42"/>
      <c r="O1169" s="42"/>
      <c r="P1169" s="42"/>
      <c r="Q1169" s="42"/>
      <c r="R1169" s="176"/>
      <c r="S1169" s="42"/>
      <c r="T1169" s="42"/>
      <c r="U1169" s="46"/>
      <c r="V1169" s="42"/>
      <c r="W1169" s="42"/>
      <c r="X1169" s="42"/>
      <c r="Y1169" s="42"/>
      <c r="Z1169" s="42"/>
      <c r="AA1169" s="42"/>
      <c r="AB1169" s="42"/>
      <c r="AC1169" s="42"/>
      <c r="AD1169" s="42"/>
      <c r="AE1169" s="42"/>
      <c r="AF1169" s="42"/>
    </row>
    <row r="1170">
      <c r="A1170" s="25"/>
      <c r="B1170" s="297"/>
      <c r="C1170" s="25"/>
      <c r="D1170" s="25"/>
      <c r="E1170" s="25"/>
      <c r="F1170" s="25"/>
      <c r="G1170" s="123"/>
      <c r="H1170" s="123"/>
      <c r="I1170" s="25"/>
      <c r="J1170" s="25"/>
      <c r="K1170" s="367"/>
      <c r="L1170" s="42"/>
      <c r="M1170" s="42"/>
      <c r="N1170" s="42"/>
      <c r="O1170" s="42"/>
      <c r="P1170" s="42"/>
      <c r="Q1170" s="42"/>
      <c r="R1170" s="176"/>
      <c r="S1170" s="42"/>
      <c r="T1170" s="42"/>
      <c r="U1170" s="46"/>
      <c r="V1170" s="42"/>
      <c r="W1170" s="42"/>
      <c r="X1170" s="42"/>
      <c r="Y1170" s="42"/>
      <c r="Z1170" s="42"/>
      <c r="AA1170" s="42"/>
      <c r="AB1170" s="42"/>
      <c r="AC1170" s="42"/>
      <c r="AD1170" s="42"/>
      <c r="AE1170" s="42"/>
      <c r="AF1170" s="42"/>
    </row>
    <row r="1171">
      <c r="A1171" s="25"/>
      <c r="B1171" s="297"/>
      <c r="C1171" s="25"/>
      <c r="D1171" s="25"/>
      <c r="E1171" s="25"/>
      <c r="F1171" s="25"/>
      <c r="G1171" s="123"/>
      <c r="H1171" s="123"/>
      <c r="I1171" s="25"/>
      <c r="J1171" s="25"/>
      <c r="K1171" s="367"/>
      <c r="L1171" s="42"/>
      <c r="M1171" s="42"/>
      <c r="N1171" s="42"/>
      <c r="O1171" s="42"/>
      <c r="P1171" s="42"/>
      <c r="Q1171" s="42"/>
      <c r="R1171" s="176"/>
      <c r="S1171" s="42"/>
      <c r="T1171" s="42"/>
      <c r="U1171" s="46"/>
      <c r="V1171" s="42"/>
      <c r="W1171" s="42"/>
      <c r="X1171" s="42"/>
      <c r="Y1171" s="42"/>
      <c r="Z1171" s="42"/>
      <c r="AA1171" s="42"/>
      <c r="AB1171" s="42"/>
      <c r="AC1171" s="42"/>
      <c r="AD1171" s="42"/>
      <c r="AE1171" s="42"/>
      <c r="AF1171" s="42"/>
    </row>
    <row r="1172">
      <c r="A1172" s="25"/>
      <c r="B1172" s="297"/>
      <c r="C1172" s="25"/>
      <c r="D1172" s="25"/>
      <c r="E1172" s="25"/>
      <c r="F1172" s="25"/>
      <c r="G1172" s="123"/>
      <c r="H1172" s="123"/>
      <c r="I1172" s="25"/>
      <c r="J1172" s="25"/>
      <c r="K1172" s="367"/>
      <c r="L1172" s="42"/>
      <c r="M1172" s="42"/>
      <c r="N1172" s="42"/>
      <c r="O1172" s="42"/>
      <c r="P1172" s="42"/>
      <c r="Q1172" s="42"/>
      <c r="R1172" s="176"/>
      <c r="S1172" s="42"/>
      <c r="T1172" s="42"/>
      <c r="U1172" s="46"/>
      <c r="V1172" s="42"/>
      <c r="W1172" s="42"/>
      <c r="X1172" s="42"/>
      <c r="Y1172" s="42"/>
      <c r="Z1172" s="42"/>
      <c r="AA1172" s="42"/>
      <c r="AB1172" s="42"/>
      <c r="AC1172" s="42"/>
      <c r="AD1172" s="42"/>
      <c r="AE1172" s="42"/>
      <c r="AF1172" s="42"/>
    </row>
    <row r="1173">
      <c r="A1173" s="25"/>
      <c r="B1173" s="297"/>
      <c r="C1173" s="25"/>
      <c r="D1173" s="25"/>
      <c r="E1173" s="25"/>
      <c r="F1173" s="25"/>
      <c r="G1173" s="123"/>
      <c r="H1173" s="123"/>
      <c r="I1173" s="25"/>
      <c r="J1173" s="25"/>
      <c r="K1173" s="367"/>
      <c r="L1173" s="42"/>
      <c r="M1173" s="42"/>
      <c r="N1173" s="42"/>
      <c r="O1173" s="42"/>
      <c r="P1173" s="42"/>
      <c r="Q1173" s="42"/>
      <c r="R1173" s="176"/>
      <c r="S1173" s="42"/>
      <c r="T1173" s="42"/>
      <c r="U1173" s="46"/>
      <c r="V1173" s="42"/>
      <c r="W1173" s="42"/>
      <c r="X1173" s="42"/>
      <c r="Y1173" s="42"/>
      <c r="Z1173" s="42"/>
      <c r="AA1173" s="42"/>
      <c r="AB1173" s="42"/>
      <c r="AC1173" s="42"/>
      <c r="AD1173" s="42"/>
      <c r="AE1173" s="42"/>
      <c r="AF1173" s="42"/>
    </row>
    <row r="1174">
      <c r="A1174" s="25"/>
      <c r="B1174" s="297"/>
      <c r="C1174" s="25"/>
      <c r="D1174" s="25"/>
      <c r="E1174" s="25"/>
      <c r="F1174" s="25"/>
      <c r="G1174" s="123"/>
      <c r="H1174" s="123"/>
      <c r="I1174" s="25"/>
      <c r="J1174" s="25"/>
      <c r="K1174" s="367"/>
      <c r="L1174" s="42"/>
      <c r="M1174" s="42"/>
      <c r="N1174" s="42"/>
      <c r="O1174" s="42"/>
      <c r="P1174" s="42"/>
      <c r="Q1174" s="42"/>
      <c r="R1174" s="176"/>
      <c r="S1174" s="42"/>
      <c r="T1174" s="42"/>
      <c r="U1174" s="46"/>
      <c r="V1174" s="42"/>
      <c r="W1174" s="42"/>
      <c r="X1174" s="42"/>
      <c r="Y1174" s="42"/>
      <c r="Z1174" s="42"/>
      <c r="AA1174" s="42"/>
      <c r="AB1174" s="42"/>
      <c r="AC1174" s="42"/>
      <c r="AD1174" s="42"/>
      <c r="AE1174" s="42"/>
      <c r="AF1174" s="42"/>
    </row>
    <row r="1175">
      <c r="A1175" s="25"/>
      <c r="B1175" s="297"/>
      <c r="C1175" s="25"/>
      <c r="D1175" s="25"/>
      <c r="E1175" s="25"/>
      <c r="F1175" s="25"/>
      <c r="G1175" s="123"/>
      <c r="H1175" s="123"/>
      <c r="I1175" s="25"/>
      <c r="J1175" s="25"/>
      <c r="K1175" s="367"/>
      <c r="L1175" s="42"/>
      <c r="M1175" s="42"/>
      <c r="N1175" s="42"/>
      <c r="O1175" s="42"/>
      <c r="P1175" s="42"/>
      <c r="Q1175" s="42"/>
      <c r="R1175" s="176"/>
      <c r="S1175" s="42"/>
      <c r="T1175" s="42"/>
      <c r="U1175" s="46"/>
      <c r="V1175" s="42"/>
      <c r="W1175" s="42"/>
      <c r="X1175" s="42"/>
      <c r="Y1175" s="42"/>
      <c r="Z1175" s="42"/>
      <c r="AA1175" s="42"/>
      <c r="AB1175" s="42"/>
      <c r="AC1175" s="42"/>
      <c r="AD1175" s="42"/>
      <c r="AE1175" s="42"/>
      <c r="AF1175" s="42"/>
    </row>
    <row r="1176">
      <c r="A1176" s="25"/>
      <c r="B1176" s="297"/>
      <c r="C1176" s="25"/>
      <c r="D1176" s="25"/>
      <c r="E1176" s="25"/>
      <c r="F1176" s="25"/>
      <c r="G1176" s="123"/>
      <c r="H1176" s="123"/>
      <c r="I1176" s="25"/>
      <c r="J1176" s="25"/>
      <c r="K1176" s="367"/>
      <c r="L1176" s="42"/>
      <c r="M1176" s="42"/>
      <c r="N1176" s="42"/>
      <c r="O1176" s="42"/>
      <c r="P1176" s="42"/>
      <c r="Q1176" s="42"/>
      <c r="R1176" s="176"/>
      <c r="S1176" s="42"/>
      <c r="T1176" s="42"/>
      <c r="U1176" s="46"/>
      <c r="V1176" s="42"/>
      <c r="W1176" s="42"/>
      <c r="X1176" s="42"/>
      <c r="Y1176" s="42"/>
      <c r="Z1176" s="42"/>
      <c r="AA1176" s="42"/>
      <c r="AB1176" s="42"/>
      <c r="AC1176" s="42"/>
      <c r="AD1176" s="42"/>
      <c r="AE1176" s="42"/>
      <c r="AF1176" s="42"/>
    </row>
    <row r="1177">
      <c r="A1177" s="25"/>
      <c r="B1177" s="297"/>
      <c r="C1177" s="25"/>
      <c r="D1177" s="25"/>
      <c r="E1177" s="25"/>
      <c r="F1177" s="25"/>
      <c r="G1177" s="123"/>
      <c r="H1177" s="123"/>
      <c r="I1177" s="25"/>
      <c r="J1177" s="25"/>
      <c r="K1177" s="367"/>
      <c r="L1177" s="42"/>
      <c r="M1177" s="42"/>
      <c r="N1177" s="42"/>
      <c r="O1177" s="42"/>
      <c r="P1177" s="42"/>
      <c r="Q1177" s="42"/>
      <c r="R1177" s="176"/>
      <c r="S1177" s="42"/>
      <c r="T1177" s="42"/>
      <c r="U1177" s="46"/>
      <c r="V1177" s="42"/>
      <c r="W1177" s="42"/>
      <c r="X1177" s="42"/>
      <c r="Y1177" s="42"/>
      <c r="Z1177" s="42"/>
      <c r="AA1177" s="42"/>
      <c r="AB1177" s="42"/>
      <c r="AC1177" s="42"/>
      <c r="AD1177" s="42"/>
      <c r="AE1177" s="42"/>
      <c r="AF1177" s="42"/>
    </row>
    <row r="1178">
      <c r="A1178" s="25"/>
      <c r="B1178" s="297"/>
      <c r="C1178" s="25"/>
      <c r="D1178" s="25"/>
      <c r="E1178" s="25"/>
      <c r="F1178" s="25"/>
      <c r="G1178" s="123"/>
      <c r="H1178" s="123"/>
      <c r="I1178" s="25"/>
      <c r="J1178" s="25"/>
      <c r="K1178" s="367"/>
      <c r="L1178" s="42"/>
      <c r="M1178" s="42"/>
      <c r="N1178" s="42"/>
      <c r="O1178" s="42"/>
      <c r="P1178" s="42"/>
      <c r="Q1178" s="42"/>
      <c r="R1178" s="176"/>
      <c r="S1178" s="42"/>
      <c r="T1178" s="42"/>
      <c r="U1178" s="46"/>
      <c r="V1178" s="42"/>
      <c r="W1178" s="42"/>
      <c r="X1178" s="42"/>
      <c r="Y1178" s="42"/>
      <c r="Z1178" s="42"/>
      <c r="AA1178" s="42"/>
      <c r="AB1178" s="42"/>
      <c r="AC1178" s="42"/>
      <c r="AD1178" s="42"/>
      <c r="AE1178" s="42"/>
      <c r="AF1178" s="42"/>
    </row>
    <row r="1179">
      <c r="A1179" s="25"/>
      <c r="B1179" s="297"/>
      <c r="C1179" s="25"/>
      <c r="D1179" s="25"/>
      <c r="E1179" s="25"/>
      <c r="F1179" s="25"/>
      <c r="G1179" s="123"/>
      <c r="H1179" s="123"/>
      <c r="I1179" s="25"/>
      <c r="J1179" s="25"/>
      <c r="K1179" s="367"/>
      <c r="L1179" s="42"/>
      <c r="M1179" s="42"/>
      <c r="N1179" s="42"/>
      <c r="O1179" s="42"/>
      <c r="P1179" s="42"/>
      <c r="Q1179" s="42"/>
      <c r="R1179" s="176"/>
      <c r="S1179" s="42"/>
      <c r="T1179" s="42"/>
      <c r="U1179" s="46"/>
      <c r="V1179" s="42"/>
      <c r="W1179" s="42"/>
      <c r="X1179" s="42"/>
      <c r="Y1179" s="42"/>
      <c r="Z1179" s="42"/>
      <c r="AA1179" s="42"/>
      <c r="AB1179" s="42"/>
      <c r="AC1179" s="42"/>
      <c r="AD1179" s="42"/>
      <c r="AE1179" s="42"/>
      <c r="AF1179" s="42"/>
    </row>
    <row r="1180">
      <c r="A1180" s="25"/>
      <c r="B1180" s="297"/>
      <c r="C1180" s="25"/>
      <c r="D1180" s="25"/>
      <c r="E1180" s="25"/>
      <c r="F1180" s="25"/>
      <c r="G1180" s="123"/>
      <c r="H1180" s="123"/>
      <c r="I1180" s="25"/>
      <c r="J1180" s="25"/>
      <c r="K1180" s="367"/>
      <c r="L1180" s="42"/>
      <c r="M1180" s="42"/>
      <c r="N1180" s="42"/>
      <c r="O1180" s="42"/>
      <c r="P1180" s="42"/>
      <c r="Q1180" s="42"/>
      <c r="R1180" s="176"/>
      <c r="S1180" s="42"/>
      <c r="T1180" s="42"/>
      <c r="U1180" s="46"/>
      <c r="V1180" s="42"/>
      <c r="W1180" s="42"/>
      <c r="X1180" s="42"/>
      <c r="Y1180" s="42"/>
      <c r="Z1180" s="42"/>
      <c r="AA1180" s="42"/>
      <c r="AB1180" s="42"/>
      <c r="AC1180" s="42"/>
      <c r="AD1180" s="42"/>
      <c r="AE1180" s="42"/>
      <c r="AF1180" s="42"/>
    </row>
    <row r="1181">
      <c r="A1181" s="25"/>
      <c r="B1181" s="297"/>
      <c r="C1181" s="25"/>
      <c r="D1181" s="25"/>
      <c r="E1181" s="25"/>
      <c r="F1181" s="25"/>
      <c r="G1181" s="123"/>
      <c r="H1181" s="123"/>
      <c r="I1181" s="25"/>
      <c r="J1181" s="25"/>
      <c r="K1181" s="367"/>
      <c r="L1181" s="42"/>
      <c r="M1181" s="42"/>
      <c r="N1181" s="42"/>
      <c r="O1181" s="42"/>
      <c r="P1181" s="42"/>
      <c r="Q1181" s="42"/>
      <c r="R1181" s="176"/>
      <c r="S1181" s="42"/>
      <c r="T1181" s="42"/>
      <c r="U1181" s="46"/>
      <c r="V1181" s="42"/>
      <c r="W1181" s="42"/>
      <c r="X1181" s="42"/>
      <c r="Y1181" s="42"/>
      <c r="Z1181" s="42"/>
      <c r="AA1181" s="42"/>
      <c r="AB1181" s="42"/>
      <c r="AC1181" s="42"/>
      <c r="AD1181" s="42"/>
      <c r="AE1181" s="42"/>
      <c r="AF1181" s="42"/>
    </row>
    <row r="1182">
      <c r="A1182" s="25"/>
      <c r="B1182" s="297"/>
      <c r="C1182" s="25"/>
      <c r="D1182" s="25"/>
      <c r="E1182" s="25"/>
      <c r="F1182" s="25"/>
      <c r="G1182" s="123"/>
      <c r="H1182" s="123"/>
      <c r="I1182" s="25"/>
      <c r="J1182" s="25"/>
      <c r="K1182" s="367"/>
      <c r="L1182" s="42"/>
      <c r="M1182" s="42"/>
      <c r="N1182" s="42"/>
      <c r="O1182" s="42"/>
      <c r="P1182" s="42"/>
      <c r="Q1182" s="42"/>
      <c r="R1182" s="176"/>
      <c r="S1182" s="42"/>
      <c r="T1182" s="42"/>
      <c r="U1182" s="46"/>
      <c r="V1182" s="42"/>
      <c r="W1182" s="42"/>
      <c r="X1182" s="42"/>
      <c r="Y1182" s="42"/>
      <c r="Z1182" s="42"/>
      <c r="AA1182" s="42"/>
      <c r="AB1182" s="42"/>
      <c r="AC1182" s="42"/>
      <c r="AD1182" s="42"/>
      <c r="AE1182" s="42"/>
      <c r="AF1182" s="42"/>
    </row>
    <row r="1183">
      <c r="A1183" s="25"/>
      <c r="B1183" s="297"/>
      <c r="C1183" s="25"/>
      <c r="D1183" s="25"/>
      <c r="E1183" s="25"/>
      <c r="F1183" s="25"/>
      <c r="G1183" s="123"/>
      <c r="H1183" s="123"/>
      <c r="I1183" s="25"/>
      <c r="J1183" s="25"/>
      <c r="K1183" s="367"/>
      <c r="L1183" s="42"/>
      <c r="M1183" s="42"/>
      <c r="N1183" s="42"/>
      <c r="O1183" s="42"/>
      <c r="P1183" s="42"/>
      <c r="Q1183" s="42"/>
      <c r="R1183" s="176"/>
      <c r="S1183" s="42"/>
      <c r="T1183" s="42"/>
      <c r="U1183" s="46"/>
      <c r="V1183" s="42"/>
      <c r="W1183" s="42"/>
      <c r="X1183" s="42"/>
      <c r="Y1183" s="42"/>
      <c r="Z1183" s="42"/>
      <c r="AA1183" s="42"/>
      <c r="AB1183" s="42"/>
      <c r="AC1183" s="42"/>
      <c r="AD1183" s="42"/>
      <c r="AE1183" s="42"/>
      <c r="AF1183" s="42"/>
    </row>
    <row r="1184">
      <c r="A1184" s="25"/>
      <c r="B1184" s="297"/>
      <c r="C1184" s="25"/>
      <c r="D1184" s="25"/>
      <c r="E1184" s="25"/>
      <c r="F1184" s="25"/>
      <c r="G1184" s="123"/>
      <c r="H1184" s="123"/>
      <c r="I1184" s="25"/>
      <c r="J1184" s="25"/>
      <c r="K1184" s="367"/>
      <c r="L1184" s="42"/>
      <c r="M1184" s="42"/>
      <c r="N1184" s="42"/>
      <c r="O1184" s="42"/>
      <c r="P1184" s="42"/>
      <c r="Q1184" s="42"/>
      <c r="R1184" s="176"/>
      <c r="S1184" s="42"/>
      <c r="T1184" s="42"/>
      <c r="U1184" s="46"/>
      <c r="V1184" s="42"/>
      <c r="W1184" s="42"/>
      <c r="X1184" s="42"/>
      <c r="Y1184" s="42"/>
      <c r="Z1184" s="42"/>
      <c r="AA1184" s="42"/>
      <c r="AB1184" s="42"/>
      <c r="AC1184" s="42"/>
      <c r="AD1184" s="42"/>
      <c r="AE1184" s="42"/>
      <c r="AF1184" s="42"/>
    </row>
    <row r="1185">
      <c r="A1185" s="25"/>
      <c r="B1185" s="297"/>
      <c r="C1185" s="25"/>
      <c r="D1185" s="25"/>
      <c r="E1185" s="25"/>
      <c r="F1185" s="25"/>
      <c r="G1185" s="123"/>
      <c r="H1185" s="123"/>
      <c r="I1185" s="25"/>
      <c r="J1185" s="25"/>
      <c r="K1185" s="367"/>
      <c r="L1185" s="42"/>
      <c r="M1185" s="42"/>
      <c r="N1185" s="42"/>
      <c r="O1185" s="42"/>
      <c r="P1185" s="42"/>
      <c r="Q1185" s="42"/>
      <c r="R1185" s="176"/>
      <c r="S1185" s="42"/>
      <c r="T1185" s="42"/>
      <c r="U1185" s="46"/>
      <c r="V1185" s="42"/>
      <c r="W1185" s="42"/>
      <c r="X1185" s="42"/>
      <c r="Y1185" s="42"/>
      <c r="Z1185" s="42"/>
      <c r="AA1185" s="42"/>
      <c r="AB1185" s="42"/>
      <c r="AC1185" s="42"/>
      <c r="AD1185" s="42"/>
      <c r="AE1185" s="42"/>
      <c r="AF1185" s="42"/>
    </row>
    <row r="1186">
      <c r="A1186" s="25"/>
      <c r="B1186" s="297"/>
      <c r="C1186" s="25"/>
      <c r="D1186" s="25"/>
      <c r="E1186" s="25"/>
      <c r="F1186" s="25"/>
      <c r="G1186" s="123"/>
      <c r="H1186" s="123"/>
      <c r="I1186" s="25"/>
      <c r="J1186" s="25"/>
      <c r="K1186" s="367"/>
      <c r="L1186" s="42"/>
      <c r="M1186" s="42"/>
      <c r="N1186" s="42"/>
      <c r="O1186" s="42"/>
      <c r="P1186" s="42"/>
      <c r="Q1186" s="42"/>
      <c r="R1186" s="176"/>
      <c r="S1186" s="42"/>
      <c r="T1186" s="42"/>
      <c r="U1186" s="46"/>
      <c r="V1186" s="42"/>
      <c r="W1186" s="42"/>
      <c r="X1186" s="42"/>
      <c r="Y1186" s="42"/>
      <c r="Z1186" s="42"/>
      <c r="AA1186" s="42"/>
      <c r="AB1186" s="42"/>
      <c r="AC1186" s="42"/>
      <c r="AD1186" s="42"/>
      <c r="AE1186" s="42"/>
      <c r="AF1186" s="42"/>
    </row>
    <row r="1187">
      <c r="A1187" s="25"/>
      <c r="B1187" s="297"/>
      <c r="C1187" s="25"/>
      <c r="D1187" s="25"/>
      <c r="E1187" s="25"/>
      <c r="F1187" s="25"/>
      <c r="G1187" s="123"/>
      <c r="H1187" s="123"/>
      <c r="I1187" s="25"/>
      <c r="J1187" s="25"/>
      <c r="K1187" s="367"/>
      <c r="L1187" s="42"/>
      <c r="M1187" s="42"/>
      <c r="N1187" s="42"/>
      <c r="O1187" s="42"/>
      <c r="P1187" s="42"/>
      <c r="Q1187" s="42"/>
      <c r="R1187" s="176"/>
      <c r="S1187" s="42"/>
      <c r="T1187" s="42"/>
      <c r="U1187" s="46"/>
      <c r="V1187" s="42"/>
      <c r="W1187" s="42"/>
      <c r="X1187" s="42"/>
      <c r="Y1187" s="42"/>
      <c r="Z1187" s="42"/>
      <c r="AA1187" s="42"/>
      <c r="AB1187" s="42"/>
      <c r="AC1187" s="42"/>
      <c r="AD1187" s="42"/>
      <c r="AE1187" s="42"/>
      <c r="AF1187" s="42"/>
    </row>
    <row r="1188">
      <c r="A1188" s="25"/>
      <c r="B1188" s="297"/>
      <c r="C1188" s="25"/>
      <c r="D1188" s="25"/>
      <c r="E1188" s="25"/>
      <c r="F1188" s="25"/>
      <c r="G1188" s="123"/>
      <c r="H1188" s="123"/>
      <c r="I1188" s="25"/>
      <c r="J1188" s="25"/>
      <c r="K1188" s="367"/>
      <c r="L1188" s="42"/>
      <c r="M1188" s="42"/>
      <c r="N1188" s="42"/>
      <c r="O1188" s="42"/>
      <c r="P1188" s="42"/>
      <c r="Q1188" s="42"/>
      <c r="R1188" s="176"/>
      <c r="S1188" s="42"/>
      <c r="T1188" s="42"/>
      <c r="U1188" s="46"/>
      <c r="V1188" s="42"/>
      <c r="W1188" s="42"/>
      <c r="X1188" s="42"/>
      <c r="Y1188" s="42"/>
      <c r="Z1188" s="42"/>
      <c r="AA1188" s="42"/>
      <c r="AB1188" s="42"/>
      <c r="AC1188" s="42"/>
      <c r="AD1188" s="42"/>
      <c r="AE1188" s="42"/>
      <c r="AF1188" s="42"/>
    </row>
    <row r="1189">
      <c r="A1189" s="25"/>
      <c r="B1189" s="297"/>
      <c r="C1189" s="25"/>
      <c r="D1189" s="25"/>
      <c r="E1189" s="25"/>
      <c r="F1189" s="25"/>
      <c r="G1189" s="123"/>
      <c r="H1189" s="123"/>
      <c r="I1189" s="25"/>
      <c r="J1189" s="25"/>
      <c r="K1189" s="367"/>
      <c r="L1189" s="42"/>
      <c r="M1189" s="42"/>
      <c r="N1189" s="42"/>
      <c r="O1189" s="42"/>
      <c r="P1189" s="42"/>
      <c r="Q1189" s="42"/>
      <c r="R1189" s="176"/>
      <c r="S1189" s="42"/>
      <c r="T1189" s="42"/>
      <c r="U1189" s="46"/>
      <c r="V1189" s="42"/>
      <c r="W1189" s="42"/>
      <c r="X1189" s="42"/>
      <c r="Y1189" s="42"/>
      <c r="Z1189" s="42"/>
      <c r="AA1189" s="42"/>
      <c r="AB1189" s="42"/>
      <c r="AC1189" s="42"/>
      <c r="AD1189" s="42"/>
      <c r="AE1189" s="42"/>
      <c r="AF1189" s="42"/>
    </row>
    <row r="1190">
      <c r="A1190" s="25"/>
      <c r="B1190" s="297"/>
      <c r="C1190" s="25"/>
      <c r="D1190" s="25"/>
      <c r="E1190" s="25"/>
      <c r="F1190" s="25"/>
      <c r="G1190" s="123"/>
      <c r="H1190" s="123"/>
      <c r="I1190" s="25"/>
      <c r="J1190" s="25"/>
      <c r="K1190" s="367"/>
      <c r="L1190" s="42"/>
      <c r="M1190" s="42"/>
      <c r="N1190" s="42"/>
      <c r="O1190" s="42"/>
      <c r="P1190" s="42"/>
      <c r="Q1190" s="42"/>
      <c r="R1190" s="176"/>
      <c r="S1190" s="42"/>
      <c r="T1190" s="42"/>
      <c r="U1190" s="46"/>
      <c r="V1190" s="42"/>
      <c r="W1190" s="42"/>
      <c r="X1190" s="42"/>
      <c r="Y1190" s="42"/>
      <c r="Z1190" s="42"/>
      <c r="AA1190" s="42"/>
      <c r="AB1190" s="42"/>
      <c r="AC1190" s="42"/>
      <c r="AD1190" s="42"/>
      <c r="AE1190" s="42"/>
      <c r="AF1190" s="42"/>
    </row>
    <row r="1191">
      <c r="A1191" s="25"/>
      <c r="B1191" s="297"/>
      <c r="C1191" s="25"/>
      <c r="D1191" s="25"/>
      <c r="E1191" s="25"/>
      <c r="F1191" s="25"/>
      <c r="G1191" s="123"/>
      <c r="H1191" s="123"/>
      <c r="I1191" s="25"/>
      <c r="J1191" s="25"/>
      <c r="K1191" s="367"/>
      <c r="L1191" s="42"/>
      <c r="M1191" s="42"/>
      <c r="N1191" s="42"/>
      <c r="O1191" s="42"/>
      <c r="P1191" s="42"/>
      <c r="Q1191" s="42"/>
      <c r="R1191" s="176"/>
      <c r="S1191" s="42"/>
      <c r="T1191" s="42"/>
      <c r="U1191" s="46"/>
      <c r="V1191" s="42"/>
      <c r="W1191" s="42"/>
      <c r="X1191" s="42"/>
      <c r="Y1191" s="42"/>
      <c r="Z1191" s="42"/>
      <c r="AA1191" s="42"/>
      <c r="AB1191" s="42"/>
      <c r="AC1191" s="42"/>
      <c r="AD1191" s="42"/>
      <c r="AE1191" s="42"/>
      <c r="AF1191" s="42"/>
    </row>
    <row r="1192">
      <c r="A1192" s="25"/>
      <c r="B1192" s="297"/>
      <c r="C1192" s="25"/>
      <c r="D1192" s="25"/>
      <c r="E1192" s="25"/>
      <c r="F1192" s="25"/>
      <c r="G1192" s="123"/>
      <c r="H1192" s="123"/>
      <c r="I1192" s="25"/>
      <c r="J1192" s="25"/>
      <c r="K1192" s="367"/>
      <c r="L1192" s="42"/>
      <c r="M1192" s="42"/>
      <c r="N1192" s="42"/>
      <c r="O1192" s="42"/>
      <c r="P1192" s="42"/>
      <c r="Q1192" s="42"/>
      <c r="R1192" s="176"/>
      <c r="S1192" s="42"/>
      <c r="T1192" s="42"/>
      <c r="U1192" s="46"/>
      <c r="V1192" s="42"/>
      <c r="W1192" s="42"/>
      <c r="X1192" s="42"/>
      <c r="Y1192" s="42"/>
      <c r="Z1192" s="42"/>
      <c r="AA1192" s="42"/>
      <c r="AB1192" s="42"/>
      <c r="AC1192" s="42"/>
      <c r="AD1192" s="42"/>
      <c r="AE1192" s="42"/>
      <c r="AF1192" s="42"/>
    </row>
    <row r="1193">
      <c r="A1193" s="25"/>
      <c r="B1193" s="297"/>
      <c r="C1193" s="25"/>
      <c r="D1193" s="25"/>
      <c r="E1193" s="25"/>
      <c r="F1193" s="25"/>
      <c r="G1193" s="123"/>
      <c r="H1193" s="123"/>
      <c r="I1193" s="25"/>
      <c r="J1193" s="25"/>
      <c r="K1193" s="367"/>
      <c r="L1193" s="42"/>
      <c r="M1193" s="42"/>
      <c r="N1193" s="42"/>
      <c r="O1193" s="42"/>
      <c r="P1193" s="42"/>
      <c r="Q1193" s="42"/>
      <c r="R1193" s="176"/>
      <c r="S1193" s="42"/>
      <c r="T1193" s="42"/>
      <c r="U1193" s="46"/>
      <c r="V1193" s="42"/>
      <c r="W1193" s="42"/>
      <c r="X1193" s="42"/>
      <c r="Y1193" s="42"/>
      <c r="Z1193" s="42"/>
      <c r="AA1193" s="42"/>
      <c r="AB1193" s="42"/>
      <c r="AC1193" s="42"/>
      <c r="AD1193" s="42"/>
      <c r="AE1193" s="42"/>
      <c r="AF1193" s="42"/>
    </row>
    <row r="1194">
      <c r="A1194" s="25"/>
      <c r="B1194" s="297"/>
      <c r="C1194" s="25"/>
      <c r="D1194" s="25"/>
      <c r="E1194" s="25"/>
      <c r="F1194" s="25"/>
      <c r="G1194" s="123"/>
      <c r="H1194" s="123"/>
      <c r="I1194" s="25"/>
      <c r="J1194" s="25"/>
      <c r="K1194" s="367"/>
      <c r="L1194" s="42"/>
      <c r="M1194" s="42"/>
      <c r="N1194" s="42"/>
      <c r="O1194" s="42"/>
      <c r="P1194" s="42"/>
      <c r="Q1194" s="42"/>
      <c r="R1194" s="176"/>
      <c r="S1194" s="42"/>
      <c r="T1194" s="42"/>
      <c r="U1194" s="46"/>
      <c r="V1194" s="42"/>
      <c r="W1194" s="42"/>
      <c r="X1194" s="42"/>
      <c r="Y1194" s="42"/>
      <c r="Z1194" s="42"/>
      <c r="AA1194" s="42"/>
      <c r="AB1194" s="42"/>
      <c r="AC1194" s="42"/>
      <c r="AD1194" s="42"/>
      <c r="AE1194" s="42"/>
      <c r="AF1194" s="42"/>
    </row>
    <row r="1195">
      <c r="A1195" s="25"/>
      <c r="B1195" s="297"/>
      <c r="C1195" s="25"/>
      <c r="D1195" s="25"/>
      <c r="E1195" s="25"/>
      <c r="F1195" s="25"/>
      <c r="G1195" s="123"/>
      <c r="H1195" s="123"/>
      <c r="I1195" s="25"/>
      <c r="J1195" s="25"/>
      <c r="K1195" s="367"/>
      <c r="L1195" s="42"/>
      <c r="M1195" s="42"/>
      <c r="N1195" s="42"/>
      <c r="O1195" s="42"/>
      <c r="P1195" s="42"/>
      <c r="Q1195" s="42"/>
      <c r="R1195" s="176"/>
      <c r="S1195" s="42"/>
      <c r="T1195" s="42"/>
      <c r="U1195" s="46"/>
      <c r="V1195" s="42"/>
      <c r="W1195" s="42"/>
      <c r="X1195" s="42"/>
      <c r="Y1195" s="42"/>
      <c r="Z1195" s="42"/>
      <c r="AA1195" s="42"/>
      <c r="AB1195" s="42"/>
      <c r="AC1195" s="42"/>
      <c r="AD1195" s="42"/>
      <c r="AE1195" s="42"/>
      <c r="AF1195" s="42"/>
    </row>
    <row r="1196">
      <c r="A1196" s="25"/>
      <c r="B1196" s="297"/>
      <c r="C1196" s="25"/>
      <c r="D1196" s="25"/>
      <c r="E1196" s="25"/>
      <c r="F1196" s="25"/>
      <c r="G1196" s="123"/>
      <c r="H1196" s="123"/>
      <c r="I1196" s="25"/>
      <c r="J1196" s="25"/>
      <c r="K1196" s="367"/>
      <c r="L1196" s="42"/>
      <c r="M1196" s="42"/>
      <c r="N1196" s="42"/>
      <c r="O1196" s="42"/>
      <c r="P1196" s="42"/>
      <c r="Q1196" s="42"/>
      <c r="R1196" s="176"/>
      <c r="S1196" s="42"/>
      <c r="T1196" s="42"/>
      <c r="U1196" s="46"/>
      <c r="V1196" s="42"/>
      <c r="W1196" s="42"/>
      <c r="X1196" s="42"/>
      <c r="Y1196" s="42"/>
      <c r="Z1196" s="42"/>
      <c r="AA1196" s="42"/>
      <c r="AB1196" s="42"/>
      <c r="AC1196" s="42"/>
      <c r="AD1196" s="42"/>
      <c r="AE1196" s="42"/>
      <c r="AF1196" s="42"/>
    </row>
    <row r="1197">
      <c r="A1197" s="25"/>
      <c r="B1197" s="297"/>
      <c r="C1197" s="25"/>
      <c r="D1197" s="25"/>
      <c r="E1197" s="25"/>
      <c r="F1197" s="25"/>
      <c r="G1197" s="123"/>
      <c r="H1197" s="123"/>
      <c r="I1197" s="25"/>
      <c r="J1197" s="25"/>
      <c r="K1197" s="367"/>
      <c r="L1197" s="42"/>
      <c r="M1197" s="42"/>
      <c r="N1197" s="42"/>
      <c r="O1197" s="42"/>
      <c r="P1197" s="42"/>
      <c r="Q1197" s="42"/>
      <c r="R1197" s="176"/>
      <c r="S1197" s="42"/>
      <c r="T1197" s="42"/>
      <c r="U1197" s="46"/>
      <c r="V1197" s="42"/>
      <c r="W1197" s="42"/>
      <c r="X1197" s="42"/>
      <c r="Y1197" s="42"/>
      <c r="Z1197" s="42"/>
      <c r="AA1197" s="42"/>
      <c r="AB1197" s="42"/>
      <c r="AC1197" s="42"/>
      <c r="AD1197" s="42"/>
      <c r="AE1197" s="42"/>
      <c r="AF1197" s="42"/>
    </row>
    <row r="1198">
      <c r="A1198" s="25"/>
      <c r="B1198" s="297"/>
      <c r="C1198" s="25"/>
      <c r="D1198" s="25"/>
      <c r="E1198" s="25"/>
      <c r="F1198" s="25"/>
      <c r="G1198" s="123"/>
      <c r="H1198" s="123"/>
      <c r="I1198" s="25"/>
      <c r="J1198" s="25"/>
      <c r="K1198" s="367"/>
      <c r="L1198" s="42"/>
      <c r="M1198" s="42"/>
      <c r="N1198" s="42"/>
      <c r="O1198" s="42"/>
      <c r="P1198" s="42"/>
      <c r="Q1198" s="42"/>
      <c r="R1198" s="176"/>
      <c r="S1198" s="42"/>
      <c r="T1198" s="42"/>
      <c r="U1198" s="46"/>
      <c r="V1198" s="42"/>
      <c r="W1198" s="42"/>
      <c r="X1198" s="42"/>
      <c r="Y1198" s="42"/>
      <c r="Z1198" s="42"/>
      <c r="AA1198" s="42"/>
      <c r="AB1198" s="42"/>
      <c r="AC1198" s="42"/>
      <c r="AD1198" s="42"/>
      <c r="AE1198" s="42"/>
      <c r="AF1198" s="42"/>
    </row>
    <row r="1199">
      <c r="A1199" s="25"/>
      <c r="B1199" s="297"/>
      <c r="C1199" s="25"/>
      <c r="D1199" s="25"/>
      <c r="E1199" s="25"/>
      <c r="F1199" s="25"/>
      <c r="G1199" s="123"/>
      <c r="H1199" s="123"/>
      <c r="I1199" s="25"/>
      <c r="J1199" s="25"/>
      <c r="K1199" s="367"/>
      <c r="L1199" s="42"/>
      <c r="M1199" s="42"/>
      <c r="N1199" s="42"/>
      <c r="O1199" s="42"/>
      <c r="P1199" s="42"/>
      <c r="Q1199" s="42"/>
      <c r="R1199" s="176"/>
      <c r="S1199" s="42"/>
      <c r="T1199" s="42"/>
      <c r="U1199" s="46"/>
      <c r="V1199" s="42"/>
      <c r="W1199" s="42"/>
      <c r="X1199" s="42"/>
      <c r="Y1199" s="42"/>
      <c r="Z1199" s="42"/>
      <c r="AA1199" s="42"/>
      <c r="AB1199" s="42"/>
      <c r="AC1199" s="42"/>
      <c r="AD1199" s="42"/>
      <c r="AE1199" s="42"/>
      <c r="AF1199" s="42"/>
    </row>
    <row r="1200">
      <c r="A1200" s="25"/>
      <c r="B1200" s="297"/>
      <c r="C1200" s="25"/>
      <c r="D1200" s="25"/>
      <c r="E1200" s="25"/>
      <c r="F1200" s="25"/>
      <c r="G1200" s="123"/>
      <c r="H1200" s="123"/>
      <c r="I1200" s="25"/>
      <c r="J1200" s="25"/>
      <c r="K1200" s="367"/>
      <c r="L1200" s="42"/>
      <c r="M1200" s="42"/>
      <c r="N1200" s="42"/>
      <c r="O1200" s="42"/>
      <c r="P1200" s="42"/>
      <c r="Q1200" s="42"/>
      <c r="R1200" s="176"/>
      <c r="S1200" s="42"/>
      <c r="T1200" s="42"/>
      <c r="U1200" s="46"/>
      <c r="V1200" s="42"/>
      <c r="W1200" s="42"/>
      <c r="X1200" s="42"/>
      <c r="Y1200" s="42"/>
      <c r="Z1200" s="42"/>
      <c r="AA1200" s="42"/>
      <c r="AB1200" s="42"/>
      <c r="AC1200" s="42"/>
      <c r="AD1200" s="42"/>
      <c r="AE1200" s="42"/>
      <c r="AF1200" s="42"/>
    </row>
    <row r="1201">
      <c r="A1201" s="25"/>
      <c r="B1201" s="297"/>
      <c r="C1201" s="25"/>
      <c r="D1201" s="25"/>
      <c r="E1201" s="25"/>
      <c r="F1201" s="25"/>
      <c r="G1201" s="123"/>
      <c r="H1201" s="123"/>
      <c r="I1201" s="25"/>
      <c r="J1201" s="25"/>
      <c r="K1201" s="367"/>
      <c r="L1201" s="42"/>
      <c r="M1201" s="42"/>
      <c r="N1201" s="42"/>
      <c r="O1201" s="42"/>
      <c r="P1201" s="42"/>
      <c r="Q1201" s="42"/>
      <c r="R1201" s="176"/>
      <c r="S1201" s="42"/>
      <c r="T1201" s="42"/>
      <c r="U1201" s="46"/>
      <c r="V1201" s="42"/>
      <c r="W1201" s="42"/>
      <c r="X1201" s="42"/>
      <c r="Y1201" s="42"/>
      <c r="Z1201" s="42"/>
      <c r="AA1201" s="42"/>
      <c r="AB1201" s="42"/>
      <c r="AC1201" s="42"/>
      <c r="AD1201" s="42"/>
      <c r="AE1201" s="42"/>
      <c r="AF1201" s="42"/>
    </row>
    <row r="1202">
      <c r="A1202" s="25"/>
      <c r="B1202" s="297"/>
      <c r="C1202" s="25"/>
      <c r="D1202" s="25"/>
      <c r="E1202" s="25"/>
      <c r="F1202" s="25"/>
      <c r="G1202" s="123"/>
      <c r="H1202" s="123"/>
      <c r="I1202" s="25"/>
      <c r="J1202" s="25"/>
      <c r="K1202" s="367"/>
      <c r="L1202" s="42"/>
      <c r="M1202" s="42"/>
      <c r="N1202" s="42"/>
      <c r="O1202" s="42"/>
      <c r="P1202" s="42"/>
      <c r="Q1202" s="42"/>
      <c r="R1202" s="176"/>
      <c r="S1202" s="42"/>
      <c r="T1202" s="42"/>
      <c r="U1202" s="46"/>
      <c r="V1202" s="42"/>
      <c r="W1202" s="42"/>
      <c r="X1202" s="42"/>
      <c r="Y1202" s="42"/>
      <c r="Z1202" s="42"/>
      <c r="AA1202" s="42"/>
      <c r="AB1202" s="42"/>
      <c r="AC1202" s="42"/>
      <c r="AD1202" s="42"/>
      <c r="AE1202" s="42"/>
      <c r="AF1202" s="42"/>
    </row>
    <row r="1203">
      <c r="A1203" s="25"/>
      <c r="B1203" s="297"/>
      <c r="C1203" s="25"/>
      <c r="D1203" s="25"/>
      <c r="E1203" s="25"/>
      <c r="F1203" s="25"/>
      <c r="G1203" s="123"/>
      <c r="H1203" s="123"/>
      <c r="I1203" s="25"/>
      <c r="J1203" s="25"/>
      <c r="K1203" s="367"/>
      <c r="L1203" s="42"/>
      <c r="M1203" s="42"/>
      <c r="N1203" s="42"/>
      <c r="O1203" s="42"/>
      <c r="P1203" s="42"/>
      <c r="Q1203" s="42"/>
      <c r="R1203" s="176"/>
      <c r="S1203" s="42"/>
      <c r="T1203" s="42"/>
      <c r="U1203" s="46"/>
      <c r="V1203" s="42"/>
      <c r="W1203" s="42"/>
      <c r="X1203" s="42"/>
      <c r="Y1203" s="42"/>
      <c r="Z1203" s="42"/>
      <c r="AA1203" s="42"/>
      <c r="AB1203" s="42"/>
      <c r="AC1203" s="42"/>
      <c r="AD1203" s="42"/>
      <c r="AE1203" s="42"/>
      <c r="AF1203" s="42"/>
    </row>
    <row r="1204">
      <c r="A1204" s="25"/>
      <c r="B1204" s="297"/>
      <c r="C1204" s="25"/>
      <c r="D1204" s="25"/>
      <c r="E1204" s="25"/>
      <c r="F1204" s="25"/>
      <c r="G1204" s="123"/>
      <c r="H1204" s="123"/>
      <c r="I1204" s="25"/>
      <c r="J1204" s="25"/>
      <c r="K1204" s="367"/>
      <c r="L1204" s="42"/>
      <c r="M1204" s="42"/>
      <c r="N1204" s="42"/>
      <c r="O1204" s="42"/>
      <c r="P1204" s="42"/>
      <c r="Q1204" s="42"/>
      <c r="R1204" s="176"/>
      <c r="S1204" s="42"/>
      <c r="T1204" s="42"/>
      <c r="U1204" s="46"/>
      <c r="V1204" s="42"/>
      <c r="W1204" s="42"/>
      <c r="X1204" s="42"/>
      <c r="Y1204" s="42"/>
      <c r="Z1204" s="42"/>
      <c r="AA1204" s="42"/>
      <c r="AB1204" s="42"/>
      <c r="AC1204" s="42"/>
      <c r="AD1204" s="42"/>
      <c r="AE1204" s="42"/>
      <c r="AF1204" s="42"/>
    </row>
    <row r="1205">
      <c r="A1205" s="25"/>
      <c r="B1205" s="297"/>
      <c r="C1205" s="25"/>
      <c r="D1205" s="25"/>
      <c r="E1205" s="25"/>
      <c r="F1205" s="25"/>
      <c r="G1205" s="123"/>
      <c r="H1205" s="123"/>
      <c r="I1205" s="25"/>
      <c r="J1205" s="25"/>
      <c r="K1205" s="367"/>
      <c r="L1205" s="42"/>
      <c r="M1205" s="42"/>
      <c r="N1205" s="42"/>
      <c r="O1205" s="42"/>
      <c r="P1205" s="42"/>
      <c r="Q1205" s="42"/>
      <c r="R1205" s="176"/>
      <c r="S1205" s="42"/>
      <c r="T1205" s="42"/>
      <c r="U1205" s="46"/>
      <c r="V1205" s="42"/>
      <c r="W1205" s="42"/>
      <c r="X1205" s="42"/>
      <c r="Y1205" s="42"/>
      <c r="Z1205" s="42"/>
      <c r="AA1205" s="42"/>
      <c r="AB1205" s="42"/>
      <c r="AC1205" s="42"/>
      <c r="AD1205" s="42"/>
      <c r="AE1205" s="42"/>
      <c r="AF1205" s="42"/>
    </row>
    <row r="1206">
      <c r="A1206" s="25"/>
      <c r="B1206" s="297"/>
      <c r="C1206" s="25"/>
      <c r="D1206" s="25"/>
      <c r="E1206" s="25"/>
      <c r="F1206" s="25"/>
      <c r="G1206" s="123"/>
      <c r="H1206" s="123"/>
      <c r="I1206" s="25"/>
      <c r="J1206" s="25"/>
      <c r="K1206" s="367"/>
      <c r="L1206" s="42"/>
      <c r="M1206" s="42"/>
      <c r="N1206" s="42"/>
      <c r="O1206" s="42"/>
      <c r="P1206" s="42"/>
      <c r="Q1206" s="42"/>
      <c r="R1206" s="176"/>
      <c r="S1206" s="42"/>
      <c r="T1206" s="42"/>
      <c r="U1206" s="46"/>
      <c r="V1206" s="42"/>
      <c r="W1206" s="42"/>
      <c r="X1206" s="42"/>
      <c r="Y1206" s="42"/>
      <c r="Z1206" s="42"/>
      <c r="AA1206" s="42"/>
      <c r="AB1206" s="42"/>
      <c r="AC1206" s="42"/>
      <c r="AD1206" s="42"/>
      <c r="AE1206" s="42"/>
      <c r="AF1206" s="42"/>
    </row>
    <row r="1207">
      <c r="A1207" s="25"/>
      <c r="B1207" s="297"/>
      <c r="C1207" s="25"/>
      <c r="D1207" s="25"/>
      <c r="E1207" s="25"/>
      <c r="F1207" s="25"/>
      <c r="G1207" s="123"/>
      <c r="H1207" s="123"/>
      <c r="I1207" s="25"/>
      <c r="J1207" s="25"/>
      <c r="K1207" s="367"/>
      <c r="L1207" s="42"/>
      <c r="M1207" s="42"/>
      <c r="N1207" s="42"/>
      <c r="O1207" s="42"/>
      <c r="P1207" s="42"/>
      <c r="Q1207" s="42"/>
      <c r="R1207" s="176"/>
      <c r="S1207" s="42"/>
      <c r="T1207" s="42"/>
      <c r="U1207" s="46"/>
      <c r="V1207" s="42"/>
      <c r="W1207" s="42"/>
      <c r="X1207" s="42"/>
      <c r="Y1207" s="42"/>
      <c r="Z1207" s="42"/>
      <c r="AA1207" s="42"/>
      <c r="AB1207" s="42"/>
      <c r="AC1207" s="42"/>
      <c r="AD1207" s="42"/>
      <c r="AE1207" s="42"/>
      <c r="AF1207" s="42"/>
    </row>
    <row r="1208">
      <c r="A1208" s="25"/>
      <c r="B1208" s="297"/>
      <c r="C1208" s="25"/>
      <c r="D1208" s="25"/>
      <c r="E1208" s="25"/>
      <c r="F1208" s="25"/>
      <c r="G1208" s="123"/>
      <c r="H1208" s="123"/>
      <c r="I1208" s="25"/>
      <c r="J1208" s="25"/>
      <c r="K1208" s="367"/>
      <c r="L1208" s="42"/>
      <c r="M1208" s="42"/>
      <c r="N1208" s="42"/>
      <c r="O1208" s="42"/>
      <c r="P1208" s="42"/>
      <c r="Q1208" s="42"/>
      <c r="R1208" s="176"/>
      <c r="S1208" s="42"/>
      <c r="T1208" s="42"/>
      <c r="U1208" s="46"/>
      <c r="V1208" s="42"/>
      <c r="W1208" s="42"/>
      <c r="X1208" s="42"/>
      <c r="Y1208" s="42"/>
      <c r="Z1208" s="42"/>
      <c r="AA1208" s="42"/>
      <c r="AB1208" s="42"/>
      <c r="AC1208" s="42"/>
      <c r="AD1208" s="42"/>
      <c r="AE1208" s="42"/>
      <c r="AF1208" s="42"/>
    </row>
    <row r="1209">
      <c r="A1209" s="25"/>
      <c r="B1209" s="297"/>
      <c r="C1209" s="25"/>
      <c r="D1209" s="25"/>
      <c r="E1209" s="25"/>
      <c r="F1209" s="25"/>
      <c r="G1209" s="123"/>
      <c r="H1209" s="123"/>
      <c r="I1209" s="25"/>
      <c r="J1209" s="25"/>
      <c r="K1209" s="367"/>
      <c r="L1209" s="42"/>
      <c r="M1209" s="42"/>
      <c r="N1209" s="42"/>
      <c r="O1209" s="42"/>
      <c r="P1209" s="42"/>
      <c r="Q1209" s="42"/>
      <c r="R1209" s="176"/>
      <c r="S1209" s="42"/>
      <c r="T1209" s="42"/>
      <c r="U1209" s="46"/>
      <c r="V1209" s="42"/>
      <c r="W1209" s="42"/>
      <c r="X1209" s="42"/>
      <c r="Y1209" s="42"/>
      <c r="Z1209" s="42"/>
      <c r="AA1209" s="42"/>
      <c r="AB1209" s="42"/>
      <c r="AC1209" s="42"/>
      <c r="AD1209" s="42"/>
      <c r="AE1209" s="42"/>
      <c r="AF1209" s="42"/>
    </row>
    <row r="1210">
      <c r="A1210" s="25"/>
      <c r="B1210" s="297"/>
      <c r="C1210" s="25"/>
      <c r="D1210" s="25"/>
      <c r="E1210" s="25"/>
      <c r="F1210" s="25"/>
      <c r="G1210" s="123"/>
      <c r="H1210" s="123"/>
      <c r="I1210" s="25"/>
      <c r="J1210" s="25"/>
      <c r="K1210" s="367"/>
      <c r="L1210" s="42"/>
      <c r="M1210" s="42"/>
      <c r="N1210" s="42"/>
      <c r="O1210" s="42"/>
      <c r="P1210" s="42"/>
      <c r="Q1210" s="42"/>
      <c r="R1210" s="176"/>
      <c r="S1210" s="42"/>
      <c r="T1210" s="42"/>
      <c r="U1210" s="46"/>
      <c r="V1210" s="42"/>
      <c r="W1210" s="42"/>
      <c r="X1210" s="42"/>
      <c r="Y1210" s="42"/>
      <c r="Z1210" s="42"/>
      <c r="AA1210" s="42"/>
      <c r="AB1210" s="42"/>
      <c r="AC1210" s="42"/>
      <c r="AD1210" s="42"/>
      <c r="AE1210" s="42"/>
      <c r="AF1210" s="42"/>
    </row>
    <row r="1211">
      <c r="A1211" s="25"/>
      <c r="B1211" s="297"/>
      <c r="C1211" s="25"/>
      <c r="D1211" s="25"/>
      <c r="E1211" s="25"/>
      <c r="F1211" s="25"/>
      <c r="G1211" s="123"/>
      <c r="H1211" s="123"/>
      <c r="I1211" s="25"/>
      <c r="J1211" s="25"/>
      <c r="K1211" s="367"/>
      <c r="L1211" s="42"/>
      <c r="M1211" s="42"/>
      <c r="N1211" s="42"/>
      <c r="O1211" s="42"/>
      <c r="P1211" s="42"/>
      <c r="Q1211" s="42"/>
      <c r="R1211" s="176"/>
      <c r="S1211" s="42"/>
      <c r="T1211" s="42"/>
      <c r="U1211" s="46"/>
      <c r="V1211" s="42"/>
      <c r="W1211" s="42"/>
      <c r="X1211" s="42"/>
      <c r="Y1211" s="42"/>
      <c r="Z1211" s="42"/>
      <c r="AA1211" s="42"/>
      <c r="AB1211" s="42"/>
      <c r="AC1211" s="42"/>
      <c r="AD1211" s="42"/>
      <c r="AE1211" s="42"/>
      <c r="AF1211" s="42"/>
    </row>
    <row r="1212">
      <c r="A1212" s="25"/>
      <c r="B1212" s="297"/>
      <c r="C1212" s="25"/>
      <c r="D1212" s="25"/>
      <c r="E1212" s="25"/>
      <c r="F1212" s="25"/>
      <c r="G1212" s="123"/>
      <c r="H1212" s="123"/>
      <c r="I1212" s="25"/>
      <c r="J1212" s="25"/>
      <c r="K1212" s="367"/>
      <c r="L1212" s="42"/>
      <c r="M1212" s="42"/>
      <c r="N1212" s="42"/>
      <c r="O1212" s="42"/>
      <c r="P1212" s="42"/>
      <c r="Q1212" s="42"/>
      <c r="R1212" s="176"/>
      <c r="S1212" s="42"/>
      <c r="T1212" s="42"/>
      <c r="U1212" s="46"/>
      <c r="V1212" s="42"/>
      <c r="W1212" s="42"/>
      <c r="X1212" s="42"/>
      <c r="Y1212" s="42"/>
      <c r="Z1212" s="42"/>
      <c r="AA1212" s="42"/>
      <c r="AB1212" s="42"/>
      <c r="AC1212" s="42"/>
      <c r="AD1212" s="42"/>
      <c r="AE1212" s="42"/>
      <c r="AF1212" s="42"/>
    </row>
    <row r="1213">
      <c r="A1213" s="25"/>
      <c r="B1213" s="297"/>
      <c r="C1213" s="25"/>
      <c r="D1213" s="25"/>
      <c r="E1213" s="25"/>
      <c r="F1213" s="25"/>
      <c r="G1213" s="123"/>
      <c r="H1213" s="123"/>
      <c r="I1213" s="25"/>
      <c r="J1213" s="25"/>
      <c r="K1213" s="367"/>
      <c r="L1213" s="42"/>
      <c r="M1213" s="42"/>
      <c r="N1213" s="42"/>
      <c r="O1213" s="42"/>
      <c r="P1213" s="42"/>
      <c r="Q1213" s="42"/>
      <c r="R1213" s="176"/>
      <c r="S1213" s="42"/>
      <c r="T1213" s="42"/>
      <c r="U1213" s="46"/>
      <c r="V1213" s="42"/>
      <c r="W1213" s="42"/>
      <c r="X1213" s="42"/>
      <c r="Y1213" s="42"/>
      <c r="Z1213" s="42"/>
      <c r="AA1213" s="42"/>
      <c r="AB1213" s="42"/>
      <c r="AC1213" s="42"/>
      <c r="AD1213" s="42"/>
      <c r="AE1213" s="42"/>
      <c r="AF1213" s="42"/>
    </row>
    <row r="1214">
      <c r="A1214" s="25"/>
      <c r="B1214" s="297"/>
      <c r="C1214" s="25"/>
      <c r="D1214" s="25"/>
      <c r="E1214" s="25"/>
      <c r="F1214" s="25"/>
      <c r="G1214" s="123"/>
      <c r="H1214" s="123"/>
      <c r="I1214" s="25"/>
      <c r="J1214" s="25"/>
      <c r="K1214" s="367"/>
      <c r="L1214" s="42"/>
      <c r="M1214" s="42"/>
      <c r="N1214" s="42"/>
      <c r="O1214" s="42"/>
      <c r="P1214" s="42"/>
      <c r="Q1214" s="42"/>
      <c r="R1214" s="176"/>
      <c r="S1214" s="42"/>
      <c r="T1214" s="42"/>
      <c r="U1214" s="46"/>
      <c r="V1214" s="42"/>
      <c r="W1214" s="42"/>
      <c r="X1214" s="42"/>
      <c r="Y1214" s="42"/>
      <c r="Z1214" s="42"/>
      <c r="AA1214" s="42"/>
      <c r="AB1214" s="42"/>
      <c r="AC1214" s="42"/>
      <c r="AD1214" s="42"/>
      <c r="AE1214" s="42"/>
      <c r="AF1214" s="42"/>
    </row>
    <row r="1215">
      <c r="A1215" s="25"/>
      <c r="B1215" s="297"/>
      <c r="C1215" s="25"/>
      <c r="D1215" s="25"/>
      <c r="E1215" s="25"/>
      <c r="F1215" s="25"/>
      <c r="G1215" s="123"/>
      <c r="H1215" s="123"/>
      <c r="I1215" s="25"/>
      <c r="J1215" s="25"/>
      <c r="K1215" s="367"/>
      <c r="L1215" s="42"/>
      <c r="M1215" s="42"/>
      <c r="N1215" s="42"/>
      <c r="O1215" s="42"/>
      <c r="P1215" s="42"/>
      <c r="Q1215" s="42"/>
      <c r="R1215" s="176"/>
      <c r="S1215" s="42"/>
      <c r="T1215" s="42"/>
      <c r="U1215" s="46"/>
      <c r="V1215" s="42"/>
      <c r="W1215" s="42"/>
      <c r="X1215" s="42"/>
      <c r="Y1215" s="42"/>
      <c r="Z1215" s="42"/>
      <c r="AA1215" s="42"/>
      <c r="AB1215" s="42"/>
      <c r="AC1215" s="42"/>
      <c r="AD1215" s="42"/>
      <c r="AE1215" s="42"/>
      <c r="AF1215" s="42"/>
    </row>
    <row r="1216">
      <c r="A1216" s="25"/>
      <c r="B1216" s="297"/>
      <c r="C1216" s="25"/>
      <c r="D1216" s="25"/>
      <c r="E1216" s="25"/>
      <c r="F1216" s="25"/>
      <c r="G1216" s="123"/>
      <c r="H1216" s="123"/>
      <c r="I1216" s="25"/>
      <c r="J1216" s="25"/>
      <c r="K1216" s="367"/>
      <c r="L1216" s="42"/>
      <c r="M1216" s="42"/>
      <c r="N1216" s="42"/>
      <c r="O1216" s="42"/>
      <c r="P1216" s="42"/>
      <c r="Q1216" s="42"/>
      <c r="R1216" s="176"/>
      <c r="S1216" s="42"/>
      <c r="T1216" s="42"/>
      <c r="U1216" s="46"/>
      <c r="V1216" s="42"/>
      <c r="W1216" s="42"/>
      <c r="X1216" s="42"/>
      <c r="Y1216" s="42"/>
      <c r="Z1216" s="42"/>
      <c r="AA1216" s="42"/>
      <c r="AB1216" s="42"/>
      <c r="AC1216" s="42"/>
      <c r="AD1216" s="42"/>
      <c r="AE1216" s="42"/>
      <c r="AF1216" s="42"/>
    </row>
    <row r="1217">
      <c r="A1217" s="25"/>
      <c r="B1217" s="297"/>
      <c r="C1217" s="25"/>
      <c r="D1217" s="25"/>
      <c r="E1217" s="25"/>
      <c r="F1217" s="25"/>
      <c r="G1217" s="123"/>
      <c r="H1217" s="123"/>
      <c r="I1217" s="25"/>
      <c r="J1217" s="25"/>
      <c r="K1217" s="367"/>
      <c r="L1217" s="42"/>
      <c r="M1217" s="42"/>
      <c r="N1217" s="42"/>
      <c r="O1217" s="42"/>
      <c r="P1217" s="42"/>
      <c r="Q1217" s="42"/>
      <c r="R1217" s="176"/>
      <c r="S1217" s="42"/>
      <c r="T1217" s="42"/>
      <c r="U1217" s="46"/>
      <c r="V1217" s="42"/>
      <c r="W1217" s="42"/>
      <c r="X1217" s="42"/>
      <c r="Y1217" s="42"/>
      <c r="Z1217" s="42"/>
      <c r="AA1217" s="42"/>
      <c r="AB1217" s="42"/>
      <c r="AC1217" s="42"/>
      <c r="AD1217" s="42"/>
      <c r="AE1217" s="42"/>
      <c r="AF1217" s="42"/>
    </row>
    <row r="1218">
      <c r="A1218" s="25"/>
      <c r="B1218" s="297"/>
      <c r="C1218" s="25"/>
      <c r="D1218" s="25"/>
      <c r="E1218" s="25"/>
      <c r="F1218" s="25"/>
      <c r="G1218" s="123"/>
      <c r="H1218" s="123"/>
      <c r="I1218" s="25"/>
      <c r="J1218" s="25"/>
      <c r="K1218" s="367"/>
      <c r="L1218" s="42"/>
      <c r="M1218" s="42"/>
      <c r="N1218" s="42"/>
      <c r="O1218" s="42"/>
      <c r="P1218" s="42"/>
      <c r="Q1218" s="42"/>
      <c r="R1218" s="176"/>
      <c r="S1218" s="42"/>
      <c r="T1218" s="42"/>
      <c r="U1218" s="46"/>
      <c r="V1218" s="42"/>
      <c r="W1218" s="42"/>
      <c r="X1218" s="42"/>
      <c r="Y1218" s="42"/>
      <c r="Z1218" s="42"/>
      <c r="AA1218" s="42"/>
      <c r="AB1218" s="42"/>
      <c r="AC1218" s="42"/>
      <c r="AD1218" s="42"/>
      <c r="AE1218" s="42"/>
      <c r="AF1218" s="42"/>
    </row>
    <row r="1219">
      <c r="A1219" s="25"/>
      <c r="B1219" s="297"/>
      <c r="C1219" s="25"/>
      <c r="D1219" s="25"/>
      <c r="E1219" s="25"/>
      <c r="F1219" s="25"/>
      <c r="G1219" s="123"/>
      <c r="H1219" s="123"/>
      <c r="I1219" s="25"/>
      <c r="J1219" s="25"/>
      <c r="K1219" s="367"/>
      <c r="L1219" s="42"/>
      <c r="M1219" s="42"/>
      <c r="N1219" s="42"/>
      <c r="O1219" s="42"/>
      <c r="P1219" s="42"/>
      <c r="Q1219" s="42"/>
      <c r="R1219" s="176"/>
      <c r="S1219" s="42"/>
      <c r="T1219" s="42"/>
      <c r="U1219" s="46"/>
      <c r="V1219" s="42"/>
      <c r="W1219" s="42"/>
      <c r="X1219" s="42"/>
      <c r="Y1219" s="42"/>
      <c r="Z1219" s="42"/>
      <c r="AA1219" s="42"/>
      <c r="AB1219" s="42"/>
      <c r="AC1219" s="42"/>
      <c r="AD1219" s="42"/>
      <c r="AE1219" s="42"/>
      <c r="AF1219" s="42"/>
    </row>
    <row r="1220">
      <c r="A1220" s="25"/>
      <c r="B1220" s="297"/>
      <c r="C1220" s="25"/>
      <c r="D1220" s="25"/>
      <c r="E1220" s="25"/>
      <c r="F1220" s="25"/>
      <c r="G1220" s="123"/>
      <c r="H1220" s="123"/>
      <c r="I1220" s="25"/>
      <c r="J1220" s="25"/>
      <c r="K1220" s="367"/>
      <c r="L1220" s="42"/>
      <c r="M1220" s="42"/>
      <c r="N1220" s="42"/>
      <c r="O1220" s="42"/>
      <c r="P1220" s="42"/>
      <c r="Q1220" s="42"/>
      <c r="R1220" s="176"/>
      <c r="S1220" s="42"/>
      <c r="T1220" s="42"/>
      <c r="U1220" s="46"/>
      <c r="V1220" s="42"/>
      <c r="W1220" s="42"/>
      <c r="X1220" s="42"/>
      <c r="Y1220" s="42"/>
      <c r="Z1220" s="42"/>
      <c r="AA1220" s="42"/>
      <c r="AB1220" s="42"/>
      <c r="AC1220" s="42"/>
      <c r="AD1220" s="42"/>
      <c r="AE1220" s="42"/>
      <c r="AF1220" s="42"/>
    </row>
    <row r="1221">
      <c r="A1221" s="25"/>
      <c r="B1221" s="297"/>
      <c r="C1221" s="25"/>
      <c r="D1221" s="25"/>
      <c r="E1221" s="25"/>
      <c r="F1221" s="25"/>
      <c r="G1221" s="123"/>
      <c r="H1221" s="123"/>
      <c r="I1221" s="25"/>
      <c r="J1221" s="25"/>
      <c r="K1221" s="367"/>
      <c r="L1221" s="42"/>
      <c r="M1221" s="42"/>
      <c r="N1221" s="42"/>
      <c r="O1221" s="42"/>
      <c r="P1221" s="42"/>
      <c r="Q1221" s="42"/>
      <c r="R1221" s="176"/>
      <c r="S1221" s="42"/>
      <c r="T1221" s="42"/>
      <c r="U1221" s="46"/>
      <c r="V1221" s="42"/>
      <c r="W1221" s="42"/>
      <c r="X1221" s="42"/>
      <c r="Y1221" s="42"/>
      <c r="Z1221" s="42"/>
      <c r="AA1221" s="42"/>
      <c r="AB1221" s="42"/>
      <c r="AC1221" s="42"/>
      <c r="AD1221" s="42"/>
      <c r="AE1221" s="42"/>
      <c r="AF1221" s="42"/>
    </row>
    <row r="1222">
      <c r="A1222" s="25"/>
      <c r="B1222" s="297"/>
      <c r="C1222" s="25"/>
      <c r="D1222" s="25"/>
      <c r="E1222" s="25"/>
      <c r="F1222" s="25"/>
      <c r="G1222" s="123"/>
      <c r="H1222" s="123"/>
      <c r="I1222" s="25"/>
      <c r="J1222" s="25"/>
      <c r="K1222" s="367"/>
      <c r="L1222" s="42"/>
      <c r="M1222" s="42"/>
      <c r="N1222" s="42"/>
      <c r="O1222" s="42"/>
      <c r="P1222" s="42"/>
      <c r="Q1222" s="42"/>
      <c r="R1222" s="176"/>
      <c r="S1222" s="42"/>
      <c r="T1222" s="42"/>
      <c r="U1222" s="46"/>
      <c r="V1222" s="42"/>
      <c r="W1222" s="42"/>
      <c r="X1222" s="42"/>
      <c r="Y1222" s="42"/>
      <c r="Z1222" s="42"/>
      <c r="AA1222" s="42"/>
      <c r="AB1222" s="42"/>
      <c r="AC1222" s="42"/>
      <c r="AD1222" s="42"/>
      <c r="AE1222" s="42"/>
      <c r="AF1222" s="42"/>
    </row>
    <row r="1223">
      <c r="A1223" s="25"/>
      <c r="B1223" s="297"/>
      <c r="C1223" s="25"/>
      <c r="D1223" s="25"/>
      <c r="E1223" s="25"/>
      <c r="F1223" s="25"/>
      <c r="G1223" s="123"/>
      <c r="H1223" s="123"/>
      <c r="I1223" s="25"/>
      <c r="J1223" s="25"/>
      <c r="K1223" s="367"/>
      <c r="L1223" s="42"/>
      <c r="M1223" s="42"/>
      <c r="N1223" s="42"/>
      <c r="O1223" s="42"/>
      <c r="P1223" s="42"/>
      <c r="Q1223" s="42"/>
      <c r="R1223" s="176"/>
      <c r="S1223" s="42"/>
      <c r="T1223" s="42"/>
      <c r="U1223" s="46"/>
      <c r="V1223" s="42"/>
      <c r="W1223" s="42"/>
      <c r="X1223" s="42"/>
      <c r="Y1223" s="42"/>
      <c r="Z1223" s="42"/>
      <c r="AA1223" s="42"/>
      <c r="AB1223" s="42"/>
      <c r="AC1223" s="42"/>
      <c r="AD1223" s="42"/>
      <c r="AE1223" s="42"/>
      <c r="AF1223" s="42"/>
    </row>
    <row r="1224">
      <c r="A1224" s="25"/>
      <c r="B1224" s="297"/>
      <c r="C1224" s="25"/>
      <c r="D1224" s="25"/>
      <c r="E1224" s="25"/>
      <c r="F1224" s="25"/>
      <c r="G1224" s="123"/>
      <c r="H1224" s="123"/>
      <c r="I1224" s="25"/>
      <c r="J1224" s="25"/>
      <c r="K1224" s="367"/>
      <c r="L1224" s="42"/>
      <c r="M1224" s="42"/>
      <c r="N1224" s="42"/>
      <c r="O1224" s="42"/>
      <c r="P1224" s="42"/>
      <c r="Q1224" s="42"/>
      <c r="R1224" s="176"/>
      <c r="S1224" s="42"/>
      <c r="T1224" s="42"/>
      <c r="U1224" s="46"/>
      <c r="V1224" s="42"/>
      <c r="W1224" s="42"/>
      <c r="X1224" s="42"/>
      <c r="Y1224" s="42"/>
      <c r="Z1224" s="42"/>
      <c r="AA1224" s="42"/>
      <c r="AB1224" s="42"/>
      <c r="AC1224" s="42"/>
      <c r="AD1224" s="42"/>
      <c r="AE1224" s="42"/>
      <c r="AF1224" s="42"/>
    </row>
    <row r="1225">
      <c r="A1225" s="25"/>
      <c r="B1225" s="297"/>
      <c r="C1225" s="25"/>
      <c r="D1225" s="25"/>
      <c r="E1225" s="25"/>
      <c r="F1225" s="25"/>
      <c r="G1225" s="123"/>
      <c r="H1225" s="123"/>
      <c r="I1225" s="25"/>
      <c r="J1225" s="25"/>
      <c r="K1225" s="367"/>
      <c r="L1225" s="42"/>
      <c r="M1225" s="42"/>
      <c r="N1225" s="42"/>
      <c r="O1225" s="42"/>
      <c r="P1225" s="42"/>
      <c r="Q1225" s="42"/>
      <c r="R1225" s="176"/>
      <c r="S1225" s="42"/>
      <c r="T1225" s="42"/>
      <c r="U1225" s="46"/>
      <c r="V1225" s="42"/>
      <c r="W1225" s="42"/>
      <c r="X1225" s="42"/>
      <c r="Y1225" s="42"/>
      <c r="Z1225" s="42"/>
      <c r="AA1225" s="42"/>
      <c r="AB1225" s="42"/>
      <c r="AC1225" s="42"/>
      <c r="AD1225" s="42"/>
      <c r="AE1225" s="42"/>
      <c r="AF1225" s="42"/>
    </row>
    <row r="1226">
      <c r="A1226" s="25"/>
      <c r="B1226" s="297"/>
      <c r="C1226" s="25"/>
      <c r="D1226" s="25"/>
      <c r="E1226" s="25"/>
      <c r="F1226" s="25"/>
      <c r="G1226" s="123"/>
      <c r="H1226" s="123"/>
      <c r="I1226" s="25"/>
      <c r="J1226" s="25"/>
      <c r="K1226" s="367"/>
      <c r="L1226" s="42"/>
      <c r="M1226" s="42"/>
      <c r="N1226" s="42"/>
      <c r="O1226" s="42"/>
      <c r="P1226" s="42"/>
      <c r="Q1226" s="42"/>
      <c r="R1226" s="176"/>
      <c r="S1226" s="42"/>
      <c r="T1226" s="42"/>
      <c r="U1226" s="46"/>
      <c r="V1226" s="42"/>
      <c r="W1226" s="42"/>
      <c r="X1226" s="42"/>
      <c r="Y1226" s="42"/>
      <c r="Z1226" s="42"/>
      <c r="AA1226" s="42"/>
      <c r="AB1226" s="42"/>
      <c r="AC1226" s="42"/>
      <c r="AD1226" s="42"/>
      <c r="AE1226" s="42"/>
      <c r="AF1226" s="42"/>
    </row>
    <row r="1227">
      <c r="A1227" s="25"/>
      <c r="B1227" s="297"/>
      <c r="C1227" s="25"/>
      <c r="D1227" s="25"/>
      <c r="E1227" s="25"/>
      <c r="F1227" s="25"/>
      <c r="G1227" s="123"/>
      <c r="H1227" s="123"/>
      <c r="I1227" s="25"/>
      <c r="J1227" s="25"/>
      <c r="K1227" s="367"/>
      <c r="L1227" s="42"/>
      <c r="M1227" s="42"/>
      <c r="N1227" s="42"/>
      <c r="O1227" s="42"/>
      <c r="P1227" s="42"/>
      <c r="Q1227" s="42"/>
      <c r="R1227" s="176"/>
      <c r="S1227" s="42"/>
      <c r="T1227" s="42"/>
      <c r="U1227" s="46"/>
      <c r="V1227" s="42"/>
      <c r="W1227" s="42"/>
      <c r="X1227" s="42"/>
      <c r="Y1227" s="42"/>
      <c r="Z1227" s="42"/>
      <c r="AA1227" s="42"/>
      <c r="AB1227" s="42"/>
      <c r="AC1227" s="42"/>
      <c r="AD1227" s="42"/>
      <c r="AE1227" s="42"/>
      <c r="AF1227" s="42"/>
    </row>
    <row r="1228">
      <c r="A1228" s="25"/>
      <c r="B1228" s="297"/>
      <c r="C1228" s="25"/>
      <c r="D1228" s="25"/>
      <c r="E1228" s="25"/>
      <c r="F1228" s="25"/>
      <c r="G1228" s="123"/>
      <c r="H1228" s="123"/>
      <c r="I1228" s="25"/>
      <c r="J1228" s="25"/>
      <c r="K1228" s="367"/>
      <c r="L1228" s="42"/>
      <c r="M1228" s="42"/>
      <c r="N1228" s="42"/>
      <c r="O1228" s="42"/>
      <c r="P1228" s="42"/>
      <c r="Q1228" s="42"/>
      <c r="R1228" s="176"/>
      <c r="S1228" s="42"/>
      <c r="T1228" s="42"/>
      <c r="U1228" s="46"/>
      <c r="V1228" s="42"/>
      <c r="W1228" s="42"/>
      <c r="X1228" s="42"/>
      <c r="Y1228" s="42"/>
      <c r="Z1228" s="42"/>
      <c r="AA1228" s="42"/>
      <c r="AB1228" s="42"/>
      <c r="AC1228" s="42"/>
      <c r="AD1228" s="42"/>
      <c r="AE1228" s="42"/>
      <c r="AF1228" s="42"/>
    </row>
    <row r="1229">
      <c r="A1229" s="25"/>
      <c r="B1229" s="297"/>
      <c r="C1229" s="25"/>
      <c r="D1229" s="25"/>
      <c r="E1229" s="25"/>
      <c r="F1229" s="25"/>
      <c r="G1229" s="123"/>
      <c r="H1229" s="123"/>
      <c r="I1229" s="25"/>
      <c r="J1229" s="25"/>
      <c r="K1229" s="367"/>
      <c r="L1229" s="42"/>
      <c r="M1229" s="42"/>
      <c r="N1229" s="42"/>
      <c r="O1229" s="42"/>
      <c r="P1229" s="42"/>
      <c r="Q1229" s="42"/>
      <c r="R1229" s="176"/>
      <c r="S1229" s="42"/>
      <c r="T1229" s="42"/>
      <c r="U1229" s="46"/>
      <c r="V1229" s="42"/>
      <c r="W1229" s="42"/>
      <c r="X1229" s="42"/>
      <c r="Y1229" s="42"/>
      <c r="Z1229" s="42"/>
      <c r="AA1229" s="42"/>
      <c r="AB1229" s="42"/>
      <c r="AC1229" s="42"/>
      <c r="AD1229" s="42"/>
      <c r="AE1229" s="42"/>
      <c r="AF1229" s="42"/>
    </row>
    <row r="1230">
      <c r="A1230" s="25"/>
      <c r="B1230" s="297"/>
      <c r="C1230" s="25"/>
      <c r="D1230" s="25"/>
      <c r="E1230" s="25"/>
      <c r="F1230" s="25"/>
      <c r="G1230" s="123"/>
      <c r="H1230" s="123"/>
      <c r="I1230" s="25"/>
      <c r="J1230" s="25"/>
      <c r="K1230" s="367"/>
      <c r="L1230" s="42"/>
      <c r="M1230" s="42"/>
      <c r="N1230" s="42"/>
      <c r="O1230" s="42"/>
      <c r="P1230" s="42"/>
      <c r="Q1230" s="42"/>
      <c r="R1230" s="176"/>
      <c r="S1230" s="42"/>
      <c r="T1230" s="42"/>
      <c r="U1230" s="46"/>
      <c r="V1230" s="42"/>
      <c r="W1230" s="42"/>
      <c r="X1230" s="42"/>
      <c r="Y1230" s="42"/>
      <c r="Z1230" s="42"/>
      <c r="AA1230" s="42"/>
      <c r="AB1230" s="42"/>
      <c r="AC1230" s="42"/>
      <c r="AD1230" s="42"/>
      <c r="AE1230" s="42"/>
      <c r="AF1230" s="42"/>
    </row>
    <row r="1231">
      <c r="A1231" s="25"/>
      <c r="B1231" s="297"/>
      <c r="C1231" s="25"/>
      <c r="D1231" s="25"/>
      <c r="E1231" s="25"/>
      <c r="F1231" s="25"/>
      <c r="G1231" s="123"/>
      <c r="H1231" s="123"/>
      <c r="I1231" s="25"/>
      <c r="J1231" s="25"/>
      <c r="K1231" s="367"/>
      <c r="L1231" s="42"/>
      <c r="M1231" s="42"/>
      <c r="N1231" s="42"/>
      <c r="O1231" s="42"/>
      <c r="P1231" s="42"/>
      <c r="Q1231" s="42"/>
      <c r="R1231" s="176"/>
      <c r="S1231" s="42"/>
      <c r="T1231" s="42"/>
      <c r="U1231" s="46"/>
      <c r="V1231" s="42"/>
      <c r="W1231" s="42"/>
      <c r="X1231" s="42"/>
      <c r="Y1231" s="42"/>
      <c r="Z1231" s="42"/>
      <c r="AA1231" s="42"/>
      <c r="AB1231" s="42"/>
      <c r="AC1231" s="42"/>
      <c r="AD1231" s="42"/>
      <c r="AE1231" s="42"/>
      <c r="AF1231" s="42"/>
    </row>
    <row r="1232">
      <c r="A1232" s="25"/>
      <c r="B1232" s="297"/>
      <c r="C1232" s="25"/>
      <c r="D1232" s="25"/>
      <c r="E1232" s="25"/>
      <c r="F1232" s="25"/>
      <c r="G1232" s="123"/>
      <c r="H1232" s="123"/>
      <c r="I1232" s="25"/>
      <c r="J1232" s="25"/>
      <c r="K1232" s="367"/>
      <c r="L1232" s="42"/>
      <c r="M1232" s="42"/>
      <c r="N1232" s="42"/>
      <c r="O1232" s="42"/>
      <c r="P1232" s="42"/>
      <c r="Q1232" s="42"/>
      <c r="R1232" s="176"/>
      <c r="S1232" s="42"/>
      <c r="T1232" s="42"/>
      <c r="U1232" s="46"/>
      <c r="V1232" s="42"/>
      <c r="W1232" s="42"/>
      <c r="X1232" s="42"/>
      <c r="Y1232" s="42"/>
      <c r="Z1232" s="42"/>
      <c r="AA1232" s="42"/>
      <c r="AB1232" s="42"/>
      <c r="AC1232" s="42"/>
      <c r="AD1232" s="42"/>
      <c r="AE1232" s="42"/>
      <c r="AF1232" s="42"/>
    </row>
    <row r="1233">
      <c r="A1233" s="25"/>
      <c r="B1233" s="297"/>
      <c r="C1233" s="25"/>
      <c r="D1233" s="25"/>
      <c r="E1233" s="25"/>
      <c r="F1233" s="25"/>
      <c r="G1233" s="123"/>
      <c r="H1233" s="123"/>
      <c r="I1233" s="25"/>
      <c r="J1233" s="25"/>
      <c r="K1233" s="367"/>
      <c r="L1233" s="42"/>
      <c r="M1233" s="42"/>
      <c r="N1233" s="42"/>
      <c r="O1233" s="42"/>
      <c r="P1233" s="42"/>
      <c r="Q1233" s="42"/>
      <c r="R1233" s="176"/>
      <c r="S1233" s="42"/>
      <c r="T1233" s="42"/>
      <c r="U1233" s="46"/>
      <c r="V1233" s="42"/>
      <c r="W1233" s="42"/>
      <c r="X1233" s="42"/>
      <c r="Y1233" s="42"/>
      <c r="Z1233" s="42"/>
      <c r="AA1233" s="42"/>
      <c r="AB1233" s="42"/>
      <c r="AC1233" s="42"/>
      <c r="AD1233" s="42"/>
      <c r="AE1233" s="42"/>
      <c r="AF1233" s="42"/>
    </row>
    <row r="1234">
      <c r="A1234" s="25"/>
      <c r="B1234" s="297"/>
      <c r="C1234" s="25"/>
      <c r="D1234" s="25"/>
      <c r="E1234" s="25"/>
      <c r="F1234" s="25"/>
      <c r="G1234" s="123"/>
      <c r="H1234" s="123"/>
      <c r="I1234" s="25"/>
      <c r="J1234" s="25"/>
      <c r="K1234" s="367"/>
      <c r="L1234" s="42"/>
      <c r="M1234" s="42"/>
      <c r="N1234" s="42"/>
      <c r="O1234" s="42"/>
      <c r="P1234" s="42"/>
      <c r="Q1234" s="42"/>
      <c r="R1234" s="176"/>
      <c r="S1234" s="42"/>
      <c r="T1234" s="42"/>
      <c r="U1234" s="46"/>
      <c r="V1234" s="42"/>
      <c r="W1234" s="42"/>
      <c r="X1234" s="42"/>
      <c r="Y1234" s="42"/>
      <c r="Z1234" s="42"/>
      <c r="AA1234" s="42"/>
      <c r="AB1234" s="42"/>
      <c r="AC1234" s="42"/>
      <c r="AD1234" s="42"/>
      <c r="AE1234" s="42"/>
      <c r="AF1234" s="42"/>
    </row>
    <row r="1235">
      <c r="A1235" s="25"/>
      <c r="B1235" s="297"/>
      <c r="C1235" s="25"/>
      <c r="D1235" s="25"/>
      <c r="E1235" s="25"/>
      <c r="F1235" s="25"/>
      <c r="G1235" s="123"/>
      <c r="H1235" s="123"/>
      <c r="I1235" s="25"/>
      <c r="J1235" s="25"/>
      <c r="K1235" s="367"/>
      <c r="L1235" s="42"/>
      <c r="M1235" s="42"/>
      <c r="N1235" s="42"/>
      <c r="O1235" s="42"/>
      <c r="P1235" s="42"/>
      <c r="Q1235" s="42"/>
      <c r="R1235" s="176"/>
      <c r="S1235" s="42"/>
      <c r="T1235" s="42"/>
      <c r="U1235" s="46"/>
      <c r="V1235" s="42"/>
      <c r="W1235" s="42"/>
      <c r="X1235" s="42"/>
      <c r="Y1235" s="42"/>
      <c r="Z1235" s="42"/>
      <c r="AA1235" s="42"/>
      <c r="AB1235" s="42"/>
      <c r="AC1235" s="42"/>
      <c r="AD1235" s="42"/>
      <c r="AE1235" s="42"/>
      <c r="AF1235" s="42"/>
    </row>
    <row r="1236">
      <c r="A1236" s="25"/>
      <c r="B1236" s="297"/>
      <c r="C1236" s="25"/>
      <c r="D1236" s="25"/>
      <c r="E1236" s="25"/>
      <c r="F1236" s="25"/>
      <c r="G1236" s="123"/>
      <c r="H1236" s="123"/>
      <c r="I1236" s="25"/>
      <c r="J1236" s="25"/>
      <c r="K1236" s="367"/>
      <c r="L1236" s="42"/>
      <c r="M1236" s="42"/>
      <c r="N1236" s="42"/>
      <c r="O1236" s="42"/>
      <c r="P1236" s="42"/>
      <c r="Q1236" s="42"/>
      <c r="R1236" s="176"/>
      <c r="S1236" s="42"/>
      <c r="T1236" s="42"/>
      <c r="U1236" s="46"/>
      <c r="V1236" s="42"/>
      <c r="W1236" s="42"/>
      <c r="X1236" s="42"/>
      <c r="Y1236" s="42"/>
      <c r="Z1236" s="42"/>
      <c r="AA1236" s="42"/>
      <c r="AB1236" s="42"/>
      <c r="AC1236" s="42"/>
      <c r="AD1236" s="42"/>
      <c r="AE1236" s="42"/>
      <c r="AF1236" s="42"/>
    </row>
    <row r="1237">
      <c r="A1237" s="25"/>
      <c r="B1237" s="297"/>
      <c r="C1237" s="25"/>
      <c r="D1237" s="25"/>
      <c r="E1237" s="25"/>
      <c r="F1237" s="25"/>
      <c r="G1237" s="123"/>
      <c r="H1237" s="123"/>
      <c r="I1237" s="25"/>
      <c r="J1237" s="25"/>
      <c r="K1237" s="367"/>
      <c r="L1237" s="42"/>
      <c r="M1237" s="42"/>
      <c r="N1237" s="42"/>
      <c r="O1237" s="42"/>
      <c r="P1237" s="42"/>
      <c r="Q1237" s="42"/>
      <c r="R1237" s="176"/>
      <c r="S1237" s="42"/>
      <c r="T1237" s="42"/>
      <c r="U1237" s="46"/>
      <c r="V1237" s="42"/>
      <c r="W1237" s="42"/>
      <c r="X1237" s="42"/>
      <c r="Y1237" s="42"/>
      <c r="Z1237" s="42"/>
      <c r="AA1237" s="42"/>
      <c r="AB1237" s="42"/>
      <c r="AC1237" s="42"/>
      <c r="AD1237" s="42"/>
      <c r="AE1237" s="42"/>
      <c r="AF1237" s="42"/>
    </row>
    <row r="1238">
      <c r="A1238" s="25"/>
      <c r="B1238" s="297"/>
      <c r="C1238" s="25"/>
      <c r="D1238" s="25"/>
      <c r="E1238" s="25"/>
      <c r="F1238" s="25"/>
      <c r="G1238" s="123"/>
      <c r="H1238" s="123"/>
      <c r="I1238" s="25"/>
      <c r="J1238" s="25"/>
      <c r="K1238" s="367"/>
      <c r="L1238" s="42"/>
      <c r="M1238" s="42"/>
      <c r="N1238" s="42"/>
      <c r="O1238" s="42"/>
      <c r="P1238" s="42"/>
      <c r="Q1238" s="42"/>
      <c r="R1238" s="176"/>
      <c r="S1238" s="42"/>
      <c r="T1238" s="42"/>
      <c r="U1238" s="46"/>
      <c r="V1238" s="42"/>
      <c r="W1238" s="42"/>
      <c r="X1238" s="42"/>
      <c r="Y1238" s="42"/>
      <c r="Z1238" s="42"/>
      <c r="AA1238" s="42"/>
      <c r="AB1238" s="42"/>
      <c r="AC1238" s="42"/>
      <c r="AD1238" s="42"/>
      <c r="AE1238" s="42"/>
      <c r="AF1238" s="42"/>
    </row>
    <row r="1239">
      <c r="A1239" s="25"/>
      <c r="B1239" s="297"/>
      <c r="C1239" s="25"/>
      <c r="D1239" s="25"/>
      <c r="E1239" s="25"/>
      <c r="F1239" s="25"/>
      <c r="G1239" s="123"/>
      <c r="H1239" s="123"/>
      <c r="I1239" s="25"/>
      <c r="J1239" s="25"/>
      <c r="K1239" s="367"/>
      <c r="L1239" s="42"/>
      <c r="M1239" s="42"/>
      <c r="N1239" s="42"/>
      <c r="O1239" s="42"/>
      <c r="P1239" s="42"/>
      <c r="Q1239" s="42"/>
      <c r="R1239" s="176"/>
      <c r="S1239" s="42"/>
      <c r="T1239" s="42"/>
      <c r="U1239" s="46"/>
      <c r="V1239" s="42"/>
      <c r="W1239" s="42"/>
      <c r="X1239" s="42"/>
      <c r="Y1239" s="42"/>
      <c r="Z1239" s="42"/>
      <c r="AA1239" s="42"/>
      <c r="AB1239" s="42"/>
      <c r="AC1239" s="42"/>
      <c r="AD1239" s="42"/>
      <c r="AE1239" s="42"/>
      <c r="AF1239" s="42"/>
    </row>
    <row r="1240">
      <c r="A1240" s="25"/>
      <c r="B1240" s="297"/>
      <c r="C1240" s="25"/>
      <c r="D1240" s="25"/>
      <c r="E1240" s="25"/>
      <c r="F1240" s="25"/>
      <c r="G1240" s="123"/>
      <c r="H1240" s="123"/>
      <c r="I1240" s="25"/>
      <c r="J1240" s="25"/>
      <c r="K1240" s="367"/>
      <c r="L1240" s="42"/>
      <c r="M1240" s="42"/>
      <c r="N1240" s="42"/>
      <c r="O1240" s="42"/>
      <c r="P1240" s="42"/>
      <c r="Q1240" s="42"/>
      <c r="R1240" s="176"/>
      <c r="S1240" s="42"/>
      <c r="T1240" s="42"/>
      <c r="U1240" s="46"/>
      <c r="V1240" s="42"/>
      <c r="W1240" s="42"/>
      <c r="X1240" s="42"/>
      <c r="Y1240" s="42"/>
      <c r="Z1240" s="42"/>
      <c r="AA1240" s="42"/>
      <c r="AB1240" s="42"/>
      <c r="AC1240" s="42"/>
      <c r="AD1240" s="42"/>
      <c r="AE1240" s="42"/>
      <c r="AF1240" s="42"/>
    </row>
    <row r="1241">
      <c r="A1241" s="25"/>
      <c r="B1241" s="297"/>
      <c r="C1241" s="25"/>
      <c r="D1241" s="25"/>
      <c r="E1241" s="25"/>
      <c r="F1241" s="25"/>
      <c r="G1241" s="123"/>
      <c r="H1241" s="123"/>
      <c r="I1241" s="25"/>
      <c r="J1241" s="25"/>
      <c r="K1241" s="367"/>
      <c r="L1241" s="42"/>
      <c r="M1241" s="42"/>
      <c r="N1241" s="42"/>
      <c r="O1241" s="42"/>
      <c r="P1241" s="42"/>
      <c r="Q1241" s="42"/>
      <c r="R1241" s="176"/>
      <c r="S1241" s="42"/>
      <c r="T1241" s="42"/>
      <c r="U1241" s="46"/>
      <c r="V1241" s="42"/>
      <c r="W1241" s="42"/>
      <c r="X1241" s="42"/>
      <c r="Y1241" s="42"/>
      <c r="Z1241" s="42"/>
      <c r="AA1241" s="42"/>
      <c r="AB1241" s="42"/>
      <c r="AC1241" s="42"/>
      <c r="AD1241" s="42"/>
      <c r="AE1241" s="42"/>
      <c r="AF1241" s="42"/>
    </row>
    <row r="1242">
      <c r="A1242" s="25"/>
      <c r="B1242" s="297"/>
      <c r="C1242" s="25"/>
      <c r="D1242" s="25"/>
      <c r="E1242" s="25"/>
      <c r="F1242" s="25"/>
      <c r="G1242" s="123"/>
      <c r="H1242" s="123"/>
      <c r="I1242" s="25"/>
      <c r="J1242" s="25"/>
      <c r="K1242" s="367"/>
      <c r="L1242" s="42"/>
      <c r="M1242" s="42"/>
      <c r="N1242" s="42"/>
      <c r="O1242" s="42"/>
      <c r="P1242" s="42"/>
      <c r="Q1242" s="42"/>
      <c r="R1242" s="176"/>
      <c r="S1242" s="42"/>
      <c r="T1242" s="42"/>
      <c r="U1242" s="46"/>
      <c r="V1242" s="42"/>
      <c r="W1242" s="42"/>
      <c r="X1242" s="42"/>
      <c r="Y1242" s="42"/>
      <c r="Z1242" s="42"/>
      <c r="AA1242" s="42"/>
      <c r="AB1242" s="42"/>
      <c r="AC1242" s="42"/>
      <c r="AD1242" s="42"/>
      <c r="AE1242" s="42"/>
      <c r="AF1242" s="42"/>
    </row>
    <row r="1243">
      <c r="A1243" s="25"/>
      <c r="B1243" s="297"/>
      <c r="C1243" s="25"/>
      <c r="D1243" s="25"/>
      <c r="E1243" s="25"/>
      <c r="F1243" s="25"/>
      <c r="G1243" s="123"/>
      <c r="H1243" s="123"/>
      <c r="I1243" s="25"/>
      <c r="J1243" s="25"/>
      <c r="K1243" s="367"/>
      <c r="L1243" s="42"/>
      <c r="M1243" s="42"/>
      <c r="N1243" s="42"/>
      <c r="O1243" s="42"/>
      <c r="P1243" s="42"/>
      <c r="Q1243" s="42"/>
      <c r="R1243" s="176"/>
      <c r="S1243" s="42"/>
      <c r="T1243" s="42"/>
      <c r="U1243" s="46"/>
      <c r="V1243" s="42"/>
      <c r="W1243" s="42"/>
      <c r="X1243" s="42"/>
      <c r="Y1243" s="42"/>
      <c r="Z1243" s="42"/>
      <c r="AA1243" s="42"/>
      <c r="AB1243" s="42"/>
      <c r="AC1243" s="42"/>
      <c r="AD1243" s="42"/>
      <c r="AE1243" s="42"/>
      <c r="AF1243" s="42"/>
    </row>
    <row r="1244">
      <c r="A1244" s="25"/>
      <c r="B1244" s="297"/>
      <c r="C1244" s="25"/>
      <c r="D1244" s="25"/>
      <c r="E1244" s="25"/>
      <c r="F1244" s="25"/>
      <c r="G1244" s="123"/>
      <c r="H1244" s="123"/>
      <c r="I1244" s="25"/>
      <c r="J1244" s="25"/>
      <c r="K1244" s="367"/>
      <c r="L1244" s="42"/>
      <c r="M1244" s="42"/>
      <c r="N1244" s="42"/>
      <c r="O1244" s="42"/>
      <c r="P1244" s="42"/>
      <c r="Q1244" s="42"/>
      <c r="R1244" s="176"/>
      <c r="S1244" s="42"/>
      <c r="T1244" s="42"/>
      <c r="U1244" s="46"/>
      <c r="V1244" s="42"/>
      <c r="W1244" s="42"/>
      <c r="X1244" s="42"/>
      <c r="Y1244" s="42"/>
      <c r="Z1244" s="42"/>
      <c r="AA1244" s="42"/>
      <c r="AB1244" s="42"/>
      <c r="AC1244" s="42"/>
      <c r="AD1244" s="42"/>
      <c r="AE1244" s="42"/>
      <c r="AF1244" s="42"/>
    </row>
    <row r="1245">
      <c r="A1245" s="25"/>
      <c r="B1245" s="297"/>
      <c r="C1245" s="25"/>
      <c r="D1245" s="25"/>
      <c r="E1245" s="25"/>
      <c r="F1245" s="25"/>
      <c r="G1245" s="123"/>
      <c r="H1245" s="123"/>
      <c r="I1245" s="25"/>
      <c r="J1245" s="25"/>
      <c r="K1245" s="367"/>
      <c r="L1245" s="42"/>
      <c r="M1245" s="42"/>
      <c r="N1245" s="42"/>
      <c r="O1245" s="42"/>
      <c r="P1245" s="42"/>
      <c r="Q1245" s="42"/>
      <c r="R1245" s="176"/>
      <c r="S1245" s="42"/>
      <c r="T1245" s="42"/>
      <c r="U1245" s="46"/>
      <c r="V1245" s="42"/>
      <c r="W1245" s="42"/>
      <c r="X1245" s="42"/>
      <c r="Y1245" s="42"/>
      <c r="Z1245" s="42"/>
      <c r="AA1245" s="42"/>
      <c r="AB1245" s="42"/>
      <c r="AC1245" s="42"/>
      <c r="AD1245" s="42"/>
      <c r="AE1245" s="42"/>
      <c r="AF1245" s="42"/>
    </row>
    <row r="1246">
      <c r="A1246" s="25"/>
      <c r="B1246" s="297"/>
      <c r="C1246" s="25"/>
      <c r="D1246" s="25"/>
      <c r="E1246" s="25"/>
      <c r="F1246" s="25"/>
      <c r="G1246" s="123"/>
      <c r="H1246" s="123"/>
      <c r="I1246" s="25"/>
      <c r="J1246" s="25"/>
      <c r="K1246" s="367"/>
      <c r="L1246" s="42"/>
      <c r="M1246" s="42"/>
      <c r="N1246" s="42"/>
      <c r="O1246" s="42"/>
      <c r="P1246" s="42"/>
      <c r="Q1246" s="42"/>
      <c r="R1246" s="176"/>
      <c r="S1246" s="42"/>
      <c r="T1246" s="42"/>
      <c r="U1246" s="46"/>
      <c r="V1246" s="42"/>
      <c r="W1246" s="42"/>
      <c r="X1246" s="42"/>
      <c r="Y1246" s="42"/>
      <c r="Z1246" s="42"/>
      <c r="AA1246" s="42"/>
      <c r="AB1246" s="42"/>
      <c r="AC1246" s="42"/>
      <c r="AD1246" s="42"/>
      <c r="AE1246" s="42"/>
      <c r="AF1246" s="42"/>
    </row>
    <row r="1247">
      <c r="A1247" s="25"/>
      <c r="B1247" s="297"/>
      <c r="C1247" s="25"/>
      <c r="D1247" s="25"/>
      <c r="E1247" s="25"/>
      <c r="F1247" s="25"/>
      <c r="G1247" s="123"/>
      <c r="H1247" s="123"/>
      <c r="I1247" s="25"/>
      <c r="J1247" s="25"/>
      <c r="K1247" s="367"/>
      <c r="L1247" s="42"/>
      <c r="M1247" s="42"/>
      <c r="N1247" s="42"/>
      <c r="O1247" s="42"/>
      <c r="P1247" s="42"/>
      <c r="Q1247" s="42"/>
      <c r="R1247" s="176"/>
      <c r="S1247" s="42"/>
      <c r="T1247" s="42"/>
      <c r="U1247" s="46"/>
      <c r="V1247" s="42"/>
      <c r="W1247" s="42"/>
      <c r="X1247" s="42"/>
      <c r="Y1247" s="42"/>
      <c r="Z1247" s="42"/>
      <c r="AA1247" s="42"/>
      <c r="AB1247" s="42"/>
      <c r="AC1247" s="42"/>
      <c r="AD1247" s="42"/>
      <c r="AE1247" s="42"/>
      <c r="AF1247" s="42"/>
    </row>
    <row r="1248">
      <c r="A1248" s="25"/>
      <c r="B1248" s="297"/>
      <c r="C1248" s="25"/>
      <c r="D1248" s="25"/>
      <c r="E1248" s="25"/>
      <c r="F1248" s="25"/>
      <c r="G1248" s="123"/>
      <c r="H1248" s="123"/>
      <c r="I1248" s="25"/>
      <c r="J1248" s="25"/>
      <c r="K1248" s="367"/>
      <c r="L1248" s="42"/>
      <c r="M1248" s="42"/>
      <c r="N1248" s="42"/>
      <c r="O1248" s="42"/>
      <c r="P1248" s="42"/>
      <c r="Q1248" s="42"/>
      <c r="R1248" s="176"/>
      <c r="S1248" s="42"/>
      <c r="T1248" s="42"/>
      <c r="U1248" s="46"/>
      <c r="V1248" s="42"/>
      <c r="W1248" s="42"/>
      <c r="X1248" s="42"/>
      <c r="Y1248" s="42"/>
      <c r="Z1248" s="42"/>
      <c r="AA1248" s="42"/>
      <c r="AB1248" s="42"/>
      <c r="AC1248" s="42"/>
      <c r="AD1248" s="42"/>
      <c r="AE1248" s="42"/>
      <c r="AF1248" s="42"/>
    </row>
    <row r="1249">
      <c r="A1249" s="25"/>
      <c r="B1249" s="297"/>
      <c r="C1249" s="25"/>
      <c r="D1249" s="25"/>
      <c r="E1249" s="25"/>
      <c r="F1249" s="25"/>
      <c r="G1249" s="123"/>
      <c r="H1249" s="123"/>
      <c r="I1249" s="25"/>
      <c r="J1249" s="25"/>
      <c r="K1249" s="367"/>
      <c r="L1249" s="42"/>
      <c r="M1249" s="42"/>
      <c r="N1249" s="42"/>
      <c r="O1249" s="42"/>
      <c r="P1249" s="42"/>
      <c r="Q1249" s="42"/>
      <c r="R1249" s="176"/>
      <c r="S1249" s="42"/>
      <c r="T1249" s="42"/>
      <c r="U1249" s="46"/>
      <c r="V1249" s="42"/>
      <c r="W1249" s="42"/>
      <c r="X1249" s="42"/>
      <c r="Y1249" s="42"/>
      <c r="Z1249" s="42"/>
      <c r="AA1249" s="42"/>
      <c r="AB1249" s="42"/>
      <c r="AC1249" s="42"/>
      <c r="AD1249" s="42"/>
      <c r="AE1249" s="42"/>
      <c r="AF1249" s="42"/>
    </row>
    <row r="1250">
      <c r="A1250" s="25"/>
      <c r="B1250" s="297"/>
      <c r="C1250" s="25"/>
      <c r="D1250" s="25"/>
      <c r="E1250" s="25"/>
      <c r="F1250" s="25"/>
      <c r="G1250" s="123"/>
      <c r="H1250" s="123"/>
      <c r="I1250" s="25"/>
      <c r="J1250" s="25"/>
      <c r="K1250" s="367"/>
      <c r="L1250" s="42"/>
      <c r="M1250" s="42"/>
      <c r="N1250" s="42"/>
      <c r="O1250" s="42"/>
      <c r="P1250" s="42"/>
      <c r="Q1250" s="42"/>
      <c r="R1250" s="176"/>
      <c r="S1250" s="42"/>
      <c r="T1250" s="42"/>
      <c r="U1250" s="46"/>
      <c r="V1250" s="42"/>
      <c r="W1250" s="42"/>
      <c r="X1250" s="42"/>
      <c r="Y1250" s="42"/>
      <c r="Z1250" s="42"/>
      <c r="AA1250" s="42"/>
      <c r="AB1250" s="42"/>
      <c r="AC1250" s="42"/>
      <c r="AD1250" s="42"/>
      <c r="AE1250" s="42"/>
      <c r="AF1250" s="42"/>
    </row>
    <row r="1251">
      <c r="A1251" s="25"/>
      <c r="B1251" s="297"/>
      <c r="C1251" s="25"/>
      <c r="D1251" s="25"/>
      <c r="E1251" s="25"/>
      <c r="F1251" s="25"/>
      <c r="G1251" s="123"/>
      <c r="H1251" s="123"/>
      <c r="I1251" s="25"/>
      <c r="J1251" s="25"/>
      <c r="K1251" s="367"/>
      <c r="L1251" s="42"/>
      <c r="M1251" s="42"/>
      <c r="N1251" s="42"/>
      <c r="O1251" s="42"/>
      <c r="P1251" s="42"/>
      <c r="Q1251" s="42"/>
      <c r="R1251" s="176"/>
      <c r="S1251" s="42"/>
      <c r="T1251" s="42"/>
      <c r="U1251" s="46"/>
      <c r="V1251" s="42"/>
      <c r="W1251" s="42"/>
      <c r="X1251" s="42"/>
      <c r="Y1251" s="42"/>
      <c r="Z1251" s="42"/>
      <c r="AA1251" s="42"/>
      <c r="AB1251" s="42"/>
      <c r="AC1251" s="42"/>
      <c r="AD1251" s="42"/>
      <c r="AE1251" s="42"/>
      <c r="AF1251" s="42"/>
    </row>
    <row r="1252">
      <c r="A1252" s="25"/>
      <c r="B1252" s="297"/>
      <c r="C1252" s="25"/>
      <c r="D1252" s="25"/>
      <c r="E1252" s="25"/>
      <c r="F1252" s="25"/>
      <c r="G1252" s="123"/>
      <c r="H1252" s="123"/>
      <c r="I1252" s="25"/>
      <c r="J1252" s="25"/>
      <c r="K1252" s="367"/>
      <c r="L1252" s="42"/>
      <c r="M1252" s="42"/>
      <c r="N1252" s="42"/>
      <c r="O1252" s="42"/>
      <c r="P1252" s="42"/>
      <c r="Q1252" s="42"/>
      <c r="R1252" s="176"/>
      <c r="S1252" s="42"/>
      <c r="T1252" s="42"/>
      <c r="U1252" s="46"/>
      <c r="V1252" s="42"/>
      <c r="W1252" s="42"/>
      <c r="X1252" s="42"/>
      <c r="Y1252" s="42"/>
      <c r="Z1252" s="42"/>
      <c r="AA1252" s="42"/>
      <c r="AB1252" s="42"/>
      <c r="AC1252" s="42"/>
      <c r="AD1252" s="42"/>
      <c r="AE1252" s="42"/>
      <c r="AF1252" s="42"/>
    </row>
    <row r="1253">
      <c r="A1253" s="25"/>
      <c r="B1253" s="297"/>
      <c r="C1253" s="25"/>
      <c r="D1253" s="25"/>
      <c r="E1253" s="25"/>
      <c r="F1253" s="25"/>
      <c r="G1253" s="123"/>
      <c r="H1253" s="123"/>
      <c r="I1253" s="25"/>
      <c r="J1253" s="25"/>
      <c r="K1253" s="367"/>
      <c r="L1253" s="42"/>
      <c r="M1253" s="42"/>
      <c r="N1253" s="42"/>
      <c r="O1253" s="42"/>
      <c r="P1253" s="42"/>
      <c r="Q1253" s="42"/>
      <c r="R1253" s="176"/>
      <c r="S1253" s="42"/>
      <c r="T1253" s="42"/>
      <c r="U1253" s="46"/>
      <c r="V1253" s="42"/>
      <c r="W1253" s="42"/>
      <c r="X1253" s="42"/>
      <c r="Y1253" s="42"/>
      <c r="Z1253" s="42"/>
      <c r="AA1253" s="42"/>
      <c r="AB1253" s="42"/>
      <c r="AC1253" s="42"/>
      <c r="AD1253" s="42"/>
      <c r="AE1253" s="42"/>
      <c r="AF1253" s="42"/>
    </row>
    <row r="1254">
      <c r="A1254" s="25"/>
      <c r="B1254" s="297"/>
      <c r="C1254" s="25"/>
      <c r="D1254" s="25"/>
      <c r="E1254" s="25"/>
      <c r="F1254" s="25"/>
      <c r="G1254" s="123"/>
      <c r="H1254" s="123"/>
      <c r="I1254" s="25"/>
      <c r="J1254" s="25"/>
      <c r="K1254" s="367"/>
      <c r="L1254" s="42"/>
      <c r="M1254" s="42"/>
      <c r="N1254" s="42"/>
      <c r="O1254" s="42"/>
      <c r="P1254" s="42"/>
      <c r="Q1254" s="42"/>
      <c r="R1254" s="176"/>
      <c r="S1254" s="42"/>
      <c r="T1254" s="42"/>
      <c r="U1254" s="46"/>
      <c r="V1254" s="42"/>
      <c r="W1254" s="42"/>
      <c r="X1254" s="42"/>
      <c r="Y1254" s="42"/>
      <c r="Z1254" s="42"/>
      <c r="AA1254" s="42"/>
      <c r="AB1254" s="42"/>
      <c r="AC1254" s="42"/>
      <c r="AD1254" s="42"/>
      <c r="AE1254" s="42"/>
      <c r="AF1254" s="42"/>
    </row>
    <row r="1255">
      <c r="A1255" s="25"/>
      <c r="B1255" s="297"/>
      <c r="C1255" s="25"/>
      <c r="D1255" s="25"/>
      <c r="E1255" s="25"/>
      <c r="F1255" s="25"/>
      <c r="G1255" s="123"/>
      <c r="H1255" s="123"/>
      <c r="I1255" s="25"/>
      <c r="J1255" s="25"/>
      <c r="K1255" s="367"/>
      <c r="L1255" s="42"/>
      <c r="M1255" s="42"/>
      <c r="N1255" s="42"/>
      <c r="O1255" s="42"/>
      <c r="P1255" s="42"/>
      <c r="Q1255" s="42"/>
      <c r="R1255" s="176"/>
      <c r="S1255" s="42"/>
      <c r="T1255" s="42"/>
      <c r="U1255" s="46"/>
      <c r="V1255" s="42"/>
      <c r="W1255" s="42"/>
      <c r="X1255" s="42"/>
      <c r="Y1255" s="42"/>
      <c r="Z1255" s="42"/>
      <c r="AA1255" s="42"/>
      <c r="AB1255" s="42"/>
      <c r="AC1255" s="42"/>
      <c r="AD1255" s="42"/>
      <c r="AE1255" s="42"/>
      <c r="AF1255" s="42"/>
    </row>
    <row r="1256">
      <c r="A1256" s="25"/>
      <c r="B1256" s="297"/>
      <c r="C1256" s="25"/>
      <c r="D1256" s="25"/>
      <c r="E1256" s="25"/>
      <c r="F1256" s="25"/>
      <c r="G1256" s="123"/>
      <c r="H1256" s="123"/>
      <c r="I1256" s="25"/>
      <c r="J1256" s="25"/>
      <c r="K1256" s="367"/>
      <c r="L1256" s="42"/>
      <c r="M1256" s="42"/>
      <c r="N1256" s="42"/>
      <c r="O1256" s="42"/>
      <c r="P1256" s="42"/>
      <c r="Q1256" s="42"/>
      <c r="R1256" s="176"/>
      <c r="S1256" s="42"/>
      <c r="T1256" s="42"/>
      <c r="U1256" s="46"/>
      <c r="V1256" s="42"/>
      <c r="W1256" s="42"/>
      <c r="X1256" s="42"/>
      <c r="Y1256" s="42"/>
      <c r="Z1256" s="42"/>
      <c r="AA1256" s="42"/>
      <c r="AB1256" s="42"/>
      <c r="AC1256" s="42"/>
      <c r="AD1256" s="42"/>
      <c r="AE1256" s="42"/>
      <c r="AF1256" s="42"/>
    </row>
    <row r="1257">
      <c r="A1257" s="25"/>
      <c r="B1257" s="297"/>
      <c r="C1257" s="25"/>
      <c r="D1257" s="25"/>
      <c r="E1257" s="25"/>
      <c r="F1257" s="25"/>
      <c r="G1257" s="123"/>
      <c r="H1257" s="123"/>
      <c r="I1257" s="25"/>
      <c r="J1257" s="25"/>
      <c r="K1257" s="367"/>
      <c r="L1257" s="42"/>
      <c r="M1257" s="42"/>
      <c r="N1257" s="42"/>
      <c r="O1257" s="42"/>
      <c r="P1257" s="42"/>
      <c r="Q1257" s="42"/>
      <c r="R1257" s="176"/>
      <c r="S1257" s="42"/>
      <c r="T1257" s="42"/>
      <c r="U1257" s="46"/>
      <c r="V1257" s="42"/>
      <c r="W1257" s="42"/>
      <c r="X1257" s="42"/>
      <c r="Y1257" s="42"/>
      <c r="Z1257" s="42"/>
      <c r="AA1257" s="42"/>
      <c r="AB1257" s="42"/>
      <c r="AC1257" s="42"/>
      <c r="AD1257" s="42"/>
      <c r="AE1257" s="42"/>
      <c r="AF1257" s="42"/>
    </row>
    <row r="1258">
      <c r="A1258" s="25"/>
      <c r="B1258" s="297"/>
      <c r="C1258" s="25"/>
      <c r="D1258" s="25"/>
      <c r="E1258" s="25"/>
      <c r="F1258" s="25"/>
      <c r="G1258" s="123"/>
      <c r="H1258" s="123"/>
      <c r="I1258" s="25"/>
      <c r="J1258" s="25"/>
      <c r="K1258" s="367"/>
      <c r="L1258" s="42"/>
      <c r="M1258" s="42"/>
      <c r="N1258" s="42"/>
      <c r="O1258" s="42"/>
      <c r="P1258" s="42"/>
      <c r="Q1258" s="42"/>
      <c r="R1258" s="176"/>
      <c r="S1258" s="42"/>
      <c r="T1258" s="42"/>
      <c r="U1258" s="46"/>
      <c r="V1258" s="42"/>
      <c r="W1258" s="42"/>
      <c r="X1258" s="42"/>
      <c r="Y1258" s="42"/>
      <c r="Z1258" s="42"/>
      <c r="AA1258" s="42"/>
      <c r="AB1258" s="42"/>
      <c r="AC1258" s="42"/>
      <c r="AD1258" s="42"/>
      <c r="AE1258" s="42"/>
      <c r="AF1258" s="42"/>
    </row>
    <row r="1259">
      <c r="A1259" s="25"/>
      <c r="B1259" s="297"/>
      <c r="C1259" s="25"/>
      <c r="D1259" s="25"/>
      <c r="E1259" s="25"/>
      <c r="F1259" s="25"/>
      <c r="G1259" s="123"/>
      <c r="H1259" s="123"/>
      <c r="I1259" s="25"/>
      <c r="J1259" s="25"/>
      <c r="K1259" s="367"/>
      <c r="L1259" s="42"/>
      <c r="M1259" s="42"/>
      <c r="N1259" s="42"/>
      <c r="O1259" s="42"/>
      <c r="P1259" s="42"/>
      <c r="Q1259" s="42"/>
      <c r="R1259" s="176"/>
      <c r="S1259" s="42"/>
      <c r="T1259" s="42"/>
      <c r="U1259" s="46"/>
      <c r="V1259" s="42"/>
      <c r="W1259" s="42"/>
      <c r="X1259" s="42"/>
      <c r="Y1259" s="42"/>
      <c r="Z1259" s="42"/>
      <c r="AA1259" s="42"/>
      <c r="AB1259" s="42"/>
      <c r="AC1259" s="42"/>
      <c r="AD1259" s="42"/>
      <c r="AE1259" s="42"/>
      <c r="AF1259" s="42"/>
    </row>
    <row r="1260">
      <c r="A1260" s="25"/>
      <c r="B1260" s="297"/>
      <c r="C1260" s="25"/>
      <c r="D1260" s="25"/>
      <c r="E1260" s="25"/>
      <c r="F1260" s="25"/>
      <c r="G1260" s="123"/>
      <c r="H1260" s="123"/>
      <c r="I1260" s="25"/>
      <c r="J1260" s="25"/>
      <c r="K1260" s="367"/>
      <c r="L1260" s="42"/>
      <c r="M1260" s="42"/>
      <c r="N1260" s="42"/>
      <c r="O1260" s="42"/>
      <c r="P1260" s="42"/>
      <c r="Q1260" s="42"/>
      <c r="R1260" s="176"/>
      <c r="S1260" s="42"/>
      <c r="T1260" s="42"/>
      <c r="U1260" s="46"/>
      <c r="V1260" s="42"/>
      <c r="W1260" s="42"/>
      <c r="X1260" s="42"/>
      <c r="Y1260" s="42"/>
      <c r="Z1260" s="42"/>
      <c r="AA1260" s="42"/>
      <c r="AB1260" s="42"/>
      <c r="AC1260" s="42"/>
      <c r="AD1260" s="42"/>
      <c r="AE1260" s="42"/>
      <c r="AF1260" s="42"/>
    </row>
    <row r="1261">
      <c r="A1261" s="25"/>
      <c r="B1261" s="297"/>
      <c r="C1261" s="25"/>
      <c r="D1261" s="25"/>
      <c r="E1261" s="25"/>
      <c r="F1261" s="25"/>
      <c r="G1261" s="123"/>
      <c r="H1261" s="123"/>
      <c r="I1261" s="25"/>
      <c r="J1261" s="25"/>
      <c r="K1261" s="367"/>
      <c r="L1261" s="42"/>
      <c r="M1261" s="42"/>
      <c r="N1261" s="42"/>
      <c r="O1261" s="42"/>
      <c r="P1261" s="42"/>
      <c r="Q1261" s="42"/>
      <c r="R1261" s="176"/>
      <c r="S1261" s="42"/>
      <c r="T1261" s="42"/>
      <c r="U1261" s="46"/>
      <c r="V1261" s="42"/>
      <c r="W1261" s="42"/>
      <c r="X1261" s="42"/>
      <c r="Y1261" s="42"/>
      <c r="Z1261" s="42"/>
      <c r="AA1261" s="42"/>
      <c r="AB1261" s="42"/>
      <c r="AC1261" s="42"/>
      <c r="AD1261" s="42"/>
      <c r="AE1261" s="42"/>
      <c r="AF1261" s="42"/>
    </row>
    <row r="1262">
      <c r="A1262" s="25"/>
      <c r="B1262" s="297"/>
      <c r="C1262" s="25"/>
      <c r="D1262" s="25"/>
      <c r="E1262" s="25"/>
      <c r="F1262" s="25"/>
      <c r="G1262" s="123"/>
      <c r="H1262" s="123"/>
      <c r="I1262" s="25"/>
      <c r="J1262" s="25"/>
      <c r="K1262" s="367"/>
      <c r="L1262" s="42"/>
      <c r="M1262" s="42"/>
      <c r="N1262" s="42"/>
      <c r="O1262" s="42"/>
      <c r="P1262" s="42"/>
      <c r="Q1262" s="42"/>
      <c r="R1262" s="176"/>
      <c r="S1262" s="42"/>
      <c r="T1262" s="42"/>
      <c r="U1262" s="46"/>
      <c r="V1262" s="42"/>
      <c r="W1262" s="42"/>
      <c r="X1262" s="42"/>
      <c r="Y1262" s="42"/>
      <c r="Z1262" s="42"/>
      <c r="AA1262" s="42"/>
      <c r="AB1262" s="42"/>
      <c r="AC1262" s="42"/>
      <c r="AD1262" s="42"/>
      <c r="AE1262" s="42"/>
      <c r="AF1262" s="42"/>
    </row>
    <row r="1263">
      <c r="A1263" s="25"/>
      <c r="B1263" s="297"/>
      <c r="C1263" s="25"/>
      <c r="D1263" s="25"/>
      <c r="E1263" s="25"/>
      <c r="F1263" s="25"/>
      <c r="G1263" s="123"/>
      <c r="H1263" s="123"/>
      <c r="I1263" s="25"/>
      <c r="J1263" s="25"/>
      <c r="K1263" s="367"/>
      <c r="L1263" s="42"/>
      <c r="M1263" s="42"/>
      <c r="N1263" s="42"/>
      <c r="O1263" s="42"/>
      <c r="P1263" s="42"/>
      <c r="Q1263" s="42"/>
      <c r="R1263" s="176"/>
      <c r="S1263" s="42"/>
      <c r="T1263" s="42"/>
      <c r="U1263" s="46"/>
      <c r="V1263" s="42"/>
      <c r="W1263" s="42"/>
      <c r="X1263" s="42"/>
      <c r="Y1263" s="42"/>
      <c r="Z1263" s="42"/>
      <c r="AA1263" s="42"/>
      <c r="AB1263" s="42"/>
      <c r="AC1263" s="42"/>
      <c r="AD1263" s="42"/>
      <c r="AE1263" s="42"/>
      <c r="AF1263" s="42"/>
    </row>
    <row r="1264">
      <c r="A1264" s="25"/>
      <c r="B1264" s="297"/>
      <c r="C1264" s="25"/>
      <c r="D1264" s="25"/>
      <c r="E1264" s="25"/>
      <c r="F1264" s="25"/>
      <c r="G1264" s="123"/>
      <c r="H1264" s="123"/>
      <c r="I1264" s="25"/>
      <c r="J1264" s="25"/>
      <c r="K1264" s="367"/>
      <c r="L1264" s="42"/>
      <c r="M1264" s="42"/>
      <c r="N1264" s="42"/>
      <c r="O1264" s="42"/>
      <c r="P1264" s="42"/>
      <c r="Q1264" s="42"/>
      <c r="R1264" s="176"/>
      <c r="S1264" s="42"/>
      <c r="T1264" s="42"/>
      <c r="U1264" s="46"/>
      <c r="V1264" s="42"/>
      <c r="W1264" s="42"/>
      <c r="X1264" s="42"/>
      <c r="Y1264" s="42"/>
      <c r="Z1264" s="42"/>
      <c r="AA1264" s="42"/>
      <c r="AB1264" s="42"/>
      <c r="AC1264" s="42"/>
      <c r="AD1264" s="42"/>
      <c r="AE1264" s="42"/>
      <c r="AF1264" s="42"/>
    </row>
    <row r="1265">
      <c r="A1265" s="25"/>
      <c r="B1265" s="297"/>
      <c r="C1265" s="25"/>
      <c r="D1265" s="25"/>
      <c r="E1265" s="25"/>
      <c r="F1265" s="25"/>
      <c r="G1265" s="123"/>
      <c r="H1265" s="123"/>
      <c r="I1265" s="25"/>
      <c r="J1265" s="25"/>
      <c r="K1265" s="367"/>
      <c r="L1265" s="42"/>
      <c r="M1265" s="42"/>
      <c r="N1265" s="42"/>
      <c r="O1265" s="42"/>
      <c r="P1265" s="42"/>
      <c r="Q1265" s="42"/>
      <c r="R1265" s="176"/>
      <c r="S1265" s="42"/>
      <c r="T1265" s="42"/>
      <c r="U1265" s="46"/>
      <c r="V1265" s="42"/>
      <c r="W1265" s="42"/>
      <c r="X1265" s="42"/>
      <c r="Y1265" s="42"/>
      <c r="Z1265" s="42"/>
      <c r="AA1265" s="42"/>
      <c r="AB1265" s="42"/>
      <c r="AC1265" s="42"/>
      <c r="AD1265" s="42"/>
      <c r="AE1265" s="42"/>
      <c r="AF1265" s="42"/>
    </row>
    <row r="1266">
      <c r="A1266" s="25"/>
      <c r="B1266" s="297"/>
      <c r="C1266" s="25"/>
      <c r="D1266" s="25"/>
      <c r="E1266" s="25"/>
      <c r="F1266" s="25"/>
      <c r="G1266" s="123"/>
      <c r="H1266" s="123"/>
      <c r="I1266" s="25"/>
      <c r="J1266" s="25"/>
      <c r="K1266" s="367"/>
      <c r="L1266" s="42"/>
      <c r="M1266" s="42"/>
      <c r="N1266" s="42"/>
      <c r="O1266" s="42"/>
      <c r="P1266" s="42"/>
      <c r="Q1266" s="42"/>
      <c r="R1266" s="176"/>
      <c r="S1266" s="42"/>
      <c r="T1266" s="42"/>
      <c r="U1266" s="46"/>
      <c r="V1266" s="42"/>
      <c r="W1266" s="42"/>
      <c r="X1266" s="42"/>
      <c r="Y1266" s="42"/>
      <c r="Z1266" s="42"/>
      <c r="AA1266" s="42"/>
      <c r="AB1266" s="42"/>
      <c r="AC1266" s="42"/>
      <c r="AD1266" s="42"/>
      <c r="AE1266" s="42"/>
      <c r="AF1266" s="42"/>
    </row>
    <row r="1267">
      <c r="A1267" s="25"/>
      <c r="B1267" s="297"/>
      <c r="C1267" s="25"/>
      <c r="D1267" s="25"/>
      <c r="E1267" s="25"/>
      <c r="F1267" s="25"/>
      <c r="G1267" s="123"/>
      <c r="H1267" s="123"/>
      <c r="I1267" s="25"/>
      <c r="J1267" s="25"/>
      <c r="K1267" s="367"/>
      <c r="L1267" s="42"/>
      <c r="M1267" s="42"/>
      <c r="N1267" s="42"/>
      <c r="O1267" s="42"/>
      <c r="P1267" s="42"/>
      <c r="Q1267" s="42"/>
      <c r="R1267" s="176"/>
      <c r="S1267" s="42"/>
      <c r="T1267" s="42"/>
      <c r="U1267" s="46"/>
      <c r="V1267" s="42"/>
      <c r="W1267" s="42"/>
      <c r="X1267" s="42"/>
      <c r="Y1267" s="42"/>
      <c r="Z1267" s="42"/>
      <c r="AA1267" s="42"/>
      <c r="AB1267" s="42"/>
      <c r="AC1267" s="42"/>
      <c r="AD1267" s="42"/>
      <c r="AE1267" s="42"/>
      <c r="AF1267" s="42"/>
    </row>
    <row r="1268">
      <c r="A1268" s="25"/>
      <c r="B1268" s="297"/>
      <c r="C1268" s="25"/>
      <c r="D1268" s="25"/>
      <c r="E1268" s="25"/>
      <c r="F1268" s="25"/>
      <c r="G1268" s="123"/>
      <c r="H1268" s="123"/>
      <c r="I1268" s="25"/>
      <c r="J1268" s="25"/>
      <c r="K1268" s="367"/>
      <c r="L1268" s="42"/>
      <c r="M1268" s="42"/>
      <c r="N1268" s="42"/>
      <c r="O1268" s="42"/>
      <c r="P1268" s="42"/>
      <c r="Q1268" s="42"/>
      <c r="R1268" s="176"/>
      <c r="S1268" s="42"/>
      <c r="T1268" s="42"/>
      <c r="U1268" s="46"/>
      <c r="V1268" s="42"/>
      <c r="W1268" s="42"/>
      <c r="X1268" s="42"/>
      <c r="Y1268" s="42"/>
      <c r="Z1268" s="42"/>
      <c r="AA1268" s="42"/>
      <c r="AB1268" s="42"/>
      <c r="AC1268" s="42"/>
      <c r="AD1268" s="42"/>
      <c r="AE1268" s="42"/>
      <c r="AF1268" s="42"/>
    </row>
    <row r="1269">
      <c r="A1269" s="25"/>
      <c r="B1269" s="297"/>
      <c r="C1269" s="25"/>
      <c r="D1269" s="25"/>
      <c r="E1269" s="25"/>
      <c r="F1269" s="25"/>
      <c r="G1269" s="123"/>
      <c r="H1269" s="123"/>
      <c r="I1269" s="25"/>
      <c r="J1269" s="25"/>
      <c r="K1269" s="367"/>
      <c r="L1269" s="42"/>
      <c r="M1269" s="42"/>
      <c r="N1269" s="42"/>
      <c r="O1269" s="42"/>
      <c r="P1269" s="42"/>
      <c r="Q1269" s="42"/>
      <c r="R1269" s="176"/>
      <c r="S1269" s="42"/>
      <c r="T1269" s="42"/>
      <c r="U1269" s="46"/>
      <c r="V1269" s="42"/>
      <c r="W1269" s="42"/>
      <c r="X1269" s="42"/>
      <c r="Y1269" s="42"/>
      <c r="Z1269" s="42"/>
      <c r="AA1269" s="42"/>
      <c r="AB1269" s="42"/>
      <c r="AC1269" s="42"/>
      <c r="AD1269" s="42"/>
      <c r="AE1269" s="42"/>
      <c r="AF1269" s="42"/>
    </row>
    <row r="1270">
      <c r="A1270" s="25"/>
      <c r="B1270" s="297"/>
      <c r="C1270" s="25"/>
      <c r="D1270" s="25"/>
      <c r="E1270" s="25"/>
      <c r="F1270" s="25"/>
      <c r="G1270" s="123"/>
      <c r="H1270" s="123"/>
      <c r="I1270" s="25"/>
      <c r="J1270" s="25"/>
      <c r="K1270" s="367"/>
      <c r="L1270" s="42"/>
      <c r="M1270" s="42"/>
      <c r="N1270" s="42"/>
      <c r="O1270" s="42"/>
      <c r="P1270" s="42"/>
      <c r="Q1270" s="42"/>
      <c r="R1270" s="176"/>
      <c r="S1270" s="42"/>
      <c r="T1270" s="42"/>
      <c r="U1270" s="46"/>
      <c r="V1270" s="42"/>
      <c r="W1270" s="42"/>
      <c r="X1270" s="42"/>
      <c r="Y1270" s="42"/>
      <c r="Z1270" s="42"/>
      <c r="AA1270" s="42"/>
      <c r="AB1270" s="42"/>
      <c r="AC1270" s="42"/>
      <c r="AD1270" s="42"/>
      <c r="AE1270" s="42"/>
      <c r="AF1270" s="42"/>
    </row>
    <row r="1271">
      <c r="A1271" s="25"/>
      <c r="B1271" s="297"/>
      <c r="C1271" s="25"/>
      <c r="D1271" s="25"/>
      <c r="E1271" s="25"/>
      <c r="F1271" s="25"/>
      <c r="G1271" s="123"/>
      <c r="H1271" s="123"/>
      <c r="I1271" s="25"/>
      <c r="J1271" s="25"/>
      <c r="K1271" s="367"/>
      <c r="L1271" s="42"/>
      <c r="M1271" s="42"/>
      <c r="N1271" s="42"/>
      <c r="O1271" s="42"/>
      <c r="P1271" s="42"/>
      <c r="Q1271" s="42"/>
      <c r="R1271" s="176"/>
      <c r="S1271" s="42"/>
      <c r="T1271" s="42"/>
      <c r="U1271" s="46"/>
      <c r="V1271" s="42"/>
      <c r="W1271" s="42"/>
      <c r="X1271" s="42"/>
      <c r="Y1271" s="42"/>
      <c r="Z1271" s="42"/>
      <c r="AA1271" s="42"/>
      <c r="AB1271" s="42"/>
      <c r="AC1271" s="42"/>
      <c r="AD1271" s="42"/>
      <c r="AE1271" s="42"/>
      <c r="AF1271" s="42"/>
    </row>
    <row r="1272">
      <c r="A1272" s="25"/>
      <c r="B1272" s="297"/>
      <c r="C1272" s="25"/>
      <c r="D1272" s="25"/>
      <c r="E1272" s="25"/>
      <c r="F1272" s="25"/>
      <c r="G1272" s="123"/>
      <c r="H1272" s="123"/>
      <c r="I1272" s="25"/>
      <c r="J1272" s="25"/>
      <c r="K1272" s="367"/>
      <c r="L1272" s="42"/>
      <c r="M1272" s="42"/>
      <c r="N1272" s="42"/>
      <c r="O1272" s="42"/>
      <c r="P1272" s="42"/>
      <c r="Q1272" s="42"/>
      <c r="R1272" s="176"/>
      <c r="S1272" s="42"/>
      <c r="T1272" s="42"/>
      <c r="U1272" s="46"/>
      <c r="V1272" s="42"/>
      <c r="W1272" s="42"/>
      <c r="X1272" s="42"/>
      <c r="Y1272" s="42"/>
      <c r="Z1272" s="42"/>
      <c r="AA1272" s="42"/>
      <c r="AB1272" s="42"/>
      <c r="AC1272" s="42"/>
      <c r="AD1272" s="42"/>
      <c r="AE1272" s="42"/>
      <c r="AF1272" s="42"/>
    </row>
    <row r="1273">
      <c r="A1273" s="25"/>
      <c r="B1273" s="297"/>
      <c r="C1273" s="25"/>
      <c r="D1273" s="25"/>
      <c r="E1273" s="25"/>
      <c r="F1273" s="25"/>
      <c r="G1273" s="123"/>
      <c r="H1273" s="123"/>
      <c r="I1273" s="25"/>
      <c r="J1273" s="25"/>
      <c r="K1273" s="367"/>
      <c r="L1273" s="42"/>
      <c r="M1273" s="42"/>
      <c r="N1273" s="42"/>
      <c r="O1273" s="42"/>
      <c r="P1273" s="42"/>
      <c r="Q1273" s="42"/>
      <c r="R1273" s="176"/>
      <c r="S1273" s="42"/>
      <c r="T1273" s="42"/>
      <c r="U1273" s="46"/>
      <c r="V1273" s="42"/>
      <c r="W1273" s="42"/>
      <c r="X1273" s="42"/>
      <c r="Y1273" s="42"/>
      <c r="Z1273" s="42"/>
      <c r="AA1273" s="42"/>
      <c r="AB1273" s="42"/>
      <c r="AC1273" s="42"/>
      <c r="AD1273" s="42"/>
      <c r="AE1273" s="42"/>
      <c r="AF1273" s="42"/>
    </row>
    <row r="1274">
      <c r="A1274" s="25"/>
      <c r="B1274" s="297"/>
      <c r="C1274" s="25"/>
      <c r="D1274" s="25"/>
      <c r="E1274" s="25"/>
      <c r="F1274" s="25"/>
      <c r="G1274" s="123"/>
      <c r="H1274" s="123"/>
      <c r="I1274" s="25"/>
      <c r="J1274" s="25"/>
      <c r="K1274" s="367"/>
      <c r="L1274" s="42"/>
      <c r="M1274" s="42"/>
      <c r="N1274" s="42"/>
      <c r="O1274" s="42"/>
      <c r="P1274" s="42"/>
      <c r="Q1274" s="42"/>
      <c r="R1274" s="176"/>
      <c r="S1274" s="42"/>
      <c r="T1274" s="42"/>
      <c r="U1274" s="46"/>
      <c r="V1274" s="42"/>
      <c r="W1274" s="42"/>
      <c r="X1274" s="42"/>
      <c r="Y1274" s="42"/>
      <c r="Z1274" s="42"/>
      <c r="AA1274" s="42"/>
      <c r="AB1274" s="42"/>
      <c r="AC1274" s="42"/>
      <c r="AD1274" s="42"/>
      <c r="AE1274" s="42"/>
      <c r="AF1274" s="42"/>
    </row>
    <row r="1275">
      <c r="A1275" s="25"/>
      <c r="B1275" s="297"/>
      <c r="C1275" s="25"/>
      <c r="D1275" s="25"/>
      <c r="E1275" s="25"/>
      <c r="F1275" s="25"/>
      <c r="G1275" s="123"/>
      <c r="H1275" s="123"/>
      <c r="I1275" s="25"/>
      <c r="J1275" s="25"/>
      <c r="K1275" s="367"/>
      <c r="L1275" s="42"/>
      <c r="M1275" s="42"/>
      <c r="N1275" s="42"/>
      <c r="O1275" s="42"/>
      <c r="P1275" s="42"/>
      <c r="Q1275" s="42"/>
      <c r="R1275" s="176"/>
      <c r="S1275" s="42"/>
      <c r="T1275" s="42"/>
      <c r="U1275" s="46"/>
      <c r="V1275" s="42"/>
      <c r="W1275" s="42"/>
      <c r="X1275" s="42"/>
      <c r="Y1275" s="42"/>
      <c r="Z1275" s="42"/>
      <c r="AA1275" s="42"/>
      <c r="AB1275" s="42"/>
      <c r="AC1275" s="42"/>
      <c r="AD1275" s="42"/>
      <c r="AE1275" s="42"/>
      <c r="AF1275" s="42"/>
    </row>
    <row r="1276">
      <c r="A1276" s="25"/>
      <c r="B1276" s="297"/>
      <c r="C1276" s="25"/>
      <c r="D1276" s="25"/>
      <c r="E1276" s="25"/>
      <c r="F1276" s="25"/>
      <c r="G1276" s="123"/>
      <c r="H1276" s="123"/>
      <c r="I1276" s="25"/>
      <c r="J1276" s="25"/>
      <c r="K1276" s="367"/>
      <c r="L1276" s="42"/>
      <c r="M1276" s="42"/>
      <c r="N1276" s="42"/>
      <c r="O1276" s="42"/>
      <c r="P1276" s="42"/>
      <c r="Q1276" s="42"/>
      <c r="R1276" s="176"/>
      <c r="S1276" s="42"/>
      <c r="T1276" s="42"/>
      <c r="U1276" s="46"/>
      <c r="V1276" s="42"/>
      <c r="W1276" s="42"/>
      <c r="X1276" s="42"/>
      <c r="Y1276" s="42"/>
      <c r="Z1276" s="42"/>
      <c r="AA1276" s="42"/>
      <c r="AB1276" s="42"/>
      <c r="AC1276" s="42"/>
      <c r="AD1276" s="42"/>
      <c r="AE1276" s="42"/>
      <c r="AF1276" s="42"/>
    </row>
    <row r="1277">
      <c r="A1277" s="25"/>
      <c r="B1277" s="297"/>
      <c r="C1277" s="25"/>
      <c r="D1277" s="25"/>
      <c r="E1277" s="25"/>
      <c r="F1277" s="25"/>
      <c r="G1277" s="123"/>
      <c r="H1277" s="123"/>
      <c r="I1277" s="25"/>
      <c r="J1277" s="25"/>
      <c r="K1277" s="367"/>
      <c r="L1277" s="42"/>
      <c r="M1277" s="42"/>
      <c r="N1277" s="42"/>
      <c r="O1277" s="42"/>
      <c r="P1277" s="42"/>
      <c r="Q1277" s="42"/>
      <c r="R1277" s="176"/>
      <c r="S1277" s="42"/>
      <c r="T1277" s="42"/>
      <c r="U1277" s="46"/>
      <c r="V1277" s="42"/>
      <c r="W1277" s="42"/>
      <c r="X1277" s="42"/>
      <c r="Y1277" s="42"/>
      <c r="Z1277" s="42"/>
      <c r="AA1277" s="42"/>
      <c r="AB1277" s="42"/>
      <c r="AC1277" s="42"/>
      <c r="AD1277" s="42"/>
      <c r="AE1277" s="42"/>
      <c r="AF1277" s="42"/>
    </row>
    <row r="1278">
      <c r="A1278" s="25"/>
      <c r="B1278" s="297"/>
      <c r="C1278" s="25"/>
      <c r="D1278" s="25"/>
      <c r="E1278" s="25"/>
      <c r="F1278" s="25"/>
      <c r="G1278" s="123"/>
      <c r="H1278" s="123"/>
      <c r="I1278" s="25"/>
      <c r="J1278" s="25"/>
      <c r="K1278" s="367"/>
      <c r="L1278" s="42"/>
      <c r="M1278" s="42"/>
      <c r="N1278" s="42"/>
      <c r="O1278" s="42"/>
      <c r="P1278" s="42"/>
      <c r="Q1278" s="42"/>
      <c r="R1278" s="176"/>
      <c r="S1278" s="42"/>
      <c r="T1278" s="42"/>
      <c r="U1278" s="46"/>
      <c r="V1278" s="42"/>
      <c r="W1278" s="42"/>
      <c r="X1278" s="42"/>
      <c r="Y1278" s="42"/>
      <c r="Z1278" s="42"/>
      <c r="AA1278" s="42"/>
      <c r="AB1278" s="42"/>
      <c r="AC1278" s="42"/>
      <c r="AD1278" s="42"/>
      <c r="AE1278" s="42"/>
      <c r="AF1278" s="42"/>
    </row>
    <row r="1279">
      <c r="A1279" s="25"/>
      <c r="B1279" s="297"/>
      <c r="C1279" s="25"/>
      <c r="D1279" s="25"/>
      <c r="E1279" s="25"/>
      <c r="F1279" s="25"/>
      <c r="G1279" s="123"/>
      <c r="H1279" s="123"/>
      <c r="I1279" s="25"/>
      <c r="J1279" s="25"/>
      <c r="K1279" s="367"/>
      <c r="L1279" s="42"/>
      <c r="M1279" s="42"/>
      <c r="N1279" s="42"/>
      <c r="O1279" s="42"/>
      <c r="P1279" s="42"/>
      <c r="Q1279" s="42"/>
      <c r="R1279" s="176"/>
      <c r="S1279" s="42"/>
      <c r="T1279" s="42"/>
      <c r="U1279" s="46"/>
      <c r="V1279" s="42"/>
      <c r="W1279" s="42"/>
      <c r="X1279" s="42"/>
      <c r="Y1279" s="42"/>
      <c r="Z1279" s="42"/>
      <c r="AA1279" s="42"/>
      <c r="AB1279" s="42"/>
      <c r="AC1279" s="42"/>
      <c r="AD1279" s="42"/>
      <c r="AE1279" s="42"/>
      <c r="AF1279" s="42"/>
    </row>
    <row r="1280">
      <c r="A1280" s="25"/>
      <c r="B1280" s="297"/>
      <c r="C1280" s="25"/>
      <c r="D1280" s="25"/>
      <c r="E1280" s="25"/>
      <c r="F1280" s="25"/>
      <c r="G1280" s="123"/>
      <c r="H1280" s="123"/>
      <c r="I1280" s="25"/>
      <c r="J1280" s="25"/>
      <c r="K1280" s="367"/>
      <c r="L1280" s="42"/>
      <c r="M1280" s="42"/>
      <c r="N1280" s="42"/>
      <c r="O1280" s="42"/>
      <c r="P1280" s="42"/>
      <c r="Q1280" s="42"/>
      <c r="R1280" s="176"/>
      <c r="S1280" s="42"/>
      <c r="T1280" s="42"/>
      <c r="U1280" s="46"/>
      <c r="V1280" s="42"/>
      <c r="W1280" s="42"/>
      <c r="X1280" s="42"/>
      <c r="Y1280" s="42"/>
      <c r="Z1280" s="42"/>
      <c r="AA1280" s="42"/>
      <c r="AB1280" s="42"/>
      <c r="AC1280" s="42"/>
      <c r="AD1280" s="42"/>
      <c r="AE1280" s="42"/>
      <c r="AF1280" s="42"/>
    </row>
    <row r="1281">
      <c r="A1281" s="25"/>
      <c r="B1281" s="297"/>
      <c r="C1281" s="25"/>
      <c r="D1281" s="25"/>
      <c r="E1281" s="25"/>
      <c r="F1281" s="25"/>
      <c r="G1281" s="123"/>
      <c r="H1281" s="123"/>
      <c r="I1281" s="25"/>
      <c r="J1281" s="25"/>
      <c r="K1281" s="367"/>
      <c r="L1281" s="42"/>
      <c r="M1281" s="42"/>
      <c r="N1281" s="42"/>
      <c r="O1281" s="42"/>
      <c r="P1281" s="42"/>
      <c r="Q1281" s="42"/>
      <c r="R1281" s="176"/>
      <c r="S1281" s="42"/>
      <c r="T1281" s="42"/>
      <c r="U1281" s="46"/>
      <c r="V1281" s="42"/>
      <c r="W1281" s="42"/>
      <c r="X1281" s="42"/>
      <c r="Y1281" s="42"/>
      <c r="Z1281" s="42"/>
      <c r="AA1281" s="42"/>
      <c r="AB1281" s="42"/>
      <c r="AC1281" s="42"/>
      <c r="AD1281" s="42"/>
      <c r="AE1281" s="42"/>
      <c r="AF1281" s="42"/>
    </row>
    <row r="1282">
      <c r="A1282" s="25"/>
      <c r="B1282" s="297"/>
      <c r="C1282" s="25"/>
      <c r="D1282" s="25"/>
      <c r="E1282" s="25"/>
      <c r="F1282" s="25"/>
      <c r="G1282" s="123"/>
      <c r="H1282" s="123"/>
      <c r="I1282" s="25"/>
      <c r="J1282" s="25"/>
      <c r="K1282" s="367"/>
      <c r="L1282" s="42"/>
      <c r="M1282" s="42"/>
      <c r="N1282" s="42"/>
      <c r="O1282" s="42"/>
      <c r="P1282" s="42"/>
      <c r="Q1282" s="42"/>
      <c r="R1282" s="176"/>
      <c r="S1282" s="42"/>
      <c r="T1282" s="42"/>
      <c r="U1282" s="46"/>
      <c r="V1282" s="42"/>
      <c r="W1282" s="42"/>
      <c r="X1282" s="42"/>
      <c r="Y1282" s="42"/>
      <c r="Z1282" s="42"/>
      <c r="AA1282" s="42"/>
      <c r="AB1282" s="42"/>
      <c r="AC1282" s="42"/>
      <c r="AD1282" s="42"/>
      <c r="AE1282" s="42"/>
      <c r="AF1282" s="42"/>
    </row>
    <row r="1283">
      <c r="A1283" s="25"/>
      <c r="B1283" s="297"/>
      <c r="C1283" s="25"/>
      <c r="D1283" s="25"/>
      <c r="E1283" s="25"/>
      <c r="F1283" s="25"/>
      <c r="G1283" s="123"/>
      <c r="H1283" s="123"/>
      <c r="I1283" s="25"/>
      <c r="J1283" s="25"/>
      <c r="K1283" s="367"/>
      <c r="L1283" s="42"/>
      <c r="M1283" s="42"/>
      <c r="N1283" s="42"/>
      <c r="O1283" s="42"/>
      <c r="P1283" s="42"/>
      <c r="Q1283" s="42"/>
      <c r="R1283" s="176"/>
      <c r="S1283" s="42"/>
      <c r="T1283" s="42"/>
      <c r="U1283" s="46"/>
      <c r="V1283" s="42"/>
      <c r="W1283" s="42"/>
      <c r="X1283" s="42"/>
      <c r="Y1283" s="42"/>
      <c r="Z1283" s="42"/>
      <c r="AA1283" s="42"/>
      <c r="AB1283" s="42"/>
      <c r="AC1283" s="42"/>
      <c r="AD1283" s="42"/>
      <c r="AE1283" s="42"/>
      <c r="AF1283" s="42"/>
    </row>
    <row r="1284">
      <c r="A1284" s="25"/>
      <c r="B1284" s="297"/>
      <c r="C1284" s="25"/>
      <c r="D1284" s="25"/>
      <c r="E1284" s="25"/>
      <c r="F1284" s="25"/>
      <c r="G1284" s="123"/>
      <c r="H1284" s="123"/>
      <c r="I1284" s="25"/>
      <c r="J1284" s="25"/>
      <c r="K1284" s="367"/>
      <c r="L1284" s="42"/>
      <c r="M1284" s="42"/>
      <c r="N1284" s="42"/>
      <c r="O1284" s="42"/>
      <c r="P1284" s="42"/>
      <c r="Q1284" s="42"/>
      <c r="R1284" s="176"/>
      <c r="S1284" s="42"/>
      <c r="T1284" s="42"/>
      <c r="U1284" s="46"/>
      <c r="V1284" s="42"/>
      <c r="W1284" s="42"/>
      <c r="X1284" s="42"/>
      <c r="Y1284" s="42"/>
      <c r="Z1284" s="42"/>
      <c r="AA1284" s="42"/>
      <c r="AB1284" s="42"/>
      <c r="AC1284" s="42"/>
      <c r="AD1284" s="42"/>
      <c r="AE1284" s="42"/>
      <c r="AF1284" s="42"/>
    </row>
    <row r="1285">
      <c r="A1285" s="25"/>
      <c r="B1285" s="297"/>
      <c r="C1285" s="25"/>
      <c r="D1285" s="25"/>
      <c r="E1285" s="25"/>
      <c r="F1285" s="25"/>
      <c r="G1285" s="123"/>
      <c r="H1285" s="123"/>
      <c r="I1285" s="25"/>
      <c r="J1285" s="25"/>
      <c r="K1285" s="367"/>
      <c r="L1285" s="42"/>
      <c r="M1285" s="42"/>
      <c r="N1285" s="42"/>
      <c r="O1285" s="42"/>
      <c r="P1285" s="42"/>
      <c r="Q1285" s="42"/>
      <c r="R1285" s="176"/>
      <c r="S1285" s="42"/>
      <c r="T1285" s="42"/>
      <c r="U1285" s="46"/>
      <c r="V1285" s="42"/>
      <c r="W1285" s="42"/>
      <c r="X1285" s="42"/>
      <c r="Y1285" s="42"/>
      <c r="Z1285" s="42"/>
      <c r="AA1285" s="42"/>
      <c r="AB1285" s="42"/>
      <c r="AC1285" s="42"/>
      <c r="AD1285" s="42"/>
      <c r="AE1285" s="42"/>
      <c r="AF1285" s="42"/>
    </row>
    <row r="1286">
      <c r="A1286" s="25"/>
      <c r="B1286" s="297"/>
      <c r="C1286" s="25"/>
      <c r="D1286" s="25"/>
      <c r="E1286" s="25"/>
      <c r="F1286" s="25"/>
      <c r="G1286" s="123"/>
      <c r="H1286" s="123"/>
      <c r="I1286" s="25"/>
      <c r="J1286" s="25"/>
      <c r="K1286" s="367"/>
      <c r="L1286" s="42"/>
      <c r="M1286" s="42"/>
      <c r="N1286" s="42"/>
      <c r="O1286" s="42"/>
      <c r="P1286" s="42"/>
      <c r="Q1286" s="42"/>
      <c r="R1286" s="176"/>
      <c r="S1286" s="42"/>
      <c r="T1286" s="42"/>
      <c r="U1286" s="46"/>
      <c r="V1286" s="42"/>
      <c r="W1286" s="42"/>
      <c r="X1286" s="42"/>
      <c r="Y1286" s="42"/>
      <c r="Z1286" s="42"/>
      <c r="AA1286" s="42"/>
      <c r="AB1286" s="42"/>
      <c r="AC1286" s="42"/>
      <c r="AD1286" s="42"/>
      <c r="AE1286" s="42"/>
      <c r="AF1286" s="42"/>
    </row>
    <row r="1287">
      <c r="A1287" s="25"/>
      <c r="B1287" s="297"/>
      <c r="C1287" s="25"/>
      <c r="D1287" s="25"/>
      <c r="E1287" s="25"/>
      <c r="F1287" s="25"/>
      <c r="G1287" s="123"/>
      <c r="H1287" s="123"/>
      <c r="I1287" s="25"/>
      <c r="J1287" s="25"/>
      <c r="K1287" s="367"/>
      <c r="L1287" s="42"/>
      <c r="M1287" s="42"/>
      <c r="N1287" s="42"/>
      <c r="O1287" s="42"/>
      <c r="P1287" s="42"/>
      <c r="Q1287" s="42"/>
      <c r="R1287" s="176"/>
      <c r="S1287" s="42"/>
      <c r="T1287" s="42"/>
      <c r="U1287" s="46"/>
      <c r="V1287" s="42"/>
      <c r="W1287" s="42"/>
      <c r="X1287" s="42"/>
      <c r="Y1287" s="42"/>
      <c r="Z1287" s="42"/>
      <c r="AA1287" s="42"/>
      <c r="AB1287" s="42"/>
      <c r="AC1287" s="42"/>
      <c r="AD1287" s="42"/>
      <c r="AE1287" s="42"/>
      <c r="AF1287" s="42"/>
    </row>
    <row r="1288">
      <c r="A1288" s="25"/>
      <c r="B1288" s="297"/>
      <c r="C1288" s="25"/>
      <c r="D1288" s="25"/>
      <c r="E1288" s="25"/>
      <c r="F1288" s="25"/>
      <c r="G1288" s="123"/>
      <c r="H1288" s="123"/>
      <c r="I1288" s="25"/>
      <c r="J1288" s="25"/>
      <c r="K1288" s="367"/>
      <c r="L1288" s="42"/>
      <c r="M1288" s="42"/>
      <c r="N1288" s="42"/>
      <c r="O1288" s="42"/>
      <c r="P1288" s="42"/>
      <c r="Q1288" s="42"/>
      <c r="R1288" s="176"/>
      <c r="S1288" s="42"/>
      <c r="T1288" s="42"/>
      <c r="U1288" s="46"/>
      <c r="V1288" s="42"/>
      <c r="W1288" s="42"/>
      <c r="X1288" s="42"/>
      <c r="Y1288" s="42"/>
      <c r="Z1288" s="42"/>
      <c r="AA1288" s="42"/>
      <c r="AB1288" s="42"/>
      <c r="AC1288" s="42"/>
      <c r="AD1288" s="42"/>
      <c r="AE1288" s="42"/>
      <c r="AF1288" s="42"/>
    </row>
    <row r="1289">
      <c r="A1289" s="25"/>
      <c r="B1289" s="297"/>
      <c r="C1289" s="25"/>
      <c r="D1289" s="25"/>
      <c r="E1289" s="25"/>
      <c r="F1289" s="25"/>
      <c r="G1289" s="123"/>
      <c r="H1289" s="123"/>
      <c r="I1289" s="25"/>
      <c r="J1289" s="25"/>
      <c r="K1289" s="367"/>
      <c r="L1289" s="42"/>
      <c r="M1289" s="42"/>
      <c r="N1289" s="42"/>
      <c r="O1289" s="42"/>
      <c r="P1289" s="42"/>
      <c r="Q1289" s="42"/>
      <c r="R1289" s="176"/>
      <c r="S1289" s="42"/>
      <c r="T1289" s="42"/>
      <c r="U1289" s="46"/>
      <c r="V1289" s="42"/>
      <c r="W1289" s="42"/>
      <c r="X1289" s="42"/>
      <c r="Y1289" s="42"/>
      <c r="Z1289" s="42"/>
      <c r="AA1289" s="42"/>
      <c r="AB1289" s="42"/>
      <c r="AC1289" s="42"/>
      <c r="AD1289" s="42"/>
      <c r="AE1289" s="42"/>
      <c r="AF1289" s="42"/>
    </row>
    <row r="1290">
      <c r="A1290" s="25"/>
      <c r="B1290" s="297"/>
      <c r="C1290" s="25"/>
      <c r="D1290" s="25"/>
      <c r="E1290" s="25"/>
      <c r="F1290" s="25"/>
      <c r="G1290" s="123"/>
      <c r="H1290" s="123"/>
      <c r="I1290" s="25"/>
      <c r="J1290" s="25"/>
      <c r="K1290" s="367"/>
      <c r="L1290" s="42"/>
      <c r="M1290" s="42"/>
      <c r="N1290" s="42"/>
      <c r="O1290" s="42"/>
      <c r="P1290" s="42"/>
      <c r="Q1290" s="42"/>
      <c r="R1290" s="176"/>
      <c r="S1290" s="42"/>
      <c r="T1290" s="42"/>
      <c r="U1290" s="46"/>
      <c r="V1290" s="42"/>
      <c r="W1290" s="42"/>
      <c r="X1290" s="42"/>
      <c r="Y1290" s="42"/>
      <c r="Z1290" s="42"/>
      <c r="AA1290" s="42"/>
      <c r="AB1290" s="42"/>
      <c r="AC1290" s="42"/>
      <c r="AD1290" s="42"/>
      <c r="AE1290" s="42"/>
      <c r="AF1290" s="42"/>
    </row>
    <row r="1291">
      <c r="A1291" s="25"/>
      <c r="B1291" s="297"/>
      <c r="C1291" s="25"/>
      <c r="D1291" s="25"/>
      <c r="E1291" s="25"/>
      <c r="F1291" s="25"/>
      <c r="G1291" s="123"/>
      <c r="H1291" s="123"/>
      <c r="I1291" s="25"/>
      <c r="J1291" s="25"/>
      <c r="K1291" s="367"/>
      <c r="L1291" s="42"/>
      <c r="M1291" s="42"/>
      <c r="N1291" s="42"/>
      <c r="O1291" s="42"/>
      <c r="P1291" s="42"/>
      <c r="Q1291" s="42"/>
      <c r="R1291" s="176"/>
      <c r="S1291" s="42"/>
      <c r="T1291" s="42"/>
      <c r="U1291" s="46"/>
      <c r="V1291" s="42"/>
      <c r="W1291" s="42"/>
      <c r="X1291" s="42"/>
      <c r="Y1291" s="42"/>
      <c r="Z1291" s="42"/>
      <c r="AA1291" s="42"/>
      <c r="AB1291" s="42"/>
      <c r="AC1291" s="42"/>
      <c r="AD1291" s="42"/>
      <c r="AE1291" s="42"/>
      <c r="AF1291" s="42"/>
    </row>
    <row r="1292">
      <c r="A1292" s="25"/>
      <c r="B1292" s="297"/>
      <c r="C1292" s="25"/>
      <c r="D1292" s="25"/>
      <c r="E1292" s="25"/>
      <c r="F1292" s="25"/>
      <c r="G1292" s="123"/>
      <c r="H1292" s="123"/>
      <c r="I1292" s="25"/>
      <c r="J1292" s="25"/>
      <c r="K1292" s="367"/>
      <c r="L1292" s="42"/>
      <c r="M1292" s="42"/>
      <c r="N1292" s="42"/>
      <c r="O1292" s="42"/>
      <c r="P1292" s="42"/>
      <c r="Q1292" s="42"/>
      <c r="R1292" s="176"/>
      <c r="S1292" s="42"/>
      <c r="T1292" s="42"/>
      <c r="U1292" s="46"/>
      <c r="V1292" s="42"/>
      <c r="W1292" s="42"/>
      <c r="X1292" s="42"/>
      <c r="Y1292" s="42"/>
      <c r="Z1292" s="42"/>
      <c r="AA1292" s="42"/>
      <c r="AB1292" s="42"/>
      <c r="AC1292" s="42"/>
      <c r="AD1292" s="42"/>
      <c r="AE1292" s="42"/>
      <c r="AF1292" s="42"/>
    </row>
    <row r="1293">
      <c r="A1293" s="25"/>
      <c r="B1293" s="297"/>
      <c r="C1293" s="25"/>
      <c r="D1293" s="25"/>
      <c r="E1293" s="25"/>
      <c r="F1293" s="25"/>
      <c r="G1293" s="123"/>
      <c r="H1293" s="123"/>
      <c r="I1293" s="25"/>
      <c r="J1293" s="25"/>
      <c r="K1293" s="367"/>
      <c r="L1293" s="42"/>
      <c r="M1293" s="42"/>
      <c r="N1293" s="42"/>
      <c r="O1293" s="42"/>
      <c r="P1293" s="42"/>
      <c r="Q1293" s="42"/>
      <c r="R1293" s="176"/>
      <c r="S1293" s="42"/>
      <c r="T1293" s="42"/>
      <c r="U1293" s="46"/>
      <c r="V1293" s="42"/>
      <c r="W1293" s="42"/>
      <c r="X1293" s="42"/>
      <c r="Y1293" s="42"/>
      <c r="Z1293" s="42"/>
      <c r="AA1293" s="42"/>
      <c r="AB1293" s="42"/>
      <c r="AC1293" s="42"/>
      <c r="AD1293" s="42"/>
      <c r="AE1293" s="42"/>
      <c r="AF1293" s="42"/>
    </row>
    <row r="1294">
      <c r="A1294" s="25"/>
      <c r="B1294" s="297"/>
      <c r="C1294" s="25"/>
      <c r="D1294" s="25"/>
      <c r="E1294" s="25"/>
      <c r="F1294" s="25"/>
      <c r="G1294" s="123"/>
      <c r="H1294" s="123"/>
      <c r="I1294" s="25"/>
      <c r="J1294" s="25"/>
      <c r="K1294" s="367"/>
      <c r="L1294" s="42"/>
      <c r="M1294" s="42"/>
      <c r="N1294" s="42"/>
      <c r="O1294" s="42"/>
      <c r="P1294" s="42"/>
      <c r="Q1294" s="42"/>
      <c r="R1294" s="176"/>
      <c r="S1294" s="42"/>
      <c r="T1294" s="42"/>
      <c r="U1294" s="46"/>
      <c r="V1294" s="42"/>
      <c r="W1294" s="42"/>
      <c r="X1294" s="42"/>
      <c r="Y1294" s="42"/>
      <c r="Z1294" s="42"/>
      <c r="AA1294" s="42"/>
      <c r="AB1294" s="42"/>
      <c r="AC1294" s="42"/>
      <c r="AD1294" s="42"/>
      <c r="AE1294" s="42"/>
      <c r="AF1294" s="42"/>
    </row>
    <row r="1295">
      <c r="A1295" s="25"/>
      <c r="B1295" s="297"/>
      <c r="C1295" s="25"/>
      <c r="D1295" s="25"/>
      <c r="E1295" s="25"/>
      <c r="F1295" s="25"/>
      <c r="G1295" s="123"/>
      <c r="H1295" s="123"/>
      <c r="I1295" s="25"/>
      <c r="J1295" s="25"/>
      <c r="K1295" s="367"/>
      <c r="L1295" s="42"/>
      <c r="M1295" s="42"/>
      <c r="N1295" s="42"/>
      <c r="O1295" s="42"/>
      <c r="P1295" s="42"/>
      <c r="Q1295" s="42"/>
      <c r="R1295" s="176"/>
      <c r="S1295" s="42"/>
      <c r="T1295" s="42"/>
      <c r="U1295" s="46"/>
      <c r="V1295" s="42"/>
      <c r="W1295" s="42"/>
      <c r="X1295" s="42"/>
      <c r="Y1295" s="42"/>
      <c r="Z1295" s="42"/>
      <c r="AA1295" s="42"/>
      <c r="AB1295" s="42"/>
      <c r="AC1295" s="42"/>
      <c r="AD1295" s="42"/>
      <c r="AE1295" s="42"/>
      <c r="AF1295" s="42"/>
    </row>
    <row r="1296">
      <c r="A1296" s="25"/>
      <c r="B1296" s="297"/>
      <c r="C1296" s="25"/>
      <c r="D1296" s="25"/>
      <c r="E1296" s="25"/>
      <c r="F1296" s="25"/>
      <c r="G1296" s="123"/>
      <c r="H1296" s="123"/>
      <c r="I1296" s="25"/>
      <c r="J1296" s="25"/>
      <c r="K1296" s="367"/>
      <c r="L1296" s="42"/>
      <c r="M1296" s="42"/>
      <c r="N1296" s="42"/>
      <c r="O1296" s="42"/>
      <c r="P1296" s="42"/>
      <c r="Q1296" s="42"/>
      <c r="R1296" s="176"/>
      <c r="S1296" s="42"/>
      <c r="T1296" s="42"/>
      <c r="U1296" s="46"/>
      <c r="V1296" s="42"/>
      <c r="W1296" s="42"/>
      <c r="X1296" s="42"/>
      <c r="Y1296" s="42"/>
      <c r="Z1296" s="42"/>
      <c r="AA1296" s="42"/>
      <c r="AB1296" s="42"/>
      <c r="AC1296" s="42"/>
      <c r="AD1296" s="42"/>
      <c r="AE1296" s="42"/>
      <c r="AF1296" s="42"/>
    </row>
    <row r="1297">
      <c r="A1297" s="25"/>
      <c r="B1297" s="297"/>
      <c r="C1297" s="25"/>
      <c r="D1297" s="25"/>
      <c r="E1297" s="25"/>
      <c r="F1297" s="25"/>
      <c r="G1297" s="123"/>
      <c r="H1297" s="123"/>
      <c r="I1297" s="25"/>
      <c r="J1297" s="25"/>
      <c r="K1297" s="367"/>
      <c r="L1297" s="42"/>
      <c r="M1297" s="42"/>
      <c r="N1297" s="42"/>
      <c r="O1297" s="42"/>
      <c r="P1297" s="42"/>
      <c r="Q1297" s="42"/>
      <c r="R1297" s="176"/>
      <c r="S1297" s="42"/>
      <c r="T1297" s="42"/>
      <c r="U1297" s="46"/>
      <c r="V1297" s="42"/>
      <c r="W1297" s="42"/>
      <c r="X1297" s="42"/>
      <c r="Y1297" s="42"/>
      <c r="Z1297" s="42"/>
      <c r="AA1297" s="42"/>
      <c r="AB1297" s="42"/>
      <c r="AC1297" s="42"/>
      <c r="AD1297" s="42"/>
      <c r="AE1297" s="42"/>
      <c r="AF1297" s="42"/>
    </row>
    <row r="1298">
      <c r="A1298" s="25"/>
      <c r="B1298" s="297"/>
      <c r="C1298" s="25"/>
      <c r="D1298" s="25"/>
      <c r="E1298" s="25"/>
      <c r="F1298" s="25"/>
      <c r="G1298" s="123"/>
      <c r="H1298" s="123"/>
      <c r="I1298" s="25"/>
      <c r="J1298" s="25"/>
      <c r="K1298" s="367"/>
      <c r="L1298" s="42"/>
      <c r="M1298" s="42"/>
      <c r="N1298" s="42"/>
      <c r="O1298" s="42"/>
      <c r="P1298" s="42"/>
      <c r="Q1298" s="42"/>
      <c r="R1298" s="176"/>
      <c r="S1298" s="42"/>
      <c r="T1298" s="42"/>
      <c r="U1298" s="46"/>
      <c r="V1298" s="42"/>
      <c r="W1298" s="42"/>
      <c r="X1298" s="42"/>
      <c r="Y1298" s="42"/>
      <c r="Z1298" s="42"/>
      <c r="AA1298" s="42"/>
      <c r="AB1298" s="42"/>
      <c r="AC1298" s="42"/>
      <c r="AD1298" s="42"/>
      <c r="AE1298" s="42"/>
      <c r="AF1298" s="42"/>
    </row>
    <row r="1299">
      <c r="A1299" s="25"/>
      <c r="B1299" s="297"/>
      <c r="C1299" s="25"/>
      <c r="D1299" s="25"/>
      <c r="E1299" s="25"/>
      <c r="F1299" s="25"/>
      <c r="G1299" s="123"/>
      <c r="H1299" s="123"/>
      <c r="I1299" s="25"/>
      <c r="J1299" s="25"/>
      <c r="K1299" s="367"/>
      <c r="L1299" s="42"/>
      <c r="M1299" s="42"/>
      <c r="N1299" s="42"/>
      <c r="O1299" s="42"/>
      <c r="P1299" s="42"/>
      <c r="Q1299" s="42"/>
      <c r="R1299" s="176"/>
      <c r="S1299" s="42"/>
      <c r="T1299" s="42"/>
      <c r="U1299" s="46"/>
      <c r="V1299" s="42"/>
      <c r="W1299" s="42"/>
      <c r="X1299" s="42"/>
      <c r="Y1299" s="42"/>
      <c r="Z1299" s="42"/>
      <c r="AA1299" s="42"/>
      <c r="AB1299" s="42"/>
      <c r="AC1299" s="42"/>
      <c r="AD1299" s="42"/>
      <c r="AE1299" s="42"/>
      <c r="AF1299" s="42"/>
    </row>
    <row r="1300">
      <c r="A1300" s="25"/>
      <c r="B1300" s="297"/>
      <c r="C1300" s="25"/>
      <c r="D1300" s="25"/>
      <c r="E1300" s="25"/>
      <c r="F1300" s="25"/>
      <c r="G1300" s="123"/>
      <c r="H1300" s="123"/>
      <c r="I1300" s="25"/>
      <c r="J1300" s="25"/>
      <c r="K1300" s="367"/>
      <c r="L1300" s="42"/>
      <c r="M1300" s="42"/>
      <c r="N1300" s="42"/>
      <c r="O1300" s="42"/>
      <c r="P1300" s="42"/>
      <c r="Q1300" s="42"/>
      <c r="R1300" s="176"/>
      <c r="S1300" s="42"/>
      <c r="T1300" s="42"/>
      <c r="U1300" s="46"/>
      <c r="V1300" s="42"/>
      <c r="W1300" s="42"/>
      <c r="X1300" s="42"/>
      <c r="Y1300" s="42"/>
      <c r="Z1300" s="42"/>
      <c r="AA1300" s="42"/>
      <c r="AB1300" s="42"/>
      <c r="AC1300" s="42"/>
      <c r="AD1300" s="42"/>
      <c r="AE1300" s="42"/>
      <c r="AF1300" s="42"/>
    </row>
    <row r="1301">
      <c r="A1301" s="25"/>
      <c r="B1301" s="297"/>
      <c r="C1301" s="25"/>
      <c r="D1301" s="25"/>
      <c r="E1301" s="25"/>
      <c r="F1301" s="25"/>
      <c r="G1301" s="123"/>
      <c r="H1301" s="123"/>
      <c r="I1301" s="25"/>
      <c r="J1301" s="25"/>
      <c r="K1301" s="367"/>
      <c r="L1301" s="42"/>
      <c r="M1301" s="42"/>
      <c r="N1301" s="42"/>
      <c r="O1301" s="42"/>
      <c r="P1301" s="42"/>
      <c r="Q1301" s="42"/>
      <c r="R1301" s="176"/>
      <c r="S1301" s="42"/>
      <c r="T1301" s="42"/>
      <c r="U1301" s="46"/>
      <c r="V1301" s="42"/>
      <c r="W1301" s="42"/>
      <c r="X1301" s="42"/>
      <c r="Y1301" s="42"/>
      <c r="Z1301" s="42"/>
      <c r="AA1301" s="42"/>
      <c r="AB1301" s="42"/>
      <c r="AC1301" s="42"/>
      <c r="AD1301" s="42"/>
      <c r="AE1301" s="42"/>
      <c r="AF1301" s="42"/>
    </row>
    <row r="1302">
      <c r="A1302" s="25"/>
      <c r="B1302" s="297"/>
      <c r="C1302" s="25"/>
      <c r="D1302" s="25"/>
      <c r="E1302" s="25"/>
      <c r="F1302" s="25"/>
      <c r="G1302" s="123"/>
      <c r="H1302" s="123"/>
      <c r="I1302" s="25"/>
      <c r="J1302" s="25"/>
      <c r="K1302" s="367"/>
      <c r="L1302" s="42"/>
      <c r="M1302" s="42"/>
      <c r="N1302" s="42"/>
      <c r="O1302" s="42"/>
      <c r="P1302" s="42"/>
      <c r="Q1302" s="42"/>
      <c r="R1302" s="176"/>
      <c r="S1302" s="42"/>
      <c r="T1302" s="42"/>
      <c r="U1302" s="46"/>
      <c r="V1302" s="42"/>
      <c r="W1302" s="42"/>
      <c r="X1302" s="42"/>
      <c r="Y1302" s="42"/>
      <c r="Z1302" s="42"/>
      <c r="AA1302" s="42"/>
      <c r="AB1302" s="42"/>
      <c r="AC1302" s="42"/>
      <c r="AD1302" s="42"/>
      <c r="AE1302" s="42"/>
      <c r="AF1302" s="42"/>
    </row>
    <row r="1303">
      <c r="A1303" s="25"/>
      <c r="B1303" s="297"/>
      <c r="C1303" s="25"/>
      <c r="D1303" s="25"/>
      <c r="E1303" s="25"/>
      <c r="F1303" s="25"/>
      <c r="G1303" s="123"/>
      <c r="H1303" s="123"/>
      <c r="I1303" s="25"/>
      <c r="J1303" s="25"/>
      <c r="K1303" s="367"/>
      <c r="L1303" s="42"/>
      <c r="M1303" s="42"/>
      <c r="N1303" s="42"/>
      <c r="O1303" s="42"/>
      <c r="P1303" s="42"/>
      <c r="Q1303" s="42"/>
      <c r="R1303" s="176"/>
      <c r="S1303" s="42"/>
      <c r="T1303" s="42"/>
      <c r="U1303" s="46"/>
      <c r="V1303" s="42"/>
      <c r="W1303" s="42"/>
      <c r="X1303" s="42"/>
      <c r="Y1303" s="42"/>
      <c r="Z1303" s="42"/>
      <c r="AA1303" s="42"/>
      <c r="AB1303" s="42"/>
      <c r="AC1303" s="42"/>
      <c r="AD1303" s="42"/>
      <c r="AE1303" s="42"/>
      <c r="AF1303" s="42"/>
    </row>
    <row r="1304">
      <c r="A1304" s="25"/>
      <c r="B1304" s="297"/>
      <c r="C1304" s="25"/>
      <c r="D1304" s="25"/>
      <c r="E1304" s="25"/>
      <c r="F1304" s="25"/>
      <c r="G1304" s="123"/>
      <c r="H1304" s="123"/>
      <c r="I1304" s="25"/>
      <c r="J1304" s="25"/>
      <c r="K1304" s="367"/>
      <c r="L1304" s="42"/>
      <c r="M1304" s="42"/>
      <c r="N1304" s="42"/>
      <c r="O1304" s="42"/>
      <c r="P1304" s="42"/>
      <c r="Q1304" s="42"/>
      <c r="R1304" s="176"/>
      <c r="S1304" s="42"/>
      <c r="T1304" s="42"/>
      <c r="U1304" s="46"/>
      <c r="V1304" s="42"/>
      <c r="W1304" s="42"/>
      <c r="X1304" s="42"/>
      <c r="Y1304" s="42"/>
      <c r="Z1304" s="42"/>
      <c r="AA1304" s="42"/>
      <c r="AB1304" s="42"/>
      <c r="AC1304" s="42"/>
      <c r="AD1304" s="42"/>
      <c r="AE1304" s="42"/>
      <c r="AF1304" s="42"/>
    </row>
    <row r="1305">
      <c r="A1305" s="25"/>
      <c r="B1305" s="297"/>
      <c r="C1305" s="25"/>
      <c r="D1305" s="25"/>
      <c r="E1305" s="25"/>
      <c r="F1305" s="25"/>
      <c r="G1305" s="123"/>
      <c r="H1305" s="123"/>
      <c r="I1305" s="25"/>
      <c r="J1305" s="25"/>
      <c r="K1305" s="367"/>
      <c r="L1305" s="42"/>
      <c r="M1305" s="42"/>
      <c r="N1305" s="42"/>
      <c r="O1305" s="42"/>
      <c r="P1305" s="42"/>
      <c r="Q1305" s="42"/>
      <c r="R1305" s="176"/>
      <c r="S1305" s="42"/>
      <c r="T1305" s="42"/>
      <c r="U1305" s="46"/>
      <c r="V1305" s="42"/>
      <c r="W1305" s="42"/>
      <c r="X1305" s="42"/>
      <c r="Y1305" s="42"/>
      <c r="Z1305" s="42"/>
      <c r="AA1305" s="42"/>
      <c r="AB1305" s="42"/>
      <c r="AC1305" s="42"/>
      <c r="AD1305" s="42"/>
      <c r="AE1305" s="42"/>
      <c r="AF1305" s="42"/>
    </row>
    <row r="1306">
      <c r="A1306" s="25"/>
      <c r="B1306" s="297"/>
      <c r="C1306" s="25"/>
      <c r="D1306" s="25"/>
      <c r="E1306" s="25"/>
      <c r="F1306" s="25"/>
      <c r="G1306" s="123"/>
      <c r="H1306" s="123"/>
      <c r="I1306" s="25"/>
      <c r="J1306" s="25"/>
      <c r="K1306" s="367"/>
      <c r="L1306" s="42"/>
      <c r="M1306" s="42"/>
      <c r="N1306" s="42"/>
      <c r="O1306" s="42"/>
      <c r="P1306" s="42"/>
      <c r="Q1306" s="42"/>
      <c r="R1306" s="176"/>
      <c r="S1306" s="42"/>
      <c r="T1306" s="42"/>
      <c r="U1306" s="46"/>
      <c r="V1306" s="42"/>
      <c r="W1306" s="42"/>
      <c r="X1306" s="42"/>
      <c r="Y1306" s="42"/>
      <c r="Z1306" s="42"/>
      <c r="AA1306" s="42"/>
      <c r="AB1306" s="42"/>
      <c r="AC1306" s="42"/>
      <c r="AD1306" s="42"/>
      <c r="AE1306" s="42"/>
      <c r="AF1306" s="42"/>
    </row>
    <row r="1307">
      <c r="A1307" s="25"/>
      <c r="B1307" s="297"/>
      <c r="C1307" s="25"/>
      <c r="D1307" s="25"/>
      <c r="E1307" s="25"/>
      <c r="F1307" s="25"/>
      <c r="G1307" s="123"/>
      <c r="H1307" s="123"/>
      <c r="I1307" s="25"/>
      <c r="J1307" s="25"/>
      <c r="K1307" s="367"/>
      <c r="L1307" s="42"/>
      <c r="M1307" s="42"/>
      <c r="N1307" s="42"/>
      <c r="O1307" s="42"/>
      <c r="P1307" s="42"/>
      <c r="Q1307" s="42"/>
      <c r="R1307" s="176"/>
      <c r="S1307" s="42"/>
      <c r="T1307" s="42"/>
      <c r="U1307" s="46"/>
      <c r="V1307" s="42"/>
      <c r="W1307" s="42"/>
      <c r="X1307" s="42"/>
      <c r="Y1307" s="42"/>
      <c r="Z1307" s="42"/>
      <c r="AA1307" s="42"/>
      <c r="AB1307" s="42"/>
      <c r="AC1307" s="42"/>
      <c r="AD1307" s="42"/>
      <c r="AE1307" s="42"/>
      <c r="AF1307" s="42"/>
    </row>
    <row r="1308">
      <c r="A1308" s="25"/>
      <c r="B1308" s="297"/>
      <c r="C1308" s="25"/>
      <c r="D1308" s="25"/>
      <c r="E1308" s="25"/>
      <c r="F1308" s="25"/>
      <c r="G1308" s="123"/>
      <c r="H1308" s="123"/>
      <c r="I1308" s="25"/>
      <c r="J1308" s="25"/>
      <c r="K1308" s="367"/>
      <c r="L1308" s="42"/>
      <c r="M1308" s="42"/>
      <c r="N1308" s="42"/>
      <c r="O1308" s="42"/>
      <c r="P1308" s="42"/>
      <c r="Q1308" s="42"/>
      <c r="R1308" s="176"/>
      <c r="S1308" s="42"/>
      <c r="T1308" s="42"/>
      <c r="U1308" s="46"/>
      <c r="V1308" s="42"/>
      <c r="W1308" s="42"/>
      <c r="X1308" s="42"/>
      <c r="Y1308" s="42"/>
      <c r="Z1308" s="42"/>
      <c r="AA1308" s="42"/>
      <c r="AB1308" s="42"/>
      <c r="AC1308" s="42"/>
      <c r="AD1308" s="42"/>
      <c r="AE1308" s="42"/>
      <c r="AF1308" s="42"/>
    </row>
    <row r="1309">
      <c r="A1309" s="25"/>
      <c r="B1309" s="297"/>
      <c r="C1309" s="25"/>
      <c r="D1309" s="25"/>
      <c r="E1309" s="25"/>
      <c r="F1309" s="25"/>
      <c r="G1309" s="123"/>
      <c r="H1309" s="123"/>
      <c r="I1309" s="25"/>
      <c r="J1309" s="25"/>
      <c r="K1309" s="367"/>
      <c r="L1309" s="42"/>
      <c r="M1309" s="42"/>
      <c r="N1309" s="42"/>
      <c r="O1309" s="42"/>
      <c r="P1309" s="42"/>
      <c r="Q1309" s="42"/>
      <c r="R1309" s="176"/>
      <c r="S1309" s="42"/>
      <c r="T1309" s="42"/>
      <c r="U1309" s="46"/>
      <c r="V1309" s="42"/>
      <c r="W1309" s="42"/>
      <c r="X1309" s="42"/>
      <c r="Y1309" s="42"/>
      <c r="Z1309" s="42"/>
      <c r="AA1309" s="42"/>
      <c r="AB1309" s="42"/>
      <c r="AC1309" s="42"/>
      <c r="AD1309" s="42"/>
      <c r="AE1309" s="42"/>
      <c r="AF1309" s="42"/>
    </row>
    <row r="1310">
      <c r="A1310" s="25"/>
      <c r="B1310" s="297"/>
      <c r="C1310" s="25"/>
      <c r="D1310" s="25"/>
      <c r="E1310" s="25"/>
      <c r="F1310" s="25"/>
      <c r="G1310" s="123"/>
      <c r="H1310" s="123"/>
      <c r="I1310" s="25"/>
      <c r="J1310" s="25"/>
      <c r="K1310" s="367"/>
      <c r="L1310" s="42"/>
      <c r="M1310" s="42"/>
      <c r="N1310" s="42"/>
      <c r="O1310" s="42"/>
      <c r="P1310" s="42"/>
      <c r="Q1310" s="42"/>
      <c r="R1310" s="176"/>
      <c r="S1310" s="42"/>
      <c r="T1310" s="42"/>
      <c r="U1310" s="46"/>
      <c r="V1310" s="42"/>
      <c r="W1310" s="42"/>
      <c r="X1310" s="42"/>
      <c r="Y1310" s="42"/>
      <c r="Z1310" s="42"/>
      <c r="AA1310" s="42"/>
      <c r="AB1310" s="42"/>
      <c r="AC1310" s="42"/>
      <c r="AD1310" s="42"/>
      <c r="AE1310" s="42"/>
      <c r="AF1310" s="42"/>
    </row>
    <row r="1311">
      <c r="A1311" s="25"/>
      <c r="B1311" s="297"/>
      <c r="C1311" s="25"/>
      <c r="D1311" s="25"/>
      <c r="E1311" s="25"/>
      <c r="F1311" s="25"/>
      <c r="G1311" s="123"/>
      <c r="H1311" s="123"/>
      <c r="I1311" s="25"/>
      <c r="J1311" s="25"/>
      <c r="K1311" s="367"/>
      <c r="L1311" s="42"/>
      <c r="M1311" s="42"/>
      <c r="N1311" s="42"/>
      <c r="O1311" s="42"/>
      <c r="P1311" s="42"/>
      <c r="Q1311" s="42"/>
      <c r="R1311" s="176"/>
      <c r="S1311" s="42"/>
      <c r="T1311" s="42"/>
      <c r="U1311" s="46"/>
      <c r="V1311" s="42"/>
      <c r="W1311" s="42"/>
      <c r="X1311" s="42"/>
      <c r="Y1311" s="42"/>
      <c r="Z1311" s="42"/>
      <c r="AA1311" s="42"/>
      <c r="AB1311" s="42"/>
      <c r="AC1311" s="42"/>
      <c r="AD1311" s="42"/>
      <c r="AE1311" s="42"/>
      <c r="AF1311" s="42"/>
    </row>
    <row r="1312">
      <c r="A1312" s="25"/>
      <c r="B1312" s="297"/>
      <c r="C1312" s="25"/>
      <c r="D1312" s="25"/>
      <c r="E1312" s="25"/>
      <c r="F1312" s="25"/>
      <c r="G1312" s="123"/>
      <c r="H1312" s="123"/>
      <c r="I1312" s="25"/>
      <c r="J1312" s="25"/>
      <c r="K1312" s="367"/>
      <c r="L1312" s="42"/>
      <c r="M1312" s="42"/>
      <c r="N1312" s="42"/>
      <c r="O1312" s="42"/>
      <c r="P1312" s="42"/>
      <c r="Q1312" s="42"/>
      <c r="R1312" s="176"/>
      <c r="S1312" s="42"/>
      <c r="T1312" s="42"/>
      <c r="U1312" s="46"/>
      <c r="V1312" s="42"/>
      <c r="W1312" s="42"/>
      <c r="X1312" s="42"/>
      <c r="Y1312" s="42"/>
      <c r="Z1312" s="42"/>
      <c r="AA1312" s="42"/>
      <c r="AB1312" s="42"/>
      <c r="AC1312" s="42"/>
      <c r="AD1312" s="42"/>
      <c r="AE1312" s="42"/>
      <c r="AF1312" s="42"/>
    </row>
    <row r="1313">
      <c r="A1313" s="25"/>
      <c r="B1313" s="297"/>
      <c r="C1313" s="25"/>
      <c r="D1313" s="25"/>
      <c r="E1313" s="25"/>
      <c r="F1313" s="25"/>
      <c r="G1313" s="123"/>
      <c r="H1313" s="123"/>
      <c r="I1313" s="25"/>
      <c r="J1313" s="25"/>
      <c r="K1313" s="367"/>
      <c r="L1313" s="42"/>
      <c r="M1313" s="42"/>
      <c r="N1313" s="42"/>
      <c r="O1313" s="42"/>
      <c r="P1313" s="42"/>
      <c r="Q1313" s="42"/>
      <c r="R1313" s="176"/>
      <c r="S1313" s="42"/>
      <c r="T1313" s="42"/>
      <c r="U1313" s="46"/>
      <c r="V1313" s="42"/>
      <c r="W1313" s="42"/>
      <c r="X1313" s="42"/>
      <c r="Y1313" s="42"/>
      <c r="Z1313" s="42"/>
      <c r="AA1313" s="42"/>
      <c r="AB1313" s="42"/>
      <c r="AC1313" s="42"/>
      <c r="AD1313" s="42"/>
      <c r="AE1313" s="42"/>
      <c r="AF1313" s="42"/>
    </row>
    <row r="1314">
      <c r="A1314" s="25"/>
      <c r="B1314" s="297"/>
      <c r="C1314" s="25"/>
      <c r="D1314" s="25"/>
      <c r="E1314" s="25"/>
      <c r="F1314" s="25"/>
      <c r="G1314" s="123"/>
      <c r="H1314" s="123"/>
      <c r="I1314" s="25"/>
      <c r="J1314" s="25"/>
      <c r="K1314" s="367"/>
      <c r="L1314" s="42"/>
      <c r="M1314" s="42"/>
      <c r="N1314" s="42"/>
      <c r="O1314" s="42"/>
      <c r="P1314" s="42"/>
      <c r="Q1314" s="42"/>
      <c r="R1314" s="176"/>
      <c r="S1314" s="42"/>
      <c r="T1314" s="42"/>
      <c r="U1314" s="46"/>
      <c r="V1314" s="42"/>
      <c r="W1314" s="42"/>
      <c r="X1314" s="42"/>
      <c r="Y1314" s="42"/>
      <c r="Z1314" s="42"/>
      <c r="AA1314" s="42"/>
      <c r="AB1314" s="42"/>
      <c r="AC1314" s="42"/>
      <c r="AD1314" s="42"/>
      <c r="AE1314" s="42"/>
      <c r="AF1314" s="42"/>
    </row>
    <row r="1315">
      <c r="A1315" s="25"/>
      <c r="B1315" s="297"/>
      <c r="C1315" s="25"/>
      <c r="D1315" s="25"/>
      <c r="E1315" s="25"/>
      <c r="F1315" s="25"/>
      <c r="G1315" s="123"/>
      <c r="H1315" s="123"/>
      <c r="I1315" s="25"/>
      <c r="J1315" s="25"/>
      <c r="K1315" s="367"/>
      <c r="L1315" s="42"/>
      <c r="M1315" s="42"/>
      <c r="N1315" s="42"/>
      <c r="O1315" s="42"/>
      <c r="P1315" s="42"/>
      <c r="Q1315" s="42"/>
      <c r="R1315" s="176"/>
      <c r="S1315" s="42"/>
      <c r="T1315" s="42"/>
      <c r="U1315" s="46"/>
      <c r="V1315" s="42"/>
      <c r="W1315" s="42"/>
      <c r="X1315" s="42"/>
      <c r="Y1315" s="42"/>
      <c r="Z1315" s="42"/>
      <c r="AA1315" s="42"/>
      <c r="AB1315" s="42"/>
      <c r="AC1315" s="42"/>
      <c r="AD1315" s="42"/>
      <c r="AE1315" s="42"/>
      <c r="AF1315" s="42"/>
    </row>
    <row r="1316">
      <c r="A1316" s="25"/>
      <c r="B1316" s="297"/>
      <c r="C1316" s="25"/>
      <c r="D1316" s="25"/>
      <c r="E1316" s="25"/>
      <c r="F1316" s="25"/>
      <c r="G1316" s="123"/>
      <c r="H1316" s="123"/>
      <c r="I1316" s="25"/>
      <c r="J1316" s="25"/>
      <c r="K1316" s="367"/>
      <c r="L1316" s="42"/>
      <c r="M1316" s="42"/>
      <c r="N1316" s="42"/>
      <c r="O1316" s="42"/>
      <c r="P1316" s="42"/>
      <c r="Q1316" s="42"/>
      <c r="R1316" s="176"/>
      <c r="S1316" s="42"/>
      <c r="T1316" s="42"/>
      <c r="U1316" s="46"/>
      <c r="V1316" s="42"/>
      <c r="W1316" s="42"/>
      <c r="X1316" s="42"/>
      <c r="Y1316" s="42"/>
      <c r="Z1316" s="42"/>
      <c r="AA1316" s="42"/>
      <c r="AB1316" s="42"/>
      <c r="AC1316" s="42"/>
      <c r="AD1316" s="42"/>
      <c r="AE1316" s="42"/>
      <c r="AF1316" s="42"/>
    </row>
    <row r="1317">
      <c r="A1317" s="25"/>
      <c r="B1317" s="297"/>
      <c r="C1317" s="25"/>
      <c r="D1317" s="25"/>
      <c r="E1317" s="25"/>
      <c r="F1317" s="25"/>
      <c r="G1317" s="123"/>
      <c r="H1317" s="123"/>
      <c r="I1317" s="25"/>
      <c r="J1317" s="25"/>
      <c r="K1317" s="367"/>
      <c r="L1317" s="42"/>
      <c r="M1317" s="42"/>
      <c r="N1317" s="42"/>
      <c r="O1317" s="42"/>
      <c r="P1317" s="42"/>
      <c r="Q1317" s="42"/>
      <c r="R1317" s="176"/>
      <c r="S1317" s="42"/>
      <c r="T1317" s="42"/>
      <c r="U1317" s="46"/>
      <c r="V1317" s="42"/>
      <c r="W1317" s="42"/>
      <c r="X1317" s="42"/>
      <c r="Y1317" s="42"/>
      <c r="Z1317" s="42"/>
      <c r="AA1317" s="42"/>
      <c r="AB1317" s="42"/>
      <c r="AC1317" s="42"/>
      <c r="AD1317" s="42"/>
      <c r="AE1317" s="42"/>
      <c r="AF1317" s="42"/>
    </row>
    <row r="1318">
      <c r="A1318" s="25"/>
      <c r="B1318" s="297"/>
      <c r="C1318" s="25"/>
      <c r="D1318" s="25"/>
      <c r="E1318" s="25"/>
      <c r="F1318" s="25"/>
      <c r="G1318" s="123"/>
      <c r="H1318" s="123"/>
      <c r="I1318" s="25"/>
      <c r="J1318" s="25"/>
      <c r="K1318" s="367"/>
      <c r="L1318" s="42"/>
      <c r="M1318" s="42"/>
      <c r="N1318" s="42"/>
      <c r="O1318" s="42"/>
      <c r="P1318" s="42"/>
      <c r="Q1318" s="42"/>
      <c r="R1318" s="176"/>
      <c r="S1318" s="42"/>
      <c r="T1318" s="42"/>
      <c r="U1318" s="46"/>
      <c r="V1318" s="42"/>
      <c r="W1318" s="42"/>
      <c r="X1318" s="42"/>
      <c r="Y1318" s="42"/>
      <c r="Z1318" s="42"/>
      <c r="AA1318" s="42"/>
      <c r="AB1318" s="42"/>
      <c r="AC1318" s="42"/>
      <c r="AD1318" s="42"/>
      <c r="AE1318" s="42"/>
      <c r="AF1318" s="42"/>
    </row>
    <row r="1319">
      <c r="A1319" s="25"/>
      <c r="B1319" s="297"/>
      <c r="C1319" s="25"/>
      <c r="D1319" s="25"/>
      <c r="E1319" s="25"/>
      <c r="F1319" s="25"/>
      <c r="G1319" s="123"/>
      <c r="H1319" s="123"/>
      <c r="I1319" s="25"/>
      <c r="J1319" s="25"/>
      <c r="K1319" s="367"/>
      <c r="L1319" s="42"/>
      <c r="M1319" s="42"/>
      <c r="N1319" s="42"/>
      <c r="O1319" s="42"/>
      <c r="P1319" s="42"/>
      <c r="Q1319" s="42"/>
      <c r="R1319" s="176"/>
      <c r="S1319" s="42"/>
      <c r="T1319" s="42"/>
      <c r="U1319" s="46"/>
      <c r="V1319" s="42"/>
      <c r="W1319" s="42"/>
      <c r="X1319" s="42"/>
      <c r="Y1319" s="42"/>
      <c r="Z1319" s="42"/>
      <c r="AA1319" s="42"/>
      <c r="AB1319" s="42"/>
      <c r="AC1319" s="42"/>
      <c r="AD1319" s="42"/>
      <c r="AE1319" s="42"/>
      <c r="AF1319" s="42"/>
    </row>
    <row r="1320">
      <c r="A1320" s="25"/>
      <c r="B1320" s="297"/>
      <c r="C1320" s="25"/>
      <c r="D1320" s="25"/>
      <c r="E1320" s="25"/>
      <c r="F1320" s="25"/>
      <c r="G1320" s="123"/>
      <c r="H1320" s="123"/>
      <c r="I1320" s="25"/>
      <c r="J1320" s="25"/>
      <c r="K1320" s="367"/>
      <c r="L1320" s="42"/>
      <c r="M1320" s="42"/>
      <c r="N1320" s="42"/>
      <c r="O1320" s="42"/>
      <c r="P1320" s="42"/>
      <c r="Q1320" s="42"/>
      <c r="R1320" s="176"/>
      <c r="S1320" s="42"/>
      <c r="T1320" s="42"/>
      <c r="U1320" s="46"/>
      <c r="V1320" s="42"/>
      <c r="W1320" s="42"/>
      <c r="X1320" s="42"/>
      <c r="Y1320" s="42"/>
      <c r="Z1320" s="42"/>
      <c r="AA1320" s="42"/>
      <c r="AB1320" s="42"/>
      <c r="AC1320" s="42"/>
      <c r="AD1320" s="42"/>
      <c r="AE1320" s="42"/>
      <c r="AF1320" s="42"/>
    </row>
    <row r="1321">
      <c r="A1321" s="25"/>
      <c r="B1321" s="297"/>
      <c r="C1321" s="25"/>
      <c r="D1321" s="25"/>
      <c r="E1321" s="25"/>
      <c r="F1321" s="25"/>
      <c r="G1321" s="123"/>
      <c r="H1321" s="123"/>
      <c r="I1321" s="25"/>
      <c r="J1321" s="25"/>
      <c r="K1321" s="367"/>
      <c r="L1321" s="42"/>
      <c r="M1321" s="42"/>
      <c r="N1321" s="42"/>
      <c r="O1321" s="42"/>
      <c r="P1321" s="42"/>
      <c r="Q1321" s="42"/>
      <c r="R1321" s="176"/>
      <c r="S1321" s="42"/>
      <c r="T1321" s="42"/>
      <c r="U1321" s="46"/>
      <c r="V1321" s="42"/>
      <c r="W1321" s="42"/>
      <c r="X1321" s="42"/>
      <c r="Y1321" s="42"/>
      <c r="Z1321" s="42"/>
      <c r="AA1321" s="42"/>
      <c r="AB1321" s="42"/>
      <c r="AC1321" s="42"/>
      <c r="AD1321" s="42"/>
      <c r="AE1321" s="42"/>
      <c r="AF1321" s="42"/>
    </row>
    <row r="1322">
      <c r="A1322" s="25"/>
      <c r="B1322" s="297"/>
      <c r="C1322" s="25"/>
      <c r="D1322" s="25"/>
      <c r="E1322" s="25"/>
      <c r="F1322" s="25"/>
      <c r="G1322" s="123"/>
      <c r="H1322" s="123"/>
      <c r="I1322" s="25"/>
      <c r="J1322" s="25"/>
      <c r="K1322" s="367"/>
      <c r="L1322" s="42"/>
      <c r="M1322" s="42"/>
      <c r="N1322" s="42"/>
      <c r="O1322" s="42"/>
      <c r="P1322" s="42"/>
      <c r="Q1322" s="42"/>
      <c r="R1322" s="176"/>
      <c r="S1322" s="42"/>
      <c r="T1322" s="42"/>
      <c r="U1322" s="46"/>
      <c r="V1322" s="42"/>
      <c r="W1322" s="42"/>
      <c r="X1322" s="42"/>
      <c r="Y1322" s="42"/>
      <c r="Z1322" s="42"/>
      <c r="AA1322" s="42"/>
      <c r="AB1322" s="42"/>
      <c r="AC1322" s="42"/>
      <c r="AD1322" s="42"/>
      <c r="AE1322" s="42"/>
      <c r="AF1322" s="42"/>
    </row>
    <row r="1323">
      <c r="A1323" s="25"/>
      <c r="B1323" s="297"/>
      <c r="C1323" s="25"/>
      <c r="D1323" s="25"/>
      <c r="E1323" s="25"/>
      <c r="F1323" s="25"/>
      <c r="G1323" s="123"/>
      <c r="H1323" s="123"/>
      <c r="I1323" s="25"/>
      <c r="J1323" s="25"/>
      <c r="K1323" s="367"/>
      <c r="L1323" s="42"/>
      <c r="M1323" s="42"/>
      <c r="N1323" s="42"/>
      <c r="O1323" s="42"/>
      <c r="P1323" s="42"/>
      <c r="Q1323" s="42"/>
      <c r="R1323" s="176"/>
      <c r="S1323" s="42"/>
      <c r="T1323" s="42"/>
      <c r="U1323" s="46"/>
      <c r="V1323" s="42"/>
      <c r="W1323" s="42"/>
      <c r="X1323" s="42"/>
      <c r="Y1323" s="42"/>
      <c r="Z1323" s="42"/>
      <c r="AA1323" s="42"/>
      <c r="AB1323" s="42"/>
      <c r="AC1323" s="42"/>
      <c r="AD1323" s="42"/>
      <c r="AE1323" s="42"/>
      <c r="AF1323" s="42"/>
    </row>
    <row r="1324">
      <c r="A1324" s="25"/>
      <c r="B1324" s="297"/>
      <c r="C1324" s="25"/>
      <c r="D1324" s="25"/>
      <c r="E1324" s="25"/>
      <c r="F1324" s="25"/>
      <c r="G1324" s="123"/>
      <c r="H1324" s="123"/>
      <c r="I1324" s="25"/>
      <c r="J1324" s="25"/>
      <c r="K1324" s="367"/>
      <c r="L1324" s="42"/>
      <c r="M1324" s="42"/>
      <c r="N1324" s="42"/>
      <c r="O1324" s="42"/>
      <c r="P1324" s="42"/>
      <c r="Q1324" s="42"/>
      <c r="R1324" s="176"/>
      <c r="S1324" s="42"/>
      <c r="T1324" s="42"/>
      <c r="U1324" s="46"/>
      <c r="V1324" s="42"/>
      <c r="W1324" s="42"/>
      <c r="X1324" s="42"/>
      <c r="Y1324" s="42"/>
      <c r="Z1324" s="42"/>
      <c r="AA1324" s="42"/>
      <c r="AB1324" s="42"/>
      <c r="AC1324" s="42"/>
      <c r="AD1324" s="42"/>
      <c r="AE1324" s="42"/>
      <c r="AF1324" s="42"/>
    </row>
    <row r="1325">
      <c r="A1325" s="25"/>
      <c r="B1325" s="297"/>
      <c r="C1325" s="25"/>
      <c r="D1325" s="25"/>
      <c r="E1325" s="25"/>
      <c r="F1325" s="25"/>
      <c r="G1325" s="123"/>
      <c r="H1325" s="123"/>
      <c r="I1325" s="25"/>
      <c r="J1325" s="25"/>
      <c r="K1325" s="367"/>
      <c r="L1325" s="42"/>
      <c r="M1325" s="42"/>
      <c r="N1325" s="42"/>
      <c r="O1325" s="42"/>
      <c r="P1325" s="42"/>
      <c r="Q1325" s="42"/>
      <c r="R1325" s="176"/>
      <c r="S1325" s="42"/>
      <c r="T1325" s="42"/>
      <c r="U1325" s="46"/>
      <c r="V1325" s="42"/>
      <c r="W1325" s="42"/>
      <c r="X1325" s="42"/>
      <c r="Y1325" s="42"/>
      <c r="Z1325" s="42"/>
      <c r="AA1325" s="42"/>
      <c r="AB1325" s="42"/>
      <c r="AC1325" s="42"/>
      <c r="AD1325" s="42"/>
      <c r="AE1325" s="42"/>
      <c r="AF1325" s="42"/>
    </row>
    <row r="1326">
      <c r="A1326" s="25"/>
      <c r="B1326" s="297"/>
      <c r="C1326" s="25"/>
      <c r="D1326" s="25"/>
      <c r="E1326" s="25"/>
      <c r="F1326" s="25"/>
      <c r="G1326" s="123"/>
      <c r="H1326" s="123"/>
      <c r="I1326" s="25"/>
      <c r="J1326" s="25"/>
      <c r="K1326" s="367"/>
      <c r="L1326" s="42"/>
      <c r="M1326" s="42"/>
      <c r="N1326" s="42"/>
      <c r="O1326" s="42"/>
      <c r="P1326" s="42"/>
      <c r="Q1326" s="42"/>
      <c r="R1326" s="176"/>
      <c r="S1326" s="42"/>
      <c r="T1326" s="42"/>
      <c r="U1326" s="46"/>
      <c r="V1326" s="42"/>
      <c r="W1326" s="42"/>
      <c r="X1326" s="42"/>
      <c r="Y1326" s="42"/>
      <c r="Z1326" s="42"/>
      <c r="AA1326" s="42"/>
      <c r="AB1326" s="42"/>
      <c r="AC1326" s="42"/>
      <c r="AD1326" s="42"/>
      <c r="AE1326" s="42"/>
      <c r="AF1326" s="42"/>
    </row>
    <row r="1327">
      <c r="A1327" s="25"/>
      <c r="B1327" s="297"/>
      <c r="C1327" s="25"/>
      <c r="D1327" s="25"/>
      <c r="E1327" s="25"/>
      <c r="F1327" s="25"/>
      <c r="G1327" s="123"/>
      <c r="H1327" s="123"/>
      <c r="I1327" s="25"/>
      <c r="J1327" s="25"/>
      <c r="K1327" s="367"/>
      <c r="L1327" s="42"/>
      <c r="M1327" s="42"/>
      <c r="N1327" s="42"/>
      <c r="O1327" s="42"/>
      <c r="P1327" s="42"/>
      <c r="Q1327" s="42"/>
      <c r="R1327" s="176"/>
      <c r="S1327" s="42"/>
      <c r="T1327" s="42"/>
      <c r="U1327" s="46"/>
      <c r="V1327" s="42"/>
      <c r="W1327" s="42"/>
      <c r="X1327" s="42"/>
      <c r="Y1327" s="42"/>
      <c r="Z1327" s="42"/>
      <c r="AA1327" s="42"/>
      <c r="AB1327" s="42"/>
      <c r="AC1327" s="42"/>
      <c r="AD1327" s="42"/>
      <c r="AE1327" s="42"/>
      <c r="AF1327" s="42"/>
    </row>
    <row r="1328">
      <c r="A1328" s="25"/>
      <c r="B1328" s="297"/>
      <c r="C1328" s="25"/>
      <c r="D1328" s="25"/>
      <c r="E1328" s="25"/>
      <c r="F1328" s="25"/>
      <c r="G1328" s="123"/>
      <c r="H1328" s="123"/>
      <c r="I1328" s="25"/>
      <c r="J1328" s="25"/>
      <c r="K1328" s="367"/>
      <c r="L1328" s="42"/>
      <c r="M1328" s="42"/>
      <c r="N1328" s="42"/>
      <c r="O1328" s="42"/>
      <c r="P1328" s="42"/>
      <c r="Q1328" s="42"/>
      <c r="R1328" s="176"/>
      <c r="S1328" s="42"/>
      <c r="T1328" s="42"/>
      <c r="U1328" s="46"/>
      <c r="V1328" s="42"/>
      <c r="W1328" s="42"/>
      <c r="X1328" s="42"/>
      <c r="Y1328" s="42"/>
      <c r="Z1328" s="42"/>
      <c r="AA1328" s="42"/>
      <c r="AB1328" s="42"/>
      <c r="AC1328" s="42"/>
      <c r="AD1328" s="42"/>
      <c r="AE1328" s="42"/>
      <c r="AF1328" s="42"/>
    </row>
    <row r="1329">
      <c r="A1329" s="25"/>
      <c r="B1329" s="297"/>
      <c r="C1329" s="25"/>
      <c r="D1329" s="25"/>
      <c r="E1329" s="25"/>
      <c r="F1329" s="25"/>
      <c r="G1329" s="123"/>
      <c r="H1329" s="123"/>
      <c r="I1329" s="25"/>
      <c r="J1329" s="25"/>
      <c r="K1329" s="367"/>
      <c r="L1329" s="42"/>
      <c r="M1329" s="42"/>
      <c r="N1329" s="42"/>
      <c r="O1329" s="42"/>
      <c r="P1329" s="42"/>
      <c r="Q1329" s="42"/>
      <c r="R1329" s="176"/>
      <c r="S1329" s="42"/>
      <c r="T1329" s="42"/>
      <c r="U1329" s="46"/>
      <c r="V1329" s="42"/>
      <c r="W1329" s="42"/>
      <c r="X1329" s="42"/>
      <c r="Y1329" s="42"/>
      <c r="Z1329" s="42"/>
      <c r="AA1329" s="42"/>
      <c r="AB1329" s="42"/>
      <c r="AC1329" s="42"/>
      <c r="AD1329" s="42"/>
      <c r="AE1329" s="42"/>
      <c r="AF1329" s="42"/>
    </row>
    <row r="1330">
      <c r="A1330" s="25"/>
      <c r="B1330" s="297"/>
      <c r="C1330" s="25"/>
      <c r="D1330" s="25"/>
      <c r="E1330" s="25"/>
      <c r="F1330" s="25"/>
      <c r="G1330" s="123"/>
      <c r="H1330" s="123"/>
      <c r="I1330" s="25"/>
      <c r="J1330" s="25"/>
      <c r="K1330" s="367"/>
      <c r="L1330" s="42"/>
      <c r="M1330" s="42"/>
      <c r="N1330" s="42"/>
      <c r="O1330" s="42"/>
      <c r="P1330" s="42"/>
      <c r="Q1330" s="42"/>
      <c r="R1330" s="176"/>
      <c r="S1330" s="42"/>
      <c r="T1330" s="42"/>
      <c r="U1330" s="46"/>
      <c r="V1330" s="42"/>
      <c r="W1330" s="42"/>
      <c r="X1330" s="42"/>
      <c r="Y1330" s="42"/>
      <c r="Z1330" s="42"/>
      <c r="AA1330" s="42"/>
      <c r="AB1330" s="42"/>
      <c r="AC1330" s="42"/>
      <c r="AD1330" s="42"/>
      <c r="AE1330" s="42"/>
      <c r="AF1330" s="42"/>
    </row>
    <row r="1331">
      <c r="A1331" s="25"/>
      <c r="B1331" s="297"/>
      <c r="C1331" s="25"/>
      <c r="D1331" s="25"/>
      <c r="E1331" s="25"/>
      <c r="F1331" s="25"/>
      <c r="G1331" s="123"/>
      <c r="H1331" s="123"/>
      <c r="I1331" s="25"/>
      <c r="J1331" s="25"/>
      <c r="K1331" s="367"/>
      <c r="L1331" s="42"/>
      <c r="M1331" s="42"/>
      <c r="N1331" s="42"/>
      <c r="O1331" s="42"/>
      <c r="P1331" s="42"/>
      <c r="Q1331" s="42"/>
      <c r="R1331" s="176"/>
      <c r="S1331" s="42"/>
      <c r="T1331" s="42"/>
      <c r="U1331" s="46"/>
      <c r="V1331" s="42"/>
      <c r="W1331" s="42"/>
      <c r="X1331" s="42"/>
      <c r="Y1331" s="42"/>
      <c r="Z1331" s="42"/>
      <c r="AA1331" s="42"/>
      <c r="AB1331" s="42"/>
      <c r="AC1331" s="42"/>
      <c r="AD1331" s="42"/>
      <c r="AE1331" s="42"/>
      <c r="AF1331" s="42"/>
    </row>
    <row r="1332">
      <c r="A1332" s="25"/>
      <c r="B1332" s="297"/>
      <c r="C1332" s="25"/>
      <c r="D1332" s="25"/>
      <c r="E1332" s="25"/>
      <c r="F1332" s="25"/>
      <c r="G1332" s="123"/>
      <c r="H1332" s="123"/>
      <c r="I1332" s="25"/>
      <c r="J1332" s="25"/>
      <c r="K1332" s="367"/>
      <c r="L1332" s="42"/>
      <c r="M1332" s="42"/>
      <c r="N1332" s="42"/>
      <c r="O1332" s="42"/>
      <c r="P1332" s="42"/>
      <c r="Q1332" s="42"/>
      <c r="R1332" s="176"/>
      <c r="S1332" s="42"/>
      <c r="T1332" s="42"/>
      <c r="U1332" s="46"/>
      <c r="V1332" s="42"/>
      <c r="W1332" s="42"/>
      <c r="X1332" s="42"/>
      <c r="Y1332" s="42"/>
      <c r="Z1332" s="42"/>
      <c r="AA1332" s="42"/>
      <c r="AB1332" s="42"/>
      <c r="AC1332" s="42"/>
      <c r="AD1332" s="42"/>
      <c r="AE1332" s="42"/>
      <c r="AF1332" s="42"/>
    </row>
    <row r="1333">
      <c r="A1333" s="25"/>
      <c r="B1333" s="297"/>
      <c r="C1333" s="25"/>
      <c r="D1333" s="25"/>
      <c r="E1333" s="25"/>
      <c r="F1333" s="25"/>
      <c r="G1333" s="123"/>
      <c r="H1333" s="123"/>
      <c r="I1333" s="25"/>
      <c r="J1333" s="25"/>
      <c r="K1333" s="367"/>
      <c r="L1333" s="42"/>
      <c r="M1333" s="42"/>
      <c r="N1333" s="42"/>
      <c r="O1333" s="42"/>
      <c r="P1333" s="42"/>
      <c r="Q1333" s="42"/>
      <c r="R1333" s="176"/>
      <c r="S1333" s="42"/>
      <c r="T1333" s="42"/>
      <c r="U1333" s="46"/>
      <c r="V1333" s="42"/>
      <c r="W1333" s="42"/>
      <c r="X1333" s="42"/>
      <c r="Y1333" s="42"/>
      <c r="Z1333" s="42"/>
      <c r="AA1333" s="42"/>
      <c r="AB1333" s="42"/>
      <c r="AC1333" s="42"/>
      <c r="AD1333" s="42"/>
      <c r="AE1333" s="42"/>
      <c r="AF1333" s="42"/>
    </row>
    <row r="1334">
      <c r="A1334" s="25"/>
      <c r="B1334" s="297"/>
      <c r="C1334" s="25"/>
      <c r="D1334" s="25"/>
      <c r="E1334" s="25"/>
      <c r="F1334" s="25"/>
      <c r="G1334" s="123"/>
      <c r="H1334" s="123"/>
      <c r="I1334" s="25"/>
      <c r="J1334" s="25"/>
      <c r="K1334" s="367"/>
      <c r="L1334" s="42"/>
      <c r="M1334" s="42"/>
      <c r="N1334" s="42"/>
      <c r="O1334" s="42"/>
      <c r="P1334" s="42"/>
      <c r="Q1334" s="42"/>
      <c r="R1334" s="176"/>
      <c r="S1334" s="42"/>
      <c r="T1334" s="42"/>
      <c r="U1334" s="46"/>
      <c r="V1334" s="42"/>
      <c r="W1334" s="42"/>
      <c r="X1334" s="42"/>
      <c r="Y1334" s="42"/>
      <c r="Z1334" s="42"/>
      <c r="AA1334" s="42"/>
      <c r="AB1334" s="42"/>
      <c r="AC1334" s="42"/>
      <c r="AD1334" s="42"/>
      <c r="AE1334" s="42"/>
      <c r="AF1334" s="42"/>
    </row>
    <row r="1335">
      <c r="A1335" s="25"/>
      <c r="B1335" s="297"/>
      <c r="C1335" s="25"/>
      <c r="D1335" s="25"/>
      <c r="E1335" s="25"/>
      <c r="F1335" s="25"/>
      <c r="G1335" s="123"/>
      <c r="H1335" s="123"/>
      <c r="I1335" s="25"/>
      <c r="J1335" s="25"/>
      <c r="K1335" s="367"/>
      <c r="L1335" s="42"/>
      <c r="M1335" s="42"/>
      <c r="N1335" s="42"/>
      <c r="O1335" s="42"/>
      <c r="P1335" s="42"/>
      <c r="Q1335" s="42"/>
      <c r="R1335" s="176"/>
      <c r="S1335" s="42"/>
      <c r="T1335" s="42"/>
      <c r="U1335" s="46"/>
      <c r="V1335" s="42"/>
      <c r="W1335" s="42"/>
      <c r="X1335" s="42"/>
      <c r="Y1335" s="42"/>
      <c r="Z1335" s="42"/>
      <c r="AA1335" s="42"/>
      <c r="AB1335" s="42"/>
      <c r="AC1335" s="42"/>
      <c r="AD1335" s="42"/>
      <c r="AE1335" s="42"/>
      <c r="AF1335" s="42"/>
    </row>
    <row r="1336">
      <c r="A1336" s="25"/>
      <c r="B1336" s="297"/>
      <c r="C1336" s="25"/>
      <c r="D1336" s="25"/>
      <c r="E1336" s="25"/>
      <c r="F1336" s="25"/>
      <c r="G1336" s="123"/>
      <c r="H1336" s="123"/>
      <c r="I1336" s="25"/>
      <c r="J1336" s="25"/>
      <c r="K1336" s="367"/>
      <c r="L1336" s="42"/>
      <c r="M1336" s="42"/>
      <c r="N1336" s="42"/>
      <c r="O1336" s="42"/>
      <c r="P1336" s="42"/>
      <c r="Q1336" s="42"/>
      <c r="R1336" s="176"/>
      <c r="S1336" s="42"/>
      <c r="T1336" s="42"/>
      <c r="U1336" s="46"/>
      <c r="V1336" s="42"/>
      <c r="W1336" s="42"/>
      <c r="X1336" s="42"/>
      <c r="Y1336" s="42"/>
      <c r="Z1336" s="42"/>
      <c r="AA1336" s="42"/>
      <c r="AB1336" s="42"/>
      <c r="AC1336" s="42"/>
      <c r="AD1336" s="42"/>
      <c r="AE1336" s="42"/>
      <c r="AF1336" s="42"/>
    </row>
    <row r="1337">
      <c r="A1337" s="25"/>
      <c r="B1337" s="297"/>
      <c r="C1337" s="25"/>
      <c r="D1337" s="25"/>
      <c r="E1337" s="25"/>
      <c r="F1337" s="25"/>
      <c r="G1337" s="123"/>
      <c r="H1337" s="123"/>
      <c r="I1337" s="25"/>
      <c r="J1337" s="25"/>
      <c r="K1337" s="367"/>
      <c r="L1337" s="42"/>
      <c r="M1337" s="42"/>
      <c r="N1337" s="42"/>
      <c r="O1337" s="42"/>
      <c r="P1337" s="42"/>
      <c r="Q1337" s="42"/>
      <c r="R1337" s="176"/>
      <c r="S1337" s="42"/>
      <c r="T1337" s="42"/>
      <c r="U1337" s="46"/>
      <c r="V1337" s="42"/>
      <c r="W1337" s="42"/>
      <c r="X1337" s="42"/>
      <c r="Y1337" s="42"/>
      <c r="Z1337" s="42"/>
      <c r="AA1337" s="42"/>
      <c r="AB1337" s="42"/>
      <c r="AC1337" s="42"/>
      <c r="AD1337" s="42"/>
      <c r="AE1337" s="42"/>
      <c r="AF1337" s="42"/>
    </row>
    <row r="1338">
      <c r="A1338" s="25"/>
      <c r="B1338" s="297"/>
      <c r="C1338" s="25"/>
      <c r="D1338" s="25"/>
      <c r="E1338" s="25"/>
      <c r="F1338" s="25"/>
      <c r="G1338" s="123"/>
      <c r="H1338" s="123"/>
      <c r="I1338" s="25"/>
      <c r="J1338" s="25"/>
      <c r="K1338" s="367"/>
      <c r="L1338" s="42"/>
      <c r="M1338" s="42"/>
      <c r="N1338" s="42"/>
      <c r="O1338" s="42"/>
      <c r="P1338" s="42"/>
      <c r="Q1338" s="42"/>
      <c r="R1338" s="176"/>
      <c r="S1338" s="42"/>
      <c r="T1338" s="42"/>
      <c r="U1338" s="46"/>
      <c r="V1338" s="42"/>
      <c r="W1338" s="42"/>
      <c r="X1338" s="42"/>
      <c r="Y1338" s="42"/>
      <c r="Z1338" s="42"/>
      <c r="AA1338" s="42"/>
      <c r="AB1338" s="42"/>
      <c r="AC1338" s="42"/>
      <c r="AD1338" s="42"/>
      <c r="AE1338" s="42"/>
      <c r="AF1338" s="42"/>
    </row>
    <row r="1339">
      <c r="A1339" s="25"/>
      <c r="B1339" s="297"/>
      <c r="C1339" s="25"/>
      <c r="D1339" s="25"/>
      <c r="E1339" s="25"/>
      <c r="F1339" s="25"/>
      <c r="G1339" s="123"/>
      <c r="H1339" s="123"/>
      <c r="I1339" s="25"/>
      <c r="J1339" s="25"/>
      <c r="K1339" s="367"/>
      <c r="L1339" s="42"/>
      <c r="M1339" s="42"/>
      <c r="N1339" s="42"/>
      <c r="O1339" s="42"/>
      <c r="P1339" s="42"/>
      <c r="Q1339" s="42"/>
      <c r="R1339" s="176"/>
      <c r="S1339" s="42"/>
      <c r="T1339" s="42"/>
      <c r="U1339" s="46"/>
      <c r="V1339" s="42"/>
      <c r="W1339" s="42"/>
      <c r="X1339" s="42"/>
      <c r="Y1339" s="42"/>
      <c r="Z1339" s="42"/>
      <c r="AA1339" s="42"/>
      <c r="AB1339" s="42"/>
      <c r="AC1339" s="42"/>
      <c r="AD1339" s="42"/>
      <c r="AE1339" s="42"/>
      <c r="AF1339" s="42"/>
    </row>
    <row r="1340">
      <c r="A1340" s="25"/>
      <c r="B1340" s="297"/>
      <c r="C1340" s="25"/>
      <c r="D1340" s="25"/>
      <c r="E1340" s="25"/>
      <c r="F1340" s="25"/>
      <c r="G1340" s="123"/>
      <c r="H1340" s="123"/>
      <c r="I1340" s="25"/>
      <c r="J1340" s="25"/>
      <c r="K1340" s="367"/>
      <c r="L1340" s="42"/>
      <c r="M1340" s="42"/>
      <c r="N1340" s="42"/>
      <c r="O1340" s="42"/>
      <c r="P1340" s="42"/>
      <c r="Q1340" s="42"/>
      <c r="R1340" s="176"/>
      <c r="S1340" s="42"/>
      <c r="T1340" s="42"/>
      <c r="U1340" s="46"/>
      <c r="V1340" s="42"/>
      <c r="W1340" s="42"/>
      <c r="X1340" s="42"/>
      <c r="Y1340" s="42"/>
      <c r="Z1340" s="42"/>
      <c r="AA1340" s="42"/>
      <c r="AB1340" s="42"/>
      <c r="AC1340" s="42"/>
      <c r="AD1340" s="42"/>
      <c r="AE1340" s="42"/>
      <c r="AF1340" s="42"/>
    </row>
    <row r="1341">
      <c r="A1341" s="25"/>
      <c r="B1341" s="297"/>
      <c r="C1341" s="25"/>
      <c r="D1341" s="25"/>
      <c r="E1341" s="25"/>
      <c r="F1341" s="25"/>
      <c r="G1341" s="123"/>
      <c r="H1341" s="123"/>
      <c r="I1341" s="25"/>
      <c r="J1341" s="25"/>
      <c r="K1341" s="367"/>
      <c r="L1341" s="42"/>
      <c r="M1341" s="42"/>
      <c r="N1341" s="42"/>
      <c r="O1341" s="42"/>
      <c r="P1341" s="42"/>
      <c r="Q1341" s="42"/>
      <c r="R1341" s="176"/>
      <c r="S1341" s="42"/>
      <c r="T1341" s="42"/>
      <c r="U1341" s="46"/>
      <c r="V1341" s="42"/>
      <c r="W1341" s="42"/>
      <c r="X1341" s="42"/>
      <c r="Y1341" s="42"/>
      <c r="Z1341" s="42"/>
      <c r="AA1341" s="42"/>
      <c r="AB1341" s="42"/>
      <c r="AC1341" s="42"/>
      <c r="AD1341" s="42"/>
      <c r="AE1341" s="42"/>
      <c r="AF1341" s="42"/>
    </row>
    <row r="1342">
      <c r="A1342" s="25"/>
      <c r="B1342" s="297"/>
      <c r="C1342" s="25"/>
      <c r="D1342" s="25"/>
      <c r="E1342" s="25"/>
      <c r="F1342" s="25"/>
      <c r="G1342" s="123"/>
      <c r="H1342" s="123"/>
      <c r="I1342" s="25"/>
      <c r="J1342" s="25"/>
      <c r="K1342" s="367"/>
      <c r="L1342" s="42"/>
      <c r="M1342" s="42"/>
      <c r="N1342" s="42"/>
      <c r="O1342" s="42"/>
      <c r="P1342" s="42"/>
      <c r="Q1342" s="42"/>
      <c r="R1342" s="176"/>
      <c r="S1342" s="42"/>
      <c r="T1342" s="42"/>
      <c r="U1342" s="46"/>
      <c r="V1342" s="42"/>
      <c r="W1342" s="42"/>
      <c r="X1342" s="42"/>
      <c r="Y1342" s="42"/>
      <c r="Z1342" s="42"/>
      <c r="AA1342" s="42"/>
      <c r="AB1342" s="42"/>
      <c r="AC1342" s="42"/>
      <c r="AD1342" s="42"/>
      <c r="AE1342" s="42"/>
      <c r="AF1342" s="42"/>
    </row>
    <row r="1343">
      <c r="A1343" s="25"/>
      <c r="B1343" s="297"/>
      <c r="C1343" s="25"/>
      <c r="D1343" s="25"/>
      <c r="E1343" s="25"/>
      <c r="F1343" s="25"/>
      <c r="G1343" s="123"/>
      <c r="H1343" s="123"/>
      <c r="I1343" s="25"/>
      <c r="J1343" s="25"/>
      <c r="K1343" s="367"/>
      <c r="L1343" s="42"/>
      <c r="M1343" s="42"/>
      <c r="N1343" s="42"/>
      <c r="O1343" s="42"/>
      <c r="P1343" s="42"/>
      <c r="Q1343" s="42"/>
      <c r="R1343" s="176"/>
      <c r="S1343" s="42"/>
      <c r="T1343" s="42"/>
      <c r="U1343" s="46"/>
      <c r="V1343" s="42"/>
      <c r="W1343" s="42"/>
      <c r="X1343" s="42"/>
      <c r="Y1343" s="42"/>
      <c r="Z1343" s="42"/>
      <c r="AA1343" s="42"/>
      <c r="AB1343" s="42"/>
      <c r="AC1343" s="42"/>
      <c r="AD1343" s="42"/>
      <c r="AE1343" s="42"/>
      <c r="AF1343" s="42"/>
    </row>
    <row r="1344">
      <c r="A1344" s="25"/>
      <c r="B1344" s="297"/>
      <c r="C1344" s="25"/>
      <c r="D1344" s="25"/>
      <c r="E1344" s="25"/>
      <c r="F1344" s="25"/>
      <c r="G1344" s="123"/>
      <c r="H1344" s="123"/>
      <c r="I1344" s="25"/>
      <c r="J1344" s="25"/>
      <c r="K1344" s="367"/>
      <c r="L1344" s="42"/>
      <c r="M1344" s="42"/>
      <c r="N1344" s="42"/>
      <c r="O1344" s="42"/>
      <c r="P1344" s="42"/>
      <c r="Q1344" s="42"/>
      <c r="R1344" s="176"/>
      <c r="S1344" s="42"/>
      <c r="T1344" s="42"/>
      <c r="U1344" s="46"/>
      <c r="V1344" s="42"/>
      <c r="W1344" s="42"/>
      <c r="X1344" s="42"/>
      <c r="Y1344" s="42"/>
      <c r="Z1344" s="42"/>
      <c r="AA1344" s="42"/>
      <c r="AB1344" s="42"/>
      <c r="AC1344" s="42"/>
      <c r="AD1344" s="42"/>
      <c r="AE1344" s="42"/>
      <c r="AF1344" s="42"/>
    </row>
    <row r="1345">
      <c r="A1345" s="25"/>
      <c r="B1345" s="297"/>
      <c r="C1345" s="25"/>
      <c r="D1345" s="25"/>
      <c r="E1345" s="25"/>
      <c r="F1345" s="25"/>
      <c r="G1345" s="123"/>
      <c r="H1345" s="123"/>
      <c r="I1345" s="25"/>
      <c r="J1345" s="25"/>
      <c r="K1345" s="367"/>
      <c r="L1345" s="42"/>
      <c r="M1345" s="42"/>
      <c r="N1345" s="42"/>
      <c r="O1345" s="42"/>
      <c r="P1345" s="42"/>
      <c r="Q1345" s="42"/>
      <c r="R1345" s="176"/>
      <c r="S1345" s="42"/>
      <c r="T1345" s="42"/>
      <c r="U1345" s="46"/>
      <c r="V1345" s="42"/>
      <c r="W1345" s="42"/>
      <c r="X1345" s="42"/>
      <c r="Y1345" s="42"/>
      <c r="Z1345" s="42"/>
      <c r="AA1345" s="42"/>
      <c r="AB1345" s="42"/>
      <c r="AC1345" s="42"/>
      <c r="AD1345" s="42"/>
      <c r="AE1345" s="42"/>
      <c r="AF1345" s="42"/>
    </row>
    <row r="1346">
      <c r="A1346" s="25"/>
      <c r="B1346" s="297"/>
      <c r="C1346" s="25"/>
      <c r="D1346" s="25"/>
      <c r="E1346" s="25"/>
      <c r="F1346" s="25"/>
      <c r="G1346" s="123"/>
      <c r="H1346" s="123"/>
      <c r="I1346" s="25"/>
      <c r="J1346" s="25"/>
      <c r="K1346" s="367"/>
      <c r="L1346" s="42"/>
      <c r="M1346" s="42"/>
      <c r="N1346" s="42"/>
      <c r="O1346" s="42"/>
      <c r="P1346" s="42"/>
      <c r="Q1346" s="42"/>
      <c r="R1346" s="176"/>
      <c r="S1346" s="42"/>
      <c r="T1346" s="42"/>
      <c r="U1346" s="46"/>
      <c r="V1346" s="42"/>
      <c r="W1346" s="42"/>
      <c r="X1346" s="42"/>
      <c r="Y1346" s="42"/>
      <c r="Z1346" s="42"/>
      <c r="AA1346" s="42"/>
      <c r="AB1346" s="42"/>
      <c r="AC1346" s="42"/>
      <c r="AD1346" s="42"/>
      <c r="AE1346" s="42"/>
      <c r="AF1346" s="42"/>
    </row>
    <row r="1347">
      <c r="A1347" s="25"/>
      <c r="B1347" s="297"/>
      <c r="C1347" s="25"/>
      <c r="D1347" s="25"/>
      <c r="E1347" s="25"/>
      <c r="F1347" s="25"/>
      <c r="G1347" s="123"/>
      <c r="H1347" s="123"/>
      <c r="I1347" s="25"/>
      <c r="J1347" s="25"/>
      <c r="K1347" s="367"/>
      <c r="L1347" s="42"/>
      <c r="M1347" s="42"/>
      <c r="N1347" s="42"/>
      <c r="O1347" s="42"/>
      <c r="P1347" s="42"/>
      <c r="Q1347" s="42"/>
      <c r="R1347" s="176"/>
      <c r="S1347" s="42"/>
      <c r="T1347" s="42"/>
      <c r="U1347" s="46"/>
      <c r="V1347" s="42"/>
      <c r="W1347" s="42"/>
      <c r="X1347" s="42"/>
      <c r="Y1347" s="42"/>
      <c r="Z1347" s="42"/>
      <c r="AA1347" s="42"/>
      <c r="AB1347" s="42"/>
      <c r="AC1347" s="42"/>
      <c r="AD1347" s="42"/>
      <c r="AE1347" s="42"/>
      <c r="AF1347" s="42"/>
    </row>
    <row r="1348">
      <c r="A1348" s="25"/>
      <c r="B1348" s="297"/>
      <c r="C1348" s="25"/>
      <c r="D1348" s="25"/>
      <c r="E1348" s="25"/>
      <c r="F1348" s="25"/>
      <c r="G1348" s="123"/>
      <c r="H1348" s="123"/>
      <c r="I1348" s="25"/>
      <c r="J1348" s="25"/>
      <c r="K1348" s="367"/>
      <c r="L1348" s="42"/>
      <c r="M1348" s="42"/>
      <c r="N1348" s="42"/>
      <c r="O1348" s="42"/>
      <c r="P1348" s="42"/>
      <c r="Q1348" s="42"/>
      <c r="R1348" s="176"/>
      <c r="S1348" s="42"/>
      <c r="T1348" s="42"/>
      <c r="U1348" s="46"/>
      <c r="V1348" s="42"/>
      <c r="W1348" s="42"/>
      <c r="X1348" s="42"/>
      <c r="Y1348" s="42"/>
      <c r="Z1348" s="42"/>
      <c r="AA1348" s="42"/>
      <c r="AB1348" s="42"/>
      <c r="AC1348" s="42"/>
      <c r="AD1348" s="42"/>
      <c r="AE1348" s="42"/>
      <c r="AF1348" s="42"/>
    </row>
    <row r="1349">
      <c r="A1349" s="25"/>
      <c r="B1349" s="297"/>
      <c r="C1349" s="25"/>
      <c r="D1349" s="25"/>
      <c r="E1349" s="25"/>
      <c r="F1349" s="25"/>
      <c r="G1349" s="123"/>
      <c r="H1349" s="123"/>
      <c r="I1349" s="25"/>
      <c r="J1349" s="25"/>
      <c r="K1349" s="367"/>
      <c r="L1349" s="42"/>
      <c r="M1349" s="42"/>
      <c r="N1349" s="42"/>
      <c r="O1349" s="42"/>
      <c r="P1349" s="42"/>
      <c r="Q1349" s="42"/>
      <c r="R1349" s="176"/>
      <c r="S1349" s="42"/>
      <c r="T1349" s="42"/>
      <c r="U1349" s="46"/>
      <c r="V1349" s="42"/>
      <c r="W1349" s="42"/>
      <c r="X1349" s="42"/>
      <c r="Y1349" s="42"/>
      <c r="Z1349" s="42"/>
      <c r="AA1349" s="42"/>
      <c r="AB1349" s="42"/>
      <c r="AC1349" s="42"/>
      <c r="AD1349" s="42"/>
      <c r="AE1349" s="42"/>
      <c r="AF1349" s="42"/>
    </row>
    <row r="1350">
      <c r="A1350" s="25"/>
      <c r="B1350" s="297"/>
      <c r="C1350" s="25"/>
      <c r="D1350" s="25"/>
      <c r="E1350" s="25"/>
      <c r="F1350" s="25"/>
      <c r="G1350" s="123"/>
      <c r="H1350" s="123"/>
      <c r="I1350" s="25"/>
      <c r="J1350" s="25"/>
      <c r="K1350" s="367"/>
      <c r="L1350" s="42"/>
      <c r="M1350" s="42"/>
      <c r="N1350" s="42"/>
      <c r="O1350" s="42"/>
      <c r="P1350" s="42"/>
      <c r="Q1350" s="42"/>
      <c r="R1350" s="176"/>
      <c r="S1350" s="42"/>
      <c r="T1350" s="42"/>
      <c r="U1350" s="46"/>
      <c r="V1350" s="42"/>
      <c r="W1350" s="42"/>
      <c r="X1350" s="42"/>
      <c r="Y1350" s="42"/>
      <c r="Z1350" s="42"/>
      <c r="AA1350" s="42"/>
      <c r="AB1350" s="42"/>
      <c r="AC1350" s="42"/>
      <c r="AD1350" s="42"/>
      <c r="AE1350" s="42"/>
      <c r="AF1350" s="42"/>
    </row>
    <row r="1351">
      <c r="A1351" s="25"/>
      <c r="B1351" s="297"/>
      <c r="C1351" s="25"/>
      <c r="D1351" s="25"/>
      <c r="E1351" s="25"/>
      <c r="F1351" s="25"/>
      <c r="G1351" s="123"/>
      <c r="H1351" s="123"/>
      <c r="I1351" s="25"/>
      <c r="J1351" s="25"/>
      <c r="K1351" s="367"/>
      <c r="L1351" s="42"/>
      <c r="M1351" s="42"/>
      <c r="N1351" s="42"/>
      <c r="O1351" s="42"/>
      <c r="P1351" s="42"/>
      <c r="Q1351" s="42"/>
      <c r="R1351" s="176"/>
      <c r="S1351" s="42"/>
      <c r="T1351" s="42"/>
      <c r="U1351" s="46"/>
      <c r="V1351" s="42"/>
      <c r="W1351" s="42"/>
      <c r="X1351" s="42"/>
      <c r="Y1351" s="42"/>
      <c r="Z1351" s="42"/>
      <c r="AA1351" s="42"/>
      <c r="AB1351" s="42"/>
      <c r="AC1351" s="42"/>
      <c r="AD1351" s="42"/>
      <c r="AE1351" s="42"/>
      <c r="AF1351" s="42"/>
    </row>
    <row r="1352">
      <c r="A1352" s="25"/>
      <c r="B1352" s="297"/>
      <c r="C1352" s="25"/>
      <c r="D1352" s="25"/>
      <c r="E1352" s="25"/>
      <c r="F1352" s="25"/>
      <c r="G1352" s="123"/>
      <c r="H1352" s="123"/>
      <c r="I1352" s="25"/>
      <c r="J1352" s="25"/>
      <c r="K1352" s="367"/>
      <c r="L1352" s="42"/>
      <c r="M1352" s="42"/>
      <c r="N1352" s="42"/>
      <c r="O1352" s="42"/>
      <c r="P1352" s="42"/>
      <c r="Q1352" s="42"/>
      <c r="R1352" s="176"/>
      <c r="S1352" s="42"/>
      <c r="T1352" s="42"/>
      <c r="U1352" s="46"/>
      <c r="V1352" s="42"/>
      <c r="W1352" s="42"/>
      <c r="X1352" s="42"/>
      <c r="Y1352" s="42"/>
      <c r="Z1352" s="42"/>
      <c r="AA1352" s="42"/>
      <c r="AB1352" s="42"/>
      <c r="AC1352" s="42"/>
      <c r="AD1352" s="42"/>
      <c r="AE1352" s="42"/>
      <c r="AF1352" s="42"/>
    </row>
    <row r="1353">
      <c r="A1353" s="25"/>
      <c r="B1353" s="297"/>
      <c r="C1353" s="25"/>
      <c r="D1353" s="25"/>
      <c r="E1353" s="25"/>
      <c r="F1353" s="25"/>
      <c r="G1353" s="123"/>
      <c r="H1353" s="123"/>
      <c r="I1353" s="25"/>
      <c r="J1353" s="25"/>
      <c r="K1353" s="367"/>
      <c r="L1353" s="42"/>
      <c r="M1353" s="42"/>
      <c r="N1353" s="42"/>
      <c r="O1353" s="42"/>
      <c r="P1353" s="42"/>
      <c r="Q1353" s="42"/>
      <c r="R1353" s="176"/>
      <c r="S1353" s="42"/>
      <c r="T1353" s="42"/>
      <c r="U1353" s="46"/>
      <c r="V1353" s="42"/>
      <c r="W1353" s="42"/>
      <c r="X1353" s="42"/>
      <c r="Y1353" s="42"/>
      <c r="Z1353" s="42"/>
      <c r="AA1353" s="42"/>
      <c r="AB1353" s="42"/>
      <c r="AC1353" s="42"/>
      <c r="AD1353" s="42"/>
      <c r="AE1353" s="42"/>
      <c r="AF1353" s="42"/>
    </row>
    <row r="1354">
      <c r="A1354" s="25"/>
      <c r="B1354" s="297"/>
      <c r="C1354" s="25"/>
      <c r="D1354" s="25"/>
      <c r="E1354" s="25"/>
      <c r="F1354" s="25"/>
      <c r="G1354" s="123"/>
      <c r="H1354" s="123"/>
      <c r="I1354" s="25"/>
      <c r="J1354" s="25"/>
      <c r="K1354" s="367"/>
      <c r="L1354" s="42"/>
      <c r="M1354" s="42"/>
      <c r="N1354" s="42"/>
      <c r="O1354" s="42"/>
      <c r="P1354" s="42"/>
      <c r="Q1354" s="42"/>
      <c r="R1354" s="176"/>
      <c r="S1354" s="42"/>
      <c r="T1354" s="42"/>
      <c r="U1354" s="46"/>
      <c r="V1354" s="42"/>
      <c r="W1354" s="42"/>
      <c r="X1354" s="42"/>
      <c r="Y1354" s="42"/>
      <c r="Z1354" s="42"/>
      <c r="AA1354" s="42"/>
      <c r="AB1354" s="42"/>
      <c r="AC1354" s="42"/>
      <c r="AD1354" s="42"/>
      <c r="AE1354" s="42"/>
      <c r="AF1354" s="42"/>
    </row>
    <row r="1355">
      <c r="A1355" s="25"/>
      <c r="B1355" s="297"/>
      <c r="C1355" s="25"/>
      <c r="D1355" s="25"/>
      <c r="E1355" s="25"/>
      <c r="F1355" s="25"/>
      <c r="G1355" s="123"/>
      <c r="H1355" s="123"/>
      <c r="I1355" s="25"/>
      <c r="J1355" s="25"/>
      <c r="K1355" s="367"/>
      <c r="L1355" s="42"/>
      <c r="M1355" s="42"/>
      <c r="N1355" s="42"/>
      <c r="O1355" s="42"/>
      <c r="P1355" s="42"/>
      <c r="Q1355" s="42"/>
      <c r="R1355" s="176"/>
      <c r="S1355" s="42"/>
      <c r="T1355" s="42"/>
      <c r="U1355" s="46"/>
      <c r="V1355" s="42"/>
      <c r="W1355" s="42"/>
      <c r="X1355" s="42"/>
      <c r="Y1355" s="42"/>
      <c r="Z1355" s="42"/>
      <c r="AA1355" s="42"/>
      <c r="AB1355" s="42"/>
      <c r="AC1355" s="42"/>
      <c r="AD1355" s="42"/>
      <c r="AE1355" s="42"/>
      <c r="AF1355" s="42"/>
    </row>
    <row r="1356">
      <c r="A1356" s="25"/>
      <c r="B1356" s="297"/>
      <c r="C1356" s="25"/>
      <c r="D1356" s="25"/>
      <c r="E1356" s="25"/>
      <c r="F1356" s="25"/>
      <c r="G1356" s="123"/>
      <c r="H1356" s="123"/>
      <c r="I1356" s="25"/>
      <c r="J1356" s="25"/>
      <c r="K1356" s="367"/>
      <c r="L1356" s="42"/>
      <c r="M1356" s="42"/>
      <c r="N1356" s="42"/>
      <c r="O1356" s="42"/>
      <c r="P1356" s="42"/>
      <c r="Q1356" s="42"/>
      <c r="R1356" s="176"/>
      <c r="S1356" s="42"/>
      <c r="T1356" s="42"/>
      <c r="U1356" s="46"/>
      <c r="V1356" s="42"/>
      <c r="W1356" s="42"/>
      <c r="X1356" s="42"/>
      <c r="Y1356" s="42"/>
      <c r="Z1356" s="42"/>
      <c r="AA1356" s="42"/>
      <c r="AB1356" s="42"/>
      <c r="AC1356" s="42"/>
      <c r="AD1356" s="42"/>
      <c r="AE1356" s="42"/>
      <c r="AF1356" s="42"/>
    </row>
    <row r="1357">
      <c r="A1357" s="25"/>
      <c r="B1357" s="297"/>
      <c r="C1357" s="25"/>
      <c r="D1357" s="25"/>
      <c r="E1357" s="25"/>
      <c r="F1357" s="25"/>
      <c r="G1357" s="123"/>
      <c r="H1357" s="123"/>
      <c r="I1357" s="25"/>
      <c r="J1357" s="25"/>
      <c r="K1357" s="367"/>
      <c r="L1357" s="42"/>
      <c r="M1357" s="42"/>
      <c r="N1357" s="42"/>
      <c r="O1357" s="42"/>
      <c r="P1357" s="42"/>
      <c r="Q1357" s="42"/>
      <c r="R1357" s="176"/>
      <c r="S1357" s="42"/>
      <c r="T1357" s="42"/>
      <c r="U1357" s="46"/>
      <c r="V1357" s="42"/>
      <c r="W1357" s="42"/>
      <c r="X1357" s="42"/>
      <c r="Y1357" s="42"/>
      <c r="Z1357" s="42"/>
      <c r="AA1357" s="42"/>
      <c r="AB1357" s="42"/>
      <c r="AC1357" s="42"/>
      <c r="AD1357" s="42"/>
      <c r="AE1357" s="42"/>
      <c r="AF1357" s="42"/>
    </row>
    <row r="1358">
      <c r="A1358" s="25"/>
      <c r="B1358" s="297"/>
      <c r="C1358" s="25"/>
      <c r="D1358" s="25"/>
      <c r="E1358" s="25"/>
      <c r="F1358" s="25"/>
      <c r="G1358" s="123"/>
      <c r="H1358" s="123"/>
      <c r="I1358" s="25"/>
      <c r="J1358" s="25"/>
      <c r="K1358" s="367"/>
      <c r="L1358" s="42"/>
      <c r="M1358" s="42"/>
      <c r="N1358" s="42"/>
      <c r="O1358" s="42"/>
      <c r="P1358" s="42"/>
      <c r="Q1358" s="42"/>
      <c r="R1358" s="176"/>
      <c r="S1358" s="42"/>
      <c r="T1358" s="42"/>
      <c r="U1358" s="46"/>
      <c r="V1358" s="42"/>
      <c r="W1358" s="42"/>
      <c r="X1358" s="42"/>
      <c r="Y1358" s="42"/>
      <c r="Z1358" s="42"/>
      <c r="AA1358" s="42"/>
      <c r="AB1358" s="42"/>
      <c r="AC1358" s="42"/>
      <c r="AD1358" s="42"/>
      <c r="AE1358" s="42"/>
      <c r="AF1358" s="42"/>
    </row>
    <row r="1359">
      <c r="A1359" s="25"/>
      <c r="B1359" s="297"/>
      <c r="C1359" s="25"/>
      <c r="D1359" s="25"/>
      <c r="E1359" s="25"/>
      <c r="F1359" s="25"/>
      <c r="G1359" s="123"/>
      <c r="H1359" s="123"/>
      <c r="I1359" s="25"/>
      <c r="J1359" s="25"/>
      <c r="K1359" s="367"/>
      <c r="L1359" s="42"/>
      <c r="M1359" s="42"/>
      <c r="N1359" s="42"/>
      <c r="O1359" s="42"/>
      <c r="P1359" s="42"/>
      <c r="Q1359" s="42"/>
      <c r="R1359" s="176"/>
      <c r="S1359" s="42"/>
      <c r="T1359" s="42"/>
      <c r="U1359" s="46"/>
      <c r="V1359" s="42"/>
      <c r="W1359" s="42"/>
      <c r="X1359" s="42"/>
      <c r="Y1359" s="42"/>
      <c r="Z1359" s="42"/>
      <c r="AA1359" s="42"/>
      <c r="AB1359" s="42"/>
      <c r="AC1359" s="42"/>
      <c r="AD1359" s="42"/>
      <c r="AE1359" s="42"/>
      <c r="AF1359" s="42"/>
    </row>
    <row r="1360">
      <c r="A1360" s="25"/>
      <c r="B1360" s="297"/>
      <c r="C1360" s="25"/>
      <c r="D1360" s="25"/>
      <c r="E1360" s="25"/>
      <c r="F1360" s="25"/>
      <c r="G1360" s="123"/>
      <c r="H1360" s="123"/>
      <c r="I1360" s="25"/>
      <c r="J1360" s="25"/>
      <c r="K1360" s="367"/>
      <c r="L1360" s="42"/>
      <c r="M1360" s="42"/>
      <c r="N1360" s="42"/>
      <c r="O1360" s="42"/>
      <c r="P1360" s="42"/>
      <c r="Q1360" s="42"/>
      <c r="R1360" s="176"/>
      <c r="S1360" s="42"/>
      <c r="T1360" s="42"/>
      <c r="U1360" s="46"/>
      <c r="V1360" s="42"/>
      <c r="W1360" s="42"/>
      <c r="X1360" s="42"/>
      <c r="Y1360" s="42"/>
      <c r="Z1360" s="42"/>
      <c r="AA1360" s="42"/>
      <c r="AB1360" s="42"/>
      <c r="AC1360" s="42"/>
      <c r="AD1360" s="42"/>
      <c r="AE1360" s="42"/>
      <c r="AF1360" s="42"/>
    </row>
    <row r="1361">
      <c r="A1361" s="25"/>
      <c r="B1361" s="297"/>
      <c r="C1361" s="25"/>
      <c r="D1361" s="25"/>
      <c r="E1361" s="25"/>
      <c r="F1361" s="25"/>
      <c r="G1361" s="123"/>
      <c r="H1361" s="123"/>
      <c r="I1361" s="25"/>
      <c r="J1361" s="25"/>
      <c r="K1361" s="367"/>
      <c r="L1361" s="42"/>
      <c r="M1361" s="42"/>
      <c r="N1361" s="42"/>
      <c r="O1361" s="42"/>
      <c r="P1361" s="42"/>
      <c r="Q1361" s="42"/>
      <c r="R1361" s="176"/>
      <c r="S1361" s="42"/>
      <c r="T1361" s="42"/>
      <c r="U1361" s="46"/>
      <c r="V1361" s="42"/>
      <c r="W1361" s="42"/>
      <c r="X1361" s="42"/>
      <c r="Y1361" s="42"/>
      <c r="Z1361" s="42"/>
      <c r="AA1361" s="42"/>
      <c r="AB1361" s="42"/>
      <c r="AC1361" s="42"/>
      <c r="AD1361" s="42"/>
      <c r="AE1361" s="42"/>
      <c r="AF1361" s="42"/>
    </row>
    <row r="1362">
      <c r="A1362" s="25"/>
      <c r="B1362" s="297"/>
      <c r="C1362" s="25"/>
      <c r="D1362" s="25"/>
      <c r="E1362" s="25"/>
      <c r="F1362" s="25"/>
      <c r="G1362" s="123"/>
      <c r="H1362" s="123"/>
      <c r="I1362" s="25"/>
      <c r="J1362" s="25"/>
      <c r="K1362" s="367"/>
      <c r="L1362" s="42"/>
      <c r="M1362" s="42"/>
      <c r="N1362" s="42"/>
      <c r="O1362" s="42"/>
      <c r="P1362" s="42"/>
      <c r="Q1362" s="42"/>
      <c r="R1362" s="176"/>
      <c r="S1362" s="42"/>
      <c r="T1362" s="42"/>
      <c r="U1362" s="46"/>
      <c r="V1362" s="42"/>
      <c r="W1362" s="42"/>
      <c r="X1362" s="42"/>
      <c r="Y1362" s="42"/>
      <c r="Z1362" s="42"/>
      <c r="AA1362" s="42"/>
      <c r="AB1362" s="42"/>
      <c r="AC1362" s="42"/>
      <c r="AD1362" s="42"/>
      <c r="AE1362" s="42"/>
      <c r="AF1362" s="42"/>
    </row>
    <row r="1363">
      <c r="A1363" s="25"/>
      <c r="B1363" s="297"/>
      <c r="C1363" s="25"/>
      <c r="D1363" s="25"/>
      <c r="E1363" s="25"/>
      <c r="F1363" s="25"/>
      <c r="G1363" s="123"/>
      <c r="H1363" s="123"/>
      <c r="I1363" s="25"/>
      <c r="J1363" s="25"/>
      <c r="K1363" s="367"/>
      <c r="L1363" s="42"/>
      <c r="M1363" s="42"/>
      <c r="N1363" s="42"/>
      <c r="O1363" s="42"/>
      <c r="P1363" s="42"/>
      <c r="Q1363" s="42"/>
      <c r="R1363" s="176"/>
      <c r="S1363" s="42"/>
      <c r="T1363" s="42"/>
      <c r="U1363" s="46"/>
      <c r="V1363" s="42"/>
      <c r="W1363" s="42"/>
      <c r="X1363" s="42"/>
      <c r="Y1363" s="42"/>
      <c r="Z1363" s="42"/>
      <c r="AA1363" s="42"/>
      <c r="AB1363" s="42"/>
      <c r="AC1363" s="42"/>
      <c r="AD1363" s="42"/>
      <c r="AE1363" s="42"/>
      <c r="AF1363" s="42"/>
    </row>
    <row r="1364">
      <c r="A1364" s="25"/>
      <c r="B1364" s="297"/>
      <c r="C1364" s="25"/>
      <c r="D1364" s="25"/>
      <c r="E1364" s="25"/>
      <c r="F1364" s="25"/>
      <c r="G1364" s="123"/>
      <c r="H1364" s="123"/>
      <c r="I1364" s="25"/>
      <c r="J1364" s="25"/>
      <c r="K1364" s="367"/>
      <c r="L1364" s="42"/>
      <c r="M1364" s="42"/>
      <c r="N1364" s="42"/>
      <c r="O1364" s="42"/>
      <c r="P1364" s="42"/>
      <c r="Q1364" s="42"/>
      <c r="R1364" s="176"/>
      <c r="S1364" s="42"/>
      <c r="T1364" s="42"/>
      <c r="U1364" s="46"/>
      <c r="V1364" s="42"/>
      <c r="W1364" s="42"/>
      <c r="X1364" s="42"/>
      <c r="Y1364" s="42"/>
      <c r="Z1364" s="42"/>
      <c r="AA1364" s="42"/>
      <c r="AB1364" s="42"/>
      <c r="AC1364" s="42"/>
      <c r="AD1364" s="42"/>
      <c r="AE1364" s="42"/>
      <c r="AF1364" s="42"/>
    </row>
    <row r="1365">
      <c r="A1365" s="25"/>
      <c r="B1365" s="297"/>
      <c r="C1365" s="25"/>
      <c r="D1365" s="25"/>
      <c r="E1365" s="25"/>
      <c r="F1365" s="25"/>
      <c r="G1365" s="123"/>
      <c r="H1365" s="123"/>
      <c r="I1365" s="25"/>
      <c r="J1365" s="25"/>
      <c r="K1365" s="367"/>
      <c r="L1365" s="42"/>
      <c r="M1365" s="42"/>
      <c r="N1365" s="42"/>
      <c r="O1365" s="42"/>
      <c r="P1365" s="42"/>
      <c r="Q1365" s="42"/>
      <c r="R1365" s="176"/>
      <c r="S1365" s="42"/>
      <c r="T1365" s="42"/>
      <c r="U1365" s="46"/>
      <c r="V1365" s="42"/>
      <c r="W1365" s="42"/>
      <c r="X1365" s="42"/>
      <c r="Y1365" s="42"/>
      <c r="Z1365" s="42"/>
      <c r="AA1365" s="42"/>
      <c r="AB1365" s="42"/>
      <c r="AC1365" s="42"/>
      <c r="AD1365" s="42"/>
      <c r="AE1365" s="42"/>
      <c r="AF1365" s="42"/>
    </row>
    <row r="1366">
      <c r="A1366" s="25"/>
      <c r="B1366" s="297"/>
      <c r="C1366" s="25"/>
      <c r="D1366" s="25"/>
      <c r="E1366" s="25"/>
      <c r="F1366" s="25"/>
      <c r="G1366" s="123"/>
      <c r="H1366" s="123"/>
      <c r="I1366" s="25"/>
      <c r="J1366" s="25"/>
      <c r="K1366" s="367"/>
      <c r="L1366" s="42"/>
      <c r="M1366" s="42"/>
      <c r="N1366" s="42"/>
      <c r="O1366" s="42"/>
      <c r="P1366" s="42"/>
      <c r="Q1366" s="42"/>
      <c r="R1366" s="176"/>
      <c r="S1366" s="42"/>
      <c r="T1366" s="42"/>
      <c r="U1366" s="46"/>
      <c r="V1366" s="42"/>
      <c r="W1366" s="42"/>
      <c r="X1366" s="42"/>
      <c r="Y1366" s="42"/>
      <c r="Z1366" s="42"/>
      <c r="AA1366" s="42"/>
      <c r="AB1366" s="42"/>
      <c r="AC1366" s="42"/>
      <c r="AD1366" s="42"/>
      <c r="AE1366" s="42"/>
      <c r="AF1366" s="42"/>
    </row>
    <row r="1367">
      <c r="A1367" s="25"/>
      <c r="B1367" s="297"/>
      <c r="C1367" s="25"/>
      <c r="D1367" s="25"/>
      <c r="E1367" s="25"/>
      <c r="F1367" s="25"/>
      <c r="G1367" s="123"/>
      <c r="H1367" s="123"/>
      <c r="I1367" s="25"/>
      <c r="J1367" s="25"/>
      <c r="K1367" s="367"/>
      <c r="L1367" s="42"/>
      <c r="M1367" s="42"/>
      <c r="N1367" s="42"/>
      <c r="O1367" s="42"/>
      <c r="P1367" s="42"/>
      <c r="Q1367" s="42"/>
      <c r="R1367" s="176"/>
      <c r="S1367" s="42"/>
      <c r="T1367" s="42"/>
      <c r="U1367" s="46"/>
      <c r="V1367" s="42"/>
      <c r="W1367" s="42"/>
      <c r="X1367" s="42"/>
      <c r="Y1367" s="42"/>
      <c r="Z1367" s="42"/>
      <c r="AA1367" s="42"/>
      <c r="AB1367" s="42"/>
      <c r="AC1367" s="42"/>
      <c r="AD1367" s="42"/>
      <c r="AE1367" s="42"/>
      <c r="AF1367" s="42"/>
    </row>
    <row r="1368">
      <c r="A1368" s="25"/>
      <c r="B1368" s="297"/>
      <c r="C1368" s="25"/>
      <c r="D1368" s="25"/>
      <c r="E1368" s="25"/>
      <c r="F1368" s="25"/>
      <c r="G1368" s="123"/>
      <c r="H1368" s="123"/>
      <c r="I1368" s="25"/>
      <c r="J1368" s="25"/>
      <c r="K1368" s="367"/>
      <c r="L1368" s="42"/>
      <c r="M1368" s="42"/>
      <c r="N1368" s="42"/>
      <c r="O1368" s="42"/>
      <c r="P1368" s="42"/>
      <c r="Q1368" s="42"/>
      <c r="R1368" s="176"/>
      <c r="S1368" s="42"/>
      <c r="T1368" s="42"/>
      <c r="U1368" s="46"/>
      <c r="V1368" s="42"/>
      <c r="W1368" s="42"/>
      <c r="X1368" s="42"/>
      <c r="Y1368" s="42"/>
      <c r="Z1368" s="42"/>
      <c r="AA1368" s="42"/>
      <c r="AB1368" s="42"/>
      <c r="AC1368" s="42"/>
      <c r="AD1368" s="42"/>
      <c r="AE1368" s="42"/>
      <c r="AF1368" s="42"/>
    </row>
    <row r="1369">
      <c r="A1369" s="25"/>
      <c r="B1369" s="297"/>
      <c r="C1369" s="25"/>
      <c r="D1369" s="25"/>
      <c r="E1369" s="25"/>
      <c r="F1369" s="25"/>
      <c r="G1369" s="123"/>
      <c r="H1369" s="123"/>
      <c r="I1369" s="25"/>
      <c r="J1369" s="25"/>
      <c r="K1369" s="367"/>
      <c r="L1369" s="42"/>
      <c r="M1369" s="42"/>
      <c r="N1369" s="42"/>
      <c r="O1369" s="42"/>
      <c r="P1369" s="42"/>
      <c r="Q1369" s="42"/>
      <c r="R1369" s="176"/>
      <c r="S1369" s="42"/>
      <c r="T1369" s="42"/>
      <c r="U1369" s="46"/>
      <c r="V1369" s="42"/>
      <c r="W1369" s="42"/>
      <c r="X1369" s="42"/>
      <c r="Y1369" s="42"/>
      <c r="Z1369" s="42"/>
      <c r="AA1369" s="42"/>
      <c r="AB1369" s="42"/>
      <c r="AC1369" s="42"/>
      <c r="AD1369" s="42"/>
      <c r="AE1369" s="42"/>
      <c r="AF1369" s="42"/>
    </row>
    <row r="1370">
      <c r="A1370" s="25"/>
      <c r="B1370" s="297"/>
      <c r="C1370" s="25"/>
      <c r="D1370" s="25"/>
      <c r="E1370" s="25"/>
      <c r="F1370" s="25"/>
      <c r="G1370" s="123"/>
      <c r="H1370" s="123"/>
      <c r="I1370" s="25"/>
      <c r="J1370" s="25"/>
      <c r="K1370" s="367"/>
      <c r="L1370" s="42"/>
      <c r="M1370" s="42"/>
      <c r="N1370" s="42"/>
      <c r="O1370" s="42"/>
      <c r="P1370" s="42"/>
      <c r="Q1370" s="42"/>
      <c r="R1370" s="176"/>
      <c r="S1370" s="42"/>
      <c r="T1370" s="42"/>
      <c r="U1370" s="46"/>
      <c r="V1370" s="42"/>
      <c r="W1370" s="42"/>
      <c r="X1370" s="42"/>
      <c r="Y1370" s="42"/>
      <c r="Z1370" s="42"/>
      <c r="AA1370" s="42"/>
      <c r="AB1370" s="42"/>
      <c r="AC1370" s="42"/>
      <c r="AD1370" s="42"/>
      <c r="AE1370" s="42"/>
      <c r="AF1370" s="42"/>
    </row>
    <row r="1371">
      <c r="A1371" s="25"/>
      <c r="B1371" s="297"/>
      <c r="C1371" s="25"/>
      <c r="D1371" s="25"/>
      <c r="E1371" s="25"/>
      <c r="F1371" s="25"/>
      <c r="G1371" s="123"/>
      <c r="H1371" s="123"/>
      <c r="I1371" s="25"/>
      <c r="J1371" s="25"/>
      <c r="K1371" s="367"/>
      <c r="L1371" s="42"/>
      <c r="M1371" s="42"/>
      <c r="N1371" s="42"/>
      <c r="O1371" s="42"/>
      <c r="P1371" s="42"/>
      <c r="Q1371" s="42"/>
      <c r="R1371" s="176"/>
      <c r="S1371" s="42"/>
      <c r="T1371" s="42"/>
      <c r="U1371" s="46"/>
      <c r="V1371" s="42"/>
      <c r="W1371" s="42"/>
      <c r="X1371" s="42"/>
      <c r="Y1371" s="42"/>
      <c r="Z1371" s="42"/>
      <c r="AA1371" s="42"/>
      <c r="AB1371" s="42"/>
      <c r="AC1371" s="42"/>
      <c r="AD1371" s="42"/>
      <c r="AE1371" s="42"/>
      <c r="AF1371" s="42"/>
    </row>
    <row r="1372">
      <c r="A1372" s="25"/>
      <c r="B1372" s="297"/>
      <c r="C1372" s="25"/>
      <c r="D1372" s="25"/>
      <c r="E1372" s="25"/>
      <c r="F1372" s="25"/>
      <c r="G1372" s="123"/>
      <c r="H1372" s="123"/>
      <c r="I1372" s="25"/>
      <c r="J1372" s="25"/>
      <c r="K1372" s="367"/>
      <c r="L1372" s="42"/>
      <c r="M1372" s="42"/>
      <c r="N1372" s="42"/>
      <c r="O1372" s="42"/>
      <c r="P1372" s="42"/>
      <c r="Q1372" s="42"/>
      <c r="R1372" s="176"/>
      <c r="S1372" s="42"/>
      <c r="T1372" s="42"/>
      <c r="U1372" s="46"/>
      <c r="V1372" s="42"/>
      <c r="W1372" s="42"/>
      <c r="X1372" s="42"/>
      <c r="Y1372" s="42"/>
      <c r="Z1372" s="42"/>
      <c r="AA1372" s="42"/>
      <c r="AB1372" s="42"/>
      <c r="AC1372" s="42"/>
      <c r="AD1372" s="42"/>
      <c r="AE1372" s="42"/>
      <c r="AF1372" s="42"/>
    </row>
    <row r="1373">
      <c r="A1373" s="25"/>
      <c r="B1373" s="297"/>
      <c r="C1373" s="25"/>
      <c r="D1373" s="25"/>
      <c r="E1373" s="25"/>
      <c r="F1373" s="25"/>
      <c r="G1373" s="123"/>
      <c r="H1373" s="123"/>
      <c r="I1373" s="25"/>
      <c r="J1373" s="25"/>
      <c r="K1373" s="367"/>
      <c r="L1373" s="42"/>
      <c r="M1373" s="42"/>
      <c r="N1373" s="42"/>
      <c r="O1373" s="42"/>
      <c r="P1373" s="42"/>
      <c r="Q1373" s="42"/>
      <c r="R1373" s="176"/>
      <c r="S1373" s="42"/>
      <c r="T1373" s="42"/>
      <c r="U1373" s="46"/>
      <c r="V1373" s="42"/>
      <c r="W1373" s="42"/>
      <c r="X1373" s="42"/>
      <c r="Y1373" s="42"/>
      <c r="Z1373" s="42"/>
      <c r="AA1373" s="42"/>
      <c r="AB1373" s="42"/>
      <c r="AC1373" s="42"/>
      <c r="AD1373" s="42"/>
      <c r="AE1373" s="42"/>
      <c r="AF1373" s="42"/>
    </row>
    <row r="1374">
      <c r="A1374" s="25"/>
      <c r="B1374" s="297"/>
      <c r="C1374" s="25"/>
      <c r="D1374" s="25"/>
      <c r="E1374" s="25"/>
      <c r="F1374" s="25"/>
      <c r="G1374" s="123"/>
      <c r="H1374" s="123"/>
      <c r="I1374" s="25"/>
      <c r="J1374" s="25"/>
      <c r="K1374" s="367"/>
      <c r="L1374" s="42"/>
      <c r="M1374" s="42"/>
      <c r="N1374" s="42"/>
      <c r="O1374" s="42"/>
      <c r="P1374" s="42"/>
      <c r="Q1374" s="42"/>
      <c r="R1374" s="176"/>
      <c r="S1374" s="42"/>
      <c r="T1374" s="42"/>
      <c r="U1374" s="46"/>
      <c r="V1374" s="42"/>
      <c r="W1374" s="42"/>
      <c r="X1374" s="42"/>
      <c r="Y1374" s="42"/>
      <c r="Z1374" s="42"/>
      <c r="AA1374" s="42"/>
      <c r="AB1374" s="42"/>
      <c r="AC1374" s="42"/>
      <c r="AD1374" s="42"/>
      <c r="AE1374" s="42"/>
      <c r="AF1374" s="42"/>
    </row>
    <row r="1375">
      <c r="A1375" s="25"/>
      <c r="B1375" s="297"/>
      <c r="C1375" s="25"/>
      <c r="D1375" s="25"/>
      <c r="E1375" s="25"/>
      <c r="F1375" s="25"/>
      <c r="G1375" s="123"/>
      <c r="H1375" s="123"/>
      <c r="I1375" s="25"/>
      <c r="J1375" s="25"/>
      <c r="K1375" s="367"/>
      <c r="L1375" s="42"/>
      <c r="M1375" s="42"/>
      <c r="N1375" s="42"/>
      <c r="O1375" s="42"/>
      <c r="P1375" s="42"/>
      <c r="Q1375" s="42"/>
      <c r="R1375" s="176"/>
      <c r="S1375" s="42"/>
      <c r="T1375" s="42"/>
      <c r="U1375" s="46"/>
      <c r="V1375" s="42"/>
      <c r="W1375" s="42"/>
      <c r="X1375" s="42"/>
      <c r="Y1375" s="42"/>
      <c r="Z1375" s="42"/>
      <c r="AA1375" s="42"/>
      <c r="AB1375" s="42"/>
      <c r="AC1375" s="42"/>
      <c r="AD1375" s="42"/>
      <c r="AE1375" s="42"/>
      <c r="AF1375" s="42"/>
    </row>
    <row r="1376">
      <c r="A1376" s="25"/>
      <c r="B1376" s="297"/>
      <c r="C1376" s="25"/>
      <c r="D1376" s="25"/>
      <c r="E1376" s="25"/>
      <c r="F1376" s="25"/>
      <c r="G1376" s="123"/>
      <c r="H1376" s="123"/>
      <c r="I1376" s="25"/>
      <c r="J1376" s="25"/>
      <c r="K1376" s="367"/>
      <c r="L1376" s="42"/>
      <c r="M1376" s="42"/>
      <c r="N1376" s="42"/>
      <c r="O1376" s="42"/>
      <c r="P1376" s="42"/>
      <c r="Q1376" s="42"/>
      <c r="R1376" s="176"/>
      <c r="S1376" s="42"/>
      <c r="T1376" s="42"/>
      <c r="U1376" s="46"/>
      <c r="V1376" s="42"/>
      <c r="W1376" s="42"/>
      <c r="X1376" s="42"/>
      <c r="Y1376" s="42"/>
      <c r="Z1376" s="42"/>
      <c r="AA1376" s="42"/>
      <c r="AB1376" s="42"/>
      <c r="AC1376" s="42"/>
      <c r="AD1376" s="42"/>
      <c r="AE1376" s="42"/>
      <c r="AF1376" s="42"/>
    </row>
    <row r="1377">
      <c r="A1377" s="25"/>
      <c r="B1377" s="297"/>
      <c r="C1377" s="25"/>
      <c r="D1377" s="25"/>
      <c r="E1377" s="25"/>
      <c r="F1377" s="25"/>
      <c r="G1377" s="123"/>
      <c r="H1377" s="123"/>
      <c r="I1377" s="25"/>
      <c r="J1377" s="25"/>
      <c r="K1377" s="367"/>
      <c r="L1377" s="42"/>
      <c r="M1377" s="42"/>
      <c r="N1377" s="42"/>
      <c r="O1377" s="42"/>
      <c r="P1377" s="42"/>
      <c r="Q1377" s="42"/>
      <c r="R1377" s="176"/>
      <c r="S1377" s="42"/>
      <c r="T1377" s="42"/>
      <c r="U1377" s="46"/>
      <c r="V1377" s="42"/>
      <c r="W1377" s="42"/>
      <c r="X1377" s="42"/>
      <c r="Y1377" s="42"/>
      <c r="Z1377" s="42"/>
      <c r="AA1377" s="42"/>
      <c r="AB1377" s="42"/>
      <c r="AC1377" s="42"/>
      <c r="AD1377" s="42"/>
      <c r="AE1377" s="42"/>
      <c r="AF1377" s="42"/>
    </row>
    <row r="1378">
      <c r="A1378" s="25"/>
      <c r="B1378" s="297"/>
      <c r="C1378" s="25"/>
      <c r="D1378" s="25"/>
      <c r="E1378" s="25"/>
      <c r="F1378" s="25"/>
      <c r="G1378" s="123"/>
      <c r="H1378" s="123"/>
      <c r="I1378" s="25"/>
      <c r="J1378" s="25"/>
      <c r="K1378" s="367"/>
      <c r="L1378" s="42"/>
      <c r="M1378" s="42"/>
      <c r="N1378" s="42"/>
      <c r="O1378" s="42"/>
      <c r="P1378" s="42"/>
      <c r="Q1378" s="42"/>
      <c r="R1378" s="176"/>
      <c r="S1378" s="42"/>
      <c r="T1378" s="42"/>
      <c r="U1378" s="46"/>
      <c r="V1378" s="42"/>
      <c r="W1378" s="42"/>
      <c r="X1378" s="42"/>
      <c r="Y1378" s="42"/>
      <c r="Z1378" s="42"/>
      <c r="AA1378" s="42"/>
      <c r="AB1378" s="42"/>
      <c r="AC1378" s="42"/>
      <c r="AD1378" s="42"/>
      <c r="AE1378" s="42"/>
      <c r="AF1378" s="42"/>
    </row>
    <row r="1379">
      <c r="A1379" s="25"/>
      <c r="B1379" s="297"/>
      <c r="C1379" s="25"/>
      <c r="D1379" s="25"/>
      <c r="E1379" s="25"/>
      <c r="F1379" s="25"/>
      <c r="G1379" s="123"/>
      <c r="H1379" s="123"/>
      <c r="I1379" s="25"/>
      <c r="J1379" s="25"/>
      <c r="K1379" s="367"/>
      <c r="L1379" s="42"/>
      <c r="M1379" s="42"/>
      <c r="N1379" s="42"/>
      <c r="O1379" s="42"/>
      <c r="P1379" s="42"/>
      <c r="Q1379" s="42"/>
      <c r="R1379" s="176"/>
      <c r="S1379" s="42"/>
      <c r="T1379" s="42"/>
      <c r="U1379" s="46"/>
      <c r="V1379" s="42"/>
      <c r="W1379" s="42"/>
      <c r="X1379" s="42"/>
      <c r="Y1379" s="42"/>
      <c r="Z1379" s="42"/>
      <c r="AA1379" s="42"/>
      <c r="AB1379" s="42"/>
      <c r="AC1379" s="42"/>
      <c r="AD1379" s="42"/>
      <c r="AE1379" s="42"/>
      <c r="AF1379" s="42"/>
    </row>
    <row r="1380">
      <c r="A1380" s="25"/>
      <c r="B1380" s="297"/>
      <c r="C1380" s="25"/>
      <c r="D1380" s="25"/>
      <c r="E1380" s="25"/>
      <c r="F1380" s="25"/>
      <c r="G1380" s="123"/>
      <c r="H1380" s="123"/>
      <c r="I1380" s="25"/>
      <c r="J1380" s="25"/>
      <c r="K1380" s="367"/>
      <c r="L1380" s="42"/>
      <c r="M1380" s="42"/>
      <c r="N1380" s="42"/>
      <c r="O1380" s="42"/>
      <c r="P1380" s="42"/>
      <c r="Q1380" s="42"/>
      <c r="R1380" s="176"/>
      <c r="S1380" s="42"/>
      <c r="T1380" s="42"/>
      <c r="U1380" s="46"/>
      <c r="V1380" s="42"/>
      <c r="W1380" s="42"/>
      <c r="X1380" s="42"/>
      <c r="Y1380" s="42"/>
      <c r="Z1380" s="42"/>
      <c r="AA1380" s="42"/>
      <c r="AB1380" s="42"/>
      <c r="AC1380" s="42"/>
      <c r="AD1380" s="42"/>
      <c r="AE1380" s="42"/>
      <c r="AF1380" s="42"/>
    </row>
    <row r="1381">
      <c r="A1381" s="25"/>
      <c r="B1381" s="297"/>
      <c r="C1381" s="25"/>
      <c r="D1381" s="25"/>
      <c r="E1381" s="25"/>
      <c r="F1381" s="25"/>
      <c r="G1381" s="123"/>
      <c r="H1381" s="123"/>
      <c r="I1381" s="25"/>
      <c r="J1381" s="25"/>
      <c r="K1381" s="367"/>
      <c r="L1381" s="42"/>
      <c r="M1381" s="42"/>
      <c r="N1381" s="42"/>
      <c r="O1381" s="42"/>
      <c r="P1381" s="42"/>
      <c r="Q1381" s="42"/>
      <c r="R1381" s="176"/>
      <c r="S1381" s="42"/>
      <c r="T1381" s="42"/>
      <c r="U1381" s="46"/>
      <c r="V1381" s="42"/>
      <c r="W1381" s="42"/>
      <c r="X1381" s="42"/>
      <c r="Y1381" s="42"/>
      <c r="Z1381" s="42"/>
      <c r="AA1381" s="42"/>
      <c r="AB1381" s="42"/>
      <c r="AC1381" s="42"/>
      <c r="AD1381" s="42"/>
      <c r="AE1381" s="42"/>
      <c r="AF1381" s="42"/>
    </row>
    <row r="1382">
      <c r="A1382" s="25"/>
      <c r="B1382" s="297"/>
      <c r="C1382" s="25"/>
      <c r="D1382" s="25"/>
      <c r="E1382" s="25"/>
      <c r="F1382" s="25"/>
      <c r="G1382" s="123"/>
      <c r="H1382" s="123"/>
      <c r="I1382" s="25"/>
      <c r="J1382" s="25"/>
      <c r="K1382" s="367"/>
      <c r="L1382" s="42"/>
      <c r="M1382" s="42"/>
      <c r="N1382" s="42"/>
      <c r="O1382" s="42"/>
      <c r="P1382" s="42"/>
      <c r="Q1382" s="42"/>
      <c r="R1382" s="176"/>
      <c r="S1382" s="42"/>
      <c r="T1382" s="42"/>
      <c r="U1382" s="46"/>
      <c r="V1382" s="42"/>
      <c r="W1382" s="42"/>
      <c r="X1382" s="42"/>
      <c r="Y1382" s="42"/>
      <c r="Z1382" s="42"/>
      <c r="AA1382" s="42"/>
      <c r="AB1382" s="42"/>
      <c r="AC1382" s="42"/>
      <c r="AD1382" s="42"/>
      <c r="AE1382" s="42"/>
      <c r="AF1382" s="42"/>
    </row>
    <row r="1383">
      <c r="A1383" s="25"/>
      <c r="B1383" s="297"/>
      <c r="C1383" s="25"/>
      <c r="D1383" s="25"/>
      <c r="E1383" s="25"/>
      <c r="F1383" s="25"/>
      <c r="G1383" s="123"/>
      <c r="H1383" s="123"/>
      <c r="I1383" s="25"/>
      <c r="J1383" s="25"/>
      <c r="K1383" s="367"/>
      <c r="L1383" s="42"/>
      <c r="M1383" s="42"/>
      <c r="N1383" s="42"/>
      <c r="O1383" s="42"/>
      <c r="P1383" s="42"/>
      <c r="Q1383" s="42"/>
      <c r="R1383" s="176"/>
      <c r="S1383" s="42"/>
      <c r="T1383" s="42"/>
      <c r="U1383" s="46"/>
      <c r="V1383" s="42"/>
      <c r="W1383" s="42"/>
      <c r="X1383" s="42"/>
      <c r="Y1383" s="42"/>
      <c r="Z1383" s="42"/>
      <c r="AA1383" s="42"/>
      <c r="AB1383" s="42"/>
      <c r="AC1383" s="42"/>
      <c r="AD1383" s="42"/>
      <c r="AE1383" s="42"/>
      <c r="AF1383" s="42"/>
    </row>
    <row r="1384">
      <c r="A1384" s="25"/>
      <c r="B1384" s="297"/>
      <c r="C1384" s="25"/>
      <c r="D1384" s="25"/>
      <c r="E1384" s="25"/>
      <c r="F1384" s="25"/>
      <c r="G1384" s="123"/>
      <c r="H1384" s="123"/>
      <c r="I1384" s="25"/>
      <c r="J1384" s="25"/>
      <c r="K1384" s="367"/>
      <c r="L1384" s="42"/>
      <c r="M1384" s="42"/>
      <c r="N1384" s="42"/>
      <c r="O1384" s="42"/>
      <c r="P1384" s="42"/>
      <c r="Q1384" s="42"/>
      <c r="R1384" s="176"/>
      <c r="S1384" s="42"/>
      <c r="T1384" s="42"/>
      <c r="U1384" s="46"/>
      <c r="V1384" s="42"/>
      <c r="W1384" s="42"/>
      <c r="X1384" s="42"/>
      <c r="Y1384" s="42"/>
      <c r="Z1384" s="42"/>
      <c r="AA1384" s="42"/>
      <c r="AB1384" s="42"/>
      <c r="AC1384" s="42"/>
      <c r="AD1384" s="42"/>
      <c r="AE1384" s="42"/>
      <c r="AF1384" s="42"/>
    </row>
    <row r="1385">
      <c r="A1385" s="25"/>
      <c r="B1385" s="297"/>
      <c r="C1385" s="25"/>
      <c r="D1385" s="25"/>
      <c r="E1385" s="25"/>
      <c r="F1385" s="25"/>
      <c r="G1385" s="123"/>
      <c r="H1385" s="123"/>
      <c r="I1385" s="25"/>
      <c r="J1385" s="25"/>
      <c r="K1385" s="367"/>
      <c r="L1385" s="42"/>
      <c r="M1385" s="42"/>
      <c r="N1385" s="42"/>
      <c r="O1385" s="42"/>
      <c r="P1385" s="42"/>
      <c r="Q1385" s="42"/>
      <c r="R1385" s="176"/>
      <c r="S1385" s="42"/>
      <c r="T1385" s="42"/>
      <c r="U1385" s="46"/>
      <c r="V1385" s="42"/>
      <c r="W1385" s="42"/>
      <c r="X1385" s="42"/>
      <c r="Y1385" s="42"/>
      <c r="Z1385" s="42"/>
      <c r="AA1385" s="42"/>
      <c r="AB1385" s="42"/>
      <c r="AC1385" s="42"/>
      <c r="AD1385" s="42"/>
      <c r="AE1385" s="42"/>
      <c r="AF1385" s="42"/>
    </row>
    <row r="1386">
      <c r="A1386" s="25"/>
      <c r="B1386" s="297"/>
      <c r="C1386" s="25"/>
      <c r="D1386" s="25"/>
      <c r="E1386" s="25"/>
      <c r="F1386" s="25"/>
      <c r="G1386" s="123"/>
      <c r="H1386" s="123"/>
      <c r="I1386" s="25"/>
      <c r="J1386" s="25"/>
      <c r="K1386" s="367"/>
      <c r="L1386" s="42"/>
      <c r="M1386" s="42"/>
      <c r="N1386" s="42"/>
      <c r="O1386" s="42"/>
      <c r="P1386" s="42"/>
      <c r="Q1386" s="42"/>
      <c r="R1386" s="176"/>
      <c r="S1386" s="42"/>
      <c r="T1386" s="42"/>
      <c r="U1386" s="46"/>
      <c r="V1386" s="42"/>
      <c r="W1386" s="42"/>
      <c r="X1386" s="42"/>
      <c r="Y1386" s="42"/>
      <c r="Z1386" s="42"/>
      <c r="AA1386" s="42"/>
      <c r="AB1386" s="42"/>
      <c r="AC1386" s="42"/>
      <c r="AD1386" s="42"/>
      <c r="AE1386" s="42"/>
      <c r="AF1386" s="42"/>
    </row>
    <row r="1387">
      <c r="A1387" s="25"/>
      <c r="B1387" s="297"/>
      <c r="C1387" s="25"/>
      <c r="D1387" s="25"/>
      <c r="E1387" s="25"/>
      <c r="F1387" s="25"/>
      <c r="G1387" s="123"/>
      <c r="H1387" s="123"/>
      <c r="I1387" s="25"/>
      <c r="J1387" s="25"/>
      <c r="K1387" s="367"/>
      <c r="L1387" s="42"/>
      <c r="M1387" s="42"/>
      <c r="N1387" s="42"/>
      <c r="O1387" s="42"/>
      <c r="P1387" s="42"/>
      <c r="Q1387" s="42"/>
      <c r="R1387" s="176"/>
      <c r="S1387" s="42"/>
      <c r="T1387" s="42"/>
      <c r="U1387" s="46"/>
      <c r="V1387" s="42"/>
      <c r="W1387" s="42"/>
      <c r="X1387" s="42"/>
      <c r="Y1387" s="42"/>
      <c r="Z1387" s="42"/>
      <c r="AA1387" s="42"/>
      <c r="AB1387" s="42"/>
      <c r="AC1387" s="42"/>
      <c r="AD1387" s="42"/>
      <c r="AE1387" s="42"/>
      <c r="AF1387" s="42"/>
    </row>
    <row r="1388">
      <c r="A1388" s="25"/>
      <c r="B1388" s="297"/>
      <c r="C1388" s="25"/>
      <c r="D1388" s="25"/>
      <c r="E1388" s="25"/>
      <c r="F1388" s="25"/>
      <c r="G1388" s="123"/>
      <c r="H1388" s="123"/>
      <c r="I1388" s="25"/>
      <c r="J1388" s="25"/>
      <c r="K1388" s="367"/>
      <c r="L1388" s="42"/>
      <c r="M1388" s="42"/>
      <c r="N1388" s="42"/>
      <c r="O1388" s="42"/>
      <c r="P1388" s="42"/>
      <c r="Q1388" s="42"/>
      <c r="R1388" s="176"/>
      <c r="S1388" s="42"/>
      <c r="T1388" s="42"/>
      <c r="U1388" s="46"/>
      <c r="V1388" s="42"/>
      <c r="W1388" s="42"/>
      <c r="X1388" s="42"/>
      <c r="Y1388" s="42"/>
      <c r="Z1388" s="42"/>
      <c r="AA1388" s="42"/>
      <c r="AB1388" s="42"/>
      <c r="AC1388" s="42"/>
      <c r="AD1388" s="42"/>
      <c r="AE1388" s="42"/>
      <c r="AF1388" s="42"/>
    </row>
    <row r="1389">
      <c r="A1389" s="25"/>
      <c r="B1389" s="297"/>
      <c r="C1389" s="25"/>
      <c r="D1389" s="25"/>
      <c r="E1389" s="25"/>
      <c r="F1389" s="25"/>
      <c r="G1389" s="123"/>
      <c r="H1389" s="123"/>
      <c r="I1389" s="25"/>
      <c r="J1389" s="25"/>
      <c r="K1389" s="367"/>
      <c r="L1389" s="42"/>
      <c r="M1389" s="42"/>
      <c r="N1389" s="42"/>
      <c r="O1389" s="42"/>
      <c r="P1389" s="42"/>
      <c r="Q1389" s="42"/>
      <c r="R1389" s="176"/>
      <c r="S1389" s="42"/>
      <c r="T1389" s="42"/>
      <c r="U1389" s="46"/>
      <c r="V1389" s="42"/>
      <c r="W1389" s="42"/>
      <c r="X1389" s="42"/>
      <c r="Y1389" s="42"/>
      <c r="Z1389" s="42"/>
      <c r="AA1389" s="42"/>
      <c r="AB1389" s="42"/>
      <c r="AC1389" s="42"/>
      <c r="AD1389" s="42"/>
      <c r="AE1389" s="42"/>
      <c r="AF1389" s="42"/>
    </row>
    <row r="1390">
      <c r="A1390" s="25"/>
      <c r="B1390" s="297"/>
      <c r="C1390" s="25"/>
      <c r="D1390" s="25"/>
      <c r="E1390" s="25"/>
      <c r="F1390" s="25"/>
      <c r="G1390" s="123"/>
      <c r="H1390" s="123"/>
      <c r="I1390" s="25"/>
      <c r="J1390" s="25"/>
      <c r="K1390" s="367"/>
      <c r="L1390" s="42"/>
      <c r="M1390" s="42"/>
      <c r="N1390" s="42"/>
      <c r="O1390" s="42"/>
      <c r="P1390" s="42"/>
      <c r="Q1390" s="42"/>
      <c r="R1390" s="176"/>
      <c r="S1390" s="42"/>
      <c r="T1390" s="42"/>
      <c r="U1390" s="46"/>
      <c r="V1390" s="42"/>
      <c r="W1390" s="42"/>
      <c r="X1390" s="42"/>
      <c r="Y1390" s="42"/>
      <c r="Z1390" s="42"/>
      <c r="AA1390" s="42"/>
      <c r="AB1390" s="42"/>
      <c r="AC1390" s="42"/>
      <c r="AD1390" s="42"/>
      <c r="AE1390" s="42"/>
      <c r="AF1390" s="42"/>
    </row>
    <row r="1391">
      <c r="A1391" s="25"/>
      <c r="B1391" s="297"/>
      <c r="C1391" s="25"/>
      <c r="D1391" s="25"/>
      <c r="E1391" s="25"/>
      <c r="F1391" s="25"/>
      <c r="G1391" s="123"/>
      <c r="H1391" s="123"/>
      <c r="I1391" s="25"/>
      <c r="J1391" s="25"/>
      <c r="K1391" s="367"/>
      <c r="L1391" s="42"/>
      <c r="M1391" s="42"/>
      <c r="N1391" s="42"/>
      <c r="O1391" s="42"/>
      <c r="P1391" s="42"/>
      <c r="Q1391" s="42"/>
      <c r="R1391" s="176"/>
      <c r="S1391" s="42"/>
      <c r="T1391" s="42"/>
      <c r="U1391" s="46"/>
      <c r="V1391" s="42"/>
      <c r="W1391" s="42"/>
      <c r="X1391" s="42"/>
      <c r="Y1391" s="42"/>
      <c r="Z1391" s="42"/>
      <c r="AA1391" s="42"/>
      <c r="AB1391" s="42"/>
      <c r="AC1391" s="42"/>
      <c r="AD1391" s="42"/>
      <c r="AE1391" s="42"/>
      <c r="AF1391" s="42"/>
    </row>
    <row r="1392">
      <c r="A1392" s="25"/>
      <c r="B1392" s="297"/>
      <c r="C1392" s="25"/>
      <c r="D1392" s="25"/>
      <c r="E1392" s="25"/>
      <c r="F1392" s="25"/>
      <c r="G1392" s="123"/>
      <c r="H1392" s="123"/>
      <c r="I1392" s="25"/>
      <c r="J1392" s="25"/>
      <c r="K1392" s="367"/>
      <c r="L1392" s="42"/>
      <c r="M1392" s="42"/>
      <c r="N1392" s="42"/>
      <c r="O1392" s="42"/>
      <c r="P1392" s="42"/>
      <c r="Q1392" s="42"/>
      <c r="R1392" s="176"/>
      <c r="S1392" s="42"/>
      <c r="T1392" s="42"/>
      <c r="U1392" s="46"/>
      <c r="V1392" s="42"/>
      <c r="W1392" s="42"/>
      <c r="X1392" s="42"/>
      <c r="Y1392" s="42"/>
      <c r="Z1392" s="42"/>
      <c r="AA1392" s="42"/>
      <c r="AB1392" s="42"/>
      <c r="AC1392" s="42"/>
      <c r="AD1392" s="42"/>
      <c r="AE1392" s="42"/>
      <c r="AF1392" s="42"/>
    </row>
    <row r="1393">
      <c r="A1393" s="25"/>
      <c r="B1393" s="297"/>
      <c r="C1393" s="25"/>
      <c r="D1393" s="25"/>
      <c r="E1393" s="25"/>
      <c r="F1393" s="25"/>
      <c r="G1393" s="123"/>
      <c r="H1393" s="123"/>
      <c r="I1393" s="25"/>
      <c r="J1393" s="25"/>
      <c r="K1393" s="367"/>
      <c r="L1393" s="42"/>
      <c r="M1393" s="42"/>
      <c r="N1393" s="42"/>
      <c r="O1393" s="42"/>
      <c r="P1393" s="42"/>
      <c r="Q1393" s="42"/>
      <c r="R1393" s="176"/>
      <c r="S1393" s="42"/>
      <c r="T1393" s="42"/>
      <c r="U1393" s="46"/>
      <c r="V1393" s="42"/>
      <c r="W1393" s="42"/>
      <c r="X1393" s="42"/>
      <c r="Y1393" s="42"/>
      <c r="Z1393" s="42"/>
      <c r="AA1393" s="42"/>
      <c r="AB1393" s="42"/>
      <c r="AC1393" s="42"/>
      <c r="AD1393" s="42"/>
      <c r="AE1393" s="42"/>
      <c r="AF1393" s="42"/>
    </row>
    <row r="1394">
      <c r="A1394" s="25"/>
      <c r="B1394" s="297"/>
      <c r="C1394" s="25"/>
      <c r="D1394" s="25"/>
      <c r="E1394" s="25"/>
      <c r="F1394" s="25"/>
      <c r="G1394" s="123"/>
      <c r="H1394" s="123"/>
      <c r="I1394" s="25"/>
      <c r="J1394" s="25"/>
      <c r="K1394" s="367"/>
      <c r="L1394" s="42"/>
      <c r="M1394" s="42"/>
      <c r="N1394" s="42"/>
      <c r="O1394" s="42"/>
      <c r="P1394" s="42"/>
      <c r="Q1394" s="42"/>
      <c r="R1394" s="176"/>
      <c r="S1394" s="42"/>
      <c r="T1394" s="42"/>
      <c r="U1394" s="46"/>
      <c r="V1394" s="42"/>
      <c r="W1394" s="42"/>
      <c r="X1394" s="42"/>
      <c r="Y1394" s="42"/>
      <c r="Z1394" s="42"/>
      <c r="AA1394" s="42"/>
      <c r="AB1394" s="42"/>
      <c r="AC1394" s="42"/>
      <c r="AD1394" s="42"/>
      <c r="AE1394" s="42"/>
      <c r="AF1394" s="42"/>
    </row>
    <row r="1395">
      <c r="A1395" s="25"/>
      <c r="B1395" s="297"/>
      <c r="C1395" s="25"/>
      <c r="D1395" s="25"/>
      <c r="E1395" s="25"/>
      <c r="F1395" s="25"/>
      <c r="G1395" s="123"/>
      <c r="H1395" s="123"/>
      <c r="I1395" s="25"/>
      <c r="J1395" s="25"/>
      <c r="K1395" s="367"/>
      <c r="L1395" s="42"/>
      <c r="M1395" s="42"/>
      <c r="N1395" s="42"/>
      <c r="O1395" s="42"/>
      <c r="P1395" s="42"/>
      <c r="Q1395" s="42"/>
      <c r="R1395" s="176"/>
      <c r="S1395" s="42"/>
      <c r="T1395" s="42"/>
      <c r="U1395" s="46"/>
      <c r="V1395" s="42"/>
      <c r="W1395" s="42"/>
      <c r="X1395" s="42"/>
      <c r="Y1395" s="42"/>
      <c r="Z1395" s="42"/>
      <c r="AA1395" s="42"/>
      <c r="AB1395" s="42"/>
      <c r="AC1395" s="42"/>
      <c r="AD1395" s="42"/>
      <c r="AE1395" s="42"/>
      <c r="AF1395" s="42"/>
    </row>
    <row r="1396">
      <c r="A1396" s="25"/>
      <c r="B1396" s="297"/>
      <c r="C1396" s="25"/>
      <c r="D1396" s="25"/>
      <c r="E1396" s="25"/>
      <c r="F1396" s="25"/>
      <c r="G1396" s="123"/>
      <c r="H1396" s="123"/>
      <c r="I1396" s="25"/>
      <c r="J1396" s="25"/>
      <c r="K1396" s="367"/>
      <c r="L1396" s="42"/>
      <c r="M1396" s="42"/>
      <c r="N1396" s="42"/>
      <c r="O1396" s="42"/>
      <c r="P1396" s="42"/>
      <c r="Q1396" s="42"/>
      <c r="R1396" s="176"/>
      <c r="S1396" s="42"/>
      <c r="T1396" s="42"/>
      <c r="U1396" s="46"/>
      <c r="V1396" s="42"/>
      <c r="W1396" s="42"/>
      <c r="X1396" s="42"/>
      <c r="Y1396" s="42"/>
      <c r="Z1396" s="42"/>
      <c r="AA1396" s="42"/>
      <c r="AB1396" s="42"/>
      <c r="AC1396" s="42"/>
      <c r="AD1396" s="42"/>
      <c r="AE1396" s="42"/>
      <c r="AF1396" s="42"/>
    </row>
    <row r="1397">
      <c r="A1397" s="25"/>
      <c r="B1397" s="297"/>
      <c r="C1397" s="25"/>
      <c r="D1397" s="25"/>
      <c r="E1397" s="25"/>
      <c r="F1397" s="25"/>
      <c r="G1397" s="123"/>
      <c r="H1397" s="123"/>
      <c r="I1397" s="25"/>
      <c r="J1397" s="25"/>
      <c r="K1397" s="367"/>
      <c r="L1397" s="42"/>
      <c r="M1397" s="42"/>
      <c r="N1397" s="42"/>
      <c r="O1397" s="42"/>
      <c r="P1397" s="42"/>
      <c r="Q1397" s="42"/>
      <c r="R1397" s="176"/>
      <c r="S1397" s="42"/>
      <c r="T1397" s="42"/>
      <c r="U1397" s="46"/>
      <c r="V1397" s="42"/>
      <c r="W1397" s="42"/>
      <c r="X1397" s="42"/>
      <c r="Y1397" s="42"/>
      <c r="Z1397" s="42"/>
      <c r="AA1397" s="42"/>
      <c r="AB1397" s="42"/>
      <c r="AC1397" s="42"/>
      <c r="AD1397" s="42"/>
      <c r="AE1397" s="42"/>
      <c r="AF1397" s="42"/>
    </row>
    <row r="1398">
      <c r="A1398" s="25"/>
      <c r="B1398" s="297"/>
      <c r="C1398" s="25"/>
      <c r="D1398" s="25"/>
      <c r="E1398" s="25"/>
      <c r="F1398" s="25"/>
      <c r="G1398" s="123"/>
      <c r="H1398" s="123"/>
      <c r="I1398" s="25"/>
      <c r="J1398" s="25"/>
      <c r="K1398" s="367"/>
      <c r="L1398" s="42"/>
      <c r="M1398" s="42"/>
      <c r="N1398" s="42"/>
      <c r="O1398" s="42"/>
      <c r="P1398" s="42"/>
      <c r="Q1398" s="42"/>
      <c r="R1398" s="176"/>
      <c r="S1398" s="42"/>
      <c r="T1398" s="42"/>
      <c r="U1398" s="46"/>
      <c r="V1398" s="42"/>
      <c r="W1398" s="42"/>
      <c r="X1398" s="42"/>
      <c r="Y1398" s="42"/>
      <c r="Z1398" s="42"/>
      <c r="AA1398" s="42"/>
      <c r="AB1398" s="42"/>
      <c r="AC1398" s="42"/>
      <c r="AD1398" s="42"/>
      <c r="AE1398" s="42"/>
      <c r="AF1398" s="42"/>
    </row>
    <row r="1399">
      <c r="A1399" s="25"/>
      <c r="B1399" s="297"/>
      <c r="C1399" s="25"/>
      <c r="D1399" s="25"/>
      <c r="E1399" s="25"/>
      <c r="F1399" s="25"/>
      <c r="G1399" s="123"/>
      <c r="H1399" s="123"/>
      <c r="I1399" s="25"/>
      <c r="J1399" s="25"/>
      <c r="K1399" s="367"/>
      <c r="L1399" s="42"/>
      <c r="M1399" s="42"/>
      <c r="N1399" s="42"/>
      <c r="O1399" s="42"/>
      <c r="P1399" s="42"/>
      <c r="Q1399" s="42"/>
      <c r="R1399" s="176"/>
      <c r="S1399" s="42"/>
      <c r="T1399" s="42"/>
      <c r="U1399" s="46"/>
      <c r="V1399" s="42"/>
      <c r="W1399" s="42"/>
      <c r="X1399" s="42"/>
      <c r="Y1399" s="42"/>
      <c r="Z1399" s="42"/>
      <c r="AA1399" s="42"/>
      <c r="AB1399" s="42"/>
      <c r="AC1399" s="42"/>
      <c r="AD1399" s="42"/>
      <c r="AE1399" s="42"/>
      <c r="AF1399" s="42"/>
    </row>
    <row r="1400">
      <c r="A1400" s="25"/>
      <c r="B1400" s="297"/>
      <c r="C1400" s="25"/>
      <c r="D1400" s="25"/>
      <c r="E1400" s="25"/>
      <c r="F1400" s="25"/>
      <c r="G1400" s="123"/>
      <c r="H1400" s="123"/>
      <c r="I1400" s="25"/>
      <c r="J1400" s="25"/>
      <c r="K1400" s="367"/>
      <c r="L1400" s="42"/>
      <c r="M1400" s="42"/>
      <c r="N1400" s="42"/>
      <c r="O1400" s="42"/>
      <c r="P1400" s="42"/>
      <c r="Q1400" s="42"/>
      <c r="R1400" s="176"/>
      <c r="S1400" s="42"/>
      <c r="T1400" s="42"/>
      <c r="U1400" s="46"/>
      <c r="V1400" s="42"/>
      <c r="W1400" s="42"/>
      <c r="X1400" s="42"/>
      <c r="Y1400" s="42"/>
      <c r="Z1400" s="42"/>
      <c r="AA1400" s="42"/>
      <c r="AB1400" s="42"/>
      <c r="AC1400" s="42"/>
      <c r="AD1400" s="42"/>
      <c r="AE1400" s="42"/>
      <c r="AF1400" s="42"/>
    </row>
    <row r="1401">
      <c r="A1401" s="25"/>
      <c r="B1401" s="297"/>
      <c r="C1401" s="25"/>
      <c r="D1401" s="25"/>
      <c r="E1401" s="25"/>
      <c r="F1401" s="25"/>
      <c r="G1401" s="123"/>
      <c r="H1401" s="123"/>
      <c r="I1401" s="25"/>
      <c r="J1401" s="25"/>
      <c r="K1401" s="367"/>
      <c r="L1401" s="42"/>
      <c r="M1401" s="42"/>
      <c r="N1401" s="42"/>
      <c r="O1401" s="42"/>
      <c r="P1401" s="42"/>
      <c r="Q1401" s="42"/>
      <c r="R1401" s="176"/>
      <c r="S1401" s="42"/>
      <c r="T1401" s="42"/>
      <c r="U1401" s="46"/>
      <c r="V1401" s="42"/>
      <c r="W1401" s="42"/>
      <c r="X1401" s="42"/>
      <c r="Y1401" s="42"/>
      <c r="Z1401" s="42"/>
      <c r="AA1401" s="42"/>
      <c r="AB1401" s="42"/>
      <c r="AC1401" s="42"/>
      <c r="AD1401" s="42"/>
      <c r="AE1401" s="42"/>
      <c r="AF1401" s="42"/>
    </row>
    <row r="1402">
      <c r="A1402" s="25"/>
      <c r="B1402" s="297"/>
      <c r="C1402" s="25"/>
      <c r="D1402" s="25"/>
      <c r="E1402" s="25"/>
      <c r="F1402" s="25"/>
      <c r="G1402" s="123"/>
      <c r="H1402" s="123"/>
      <c r="I1402" s="25"/>
      <c r="J1402" s="25"/>
      <c r="K1402" s="367"/>
      <c r="L1402" s="42"/>
      <c r="M1402" s="42"/>
      <c r="N1402" s="42"/>
      <c r="O1402" s="42"/>
      <c r="P1402" s="42"/>
      <c r="Q1402" s="42"/>
      <c r="R1402" s="176"/>
      <c r="S1402" s="42"/>
      <c r="T1402" s="42"/>
      <c r="U1402" s="46"/>
      <c r="V1402" s="42"/>
      <c r="W1402" s="42"/>
      <c r="X1402" s="42"/>
      <c r="Y1402" s="42"/>
      <c r="Z1402" s="42"/>
      <c r="AA1402" s="42"/>
      <c r="AB1402" s="42"/>
      <c r="AC1402" s="42"/>
      <c r="AD1402" s="42"/>
      <c r="AE1402" s="42"/>
      <c r="AF1402" s="42"/>
    </row>
    <row r="1403">
      <c r="A1403" s="25"/>
      <c r="B1403" s="297"/>
      <c r="C1403" s="25"/>
      <c r="D1403" s="25"/>
      <c r="E1403" s="25"/>
      <c r="F1403" s="25"/>
      <c r="G1403" s="123"/>
      <c r="H1403" s="123"/>
      <c r="I1403" s="25"/>
      <c r="J1403" s="25"/>
      <c r="K1403" s="367"/>
      <c r="L1403" s="42"/>
      <c r="M1403" s="42"/>
      <c r="N1403" s="42"/>
      <c r="O1403" s="42"/>
      <c r="P1403" s="42"/>
      <c r="Q1403" s="42"/>
      <c r="R1403" s="176"/>
      <c r="S1403" s="42"/>
      <c r="T1403" s="42"/>
      <c r="U1403" s="46"/>
      <c r="V1403" s="42"/>
      <c r="W1403" s="42"/>
      <c r="X1403" s="42"/>
      <c r="Y1403" s="42"/>
      <c r="Z1403" s="42"/>
      <c r="AA1403" s="42"/>
      <c r="AB1403" s="42"/>
      <c r="AC1403" s="42"/>
      <c r="AD1403" s="42"/>
      <c r="AE1403" s="42"/>
      <c r="AF1403" s="42"/>
    </row>
    <row r="1404">
      <c r="A1404" s="25"/>
      <c r="B1404" s="297"/>
      <c r="C1404" s="25"/>
      <c r="D1404" s="25"/>
      <c r="E1404" s="25"/>
      <c r="F1404" s="25"/>
      <c r="G1404" s="123"/>
      <c r="H1404" s="123"/>
      <c r="I1404" s="25"/>
      <c r="J1404" s="25"/>
      <c r="K1404" s="367"/>
      <c r="L1404" s="42"/>
      <c r="M1404" s="42"/>
      <c r="N1404" s="42"/>
      <c r="O1404" s="42"/>
      <c r="P1404" s="42"/>
      <c r="Q1404" s="42"/>
      <c r="R1404" s="176"/>
      <c r="S1404" s="42"/>
      <c r="T1404" s="42"/>
      <c r="U1404" s="46"/>
      <c r="V1404" s="42"/>
      <c r="W1404" s="42"/>
      <c r="X1404" s="42"/>
      <c r="Y1404" s="42"/>
      <c r="Z1404" s="42"/>
      <c r="AA1404" s="42"/>
      <c r="AB1404" s="42"/>
      <c r="AC1404" s="42"/>
      <c r="AD1404" s="42"/>
      <c r="AE1404" s="42"/>
      <c r="AF1404" s="42"/>
    </row>
    <row r="1405">
      <c r="A1405" s="25"/>
      <c r="B1405" s="297"/>
      <c r="C1405" s="25"/>
      <c r="D1405" s="25"/>
      <c r="E1405" s="25"/>
      <c r="F1405" s="25"/>
      <c r="G1405" s="123"/>
      <c r="H1405" s="123"/>
      <c r="I1405" s="25"/>
      <c r="J1405" s="25"/>
      <c r="K1405" s="367"/>
      <c r="L1405" s="42"/>
      <c r="M1405" s="42"/>
      <c r="N1405" s="42"/>
      <c r="O1405" s="42"/>
      <c r="P1405" s="42"/>
      <c r="Q1405" s="42"/>
      <c r="R1405" s="176"/>
      <c r="S1405" s="42"/>
      <c r="T1405" s="42"/>
      <c r="U1405" s="46"/>
      <c r="V1405" s="42"/>
      <c r="W1405" s="42"/>
      <c r="X1405" s="42"/>
      <c r="Y1405" s="42"/>
      <c r="Z1405" s="42"/>
      <c r="AA1405" s="42"/>
      <c r="AB1405" s="42"/>
      <c r="AC1405" s="42"/>
      <c r="AD1405" s="42"/>
      <c r="AE1405" s="42"/>
      <c r="AF1405" s="42"/>
    </row>
    <row r="1406">
      <c r="A1406" s="25"/>
      <c r="B1406" s="297"/>
      <c r="C1406" s="25"/>
      <c r="D1406" s="25"/>
      <c r="E1406" s="25"/>
      <c r="F1406" s="25"/>
      <c r="G1406" s="123"/>
      <c r="H1406" s="123"/>
      <c r="I1406" s="25"/>
      <c r="J1406" s="25"/>
      <c r="K1406" s="367"/>
      <c r="L1406" s="42"/>
      <c r="M1406" s="42"/>
      <c r="N1406" s="42"/>
      <c r="O1406" s="42"/>
      <c r="P1406" s="42"/>
      <c r="Q1406" s="42"/>
      <c r="R1406" s="176"/>
      <c r="S1406" s="42"/>
      <c r="T1406" s="42"/>
      <c r="U1406" s="46"/>
      <c r="V1406" s="42"/>
      <c r="W1406" s="42"/>
      <c r="X1406" s="42"/>
      <c r="Y1406" s="42"/>
      <c r="Z1406" s="42"/>
      <c r="AA1406" s="42"/>
      <c r="AB1406" s="42"/>
      <c r="AC1406" s="42"/>
      <c r="AD1406" s="42"/>
      <c r="AE1406" s="42"/>
      <c r="AF1406" s="42"/>
    </row>
    <row r="1407">
      <c r="A1407" s="25"/>
      <c r="B1407" s="297"/>
      <c r="C1407" s="25"/>
      <c r="D1407" s="25"/>
      <c r="E1407" s="25"/>
      <c r="F1407" s="25"/>
      <c r="G1407" s="123"/>
      <c r="H1407" s="123"/>
      <c r="I1407" s="25"/>
      <c r="J1407" s="25"/>
      <c r="K1407" s="367"/>
      <c r="L1407" s="42"/>
      <c r="M1407" s="42"/>
      <c r="N1407" s="42"/>
      <c r="O1407" s="42"/>
      <c r="P1407" s="42"/>
      <c r="Q1407" s="42"/>
      <c r="R1407" s="176"/>
      <c r="S1407" s="42"/>
      <c r="T1407" s="42"/>
      <c r="U1407" s="46"/>
      <c r="V1407" s="42"/>
      <c r="W1407" s="42"/>
      <c r="X1407" s="42"/>
      <c r="Y1407" s="42"/>
      <c r="Z1407" s="42"/>
      <c r="AA1407" s="42"/>
      <c r="AB1407" s="42"/>
      <c r="AC1407" s="42"/>
      <c r="AD1407" s="42"/>
      <c r="AE1407" s="42"/>
      <c r="AF1407" s="42"/>
    </row>
    <row r="1408">
      <c r="A1408" s="25"/>
      <c r="B1408" s="297"/>
      <c r="C1408" s="25"/>
      <c r="D1408" s="25"/>
      <c r="E1408" s="25"/>
      <c r="F1408" s="25"/>
      <c r="G1408" s="123"/>
      <c r="H1408" s="123"/>
      <c r="I1408" s="25"/>
      <c r="J1408" s="25"/>
      <c r="K1408" s="367"/>
      <c r="L1408" s="42"/>
      <c r="M1408" s="42"/>
      <c r="N1408" s="42"/>
      <c r="O1408" s="42"/>
      <c r="P1408" s="42"/>
      <c r="Q1408" s="42"/>
      <c r="R1408" s="176"/>
      <c r="S1408" s="42"/>
      <c r="T1408" s="42"/>
      <c r="U1408" s="46"/>
      <c r="V1408" s="42"/>
      <c r="W1408" s="42"/>
      <c r="X1408" s="42"/>
      <c r="Y1408" s="42"/>
      <c r="Z1408" s="42"/>
      <c r="AA1408" s="42"/>
      <c r="AB1408" s="42"/>
      <c r="AC1408" s="42"/>
      <c r="AD1408" s="42"/>
      <c r="AE1408" s="42"/>
      <c r="AF1408" s="42"/>
    </row>
    <row r="1409">
      <c r="A1409" s="25"/>
      <c r="B1409" s="297"/>
      <c r="C1409" s="25"/>
      <c r="D1409" s="25"/>
      <c r="E1409" s="25"/>
      <c r="F1409" s="25"/>
      <c r="G1409" s="123"/>
      <c r="H1409" s="123"/>
      <c r="I1409" s="25"/>
      <c r="J1409" s="25"/>
      <c r="K1409" s="367"/>
      <c r="L1409" s="42"/>
      <c r="M1409" s="42"/>
      <c r="N1409" s="42"/>
      <c r="O1409" s="42"/>
      <c r="P1409" s="42"/>
      <c r="Q1409" s="42"/>
      <c r="R1409" s="176"/>
      <c r="S1409" s="42"/>
      <c r="T1409" s="42"/>
      <c r="U1409" s="46"/>
      <c r="V1409" s="42"/>
      <c r="W1409" s="42"/>
      <c r="X1409" s="42"/>
      <c r="Y1409" s="42"/>
      <c r="Z1409" s="42"/>
      <c r="AA1409" s="42"/>
      <c r="AB1409" s="42"/>
      <c r="AC1409" s="42"/>
      <c r="AD1409" s="42"/>
      <c r="AE1409" s="42"/>
      <c r="AF1409" s="42"/>
    </row>
    <row r="1410">
      <c r="A1410" s="25"/>
      <c r="B1410" s="297"/>
      <c r="C1410" s="25"/>
      <c r="D1410" s="25"/>
      <c r="E1410" s="25"/>
      <c r="F1410" s="25"/>
      <c r="G1410" s="123"/>
      <c r="H1410" s="123"/>
      <c r="I1410" s="25"/>
      <c r="J1410" s="25"/>
      <c r="K1410" s="367"/>
      <c r="L1410" s="42"/>
      <c r="M1410" s="42"/>
      <c r="N1410" s="42"/>
      <c r="O1410" s="42"/>
      <c r="P1410" s="42"/>
      <c r="Q1410" s="42"/>
      <c r="R1410" s="176"/>
      <c r="S1410" s="42"/>
      <c r="T1410" s="42"/>
      <c r="U1410" s="46"/>
      <c r="V1410" s="42"/>
      <c r="W1410" s="42"/>
      <c r="X1410" s="42"/>
      <c r="Y1410" s="42"/>
      <c r="Z1410" s="42"/>
      <c r="AA1410" s="42"/>
      <c r="AB1410" s="42"/>
      <c r="AC1410" s="42"/>
      <c r="AD1410" s="42"/>
      <c r="AE1410" s="42"/>
      <c r="AF1410" s="42"/>
    </row>
    <row r="1411">
      <c r="A1411" s="25"/>
      <c r="B1411" s="297"/>
      <c r="C1411" s="25"/>
      <c r="D1411" s="25"/>
      <c r="E1411" s="25"/>
      <c r="F1411" s="25"/>
      <c r="G1411" s="123"/>
      <c r="H1411" s="123"/>
      <c r="I1411" s="25"/>
      <c r="J1411" s="25"/>
      <c r="K1411" s="367"/>
      <c r="L1411" s="42"/>
      <c r="M1411" s="42"/>
      <c r="N1411" s="42"/>
      <c r="O1411" s="42"/>
      <c r="P1411" s="42"/>
      <c r="Q1411" s="42"/>
      <c r="R1411" s="176"/>
      <c r="S1411" s="42"/>
      <c r="T1411" s="42"/>
      <c r="U1411" s="46"/>
      <c r="V1411" s="42"/>
      <c r="W1411" s="42"/>
      <c r="X1411" s="42"/>
      <c r="Y1411" s="42"/>
      <c r="Z1411" s="42"/>
      <c r="AA1411" s="42"/>
      <c r="AB1411" s="42"/>
      <c r="AC1411" s="42"/>
      <c r="AD1411" s="42"/>
      <c r="AE1411" s="42"/>
      <c r="AF1411" s="42"/>
    </row>
    <row r="1412">
      <c r="A1412" s="25"/>
      <c r="B1412" s="297"/>
      <c r="C1412" s="25"/>
      <c r="D1412" s="25"/>
      <c r="E1412" s="25"/>
      <c r="F1412" s="25"/>
      <c r="G1412" s="123"/>
      <c r="H1412" s="123"/>
      <c r="I1412" s="25"/>
      <c r="J1412" s="25"/>
      <c r="K1412" s="367"/>
      <c r="L1412" s="42"/>
      <c r="M1412" s="42"/>
      <c r="N1412" s="42"/>
      <c r="O1412" s="42"/>
      <c r="P1412" s="42"/>
      <c r="Q1412" s="42"/>
      <c r="R1412" s="176"/>
      <c r="S1412" s="42"/>
      <c r="T1412" s="42"/>
      <c r="U1412" s="46"/>
      <c r="V1412" s="42"/>
      <c r="W1412" s="42"/>
      <c r="X1412" s="42"/>
      <c r="Y1412" s="42"/>
      <c r="Z1412" s="42"/>
      <c r="AA1412" s="42"/>
      <c r="AB1412" s="42"/>
      <c r="AC1412" s="42"/>
      <c r="AD1412" s="42"/>
      <c r="AE1412" s="42"/>
      <c r="AF1412" s="42"/>
    </row>
    <row r="1413">
      <c r="A1413" s="25"/>
      <c r="B1413" s="297"/>
      <c r="C1413" s="25"/>
      <c r="D1413" s="25"/>
      <c r="E1413" s="25"/>
      <c r="F1413" s="25"/>
      <c r="G1413" s="123"/>
      <c r="H1413" s="123"/>
      <c r="I1413" s="25"/>
      <c r="J1413" s="25"/>
      <c r="K1413" s="367"/>
      <c r="L1413" s="42"/>
      <c r="M1413" s="42"/>
      <c r="N1413" s="42"/>
      <c r="O1413" s="42"/>
      <c r="P1413" s="42"/>
      <c r="Q1413" s="42"/>
      <c r="R1413" s="176"/>
      <c r="S1413" s="42"/>
      <c r="T1413" s="42"/>
      <c r="U1413" s="46"/>
      <c r="V1413" s="42"/>
      <c r="W1413" s="42"/>
      <c r="X1413" s="42"/>
      <c r="Y1413" s="42"/>
      <c r="Z1413" s="42"/>
      <c r="AA1413" s="42"/>
      <c r="AB1413" s="42"/>
      <c r="AC1413" s="42"/>
      <c r="AD1413" s="42"/>
      <c r="AE1413" s="42"/>
      <c r="AF1413" s="42"/>
    </row>
    <row r="1414">
      <c r="A1414" s="25"/>
      <c r="B1414" s="297"/>
      <c r="C1414" s="25"/>
      <c r="D1414" s="25"/>
      <c r="E1414" s="25"/>
      <c r="F1414" s="25"/>
      <c r="G1414" s="123"/>
      <c r="H1414" s="123"/>
      <c r="I1414" s="25"/>
      <c r="J1414" s="25"/>
      <c r="K1414" s="367"/>
      <c r="L1414" s="42"/>
      <c r="M1414" s="42"/>
      <c r="N1414" s="42"/>
      <c r="O1414" s="42"/>
      <c r="P1414" s="42"/>
      <c r="Q1414" s="42"/>
      <c r="R1414" s="176"/>
      <c r="S1414" s="42"/>
      <c r="T1414" s="42"/>
      <c r="U1414" s="46"/>
      <c r="V1414" s="42"/>
      <c r="W1414" s="42"/>
      <c r="X1414" s="42"/>
      <c r="Y1414" s="42"/>
      <c r="Z1414" s="42"/>
      <c r="AA1414" s="42"/>
      <c r="AB1414" s="42"/>
      <c r="AC1414" s="42"/>
      <c r="AD1414" s="42"/>
      <c r="AE1414" s="42"/>
      <c r="AF1414" s="42"/>
    </row>
    <row r="1415">
      <c r="A1415" s="25"/>
      <c r="B1415" s="297"/>
      <c r="C1415" s="25"/>
      <c r="D1415" s="25"/>
      <c r="E1415" s="25"/>
      <c r="F1415" s="25"/>
      <c r="G1415" s="123"/>
      <c r="H1415" s="123"/>
      <c r="I1415" s="25"/>
      <c r="J1415" s="25"/>
      <c r="K1415" s="367"/>
      <c r="L1415" s="42"/>
      <c r="M1415" s="42"/>
      <c r="N1415" s="42"/>
      <c r="O1415" s="42"/>
      <c r="P1415" s="42"/>
      <c r="Q1415" s="42"/>
      <c r="R1415" s="176"/>
      <c r="S1415" s="42"/>
      <c r="T1415" s="42"/>
      <c r="U1415" s="46"/>
      <c r="V1415" s="42"/>
      <c r="W1415" s="42"/>
      <c r="X1415" s="42"/>
      <c r="Y1415" s="42"/>
      <c r="Z1415" s="42"/>
      <c r="AA1415" s="42"/>
      <c r="AB1415" s="42"/>
      <c r="AC1415" s="42"/>
      <c r="AD1415" s="42"/>
      <c r="AE1415" s="42"/>
      <c r="AF1415" s="42"/>
    </row>
    <row r="1416">
      <c r="A1416" s="25"/>
      <c r="B1416" s="297"/>
      <c r="C1416" s="25"/>
      <c r="D1416" s="25"/>
      <c r="E1416" s="25"/>
      <c r="F1416" s="25"/>
      <c r="G1416" s="123"/>
      <c r="H1416" s="123"/>
      <c r="I1416" s="25"/>
      <c r="J1416" s="25"/>
      <c r="K1416" s="367"/>
      <c r="L1416" s="42"/>
      <c r="M1416" s="42"/>
      <c r="N1416" s="42"/>
      <c r="O1416" s="42"/>
      <c r="P1416" s="42"/>
      <c r="Q1416" s="42"/>
      <c r="R1416" s="176"/>
      <c r="S1416" s="42"/>
      <c r="T1416" s="42"/>
      <c r="U1416" s="46"/>
      <c r="V1416" s="42"/>
      <c r="W1416" s="42"/>
      <c r="X1416" s="42"/>
      <c r="Y1416" s="42"/>
      <c r="Z1416" s="42"/>
      <c r="AA1416" s="42"/>
      <c r="AB1416" s="42"/>
      <c r="AC1416" s="42"/>
      <c r="AD1416" s="42"/>
      <c r="AE1416" s="42"/>
      <c r="AF1416" s="42"/>
    </row>
    <row r="1417">
      <c r="A1417" s="25"/>
      <c r="B1417" s="297"/>
      <c r="C1417" s="25"/>
      <c r="D1417" s="25"/>
      <c r="E1417" s="25"/>
      <c r="F1417" s="25"/>
      <c r="G1417" s="123"/>
      <c r="H1417" s="123"/>
      <c r="I1417" s="25"/>
      <c r="J1417" s="25"/>
      <c r="K1417" s="367"/>
      <c r="L1417" s="42"/>
      <c r="M1417" s="42"/>
      <c r="N1417" s="42"/>
      <c r="O1417" s="42"/>
      <c r="P1417" s="42"/>
      <c r="Q1417" s="42"/>
      <c r="R1417" s="176"/>
      <c r="S1417" s="42"/>
      <c r="T1417" s="42"/>
      <c r="U1417" s="46"/>
      <c r="V1417" s="42"/>
      <c r="W1417" s="42"/>
      <c r="X1417" s="42"/>
      <c r="Y1417" s="42"/>
      <c r="Z1417" s="42"/>
      <c r="AA1417" s="42"/>
      <c r="AB1417" s="42"/>
      <c r="AC1417" s="42"/>
      <c r="AD1417" s="42"/>
      <c r="AE1417" s="42"/>
      <c r="AF1417" s="42"/>
    </row>
    <row r="1418">
      <c r="A1418" s="25"/>
      <c r="B1418" s="297"/>
      <c r="C1418" s="25"/>
      <c r="D1418" s="25"/>
      <c r="E1418" s="25"/>
      <c r="F1418" s="25"/>
      <c r="G1418" s="123"/>
      <c r="H1418" s="123"/>
      <c r="I1418" s="25"/>
      <c r="J1418" s="25"/>
      <c r="K1418" s="367"/>
      <c r="L1418" s="42"/>
      <c r="M1418" s="42"/>
      <c r="N1418" s="42"/>
      <c r="O1418" s="42"/>
      <c r="P1418" s="42"/>
      <c r="Q1418" s="42"/>
      <c r="R1418" s="176"/>
      <c r="S1418" s="42"/>
      <c r="T1418" s="42"/>
      <c r="U1418" s="46"/>
      <c r="V1418" s="42"/>
      <c r="W1418" s="42"/>
      <c r="X1418" s="42"/>
      <c r="Y1418" s="42"/>
      <c r="Z1418" s="42"/>
      <c r="AA1418" s="42"/>
      <c r="AB1418" s="42"/>
      <c r="AC1418" s="42"/>
      <c r="AD1418" s="42"/>
      <c r="AE1418" s="42"/>
      <c r="AF1418" s="42"/>
    </row>
    <row r="1419">
      <c r="A1419" s="25"/>
      <c r="B1419" s="297"/>
      <c r="C1419" s="25"/>
      <c r="D1419" s="25"/>
      <c r="E1419" s="25"/>
      <c r="F1419" s="25"/>
      <c r="G1419" s="123"/>
      <c r="H1419" s="123"/>
      <c r="I1419" s="25"/>
      <c r="J1419" s="25"/>
      <c r="K1419" s="367"/>
      <c r="L1419" s="42"/>
      <c r="M1419" s="42"/>
      <c r="N1419" s="42"/>
      <c r="O1419" s="42"/>
      <c r="P1419" s="42"/>
      <c r="Q1419" s="42"/>
      <c r="R1419" s="176"/>
      <c r="S1419" s="42"/>
      <c r="T1419" s="42"/>
      <c r="U1419" s="46"/>
      <c r="V1419" s="42"/>
      <c r="W1419" s="42"/>
      <c r="X1419" s="42"/>
      <c r="Y1419" s="42"/>
      <c r="Z1419" s="42"/>
      <c r="AA1419" s="42"/>
      <c r="AB1419" s="42"/>
      <c r="AC1419" s="42"/>
      <c r="AD1419" s="42"/>
      <c r="AE1419" s="42"/>
      <c r="AF1419" s="42"/>
    </row>
    <row r="1420">
      <c r="A1420" s="25"/>
      <c r="B1420" s="297"/>
      <c r="C1420" s="25"/>
      <c r="D1420" s="25"/>
      <c r="E1420" s="25"/>
      <c r="F1420" s="25"/>
      <c r="G1420" s="123"/>
      <c r="H1420" s="123"/>
      <c r="I1420" s="25"/>
      <c r="J1420" s="25"/>
      <c r="K1420" s="367"/>
      <c r="L1420" s="42"/>
      <c r="M1420" s="42"/>
      <c r="N1420" s="42"/>
      <c r="O1420" s="42"/>
      <c r="P1420" s="42"/>
      <c r="Q1420" s="42"/>
      <c r="R1420" s="176"/>
      <c r="S1420" s="42"/>
      <c r="T1420" s="42"/>
      <c r="U1420" s="46"/>
      <c r="V1420" s="42"/>
      <c r="W1420" s="42"/>
      <c r="X1420" s="42"/>
      <c r="Y1420" s="42"/>
      <c r="Z1420" s="42"/>
      <c r="AA1420" s="42"/>
      <c r="AB1420" s="42"/>
      <c r="AC1420" s="42"/>
      <c r="AD1420" s="42"/>
      <c r="AE1420" s="42"/>
      <c r="AF1420" s="42"/>
    </row>
    <row r="1421">
      <c r="A1421" s="25"/>
      <c r="B1421" s="297"/>
      <c r="C1421" s="25"/>
      <c r="D1421" s="25"/>
      <c r="E1421" s="25"/>
      <c r="F1421" s="25"/>
      <c r="G1421" s="123"/>
      <c r="H1421" s="123"/>
      <c r="I1421" s="25"/>
      <c r="J1421" s="25"/>
      <c r="K1421" s="367"/>
      <c r="L1421" s="42"/>
      <c r="M1421" s="42"/>
      <c r="N1421" s="42"/>
      <c r="O1421" s="42"/>
      <c r="P1421" s="42"/>
      <c r="Q1421" s="42"/>
      <c r="R1421" s="176"/>
      <c r="S1421" s="42"/>
      <c r="T1421" s="42"/>
      <c r="U1421" s="46"/>
      <c r="V1421" s="42"/>
      <c r="W1421" s="42"/>
      <c r="X1421" s="42"/>
      <c r="Y1421" s="42"/>
      <c r="Z1421" s="42"/>
      <c r="AA1421" s="42"/>
      <c r="AB1421" s="42"/>
      <c r="AC1421" s="42"/>
      <c r="AD1421" s="42"/>
      <c r="AE1421" s="42"/>
      <c r="AF1421" s="42"/>
    </row>
    <row r="1422">
      <c r="A1422" s="25"/>
      <c r="B1422" s="297"/>
      <c r="C1422" s="25"/>
      <c r="D1422" s="25"/>
      <c r="E1422" s="25"/>
      <c r="F1422" s="25"/>
      <c r="G1422" s="123"/>
      <c r="H1422" s="123"/>
      <c r="I1422" s="25"/>
      <c r="J1422" s="25"/>
      <c r="K1422" s="367"/>
      <c r="L1422" s="42"/>
      <c r="M1422" s="42"/>
      <c r="N1422" s="42"/>
      <c r="O1422" s="42"/>
      <c r="P1422" s="42"/>
      <c r="Q1422" s="42"/>
      <c r="R1422" s="176"/>
      <c r="S1422" s="42"/>
      <c r="T1422" s="42"/>
      <c r="U1422" s="46"/>
      <c r="V1422" s="42"/>
      <c r="W1422" s="42"/>
      <c r="X1422" s="42"/>
      <c r="Y1422" s="42"/>
      <c r="Z1422" s="42"/>
      <c r="AA1422" s="42"/>
      <c r="AB1422" s="42"/>
      <c r="AC1422" s="42"/>
      <c r="AD1422" s="42"/>
      <c r="AE1422" s="42"/>
      <c r="AF1422" s="42"/>
    </row>
    <row r="1423">
      <c r="A1423" s="25"/>
      <c r="B1423" s="297"/>
      <c r="C1423" s="25"/>
      <c r="D1423" s="25"/>
      <c r="E1423" s="25"/>
      <c r="F1423" s="25"/>
      <c r="G1423" s="123"/>
      <c r="H1423" s="123"/>
      <c r="I1423" s="25"/>
      <c r="J1423" s="25"/>
      <c r="K1423" s="367"/>
      <c r="L1423" s="42"/>
      <c r="M1423" s="42"/>
      <c r="N1423" s="42"/>
      <c r="O1423" s="42"/>
      <c r="P1423" s="42"/>
      <c r="Q1423" s="42"/>
      <c r="R1423" s="176"/>
      <c r="S1423" s="42"/>
      <c r="T1423" s="42"/>
      <c r="U1423" s="46"/>
      <c r="V1423" s="42"/>
      <c r="W1423" s="42"/>
      <c r="X1423" s="42"/>
      <c r="Y1423" s="42"/>
      <c r="Z1423" s="42"/>
      <c r="AA1423" s="42"/>
      <c r="AB1423" s="42"/>
      <c r="AC1423" s="42"/>
      <c r="AD1423" s="42"/>
      <c r="AE1423" s="42"/>
      <c r="AF1423" s="42"/>
    </row>
    <row r="1424">
      <c r="A1424" s="25"/>
      <c r="B1424" s="297"/>
      <c r="C1424" s="25"/>
      <c r="D1424" s="25"/>
      <c r="E1424" s="25"/>
      <c r="F1424" s="25"/>
      <c r="G1424" s="123"/>
      <c r="H1424" s="123"/>
      <c r="I1424" s="25"/>
      <c r="J1424" s="25"/>
      <c r="K1424" s="367"/>
      <c r="L1424" s="42"/>
      <c r="M1424" s="42"/>
      <c r="N1424" s="42"/>
      <c r="O1424" s="42"/>
      <c r="P1424" s="42"/>
      <c r="Q1424" s="42"/>
      <c r="R1424" s="176"/>
      <c r="S1424" s="42"/>
      <c r="T1424" s="42"/>
      <c r="U1424" s="46"/>
      <c r="V1424" s="42"/>
      <c r="W1424" s="42"/>
      <c r="X1424" s="42"/>
      <c r="Y1424" s="42"/>
      <c r="Z1424" s="42"/>
      <c r="AA1424" s="42"/>
      <c r="AB1424" s="42"/>
      <c r="AC1424" s="42"/>
      <c r="AD1424" s="42"/>
      <c r="AE1424" s="42"/>
      <c r="AF1424" s="42"/>
    </row>
    <row r="1425">
      <c r="A1425" s="25"/>
      <c r="B1425" s="297"/>
      <c r="C1425" s="25"/>
      <c r="D1425" s="25"/>
      <c r="E1425" s="25"/>
      <c r="F1425" s="25"/>
      <c r="G1425" s="123"/>
      <c r="H1425" s="123"/>
      <c r="I1425" s="25"/>
      <c r="J1425" s="25"/>
      <c r="K1425" s="367"/>
      <c r="L1425" s="42"/>
      <c r="M1425" s="42"/>
      <c r="N1425" s="42"/>
      <c r="O1425" s="42"/>
      <c r="P1425" s="42"/>
      <c r="Q1425" s="42"/>
      <c r="R1425" s="176"/>
      <c r="S1425" s="42"/>
      <c r="T1425" s="42"/>
      <c r="U1425" s="46"/>
      <c r="V1425" s="42"/>
      <c r="W1425" s="42"/>
      <c r="X1425" s="42"/>
      <c r="Y1425" s="42"/>
      <c r="Z1425" s="42"/>
      <c r="AA1425" s="42"/>
      <c r="AB1425" s="42"/>
      <c r="AC1425" s="42"/>
      <c r="AD1425" s="42"/>
      <c r="AE1425" s="42"/>
      <c r="AF1425" s="42"/>
    </row>
    <row r="1426">
      <c r="A1426" s="25"/>
      <c r="B1426" s="297"/>
      <c r="C1426" s="25"/>
      <c r="D1426" s="25"/>
      <c r="E1426" s="25"/>
      <c r="F1426" s="25"/>
      <c r="G1426" s="123"/>
      <c r="H1426" s="123"/>
      <c r="I1426" s="25"/>
      <c r="J1426" s="25"/>
      <c r="K1426" s="367"/>
      <c r="L1426" s="42"/>
      <c r="M1426" s="42"/>
      <c r="N1426" s="42"/>
      <c r="O1426" s="42"/>
      <c r="P1426" s="42"/>
      <c r="Q1426" s="42"/>
      <c r="R1426" s="176"/>
      <c r="S1426" s="42"/>
      <c r="T1426" s="42"/>
      <c r="U1426" s="46"/>
      <c r="V1426" s="42"/>
      <c r="W1426" s="42"/>
      <c r="X1426" s="42"/>
      <c r="Y1426" s="42"/>
      <c r="Z1426" s="42"/>
      <c r="AA1426" s="42"/>
      <c r="AB1426" s="42"/>
      <c r="AC1426" s="42"/>
      <c r="AD1426" s="42"/>
      <c r="AE1426" s="42"/>
      <c r="AF1426" s="42"/>
    </row>
    <row r="1427">
      <c r="A1427" s="25"/>
      <c r="B1427" s="297"/>
      <c r="C1427" s="25"/>
      <c r="D1427" s="25"/>
      <c r="E1427" s="25"/>
      <c r="F1427" s="25"/>
      <c r="G1427" s="123"/>
      <c r="H1427" s="123"/>
      <c r="I1427" s="25"/>
      <c r="J1427" s="25"/>
      <c r="K1427" s="367"/>
      <c r="L1427" s="42"/>
      <c r="M1427" s="42"/>
      <c r="N1427" s="42"/>
      <c r="O1427" s="42"/>
      <c r="P1427" s="42"/>
      <c r="Q1427" s="42"/>
      <c r="R1427" s="176"/>
      <c r="S1427" s="42"/>
      <c r="T1427" s="42"/>
      <c r="U1427" s="46"/>
      <c r="V1427" s="42"/>
      <c r="W1427" s="42"/>
      <c r="X1427" s="42"/>
      <c r="Y1427" s="42"/>
      <c r="Z1427" s="42"/>
      <c r="AA1427" s="42"/>
      <c r="AB1427" s="42"/>
      <c r="AC1427" s="42"/>
      <c r="AD1427" s="42"/>
      <c r="AE1427" s="42"/>
      <c r="AF1427" s="42"/>
    </row>
    <row r="1428">
      <c r="A1428" s="25"/>
      <c r="B1428" s="297"/>
      <c r="C1428" s="25"/>
      <c r="D1428" s="25"/>
      <c r="E1428" s="25"/>
      <c r="F1428" s="25"/>
      <c r="G1428" s="123"/>
      <c r="H1428" s="123"/>
      <c r="I1428" s="25"/>
      <c r="J1428" s="25"/>
      <c r="K1428" s="367"/>
      <c r="L1428" s="42"/>
      <c r="M1428" s="42"/>
      <c r="N1428" s="42"/>
      <c r="O1428" s="42"/>
      <c r="P1428" s="42"/>
      <c r="Q1428" s="42"/>
      <c r="R1428" s="176"/>
      <c r="S1428" s="42"/>
      <c r="T1428" s="42"/>
      <c r="U1428" s="46"/>
      <c r="V1428" s="42"/>
      <c r="W1428" s="42"/>
      <c r="X1428" s="42"/>
      <c r="Y1428" s="42"/>
      <c r="Z1428" s="42"/>
      <c r="AA1428" s="42"/>
      <c r="AB1428" s="42"/>
      <c r="AC1428" s="42"/>
      <c r="AD1428" s="42"/>
      <c r="AE1428" s="42"/>
      <c r="AF1428" s="42"/>
    </row>
    <row r="1429">
      <c r="A1429" s="25"/>
      <c r="B1429" s="297"/>
      <c r="C1429" s="25"/>
      <c r="D1429" s="25"/>
      <c r="E1429" s="25"/>
      <c r="F1429" s="25"/>
      <c r="G1429" s="123"/>
      <c r="H1429" s="123"/>
      <c r="I1429" s="25"/>
      <c r="J1429" s="25"/>
      <c r="K1429" s="367"/>
      <c r="L1429" s="42"/>
      <c r="M1429" s="42"/>
      <c r="N1429" s="42"/>
      <c r="O1429" s="42"/>
      <c r="P1429" s="42"/>
      <c r="Q1429" s="42"/>
      <c r="R1429" s="176"/>
      <c r="S1429" s="42"/>
      <c r="T1429" s="42"/>
      <c r="U1429" s="46"/>
      <c r="V1429" s="42"/>
      <c r="W1429" s="42"/>
      <c r="X1429" s="42"/>
      <c r="Y1429" s="42"/>
      <c r="Z1429" s="42"/>
      <c r="AA1429" s="42"/>
      <c r="AB1429" s="42"/>
      <c r="AC1429" s="42"/>
      <c r="AD1429" s="42"/>
      <c r="AE1429" s="42"/>
      <c r="AF1429" s="42"/>
    </row>
    <row r="1430">
      <c r="A1430" s="25"/>
      <c r="B1430" s="297"/>
      <c r="C1430" s="25"/>
      <c r="D1430" s="25"/>
      <c r="E1430" s="25"/>
      <c r="F1430" s="25"/>
      <c r="G1430" s="123"/>
      <c r="H1430" s="123"/>
      <c r="I1430" s="25"/>
      <c r="J1430" s="25"/>
      <c r="K1430" s="367"/>
      <c r="L1430" s="42"/>
      <c r="M1430" s="42"/>
      <c r="N1430" s="42"/>
      <c r="O1430" s="42"/>
      <c r="P1430" s="42"/>
      <c r="Q1430" s="42"/>
      <c r="R1430" s="176"/>
      <c r="S1430" s="42"/>
      <c r="T1430" s="42"/>
      <c r="U1430" s="46"/>
      <c r="V1430" s="42"/>
      <c r="W1430" s="42"/>
      <c r="X1430" s="42"/>
      <c r="Y1430" s="42"/>
      <c r="Z1430" s="42"/>
      <c r="AA1430" s="42"/>
      <c r="AB1430" s="42"/>
      <c r="AC1430" s="42"/>
      <c r="AD1430" s="42"/>
      <c r="AE1430" s="42"/>
      <c r="AF1430" s="42"/>
    </row>
    <row r="1431">
      <c r="A1431" s="25"/>
      <c r="B1431" s="297"/>
      <c r="C1431" s="25"/>
      <c r="D1431" s="25"/>
      <c r="E1431" s="25"/>
      <c r="F1431" s="25"/>
      <c r="G1431" s="123"/>
      <c r="H1431" s="123"/>
      <c r="I1431" s="25"/>
      <c r="J1431" s="25"/>
      <c r="K1431" s="367"/>
      <c r="L1431" s="42"/>
      <c r="M1431" s="42"/>
      <c r="N1431" s="42"/>
      <c r="O1431" s="42"/>
      <c r="P1431" s="42"/>
      <c r="Q1431" s="42"/>
      <c r="R1431" s="176"/>
      <c r="S1431" s="42"/>
      <c r="T1431" s="42"/>
      <c r="U1431" s="46"/>
      <c r="V1431" s="42"/>
      <c r="W1431" s="42"/>
      <c r="X1431" s="42"/>
      <c r="Y1431" s="42"/>
      <c r="Z1431" s="42"/>
      <c r="AA1431" s="42"/>
      <c r="AB1431" s="42"/>
      <c r="AC1431" s="42"/>
      <c r="AD1431" s="42"/>
      <c r="AE1431" s="42"/>
      <c r="AF1431" s="42"/>
    </row>
    <row r="1432">
      <c r="A1432" s="25"/>
      <c r="B1432" s="297"/>
      <c r="C1432" s="25"/>
      <c r="D1432" s="25"/>
      <c r="E1432" s="25"/>
      <c r="F1432" s="25"/>
      <c r="G1432" s="123"/>
      <c r="H1432" s="123"/>
      <c r="I1432" s="25"/>
      <c r="J1432" s="25"/>
      <c r="K1432" s="367"/>
      <c r="L1432" s="42"/>
      <c r="M1432" s="42"/>
      <c r="N1432" s="42"/>
      <c r="O1432" s="42"/>
      <c r="P1432" s="42"/>
      <c r="Q1432" s="42"/>
      <c r="R1432" s="176"/>
      <c r="S1432" s="42"/>
      <c r="T1432" s="42"/>
      <c r="U1432" s="46"/>
      <c r="V1432" s="42"/>
      <c r="W1432" s="42"/>
      <c r="X1432" s="42"/>
      <c r="Y1432" s="42"/>
      <c r="Z1432" s="42"/>
      <c r="AA1432" s="42"/>
      <c r="AB1432" s="42"/>
      <c r="AC1432" s="42"/>
      <c r="AD1432" s="42"/>
      <c r="AE1432" s="42"/>
      <c r="AF1432" s="42"/>
    </row>
    <row r="1433">
      <c r="A1433" s="25"/>
      <c r="B1433" s="297"/>
      <c r="C1433" s="25"/>
      <c r="D1433" s="25"/>
      <c r="E1433" s="25"/>
      <c r="F1433" s="25"/>
      <c r="G1433" s="123"/>
      <c r="H1433" s="123"/>
      <c r="I1433" s="25"/>
      <c r="J1433" s="25"/>
      <c r="K1433" s="367"/>
      <c r="L1433" s="42"/>
      <c r="M1433" s="42"/>
      <c r="N1433" s="42"/>
      <c r="O1433" s="42"/>
      <c r="P1433" s="42"/>
      <c r="Q1433" s="42"/>
      <c r="R1433" s="176"/>
      <c r="S1433" s="42"/>
      <c r="T1433" s="42"/>
      <c r="U1433" s="46"/>
      <c r="V1433" s="42"/>
      <c r="W1433" s="42"/>
      <c r="X1433" s="42"/>
      <c r="Y1433" s="42"/>
      <c r="Z1433" s="42"/>
      <c r="AA1433" s="42"/>
      <c r="AB1433" s="42"/>
      <c r="AC1433" s="42"/>
      <c r="AD1433" s="42"/>
      <c r="AE1433" s="42"/>
      <c r="AF1433" s="42"/>
    </row>
    <row r="1434">
      <c r="A1434" s="25"/>
      <c r="B1434" s="297"/>
      <c r="C1434" s="25"/>
      <c r="D1434" s="25"/>
      <c r="E1434" s="25"/>
      <c r="F1434" s="25"/>
      <c r="G1434" s="123"/>
      <c r="H1434" s="123"/>
      <c r="I1434" s="25"/>
      <c r="J1434" s="25"/>
      <c r="K1434" s="367"/>
      <c r="L1434" s="42"/>
      <c r="M1434" s="42"/>
      <c r="N1434" s="42"/>
      <c r="O1434" s="42"/>
      <c r="P1434" s="42"/>
      <c r="Q1434" s="42"/>
      <c r="R1434" s="176"/>
      <c r="S1434" s="42"/>
      <c r="T1434" s="42"/>
      <c r="U1434" s="46"/>
      <c r="V1434" s="42"/>
      <c r="W1434" s="42"/>
      <c r="X1434" s="42"/>
      <c r="Y1434" s="42"/>
      <c r="Z1434" s="42"/>
      <c r="AA1434" s="42"/>
      <c r="AB1434" s="42"/>
      <c r="AC1434" s="42"/>
      <c r="AD1434" s="42"/>
      <c r="AE1434" s="42"/>
      <c r="AF1434" s="42"/>
    </row>
    <row r="1435">
      <c r="A1435" s="25"/>
      <c r="B1435" s="297"/>
      <c r="C1435" s="25"/>
      <c r="D1435" s="25"/>
      <c r="E1435" s="25"/>
      <c r="F1435" s="25"/>
      <c r="G1435" s="123"/>
      <c r="H1435" s="123"/>
      <c r="I1435" s="25"/>
      <c r="J1435" s="25"/>
      <c r="K1435" s="367"/>
      <c r="L1435" s="42"/>
      <c r="M1435" s="42"/>
      <c r="N1435" s="42"/>
      <c r="O1435" s="42"/>
      <c r="P1435" s="42"/>
      <c r="Q1435" s="42"/>
      <c r="R1435" s="176"/>
      <c r="S1435" s="42"/>
      <c r="T1435" s="42"/>
      <c r="U1435" s="46"/>
      <c r="V1435" s="42"/>
      <c r="W1435" s="42"/>
      <c r="X1435" s="42"/>
      <c r="Y1435" s="42"/>
      <c r="Z1435" s="42"/>
      <c r="AA1435" s="42"/>
      <c r="AB1435" s="42"/>
      <c r="AC1435" s="42"/>
      <c r="AD1435" s="42"/>
      <c r="AE1435" s="42"/>
      <c r="AF1435" s="42"/>
    </row>
    <row r="1436">
      <c r="A1436" s="25"/>
      <c r="B1436" s="297"/>
      <c r="C1436" s="25"/>
      <c r="D1436" s="25"/>
      <c r="E1436" s="25"/>
      <c r="F1436" s="25"/>
      <c r="G1436" s="123"/>
      <c r="H1436" s="123"/>
      <c r="I1436" s="25"/>
      <c r="J1436" s="25"/>
      <c r="K1436" s="367"/>
      <c r="L1436" s="42"/>
      <c r="M1436" s="42"/>
      <c r="N1436" s="42"/>
      <c r="O1436" s="42"/>
      <c r="P1436" s="42"/>
      <c r="Q1436" s="42"/>
      <c r="R1436" s="176"/>
      <c r="S1436" s="42"/>
      <c r="T1436" s="42"/>
      <c r="U1436" s="46"/>
      <c r="V1436" s="42"/>
      <c r="W1436" s="42"/>
      <c r="X1436" s="42"/>
      <c r="Y1436" s="42"/>
      <c r="Z1436" s="42"/>
      <c r="AA1436" s="42"/>
      <c r="AB1436" s="42"/>
      <c r="AC1436" s="42"/>
      <c r="AD1436" s="42"/>
      <c r="AE1436" s="42"/>
      <c r="AF1436" s="42"/>
    </row>
    <row r="1437">
      <c r="A1437" s="25"/>
      <c r="B1437" s="297"/>
      <c r="C1437" s="25"/>
      <c r="D1437" s="25"/>
      <c r="E1437" s="25"/>
      <c r="F1437" s="25"/>
      <c r="G1437" s="123"/>
      <c r="H1437" s="123"/>
      <c r="I1437" s="25"/>
      <c r="J1437" s="25"/>
      <c r="K1437" s="367"/>
      <c r="L1437" s="42"/>
      <c r="M1437" s="42"/>
      <c r="N1437" s="42"/>
      <c r="O1437" s="42"/>
      <c r="P1437" s="42"/>
      <c r="Q1437" s="42"/>
      <c r="R1437" s="176"/>
      <c r="S1437" s="42"/>
      <c r="T1437" s="42"/>
      <c r="U1437" s="46"/>
      <c r="V1437" s="42"/>
      <c r="W1437" s="42"/>
      <c r="X1437" s="42"/>
      <c r="Y1437" s="42"/>
      <c r="Z1437" s="42"/>
      <c r="AA1437" s="42"/>
      <c r="AB1437" s="42"/>
      <c r="AC1437" s="42"/>
      <c r="AD1437" s="42"/>
      <c r="AE1437" s="42"/>
      <c r="AF1437" s="42"/>
    </row>
    <row r="1438">
      <c r="A1438" s="25"/>
      <c r="B1438" s="297"/>
      <c r="C1438" s="25"/>
      <c r="D1438" s="25"/>
      <c r="E1438" s="25"/>
      <c r="F1438" s="25"/>
      <c r="G1438" s="123"/>
      <c r="H1438" s="123"/>
      <c r="I1438" s="25"/>
      <c r="J1438" s="25"/>
      <c r="K1438" s="367"/>
      <c r="L1438" s="42"/>
      <c r="M1438" s="42"/>
      <c r="N1438" s="42"/>
      <c r="O1438" s="42"/>
      <c r="P1438" s="42"/>
      <c r="Q1438" s="42"/>
      <c r="R1438" s="176"/>
      <c r="S1438" s="42"/>
      <c r="T1438" s="42"/>
      <c r="U1438" s="46"/>
      <c r="V1438" s="42"/>
      <c r="W1438" s="42"/>
      <c r="X1438" s="42"/>
      <c r="Y1438" s="42"/>
      <c r="Z1438" s="42"/>
      <c r="AA1438" s="42"/>
      <c r="AB1438" s="42"/>
      <c r="AC1438" s="42"/>
      <c r="AD1438" s="42"/>
      <c r="AE1438" s="42"/>
      <c r="AF1438" s="42"/>
    </row>
    <row r="1439">
      <c r="A1439" s="25"/>
      <c r="B1439" s="297"/>
      <c r="C1439" s="25"/>
      <c r="D1439" s="25"/>
      <c r="E1439" s="25"/>
      <c r="F1439" s="25"/>
      <c r="G1439" s="123"/>
      <c r="H1439" s="123"/>
      <c r="I1439" s="25"/>
      <c r="J1439" s="25"/>
      <c r="K1439" s="367"/>
      <c r="L1439" s="42"/>
      <c r="M1439" s="42"/>
      <c r="N1439" s="42"/>
      <c r="O1439" s="42"/>
      <c r="P1439" s="42"/>
      <c r="Q1439" s="42"/>
      <c r="R1439" s="176"/>
      <c r="S1439" s="42"/>
      <c r="T1439" s="42"/>
      <c r="U1439" s="46"/>
      <c r="V1439" s="42"/>
      <c r="W1439" s="42"/>
      <c r="X1439" s="42"/>
      <c r="Y1439" s="42"/>
      <c r="Z1439" s="42"/>
      <c r="AA1439" s="42"/>
      <c r="AB1439" s="42"/>
      <c r="AC1439" s="42"/>
      <c r="AD1439" s="42"/>
      <c r="AE1439" s="42"/>
      <c r="AF1439" s="42"/>
    </row>
    <row r="1440">
      <c r="A1440" s="25"/>
      <c r="B1440" s="297"/>
      <c r="C1440" s="25"/>
      <c r="D1440" s="25"/>
      <c r="E1440" s="25"/>
      <c r="F1440" s="25"/>
      <c r="G1440" s="123"/>
      <c r="H1440" s="123"/>
      <c r="I1440" s="25"/>
      <c r="J1440" s="25"/>
      <c r="K1440" s="367"/>
      <c r="L1440" s="42"/>
      <c r="M1440" s="42"/>
      <c r="N1440" s="42"/>
      <c r="O1440" s="42"/>
      <c r="P1440" s="42"/>
      <c r="Q1440" s="42"/>
      <c r="R1440" s="176"/>
      <c r="S1440" s="42"/>
      <c r="T1440" s="42"/>
      <c r="U1440" s="46"/>
      <c r="V1440" s="42"/>
      <c r="W1440" s="42"/>
      <c r="X1440" s="42"/>
      <c r="Y1440" s="42"/>
      <c r="Z1440" s="42"/>
      <c r="AA1440" s="42"/>
      <c r="AB1440" s="42"/>
      <c r="AC1440" s="42"/>
      <c r="AD1440" s="42"/>
      <c r="AE1440" s="42"/>
      <c r="AF1440" s="42"/>
    </row>
    <row r="1441">
      <c r="A1441" s="25"/>
      <c r="B1441" s="297"/>
      <c r="C1441" s="25"/>
      <c r="D1441" s="25"/>
      <c r="E1441" s="25"/>
      <c r="F1441" s="25"/>
      <c r="G1441" s="123"/>
      <c r="H1441" s="123"/>
      <c r="I1441" s="25"/>
      <c r="J1441" s="25"/>
      <c r="K1441" s="367"/>
      <c r="L1441" s="42"/>
      <c r="M1441" s="42"/>
      <c r="N1441" s="42"/>
      <c r="O1441" s="42"/>
      <c r="P1441" s="42"/>
      <c r="Q1441" s="42"/>
      <c r="R1441" s="176"/>
      <c r="S1441" s="42"/>
      <c r="T1441" s="42"/>
      <c r="U1441" s="46"/>
      <c r="V1441" s="42"/>
      <c r="W1441" s="42"/>
      <c r="X1441" s="42"/>
      <c r="Y1441" s="42"/>
      <c r="Z1441" s="42"/>
      <c r="AA1441" s="42"/>
      <c r="AB1441" s="42"/>
      <c r="AC1441" s="42"/>
      <c r="AD1441" s="42"/>
      <c r="AE1441" s="42"/>
      <c r="AF1441" s="42"/>
    </row>
    <row r="1442">
      <c r="A1442" s="25"/>
      <c r="B1442" s="297"/>
      <c r="C1442" s="25"/>
      <c r="D1442" s="25"/>
      <c r="E1442" s="25"/>
      <c r="F1442" s="25"/>
      <c r="G1442" s="123"/>
      <c r="H1442" s="123"/>
      <c r="I1442" s="25"/>
      <c r="J1442" s="25"/>
      <c r="K1442" s="367"/>
      <c r="L1442" s="42"/>
      <c r="M1442" s="42"/>
      <c r="N1442" s="42"/>
      <c r="O1442" s="42"/>
      <c r="P1442" s="42"/>
      <c r="Q1442" s="42"/>
      <c r="R1442" s="176"/>
      <c r="S1442" s="42"/>
      <c r="T1442" s="42"/>
      <c r="U1442" s="46"/>
      <c r="V1442" s="42"/>
      <c r="W1442" s="42"/>
      <c r="X1442" s="42"/>
      <c r="Y1442" s="42"/>
      <c r="Z1442" s="42"/>
      <c r="AA1442" s="42"/>
      <c r="AB1442" s="42"/>
      <c r="AC1442" s="42"/>
      <c r="AD1442" s="42"/>
      <c r="AE1442" s="42"/>
      <c r="AF1442" s="42"/>
    </row>
    <row r="1443">
      <c r="A1443" s="25"/>
      <c r="B1443" s="297"/>
      <c r="C1443" s="25"/>
      <c r="D1443" s="25"/>
      <c r="E1443" s="25"/>
      <c r="F1443" s="25"/>
      <c r="G1443" s="123"/>
      <c r="H1443" s="123"/>
      <c r="I1443" s="25"/>
      <c r="J1443" s="25"/>
      <c r="K1443" s="367"/>
      <c r="L1443" s="42"/>
      <c r="M1443" s="42"/>
      <c r="N1443" s="42"/>
      <c r="O1443" s="42"/>
      <c r="P1443" s="42"/>
      <c r="Q1443" s="42"/>
      <c r="R1443" s="176"/>
      <c r="S1443" s="42"/>
      <c r="T1443" s="42"/>
      <c r="U1443" s="46"/>
      <c r="V1443" s="42"/>
      <c r="W1443" s="42"/>
      <c r="X1443" s="42"/>
      <c r="Y1443" s="42"/>
      <c r="Z1443" s="42"/>
      <c r="AA1443" s="42"/>
      <c r="AB1443" s="42"/>
      <c r="AC1443" s="42"/>
      <c r="AD1443" s="42"/>
      <c r="AE1443" s="42"/>
      <c r="AF1443" s="42"/>
    </row>
    <row r="1444">
      <c r="A1444" s="25"/>
      <c r="B1444" s="297"/>
      <c r="C1444" s="25"/>
      <c r="D1444" s="25"/>
      <c r="E1444" s="25"/>
      <c r="F1444" s="25"/>
      <c r="G1444" s="123"/>
      <c r="H1444" s="123"/>
      <c r="I1444" s="25"/>
      <c r="J1444" s="25"/>
      <c r="K1444" s="367"/>
      <c r="L1444" s="42"/>
      <c r="M1444" s="42"/>
      <c r="N1444" s="42"/>
      <c r="O1444" s="42"/>
      <c r="P1444" s="42"/>
      <c r="Q1444" s="42"/>
      <c r="R1444" s="176"/>
      <c r="S1444" s="42"/>
      <c r="T1444" s="42"/>
      <c r="U1444" s="46"/>
      <c r="V1444" s="42"/>
      <c r="W1444" s="42"/>
      <c r="X1444" s="42"/>
      <c r="Y1444" s="42"/>
      <c r="Z1444" s="42"/>
      <c r="AA1444" s="42"/>
      <c r="AB1444" s="42"/>
      <c r="AC1444" s="42"/>
      <c r="AD1444" s="42"/>
      <c r="AE1444" s="42"/>
      <c r="AF1444" s="42"/>
    </row>
    <row r="1445">
      <c r="A1445" s="25"/>
      <c r="B1445" s="297"/>
      <c r="C1445" s="25"/>
      <c r="D1445" s="25"/>
      <c r="E1445" s="25"/>
      <c r="F1445" s="25"/>
      <c r="G1445" s="123"/>
      <c r="H1445" s="123"/>
      <c r="I1445" s="25"/>
      <c r="J1445" s="25"/>
      <c r="K1445" s="367"/>
      <c r="L1445" s="42"/>
      <c r="M1445" s="42"/>
      <c r="N1445" s="42"/>
      <c r="O1445" s="42"/>
      <c r="P1445" s="42"/>
      <c r="Q1445" s="42"/>
      <c r="R1445" s="176"/>
      <c r="S1445" s="42"/>
      <c r="T1445" s="42"/>
      <c r="U1445" s="46"/>
      <c r="V1445" s="42"/>
      <c r="W1445" s="42"/>
      <c r="X1445" s="42"/>
      <c r="Y1445" s="42"/>
      <c r="Z1445" s="42"/>
      <c r="AA1445" s="42"/>
      <c r="AB1445" s="42"/>
      <c r="AC1445" s="42"/>
      <c r="AD1445" s="42"/>
      <c r="AE1445" s="42"/>
      <c r="AF1445" s="42"/>
    </row>
    <row r="1446">
      <c r="A1446" s="25"/>
      <c r="B1446" s="297"/>
      <c r="C1446" s="25"/>
      <c r="D1446" s="25"/>
      <c r="E1446" s="25"/>
      <c r="F1446" s="25"/>
      <c r="G1446" s="123"/>
      <c r="H1446" s="123"/>
      <c r="I1446" s="25"/>
      <c r="J1446" s="25"/>
      <c r="K1446" s="367"/>
      <c r="L1446" s="42"/>
      <c r="M1446" s="42"/>
      <c r="N1446" s="42"/>
      <c r="O1446" s="42"/>
      <c r="P1446" s="42"/>
      <c r="Q1446" s="42"/>
      <c r="R1446" s="176"/>
      <c r="S1446" s="42"/>
      <c r="T1446" s="42"/>
      <c r="U1446" s="46"/>
      <c r="V1446" s="42"/>
      <c r="W1446" s="42"/>
      <c r="X1446" s="42"/>
      <c r="Y1446" s="42"/>
      <c r="Z1446" s="42"/>
      <c r="AA1446" s="42"/>
      <c r="AB1446" s="42"/>
      <c r="AC1446" s="42"/>
      <c r="AD1446" s="42"/>
      <c r="AE1446" s="42"/>
      <c r="AF1446" s="42"/>
    </row>
    <row r="1447">
      <c r="A1447" s="25"/>
      <c r="B1447" s="297"/>
      <c r="C1447" s="25"/>
      <c r="D1447" s="25"/>
      <c r="E1447" s="25"/>
      <c r="F1447" s="25"/>
      <c r="G1447" s="123"/>
      <c r="H1447" s="123"/>
      <c r="I1447" s="25"/>
      <c r="J1447" s="25"/>
      <c r="K1447" s="367"/>
      <c r="L1447" s="42"/>
      <c r="M1447" s="42"/>
      <c r="N1447" s="42"/>
      <c r="O1447" s="42"/>
      <c r="P1447" s="42"/>
      <c r="Q1447" s="42"/>
      <c r="R1447" s="176"/>
      <c r="S1447" s="42"/>
      <c r="T1447" s="42"/>
      <c r="U1447" s="46"/>
      <c r="V1447" s="42"/>
      <c r="W1447" s="42"/>
      <c r="X1447" s="42"/>
      <c r="Y1447" s="42"/>
      <c r="Z1447" s="42"/>
      <c r="AA1447" s="42"/>
      <c r="AB1447" s="42"/>
      <c r="AC1447" s="42"/>
      <c r="AD1447" s="42"/>
      <c r="AE1447" s="42"/>
      <c r="AF1447" s="42"/>
    </row>
    <row r="1448">
      <c r="A1448" s="25"/>
      <c r="B1448" s="297"/>
      <c r="C1448" s="25"/>
      <c r="D1448" s="25"/>
      <c r="E1448" s="25"/>
      <c r="F1448" s="25"/>
      <c r="G1448" s="123"/>
      <c r="H1448" s="123"/>
      <c r="I1448" s="25"/>
      <c r="J1448" s="25"/>
      <c r="K1448" s="367"/>
      <c r="L1448" s="42"/>
      <c r="M1448" s="42"/>
      <c r="N1448" s="42"/>
      <c r="O1448" s="42"/>
      <c r="P1448" s="42"/>
      <c r="Q1448" s="42"/>
      <c r="R1448" s="176"/>
      <c r="S1448" s="42"/>
      <c r="T1448" s="42"/>
      <c r="U1448" s="46"/>
      <c r="V1448" s="42"/>
      <c r="W1448" s="42"/>
      <c r="X1448" s="42"/>
      <c r="Y1448" s="42"/>
      <c r="Z1448" s="42"/>
      <c r="AA1448" s="42"/>
      <c r="AB1448" s="42"/>
      <c r="AC1448" s="42"/>
      <c r="AD1448" s="42"/>
      <c r="AE1448" s="42"/>
      <c r="AF1448" s="42"/>
    </row>
    <row r="1449">
      <c r="A1449" s="25"/>
      <c r="B1449" s="297"/>
      <c r="C1449" s="25"/>
      <c r="D1449" s="25"/>
      <c r="E1449" s="25"/>
      <c r="F1449" s="25"/>
      <c r="G1449" s="123"/>
      <c r="H1449" s="123"/>
      <c r="I1449" s="25"/>
      <c r="J1449" s="25"/>
      <c r="K1449" s="367"/>
      <c r="L1449" s="42"/>
      <c r="M1449" s="42"/>
      <c r="N1449" s="42"/>
      <c r="O1449" s="42"/>
      <c r="P1449" s="42"/>
      <c r="Q1449" s="42"/>
      <c r="R1449" s="176"/>
      <c r="S1449" s="42"/>
      <c r="T1449" s="42"/>
      <c r="U1449" s="46"/>
      <c r="V1449" s="42"/>
      <c r="W1449" s="42"/>
      <c r="X1449" s="42"/>
      <c r="Y1449" s="42"/>
      <c r="Z1449" s="42"/>
      <c r="AA1449" s="42"/>
      <c r="AB1449" s="42"/>
      <c r="AC1449" s="42"/>
      <c r="AD1449" s="42"/>
      <c r="AE1449" s="42"/>
      <c r="AF1449" s="42"/>
    </row>
    <row r="1450">
      <c r="A1450" s="25"/>
      <c r="B1450" s="297"/>
      <c r="C1450" s="25"/>
      <c r="D1450" s="25"/>
      <c r="E1450" s="25"/>
      <c r="F1450" s="25"/>
      <c r="G1450" s="123"/>
      <c r="H1450" s="123"/>
      <c r="I1450" s="25"/>
      <c r="J1450" s="25"/>
      <c r="K1450" s="367"/>
      <c r="L1450" s="42"/>
      <c r="M1450" s="42"/>
      <c r="N1450" s="42"/>
      <c r="O1450" s="42"/>
      <c r="P1450" s="42"/>
      <c r="Q1450" s="42"/>
      <c r="R1450" s="176"/>
      <c r="S1450" s="42"/>
      <c r="T1450" s="42"/>
      <c r="U1450" s="46"/>
      <c r="V1450" s="42"/>
      <c r="W1450" s="42"/>
      <c r="X1450" s="42"/>
      <c r="Y1450" s="42"/>
      <c r="Z1450" s="42"/>
      <c r="AA1450" s="42"/>
      <c r="AB1450" s="42"/>
      <c r="AC1450" s="42"/>
      <c r="AD1450" s="42"/>
      <c r="AE1450" s="42"/>
      <c r="AF1450" s="42"/>
    </row>
    <row r="1451">
      <c r="A1451" s="25"/>
      <c r="B1451" s="297"/>
      <c r="C1451" s="25"/>
      <c r="D1451" s="25"/>
      <c r="E1451" s="25"/>
      <c r="F1451" s="25"/>
      <c r="G1451" s="123"/>
      <c r="H1451" s="123"/>
      <c r="I1451" s="25"/>
      <c r="J1451" s="25"/>
      <c r="K1451" s="367"/>
      <c r="L1451" s="42"/>
      <c r="M1451" s="42"/>
      <c r="N1451" s="42"/>
      <c r="O1451" s="42"/>
      <c r="P1451" s="42"/>
      <c r="Q1451" s="42"/>
      <c r="R1451" s="176"/>
      <c r="S1451" s="42"/>
      <c r="T1451" s="42"/>
      <c r="U1451" s="46"/>
      <c r="V1451" s="42"/>
      <c r="W1451" s="42"/>
      <c r="X1451" s="42"/>
      <c r="Y1451" s="42"/>
      <c r="Z1451" s="42"/>
      <c r="AA1451" s="42"/>
      <c r="AB1451" s="42"/>
      <c r="AC1451" s="42"/>
      <c r="AD1451" s="42"/>
      <c r="AE1451" s="42"/>
      <c r="AF1451" s="42"/>
    </row>
    <row r="1452">
      <c r="A1452" s="25"/>
      <c r="B1452" s="297"/>
      <c r="C1452" s="25"/>
      <c r="D1452" s="25"/>
      <c r="E1452" s="25"/>
      <c r="F1452" s="25"/>
      <c r="G1452" s="123"/>
      <c r="H1452" s="123"/>
      <c r="I1452" s="25"/>
      <c r="J1452" s="25"/>
      <c r="K1452" s="367"/>
      <c r="L1452" s="42"/>
      <c r="M1452" s="42"/>
      <c r="N1452" s="42"/>
      <c r="O1452" s="42"/>
      <c r="P1452" s="42"/>
      <c r="Q1452" s="42"/>
      <c r="R1452" s="176"/>
      <c r="S1452" s="42"/>
      <c r="T1452" s="42"/>
      <c r="U1452" s="46"/>
      <c r="V1452" s="42"/>
      <c r="W1452" s="42"/>
      <c r="X1452" s="42"/>
      <c r="Y1452" s="42"/>
      <c r="Z1452" s="42"/>
      <c r="AA1452" s="42"/>
      <c r="AB1452" s="42"/>
      <c r="AC1452" s="42"/>
      <c r="AD1452" s="42"/>
      <c r="AE1452" s="42"/>
      <c r="AF1452" s="42"/>
    </row>
    <row r="1453">
      <c r="A1453" s="25"/>
      <c r="B1453" s="297"/>
      <c r="C1453" s="25"/>
      <c r="D1453" s="25"/>
      <c r="E1453" s="25"/>
      <c r="F1453" s="25"/>
      <c r="G1453" s="123"/>
      <c r="H1453" s="123"/>
      <c r="I1453" s="25"/>
      <c r="J1453" s="25"/>
      <c r="K1453" s="367"/>
      <c r="L1453" s="42"/>
      <c r="M1453" s="42"/>
      <c r="N1453" s="42"/>
      <c r="O1453" s="42"/>
      <c r="P1453" s="42"/>
      <c r="Q1453" s="42"/>
      <c r="R1453" s="176"/>
      <c r="S1453" s="42"/>
      <c r="T1453" s="42"/>
      <c r="U1453" s="46"/>
      <c r="V1453" s="42"/>
      <c r="W1453" s="42"/>
      <c r="X1453" s="42"/>
      <c r="Y1453" s="42"/>
      <c r="Z1453" s="42"/>
      <c r="AA1453" s="42"/>
      <c r="AB1453" s="42"/>
      <c r="AC1453" s="42"/>
      <c r="AD1453" s="42"/>
      <c r="AE1453" s="42"/>
      <c r="AF1453" s="42"/>
    </row>
    <row r="1454">
      <c r="A1454" s="25"/>
      <c r="B1454" s="297"/>
      <c r="C1454" s="25"/>
      <c r="D1454" s="25"/>
      <c r="E1454" s="25"/>
      <c r="F1454" s="25"/>
      <c r="G1454" s="123"/>
      <c r="H1454" s="123"/>
      <c r="I1454" s="25"/>
      <c r="J1454" s="25"/>
      <c r="K1454" s="367"/>
      <c r="L1454" s="42"/>
      <c r="M1454" s="42"/>
      <c r="N1454" s="42"/>
      <c r="O1454" s="42"/>
      <c r="P1454" s="42"/>
      <c r="Q1454" s="42"/>
      <c r="R1454" s="176"/>
      <c r="S1454" s="42"/>
      <c r="T1454" s="42"/>
      <c r="U1454" s="46"/>
      <c r="V1454" s="42"/>
      <c r="W1454" s="42"/>
      <c r="X1454" s="42"/>
      <c r="Y1454" s="42"/>
      <c r="Z1454" s="42"/>
      <c r="AA1454" s="42"/>
      <c r="AB1454" s="42"/>
      <c r="AC1454" s="42"/>
      <c r="AD1454" s="42"/>
      <c r="AE1454" s="42"/>
      <c r="AF1454" s="42"/>
    </row>
    <row r="1455">
      <c r="A1455" s="25"/>
      <c r="B1455" s="297"/>
      <c r="C1455" s="25"/>
      <c r="D1455" s="25"/>
      <c r="E1455" s="25"/>
      <c r="F1455" s="25"/>
      <c r="G1455" s="123"/>
      <c r="H1455" s="123"/>
      <c r="I1455" s="25"/>
      <c r="J1455" s="25"/>
      <c r="K1455" s="367"/>
      <c r="L1455" s="42"/>
      <c r="M1455" s="42"/>
      <c r="N1455" s="42"/>
      <c r="O1455" s="42"/>
      <c r="P1455" s="42"/>
      <c r="Q1455" s="42"/>
      <c r="R1455" s="176"/>
      <c r="S1455" s="42"/>
      <c r="T1455" s="42"/>
      <c r="U1455" s="46"/>
      <c r="V1455" s="42"/>
      <c r="W1455" s="42"/>
      <c r="X1455" s="42"/>
      <c r="Y1455" s="42"/>
      <c r="Z1455" s="42"/>
      <c r="AA1455" s="42"/>
      <c r="AB1455" s="42"/>
      <c r="AC1455" s="42"/>
      <c r="AD1455" s="42"/>
      <c r="AE1455" s="42"/>
      <c r="AF1455" s="42"/>
    </row>
    <row r="1456">
      <c r="A1456" s="25"/>
      <c r="B1456" s="297"/>
      <c r="C1456" s="25"/>
      <c r="D1456" s="25"/>
      <c r="E1456" s="25"/>
      <c r="F1456" s="25"/>
      <c r="G1456" s="123"/>
      <c r="H1456" s="123"/>
      <c r="I1456" s="25"/>
      <c r="J1456" s="25"/>
      <c r="K1456" s="367"/>
      <c r="L1456" s="42"/>
      <c r="M1456" s="42"/>
      <c r="N1456" s="42"/>
      <c r="O1456" s="42"/>
      <c r="P1456" s="42"/>
      <c r="Q1456" s="42"/>
      <c r="R1456" s="176"/>
      <c r="S1456" s="42"/>
      <c r="T1456" s="42"/>
      <c r="U1456" s="46"/>
      <c r="V1456" s="42"/>
      <c r="W1456" s="42"/>
      <c r="X1456" s="42"/>
      <c r="Y1456" s="42"/>
      <c r="Z1456" s="42"/>
      <c r="AA1456" s="42"/>
      <c r="AB1456" s="42"/>
      <c r="AC1456" s="42"/>
      <c r="AD1456" s="42"/>
      <c r="AE1456" s="42"/>
      <c r="AF1456" s="42"/>
    </row>
    <row r="1457">
      <c r="A1457" s="25"/>
      <c r="B1457" s="297"/>
      <c r="C1457" s="25"/>
      <c r="D1457" s="25"/>
      <c r="E1457" s="25"/>
      <c r="F1457" s="25"/>
      <c r="G1457" s="123"/>
      <c r="H1457" s="123"/>
      <c r="I1457" s="25"/>
      <c r="J1457" s="25"/>
      <c r="K1457" s="367"/>
      <c r="L1457" s="42"/>
      <c r="M1457" s="42"/>
      <c r="N1457" s="42"/>
      <c r="O1457" s="42"/>
      <c r="P1457" s="42"/>
      <c r="Q1457" s="42"/>
      <c r="R1457" s="176"/>
      <c r="S1457" s="42"/>
      <c r="T1457" s="42"/>
      <c r="U1457" s="46"/>
      <c r="V1457" s="42"/>
      <c r="W1457" s="42"/>
      <c r="X1457" s="42"/>
      <c r="Y1457" s="42"/>
      <c r="Z1457" s="42"/>
      <c r="AA1457" s="42"/>
      <c r="AB1457" s="42"/>
      <c r="AC1457" s="42"/>
      <c r="AD1457" s="42"/>
      <c r="AE1457" s="42"/>
      <c r="AF1457" s="42"/>
    </row>
    <row r="1458">
      <c r="A1458" s="25"/>
      <c r="B1458" s="297"/>
      <c r="C1458" s="25"/>
      <c r="D1458" s="25"/>
      <c r="E1458" s="25"/>
      <c r="F1458" s="25"/>
      <c r="G1458" s="123"/>
      <c r="H1458" s="123"/>
      <c r="I1458" s="25"/>
      <c r="J1458" s="25"/>
      <c r="K1458" s="367"/>
      <c r="L1458" s="42"/>
      <c r="M1458" s="42"/>
      <c r="N1458" s="42"/>
      <c r="O1458" s="42"/>
      <c r="P1458" s="42"/>
      <c r="Q1458" s="42"/>
      <c r="R1458" s="176"/>
      <c r="S1458" s="42"/>
      <c r="T1458" s="42"/>
      <c r="U1458" s="46"/>
      <c r="V1458" s="42"/>
      <c r="W1458" s="42"/>
      <c r="X1458" s="42"/>
      <c r="Y1458" s="42"/>
      <c r="Z1458" s="42"/>
      <c r="AA1458" s="42"/>
      <c r="AB1458" s="42"/>
      <c r="AC1458" s="42"/>
      <c r="AD1458" s="42"/>
      <c r="AE1458" s="42"/>
      <c r="AF1458" s="42"/>
    </row>
    <row r="1459">
      <c r="A1459" s="25"/>
      <c r="B1459" s="297"/>
      <c r="C1459" s="25"/>
      <c r="D1459" s="25"/>
      <c r="E1459" s="25"/>
      <c r="F1459" s="25"/>
      <c r="G1459" s="123"/>
      <c r="H1459" s="123"/>
      <c r="I1459" s="25"/>
      <c r="J1459" s="25"/>
      <c r="K1459" s="367"/>
      <c r="L1459" s="42"/>
      <c r="M1459" s="42"/>
      <c r="N1459" s="42"/>
      <c r="O1459" s="42"/>
      <c r="P1459" s="42"/>
      <c r="Q1459" s="42"/>
      <c r="R1459" s="176"/>
      <c r="S1459" s="42"/>
      <c r="T1459" s="42"/>
      <c r="U1459" s="46"/>
      <c r="V1459" s="42"/>
      <c r="W1459" s="42"/>
      <c r="X1459" s="42"/>
      <c r="Y1459" s="42"/>
      <c r="Z1459" s="42"/>
      <c r="AA1459" s="42"/>
      <c r="AB1459" s="42"/>
      <c r="AC1459" s="42"/>
      <c r="AD1459" s="42"/>
      <c r="AE1459" s="42"/>
      <c r="AF1459" s="42"/>
    </row>
    <row r="1460">
      <c r="A1460" s="25"/>
      <c r="B1460" s="297"/>
      <c r="C1460" s="25"/>
      <c r="D1460" s="25"/>
      <c r="E1460" s="25"/>
      <c r="F1460" s="25"/>
      <c r="G1460" s="123"/>
      <c r="H1460" s="123"/>
      <c r="I1460" s="25"/>
      <c r="J1460" s="25"/>
      <c r="K1460" s="367"/>
      <c r="L1460" s="42"/>
      <c r="M1460" s="42"/>
      <c r="N1460" s="42"/>
      <c r="O1460" s="42"/>
      <c r="P1460" s="42"/>
      <c r="Q1460" s="42"/>
      <c r="R1460" s="176"/>
      <c r="S1460" s="42"/>
      <c r="T1460" s="42"/>
      <c r="U1460" s="46"/>
      <c r="V1460" s="42"/>
      <c r="W1460" s="42"/>
      <c r="X1460" s="42"/>
      <c r="Y1460" s="42"/>
      <c r="Z1460" s="42"/>
      <c r="AA1460" s="42"/>
      <c r="AB1460" s="42"/>
      <c r="AC1460" s="42"/>
      <c r="AD1460" s="42"/>
      <c r="AE1460" s="42"/>
      <c r="AF1460" s="42"/>
    </row>
    <row r="1461">
      <c r="A1461" s="25"/>
      <c r="B1461" s="297"/>
      <c r="C1461" s="25"/>
      <c r="D1461" s="25"/>
      <c r="E1461" s="25"/>
      <c r="F1461" s="25"/>
      <c r="G1461" s="123"/>
      <c r="H1461" s="123"/>
      <c r="I1461" s="25"/>
      <c r="J1461" s="25"/>
      <c r="K1461" s="367"/>
      <c r="L1461" s="42"/>
      <c r="M1461" s="42"/>
      <c r="N1461" s="42"/>
      <c r="O1461" s="42"/>
      <c r="P1461" s="42"/>
      <c r="Q1461" s="42"/>
      <c r="R1461" s="176"/>
      <c r="S1461" s="42"/>
      <c r="T1461" s="42"/>
      <c r="U1461" s="46"/>
      <c r="V1461" s="42"/>
      <c r="W1461" s="42"/>
      <c r="X1461" s="42"/>
      <c r="Y1461" s="42"/>
      <c r="Z1461" s="42"/>
      <c r="AA1461" s="42"/>
      <c r="AB1461" s="42"/>
      <c r="AC1461" s="42"/>
      <c r="AD1461" s="42"/>
      <c r="AE1461" s="42"/>
      <c r="AF1461" s="42"/>
    </row>
    <row r="1462">
      <c r="A1462" s="25"/>
      <c r="B1462" s="297"/>
      <c r="C1462" s="25"/>
      <c r="D1462" s="25"/>
      <c r="E1462" s="25"/>
      <c r="F1462" s="25"/>
      <c r="G1462" s="123"/>
      <c r="H1462" s="123"/>
      <c r="I1462" s="25"/>
      <c r="J1462" s="25"/>
      <c r="K1462" s="367"/>
      <c r="L1462" s="42"/>
      <c r="M1462" s="42"/>
      <c r="N1462" s="42"/>
      <c r="O1462" s="42"/>
      <c r="P1462" s="42"/>
      <c r="Q1462" s="42"/>
      <c r="R1462" s="176"/>
      <c r="S1462" s="42"/>
      <c r="T1462" s="42"/>
      <c r="U1462" s="46"/>
      <c r="V1462" s="42"/>
      <c r="W1462" s="42"/>
      <c r="X1462" s="42"/>
      <c r="Y1462" s="42"/>
      <c r="Z1462" s="42"/>
      <c r="AA1462" s="42"/>
      <c r="AB1462" s="42"/>
      <c r="AC1462" s="42"/>
      <c r="AD1462" s="42"/>
      <c r="AE1462" s="42"/>
      <c r="AF1462" s="42"/>
    </row>
    <row r="1463">
      <c r="A1463" s="25"/>
      <c r="B1463" s="297"/>
      <c r="C1463" s="25"/>
      <c r="D1463" s="25"/>
      <c r="E1463" s="25"/>
      <c r="F1463" s="25"/>
      <c r="G1463" s="123"/>
      <c r="H1463" s="123"/>
      <c r="I1463" s="25"/>
      <c r="J1463" s="25"/>
      <c r="K1463" s="367"/>
      <c r="L1463" s="42"/>
      <c r="M1463" s="42"/>
      <c r="N1463" s="42"/>
      <c r="O1463" s="42"/>
      <c r="P1463" s="42"/>
      <c r="Q1463" s="42"/>
      <c r="R1463" s="176"/>
      <c r="S1463" s="42"/>
      <c r="T1463" s="42"/>
      <c r="U1463" s="46"/>
      <c r="V1463" s="42"/>
      <c r="W1463" s="42"/>
      <c r="X1463" s="42"/>
      <c r="Y1463" s="42"/>
      <c r="Z1463" s="42"/>
      <c r="AA1463" s="42"/>
      <c r="AB1463" s="42"/>
      <c r="AC1463" s="42"/>
      <c r="AD1463" s="42"/>
      <c r="AE1463" s="42"/>
      <c r="AF1463" s="42"/>
    </row>
    <row r="1464">
      <c r="A1464" s="25"/>
      <c r="B1464" s="297"/>
      <c r="C1464" s="25"/>
      <c r="D1464" s="25"/>
      <c r="E1464" s="25"/>
      <c r="F1464" s="25"/>
      <c r="G1464" s="123"/>
      <c r="H1464" s="123"/>
      <c r="I1464" s="25"/>
      <c r="J1464" s="25"/>
      <c r="K1464" s="367"/>
      <c r="L1464" s="42"/>
      <c r="M1464" s="42"/>
      <c r="N1464" s="42"/>
      <c r="O1464" s="42"/>
      <c r="P1464" s="42"/>
      <c r="Q1464" s="42"/>
      <c r="R1464" s="176"/>
      <c r="S1464" s="42"/>
      <c r="T1464" s="42"/>
      <c r="U1464" s="46"/>
      <c r="V1464" s="42"/>
      <c r="W1464" s="42"/>
      <c r="X1464" s="42"/>
      <c r="Y1464" s="42"/>
      <c r="Z1464" s="42"/>
      <c r="AA1464" s="42"/>
      <c r="AB1464" s="42"/>
      <c r="AC1464" s="42"/>
      <c r="AD1464" s="42"/>
      <c r="AE1464" s="42"/>
      <c r="AF1464" s="42"/>
    </row>
    <row r="1465">
      <c r="A1465" s="25"/>
      <c r="B1465" s="297"/>
      <c r="C1465" s="25"/>
      <c r="D1465" s="25"/>
      <c r="E1465" s="25"/>
      <c r="F1465" s="25"/>
      <c r="G1465" s="123"/>
      <c r="H1465" s="123"/>
      <c r="I1465" s="25"/>
      <c r="J1465" s="25"/>
      <c r="K1465" s="367"/>
      <c r="L1465" s="42"/>
      <c r="M1465" s="42"/>
      <c r="N1465" s="42"/>
      <c r="O1465" s="42"/>
      <c r="P1465" s="42"/>
      <c r="Q1465" s="42"/>
      <c r="R1465" s="176"/>
      <c r="S1465" s="42"/>
      <c r="T1465" s="42"/>
      <c r="U1465" s="46"/>
      <c r="V1465" s="42"/>
      <c r="W1465" s="42"/>
      <c r="X1465" s="42"/>
      <c r="Y1465" s="42"/>
      <c r="Z1465" s="42"/>
      <c r="AA1465" s="42"/>
      <c r="AB1465" s="42"/>
      <c r="AC1465" s="42"/>
      <c r="AD1465" s="42"/>
      <c r="AE1465" s="42"/>
      <c r="AF1465" s="42"/>
    </row>
    <row r="1466">
      <c r="A1466" s="25"/>
      <c r="B1466" s="297"/>
      <c r="C1466" s="25"/>
      <c r="D1466" s="25"/>
      <c r="E1466" s="25"/>
      <c r="F1466" s="25"/>
      <c r="G1466" s="123"/>
      <c r="H1466" s="123"/>
      <c r="I1466" s="25"/>
      <c r="J1466" s="25"/>
      <c r="K1466" s="367"/>
      <c r="L1466" s="42"/>
      <c r="M1466" s="42"/>
      <c r="N1466" s="42"/>
      <c r="O1466" s="42"/>
      <c r="P1466" s="42"/>
      <c r="Q1466" s="42"/>
      <c r="R1466" s="176"/>
      <c r="S1466" s="42"/>
      <c r="T1466" s="42"/>
      <c r="U1466" s="46"/>
      <c r="V1466" s="42"/>
      <c r="W1466" s="42"/>
      <c r="X1466" s="42"/>
      <c r="Y1466" s="42"/>
      <c r="Z1466" s="42"/>
      <c r="AA1466" s="42"/>
      <c r="AB1466" s="42"/>
      <c r="AC1466" s="42"/>
      <c r="AD1466" s="42"/>
      <c r="AE1466" s="42"/>
      <c r="AF1466" s="42"/>
    </row>
    <row r="1467">
      <c r="A1467" s="25"/>
      <c r="B1467" s="297"/>
      <c r="C1467" s="25"/>
      <c r="D1467" s="25"/>
      <c r="E1467" s="25"/>
      <c r="F1467" s="25"/>
      <c r="G1467" s="123"/>
      <c r="H1467" s="123"/>
      <c r="I1467" s="25"/>
      <c r="J1467" s="25"/>
      <c r="K1467" s="367"/>
      <c r="L1467" s="42"/>
      <c r="M1467" s="42"/>
      <c r="N1467" s="42"/>
      <c r="O1467" s="42"/>
      <c r="P1467" s="42"/>
      <c r="Q1467" s="42"/>
      <c r="R1467" s="176"/>
      <c r="S1467" s="42"/>
      <c r="T1467" s="42"/>
      <c r="U1467" s="46"/>
      <c r="V1467" s="42"/>
      <c r="W1467" s="42"/>
      <c r="X1467" s="42"/>
      <c r="Y1467" s="42"/>
      <c r="Z1467" s="42"/>
      <c r="AA1467" s="42"/>
      <c r="AB1467" s="42"/>
      <c r="AC1467" s="42"/>
      <c r="AD1467" s="42"/>
      <c r="AE1467" s="42"/>
      <c r="AF1467" s="42"/>
    </row>
    <row r="1468">
      <c r="A1468" s="25"/>
      <c r="B1468" s="297"/>
      <c r="C1468" s="25"/>
      <c r="D1468" s="25"/>
      <c r="E1468" s="25"/>
      <c r="F1468" s="25"/>
      <c r="G1468" s="123"/>
      <c r="H1468" s="123"/>
      <c r="I1468" s="25"/>
      <c r="J1468" s="25"/>
      <c r="K1468" s="367"/>
      <c r="L1468" s="42"/>
      <c r="M1468" s="42"/>
      <c r="N1468" s="42"/>
      <c r="O1468" s="42"/>
      <c r="P1468" s="42"/>
      <c r="Q1468" s="42"/>
      <c r="R1468" s="176"/>
      <c r="S1468" s="42"/>
      <c r="T1468" s="42"/>
      <c r="U1468" s="46"/>
      <c r="V1468" s="42"/>
      <c r="W1468" s="42"/>
      <c r="X1468" s="42"/>
      <c r="Y1468" s="42"/>
      <c r="Z1468" s="42"/>
      <c r="AA1468" s="42"/>
      <c r="AB1468" s="42"/>
      <c r="AC1468" s="42"/>
      <c r="AD1468" s="42"/>
      <c r="AE1468" s="42"/>
      <c r="AF1468" s="42"/>
    </row>
    <row r="1469">
      <c r="A1469" s="25"/>
      <c r="B1469" s="297"/>
      <c r="C1469" s="25"/>
      <c r="D1469" s="25"/>
      <c r="E1469" s="25"/>
      <c r="F1469" s="25"/>
      <c r="G1469" s="123"/>
      <c r="H1469" s="123"/>
      <c r="I1469" s="25"/>
      <c r="J1469" s="25"/>
      <c r="K1469" s="367"/>
      <c r="L1469" s="42"/>
      <c r="M1469" s="42"/>
      <c r="N1469" s="42"/>
      <c r="O1469" s="42"/>
      <c r="P1469" s="42"/>
      <c r="Q1469" s="42"/>
      <c r="R1469" s="176"/>
      <c r="S1469" s="42"/>
      <c r="T1469" s="42"/>
      <c r="U1469" s="46"/>
      <c r="V1469" s="42"/>
      <c r="W1469" s="42"/>
      <c r="X1469" s="42"/>
      <c r="Y1469" s="42"/>
      <c r="Z1469" s="42"/>
      <c r="AA1469" s="42"/>
      <c r="AB1469" s="42"/>
      <c r="AC1469" s="42"/>
      <c r="AD1469" s="42"/>
      <c r="AE1469" s="42"/>
      <c r="AF1469" s="42"/>
    </row>
    <row r="1470">
      <c r="A1470" s="25"/>
      <c r="B1470" s="297"/>
      <c r="C1470" s="25"/>
      <c r="D1470" s="25"/>
      <c r="E1470" s="25"/>
      <c r="F1470" s="25"/>
      <c r="G1470" s="123"/>
      <c r="H1470" s="123"/>
      <c r="I1470" s="25"/>
      <c r="J1470" s="25"/>
      <c r="K1470" s="367"/>
      <c r="L1470" s="42"/>
      <c r="M1470" s="42"/>
      <c r="N1470" s="42"/>
      <c r="O1470" s="42"/>
      <c r="P1470" s="42"/>
      <c r="Q1470" s="42"/>
      <c r="R1470" s="176"/>
      <c r="S1470" s="42"/>
      <c r="T1470" s="42"/>
      <c r="U1470" s="46"/>
      <c r="V1470" s="42"/>
      <c r="W1470" s="42"/>
      <c r="X1470" s="42"/>
      <c r="Y1470" s="42"/>
      <c r="Z1470" s="42"/>
      <c r="AA1470" s="42"/>
      <c r="AB1470" s="42"/>
      <c r="AC1470" s="42"/>
      <c r="AD1470" s="42"/>
      <c r="AE1470" s="42"/>
      <c r="AF1470" s="42"/>
    </row>
    <row r="1471">
      <c r="A1471" s="25"/>
      <c r="B1471" s="297"/>
      <c r="C1471" s="25"/>
      <c r="D1471" s="25"/>
      <c r="E1471" s="25"/>
      <c r="F1471" s="25"/>
      <c r="G1471" s="123"/>
      <c r="H1471" s="123"/>
      <c r="I1471" s="25"/>
      <c r="J1471" s="25"/>
      <c r="K1471" s="367"/>
      <c r="L1471" s="42"/>
      <c r="M1471" s="42"/>
      <c r="N1471" s="42"/>
      <c r="O1471" s="42"/>
      <c r="P1471" s="42"/>
      <c r="Q1471" s="42"/>
      <c r="R1471" s="176"/>
      <c r="S1471" s="42"/>
      <c r="T1471" s="42"/>
      <c r="U1471" s="46"/>
      <c r="V1471" s="42"/>
      <c r="W1471" s="42"/>
      <c r="X1471" s="42"/>
      <c r="Y1471" s="42"/>
      <c r="Z1471" s="42"/>
      <c r="AA1471" s="42"/>
      <c r="AB1471" s="42"/>
      <c r="AC1471" s="42"/>
      <c r="AD1471" s="42"/>
      <c r="AE1471" s="42"/>
      <c r="AF1471" s="42"/>
    </row>
    <row r="1472">
      <c r="A1472" s="25"/>
      <c r="B1472" s="297"/>
      <c r="C1472" s="25"/>
      <c r="D1472" s="25"/>
      <c r="E1472" s="25"/>
      <c r="F1472" s="25"/>
      <c r="G1472" s="123"/>
      <c r="H1472" s="123"/>
      <c r="I1472" s="25"/>
      <c r="J1472" s="25"/>
      <c r="K1472" s="367"/>
      <c r="L1472" s="42"/>
      <c r="M1472" s="42"/>
      <c r="N1472" s="42"/>
      <c r="O1472" s="42"/>
      <c r="P1472" s="42"/>
      <c r="Q1472" s="42"/>
      <c r="R1472" s="176"/>
      <c r="S1472" s="42"/>
      <c r="T1472" s="42"/>
      <c r="U1472" s="46"/>
      <c r="V1472" s="42"/>
      <c r="W1472" s="42"/>
      <c r="X1472" s="42"/>
      <c r="Y1472" s="42"/>
      <c r="Z1472" s="42"/>
      <c r="AA1472" s="42"/>
      <c r="AB1472" s="42"/>
      <c r="AC1472" s="42"/>
      <c r="AD1472" s="42"/>
      <c r="AE1472" s="42"/>
      <c r="AF1472" s="42"/>
    </row>
    <row r="1473">
      <c r="A1473" s="25"/>
      <c r="B1473" s="297"/>
      <c r="C1473" s="25"/>
      <c r="D1473" s="25"/>
      <c r="E1473" s="25"/>
      <c r="F1473" s="25"/>
      <c r="G1473" s="123"/>
      <c r="H1473" s="123"/>
      <c r="I1473" s="25"/>
      <c r="J1473" s="25"/>
      <c r="K1473" s="367"/>
      <c r="L1473" s="42"/>
      <c r="M1473" s="42"/>
      <c r="N1473" s="42"/>
      <c r="O1473" s="42"/>
      <c r="P1473" s="42"/>
      <c r="Q1473" s="42"/>
      <c r="R1473" s="176"/>
      <c r="S1473" s="42"/>
      <c r="T1473" s="42"/>
      <c r="U1473" s="46"/>
      <c r="V1473" s="42"/>
      <c r="W1473" s="42"/>
      <c r="X1473" s="42"/>
      <c r="Y1473" s="42"/>
      <c r="Z1473" s="42"/>
      <c r="AA1473" s="42"/>
      <c r="AB1473" s="42"/>
      <c r="AC1473" s="42"/>
      <c r="AD1473" s="42"/>
      <c r="AE1473" s="42"/>
      <c r="AF1473" s="42"/>
    </row>
    <row r="1474">
      <c r="A1474" s="25"/>
      <c r="B1474" s="297"/>
      <c r="C1474" s="25"/>
      <c r="D1474" s="25"/>
      <c r="E1474" s="25"/>
      <c r="F1474" s="25"/>
      <c r="G1474" s="123"/>
      <c r="H1474" s="123"/>
      <c r="I1474" s="25"/>
      <c r="J1474" s="25"/>
      <c r="K1474" s="367"/>
      <c r="L1474" s="42"/>
      <c r="M1474" s="42"/>
      <c r="N1474" s="42"/>
      <c r="O1474" s="42"/>
      <c r="P1474" s="42"/>
      <c r="Q1474" s="42"/>
      <c r="R1474" s="176"/>
      <c r="S1474" s="42"/>
      <c r="T1474" s="42"/>
      <c r="U1474" s="46"/>
      <c r="V1474" s="42"/>
      <c r="W1474" s="42"/>
      <c r="X1474" s="42"/>
      <c r="Y1474" s="42"/>
      <c r="Z1474" s="42"/>
      <c r="AA1474" s="42"/>
      <c r="AB1474" s="42"/>
      <c r="AC1474" s="42"/>
      <c r="AD1474" s="42"/>
      <c r="AE1474" s="42"/>
      <c r="AF1474" s="42"/>
    </row>
    <row r="1475">
      <c r="A1475" s="25"/>
      <c r="B1475" s="297"/>
      <c r="C1475" s="25"/>
      <c r="D1475" s="25"/>
      <c r="E1475" s="25"/>
      <c r="F1475" s="25"/>
      <c r="G1475" s="123"/>
      <c r="H1475" s="123"/>
      <c r="I1475" s="25"/>
      <c r="J1475" s="25"/>
      <c r="K1475" s="367"/>
      <c r="L1475" s="42"/>
      <c r="M1475" s="42"/>
      <c r="N1475" s="42"/>
      <c r="O1475" s="42"/>
      <c r="P1475" s="42"/>
      <c r="Q1475" s="42"/>
      <c r="R1475" s="176"/>
      <c r="S1475" s="42"/>
      <c r="T1475" s="42"/>
      <c r="U1475" s="46"/>
      <c r="V1475" s="42"/>
      <c r="W1475" s="42"/>
      <c r="X1475" s="42"/>
      <c r="Y1475" s="42"/>
      <c r="Z1475" s="42"/>
      <c r="AA1475" s="42"/>
      <c r="AB1475" s="42"/>
      <c r="AC1475" s="42"/>
      <c r="AD1475" s="42"/>
      <c r="AE1475" s="42"/>
      <c r="AF1475" s="42"/>
    </row>
    <row r="1476">
      <c r="A1476" s="25"/>
      <c r="B1476" s="297"/>
      <c r="C1476" s="25"/>
      <c r="D1476" s="25"/>
      <c r="E1476" s="25"/>
      <c r="F1476" s="25"/>
      <c r="G1476" s="123"/>
      <c r="H1476" s="123"/>
      <c r="I1476" s="25"/>
      <c r="J1476" s="25"/>
      <c r="K1476" s="367"/>
      <c r="L1476" s="42"/>
      <c r="M1476" s="42"/>
      <c r="N1476" s="42"/>
      <c r="O1476" s="42"/>
      <c r="P1476" s="42"/>
      <c r="Q1476" s="42"/>
      <c r="R1476" s="176"/>
      <c r="S1476" s="42"/>
      <c r="T1476" s="42"/>
      <c r="U1476" s="46"/>
      <c r="V1476" s="42"/>
      <c r="W1476" s="42"/>
      <c r="X1476" s="42"/>
      <c r="Y1476" s="42"/>
      <c r="Z1476" s="42"/>
      <c r="AA1476" s="42"/>
      <c r="AB1476" s="42"/>
      <c r="AC1476" s="42"/>
      <c r="AD1476" s="42"/>
      <c r="AE1476" s="42"/>
      <c r="AF1476" s="42"/>
    </row>
    <row r="1477">
      <c r="A1477" s="25"/>
      <c r="B1477" s="297"/>
      <c r="C1477" s="25"/>
      <c r="D1477" s="25"/>
      <c r="E1477" s="25"/>
      <c r="F1477" s="25"/>
      <c r="G1477" s="123"/>
      <c r="H1477" s="123"/>
      <c r="I1477" s="25"/>
      <c r="J1477" s="25"/>
      <c r="K1477" s="367"/>
      <c r="L1477" s="42"/>
      <c r="M1477" s="42"/>
      <c r="N1477" s="42"/>
      <c r="O1477" s="42"/>
      <c r="P1477" s="42"/>
      <c r="Q1477" s="42"/>
      <c r="R1477" s="176"/>
      <c r="S1477" s="42"/>
      <c r="T1477" s="42"/>
      <c r="U1477" s="46"/>
      <c r="V1477" s="42"/>
      <c r="W1477" s="42"/>
      <c r="X1477" s="42"/>
      <c r="Y1477" s="42"/>
      <c r="Z1477" s="42"/>
      <c r="AA1477" s="42"/>
      <c r="AB1477" s="42"/>
      <c r="AC1477" s="42"/>
      <c r="AD1477" s="42"/>
      <c r="AE1477" s="42"/>
      <c r="AF1477" s="42"/>
    </row>
    <row r="1478">
      <c r="A1478" s="25"/>
      <c r="B1478" s="297"/>
      <c r="C1478" s="25"/>
      <c r="D1478" s="25"/>
      <c r="E1478" s="25"/>
      <c r="F1478" s="25"/>
      <c r="G1478" s="123"/>
      <c r="H1478" s="123"/>
      <c r="I1478" s="25"/>
      <c r="J1478" s="25"/>
      <c r="K1478" s="367"/>
      <c r="L1478" s="42"/>
      <c r="M1478" s="42"/>
      <c r="N1478" s="42"/>
      <c r="O1478" s="42"/>
      <c r="P1478" s="42"/>
      <c r="Q1478" s="42"/>
      <c r="R1478" s="176"/>
      <c r="S1478" s="42"/>
      <c r="T1478" s="42"/>
      <c r="U1478" s="46"/>
      <c r="V1478" s="42"/>
      <c r="W1478" s="42"/>
      <c r="X1478" s="42"/>
      <c r="Y1478" s="42"/>
      <c r="Z1478" s="42"/>
      <c r="AA1478" s="42"/>
      <c r="AB1478" s="42"/>
      <c r="AC1478" s="42"/>
      <c r="AD1478" s="42"/>
      <c r="AE1478" s="42"/>
      <c r="AF1478" s="42"/>
    </row>
    <row r="1479">
      <c r="A1479" s="25"/>
      <c r="B1479" s="297"/>
      <c r="C1479" s="25"/>
      <c r="D1479" s="25"/>
      <c r="E1479" s="25"/>
      <c r="F1479" s="25"/>
      <c r="G1479" s="123"/>
      <c r="H1479" s="123"/>
      <c r="I1479" s="25"/>
      <c r="J1479" s="25"/>
      <c r="K1479" s="367"/>
      <c r="L1479" s="42"/>
      <c r="M1479" s="42"/>
      <c r="N1479" s="42"/>
      <c r="O1479" s="42"/>
      <c r="P1479" s="42"/>
      <c r="Q1479" s="42"/>
      <c r="R1479" s="176"/>
      <c r="S1479" s="42"/>
      <c r="T1479" s="42"/>
      <c r="U1479" s="46"/>
      <c r="V1479" s="42"/>
      <c r="W1479" s="42"/>
      <c r="X1479" s="42"/>
      <c r="Y1479" s="42"/>
      <c r="Z1479" s="42"/>
      <c r="AA1479" s="42"/>
      <c r="AB1479" s="42"/>
      <c r="AC1479" s="42"/>
      <c r="AD1479" s="42"/>
      <c r="AE1479" s="42"/>
      <c r="AF1479" s="42"/>
    </row>
    <row r="1480">
      <c r="A1480" s="25"/>
      <c r="B1480" s="297"/>
      <c r="C1480" s="25"/>
      <c r="D1480" s="25"/>
      <c r="E1480" s="25"/>
      <c r="F1480" s="25"/>
      <c r="G1480" s="123"/>
      <c r="H1480" s="123"/>
      <c r="I1480" s="25"/>
      <c r="J1480" s="25"/>
      <c r="K1480" s="367"/>
      <c r="L1480" s="42"/>
      <c r="M1480" s="42"/>
      <c r="N1480" s="42"/>
      <c r="O1480" s="42"/>
      <c r="P1480" s="42"/>
      <c r="Q1480" s="42"/>
      <c r="R1480" s="176"/>
      <c r="S1480" s="42"/>
      <c r="T1480" s="42"/>
      <c r="U1480" s="46"/>
      <c r="V1480" s="42"/>
      <c r="W1480" s="42"/>
      <c r="X1480" s="42"/>
      <c r="Y1480" s="42"/>
      <c r="Z1480" s="42"/>
      <c r="AA1480" s="42"/>
      <c r="AB1480" s="42"/>
      <c r="AC1480" s="42"/>
      <c r="AD1480" s="42"/>
      <c r="AE1480" s="42"/>
      <c r="AF1480" s="42"/>
    </row>
    <row r="1481">
      <c r="A1481" s="25"/>
      <c r="B1481" s="297"/>
      <c r="C1481" s="25"/>
      <c r="D1481" s="25"/>
      <c r="E1481" s="25"/>
      <c r="F1481" s="25"/>
      <c r="G1481" s="123"/>
      <c r="H1481" s="123"/>
      <c r="I1481" s="25"/>
      <c r="J1481" s="25"/>
      <c r="K1481" s="367"/>
      <c r="L1481" s="42"/>
      <c r="M1481" s="42"/>
      <c r="N1481" s="42"/>
      <c r="O1481" s="42"/>
      <c r="P1481" s="42"/>
      <c r="Q1481" s="42"/>
      <c r="R1481" s="176"/>
      <c r="S1481" s="42"/>
      <c r="T1481" s="42"/>
      <c r="U1481" s="46"/>
      <c r="V1481" s="42"/>
      <c r="W1481" s="42"/>
      <c r="X1481" s="42"/>
      <c r="Y1481" s="42"/>
      <c r="Z1481" s="42"/>
      <c r="AA1481" s="42"/>
      <c r="AB1481" s="42"/>
      <c r="AC1481" s="42"/>
      <c r="AD1481" s="42"/>
      <c r="AE1481" s="42"/>
      <c r="AF1481" s="42"/>
    </row>
    <row r="1482">
      <c r="A1482" s="25"/>
      <c r="B1482" s="297"/>
      <c r="C1482" s="25"/>
      <c r="D1482" s="25"/>
      <c r="E1482" s="25"/>
      <c r="F1482" s="25"/>
      <c r="G1482" s="123"/>
      <c r="H1482" s="123"/>
      <c r="I1482" s="25"/>
      <c r="J1482" s="25"/>
      <c r="K1482" s="367"/>
      <c r="L1482" s="42"/>
      <c r="M1482" s="42"/>
      <c r="N1482" s="42"/>
      <c r="O1482" s="42"/>
      <c r="P1482" s="42"/>
      <c r="Q1482" s="42"/>
      <c r="R1482" s="176"/>
      <c r="S1482" s="42"/>
      <c r="T1482" s="42"/>
      <c r="U1482" s="46"/>
      <c r="V1482" s="42"/>
      <c r="W1482" s="42"/>
      <c r="X1482" s="42"/>
      <c r="Y1482" s="42"/>
      <c r="Z1482" s="42"/>
      <c r="AA1482" s="42"/>
      <c r="AB1482" s="42"/>
      <c r="AC1482" s="42"/>
      <c r="AD1482" s="42"/>
      <c r="AE1482" s="42"/>
      <c r="AF1482" s="42"/>
    </row>
    <row r="1483">
      <c r="A1483" s="25"/>
      <c r="B1483" s="297"/>
      <c r="C1483" s="25"/>
      <c r="D1483" s="25"/>
      <c r="E1483" s="25"/>
      <c r="F1483" s="25"/>
      <c r="G1483" s="123"/>
      <c r="H1483" s="123"/>
      <c r="I1483" s="25"/>
      <c r="J1483" s="25"/>
      <c r="K1483" s="367"/>
      <c r="L1483" s="42"/>
      <c r="M1483" s="42"/>
      <c r="N1483" s="42"/>
      <c r="O1483" s="42"/>
      <c r="P1483" s="42"/>
      <c r="Q1483" s="42"/>
      <c r="R1483" s="176"/>
      <c r="S1483" s="42"/>
      <c r="T1483" s="42"/>
      <c r="U1483" s="46"/>
      <c r="V1483" s="42"/>
      <c r="W1483" s="42"/>
      <c r="X1483" s="42"/>
      <c r="Y1483" s="42"/>
      <c r="Z1483" s="42"/>
      <c r="AA1483" s="42"/>
      <c r="AB1483" s="42"/>
      <c r="AC1483" s="42"/>
      <c r="AD1483" s="42"/>
      <c r="AE1483" s="42"/>
      <c r="AF1483" s="42"/>
    </row>
    <row r="1484">
      <c r="A1484" s="25"/>
      <c r="B1484" s="297"/>
      <c r="C1484" s="25"/>
      <c r="D1484" s="25"/>
      <c r="E1484" s="25"/>
      <c r="F1484" s="25"/>
      <c r="G1484" s="123"/>
      <c r="H1484" s="123"/>
      <c r="I1484" s="25"/>
      <c r="J1484" s="25"/>
      <c r="K1484" s="367"/>
      <c r="L1484" s="42"/>
      <c r="M1484" s="42"/>
      <c r="N1484" s="42"/>
      <c r="O1484" s="42"/>
      <c r="P1484" s="42"/>
      <c r="Q1484" s="42"/>
      <c r="R1484" s="176"/>
      <c r="S1484" s="42"/>
      <c r="T1484" s="42"/>
      <c r="U1484" s="46"/>
      <c r="V1484" s="42"/>
      <c r="W1484" s="42"/>
      <c r="X1484" s="42"/>
      <c r="Y1484" s="42"/>
      <c r="Z1484" s="42"/>
      <c r="AA1484" s="42"/>
      <c r="AB1484" s="42"/>
      <c r="AC1484" s="42"/>
      <c r="AD1484" s="42"/>
      <c r="AE1484" s="42"/>
      <c r="AF1484" s="42"/>
    </row>
    <row r="1485">
      <c r="A1485" s="25"/>
      <c r="B1485" s="297"/>
      <c r="C1485" s="25"/>
      <c r="D1485" s="25"/>
      <c r="E1485" s="25"/>
      <c r="F1485" s="25"/>
      <c r="G1485" s="123"/>
      <c r="H1485" s="123"/>
      <c r="I1485" s="25"/>
      <c r="J1485" s="25"/>
      <c r="K1485" s="367"/>
      <c r="L1485" s="42"/>
      <c r="M1485" s="42"/>
      <c r="N1485" s="42"/>
      <c r="O1485" s="42"/>
      <c r="P1485" s="42"/>
      <c r="Q1485" s="42"/>
      <c r="R1485" s="176"/>
      <c r="S1485" s="42"/>
      <c r="T1485" s="42"/>
      <c r="U1485" s="46"/>
      <c r="V1485" s="42"/>
      <c r="W1485" s="42"/>
      <c r="X1485" s="42"/>
      <c r="Y1485" s="42"/>
      <c r="Z1485" s="42"/>
      <c r="AA1485" s="42"/>
      <c r="AB1485" s="42"/>
      <c r="AC1485" s="42"/>
      <c r="AD1485" s="42"/>
      <c r="AE1485" s="42"/>
      <c r="AF1485" s="42"/>
    </row>
    <row r="1486">
      <c r="A1486" s="25"/>
      <c r="B1486" s="297"/>
      <c r="C1486" s="25"/>
      <c r="D1486" s="25"/>
      <c r="E1486" s="25"/>
      <c r="F1486" s="25"/>
      <c r="G1486" s="123"/>
      <c r="H1486" s="123"/>
      <c r="I1486" s="25"/>
      <c r="J1486" s="25"/>
      <c r="K1486" s="367"/>
      <c r="L1486" s="42"/>
      <c r="M1486" s="42"/>
      <c r="N1486" s="42"/>
      <c r="O1486" s="42"/>
      <c r="P1486" s="42"/>
      <c r="Q1486" s="42"/>
      <c r="R1486" s="176"/>
      <c r="S1486" s="42"/>
      <c r="T1486" s="42"/>
      <c r="U1486" s="46"/>
      <c r="V1486" s="42"/>
      <c r="W1486" s="42"/>
      <c r="X1486" s="42"/>
      <c r="Y1486" s="42"/>
      <c r="Z1486" s="42"/>
      <c r="AA1486" s="42"/>
      <c r="AB1486" s="42"/>
      <c r="AC1486" s="42"/>
      <c r="AD1486" s="42"/>
      <c r="AE1486" s="42"/>
      <c r="AF1486" s="42"/>
    </row>
    <row r="1487">
      <c r="A1487" s="25"/>
      <c r="B1487" s="297"/>
      <c r="C1487" s="25"/>
      <c r="D1487" s="25"/>
      <c r="E1487" s="25"/>
      <c r="F1487" s="25"/>
      <c r="G1487" s="123"/>
      <c r="H1487" s="123"/>
      <c r="I1487" s="25"/>
      <c r="J1487" s="25"/>
      <c r="K1487" s="367"/>
      <c r="L1487" s="42"/>
      <c r="M1487" s="42"/>
      <c r="N1487" s="42"/>
      <c r="O1487" s="42"/>
      <c r="P1487" s="42"/>
      <c r="Q1487" s="42"/>
      <c r="R1487" s="176"/>
      <c r="S1487" s="42"/>
      <c r="T1487" s="42"/>
      <c r="U1487" s="46"/>
      <c r="V1487" s="42"/>
      <c r="W1487" s="42"/>
      <c r="X1487" s="42"/>
      <c r="Y1487" s="42"/>
      <c r="Z1487" s="42"/>
      <c r="AA1487" s="42"/>
      <c r="AB1487" s="42"/>
      <c r="AC1487" s="42"/>
      <c r="AD1487" s="42"/>
      <c r="AE1487" s="42"/>
      <c r="AF1487" s="42"/>
    </row>
    <row r="1488">
      <c r="A1488" s="25"/>
      <c r="B1488" s="297"/>
      <c r="C1488" s="25"/>
      <c r="D1488" s="25"/>
      <c r="E1488" s="25"/>
      <c r="F1488" s="25"/>
      <c r="G1488" s="123"/>
      <c r="H1488" s="123"/>
      <c r="I1488" s="25"/>
      <c r="J1488" s="25"/>
      <c r="K1488" s="367"/>
      <c r="L1488" s="42"/>
      <c r="M1488" s="42"/>
      <c r="N1488" s="42"/>
      <c r="O1488" s="42"/>
      <c r="P1488" s="42"/>
      <c r="Q1488" s="42"/>
      <c r="R1488" s="176"/>
      <c r="S1488" s="42"/>
      <c r="T1488" s="42"/>
      <c r="U1488" s="46"/>
      <c r="V1488" s="42"/>
      <c r="W1488" s="42"/>
      <c r="X1488" s="42"/>
      <c r="Y1488" s="42"/>
      <c r="Z1488" s="42"/>
      <c r="AA1488" s="42"/>
      <c r="AB1488" s="42"/>
      <c r="AC1488" s="42"/>
      <c r="AD1488" s="42"/>
      <c r="AE1488" s="42"/>
      <c r="AF1488" s="42"/>
    </row>
    <row r="1489">
      <c r="A1489" s="25"/>
      <c r="B1489" s="297"/>
      <c r="C1489" s="25"/>
      <c r="D1489" s="25"/>
      <c r="E1489" s="25"/>
      <c r="F1489" s="25"/>
      <c r="G1489" s="123"/>
      <c r="H1489" s="123"/>
      <c r="I1489" s="25"/>
      <c r="J1489" s="25"/>
      <c r="K1489" s="367"/>
      <c r="L1489" s="42"/>
      <c r="M1489" s="42"/>
      <c r="N1489" s="42"/>
      <c r="O1489" s="42"/>
      <c r="P1489" s="42"/>
      <c r="Q1489" s="42"/>
      <c r="R1489" s="176"/>
      <c r="S1489" s="42"/>
      <c r="T1489" s="42"/>
      <c r="U1489" s="46"/>
      <c r="V1489" s="42"/>
      <c r="W1489" s="42"/>
      <c r="X1489" s="42"/>
      <c r="Y1489" s="42"/>
      <c r="Z1489" s="42"/>
      <c r="AA1489" s="42"/>
      <c r="AB1489" s="42"/>
      <c r="AC1489" s="42"/>
      <c r="AD1489" s="42"/>
      <c r="AE1489" s="42"/>
      <c r="AF1489" s="42"/>
    </row>
    <row r="1490">
      <c r="A1490" s="25"/>
      <c r="B1490" s="297"/>
      <c r="C1490" s="25"/>
      <c r="D1490" s="25"/>
      <c r="E1490" s="25"/>
      <c r="F1490" s="25"/>
      <c r="G1490" s="123"/>
      <c r="H1490" s="123"/>
      <c r="I1490" s="25"/>
      <c r="J1490" s="25"/>
      <c r="K1490" s="367"/>
      <c r="L1490" s="42"/>
      <c r="M1490" s="42"/>
      <c r="N1490" s="42"/>
      <c r="O1490" s="42"/>
      <c r="P1490" s="42"/>
      <c r="Q1490" s="42"/>
      <c r="R1490" s="176"/>
      <c r="S1490" s="42"/>
      <c r="T1490" s="42"/>
      <c r="U1490" s="46"/>
      <c r="V1490" s="42"/>
      <c r="W1490" s="42"/>
      <c r="X1490" s="42"/>
      <c r="Y1490" s="42"/>
      <c r="Z1490" s="42"/>
      <c r="AA1490" s="42"/>
      <c r="AB1490" s="42"/>
      <c r="AC1490" s="42"/>
      <c r="AD1490" s="42"/>
      <c r="AE1490" s="42"/>
      <c r="AF1490" s="42"/>
    </row>
    <row r="1491">
      <c r="A1491" s="25"/>
      <c r="B1491" s="297"/>
      <c r="C1491" s="25"/>
      <c r="D1491" s="25"/>
      <c r="E1491" s="25"/>
      <c r="F1491" s="25"/>
      <c r="G1491" s="123"/>
      <c r="H1491" s="123"/>
      <c r="I1491" s="25"/>
      <c r="J1491" s="25"/>
      <c r="K1491" s="367"/>
      <c r="L1491" s="42"/>
      <c r="M1491" s="42"/>
      <c r="N1491" s="42"/>
      <c r="O1491" s="42"/>
      <c r="P1491" s="42"/>
      <c r="Q1491" s="42"/>
      <c r="R1491" s="176"/>
      <c r="S1491" s="42"/>
      <c r="T1491" s="42"/>
      <c r="U1491" s="46"/>
      <c r="V1491" s="42"/>
      <c r="W1491" s="42"/>
      <c r="X1491" s="42"/>
      <c r="Y1491" s="42"/>
      <c r="Z1491" s="42"/>
      <c r="AA1491" s="42"/>
      <c r="AB1491" s="42"/>
      <c r="AC1491" s="42"/>
      <c r="AD1491" s="42"/>
      <c r="AE1491" s="42"/>
      <c r="AF1491" s="42"/>
    </row>
    <row r="1492">
      <c r="A1492" s="25"/>
      <c r="B1492" s="297"/>
      <c r="C1492" s="25"/>
      <c r="D1492" s="25"/>
      <c r="E1492" s="25"/>
      <c r="F1492" s="25"/>
      <c r="G1492" s="123"/>
      <c r="H1492" s="123"/>
      <c r="I1492" s="25"/>
      <c r="J1492" s="25"/>
      <c r="K1492" s="367"/>
      <c r="L1492" s="42"/>
      <c r="M1492" s="42"/>
      <c r="N1492" s="42"/>
      <c r="O1492" s="42"/>
      <c r="P1492" s="42"/>
      <c r="Q1492" s="42"/>
      <c r="R1492" s="176"/>
      <c r="S1492" s="42"/>
      <c r="T1492" s="42"/>
      <c r="U1492" s="46"/>
      <c r="V1492" s="42"/>
      <c r="W1492" s="42"/>
      <c r="X1492" s="42"/>
      <c r="Y1492" s="42"/>
      <c r="Z1492" s="42"/>
      <c r="AA1492" s="42"/>
      <c r="AB1492" s="42"/>
      <c r="AC1492" s="42"/>
      <c r="AD1492" s="42"/>
      <c r="AE1492" s="42"/>
      <c r="AF1492" s="42"/>
    </row>
    <row r="1493">
      <c r="A1493" s="25"/>
      <c r="B1493" s="297"/>
      <c r="C1493" s="25"/>
      <c r="D1493" s="25"/>
      <c r="E1493" s="25"/>
      <c r="F1493" s="25"/>
      <c r="G1493" s="123"/>
      <c r="H1493" s="123"/>
      <c r="I1493" s="25"/>
      <c r="J1493" s="25"/>
      <c r="K1493" s="367"/>
      <c r="L1493" s="42"/>
      <c r="M1493" s="42"/>
      <c r="N1493" s="42"/>
      <c r="O1493" s="42"/>
      <c r="P1493" s="42"/>
      <c r="Q1493" s="42"/>
      <c r="R1493" s="176"/>
      <c r="S1493" s="42"/>
      <c r="T1493" s="42"/>
      <c r="U1493" s="46"/>
      <c r="V1493" s="42"/>
      <c r="W1493" s="42"/>
      <c r="X1493" s="42"/>
      <c r="Y1493" s="42"/>
      <c r="Z1493" s="42"/>
      <c r="AA1493" s="42"/>
      <c r="AB1493" s="42"/>
      <c r="AC1493" s="42"/>
      <c r="AD1493" s="42"/>
      <c r="AE1493" s="42"/>
      <c r="AF1493" s="42"/>
    </row>
    <row r="1494">
      <c r="A1494" s="25"/>
      <c r="B1494" s="297"/>
      <c r="C1494" s="25"/>
      <c r="D1494" s="25"/>
      <c r="E1494" s="25"/>
      <c r="F1494" s="25"/>
      <c r="G1494" s="123"/>
      <c r="H1494" s="123"/>
      <c r="I1494" s="25"/>
      <c r="J1494" s="25"/>
      <c r="K1494" s="367"/>
      <c r="L1494" s="42"/>
      <c r="M1494" s="42"/>
      <c r="N1494" s="42"/>
      <c r="O1494" s="42"/>
      <c r="P1494" s="42"/>
      <c r="Q1494" s="42"/>
      <c r="R1494" s="176"/>
      <c r="S1494" s="42"/>
      <c r="T1494" s="42"/>
      <c r="U1494" s="46"/>
      <c r="V1494" s="42"/>
      <c r="W1494" s="42"/>
      <c r="X1494" s="42"/>
      <c r="Y1494" s="42"/>
      <c r="Z1494" s="42"/>
      <c r="AA1494" s="42"/>
      <c r="AB1494" s="42"/>
      <c r="AC1494" s="42"/>
      <c r="AD1494" s="42"/>
      <c r="AE1494" s="42"/>
      <c r="AF1494" s="42"/>
    </row>
    <row r="1495">
      <c r="A1495" s="25"/>
      <c r="B1495" s="297"/>
      <c r="C1495" s="25"/>
      <c r="D1495" s="25"/>
      <c r="E1495" s="25"/>
      <c r="F1495" s="25"/>
      <c r="G1495" s="123"/>
      <c r="H1495" s="123"/>
      <c r="I1495" s="25"/>
      <c r="J1495" s="25"/>
      <c r="K1495" s="367"/>
      <c r="L1495" s="42"/>
      <c r="M1495" s="42"/>
      <c r="N1495" s="42"/>
      <c r="O1495" s="42"/>
      <c r="P1495" s="42"/>
      <c r="Q1495" s="42"/>
      <c r="R1495" s="176"/>
      <c r="S1495" s="42"/>
      <c r="T1495" s="42"/>
      <c r="U1495" s="46"/>
      <c r="V1495" s="42"/>
      <c r="W1495" s="42"/>
      <c r="X1495" s="42"/>
      <c r="Y1495" s="42"/>
      <c r="Z1495" s="42"/>
      <c r="AA1495" s="42"/>
      <c r="AB1495" s="42"/>
      <c r="AC1495" s="42"/>
      <c r="AD1495" s="42"/>
      <c r="AE1495" s="42"/>
      <c r="AF1495" s="42"/>
    </row>
    <row r="1496">
      <c r="A1496" s="25"/>
      <c r="B1496" s="297"/>
      <c r="C1496" s="25"/>
      <c r="D1496" s="25"/>
      <c r="E1496" s="25"/>
      <c r="F1496" s="25"/>
      <c r="G1496" s="123"/>
      <c r="H1496" s="123"/>
      <c r="I1496" s="25"/>
      <c r="J1496" s="25"/>
      <c r="K1496" s="367"/>
      <c r="L1496" s="42"/>
      <c r="M1496" s="42"/>
      <c r="N1496" s="42"/>
      <c r="O1496" s="42"/>
      <c r="P1496" s="42"/>
      <c r="Q1496" s="42"/>
      <c r="R1496" s="176"/>
      <c r="S1496" s="42"/>
      <c r="T1496" s="42"/>
      <c r="U1496" s="46"/>
      <c r="V1496" s="42"/>
      <c r="W1496" s="42"/>
      <c r="X1496" s="42"/>
      <c r="Y1496" s="42"/>
      <c r="Z1496" s="42"/>
      <c r="AA1496" s="42"/>
      <c r="AB1496" s="42"/>
      <c r="AC1496" s="42"/>
      <c r="AD1496" s="42"/>
      <c r="AE1496" s="42"/>
      <c r="AF1496" s="42"/>
    </row>
    <row r="1497">
      <c r="A1497" s="25"/>
      <c r="B1497" s="297"/>
      <c r="C1497" s="25"/>
      <c r="D1497" s="25"/>
      <c r="E1497" s="25"/>
      <c r="F1497" s="25"/>
      <c r="G1497" s="123"/>
      <c r="H1497" s="123"/>
      <c r="I1497" s="25"/>
      <c r="J1497" s="25"/>
      <c r="K1497" s="367"/>
      <c r="L1497" s="42"/>
      <c r="M1497" s="42"/>
      <c r="N1497" s="42"/>
      <c r="O1497" s="42"/>
      <c r="P1497" s="42"/>
      <c r="Q1497" s="42"/>
      <c r="R1497" s="176"/>
      <c r="S1497" s="42"/>
      <c r="T1497" s="42"/>
      <c r="U1497" s="46"/>
      <c r="V1497" s="42"/>
      <c r="W1497" s="42"/>
      <c r="X1497" s="42"/>
      <c r="Y1497" s="42"/>
      <c r="Z1497" s="42"/>
      <c r="AA1497" s="42"/>
      <c r="AB1497" s="42"/>
      <c r="AC1497" s="42"/>
      <c r="AD1497" s="42"/>
      <c r="AE1497" s="42"/>
      <c r="AF1497" s="42"/>
    </row>
    <row r="1498">
      <c r="A1498" s="25"/>
      <c r="B1498" s="297"/>
      <c r="C1498" s="25"/>
      <c r="D1498" s="25"/>
      <c r="E1498" s="25"/>
      <c r="F1498" s="25"/>
      <c r="G1498" s="123"/>
      <c r="H1498" s="123"/>
      <c r="I1498" s="25"/>
      <c r="J1498" s="25"/>
      <c r="K1498" s="367"/>
      <c r="L1498" s="42"/>
      <c r="M1498" s="42"/>
      <c r="N1498" s="42"/>
      <c r="O1498" s="42"/>
      <c r="P1498" s="42"/>
      <c r="Q1498" s="42"/>
      <c r="R1498" s="176"/>
      <c r="S1498" s="42"/>
      <c r="T1498" s="42"/>
      <c r="U1498" s="46"/>
      <c r="V1498" s="42"/>
      <c r="W1498" s="42"/>
      <c r="X1498" s="42"/>
      <c r="Y1498" s="42"/>
      <c r="Z1498" s="42"/>
      <c r="AA1498" s="42"/>
      <c r="AB1498" s="42"/>
      <c r="AC1498" s="42"/>
      <c r="AD1498" s="42"/>
      <c r="AE1498" s="42"/>
      <c r="AF1498" s="42"/>
    </row>
    <row r="1499">
      <c r="A1499" s="25"/>
      <c r="B1499" s="297"/>
      <c r="C1499" s="25"/>
      <c r="D1499" s="25"/>
      <c r="E1499" s="25"/>
      <c r="F1499" s="25"/>
      <c r="G1499" s="123"/>
      <c r="H1499" s="123"/>
      <c r="I1499" s="25"/>
      <c r="J1499" s="25"/>
      <c r="K1499" s="367"/>
      <c r="L1499" s="42"/>
      <c r="M1499" s="42"/>
      <c r="N1499" s="42"/>
      <c r="O1499" s="42"/>
      <c r="P1499" s="42"/>
      <c r="Q1499" s="42"/>
      <c r="R1499" s="176"/>
      <c r="S1499" s="42"/>
      <c r="T1499" s="42"/>
      <c r="U1499" s="46"/>
      <c r="V1499" s="42"/>
      <c r="W1499" s="42"/>
      <c r="X1499" s="42"/>
      <c r="Y1499" s="42"/>
      <c r="Z1499" s="42"/>
      <c r="AA1499" s="42"/>
      <c r="AB1499" s="42"/>
      <c r="AC1499" s="42"/>
      <c r="AD1499" s="42"/>
      <c r="AE1499" s="42"/>
      <c r="AF1499" s="42"/>
    </row>
    <row r="1500">
      <c r="A1500" s="25"/>
      <c r="B1500" s="297"/>
      <c r="C1500" s="25"/>
      <c r="D1500" s="25"/>
      <c r="E1500" s="25"/>
      <c r="F1500" s="25"/>
      <c r="G1500" s="123"/>
      <c r="H1500" s="123"/>
      <c r="I1500" s="25"/>
      <c r="J1500" s="25"/>
      <c r="K1500" s="367"/>
      <c r="L1500" s="42"/>
      <c r="M1500" s="42"/>
      <c r="N1500" s="42"/>
      <c r="O1500" s="42"/>
      <c r="P1500" s="42"/>
      <c r="Q1500" s="42"/>
      <c r="R1500" s="176"/>
      <c r="S1500" s="42"/>
      <c r="T1500" s="42"/>
      <c r="U1500" s="46"/>
      <c r="V1500" s="42"/>
      <c r="W1500" s="42"/>
      <c r="X1500" s="42"/>
      <c r="Y1500" s="42"/>
      <c r="Z1500" s="42"/>
      <c r="AA1500" s="42"/>
      <c r="AB1500" s="42"/>
      <c r="AC1500" s="42"/>
      <c r="AD1500" s="42"/>
      <c r="AE1500" s="42"/>
      <c r="AF1500" s="42"/>
    </row>
    <row r="1501">
      <c r="A1501" s="25"/>
      <c r="B1501" s="297"/>
      <c r="C1501" s="25"/>
      <c r="D1501" s="25"/>
      <c r="E1501" s="25"/>
      <c r="F1501" s="25"/>
      <c r="G1501" s="123"/>
      <c r="H1501" s="123"/>
      <c r="I1501" s="25"/>
      <c r="J1501" s="25"/>
      <c r="K1501" s="367"/>
      <c r="L1501" s="42"/>
      <c r="M1501" s="42"/>
      <c r="N1501" s="42"/>
      <c r="O1501" s="42"/>
      <c r="P1501" s="42"/>
      <c r="Q1501" s="42"/>
      <c r="R1501" s="176"/>
      <c r="S1501" s="42"/>
      <c r="T1501" s="42"/>
      <c r="U1501" s="46"/>
      <c r="V1501" s="42"/>
      <c r="W1501" s="42"/>
      <c r="X1501" s="42"/>
      <c r="Y1501" s="42"/>
      <c r="Z1501" s="42"/>
      <c r="AA1501" s="42"/>
      <c r="AB1501" s="42"/>
      <c r="AC1501" s="42"/>
      <c r="AD1501" s="42"/>
      <c r="AE1501" s="42"/>
      <c r="AF1501" s="42"/>
    </row>
    <row r="1502">
      <c r="A1502" s="25"/>
      <c r="B1502" s="297"/>
      <c r="C1502" s="25"/>
      <c r="D1502" s="25"/>
      <c r="E1502" s="25"/>
      <c r="F1502" s="25"/>
      <c r="G1502" s="123"/>
      <c r="H1502" s="123"/>
      <c r="I1502" s="25"/>
      <c r="J1502" s="25"/>
      <c r="K1502" s="367"/>
      <c r="L1502" s="42"/>
      <c r="M1502" s="42"/>
      <c r="N1502" s="42"/>
      <c r="O1502" s="42"/>
      <c r="P1502" s="42"/>
      <c r="Q1502" s="42"/>
      <c r="R1502" s="176"/>
      <c r="S1502" s="42"/>
      <c r="T1502" s="42"/>
      <c r="U1502" s="46"/>
      <c r="V1502" s="42"/>
      <c r="W1502" s="42"/>
      <c r="X1502" s="42"/>
      <c r="Y1502" s="42"/>
      <c r="Z1502" s="42"/>
      <c r="AA1502" s="42"/>
      <c r="AB1502" s="42"/>
      <c r="AC1502" s="42"/>
      <c r="AD1502" s="42"/>
      <c r="AE1502" s="42"/>
      <c r="AF1502" s="42"/>
    </row>
    <row r="1503">
      <c r="A1503" s="25"/>
      <c r="B1503" s="297"/>
      <c r="C1503" s="25"/>
      <c r="D1503" s="25"/>
      <c r="E1503" s="25"/>
      <c r="F1503" s="25"/>
      <c r="G1503" s="123"/>
      <c r="H1503" s="123"/>
      <c r="I1503" s="25"/>
      <c r="J1503" s="25"/>
      <c r="K1503" s="367"/>
      <c r="L1503" s="42"/>
      <c r="M1503" s="42"/>
      <c r="N1503" s="42"/>
      <c r="O1503" s="42"/>
      <c r="P1503" s="42"/>
      <c r="Q1503" s="42"/>
      <c r="R1503" s="176"/>
      <c r="S1503" s="42"/>
      <c r="T1503" s="42"/>
      <c r="U1503" s="46"/>
      <c r="V1503" s="42"/>
      <c r="W1503" s="42"/>
      <c r="X1503" s="42"/>
      <c r="Y1503" s="42"/>
      <c r="Z1503" s="42"/>
      <c r="AA1503" s="42"/>
      <c r="AB1503" s="42"/>
      <c r="AC1503" s="42"/>
      <c r="AD1503" s="42"/>
      <c r="AE1503" s="42"/>
      <c r="AF1503" s="42"/>
    </row>
    <row r="1504">
      <c r="A1504" s="25"/>
      <c r="B1504" s="297"/>
      <c r="C1504" s="25"/>
      <c r="D1504" s="25"/>
      <c r="E1504" s="25"/>
      <c r="F1504" s="25"/>
      <c r="G1504" s="123"/>
      <c r="H1504" s="123"/>
      <c r="I1504" s="25"/>
      <c r="J1504" s="25"/>
      <c r="K1504" s="367"/>
      <c r="L1504" s="42"/>
      <c r="M1504" s="42"/>
      <c r="N1504" s="42"/>
      <c r="O1504" s="42"/>
      <c r="P1504" s="42"/>
      <c r="Q1504" s="42"/>
      <c r="R1504" s="176"/>
      <c r="S1504" s="42"/>
      <c r="T1504" s="42"/>
      <c r="U1504" s="46"/>
      <c r="V1504" s="42"/>
      <c r="W1504" s="42"/>
      <c r="X1504" s="42"/>
      <c r="Y1504" s="42"/>
      <c r="Z1504" s="42"/>
      <c r="AA1504" s="42"/>
      <c r="AB1504" s="42"/>
      <c r="AC1504" s="42"/>
      <c r="AD1504" s="42"/>
      <c r="AE1504" s="42"/>
      <c r="AF1504" s="42"/>
    </row>
    <row r="1505">
      <c r="A1505" s="25"/>
      <c r="B1505" s="297"/>
      <c r="C1505" s="25"/>
      <c r="D1505" s="25"/>
      <c r="E1505" s="25"/>
      <c r="F1505" s="25"/>
      <c r="G1505" s="123"/>
      <c r="H1505" s="123"/>
      <c r="I1505" s="25"/>
      <c r="J1505" s="25"/>
      <c r="K1505" s="367"/>
      <c r="L1505" s="42"/>
      <c r="M1505" s="42"/>
      <c r="N1505" s="42"/>
      <c r="O1505" s="42"/>
      <c r="P1505" s="42"/>
      <c r="Q1505" s="42"/>
      <c r="R1505" s="176"/>
      <c r="S1505" s="42"/>
      <c r="T1505" s="42"/>
      <c r="U1505" s="46"/>
      <c r="V1505" s="42"/>
      <c r="W1505" s="42"/>
      <c r="X1505" s="42"/>
      <c r="Y1505" s="42"/>
      <c r="Z1505" s="42"/>
      <c r="AA1505" s="42"/>
      <c r="AB1505" s="42"/>
      <c r="AC1505" s="42"/>
      <c r="AD1505" s="42"/>
      <c r="AE1505" s="42"/>
      <c r="AF1505" s="42"/>
    </row>
    <row r="1506">
      <c r="A1506" s="25"/>
      <c r="B1506" s="297"/>
      <c r="C1506" s="25"/>
      <c r="D1506" s="25"/>
      <c r="E1506" s="25"/>
      <c r="F1506" s="25"/>
      <c r="G1506" s="123"/>
      <c r="H1506" s="123"/>
      <c r="I1506" s="25"/>
      <c r="J1506" s="25"/>
      <c r="K1506" s="367"/>
      <c r="L1506" s="42"/>
      <c r="M1506" s="42"/>
      <c r="N1506" s="42"/>
      <c r="O1506" s="42"/>
      <c r="P1506" s="42"/>
      <c r="Q1506" s="42"/>
      <c r="R1506" s="176"/>
      <c r="S1506" s="42"/>
      <c r="T1506" s="42"/>
      <c r="U1506" s="46"/>
      <c r="V1506" s="42"/>
      <c r="W1506" s="42"/>
      <c r="X1506" s="42"/>
      <c r="Y1506" s="42"/>
      <c r="Z1506" s="42"/>
      <c r="AA1506" s="42"/>
      <c r="AB1506" s="42"/>
      <c r="AC1506" s="42"/>
      <c r="AD1506" s="42"/>
      <c r="AE1506" s="42"/>
      <c r="AF1506" s="42"/>
    </row>
    <row r="1507">
      <c r="A1507" s="25"/>
      <c r="B1507" s="297"/>
      <c r="C1507" s="25"/>
      <c r="D1507" s="25"/>
      <c r="E1507" s="25"/>
      <c r="F1507" s="25"/>
      <c r="G1507" s="123"/>
      <c r="H1507" s="123"/>
      <c r="I1507" s="25"/>
      <c r="J1507" s="25"/>
      <c r="K1507" s="367"/>
      <c r="L1507" s="42"/>
      <c r="M1507" s="42"/>
      <c r="N1507" s="42"/>
      <c r="O1507" s="42"/>
      <c r="P1507" s="42"/>
      <c r="Q1507" s="42"/>
      <c r="R1507" s="176"/>
      <c r="S1507" s="42"/>
      <c r="T1507" s="42"/>
      <c r="U1507" s="46"/>
      <c r="V1507" s="42"/>
      <c r="W1507" s="42"/>
      <c r="X1507" s="42"/>
      <c r="Y1507" s="42"/>
      <c r="Z1507" s="42"/>
      <c r="AA1507" s="42"/>
      <c r="AB1507" s="42"/>
      <c r="AC1507" s="42"/>
      <c r="AD1507" s="42"/>
      <c r="AE1507" s="42"/>
      <c r="AF1507" s="42"/>
    </row>
    <row r="1508">
      <c r="A1508" s="25"/>
      <c r="B1508" s="297"/>
      <c r="C1508" s="25"/>
      <c r="D1508" s="25"/>
      <c r="E1508" s="25"/>
      <c r="F1508" s="25"/>
      <c r="G1508" s="123"/>
      <c r="H1508" s="123"/>
      <c r="I1508" s="25"/>
      <c r="J1508" s="25"/>
      <c r="K1508" s="367"/>
      <c r="L1508" s="42"/>
      <c r="M1508" s="42"/>
      <c r="N1508" s="42"/>
      <c r="O1508" s="42"/>
      <c r="P1508" s="42"/>
      <c r="Q1508" s="42"/>
      <c r="R1508" s="176"/>
      <c r="S1508" s="42"/>
      <c r="T1508" s="42"/>
      <c r="U1508" s="46"/>
      <c r="V1508" s="42"/>
      <c r="W1508" s="42"/>
      <c r="X1508" s="42"/>
      <c r="Y1508" s="42"/>
      <c r="Z1508" s="42"/>
      <c r="AA1508" s="42"/>
      <c r="AB1508" s="42"/>
      <c r="AC1508" s="42"/>
      <c r="AD1508" s="42"/>
      <c r="AE1508" s="42"/>
      <c r="AF1508" s="42"/>
    </row>
    <row r="1509">
      <c r="A1509" s="25"/>
      <c r="B1509" s="297"/>
      <c r="C1509" s="25"/>
      <c r="D1509" s="25"/>
      <c r="E1509" s="25"/>
      <c r="F1509" s="25"/>
      <c r="G1509" s="123"/>
      <c r="H1509" s="123"/>
      <c r="I1509" s="25"/>
      <c r="J1509" s="25"/>
      <c r="K1509" s="367"/>
      <c r="L1509" s="42"/>
      <c r="M1509" s="42"/>
      <c r="N1509" s="42"/>
      <c r="O1509" s="42"/>
      <c r="P1509" s="42"/>
      <c r="Q1509" s="42"/>
      <c r="R1509" s="176"/>
      <c r="S1509" s="42"/>
      <c r="T1509" s="42"/>
      <c r="U1509" s="46"/>
      <c r="V1509" s="42"/>
      <c r="W1509" s="42"/>
      <c r="X1509" s="42"/>
      <c r="Y1509" s="42"/>
      <c r="Z1509" s="42"/>
      <c r="AA1509" s="42"/>
      <c r="AB1509" s="42"/>
      <c r="AC1509" s="42"/>
      <c r="AD1509" s="42"/>
      <c r="AE1509" s="42"/>
      <c r="AF1509" s="42"/>
    </row>
    <row r="1510">
      <c r="A1510" s="25"/>
      <c r="B1510" s="297"/>
      <c r="C1510" s="25"/>
      <c r="D1510" s="25"/>
      <c r="E1510" s="25"/>
      <c r="F1510" s="25"/>
      <c r="G1510" s="123"/>
      <c r="H1510" s="123"/>
      <c r="I1510" s="25"/>
      <c r="J1510" s="25"/>
      <c r="K1510" s="367"/>
      <c r="L1510" s="42"/>
      <c r="M1510" s="42"/>
      <c r="N1510" s="42"/>
      <c r="O1510" s="42"/>
      <c r="P1510" s="42"/>
      <c r="Q1510" s="42"/>
      <c r="R1510" s="176"/>
      <c r="S1510" s="42"/>
      <c r="T1510" s="42"/>
      <c r="U1510" s="46"/>
      <c r="V1510" s="42"/>
      <c r="W1510" s="42"/>
      <c r="X1510" s="42"/>
      <c r="Y1510" s="42"/>
      <c r="Z1510" s="42"/>
      <c r="AA1510" s="42"/>
      <c r="AB1510" s="42"/>
      <c r="AC1510" s="42"/>
      <c r="AD1510" s="42"/>
      <c r="AE1510" s="42"/>
      <c r="AF1510" s="42"/>
    </row>
    <row r="1511">
      <c r="A1511" s="25"/>
      <c r="B1511" s="297"/>
      <c r="C1511" s="25"/>
      <c r="D1511" s="25"/>
      <c r="E1511" s="25"/>
      <c r="F1511" s="25"/>
      <c r="G1511" s="123"/>
      <c r="H1511" s="123"/>
      <c r="I1511" s="25"/>
      <c r="J1511" s="25"/>
      <c r="K1511" s="367"/>
      <c r="L1511" s="42"/>
      <c r="M1511" s="42"/>
      <c r="N1511" s="42"/>
      <c r="O1511" s="42"/>
      <c r="P1511" s="42"/>
      <c r="Q1511" s="42"/>
      <c r="R1511" s="176"/>
      <c r="S1511" s="42"/>
      <c r="T1511" s="42"/>
      <c r="U1511" s="46"/>
      <c r="V1511" s="42"/>
      <c r="W1511" s="42"/>
      <c r="X1511" s="42"/>
      <c r="Y1511" s="42"/>
      <c r="Z1511" s="42"/>
      <c r="AA1511" s="42"/>
      <c r="AB1511" s="42"/>
      <c r="AC1511" s="42"/>
      <c r="AD1511" s="42"/>
      <c r="AE1511" s="42"/>
      <c r="AF1511" s="42"/>
    </row>
    <row r="1512">
      <c r="A1512" s="25"/>
      <c r="B1512" s="297"/>
      <c r="C1512" s="25"/>
      <c r="D1512" s="25"/>
      <c r="E1512" s="25"/>
      <c r="F1512" s="25"/>
      <c r="G1512" s="123"/>
      <c r="H1512" s="123"/>
      <c r="I1512" s="25"/>
      <c r="J1512" s="25"/>
      <c r="K1512" s="367"/>
      <c r="L1512" s="42"/>
      <c r="M1512" s="42"/>
      <c r="N1512" s="42"/>
      <c r="O1512" s="42"/>
      <c r="P1512" s="42"/>
      <c r="Q1512" s="42"/>
      <c r="R1512" s="176"/>
      <c r="S1512" s="42"/>
      <c r="T1512" s="42"/>
      <c r="U1512" s="46"/>
      <c r="V1512" s="42"/>
      <c r="W1512" s="42"/>
      <c r="X1512" s="42"/>
      <c r="Y1512" s="42"/>
      <c r="Z1512" s="42"/>
      <c r="AA1512" s="42"/>
      <c r="AB1512" s="42"/>
      <c r="AC1512" s="42"/>
      <c r="AD1512" s="42"/>
      <c r="AE1512" s="42"/>
      <c r="AF1512" s="42"/>
    </row>
    <row r="1513">
      <c r="A1513" s="25"/>
      <c r="B1513" s="297"/>
      <c r="C1513" s="25"/>
      <c r="D1513" s="25"/>
      <c r="E1513" s="25"/>
      <c r="F1513" s="25"/>
      <c r="G1513" s="123"/>
      <c r="H1513" s="123"/>
      <c r="I1513" s="25"/>
      <c r="J1513" s="25"/>
      <c r="K1513" s="367"/>
      <c r="L1513" s="42"/>
      <c r="M1513" s="42"/>
      <c r="N1513" s="42"/>
      <c r="O1513" s="42"/>
      <c r="P1513" s="42"/>
      <c r="Q1513" s="42"/>
      <c r="R1513" s="176"/>
      <c r="S1513" s="42"/>
      <c r="T1513" s="42"/>
      <c r="U1513" s="46"/>
      <c r="V1513" s="42"/>
      <c r="W1513" s="42"/>
      <c r="X1513" s="42"/>
      <c r="Y1513" s="42"/>
      <c r="Z1513" s="42"/>
      <c r="AA1513" s="42"/>
      <c r="AB1513" s="42"/>
      <c r="AC1513" s="42"/>
      <c r="AD1513" s="42"/>
      <c r="AE1513" s="42"/>
      <c r="AF1513" s="42"/>
    </row>
    <row r="1514">
      <c r="A1514" s="25"/>
      <c r="B1514" s="297"/>
      <c r="C1514" s="25"/>
      <c r="D1514" s="25"/>
      <c r="E1514" s="25"/>
      <c r="F1514" s="25"/>
      <c r="G1514" s="123"/>
      <c r="H1514" s="123"/>
      <c r="I1514" s="25"/>
      <c r="J1514" s="25"/>
      <c r="K1514" s="367"/>
      <c r="L1514" s="42"/>
      <c r="M1514" s="42"/>
      <c r="N1514" s="42"/>
      <c r="O1514" s="42"/>
      <c r="P1514" s="42"/>
      <c r="Q1514" s="42"/>
      <c r="R1514" s="176"/>
      <c r="S1514" s="42"/>
      <c r="T1514" s="42"/>
      <c r="U1514" s="46"/>
      <c r="V1514" s="42"/>
      <c r="W1514" s="42"/>
      <c r="X1514" s="42"/>
      <c r="Y1514" s="42"/>
      <c r="Z1514" s="42"/>
      <c r="AA1514" s="42"/>
      <c r="AB1514" s="42"/>
      <c r="AC1514" s="42"/>
      <c r="AD1514" s="42"/>
      <c r="AE1514" s="42"/>
      <c r="AF1514" s="42"/>
    </row>
    <row r="1515">
      <c r="A1515" s="25"/>
      <c r="B1515" s="297"/>
      <c r="C1515" s="25"/>
      <c r="D1515" s="25"/>
      <c r="E1515" s="25"/>
      <c r="F1515" s="25"/>
      <c r="G1515" s="123"/>
      <c r="H1515" s="123"/>
      <c r="I1515" s="25"/>
      <c r="J1515" s="25"/>
      <c r="K1515" s="367"/>
      <c r="L1515" s="42"/>
      <c r="M1515" s="42"/>
      <c r="N1515" s="42"/>
      <c r="O1515" s="42"/>
      <c r="P1515" s="42"/>
      <c r="Q1515" s="42"/>
      <c r="R1515" s="176"/>
      <c r="S1515" s="42"/>
      <c r="T1515" s="42"/>
      <c r="U1515" s="46"/>
      <c r="V1515" s="42"/>
      <c r="W1515" s="42"/>
      <c r="X1515" s="42"/>
      <c r="Y1515" s="42"/>
      <c r="Z1515" s="42"/>
      <c r="AA1515" s="42"/>
      <c r="AB1515" s="42"/>
      <c r="AC1515" s="42"/>
      <c r="AD1515" s="42"/>
      <c r="AE1515" s="42"/>
      <c r="AF1515" s="42"/>
    </row>
    <row r="1516">
      <c r="A1516" s="25"/>
      <c r="B1516" s="297"/>
      <c r="C1516" s="25"/>
      <c r="D1516" s="25"/>
      <c r="E1516" s="25"/>
      <c r="F1516" s="25"/>
      <c r="G1516" s="123"/>
      <c r="H1516" s="123"/>
      <c r="I1516" s="25"/>
      <c r="J1516" s="25"/>
      <c r="K1516" s="367"/>
      <c r="L1516" s="42"/>
      <c r="M1516" s="42"/>
      <c r="N1516" s="42"/>
      <c r="O1516" s="42"/>
      <c r="P1516" s="42"/>
      <c r="Q1516" s="42"/>
      <c r="R1516" s="176"/>
      <c r="S1516" s="42"/>
      <c r="T1516" s="42"/>
      <c r="U1516" s="46"/>
      <c r="V1516" s="42"/>
      <c r="W1516" s="42"/>
      <c r="X1516" s="42"/>
      <c r="Y1516" s="42"/>
      <c r="Z1516" s="42"/>
      <c r="AA1516" s="42"/>
      <c r="AB1516" s="42"/>
      <c r="AC1516" s="42"/>
      <c r="AD1516" s="42"/>
      <c r="AE1516" s="42"/>
      <c r="AF1516" s="42"/>
    </row>
    <row r="1517">
      <c r="A1517" s="25"/>
      <c r="B1517" s="297"/>
      <c r="C1517" s="25"/>
      <c r="D1517" s="25"/>
      <c r="E1517" s="25"/>
      <c r="F1517" s="25"/>
      <c r="G1517" s="123"/>
      <c r="H1517" s="123"/>
      <c r="I1517" s="25"/>
      <c r="J1517" s="25"/>
      <c r="K1517" s="367"/>
      <c r="L1517" s="42"/>
      <c r="M1517" s="42"/>
      <c r="N1517" s="42"/>
      <c r="O1517" s="42"/>
      <c r="P1517" s="42"/>
      <c r="Q1517" s="42"/>
      <c r="R1517" s="176"/>
      <c r="S1517" s="42"/>
      <c r="T1517" s="42"/>
      <c r="U1517" s="46"/>
      <c r="V1517" s="42"/>
      <c r="W1517" s="42"/>
      <c r="X1517" s="42"/>
      <c r="Y1517" s="42"/>
      <c r="Z1517" s="42"/>
      <c r="AA1517" s="42"/>
      <c r="AB1517" s="42"/>
      <c r="AC1517" s="42"/>
      <c r="AD1517" s="42"/>
      <c r="AE1517" s="42"/>
      <c r="AF1517" s="42"/>
    </row>
    <row r="1518">
      <c r="A1518" s="25"/>
      <c r="B1518" s="297"/>
      <c r="C1518" s="25"/>
      <c r="D1518" s="25"/>
      <c r="E1518" s="25"/>
      <c r="F1518" s="25"/>
      <c r="G1518" s="123"/>
      <c r="H1518" s="123"/>
      <c r="I1518" s="25"/>
      <c r="J1518" s="25"/>
      <c r="K1518" s="367"/>
      <c r="L1518" s="42"/>
      <c r="M1518" s="42"/>
      <c r="N1518" s="42"/>
      <c r="O1518" s="42"/>
      <c r="P1518" s="42"/>
      <c r="Q1518" s="42"/>
      <c r="R1518" s="176"/>
      <c r="S1518" s="42"/>
      <c r="T1518" s="42"/>
      <c r="U1518" s="46"/>
      <c r="V1518" s="42"/>
      <c r="W1518" s="42"/>
      <c r="X1518" s="42"/>
      <c r="Y1518" s="42"/>
      <c r="Z1518" s="42"/>
      <c r="AA1518" s="42"/>
      <c r="AB1518" s="42"/>
      <c r="AC1518" s="42"/>
      <c r="AD1518" s="42"/>
      <c r="AE1518" s="42"/>
      <c r="AF1518" s="42"/>
    </row>
    <row r="1519">
      <c r="A1519" s="25"/>
      <c r="B1519" s="297"/>
      <c r="C1519" s="25"/>
      <c r="D1519" s="25"/>
      <c r="E1519" s="25"/>
      <c r="F1519" s="25"/>
      <c r="G1519" s="123"/>
      <c r="H1519" s="123"/>
      <c r="I1519" s="25"/>
      <c r="J1519" s="25"/>
      <c r="K1519" s="367"/>
      <c r="L1519" s="42"/>
      <c r="M1519" s="42"/>
      <c r="N1519" s="42"/>
      <c r="O1519" s="42"/>
      <c r="P1519" s="42"/>
      <c r="Q1519" s="42"/>
      <c r="R1519" s="176"/>
      <c r="S1519" s="42"/>
      <c r="T1519" s="42"/>
      <c r="U1519" s="46"/>
      <c r="V1519" s="42"/>
      <c r="W1519" s="42"/>
      <c r="X1519" s="42"/>
      <c r="Y1519" s="42"/>
      <c r="Z1519" s="42"/>
      <c r="AA1519" s="42"/>
      <c r="AB1519" s="42"/>
      <c r="AC1519" s="42"/>
      <c r="AD1519" s="42"/>
      <c r="AE1519" s="42"/>
      <c r="AF1519" s="42"/>
    </row>
    <row r="1520">
      <c r="A1520" s="25"/>
      <c r="B1520" s="297"/>
      <c r="C1520" s="25"/>
      <c r="D1520" s="25"/>
      <c r="E1520" s="25"/>
      <c r="F1520" s="25"/>
      <c r="G1520" s="123"/>
      <c r="H1520" s="123"/>
      <c r="I1520" s="25"/>
      <c r="J1520" s="25"/>
      <c r="K1520" s="367"/>
      <c r="L1520" s="42"/>
      <c r="M1520" s="42"/>
      <c r="N1520" s="42"/>
      <c r="O1520" s="42"/>
      <c r="P1520" s="42"/>
      <c r="Q1520" s="42"/>
      <c r="R1520" s="176"/>
      <c r="S1520" s="42"/>
      <c r="T1520" s="42"/>
      <c r="U1520" s="46"/>
      <c r="V1520" s="42"/>
      <c r="W1520" s="42"/>
      <c r="X1520" s="42"/>
      <c r="Y1520" s="42"/>
      <c r="Z1520" s="42"/>
      <c r="AA1520" s="42"/>
      <c r="AB1520" s="42"/>
      <c r="AC1520" s="42"/>
      <c r="AD1520" s="42"/>
      <c r="AE1520" s="42"/>
      <c r="AF1520" s="42"/>
    </row>
    <row r="1521">
      <c r="A1521" s="25"/>
      <c r="B1521" s="297"/>
      <c r="C1521" s="25"/>
      <c r="D1521" s="25"/>
      <c r="E1521" s="25"/>
      <c r="F1521" s="25"/>
      <c r="G1521" s="123"/>
      <c r="H1521" s="123"/>
      <c r="I1521" s="25"/>
      <c r="J1521" s="25"/>
      <c r="K1521" s="367"/>
      <c r="L1521" s="42"/>
      <c r="M1521" s="42"/>
      <c r="N1521" s="42"/>
      <c r="O1521" s="42"/>
      <c r="P1521" s="42"/>
      <c r="Q1521" s="42"/>
      <c r="R1521" s="176"/>
      <c r="S1521" s="42"/>
      <c r="T1521" s="42"/>
      <c r="U1521" s="46"/>
      <c r="V1521" s="42"/>
      <c r="W1521" s="42"/>
      <c r="X1521" s="42"/>
      <c r="Y1521" s="42"/>
      <c r="Z1521" s="42"/>
      <c r="AA1521" s="42"/>
      <c r="AB1521" s="42"/>
      <c r="AC1521" s="42"/>
      <c r="AD1521" s="42"/>
      <c r="AE1521" s="42"/>
      <c r="AF1521" s="42"/>
    </row>
    <row r="1522">
      <c r="A1522" s="25"/>
      <c r="B1522" s="297"/>
      <c r="C1522" s="25"/>
      <c r="D1522" s="25"/>
      <c r="E1522" s="25"/>
      <c r="F1522" s="25"/>
      <c r="G1522" s="123"/>
      <c r="H1522" s="123"/>
      <c r="I1522" s="25"/>
      <c r="J1522" s="25"/>
      <c r="K1522" s="367"/>
      <c r="L1522" s="42"/>
      <c r="M1522" s="42"/>
      <c r="N1522" s="42"/>
      <c r="O1522" s="42"/>
      <c r="P1522" s="42"/>
      <c r="Q1522" s="42"/>
      <c r="R1522" s="176"/>
      <c r="S1522" s="42"/>
      <c r="T1522" s="42"/>
      <c r="U1522" s="46"/>
      <c r="V1522" s="42"/>
      <c r="W1522" s="42"/>
      <c r="X1522" s="42"/>
      <c r="Y1522" s="42"/>
      <c r="Z1522" s="42"/>
      <c r="AA1522" s="42"/>
      <c r="AB1522" s="42"/>
      <c r="AC1522" s="42"/>
      <c r="AD1522" s="42"/>
      <c r="AE1522" s="42"/>
      <c r="AF1522" s="42"/>
    </row>
    <row r="1523">
      <c r="A1523" s="25"/>
      <c r="B1523" s="297"/>
      <c r="C1523" s="25"/>
      <c r="D1523" s="25"/>
      <c r="E1523" s="25"/>
      <c r="F1523" s="25"/>
      <c r="G1523" s="123"/>
      <c r="H1523" s="123"/>
      <c r="I1523" s="25"/>
      <c r="J1523" s="25"/>
      <c r="K1523" s="367"/>
      <c r="L1523" s="42"/>
      <c r="M1523" s="42"/>
      <c r="N1523" s="42"/>
      <c r="O1523" s="42"/>
      <c r="P1523" s="42"/>
      <c r="Q1523" s="42"/>
      <c r="R1523" s="176"/>
      <c r="S1523" s="42"/>
      <c r="T1523" s="42"/>
      <c r="U1523" s="46"/>
      <c r="V1523" s="42"/>
      <c r="W1523" s="42"/>
      <c r="X1523" s="42"/>
      <c r="Y1523" s="42"/>
      <c r="Z1523" s="42"/>
      <c r="AA1523" s="42"/>
      <c r="AB1523" s="42"/>
      <c r="AC1523" s="42"/>
      <c r="AD1523" s="42"/>
      <c r="AE1523" s="42"/>
      <c r="AF1523" s="42"/>
    </row>
    <row r="1524">
      <c r="A1524" s="25"/>
      <c r="B1524" s="297"/>
      <c r="C1524" s="25"/>
      <c r="D1524" s="25"/>
      <c r="E1524" s="25"/>
      <c r="F1524" s="25"/>
      <c r="G1524" s="123"/>
      <c r="H1524" s="123"/>
      <c r="I1524" s="25"/>
      <c r="J1524" s="25"/>
      <c r="K1524" s="367"/>
      <c r="L1524" s="42"/>
      <c r="M1524" s="42"/>
      <c r="N1524" s="42"/>
      <c r="O1524" s="42"/>
      <c r="P1524" s="42"/>
      <c r="Q1524" s="42"/>
      <c r="R1524" s="176"/>
      <c r="S1524" s="42"/>
      <c r="T1524" s="42"/>
      <c r="U1524" s="46"/>
      <c r="V1524" s="42"/>
      <c r="W1524" s="42"/>
      <c r="X1524" s="42"/>
      <c r="Y1524" s="42"/>
      <c r="Z1524" s="42"/>
      <c r="AA1524" s="42"/>
      <c r="AB1524" s="42"/>
      <c r="AC1524" s="42"/>
      <c r="AD1524" s="42"/>
      <c r="AE1524" s="42"/>
      <c r="AF1524" s="42"/>
    </row>
    <row r="1525">
      <c r="A1525" s="25"/>
      <c r="B1525" s="297"/>
      <c r="C1525" s="25"/>
      <c r="D1525" s="25"/>
      <c r="E1525" s="25"/>
      <c r="F1525" s="25"/>
      <c r="G1525" s="123"/>
      <c r="H1525" s="123"/>
      <c r="I1525" s="25"/>
      <c r="J1525" s="25"/>
      <c r="K1525" s="367"/>
      <c r="L1525" s="42"/>
      <c r="M1525" s="42"/>
      <c r="N1525" s="42"/>
      <c r="O1525" s="42"/>
      <c r="P1525" s="42"/>
      <c r="Q1525" s="42"/>
      <c r="R1525" s="176"/>
      <c r="S1525" s="42"/>
      <c r="T1525" s="42"/>
      <c r="U1525" s="46"/>
      <c r="V1525" s="42"/>
      <c r="W1525" s="42"/>
      <c r="X1525" s="42"/>
      <c r="Y1525" s="42"/>
      <c r="Z1525" s="42"/>
      <c r="AA1525" s="42"/>
      <c r="AB1525" s="42"/>
      <c r="AC1525" s="42"/>
      <c r="AD1525" s="42"/>
      <c r="AE1525" s="42"/>
      <c r="AF1525" s="42"/>
    </row>
    <row r="1526">
      <c r="A1526" s="25"/>
      <c r="B1526" s="297"/>
      <c r="C1526" s="25"/>
      <c r="D1526" s="25"/>
      <c r="E1526" s="25"/>
      <c r="F1526" s="25"/>
      <c r="G1526" s="123"/>
      <c r="H1526" s="123"/>
      <c r="I1526" s="25"/>
      <c r="J1526" s="25"/>
      <c r="K1526" s="367"/>
      <c r="L1526" s="42"/>
      <c r="M1526" s="42"/>
      <c r="N1526" s="42"/>
      <c r="O1526" s="42"/>
      <c r="P1526" s="42"/>
      <c r="Q1526" s="42"/>
      <c r="R1526" s="176"/>
      <c r="S1526" s="42"/>
      <c r="T1526" s="42"/>
      <c r="U1526" s="46"/>
      <c r="V1526" s="42"/>
      <c r="W1526" s="42"/>
      <c r="X1526" s="42"/>
      <c r="Y1526" s="42"/>
      <c r="Z1526" s="42"/>
      <c r="AA1526" s="42"/>
      <c r="AB1526" s="42"/>
      <c r="AC1526" s="42"/>
      <c r="AD1526" s="42"/>
      <c r="AE1526" s="42"/>
      <c r="AF1526" s="42"/>
    </row>
    <row r="1527">
      <c r="A1527" s="25"/>
      <c r="B1527" s="297"/>
      <c r="C1527" s="25"/>
      <c r="D1527" s="25"/>
      <c r="E1527" s="25"/>
      <c r="F1527" s="25"/>
      <c r="G1527" s="123"/>
      <c r="H1527" s="123"/>
      <c r="I1527" s="25"/>
      <c r="J1527" s="25"/>
      <c r="K1527" s="367"/>
      <c r="L1527" s="42"/>
      <c r="M1527" s="42"/>
      <c r="N1527" s="42"/>
      <c r="O1527" s="42"/>
      <c r="P1527" s="42"/>
      <c r="Q1527" s="42"/>
      <c r="R1527" s="176"/>
      <c r="S1527" s="42"/>
      <c r="T1527" s="42"/>
      <c r="U1527" s="46"/>
      <c r="V1527" s="42"/>
      <c r="W1527" s="42"/>
      <c r="X1527" s="42"/>
      <c r="Y1527" s="42"/>
      <c r="Z1527" s="42"/>
      <c r="AA1527" s="42"/>
      <c r="AB1527" s="42"/>
      <c r="AC1527" s="42"/>
      <c r="AD1527" s="42"/>
      <c r="AE1527" s="42"/>
      <c r="AF1527" s="42"/>
    </row>
    <row r="1528">
      <c r="A1528" s="25"/>
      <c r="B1528" s="297"/>
      <c r="C1528" s="25"/>
      <c r="D1528" s="25"/>
      <c r="E1528" s="25"/>
      <c r="F1528" s="25"/>
      <c r="G1528" s="123"/>
      <c r="H1528" s="123"/>
      <c r="I1528" s="25"/>
      <c r="J1528" s="25"/>
      <c r="K1528" s="367"/>
      <c r="L1528" s="42"/>
      <c r="M1528" s="42"/>
      <c r="N1528" s="42"/>
      <c r="O1528" s="42"/>
      <c r="P1528" s="42"/>
      <c r="Q1528" s="42"/>
      <c r="R1528" s="176"/>
      <c r="S1528" s="42"/>
      <c r="T1528" s="42"/>
      <c r="U1528" s="46"/>
      <c r="V1528" s="42"/>
      <c r="W1528" s="42"/>
      <c r="X1528" s="42"/>
      <c r="Y1528" s="42"/>
      <c r="Z1528" s="42"/>
      <c r="AA1528" s="42"/>
      <c r="AB1528" s="42"/>
      <c r="AC1528" s="42"/>
      <c r="AD1528" s="42"/>
      <c r="AE1528" s="42"/>
      <c r="AF1528" s="42"/>
    </row>
    <row r="1529">
      <c r="A1529" s="25"/>
      <c r="B1529" s="297"/>
      <c r="C1529" s="25"/>
      <c r="D1529" s="25"/>
      <c r="E1529" s="25"/>
      <c r="F1529" s="25"/>
      <c r="G1529" s="123"/>
      <c r="H1529" s="123"/>
      <c r="I1529" s="25"/>
      <c r="J1529" s="25"/>
      <c r="K1529" s="367"/>
      <c r="L1529" s="42"/>
      <c r="M1529" s="42"/>
      <c r="N1529" s="42"/>
      <c r="O1529" s="42"/>
      <c r="P1529" s="42"/>
      <c r="Q1529" s="42"/>
      <c r="R1529" s="176"/>
      <c r="S1529" s="42"/>
      <c r="T1529" s="42"/>
      <c r="U1529" s="46"/>
      <c r="V1529" s="42"/>
      <c r="W1529" s="42"/>
      <c r="X1529" s="42"/>
      <c r="Y1529" s="42"/>
      <c r="Z1529" s="42"/>
      <c r="AA1529" s="42"/>
      <c r="AB1529" s="42"/>
      <c r="AC1529" s="42"/>
      <c r="AD1529" s="42"/>
      <c r="AE1529" s="42"/>
      <c r="AF1529" s="42"/>
    </row>
    <row r="1530">
      <c r="A1530" s="25"/>
      <c r="B1530" s="297"/>
      <c r="C1530" s="25"/>
      <c r="D1530" s="25"/>
      <c r="E1530" s="25"/>
      <c r="F1530" s="25"/>
      <c r="G1530" s="123"/>
      <c r="H1530" s="123"/>
      <c r="I1530" s="25"/>
      <c r="J1530" s="25"/>
      <c r="K1530" s="367"/>
      <c r="L1530" s="42"/>
      <c r="M1530" s="42"/>
      <c r="N1530" s="42"/>
      <c r="O1530" s="42"/>
      <c r="P1530" s="42"/>
      <c r="Q1530" s="42"/>
      <c r="R1530" s="176"/>
      <c r="S1530" s="42"/>
      <c r="T1530" s="42"/>
      <c r="U1530" s="46"/>
      <c r="V1530" s="42"/>
      <c r="W1530" s="42"/>
      <c r="X1530" s="42"/>
      <c r="Y1530" s="42"/>
      <c r="Z1530" s="42"/>
      <c r="AA1530" s="42"/>
      <c r="AB1530" s="42"/>
      <c r="AC1530" s="42"/>
      <c r="AD1530" s="42"/>
      <c r="AE1530" s="42"/>
      <c r="AF1530" s="42"/>
    </row>
    <row r="1531">
      <c r="A1531" s="25"/>
      <c r="B1531" s="297"/>
      <c r="C1531" s="25"/>
      <c r="D1531" s="25"/>
      <c r="E1531" s="25"/>
      <c r="F1531" s="25"/>
      <c r="G1531" s="123"/>
      <c r="H1531" s="123"/>
      <c r="I1531" s="25"/>
      <c r="J1531" s="25"/>
      <c r="K1531" s="367"/>
      <c r="L1531" s="42"/>
      <c r="M1531" s="42"/>
      <c r="N1531" s="42"/>
      <c r="O1531" s="42"/>
      <c r="P1531" s="42"/>
      <c r="Q1531" s="42"/>
      <c r="R1531" s="176"/>
      <c r="S1531" s="42"/>
      <c r="T1531" s="42"/>
      <c r="U1531" s="46"/>
      <c r="V1531" s="42"/>
      <c r="W1531" s="42"/>
      <c r="X1531" s="42"/>
      <c r="Y1531" s="42"/>
      <c r="Z1531" s="42"/>
      <c r="AA1531" s="42"/>
      <c r="AB1531" s="42"/>
      <c r="AC1531" s="42"/>
      <c r="AD1531" s="42"/>
      <c r="AE1531" s="42"/>
      <c r="AF1531" s="42"/>
    </row>
    <row r="1532">
      <c r="A1532" s="25"/>
      <c r="B1532" s="297"/>
      <c r="C1532" s="25"/>
      <c r="D1532" s="25"/>
      <c r="E1532" s="25"/>
      <c r="F1532" s="25"/>
      <c r="G1532" s="123"/>
      <c r="H1532" s="123"/>
      <c r="I1532" s="25"/>
      <c r="J1532" s="25"/>
      <c r="K1532" s="367"/>
      <c r="L1532" s="42"/>
      <c r="M1532" s="42"/>
      <c r="N1532" s="42"/>
      <c r="O1532" s="42"/>
      <c r="P1532" s="42"/>
      <c r="Q1532" s="42"/>
      <c r="R1532" s="176"/>
      <c r="S1532" s="42"/>
      <c r="T1532" s="42"/>
      <c r="U1532" s="46"/>
      <c r="V1532" s="42"/>
      <c r="W1532" s="42"/>
      <c r="X1532" s="42"/>
      <c r="Y1532" s="42"/>
      <c r="Z1532" s="42"/>
      <c r="AA1532" s="42"/>
      <c r="AB1532" s="42"/>
      <c r="AC1532" s="42"/>
      <c r="AD1532" s="42"/>
      <c r="AE1532" s="42"/>
      <c r="AF1532" s="42"/>
    </row>
    <row r="1533">
      <c r="A1533" s="25"/>
      <c r="B1533" s="297"/>
      <c r="C1533" s="25"/>
      <c r="D1533" s="25"/>
      <c r="E1533" s="25"/>
      <c r="F1533" s="25"/>
      <c r="G1533" s="123"/>
      <c r="H1533" s="123"/>
      <c r="I1533" s="25"/>
      <c r="J1533" s="25"/>
      <c r="K1533" s="367"/>
      <c r="L1533" s="42"/>
      <c r="M1533" s="42"/>
      <c r="N1533" s="42"/>
      <c r="O1533" s="42"/>
      <c r="P1533" s="42"/>
      <c r="Q1533" s="42"/>
      <c r="R1533" s="176"/>
      <c r="S1533" s="42"/>
      <c r="T1533" s="42"/>
      <c r="U1533" s="46"/>
      <c r="V1533" s="42"/>
      <c r="W1533" s="42"/>
      <c r="X1533" s="42"/>
      <c r="Y1533" s="42"/>
      <c r="Z1533" s="42"/>
      <c r="AA1533" s="42"/>
      <c r="AB1533" s="42"/>
      <c r="AC1533" s="42"/>
      <c r="AD1533" s="42"/>
      <c r="AE1533" s="42"/>
      <c r="AF1533" s="42"/>
    </row>
    <row r="1534">
      <c r="A1534" s="25"/>
      <c r="B1534" s="297"/>
      <c r="C1534" s="25"/>
      <c r="D1534" s="25"/>
      <c r="E1534" s="25"/>
      <c r="F1534" s="25"/>
      <c r="G1534" s="123"/>
      <c r="H1534" s="123"/>
      <c r="I1534" s="25"/>
      <c r="J1534" s="25"/>
      <c r="K1534" s="367"/>
      <c r="L1534" s="42"/>
      <c r="M1534" s="42"/>
      <c r="N1534" s="42"/>
      <c r="O1534" s="42"/>
      <c r="P1534" s="42"/>
      <c r="Q1534" s="42"/>
      <c r="R1534" s="176"/>
      <c r="S1534" s="42"/>
      <c r="T1534" s="42"/>
      <c r="U1534" s="46"/>
      <c r="V1534" s="42"/>
      <c r="W1534" s="42"/>
      <c r="X1534" s="42"/>
      <c r="Y1534" s="42"/>
      <c r="Z1534" s="42"/>
      <c r="AA1534" s="42"/>
      <c r="AB1534" s="42"/>
      <c r="AC1534" s="42"/>
      <c r="AD1534" s="42"/>
      <c r="AE1534" s="42"/>
      <c r="AF1534" s="42"/>
    </row>
    <row r="1535">
      <c r="A1535" s="25"/>
      <c r="B1535" s="297"/>
      <c r="C1535" s="25"/>
      <c r="D1535" s="25"/>
      <c r="E1535" s="25"/>
      <c r="F1535" s="25"/>
      <c r="G1535" s="123"/>
      <c r="H1535" s="123"/>
      <c r="I1535" s="25"/>
      <c r="J1535" s="25"/>
      <c r="K1535" s="367"/>
      <c r="L1535" s="42"/>
      <c r="M1535" s="42"/>
      <c r="N1535" s="42"/>
      <c r="O1535" s="42"/>
      <c r="P1535" s="42"/>
      <c r="Q1535" s="42"/>
      <c r="R1535" s="176"/>
      <c r="S1535" s="42"/>
      <c r="T1535" s="42"/>
      <c r="U1535" s="46"/>
      <c r="V1535" s="42"/>
      <c r="W1535" s="42"/>
      <c r="X1535" s="42"/>
      <c r="Y1535" s="42"/>
      <c r="Z1535" s="42"/>
      <c r="AA1535" s="42"/>
      <c r="AB1535" s="42"/>
      <c r="AC1535" s="42"/>
      <c r="AD1535" s="42"/>
      <c r="AE1535" s="42"/>
      <c r="AF1535" s="42"/>
    </row>
    <row r="1536">
      <c r="A1536" s="25"/>
      <c r="B1536" s="297"/>
      <c r="C1536" s="25"/>
      <c r="D1536" s="25"/>
      <c r="E1536" s="25"/>
      <c r="F1536" s="25"/>
      <c r="G1536" s="123"/>
      <c r="H1536" s="123"/>
      <c r="I1536" s="25"/>
      <c r="J1536" s="25"/>
      <c r="K1536" s="367"/>
      <c r="L1536" s="42"/>
      <c r="M1536" s="42"/>
      <c r="N1536" s="42"/>
      <c r="O1536" s="42"/>
      <c r="P1536" s="42"/>
      <c r="Q1536" s="42"/>
      <c r="R1536" s="176"/>
      <c r="S1536" s="42"/>
      <c r="T1536" s="42"/>
      <c r="U1536" s="46"/>
      <c r="V1536" s="42"/>
      <c r="W1536" s="42"/>
      <c r="X1536" s="42"/>
      <c r="Y1536" s="42"/>
      <c r="Z1536" s="42"/>
      <c r="AA1536" s="42"/>
      <c r="AB1536" s="42"/>
      <c r="AC1536" s="42"/>
      <c r="AD1536" s="42"/>
      <c r="AE1536" s="42"/>
      <c r="AF1536" s="42"/>
    </row>
    <row r="1537">
      <c r="A1537" s="25"/>
      <c r="B1537" s="297"/>
      <c r="C1537" s="25"/>
      <c r="D1537" s="25"/>
      <c r="E1537" s="25"/>
      <c r="F1537" s="25"/>
      <c r="G1537" s="123"/>
      <c r="H1537" s="123"/>
      <c r="I1537" s="25"/>
      <c r="J1537" s="25"/>
      <c r="K1537" s="367"/>
      <c r="L1537" s="42"/>
      <c r="M1537" s="42"/>
      <c r="N1537" s="42"/>
      <c r="O1537" s="42"/>
      <c r="P1537" s="42"/>
      <c r="Q1537" s="42"/>
      <c r="R1537" s="176"/>
      <c r="S1537" s="42"/>
      <c r="T1537" s="42"/>
      <c r="U1537" s="46"/>
      <c r="V1537" s="42"/>
      <c r="W1537" s="42"/>
      <c r="X1537" s="42"/>
      <c r="Y1537" s="42"/>
      <c r="Z1537" s="42"/>
      <c r="AA1537" s="42"/>
      <c r="AB1537" s="42"/>
      <c r="AC1537" s="42"/>
      <c r="AD1537" s="42"/>
      <c r="AE1537" s="42"/>
      <c r="AF1537" s="42"/>
    </row>
    <row r="1538">
      <c r="A1538" s="25"/>
      <c r="B1538" s="297"/>
      <c r="C1538" s="25"/>
      <c r="D1538" s="25"/>
      <c r="E1538" s="25"/>
      <c r="F1538" s="25"/>
      <c r="G1538" s="123"/>
      <c r="H1538" s="123"/>
      <c r="I1538" s="25"/>
      <c r="J1538" s="25"/>
      <c r="K1538" s="367"/>
      <c r="L1538" s="42"/>
      <c r="M1538" s="42"/>
      <c r="N1538" s="42"/>
      <c r="O1538" s="42"/>
      <c r="P1538" s="42"/>
      <c r="Q1538" s="42"/>
      <c r="R1538" s="176"/>
      <c r="S1538" s="42"/>
      <c r="T1538" s="42"/>
      <c r="U1538" s="46"/>
      <c r="V1538" s="42"/>
      <c r="W1538" s="42"/>
      <c r="X1538" s="42"/>
      <c r="Y1538" s="42"/>
      <c r="Z1538" s="42"/>
      <c r="AA1538" s="42"/>
      <c r="AB1538" s="42"/>
      <c r="AC1538" s="42"/>
      <c r="AD1538" s="42"/>
      <c r="AE1538" s="42"/>
      <c r="AF1538" s="42"/>
    </row>
    <row r="1539">
      <c r="A1539" s="25"/>
      <c r="B1539" s="297"/>
      <c r="C1539" s="25"/>
      <c r="D1539" s="25"/>
      <c r="E1539" s="25"/>
      <c r="F1539" s="25"/>
      <c r="G1539" s="123"/>
      <c r="H1539" s="123"/>
      <c r="I1539" s="25"/>
      <c r="J1539" s="25"/>
      <c r="K1539" s="367"/>
      <c r="L1539" s="42"/>
      <c r="M1539" s="42"/>
      <c r="N1539" s="42"/>
      <c r="O1539" s="42"/>
      <c r="P1539" s="42"/>
      <c r="Q1539" s="42"/>
      <c r="R1539" s="176"/>
      <c r="S1539" s="42"/>
      <c r="T1539" s="42"/>
      <c r="U1539" s="46"/>
      <c r="V1539" s="42"/>
      <c r="W1539" s="42"/>
      <c r="X1539" s="42"/>
      <c r="Y1539" s="42"/>
      <c r="Z1539" s="42"/>
      <c r="AA1539" s="42"/>
      <c r="AB1539" s="42"/>
      <c r="AC1539" s="42"/>
      <c r="AD1539" s="42"/>
      <c r="AE1539" s="42"/>
      <c r="AF1539" s="42"/>
    </row>
    <row r="1540">
      <c r="A1540" s="25"/>
      <c r="B1540" s="297"/>
      <c r="C1540" s="25"/>
      <c r="D1540" s="25"/>
      <c r="E1540" s="25"/>
      <c r="F1540" s="25"/>
      <c r="G1540" s="123"/>
      <c r="H1540" s="123"/>
      <c r="I1540" s="25"/>
      <c r="J1540" s="25"/>
      <c r="K1540" s="367"/>
      <c r="L1540" s="42"/>
      <c r="M1540" s="42"/>
      <c r="N1540" s="42"/>
      <c r="O1540" s="42"/>
      <c r="P1540" s="42"/>
      <c r="Q1540" s="42"/>
      <c r="R1540" s="176"/>
      <c r="S1540" s="42"/>
      <c r="T1540" s="42"/>
      <c r="U1540" s="46"/>
      <c r="V1540" s="42"/>
      <c r="W1540" s="42"/>
      <c r="X1540" s="42"/>
      <c r="Y1540" s="42"/>
      <c r="Z1540" s="42"/>
      <c r="AA1540" s="42"/>
      <c r="AB1540" s="42"/>
      <c r="AC1540" s="42"/>
      <c r="AD1540" s="42"/>
      <c r="AE1540" s="42"/>
      <c r="AF1540" s="42"/>
    </row>
    <row r="1541">
      <c r="A1541" s="25"/>
      <c r="B1541" s="297"/>
      <c r="C1541" s="25"/>
      <c r="D1541" s="25"/>
      <c r="E1541" s="25"/>
      <c r="F1541" s="25"/>
      <c r="G1541" s="123"/>
      <c r="H1541" s="123"/>
      <c r="I1541" s="25"/>
      <c r="J1541" s="25"/>
      <c r="K1541" s="367"/>
      <c r="L1541" s="42"/>
      <c r="M1541" s="42"/>
      <c r="N1541" s="42"/>
      <c r="O1541" s="42"/>
      <c r="P1541" s="42"/>
      <c r="Q1541" s="42"/>
      <c r="R1541" s="176"/>
      <c r="S1541" s="42"/>
      <c r="T1541" s="42"/>
      <c r="U1541" s="46"/>
      <c r="V1541" s="42"/>
      <c r="W1541" s="42"/>
      <c r="X1541" s="42"/>
      <c r="Y1541" s="42"/>
      <c r="Z1541" s="42"/>
      <c r="AA1541" s="42"/>
      <c r="AB1541" s="42"/>
      <c r="AC1541" s="42"/>
      <c r="AD1541" s="42"/>
      <c r="AE1541" s="42"/>
      <c r="AF1541" s="42"/>
    </row>
    <row r="1542">
      <c r="A1542" s="25"/>
      <c r="B1542" s="297"/>
      <c r="C1542" s="25"/>
      <c r="D1542" s="25"/>
      <c r="E1542" s="25"/>
      <c r="F1542" s="25"/>
      <c r="G1542" s="123"/>
      <c r="H1542" s="123"/>
      <c r="I1542" s="25"/>
      <c r="J1542" s="25"/>
      <c r="K1542" s="367"/>
      <c r="L1542" s="42"/>
      <c r="M1542" s="42"/>
      <c r="N1542" s="42"/>
      <c r="O1542" s="42"/>
      <c r="P1542" s="42"/>
      <c r="Q1542" s="42"/>
      <c r="R1542" s="176"/>
      <c r="S1542" s="42"/>
      <c r="T1542" s="42"/>
      <c r="U1542" s="46"/>
      <c r="V1542" s="42"/>
      <c r="W1542" s="42"/>
      <c r="X1542" s="42"/>
      <c r="Y1542" s="42"/>
      <c r="Z1542" s="42"/>
      <c r="AA1542" s="42"/>
      <c r="AB1542" s="42"/>
      <c r="AC1542" s="42"/>
      <c r="AD1542" s="42"/>
      <c r="AE1542" s="42"/>
      <c r="AF1542" s="42"/>
    </row>
    <row r="1543">
      <c r="A1543" s="25"/>
      <c r="B1543" s="297"/>
      <c r="C1543" s="25"/>
      <c r="D1543" s="25"/>
      <c r="E1543" s="25"/>
      <c r="F1543" s="25"/>
      <c r="G1543" s="123"/>
      <c r="H1543" s="123"/>
      <c r="I1543" s="25"/>
      <c r="J1543" s="25"/>
      <c r="K1543" s="367"/>
      <c r="L1543" s="42"/>
      <c r="M1543" s="42"/>
      <c r="N1543" s="42"/>
      <c r="O1543" s="42"/>
      <c r="P1543" s="42"/>
      <c r="Q1543" s="42"/>
      <c r="R1543" s="176"/>
      <c r="S1543" s="42"/>
      <c r="T1543" s="42"/>
      <c r="U1543" s="46"/>
      <c r="V1543" s="42"/>
      <c r="W1543" s="42"/>
      <c r="X1543" s="42"/>
      <c r="Y1543" s="42"/>
      <c r="Z1543" s="42"/>
      <c r="AA1543" s="42"/>
      <c r="AB1543" s="42"/>
      <c r="AC1543" s="42"/>
      <c r="AD1543" s="42"/>
      <c r="AE1543" s="42"/>
      <c r="AF1543" s="42"/>
    </row>
    <row r="1544">
      <c r="A1544" s="25"/>
      <c r="B1544" s="297"/>
      <c r="C1544" s="25"/>
      <c r="D1544" s="25"/>
      <c r="E1544" s="25"/>
      <c r="F1544" s="25"/>
      <c r="G1544" s="123"/>
      <c r="H1544" s="123"/>
      <c r="I1544" s="25"/>
      <c r="J1544" s="25"/>
      <c r="K1544" s="367"/>
      <c r="L1544" s="42"/>
      <c r="M1544" s="42"/>
      <c r="N1544" s="42"/>
      <c r="O1544" s="42"/>
      <c r="P1544" s="42"/>
      <c r="Q1544" s="42"/>
      <c r="R1544" s="176"/>
      <c r="S1544" s="42"/>
      <c r="T1544" s="42"/>
      <c r="U1544" s="46"/>
      <c r="V1544" s="42"/>
      <c r="W1544" s="42"/>
      <c r="X1544" s="42"/>
      <c r="Y1544" s="42"/>
      <c r="Z1544" s="42"/>
      <c r="AA1544" s="42"/>
      <c r="AB1544" s="42"/>
      <c r="AC1544" s="42"/>
      <c r="AD1544" s="42"/>
      <c r="AE1544" s="42"/>
      <c r="AF1544" s="42"/>
    </row>
    <row r="1545">
      <c r="A1545" s="25"/>
      <c r="B1545" s="297"/>
      <c r="C1545" s="25"/>
      <c r="D1545" s="25"/>
      <c r="E1545" s="25"/>
      <c r="F1545" s="25"/>
      <c r="G1545" s="123"/>
      <c r="H1545" s="123"/>
      <c r="I1545" s="25"/>
      <c r="J1545" s="25"/>
      <c r="K1545" s="367"/>
      <c r="L1545" s="42"/>
      <c r="M1545" s="42"/>
      <c r="N1545" s="42"/>
      <c r="O1545" s="42"/>
      <c r="P1545" s="42"/>
      <c r="Q1545" s="42"/>
      <c r="R1545" s="176"/>
      <c r="S1545" s="42"/>
      <c r="T1545" s="42"/>
      <c r="U1545" s="46"/>
      <c r="V1545" s="42"/>
      <c r="W1545" s="42"/>
      <c r="X1545" s="42"/>
      <c r="Y1545" s="42"/>
      <c r="Z1545" s="42"/>
      <c r="AA1545" s="42"/>
      <c r="AB1545" s="42"/>
      <c r="AC1545" s="42"/>
      <c r="AD1545" s="42"/>
      <c r="AE1545" s="42"/>
      <c r="AF1545" s="42"/>
    </row>
    <row r="1546">
      <c r="A1546" s="25"/>
      <c r="B1546" s="297"/>
      <c r="C1546" s="25"/>
      <c r="D1546" s="25"/>
      <c r="E1546" s="25"/>
      <c r="F1546" s="25"/>
      <c r="G1546" s="123"/>
      <c r="H1546" s="123"/>
      <c r="I1546" s="25"/>
      <c r="J1546" s="25"/>
      <c r="K1546" s="367"/>
      <c r="L1546" s="42"/>
      <c r="M1546" s="42"/>
      <c r="N1546" s="42"/>
      <c r="O1546" s="42"/>
      <c r="P1546" s="42"/>
      <c r="Q1546" s="42"/>
      <c r="R1546" s="176"/>
      <c r="S1546" s="42"/>
      <c r="T1546" s="42"/>
      <c r="U1546" s="46"/>
      <c r="V1546" s="42"/>
      <c r="W1546" s="42"/>
      <c r="X1546" s="42"/>
      <c r="Y1546" s="42"/>
      <c r="Z1546" s="42"/>
      <c r="AA1546" s="42"/>
      <c r="AB1546" s="42"/>
      <c r="AC1546" s="42"/>
      <c r="AD1546" s="42"/>
      <c r="AE1546" s="42"/>
      <c r="AF1546" s="42"/>
    </row>
    <row r="1547">
      <c r="A1547" s="25"/>
      <c r="B1547" s="297"/>
      <c r="C1547" s="25"/>
      <c r="D1547" s="25"/>
      <c r="E1547" s="25"/>
      <c r="F1547" s="25"/>
      <c r="G1547" s="123"/>
      <c r="H1547" s="123"/>
      <c r="I1547" s="25"/>
      <c r="J1547" s="25"/>
      <c r="K1547" s="367"/>
      <c r="L1547" s="42"/>
      <c r="M1547" s="42"/>
      <c r="N1547" s="42"/>
      <c r="O1547" s="42"/>
      <c r="P1547" s="42"/>
      <c r="Q1547" s="42"/>
      <c r="R1547" s="176"/>
      <c r="S1547" s="42"/>
      <c r="T1547" s="42"/>
      <c r="U1547" s="46"/>
      <c r="V1547" s="42"/>
      <c r="W1547" s="42"/>
      <c r="X1547" s="42"/>
      <c r="Y1547" s="42"/>
      <c r="Z1547" s="42"/>
      <c r="AA1547" s="42"/>
      <c r="AB1547" s="42"/>
      <c r="AC1547" s="42"/>
      <c r="AD1547" s="42"/>
      <c r="AE1547" s="42"/>
      <c r="AF1547" s="42"/>
    </row>
    <row r="1548">
      <c r="A1548" s="25"/>
      <c r="B1548" s="297"/>
      <c r="C1548" s="25"/>
      <c r="D1548" s="25"/>
      <c r="E1548" s="25"/>
      <c r="F1548" s="25"/>
      <c r="G1548" s="123"/>
      <c r="H1548" s="123"/>
      <c r="I1548" s="25"/>
      <c r="J1548" s="25"/>
      <c r="K1548" s="367"/>
      <c r="L1548" s="42"/>
      <c r="M1548" s="42"/>
      <c r="N1548" s="42"/>
      <c r="O1548" s="42"/>
      <c r="P1548" s="42"/>
      <c r="Q1548" s="42"/>
      <c r="R1548" s="176"/>
      <c r="S1548" s="42"/>
      <c r="T1548" s="42"/>
      <c r="U1548" s="46"/>
      <c r="V1548" s="42"/>
      <c r="W1548" s="42"/>
      <c r="X1548" s="42"/>
      <c r="Y1548" s="42"/>
      <c r="Z1548" s="42"/>
      <c r="AA1548" s="42"/>
      <c r="AB1548" s="42"/>
      <c r="AC1548" s="42"/>
      <c r="AD1548" s="42"/>
      <c r="AE1548" s="42"/>
      <c r="AF1548" s="42"/>
    </row>
    <row r="1549">
      <c r="A1549" s="25"/>
      <c r="B1549" s="297"/>
      <c r="C1549" s="25"/>
      <c r="D1549" s="25"/>
      <c r="E1549" s="25"/>
      <c r="F1549" s="25"/>
      <c r="G1549" s="123"/>
      <c r="H1549" s="123"/>
      <c r="I1549" s="25"/>
      <c r="J1549" s="25"/>
      <c r="K1549" s="367"/>
      <c r="L1549" s="42"/>
      <c r="M1549" s="42"/>
      <c r="N1549" s="42"/>
      <c r="O1549" s="42"/>
      <c r="P1549" s="42"/>
      <c r="Q1549" s="42"/>
      <c r="R1549" s="176"/>
      <c r="S1549" s="42"/>
      <c r="T1549" s="42"/>
      <c r="U1549" s="46"/>
      <c r="V1549" s="42"/>
      <c r="W1549" s="42"/>
      <c r="X1549" s="42"/>
      <c r="Y1549" s="42"/>
      <c r="Z1549" s="42"/>
      <c r="AA1549" s="42"/>
      <c r="AB1549" s="42"/>
      <c r="AC1549" s="42"/>
      <c r="AD1549" s="42"/>
      <c r="AE1549" s="42"/>
      <c r="AF1549" s="42"/>
    </row>
    <row r="1550">
      <c r="A1550" s="25"/>
      <c r="B1550" s="297"/>
      <c r="C1550" s="25"/>
      <c r="D1550" s="25"/>
      <c r="E1550" s="25"/>
      <c r="F1550" s="25"/>
      <c r="G1550" s="123"/>
      <c r="H1550" s="123"/>
      <c r="I1550" s="25"/>
      <c r="J1550" s="25"/>
      <c r="K1550" s="367"/>
      <c r="L1550" s="42"/>
      <c r="M1550" s="42"/>
      <c r="N1550" s="42"/>
      <c r="O1550" s="42"/>
      <c r="P1550" s="42"/>
      <c r="Q1550" s="42"/>
      <c r="R1550" s="176"/>
      <c r="S1550" s="42"/>
      <c r="T1550" s="42"/>
      <c r="U1550" s="46"/>
      <c r="V1550" s="42"/>
      <c r="W1550" s="42"/>
      <c r="X1550" s="42"/>
      <c r="Y1550" s="42"/>
      <c r="Z1550" s="42"/>
      <c r="AA1550" s="42"/>
      <c r="AB1550" s="42"/>
      <c r="AC1550" s="42"/>
      <c r="AD1550" s="42"/>
      <c r="AE1550" s="42"/>
      <c r="AF1550" s="42"/>
    </row>
    <row r="1551">
      <c r="A1551" s="25"/>
      <c r="B1551" s="297"/>
      <c r="C1551" s="25"/>
      <c r="D1551" s="25"/>
      <c r="E1551" s="25"/>
      <c r="F1551" s="25"/>
      <c r="G1551" s="123"/>
      <c r="H1551" s="123"/>
      <c r="I1551" s="25"/>
      <c r="J1551" s="25"/>
      <c r="K1551" s="367"/>
      <c r="L1551" s="42"/>
      <c r="M1551" s="42"/>
      <c r="N1551" s="42"/>
      <c r="O1551" s="42"/>
      <c r="P1551" s="42"/>
      <c r="Q1551" s="42"/>
      <c r="R1551" s="176"/>
      <c r="S1551" s="42"/>
      <c r="T1551" s="42"/>
      <c r="U1551" s="46"/>
      <c r="V1551" s="42"/>
      <c r="W1551" s="42"/>
      <c r="X1551" s="42"/>
      <c r="Y1551" s="42"/>
      <c r="Z1551" s="42"/>
      <c r="AA1551" s="42"/>
      <c r="AB1551" s="42"/>
      <c r="AC1551" s="42"/>
      <c r="AD1551" s="42"/>
      <c r="AE1551" s="42"/>
      <c r="AF1551" s="42"/>
    </row>
    <row r="1552">
      <c r="A1552" s="25"/>
      <c r="B1552" s="297"/>
      <c r="C1552" s="25"/>
      <c r="D1552" s="25"/>
      <c r="E1552" s="25"/>
      <c r="F1552" s="25"/>
      <c r="G1552" s="123"/>
      <c r="H1552" s="123"/>
      <c r="I1552" s="25"/>
      <c r="J1552" s="25"/>
      <c r="K1552" s="367"/>
      <c r="L1552" s="42"/>
      <c r="M1552" s="42"/>
      <c r="N1552" s="42"/>
      <c r="O1552" s="42"/>
      <c r="P1552" s="42"/>
      <c r="Q1552" s="42"/>
      <c r="R1552" s="176"/>
      <c r="S1552" s="42"/>
      <c r="T1552" s="42"/>
      <c r="U1552" s="46"/>
      <c r="V1552" s="42"/>
      <c r="W1552" s="42"/>
      <c r="X1552" s="42"/>
      <c r="Y1552" s="42"/>
      <c r="Z1552" s="42"/>
      <c r="AA1552" s="42"/>
      <c r="AB1552" s="42"/>
      <c r="AC1552" s="42"/>
      <c r="AD1552" s="42"/>
      <c r="AE1552" s="42"/>
      <c r="AF1552" s="42"/>
    </row>
    <row r="1553">
      <c r="A1553" s="25"/>
      <c r="B1553" s="297"/>
      <c r="C1553" s="25"/>
      <c r="D1553" s="25"/>
      <c r="E1553" s="25"/>
      <c r="F1553" s="25"/>
      <c r="G1553" s="123"/>
      <c r="H1553" s="123"/>
      <c r="I1553" s="25"/>
      <c r="J1553" s="25"/>
      <c r="K1553" s="367"/>
      <c r="L1553" s="42"/>
      <c r="M1553" s="42"/>
      <c r="N1553" s="42"/>
      <c r="O1553" s="42"/>
      <c r="P1553" s="42"/>
      <c r="Q1553" s="42"/>
      <c r="R1553" s="176"/>
      <c r="S1553" s="42"/>
      <c r="T1553" s="42"/>
      <c r="U1553" s="46"/>
      <c r="V1553" s="42"/>
      <c r="W1553" s="42"/>
      <c r="X1553" s="42"/>
      <c r="Y1553" s="42"/>
      <c r="Z1553" s="42"/>
      <c r="AA1553" s="42"/>
      <c r="AB1553" s="42"/>
      <c r="AC1553" s="42"/>
      <c r="AD1553" s="42"/>
      <c r="AE1553" s="42"/>
      <c r="AF1553" s="42"/>
    </row>
    <row r="1554">
      <c r="A1554" s="25"/>
      <c r="B1554" s="297"/>
      <c r="C1554" s="25"/>
      <c r="D1554" s="25"/>
      <c r="E1554" s="25"/>
      <c r="F1554" s="25"/>
      <c r="G1554" s="123"/>
      <c r="H1554" s="123"/>
      <c r="I1554" s="25"/>
      <c r="J1554" s="25"/>
      <c r="K1554" s="367"/>
      <c r="L1554" s="42"/>
      <c r="M1554" s="42"/>
      <c r="N1554" s="42"/>
      <c r="O1554" s="42"/>
      <c r="P1554" s="42"/>
      <c r="Q1554" s="42"/>
      <c r="R1554" s="176"/>
      <c r="S1554" s="42"/>
      <c r="T1554" s="42"/>
      <c r="U1554" s="46"/>
      <c r="V1554" s="42"/>
      <c r="W1554" s="42"/>
      <c r="X1554" s="42"/>
      <c r="Y1554" s="42"/>
      <c r="Z1554" s="42"/>
      <c r="AA1554" s="42"/>
      <c r="AB1554" s="42"/>
      <c r="AC1554" s="42"/>
      <c r="AD1554" s="42"/>
      <c r="AE1554" s="42"/>
      <c r="AF1554" s="42"/>
    </row>
    <row r="1555">
      <c r="A1555" s="25"/>
      <c r="B1555" s="297"/>
      <c r="C1555" s="25"/>
      <c r="D1555" s="25"/>
      <c r="E1555" s="25"/>
      <c r="F1555" s="25"/>
      <c r="G1555" s="123"/>
      <c r="H1555" s="123"/>
      <c r="I1555" s="25"/>
      <c r="J1555" s="25"/>
      <c r="K1555" s="367"/>
      <c r="L1555" s="42"/>
      <c r="M1555" s="42"/>
      <c r="N1555" s="42"/>
      <c r="O1555" s="42"/>
      <c r="P1555" s="42"/>
      <c r="Q1555" s="42"/>
      <c r="R1555" s="176"/>
      <c r="S1555" s="42"/>
      <c r="T1555" s="42"/>
      <c r="U1555" s="46"/>
      <c r="V1555" s="42"/>
      <c r="W1555" s="42"/>
      <c r="X1555" s="42"/>
      <c r="Y1555" s="42"/>
      <c r="Z1555" s="42"/>
      <c r="AA1555" s="42"/>
      <c r="AB1555" s="42"/>
      <c r="AC1555" s="42"/>
      <c r="AD1555" s="42"/>
      <c r="AE1555" s="42"/>
      <c r="AF1555" s="42"/>
    </row>
    <row r="1556">
      <c r="A1556" s="25"/>
      <c r="B1556" s="297"/>
      <c r="C1556" s="25"/>
      <c r="D1556" s="25"/>
      <c r="E1556" s="25"/>
      <c r="F1556" s="25"/>
      <c r="G1556" s="123"/>
      <c r="H1556" s="123"/>
      <c r="I1556" s="25"/>
      <c r="J1556" s="25"/>
      <c r="K1556" s="367"/>
      <c r="L1556" s="42"/>
      <c r="M1556" s="42"/>
      <c r="N1556" s="42"/>
      <c r="O1556" s="42"/>
      <c r="P1556" s="42"/>
      <c r="Q1556" s="42"/>
      <c r="R1556" s="176"/>
      <c r="S1556" s="42"/>
      <c r="T1556" s="42"/>
      <c r="U1556" s="46"/>
      <c r="V1556" s="42"/>
      <c r="W1556" s="42"/>
      <c r="X1556" s="42"/>
      <c r="Y1556" s="42"/>
      <c r="Z1556" s="42"/>
      <c r="AA1556" s="42"/>
      <c r="AB1556" s="42"/>
      <c r="AC1556" s="42"/>
      <c r="AD1556" s="42"/>
      <c r="AE1556" s="42"/>
      <c r="AF1556" s="42"/>
    </row>
    <row r="1557">
      <c r="A1557" s="25"/>
      <c r="B1557" s="297"/>
      <c r="C1557" s="25"/>
      <c r="D1557" s="25"/>
      <c r="E1557" s="25"/>
      <c r="F1557" s="25"/>
      <c r="G1557" s="123"/>
      <c r="H1557" s="123"/>
      <c r="I1557" s="25"/>
      <c r="J1557" s="25"/>
      <c r="K1557" s="367"/>
      <c r="L1557" s="42"/>
      <c r="M1557" s="42"/>
      <c r="N1557" s="42"/>
      <c r="O1557" s="42"/>
      <c r="P1557" s="42"/>
      <c r="Q1557" s="42"/>
      <c r="R1557" s="176"/>
      <c r="S1557" s="42"/>
      <c r="T1557" s="42"/>
      <c r="U1557" s="46"/>
      <c r="V1557" s="42"/>
      <c r="W1557" s="42"/>
      <c r="X1557" s="42"/>
      <c r="Y1557" s="42"/>
      <c r="Z1557" s="42"/>
      <c r="AA1557" s="42"/>
      <c r="AB1557" s="42"/>
      <c r="AC1557" s="42"/>
      <c r="AD1557" s="42"/>
      <c r="AE1557" s="42"/>
      <c r="AF1557" s="42"/>
    </row>
    <row r="1558">
      <c r="A1558" s="25"/>
      <c r="B1558" s="297"/>
      <c r="C1558" s="25"/>
      <c r="D1558" s="25"/>
      <c r="E1558" s="25"/>
      <c r="F1558" s="25"/>
      <c r="G1558" s="123"/>
      <c r="H1558" s="123"/>
      <c r="I1558" s="25"/>
      <c r="J1558" s="25"/>
      <c r="K1558" s="367"/>
      <c r="L1558" s="42"/>
      <c r="M1558" s="42"/>
      <c r="N1558" s="42"/>
      <c r="O1558" s="42"/>
      <c r="P1558" s="42"/>
      <c r="Q1558" s="42"/>
      <c r="R1558" s="176"/>
      <c r="S1558" s="42"/>
      <c r="T1558" s="42"/>
      <c r="U1558" s="46"/>
      <c r="V1558" s="42"/>
      <c r="W1558" s="42"/>
      <c r="X1558" s="42"/>
      <c r="Y1558" s="42"/>
      <c r="Z1558" s="42"/>
      <c r="AA1558" s="42"/>
      <c r="AB1558" s="42"/>
      <c r="AC1558" s="42"/>
      <c r="AD1558" s="42"/>
      <c r="AE1558" s="42"/>
      <c r="AF1558" s="42"/>
    </row>
    <row r="1559">
      <c r="A1559" s="25"/>
      <c r="B1559" s="297"/>
      <c r="C1559" s="25"/>
      <c r="D1559" s="25"/>
      <c r="E1559" s="25"/>
      <c r="F1559" s="25"/>
      <c r="G1559" s="123"/>
      <c r="H1559" s="123"/>
      <c r="I1559" s="25"/>
      <c r="J1559" s="25"/>
      <c r="K1559" s="367"/>
      <c r="L1559" s="42"/>
      <c r="M1559" s="42"/>
      <c r="N1559" s="42"/>
      <c r="O1559" s="42"/>
      <c r="P1559" s="42"/>
      <c r="Q1559" s="42"/>
      <c r="R1559" s="176"/>
      <c r="S1559" s="42"/>
      <c r="T1559" s="42"/>
      <c r="U1559" s="46"/>
      <c r="V1559" s="42"/>
      <c r="W1559" s="42"/>
      <c r="X1559" s="42"/>
      <c r="Y1559" s="42"/>
      <c r="Z1559" s="42"/>
      <c r="AA1559" s="42"/>
      <c r="AB1559" s="42"/>
      <c r="AC1559" s="42"/>
      <c r="AD1559" s="42"/>
      <c r="AE1559" s="42"/>
      <c r="AF1559" s="42"/>
    </row>
    <row r="1560">
      <c r="A1560" s="25"/>
      <c r="B1560" s="297"/>
      <c r="C1560" s="25"/>
      <c r="D1560" s="25"/>
      <c r="E1560" s="25"/>
      <c r="F1560" s="25"/>
      <c r="G1560" s="123"/>
      <c r="H1560" s="123"/>
      <c r="I1560" s="25"/>
      <c r="J1560" s="25"/>
      <c r="K1560" s="367"/>
      <c r="L1560" s="42"/>
      <c r="M1560" s="42"/>
      <c r="N1560" s="42"/>
      <c r="O1560" s="42"/>
      <c r="P1560" s="42"/>
      <c r="Q1560" s="42"/>
      <c r="R1560" s="176"/>
      <c r="S1560" s="42"/>
      <c r="T1560" s="42"/>
      <c r="U1560" s="46"/>
      <c r="V1560" s="42"/>
      <c r="W1560" s="42"/>
      <c r="X1560" s="42"/>
      <c r="Y1560" s="42"/>
      <c r="Z1560" s="42"/>
      <c r="AA1560" s="42"/>
      <c r="AB1560" s="42"/>
      <c r="AC1560" s="42"/>
      <c r="AD1560" s="42"/>
      <c r="AE1560" s="42"/>
      <c r="AF1560" s="42"/>
    </row>
    <row r="1561">
      <c r="A1561" s="25"/>
      <c r="B1561" s="297"/>
      <c r="C1561" s="25"/>
      <c r="D1561" s="25"/>
      <c r="E1561" s="25"/>
      <c r="F1561" s="25"/>
      <c r="G1561" s="123"/>
      <c r="H1561" s="123"/>
      <c r="I1561" s="25"/>
      <c r="J1561" s="25"/>
      <c r="K1561" s="367"/>
      <c r="L1561" s="42"/>
      <c r="M1561" s="42"/>
      <c r="N1561" s="42"/>
      <c r="O1561" s="42"/>
      <c r="P1561" s="42"/>
      <c r="Q1561" s="42"/>
      <c r="R1561" s="176"/>
      <c r="S1561" s="42"/>
      <c r="T1561" s="42"/>
      <c r="U1561" s="46"/>
      <c r="V1561" s="42"/>
      <c r="W1561" s="42"/>
      <c r="X1561" s="42"/>
      <c r="Y1561" s="42"/>
      <c r="Z1561" s="42"/>
      <c r="AA1561" s="42"/>
      <c r="AB1561" s="42"/>
      <c r="AC1561" s="42"/>
      <c r="AD1561" s="42"/>
      <c r="AE1561" s="42"/>
      <c r="AF1561" s="42"/>
    </row>
    <row r="1562">
      <c r="A1562" s="25"/>
      <c r="B1562" s="297"/>
      <c r="C1562" s="25"/>
      <c r="D1562" s="25"/>
      <c r="E1562" s="25"/>
      <c r="F1562" s="25"/>
      <c r="G1562" s="123"/>
      <c r="H1562" s="123"/>
      <c r="I1562" s="25"/>
      <c r="J1562" s="25"/>
      <c r="K1562" s="367"/>
      <c r="L1562" s="42"/>
      <c r="M1562" s="42"/>
      <c r="N1562" s="42"/>
      <c r="O1562" s="42"/>
      <c r="P1562" s="42"/>
      <c r="Q1562" s="42"/>
      <c r="R1562" s="176"/>
      <c r="S1562" s="42"/>
      <c r="T1562" s="42"/>
      <c r="U1562" s="46"/>
      <c r="V1562" s="42"/>
      <c r="W1562" s="42"/>
      <c r="X1562" s="42"/>
      <c r="Y1562" s="42"/>
      <c r="Z1562" s="42"/>
      <c r="AA1562" s="42"/>
      <c r="AB1562" s="42"/>
      <c r="AC1562" s="42"/>
      <c r="AD1562" s="42"/>
      <c r="AE1562" s="42"/>
      <c r="AF1562" s="42"/>
    </row>
    <row r="1563">
      <c r="A1563" s="25"/>
      <c r="B1563" s="297"/>
      <c r="C1563" s="25"/>
      <c r="D1563" s="25"/>
      <c r="E1563" s="25"/>
      <c r="F1563" s="25"/>
      <c r="G1563" s="123"/>
      <c r="H1563" s="123"/>
      <c r="I1563" s="25"/>
      <c r="J1563" s="25"/>
      <c r="K1563" s="367"/>
      <c r="L1563" s="42"/>
      <c r="M1563" s="42"/>
      <c r="N1563" s="42"/>
      <c r="O1563" s="42"/>
      <c r="P1563" s="42"/>
      <c r="Q1563" s="42"/>
      <c r="R1563" s="176"/>
      <c r="S1563" s="42"/>
      <c r="T1563" s="42"/>
      <c r="U1563" s="46"/>
      <c r="V1563" s="42"/>
      <c r="W1563" s="42"/>
      <c r="X1563" s="42"/>
      <c r="Y1563" s="42"/>
      <c r="Z1563" s="42"/>
      <c r="AA1563" s="42"/>
      <c r="AB1563" s="42"/>
      <c r="AC1563" s="42"/>
      <c r="AD1563" s="42"/>
      <c r="AE1563" s="42"/>
      <c r="AF1563" s="42"/>
    </row>
    <row r="1564">
      <c r="A1564" s="25"/>
      <c r="B1564" s="297"/>
      <c r="C1564" s="25"/>
      <c r="D1564" s="25"/>
      <c r="E1564" s="25"/>
      <c r="F1564" s="25"/>
      <c r="G1564" s="123"/>
      <c r="H1564" s="123"/>
      <c r="I1564" s="25"/>
      <c r="J1564" s="25"/>
      <c r="K1564" s="367"/>
      <c r="L1564" s="42"/>
      <c r="M1564" s="42"/>
      <c r="N1564" s="42"/>
      <c r="O1564" s="42"/>
      <c r="P1564" s="42"/>
      <c r="Q1564" s="42"/>
      <c r="R1564" s="176"/>
      <c r="S1564" s="42"/>
      <c r="T1564" s="42"/>
      <c r="U1564" s="46"/>
      <c r="V1564" s="42"/>
      <c r="W1564" s="42"/>
      <c r="X1564" s="42"/>
      <c r="Y1564" s="42"/>
      <c r="Z1564" s="42"/>
      <c r="AA1564" s="42"/>
      <c r="AB1564" s="42"/>
      <c r="AC1564" s="42"/>
      <c r="AD1564" s="42"/>
      <c r="AE1564" s="42"/>
      <c r="AF1564" s="42"/>
    </row>
    <row r="1565">
      <c r="A1565" s="25"/>
      <c r="B1565" s="297"/>
      <c r="C1565" s="25"/>
      <c r="D1565" s="25"/>
      <c r="E1565" s="25"/>
      <c r="F1565" s="25"/>
      <c r="G1565" s="123"/>
      <c r="H1565" s="123"/>
      <c r="I1565" s="25"/>
      <c r="J1565" s="25"/>
      <c r="K1565" s="367"/>
      <c r="L1565" s="42"/>
      <c r="M1565" s="42"/>
      <c r="N1565" s="42"/>
      <c r="O1565" s="42"/>
      <c r="P1565" s="42"/>
      <c r="Q1565" s="42"/>
      <c r="R1565" s="176"/>
      <c r="S1565" s="42"/>
      <c r="T1565" s="42"/>
      <c r="U1565" s="46"/>
      <c r="V1565" s="42"/>
      <c r="W1565" s="42"/>
      <c r="X1565" s="42"/>
      <c r="Y1565" s="42"/>
      <c r="Z1565" s="42"/>
      <c r="AA1565" s="42"/>
      <c r="AB1565" s="42"/>
      <c r="AC1565" s="42"/>
      <c r="AD1565" s="42"/>
      <c r="AE1565" s="42"/>
      <c r="AF1565" s="42"/>
    </row>
    <row r="1566">
      <c r="A1566" s="25"/>
      <c r="B1566" s="297"/>
      <c r="C1566" s="25"/>
      <c r="D1566" s="25"/>
      <c r="E1566" s="25"/>
      <c r="F1566" s="25"/>
      <c r="G1566" s="123"/>
      <c r="H1566" s="123"/>
      <c r="I1566" s="25"/>
      <c r="J1566" s="25"/>
      <c r="K1566" s="367"/>
      <c r="L1566" s="42"/>
      <c r="M1566" s="42"/>
      <c r="N1566" s="42"/>
      <c r="O1566" s="42"/>
      <c r="P1566" s="42"/>
      <c r="Q1566" s="42"/>
      <c r="R1566" s="176"/>
      <c r="S1566" s="42"/>
      <c r="T1566" s="42"/>
      <c r="U1566" s="46"/>
      <c r="V1566" s="42"/>
      <c r="W1566" s="42"/>
      <c r="X1566" s="42"/>
      <c r="Y1566" s="42"/>
      <c r="Z1566" s="42"/>
      <c r="AA1566" s="42"/>
      <c r="AB1566" s="42"/>
      <c r="AC1566" s="42"/>
      <c r="AD1566" s="42"/>
      <c r="AE1566" s="42"/>
      <c r="AF1566" s="42"/>
    </row>
    <row r="1567">
      <c r="A1567" s="25"/>
      <c r="B1567" s="297"/>
      <c r="C1567" s="25"/>
      <c r="D1567" s="25"/>
      <c r="E1567" s="25"/>
      <c r="F1567" s="25"/>
      <c r="G1567" s="123"/>
      <c r="H1567" s="123"/>
      <c r="I1567" s="25"/>
      <c r="J1567" s="25"/>
      <c r="K1567" s="367"/>
      <c r="L1567" s="42"/>
      <c r="M1567" s="42"/>
      <c r="N1567" s="42"/>
      <c r="O1567" s="42"/>
      <c r="P1567" s="42"/>
      <c r="Q1567" s="42"/>
      <c r="R1567" s="176"/>
      <c r="S1567" s="42"/>
      <c r="T1567" s="42"/>
      <c r="U1567" s="46"/>
      <c r="V1567" s="42"/>
      <c r="W1567" s="42"/>
      <c r="X1567" s="42"/>
      <c r="Y1567" s="42"/>
      <c r="Z1567" s="42"/>
      <c r="AA1567" s="42"/>
      <c r="AB1567" s="42"/>
      <c r="AC1567" s="42"/>
      <c r="AD1567" s="42"/>
      <c r="AE1567" s="42"/>
      <c r="AF1567" s="42"/>
    </row>
    <row r="1568">
      <c r="A1568" s="25"/>
      <c r="B1568" s="297"/>
      <c r="C1568" s="25"/>
      <c r="D1568" s="25"/>
      <c r="E1568" s="25"/>
      <c r="F1568" s="25"/>
      <c r="G1568" s="123"/>
      <c r="H1568" s="123"/>
      <c r="I1568" s="25"/>
      <c r="J1568" s="25"/>
      <c r="K1568" s="367"/>
      <c r="L1568" s="42"/>
      <c r="M1568" s="42"/>
      <c r="N1568" s="42"/>
      <c r="O1568" s="42"/>
      <c r="P1568" s="42"/>
      <c r="Q1568" s="42"/>
      <c r="R1568" s="176"/>
      <c r="S1568" s="42"/>
      <c r="T1568" s="42"/>
      <c r="U1568" s="46"/>
      <c r="V1568" s="42"/>
      <c r="W1568" s="42"/>
      <c r="X1568" s="42"/>
      <c r="Y1568" s="42"/>
      <c r="Z1568" s="42"/>
      <c r="AA1568" s="42"/>
      <c r="AB1568" s="42"/>
      <c r="AC1568" s="42"/>
      <c r="AD1568" s="42"/>
      <c r="AE1568" s="42"/>
      <c r="AF1568" s="42"/>
    </row>
    <row r="1569">
      <c r="A1569" s="25"/>
      <c r="B1569" s="297"/>
      <c r="C1569" s="25"/>
      <c r="D1569" s="25"/>
      <c r="E1569" s="25"/>
      <c r="F1569" s="25"/>
      <c r="G1569" s="123"/>
      <c r="H1569" s="123"/>
      <c r="I1569" s="25"/>
      <c r="J1569" s="25"/>
      <c r="K1569" s="367"/>
      <c r="L1569" s="42"/>
      <c r="M1569" s="42"/>
      <c r="N1569" s="42"/>
      <c r="O1569" s="42"/>
      <c r="P1569" s="42"/>
      <c r="Q1569" s="42"/>
      <c r="R1569" s="176"/>
      <c r="S1569" s="42"/>
      <c r="T1569" s="42"/>
      <c r="U1569" s="46"/>
      <c r="V1569" s="42"/>
      <c r="W1569" s="42"/>
      <c r="X1569" s="42"/>
      <c r="Y1569" s="42"/>
      <c r="Z1569" s="42"/>
      <c r="AA1569" s="42"/>
      <c r="AB1569" s="42"/>
      <c r="AC1569" s="42"/>
      <c r="AD1569" s="42"/>
      <c r="AE1569" s="42"/>
      <c r="AF1569" s="42"/>
    </row>
    <row r="1570">
      <c r="A1570" s="25"/>
      <c r="B1570" s="297"/>
      <c r="C1570" s="25"/>
      <c r="D1570" s="25"/>
      <c r="E1570" s="25"/>
      <c r="F1570" s="25"/>
      <c r="G1570" s="123"/>
      <c r="H1570" s="123"/>
      <c r="I1570" s="25"/>
      <c r="J1570" s="25"/>
      <c r="K1570" s="367"/>
      <c r="L1570" s="42"/>
      <c r="M1570" s="42"/>
      <c r="N1570" s="42"/>
      <c r="O1570" s="42"/>
      <c r="P1570" s="42"/>
      <c r="Q1570" s="42"/>
      <c r="R1570" s="176"/>
      <c r="S1570" s="42"/>
      <c r="T1570" s="42"/>
      <c r="U1570" s="46"/>
      <c r="V1570" s="42"/>
      <c r="W1570" s="42"/>
      <c r="X1570" s="42"/>
      <c r="Y1570" s="42"/>
      <c r="Z1570" s="42"/>
      <c r="AA1570" s="42"/>
      <c r="AB1570" s="42"/>
      <c r="AC1570" s="42"/>
      <c r="AD1570" s="42"/>
      <c r="AE1570" s="42"/>
      <c r="AF1570" s="42"/>
    </row>
    <row r="1571">
      <c r="A1571" s="25"/>
      <c r="B1571" s="297"/>
      <c r="C1571" s="25"/>
      <c r="D1571" s="25"/>
      <c r="E1571" s="25"/>
      <c r="F1571" s="25"/>
      <c r="G1571" s="123"/>
      <c r="H1571" s="123"/>
      <c r="I1571" s="25"/>
      <c r="J1571" s="25"/>
      <c r="K1571" s="367"/>
      <c r="L1571" s="42"/>
      <c r="M1571" s="42"/>
      <c r="N1571" s="42"/>
      <c r="O1571" s="42"/>
      <c r="P1571" s="42"/>
      <c r="Q1571" s="42"/>
      <c r="R1571" s="176"/>
      <c r="S1571" s="42"/>
      <c r="T1571" s="42"/>
      <c r="U1571" s="46"/>
      <c r="V1571" s="42"/>
      <c r="W1571" s="42"/>
      <c r="X1571" s="42"/>
      <c r="Y1571" s="42"/>
      <c r="Z1571" s="42"/>
      <c r="AA1571" s="42"/>
      <c r="AB1571" s="42"/>
      <c r="AC1571" s="42"/>
      <c r="AD1571" s="42"/>
      <c r="AE1571" s="42"/>
      <c r="AF1571" s="42"/>
    </row>
    <row r="1572">
      <c r="A1572" s="25"/>
      <c r="B1572" s="297"/>
      <c r="C1572" s="25"/>
      <c r="D1572" s="25"/>
      <c r="E1572" s="25"/>
      <c r="F1572" s="25"/>
      <c r="G1572" s="123"/>
      <c r="H1572" s="123"/>
      <c r="I1572" s="25"/>
      <c r="J1572" s="25"/>
      <c r="K1572" s="367"/>
      <c r="L1572" s="42"/>
      <c r="M1572" s="42"/>
      <c r="N1572" s="42"/>
      <c r="O1572" s="42"/>
      <c r="P1572" s="42"/>
      <c r="Q1572" s="42"/>
      <c r="R1572" s="176"/>
      <c r="S1572" s="42"/>
      <c r="T1572" s="42"/>
      <c r="U1572" s="46"/>
      <c r="V1572" s="42"/>
      <c r="W1572" s="42"/>
      <c r="X1572" s="42"/>
      <c r="Y1572" s="42"/>
      <c r="Z1572" s="42"/>
      <c r="AA1572" s="42"/>
      <c r="AB1572" s="42"/>
      <c r="AC1572" s="42"/>
      <c r="AD1572" s="42"/>
      <c r="AE1572" s="42"/>
      <c r="AF1572" s="42"/>
    </row>
    <row r="1573">
      <c r="A1573" s="25"/>
      <c r="B1573" s="297"/>
      <c r="C1573" s="25"/>
      <c r="D1573" s="25"/>
      <c r="E1573" s="25"/>
      <c r="F1573" s="25"/>
      <c r="G1573" s="123"/>
      <c r="H1573" s="123"/>
      <c r="I1573" s="25"/>
      <c r="J1573" s="25"/>
      <c r="K1573" s="367"/>
      <c r="L1573" s="42"/>
      <c r="M1573" s="42"/>
      <c r="N1573" s="42"/>
      <c r="O1573" s="42"/>
      <c r="P1573" s="42"/>
      <c r="Q1573" s="42"/>
      <c r="R1573" s="176"/>
      <c r="S1573" s="42"/>
      <c r="T1573" s="42"/>
      <c r="U1573" s="46"/>
      <c r="V1573" s="42"/>
      <c r="W1573" s="42"/>
      <c r="X1573" s="42"/>
      <c r="Y1573" s="42"/>
      <c r="Z1573" s="42"/>
      <c r="AA1573" s="42"/>
      <c r="AB1573" s="42"/>
      <c r="AC1573" s="42"/>
      <c r="AD1573" s="42"/>
      <c r="AE1573" s="42"/>
      <c r="AF1573" s="42"/>
    </row>
    <row r="1574">
      <c r="A1574" s="25"/>
      <c r="B1574" s="297"/>
      <c r="C1574" s="25"/>
      <c r="D1574" s="25"/>
      <c r="E1574" s="25"/>
      <c r="F1574" s="25"/>
      <c r="G1574" s="123"/>
      <c r="H1574" s="123"/>
      <c r="I1574" s="25"/>
      <c r="J1574" s="25"/>
      <c r="K1574" s="367"/>
      <c r="L1574" s="42"/>
      <c r="M1574" s="42"/>
      <c r="N1574" s="42"/>
      <c r="O1574" s="42"/>
      <c r="P1574" s="42"/>
      <c r="Q1574" s="42"/>
      <c r="R1574" s="176"/>
      <c r="S1574" s="42"/>
      <c r="T1574" s="42"/>
      <c r="U1574" s="46"/>
      <c r="V1574" s="42"/>
      <c r="W1574" s="42"/>
      <c r="X1574" s="42"/>
      <c r="Y1574" s="42"/>
      <c r="Z1574" s="42"/>
      <c r="AA1574" s="42"/>
      <c r="AB1574" s="42"/>
      <c r="AC1574" s="42"/>
      <c r="AD1574" s="42"/>
      <c r="AE1574" s="42"/>
      <c r="AF1574" s="42"/>
    </row>
    <row r="1575">
      <c r="A1575" s="25"/>
      <c r="B1575" s="297"/>
      <c r="C1575" s="25"/>
      <c r="D1575" s="25"/>
      <c r="E1575" s="25"/>
      <c r="F1575" s="25"/>
      <c r="G1575" s="123"/>
      <c r="H1575" s="123"/>
      <c r="I1575" s="25"/>
      <c r="J1575" s="25"/>
      <c r="K1575" s="367"/>
      <c r="L1575" s="42"/>
      <c r="M1575" s="42"/>
      <c r="N1575" s="42"/>
      <c r="O1575" s="42"/>
      <c r="P1575" s="42"/>
      <c r="Q1575" s="42"/>
      <c r="R1575" s="176"/>
      <c r="S1575" s="42"/>
      <c r="T1575" s="42"/>
      <c r="U1575" s="46"/>
      <c r="V1575" s="42"/>
      <c r="W1575" s="42"/>
      <c r="X1575" s="42"/>
      <c r="Y1575" s="42"/>
      <c r="Z1575" s="42"/>
      <c r="AA1575" s="42"/>
      <c r="AB1575" s="42"/>
      <c r="AC1575" s="42"/>
      <c r="AD1575" s="42"/>
      <c r="AE1575" s="42"/>
      <c r="AF1575" s="42"/>
    </row>
    <row r="1576">
      <c r="A1576" s="25"/>
      <c r="B1576" s="297"/>
      <c r="C1576" s="25"/>
      <c r="D1576" s="25"/>
      <c r="E1576" s="25"/>
      <c r="F1576" s="25"/>
      <c r="G1576" s="123"/>
      <c r="H1576" s="123"/>
      <c r="I1576" s="25"/>
      <c r="J1576" s="25"/>
      <c r="K1576" s="367"/>
      <c r="L1576" s="42"/>
      <c r="M1576" s="42"/>
      <c r="N1576" s="42"/>
      <c r="O1576" s="42"/>
      <c r="P1576" s="42"/>
      <c r="Q1576" s="42"/>
      <c r="R1576" s="176"/>
      <c r="S1576" s="42"/>
      <c r="T1576" s="42"/>
      <c r="U1576" s="46"/>
      <c r="V1576" s="42"/>
      <c r="W1576" s="42"/>
      <c r="X1576" s="42"/>
      <c r="Y1576" s="42"/>
      <c r="Z1576" s="42"/>
      <c r="AA1576" s="42"/>
      <c r="AB1576" s="42"/>
      <c r="AC1576" s="42"/>
      <c r="AD1576" s="42"/>
      <c r="AE1576" s="42"/>
      <c r="AF1576" s="42"/>
    </row>
    <row r="1577">
      <c r="A1577" s="25"/>
      <c r="B1577" s="297"/>
      <c r="C1577" s="25"/>
      <c r="D1577" s="25"/>
      <c r="E1577" s="25"/>
      <c r="F1577" s="25"/>
      <c r="G1577" s="123"/>
      <c r="H1577" s="123"/>
      <c r="I1577" s="25"/>
      <c r="J1577" s="25"/>
      <c r="K1577" s="367"/>
      <c r="L1577" s="42"/>
      <c r="M1577" s="42"/>
      <c r="N1577" s="42"/>
      <c r="O1577" s="42"/>
      <c r="P1577" s="42"/>
      <c r="Q1577" s="42"/>
      <c r="R1577" s="176"/>
      <c r="S1577" s="42"/>
      <c r="T1577" s="42"/>
      <c r="U1577" s="46"/>
      <c r="V1577" s="42"/>
      <c r="W1577" s="42"/>
      <c r="X1577" s="42"/>
      <c r="Y1577" s="42"/>
      <c r="Z1577" s="42"/>
      <c r="AA1577" s="42"/>
      <c r="AB1577" s="42"/>
      <c r="AC1577" s="42"/>
      <c r="AD1577" s="42"/>
      <c r="AE1577" s="42"/>
      <c r="AF1577" s="42"/>
    </row>
    <row r="1578">
      <c r="A1578" s="25"/>
      <c r="B1578" s="297"/>
      <c r="C1578" s="25"/>
      <c r="D1578" s="25"/>
      <c r="E1578" s="25"/>
      <c r="F1578" s="25"/>
      <c r="G1578" s="123"/>
      <c r="H1578" s="123"/>
      <c r="I1578" s="25"/>
      <c r="J1578" s="25"/>
      <c r="K1578" s="367"/>
      <c r="L1578" s="42"/>
      <c r="M1578" s="42"/>
      <c r="N1578" s="42"/>
      <c r="O1578" s="42"/>
      <c r="P1578" s="42"/>
      <c r="Q1578" s="42"/>
      <c r="R1578" s="176"/>
      <c r="S1578" s="42"/>
      <c r="T1578" s="42"/>
      <c r="U1578" s="46"/>
      <c r="V1578" s="42"/>
      <c r="W1578" s="42"/>
      <c r="X1578" s="42"/>
      <c r="Y1578" s="42"/>
      <c r="Z1578" s="42"/>
      <c r="AA1578" s="42"/>
      <c r="AB1578" s="42"/>
      <c r="AC1578" s="42"/>
      <c r="AD1578" s="42"/>
      <c r="AE1578" s="42"/>
      <c r="AF1578" s="42"/>
    </row>
    <row r="1579">
      <c r="A1579" s="25"/>
      <c r="B1579" s="297"/>
      <c r="C1579" s="25"/>
      <c r="D1579" s="25"/>
      <c r="E1579" s="25"/>
      <c r="F1579" s="25"/>
      <c r="G1579" s="123"/>
      <c r="H1579" s="123"/>
      <c r="I1579" s="25"/>
      <c r="J1579" s="25"/>
      <c r="K1579" s="367"/>
      <c r="L1579" s="42"/>
      <c r="M1579" s="42"/>
      <c r="N1579" s="42"/>
      <c r="O1579" s="42"/>
      <c r="P1579" s="42"/>
      <c r="Q1579" s="42"/>
      <c r="R1579" s="176"/>
      <c r="S1579" s="42"/>
      <c r="T1579" s="42"/>
      <c r="U1579" s="46"/>
      <c r="V1579" s="42"/>
      <c r="W1579" s="42"/>
      <c r="X1579" s="42"/>
      <c r="Y1579" s="42"/>
      <c r="Z1579" s="42"/>
      <c r="AA1579" s="42"/>
      <c r="AB1579" s="42"/>
      <c r="AC1579" s="42"/>
      <c r="AD1579" s="42"/>
      <c r="AE1579" s="42"/>
      <c r="AF1579" s="42"/>
    </row>
    <row r="1580">
      <c r="A1580" s="25"/>
      <c r="B1580" s="297"/>
      <c r="C1580" s="25"/>
      <c r="D1580" s="25"/>
      <c r="E1580" s="25"/>
      <c r="F1580" s="25"/>
      <c r="G1580" s="123"/>
      <c r="H1580" s="123"/>
      <c r="I1580" s="25"/>
      <c r="J1580" s="25"/>
      <c r="K1580" s="367"/>
      <c r="L1580" s="42"/>
      <c r="M1580" s="42"/>
      <c r="N1580" s="42"/>
      <c r="O1580" s="42"/>
      <c r="P1580" s="42"/>
      <c r="Q1580" s="42"/>
      <c r="R1580" s="176"/>
      <c r="S1580" s="42"/>
      <c r="T1580" s="42"/>
      <c r="U1580" s="46"/>
      <c r="V1580" s="42"/>
      <c r="W1580" s="42"/>
      <c r="X1580" s="42"/>
      <c r="Y1580" s="42"/>
      <c r="Z1580" s="42"/>
      <c r="AA1580" s="42"/>
      <c r="AB1580" s="42"/>
      <c r="AC1580" s="42"/>
      <c r="AD1580" s="42"/>
      <c r="AE1580" s="42"/>
      <c r="AF1580" s="42"/>
    </row>
    <row r="1581">
      <c r="A1581" s="25"/>
      <c r="B1581" s="297"/>
      <c r="C1581" s="25"/>
      <c r="D1581" s="25"/>
      <c r="E1581" s="25"/>
      <c r="F1581" s="25"/>
      <c r="G1581" s="123"/>
      <c r="H1581" s="123"/>
      <c r="I1581" s="25"/>
      <c r="J1581" s="25"/>
      <c r="K1581" s="367"/>
      <c r="L1581" s="42"/>
      <c r="M1581" s="42"/>
      <c r="N1581" s="42"/>
      <c r="O1581" s="42"/>
      <c r="P1581" s="42"/>
      <c r="Q1581" s="42"/>
      <c r="R1581" s="176"/>
      <c r="S1581" s="42"/>
      <c r="T1581" s="42"/>
      <c r="U1581" s="46"/>
      <c r="V1581" s="42"/>
      <c r="W1581" s="42"/>
      <c r="X1581" s="42"/>
      <c r="Y1581" s="42"/>
      <c r="Z1581" s="42"/>
      <c r="AA1581" s="42"/>
      <c r="AB1581" s="42"/>
      <c r="AC1581" s="42"/>
      <c r="AD1581" s="42"/>
      <c r="AE1581" s="42"/>
      <c r="AF1581" s="42"/>
    </row>
    <row r="1582">
      <c r="A1582" s="25"/>
      <c r="B1582" s="297"/>
      <c r="C1582" s="25"/>
      <c r="D1582" s="25"/>
      <c r="E1582" s="25"/>
      <c r="F1582" s="25"/>
      <c r="G1582" s="123"/>
      <c r="H1582" s="123"/>
      <c r="I1582" s="25"/>
      <c r="J1582" s="25"/>
      <c r="K1582" s="367"/>
      <c r="L1582" s="42"/>
      <c r="M1582" s="42"/>
      <c r="N1582" s="42"/>
      <c r="O1582" s="42"/>
      <c r="P1582" s="42"/>
      <c r="Q1582" s="42"/>
      <c r="R1582" s="176"/>
      <c r="S1582" s="42"/>
      <c r="T1582" s="42"/>
      <c r="U1582" s="46"/>
      <c r="V1582" s="42"/>
      <c r="W1582" s="42"/>
      <c r="X1582" s="42"/>
      <c r="Y1582" s="42"/>
      <c r="Z1582" s="42"/>
      <c r="AA1582" s="42"/>
      <c r="AB1582" s="42"/>
      <c r="AC1582" s="42"/>
      <c r="AD1582" s="42"/>
      <c r="AE1582" s="42"/>
      <c r="AF1582" s="42"/>
    </row>
    <row r="1583">
      <c r="A1583" s="25"/>
      <c r="B1583" s="297"/>
      <c r="C1583" s="25"/>
      <c r="D1583" s="25"/>
      <c r="E1583" s="25"/>
      <c r="F1583" s="25"/>
      <c r="G1583" s="123"/>
      <c r="H1583" s="123"/>
      <c r="I1583" s="25"/>
      <c r="J1583" s="25"/>
      <c r="K1583" s="367"/>
      <c r="L1583" s="42"/>
      <c r="M1583" s="42"/>
      <c r="N1583" s="42"/>
      <c r="O1583" s="42"/>
      <c r="P1583" s="42"/>
      <c r="Q1583" s="42"/>
      <c r="R1583" s="176"/>
      <c r="S1583" s="42"/>
      <c r="T1583" s="42"/>
      <c r="U1583" s="46"/>
      <c r="V1583" s="42"/>
      <c r="W1583" s="42"/>
      <c r="X1583" s="42"/>
      <c r="Y1583" s="42"/>
      <c r="Z1583" s="42"/>
      <c r="AA1583" s="42"/>
      <c r="AB1583" s="42"/>
      <c r="AC1583" s="42"/>
      <c r="AD1583" s="42"/>
      <c r="AE1583" s="42"/>
      <c r="AF1583" s="42"/>
    </row>
    <row r="1584">
      <c r="A1584" s="25"/>
      <c r="B1584" s="297"/>
      <c r="C1584" s="25"/>
      <c r="D1584" s="25"/>
      <c r="E1584" s="25"/>
      <c r="F1584" s="25"/>
      <c r="G1584" s="123"/>
      <c r="H1584" s="123"/>
      <c r="I1584" s="25"/>
      <c r="J1584" s="25"/>
      <c r="K1584" s="367"/>
      <c r="L1584" s="42"/>
      <c r="M1584" s="42"/>
      <c r="N1584" s="42"/>
      <c r="O1584" s="42"/>
      <c r="P1584" s="42"/>
      <c r="Q1584" s="42"/>
      <c r="R1584" s="176"/>
      <c r="S1584" s="42"/>
      <c r="T1584" s="42"/>
      <c r="U1584" s="46"/>
      <c r="V1584" s="42"/>
      <c r="W1584" s="42"/>
      <c r="X1584" s="42"/>
      <c r="Y1584" s="42"/>
      <c r="Z1584" s="42"/>
      <c r="AA1584" s="42"/>
      <c r="AB1584" s="42"/>
      <c r="AC1584" s="42"/>
      <c r="AD1584" s="42"/>
      <c r="AE1584" s="42"/>
      <c r="AF1584" s="42"/>
    </row>
    <row r="1585">
      <c r="A1585" s="25"/>
      <c r="B1585" s="297"/>
      <c r="C1585" s="25"/>
      <c r="D1585" s="25"/>
      <c r="E1585" s="25"/>
      <c r="F1585" s="25"/>
      <c r="G1585" s="123"/>
      <c r="H1585" s="123"/>
      <c r="I1585" s="25"/>
      <c r="J1585" s="25"/>
      <c r="K1585" s="367"/>
      <c r="L1585" s="42"/>
      <c r="M1585" s="42"/>
      <c r="N1585" s="42"/>
      <c r="O1585" s="42"/>
      <c r="P1585" s="42"/>
      <c r="Q1585" s="42"/>
      <c r="R1585" s="176"/>
      <c r="S1585" s="42"/>
      <c r="T1585" s="42"/>
      <c r="U1585" s="46"/>
      <c r="V1585" s="42"/>
      <c r="W1585" s="42"/>
      <c r="X1585" s="42"/>
      <c r="Y1585" s="42"/>
      <c r="Z1585" s="42"/>
      <c r="AA1585" s="42"/>
      <c r="AB1585" s="42"/>
      <c r="AC1585" s="42"/>
      <c r="AD1585" s="42"/>
      <c r="AE1585" s="42"/>
      <c r="AF1585" s="42"/>
    </row>
    <row r="1586">
      <c r="A1586" s="25"/>
      <c r="B1586" s="297"/>
      <c r="C1586" s="25"/>
      <c r="D1586" s="25"/>
      <c r="E1586" s="25"/>
      <c r="F1586" s="25"/>
      <c r="G1586" s="123"/>
      <c r="H1586" s="123"/>
      <c r="I1586" s="25"/>
      <c r="J1586" s="25"/>
      <c r="K1586" s="367"/>
      <c r="L1586" s="42"/>
      <c r="M1586" s="42"/>
      <c r="N1586" s="42"/>
      <c r="O1586" s="42"/>
      <c r="P1586" s="42"/>
      <c r="Q1586" s="42"/>
      <c r="R1586" s="176"/>
      <c r="S1586" s="42"/>
      <c r="T1586" s="42"/>
      <c r="U1586" s="46"/>
      <c r="V1586" s="42"/>
      <c r="W1586" s="42"/>
      <c r="X1586" s="42"/>
      <c r="Y1586" s="42"/>
      <c r="Z1586" s="42"/>
      <c r="AA1586" s="42"/>
      <c r="AB1586" s="42"/>
      <c r="AC1586" s="42"/>
      <c r="AD1586" s="42"/>
      <c r="AE1586" s="42"/>
      <c r="AF1586" s="42"/>
    </row>
    <row r="1587">
      <c r="A1587" s="25"/>
      <c r="B1587" s="297"/>
      <c r="C1587" s="25"/>
      <c r="D1587" s="25"/>
      <c r="E1587" s="25"/>
      <c r="F1587" s="25"/>
      <c r="G1587" s="123"/>
      <c r="H1587" s="123"/>
      <c r="I1587" s="25"/>
      <c r="J1587" s="25"/>
      <c r="K1587" s="367"/>
      <c r="L1587" s="42"/>
      <c r="M1587" s="42"/>
      <c r="N1587" s="42"/>
      <c r="O1587" s="42"/>
      <c r="P1587" s="42"/>
      <c r="Q1587" s="42"/>
      <c r="R1587" s="176"/>
      <c r="S1587" s="42"/>
      <c r="T1587" s="42"/>
      <c r="U1587" s="46"/>
      <c r="V1587" s="42"/>
      <c r="W1587" s="42"/>
      <c r="X1587" s="42"/>
      <c r="Y1587" s="42"/>
      <c r="Z1587" s="42"/>
      <c r="AA1587" s="42"/>
      <c r="AB1587" s="42"/>
      <c r="AC1587" s="42"/>
      <c r="AD1587" s="42"/>
      <c r="AE1587" s="42"/>
      <c r="AF1587" s="42"/>
    </row>
    <row r="1588">
      <c r="A1588" s="25"/>
      <c r="B1588" s="297"/>
      <c r="C1588" s="25"/>
      <c r="D1588" s="25"/>
      <c r="E1588" s="25"/>
      <c r="F1588" s="25"/>
      <c r="G1588" s="123"/>
      <c r="H1588" s="123"/>
      <c r="I1588" s="25"/>
      <c r="J1588" s="25"/>
      <c r="K1588" s="367"/>
      <c r="L1588" s="42"/>
      <c r="M1588" s="42"/>
      <c r="N1588" s="42"/>
      <c r="O1588" s="42"/>
      <c r="P1588" s="42"/>
      <c r="Q1588" s="42"/>
      <c r="R1588" s="176"/>
      <c r="S1588" s="42"/>
      <c r="T1588" s="42"/>
      <c r="U1588" s="46"/>
      <c r="V1588" s="42"/>
      <c r="W1588" s="42"/>
      <c r="X1588" s="42"/>
      <c r="Y1588" s="42"/>
      <c r="Z1588" s="42"/>
      <c r="AA1588" s="42"/>
      <c r="AB1588" s="42"/>
      <c r="AC1588" s="42"/>
      <c r="AD1588" s="42"/>
      <c r="AE1588" s="42"/>
      <c r="AF1588" s="42"/>
    </row>
    <row r="1589">
      <c r="A1589" s="25"/>
      <c r="B1589" s="297"/>
      <c r="C1589" s="25"/>
      <c r="D1589" s="25"/>
      <c r="E1589" s="25"/>
      <c r="F1589" s="25"/>
      <c r="G1589" s="123"/>
      <c r="H1589" s="123"/>
      <c r="I1589" s="25"/>
      <c r="J1589" s="25"/>
      <c r="K1589" s="367"/>
      <c r="L1589" s="42"/>
      <c r="M1589" s="42"/>
      <c r="N1589" s="42"/>
      <c r="O1589" s="42"/>
      <c r="P1589" s="42"/>
      <c r="Q1589" s="42"/>
      <c r="R1589" s="176"/>
      <c r="S1589" s="42"/>
      <c r="T1589" s="42"/>
      <c r="U1589" s="46"/>
      <c r="V1589" s="42"/>
      <c r="W1589" s="42"/>
      <c r="X1589" s="42"/>
      <c r="Y1589" s="42"/>
      <c r="Z1589" s="42"/>
      <c r="AA1589" s="42"/>
      <c r="AB1589" s="42"/>
      <c r="AC1589" s="42"/>
      <c r="AD1589" s="42"/>
      <c r="AE1589" s="42"/>
      <c r="AF1589" s="42"/>
    </row>
    <row r="1590">
      <c r="A1590" s="25"/>
      <c r="B1590" s="297"/>
      <c r="C1590" s="25"/>
      <c r="D1590" s="25"/>
      <c r="E1590" s="25"/>
      <c r="F1590" s="25"/>
      <c r="G1590" s="123"/>
      <c r="H1590" s="123"/>
      <c r="I1590" s="25"/>
      <c r="J1590" s="25"/>
      <c r="K1590" s="367"/>
      <c r="L1590" s="42"/>
      <c r="M1590" s="42"/>
      <c r="N1590" s="42"/>
      <c r="O1590" s="42"/>
      <c r="P1590" s="42"/>
      <c r="Q1590" s="42"/>
      <c r="R1590" s="176"/>
      <c r="S1590" s="42"/>
      <c r="T1590" s="42"/>
      <c r="U1590" s="46"/>
      <c r="V1590" s="42"/>
      <c r="W1590" s="42"/>
      <c r="X1590" s="42"/>
      <c r="Y1590" s="42"/>
      <c r="Z1590" s="42"/>
      <c r="AA1590" s="42"/>
      <c r="AB1590" s="42"/>
      <c r="AC1590" s="42"/>
      <c r="AD1590" s="42"/>
      <c r="AE1590" s="42"/>
      <c r="AF1590" s="42"/>
    </row>
    <row r="1591">
      <c r="A1591" s="25"/>
      <c r="B1591" s="297"/>
      <c r="C1591" s="25"/>
      <c r="D1591" s="25"/>
      <c r="E1591" s="25"/>
      <c r="F1591" s="25"/>
      <c r="G1591" s="123"/>
      <c r="H1591" s="123"/>
      <c r="I1591" s="25"/>
      <c r="J1591" s="25"/>
      <c r="K1591" s="367"/>
      <c r="L1591" s="42"/>
      <c r="M1591" s="42"/>
      <c r="N1591" s="42"/>
      <c r="O1591" s="42"/>
      <c r="P1591" s="42"/>
      <c r="Q1591" s="42"/>
      <c r="R1591" s="176"/>
      <c r="S1591" s="42"/>
      <c r="T1591" s="42"/>
      <c r="U1591" s="46"/>
      <c r="V1591" s="42"/>
      <c r="W1591" s="42"/>
      <c r="X1591" s="42"/>
      <c r="Y1591" s="42"/>
      <c r="Z1591" s="42"/>
      <c r="AA1591" s="42"/>
      <c r="AB1591" s="42"/>
      <c r="AC1591" s="42"/>
      <c r="AD1591" s="42"/>
      <c r="AE1591" s="42"/>
      <c r="AF1591" s="42"/>
    </row>
    <row r="1592">
      <c r="A1592" s="25"/>
      <c r="B1592" s="297"/>
      <c r="C1592" s="25"/>
      <c r="D1592" s="25"/>
      <c r="E1592" s="25"/>
      <c r="F1592" s="25"/>
      <c r="G1592" s="123"/>
      <c r="H1592" s="123"/>
      <c r="I1592" s="25"/>
      <c r="J1592" s="25"/>
      <c r="K1592" s="367"/>
      <c r="L1592" s="42"/>
      <c r="M1592" s="42"/>
      <c r="N1592" s="42"/>
      <c r="O1592" s="42"/>
      <c r="P1592" s="42"/>
      <c r="Q1592" s="42"/>
      <c r="R1592" s="176"/>
      <c r="S1592" s="42"/>
      <c r="T1592" s="42"/>
      <c r="U1592" s="46"/>
      <c r="V1592" s="42"/>
      <c r="W1592" s="42"/>
      <c r="X1592" s="42"/>
      <c r="Y1592" s="42"/>
      <c r="Z1592" s="42"/>
      <c r="AA1592" s="42"/>
      <c r="AB1592" s="42"/>
      <c r="AC1592" s="42"/>
      <c r="AD1592" s="42"/>
      <c r="AE1592" s="42"/>
      <c r="AF1592" s="42"/>
    </row>
    <row r="1593">
      <c r="A1593" s="25"/>
      <c r="B1593" s="297"/>
      <c r="C1593" s="25"/>
      <c r="D1593" s="25"/>
      <c r="E1593" s="25"/>
      <c r="F1593" s="25"/>
      <c r="G1593" s="123"/>
      <c r="H1593" s="123"/>
      <c r="I1593" s="25"/>
      <c r="J1593" s="25"/>
      <c r="K1593" s="367"/>
      <c r="L1593" s="42"/>
      <c r="M1593" s="42"/>
      <c r="N1593" s="42"/>
      <c r="O1593" s="42"/>
      <c r="P1593" s="42"/>
      <c r="Q1593" s="42"/>
      <c r="R1593" s="176"/>
      <c r="S1593" s="42"/>
      <c r="T1593" s="42"/>
      <c r="U1593" s="46"/>
      <c r="V1593" s="42"/>
      <c r="W1593" s="42"/>
      <c r="X1593" s="42"/>
      <c r="Y1593" s="42"/>
      <c r="Z1593" s="42"/>
      <c r="AA1593" s="42"/>
      <c r="AB1593" s="42"/>
      <c r="AC1593" s="42"/>
      <c r="AD1593" s="42"/>
      <c r="AE1593" s="42"/>
      <c r="AF1593" s="42"/>
    </row>
    <row r="1594">
      <c r="A1594" s="25"/>
      <c r="B1594" s="297"/>
      <c r="C1594" s="25"/>
      <c r="D1594" s="25"/>
      <c r="E1594" s="25"/>
      <c r="F1594" s="25"/>
      <c r="G1594" s="123"/>
      <c r="H1594" s="123"/>
      <c r="I1594" s="25"/>
      <c r="J1594" s="25"/>
      <c r="K1594" s="367"/>
      <c r="L1594" s="42"/>
      <c r="M1594" s="42"/>
      <c r="N1594" s="42"/>
      <c r="O1594" s="42"/>
      <c r="P1594" s="42"/>
      <c r="Q1594" s="42"/>
      <c r="R1594" s="176"/>
      <c r="S1594" s="42"/>
      <c r="T1594" s="42"/>
      <c r="U1594" s="46"/>
      <c r="V1594" s="42"/>
      <c r="W1594" s="42"/>
      <c r="X1594" s="42"/>
      <c r="Y1594" s="42"/>
      <c r="Z1594" s="42"/>
      <c r="AA1594" s="42"/>
      <c r="AB1594" s="42"/>
      <c r="AC1594" s="42"/>
      <c r="AD1594" s="42"/>
      <c r="AE1594" s="42"/>
      <c r="AF1594" s="42"/>
    </row>
    <row r="1595">
      <c r="A1595" s="25"/>
      <c r="B1595" s="297"/>
      <c r="C1595" s="25"/>
      <c r="D1595" s="25"/>
      <c r="E1595" s="25"/>
      <c r="F1595" s="25"/>
      <c r="G1595" s="123"/>
      <c r="H1595" s="123"/>
      <c r="I1595" s="25"/>
      <c r="J1595" s="25"/>
      <c r="K1595" s="367"/>
      <c r="L1595" s="42"/>
      <c r="M1595" s="42"/>
      <c r="N1595" s="42"/>
      <c r="O1595" s="42"/>
      <c r="P1595" s="42"/>
      <c r="Q1595" s="42"/>
      <c r="R1595" s="176"/>
      <c r="S1595" s="42"/>
      <c r="T1595" s="42"/>
      <c r="U1595" s="46"/>
      <c r="V1595" s="42"/>
      <c r="W1595" s="42"/>
      <c r="X1595" s="42"/>
      <c r="Y1595" s="42"/>
      <c r="Z1595" s="42"/>
      <c r="AA1595" s="42"/>
      <c r="AB1595" s="42"/>
      <c r="AC1595" s="42"/>
      <c r="AD1595" s="42"/>
      <c r="AE1595" s="42"/>
      <c r="AF1595" s="42"/>
    </row>
    <row r="1596">
      <c r="A1596" s="25"/>
      <c r="B1596" s="297"/>
      <c r="C1596" s="25"/>
      <c r="D1596" s="25"/>
      <c r="E1596" s="25"/>
      <c r="F1596" s="25"/>
      <c r="G1596" s="123"/>
      <c r="H1596" s="123"/>
      <c r="I1596" s="25"/>
      <c r="J1596" s="25"/>
      <c r="K1596" s="367"/>
      <c r="L1596" s="42"/>
      <c r="M1596" s="42"/>
      <c r="N1596" s="42"/>
      <c r="O1596" s="42"/>
      <c r="P1596" s="42"/>
      <c r="Q1596" s="42"/>
      <c r="R1596" s="176"/>
      <c r="S1596" s="42"/>
      <c r="T1596" s="42"/>
      <c r="U1596" s="46"/>
      <c r="V1596" s="42"/>
      <c r="W1596" s="42"/>
      <c r="X1596" s="42"/>
      <c r="Y1596" s="42"/>
      <c r="Z1596" s="42"/>
      <c r="AA1596" s="42"/>
      <c r="AB1596" s="42"/>
      <c r="AC1596" s="42"/>
      <c r="AD1596" s="42"/>
      <c r="AE1596" s="42"/>
      <c r="AF1596" s="42"/>
    </row>
    <row r="1597">
      <c r="A1597" s="25"/>
      <c r="B1597" s="297"/>
      <c r="C1597" s="25"/>
      <c r="D1597" s="25"/>
      <c r="E1597" s="25"/>
      <c r="F1597" s="25"/>
      <c r="G1597" s="123"/>
      <c r="H1597" s="123"/>
      <c r="I1597" s="25"/>
      <c r="J1597" s="25"/>
      <c r="K1597" s="367"/>
      <c r="L1597" s="42"/>
      <c r="M1597" s="42"/>
      <c r="N1597" s="42"/>
      <c r="O1597" s="42"/>
      <c r="P1597" s="42"/>
      <c r="Q1597" s="42"/>
      <c r="R1597" s="176"/>
      <c r="S1597" s="42"/>
      <c r="T1597" s="42"/>
      <c r="U1597" s="46"/>
      <c r="V1597" s="42"/>
      <c r="W1597" s="42"/>
      <c r="X1597" s="42"/>
      <c r="Y1597" s="42"/>
      <c r="Z1597" s="42"/>
      <c r="AA1597" s="42"/>
      <c r="AB1597" s="42"/>
      <c r="AC1597" s="42"/>
      <c r="AD1597" s="42"/>
      <c r="AE1597" s="42"/>
      <c r="AF1597" s="42"/>
    </row>
    <row r="1598">
      <c r="A1598" s="25"/>
      <c r="B1598" s="297"/>
      <c r="C1598" s="25"/>
      <c r="D1598" s="25"/>
      <c r="E1598" s="25"/>
      <c r="F1598" s="25"/>
      <c r="G1598" s="123"/>
      <c r="H1598" s="123"/>
      <c r="I1598" s="25"/>
      <c r="J1598" s="25"/>
      <c r="K1598" s="367"/>
      <c r="L1598" s="42"/>
      <c r="M1598" s="42"/>
      <c r="N1598" s="42"/>
      <c r="O1598" s="42"/>
      <c r="P1598" s="42"/>
      <c r="Q1598" s="42"/>
      <c r="R1598" s="176"/>
      <c r="S1598" s="42"/>
      <c r="T1598" s="42"/>
      <c r="U1598" s="46"/>
      <c r="V1598" s="42"/>
      <c r="W1598" s="42"/>
      <c r="X1598" s="42"/>
      <c r="Y1598" s="42"/>
      <c r="Z1598" s="42"/>
      <c r="AA1598" s="42"/>
      <c r="AB1598" s="42"/>
      <c r="AC1598" s="42"/>
      <c r="AD1598" s="42"/>
      <c r="AE1598" s="42"/>
      <c r="AF1598" s="42"/>
    </row>
    <row r="1599">
      <c r="A1599" s="25"/>
      <c r="B1599" s="297"/>
      <c r="C1599" s="25"/>
      <c r="D1599" s="25"/>
      <c r="E1599" s="25"/>
      <c r="F1599" s="25"/>
      <c r="G1599" s="123"/>
      <c r="H1599" s="123"/>
      <c r="I1599" s="25"/>
      <c r="J1599" s="25"/>
      <c r="K1599" s="367"/>
      <c r="L1599" s="42"/>
      <c r="M1599" s="42"/>
      <c r="N1599" s="42"/>
      <c r="O1599" s="42"/>
      <c r="P1599" s="42"/>
      <c r="Q1599" s="42"/>
      <c r="R1599" s="176"/>
      <c r="S1599" s="42"/>
      <c r="T1599" s="42"/>
      <c r="U1599" s="46"/>
      <c r="V1599" s="42"/>
      <c r="W1599" s="42"/>
      <c r="X1599" s="42"/>
      <c r="Y1599" s="42"/>
      <c r="Z1599" s="42"/>
      <c r="AA1599" s="42"/>
      <c r="AB1599" s="42"/>
      <c r="AC1599" s="42"/>
      <c r="AD1599" s="42"/>
      <c r="AE1599" s="42"/>
      <c r="AF1599" s="42"/>
    </row>
    <row r="1600">
      <c r="A1600" s="25"/>
      <c r="B1600" s="297"/>
      <c r="C1600" s="25"/>
      <c r="D1600" s="25"/>
      <c r="E1600" s="25"/>
      <c r="F1600" s="25"/>
      <c r="G1600" s="123"/>
      <c r="H1600" s="123"/>
      <c r="I1600" s="25"/>
      <c r="J1600" s="25"/>
      <c r="K1600" s="367"/>
      <c r="L1600" s="42"/>
      <c r="M1600" s="42"/>
      <c r="N1600" s="42"/>
      <c r="O1600" s="42"/>
      <c r="P1600" s="42"/>
      <c r="Q1600" s="42"/>
      <c r="R1600" s="176"/>
      <c r="S1600" s="42"/>
      <c r="T1600" s="42"/>
      <c r="U1600" s="46"/>
      <c r="V1600" s="42"/>
      <c r="W1600" s="42"/>
      <c r="X1600" s="42"/>
      <c r="Y1600" s="42"/>
      <c r="Z1600" s="42"/>
      <c r="AA1600" s="42"/>
      <c r="AB1600" s="42"/>
      <c r="AC1600" s="42"/>
      <c r="AD1600" s="42"/>
      <c r="AE1600" s="42"/>
      <c r="AF1600" s="42"/>
    </row>
    <row r="1601">
      <c r="A1601" s="25"/>
      <c r="B1601" s="297"/>
      <c r="C1601" s="25"/>
      <c r="D1601" s="25"/>
      <c r="E1601" s="25"/>
      <c r="F1601" s="25"/>
      <c r="G1601" s="123"/>
      <c r="H1601" s="123"/>
      <c r="I1601" s="25"/>
      <c r="J1601" s="25"/>
      <c r="K1601" s="367"/>
      <c r="L1601" s="42"/>
      <c r="M1601" s="42"/>
      <c r="N1601" s="42"/>
      <c r="O1601" s="42"/>
      <c r="P1601" s="42"/>
      <c r="Q1601" s="42"/>
      <c r="R1601" s="176"/>
      <c r="S1601" s="42"/>
      <c r="T1601" s="42"/>
      <c r="U1601" s="46"/>
      <c r="V1601" s="42"/>
      <c r="W1601" s="42"/>
      <c r="X1601" s="42"/>
      <c r="Y1601" s="42"/>
      <c r="Z1601" s="42"/>
      <c r="AA1601" s="42"/>
      <c r="AB1601" s="42"/>
      <c r="AC1601" s="42"/>
      <c r="AD1601" s="42"/>
      <c r="AE1601" s="42"/>
      <c r="AF1601" s="42"/>
    </row>
    <row r="1602">
      <c r="A1602" s="25"/>
      <c r="B1602" s="297"/>
      <c r="C1602" s="25"/>
      <c r="D1602" s="25"/>
      <c r="E1602" s="25"/>
      <c r="F1602" s="25"/>
      <c r="G1602" s="123"/>
      <c r="H1602" s="123"/>
      <c r="I1602" s="25"/>
      <c r="J1602" s="25"/>
      <c r="K1602" s="367"/>
      <c r="L1602" s="42"/>
      <c r="M1602" s="42"/>
      <c r="N1602" s="42"/>
      <c r="O1602" s="42"/>
      <c r="P1602" s="42"/>
      <c r="Q1602" s="42"/>
      <c r="R1602" s="176"/>
      <c r="S1602" s="42"/>
      <c r="T1602" s="42"/>
      <c r="U1602" s="46"/>
      <c r="V1602" s="42"/>
      <c r="W1602" s="42"/>
      <c r="X1602" s="42"/>
      <c r="Y1602" s="42"/>
      <c r="Z1602" s="42"/>
      <c r="AA1602" s="42"/>
      <c r="AB1602" s="42"/>
      <c r="AC1602" s="42"/>
      <c r="AD1602" s="42"/>
      <c r="AE1602" s="42"/>
      <c r="AF1602" s="42"/>
    </row>
    <row r="1603">
      <c r="A1603" s="25"/>
      <c r="B1603" s="297"/>
      <c r="C1603" s="25"/>
      <c r="D1603" s="25"/>
      <c r="E1603" s="25"/>
      <c r="F1603" s="25"/>
      <c r="G1603" s="123"/>
      <c r="H1603" s="123"/>
      <c r="I1603" s="25"/>
      <c r="J1603" s="25"/>
      <c r="K1603" s="367"/>
      <c r="L1603" s="42"/>
      <c r="M1603" s="42"/>
      <c r="N1603" s="42"/>
      <c r="O1603" s="42"/>
      <c r="P1603" s="42"/>
      <c r="Q1603" s="42"/>
      <c r="R1603" s="176"/>
      <c r="S1603" s="42"/>
      <c r="T1603" s="42"/>
      <c r="U1603" s="46"/>
      <c r="V1603" s="42"/>
      <c r="W1603" s="42"/>
      <c r="X1603" s="42"/>
      <c r="Y1603" s="42"/>
      <c r="Z1603" s="42"/>
      <c r="AA1603" s="42"/>
      <c r="AB1603" s="42"/>
      <c r="AC1603" s="42"/>
      <c r="AD1603" s="42"/>
      <c r="AE1603" s="42"/>
      <c r="AF1603" s="42"/>
    </row>
    <row r="1604">
      <c r="A1604" s="25"/>
      <c r="B1604" s="297"/>
      <c r="C1604" s="25"/>
      <c r="D1604" s="25"/>
      <c r="E1604" s="25"/>
      <c r="F1604" s="25"/>
      <c r="G1604" s="123"/>
      <c r="H1604" s="123"/>
      <c r="I1604" s="25"/>
      <c r="J1604" s="25"/>
      <c r="K1604" s="367"/>
      <c r="L1604" s="42"/>
      <c r="M1604" s="42"/>
      <c r="N1604" s="42"/>
      <c r="O1604" s="42"/>
      <c r="P1604" s="42"/>
      <c r="Q1604" s="42"/>
      <c r="R1604" s="176"/>
      <c r="S1604" s="42"/>
      <c r="T1604" s="42"/>
      <c r="U1604" s="46"/>
      <c r="V1604" s="42"/>
      <c r="W1604" s="42"/>
      <c r="X1604" s="42"/>
      <c r="Y1604" s="42"/>
      <c r="Z1604" s="42"/>
      <c r="AA1604" s="42"/>
      <c r="AB1604" s="42"/>
      <c r="AC1604" s="42"/>
      <c r="AD1604" s="42"/>
      <c r="AE1604" s="42"/>
      <c r="AF1604" s="42"/>
    </row>
    <row r="1605">
      <c r="A1605" s="25"/>
      <c r="B1605" s="297"/>
      <c r="C1605" s="25"/>
      <c r="D1605" s="25"/>
      <c r="E1605" s="25"/>
      <c r="F1605" s="25"/>
      <c r="G1605" s="123"/>
      <c r="H1605" s="123"/>
      <c r="I1605" s="25"/>
      <c r="J1605" s="25"/>
      <c r="K1605" s="367"/>
      <c r="L1605" s="42"/>
      <c r="M1605" s="42"/>
      <c r="N1605" s="42"/>
      <c r="O1605" s="42"/>
      <c r="P1605" s="42"/>
      <c r="Q1605" s="42"/>
      <c r="R1605" s="176"/>
      <c r="S1605" s="42"/>
      <c r="T1605" s="42"/>
      <c r="U1605" s="46"/>
      <c r="V1605" s="42"/>
      <c r="W1605" s="42"/>
      <c r="X1605" s="42"/>
      <c r="Y1605" s="42"/>
      <c r="Z1605" s="42"/>
      <c r="AA1605" s="42"/>
      <c r="AB1605" s="42"/>
      <c r="AC1605" s="42"/>
      <c r="AD1605" s="42"/>
      <c r="AE1605" s="42"/>
      <c r="AF1605" s="42"/>
    </row>
    <row r="1606">
      <c r="A1606" s="25"/>
      <c r="B1606" s="297"/>
      <c r="C1606" s="25"/>
      <c r="D1606" s="25"/>
      <c r="E1606" s="25"/>
      <c r="F1606" s="25"/>
      <c r="G1606" s="123"/>
      <c r="H1606" s="123"/>
      <c r="I1606" s="25"/>
      <c r="J1606" s="25"/>
      <c r="K1606" s="367"/>
      <c r="L1606" s="42"/>
      <c r="M1606" s="42"/>
      <c r="N1606" s="42"/>
      <c r="O1606" s="42"/>
      <c r="P1606" s="42"/>
      <c r="Q1606" s="42"/>
      <c r="R1606" s="176"/>
      <c r="S1606" s="42"/>
      <c r="T1606" s="42"/>
      <c r="U1606" s="46"/>
      <c r="V1606" s="42"/>
      <c r="W1606" s="42"/>
      <c r="X1606" s="42"/>
      <c r="Y1606" s="42"/>
      <c r="Z1606" s="42"/>
      <c r="AA1606" s="42"/>
      <c r="AB1606" s="42"/>
      <c r="AC1606" s="42"/>
      <c r="AD1606" s="42"/>
      <c r="AE1606" s="42"/>
      <c r="AF1606" s="42"/>
    </row>
    <row r="1607">
      <c r="A1607" s="25"/>
      <c r="B1607" s="297"/>
      <c r="C1607" s="25"/>
      <c r="D1607" s="25"/>
      <c r="E1607" s="25"/>
      <c r="F1607" s="25"/>
      <c r="G1607" s="123"/>
      <c r="H1607" s="123"/>
      <c r="I1607" s="25"/>
      <c r="J1607" s="25"/>
      <c r="K1607" s="367"/>
      <c r="L1607" s="42"/>
      <c r="M1607" s="42"/>
      <c r="N1607" s="42"/>
      <c r="O1607" s="42"/>
      <c r="P1607" s="42"/>
      <c r="Q1607" s="42"/>
      <c r="R1607" s="176"/>
      <c r="S1607" s="42"/>
      <c r="T1607" s="42"/>
      <c r="U1607" s="46"/>
      <c r="V1607" s="42"/>
      <c r="W1607" s="42"/>
      <c r="X1607" s="42"/>
      <c r="Y1607" s="42"/>
      <c r="Z1607" s="42"/>
      <c r="AA1607" s="42"/>
      <c r="AB1607" s="42"/>
      <c r="AC1607" s="42"/>
      <c r="AD1607" s="42"/>
      <c r="AE1607" s="42"/>
      <c r="AF1607" s="42"/>
    </row>
    <row r="1608">
      <c r="A1608" s="25"/>
      <c r="B1608" s="297"/>
      <c r="C1608" s="25"/>
      <c r="D1608" s="25"/>
      <c r="E1608" s="25"/>
      <c r="F1608" s="25"/>
      <c r="G1608" s="123"/>
      <c r="H1608" s="123"/>
      <c r="I1608" s="25"/>
      <c r="J1608" s="25"/>
      <c r="K1608" s="367"/>
      <c r="L1608" s="42"/>
      <c r="M1608" s="42"/>
      <c r="N1608" s="42"/>
      <c r="O1608" s="42"/>
      <c r="P1608" s="42"/>
      <c r="Q1608" s="42"/>
      <c r="R1608" s="176"/>
      <c r="S1608" s="42"/>
      <c r="T1608" s="42"/>
      <c r="U1608" s="46"/>
      <c r="V1608" s="42"/>
      <c r="W1608" s="42"/>
      <c r="X1608" s="42"/>
      <c r="Y1608" s="42"/>
      <c r="Z1608" s="42"/>
      <c r="AA1608" s="42"/>
      <c r="AB1608" s="42"/>
      <c r="AC1608" s="42"/>
      <c r="AD1608" s="42"/>
      <c r="AE1608" s="42"/>
      <c r="AF1608" s="42"/>
    </row>
    <row r="1609">
      <c r="A1609" s="25"/>
      <c r="B1609" s="297"/>
      <c r="C1609" s="25"/>
      <c r="D1609" s="25"/>
      <c r="E1609" s="25"/>
      <c r="F1609" s="25"/>
      <c r="G1609" s="123"/>
      <c r="H1609" s="123"/>
      <c r="I1609" s="25"/>
      <c r="J1609" s="25"/>
      <c r="K1609" s="367"/>
      <c r="L1609" s="42"/>
      <c r="M1609" s="42"/>
      <c r="N1609" s="42"/>
      <c r="O1609" s="42"/>
      <c r="P1609" s="42"/>
      <c r="Q1609" s="42"/>
      <c r="R1609" s="176"/>
      <c r="S1609" s="42"/>
      <c r="T1609" s="42"/>
      <c r="U1609" s="46"/>
      <c r="V1609" s="42"/>
      <c r="W1609" s="42"/>
      <c r="X1609" s="42"/>
      <c r="Y1609" s="42"/>
      <c r="Z1609" s="42"/>
      <c r="AA1609" s="42"/>
      <c r="AB1609" s="42"/>
      <c r="AC1609" s="42"/>
      <c r="AD1609" s="42"/>
      <c r="AE1609" s="42"/>
      <c r="AF1609" s="42"/>
    </row>
    <row r="1610">
      <c r="A1610" s="25"/>
      <c r="B1610" s="297"/>
      <c r="C1610" s="25"/>
      <c r="D1610" s="25"/>
      <c r="E1610" s="25"/>
      <c r="F1610" s="25"/>
      <c r="G1610" s="123"/>
      <c r="H1610" s="123"/>
      <c r="I1610" s="25"/>
      <c r="J1610" s="25"/>
      <c r="K1610" s="367"/>
      <c r="L1610" s="42"/>
      <c r="M1610" s="42"/>
      <c r="N1610" s="42"/>
      <c r="O1610" s="42"/>
      <c r="P1610" s="42"/>
      <c r="Q1610" s="42"/>
      <c r="R1610" s="176"/>
      <c r="S1610" s="42"/>
      <c r="T1610" s="42"/>
      <c r="U1610" s="46"/>
      <c r="V1610" s="42"/>
      <c r="W1610" s="42"/>
      <c r="X1610" s="42"/>
      <c r="Y1610" s="42"/>
      <c r="Z1610" s="42"/>
      <c r="AA1610" s="42"/>
      <c r="AB1610" s="42"/>
      <c r="AC1610" s="42"/>
      <c r="AD1610" s="42"/>
      <c r="AE1610" s="42"/>
      <c r="AF1610" s="42"/>
    </row>
    <row r="1611">
      <c r="A1611" s="25"/>
      <c r="B1611" s="297"/>
      <c r="C1611" s="25"/>
      <c r="D1611" s="25"/>
      <c r="E1611" s="25"/>
      <c r="F1611" s="25"/>
      <c r="G1611" s="123"/>
      <c r="H1611" s="123"/>
      <c r="I1611" s="25"/>
      <c r="J1611" s="25"/>
      <c r="K1611" s="367"/>
      <c r="L1611" s="42"/>
      <c r="M1611" s="42"/>
      <c r="N1611" s="42"/>
      <c r="O1611" s="42"/>
      <c r="P1611" s="42"/>
      <c r="Q1611" s="42"/>
      <c r="R1611" s="176"/>
      <c r="S1611" s="42"/>
      <c r="T1611" s="42"/>
      <c r="U1611" s="46"/>
      <c r="V1611" s="42"/>
      <c r="W1611" s="42"/>
      <c r="X1611" s="42"/>
      <c r="Y1611" s="42"/>
      <c r="Z1611" s="42"/>
      <c r="AA1611" s="42"/>
      <c r="AB1611" s="42"/>
      <c r="AC1611" s="42"/>
      <c r="AD1611" s="42"/>
      <c r="AE1611" s="42"/>
      <c r="AF1611" s="42"/>
    </row>
    <row r="1612">
      <c r="A1612" s="25"/>
      <c r="B1612" s="297"/>
      <c r="C1612" s="25"/>
      <c r="D1612" s="25"/>
      <c r="E1612" s="25"/>
      <c r="F1612" s="25"/>
      <c r="G1612" s="123"/>
      <c r="H1612" s="123"/>
      <c r="I1612" s="25"/>
      <c r="J1612" s="25"/>
      <c r="K1612" s="367"/>
      <c r="L1612" s="42"/>
      <c r="M1612" s="42"/>
      <c r="N1612" s="42"/>
      <c r="O1612" s="42"/>
      <c r="P1612" s="42"/>
      <c r="Q1612" s="42"/>
      <c r="R1612" s="176"/>
      <c r="S1612" s="42"/>
      <c r="T1612" s="42"/>
      <c r="U1612" s="46"/>
      <c r="V1612" s="42"/>
      <c r="W1612" s="42"/>
      <c r="X1612" s="42"/>
      <c r="Y1612" s="42"/>
      <c r="Z1612" s="42"/>
      <c r="AA1612" s="42"/>
      <c r="AB1612" s="42"/>
      <c r="AC1612" s="42"/>
      <c r="AD1612" s="42"/>
      <c r="AE1612" s="42"/>
      <c r="AF1612" s="42"/>
    </row>
    <row r="1613">
      <c r="A1613" s="25"/>
      <c r="B1613" s="297"/>
      <c r="C1613" s="25"/>
      <c r="D1613" s="25"/>
      <c r="E1613" s="25"/>
      <c r="F1613" s="25"/>
      <c r="G1613" s="123"/>
      <c r="H1613" s="123"/>
      <c r="I1613" s="25"/>
      <c r="J1613" s="25"/>
      <c r="K1613" s="367"/>
      <c r="L1613" s="42"/>
      <c r="M1613" s="42"/>
      <c r="N1613" s="42"/>
      <c r="O1613" s="42"/>
      <c r="P1613" s="42"/>
      <c r="Q1613" s="42"/>
      <c r="R1613" s="176"/>
      <c r="S1613" s="42"/>
      <c r="T1613" s="42"/>
      <c r="U1613" s="46"/>
      <c r="V1613" s="42"/>
      <c r="W1613" s="42"/>
      <c r="X1613" s="42"/>
      <c r="Y1613" s="42"/>
      <c r="Z1613" s="42"/>
      <c r="AA1613" s="42"/>
      <c r="AB1613" s="42"/>
      <c r="AC1613" s="42"/>
      <c r="AD1613" s="42"/>
      <c r="AE1613" s="42"/>
      <c r="AF1613" s="42"/>
    </row>
    <row r="1614">
      <c r="A1614" s="25"/>
      <c r="B1614" s="297"/>
      <c r="C1614" s="25"/>
      <c r="D1614" s="25"/>
      <c r="E1614" s="25"/>
      <c r="F1614" s="25"/>
      <c r="G1614" s="123"/>
      <c r="H1614" s="123"/>
      <c r="I1614" s="25"/>
      <c r="J1614" s="25"/>
      <c r="K1614" s="367"/>
      <c r="L1614" s="42"/>
      <c r="M1614" s="42"/>
      <c r="N1614" s="42"/>
      <c r="O1614" s="42"/>
      <c r="P1614" s="42"/>
      <c r="Q1614" s="42"/>
      <c r="R1614" s="176"/>
      <c r="S1614" s="42"/>
      <c r="T1614" s="42"/>
      <c r="U1614" s="46"/>
      <c r="V1614" s="42"/>
      <c r="W1614" s="42"/>
      <c r="X1614" s="42"/>
      <c r="Y1614" s="42"/>
      <c r="Z1614" s="42"/>
      <c r="AA1614" s="42"/>
      <c r="AB1614" s="42"/>
      <c r="AC1614" s="42"/>
      <c r="AD1614" s="42"/>
      <c r="AE1614" s="42"/>
      <c r="AF1614" s="42"/>
    </row>
    <row r="1615">
      <c r="A1615" s="25"/>
      <c r="B1615" s="297"/>
      <c r="C1615" s="25"/>
      <c r="D1615" s="25"/>
      <c r="E1615" s="25"/>
      <c r="F1615" s="25"/>
      <c r="G1615" s="123"/>
      <c r="H1615" s="123"/>
      <c r="I1615" s="25"/>
      <c r="J1615" s="25"/>
      <c r="K1615" s="367"/>
      <c r="L1615" s="42"/>
      <c r="M1615" s="42"/>
      <c r="N1615" s="42"/>
      <c r="O1615" s="42"/>
      <c r="P1615" s="42"/>
      <c r="Q1615" s="42"/>
      <c r="R1615" s="176"/>
      <c r="S1615" s="42"/>
      <c r="T1615" s="42"/>
      <c r="U1615" s="46"/>
      <c r="V1615" s="42"/>
      <c r="W1615" s="42"/>
      <c r="X1615" s="42"/>
      <c r="Y1615" s="42"/>
      <c r="Z1615" s="42"/>
      <c r="AA1615" s="42"/>
      <c r="AB1615" s="42"/>
      <c r="AC1615" s="42"/>
      <c r="AD1615" s="42"/>
      <c r="AE1615" s="42"/>
      <c r="AF1615" s="42"/>
    </row>
    <row r="1616">
      <c r="A1616" s="25"/>
      <c r="B1616" s="297"/>
      <c r="C1616" s="25"/>
      <c r="D1616" s="25"/>
      <c r="E1616" s="25"/>
      <c r="F1616" s="25"/>
      <c r="G1616" s="123"/>
      <c r="H1616" s="123"/>
      <c r="I1616" s="25"/>
      <c r="J1616" s="25"/>
      <c r="K1616" s="367"/>
      <c r="L1616" s="42"/>
      <c r="M1616" s="42"/>
      <c r="N1616" s="42"/>
      <c r="O1616" s="42"/>
      <c r="P1616" s="42"/>
      <c r="Q1616" s="42"/>
      <c r="R1616" s="176"/>
      <c r="S1616" s="42"/>
      <c r="T1616" s="42"/>
      <c r="U1616" s="46"/>
      <c r="V1616" s="42"/>
      <c r="W1616" s="42"/>
      <c r="X1616" s="42"/>
      <c r="Y1616" s="42"/>
      <c r="Z1616" s="42"/>
      <c r="AA1616" s="42"/>
      <c r="AB1616" s="42"/>
      <c r="AC1616" s="42"/>
      <c r="AD1616" s="42"/>
      <c r="AE1616" s="42"/>
      <c r="AF1616" s="42"/>
    </row>
    <row r="1617">
      <c r="A1617" s="25"/>
      <c r="B1617" s="297"/>
      <c r="C1617" s="25"/>
      <c r="D1617" s="25"/>
      <c r="E1617" s="25"/>
      <c r="F1617" s="25"/>
      <c r="G1617" s="123"/>
      <c r="H1617" s="123"/>
      <c r="I1617" s="25"/>
      <c r="J1617" s="25"/>
      <c r="K1617" s="367"/>
      <c r="L1617" s="42"/>
      <c r="M1617" s="42"/>
      <c r="N1617" s="42"/>
      <c r="O1617" s="42"/>
      <c r="P1617" s="42"/>
      <c r="Q1617" s="42"/>
      <c r="R1617" s="176"/>
      <c r="S1617" s="42"/>
      <c r="T1617" s="42"/>
      <c r="U1617" s="46"/>
      <c r="V1617" s="42"/>
      <c r="W1617" s="42"/>
      <c r="X1617" s="42"/>
      <c r="Y1617" s="42"/>
      <c r="Z1617" s="42"/>
      <c r="AA1617" s="42"/>
      <c r="AB1617" s="42"/>
      <c r="AC1617" s="42"/>
      <c r="AD1617" s="42"/>
      <c r="AE1617" s="42"/>
      <c r="AF1617" s="42"/>
    </row>
    <row r="1618">
      <c r="A1618" s="25"/>
      <c r="B1618" s="297"/>
      <c r="C1618" s="25"/>
      <c r="D1618" s="25"/>
      <c r="E1618" s="25"/>
      <c r="F1618" s="25"/>
      <c r="G1618" s="123"/>
      <c r="H1618" s="123"/>
      <c r="I1618" s="25"/>
      <c r="J1618" s="25"/>
      <c r="K1618" s="367"/>
      <c r="L1618" s="42"/>
      <c r="M1618" s="42"/>
      <c r="N1618" s="42"/>
      <c r="O1618" s="42"/>
      <c r="P1618" s="42"/>
      <c r="Q1618" s="42"/>
      <c r="R1618" s="176"/>
      <c r="S1618" s="42"/>
      <c r="T1618" s="42"/>
      <c r="U1618" s="46"/>
      <c r="V1618" s="42"/>
      <c r="W1618" s="42"/>
      <c r="X1618" s="42"/>
      <c r="Y1618" s="42"/>
      <c r="Z1618" s="42"/>
      <c r="AA1618" s="42"/>
      <c r="AB1618" s="42"/>
      <c r="AC1618" s="42"/>
      <c r="AD1618" s="42"/>
      <c r="AE1618" s="42"/>
      <c r="AF1618" s="42"/>
    </row>
    <row r="1619">
      <c r="A1619" s="25"/>
      <c r="B1619" s="297"/>
      <c r="C1619" s="25"/>
      <c r="D1619" s="25"/>
      <c r="E1619" s="25"/>
      <c r="F1619" s="25"/>
      <c r="G1619" s="123"/>
      <c r="H1619" s="123"/>
      <c r="I1619" s="25"/>
      <c r="J1619" s="25"/>
      <c r="K1619" s="367"/>
      <c r="L1619" s="42"/>
      <c r="M1619" s="42"/>
      <c r="N1619" s="42"/>
      <c r="O1619" s="42"/>
      <c r="P1619" s="42"/>
      <c r="Q1619" s="42"/>
      <c r="R1619" s="176"/>
      <c r="S1619" s="42"/>
      <c r="T1619" s="42"/>
      <c r="U1619" s="46"/>
      <c r="V1619" s="42"/>
      <c r="W1619" s="42"/>
      <c r="X1619" s="42"/>
      <c r="Y1619" s="42"/>
      <c r="Z1619" s="42"/>
      <c r="AA1619" s="42"/>
      <c r="AB1619" s="42"/>
      <c r="AC1619" s="42"/>
      <c r="AD1619" s="42"/>
      <c r="AE1619" s="42"/>
      <c r="AF1619" s="42"/>
    </row>
    <row r="1620">
      <c r="A1620" s="25"/>
      <c r="B1620" s="297"/>
      <c r="C1620" s="25"/>
      <c r="D1620" s="25"/>
      <c r="E1620" s="25"/>
      <c r="F1620" s="25"/>
      <c r="G1620" s="123"/>
      <c r="H1620" s="123"/>
      <c r="I1620" s="25"/>
      <c r="J1620" s="25"/>
      <c r="K1620" s="367"/>
      <c r="L1620" s="42"/>
      <c r="M1620" s="42"/>
      <c r="N1620" s="42"/>
      <c r="O1620" s="42"/>
      <c r="P1620" s="42"/>
      <c r="Q1620" s="42"/>
      <c r="R1620" s="176"/>
      <c r="S1620" s="42"/>
      <c r="T1620" s="42"/>
      <c r="U1620" s="46"/>
      <c r="V1620" s="42"/>
      <c r="W1620" s="42"/>
      <c r="X1620" s="42"/>
      <c r="Y1620" s="42"/>
      <c r="Z1620" s="42"/>
      <c r="AA1620" s="42"/>
      <c r="AB1620" s="42"/>
      <c r="AC1620" s="42"/>
      <c r="AD1620" s="42"/>
      <c r="AE1620" s="42"/>
      <c r="AF1620" s="42"/>
    </row>
    <row r="1621">
      <c r="A1621" s="25"/>
      <c r="B1621" s="297"/>
      <c r="C1621" s="25"/>
      <c r="D1621" s="25"/>
      <c r="E1621" s="25"/>
      <c r="F1621" s="25"/>
      <c r="G1621" s="123"/>
      <c r="H1621" s="123"/>
      <c r="I1621" s="25"/>
      <c r="J1621" s="25"/>
      <c r="K1621" s="367"/>
      <c r="L1621" s="42"/>
      <c r="M1621" s="42"/>
      <c r="N1621" s="42"/>
      <c r="O1621" s="42"/>
      <c r="P1621" s="42"/>
      <c r="Q1621" s="42"/>
      <c r="R1621" s="176"/>
      <c r="S1621" s="42"/>
      <c r="T1621" s="42"/>
      <c r="U1621" s="46"/>
      <c r="V1621" s="42"/>
      <c r="W1621" s="42"/>
      <c r="X1621" s="42"/>
      <c r="Y1621" s="42"/>
      <c r="Z1621" s="42"/>
      <c r="AA1621" s="42"/>
      <c r="AB1621" s="42"/>
      <c r="AC1621" s="42"/>
      <c r="AD1621" s="42"/>
      <c r="AE1621" s="42"/>
      <c r="AF1621" s="42"/>
    </row>
    <row r="1622">
      <c r="A1622" s="25"/>
      <c r="B1622" s="297"/>
      <c r="C1622" s="25"/>
      <c r="D1622" s="25"/>
      <c r="E1622" s="25"/>
      <c r="F1622" s="25"/>
      <c r="G1622" s="123"/>
      <c r="H1622" s="123"/>
      <c r="I1622" s="25"/>
      <c r="J1622" s="25"/>
      <c r="K1622" s="367"/>
      <c r="L1622" s="42"/>
      <c r="M1622" s="42"/>
      <c r="N1622" s="42"/>
      <c r="O1622" s="42"/>
      <c r="P1622" s="42"/>
      <c r="Q1622" s="42"/>
      <c r="R1622" s="176"/>
      <c r="S1622" s="42"/>
      <c r="T1622" s="42"/>
      <c r="U1622" s="46"/>
      <c r="V1622" s="42"/>
      <c r="W1622" s="42"/>
      <c r="X1622" s="42"/>
      <c r="Y1622" s="42"/>
      <c r="Z1622" s="42"/>
      <c r="AA1622" s="42"/>
      <c r="AB1622" s="42"/>
      <c r="AC1622" s="42"/>
      <c r="AD1622" s="42"/>
      <c r="AE1622" s="42"/>
      <c r="AF1622" s="42"/>
    </row>
    <row r="1623">
      <c r="A1623" s="25"/>
      <c r="B1623" s="297"/>
      <c r="C1623" s="25"/>
      <c r="D1623" s="25"/>
      <c r="E1623" s="25"/>
      <c r="F1623" s="25"/>
      <c r="G1623" s="123"/>
      <c r="H1623" s="123"/>
      <c r="I1623" s="25"/>
      <c r="J1623" s="25"/>
      <c r="K1623" s="367"/>
      <c r="L1623" s="42"/>
      <c r="M1623" s="42"/>
      <c r="N1623" s="42"/>
      <c r="O1623" s="42"/>
      <c r="P1623" s="42"/>
      <c r="Q1623" s="42"/>
      <c r="R1623" s="176"/>
      <c r="S1623" s="42"/>
      <c r="T1623" s="42"/>
      <c r="U1623" s="46"/>
      <c r="V1623" s="42"/>
      <c r="W1623" s="42"/>
      <c r="X1623" s="42"/>
      <c r="Y1623" s="42"/>
      <c r="Z1623" s="42"/>
      <c r="AA1623" s="42"/>
      <c r="AB1623" s="42"/>
      <c r="AC1623" s="42"/>
      <c r="AD1623" s="42"/>
      <c r="AE1623" s="42"/>
      <c r="AF1623" s="42"/>
    </row>
    <row r="1624">
      <c r="A1624" s="25"/>
      <c r="B1624" s="297"/>
      <c r="C1624" s="25"/>
      <c r="D1624" s="25"/>
      <c r="E1624" s="25"/>
      <c r="F1624" s="25"/>
      <c r="G1624" s="123"/>
      <c r="H1624" s="123"/>
      <c r="I1624" s="25"/>
      <c r="J1624" s="25"/>
      <c r="K1624" s="367"/>
      <c r="L1624" s="42"/>
      <c r="M1624" s="42"/>
      <c r="N1624" s="42"/>
      <c r="O1624" s="42"/>
      <c r="P1624" s="42"/>
      <c r="Q1624" s="42"/>
      <c r="R1624" s="176"/>
      <c r="S1624" s="42"/>
      <c r="T1624" s="42"/>
      <c r="U1624" s="46"/>
      <c r="V1624" s="42"/>
      <c r="W1624" s="42"/>
      <c r="X1624" s="42"/>
      <c r="Y1624" s="42"/>
      <c r="Z1624" s="42"/>
      <c r="AA1624" s="42"/>
      <c r="AB1624" s="42"/>
      <c r="AC1624" s="42"/>
      <c r="AD1624" s="42"/>
      <c r="AE1624" s="42"/>
      <c r="AF1624" s="42"/>
    </row>
    <row r="1625">
      <c r="A1625" s="25"/>
      <c r="B1625" s="297"/>
      <c r="C1625" s="25"/>
      <c r="D1625" s="25"/>
      <c r="E1625" s="25"/>
      <c r="F1625" s="25"/>
      <c r="G1625" s="123"/>
      <c r="H1625" s="123"/>
      <c r="I1625" s="25"/>
      <c r="J1625" s="25"/>
      <c r="K1625" s="367"/>
      <c r="L1625" s="42"/>
      <c r="M1625" s="42"/>
      <c r="N1625" s="42"/>
      <c r="O1625" s="42"/>
      <c r="P1625" s="42"/>
      <c r="Q1625" s="42"/>
      <c r="R1625" s="176"/>
      <c r="S1625" s="42"/>
      <c r="T1625" s="42"/>
      <c r="U1625" s="46"/>
      <c r="V1625" s="42"/>
      <c r="W1625" s="42"/>
      <c r="X1625" s="42"/>
      <c r="Y1625" s="42"/>
      <c r="Z1625" s="42"/>
      <c r="AA1625" s="42"/>
      <c r="AB1625" s="42"/>
      <c r="AC1625" s="42"/>
      <c r="AD1625" s="42"/>
      <c r="AE1625" s="42"/>
      <c r="AF1625" s="42"/>
    </row>
    <row r="1626">
      <c r="A1626" s="25"/>
      <c r="B1626" s="297"/>
      <c r="C1626" s="25"/>
      <c r="D1626" s="25"/>
      <c r="E1626" s="25"/>
      <c r="F1626" s="25"/>
      <c r="G1626" s="123"/>
      <c r="H1626" s="123"/>
      <c r="I1626" s="25"/>
      <c r="J1626" s="25"/>
      <c r="K1626" s="367"/>
      <c r="L1626" s="42"/>
      <c r="M1626" s="42"/>
      <c r="N1626" s="42"/>
      <c r="O1626" s="42"/>
      <c r="P1626" s="42"/>
      <c r="Q1626" s="42"/>
      <c r="R1626" s="176"/>
      <c r="S1626" s="42"/>
      <c r="T1626" s="42"/>
      <c r="U1626" s="46"/>
      <c r="V1626" s="42"/>
      <c r="W1626" s="42"/>
      <c r="X1626" s="42"/>
      <c r="Y1626" s="42"/>
      <c r="Z1626" s="42"/>
      <c r="AA1626" s="42"/>
      <c r="AB1626" s="42"/>
      <c r="AC1626" s="42"/>
      <c r="AD1626" s="42"/>
      <c r="AE1626" s="42"/>
      <c r="AF1626" s="42"/>
    </row>
    <row r="1627">
      <c r="A1627" s="25"/>
      <c r="B1627" s="297"/>
      <c r="C1627" s="25"/>
      <c r="D1627" s="25"/>
      <c r="E1627" s="25"/>
      <c r="F1627" s="25"/>
      <c r="G1627" s="123"/>
      <c r="H1627" s="123"/>
      <c r="I1627" s="25"/>
      <c r="J1627" s="25"/>
      <c r="K1627" s="367"/>
      <c r="L1627" s="42"/>
      <c r="M1627" s="42"/>
      <c r="N1627" s="42"/>
      <c r="O1627" s="42"/>
      <c r="P1627" s="42"/>
      <c r="Q1627" s="42"/>
      <c r="R1627" s="176"/>
      <c r="S1627" s="42"/>
      <c r="T1627" s="42"/>
      <c r="U1627" s="46"/>
      <c r="V1627" s="42"/>
      <c r="W1627" s="42"/>
      <c r="X1627" s="42"/>
      <c r="Y1627" s="42"/>
      <c r="Z1627" s="42"/>
      <c r="AA1627" s="42"/>
      <c r="AB1627" s="42"/>
      <c r="AC1627" s="42"/>
      <c r="AD1627" s="42"/>
      <c r="AE1627" s="42"/>
      <c r="AF1627" s="42"/>
    </row>
    <row r="1628">
      <c r="A1628" s="25"/>
      <c r="B1628" s="297"/>
      <c r="C1628" s="25"/>
      <c r="D1628" s="25"/>
      <c r="E1628" s="25"/>
      <c r="F1628" s="25"/>
      <c r="G1628" s="123"/>
      <c r="H1628" s="123"/>
      <c r="I1628" s="25"/>
      <c r="J1628" s="25"/>
      <c r="K1628" s="367"/>
      <c r="L1628" s="42"/>
      <c r="M1628" s="42"/>
      <c r="N1628" s="42"/>
      <c r="O1628" s="42"/>
      <c r="P1628" s="42"/>
      <c r="Q1628" s="42"/>
      <c r="R1628" s="176"/>
      <c r="S1628" s="42"/>
      <c r="T1628" s="42"/>
      <c r="U1628" s="46"/>
      <c r="V1628" s="42"/>
      <c r="W1628" s="42"/>
      <c r="X1628" s="42"/>
      <c r="Y1628" s="42"/>
      <c r="Z1628" s="42"/>
      <c r="AA1628" s="42"/>
      <c r="AB1628" s="42"/>
      <c r="AC1628" s="42"/>
      <c r="AD1628" s="42"/>
      <c r="AE1628" s="42"/>
      <c r="AF1628" s="42"/>
    </row>
    <row r="1629">
      <c r="A1629" s="25"/>
      <c r="B1629" s="297"/>
      <c r="C1629" s="25"/>
      <c r="D1629" s="25"/>
      <c r="E1629" s="25"/>
      <c r="F1629" s="25"/>
      <c r="G1629" s="123"/>
      <c r="H1629" s="123"/>
      <c r="I1629" s="25"/>
      <c r="J1629" s="25"/>
      <c r="K1629" s="367"/>
      <c r="L1629" s="42"/>
      <c r="M1629" s="42"/>
      <c r="N1629" s="42"/>
      <c r="O1629" s="42"/>
      <c r="P1629" s="42"/>
      <c r="Q1629" s="42"/>
      <c r="R1629" s="176"/>
      <c r="S1629" s="42"/>
      <c r="T1629" s="42"/>
      <c r="U1629" s="46"/>
      <c r="V1629" s="42"/>
      <c r="W1629" s="42"/>
      <c r="X1629" s="42"/>
      <c r="Y1629" s="42"/>
      <c r="Z1629" s="42"/>
      <c r="AA1629" s="42"/>
      <c r="AB1629" s="42"/>
      <c r="AC1629" s="42"/>
      <c r="AD1629" s="42"/>
      <c r="AE1629" s="42"/>
      <c r="AF1629" s="42"/>
    </row>
    <row r="1630">
      <c r="A1630" s="25"/>
      <c r="B1630" s="297"/>
      <c r="C1630" s="25"/>
      <c r="D1630" s="25"/>
      <c r="E1630" s="25"/>
      <c r="F1630" s="25"/>
      <c r="G1630" s="123"/>
      <c r="H1630" s="123"/>
      <c r="I1630" s="25"/>
      <c r="J1630" s="25"/>
      <c r="K1630" s="367"/>
      <c r="L1630" s="42"/>
      <c r="M1630" s="42"/>
      <c r="N1630" s="42"/>
      <c r="O1630" s="42"/>
      <c r="P1630" s="42"/>
      <c r="Q1630" s="42"/>
      <c r="R1630" s="176"/>
      <c r="S1630" s="42"/>
      <c r="T1630" s="42"/>
      <c r="U1630" s="46"/>
      <c r="V1630" s="42"/>
      <c r="W1630" s="42"/>
      <c r="X1630" s="42"/>
      <c r="Y1630" s="42"/>
      <c r="Z1630" s="42"/>
      <c r="AA1630" s="42"/>
      <c r="AB1630" s="42"/>
      <c r="AC1630" s="42"/>
      <c r="AD1630" s="42"/>
      <c r="AE1630" s="42"/>
      <c r="AF1630" s="42"/>
    </row>
    <row r="1631">
      <c r="A1631" s="25"/>
      <c r="B1631" s="297"/>
      <c r="C1631" s="25"/>
      <c r="D1631" s="25"/>
      <c r="E1631" s="25"/>
      <c r="F1631" s="25"/>
      <c r="G1631" s="123"/>
      <c r="H1631" s="123"/>
      <c r="I1631" s="25"/>
      <c r="J1631" s="25"/>
      <c r="K1631" s="367"/>
      <c r="L1631" s="42"/>
      <c r="M1631" s="42"/>
      <c r="N1631" s="42"/>
      <c r="O1631" s="42"/>
      <c r="P1631" s="42"/>
      <c r="Q1631" s="42"/>
      <c r="R1631" s="176"/>
      <c r="S1631" s="42"/>
      <c r="T1631" s="42"/>
      <c r="U1631" s="46"/>
      <c r="V1631" s="42"/>
      <c r="W1631" s="42"/>
      <c r="X1631" s="42"/>
      <c r="Y1631" s="42"/>
      <c r="Z1631" s="42"/>
      <c r="AA1631" s="42"/>
      <c r="AB1631" s="42"/>
      <c r="AC1631" s="42"/>
      <c r="AD1631" s="42"/>
      <c r="AE1631" s="42"/>
      <c r="AF1631" s="42"/>
    </row>
    <row r="1632">
      <c r="A1632" s="25"/>
      <c r="B1632" s="297"/>
      <c r="C1632" s="25"/>
      <c r="D1632" s="25"/>
      <c r="E1632" s="25"/>
      <c r="F1632" s="25"/>
      <c r="G1632" s="123"/>
      <c r="H1632" s="123"/>
      <c r="I1632" s="25"/>
      <c r="J1632" s="25"/>
      <c r="K1632" s="367"/>
      <c r="L1632" s="42"/>
      <c r="M1632" s="42"/>
      <c r="N1632" s="42"/>
      <c r="O1632" s="42"/>
      <c r="P1632" s="42"/>
      <c r="Q1632" s="42"/>
      <c r="R1632" s="176"/>
      <c r="S1632" s="42"/>
      <c r="T1632" s="42"/>
      <c r="U1632" s="46"/>
      <c r="V1632" s="42"/>
      <c r="W1632" s="42"/>
      <c r="X1632" s="42"/>
      <c r="Y1632" s="42"/>
      <c r="Z1632" s="42"/>
      <c r="AA1632" s="42"/>
      <c r="AB1632" s="42"/>
      <c r="AC1632" s="42"/>
      <c r="AD1632" s="42"/>
      <c r="AE1632" s="42"/>
      <c r="AF1632" s="42"/>
    </row>
    <row r="1633">
      <c r="A1633" s="25"/>
      <c r="B1633" s="297"/>
      <c r="C1633" s="25"/>
      <c r="D1633" s="25"/>
      <c r="E1633" s="25"/>
      <c r="F1633" s="25"/>
      <c r="G1633" s="123"/>
      <c r="H1633" s="123"/>
      <c r="I1633" s="25"/>
      <c r="J1633" s="25"/>
      <c r="K1633" s="367"/>
      <c r="L1633" s="42"/>
      <c r="M1633" s="42"/>
      <c r="N1633" s="42"/>
      <c r="O1633" s="42"/>
      <c r="P1633" s="42"/>
      <c r="Q1633" s="42"/>
      <c r="R1633" s="176"/>
      <c r="S1633" s="42"/>
      <c r="T1633" s="42"/>
      <c r="U1633" s="46"/>
      <c r="V1633" s="42"/>
      <c r="W1633" s="42"/>
      <c r="X1633" s="42"/>
      <c r="Y1633" s="42"/>
      <c r="Z1633" s="42"/>
      <c r="AA1633" s="42"/>
      <c r="AB1633" s="42"/>
      <c r="AC1633" s="42"/>
      <c r="AD1633" s="42"/>
      <c r="AE1633" s="42"/>
      <c r="AF1633" s="42"/>
    </row>
    <row r="1634">
      <c r="A1634" s="25"/>
      <c r="B1634" s="297"/>
      <c r="C1634" s="25"/>
      <c r="D1634" s="25"/>
      <c r="E1634" s="25"/>
      <c r="F1634" s="25"/>
      <c r="G1634" s="123"/>
      <c r="H1634" s="123"/>
      <c r="I1634" s="25"/>
      <c r="J1634" s="25"/>
      <c r="K1634" s="367"/>
      <c r="L1634" s="42"/>
      <c r="M1634" s="42"/>
      <c r="N1634" s="42"/>
      <c r="O1634" s="42"/>
      <c r="P1634" s="42"/>
      <c r="Q1634" s="42"/>
      <c r="R1634" s="176"/>
      <c r="S1634" s="42"/>
      <c r="T1634" s="42"/>
      <c r="U1634" s="46"/>
      <c r="V1634" s="42"/>
      <c r="W1634" s="42"/>
      <c r="X1634" s="42"/>
      <c r="Y1634" s="42"/>
      <c r="Z1634" s="42"/>
      <c r="AA1634" s="42"/>
      <c r="AB1634" s="42"/>
      <c r="AC1634" s="42"/>
      <c r="AD1634" s="42"/>
      <c r="AE1634" s="42"/>
      <c r="AF1634" s="42"/>
    </row>
    <row r="1635">
      <c r="A1635" s="25"/>
      <c r="B1635" s="297"/>
      <c r="C1635" s="25"/>
      <c r="D1635" s="25"/>
      <c r="E1635" s="25"/>
      <c r="F1635" s="25"/>
      <c r="G1635" s="123"/>
      <c r="H1635" s="123"/>
      <c r="I1635" s="25"/>
      <c r="J1635" s="25"/>
      <c r="K1635" s="367"/>
      <c r="L1635" s="42"/>
      <c r="M1635" s="42"/>
      <c r="N1635" s="42"/>
      <c r="O1635" s="42"/>
      <c r="P1635" s="42"/>
      <c r="Q1635" s="42"/>
      <c r="R1635" s="176"/>
      <c r="S1635" s="42"/>
      <c r="T1635" s="42"/>
      <c r="U1635" s="46"/>
      <c r="V1635" s="42"/>
      <c r="W1635" s="42"/>
      <c r="X1635" s="42"/>
      <c r="Y1635" s="42"/>
      <c r="Z1635" s="42"/>
      <c r="AA1635" s="42"/>
      <c r="AB1635" s="42"/>
      <c r="AC1635" s="42"/>
      <c r="AD1635" s="42"/>
      <c r="AE1635" s="42"/>
      <c r="AF1635" s="42"/>
    </row>
    <row r="1636">
      <c r="A1636" s="25"/>
      <c r="B1636" s="297"/>
      <c r="C1636" s="25"/>
      <c r="D1636" s="25"/>
      <c r="E1636" s="25"/>
      <c r="F1636" s="25"/>
      <c r="G1636" s="123"/>
      <c r="H1636" s="123"/>
      <c r="I1636" s="25"/>
      <c r="J1636" s="25"/>
      <c r="K1636" s="367"/>
      <c r="L1636" s="42"/>
      <c r="M1636" s="42"/>
      <c r="N1636" s="42"/>
      <c r="O1636" s="42"/>
      <c r="P1636" s="42"/>
      <c r="Q1636" s="42"/>
      <c r="R1636" s="176"/>
      <c r="S1636" s="42"/>
      <c r="T1636" s="42"/>
      <c r="U1636" s="46"/>
      <c r="V1636" s="42"/>
      <c r="W1636" s="42"/>
      <c r="X1636" s="42"/>
      <c r="Y1636" s="42"/>
      <c r="Z1636" s="42"/>
      <c r="AA1636" s="42"/>
      <c r="AB1636" s="42"/>
      <c r="AC1636" s="42"/>
      <c r="AD1636" s="42"/>
      <c r="AE1636" s="42"/>
      <c r="AF1636" s="42"/>
    </row>
    <row r="1637">
      <c r="A1637" s="25"/>
      <c r="B1637" s="297"/>
      <c r="C1637" s="25"/>
      <c r="D1637" s="25"/>
      <c r="E1637" s="25"/>
      <c r="F1637" s="25"/>
      <c r="G1637" s="123"/>
      <c r="H1637" s="123"/>
      <c r="I1637" s="25"/>
      <c r="J1637" s="25"/>
      <c r="K1637" s="367"/>
      <c r="L1637" s="42"/>
      <c r="M1637" s="42"/>
      <c r="N1637" s="42"/>
      <c r="O1637" s="42"/>
      <c r="P1637" s="42"/>
      <c r="Q1637" s="42"/>
      <c r="R1637" s="176"/>
      <c r="S1637" s="42"/>
      <c r="T1637" s="42"/>
      <c r="U1637" s="46"/>
      <c r="V1637" s="42"/>
      <c r="W1637" s="42"/>
      <c r="X1637" s="42"/>
      <c r="Y1637" s="42"/>
      <c r="Z1637" s="42"/>
      <c r="AA1637" s="42"/>
      <c r="AB1637" s="42"/>
      <c r="AC1637" s="42"/>
      <c r="AD1637" s="42"/>
      <c r="AE1637" s="42"/>
      <c r="AF1637" s="42"/>
    </row>
    <row r="1638">
      <c r="A1638" s="25"/>
      <c r="B1638" s="297"/>
      <c r="C1638" s="25"/>
      <c r="D1638" s="25"/>
      <c r="E1638" s="25"/>
      <c r="F1638" s="25"/>
      <c r="G1638" s="123"/>
      <c r="H1638" s="123"/>
      <c r="I1638" s="25"/>
      <c r="J1638" s="25"/>
      <c r="K1638" s="367"/>
      <c r="L1638" s="42"/>
      <c r="M1638" s="42"/>
      <c r="N1638" s="42"/>
      <c r="O1638" s="42"/>
      <c r="P1638" s="42"/>
      <c r="Q1638" s="42"/>
      <c r="R1638" s="176"/>
      <c r="S1638" s="42"/>
      <c r="T1638" s="42"/>
      <c r="U1638" s="46"/>
      <c r="V1638" s="42"/>
      <c r="W1638" s="42"/>
      <c r="X1638" s="42"/>
      <c r="Y1638" s="42"/>
      <c r="Z1638" s="42"/>
      <c r="AA1638" s="42"/>
      <c r="AB1638" s="42"/>
      <c r="AC1638" s="42"/>
      <c r="AD1638" s="42"/>
      <c r="AE1638" s="42"/>
      <c r="AF1638" s="42"/>
    </row>
    <row r="1639">
      <c r="A1639" s="25"/>
      <c r="B1639" s="297"/>
      <c r="C1639" s="25"/>
      <c r="D1639" s="25"/>
      <c r="E1639" s="25"/>
      <c r="F1639" s="25"/>
      <c r="G1639" s="123"/>
      <c r="H1639" s="123"/>
      <c r="I1639" s="25"/>
      <c r="J1639" s="25"/>
      <c r="K1639" s="367"/>
      <c r="L1639" s="42"/>
      <c r="M1639" s="42"/>
      <c r="N1639" s="42"/>
      <c r="O1639" s="42"/>
      <c r="P1639" s="42"/>
      <c r="Q1639" s="42"/>
      <c r="R1639" s="176"/>
      <c r="S1639" s="42"/>
      <c r="T1639" s="42"/>
      <c r="U1639" s="46"/>
      <c r="V1639" s="42"/>
      <c r="W1639" s="42"/>
      <c r="X1639" s="42"/>
      <c r="Y1639" s="42"/>
      <c r="Z1639" s="42"/>
      <c r="AA1639" s="42"/>
      <c r="AB1639" s="42"/>
      <c r="AC1639" s="42"/>
      <c r="AD1639" s="42"/>
      <c r="AE1639" s="42"/>
      <c r="AF1639" s="42"/>
    </row>
    <row r="1640">
      <c r="A1640" s="25"/>
      <c r="B1640" s="297"/>
      <c r="C1640" s="25"/>
      <c r="D1640" s="25"/>
      <c r="E1640" s="25"/>
      <c r="F1640" s="25"/>
      <c r="G1640" s="123"/>
      <c r="H1640" s="123"/>
      <c r="I1640" s="25"/>
      <c r="J1640" s="25"/>
      <c r="K1640" s="367"/>
      <c r="L1640" s="42"/>
      <c r="M1640" s="42"/>
      <c r="N1640" s="42"/>
      <c r="O1640" s="42"/>
      <c r="P1640" s="42"/>
      <c r="Q1640" s="42"/>
      <c r="R1640" s="176"/>
      <c r="S1640" s="42"/>
      <c r="T1640" s="42"/>
      <c r="U1640" s="46"/>
      <c r="V1640" s="42"/>
      <c r="W1640" s="42"/>
      <c r="X1640" s="42"/>
      <c r="Y1640" s="42"/>
      <c r="Z1640" s="42"/>
      <c r="AA1640" s="42"/>
      <c r="AB1640" s="42"/>
      <c r="AC1640" s="42"/>
      <c r="AD1640" s="42"/>
      <c r="AE1640" s="42"/>
      <c r="AF1640" s="42"/>
    </row>
    <row r="1641">
      <c r="A1641" s="25"/>
      <c r="B1641" s="297"/>
      <c r="C1641" s="25"/>
      <c r="D1641" s="25"/>
      <c r="E1641" s="25"/>
      <c r="F1641" s="25"/>
      <c r="G1641" s="123"/>
      <c r="H1641" s="123"/>
      <c r="I1641" s="25"/>
      <c r="J1641" s="25"/>
      <c r="K1641" s="367"/>
      <c r="L1641" s="42"/>
      <c r="M1641" s="42"/>
      <c r="N1641" s="42"/>
      <c r="O1641" s="42"/>
      <c r="P1641" s="42"/>
      <c r="Q1641" s="42"/>
      <c r="R1641" s="176"/>
      <c r="S1641" s="42"/>
      <c r="T1641" s="42"/>
      <c r="U1641" s="46"/>
      <c r="V1641" s="42"/>
      <c r="W1641" s="42"/>
      <c r="X1641" s="42"/>
      <c r="Y1641" s="42"/>
      <c r="Z1641" s="42"/>
      <c r="AA1641" s="42"/>
      <c r="AB1641" s="42"/>
      <c r="AC1641" s="42"/>
      <c r="AD1641" s="42"/>
      <c r="AE1641" s="42"/>
      <c r="AF1641" s="42"/>
    </row>
    <row r="1642">
      <c r="A1642" s="25"/>
      <c r="B1642" s="297"/>
      <c r="C1642" s="25"/>
      <c r="D1642" s="25"/>
      <c r="E1642" s="25"/>
      <c r="F1642" s="25"/>
      <c r="G1642" s="123"/>
      <c r="H1642" s="123"/>
      <c r="I1642" s="25"/>
      <c r="J1642" s="25"/>
      <c r="K1642" s="367"/>
      <c r="L1642" s="42"/>
      <c r="M1642" s="42"/>
      <c r="N1642" s="42"/>
      <c r="O1642" s="42"/>
      <c r="P1642" s="42"/>
      <c r="Q1642" s="42"/>
      <c r="R1642" s="176"/>
      <c r="S1642" s="42"/>
      <c r="T1642" s="42"/>
      <c r="U1642" s="46"/>
      <c r="V1642" s="42"/>
      <c r="W1642" s="42"/>
      <c r="X1642" s="42"/>
      <c r="Y1642" s="42"/>
      <c r="Z1642" s="42"/>
      <c r="AA1642" s="42"/>
      <c r="AB1642" s="42"/>
      <c r="AC1642" s="42"/>
      <c r="AD1642" s="42"/>
      <c r="AE1642" s="42"/>
      <c r="AF1642" s="42"/>
    </row>
    <row r="1643">
      <c r="A1643" s="25"/>
      <c r="B1643" s="297"/>
      <c r="C1643" s="25"/>
      <c r="D1643" s="25"/>
      <c r="E1643" s="25"/>
      <c r="F1643" s="25"/>
      <c r="G1643" s="123"/>
      <c r="H1643" s="123"/>
      <c r="I1643" s="25"/>
      <c r="J1643" s="25"/>
      <c r="K1643" s="367"/>
      <c r="L1643" s="42"/>
      <c r="M1643" s="42"/>
      <c r="N1643" s="42"/>
      <c r="O1643" s="42"/>
      <c r="P1643" s="42"/>
      <c r="Q1643" s="42"/>
      <c r="R1643" s="176"/>
      <c r="S1643" s="42"/>
      <c r="T1643" s="42"/>
      <c r="U1643" s="46"/>
      <c r="V1643" s="42"/>
      <c r="W1643" s="42"/>
      <c r="X1643" s="42"/>
      <c r="Y1643" s="42"/>
      <c r="Z1643" s="42"/>
      <c r="AA1643" s="42"/>
      <c r="AB1643" s="42"/>
      <c r="AC1643" s="42"/>
      <c r="AD1643" s="42"/>
      <c r="AE1643" s="42"/>
      <c r="AF1643" s="42"/>
    </row>
    <row r="1644">
      <c r="A1644" s="25"/>
      <c r="B1644" s="297"/>
      <c r="C1644" s="25"/>
      <c r="D1644" s="25"/>
      <c r="E1644" s="25"/>
      <c r="F1644" s="25"/>
      <c r="G1644" s="123"/>
      <c r="H1644" s="123"/>
      <c r="I1644" s="25"/>
      <c r="J1644" s="25"/>
      <c r="K1644" s="367"/>
      <c r="L1644" s="42"/>
      <c r="M1644" s="42"/>
      <c r="N1644" s="42"/>
      <c r="O1644" s="42"/>
      <c r="P1644" s="42"/>
      <c r="Q1644" s="42"/>
      <c r="R1644" s="176"/>
      <c r="S1644" s="42"/>
      <c r="T1644" s="42"/>
      <c r="U1644" s="46"/>
      <c r="V1644" s="42"/>
      <c r="W1644" s="42"/>
      <c r="X1644" s="42"/>
      <c r="Y1644" s="42"/>
      <c r="Z1644" s="42"/>
      <c r="AA1644" s="42"/>
      <c r="AB1644" s="42"/>
      <c r="AC1644" s="42"/>
      <c r="AD1644" s="42"/>
      <c r="AE1644" s="42"/>
      <c r="AF1644" s="42"/>
    </row>
    <row r="1645">
      <c r="A1645" s="25"/>
      <c r="B1645" s="297"/>
      <c r="C1645" s="25"/>
      <c r="D1645" s="25"/>
      <c r="E1645" s="25"/>
      <c r="F1645" s="25"/>
      <c r="G1645" s="123"/>
      <c r="H1645" s="123"/>
      <c r="I1645" s="25"/>
      <c r="J1645" s="25"/>
      <c r="K1645" s="367"/>
      <c r="L1645" s="42"/>
      <c r="M1645" s="42"/>
      <c r="N1645" s="42"/>
      <c r="O1645" s="42"/>
      <c r="P1645" s="42"/>
      <c r="Q1645" s="42"/>
      <c r="R1645" s="176"/>
      <c r="S1645" s="42"/>
      <c r="T1645" s="42"/>
      <c r="U1645" s="46"/>
      <c r="V1645" s="42"/>
      <c r="W1645" s="42"/>
      <c r="X1645" s="42"/>
      <c r="Y1645" s="42"/>
      <c r="Z1645" s="42"/>
      <c r="AA1645" s="42"/>
      <c r="AB1645" s="42"/>
      <c r="AC1645" s="42"/>
      <c r="AD1645" s="42"/>
      <c r="AE1645" s="42"/>
      <c r="AF1645" s="42"/>
    </row>
    <row r="1646">
      <c r="A1646" s="25"/>
      <c r="B1646" s="297"/>
      <c r="C1646" s="25"/>
      <c r="D1646" s="25"/>
      <c r="E1646" s="25"/>
      <c r="F1646" s="25"/>
      <c r="G1646" s="123"/>
      <c r="H1646" s="123"/>
      <c r="I1646" s="25"/>
      <c r="J1646" s="25"/>
      <c r="K1646" s="367"/>
      <c r="L1646" s="42"/>
      <c r="M1646" s="42"/>
      <c r="N1646" s="42"/>
      <c r="O1646" s="42"/>
      <c r="P1646" s="42"/>
      <c r="Q1646" s="42"/>
      <c r="R1646" s="176"/>
      <c r="S1646" s="42"/>
      <c r="T1646" s="42"/>
      <c r="U1646" s="46"/>
      <c r="V1646" s="42"/>
      <c r="W1646" s="42"/>
      <c r="X1646" s="42"/>
      <c r="Y1646" s="42"/>
      <c r="Z1646" s="42"/>
      <c r="AA1646" s="42"/>
      <c r="AB1646" s="42"/>
      <c r="AC1646" s="42"/>
      <c r="AD1646" s="42"/>
      <c r="AE1646" s="42"/>
      <c r="AF1646" s="42"/>
    </row>
    <row r="1647">
      <c r="A1647" s="25"/>
      <c r="B1647" s="297"/>
      <c r="C1647" s="25"/>
      <c r="D1647" s="25"/>
      <c r="E1647" s="25"/>
      <c r="F1647" s="25"/>
      <c r="G1647" s="123"/>
      <c r="H1647" s="123"/>
      <c r="I1647" s="25"/>
      <c r="J1647" s="25"/>
      <c r="K1647" s="367"/>
      <c r="L1647" s="42"/>
      <c r="M1647" s="42"/>
      <c r="N1647" s="42"/>
      <c r="O1647" s="42"/>
      <c r="P1647" s="42"/>
      <c r="Q1647" s="42"/>
      <c r="R1647" s="176"/>
      <c r="S1647" s="42"/>
      <c r="T1647" s="42"/>
      <c r="U1647" s="46"/>
      <c r="V1647" s="42"/>
      <c r="W1647" s="42"/>
      <c r="X1647" s="42"/>
      <c r="Y1647" s="42"/>
      <c r="Z1647" s="42"/>
      <c r="AA1647" s="42"/>
      <c r="AB1647" s="42"/>
      <c r="AC1647" s="42"/>
      <c r="AD1647" s="42"/>
      <c r="AE1647" s="42"/>
      <c r="AF1647" s="42"/>
    </row>
    <row r="1648">
      <c r="A1648" s="25"/>
      <c r="B1648" s="297"/>
      <c r="C1648" s="25"/>
      <c r="D1648" s="25"/>
      <c r="E1648" s="25"/>
      <c r="F1648" s="25"/>
      <c r="G1648" s="123"/>
      <c r="H1648" s="123"/>
      <c r="I1648" s="25"/>
      <c r="J1648" s="25"/>
      <c r="K1648" s="367"/>
      <c r="L1648" s="42"/>
      <c r="M1648" s="42"/>
      <c r="N1648" s="42"/>
      <c r="O1648" s="42"/>
      <c r="P1648" s="42"/>
      <c r="Q1648" s="42"/>
      <c r="R1648" s="176"/>
      <c r="S1648" s="42"/>
      <c r="T1648" s="42"/>
      <c r="U1648" s="46"/>
      <c r="V1648" s="42"/>
      <c r="W1648" s="42"/>
      <c r="X1648" s="42"/>
      <c r="Y1648" s="42"/>
      <c r="Z1648" s="42"/>
      <c r="AA1648" s="42"/>
      <c r="AB1648" s="42"/>
      <c r="AC1648" s="42"/>
      <c r="AD1648" s="42"/>
      <c r="AE1648" s="42"/>
      <c r="AF1648" s="42"/>
    </row>
    <row r="1649">
      <c r="A1649" s="25"/>
      <c r="B1649" s="297"/>
      <c r="C1649" s="25"/>
      <c r="D1649" s="25"/>
      <c r="E1649" s="25"/>
      <c r="F1649" s="25"/>
      <c r="G1649" s="123"/>
      <c r="H1649" s="123"/>
      <c r="I1649" s="25"/>
      <c r="J1649" s="25"/>
      <c r="K1649" s="367"/>
      <c r="L1649" s="42"/>
      <c r="M1649" s="42"/>
      <c r="N1649" s="42"/>
      <c r="O1649" s="42"/>
      <c r="P1649" s="42"/>
      <c r="Q1649" s="42"/>
      <c r="R1649" s="176"/>
      <c r="S1649" s="42"/>
      <c r="T1649" s="42"/>
      <c r="U1649" s="46"/>
      <c r="V1649" s="42"/>
      <c r="W1649" s="42"/>
      <c r="X1649" s="42"/>
      <c r="Y1649" s="42"/>
      <c r="Z1649" s="42"/>
      <c r="AA1649" s="42"/>
      <c r="AB1649" s="42"/>
      <c r="AC1649" s="42"/>
      <c r="AD1649" s="42"/>
      <c r="AE1649" s="42"/>
      <c r="AF1649" s="42"/>
    </row>
    <row r="1650">
      <c r="A1650" s="25"/>
      <c r="B1650" s="297"/>
      <c r="C1650" s="25"/>
      <c r="D1650" s="25"/>
      <c r="E1650" s="25"/>
      <c r="F1650" s="25"/>
      <c r="G1650" s="123"/>
      <c r="H1650" s="123"/>
      <c r="I1650" s="25"/>
      <c r="J1650" s="25"/>
      <c r="K1650" s="367"/>
      <c r="L1650" s="42"/>
      <c r="M1650" s="42"/>
      <c r="N1650" s="42"/>
      <c r="O1650" s="42"/>
      <c r="P1650" s="42"/>
      <c r="Q1650" s="42"/>
      <c r="R1650" s="176"/>
      <c r="S1650" s="42"/>
      <c r="T1650" s="42"/>
      <c r="U1650" s="46"/>
      <c r="V1650" s="42"/>
      <c r="W1650" s="42"/>
      <c r="X1650" s="42"/>
      <c r="Y1650" s="42"/>
      <c r="Z1650" s="42"/>
      <c r="AA1650" s="42"/>
      <c r="AB1650" s="42"/>
      <c r="AC1650" s="42"/>
      <c r="AD1650" s="42"/>
      <c r="AE1650" s="42"/>
      <c r="AF1650" s="42"/>
    </row>
    <row r="1651">
      <c r="A1651" s="25"/>
      <c r="B1651" s="297"/>
      <c r="C1651" s="25"/>
      <c r="D1651" s="25"/>
      <c r="E1651" s="25"/>
      <c r="F1651" s="25"/>
      <c r="G1651" s="123"/>
      <c r="H1651" s="123"/>
      <c r="I1651" s="25"/>
      <c r="J1651" s="25"/>
      <c r="K1651" s="367"/>
      <c r="L1651" s="42"/>
      <c r="M1651" s="42"/>
      <c r="N1651" s="42"/>
      <c r="O1651" s="42"/>
      <c r="P1651" s="42"/>
      <c r="Q1651" s="42"/>
      <c r="R1651" s="176"/>
      <c r="S1651" s="42"/>
      <c r="T1651" s="42"/>
      <c r="U1651" s="46"/>
      <c r="V1651" s="42"/>
      <c r="W1651" s="42"/>
      <c r="X1651" s="42"/>
      <c r="Y1651" s="42"/>
      <c r="Z1651" s="42"/>
      <c r="AA1651" s="42"/>
      <c r="AB1651" s="42"/>
      <c r="AC1651" s="42"/>
      <c r="AD1651" s="42"/>
      <c r="AE1651" s="42"/>
      <c r="AF1651" s="42"/>
    </row>
    <row r="1652">
      <c r="A1652" s="25"/>
      <c r="B1652" s="297"/>
      <c r="C1652" s="25"/>
      <c r="D1652" s="25"/>
      <c r="E1652" s="25"/>
      <c r="F1652" s="25"/>
      <c r="G1652" s="123"/>
      <c r="H1652" s="123"/>
      <c r="I1652" s="25"/>
      <c r="J1652" s="25"/>
      <c r="K1652" s="367"/>
      <c r="L1652" s="42"/>
      <c r="M1652" s="42"/>
      <c r="N1652" s="42"/>
      <c r="O1652" s="42"/>
      <c r="P1652" s="42"/>
      <c r="Q1652" s="42"/>
      <c r="R1652" s="176"/>
      <c r="S1652" s="42"/>
      <c r="T1652" s="42"/>
      <c r="U1652" s="46"/>
      <c r="V1652" s="42"/>
      <c r="W1652" s="42"/>
      <c r="X1652" s="42"/>
      <c r="Y1652" s="42"/>
      <c r="Z1652" s="42"/>
      <c r="AA1652" s="42"/>
      <c r="AB1652" s="42"/>
      <c r="AC1652" s="42"/>
      <c r="AD1652" s="42"/>
      <c r="AE1652" s="42"/>
      <c r="AF1652" s="42"/>
    </row>
    <row r="1653">
      <c r="A1653" s="25"/>
      <c r="B1653" s="297"/>
      <c r="C1653" s="25"/>
      <c r="D1653" s="25"/>
      <c r="E1653" s="25"/>
      <c r="F1653" s="25"/>
      <c r="G1653" s="123"/>
      <c r="H1653" s="123"/>
      <c r="I1653" s="25"/>
      <c r="J1653" s="25"/>
      <c r="K1653" s="367"/>
      <c r="L1653" s="42"/>
      <c r="M1653" s="42"/>
      <c r="N1653" s="42"/>
      <c r="O1653" s="42"/>
      <c r="P1653" s="42"/>
      <c r="Q1653" s="42"/>
      <c r="R1653" s="176"/>
      <c r="S1653" s="42"/>
      <c r="T1653" s="42"/>
      <c r="U1653" s="46"/>
      <c r="V1653" s="42"/>
      <c r="W1653" s="42"/>
      <c r="X1653" s="42"/>
      <c r="Y1653" s="42"/>
      <c r="Z1653" s="42"/>
      <c r="AA1653" s="42"/>
      <c r="AB1653" s="42"/>
      <c r="AC1653" s="42"/>
      <c r="AD1653" s="42"/>
      <c r="AE1653" s="42"/>
      <c r="AF1653" s="42"/>
    </row>
    <row r="1654">
      <c r="A1654" s="25"/>
      <c r="B1654" s="297"/>
      <c r="C1654" s="25"/>
      <c r="D1654" s="25"/>
      <c r="E1654" s="25"/>
      <c r="F1654" s="25"/>
      <c r="G1654" s="123"/>
      <c r="H1654" s="123"/>
      <c r="I1654" s="25"/>
      <c r="J1654" s="25"/>
      <c r="K1654" s="367"/>
      <c r="L1654" s="42"/>
      <c r="M1654" s="42"/>
      <c r="N1654" s="42"/>
      <c r="O1654" s="42"/>
      <c r="P1654" s="42"/>
      <c r="Q1654" s="42"/>
      <c r="R1654" s="176"/>
      <c r="S1654" s="42"/>
      <c r="T1654" s="42"/>
      <c r="U1654" s="46"/>
      <c r="V1654" s="42"/>
      <c r="W1654" s="42"/>
      <c r="X1654" s="42"/>
      <c r="Y1654" s="42"/>
      <c r="Z1654" s="42"/>
      <c r="AA1654" s="42"/>
      <c r="AB1654" s="42"/>
      <c r="AC1654" s="42"/>
      <c r="AD1654" s="42"/>
      <c r="AE1654" s="42"/>
      <c r="AF1654" s="42"/>
    </row>
    <row r="1655">
      <c r="A1655" s="25"/>
      <c r="B1655" s="297"/>
      <c r="C1655" s="25"/>
      <c r="D1655" s="25"/>
      <c r="E1655" s="25"/>
      <c r="F1655" s="25"/>
      <c r="G1655" s="123"/>
      <c r="H1655" s="123"/>
      <c r="I1655" s="25"/>
      <c r="J1655" s="25"/>
      <c r="K1655" s="367"/>
      <c r="L1655" s="42"/>
      <c r="M1655" s="42"/>
      <c r="N1655" s="42"/>
      <c r="O1655" s="42"/>
      <c r="P1655" s="42"/>
      <c r="Q1655" s="42"/>
      <c r="R1655" s="176"/>
      <c r="S1655" s="42"/>
      <c r="T1655" s="42"/>
      <c r="U1655" s="46"/>
      <c r="V1655" s="42"/>
      <c r="W1655" s="42"/>
      <c r="X1655" s="42"/>
      <c r="Y1655" s="42"/>
      <c r="Z1655" s="42"/>
      <c r="AA1655" s="42"/>
      <c r="AB1655" s="42"/>
      <c r="AC1655" s="42"/>
      <c r="AD1655" s="42"/>
      <c r="AE1655" s="42"/>
      <c r="AF1655" s="42"/>
    </row>
    <row r="1656">
      <c r="A1656" s="25"/>
      <c r="B1656" s="297"/>
      <c r="C1656" s="25"/>
      <c r="D1656" s="25"/>
      <c r="E1656" s="25"/>
      <c r="F1656" s="25"/>
      <c r="G1656" s="123"/>
      <c r="H1656" s="123"/>
      <c r="I1656" s="25"/>
      <c r="J1656" s="25"/>
      <c r="K1656" s="367"/>
      <c r="L1656" s="42"/>
      <c r="M1656" s="42"/>
      <c r="N1656" s="42"/>
      <c r="O1656" s="42"/>
      <c r="P1656" s="42"/>
      <c r="Q1656" s="42"/>
      <c r="R1656" s="176"/>
      <c r="S1656" s="42"/>
      <c r="T1656" s="42"/>
      <c r="U1656" s="46"/>
      <c r="V1656" s="42"/>
      <c r="W1656" s="42"/>
      <c r="X1656" s="42"/>
      <c r="Y1656" s="42"/>
      <c r="Z1656" s="42"/>
      <c r="AA1656" s="42"/>
      <c r="AB1656" s="42"/>
      <c r="AC1656" s="42"/>
      <c r="AD1656" s="42"/>
      <c r="AE1656" s="42"/>
      <c r="AF1656" s="42"/>
    </row>
    <row r="1657">
      <c r="A1657" s="25"/>
      <c r="B1657" s="297"/>
      <c r="C1657" s="25"/>
      <c r="D1657" s="25"/>
      <c r="E1657" s="25"/>
      <c r="F1657" s="25"/>
      <c r="G1657" s="123"/>
      <c r="H1657" s="123"/>
      <c r="I1657" s="25"/>
      <c r="J1657" s="25"/>
      <c r="K1657" s="367"/>
      <c r="L1657" s="42"/>
      <c r="M1657" s="42"/>
      <c r="N1657" s="42"/>
      <c r="O1657" s="42"/>
      <c r="P1657" s="42"/>
      <c r="Q1657" s="42"/>
      <c r="R1657" s="176"/>
      <c r="S1657" s="42"/>
      <c r="T1657" s="42"/>
      <c r="U1657" s="46"/>
      <c r="V1657" s="42"/>
      <c r="W1657" s="42"/>
      <c r="X1657" s="42"/>
      <c r="Y1657" s="42"/>
      <c r="Z1657" s="42"/>
      <c r="AA1657" s="42"/>
      <c r="AB1657" s="42"/>
      <c r="AC1657" s="42"/>
      <c r="AD1657" s="42"/>
      <c r="AE1657" s="42"/>
      <c r="AF1657" s="42"/>
    </row>
    <row r="1658">
      <c r="A1658" s="25"/>
      <c r="B1658" s="297"/>
      <c r="C1658" s="25"/>
      <c r="D1658" s="25"/>
      <c r="E1658" s="25"/>
      <c r="F1658" s="25"/>
      <c r="G1658" s="123"/>
      <c r="H1658" s="123"/>
      <c r="I1658" s="25"/>
      <c r="J1658" s="25"/>
      <c r="K1658" s="367"/>
      <c r="L1658" s="42"/>
      <c r="M1658" s="42"/>
      <c r="N1658" s="42"/>
      <c r="O1658" s="42"/>
      <c r="P1658" s="42"/>
      <c r="Q1658" s="42"/>
      <c r="R1658" s="176"/>
      <c r="S1658" s="42"/>
      <c r="T1658" s="42"/>
      <c r="U1658" s="46"/>
      <c r="V1658" s="42"/>
      <c r="W1658" s="42"/>
      <c r="X1658" s="42"/>
      <c r="Y1658" s="42"/>
      <c r="Z1658" s="42"/>
      <c r="AA1658" s="42"/>
      <c r="AB1658" s="42"/>
      <c r="AC1658" s="42"/>
      <c r="AD1658" s="42"/>
      <c r="AE1658" s="42"/>
      <c r="AF1658" s="42"/>
    </row>
    <row r="1659">
      <c r="A1659" s="25"/>
      <c r="B1659" s="297"/>
      <c r="C1659" s="25"/>
      <c r="D1659" s="25"/>
      <c r="E1659" s="25"/>
      <c r="F1659" s="25"/>
      <c r="G1659" s="123"/>
      <c r="H1659" s="123"/>
      <c r="I1659" s="25"/>
      <c r="J1659" s="25"/>
      <c r="K1659" s="367"/>
      <c r="L1659" s="42"/>
      <c r="M1659" s="42"/>
      <c r="N1659" s="42"/>
      <c r="O1659" s="42"/>
      <c r="P1659" s="42"/>
      <c r="Q1659" s="42"/>
      <c r="R1659" s="176"/>
      <c r="S1659" s="42"/>
      <c r="T1659" s="42"/>
      <c r="U1659" s="46"/>
      <c r="V1659" s="42"/>
      <c r="W1659" s="42"/>
      <c r="X1659" s="42"/>
      <c r="Y1659" s="42"/>
      <c r="Z1659" s="42"/>
      <c r="AA1659" s="42"/>
      <c r="AB1659" s="42"/>
      <c r="AC1659" s="42"/>
      <c r="AD1659" s="42"/>
      <c r="AE1659" s="42"/>
      <c r="AF1659" s="42"/>
    </row>
    <row r="1660">
      <c r="A1660" s="25"/>
      <c r="B1660" s="297"/>
      <c r="C1660" s="25"/>
      <c r="D1660" s="25"/>
      <c r="E1660" s="25"/>
      <c r="F1660" s="25"/>
      <c r="G1660" s="123"/>
      <c r="H1660" s="123"/>
      <c r="I1660" s="25"/>
      <c r="J1660" s="25"/>
      <c r="K1660" s="367"/>
      <c r="L1660" s="42"/>
      <c r="M1660" s="42"/>
      <c r="N1660" s="42"/>
      <c r="O1660" s="42"/>
      <c r="P1660" s="42"/>
      <c r="Q1660" s="42"/>
      <c r="R1660" s="176"/>
      <c r="S1660" s="42"/>
      <c r="T1660" s="42"/>
      <c r="U1660" s="46"/>
      <c r="V1660" s="42"/>
      <c r="W1660" s="42"/>
      <c r="X1660" s="42"/>
      <c r="Y1660" s="42"/>
      <c r="Z1660" s="42"/>
      <c r="AA1660" s="42"/>
      <c r="AB1660" s="42"/>
      <c r="AC1660" s="42"/>
      <c r="AD1660" s="42"/>
      <c r="AE1660" s="42"/>
      <c r="AF1660" s="42"/>
    </row>
    <row r="1661">
      <c r="A1661" s="25"/>
      <c r="B1661" s="297"/>
      <c r="C1661" s="25"/>
      <c r="D1661" s="25"/>
      <c r="E1661" s="25"/>
      <c r="F1661" s="25"/>
      <c r="G1661" s="123"/>
      <c r="H1661" s="123"/>
      <c r="I1661" s="25"/>
      <c r="J1661" s="25"/>
      <c r="K1661" s="367"/>
      <c r="L1661" s="42"/>
      <c r="M1661" s="42"/>
      <c r="N1661" s="42"/>
      <c r="O1661" s="42"/>
      <c r="P1661" s="42"/>
      <c r="Q1661" s="42"/>
      <c r="R1661" s="176"/>
      <c r="S1661" s="42"/>
      <c r="T1661" s="42"/>
      <c r="U1661" s="46"/>
      <c r="V1661" s="42"/>
      <c r="W1661" s="42"/>
      <c r="X1661" s="42"/>
      <c r="Y1661" s="42"/>
      <c r="Z1661" s="42"/>
      <c r="AA1661" s="42"/>
      <c r="AB1661" s="42"/>
      <c r="AC1661" s="42"/>
      <c r="AD1661" s="42"/>
      <c r="AE1661" s="42"/>
      <c r="AF1661" s="42"/>
    </row>
    <row r="1662">
      <c r="A1662" s="25"/>
      <c r="B1662" s="297"/>
      <c r="C1662" s="25"/>
      <c r="D1662" s="25"/>
      <c r="E1662" s="25"/>
      <c r="F1662" s="25"/>
      <c r="G1662" s="123"/>
      <c r="H1662" s="123"/>
      <c r="I1662" s="25"/>
      <c r="J1662" s="25"/>
      <c r="K1662" s="367"/>
      <c r="L1662" s="42"/>
      <c r="M1662" s="42"/>
      <c r="N1662" s="42"/>
      <c r="O1662" s="42"/>
      <c r="P1662" s="42"/>
      <c r="Q1662" s="42"/>
      <c r="R1662" s="176"/>
      <c r="S1662" s="42"/>
      <c r="T1662" s="42"/>
      <c r="U1662" s="46"/>
      <c r="V1662" s="42"/>
      <c r="W1662" s="42"/>
      <c r="X1662" s="42"/>
      <c r="Y1662" s="42"/>
      <c r="Z1662" s="42"/>
      <c r="AA1662" s="42"/>
      <c r="AB1662" s="42"/>
      <c r="AC1662" s="42"/>
      <c r="AD1662" s="42"/>
      <c r="AE1662" s="42"/>
      <c r="AF1662" s="42"/>
    </row>
    <row r="1663">
      <c r="A1663" s="25"/>
      <c r="B1663" s="297"/>
      <c r="C1663" s="25"/>
      <c r="D1663" s="25"/>
      <c r="E1663" s="25"/>
      <c r="F1663" s="25"/>
      <c r="G1663" s="123"/>
      <c r="H1663" s="123"/>
      <c r="I1663" s="25"/>
      <c r="J1663" s="25"/>
      <c r="K1663" s="367"/>
      <c r="L1663" s="42"/>
      <c r="M1663" s="42"/>
      <c r="N1663" s="42"/>
      <c r="O1663" s="42"/>
      <c r="P1663" s="42"/>
      <c r="Q1663" s="42"/>
      <c r="R1663" s="176"/>
      <c r="S1663" s="42"/>
      <c r="T1663" s="42"/>
      <c r="U1663" s="46"/>
      <c r="V1663" s="42"/>
      <c r="W1663" s="42"/>
      <c r="X1663" s="42"/>
      <c r="Y1663" s="42"/>
      <c r="Z1663" s="42"/>
      <c r="AA1663" s="42"/>
      <c r="AB1663" s="42"/>
      <c r="AC1663" s="42"/>
      <c r="AD1663" s="42"/>
      <c r="AE1663" s="42"/>
      <c r="AF1663" s="42"/>
    </row>
    <row r="1664">
      <c r="A1664" s="25"/>
      <c r="B1664" s="297"/>
      <c r="C1664" s="25"/>
      <c r="D1664" s="25"/>
      <c r="E1664" s="25"/>
      <c r="F1664" s="25"/>
      <c r="G1664" s="123"/>
      <c r="H1664" s="123"/>
      <c r="I1664" s="25"/>
      <c r="J1664" s="25"/>
      <c r="K1664" s="367"/>
      <c r="L1664" s="42"/>
      <c r="M1664" s="42"/>
      <c r="N1664" s="42"/>
      <c r="O1664" s="42"/>
      <c r="P1664" s="42"/>
      <c r="Q1664" s="42"/>
      <c r="R1664" s="176"/>
      <c r="S1664" s="42"/>
      <c r="T1664" s="42"/>
      <c r="U1664" s="46"/>
      <c r="V1664" s="42"/>
      <c r="W1664" s="42"/>
      <c r="X1664" s="42"/>
      <c r="Y1664" s="42"/>
      <c r="Z1664" s="42"/>
      <c r="AA1664" s="42"/>
      <c r="AB1664" s="42"/>
      <c r="AC1664" s="42"/>
      <c r="AD1664" s="42"/>
      <c r="AE1664" s="42"/>
      <c r="AF1664" s="42"/>
    </row>
    <row r="1665">
      <c r="A1665" s="25"/>
      <c r="B1665" s="297"/>
      <c r="C1665" s="25"/>
      <c r="D1665" s="25"/>
      <c r="E1665" s="25"/>
      <c r="F1665" s="25"/>
      <c r="G1665" s="123"/>
      <c r="H1665" s="123"/>
      <c r="I1665" s="25"/>
      <c r="J1665" s="25"/>
      <c r="K1665" s="367"/>
      <c r="L1665" s="42"/>
      <c r="M1665" s="42"/>
      <c r="N1665" s="42"/>
      <c r="O1665" s="42"/>
      <c r="P1665" s="42"/>
      <c r="Q1665" s="42"/>
      <c r="R1665" s="176"/>
      <c r="S1665" s="42"/>
      <c r="T1665" s="42"/>
      <c r="U1665" s="46"/>
      <c r="V1665" s="42"/>
      <c r="W1665" s="42"/>
      <c r="X1665" s="42"/>
      <c r="Y1665" s="42"/>
      <c r="Z1665" s="42"/>
      <c r="AA1665" s="42"/>
      <c r="AB1665" s="42"/>
      <c r="AC1665" s="42"/>
      <c r="AD1665" s="42"/>
      <c r="AE1665" s="42"/>
      <c r="AF1665" s="42"/>
    </row>
    <row r="1666">
      <c r="A1666" s="25"/>
      <c r="B1666" s="297"/>
      <c r="C1666" s="25"/>
      <c r="D1666" s="25"/>
      <c r="E1666" s="25"/>
      <c r="F1666" s="25"/>
      <c r="G1666" s="123"/>
      <c r="H1666" s="123"/>
      <c r="I1666" s="25"/>
      <c r="J1666" s="25"/>
      <c r="K1666" s="367"/>
      <c r="L1666" s="42"/>
      <c r="M1666" s="42"/>
      <c r="N1666" s="42"/>
      <c r="O1666" s="42"/>
      <c r="P1666" s="42"/>
      <c r="Q1666" s="42"/>
      <c r="R1666" s="176"/>
      <c r="S1666" s="42"/>
      <c r="T1666" s="42"/>
      <c r="U1666" s="46"/>
      <c r="V1666" s="42"/>
      <c r="W1666" s="42"/>
      <c r="X1666" s="42"/>
      <c r="Y1666" s="42"/>
      <c r="Z1666" s="42"/>
      <c r="AA1666" s="42"/>
      <c r="AB1666" s="42"/>
      <c r="AC1666" s="42"/>
      <c r="AD1666" s="42"/>
      <c r="AE1666" s="42"/>
      <c r="AF1666" s="42"/>
    </row>
    <row r="1667">
      <c r="A1667" s="25"/>
      <c r="B1667" s="297"/>
      <c r="C1667" s="25"/>
      <c r="D1667" s="25"/>
      <c r="E1667" s="25"/>
      <c r="F1667" s="25"/>
      <c r="G1667" s="123"/>
      <c r="H1667" s="123"/>
      <c r="I1667" s="25"/>
      <c r="J1667" s="25"/>
      <c r="K1667" s="367"/>
      <c r="L1667" s="42"/>
      <c r="M1667" s="42"/>
      <c r="N1667" s="42"/>
      <c r="O1667" s="42"/>
      <c r="P1667" s="42"/>
      <c r="Q1667" s="42"/>
      <c r="R1667" s="176"/>
      <c r="S1667" s="42"/>
      <c r="T1667" s="42"/>
      <c r="U1667" s="46"/>
      <c r="V1667" s="42"/>
      <c r="W1667" s="42"/>
      <c r="X1667" s="42"/>
      <c r="Y1667" s="42"/>
      <c r="Z1667" s="42"/>
      <c r="AA1667" s="42"/>
      <c r="AB1667" s="42"/>
      <c r="AC1667" s="42"/>
      <c r="AD1667" s="42"/>
      <c r="AE1667" s="42"/>
      <c r="AF1667" s="42"/>
    </row>
    <row r="1668">
      <c r="A1668" s="25"/>
      <c r="B1668" s="297"/>
      <c r="C1668" s="25"/>
      <c r="D1668" s="25"/>
      <c r="E1668" s="25"/>
      <c r="F1668" s="25"/>
      <c r="G1668" s="123"/>
      <c r="H1668" s="123"/>
      <c r="I1668" s="25"/>
      <c r="J1668" s="25"/>
      <c r="K1668" s="367"/>
      <c r="L1668" s="42"/>
      <c r="M1668" s="42"/>
      <c r="N1668" s="42"/>
      <c r="O1668" s="42"/>
      <c r="P1668" s="42"/>
      <c r="Q1668" s="42"/>
      <c r="R1668" s="176"/>
      <c r="S1668" s="42"/>
      <c r="T1668" s="42"/>
      <c r="U1668" s="46"/>
      <c r="V1668" s="42"/>
      <c r="W1668" s="42"/>
      <c r="X1668" s="42"/>
      <c r="Y1668" s="42"/>
      <c r="Z1668" s="42"/>
      <c r="AA1668" s="42"/>
      <c r="AB1668" s="42"/>
      <c r="AC1668" s="42"/>
      <c r="AD1668" s="42"/>
      <c r="AE1668" s="42"/>
      <c r="AF1668" s="42"/>
    </row>
    <row r="1669">
      <c r="A1669" s="25"/>
      <c r="B1669" s="297"/>
      <c r="C1669" s="25"/>
      <c r="D1669" s="25"/>
      <c r="E1669" s="25"/>
      <c r="F1669" s="25"/>
      <c r="G1669" s="123"/>
      <c r="H1669" s="123"/>
      <c r="I1669" s="25"/>
      <c r="J1669" s="25"/>
      <c r="K1669" s="367"/>
      <c r="L1669" s="42"/>
      <c r="M1669" s="42"/>
      <c r="N1669" s="42"/>
      <c r="O1669" s="42"/>
      <c r="P1669" s="42"/>
      <c r="Q1669" s="42"/>
      <c r="R1669" s="176"/>
      <c r="S1669" s="42"/>
      <c r="T1669" s="42"/>
      <c r="U1669" s="46"/>
      <c r="V1669" s="42"/>
      <c r="W1669" s="42"/>
      <c r="X1669" s="42"/>
      <c r="Y1669" s="42"/>
      <c r="Z1669" s="42"/>
      <c r="AA1669" s="42"/>
      <c r="AB1669" s="42"/>
      <c r="AC1669" s="42"/>
      <c r="AD1669" s="42"/>
      <c r="AE1669" s="42"/>
      <c r="AF1669" s="42"/>
    </row>
    <row r="1670">
      <c r="A1670" s="25"/>
      <c r="B1670" s="297"/>
      <c r="C1670" s="25"/>
      <c r="D1670" s="25"/>
      <c r="E1670" s="25"/>
      <c r="F1670" s="25"/>
      <c r="G1670" s="123"/>
      <c r="H1670" s="123"/>
      <c r="I1670" s="25"/>
      <c r="J1670" s="25"/>
      <c r="K1670" s="367"/>
      <c r="L1670" s="42"/>
      <c r="M1670" s="42"/>
      <c r="N1670" s="42"/>
      <c r="O1670" s="42"/>
      <c r="P1670" s="42"/>
      <c r="Q1670" s="42"/>
      <c r="R1670" s="176"/>
      <c r="S1670" s="42"/>
      <c r="T1670" s="42"/>
      <c r="U1670" s="46"/>
      <c r="V1670" s="42"/>
      <c r="W1670" s="42"/>
      <c r="X1670" s="42"/>
      <c r="Y1670" s="42"/>
      <c r="Z1670" s="42"/>
      <c r="AA1670" s="42"/>
      <c r="AB1670" s="42"/>
      <c r="AC1670" s="42"/>
      <c r="AD1670" s="42"/>
      <c r="AE1670" s="42"/>
      <c r="AF1670" s="42"/>
    </row>
    <row r="1671">
      <c r="A1671" s="25"/>
      <c r="B1671" s="297"/>
      <c r="C1671" s="25"/>
      <c r="D1671" s="25"/>
      <c r="E1671" s="25"/>
      <c r="F1671" s="25"/>
      <c r="G1671" s="123"/>
      <c r="H1671" s="123"/>
      <c r="I1671" s="25"/>
      <c r="J1671" s="25"/>
      <c r="K1671" s="367"/>
      <c r="L1671" s="42"/>
      <c r="M1671" s="42"/>
      <c r="N1671" s="42"/>
      <c r="O1671" s="42"/>
      <c r="P1671" s="42"/>
      <c r="Q1671" s="42"/>
      <c r="R1671" s="176"/>
      <c r="S1671" s="42"/>
      <c r="T1671" s="42"/>
      <c r="U1671" s="46"/>
      <c r="V1671" s="42"/>
      <c r="W1671" s="42"/>
      <c r="X1671" s="42"/>
      <c r="Y1671" s="42"/>
      <c r="Z1671" s="42"/>
      <c r="AA1671" s="42"/>
      <c r="AB1671" s="42"/>
      <c r="AC1671" s="42"/>
      <c r="AD1671" s="42"/>
      <c r="AE1671" s="42"/>
      <c r="AF1671" s="42"/>
    </row>
    <row r="1672">
      <c r="A1672" s="25"/>
      <c r="B1672" s="297"/>
      <c r="C1672" s="25"/>
      <c r="D1672" s="25"/>
      <c r="E1672" s="25"/>
      <c r="F1672" s="25"/>
      <c r="G1672" s="123"/>
      <c r="H1672" s="123"/>
      <c r="I1672" s="25"/>
      <c r="J1672" s="25"/>
      <c r="K1672" s="367"/>
      <c r="L1672" s="42"/>
      <c r="M1672" s="42"/>
      <c r="N1672" s="42"/>
      <c r="O1672" s="42"/>
      <c r="P1672" s="42"/>
      <c r="Q1672" s="42"/>
      <c r="R1672" s="176"/>
      <c r="S1672" s="42"/>
      <c r="T1672" s="42"/>
      <c r="U1672" s="46"/>
      <c r="V1672" s="42"/>
      <c r="W1672" s="42"/>
      <c r="X1672" s="42"/>
      <c r="Y1672" s="42"/>
      <c r="Z1672" s="42"/>
      <c r="AA1672" s="42"/>
      <c r="AB1672" s="42"/>
      <c r="AC1672" s="42"/>
      <c r="AD1672" s="42"/>
      <c r="AE1672" s="42"/>
      <c r="AF1672" s="42"/>
    </row>
    <row r="1673">
      <c r="A1673" s="25"/>
      <c r="B1673" s="297"/>
      <c r="C1673" s="25"/>
      <c r="D1673" s="25"/>
      <c r="E1673" s="25"/>
      <c r="F1673" s="25"/>
      <c r="G1673" s="123"/>
      <c r="H1673" s="123"/>
      <c r="I1673" s="25"/>
      <c r="J1673" s="25"/>
      <c r="K1673" s="367"/>
      <c r="L1673" s="42"/>
      <c r="M1673" s="42"/>
      <c r="N1673" s="42"/>
      <c r="O1673" s="42"/>
      <c r="P1673" s="42"/>
      <c r="Q1673" s="42"/>
      <c r="R1673" s="176"/>
      <c r="S1673" s="42"/>
      <c r="T1673" s="42"/>
      <c r="U1673" s="46"/>
      <c r="V1673" s="42"/>
      <c r="W1673" s="42"/>
      <c r="X1673" s="42"/>
      <c r="Y1673" s="42"/>
      <c r="Z1673" s="42"/>
      <c r="AA1673" s="42"/>
      <c r="AB1673" s="42"/>
      <c r="AC1673" s="42"/>
      <c r="AD1673" s="42"/>
      <c r="AE1673" s="42"/>
      <c r="AF1673" s="42"/>
    </row>
    <row r="1674">
      <c r="A1674" s="25"/>
      <c r="B1674" s="297"/>
      <c r="C1674" s="25"/>
      <c r="D1674" s="25"/>
      <c r="E1674" s="25"/>
      <c r="F1674" s="25"/>
      <c r="G1674" s="123"/>
      <c r="H1674" s="123"/>
      <c r="I1674" s="25"/>
      <c r="J1674" s="25"/>
      <c r="K1674" s="367"/>
      <c r="L1674" s="42"/>
      <c r="M1674" s="42"/>
      <c r="N1674" s="42"/>
      <c r="O1674" s="42"/>
      <c r="P1674" s="42"/>
      <c r="Q1674" s="42"/>
      <c r="R1674" s="176"/>
      <c r="S1674" s="42"/>
      <c r="T1674" s="42"/>
      <c r="U1674" s="46"/>
      <c r="V1674" s="42"/>
      <c r="W1674" s="42"/>
      <c r="X1674" s="42"/>
      <c r="Y1674" s="42"/>
      <c r="Z1674" s="42"/>
      <c r="AA1674" s="42"/>
      <c r="AB1674" s="42"/>
      <c r="AC1674" s="42"/>
      <c r="AD1674" s="42"/>
      <c r="AE1674" s="42"/>
      <c r="AF1674" s="42"/>
    </row>
    <row r="1675">
      <c r="A1675" s="25"/>
      <c r="B1675" s="297"/>
      <c r="C1675" s="25"/>
      <c r="D1675" s="25"/>
      <c r="E1675" s="25"/>
      <c r="F1675" s="25"/>
      <c r="G1675" s="123"/>
      <c r="H1675" s="123"/>
      <c r="I1675" s="25"/>
      <c r="J1675" s="25"/>
      <c r="K1675" s="367"/>
      <c r="L1675" s="42"/>
      <c r="M1675" s="42"/>
      <c r="N1675" s="42"/>
      <c r="O1675" s="42"/>
      <c r="P1675" s="42"/>
      <c r="Q1675" s="42"/>
      <c r="R1675" s="176"/>
      <c r="S1675" s="42"/>
      <c r="T1675" s="42"/>
      <c r="U1675" s="46"/>
      <c r="V1675" s="42"/>
      <c r="W1675" s="42"/>
      <c r="X1675" s="42"/>
      <c r="Y1675" s="42"/>
      <c r="Z1675" s="42"/>
      <c r="AA1675" s="42"/>
      <c r="AB1675" s="42"/>
      <c r="AC1675" s="42"/>
      <c r="AD1675" s="42"/>
      <c r="AE1675" s="42"/>
      <c r="AF1675" s="42"/>
    </row>
    <row r="1676">
      <c r="A1676" s="25"/>
      <c r="B1676" s="297"/>
      <c r="C1676" s="25"/>
      <c r="D1676" s="25"/>
      <c r="E1676" s="25"/>
      <c r="F1676" s="25"/>
      <c r="G1676" s="123"/>
      <c r="H1676" s="123"/>
      <c r="I1676" s="25"/>
      <c r="J1676" s="25"/>
      <c r="K1676" s="367"/>
      <c r="L1676" s="42"/>
      <c r="M1676" s="42"/>
      <c r="N1676" s="42"/>
      <c r="O1676" s="42"/>
      <c r="P1676" s="42"/>
      <c r="Q1676" s="42"/>
      <c r="R1676" s="176"/>
      <c r="S1676" s="42"/>
      <c r="T1676" s="42"/>
      <c r="U1676" s="46"/>
      <c r="V1676" s="42"/>
      <c r="W1676" s="42"/>
      <c r="X1676" s="42"/>
      <c r="Y1676" s="42"/>
      <c r="Z1676" s="42"/>
      <c r="AA1676" s="42"/>
      <c r="AB1676" s="42"/>
      <c r="AC1676" s="42"/>
      <c r="AD1676" s="42"/>
      <c r="AE1676" s="42"/>
      <c r="AF1676" s="42"/>
    </row>
    <row r="1677">
      <c r="A1677" s="25"/>
      <c r="B1677" s="297"/>
      <c r="C1677" s="25"/>
      <c r="D1677" s="25"/>
      <c r="E1677" s="25"/>
      <c r="F1677" s="25"/>
      <c r="G1677" s="123"/>
      <c r="H1677" s="123"/>
      <c r="I1677" s="25"/>
      <c r="J1677" s="25"/>
      <c r="K1677" s="367"/>
      <c r="L1677" s="42"/>
      <c r="M1677" s="42"/>
      <c r="N1677" s="42"/>
      <c r="O1677" s="42"/>
      <c r="P1677" s="42"/>
      <c r="Q1677" s="42"/>
      <c r="R1677" s="176"/>
      <c r="S1677" s="42"/>
      <c r="T1677" s="42"/>
      <c r="U1677" s="46"/>
      <c r="V1677" s="42"/>
      <c r="W1677" s="42"/>
      <c r="X1677" s="42"/>
      <c r="Y1677" s="42"/>
      <c r="Z1677" s="42"/>
      <c r="AA1677" s="42"/>
      <c r="AB1677" s="42"/>
      <c r="AC1677" s="42"/>
      <c r="AD1677" s="42"/>
      <c r="AE1677" s="42"/>
      <c r="AF1677" s="42"/>
    </row>
    <row r="1678">
      <c r="A1678" s="25"/>
      <c r="B1678" s="297"/>
      <c r="C1678" s="25"/>
      <c r="D1678" s="25"/>
      <c r="E1678" s="25"/>
      <c r="F1678" s="25"/>
      <c r="G1678" s="123"/>
      <c r="H1678" s="123"/>
      <c r="I1678" s="25"/>
      <c r="J1678" s="25"/>
      <c r="K1678" s="367"/>
      <c r="L1678" s="42"/>
      <c r="M1678" s="42"/>
      <c r="N1678" s="42"/>
      <c r="O1678" s="42"/>
      <c r="P1678" s="42"/>
      <c r="Q1678" s="42"/>
      <c r="R1678" s="176"/>
      <c r="S1678" s="42"/>
      <c r="T1678" s="42"/>
      <c r="U1678" s="46"/>
      <c r="V1678" s="42"/>
      <c r="W1678" s="42"/>
      <c r="X1678" s="42"/>
      <c r="Y1678" s="42"/>
      <c r="Z1678" s="42"/>
      <c r="AA1678" s="42"/>
      <c r="AB1678" s="42"/>
      <c r="AC1678" s="42"/>
      <c r="AD1678" s="42"/>
      <c r="AE1678" s="42"/>
      <c r="AF1678" s="42"/>
    </row>
    <row r="1679">
      <c r="A1679" s="25"/>
      <c r="B1679" s="297"/>
      <c r="C1679" s="25"/>
      <c r="D1679" s="25"/>
      <c r="E1679" s="25"/>
      <c r="F1679" s="25"/>
      <c r="G1679" s="123"/>
      <c r="H1679" s="123"/>
      <c r="I1679" s="25"/>
      <c r="J1679" s="25"/>
      <c r="K1679" s="367"/>
      <c r="L1679" s="42"/>
      <c r="M1679" s="42"/>
      <c r="N1679" s="42"/>
      <c r="O1679" s="42"/>
      <c r="P1679" s="42"/>
      <c r="Q1679" s="42"/>
      <c r="R1679" s="176"/>
      <c r="S1679" s="42"/>
      <c r="T1679" s="42"/>
      <c r="U1679" s="46"/>
      <c r="V1679" s="42"/>
      <c r="W1679" s="42"/>
      <c r="X1679" s="42"/>
      <c r="Y1679" s="42"/>
      <c r="Z1679" s="42"/>
      <c r="AA1679" s="42"/>
      <c r="AB1679" s="42"/>
      <c r="AC1679" s="42"/>
      <c r="AD1679" s="42"/>
      <c r="AE1679" s="42"/>
      <c r="AF1679" s="42"/>
    </row>
    <row r="1680">
      <c r="A1680" s="25"/>
      <c r="B1680" s="297"/>
      <c r="C1680" s="25"/>
      <c r="D1680" s="25"/>
      <c r="E1680" s="25"/>
      <c r="F1680" s="25"/>
      <c r="G1680" s="123"/>
      <c r="H1680" s="123"/>
      <c r="I1680" s="25"/>
      <c r="J1680" s="25"/>
      <c r="K1680" s="367"/>
      <c r="L1680" s="42"/>
      <c r="M1680" s="42"/>
      <c r="N1680" s="42"/>
      <c r="O1680" s="42"/>
      <c r="P1680" s="42"/>
      <c r="Q1680" s="42"/>
      <c r="R1680" s="176"/>
      <c r="S1680" s="42"/>
      <c r="T1680" s="42"/>
      <c r="U1680" s="46"/>
      <c r="V1680" s="42"/>
      <c r="W1680" s="42"/>
      <c r="X1680" s="42"/>
      <c r="Y1680" s="42"/>
      <c r="Z1680" s="42"/>
      <c r="AA1680" s="42"/>
      <c r="AB1680" s="42"/>
      <c r="AC1680" s="42"/>
      <c r="AD1680" s="42"/>
      <c r="AE1680" s="42"/>
      <c r="AF1680" s="42"/>
    </row>
    <row r="1681">
      <c r="A1681" s="25"/>
      <c r="B1681" s="297"/>
      <c r="C1681" s="25"/>
      <c r="D1681" s="25"/>
      <c r="E1681" s="25"/>
      <c r="F1681" s="25"/>
      <c r="G1681" s="123"/>
      <c r="H1681" s="123"/>
      <c r="I1681" s="25"/>
      <c r="J1681" s="25"/>
      <c r="K1681" s="367"/>
      <c r="L1681" s="42"/>
      <c r="M1681" s="42"/>
      <c r="N1681" s="42"/>
      <c r="O1681" s="42"/>
      <c r="P1681" s="42"/>
      <c r="Q1681" s="42"/>
      <c r="R1681" s="176"/>
      <c r="S1681" s="42"/>
      <c r="T1681" s="42"/>
      <c r="U1681" s="46"/>
      <c r="V1681" s="42"/>
      <c r="W1681" s="42"/>
      <c r="X1681" s="42"/>
      <c r="Y1681" s="42"/>
      <c r="Z1681" s="42"/>
      <c r="AA1681" s="42"/>
      <c r="AB1681" s="42"/>
      <c r="AC1681" s="42"/>
      <c r="AD1681" s="42"/>
      <c r="AE1681" s="42"/>
      <c r="AF1681" s="42"/>
    </row>
    <row r="1682">
      <c r="A1682" s="25"/>
      <c r="B1682" s="297"/>
      <c r="C1682" s="25"/>
      <c r="D1682" s="25"/>
      <c r="E1682" s="25"/>
      <c r="F1682" s="25"/>
      <c r="G1682" s="123"/>
      <c r="H1682" s="123"/>
      <c r="I1682" s="25"/>
      <c r="J1682" s="25"/>
      <c r="K1682" s="367"/>
      <c r="L1682" s="42"/>
      <c r="M1682" s="42"/>
      <c r="N1682" s="42"/>
      <c r="O1682" s="42"/>
      <c r="P1682" s="42"/>
      <c r="Q1682" s="42"/>
      <c r="R1682" s="176"/>
      <c r="S1682" s="42"/>
      <c r="T1682" s="42"/>
      <c r="U1682" s="46"/>
      <c r="V1682" s="42"/>
      <c r="W1682" s="42"/>
      <c r="X1682" s="42"/>
      <c r="Y1682" s="42"/>
      <c r="Z1682" s="42"/>
      <c r="AA1682" s="42"/>
      <c r="AB1682" s="42"/>
      <c r="AC1682" s="42"/>
      <c r="AD1682" s="42"/>
      <c r="AE1682" s="42"/>
      <c r="AF1682" s="42"/>
    </row>
    <row r="1683">
      <c r="A1683" s="25"/>
      <c r="B1683" s="297"/>
      <c r="C1683" s="25"/>
      <c r="D1683" s="25"/>
      <c r="E1683" s="25"/>
      <c r="F1683" s="25"/>
      <c r="G1683" s="123"/>
      <c r="H1683" s="123"/>
      <c r="I1683" s="25"/>
      <c r="J1683" s="25"/>
      <c r="K1683" s="367"/>
      <c r="L1683" s="42"/>
      <c r="M1683" s="42"/>
      <c r="N1683" s="42"/>
      <c r="O1683" s="42"/>
      <c r="P1683" s="42"/>
      <c r="Q1683" s="42"/>
      <c r="R1683" s="176"/>
      <c r="S1683" s="42"/>
      <c r="T1683" s="42"/>
      <c r="U1683" s="46"/>
      <c r="V1683" s="42"/>
      <c r="W1683" s="42"/>
      <c r="X1683" s="42"/>
      <c r="Y1683" s="42"/>
      <c r="Z1683" s="42"/>
      <c r="AA1683" s="42"/>
      <c r="AB1683" s="42"/>
      <c r="AC1683" s="42"/>
      <c r="AD1683" s="42"/>
      <c r="AE1683" s="42"/>
      <c r="AF1683" s="42"/>
    </row>
    <row r="1684">
      <c r="A1684" s="25"/>
      <c r="B1684" s="297"/>
      <c r="C1684" s="25"/>
      <c r="D1684" s="25"/>
      <c r="E1684" s="25"/>
      <c r="F1684" s="25"/>
      <c r="G1684" s="123"/>
      <c r="H1684" s="123"/>
      <c r="I1684" s="25"/>
      <c r="J1684" s="25"/>
      <c r="K1684" s="367"/>
      <c r="L1684" s="42"/>
      <c r="M1684" s="42"/>
      <c r="N1684" s="42"/>
      <c r="O1684" s="42"/>
      <c r="P1684" s="42"/>
      <c r="Q1684" s="42"/>
      <c r="R1684" s="176"/>
      <c r="S1684" s="42"/>
      <c r="T1684" s="42"/>
      <c r="U1684" s="46"/>
      <c r="V1684" s="42"/>
      <c r="W1684" s="42"/>
      <c r="X1684" s="42"/>
      <c r="Y1684" s="42"/>
      <c r="Z1684" s="42"/>
      <c r="AA1684" s="42"/>
      <c r="AB1684" s="42"/>
      <c r="AC1684" s="42"/>
      <c r="AD1684" s="42"/>
      <c r="AE1684" s="42"/>
      <c r="AF1684" s="42"/>
    </row>
    <row r="1685">
      <c r="A1685" s="25"/>
      <c r="B1685" s="297"/>
      <c r="C1685" s="25"/>
      <c r="D1685" s="25"/>
      <c r="E1685" s="25"/>
      <c r="F1685" s="25"/>
      <c r="G1685" s="123"/>
      <c r="H1685" s="123"/>
      <c r="I1685" s="25"/>
      <c r="J1685" s="25"/>
      <c r="K1685" s="367"/>
      <c r="L1685" s="42"/>
      <c r="M1685" s="42"/>
      <c r="N1685" s="42"/>
      <c r="O1685" s="42"/>
      <c r="P1685" s="42"/>
      <c r="Q1685" s="42"/>
      <c r="R1685" s="176"/>
      <c r="S1685" s="42"/>
      <c r="T1685" s="42"/>
      <c r="U1685" s="46"/>
      <c r="V1685" s="42"/>
      <c r="W1685" s="42"/>
      <c r="X1685" s="42"/>
      <c r="Y1685" s="42"/>
      <c r="Z1685" s="42"/>
      <c r="AA1685" s="42"/>
      <c r="AB1685" s="42"/>
      <c r="AC1685" s="42"/>
      <c r="AD1685" s="42"/>
      <c r="AE1685" s="42"/>
      <c r="AF1685" s="42"/>
    </row>
    <row r="1686">
      <c r="A1686" s="25"/>
      <c r="B1686" s="297"/>
      <c r="C1686" s="25"/>
      <c r="D1686" s="25"/>
      <c r="E1686" s="25"/>
      <c r="F1686" s="25"/>
      <c r="G1686" s="123"/>
      <c r="H1686" s="123"/>
      <c r="I1686" s="25"/>
      <c r="J1686" s="25"/>
      <c r="K1686" s="367"/>
      <c r="L1686" s="42"/>
      <c r="M1686" s="42"/>
      <c r="N1686" s="42"/>
      <c r="O1686" s="42"/>
      <c r="P1686" s="42"/>
      <c r="Q1686" s="42"/>
      <c r="R1686" s="176"/>
      <c r="S1686" s="42"/>
      <c r="T1686" s="42"/>
      <c r="U1686" s="46"/>
      <c r="V1686" s="42"/>
      <c r="W1686" s="42"/>
      <c r="X1686" s="42"/>
      <c r="Y1686" s="42"/>
      <c r="Z1686" s="42"/>
      <c r="AA1686" s="42"/>
      <c r="AB1686" s="42"/>
      <c r="AC1686" s="42"/>
      <c r="AD1686" s="42"/>
      <c r="AE1686" s="42"/>
      <c r="AF1686" s="42"/>
    </row>
    <row r="1687">
      <c r="A1687" s="25"/>
      <c r="B1687" s="297"/>
      <c r="C1687" s="25"/>
      <c r="D1687" s="25"/>
      <c r="E1687" s="25"/>
      <c r="F1687" s="25"/>
      <c r="G1687" s="123"/>
      <c r="H1687" s="123"/>
      <c r="I1687" s="25"/>
      <c r="J1687" s="25"/>
      <c r="K1687" s="367"/>
      <c r="L1687" s="42"/>
      <c r="M1687" s="42"/>
      <c r="N1687" s="42"/>
      <c r="O1687" s="42"/>
      <c r="P1687" s="42"/>
      <c r="Q1687" s="42"/>
      <c r="R1687" s="176"/>
      <c r="S1687" s="42"/>
      <c r="T1687" s="42"/>
      <c r="U1687" s="46"/>
      <c r="V1687" s="42"/>
      <c r="W1687" s="42"/>
      <c r="X1687" s="42"/>
      <c r="Y1687" s="42"/>
      <c r="Z1687" s="42"/>
      <c r="AA1687" s="42"/>
      <c r="AB1687" s="42"/>
      <c r="AC1687" s="42"/>
      <c r="AD1687" s="42"/>
      <c r="AE1687" s="42"/>
      <c r="AF1687" s="42"/>
    </row>
    <row r="1688">
      <c r="A1688" s="25"/>
      <c r="B1688" s="297"/>
      <c r="C1688" s="25"/>
      <c r="D1688" s="25"/>
      <c r="E1688" s="25"/>
      <c r="F1688" s="25"/>
      <c r="G1688" s="123"/>
      <c r="H1688" s="123"/>
      <c r="I1688" s="25"/>
      <c r="J1688" s="25"/>
      <c r="K1688" s="367"/>
      <c r="L1688" s="42"/>
      <c r="M1688" s="42"/>
      <c r="N1688" s="42"/>
      <c r="O1688" s="42"/>
      <c r="P1688" s="42"/>
      <c r="Q1688" s="42"/>
      <c r="R1688" s="176"/>
      <c r="S1688" s="42"/>
      <c r="T1688" s="42"/>
      <c r="U1688" s="46"/>
      <c r="V1688" s="42"/>
      <c r="W1688" s="42"/>
      <c r="X1688" s="42"/>
      <c r="Y1688" s="42"/>
      <c r="Z1688" s="42"/>
      <c r="AA1688" s="42"/>
      <c r="AB1688" s="42"/>
      <c r="AC1688" s="42"/>
      <c r="AD1688" s="42"/>
      <c r="AE1688" s="42"/>
      <c r="AF1688" s="42"/>
    </row>
    <row r="1689">
      <c r="A1689" s="25"/>
      <c r="B1689" s="297"/>
      <c r="C1689" s="25"/>
      <c r="D1689" s="25"/>
      <c r="E1689" s="25"/>
      <c r="F1689" s="25"/>
      <c r="G1689" s="123"/>
      <c r="H1689" s="123"/>
      <c r="I1689" s="25"/>
      <c r="J1689" s="25"/>
      <c r="K1689" s="367"/>
      <c r="L1689" s="42"/>
      <c r="M1689" s="42"/>
      <c r="N1689" s="42"/>
      <c r="O1689" s="42"/>
      <c r="P1689" s="42"/>
      <c r="Q1689" s="42"/>
      <c r="R1689" s="176"/>
      <c r="S1689" s="42"/>
      <c r="T1689" s="42"/>
      <c r="U1689" s="46"/>
      <c r="V1689" s="42"/>
      <c r="W1689" s="42"/>
      <c r="X1689" s="42"/>
      <c r="Y1689" s="42"/>
      <c r="Z1689" s="42"/>
      <c r="AA1689" s="42"/>
      <c r="AB1689" s="42"/>
      <c r="AC1689" s="42"/>
      <c r="AD1689" s="42"/>
      <c r="AE1689" s="42"/>
      <c r="AF1689" s="42"/>
    </row>
    <row r="1690">
      <c r="A1690" s="25"/>
      <c r="B1690" s="297"/>
      <c r="C1690" s="25"/>
      <c r="D1690" s="25"/>
      <c r="E1690" s="25"/>
      <c r="F1690" s="25"/>
      <c r="G1690" s="123"/>
      <c r="H1690" s="123"/>
      <c r="I1690" s="25"/>
      <c r="J1690" s="25"/>
      <c r="K1690" s="367"/>
      <c r="L1690" s="42"/>
      <c r="M1690" s="42"/>
      <c r="N1690" s="42"/>
      <c r="O1690" s="42"/>
      <c r="P1690" s="42"/>
      <c r="Q1690" s="42"/>
      <c r="R1690" s="176"/>
      <c r="S1690" s="42"/>
      <c r="T1690" s="42"/>
      <c r="U1690" s="46"/>
      <c r="V1690" s="42"/>
      <c r="W1690" s="42"/>
      <c r="X1690" s="42"/>
      <c r="Y1690" s="42"/>
      <c r="Z1690" s="42"/>
      <c r="AA1690" s="42"/>
      <c r="AB1690" s="42"/>
      <c r="AC1690" s="42"/>
      <c r="AD1690" s="42"/>
      <c r="AE1690" s="42"/>
      <c r="AF1690" s="42"/>
    </row>
    <row r="1691">
      <c r="A1691" s="25"/>
      <c r="B1691" s="297"/>
      <c r="C1691" s="25"/>
      <c r="D1691" s="25"/>
      <c r="E1691" s="25"/>
      <c r="F1691" s="25"/>
      <c r="G1691" s="123"/>
      <c r="H1691" s="123"/>
      <c r="I1691" s="25"/>
      <c r="J1691" s="25"/>
      <c r="K1691" s="367"/>
      <c r="L1691" s="42"/>
      <c r="M1691" s="42"/>
      <c r="N1691" s="42"/>
      <c r="O1691" s="42"/>
      <c r="P1691" s="42"/>
      <c r="Q1691" s="42"/>
      <c r="R1691" s="176"/>
      <c r="S1691" s="42"/>
      <c r="T1691" s="42"/>
      <c r="U1691" s="46"/>
      <c r="V1691" s="42"/>
      <c r="W1691" s="42"/>
      <c r="X1691" s="42"/>
      <c r="Y1691" s="42"/>
      <c r="Z1691" s="42"/>
      <c r="AA1691" s="42"/>
      <c r="AB1691" s="42"/>
      <c r="AC1691" s="42"/>
      <c r="AD1691" s="42"/>
      <c r="AE1691" s="42"/>
      <c r="AF1691" s="42"/>
    </row>
    <row r="1692">
      <c r="A1692" s="25"/>
      <c r="B1692" s="297"/>
      <c r="C1692" s="25"/>
      <c r="D1692" s="25"/>
      <c r="E1692" s="25"/>
      <c r="F1692" s="25"/>
      <c r="G1692" s="123"/>
      <c r="H1692" s="123"/>
      <c r="I1692" s="25"/>
      <c r="J1692" s="25"/>
      <c r="K1692" s="367"/>
      <c r="L1692" s="42"/>
      <c r="M1692" s="42"/>
      <c r="N1692" s="42"/>
      <c r="O1692" s="42"/>
      <c r="P1692" s="42"/>
      <c r="Q1692" s="42"/>
      <c r="R1692" s="176"/>
      <c r="S1692" s="42"/>
      <c r="T1692" s="42"/>
      <c r="U1692" s="46"/>
      <c r="V1692" s="42"/>
      <c r="W1692" s="42"/>
      <c r="X1692" s="42"/>
      <c r="Y1692" s="42"/>
      <c r="Z1692" s="42"/>
      <c r="AA1692" s="42"/>
      <c r="AB1692" s="42"/>
      <c r="AC1692" s="42"/>
      <c r="AD1692" s="42"/>
      <c r="AE1692" s="42"/>
      <c r="AF1692" s="42"/>
    </row>
    <row r="1693">
      <c r="A1693" s="25"/>
      <c r="B1693" s="297"/>
      <c r="C1693" s="25"/>
      <c r="D1693" s="25"/>
      <c r="E1693" s="25"/>
      <c r="F1693" s="25"/>
      <c r="G1693" s="123"/>
      <c r="H1693" s="123"/>
      <c r="I1693" s="25"/>
      <c r="J1693" s="25"/>
      <c r="K1693" s="367"/>
      <c r="L1693" s="42"/>
      <c r="M1693" s="42"/>
      <c r="N1693" s="42"/>
      <c r="O1693" s="42"/>
      <c r="P1693" s="42"/>
      <c r="Q1693" s="42"/>
      <c r="R1693" s="176"/>
      <c r="S1693" s="42"/>
      <c r="T1693" s="42"/>
      <c r="U1693" s="46"/>
      <c r="V1693" s="42"/>
      <c r="W1693" s="42"/>
      <c r="X1693" s="42"/>
      <c r="Y1693" s="42"/>
      <c r="Z1693" s="42"/>
      <c r="AA1693" s="42"/>
      <c r="AB1693" s="42"/>
      <c r="AC1693" s="42"/>
      <c r="AD1693" s="42"/>
      <c r="AE1693" s="42"/>
      <c r="AF1693" s="42"/>
    </row>
    <row r="1694">
      <c r="A1694" s="25"/>
      <c r="B1694" s="297"/>
      <c r="C1694" s="25"/>
      <c r="D1694" s="25"/>
      <c r="E1694" s="25"/>
      <c r="F1694" s="25"/>
      <c r="G1694" s="123"/>
      <c r="H1694" s="123"/>
      <c r="I1694" s="25"/>
      <c r="J1694" s="25"/>
      <c r="K1694" s="367"/>
      <c r="L1694" s="42"/>
      <c r="M1694" s="42"/>
      <c r="N1694" s="42"/>
      <c r="O1694" s="42"/>
      <c r="P1694" s="42"/>
      <c r="Q1694" s="42"/>
      <c r="R1694" s="176"/>
      <c r="S1694" s="42"/>
      <c r="T1694" s="42"/>
      <c r="U1694" s="46"/>
      <c r="V1694" s="42"/>
      <c r="W1694" s="42"/>
      <c r="X1694" s="42"/>
      <c r="Y1694" s="42"/>
      <c r="Z1694" s="42"/>
      <c r="AA1694" s="42"/>
      <c r="AB1694" s="42"/>
      <c r="AC1694" s="42"/>
      <c r="AD1694" s="42"/>
      <c r="AE1694" s="42"/>
      <c r="AF1694" s="42"/>
    </row>
    <row r="1695">
      <c r="A1695" s="25"/>
      <c r="B1695" s="297"/>
      <c r="C1695" s="25"/>
      <c r="D1695" s="25"/>
      <c r="E1695" s="25"/>
      <c r="F1695" s="25"/>
      <c r="G1695" s="123"/>
      <c r="H1695" s="123"/>
      <c r="I1695" s="25"/>
      <c r="J1695" s="25"/>
      <c r="K1695" s="367"/>
      <c r="L1695" s="42"/>
      <c r="M1695" s="42"/>
      <c r="N1695" s="42"/>
      <c r="O1695" s="42"/>
      <c r="P1695" s="42"/>
      <c r="Q1695" s="42"/>
      <c r="R1695" s="176"/>
      <c r="S1695" s="42"/>
      <c r="T1695" s="42"/>
      <c r="U1695" s="46"/>
      <c r="V1695" s="42"/>
      <c r="W1695" s="42"/>
      <c r="X1695" s="42"/>
      <c r="Y1695" s="42"/>
      <c r="Z1695" s="42"/>
      <c r="AA1695" s="42"/>
      <c r="AB1695" s="42"/>
      <c r="AC1695" s="42"/>
      <c r="AD1695" s="42"/>
      <c r="AE1695" s="42"/>
      <c r="AF1695" s="42"/>
    </row>
    <row r="1696">
      <c r="A1696" s="25"/>
      <c r="B1696" s="297"/>
      <c r="C1696" s="25"/>
      <c r="D1696" s="25"/>
      <c r="E1696" s="25"/>
      <c r="F1696" s="25"/>
      <c r="G1696" s="123"/>
      <c r="H1696" s="123"/>
      <c r="I1696" s="25"/>
      <c r="J1696" s="25"/>
      <c r="K1696" s="367"/>
      <c r="L1696" s="42"/>
      <c r="M1696" s="42"/>
      <c r="N1696" s="42"/>
      <c r="O1696" s="42"/>
      <c r="P1696" s="42"/>
      <c r="Q1696" s="42"/>
      <c r="R1696" s="176"/>
      <c r="S1696" s="42"/>
      <c r="T1696" s="42"/>
      <c r="U1696" s="46"/>
      <c r="V1696" s="42"/>
      <c r="W1696" s="42"/>
      <c r="X1696" s="42"/>
      <c r="Y1696" s="42"/>
      <c r="Z1696" s="42"/>
      <c r="AA1696" s="42"/>
      <c r="AB1696" s="42"/>
      <c r="AC1696" s="42"/>
      <c r="AD1696" s="42"/>
      <c r="AE1696" s="42"/>
      <c r="AF1696" s="42"/>
    </row>
    <row r="1697">
      <c r="A1697" s="25"/>
      <c r="B1697" s="297"/>
      <c r="C1697" s="25"/>
      <c r="D1697" s="25"/>
      <c r="E1697" s="25"/>
      <c r="F1697" s="25"/>
      <c r="G1697" s="123"/>
      <c r="H1697" s="123"/>
      <c r="I1697" s="25"/>
      <c r="J1697" s="25"/>
      <c r="K1697" s="367"/>
      <c r="L1697" s="42"/>
      <c r="M1697" s="42"/>
      <c r="N1697" s="42"/>
      <c r="O1697" s="42"/>
      <c r="P1697" s="42"/>
      <c r="Q1697" s="42"/>
      <c r="R1697" s="176"/>
      <c r="S1697" s="42"/>
      <c r="T1697" s="42"/>
      <c r="U1697" s="46"/>
      <c r="V1697" s="42"/>
      <c r="W1697" s="42"/>
      <c r="X1697" s="42"/>
      <c r="Y1697" s="42"/>
      <c r="Z1697" s="42"/>
      <c r="AA1697" s="42"/>
      <c r="AB1697" s="42"/>
      <c r="AC1697" s="42"/>
      <c r="AD1697" s="42"/>
      <c r="AE1697" s="42"/>
      <c r="AF1697" s="42"/>
    </row>
    <row r="1698">
      <c r="A1698" s="25"/>
      <c r="B1698" s="297"/>
      <c r="C1698" s="25"/>
      <c r="D1698" s="25"/>
      <c r="E1698" s="25"/>
      <c r="F1698" s="25"/>
      <c r="G1698" s="123"/>
      <c r="H1698" s="123"/>
      <c r="I1698" s="25"/>
      <c r="J1698" s="25"/>
      <c r="K1698" s="367"/>
      <c r="L1698" s="42"/>
      <c r="M1698" s="42"/>
      <c r="N1698" s="42"/>
      <c r="O1698" s="42"/>
      <c r="P1698" s="42"/>
      <c r="Q1698" s="42"/>
      <c r="R1698" s="176"/>
      <c r="S1698" s="42"/>
      <c r="T1698" s="42"/>
      <c r="U1698" s="46"/>
      <c r="V1698" s="42"/>
      <c r="W1698" s="42"/>
      <c r="X1698" s="42"/>
      <c r="Y1698" s="42"/>
      <c r="Z1698" s="42"/>
      <c r="AA1698" s="42"/>
      <c r="AB1698" s="42"/>
      <c r="AC1698" s="42"/>
      <c r="AD1698" s="42"/>
      <c r="AE1698" s="42"/>
      <c r="AF1698" s="42"/>
    </row>
    <row r="1699">
      <c r="A1699" s="25"/>
      <c r="B1699" s="297"/>
      <c r="C1699" s="25"/>
      <c r="D1699" s="25"/>
      <c r="E1699" s="25"/>
      <c r="F1699" s="25"/>
      <c r="G1699" s="123"/>
      <c r="H1699" s="123"/>
      <c r="I1699" s="25"/>
      <c r="J1699" s="25"/>
      <c r="K1699" s="367"/>
      <c r="L1699" s="42"/>
      <c r="M1699" s="42"/>
      <c r="N1699" s="42"/>
      <c r="O1699" s="42"/>
      <c r="P1699" s="42"/>
      <c r="Q1699" s="42"/>
      <c r="R1699" s="176"/>
      <c r="S1699" s="42"/>
      <c r="T1699" s="42"/>
      <c r="U1699" s="46"/>
      <c r="V1699" s="42"/>
      <c r="W1699" s="42"/>
      <c r="X1699" s="42"/>
      <c r="Y1699" s="42"/>
      <c r="Z1699" s="42"/>
      <c r="AA1699" s="42"/>
      <c r="AB1699" s="42"/>
      <c r="AC1699" s="42"/>
      <c r="AD1699" s="42"/>
      <c r="AE1699" s="42"/>
      <c r="AF1699" s="42"/>
    </row>
    <row r="1700">
      <c r="A1700" s="25"/>
      <c r="B1700" s="297"/>
      <c r="C1700" s="25"/>
      <c r="D1700" s="25"/>
      <c r="E1700" s="25"/>
      <c r="F1700" s="25"/>
      <c r="G1700" s="123"/>
      <c r="H1700" s="123"/>
      <c r="I1700" s="25"/>
      <c r="J1700" s="25"/>
      <c r="K1700" s="367"/>
      <c r="L1700" s="42"/>
      <c r="M1700" s="42"/>
      <c r="N1700" s="42"/>
      <c r="O1700" s="42"/>
      <c r="P1700" s="42"/>
      <c r="Q1700" s="42"/>
      <c r="R1700" s="176"/>
      <c r="S1700" s="42"/>
      <c r="T1700" s="42"/>
      <c r="U1700" s="46"/>
      <c r="V1700" s="42"/>
      <c r="W1700" s="42"/>
      <c r="X1700" s="42"/>
      <c r="Y1700" s="42"/>
      <c r="Z1700" s="42"/>
      <c r="AA1700" s="42"/>
      <c r="AB1700" s="42"/>
      <c r="AC1700" s="42"/>
      <c r="AD1700" s="42"/>
      <c r="AE1700" s="42"/>
      <c r="AF1700" s="42"/>
    </row>
    <row r="1701">
      <c r="A1701" s="25"/>
      <c r="B1701" s="297"/>
      <c r="C1701" s="25"/>
      <c r="D1701" s="25"/>
      <c r="E1701" s="25"/>
      <c r="F1701" s="25"/>
      <c r="G1701" s="123"/>
      <c r="H1701" s="123"/>
      <c r="I1701" s="25"/>
      <c r="J1701" s="25"/>
      <c r="K1701" s="367"/>
      <c r="L1701" s="42"/>
      <c r="M1701" s="42"/>
      <c r="N1701" s="42"/>
      <c r="O1701" s="42"/>
      <c r="P1701" s="42"/>
      <c r="Q1701" s="42"/>
      <c r="R1701" s="176"/>
      <c r="S1701" s="42"/>
      <c r="T1701" s="42"/>
      <c r="U1701" s="46"/>
      <c r="V1701" s="42"/>
      <c r="W1701" s="42"/>
      <c r="X1701" s="42"/>
      <c r="Y1701" s="42"/>
      <c r="Z1701" s="42"/>
      <c r="AA1701" s="42"/>
      <c r="AB1701" s="42"/>
      <c r="AC1701" s="42"/>
      <c r="AD1701" s="42"/>
      <c r="AE1701" s="42"/>
      <c r="AF1701" s="42"/>
    </row>
    <row r="1702">
      <c r="A1702" s="25"/>
      <c r="B1702" s="297"/>
      <c r="C1702" s="25"/>
      <c r="D1702" s="25"/>
      <c r="E1702" s="25"/>
      <c r="F1702" s="25"/>
      <c r="G1702" s="123"/>
      <c r="H1702" s="123"/>
      <c r="I1702" s="25"/>
      <c r="J1702" s="25"/>
      <c r="K1702" s="367"/>
      <c r="L1702" s="42"/>
      <c r="M1702" s="42"/>
      <c r="N1702" s="42"/>
      <c r="O1702" s="42"/>
      <c r="P1702" s="42"/>
      <c r="Q1702" s="42"/>
      <c r="R1702" s="176"/>
      <c r="S1702" s="42"/>
      <c r="T1702" s="42"/>
      <c r="U1702" s="46"/>
      <c r="V1702" s="42"/>
      <c r="W1702" s="42"/>
      <c r="X1702" s="42"/>
      <c r="Y1702" s="42"/>
      <c r="Z1702" s="42"/>
      <c r="AA1702" s="42"/>
      <c r="AB1702" s="42"/>
      <c r="AC1702" s="42"/>
      <c r="AD1702" s="42"/>
      <c r="AE1702" s="42"/>
      <c r="AF1702" s="42"/>
    </row>
    <row r="1703">
      <c r="A1703" s="25"/>
      <c r="B1703" s="297"/>
      <c r="C1703" s="25"/>
      <c r="D1703" s="25"/>
      <c r="E1703" s="25"/>
      <c r="F1703" s="25"/>
      <c r="G1703" s="123"/>
      <c r="H1703" s="123"/>
      <c r="I1703" s="25"/>
      <c r="J1703" s="25"/>
      <c r="K1703" s="367"/>
      <c r="L1703" s="42"/>
      <c r="M1703" s="42"/>
      <c r="N1703" s="42"/>
      <c r="O1703" s="42"/>
      <c r="P1703" s="42"/>
      <c r="Q1703" s="42"/>
      <c r="R1703" s="176"/>
      <c r="S1703" s="42"/>
      <c r="T1703" s="42"/>
      <c r="U1703" s="46"/>
      <c r="V1703" s="42"/>
      <c r="W1703" s="42"/>
      <c r="X1703" s="42"/>
      <c r="Y1703" s="42"/>
      <c r="Z1703" s="42"/>
      <c r="AA1703" s="42"/>
      <c r="AB1703" s="42"/>
      <c r="AC1703" s="42"/>
      <c r="AD1703" s="42"/>
      <c r="AE1703" s="42"/>
      <c r="AF1703" s="42"/>
    </row>
    <row r="1704">
      <c r="A1704" s="25"/>
      <c r="B1704" s="297"/>
      <c r="C1704" s="25"/>
      <c r="D1704" s="25"/>
      <c r="E1704" s="25"/>
      <c r="F1704" s="25"/>
      <c r="G1704" s="123"/>
      <c r="H1704" s="123"/>
      <c r="I1704" s="25"/>
      <c r="J1704" s="25"/>
      <c r="K1704" s="367"/>
      <c r="L1704" s="42"/>
      <c r="M1704" s="42"/>
      <c r="N1704" s="42"/>
      <c r="O1704" s="42"/>
      <c r="P1704" s="42"/>
      <c r="Q1704" s="42"/>
      <c r="R1704" s="176"/>
      <c r="S1704" s="42"/>
      <c r="T1704" s="42"/>
      <c r="U1704" s="46"/>
      <c r="V1704" s="42"/>
      <c r="W1704" s="42"/>
      <c r="X1704" s="42"/>
      <c r="Y1704" s="42"/>
      <c r="Z1704" s="42"/>
      <c r="AA1704" s="42"/>
      <c r="AB1704" s="42"/>
      <c r="AC1704" s="42"/>
      <c r="AD1704" s="42"/>
      <c r="AE1704" s="42"/>
      <c r="AF1704" s="42"/>
    </row>
    <row r="1705">
      <c r="A1705" s="25"/>
      <c r="B1705" s="297"/>
      <c r="C1705" s="25"/>
      <c r="D1705" s="25"/>
      <c r="E1705" s="25"/>
      <c r="F1705" s="25"/>
      <c r="G1705" s="123"/>
      <c r="H1705" s="123"/>
      <c r="I1705" s="25"/>
      <c r="J1705" s="25"/>
      <c r="K1705" s="367"/>
      <c r="L1705" s="42"/>
      <c r="M1705" s="42"/>
      <c r="N1705" s="42"/>
      <c r="O1705" s="42"/>
      <c r="P1705" s="42"/>
      <c r="Q1705" s="42"/>
      <c r="R1705" s="176"/>
      <c r="S1705" s="42"/>
      <c r="T1705" s="42"/>
      <c r="U1705" s="46"/>
      <c r="V1705" s="42"/>
      <c r="W1705" s="42"/>
      <c r="X1705" s="42"/>
      <c r="Y1705" s="42"/>
      <c r="Z1705" s="42"/>
      <c r="AA1705" s="42"/>
      <c r="AB1705" s="42"/>
      <c r="AC1705" s="42"/>
      <c r="AD1705" s="42"/>
      <c r="AE1705" s="42"/>
      <c r="AF1705" s="42"/>
    </row>
    <row r="1706">
      <c r="A1706" s="25"/>
      <c r="B1706" s="297"/>
      <c r="C1706" s="25"/>
      <c r="D1706" s="25"/>
      <c r="E1706" s="25"/>
      <c r="F1706" s="25"/>
      <c r="G1706" s="123"/>
      <c r="H1706" s="123"/>
      <c r="I1706" s="25"/>
      <c r="J1706" s="25"/>
      <c r="K1706" s="367"/>
      <c r="L1706" s="42"/>
      <c r="M1706" s="42"/>
      <c r="N1706" s="42"/>
      <c r="O1706" s="42"/>
      <c r="P1706" s="42"/>
      <c r="Q1706" s="42"/>
      <c r="R1706" s="176"/>
      <c r="S1706" s="42"/>
      <c r="T1706" s="42"/>
      <c r="U1706" s="46"/>
      <c r="V1706" s="42"/>
      <c r="W1706" s="42"/>
      <c r="X1706" s="42"/>
      <c r="Y1706" s="42"/>
      <c r="Z1706" s="42"/>
      <c r="AA1706" s="42"/>
      <c r="AB1706" s="42"/>
      <c r="AC1706" s="42"/>
      <c r="AD1706" s="42"/>
      <c r="AE1706" s="42"/>
      <c r="AF1706" s="42"/>
    </row>
    <row r="1707">
      <c r="A1707" s="25"/>
      <c r="B1707" s="297"/>
      <c r="C1707" s="25"/>
      <c r="D1707" s="25"/>
      <c r="E1707" s="25"/>
      <c r="F1707" s="25"/>
      <c r="G1707" s="123"/>
      <c r="H1707" s="123"/>
      <c r="I1707" s="25"/>
      <c r="J1707" s="25"/>
      <c r="K1707" s="367"/>
      <c r="L1707" s="42"/>
      <c r="M1707" s="42"/>
      <c r="N1707" s="42"/>
      <c r="O1707" s="42"/>
      <c r="P1707" s="42"/>
      <c r="Q1707" s="42"/>
      <c r="R1707" s="176"/>
      <c r="S1707" s="42"/>
      <c r="T1707" s="42"/>
      <c r="U1707" s="46"/>
      <c r="V1707" s="42"/>
      <c r="W1707" s="42"/>
      <c r="X1707" s="42"/>
      <c r="Y1707" s="42"/>
      <c r="Z1707" s="42"/>
      <c r="AA1707" s="42"/>
      <c r="AB1707" s="42"/>
      <c r="AC1707" s="42"/>
      <c r="AD1707" s="42"/>
      <c r="AE1707" s="42"/>
      <c r="AF1707" s="42"/>
    </row>
    <row r="1708">
      <c r="A1708" s="25"/>
      <c r="B1708" s="297"/>
      <c r="C1708" s="25"/>
      <c r="D1708" s="25"/>
      <c r="E1708" s="25"/>
      <c r="F1708" s="25"/>
      <c r="G1708" s="123"/>
      <c r="H1708" s="123"/>
      <c r="I1708" s="25"/>
      <c r="J1708" s="25"/>
      <c r="K1708" s="367"/>
      <c r="L1708" s="42"/>
      <c r="M1708" s="42"/>
      <c r="N1708" s="42"/>
      <c r="O1708" s="42"/>
      <c r="P1708" s="42"/>
      <c r="Q1708" s="42"/>
      <c r="R1708" s="176"/>
      <c r="S1708" s="42"/>
      <c r="T1708" s="42"/>
      <c r="U1708" s="46"/>
      <c r="V1708" s="42"/>
      <c r="W1708" s="42"/>
      <c r="X1708" s="42"/>
      <c r="Y1708" s="42"/>
      <c r="Z1708" s="42"/>
      <c r="AA1708" s="42"/>
      <c r="AB1708" s="42"/>
      <c r="AC1708" s="42"/>
      <c r="AD1708" s="42"/>
      <c r="AE1708" s="42"/>
      <c r="AF1708" s="42"/>
    </row>
    <row r="1709">
      <c r="A1709" s="25"/>
      <c r="B1709" s="297"/>
      <c r="C1709" s="25"/>
      <c r="D1709" s="25"/>
      <c r="E1709" s="25"/>
      <c r="F1709" s="25"/>
      <c r="G1709" s="123"/>
      <c r="H1709" s="123"/>
      <c r="I1709" s="25"/>
      <c r="J1709" s="25"/>
      <c r="K1709" s="367"/>
      <c r="L1709" s="42"/>
      <c r="M1709" s="42"/>
      <c r="N1709" s="42"/>
      <c r="O1709" s="42"/>
      <c r="P1709" s="42"/>
      <c r="Q1709" s="42"/>
      <c r="R1709" s="176"/>
      <c r="S1709" s="42"/>
      <c r="T1709" s="42"/>
      <c r="U1709" s="46"/>
      <c r="V1709" s="42"/>
      <c r="W1709" s="42"/>
      <c r="X1709" s="42"/>
      <c r="Y1709" s="42"/>
      <c r="Z1709" s="42"/>
      <c r="AA1709" s="42"/>
      <c r="AB1709" s="42"/>
      <c r="AC1709" s="42"/>
      <c r="AD1709" s="42"/>
      <c r="AE1709" s="42"/>
      <c r="AF1709" s="42"/>
    </row>
    <row r="1710">
      <c r="A1710" s="25"/>
      <c r="B1710" s="297"/>
      <c r="C1710" s="25"/>
      <c r="D1710" s="25"/>
      <c r="E1710" s="25"/>
      <c r="F1710" s="25"/>
      <c r="G1710" s="123"/>
      <c r="H1710" s="123"/>
      <c r="I1710" s="25"/>
      <c r="J1710" s="25"/>
      <c r="K1710" s="367"/>
      <c r="L1710" s="42"/>
      <c r="M1710" s="42"/>
      <c r="N1710" s="42"/>
      <c r="O1710" s="42"/>
      <c r="P1710" s="42"/>
      <c r="Q1710" s="42"/>
      <c r="R1710" s="176"/>
      <c r="S1710" s="42"/>
      <c r="T1710" s="42"/>
      <c r="U1710" s="46"/>
      <c r="V1710" s="42"/>
      <c r="W1710" s="42"/>
      <c r="X1710" s="42"/>
      <c r="Y1710" s="42"/>
      <c r="Z1710" s="42"/>
      <c r="AA1710" s="42"/>
      <c r="AB1710" s="42"/>
      <c r="AC1710" s="42"/>
      <c r="AD1710" s="42"/>
      <c r="AE1710" s="42"/>
      <c r="AF1710" s="42"/>
    </row>
    <row r="1711">
      <c r="A1711" s="25"/>
      <c r="B1711" s="297"/>
      <c r="C1711" s="25"/>
      <c r="D1711" s="25"/>
      <c r="E1711" s="25"/>
      <c r="F1711" s="25"/>
      <c r="G1711" s="123"/>
      <c r="H1711" s="123"/>
      <c r="I1711" s="25"/>
      <c r="J1711" s="25"/>
      <c r="K1711" s="367"/>
      <c r="L1711" s="42"/>
      <c r="M1711" s="42"/>
      <c r="N1711" s="42"/>
      <c r="O1711" s="42"/>
      <c r="P1711" s="42"/>
      <c r="Q1711" s="42"/>
      <c r="R1711" s="176"/>
      <c r="S1711" s="42"/>
      <c r="T1711" s="42"/>
      <c r="U1711" s="46"/>
      <c r="V1711" s="42"/>
      <c r="W1711" s="42"/>
      <c r="X1711" s="42"/>
      <c r="Y1711" s="42"/>
      <c r="Z1711" s="42"/>
      <c r="AA1711" s="42"/>
      <c r="AB1711" s="42"/>
      <c r="AC1711" s="42"/>
      <c r="AD1711" s="42"/>
      <c r="AE1711" s="42"/>
      <c r="AF1711" s="42"/>
    </row>
    <row r="1712">
      <c r="A1712" s="25"/>
      <c r="B1712" s="297"/>
      <c r="C1712" s="25"/>
      <c r="D1712" s="25"/>
      <c r="E1712" s="25"/>
      <c r="F1712" s="25"/>
      <c r="G1712" s="123"/>
      <c r="H1712" s="123"/>
      <c r="I1712" s="25"/>
      <c r="J1712" s="25"/>
      <c r="K1712" s="367"/>
      <c r="L1712" s="42"/>
      <c r="M1712" s="42"/>
      <c r="N1712" s="42"/>
      <c r="O1712" s="42"/>
      <c r="P1712" s="42"/>
      <c r="Q1712" s="42"/>
      <c r="R1712" s="176"/>
      <c r="S1712" s="42"/>
      <c r="T1712" s="42"/>
      <c r="U1712" s="46"/>
      <c r="V1712" s="42"/>
      <c r="W1712" s="42"/>
      <c r="X1712" s="42"/>
      <c r="Y1712" s="42"/>
      <c r="Z1712" s="42"/>
      <c r="AA1712" s="42"/>
      <c r="AB1712" s="42"/>
      <c r="AC1712" s="42"/>
      <c r="AD1712" s="42"/>
      <c r="AE1712" s="42"/>
      <c r="AF1712" s="42"/>
    </row>
    <row r="1713">
      <c r="A1713" s="25"/>
      <c r="B1713" s="297"/>
      <c r="C1713" s="25"/>
      <c r="D1713" s="25"/>
      <c r="E1713" s="25"/>
      <c r="F1713" s="25"/>
      <c r="G1713" s="123"/>
      <c r="H1713" s="123"/>
      <c r="I1713" s="25"/>
      <c r="J1713" s="25"/>
      <c r="K1713" s="367"/>
      <c r="L1713" s="42"/>
      <c r="M1713" s="42"/>
      <c r="N1713" s="42"/>
      <c r="O1713" s="42"/>
      <c r="P1713" s="42"/>
      <c r="Q1713" s="42"/>
      <c r="R1713" s="176"/>
      <c r="S1713" s="42"/>
      <c r="T1713" s="42"/>
      <c r="U1713" s="46"/>
      <c r="V1713" s="42"/>
      <c r="W1713" s="42"/>
      <c r="X1713" s="42"/>
      <c r="Y1713" s="42"/>
      <c r="Z1713" s="42"/>
      <c r="AA1713" s="42"/>
      <c r="AB1713" s="42"/>
      <c r="AC1713" s="42"/>
      <c r="AD1713" s="42"/>
      <c r="AE1713" s="42"/>
      <c r="AF1713" s="42"/>
    </row>
    <row r="1714">
      <c r="A1714" s="25"/>
      <c r="B1714" s="297"/>
      <c r="C1714" s="25"/>
      <c r="D1714" s="25"/>
      <c r="E1714" s="25"/>
      <c r="F1714" s="25"/>
      <c r="G1714" s="123"/>
      <c r="H1714" s="123"/>
      <c r="I1714" s="25"/>
      <c r="J1714" s="25"/>
      <c r="K1714" s="367"/>
      <c r="L1714" s="42"/>
      <c r="M1714" s="42"/>
      <c r="N1714" s="42"/>
      <c r="O1714" s="42"/>
      <c r="P1714" s="42"/>
      <c r="Q1714" s="42"/>
      <c r="R1714" s="176"/>
      <c r="S1714" s="42"/>
      <c r="T1714" s="42"/>
      <c r="U1714" s="46"/>
      <c r="V1714" s="42"/>
      <c r="W1714" s="42"/>
      <c r="X1714" s="42"/>
      <c r="Y1714" s="42"/>
      <c r="Z1714" s="42"/>
      <c r="AA1714" s="42"/>
      <c r="AB1714" s="42"/>
      <c r="AC1714" s="42"/>
      <c r="AD1714" s="42"/>
      <c r="AE1714" s="42"/>
      <c r="AF1714" s="42"/>
    </row>
    <row r="1715">
      <c r="A1715" s="25"/>
      <c r="B1715" s="297"/>
      <c r="C1715" s="25"/>
      <c r="D1715" s="25"/>
      <c r="E1715" s="25"/>
      <c r="F1715" s="25"/>
      <c r="G1715" s="123"/>
      <c r="H1715" s="123"/>
      <c r="I1715" s="25"/>
      <c r="J1715" s="25"/>
      <c r="K1715" s="367"/>
      <c r="L1715" s="42"/>
      <c r="M1715" s="42"/>
      <c r="N1715" s="42"/>
      <c r="O1715" s="42"/>
      <c r="P1715" s="42"/>
      <c r="Q1715" s="42"/>
      <c r="R1715" s="176"/>
      <c r="S1715" s="42"/>
      <c r="T1715" s="42"/>
      <c r="U1715" s="46"/>
      <c r="V1715" s="42"/>
      <c r="W1715" s="42"/>
      <c r="X1715" s="42"/>
      <c r="Y1715" s="42"/>
      <c r="Z1715" s="42"/>
      <c r="AA1715" s="42"/>
      <c r="AB1715" s="42"/>
      <c r="AC1715" s="42"/>
      <c r="AD1715" s="42"/>
      <c r="AE1715" s="42"/>
      <c r="AF1715" s="42"/>
    </row>
    <row r="1716">
      <c r="A1716" s="25"/>
      <c r="B1716" s="297"/>
      <c r="C1716" s="25"/>
      <c r="D1716" s="25"/>
      <c r="E1716" s="25"/>
      <c r="F1716" s="25"/>
      <c r="G1716" s="123"/>
      <c r="H1716" s="123"/>
      <c r="I1716" s="25"/>
      <c r="J1716" s="25"/>
      <c r="K1716" s="367"/>
      <c r="L1716" s="42"/>
      <c r="M1716" s="42"/>
      <c r="N1716" s="42"/>
      <c r="O1716" s="42"/>
      <c r="P1716" s="42"/>
      <c r="Q1716" s="42"/>
      <c r="R1716" s="176"/>
      <c r="S1716" s="42"/>
      <c r="T1716" s="42"/>
      <c r="U1716" s="46"/>
      <c r="V1716" s="42"/>
      <c r="W1716" s="42"/>
      <c r="X1716" s="42"/>
      <c r="Y1716" s="42"/>
      <c r="Z1716" s="42"/>
      <c r="AA1716" s="42"/>
      <c r="AB1716" s="42"/>
      <c r="AC1716" s="42"/>
      <c r="AD1716" s="42"/>
      <c r="AE1716" s="42"/>
      <c r="AF1716" s="42"/>
    </row>
    <row r="1717">
      <c r="A1717" s="25"/>
      <c r="B1717" s="297"/>
      <c r="C1717" s="25"/>
      <c r="D1717" s="25"/>
      <c r="E1717" s="25"/>
      <c r="F1717" s="25"/>
      <c r="G1717" s="123"/>
      <c r="H1717" s="123"/>
      <c r="I1717" s="25"/>
      <c r="J1717" s="25"/>
      <c r="K1717" s="367"/>
      <c r="L1717" s="42"/>
      <c r="M1717" s="42"/>
      <c r="N1717" s="42"/>
      <c r="O1717" s="42"/>
      <c r="P1717" s="42"/>
      <c r="Q1717" s="42"/>
      <c r="R1717" s="176"/>
      <c r="S1717" s="42"/>
      <c r="T1717" s="42"/>
      <c r="U1717" s="46"/>
      <c r="V1717" s="42"/>
      <c r="W1717" s="42"/>
      <c r="X1717" s="42"/>
      <c r="Y1717" s="42"/>
      <c r="Z1717" s="42"/>
      <c r="AA1717" s="42"/>
      <c r="AB1717" s="42"/>
      <c r="AC1717" s="42"/>
      <c r="AD1717" s="42"/>
      <c r="AE1717" s="42"/>
      <c r="AF1717" s="42"/>
    </row>
    <row r="1718">
      <c r="A1718" s="25"/>
      <c r="B1718" s="297"/>
      <c r="C1718" s="25"/>
      <c r="D1718" s="25"/>
      <c r="E1718" s="25"/>
      <c r="F1718" s="25"/>
      <c r="G1718" s="123"/>
      <c r="H1718" s="123"/>
      <c r="I1718" s="25"/>
      <c r="J1718" s="25"/>
      <c r="K1718" s="367"/>
      <c r="L1718" s="42"/>
      <c r="M1718" s="42"/>
      <c r="N1718" s="42"/>
      <c r="O1718" s="42"/>
      <c r="P1718" s="42"/>
      <c r="Q1718" s="42"/>
      <c r="R1718" s="176"/>
      <c r="S1718" s="42"/>
      <c r="T1718" s="42"/>
      <c r="U1718" s="46"/>
      <c r="V1718" s="42"/>
      <c r="W1718" s="42"/>
      <c r="X1718" s="42"/>
      <c r="Y1718" s="42"/>
      <c r="Z1718" s="42"/>
      <c r="AA1718" s="42"/>
      <c r="AB1718" s="42"/>
      <c r="AC1718" s="42"/>
      <c r="AD1718" s="42"/>
      <c r="AE1718" s="42"/>
      <c r="AF1718" s="42"/>
    </row>
    <row r="1719">
      <c r="A1719" s="25"/>
      <c r="B1719" s="297"/>
      <c r="C1719" s="25"/>
      <c r="D1719" s="25"/>
      <c r="E1719" s="25"/>
      <c r="F1719" s="25"/>
      <c r="G1719" s="123"/>
      <c r="H1719" s="123"/>
      <c r="I1719" s="25"/>
      <c r="J1719" s="25"/>
      <c r="K1719" s="367"/>
      <c r="L1719" s="42"/>
      <c r="M1719" s="42"/>
      <c r="N1719" s="42"/>
      <c r="O1719" s="42"/>
      <c r="P1719" s="42"/>
      <c r="Q1719" s="42"/>
      <c r="R1719" s="176"/>
      <c r="S1719" s="42"/>
      <c r="T1719" s="42"/>
      <c r="U1719" s="46"/>
      <c r="V1719" s="42"/>
      <c r="W1719" s="42"/>
      <c r="X1719" s="42"/>
      <c r="Y1719" s="42"/>
      <c r="Z1719" s="42"/>
      <c r="AA1719" s="42"/>
      <c r="AB1719" s="42"/>
      <c r="AC1719" s="42"/>
      <c r="AD1719" s="42"/>
      <c r="AE1719" s="42"/>
      <c r="AF1719" s="42"/>
    </row>
    <row r="1720">
      <c r="A1720" s="25"/>
      <c r="B1720" s="297"/>
      <c r="C1720" s="25"/>
      <c r="D1720" s="25"/>
      <c r="E1720" s="25"/>
      <c r="F1720" s="25"/>
      <c r="G1720" s="123"/>
      <c r="H1720" s="123"/>
      <c r="I1720" s="25"/>
      <c r="J1720" s="25"/>
      <c r="K1720" s="367"/>
      <c r="L1720" s="42"/>
      <c r="M1720" s="42"/>
      <c r="N1720" s="42"/>
      <c r="O1720" s="42"/>
      <c r="P1720" s="42"/>
      <c r="Q1720" s="42"/>
      <c r="R1720" s="176"/>
      <c r="S1720" s="42"/>
      <c r="T1720" s="42"/>
      <c r="U1720" s="46"/>
      <c r="V1720" s="42"/>
      <c r="W1720" s="42"/>
      <c r="X1720" s="42"/>
      <c r="Y1720" s="42"/>
      <c r="Z1720" s="42"/>
      <c r="AA1720" s="42"/>
      <c r="AB1720" s="42"/>
      <c r="AC1720" s="42"/>
      <c r="AD1720" s="42"/>
      <c r="AE1720" s="42"/>
      <c r="AF1720" s="42"/>
    </row>
    <row r="1721">
      <c r="A1721" s="25"/>
      <c r="B1721" s="297"/>
      <c r="C1721" s="25"/>
      <c r="D1721" s="25"/>
      <c r="E1721" s="25"/>
      <c r="F1721" s="25"/>
      <c r="G1721" s="123"/>
      <c r="H1721" s="123"/>
      <c r="I1721" s="25"/>
      <c r="J1721" s="25"/>
      <c r="K1721" s="367"/>
      <c r="L1721" s="42"/>
      <c r="M1721" s="42"/>
      <c r="N1721" s="42"/>
      <c r="O1721" s="42"/>
      <c r="P1721" s="42"/>
      <c r="Q1721" s="42"/>
      <c r="R1721" s="176"/>
      <c r="S1721" s="42"/>
      <c r="T1721" s="42"/>
      <c r="U1721" s="46"/>
      <c r="V1721" s="42"/>
      <c r="W1721" s="42"/>
      <c r="X1721" s="42"/>
      <c r="Y1721" s="42"/>
      <c r="Z1721" s="42"/>
      <c r="AA1721" s="42"/>
      <c r="AB1721" s="42"/>
      <c r="AC1721" s="42"/>
      <c r="AD1721" s="42"/>
      <c r="AE1721" s="42"/>
      <c r="AF1721" s="42"/>
    </row>
    <row r="1722">
      <c r="A1722" s="25"/>
      <c r="B1722" s="297"/>
      <c r="C1722" s="25"/>
      <c r="D1722" s="25"/>
      <c r="E1722" s="25"/>
      <c r="F1722" s="25"/>
      <c r="G1722" s="123"/>
      <c r="H1722" s="123"/>
      <c r="I1722" s="25"/>
      <c r="J1722" s="25"/>
      <c r="K1722" s="367"/>
      <c r="L1722" s="42"/>
      <c r="M1722" s="42"/>
      <c r="N1722" s="42"/>
      <c r="O1722" s="42"/>
      <c r="P1722" s="42"/>
      <c r="Q1722" s="42"/>
      <c r="R1722" s="176"/>
      <c r="S1722" s="42"/>
      <c r="T1722" s="42"/>
      <c r="U1722" s="46"/>
      <c r="V1722" s="42"/>
      <c r="W1722" s="42"/>
      <c r="X1722" s="42"/>
      <c r="Y1722" s="42"/>
      <c r="Z1722" s="42"/>
      <c r="AA1722" s="42"/>
      <c r="AB1722" s="42"/>
      <c r="AC1722" s="42"/>
      <c r="AD1722" s="42"/>
      <c r="AE1722" s="42"/>
      <c r="AF1722" s="42"/>
    </row>
    <row r="1723">
      <c r="A1723" s="25"/>
      <c r="B1723" s="297"/>
      <c r="C1723" s="25"/>
      <c r="D1723" s="25"/>
      <c r="E1723" s="25"/>
      <c r="F1723" s="25"/>
      <c r="G1723" s="123"/>
      <c r="H1723" s="123"/>
      <c r="I1723" s="25"/>
      <c r="J1723" s="25"/>
      <c r="K1723" s="367"/>
      <c r="L1723" s="42"/>
      <c r="M1723" s="42"/>
      <c r="N1723" s="42"/>
      <c r="O1723" s="42"/>
      <c r="P1723" s="42"/>
      <c r="Q1723" s="42"/>
      <c r="R1723" s="176"/>
      <c r="S1723" s="42"/>
      <c r="T1723" s="42"/>
      <c r="U1723" s="46"/>
      <c r="V1723" s="42"/>
      <c r="W1723" s="42"/>
      <c r="X1723" s="42"/>
      <c r="Y1723" s="42"/>
      <c r="Z1723" s="42"/>
      <c r="AA1723" s="42"/>
      <c r="AB1723" s="42"/>
      <c r="AC1723" s="42"/>
      <c r="AD1723" s="42"/>
      <c r="AE1723" s="42"/>
      <c r="AF1723" s="42"/>
    </row>
    <row r="1724">
      <c r="A1724" s="25"/>
      <c r="B1724" s="297"/>
      <c r="C1724" s="25"/>
      <c r="D1724" s="25"/>
      <c r="E1724" s="25"/>
      <c r="F1724" s="25"/>
      <c r="G1724" s="123"/>
      <c r="H1724" s="123"/>
      <c r="I1724" s="25"/>
      <c r="J1724" s="25"/>
      <c r="K1724" s="367"/>
      <c r="L1724" s="42"/>
      <c r="M1724" s="42"/>
      <c r="N1724" s="42"/>
      <c r="O1724" s="42"/>
      <c r="P1724" s="42"/>
      <c r="Q1724" s="42"/>
      <c r="R1724" s="176"/>
      <c r="S1724" s="42"/>
      <c r="T1724" s="42"/>
      <c r="U1724" s="46"/>
      <c r="V1724" s="42"/>
      <c r="W1724" s="42"/>
      <c r="X1724" s="42"/>
      <c r="Y1724" s="42"/>
      <c r="Z1724" s="42"/>
      <c r="AA1724" s="42"/>
      <c r="AB1724" s="42"/>
      <c r="AC1724" s="42"/>
      <c r="AD1724" s="42"/>
      <c r="AE1724" s="42"/>
      <c r="AF1724" s="42"/>
    </row>
    <row r="1725">
      <c r="A1725" s="25"/>
      <c r="B1725" s="297"/>
      <c r="C1725" s="25"/>
      <c r="D1725" s="25"/>
      <c r="E1725" s="25"/>
      <c r="F1725" s="25"/>
      <c r="G1725" s="123"/>
      <c r="H1725" s="123"/>
      <c r="I1725" s="25"/>
      <c r="J1725" s="25"/>
      <c r="K1725" s="367"/>
      <c r="L1725" s="42"/>
      <c r="M1725" s="42"/>
      <c r="N1725" s="42"/>
      <c r="O1725" s="42"/>
      <c r="P1725" s="42"/>
      <c r="Q1725" s="42"/>
      <c r="R1725" s="176"/>
      <c r="S1725" s="42"/>
      <c r="T1725" s="42"/>
      <c r="U1725" s="46"/>
      <c r="V1725" s="42"/>
      <c r="W1725" s="42"/>
      <c r="X1725" s="42"/>
      <c r="Y1725" s="42"/>
      <c r="Z1725" s="42"/>
      <c r="AA1725" s="42"/>
      <c r="AB1725" s="42"/>
      <c r="AC1725" s="42"/>
      <c r="AD1725" s="42"/>
      <c r="AE1725" s="42"/>
      <c r="AF1725" s="42"/>
    </row>
    <row r="1726">
      <c r="A1726" s="25"/>
      <c r="B1726" s="297"/>
      <c r="C1726" s="25"/>
      <c r="D1726" s="25"/>
      <c r="E1726" s="25"/>
      <c r="F1726" s="25"/>
      <c r="G1726" s="123"/>
      <c r="H1726" s="123"/>
      <c r="I1726" s="25"/>
      <c r="J1726" s="25"/>
      <c r="K1726" s="367"/>
      <c r="L1726" s="42"/>
      <c r="M1726" s="42"/>
      <c r="N1726" s="42"/>
      <c r="O1726" s="42"/>
      <c r="P1726" s="42"/>
      <c r="Q1726" s="42"/>
      <c r="R1726" s="176"/>
      <c r="S1726" s="42"/>
      <c r="T1726" s="42"/>
      <c r="U1726" s="46"/>
      <c r="V1726" s="42"/>
      <c r="W1726" s="42"/>
      <c r="X1726" s="42"/>
      <c r="Y1726" s="42"/>
      <c r="Z1726" s="42"/>
      <c r="AA1726" s="42"/>
      <c r="AB1726" s="42"/>
      <c r="AC1726" s="42"/>
      <c r="AD1726" s="42"/>
      <c r="AE1726" s="42"/>
      <c r="AF1726" s="42"/>
    </row>
    <row r="1727">
      <c r="A1727" s="25"/>
      <c r="B1727" s="297"/>
      <c r="C1727" s="25"/>
      <c r="D1727" s="25"/>
      <c r="E1727" s="25"/>
      <c r="F1727" s="25"/>
      <c r="G1727" s="123"/>
      <c r="H1727" s="123"/>
      <c r="I1727" s="25"/>
      <c r="J1727" s="25"/>
      <c r="K1727" s="367"/>
      <c r="L1727" s="42"/>
      <c r="M1727" s="42"/>
      <c r="N1727" s="42"/>
      <c r="O1727" s="42"/>
      <c r="P1727" s="42"/>
      <c r="Q1727" s="42"/>
      <c r="R1727" s="176"/>
      <c r="S1727" s="42"/>
      <c r="T1727" s="42"/>
      <c r="U1727" s="46"/>
      <c r="V1727" s="42"/>
      <c r="W1727" s="42"/>
      <c r="X1727" s="42"/>
      <c r="Y1727" s="42"/>
      <c r="Z1727" s="42"/>
      <c r="AA1727" s="42"/>
      <c r="AB1727" s="42"/>
      <c r="AC1727" s="42"/>
      <c r="AD1727" s="42"/>
      <c r="AE1727" s="42"/>
      <c r="AF1727" s="42"/>
    </row>
    <row r="1728">
      <c r="A1728" s="25"/>
      <c r="B1728" s="297"/>
      <c r="C1728" s="25"/>
      <c r="D1728" s="25"/>
      <c r="E1728" s="25"/>
      <c r="F1728" s="25"/>
      <c r="G1728" s="123"/>
      <c r="H1728" s="123"/>
      <c r="I1728" s="25"/>
      <c r="J1728" s="25"/>
      <c r="K1728" s="367"/>
      <c r="L1728" s="42"/>
      <c r="M1728" s="42"/>
      <c r="N1728" s="42"/>
      <c r="O1728" s="42"/>
      <c r="P1728" s="42"/>
      <c r="Q1728" s="42"/>
      <c r="R1728" s="176"/>
      <c r="S1728" s="42"/>
      <c r="T1728" s="42"/>
      <c r="U1728" s="46"/>
      <c r="V1728" s="42"/>
      <c r="W1728" s="42"/>
      <c r="X1728" s="42"/>
      <c r="Y1728" s="42"/>
      <c r="Z1728" s="42"/>
      <c r="AA1728" s="42"/>
      <c r="AB1728" s="42"/>
      <c r="AC1728" s="42"/>
      <c r="AD1728" s="42"/>
      <c r="AE1728" s="42"/>
      <c r="AF1728" s="42"/>
    </row>
    <row r="1729">
      <c r="A1729" s="25"/>
      <c r="B1729" s="297"/>
      <c r="C1729" s="25"/>
      <c r="D1729" s="25"/>
      <c r="E1729" s="25"/>
      <c r="F1729" s="25"/>
      <c r="G1729" s="123"/>
      <c r="H1729" s="123"/>
      <c r="I1729" s="25"/>
      <c r="J1729" s="25"/>
      <c r="K1729" s="367"/>
      <c r="L1729" s="42"/>
      <c r="M1729" s="42"/>
      <c r="N1729" s="42"/>
      <c r="O1729" s="42"/>
      <c r="P1729" s="42"/>
      <c r="Q1729" s="42"/>
      <c r="R1729" s="176"/>
      <c r="S1729" s="42"/>
      <c r="T1729" s="42"/>
      <c r="U1729" s="46"/>
      <c r="V1729" s="42"/>
      <c r="W1729" s="42"/>
      <c r="X1729" s="42"/>
      <c r="Y1729" s="42"/>
      <c r="Z1729" s="42"/>
      <c r="AA1729" s="42"/>
      <c r="AB1729" s="42"/>
      <c r="AC1729" s="42"/>
      <c r="AD1729" s="42"/>
      <c r="AE1729" s="42"/>
      <c r="AF1729" s="42"/>
    </row>
    <row r="1730">
      <c r="A1730" s="25"/>
      <c r="B1730" s="297"/>
      <c r="C1730" s="25"/>
      <c r="D1730" s="25"/>
      <c r="E1730" s="25"/>
      <c r="F1730" s="25"/>
      <c r="G1730" s="123"/>
      <c r="H1730" s="123"/>
      <c r="I1730" s="25"/>
      <c r="J1730" s="25"/>
      <c r="K1730" s="367"/>
      <c r="L1730" s="42"/>
      <c r="M1730" s="42"/>
      <c r="N1730" s="42"/>
      <c r="O1730" s="42"/>
      <c r="P1730" s="42"/>
      <c r="Q1730" s="42"/>
      <c r="R1730" s="176"/>
      <c r="S1730" s="42"/>
      <c r="T1730" s="42"/>
      <c r="U1730" s="46"/>
      <c r="V1730" s="42"/>
      <c r="W1730" s="42"/>
      <c r="X1730" s="42"/>
      <c r="Y1730" s="42"/>
      <c r="Z1730" s="42"/>
      <c r="AA1730" s="42"/>
      <c r="AB1730" s="42"/>
      <c r="AC1730" s="42"/>
      <c r="AD1730" s="42"/>
      <c r="AE1730" s="42"/>
      <c r="AF1730" s="42"/>
    </row>
    <row r="1731">
      <c r="A1731" s="25"/>
      <c r="B1731" s="297"/>
      <c r="C1731" s="25"/>
      <c r="D1731" s="25"/>
      <c r="E1731" s="25"/>
      <c r="F1731" s="25"/>
      <c r="G1731" s="123"/>
      <c r="H1731" s="123"/>
      <c r="I1731" s="25"/>
      <c r="J1731" s="25"/>
      <c r="K1731" s="367"/>
      <c r="L1731" s="42"/>
      <c r="M1731" s="42"/>
      <c r="N1731" s="42"/>
      <c r="O1731" s="42"/>
      <c r="P1731" s="42"/>
      <c r="Q1731" s="42"/>
      <c r="R1731" s="176"/>
      <c r="S1731" s="42"/>
      <c r="T1731" s="42"/>
      <c r="U1731" s="46"/>
      <c r="V1731" s="42"/>
      <c r="W1731" s="42"/>
      <c r="X1731" s="42"/>
      <c r="Y1731" s="42"/>
      <c r="Z1731" s="42"/>
      <c r="AA1731" s="42"/>
      <c r="AB1731" s="42"/>
      <c r="AC1731" s="42"/>
      <c r="AD1731" s="42"/>
      <c r="AE1731" s="42"/>
      <c r="AF1731" s="42"/>
    </row>
    <row r="1732">
      <c r="A1732" s="25"/>
      <c r="B1732" s="297"/>
      <c r="C1732" s="25"/>
      <c r="D1732" s="25"/>
      <c r="E1732" s="25"/>
      <c r="F1732" s="25"/>
      <c r="G1732" s="123"/>
      <c r="H1732" s="123"/>
      <c r="I1732" s="25"/>
      <c r="J1732" s="25"/>
      <c r="K1732" s="367"/>
      <c r="L1732" s="42"/>
      <c r="M1732" s="42"/>
      <c r="N1732" s="42"/>
      <c r="O1732" s="42"/>
      <c r="P1732" s="42"/>
      <c r="Q1732" s="42"/>
      <c r="R1732" s="176"/>
      <c r="S1732" s="42"/>
      <c r="T1732" s="42"/>
      <c r="U1732" s="46"/>
      <c r="V1732" s="42"/>
      <c r="W1732" s="42"/>
      <c r="X1732" s="42"/>
      <c r="Y1732" s="42"/>
      <c r="Z1732" s="42"/>
      <c r="AA1732" s="42"/>
      <c r="AB1732" s="42"/>
      <c r="AC1732" s="42"/>
      <c r="AD1732" s="42"/>
      <c r="AE1732" s="42"/>
      <c r="AF1732" s="42"/>
    </row>
    <row r="1733">
      <c r="A1733" s="25"/>
      <c r="B1733" s="297"/>
      <c r="C1733" s="25"/>
      <c r="D1733" s="25"/>
      <c r="E1733" s="25"/>
      <c r="F1733" s="25"/>
      <c r="G1733" s="123"/>
      <c r="H1733" s="123"/>
      <c r="I1733" s="25"/>
      <c r="J1733" s="25"/>
      <c r="K1733" s="367"/>
      <c r="L1733" s="42"/>
      <c r="M1733" s="42"/>
      <c r="N1733" s="42"/>
      <c r="O1733" s="42"/>
      <c r="P1733" s="42"/>
      <c r="Q1733" s="42"/>
      <c r="R1733" s="176"/>
      <c r="S1733" s="42"/>
      <c r="T1733" s="42"/>
      <c r="U1733" s="46"/>
      <c r="V1733" s="42"/>
      <c r="W1733" s="42"/>
      <c r="X1733" s="42"/>
      <c r="Y1733" s="42"/>
      <c r="Z1733" s="42"/>
      <c r="AA1733" s="42"/>
      <c r="AB1733" s="42"/>
      <c r="AC1733" s="42"/>
      <c r="AD1733" s="42"/>
      <c r="AE1733" s="42"/>
      <c r="AF1733" s="42"/>
    </row>
    <row r="1734">
      <c r="A1734" s="25"/>
      <c r="B1734" s="297"/>
      <c r="C1734" s="25"/>
      <c r="D1734" s="25"/>
      <c r="E1734" s="25"/>
      <c r="F1734" s="25"/>
      <c r="G1734" s="123"/>
      <c r="H1734" s="123"/>
      <c r="I1734" s="25"/>
      <c r="J1734" s="25"/>
      <c r="K1734" s="367"/>
      <c r="L1734" s="42"/>
      <c r="M1734" s="42"/>
      <c r="N1734" s="42"/>
      <c r="O1734" s="42"/>
      <c r="P1734" s="42"/>
      <c r="Q1734" s="42"/>
      <c r="R1734" s="176"/>
      <c r="S1734" s="42"/>
      <c r="T1734" s="42"/>
      <c r="U1734" s="46"/>
      <c r="V1734" s="42"/>
      <c r="W1734" s="42"/>
      <c r="X1734" s="42"/>
      <c r="Y1734" s="42"/>
      <c r="Z1734" s="42"/>
      <c r="AA1734" s="42"/>
      <c r="AB1734" s="42"/>
      <c r="AC1734" s="42"/>
      <c r="AD1734" s="42"/>
      <c r="AE1734" s="42"/>
      <c r="AF1734" s="42"/>
    </row>
    <row r="1735">
      <c r="A1735" s="25"/>
      <c r="B1735" s="297"/>
      <c r="C1735" s="25"/>
      <c r="D1735" s="25"/>
      <c r="E1735" s="25"/>
      <c r="F1735" s="25"/>
      <c r="G1735" s="123"/>
      <c r="H1735" s="123"/>
      <c r="I1735" s="25"/>
      <c r="J1735" s="25"/>
      <c r="K1735" s="367"/>
      <c r="L1735" s="42"/>
      <c r="M1735" s="42"/>
      <c r="N1735" s="42"/>
      <c r="O1735" s="42"/>
      <c r="P1735" s="42"/>
      <c r="Q1735" s="42"/>
      <c r="R1735" s="176"/>
      <c r="S1735" s="42"/>
      <c r="T1735" s="42"/>
      <c r="U1735" s="46"/>
      <c r="V1735" s="42"/>
      <c r="W1735" s="42"/>
      <c r="X1735" s="42"/>
      <c r="Y1735" s="42"/>
      <c r="Z1735" s="42"/>
      <c r="AA1735" s="42"/>
      <c r="AB1735" s="42"/>
      <c r="AC1735" s="42"/>
      <c r="AD1735" s="42"/>
      <c r="AE1735" s="42"/>
      <c r="AF1735" s="42"/>
    </row>
    <row r="1736">
      <c r="A1736" s="25"/>
      <c r="B1736" s="297"/>
      <c r="C1736" s="25"/>
      <c r="D1736" s="25"/>
      <c r="E1736" s="25"/>
      <c r="F1736" s="25"/>
      <c r="G1736" s="123"/>
      <c r="H1736" s="123"/>
      <c r="I1736" s="25"/>
      <c r="J1736" s="25"/>
      <c r="K1736" s="367"/>
      <c r="L1736" s="42"/>
      <c r="M1736" s="42"/>
      <c r="N1736" s="42"/>
      <c r="O1736" s="42"/>
      <c r="P1736" s="42"/>
      <c r="Q1736" s="42"/>
      <c r="R1736" s="176"/>
      <c r="S1736" s="42"/>
      <c r="T1736" s="42"/>
      <c r="U1736" s="46"/>
      <c r="V1736" s="42"/>
      <c r="W1736" s="42"/>
      <c r="X1736" s="42"/>
      <c r="Y1736" s="42"/>
      <c r="Z1736" s="42"/>
      <c r="AA1736" s="42"/>
      <c r="AB1736" s="42"/>
      <c r="AC1736" s="42"/>
      <c r="AD1736" s="42"/>
      <c r="AE1736" s="42"/>
      <c r="AF1736" s="42"/>
    </row>
    <row r="1737">
      <c r="A1737" s="25"/>
      <c r="B1737" s="297"/>
      <c r="C1737" s="25"/>
      <c r="D1737" s="25"/>
      <c r="E1737" s="25"/>
      <c r="F1737" s="25"/>
      <c r="G1737" s="123"/>
      <c r="H1737" s="123"/>
      <c r="I1737" s="25"/>
      <c r="J1737" s="25"/>
      <c r="K1737" s="367"/>
      <c r="L1737" s="42"/>
      <c r="M1737" s="42"/>
      <c r="N1737" s="42"/>
      <c r="O1737" s="42"/>
      <c r="P1737" s="42"/>
      <c r="Q1737" s="42"/>
      <c r="R1737" s="176"/>
      <c r="S1737" s="42"/>
      <c r="T1737" s="42"/>
      <c r="U1737" s="46"/>
      <c r="V1737" s="42"/>
      <c r="W1737" s="42"/>
      <c r="X1737" s="42"/>
      <c r="Y1737" s="42"/>
      <c r="Z1737" s="42"/>
      <c r="AA1737" s="42"/>
      <c r="AB1737" s="42"/>
      <c r="AC1737" s="42"/>
      <c r="AD1737" s="42"/>
      <c r="AE1737" s="42"/>
      <c r="AF1737" s="42"/>
    </row>
    <row r="1738">
      <c r="A1738" s="25"/>
      <c r="B1738" s="297"/>
      <c r="C1738" s="25"/>
      <c r="D1738" s="25"/>
      <c r="E1738" s="25"/>
      <c r="F1738" s="25"/>
      <c r="G1738" s="123"/>
      <c r="H1738" s="123"/>
      <c r="I1738" s="25"/>
      <c r="J1738" s="25"/>
      <c r="K1738" s="367"/>
      <c r="L1738" s="42"/>
      <c r="M1738" s="42"/>
      <c r="N1738" s="42"/>
      <c r="O1738" s="42"/>
      <c r="P1738" s="42"/>
      <c r="Q1738" s="42"/>
      <c r="R1738" s="176"/>
      <c r="S1738" s="42"/>
      <c r="T1738" s="42"/>
      <c r="U1738" s="46"/>
      <c r="V1738" s="42"/>
      <c r="W1738" s="42"/>
      <c r="X1738" s="42"/>
      <c r="Y1738" s="42"/>
      <c r="Z1738" s="42"/>
      <c r="AA1738" s="42"/>
      <c r="AB1738" s="42"/>
      <c r="AC1738" s="42"/>
      <c r="AD1738" s="42"/>
      <c r="AE1738" s="42"/>
      <c r="AF1738" s="42"/>
    </row>
    <row r="1739">
      <c r="A1739" s="25"/>
      <c r="B1739" s="297"/>
      <c r="C1739" s="25"/>
      <c r="D1739" s="25"/>
      <c r="E1739" s="25"/>
      <c r="F1739" s="25"/>
      <c r="G1739" s="123"/>
      <c r="H1739" s="123"/>
      <c r="I1739" s="25"/>
      <c r="J1739" s="25"/>
      <c r="K1739" s="367"/>
      <c r="L1739" s="42"/>
      <c r="M1739" s="42"/>
      <c r="N1739" s="42"/>
      <c r="O1739" s="42"/>
      <c r="P1739" s="42"/>
      <c r="Q1739" s="42"/>
      <c r="R1739" s="176"/>
      <c r="S1739" s="42"/>
      <c r="T1739" s="42"/>
      <c r="U1739" s="46"/>
      <c r="V1739" s="42"/>
      <c r="W1739" s="42"/>
      <c r="X1739" s="42"/>
      <c r="Y1739" s="42"/>
      <c r="Z1739" s="42"/>
      <c r="AA1739" s="42"/>
      <c r="AB1739" s="42"/>
      <c r="AC1739" s="42"/>
      <c r="AD1739" s="42"/>
      <c r="AE1739" s="42"/>
      <c r="AF1739" s="42"/>
    </row>
    <row r="1740">
      <c r="A1740" s="25"/>
      <c r="B1740" s="297"/>
      <c r="C1740" s="25"/>
      <c r="D1740" s="25"/>
      <c r="E1740" s="25"/>
      <c r="F1740" s="25"/>
      <c r="G1740" s="123"/>
      <c r="H1740" s="123"/>
      <c r="I1740" s="25"/>
      <c r="J1740" s="25"/>
      <c r="K1740" s="367"/>
      <c r="L1740" s="42"/>
      <c r="M1740" s="42"/>
      <c r="N1740" s="42"/>
      <c r="O1740" s="42"/>
      <c r="P1740" s="42"/>
      <c r="Q1740" s="42"/>
      <c r="R1740" s="176"/>
      <c r="S1740" s="42"/>
      <c r="T1740" s="42"/>
      <c r="U1740" s="46"/>
      <c r="V1740" s="42"/>
      <c r="W1740" s="42"/>
      <c r="X1740" s="42"/>
      <c r="Y1740" s="42"/>
      <c r="Z1740" s="42"/>
      <c r="AA1740" s="42"/>
      <c r="AB1740" s="42"/>
      <c r="AC1740" s="42"/>
      <c r="AD1740" s="42"/>
      <c r="AE1740" s="42"/>
      <c r="AF1740" s="42"/>
    </row>
    <row r="1741">
      <c r="A1741" s="25"/>
      <c r="B1741" s="297"/>
      <c r="C1741" s="25"/>
      <c r="D1741" s="25"/>
      <c r="E1741" s="25"/>
      <c r="F1741" s="25"/>
      <c r="G1741" s="123"/>
      <c r="H1741" s="123"/>
      <c r="I1741" s="25"/>
      <c r="J1741" s="25"/>
      <c r="K1741" s="367"/>
      <c r="L1741" s="42"/>
      <c r="M1741" s="42"/>
      <c r="N1741" s="42"/>
      <c r="O1741" s="42"/>
      <c r="P1741" s="42"/>
      <c r="Q1741" s="42"/>
      <c r="R1741" s="176"/>
      <c r="S1741" s="42"/>
      <c r="T1741" s="42"/>
      <c r="U1741" s="46"/>
      <c r="V1741" s="42"/>
      <c r="W1741" s="42"/>
      <c r="X1741" s="42"/>
      <c r="Y1741" s="42"/>
      <c r="Z1741" s="42"/>
      <c r="AA1741" s="42"/>
      <c r="AB1741" s="42"/>
      <c r="AC1741" s="42"/>
      <c r="AD1741" s="42"/>
      <c r="AE1741" s="42"/>
      <c r="AF1741" s="42"/>
    </row>
    <row r="1742">
      <c r="A1742" s="25"/>
      <c r="B1742" s="297"/>
      <c r="C1742" s="25"/>
      <c r="D1742" s="25"/>
      <c r="E1742" s="25"/>
      <c r="F1742" s="25"/>
      <c r="G1742" s="123"/>
      <c r="H1742" s="123"/>
      <c r="I1742" s="25"/>
      <c r="J1742" s="25"/>
      <c r="K1742" s="367"/>
      <c r="L1742" s="42"/>
      <c r="M1742" s="42"/>
      <c r="N1742" s="42"/>
      <c r="O1742" s="42"/>
      <c r="P1742" s="42"/>
      <c r="Q1742" s="42"/>
      <c r="R1742" s="176"/>
      <c r="S1742" s="42"/>
      <c r="T1742" s="42"/>
      <c r="U1742" s="46"/>
      <c r="V1742" s="42"/>
      <c r="W1742" s="42"/>
      <c r="X1742" s="42"/>
      <c r="Y1742" s="42"/>
      <c r="Z1742" s="42"/>
      <c r="AA1742" s="42"/>
      <c r="AB1742" s="42"/>
      <c r="AC1742" s="42"/>
      <c r="AD1742" s="42"/>
      <c r="AE1742" s="42"/>
      <c r="AF1742" s="42"/>
    </row>
    <row r="1743">
      <c r="A1743" s="25"/>
      <c r="B1743" s="297"/>
      <c r="C1743" s="25"/>
      <c r="D1743" s="25"/>
      <c r="E1743" s="25"/>
      <c r="F1743" s="25"/>
      <c r="G1743" s="123"/>
      <c r="H1743" s="123"/>
      <c r="I1743" s="25"/>
      <c r="J1743" s="25"/>
      <c r="K1743" s="367"/>
      <c r="L1743" s="42"/>
      <c r="M1743" s="42"/>
      <c r="N1743" s="42"/>
      <c r="O1743" s="42"/>
      <c r="P1743" s="42"/>
      <c r="Q1743" s="42"/>
      <c r="R1743" s="176"/>
      <c r="S1743" s="42"/>
      <c r="T1743" s="42"/>
      <c r="U1743" s="46"/>
      <c r="V1743" s="42"/>
      <c r="W1743" s="42"/>
      <c r="X1743" s="42"/>
      <c r="Y1743" s="42"/>
      <c r="Z1743" s="42"/>
      <c r="AA1743" s="42"/>
      <c r="AB1743" s="42"/>
      <c r="AC1743" s="42"/>
      <c r="AD1743" s="42"/>
      <c r="AE1743" s="42"/>
      <c r="AF1743" s="42"/>
    </row>
    <row r="1744">
      <c r="A1744" s="25"/>
      <c r="B1744" s="297"/>
      <c r="C1744" s="25"/>
      <c r="D1744" s="25"/>
      <c r="E1744" s="25"/>
      <c r="F1744" s="25"/>
      <c r="G1744" s="123"/>
      <c r="H1744" s="123"/>
      <c r="I1744" s="25"/>
      <c r="J1744" s="25"/>
      <c r="K1744" s="367"/>
      <c r="L1744" s="42"/>
      <c r="M1744" s="42"/>
      <c r="N1744" s="42"/>
      <c r="O1744" s="42"/>
      <c r="P1744" s="42"/>
      <c r="Q1744" s="42"/>
      <c r="R1744" s="176"/>
      <c r="S1744" s="42"/>
      <c r="T1744" s="42"/>
      <c r="U1744" s="46"/>
      <c r="V1744" s="42"/>
      <c r="W1744" s="42"/>
      <c r="X1744" s="42"/>
      <c r="Y1744" s="42"/>
      <c r="Z1744" s="42"/>
      <c r="AA1744" s="42"/>
      <c r="AB1744" s="42"/>
      <c r="AC1744" s="42"/>
      <c r="AD1744" s="42"/>
      <c r="AE1744" s="42"/>
      <c r="AF1744" s="42"/>
    </row>
    <row r="1745">
      <c r="A1745" s="25"/>
      <c r="B1745" s="297"/>
      <c r="C1745" s="25"/>
      <c r="D1745" s="25"/>
      <c r="E1745" s="25"/>
      <c r="F1745" s="25"/>
      <c r="G1745" s="123"/>
      <c r="H1745" s="123"/>
      <c r="I1745" s="25"/>
      <c r="J1745" s="25"/>
      <c r="K1745" s="367"/>
      <c r="L1745" s="42"/>
      <c r="M1745" s="42"/>
      <c r="N1745" s="42"/>
      <c r="O1745" s="42"/>
      <c r="P1745" s="42"/>
      <c r="Q1745" s="42"/>
      <c r="R1745" s="176"/>
      <c r="S1745" s="42"/>
      <c r="T1745" s="42"/>
      <c r="U1745" s="46"/>
      <c r="V1745" s="42"/>
      <c r="W1745" s="42"/>
      <c r="X1745" s="42"/>
      <c r="Y1745" s="42"/>
      <c r="Z1745" s="42"/>
      <c r="AA1745" s="42"/>
      <c r="AB1745" s="42"/>
      <c r="AC1745" s="42"/>
      <c r="AD1745" s="42"/>
      <c r="AE1745" s="42"/>
      <c r="AF1745" s="42"/>
    </row>
    <row r="1746">
      <c r="A1746" s="25"/>
      <c r="B1746" s="297"/>
      <c r="C1746" s="25"/>
      <c r="D1746" s="25"/>
      <c r="E1746" s="25"/>
      <c r="F1746" s="25"/>
      <c r="G1746" s="123"/>
      <c r="H1746" s="123"/>
      <c r="I1746" s="25"/>
      <c r="J1746" s="25"/>
      <c r="K1746" s="367"/>
      <c r="L1746" s="42"/>
      <c r="M1746" s="42"/>
      <c r="N1746" s="42"/>
      <c r="O1746" s="42"/>
      <c r="P1746" s="42"/>
      <c r="Q1746" s="42"/>
      <c r="R1746" s="176"/>
      <c r="S1746" s="42"/>
      <c r="T1746" s="42"/>
      <c r="U1746" s="46"/>
      <c r="V1746" s="42"/>
      <c r="W1746" s="42"/>
      <c r="X1746" s="42"/>
      <c r="Y1746" s="42"/>
      <c r="Z1746" s="42"/>
      <c r="AA1746" s="42"/>
      <c r="AB1746" s="42"/>
      <c r="AC1746" s="42"/>
      <c r="AD1746" s="42"/>
      <c r="AE1746" s="42"/>
      <c r="AF1746" s="42"/>
    </row>
    <row r="1747">
      <c r="A1747" s="25"/>
      <c r="B1747" s="297"/>
      <c r="C1747" s="25"/>
      <c r="D1747" s="25"/>
      <c r="E1747" s="25"/>
      <c r="F1747" s="25"/>
      <c r="G1747" s="123"/>
      <c r="H1747" s="123"/>
      <c r="I1747" s="25"/>
      <c r="J1747" s="25"/>
      <c r="K1747" s="367"/>
      <c r="L1747" s="42"/>
      <c r="M1747" s="42"/>
      <c r="N1747" s="42"/>
      <c r="O1747" s="42"/>
      <c r="P1747" s="42"/>
      <c r="Q1747" s="42"/>
      <c r="R1747" s="176"/>
      <c r="S1747" s="42"/>
      <c r="T1747" s="42"/>
      <c r="U1747" s="46"/>
      <c r="V1747" s="42"/>
      <c r="W1747" s="42"/>
      <c r="X1747" s="42"/>
      <c r="Y1747" s="42"/>
      <c r="Z1747" s="42"/>
      <c r="AA1747" s="42"/>
      <c r="AB1747" s="42"/>
      <c r="AC1747" s="42"/>
      <c r="AD1747" s="42"/>
      <c r="AE1747" s="42"/>
      <c r="AF1747" s="42"/>
    </row>
    <row r="1748">
      <c r="A1748" s="25"/>
      <c r="B1748" s="297"/>
      <c r="C1748" s="25"/>
      <c r="D1748" s="25"/>
      <c r="E1748" s="25"/>
      <c r="F1748" s="25"/>
      <c r="G1748" s="123"/>
      <c r="H1748" s="123"/>
      <c r="I1748" s="25"/>
      <c r="J1748" s="25"/>
      <c r="K1748" s="367"/>
      <c r="L1748" s="42"/>
      <c r="M1748" s="42"/>
      <c r="N1748" s="42"/>
      <c r="O1748" s="42"/>
      <c r="P1748" s="42"/>
      <c r="Q1748" s="42"/>
      <c r="R1748" s="176"/>
      <c r="S1748" s="42"/>
      <c r="T1748" s="42"/>
      <c r="U1748" s="46"/>
      <c r="V1748" s="42"/>
      <c r="W1748" s="42"/>
      <c r="X1748" s="42"/>
      <c r="Y1748" s="42"/>
      <c r="Z1748" s="42"/>
      <c r="AA1748" s="42"/>
      <c r="AB1748" s="42"/>
      <c r="AC1748" s="42"/>
      <c r="AD1748" s="42"/>
      <c r="AE1748" s="42"/>
      <c r="AF1748" s="42"/>
    </row>
    <row r="1749">
      <c r="A1749" s="25"/>
      <c r="B1749" s="297"/>
      <c r="C1749" s="25"/>
      <c r="D1749" s="25"/>
      <c r="E1749" s="25"/>
      <c r="F1749" s="25"/>
      <c r="G1749" s="123"/>
      <c r="H1749" s="123"/>
      <c r="I1749" s="25"/>
      <c r="J1749" s="25"/>
      <c r="K1749" s="367"/>
      <c r="L1749" s="42"/>
      <c r="M1749" s="42"/>
      <c r="N1749" s="42"/>
      <c r="O1749" s="42"/>
      <c r="P1749" s="42"/>
      <c r="Q1749" s="42"/>
      <c r="R1749" s="176"/>
      <c r="S1749" s="42"/>
      <c r="T1749" s="42"/>
      <c r="U1749" s="46"/>
      <c r="V1749" s="42"/>
      <c r="W1749" s="42"/>
      <c r="X1749" s="42"/>
      <c r="Y1749" s="42"/>
      <c r="Z1749" s="42"/>
      <c r="AA1749" s="42"/>
      <c r="AB1749" s="42"/>
      <c r="AC1749" s="42"/>
      <c r="AD1749" s="42"/>
      <c r="AE1749" s="42"/>
      <c r="AF1749" s="42"/>
    </row>
    <row r="1750">
      <c r="A1750" s="25"/>
      <c r="B1750" s="297"/>
      <c r="C1750" s="25"/>
      <c r="D1750" s="25"/>
      <c r="E1750" s="25"/>
      <c r="F1750" s="25"/>
      <c r="G1750" s="123"/>
      <c r="H1750" s="123"/>
      <c r="I1750" s="25"/>
      <c r="J1750" s="25"/>
      <c r="K1750" s="367"/>
      <c r="L1750" s="42"/>
      <c r="M1750" s="42"/>
      <c r="N1750" s="42"/>
      <c r="O1750" s="42"/>
      <c r="P1750" s="42"/>
      <c r="Q1750" s="42"/>
      <c r="R1750" s="176"/>
      <c r="S1750" s="42"/>
      <c r="T1750" s="42"/>
      <c r="U1750" s="46"/>
      <c r="V1750" s="42"/>
      <c r="W1750" s="42"/>
      <c r="X1750" s="42"/>
      <c r="Y1750" s="42"/>
      <c r="Z1750" s="42"/>
      <c r="AA1750" s="42"/>
      <c r="AB1750" s="42"/>
      <c r="AC1750" s="42"/>
      <c r="AD1750" s="42"/>
      <c r="AE1750" s="42"/>
      <c r="AF1750" s="42"/>
    </row>
    <row r="1751">
      <c r="A1751" s="25"/>
      <c r="B1751" s="297"/>
      <c r="C1751" s="25"/>
      <c r="D1751" s="25"/>
      <c r="E1751" s="25"/>
      <c r="F1751" s="25"/>
      <c r="G1751" s="123"/>
      <c r="H1751" s="123"/>
      <c r="I1751" s="25"/>
      <c r="J1751" s="25"/>
      <c r="K1751" s="367"/>
      <c r="L1751" s="42"/>
      <c r="M1751" s="42"/>
      <c r="N1751" s="42"/>
      <c r="O1751" s="42"/>
      <c r="P1751" s="42"/>
      <c r="Q1751" s="42"/>
      <c r="R1751" s="176"/>
      <c r="S1751" s="42"/>
      <c r="T1751" s="42"/>
      <c r="U1751" s="46"/>
      <c r="V1751" s="42"/>
      <c r="W1751" s="42"/>
      <c r="X1751" s="42"/>
      <c r="Y1751" s="42"/>
      <c r="Z1751" s="42"/>
      <c r="AA1751" s="42"/>
      <c r="AB1751" s="42"/>
      <c r="AC1751" s="42"/>
      <c r="AD1751" s="42"/>
      <c r="AE1751" s="42"/>
      <c r="AF1751" s="42"/>
    </row>
    <row r="1752">
      <c r="A1752" s="25"/>
      <c r="B1752" s="297"/>
      <c r="C1752" s="25"/>
      <c r="D1752" s="25"/>
      <c r="E1752" s="25"/>
      <c r="F1752" s="25"/>
      <c r="G1752" s="123"/>
      <c r="H1752" s="123"/>
      <c r="I1752" s="25"/>
      <c r="J1752" s="25"/>
      <c r="K1752" s="367"/>
      <c r="L1752" s="42"/>
      <c r="M1752" s="42"/>
      <c r="N1752" s="42"/>
      <c r="O1752" s="42"/>
      <c r="P1752" s="42"/>
      <c r="Q1752" s="42"/>
      <c r="R1752" s="176"/>
      <c r="S1752" s="42"/>
      <c r="T1752" s="42"/>
      <c r="U1752" s="46"/>
      <c r="V1752" s="42"/>
      <c r="W1752" s="42"/>
      <c r="X1752" s="42"/>
      <c r="Y1752" s="42"/>
      <c r="Z1752" s="42"/>
      <c r="AA1752" s="42"/>
      <c r="AB1752" s="42"/>
      <c r="AC1752" s="42"/>
      <c r="AD1752" s="42"/>
      <c r="AE1752" s="42"/>
      <c r="AF1752" s="42"/>
    </row>
    <row r="1753">
      <c r="A1753" s="25"/>
      <c r="B1753" s="297"/>
      <c r="C1753" s="25"/>
      <c r="D1753" s="25"/>
      <c r="E1753" s="25"/>
      <c r="F1753" s="25"/>
      <c r="G1753" s="123"/>
      <c r="H1753" s="123"/>
      <c r="I1753" s="25"/>
      <c r="J1753" s="25"/>
      <c r="K1753" s="367"/>
      <c r="L1753" s="42"/>
      <c r="M1753" s="42"/>
      <c r="N1753" s="42"/>
      <c r="O1753" s="42"/>
      <c r="P1753" s="42"/>
      <c r="Q1753" s="42"/>
      <c r="R1753" s="176"/>
      <c r="S1753" s="42"/>
      <c r="T1753" s="42"/>
      <c r="U1753" s="46"/>
      <c r="V1753" s="42"/>
      <c r="W1753" s="42"/>
      <c r="X1753" s="42"/>
      <c r="Y1753" s="42"/>
      <c r="Z1753" s="42"/>
      <c r="AA1753" s="42"/>
      <c r="AB1753" s="42"/>
      <c r="AC1753" s="42"/>
      <c r="AD1753" s="42"/>
      <c r="AE1753" s="42"/>
      <c r="AF1753" s="42"/>
    </row>
    <row r="1754">
      <c r="A1754" s="25"/>
      <c r="B1754" s="297"/>
      <c r="C1754" s="25"/>
      <c r="D1754" s="25"/>
      <c r="E1754" s="25"/>
      <c r="F1754" s="25"/>
      <c r="G1754" s="123"/>
      <c r="H1754" s="123"/>
      <c r="I1754" s="25"/>
      <c r="J1754" s="25"/>
      <c r="K1754" s="367"/>
      <c r="L1754" s="42"/>
      <c r="M1754" s="42"/>
      <c r="N1754" s="42"/>
      <c r="O1754" s="42"/>
      <c r="P1754" s="42"/>
      <c r="Q1754" s="42"/>
      <c r="R1754" s="176"/>
      <c r="S1754" s="42"/>
      <c r="T1754" s="42"/>
      <c r="U1754" s="46"/>
      <c r="V1754" s="42"/>
      <c r="W1754" s="42"/>
      <c r="X1754" s="42"/>
      <c r="Y1754" s="42"/>
      <c r="Z1754" s="42"/>
      <c r="AA1754" s="42"/>
      <c r="AB1754" s="42"/>
      <c r="AC1754" s="42"/>
      <c r="AD1754" s="42"/>
      <c r="AE1754" s="42"/>
      <c r="AF1754" s="42"/>
    </row>
    <row r="1755">
      <c r="A1755" s="25"/>
      <c r="B1755" s="297"/>
      <c r="C1755" s="25"/>
      <c r="D1755" s="25"/>
      <c r="E1755" s="25"/>
      <c r="F1755" s="25"/>
      <c r="G1755" s="123"/>
      <c r="H1755" s="123"/>
      <c r="I1755" s="25"/>
      <c r="J1755" s="25"/>
      <c r="K1755" s="367"/>
      <c r="L1755" s="42"/>
      <c r="M1755" s="42"/>
      <c r="N1755" s="42"/>
      <c r="O1755" s="42"/>
      <c r="P1755" s="42"/>
      <c r="Q1755" s="42"/>
      <c r="R1755" s="176"/>
      <c r="S1755" s="42"/>
      <c r="T1755" s="42"/>
      <c r="U1755" s="46"/>
      <c r="V1755" s="42"/>
      <c r="W1755" s="42"/>
      <c r="X1755" s="42"/>
      <c r="Y1755" s="42"/>
      <c r="Z1755" s="42"/>
      <c r="AA1755" s="42"/>
      <c r="AB1755" s="42"/>
      <c r="AC1755" s="42"/>
      <c r="AD1755" s="42"/>
      <c r="AE1755" s="42"/>
      <c r="AF1755" s="42"/>
    </row>
    <row r="1756">
      <c r="A1756" s="25"/>
      <c r="B1756" s="297"/>
      <c r="C1756" s="25"/>
      <c r="D1756" s="25"/>
      <c r="E1756" s="25"/>
      <c r="F1756" s="25"/>
      <c r="G1756" s="123"/>
      <c r="H1756" s="123"/>
      <c r="I1756" s="25"/>
      <c r="J1756" s="25"/>
      <c r="K1756" s="367"/>
      <c r="L1756" s="42"/>
      <c r="M1756" s="42"/>
      <c r="N1756" s="42"/>
      <c r="O1756" s="42"/>
      <c r="P1756" s="42"/>
      <c r="Q1756" s="42"/>
      <c r="R1756" s="176"/>
      <c r="S1756" s="42"/>
      <c r="T1756" s="42"/>
      <c r="U1756" s="46"/>
      <c r="V1756" s="42"/>
      <c r="W1756" s="42"/>
      <c r="X1756" s="42"/>
      <c r="Y1756" s="42"/>
      <c r="Z1756" s="42"/>
      <c r="AA1756" s="42"/>
      <c r="AB1756" s="42"/>
      <c r="AC1756" s="42"/>
      <c r="AD1756" s="42"/>
      <c r="AE1756" s="42"/>
      <c r="AF1756" s="42"/>
    </row>
    <row r="1757">
      <c r="A1757" s="25"/>
      <c r="B1757" s="297"/>
      <c r="C1757" s="25"/>
      <c r="D1757" s="25"/>
      <c r="E1757" s="25"/>
      <c r="F1757" s="25"/>
      <c r="G1757" s="123"/>
      <c r="H1757" s="123"/>
      <c r="I1757" s="25"/>
      <c r="J1757" s="25"/>
      <c r="K1757" s="367"/>
      <c r="L1757" s="42"/>
      <c r="M1757" s="42"/>
      <c r="N1757" s="42"/>
      <c r="O1757" s="42"/>
      <c r="P1757" s="42"/>
      <c r="Q1757" s="42"/>
      <c r="R1757" s="176"/>
      <c r="S1757" s="42"/>
      <c r="T1757" s="42"/>
      <c r="U1757" s="46"/>
      <c r="V1757" s="42"/>
      <c r="W1757" s="42"/>
      <c r="X1757" s="42"/>
      <c r="Y1757" s="42"/>
      <c r="Z1757" s="42"/>
      <c r="AA1757" s="42"/>
      <c r="AB1757" s="42"/>
      <c r="AC1757" s="42"/>
      <c r="AD1757" s="42"/>
      <c r="AE1757" s="42"/>
      <c r="AF1757" s="42"/>
    </row>
    <row r="1758">
      <c r="A1758" s="25"/>
      <c r="B1758" s="297"/>
      <c r="C1758" s="25"/>
      <c r="D1758" s="25"/>
      <c r="E1758" s="25"/>
      <c r="F1758" s="25"/>
      <c r="G1758" s="123"/>
      <c r="H1758" s="123"/>
      <c r="I1758" s="25"/>
      <c r="J1758" s="25"/>
      <c r="K1758" s="367"/>
      <c r="L1758" s="42"/>
      <c r="M1758" s="42"/>
      <c r="N1758" s="42"/>
      <c r="O1758" s="42"/>
      <c r="P1758" s="42"/>
      <c r="Q1758" s="42"/>
      <c r="R1758" s="176"/>
      <c r="S1758" s="42"/>
      <c r="T1758" s="42"/>
      <c r="U1758" s="46"/>
      <c r="V1758" s="42"/>
      <c r="W1758" s="42"/>
      <c r="X1758" s="42"/>
      <c r="Y1758" s="42"/>
      <c r="Z1758" s="42"/>
      <c r="AA1758" s="42"/>
      <c r="AB1758" s="42"/>
      <c r="AC1758" s="42"/>
      <c r="AD1758" s="42"/>
      <c r="AE1758" s="42"/>
      <c r="AF1758" s="42"/>
    </row>
    <row r="1759">
      <c r="A1759" s="25"/>
      <c r="B1759" s="297"/>
      <c r="C1759" s="25"/>
      <c r="D1759" s="25"/>
      <c r="E1759" s="25"/>
      <c r="F1759" s="25"/>
      <c r="G1759" s="123"/>
      <c r="H1759" s="123"/>
      <c r="I1759" s="25"/>
      <c r="J1759" s="25"/>
      <c r="K1759" s="367"/>
      <c r="L1759" s="42"/>
      <c r="M1759" s="42"/>
      <c r="N1759" s="42"/>
      <c r="O1759" s="42"/>
      <c r="P1759" s="42"/>
      <c r="Q1759" s="42"/>
      <c r="R1759" s="176"/>
      <c r="S1759" s="42"/>
      <c r="T1759" s="42"/>
      <c r="U1759" s="46"/>
      <c r="V1759" s="42"/>
      <c r="W1759" s="42"/>
      <c r="X1759" s="42"/>
      <c r="Y1759" s="42"/>
      <c r="Z1759" s="42"/>
      <c r="AA1759" s="42"/>
      <c r="AB1759" s="42"/>
      <c r="AC1759" s="42"/>
      <c r="AD1759" s="42"/>
      <c r="AE1759" s="42"/>
      <c r="AF1759" s="42"/>
    </row>
    <row r="1760">
      <c r="A1760" s="25"/>
      <c r="B1760" s="297"/>
      <c r="C1760" s="25"/>
      <c r="D1760" s="25"/>
      <c r="E1760" s="25"/>
      <c r="F1760" s="25"/>
      <c r="G1760" s="123"/>
      <c r="H1760" s="123"/>
      <c r="I1760" s="25"/>
      <c r="J1760" s="25"/>
      <c r="K1760" s="367"/>
      <c r="L1760" s="42"/>
      <c r="M1760" s="42"/>
      <c r="N1760" s="42"/>
      <c r="O1760" s="42"/>
      <c r="P1760" s="42"/>
      <c r="Q1760" s="42"/>
      <c r="R1760" s="176"/>
      <c r="S1760" s="42"/>
      <c r="T1760" s="42"/>
      <c r="U1760" s="46"/>
      <c r="V1760" s="42"/>
      <c r="W1760" s="42"/>
      <c r="X1760" s="42"/>
      <c r="Y1760" s="42"/>
      <c r="Z1760" s="42"/>
      <c r="AA1760" s="42"/>
      <c r="AB1760" s="42"/>
      <c r="AC1760" s="42"/>
      <c r="AD1760" s="42"/>
      <c r="AE1760" s="42"/>
      <c r="AF1760" s="42"/>
    </row>
    <row r="1761">
      <c r="A1761" s="25"/>
      <c r="B1761" s="297"/>
      <c r="C1761" s="25"/>
      <c r="D1761" s="25"/>
      <c r="E1761" s="25"/>
      <c r="F1761" s="25"/>
      <c r="G1761" s="123"/>
      <c r="H1761" s="123"/>
      <c r="I1761" s="25"/>
      <c r="J1761" s="25"/>
      <c r="K1761" s="367"/>
      <c r="L1761" s="42"/>
      <c r="M1761" s="42"/>
      <c r="N1761" s="42"/>
      <c r="O1761" s="42"/>
      <c r="P1761" s="42"/>
      <c r="Q1761" s="42"/>
      <c r="R1761" s="176"/>
      <c r="S1761" s="42"/>
      <c r="T1761" s="42"/>
      <c r="U1761" s="46"/>
      <c r="V1761" s="42"/>
      <c r="W1761" s="42"/>
      <c r="X1761" s="42"/>
      <c r="Y1761" s="42"/>
      <c r="Z1761" s="42"/>
      <c r="AA1761" s="42"/>
      <c r="AB1761" s="42"/>
      <c r="AC1761" s="42"/>
      <c r="AD1761" s="42"/>
      <c r="AE1761" s="42"/>
      <c r="AF1761" s="42"/>
    </row>
    <row r="1762">
      <c r="A1762" s="25"/>
      <c r="B1762" s="297"/>
      <c r="C1762" s="25"/>
      <c r="D1762" s="25"/>
      <c r="E1762" s="25"/>
      <c r="F1762" s="25"/>
      <c r="G1762" s="123"/>
      <c r="H1762" s="123"/>
      <c r="I1762" s="25"/>
      <c r="J1762" s="25"/>
      <c r="K1762" s="367"/>
      <c r="L1762" s="42"/>
      <c r="M1762" s="42"/>
      <c r="N1762" s="42"/>
      <c r="O1762" s="42"/>
      <c r="P1762" s="42"/>
      <c r="Q1762" s="42"/>
      <c r="R1762" s="176"/>
      <c r="S1762" s="42"/>
      <c r="T1762" s="42"/>
      <c r="U1762" s="46"/>
      <c r="V1762" s="42"/>
      <c r="W1762" s="42"/>
      <c r="X1762" s="42"/>
      <c r="Y1762" s="42"/>
      <c r="Z1762" s="42"/>
      <c r="AA1762" s="42"/>
      <c r="AB1762" s="42"/>
      <c r="AC1762" s="42"/>
      <c r="AD1762" s="42"/>
      <c r="AE1762" s="42"/>
      <c r="AF1762" s="42"/>
    </row>
    <row r="1763">
      <c r="A1763" s="25"/>
      <c r="B1763" s="297"/>
      <c r="C1763" s="25"/>
      <c r="D1763" s="25"/>
      <c r="E1763" s="25"/>
      <c r="F1763" s="25"/>
      <c r="G1763" s="123"/>
      <c r="H1763" s="123"/>
      <c r="I1763" s="25"/>
      <c r="J1763" s="25"/>
      <c r="K1763" s="367"/>
      <c r="L1763" s="42"/>
      <c r="M1763" s="42"/>
      <c r="N1763" s="42"/>
      <c r="O1763" s="42"/>
      <c r="P1763" s="42"/>
      <c r="Q1763" s="42"/>
      <c r="R1763" s="176"/>
      <c r="S1763" s="42"/>
      <c r="T1763" s="42"/>
      <c r="U1763" s="46"/>
      <c r="V1763" s="42"/>
      <c r="W1763" s="42"/>
      <c r="X1763" s="42"/>
      <c r="Y1763" s="42"/>
      <c r="Z1763" s="42"/>
      <c r="AA1763" s="42"/>
      <c r="AB1763" s="42"/>
      <c r="AC1763" s="42"/>
      <c r="AD1763" s="42"/>
      <c r="AE1763" s="42"/>
      <c r="AF1763" s="42"/>
    </row>
    <row r="1764">
      <c r="A1764" s="25"/>
      <c r="B1764" s="297"/>
      <c r="C1764" s="25"/>
      <c r="D1764" s="25"/>
      <c r="E1764" s="25"/>
      <c r="F1764" s="25"/>
      <c r="G1764" s="123"/>
      <c r="H1764" s="123"/>
      <c r="I1764" s="25"/>
      <c r="J1764" s="25"/>
      <c r="K1764" s="367"/>
      <c r="L1764" s="42"/>
      <c r="M1764" s="42"/>
      <c r="N1764" s="42"/>
      <c r="O1764" s="42"/>
      <c r="P1764" s="42"/>
      <c r="Q1764" s="42"/>
      <c r="R1764" s="176"/>
      <c r="S1764" s="42"/>
      <c r="T1764" s="42"/>
      <c r="U1764" s="46"/>
      <c r="V1764" s="42"/>
      <c r="W1764" s="42"/>
      <c r="X1764" s="42"/>
      <c r="Y1764" s="42"/>
      <c r="Z1764" s="42"/>
      <c r="AA1764" s="42"/>
      <c r="AB1764" s="42"/>
      <c r="AC1764" s="42"/>
      <c r="AD1764" s="42"/>
      <c r="AE1764" s="42"/>
      <c r="AF1764" s="42"/>
    </row>
    <row r="1765">
      <c r="A1765" s="25"/>
      <c r="B1765" s="297"/>
      <c r="C1765" s="25"/>
      <c r="D1765" s="25"/>
      <c r="E1765" s="25"/>
      <c r="F1765" s="25"/>
      <c r="G1765" s="123"/>
      <c r="H1765" s="123"/>
      <c r="I1765" s="25"/>
      <c r="J1765" s="25"/>
      <c r="K1765" s="367"/>
      <c r="L1765" s="42"/>
      <c r="M1765" s="42"/>
      <c r="N1765" s="42"/>
      <c r="O1765" s="42"/>
      <c r="P1765" s="42"/>
      <c r="Q1765" s="42"/>
      <c r="R1765" s="176"/>
      <c r="S1765" s="42"/>
      <c r="T1765" s="42"/>
      <c r="U1765" s="46"/>
      <c r="V1765" s="42"/>
      <c r="W1765" s="42"/>
      <c r="X1765" s="42"/>
      <c r="Y1765" s="42"/>
      <c r="Z1765" s="42"/>
      <c r="AA1765" s="42"/>
      <c r="AB1765" s="42"/>
      <c r="AC1765" s="42"/>
      <c r="AD1765" s="42"/>
      <c r="AE1765" s="42"/>
      <c r="AF1765" s="42"/>
    </row>
    <row r="1766">
      <c r="A1766" s="25"/>
      <c r="B1766" s="297"/>
      <c r="C1766" s="25"/>
      <c r="D1766" s="25"/>
      <c r="E1766" s="25"/>
      <c r="F1766" s="25"/>
      <c r="G1766" s="123"/>
      <c r="H1766" s="123"/>
      <c r="I1766" s="25"/>
      <c r="J1766" s="25"/>
      <c r="K1766" s="367"/>
      <c r="L1766" s="42"/>
      <c r="M1766" s="42"/>
      <c r="N1766" s="42"/>
      <c r="O1766" s="42"/>
      <c r="P1766" s="42"/>
      <c r="Q1766" s="42"/>
      <c r="R1766" s="176"/>
      <c r="S1766" s="42"/>
      <c r="T1766" s="42"/>
      <c r="U1766" s="46"/>
      <c r="V1766" s="42"/>
      <c r="W1766" s="42"/>
      <c r="X1766" s="42"/>
      <c r="Y1766" s="42"/>
      <c r="Z1766" s="42"/>
      <c r="AA1766" s="42"/>
      <c r="AB1766" s="42"/>
      <c r="AC1766" s="42"/>
      <c r="AD1766" s="42"/>
      <c r="AE1766" s="42"/>
      <c r="AF1766" s="42"/>
    </row>
    <row r="1767">
      <c r="A1767" s="25"/>
      <c r="B1767" s="297"/>
      <c r="C1767" s="25"/>
      <c r="D1767" s="25"/>
      <c r="E1767" s="25"/>
      <c r="F1767" s="25"/>
      <c r="G1767" s="123"/>
      <c r="H1767" s="123"/>
      <c r="I1767" s="25"/>
      <c r="J1767" s="25"/>
      <c r="K1767" s="367"/>
      <c r="L1767" s="42"/>
      <c r="M1767" s="42"/>
      <c r="N1767" s="42"/>
      <c r="O1767" s="42"/>
      <c r="P1767" s="42"/>
      <c r="Q1767" s="42"/>
      <c r="R1767" s="176"/>
      <c r="S1767" s="42"/>
      <c r="T1767" s="42"/>
      <c r="U1767" s="46"/>
      <c r="V1767" s="42"/>
      <c r="W1767" s="42"/>
      <c r="X1767" s="42"/>
      <c r="Y1767" s="42"/>
      <c r="Z1767" s="42"/>
      <c r="AA1767" s="42"/>
      <c r="AB1767" s="42"/>
      <c r="AC1767" s="42"/>
      <c r="AD1767" s="42"/>
      <c r="AE1767" s="42"/>
      <c r="AF1767" s="42"/>
    </row>
    <row r="1768">
      <c r="A1768" s="25"/>
      <c r="B1768" s="297"/>
      <c r="C1768" s="25"/>
      <c r="D1768" s="25"/>
      <c r="E1768" s="25"/>
      <c r="F1768" s="25"/>
      <c r="G1768" s="123"/>
      <c r="H1768" s="123"/>
      <c r="I1768" s="25"/>
      <c r="J1768" s="25"/>
      <c r="K1768" s="367"/>
      <c r="L1768" s="42"/>
      <c r="M1768" s="42"/>
      <c r="N1768" s="42"/>
      <c r="O1768" s="42"/>
      <c r="P1768" s="42"/>
      <c r="Q1768" s="42"/>
      <c r="R1768" s="176"/>
      <c r="S1768" s="42"/>
      <c r="T1768" s="42"/>
      <c r="U1768" s="46"/>
      <c r="V1768" s="42"/>
      <c r="W1768" s="42"/>
      <c r="X1768" s="42"/>
      <c r="Y1768" s="42"/>
      <c r="Z1768" s="42"/>
      <c r="AA1768" s="42"/>
      <c r="AB1768" s="42"/>
      <c r="AC1768" s="42"/>
      <c r="AD1768" s="42"/>
      <c r="AE1768" s="42"/>
      <c r="AF1768" s="42"/>
    </row>
    <row r="1769">
      <c r="A1769" s="25"/>
      <c r="B1769" s="297"/>
      <c r="C1769" s="25"/>
      <c r="D1769" s="25"/>
      <c r="E1769" s="25"/>
      <c r="F1769" s="25"/>
      <c r="G1769" s="123"/>
      <c r="H1769" s="123"/>
      <c r="I1769" s="25"/>
      <c r="J1769" s="25"/>
      <c r="K1769" s="367"/>
      <c r="L1769" s="42"/>
      <c r="M1769" s="42"/>
      <c r="N1769" s="42"/>
      <c r="O1769" s="42"/>
      <c r="P1769" s="42"/>
      <c r="Q1769" s="42"/>
      <c r="R1769" s="176"/>
      <c r="S1769" s="42"/>
      <c r="T1769" s="42"/>
      <c r="U1769" s="46"/>
      <c r="V1769" s="42"/>
      <c r="W1769" s="42"/>
      <c r="X1769" s="42"/>
      <c r="Y1769" s="42"/>
      <c r="Z1769" s="42"/>
      <c r="AA1769" s="42"/>
      <c r="AB1769" s="42"/>
      <c r="AC1769" s="42"/>
      <c r="AD1769" s="42"/>
      <c r="AE1769" s="42"/>
      <c r="AF1769" s="42"/>
    </row>
    <row r="1770">
      <c r="A1770" s="25"/>
      <c r="B1770" s="297"/>
      <c r="C1770" s="25"/>
      <c r="D1770" s="25"/>
      <c r="E1770" s="25"/>
      <c r="F1770" s="25"/>
      <c r="G1770" s="123"/>
      <c r="H1770" s="123"/>
      <c r="I1770" s="25"/>
      <c r="J1770" s="25"/>
      <c r="K1770" s="367"/>
      <c r="L1770" s="42"/>
      <c r="M1770" s="42"/>
      <c r="N1770" s="42"/>
      <c r="O1770" s="42"/>
      <c r="P1770" s="42"/>
      <c r="Q1770" s="42"/>
      <c r="R1770" s="176"/>
      <c r="S1770" s="42"/>
      <c r="T1770" s="42"/>
      <c r="U1770" s="46"/>
      <c r="V1770" s="42"/>
      <c r="W1770" s="42"/>
      <c r="X1770" s="42"/>
      <c r="Y1770" s="42"/>
      <c r="Z1770" s="42"/>
      <c r="AA1770" s="42"/>
      <c r="AB1770" s="42"/>
      <c r="AC1770" s="42"/>
      <c r="AD1770" s="42"/>
      <c r="AE1770" s="42"/>
      <c r="AF1770" s="42"/>
    </row>
    <row r="1771">
      <c r="A1771" s="25"/>
      <c r="B1771" s="297"/>
      <c r="C1771" s="25"/>
      <c r="D1771" s="25"/>
      <c r="E1771" s="25"/>
      <c r="F1771" s="25"/>
      <c r="G1771" s="123"/>
      <c r="H1771" s="123"/>
      <c r="I1771" s="25"/>
      <c r="J1771" s="25"/>
      <c r="K1771" s="367"/>
      <c r="L1771" s="42"/>
      <c r="M1771" s="42"/>
      <c r="N1771" s="42"/>
      <c r="O1771" s="42"/>
      <c r="P1771" s="42"/>
      <c r="Q1771" s="42"/>
      <c r="R1771" s="176"/>
      <c r="S1771" s="42"/>
      <c r="T1771" s="42"/>
      <c r="U1771" s="46"/>
      <c r="V1771" s="42"/>
      <c r="W1771" s="42"/>
      <c r="X1771" s="42"/>
      <c r="Y1771" s="42"/>
      <c r="Z1771" s="42"/>
      <c r="AA1771" s="42"/>
      <c r="AB1771" s="42"/>
      <c r="AC1771" s="42"/>
      <c r="AD1771" s="42"/>
      <c r="AE1771" s="42"/>
      <c r="AF1771" s="42"/>
    </row>
    <row r="1772">
      <c r="A1772" s="25"/>
      <c r="B1772" s="297"/>
      <c r="C1772" s="25"/>
      <c r="D1772" s="25"/>
      <c r="E1772" s="25"/>
      <c r="F1772" s="25"/>
      <c r="G1772" s="123"/>
      <c r="H1772" s="123"/>
      <c r="I1772" s="25"/>
      <c r="J1772" s="25"/>
      <c r="K1772" s="367"/>
      <c r="L1772" s="42"/>
      <c r="M1772" s="42"/>
      <c r="N1772" s="42"/>
      <c r="O1772" s="42"/>
      <c r="P1772" s="42"/>
      <c r="Q1772" s="42"/>
      <c r="R1772" s="176"/>
      <c r="S1772" s="42"/>
      <c r="T1772" s="42"/>
      <c r="U1772" s="46"/>
      <c r="V1772" s="42"/>
      <c r="W1772" s="42"/>
      <c r="X1772" s="42"/>
      <c r="Y1772" s="42"/>
      <c r="Z1772" s="42"/>
      <c r="AA1772" s="42"/>
      <c r="AB1772" s="42"/>
      <c r="AC1772" s="42"/>
      <c r="AD1772" s="42"/>
      <c r="AE1772" s="42"/>
      <c r="AF1772" s="42"/>
    </row>
    <row r="1773">
      <c r="A1773" s="25"/>
      <c r="B1773" s="297"/>
      <c r="C1773" s="25"/>
      <c r="D1773" s="25"/>
      <c r="E1773" s="25"/>
      <c r="F1773" s="25"/>
      <c r="G1773" s="123"/>
      <c r="H1773" s="123"/>
      <c r="I1773" s="25"/>
      <c r="J1773" s="25"/>
      <c r="K1773" s="367"/>
      <c r="L1773" s="42"/>
      <c r="M1773" s="42"/>
      <c r="N1773" s="42"/>
      <c r="O1773" s="42"/>
      <c r="P1773" s="42"/>
      <c r="Q1773" s="42"/>
      <c r="R1773" s="176"/>
      <c r="S1773" s="42"/>
      <c r="T1773" s="42"/>
      <c r="U1773" s="46"/>
      <c r="V1773" s="42"/>
      <c r="W1773" s="42"/>
      <c r="X1773" s="42"/>
      <c r="Y1773" s="42"/>
      <c r="Z1773" s="42"/>
      <c r="AA1773" s="42"/>
      <c r="AB1773" s="42"/>
      <c r="AC1773" s="42"/>
      <c r="AD1773" s="42"/>
      <c r="AE1773" s="42"/>
      <c r="AF1773" s="42"/>
    </row>
    <row r="1774">
      <c r="A1774" s="25"/>
      <c r="B1774" s="297"/>
      <c r="C1774" s="25"/>
      <c r="D1774" s="25"/>
      <c r="E1774" s="25"/>
      <c r="F1774" s="25"/>
      <c r="G1774" s="123"/>
      <c r="H1774" s="123"/>
      <c r="I1774" s="25"/>
      <c r="J1774" s="25"/>
      <c r="K1774" s="367"/>
      <c r="L1774" s="42"/>
      <c r="M1774" s="42"/>
      <c r="N1774" s="42"/>
      <c r="O1774" s="42"/>
      <c r="P1774" s="42"/>
      <c r="Q1774" s="42"/>
      <c r="R1774" s="176"/>
      <c r="S1774" s="42"/>
      <c r="T1774" s="42"/>
      <c r="U1774" s="46"/>
      <c r="V1774" s="42"/>
      <c r="W1774" s="42"/>
      <c r="X1774" s="42"/>
      <c r="Y1774" s="42"/>
      <c r="Z1774" s="42"/>
      <c r="AA1774" s="42"/>
      <c r="AB1774" s="42"/>
      <c r="AC1774" s="42"/>
      <c r="AD1774" s="42"/>
      <c r="AE1774" s="42"/>
      <c r="AF1774" s="42"/>
    </row>
    <row r="1775">
      <c r="A1775" s="25"/>
      <c r="B1775" s="297"/>
      <c r="C1775" s="25"/>
      <c r="D1775" s="25"/>
      <c r="E1775" s="25"/>
      <c r="F1775" s="25"/>
      <c r="G1775" s="123"/>
      <c r="H1775" s="123"/>
      <c r="I1775" s="25"/>
      <c r="J1775" s="25"/>
      <c r="K1775" s="367"/>
      <c r="L1775" s="42"/>
      <c r="M1775" s="42"/>
      <c r="N1775" s="42"/>
      <c r="O1775" s="42"/>
      <c r="P1775" s="42"/>
      <c r="Q1775" s="42"/>
      <c r="R1775" s="176"/>
      <c r="S1775" s="42"/>
      <c r="T1775" s="42"/>
      <c r="U1775" s="46"/>
      <c r="V1775" s="42"/>
      <c r="W1775" s="42"/>
      <c r="X1775" s="42"/>
      <c r="Y1775" s="42"/>
      <c r="Z1775" s="42"/>
      <c r="AA1775" s="42"/>
      <c r="AB1775" s="42"/>
      <c r="AC1775" s="42"/>
      <c r="AD1775" s="42"/>
      <c r="AE1775" s="42"/>
      <c r="AF1775" s="42"/>
    </row>
    <row r="1776">
      <c r="A1776" s="25"/>
      <c r="B1776" s="297"/>
      <c r="C1776" s="25"/>
      <c r="D1776" s="25"/>
      <c r="E1776" s="25"/>
      <c r="F1776" s="25"/>
      <c r="G1776" s="123"/>
      <c r="H1776" s="123"/>
      <c r="I1776" s="25"/>
      <c r="J1776" s="25"/>
      <c r="K1776" s="367"/>
      <c r="L1776" s="42"/>
      <c r="M1776" s="42"/>
      <c r="N1776" s="42"/>
      <c r="O1776" s="42"/>
      <c r="P1776" s="42"/>
      <c r="Q1776" s="42"/>
      <c r="R1776" s="176"/>
      <c r="S1776" s="42"/>
      <c r="T1776" s="42"/>
      <c r="U1776" s="46"/>
      <c r="V1776" s="42"/>
      <c r="W1776" s="42"/>
      <c r="X1776" s="42"/>
      <c r="Y1776" s="42"/>
      <c r="Z1776" s="42"/>
      <c r="AA1776" s="42"/>
      <c r="AB1776" s="42"/>
      <c r="AC1776" s="42"/>
      <c r="AD1776" s="42"/>
      <c r="AE1776" s="42"/>
      <c r="AF1776" s="42"/>
    </row>
    <row r="1777">
      <c r="A1777" s="25"/>
      <c r="B1777" s="297"/>
      <c r="C1777" s="25"/>
      <c r="D1777" s="25"/>
      <c r="E1777" s="25"/>
      <c r="F1777" s="25"/>
      <c r="G1777" s="123"/>
      <c r="H1777" s="123"/>
      <c r="I1777" s="25"/>
      <c r="J1777" s="25"/>
      <c r="K1777" s="367"/>
      <c r="L1777" s="42"/>
      <c r="M1777" s="42"/>
      <c r="N1777" s="42"/>
      <c r="O1777" s="42"/>
      <c r="P1777" s="42"/>
      <c r="Q1777" s="42"/>
      <c r="R1777" s="176"/>
      <c r="S1777" s="42"/>
      <c r="T1777" s="42"/>
      <c r="U1777" s="46"/>
      <c r="V1777" s="42"/>
      <c r="W1777" s="42"/>
      <c r="X1777" s="42"/>
      <c r="Y1777" s="42"/>
      <c r="Z1777" s="42"/>
      <c r="AA1777" s="42"/>
      <c r="AB1777" s="42"/>
      <c r="AC1777" s="42"/>
      <c r="AD1777" s="42"/>
      <c r="AE1777" s="42"/>
      <c r="AF1777" s="42"/>
    </row>
    <row r="1778">
      <c r="A1778" s="25"/>
      <c r="B1778" s="297"/>
      <c r="C1778" s="25"/>
      <c r="D1778" s="25"/>
      <c r="E1778" s="25"/>
      <c r="F1778" s="25"/>
      <c r="G1778" s="123"/>
      <c r="H1778" s="123"/>
      <c r="I1778" s="25"/>
      <c r="J1778" s="25"/>
      <c r="K1778" s="367"/>
      <c r="L1778" s="42"/>
      <c r="M1778" s="42"/>
      <c r="N1778" s="42"/>
      <c r="O1778" s="42"/>
      <c r="P1778" s="42"/>
      <c r="Q1778" s="42"/>
      <c r="R1778" s="176"/>
      <c r="S1778" s="42"/>
      <c r="T1778" s="42"/>
      <c r="U1778" s="46"/>
      <c r="V1778" s="42"/>
      <c r="W1778" s="42"/>
      <c r="X1778" s="42"/>
      <c r="Y1778" s="42"/>
      <c r="Z1778" s="42"/>
      <c r="AA1778" s="42"/>
      <c r="AB1778" s="42"/>
      <c r="AC1778" s="42"/>
      <c r="AD1778" s="42"/>
      <c r="AE1778" s="42"/>
      <c r="AF1778" s="42"/>
    </row>
    <row r="1779">
      <c r="A1779" s="25"/>
      <c r="B1779" s="297"/>
      <c r="C1779" s="25"/>
      <c r="D1779" s="25"/>
      <c r="E1779" s="25"/>
      <c r="F1779" s="25"/>
      <c r="G1779" s="123"/>
      <c r="H1779" s="123"/>
      <c r="I1779" s="25"/>
      <c r="J1779" s="25"/>
      <c r="K1779" s="367"/>
      <c r="L1779" s="42"/>
      <c r="M1779" s="42"/>
      <c r="N1779" s="42"/>
      <c r="O1779" s="42"/>
      <c r="P1779" s="42"/>
      <c r="Q1779" s="42"/>
      <c r="R1779" s="176"/>
      <c r="S1779" s="42"/>
      <c r="T1779" s="42"/>
      <c r="U1779" s="46"/>
      <c r="V1779" s="42"/>
      <c r="W1779" s="42"/>
      <c r="X1779" s="42"/>
      <c r="Y1779" s="42"/>
      <c r="Z1779" s="42"/>
      <c r="AA1779" s="42"/>
      <c r="AB1779" s="42"/>
      <c r="AC1779" s="42"/>
      <c r="AD1779" s="42"/>
      <c r="AE1779" s="42"/>
      <c r="AF1779" s="42"/>
    </row>
    <row r="1780">
      <c r="A1780" s="25"/>
      <c r="B1780" s="297"/>
      <c r="C1780" s="25"/>
      <c r="D1780" s="25"/>
      <c r="E1780" s="25"/>
      <c r="F1780" s="25"/>
      <c r="G1780" s="123"/>
      <c r="H1780" s="123"/>
      <c r="I1780" s="25"/>
      <c r="J1780" s="25"/>
      <c r="K1780" s="367"/>
      <c r="L1780" s="42"/>
      <c r="M1780" s="42"/>
      <c r="N1780" s="42"/>
      <c r="O1780" s="42"/>
      <c r="P1780" s="42"/>
      <c r="Q1780" s="42"/>
      <c r="R1780" s="176"/>
      <c r="S1780" s="42"/>
      <c r="T1780" s="42"/>
      <c r="U1780" s="46"/>
      <c r="V1780" s="42"/>
      <c r="W1780" s="42"/>
      <c r="X1780" s="42"/>
      <c r="Y1780" s="42"/>
      <c r="Z1780" s="42"/>
      <c r="AA1780" s="42"/>
      <c r="AB1780" s="42"/>
      <c r="AC1780" s="42"/>
      <c r="AD1780" s="42"/>
      <c r="AE1780" s="42"/>
      <c r="AF1780" s="42"/>
    </row>
    <row r="1781">
      <c r="A1781" s="25"/>
      <c r="B1781" s="297"/>
      <c r="C1781" s="25"/>
      <c r="D1781" s="25"/>
      <c r="E1781" s="25"/>
      <c r="F1781" s="25"/>
      <c r="G1781" s="123"/>
      <c r="H1781" s="123"/>
      <c r="I1781" s="25"/>
      <c r="J1781" s="25"/>
      <c r="K1781" s="367"/>
      <c r="L1781" s="42"/>
      <c r="M1781" s="42"/>
      <c r="N1781" s="42"/>
      <c r="O1781" s="42"/>
      <c r="P1781" s="42"/>
      <c r="Q1781" s="42"/>
      <c r="R1781" s="176"/>
      <c r="S1781" s="42"/>
      <c r="T1781" s="42"/>
      <c r="U1781" s="46"/>
      <c r="V1781" s="42"/>
      <c r="W1781" s="42"/>
      <c r="X1781" s="42"/>
      <c r="Y1781" s="42"/>
      <c r="Z1781" s="42"/>
      <c r="AA1781" s="42"/>
      <c r="AB1781" s="42"/>
      <c r="AC1781" s="42"/>
      <c r="AD1781" s="42"/>
      <c r="AE1781" s="42"/>
      <c r="AF1781" s="42"/>
    </row>
    <row r="1782">
      <c r="A1782" s="25"/>
      <c r="B1782" s="297"/>
      <c r="C1782" s="25"/>
      <c r="D1782" s="25"/>
      <c r="E1782" s="25"/>
      <c r="F1782" s="25"/>
      <c r="G1782" s="123"/>
      <c r="H1782" s="123"/>
      <c r="I1782" s="25"/>
      <c r="J1782" s="25"/>
      <c r="K1782" s="367"/>
      <c r="L1782" s="42"/>
      <c r="M1782" s="42"/>
      <c r="N1782" s="42"/>
      <c r="O1782" s="42"/>
      <c r="P1782" s="42"/>
      <c r="Q1782" s="42"/>
      <c r="R1782" s="176"/>
      <c r="S1782" s="42"/>
      <c r="T1782" s="42"/>
      <c r="U1782" s="46"/>
      <c r="V1782" s="42"/>
      <c r="W1782" s="42"/>
      <c r="X1782" s="42"/>
      <c r="Y1782" s="42"/>
      <c r="Z1782" s="42"/>
      <c r="AA1782" s="42"/>
      <c r="AB1782" s="42"/>
      <c r="AC1782" s="42"/>
      <c r="AD1782" s="42"/>
      <c r="AE1782" s="42"/>
      <c r="AF1782" s="42"/>
    </row>
    <row r="1783">
      <c r="A1783" s="25"/>
      <c r="B1783" s="297"/>
      <c r="C1783" s="25"/>
      <c r="D1783" s="25"/>
      <c r="E1783" s="25"/>
      <c r="F1783" s="25"/>
      <c r="G1783" s="123"/>
      <c r="H1783" s="123"/>
      <c r="I1783" s="25"/>
      <c r="J1783" s="25"/>
      <c r="K1783" s="367"/>
      <c r="L1783" s="42"/>
      <c r="M1783" s="42"/>
      <c r="N1783" s="42"/>
      <c r="O1783" s="42"/>
      <c r="P1783" s="42"/>
      <c r="Q1783" s="42"/>
      <c r="R1783" s="176"/>
      <c r="S1783" s="42"/>
      <c r="T1783" s="42"/>
      <c r="U1783" s="46"/>
      <c r="V1783" s="42"/>
      <c r="W1783" s="42"/>
      <c r="X1783" s="42"/>
      <c r="Y1783" s="42"/>
      <c r="Z1783" s="42"/>
      <c r="AA1783" s="42"/>
      <c r="AB1783" s="42"/>
      <c r="AC1783" s="42"/>
      <c r="AD1783" s="42"/>
      <c r="AE1783" s="42"/>
      <c r="AF1783" s="42"/>
    </row>
    <row r="1784">
      <c r="A1784" s="25"/>
      <c r="B1784" s="297"/>
      <c r="C1784" s="25"/>
      <c r="D1784" s="25"/>
      <c r="E1784" s="25"/>
      <c r="F1784" s="25"/>
      <c r="G1784" s="123"/>
      <c r="H1784" s="123"/>
      <c r="I1784" s="25"/>
      <c r="J1784" s="25"/>
      <c r="K1784" s="367"/>
      <c r="L1784" s="42"/>
      <c r="M1784" s="42"/>
      <c r="N1784" s="42"/>
      <c r="O1784" s="42"/>
      <c r="P1784" s="42"/>
      <c r="Q1784" s="42"/>
      <c r="R1784" s="176"/>
      <c r="S1784" s="42"/>
      <c r="T1784" s="42"/>
      <c r="U1784" s="46"/>
      <c r="V1784" s="42"/>
      <c r="W1784" s="42"/>
      <c r="X1784" s="42"/>
      <c r="Y1784" s="42"/>
      <c r="Z1784" s="42"/>
      <c r="AA1784" s="42"/>
      <c r="AB1784" s="42"/>
      <c r="AC1784" s="42"/>
      <c r="AD1784" s="42"/>
      <c r="AE1784" s="42"/>
      <c r="AF1784" s="42"/>
    </row>
    <row r="1785">
      <c r="A1785" s="25"/>
      <c r="B1785" s="297"/>
      <c r="C1785" s="25"/>
      <c r="D1785" s="25"/>
      <c r="E1785" s="25"/>
      <c r="F1785" s="25"/>
      <c r="G1785" s="123"/>
      <c r="H1785" s="123"/>
      <c r="I1785" s="25"/>
      <c r="J1785" s="25"/>
      <c r="K1785" s="367"/>
      <c r="L1785" s="42"/>
      <c r="M1785" s="42"/>
      <c r="N1785" s="42"/>
      <c r="O1785" s="42"/>
      <c r="P1785" s="42"/>
      <c r="Q1785" s="42"/>
      <c r="R1785" s="176"/>
      <c r="S1785" s="42"/>
      <c r="T1785" s="42"/>
      <c r="U1785" s="46"/>
      <c r="V1785" s="42"/>
      <c r="W1785" s="42"/>
      <c r="X1785" s="42"/>
      <c r="Y1785" s="42"/>
      <c r="Z1785" s="42"/>
      <c r="AA1785" s="42"/>
      <c r="AB1785" s="42"/>
      <c r="AC1785" s="42"/>
      <c r="AD1785" s="42"/>
      <c r="AE1785" s="42"/>
      <c r="AF1785" s="42"/>
    </row>
    <row r="1786">
      <c r="A1786" s="25"/>
      <c r="B1786" s="297"/>
      <c r="C1786" s="25"/>
      <c r="D1786" s="25"/>
      <c r="E1786" s="25"/>
      <c r="F1786" s="25"/>
      <c r="G1786" s="123"/>
      <c r="H1786" s="123"/>
      <c r="I1786" s="25"/>
      <c r="J1786" s="25"/>
      <c r="K1786" s="367"/>
      <c r="L1786" s="42"/>
      <c r="M1786" s="42"/>
      <c r="N1786" s="42"/>
      <c r="O1786" s="42"/>
      <c r="P1786" s="42"/>
      <c r="Q1786" s="42"/>
      <c r="R1786" s="176"/>
      <c r="S1786" s="42"/>
      <c r="T1786" s="42"/>
      <c r="U1786" s="46"/>
      <c r="V1786" s="42"/>
      <c r="W1786" s="42"/>
      <c r="X1786" s="42"/>
      <c r="Y1786" s="42"/>
      <c r="Z1786" s="42"/>
      <c r="AA1786" s="42"/>
      <c r="AB1786" s="42"/>
      <c r="AC1786" s="42"/>
      <c r="AD1786" s="42"/>
      <c r="AE1786" s="42"/>
      <c r="AF1786" s="42"/>
    </row>
    <row r="1787">
      <c r="A1787" s="25"/>
      <c r="B1787" s="297"/>
      <c r="C1787" s="25"/>
      <c r="D1787" s="25"/>
      <c r="E1787" s="25"/>
      <c r="F1787" s="25"/>
      <c r="G1787" s="123"/>
      <c r="H1787" s="123"/>
      <c r="I1787" s="25"/>
      <c r="J1787" s="25"/>
      <c r="K1787" s="367"/>
      <c r="L1787" s="42"/>
      <c r="M1787" s="42"/>
      <c r="N1787" s="42"/>
      <c r="O1787" s="42"/>
      <c r="P1787" s="42"/>
      <c r="Q1787" s="42"/>
      <c r="R1787" s="176"/>
      <c r="S1787" s="42"/>
      <c r="T1787" s="42"/>
      <c r="U1787" s="46"/>
      <c r="V1787" s="42"/>
      <c r="W1787" s="42"/>
      <c r="X1787" s="42"/>
      <c r="Y1787" s="42"/>
      <c r="Z1787" s="42"/>
      <c r="AA1787" s="42"/>
      <c r="AB1787" s="42"/>
      <c r="AC1787" s="42"/>
      <c r="AD1787" s="42"/>
      <c r="AE1787" s="42"/>
      <c r="AF1787" s="42"/>
    </row>
    <row r="1788">
      <c r="A1788" s="25"/>
      <c r="B1788" s="297"/>
      <c r="C1788" s="25"/>
      <c r="D1788" s="25"/>
      <c r="E1788" s="25"/>
      <c r="F1788" s="25"/>
      <c r="G1788" s="123"/>
      <c r="H1788" s="123"/>
      <c r="I1788" s="25"/>
      <c r="J1788" s="25"/>
      <c r="K1788" s="367"/>
      <c r="L1788" s="42"/>
      <c r="M1788" s="42"/>
      <c r="N1788" s="42"/>
      <c r="O1788" s="42"/>
      <c r="P1788" s="42"/>
      <c r="Q1788" s="42"/>
      <c r="R1788" s="176"/>
      <c r="S1788" s="42"/>
      <c r="T1788" s="42"/>
      <c r="U1788" s="46"/>
      <c r="V1788" s="42"/>
      <c r="W1788" s="42"/>
      <c r="X1788" s="42"/>
      <c r="Y1788" s="42"/>
      <c r="Z1788" s="42"/>
      <c r="AA1788" s="42"/>
      <c r="AB1788" s="42"/>
      <c r="AC1788" s="42"/>
      <c r="AD1788" s="42"/>
      <c r="AE1788" s="42"/>
      <c r="AF1788" s="42"/>
    </row>
    <row r="1789">
      <c r="A1789" s="25"/>
      <c r="B1789" s="297"/>
      <c r="C1789" s="25"/>
      <c r="D1789" s="25"/>
      <c r="E1789" s="25"/>
      <c r="F1789" s="25"/>
      <c r="G1789" s="123"/>
      <c r="H1789" s="123"/>
      <c r="I1789" s="25"/>
      <c r="J1789" s="25"/>
      <c r="K1789" s="367"/>
      <c r="L1789" s="42"/>
      <c r="M1789" s="42"/>
      <c r="N1789" s="42"/>
      <c r="O1789" s="42"/>
      <c r="P1789" s="42"/>
      <c r="Q1789" s="42"/>
      <c r="R1789" s="176"/>
      <c r="S1789" s="42"/>
      <c r="T1789" s="42"/>
      <c r="U1789" s="46"/>
      <c r="V1789" s="42"/>
      <c r="W1789" s="42"/>
      <c r="X1789" s="42"/>
      <c r="Y1789" s="42"/>
      <c r="Z1789" s="42"/>
      <c r="AA1789" s="42"/>
      <c r="AB1789" s="42"/>
      <c r="AC1789" s="42"/>
      <c r="AD1789" s="42"/>
      <c r="AE1789" s="42"/>
      <c r="AF1789" s="42"/>
    </row>
    <row r="1790">
      <c r="A1790" s="25"/>
      <c r="B1790" s="297"/>
      <c r="C1790" s="25"/>
      <c r="D1790" s="25"/>
      <c r="E1790" s="25"/>
      <c r="F1790" s="25"/>
      <c r="G1790" s="123"/>
      <c r="H1790" s="123"/>
      <c r="I1790" s="25"/>
      <c r="J1790" s="25"/>
      <c r="K1790" s="367"/>
      <c r="L1790" s="42"/>
      <c r="M1790" s="42"/>
      <c r="N1790" s="42"/>
      <c r="O1790" s="42"/>
      <c r="P1790" s="42"/>
      <c r="Q1790" s="42"/>
      <c r="R1790" s="176"/>
      <c r="S1790" s="42"/>
      <c r="T1790" s="42"/>
      <c r="U1790" s="46"/>
      <c r="V1790" s="42"/>
      <c r="W1790" s="42"/>
      <c r="X1790" s="42"/>
      <c r="Y1790" s="42"/>
      <c r="Z1790" s="42"/>
      <c r="AA1790" s="42"/>
      <c r="AB1790" s="42"/>
      <c r="AC1790" s="42"/>
      <c r="AD1790" s="42"/>
      <c r="AE1790" s="42"/>
      <c r="AF1790" s="42"/>
    </row>
    <row r="1791">
      <c r="A1791" s="25"/>
      <c r="B1791" s="297"/>
      <c r="C1791" s="25"/>
      <c r="D1791" s="25"/>
      <c r="E1791" s="25"/>
      <c r="F1791" s="25"/>
      <c r="G1791" s="123"/>
      <c r="H1791" s="123"/>
      <c r="I1791" s="25"/>
      <c r="J1791" s="25"/>
      <c r="K1791" s="367"/>
      <c r="L1791" s="42"/>
      <c r="M1791" s="42"/>
      <c r="N1791" s="42"/>
      <c r="O1791" s="42"/>
      <c r="P1791" s="42"/>
      <c r="Q1791" s="42"/>
      <c r="R1791" s="176"/>
      <c r="S1791" s="42"/>
      <c r="T1791" s="42"/>
      <c r="U1791" s="46"/>
      <c r="V1791" s="42"/>
      <c r="W1791" s="42"/>
      <c r="X1791" s="42"/>
      <c r="Y1791" s="42"/>
      <c r="Z1791" s="42"/>
      <c r="AA1791" s="42"/>
      <c r="AB1791" s="42"/>
      <c r="AC1791" s="42"/>
      <c r="AD1791" s="42"/>
      <c r="AE1791" s="42"/>
      <c r="AF1791" s="42"/>
    </row>
    <row r="1792">
      <c r="A1792" s="25"/>
      <c r="B1792" s="297"/>
      <c r="C1792" s="25"/>
      <c r="D1792" s="25"/>
      <c r="E1792" s="25"/>
      <c r="F1792" s="25"/>
      <c r="G1792" s="123"/>
      <c r="H1792" s="123"/>
      <c r="I1792" s="25"/>
      <c r="J1792" s="25"/>
      <c r="K1792" s="367"/>
      <c r="L1792" s="42"/>
      <c r="M1792" s="42"/>
      <c r="N1792" s="42"/>
      <c r="O1792" s="42"/>
      <c r="P1792" s="42"/>
      <c r="Q1792" s="42"/>
      <c r="R1792" s="176"/>
      <c r="S1792" s="42"/>
      <c r="T1792" s="42"/>
      <c r="U1792" s="46"/>
      <c r="V1792" s="42"/>
      <c r="W1792" s="42"/>
      <c r="X1792" s="42"/>
      <c r="Y1792" s="42"/>
      <c r="Z1792" s="42"/>
      <c r="AA1792" s="42"/>
      <c r="AB1792" s="42"/>
      <c r="AC1792" s="42"/>
      <c r="AD1792" s="42"/>
      <c r="AE1792" s="42"/>
      <c r="AF1792" s="42"/>
    </row>
    <row r="1793">
      <c r="A1793" s="25"/>
      <c r="B1793" s="297"/>
      <c r="C1793" s="25"/>
      <c r="D1793" s="25"/>
      <c r="E1793" s="25"/>
      <c r="F1793" s="25"/>
      <c r="G1793" s="123"/>
      <c r="H1793" s="123"/>
      <c r="I1793" s="25"/>
      <c r="J1793" s="25"/>
      <c r="K1793" s="367"/>
      <c r="L1793" s="42"/>
      <c r="M1793" s="42"/>
      <c r="N1793" s="42"/>
      <c r="O1793" s="42"/>
      <c r="P1793" s="42"/>
      <c r="Q1793" s="42"/>
      <c r="R1793" s="176"/>
      <c r="S1793" s="42"/>
      <c r="T1793" s="42"/>
      <c r="U1793" s="46"/>
      <c r="V1793" s="42"/>
      <c r="W1793" s="42"/>
      <c r="X1793" s="42"/>
      <c r="Y1793" s="42"/>
      <c r="Z1793" s="42"/>
      <c r="AA1793" s="42"/>
      <c r="AB1793" s="42"/>
      <c r="AC1793" s="42"/>
      <c r="AD1793" s="42"/>
      <c r="AE1793" s="42"/>
      <c r="AF1793" s="42"/>
    </row>
    <row r="1794">
      <c r="A1794" s="25"/>
      <c r="B1794" s="297"/>
      <c r="C1794" s="25"/>
      <c r="D1794" s="25"/>
      <c r="E1794" s="25"/>
      <c r="F1794" s="25"/>
      <c r="G1794" s="123"/>
      <c r="H1794" s="123"/>
      <c r="I1794" s="25"/>
      <c r="J1794" s="25"/>
      <c r="K1794" s="367"/>
      <c r="L1794" s="42"/>
      <c r="M1794" s="42"/>
      <c r="N1794" s="42"/>
      <c r="O1794" s="42"/>
      <c r="P1794" s="42"/>
      <c r="Q1794" s="42"/>
      <c r="R1794" s="176"/>
      <c r="S1794" s="42"/>
      <c r="T1794" s="42"/>
      <c r="U1794" s="46"/>
      <c r="V1794" s="42"/>
      <c r="W1794" s="42"/>
      <c r="X1794" s="42"/>
      <c r="Y1794" s="42"/>
      <c r="Z1794" s="42"/>
      <c r="AA1794" s="42"/>
      <c r="AB1794" s="42"/>
      <c r="AC1794" s="42"/>
      <c r="AD1794" s="42"/>
      <c r="AE1794" s="42"/>
      <c r="AF1794" s="42"/>
    </row>
    <row r="1795">
      <c r="A1795" s="25"/>
      <c r="B1795" s="297"/>
      <c r="C1795" s="25"/>
      <c r="D1795" s="25"/>
      <c r="E1795" s="25"/>
      <c r="F1795" s="25"/>
      <c r="G1795" s="123"/>
      <c r="H1795" s="123"/>
      <c r="I1795" s="25"/>
      <c r="J1795" s="25"/>
      <c r="K1795" s="367"/>
      <c r="L1795" s="42"/>
      <c r="M1795" s="42"/>
      <c r="N1795" s="42"/>
      <c r="O1795" s="42"/>
      <c r="P1795" s="42"/>
      <c r="Q1795" s="42"/>
      <c r="R1795" s="176"/>
      <c r="S1795" s="42"/>
      <c r="T1795" s="42"/>
      <c r="U1795" s="46"/>
      <c r="V1795" s="42"/>
      <c r="W1795" s="42"/>
      <c r="X1795" s="42"/>
      <c r="Y1795" s="42"/>
      <c r="Z1795" s="42"/>
      <c r="AA1795" s="42"/>
      <c r="AB1795" s="42"/>
      <c r="AC1795" s="42"/>
      <c r="AD1795" s="42"/>
      <c r="AE1795" s="42"/>
      <c r="AF1795" s="42"/>
    </row>
    <row r="1796">
      <c r="A1796" s="25"/>
      <c r="B1796" s="297"/>
      <c r="C1796" s="25"/>
      <c r="D1796" s="25"/>
      <c r="E1796" s="25"/>
      <c r="F1796" s="25"/>
      <c r="G1796" s="123"/>
      <c r="H1796" s="123"/>
      <c r="I1796" s="25"/>
      <c r="J1796" s="25"/>
      <c r="K1796" s="367"/>
      <c r="L1796" s="42"/>
      <c r="M1796" s="42"/>
      <c r="N1796" s="42"/>
      <c r="O1796" s="42"/>
      <c r="P1796" s="42"/>
      <c r="Q1796" s="42"/>
      <c r="R1796" s="176"/>
      <c r="S1796" s="42"/>
      <c r="T1796" s="42"/>
      <c r="U1796" s="46"/>
      <c r="V1796" s="42"/>
      <c r="W1796" s="42"/>
      <c r="X1796" s="42"/>
      <c r="Y1796" s="42"/>
      <c r="Z1796" s="42"/>
      <c r="AA1796" s="42"/>
      <c r="AB1796" s="42"/>
      <c r="AC1796" s="42"/>
      <c r="AD1796" s="42"/>
      <c r="AE1796" s="42"/>
      <c r="AF1796" s="42"/>
    </row>
    <row r="1797">
      <c r="A1797" s="25"/>
      <c r="B1797" s="297"/>
      <c r="C1797" s="25"/>
      <c r="D1797" s="25"/>
      <c r="E1797" s="25"/>
      <c r="F1797" s="25"/>
      <c r="G1797" s="123"/>
      <c r="H1797" s="123"/>
      <c r="I1797" s="25"/>
      <c r="J1797" s="25"/>
      <c r="K1797" s="367"/>
      <c r="L1797" s="42"/>
      <c r="M1797" s="42"/>
      <c r="N1797" s="42"/>
      <c r="O1797" s="42"/>
      <c r="P1797" s="42"/>
      <c r="Q1797" s="42"/>
      <c r="R1797" s="176"/>
      <c r="S1797" s="42"/>
      <c r="T1797" s="42"/>
      <c r="U1797" s="46"/>
      <c r="V1797" s="42"/>
      <c r="W1797" s="42"/>
      <c r="X1797" s="42"/>
      <c r="Y1797" s="42"/>
      <c r="Z1797" s="42"/>
      <c r="AA1797" s="42"/>
      <c r="AB1797" s="42"/>
      <c r="AC1797" s="42"/>
      <c r="AD1797" s="42"/>
      <c r="AE1797" s="42"/>
      <c r="AF1797" s="42"/>
    </row>
    <row r="1798">
      <c r="A1798" s="25"/>
      <c r="B1798" s="297"/>
      <c r="C1798" s="25"/>
      <c r="D1798" s="25"/>
      <c r="E1798" s="25"/>
      <c r="F1798" s="25"/>
      <c r="G1798" s="123"/>
      <c r="H1798" s="123"/>
      <c r="I1798" s="25"/>
      <c r="J1798" s="25"/>
      <c r="K1798" s="367"/>
      <c r="L1798" s="42"/>
      <c r="M1798" s="42"/>
      <c r="N1798" s="42"/>
      <c r="O1798" s="42"/>
      <c r="P1798" s="42"/>
      <c r="Q1798" s="42"/>
      <c r="R1798" s="176"/>
      <c r="S1798" s="42"/>
      <c r="T1798" s="42"/>
      <c r="U1798" s="46"/>
      <c r="V1798" s="42"/>
      <c r="W1798" s="42"/>
      <c r="X1798" s="42"/>
      <c r="Y1798" s="42"/>
      <c r="Z1798" s="42"/>
      <c r="AA1798" s="42"/>
      <c r="AB1798" s="42"/>
      <c r="AC1798" s="42"/>
      <c r="AD1798" s="42"/>
      <c r="AE1798" s="42"/>
      <c r="AF1798" s="42"/>
    </row>
    <row r="1799">
      <c r="A1799" s="25"/>
      <c r="B1799" s="297"/>
      <c r="C1799" s="25"/>
      <c r="D1799" s="25"/>
      <c r="E1799" s="25"/>
      <c r="F1799" s="25"/>
      <c r="G1799" s="123"/>
      <c r="H1799" s="123"/>
      <c r="I1799" s="25"/>
      <c r="J1799" s="25"/>
      <c r="K1799" s="367"/>
      <c r="L1799" s="42"/>
      <c r="M1799" s="42"/>
      <c r="N1799" s="42"/>
      <c r="O1799" s="42"/>
      <c r="P1799" s="42"/>
      <c r="Q1799" s="42"/>
      <c r="R1799" s="176"/>
      <c r="S1799" s="42"/>
      <c r="T1799" s="42"/>
      <c r="U1799" s="46"/>
      <c r="V1799" s="42"/>
      <c r="W1799" s="42"/>
      <c r="X1799" s="42"/>
      <c r="Y1799" s="42"/>
      <c r="Z1799" s="42"/>
      <c r="AA1799" s="42"/>
      <c r="AB1799" s="42"/>
      <c r="AC1799" s="42"/>
      <c r="AD1799" s="42"/>
      <c r="AE1799" s="42"/>
      <c r="AF1799" s="42"/>
    </row>
    <row r="1800">
      <c r="A1800" s="25"/>
      <c r="B1800" s="297"/>
      <c r="C1800" s="25"/>
      <c r="D1800" s="25"/>
      <c r="E1800" s="25"/>
      <c r="F1800" s="25"/>
      <c r="G1800" s="123"/>
      <c r="H1800" s="123"/>
      <c r="I1800" s="25"/>
      <c r="J1800" s="25"/>
      <c r="K1800" s="367"/>
      <c r="L1800" s="42"/>
      <c r="M1800" s="42"/>
      <c r="N1800" s="42"/>
      <c r="O1800" s="42"/>
      <c r="P1800" s="42"/>
      <c r="Q1800" s="42"/>
      <c r="R1800" s="176"/>
      <c r="S1800" s="42"/>
      <c r="T1800" s="42"/>
      <c r="U1800" s="46"/>
      <c r="V1800" s="42"/>
      <c r="W1800" s="42"/>
      <c r="X1800" s="42"/>
      <c r="Y1800" s="42"/>
      <c r="Z1800" s="42"/>
      <c r="AA1800" s="42"/>
      <c r="AB1800" s="42"/>
      <c r="AC1800" s="42"/>
      <c r="AD1800" s="42"/>
      <c r="AE1800" s="42"/>
      <c r="AF1800" s="42"/>
    </row>
    <row r="1801">
      <c r="A1801" s="25"/>
      <c r="B1801" s="297"/>
      <c r="C1801" s="25"/>
      <c r="D1801" s="25"/>
      <c r="E1801" s="25"/>
      <c r="F1801" s="25"/>
      <c r="G1801" s="123"/>
      <c r="H1801" s="123"/>
      <c r="I1801" s="25"/>
      <c r="J1801" s="25"/>
      <c r="K1801" s="367"/>
      <c r="L1801" s="42"/>
      <c r="M1801" s="42"/>
      <c r="N1801" s="42"/>
      <c r="O1801" s="42"/>
      <c r="P1801" s="42"/>
      <c r="Q1801" s="42"/>
      <c r="R1801" s="176"/>
      <c r="S1801" s="42"/>
      <c r="T1801" s="42"/>
      <c r="U1801" s="46"/>
      <c r="V1801" s="42"/>
      <c r="W1801" s="42"/>
      <c r="X1801" s="42"/>
      <c r="Y1801" s="42"/>
      <c r="Z1801" s="42"/>
      <c r="AA1801" s="42"/>
      <c r="AB1801" s="42"/>
      <c r="AC1801" s="42"/>
      <c r="AD1801" s="42"/>
      <c r="AE1801" s="42"/>
      <c r="AF1801" s="42"/>
    </row>
    <row r="1802">
      <c r="A1802" s="25"/>
      <c r="B1802" s="297"/>
      <c r="C1802" s="25"/>
      <c r="D1802" s="25"/>
      <c r="E1802" s="25"/>
      <c r="F1802" s="25"/>
      <c r="G1802" s="123"/>
      <c r="H1802" s="123"/>
      <c r="I1802" s="25"/>
      <c r="J1802" s="25"/>
      <c r="K1802" s="367"/>
      <c r="L1802" s="42"/>
      <c r="M1802" s="42"/>
      <c r="N1802" s="42"/>
      <c r="O1802" s="42"/>
      <c r="P1802" s="42"/>
      <c r="Q1802" s="42"/>
      <c r="R1802" s="176"/>
      <c r="S1802" s="42"/>
      <c r="T1802" s="42"/>
      <c r="U1802" s="46"/>
      <c r="V1802" s="42"/>
      <c r="W1802" s="42"/>
      <c r="X1802" s="42"/>
      <c r="Y1802" s="42"/>
      <c r="Z1802" s="42"/>
      <c r="AA1802" s="42"/>
      <c r="AB1802" s="42"/>
      <c r="AC1802" s="42"/>
      <c r="AD1802" s="42"/>
      <c r="AE1802" s="42"/>
      <c r="AF1802" s="42"/>
    </row>
    <row r="1803">
      <c r="A1803" s="25"/>
      <c r="B1803" s="297"/>
      <c r="C1803" s="25"/>
      <c r="D1803" s="25"/>
      <c r="E1803" s="25"/>
      <c r="F1803" s="25"/>
      <c r="G1803" s="123"/>
      <c r="H1803" s="123"/>
      <c r="I1803" s="25"/>
      <c r="J1803" s="25"/>
      <c r="K1803" s="367"/>
      <c r="L1803" s="42"/>
      <c r="M1803" s="42"/>
      <c r="N1803" s="42"/>
      <c r="O1803" s="42"/>
      <c r="P1803" s="42"/>
      <c r="Q1803" s="42"/>
      <c r="R1803" s="176"/>
      <c r="S1803" s="42"/>
      <c r="T1803" s="42"/>
      <c r="U1803" s="46"/>
      <c r="V1803" s="42"/>
      <c r="W1803" s="42"/>
      <c r="X1803" s="42"/>
      <c r="Y1803" s="42"/>
      <c r="Z1803" s="42"/>
      <c r="AA1803" s="42"/>
      <c r="AB1803" s="42"/>
      <c r="AC1803" s="42"/>
      <c r="AD1803" s="42"/>
      <c r="AE1803" s="42"/>
      <c r="AF1803" s="42"/>
    </row>
    <row r="1804">
      <c r="A1804" s="25"/>
      <c r="B1804" s="297"/>
      <c r="C1804" s="25"/>
      <c r="D1804" s="25"/>
      <c r="E1804" s="25"/>
      <c r="F1804" s="25"/>
      <c r="G1804" s="123"/>
      <c r="H1804" s="123"/>
      <c r="I1804" s="25"/>
      <c r="J1804" s="25"/>
      <c r="K1804" s="367"/>
      <c r="L1804" s="42"/>
      <c r="M1804" s="42"/>
      <c r="N1804" s="42"/>
      <c r="O1804" s="42"/>
      <c r="P1804" s="42"/>
      <c r="Q1804" s="42"/>
      <c r="R1804" s="176"/>
      <c r="S1804" s="42"/>
      <c r="T1804" s="42"/>
      <c r="U1804" s="46"/>
      <c r="V1804" s="42"/>
      <c r="W1804" s="42"/>
      <c r="X1804" s="42"/>
      <c r="Y1804" s="42"/>
      <c r="Z1804" s="42"/>
      <c r="AA1804" s="42"/>
      <c r="AB1804" s="42"/>
      <c r="AC1804" s="42"/>
      <c r="AD1804" s="42"/>
      <c r="AE1804" s="42"/>
      <c r="AF1804" s="42"/>
    </row>
    <row r="1805">
      <c r="A1805" s="25"/>
      <c r="B1805" s="297"/>
      <c r="C1805" s="25"/>
      <c r="D1805" s="25"/>
      <c r="E1805" s="25"/>
      <c r="F1805" s="25"/>
      <c r="G1805" s="123"/>
      <c r="H1805" s="123"/>
      <c r="I1805" s="25"/>
      <c r="J1805" s="25"/>
      <c r="K1805" s="367"/>
      <c r="L1805" s="42"/>
      <c r="M1805" s="42"/>
      <c r="N1805" s="42"/>
      <c r="O1805" s="42"/>
      <c r="P1805" s="42"/>
      <c r="Q1805" s="42"/>
      <c r="R1805" s="176"/>
      <c r="S1805" s="42"/>
      <c r="T1805" s="42"/>
      <c r="U1805" s="46"/>
      <c r="V1805" s="42"/>
      <c r="W1805" s="42"/>
      <c r="X1805" s="42"/>
      <c r="Y1805" s="42"/>
      <c r="Z1805" s="42"/>
      <c r="AA1805" s="42"/>
      <c r="AB1805" s="42"/>
      <c r="AC1805" s="42"/>
      <c r="AD1805" s="42"/>
      <c r="AE1805" s="42"/>
      <c r="AF1805" s="42"/>
    </row>
    <row r="1806">
      <c r="A1806" s="25"/>
      <c r="B1806" s="297"/>
      <c r="C1806" s="25"/>
      <c r="D1806" s="25"/>
      <c r="E1806" s="25"/>
      <c r="F1806" s="25"/>
      <c r="G1806" s="123"/>
      <c r="H1806" s="123"/>
      <c r="I1806" s="25"/>
      <c r="J1806" s="25"/>
      <c r="K1806" s="367"/>
      <c r="L1806" s="42"/>
      <c r="M1806" s="42"/>
      <c r="N1806" s="42"/>
      <c r="O1806" s="42"/>
      <c r="P1806" s="42"/>
      <c r="Q1806" s="42"/>
      <c r="R1806" s="176"/>
      <c r="S1806" s="42"/>
      <c r="T1806" s="42"/>
      <c r="U1806" s="46"/>
      <c r="V1806" s="42"/>
      <c r="W1806" s="42"/>
      <c r="X1806" s="42"/>
      <c r="Y1806" s="42"/>
      <c r="Z1806" s="42"/>
      <c r="AA1806" s="42"/>
      <c r="AB1806" s="42"/>
      <c r="AC1806" s="42"/>
      <c r="AD1806" s="42"/>
      <c r="AE1806" s="42"/>
      <c r="AF1806" s="42"/>
    </row>
    <row r="1807">
      <c r="A1807" s="25"/>
      <c r="B1807" s="297"/>
      <c r="C1807" s="25"/>
      <c r="D1807" s="25"/>
      <c r="E1807" s="25"/>
      <c r="F1807" s="25"/>
      <c r="G1807" s="123"/>
      <c r="H1807" s="123"/>
      <c r="I1807" s="25"/>
      <c r="J1807" s="25"/>
      <c r="K1807" s="367"/>
      <c r="L1807" s="42"/>
      <c r="M1807" s="42"/>
      <c r="N1807" s="42"/>
      <c r="O1807" s="42"/>
      <c r="P1807" s="42"/>
      <c r="Q1807" s="42"/>
      <c r="R1807" s="176"/>
      <c r="S1807" s="42"/>
      <c r="T1807" s="42"/>
      <c r="U1807" s="46"/>
      <c r="V1807" s="42"/>
      <c r="W1807" s="42"/>
      <c r="X1807" s="42"/>
      <c r="Y1807" s="42"/>
      <c r="Z1807" s="42"/>
      <c r="AA1807" s="42"/>
      <c r="AB1807" s="42"/>
      <c r="AC1807" s="42"/>
      <c r="AD1807" s="42"/>
      <c r="AE1807" s="42"/>
      <c r="AF1807" s="42"/>
    </row>
    <row r="1808">
      <c r="A1808" s="25"/>
      <c r="B1808" s="297"/>
      <c r="C1808" s="25"/>
      <c r="D1808" s="25"/>
      <c r="E1808" s="25"/>
      <c r="F1808" s="25"/>
      <c r="G1808" s="123"/>
      <c r="H1808" s="123"/>
      <c r="I1808" s="25"/>
      <c r="J1808" s="25"/>
      <c r="K1808" s="367"/>
      <c r="L1808" s="42"/>
      <c r="M1808" s="42"/>
      <c r="N1808" s="42"/>
      <c r="O1808" s="42"/>
      <c r="P1808" s="42"/>
      <c r="Q1808" s="42"/>
      <c r="R1808" s="176"/>
      <c r="S1808" s="42"/>
      <c r="T1808" s="42"/>
      <c r="U1808" s="46"/>
      <c r="V1808" s="42"/>
      <c r="W1808" s="42"/>
      <c r="X1808" s="42"/>
      <c r="Y1808" s="42"/>
      <c r="Z1808" s="42"/>
      <c r="AA1808" s="42"/>
      <c r="AB1808" s="42"/>
      <c r="AC1808" s="42"/>
      <c r="AD1808" s="42"/>
      <c r="AE1808" s="42"/>
      <c r="AF1808" s="42"/>
    </row>
    <row r="1809">
      <c r="A1809" s="25"/>
      <c r="B1809" s="297"/>
      <c r="C1809" s="25"/>
      <c r="D1809" s="25"/>
      <c r="E1809" s="25"/>
      <c r="F1809" s="25"/>
      <c r="G1809" s="123"/>
      <c r="H1809" s="123"/>
      <c r="I1809" s="25"/>
      <c r="J1809" s="25"/>
      <c r="K1809" s="367"/>
      <c r="L1809" s="42"/>
      <c r="M1809" s="42"/>
      <c r="N1809" s="42"/>
      <c r="O1809" s="42"/>
      <c r="P1809" s="42"/>
      <c r="Q1809" s="42"/>
      <c r="R1809" s="176"/>
      <c r="S1809" s="42"/>
      <c r="T1809" s="42"/>
      <c r="U1809" s="46"/>
      <c r="V1809" s="42"/>
      <c r="W1809" s="42"/>
      <c r="X1809" s="42"/>
      <c r="Y1809" s="42"/>
      <c r="Z1809" s="42"/>
      <c r="AA1809" s="42"/>
      <c r="AB1809" s="42"/>
      <c r="AC1809" s="42"/>
      <c r="AD1809" s="42"/>
      <c r="AE1809" s="42"/>
      <c r="AF1809" s="42"/>
    </row>
    <row r="1810">
      <c r="A1810" s="25"/>
      <c r="B1810" s="297"/>
      <c r="C1810" s="25"/>
      <c r="D1810" s="25"/>
      <c r="E1810" s="25"/>
      <c r="F1810" s="25"/>
      <c r="G1810" s="123"/>
      <c r="H1810" s="123"/>
      <c r="I1810" s="25"/>
      <c r="J1810" s="25"/>
      <c r="K1810" s="367"/>
      <c r="L1810" s="42"/>
      <c r="M1810" s="42"/>
      <c r="N1810" s="42"/>
      <c r="O1810" s="42"/>
      <c r="P1810" s="42"/>
      <c r="Q1810" s="42"/>
      <c r="R1810" s="176"/>
      <c r="S1810" s="42"/>
      <c r="T1810" s="42"/>
      <c r="U1810" s="46"/>
      <c r="V1810" s="42"/>
      <c r="W1810" s="42"/>
      <c r="X1810" s="42"/>
      <c r="Y1810" s="42"/>
      <c r="Z1810" s="42"/>
      <c r="AA1810" s="42"/>
      <c r="AB1810" s="42"/>
      <c r="AC1810" s="42"/>
      <c r="AD1810" s="42"/>
      <c r="AE1810" s="42"/>
      <c r="AF1810" s="42"/>
    </row>
    <row r="1811">
      <c r="A1811" s="25"/>
      <c r="B1811" s="297"/>
      <c r="C1811" s="25"/>
      <c r="D1811" s="25"/>
      <c r="E1811" s="25"/>
      <c r="F1811" s="25"/>
      <c r="G1811" s="123"/>
      <c r="H1811" s="123"/>
      <c r="I1811" s="25"/>
      <c r="J1811" s="25"/>
      <c r="K1811" s="367"/>
      <c r="L1811" s="42"/>
      <c r="M1811" s="42"/>
      <c r="N1811" s="42"/>
      <c r="O1811" s="42"/>
      <c r="P1811" s="42"/>
      <c r="Q1811" s="42"/>
      <c r="R1811" s="176"/>
      <c r="S1811" s="42"/>
      <c r="T1811" s="42"/>
      <c r="U1811" s="46"/>
      <c r="V1811" s="42"/>
      <c r="W1811" s="42"/>
      <c r="X1811" s="42"/>
      <c r="Y1811" s="42"/>
      <c r="Z1811" s="42"/>
      <c r="AA1811" s="42"/>
      <c r="AB1811" s="42"/>
      <c r="AC1811" s="42"/>
      <c r="AD1811" s="42"/>
      <c r="AE1811" s="42"/>
      <c r="AF1811" s="42"/>
    </row>
    <row r="1812">
      <c r="A1812" s="25"/>
      <c r="B1812" s="297"/>
      <c r="C1812" s="25"/>
      <c r="D1812" s="25"/>
      <c r="E1812" s="25"/>
      <c r="F1812" s="25"/>
      <c r="G1812" s="123"/>
      <c r="H1812" s="123"/>
      <c r="I1812" s="25"/>
      <c r="J1812" s="25"/>
      <c r="K1812" s="367"/>
      <c r="L1812" s="42"/>
      <c r="M1812" s="42"/>
      <c r="N1812" s="42"/>
      <c r="O1812" s="42"/>
      <c r="P1812" s="42"/>
      <c r="Q1812" s="42"/>
      <c r="R1812" s="176"/>
      <c r="S1812" s="42"/>
      <c r="T1812" s="42"/>
      <c r="U1812" s="46"/>
      <c r="V1812" s="42"/>
      <c r="W1812" s="42"/>
      <c r="X1812" s="42"/>
      <c r="Y1812" s="42"/>
      <c r="Z1812" s="42"/>
      <c r="AA1812" s="42"/>
      <c r="AB1812" s="42"/>
      <c r="AC1812" s="42"/>
      <c r="AD1812" s="42"/>
      <c r="AE1812" s="42"/>
      <c r="AF1812" s="42"/>
    </row>
    <row r="1813">
      <c r="A1813" s="25"/>
      <c r="B1813" s="297"/>
      <c r="C1813" s="25"/>
      <c r="D1813" s="25"/>
      <c r="E1813" s="25"/>
      <c r="F1813" s="25"/>
      <c r="G1813" s="123"/>
      <c r="H1813" s="123"/>
      <c r="I1813" s="25"/>
      <c r="J1813" s="25"/>
      <c r="K1813" s="367"/>
      <c r="L1813" s="42"/>
      <c r="M1813" s="42"/>
      <c r="N1813" s="42"/>
      <c r="O1813" s="42"/>
      <c r="P1813" s="42"/>
      <c r="Q1813" s="42"/>
      <c r="R1813" s="176"/>
      <c r="S1813" s="42"/>
      <c r="T1813" s="42"/>
      <c r="U1813" s="46"/>
      <c r="V1813" s="42"/>
      <c r="W1813" s="42"/>
      <c r="X1813" s="42"/>
      <c r="Y1813" s="42"/>
      <c r="Z1813" s="42"/>
      <c r="AA1813" s="42"/>
      <c r="AB1813" s="42"/>
      <c r="AC1813" s="42"/>
      <c r="AD1813" s="42"/>
      <c r="AE1813" s="42"/>
      <c r="AF1813" s="42"/>
    </row>
    <row r="1814">
      <c r="A1814" s="25"/>
      <c r="B1814" s="297"/>
      <c r="C1814" s="25"/>
      <c r="D1814" s="25"/>
      <c r="E1814" s="25"/>
      <c r="F1814" s="25"/>
      <c r="G1814" s="123"/>
      <c r="H1814" s="123"/>
      <c r="I1814" s="25"/>
      <c r="J1814" s="25"/>
      <c r="K1814" s="367"/>
      <c r="L1814" s="42"/>
      <c r="M1814" s="42"/>
      <c r="N1814" s="42"/>
      <c r="O1814" s="42"/>
      <c r="P1814" s="42"/>
      <c r="Q1814" s="42"/>
      <c r="R1814" s="176"/>
      <c r="S1814" s="42"/>
      <c r="T1814" s="42"/>
      <c r="U1814" s="46"/>
      <c r="V1814" s="42"/>
      <c r="W1814" s="42"/>
      <c r="X1814" s="42"/>
      <c r="Y1814" s="42"/>
      <c r="Z1814" s="42"/>
      <c r="AA1814" s="42"/>
      <c r="AB1814" s="42"/>
      <c r="AC1814" s="42"/>
      <c r="AD1814" s="42"/>
      <c r="AE1814" s="42"/>
      <c r="AF1814" s="42"/>
    </row>
    <row r="1815">
      <c r="A1815" s="25"/>
      <c r="B1815" s="297"/>
      <c r="C1815" s="25"/>
      <c r="D1815" s="25"/>
      <c r="E1815" s="25"/>
      <c r="F1815" s="25"/>
      <c r="G1815" s="123"/>
      <c r="H1815" s="123"/>
      <c r="I1815" s="25"/>
      <c r="J1815" s="25"/>
      <c r="K1815" s="367"/>
      <c r="L1815" s="42"/>
      <c r="M1815" s="42"/>
      <c r="N1815" s="42"/>
      <c r="O1815" s="42"/>
      <c r="P1815" s="42"/>
      <c r="Q1815" s="42"/>
      <c r="R1815" s="176"/>
      <c r="S1815" s="42"/>
      <c r="T1815" s="42"/>
      <c r="U1815" s="46"/>
      <c r="V1815" s="42"/>
      <c r="W1815" s="42"/>
      <c r="X1815" s="42"/>
      <c r="Y1815" s="42"/>
      <c r="Z1815" s="42"/>
      <c r="AA1815" s="42"/>
      <c r="AB1815" s="42"/>
      <c r="AC1815" s="42"/>
      <c r="AD1815" s="42"/>
      <c r="AE1815" s="42"/>
      <c r="AF1815" s="42"/>
    </row>
    <row r="1816">
      <c r="A1816" s="25"/>
      <c r="B1816" s="297"/>
      <c r="C1816" s="25"/>
      <c r="D1816" s="25"/>
      <c r="E1816" s="25"/>
      <c r="F1816" s="25"/>
      <c r="G1816" s="123"/>
      <c r="H1816" s="123"/>
      <c r="I1816" s="25"/>
      <c r="J1816" s="25"/>
      <c r="K1816" s="367"/>
      <c r="L1816" s="42"/>
      <c r="M1816" s="42"/>
      <c r="N1816" s="42"/>
      <c r="O1816" s="42"/>
      <c r="P1816" s="42"/>
      <c r="Q1816" s="42"/>
      <c r="R1816" s="176"/>
      <c r="S1816" s="42"/>
      <c r="T1816" s="42"/>
      <c r="U1816" s="46"/>
      <c r="V1816" s="42"/>
      <c r="W1816" s="42"/>
      <c r="X1816" s="42"/>
      <c r="Y1816" s="42"/>
      <c r="Z1816" s="42"/>
      <c r="AA1816" s="42"/>
      <c r="AB1816" s="42"/>
      <c r="AC1816" s="42"/>
      <c r="AD1816" s="42"/>
      <c r="AE1816" s="42"/>
      <c r="AF1816" s="42"/>
    </row>
    <row r="1817">
      <c r="A1817" s="25"/>
      <c r="B1817" s="297"/>
      <c r="C1817" s="25"/>
      <c r="D1817" s="25"/>
      <c r="E1817" s="25"/>
      <c r="F1817" s="25"/>
      <c r="G1817" s="123"/>
      <c r="H1817" s="123"/>
      <c r="I1817" s="25"/>
      <c r="J1817" s="25"/>
      <c r="K1817" s="367"/>
      <c r="L1817" s="42"/>
      <c r="M1817" s="42"/>
      <c r="N1817" s="42"/>
      <c r="O1817" s="42"/>
      <c r="P1817" s="42"/>
      <c r="Q1817" s="42"/>
      <c r="R1817" s="176"/>
      <c r="S1817" s="42"/>
      <c r="T1817" s="42"/>
      <c r="U1817" s="46"/>
      <c r="V1817" s="42"/>
      <c r="W1817" s="42"/>
      <c r="X1817" s="42"/>
      <c r="Y1817" s="42"/>
      <c r="Z1817" s="42"/>
      <c r="AA1817" s="42"/>
      <c r="AB1817" s="42"/>
      <c r="AC1817" s="42"/>
      <c r="AD1817" s="42"/>
      <c r="AE1817" s="42"/>
      <c r="AF1817" s="42"/>
    </row>
    <row r="1818">
      <c r="A1818" s="25"/>
      <c r="B1818" s="297"/>
      <c r="C1818" s="25"/>
      <c r="D1818" s="25"/>
      <c r="E1818" s="25"/>
      <c r="F1818" s="25"/>
      <c r="G1818" s="123"/>
      <c r="H1818" s="123"/>
      <c r="I1818" s="25"/>
      <c r="J1818" s="25"/>
      <c r="K1818" s="367"/>
      <c r="L1818" s="42"/>
      <c r="M1818" s="42"/>
      <c r="N1818" s="42"/>
      <c r="O1818" s="42"/>
      <c r="P1818" s="42"/>
      <c r="Q1818" s="42"/>
      <c r="R1818" s="176"/>
      <c r="S1818" s="42"/>
      <c r="T1818" s="42"/>
      <c r="U1818" s="46"/>
      <c r="V1818" s="42"/>
      <c r="W1818" s="42"/>
      <c r="X1818" s="42"/>
      <c r="Y1818" s="42"/>
      <c r="Z1818" s="42"/>
      <c r="AA1818" s="42"/>
      <c r="AB1818" s="42"/>
      <c r="AC1818" s="42"/>
      <c r="AD1818" s="42"/>
      <c r="AE1818" s="42"/>
      <c r="AF1818" s="42"/>
    </row>
    <row r="1819">
      <c r="A1819" s="25"/>
      <c r="B1819" s="297"/>
      <c r="C1819" s="25"/>
      <c r="D1819" s="25"/>
      <c r="E1819" s="25"/>
      <c r="F1819" s="25"/>
      <c r="G1819" s="123"/>
      <c r="H1819" s="123"/>
      <c r="I1819" s="25"/>
      <c r="J1819" s="25"/>
      <c r="K1819" s="367"/>
      <c r="L1819" s="42"/>
      <c r="M1819" s="42"/>
      <c r="N1819" s="42"/>
      <c r="O1819" s="42"/>
      <c r="P1819" s="42"/>
      <c r="Q1819" s="42"/>
      <c r="R1819" s="176"/>
      <c r="S1819" s="42"/>
      <c r="T1819" s="42"/>
      <c r="U1819" s="46"/>
      <c r="V1819" s="42"/>
      <c r="W1819" s="42"/>
      <c r="X1819" s="42"/>
      <c r="Y1819" s="42"/>
      <c r="Z1819" s="42"/>
      <c r="AA1819" s="42"/>
      <c r="AB1819" s="42"/>
      <c r="AC1819" s="42"/>
      <c r="AD1819" s="42"/>
      <c r="AE1819" s="42"/>
      <c r="AF1819" s="42"/>
    </row>
    <row r="1820">
      <c r="A1820" s="25"/>
      <c r="B1820" s="297"/>
      <c r="C1820" s="25"/>
      <c r="D1820" s="25"/>
      <c r="E1820" s="25"/>
      <c r="F1820" s="25"/>
      <c r="G1820" s="123"/>
      <c r="H1820" s="123"/>
      <c r="I1820" s="25"/>
      <c r="J1820" s="25"/>
      <c r="K1820" s="367"/>
      <c r="L1820" s="42"/>
      <c r="M1820" s="42"/>
      <c r="N1820" s="42"/>
      <c r="O1820" s="42"/>
      <c r="P1820" s="42"/>
      <c r="Q1820" s="42"/>
      <c r="R1820" s="176"/>
      <c r="S1820" s="42"/>
      <c r="T1820" s="42"/>
      <c r="U1820" s="46"/>
      <c r="V1820" s="42"/>
      <c r="W1820" s="42"/>
      <c r="X1820" s="42"/>
      <c r="Y1820" s="42"/>
      <c r="Z1820" s="42"/>
      <c r="AA1820" s="42"/>
      <c r="AB1820" s="42"/>
      <c r="AC1820" s="42"/>
      <c r="AD1820" s="42"/>
      <c r="AE1820" s="42"/>
      <c r="AF1820" s="42"/>
    </row>
    <row r="1821">
      <c r="A1821" s="25"/>
      <c r="B1821" s="297"/>
      <c r="C1821" s="25"/>
      <c r="D1821" s="25"/>
      <c r="E1821" s="25"/>
      <c r="F1821" s="25"/>
      <c r="G1821" s="123"/>
      <c r="H1821" s="123"/>
      <c r="I1821" s="25"/>
      <c r="J1821" s="25"/>
      <c r="K1821" s="367"/>
      <c r="L1821" s="42"/>
      <c r="M1821" s="42"/>
      <c r="N1821" s="42"/>
      <c r="O1821" s="42"/>
      <c r="P1821" s="42"/>
      <c r="Q1821" s="42"/>
      <c r="R1821" s="176"/>
      <c r="S1821" s="42"/>
      <c r="T1821" s="42"/>
      <c r="U1821" s="46"/>
      <c r="V1821" s="42"/>
      <c r="W1821" s="42"/>
      <c r="X1821" s="42"/>
      <c r="Y1821" s="42"/>
      <c r="Z1821" s="42"/>
      <c r="AA1821" s="42"/>
      <c r="AB1821" s="42"/>
      <c r="AC1821" s="42"/>
      <c r="AD1821" s="42"/>
      <c r="AE1821" s="42"/>
      <c r="AF1821" s="42"/>
    </row>
    <row r="1822">
      <c r="A1822" s="25"/>
      <c r="B1822" s="297"/>
      <c r="C1822" s="25"/>
      <c r="D1822" s="25"/>
      <c r="E1822" s="25"/>
      <c r="F1822" s="25"/>
      <c r="G1822" s="123"/>
      <c r="H1822" s="123"/>
      <c r="I1822" s="25"/>
      <c r="J1822" s="25"/>
      <c r="K1822" s="367"/>
      <c r="L1822" s="42"/>
      <c r="M1822" s="42"/>
      <c r="N1822" s="42"/>
      <c r="O1822" s="42"/>
      <c r="P1822" s="42"/>
      <c r="Q1822" s="42"/>
      <c r="R1822" s="176"/>
      <c r="S1822" s="42"/>
      <c r="T1822" s="42"/>
      <c r="U1822" s="46"/>
      <c r="V1822" s="42"/>
      <c r="W1822" s="42"/>
      <c r="X1822" s="42"/>
      <c r="Y1822" s="42"/>
      <c r="Z1822" s="42"/>
      <c r="AA1822" s="42"/>
      <c r="AB1822" s="42"/>
      <c r="AC1822" s="42"/>
      <c r="AD1822" s="42"/>
      <c r="AE1822" s="42"/>
      <c r="AF1822" s="42"/>
    </row>
    <row r="1823">
      <c r="A1823" s="25"/>
      <c r="B1823" s="297"/>
      <c r="C1823" s="25"/>
      <c r="D1823" s="25"/>
      <c r="E1823" s="25"/>
      <c r="F1823" s="25"/>
      <c r="G1823" s="123"/>
      <c r="H1823" s="123"/>
      <c r="I1823" s="25"/>
      <c r="J1823" s="25"/>
      <c r="K1823" s="367"/>
      <c r="L1823" s="42"/>
      <c r="M1823" s="42"/>
      <c r="N1823" s="42"/>
      <c r="O1823" s="42"/>
      <c r="P1823" s="42"/>
      <c r="Q1823" s="42"/>
      <c r="R1823" s="176"/>
      <c r="S1823" s="42"/>
      <c r="T1823" s="42"/>
      <c r="U1823" s="46"/>
      <c r="V1823" s="42"/>
      <c r="W1823" s="42"/>
      <c r="X1823" s="42"/>
      <c r="Y1823" s="42"/>
      <c r="Z1823" s="42"/>
      <c r="AA1823" s="42"/>
      <c r="AB1823" s="42"/>
      <c r="AC1823" s="42"/>
      <c r="AD1823" s="42"/>
      <c r="AE1823" s="42"/>
      <c r="AF1823" s="42"/>
    </row>
    <row r="1824">
      <c r="A1824" s="25"/>
      <c r="B1824" s="297"/>
      <c r="C1824" s="25"/>
      <c r="D1824" s="25"/>
      <c r="E1824" s="25"/>
      <c r="F1824" s="25"/>
      <c r="G1824" s="123"/>
      <c r="H1824" s="123"/>
      <c r="I1824" s="25"/>
      <c r="J1824" s="25"/>
      <c r="K1824" s="367"/>
      <c r="L1824" s="42"/>
      <c r="M1824" s="42"/>
      <c r="N1824" s="42"/>
      <c r="O1824" s="42"/>
      <c r="P1824" s="42"/>
      <c r="Q1824" s="42"/>
      <c r="R1824" s="176"/>
      <c r="S1824" s="42"/>
      <c r="T1824" s="42"/>
      <c r="U1824" s="46"/>
      <c r="V1824" s="42"/>
      <c r="W1824" s="42"/>
      <c r="X1824" s="42"/>
      <c r="Y1824" s="42"/>
      <c r="Z1824" s="42"/>
      <c r="AA1824" s="42"/>
      <c r="AB1824" s="42"/>
      <c r="AC1824" s="42"/>
      <c r="AD1824" s="42"/>
      <c r="AE1824" s="42"/>
      <c r="AF1824" s="42"/>
    </row>
    <row r="1825">
      <c r="A1825" s="25"/>
      <c r="B1825" s="297"/>
      <c r="C1825" s="25"/>
      <c r="D1825" s="25"/>
      <c r="E1825" s="25"/>
      <c r="F1825" s="25"/>
      <c r="G1825" s="123"/>
      <c r="H1825" s="123"/>
      <c r="I1825" s="25"/>
      <c r="J1825" s="25"/>
      <c r="K1825" s="367"/>
      <c r="L1825" s="42"/>
      <c r="M1825" s="42"/>
      <c r="N1825" s="42"/>
      <c r="O1825" s="42"/>
      <c r="P1825" s="42"/>
      <c r="Q1825" s="42"/>
      <c r="R1825" s="176"/>
      <c r="S1825" s="42"/>
      <c r="T1825" s="42"/>
      <c r="U1825" s="46"/>
      <c r="V1825" s="42"/>
      <c r="W1825" s="42"/>
      <c r="X1825" s="42"/>
      <c r="Y1825" s="42"/>
      <c r="Z1825" s="42"/>
      <c r="AA1825" s="42"/>
      <c r="AB1825" s="42"/>
      <c r="AC1825" s="42"/>
      <c r="AD1825" s="42"/>
      <c r="AE1825" s="42"/>
      <c r="AF1825" s="42"/>
    </row>
    <row r="1826">
      <c r="A1826" s="25"/>
      <c r="B1826" s="297"/>
      <c r="C1826" s="25"/>
      <c r="D1826" s="25"/>
      <c r="E1826" s="25"/>
      <c r="F1826" s="25"/>
      <c r="G1826" s="123"/>
      <c r="H1826" s="123"/>
      <c r="I1826" s="25"/>
      <c r="J1826" s="25"/>
      <c r="K1826" s="367"/>
      <c r="L1826" s="42"/>
      <c r="M1826" s="42"/>
      <c r="N1826" s="42"/>
      <c r="O1826" s="42"/>
      <c r="P1826" s="42"/>
      <c r="Q1826" s="42"/>
      <c r="R1826" s="176"/>
      <c r="S1826" s="42"/>
      <c r="T1826" s="42"/>
      <c r="U1826" s="46"/>
      <c r="V1826" s="42"/>
      <c r="W1826" s="42"/>
      <c r="X1826" s="42"/>
      <c r="Y1826" s="42"/>
      <c r="Z1826" s="42"/>
      <c r="AA1826" s="42"/>
      <c r="AB1826" s="42"/>
      <c r="AC1826" s="42"/>
      <c r="AD1826" s="42"/>
      <c r="AE1826" s="42"/>
      <c r="AF1826" s="42"/>
    </row>
    <row r="1827">
      <c r="A1827" s="25"/>
      <c r="B1827" s="297"/>
      <c r="C1827" s="25"/>
      <c r="D1827" s="25"/>
      <c r="E1827" s="25"/>
      <c r="F1827" s="25"/>
      <c r="G1827" s="123"/>
      <c r="H1827" s="123"/>
      <c r="I1827" s="25"/>
      <c r="J1827" s="25"/>
      <c r="K1827" s="367"/>
      <c r="L1827" s="42"/>
      <c r="M1827" s="42"/>
      <c r="N1827" s="42"/>
      <c r="O1827" s="42"/>
      <c r="P1827" s="42"/>
      <c r="Q1827" s="42"/>
      <c r="R1827" s="176"/>
      <c r="S1827" s="42"/>
      <c r="T1827" s="42"/>
      <c r="U1827" s="46"/>
      <c r="V1827" s="42"/>
      <c r="W1827" s="42"/>
      <c r="X1827" s="42"/>
      <c r="Y1827" s="42"/>
      <c r="Z1827" s="42"/>
      <c r="AA1827" s="42"/>
      <c r="AB1827" s="42"/>
      <c r="AC1827" s="42"/>
      <c r="AD1827" s="42"/>
      <c r="AE1827" s="42"/>
      <c r="AF1827" s="42"/>
    </row>
    <row r="1828">
      <c r="A1828" s="25"/>
      <c r="B1828" s="297"/>
      <c r="C1828" s="25"/>
      <c r="D1828" s="25"/>
      <c r="E1828" s="25"/>
      <c r="F1828" s="25"/>
      <c r="G1828" s="123"/>
      <c r="H1828" s="123"/>
      <c r="I1828" s="25"/>
      <c r="J1828" s="25"/>
      <c r="K1828" s="367"/>
      <c r="L1828" s="42"/>
      <c r="M1828" s="42"/>
      <c r="N1828" s="42"/>
      <c r="O1828" s="42"/>
      <c r="P1828" s="42"/>
      <c r="Q1828" s="42"/>
      <c r="R1828" s="176"/>
      <c r="S1828" s="42"/>
      <c r="T1828" s="42"/>
      <c r="U1828" s="46"/>
      <c r="V1828" s="42"/>
      <c r="W1828" s="42"/>
      <c r="X1828" s="42"/>
      <c r="Y1828" s="42"/>
      <c r="Z1828" s="42"/>
      <c r="AA1828" s="42"/>
      <c r="AB1828" s="42"/>
      <c r="AC1828" s="42"/>
      <c r="AD1828" s="42"/>
      <c r="AE1828" s="42"/>
      <c r="AF1828" s="42"/>
    </row>
    <row r="1829">
      <c r="A1829" s="25"/>
      <c r="B1829" s="297"/>
      <c r="C1829" s="25"/>
      <c r="D1829" s="25"/>
      <c r="E1829" s="25"/>
      <c r="F1829" s="25"/>
      <c r="G1829" s="123"/>
      <c r="H1829" s="123"/>
      <c r="I1829" s="25"/>
      <c r="J1829" s="25"/>
      <c r="K1829" s="367"/>
      <c r="L1829" s="42"/>
      <c r="M1829" s="42"/>
      <c r="N1829" s="42"/>
      <c r="O1829" s="42"/>
      <c r="P1829" s="42"/>
      <c r="Q1829" s="42"/>
      <c r="R1829" s="176"/>
      <c r="S1829" s="42"/>
      <c r="T1829" s="42"/>
      <c r="U1829" s="46"/>
      <c r="V1829" s="42"/>
      <c r="W1829" s="42"/>
      <c r="X1829" s="42"/>
      <c r="Y1829" s="42"/>
      <c r="Z1829" s="42"/>
      <c r="AA1829" s="42"/>
      <c r="AB1829" s="42"/>
      <c r="AC1829" s="42"/>
      <c r="AD1829" s="42"/>
      <c r="AE1829" s="42"/>
      <c r="AF1829" s="42"/>
    </row>
    <row r="1830">
      <c r="A1830" s="25"/>
      <c r="B1830" s="297"/>
      <c r="C1830" s="25"/>
      <c r="D1830" s="25"/>
      <c r="E1830" s="25"/>
      <c r="F1830" s="25"/>
      <c r="G1830" s="123"/>
      <c r="H1830" s="123"/>
      <c r="I1830" s="25"/>
      <c r="J1830" s="25"/>
      <c r="K1830" s="367"/>
      <c r="L1830" s="42"/>
      <c r="M1830" s="42"/>
      <c r="N1830" s="42"/>
      <c r="O1830" s="42"/>
      <c r="P1830" s="42"/>
      <c r="Q1830" s="42"/>
      <c r="R1830" s="176"/>
      <c r="S1830" s="42"/>
      <c r="T1830" s="42"/>
      <c r="U1830" s="46"/>
      <c r="V1830" s="42"/>
      <c r="W1830" s="42"/>
      <c r="X1830" s="42"/>
      <c r="Y1830" s="42"/>
      <c r="Z1830" s="42"/>
      <c r="AA1830" s="42"/>
      <c r="AB1830" s="42"/>
      <c r="AC1830" s="42"/>
      <c r="AD1830" s="42"/>
      <c r="AE1830" s="42"/>
      <c r="AF1830" s="42"/>
    </row>
    <row r="1831">
      <c r="A1831" s="25"/>
      <c r="B1831" s="297"/>
      <c r="C1831" s="25"/>
      <c r="D1831" s="25"/>
      <c r="E1831" s="25"/>
      <c r="F1831" s="25"/>
      <c r="G1831" s="123"/>
      <c r="H1831" s="123"/>
      <c r="I1831" s="25"/>
      <c r="J1831" s="25"/>
      <c r="K1831" s="367"/>
      <c r="L1831" s="42"/>
      <c r="M1831" s="42"/>
      <c r="N1831" s="42"/>
      <c r="O1831" s="42"/>
      <c r="P1831" s="42"/>
      <c r="Q1831" s="42"/>
      <c r="R1831" s="176"/>
      <c r="S1831" s="42"/>
      <c r="T1831" s="42"/>
      <c r="U1831" s="46"/>
      <c r="V1831" s="42"/>
      <c r="W1831" s="42"/>
      <c r="X1831" s="42"/>
      <c r="Y1831" s="42"/>
      <c r="Z1831" s="42"/>
      <c r="AA1831" s="42"/>
      <c r="AB1831" s="42"/>
      <c r="AC1831" s="42"/>
      <c r="AD1831" s="42"/>
      <c r="AE1831" s="42"/>
      <c r="AF1831" s="42"/>
    </row>
    <row r="1832">
      <c r="A1832" s="25"/>
      <c r="B1832" s="297"/>
      <c r="C1832" s="25"/>
      <c r="D1832" s="25"/>
      <c r="E1832" s="25"/>
      <c r="F1832" s="25"/>
      <c r="G1832" s="123"/>
      <c r="H1832" s="123"/>
      <c r="I1832" s="25"/>
      <c r="J1832" s="25"/>
      <c r="K1832" s="367"/>
      <c r="L1832" s="42"/>
      <c r="M1832" s="42"/>
      <c r="N1832" s="42"/>
      <c r="O1832" s="42"/>
      <c r="P1832" s="42"/>
      <c r="Q1832" s="42"/>
      <c r="R1832" s="176"/>
      <c r="S1832" s="42"/>
      <c r="T1832" s="42"/>
      <c r="U1832" s="46"/>
      <c r="V1832" s="42"/>
      <c r="W1832" s="42"/>
      <c r="X1832" s="42"/>
      <c r="Y1832" s="42"/>
      <c r="Z1832" s="42"/>
      <c r="AA1832" s="42"/>
      <c r="AB1832" s="42"/>
      <c r="AC1832" s="42"/>
      <c r="AD1832" s="42"/>
      <c r="AE1832" s="42"/>
      <c r="AF1832" s="42"/>
    </row>
    <row r="1833">
      <c r="A1833" s="25"/>
      <c r="B1833" s="297"/>
      <c r="C1833" s="25"/>
      <c r="D1833" s="25"/>
      <c r="E1833" s="25"/>
      <c r="F1833" s="25"/>
      <c r="G1833" s="123"/>
      <c r="H1833" s="123"/>
      <c r="I1833" s="25"/>
      <c r="J1833" s="25"/>
      <c r="K1833" s="367"/>
      <c r="L1833" s="42"/>
      <c r="M1833" s="42"/>
      <c r="N1833" s="42"/>
      <c r="O1833" s="42"/>
      <c r="P1833" s="42"/>
      <c r="Q1833" s="42"/>
      <c r="R1833" s="176"/>
      <c r="S1833" s="42"/>
      <c r="T1833" s="42"/>
      <c r="U1833" s="46"/>
      <c r="V1833" s="42"/>
      <c r="W1833" s="42"/>
      <c r="X1833" s="42"/>
      <c r="Y1833" s="42"/>
      <c r="Z1833" s="42"/>
      <c r="AA1833" s="42"/>
      <c r="AB1833" s="42"/>
      <c r="AC1833" s="42"/>
      <c r="AD1833" s="42"/>
      <c r="AE1833" s="42"/>
      <c r="AF1833" s="42"/>
    </row>
    <row r="1834">
      <c r="A1834" s="25"/>
      <c r="B1834" s="297"/>
      <c r="C1834" s="25"/>
      <c r="D1834" s="25"/>
      <c r="E1834" s="25"/>
      <c r="F1834" s="25"/>
      <c r="G1834" s="123"/>
      <c r="H1834" s="123"/>
      <c r="I1834" s="25"/>
      <c r="J1834" s="25"/>
      <c r="K1834" s="367"/>
      <c r="L1834" s="42"/>
      <c r="M1834" s="42"/>
      <c r="N1834" s="42"/>
      <c r="O1834" s="42"/>
      <c r="P1834" s="42"/>
      <c r="Q1834" s="42"/>
      <c r="R1834" s="176"/>
      <c r="S1834" s="42"/>
      <c r="T1834" s="42"/>
      <c r="U1834" s="46"/>
      <c r="V1834" s="42"/>
      <c r="W1834" s="42"/>
      <c r="X1834" s="42"/>
      <c r="Y1834" s="42"/>
      <c r="Z1834" s="42"/>
      <c r="AA1834" s="42"/>
      <c r="AB1834" s="42"/>
      <c r="AC1834" s="42"/>
      <c r="AD1834" s="42"/>
      <c r="AE1834" s="42"/>
      <c r="AF1834" s="42"/>
    </row>
    <row r="1835">
      <c r="A1835" s="25"/>
      <c r="B1835" s="297"/>
      <c r="C1835" s="25"/>
      <c r="D1835" s="25"/>
      <c r="E1835" s="25"/>
      <c r="F1835" s="25"/>
      <c r="G1835" s="123"/>
      <c r="H1835" s="123"/>
      <c r="I1835" s="25"/>
      <c r="J1835" s="25"/>
      <c r="K1835" s="367"/>
      <c r="L1835" s="42"/>
      <c r="M1835" s="42"/>
      <c r="N1835" s="42"/>
      <c r="O1835" s="42"/>
      <c r="P1835" s="42"/>
      <c r="Q1835" s="42"/>
      <c r="R1835" s="176"/>
      <c r="S1835" s="42"/>
      <c r="T1835" s="42"/>
      <c r="U1835" s="46"/>
      <c r="V1835" s="42"/>
      <c r="W1835" s="42"/>
      <c r="X1835" s="42"/>
      <c r="Y1835" s="42"/>
      <c r="Z1835" s="42"/>
      <c r="AA1835" s="42"/>
      <c r="AB1835" s="42"/>
      <c r="AC1835" s="42"/>
      <c r="AD1835" s="42"/>
      <c r="AE1835" s="42"/>
      <c r="AF1835" s="42"/>
    </row>
    <row r="1836">
      <c r="A1836" s="25"/>
      <c r="B1836" s="297"/>
      <c r="C1836" s="25"/>
      <c r="D1836" s="25"/>
      <c r="E1836" s="25"/>
      <c r="F1836" s="25"/>
      <c r="G1836" s="123"/>
      <c r="H1836" s="123"/>
      <c r="I1836" s="25"/>
      <c r="J1836" s="25"/>
      <c r="K1836" s="367"/>
      <c r="L1836" s="42"/>
      <c r="M1836" s="42"/>
      <c r="N1836" s="42"/>
      <c r="O1836" s="42"/>
      <c r="P1836" s="42"/>
      <c r="Q1836" s="42"/>
      <c r="R1836" s="176"/>
      <c r="S1836" s="42"/>
      <c r="T1836" s="42"/>
      <c r="U1836" s="46"/>
      <c r="V1836" s="42"/>
      <c r="W1836" s="42"/>
      <c r="X1836" s="42"/>
      <c r="Y1836" s="42"/>
      <c r="Z1836" s="42"/>
      <c r="AA1836" s="42"/>
      <c r="AB1836" s="42"/>
      <c r="AC1836" s="42"/>
      <c r="AD1836" s="42"/>
      <c r="AE1836" s="42"/>
      <c r="AF1836" s="42"/>
    </row>
    <row r="1837">
      <c r="A1837" s="25"/>
      <c r="B1837" s="297"/>
      <c r="C1837" s="25"/>
      <c r="D1837" s="25"/>
      <c r="E1837" s="25"/>
      <c r="F1837" s="25"/>
      <c r="G1837" s="123"/>
      <c r="H1837" s="123"/>
      <c r="I1837" s="25"/>
      <c r="J1837" s="25"/>
      <c r="K1837" s="367"/>
      <c r="L1837" s="42"/>
      <c r="M1837" s="42"/>
      <c r="N1837" s="42"/>
      <c r="O1837" s="42"/>
      <c r="P1837" s="42"/>
      <c r="Q1837" s="42"/>
      <c r="R1837" s="176"/>
      <c r="S1837" s="42"/>
      <c r="T1837" s="42"/>
      <c r="U1837" s="46"/>
      <c r="V1837" s="42"/>
      <c r="W1837" s="42"/>
      <c r="X1837" s="42"/>
      <c r="Y1837" s="42"/>
      <c r="Z1837" s="42"/>
      <c r="AA1837" s="42"/>
      <c r="AB1837" s="42"/>
      <c r="AC1837" s="42"/>
      <c r="AD1837" s="42"/>
      <c r="AE1837" s="42"/>
      <c r="AF1837" s="42"/>
    </row>
    <row r="1838">
      <c r="A1838" s="25"/>
      <c r="B1838" s="297"/>
      <c r="C1838" s="25"/>
      <c r="D1838" s="25"/>
      <c r="E1838" s="25"/>
      <c r="F1838" s="25"/>
      <c r="G1838" s="123"/>
      <c r="H1838" s="123"/>
      <c r="I1838" s="25"/>
      <c r="J1838" s="25"/>
      <c r="K1838" s="367"/>
      <c r="L1838" s="42"/>
      <c r="M1838" s="42"/>
      <c r="N1838" s="42"/>
      <c r="O1838" s="42"/>
      <c r="P1838" s="42"/>
      <c r="Q1838" s="42"/>
      <c r="R1838" s="176"/>
      <c r="S1838" s="42"/>
      <c r="T1838" s="42"/>
      <c r="U1838" s="46"/>
      <c r="V1838" s="42"/>
      <c r="W1838" s="42"/>
      <c r="X1838" s="42"/>
      <c r="Y1838" s="42"/>
      <c r="Z1838" s="42"/>
      <c r="AA1838" s="42"/>
      <c r="AB1838" s="42"/>
      <c r="AC1838" s="42"/>
      <c r="AD1838" s="42"/>
      <c r="AE1838" s="42"/>
      <c r="AF1838" s="42"/>
    </row>
    <row r="1839">
      <c r="A1839" s="25"/>
      <c r="B1839" s="297"/>
      <c r="C1839" s="25"/>
      <c r="D1839" s="25"/>
      <c r="E1839" s="25"/>
      <c r="F1839" s="25"/>
      <c r="G1839" s="123"/>
      <c r="H1839" s="123"/>
      <c r="I1839" s="25"/>
      <c r="J1839" s="25"/>
      <c r="K1839" s="367"/>
      <c r="L1839" s="42"/>
      <c r="M1839" s="42"/>
      <c r="N1839" s="42"/>
      <c r="O1839" s="42"/>
      <c r="P1839" s="42"/>
      <c r="Q1839" s="42"/>
      <c r="R1839" s="176"/>
      <c r="S1839" s="42"/>
      <c r="T1839" s="42"/>
      <c r="U1839" s="46"/>
      <c r="V1839" s="42"/>
      <c r="W1839" s="42"/>
      <c r="X1839" s="42"/>
      <c r="Y1839" s="42"/>
      <c r="Z1839" s="42"/>
      <c r="AA1839" s="42"/>
      <c r="AB1839" s="42"/>
      <c r="AC1839" s="42"/>
      <c r="AD1839" s="42"/>
      <c r="AE1839" s="42"/>
      <c r="AF1839" s="42"/>
    </row>
    <row r="1840">
      <c r="A1840" s="25"/>
      <c r="B1840" s="297"/>
      <c r="C1840" s="25"/>
      <c r="D1840" s="25"/>
      <c r="E1840" s="25"/>
      <c r="F1840" s="25"/>
      <c r="G1840" s="123"/>
      <c r="H1840" s="123"/>
      <c r="I1840" s="25"/>
      <c r="J1840" s="25"/>
      <c r="K1840" s="367"/>
      <c r="L1840" s="42"/>
      <c r="M1840" s="42"/>
      <c r="N1840" s="42"/>
      <c r="O1840" s="42"/>
      <c r="P1840" s="42"/>
      <c r="Q1840" s="42"/>
      <c r="R1840" s="176"/>
      <c r="S1840" s="42"/>
      <c r="T1840" s="42"/>
      <c r="U1840" s="46"/>
      <c r="V1840" s="42"/>
      <c r="W1840" s="42"/>
      <c r="X1840" s="42"/>
      <c r="Y1840" s="42"/>
      <c r="Z1840" s="42"/>
      <c r="AA1840" s="42"/>
      <c r="AB1840" s="42"/>
      <c r="AC1840" s="42"/>
      <c r="AD1840" s="42"/>
      <c r="AE1840" s="42"/>
      <c r="AF1840" s="42"/>
    </row>
    <row r="1841">
      <c r="A1841" s="25"/>
      <c r="B1841" s="297"/>
      <c r="C1841" s="25"/>
      <c r="D1841" s="25"/>
      <c r="E1841" s="25"/>
      <c r="F1841" s="25"/>
      <c r="G1841" s="123"/>
      <c r="H1841" s="123"/>
      <c r="I1841" s="25"/>
      <c r="J1841" s="25"/>
      <c r="K1841" s="367"/>
      <c r="L1841" s="42"/>
      <c r="M1841" s="42"/>
      <c r="N1841" s="42"/>
      <c r="O1841" s="42"/>
      <c r="P1841" s="42"/>
      <c r="Q1841" s="42"/>
      <c r="R1841" s="176"/>
      <c r="S1841" s="42"/>
      <c r="T1841" s="42"/>
      <c r="U1841" s="46"/>
      <c r="V1841" s="42"/>
      <c r="W1841" s="42"/>
      <c r="X1841" s="42"/>
      <c r="Y1841" s="42"/>
      <c r="Z1841" s="42"/>
      <c r="AA1841" s="42"/>
      <c r="AB1841" s="42"/>
      <c r="AC1841" s="42"/>
      <c r="AD1841" s="42"/>
      <c r="AE1841" s="42"/>
      <c r="AF1841" s="42"/>
    </row>
    <row r="1842">
      <c r="A1842" s="25"/>
      <c r="B1842" s="297"/>
      <c r="C1842" s="25"/>
      <c r="D1842" s="25"/>
      <c r="E1842" s="25"/>
      <c r="F1842" s="25"/>
      <c r="G1842" s="123"/>
      <c r="H1842" s="123"/>
      <c r="I1842" s="25"/>
      <c r="J1842" s="25"/>
      <c r="K1842" s="367"/>
      <c r="L1842" s="42"/>
      <c r="M1842" s="42"/>
      <c r="N1842" s="42"/>
      <c r="O1842" s="42"/>
      <c r="P1842" s="42"/>
      <c r="Q1842" s="42"/>
      <c r="R1842" s="176"/>
      <c r="S1842" s="42"/>
      <c r="T1842" s="42"/>
      <c r="U1842" s="46"/>
      <c r="V1842" s="42"/>
      <c r="W1842" s="42"/>
      <c r="X1842" s="42"/>
      <c r="Y1842" s="42"/>
      <c r="Z1842" s="42"/>
      <c r="AA1842" s="42"/>
      <c r="AB1842" s="42"/>
      <c r="AC1842" s="42"/>
      <c r="AD1842" s="42"/>
      <c r="AE1842" s="42"/>
      <c r="AF1842" s="42"/>
    </row>
    <row r="1843">
      <c r="A1843" s="25"/>
      <c r="B1843" s="297"/>
      <c r="C1843" s="25"/>
      <c r="D1843" s="25"/>
      <c r="E1843" s="25"/>
      <c r="F1843" s="25"/>
      <c r="G1843" s="123"/>
      <c r="H1843" s="123"/>
      <c r="I1843" s="25"/>
      <c r="J1843" s="25"/>
      <c r="K1843" s="367"/>
      <c r="L1843" s="42"/>
      <c r="M1843" s="42"/>
      <c r="N1843" s="42"/>
      <c r="O1843" s="42"/>
      <c r="P1843" s="42"/>
      <c r="Q1843" s="42"/>
      <c r="R1843" s="176"/>
      <c r="S1843" s="42"/>
      <c r="T1843" s="42"/>
      <c r="U1843" s="46"/>
      <c r="V1843" s="42"/>
      <c r="W1843" s="42"/>
      <c r="X1843" s="42"/>
      <c r="Y1843" s="42"/>
      <c r="Z1843" s="42"/>
      <c r="AA1843" s="42"/>
      <c r="AB1843" s="42"/>
      <c r="AC1843" s="42"/>
      <c r="AD1843" s="42"/>
      <c r="AE1843" s="42"/>
      <c r="AF1843" s="42"/>
    </row>
    <row r="1844">
      <c r="A1844" s="25"/>
      <c r="B1844" s="297"/>
      <c r="C1844" s="25"/>
      <c r="D1844" s="25"/>
      <c r="E1844" s="25"/>
      <c r="F1844" s="25"/>
      <c r="G1844" s="123"/>
      <c r="H1844" s="123"/>
      <c r="I1844" s="25"/>
      <c r="J1844" s="25"/>
      <c r="K1844" s="367"/>
      <c r="L1844" s="42"/>
      <c r="M1844" s="42"/>
      <c r="N1844" s="42"/>
      <c r="O1844" s="42"/>
      <c r="P1844" s="42"/>
      <c r="Q1844" s="42"/>
      <c r="R1844" s="176"/>
      <c r="S1844" s="42"/>
      <c r="T1844" s="42"/>
      <c r="U1844" s="46"/>
      <c r="V1844" s="42"/>
      <c r="W1844" s="42"/>
      <c r="X1844" s="42"/>
      <c r="Y1844" s="42"/>
      <c r="Z1844" s="42"/>
      <c r="AA1844" s="42"/>
      <c r="AB1844" s="42"/>
      <c r="AC1844" s="42"/>
      <c r="AD1844" s="42"/>
      <c r="AE1844" s="42"/>
      <c r="AF1844" s="42"/>
    </row>
    <row r="1845">
      <c r="A1845" s="25"/>
      <c r="B1845" s="297"/>
      <c r="C1845" s="25"/>
      <c r="D1845" s="25"/>
      <c r="E1845" s="25"/>
      <c r="F1845" s="25"/>
      <c r="G1845" s="123"/>
      <c r="H1845" s="123"/>
      <c r="I1845" s="25"/>
      <c r="J1845" s="25"/>
      <c r="K1845" s="367"/>
      <c r="L1845" s="42"/>
      <c r="M1845" s="42"/>
      <c r="N1845" s="42"/>
      <c r="O1845" s="42"/>
      <c r="P1845" s="42"/>
      <c r="Q1845" s="42"/>
      <c r="R1845" s="176"/>
      <c r="S1845" s="42"/>
      <c r="T1845" s="42"/>
      <c r="U1845" s="46"/>
      <c r="V1845" s="42"/>
      <c r="W1845" s="42"/>
      <c r="X1845" s="42"/>
      <c r="Y1845" s="42"/>
      <c r="Z1845" s="42"/>
      <c r="AA1845" s="42"/>
      <c r="AB1845" s="42"/>
      <c r="AC1845" s="42"/>
      <c r="AD1845" s="42"/>
      <c r="AE1845" s="42"/>
      <c r="AF1845" s="42"/>
    </row>
    <row r="1846">
      <c r="A1846" s="25"/>
      <c r="B1846" s="297"/>
      <c r="C1846" s="25"/>
      <c r="D1846" s="25"/>
      <c r="E1846" s="25"/>
      <c r="F1846" s="25"/>
      <c r="G1846" s="123"/>
      <c r="H1846" s="123"/>
      <c r="I1846" s="25"/>
      <c r="J1846" s="25"/>
      <c r="K1846" s="367"/>
      <c r="L1846" s="42"/>
      <c r="M1846" s="42"/>
      <c r="N1846" s="42"/>
      <c r="O1846" s="42"/>
      <c r="P1846" s="42"/>
      <c r="Q1846" s="42"/>
      <c r="R1846" s="176"/>
      <c r="S1846" s="42"/>
      <c r="T1846" s="42"/>
      <c r="U1846" s="46"/>
      <c r="V1846" s="42"/>
      <c r="W1846" s="42"/>
      <c r="X1846" s="42"/>
      <c r="Y1846" s="42"/>
      <c r="Z1846" s="42"/>
      <c r="AA1846" s="42"/>
      <c r="AB1846" s="42"/>
      <c r="AC1846" s="42"/>
      <c r="AD1846" s="42"/>
      <c r="AE1846" s="42"/>
      <c r="AF1846" s="42"/>
    </row>
    <row r="1847">
      <c r="A1847" s="25"/>
      <c r="B1847" s="297"/>
      <c r="C1847" s="25"/>
      <c r="D1847" s="25"/>
      <c r="E1847" s="25"/>
      <c r="F1847" s="25"/>
      <c r="G1847" s="123"/>
      <c r="H1847" s="123"/>
      <c r="I1847" s="25"/>
      <c r="J1847" s="25"/>
      <c r="K1847" s="367"/>
      <c r="L1847" s="42"/>
      <c r="M1847" s="42"/>
      <c r="N1847" s="42"/>
      <c r="O1847" s="42"/>
      <c r="P1847" s="42"/>
      <c r="Q1847" s="42"/>
      <c r="R1847" s="176"/>
      <c r="S1847" s="42"/>
      <c r="T1847" s="42"/>
      <c r="U1847" s="46"/>
      <c r="V1847" s="42"/>
      <c r="W1847" s="42"/>
      <c r="X1847" s="42"/>
      <c r="Y1847" s="42"/>
      <c r="Z1847" s="42"/>
      <c r="AA1847" s="42"/>
      <c r="AB1847" s="42"/>
      <c r="AC1847" s="42"/>
      <c r="AD1847" s="42"/>
      <c r="AE1847" s="42"/>
      <c r="AF1847" s="42"/>
    </row>
    <row r="1848">
      <c r="A1848" s="25"/>
      <c r="B1848" s="297"/>
      <c r="C1848" s="25"/>
      <c r="D1848" s="25"/>
      <c r="E1848" s="25"/>
      <c r="F1848" s="25"/>
      <c r="G1848" s="123"/>
      <c r="H1848" s="123"/>
      <c r="I1848" s="25"/>
      <c r="J1848" s="25"/>
      <c r="K1848" s="367"/>
      <c r="L1848" s="42"/>
      <c r="M1848" s="42"/>
      <c r="N1848" s="42"/>
      <c r="O1848" s="42"/>
      <c r="P1848" s="42"/>
      <c r="Q1848" s="42"/>
      <c r="R1848" s="176"/>
      <c r="S1848" s="42"/>
      <c r="T1848" s="42"/>
      <c r="U1848" s="46"/>
      <c r="V1848" s="42"/>
      <c r="W1848" s="42"/>
      <c r="X1848" s="42"/>
      <c r="Y1848" s="42"/>
      <c r="Z1848" s="42"/>
      <c r="AA1848" s="42"/>
      <c r="AB1848" s="42"/>
      <c r="AC1848" s="42"/>
      <c r="AD1848" s="42"/>
      <c r="AE1848" s="42"/>
      <c r="AF1848" s="42"/>
    </row>
    <row r="1849">
      <c r="A1849" s="25"/>
      <c r="B1849" s="297"/>
      <c r="C1849" s="25"/>
      <c r="D1849" s="25"/>
      <c r="E1849" s="25"/>
      <c r="F1849" s="25"/>
      <c r="G1849" s="123"/>
      <c r="H1849" s="123"/>
      <c r="I1849" s="25"/>
      <c r="J1849" s="25"/>
      <c r="K1849" s="367"/>
      <c r="L1849" s="42"/>
      <c r="M1849" s="42"/>
      <c r="N1849" s="42"/>
      <c r="O1849" s="42"/>
      <c r="P1849" s="42"/>
      <c r="Q1849" s="42"/>
      <c r="R1849" s="176"/>
      <c r="S1849" s="42"/>
      <c r="T1849" s="42"/>
      <c r="U1849" s="46"/>
      <c r="V1849" s="42"/>
      <c r="W1849" s="42"/>
      <c r="X1849" s="42"/>
      <c r="Y1849" s="42"/>
      <c r="Z1849" s="42"/>
      <c r="AA1849" s="42"/>
      <c r="AB1849" s="42"/>
      <c r="AC1849" s="42"/>
      <c r="AD1849" s="42"/>
      <c r="AE1849" s="42"/>
      <c r="AF1849" s="42"/>
    </row>
    <row r="1850">
      <c r="A1850" s="25"/>
      <c r="B1850" s="297"/>
      <c r="C1850" s="25"/>
      <c r="D1850" s="25"/>
      <c r="E1850" s="25"/>
      <c r="F1850" s="25"/>
      <c r="G1850" s="123"/>
      <c r="H1850" s="123"/>
      <c r="I1850" s="25"/>
      <c r="J1850" s="25"/>
      <c r="K1850" s="367"/>
      <c r="L1850" s="42"/>
      <c r="M1850" s="42"/>
      <c r="N1850" s="42"/>
      <c r="O1850" s="42"/>
      <c r="P1850" s="42"/>
      <c r="Q1850" s="42"/>
      <c r="R1850" s="176"/>
      <c r="S1850" s="42"/>
      <c r="T1850" s="42"/>
      <c r="U1850" s="46"/>
      <c r="V1850" s="42"/>
      <c r="W1850" s="42"/>
      <c r="X1850" s="42"/>
      <c r="Y1850" s="42"/>
      <c r="Z1850" s="42"/>
      <c r="AA1850" s="42"/>
      <c r="AB1850" s="42"/>
      <c r="AC1850" s="42"/>
      <c r="AD1850" s="42"/>
      <c r="AE1850" s="42"/>
      <c r="AF1850" s="42"/>
    </row>
    <row r="1851">
      <c r="A1851" s="25"/>
      <c r="B1851" s="297"/>
      <c r="C1851" s="25"/>
      <c r="D1851" s="25"/>
      <c r="E1851" s="25"/>
      <c r="F1851" s="25"/>
      <c r="G1851" s="123"/>
      <c r="H1851" s="123"/>
      <c r="I1851" s="25"/>
      <c r="J1851" s="25"/>
      <c r="K1851" s="367"/>
      <c r="L1851" s="42"/>
      <c r="M1851" s="42"/>
      <c r="N1851" s="42"/>
      <c r="O1851" s="42"/>
      <c r="P1851" s="42"/>
      <c r="Q1851" s="42"/>
      <c r="R1851" s="176"/>
      <c r="S1851" s="42"/>
      <c r="T1851" s="42"/>
      <c r="U1851" s="46"/>
      <c r="V1851" s="42"/>
      <c r="W1851" s="42"/>
      <c r="X1851" s="42"/>
      <c r="Y1851" s="42"/>
      <c r="Z1851" s="42"/>
      <c r="AA1851" s="42"/>
      <c r="AB1851" s="42"/>
      <c r="AC1851" s="42"/>
      <c r="AD1851" s="42"/>
      <c r="AE1851" s="42"/>
      <c r="AF1851" s="42"/>
    </row>
    <row r="1852">
      <c r="A1852" s="25"/>
      <c r="B1852" s="297"/>
      <c r="C1852" s="25"/>
      <c r="D1852" s="25"/>
      <c r="E1852" s="25"/>
      <c r="F1852" s="25"/>
      <c r="G1852" s="123"/>
      <c r="H1852" s="123"/>
      <c r="I1852" s="25"/>
      <c r="J1852" s="25"/>
      <c r="K1852" s="367"/>
      <c r="L1852" s="42"/>
      <c r="M1852" s="42"/>
      <c r="N1852" s="42"/>
      <c r="O1852" s="42"/>
      <c r="P1852" s="42"/>
      <c r="Q1852" s="42"/>
      <c r="R1852" s="176"/>
      <c r="S1852" s="42"/>
      <c r="T1852" s="42"/>
      <c r="U1852" s="46"/>
      <c r="V1852" s="42"/>
      <c r="W1852" s="42"/>
      <c r="X1852" s="42"/>
      <c r="Y1852" s="42"/>
      <c r="Z1852" s="42"/>
      <c r="AA1852" s="42"/>
      <c r="AB1852" s="42"/>
      <c r="AC1852" s="42"/>
      <c r="AD1852" s="42"/>
      <c r="AE1852" s="42"/>
      <c r="AF1852" s="42"/>
    </row>
    <row r="1853">
      <c r="A1853" s="25"/>
      <c r="B1853" s="297"/>
      <c r="C1853" s="25"/>
      <c r="D1853" s="25"/>
      <c r="E1853" s="25"/>
      <c r="F1853" s="25"/>
      <c r="G1853" s="123"/>
      <c r="H1853" s="123"/>
      <c r="I1853" s="25"/>
      <c r="J1853" s="25"/>
      <c r="K1853" s="367"/>
      <c r="L1853" s="42"/>
      <c r="M1853" s="42"/>
      <c r="N1853" s="42"/>
      <c r="O1853" s="42"/>
      <c r="P1853" s="42"/>
      <c r="Q1853" s="42"/>
      <c r="R1853" s="176"/>
      <c r="S1853" s="42"/>
      <c r="T1853" s="42"/>
      <c r="U1853" s="46"/>
      <c r="V1853" s="42"/>
      <c r="W1853" s="42"/>
      <c r="X1853" s="42"/>
      <c r="Y1853" s="42"/>
      <c r="Z1853" s="42"/>
      <c r="AA1853" s="42"/>
      <c r="AB1853" s="42"/>
      <c r="AC1853" s="42"/>
      <c r="AD1853" s="42"/>
      <c r="AE1853" s="42"/>
      <c r="AF1853" s="42"/>
    </row>
    <row r="1854">
      <c r="A1854" s="25"/>
      <c r="B1854" s="297"/>
      <c r="C1854" s="25"/>
      <c r="D1854" s="25"/>
      <c r="E1854" s="25"/>
      <c r="F1854" s="25"/>
      <c r="G1854" s="123"/>
      <c r="H1854" s="123"/>
      <c r="I1854" s="25"/>
      <c r="J1854" s="25"/>
      <c r="K1854" s="367"/>
      <c r="L1854" s="42"/>
      <c r="M1854" s="42"/>
      <c r="N1854" s="42"/>
      <c r="O1854" s="42"/>
      <c r="P1854" s="42"/>
      <c r="Q1854" s="42"/>
      <c r="R1854" s="176"/>
      <c r="S1854" s="42"/>
      <c r="T1854" s="42"/>
      <c r="U1854" s="46"/>
      <c r="V1854" s="42"/>
      <c r="W1854" s="42"/>
      <c r="X1854" s="42"/>
      <c r="Y1854" s="42"/>
      <c r="Z1854" s="42"/>
      <c r="AA1854" s="42"/>
      <c r="AB1854" s="42"/>
      <c r="AC1854" s="42"/>
      <c r="AD1854" s="42"/>
      <c r="AE1854" s="42"/>
      <c r="AF1854" s="42"/>
    </row>
    <row r="1855">
      <c r="A1855" s="25"/>
      <c r="B1855" s="297"/>
      <c r="C1855" s="25"/>
      <c r="D1855" s="25"/>
      <c r="E1855" s="25"/>
      <c r="F1855" s="25"/>
      <c r="G1855" s="123"/>
      <c r="H1855" s="123"/>
      <c r="I1855" s="25"/>
      <c r="J1855" s="25"/>
      <c r="K1855" s="367"/>
      <c r="L1855" s="42"/>
      <c r="M1855" s="42"/>
      <c r="N1855" s="42"/>
      <c r="O1855" s="42"/>
      <c r="P1855" s="42"/>
      <c r="Q1855" s="42"/>
      <c r="R1855" s="176"/>
      <c r="S1855" s="42"/>
      <c r="T1855" s="42"/>
      <c r="U1855" s="46"/>
      <c r="V1855" s="42"/>
      <c r="W1855" s="42"/>
      <c r="X1855" s="42"/>
      <c r="Y1855" s="42"/>
      <c r="Z1855" s="42"/>
      <c r="AA1855" s="42"/>
      <c r="AB1855" s="42"/>
      <c r="AC1855" s="42"/>
      <c r="AD1855" s="42"/>
      <c r="AE1855" s="42"/>
      <c r="AF1855" s="42"/>
    </row>
    <row r="1856">
      <c r="A1856" s="25"/>
      <c r="B1856" s="297"/>
      <c r="C1856" s="25"/>
      <c r="D1856" s="25"/>
      <c r="E1856" s="25"/>
      <c r="F1856" s="25"/>
      <c r="G1856" s="123"/>
      <c r="H1856" s="123"/>
      <c r="I1856" s="25"/>
      <c r="J1856" s="25"/>
      <c r="K1856" s="367"/>
      <c r="L1856" s="42"/>
      <c r="M1856" s="42"/>
      <c r="N1856" s="42"/>
      <c r="O1856" s="42"/>
      <c r="P1856" s="42"/>
      <c r="Q1856" s="42"/>
      <c r="R1856" s="176"/>
      <c r="S1856" s="42"/>
      <c r="T1856" s="42"/>
      <c r="U1856" s="46"/>
      <c r="V1856" s="42"/>
      <c r="W1856" s="42"/>
      <c r="X1856" s="42"/>
      <c r="Y1856" s="42"/>
      <c r="Z1856" s="42"/>
      <c r="AA1856" s="42"/>
      <c r="AB1856" s="42"/>
      <c r="AC1856" s="42"/>
      <c r="AD1856" s="42"/>
      <c r="AE1856" s="42"/>
      <c r="AF1856" s="42"/>
    </row>
    <row r="1857">
      <c r="A1857" s="25"/>
      <c r="B1857" s="297"/>
      <c r="C1857" s="25"/>
      <c r="D1857" s="25"/>
      <c r="E1857" s="25"/>
      <c r="F1857" s="25"/>
      <c r="G1857" s="123"/>
      <c r="H1857" s="123"/>
      <c r="I1857" s="25"/>
      <c r="J1857" s="25"/>
      <c r="K1857" s="367"/>
      <c r="L1857" s="42"/>
      <c r="M1857" s="42"/>
      <c r="N1857" s="42"/>
      <c r="O1857" s="42"/>
      <c r="P1857" s="42"/>
      <c r="Q1857" s="42"/>
      <c r="R1857" s="176"/>
      <c r="S1857" s="42"/>
      <c r="T1857" s="42"/>
      <c r="U1857" s="46"/>
      <c r="V1857" s="42"/>
      <c r="W1857" s="42"/>
      <c r="X1857" s="42"/>
      <c r="Y1857" s="42"/>
      <c r="Z1857" s="42"/>
      <c r="AA1857" s="42"/>
      <c r="AB1857" s="42"/>
      <c r="AC1857" s="42"/>
      <c r="AD1857" s="42"/>
      <c r="AE1857" s="42"/>
      <c r="AF1857" s="42"/>
    </row>
    <row r="1858">
      <c r="A1858" s="25"/>
      <c r="B1858" s="297"/>
      <c r="C1858" s="25"/>
      <c r="D1858" s="25"/>
      <c r="E1858" s="25"/>
      <c r="F1858" s="25"/>
      <c r="G1858" s="123"/>
      <c r="H1858" s="123"/>
      <c r="I1858" s="25"/>
      <c r="J1858" s="25"/>
      <c r="K1858" s="367"/>
      <c r="L1858" s="42"/>
      <c r="M1858" s="42"/>
      <c r="N1858" s="42"/>
      <c r="O1858" s="42"/>
      <c r="P1858" s="42"/>
      <c r="Q1858" s="42"/>
      <c r="R1858" s="176"/>
      <c r="S1858" s="42"/>
      <c r="T1858" s="42"/>
      <c r="U1858" s="46"/>
      <c r="V1858" s="42"/>
      <c r="W1858" s="42"/>
      <c r="X1858" s="42"/>
      <c r="Y1858" s="42"/>
      <c r="Z1858" s="42"/>
      <c r="AA1858" s="42"/>
      <c r="AB1858" s="42"/>
      <c r="AC1858" s="42"/>
      <c r="AD1858" s="42"/>
      <c r="AE1858" s="42"/>
      <c r="AF1858" s="42"/>
    </row>
    <row r="1859">
      <c r="A1859" s="25"/>
      <c r="B1859" s="297"/>
      <c r="C1859" s="25"/>
      <c r="D1859" s="25"/>
      <c r="E1859" s="25"/>
      <c r="F1859" s="25"/>
      <c r="G1859" s="123"/>
      <c r="H1859" s="123"/>
      <c r="I1859" s="25"/>
      <c r="J1859" s="25"/>
      <c r="K1859" s="367"/>
      <c r="L1859" s="42"/>
      <c r="M1859" s="42"/>
      <c r="N1859" s="42"/>
      <c r="O1859" s="42"/>
      <c r="P1859" s="42"/>
      <c r="Q1859" s="42"/>
      <c r="R1859" s="176"/>
      <c r="S1859" s="42"/>
      <c r="T1859" s="42"/>
      <c r="U1859" s="46"/>
      <c r="V1859" s="42"/>
      <c r="W1859" s="42"/>
      <c r="X1859" s="42"/>
      <c r="Y1859" s="42"/>
      <c r="Z1859" s="42"/>
      <c r="AA1859" s="42"/>
      <c r="AB1859" s="42"/>
      <c r="AC1859" s="42"/>
      <c r="AD1859" s="42"/>
      <c r="AE1859" s="42"/>
      <c r="AF1859" s="42"/>
    </row>
    <row r="1860">
      <c r="A1860" s="25"/>
      <c r="B1860" s="297"/>
      <c r="C1860" s="25"/>
      <c r="D1860" s="25"/>
      <c r="E1860" s="25"/>
      <c r="F1860" s="25"/>
      <c r="G1860" s="123"/>
      <c r="H1860" s="123"/>
      <c r="I1860" s="25"/>
      <c r="J1860" s="25"/>
      <c r="K1860" s="367"/>
      <c r="L1860" s="42"/>
      <c r="M1860" s="42"/>
      <c r="N1860" s="42"/>
      <c r="O1860" s="42"/>
      <c r="P1860" s="42"/>
      <c r="Q1860" s="42"/>
      <c r="R1860" s="176"/>
      <c r="S1860" s="42"/>
      <c r="T1860" s="42"/>
      <c r="U1860" s="46"/>
      <c r="V1860" s="42"/>
      <c r="W1860" s="42"/>
      <c r="X1860" s="42"/>
      <c r="Y1860" s="42"/>
      <c r="Z1860" s="42"/>
      <c r="AA1860" s="42"/>
      <c r="AB1860" s="42"/>
      <c r="AC1860" s="42"/>
      <c r="AD1860" s="42"/>
      <c r="AE1860" s="42"/>
      <c r="AF1860" s="42"/>
    </row>
    <row r="1861">
      <c r="A1861" s="25"/>
      <c r="B1861" s="297"/>
      <c r="C1861" s="25"/>
      <c r="D1861" s="25"/>
      <c r="E1861" s="25"/>
      <c r="F1861" s="25"/>
      <c r="G1861" s="123"/>
      <c r="H1861" s="123"/>
      <c r="I1861" s="25"/>
      <c r="J1861" s="25"/>
      <c r="K1861" s="367"/>
      <c r="L1861" s="42"/>
      <c r="M1861" s="42"/>
      <c r="N1861" s="42"/>
      <c r="O1861" s="42"/>
      <c r="P1861" s="42"/>
      <c r="Q1861" s="42"/>
      <c r="R1861" s="176"/>
      <c r="S1861" s="42"/>
      <c r="T1861" s="42"/>
      <c r="U1861" s="46"/>
      <c r="V1861" s="42"/>
      <c r="W1861" s="42"/>
      <c r="X1861" s="42"/>
      <c r="Y1861" s="42"/>
      <c r="Z1861" s="42"/>
      <c r="AA1861" s="42"/>
      <c r="AB1861" s="42"/>
      <c r="AC1861" s="42"/>
      <c r="AD1861" s="42"/>
      <c r="AE1861" s="42"/>
      <c r="AF1861" s="42"/>
    </row>
    <row r="1862">
      <c r="A1862" s="25"/>
      <c r="B1862" s="297"/>
      <c r="C1862" s="25"/>
      <c r="D1862" s="25"/>
      <c r="E1862" s="25"/>
      <c r="F1862" s="25"/>
      <c r="G1862" s="123"/>
      <c r="H1862" s="123"/>
      <c r="I1862" s="25"/>
      <c r="J1862" s="25"/>
      <c r="K1862" s="367"/>
      <c r="L1862" s="42"/>
      <c r="M1862" s="42"/>
      <c r="N1862" s="42"/>
      <c r="O1862" s="42"/>
      <c r="P1862" s="42"/>
      <c r="Q1862" s="42"/>
      <c r="R1862" s="176"/>
      <c r="S1862" s="42"/>
      <c r="T1862" s="42"/>
      <c r="U1862" s="46"/>
      <c r="V1862" s="42"/>
      <c r="W1862" s="42"/>
      <c r="X1862" s="42"/>
      <c r="Y1862" s="42"/>
      <c r="Z1862" s="42"/>
      <c r="AA1862" s="42"/>
      <c r="AB1862" s="42"/>
      <c r="AC1862" s="42"/>
      <c r="AD1862" s="42"/>
      <c r="AE1862" s="42"/>
      <c r="AF1862" s="42"/>
    </row>
    <row r="1863">
      <c r="A1863" s="25"/>
      <c r="B1863" s="297"/>
      <c r="C1863" s="25"/>
      <c r="D1863" s="25"/>
      <c r="E1863" s="25"/>
      <c r="F1863" s="25"/>
      <c r="G1863" s="123"/>
      <c r="H1863" s="123"/>
      <c r="I1863" s="25"/>
      <c r="J1863" s="25"/>
      <c r="K1863" s="367"/>
      <c r="L1863" s="42"/>
      <c r="M1863" s="42"/>
      <c r="N1863" s="42"/>
      <c r="O1863" s="42"/>
      <c r="P1863" s="42"/>
      <c r="Q1863" s="42"/>
      <c r="R1863" s="176"/>
      <c r="S1863" s="42"/>
      <c r="T1863" s="42"/>
      <c r="U1863" s="46"/>
      <c r="V1863" s="42"/>
      <c r="W1863" s="42"/>
      <c r="X1863" s="42"/>
      <c r="Y1863" s="42"/>
      <c r="Z1863" s="42"/>
      <c r="AA1863" s="42"/>
      <c r="AB1863" s="42"/>
      <c r="AC1863" s="42"/>
      <c r="AD1863" s="42"/>
      <c r="AE1863" s="42"/>
      <c r="AF1863" s="42"/>
    </row>
    <row r="1864">
      <c r="A1864" s="25"/>
      <c r="B1864" s="297"/>
      <c r="C1864" s="25"/>
      <c r="D1864" s="25"/>
      <c r="E1864" s="25"/>
      <c r="F1864" s="25"/>
      <c r="G1864" s="123"/>
      <c r="H1864" s="123"/>
      <c r="I1864" s="25"/>
      <c r="J1864" s="25"/>
      <c r="K1864" s="367"/>
      <c r="L1864" s="42"/>
      <c r="M1864" s="42"/>
      <c r="N1864" s="42"/>
      <c r="O1864" s="42"/>
      <c r="P1864" s="42"/>
      <c r="Q1864" s="42"/>
      <c r="R1864" s="176"/>
      <c r="S1864" s="42"/>
      <c r="T1864" s="42"/>
      <c r="U1864" s="46"/>
      <c r="V1864" s="42"/>
      <c r="W1864" s="42"/>
      <c r="X1864" s="42"/>
      <c r="Y1864" s="42"/>
      <c r="Z1864" s="42"/>
      <c r="AA1864" s="42"/>
      <c r="AB1864" s="42"/>
      <c r="AC1864" s="42"/>
      <c r="AD1864" s="42"/>
      <c r="AE1864" s="42"/>
      <c r="AF1864" s="42"/>
    </row>
    <row r="1865">
      <c r="A1865" s="25"/>
      <c r="B1865" s="297"/>
      <c r="C1865" s="25"/>
      <c r="D1865" s="25"/>
      <c r="E1865" s="25"/>
      <c r="F1865" s="25"/>
      <c r="G1865" s="123"/>
      <c r="H1865" s="123"/>
      <c r="I1865" s="25"/>
      <c r="J1865" s="25"/>
      <c r="K1865" s="367"/>
      <c r="L1865" s="42"/>
      <c r="M1865" s="42"/>
      <c r="N1865" s="42"/>
      <c r="O1865" s="42"/>
      <c r="P1865" s="42"/>
      <c r="Q1865" s="42"/>
      <c r="R1865" s="176"/>
      <c r="S1865" s="42"/>
      <c r="T1865" s="42"/>
      <c r="U1865" s="46"/>
      <c r="V1865" s="42"/>
      <c r="W1865" s="42"/>
      <c r="X1865" s="42"/>
      <c r="Y1865" s="42"/>
      <c r="Z1865" s="42"/>
      <c r="AA1865" s="42"/>
      <c r="AB1865" s="42"/>
      <c r="AC1865" s="42"/>
      <c r="AD1865" s="42"/>
      <c r="AE1865" s="42"/>
      <c r="AF1865" s="42"/>
    </row>
    <row r="1866">
      <c r="A1866" s="25"/>
      <c r="B1866" s="297"/>
      <c r="C1866" s="25"/>
      <c r="D1866" s="25"/>
      <c r="E1866" s="25"/>
      <c r="F1866" s="25"/>
      <c r="G1866" s="123"/>
      <c r="H1866" s="123"/>
      <c r="I1866" s="25"/>
      <c r="J1866" s="25"/>
      <c r="K1866" s="367"/>
      <c r="L1866" s="42"/>
      <c r="M1866" s="42"/>
      <c r="N1866" s="42"/>
      <c r="O1866" s="42"/>
      <c r="P1866" s="42"/>
      <c r="Q1866" s="42"/>
      <c r="R1866" s="176"/>
      <c r="S1866" s="42"/>
      <c r="T1866" s="42"/>
      <c r="U1866" s="46"/>
      <c r="V1866" s="42"/>
      <c r="W1866" s="42"/>
      <c r="X1866" s="42"/>
      <c r="Y1866" s="42"/>
      <c r="Z1866" s="42"/>
      <c r="AA1866" s="42"/>
      <c r="AB1866" s="42"/>
      <c r="AC1866" s="42"/>
      <c r="AD1866" s="42"/>
      <c r="AE1866" s="42"/>
      <c r="AF1866" s="42"/>
    </row>
    <row r="1867">
      <c r="A1867" s="25"/>
      <c r="B1867" s="297"/>
      <c r="C1867" s="25"/>
      <c r="D1867" s="25"/>
      <c r="E1867" s="25"/>
      <c r="F1867" s="25"/>
      <c r="G1867" s="123"/>
      <c r="H1867" s="123"/>
      <c r="I1867" s="25"/>
      <c r="J1867" s="25"/>
      <c r="K1867" s="367"/>
      <c r="L1867" s="42"/>
      <c r="M1867" s="42"/>
      <c r="N1867" s="42"/>
      <c r="O1867" s="42"/>
      <c r="P1867" s="42"/>
      <c r="Q1867" s="42"/>
      <c r="R1867" s="176"/>
      <c r="S1867" s="42"/>
      <c r="T1867" s="42"/>
      <c r="U1867" s="46"/>
      <c r="V1867" s="42"/>
      <c r="W1867" s="42"/>
      <c r="X1867" s="42"/>
      <c r="Y1867" s="42"/>
      <c r="Z1867" s="42"/>
      <c r="AA1867" s="42"/>
      <c r="AB1867" s="42"/>
      <c r="AC1867" s="42"/>
      <c r="AD1867" s="42"/>
      <c r="AE1867" s="42"/>
      <c r="AF1867" s="42"/>
    </row>
    <row r="1868">
      <c r="A1868" s="25"/>
      <c r="B1868" s="297"/>
      <c r="C1868" s="25"/>
      <c r="D1868" s="25"/>
      <c r="E1868" s="25"/>
      <c r="F1868" s="25"/>
      <c r="G1868" s="123"/>
      <c r="H1868" s="123"/>
      <c r="I1868" s="25"/>
      <c r="J1868" s="25"/>
      <c r="K1868" s="367"/>
      <c r="L1868" s="42"/>
      <c r="M1868" s="42"/>
      <c r="N1868" s="42"/>
      <c r="O1868" s="42"/>
      <c r="P1868" s="42"/>
      <c r="Q1868" s="42"/>
      <c r="R1868" s="176"/>
      <c r="S1868" s="42"/>
      <c r="T1868" s="42"/>
      <c r="U1868" s="46"/>
      <c r="V1868" s="42"/>
      <c r="W1868" s="42"/>
      <c r="X1868" s="42"/>
      <c r="Y1868" s="42"/>
      <c r="Z1868" s="42"/>
      <c r="AA1868" s="42"/>
      <c r="AB1868" s="42"/>
      <c r="AC1868" s="42"/>
      <c r="AD1868" s="42"/>
      <c r="AE1868" s="42"/>
      <c r="AF1868" s="42"/>
    </row>
    <row r="1869">
      <c r="A1869" s="25"/>
      <c r="B1869" s="297"/>
      <c r="C1869" s="25"/>
      <c r="D1869" s="25"/>
      <c r="E1869" s="25"/>
      <c r="F1869" s="25"/>
      <c r="G1869" s="123"/>
      <c r="H1869" s="123"/>
      <c r="I1869" s="25"/>
      <c r="J1869" s="25"/>
      <c r="K1869" s="367"/>
      <c r="L1869" s="42"/>
      <c r="M1869" s="42"/>
      <c r="N1869" s="42"/>
      <c r="O1869" s="42"/>
      <c r="P1869" s="42"/>
      <c r="Q1869" s="42"/>
      <c r="R1869" s="176"/>
      <c r="S1869" s="42"/>
      <c r="T1869" s="42"/>
      <c r="U1869" s="46"/>
      <c r="V1869" s="42"/>
      <c r="W1869" s="42"/>
      <c r="X1869" s="42"/>
      <c r="Y1869" s="42"/>
      <c r="Z1869" s="42"/>
      <c r="AA1869" s="42"/>
      <c r="AB1869" s="42"/>
      <c r="AC1869" s="42"/>
      <c r="AD1869" s="42"/>
      <c r="AE1869" s="42"/>
      <c r="AF1869" s="42"/>
    </row>
    <row r="1870">
      <c r="A1870" s="25"/>
      <c r="B1870" s="297"/>
      <c r="C1870" s="25"/>
      <c r="D1870" s="25"/>
      <c r="E1870" s="25"/>
      <c r="F1870" s="25"/>
      <c r="G1870" s="123"/>
      <c r="H1870" s="123"/>
      <c r="I1870" s="25"/>
      <c r="J1870" s="25"/>
      <c r="K1870" s="367"/>
      <c r="L1870" s="42"/>
      <c r="M1870" s="42"/>
      <c r="N1870" s="42"/>
      <c r="O1870" s="42"/>
      <c r="P1870" s="42"/>
      <c r="Q1870" s="42"/>
      <c r="R1870" s="176"/>
      <c r="S1870" s="42"/>
      <c r="T1870" s="42"/>
      <c r="U1870" s="46"/>
      <c r="V1870" s="42"/>
      <c r="W1870" s="42"/>
      <c r="X1870" s="42"/>
      <c r="Y1870" s="42"/>
      <c r="Z1870" s="42"/>
      <c r="AA1870" s="42"/>
      <c r="AB1870" s="42"/>
      <c r="AC1870" s="42"/>
      <c r="AD1870" s="42"/>
      <c r="AE1870" s="42"/>
      <c r="AF1870" s="42"/>
    </row>
    <row r="1871">
      <c r="A1871" s="25"/>
      <c r="B1871" s="297"/>
      <c r="C1871" s="25"/>
      <c r="D1871" s="25"/>
      <c r="E1871" s="25"/>
      <c r="F1871" s="25"/>
      <c r="G1871" s="123"/>
      <c r="H1871" s="123"/>
      <c r="I1871" s="25"/>
      <c r="J1871" s="25"/>
      <c r="K1871" s="367"/>
      <c r="L1871" s="42"/>
      <c r="M1871" s="42"/>
      <c r="N1871" s="42"/>
      <c r="O1871" s="42"/>
      <c r="P1871" s="42"/>
      <c r="Q1871" s="42"/>
      <c r="R1871" s="176"/>
      <c r="S1871" s="42"/>
      <c r="T1871" s="42"/>
      <c r="U1871" s="46"/>
      <c r="V1871" s="42"/>
      <c r="W1871" s="42"/>
      <c r="X1871" s="42"/>
      <c r="Y1871" s="42"/>
      <c r="Z1871" s="42"/>
      <c r="AA1871" s="42"/>
      <c r="AB1871" s="42"/>
      <c r="AC1871" s="42"/>
      <c r="AD1871" s="42"/>
      <c r="AE1871" s="42"/>
      <c r="AF1871" s="42"/>
    </row>
    <row r="1872">
      <c r="A1872" s="25"/>
      <c r="B1872" s="297"/>
      <c r="C1872" s="25"/>
      <c r="D1872" s="25"/>
      <c r="E1872" s="25"/>
      <c r="F1872" s="25"/>
      <c r="G1872" s="123"/>
      <c r="H1872" s="123"/>
      <c r="I1872" s="25"/>
      <c r="J1872" s="25"/>
      <c r="K1872" s="367"/>
      <c r="L1872" s="42"/>
      <c r="M1872" s="42"/>
      <c r="N1872" s="42"/>
      <c r="O1872" s="42"/>
      <c r="P1872" s="42"/>
      <c r="Q1872" s="42"/>
      <c r="R1872" s="176"/>
      <c r="S1872" s="42"/>
      <c r="T1872" s="42"/>
      <c r="U1872" s="46"/>
      <c r="V1872" s="42"/>
      <c r="W1872" s="42"/>
      <c r="X1872" s="42"/>
      <c r="Y1872" s="42"/>
      <c r="Z1872" s="42"/>
      <c r="AA1872" s="42"/>
      <c r="AB1872" s="42"/>
      <c r="AC1872" s="42"/>
      <c r="AD1872" s="42"/>
      <c r="AE1872" s="42"/>
      <c r="AF1872" s="42"/>
    </row>
    <row r="1873">
      <c r="A1873" s="25"/>
      <c r="B1873" s="297"/>
      <c r="C1873" s="25"/>
      <c r="D1873" s="25"/>
      <c r="E1873" s="25"/>
      <c r="F1873" s="25"/>
      <c r="G1873" s="123"/>
      <c r="H1873" s="123"/>
      <c r="I1873" s="25"/>
      <c r="J1873" s="25"/>
      <c r="K1873" s="367"/>
      <c r="L1873" s="42"/>
      <c r="M1873" s="42"/>
      <c r="N1873" s="42"/>
      <c r="O1873" s="42"/>
      <c r="P1873" s="42"/>
      <c r="Q1873" s="42"/>
      <c r="R1873" s="176"/>
      <c r="S1873" s="42"/>
      <c r="T1873" s="42"/>
      <c r="U1873" s="46"/>
      <c r="V1873" s="42"/>
      <c r="W1873" s="42"/>
      <c r="X1873" s="42"/>
      <c r="Y1873" s="42"/>
      <c r="Z1873" s="42"/>
      <c r="AA1873" s="42"/>
      <c r="AB1873" s="42"/>
      <c r="AC1873" s="42"/>
      <c r="AD1873" s="42"/>
      <c r="AE1873" s="42"/>
      <c r="AF1873" s="42"/>
    </row>
    <row r="1874">
      <c r="A1874" s="25"/>
      <c r="B1874" s="297"/>
      <c r="C1874" s="25"/>
      <c r="D1874" s="25"/>
      <c r="E1874" s="25"/>
      <c r="F1874" s="25"/>
      <c r="G1874" s="123"/>
      <c r="H1874" s="123"/>
      <c r="I1874" s="25"/>
      <c r="J1874" s="25"/>
      <c r="K1874" s="367"/>
      <c r="L1874" s="42"/>
      <c r="M1874" s="42"/>
      <c r="N1874" s="42"/>
      <c r="O1874" s="42"/>
      <c r="P1874" s="42"/>
      <c r="Q1874" s="42"/>
      <c r="R1874" s="176"/>
      <c r="S1874" s="42"/>
      <c r="T1874" s="42"/>
      <c r="U1874" s="46"/>
      <c r="V1874" s="42"/>
      <c r="W1874" s="42"/>
      <c r="X1874" s="42"/>
      <c r="Y1874" s="42"/>
      <c r="Z1874" s="42"/>
      <c r="AA1874" s="42"/>
      <c r="AB1874" s="42"/>
      <c r="AC1874" s="42"/>
      <c r="AD1874" s="42"/>
      <c r="AE1874" s="42"/>
      <c r="AF1874" s="42"/>
    </row>
    <row r="1875">
      <c r="A1875" s="25"/>
      <c r="B1875" s="297"/>
      <c r="C1875" s="25"/>
      <c r="D1875" s="25"/>
      <c r="E1875" s="25"/>
      <c r="F1875" s="25"/>
      <c r="G1875" s="123"/>
      <c r="H1875" s="123"/>
      <c r="I1875" s="25"/>
      <c r="J1875" s="25"/>
      <c r="K1875" s="367"/>
      <c r="L1875" s="42"/>
      <c r="M1875" s="42"/>
      <c r="N1875" s="42"/>
      <c r="O1875" s="42"/>
      <c r="P1875" s="42"/>
      <c r="Q1875" s="42"/>
      <c r="R1875" s="176"/>
      <c r="S1875" s="42"/>
      <c r="T1875" s="42"/>
      <c r="U1875" s="46"/>
      <c r="V1875" s="42"/>
      <c r="W1875" s="42"/>
      <c r="X1875" s="42"/>
      <c r="Y1875" s="42"/>
      <c r="Z1875" s="42"/>
      <c r="AA1875" s="42"/>
      <c r="AB1875" s="42"/>
      <c r="AC1875" s="42"/>
      <c r="AD1875" s="42"/>
      <c r="AE1875" s="42"/>
      <c r="AF1875" s="42"/>
    </row>
    <row r="1876">
      <c r="A1876" s="25"/>
      <c r="B1876" s="297"/>
      <c r="C1876" s="25"/>
      <c r="D1876" s="25"/>
      <c r="E1876" s="25"/>
      <c r="F1876" s="25"/>
      <c r="G1876" s="123"/>
      <c r="H1876" s="123"/>
      <c r="I1876" s="25"/>
      <c r="J1876" s="25"/>
      <c r="K1876" s="367"/>
      <c r="L1876" s="42"/>
      <c r="M1876" s="42"/>
      <c r="N1876" s="42"/>
      <c r="O1876" s="42"/>
      <c r="P1876" s="42"/>
      <c r="Q1876" s="42"/>
      <c r="R1876" s="176"/>
      <c r="S1876" s="42"/>
      <c r="T1876" s="42"/>
      <c r="U1876" s="46"/>
      <c r="V1876" s="42"/>
      <c r="W1876" s="42"/>
      <c r="X1876" s="42"/>
      <c r="Y1876" s="42"/>
      <c r="Z1876" s="42"/>
      <c r="AA1876" s="42"/>
      <c r="AB1876" s="42"/>
      <c r="AC1876" s="42"/>
      <c r="AD1876" s="42"/>
      <c r="AE1876" s="42"/>
      <c r="AF1876" s="42"/>
    </row>
    <row r="1877">
      <c r="A1877" s="25"/>
      <c r="B1877" s="297"/>
      <c r="C1877" s="25"/>
      <c r="D1877" s="25"/>
      <c r="E1877" s="25"/>
      <c r="F1877" s="25"/>
      <c r="G1877" s="123"/>
      <c r="H1877" s="123"/>
      <c r="I1877" s="25"/>
      <c r="J1877" s="25"/>
      <c r="K1877" s="367"/>
      <c r="L1877" s="42"/>
      <c r="M1877" s="42"/>
      <c r="N1877" s="42"/>
      <c r="O1877" s="42"/>
      <c r="P1877" s="42"/>
      <c r="Q1877" s="42"/>
      <c r="R1877" s="176"/>
      <c r="S1877" s="42"/>
      <c r="T1877" s="42"/>
      <c r="U1877" s="46"/>
      <c r="V1877" s="42"/>
      <c r="W1877" s="42"/>
      <c r="X1877" s="42"/>
      <c r="Y1877" s="42"/>
      <c r="Z1877" s="42"/>
      <c r="AA1877" s="42"/>
      <c r="AB1877" s="42"/>
      <c r="AC1877" s="42"/>
      <c r="AD1877" s="42"/>
      <c r="AE1877" s="42"/>
      <c r="AF1877" s="42"/>
    </row>
    <row r="1878">
      <c r="A1878" s="25"/>
      <c r="B1878" s="297"/>
      <c r="C1878" s="25"/>
      <c r="D1878" s="25"/>
      <c r="E1878" s="25"/>
      <c r="F1878" s="25"/>
      <c r="G1878" s="123"/>
      <c r="H1878" s="123"/>
      <c r="I1878" s="25"/>
      <c r="J1878" s="25"/>
      <c r="K1878" s="367"/>
      <c r="L1878" s="42"/>
      <c r="M1878" s="42"/>
      <c r="N1878" s="42"/>
      <c r="O1878" s="42"/>
      <c r="P1878" s="42"/>
      <c r="Q1878" s="42"/>
      <c r="R1878" s="176"/>
      <c r="S1878" s="42"/>
      <c r="T1878" s="42"/>
      <c r="U1878" s="46"/>
      <c r="V1878" s="42"/>
      <c r="W1878" s="42"/>
      <c r="X1878" s="42"/>
      <c r="Y1878" s="42"/>
      <c r="Z1878" s="42"/>
      <c r="AA1878" s="42"/>
      <c r="AB1878" s="42"/>
      <c r="AC1878" s="42"/>
      <c r="AD1878" s="42"/>
      <c r="AE1878" s="42"/>
      <c r="AF1878" s="42"/>
    </row>
    <row r="1879">
      <c r="A1879" s="25"/>
      <c r="B1879" s="297"/>
      <c r="C1879" s="25"/>
      <c r="D1879" s="25"/>
      <c r="E1879" s="25"/>
      <c r="F1879" s="25"/>
      <c r="G1879" s="123"/>
      <c r="H1879" s="123"/>
      <c r="I1879" s="25"/>
      <c r="J1879" s="25"/>
      <c r="K1879" s="367"/>
      <c r="L1879" s="42"/>
      <c r="M1879" s="42"/>
      <c r="N1879" s="42"/>
      <c r="O1879" s="42"/>
      <c r="P1879" s="42"/>
      <c r="Q1879" s="42"/>
      <c r="R1879" s="176"/>
      <c r="S1879" s="42"/>
      <c r="T1879" s="42"/>
      <c r="U1879" s="46"/>
      <c r="V1879" s="42"/>
      <c r="W1879" s="42"/>
      <c r="X1879" s="42"/>
      <c r="Y1879" s="42"/>
      <c r="Z1879" s="42"/>
      <c r="AA1879" s="42"/>
      <c r="AB1879" s="42"/>
      <c r="AC1879" s="42"/>
      <c r="AD1879" s="42"/>
      <c r="AE1879" s="42"/>
      <c r="AF1879" s="42"/>
    </row>
    <row r="1880">
      <c r="A1880" s="25"/>
      <c r="B1880" s="297"/>
      <c r="C1880" s="25"/>
      <c r="D1880" s="25"/>
      <c r="E1880" s="25"/>
      <c r="F1880" s="25"/>
      <c r="G1880" s="123"/>
      <c r="H1880" s="123"/>
      <c r="I1880" s="25"/>
      <c r="J1880" s="25"/>
      <c r="K1880" s="367"/>
      <c r="L1880" s="42"/>
      <c r="M1880" s="42"/>
      <c r="N1880" s="42"/>
      <c r="O1880" s="42"/>
      <c r="P1880" s="42"/>
      <c r="Q1880" s="42"/>
      <c r="R1880" s="176"/>
      <c r="S1880" s="42"/>
      <c r="T1880" s="42"/>
      <c r="U1880" s="46"/>
      <c r="V1880" s="42"/>
      <c r="W1880" s="42"/>
      <c r="X1880" s="42"/>
      <c r="Y1880" s="42"/>
      <c r="Z1880" s="42"/>
      <c r="AA1880" s="42"/>
      <c r="AB1880" s="42"/>
      <c r="AC1880" s="42"/>
      <c r="AD1880" s="42"/>
      <c r="AE1880" s="42"/>
      <c r="AF1880" s="42"/>
    </row>
    <row r="1881">
      <c r="A1881" s="25"/>
      <c r="B1881" s="297"/>
      <c r="C1881" s="25"/>
      <c r="D1881" s="25"/>
      <c r="E1881" s="25"/>
      <c r="F1881" s="25"/>
      <c r="G1881" s="123"/>
      <c r="H1881" s="123"/>
      <c r="I1881" s="25"/>
      <c r="J1881" s="25"/>
      <c r="K1881" s="367"/>
      <c r="L1881" s="42"/>
      <c r="M1881" s="42"/>
      <c r="N1881" s="42"/>
      <c r="O1881" s="42"/>
      <c r="P1881" s="42"/>
      <c r="Q1881" s="42"/>
      <c r="R1881" s="176"/>
      <c r="S1881" s="42"/>
      <c r="T1881" s="42"/>
      <c r="U1881" s="46"/>
      <c r="V1881" s="42"/>
      <c r="W1881" s="42"/>
      <c r="X1881" s="42"/>
      <c r="Y1881" s="42"/>
      <c r="Z1881" s="42"/>
      <c r="AA1881" s="42"/>
      <c r="AB1881" s="42"/>
      <c r="AC1881" s="42"/>
      <c r="AD1881" s="42"/>
      <c r="AE1881" s="42"/>
      <c r="AF1881" s="42"/>
    </row>
    <row r="1882">
      <c r="A1882" s="25"/>
      <c r="B1882" s="297"/>
      <c r="C1882" s="25"/>
      <c r="D1882" s="25"/>
      <c r="E1882" s="25"/>
      <c r="F1882" s="25"/>
      <c r="G1882" s="123"/>
      <c r="H1882" s="123"/>
      <c r="I1882" s="25"/>
      <c r="J1882" s="25"/>
      <c r="K1882" s="367"/>
      <c r="L1882" s="42"/>
      <c r="M1882" s="42"/>
      <c r="N1882" s="42"/>
      <c r="O1882" s="42"/>
      <c r="P1882" s="42"/>
      <c r="Q1882" s="42"/>
      <c r="R1882" s="176"/>
      <c r="S1882" s="42"/>
      <c r="T1882" s="42"/>
      <c r="U1882" s="46"/>
      <c r="V1882" s="42"/>
      <c r="W1882" s="42"/>
      <c r="X1882" s="42"/>
      <c r="Y1882" s="42"/>
      <c r="Z1882" s="42"/>
      <c r="AA1882" s="42"/>
      <c r="AB1882" s="42"/>
      <c r="AC1882" s="42"/>
      <c r="AD1882" s="42"/>
      <c r="AE1882" s="42"/>
      <c r="AF1882" s="42"/>
    </row>
    <row r="1883">
      <c r="A1883" s="25"/>
      <c r="B1883" s="297"/>
      <c r="C1883" s="25"/>
      <c r="D1883" s="25"/>
      <c r="E1883" s="25"/>
      <c r="F1883" s="25"/>
      <c r="G1883" s="123"/>
      <c r="H1883" s="123"/>
      <c r="I1883" s="25"/>
      <c r="J1883" s="25"/>
      <c r="K1883" s="367"/>
      <c r="L1883" s="42"/>
      <c r="M1883" s="42"/>
      <c r="N1883" s="42"/>
      <c r="O1883" s="42"/>
      <c r="P1883" s="42"/>
      <c r="Q1883" s="42"/>
      <c r="R1883" s="176"/>
      <c r="S1883" s="42"/>
      <c r="T1883" s="42"/>
      <c r="U1883" s="46"/>
      <c r="V1883" s="42"/>
      <c r="W1883" s="42"/>
      <c r="X1883" s="42"/>
      <c r="Y1883" s="42"/>
      <c r="Z1883" s="42"/>
      <c r="AA1883" s="42"/>
      <c r="AB1883" s="42"/>
      <c r="AC1883" s="42"/>
      <c r="AD1883" s="42"/>
      <c r="AE1883" s="42"/>
      <c r="AF1883" s="42"/>
    </row>
    <row r="1884">
      <c r="A1884" s="25"/>
      <c r="B1884" s="297"/>
      <c r="C1884" s="25"/>
      <c r="D1884" s="25"/>
      <c r="E1884" s="25"/>
      <c r="F1884" s="25"/>
      <c r="G1884" s="123"/>
      <c r="H1884" s="123"/>
      <c r="I1884" s="25"/>
      <c r="J1884" s="25"/>
      <c r="K1884" s="367"/>
      <c r="L1884" s="42"/>
      <c r="M1884" s="42"/>
      <c r="N1884" s="42"/>
      <c r="O1884" s="42"/>
      <c r="P1884" s="42"/>
      <c r="Q1884" s="42"/>
      <c r="R1884" s="176"/>
      <c r="S1884" s="42"/>
      <c r="T1884" s="42"/>
      <c r="U1884" s="46"/>
      <c r="V1884" s="42"/>
      <c r="W1884" s="42"/>
      <c r="X1884" s="42"/>
      <c r="Y1884" s="42"/>
      <c r="Z1884" s="42"/>
      <c r="AA1884" s="42"/>
      <c r="AB1884" s="42"/>
      <c r="AC1884" s="42"/>
      <c r="AD1884" s="42"/>
      <c r="AE1884" s="42"/>
      <c r="AF1884" s="42"/>
    </row>
    <row r="1885">
      <c r="A1885" s="25"/>
      <c r="B1885" s="297"/>
      <c r="C1885" s="25"/>
      <c r="D1885" s="25"/>
      <c r="E1885" s="25"/>
      <c r="F1885" s="25"/>
      <c r="G1885" s="123"/>
      <c r="H1885" s="123"/>
      <c r="I1885" s="25"/>
      <c r="J1885" s="25"/>
      <c r="K1885" s="367"/>
      <c r="L1885" s="42"/>
      <c r="M1885" s="42"/>
      <c r="N1885" s="42"/>
      <c r="O1885" s="42"/>
      <c r="P1885" s="42"/>
      <c r="Q1885" s="42"/>
      <c r="R1885" s="176"/>
      <c r="S1885" s="42"/>
      <c r="T1885" s="42"/>
      <c r="U1885" s="46"/>
      <c r="V1885" s="42"/>
      <c r="W1885" s="42"/>
      <c r="X1885" s="42"/>
      <c r="Y1885" s="42"/>
      <c r="Z1885" s="42"/>
      <c r="AA1885" s="42"/>
      <c r="AB1885" s="42"/>
      <c r="AC1885" s="42"/>
      <c r="AD1885" s="42"/>
      <c r="AE1885" s="42"/>
      <c r="AF1885" s="42"/>
    </row>
    <row r="1886">
      <c r="A1886" s="25"/>
      <c r="B1886" s="297"/>
      <c r="C1886" s="25"/>
      <c r="D1886" s="25"/>
      <c r="E1886" s="25"/>
      <c r="F1886" s="25"/>
      <c r="G1886" s="123"/>
      <c r="H1886" s="123"/>
      <c r="I1886" s="25"/>
      <c r="J1886" s="25"/>
      <c r="K1886" s="367"/>
      <c r="L1886" s="42"/>
      <c r="M1886" s="42"/>
      <c r="N1886" s="42"/>
      <c r="O1886" s="42"/>
      <c r="P1886" s="42"/>
      <c r="Q1886" s="42"/>
      <c r="R1886" s="176"/>
      <c r="S1886" s="42"/>
      <c r="T1886" s="42"/>
      <c r="U1886" s="46"/>
      <c r="V1886" s="42"/>
      <c r="W1886" s="42"/>
      <c r="X1886" s="42"/>
      <c r="Y1886" s="42"/>
      <c r="Z1886" s="42"/>
      <c r="AA1886" s="42"/>
      <c r="AB1886" s="42"/>
      <c r="AC1886" s="42"/>
      <c r="AD1886" s="42"/>
      <c r="AE1886" s="42"/>
      <c r="AF1886" s="42"/>
    </row>
    <row r="1887">
      <c r="A1887" s="25"/>
      <c r="B1887" s="297"/>
      <c r="C1887" s="25"/>
      <c r="D1887" s="25"/>
      <c r="E1887" s="25"/>
      <c r="F1887" s="25"/>
      <c r="G1887" s="123"/>
      <c r="H1887" s="123"/>
      <c r="I1887" s="25"/>
      <c r="J1887" s="25"/>
      <c r="K1887" s="367"/>
      <c r="L1887" s="42"/>
      <c r="M1887" s="42"/>
      <c r="N1887" s="42"/>
      <c r="O1887" s="42"/>
      <c r="P1887" s="42"/>
      <c r="Q1887" s="42"/>
      <c r="R1887" s="176"/>
      <c r="S1887" s="42"/>
      <c r="T1887" s="42"/>
      <c r="U1887" s="46"/>
      <c r="V1887" s="42"/>
      <c r="W1887" s="42"/>
      <c r="X1887" s="42"/>
      <c r="Y1887" s="42"/>
      <c r="Z1887" s="42"/>
      <c r="AA1887" s="42"/>
      <c r="AB1887" s="42"/>
      <c r="AC1887" s="42"/>
      <c r="AD1887" s="42"/>
      <c r="AE1887" s="42"/>
      <c r="AF1887" s="42"/>
    </row>
    <row r="1888">
      <c r="A1888" s="25"/>
      <c r="B1888" s="297"/>
      <c r="C1888" s="25"/>
      <c r="D1888" s="25"/>
      <c r="E1888" s="25"/>
      <c r="F1888" s="25"/>
      <c r="G1888" s="123"/>
      <c r="H1888" s="123"/>
      <c r="I1888" s="25"/>
      <c r="J1888" s="25"/>
      <c r="K1888" s="367"/>
      <c r="L1888" s="42"/>
      <c r="M1888" s="42"/>
      <c r="N1888" s="42"/>
      <c r="O1888" s="42"/>
      <c r="P1888" s="42"/>
      <c r="Q1888" s="42"/>
      <c r="R1888" s="176"/>
      <c r="S1888" s="42"/>
      <c r="T1888" s="42"/>
      <c r="U1888" s="46"/>
      <c r="V1888" s="42"/>
      <c r="W1888" s="42"/>
      <c r="X1888" s="42"/>
      <c r="Y1888" s="42"/>
      <c r="Z1888" s="42"/>
      <c r="AA1888" s="42"/>
      <c r="AB1888" s="42"/>
      <c r="AC1888" s="42"/>
      <c r="AD1888" s="42"/>
      <c r="AE1888" s="42"/>
      <c r="AF1888" s="42"/>
    </row>
    <row r="1889">
      <c r="A1889" s="25"/>
      <c r="B1889" s="297"/>
      <c r="C1889" s="25"/>
      <c r="D1889" s="25"/>
      <c r="E1889" s="25"/>
      <c r="F1889" s="25"/>
      <c r="G1889" s="123"/>
      <c r="H1889" s="123"/>
      <c r="I1889" s="25"/>
      <c r="J1889" s="25"/>
      <c r="K1889" s="367"/>
      <c r="L1889" s="42"/>
      <c r="M1889" s="42"/>
      <c r="N1889" s="42"/>
      <c r="O1889" s="42"/>
      <c r="P1889" s="42"/>
      <c r="Q1889" s="42"/>
      <c r="R1889" s="176"/>
      <c r="S1889" s="42"/>
      <c r="T1889" s="42"/>
      <c r="U1889" s="46"/>
      <c r="V1889" s="42"/>
      <c r="W1889" s="42"/>
      <c r="X1889" s="42"/>
      <c r="Y1889" s="42"/>
      <c r="Z1889" s="42"/>
      <c r="AA1889" s="42"/>
      <c r="AB1889" s="42"/>
      <c r="AC1889" s="42"/>
      <c r="AD1889" s="42"/>
      <c r="AE1889" s="42"/>
      <c r="AF1889" s="42"/>
    </row>
    <row r="1890">
      <c r="A1890" s="25"/>
      <c r="B1890" s="297"/>
      <c r="C1890" s="25"/>
      <c r="D1890" s="25"/>
      <c r="E1890" s="25"/>
      <c r="F1890" s="25"/>
      <c r="G1890" s="123"/>
      <c r="H1890" s="123"/>
      <c r="I1890" s="25"/>
      <c r="J1890" s="25"/>
      <c r="K1890" s="367"/>
      <c r="L1890" s="42"/>
      <c r="M1890" s="42"/>
      <c r="N1890" s="42"/>
      <c r="O1890" s="42"/>
      <c r="P1890" s="42"/>
      <c r="Q1890" s="42"/>
      <c r="R1890" s="176"/>
      <c r="S1890" s="42"/>
      <c r="T1890" s="42"/>
      <c r="U1890" s="46"/>
      <c r="V1890" s="42"/>
      <c r="W1890" s="42"/>
      <c r="X1890" s="42"/>
      <c r="Y1890" s="42"/>
      <c r="Z1890" s="42"/>
      <c r="AA1890" s="42"/>
      <c r="AB1890" s="42"/>
      <c r="AC1890" s="42"/>
      <c r="AD1890" s="42"/>
      <c r="AE1890" s="42"/>
      <c r="AF1890" s="42"/>
    </row>
    <row r="1891">
      <c r="A1891" s="25"/>
      <c r="B1891" s="297"/>
      <c r="C1891" s="25"/>
      <c r="D1891" s="25"/>
      <c r="E1891" s="25"/>
      <c r="F1891" s="25"/>
      <c r="G1891" s="123"/>
      <c r="H1891" s="123"/>
      <c r="I1891" s="25"/>
      <c r="J1891" s="25"/>
      <c r="K1891" s="367"/>
      <c r="L1891" s="42"/>
      <c r="M1891" s="42"/>
      <c r="N1891" s="42"/>
      <c r="O1891" s="42"/>
      <c r="P1891" s="42"/>
      <c r="Q1891" s="42"/>
      <c r="R1891" s="176"/>
      <c r="S1891" s="42"/>
      <c r="T1891" s="42"/>
      <c r="U1891" s="46"/>
      <c r="V1891" s="42"/>
      <c r="W1891" s="42"/>
      <c r="X1891" s="42"/>
      <c r="Y1891" s="42"/>
      <c r="Z1891" s="42"/>
      <c r="AA1891" s="42"/>
      <c r="AB1891" s="42"/>
      <c r="AC1891" s="42"/>
      <c r="AD1891" s="42"/>
      <c r="AE1891" s="42"/>
      <c r="AF1891" s="42"/>
    </row>
    <row r="1892">
      <c r="A1892" s="25"/>
      <c r="B1892" s="297"/>
      <c r="C1892" s="25"/>
      <c r="D1892" s="25"/>
      <c r="E1892" s="25"/>
      <c r="F1892" s="25"/>
      <c r="G1892" s="123"/>
      <c r="H1892" s="123"/>
      <c r="I1892" s="25"/>
      <c r="J1892" s="25"/>
      <c r="K1892" s="367"/>
      <c r="L1892" s="42"/>
      <c r="M1892" s="42"/>
      <c r="N1892" s="42"/>
      <c r="O1892" s="42"/>
      <c r="P1892" s="42"/>
      <c r="Q1892" s="42"/>
      <c r="R1892" s="176"/>
      <c r="S1892" s="42"/>
      <c r="T1892" s="42"/>
      <c r="U1892" s="46"/>
      <c r="V1892" s="42"/>
      <c r="W1892" s="42"/>
      <c r="X1892" s="42"/>
      <c r="Y1892" s="42"/>
      <c r="Z1892" s="42"/>
      <c r="AA1892" s="42"/>
      <c r="AB1892" s="42"/>
      <c r="AC1892" s="42"/>
      <c r="AD1892" s="42"/>
      <c r="AE1892" s="42"/>
      <c r="AF1892" s="42"/>
    </row>
    <row r="1893">
      <c r="A1893" s="25"/>
      <c r="B1893" s="297"/>
      <c r="C1893" s="25"/>
      <c r="D1893" s="25"/>
      <c r="E1893" s="25"/>
      <c r="F1893" s="25"/>
      <c r="G1893" s="123"/>
      <c r="H1893" s="123"/>
      <c r="I1893" s="25"/>
      <c r="J1893" s="25"/>
      <c r="K1893" s="367"/>
      <c r="L1893" s="42"/>
      <c r="M1893" s="42"/>
      <c r="N1893" s="42"/>
      <c r="O1893" s="42"/>
      <c r="P1893" s="42"/>
      <c r="Q1893" s="42"/>
      <c r="R1893" s="176"/>
      <c r="S1893" s="42"/>
      <c r="T1893" s="42"/>
      <c r="U1893" s="46"/>
      <c r="V1893" s="42"/>
      <c r="W1893" s="42"/>
      <c r="X1893" s="42"/>
      <c r="Y1893" s="42"/>
      <c r="Z1893" s="42"/>
      <c r="AA1893" s="42"/>
      <c r="AB1893" s="42"/>
      <c r="AC1893" s="42"/>
      <c r="AD1893" s="42"/>
      <c r="AE1893" s="42"/>
      <c r="AF1893" s="42"/>
    </row>
    <row r="1894">
      <c r="A1894" s="25"/>
      <c r="B1894" s="297"/>
      <c r="C1894" s="25"/>
      <c r="D1894" s="25"/>
      <c r="E1894" s="25"/>
      <c r="F1894" s="25"/>
      <c r="G1894" s="123"/>
      <c r="H1894" s="123"/>
      <c r="I1894" s="25"/>
      <c r="J1894" s="25"/>
      <c r="K1894" s="367"/>
      <c r="L1894" s="42"/>
      <c r="M1894" s="42"/>
      <c r="N1894" s="42"/>
      <c r="O1894" s="42"/>
      <c r="P1894" s="42"/>
      <c r="Q1894" s="42"/>
      <c r="R1894" s="176"/>
      <c r="S1894" s="42"/>
      <c r="T1894" s="42"/>
      <c r="U1894" s="46"/>
      <c r="V1894" s="42"/>
      <c r="W1894" s="42"/>
      <c r="X1894" s="42"/>
      <c r="Y1894" s="42"/>
      <c r="Z1894" s="42"/>
      <c r="AA1894" s="42"/>
      <c r="AB1894" s="42"/>
      <c r="AC1894" s="42"/>
      <c r="AD1894" s="42"/>
      <c r="AE1894" s="42"/>
      <c r="AF1894" s="42"/>
    </row>
    <row r="1895">
      <c r="A1895" s="25"/>
      <c r="B1895" s="297"/>
      <c r="C1895" s="25"/>
      <c r="D1895" s="25"/>
      <c r="E1895" s="25"/>
      <c r="F1895" s="25"/>
      <c r="G1895" s="123"/>
      <c r="H1895" s="123"/>
      <c r="I1895" s="25"/>
      <c r="J1895" s="25"/>
      <c r="K1895" s="367"/>
      <c r="L1895" s="42"/>
      <c r="M1895" s="42"/>
      <c r="N1895" s="42"/>
      <c r="O1895" s="42"/>
      <c r="P1895" s="42"/>
      <c r="Q1895" s="42"/>
      <c r="R1895" s="176"/>
      <c r="S1895" s="42"/>
      <c r="T1895" s="42"/>
      <c r="U1895" s="46"/>
      <c r="V1895" s="42"/>
      <c r="W1895" s="42"/>
      <c r="X1895" s="42"/>
      <c r="Y1895" s="42"/>
      <c r="Z1895" s="42"/>
      <c r="AA1895" s="42"/>
      <c r="AB1895" s="42"/>
      <c r="AC1895" s="42"/>
      <c r="AD1895" s="42"/>
      <c r="AE1895" s="42"/>
      <c r="AF1895" s="42"/>
    </row>
    <row r="1896">
      <c r="A1896" s="25"/>
      <c r="B1896" s="297"/>
      <c r="C1896" s="25"/>
      <c r="D1896" s="25"/>
      <c r="E1896" s="25"/>
      <c r="F1896" s="25"/>
      <c r="G1896" s="123"/>
      <c r="H1896" s="123"/>
      <c r="I1896" s="25"/>
      <c r="J1896" s="25"/>
      <c r="K1896" s="367"/>
      <c r="L1896" s="42"/>
      <c r="M1896" s="42"/>
      <c r="N1896" s="42"/>
      <c r="O1896" s="42"/>
      <c r="P1896" s="42"/>
      <c r="Q1896" s="42"/>
      <c r="R1896" s="176"/>
      <c r="S1896" s="42"/>
      <c r="T1896" s="42"/>
      <c r="U1896" s="46"/>
      <c r="V1896" s="42"/>
      <c r="W1896" s="42"/>
      <c r="X1896" s="42"/>
      <c r="Y1896" s="42"/>
      <c r="Z1896" s="42"/>
      <c r="AA1896" s="42"/>
      <c r="AB1896" s="42"/>
      <c r="AC1896" s="42"/>
      <c r="AD1896" s="42"/>
      <c r="AE1896" s="42"/>
      <c r="AF1896" s="42"/>
    </row>
    <row r="1897">
      <c r="A1897" s="25"/>
      <c r="B1897" s="297"/>
      <c r="C1897" s="25"/>
      <c r="D1897" s="25"/>
      <c r="E1897" s="25"/>
      <c r="F1897" s="25"/>
      <c r="G1897" s="123"/>
      <c r="H1897" s="123"/>
      <c r="I1897" s="25"/>
      <c r="J1897" s="25"/>
      <c r="K1897" s="367"/>
      <c r="L1897" s="42"/>
      <c r="M1897" s="42"/>
      <c r="N1897" s="42"/>
      <c r="O1897" s="42"/>
      <c r="P1897" s="42"/>
      <c r="Q1897" s="42"/>
      <c r="R1897" s="176"/>
      <c r="S1897" s="42"/>
      <c r="T1897" s="42"/>
      <c r="U1897" s="46"/>
      <c r="V1897" s="42"/>
      <c r="W1897" s="42"/>
      <c r="X1897" s="42"/>
      <c r="Y1897" s="42"/>
      <c r="Z1897" s="42"/>
      <c r="AA1897" s="42"/>
      <c r="AB1897" s="42"/>
      <c r="AC1897" s="42"/>
      <c r="AD1897" s="42"/>
      <c r="AE1897" s="42"/>
      <c r="AF1897" s="42"/>
    </row>
    <row r="1898">
      <c r="A1898" s="25"/>
      <c r="B1898" s="297"/>
      <c r="C1898" s="25"/>
      <c r="D1898" s="25"/>
      <c r="E1898" s="25"/>
      <c r="F1898" s="25"/>
      <c r="G1898" s="123"/>
      <c r="H1898" s="123"/>
      <c r="I1898" s="25"/>
      <c r="J1898" s="25"/>
      <c r="K1898" s="367"/>
      <c r="L1898" s="42"/>
      <c r="M1898" s="42"/>
      <c r="N1898" s="42"/>
      <c r="O1898" s="42"/>
      <c r="P1898" s="42"/>
      <c r="Q1898" s="42"/>
      <c r="R1898" s="176"/>
      <c r="S1898" s="42"/>
      <c r="T1898" s="42"/>
      <c r="U1898" s="46"/>
      <c r="V1898" s="42"/>
      <c r="W1898" s="42"/>
      <c r="X1898" s="42"/>
      <c r="Y1898" s="42"/>
      <c r="Z1898" s="42"/>
      <c r="AA1898" s="42"/>
      <c r="AB1898" s="42"/>
      <c r="AC1898" s="42"/>
      <c r="AD1898" s="42"/>
      <c r="AE1898" s="42"/>
      <c r="AF1898" s="42"/>
    </row>
    <row r="1899">
      <c r="A1899" s="25"/>
      <c r="B1899" s="297"/>
      <c r="C1899" s="25"/>
      <c r="D1899" s="25"/>
      <c r="E1899" s="25"/>
      <c r="F1899" s="25"/>
      <c r="G1899" s="123"/>
      <c r="H1899" s="123"/>
      <c r="I1899" s="25"/>
      <c r="J1899" s="25"/>
      <c r="K1899" s="367"/>
      <c r="L1899" s="42"/>
      <c r="M1899" s="42"/>
      <c r="N1899" s="42"/>
      <c r="O1899" s="42"/>
      <c r="P1899" s="42"/>
      <c r="Q1899" s="42"/>
      <c r="R1899" s="176"/>
      <c r="S1899" s="42"/>
      <c r="T1899" s="42"/>
      <c r="U1899" s="46"/>
      <c r="V1899" s="42"/>
      <c r="W1899" s="42"/>
      <c r="X1899" s="42"/>
      <c r="Y1899" s="42"/>
      <c r="Z1899" s="42"/>
      <c r="AA1899" s="42"/>
      <c r="AB1899" s="42"/>
      <c r="AC1899" s="42"/>
      <c r="AD1899" s="42"/>
      <c r="AE1899" s="42"/>
      <c r="AF1899" s="42"/>
    </row>
    <row r="1900">
      <c r="A1900" s="25"/>
      <c r="B1900" s="297"/>
      <c r="C1900" s="25"/>
      <c r="D1900" s="25"/>
      <c r="E1900" s="25"/>
      <c r="F1900" s="25"/>
      <c r="G1900" s="123"/>
      <c r="H1900" s="123"/>
      <c r="I1900" s="25"/>
      <c r="J1900" s="25"/>
      <c r="K1900" s="367"/>
      <c r="L1900" s="42"/>
      <c r="M1900" s="42"/>
      <c r="N1900" s="42"/>
      <c r="O1900" s="42"/>
      <c r="P1900" s="42"/>
      <c r="Q1900" s="42"/>
      <c r="R1900" s="176"/>
      <c r="S1900" s="42"/>
      <c r="T1900" s="42"/>
      <c r="U1900" s="46"/>
      <c r="V1900" s="42"/>
      <c r="W1900" s="42"/>
      <c r="X1900" s="42"/>
      <c r="Y1900" s="42"/>
      <c r="Z1900" s="42"/>
      <c r="AA1900" s="42"/>
      <c r="AB1900" s="42"/>
      <c r="AC1900" s="42"/>
      <c r="AD1900" s="42"/>
      <c r="AE1900" s="42"/>
      <c r="AF1900" s="42"/>
    </row>
    <row r="1901">
      <c r="A1901" s="25"/>
      <c r="B1901" s="297"/>
      <c r="C1901" s="25"/>
      <c r="D1901" s="25"/>
      <c r="E1901" s="25"/>
      <c r="F1901" s="25"/>
      <c r="G1901" s="123"/>
      <c r="H1901" s="123"/>
      <c r="I1901" s="25"/>
      <c r="J1901" s="25"/>
      <c r="K1901" s="367"/>
      <c r="L1901" s="42"/>
      <c r="M1901" s="42"/>
      <c r="N1901" s="42"/>
      <c r="O1901" s="42"/>
      <c r="P1901" s="42"/>
      <c r="Q1901" s="42"/>
      <c r="R1901" s="176"/>
      <c r="S1901" s="42"/>
      <c r="T1901" s="42"/>
      <c r="U1901" s="46"/>
      <c r="V1901" s="42"/>
      <c r="W1901" s="42"/>
      <c r="X1901" s="42"/>
      <c r="Y1901" s="42"/>
      <c r="Z1901" s="42"/>
      <c r="AA1901" s="42"/>
      <c r="AB1901" s="42"/>
      <c r="AC1901" s="42"/>
      <c r="AD1901" s="42"/>
      <c r="AE1901" s="42"/>
      <c r="AF1901" s="42"/>
    </row>
    <row r="1902">
      <c r="A1902" s="25"/>
      <c r="B1902" s="297"/>
      <c r="C1902" s="25"/>
      <c r="D1902" s="25"/>
      <c r="E1902" s="25"/>
      <c r="F1902" s="25"/>
      <c r="G1902" s="123"/>
      <c r="H1902" s="123"/>
      <c r="I1902" s="25"/>
      <c r="J1902" s="25"/>
      <c r="K1902" s="367"/>
      <c r="L1902" s="42"/>
      <c r="M1902" s="42"/>
      <c r="N1902" s="42"/>
      <c r="O1902" s="42"/>
      <c r="P1902" s="42"/>
      <c r="Q1902" s="42"/>
      <c r="R1902" s="176"/>
      <c r="S1902" s="42"/>
      <c r="T1902" s="42"/>
      <c r="U1902" s="46"/>
      <c r="V1902" s="42"/>
      <c r="W1902" s="42"/>
      <c r="X1902" s="42"/>
      <c r="Y1902" s="42"/>
      <c r="Z1902" s="42"/>
      <c r="AA1902" s="42"/>
      <c r="AB1902" s="42"/>
      <c r="AC1902" s="42"/>
      <c r="AD1902" s="42"/>
      <c r="AE1902" s="42"/>
      <c r="AF1902" s="42"/>
    </row>
    <row r="1903">
      <c r="A1903" s="25"/>
      <c r="B1903" s="297"/>
      <c r="C1903" s="25"/>
      <c r="D1903" s="25"/>
      <c r="E1903" s="25"/>
      <c r="F1903" s="25"/>
      <c r="G1903" s="123"/>
      <c r="H1903" s="123"/>
      <c r="I1903" s="25"/>
      <c r="J1903" s="25"/>
      <c r="K1903" s="367"/>
      <c r="L1903" s="42"/>
      <c r="M1903" s="42"/>
      <c r="N1903" s="42"/>
      <c r="O1903" s="42"/>
      <c r="P1903" s="42"/>
      <c r="Q1903" s="42"/>
      <c r="R1903" s="176"/>
      <c r="S1903" s="42"/>
      <c r="T1903" s="42"/>
      <c r="U1903" s="46"/>
      <c r="V1903" s="42"/>
      <c r="W1903" s="42"/>
      <c r="X1903" s="42"/>
      <c r="Y1903" s="42"/>
      <c r="Z1903" s="42"/>
      <c r="AA1903" s="42"/>
      <c r="AB1903" s="42"/>
      <c r="AC1903" s="42"/>
      <c r="AD1903" s="42"/>
      <c r="AE1903" s="42"/>
      <c r="AF1903" s="42"/>
    </row>
    <row r="1904">
      <c r="A1904" s="25"/>
      <c r="B1904" s="297"/>
      <c r="C1904" s="25"/>
      <c r="D1904" s="25"/>
      <c r="E1904" s="25"/>
      <c r="F1904" s="25"/>
      <c r="G1904" s="123"/>
      <c r="H1904" s="123"/>
      <c r="I1904" s="25"/>
      <c r="J1904" s="25"/>
      <c r="K1904" s="367"/>
      <c r="L1904" s="42"/>
      <c r="M1904" s="42"/>
      <c r="N1904" s="42"/>
      <c r="O1904" s="42"/>
      <c r="P1904" s="42"/>
      <c r="Q1904" s="42"/>
      <c r="R1904" s="176"/>
      <c r="S1904" s="42"/>
      <c r="T1904" s="42"/>
      <c r="U1904" s="46"/>
      <c r="V1904" s="42"/>
      <c r="W1904" s="42"/>
      <c r="X1904" s="42"/>
      <c r="Y1904" s="42"/>
      <c r="Z1904" s="42"/>
      <c r="AA1904" s="42"/>
      <c r="AB1904" s="42"/>
      <c r="AC1904" s="42"/>
      <c r="AD1904" s="42"/>
      <c r="AE1904" s="42"/>
      <c r="AF1904" s="42"/>
    </row>
    <row r="1905">
      <c r="A1905" s="25"/>
      <c r="B1905" s="297"/>
      <c r="C1905" s="25"/>
      <c r="D1905" s="25"/>
      <c r="E1905" s="25"/>
      <c r="F1905" s="25"/>
      <c r="G1905" s="123"/>
      <c r="H1905" s="123"/>
      <c r="I1905" s="25"/>
      <c r="J1905" s="25"/>
      <c r="K1905" s="367"/>
      <c r="L1905" s="42"/>
      <c r="M1905" s="42"/>
      <c r="N1905" s="42"/>
      <c r="O1905" s="42"/>
      <c r="P1905" s="42"/>
      <c r="Q1905" s="42"/>
      <c r="R1905" s="176"/>
      <c r="S1905" s="42"/>
      <c r="T1905" s="42"/>
      <c r="U1905" s="46"/>
      <c r="V1905" s="42"/>
      <c r="W1905" s="42"/>
      <c r="X1905" s="42"/>
      <c r="Y1905" s="42"/>
      <c r="Z1905" s="42"/>
      <c r="AA1905" s="42"/>
      <c r="AB1905" s="42"/>
      <c r="AC1905" s="42"/>
      <c r="AD1905" s="42"/>
      <c r="AE1905" s="42"/>
      <c r="AF1905" s="42"/>
    </row>
    <row r="1906">
      <c r="A1906" s="25"/>
      <c r="B1906" s="297"/>
      <c r="C1906" s="25"/>
      <c r="D1906" s="25"/>
      <c r="E1906" s="25"/>
      <c r="F1906" s="25"/>
      <c r="G1906" s="123"/>
      <c r="H1906" s="123"/>
      <c r="I1906" s="25"/>
      <c r="J1906" s="25"/>
      <c r="K1906" s="367"/>
      <c r="L1906" s="42"/>
      <c r="M1906" s="42"/>
      <c r="N1906" s="42"/>
      <c r="O1906" s="42"/>
      <c r="P1906" s="42"/>
      <c r="Q1906" s="42"/>
      <c r="R1906" s="176"/>
      <c r="S1906" s="42"/>
      <c r="T1906" s="42"/>
      <c r="U1906" s="46"/>
      <c r="V1906" s="42"/>
      <c r="W1906" s="42"/>
      <c r="X1906" s="42"/>
      <c r="Y1906" s="42"/>
      <c r="Z1906" s="42"/>
      <c r="AA1906" s="42"/>
      <c r="AB1906" s="42"/>
      <c r="AC1906" s="42"/>
      <c r="AD1906" s="42"/>
      <c r="AE1906" s="42"/>
      <c r="AF1906" s="42"/>
    </row>
    <row r="1907">
      <c r="A1907" s="25"/>
      <c r="B1907" s="297"/>
      <c r="C1907" s="25"/>
      <c r="D1907" s="25"/>
      <c r="E1907" s="25"/>
      <c r="F1907" s="25"/>
      <c r="G1907" s="123"/>
      <c r="H1907" s="123"/>
      <c r="I1907" s="25"/>
      <c r="J1907" s="25"/>
      <c r="K1907" s="367"/>
      <c r="L1907" s="42"/>
      <c r="M1907" s="42"/>
      <c r="N1907" s="42"/>
      <c r="O1907" s="42"/>
      <c r="P1907" s="42"/>
      <c r="Q1907" s="42"/>
      <c r="R1907" s="176"/>
      <c r="S1907" s="42"/>
      <c r="T1907" s="42"/>
      <c r="U1907" s="46"/>
      <c r="V1907" s="42"/>
      <c r="W1907" s="42"/>
      <c r="X1907" s="42"/>
      <c r="Y1907" s="42"/>
      <c r="Z1907" s="42"/>
      <c r="AA1907" s="42"/>
      <c r="AB1907" s="42"/>
      <c r="AC1907" s="42"/>
      <c r="AD1907" s="42"/>
      <c r="AE1907" s="42"/>
      <c r="AF1907" s="42"/>
    </row>
    <row r="1908">
      <c r="A1908" s="25"/>
      <c r="B1908" s="297"/>
      <c r="C1908" s="25"/>
      <c r="D1908" s="25"/>
      <c r="E1908" s="25"/>
      <c r="F1908" s="25"/>
      <c r="G1908" s="123"/>
      <c r="H1908" s="123"/>
      <c r="I1908" s="25"/>
      <c r="J1908" s="25"/>
      <c r="K1908" s="367"/>
      <c r="L1908" s="42"/>
      <c r="M1908" s="42"/>
      <c r="N1908" s="42"/>
      <c r="O1908" s="42"/>
      <c r="P1908" s="42"/>
      <c r="Q1908" s="42"/>
      <c r="R1908" s="176"/>
      <c r="S1908" s="42"/>
      <c r="T1908" s="42"/>
      <c r="U1908" s="46"/>
      <c r="V1908" s="42"/>
      <c r="W1908" s="42"/>
      <c r="X1908" s="42"/>
      <c r="Y1908" s="42"/>
      <c r="Z1908" s="42"/>
      <c r="AA1908" s="42"/>
      <c r="AB1908" s="42"/>
      <c r="AC1908" s="42"/>
      <c r="AD1908" s="42"/>
      <c r="AE1908" s="42"/>
      <c r="AF1908" s="42"/>
    </row>
    <row r="1909">
      <c r="A1909" s="25"/>
      <c r="B1909" s="297"/>
      <c r="C1909" s="25"/>
      <c r="D1909" s="25"/>
      <c r="E1909" s="25"/>
      <c r="F1909" s="25"/>
      <c r="G1909" s="123"/>
      <c r="H1909" s="123"/>
      <c r="I1909" s="25"/>
      <c r="J1909" s="25"/>
      <c r="K1909" s="367"/>
      <c r="L1909" s="42"/>
      <c r="M1909" s="42"/>
      <c r="N1909" s="42"/>
      <c r="O1909" s="42"/>
      <c r="P1909" s="42"/>
      <c r="Q1909" s="42"/>
      <c r="R1909" s="176"/>
      <c r="S1909" s="42"/>
      <c r="T1909" s="42"/>
      <c r="U1909" s="46"/>
      <c r="V1909" s="42"/>
      <c r="W1909" s="42"/>
      <c r="X1909" s="42"/>
      <c r="Y1909" s="42"/>
      <c r="Z1909" s="42"/>
      <c r="AA1909" s="42"/>
      <c r="AB1909" s="42"/>
      <c r="AC1909" s="42"/>
      <c r="AD1909" s="42"/>
      <c r="AE1909" s="42"/>
      <c r="AF1909" s="42"/>
    </row>
    <row r="1910">
      <c r="A1910" s="25"/>
      <c r="B1910" s="297"/>
      <c r="C1910" s="25"/>
      <c r="D1910" s="25"/>
      <c r="E1910" s="25"/>
      <c r="F1910" s="25"/>
      <c r="G1910" s="123"/>
      <c r="H1910" s="123"/>
      <c r="I1910" s="25"/>
      <c r="J1910" s="25"/>
      <c r="K1910" s="367"/>
      <c r="L1910" s="42"/>
      <c r="M1910" s="42"/>
      <c r="N1910" s="42"/>
      <c r="O1910" s="42"/>
      <c r="P1910" s="42"/>
      <c r="Q1910" s="42"/>
      <c r="R1910" s="176"/>
      <c r="S1910" s="42"/>
      <c r="T1910" s="42"/>
      <c r="U1910" s="46"/>
      <c r="V1910" s="42"/>
      <c r="W1910" s="42"/>
      <c r="X1910" s="42"/>
      <c r="Y1910" s="42"/>
      <c r="Z1910" s="42"/>
      <c r="AA1910" s="42"/>
      <c r="AB1910" s="42"/>
      <c r="AC1910" s="42"/>
      <c r="AD1910" s="42"/>
      <c r="AE1910" s="42"/>
      <c r="AF1910" s="42"/>
    </row>
    <row r="1911">
      <c r="A1911" s="25"/>
      <c r="B1911" s="297"/>
      <c r="C1911" s="25"/>
      <c r="D1911" s="25"/>
      <c r="E1911" s="25"/>
      <c r="F1911" s="25"/>
      <c r="G1911" s="123"/>
      <c r="H1911" s="123"/>
      <c r="I1911" s="25"/>
      <c r="J1911" s="25"/>
      <c r="K1911" s="367"/>
      <c r="L1911" s="42"/>
      <c r="M1911" s="42"/>
      <c r="N1911" s="42"/>
      <c r="O1911" s="42"/>
      <c r="P1911" s="42"/>
      <c r="Q1911" s="42"/>
      <c r="R1911" s="176"/>
      <c r="S1911" s="42"/>
      <c r="T1911" s="42"/>
      <c r="U1911" s="46"/>
      <c r="V1911" s="42"/>
      <c r="W1911" s="42"/>
      <c r="X1911" s="42"/>
      <c r="Y1911" s="42"/>
      <c r="Z1911" s="42"/>
      <c r="AA1911" s="42"/>
      <c r="AB1911" s="42"/>
      <c r="AC1911" s="42"/>
      <c r="AD1911" s="42"/>
      <c r="AE1911" s="42"/>
      <c r="AF1911" s="42"/>
    </row>
    <row r="1912">
      <c r="A1912" s="25"/>
      <c r="B1912" s="297"/>
      <c r="C1912" s="25"/>
      <c r="D1912" s="25"/>
      <c r="E1912" s="25"/>
      <c r="F1912" s="25"/>
      <c r="G1912" s="123"/>
      <c r="H1912" s="123"/>
      <c r="I1912" s="25"/>
      <c r="J1912" s="25"/>
      <c r="K1912" s="367"/>
      <c r="L1912" s="42"/>
      <c r="M1912" s="42"/>
      <c r="N1912" s="42"/>
      <c r="O1912" s="42"/>
      <c r="P1912" s="42"/>
      <c r="Q1912" s="42"/>
      <c r="R1912" s="176"/>
      <c r="S1912" s="42"/>
      <c r="T1912" s="42"/>
      <c r="U1912" s="46"/>
      <c r="V1912" s="42"/>
      <c r="W1912" s="42"/>
      <c r="X1912" s="42"/>
      <c r="Y1912" s="42"/>
      <c r="Z1912" s="42"/>
      <c r="AA1912" s="42"/>
      <c r="AB1912" s="42"/>
      <c r="AC1912" s="42"/>
      <c r="AD1912" s="42"/>
      <c r="AE1912" s="42"/>
      <c r="AF1912" s="42"/>
    </row>
    <row r="1913">
      <c r="A1913" s="25"/>
      <c r="B1913" s="297"/>
      <c r="C1913" s="25"/>
      <c r="D1913" s="25"/>
      <c r="E1913" s="25"/>
      <c r="F1913" s="25"/>
      <c r="G1913" s="123"/>
      <c r="H1913" s="123"/>
      <c r="I1913" s="25"/>
      <c r="J1913" s="25"/>
      <c r="K1913" s="367"/>
      <c r="L1913" s="42"/>
      <c r="M1913" s="42"/>
      <c r="N1913" s="42"/>
      <c r="O1913" s="42"/>
      <c r="P1913" s="42"/>
      <c r="Q1913" s="42"/>
      <c r="R1913" s="176"/>
      <c r="S1913" s="42"/>
      <c r="T1913" s="42"/>
      <c r="U1913" s="46"/>
      <c r="V1913" s="42"/>
      <c r="W1913" s="42"/>
      <c r="X1913" s="42"/>
      <c r="Y1913" s="42"/>
      <c r="Z1913" s="42"/>
      <c r="AA1913" s="42"/>
      <c r="AB1913" s="42"/>
      <c r="AC1913" s="42"/>
      <c r="AD1913" s="42"/>
      <c r="AE1913" s="42"/>
      <c r="AF1913" s="42"/>
    </row>
    <row r="1914">
      <c r="A1914" s="25"/>
      <c r="B1914" s="297"/>
      <c r="C1914" s="25"/>
      <c r="D1914" s="25"/>
      <c r="E1914" s="25"/>
      <c r="F1914" s="25"/>
      <c r="G1914" s="123"/>
      <c r="H1914" s="123"/>
      <c r="I1914" s="25"/>
      <c r="J1914" s="25"/>
      <c r="K1914" s="367"/>
      <c r="L1914" s="42"/>
      <c r="M1914" s="42"/>
      <c r="N1914" s="42"/>
      <c r="O1914" s="42"/>
      <c r="P1914" s="42"/>
      <c r="Q1914" s="42"/>
      <c r="R1914" s="176"/>
      <c r="S1914" s="42"/>
      <c r="T1914" s="42"/>
      <c r="U1914" s="46"/>
      <c r="V1914" s="42"/>
      <c r="W1914" s="42"/>
      <c r="X1914" s="42"/>
      <c r="Y1914" s="42"/>
      <c r="Z1914" s="42"/>
      <c r="AA1914" s="42"/>
      <c r="AB1914" s="42"/>
      <c r="AC1914" s="42"/>
      <c r="AD1914" s="42"/>
      <c r="AE1914" s="42"/>
      <c r="AF1914" s="42"/>
    </row>
    <row r="1915">
      <c r="A1915" s="25"/>
      <c r="B1915" s="297"/>
      <c r="C1915" s="25"/>
      <c r="D1915" s="25"/>
      <c r="E1915" s="25"/>
      <c r="F1915" s="25"/>
      <c r="G1915" s="123"/>
      <c r="H1915" s="123"/>
      <c r="I1915" s="25"/>
      <c r="J1915" s="25"/>
      <c r="K1915" s="367"/>
      <c r="L1915" s="42"/>
      <c r="M1915" s="42"/>
      <c r="N1915" s="42"/>
      <c r="O1915" s="42"/>
      <c r="P1915" s="42"/>
      <c r="Q1915" s="42"/>
      <c r="R1915" s="176"/>
      <c r="S1915" s="42"/>
      <c r="T1915" s="42"/>
      <c r="U1915" s="46"/>
      <c r="V1915" s="42"/>
      <c r="W1915" s="42"/>
      <c r="X1915" s="42"/>
      <c r="Y1915" s="42"/>
      <c r="Z1915" s="42"/>
      <c r="AA1915" s="42"/>
      <c r="AB1915" s="42"/>
      <c r="AC1915" s="42"/>
      <c r="AD1915" s="42"/>
      <c r="AE1915" s="42"/>
      <c r="AF1915" s="42"/>
    </row>
    <row r="1916">
      <c r="A1916" s="25"/>
      <c r="B1916" s="297"/>
      <c r="C1916" s="25"/>
      <c r="D1916" s="25"/>
      <c r="E1916" s="25"/>
      <c r="F1916" s="25"/>
      <c r="G1916" s="123"/>
      <c r="H1916" s="123"/>
      <c r="I1916" s="25"/>
      <c r="J1916" s="25"/>
      <c r="K1916" s="367"/>
      <c r="L1916" s="42"/>
      <c r="M1916" s="42"/>
      <c r="N1916" s="42"/>
      <c r="O1916" s="42"/>
      <c r="P1916" s="42"/>
      <c r="Q1916" s="42"/>
      <c r="R1916" s="176"/>
      <c r="S1916" s="42"/>
      <c r="T1916" s="42"/>
      <c r="U1916" s="46"/>
      <c r="V1916" s="42"/>
      <c r="W1916" s="42"/>
      <c r="X1916" s="42"/>
      <c r="Y1916" s="42"/>
      <c r="Z1916" s="42"/>
      <c r="AA1916" s="42"/>
      <c r="AB1916" s="42"/>
      <c r="AC1916" s="42"/>
      <c r="AD1916" s="42"/>
      <c r="AE1916" s="42"/>
      <c r="AF1916" s="42"/>
    </row>
    <row r="1917">
      <c r="A1917" s="25"/>
      <c r="B1917" s="297"/>
      <c r="C1917" s="25"/>
      <c r="D1917" s="25"/>
      <c r="E1917" s="25"/>
      <c r="F1917" s="25"/>
      <c r="G1917" s="123"/>
      <c r="H1917" s="123"/>
      <c r="I1917" s="25"/>
      <c r="J1917" s="25"/>
      <c r="K1917" s="367"/>
      <c r="L1917" s="42"/>
      <c r="M1917" s="42"/>
      <c r="N1917" s="42"/>
      <c r="O1917" s="42"/>
      <c r="P1917" s="42"/>
      <c r="Q1917" s="42"/>
      <c r="R1917" s="176"/>
      <c r="S1917" s="42"/>
      <c r="T1917" s="42"/>
      <c r="U1917" s="46"/>
      <c r="V1917" s="42"/>
      <c r="W1917" s="42"/>
      <c r="X1917" s="42"/>
      <c r="Y1917" s="42"/>
      <c r="Z1917" s="42"/>
      <c r="AA1917" s="42"/>
      <c r="AB1917" s="42"/>
      <c r="AC1917" s="42"/>
      <c r="AD1917" s="42"/>
      <c r="AE1917" s="42"/>
      <c r="AF1917" s="42"/>
    </row>
    <row r="1918">
      <c r="A1918" s="25"/>
      <c r="B1918" s="297"/>
      <c r="C1918" s="25"/>
      <c r="D1918" s="25"/>
      <c r="E1918" s="25"/>
      <c r="F1918" s="25"/>
      <c r="G1918" s="123"/>
      <c r="H1918" s="123"/>
      <c r="I1918" s="25"/>
      <c r="J1918" s="25"/>
      <c r="K1918" s="367"/>
      <c r="L1918" s="42"/>
      <c r="M1918" s="42"/>
      <c r="N1918" s="42"/>
      <c r="O1918" s="42"/>
      <c r="P1918" s="42"/>
      <c r="Q1918" s="42"/>
      <c r="R1918" s="176"/>
      <c r="S1918" s="42"/>
      <c r="T1918" s="42"/>
      <c r="U1918" s="46"/>
      <c r="V1918" s="42"/>
      <c r="W1918" s="42"/>
      <c r="X1918" s="42"/>
      <c r="Y1918" s="42"/>
      <c r="Z1918" s="42"/>
      <c r="AA1918" s="42"/>
      <c r="AB1918" s="42"/>
      <c r="AC1918" s="42"/>
      <c r="AD1918" s="42"/>
      <c r="AE1918" s="42"/>
      <c r="AF1918" s="42"/>
    </row>
    <row r="1919">
      <c r="A1919" s="25"/>
      <c r="B1919" s="297"/>
      <c r="C1919" s="25"/>
      <c r="D1919" s="25"/>
      <c r="E1919" s="25"/>
      <c r="F1919" s="25"/>
      <c r="G1919" s="123"/>
      <c r="H1919" s="123"/>
      <c r="I1919" s="25"/>
      <c r="J1919" s="25"/>
      <c r="K1919" s="367"/>
      <c r="L1919" s="42"/>
      <c r="M1919" s="42"/>
      <c r="N1919" s="42"/>
      <c r="O1919" s="42"/>
      <c r="P1919" s="42"/>
      <c r="Q1919" s="42"/>
      <c r="R1919" s="176"/>
      <c r="S1919" s="42"/>
      <c r="T1919" s="42"/>
      <c r="U1919" s="46"/>
      <c r="V1919" s="42"/>
      <c r="W1919" s="42"/>
      <c r="X1919" s="42"/>
      <c r="Y1919" s="42"/>
      <c r="Z1919" s="42"/>
      <c r="AA1919" s="42"/>
      <c r="AB1919" s="42"/>
      <c r="AC1919" s="42"/>
      <c r="AD1919" s="42"/>
      <c r="AE1919" s="42"/>
      <c r="AF1919" s="42"/>
    </row>
    <row r="1920">
      <c r="A1920" s="25"/>
      <c r="B1920" s="297"/>
      <c r="C1920" s="25"/>
      <c r="D1920" s="25"/>
      <c r="E1920" s="25"/>
      <c r="F1920" s="25"/>
      <c r="G1920" s="123"/>
      <c r="H1920" s="123"/>
      <c r="I1920" s="25"/>
      <c r="J1920" s="25"/>
      <c r="K1920" s="367"/>
      <c r="L1920" s="42"/>
      <c r="M1920" s="42"/>
      <c r="N1920" s="42"/>
      <c r="O1920" s="42"/>
      <c r="P1920" s="42"/>
      <c r="Q1920" s="42"/>
      <c r="R1920" s="176"/>
      <c r="S1920" s="42"/>
      <c r="T1920" s="42"/>
      <c r="U1920" s="46"/>
      <c r="V1920" s="42"/>
      <c r="W1920" s="42"/>
      <c r="X1920" s="42"/>
      <c r="Y1920" s="42"/>
      <c r="Z1920" s="42"/>
      <c r="AA1920" s="42"/>
      <c r="AB1920" s="42"/>
      <c r="AC1920" s="42"/>
      <c r="AD1920" s="42"/>
      <c r="AE1920" s="42"/>
      <c r="AF1920" s="42"/>
    </row>
    <row r="1921">
      <c r="A1921" s="25"/>
      <c r="B1921" s="297"/>
      <c r="C1921" s="25"/>
      <c r="D1921" s="25"/>
      <c r="E1921" s="25"/>
      <c r="F1921" s="25"/>
      <c r="G1921" s="123"/>
      <c r="H1921" s="123"/>
      <c r="I1921" s="25"/>
      <c r="J1921" s="25"/>
      <c r="K1921" s="367"/>
      <c r="L1921" s="42"/>
      <c r="M1921" s="42"/>
      <c r="N1921" s="42"/>
      <c r="O1921" s="42"/>
      <c r="P1921" s="42"/>
      <c r="Q1921" s="42"/>
      <c r="R1921" s="176"/>
      <c r="S1921" s="42"/>
      <c r="T1921" s="42"/>
      <c r="U1921" s="46"/>
      <c r="V1921" s="42"/>
      <c r="W1921" s="42"/>
      <c r="X1921" s="42"/>
      <c r="Y1921" s="42"/>
      <c r="Z1921" s="42"/>
      <c r="AA1921" s="42"/>
      <c r="AB1921" s="42"/>
      <c r="AC1921" s="42"/>
      <c r="AD1921" s="42"/>
      <c r="AE1921" s="42"/>
      <c r="AF1921" s="42"/>
    </row>
    <row r="1922">
      <c r="A1922" s="25"/>
      <c r="B1922" s="297"/>
      <c r="C1922" s="25"/>
      <c r="D1922" s="25"/>
      <c r="E1922" s="25"/>
      <c r="F1922" s="25"/>
      <c r="G1922" s="123"/>
      <c r="H1922" s="123"/>
      <c r="I1922" s="25"/>
      <c r="J1922" s="25"/>
      <c r="K1922" s="367"/>
      <c r="L1922" s="42"/>
      <c r="M1922" s="42"/>
      <c r="N1922" s="42"/>
      <c r="O1922" s="42"/>
      <c r="P1922" s="42"/>
      <c r="Q1922" s="42"/>
      <c r="R1922" s="176"/>
      <c r="S1922" s="42"/>
      <c r="T1922" s="42"/>
      <c r="U1922" s="46"/>
      <c r="V1922" s="42"/>
      <c r="W1922" s="42"/>
      <c r="X1922" s="42"/>
      <c r="Y1922" s="42"/>
      <c r="Z1922" s="42"/>
      <c r="AA1922" s="42"/>
      <c r="AB1922" s="42"/>
      <c r="AC1922" s="42"/>
      <c r="AD1922" s="42"/>
      <c r="AE1922" s="42"/>
      <c r="AF1922" s="42"/>
    </row>
    <row r="1923">
      <c r="A1923" s="25"/>
      <c r="B1923" s="297"/>
      <c r="C1923" s="25"/>
      <c r="D1923" s="25"/>
      <c r="E1923" s="25"/>
      <c r="F1923" s="25"/>
      <c r="G1923" s="123"/>
      <c r="H1923" s="123"/>
      <c r="I1923" s="25"/>
      <c r="J1923" s="25"/>
      <c r="K1923" s="367"/>
      <c r="L1923" s="42"/>
      <c r="M1923" s="42"/>
      <c r="N1923" s="42"/>
      <c r="O1923" s="42"/>
      <c r="P1923" s="42"/>
      <c r="Q1923" s="42"/>
      <c r="R1923" s="176"/>
      <c r="S1923" s="42"/>
      <c r="T1923" s="42"/>
      <c r="U1923" s="46"/>
      <c r="V1923" s="42"/>
      <c r="W1923" s="42"/>
      <c r="X1923" s="42"/>
      <c r="Y1923" s="42"/>
      <c r="Z1923" s="42"/>
      <c r="AA1923" s="42"/>
      <c r="AB1923" s="42"/>
      <c r="AC1923" s="42"/>
      <c r="AD1923" s="42"/>
      <c r="AE1923" s="42"/>
      <c r="AF1923" s="42"/>
    </row>
    <row r="1924">
      <c r="A1924" s="25"/>
      <c r="B1924" s="297"/>
      <c r="C1924" s="25"/>
      <c r="D1924" s="25"/>
      <c r="E1924" s="25"/>
      <c r="F1924" s="25"/>
      <c r="G1924" s="123"/>
      <c r="H1924" s="123"/>
      <c r="I1924" s="25"/>
      <c r="J1924" s="25"/>
      <c r="K1924" s="367"/>
      <c r="L1924" s="42"/>
      <c r="M1924" s="42"/>
      <c r="N1924" s="42"/>
      <c r="O1924" s="42"/>
      <c r="P1924" s="42"/>
      <c r="Q1924" s="42"/>
      <c r="R1924" s="176"/>
      <c r="S1924" s="42"/>
      <c r="T1924" s="42"/>
      <c r="U1924" s="46"/>
      <c r="V1924" s="42"/>
      <c r="W1924" s="42"/>
      <c r="X1924" s="42"/>
      <c r="Y1924" s="42"/>
      <c r="Z1924" s="42"/>
      <c r="AA1924" s="42"/>
      <c r="AB1924" s="42"/>
      <c r="AC1924" s="42"/>
      <c r="AD1924" s="42"/>
      <c r="AE1924" s="42"/>
      <c r="AF1924" s="42"/>
    </row>
    <row r="1925">
      <c r="A1925" s="25"/>
      <c r="B1925" s="297"/>
      <c r="C1925" s="25"/>
      <c r="D1925" s="25"/>
      <c r="E1925" s="25"/>
      <c r="F1925" s="25"/>
      <c r="G1925" s="123"/>
      <c r="H1925" s="123"/>
      <c r="I1925" s="25"/>
      <c r="J1925" s="25"/>
      <c r="K1925" s="367"/>
      <c r="L1925" s="42"/>
      <c r="M1925" s="42"/>
      <c r="N1925" s="42"/>
      <c r="O1925" s="42"/>
      <c r="P1925" s="42"/>
      <c r="Q1925" s="42"/>
      <c r="R1925" s="176"/>
      <c r="S1925" s="42"/>
      <c r="T1925" s="42"/>
      <c r="U1925" s="46"/>
      <c r="V1925" s="42"/>
      <c r="W1925" s="42"/>
      <c r="X1925" s="42"/>
      <c r="Y1925" s="42"/>
      <c r="Z1925" s="42"/>
      <c r="AA1925" s="42"/>
      <c r="AB1925" s="42"/>
      <c r="AC1925" s="42"/>
      <c r="AD1925" s="42"/>
      <c r="AE1925" s="42"/>
      <c r="AF1925" s="42"/>
    </row>
    <row r="1926">
      <c r="A1926" s="25"/>
      <c r="B1926" s="297"/>
      <c r="C1926" s="25"/>
      <c r="D1926" s="25"/>
      <c r="E1926" s="25"/>
      <c r="F1926" s="25"/>
      <c r="G1926" s="123"/>
      <c r="H1926" s="123"/>
      <c r="I1926" s="25"/>
      <c r="J1926" s="25"/>
      <c r="K1926" s="367"/>
      <c r="L1926" s="42"/>
      <c r="M1926" s="42"/>
      <c r="N1926" s="42"/>
      <c r="O1926" s="42"/>
      <c r="P1926" s="42"/>
      <c r="Q1926" s="42"/>
      <c r="R1926" s="176"/>
      <c r="S1926" s="42"/>
      <c r="T1926" s="42"/>
      <c r="U1926" s="46"/>
      <c r="V1926" s="42"/>
      <c r="W1926" s="42"/>
      <c r="X1926" s="42"/>
      <c r="Y1926" s="42"/>
      <c r="Z1926" s="42"/>
      <c r="AA1926" s="42"/>
      <c r="AB1926" s="42"/>
      <c r="AC1926" s="42"/>
      <c r="AD1926" s="42"/>
      <c r="AE1926" s="42"/>
      <c r="AF1926" s="42"/>
    </row>
    <row r="1927">
      <c r="A1927" s="25"/>
      <c r="B1927" s="297"/>
      <c r="C1927" s="25"/>
      <c r="D1927" s="25"/>
      <c r="E1927" s="25"/>
      <c r="F1927" s="25"/>
      <c r="G1927" s="123"/>
      <c r="H1927" s="123"/>
      <c r="I1927" s="25"/>
      <c r="J1927" s="25"/>
      <c r="K1927" s="367"/>
      <c r="L1927" s="42"/>
      <c r="M1927" s="42"/>
      <c r="N1927" s="42"/>
      <c r="O1927" s="42"/>
      <c r="P1927" s="42"/>
      <c r="Q1927" s="42"/>
      <c r="R1927" s="176"/>
      <c r="S1927" s="42"/>
      <c r="T1927" s="42"/>
      <c r="U1927" s="46"/>
      <c r="V1927" s="42"/>
      <c r="W1927" s="42"/>
      <c r="X1927" s="42"/>
      <c r="Y1927" s="42"/>
      <c r="Z1927" s="42"/>
      <c r="AA1927" s="42"/>
      <c r="AB1927" s="42"/>
      <c r="AC1927" s="42"/>
      <c r="AD1927" s="42"/>
      <c r="AE1927" s="42"/>
      <c r="AF1927" s="42"/>
    </row>
    <row r="1928">
      <c r="A1928" s="25"/>
      <c r="B1928" s="297"/>
      <c r="C1928" s="25"/>
      <c r="D1928" s="25"/>
      <c r="E1928" s="25"/>
      <c r="F1928" s="25"/>
      <c r="G1928" s="123"/>
      <c r="H1928" s="123"/>
      <c r="I1928" s="25"/>
      <c r="J1928" s="25"/>
      <c r="K1928" s="367"/>
      <c r="L1928" s="42"/>
      <c r="M1928" s="42"/>
      <c r="N1928" s="42"/>
      <c r="O1928" s="42"/>
      <c r="P1928" s="42"/>
      <c r="Q1928" s="42"/>
      <c r="R1928" s="176"/>
      <c r="S1928" s="42"/>
      <c r="T1928" s="42"/>
      <c r="U1928" s="46"/>
      <c r="V1928" s="42"/>
      <c r="W1928" s="42"/>
      <c r="X1928" s="42"/>
      <c r="Y1928" s="42"/>
      <c r="Z1928" s="42"/>
      <c r="AA1928" s="42"/>
      <c r="AB1928" s="42"/>
      <c r="AC1928" s="42"/>
      <c r="AD1928" s="42"/>
      <c r="AE1928" s="42"/>
      <c r="AF1928" s="42"/>
    </row>
    <row r="1929">
      <c r="A1929" s="25"/>
      <c r="B1929" s="297"/>
      <c r="C1929" s="25"/>
      <c r="D1929" s="25"/>
      <c r="E1929" s="25"/>
      <c r="F1929" s="25"/>
      <c r="G1929" s="123"/>
      <c r="H1929" s="123"/>
      <c r="I1929" s="25"/>
      <c r="J1929" s="25"/>
      <c r="K1929" s="367"/>
      <c r="L1929" s="42"/>
      <c r="M1929" s="42"/>
      <c r="N1929" s="42"/>
      <c r="O1929" s="42"/>
      <c r="P1929" s="42"/>
      <c r="Q1929" s="42"/>
      <c r="R1929" s="176"/>
      <c r="S1929" s="42"/>
      <c r="T1929" s="42"/>
      <c r="U1929" s="46"/>
      <c r="V1929" s="42"/>
      <c r="W1929" s="42"/>
      <c r="X1929" s="42"/>
      <c r="Y1929" s="42"/>
      <c r="Z1929" s="42"/>
      <c r="AA1929" s="42"/>
      <c r="AB1929" s="42"/>
      <c r="AC1929" s="42"/>
      <c r="AD1929" s="42"/>
      <c r="AE1929" s="42"/>
      <c r="AF1929" s="42"/>
    </row>
    <row r="1930">
      <c r="A1930" s="25"/>
      <c r="B1930" s="297"/>
      <c r="C1930" s="25"/>
      <c r="D1930" s="25"/>
      <c r="E1930" s="25"/>
      <c r="F1930" s="25"/>
      <c r="G1930" s="123"/>
      <c r="H1930" s="123"/>
      <c r="I1930" s="25"/>
      <c r="J1930" s="25"/>
      <c r="K1930" s="367"/>
      <c r="L1930" s="42"/>
      <c r="M1930" s="42"/>
      <c r="N1930" s="42"/>
      <c r="O1930" s="42"/>
      <c r="P1930" s="42"/>
      <c r="Q1930" s="42"/>
      <c r="R1930" s="176"/>
      <c r="S1930" s="42"/>
      <c r="T1930" s="42"/>
      <c r="U1930" s="46"/>
      <c r="V1930" s="42"/>
      <c r="W1930" s="42"/>
      <c r="X1930" s="42"/>
      <c r="Y1930" s="42"/>
      <c r="Z1930" s="42"/>
      <c r="AA1930" s="42"/>
      <c r="AB1930" s="42"/>
      <c r="AC1930" s="42"/>
      <c r="AD1930" s="42"/>
      <c r="AE1930" s="42"/>
      <c r="AF1930" s="42"/>
    </row>
    <row r="1931">
      <c r="A1931" s="25"/>
      <c r="B1931" s="297"/>
      <c r="C1931" s="25"/>
      <c r="D1931" s="25"/>
      <c r="E1931" s="25"/>
      <c r="F1931" s="25"/>
      <c r="G1931" s="123"/>
      <c r="H1931" s="123"/>
      <c r="I1931" s="25"/>
      <c r="J1931" s="25"/>
      <c r="K1931" s="367"/>
      <c r="L1931" s="42"/>
      <c r="M1931" s="42"/>
      <c r="N1931" s="42"/>
      <c r="O1931" s="42"/>
      <c r="P1931" s="42"/>
      <c r="Q1931" s="42"/>
      <c r="R1931" s="176"/>
      <c r="S1931" s="42"/>
      <c r="T1931" s="42"/>
      <c r="U1931" s="46"/>
      <c r="V1931" s="42"/>
      <c r="W1931" s="42"/>
      <c r="X1931" s="42"/>
      <c r="Y1931" s="42"/>
      <c r="Z1931" s="42"/>
      <c r="AA1931" s="42"/>
      <c r="AB1931" s="42"/>
      <c r="AC1931" s="42"/>
      <c r="AD1931" s="42"/>
      <c r="AE1931" s="42"/>
      <c r="AF1931" s="42"/>
    </row>
    <row r="1932">
      <c r="A1932" s="25"/>
      <c r="B1932" s="297"/>
      <c r="C1932" s="25"/>
      <c r="D1932" s="25"/>
      <c r="E1932" s="25"/>
      <c r="F1932" s="25"/>
      <c r="G1932" s="123"/>
      <c r="H1932" s="123"/>
      <c r="I1932" s="25"/>
      <c r="J1932" s="25"/>
      <c r="K1932" s="367"/>
      <c r="L1932" s="42"/>
      <c r="M1932" s="42"/>
      <c r="N1932" s="42"/>
      <c r="O1932" s="42"/>
      <c r="P1932" s="42"/>
      <c r="Q1932" s="42"/>
      <c r="R1932" s="176"/>
      <c r="S1932" s="42"/>
      <c r="T1932" s="42"/>
      <c r="U1932" s="46"/>
      <c r="V1932" s="42"/>
      <c r="W1932" s="42"/>
      <c r="X1932" s="42"/>
      <c r="Y1932" s="42"/>
      <c r="Z1932" s="42"/>
      <c r="AA1932" s="42"/>
      <c r="AB1932" s="42"/>
      <c r="AC1932" s="42"/>
      <c r="AD1932" s="42"/>
      <c r="AE1932" s="42"/>
      <c r="AF1932" s="42"/>
    </row>
    <row r="1933">
      <c r="A1933" s="25"/>
      <c r="B1933" s="297"/>
      <c r="C1933" s="25"/>
      <c r="D1933" s="25"/>
      <c r="E1933" s="25"/>
      <c r="F1933" s="25"/>
      <c r="G1933" s="123"/>
      <c r="H1933" s="123"/>
      <c r="I1933" s="25"/>
      <c r="J1933" s="25"/>
      <c r="K1933" s="367"/>
      <c r="L1933" s="42"/>
      <c r="M1933" s="42"/>
      <c r="N1933" s="42"/>
      <c r="O1933" s="42"/>
      <c r="P1933" s="42"/>
      <c r="Q1933" s="42"/>
      <c r="R1933" s="176"/>
      <c r="S1933" s="42"/>
      <c r="T1933" s="42"/>
      <c r="U1933" s="46"/>
      <c r="V1933" s="42"/>
      <c r="W1933" s="42"/>
      <c r="X1933" s="42"/>
      <c r="Y1933" s="42"/>
      <c r="Z1933" s="42"/>
      <c r="AA1933" s="42"/>
      <c r="AB1933" s="42"/>
      <c r="AC1933" s="42"/>
      <c r="AD1933" s="42"/>
      <c r="AE1933" s="42"/>
      <c r="AF1933" s="42"/>
    </row>
    <row r="1934">
      <c r="A1934" s="25"/>
      <c r="B1934" s="297"/>
      <c r="C1934" s="25"/>
      <c r="D1934" s="25"/>
      <c r="E1934" s="25"/>
      <c r="F1934" s="25"/>
      <c r="G1934" s="123"/>
      <c r="H1934" s="123"/>
      <c r="I1934" s="25"/>
      <c r="J1934" s="25"/>
      <c r="K1934" s="367"/>
      <c r="L1934" s="42"/>
      <c r="M1934" s="42"/>
      <c r="N1934" s="42"/>
      <c r="O1934" s="42"/>
      <c r="P1934" s="42"/>
      <c r="Q1934" s="42"/>
      <c r="R1934" s="176"/>
      <c r="S1934" s="42"/>
      <c r="T1934" s="42"/>
      <c r="U1934" s="46"/>
      <c r="V1934" s="42"/>
      <c r="W1934" s="42"/>
      <c r="X1934" s="42"/>
      <c r="Y1934" s="42"/>
      <c r="Z1934" s="42"/>
      <c r="AA1934" s="42"/>
      <c r="AB1934" s="42"/>
      <c r="AC1934" s="42"/>
      <c r="AD1934" s="42"/>
      <c r="AE1934" s="42"/>
      <c r="AF1934" s="42"/>
    </row>
    <row r="1935">
      <c r="A1935" s="25"/>
      <c r="B1935" s="297"/>
      <c r="C1935" s="25"/>
      <c r="D1935" s="25"/>
      <c r="E1935" s="25"/>
      <c r="F1935" s="25"/>
      <c r="G1935" s="123"/>
      <c r="H1935" s="123"/>
      <c r="I1935" s="25"/>
      <c r="J1935" s="25"/>
      <c r="K1935" s="367"/>
      <c r="L1935" s="42"/>
      <c r="M1935" s="42"/>
      <c r="N1935" s="42"/>
      <c r="O1935" s="42"/>
      <c r="P1935" s="42"/>
      <c r="Q1935" s="42"/>
      <c r="R1935" s="176"/>
      <c r="S1935" s="42"/>
      <c r="T1935" s="42"/>
      <c r="U1935" s="46"/>
      <c r="V1935" s="42"/>
      <c r="W1935" s="42"/>
      <c r="X1935" s="42"/>
      <c r="Y1935" s="42"/>
      <c r="Z1935" s="42"/>
      <c r="AA1935" s="42"/>
      <c r="AB1935" s="42"/>
      <c r="AC1935" s="42"/>
      <c r="AD1935" s="42"/>
      <c r="AE1935" s="42"/>
      <c r="AF1935" s="42"/>
    </row>
    <row r="1936">
      <c r="A1936" s="25"/>
      <c r="B1936" s="297"/>
      <c r="C1936" s="25"/>
      <c r="D1936" s="25"/>
      <c r="E1936" s="25"/>
      <c r="F1936" s="25"/>
      <c r="G1936" s="123"/>
      <c r="H1936" s="123"/>
      <c r="I1936" s="25"/>
      <c r="J1936" s="25"/>
      <c r="K1936" s="367"/>
      <c r="L1936" s="42"/>
      <c r="M1936" s="42"/>
      <c r="N1936" s="42"/>
      <c r="O1936" s="42"/>
      <c r="P1936" s="42"/>
      <c r="Q1936" s="42"/>
      <c r="R1936" s="176"/>
      <c r="S1936" s="42"/>
      <c r="T1936" s="42"/>
      <c r="U1936" s="46"/>
      <c r="V1936" s="42"/>
      <c r="W1936" s="42"/>
      <c r="X1936" s="42"/>
      <c r="Y1936" s="42"/>
      <c r="Z1936" s="42"/>
      <c r="AA1936" s="42"/>
      <c r="AB1936" s="42"/>
      <c r="AC1936" s="42"/>
      <c r="AD1936" s="42"/>
      <c r="AE1936" s="42"/>
      <c r="AF1936" s="42"/>
    </row>
    <row r="1937">
      <c r="A1937" s="25"/>
      <c r="B1937" s="297"/>
      <c r="C1937" s="25"/>
      <c r="D1937" s="25"/>
      <c r="E1937" s="25"/>
      <c r="F1937" s="25"/>
      <c r="G1937" s="123"/>
      <c r="H1937" s="123"/>
      <c r="I1937" s="25"/>
      <c r="J1937" s="25"/>
      <c r="K1937" s="367"/>
      <c r="L1937" s="42"/>
      <c r="M1937" s="42"/>
      <c r="N1937" s="42"/>
      <c r="O1937" s="42"/>
      <c r="P1937" s="42"/>
      <c r="Q1937" s="42"/>
      <c r="R1937" s="176"/>
      <c r="S1937" s="42"/>
      <c r="T1937" s="42"/>
      <c r="U1937" s="46"/>
      <c r="V1937" s="42"/>
      <c r="W1937" s="42"/>
      <c r="X1937" s="42"/>
      <c r="Y1937" s="42"/>
      <c r="Z1937" s="42"/>
      <c r="AA1937" s="42"/>
      <c r="AB1937" s="42"/>
      <c r="AC1937" s="42"/>
      <c r="AD1937" s="42"/>
      <c r="AE1937" s="42"/>
      <c r="AF1937" s="42"/>
    </row>
    <row r="1938">
      <c r="A1938" s="25"/>
      <c r="B1938" s="297"/>
      <c r="C1938" s="25"/>
      <c r="D1938" s="25"/>
      <c r="E1938" s="25"/>
      <c r="F1938" s="25"/>
      <c r="G1938" s="123"/>
      <c r="H1938" s="123"/>
      <c r="I1938" s="25"/>
      <c r="J1938" s="25"/>
      <c r="K1938" s="367"/>
      <c r="L1938" s="42"/>
      <c r="M1938" s="42"/>
      <c r="N1938" s="42"/>
      <c r="O1938" s="42"/>
      <c r="P1938" s="42"/>
      <c r="Q1938" s="42"/>
      <c r="R1938" s="176"/>
      <c r="S1938" s="42"/>
      <c r="T1938" s="42"/>
      <c r="U1938" s="46"/>
      <c r="V1938" s="42"/>
      <c r="W1938" s="42"/>
      <c r="X1938" s="42"/>
      <c r="Y1938" s="42"/>
      <c r="Z1938" s="42"/>
      <c r="AA1938" s="42"/>
      <c r="AB1938" s="42"/>
      <c r="AC1938" s="42"/>
      <c r="AD1938" s="42"/>
      <c r="AE1938" s="42"/>
      <c r="AF1938" s="42"/>
    </row>
    <row r="1939">
      <c r="A1939" s="25"/>
      <c r="B1939" s="297"/>
      <c r="C1939" s="25"/>
      <c r="D1939" s="25"/>
      <c r="E1939" s="25"/>
      <c r="F1939" s="25"/>
      <c r="G1939" s="123"/>
      <c r="H1939" s="123"/>
      <c r="I1939" s="25"/>
      <c r="J1939" s="25"/>
      <c r="K1939" s="367"/>
      <c r="L1939" s="42"/>
      <c r="M1939" s="42"/>
      <c r="N1939" s="42"/>
      <c r="O1939" s="42"/>
      <c r="P1939" s="42"/>
      <c r="Q1939" s="42"/>
      <c r="R1939" s="176"/>
      <c r="S1939" s="42"/>
      <c r="T1939" s="42"/>
      <c r="U1939" s="46"/>
      <c r="V1939" s="42"/>
      <c r="W1939" s="42"/>
      <c r="X1939" s="42"/>
      <c r="Y1939" s="42"/>
      <c r="Z1939" s="42"/>
      <c r="AA1939" s="42"/>
      <c r="AB1939" s="42"/>
      <c r="AC1939" s="42"/>
      <c r="AD1939" s="42"/>
      <c r="AE1939" s="42"/>
      <c r="AF1939" s="42"/>
    </row>
    <row r="1940">
      <c r="A1940" s="25"/>
      <c r="B1940" s="297"/>
      <c r="C1940" s="25"/>
      <c r="D1940" s="25"/>
      <c r="E1940" s="25"/>
      <c r="F1940" s="25"/>
      <c r="G1940" s="123"/>
      <c r="H1940" s="123"/>
      <c r="I1940" s="25"/>
      <c r="J1940" s="25"/>
      <c r="K1940" s="367"/>
      <c r="L1940" s="42"/>
      <c r="M1940" s="42"/>
      <c r="N1940" s="42"/>
      <c r="O1940" s="42"/>
      <c r="P1940" s="42"/>
      <c r="Q1940" s="42"/>
      <c r="R1940" s="176"/>
      <c r="S1940" s="42"/>
      <c r="T1940" s="42"/>
      <c r="U1940" s="46"/>
      <c r="V1940" s="42"/>
      <c r="W1940" s="42"/>
      <c r="X1940" s="42"/>
      <c r="Y1940" s="42"/>
      <c r="Z1940" s="42"/>
      <c r="AA1940" s="42"/>
      <c r="AB1940" s="42"/>
      <c r="AC1940" s="42"/>
      <c r="AD1940" s="42"/>
      <c r="AE1940" s="42"/>
      <c r="AF1940" s="42"/>
    </row>
    <row r="1941">
      <c r="A1941" s="25"/>
      <c r="B1941" s="297"/>
      <c r="C1941" s="25"/>
      <c r="D1941" s="25"/>
      <c r="E1941" s="25"/>
      <c r="F1941" s="25"/>
      <c r="G1941" s="123"/>
      <c r="H1941" s="123"/>
      <c r="I1941" s="25"/>
      <c r="J1941" s="25"/>
      <c r="K1941" s="367"/>
      <c r="L1941" s="42"/>
      <c r="M1941" s="42"/>
      <c r="N1941" s="42"/>
      <c r="O1941" s="42"/>
      <c r="P1941" s="42"/>
      <c r="Q1941" s="42"/>
      <c r="R1941" s="176"/>
      <c r="S1941" s="42"/>
      <c r="T1941" s="42"/>
      <c r="U1941" s="46"/>
      <c r="V1941" s="42"/>
      <c r="W1941" s="42"/>
      <c r="X1941" s="42"/>
      <c r="Y1941" s="42"/>
      <c r="Z1941" s="42"/>
      <c r="AA1941" s="42"/>
      <c r="AB1941" s="42"/>
      <c r="AC1941" s="42"/>
      <c r="AD1941" s="42"/>
      <c r="AE1941" s="42"/>
      <c r="AF1941" s="42"/>
    </row>
    <row r="1942">
      <c r="A1942" s="25"/>
      <c r="B1942" s="297"/>
      <c r="C1942" s="25"/>
      <c r="D1942" s="25"/>
      <c r="E1942" s="25"/>
      <c r="F1942" s="25"/>
      <c r="G1942" s="123"/>
      <c r="H1942" s="123"/>
      <c r="I1942" s="25"/>
      <c r="J1942" s="25"/>
      <c r="K1942" s="367"/>
      <c r="L1942" s="42"/>
      <c r="M1942" s="42"/>
      <c r="N1942" s="42"/>
      <c r="O1942" s="42"/>
      <c r="P1942" s="42"/>
      <c r="Q1942" s="42"/>
      <c r="R1942" s="176"/>
      <c r="S1942" s="42"/>
      <c r="T1942" s="42"/>
      <c r="U1942" s="46"/>
      <c r="V1942" s="42"/>
      <c r="W1942" s="42"/>
      <c r="X1942" s="42"/>
      <c r="Y1942" s="42"/>
      <c r="Z1942" s="42"/>
      <c r="AA1942" s="42"/>
      <c r="AB1942" s="42"/>
      <c r="AC1942" s="42"/>
      <c r="AD1942" s="42"/>
      <c r="AE1942" s="42"/>
      <c r="AF1942" s="42"/>
    </row>
    <row r="1943">
      <c r="A1943" s="25"/>
      <c r="B1943" s="297"/>
      <c r="C1943" s="25"/>
      <c r="D1943" s="25"/>
      <c r="E1943" s="25"/>
      <c r="F1943" s="25"/>
      <c r="G1943" s="123"/>
      <c r="H1943" s="123"/>
      <c r="I1943" s="25"/>
      <c r="J1943" s="25"/>
      <c r="K1943" s="367"/>
      <c r="L1943" s="42"/>
      <c r="M1943" s="42"/>
      <c r="N1943" s="42"/>
      <c r="O1943" s="42"/>
      <c r="P1943" s="42"/>
      <c r="Q1943" s="42"/>
      <c r="R1943" s="176"/>
      <c r="S1943" s="42"/>
      <c r="T1943" s="42"/>
      <c r="U1943" s="46"/>
      <c r="V1943" s="42"/>
      <c r="W1943" s="42"/>
      <c r="X1943" s="42"/>
      <c r="Y1943" s="42"/>
      <c r="Z1943" s="42"/>
      <c r="AA1943" s="42"/>
      <c r="AB1943" s="42"/>
      <c r="AC1943" s="42"/>
      <c r="AD1943" s="42"/>
      <c r="AE1943" s="42"/>
      <c r="AF1943" s="42"/>
    </row>
    <row r="1944">
      <c r="A1944" s="25"/>
      <c r="B1944" s="297"/>
      <c r="C1944" s="25"/>
      <c r="D1944" s="25"/>
      <c r="E1944" s="25"/>
      <c r="F1944" s="25"/>
      <c r="G1944" s="123"/>
      <c r="H1944" s="123"/>
      <c r="I1944" s="25"/>
      <c r="J1944" s="25"/>
      <c r="K1944" s="367"/>
      <c r="L1944" s="42"/>
      <c r="M1944" s="42"/>
      <c r="N1944" s="42"/>
      <c r="O1944" s="42"/>
      <c r="P1944" s="42"/>
      <c r="Q1944" s="42"/>
      <c r="R1944" s="176"/>
      <c r="S1944" s="42"/>
      <c r="T1944" s="42"/>
      <c r="U1944" s="46"/>
      <c r="V1944" s="42"/>
      <c r="W1944" s="42"/>
      <c r="X1944" s="42"/>
      <c r="Y1944" s="42"/>
      <c r="Z1944" s="42"/>
      <c r="AA1944" s="42"/>
      <c r="AB1944" s="42"/>
      <c r="AC1944" s="42"/>
      <c r="AD1944" s="42"/>
      <c r="AE1944" s="42"/>
      <c r="AF1944" s="42"/>
    </row>
    <row r="1945">
      <c r="A1945" s="25"/>
      <c r="B1945" s="297"/>
      <c r="C1945" s="25"/>
      <c r="D1945" s="25"/>
      <c r="E1945" s="25"/>
      <c r="F1945" s="25"/>
      <c r="G1945" s="123"/>
      <c r="H1945" s="123"/>
      <c r="I1945" s="25"/>
      <c r="J1945" s="25"/>
      <c r="K1945" s="367"/>
      <c r="L1945" s="42"/>
      <c r="M1945" s="42"/>
      <c r="N1945" s="42"/>
      <c r="O1945" s="42"/>
      <c r="P1945" s="42"/>
      <c r="Q1945" s="42"/>
      <c r="R1945" s="176"/>
      <c r="S1945" s="42"/>
      <c r="T1945" s="42"/>
      <c r="U1945" s="46"/>
      <c r="V1945" s="42"/>
      <c r="W1945" s="42"/>
      <c r="X1945" s="42"/>
      <c r="Y1945" s="42"/>
      <c r="Z1945" s="42"/>
      <c r="AA1945" s="42"/>
      <c r="AB1945" s="42"/>
      <c r="AC1945" s="42"/>
      <c r="AD1945" s="42"/>
      <c r="AE1945" s="42"/>
      <c r="AF1945" s="42"/>
    </row>
    <row r="1946">
      <c r="A1946" s="25"/>
      <c r="B1946" s="297"/>
      <c r="C1946" s="25"/>
      <c r="D1946" s="25"/>
      <c r="E1946" s="25"/>
      <c r="F1946" s="25"/>
      <c r="G1946" s="123"/>
      <c r="H1946" s="123"/>
      <c r="I1946" s="25"/>
      <c r="J1946" s="25"/>
      <c r="K1946" s="367"/>
      <c r="L1946" s="42"/>
      <c r="M1946" s="42"/>
      <c r="N1946" s="42"/>
      <c r="O1946" s="42"/>
      <c r="P1946" s="42"/>
      <c r="Q1946" s="42"/>
      <c r="R1946" s="176"/>
      <c r="S1946" s="42"/>
      <c r="T1946" s="42"/>
      <c r="U1946" s="46"/>
      <c r="V1946" s="42"/>
      <c r="W1946" s="42"/>
      <c r="X1946" s="42"/>
      <c r="Y1946" s="42"/>
      <c r="Z1946" s="42"/>
      <c r="AA1946" s="42"/>
      <c r="AB1946" s="42"/>
      <c r="AC1946" s="42"/>
      <c r="AD1946" s="42"/>
      <c r="AE1946" s="42"/>
      <c r="AF1946" s="42"/>
    </row>
    <row r="1947">
      <c r="A1947" s="25"/>
      <c r="B1947" s="297"/>
      <c r="C1947" s="25"/>
      <c r="D1947" s="25"/>
      <c r="E1947" s="25"/>
      <c r="F1947" s="25"/>
      <c r="G1947" s="123"/>
      <c r="H1947" s="123"/>
      <c r="I1947" s="25"/>
      <c r="J1947" s="25"/>
      <c r="K1947" s="367"/>
      <c r="L1947" s="42"/>
      <c r="M1947" s="42"/>
      <c r="N1947" s="42"/>
      <c r="O1947" s="42"/>
      <c r="P1947" s="42"/>
      <c r="Q1947" s="42"/>
      <c r="R1947" s="176"/>
      <c r="S1947" s="42"/>
      <c r="T1947" s="42"/>
      <c r="U1947" s="46"/>
      <c r="V1947" s="42"/>
      <c r="W1947" s="42"/>
      <c r="X1947" s="42"/>
      <c r="Y1947" s="42"/>
      <c r="Z1947" s="42"/>
      <c r="AA1947" s="42"/>
      <c r="AB1947" s="42"/>
      <c r="AC1947" s="42"/>
      <c r="AD1947" s="42"/>
      <c r="AE1947" s="42"/>
      <c r="AF1947" s="42"/>
    </row>
    <row r="1948">
      <c r="A1948" s="25"/>
      <c r="B1948" s="297"/>
      <c r="C1948" s="25"/>
      <c r="D1948" s="25"/>
      <c r="E1948" s="25"/>
      <c r="F1948" s="25"/>
      <c r="G1948" s="123"/>
      <c r="H1948" s="123"/>
      <c r="I1948" s="25"/>
      <c r="J1948" s="25"/>
      <c r="K1948" s="367"/>
      <c r="L1948" s="42"/>
      <c r="M1948" s="42"/>
      <c r="N1948" s="42"/>
      <c r="O1948" s="42"/>
      <c r="P1948" s="42"/>
      <c r="Q1948" s="42"/>
      <c r="R1948" s="176"/>
      <c r="S1948" s="42"/>
      <c r="T1948" s="42"/>
      <c r="U1948" s="46"/>
      <c r="V1948" s="42"/>
      <c r="W1948" s="42"/>
      <c r="X1948" s="42"/>
      <c r="Y1948" s="42"/>
      <c r="Z1948" s="42"/>
      <c r="AA1948" s="42"/>
      <c r="AB1948" s="42"/>
      <c r="AC1948" s="42"/>
      <c r="AD1948" s="42"/>
      <c r="AE1948" s="42"/>
      <c r="AF1948" s="42"/>
    </row>
    <row r="1949">
      <c r="A1949" s="25"/>
      <c r="B1949" s="297"/>
      <c r="C1949" s="25"/>
      <c r="D1949" s="25"/>
      <c r="E1949" s="25"/>
      <c r="F1949" s="25"/>
      <c r="G1949" s="123"/>
      <c r="H1949" s="123"/>
      <c r="I1949" s="25"/>
      <c r="J1949" s="25"/>
      <c r="K1949" s="367"/>
      <c r="L1949" s="42"/>
      <c r="M1949" s="42"/>
      <c r="N1949" s="42"/>
      <c r="O1949" s="42"/>
      <c r="P1949" s="42"/>
      <c r="Q1949" s="42"/>
      <c r="R1949" s="176"/>
      <c r="S1949" s="42"/>
      <c r="T1949" s="42"/>
      <c r="U1949" s="46"/>
      <c r="V1949" s="42"/>
      <c r="W1949" s="42"/>
      <c r="X1949" s="42"/>
      <c r="Y1949" s="42"/>
      <c r="Z1949" s="42"/>
      <c r="AA1949" s="42"/>
      <c r="AB1949" s="42"/>
      <c r="AC1949" s="42"/>
      <c r="AD1949" s="42"/>
      <c r="AE1949" s="42"/>
      <c r="AF1949" s="42"/>
    </row>
    <row r="1950">
      <c r="A1950" s="25"/>
      <c r="B1950" s="297"/>
      <c r="C1950" s="25"/>
      <c r="D1950" s="25"/>
      <c r="E1950" s="25"/>
      <c r="F1950" s="25"/>
      <c r="G1950" s="123"/>
      <c r="H1950" s="123"/>
      <c r="I1950" s="25"/>
      <c r="J1950" s="25"/>
      <c r="K1950" s="367"/>
      <c r="L1950" s="42"/>
      <c r="M1950" s="42"/>
      <c r="N1950" s="42"/>
      <c r="O1950" s="42"/>
      <c r="P1950" s="42"/>
      <c r="Q1950" s="42"/>
      <c r="R1950" s="176"/>
      <c r="S1950" s="42"/>
      <c r="T1950" s="42"/>
      <c r="U1950" s="46"/>
      <c r="V1950" s="42"/>
      <c r="W1950" s="42"/>
      <c r="X1950" s="42"/>
      <c r="Y1950" s="42"/>
      <c r="Z1950" s="42"/>
      <c r="AA1950" s="42"/>
      <c r="AB1950" s="42"/>
      <c r="AC1950" s="42"/>
      <c r="AD1950" s="42"/>
      <c r="AE1950" s="42"/>
      <c r="AF1950" s="42"/>
    </row>
    <row r="1951">
      <c r="A1951" s="25"/>
      <c r="B1951" s="297"/>
      <c r="C1951" s="25"/>
      <c r="D1951" s="25"/>
      <c r="E1951" s="25"/>
      <c r="F1951" s="25"/>
      <c r="G1951" s="123"/>
      <c r="H1951" s="123"/>
      <c r="I1951" s="25"/>
      <c r="J1951" s="25"/>
      <c r="K1951" s="367"/>
      <c r="L1951" s="42"/>
      <c r="M1951" s="42"/>
      <c r="N1951" s="42"/>
      <c r="O1951" s="42"/>
      <c r="P1951" s="42"/>
      <c r="Q1951" s="42"/>
      <c r="R1951" s="176"/>
      <c r="S1951" s="42"/>
      <c r="T1951" s="42"/>
      <c r="U1951" s="46"/>
      <c r="V1951" s="42"/>
      <c r="W1951" s="42"/>
      <c r="X1951" s="42"/>
      <c r="Y1951" s="42"/>
      <c r="Z1951" s="42"/>
      <c r="AA1951" s="42"/>
      <c r="AB1951" s="42"/>
      <c r="AC1951" s="42"/>
      <c r="AD1951" s="42"/>
      <c r="AE1951" s="42"/>
      <c r="AF1951" s="42"/>
    </row>
    <row r="1952">
      <c r="A1952" s="25"/>
      <c r="B1952" s="297"/>
      <c r="C1952" s="25"/>
      <c r="D1952" s="25"/>
      <c r="E1952" s="25"/>
      <c r="F1952" s="25"/>
      <c r="G1952" s="123"/>
      <c r="H1952" s="123"/>
      <c r="I1952" s="25"/>
      <c r="J1952" s="25"/>
      <c r="K1952" s="367"/>
      <c r="L1952" s="42"/>
      <c r="M1952" s="42"/>
      <c r="N1952" s="42"/>
      <c r="O1952" s="42"/>
      <c r="P1952" s="42"/>
      <c r="Q1952" s="42"/>
      <c r="R1952" s="176"/>
      <c r="S1952" s="42"/>
      <c r="T1952" s="42"/>
      <c r="U1952" s="46"/>
      <c r="V1952" s="42"/>
      <c r="W1952" s="42"/>
      <c r="X1952" s="42"/>
      <c r="Y1952" s="42"/>
      <c r="Z1952" s="42"/>
      <c r="AA1952" s="42"/>
      <c r="AB1952" s="42"/>
      <c r="AC1952" s="42"/>
      <c r="AD1952" s="42"/>
      <c r="AE1952" s="42"/>
      <c r="AF1952" s="42"/>
    </row>
    <row r="1953">
      <c r="A1953" s="25"/>
      <c r="B1953" s="297"/>
      <c r="C1953" s="25"/>
      <c r="D1953" s="25"/>
      <c r="E1953" s="25"/>
      <c r="F1953" s="25"/>
      <c r="G1953" s="123"/>
      <c r="H1953" s="123"/>
      <c r="I1953" s="25"/>
      <c r="J1953" s="25"/>
      <c r="K1953" s="367"/>
      <c r="L1953" s="42"/>
      <c r="M1953" s="42"/>
      <c r="N1953" s="42"/>
      <c r="O1953" s="42"/>
      <c r="P1953" s="42"/>
      <c r="Q1953" s="42"/>
      <c r="R1953" s="176"/>
      <c r="S1953" s="42"/>
      <c r="T1953" s="42"/>
      <c r="U1953" s="46"/>
      <c r="V1953" s="42"/>
      <c r="W1953" s="42"/>
      <c r="X1953" s="42"/>
      <c r="Y1953" s="42"/>
      <c r="Z1953" s="42"/>
      <c r="AA1953" s="42"/>
      <c r="AB1953" s="42"/>
      <c r="AC1953" s="42"/>
      <c r="AD1953" s="42"/>
      <c r="AE1953" s="42"/>
      <c r="AF1953" s="42"/>
    </row>
    <row r="1954">
      <c r="A1954" s="25"/>
      <c r="B1954" s="297"/>
      <c r="C1954" s="25"/>
      <c r="D1954" s="25"/>
      <c r="E1954" s="25"/>
      <c r="F1954" s="25"/>
      <c r="G1954" s="123"/>
      <c r="H1954" s="123"/>
      <c r="I1954" s="25"/>
      <c r="J1954" s="25"/>
      <c r="K1954" s="367"/>
      <c r="L1954" s="42"/>
      <c r="M1954" s="42"/>
      <c r="N1954" s="42"/>
      <c r="O1954" s="42"/>
      <c r="P1954" s="42"/>
      <c r="Q1954" s="42"/>
      <c r="R1954" s="176"/>
      <c r="S1954" s="42"/>
      <c r="T1954" s="42"/>
      <c r="U1954" s="46"/>
      <c r="V1954" s="42"/>
      <c r="W1954" s="42"/>
      <c r="X1954" s="42"/>
      <c r="Y1954" s="42"/>
      <c r="Z1954" s="42"/>
      <c r="AA1954" s="42"/>
      <c r="AB1954" s="42"/>
      <c r="AC1954" s="42"/>
      <c r="AD1954" s="42"/>
      <c r="AE1954" s="42"/>
      <c r="AF1954" s="42"/>
    </row>
    <row r="1955">
      <c r="A1955" s="25"/>
      <c r="B1955" s="297"/>
      <c r="C1955" s="25"/>
      <c r="D1955" s="25"/>
      <c r="E1955" s="25"/>
      <c r="F1955" s="25"/>
      <c r="G1955" s="123"/>
      <c r="H1955" s="123"/>
      <c r="I1955" s="25"/>
      <c r="J1955" s="25"/>
      <c r="K1955" s="367"/>
      <c r="L1955" s="42"/>
      <c r="M1955" s="42"/>
      <c r="N1955" s="42"/>
      <c r="O1955" s="42"/>
      <c r="P1955" s="42"/>
      <c r="Q1955" s="42"/>
      <c r="R1955" s="176"/>
      <c r="S1955" s="42"/>
      <c r="T1955" s="42"/>
      <c r="U1955" s="46"/>
      <c r="V1955" s="42"/>
      <c r="W1955" s="42"/>
      <c r="X1955" s="42"/>
      <c r="Y1955" s="42"/>
      <c r="Z1955" s="42"/>
      <c r="AA1955" s="42"/>
      <c r="AB1955" s="42"/>
      <c r="AC1955" s="42"/>
      <c r="AD1955" s="42"/>
      <c r="AE1955" s="42"/>
      <c r="AF1955" s="42"/>
    </row>
    <row r="1956">
      <c r="A1956" s="25"/>
      <c r="B1956" s="297"/>
      <c r="C1956" s="25"/>
      <c r="D1956" s="25"/>
      <c r="E1956" s="25"/>
      <c r="F1956" s="25"/>
      <c r="G1956" s="123"/>
      <c r="H1956" s="123"/>
      <c r="I1956" s="25"/>
      <c r="J1956" s="25"/>
      <c r="K1956" s="367"/>
      <c r="L1956" s="42"/>
      <c r="M1956" s="42"/>
      <c r="N1956" s="42"/>
      <c r="O1956" s="42"/>
      <c r="P1956" s="42"/>
      <c r="Q1956" s="42"/>
      <c r="R1956" s="176"/>
      <c r="S1956" s="42"/>
      <c r="T1956" s="42"/>
      <c r="U1956" s="46"/>
      <c r="V1956" s="42"/>
      <c r="W1956" s="42"/>
      <c r="X1956" s="42"/>
      <c r="Y1956" s="42"/>
      <c r="Z1956" s="42"/>
      <c r="AA1956" s="42"/>
      <c r="AB1956" s="42"/>
      <c r="AC1956" s="42"/>
      <c r="AD1956" s="42"/>
      <c r="AE1956" s="42"/>
      <c r="AF1956" s="42"/>
    </row>
    <row r="1957">
      <c r="A1957" s="25"/>
      <c r="B1957" s="297"/>
      <c r="C1957" s="25"/>
      <c r="D1957" s="25"/>
      <c r="E1957" s="25"/>
      <c r="F1957" s="25"/>
      <c r="G1957" s="123"/>
      <c r="H1957" s="123"/>
      <c r="I1957" s="25"/>
      <c r="J1957" s="25"/>
      <c r="K1957" s="367"/>
      <c r="L1957" s="42"/>
      <c r="M1957" s="42"/>
      <c r="N1957" s="42"/>
      <c r="O1957" s="42"/>
      <c r="P1957" s="42"/>
      <c r="Q1957" s="42"/>
      <c r="R1957" s="176"/>
      <c r="S1957" s="42"/>
      <c r="T1957" s="42"/>
      <c r="U1957" s="46"/>
      <c r="V1957" s="42"/>
      <c r="W1957" s="42"/>
      <c r="X1957" s="42"/>
      <c r="Y1957" s="42"/>
      <c r="Z1957" s="42"/>
      <c r="AA1957" s="42"/>
      <c r="AB1957" s="42"/>
      <c r="AC1957" s="42"/>
      <c r="AD1957" s="42"/>
      <c r="AE1957" s="42"/>
      <c r="AF1957" s="42"/>
    </row>
    <row r="1958">
      <c r="A1958" s="25"/>
      <c r="B1958" s="297"/>
      <c r="C1958" s="25"/>
      <c r="D1958" s="25"/>
      <c r="E1958" s="25"/>
      <c r="F1958" s="25"/>
      <c r="G1958" s="123"/>
      <c r="H1958" s="123"/>
      <c r="I1958" s="25"/>
      <c r="J1958" s="25"/>
      <c r="K1958" s="367"/>
      <c r="L1958" s="42"/>
      <c r="M1958" s="42"/>
      <c r="N1958" s="42"/>
      <c r="O1958" s="42"/>
      <c r="P1958" s="42"/>
      <c r="Q1958" s="42"/>
      <c r="R1958" s="176"/>
      <c r="S1958" s="42"/>
      <c r="T1958" s="42"/>
      <c r="U1958" s="46"/>
      <c r="V1958" s="42"/>
      <c r="W1958" s="42"/>
      <c r="X1958" s="42"/>
      <c r="Y1958" s="42"/>
      <c r="Z1958" s="42"/>
      <c r="AA1958" s="42"/>
      <c r="AB1958" s="42"/>
      <c r="AC1958" s="42"/>
      <c r="AD1958" s="42"/>
      <c r="AE1958" s="42"/>
      <c r="AF1958" s="42"/>
    </row>
    <row r="1959">
      <c r="A1959" s="25"/>
      <c r="B1959" s="297"/>
      <c r="C1959" s="25"/>
      <c r="D1959" s="25"/>
      <c r="E1959" s="25"/>
      <c r="F1959" s="25"/>
      <c r="G1959" s="123"/>
      <c r="H1959" s="123"/>
      <c r="I1959" s="25"/>
      <c r="J1959" s="25"/>
      <c r="K1959" s="367"/>
      <c r="L1959" s="42"/>
      <c r="M1959" s="42"/>
      <c r="N1959" s="42"/>
      <c r="O1959" s="42"/>
      <c r="P1959" s="42"/>
      <c r="Q1959" s="42"/>
      <c r="R1959" s="176"/>
      <c r="S1959" s="42"/>
      <c r="T1959" s="42"/>
      <c r="U1959" s="46"/>
      <c r="V1959" s="42"/>
      <c r="W1959" s="42"/>
      <c r="X1959" s="42"/>
      <c r="Y1959" s="42"/>
      <c r="Z1959" s="42"/>
      <c r="AA1959" s="42"/>
      <c r="AB1959" s="42"/>
      <c r="AC1959" s="42"/>
      <c r="AD1959" s="42"/>
      <c r="AE1959" s="42"/>
      <c r="AF1959" s="42"/>
    </row>
    <row r="1960">
      <c r="A1960" s="25"/>
      <c r="B1960" s="297"/>
      <c r="C1960" s="25"/>
      <c r="D1960" s="25"/>
      <c r="E1960" s="25"/>
      <c r="F1960" s="25"/>
      <c r="G1960" s="123"/>
      <c r="H1960" s="123"/>
      <c r="I1960" s="25"/>
      <c r="J1960" s="25"/>
      <c r="K1960" s="367"/>
      <c r="L1960" s="42"/>
      <c r="M1960" s="42"/>
      <c r="N1960" s="42"/>
      <c r="O1960" s="42"/>
      <c r="P1960" s="42"/>
      <c r="Q1960" s="42"/>
      <c r="R1960" s="176"/>
      <c r="S1960" s="42"/>
      <c r="T1960" s="42"/>
      <c r="U1960" s="46"/>
      <c r="V1960" s="42"/>
      <c r="W1960" s="42"/>
      <c r="X1960" s="42"/>
      <c r="Y1960" s="42"/>
      <c r="Z1960" s="42"/>
      <c r="AA1960" s="42"/>
      <c r="AB1960" s="42"/>
      <c r="AC1960" s="42"/>
      <c r="AD1960" s="42"/>
      <c r="AE1960" s="42"/>
      <c r="AF1960" s="42"/>
    </row>
    <row r="1961">
      <c r="A1961" s="25"/>
      <c r="B1961" s="297"/>
      <c r="C1961" s="25"/>
      <c r="D1961" s="25"/>
      <c r="E1961" s="25"/>
      <c r="F1961" s="25"/>
      <c r="G1961" s="123"/>
      <c r="H1961" s="123"/>
      <c r="I1961" s="25"/>
      <c r="J1961" s="25"/>
      <c r="K1961" s="367"/>
      <c r="L1961" s="42"/>
      <c r="M1961" s="42"/>
      <c r="N1961" s="42"/>
      <c r="O1961" s="42"/>
      <c r="P1961" s="42"/>
      <c r="Q1961" s="42"/>
      <c r="R1961" s="176"/>
      <c r="S1961" s="42"/>
      <c r="T1961" s="42"/>
      <c r="U1961" s="46"/>
      <c r="V1961" s="42"/>
      <c r="W1961" s="42"/>
      <c r="X1961" s="42"/>
      <c r="Y1961" s="42"/>
      <c r="Z1961" s="42"/>
      <c r="AA1961" s="42"/>
      <c r="AB1961" s="42"/>
      <c r="AC1961" s="42"/>
      <c r="AD1961" s="42"/>
      <c r="AE1961" s="42"/>
      <c r="AF1961" s="42"/>
    </row>
    <row r="1962">
      <c r="A1962" s="25"/>
      <c r="B1962" s="297"/>
      <c r="C1962" s="25"/>
      <c r="D1962" s="25"/>
      <c r="E1962" s="25"/>
      <c r="F1962" s="25"/>
      <c r="G1962" s="123"/>
      <c r="H1962" s="123"/>
      <c r="I1962" s="25"/>
      <c r="J1962" s="25"/>
      <c r="K1962" s="367"/>
      <c r="L1962" s="42"/>
      <c r="M1962" s="42"/>
      <c r="N1962" s="42"/>
      <c r="O1962" s="42"/>
      <c r="P1962" s="42"/>
      <c r="Q1962" s="42"/>
      <c r="R1962" s="176"/>
      <c r="S1962" s="42"/>
      <c r="T1962" s="42"/>
      <c r="U1962" s="46"/>
      <c r="V1962" s="42"/>
      <c r="W1962" s="42"/>
      <c r="X1962" s="42"/>
      <c r="Y1962" s="42"/>
      <c r="Z1962" s="42"/>
      <c r="AA1962" s="42"/>
      <c r="AB1962" s="42"/>
      <c r="AC1962" s="42"/>
      <c r="AD1962" s="42"/>
      <c r="AE1962" s="42"/>
      <c r="AF1962" s="42"/>
    </row>
    <row r="1963">
      <c r="A1963" s="25"/>
      <c r="B1963" s="297"/>
      <c r="C1963" s="25"/>
      <c r="D1963" s="25"/>
      <c r="E1963" s="25"/>
      <c r="F1963" s="25"/>
      <c r="G1963" s="123"/>
      <c r="H1963" s="123"/>
      <c r="I1963" s="25"/>
      <c r="J1963" s="25"/>
      <c r="K1963" s="367"/>
      <c r="L1963" s="42"/>
      <c r="M1963" s="42"/>
      <c r="N1963" s="42"/>
      <c r="O1963" s="42"/>
      <c r="P1963" s="42"/>
      <c r="Q1963" s="42"/>
      <c r="R1963" s="176"/>
      <c r="S1963" s="42"/>
      <c r="T1963" s="42"/>
      <c r="U1963" s="46"/>
      <c r="V1963" s="42"/>
      <c r="W1963" s="42"/>
      <c r="X1963" s="42"/>
      <c r="Y1963" s="42"/>
      <c r="Z1963" s="42"/>
      <c r="AA1963" s="42"/>
      <c r="AB1963" s="42"/>
      <c r="AC1963" s="42"/>
      <c r="AD1963" s="42"/>
      <c r="AE1963" s="42"/>
      <c r="AF1963" s="42"/>
    </row>
    <row r="1964">
      <c r="A1964" s="25"/>
      <c r="B1964" s="297"/>
      <c r="C1964" s="25"/>
      <c r="D1964" s="25"/>
      <c r="E1964" s="25"/>
      <c r="F1964" s="25"/>
      <c r="G1964" s="123"/>
      <c r="H1964" s="123"/>
      <c r="I1964" s="25"/>
      <c r="J1964" s="25"/>
      <c r="K1964" s="367"/>
      <c r="L1964" s="42"/>
      <c r="M1964" s="42"/>
      <c r="N1964" s="42"/>
      <c r="O1964" s="42"/>
      <c r="P1964" s="42"/>
      <c r="Q1964" s="42"/>
      <c r="R1964" s="176"/>
      <c r="S1964" s="42"/>
      <c r="T1964" s="42"/>
      <c r="U1964" s="46"/>
      <c r="V1964" s="42"/>
      <c r="W1964" s="42"/>
      <c r="X1964" s="42"/>
      <c r="Y1964" s="42"/>
      <c r="Z1964" s="42"/>
      <c r="AA1964" s="42"/>
      <c r="AB1964" s="42"/>
      <c r="AC1964" s="42"/>
      <c r="AD1964" s="42"/>
      <c r="AE1964" s="42"/>
      <c r="AF1964" s="42"/>
    </row>
    <row r="1965">
      <c r="A1965" s="25"/>
      <c r="B1965" s="297"/>
      <c r="C1965" s="25"/>
      <c r="D1965" s="25"/>
      <c r="E1965" s="25"/>
      <c r="F1965" s="25"/>
      <c r="G1965" s="123"/>
      <c r="H1965" s="123"/>
      <c r="I1965" s="25"/>
      <c r="J1965" s="25"/>
      <c r="K1965" s="367"/>
      <c r="L1965" s="42"/>
      <c r="M1965" s="42"/>
      <c r="N1965" s="42"/>
      <c r="O1965" s="42"/>
      <c r="P1965" s="42"/>
      <c r="Q1965" s="42"/>
      <c r="R1965" s="176"/>
      <c r="S1965" s="42"/>
      <c r="T1965" s="42"/>
      <c r="U1965" s="46"/>
      <c r="V1965" s="42"/>
      <c r="W1965" s="42"/>
      <c r="X1965" s="42"/>
      <c r="Y1965" s="42"/>
      <c r="Z1965" s="42"/>
      <c r="AA1965" s="42"/>
      <c r="AB1965" s="42"/>
      <c r="AC1965" s="42"/>
      <c r="AD1965" s="42"/>
      <c r="AE1965" s="42"/>
      <c r="AF1965" s="42"/>
    </row>
    <row r="1966">
      <c r="A1966" s="25"/>
      <c r="B1966" s="297"/>
      <c r="C1966" s="25"/>
      <c r="D1966" s="25"/>
      <c r="E1966" s="25"/>
      <c r="F1966" s="25"/>
      <c r="G1966" s="123"/>
      <c r="H1966" s="123"/>
      <c r="I1966" s="25"/>
      <c r="J1966" s="25"/>
      <c r="K1966" s="367"/>
      <c r="L1966" s="42"/>
      <c r="M1966" s="42"/>
      <c r="N1966" s="42"/>
      <c r="O1966" s="42"/>
      <c r="P1966" s="42"/>
      <c r="Q1966" s="42"/>
      <c r="R1966" s="176"/>
      <c r="S1966" s="42"/>
      <c r="T1966" s="42"/>
      <c r="U1966" s="46"/>
      <c r="V1966" s="42"/>
      <c r="W1966" s="42"/>
      <c r="X1966" s="42"/>
      <c r="Y1966" s="42"/>
      <c r="Z1966" s="42"/>
      <c r="AA1966" s="42"/>
      <c r="AB1966" s="42"/>
      <c r="AC1966" s="42"/>
      <c r="AD1966" s="42"/>
      <c r="AE1966" s="42"/>
      <c r="AF1966" s="42"/>
    </row>
    <row r="1967">
      <c r="A1967" s="25"/>
      <c r="B1967" s="297"/>
      <c r="C1967" s="25"/>
      <c r="D1967" s="25"/>
      <c r="E1967" s="25"/>
      <c r="F1967" s="25"/>
      <c r="G1967" s="123"/>
      <c r="H1967" s="123"/>
      <c r="I1967" s="25"/>
      <c r="J1967" s="25"/>
      <c r="K1967" s="367"/>
      <c r="L1967" s="42"/>
      <c r="M1967" s="42"/>
      <c r="N1967" s="42"/>
      <c r="O1967" s="42"/>
      <c r="P1967" s="42"/>
      <c r="Q1967" s="42"/>
      <c r="R1967" s="176"/>
      <c r="S1967" s="42"/>
      <c r="T1967" s="42"/>
      <c r="U1967" s="46"/>
      <c r="V1967" s="42"/>
      <c r="W1967" s="42"/>
      <c r="X1967" s="42"/>
      <c r="Y1967" s="42"/>
      <c r="Z1967" s="42"/>
      <c r="AA1967" s="42"/>
      <c r="AB1967" s="42"/>
      <c r="AC1967" s="42"/>
      <c r="AD1967" s="42"/>
      <c r="AE1967" s="42"/>
      <c r="AF1967" s="42"/>
    </row>
    <row r="1968">
      <c r="A1968" s="25"/>
      <c r="B1968" s="297"/>
      <c r="C1968" s="25"/>
      <c r="D1968" s="25"/>
      <c r="E1968" s="25"/>
      <c r="F1968" s="25"/>
      <c r="G1968" s="123"/>
      <c r="H1968" s="123"/>
      <c r="I1968" s="25"/>
      <c r="J1968" s="25"/>
      <c r="K1968" s="367"/>
      <c r="L1968" s="42"/>
      <c r="M1968" s="42"/>
      <c r="N1968" s="42"/>
      <c r="O1968" s="42"/>
      <c r="P1968" s="42"/>
      <c r="Q1968" s="42"/>
      <c r="R1968" s="176"/>
      <c r="S1968" s="42"/>
      <c r="T1968" s="42"/>
      <c r="U1968" s="46"/>
      <c r="V1968" s="42"/>
      <c r="W1968" s="42"/>
      <c r="X1968" s="42"/>
      <c r="Y1968" s="42"/>
      <c r="Z1968" s="42"/>
      <c r="AA1968" s="42"/>
      <c r="AB1968" s="42"/>
      <c r="AC1968" s="42"/>
      <c r="AD1968" s="42"/>
      <c r="AE1968" s="42"/>
      <c r="AF1968" s="42"/>
    </row>
    <row r="1969">
      <c r="A1969" s="25"/>
      <c r="B1969" s="297"/>
      <c r="C1969" s="25"/>
      <c r="D1969" s="25"/>
      <c r="E1969" s="25"/>
      <c r="F1969" s="25"/>
      <c r="G1969" s="123"/>
      <c r="H1969" s="123"/>
      <c r="I1969" s="25"/>
      <c r="J1969" s="25"/>
      <c r="K1969" s="367"/>
      <c r="L1969" s="42"/>
      <c r="M1969" s="42"/>
      <c r="N1969" s="42"/>
      <c r="O1969" s="42"/>
      <c r="P1969" s="42"/>
      <c r="Q1969" s="42"/>
      <c r="R1969" s="176"/>
      <c r="S1969" s="42"/>
      <c r="T1969" s="42"/>
      <c r="U1969" s="46"/>
      <c r="V1969" s="42"/>
      <c r="W1969" s="42"/>
      <c r="X1969" s="42"/>
      <c r="Y1969" s="42"/>
      <c r="Z1969" s="42"/>
      <c r="AA1969" s="42"/>
      <c r="AB1969" s="42"/>
      <c r="AC1969" s="42"/>
      <c r="AD1969" s="42"/>
      <c r="AE1969" s="42"/>
      <c r="AF1969" s="42"/>
    </row>
    <row r="1970">
      <c r="A1970" s="25"/>
      <c r="B1970" s="297"/>
      <c r="C1970" s="25"/>
      <c r="D1970" s="25"/>
      <c r="E1970" s="25"/>
      <c r="F1970" s="25"/>
      <c r="G1970" s="123"/>
      <c r="H1970" s="123"/>
      <c r="I1970" s="25"/>
      <c r="J1970" s="25"/>
      <c r="K1970" s="367"/>
      <c r="L1970" s="42"/>
      <c r="M1970" s="42"/>
      <c r="N1970" s="42"/>
      <c r="O1970" s="42"/>
      <c r="P1970" s="42"/>
      <c r="Q1970" s="42"/>
      <c r="R1970" s="176"/>
      <c r="S1970" s="42"/>
      <c r="T1970" s="42"/>
      <c r="U1970" s="46"/>
      <c r="V1970" s="42"/>
      <c r="W1970" s="42"/>
      <c r="X1970" s="42"/>
      <c r="Y1970" s="42"/>
      <c r="Z1970" s="42"/>
      <c r="AA1970" s="42"/>
      <c r="AB1970" s="42"/>
      <c r="AC1970" s="42"/>
      <c r="AD1970" s="42"/>
      <c r="AE1970" s="42"/>
      <c r="AF1970" s="42"/>
    </row>
    <row r="1971">
      <c r="A1971" s="25"/>
      <c r="B1971" s="297"/>
      <c r="C1971" s="25"/>
      <c r="D1971" s="25"/>
      <c r="E1971" s="25"/>
      <c r="F1971" s="25"/>
      <c r="G1971" s="123"/>
      <c r="H1971" s="123"/>
      <c r="I1971" s="25"/>
      <c r="J1971" s="25"/>
      <c r="K1971" s="367"/>
      <c r="L1971" s="42"/>
      <c r="M1971" s="42"/>
      <c r="N1971" s="42"/>
      <c r="O1971" s="42"/>
      <c r="P1971" s="42"/>
      <c r="Q1971" s="42"/>
      <c r="R1971" s="176"/>
      <c r="S1971" s="42"/>
      <c r="T1971" s="42"/>
      <c r="U1971" s="46"/>
      <c r="V1971" s="42"/>
      <c r="W1971" s="42"/>
      <c r="X1971" s="42"/>
      <c r="Y1971" s="42"/>
      <c r="Z1971" s="42"/>
      <c r="AA1971" s="42"/>
      <c r="AB1971" s="42"/>
      <c r="AC1971" s="42"/>
      <c r="AD1971" s="42"/>
      <c r="AE1971" s="42"/>
      <c r="AF1971" s="42"/>
    </row>
    <row r="1972">
      <c r="A1972" s="25"/>
      <c r="B1972" s="297"/>
      <c r="C1972" s="25"/>
      <c r="D1972" s="25"/>
      <c r="E1972" s="25"/>
      <c r="F1972" s="25"/>
      <c r="G1972" s="123"/>
      <c r="H1972" s="123"/>
      <c r="I1972" s="25"/>
      <c r="J1972" s="25"/>
      <c r="K1972" s="367"/>
      <c r="L1972" s="42"/>
      <c r="M1972" s="42"/>
      <c r="N1972" s="42"/>
      <c r="O1972" s="42"/>
      <c r="P1972" s="42"/>
      <c r="Q1972" s="42"/>
      <c r="R1972" s="176"/>
      <c r="S1972" s="42"/>
      <c r="T1972" s="42"/>
      <c r="U1972" s="46"/>
      <c r="V1972" s="42"/>
      <c r="W1972" s="42"/>
      <c r="X1972" s="42"/>
      <c r="Y1972" s="42"/>
      <c r="Z1972" s="42"/>
      <c r="AA1972" s="42"/>
      <c r="AB1972" s="42"/>
      <c r="AC1972" s="42"/>
      <c r="AD1972" s="42"/>
      <c r="AE1972" s="42"/>
      <c r="AF1972" s="42"/>
    </row>
    <row r="1973">
      <c r="A1973" s="25"/>
      <c r="B1973" s="297"/>
      <c r="C1973" s="25"/>
      <c r="D1973" s="25"/>
      <c r="E1973" s="25"/>
      <c r="F1973" s="25"/>
      <c r="G1973" s="123"/>
      <c r="H1973" s="123"/>
      <c r="I1973" s="25"/>
      <c r="J1973" s="25"/>
      <c r="K1973" s="367"/>
      <c r="L1973" s="42"/>
      <c r="M1973" s="42"/>
      <c r="N1973" s="42"/>
      <c r="O1973" s="42"/>
      <c r="P1973" s="42"/>
      <c r="Q1973" s="42"/>
      <c r="R1973" s="176"/>
      <c r="S1973" s="42"/>
      <c r="T1973" s="42"/>
      <c r="U1973" s="46"/>
      <c r="V1973" s="42"/>
      <c r="W1973" s="42"/>
      <c r="X1973" s="42"/>
      <c r="Y1973" s="42"/>
      <c r="Z1973" s="42"/>
      <c r="AA1973" s="42"/>
      <c r="AB1973" s="42"/>
      <c r="AC1973" s="42"/>
      <c r="AD1973" s="42"/>
      <c r="AE1973" s="42"/>
      <c r="AF1973" s="42"/>
    </row>
    <row r="1974">
      <c r="A1974" s="25"/>
      <c r="B1974" s="297"/>
      <c r="C1974" s="25"/>
      <c r="D1974" s="25"/>
      <c r="E1974" s="25"/>
      <c r="F1974" s="25"/>
      <c r="G1974" s="123"/>
      <c r="H1974" s="123"/>
      <c r="I1974" s="25"/>
      <c r="J1974" s="25"/>
      <c r="K1974" s="367"/>
      <c r="L1974" s="42"/>
      <c r="M1974" s="42"/>
      <c r="N1974" s="42"/>
      <c r="O1974" s="42"/>
      <c r="P1974" s="42"/>
      <c r="Q1974" s="42"/>
      <c r="R1974" s="176"/>
      <c r="S1974" s="42"/>
      <c r="T1974" s="42"/>
      <c r="U1974" s="46"/>
      <c r="V1974" s="42"/>
      <c r="W1974" s="42"/>
      <c r="X1974" s="42"/>
      <c r="Y1974" s="42"/>
      <c r="Z1974" s="42"/>
      <c r="AA1974" s="42"/>
      <c r="AB1974" s="42"/>
      <c r="AC1974" s="42"/>
      <c r="AD1974" s="42"/>
      <c r="AE1974" s="42"/>
      <c r="AF1974" s="42"/>
    </row>
    <row r="1975">
      <c r="A1975" s="25"/>
      <c r="B1975" s="297"/>
      <c r="C1975" s="25"/>
      <c r="D1975" s="25"/>
      <c r="E1975" s="25"/>
      <c r="F1975" s="25"/>
      <c r="G1975" s="123"/>
      <c r="H1975" s="123"/>
      <c r="I1975" s="25"/>
      <c r="J1975" s="25"/>
      <c r="K1975" s="367"/>
      <c r="L1975" s="42"/>
      <c r="M1975" s="42"/>
      <c r="N1975" s="42"/>
      <c r="O1975" s="42"/>
      <c r="P1975" s="42"/>
      <c r="Q1975" s="42"/>
      <c r="R1975" s="176"/>
      <c r="S1975" s="42"/>
      <c r="T1975" s="42"/>
      <c r="U1975" s="46"/>
      <c r="V1975" s="42"/>
      <c r="W1975" s="42"/>
      <c r="X1975" s="42"/>
      <c r="Y1975" s="42"/>
      <c r="Z1975" s="42"/>
      <c r="AA1975" s="42"/>
      <c r="AB1975" s="42"/>
      <c r="AC1975" s="42"/>
      <c r="AD1975" s="42"/>
      <c r="AE1975" s="42"/>
      <c r="AF1975" s="42"/>
    </row>
    <row r="1976">
      <c r="A1976" s="25"/>
      <c r="B1976" s="297"/>
      <c r="C1976" s="25"/>
      <c r="D1976" s="25"/>
      <c r="E1976" s="25"/>
      <c r="F1976" s="25"/>
      <c r="G1976" s="123"/>
      <c r="H1976" s="123"/>
      <c r="I1976" s="25"/>
      <c r="J1976" s="25"/>
      <c r="K1976" s="367"/>
      <c r="L1976" s="42"/>
      <c r="M1976" s="42"/>
      <c r="N1976" s="42"/>
      <c r="O1976" s="42"/>
      <c r="P1976" s="42"/>
      <c r="Q1976" s="42"/>
      <c r="R1976" s="176"/>
      <c r="S1976" s="42"/>
      <c r="T1976" s="42"/>
      <c r="U1976" s="46"/>
      <c r="V1976" s="42"/>
      <c r="W1976" s="42"/>
      <c r="X1976" s="42"/>
      <c r="Y1976" s="42"/>
      <c r="Z1976" s="42"/>
      <c r="AA1976" s="42"/>
      <c r="AB1976" s="42"/>
      <c r="AC1976" s="42"/>
      <c r="AD1976" s="42"/>
      <c r="AE1976" s="42"/>
      <c r="AF1976" s="42"/>
    </row>
    <row r="1977">
      <c r="A1977" s="25"/>
      <c r="B1977" s="297"/>
      <c r="C1977" s="25"/>
      <c r="D1977" s="25"/>
      <c r="E1977" s="25"/>
      <c r="F1977" s="25"/>
      <c r="G1977" s="123"/>
      <c r="H1977" s="123"/>
      <c r="I1977" s="25"/>
      <c r="J1977" s="25"/>
      <c r="K1977" s="367"/>
      <c r="L1977" s="42"/>
      <c r="M1977" s="42"/>
      <c r="N1977" s="42"/>
      <c r="O1977" s="42"/>
      <c r="P1977" s="42"/>
      <c r="Q1977" s="42"/>
      <c r="R1977" s="176"/>
      <c r="S1977" s="42"/>
      <c r="T1977" s="42"/>
      <c r="U1977" s="46"/>
      <c r="V1977" s="42"/>
      <c r="W1977" s="42"/>
      <c r="X1977" s="42"/>
      <c r="Y1977" s="42"/>
      <c r="Z1977" s="42"/>
      <c r="AA1977" s="42"/>
      <c r="AB1977" s="42"/>
      <c r="AC1977" s="42"/>
      <c r="AD1977" s="42"/>
      <c r="AE1977" s="42"/>
      <c r="AF1977" s="42"/>
    </row>
    <row r="1978">
      <c r="A1978" s="25"/>
      <c r="B1978" s="297"/>
      <c r="C1978" s="25"/>
      <c r="D1978" s="25"/>
      <c r="E1978" s="25"/>
      <c r="F1978" s="25"/>
      <c r="G1978" s="123"/>
      <c r="H1978" s="123"/>
      <c r="I1978" s="25"/>
      <c r="J1978" s="25"/>
      <c r="K1978" s="367"/>
      <c r="L1978" s="42"/>
      <c r="M1978" s="42"/>
      <c r="N1978" s="42"/>
      <c r="O1978" s="42"/>
      <c r="P1978" s="42"/>
      <c r="Q1978" s="42"/>
      <c r="R1978" s="176"/>
      <c r="S1978" s="42"/>
      <c r="T1978" s="42"/>
      <c r="U1978" s="46"/>
      <c r="V1978" s="42"/>
      <c r="W1978" s="42"/>
      <c r="X1978" s="42"/>
      <c r="Y1978" s="42"/>
      <c r="Z1978" s="42"/>
      <c r="AA1978" s="42"/>
      <c r="AB1978" s="42"/>
      <c r="AC1978" s="42"/>
      <c r="AD1978" s="42"/>
      <c r="AE1978" s="42"/>
      <c r="AF1978" s="42"/>
    </row>
    <row r="1979">
      <c r="A1979" s="25"/>
      <c r="B1979" s="297"/>
      <c r="C1979" s="25"/>
      <c r="D1979" s="25"/>
      <c r="E1979" s="25"/>
      <c r="F1979" s="25"/>
      <c r="G1979" s="123"/>
      <c r="H1979" s="123"/>
      <c r="I1979" s="25"/>
      <c r="J1979" s="25"/>
      <c r="K1979" s="367"/>
      <c r="L1979" s="42"/>
      <c r="M1979" s="42"/>
      <c r="N1979" s="42"/>
      <c r="O1979" s="42"/>
      <c r="P1979" s="42"/>
      <c r="Q1979" s="42"/>
      <c r="R1979" s="176"/>
      <c r="S1979" s="42"/>
      <c r="T1979" s="42"/>
      <c r="U1979" s="46"/>
      <c r="V1979" s="42"/>
      <c r="W1979" s="42"/>
      <c r="X1979" s="42"/>
      <c r="Y1979" s="42"/>
      <c r="Z1979" s="42"/>
      <c r="AA1979" s="42"/>
      <c r="AB1979" s="42"/>
      <c r="AC1979" s="42"/>
      <c r="AD1979" s="42"/>
      <c r="AE1979" s="42"/>
      <c r="AF1979" s="42"/>
    </row>
    <row r="1980">
      <c r="A1980" s="25"/>
      <c r="B1980" s="297"/>
      <c r="C1980" s="25"/>
      <c r="D1980" s="25"/>
      <c r="E1980" s="25"/>
      <c r="F1980" s="25"/>
      <c r="G1980" s="123"/>
      <c r="H1980" s="123"/>
      <c r="I1980" s="25"/>
      <c r="J1980" s="25"/>
      <c r="K1980" s="367"/>
      <c r="L1980" s="42"/>
      <c r="M1980" s="42"/>
      <c r="N1980" s="42"/>
      <c r="O1980" s="42"/>
      <c r="P1980" s="42"/>
      <c r="Q1980" s="42"/>
      <c r="R1980" s="176"/>
      <c r="S1980" s="42"/>
      <c r="T1980" s="42"/>
      <c r="U1980" s="46"/>
      <c r="V1980" s="42"/>
      <c r="W1980" s="42"/>
      <c r="X1980" s="42"/>
      <c r="Y1980" s="42"/>
      <c r="Z1980" s="42"/>
      <c r="AA1980" s="42"/>
      <c r="AB1980" s="42"/>
      <c r="AC1980" s="42"/>
      <c r="AD1980" s="42"/>
      <c r="AE1980" s="42"/>
      <c r="AF1980" s="42"/>
    </row>
    <row r="1981">
      <c r="A1981" s="25"/>
      <c r="B1981" s="297"/>
      <c r="C1981" s="25"/>
      <c r="D1981" s="25"/>
      <c r="E1981" s="25"/>
      <c r="F1981" s="25"/>
      <c r="G1981" s="123"/>
      <c r="H1981" s="123"/>
      <c r="I1981" s="25"/>
      <c r="J1981" s="25"/>
      <c r="K1981" s="367"/>
      <c r="L1981" s="42"/>
      <c r="M1981" s="42"/>
      <c r="N1981" s="42"/>
      <c r="O1981" s="42"/>
      <c r="P1981" s="42"/>
      <c r="Q1981" s="42"/>
      <c r="R1981" s="176"/>
      <c r="S1981" s="42"/>
      <c r="T1981" s="42"/>
      <c r="U1981" s="46"/>
      <c r="V1981" s="42"/>
      <c r="W1981" s="42"/>
      <c r="X1981" s="42"/>
      <c r="Y1981" s="42"/>
      <c r="Z1981" s="42"/>
      <c r="AA1981" s="42"/>
      <c r="AB1981" s="42"/>
      <c r="AC1981" s="42"/>
      <c r="AD1981" s="42"/>
      <c r="AE1981" s="42"/>
      <c r="AF1981" s="42"/>
    </row>
    <row r="1982">
      <c r="A1982" s="25"/>
      <c r="B1982" s="297"/>
      <c r="C1982" s="25"/>
      <c r="D1982" s="25"/>
      <c r="E1982" s="25"/>
      <c r="F1982" s="25"/>
      <c r="G1982" s="123"/>
      <c r="H1982" s="123"/>
      <c r="I1982" s="25"/>
      <c r="J1982" s="25"/>
      <c r="K1982" s="367"/>
      <c r="L1982" s="42"/>
      <c r="M1982" s="42"/>
      <c r="N1982" s="42"/>
      <c r="O1982" s="42"/>
      <c r="P1982" s="42"/>
      <c r="Q1982" s="42"/>
      <c r="R1982" s="176"/>
      <c r="S1982" s="42"/>
      <c r="T1982" s="42"/>
      <c r="U1982" s="46"/>
      <c r="V1982" s="42"/>
      <c r="W1982" s="42"/>
      <c r="X1982" s="42"/>
      <c r="Y1982" s="42"/>
      <c r="Z1982" s="42"/>
      <c r="AA1982" s="42"/>
      <c r="AB1982" s="42"/>
      <c r="AC1982" s="42"/>
      <c r="AD1982" s="42"/>
      <c r="AE1982" s="42"/>
      <c r="AF1982" s="42"/>
    </row>
    <row r="1983">
      <c r="A1983" s="25"/>
      <c r="B1983" s="297"/>
      <c r="C1983" s="25"/>
      <c r="D1983" s="25"/>
      <c r="E1983" s="25"/>
      <c r="F1983" s="25"/>
      <c r="G1983" s="123"/>
      <c r="H1983" s="123"/>
      <c r="I1983" s="25"/>
      <c r="J1983" s="25"/>
      <c r="K1983" s="367"/>
      <c r="L1983" s="42"/>
      <c r="M1983" s="42"/>
      <c r="N1983" s="42"/>
      <c r="O1983" s="42"/>
      <c r="P1983" s="42"/>
      <c r="Q1983" s="42"/>
      <c r="R1983" s="176"/>
      <c r="S1983" s="42"/>
      <c r="T1983" s="42"/>
      <c r="U1983" s="46"/>
      <c r="V1983" s="42"/>
      <c r="W1983" s="42"/>
      <c r="X1983" s="42"/>
      <c r="Y1983" s="42"/>
      <c r="Z1983" s="42"/>
      <c r="AA1983" s="42"/>
      <c r="AB1983" s="42"/>
      <c r="AC1983" s="42"/>
      <c r="AD1983" s="42"/>
      <c r="AE1983" s="42"/>
      <c r="AF1983" s="42"/>
    </row>
    <row r="1984">
      <c r="A1984" s="25"/>
      <c r="B1984" s="297"/>
      <c r="C1984" s="25"/>
      <c r="D1984" s="25"/>
      <c r="E1984" s="25"/>
      <c r="F1984" s="25"/>
      <c r="G1984" s="123"/>
      <c r="H1984" s="123"/>
      <c r="I1984" s="25"/>
      <c r="J1984" s="25"/>
      <c r="K1984" s="367"/>
      <c r="L1984" s="42"/>
      <c r="M1984" s="42"/>
      <c r="N1984" s="42"/>
      <c r="O1984" s="42"/>
      <c r="P1984" s="42"/>
      <c r="Q1984" s="42"/>
      <c r="R1984" s="176"/>
      <c r="S1984" s="42"/>
      <c r="T1984" s="42"/>
      <c r="U1984" s="46"/>
      <c r="V1984" s="42"/>
      <c r="W1984" s="42"/>
      <c r="X1984" s="42"/>
      <c r="Y1984" s="42"/>
      <c r="Z1984" s="42"/>
      <c r="AA1984" s="42"/>
      <c r="AB1984" s="42"/>
      <c r="AC1984" s="42"/>
      <c r="AD1984" s="42"/>
      <c r="AE1984" s="42"/>
      <c r="AF1984" s="42"/>
    </row>
    <row r="1985">
      <c r="A1985" s="25"/>
      <c r="B1985" s="297"/>
      <c r="C1985" s="25"/>
      <c r="D1985" s="25"/>
      <c r="E1985" s="25"/>
      <c r="F1985" s="25"/>
      <c r="G1985" s="123"/>
      <c r="H1985" s="123"/>
      <c r="I1985" s="25"/>
      <c r="J1985" s="25"/>
      <c r="K1985" s="367"/>
      <c r="L1985" s="42"/>
      <c r="M1985" s="42"/>
      <c r="N1985" s="42"/>
      <c r="O1985" s="42"/>
      <c r="P1985" s="42"/>
      <c r="Q1985" s="42"/>
      <c r="R1985" s="176"/>
      <c r="S1985" s="42"/>
      <c r="T1985" s="42"/>
      <c r="U1985" s="46"/>
      <c r="V1985" s="42"/>
      <c r="W1985" s="42"/>
      <c r="X1985" s="42"/>
      <c r="Y1985" s="42"/>
      <c r="Z1985" s="42"/>
      <c r="AA1985" s="42"/>
      <c r="AB1985" s="42"/>
      <c r="AC1985" s="42"/>
      <c r="AD1985" s="42"/>
      <c r="AE1985" s="42"/>
      <c r="AF1985" s="42"/>
    </row>
    <row r="1986">
      <c r="A1986" s="25"/>
      <c r="B1986" s="297"/>
      <c r="C1986" s="25"/>
      <c r="D1986" s="25"/>
      <c r="E1986" s="25"/>
      <c r="F1986" s="25"/>
      <c r="G1986" s="123"/>
      <c r="H1986" s="123"/>
      <c r="I1986" s="25"/>
      <c r="J1986" s="25"/>
      <c r="K1986" s="367"/>
      <c r="L1986" s="42"/>
      <c r="M1986" s="42"/>
      <c r="N1986" s="42"/>
      <c r="O1986" s="42"/>
      <c r="P1986" s="42"/>
      <c r="Q1986" s="42"/>
      <c r="R1986" s="176"/>
      <c r="S1986" s="42"/>
      <c r="T1986" s="42"/>
      <c r="U1986" s="46"/>
      <c r="V1986" s="42"/>
      <c r="W1986" s="42"/>
      <c r="X1986" s="42"/>
      <c r="Y1986" s="42"/>
      <c r="Z1986" s="42"/>
      <c r="AA1986" s="42"/>
      <c r="AB1986" s="42"/>
      <c r="AC1986" s="42"/>
      <c r="AD1986" s="42"/>
      <c r="AE1986" s="42"/>
      <c r="AF1986" s="42"/>
    </row>
    <row r="1987">
      <c r="A1987" s="25"/>
      <c r="B1987" s="297"/>
      <c r="C1987" s="25"/>
      <c r="D1987" s="25"/>
      <c r="E1987" s="25"/>
      <c r="F1987" s="25"/>
      <c r="G1987" s="123"/>
      <c r="H1987" s="123"/>
      <c r="I1987" s="25"/>
      <c r="J1987" s="25"/>
      <c r="K1987" s="367"/>
      <c r="L1987" s="42"/>
      <c r="M1987" s="42"/>
      <c r="N1987" s="42"/>
      <c r="O1987" s="42"/>
      <c r="P1987" s="42"/>
      <c r="Q1987" s="42"/>
      <c r="R1987" s="176"/>
      <c r="S1987" s="42"/>
      <c r="T1987" s="42"/>
      <c r="U1987" s="46"/>
      <c r="V1987" s="42"/>
      <c r="W1987" s="42"/>
      <c r="X1987" s="42"/>
      <c r="Y1987" s="42"/>
      <c r="Z1987" s="42"/>
      <c r="AA1987" s="42"/>
      <c r="AB1987" s="42"/>
      <c r="AC1987" s="42"/>
      <c r="AD1987" s="42"/>
      <c r="AE1987" s="42"/>
      <c r="AF1987" s="42"/>
    </row>
    <row r="1988">
      <c r="A1988" s="25"/>
      <c r="B1988" s="297"/>
      <c r="C1988" s="25"/>
      <c r="D1988" s="25"/>
      <c r="E1988" s="25"/>
      <c r="F1988" s="25"/>
      <c r="G1988" s="123"/>
      <c r="H1988" s="123"/>
      <c r="I1988" s="25"/>
      <c r="J1988" s="25"/>
      <c r="K1988" s="367"/>
      <c r="L1988" s="42"/>
      <c r="M1988" s="42"/>
      <c r="N1988" s="42"/>
      <c r="O1988" s="42"/>
      <c r="P1988" s="42"/>
      <c r="Q1988" s="42"/>
      <c r="R1988" s="176"/>
      <c r="S1988" s="42"/>
      <c r="T1988" s="42"/>
      <c r="U1988" s="46"/>
      <c r="V1988" s="42"/>
      <c r="W1988" s="42"/>
      <c r="X1988" s="42"/>
      <c r="Y1988" s="42"/>
      <c r="Z1988" s="42"/>
      <c r="AA1988" s="42"/>
      <c r="AB1988" s="42"/>
      <c r="AC1988" s="42"/>
      <c r="AD1988" s="42"/>
      <c r="AE1988" s="42"/>
      <c r="AF1988" s="42"/>
    </row>
    <row r="1989">
      <c r="A1989" s="25"/>
      <c r="B1989" s="297"/>
      <c r="C1989" s="25"/>
      <c r="D1989" s="25"/>
      <c r="E1989" s="25"/>
      <c r="F1989" s="25"/>
      <c r="G1989" s="123"/>
      <c r="H1989" s="123"/>
      <c r="I1989" s="25"/>
      <c r="J1989" s="25"/>
      <c r="K1989" s="367"/>
      <c r="L1989" s="42"/>
      <c r="M1989" s="42"/>
      <c r="N1989" s="42"/>
      <c r="O1989" s="42"/>
      <c r="P1989" s="42"/>
      <c r="Q1989" s="42"/>
      <c r="R1989" s="176"/>
      <c r="S1989" s="42"/>
      <c r="T1989" s="42"/>
      <c r="U1989" s="46"/>
      <c r="V1989" s="42"/>
      <c r="W1989" s="42"/>
      <c r="X1989" s="42"/>
      <c r="Y1989" s="42"/>
      <c r="Z1989" s="42"/>
      <c r="AA1989" s="42"/>
      <c r="AB1989" s="42"/>
      <c r="AC1989" s="42"/>
      <c r="AD1989" s="42"/>
      <c r="AE1989" s="42"/>
      <c r="AF1989" s="42"/>
    </row>
    <row r="1990">
      <c r="A1990" s="25"/>
      <c r="B1990" s="297"/>
      <c r="C1990" s="25"/>
      <c r="D1990" s="25"/>
      <c r="E1990" s="25"/>
      <c r="F1990" s="25"/>
      <c r="G1990" s="123"/>
      <c r="H1990" s="123"/>
      <c r="I1990" s="25"/>
      <c r="J1990" s="25"/>
      <c r="K1990" s="367"/>
      <c r="L1990" s="42"/>
      <c r="M1990" s="42"/>
      <c r="N1990" s="42"/>
      <c r="O1990" s="42"/>
      <c r="P1990" s="42"/>
      <c r="Q1990" s="42"/>
      <c r="R1990" s="176"/>
      <c r="S1990" s="42"/>
      <c r="T1990" s="42"/>
      <c r="U1990" s="46"/>
      <c r="V1990" s="42"/>
      <c r="W1990" s="42"/>
      <c r="X1990" s="42"/>
      <c r="Y1990" s="42"/>
      <c r="Z1990" s="42"/>
      <c r="AA1990" s="42"/>
      <c r="AB1990" s="42"/>
      <c r="AC1990" s="42"/>
      <c r="AD1990" s="42"/>
      <c r="AE1990" s="42"/>
      <c r="AF1990" s="42"/>
    </row>
    <row r="1991">
      <c r="A1991" s="25"/>
      <c r="B1991" s="297"/>
      <c r="C1991" s="25"/>
      <c r="D1991" s="25"/>
      <c r="E1991" s="25"/>
      <c r="F1991" s="25"/>
      <c r="G1991" s="123"/>
      <c r="H1991" s="123"/>
      <c r="I1991" s="25"/>
      <c r="J1991" s="25"/>
      <c r="K1991" s="367"/>
      <c r="L1991" s="42"/>
      <c r="M1991" s="42"/>
      <c r="N1991" s="42"/>
      <c r="O1991" s="42"/>
      <c r="P1991" s="42"/>
      <c r="Q1991" s="42"/>
      <c r="R1991" s="176"/>
      <c r="S1991" s="42"/>
      <c r="T1991" s="42"/>
      <c r="U1991" s="46"/>
      <c r="V1991" s="42"/>
      <c r="W1991" s="42"/>
      <c r="X1991" s="42"/>
      <c r="Y1991" s="42"/>
      <c r="Z1991" s="42"/>
      <c r="AA1991" s="42"/>
      <c r="AB1991" s="42"/>
      <c r="AC1991" s="42"/>
      <c r="AD1991" s="42"/>
      <c r="AE1991" s="42"/>
      <c r="AF1991" s="42"/>
    </row>
    <row r="1992">
      <c r="A1992" s="25"/>
      <c r="B1992" s="297"/>
      <c r="C1992" s="25"/>
      <c r="D1992" s="25"/>
      <c r="E1992" s="25"/>
      <c r="F1992" s="25"/>
      <c r="G1992" s="123"/>
      <c r="H1992" s="123"/>
      <c r="I1992" s="25"/>
      <c r="J1992" s="25"/>
      <c r="K1992" s="367"/>
      <c r="L1992" s="42"/>
      <c r="M1992" s="42"/>
      <c r="N1992" s="42"/>
      <c r="O1992" s="42"/>
      <c r="P1992" s="42"/>
      <c r="Q1992" s="42"/>
      <c r="R1992" s="176"/>
      <c r="S1992" s="42"/>
      <c r="T1992" s="42"/>
      <c r="U1992" s="46"/>
      <c r="V1992" s="42"/>
      <c r="W1992" s="42"/>
      <c r="X1992" s="42"/>
      <c r="Y1992" s="42"/>
      <c r="Z1992" s="42"/>
      <c r="AA1992" s="42"/>
      <c r="AB1992" s="42"/>
      <c r="AC1992" s="42"/>
      <c r="AD1992" s="42"/>
      <c r="AE1992" s="42"/>
      <c r="AF1992" s="42"/>
    </row>
    <row r="1993">
      <c r="A1993" s="25"/>
      <c r="B1993" s="297"/>
      <c r="C1993" s="25"/>
      <c r="D1993" s="25"/>
      <c r="E1993" s="25"/>
      <c r="F1993" s="25"/>
      <c r="G1993" s="123"/>
      <c r="H1993" s="123"/>
      <c r="I1993" s="25"/>
      <c r="J1993" s="25"/>
      <c r="K1993" s="367"/>
      <c r="L1993" s="42"/>
      <c r="M1993" s="42"/>
      <c r="N1993" s="42"/>
      <c r="O1993" s="42"/>
      <c r="P1993" s="42"/>
      <c r="Q1993" s="42"/>
      <c r="R1993" s="176"/>
      <c r="S1993" s="42"/>
      <c r="T1993" s="42"/>
      <c r="U1993" s="46"/>
      <c r="V1993" s="42"/>
      <c r="W1993" s="42"/>
      <c r="X1993" s="42"/>
      <c r="Y1993" s="42"/>
      <c r="Z1993" s="42"/>
      <c r="AA1993" s="42"/>
      <c r="AB1993" s="42"/>
      <c r="AC1993" s="42"/>
      <c r="AD1993" s="42"/>
      <c r="AE1993" s="42"/>
      <c r="AF1993" s="42"/>
    </row>
    <row r="1994">
      <c r="A1994" s="25"/>
      <c r="B1994" s="297"/>
      <c r="C1994" s="25"/>
      <c r="D1994" s="25"/>
      <c r="E1994" s="25"/>
      <c r="F1994" s="25"/>
      <c r="G1994" s="123"/>
      <c r="H1994" s="123"/>
      <c r="I1994" s="25"/>
      <c r="J1994" s="25"/>
      <c r="K1994" s="367"/>
      <c r="L1994" s="42"/>
      <c r="M1994" s="42"/>
      <c r="N1994" s="42"/>
      <c r="O1994" s="42"/>
      <c r="P1994" s="42"/>
      <c r="Q1994" s="42"/>
      <c r="R1994" s="176"/>
      <c r="S1994" s="42"/>
      <c r="T1994" s="42"/>
      <c r="U1994" s="46"/>
      <c r="V1994" s="42"/>
      <c r="W1994" s="42"/>
      <c r="X1994" s="42"/>
      <c r="Y1994" s="42"/>
      <c r="Z1994" s="42"/>
      <c r="AA1994" s="42"/>
      <c r="AB1994" s="42"/>
      <c r="AC1994" s="42"/>
      <c r="AD1994" s="42"/>
      <c r="AE1994" s="42"/>
      <c r="AF1994" s="42"/>
    </row>
    <row r="1995">
      <c r="A1995" s="25"/>
      <c r="B1995" s="297"/>
      <c r="C1995" s="25"/>
      <c r="D1995" s="25"/>
      <c r="E1995" s="25"/>
      <c r="F1995" s="25"/>
      <c r="G1995" s="123"/>
      <c r="H1995" s="123"/>
      <c r="I1995" s="25"/>
      <c r="J1995" s="25"/>
      <c r="K1995" s="367"/>
      <c r="L1995" s="42"/>
      <c r="M1995" s="42"/>
      <c r="N1995" s="42"/>
      <c r="O1995" s="42"/>
      <c r="P1995" s="42"/>
      <c r="Q1995" s="42"/>
      <c r="R1995" s="176"/>
      <c r="S1995" s="42"/>
      <c r="T1995" s="42"/>
      <c r="U1995" s="46"/>
      <c r="V1995" s="42"/>
      <c r="W1995" s="42"/>
      <c r="X1995" s="42"/>
      <c r="Y1995" s="42"/>
      <c r="Z1995" s="42"/>
      <c r="AA1995" s="42"/>
      <c r="AB1995" s="42"/>
      <c r="AC1995" s="42"/>
      <c r="AD1995" s="42"/>
      <c r="AE1995" s="42"/>
      <c r="AF1995" s="42"/>
    </row>
    <row r="1996">
      <c r="A1996" s="25"/>
      <c r="B1996" s="297"/>
      <c r="C1996" s="25"/>
      <c r="D1996" s="25"/>
      <c r="E1996" s="25"/>
      <c r="F1996" s="25"/>
      <c r="G1996" s="123"/>
      <c r="H1996" s="123"/>
      <c r="I1996" s="25"/>
      <c r="J1996" s="25"/>
      <c r="K1996" s="367"/>
      <c r="L1996" s="42"/>
      <c r="M1996" s="42"/>
      <c r="N1996" s="42"/>
      <c r="O1996" s="42"/>
      <c r="P1996" s="42"/>
      <c r="Q1996" s="42"/>
      <c r="R1996" s="176"/>
      <c r="S1996" s="42"/>
      <c r="T1996" s="42"/>
      <c r="U1996" s="46"/>
      <c r="V1996" s="42"/>
      <c r="W1996" s="42"/>
      <c r="X1996" s="42"/>
      <c r="Y1996" s="42"/>
      <c r="Z1996" s="42"/>
      <c r="AA1996" s="42"/>
      <c r="AB1996" s="42"/>
      <c r="AC1996" s="42"/>
      <c r="AD1996" s="42"/>
      <c r="AE1996" s="42"/>
      <c r="AF1996" s="42"/>
    </row>
    <row r="1997">
      <c r="A1997" s="25"/>
      <c r="B1997" s="297"/>
      <c r="C1997" s="25"/>
      <c r="D1997" s="25"/>
      <c r="E1997" s="25"/>
      <c r="F1997" s="25"/>
      <c r="G1997" s="123"/>
      <c r="H1997" s="123"/>
      <c r="I1997" s="25"/>
      <c r="J1997" s="25"/>
      <c r="K1997" s="367"/>
      <c r="L1997" s="42"/>
      <c r="M1997" s="42"/>
      <c r="N1997" s="42"/>
      <c r="O1997" s="42"/>
      <c r="P1997" s="42"/>
      <c r="Q1997" s="42"/>
      <c r="R1997" s="176"/>
      <c r="S1997" s="42"/>
      <c r="T1997" s="42"/>
      <c r="U1997" s="46"/>
      <c r="V1997" s="42"/>
      <c r="W1997" s="42"/>
      <c r="X1997" s="42"/>
      <c r="Y1997" s="42"/>
      <c r="Z1997" s="42"/>
      <c r="AA1997" s="42"/>
      <c r="AB1997" s="42"/>
      <c r="AC1997" s="42"/>
      <c r="AD1997" s="42"/>
      <c r="AE1997" s="42"/>
      <c r="AF1997" s="42"/>
    </row>
    <row r="1998">
      <c r="A1998" s="25"/>
      <c r="B1998" s="297"/>
      <c r="C1998" s="25"/>
      <c r="D1998" s="25"/>
      <c r="E1998" s="25"/>
      <c r="F1998" s="25"/>
      <c r="G1998" s="123"/>
      <c r="H1998" s="123"/>
      <c r="I1998" s="25"/>
      <c r="J1998" s="25"/>
      <c r="K1998" s="367"/>
      <c r="L1998" s="42"/>
      <c r="M1998" s="42"/>
      <c r="N1998" s="42"/>
      <c r="O1998" s="42"/>
      <c r="P1998" s="42"/>
      <c r="Q1998" s="42"/>
      <c r="R1998" s="176"/>
      <c r="S1998" s="42"/>
      <c r="T1998" s="42"/>
      <c r="U1998" s="46"/>
      <c r="V1998" s="42"/>
      <c r="W1998" s="42"/>
      <c r="X1998" s="42"/>
      <c r="Y1998" s="42"/>
      <c r="Z1998" s="42"/>
      <c r="AA1998" s="42"/>
      <c r="AB1998" s="42"/>
      <c r="AC1998" s="42"/>
      <c r="AD1998" s="42"/>
      <c r="AE1998" s="42"/>
      <c r="AF1998" s="42"/>
    </row>
    <row r="1999">
      <c r="A1999" s="25"/>
      <c r="B1999" s="297"/>
      <c r="C1999" s="25"/>
      <c r="D1999" s="25"/>
      <c r="E1999" s="25"/>
      <c r="F1999" s="25"/>
      <c r="G1999" s="123"/>
      <c r="H1999" s="123"/>
      <c r="I1999" s="25"/>
      <c r="J1999" s="25"/>
      <c r="K1999" s="367"/>
      <c r="L1999" s="42"/>
      <c r="M1999" s="42"/>
      <c r="N1999" s="42"/>
      <c r="O1999" s="42"/>
      <c r="P1999" s="42"/>
      <c r="Q1999" s="42"/>
      <c r="R1999" s="176"/>
      <c r="S1999" s="42"/>
      <c r="T1999" s="42"/>
      <c r="U1999" s="46"/>
      <c r="V1999" s="42"/>
      <c r="W1999" s="42"/>
      <c r="X1999" s="42"/>
      <c r="Y1999" s="42"/>
      <c r="Z1999" s="42"/>
      <c r="AA1999" s="42"/>
      <c r="AB1999" s="42"/>
      <c r="AC1999" s="42"/>
      <c r="AD1999" s="42"/>
      <c r="AE1999" s="42"/>
      <c r="AF1999" s="42"/>
    </row>
    <row r="2000">
      <c r="A2000" s="25"/>
      <c r="B2000" s="297"/>
      <c r="C2000" s="25"/>
      <c r="D2000" s="25"/>
      <c r="E2000" s="25"/>
      <c r="F2000" s="25"/>
      <c r="G2000" s="123"/>
      <c r="H2000" s="123"/>
      <c r="I2000" s="25"/>
      <c r="J2000" s="25"/>
      <c r="K2000" s="367"/>
      <c r="L2000" s="42"/>
      <c r="M2000" s="42"/>
      <c r="N2000" s="42"/>
      <c r="O2000" s="42"/>
      <c r="P2000" s="42"/>
      <c r="Q2000" s="42"/>
      <c r="R2000" s="176"/>
      <c r="S2000" s="42"/>
      <c r="T2000" s="42"/>
      <c r="U2000" s="46"/>
      <c r="V2000" s="42"/>
      <c r="W2000" s="42"/>
      <c r="X2000" s="42"/>
      <c r="Y2000" s="42"/>
      <c r="Z2000" s="42"/>
      <c r="AA2000" s="42"/>
      <c r="AB2000" s="42"/>
      <c r="AC2000" s="42"/>
      <c r="AD2000" s="42"/>
      <c r="AE2000" s="42"/>
      <c r="AF2000" s="42"/>
    </row>
    <row r="2001">
      <c r="A2001" s="25"/>
      <c r="B2001" s="297"/>
      <c r="C2001" s="25"/>
      <c r="D2001" s="25"/>
      <c r="E2001" s="25"/>
      <c r="F2001" s="25"/>
      <c r="G2001" s="123"/>
      <c r="H2001" s="123"/>
      <c r="I2001" s="25"/>
      <c r="J2001" s="25"/>
      <c r="K2001" s="367"/>
      <c r="L2001" s="42"/>
      <c r="M2001" s="42"/>
      <c r="N2001" s="42"/>
      <c r="O2001" s="42"/>
      <c r="P2001" s="42"/>
      <c r="Q2001" s="42"/>
      <c r="R2001" s="176"/>
      <c r="S2001" s="42"/>
      <c r="T2001" s="42"/>
      <c r="U2001" s="46"/>
      <c r="V2001" s="42"/>
      <c r="W2001" s="42"/>
      <c r="X2001" s="42"/>
      <c r="Y2001" s="42"/>
      <c r="Z2001" s="42"/>
      <c r="AA2001" s="42"/>
      <c r="AB2001" s="42"/>
      <c r="AC2001" s="42"/>
      <c r="AD2001" s="42"/>
      <c r="AE2001" s="42"/>
      <c r="AF2001" s="42"/>
    </row>
    <row r="2002">
      <c r="A2002" s="25"/>
      <c r="B2002" s="297"/>
      <c r="C2002" s="25"/>
      <c r="D2002" s="25"/>
      <c r="E2002" s="25"/>
      <c r="F2002" s="25"/>
      <c r="G2002" s="123"/>
      <c r="H2002" s="123"/>
      <c r="I2002" s="25"/>
      <c r="J2002" s="25"/>
      <c r="K2002" s="367"/>
      <c r="L2002" s="42"/>
      <c r="M2002" s="42"/>
      <c r="N2002" s="42"/>
      <c r="O2002" s="42"/>
      <c r="P2002" s="42"/>
      <c r="Q2002" s="42"/>
      <c r="R2002" s="176"/>
      <c r="S2002" s="42"/>
      <c r="T2002" s="42"/>
      <c r="U2002" s="46"/>
      <c r="V2002" s="42"/>
      <c r="W2002" s="42"/>
      <c r="X2002" s="42"/>
      <c r="Y2002" s="42"/>
      <c r="Z2002" s="42"/>
      <c r="AA2002" s="42"/>
      <c r="AB2002" s="42"/>
      <c r="AC2002" s="42"/>
      <c r="AD2002" s="42"/>
      <c r="AE2002" s="42"/>
      <c r="AF2002" s="42"/>
    </row>
    <row r="2003">
      <c r="A2003" s="25"/>
      <c r="B2003" s="297"/>
      <c r="C2003" s="25"/>
      <c r="D2003" s="25"/>
      <c r="E2003" s="25"/>
      <c r="F2003" s="25"/>
      <c r="G2003" s="123"/>
      <c r="H2003" s="123"/>
      <c r="I2003" s="25"/>
      <c r="J2003" s="25"/>
      <c r="K2003" s="367"/>
      <c r="L2003" s="42"/>
      <c r="M2003" s="42"/>
      <c r="N2003" s="42"/>
      <c r="O2003" s="42"/>
      <c r="P2003" s="42"/>
      <c r="Q2003" s="42"/>
      <c r="R2003" s="176"/>
      <c r="S2003" s="42"/>
      <c r="T2003" s="42"/>
      <c r="U2003" s="46"/>
      <c r="V2003" s="42"/>
      <c r="W2003" s="42"/>
      <c r="X2003" s="42"/>
      <c r="Y2003" s="42"/>
      <c r="Z2003" s="42"/>
      <c r="AA2003" s="42"/>
      <c r="AB2003" s="42"/>
      <c r="AC2003" s="42"/>
      <c r="AD2003" s="42"/>
      <c r="AE2003" s="42"/>
      <c r="AF2003" s="42"/>
    </row>
    <row r="2004">
      <c r="A2004" s="25"/>
      <c r="B2004" s="297"/>
      <c r="C2004" s="25"/>
      <c r="D2004" s="25"/>
      <c r="E2004" s="25"/>
      <c r="F2004" s="25"/>
      <c r="G2004" s="123"/>
      <c r="H2004" s="123"/>
      <c r="I2004" s="25"/>
      <c r="J2004" s="25"/>
      <c r="K2004" s="367"/>
      <c r="L2004" s="42"/>
      <c r="M2004" s="42"/>
      <c r="N2004" s="42"/>
      <c r="O2004" s="42"/>
      <c r="P2004" s="42"/>
      <c r="Q2004" s="42"/>
      <c r="R2004" s="176"/>
      <c r="S2004" s="42"/>
      <c r="T2004" s="42"/>
      <c r="U2004" s="46"/>
      <c r="V2004" s="42"/>
      <c r="W2004" s="42"/>
      <c r="X2004" s="42"/>
      <c r="Y2004" s="42"/>
      <c r="Z2004" s="42"/>
      <c r="AA2004" s="42"/>
      <c r="AB2004" s="42"/>
      <c r="AC2004" s="42"/>
      <c r="AD2004" s="42"/>
      <c r="AE2004" s="42"/>
      <c r="AF2004" s="42"/>
    </row>
    <row r="2005">
      <c r="A2005" s="25"/>
      <c r="B2005" s="297"/>
      <c r="C2005" s="25"/>
      <c r="D2005" s="25"/>
      <c r="E2005" s="25"/>
      <c r="F2005" s="25"/>
      <c r="G2005" s="123"/>
      <c r="H2005" s="123"/>
      <c r="I2005" s="25"/>
      <c r="J2005" s="25"/>
      <c r="K2005" s="367"/>
      <c r="L2005" s="42"/>
      <c r="M2005" s="42"/>
      <c r="N2005" s="42"/>
      <c r="O2005" s="42"/>
      <c r="P2005" s="42"/>
      <c r="Q2005" s="42"/>
      <c r="R2005" s="176"/>
      <c r="S2005" s="42"/>
      <c r="T2005" s="42"/>
      <c r="U2005" s="46"/>
      <c r="V2005" s="42"/>
      <c r="W2005" s="42"/>
      <c r="X2005" s="42"/>
      <c r="Y2005" s="42"/>
      <c r="Z2005" s="42"/>
      <c r="AA2005" s="42"/>
      <c r="AB2005" s="42"/>
      <c r="AC2005" s="42"/>
      <c r="AD2005" s="42"/>
      <c r="AE2005" s="42"/>
      <c r="AF2005" s="42"/>
    </row>
    <row r="2006">
      <c r="A2006" s="25"/>
      <c r="B2006" s="297"/>
      <c r="C2006" s="25"/>
      <c r="D2006" s="25"/>
      <c r="E2006" s="25"/>
      <c r="F2006" s="25"/>
      <c r="G2006" s="123"/>
      <c r="H2006" s="123"/>
      <c r="I2006" s="25"/>
      <c r="J2006" s="25"/>
      <c r="K2006" s="367"/>
      <c r="L2006" s="42"/>
      <c r="M2006" s="42"/>
      <c r="N2006" s="42"/>
      <c r="O2006" s="42"/>
      <c r="P2006" s="42"/>
      <c r="Q2006" s="42"/>
      <c r="R2006" s="176"/>
      <c r="S2006" s="42"/>
      <c r="T2006" s="42"/>
      <c r="U2006" s="46"/>
      <c r="V2006" s="42"/>
      <c r="W2006" s="42"/>
      <c r="X2006" s="42"/>
      <c r="Y2006" s="42"/>
      <c r="Z2006" s="42"/>
      <c r="AA2006" s="42"/>
      <c r="AB2006" s="42"/>
      <c r="AC2006" s="42"/>
      <c r="AD2006" s="42"/>
      <c r="AE2006" s="42"/>
      <c r="AF2006" s="42"/>
    </row>
    <row r="2007">
      <c r="A2007" s="25"/>
      <c r="B2007" s="297"/>
      <c r="C2007" s="25"/>
      <c r="D2007" s="25"/>
      <c r="E2007" s="25"/>
      <c r="F2007" s="25"/>
      <c r="G2007" s="123"/>
      <c r="H2007" s="123"/>
      <c r="I2007" s="25"/>
      <c r="J2007" s="25"/>
      <c r="K2007" s="367"/>
      <c r="L2007" s="42"/>
      <c r="M2007" s="42"/>
      <c r="N2007" s="42"/>
      <c r="O2007" s="42"/>
      <c r="P2007" s="42"/>
      <c r="Q2007" s="42"/>
      <c r="R2007" s="176"/>
      <c r="S2007" s="42"/>
      <c r="T2007" s="42"/>
      <c r="U2007" s="46"/>
      <c r="V2007" s="42"/>
      <c r="W2007" s="42"/>
      <c r="X2007" s="42"/>
      <c r="Y2007" s="42"/>
      <c r="Z2007" s="42"/>
      <c r="AA2007" s="42"/>
      <c r="AB2007" s="42"/>
      <c r="AC2007" s="42"/>
      <c r="AD2007" s="42"/>
      <c r="AE2007" s="42"/>
      <c r="AF2007" s="42"/>
    </row>
    <row r="2008">
      <c r="A2008" s="25"/>
      <c r="B2008" s="297"/>
      <c r="C2008" s="25"/>
      <c r="D2008" s="25"/>
      <c r="E2008" s="25"/>
      <c r="F2008" s="25"/>
      <c r="G2008" s="123"/>
      <c r="H2008" s="123"/>
      <c r="I2008" s="25"/>
      <c r="J2008" s="25"/>
      <c r="K2008" s="367"/>
      <c r="L2008" s="42"/>
      <c r="M2008" s="42"/>
      <c r="N2008" s="42"/>
      <c r="O2008" s="42"/>
      <c r="P2008" s="42"/>
      <c r="Q2008" s="42"/>
      <c r="R2008" s="176"/>
      <c r="S2008" s="42"/>
      <c r="T2008" s="42"/>
      <c r="U2008" s="46"/>
      <c r="V2008" s="42"/>
      <c r="W2008" s="42"/>
      <c r="X2008" s="42"/>
      <c r="Y2008" s="42"/>
      <c r="Z2008" s="42"/>
      <c r="AA2008" s="42"/>
      <c r="AB2008" s="42"/>
      <c r="AC2008" s="42"/>
      <c r="AD2008" s="42"/>
      <c r="AE2008" s="42"/>
      <c r="AF2008" s="42"/>
    </row>
    <row r="2009">
      <c r="A2009" s="25"/>
      <c r="B2009" s="297"/>
      <c r="C2009" s="25"/>
      <c r="D2009" s="25"/>
      <c r="E2009" s="25"/>
      <c r="F2009" s="25"/>
      <c r="G2009" s="123"/>
      <c r="H2009" s="123"/>
      <c r="I2009" s="25"/>
      <c r="J2009" s="25"/>
      <c r="K2009" s="367"/>
      <c r="L2009" s="42"/>
      <c r="M2009" s="42"/>
      <c r="N2009" s="42"/>
      <c r="O2009" s="42"/>
      <c r="P2009" s="42"/>
      <c r="Q2009" s="42"/>
      <c r="R2009" s="176"/>
      <c r="S2009" s="42"/>
      <c r="T2009" s="42"/>
      <c r="U2009" s="46"/>
      <c r="V2009" s="42"/>
      <c r="W2009" s="42"/>
      <c r="X2009" s="42"/>
      <c r="Y2009" s="42"/>
      <c r="Z2009" s="42"/>
      <c r="AA2009" s="42"/>
      <c r="AB2009" s="42"/>
      <c r="AC2009" s="42"/>
      <c r="AD2009" s="42"/>
      <c r="AE2009" s="42"/>
      <c r="AF2009" s="42"/>
    </row>
    <row r="2010">
      <c r="A2010" s="25"/>
      <c r="B2010" s="297"/>
      <c r="C2010" s="25"/>
      <c r="D2010" s="25"/>
      <c r="E2010" s="25"/>
      <c r="F2010" s="25"/>
      <c r="G2010" s="123"/>
      <c r="H2010" s="123"/>
      <c r="I2010" s="25"/>
      <c r="J2010" s="25"/>
      <c r="K2010" s="367"/>
      <c r="L2010" s="42"/>
      <c r="M2010" s="42"/>
      <c r="N2010" s="42"/>
      <c r="O2010" s="42"/>
      <c r="P2010" s="42"/>
      <c r="Q2010" s="42"/>
      <c r="R2010" s="176"/>
      <c r="S2010" s="42"/>
      <c r="T2010" s="42"/>
      <c r="U2010" s="46"/>
      <c r="V2010" s="42"/>
      <c r="W2010" s="42"/>
      <c r="X2010" s="42"/>
      <c r="Y2010" s="42"/>
      <c r="Z2010" s="42"/>
      <c r="AA2010" s="42"/>
      <c r="AB2010" s="42"/>
      <c r="AC2010" s="42"/>
      <c r="AD2010" s="42"/>
      <c r="AE2010" s="42"/>
      <c r="AF2010" s="42"/>
    </row>
    <row r="2011">
      <c r="A2011" s="25"/>
      <c r="B2011" s="297"/>
      <c r="C2011" s="25"/>
      <c r="D2011" s="25"/>
      <c r="E2011" s="25"/>
      <c r="F2011" s="25"/>
      <c r="G2011" s="123"/>
      <c r="H2011" s="123"/>
      <c r="I2011" s="25"/>
      <c r="J2011" s="25"/>
      <c r="K2011" s="367"/>
      <c r="L2011" s="42"/>
      <c r="M2011" s="42"/>
      <c r="N2011" s="42"/>
      <c r="O2011" s="42"/>
      <c r="P2011" s="42"/>
      <c r="Q2011" s="42"/>
      <c r="R2011" s="176"/>
      <c r="S2011" s="42"/>
      <c r="T2011" s="42"/>
      <c r="U2011" s="46"/>
      <c r="V2011" s="42"/>
      <c r="W2011" s="42"/>
      <c r="X2011" s="42"/>
      <c r="Y2011" s="42"/>
      <c r="Z2011" s="42"/>
      <c r="AA2011" s="42"/>
      <c r="AB2011" s="42"/>
      <c r="AC2011" s="42"/>
      <c r="AD2011" s="42"/>
      <c r="AE2011" s="42"/>
      <c r="AF2011" s="42"/>
    </row>
    <row r="2012">
      <c r="A2012" s="25"/>
      <c r="B2012" s="297"/>
      <c r="C2012" s="25"/>
      <c r="D2012" s="25"/>
      <c r="E2012" s="25"/>
      <c r="F2012" s="25"/>
      <c r="G2012" s="123"/>
      <c r="H2012" s="123"/>
      <c r="I2012" s="25"/>
      <c r="J2012" s="25"/>
      <c r="K2012" s="367"/>
      <c r="L2012" s="42"/>
      <c r="M2012" s="42"/>
      <c r="N2012" s="42"/>
      <c r="O2012" s="42"/>
      <c r="P2012" s="42"/>
      <c r="Q2012" s="42"/>
      <c r="R2012" s="176"/>
      <c r="S2012" s="42"/>
      <c r="T2012" s="42"/>
      <c r="U2012" s="46"/>
      <c r="V2012" s="42"/>
      <c r="W2012" s="42"/>
      <c r="X2012" s="42"/>
      <c r="Y2012" s="42"/>
      <c r="Z2012" s="42"/>
      <c r="AA2012" s="42"/>
      <c r="AB2012" s="42"/>
      <c r="AC2012" s="42"/>
      <c r="AD2012" s="42"/>
      <c r="AE2012" s="42"/>
      <c r="AF2012" s="42"/>
    </row>
    <row r="2013">
      <c r="A2013" s="25"/>
      <c r="B2013" s="297"/>
      <c r="C2013" s="25"/>
      <c r="D2013" s="25"/>
      <c r="E2013" s="25"/>
      <c r="F2013" s="25"/>
      <c r="G2013" s="123"/>
      <c r="H2013" s="123"/>
      <c r="I2013" s="25"/>
      <c r="J2013" s="25"/>
      <c r="K2013" s="367"/>
      <c r="L2013" s="42"/>
      <c r="M2013" s="42"/>
      <c r="N2013" s="42"/>
      <c r="O2013" s="42"/>
      <c r="P2013" s="42"/>
      <c r="Q2013" s="42"/>
      <c r="R2013" s="176"/>
      <c r="S2013" s="42"/>
      <c r="T2013" s="42"/>
      <c r="U2013" s="46"/>
      <c r="V2013" s="42"/>
      <c r="W2013" s="42"/>
      <c r="X2013" s="42"/>
      <c r="Y2013" s="42"/>
      <c r="Z2013" s="42"/>
      <c r="AA2013" s="42"/>
      <c r="AB2013" s="42"/>
      <c r="AC2013" s="42"/>
      <c r="AD2013" s="42"/>
      <c r="AE2013" s="42"/>
      <c r="AF2013" s="42"/>
    </row>
    <row r="2014">
      <c r="A2014" s="25"/>
      <c r="B2014" s="297"/>
      <c r="C2014" s="25"/>
      <c r="D2014" s="25"/>
      <c r="E2014" s="25"/>
      <c r="F2014" s="25"/>
      <c r="G2014" s="123"/>
      <c r="H2014" s="123"/>
      <c r="I2014" s="25"/>
      <c r="J2014" s="25"/>
      <c r="K2014" s="367"/>
      <c r="L2014" s="42"/>
      <c r="M2014" s="42"/>
      <c r="N2014" s="42"/>
      <c r="O2014" s="42"/>
      <c r="P2014" s="42"/>
      <c r="Q2014" s="42"/>
      <c r="R2014" s="176"/>
      <c r="S2014" s="42"/>
      <c r="T2014" s="42"/>
      <c r="U2014" s="46"/>
      <c r="V2014" s="42"/>
      <c r="W2014" s="42"/>
      <c r="X2014" s="42"/>
      <c r="Y2014" s="42"/>
      <c r="Z2014" s="42"/>
      <c r="AA2014" s="42"/>
      <c r="AB2014" s="42"/>
      <c r="AC2014" s="42"/>
      <c r="AD2014" s="42"/>
      <c r="AE2014" s="42"/>
      <c r="AF2014" s="42"/>
    </row>
    <row r="2015">
      <c r="A2015" s="25"/>
      <c r="B2015" s="297"/>
      <c r="C2015" s="25"/>
      <c r="D2015" s="25"/>
      <c r="E2015" s="25"/>
      <c r="F2015" s="25"/>
      <c r="G2015" s="123"/>
      <c r="H2015" s="123"/>
      <c r="I2015" s="25"/>
      <c r="J2015" s="25"/>
      <c r="K2015" s="367"/>
      <c r="L2015" s="42"/>
      <c r="M2015" s="42"/>
      <c r="N2015" s="42"/>
      <c r="O2015" s="42"/>
      <c r="P2015" s="42"/>
      <c r="Q2015" s="42"/>
      <c r="R2015" s="176"/>
      <c r="S2015" s="42"/>
      <c r="T2015" s="42"/>
      <c r="U2015" s="46"/>
      <c r="V2015" s="42"/>
      <c r="W2015" s="42"/>
      <c r="X2015" s="42"/>
      <c r="Y2015" s="42"/>
      <c r="Z2015" s="42"/>
      <c r="AA2015" s="42"/>
      <c r="AB2015" s="42"/>
      <c r="AC2015" s="42"/>
      <c r="AD2015" s="42"/>
      <c r="AE2015" s="42"/>
      <c r="AF2015" s="42"/>
    </row>
    <row r="2016">
      <c r="A2016" s="25"/>
      <c r="B2016" s="297"/>
      <c r="C2016" s="25"/>
      <c r="D2016" s="25"/>
      <c r="E2016" s="25"/>
      <c r="F2016" s="25"/>
      <c r="G2016" s="123"/>
      <c r="H2016" s="123"/>
      <c r="I2016" s="25"/>
      <c r="J2016" s="25"/>
      <c r="K2016" s="367"/>
      <c r="L2016" s="42"/>
      <c r="M2016" s="42"/>
      <c r="N2016" s="42"/>
      <c r="O2016" s="42"/>
      <c r="P2016" s="42"/>
      <c r="Q2016" s="42"/>
      <c r="R2016" s="176"/>
      <c r="S2016" s="42"/>
      <c r="T2016" s="42"/>
      <c r="U2016" s="46"/>
      <c r="V2016" s="42"/>
      <c r="W2016" s="42"/>
      <c r="X2016" s="42"/>
      <c r="Y2016" s="42"/>
      <c r="Z2016" s="42"/>
      <c r="AA2016" s="42"/>
      <c r="AB2016" s="42"/>
      <c r="AC2016" s="42"/>
      <c r="AD2016" s="42"/>
      <c r="AE2016" s="42"/>
      <c r="AF2016" s="42"/>
    </row>
    <row r="2017">
      <c r="A2017" s="25"/>
      <c r="B2017" s="297"/>
      <c r="C2017" s="25"/>
      <c r="D2017" s="25"/>
      <c r="E2017" s="25"/>
      <c r="F2017" s="25"/>
      <c r="G2017" s="123"/>
      <c r="H2017" s="123"/>
      <c r="I2017" s="25"/>
      <c r="J2017" s="25"/>
      <c r="K2017" s="367"/>
      <c r="L2017" s="42"/>
      <c r="M2017" s="42"/>
      <c r="N2017" s="42"/>
      <c r="O2017" s="42"/>
      <c r="P2017" s="42"/>
      <c r="Q2017" s="42"/>
      <c r="R2017" s="176"/>
      <c r="S2017" s="42"/>
      <c r="T2017" s="42"/>
      <c r="U2017" s="46"/>
      <c r="V2017" s="42"/>
      <c r="W2017" s="42"/>
      <c r="X2017" s="42"/>
      <c r="Y2017" s="42"/>
      <c r="Z2017" s="42"/>
      <c r="AA2017" s="42"/>
      <c r="AB2017" s="42"/>
      <c r="AC2017" s="42"/>
      <c r="AD2017" s="42"/>
      <c r="AE2017" s="42"/>
      <c r="AF2017" s="42"/>
    </row>
    <row r="2018">
      <c r="A2018" s="25"/>
      <c r="B2018" s="297"/>
      <c r="C2018" s="25"/>
      <c r="D2018" s="25"/>
      <c r="E2018" s="25"/>
      <c r="F2018" s="25"/>
      <c r="G2018" s="123"/>
      <c r="H2018" s="123"/>
      <c r="I2018" s="25"/>
      <c r="J2018" s="25"/>
      <c r="K2018" s="367"/>
      <c r="L2018" s="42"/>
      <c r="M2018" s="42"/>
      <c r="N2018" s="42"/>
      <c r="O2018" s="42"/>
      <c r="P2018" s="42"/>
      <c r="Q2018" s="42"/>
      <c r="R2018" s="176"/>
      <c r="S2018" s="42"/>
      <c r="T2018" s="42"/>
      <c r="U2018" s="46"/>
      <c r="V2018" s="42"/>
      <c r="W2018" s="42"/>
      <c r="X2018" s="42"/>
      <c r="Y2018" s="42"/>
      <c r="Z2018" s="42"/>
      <c r="AA2018" s="42"/>
      <c r="AB2018" s="42"/>
      <c r="AC2018" s="42"/>
      <c r="AD2018" s="42"/>
      <c r="AE2018" s="42"/>
      <c r="AF2018" s="42"/>
    </row>
    <row r="2019">
      <c r="A2019" s="25"/>
      <c r="B2019" s="297"/>
      <c r="C2019" s="25"/>
      <c r="D2019" s="25"/>
      <c r="E2019" s="25"/>
      <c r="F2019" s="25"/>
      <c r="G2019" s="123"/>
      <c r="H2019" s="123"/>
      <c r="I2019" s="25"/>
      <c r="J2019" s="25"/>
      <c r="K2019" s="367"/>
      <c r="L2019" s="42"/>
      <c r="M2019" s="42"/>
      <c r="N2019" s="42"/>
      <c r="O2019" s="42"/>
      <c r="P2019" s="42"/>
      <c r="Q2019" s="42"/>
      <c r="R2019" s="176"/>
      <c r="S2019" s="42"/>
      <c r="T2019" s="42"/>
      <c r="U2019" s="46"/>
      <c r="V2019" s="42"/>
      <c r="W2019" s="42"/>
      <c r="X2019" s="42"/>
      <c r="Y2019" s="42"/>
      <c r="Z2019" s="42"/>
      <c r="AA2019" s="42"/>
      <c r="AB2019" s="42"/>
      <c r="AC2019" s="42"/>
      <c r="AD2019" s="42"/>
      <c r="AE2019" s="42"/>
      <c r="AF2019" s="42"/>
    </row>
    <row r="2020">
      <c r="A2020" s="25"/>
      <c r="B2020" s="297"/>
      <c r="C2020" s="25"/>
      <c r="D2020" s="25"/>
      <c r="E2020" s="25"/>
      <c r="F2020" s="25"/>
      <c r="G2020" s="123"/>
      <c r="H2020" s="123"/>
      <c r="I2020" s="25"/>
      <c r="J2020" s="25"/>
      <c r="K2020" s="367"/>
      <c r="L2020" s="42"/>
      <c r="M2020" s="42"/>
      <c r="N2020" s="42"/>
      <c r="O2020" s="42"/>
      <c r="P2020" s="42"/>
      <c r="Q2020" s="42"/>
      <c r="R2020" s="176"/>
      <c r="S2020" s="42"/>
      <c r="T2020" s="42"/>
      <c r="U2020" s="46"/>
      <c r="V2020" s="42"/>
      <c r="W2020" s="42"/>
      <c r="X2020" s="42"/>
      <c r="Y2020" s="42"/>
      <c r="Z2020" s="42"/>
      <c r="AA2020" s="42"/>
      <c r="AB2020" s="42"/>
      <c r="AC2020" s="42"/>
      <c r="AD2020" s="42"/>
      <c r="AE2020" s="42"/>
      <c r="AF2020" s="42"/>
    </row>
    <row r="2021">
      <c r="A2021" s="25"/>
      <c r="B2021" s="297"/>
      <c r="C2021" s="25"/>
      <c r="D2021" s="25"/>
      <c r="E2021" s="25"/>
      <c r="F2021" s="25"/>
      <c r="G2021" s="123"/>
      <c r="H2021" s="123"/>
      <c r="I2021" s="25"/>
      <c r="J2021" s="25"/>
      <c r="K2021" s="367"/>
      <c r="L2021" s="42"/>
      <c r="M2021" s="42"/>
      <c r="N2021" s="42"/>
      <c r="O2021" s="42"/>
      <c r="P2021" s="42"/>
      <c r="Q2021" s="42"/>
      <c r="R2021" s="176"/>
      <c r="S2021" s="42"/>
      <c r="T2021" s="42"/>
      <c r="U2021" s="46"/>
      <c r="V2021" s="42"/>
      <c r="W2021" s="42"/>
      <c r="X2021" s="42"/>
      <c r="Y2021" s="42"/>
      <c r="Z2021" s="42"/>
      <c r="AA2021" s="42"/>
      <c r="AB2021" s="42"/>
      <c r="AC2021" s="42"/>
      <c r="AD2021" s="42"/>
      <c r="AE2021" s="42"/>
      <c r="AF2021" s="42"/>
    </row>
    <row r="2022">
      <c r="A2022" s="25"/>
      <c r="B2022" s="297"/>
      <c r="C2022" s="25"/>
      <c r="D2022" s="25"/>
      <c r="E2022" s="25"/>
      <c r="F2022" s="25"/>
      <c r="G2022" s="123"/>
      <c r="H2022" s="123"/>
      <c r="I2022" s="25"/>
      <c r="J2022" s="25"/>
      <c r="K2022" s="367"/>
      <c r="L2022" s="42"/>
      <c r="M2022" s="42"/>
      <c r="N2022" s="42"/>
      <c r="O2022" s="42"/>
      <c r="P2022" s="42"/>
      <c r="Q2022" s="42"/>
      <c r="R2022" s="176"/>
      <c r="S2022" s="42"/>
      <c r="T2022" s="42"/>
      <c r="U2022" s="46"/>
      <c r="V2022" s="42"/>
      <c r="W2022" s="42"/>
      <c r="X2022" s="42"/>
      <c r="Y2022" s="42"/>
      <c r="Z2022" s="42"/>
      <c r="AA2022" s="42"/>
      <c r="AB2022" s="42"/>
      <c r="AC2022" s="42"/>
      <c r="AD2022" s="42"/>
      <c r="AE2022" s="42"/>
      <c r="AF2022" s="42"/>
    </row>
    <row r="2023">
      <c r="A2023" s="25"/>
      <c r="B2023" s="297"/>
      <c r="C2023" s="25"/>
      <c r="D2023" s="25"/>
      <c r="E2023" s="25"/>
      <c r="F2023" s="25"/>
      <c r="G2023" s="123"/>
      <c r="H2023" s="123"/>
      <c r="I2023" s="25"/>
      <c r="J2023" s="25"/>
      <c r="K2023" s="367"/>
      <c r="L2023" s="42"/>
      <c r="M2023" s="42"/>
      <c r="N2023" s="42"/>
      <c r="O2023" s="42"/>
      <c r="P2023" s="42"/>
      <c r="Q2023" s="42"/>
      <c r="R2023" s="176"/>
      <c r="S2023" s="42"/>
      <c r="T2023" s="42"/>
      <c r="U2023" s="46"/>
      <c r="V2023" s="42"/>
      <c r="W2023" s="42"/>
      <c r="X2023" s="42"/>
      <c r="Y2023" s="42"/>
      <c r="Z2023" s="42"/>
      <c r="AA2023" s="42"/>
      <c r="AB2023" s="42"/>
      <c r="AC2023" s="42"/>
      <c r="AD2023" s="42"/>
      <c r="AE2023" s="42"/>
      <c r="AF2023" s="42"/>
    </row>
    <row r="2024">
      <c r="A2024" s="25"/>
      <c r="B2024" s="297"/>
      <c r="C2024" s="25"/>
      <c r="D2024" s="25"/>
      <c r="E2024" s="25"/>
      <c r="F2024" s="25"/>
      <c r="G2024" s="123"/>
      <c r="H2024" s="123"/>
      <c r="I2024" s="25"/>
      <c r="J2024" s="25"/>
      <c r="K2024" s="367"/>
      <c r="L2024" s="42"/>
      <c r="M2024" s="42"/>
      <c r="N2024" s="42"/>
      <c r="O2024" s="42"/>
      <c r="P2024" s="42"/>
      <c r="Q2024" s="42"/>
      <c r="R2024" s="176"/>
      <c r="S2024" s="42"/>
      <c r="T2024" s="42"/>
      <c r="U2024" s="46"/>
      <c r="V2024" s="42"/>
      <c r="W2024" s="42"/>
      <c r="X2024" s="42"/>
      <c r="Y2024" s="42"/>
      <c r="Z2024" s="42"/>
      <c r="AA2024" s="42"/>
      <c r="AB2024" s="42"/>
      <c r="AC2024" s="42"/>
      <c r="AD2024" s="42"/>
      <c r="AE2024" s="42"/>
      <c r="AF2024" s="42"/>
    </row>
    <row r="2025">
      <c r="A2025" s="25"/>
      <c r="B2025" s="297"/>
      <c r="C2025" s="25"/>
      <c r="D2025" s="25"/>
      <c r="E2025" s="25"/>
      <c r="F2025" s="25"/>
      <c r="G2025" s="123"/>
      <c r="H2025" s="123"/>
      <c r="I2025" s="25"/>
      <c r="J2025" s="25"/>
      <c r="K2025" s="367"/>
      <c r="L2025" s="42"/>
      <c r="M2025" s="42"/>
      <c r="N2025" s="42"/>
      <c r="O2025" s="42"/>
      <c r="P2025" s="42"/>
      <c r="Q2025" s="42"/>
      <c r="R2025" s="176"/>
      <c r="S2025" s="42"/>
      <c r="T2025" s="42"/>
      <c r="U2025" s="46"/>
      <c r="V2025" s="42"/>
      <c r="W2025" s="42"/>
      <c r="X2025" s="42"/>
      <c r="Y2025" s="42"/>
      <c r="Z2025" s="42"/>
      <c r="AA2025" s="42"/>
      <c r="AB2025" s="42"/>
      <c r="AC2025" s="42"/>
      <c r="AD2025" s="42"/>
      <c r="AE2025" s="42"/>
      <c r="AF2025" s="42"/>
    </row>
    <row r="2026">
      <c r="A2026" s="25"/>
      <c r="B2026" s="297"/>
      <c r="C2026" s="25"/>
      <c r="D2026" s="25"/>
      <c r="E2026" s="25"/>
      <c r="F2026" s="25"/>
      <c r="G2026" s="123"/>
      <c r="H2026" s="123"/>
      <c r="I2026" s="25"/>
      <c r="J2026" s="25"/>
      <c r="K2026" s="367"/>
      <c r="L2026" s="42"/>
      <c r="M2026" s="42"/>
      <c r="N2026" s="42"/>
      <c r="O2026" s="42"/>
      <c r="P2026" s="42"/>
      <c r="Q2026" s="42"/>
      <c r="R2026" s="176"/>
      <c r="S2026" s="42"/>
      <c r="T2026" s="42"/>
      <c r="U2026" s="46"/>
      <c r="V2026" s="42"/>
      <c r="W2026" s="42"/>
      <c r="X2026" s="42"/>
      <c r="Y2026" s="42"/>
      <c r="Z2026" s="42"/>
      <c r="AA2026" s="42"/>
      <c r="AB2026" s="42"/>
      <c r="AC2026" s="42"/>
      <c r="AD2026" s="42"/>
      <c r="AE2026" s="42"/>
      <c r="AF2026" s="42"/>
    </row>
    <row r="2027">
      <c r="A2027" s="25"/>
      <c r="B2027" s="297"/>
      <c r="C2027" s="25"/>
      <c r="D2027" s="25"/>
      <c r="E2027" s="25"/>
      <c r="F2027" s="25"/>
      <c r="G2027" s="123"/>
      <c r="H2027" s="123"/>
      <c r="I2027" s="25"/>
      <c r="J2027" s="25"/>
      <c r="K2027" s="367"/>
      <c r="L2027" s="42"/>
      <c r="M2027" s="42"/>
      <c r="N2027" s="42"/>
      <c r="O2027" s="42"/>
      <c r="P2027" s="42"/>
      <c r="Q2027" s="42"/>
      <c r="R2027" s="176"/>
      <c r="S2027" s="42"/>
      <c r="T2027" s="42"/>
      <c r="U2027" s="46"/>
      <c r="V2027" s="42"/>
      <c r="W2027" s="42"/>
      <c r="X2027" s="42"/>
      <c r="Y2027" s="42"/>
      <c r="Z2027" s="42"/>
      <c r="AA2027" s="42"/>
      <c r="AB2027" s="42"/>
      <c r="AC2027" s="42"/>
      <c r="AD2027" s="42"/>
      <c r="AE2027" s="42"/>
      <c r="AF2027" s="42"/>
    </row>
    <row r="2028">
      <c r="A2028" s="25"/>
      <c r="B2028" s="297"/>
      <c r="C2028" s="25"/>
      <c r="D2028" s="25"/>
      <c r="E2028" s="25"/>
      <c r="F2028" s="25"/>
      <c r="G2028" s="123"/>
      <c r="H2028" s="123"/>
      <c r="I2028" s="25"/>
      <c r="J2028" s="25"/>
      <c r="K2028" s="367"/>
      <c r="L2028" s="42"/>
      <c r="M2028" s="42"/>
      <c r="N2028" s="42"/>
      <c r="O2028" s="42"/>
      <c r="P2028" s="42"/>
      <c r="Q2028" s="42"/>
      <c r="R2028" s="176"/>
      <c r="S2028" s="42"/>
      <c r="T2028" s="42"/>
      <c r="U2028" s="46"/>
      <c r="V2028" s="42"/>
      <c r="W2028" s="42"/>
      <c r="X2028" s="42"/>
      <c r="Y2028" s="42"/>
      <c r="Z2028" s="42"/>
      <c r="AA2028" s="42"/>
      <c r="AB2028" s="42"/>
      <c r="AC2028" s="42"/>
      <c r="AD2028" s="42"/>
      <c r="AE2028" s="42"/>
      <c r="AF2028" s="42"/>
    </row>
    <row r="2029">
      <c r="A2029" s="25"/>
      <c r="B2029" s="297"/>
      <c r="C2029" s="25"/>
      <c r="D2029" s="25"/>
      <c r="E2029" s="25"/>
      <c r="F2029" s="25"/>
      <c r="G2029" s="123"/>
      <c r="H2029" s="123"/>
      <c r="I2029" s="25"/>
      <c r="J2029" s="25"/>
      <c r="K2029" s="367"/>
      <c r="L2029" s="42"/>
      <c r="M2029" s="42"/>
      <c r="N2029" s="42"/>
      <c r="O2029" s="42"/>
      <c r="P2029" s="42"/>
      <c r="Q2029" s="42"/>
      <c r="R2029" s="176"/>
      <c r="S2029" s="42"/>
      <c r="T2029" s="42"/>
      <c r="U2029" s="46"/>
      <c r="V2029" s="42"/>
      <c r="W2029" s="42"/>
      <c r="X2029" s="42"/>
      <c r="Y2029" s="42"/>
      <c r="Z2029" s="42"/>
      <c r="AA2029" s="42"/>
      <c r="AB2029" s="42"/>
      <c r="AC2029" s="42"/>
      <c r="AD2029" s="42"/>
      <c r="AE2029" s="42"/>
      <c r="AF2029" s="42"/>
    </row>
    <row r="2030">
      <c r="A2030" s="25"/>
      <c r="B2030" s="297"/>
      <c r="C2030" s="25"/>
      <c r="D2030" s="25"/>
      <c r="E2030" s="25"/>
      <c r="F2030" s="25"/>
      <c r="G2030" s="123"/>
      <c r="H2030" s="123"/>
      <c r="I2030" s="25"/>
      <c r="J2030" s="25"/>
      <c r="K2030" s="367"/>
      <c r="L2030" s="42"/>
      <c r="M2030" s="42"/>
      <c r="N2030" s="42"/>
      <c r="O2030" s="42"/>
      <c r="P2030" s="42"/>
      <c r="Q2030" s="42"/>
      <c r="R2030" s="176"/>
      <c r="S2030" s="42"/>
      <c r="T2030" s="42"/>
      <c r="U2030" s="46"/>
      <c r="V2030" s="42"/>
      <c r="W2030" s="42"/>
      <c r="X2030" s="42"/>
      <c r="Y2030" s="42"/>
      <c r="Z2030" s="42"/>
      <c r="AA2030" s="42"/>
      <c r="AB2030" s="42"/>
      <c r="AC2030" s="42"/>
      <c r="AD2030" s="42"/>
      <c r="AE2030" s="42"/>
      <c r="AF2030" s="42"/>
    </row>
    <row r="2031">
      <c r="A2031" s="25"/>
      <c r="B2031" s="297"/>
      <c r="C2031" s="25"/>
      <c r="D2031" s="25"/>
      <c r="E2031" s="25"/>
      <c r="F2031" s="25"/>
      <c r="G2031" s="123"/>
      <c r="H2031" s="123"/>
      <c r="I2031" s="25"/>
      <c r="J2031" s="25"/>
      <c r="K2031" s="367"/>
      <c r="L2031" s="42"/>
      <c r="M2031" s="42"/>
      <c r="N2031" s="42"/>
      <c r="O2031" s="42"/>
      <c r="P2031" s="42"/>
      <c r="Q2031" s="42"/>
      <c r="R2031" s="176"/>
      <c r="S2031" s="42"/>
      <c r="T2031" s="42"/>
      <c r="U2031" s="46"/>
      <c r="V2031" s="42"/>
      <c r="W2031" s="42"/>
      <c r="X2031" s="42"/>
      <c r="Y2031" s="42"/>
      <c r="Z2031" s="42"/>
      <c r="AA2031" s="42"/>
      <c r="AB2031" s="42"/>
      <c r="AC2031" s="42"/>
      <c r="AD2031" s="42"/>
      <c r="AE2031" s="42"/>
      <c r="AF2031" s="42"/>
    </row>
    <row r="2032">
      <c r="A2032" s="25"/>
      <c r="B2032" s="297"/>
      <c r="C2032" s="25"/>
      <c r="D2032" s="25"/>
      <c r="E2032" s="25"/>
      <c r="F2032" s="25"/>
      <c r="G2032" s="123"/>
      <c r="H2032" s="123"/>
      <c r="I2032" s="25"/>
      <c r="J2032" s="25"/>
      <c r="K2032" s="367"/>
      <c r="L2032" s="42"/>
      <c r="M2032" s="42"/>
      <c r="N2032" s="42"/>
      <c r="O2032" s="42"/>
      <c r="P2032" s="42"/>
      <c r="Q2032" s="42"/>
      <c r="R2032" s="176"/>
      <c r="S2032" s="42"/>
      <c r="T2032" s="42"/>
      <c r="U2032" s="46"/>
      <c r="V2032" s="42"/>
      <c r="W2032" s="42"/>
      <c r="X2032" s="42"/>
      <c r="Y2032" s="42"/>
      <c r="Z2032" s="42"/>
      <c r="AA2032" s="42"/>
      <c r="AB2032" s="42"/>
      <c r="AC2032" s="42"/>
      <c r="AD2032" s="42"/>
      <c r="AE2032" s="42"/>
      <c r="AF2032" s="42"/>
    </row>
    <row r="2033">
      <c r="A2033" s="25"/>
      <c r="B2033" s="297"/>
      <c r="C2033" s="25"/>
      <c r="D2033" s="25"/>
      <c r="E2033" s="25"/>
      <c r="F2033" s="25"/>
      <c r="G2033" s="123"/>
      <c r="H2033" s="123"/>
      <c r="I2033" s="25"/>
      <c r="J2033" s="25"/>
      <c r="K2033" s="367"/>
      <c r="L2033" s="42"/>
      <c r="M2033" s="42"/>
      <c r="N2033" s="42"/>
      <c r="O2033" s="42"/>
      <c r="P2033" s="42"/>
      <c r="Q2033" s="42"/>
      <c r="R2033" s="176"/>
      <c r="S2033" s="42"/>
      <c r="T2033" s="42"/>
      <c r="U2033" s="46"/>
      <c r="V2033" s="42"/>
      <c r="W2033" s="42"/>
      <c r="X2033" s="42"/>
      <c r="Y2033" s="42"/>
      <c r="Z2033" s="42"/>
      <c r="AA2033" s="42"/>
      <c r="AB2033" s="42"/>
      <c r="AC2033" s="42"/>
      <c r="AD2033" s="42"/>
      <c r="AE2033" s="42"/>
      <c r="AF2033" s="42"/>
    </row>
    <row r="2034">
      <c r="A2034" s="25"/>
      <c r="B2034" s="297"/>
      <c r="C2034" s="25"/>
      <c r="D2034" s="25"/>
      <c r="E2034" s="25"/>
      <c r="F2034" s="25"/>
      <c r="G2034" s="123"/>
      <c r="H2034" s="123"/>
      <c r="I2034" s="25"/>
      <c r="J2034" s="25"/>
      <c r="K2034" s="367"/>
      <c r="L2034" s="42"/>
      <c r="M2034" s="42"/>
      <c r="N2034" s="42"/>
      <c r="O2034" s="42"/>
      <c r="P2034" s="42"/>
      <c r="Q2034" s="42"/>
      <c r="R2034" s="176"/>
      <c r="S2034" s="42"/>
      <c r="T2034" s="42"/>
      <c r="U2034" s="46"/>
      <c r="V2034" s="42"/>
      <c r="W2034" s="42"/>
      <c r="X2034" s="42"/>
      <c r="Y2034" s="42"/>
      <c r="Z2034" s="42"/>
      <c r="AA2034" s="42"/>
      <c r="AB2034" s="42"/>
      <c r="AC2034" s="42"/>
      <c r="AD2034" s="42"/>
      <c r="AE2034" s="42"/>
      <c r="AF2034" s="42"/>
    </row>
    <row r="2035">
      <c r="A2035" s="25"/>
      <c r="B2035" s="297"/>
      <c r="C2035" s="25"/>
      <c r="D2035" s="25"/>
      <c r="E2035" s="25"/>
      <c r="F2035" s="25"/>
      <c r="G2035" s="123"/>
      <c r="H2035" s="123"/>
      <c r="I2035" s="25"/>
      <c r="J2035" s="25"/>
      <c r="K2035" s="367"/>
      <c r="L2035" s="42"/>
      <c r="M2035" s="42"/>
      <c r="N2035" s="42"/>
      <c r="O2035" s="42"/>
      <c r="P2035" s="42"/>
      <c r="Q2035" s="42"/>
      <c r="R2035" s="176"/>
      <c r="S2035" s="42"/>
      <c r="T2035" s="42"/>
      <c r="U2035" s="46"/>
      <c r="V2035" s="42"/>
      <c r="W2035" s="42"/>
      <c r="X2035" s="42"/>
      <c r="Y2035" s="42"/>
      <c r="Z2035" s="42"/>
      <c r="AA2035" s="42"/>
      <c r="AB2035" s="42"/>
      <c r="AC2035" s="42"/>
      <c r="AD2035" s="42"/>
      <c r="AE2035" s="42"/>
      <c r="AF2035" s="42"/>
    </row>
    <row r="2036">
      <c r="A2036" s="25"/>
      <c r="B2036" s="297"/>
      <c r="C2036" s="25"/>
      <c r="D2036" s="25"/>
      <c r="E2036" s="25"/>
      <c r="F2036" s="25"/>
      <c r="G2036" s="123"/>
      <c r="H2036" s="123"/>
      <c r="I2036" s="25"/>
      <c r="J2036" s="25"/>
      <c r="K2036" s="367"/>
      <c r="L2036" s="42"/>
      <c r="M2036" s="42"/>
      <c r="N2036" s="42"/>
      <c r="O2036" s="42"/>
      <c r="P2036" s="42"/>
      <c r="Q2036" s="42"/>
      <c r="R2036" s="176"/>
      <c r="S2036" s="42"/>
      <c r="T2036" s="42"/>
      <c r="U2036" s="46"/>
      <c r="V2036" s="42"/>
      <c r="W2036" s="42"/>
      <c r="X2036" s="42"/>
      <c r="Y2036" s="42"/>
      <c r="Z2036" s="42"/>
      <c r="AA2036" s="42"/>
      <c r="AB2036" s="42"/>
      <c r="AC2036" s="42"/>
      <c r="AD2036" s="42"/>
      <c r="AE2036" s="42"/>
      <c r="AF2036" s="42"/>
    </row>
    <row r="2037">
      <c r="A2037" s="25"/>
      <c r="B2037" s="297"/>
      <c r="C2037" s="25"/>
      <c r="D2037" s="25"/>
      <c r="E2037" s="25"/>
      <c r="F2037" s="25"/>
      <c r="G2037" s="123"/>
      <c r="H2037" s="123"/>
      <c r="I2037" s="25"/>
      <c r="J2037" s="25"/>
      <c r="K2037" s="367"/>
      <c r="L2037" s="42"/>
      <c r="M2037" s="42"/>
      <c r="N2037" s="42"/>
      <c r="O2037" s="42"/>
      <c r="P2037" s="42"/>
      <c r="Q2037" s="42"/>
      <c r="R2037" s="176"/>
      <c r="S2037" s="42"/>
      <c r="T2037" s="42"/>
      <c r="U2037" s="46"/>
      <c r="V2037" s="42"/>
      <c r="W2037" s="42"/>
      <c r="X2037" s="42"/>
      <c r="Y2037" s="42"/>
      <c r="Z2037" s="42"/>
      <c r="AA2037" s="42"/>
      <c r="AB2037" s="42"/>
      <c r="AC2037" s="42"/>
      <c r="AD2037" s="42"/>
      <c r="AE2037" s="42"/>
      <c r="AF2037" s="42"/>
    </row>
    <row r="2038">
      <c r="A2038" s="25"/>
      <c r="B2038" s="297"/>
      <c r="C2038" s="25"/>
      <c r="D2038" s="25"/>
      <c r="E2038" s="25"/>
      <c r="F2038" s="25"/>
      <c r="G2038" s="123"/>
      <c r="H2038" s="123"/>
      <c r="I2038" s="25"/>
      <c r="J2038" s="25"/>
      <c r="K2038" s="367"/>
      <c r="L2038" s="42"/>
      <c r="M2038" s="42"/>
      <c r="N2038" s="42"/>
      <c r="O2038" s="42"/>
      <c r="P2038" s="42"/>
      <c r="Q2038" s="42"/>
      <c r="R2038" s="176"/>
      <c r="S2038" s="42"/>
      <c r="T2038" s="42"/>
      <c r="U2038" s="46"/>
      <c r="V2038" s="42"/>
      <c r="W2038" s="42"/>
      <c r="X2038" s="42"/>
      <c r="Y2038" s="42"/>
      <c r="Z2038" s="42"/>
      <c r="AA2038" s="42"/>
      <c r="AB2038" s="42"/>
      <c r="AC2038" s="42"/>
      <c r="AD2038" s="42"/>
      <c r="AE2038" s="42"/>
      <c r="AF2038" s="42"/>
    </row>
    <row r="2039">
      <c r="A2039" s="25"/>
      <c r="B2039" s="297"/>
      <c r="C2039" s="25"/>
      <c r="D2039" s="25"/>
      <c r="E2039" s="25"/>
      <c r="F2039" s="25"/>
      <c r="G2039" s="123"/>
      <c r="H2039" s="123"/>
      <c r="I2039" s="25"/>
      <c r="J2039" s="25"/>
      <c r="K2039" s="367"/>
      <c r="L2039" s="42"/>
      <c r="M2039" s="42"/>
      <c r="N2039" s="42"/>
      <c r="O2039" s="42"/>
      <c r="P2039" s="42"/>
      <c r="Q2039" s="42"/>
      <c r="R2039" s="176"/>
      <c r="S2039" s="42"/>
      <c r="T2039" s="42"/>
      <c r="U2039" s="46"/>
      <c r="V2039" s="42"/>
      <c r="W2039" s="42"/>
      <c r="X2039" s="42"/>
      <c r="Y2039" s="42"/>
      <c r="Z2039" s="42"/>
      <c r="AA2039" s="42"/>
      <c r="AB2039" s="42"/>
      <c r="AC2039" s="42"/>
      <c r="AD2039" s="42"/>
      <c r="AE2039" s="42"/>
      <c r="AF2039" s="42"/>
    </row>
    <row r="2040">
      <c r="A2040" s="25"/>
      <c r="B2040" s="297"/>
      <c r="C2040" s="25"/>
      <c r="D2040" s="25"/>
      <c r="E2040" s="25"/>
      <c r="F2040" s="25"/>
      <c r="G2040" s="123"/>
      <c r="H2040" s="123"/>
      <c r="I2040" s="25"/>
      <c r="J2040" s="25"/>
      <c r="K2040" s="367"/>
      <c r="L2040" s="42"/>
      <c r="M2040" s="42"/>
      <c r="N2040" s="42"/>
      <c r="O2040" s="42"/>
      <c r="P2040" s="42"/>
      <c r="Q2040" s="42"/>
      <c r="R2040" s="176"/>
      <c r="S2040" s="42"/>
      <c r="T2040" s="42"/>
      <c r="U2040" s="46"/>
      <c r="V2040" s="42"/>
      <c r="W2040" s="42"/>
      <c r="X2040" s="42"/>
      <c r="Y2040" s="42"/>
      <c r="Z2040" s="42"/>
      <c r="AA2040" s="42"/>
      <c r="AB2040" s="42"/>
      <c r="AC2040" s="42"/>
      <c r="AD2040" s="42"/>
      <c r="AE2040" s="42"/>
      <c r="AF2040" s="42"/>
    </row>
    <row r="2041">
      <c r="A2041" s="25"/>
      <c r="B2041" s="297"/>
      <c r="C2041" s="25"/>
      <c r="D2041" s="25"/>
      <c r="E2041" s="25"/>
      <c r="F2041" s="25"/>
      <c r="G2041" s="123"/>
      <c r="H2041" s="123"/>
      <c r="I2041" s="25"/>
      <c r="J2041" s="25"/>
      <c r="K2041" s="367"/>
      <c r="L2041" s="42"/>
      <c r="M2041" s="42"/>
      <c r="N2041" s="42"/>
      <c r="O2041" s="42"/>
      <c r="P2041" s="42"/>
      <c r="Q2041" s="42"/>
      <c r="R2041" s="176"/>
      <c r="S2041" s="42"/>
      <c r="T2041" s="42"/>
      <c r="U2041" s="46"/>
      <c r="V2041" s="42"/>
      <c r="W2041" s="42"/>
      <c r="X2041" s="42"/>
      <c r="Y2041" s="42"/>
      <c r="Z2041" s="42"/>
      <c r="AA2041" s="42"/>
      <c r="AB2041" s="42"/>
      <c r="AC2041" s="42"/>
      <c r="AD2041" s="42"/>
      <c r="AE2041" s="42"/>
      <c r="AF2041" s="42"/>
    </row>
    <row r="2042">
      <c r="A2042" s="25"/>
      <c r="B2042" s="297"/>
      <c r="C2042" s="25"/>
      <c r="D2042" s="25"/>
      <c r="E2042" s="25"/>
      <c r="F2042" s="25"/>
      <c r="G2042" s="123"/>
      <c r="H2042" s="123"/>
      <c r="I2042" s="25"/>
      <c r="J2042" s="25"/>
      <c r="K2042" s="367"/>
      <c r="L2042" s="42"/>
      <c r="M2042" s="42"/>
      <c r="N2042" s="42"/>
      <c r="O2042" s="42"/>
      <c r="P2042" s="42"/>
      <c r="Q2042" s="42"/>
      <c r="R2042" s="176"/>
      <c r="S2042" s="42"/>
      <c r="T2042" s="42"/>
      <c r="U2042" s="46"/>
      <c r="V2042" s="42"/>
      <c r="W2042" s="42"/>
      <c r="X2042" s="42"/>
      <c r="Y2042" s="42"/>
      <c r="Z2042" s="42"/>
      <c r="AA2042" s="42"/>
      <c r="AB2042" s="42"/>
      <c r="AC2042" s="42"/>
      <c r="AD2042" s="42"/>
      <c r="AE2042" s="42"/>
      <c r="AF2042" s="42"/>
    </row>
    <row r="2043">
      <c r="A2043" s="25"/>
      <c r="B2043" s="297"/>
      <c r="C2043" s="25"/>
      <c r="D2043" s="25"/>
      <c r="E2043" s="25"/>
      <c r="F2043" s="25"/>
      <c r="G2043" s="123"/>
      <c r="H2043" s="123"/>
      <c r="I2043" s="25"/>
      <c r="J2043" s="25"/>
      <c r="K2043" s="367"/>
      <c r="L2043" s="42"/>
      <c r="M2043" s="42"/>
      <c r="N2043" s="42"/>
      <c r="O2043" s="42"/>
      <c r="P2043" s="42"/>
      <c r="Q2043" s="42"/>
      <c r="R2043" s="176"/>
      <c r="S2043" s="42"/>
      <c r="T2043" s="42"/>
      <c r="U2043" s="46"/>
      <c r="V2043" s="42"/>
      <c r="W2043" s="42"/>
      <c r="X2043" s="42"/>
      <c r="Y2043" s="42"/>
      <c r="Z2043" s="42"/>
      <c r="AA2043" s="42"/>
      <c r="AB2043" s="42"/>
      <c r="AC2043" s="42"/>
      <c r="AD2043" s="42"/>
      <c r="AE2043" s="42"/>
      <c r="AF2043" s="42"/>
    </row>
    <row r="2044">
      <c r="A2044" s="25"/>
      <c r="B2044" s="297"/>
      <c r="C2044" s="25"/>
      <c r="D2044" s="25"/>
      <c r="E2044" s="25"/>
      <c r="F2044" s="25"/>
      <c r="G2044" s="123"/>
      <c r="H2044" s="123"/>
      <c r="I2044" s="25"/>
      <c r="J2044" s="25"/>
      <c r="K2044" s="367"/>
      <c r="L2044" s="42"/>
      <c r="M2044" s="42"/>
      <c r="N2044" s="42"/>
      <c r="O2044" s="42"/>
      <c r="P2044" s="42"/>
      <c r="Q2044" s="42"/>
      <c r="R2044" s="176"/>
      <c r="S2044" s="42"/>
      <c r="T2044" s="42"/>
      <c r="U2044" s="46"/>
      <c r="V2044" s="42"/>
      <c r="W2044" s="42"/>
      <c r="X2044" s="42"/>
      <c r="Y2044" s="42"/>
      <c r="Z2044" s="42"/>
      <c r="AA2044" s="42"/>
      <c r="AB2044" s="42"/>
      <c r="AC2044" s="42"/>
      <c r="AD2044" s="42"/>
      <c r="AE2044" s="42"/>
      <c r="AF2044" s="42"/>
    </row>
    <row r="2045">
      <c r="A2045" s="25"/>
      <c r="B2045" s="297"/>
      <c r="C2045" s="25"/>
      <c r="D2045" s="25"/>
      <c r="E2045" s="25"/>
      <c r="F2045" s="25"/>
      <c r="G2045" s="123"/>
      <c r="H2045" s="123"/>
      <c r="I2045" s="25"/>
      <c r="J2045" s="25"/>
      <c r="K2045" s="367"/>
      <c r="L2045" s="42"/>
      <c r="M2045" s="42"/>
      <c r="N2045" s="42"/>
      <c r="O2045" s="42"/>
      <c r="P2045" s="42"/>
      <c r="Q2045" s="42"/>
      <c r="R2045" s="176"/>
      <c r="S2045" s="42"/>
      <c r="T2045" s="42"/>
      <c r="U2045" s="46"/>
      <c r="V2045" s="42"/>
      <c r="W2045" s="42"/>
      <c r="X2045" s="42"/>
      <c r="Y2045" s="42"/>
      <c r="Z2045" s="42"/>
      <c r="AA2045" s="42"/>
      <c r="AB2045" s="42"/>
      <c r="AC2045" s="42"/>
      <c r="AD2045" s="42"/>
      <c r="AE2045" s="42"/>
      <c r="AF2045" s="42"/>
    </row>
    <row r="2046">
      <c r="A2046" s="25"/>
      <c r="B2046" s="297"/>
      <c r="C2046" s="25"/>
      <c r="D2046" s="25"/>
      <c r="E2046" s="25"/>
      <c r="F2046" s="25"/>
      <c r="G2046" s="123"/>
      <c r="H2046" s="123"/>
      <c r="I2046" s="25"/>
      <c r="J2046" s="25"/>
      <c r="K2046" s="367"/>
      <c r="L2046" s="42"/>
      <c r="M2046" s="42"/>
      <c r="N2046" s="42"/>
      <c r="O2046" s="42"/>
      <c r="P2046" s="42"/>
      <c r="Q2046" s="42"/>
      <c r="R2046" s="176"/>
      <c r="S2046" s="42"/>
      <c r="T2046" s="42"/>
      <c r="U2046" s="46"/>
      <c r="V2046" s="42"/>
      <c r="W2046" s="42"/>
      <c r="X2046" s="42"/>
      <c r="Y2046" s="42"/>
      <c r="Z2046" s="42"/>
      <c r="AA2046" s="42"/>
      <c r="AB2046" s="42"/>
      <c r="AC2046" s="42"/>
      <c r="AD2046" s="42"/>
      <c r="AE2046" s="42"/>
      <c r="AF2046" s="42"/>
    </row>
    <row r="2047">
      <c r="A2047" s="25"/>
      <c r="B2047" s="297"/>
      <c r="C2047" s="25"/>
      <c r="D2047" s="25"/>
      <c r="E2047" s="25"/>
      <c r="F2047" s="25"/>
      <c r="G2047" s="123"/>
      <c r="H2047" s="123"/>
      <c r="I2047" s="25"/>
      <c r="J2047" s="25"/>
      <c r="K2047" s="367"/>
      <c r="L2047" s="42"/>
      <c r="M2047" s="42"/>
      <c r="N2047" s="42"/>
      <c r="O2047" s="42"/>
      <c r="P2047" s="42"/>
      <c r="Q2047" s="42"/>
      <c r="R2047" s="176"/>
      <c r="S2047" s="42"/>
      <c r="T2047" s="42"/>
      <c r="U2047" s="46"/>
      <c r="V2047" s="42"/>
      <c r="W2047" s="42"/>
      <c r="X2047" s="42"/>
      <c r="Y2047" s="42"/>
      <c r="Z2047" s="42"/>
      <c r="AA2047" s="42"/>
      <c r="AB2047" s="42"/>
      <c r="AC2047" s="42"/>
      <c r="AD2047" s="42"/>
      <c r="AE2047" s="42"/>
      <c r="AF2047" s="42"/>
    </row>
    <row r="2048">
      <c r="A2048" s="25"/>
      <c r="B2048" s="297"/>
      <c r="C2048" s="25"/>
      <c r="D2048" s="25"/>
      <c r="E2048" s="25"/>
      <c r="F2048" s="25"/>
      <c r="G2048" s="123"/>
      <c r="H2048" s="123"/>
      <c r="I2048" s="25"/>
      <c r="J2048" s="25"/>
      <c r="K2048" s="367"/>
      <c r="L2048" s="42"/>
      <c r="M2048" s="42"/>
      <c r="N2048" s="42"/>
      <c r="O2048" s="42"/>
      <c r="P2048" s="42"/>
      <c r="Q2048" s="42"/>
      <c r="R2048" s="176"/>
      <c r="S2048" s="42"/>
      <c r="T2048" s="42"/>
      <c r="U2048" s="46"/>
      <c r="V2048" s="42"/>
      <c r="W2048" s="42"/>
      <c r="X2048" s="42"/>
      <c r="Y2048" s="42"/>
      <c r="Z2048" s="42"/>
      <c r="AA2048" s="42"/>
      <c r="AB2048" s="42"/>
      <c r="AC2048" s="42"/>
      <c r="AD2048" s="42"/>
      <c r="AE2048" s="42"/>
      <c r="AF2048" s="42"/>
    </row>
    <row r="2049">
      <c r="A2049" s="25"/>
      <c r="B2049" s="297"/>
      <c r="C2049" s="25"/>
      <c r="D2049" s="25"/>
      <c r="E2049" s="25"/>
      <c r="F2049" s="25"/>
      <c r="G2049" s="123"/>
      <c r="H2049" s="123"/>
      <c r="I2049" s="25"/>
      <c r="J2049" s="25"/>
      <c r="K2049" s="367"/>
      <c r="L2049" s="42"/>
      <c r="M2049" s="42"/>
      <c r="N2049" s="42"/>
      <c r="O2049" s="42"/>
      <c r="P2049" s="42"/>
      <c r="Q2049" s="42"/>
      <c r="R2049" s="176"/>
      <c r="S2049" s="42"/>
      <c r="T2049" s="42"/>
      <c r="U2049" s="46"/>
      <c r="V2049" s="42"/>
      <c r="W2049" s="42"/>
      <c r="X2049" s="42"/>
      <c r="Y2049" s="42"/>
      <c r="Z2049" s="42"/>
      <c r="AA2049" s="42"/>
      <c r="AB2049" s="42"/>
      <c r="AC2049" s="42"/>
      <c r="AD2049" s="42"/>
      <c r="AE2049" s="42"/>
      <c r="AF2049" s="42"/>
    </row>
    <row r="2050">
      <c r="A2050" s="25"/>
      <c r="B2050" s="297"/>
      <c r="C2050" s="25"/>
      <c r="D2050" s="25"/>
      <c r="E2050" s="25"/>
      <c r="F2050" s="25"/>
      <c r="G2050" s="123"/>
      <c r="H2050" s="123"/>
      <c r="I2050" s="25"/>
      <c r="J2050" s="25"/>
      <c r="K2050" s="367"/>
      <c r="L2050" s="42"/>
      <c r="M2050" s="42"/>
      <c r="N2050" s="42"/>
      <c r="O2050" s="42"/>
      <c r="P2050" s="42"/>
      <c r="Q2050" s="42"/>
      <c r="R2050" s="176"/>
      <c r="S2050" s="42"/>
      <c r="T2050" s="42"/>
      <c r="U2050" s="46"/>
      <c r="V2050" s="42"/>
      <c r="W2050" s="42"/>
      <c r="X2050" s="42"/>
      <c r="Y2050" s="42"/>
      <c r="Z2050" s="42"/>
      <c r="AA2050" s="42"/>
      <c r="AB2050" s="42"/>
      <c r="AC2050" s="42"/>
      <c r="AD2050" s="42"/>
      <c r="AE2050" s="42"/>
      <c r="AF2050" s="42"/>
    </row>
    <row r="2051">
      <c r="A2051" s="25"/>
      <c r="B2051" s="297"/>
      <c r="C2051" s="25"/>
      <c r="D2051" s="25"/>
      <c r="E2051" s="25"/>
      <c r="F2051" s="25"/>
      <c r="G2051" s="123"/>
      <c r="H2051" s="123"/>
      <c r="I2051" s="25"/>
      <c r="J2051" s="25"/>
      <c r="K2051" s="367"/>
      <c r="L2051" s="42"/>
      <c r="M2051" s="42"/>
      <c r="N2051" s="42"/>
      <c r="O2051" s="42"/>
      <c r="P2051" s="42"/>
      <c r="Q2051" s="42"/>
      <c r="R2051" s="176"/>
      <c r="S2051" s="42"/>
      <c r="T2051" s="42"/>
      <c r="U2051" s="46"/>
      <c r="V2051" s="42"/>
      <c r="W2051" s="42"/>
      <c r="X2051" s="42"/>
      <c r="Y2051" s="42"/>
      <c r="Z2051" s="42"/>
      <c r="AA2051" s="42"/>
      <c r="AB2051" s="42"/>
      <c r="AC2051" s="42"/>
      <c r="AD2051" s="42"/>
      <c r="AE2051" s="42"/>
      <c r="AF2051" s="42"/>
    </row>
    <row r="2052">
      <c r="A2052" s="25"/>
      <c r="B2052" s="297"/>
      <c r="C2052" s="25"/>
      <c r="D2052" s="25"/>
      <c r="E2052" s="25"/>
      <c r="F2052" s="25"/>
      <c r="G2052" s="123"/>
      <c r="H2052" s="123"/>
      <c r="I2052" s="25"/>
      <c r="J2052" s="25"/>
      <c r="K2052" s="367"/>
      <c r="L2052" s="42"/>
      <c r="M2052" s="42"/>
      <c r="N2052" s="42"/>
      <c r="O2052" s="42"/>
      <c r="P2052" s="42"/>
      <c r="Q2052" s="42"/>
      <c r="R2052" s="176"/>
      <c r="S2052" s="42"/>
      <c r="T2052" s="42"/>
      <c r="U2052" s="46"/>
      <c r="V2052" s="42"/>
      <c r="W2052" s="42"/>
      <c r="X2052" s="42"/>
      <c r="Y2052" s="42"/>
      <c r="Z2052" s="42"/>
      <c r="AA2052" s="42"/>
      <c r="AB2052" s="42"/>
      <c r="AC2052" s="42"/>
      <c r="AD2052" s="42"/>
      <c r="AE2052" s="42"/>
      <c r="AF2052" s="42"/>
    </row>
    <row r="2053">
      <c r="A2053" s="25"/>
      <c r="B2053" s="297"/>
      <c r="C2053" s="25"/>
      <c r="D2053" s="25"/>
      <c r="E2053" s="25"/>
      <c r="F2053" s="25"/>
      <c r="G2053" s="123"/>
      <c r="H2053" s="123"/>
      <c r="I2053" s="25"/>
      <c r="J2053" s="25"/>
      <c r="K2053" s="367"/>
      <c r="L2053" s="42"/>
      <c r="M2053" s="42"/>
      <c r="N2053" s="42"/>
      <c r="O2053" s="42"/>
      <c r="P2053" s="42"/>
      <c r="Q2053" s="42"/>
      <c r="R2053" s="176"/>
      <c r="S2053" s="42"/>
      <c r="T2053" s="42"/>
      <c r="U2053" s="46"/>
      <c r="V2053" s="42"/>
      <c r="W2053" s="42"/>
      <c r="X2053" s="42"/>
      <c r="Y2053" s="42"/>
      <c r="Z2053" s="42"/>
      <c r="AA2053" s="42"/>
      <c r="AB2053" s="42"/>
      <c r="AC2053" s="42"/>
      <c r="AD2053" s="42"/>
      <c r="AE2053" s="42"/>
      <c r="AF2053" s="42"/>
    </row>
    <row r="2054">
      <c r="A2054" s="25"/>
      <c r="B2054" s="297"/>
      <c r="C2054" s="25"/>
      <c r="D2054" s="25"/>
      <c r="E2054" s="25"/>
      <c r="F2054" s="25"/>
      <c r="G2054" s="123"/>
      <c r="H2054" s="123"/>
      <c r="I2054" s="25"/>
      <c r="J2054" s="25"/>
      <c r="K2054" s="367"/>
      <c r="L2054" s="42"/>
      <c r="M2054" s="42"/>
      <c r="N2054" s="42"/>
      <c r="O2054" s="42"/>
      <c r="P2054" s="42"/>
      <c r="Q2054" s="42"/>
      <c r="R2054" s="176"/>
      <c r="S2054" s="42"/>
      <c r="T2054" s="42"/>
      <c r="U2054" s="46"/>
      <c r="V2054" s="42"/>
      <c r="W2054" s="42"/>
      <c r="X2054" s="42"/>
      <c r="Y2054" s="42"/>
      <c r="Z2054" s="42"/>
      <c r="AA2054" s="42"/>
      <c r="AB2054" s="42"/>
      <c r="AC2054" s="42"/>
      <c r="AD2054" s="42"/>
      <c r="AE2054" s="42"/>
      <c r="AF2054" s="42"/>
    </row>
    <row r="2055">
      <c r="A2055" s="25"/>
      <c r="B2055" s="297"/>
      <c r="C2055" s="25"/>
      <c r="D2055" s="25"/>
      <c r="E2055" s="25"/>
      <c r="F2055" s="25"/>
      <c r="G2055" s="123"/>
      <c r="H2055" s="123"/>
      <c r="I2055" s="25"/>
      <c r="J2055" s="25"/>
      <c r="K2055" s="367"/>
      <c r="L2055" s="42"/>
      <c r="M2055" s="42"/>
      <c r="N2055" s="42"/>
      <c r="O2055" s="42"/>
      <c r="P2055" s="42"/>
      <c r="Q2055" s="42"/>
      <c r="R2055" s="176"/>
      <c r="S2055" s="42"/>
      <c r="T2055" s="42"/>
      <c r="U2055" s="46"/>
      <c r="V2055" s="42"/>
      <c r="W2055" s="42"/>
      <c r="X2055" s="42"/>
      <c r="Y2055" s="42"/>
      <c r="Z2055" s="42"/>
      <c r="AA2055" s="42"/>
      <c r="AB2055" s="42"/>
      <c r="AC2055" s="42"/>
      <c r="AD2055" s="42"/>
      <c r="AE2055" s="42"/>
      <c r="AF2055" s="42"/>
    </row>
    <row r="2056">
      <c r="A2056" s="25"/>
      <c r="B2056" s="297"/>
      <c r="C2056" s="25"/>
      <c r="D2056" s="25"/>
      <c r="E2056" s="25"/>
      <c r="F2056" s="25"/>
      <c r="G2056" s="123"/>
      <c r="H2056" s="123"/>
      <c r="I2056" s="25"/>
      <c r="J2056" s="25"/>
      <c r="K2056" s="367"/>
      <c r="L2056" s="42"/>
      <c r="M2056" s="42"/>
      <c r="N2056" s="42"/>
      <c r="O2056" s="42"/>
      <c r="P2056" s="42"/>
      <c r="Q2056" s="42"/>
      <c r="R2056" s="176"/>
      <c r="S2056" s="42"/>
      <c r="T2056" s="42"/>
      <c r="U2056" s="46"/>
      <c r="V2056" s="42"/>
      <c r="W2056" s="42"/>
      <c r="X2056" s="42"/>
      <c r="Y2056" s="42"/>
      <c r="Z2056" s="42"/>
      <c r="AA2056" s="42"/>
      <c r="AB2056" s="42"/>
      <c r="AC2056" s="42"/>
      <c r="AD2056" s="42"/>
      <c r="AE2056" s="42"/>
      <c r="AF2056" s="42"/>
    </row>
    <row r="2057">
      <c r="A2057" s="25"/>
      <c r="B2057" s="297"/>
      <c r="C2057" s="25"/>
      <c r="D2057" s="25"/>
      <c r="E2057" s="25"/>
      <c r="F2057" s="25"/>
      <c r="G2057" s="123"/>
      <c r="H2057" s="123"/>
      <c r="I2057" s="25"/>
      <c r="J2057" s="25"/>
      <c r="K2057" s="367"/>
      <c r="L2057" s="42"/>
      <c r="M2057" s="42"/>
      <c r="N2057" s="42"/>
      <c r="O2057" s="42"/>
      <c r="P2057" s="42"/>
      <c r="Q2057" s="42"/>
      <c r="R2057" s="176"/>
      <c r="S2057" s="42"/>
      <c r="T2057" s="42"/>
      <c r="U2057" s="46"/>
      <c r="V2057" s="42"/>
      <c r="W2057" s="42"/>
      <c r="X2057" s="42"/>
      <c r="Y2057" s="42"/>
      <c r="Z2057" s="42"/>
      <c r="AA2057" s="42"/>
      <c r="AB2057" s="42"/>
      <c r="AC2057" s="42"/>
      <c r="AD2057" s="42"/>
      <c r="AE2057" s="42"/>
      <c r="AF2057" s="42"/>
    </row>
    <row r="2058">
      <c r="A2058" s="25"/>
      <c r="B2058" s="297"/>
      <c r="C2058" s="25"/>
      <c r="D2058" s="25"/>
      <c r="E2058" s="25"/>
      <c r="F2058" s="25"/>
      <c r="G2058" s="123"/>
      <c r="H2058" s="123"/>
      <c r="I2058" s="25"/>
      <c r="J2058" s="25"/>
      <c r="K2058" s="367"/>
      <c r="L2058" s="42"/>
      <c r="M2058" s="42"/>
      <c r="N2058" s="42"/>
      <c r="O2058" s="42"/>
      <c r="P2058" s="42"/>
      <c r="Q2058" s="42"/>
      <c r="R2058" s="176"/>
      <c r="S2058" s="42"/>
      <c r="T2058" s="42"/>
      <c r="U2058" s="46"/>
      <c r="V2058" s="42"/>
      <c r="W2058" s="42"/>
      <c r="X2058" s="42"/>
      <c r="Y2058" s="42"/>
      <c r="Z2058" s="42"/>
      <c r="AA2058" s="42"/>
      <c r="AB2058" s="42"/>
      <c r="AC2058" s="42"/>
      <c r="AD2058" s="42"/>
      <c r="AE2058" s="42"/>
      <c r="AF2058" s="42"/>
    </row>
    <row r="2059">
      <c r="A2059" s="25"/>
      <c r="B2059" s="297"/>
      <c r="C2059" s="25"/>
      <c r="D2059" s="25"/>
      <c r="E2059" s="25"/>
      <c r="F2059" s="25"/>
      <c r="G2059" s="123"/>
      <c r="H2059" s="123"/>
      <c r="I2059" s="25"/>
      <c r="J2059" s="25"/>
      <c r="K2059" s="367"/>
      <c r="L2059" s="42"/>
      <c r="M2059" s="42"/>
      <c r="N2059" s="42"/>
      <c r="O2059" s="42"/>
      <c r="P2059" s="42"/>
      <c r="Q2059" s="42"/>
      <c r="R2059" s="176"/>
      <c r="S2059" s="42"/>
      <c r="T2059" s="42"/>
      <c r="U2059" s="46"/>
      <c r="V2059" s="42"/>
      <c r="W2059" s="42"/>
      <c r="X2059" s="42"/>
      <c r="Y2059" s="42"/>
      <c r="Z2059" s="42"/>
      <c r="AA2059" s="42"/>
      <c r="AB2059" s="42"/>
      <c r="AC2059" s="42"/>
      <c r="AD2059" s="42"/>
      <c r="AE2059" s="42"/>
      <c r="AF2059" s="42"/>
    </row>
    <row r="2060">
      <c r="A2060" s="25"/>
      <c r="B2060" s="297"/>
      <c r="C2060" s="25"/>
      <c r="D2060" s="25"/>
      <c r="E2060" s="25"/>
      <c r="F2060" s="25"/>
      <c r="G2060" s="123"/>
      <c r="H2060" s="123"/>
      <c r="I2060" s="25"/>
      <c r="J2060" s="25"/>
      <c r="K2060" s="367"/>
      <c r="L2060" s="42"/>
      <c r="M2060" s="42"/>
      <c r="N2060" s="42"/>
      <c r="O2060" s="42"/>
      <c r="P2060" s="42"/>
      <c r="Q2060" s="42"/>
      <c r="R2060" s="176"/>
      <c r="S2060" s="42"/>
      <c r="T2060" s="42"/>
      <c r="U2060" s="46"/>
      <c r="V2060" s="42"/>
      <c r="W2060" s="42"/>
      <c r="X2060" s="42"/>
      <c r="Y2060" s="42"/>
      <c r="Z2060" s="42"/>
      <c r="AA2060" s="42"/>
      <c r="AB2060" s="42"/>
      <c r="AC2060" s="42"/>
      <c r="AD2060" s="42"/>
      <c r="AE2060" s="42"/>
      <c r="AF2060" s="42"/>
    </row>
    <row r="2061">
      <c r="A2061" s="25"/>
      <c r="B2061" s="297"/>
      <c r="C2061" s="25"/>
      <c r="D2061" s="25"/>
      <c r="E2061" s="25"/>
      <c r="F2061" s="25"/>
      <c r="G2061" s="123"/>
      <c r="H2061" s="123"/>
      <c r="I2061" s="25"/>
      <c r="J2061" s="25"/>
      <c r="K2061" s="367"/>
      <c r="L2061" s="42"/>
      <c r="M2061" s="42"/>
      <c r="N2061" s="42"/>
      <c r="O2061" s="42"/>
      <c r="P2061" s="42"/>
      <c r="Q2061" s="42"/>
      <c r="R2061" s="176"/>
      <c r="S2061" s="42"/>
      <c r="T2061" s="42"/>
      <c r="U2061" s="46"/>
      <c r="V2061" s="42"/>
      <c r="W2061" s="42"/>
      <c r="X2061" s="42"/>
      <c r="Y2061" s="42"/>
      <c r="Z2061" s="42"/>
      <c r="AA2061" s="42"/>
      <c r="AB2061" s="42"/>
      <c r="AC2061" s="42"/>
      <c r="AD2061" s="42"/>
      <c r="AE2061" s="42"/>
      <c r="AF2061" s="42"/>
    </row>
    <row r="2062">
      <c r="A2062" s="25"/>
      <c r="B2062" s="297"/>
      <c r="C2062" s="25"/>
      <c r="D2062" s="25"/>
      <c r="E2062" s="25"/>
      <c r="F2062" s="25"/>
      <c r="G2062" s="123"/>
      <c r="H2062" s="123"/>
      <c r="I2062" s="25"/>
      <c r="J2062" s="25"/>
      <c r="K2062" s="367"/>
      <c r="L2062" s="42"/>
      <c r="M2062" s="42"/>
      <c r="N2062" s="42"/>
      <c r="O2062" s="42"/>
      <c r="P2062" s="42"/>
      <c r="Q2062" s="42"/>
      <c r="R2062" s="176"/>
      <c r="S2062" s="42"/>
      <c r="T2062" s="42"/>
      <c r="U2062" s="46"/>
      <c r="V2062" s="42"/>
      <c r="W2062" s="42"/>
      <c r="X2062" s="42"/>
      <c r="Y2062" s="42"/>
      <c r="Z2062" s="42"/>
      <c r="AA2062" s="42"/>
      <c r="AB2062" s="42"/>
      <c r="AC2062" s="42"/>
      <c r="AD2062" s="42"/>
      <c r="AE2062" s="42"/>
      <c r="AF2062" s="42"/>
    </row>
    <row r="2063">
      <c r="A2063" s="25"/>
      <c r="B2063" s="297"/>
      <c r="C2063" s="25"/>
      <c r="D2063" s="25"/>
      <c r="E2063" s="25"/>
      <c r="F2063" s="25"/>
      <c r="G2063" s="123"/>
      <c r="H2063" s="123"/>
      <c r="I2063" s="25"/>
      <c r="J2063" s="25"/>
      <c r="K2063" s="367"/>
      <c r="L2063" s="42"/>
      <c r="M2063" s="42"/>
      <c r="N2063" s="42"/>
      <c r="O2063" s="42"/>
      <c r="P2063" s="42"/>
      <c r="Q2063" s="42"/>
      <c r="R2063" s="176"/>
      <c r="S2063" s="42"/>
      <c r="T2063" s="42"/>
      <c r="U2063" s="46"/>
      <c r="V2063" s="42"/>
      <c r="W2063" s="42"/>
      <c r="X2063" s="42"/>
      <c r="Y2063" s="42"/>
      <c r="Z2063" s="42"/>
      <c r="AA2063" s="42"/>
      <c r="AB2063" s="42"/>
      <c r="AC2063" s="42"/>
      <c r="AD2063" s="42"/>
      <c r="AE2063" s="42"/>
      <c r="AF2063" s="42"/>
    </row>
    <row r="2064">
      <c r="A2064" s="25"/>
      <c r="B2064" s="297"/>
      <c r="C2064" s="25"/>
      <c r="D2064" s="25"/>
      <c r="E2064" s="25"/>
      <c r="F2064" s="25"/>
      <c r="G2064" s="123"/>
      <c r="H2064" s="123"/>
      <c r="I2064" s="25"/>
      <c r="J2064" s="25"/>
      <c r="K2064" s="367"/>
      <c r="L2064" s="42"/>
      <c r="M2064" s="42"/>
      <c r="N2064" s="42"/>
      <c r="O2064" s="42"/>
      <c r="P2064" s="42"/>
      <c r="Q2064" s="42"/>
      <c r="R2064" s="176"/>
      <c r="S2064" s="42"/>
      <c r="T2064" s="42"/>
      <c r="U2064" s="46"/>
      <c r="V2064" s="42"/>
      <c r="W2064" s="42"/>
      <c r="X2064" s="42"/>
      <c r="Y2064" s="42"/>
      <c r="Z2064" s="42"/>
      <c r="AA2064" s="42"/>
      <c r="AB2064" s="42"/>
      <c r="AC2064" s="42"/>
      <c r="AD2064" s="42"/>
      <c r="AE2064" s="42"/>
      <c r="AF2064" s="42"/>
    </row>
    <row r="2065">
      <c r="A2065" s="25"/>
      <c r="B2065" s="297"/>
      <c r="C2065" s="25"/>
      <c r="D2065" s="25"/>
      <c r="E2065" s="25"/>
      <c r="F2065" s="25"/>
      <c r="G2065" s="123"/>
      <c r="H2065" s="123"/>
      <c r="I2065" s="25"/>
      <c r="J2065" s="25"/>
      <c r="K2065" s="367"/>
      <c r="L2065" s="42"/>
      <c r="M2065" s="42"/>
      <c r="N2065" s="42"/>
      <c r="O2065" s="42"/>
      <c r="P2065" s="42"/>
      <c r="Q2065" s="42"/>
      <c r="R2065" s="176"/>
      <c r="S2065" s="42"/>
      <c r="T2065" s="42"/>
      <c r="U2065" s="46"/>
      <c r="V2065" s="42"/>
      <c r="W2065" s="42"/>
      <c r="X2065" s="42"/>
      <c r="Y2065" s="42"/>
      <c r="Z2065" s="42"/>
      <c r="AA2065" s="42"/>
      <c r="AB2065" s="42"/>
      <c r="AC2065" s="42"/>
      <c r="AD2065" s="42"/>
      <c r="AE2065" s="42"/>
      <c r="AF2065" s="42"/>
    </row>
    <row r="2066">
      <c r="A2066" s="25"/>
      <c r="B2066" s="297"/>
      <c r="C2066" s="25"/>
      <c r="D2066" s="25"/>
      <c r="E2066" s="25"/>
      <c r="F2066" s="25"/>
      <c r="G2066" s="123"/>
      <c r="H2066" s="123"/>
      <c r="I2066" s="25"/>
      <c r="J2066" s="25"/>
      <c r="K2066" s="367"/>
      <c r="L2066" s="42"/>
      <c r="M2066" s="42"/>
      <c r="N2066" s="42"/>
      <c r="O2066" s="42"/>
      <c r="P2066" s="42"/>
      <c r="Q2066" s="42"/>
      <c r="R2066" s="176"/>
      <c r="S2066" s="42"/>
      <c r="T2066" s="42"/>
      <c r="U2066" s="46"/>
      <c r="V2066" s="42"/>
      <c r="W2066" s="42"/>
      <c r="X2066" s="42"/>
      <c r="Y2066" s="42"/>
      <c r="Z2066" s="42"/>
      <c r="AA2066" s="42"/>
      <c r="AB2066" s="42"/>
      <c r="AC2066" s="42"/>
      <c r="AD2066" s="42"/>
      <c r="AE2066" s="42"/>
      <c r="AF2066" s="42"/>
    </row>
    <row r="2067">
      <c r="A2067" s="25"/>
      <c r="B2067" s="297"/>
      <c r="C2067" s="25"/>
      <c r="D2067" s="25"/>
      <c r="E2067" s="25"/>
      <c r="F2067" s="25"/>
      <c r="G2067" s="123"/>
      <c r="H2067" s="123"/>
      <c r="I2067" s="25"/>
      <c r="J2067" s="25"/>
      <c r="K2067" s="367"/>
      <c r="L2067" s="42"/>
      <c r="M2067" s="42"/>
      <c r="N2067" s="42"/>
      <c r="O2067" s="42"/>
      <c r="P2067" s="42"/>
      <c r="Q2067" s="42"/>
      <c r="R2067" s="176"/>
      <c r="S2067" s="42"/>
      <c r="T2067" s="42"/>
      <c r="U2067" s="46"/>
      <c r="V2067" s="42"/>
      <c r="W2067" s="42"/>
      <c r="X2067" s="42"/>
      <c r="Y2067" s="42"/>
      <c r="Z2067" s="42"/>
      <c r="AA2067" s="42"/>
      <c r="AB2067" s="42"/>
      <c r="AC2067" s="42"/>
      <c r="AD2067" s="42"/>
      <c r="AE2067" s="42"/>
      <c r="AF2067" s="42"/>
    </row>
    <row r="2068">
      <c r="A2068" s="25"/>
      <c r="B2068" s="297"/>
      <c r="C2068" s="25"/>
      <c r="D2068" s="25"/>
      <c r="E2068" s="25"/>
      <c r="F2068" s="25"/>
      <c r="G2068" s="123"/>
      <c r="H2068" s="123"/>
      <c r="I2068" s="25"/>
      <c r="J2068" s="25"/>
      <c r="K2068" s="367"/>
      <c r="L2068" s="42"/>
      <c r="M2068" s="42"/>
      <c r="N2068" s="42"/>
      <c r="O2068" s="42"/>
      <c r="P2068" s="42"/>
      <c r="Q2068" s="42"/>
      <c r="R2068" s="176"/>
      <c r="S2068" s="42"/>
      <c r="T2068" s="42"/>
      <c r="U2068" s="46"/>
      <c r="V2068" s="42"/>
      <c r="W2068" s="42"/>
      <c r="X2068" s="42"/>
      <c r="Y2068" s="42"/>
      <c r="Z2068" s="42"/>
      <c r="AA2068" s="42"/>
      <c r="AB2068" s="42"/>
      <c r="AC2068" s="42"/>
      <c r="AD2068" s="42"/>
      <c r="AE2068" s="42"/>
      <c r="AF2068" s="42"/>
    </row>
    <row r="2069">
      <c r="A2069" s="25"/>
      <c r="B2069" s="297"/>
      <c r="C2069" s="25"/>
      <c r="D2069" s="25"/>
      <c r="E2069" s="25"/>
      <c r="F2069" s="25"/>
      <c r="G2069" s="123"/>
      <c r="H2069" s="123"/>
      <c r="I2069" s="25"/>
      <c r="J2069" s="25"/>
      <c r="K2069" s="367"/>
      <c r="L2069" s="42"/>
      <c r="M2069" s="42"/>
      <c r="N2069" s="42"/>
      <c r="O2069" s="42"/>
      <c r="P2069" s="42"/>
      <c r="Q2069" s="42"/>
      <c r="R2069" s="176"/>
      <c r="S2069" s="42"/>
      <c r="T2069" s="42"/>
      <c r="U2069" s="46"/>
      <c r="V2069" s="42"/>
      <c r="W2069" s="42"/>
      <c r="X2069" s="42"/>
      <c r="Y2069" s="42"/>
      <c r="Z2069" s="42"/>
      <c r="AA2069" s="42"/>
      <c r="AB2069" s="42"/>
      <c r="AC2069" s="42"/>
      <c r="AD2069" s="42"/>
      <c r="AE2069" s="42"/>
      <c r="AF2069" s="42"/>
    </row>
    <row r="2070">
      <c r="A2070" s="25"/>
      <c r="B2070" s="297"/>
      <c r="C2070" s="25"/>
      <c r="D2070" s="25"/>
      <c r="E2070" s="25"/>
      <c r="F2070" s="25"/>
      <c r="G2070" s="123"/>
      <c r="H2070" s="123"/>
      <c r="I2070" s="25"/>
      <c r="J2070" s="25"/>
      <c r="K2070" s="367"/>
      <c r="L2070" s="42"/>
      <c r="M2070" s="42"/>
      <c r="N2070" s="42"/>
      <c r="O2070" s="42"/>
      <c r="P2070" s="42"/>
      <c r="Q2070" s="42"/>
      <c r="R2070" s="176"/>
      <c r="S2070" s="42"/>
      <c r="T2070" s="42"/>
      <c r="U2070" s="46"/>
      <c r="V2070" s="42"/>
      <c r="W2070" s="42"/>
      <c r="X2070" s="42"/>
      <c r="Y2070" s="42"/>
      <c r="Z2070" s="42"/>
      <c r="AA2070" s="42"/>
      <c r="AB2070" s="42"/>
      <c r="AC2070" s="42"/>
      <c r="AD2070" s="42"/>
      <c r="AE2070" s="42"/>
      <c r="AF2070" s="42"/>
    </row>
    <row r="2071">
      <c r="A2071" s="25"/>
      <c r="B2071" s="297"/>
      <c r="C2071" s="25"/>
      <c r="D2071" s="25"/>
      <c r="E2071" s="25"/>
      <c r="F2071" s="25"/>
      <c r="G2071" s="123"/>
      <c r="H2071" s="123"/>
      <c r="I2071" s="25"/>
      <c r="J2071" s="25"/>
      <c r="K2071" s="367"/>
      <c r="L2071" s="42"/>
      <c r="M2071" s="42"/>
      <c r="N2071" s="42"/>
      <c r="O2071" s="42"/>
      <c r="P2071" s="42"/>
      <c r="Q2071" s="42"/>
      <c r="R2071" s="176"/>
      <c r="S2071" s="42"/>
      <c r="T2071" s="42"/>
      <c r="U2071" s="46"/>
      <c r="V2071" s="42"/>
      <c r="W2071" s="42"/>
      <c r="X2071" s="42"/>
      <c r="Y2071" s="42"/>
      <c r="Z2071" s="42"/>
      <c r="AA2071" s="42"/>
      <c r="AB2071" s="42"/>
      <c r="AC2071" s="42"/>
      <c r="AD2071" s="42"/>
      <c r="AE2071" s="42"/>
      <c r="AF2071" s="42"/>
    </row>
    <row r="2072">
      <c r="A2072" s="25"/>
      <c r="B2072" s="297"/>
      <c r="C2072" s="25"/>
      <c r="D2072" s="25"/>
      <c r="E2072" s="25"/>
      <c r="F2072" s="25"/>
      <c r="G2072" s="123"/>
      <c r="H2072" s="123"/>
      <c r="I2072" s="25"/>
      <c r="J2072" s="25"/>
      <c r="K2072" s="367"/>
      <c r="L2072" s="42"/>
      <c r="M2072" s="42"/>
      <c r="N2072" s="42"/>
      <c r="O2072" s="42"/>
      <c r="P2072" s="42"/>
      <c r="Q2072" s="42"/>
      <c r="R2072" s="176"/>
      <c r="S2072" s="42"/>
      <c r="T2072" s="42"/>
      <c r="U2072" s="46"/>
      <c r="V2072" s="42"/>
      <c r="W2072" s="42"/>
      <c r="X2072" s="42"/>
      <c r="Y2072" s="42"/>
      <c r="Z2072" s="42"/>
      <c r="AA2072" s="42"/>
      <c r="AB2072" s="42"/>
      <c r="AC2072" s="42"/>
      <c r="AD2072" s="42"/>
      <c r="AE2072" s="42"/>
      <c r="AF2072" s="42"/>
    </row>
    <row r="2073">
      <c r="A2073" s="25"/>
      <c r="B2073" s="297"/>
      <c r="C2073" s="25"/>
      <c r="D2073" s="25"/>
      <c r="E2073" s="25"/>
      <c r="F2073" s="25"/>
      <c r="G2073" s="123"/>
      <c r="H2073" s="123"/>
      <c r="I2073" s="25"/>
      <c r="J2073" s="25"/>
      <c r="K2073" s="367"/>
      <c r="L2073" s="42"/>
      <c r="M2073" s="42"/>
      <c r="N2073" s="42"/>
      <c r="O2073" s="42"/>
      <c r="P2073" s="42"/>
      <c r="Q2073" s="42"/>
      <c r="R2073" s="176"/>
      <c r="S2073" s="42"/>
      <c r="T2073" s="42"/>
      <c r="U2073" s="46"/>
      <c r="V2073" s="42"/>
      <c r="W2073" s="42"/>
      <c r="X2073" s="42"/>
      <c r="Y2073" s="42"/>
      <c r="Z2073" s="42"/>
      <c r="AA2073" s="42"/>
      <c r="AB2073" s="42"/>
      <c r="AC2073" s="42"/>
      <c r="AD2073" s="42"/>
      <c r="AE2073" s="42"/>
      <c r="AF2073" s="42"/>
    </row>
    <row r="2074">
      <c r="A2074" s="25"/>
      <c r="B2074" s="297"/>
      <c r="C2074" s="25"/>
      <c r="D2074" s="25"/>
      <c r="E2074" s="25"/>
      <c r="F2074" s="25"/>
      <c r="G2074" s="123"/>
      <c r="H2074" s="123"/>
      <c r="I2074" s="25"/>
      <c r="J2074" s="25"/>
      <c r="K2074" s="367"/>
      <c r="L2074" s="42"/>
      <c r="M2074" s="42"/>
      <c r="N2074" s="42"/>
      <c r="O2074" s="42"/>
      <c r="P2074" s="42"/>
      <c r="Q2074" s="42"/>
      <c r="R2074" s="176"/>
      <c r="S2074" s="42"/>
      <c r="T2074" s="42"/>
      <c r="U2074" s="46"/>
      <c r="V2074" s="42"/>
      <c r="W2074" s="42"/>
      <c r="X2074" s="42"/>
      <c r="Y2074" s="42"/>
      <c r="Z2074" s="42"/>
      <c r="AA2074" s="42"/>
      <c r="AB2074" s="42"/>
      <c r="AC2074" s="42"/>
      <c r="AD2074" s="42"/>
      <c r="AE2074" s="42"/>
      <c r="AF2074" s="42"/>
    </row>
    <row r="2075">
      <c r="A2075" s="25"/>
      <c r="B2075" s="297"/>
      <c r="C2075" s="25"/>
      <c r="D2075" s="25"/>
      <c r="E2075" s="25"/>
      <c r="F2075" s="25"/>
      <c r="G2075" s="123"/>
      <c r="H2075" s="123"/>
      <c r="I2075" s="25"/>
      <c r="J2075" s="25"/>
      <c r="K2075" s="367"/>
      <c r="L2075" s="42"/>
      <c r="M2075" s="42"/>
      <c r="N2075" s="42"/>
      <c r="O2075" s="42"/>
      <c r="P2075" s="42"/>
      <c r="Q2075" s="42"/>
      <c r="R2075" s="176"/>
      <c r="S2075" s="42"/>
      <c r="T2075" s="42"/>
      <c r="U2075" s="46"/>
      <c r="V2075" s="42"/>
      <c r="W2075" s="42"/>
      <c r="X2075" s="42"/>
      <c r="Y2075" s="42"/>
      <c r="Z2075" s="42"/>
      <c r="AA2075" s="42"/>
      <c r="AB2075" s="42"/>
      <c r="AC2075" s="42"/>
      <c r="AD2075" s="42"/>
      <c r="AE2075" s="42"/>
      <c r="AF2075" s="42"/>
    </row>
    <row r="2076">
      <c r="A2076" s="25"/>
      <c r="B2076" s="297"/>
      <c r="C2076" s="25"/>
      <c r="D2076" s="25"/>
      <c r="E2076" s="25"/>
      <c r="F2076" s="25"/>
      <c r="G2076" s="123"/>
      <c r="H2076" s="123"/>
      <c r="I2076" s="25"/>
      <c r="J2076" s="25"/>
      <c r="K2076" s="367"/>
      <c r="L2076" s="42"/>
      <c r="M2076" s="42"/>
      <c r="N2076" s="42"/>
      <c r="O2076" s="42"/>
      <c r="P2076" s="42"/>
      <c r="Q2076" s="42"/>
      <c r="R2076" s="176"/>
      <c r="S2076" s="42"/>
      <c r="T2076" s="42"/>
      <c r="U2076" s="46"/>
      <c r="V2076" s="42"/>
      <c r="W2076" s="42"/>
      <c r="X2076" s="42"/>
      <c r="Y2076" s="42"/>
      <c r="Z2076" s="42"/>
      <c r="AA2076" s="42"/>
      <c r="AB2076" s="42"/>
      <c r="AC2076" s="42"/>
      <c r="AD2076" s="42"/>
      <c r="AE2076" s="42"/>
      <c r="AF2076" s="42"/>
    </row>
    <row r="2077">
      <c r="A2077" s="25"/>
      <c r="B2077" s="297"/>
      <c r="C2077" s="25"/>
      <c r="D2077" s="25"/>
      <c r="E2077" s="25"/>
      <c r="F2077" s="25"/>
      <c r="G2077" s="123"/>
      <c r="H2077" s="123"/>
      <c r="I2077" s="25"/>
      <c r="J2077" s="25"/>
      <c r="K2077" s="367"/>
      <c r="L2077" s="42"/>
      <c r="M2077" s="42"/>
      <c r="N2077" s="42"/>
      <c r="O2077" s="42"/>
      <c r="P2077" s="42"/>
      <c r="Q2077" s="42"/>
      <c r="R2077" s="176"/>
      <c r="S2077" s="42"/>
      <c r="T2077" s="42"/>
      <c r="U2077" s="46"/>
      <c r="V2077" s="42"/>
      <c r="W2077" s="42"/>
      <c r="X2077" s="42"/>
      <c r="Y2077" s="42"/>
      <c r="Z2077" s="42"/>
      <c r="AA2077" s="42"/>
      <c r="AB2077" s="42"/>
      <c r="AC2077" s="42"/>
      <c r="AD2077" s="42"/>
      <c r="AE2077" s="42"/>
      <c r="AF2077" s="42"/>
    </row>
    <row r="2078">
      <c r="A2078" s="25"/>
      <c r="B2078" s="297"/>
      <c r="C2078" s="25"/>
      <c r="D2078" s="25"/>
      <c r="E2078" s="25"/>
      <c r="F2078" s="25"/>
      <c r="G2078" s="123"/>
      <c r="H2078" s="123"/>
      <c r="I2078" s="25"/>
      <c r="J2078" s="25"/>
      <c r="K2078" s="367"/>
      <c r="L2078" s="42"/>
      <c r="M2078" s="42"/>
      <c r="N2078" s="42"/>
      <c r="O2078" s="42"/>
      <c r="P2078" s="42"/>
      <c r="Q2078" s="42"/>
      <c r="R2078" s="176"/>
      <c r="S2078" s="42"/>
      <c r="T2078" s="42"/>
      <c r="U2078" s="46"/>
      <c r="V2078" s="42"/>
      <c r="W2078" s="42"/>
      <c r="X2078" s="42"/>
      <c r="Y2078" s="42"/>
      <c r="Z2078" s="42"/>
      <c r="AA2078" s="42"/>
      <c r="AB2078" s="42"/>
      <c r="AC2078" s="42"/>
      <c r="AD2078" s="42"/>
      <c r="AE2078" s="42"/>
      <c r="AF2078" s="42"/>
    </row>
    <row r="2079">
      <c r="A2079" s="25"/>
      <c r="B2079" s="297"/>
      <c r="C2079" s="25"/>
      <c r="D2079" s="25"/>
      <c r="E2079" s="25"/>
      <c r="F2079" s="25"/>
      <c r="G2079" s="123"/>
      <c r="H2079" s="123"/>
      <c r="I2079" s="25"/>
      <c r="J2079" s="25"/>
      <c r="K2079" s="367"/>
      <c r="L2079" s="42"/>
      <c r="M2079" s="42"/>
      <c r="N2079" s="42"/>
      <c r="O2079" s="42"/>
      <c r="P2079" s="42"/>
      <c r="Q2079" s="42"/>
      <c r="R2079" s="176"/>
      <c r="S2079" s="42"/>
      <c r="T2079" s="42"/>
      <c r="U2079" s="46"/>
      <c r="V2079" s="42"/>
      <c r="W2079" s="42"/>
      <c r="X2079" s="42"/>
      <c r="Y2079" s="42"/>
      <c r="Z2079" s="42"/>
      <c r="AA2079" s="42"/>
      <c r="AB2079" s="42"/>
      <c r="AC2079" s="42"/>
      <c r="AD2079" s="42"/>
      <c r="AE2079" s="42"/>
      <c r="AF2079" s="42"/>
    </row>
    <row r="2080">
      <c r="A2080" s="25"/>
      <c r="B2080" s="297"/>
      <c r="C2080" s="25"/>
      <c r="D2080" s="25"/>
      <c r="E2080" s="25"/>
      <c r="F2080" s="25"/>
      <c r="G2080" s="123"/>
      <c r="H2080" s="123"/>
      <c r="I2080" s="25"/>
      <c r="J2080" s="25"/>
      <c r="K2080" s="367"/>
      <c r="L2080" s="42"/>
      <c r="M2080" s="42"/>
      <c r="N2080" s="42"/>
      <c r="O2080" s="42"/>
      <c r="P2080" s="42"/>
      <c r="Q2080" s="42"/>
      <c r="R2080" s="176"/>
      <c r="S2080" s="42"/>
      <c r="T2080" s="42"/>
      <c r="U2080" s="46"/>
      <c r="V2080" s="42"/>
      <c r="W2080" s="42"/>
      <c r="X2080" s="42"/>
      <c r="Y2080" s="42"/>
      <c r="Z2080" s="42"/>
      <c r="AA2080" s="42"/>
      <c r="AB2080" s="42"/>
      <c r="AC2080" s="42"/>
      <c r="AD2080" s="42"/>
      <c r="AE2080" s="42"/>
      <c r="AF2080" s="42"/>
    </row>
    <row r="2081">
      <c r="A2081" s="25"/>
      <c r="B2081" s="297"/>
      <c r="C2081" s="25"/>
      <c r="D2081" s="25"/>
      <c r="E2081" s="25"/>
      <c r="F2081" s="25"/>
      <c r="G2081" s="123"/>
      <c r="H2081" s="123"/>
      <c r="I2081" s="25"/>
      <c r="J2081" s="25"/>
      <c r="K2081" s="367"/>
      <c r="L2081" s="42"/>
      <c r="M2081" s="42"/>
      <c r="N2081" s="42"/>
      <c r="O2081" s="42"/>
      <c r="P2081" s="42"/>
      <c r="Q2081" s="42"/>
      <c r="R2081" s="176"/>
      <c r="S2081" s="42"/>
      <c r="T2081" s="42"/>
      <c r="U2081" s="46"/>
      <c r="V2081" s="42"/>
      <c r="W2081" s="42"/>
      <c r="X2081" s="42"/>
      <c r="Y2081" s="42"/>
      <c r="Z2081" s="42"/>
      <c r="AA2081" s="42"/>
      <c r="AB2081" s="42"/>
      <c r="AC2081" s="42"/>
      <c r="AD2081" s="42"/>
      <c r="AE2081" s="42"/>
      <c r="AF2081" s="42"/>
    </row>
    <row r="2082">
      <c r="A2082" s="25"/>
      <c r="B2082" s="297"/>
      <c r="C2082" s="25"/>
      <c r="D2082" s="25"/>
      <c r="E2082" s="25"/>
      <c r="F2082" s="25"/>
      <c r="G2082" s="123"/>
      <c r="H2082" s="123"/>
      <c r="I2082" s="25"/>
      <c r="J2082" s="25"/>
      <c r="K2082" s="367"/>
      <c r="L2082" s="42"/>
      <c r="M2082" s="42"/>
      <c r="N2082" s="42"/>
      <c r="O2082" s="42"/>
      <c r="P2082" s="42"/>
      <c r="Q2082" s="42"/>
      <c r="R2082" s="176"/>
      <c r="S2082" s="42"/>
      <c r="T2082" s="42"/>
      <c r="U2082" s="46"/>
      <c r="V2082" s="42"/>
      <c r="W2082" s="42"/>
      <c r="X2082" s="42"/>
      <c r="Y2082" s="42"/>
      <c r="Z2082" s="42"/>
      <c r="AA2082" s="42"/>
      <c r="AB2082" s="42"/>
      <c r="AC2082" s="42"/>
      <c r="AD2082" s="42"/>
      <c r="AE2082" s="42"/>
      <c r="AF2082" s="42"/>
    </row>
    <row r="2083">
      <c r="A2083" s="25"/>
      <c r="B2083" s="297"/>
      <c r="C2083" s="25"/>
      <c r="D2083" s="25"/>
      <c r="E2083" s="25"/>
      <c r="F2083" s="25"/>
      <c r="G2083" s="123"/>
      <c r="H2083" s="123"/>
      <c r="I2083" s="25"/>
      <c r="J2083" s="25"/>
      <c r="K2083" s="367"/>
      <c r="L2083" s="42"/>
      <c r="M2083" s="42"/>
      <c r="N2083" s="42"/>
      <c r="O2083" s="42"/>
      <c r="P2083" s="42"/>
      <c r="Q2083" s="42"/>
      <c r="R2083" s="176"/>
      <c r="S2083" s="42"/>
      <c r="T2083" s="42"/>
      <c r="U2083" s="46"/>
      <c r="V2083" s="42"/>
      <c r="W2083" s="42"/>
      <c r="X2083" s="42"/>
      <c r="Y2083" s="42"/>
      <c r="Z2083" s="42"/>
      <c r="AA2083" s="42"/>
      <c r="AB2083" s="42"/>
      <c r="AC2083" s="42"/>
      <c r="AD2083" s="42"/>
      <c r="AE2083" s="42"/>
      <c r="AF2083" s="42"/>
    </row>
    <row r="2084">
      <c r="A2084" s="25"/>
      <c r="B2084" s="297"/>
      <c r="C2084" s="25"/>
      <c r="D2084" s="25"/>
      <c r="E2084" s="25"/>
      <c r="F2084" s="25"/>
      <c r="G2084" s="123"/>
      <c r="H2084" s="123"/>
      <c r="I2084" s="25"/>
      <c r="J2084" s="25"/>
      <c r="K2084" s="367"/>
      <c r="L2084" s="42"/>
      <c r="M2084" s="42"/>
      <c r="N2084" s="42"/>
      <c r="O2084" s="42"/>
      <c r="P2084" s="42"/>
      <c r="Q2084" s="42"/>
      <c r="R2084" s="176"/>
      <c r="S2084" s="42"/>
      <c r="T2084" s="42"/>
      <c r="U2084" s="46"/>
      <c r="V2084" s="42"/>
      <c r="W2084" s="42"/>
      <c r="X2084" s="42"/>
      <c r="Y2084" s="42"/>
      <c r="Z2084" s="42"/>
      <c r="AA2084" s="42"/>
      <c r="AB2084" s="42"/>
      <c r="AC2084" s="42"/>
      <c r="AD2084" s="42"/>
      <c r="AE2084" s="42"/>
      <c r="AF2084" s="42"/>
    </row>
    <row r="2085">
      <c r="A2085" s="25"/>
      <c r="B2085" s="297"/>
      <c r="C2085" s="25"/>
      <c r="D2085" s="25"/>
      <c r="E2085" s="25"/>
      <c r="F2085" s="25"/>
      <c r="G2085" s="123"/>
      <c r="H2085" s="123"/>
      <c r="I2085" s="25"/>
      <c r="J2085" s="25"/>
      <c r="K2085" s="367"/>
      <c r="L2085" s="42"/>
      <c r="M2085" s="42"/>
      <c r="N2085" s="42"/>
      <c r="O2085" s="42"/>
      <c r="P2085" s="42"/>
      <c r="Q2085" s="42"/>
      <c r="R2085" s="176"/>
      <c r="S2085" s="42"/>
      <c r="T2085" s="42"/>
      <c r="U2085" s="46"/>
      <c r="V2085" s="42"/>
      <c r="W2085" s="42"/>
      <c r="X2085" s="42"/>
      <c r="Y2085" s="42"/>
      <c r="Z2085" s="42"/>
      <c r="AA2085" s="42"/>
      <c r="AB2085" s="42"/>
      <c r="AC2085" s="42"/>
      <c r="AD2085" s="42"/>
      <c r="AE2085" s="42"/>
      <c r="AF2085" s="42"/>
    </row>
    <row r="2086">
      <c r="A2086" s="25"/>
      <c r="B2086" s="297"/>
      <c r="C2086" s="25"/>
      <c r="D2086" s="25"/>
      <c r="E2086" s="25"/>
      <c r="F2086" s="25"/>
      <c r="G2086" s="123"/>
      <c r="H2086" s="123"/>
      <c r="I2086" s="25"/>
      <c r="J2086" s="25"/>
      <c r="K2086" s="367"/>
      <c r="L2086" s="42"/>
      <c r="M2086" s="42"/>
      <c r="N2086" s="42"/>
      <c r="O2086" s="42"/>
      <c r="P2086" s="42"/>
      <c r="Q2086" s="42"/>
      <c r="R2086" s="176"/>
      <c r="S2086" s="42"/>
      <c r="T2086" s="42"/>
      <c r="U2086" s="46"/>
      <c r="V2086" s="42"/>
      <c r="W2086" s="42"/>
      <c r="X2086" s="42"/>
      <c r="Y2086" s="42"/>
      <c r="Z2086" s="42"/>
      <c r="AA2086" s="42"/>
      <c r="AB2086" s="42"/>
      <c r="AC2086" s="42"/>
      <c r="AD2086" s="42"/>
      <c r="AE2086" s="42"/>
      <c r="AF2086" s="42"/>
    </row>
    <row r="2087">
      <c r="A2087" s="25"/>
      <c r="B2087" s="297"/>
      <c r="C2087" s="25"/>
      <c r="D2087" s="25"/>
      <c r="E2087" s="25"/>
      <c r="F2087" s="25"/>
      <c r="G2087" s="123"/>
      <c r="H2087" s="123"/>
      <c r="I2087" s="25"/>
      <c r="J2087" s="25"/>
      <c r="K2087" s="367"/>
      <c r="L2087" s="42"/>
      <c r="M2087" s="42"/>
      <c r="N2087" s="42"/>
      <c r="O2087" s="42"/>
      <c r="P2087" s="42"/>
      <c r="Q2087" s="42"/>
      <c r="R2087" s="176"/>
      <c r="S2087" s="42"/>
      <c r="T2087" s="42"/>
      <c r="U2087" s="46"/>
      <c r="V2087" s="42"/>
      <c r="W2087" s="42"/>
      <c r="X2087" s="42"/>
      <c r="Y2087" s="42"/>
      <c r="Z2087" s="42"/>
      <c r="AA2087" s="42"/>
      <c r="AB2087" s="42"/>
      <c r="AC2087" s="42"/>
      <c r="AD2087" s="42"/>
      <c r="AE2087" s="42"/>
      <c r="AF2087" s="42"/>
    </row>
    <row r="2088">
      <c r="A2088" s="25"/>
      <c r="B2088" s="297"/>
      <c r="C2088" s="25"/>
      <c r="D2088" s="25"/>
      <c r="E2088" s="25"/>
      <c r="F2088" s="25"/>
      <c r="G2088" s="123"/>
      <c r="H2088" s="123"/>
      <c r="I2088" s="25"/>
      <c r="J2088" s="25"/>
      <c r="K2088" s="367"/>
      <c r="L2088" s="42"/>
      <c r="M2088" s="42"/>
      <c r="N2088" s="42"/>
      <c r="O2088" s="42"/>
      <c r="P2088" s="42"/>
      <c r="Q2088" s="42"/>
      <c r="R2088" s="176"/>
      <c r="S2088" s="42"/>
      <c r="T2088" s="42"/>
      <c r="U2088" s="46"/>
      <c r="V2088" s="42"/>
      <c r="W2088" s="42"/>
      <c r="X2088" s="42"/>
      <c r="Y2088" s="42"/>
      <c r="Z2088" s="42"/>
      <c r="AA2088" s="42"/>
      <c r="AB2088" s="42"/>
      <c r="AC2088" s="42"/>
      <c r="AD2088" s="42"/>
      <c r="AE2088" s="42"/>
      <c r="AF2088" s="42"/>
    </row>
    <row r="2089">
      <c r="A2089" s="25"/>
      <c r="B2089" s="297"/>
      <c r="C2089" s="25"/>
      <c r="D2089" s="25"/>
      <c r="E2089" s="25"/>
      <c r="F2089" s="25"/>
      <c r="G2089" s="123"/>
      <c r="H2089" s="123"/>
      <c r="I2089" s="25"/>
      <c r="J2089" s="25"/>
      <c r="K2089" s="367"/>
      <c r="L2089" s="42"/>
      <c r="M2089" s="42"/>
      <c r="N2089" s="42"/>
      <c r="O2089" s="42"/>
      <c r="P2089" s="42"/>
      <c r="Q2089" s="42"/>
      <c r="R2089" s="176"/>
      <c r="S2089" s="42"/>
      <c r="T2089" s="42"/>
      <c r="U2089" s="46"/>
      <c r="V2089" s="42"/>
      <c r="W2089" s="42"/>
      <c r="X2089" s="42"/>
      <c r="Y2089" s="42"/>
      <c r="Z2089" s="42"/>
      <c r="AA2089" s="42"/>
      <c r="AB2089" s="42"/>
      <c r="AC2089" s="42"/>
      <c r="AD2089" s="42"/>
      <c r="AE2089" s="42"/>
      <c r="AF2089" s="42"/>
    </row>
    <row r="2090">
      <c r="A2090" s="25"/>
      <c r="B2090" s="297"/>
      <c r="C2090" s="25"/>
      <c r="D2090" s="25"/>
      <c r="E2090" s="25"/>
      <c r="F2090" s="25"/>
      <c r="G2090" s="123"/>
      <c r="H2090" s="123"/>
      <c r="I2090" s="25"/>
      <c r="J2090" s="25"/>
      <c r="K2090" s="367"/>
      <c r="L2090" s="42"/>
      <c r="M2090" s="42"/>
      <c r="N2090" s="42"/>
      <c r="O2090" s="42"/>
      <c r="P2090" s="42"/>
      <c r="Q2090" s="42"/>
      <c r="R2090" s="176"/>
      <c r="S2090" s="42"/>
      <c r="T2090" s="42"/>
      <c r="U2090" s="46"/>
      <c r="V2090" s="42"/>
      <c r="W2090" s="42"/>
      <c r="X2090" s="42"/>
      <c r="Y2090" s="42"/>
      <c r="Z2090" s="42"/>
      <c r="AA2090" s="42"/>
      <c r="AB2090" s="42"/>
      <c r="AC2090" s="42"/>
      <c r="AD2090" s="42"/>
      <c r="AE2090" s="42"/>
      <c r="AF2090" s="42"/>
    </row>
    <row r="2091">
      <c r="A2091" s="25"/>
      <c r="B2091" s="297"/>
      <c r="C2091" s="25"/>
      <c r="D2091" s="25"/>
      <c r="E2091" s="25"/>
      <c r="F2091" s="25"/>
      <c r="G2091" s="123"/>
      <c r="H2091" s="123"/>
      <c r="I2091" s="25"/>
      <c r="J2091" s="25"/>
      <c r="K2091" s="367"/>
      <c r="L2091" s="42"/>
      <c r="M2091" s="42"/>
      <c r="N2091" s="42"/>
      <c r="O2091" s="42"/>
      <c r="P2091" s="42"/>
      <c r="Q2091" s="42"/>
      <c r="R2091" s="176"/>
      <c r="S2091" s="42"/>
      <c r="T2091" s="42"/>
      <c r="U2091" s="46"/>
      <c r="V2091" s="42"/>
      <c r="W2091" s="42"/>
      <c r="X2091" s="42"/>
      <c r="Y2091" s="42"/>
      <c r="Z2091" s="42"/>
      <c r="AA2091" s="42"/>
      <c r="AB2091" s="42"/>
      <c r="AC2091" s="42"/>
      <c r="AD2091" s="42"/>
      <c r="AE2091" s="42"/>
      <c r="AF2091" s="42"/>
    </row>
    <row r="2092">
      <c r="A2092" s="25"/>
      <c r="B2092" s="297"/>
      <c r="C2092" s="25"/>
      <c r="D2092" s="25"/>
      <c r="E2092" s="25"/>
      <c r="F2092" s="25"/>
      <c r="G2092" s="123"/>
      <c r="H2092" s="123"/>
      <c r="I2092" s="25"/>
      <c r="J2092" s="25"/>
      <c r="K2092" s="367"/>
      <c r="L2092" s="42"/>
      <c r="M2092" s="42"/>
      <c r="N2092" s="42"/>
      <c r="O2092" s="42"/>
      <c r="P2092" s="42"/>
      <c r="Q2092" s="42"/>
      <c r="R2092" s="176"/>
      <c r="S2092" s="42"/>
      <c r="T2092" s="42"/>
      <c r="U2092" s="46"/>
      <c r="V2092" s="42"/>
      <c r="W2092" s="42"/>
      <c r="X2092" s="42"/>
      <c r="Y2092" s="42"/>
      <c r="Z2092" s="42"/>
      <c r="AA2092" s="42"/>
      <c r="AB2092" s="42"/>
      <c r="AC2092" s="42"/>
      <c r="AD2092" s="42"/>
      <c r="AE2092" s="42"/>
      <c r="AF2092" s="42"/>
    </row>
    <row r="2093">
      <c r="A2093" s="25"/>
      <c r="B2093" s="297"/>
      <c r="C2093" s="25"/>
      <c r="D2093" s="25"/>
      <c r="E2093" s="25"/>
      <c r="F2093" s="25"/>
      <c r="G2093" s="123"/>
      <c r="H2093" s="123"/>
      <c r="I2093" s="25"/>
      <c r="J2093" s="25"/>
      <c r="K2093" s="367"/>
      <c r="L2093" s="42"/>
      <c r="M2093" s="42"/>
      <c r="N2093" s="42"/>
      <c r="O2093" s="42"/>
      <c r="P2093" s="42"/>
      <c r="Q2093" s="42"/>
      <c r="R2093" s="176"/>
      <c r="S2093" s="42"/>
      <c r="T2093" s="42"/>
      <c r="U2093" s="46"/>
      <c r="V2093" s="42"/>
      <c r="W2093" s="42"/>
      <c r="X2093" s="42"/>
      <c r="Y2093" s="42"/>
      <c r="Z2093" s="42"/>
      <c r="AA2093" s="42"/>
      <c r="AB2093" s="42"/>
      <c r="AC2093" s="42"/>
      <c r="AD2093" s="42"/>
      <c r="AE2093" s="42"/>
      <c r="AF2093" s="42"/>
    </row>
    <row r="2094">
      <c r="A2094" s="25"/>
      <c r="B2094" s="297"/>
      <c r="C2094" s="25"/>
      <c r="D2094" s="25"/>
      <c r="E2094" s="25"/>
      <c r="F2094" s="25"/>
      <c r="G2094" s="123"/>
      <c r="H2094" s="123"/>
      <c r="I2094" s="25"/>
      <c r="J2094" s="25"/>
      <c r="K2094" s="367"/>
      <c r="L2094" s="42"/>
      <c r="M2094" s="42"/>
      <c r="N2094" s="42"/>
      <c r="O2094" s="42"/>
      <c r="P2094" s="42"/>
      <c r="Q2094" s="42"/>
      <c r="R2094" s="176"/>
      <c r="S2094" s="42"/>
      <c r="T2094" s="42"/>
      <c r="U2094" s="46"/>
      <c r="V2094" s="42"/>
      <c r="W2094" s="42"/>
      <c r="X2094" s="42"/>
      <c r="Y2094" s="42"/>
      <c r="Z2094" s="42"/>
      <c r="AA2094" s="42"/>
      <c r="AB2094" s="42"/>
      <c r="AC2094" s="42"/>
      <c r="AD2094" s="42"/>
      <c r="AE2094" s="42"/>
      <c r="AF2094" s="42"/>
    </row>
    <row r="2095">
      <c r="A2095" s="25"/>
      <c r="B2095" s="297"/>
      <c r="C2095" s="25"/>
      <c r="D2095" s="25"/>
      <c r="E2095" s="25"/>
      <c r="F2095" s="25"/>
      <c r="G2095" s="123"/>
      <c r="H2095" s="123"/>
      <c r="I2095" s="25"/>
      <c r="J2095" s="25"/>
      <c r="K2095" s="367"/>
      <c r="L2095" s="42"/>
      <c r="M2095" s="42"/>
      <c r="N2095" s="42"/>
      <c r="O2095" s="42"/>
      <c r="P2095" s="42"/>
      <c r="Q2095" s="42"/>
      <c r="R2095" s="176"/>
      <c r="S2095" s="42"/>
      <c r="T2095" s="42"/>
      <c r="U2095" s="46"/>
      <c r="V2095" s="42"/>
      <c r="W2095" s="42"/>
      <c r="X2095" s="42"/>
      <c r="Y2095" s="42"/>
      <c r="Z2095" s="42"/>
      <c r="AA2095" s="42"/>
      <c r="AB2095" s="42"/>
      <c r="AC2095" s="42"/>
      <c r="AD2095" s="42"/>
      <c r="AE2095" s="42"/>
      <c r="AF2095" s="42"/>
    </row>
    <row r="2096">
      <c r="A2096" s="25"/>
      <c r="B2096" s="297"/>
      <c r="C2096" s="25"/>
      <c r="D2096" s="25"/>
      <c r="E2096" s="25"/>
      <c r="F2096" s="25"/>
      <c r="G2096" s="123"/>
      <c r="H2096" s="123"/>
      <c r="I2096" s="25"/>
      <c r="J2096" s="25"/>
      <c r="K2096" s="367"/>
      <c r="L2096" s="42"/>
      <c r="M2096" s="42"/>
      <c r="N2096" s="42"/>
      <c r="O2096" s="42"/>
      <c r="P2096" s="42"/>
      <c r="Q2096" s="42"/>
      <c r="R2096" s="176"/>
      <c r="S2096" s="42"/>
      <c r="T2096" s="42"/>
      <c r="U2096" s="46"/>
      <c r="V2096" s="42"/>
      <c r="W2096" s="42"/>
      <c r="X2096" s="42"/>
      <c r="Y2096" s="42"/>
      <c r="Z2096" s="42"/>
      <c r="AA2096" s="42"/>
      <c r="AB2096" s="42"/>
      <c r="AC2096" s="42"/>
      <c r="AD2096" s="42"/>
      <c r="AE2096" s="42"/>
      <c r="AF2096" s="42"/>
    </row>
    <row r="2097">
      <c r="A2097" s="25"/>
      <c r="B2097" s="297"/>
      <c r="C2097" s="25"/>
      <c r="D2097" s="25"/>
      <c r="E2097" s="25"/>
      <c r="F2097" s="25"/>
      <c r="G2097" s="123"/>
      <c r="H2097" s="123"/>
      <c r="I2097" s="25"/>
      <c r="J2097" s="25"/>
      <c r="K2097" s="367"/>
      <c r="L2097" s="42"/>
      <c r="M2097" s="42"/>
      <c r="N2097" s="42"/>
      <c r="O2097" s="42"/>
      <c r="P2097" s="42"/>
      <c r="Q2097" s="42"/>
      <c r="R2097" s="176"/>
      <c r="S2097" s="42"/>
      <c r="T2097" s="42"/>
      <c r="U2097" s="46"/>
      <c r="V2097" s="42"/>
      <c r="W2097" s="42"/>
      <c r="X2097" s="42"/>
      <c r="Y2097" s="42"/>
      <c r="Z2097" s="42"/>
      <c r="AA2097" s="42"/>
      <c r="AB2097" s="42"/>
      <c r="AC2097" s="42"/>
      <c r="AD2097" s="42"/>
      <c r="AE2097" s="42"/>
      <c r="AF2097" s="42"/>
    </row>
    <row r="2098">
      <c r="A2098" s="25"/>
      <c r="B2098" s="297"/>
      <c r="C2098" s="25"/>
      <c r="D2098" s="25"/>
      <c r="E2098" s="25"/>
      <c r="F2098" s="25"/>
      <c r="G2098" s="123"/>
      <c r="H2098" s="123"/>
      <c r="I2098" s="25"/>
      <c r="J2098" s="25"/>
      <c r="K2098" s="367"/>
      <c r="L2098" s="42"/>
      <c r="M2098" s="42"/>
      <c r="N2098" s="42"/>
      <c r="O2098" s="42"/>
      <c r="P2098" s="42"/>
      <c r="Q2098" s="42"/>
      <c r="R2098" s="176"/>
      <c r="S2098" s="42"/>
      <c r="T2098" s="42"/>
      <c r="U2098" s="46"/>
      <c r="V2098" s="42"/>
      <c r="W2098" s="42"/>
      <c r="X2098" s="42"/>
      <c r="Y2098" s="42"/>
      <c r="Z2098" s="42"/>
      <c r="AA2098" s="42"/>
      <c r="AB2098" s="42"/>
      <c r="AC2098" s="42"/>
      <c r="AD2098" s="42"/>
      <c r="AE2098" s="42"/>
      <c r="AF2098" s="42"/>
    </row>
    <row r="2099">
      <c r="A2099" s="25"/>
      <c r="B2099" s="297"/>
      <c r="C2099" s="25"/>
      <c r="D2099" s="25"/>
      <c r="E2099" s="25"/>
      <c r="F2099" s="25"/>
      <c r="G2099" s="123"/>
      <c r="H2099" s="123"/>
      <c r="I2099" s="25"/>
      <c r="J2099" s="25"/>
      <c r="K2099" s="367"/>
      <c r="L2099" s="42"/>
      <c r="M2099" s="42"/>
      <c r="N2099" s="42"/>
      <c r="O2099" s="42"/>
      <c r="P2099" s="42"/>
      <c r="Q2099" s="42"/>
      <c r="R2099" s="176"/>
      <c r="S2099" s="42"/>
      <c r="T2099" s="42"/>
      <c r="U2099" s="46"/>
      <c r="V2099" s="42"/>
      <c r="W2099" s="42"/>
      <c r="X2099" s="42"/>
      <c r="Y2099" s="42"/>
      <c r="Z2099" s="42"/>
      <c r="AA2099" s="42"/>
      <c r="AB2099" s="42"/>
      <c r="AC2099" s="42"/>
      <c r="AD2099" s="42"/>
      <c r="AE2099" s="42"/>
      <c r="AF2099" s="42"/>
    </row>
    <row r="2100">
      <c r="A2100" s="25"/>
      <c r="B2100" s="297"/>
      <c r="C2100" s="25"/>
      <c r="D2100" s="25"/>
      <c r="E2100" s="25"/>
      <c r="F2100" s="25"/>
      <c r="G2100" s="123"/>
      <c r="H2100" s="123"/>
      <c r="I2100" s="25"/>
      <c r="J2100" s="25"/>
      <c r="K2100" s="367"/>
      <c r="L2100" s="42"/>
      <c r="M2100" s="42"/>
      <c r="N2100" s="42"/>
      <c r="O2100" s="42"/>
      <c r="P2100" s="42"/>
      <c r="Q2100" s="42"/>
      <c r="R2100" s="176"/>
      <c r="S2100" s="42"/>
      <c r="T2100" s="42"/>
      <c r="U2100" s="46"/>
      <c r="V2100" s="42"/>
      <c r="W2100" s="42"/>
      <c r="X2100" s="42"/>
      <c r="Y2100" s="42"/>
      <c r="Z2100" s="42"/>
      <c r="AA2100" s="42"/>
      <c r="AB2100" s="42"/>
      <c r="AC2100" s="42"/>
      <c r="AD2100" s="42"/>
      <c r="AE2100" s="42"/>
      <c r="AF2100" s="42"/>
    </row>
    <row r="2101">
      <c r="A2101" s="25"/>
      <c r="B2101" s="297"/>
      <c r="C2101" s="25"/>
      <c r="D2101" s="25"/>
      <c r="E2101" s="25"/>
      <c r="F2101" s="25"/>
      <c r="G2101" s="123"/>
      <c r="H2101" s="123"/>
      <c r="I2101" s="25"/>
      <c r="J2101" s="25"/>
      <c r="K2101" s="367"/>
      <c r="L2101" s="42"/>
      <c r="M2101" s="42"/>
      <c r="N2101" s="42"/>
      <c r="O2101" s="42"/>
      <c r="P2101" s="42"/>
      <c r="Q2101" s="42"/>
      <c r="R2101" s="176"/>
      <c r="S2101" s="42"/>
      <c r="T2101" s="42"/>
      <c r="U2101" s="46"/>
      <c r="V2101" s="42"/>
      <c r="W2101" s="42"/>
      <c r="X2101" s="42"/>
      <c r="Y2101" s="42"/>
      <c r="Z2101" s="42"/>
      <c r="AA2101" s="42"/>
      <c r="AB2101" s="42"/>
      <c r="AC2101" s="42"/>
      <c r="AD2101" s="42"/>
      <c r="AE2101" s="42"/>
      <c r="AF2101" s="42"/>
    </row>
    <row r="2102">
      <c r="A2102" s="25"/>
      <c r="B2102" s="297"/>
      <c r="C2102" s="25"/>
      <c r="D2102" s="25"/>
      <c r="E2102" s="25"/>
      <c r="F2102" s="25"/>
      <c r="G2102" s="123"/>
      <c r="H2102" s="123"/>
      <c r="I2102" s="25"/>
      <c r="J2102" s="25"/>
      <c r="K2102" s="367"/>
      <c r="L2102" s="42"/>
      <c r="M2102" s="42"/>
      <c r="N2102" s="42"/>
      <c r="O2102" s="42"/>
      <c r="P2102" s="42"/>
      <c r="Q2102" s="42"/>
      <c r="R2102" s="176"/>
      <c r="S2102" s="42"/>
      <c r="T2102" s="42"/>
      <c r="U2102" s="46"/>
      <c r="V2102" s="42"/>
      <c r="W2102" s="42"/>
      <c r="X2102" s="42"/>
      <c r="Y2102" s="42"/>
      <c r="Z2102" s="42"/>
      <c r="AA2102" s="42"/>
      <c r="AB2102" s="42"/>
      <c r="AC2102" s="42"/>
      <c r="AD2102" s="42"/>
      <c r="AE2102" s="42"/>
      <c r="AF2102" s="42"/>
    </row>
    <row r="2103">
      <c r="A2103" s="25"/>
      <c r="B2103" s="297"/>
      <c r="C2103" s="25"/>
      <c r="D2103" s="25"/>
      <c r="E2103" s="25"/>
      <c r="F2103" s="25"/>
      <c r="G2103" s="123"/>
      <c r="H2103" s="123"/>
      <c r="I2103" s="25"/>
      <c r="J2103" s="25"/>
      <c r="K2103" s="367"/>
      <c r="L2103" s="42"/>
      <c r="M2103" s="42"/>
      <c r="N2103" s="42"/>
      <c r="O2103" s="42"/>
      <c r="P2103" s="42"/>
      <c r="Q2103" s="42"/>
      <c r="R2103" s="176"/>
      <c r="S2103" s="42"/>
      <c r="T2103" s="42"/>
      <c r="U2103" s="46"/>
      <c r="V2103" s="42"/>
      <c r="W2103" s="42"/>
      <c r="X2103" s="42"/>
      <c r="Y2103" s="42"/>
      <c r="Z2103" s="42"/>
      <c r="AA2103" s="42"/>
      <c r="AB2103" s="42"/>
      <c r="AC2103" s="42"/>
      <c r="AD2103" s="42"/>
      <c r="AE2103" s="42"/>
      <c r="AF2103" s="42"/>
    </row>
    <row r="2104">
      <c r="A2104" s="25"/>
      <c r="B2104" s="297"/>
      <c r="C2104" s="25"/>
      <c r="D2104" s="25"/>
      <c r="E2104" s="25"/>
      <c r="F2104" s="25"/>
      <c r="G2104" s="123"/>
      <c r="H2104" s="123"/>
      <c r="I2104" s="25"/>
      <c r="J2104" s="25"/>
      <c r="K2104" s="367"/>
      <c r="L2104" s="42"/>
      <c r="M2104" s="42"/>
      <c r="N2104" s="42"/>
      <c r="O2104" s="42"/>
      <c r="P2104" s="42"/>
      <c r="Q2104" s="42"/>
      <c r="R2104" s="176"/>
      <c r="S2104" s="42"/>
      <c r="T2104" s="42"/>
      <c r="U2104" s="46"/>
      <c r="V2104" s="42"/>
      <c r="W2104" s="42"/>
      <c r="X2104" s="42"/>
      <c r="Y2104" s="42"/>
      <c r="Z2104" s="42"/>
      <c r="AA2104" s="42"/>
      <c r="AB2104" s="42"/>
      <c r="AC2104" s="42"/>
      <c r="AD2104" s="42"/>
      <c r="AE2104" s="42"/>
      <c r="AF2104" s="42"/>
    </row>
    <row r="2105">
      <c r="A2105" s="25"/>
      <c r="B2105" s="297"/>
      <c r="C2105" s="25"/>
      <c r="D2105" s="25"/>
      <c r="E2105" s="25"/>
      <c r="F2105" s="25"/>
      <c r="G2105" s="123"/>
      <c r="H2105" s="123"/>
      <c r="I2105" s="25"/>
      <c r="J2105" s="25"/>
      <c r="K2105" s="367"/>
      <c r="L2105" s="42"/>
      <c r="M2105" s="42"/>
      <c r="N2105" s="42"/>
      <c r="O2105" s="42"/>
      <c r="P2105" s="42"/>
      <c r="Q2105" s="42"/>
      <c r="R2105" s="176"/>
      <c r="S2105" s="42"/>
      <c r="T2105" s="42"/>
      <c r="U2105" s="46"/>
      <c r="V2105" s="42"/>
      <c r="W2105" s="42"/>
      <c r="X2105" s="42"/>
      <c r="Y2105" s="42"/>
      <c r="Z2105" s="42"/>
      <c r="AA2105" s="42"/>
      <c r="AB2105" s="42"/>
      <c r="AC2105" s="42"/>
      <c r="AD2105" s="42"/>
      <c r="AE2105" s="42"/>
      <c r="AF2105" s="42"/>
    </row>
    <row r="2106">
      <c r="A2106" s="25"/>
      <c r="B2106" s="297"/>
      <c r="C2106" s="25"/>
      <c r="D2106" s="25"/>
      <c r="E2106" s="25"/>
      <c r="F2106" s="25"/>
      <c r="G2106" s="123"/>
      <c r="H2106" s="123"/>
      <c r="I2106" s="25"/>
      <c r="J2106" s="25"/>
      <c r="K2106" s="367"/>
      <c r="L2106" s="42"/>
      <c r="M2106" s="42"/>
      <c r="N2106" s="42"/>
      <c r="O2106" s="42"/>
      <c r="P2106" s="42"/>
      <c r="Q2106" s="42"/>
      <c r="R2106" s="176"/>
      <c r="S2106" s="42"/>
      <c r="T2106" s="42"/>
      <c r="U2106" s="46"/>
      <c r="V2106" s="42"/>
      <c r="W2106" s="42"/>
      <c r="X2106" s="42"/>
      <c r="Y2106" s="42"/>
      <c r="Z2106" s="42"/>
      <c r="AA2106" s="42"/>
      <c r="AB2106" s="42"/>
      <c r="AC2106" s="42"/>
      <c r="AD2106" s="42"/>
      <c r="AE2106" s="42"/>
      <c r="AF2106" s="42"/>
    </row>
    <row r="2107">
      <c r="A2107" s="25"/>
      <c r="B2107" s="297"/>
      <c r="C2107" s="25"/>
      <c r="D2107" s="25"/>
      <c r="E2107" s="25"/>
      <c r="F2107" s="25"/>
      <c r="G2107" s="123"/>
      <c r="H2107" s="123"/>
      <c r="I2107" s="25"/>
      <c r="J2107" s="25"/>
      <c r="K2107" s="367"/>
      <c r="L2107" s="42"/>
      <c r="M2107" s="42"/>
      <c r="N2107" s="42"/>
      <c r="O2107" s="42"/>
      <c r="P2107" s="42"/>
      <c r="Q2107" s="42"/>
      <c r="R2107" s="176"/>
      <c r="S2107" s="42"/>
      <c r="T2107" s="42"/>
      <c r="U2107" s="46"/>
      <c r="V2107" s="42"/>
      <c r="W2107" s="42"/>
      <c r="X2107" s="42"/>
      <c r="Y2107" s="42"/>
      <c r="Z2107" s="42"/>
      <c r="AA2107" s="42"/>
      <c r="AB2107" s="42"/>
      <c r="AC2107" s="42"/>
      <c r="AD2107" s="42"/>
      <c r="AE2107" s="42"/>
      <c r="AF2107" s="42"/>
    </row>
    <row r="2108">
      <c r="A2108" s="25"/>
      <c r="B2108" s="297"/>
      <c r="C2108" s="25"/>
      <c r="D2108" s="25"/>
      <c r="E2108" s="25"/>
      <c r="F2108" s="25"/>
      <c r="G2108" s="123"/>
      <c r="H2108" s="123"/>
      <c r="I2108" s="25"/>
      <c r="J2108" s="25"/>
      <c r="K2108" s="367"/>
      <c r="L2108" s="42"/>
      <c r="M2108" s="42"/>
      <c r="N2108" s="42"/>
      <c r="O2108" s="42"/>
      <c r="P2108" s="42"/>
      <c r="Q2108" s="42"/>
      <c r="R2108" s="176"/>
      <c r="S2108" s="42"/>
      <c r="T2108" s="42"/>
      <c r="U2108" s="46"/>
      <c r="V2108" s="42"/>
      <c r="W2108" s="42"/>
      <c r="X2108" s="42"/>
      <c r="Y2108" s="42"/>
      <c r="Z2108" s="42"/>
      <c r="AA2108" s="42"/>
      <c r="AB2108" s="42"/>
      <c r="AC2108" s="42"/>
      <c r="AD2108" s="42"/>
      <c r="AE2108" s="42"/>
      <c r="AF2108" s="42"/>
    </row>
    <row r="2109">
      <c r="A2109" s="25"/>
      <c r="B2109" s="297"/>
      <c r="C2109" s="25"/>
      <c r="D2109" s="25"/>
      <c r="E2109" s="25"/>
      <c r="F2109" s="25"/>
      <c r="G2109" s="123"/>
      <c r="H2109" s="123"/>
      <c r="I2109" s="25"/>
      <c r="J2109" s="25"/>
      <c r="K2109" s="367"/>
      <c r="L2109" s="42"/>
      <c r="M2109" s="42"/>
      <c r="N2109" s="42"/>
      <c r="O2109" s="42"/>
      <c r="P2109" s="42"/>
      <c r="Q2109" s="42"/>
      <c r="R2109" s="176"/>
      <c r="S2109" s="42"/>
      <c r="T2109" s="42"/>
      <c r="U2109" s="46"/>
      <c r="V2109" s="42"/>
      <c r="W2109" s="42"/>
      <c r="X2109" s="42"/>
      <c r="Y2109" s="42"/>
      <c r="Z2109" s="42"/>
      <c r="AA2109" s="42"/>
      <c r="AB2109" s="42"/>
      <c r="AC2109" s="42"/>
      <c r="AD2109" s="42"/>
      <c r="AE2109" s="42"/>
      <c r="AF2109" s="42"/>
    </row>
    <row r="2110">
      <c r="A2110" s="25"/>
      <c r="B2110" s="297"/>
      <c r="C2110" s="25"/>
      <c r="D2110" s="25"/>
      <c r="E2110" s="25"/>
      <c r="F2110" s="25"/>
      <c r="G2110" s="123"/>
      <c r="H2110" s="123"/>
      <c r="I2110" s="25"/>
      <c r="J2110" s="25"/>
      <c r="K2110" s="367"/>
      <c r="L2110" s="42"/>
      <c r="M2110" s="42"/>
      <c r="N2110" s="42"/>
      <c r="O2110" s="42"/>
      <c r="P2110" s="42"/>
      <c r="Q2110" s="42"/>
      <c r="R2110" s="176"/>
      <c r="S2110" s="42"/>
      <c r="T2110" s="42"/>
      <c r="U2110" s="46"/>
      <c r="V2110" s="42"/>
      <c r="W2110" s="42"/>
      <c r="X2110" s="42"/>
      <c r="Y2110" s="42"/>
      <c r="Z2110" s="42"/>
      <c r="AA2110" s="42"/>
      <c r="AB2110" s="42"/>
      <c r="AC2110" s="42"/>
      <c r="AD2110" s="42"/>
      <c r="AE2110" s="42"/>
      <c r="AF2110" s="42"/>
    </row>
    <row r="2111">
      <c r="A2111" s="25"/>
      <c r="B2111" s="297"/>
      <c r="C2111" s="25"/>
      <c r="D2111" s="25"/>
      <c r="E2111" s="25"/>
      <c r="F2111" s="25"/>
      <c r="G2111" s="123"/>
      <c r="H2111" s="123"/>
      <c r="I2111" s="25"/>
      <c r="J2111" s="25"/>
      <c r="K2111" s="367"/>
      <c r="L2111" s="42"/>
      <c r="M2111" s="42"/>
      <c r="N2111" s="42"/>
      <c r="O2111" s="42"/>
      <c r="P2111" s="42"/>
      <c r="Q2111" s="42"/>
      <c r="R2111" s="176"/>
      <c r="S2111" s="42"/>
      <c r="T2111" s="42"/>
      <c r="U2111" s="46"/>
      <c r="V2111" s="42"/>
      <c r="W2111" s="42"/>
      <c r="X2111" s="42"/>
      <c r="Y2111" s="42"/>
      <c r="Z2111" s="42"/>
      <c r="AA2111" s="42"/>
      <c r="AB2111" s="42"/>
      <c r="AC2111" s="42"/>
      <c r="AD2111" s="42"/>
      <c r="AE2111" s="42"/>
      <c r="AF2111" s="42"/>
    </row>
    <row r="2112">
      <c r="A2112" s="25"/>
      <c r="B2112" s="297"/>
      <c r="C2112" s="25"/>
      <c r="D2112" s="25"/>
      <c r="E2112" s="25"/>
      <c r="F2112" s="25"/>
      <c r="G2112" s="123"/>
      <c r="H2112" s="123"/>
      <c r="I2112" s="25"/>
      <c r="J2112" s="25"/>
      <c r="K2112" s="367"/>
      <c r="L2112" s="42"/>
      <c r="M2112" s="42"/>
      <c r="N2112" s="42"/>
      <c r="O2112" s="42"/>
      <c r="P2112" s="42"/>
      <c r="Q2112" s="42"/>
      <c r="R2112" s="176"/>
      <c r="S2112" s="42"/>
      <c r="T2112" s="42"/>
      <c r="U2112" s="46"/>
      <c r="V2112" s="42"/>
      <c r="W2112" s="42"/>
      <c r="X2112" s="42"/>
      <c r="Y2112" s="42"/>
      <c r="Z2112" s="42"/>
      <c r="AA2112" s="42"/>
      <c r="AB2112" s="42"/>
      <c r="AC2112" s="42"/>
      <c r="AD2112" s="42"/>
      <c r="AE2112" s="42"/>
      <c r="AF2112" s="42"/>
    </row>
    <row r="2113">
      <c r="A2113" s="25"/>
      <c r="B2113" s="297"/>
      <c r="C2113" s="25"/>
      <c r="D2113" s="25"/>
      <c r="E2113" s="25"/>
      <c r="F2113" s="25"/>
      <c r="G2113" s="123"/>
      <c r="H2113" s="123"/>
      <c r="I2113" s="25"/>
      <c r="J2113" s="25"/>
      <c r="K2113" s="367"/>
      <c r="L2113" s="42"/>
      <c r="M2113" s="42"/>
      <c r="N2113" s="42"/>
      <c r="O2113" s="42"/>
      <c r="P2113" s="42"/>
      <c r="Q2113" s="42"/>
      <c r="R2113" s="176"/>
      <c r="S2113" s="42"/>
      <c r="T2113" s="42"/>
      <c r="U2113" s="46"/>
      <c r="V2113" s="42"/>
      <c r="W2113" s="42"/>
      <c r="X2113" s="42"/>
      <c r="Y2113" s="42"/>
      <c r="Z2113" s="42"/>
      <c r="AA2113" s="42"/>
      <c r="AB2113" s="42"/>
      <c r="AC2113" s="42"/>
      <c r="AD2113" s="42"/>
      <c r="AE2113" s="42"/>
      <c r="AF2113" s="42"/>
    </row>
    <row r="2114">
      <c r="A2114" s="25"/>
      <c r="B2114" s="297"/>
      <c r="C2114" s="25"/>
      <c r="D2114" s="25"/>
      <c r="E2114" s="25"/>
      <c r="F2114" s="25"/>
      <c r="G2114" s="123"/>
      <c r="H2114" s="123"/>
      <c r="I2114" s="25"/>
      <c r="J2114" s="25"/>
      <c r="K2114" s="367"/>
      <c r="L2114" s="42"/>
      <c r="M2114" s="42"/>
      <c r="N2114" s="42"/>
      <c r="O2114" s="42"/>
      <c r="P2114" s="42"/>
      <c r="Q2114" s="42"/>
      <c r="R2114" s="176"/>
      <c r="S2114" s="42"/>
      <c r="T2114" s="42"/>
      <c r="U2114" s="46"/>
      <c r="V2114" s="42"/>
      <c r="W2114" s="42"/>
      <c r="X2114" s="42"/>
      <c r="Y2114" s="42"/>
      <c r="Z2114" s="42"/>
      <c r="AA2114" s="42"/>
      <c r="AB2114" s="42"/>
      <c r="AC2114" s="42"/>
      <c r="AD2114" s="42"/>
      <c r="AE2114" s="42"/>
      <c r="AF2114" s="42"/>
    </row>
    <row r="2115">
      <c r="A2115" s="25"/>
      <c r="B2115" s="297"/>
      <c r="C2115" s="25"/>
      <c r="D2115" s="25"/>
      <c r="E2115" s="25"/>
      <c r="F2115" s="25"/>
      <c r="G2115" s="123"/>
      <c r="H2115" s="123"/>
      <c r="I2115" s="25"/>
      <c r="J2115" s="25"/>
      <c r="K2115" s="367"/>
      <c r="L2115" s="42"/>
      <c r="M2115" s="42"/>
      <c r="N2115" s="42"/>
      <c r="O2115" s="42"/>
      <c r="P2115" s="42"/>
      <c r="Q2115" s="42"/>
      <c r="R2115" s="176"/>
      <c r="S2115" s="42"/>
      <c r="T2115" s="42"/>
      <c r="U2115" s="46"/>
      <c r="V2115" s="42"/>
      <c r="W2115" s="42"/>
      <c r="X2115" s="42"/>
      <c r="Y2115" s="42"/>
      <c r="Z2115" s="42"/>
      <c r="AA2115" s="42"/>
      <c r="AB2115" s="42"/>
      <c r="AC2115" s="42"/>
      <c r="AD2115" s="42"/>
      <c r="AE2115" s="42"/>
      <c r="AF2115" s="42"/>
    </row>
    <row r="2116">
      <c r="A2116" s="25"/>
      <c r="B2116" s="297"/>
      <c r="C2116" s="25"/>
      <c r="D2116" s="25"/>
      <c r="E2116" s="25"/>
      <c r="F2116" s="25"/>
      <c r="G2116" s="123"/>
      <c r="H2116" s="123"/>
      <c r="I2116" s="25"/>
      <c r="J2116" s="25"/>
      <c r="K2116" s="367"/>
      <c r="L2116" s="42"/>
      <c r="M2116" s="42"/>
      <c r="N2116" s="42"/>
      <c r="O2116" s="42"/>
      <c r="P2116" s="42"/>
      <c r="Q2116" s="42"/>
      <c r="R2116" s="176"/>
      <c r="S2116" s="42"/>
      <c r="T2116" s="42"/>
      <c r="U2116" s="46"/>
      <c r="V2116" s="42"/>
      <c r="W2116" s="42"/>
      <c r="X2116" s="42"/>
      <c r="Y2116" s="42"/>
      <c r="Z2116" s="42"/>
      <c r="AA2116" s="42"/>
      <c r="AB2116" s="42"/>
      <c r="AC2116" s="42"/>
      <c r="AD2116" s="42"/>
      <c r="AE2116" s="42"/>
      <c r="AF2116" s="42"/>
    </row>
    <row r="2117">
      <c r="A2117" s="25"/>
      <c r="B2117" s="297"/>
      <c r="C2117" s="25"/>
      <c r="D2117" s="25"/>
      <c r="E2117" s="25"/>
      <c r="F2117" s="25"/>
      <c r="G2117" s="123"/>
      <c r="H2117" s="123"/>
      <c r="I2117" s="25"/>
      <c r="J2117" s="25"/>
      <c r="K2117" s="367"/>
      <c r="L2117" s="42"/>
      <c r="M2117" s="42"/>
      <c r="N2117" s="42"/>
      <c r="O2117" s="42"/>
      <c r="P2117" s="42"/>
      <c r="Q2117" s="42"/>
      <c r="R2117" s="176"/>
      <c r="S2117" s="42"/>
      <c r="T2117" s="42"/>
      <c r="U2117" s="46"/>
      <c r="V2117" s="42"/>
      <c r="W2117" s="42"/>
      <c r="X2117" s="42"/>
      <c r="Y2117" s="42"/>
      <c r="Z2117" s="42"/>
      <c r="AA2117" s="42"/>
      <c r="AB2117" s="42"/>
      <c r="AC2117" s="42"/>
      <c r="AD2117" s="42"/>
      <c r="AE2117" s="42"/>
      <c r="AF2117" s="42"/>
    </row>
    <row r="2118">
      <c r="A2118" s="25"/>
      <c r="B2118" s="297"/>
      <c r="C2118" s="25"/>
      <c r="D2118" s="25"/>
      <c r="E2118" s="25"/>
      <c r="F2118" s="25"/>
      <c r="G2118" s="123"/>
      <c r="H2118" s="123"/>
      <c r="I2118" s="25"/>
      <c r="J2118" s="25"/>
      <c r="K2118" s="367"/>
      <c r="L2118" s="42"/>
      <c r="M2118" s="42"/>
      <c r="N2118" s="42"/>
      <c r="O2118" s="42"/>
      <c r="P2118" s="42"/>
      <c r="Q2118" s="42"/>
      <c r="R2118" s="176"/>
      <c r="S2118" s="42"/>
      <c r="T2118" s="42"/>
      <c r="U2118" s="46"/>
      <c r="V2118" s="42"/>
      <c r="W2118" s="42"/>
      <c r="X2118" s="42"/>
      <c r="Y2118" s="42"/>
      <c r="Z2118" s="42"/>
      <c r="AA2118" s="42"/>
      <c r="AB2118" s="42"/>
      <c r="AC2118" s="42"/>
      <c r="AD2118" s="42"/>
      <c r="AE2118" s="42"/>
      <c r="AF2118" s="42"/>
    </row>
    <row r="2119">
      <c r="A2119" s="25"/>
      <c r="B2119" s="297"/>
      <c r="C2119" s="25"/>
      <c r="D2119" s="25"/>
      <c r="E2119" s="25"/>
      <c r="F2119" s="25"/>
      <c r="G2119" s="123"/>
      <c r="H2119" s="123"/>
      <c r="I2119" s="25"/>
      <c r="J2119" s="25"/>
      <c r="K2119" s="367"/>
      <c r="L2119" s="42"/>
      <c r="M2119" s="42"/>
      <c r="N2119" s="42"/>
      <c r="O2119" s="42"/>
      <c r="P2119" s="42"/>
      <c r="Q2119" s="42"/>
      <c r="R2119" s="176"/>
      <c r="S2119" s="42"/>
      <c r="T2119" s="42"/>
      <c r="U2119" s="46"/>
      <c r="V2119" s="42"/>
      <c r="W2119" s="42"/>
      <c r="X2119" s="42"/>
      <c r="Y2119" s="42"/>
      <c r="Z2119" s="42"/>
      <c r="AA2119" s="42"/>
      <c r="AB2119" s="42"/>
      <c r="AC2119" s="42"/>
      <c r="AD2119" s="42"/>
      <c r="AE2119" s="42"/>
      <c r="AF2119" s="42"/>
    </row>
    <row r="2120">
      <c r="A2120" s="25"/>
      <c r="B2120" s="297"/>
      <c r="C2120" s="25"/>
      <c r="D2120" s="25"/>
      <c r="E2120" s="25"/>
      <c r="F2120" s="25"/>
      <c r="G2120" s="123"/>
      <c r="H2120" s="123"/>
      <c r="I2120" s="25"/>
      <c r="J2120" s="25"/>
      <c r="K2120" s="367"/>
      <c r="L2120" s="42"/>
      <c r="M2120" s="42"/>
      <c r="N2120" s="42"/>
      <c r="O2120" s="42"/>
      <c r="P2120" s="42"/>
      <c r="Q2120" s="42"/>
      <c r="R2120" s="176"/>
      <c r="S2120" s="42"/>
      <c r="T2120" s="42"/>
      <c r="U2120" s="46"/>
      <c r="V2120" s="42"/>
      <c r="W2120" s="42"/>
      <c r="X2120" s="42"/>
      <c r="Y2120" s="42"/>
      <c r="Z2120" s="42"/>
      <c r="AA2120" s="42"/>
      <c r="AB2120" s="42"/>
      <c r="AC2120" s="42"/>
      <c r="AD2120" s="42"/>
      <c r="AE2120" s="42"/>
      <c r="AF2120" s="42"/>
    </row>
    <row r="2121">
      <c r="A2121" s="25"/>
      <c r="B2121" s="297"/>
      <c r="C2121" s="25"/>
      <c r="D2121" s="25"/>
      <c r="E2121" s="25"/>
      <c r="F2121" s="25"/>
      <c r="G2121" s="123"/>
      <c r="H2121" s="123"/>
      <c r="I2121" s="25"/>
      <c r="J2121" s="25"/>
      <c r="K2121" s="367"/>
      <c r="L2121" s="42"/>
      <c r="M2121" s="42"/>
      <c r="N2121" s="42"/>
      <c r="O2121" s="42"/>
      <c r="P2121" s="42"/>
      <c r="Q2121" s="42"/>
      <c r="R2121" s="176"/>
      <c r="S2121" s="42"/>
      <c r="T2121" s="42"/>
      <c r="U2121" s="46"/>
      <c r="V2121" s="42"/>
      <c r="W2121" s="42"/>
      <c r="X2121" s="42"/>
      <c r="Y2121" s="42"/>
      <c r="Z2121" s="42"/>
      <c r="AA2121" s="42"/>
      <c r="AB2121" s="42"/>
      <c r="AC2121" s="42"/>
      <c r="AD2121" s="42"/>
      <c r="AE2121" s="42"/>
      <c r="AF2121" s="42"/>
    </row>
    <row r="2122">
      <c r="A2122" s="25"/>
      <c r="B2122" s="297"/>
      <c r="C2122" s="25"/>
      <c r="D2122" s="25"/>
      <c r="E2122" s="25"/>
      <c r="F2122" s="25"/>
      <c r="G2122" s="123"/>
      <c r="H2122" s="123"/>
      <c r="I2122" s="25"/>
      <c r="J2122" s="25"/>
      <c r="K2122" s="367"/>
      <c r="L2122" s="42"/>
      <c r="M2122" s="42"/>
      <c r="N2122" s="42"/>
      <c r="O2122" s="42"/>
      <c r="P2122" s="42"/>
      <c r="Q2122" s="42"/>
      <c r="R2122" s="176"/>
      <c r="S2122" s="42"/>
      <c r="T2122" s="42"/>
      <c r="U2122" s="46"/>
      <c r="V2122" s="42"/>
      <c r="W2122" s="42"/>
      <c r="X2122" s="42"/>
      <c r="Y2122" s="42"/>
      <c r="Z2122" s="42"/>
      <c r="AA2122" s="42"/>
      <c r="AB2122" s="42"/>
      <c r="AC2122" s="42"/>
      <c r="AD2122" s="42"/>
      <c r="AE2122" s="42"/>
      <c r="AF2122" s="42"/>
    </row>
    <row r="2123">
      <c r="A2123" s="25"/>
      <c r="B2123" s="297"/>
      <c r="C2123" s="25"/>
      <c r="D2123" s="25"/>
      <c r="E2123" s="25"/>
      <c r="F2123" s="25"/>
      <c r="G2123" s="123"/>
      <c r="H2123" s="123"/>
      <c r="I2123" s="25"/>
      <c r="J2123" s="25"/>
      <c r="K2123" s="367"/>
      <c r="L2123" s="42"/>
      <c r="M2123" s="42"/>
      <c r="N2123" s="42"/>
      <c r="O2123" s="42"/>
      <c r="P2123" s="42"/>
      <c r="Q2123" s="42"/>
      <c r="R2123" s="176"/>
      <c r="S2123" s="42"/>
      <c r="T2123" s="42"/>
      <c r="U2123" s="46"/>
      <c r="V2123" s="42"/>
      <c r="W2123" s="42"/>
      <c r="X2123" s="42"/>
      <c r="Y2123" s="42"/>
      <c r="Z2123" s="42"/>
      <c r="AA2123" s="42"/>
      <c r="AB2123" s="42"/>
      <c r="AC2123" s="42"/>
      <c r="AD2123" s="42"/>
      <c r="AE2123" s="42"/>
      <c r="AF2123" s="42"/>
    </row>
    <row r="2124">
      <c r="A2124" s="25"/>
      <c r="B2124" s="297"/>
      <c r="C2124" s="25"/>
      <c r="D2124" s="25"/>
      <c r="E2124" s="25"/>
      <c r="F2124" s="25"/>
      <c r="G2124" s="123"/>
      <c r="H2124" s="123"/>
      <c r="I2124" s="25"/>
      <c r="J2124" s="25"/>
      <c r="K2124" s="367"/>
      <c r="L2124" s="42"/>
      <c r="M2124" s="42"/>
      <c r="N2124" s="42"/>
      <c r="O2124" s="42"/>
      <c r="P2124" s="42"/>
      <c r="Q2124" s="42"/>
      <c r="R2124" s="176"/>
      <c r="S2124" s="42"/>
      <c r="T2124" s="42"/>
      <c r="U2124" s="46"/>
      <c r="V2124" s="42"/>
      <c r="W2124" s="42"/>
      <c r="X2124" s="42"/>
      <c r="Y2124" s="42"/>
      <c r="Z2124" s="42"/>
      <c r="AA2124" s="42"/>
      <c r="AB2124" s="42"/>
      <c r="AC2124" s="42"/>
      <c r="AD2124" s="42"/>
      <c r="AE2124" s="42"/>
      <c r="AF2124" s="42"/>
    </row>
    <row r="2125">
      <c r="A2125" s="25"/>
      <c r="B2125" s="297"/>
      <c r="C2125" s="25"/>
      <c r="D2125" s="25"/>
      <c r="E2125" s="25"/>
      <c r="F2125" s="25"/>
      <c r="G2125" s="123"/>
      <c r="H2125" s="123"/>
      <c r="I2125" s="25"/>
      <c r="J2125" s="25"/>
      <c r="K2125" s="367"/>
      <c r="L2125" s="42"/>
      <c r="M2125" s="42"/>
      <c r="N2125" s="42"/>
      <c r="O2125" s="42"/>
      <c r="P2125" s="42"/>
      <c r="Q2125" s="42"/>
      <c r="R2125" s="176"/>
      <c r="S2125" s="42"/>
      <c r="T2125" s="42"/>
      <c r="U2125" s="46"/>
      <c r="V2125" s="42"/>
      <c r="W2125" s="42"/>
      <c r="X2125" s="42"/>
      <c r="Y2125" s="42"/>
      <c r="Z2125" s="42"/>
      <c r="AA2125" s="42"/>
      <c r="AB2125" s="42"/>
      <c r="AC2125" s="42"/>
      <c r="AD2125" s="42"/>
      <c r="AE2125" s="42"/>
      <c r="AF2125" s="42"/>
    </row>
    <row r="2126">
      <c r="A2126" s="25"/>
      <c r="B2126" s="297"/>
      <c r="C2126" s="25"/>
      <c r="D2126" s="25"/>
      <c r="E2126" s="25"/>
      <c r="F2126" s="25"/>
      <c r="G2126" s="123"/>
      <c r="H2126" s="123"/>
      <c r="I2126" s="25"/>
      <c r="J2126" s="25"/>
      <c r="K2126" s="367"/>
      <c r="L2126" s="42"/>
      <c r="M2126" s="42"/>
      <c r="N2126" s="42"/>
      <c r="O2126" s="42"/>
      <c r="P2126" s="42"/>
      <c r="Q2126" s="42"/>
      <c r="R2126" s="176"/>
      <c r="S2126" s="42"/>
      <c r="T2126" s="42"/>
      <c r="U2126" s="46"/>
      <c r="V2126" s="42"/>
      <c r="W2126" s="42"/>
      <c r="X2126" s="42"/>
      <c r="Y2126" s="42"/>
      <c r="Z2126" s="42"/>
      <c r="AA2126" s="42"/>
      <c r="AB2126" s="42"/>
      <c r="AC2126" s="42"/>
      <c r="AD2126" s="42"/>
      <c r="AE2126" s="42"/>
      <c r="AF2126" s="42"/>
    </row>
    <row r="2127">
      <c r="A2127" s="25"/>
      <c r="B2127" s="297"/>
      <c r="C2127" s="25"/>
      <c r="D2127" s="25"/>
      <c r="E2127" s="25"/>
      <c r="F2127" s="25"/>
      <c r="G2127" s="123"/>
      <c r="H2127" s="123"/>
      <c r="I2127" s="25"/>
      <c r="J2127" s="25"/>
      <c r="K2127" s="367"/>
      <c r="L2127" s="42"/>
      <c r="M2127" s="42"/>
      <c r="N2127" s="42"/>
      <c r="O2127" s="42"/>
      <c r="P2127" s="42"/>
      <c r="Q2127" s="42"/>
      <c r="R2127" s="176"/>
      <c r="S2127" s="42"/>
      <c r="T2127" s="42"/>
      <c r="U2127" s="46"/>
      <c r="V2127" s="42"/>
      <c r="W2127" s="42"/>
      <c r="X2127" s="42"/>
      <c r="Y2127" s="42"/>
      <c r="Z2127" s="42"/>
      <c r="AA2127" s="42"/>
      <c r="AB2127" s="42"/>
      <c r="AC2127" s="42"/>
      <c r="AD2127" s="42"/>
      <c r="AE2127" s="42"/>
      <c r="AF2127" s="42"/>
    </row>
    <row r="2128">
      <c r="A2128" s="25"/>
      <c r="B2128" s="297"/>
      <c r="C2128" s="25"/>
      <c r="D2128" s="25"/>
      <c r="E2128" s="25"/>
      <c r="F2128" s="25"/>
      <c r="G2128" s="123"/>
      <c r="H2128" s="123"/>
      <c r="I2128" s="25"/>
      <c r="J2128" s="25"/>
      <c r="K2128" s="367"/>
      <c r="L2128" s="42"/>
      <c r="M2128" s="42"/>
      <c r="N2128" s="42"/>
      <c r="O2128" s="42"/>
      <c r="P2128" s="42"/>
      <c r="Q2128" s="42"/>
      <c r="R2128" s="176"/>
      <c r="S2128" s="42"/>
      <c r="T2128" s="42"/>
      <c r="U2128" s="46"/>
      <c r="V2128" s="42"/>
      <c r="W2128" s="42"/>
      <c r="X2128" s="42"/>
      <c r="Y2128" s="42"/>
      <c r="Z2128" s="42"/>
      <c r="AA2128" s="42"/>
      <c r="AB2128" s="42"/>
      <c r="AC2128" s="42"/>
      <c r="AD2128" s="42"/>
      <c r="AE2128" s="42"/>
      <c r="AF2128" s="42"/>
    </row>
    <row r="2129">
      <c r="A2129" s="25"/>
      <c r="B2129" s="297"/>
      <c r="C2129" s="25"/>
      <c r="D2129" s="25"/>
      <c r="E2129" s="25"/>
      <c r="F2129" s="25"/>
      <c r="G2129" s="123"/>
      <c r="H2129" s="123"/>
      <c r="I2129" s="25"/>
      <c r="J2129" s="25"/>
      <c r="K2129" s="367"/>
      <c r="L2129" s="42"/>
      <c r="M2129" s="42"/>
      <c r="N2129" s="42"/>
      <c r="O2129" s="42"/>
      <c r="P2129" s="42"/>
      <c r="Q2129" s="42"/>
      <c r="R2129" s="176"/>
      <c r="S2129" s="42"/>
      <c r="T2129" s="42"/>
      <c r="U2129" s="46"/>
      <c r="V2129" s="42"/>
      <c r="W2129" s="42"/>
      <c r="X2129" s="42"/>
      <c r="Y2129" s="42"/>
      <c r="Z2129" s="42"/>
      <c r="AA2129" s="42"/>
      <c r="AB2129" s="42"/>
      <c r="AC2129" s="42"/>
      <c r="AD2129" s="42"/>
      <c r="AE2129" s="42"/>
      <c r="AF2129" s="42"/>
    </row>
    <row r="2130">
      <c r="A2130" s="25"/>
      <c r="B2130" s="297"/>
      <c r="C2130" s="25"/>
      <c r="D2130" s="25"/>
      <c r="E2130" s="25"/>
      <c r="F2130" s="25"/>
      <c r="G2130" s="123"/>
      <c r="H2130" s="123"/>
      <c r="I2130" s="25"/>
      <c r="J2130" s="25"/>
      <c r="K2130" s="367"/>
      <c r="L2130" s="42"/>
      <c r="M2130" s="42"/>
      <c r="N2130" s="42"/>
      <c r="O2130" s="42"/>
      <c r="P2130" s="42"/>
      <c r="Q2130" s="42"/>
      <c r="R2130" s="176"/>
      <c r="S2130" s="42"/>
      <c r="T2130" s="42"/>
      <c r="U2130" s="46"/>
      <c r="V2130" s="42"/>
      <c r="W2130" s="42"/>
      <c r="X2130" s="42"/>
      <c r="Y2130" s="42"/>
      <c r="Z2130" s="42"/>
      <c r="AA2130" s="42"/>
      <c r="AB2130" s="42"/>
      <c r="AC2130" s="42"/>
      <c r="AD2130" s="42"/>
      <c r="AE2130" s="42"/>
      <c r="AF2130" s="42"/>
    </row>
    <row r="2131">
      <c r="A2131" s="25"/>
      <c r="B2131" s="297"/>
      <c r="C2131" s="25"/>
      <c r="D2131" s="25"/>
      <c r="E2131" s="25"/>
      <c r="F2131" s="25"/>
      <c r="G2131" s="123"/>
      <c r="H2131" s="123"/>
      <c r="I2131" s="25"/>
      <c r="J2131" s="25"/>
      <c r="K2131" s="367"/>
      <c r="L2131" s="42"/>
      <c r="M2131" s="42"/>
      <c r="N2131" s="42"/>
      <c r="O2131" s="42"/>
      <c r="P2131" s="42"/>
      <c r="Q2131" s="42"/>
      <c r="R2131" s="176"/>
      <c r="S2131" s="42"/>
      <c r="T2131" s="42"/>
      <c r="U2131" s="46"/>
      <c r="V2131" s="42"/>
      <c r="W2131" s="42"/>
      <c r="X2131" s="42"/>
      <c r="Y2131" s="42"/>
      <c r="Z2131" s="42"/>
      <c r="AA2131" s="42"/>
      <c r="AB2131" s="42"/>
      <c r="AC2131" s="42"/>
      <c r="AD2131" s="42"/>
      <c r="AE2131" s="42"/>
      <c r="AF2131" s="42"/>
    </row>
    <row r="2132">
      <c r="A2132" s="25"/>
      <c r="B2132" s="297"/>
      <c r="C2132" s="25"/>
      <c r="D2132" s="25"/>
      <c r="E2132" s="25"/>
      <c r="F2132" s="25"/>
      <c r="G2132" s="123"/>
      <c r="H2132" s="123"/>
      <c r="I2132" s="25"/>
      <c r="J2132" s="25"/>
      <c r="K2132" s="367"/>
      <c r="L2132" s="42"/>
      <c r="M2132" s="42"/>
      <c r="N2132" s="42"/>
      <c r="O2132" s="42"/>
      <c r="P2132" s="42"/>
      <c r="Q2132" s="42"/>
      <c r="R2132" s="176"/>
      <c r="S2132" s="42"/>
      <c r="T2132" s="42"/>
      <c r="U2132" s="46"/>
      <c r="V2132" s="42"/>
      <c r="W2132" s="42"/>
      <c r="X2132" s="42"/>
      <c r="Y2132" s="42"/>
      <c r="Z2132" s="42"/>
      <c r="AA2132" s="42"/>
      <c r="AB2132" s="42"/>
      <c r="AC2132" s="42"/>
      <c r="AD2132" s="42"/>
      <c r="AE2132" s="42"/>
      <c r="AF2132" s="42"/>
    </row>
    <row r="2133">
      <c r="A2133" s="25"/>
      <c r="B2133" s="297"/>
      <c r="C2133" s="25"/>
      <c r="D2133" s="25"/>
      <c r="E2133" s="25"/>
      <c r="F2133" s="25"/>
      <c r="G2133" s="123"/>
      <c r="H2133" s="123"/>
      <c r="I2133" s="25"/>
      <c r="J2133" s="25"/>
      <c r="K2133" s="367"/>
      <c r="L2133" s="42"/>
      <c r="M2133" s="42"/>
      <c r="N2133" s="42"/>
      <c r="O2133" s="42"/>
      <c r="P2133" s="42"/>
      <c r="Q2133" s="42"/>
      <c r="R2133" s="176"/>
      <c r="S2133" s="42"/>
      <c r="T2133" s="42"/>
      <c r="U2133" s="46"/>
      <c r="V2133" s="42"/>
      <c r="W2133" s="42"/>
      <c r="X2133" s="42"/>
      <c r="Y2133" s="42"/>
      <c r="Z2133" s="42"/>
      <c r="AA2133" s="42"/>
      <c r="AB2133" s="42"/>
      <c r="AC2133" s="42"/>
      <c r="AD2133" s="42"/>
      <c r="AE2133" s="42"/>
      <c r="AF2133" s="42"/>
    </row>
    <row r="2134">
      <c r="A2134" s="25"/>
      <c r="B2134" s="297"/>
      <c r="C2134" s="25"/>
      <c r="D2134" s="25"/>
      <c r="E2134" s="25"/>
      <c r="F2134" s="25"/>
      <c r="G2134" s="123"/>
      <c r="H2134" s="123"/>
      <c r="I2134" s="25"/>
      <c r="J2134" s="25"/>
      <c r="K2134" s="367"/>
      <c r="L2134" s="42"/>
      <c r="M2134" s="42"/>
      <c r="N2134" s="42"/>
      <c r="O2134" s="42"/>
      <c r="P2134" s="42"/>
      <c r="Q2134" s="42"/>
      <c r="R2134" s="176"/>
      <c r="S2134" s="42"/>
      <c r="T2134" s="42"/>
      <c r="U2134" s="46"/>
      <c r="V2134" s="42"/>
      <c r="W2134" s="42"/>
      <c r="X2134" s="42"/>
      <c r="Y2134" s="42"/>
      <c r="Z2134" s="42"/>
      <c r="AA2134" s="42"/>
      <c r="AB2134" s="42"/>
      <c r="AC2134" s="42"/>
      <c r="AD2134" s="42"/>
      <c r="AE2134" s="42"/>
      <c r="AF2134" s="42"/>
    </row>
    <row r="2135">
      <c r="A2135" s="25"/>
      <c r="B2135" s="297"/>
      <c r="C2135" s="25"/>
      <c r="D2135" s="25"/>
      <c r="E2135" s="25"/>
      <c r="F2135" s="25"/>
      <c r="G2135" s="123"/>
      <c r="H2135" s="123"/>
      <c r="I2135" s="25"/>
      <c r="J2135" s="25"/>
      <c r="K2135" s="367"/>
      <c r="L2135" s="42"/>
      <c r="M2135" s="42"/>
      <c r="N2135" s="42"/>
      <c r="O2135" s="42"/>
      <c r="P2135" s="42"/>
      <c r="Q2135" s="42"/>
      <c r="R2135" s="176"/>
      <c r="S2135" s="42"/>
      <c r="T2135" s="42"/>
      <c r="U2135" s="46"/>
      <c r="V2135" s="42"/>
      <c r="W2135" s="42"/>
      <c r="X2135" s="42"/>
      <c r="Y2135" s="42"/>
      <c r="Z2135" s="42"/>
      <c r="AA2135" s="42"/>
      <c r="AB2135" s="42"/>
      <c r="AC2135" s="42"/>
      <c r="AD2135" s="42"/>
      <c r="AE2135" s="42"/>
      <c r="AF2135" s="42"/>
    </row>
    <row r="2136">
      <c r="A2136" s="25"/>
      <c r="B2136" s="297"/>
      <c r="C2136" s="25"/>
      <c r="D2136" s="25"/>
      <c r="E2136" s="25"/>
      <c r="F2136" s="25"/>
      <c r="G2136" s="123"/>
      <c r="H2136" s="123"/>
      <c r="I2136" s="25"/>
      <c r="J2136" s="25"/>
      <c r="K2136" s="367"/>
      <c r="L2136" s="42"/>
      <c r="M2136" s="42"/>
      <c r="N2136" s="42"/>
      <c r="O2136" s="42"/>
      <c r="P2136" s="42"/>
      <c r="Q2136" s="42"/>
      <c r="R2136" s="176"/>
      <c r="S2136" s="42"/>
      <c r="T2136" s="42"/>
      <c r="U2136" s="46"/>
      <c r="V2136" s="42"/>
      <c r="W2136" s="42"/>
      <c r="X2136" s="42"/>
      <c r="Y2136" s="42"/>
      <c r="Z2136" s="42"/>
      <c r="AA2136" s="42"/>
      <c r="AB2136" s="42"/>
      <c r="AC2136" s="42"/>
      <c r="AD2136" s="42"/>
      <c r="AE2136" s="42"/>
      <c r="AF2136" s="42"/>
    </row>
    <row r="2137">
      <c r="A2137" s="25"/>
      <c r="B2137" s="297"/>
      <c r="C2137" s="25"/>
      <c r="D2137" s="25"/>
      <c r="E2137" s="25"/>
      <c r="F2137" s="25"/>
      <c r="G2137" s="123"/>
      <c r="H2137" s="123"/>
      <c r="I2137" s="25"/>
      <c r="J2137" s="25"/>
      <c r="K2137" s="367"/>
      <c r="L2137" s="42"/>
      <c r="M2137" s="42"/>
      <c r="N2137" s="42"/>
      <c r="O2137" s="42"/>
      <c r="P2137" s="42"/>
      <c r="Q2137" s="42"/>
      <c r="R2137" s="176"/>
      <c r="S2137" s="42"/>
      <c r="T2137" s="42"/>
      <c r="U2137" s="46"/>
      <c r="V2137" s="42"/>
      <c r="W2137" s="42"/>
      <c r="X2137" s="42"/>
      <c r="Y2137" s="42"/>
      <c r="Z2137" s="42"/>
      <c r="AA2137" s="42"/>
      <c r="AB2137" s="42"/>
      <c r="AC2137" s="42"/>
      <c r="AD2137" s="42"/>
      <c r="AE2137" s="42"/>
      <c r="AF2137" s="42"/>
    </row>
    <row r="2138">
      <c r="A2138" s="25"/>
      <c r="B2138" s="297"/>
      <c r="C2138" s="25"/>
      <c r="D2138" s="25"/>
      <c r="E2138" s="25"/>
      <c r="F2138" s="25"/>
      <c r="G2138" s="123"/>
      <c r="H2138" s="123"/>
      <c r="I2138" s="25"/>
      <c r="J2138" s="25"/>
      <c r="K2138" s="367"/>
      <c r="L2138" s="42"/>
      <c r="M2138" s="42"/>
      <c r="N2138" s="42"/>
      <c r="O2138" s="42"/>
      <c r="P2138" s="42"/>
      <c r="Q2138" s="42"/>
      <c r="R2138" s="176"/>
      <c r="S2138" s="42"/>
      <c r="T2138" s="42"/>
      <c r="U2138" s="46"/>
      <c r="V2138" s="42"/>
      <c r="W2138" s="42"/>
      <c r="X2138" s="42"/>
      <c r="Y2138" s="42"/>
      <c r="Z2138" s="42"/>
      <c r="AA2138" s="42"/>
      <c r="AB2138" s="42"/>
      <c r="AC2138" s="42"/>
      <c r="AD2138" s="42"/>
      <c r="AE2138" s="42"/>
      <c r="AF2138" s="42"/>
    </row>
    <row r="2139">
      <c r="A2139" s="25"/>
      <c r="B2139" s="297"/>
      <c r="C2139" s="25"/>
      <c r="D2139" s="25"/>
      <c r="E2139" s="25"/>
      <c r="F2139" s="25"/>
      <c r="G2139" s="123"/>
      <c r="H2139" s="123"/>
      <c r="I2139" s="25"/>
      <c r="J2139" s="25"/>
      <c r="K2139" s="367"/>
      <c r="L2139" s="42"/>
      <c r="M2139" s="42"/>
      <c r="N2139" s="42"/>
      <c r="O2139" s="42"/>
      <c r="P2139" s="42"/>
      <c r="Q2139" s="42"/>
      <c r="R2139" s="176"/>
      <c r="S2139" s="42"/>
      <c r="T2139" s="42"/>
      <c r="U2139" s="46"/>
      <c r="V2139" s="42"/>
      <c r="W2139" s="42"/>
      <c r="X2139" s="42"/>
      <c r="Y2139" s="42"/>
      <c r="Z2139" s="42"/>
      <c r="AA2139" s="42"/>
      <c r="AB2139" s="42"/>
      <c r="AC2139" s="42"/>
      <c r="AD2139" s="42"/>
      <c r="AE2139" s="42"/>
      <c r="AF2139" s="42"/>
    </row>
    <row r="2140">
      <c r="A2140" s="25"/>
      <c r="B2140" s="297"/>
      <c r="C2140" s="25"/>
      <c r="D2140" s="25"/>
      <c r="E2140" s="25"/>
      <c r="F2140" s="25"/>
      <c r="G2140" s="123"/>
      <c r="H2140" s="123"/>
      <c r="I2140" s="25"/>
      <c r="J2140" s="25"/>
      <c r="K2140" s="367"/>
      <c r="L2140" s="42"/>
      <c r="M2140" s="42"/>
      <c r="N2140" s="42"/>
      <c r="O2140" s="42"/>
      <c r="P2140" s="42"/>
      <c r="Q2140" s="42"/>
      <c r="R2140" s="176"/>
      <c r="S2140" s="42"/>
      <c r="T2140" s="42"/>
      <c r="U2140" s="46"/>
      <c r="V2140" s="42"/>
      <c r="W2140" s="42"/>
      <c r="X2140" s="42"/>
      <c r="Y2140" s="42"/>
      <c r="Z2140" s="42"/>
      <c r="AA2140" s="42"/>
      <c r="AB2140" s="42"/>
      <c r="AC2140" s="42"/>
      <c r="AD2140" s="42"/>
      <c r="AE2140" s="42"/>
      <c r="AF2140" s="42"/>
    </row>
    <row r="2141">
      <c r="A2141" s="25"/>
      <c r="B2141" s="297"/>
      <c r="C2141" s="25"/>
      <c r="D2141" s="25"/>
      <c r="E2141" s="25"/>
      <c r="F2141" s="25"/>
      <c r="G2141" s="123"/>
      <c r="H2141" s="123"/>
      <c r="I2141" s="25"/>
      <c r="J2141" s="25"/>
      <c r="K2141" s="367"/>
      <c r="L2141" s="42"/>
      <c r="M2141" s="42"/>
      <c r="N2141" s="42"/>
      <c r="O2141" s="42"/>
      <c r="P2141" s="42"/>
      <c r="Q2141" s="42"/>
      <c r="R2141" s="176"/>
      <c r="S2141" s="42"/>
      <c r="T2141" s="42"/>
      <c r="U2141" s="46"/>
      <c r="V2141" s="42"/>
      <c r="W2141" s="42"/>
      <c r="X2141" s="42"/>
      <c r="Y2141" s="42"/>
      <c r="Z2141" s="42"/>
      <c r="AA2141" s="42"/>
      <c r="AB2141" s="42"/>
      <c r="AC2141" s="42"/>
      <c r="AD2141" s="42"/>
      <c r="AE2141" s="42"/>
      <c r="AF2141" s="42"/>
    </row>
    <row r="2142">
      <c r="A2142" s="25"/>
      <c r="B2142" s="297"/>
      <c r="C2142" s="25"/>
      <c r="D2142" s="25"/>
      <c r="E2142" s="25"/>
      <c r="F2142" s="25"/>
      <c r="G2142" s="123"/>
      <c r="H2142" s="123"/>
      <c r="I2142" s="25"/>
      <c r="J2142" s="25"/>
      <c r="K2142" s="367"/>
      <c r="L2142" s="42"/>
      <c r="M2142" s="42"/>
      <c r="N2142" s="42"/>
      <c r="O2142" s="42"/>
      <c r="P2142" s="42"/>
      <c r="Q2142" s="42"/>
      <c r="R2142" s="176"/>
      <c r="S2142" s="42"/>
      <c r="T2142" s="42"/>
      <c r="U2142" s="46"/>
      <c r="V2142" s="42"/>
      <c r="W2142" s="42"/>
      <c r="X2142" s="42"/>
      <c r="Y2142" s="42"/>
      <c r="Z2142" s="42"/>
      <c r="AA2142" s="42"/>
      <c r="AB2142" s="42"/>
      <c r="AC2142" s="42"/>
      <c r="AD2142" s="42"/>
      <c r="AE2142" s="42"/>
      <c r="AF2142" s="42"/>
    </row>
    <row r="2143">
      <c r="A2143" s="25"/>
      <c r="B2143" s="297"/>
      <c r="C2143" s="25"/>
      <c r="D2143" s="25"/>
      <c r="E2143" s="25"/>
      <c r="F2143" s="25"/>
      <c r="G2143" s="123"/>
      <c r="H2143" s="123"/>
      <c r="I2143" s="25"/>
      <c r="J2143" s="25"/>
      <c r="K2143" s="367"/>
      <c r="L2143" s="42"/>
      <c r="M2143" s="42"/>
      <c r="N2143" s="42"/>
      <c r="O2143" s="42"/>
      <c r="P2143" s="42"/>
      <c r="Q2143" s="42"/>
      <c r="R2143" s="176"/>
      <c r="S2143" s="42"/>
      <c r="T2143" s="42"/>
      <c r="U2143" s="46"/>
      <c r="V2143" s="42"/>
      <c r="W2143" s="42"/>
      <c r="X2143" s="42"/>
      <c r="Y2143" s="42"/>
      <c r="Z2143" s="42"/>
      <c r="AA2143" s="42"/>
      <c r="AB2143" s="42"/>
      <c r="AC2143" s="42"/>
      <c r="AD2143" s="42"/>
      <c r="AE2143" s="42"/>
      <c r="AF2143" s="42"/>
    </row>
    <row r="2144">
      <c r="A2144" s="25"/>
      <c r="B2144" s="297"/>
      <c r="C2144" s="25"/>
      <c r="D2144" s="25"/>
      <c r="E2144" s="25"/>
      <c r="F2144" s="25"/>
      <c r="G2144" s="123"/>
      <c r="H2144" s="123"/>
      <c r="I2144" s="25"/>
      <c r="J2144" s="25"/>
      <c r="K2144" s="367"/>
      <c r="L2144" s="42"/>
      <c r="M2144" s="42"/>
      <c r="N2144" s="42"/>
      <c r="O2144" s="42"/>
      <c r="P2144" s="42"/>
      <c r="Q2144" s="42"/>
      <c r="R2144" s="176"/>
      <c r="S2144" s="42"/>
      <c r="T2144" s="42"/>
      <c r="U2144" s="46"/>
      <c r="V2144" s="42"/>
      <c r="W2144" s="42"/>
      <c r="X2144" s="42"/>
      <c r="Y2144" s="42"/>
      <c r="Z2144" s="42"/>
      <c r="AA2144" s="42"/>
      <c r="AB2144" s="42"/>
      <c r="AC2144" s="42"/>
      <c r="AD2144" s="42"/>
      <c r="AE2144" s="42"/>
      <c r="AF2144" s="42"/>
    </row>
    <row r="2145">
      <c r="A2145" s="25"/>
      <c r="B2145" s="297"/>
      <c r="C2145" s="25"/>
      <c r="D2145" s="25"/>
      <c r="E2145" s="25"/>
      <c r="F2145" s="25"/>
      <c r="G2145" s="123"/>
      <c r="H2145" s="123"/>
      <c r="I2145" s="25"/>
      <c r="J2145" s="25"/>
      <c r="K2145" s="367"/>
      <c r="L2145" s="42"/>
      <c r="M2145" s="42"/>
      <c r="N2145" s="42"/>
      <c r="O2145" s="42"/>
      <c r="P2145" s="42"/>
      <c r="Q2145" s="42"/>
      <c r="R2145" s="176"/>
      <c r="S2145" s="42"/>
      <c r="T2145" s="42"/>
      <c r="U2145" s="46"/>
      <c r="V2145" s="42"/>
      <c r="W2145" s="42"/>
      <c r="X2145" s="42"/>
      <c r="Y2145" s="42"/>
      <c r="Z2145" s="42"/>
      <c r="AA2145" s="42"/>
      <c r="AB2145" s="42"/>
      <c r="AC2145" s="42"/>
      <c r="AD2145" s="42"/>
      <c r="AE2145" s="42"/>
      <c r="AF2145" s="42"/>
    </row>
    <row r="2146">
      <c r="A2146" s="25"/>
      <c r="B2146" s="297"/>
      <c r="C2146" s="25"/>
      <c r="D2146" s="25"/>
      <c r="E2146" s="25"/>
      <c r="F2146" s="25"/>
      <c r="G2146" s="123"/>
      <c r="H2146" s="123"/>
      <c r="I2146" s="25"/>
      <c r="J2146" s="25"/>
      <c r="K2146" s="367"/>
      <c r="L2146" s="42"/>
      <c r="M2146" s="42"/>
      <c r="N2146" s="42"/>
      <c r="O2146" s="42"/>
      <c r="P2146" s="42"/>
      <c r="Q2146" s="42"/>
      <c r="R2146" s="176"/>
      <c r="S2146" s="42"/>
      <c r="T2146" s="42"/>
      <c r="U2146" s="46"/>
      <c r="V2146" s="42"/>
      <c r="W2146" s="42"/>
      <c r="X2146" s="42"/>
      <c r="Y2146" s="42"/>
      <c r="Z2146" s="42"/>
      <c r="AA2146" s="42"/>
      <c r="AB2146" s="42"/>
      <c r="AC2146" s="42"/>
      <c r="AD2146" s="42"/>
      <c r="AE2146" s="42"/>
      <c r="AF2146" s="42"/>
    </row>
    <row r="2147">
      <c r="A2147" s="25"/>
      <c r="B2147" s="297"/>
      <c r="C2147" s="25"/>
      <c r="D2147" s="25"/>
      <c r="E2147" s="25"/>
      <c r="F2147" s="25"/>
      <c r="G2147" s="123"/>
      <c r="H2147" s="123"/>
      <c r="I2147" s="25"/>
      <c r="J2147" s="25"/>
      <c r="K2147" s="367"/>
      <c r="L2147" s="42"/>
      <c r="M2147" s="42"/>
      <c r="N2147" s="42"/>
      <c r="O2147" s="42"/>
      <c r="P2147" s="42"/>
      <c r="Q2147" s="42"/>
      <c r="R2147" s="176"/>
      <c r="S2147" s="42"/>
      <c r="T2147" s="42"/>
      <c r="U2147" s="46"/>
      <c r="V2147" s="42"/>
      <c r="W2147" s="42"/>
      <c r="X2147" s="42"/>
      <c r="Y2147" s="42"/>
      <c r="Z2147" s="42"/>
      <c r="AA2147" s="42"/>
      <c r="AB2147" s="42"/>
      <c r="AC2147" s="42"/>
      <c r="AD2147" s="42"/>
      <c r="AE2147" s="42"/>
      <c r="AF2147" s="42"/>
    </row>
    <row r="2148">
      <c r="A2148" s="25"/>
      <c r="B2148" s="297"/>
      <c r="C2148" s="25"/>
      <c r="D2148" s="25"/>
      <c r="E2148" s="25"/>
      <c r="F2148" s="25"/>
      <c r="G2148" s="123"/>
      <c r="H2148" s="123"/>
      <c r="I2148" s="25"/>
      <c r="J2148" s="25"/>
      <c r="K2148" s="367"/>
      <c r="L2148" s="42"/>
      <c r="M2148" s="42"/>
      <c r="N2148" s="42"/>
      <c r="O2148" s="42"/>
      <c r="P2148" s="42"/>
      <c r="Q2148" s="42"/>
      <c r="R2148" s="176"/>
      <c r="S2148" s="42"/>
      <c r="T2148" s="42"/>
      <c r="U2148" s="46"/>
      <c r="V2148" s="42"/>
      <c r="W2148" s="42"/>
      <c r="X2148" s="42"/>
      <c r="Y2148" s="42"/>
      <c r="Z2148" s="42"/>
      <c r="AA2148" s="42"/>
      <c r="AB2148" s="42"/>
      <c r="AC2148" s="42"/>
      <c r="AD2148" s="42"/>
      <c r="AE2148" s="42"/>
      <c r="AF2148" s="42"/>
    </row>
    <row r="2149">
      <c r="A2149" s="25"/>
      <c r="B2149" s="297"/>
      <c r="C2149" s="25"/>
      <c r="D2149" s="25"/>
      <c r="E2149" s="25"/>
      <c r="F2149" s="25"/>
      <c r="G2149" s="123"/>
      <c r="H2149" s="123"/>
      <c r="I2149" s="25"/>
      <c r="J2149" s="25"/>
      <c r="K2149" s="367"/>
      <c r="L2149" s="42"/>
      <c r="M2149" s="42"/>
      <c r="N2149" s="42"/>
      <c r="O2149" s="42"/>
      <c r="P2149" s="42"/>
      <c r="Q2149" s="42"/>
      <c r="R2149" s="176"/>
      <c r="S2149" s="42"/>
      <c r="T2149" s="42"/>
      <c r="U2149" s="46"/>
      <c r="V2149" s="42"/>
      <c r="W2149" s="42"/>
      <c r="X2149" s="42"/>
      <c r="Y2149" s="42"/>
      <c r="Z2149" s="42"/>
      <c r="AA2149" s="42"/>
      <c r="AB2149" s="42"/>
      <c r="AC2149" s="42"/>
      <c r="AD2149" s="42"/>
      <c r="AE2149" s="42"/>
      <c r="AF2149" s="42"/>
    </row>
    <row r="2150">
      <c r="A2150" s="25"/>
      <c r="B2150" s="297"/>
      <c r="C2150" s="25"/>
      <c r="D2150" s="25"/>
      <c r="E2150" s="25"/>
      <c r="F2150" s="25"/>
      <c r="G2150" s="123"/>
      <c r="H2150" s="123"/>
      <c r="I2150" s="25"/>
      <c r="J2150" s="25"/>
      <c r="K2150" s="367"/>
      <c r="L2150" s="42"/>
      <c r="M2150" s="42"/>
      <c r="N2150" s="42"/>
      <c r="O2150" s="42"/>
      <c r="P2150" s="42"/>
      <c r="Q2150" s="42"/>
      <c r="R2150" s="176"/>
      <c r="S2150" s="42"/>
      <c r="T2150" s="42"/>
      <c r="U2150" s="46"/>
      <c r="V2150" s="42"/>
      <c r="W2150" s="42"/>
      <c r="X2150" s="42"/>
      <c r="Y2150" s="42"/>
      <c r="Z2150" s="42"/>
      <c r="AA2150" s="42"/>
      <c r="AB2150" s="42"/>
      <c r="AC2150" s="42"/>
      <c r="AD2150" s="42"/>
      <c r="AE2150" s="42"/>
      <c r="AF2150" s="42"/>
    </row>
    <row r="2151">
      <c r="A2151" s="25"/>
      <c r="B2151" s="297"/>
      <c r="C2151" s="25"/>
      <c r="D2151" s="25"/>
      <c r="E2151" s="25"/>
      <c r="F2151" s="25"/>
      <c r="G2151" s="123"/>
      <c r="H2151" s="123"/>
      <c r="I2151" s="25"/>
      <c r="J2151" s="25"/>
      <c r="K2151" s="367"/>
      <c r="L2151" s="42"/>
      <c r="M2151" s="42"/>
      <c r="N2151" s="42"/>
      <c r="O2151" s="42"/>
      <c r="P2151" s="42"/>
      <c r="Q2151" s="42"/>
      <c r="R2151" s="176"/>
      <c r="S2151" s="42"/>
      <c r="T2151" s="42"/>
      <c r="U2151" s="46"/>
      <c r="V2151" s="42"/>
      <c r="W2151" s="42"/>
      <c r="X2151" s="42"/>
      <c r="Y2151" s="42"/>
      <c r="Z2151" s="42"/>
      <c r="AA2151" s="42"/>
      <c r="AB2151" s="42"/>
      <c r="AC2151" s="42"/>
      <c r="AD2151" s="42"/>
      <c r="AE2151" s="42"/>
      <c r="AF2151" s="42"/>
    </row>
    <row r="2152">
      <c r="A2152" s="25"/>
      <c r="B2152" s="297"/>
      <c r="C2152" s="25"/>
      <c r="D2152" s="25"/>
      <c r="E2152" s="25"/>
      <c r="F2152" s="25"/>
      <c r="G2152" s="123"/>
      <c r="H2152" s="123"/>
      <c r="I2152" s="25"/>
      <c r="J2152" s="25"/>
      <c r="K2152" s="367"/>
      <c r="L2152" s="42"/>
      <c r="M2152" s="42"/>
      <c r="N2152" s="42"/>
      <c r="O2152" s="42"/>
      <c r="P2152" s="42"/>
      <c r="Q2152" s="42"/>
      <c r="R2152" s="176"/>
      <c r="S2152" s="42"/>
      <c r="T2152" s="42"/>
      <c r="U2152" s="46"/>
      <c r="V2152" s="42"/>
      <c r="W2152" s="42"/>
      <c r="X2152" s="42"/>
      <c r="Y2152" s="42"/>
      <c r="Z2152" s="42"/>
      <c r="AA2152" s="42"/>
      <c r="AB2152" s="42"/>
      <c r="AC2152" s="42"/>
      <c r="AD2152" s="42"/>
      <c r="AE2152" s="42"/>
      <c r="AF2152" s="42"/>
    </row>
    <row r="2153">
      <c r="A2153" s="25"/>
      <c r="B2153" s="297"/>
      <c r="C2153" s="25"/>
      <c r="D2153" s="25"/>
      <c r="E2153" s="25"/>
      <c r="F2153" s="25"/>
      <c r="G2153" s="123"/>
      <c r="H2153" s="123"/>
      <c r="I2153" s="25"/>
      <c r="J2153" s="25"/>
      <c r="K2153" s="367"/>
      <c r="L2153" s="42"/>
      <c r="M2153" s="42"/>
      <c r="N2153" s="42"/>
      <c r="O2153" s="42"/>
      <c r="P2153" s="42"/>
      <c r="Q2153" s="42"/>
      <c r="R2153" s="176"/>
      <c r="S2153" s="42"/>
      <c r="T2153" s="42"/>
      <c r="U2153" s="46"/>
      <c r="V2153" s="42"/>
      <c r="W2153" s="42"/>
      <c r="X2153" s="42"/>
      <c r="Y2153" s="42"/>
      <c r="Z2153" s="42"/>
      <c r="AA2153" s="42"/>
      <c r="AB2153" s="42"/>
      <c r="AC2153" s="42"/>
      <c r="AD2153" s="42"/>
      <c r="AE2153" s="42"/>
      <c r="AF2153" s="42"/>
    </row>
    <row r="2154">
      <c r="A2154" s="25"/>
      <c r="B2154" s="297"/>
      <c r="C2154" s="25"/>
      <c r="D2154" s="25"/>
      <c r="E2154" s="25"/>
      <c r="F2154" s="25"/>
      <c r="G2154" s="123"/>
      <c r="H2154" s="123"/>
      <c r="I2154" s="25"/>
      <c r="J2154" s="25"/>
      <c r="K2154" s="367"/>
      <c r="L2154" s="42"/>
      <c r="M2154" s="42"/>
      <c r="N2154" s="42"/>
      <c r="O2154" s="42"/>
      <c r="P2154" s="42"/>
      <c r="Q2154" s="42"/>
      <c r="R2154" s="176"/>
      <c r="S2154" s="42"/>
      <c r="T2154" s="42"/>
      <c r="U2154" s="46"/>
      <c r="V2154" s="42"/>
      <c r="W2154" s="42"/>
      <c r="X2154" s="42"/>
      <c r="Y2154" s="42"/>
      <c r="Z2154" s="42"/>
      <c r="AA2154" s="42"/>
      <c r="AB2154" s="42"/>
      <c r="AC2154" s="42"/>
      <c r="AD2154" s="42"/>
      <c r="AE2154" s="42"/>
      <c r="AF2154" s="42"/>
    </row>
    <row r="2155">
      <c r="A2155" s="25"/>
      <c r="B2155" s="297"/>
      <c r="C2155" s="25"/>
      <c r="D2155" s="25"/>
      <c r="E2155" s="25"/>
      <c r="F2155" s="25"/>
      <c r="G2155" s="123"/>
      <c r="H2155" s="123"/>
      <c r="I2155" s="25"/>
      <c r="J2155" s="25"/>
      <c r="K2155" s="367"/>
      <c r="L2155" s="42"/>
      <c r="M2155" s="42"/>
      <c r="N2155" s="42"/>
      <c r="O2155" s="42"/>
      <c r="P2155" s="42"/>
      <c r="Q2155" s="42"/>
      <c r="R2155" s="176"/>
      <c r="S2155" s="42"/>
      <c r="T2155" s="42"/>
      <c r="U2155" s="46"/>
      <c r="V2155" s="42"/>
      <c r="W2155" s="42"/>
      <c r="X2155" s="42"/>
      <c r="Y2155" s="42"/>
      <c r="Z2155" s="42"/>
      <c r="AA2155" s="42"/>
      <c r="AB2155" s="42"/>
      <c r="AC2155" s="42"/>
      <c r="AD2155" s="42"/>
      <c r="AE2155" s="42"/>
      <c r="AF2155" s="42"/>
    </row>
    <row r="2156">
      <c r="A2156" s="25"/>
      <c r="B2156" s="297"/>
      <c r="C2156" s="25"/>
      <c r="D2156" s="25"/>
      <c r="E2156" s="25"/>
      <c r="F2156" s="25"/>
      <c r="G2156" s="123"/>
      <c r="H2156" s="123"/>
      <c r="I2156" s="25"/>
      <c r="J2156" s="25"/>
      <c r="K2156" s="367"/>
      <c r="L2156" s="42"/>
      <c r="M2156" s="42"/>
      <c r="N2156" s="42"/>
      <c r="O2156" s="42"/>
      <c r="P2156" s="42"/>
      <c r="Q2156" s="42"/>
      <c r="R2156" s="176"/>
      <c r="S2156" s="42"/>
      <c r="T2156" s="42"/>
      <c r="U2156" s="46"/>
      <c r="V2156" s="42"/>
      <c r="W2156" s="42"/>
      <c r="X2156" s="42"/>
      <c r="Y2156" s="42"/>
      <c r="Z2156" s="42"/>
      <c r="AA2156" s="42"/>
      <c r="AB2156" s="42"/>
      <c r="AC2156" s="42"/>
      <c r="AD2156" s="42"/>
      <c r="AE2156" s="42"/>
      <c r="AF2156" s="42"/>
    </row>
    <row r="2157">
      <c r="A2157" s="25"/>
      <c r="B2157" s="297"/>
      <c r="C2157" s="25"/>
      <c r="D2157" s="25"/>
      <c r="E2157" s="25"/>
      <c r="F2157" s="25"/>
      <c r="G2157" s="123"/>
      <c r="H2157" s="123"/>
      <c r="I2157" s="25"/>
      <c r="J2157" s="25"/>
      <c r="K2157" s="367"/>
      <c r="L2157" s="42"/>
      <c r="M2157" s="42"/>
      <c r="N2157" s="42"/>
      <c r="O2157" s="42"/>
      <c r="P2157" s="42"/>
      <c r="Q2157" s="42"/>
      <c r="R2157" s="176"/>
      <c r="S2157" s="42"/>
      <c r="T2157" s="42"/>
      <c r="U2157" s="46"/>
      <c r="V2157" s="42"/>
      <c r="W2157" s="42"/>
      <c r="X2157" s="42"/>
      <c r="Y2157" s="42"/>
      <c r="Z2157" s="42"/>
      <c r="AA2157" s="42"/>
      <c r="AB2157" s="42"/>
      <c r="AC2157" s="42"/>
      <c r="AD2157" s="42"/>
      <c r="AE2157" s="42"/>
      <c r="AF2157" s="42"/>
    </row>
    <row r="2158">
      <c r="A2158" s="25"/>
      <c r="B2158" s="297"/>
      <c r="C2158" s="25"/>
      <c r="D2158" s="25"/>
      <c r="E2158" s="25"/>
      <c r="F2158" s="25"/>
      <c r="G2158" s="123"/>
      <c r="H2158" s="123"/>
      <c r="I2158" s="25"/>
      <c r="J2158" s="25"/>
      <c r="K2158" s="367"/>
      <c r="L2158" s="42"/>
      <c r="M2158" s="42"/>
      <c r="N2158" s="42"/>
      <c r="O2158" s="42"/>
      <c r="P2158" s="42"/>
      <c r="Q2158" s="42"/>
      <c r="R2158" s="176"/>
      <c r="S2158" s="42"/>
      <c r="T2158" s="42"/>
      <c r="U2158" s="46"/>
      <c r="V2158" s="42"/>
      <c r="W2158" s="42"/>
      <c r="X2158" s="42"/>
      <c r="Y2158" s="42"/>
      <c r="Z2158" s="42"/>
      <c r="AA2158" s="42"/>
      <c r="AB2158" s="42"/>
      <c r="AC2158" s="42"/>
      <c r="AD2158" s="42"/>
      <c r="AE2158" s="42"/>
      <c r="AF2158" s="42"/>
    </row>
    <row r="2159">
      <c r="A2159" s="25"/>
      <c r="B2159" s="297"/>
      <c r="C2159" s="25"/>
      <c r="D2159" s="25"/>
      <c r="E2159" s="25"/>
      <c r="F2159" s="25"/>
      <c r="G2159" s="123"/>
      <c r="H2159" s="123"/>
      <c r="I2159" s="25"/>
      <c r="J2159" s="25"/>
      <c r="K2159" s="367"/>
      <c r="L2159" s="42"/>
      <c r="M2159" s="42"/>
      <c r="N2159" s="42"/>
      <c r="O2159" s="42"/>
      <c r="P2159" s="42"/>
      <c r="Q2159" s="42"/>
      <c r="R2159" s="176"/>
      <c r="S2159" s="42"/>
      <c r="T2159" s="42"/>
      <c r="U2159" s="46"/>
      <c r="V2159" s="42"/>
      <c r="W2159" s="42"/>
      <c r="X2159" s="42"/>
      <c r="Y2159" s="42"/>
      <c r="Z2159" s="42"/>
      <c r="AA2159" s="42"/>
      <c r="AB2159" s="42"/>
      <c r="AC2159" s="42"/>
      <c r="AD2159" s="42"/>
      <c r="AE2159" s="42"/>
      <c r="AF2159" s="42"/>
    </row>
    <row r="2160">
      <c r="A2160" s="25"/>
      <c r="B2160" s="297"/>
      <c r="C2160" s="25"/>
      <c r="D2160" s="25"/>
      <c r="E2160" s="25"/>
      <c r="F2160" s="25"/>
      <c r="G2160" s="123"/>
      <c r="H2160" s="123"/>
      <c r="I2160" s="25"/>
      <c r="J2160" s="25"/>
      <c r="K2160" s="367"/>
      <c r="L2160" s="42"/>
      <c r="M2160" s="42"/>
      <c r="N2160" s="42"/>
      <c r="O2160" s="42"/>
      <c r="P2160" s="42"/>
      <c r="Q2160" s="42"/>
      <c r="R2160" s="176"/>
      <c r="S2160" s="42"/>
      <c r="T2160" s="42"/>
      <c r="U2160" s="46"/>
      <c r="V2160" s="42"/>
      <c r="W2160" s="42"/>
      <c r="X2160" s="42"/>
      <c r="Y2160" s="42"/>
      <c r="Z2160" s="42"/>
      <c r="AA2160" s="42"/>
      <c r="AB2160" s="42"/>
      <c r="AC2160" s="42"/>
      <c r="AD2160" s="42"/>
      <c r="AE2160" s="42"/>
      <c r="AF2160" s="42"/>
    </row>
    <row r="2161">
      <c r="A2161" s="25"/>
      <c r="B2161" s="297"/>
      <c r="C2161" s="25"/>
      <c r="D2161" s="25"/>
      <c r="E2161" s="25"/>
      <c r="F2161" s="25"/>
      <c r="G2161" s="123"/>
      <c r="H2161" s="123"/>
      <c r="I2161" s="25"/>
      <c r="J2161" s="25"/>
      <c r="K2161" s="367"/>
      <c r="L2161" s="42"/>
      <c r="M2161" s="42"/>
      <c r="N2161" s="42"/>
      <c r="O2161" s="42"/>
      <c r="P2161" s="42"/>
      <c r="Q2161" s="42"/>
      <c r="R2161" s="176"/>
      <c r="S2161" s="42"/>
      <c r="T2161" s="42"/>
      <c r="U2161" s="46"/>
      <c r="V2161" s="42"/>
      <c r="W2161" s="42"/>
      <c r="X2161" s="42"/>
      <c r="Y2161" s="42"/>
      <c r="Z2161" s="42"/>
      <c r="AA2161" s="42"/>
      <c r="AB2161" s="42"/>
      <c r="AC2161" s="42"/>
      <c r="AD2161" s="42"/>
      <c r="AE2161" s="42"/>
      <c r="AF2161" s="42"/>
    </row>
    <row r="2162">
      <c r="A2162" s="25"/>
      <c r="B2162" s="297"/>
      <c r="C2162" s="25"/>
      <c r="D2162" s="25"/>
      <c r="E2162" s="25"/>
      <c r="F2162" s="25"/>
      <c r="G2162" s="123"/>
      <c r="H2162" s="123"/>
      <c r="I2162" s="25"/>
      <c r="J2162" s="25"/>
      <c r="K2162" s="367"/>
      <c r="L2162" s="42"/>
      <c r="M2162" s="42"/>
      <c r="N2162" s="42"/>
      <c r="O2162" s="42"/>
      <c r="P2162" s="42"/>
      <c r="Q2162" s="42"/>
      <c r="R2162" s="176"/>
      <c r="S2162" s="42"/>
      <c r="T2162" s="42"/>
      <c r="U2162" s="46"/>
      <c r="V2162" s="42"/>
      <c r="W2162" s="42"/>
      <c r="X2162" s="42"/>
      <c r="Y2162" s="42"/>
      <c r="Z2162" s="42"/>
      <c r="AA2162" s="42"/>
      <c r="AB2162" s="42"/>
      <c r="AC2162" s="42"/>
      <c r="AD2162" s="42"/>
      <c r="AE2162" s="42"/>
      <c r="AF2162" s="42"/>
    </row>
    <row r="2163">
      <c r="A2163" s="25"/>
      <c r="B2163" s="297"/>
      <c r="C2163" s="25"/>
      <c r="D2163" s="25"/>
      <c r="E2163" s="25"/>
      <c r="F2163" s="25"/>
      <c r="G2163" s="123"/>
      <c r="H2163" s="123"/>
      <c r="I2163" s="25"/>
      <c r="J2163" s="25"/>
      <c r="K2163" s="367"/>
      <c r="L2163" s="42"/>
      <c r="M2163" s="42"/>
      <c r="N2163" s="42"/>
      <c r="O2163" s="42"/>
      <c r="P2163" s="42"/>
      <c r="Q2163" s="42"/>
      <c r="R2163" s="176"/>
      <c r="S2163" s="42"/>
      <c r="T2163" s="42"/>
      <c r="U2163" s="46"/>
      <c r="V2163" s="42"/>
      <c r="W2163" s="42"/>
      <c r="X2163" s="42"/>
      <c r="Y2163" s="42"/>
      <c r="Z2163" s="42"/>
      <c r="AA2163" s="42"/>
      <c r="AB2163" s="42"/>
      <c r="AC2163" s="42"/>
      <c r="AD2163" s="42"/>
      <c r="AE2163" s="42"/>
      <c r="AF2163" s="42"/>
    </row>
    <row r="2164">
      <c r="A2164" s="25"/>
      <c r="B2164" s="297"/>
      <c r="C2164" s="25"/>
      <c r="D2164" s="25"/>
      <c r="E2164" s="25"/>
      <c r="F2164" s="25"/>
      <c r="G2164" s="123"/>
      <c r="H2164" s="123"/>
      <c r="I2164" s="25"/>
      <c r="J2164" s="25"/>
      <c r="K2164" s="367"/>
      <c r="L2164" s="42"/>
      <c r="M2164" s="42"/>
      <c r="N2164" s="42"/>
      <c r="O2164" s="42"/>
      <c r="P2164" s="42"/>
      <c r="Q2164" s="42"/>
      <c r="R2164" s="176"/>
      <c r="S2164" s="42"/>
      <c r="T2164" s="42"/>
      <c r="U2164" s="46"/>
      <c r="V2164" s="42"/>
      <c r="W2164" s="42"/>
      <c r="X2164" s="42"/>
      <c r="Y2164" s="42"/>
      <c r="Z2164" s="42"/>
      <c r="AA2164" s="42"/>
      <c r="AB2164" s="42"/>
      <c r="AC2164" s="42"/>
      <c r="AD2164" s="42"/>
      <c r="AE2164" s="42"/>
      <c r="AF2164" s="42"/>
    </row>
    <row r="2165">
      <c r="A2165" s="25"/>
      <c r="B2165" s="297"/>
      <c r="C2165" s="25"/>
      <c r="D2165" s="25"/>
      <c r="E2165" s="25"/>
      <c r="F2165" s="25"/>
      <c r="G2165" s="123"/>
      <c r="H2165" s="123"/>
      <c r="I2165" s="25"/>
      <c r="J2165" s="25"/>
      <c r="K2165" s="367"/>
      <c r="L2165" s="42"/>
      <c r="M2165" s="42"/>
      <c r="N2165" s="42"/>
      <c r="O2165" s="42"/>
      <c r="P2165" s="42"/>
      <c r="Q2165" s="42"/>
      <c r="R2165" s="176"/>
      <c r="S2165" s="42"/>
      <c r="T2165" s="42"/>
      <c r="U2165" s="46"/>
      <c r="V2165" s="42"/>
      <c r="W2165" s="42"/>
      <c r="X2165" s="42"/>
      <c r="Y2165" s="42"/>
      <c r="Z2165" s="42"/>
      <c r="AA2165" s="42"/>
      <c r="AB2165" s="42"/>
      <c r="AC2165" s="42"/>
      <c r="AD2165" s="42"/>
      <c r="AE2165" s="42"/>
      <c r="AF2165" s="42"/>
    </row>
    <row r="2166">
      <c r="A2166" s="25"/>
      <c r="B2166" s="297"/>
      <c r="C2166" s="25"/>
      <c r="D2166" s="25"/>
      <c r="E2166" s="25"/>
      <c r="F2166" s="25"/>
      <c r="G2166" s="123"/>
      <c r="H2166" s="123"/>
      <c r="I2166" s="25"/>
      <c r="J2166" s="25"/>
      <c r="K2166" s="367"/>
      <c r="L2166" s="42"/>
      <c r="M2166" s="42"/>
      <c r="N2166" s="42"/>
      <c r="O2166" s="42"/>
      <c r="P2166" s="42"/>
      <c r="Q2166" s="42"/>
      <c r="R2166" s="176"/>
      <c r="S2166" s="42"/>
      <c r="T2166" s="42"/>
      <c r="U2166" s="46"/>
      <c r="V2166" s="42"/>
      <c r="W2166" s="42"/>
      <c r="X2166" s="42"/>
      <c r="Y2166" s="42"/>
      <c r="Z2166" s="42"/>
      <c r="AA2166" s="42"/>
      <c r="AB2166" s="42"/>
      <c r="AC2166" s="42"/>
      <c r="AD2166" s="42"/>
      <c r="AE2166" s="42"/>
      <c r="AF2166" s="42"/>
    </row>
    <row r="2167">
      <c r="A2167" s="25"/>
      <c r="B2167" s="297"/>
      <c r="C2167" s="25"/>
      <c r="D2167" s="25"/>
      <c r="E2167" s="25"/>
      <c r="F2167" s="25"/>
      <c r="G2167" s="123"/>
      <c r="H2167" s="123"/>
      <c r="I2167" s="25"/>
      <c r="J2167" s="25"/>
      <c r="K2167" s="367"/>
      <c r="L2167" s="42"/>
      <c r="M2167" s="42"/>
      <c r="N2167" s="42"/>
      <c r="O2167" s="42"/>
      <c r="P2167" s="42"/>
      <c r="Q2167" s="42"/>
      <c r="R2167" s="176"/>
      <c r="S2167" s="42"/>
      <c r="T2167" s="42"/>
      <c r="U2167" s="46"/>
      <c r="V2167" s="42"/>
      <c r="W2167" s="42"/>
      <c r="X2167" s="42"/>
      <c r="Y2167" s="42"/>
      <c r="Z2167" s="42"/>
      <c r="AA2167" s="42"/>
      <c r="AB2167" s="42"/>
      <c r="AC2167" s="42"/>
      <c r="AD2167" s="42"/>
      <c r="AE2167" s="42"/>
      <c r="AF2167" s="42"/>
    </row>
    <row r="2168">
      <c r="A2168" s="25"/>
      <c r="B2168" s="297"/>
      <c r="C2168" s="25"/>
      <c r="D2168" s="25"/>
      <c r="E2168" s="25"/>
      <c r="F2168" s="25"/>
      <c r="G2168" s="123"/>
      <c r="H2168" s="123"/>
      <c r="I2168" s="25"/>
      <c r="J2168" s="25"/>
      <c r="K2168" s="367"/>
      <c r="L2168" s="42"/>
      <c r="M2168" s="42"/>
      <c r="N2168" s="42"/>
      <c r="O2168" s="42"/>
      <c r="P2168" s="42"/>
      <c r="Q2168" s="42"/>
      <c r="R2168" s="176"/>
      <c r="S2168" s="42"/>
      <c r="T2168" s="42"/>
      <c r="U2168" s="46"/>
      <c r="V2168" s="42"/>
      <c r="W2168" s="42"/>
      <c r="X2168" s="42"/>
      <c r="Y2168" s="42"/>
      <c r="Z2168" s="42"/>
      <c r="AA2168" s="42"/>
      <c r="AB2168" s="42"/>
      <c r="AC2168" s="42"/>
      <c r="AD2168" s="42"/>
      <c r="AE2168" s="42"/>
      <c r="AF2168" s="42"/>
    </row>
    <row r="2169">
      <c r="A2169" s="25"/>
      <c r="B2169" s="297"/>
      <c r="C2169" s="25"/>
      <c r="D2169" s="25"/>
      <c r="E2169" s="25"/>
      <c r="F2169" s="25"/>
      <c r="G2169" s="123"/>
      <c r="H2169" s="123"/>
      <c r="I2169" s="25"/>
      <c r="J2169" s="25"/>
      <c r="K2169" s="367"/>
      <c r="L2169" s="42"/>
      <c r="M2169" s="42"/>
      <c r="N2169" s="42"/>
      <c r="O2169" s="42"/>
      <c r="P2169" s="42"/>
      <c r="Q2169" s="42"/>
      <c r="R2169" s="176"/>
      <c r="S2169" s="42"/>
      <c r="T2169" s="42"/>
      <c r="U2169" s="46"/>
      <c r="V2169" s="42"/>
      <c r="W2169" s="42"/>
      <c r="X2169" s="42"/>
      <c r="Y2169" s="42"/>
      <c r="Z2169" s="42"/>
      <c r="AA2169" s="42"/>
      <c r="AB2169" s="42"/>
      <c r="AC2169" s="42"/>
      <c r="AD2169" s="42"/>
      <c r="AE2169" s="42"/>
      <c r="AF2169" s="42"/>
    </row>
    <row r="2170">
      <c r="A2170" s="25"/>
      <c r="B2170" s="297"/>
      <c r="C2170" s="25"/>
      <c r="D2170" s="25"/>
      <c r="E2170" s="25"/>
      <c r="F2170" s="25"/>
      <c r="G2170" s="123"/>
      <c r="H2170" s="123"/>
      <c r="I2170" s="25"/>
      <c r="J2170" s="25"/>
      <c r="K2170" s="367"/>
      <c r="L2170" s="42"/>
      <c r="M2170" s="42"/>
      <c r="N2170" s="42"/>
      <c r="O2170" s="42"/>
      <c r="P2170" s="42"/>
      <c r="Q2170" s="42"/>
      <c r="R2170" s="176"/>
      <c r="S2170" s="42"/>
      <c r="T2170" s="42"/>
      <c r="U2170" s="46"/>
      <c r="V2170" s="42"/>
      <c r="W2170" s="42"/>
      <c r="X2170" s="42"/>
      <c r="Y2170" s="42"/>
      <c r="Z2170" s="42"/>
      <c r="AA2170" s="42"/>
      <c r="AB2170" s="42"/>
      <c r="AC2170" s="42"/>
      <c r="AD2170" s="42"/>
      <c r="AE2170" s="42"/>
      <c r="AF2170" s="42"/>
    </row>
    <row r="2171">
      <c r="A2171" s="25"/>
      <c r="B2171" s="297"/>
      <c r="C2171" s="25"/>
      <c r="D2171" s="25"/>
      <c r="E2171" s="25"/>
      <c r="F2171" s="25"/>
      <c r="G2171" s="123"/>
      <c r="H2171" s="123"/>
      <c r="I2171" s="25"/>
      <c r="J2171" s="25"/>
      <c r="K2171" s="367"/>
      <c r="L2171" s="42"/>
      <c r="M2171" s="42"/>
      <c r="N2171" s="42"/>
      <c r="O2171" s="42"/>
      <c r="P2171" s="42"/>
      <c r="Q2171" s="42"/>
      <c r="R2171" s="176"/>
      <c r="S2171" s="42"/>
      <c r="T2171" s="42"/>
      <c r="U2171" s="46"/>
      <c r="V2171" s="42"/>
      <c r="W2171" s="42"/>
      <c r="X2171" s="42"/>
      <c r="Y2171" s="42"/>
      <c r="Z2171" s="42"/>
      <c r="AA2171" s="42"/>
      <c r="AB2171" s="42"/>
      <c r="AC2171" s="42"/>
      <c r="AD2171" s="42"/>
      <c r="AE2171" s="42"/>
      <c r="AF2171" s="42"/>
    </row>
    <row r="2172">
      <c r="A2172" s="25"/>
      <c r="B2172" s="297"/>
      <c r="C2172" s="25"/>
      <c r="D2172" s="25"/>
      <c r="E2172" s="25"/>
      <c r="F2172" s="25"/>
      <c r="G2172" s="123"/>
      <c r="H2172" s="123"/>
      <c r="I2172" s="25"/>
      <c r="J2172" s="25"/>
      <c r="K2172" s="367"/>
      <c r="L2172" s="42"/>
      <c r="M2172" s="42"/>
      <c r="N2172" s="42"/>
      <c r="O2172" s="42"/>
      <c r="P2172" s="42"/>
      <c r="Q2172" s="42"/>
      <c r="R2172" s="176"/>
      <c r="S2172" s="42"/>
      <c r="T2172" s="42"/>
      <c r="U2172" s="46"/>
      <c r="V2172" s="42"/>
      <c r="W2172" s="42"/>
      <c r="X2172" s="42"/>
      <c r="Y2172" s="42"/>
      <c r="Z2172" s="42"/>
      <c r="AA2172" s="42"/>
      <c r="AB2172" s="42"/>
      <c r="AC2172" s="42"/>
      <c r="AD2172" s="42"/>
      <c r="AE2172" s="42"/>
      <c r="AF2172" s="42"/>
    </row>
    <row r="2173">
      <c r="A2173" s="25"/>
      <c r="B2173" s="297"/>
      <c r="C2173" s="25"/>
      <c r="D2173" s="25"/>
      <c r="E2173" s="25"/>
      <c r="F2173" s="25"/>
      <c r="G2173" s="123"/>
      <c r="H2173" s="123"/>
      <c r="I2173" s="25"/>
      <c r="J2173" s="25"/>
      <c r="K2173" s="367"/>
      <c r="L2173" s="42"/>
      <c r="M2173" s="42"/>
      <c r="N2173" s="42"/>
      <c r="O2173" s="42"/>
      <c r="P2173" s="42"/>
      <c r="Q2173" s="42"/>
      <c r="R2173" s="176"/>
      <c r="S2173" s="42"/>
      <c r="T2173" s="42"/>
      <c r="U2173" s="46"/>
      <c r="V2173" s="42"/>
      <c r="W2173" s="42"/>
      <c r="X2173" s="42"/>
      <c r="Y2173" s="42"/>
      <c r="Z2173" s="42"/>
      <c r="AA2173" s="42"/>
      <c r="AB2173" s="42"/>
      <c r="AC2173" s="42"/>
      <c r="AD2173" s="42"/>
      <c r="AE2173" s="42"/>
      <c r="AF2173" s="42"/>
    </row>
    <row r="2174">
      <c r="A2174" s="25"/>
      <c r="B2174" s="297"/>
      <c r="C2174" s="25"/>
      <c r="D2174" s="25"/>
      <c r="E2174" s="25"/>
      <c r="F2174" s="25"/>
      <c r="G2174" s="123"/>
      <c r="H2174" s="123"/>
      <c r="I2174" s="25"/>
      <c r="J2174" s="25"/>
      <c r="K2174" s="367"/>
      <c r="L2174" s="42"/>
      <c r="M2174" s="42"/>
      <c r="N2174" s="42"/>
      <c r="O2174" s="42"/>
      <c r="P2174" s="42"/>
      <c r="Q2174" s="42"/>
      <c r="R2174" s="176"/>
      <c r="S2174" s="42"/>
      <c r="T2174" s="42"/>
      <c r="U2174" s="46"/>
      <c r="V2174" s="42"/>
      <c r="W2174" s="42"/>
      <c r="X2174" s="42"/>
      <c r="Y2174" s="42"/>
      <c r="Z2174" s="42"/>
      <c r="AA2174" s="42"/>
      <c r="AB2174" s="42"/>
      <c r="AC2174" s="42"/>
      <c r="AD2174" s="42"/>
      <c r="AE2174" s="42"/>
      <c r="AF2174" s="42"/>
    </row>
    <row r="2175">
      <c r="A2175" s="25"/>
      <c r="B2175" s="297"/>
      <c r="C2175" s="25"/>
      <c r="D2175" s="25"/>
      <c r="E2175" s="25"/>
      <c r="F2175" s="25"/>
      <c r="G2175" s="123"/>
      <c r="H2175" s="123"/>
      <c r="I2175" s="25"/>
      <c r="J2175" s="25"/>
      <c r="K2175" s="367"/>
      <c r="L2175" s="42"/>
      <c r="M2175" s="42"/>
      <c r="N2175" s="42"/>
      <c r="O2175" s="42"/>
      <c r="P2175" s="42"/>
      <c r="Q2175" s="42"/>
      <c r="R2175" s="176"/>
      <c r="S2175" s="42"/>
      <c r="T2175" s="42"/>
      <c r="U2175" s="46"/>
      <c r="V2175" s="42"/>
      <c r="W2175" s="42"/>
      <c r="X2175" s="42"/>
      <c r="Y2175" s="42"/>
      <c r="Z2175" s="42"/>
      <c r="AA2175" s="42"/>
      <c r="AB2175" s="42"/>
      <c r="AC2175" s="42"/>
      <c r="AD2175" s="42"/>
      <c r="AE2175" s="42"/>
      <c r="AF2175" s="42"/>
    </row>
    <row r="2176">
      <c r="A2176" s="25"/>
      <c r="B2176" s="297"/>
      <c r="C2176" s="25"/>
      <c r="D2176" s="25"/>
      <c r="E2176" s="25"/>
      <c r="F2176" s="25"/>
      <c r="G2176" s="123"/>
      <c r="H2176" s="123"/>
      <c r="I2176" s="25"/>
      <c r="J2176" s="25"/>
      <c r="K2176" s="367"/>
      <c r="L2176" s="42"/>
      <c r="M2176" s="42"/>
      <c r="N2176" s="42"/>
      <c r="O2176" s="42"/>
      <c r="P2176" s="42"/>
      <c r="Q2176" s="42"/>
      <c r="R2176" s="176"/>
      <c r="S2176" s="42"/>
      <c r="T2176" s="42"/>
      <c r="U2176" s="46"/>
      <c r="V2176" s="42"/>
      <c r="W2176" s="42"/>
      <c r="X2176" s="42"/>
      <c r="Y2176" s="42"/>
      <c r="Z2176" s="42"/>
      <c r="AA2176" s="42"/>
      <c r="AB2176" s="42"/>
      <c r="AC2176" s="42"/>
      <c r="AD2176" s="42"/>
      <c r="AE2176" s="42"/>
      <c r="AF2176" s="42"/>
    </row>
    <row r="2177">
      <c r="A2177" s="25"/>
      <c r="B2177" s="297"/>
      <c r="C2177" s="25"/>
      <c r="D2177" s="25"/>
      <c r="E2177" s="25"/>
      <c r="F2177" s="25"/>
      <c r="G2177" s="123"/>
      <c r="H2177" s="123"/>
      <c r="I2177" s="25"/>
      <c r="J2177" s="25"/>
      <c r="K2177" s="367"/>
      <c r="L2177" s="42"/>
      <c r="M2177" s="42"/>
      <c r="N2177" s="42"/>
      <c r="O2177" s="42"/>
      <c r="P2177" s="42"/>
      <c r="Q2177" s="42"/>
      <c r="R2177" s="176"/>
      <c r="S2177" s="42"/>
      <c r="T2177" s="42"/>
      <c r="U2177" s="46"/>
      <c r="V2177" s="42"/>
      <c r="W2177" s="42"/>
      <c r="X2177" s="42"/>
      <c r="Y2177" s="42"/>
      <c r="Z2177" s="42"/>
      <c r="AA2177" s="42"/>
      <c r="AB2177" s="42"/>
      <c r="AC2177" s="42"/>
      <c r="AD2177" s="42"/>
      <c r="AE2177" s="42"/>
      <c r="AF2177" s="42"/>
    </row>
    <row r="2178">
      <c r="A2178" s="25"/>
      <c r="B2178" s="297"/>
      <c r="C2178" s="25"/>
      <c r="D2178" s="25"/>
      <c r="E2178" s="25"/>
      <c r="F2178" s="25"/>
      <c r="G2178" s="123"/>
      <c r="H2178" s="123"/>
      <c r="I2178" s="25"/>
      <c r="J2178" s="25"/>
      <c r="K2178" s="367"/>
      <c r="L2178" s="42"/>
      <c r="M2178" s="42"/>
      <c r="N2178" s="42"/>
      <c r="O2178" s="42"/>
      <c r="P2178" s="42"/>
      <c r="Q2178" s="42"/>
      <c r="R2178" s="176"/>
      <c r="S2178" s="42"/>
      <c r="T2178" s="42"/>
      <c r="U2178" s="46"/>
      <c r="V2178" s="42"/>
      <c r="W2178" s="42"/>
      <c r="X2178" s="42"/>
      <c r="Y2178" s="42"/>
      <c r="Z2178" s="42"/>
      <c r="AA2178" s="42"/>
      <c r="AB2178" s="42"/>
      <c r="AC2178" s="42"/>
      <c r="AD2178" s="42"/>
      <c r="AE2178" s="42"/>
      <c r="AF2178" s="42"/>
    </row>
    <row r="2179">
      <c r="A2179" s="25"/>
      <c r="B2179" s="297"/>
      <c r="C2179" s="25"/>
      <c r="D2179" s="25"/>
      <c r="E2179" s="25"/>
      <c r="F2179" s="25"/>
      <c r="G2179" s="123"/>
      <c r="H2179" s="123"/>
      <c r="I2179" s="25"/>
      <c r="J2179" s="25"/>
      <c r="K2179" s="367"/>
      <c r="L2179" s="42"/>
      <c r="M2179" s="42"/>
      <c r="N2179" s="42"/>
      <c r="O2179" s="42"/>
      <c r="P2179" s="42"/>
      <c r="Q2179" s="42"/>
      <c r="R2179" s="176"/>
      <c r="S2179" s="42"/>
      <c r="T2179" s="42"/>
      <c r="U2179" s="46"/>
      <c r="V2179" s="42"/>
      <c r="W2179" s="42"/>
      <c r="X2179" s="42"/>
      <c r="Y2179" s="42"/>
      <c r="Z2179" s="42"/>
      <c r="AA2179" s="42"/>
      <c r="AB2179" s="42"/>
      <c r="AC2179" s="42"/>
      <c r="AD2179" s="42"/>
      <c r="AE2179" s="42"/>
      <c r="AF2179" s="42"/>
    </row>
    <row r="2180">
      <c r="A2180" s="25"/>
      <c r="B2180" s="297"/>
      <c r="C2180" s="25"/>
      <c r="D2180" s="25"/>
      <c r="E2180" s="25"/>
      <c r="F2180" s="25"/>
      <c r="G2180" s="123"/>
      <c r="H2180" s="123"/>
      <c r="I2180" s="25"/>
      <c r="J2180" s="25"/>
      <c r="K2180" s="367"/>
      <c r="L2180" s="42"/>
      <c r="M2180" s="42"/>
      <c r="N2180" s="42"/>
      <c r="O2180" s="42"/>
      <c r="P2180" s="42"/>
      <c r="Q2180" s="42"/>
      <c r="R2180" s="176"/>
      <c r="S2180" s="42"/>
      <c r="T2180" s="42"/>
      <c r="U2180" s="46"/>
      <c r="V2180" s="42"/>
      <c r="W2180" s="42"/>
      <c r="X2180" s="42"/>
      <c r="Y2180" s="42"/>
      <c r="Z2180" s="42"/>
      <c r="AA2180" s="42"/>
      <c r="AB2180" s="42"/>
      <c r="AC2180" s="42"/>
      <c r="AD2180" s="42"/>
      <c r="AE2180" s="42"/>
      <c r="AF2180" s="42"/>
    </row>
    <row r="2181">
      <c r="A2181" s="25"/>
      <c r="B2181" s="297"/>
      <c r="C2181" s="25"/>
      <c r="D2181" s="25"/>
      <c r="E2181" s="25"/>
      <c r="F2181" s="25"/>
      <c r="G2181" s="123"/>
      <c r="H2181" s="123"/>
      <c r="I2181" s="25"/>
      <c r="J2181" s="25"/>
      <c r="K2181" s="367"/>
      <c r="L2181" s="42"/>
      <c r="M2181" s="42"/>
      <c r="N2181" s="42"/>
      <c r="O2181" s="42"/>
      <c r="P2181" s="42"/>
      <c r="Q2181" s="42"/>
      <c r="R2181" s="176"/>
      <c r="S2181" s="42"/>
      <c r="T2181" s="42"/>
      <c r="U2181" s="46"/>
      <c r="V2181" s="42"/>
      <c r="W2181" s="42"/>
      <c r="X2181" s="42"/>
      <c r="Y2181" s="42"/>
      <c r="Z2181" s="42"/>
      <c r="AA2181" s="42"/>
      <c r="AB2181" s="42"/>
      <c r="AC2181" s="42"/>
      <c r="AD2181" s="42"/>
      <c r="AE2181" s="42"/>
      <c r="AF2181" s="42"/>
    </row>
    <row r="2182">
      <c r="A2182" s="25"/>
      <c r="B2182" s="297"/>
      <c r="C2182" s="25"/>
      <c r="D2182" s="25"/>
      <c r="E2182" s="25"/>
      <c r="F2182" s="25"/>
      <c r="G2182" s="123"/>
      <c r="H2182" s="123"/>
      <c r="I2182" s="25"/>
      <c r="J2182" s="25"/>
      <c r="K2182" s="367"/>
      <c r="L2182" s="42"/>
      <c r="M2182" s="42"/>
      <c r="N2182" s="42"/>
      <c r="O2182" s="42"/>
      <c r="P2182" s="42"/>
      <c r="Q2182" s="42"/>
      <c r="R2182" s="176"/>
      <c r="S2182" s="42"/>
      <c r="T2182" s="42"/>
      <c r="U2182" s="46"/>
      <c r="V2182" s="42"/>
      <c r="W2182" s="42"/>
      <c r="X2182" s="42"/>
      <c r="Y2182" s="42"/>
      <c r="Z2182" s="42"/>
      <c r="AA2182" s="42"/>
      <c r="AB2182" s="42"/>
      <c r="AC2182" s="42"/>
      <c r="AD2182" s="42"/>
      <c r="AE2182" s="42"/>
      <c r="AF2182" s="42"/>
    </row>
    <row r="2183">
      <c r="A2183" s="25"/>
      <c r="B2183" s="297"/>
      <c r="C2183" s="25"/>
      <c r="D2183" s="25"/>
      <c r="E2183" s="25"/>
      <c r="F2183" s="25"/>
      <c r="G2183" s="123"/>
      <c r="H2183" s="123"/>
      <c r="I2183" s="25"/>
      <c r="J2183" s="25"/>
      <c r="K2183" s="367"/>
      <c r="L2183" s="42"/>
      <c r="M2183" s="42"/>
      <c r="N2183" s="42"/>
      <c r="O2183" s="42"/>
      <c r="P2183" s="42"/>
      <c r="Q2183" s="42"/>
      <c r="R2183" s="176"/>
      <c r="S2183" s="42"/>
      <c r="T2183" s="42"/>
      <c r="U2183" s="46"/>
      <c r="V2183" s="42"/>
      <c r="W2183" s="42"/>
      <c r="X2183" s="42"/>
      <c r="Y2183" s="42"/>
      <c r="Z2183" s="42"/>
      <c r="AA2183" s="42"/>
      <c r="AB2183" s="42"/>
      <c r="AC2183" s="42"/>
      <c r="AD2183" s="42"/>
      <c r="AE2183" s="42"/>
      <c r="AF2183" s="42"/>
    </row>
    <row r="2184">
      <c r="A2184" s="25"/>
      <c r="B2184" s="297"/>
      <c r="C2184" s="25"/>
      <c r="D2184" s="25"/>
      <c r="E2184" s="25"/>
      <c r="F2184" s="25"/>
      <c r="G2184" s="123"/>
      <c r="H2184" s="123"/>
      <c r="I2184" s="25"/>
      <c r="J2184" s="25"/>
      <c r="K2184" s="367"/>
      <c r="L2184" s="42"/>
      <c r="M2184" s="42"/>
      <c r="N2184" s="42"/>
      <c r="O2184" s="42"/>
      <c r="P2184" s="42"/>
      <c r="Q2184" s="42"/>
      <c r="R2184" s="176"/>
      <c r="S2184" s="42"/>
      <c r="T2184" s="42"/>
      <c r="U2184" s="46"/>
      <c r="V2184" s="42"/>
      <c r="W2184" s="42"/>
      <c r="X2184" s="42"/>
      <c r="Y2184" s="42"/>
      <c r="Z2184" s="42"/>
      <c r="AA2184" s="42"/>
      <c r="AB2184" s="42"/>
      <c r="AC2184" s="42"/>
      <c r="AD2184" s="42"/>
      <c r="AE2184" s="42"/>
      <c r="AF2184" s="42"/>
    </row>
    <row r="2185">
      <c r="A2185" s="25"/>
      <c r="B2185" s="297"/>
      <c r="C2185" s="25"/>
      <c r="D2185" s="25"/>
      <c r="E2185" s="25"/>
      <c r="F2185" s="25"/>
      <c r="G2185" s="123"/>
      <c r="H2185" s="123"/>
      <c r="I2185" s="25"/>
      <c r="J2185" s="25"/>
      <c r="K2185" s="367"/>
      <c r="L2185" s="42"/>
      <c r="M2185" s="42"/>
      <c r="N2185" s="42"/>
      <c r="O2185" s="42"/>
      <c r="P2185" s="42"/>
      <c r="Q2185" s="42"/>
      <c r="R2185" s="176"/>
      <c r="S2185" s="42"/>
      <c r="T2185" s="42"/>
      <c r="U2185" s="46"/>
      <c r="V2185" s="42"/>
      <c r="W2185" s="42"/>
      <c r="X2185" s="42"/>
      <c r="Y2185" s="42"/>
      <c r="Z2185" s="42"/>
      <c r="AA2185" s="42"/>
      <c r="AB2185" s="42"/>
      <c r="AC2185" s="42"/>
      <c r="AD2185" s="42"/>
      <c r="AE2185" s="42"/>
      <c r="AF2185" s="42"/>
    </row>
    <row r="2186">
      <c r="A2186" s="25"/>
      <c r="B2186" s="297"/>
      <c r="C2186" s="25"/>
      <c r="D2186" s="25"/>
      <c r="E2186" s="25"/>
      <c r="F2186" s="25"/>
      <c r="G2186" s="123"/>
      <c r="H2186" s="123"/>
      <c r="I2186" s="25"/>
      <c r="J2186" s="25"/>
      <c r="K2186" s="367"/>
      <c r="L2186" s="42"/>
      <c r="M2186" s="42"/>
      <c r="N2186" s="42"/>
      <c r="O2186" s="42"/>
      <c r="P2186" s="42"/>
      <c r="Q2186" s="42"/>
      <c r="R2186" s="176"/>
      <c r="S2186" s="42"/>
      <c r="T2186" s="42"/>
      <c r="U2186" s="46"/>
      <c r="V2186" s="42"/>
      <c r="W2186" s="42"/>
      <c r="X2186" s="42"/>
      <c r="Y2186" s="42"/>
      <c r="Z2186" s="42"/>
      <c r="AA2186" s="42"/>
      <c r="AB2186" s="42"/>
      <c r="AC2186" s="42"/>
      <c r="AD2186" s="42"/>
      <c r="AE2186" s="42"/>
      <c r="AF2186" s="42"/>
    </row>
    <row r="2187">
      <c r="A2187" s="25"/>
      <c r="B2187" s="297"/>
      <c r="C2187" s="25"/>
      <c r="D2187" s="25"/>
      <c r="E2187" s="25"/>
      <c r="F2187" s="25"/>
      <c r="G2187" s="123"/>
      <c r="H2187" s="123"/>
      <c r="I2187" s="25"/>
      <c r="J2187" s="25"/>
      <c r="K2187" s="367"/>
      <c r="L2187" s="42"/>
      <c r="M2187" s="42"/>
      <c r="N2187" s="42"/>
      <c r="O2187" s="42"/>
      <c r="P2187" s="42"/>
      <c r="Q2187" s="42"/>
      <c r="R2187" s="176"/>
      <c r="S2187" s="42"/>
      <c r="T2187" s="42"/>
      <c r="U2187" s="46"/>
      <c r="V2187" s="42"/>
      <c r="W2187" s="42"/>
      <c r="X2187" s="42"/>
      <c r="Y2187" s="42"/>
      <c r="Z2187" s="42"/>
      <c r="AA2187" s="42"/>
      <c r="AB2187" s="42"/>
      <c r="AC2187" s="42"/>
      <c r="AD2187" s="42"/>
      <c r="AE2187" s="42"/>
      <c r="AF2187" s="42"/>
    </row>
    <row r="2188">
      <c r="A2188" s="25"/>
      <c r="B2188" s="297"/>
      <c r="C2188" s="25"/>
      <c r="D2188" s="25"/>
      <c r="E2188" s="25"/>
      <c r="F2188" s="25"/>
      <c r="G2188" s="123"/>
      <c r="H2188" s="123"/>
      <c r="I2188" s="25"/>
      <c r="J2188" s="25"/>
      <c r="K2188" s="367"/>
      <c r="L2188" s="42"/>
      <c r="M2188" s="42"/>
      <c r="N2188" s="42"/>
      <c r="O2188" s="42"/>
      <c r="P2188" s="42"/>
      <c r="Q2188" s="42"/>
      <c r="R2188" s="176"/>
      <c r="S2188" s="42"/>
      <c r="T2188" s="42"/>
      <c r="U2188" s="46"/>
      <c r="V2188" s="42"/>
      <c r="W2188" s="42"/>
      <c r="X2188" s="42"/>
      <c r="Y2188" s="42"/>
      <c r="Z2188" s="42"/>
      <c r="AA2188" s="42"/>
      <c r="AB2188" s="42"/>
      <c r="AC2188" s="42"/>
      <c r="AD2188" s="42"/>
      <c r="AE2188" s="42"/>
      <c r="AF2188" s="42"/>
    </row>
    <row r="2189">
      <c r="A2189" s="25"/>
      <c r="B2189" s="297"/>
      <c r="C2189" s="25"/>
      <c r="D2189" s="25"/>
      <c r="E2189" s="25"/>
      <c r="F2189" s="25"/>
      <c r="G2189" s="123"/>
      <c r="H2189" s="123"/>
      <c r="I2189" s="25"/>
      <c r="J2189" s="25"/>
      <c r="K2189" s="367"/>
      <c r="L2189" s="42"/>
      <c r="M2189" s="42"/>
      <c r="N2189" s="42"/>
      <c r="O2189" s="42"/>
      <c r="P2189" s="42"/>
      <c r="Q2189" s="42"/>
      <c r="R2189" s="176"/>
      <c r="S2189" s="42"/>
      <c r="T2189" s="42"/>
      <c r="U2189" s="46"/>
      <c r="V2189" s="42"/>
      <c r="W2189" s="42"/>
      <c r="X2189" s="42"/>
      <c r="Y2189" s="42"/>
      <c r="Z2189" s="42"/>
      <c r="AA2189" s="42"/>
      <c r="AB2189" s="42"/>
      <c r="AC2189" s="42"/>
      <c r="AD2189" s="42"/>
      <c r="AE2189" s="42"/>
      <c r="AF2189" s="42"/>
    </row>
    <row r="2190">
      <c r="A2190" s="25"/>
      <c r="B2190" s="297"/>
      <c r="C2190" s="25"/>
      <c r="D2190" s="25"/>
      <c r="E2190" s="25"/>
      <c r="F2190" s="25"/>
      <c r="G2190" s="123"/>
      <c r="H2190" s="123"/>
      <c r="I2190" s="25"/>
      <c r="J2190" s="25"/>
      <c r="K2190" s="367"/>
      <c r="L2190" s="42"/>
      <c r="M2190" s="42"/>
      <c r="N2190" s="42"/>
      <c r="O2190" s="42"/>
      <c r="P2190" s="42"/>
      <c r="Q2190" s="42"/>
      <c r="R2190" s="176"/>
      <c r="S2190" s="42"/>
      <c r="T2190" s="42"/>
      <c r="U2190" s="46"/>
      <c r="V2190" s="42"/>
      <c r="W2190" s="42"/>
      <c r="X2190" s="42"/>
      <c r="Y2190" s="42"/>
      <c r="Z2190" s="42"/>
      <c r="AA2190" s="42"/>
      <c r="AB2190" s="42"/>
      <c r="AC2190" s="42"/>
      <c r="AD2190" s="42"/>
      <c r="AE2190" s="42"/>
      <c r="AF2190" s="42"/>
    </row>
    <row r="2191">
      <c r="A2191" s="25"/>
      <c r="B2191" s="297"/>
      <c r="C2191" s="25"/>
      <c r="D2191" s="25"/>
      <c r="E2191" s="25"/>
      <c r="F2191" s="25"/>
      <c r="G2191" s="123"/>
      <c r="H2191" s="123"/>
      <c r="I2191" s="25"/>
      <c r="J2191" s="25"/>
      <c r="K2191" s="367"/>
      <c r="L2191" s="42"/>
      <c r="M2191" s="42"/>
      <c r="N2191" s="42"/>
      <c r="O2191" s="42"/>
      <c r="P2191" s="42"/>
      <c r="Q2191" s="42"/>
      <c r="R2191" s="176"/>
      <c r="S2191" s="42"/>
      <c r="T2191" s="42"/>
      <c r="U2191" s="46"/>
      <c r="V2191" s="42"/>
      <c r="W2191" s="42"/>
      <c r="X2191" s="42"/>
      <c r="Y2191" s="42"/>
      <c r="Z2191" s="42"/>
      <c r="AA2191" s="42"/>
      <c r="AB2191" s="42"/>
      <c r="AC2191" s="42"/>
      <c r="AD2191" s="42"/>
      <c r="AE2191" s="42"/>
      <c r="AF2191" s="42"/>
    </row>
    <row r="2192">
      <c r="A2192" s="25"/>
      <c r="B2192" s="297"/>
      <c r="C2192" s="25"/>
      <c r="D2192" s="25"/>
      <c r="E2192" s="25"/>
      <c r="F2192" s="25"/>
      <c r="G2192" s="123"/>
      <c r="H2192" s="123"/>
      <c r="I2192" s="25"/>
      <c r="J2192" s="25"/>
      <c r="K2192" s="367"/>
      <c r="L2192" s="42"/>
      <c r="M2192" s="42"/>
      <c r="N2192" s="42"/>
      <c r="O2192" s="42"/>
      <c r="P2192" s="42"/>
      <c r="Q2192" s="42"/>
      <c r="R2192" s="176"/>
      <c r="S2192" s="42"/>
      <c r="T2192" s="42"/>
      <c r="U2192" s="46"/>
      <c r="V2192" s="42"/>
      <c r="W2192" s="42"/>
      <c r="X2192" s="42"/>
      <c r="Y2192" s="42"/>
      <c r="Z2192" s="42"/>
      <c r="AA2192" s="42"/>
      <c r="AB2192" s="42"/>
      <c r="AC2192" s="42"/>
      <c r="AD2192" s="42"/>
      <c r="AE2192" s="42"/>
      <c r="AF2192" s="42"/>
    </row>
    <row r="2193">
      <c r="A2193" s="25"/>
      <c r="B2193" s="297"/>
      <c r="C2193" s="25"/>
      <c r="D2193" s="25"/>
      <c r="E2193" s="25"/>
      <c r="F2193" s="25"/>
      <c r="G2193" s="123"/>
      <c r="H2193" s="123"/>
      <c r="I2193" s="25"/>
      <c r="J2193" s="25"/>
      <c r="K2193" s="367"/>
      <c r="L2193" s="42"/>
      <c r="M2193" s="42"/>
      <c r="N2193" s="42"/>
      <c r="O2193" s="42"/>
      <c r="P2193" s="42"/>
      <c r="Q2193" s="42"/>
      <c r="R2193" s="176"/>
      <c r="S2193" s="42"/>
      <c r="T2193" s="42"/>
      <c r="U2193" s="46"/>
      <c r="V2193" s="42"/>
      <c r="W2193" s="42"/>
      <c r="X2193" s="42"/>
      <c r="Y2193" s="42"/>
      <c r="Z2193" s="42"/>
      <c r="AA2193" s="42"/>
      <c r="AB2193" s="42"/>
      <c r="AC2193" s="42"/>
      <c r="AD2193" s="42"/>
      <c r="AE2193" s="42"/>
      <c r="AF2193" s="42"/>
    </row>
    <row r="2194">
      <c r="A2194" s="25"/>
      <c r="B2194" s="297"/>
      <c r="C2194" s="25"/>
      <c r="D2194" s="25"/>
      <c r="E2194" s="25"/>
      <c r="F2194" s="25"/>
      <c r="G2194" s="123"/>
      <c r="H2194" s="123"/>
      <c r="I2194" s="25"/>
      <c r="J2194" s="25"/>
      <c r="K2194" s="367"/>
      <c r="L2194" s="42"/>
      <c r="M2194" s="42"/>
      <c r="N2194" s="42"/>
      <c r="O2194" s="42"/>
      <c r="P2194" s="42"/>
      <c r="Q2194" s="42"/>
      <c r="R2194" s="176"/>
      <c r="S2194" s="42"/>
      <c r="T2194" s="42"/>
      <c r="U2194" s="46"/>
      <c r="V2194" s="42"/>
      <c r="W2194" s="42"/>
      <c r="X2194" s="42"/>
      <c r="Y2194" s="42"/>
      <c r="Z2194" s="42"/>
      <c r="AA2194" s="42"/>
      <c r="AB2194" s="42"/>
      <c r="AC2194" s="42"/>
      <c r="AD2194" s="42"/>
      <c r="AE2194" s="42"/>
      <c r="AF2194" s="42"/>
    </row>
    <row r="2195">
      <c r="A2195" s="25"/>
      <c r="B2195" s="297"/>
      <c r="C2195" s="25"/>
      <c r="D2195" s="25"/>
      <c r="E2195" s="25"/>
      <c r="F2195" s="25"/>
      <c r="G2195" s="123"/>
      <c r="H2195" s="123"/>
      <c r="I2195" s="25"/>
      <c r="J2195" s="25"/>
      <c r="K2195" s="367"/>
      <c r="L2195" s="42"/>
      <c r="M2195" s="42"/>
      <c r="N2195" s="42"/>
      <c r="O2195" s="42"/>
      <c r="P2195" s="42"/>
      <c r="Q2195" s="42"/>
      <c r="R2195" s="176"/>
      <c r="S2195" s="42"/>
      <c r="T2195" s="42"/>
      <c r="U2195" s="46"/>
      <c r="V2195" s="42"/>
      <c r="W2195" s="42"/>
      <c r="X2195" s="42"/>
      <c r="Y2195" s="42"/>
      <c r="Z2195" s="42"/>
      <c r="AA2195" s="42"/>
      <c r="AB2195" s="42"/>
      <c r="AC2195" s="42"/>
      <c r="AD2195" s="42"/>
      <c r="AE2195" s="42"/>
      <c r="AF2195" s="42"/>
    </row>
    <row r="2196">
      <c r="A2196" s="25"/>
      <c r="B2196" s="297"/>
      <c r="C2196" s="25"/>
      <c r="D2196" s="25"/>
      <c r="E2196" s="25"/>
      <c r="F2196" s="25"/>
      <c r="G2196" s="123"/>
      <c r="H2196" s="123"/>
      <c r="I2196" s="25"/>
      <c r="J2196" s="25"/>
      <c r="K2196" s="367"/>
      <c r="L2196" s="42"/>
      <c r="M2196" s="42"/>
      <c r="N2196" s="42"/>
      <c r="O2196" s="42"/>
      <c r="P2196" s="42"/>
      <c r="Q2196" s="42"/>
      <c r="R2196" s="176"/>
      <c r="S2196" s="42"/>
      <c r="T2196" s="42"/>
      <c r="U2196" s="46"/>
      <c r="V2196" s="42"/>
      <c r="W2196" s="42"/>
      <c r="X2196" s="42"/>
      <c r="Y2196" s="42"/>
      <c r="Z2196" s="42"/>
      <c r="AA2196" s="42"/>
      <c r="AB2196" s="42"/>
      <c r="AC2196" s="42"/>
      <c r="AD2196" s="42"/>
      <c r="AE2196" s="42"/>
      <c r="AF2196" s="42"/>
    </row>
    <row r="2197">
      <c r="A2197" s="25"/>
      <c r="B2197" s="297"/>
      <c r="C2197" s="25"/>
      <c r="D2197" s="25"/>
      <c r="E2197" s="25"/>
      <c r="F2197" s="25"/>
      <c r="G2197" s="123"/>
      <c r="H2197" s="123"/>
      <c r="I2197" s="25"/>
      <c r="J2197" s="25"/>
      <c r="K2197" s="367"/>
      <c r="L2197" s="42"/>
      <c r="M2197" s="42"/>
      <c r="N2197" s="42"/>
      <c r="O2197" s="42"/>
      <c r="P2197" s="42"/>
      <c r="Q2197" s="42"/>
      <c r="R2197" s="176"/>
      <c r="S2197" s="42"/>
      <c r="T2197" s="42"/>
      <c r="U2197" s="46"/>
      <c r="V2197" s="42"/>
      <c r="W2197" s="42"/>
      <c r="X2197" s="42"/>
      <c r="Y2197" s="42"/>
      <c r="Z2197" s="42"/>
      <c r="AA2197" s="42"/>
      <c r="AB2197" s="42"/>
      <c r="AC2197" s="42"/>
      <c r="AD2197" s="42"/>
      <c r="AE2197" s="42"/>
      <c r="AF2197" s="42"/>
    </row>
    <row r="2198">
      <c r="A2198" s="25"/>
      <c r="B2198" s="297"/>
      <c r="C2198" s="25"/>
      <c r="D2198" s="25"/>
      <c r="E2198" s="25"/>
      <c r="F2198" s="25"/>
      <c r="G2198" s="123"/>
      <c r="H2198" s="123"/>
      <c r="I2198" s="25"/>
      <c r="J2198" s="25"/>
      <c r="K2198" s="367"/>
      <c r="L2198" s="42"/>
      <c r="M2198" s="42"/>
      <c r="N2198" s="42"/>
      <c r="O2198" s="42"/>
      <c r="P2198" s="42"/>
      <c r="Q2198" s="42"/>
      <c r="R2198" s="176"/>
      <c r="S2198" s="42"/>
      <c r="T2198" s="42"/>
      <c r="U2198" s="46"/>
      <c r="V2198" s="42"/>
      <c r="W2198" s="42"/>
      <c r="X2198" s="42"/>
      <c r="Y2198" s="42"/>
      <c r="Z2198" s="42"/>
      <c r="AA2198" s="42"/>
      <c r="AB2198" s="42"/>
      <c r="AC2198" s="42"/>
      <c r="AD2198" s="42"/>
      <c r="AE2198" s="42"/>
      <c r="AF2198" s="42"/>
    </row>
    <row r="2199">
      <c r="A2199" s="25"/>
      <c r="B2199" s="297"/>
      <c r="C2199" s="25"/>
      <c r="D2199" s="25"/>
      <c r="E2199" s="25"/>
      <c r="F2199" s="25"/>
      <c r="G2199" s="123"/>
      <c r="H2199" s="123"/>
      <c r="I2199" s="25"/>
      <c r="J2199" s="25"/>
      <c r="K2199" s="367"/>
      <c r="L2199" s="42"/>
      <c r="M2199" s="42"/>
      <c r="N2199" s="42"/>
      <c r="O2199" s="42"/>
      <c r="P2199" s="42"/>
      <c r="Q2199" s="42"/>
      <c r="R2199" s="176"/>
      <c r="S2199" s="42"/>
      <c r="T2199" s="42"/>
      <c r="U2199" s="46"/>
      <c r="V2199" s="42"/>
      <c r="W2199" s="42"/>
      <c r="X2199" s="42"/>
      <c r="Y2199" s="42"/>
      <c r="Z2199" s="42"/>
      <c r="AA2199" s="42"/>
      <c r="AB2199" s="42"/>
      <c r="AC2199" s="42"/>
      <c r="AD2199" s="42"/>
      <c r="AE2199" s="42"/>
      <c r="AF2199" s="42"/>
    </row>
    <row r="2200">
      <c r="A2200" s="25"/>
      <c r="B2200" s="297"/>
      <c r="C2200" s="25"/>
      <c r="D2200" s="25"/>
      <c r="E2200" s="25"/>
      <c r="F2200" s="25"/>
      <c r="G2200" s="123"/>
      <c r="H2200" s="123"/>
      <c r="I2200" s="25"/>
      <c r="J2200" s="25"/>
      <c r="K2200" s="367"/>
      <c r="L2200" s="42"/>
      <c r="M2200" s="42"/>
      <c r="N2200" s="42"/>
      <c r="O2200" s="42"/>
      <c r="P2200" s="42"/>
      <c r="Q2200" s="42"/>
      <c r="R2200" s="176"/>
      <c r="S2200" s="42"/>
      <c r="T2200" s="42"/>
      <c r="U2200" s="46"/>
      <c r="V2200" s="42"/>
      <c r="W2200" s="42"/>
      <c r="X2200" s="42"/>
      <c r="Y2200" s="42"/>
      <c r="Z2200" s="42"/>
      <c r="AA2200" s="42"/>
      <c r="AB2200" s="42"/>
      <c r="AC2200" s="42"/>
      <c r="AD2200" s="42"/>
      <c r="AE2200" s="42"/>
      <c r="AF2200" s="42"/>
    </row>
    <row r="2201">
      <c r="A2201" s="25"/>
      <c r="B2201" s="297"/>
      <c r="C2201" s="25"/>
      <c r="D2201" s="25"/>
      <c r="E2201" s="25"/>
      <c r="F2201" s="25"/>
      <c r="G2201" s="123"/>
      <c r="H2201" s="123"/>
      <c r="I2201" s="25"/>
      <c r="J2201" s="25"/>
      <c r="K2201" s="367"/>
      <c r="L2201" s="42"/>
      <c r="M2201" s="42"/>
      <c r="N2201" s="42"/>
      <c r="O2201" s="42"/>
      <c r="P2201" s="42"/>
      <c r="Q2201" s="42"/>
      <c r="R2201" s="176"/>
      <c r="S2201" s="42"/>
      <c r="T2201" s="42"/>
      <c r="U2201" s="46"/>
      <c r="V2201" s="42"/>
      <c r="W2201" s="42"/>
      <c r="X2201" s="42"/>
      <c r="Y2201" s="42"/>
      <c r="Z2201" s="42"/>
      <c r="AA2201" s="42"/>
      <c r="AB2201" s="42"/>
      <c r="AC2201" s="42"/>
      <c r="AD2201" s="42"/>
      <c r="AE2201" s="42"/>
      <c r="AF2201" s="42"/>
    </row>
    <row r="2202">
      <c r="A2202" s="25"/>
      <c r="B2202" s="297"/>
      <c r="C2202" s="25"/>
      <c r="D2202" s="25"/>
      <c r="E2202" s="25"/>
      <c r="F2202" s="25"/>
      <c r="G2202" s="123"/>
      <c r="H2202" s="123"/>
      <c r="I2202" s="25"/>
      <c r="J2202" s="25"/>
      <c r="K2202" s="367"/>
      <c r="L2202" s="42"/>
      <c r="M2202" s="42"/>
      <c r="N2202" s="42"/>
      <c r="O2202" s="42"/>
      <c r="P2202" s="42"/>
      <c r="Q2202" s="42"/>
      <c r="R2202" s="176"/>
      <c r="S2202" s="42"/>
      <c r="T2202" s="42"/>
      <c r="U2202" s="46"/>
      <c r="V2202" s="42"/>
      <c r="W2202" s="42"/>
      <c r="X2202" s="42"/>
      <c r="Y2202" s="42"/>
      <c r="Z2202" s="42"/>
      <c r="AA2202" s="42"/>
      <c r="AB2202" s="42"/>
      <c r="AC2202" s="42"/>
      <c r="AD2202" s="42"/>
      <c r="AE2202" s="42"/>
      <c r="AF2202" s="42"/>
    </row>
    <row r="2203">
      <c r="A2203" s="25"/>
      <c r="B2203" s="297"/>
      <c r="C2203" s="25"/>
      <c r="D2203" s="25"/>
      <c r="E2203" s="25"/>
      <c r="F2203" s="25"/>
      <c r="G2203" s="123"/>
      <c r="H2203" s="123"/>
      <c r="I2203" s="25"/>
      <c r="J2203" s="25"/>
      <c r="K2203" s="367"/>
      <c r="L2203" s="42"/>
      <c r="M2203" s="42"/>
      <c r="N2203" s="42"/>
      <c r="O2203" s="42"/>
      <c r="P2203" s="42"/>
      <c r="Q2203" s="42"/>
      <c r="R2203" s="176"/>
      <c r="S2203" s="42"/>
      <c r="T2203" s="42"/>
      <c r="U2203" s="46"/>
      <c r="V2203" s="42"/>
      <c r="W2203" s="42"/>
      <c r="X2203" s="42"/>
      <c r="Y2203" s="42"/>
      <c r="Z2203" s="42"/>
      <c r="AA2203" s="42"/>
      <c r="AB2203" s="42"/>
      <c r="AC2203" s="42"/>
      <c r="AD2203" s="42"/>
      <c r="AE2203" s="42"/>
      <c r="AF2203" s="42"/>
    </row>
    <row r="2204">
      <c r="A2204" s="25"/>
      <c r="B2204" s="297"/>
      <c r="C2204" s="25"/>
      <c r="D2204" s="25"/>
      <c r="E2204" s="25"/>
      <c r="F2204" s="25"/>
      <c r="G2204" s="123"/>
      <c r="H2204" s="123"/>
      <c r="I2204" s="25"/>
      <c r="J2204" s="25"/>
      <c r="K2204" s="367"/>
      <c r="L2204" s="42"/>
      <c r="M2204" s="42"/>
      <c r="N2204" s="42"/>
      <c r="O2204" s="42"/>
      <c r="P2204" s="42"/>
      <c r="Q2204" s="42"/>
      <c r="R2204" s="176"/>
      <c r="S2204" s="42"/>
      <c r="T2204" s="42"/>
      <c r="U2204" s="46"/>
      <c r="V2204" s="42"/>
      <c r="W2204" s="42"/>
      <c r="X2204" s="42"/>
      <c r="Y2204" s="42"/>
      <c r="Z2204" s="42"/>
      <c r="AA2204" s="42"/>
      <c r="AB2204" s="42"/>
      <c r="AC2204" s="42"/>
      <c r="AD2204" s="42"/>
      <c r="AE2204" s="42"/>
      <c r="AF2204" s="42"/>
    </row>
    <row r="2205">
      <c r="A2205" s="25"/>
      <c r="B2205" s="297"/>
      <c r="C2205" s="25"/>
      <c r="D2205" s="25"/>
      <c r="E2205" s="25"/>
      <c r="F2205" s="25"/>
      <c r="G2205" s="123"/>
      <c r="H2205" s="123"/>
      <c r="I2205" s="25"/>
      <c r="J2205" s="25"/>
      <c r="K2205" s="367"/>
      <c r="L2205" s="42"/>
      <c r="M2205" s="42"/>
      <c r="N2205" s="42"/>
      <c r="O2205" s="42"/>
      <c r="P2205" s="42"/>
      <c r="Q2205" s="42"/>
      <c r="R2205" s="176"/>
      <c r="S2205" s="42"/>
      <c r="T2205" s="42"/>
      <c r="U2205" s="46"/>
      <c r="V2205" s="42"/>
      <c r="W2205" s="42"/>
      <c r="X2205" s="42"/>
      <c r="Y2205" s="42"/>
      <c r="Z2205" s="42"/>
      <c r="AA2205" s="42"/>
      <c r="AB2205" s="42"/>
      <c r="AC2205" s="42"/>
      <c r="AD2205" s="42"/>
      <c r="AE2205" s="42"/>
      <c r="AF2205" s="42"/>
    </row>
    <row r="2206">
      <c r="A2206" s="25"/>
      <c r="B2206" s="297"/>
      <c r="C2206" s="25"/>
      <c r="D2206" s="25"/>
      <c r="E2206" s="25"/>
      <c r="F2206" s="25"/>
      <c r="G2206" s="123"/>
      <c r="H2206" s="123"/>
      <c r="I2206" s="25"/>
      <c r="J2206" s="25"/>
      <c r="K2206" s="367"/>
      <c r="L2206" s="42"/>
      <c r="M2206" s="42"/>
      <c r="N2206" s="42"/>
      <c r="O2206" s="42"/>
      <c r="P2206" s="42"/>
      <c r="Q2206" s="42"/>
      <c r="R2206" s="176"/>
      <c r="S2206" s="42"/>
      <c r="T2206" s="42"/>
      <c r="U2206" s="46"/>
      <c r="V2206" s="42"/>
      <c r="W2206" s="42"/>
      <c r="X2206" s="42"/>
      <c r="Y2206" s="42"/>
      <c r="Z2206" s="42"/>
      <c r="AA2206" s="42"/>
      <c r="AB2206" s="42"/>
      <c r="AC2206" s="42"/>
      <c r="AD2206" s="42"/>
      <c r="AE2206" s="42"/>
      <c r="AF2206" s="42"/>
    </row>
    <row r="2207">
      <c r="A2207" s="25"/>
      <c r="B2207" s="297"/>
      <c r="C2207" s="25"/>
      <c r="D2207" s="25"/>
      <c r="E2207" s="25"/>
      <c r="F2207" s="25"/>
      <c r="G2207" s="123"/>
      <c r="H2207" s="123"/>
      <c r="I2207" s="25"/>
      <c r="J2207" s="25"/>
      <c r="K2207" s="367"/>
      <c r="L2207" s="42"/>
      <c r="M2207" s="42"/>
      <c r="N2207" s="42"/>
      <c r="O2207" s="42"/>
      <c r="P2207" s="42"/>
      <c r="Q2207" s="42"/>
      <c r="R2207" s="176"/>
      <c r="S2207" s="42"/>
      <c r="T2207" s="42"/>
      <c r="U2207" s="46"/>
      <c r="V2207" s="42"/>
      <c r="W2207" s="42"/>
      <c r="X2207" s="42"/>
      <c r="Y2207" s="42"/>
      <c r="Z2207" s="42"/>
      <c r="AA2207" s="42"/>
      <c r="AB2207" s="42"/>
      <c r="AC2207" s="42"/>
      <c r="AD2207" s="42"/>
      <c r="AE2207" s="42"/>
      <c r="AF2207" s="42"/>
    </row>
    <row r="2208">
      <c r="A2208" s="25"/>
      <c r="B2208" s="297"/>
      <c r="C2208" s="25"/>
      <c r="D2208" s="25"/>
      <c r="E2208" s="25"/>
      <c r="F2208" s="25"/>
      <c r="G2208" s="123"/>
      <c r="H2208" s="123"/>
      <c r="I2208" s="25"/>
      <c r="J2208" s="25"/>
      <c r="K2208" s="367"/>
      <c r="L2208" s="42"/>
      <c r="M2208" s="42"/>
      <c r="N2208" s="42"/>
      <c r="O2208" s="42"/>
      <c r="P2208" s="42"/>
      <c r="Q2208" s="42"/>
      <c r="R2208" s="176"/>
      <c r="S2208" s="42"/>
      <c r="T2208" s="42"/>
      <c r="U2208" s="46"/>
      <c r="V2208" s="42"/>
      <c r="W2208" s="42"/>
      <c r="X2208" s="42"/>
      <c r="Y2208" s="42"/>
      <c r="Z2208" s="42"/>
      <c r="AA2208" s="42"/>
      <c r="AB2208" s="42"/>
      <c r="AC2208" s="42"/>
      <c r="AD2208" s="42"/>
      <c r="AE2208" s="42"/>
      <c r="AF2208" s="42"/>
    </row>
    <row r="2209">
      <c r="A2209" s="25"/>
      <c r="B2209" s="297"/>
      <c r="C2209" s="25"/>
      <c r="D2209" s="25"/>
      <c r="E2209" s="25"/>
      <c r="F2209" s="25"/>
      <c r="G2209" s="123"/>
      <c r="H2209" s="123"/>
      <c r="I2209" s="25"/>
      <c r="J2209" s="25"/>
      <c r="K2209" s="367"/>
      <c r="L2209" s="42"/>
      <c r="M2209" s="42"/>
      <c r="N2209" s="42"/>
      <c r="O2209" s="42"/>
      <c r="P2209" s="42"/>
      <c r="Q2209" s="42"/>
      <c r="R2209" s="176"/>
      <c r="S2209" s="42"/>
      <c r="T2209" s="42"/>
      <c r="U2209" s="46"/>
      <c r="V2209" s="42"/>
      <c r="W2209" s="42"/>
      <c r="X2209" s="42"/>
      <c r="Y2209" s="42"/>
      <c r="Z2209" s="42"/>
      <c r="AA2209" s="42"/>
      <c r="AB2209" s="42"/>
      <c r="AC2209" s="42"/>
      <c r="AD2209" s="42"/>
      <c r="AE2209" s="42"/>
      <c r="AF2209" s="42"/>
    </row>
    <row r="2210">
      <c r="A2210" s="25"/>
      <c r="B2210" s="297"/>
      <c r="C2210" s="25"/>
      <c r="D2210" s="25"/>
      <c r="E2210" s="25"/>
      <c r="F2210" s="25"/>
      <c r="G2210" s="123"/>
      <c r="H2210" s="123"/>
      <c r="I2210" s="25"/>
      <c r="J2210" s="25"/>
      <c r="K2210" s="367"/>
      <c r="L2210" s="42"/>
      <c r="M2210" s="42"/>
      <c r="N2210" s="42"/>
      <c r="O2210" s="42"/>
      <c r="P2210" s="42"/>
      <c r="Q2210" s="42"/>
      <c r="R2210" s="176"/>
      <c r="S2210" s="42"/>
      <c r="T2210" s="42"/>
      <c r="U2210" s="46"/>
      <c r="V2210" s="42"/>
      <c r="W2210" s="42"/>
      <c r="X2210" s="42"/>
      <c r="Y2210" s="42"/>
      <c r="Z2210" s="42"/>
      <c r="AA2210" s="42"/>
      <c r="AB2210" s="42"/>
      <c r="AC2210" s="42"/>
      <c r="AD2210" s="42"/>
      <c r="AE2210" s="42"/>
      <c r="AF2210" s="42"/>
    </row>
    <row r="2211">
      <c r="A2211" s="25"/>
      <c r="B2211" s="297"/>
      <c r="C2211" s="25"/>
      <c r="D2211" s="25"/>
      <c r="E2211" s="25"/>
      <c r="F2211" s="25"/>
      <c r="G2211" s="123"/>
      <c r="H2211" s="123"/>
      <c r="I2211" s="25"/>
      <c r="J2211" s="25"/>
      <c r="K2211" s="367"/>
      <c r="L2211" s="42"/>
      <c r="M2211" s="42"/>
      <c r="N2211" s="42"/>
      <c r="O2211" s="42"/>
      <c r="P2211" s="42"/>
      <c r="Q2211" s="42"/>
      <c r="R2211" s="176"/>
      <c r="S2211" s="42"/>
      <c r="T2211" s="42"/>
      <c r="U2211" s="46"/>
      <c r="V2211" s="42"/>
      <c r="W2211" s="42"/>
      <c r="X2211" s="42"/>
      <c r="Y2211" s="42"/>
      <c r="Z2211" s="42"/>
      <c r="AA2211" s="42"/>
      <c r="AB2211" s="42"/>
      <c r="AC2211" s="42"/>
      <c r="AD2211" s="42"/>
      <c r="AE2211" s="42"/>
      <c r="AF2211" s="42"/>
    </row>
    <row r="2212">
      <c r="A2212" s="25"/>
      <c r="B2212" s="297"/>
      <c r="C2212" s="25"/>
      <c r="D2212" s="25"/>
      <c r="E2212" s="25"/>
      <c r="F2212" s="25"/>
      <c r="G2212" s="123"/>
      <c r="H2212" s="123"/>
      <c r="I2212" s="25"/>
      <c r="J2212" s="25"/>
      <c r="K2212" s="367"/>
      <c r="L2212" s="42"/>
      <c r="M2212" s="42"/>
      <c r="N2212" s="42"/>
      <c r="O2212" s="42"/>
      <c r="P2212" s="42"/>
      <c r="Q2212" s="42"/>
      <c r="R2212" s="176"/>
      <c r="S2212" s="42"/>
      <c r="T2212" s="42"/>
      <c r="U2212" s="46"/>
      <c r="V2212" s="42"/>
      <c r="W2212" s="42"/>
      <c r="X2212" s="42"/>
      <c r="Y2212" s="42"/>
      <c r="Z2212" s="42"/>
      <c r="AA2212" s="42"/>
      <c r="AB2212" s="42"/>
      <c r="AC2212" s="42"/>
      <c r="AD2212" s="42"/>
      <c r="AE2212" s="42"/>
      <c r="AF2212" s="42"/>
    </row>
    <row r="2213">
      <c r="A2213" s="25"/>
      <c r="B2213" s="297"/>
      <c r="C2213" s="25"/>
      <c r="D2213" s="25"/>
      <c r="E2213" s="25"/>
      <c r="F2213" s="25"/>
      <c r="G2213" s="123"/>
      <c r="H2213" s="123"/>
      <c r="I2213" s="25"/>
      <c r="J2213" s="25"/>
      <c r="K2213" s="367"/>
      <c r="L2213" s="42"/>
      <c r="M2213" s="42"/>
      <c r="N2213" s="42"/>
      <c r="O2213" s="42"/>
      <c r="P2213" s="42"/>
      <c r="Q2213" s="42"/>
      <c r="R2213" s="176"/>
      <c r="S2213" s="42"/>
      <c r="T2213" s="42"/>
      <c r="U2213" s="46"/>
      <c r="V2213" s="42"/>
      <c r="W2213" s="42"/>
      <c r="X2213" s="42"/>
      <c r="Y2213" s="42"/>
      <c r="Z2213" s="42"/>
      <c r="AA2213" s="42"/>
      <c r="AB2213" s="42"/>
      <c r="AC2213" s="42"/>
      <c r="AD2213" s="42"/>
      <c r="AE2213" s="42"/>
      <c r="AF2213" s="42"/>
    </row>
    <row r="2214">
      <c r="A2214" s="25"/>
      <c r="B2214" s="297"/>
      <c r="C2214" s="25"/>
      <c r="D2214" s="25"/>
      <c r="E2214" s="25"/>
      <c r="F2214" s="25"/>
      <c r="G2214" s="123"/>
      <c r="H2214" s="123"/>
      <c r="I2214" s="25"/>
      <c r="J2214" s="25"/>
      <c r="K2214" s="367"/>
      <c r="L2214" s="42"/>
      <c r="M2214" s="42"/>
      <c r="N2214" s="42"/>
      <c r="O2214" s="42"/>
      <c r="P2214" s="42"/>
      <c r="Q2214" s="42"/>
      <c r="R2214" s="176"/>
      <c r="S2214" s="42"/>
      <c r="T2214" s="42"/>
      <c r="U2214" s="46"/>
      <c r="V2214" s="42"/>
      <c r="W2214" s="42"/>
      <c r="X2214" s="42"/>
      <c r="Y2214" s="42"/>
      <c r="Z2214" s="42"/>
      <c r="AA2214" s="42"/>
      <c r="AB2214" s="42"/>
      <c r="AC2214" s="42"/>
      <c r="AD2214" s="42"/>
      <c r="AE2214" s="42"/>
      <c r="AF2214" s="42"/>
    </row>
    <row r="2215">
      <c r="A2215" s="25"/>
      <c r="B2215" s="297"/>
      <c r="C2215" s="25"/>
      <c r="D2215" s="25"/>
      <c r="E2215" s="25"/>
      <c r="F2215" s="25"/>
      <c r="G2215" s="123"/>
      <c r="H2215" s="123"/>
      <c r="I2215" s="25"/>
      <c r="J2215" s="25"/>
      <c r="K2215" s="367"/>
      <c r="L2215" s="42"/>
      <c r="M2215" s="42"/>
      <c r="N2215" s="42"/>
      <c r="O2215" s="42"/>
      <c r="P2215" s="42"/>
      <c r="Q2215" s="42"/>
      <c r="R2215" s="176"/>
      <c r="S2215" s="42"/>
      <c r="T2215" s="42"/>
      <c r="U2215" s="46"/>
      <c r="V2215" s="42"/>
      <c r="W2215" s="42"/>
      <c r="X2215" s="42"/>
      <c r="Y2215" s="42"/>
      <c r="Z2215" s="42"/>
      <c r="AA2215" s="42"/>
      <c r="AB2215" s="42"/>
      <c r="AC2215" s="42"/>
      <c r="AD2215" s="42"/>
      <c r="AE2215" s="42"/>
      <c r="AF2215" s="42"/>
    </row>
    <row r="2216">
      <c r="A2216" s="25"/>
      <c r="B2216" s="297"/>
      <c r="C2216" s="25"/>
      <c r="D2216" s="25"/>
      <c r="E2216" s="25"/>
      <c r="F2216" s="25"/>
      <c r="G2216" s="123"/>
      <c r="H2216" s="123"/>
      <c r="I2216" s="25"/>
      <c r="J2216" s="25"/>
      <c r="K2216" s="367"/>
      <c r="L2216" s="42"/>
      <c r="M2216" s="42"/>
      <c r="N2216" s="42"/>
      <c r="O2216" s="42"/>
      <c r="P2216" s="42"/>
      <c r="Q2216" s="42"/>
      <c r="R2216" s="176"/>
      <c r="S2216" s="42"/>
      <c r="T2216" s="42"/>
      <c r="U2216" s="46"/>
      <c r="V2216" s="42"/>
      <c r="W2216" s="42"/>
      <c r="X2216" s="42"/>
      <c r="Y2216" s="42"/>
      <c r="Z2216" s="42"/>
      <c r="AA2216" s="42"/>
      <c r="AB2216" s="42"/>
      <c r="AC2216" s="42"/>
      <c r="AD2216" s="42"/>
      <c r="AE2216" s="42"/>
      <c r="AF2216" s="42"/>
    </row>
    <row r="2217">
      <c r="A2217" s="25"/>
      <c r="B2217" s="297"/>
      <c r="C2217" s="25"/>
      <c r="D2217" s="25"/>
      <c r="E2217" s="25"/>
      <c r="F2217" s="25"/>
      <c r="G2217" s="123"/>
      <c r="H2217" s="123"/>
      <c r="I2217" s="25"/>
      <c r="J2217" s="25"/>
      <c r="K2217" s="367"/>
      <c r="L2217" s="42"/>
      <c r="M2217" s="42"/>
      <c r="N2217" s="42"/>
      <c r="O2217" s="42"/>
      <c r="P2217" s="42"/>
      <c r="Q2217" s="42"/>
      <c r="R2217" s="176"/>
      <c r="S2217" s="42"/>
      <c r="T2217" s="42"/>
      <c r="U2217" s="46"/>
      <c r="V2217" s="42"/>
      <c r="W2217" s="42"/>
      <c r="X2217" s="42"/>
      <c r="Y2217" s="42"/>
      <c r="Z2217" s="42"/>
      <c r="AA2217" s="42"/>
      <c r="AB2217" s="42"/>
      <c r="AC2217" s="42"/>
      <c r="AD2217" s="42"/>
      <c r="AE2217" s="42"/>
      <c r="AF2217" s="42"/>
    </row>
    <row r="2218">
      <c r="A2218" s="25"/>
      <c r="B2218" s="297"/>
      <c r="C2218" s="25"/>
      <c r="D2218" s="25"/>
      <c r="E2218" s="25"/>
      <c r="F2218" s="25"/>
      <c r="G2218" s="123"/>
      <c r="H2218" s="123"/>
      <c r="I2218" s="25"/>
      <c r="J2218" s="25"/>
      <c r="K2218" s="367"/>
      <c r="L2218" s="42"/>
      <c r="M2218" s="42"/>
      <c r="N2218" s="42"/>
      <c r="O2218" s="42"/>
      <c r="P2218" s="42"/>
      <c r="Q2218" s="42"/>
      <c r="R2218" s="176"/>
      <c r="S2218" s="42"/>
      <c r="T2218" s="42"/>
      <c r="U2218" s="46"/>
      <c r="V2218" s="42"/>
      <c r="W2218" s="42"/>
      <c r="X2218" s="42"/>
      <c r="Y2218" s="42"/>
      <c r="Z2218" s="42"/>
      <c r="AA2218" s="42"/>
      <c r="AB2218" s="42"/>
      <c r="AC2218" s="42"/>
      <c r="AD2218" s="42"/>
      <c r="AE2218" s="42"/>
      <c r="AF2218" s="42"/>
    </row>
    <row r="2219">
      <c r="A2219" s="25"/>
      <c r="B2219" s="297"/>
      <c r="C2219" s="25"/>
      <c r="D2219" s="25"/>
      <c r="E2219" s="25"/>
      <c r="F2219" s="25"/>
      <c r="G2219" s="123"/>
      <c r="H2219" s="123"/>
      <c r="I2219" s="25"/>
      <c r="J2219" s="25"/>
      <c r="K2219" s="367"/>
      <c r="L2219" s="42"/>
      <c r="M2219" s="42"/>
      <c r="N2219" s="42"/>
      <c r="O2219" s="42"/>
      <c r="P2219" s="42"/>
      <c r="Q2219" s="42"/>
      <c r="R2219" s="176"/>
      <c r="S2219" s="42"/>
      <c r="T2219" s="42"/>
      <c r="U2219" s="46"/>
      <c r="V2219" s="42"/>
      <c r="W2219" s="42"/>
      <c r="X2219" s="42"/>
      <c r="Y2219" s="42"/>
      <c r="Z2219" s="42"/>
      <c r="AA2219" s="42"/>
      <c r="AB2219" s="42"/>
      <c r="AC2219" s="42"/>
      <c r="AD2219" s="42"/>
      <c r="AE2219" s="42"/>
      <c r="AF2219" s="42"/>
    </row>
    <row r="2220">
      <c r="A2220" s="25"/>
      <c r="B2220" s="297"/>
      <c r="C2220" s="25"/>
      <c r="D2220" s="25"/>
      <c r="E2220" s="25"/>
      <c r="F2220" s="25"/>
      <c r="G2220" s="123"/>
      <c r="H2220" s="123"/>
      <c r="I2220" s="25"/>
      <c r="J2220" s="25"/>
      <c r="K2220" s="367"/>
      <c r="L2220" s="42"/>
      <c r="M2220" s="42"/>
      <c r="N2220" s="42"/>
      <c r="O2220" s="42"/>
      <c r="P2220" s="42"/>
      <c r="Q2220" s="42"/>
      <c r="R2220" s="176"/>
      <c r="S2220" s="42"/>
      <c r="T2220" s="42"/>
      <c r="U2220" s="46"/>
      <c r="V2220" s="42"/>
      <c r="W2220" s="42"/>
      <c r="X2220" s="42"/>
      <c r="Y2220" s="42"/>
      <c r="Z2220" s="42"/>
      <c r="AA2220" s="42"/>
      <c r="AB2220" s="42"/>
      <c r="AC2220" s="42"/>
      <c r="AD2220" s="42"/>
      <c r="AE2220" s="42"/>
      <c r="AF2220" s="42"/>
    </row>
    <row r="2221">
      <c r="A2221" s="25"/>
      <c r="B2221" s="297"/>
      <c r="C2221" s="25"/>
      <c r="D2221" s="25"/>
      <c r="E2221" s="25"/>
      <c r="F2221" s="25"/>
      <c r="G2221" s="123"/>
      <c r="H2221" s="123"/>
      <c r="I2221" s="25"/>
      <c r="J2221" s="25"/>
      <c r="K2221" s="367"/>
      <c r="L2221" s="42"/>
      <c r="M2221" s="42"/>
      <c r="N2221" s="42"/>
      <c r="O2221" s="42"/>
      <c r="P2221" s="42"/>
      <c r="Q2221" s="42"/>
      <c r="R2221" s="176"/>
      <c r="S2221" s="42"/>
      <c r="T2221" s="42"/>
      <c r="U2221" s="46"/>
      <c r="V2221" s="42"/>
      <c r="W2221" s="42"/>
      <c r="X2221" s="42"/>
      <c r="Y2221" s="42"/>
      <c r="Z2221" s="42"/>
      <c r="AA2221" s="42"/>
      <c r="AB2221" s="42"/>
      <c r="AC2221" s="42"/>
      <c r="AD2221" s="42"/>
      <c r="AE2221" s="42"/>
      <c r="AF2221" s="42"/>
    </row>
    <row r="2222">
      <c r="A2222" s="25"/>
      <c r="B2222" s="297"/>
      <c r="C2222" s="25"/>
      <c r="D2222" s="25"/>
      <c r="E2222" s="25"/>
      <c r="F2222" s="25"/>
      <c r="G2222" s="123"/>
      <c r="H2222" s="123"/>
      <c r="I2222" s="25"/>
      <c r="J2222" s="25"/>
      <c r="K2222" s="367"/>
      <c r="L2222" s="42"/>
      <c r="M2222" s="42"/>
      <c r="N2222" s="42"/>
      <c r="O2222" s="42"/>
      <c r="P2222" s="42"/>
      <c r="Q2222" s="42"/>
      <c r="R2222" s="176"/>
      <c r="S2222" s="42"/>
      <c r="T2222" s="42"/>
      <c r="U2222" s="46"/>
      <c r="V2222" s="42"/>
      <c r="W2222" s="42"/>
      <c r="X2222" s="42"/>
      <c r="Y2222" s="42"/>
      <c r="Z2222" s="42"/>
      <c r="AA2222" s="42"/>
      <c r="AB2222" s="42"/>
      <c r="AC2222" s="42"/>
      <c r="AD2222" s="42"/>
      <c r="AE2222" s="42"/>
      <c r="AF2222" s="42"/>
    </row>
    <row r="2223">
      <c r="A2223" s="25"/>
      <c r="B2223" s="297"/>
      <c r="C2223" s="25"/>
      <c r="D2223" s="25"/>
      <c r="E2223" s="25"/>
      <c r="F2223" s="25"/>
      <c r="G2223" s="123"/>
      <c r="H2223" s="123"/>
      <c r="I2223" s="25"/>
      <c r="J2223" s="25"/>
      <c r="K2223" s="367"/>
      <c r="L2223" s="42"/>
      <c r="M2223" s="42"/>
      <c r="N2223" s="42"/>
      <c r="O2223" s="42"/>
      <c r="P2223" s="42"/>
      <c r="Q2223" s="42"/>
      <c r="R2223" s="176"/>
      <c r="S2223" s="42"/>
      <c r="T2223" s="42"/>
      <c r="U2223" s="46"/>
      <c r="V2223" s="42"/>
      <c r="W2223" s="42"/>
      <c r="X2223" s="42"/>
      <c r="Y2223" s="42"/>
      <c r="Z2223" s="42"/>
      <c r="AA2223" s="42"/>
      <c r="AB2223" s="42"/>
      <c r="AC2223" s="42"/>
      <c r="AD2223" s="42"/>
      <c r="AE2223" s="42"/>
      <c r="AF2223" s="42"/>
    </row>
    <row r="2224">
      <c r="A2224" s="25"/>
      <c r="B2224" s="297"/>
      <c r="C2224" s="25"/>
      <c r="D2224" s="25"/>
      <c r="E2224" s="25"/>
      <c r="F2224" s="25"/>
      <c r="G2224" s="123"/>
      <c r="H2224" s="123"/>
      <c r="I2224" s="25"/>
      <c r="J2224" s="25"/>
      <c r="K2224" s="367"/>
      <c r="L2224" s="42"/>
      <c r="M2224" s="42"/>
      <c r="N2224" s="42"/>
      <c r="O2224" s="42"/>
      <c r="P2224" s="42"/>
      <c r="Q2224" s="42"/>
      <c r="R2224" s="176"/>
      <c r="S2224" s="42"/>
      <c r="T2224" s="42"/>
      <c r="U2224" s="46"/>
      <c r="V2224" s="42"/>
      <c r="W2224" s="42"/>
      <c r="X2224" s="42"/>
      <c r="Y2224" s="42"/>
      <c r="Z2224" s="42"/>
      <c r="AA2224" s="42"/>
      <c r="AB2224" s="42"/>
      <c r="AC2224" s="42"/>
      <c r="AD2224" s="42"/>
      <c r="AE2224" s="42"/>
      <c r="AF2224" s="42"/>
    </row>
    <row r="2225">
      <c r="A2225" s="25"/>
      <c r="B2225" s="297"/>
      <c r="C2225" s="25"/>
      <c r="D2225" s="25"/>
      <c r="E2225" s="25"/>
      <c r="F2225" s="25"/>
      <c r="G2225" s="123"/>
      <c r="H2225" s="123"/>
      <c r="I2225" s="25"/>
      <c r="J2225" s="25"/>
      <c r="K2225" s="367"/>
      <c r="L2225" s="42"/>
      <c r="M2225" s="42"/>
      <c r="N2225" s="42"/>
      <c r="O2225" s="42"/>
      <c r="P2225" s="42"/>
      <c r="Q2225" s="42"/>
      <c r="R2225" s="176"/>
      <c r="S2225" s="42"/>
      <c r="T2225" s="42"/>
      <c r="U2225" s="46"/>
      <c r="V2225" s="42"/>
      <c r="W2225" s="42"/>
      <c r="X2225" s="42"/>
      <c r="Y2225" s="42"/>
      <c r="Z2225" s="42"/>
      <c r="AA2225" s="42"/>
      <c r="AB2225" s="42"/>
      <c r="AC2225" s="42"/>
      <c r="AD2225" s="42"/>
      <c r="AE2225" s="42"/>
      <c r="AF2225" s="42"/>
    </row>
    <row r="2226">
      <c r="A2226" s="25"/>
      <c r="B2226" s="297"/>
      <c r="C2226" s="25"/>
      <c r="D2226" s="25"/>
      <c r="E2226" s="25"/>
      <c r="F2226" s="25"/>
      <c r="G2226" s="123"/>
      <c r="H2226" s="123"/>
      <c r="I2226" s="25"/>
      <c r="J2226" s="25"/>
      <c r="K2226" s="367"/>
      <c r="L2226" s="42"/>
      <c r="M2226" s="42"/>
      <c r="N2226" s="42"/>
      <c r="O2226" s="42"/>
      <c r="P2226" s="42"/>
      <c r="Q2226" s="42"/>
      <c r="R2226" s="176"/>
      <c r="S2226" s="42"/>
      <c r="T2226" s="42"/>
      <c r="U2226" s="46"/>
      <c r="V2226" s="42"/>
      <c r="W2226" s="42"/>
      <c r="X2226" s="42"/>
      <c r="Y2226" s="42"/>
      <c r="Z2226" s="42"/>
      <c r="AA2226" s="42"/>
      <c r="AB2226" s="42"/>
      <c r="AC2226" s="42"/>
      <c r="AD2226" s="42"/>
      <c r="AE2226" s="42"/>
      <c r="AF2226" s="42"/>
    </row>
    <row r="2227">
      <c r="A2227" s="25"/>
      <c r="B2227" s="297"/>
      <c r="C2227" s="25"/>
      <c r="D2227" s="25"/>
      <c r="E2227" s="25"/>
      <c r="F2227" s="25"/>
      <c r="G2227" s="123"/>
      <c r="H2227" s="123"/>
      <c r="I2227" s="25"/>
      <c r="J2227" s="25"/>
      <c r="K2227" s="367"/>
      <c r="L2227" s="42"/>
      <c r="M2227" s="42"/>
      <c r="N2227" s="42"/>
      <c r="O2227" s="42"/>
      <c r="P2227" s="42"/>
      <c r="Q2227" s="42"/>
      <c r="R2227" s="176"/>
      <c r="S2227" s="42"/>
      <c r="T2227" s="42"/>
      <c r="U2227" s="46"/>
      <c r="V2227" s="42"/>
      <c r="W2227" s="42"/>
      <c r="X2227" s="42"/>
      <c r="Y2227" s="42"/>
      <c r="Z2227" s="42"/>
      <c r="AA2227" s="42"/>
      <c r="AB2227" s="42"/>
      <c r="AC2227" s="42"/>
      <c r="AD2227" s="42"/>
      <c r="AE2227" s="42"/>
      <c r="AF2227" s="42"/>
    </row>
    <row r="2228">
      <c r="A2228" s="25"/>
      <c r="B2228" s="297"/>
      <c r="C2228" s="25"/>
      <c r="D2228" s="25"/>
      <c r="E2228" s="25"/>
      <c r="F2228" s="25"/>
      <c r="G2228" s="123"/>
      <c r="H2228" s="123"/>
      <c r="I2228" s="25"/>
      <c r="J2228" s="25"/>
      <c r="K2228" s="367"/>
      <c r="L2228" s="42"/>
      <c r="M2228" s="42"/>
      <c r="N2228" s="42"/>
      <c r="O2228" s="42"/>
      <c r="P2228" s="42"/>
      <c r="Q2228" s="42"/>
      <c r="R2228" s="176"/>
      <c r="S2228" s="42"/>
      <c r="T2228" s="42"/>
      <c r="U2228" s="46"/>
      <c r="V2228" s="42"/>
      <c r="W2228" s="42"/>
      <c r="X2228" s="42"/>
      <c r="Y2228" s="42"/>
      <c r="Z2228" s="42"/>
      <c r="AA2228" s="42"/>
      <c r="AB2228" s="42"/>
      <c r="AC2228" s="42"/>
      <c r="AD2228" s="42"/>
      <c r="AE2228" s="42"/>
      <c r="AF2228" s="42"/>
    </row>
    <row r="2229">
      <c r="A2229" s="25"/>
      <c r="B2229" s="297"/>
      <c r="C2229" s="25"/>
      <c r="D2229" s="25"/>
      <c r="E2229" s="25"/>
      <c r="F2229" s="25"/>
      <c r="G2229" s="123"/>
      <c r="H2229" s="123"/>
      <c r="I2229" s="25"/>
      <c r="J2229" s="25"/>
      <c r="K2229" s="367"/>
      <c r="L2229" s="42"/>
      <c r="M2229" s="42"/>
      <c r="N2229" s="42"/>
      <c r="O2229" s="42"/>
      <c r="P2229" s="42"/>
      <c r="Q2229" s="42"/>
      <c r="R2229" s="176"/>
      <c r="S2229" s="42"/>
      <c r="T2229" s="42"/>
      <c r="U2229" s="46"/>
      <c r="V2229" s="42"/>
      <c r="W2229" s="42"/>
      <c r="X2229" s="42"/>
      <c r="Y2229" s="42"/>
      <c r="Z2229" s="42"/>
      <c r="AA2229" s="42"/>
      <c r="AB2229" s="42"/>
      <c r="AC2229" s="42"/>
      <c r="AD2229" s="42"/>
      <c r="AE2229" s="42"/>
      <c r="AF2229" s="42"/>
    </row>
    <row r="2230">
      <c r="A2230" s="25"/>
      <c r="B2230" s="297"/>
      <c r="C2230" s="25"/>
      <c r="D2230" s="25"/>
      <c r="E2230" s="25"/>
      <c r="F2230" s="25"/>
      <c r="G2230" s="123"/>
      <c r="H2230" s="123"/>
      <c r="I2230" s="25"/>
      <c r="J2230" s="25"/>
      <c r="K2230" s="367"/>
      <c r="L2230" s="42"/>
      <c r="M2230" s="42"/>
      <c r="N2230" s="42"/>
      <c r="O2230" s="42"/>
      <c r="P2230" s="42"/>
      <c r="Q2230" s="42"/>
      <c r="R2230" s="176"/>
      <c r="S2230" s="42"/>
      <c r="T2230" s="42"/>
      <c r="U2230" s="46"/>
      <c r="V2230" s="42"/>
      <c r="W2230" s="42"/>
      <c r="X2230" s="42"/>
      <c r="Y2230" s="42"/>
      <c r="Z2230" s="42"/>
      <c r="AA2230" s="42"/>
      <c r="AB2230" s="42"/>
      <c r="AC2230" s="42"/>
      <c r="AD2230" s="42"/>
      <c r="AE2230" s="42"/>
      <c r="AF2230" s="42"/>
    </row>
    <row r="2231">
      <c r="A2231" s="25"/>
      <c r="B2231" s="297"/>
      <c r="C2231" s="25"/>
      <c r="D2231" s="25"/>
      <c r="E2231" s="25"/>
      <c r="F2231" s="25"/>
      <c r="G2231" s="123"/>
      <c r="H2231" s="123"/>
      <c r="I2231" s="25"/>
      <c r="J2231" s="25"/>
      <c r="K2231" s="367"/>
      <c r="L2231" s="42"/>
      <c r="M2231" s="42"/>
      <c r="N2231" s="42"/>
      <c r="O2231" s="42"/>
      <c r="P2231" s="42"/>
      <c r="Q2231" s="42"/>
      <c r="R2231" s="176"/>
      <c r="S2231" s="42"/>
      <c r="T2231" s="42"/>
      <c r="U2231" s="46"/>
      <c r="V2231" s="42"/>
      <c r="W2231" s="42"/>
      <c r="X2231" s="42"/>
      <c r="Y2231" s="42"/>
      <c r="Z2231" s="42"/>
      <c r="AA2231" s="42"/>
      <c r="AB2231" s="42"/>
      <c r="AC2231" s="42"/>
      <c r="AD2231" s="42"/>
      <c r="AE2231" s="42"/>
      <c r="AF2231" s="42"/>
    </row>
    <row r="2232">
      <c r="A2232" s="25"/>
      <c r="B2232" s="297"/>
      <c r="C2232" s="25"/>
      <c r="D2232" s="25"/>
      <c r="E2232" s="25"/>
      <c r="F2232" s="25"/>
      <c r="G2232" s="123"/>
      <c r="H2232" s="123"/>
      <c r="I2232" s="25"/>
      <c r="J2232" s="25"/>
      <c r="K2232" s="367"/>
      <c r="L2232" s="42"/>
      <c r="M2232" s="42"/>
      <c r="N2232" s="42"/>
      <c r="O2232" s="42"/>
      <c r="P2232" s="42"/>
      <c r="Q2232" s="42"/>
      <c r="R2232" s="176"/>
      <c r="S2232" s="42"/>
      <c r="T2232" s="42"/>
      <c r="U2232" s="46"/>
      <c r="V2232" s="42"/>
      <c r="W2232" s="42"/>
      <c r="X2232" s="42"/>
      <c r="Y2232" s="42"/>
      <c r="Z2232" s="42"/>
      <c r="AA2232" s="42"/>
      <c r="AB2232" s="42"/>
      <c r="AC2232" s="42"/>
      <c r="AD2232" s="42"/>
      <c r="AE2232" s="42"/>
      <c r="AF2232" s="42"/>
    </row>
    <row r="2233">
      <c r="A2233" s="25"/>
      <c r="B2233" s="297"/>
      <c r="C2233" s="25"/>
      <c r="D2233" s="25"/>
      <c r="E2233" s="25"/>
      <c r="F2233" s="25"/>
      <c r="G2233" s="123"/>
      <c r="H2233" s="123"/>
      <c r="I2233" s="25"/>
      <c r="J2233" s="25"/>
      <c r="K2233" s="367"/>
      <c r="L2233" s="42"/>
      <c r="M2233" s="42"/>
      <c r="N2233" s="42"/>
      <c r="O2233" s="42"/>
      <c r="P2233" s="42"/>
      <c r="Q2233" s="42"/>
      <c r="R2233" s="176"/>
      <c r="S2233" s="42"/>
      <c r="T2233" s="42"/>
      <c r="U2233" s="46"/>
      <c r="V2233" s="42"/>
      <c r="W2233" s="42"/>
      <c r="X2233" s="42"/>
      <c r="Y2233" s="42"/>
      <c r="Z2233" s="42"/>
      <c r="AA2233" s="42"/>
      <c r="AB2233" s="42"/>
      <c r="AC2233" s="42"/>
      <c r="AD2233" s="42"/>
      <c r="AE2233" s="42"/>
      <c r="AF2233" s="42"/>
    </row>
    <row r="2234">
      <c r="A2234" s="25"/>
      <c r="B2234" s="297"/>
      <c r="C2234" s="25"/>
      <c r="D2234" s="25"/>
      <c r="E2234" s="25"/>
      <c r="F2234" s="25"/>
      <c r="G2234" s="123"/>
      <c r="H2234" s="123"/>
      <c r="I2234" s="25"/>
      <c r="J2234" s="25"/>
      <c r="K2234" s="367"/>
      <c r="L2234" s="42"/>
      <c r="M2234" s="42"/>
      <c r="N2234" s="42"/>
      <c r="O2234" s="42"/>
      <c r="P2234" s="42"/>
      <c r="Q2234" s="42"/>
      <c r="R2234" s="176"/>
      <c r="S2234" s="42"/>
      <c r="T2234" s="42"/>
      <c r="U2234" s="46"/>
      <c r="V2234" s="42"/>
      <c r="W2234" s="42"/>
      <c r="X2234" s="42"/>
      <c r="Y2234" s="42"/>
      <c r="Z2234" s="42"/>
      <c r="AA2234" s="42"/>
      <c r="AB2234" s="42"/>
      <c r="AC2234" s="42"/>
      <c r="AD2234" s="42"/>
      <c r="AE2234" s="42"/>
      <c r="AF2234" s="42"/>
    </row>
    <row r="2235">
      <c r="A2235" s="25"/>
      <c r="B2235" s="297"/>
      <c r="C2235" s="25"/>
      <c r="D2235" s="25"/>
      <c r="E2235" s="25"/>
      <c r="F2235" s="25"/>
      <c r="G2235" s="123"/>
      <c r="H2235" s="123"/>
      <c r="I2235" s="25"/>
      <c r="J2235" s="25"/>
      <c r="K2235" s="367"/>
      <c r="L2235" s="42"/>
      <c r="M2235" s="42"/>
      <c r="N2235" s="42"/>
      <c r="O2235" s="42"/>
      <c r="P2235" s="42"/>
      <c r="Q2235" s="42"/>
      <c r="R2235" s="176"/>
      <c r="S2235" s="42"/>
      <c r="T2235" s="42"/>
      <c r="U2235" s="46"/>
      <c r="V2235" s="42"/>
      <c r="W2235" s="42"/>
      <c r="X2235" s="42"/>
      <c r="Y2235" s="42"/>
      <c r="Z2235" s="42"/>
      <c r="AA2235" s="42"/>
      <c r="AB2235" s="42"/>
      <c r="AC2235" s="42"/>
      <c r="AD2235" s="42"/>
      <c r="AE2235" s="42"/>
      <c r="AF2235" s="42"/>
    </row>
    <row r="2236">
      <c r="A2236" s="25"/>
      <c r="B2236" s="297"/>
      <c r="C2236" s="25"/>
      <c r="D2236" s="25"/>
      <c r="E2236" s="25"/>
      <c r="F2236" s="25"/>
      <c r="G2236" s="123"/>
      <c r="H2236" s="123"/>
      <c r="I2236" s="25"/>
      <c r="J2236" s="25"/>
      <c r="K2236" s="367"/>
      <c r="L2236" s="42"/>
      <c r="M2236" s="42"/>
      <c r="N2236" s="42"/>
      <c r="O2236" s="42"/>
      <c r="P2236" s="42"/>
      <c r="Q2236" s="42"/>
      <c r="R2236" s="176"/>
      <c r="S2236" s="42"/>
      <c r="T2236" s="42"/>
      <c r="U2236" s="46"/>
      <c r="V2236" s="42"/>
      <c r="W2236" s="42"/>
      <c r="X2236" s="42"/>
      <c r="Y2236" s="42"/>
      <c r="Z2236" s="42"/>
      <c r="AA2236" s="42"/>
      <c r="AB2236" s="42"/>
      <c r="AC2236" s="42"/>
      <c r="AD2236" s="42"/>
      <c r="AE2236" s="42"/>
      <c r="AF2236" s="42"/>
    </row>
    <row r="2237">
      <c r="A2237" s="25"/>
      <c r="B2237" s="297"/>
      <c r="C2237" s="25"/>
      <c r="D2237" s="25"/>
      <c r="E2237" s="25"/>
      <c r="F2237" s="25"/>
      <c r="G2237" s="123"/>
      <c r="H2237" s="123"/>
      <c r="I2237" s="25"/>
      <c r="J2237" s="25"/>
      <c r="K2237" s="367"/>
      <c r="L2237" s="42"/>
      <c r="M2237" s="42"/>
      <c r="N2237" s="42"/>
      <c r="O2237" s="42"/>
      <c r="P2237" s="42"/>
      <c r="Q2237" s="42"/>
      <c r="R2237" s="176"/>
      <c r="S2237" s="42"/>
      <c r="T2237" s="42"/>
      <c r="U2237" s="46"/>
      <c r="V2237" s="42"/>
      <c r="W2237" s="42"/>
      <c r="X2237" s="42"/>
      <c r="Y2237" s="42"/>
      <c r="Z2237" s="42"/>
      <c r="AA2237" s="42"/>
      <c r="AB2237" s="42"/>
      <c r="AC2237" s="42"/>
      <c r="AD2237" s="42"/>
      <c r="AE2237" s="42"/>
      <c r="AF2237" s="42"/>
    </row>
    <row r="2238">
      <c r="A2238" s="25"/>
      <c r="B2238" s="297"/>
      <c r="C2238" s="25"/>
      <c r="D2238" s="25"/>
      <c r="E2238" s="25"/>
      <c r="F2238" s="25"/>
      <c r="G2238" s="123"/>
      <c r="H2238" s="123"/>
      <c r="I2238" s="25"/>
      <c r="J2238" s="25"/>
      <c r="K2238" s="367"/>
      <c r="L2238" s="42"/>
      <c r="M2238" s="42"/>
      <c r="N2238" s="42"/>
      <c r="O2238" s="42"/>
      <c r="P2238" s="42"/>
      <c r="Q2238" s="42"/>
      <c r="R2238" s="176"/>
      <c r="S2238" s="42"/>
      <c r="T2238" s="42"/>
      <c r="U2238" s="46"/>
      <c r="V2238" s="42"/>
      <c r="W2238" s="42"/>
      <c r="X2238" s="42"/>
      <c r="Y2238" s="42"/>
      <c r="Z2238" s="42"/>
      <c r="AA2238" s="42"/>
      <c r="AB2238" s="42"/>
      <c r="AC2238" s="42"/>
      <c r="AD2238" s="42"/>
      <c r="AE2238" s="42"/>
      <c r="AF2238" s="42"/>
    </row>
    <row r="2239">
      <c r="A2239" s="25"/>
      <c r="B2239" s="297"/>
      <c r="C2239" s="25"/>
      <c r="D2239" s="25"/>
      <c r="E2239" s="25"/>
      <c r="F2239" s="25"/>
      <c r="G2239" s="123"/>
      <c r="H2239" s="123"/>
      <c r="I2239" s="25"/>
      <c r="J2239" s="25"/>
      <c r="K2239" s="367"/>
      <c r="L2239" s="42"/>
      <c r="M2239" s="42"/>
      <c r="N2239" s="42"/>
      <c r="O2239" s="42"/>
      <c r="P2239" s="42"/>
      <c r="Q2239" s="42"/>
      <c r="R2239" s="176"/>
      <c r="S2239" s="42"/>
      <c r="T2239" s="42"/>
      <c r="U2239" s="46"/>
      <c r="V2239" s="42"/>
      <c r="W2239" s="42"/>
      <c r="X2239" s="42"/>
      <c r="Y2239" s="42"/>
      <c r="Z2239" s="42"/>
      <c r="AA2239" s="42"/>
      <c r="AB2239" s="42"/>
      <c r="AC2239" s="42"/>
      <c r="AD2239" s="42"/>
      <c r="AE2239" s="42"/>
      <c r="AF2239" s="42"/>
    </row>
    <row r="2240">
      <c r="A2240" s="25"/>
      <c r="B2240" s="297"/>
      <c r="C2240" s="25"/>
      <c r="D2240" s="25"/>
      <c r="E2240" s="25"/>
      <c r="F2240" s="25"/>
      <c r="G2240" s="123"/>
      <c r="H2240" s="123"/>
      <c r="I2240" s="25"/>
      <c r="J2240" s="25"/>
      <c r="K2240" s="367"/>
      <c r="L2240" s="42"/>
      <c r="M2240" s="42"/>
      <c r="N2240" s="42"/>
      <c r="O2240" s="42"/>
      <c r="P2240" s="42"/>
      <c r="Q2240" s="42"/>
      <c r="R2240" s="176"/>
      <c r="S2240" s="42"/>
      <c r="T2240" s="42"/>
      <c r="U2240" s="46"/>
      <c r="V2240" s="42"/>
      <c r="W2240" s="42"/>
      <c r="X2240" s="42"/>
      <c r="Y2240" s="42"/>
      <c r="Z2240" s="42"/>
      <c r="AA2240" s="42"/>
      <c r="AB2240" s="42"/>
      <c r="AC2240" s="42"/>
      <c r="AD2240" s="42"/>
      <c r="AE2240" s="42"/>
      <c r="AF2240" s="42"/>
    </row>
    <row r="2241">
      <c r="A2241" s="25"/>
      <c r="B2241" s="297"/>
      <c r="C2241" s="25"/>
      <c r="D2241" s="25"/>
      <c r="E2241" s="25"/>
      <c r="F2241" s="25"/>
      <c r="G2241" s="123"/>
      <c r="H2241" s="123"/>
      <c r="I2241" s="25"/>
      <c r="J2241" s="25"/>
      <c r="K2241" s="367"/>
      <c r="L2241" s="42"/>
      <c r="M2241" s="42"/>
      <c r="N2241" s="42"/>
      <c r="O2241" s="42"/>
      <c r="P2241" s="42"/>
      <c r="Q2241" s="42"/>
      <c r="R2241" s="176"/>
      <c r="S2241" s="42"/>
      <c r="T2241" s="42"/>
      <c r="U2241" s="46"/>
      <c r="V2241" s="42"/>
      <c r="W2241" s="42"/>
      <c r="X2241" s="42"/>
      <c r="Y2241" s="42"/>
      <c r="Z2241" s="42"/>
      <c r="AA2241" s="42"/>
      <c r="AB2241" s="42"/>
      <c r="AC2241" s="42"/>
      <c r="AD2241" s="42"/>
      <c r="AE2241" s="42"/>
      <c r="AF2241" s="42"/>
    </row>
    <row r="2242">
      <c r="A2242" s="25"/>
      <c r="B2242" s="297"/>
      <c r="C2242" s="25"/>
      <c r="D2242" s="25"/>
      <c r="E2242" s="25"/>
      <c r="F2242" s="25"/>
      <c r="G2242" s="123"/>
      <c r="H2242" s="123"/>
      <c r="I2242" s="25"/>
      <c r="J2242" s="25"/>
      <c r="K2242" s="367"/>
      <c r="L2242" s="42"/>
      <c r="M2242" s="42"/>
      <c r="N2242" s="42"/>
      <c r="O2242" s="42"/>
      <c r="P2242" s="42"/>
      <c r="Q2242" s="42"/>
      <c r="R2242" s="176"/>
      <c r="S2242" s="42"/>
      <c r="T2242" s="42"/>
      <c r="U2242" s="46"/>
      <c r="V2242" s="42"/>
      <c r="W2242" s="42"/>
      <c r="X2242" s="42"/>
      <c r="Y2242" s="42"/>
      <c r="Z2242" s="42"/>
      <c r="AA2242" s="42"/>
      <c r="AB2242" s="42"/>
      <c r="AC2242" s="42"/>
      <c r="AD2242" s="42"/>
      <c r="AE2242" s="42"/>
      <c r="AF2242" s="42"/>
    </row>
    <row r="2243">
      <c r="A2243" s="25"/>
      <c r="B2243" s="297"/>
      <c r="C2243" s="25"/>
      <c r="D2243" s="25"/>
      <c r="E2243" s="25"/>
      <c r="F2243" s="25"/>
      <c r="G2243" s="123"/>
      <c r="H2243" s="123"/>
      <c r="I2243" s="25"/>
      <c r="J2243" s="25"/>
      <c r="K2243" s="367"/>
      <c r="L2243" s="42"/>
      <c r="M2243" s="42"/>
      <c r="N2243" s="42"/>
      <c r="O2243" s="42"/>
      <c r="P2243" s="42"/>
      <c r="Q2243" s="42"/>
      <c r="R2243" s="176"/>
      <c r="S2243" s="42"/>
      <c r="T2243" s="42"/>
      <c r="U2243" s="46"/>
      <c r="V2243" s="42"/>
      <c r="W2243" s="42"/>
      <c r="X2243" s="42"/>
      <c r="Y2243" s="42"/>
      <c r="Z2243" s="42"/>
      <c r="AA2243" s="42"/>
      <c r="AB2243" s="42"/>
      <c r="AC2243" s="42"/>
      <c r="AD2243" s="42"/>
      <c r="AE2243" s="42"/>
      <c r="AF2243" s="42"/>
    </row>
    <row r="2244">
      <c r="A2244" s="25"/>
      <c r="B2244" s="297"/>
      <c r="C2244" s="25"/>
      <c r="D2244" s="25"/>
      <c r="E2244" s="25"/>
      <c r="F2244" s="25"/>
      <c r="G2244" s="123"/>
      <c r="H2244" s="123"/>
      <c r="I2244" s="25"/>
      <c r="J2244" s="25"/>
      <c r="K2244" s="367"/>
      <c r="L2244" s="42"/>
      <c r="M2244" s="42"/>
      <c r="N2244" s="42"/>
      <c r="O2244" s="42"/>
      <c r="P2244" s="42"/>
      <c r="Q2244" s="42"/>
      <c r="R2244" s="176"/>
      <c r="S2244" s="42"/>
      <c r="T2244" s="42"/>
      <c r="U2244" s="46"/>
      <c r="V2244" s="42"/>
      <c r="W2244" s="42"/>
      <c r="X2244" s="42"/>
      <c r="Y2244" s="42"/>
      <c r="Z2244" s="42"/>
      <c r="AA2244" s="42"/>
      <c r="AB2244" s="42"/>
      <c r="AC2244" s="42"/>
      <c r="AD2244" s="42"/>
      <c r="AE2244" s="42"/>
      <c r="AF2244" s="42"/>
    </row>
    <row r="2245">
      <c r="A2245" s="25"/>
      <c r="B2245" s="297"/>
      <c r="C2245" s="25"/>
      <c r="D2245" s="25"/>
      <c r="E2245" s="25"/>
      <c r="F2245" s="25"/>
      <c r="G2245" s="123"/>
      <c r="H2245" s="123"/>
      <c r="I2245" s="25"/>
      <c r="J2245" s="25"/>
      <c r="K2245" s="367"/>
      <c r="L2245" s="42"/>
      <c r="M2245" s="42"/>
      <c r="N2245" s="42"/>
      <c r="O2245" s="42"/>
      <c r="P2245" s="42"/>
      <c r="Q2245" s="42"/>
      <c r="R2245" s="176"/>
      <c r="S2245" s="42"/>
      <c r="T2245" s="42"/>
      <c r="U2245" s="46"/>
      <c r="V2245" s="42"/>
      <c r="W2245" s="42"/>
      <c r="X2245" s="42"/>
      <c r="Y2245" s="42"/>
      <c r="Z2245" s="42"/>
      <c r="AA2245" s="42"/>
      <c r="AB2245" s="42"/>
      <c r="AC2245" s="42"/>
      <c r="AD2245" s="42"/>
      <c r="AE2245" s="42"/>
      <c r="AF2245" s="42"/>
    </row>
    <row r="2246">
      <c r="A2246" s="25"/>
      <c r="B2246" s="297"/>
      <c r="C2246" s="25"/>
      <c r="D2246" s="25"/>
      <c r="E2246" s="25"/>
      <c r="F2246" s="25"/>
      <c r="G2246" s="123"/>
      <c r="H2246" s="123"/>
      <c r="I2246" s="25"/>
      <c r="J2246" s="25"/>
      <c r="K2246" s="367"/>
      <c r="L2246" s="42"/>
      <c r="M2246" s="42"/>
      <c r="N2246" s="42"/>
      <c r="O2246" s="42"/>
      <c r="P2246" s="42"/>
      <c r="Q2246" s="42"/>
      <c r="R2246" s="176"/>
      <c r="S2246" s="42"/>
      <c r="T2246" s="42"/>
      <c r="U2246" s="46"/>
      <c r="V2246" s="42"/>
      <c r="W2246" s="42"/>
      <c r="X2246" s="42"/>
      <c r="Y2246" s="42"/>
      <c r="Z2246" s="42"/>
      <c r="AA2246" s="42"/>
      <c r="AB2246" s="42"/>
      <c r="AC2246" s="42"/>
      <c r="AD2246" s="42"/>
      <c r="AE2246" s="42"/>
      <c r="AF2246" s="42"/>
    </row>
    <row r="2247">
      <c r="A2247" s="25"/>
      <c r="B2247" s="297"/>
      <c r="C2247" s="25"/>
      <c r="D2247" s="25"/>
      <c r="E2247" s="25"/>
      <c r="F2247" s="25"/>
      <c r="G2247" s="123"/>
      <c r="H2247" s="123"/>
      <c r="I2247" s="25"/>
      <c r="J2247" s="25"/>
      <c r="K2247" s="367"/>
      <c r="L2247" s="42"/>
      <c r="M2247" s="42"/>
      <c r="N2247" s="42"/>
      <c r="O2247" s="42"/>
      <c r="P2247" s="42"/>
      <c r="Q2247" s="42"/>
      <c r="R2247" s="176"/>
      <c r="S2247" s="42"/>
      <c r="T2247" s="42"/>
      <c r="U2247" s="46"/>
      <c r="V2247" s="42"/>
      <c r="W2247" s="42"/>
      <c r="X2247" s="42"/>
      <c r="Y2247" s="42"/>
      <c r="Z2247" s="42"/>
      <c r="AA2247" s="42"/>
      <c r="AB2247" s="42"/>
      <c r="AC2247" s="42"/>
      <c r="AD2247" s="42"/>
      <c r="AE2247" s="42"/>
      <c r="AF2247" s="42"/>
    </row>
    <row r="2248">
      <c r="A2248" s="25"/>
      <c r="B2248" s="297"/>
      <c r="C2248" s="25"/>
      <c r="D2248" s="25"/>
      <c r="E2248" s="25"/>
      <c r="F2248" s="25"/>
      <c r="G2248" s="123"/>
      <c r="H2248" s="123"/>
      <c r="I2248" s="25"/>
      <c r="J2248" s="25"/>
      <c r="K2248" s="367"/>
      <c r="L2248" s="42"/>
      <c r="M2248" s="42"/>
      <c r="N2248" s="42"/>
      <c r="O2248" s="42"/>
      <c r="P2248" s="42"/>
      <c r="Q2248" s="42"/>
      <c r="R2248" s="176"/>
      <c r="S2248" s="42"/>
      <c r="T2248" s="42"/>
      <c r="U2248" s="46"/>
      <c r="V2248" s="42"/>
      <c r="W2248" s="42"/>
      <c r="X2248" s="42"/>
      <c r="Y2248" s="42"/>
      <c r="Z2248" s="42"/>
      <c r="AA2248" s="42"/>
      <c r="AB2248" s="42"/>
      <c r="AC2248" s="42"/>
      <c r="AD2248" s="42"/>
      <c r="AE2248" s="42"/>
      <c r="AF2248" s="42"/>
    </row>
    <row r="2249">
      <c r="A2249" s="25"/>
      <c r="B2249" s="297"/>
      <c r="C2249" s="25"/>
      <c r="D2249" s="25"/>
      <c r="E2249" s="25"/>
      <c r="F2249" s="25"/>
      <c r="G2249" s="123"/>
      <c r="H2249" s="123"/>
      <c r="I2249" s="25"/>
      <c r="J2249" s="25"/>
      <c r="K2249" s="367"/>
      <c r="L2249" s="42"/>
      <c r="M2249" s="42"/>
      <c r="N2249" s="42"/>
      <c r="O2249" s="42"/>
      <c r="P2249" s="42"/>
      <c r="Q2249" s="42"/>
      <c r="R2249" s="176"/>
      <c r="S2249" s="42"/>
      <c r="T2249" s="42"/>
      <c r="U2249" s="46"/>
      <c r="V2249" s="42"/>
      <c r="W2249" s="42"/>
      <c r="X2249" s="42"/>
      <c r="Y2249" s="42"/>
      <c r="Z2249" s="42"/>
      <c r="AA2249" s="42"/>
      <c r="AB2249" s="42"/>
      <c r="AC2249" s="42"/>
      <c r="AD2249" s="42"/>
      <c r="AE2249" s="42"/>
      <c r="AF2249" s="42"/>
    </row>
    <row r="2250">
      <c r="A2250" s="25"/>
      <c r="B2250" s="297"/>
      <c r="C2250" s="25"/>
      <c r="D2250" s="25"/>
      <c r="E2250" s="25"/>
      <c r="F2250" s="25"/>
      <c r="G2250" s="123"/>
      <c r="H2250" s="123"/>
      <c r="I2250" s="25"/>
      <c r="J2250" s="25"/>
      <c r="K2250" s="367"/>
      <c r="L2250" s="42"/>
      <c r="M2250" s="42"/>
      <c r="N2250" s="42"/>
      <c r="O2250" s="42"/>
      <c r="P2250" s="42"/>
      <c r="Q2250" s="42"/>
      <c r="R2250" s="176"/>
      <c r="S2250" s="42"/>
      <c r="T2250" s="42"/>
      <c r="U2250" s="46"/>
      <c r="V2250" s="42"/>
      <c r="W2250" s="42"/>
      <c r="X2250" s="42"/>
      <c r="Y2250" s="42"/>
      <c r="Z2250" s="42"/>
      <c r="AA2250" s="42"/>
      <c r="AB2250" s="42"/>
      <c r="AC2250" s="42"/>
      <c r="AD2250" s="42"/>
      <c r="AE2250" s="42"/>
      <c r="AF2250" s="42"/>
    </row>
    <row r="2251">
      <c r="A2251" s="25"/>
      <c r="B2251" s="297"/>
      <c r="C2251" s="25"/>
      <c r="D2251" s="25"/>
      <c r="E2251" s="25"/>
      <c r="F2251" s="25"/>
      <c r="G2251" s="123"/>
      <c r="H2251" s="123"/>
      <c r="I2251" s="25"/>
      <c r="J2251" s="25"/>
      <c r="K2251" s="367"/>
      <c r="L2251" s="42"/>
      <c r="M2251" s="42"/>
      <c r="N2251" s="42"/>
      <c r="O2251" s="42"/>
      <c r="P2251" s="42"/>
      <c r="Q2251" s="42"/>
      <c r="R2251" s="176"/>
      <c r="S2251" s="42"/>
      <c r="T2251" s="42"/>
      <c r="U2251" s="46"/>
      <c r="V2251" s="42"/>
      <c r="W2251" s="42"/>
      <c r="X2251" s="42"/>
      <c r="Y2251" s="42"/>
      <c r="Z2251" s="42"/>
      <c r="AA2251" s="42"/>
      <c r="AB2251" s="42"/>
      <c r="AC2251" s="42"/>
      <c r="AD2251" s="42"/>
      <c r="AE2251" s="42"/>
      <c r="AF2251" s="42"/>
    </row>
    <row r="2252">
      <c r="A2252" s="25"/>
      <c r="B2252" s="297"/>
      <c r="C2252" s="25"/>
      <c r="D2252" s="25"/>
      <c r="E2252" s="25"/>
      <c r="F2252" s="25"/>
      <c r="G2252" s="123"/>
      <c r="H2252" s="123"/>
      <c r="I2252" s="25"/>
      <c r="J2252" s="25"/>
      <c r="K2252" s="367"/>
      <c r="L2252" s="42"/>
      <c r="M2252" s="42"/>
      <c r="N2252" s="42"/>
      <c r="O2252" s="42"/>
      <c r="P2252" s="42"/>
      <c r="Q2252" s="42"/>
      <c r="R2252" s="176"/>
      <c r="S2252" s="42"/>
      <c r="T2252" s="42"/>
      <c r="U2252" s="46"/>
      <c r="V2252" s="42"/>
      <c r="W2252" s="42"/>
      <c r="X2252" s="42"/>
      <c r="Y2252" s="42"/>
      <c r="Z2252" s="42"/>
      <c r="AA2252" s="42"/>
      <c r="AB2252" s="42"/>
      <c r="AC2252" s="42"/>
      <c r="AD2252" s="42"/>
      <c r="AE2252" s="42"/>
      <c r="AF2252" s="42"/>
    </row>
    <row r="2253">
      <c r="A2253" s="25"/>
      <c r="B2253" s="297"/>
      <c r="C2253" s="25"/>
      <c r="D2253" s="25"/>
      <c r="E2253" s="25"/>
      <c r="F2253" s="25"/>
      <c r="G2253" s="123"/>
      <c r="H2253" s="123"/>
      <c r="I2253" s="25"/>
      <c r="J2253" s="25"/>
      <c r="K2253" s="367"/>
      <c r="L2253" s="42"/>
      <c r="M2253" s="42"/>
      <c r="N2253" s="42"/>
      <c r="O2253" s="42"/>
      <c r="P2253" s="42"/>
      <c r="Q2253" s="42"/>
      <c r="R2253" s="176"/>
      <c r="S2253" s="42"/>
      <c r="T2253" s="42"/>
      <c r="U2253" s="46"/>
      <c r="V2253" s="42"/>
      <c r="W2253" s="42"/>
      <c r="X2253" s="42"/>
      <c r="Y2253" s="42"/>
      <c r="Z2253" s="42"/>
      <c r="AA2253" s="42"/>
      <c r="AB2253" s="42"/>
      <c r="AC2253" s="42"/>
      <c r="AD2253" s="42"/>
      <c r="AE2253" s="42"/>
      <c r="AF2253" s="42"/>
    </row>
    <row r="2254">
      <c r="A2254" s="25"/>
      <c r="B2254" s="297"/>
      <c r="C2254" s="25"/>
      <c r="D2254" s="25"/>
      <c r="E2254" s="25"/>
      <c r="F2254" s="25"/>
      <c r="G2254" s="123"/>
      <c r="H2254" s="123"/>
      <c r="I2254" s="25"/>
      <c r="J2254" s="25"/>
      <c r="K2254" s="367"/>
      <c r="L2254" s="42"/>
      <c r="M2254" s="42"/>
      <c r="N2254" s="42"/>
      <c r="O2254" s="42"/>
      <c r="P2254" s="42"/>
      <c r="Q2254" s="42"/>
      <c r="R2254" s="176"/>
      <c r="S2254" s="42"/>
      <c r="T2254" s="42"/>
      <c r="U2254" s="46"/>
      <c r="V2254" s="42"/>
      <c r="W2254" s="42"/>
      <c r="X2254" s="42"/>
      <c r="Y2254" s="42"/>
      <c r="Z2254" s="42"/>
      <c r="AA2254" s="42"/>
      <c r="AB2254" s="42"/>
      <c r="AC2254" s="42"/>
      <c r="AD2254" s="42"/>
      <c r="AE2254" s="42"/>
      <c r="AF2254" s="42"/>
    </row>
    <row r="2255">
      <c r="A2255" s="25"/>
      <c r="B2255" s="297"/>
      <c r="C2255" s="25"/>
      <c r="D2255" s="25"/>
      <c r="E2255" s="25"/>
      <c r="F2255" s="25"/>
      <c r="G2255" s="123"/>
      <c r="H2255" s="123"/>
      <c r="I2255" s="25"/>
      <c r="J2255" s="25"/>
      <c r="K2255" s="367"/>
      <c r="L2255" s="42"/>
      <c r="M2255" s="42"/>
      <c r="N2255" s="42"/>
      <c r="O2255" s="42"/>
      <c r="P2255" s="42"/>
      <c r="Q2255" s="42"/>
      <c r="R2255" s="176"/>
      <c r="S2255" s="42"/>
      <c r="T2255" s="42"/>
      <c r="U2255" s="46"/>
      <c r="V2255" s="42"/>
      <c r="W2255" s="42"/>
      <c r="X2255" s="42"/>
      <c r="Y2255" s="42"/>
      <c r="Z2255" s="42"/>
      <c r="AA2255" s="42"/>
      <c r="AB2255" s="42"/>
      <c r="AC2255" s="42"/>
      <c r="AD2255" s="42"/>
      <c r="AE2255" s="42"/>
      <c r="AF2255" s="42"/>
    </row>
    <row r="2256">
      <c r="A2256" s="25"/>
      <c r="B2256" s="297"/>
      <c r="C2256" s="25"/>
      <c r="D2256" s="25"/>
      <c r="E2256" s="25"/>
      <c r="F2256" s="25"/>
      <c r="G2256" s="123"/>
      <c r="H2256" s="123"/>
      <c r="I2256" s="25"/>
      <c r="J2256" s="25"/>
      <c r="K2256" s="367"/>
      <c r="L2256" s="42"/>
      <c r="M2256" s="42"/>
      <c r="N2256" s="42"/>
      <c r="O2256" s="42"/>
      <c r="P2256" s="42"/>
      <c r="Q2256" s="42"/>
      <c r="R2256" s="176"/>
      <c r="S2256" s="42"/>
      <c r="T2256" s="42"/>
      <c r="U2256" s="46"/>
      <c r="V2256" s="42"/>
      <c r="W2256" s="42"/>
      <c r="X2256" s="42"/>
      <c r="Y2256" s="42"/>
      <c r="Z2256" s="42"/>
      <c r="AA2256" s="42"/>
      <c r="AB2256" s="42"/>
      <c r="AC2256" s="42"/>
      <c r="AD2256" s="42"/>
      <c r="AE2256" s="42"/>
      <c r="AF2256" s="42"/>
    </row>
    <row r="2257">
      <c r="A2257" s="25"/>
      <c r="B2257" s="297"/>
      <c r="C2257" s="25"/>
      <c r="D2257" s="25"/>
      <c r="E2257" s="25"/>
      <c r="F2257" s="25"/>
      <c r="G2257" s="123"/>
      <c r="H2257" s="123"/>
      <c r="I2257" s="25"/>
      <c r="J2257" s="25"/>
      <c r="K2257" s="367"/>
      <c r="L2257" s="42"/>
      <c r="M2257" s="42"/>
      <c r="N2257" s="42"/>
      <c r="O2257" s="42"/>
      <c r="P2257" s="42"/>
      <c r="Q2257" s="42"/>
      <c r="R2257" s="176"/>
      <c r="S2257" s="42"/>
      <c r="T2257" s="42"/>
      <c r="U2257" s="46"/>
      <c r="V2257" s="42"/>
      <c r="W2257" s="42"/>
      <c r="X2257" s="42"/>
      <c r="Y2257" s="42"/>
      <c r="Z2257" s="42"/>
      <c r="AA2257" s="42"/>
      <c r="AB2257" s="42"/>
      <c r="AC2257" s="42"/>
      <c r="AD2257" s="42"/>
      <c r="AE2257" s="42"/>
      <c r="AF2257" s="42"/>
    </row>
    <row r="2258">
      <c r="A2258" s="25"/>
      <c r="B2258" s="297"/>
      <c r="C2258" s="25"/>
      <c r="D2258" s="25"/>
      <c r="E2258" s="25"/>
      <c r="F2258" s="25"/>
      <c r="G2258" s="123"/>
      <c r="H2258" s="123"/>
      <c r="I2258" s="25"/>
      <c r="J2258" s="25"/>
      <c r="K2258" s="367"/>
      <c r="L2258" s="42"/>
      <c r="M2258" s="42"/>
      <c r="N2258" s="42"/>
      <c r="O2258" s="42"/>
      <c r="P2258" s="42"/>
      <c r="Q2258" s="42"/>
      <c r="R2258" s="176"/>
      <c r="S2258" s="42"/>
      <c r="T2258" s="42"/>
      <c r="U2258" s="46"/>
      <c r="V2258" s="42"/>
      <c r="W2258" s="42"/>
      <c r="X2258" s="42"/>
      <c r="Y2258" s="42"/>
      <c r="Z2258" s="42"/>
      <c r="AA2258" s="42"/>
      <c r="AB2258" s="42"/>
      <c r="AC2258" s="42"/>
      <c r="AD2258" s="42"/>
      <c r="AE2258" s="42"/>
      <c r="AF2258" s="42"/>
    </row>
    <row r="2259">
      <c r="A2259" s="25"/>
      <c r="B2259" s="297"/>
      <c r="C2259" s="25"/>
      <c r="D2259" s="25"/>
      <c r="E2259" s="25"/>
      <c r="F2259" s="25"/>
      <c r="G2259" s="123"/>
      <c r="H2259" s="123"/>
      <c r="I2259" s="25"/>
      <c r="J2259" s="25"/>
      <c r="K2259" s="367"/>
      <c r="L2259" s="42"/>
      <c r="M2259" s="42"/>
      <c r="N2259" s="42"/>
      <c r="O2259" s="42"/>
      <c r="P2259" s="42"/>
      <c r="Q2259" s="42"/>
      <c r="R2259" s="176"/>
      <c r="S2259" s="42"/>
      <c r="T2259" s="42"/>
      <c r="U2259" s="46"/>
      <c r="V2259" s="42"/>
      <c r="W2259" s="42"/>
      <c r="X2259" s="42"/>
      <c r="Y2259" s="42"/>
      <c r="Z2259" s="42"/>
      <c r="AA2259" s="42"/>
      <c r="AB2259" s="42"/>
      <c r="AC2259" s="42"/>
      <c r="AD2259" s="42"/>
      <c r="AE2259" s="42"/>
      <c r="AF2259" s="42"/>
    </row>
    <row r="2260">
      <c r="A2260" s="25"/>
      <c r="B2260" s="297"/>
      <c r="C2260" s="25"/>
      <c r="D2260" s="25"/>
      <c r="E2260" s="25"/>
      <c r="F2260" s="25"/>
      <c r="G2260" s="123"/>
      <c r="H2260" s="123"/>
      <c r="I2260" s="25"/>
      <c r="J2260" s="25"/>
      <c r="K2260" s="367"/>
      <c r="L2260" s="42"/>
      <c r="M2260" s="42"/>
      <c r="N2260" s="42"/>
      <c r="O2260" s="42"/>
      <c r="P2260" s="42"/>
      <c r="Q2260" s="42"/>
      <c r="R2260" s="176"/>
      <c r="S2260" s="42"/>
      <c r="T2260" s="42"/>
      <c r="U2260" s="46"/>
      <c r="V2260" s="42"/>
      <c r="W2260" s="42"/>
      <c r="X2260" s="42"/>
      <c r="Y2260" s="42"/>
      <c r="Z2260" s="42"/>
      <c r="AA2260" s="42"/>
      <c r="AB2260" s="42"/>
      <c r="AC2260" s="42"/>
      <c r="AD2260" s="42"/>
      <c r="AE2260" s="42"/>
      <c r="AF2260" s="42"/>
    </row>
    <row r="2261">
      <c r="A2261" s="25"/>
      <c r="B2261" s="297"/>
      <c r="C2261" s="25"/>
      <c r="D2261" s="25"/>
      <c r="E2261" s="25"/>
      <c r="F2261" s="25"/>
      <c r="G2261" s="123"/>
      <c r="H2261" s="123"/>
      <c r="I2261" s="25"/>
      <c r="J2261" s="25"/>
      <c r="K2261" s="367"/>
      <c r="L2261" s="42"/>
      <c r="M2261" s="42"/>
      <c r="N2261" s="42"/>
      <c r="O2261" s="42"/>
      <c r="P2261" s="42"/>
      <c r="Q2261" s="42"/>
      <c r="R2261" s="176"/>
      <c r="S2261" s="42"/>
      <c r="T2261" s="42"/>
      <c r="U2261" s="46"/>
      <c r="V2261" s="42"/>
      <c r="W2261" s="42"/>
      <c r="X2261" s="42"/>
      <c r="Y2261" s="42"/>
      <c r="Z2261" s="42"/>
      <c r="AA2261" s="42"/>
      <c r="AB2261" s="42"/>
      <c r="AC2261" s="42"/>
      <c r="AD2261" s="42"/>
      <c r="AE2261" s="42"/>
      <c r="AF2261" s="42"/>
    </row>
    <row r="2262">
      <c r="A2262" s="25"/>
      <c r="B2262" s="297"/>
      <c r="C2262" s="25"/>
      <c r="D2262" s="25"/>
      <c r="E2262" s="25"/>
      <c r="F2262" s="25"/>
      <c r="G2262" s="123"/>
      <c r="H2262" s="123"/>
      <c r="I2262" s="25"/>
      <c r="J2262" s="25"/>
      <c r="K2262" s="367"/>
      <c r="L2262" s="42"/>
      <c r="M2262" s="42"/>
      <c r="N2262" s="42"/>
      <c r="O2262" s="42"/>
      <c r="P2262" s="42"/>
      <c r="Q2262" s="42"/>
      <c r="R2262" s="176"/>
      <c r="S2262" s="42"/>
      <c r="T2262" s="42"/>
      <c r="U2262" s="46"/>
      <c r="V2262" s="42"/>
      <c r="W2262" s="42"/>
      <c r="X2262" s="42"/>
      <c r="Y2262" s="42"/>
      <c r="Z2262" s="42"/>
      <c r="AA2262" s="42"/>
      <c r="AB2262" s="42"/>
      <c r="AC2262" s="42"/>
      <c r="AD2262" s="42"/>
      <c r="AE2262" s="42"/>
      <c r="AF2262" s="42"/>
    </row>
    <row r="2263">
      <c r="A2263" s="25"/>
      <c r="B2263" s="297"/>
      <c r="C2263" s="25"/>
      <c r="D2263" s="25"/>
      <c r="E2263" s="25"/>
      <c r="F2263" s="25"/>
      <c r="G2263" s="123"/>
      <c r="H2263" s="123"/>
      <c r="I2263" s="25"/>
      <c r="J2263" s="25"/>
      <c r="K2263" s="367"/>
      <c r="L2263" s="42"/>
      <c r="M2263" s="42"/>
      <c r="N2263" s="42"/>
      <c r="O2263" s="42"/>
      <c r="P2263" s="42"/>
      <c r="Q2263" s="42"/>
      <c r="R2263" s="176"/>
      <c r="S2263" s="42"/>
      <c r="T2263" s="42"/>
      <c r="U2263" s="46"/>
      <c r="V2263" s="42"/>
      <c r="W2263" s="42"/>
      <c r="X2263" s="42"/>
      <c r="Y2263" s="42"/>
      <c r="Z2263" s="42"/>
      <c r="AA2263" s="42"/>
      <c r="AB2263" s="42"/>
      <c r="AC2263" s="42"/>
      <c r="AD2263" s="42"/>
      <c r="AE2263" s="42"/>
      <c r="AF2263" s="42"/>
    </row>
    <row r="2264">
      <c r="A2264" s="25"/>
      <c r="B2264" s="297"/>
      <c r="C2264" s="25"/>
      <c r="D2264" s="25"/>
      <c r="E2264" s="25"/>
      <c r="F2264" s="25"/>
      <c r="G2264" s="123"/>
      <c r="H2264" s="123"/>
      <c r="I2264" s="25"/>
      <c r="J2264" s="25"/>
      <c r="K2264" s="367"/>
      <c r="L2264" s="42"/>
      <c r="M2264" s="42"/>
      <c r="N2264" s="42"/>
      <c r="O2264" s="42"/>
      <c r="P2264" s="42"/>
      <c r="Q2264" s="42"/>
      <c r="R2264" s="176"/>
      <c r="S2264" s="42"/>
      <c r="T2264" s="42"/>
      <c r="U2264" s="46"/>
      <c r="V2264" s="42"/>
      <c r="W2264" s="42"/>
      <c r="X2264" s="42"/>
      <c r="Y2264" s="42"/>
      <c r="Z2264" s="42"/>
      <c r="AA2264" s="42"/>
      <c r="AB2264" s="42"/>
      <c r="AC2264" s="42"/>
      <c r="AD2264" s="42"/>
      <c r="AE2264" s="42"/>
      <c r="AF2264" s="42"/>
    </row>
    <row r="2265">
      <c r="A2265" s="25"/>
      <c r="B2265" s="297"/>
      <c r="C2265" s="25"/>
      <c r="D2265" s="25"/>
      <c r="E2265" s="25"/>
      <c r="F2265" s="25"/>
      <c r="G2265" s="123"/>
      <c r="H2265" s="123"/>
      <c r="I2265" s="25"/>
      <c r="J2265" s="25"/>
      <c r="K2265" s="367"/>
      <c r="L2265" s="42"/>
      <c r="M2265" s="42"/>
      <c r="N2265" s="42"/>
      <c r="O2265" s="42"/>
      <c r="P2265" s="42"/>
      <c r="Q2265" s="42"/>
      <c r="R2265" s="176"/>
      <c r="S2265" s="42"/>
      <c r="T2265" s="42"/>
      <c r="U2265" s="46"/>
      <c r="V2265" s="42"/>
      <c r="W2265" s="42"/>
      <c r="X2265" s="42"/>
      <c r="Y2265" s="42"/>
      <c r="Z2265" s="42"/>
      <c r="AA2265" s="42"/>
      <c r="AB2265" s="42"/>
      <c r="AC2265" s="42"/>
      <c r="AD2265" s="42"/>
      <c r="AE2265" s="42"/>
      <c r="AF2265" s="42"/>
    </row>
    <row r="2266">
      <c r="A2266" s="25"/>
      <c r="B2266" s="297"/>
      <c r="C2266" s="25"/>
      <c r="D2266" s="25"/>
      <c r="E2266" s="25"/>
      <c r="F2266" s="25"/>
      <c r="G2266" s="123"/>
      <c r="H2266" s="123"/>
      <c r="I2266" s="25"/>
      <c r="J2266" s="25"/>
      <c r="K2266" s="367"/>
      <c r="L2266" s="42"/>
      <c r="M2266" s="42"/>
      <c r="N2266" s="42"/>
      <c r="O2266" s="42"/>
      <c r="P2266" s="42"/>
      <c r="Q2266" s="42"/>
      <c r="R2266" s="176"/>
      <c r="S2266" s="42"/>
      <c r="T2266" s="42"/>
      <c r="U2266" s="46"/>
      <c r="V2266" s="42"/>
      <c r="W2266" s="42"/>
      <c r="X2266" s="42"/>
      <c r="Y2266" s="42"/>
      <c r="Z2266" s="42"/>
      <c r="AA2266" s="42"/>
      <c r="AB2266" s="42"/>
      <c r="AC2266" s="42"/>
      <c r="AD2266" s="42"/>
      <c r="AE2266" s="42"/>
      <c r="AF2266" s="42"/>
    </row>
    <row r="2267">
      <c r="A2267" s="25"/>
      <c r="B2267" s="297"/>
      <c r="C2267" s="25"/>
      <c r="D2267" s="25"/>
      <c r="E2267" s="25"/>
      <c r="F2267" s="25"/>
      <c r="G2267" s="123"/>
      <c r="H2267" s="123"/>
      <c r="I2267" s="25"/>
      <c r="J2267" s="25"/>
      <c r="K2267" s="367"/>
      <c r="L2267" s="42"/>
      <c r="M2267" s="42"/>
      <c r="N2267" s="42"/>
      <c r="O2267" s="42"/>
      <c r="P2267" s="42"/>
      <c r="Q2267" s="42"/>
      <c r="R2267" s="176"/>
      <c r="S2267" s="42"/>
      <c r="T2267" s="42"/>
      <c r="U2267" s="46"/>
      <c r="V2267" s="42"/>
      <c r="W2267" s="42"/>
      <c r="X2267" s="42"/>
      <c r="Y2267" s="42"/>
      <c r="Z2267" s="42"/>
      <c r="AA2267" s="42"/>
      <c r="AB2267" s="42"/>
      <c r="AC2267" s="42"/>
      <c r="AD2267" s="42"/>
      <c r="AE2267" s="42"/>
      <c r="AF2267" s="42"/>
    </row>
    <row r="2268">
      <c r="A2268" s="25"/>
      <c r="B2268" s="297"/>
      <c r="C2268" s="25"/>
      <c r="D2268" s="25"/>
      <c r="E2268" s="25"/>
      <c r="F2268" s="25"/>
      <c r="G2268" s="123"/>
      <c r="H2268" s="123"/>
      <c r="I2268" s="25"/>
      <c r="J2268" s="25"/>
      <c r="K2268" s="367"/>
      <c r="L2268" s="42"/>
      <c r="M2268" s="42"/>
      <c r="N2268" s="42"/>
      <c r="O2268" s="42"/>
      <c r="P2268" s="42"/>
      <c r="Q2268" s="42"/>
      <c r="R2268" s="176"/>
      <c r="S2268" s="42"/>
      <c r="T2268" s="42"/>
      <c r="U2268" s="46"/>
      <c r="V2268" s="42"/>
      <c r="W2268" s="42"/>
      <c r="X2268" s="42"/>
      <c r="Y2268" s="42"/>
      <c r="Z2268" s="42"/>
      <c r="AA2268" s="42"/>
      <c r="AB2268" s="42"/>
      <c r="AC2268" s="42"/>
      <c r="AD2268" s="42"/>
      <c r="AE2268" s="42"/>
      <c r="AF2268" s="42"/>
    </row>
    <row r="2269">
      <c r="A2269" s="25"/>
      <c r="B2269" s="297"/>
      <c r="C2269" s="25"/>
      <c r="D2269" s="25"/>
      <c r="E2269" s="25"/>
      <c r="F2269" s="25"/>
      <c r="G2269" s="123"/>
      <c r="H2269" s="123"/>
      <c r="I2269" s="25"/>
      <c r="J2269" s="25"/>
      <c r="K2269" s="367"/>
      <c r="L2269" s="42"/>
      <c r="M2269" s="42"/>
      <c r="N2269" s="42"/>
      <c r="O2269" s="42"/>
      <c r="P2269" s="42"/>
      <c r="Q2269" s="42"/>
      <c r="R2269" s="176"/>
      <c r="S2269" s="42"/>
      <c r="T2269" s="42"/>
      <c r="U2269" s="46"/>
      <c r="V2269" s="42"/>
      <c r="W2269" s="42"/>
      <c r="X2269" s="42"/>
      <c r="Y2269" s="42"/>
      <c r="Z2269" s="42"/>
      <c r="AA2269" s="42"/>
      <c r="AB2269" s="42"/>
      <c r="AC2269" s="42"/>
      <c r="AD2269" s="42"/>
      <c r="AE2269" s="42"/>
      <c r="AF2269" s="42"/>
    </row>
    <row r="2270">
      <c r="A2270" s="25"/>
      <c r="B2270" s="297"/>
      <c r="C2270" s="25"/>
      <c r="D2270" s="25"/>
      <c r="E2270" s="25"/>
      <c r="F2270" s="25"/>
      <c r="G2270" s="123"/>
      <c r="H2270" s="123"/>
      <c r="I2270" s="25"/>
      <c r="J2270" s="25"/>
      <c r="K2270" s="367"/>
      <c r="L2270" s="42"/>
      <c r="M2270" s="42"/>
      <c r="N2270" s="42"/>
      <c r="O2270" s="42"/>
      <c r="P2270" s="42"/>
      <c r="Q2270" s="42"/>
      <c r="R2270" s="176"/>
      <c r="S2270" s="42"/>
      <c r="T2270" s="42"/>
      <c r="U2270" s="46"/>
      <c r="V2270" s="42"/>
      <c r="W2270" s="42"/>
      <c r="X2270" s="42"/>
      <c r="Y2270" s="42"/>
      <c r="Z2270" s="42"/>
      <c r="AA2270" s="42"/>
      <c r="AB2270" s="42"/>
      <c r="AC2270" s="42"/>
      <c r="AD2270" s="42"/>
      <c r="AE2270" s="42"/>
      <c r="AF2270" s="42"/>
    </row>
    <row r="2271">
      <c r="A2271" s="25"/>
      <c r="B2271" s="297"/>
      <c r="C2271" s="25"/>
      <c r="D2271" s="25"/>
      <c r="E2271" s="25"/>
      <c r="F2271" s="25"/>
      <c r="G2271" s="123"/>
      <c r="H2271" s="123"/>
      <c r="I2271" s="25"/>
      <c r="J2271" s="25"/>
      <c r="K2271" s="367"/>
      <c r="L2271" s="42"/>
      <c r="M2271" s="42"/>
      <c r="N2271" s="42"/>
      <c r="O2271" s="42"/>
      <c r="P2271" s="42"/>
      <c r="Q2271" s="42"/>
      <c r="R2271" s="176"/>
      <c r="S2271" s="42"/>
      <c r="T2271" s="42"/>
      <c r="U2271" s="46"/>
      <c r="V2271" s="42"/>
      <c r="W2271" s="42"/>
      <c r="X2271" s="42"/>
      <c r="Y2271" s="42"/>
      <c r="Z2271" s="42"/>
      <c r="AA2271" s="42"/>
      <c r="AB2271" s="42"/>
      <c r="AC2271" s="42"/>
      <c r="AD2271" s="42"/>
      <c r="AE2271" s="42"/>
      <c r="AF2271" s="42"/>
    </row>
    <row r="2272">
      <c r="A2272" s="25"/>
      <c r="B2272" s="297"/>
      <c r="C2272" s="25"/>
      <c r="D2272" s="25"/>
      <c r="E2272" s="25"/>
      <c r="F2272" s="25"/>
      <c r="G2272" s="123"/>
      <c r="H2272" s="123"/>
      <c r="I2272" s="25"/>
      <c r="J2272" s="25"/>
      <c r="K2272" s="367"/>
      <c r="L2272" s="42"/>
      <c r="M2272" s="42"/>
      <c r="N2272" s="42"/>
      <c r="O2272" s="42"/>
      <c r="P2272" s="42"/>
      <c r="Q2272" s="42"/>
      <c r="R2272" s="176"/>
      <c r="S2272" s="42"/>
      <c r="T2272" s="42"/>
      <c r="U2272" s="46"/>
      <c r="V2272" s="42"/>
      <c r="W2272" s="42"/>
      <c r="X2272" s="42"/>
      <c r="Y2272" s="42"/>
      <c r="Z2272" s="42"/>
      <c r="AA2272" s="42"/>
      <c r="AB2272" s="42"/>
      <c r="AC2272" s="42"/>
      <c r="AD2272" s="42"/>
      <c r="AE2272" s="42"/>
      <c r="AF2272" s="42"/>
    </row>
    <row r="2273">
      <c r="A2273" s="25"/>
      <c r="B2273" s="297"/>
      <c r="C2273" s="25"/>
      <c r="D2273" s="25"/>
      <c r="E2273" s="25"/>
      <c r="F2273" s="25"/>
      <c r="G2273" s="123"/>
      <c r="H2273" s="123"/>
      <c r="I2273" s="25"/>
      <c r="J2273" s="25"/>
      <c r="K2273" s="367"/>
      <c r="L2273" s="42"/>
      <c r="M2273" s="42"/>
      <c r="N2273" s="42"/>
      <c r="O2273" s="42"/>
      <c r="P2273" s="42"/>
      <c r="Q2273" s="42"/>
      <c r="R2273" s="176"/>
      <c r="S2273" s="42"/>
      <c r="T2273" s="42"/>
      <c r="U2273" s="46"/>
      <c r="V2273" s="42"/>
      <c r="W2273" s="42"/>
      <c r="X2273" s="42"/>
      <c r="Y2273" s="42"/>
      <c r="Z2273" s="42"/>
      <c r="AA2273" s="42"/>
      <c r="AB2273" s="42"/>
      <c r="AC2273" s="42"/>
      <c r="AD2273" s="42"/>
      <c r="AE2273" s="42"/>
      <c r="AF2273" s="42"/>
    </row>
    <row r="2274">
      <c r="A2274" s="25"/>
      <c r="B2274" s="297"/>
      <c r="C2274" s="25"/>
      <c r="D2274" s="25"/>
      <c r="E2274" s="25"/>
      <c r="F2274" s="25"/>
      <c r="G2274" s="123"/>
      <c r="H2274" s="123"/>
      <c r="I2274" s="25"/>
      <c r="J2274" s="25"/>
      <c r="K2274" s="367"/>
      <c r="L2274" s="42"/>
      <c r="M2274" s="42"/>
      <c r="N2274" s="42"/>
      <c r="O2274" s="42"/>
      <c r="P2274" s="42"/>
      <c r="Q2274" s="42"/>
      <c r="R2274" s="176"/>
      <c r="S2274" s="42"/>
      <c r="T2274" s="42"/>
      <c r="U2274" s="46"/>
      <c r="V2274" s="42"/>
      <c r="W2274" s="42"/>
      <c r="X2274" s="42"/>
      <c r="Y2274" s="42"/>
      <c r="Z2274" s="42"/>
      <c r="AA2274" s="42"/>
      <c r="AB2274" s="42"/>
      <c r="AC2274" s="42"/>
      <c r="AD2274" s="42"/>
      <c r="AE2274" s="42"/>
      <c r="AF2274" s="42"/>
    </row>
    <row r="2275">
      <c r="A2275" s="25"/>
      <c r="B2275" s="297"/>
      <c r="C2275" s="25"/>
      <c r="D2275" s="25"/>
      <c r="E2275" s="25"/>
      <c r="F2275" s="25"/>
      <c r="G2275" s="123"/>
      <c r="H2275" s="123"/>
      <c r="I2275" s="25"/>
      <c r="J2275" s="25"/>
      <c r="K2275" s="367"/>
      <c r="L2275" s="42"/>
      <c r="M2275" s="42"/>
      <c r="N2275" s="42"/>
      <c r="O2275" s="42"/>
      <c r="P2275" s="42"/>
      <c r="Q2275" s="42"/>
      <c r="R2275" s="176"/>
      <c r="S2275" s="42"/>
      <c r="T2275" s="42"/>
      <c r="U2275" s="46"/>
      <c r="V2275" s="42"/>
      <c r="W2275" s="42"/>
      <c r="X2275" s="42"/>
      <c r="Y2275" s="42"/>
      <c r="Z2275" s="42"/>
      <c r="AA2275" s="42"/>
      <c r="AB2275" s="42"/>
      <c r="AC2275" s="42"/>
      <c r="AD2275" s="42"/>
      <c r="AE2275" s="42"/>
      <c r="AF2275" s="42"/>
    </row>
    <row r="2276">
      <c r="A2276" s="25"/>
      <c r="B2276" s="297"/>
      <c r="C2276" s="25"/>
      <c r="D2276" s="25"/>
      <c r="E2276" s="25"/>
      <c r="F2276" s="25"/>
      <c r="G2276" s="123"/>
      <c r="H2276" s="123"/>
      <c r="I2276" s="25"/>
      <c r="J2276" s="25"/>
      <c r="K2276" s="367"/>
      <c r="L2276" s="42"/>
      <c r="M2276" s="42"/>
      <c r="N2276" s="42"/>
      <c r="O2276" s="42"/>
      <c r="P2276" s="42"/>
      <c r="Q2276" s="42"/>
      <c r="R2276" s="176"/>
      <c r="S2276" s="42"/>
      <c r="T2276" s="42"/>
      <c r="U2276" s="46"/>
      <c r="V2276" s="42"/>
      <c r="W2276" s="42"/>
      <c r="X2276" s="42"/>
      <c r="Y2276" s="42"/>
      <c r="Z2276" s="42"/>
      <c r="AA2276" s="42"/>
      <c r="AB2276" s="42"/>
      <c r="AC2276" s="42"/>
      <c r="AD2276" s="42"/>
      <c r="AE2276" s="42"/>
      <c r="AF2276" s="42"/>
    </row>
    <row r="2277">
      <c r="A2277" s="25"/>
      <c r="B2277" s="297"/>
      <c r="C2277" s="25"/>
      <c r="D2277" s="25"/>
      <c r="E2277" s="25"/>
      <c r="F2277" s="25"/>
      <c r="G2277" s="123"/>
      <c r="H2277" s="123"/>
      <c r="I2277" s="25"/>
      <c r="J2277" s="25"/>
      <c r="K2277" s="367"/>
      <c r="L2277" s="42"/>
      <c r="M2277" s="42"/>
      <c r="N2277" s="42"/>
      <c r="O2277" s="42"/>
      <c r="P2277" s="42"/>
      <c r="Q2277" s="42"/>
      <c r="R2277" s="176"/>
      <c r="S2277" s="42"/>
      <c r="T2277" s="42"/>
      <c r="U2277" s="46"/>
      <c r="V2277" s="42"/>
      <c r="W2277" s="42"/>
      <c r="X2277" s="42"/>
      <c r="Y2277" s="42"/>
      <c r="Z2277" s="42"/>
      <c r="AA2277" s="42"/>
      <c r="AB2277" s="42"/>
      <c r="AC2277" s="42"/>
      <c r="AD2277" s="42"/>
      <c r="AE2277" s="42"/>
      <c r="AF2277" s="42"/>
    </row>
    <row r="2278">
      <c r="A2278" s="25"/>
      <c r="B2278" s="297"/>
      <c r="C2278" s="25"/>
      <c r="D2278" s="25"/>
      <c r="E2278" s="25"/>
      <c r="F2278" s="25"/>
      <c r="G2278" s="123"/>
      <c r="H2278" s="123"/>
      <c r="I2278" s="25"/>
      <c r="J2278" s="25"/>
      <c r="K2278" s="367"/>
      <c r="L2278" s="42"/>
      <c r="M2278" s="42"/>
      <c r="N2278" s="42"/>
      <c r="O2278" s="42"/>
      <c r="P2278" s="42"/>
      <c r="Q2278" s="42"/>
      <c r="R2278" s="176"/>
      <c r="S2278" s="42"/>
      <c r="T2278" s="42"/>
      <c r="U2278" s="46"/>
      <c r="V2278" s="42"/>
      <c r="W2278" s="42"/>
      <c r="X2278" s="42"/>
      <c r="Y2278" s="42"/>
      <c r="Z2278" s="42"/>
      <c r="AA2278" s="42"/>
      <c r="AB2278" s="42"/>
      <c r="AC2278" s="42"/>
      <c r="AD2278" s="42"/>
      <c r="AE2278" s="42"/>
      <c r="AF2278" s="42"/>
    </row>
    <row r="2279">
      <c r="A2279" s="25"/>
      <c r="B2279" s="297"/>
      <c r="C2279" s="25"/>
      <c r="D2279" s="25"/>
      <c r="E2279" s="25"/>
      <c r="F2279" s="25"/>
      <c r="G2279" s="123"/>
      <c r="H2279" s="123"/>
      <c r="I2279" s="25"/>
      <c r="J2279" s="25"/>
      <c r="K2279" s="367"/>
      <c r="L2279" s="42"/>
      <c r="M2279" s="42"/>
      <c r="N2279" s="42"/>
      <c r="O2279" s="42"/>
      <c r="P2279" s="42"/>
      <c r="Q2279" s="42"/>
      <c r="R2279" s="176"/>
      <c r="S2279" s="42"/>
      <c r="T2279" s="42"/>
      <c r="U2279" s="46"/>
      <c r="V2279" s="42"/>
      <c r="W2279" s="42"/>
      <c r="X2279" s="42"/>
      <c r="Y2279" s="42"/>
      <c r="Z2279" s="42"/>
      <c r="AA2279" s="42"/>
      <c r="AB2279" s="42"/>
      <c r="AC2279" s="42"/>
      <c r="AD2279" s="42"/>
      <c r="AE2279" s="42"/>
      <c r="AF2279" s="42"/>
    </row>
    <row r="2280">
      <c r="A2280" s="25"/>
      <c r="B2280" s="297"/>
      <c r="C2280" s="25"/>
      <c r="D2280" s="25"/>
      <c r="E2280" s="25"/>
      <c r="F2280" s="25"/>
      <c r="G2280" s="123"/>
      <c r="H2280" s="123"/>
      <c r="I2280" s="25"/>
      <c r="J2280" s="25"/>
      <c r="K2280" s="367"/>
      <c r="L2280" s="42"/>
      <c r="M2280" s="42"/>
      <c r="N2280" s="42"/>
      <c r="O2280" s="42"/>
      <c r="P2280" s="42"/>
      <c r="Q2280" s="42"/>
      <c r="R2280" s="176"/>
      <c r="S2280" s="42"/>
      <c r="T2280" s="42"/>
      <c r="U2280" s="46"/>
      <c r="V2280" s="42"/>
      <c r="W2280" s="42"/>
      <c r="X2280" s="42"/>
      <c r="Y2280" s="42"/>
      <c r="Z2280" s="42"/>
      <c r="AA2280" s="42"/>
      <c r="AB2280" s="42"/>
      <c r="AC2280" s="42"/>
      <c r="AD2280" s="42"/>
      <c r="AE2280" s="42"/>
      <c r="AF2280" s="42"/>
    </row>
    <row r="2281">
      <c r="A2281" s="25"/>
      <c r="B2281" s="297"/>
      <c r="C2281" s="25"/>
      <c r="D2281" s="25"/>
      <c r="E2281" s="25"/>
      <c r="F2281" s="25"/>
      <c r="G2281" s="123"/>
      <c r="H2281" s="123"/>
      <c r="I2281" s="25"/>
      <c r="J2281" s="25"/>
      <c r="K2281" s="367"/>
      <c r="L2281" s="42"/>
      <c r="M2281" s="42"/>
      <c r="N2281" s="42"/>
      <c r="O2281" s="42"/>
      <c r="P2281" s="42"/>
      <c r="Q2281" s="42"/>
      <c r="R2281" s="176"/>
      <c r="S2281" s="42"/>
      <c r="T2281" s="42"/>
      <c r="U2281" s="46"/>
      <c r="V2281" s="42"/>
      <c r="W2281" s="42"/>
      <c r="X2281" s="42"/>
      <c r="Y2281" s="42"/>
      <c r="Z2281" s="42"/>
      <c r="AA2281" s="42"/>
      <c r="AB2281" s="42"/>
      <c r="AC2281" s="42"/>
      <c r="AD2281" s="42"/>
      <c r="AE2281" s="42"/>
      <c r="AF2281" s="42"/>
    </row>
    <row r="2282">
      <c r="A2282" s="25"/>
      <c r="B2282" s="297"/>
      <c r="C2282" s="25"/>
      <c r="D2282" s="25"/>
      <c r="E2282" s="25"/>
      <c r="F2282" s="25"/>
      <c r="G2282" s="123"/>
      <c r="H2282" s="123"/>
      <c r="I2282" s="25"/>
      <c r="J2282" s="25"/>
      <c r="K2282" s="367"/>
      <c r="L2282" s="42"/>
      <c r="M2282" s="42"/>
      <c r="N2282" s="42"/>
      <c r="O2282" s="42"/>
      <c r="P2282" s="42"/>
      <c r="Q2282" s="42"/>
      <c r="R2282" s="176"/>
      <c r="S2282" s="42"/>
      <c r="T2282" s="42"/>
      <c r="U2282" s="46"/>
      <c r="V2282" s="42"/>
      <c r="W2282" s="42"/>
      <c r="X2282" s="42"/>
      <c r="Y2282" s="42"/>
      <c r="Z2282" s="42"/>
      <c r="AA2282" s="42"/>
      <c r="AB2282" s="42"/>
      <c r="AC2282" s="42"/>
      <c r="AD2282" s="42"/>
      <c r="AE2282" s="42"/>
      <c r="AF2282" s="42"/>
    </row>
    <row r="2283">
      <c r="A2283" s="25"/>
      <c r="B2283" s="297"/>
      <c r="C2283" s="25"/>
      <c r="D2283" s="25"/>
      <c r="E2283" s="25"/>
      <c r="F2283" s="25"/>
      <c r="G2283" s="123"/>
      <c r="H2283" s="123"/>
      <c r="I2283" s="25"/>
      <c r="J2283" s="25"/>
      <c r="K2283" s="367"/>
      <c r="L2283" s="42"/>
      <c r="M2283" s="42"/>
      <c r="N2283" s="42"/>
      <c r="O2283" s="42"/>
      <c r="P2283" s="42"/>
      <c r="Q2283" s="42"/>
      <c r="R2283" s="176"/>
      <c r="S2283" s="42"/>
      <c r="T2283" s="42"/>
      <c r="U2283" s="46"/>
      <c r="V2283" s="42"/>
      <c r="W2283" s="42"/>
      <c r="X2283" s="42"/>
      <c r="Y2283" s="42"/>
      <c r="Z2283" s="42"/>
      <c r="AA2283" s="42"/>
      <c r="AB2283" s="42"/>
      <c r="AC2283" s="42"/>
      <c r="AD2283" s="42"/>
      <c r="AE2283" s="42"/>
      <c r="AF2283" s="42"/>
    </row>
    <row r="2284">
      <c r="A2284" s="25"/>
      <c r="B2284" s="297"/>
      <c r="C2284" s="25"/>
      <c r="D2284" s="25"/>
      <c r="E2284" s="25"/>
      <c r="F2284" s="25"/>
      <c r="G2284" s="123"/>
      <c r="H2284" s="123"/>
      <c r="I2284" s="25"/>
      <c r="J2284" s="25"/>
      <c r="K2284" s="367"/>
      <c r="L2284" s="42"/>
      <c r="M2284" s="42"/>
      <c r="N2284" s="42"/>
      <c r="O2284" s="42"/>
      <c r="P2284" s="42"/>
      <c r="Q2284" s="42"/>
      <c r="R2284" s="176"/>
      <c r="S2284" s="42"/>
      <c r="T2284" s="42"/>
      <c r="U2284" s="46"/>
      <c r="V2284" s="42"/>
      <c r="W2284" s="42"/>
      <c r="X2284" s="42"/>
      <c r="Y2284" s="42"/>
      <c r="Z2284" s="42"/>
      <c r="AA2284" s="42"/>
      <c r="AB2284" s="42"/>
      <c r="AC2284" s="42"/>
      <c r="AD2284" s="42"/>
      <c r="AE2284" s="42"/>
      <c r="AF2284" s="42"/>
    </row>
    <row r="2285">
      <c r="A2285" s="25"/>
      <c r="B2285" s="297"/>
      <c r="C2285" s="25"/>
      <c r="D2285" s="25"/>
      <c r="E2285" s="25"/>
      <c r="F2285" s="25"/>
      <c r="G2285" s="123"/>
      <c r="H2285" s="123"/>
      <c r="I2285" s="25"/>
      <c r="J2285" s="25"/>
      <c r="K2285" s="367"/>
      <c r="L2285" s="42"/>
      <c r="M2285" s="42"/>
      <c r="N2285" s="42"/>
      <c r="O2285" s="42"/>
      <c r="P2285" s="42"/>
      <c r="Q2285" s="42"/>
      <c r="R2285" s="176"/>
      <c r="S2285" s="42"/>
      <c r="T2285" s="42"/>
      <c r="U2285" s="46"/>
      <c r="V2285" s="42"/>
      <c r="W2285" s="42"/>
      <c r="X2285" s="42"/>
      <c r="Y2285" s="42"/>
      <c r="Z2285" s="42"/>
      <c r="AA2285" s="42"/>
      <c r="AB2285" s="42"/>
      <c r="AC2285" s="42"/>
      <c r="AD2285" s="42"/>
      <c r="AE2285" s="42"/>
      <c r="AF2285" s="42"/>
    </row>
    <row r="2286">
      <c r="A2286" s="25"/>
      <c r="B2286" s="297"/>
      <c r="C2286" s="25"/>
      <c r="D2286" s="25"/>
      <c r="E2286" s="25"/>
      <c r="F2286" s="25"/>
      <c r="G2286" s="123"/>
      <c r="H2286" s="123"/>
      <c r="I2286" s="25"/>
      <c r="J2286" s="25"/>
      <c r="K2286" s="367"/>
      <c r="L2286" s="42"/>
      <c r="M2286" s="42"/>
      <c r="N2286" s="42"/>
      <c r="O2286" s="42"/>
      <c r="P2286" s="42"/>
      <c r="Q2286" s="42"/>
      <c r="R2286" s="176"/>
      <c r="S2286" s="42"/>
      <c r="T2286" s="42"/>
      <c r="U2286" s="46"/>
      <c r="V2286" s="42"/>
      <c r="W2286" s="42"/>
      <c r="X2286" s="42"/>
      <c r="Y2286" s="42"/>
      <c r="Z2286" s="42"/>
      <c r="AA2286" s="42"/>
      <c r="AB2286" s="42"/>
      <c r="AC2286" s="42"/>
      <c r="AD2286" s="42"/>
      <c r="AE2286" s="42"/>
      <c r="AF2286" s="42"/>
    </row>
    <row r="2287">
      <c r="A2287" s="25"/>
      <c r="B2287" s="297"/>
      <c r="C2287" s="25"/>
      <c r="D2287" s="25"/>
      <c r="E2287" s="25"/>
      <c r="F2287" s="25"/>
      <c r="G2287" s="123"/>
      <c r="H2287" s="123"/>
      <c r="I2287" s="25"/>
      <c r="J2287" s="25"/>
      <c r="K2287" s="367"/>
      <c r="L2287" s="42"/>
      <c r="M2287" s="42"/>
      <c r="N2287" s="42"/>
      <c r="O2287" s="42"/>
      <c r="P2287" s="42"/>
      <c r="Q2287" s="42"/>
      <c r="R2287" s="176"/>
      <c r="S2287" s="42"/>
      <c r="T2287" s="42"/>
      <c r="U2287" s="46"/>
      <c r="V2287" s="42"/>
      <c r="W2287" s="42"/>
      <c r="X2287" s="42"/>
      <c r="Y2287" s="42"/>
      <c r="Z2287" s="42"/>
      <c r="AA2287" s="42"/>
      <c r="AB2287" s="42"/>
      <c r="AC2287" s="42"/>
      <c r="AD2287" s="42"/>
      <c r="AE2287" s="42"/>
      <c r="AF2287" s="42"/>
    </row>
    <row r="2288">
      <c r="A2288" s="25"/>
      <c r="B2288" s="297"/>
      <c r="C2288" s="25"/>
      <c r="D2288" s="25"/>
      <c r="E2288" s="25"/>
      <c r="F2288" s="25"/>
      <c r="G2288" s="123"/>
      <c r="H2288" s="123"/>
      <c r="I2288" s="25"/>
      <c r="J2288" s="25"/>
      <c r="K2288" s="367"/>
      <c r="L2288" s="42"/>
      <c r="M2288" s="42"/>
      <c r="N2288" s="42"/>
      <c r="O2288" s="42"/>
      <c r="P2288" s="42"/>
      <c r="Q2288" s="42"/>
      <c r="R2288" s="176"/>
      <c r="S2288" s="42"/>
      <c r="T2288" s="42"/>
      <c r="U2288" s="46"/>
      <c r="V2288" s="42"/>
      <c r="W2288" s="42"/>
      <c r="X2288" s="42"/>
      <c r="Y2288" s="42"/>
      <c r="Z2288" s="42"/>
      <c r="AA2288" s="42"/>
      <c r="AB2288" s="42"/>
      <c r="AC2288" s="42"/>
      <c r="AD2288" s="42"/>
      <c r="AE2288" s="42"/>
      <c r="AF2288" s="42"/>
    </row>
    <row r="2289">
      <c r="A2289" s="25"/>
      <c r="B2289" s="297"/>
      <c r="C2289" s="25"/>
      <c r="D2289" s="25"/>
      <c r="E2289" s="25"/>
      <c r="F2289" s="25"/>
      <c r="G2289" s="123"/>
      <c r="H2289" s="123"/>
      <c r="I2289" s="25"/>
      <c r="J2289" s="25"/>
      <c r="K2289" s="367"/>
      <c r="L2289" s="42"/>
      <c r="M2289" s="42"/>
      <c r="N2289" s="42"/>
      <c r="O2289" s="42"/>
      <c r="P2289" s="42"/>
      <c r="Q2289" s="42"/>
      <c r="R2289" s="176"/>
      <c r="S2289" s="42"/>
      <c r="T2289" s="42"/>
      <c r="U2289" s="46"/>
      <c r="V2289" s="42"/>
      <c r="W2289" s="42"/>
      <c r="X2289" s="42"/>
      <c r="Y2289" s="42"/>
      <c r="Z2289" s="42"/>
      <c r="AA2289" s="42"/>
      <c r="AB2289" s="42"/>
      <c r="AC2289" s="42"/>
      <c r="AD2289" s="42"/>
      <c r="AE2289" s="42"/>
      <c r="AF2289" s="42"/>
    </row>
    <row r="2290">
      <c r="A2290" s="25"/>
      <c r="B2290" s="297"/>
      <c r="C2290" s="25"/>
      <c r="D2290" s="25"/>
      <c r="E2290" s="25"/>
      <c r="F2290" s="25"/>
      <c r="G2290" s="123"/>
      <c r="H2290" s="123"/>
      <c r="I2290" s="25"/>
      <c r="J2290" s="25"/>
      <c r="K2290" s="367"/>
      <c r="L2290" s="42"/>
      <c r="M2290" s="42"/>
      <c r="N2290" s="42"/>
      <c r="O2290" s="42"/>
      <c r="P2290" s="42"/>
      <c r="Q2290" s="42"/>
      <c r="R2290" s="176"/>
      <c r="S2290" s="42"/>
      <c r="T2290" s="42"/>
      <c r="U2290" s="46"/>
      <c r="V2290" s="42"/>
      <c r="W2290" s="42"/>
      <c r="X2290" s="42"/>
      <c r="Y2290" s="42"/>
      <c r="Z2290" s="42"/>
      <c r="AA2290" s="42"/>
      <c r="AB2290" s="42"/>
      <c r="AC2290" s="42"/>
      <c r="AD2290" s="42"/>
      <c r="AE2290" s="42"/>
      <c r="AF2290" s="42"/>
    </row>
    <row r="2291">
      <c r="A2291" s="25"/>
      <c r="B2291" s="297"/>
      <c r="C2291" s="25"/>
      <c r="D2291" s="25"/>
      <c r="E2291" s="25"/>
      <c r="F2291" s="25"/>
      <c r="G2291" s="123"/>
      <c r="H2291" s="123"/>
      <c r="I2291" s="25"/>
      <c r="J2291" s="25"/>
      <c r="K2291" s="367"/>
      <c r="L2291" s="42"/>
      <c r="M2291" s="42"/>
      <c r="N2291" s="42"/>
      <c r="O2291" s="42"/>
      <c r="P2291" s="42"/>
      <c r="Q2291" s="42"/>
      <c r="R2291" s="176"/>
      <c r="S2291" s="42"/>
      <c r="T2291" s="42"/>
      <c r="U2291" s="46"/>
      <c r="V2291" s="42"/>
      <c r="W2291" s="42"/>
      <c r="X2291" s="42"/>
      <c r="Y2291" s="42"/>
      <c r="Z2291" s="42"/>
      <c r="AA2291" s="42"/>
      <c r="AB2291" s="42"/>
      <c r="AC2291" s="42"/>
      <c r="AD2291" s="42"/>
      <c r="AE2291" s="42"/>
      <c r="AF2291" s="42"/>
    </row>
    <row r="2292">
      <c r="A2292" s="25"/>
      <c r="B2292" s="297"/>
      <c r="C2292" s="25"/>
      <c r="D2292" s="25"/>
      <c r="E2292" s="25"/>
      <c r="F2292" s="25"/>
      <c r="G2292" s="123"/>
      <c r="H2292" s="123"/>
      <c r="I2292" s="25"/>
      <c r="J2292" s="25"/>
      <c r="K2292" s="367"/>
      <c r="L2292" s="42"/>
      <c r="M2292" s="42"/>
      <c r="N2292" s="42"/>
      <c r="O2292" s="42"/>
      <c r="P2292" s="42"/>
      <c r="Q2292" s="42"/>
      <c r="R2292" s="176"/>
      <c r="S2292" s="42"/>
      <c r="T2292" s="42"/>
      <c r="U2292" s="46"/>
      <c r="V2292" s="42"/>
      <c r="W2292" s="42"/>
      <c r="X2292" s="42"/>
      <c r="Y2292" s="42"/>
      <c r="Z2292" s="42"/>
      <c r="AA2292" s="42"/>
      <c r="AB2292" s="42"/>
      <c r="AC2292" s="42"/>
      <c r="AD2292" s="42"/>
      <c r="AE2292" s="42"/>
      <c r="AF2292" s="42"/>
    </row>
    <row r="2293">
      <c r="A2293" s="25"/>
      <c r="B2293" s="297"/>
      <c r="C2293" s="25"/>
      <c r="D2293" s="25"/>
      <c r="E2293" s="25"/>
      <c r="F2293" s="25"/>
      <c r="G2293" s="123"/>
      <c r="H2293" s="123"/>
      <c r="I2293" s="25"/>
      <c r="J2293" s="25"/>
      <c r="K2293" s="367"/>
      <c r="L2293" s="42"/>
      <c r="M2293" s="42"/>
      <c r="N2293" s="42"/>
      <c r="O2293" s="42"/>
      <c r="P2293" s="42"/>
      <c r="Q2293" s="42"/>
      <c r="R2293" s="176"/>
      <c r="S2293" s="42"/>
      <c r="T2293" s="42"/>
      <c r="U2293" s="46"/>
      <c r="V2293" s="42"/>
      <c r="W2293" s="42"/>
      <c r="X2293" s="42"/>
      <c r="Y2293" s="42"/>
      <c r="Z2293" s="42"/>
      <c r="AA2293" s="42"/>
      <c r="AB2293" s="42"/>
      <c r="AC2293" s="42"/>
      <c r="AD2293" s="42"/>
      <c r="AE2293" s="42"/>
      <c r="AF2293" s="42"/>
    </row>
    <row r="2294">
      <c r="A2294" s="25"/>
      <c r="B2294" s="297"/>
      <c r="C2294" s="25"/>
      <c r="D2294" s="25"/>
      <c r="E2294" s="25"/>
      <c r="F2294" s="25"/>
      <c r="G2294" s="123"/>
      <c r="H2294" s="123"/>
      <c r="I2294" s="25"/>
      <c r="J2294" s="25"/>
      <c r="K2294" s="367"/>
      <c r="L2294" s="42"/>
      <c r="M2294" s="42"/>
      <c r="N2294" s="42"/>
      <c r="O2294" s="42"/>
      <c r="P2294" s="42"/>
      <c r="Q2294" s="42"/>
      <c r="R2294" s="176"/>
      <c r="S2294" s="42"/>
      <c r="T2294" s="42"/>
      <c r="U2294" s="46"/>
      <c r="V2294" s="42"/>
      <c r="W2294" s="42"/>
      <c r="X2294" s="42"/>
      <c r="Y2294" s="42"/>
      <c r="Z2294" s="42"/>
      <c r="AA2294" s="42"/>
      <c r="AB2294" s="42"/>
      <c r="AC2294" s="42"/>
      <c r="AD2294" s="42"/>
      <c r="AE2294" s="42"/>
      <c r="AF2294" s="42"/>
    </row>
    <row r="2295">
      <c r="A2295" s="25"/>
      <c r="B2295" s="297"/>
      <c r="C2295" s="25"/>
      <c r="D2295" s="25"/>
      <c r="E2295" s="25"/>
      <c r="F2295" s="25"/>
      <c r="G2295" s="123"/>
      <c r="H2295" s="123"/>
      <c r="I2295" s="25"/>
      <c r="J2295" s="25"/>
      <c r="K2295" s="367"/>
      <c r="L2295" s="42"/>
      <c r="M2295" s="42"/>
      <c r="N2295" s="42"/>
      <c r="O2295" s="42"/>
      <c r="P2295" s="42"/>
      <c r="Q2295" s="42"/>
      <c r="R2295" s="176"/>
      <c r="S2295" s="42"/>
      <c r="T2295" s="42"/>
      <c r="U2295" s="46"/>
      <c r="V2295" s="42"/>
      <c r="W2295" s="42"/>
      <c r="X2295" s="42"/>
      <c r="Y2295" s="42"/>
      <c r="Z2295" s="42"/>
      <c r="AA2295" s="42"/>
      <c r="AB2295" s="42"/>
      <c r="AC2295" s="42"/>
      <c r="AD2295" s="42"/>
      <c r="AE2295" s="42"/>
      <c r="AF2295" s="42"/>
    </row>
    <row r="2296">
      <c r="A2296" s="25"/>
      <c r="B2296" s="297"/>
      <c r="C2296" s="25"/>
      <c r="D2296" s="25"/>
      <c r="E2296" s="25"/>
      <c r="F2296" s="25"/>
      <c r="G2296" s="123"/>
      <c r="H2296" s="123"/>
      <c r="I2296" s="25"/>
      <c r="J2296" s="25"/>
      <c r="K2296" s="367"/>
      <c r="L2296" s="42"/>
      <c r="M2296" s="42"/>
      <c r="N2296" s="42"/>
      <c r="O2296" s="42"/>
      <c r="P2296" s="42"/>
      <c r="Q2296" s="42"/>
      <c r="R2296" s="176"/>
      <c r="S2296" s="42"/>
      <c r="T2296" s="42"/>
      <c r="U2296" s="46"/>
      <c r="V2296" s="42"/>
      <c r="W2296" s="42"/>
      <c r="X2296" s="42"/>
      <c r="Y2296" s="42"/>
      <c r="Z2296" s="42"/>
      <c r="AA2296" s="42"/>
      <c r="AB2296" s="42"/>
      <c r="AC2296" s="42"/>
      <c r="AD2296" s="42"/>
      <c r="AE2296" s="42"/>
      <c r="AF2296" s="42"/>
    </row>
    <row r="2297">
      <c r="A2297" s="25"/>
      <c r="B2297" s="297"/>
      <c r="C2297" s="25"/>
      <c r="D2297" s="25"/>
      <c r="E2297" s="25"/>
      <c r="F2297" s="25"/>
      <c r="G2297" s="123"/>
      <c r="H2297" s="123"/>
      <c r="I2297" s="25"/>
      <c r="J2297" s="25"/>
      <c r="K2297" s="367"/>
      <c r="L2297" s="42"/>
      <c r="M2297" s="42"/>
      <c r="N2297" s="42"/>
      <c r="O2297" s="42"/>
      <c r="P2297" s="42"/>
      <c r="Q2297" s="42"/>
      <c r="R2297" s="176"/>
      <c r="S2297" s="42"/>
      <c r="T2297" s="42"/>
      <c r="U2297" s="46"/>
      <c r="V2297" s="42"/>
      <c r="W2297" s="42"/>
      <c r="X2297" s="42"/>
      <c r="Y2297" s="42"/>
      <c r="Z2297" s="42"/>
      <c r="AA2297" s="42"/>
      <c r="AB2297" s="42"/>
      <c r="AC2297" s="42"/>
      <c r="AD2297" s="42"/>
      <c r="AE2297" s="42"/>
      <c r="AF2297" s="42"/>
    </row>
    <row r="2298">
      <c r="A2298" s="25"/>
      <c r="B2298" s="297"/>
      <c r="C2298" s="25"/>
      <c r="D2298" s="25"/>
      <c r="E2298" s="25"/>
      <c r="F2298" s="25"/>
      <c r="G2298" s="123"/>
      <c r="H2298" s="123"/>
      <c r="I2298" s="25"/>
      <c r="J2298" s="25"/>
      <c r="K2298" s="367"/>
      <c r="L2298" s="42"/>
      <c r="M2298" s="42"/>
      <c r="N2298" s="42"/>
      <c r="O2298" s="42"/>
      <c r="P2298" s="42"/>
      <c r="Q2298" s="42"/>
      <c r="R2298" s="176"/>
      <c r="S2298" s="42"/>
      <c r="T2298" s="42"/>
      <c r="U2298" s="46"/>
      <c r="V2298" s="42"/>
      <c r="W2298" s="42"/>
      <c r="X2298" s="42"/>
      <c r="Y2298" s="42"/>
      <c r="Z2298" s="42"/>
      <c r="AA2298" s="42"/>
      <c r="AB2298" s="42"/>
      <c r="AC2298" s="42"/>
      <c r="AD2298" s="42"/>
      <c r="AE2298" s="42"/>
      <c r="AF2298" s="42"/>
    </row>
    <row r="2299">
      <c r="A2299" s="25"/>
      <c r="B2299" s="297"/>
      <c r="C2299" s="25"/>
      <c r="D2299" s="25"/>
      <c r="E2299" s="25"/>
      <c r="F2299" s="25"/>
      <c r="G2299" s="123"/>
      <c r="H2299" s="123"/>
      <c r="I2299" s="25"/>
      <c r="J2299" s="25"/>
      <c r="K2299" s="367"/>
      <c r="L2299" s="42"/>
      <c r="M2299" s="42"/>
      <c r="N2299" s="42"/>
      <c r="O2299" s="42"/>
      <c r="P2299" s="42"/>
      <c r="Q2299" s="42"/>
      <c r="R2299" s="176"/>
      <c r="S2299" s="42"/>
      <c r="T2299" s="42"/>
      <c r="U2299" s="46"/>
      <c r="V2299" s="42"/>
      <c r="W2299" s="42"/>
      <c r="X2299" s="42"/>
      <c r="Y2299" s="42"/>
      <c r="Z2299" s="42"/>
      <c r="AA2299" s="42"/>
      <c r="AB2299" s="42"/>
      <c r="AC2299" s="42"/>
      <c r="AD2299" s="42"/>
      <c r="AE2299" s="42"/>
      <c r="AF2299" s="42"/>
    </row>
    <row r="2300">
      <c r="A2300" s="25"/>
      <c r="B2300" s="297"/>
      <c r="C2300" s="25"/>
      <c r="D2300" s="25"/>
      <c r="E2300" s="25"/>
      <c r="F2300" s="25"/>
      <c r="G2300" s="123"/>
      <c r="H2300" s="123"/>
      <c r="I2300" s="25"/>
      <c r="J2300" s="25"/>
      <c r="K2300" s="367"/>
      <c r="L2300" s="42"/>
      <c r="M2300" s="42"/>
      <c r="N2300" s="42"/>
      <c r="O2300" s="42"/>
      <c r="P2300" s="42"/>
      <c r="Q2300" s="42"/>
      <c r="R2300" s="176"/>
      <c r="S2300" s="42"/>
      <c r="T2300" s="42"/>
      <c r="U2300" s="46"/>
      <c r="V2300" s="42"/>
      <c r="W2300" s="42"/>
      <c r="X2300" s="42"/>
      <c r="Y2300" s="42"/>
      <c r="Z2300" s="42"/>
      <c r="AA2300" s="42"/>
      <c r="AB2300" s="42"/>
      <c r="AC2300" s="42"/>
      <c r="AD2300" s="42"/>
      <c r="AE2300" s="42"/>
      <c r="AF2300" s="42"/>
    </row>
    <row r="2301">
      <c r="A2301" s="25"/>
      <c r="B2301" s="297"/>
      <c r="C2301" s="25"/>
      <c r="D2301" s="25"/>
      <c r="E2301" s="25"/>
      <c r="F2301" s="25"/>
      <c r="G2301" s="123"/>
      <c r="H2301" s="123"/>
      <c r="I2301" s="25"/>
      <c r="J2301" s="25"/>
      <c r="K2301" s="367"/>
      <c r="L2301" s="42"/>
      <c r="M2301" s="42"/>
      <c r="N2301" s="42"/>
      <c r="O2301" s="42"/>
      <c r="P2301" s="42"/>
      <c r="Q2301" s="42"/>
      <c r="R2301" s="176"/>
      <c r="S2301" s="42"/>
      <c r="T2301" s="42"/>
      <c r="U2301" s="46"/>
      <c r="V2301" s="42"/>
      <c r="W2301" s="42"/>
      <c r="X2301" s="42"/>
      <c r="Y2301" s="42"/>
      <c r="Z2301" s="42"/>
      <c r="AA2301" s="42"/>
      <c r="AB2301" s="42"/>
      <c r="AC2301" s="42"/>
      <c r="AD2301" s="42"/>
      <c r="AE2301" s="42"/>
      <c r="AF2301" s="42"/>
    </row>
    <row r="2302">
      <c r="A2302" s="25"/>
      <c r="B2302" s="297"/>
      <c r="C2302" s="25"/>
      <c r="D2302" s="25"/>
      <c r="E2302" s="25"/>
      <c r="F2302" s="25"/>
      <c r="G2302" s="123"/>
      <c r="H2302" s="123"/>
      <c r="I2302" s="25"/>
      <c r="J2302" s="25"/>
      <c r="K2302" s="367"/>
      <c r="L2302" s="42"/>
      <c r="M2302" s="42"/>
      <c r="N2302" s="42"/>
      <c r="O2302" s="42"/>
      <c r="P2302" s="42"/>
      <c r="Q2302" s="42"/>
      <c r="R2302" s="176"/>
      <c r="S2302" s="42"/>
      <c r="T2302" s="42"/>
      <c r="U2302" s="46"/>
      <c r="V2302" s="42"/>
      <c r="W2302" s="42"/>
      <c r="X2302" s="42"/>
      <c r="Y2302" s="42"/>
      <c r="Z2302" s="42"/>
      <c r="AA2302" s="42"/>
      <c r="AB2302" s="42"/>
      <c r="AC2302" s="42"/>
      <c r="AD2302" s="42"/>
      <c r="AE2302" s="42"/>
      <c r="AF2302" s="42"/>
    </row>
    <row r="2303">
      <c r="A2303" s="25"/>
      <c r="B2303" s="297"/>
      <c r="C2303" s="25"/>
      <c r="D2303" s="25"/>
      <c r="E2303" s="25"/>
      <c r="F2303" s="25"/>
      <c r="G2303" s="123"/>
      <c r="H2303" s="123"/>
      <c r="I2303" s="25"/>
      <c r="J2303" s="25"/>
      <c r="K2303" s="367"/>
      <c r="L2303" s="42"/>
      <c r="M2303" s="42"/>
      <c r="N2303" s="42"/>
      <c r="O2303" s="42"/>
      <c r="P2303" s="42"/>
      <c r="Q2303" s="42"/>
      <c r="R2303" s="176"/>
      <c r="S2303" s="42"/>
      <c r="T2303" s="42"/>
      <c r="U2303" s="46"/>
      <c r="V2303" s="42"/>
      <c r="W2303" s="42"/>
      <c r="X2303" s="42"/>
      <c r="Y2303" s="42"/>
      <c r="Z2303" s="42"/>
      <c r="AA2303" s="42"/>
      <c r="AB2303" s="42"/>
      <c r="AC2303" s="42"/>
      <c r="AD2303" s="42"/>
      <c r="AE2303" s="42"/>
      <c r="AF2303" s="42"/>
    </row>
    <row r="2304">
      <c r="A2304" s="25"/>
      <c r="B2304" s="297"/>
      <c r="C2304" s="25"/>
      <c r="D2304" s="25"/>
      <c r="E2304" s="25"/>
      <c r="F2304" s="25"/>
      <c r="G2304" s="123"/>
      <c r="H2304" s="123"/>
      <c r="I2304" s="25"/>
      <c r="J2304" s="25"/>
      <c r="K2304" s="367"/>
      <c r="L2304" s="42"/>
      <c r="M2304" s="42"/>
      <c r="N2304" s="42"/>
      <c r="O2304" s="42"/>
      <c r="P2304" s="42"/>
      <c r="Q2304" s="42"/>
      <c r="R2304" s="176"/>
      <c r="S2304" s="42"/>
      <c r="T2304" s="42"/>
      <c r="U2304" s="46"/>
      <c r="V2304" s="42"/>
      <c r="W2304" s="42"/>
      <c r="X2304" s="42"/>
      <c r="Y2304" s="42"/>
      <c r="Z2304" s="42"/>
      <c r="AA2304" s="42"/>
      <c r="AB2304" s="42"/>
      <c r="AC2304" s="42"/>
      <c r="AD2304" s="42"/>
      <c r="AE2304" s="42"/>
      <c r="AF2304" s="42"/>
    </row>
    <row r="2305">
      <c r="A2305" s="25"/>
      <c r="B2305" s="297"/>
      <c r="C2305" s="25"/>
      <c r="D2305" s="25"/>
      <c r="E2305" s="25"/>
      <c r="F2305" s="25"/>
      <c r="G2305" s="123"/>
      <c r="H2305" s="123"/>
      <c r="I2305" s="25"/>
      <c r="J2305" s="25"/>
      <c r="K2305" s="367"/>
      <c r="L2305" s="42"/>
      <c r="M2305" s="42"/>
      <c r="N2305" s="42"/>
      <c r="O2305" s="42"/>
      <c r="P2305" s="42"/>
      <c r="Q2305" s="42"/>
      <c r="R2305" s="176"/>
      <c r="S2305" s="42"/>
      <c r="T2305" s="42"/>
      <c r="U2305" s="46"/>
      <c r="V2305" s="42"/>
      <c r="W2305" s="42"/>
      <c r="X2305" s="42"/>
      <c r="Y2305" s="42"/>
      <c r="Z2305" s="42"/>
      <c r="AA2305" s="42"/>
      <c r="AB2305" s="42"/>
      <c r="AC2305" s="42"/>
      <c r="AD2305" s="42"/>
      <c r="AE2305" s="42"/>
      <c r="AF2305" s="42"/>
    </row>
    <row r="2306">
      <c r="A2306" s="25"/>
      <c r="B2306" s="297"/>
      <c r="C2306" s="25"/>
      <c r="D2306" s="25"/>
      <c r="E2306" s="25"/>
      <c r="F2306" s="25"/>
      <c r="G2306" s="123"/>
      <c r="H2306" s="123"/>
      <c r="I2306" s="25"/>
      <c r="J2306" s="25"/>
      <c r="K2306" s="367"/>
      <c r="L2306" s="42"/>
      <c r="M2306" s="42"/>
      <c r="N2306" s="42"/>
      <c r="O2306" s="42"/>
      <c r="P2306" s="42"/>
      <c r="Q2306" s="42"/>
      <c r="R2306" s="176"/>
      <c r="S2306" s="42"/>
      <c r="T2306" s="42"/>
      <c r="U2306" s="46"/>
      <c r="V2306" s="42"/>
      <c r="W2306" s="42"/>
      <c r="X2306" s="42"/>
      <c r="Y2306" s="42"/>
      <c r="Z2306" s="42"/>
      <c r="AA2306" s="42"/>
      <c r="AB2306" s="42"/>
      <c r="AC2306" s="42"/>
      <c r="AD2306" s="42"/>
      <c r="AE2306" s="42"/>
      <c r="AF2306" s="42"/>
    </row>
    <row r="2307">
      <c r="A2307" s="25"/>
      <c r="B2307" s="297"/>
      <c r="C2307" s="25"/>
      <c r="D2307" s="25"/>
      <c r="E2307" s="25"/>
      <c r="F2307" s="25"/>
      <c r="G2307" s="123"/>
      <c r="H2307" s="123"/>
      <c r="I2307" s="25"/>
      <c r="J2307" s="25"/>
      <c r="K2307" s="367"/>
      <c r="L2307" s="42"/>
      <c r="M2307" s="42"/>
      <c r="N2307" s="42"/>
      <c r="O2307" s="42"/>
      <c r="P2307" s="42"/>
      <c r="Q2307" s="42"/>
      <c r="R2307" s="176"/>
      <c r="S2307" s="42"/>
      <c r="T2307" s="42"/>
      <c r="U2307" s="46"/>
      <c r="V2307" s="42"/>
      <c r="W2307" s="42"/>
      <c r="X2307" s="42"/>
      <c r="Y2307" s="42"/>
      <c r="Z2307" s="42"/>
      <c r="AA2307" s="42"/>
      <c r="AB2307" s="42"/>
      <c r="AC2307" s="42"/>
      <c r="AD2307" s="42"/>
      <c r="AE2307" s="42"/>
      <c r="AF2307" s="42"/>
    </row>
    <row r="2308">
      <c r="A2308" s="25"/>
      <c r="B2308" s="297"/>
      <c r="C2308" s="25"/>
      <c r="D2308" s="25"/>
      <c r="E2308" s="25"/>
      <c r="F2308" s="25"/>
      <c r="G2308" s="123"/>
      <c r="H2308" s="123"/>
      <c r="I2308" s="25"/>
      <c r="J2308" s="25"/>
      <c r="K2308" s="367"/>
      <c r="L2308" s="42"/>
      <c r="M2308" s="42"/>
      <c r="N2308" s="42"/>
      <c r="O2308" s="42"/>
      <c r="P2308" s="42"/>
      <c r="Q2308" s="42"/>
      <c r="R2308" s="176"/>
      <c r="S2308" s="42"/>
      <c r="T2308" s="42"/>
      <c r="U2308" s="46"/>
      <c r="V2308" s="42"/>
      <c r="W2308" s="42"/>
      <c r="X2308" s="42"/>
      <c r="Y2308" s="42"/>
      <c r="Z2308" s="42"/>
      <c r="AA2308" s="42"/>
      <c r="AB2308" s="42"/>
      <c r="AC2308" s="42"/>
      <c r="AD2308" s="42"/>
      <c r="AE2308" s="42"/>
      <c r="AF2308" s="42"/>
    </row>
    <row r="2309">
      <c r="A2309" s="25"/>
      <c r="B2309" s="297"/>
      <c r="C2309" s="25"/>
      <c r="D2309" s="25"/>
      <c r="E2309" s="25"/>
      <c r="F2309" s="25"/>
      <c r="G2309" s="123"/>
      <c r="H2309" s="123"/>
      <c r="I2309" s="25"/>
      <c r="J2309" s="25"/>
      <c r="K2309" s="367"/>
      <c r="L2309" s="42"/>
      <c r="M2309" s="42"/>
      <c r="N2309" s="42"/>
      <c r="O2309" s="42"/>
      <c r="P2309" s="42"/>
      <c r="Q2309" s="42"/>
      <c r="R2309" s="176"/>
      <c r="S2309" s="42"/>
      <c r="T2309" s="42"/>
      <c r="U2309" s="46"/>
      <c r="V2309" s="42"/>
      <c r="W2309" s="42"/>
      <c r="X2309" s="42"/>
      <c r="Y2309" s="42"/>
      <c r="Z2309" s="42"/>
      <c r="AA2309" s="42"/>
      <c r="AB2309" s="42"/>
      <c r="AC2309" s="42"/>
      <c r="AD2309" s="42"/>
      <c r="AE2309" s="42"/>
      <c r="AF2309" s="42"/>
    </row>
    <row r="2310">
      <c r="A2310" s="25"/>
      <c r="B2310" s="297"/>
      <c r="C2310" s="25"/>
      <c r="D2310" s="25"/>
      <c r="E2310" s="25"/>
      <c r="F2310" s="25"/>
      <c r="G2310" s="123"/>
      <c r="H2310" s="123"/>
      <c r="I2310" s="25"/>
      <c r="J2310" s="25"/>
      <c r="K2310" s="367"/>
      <c r="L2310" s="42"/>
      <c r="M2310" s="42"/>
      <c r="N2310" s="42"/>
      <c r="O2310" s="42"/>
      <c r="P2310" s="42"/>
      <c r="Q2310" s="42"/>
      <c r="R2310" s="176"/>
      <c r="S2310" s="42"/>
      <c r="T2310" s="42"/>
      <c r="U2310" s="46"/>
      <c r="V2310" s="42"/>
      <c r="W2310" s="42"/>
      <c r="X2310" s="42"/>
      <c r="Y2310" s="42"/>
      <c r="Z2310" s="42"/>
      <c r="AA2310" s="42"/>
      <c r="AB2310" s="42"/>
      <c r="AC2310" s="42"/>
      <c r="AD2310" s="42"/>
      <c r="AE2310" s="42"/>
      <c r="AF2310" s="42"/>
    </row>
    <row r="2311">
      <c r="A2311" s="25"/>
      <c r="B2311" s="297"/>
      <c r="C2311" s="25"/>
      <c r="D2311" s="25"/>
      <c r="E2311" s="25"/>
      <c r="F2311" s="25"/>
      <c r="G2311" s="123"/>
      <c r="H2311" s="123"/>
      <c r="I2311" s="25"/>
      <c r="J2311" s="25"/>
      <c r="K2311" s="367"/>
      <c r="L2311" s="42"/>
      <c r="M2311" s="42"/>
      <c r="N2311" s="42"/>
      <c r="O2311" s="42"/>
      <c r="P2311" s="42"/>
      <c r="Q2311" s="42"/>
      <c r="R2311" s="176"/>
      <c r="S2311" s="42"/>
      <c r="T2311" s="42"/>
      <c r="U2311" s="46"/>
      <c r="V2311" s="42"/>
      <c r="W2311" s="42"/>
      <c r="X2311" s="42"/>
      <c r="Y2311" s="42"/>
      <c r="Z2311" s="42"/>
      <c r="AA2311" s="42"/>
      <c r="AB2311" s="42"/>
      <c r="AC2311" s="42"/>
      <c r="AD2311" s="42"/>
      <c r="AE2311" s="42"/>
      <c r="AF2311" s="42"/>
    </row>
    <row r="2312">
      <c r="A2312" s="25"/>
      <c r="B2312" s="297"/>
      <c r="C2312" s="25"/>
      <c r="D2312" s="25"/>
      <c r="E2312" s="25"/>
      <c r="F2312" s="25"/>
      <c r="G2312" s="123"/>
      <c r="H2312" s="123"/>
      <c r="I2312" s="25"/>
      <c r="J2312" s="25"/>
      <c r="K2312" s="367"/>
      <c r="L2312" s="42"/>
      <c r="M2312" s="42"/>
      <c r="N2312" s="42"/>
      <c r="O2312" s="42"/>
      <c r="P2312" s="42"/>
      <c r="Q2312" s="42"/>
      <c r="R2312" s="176"/>
      <c r="S2312" s="42"/>
      <c r="T2312" s="42"/>
      <c r="U2312" s="46"/>
      <c r="V2312" s="42"/>
      <c r="W2312" s="42"/>
      <c r="X2312" s="42"/>
      <c r="Y2312" s="42"/>
      <c r="Z2312" s="42"/>
      <c r="AA2312" s="42"/>
      <c r="AB2312" s="42"/>
      <c r="AC2312" s="42"/>
      <c r="AD2312" s="42"/>
      <c r="AE2312" s="42"/>
      <c r="AF2312" s="42"/>
    </row>
    <row r="2313">
      <c r="A2313" s="25"/>
      <c r="B2313" s="297"/>
      <c r="C2313" s="25"/>
      <c r="D2313" s="25"/>
      <c r="E2313" s="25"/>
      <c r="F2313" s="25"/>
      <c r="G2313" s="123"/>
      <c r="H2313" s="123"/>
      <c r="I2313" s="25"/>
      <c r="J2313" s="25"/>
      <c r="K2313" s="367"/>
      <c r="L2313" s="42"/>
      <c r="M2313" s="42"/>
      <c r="N2313" s="42"/>
      <c r="O2313" s="42"/>
      <c r="P2313" s="42"/>
      <c r="Q2313" s="42"/>
      <c r="R2313" s="176"/>
      <c r="S2313" s="42"/>
      <c r="T2313" s="42"/>
      <c r="U2313" s="46"/>
      <c r="V2313" s="42"/>
      <c r="W2313" s="42"/>
      <c r="X2313" s="42"/>
      <c r="Y2313" s="42"/>
      <c r="Z2313" s="42"/>
      <c r="AA2313" s="42"/>
      <c r="AB2313" s="42"/>
      <c r="AC2313" s="42"/>
      <c r="AD2313" s="42"/>
      <c r="AE2313" s="42"/>
      <c r="AF2313" s="42"/>
    </row>
    <row r="2314">
      <c r="A2314" s="25"/>
      <c r="B2314" s="297"/>
      <c r="C2314" s="25"/>
      <c r="D2314" s="25"/>
      <c r="E2314" s="25"/>
      <c r="F2314" s="25"/>
      <c r="G2314" s="123"/>
      <c r="H2314" s="123"/>
      <c r="I2314" s="25"/>
      <c r="J2314" s="25"/>
      <c r="K2314" s="367"/>
      <c r="L2314" s="42"/>
      <c r="M2314" s="42"/>
      <c r="N2314" s="42"/>
      <c r="O2314" s="42"/>
      <c r="P2314" s="42"/>
      <c r="Q2314" s="42"/>
      <c r="R2314" s="176"/>
      <c r="S2314" s="42"/>
      <c r="T2314" s="42"/>
      <c r="U2314" s="46"/>
      <c r="V2314" s="42"/>
      <c r="W2314" s="42"/>
      <c r="X2314" s="42"/>
      <c r="Y2314" s="42"/>
      <c r="Z2314" s="42"/>
      <c r="AA2314" s="42"/>
      <c r="AB2314" s="42"/>
      <c r="AC2314" s="42"/>
      <c r="AD2314" s="42"/>
      <c r="AE2314" s="42"/>
      <c r="AF2314" s="42"/>
    </row>
    <row r="2315">
      <c r="A2315" s="25"/>
      <c r="B2315" s="297"/>
      <c r="C2315" s="25"/>
      <c r="D2315" s="25"/>
      <c r="E2315" s="25"/>
      <c r="F2315" s="25"/>
      <c r="G2315" s="123"/>
      <c r="H2315" s="123"/>
      <c r="I2315" s="25"/>
      <c r="J2315" s="25"/>
      <c r="K2315" s="367"/>
      <c r="L2315" s="42"/>
      <c r="M2315" s="42"/>
      <c r="N2315" s="42"/>
      <c r="O2315" s="42"/>
      <c r="P2315" s="42"/>
      <c r="Q2315" s="42"/>
      <c r="R2315" s="176"/>
      <c r="S2315" s="42"/>
      <c r="T2315" s="42"/>
      <c r="U2315" s="46"/>
      <c r="V2315" s="42"/>
      <c r="W2315" s="42"/>
      <c r="X2315" s="42"/>
      <c r="Y2315" s="42"/>
      <c r="Z2315" s="42"/>
      <c r="AA2315" s="42"/>
      <c r="AB2315" s="42"/>
      <c r="AC2315" s="42"/>
      <c r="AD2315" s="42"/>
      <c r="AE2315" s="42"/>
      <c r="AF2315" s="42"/>
    </row>
    <row r="2316">
      <c r="A2316" s="25"/>
      <c r="B2316" s="297"/>
      <c r="C2316" s="25"/>
      <c r="D2316" s="25"/>
      <c r="E2316" s="25"/>
      <c r="F2316" s="25"/>
      <c r="G2316" s="123"/>
      <c r="H2316" s="123"/>
      <c r="I2316" s="25"/>
      <c r="J2316" s="25"/>
      <c r="K2316" s="367"/>
      <c r="L2316" s="42"/>
      <c r="M2316" s="42"/>
      <c r="N2316" s="42"/>
      <c r="O2316" s="42"/>
      <c r="P2316" s="42"/>
      <c r="Q2316" s="42"/>
      <c r="R2316" s="176"/>
      <c r="S2316" s="42"/>
      <c r="T2316" s="42"/>
      <c r="U2316" s="46"/>
      <c r="V2316" s="42"/>
      <c r="W2316" s="42"/>
      <c r="X2316" s="42"/>
      <c r="Y2316" s="42"/>
      <c r="Z2316" s="42"/>
      <c r="AA2316" s="42"/>
      <c r="AB2316" s="42"/>
      <c r="AC2316" s="42"/>
      <c r="AD2316" s="42"/>
      <c r="AE2316" s="42"/>
      <c r="AF2316" s="42"/>
    </row>
    <row r="2317">
      <c r="A2317" s="25"/>
      <c r="B2317" s="297"/>
      <c r="C2317" s="25"/>
      <c r="D2317" s="25"/>
      <c r="E2317" s="25"/>
      <c r="F2317" s="25"/>
      <c r="G2317" s="123"/>
      <c r="H2317" s="123"/>
      <c r="I2317" s="25"/>
      <c r="J2317" s="25"/>
      <c r="K2317" s="367"/>
      <c r="L2317" s="42"/>
      <c r="M2317" s="42"/>
      <c r="N2317" s="42"/>
      <c r="O2317" s="42"/>
      <c r="P2317" s="42"/>
      <c r="Q2317" s="42"/>
      <c r="R2317" s="176"/>
      <c r="S2317" s="42"/>
      <c r="T2317" s="42"/>
      <c r="U2317" s="46"/>
      <c r="V2317" s="42"/>
      <c r="W2317" s="42"/>
      <c r="X2317" s="42"/>
      <c r="Y2317" s="42"/>
      <c r="Z2317" s="42"/>
      <c r="AA2317" s="42"/>
      <c r="AB2317" s="42"/>
      <c r="AC2317" s="42"/>
      <c r="AD2317" s="42"/>
      <c r="AE2317" s="42"/>
      <c r="AF2317" s="42"/>
    </row>
    <row r="2318">
      <c r="A2318" s="25"/>
      <c r="B2318" s="297"/>
      <c r="C2318" s="25"/>
      <c r="D2318" s="25"/>
      <c r="E2318" s="25"/>
      <c r="F2318" s="25"/>
      <c r="G2318" s="123"/>
      <c r="H2318" s="123"/>
      <c r="I2318" s="25"/>
      <c r="J2318" s="25"/>
      <c r="K2318" s="367"/>
      <c r="L2318" s="42"/>
      <c r="M2318" s="42"/>
      <c r="N2318" s="42"/>
      <c r="O2318" s="42"/>
      <c r="P2318" s="42"/>
      <c r="Q2318" s="42"/>
      <c r="R2318" s="176"/>
      <c r="S2318" s="42"/>
      <c r="T2318" s="42"/>
      <c r="U2318" s="46"/>
      <c r="V2318" s="42"/>
      <c r="W2318" s="42"/>
      <c r="X2318" s="42"/>
      <c r="Y2318" s="42"/>
      <c r="Z2318" s="42"/>
      <c r="AA2318" s="42"/>
      <c r="AB2318" s="42"/>
      <c r="AC2318" s="42"/>
      <c r="AD2318" s="42"/>
      <c r="AE2318" s="42"/>
      <c r="AF2318" s="42"/>
    </row>
    <row r="2319">
      <c r="A2319" s="25"/>
      <c r="B2319" s="297"/>
      <c r="C2319" s="25"/>
      <c r="D2319" s="25"/>
      <c r="E2319" s="25"/>
      <c r="F2319" s="25"/>
      <c r="G2319" s="123"/>
      <c r="H2319" s="123"/>
      <c r="I2319" s="25"/>
      <c r="J2319" s="25"/>
      <c r="K2319" s="367"/>
      <c r="L2319" s="42"/>
      <c r="M2319" s="42"/>
      <c r="N2319" s="42"/>
      <c r="O2319" s="42"/>
      <c r="P2319" s="42"/>
      <c r="Q2319" s="42"/>
      <c r="R2319" s="176"/>
      <c r="S2319" s="42"/>
      <c r="T2319" s="42"/>
      <c r="U2319" s="46"/>
      <c r="V2319" s="42"/>
      <c r="W2319" s="42"/>
      <c r="X2319" s="42"/>
      <c r="Y2319" s="42"/>
      <c r="Z2319" s="42"/>
      <c r="AA2319" s="42"/>
      <c r="AB2319" s="42"/>
      <c r="AC2319" s="42"/>
      <c r="AD2319" s="42"/>
      <c r="AE2319" s="42"/>
      <c r="AF2319" s="42"/>
    </row>
    <row r="2320">
      <c r="A2320" s="25"/>
      <c r="B2320" s="297"/>
      <c r="C2320" s="25"/>
      <c r="D2320" s="25"/>
      <c r="E2320" s="25"/>
      <c r="F2320" s="25"/>
      <c r="G2320" s="123"/>
      <c r="H2320" s="123"/>
      <c r="I2320" s="25"/>
      <c r="J2320" s="25"/>
      <c r="K2320" s="367"/>
      <c r="L2320" s="42"/>
      <c r="M2320" s="42"/>
      <c r="N2320" s="42"/>
      <c r="O2320" s="42"/>
      <c r="P2320" s="42"/>
      <c r="Q2320" s="42"/>
      <c r="R2320" s="176"/>
      <c r="S2320" s="42"/>
      <c r="T2320" s="42"/>
      <c r="U2320" s="46"/>
      <c r="V2320" s="42"/>
      <c r="W2320" s="42"/>
      <c r="X2320" s="42"/>
      <c r="Y2320" s="42"/>
      <c r="Z2320" s="42"/>
      <c r="AA2320" s="42"/>
      <c r="AB2320" s="42"/>
      <c r="AC2320" s="42"/>
      <c r="AD2320" s="42"/>
      <c r="AE2320" s="42"/>
      <c r="AF2320" s="42"/>
    </row>
    <row r="2321">
      <c r="A2321" s="25"/>
      <c r="B2321" s="297"/>
      <c r="C2321" s="25"/>
      <c r="D2321" s="25"/>
      <c r="E2321" s="25"/>
      <c r="F2321" s="25"/>
      <c r="G2321" s="123"/>
      <c r="H2321" s="123"/>
      <c r="I2321" s="25"/>
      <c r="J2321" s="25"/>
      <c r="K2321" s="367"/>
      <c r="L2321" s="42"/>
      <c r="M2321" s="42"/>
      <c r="N2321" s="42"/>
      <c r="O2321" s="42"/>
      <c r="P2321" s="42"/>
      <c r="Q2321" s="42"/>
      <c r="R2321" s="176"/>
      <c r="S2321" s="42"/>
      <c r="T2321" s="42"/>
      <c r="U2321" s="46"/>
      <c r="V2321" s="42"/>
      <c r="W2321" s="42"/>
      <c r="X2321" s="42"/>
      <c r="Y2321" s="42"/>
      <c r="Z2321" s="42"/>
      <c r="AA2321" s="42"/>
      <c r="AB2321" s="42"/>
      <c r="AC2321" s="42"/>
      <c r="AD2321" s="42"/>
      <c r="AE2321" s="42"/>
      <c r="AF2321" s="42"/>
    </row>
    <row r="2322">
      <c r="A2322" s="25"/>
      <c r="B2322" s="297"/>
      <c r="C2322" s="25"/>
      <c r="D2322" s="25"/>
      <c r="E2322" s="25"/>
      <c r="F2322" s="25"/>
      <c r="G2322" s="123"/>
      <c r="H2322" s="123"/>
      <c r="I2322" s="25"/>
      <c r="J2322" s="25"/>
      <c r="K2322" s="367"/>
      <c r="L2322" s="42"/>
      <c r="M2322" s="42"/>
      <c r="N2322" s="42"/>
      <c r="O2322" s="42"/>
      <c r="P2322" s="42"/>
      <c r="Q2322" s="42"/>
      <c r="R2322" s="176"/>
      <c r="S2322" s="42"/>
      <c r="T2322" s="42"/>
      <c r="U2322" s="46"/>
      <c r="V2322" s="42"/>
      <c r="W2322" s="42"/>
      <c r="X2322" s="42"/>
      <c r="Y2322" s="42"/>
      <c r="Z2322" s="42"/>
      <c r="AA2322" s="42"/>
      <c r="AB2322" s="42"/>
      <c r="AC2322" s="42"/>
      <c r="AD2322" s="42"/>
      <c r="AE2322" s="42"/>
      <c r="AF2322" s="42"/>
    </row>
    <row r="2323">
      <c r="A2323" s="25"/>
      <c r="B2323" s="297"/>
      <c r="C2323" s="25"/>
      <c r="D2323" s="25"/>
      <c r="E2323" s="25"/>
      <c r="F2323" s="25"/>
      <c r="G2323" s="123"/>
      <c r="H2323" s="123"/>
      <c r="I2323" s="25"/>
      <c r="J2323" s="25"/>
      <c r="K2323" s="367"/>
      <c r="L2323" s="42"/>
      <c r="M2323" s="42"/>
      <c r="N2323" s="42"/>
      <c r="O2323" s="42"/>
      <c r="P2323" s="42"/>
      <c r="Q2323" s="42"/>
      <c r="R2323" s="176"/>
      <c r="S2323" s="42"/>
      <c r="T2323" s="42"/>
      <c r="U2323" s="46"/>
      <c r="V2323" s="42"/>
      <c r="W2323" s="42"/>
      <c r="X2323" s="42"/>
      <c r="Y2323" s="42"/>
      <c r="Z2323" s="42"/>
      <c r="AA2323" s="42"/>
      <c r="AB2323" s="42"/>
      <c r="AC2323" s="42"/>
      <c r="AD2323" s="42"/>
      <c r="AE2323" s="42"/>
      <c r="AF2323" s="42"/>
    </row>
    <row r="2324">
      <c r="A2324" s="25"/>
      <c r="B2324" s="297"/>
      <c r="C2324" s="25"/>
      <c r="D2324" s="25"/>
      <c r="E2324" s="25"/>
      <c r="F2324" s="25"/>
      <c r="G2324" s="123"/>
      <c r="H2324" s="123"/>
      <c r="I2324" s="25"/>
      <c r="J2324" s="25"/>
      <c r="K2324" s="367"/>
      <c r="L2324" s="42"/>
      <c r="M2324" s="42"/>
      <c r="N2324" s="42"/>
      <c r="O2324" s="42"/>
      <c r="P2324" s="42"/>
      <c r="Q2324" s="42"/>
      <c r="R2324" s="176"/>
      <c r="S2324" s="42"/>
      <c r="T2324" s="42"/>
      <c r="U2324" s="46"/>
      <c r="V2324" s="42"/>
      <c r="W2324" s="42"/>
      <c r="X2324" s="42"/>
      <c r="Y2324" s="42"/>
      <c r="Z2324" s="42"/>
      <c r="AA2324" s="42"/>
      <c r="AB2324" s="42"/>
      <c r="AC2324" s="42"/>
      <c r="AD2324" s="42"/>
      <c r="AE2324" s="42"/>
      <c r="AF2324" s="42"/>
    </row>
    <row r="2325">
      <c r="A2325" s="25"/>
      <c r="B2325" s="297"/>
      <c r="C2325" s="25"/>
      <c r="D2325" s="25"/>
      <c r="E2325" s="25"/>
      <c r="F2325" s="25"/>
      <c r="G2325" s="123"/>
      <c r="H2325" s="123"/>
      <c r="I2325" s="25"/>
      <c r="J2325" s="25"/>
      <c r="K2325" s="367"/>
      <c r="L2325" s="42"/>
      <c r="M2325" s="42"/>
      <c r="N2325" s="42"/>
      <c r="O2325" s="42"/>
      <c r="P2325" s="42"/>
      <c r="Q2325" s="42"/>
      <c r="R2325" s="176"/>
      <c r="S2325" s="42"/>
      <c r="T2325" s="42"/>
      <c r="U2325" s="46"/>
      <c r="V2325" s="42"/>
      <c r="W2325" s="42"/>
      <c r="X2325" s="42"/>
      <c r="Y2325" s="42"/>
      <c r="Z2325" s="42"/>
      <c r="AA2325" s="42"/>
      <c r="AB2325" s="42"/>
      <c r="AC2325" s="42"/>
      <c r="AD2325" s="42"/>
      <c r="AE2325" s="42"/>
      <c r="AF2325" s="42"/>
    </row>
    <row r="2326">
      <c r="A2326" s="25"/>
      <c r="B2326" s="297"/>
      <c r="C2326" s="25"/>
      <c r="D2326" s="25"/>
      <c r="E2326" s="25"/>
      <c r="F2326" s="25"/>
      <c r="G2326" s="123"/>
      <c r="H2326" s="123"/>
      <c r="I2326" s="25"/>
      <c r="J2326" s="25"/>
      <c r="K2326" s="367"/>
      <c r="L2326" s="42"/>
      <c r="M2326" s="42"/>
      <c r="N2326" s="42"/>
      <c r="O2326" s="42"/>
      <c r="P2326" s="42"/>
      <c r="Q2326" s="42"/>
      <c r="R2326" s="176"/>
      <c r="S2326" s="42"/>
      <c r="T2326" s="42"/>
      <c r="U2326" s="46"/>
      <c r="V2326" s="42"/>
      <c r="W2326" s="42"/>
      <c r="X2326" s="42"/>
      <c r="Y2326" s="42"/>
      <c r="Z2326" s="42"/>
      <c r="AA2326" s="42"/>
      <c r="AB2326" s="42"/>
      <c r="AC2326" s="42"/>
      <c r="AD2326" s="42"/>
      <c r="AE2326" s="42"/>
      <c r="AF2326" s="42"/>
    </row>
    <row r="2327">
      <c r="A2327" s="25"/>
      <c r="B2327" s="297"/>
      <c r="C2327" s="25"/>
      <c r="D2327" s="25"/>
      <c r="E2327" s="25"/>
      <c r="F2327" s="25"/>
      <c r="G2327" s="123"/>
      <c r="H2327" s="123"/>
      <c r="I2327" s="25"/>
      <c r="J2327" s="25"/>
      <c r="K2327" s="367"/>
      <c r="L2327" s="42"/>
      <c r="M2327" s="42"/>
      <c r="N2327" s="42"/>
      <c r="O2327" s="42"/>
      <c r="P2327" s="42"/>
      <c r="Q2327" s="42"/>
      <c r="R2327" s="176"/>
      <c r="S2327" s="42"/>
      <c r="T2327" s="42"/>
      <c r="U2327" s="46"/>
      <c r="V2327" s="42"/>
      <c r="W2327" s="42"/>
      <c r="X2327" s="42"/>
      <c r="Y2327" s="42"/>
      <c r="Z2327" s="42"/>
      <c r="AA2327" s="42"/>
      <c r="AB2327" s="42"/>
      <c r="AC2327" s="42"/>
      <c r="AD2327" s="42"/>
      <c r="AE2327" s="42"/>
      <c r="AF2327" s="42"/>
    </row>
    <row r="2328">
      <c r="A2328" s="25"/>
      <c r="B2328" s="297"/>
      <c r="C2328" s="25"/>
      <c r="D2328" s="25"/>
      <c r="E2328" s="25"/>
      <c r="F2328" s="25"/>
      <c r="G2328" s="123"/>
      <c r="H2328" s="123"/>
      <c r="I2328" s="25"/>
      <c r="J2328" s="25"/>
      <c r="K2328" s="367"/>
      <c r="L2328" s="42"/>
      <c r="M2328" s="42"/>
      <c r="N2328" s="42"/>
      <c r="O2328" s="42"/>
      <c r="P2328" s="42"/>
      <c r="Q2328" s="42"/>
      <c r="R2328" s="176"/>
      <c r="S2328" s="42"/>
      <c r="T2328" s="42"/>
      <c r="U2328" s="46"/>
      <c r="V2328" s="42"/>
      <c r="W2328" s="42"/>
      <c r="X2328" s="42"/>
      <c r="Y2328" s="42"/>
      <c r="Z2328" s="42"/>
      <c r="AA2328" s="42"/>
      <c r="AB2328" s="42"/>
      <c r="AC2328" s="42"/>
      <c r="AD2328" s="42"/>
      <c r="AE2328" s="42"/>
      <c r="AF2328" s="42"/>
    </row>
    <row r="2329">
      <c r="A2329" s="25"/>
      <c r="B2329" s="297"/>
      <c r="C2329" s="25"/>
      <c r="D2329" s="25"/>
      <c r="E2329" s="25"/>
      <c r="F2329" s="25"/>
      <c r="G2329" s="123"/>
      <c r="H2329" s="123"/>
      <c r="I2329" s="25"/>
      <c r="J2329" s="25"/>
      <c r="K2329" s="367"/>
      <c r="L2329" s="42"/>
      <c r="M2329" s="42"/>
      <c r="N2329" s="42"/>
      <c r="O2329" s="42"/>
      <c r="P2329" s="42"/>
      <c r="Q2329" s="42"/>
      <c r="R2329" s="176"/>
      <c r="S2329" s="42"/>
      <c r="T2329" s="42"/>
      <c r="U2329" s="46"/>
      <c r="V2329" s="42"/>
      <c r="W2329" s="42"/>
      <c r="X2329" s="42"/>
      <c r="Y2329" s="42"/>
      <c r="Z2329" s="42"/>
      <c r="AA2329" s="42"/>
      <c r="AB2329" s="42"/>
      <c r="AC2329" s="42"/>
      <c r="AD2329" s="42"/>
      <c r="AE2329" s="42"/>
      <c r="AF2329" s="42"/>
    </row>
    <row r="2330">
      <c r="A2330" s="25"/>
      <c r="B2330" s="297"/>
      <c r="C2330" s="25"/>
      <c r="D2330" s="25"/>
      <c r="E2330" s="25"/>
      <c r="F2330" s="25"/>
      <c r="G2330" s="123"/>
      <c r="H2330" s="123"/>
      <c r="I2330" s="25"/>
      <c r="J2330" s="25"/>
      <c r="K2330" s="367"/>
      <c r="L2330" s="42"/>
      <c r="M2330" s="42"/>
      <c r="N2330" s="42"/>
      <c r="O2330" s="42"/>
      <c r="P2330" s="42"/>
      <c r="Q2330" s="42"/>
      <c r="R2330" s="176"/>
      <c r="S2330" s="42"/>
      <c r="T2330" s="42"/>
      <c r="U2330" s="46"/>
      <c r="V2330" s="42"/>
      <c r="W2330" s="42"/>
      <c r="X2330" s="42"/>
      <c r="Y2330" s="42"/>
      <c r="Z2330" s="42"/>
      <c r="AA2330" s="42"/>
      <c r="AB2330" s="42"/>
      <c r="AC2330" s="42"/>
      <c r="AD2330" s="42"/>
      <c r="AE2330" s="42"/>
      <c r="AF2330" s="42"/>
    </row>
    <row r="2331">
      <c r="A2331" s="25"/>
      <c r="B2331" s="297"/>
      <c r="C2331" s="25"/>
      <c r="D2331" s="25"/>
      <c r="E2331" s="25"/>
      <c r="F2331" s="25"/>
      <c r="G2331" s="123"/>
      <c r="H2331" s="123"/>
      <c r="I2331" s="25"/>
      <c r="J2331" s="25"/>
      <c r="K2331" s="367"/>
      <c r="L2331" s="42"/>
      <c r="M2331" s="42"/>
      <c r="N2331" s="42"/>
      <c r="O2331" s="42"/>
      <c r="P2331" s="42"/>
      <c r="Q2331" s="42"/>
      <c r="R2331" s="176"/>
      <c r="S2331" s="42"/>
      <c r="T2331" s="42"/>
      <c r="U2331" s="46"/>
      <c r="V2331" s="42"/>
      <c r="W2331" s="42"/>
      <c r="X2331" s="42"/>
      <c r="Y2331" s="42"/>
      <c r="Z2331" s="42"/>
      <c r="AA2331" s="42"/>
      <c r="AB2331" s="42"/>
      <c r="AC2331" s="42"/>
      <c r="AD2331" s="42"/>
      <c r="AE2331" s="42"/>
      <c r="AF2331" s="42"/>
    </row>
    <row r="2332">
      <c r="A2332" s="25"/>
      <c r="B2332" s="297"/>
      <c r="C2332" s="25"/>
      <c r="D2332" s="25"/>
      <c r="E2332" s="25"/>
      <c r="F2332" s="25"/>
      <c r="G2332" s="123"/>
      <c r="H2332" s="123"/>
      <c r="I2332" s="25"/>
      <c r="J2332" s="25"/>
      <c r="K2332" s="367"/>
      <c r="L2332" s="42"/>
      <c r="M2332" s="42"/>
      <c r="N2332" s="42"/>
      <c r="O2332" s="42"/>
      <c r="P2332" s="42"/>
      <c r="Q2332" s="42"/>
      <c r="R2332" s="176"/>
      <c r="S2332" s="42"/>
      <c r="T2332" s="42"/>
      <c r="U2332" s="46"/>
      <c r="V2332" s="42"/>
      <c r="W2332" s="42"/>
      <c r="X2332" s="42"/>
      <c r="Y2332" s="42"/>
      <c r="Z2332" s="42"/>
      <c r="AA2332" s="42"/>
      <c r="AB2332" s="42"/>
      <c r="AC2332" s="42"/>
      <c r="AD2332" s="42"/>
      <c r="AE2332" s="42"/>
      <c r="AF2332" s="42"/>
    </row>
    <row r="2333">
      <c r="A2333" s="25"/>
      <c r="B2333" s="297"/>
      <c r="C2333" s="25"/>
      <c r="D2333" s="25"/>
      <c r="E2333" s="25"/>
      <c r="F2333" s="25"/>
      <c r="G2333" s="123"/>
      <c r="H2333" s="123"/>
      <c r="I2333" s="25"/>
      <c r="J2333" s="25"/>
      <c r="K2333" s="367"/>
      <c r="L2333" s="42"/>
      <c r="M2333" s="42"/>
      <c r="N2333" s="42"/>
      <c r="O2333" s="42"/>
      <c r="P2333" s="42"/>
      <c r="Q2333" s="42"/>
      <c r="R2333" s="176"/>
      <c r="S2333" s="42"/>
      <c r="T2333" s="42"/>
      <c r="U2333" s="46"/>
      <c r="V2333" s="42"/>
      <c r="W2333" s="42"/>
      <c r="X2333" s="42"/>
      <c r="Y2333" s="42"/>
      <c r="Z2333" s="42"/>
      <c r="AA2333" s="42"/>
      <c r="AB2333" s="42"/>
      <c r="AC2333" s="42"/>
      <c r="AD2333" s="42"/>
      <c r="AE2333" s="42"/>
      <c r="AF2333" s="42"/>
    </row>
    <row r="2334">
      <c r="A2334" s="25"/>
      <c r="B2334" s="297"/>
      <c r="C2334" s="25"/>
      <c r="D2334" s="25"/>
      <c r="E2334" s="25"/>
      <c r="F2334" s="25"/>
      <c r="G2334" s="123"/>
      <c r="H2334" s="123"/>
      <c r="I2334" s="25"/>
      <c r="J2334" s="25"/>
      <c r="K2334" s="367"/>
      <c r="L2334" s="42"/>
      <c r="M2334" s="42"/>
      <c r="N2334" s="42"/>
      <c r="O2334" s="42"/>
      <c r="P2334" s="42"/>
      <c r="Q2334" s="42"/>
      <c r="R2334" s="176"/>
      <c r="S2334" s="42"/>
      <c r="T2334" s="42"/>
      <c r="U2334" s="46"/>
      <c r="V2334" s="42"/>
      <c r="W2334" s="42"/>
      <c r="X2334" s="42"/>
      <c r="Y2334" s="42"/>
      <c r="Z2334" s="42"/>
      <c r="AA2334" s="42"/>
      <c r="AB2334" s="42"/>
      <c r="AC2334" s="42"/>
      <c r="AD2334" s="42"/>
      <c r="AE2334" s="42"/>
      <c r="AF2334" s="42"/>
    </row>
    <row r="2335">
      <c r="A2335" s="25"/>
      <c r="B2335" s="297"/>
      <c r="C2335" s="25"/>
      <c r="D2335" s="25"/>
      <c r="E2335" s="25"/>
      <c r="F2335" s="25"/>
      <c r="G2335" s="123"/>
      <c r="H2335" s="123"/>
      <c r="I2335" s="25"/>
      <c r="J2335" s="25"/>
      <c r="K2335" s="367"/>
      <c r="L2335" s="42"/>
      <c r="M2335" s="42"/>
      <c r="N2335" s="42"/>
      <c r="O2335" s="42"/>
      <c r="P2335" s="42"/>
      <c r="Q2335" s="42"/>
      <c r="R2335" s="176"/>
      <c r="S2335" s="42"/>
      <c r="T2335" s="42"/>
      <c r="U2335" s="46"/>
      <c r="V2335" s="42"/>
      <c r="W2335" s="42"/>
      <c r="X2335" s="42"/>
      <c r="Y2335" s="42"/>
      <c r="Z2335" s="42"/>
      <c r="AA2335" s="42"/>
      <c r="AB2335" s="42"/>
      <c r="AC2335" s="42"/>
      <c r="AD2335" s="42"/>
      <c r="AE2335" s="42"/>
      <c r="AF2335" s="42"/>
    </row>
    <row r="2336">
      <c r="A2336" s="25"/>
      <c r="B2336" s="297"/>
      <c r="C2336" s="25"/>
      <c r="D2336" s="25"/>
      <c r="E2336" s="25"/>
      <c r="F2336" s="25"/>
      <c r="G2336" s="123"/>
      <c r="H2336" s="123"/>
      <c r="I2336" s="25"/>
      <c r="J2336" s="25"/>
      <c r="K2336" s="367"/>
      <c r="L2336" s="42"/>
      <c r="M2336" s="42"/>
      <c r="N2336" s="42"/>
      <c r="O2336" s="42"/>
      <c r="P2336" s="42"/>
      <c r="Q2336" s="42"/>
      <c r="R2336" s="176"/>
      <c r="S2336" s="42"/>
      <c r="T2336" s="42"/>
      <c r="U2336" s="46"/>
      <c r="V2336" s="42"/>
      <c r="W2336" s="42"/>
      <c r="X2336" s="42"/>
      <c r="Y2336" s="42"/>
      <c r="Z2336" s="42"/>
      <c r="AA2336" s="42"/>
      <c r="AB2336" s="42"/>
      <c r="AC2336" s="42"/>
      <c r="AD2336" s="42"/>
      <c r="AE2336" s="42"/>
      <c r="AF2336" s="42"/>
    </row>
    <row r="2337">
      <c r="A2337" s="25"/>
      <c r="B2337" s="297"/>
      <c r="C2337" s="25"/>
      <c r="D2337" s="25"/>
      <c r="E2337" s="25"/>
      <c r="F2337" s="25"/>
      <c r="G2337" s="123"/>
      <c r="H2337" s="123"/>
      <c r="I2337" s="25"/>
      <c r="J2337" s="25"/>
      <c r="K2337" s="367"/>
      <c r="L2337" s="42"/>
      <c r="M2337" s="42"/>
      <c r="N2337" s="42"/>
      <c r="O2337" s="42"/>
      <c r="P2337" s="42"/>
      <c r="Q2337" s="42"/>
      <c r="R2337" s="176"/>
      <c r="S2337" s="42"/>
      <c r="T2337" s="42"/>
      <c r="U2337" s="46"/>
      <c r="V2337" s="42"/>
      <c r="W2337" s="42"/>
      <c r="X2337" s="42"/>
      <c r="Y2337" s="42"/>
      <c r="Z2337" s="42"/>
      <c r="AA2337" s="42"/>
      <c r="AB2337" s="42"/>
      <c r="AC2337" s="42"/>
      <c r="AD2337" s="42"/>
      <c r="AE2337" s="42"/>
      <c r="AF2337" s="42"/>
    </row>
    <row r="2338">
      <c r="A2338" s="25"/>
      <c r="B2338" s="297"/>
      <c r="C2338" s="25"/>
      <c r="D2338" s="25"/>
      <c r="E2338" s="25"/>
      <c r="F2338" s="25"/>
      <c r="G2338" s="123"/>
      <c r="H2338" s="123"/>
      <c r="I2338" s="25"/>
      <c r="J2338" s="25"/>
      <c r="K2338" s="367"/>
      <c r="L2338" s="42"/>
      <c r="M2338" s="42"/>
      <c r="N2338" s="42"/>
      <c r="O2338" s="42"/>
      <c r="P2338" s="42"/>
      <c r="Q2338" s="42"/>
      <c r="R2338" s="176"/>
      <c r="S2338" s="42"/>
      <c r="T2338" s="42"/>
      <c r="U2338" s="46"/>
      <c r="V2338" s="42"/>
      <c r="W2338" s="42"/>
      <c r="X2338" s="42"/>
      <c r="Y2338" s="42"/>
      <c r="Z2338" s="42"/>
      <c r="AA2338" s="42"/>
      <c r="AB2338" s="42"/>
      <c r="AC2338" s="42"/>
      <c r="AD2338" s="42"/>
      <c r="AE2338" s="42"/>
      <c r="AF2338" s="42"/>
    </row>
    <row r="2339">
      <c r="A2339" s="25"/>
      <c r="B2339" s="297"/>
      <c r="C2339" s="25"/>
      <c r="D2339" s="25"/>
      <c r="E2339" s="25"/>
      <c r="F2339" s="25"/>
      <c r="G2339" s="123"/>
      <c r="H2339" s="123"/>
      <c r="I2339" s="25"/>
      <c r="J2339" s="25"/>
      <c r="K2339" s="367"/>
      <c r="L2339" s="42"/>
      <c r="M2339" s="42"/>
      <c r="N2339" s="42"/>
      <c r="O2339" s="42"/>
      <c r="P2339" s="42"/>
      <c r="Q2339" s="42"/>
      <c r="R2339" s="176"/>
      <c r="S2339" s="42"/>
      <c r="T2339" s="42"/>
      <c r="U2339" s="46"/>
      <c r="V2339" s="42"/>
      <c r="W2339" s="42"/>
      <c r="X2339" s="42"/>
      <c r="Y2339" s="42"/>
      <c r="Z2339" s="42"/>
      <c r="AA2339" s="42"/>
      <c r="AB2339" s="42"/>
      <c r="AC2339" s="42"/>
      <c r="AD2339" s="42"/>
      <c r="AE2339" s="42"/>
      <c r="AF2339" s="42"/>
    </row>
    <row r="2340">
      <c r="A2340" s="25"/>
      <c r="B2340" s="297"/>
      <c r="C2340" s="25"/>
      <c r="D2340" s="25"/>
      <c r="E2340" s="25"/>
      <c r="F2340" s="25"/>
      <c r="G2340" s="123"/>
      <c r="H2340" s="123"/>
      <c r="I2340" s="25"/>
      <c r="J2340" s="25"/>
      <c r="K2340" s="367"/>
      <c r="L2340" s="42"/>
      <c r="M2340" s="42"/>
      <c r="N2340" s="42"/>
      <c r="O2340" s="42"/>
      <c r="P2340" s="42"/>
      <c r="Q2340" s="42"/>
      <c r="R2340" s="176"/>
      <c r="S2340" s="42"/>
      <c r="T2340" s="42"/>
      <c r="U2340" s="46"/>
      <c r="V2340" s="42"/>
      <c r="W2340" s="42"/>
      <c r="X2340" s="42"/>
      <c r="Y2340" s="42"/>
      <c r="Z2340" s="42"/>
      <c r="AA2340" s="42"/>
      <c r="AB2340" s="42"/>
      <c r="AC2340" s="42"/>
      <c r="AD2340" s="42"/>
      <c r="AE2340" s="42"/>
      <c r="AF2340" s="42"/>
    </row>
    <row r="2341">
      <c r="A2341" s="25"/>
      <c r="B2341" s="297"/>
      <c r="C2341" s="25"/>
      <c r="D2341" s="25"/>
      <c r="E2341" s="25"/>
      <c r="F2341" s="25"/>
      <c r="G2341" s="123"/>
      <c r="H2341" s="123"/>
      <c r="I2341" s="25"/>
      <c r="J2341" s="25"/>
      <c r="K2341" s="367"/>
      <c r="L2341" s="42"/>
      <c r="M2341" s="42"/>
      <c r="N2341" s="42"/>
      <c r="O2341" s="42"/>
      <c r="P2341" s="42"/>
      <c r="Q2341" s="42"/>
      <c r="R2341" s="176"/>
      <c r="S2341" s="42"/>
      <c r="T2341" s="42"/>
      <c r="U2341" s="46"/>
      <c r="V2341" s="42"/>
      <c r="W2341" s="42"/>
      <c r="X2341" s="42"/>
      <c r="Y2341" s="42"/>
      <c r="Z2341" s="42"/>
      <c r="AA2341" s="42"/>
      <c r="AB2341" s="42"/>
      <c r="AC2341" s="42"/>
      <c r="AD2341" s="42"/>
      <c r="AE2341" s="42"/>
      <c r="AF2341" s="42"/>
    </row>
    <row r="2342">
      <c r="A2342" s="25"/>
      <c r="B2342" s="297"/>
      <c r="C2342" s="25"/>
      <c r="D2342" s="25"/>
      <c r="E2342" s="25"/>
      <c r="F2342" s="25"/>
      <c r="G2342" s="123"/>
      <c r="H2342" s="123"/>
      <c r="I2342" s="25"/>
      <c r="J2342" s="25"/>
      <c r="K2342" s="367"/>
      <c r="L2342" s="42"/>
      <c r="M2342" s="42"/>
      <c r="N2342" s="42"/>
      <c r="O2342" s="42"/>
      <c r="P2342" s="42"/>
      <c r="Q2342" s="42"/>
      <c r="R2342" s="176"/>
      <c r="S2342" s="42"/>
      <c r="T2342" s="42"/>
      <c r="U2342" s="46"/>
      <c r="V2342" s="42"/>
      <c r="W2342" s="42"/>
      <c r="X2342" s="42"/>
      <c r="Y2342" s="42"/>
      <c r="Z2342" s="42"/>
      <c r="AA2342" s="42"/>
      <c r="AB2342" s="42"/>
      <c r="AC2342" s="42"/>
      <c r="AD2342" s="42"/>
      <c r="AE2342" s="42"/>
      <c r="AF2342" s="42"/>
    </row>
    <row r="2343">
      <c r="A2343" s="25"/>
      <c r="B2343" s="297"/>
      <c r="C2343" s="25"/>
      <c r="D2343" s="25"/>
      <c r="E2343" s="25"/>
      <c r="F2343" s="25"/>
      <c r="G2343" s="123"/>
      <c r="H2343" s="123"/>
      <c r="I2343" s="25"/>
      <c r="J2343" s="25"/>
      <c r="K2343" s="367"/>
      <c r="L2343" s="42"/>
      <c r="M2343" s="42"/>
      <c r="N2343" s="42"/>
      <c r="O2343" s="42"/>
      <c r="P2343" s="42"/>
      <c r="Q2343" s="42"/>
      <c r="R2343" s="176"/>
      <c r="S2343" s="42"/>
      <c r="T2343" s="42"/>
      <c r="U2343" s="46"/>
      <c r="V2343" s="42"/>
      <c r="W2343" s="42"/>
      <c r="X2343" s="42"/>
      <c r="Y2343" s="42"/>
      <c r="Z2343" s="42"/>
      <c r="AA2343" s="42"/>
      <c r="AB2343" s="42"/>
      <c r="AC2343" s="42"/>
      <c r="AD2343" s="42"/>
      <c r="AE2343" s="42"/>
      <c r="AF2343" s="42"/>
    </row>
    <row r="2344">
      <c r="A2344" s="25"/>
      <c r="B2344" s="297"/>
      <c r="C2344" s="25"/>
      <c r="D2344" s="25"/>
      <c r="E2344" s="25"/>
      <c r="F2344" s="25"/>
      <c r="G2344" s="123"/>
      <c r="H2344" s="123"/>
      <c r="I2344" s="25"/>
      <c r="J2344" s="25"/>
      <c r="K2344" s="367"/>
      <c r="L2344" s="42"/>
      <c r="M2344" s="42"/>
      <c r="N2344" s="42"/>
      <c r="O2344" s="42"/>
      <c r="P2344" s="42"/>
      <c r="Q2344" s="42"/>
      <c r="R2344" s="176"/>
      <c r="S2344" s="42"/>
      <c r="T2344" s="42"/>
      <c r="U2344" s="46"/>
      <c r="V2344" s="42"/>
      <c r="W2344" s="42"/>
      <c r="X2344" s="42"/>
      <c r="Y2344" s="42"/>
      <c r="Z2344" s="42"/>
      <c r="AA2344" s="42"/>
      <c r="AB2344" s="42"/>
      <c r="AC2344" s="42"/>
      <c r="AD2344" s="42"/>
      <c r="AE2344" s="42"/>
      <c r="AF2344" s="42"/>
    </row>
    <row r="2345">
      <c r="A2345" s="25"/>
      <c r="B2345" s="297"/>
      <c r="C2345" s="25"/>
      <c r="D2345" s="25"/>
      <c r="E2345" s="25"/>
      <c r="F2345" s="25"/>
      <c r="G2345" s="123"/>
      <c r="H2345" s="123"/>
      <c r="I2345" s="25"/>
      <c r="J2345" s="25"/>
      <c r="K2345" s="367"/>
      <c r="L2345" s="42"/>
      <c r="M2345" s="42"/>
      <c r="N2345" s="42"/>
      <c r="O2345" s="42"/>
      <c r="P2345" s="42"/>
      <c r="Q2345" s="42"/>
      <c r="R2345" s="176"/>
      <c r="S2345" s="42"/>
      <c r="T2345" s="42"/>
      <c r="U2345" s="46"/>
      <c r="V2345" s="42"/>
      <c r="W2345" s="42"/>
      <c r="X2345" s="42"/>
      <c r="Y2345" s="42"/>
      <c r="Z2345" s="42"/>
      <c r="AA2345" s="42"/>
      <c r="AB2345" s="42"/>
      <c r="AC2345" s="42"/>
      <c r="AD2345" s="42"/>
      <c r="AE2345" s="42"/>
      <c r="AF2345" s="42"/>
    </row>
    <row r="2346">
      <c r="A2346" s="25"/>
      <c r="B2346" s="297"/>
      <c r="C2346" s="25"/>
      <c r="D2346" s="25"/>
      <c r="E2346" s="25"/>
      <c r="F2346" s="25"/>
      <c r="G2346" s="123"/>
      <c r="H2346" s="123"/>
      <c r="I2346" s="25"/>
      <c r="J2346" s="25"/>
      <c r="K2346" s="367"/>
      <c r="L2346" s="42"/>
      <c r="M2346" s="42"/>
      <c r="N2346" s="42"/>
      <c r="O2346" s="42"/>
      <c r="P2346" s="42"/>
      <c r="Q2346" s="42"/>
      <c r="R2346" s="176"/>
      <c r="S2346" s="42"/>
      <c r="T2346" s="42"/>
      <c r="U2346" s="46"/>
      <c r="V2346" s="42"/>
      <c r="W2346" s="42"/>
      <c r="X2346" s="42"/>
      <c r="Y2346" s="42"/>
      <c r="Z2346" s="42"/>
      <c r="AA2346" s="42"/>
      <c r="AB2346" s="42"/>
      <c r="AC2346" s="42"/>
      <c r="AD2346" s="42"/>
      <c r="AE2346" s="42"/>
      <c r="AF2346" s="42"/>
    </row>
    <row r="2347">
      <c r="A2347" s="25"/>
      <c r="B2347" s="297"/>
      <c r="C2347" s="25"/>
      <c r="D2347" s="25"/>
      <c r="E2347" s="25"/>
      <c r="F2347" s="25"/>
      <c r="G2347" s="123"/>
      <c r="H2347" s="123"/>
      <c r="I2347" s="25"/>
      <c r="J2347" s="25"/>
      <c r="K2347" s="367"/>
      <c r="L2347" s="42"/>
      <c r="M2347" s="42"/>
      <c r="N2347" s="42"/>
      <c r="O2347" s="42"/>
      <c r="P2347" s="42"/>
      <c r="Q2347" s="42"/>
      <c r="R2347" s="176"/>
      <c r="S2347" s="42"/>
      <c r="T2347" s="42"/>
      <c r="U2347" s="46"/>
      <c r="V2347" s="42"/>
      <c r="W2347" s="42"/>
      <c r="X2347" s="42"/>
      <c r="Y2347" s="42"/>
      <c r="Z2347" s="42"/>
      <c r="AA2347" s="42"/>
      <c r="AB2347" s="42"/>
      <c r="AC2347" s="42"/>
      <c r="AD2347" s="42"/>
      <c r="AE2347" s="42"/>
      <c r="AF2347" s="42"/>
    </row>
    <row r="2348">
      <c r="A2348" s="25"/>
      <c r="B2348" s="297"/>
      <c r="C2348" s="25"/>
      <c r="D2348" s="25"/>
      <c r="E2348" s="25"/>
      <c r="F2348" s="25"/>
      <c r="G2348" s="123"/>
      <c r="H2348" s="123"/>
      <c r="I2348" s="25"/>
      <c r="J2348" s="25"/>
      <c r="K2348" s="367"/>
      <c r="L2348" s="42"/>
      <c r="M2348" s="42"/>
      <c r="N2348" s="42"/>
      <c r="O2348" s="42"/>
      <c r="P2348" s="42"/>
      <c r="Q2348" s="42"/>
      <c r="R2348" s="176"/>
      <c r="S2348" s="42"/>
      <c r="T2348" s="42"/>
      <c r="U2348" s="46"/>
      <c r="V2348" s="42"/>
      <c r="W2348" s="42"/>
      <c r="X2348" s="42"/>
      <c r="Y2348" s="42"/>
      <c r="Z2348" s="42"/>
      <c r="AA2348" s="42"/>
      <c r="AB2348" s="42"/>
      <c r="AC2348" s="42"/>
      <c r="AD2348" s="42"/>
      <c r="AE2348" s="42"/>
      <c r="AF2348" s="42"/>
    </row>
    <row r="2349">
      <c r="A2349" s="25"/>
      <c r="B2349" s="297"/>
      <c r="C2349" s="25"/>
      <c r="D2349" s="25"/>
      <c r="E2349" s="25"/>
      <c r="F2349" s="25"/>
      <c r="G2349" s="123"/>
      <c r="H2349" s="123"/>
      <c r="I2349" s="25"/>
      <c r="J2349" s="25"/>
      <c r="K2349" s="367"/>
      <c r="L2349" s="42"/>
      <c r="M2349" s="42"/>
      <c r="N2349" s="42"/>
      <c r="O2349" s="42"/>
      <c r="P2349" s="42"/>
      <c r="Q2349" s="42"/>
      <c r="R2349" s="176"/>
      <c r="S2349" s="42"/>
      <c r="T2349" s="42"/>
      <c r="U2349" s="46"/>
      <c r="V2349" s="42"/>
      <c r="W2349" s="42"/>
      <c r="X2349" s="42"/>
      <c r="Y2349" s="42"/>
      <c r="Z2349" s="42"/>
      <c r="AA2349" s="42"/>
      <c r="AB2349" s="42"/>
      <c r="AC2349" s="42"/>
      <c r="AD2349" s="42"/>
      <c r="AE2349" s="42"/>
      <c r="AF2349" s="42"/>
    </row>
    <row r="2350">
      <c r="A2350" s="25"/>
      <c r="B2350" s="297"/>
      <c r="C2350" s="25"/>
      <c r="D2350" s="25"/>
      <c r="E2350" s="25"/>
      <c r="F2350" s="25"/>
      <c r="G2350" s="123"/>
      <c r="H2350" s="123"/>
      <c r="I2350" s="25"/>
      <c r="J2350" s="25"/>
      <c r="K2350" s="367"/>
      <c r="L2350" s="42"/>
      <c r="M2350" s="42"/>
      <c r="N2350" s="42"/>
      <c r="O2350" s="42"/>
      <c r="P2350" s="42"/>
      <c r="Q2350" s="42"/>
      <c r="R2350" s="176"/>
      <c r="S2350" s="42"/>
      <c r="T2350" s="42"/>
      <c r="U2350" s="46"/>
      <c r="V2350" s="42"/>
      <c r="W2350" s="42"/>
      <c r="X2350" s="42"/>
      <c r="Y2350" s="42"/>
      <c r="Z2350" s="42"/>
      <c r="AA2350" s="42"/>
      <c r="AB2350" s="42"/>
      <c r="AC2350" s="42"/>
      <c r="AD2350" s="42"/>
      <c r="AE2350" s="42"/>
      <c r="AF2350" s="42"/>
    </row>
    <row r="2351">
      <c r="A2351" s="25"/>
      <c r="B2351" s="297"/>
      <c r="C2351" s="25"/>
      <c r="D2351" s="25"/>
      <c r="E2351" s="25"/>
      <c r="F2351" s="25"/>
      <c r="G2351" s="123"/>
      <c r="H2351" s="123"/>
      <c r="I2351" s="25"/>
      <c r="J2351" s="25"/>
      <c r="K2351" s="367"/>
      <c r="L2351" s="42"/>
      <c r="M2351" s="42"/>
      <c r="N2351" s="42"/>
      <c r="O2351" s="42"/>
      <c r="P2351" s="42"/>
      <c r="Q2351" s="42"/>
      <c r="R2351" s="176"/>
      <c r="S2351" s="42"/>
      <c r="T2351" s="42"/>
      <c r="U2351" s="46"/>
      <c r="V2351" s="42"/>
      <c r="W2351" s="42"/>
      <c r="X2351" s="42"/>
      <c r="Y2351" s="42"/>
      <c r="Z2351" s="42"/>
      <c r="AA2351" s="42"/>
      <c r="AB2351" s="42"/>
      <c r="AC2351" s="42"/>
      <c r="AD2351" s="42"/>
      <c r="AE2351" s="42"/>
      <c r="AF2351" s="42"/>
    </row>
    <row r="2352">
      <c r="A2352" s="25"/>
      <c r="B2352" s="297"/>
      <c r="C2352" s="25"/>
      <c r="D2352" s="25"/>
      <c r="E2352" s="25"/>
      <c r="F2352" s="25"/>
      <c r="G2352" s="123"/>
      <c r="H2352" s="123"/>
      <c r="I2352" s="25"/>
      <c r="J2352" s="25"/>
      <c r="K2352" s="367"/>
      <c r="L2352" s="42"/>
      <c r="M2352" s="42"/>
      <c r="N2352" s="42"/>
      <c r="O2352" s="42"/>
      <c r="P2352" s="42"/>
      <c r="Q2352" s="42"/>
      <c r="R2352" s="176"/>
      <c r="S2352" s="42"/>
      <c r="T2352" s="42"/>
      <c r="U2352" s="46"/>
      <c r="V2352" s="42"/>
      <c r="W2352" s="42"/>
      <c r="X2352" s="42"/>
      <c r="Y2352" s="42"/>
      <c r="Z2352" s="42"/>
      <c r="AA2352" s="42"/>
      <c r="AB2352" s="42"/>
      <c r="AC2352" s="42"/>
      <c r="AD2352" s="42"/>
      <c r="AE2352" s="42"/>
      <c r="AF2352" s="42"/>
    </row>
    <row r="2353">
      <c r="A2353" s="25"/>
      <c r="B2353" s="297"/>
      <c r="C2353" s="25"/>
      <c r="D2353" s="25"/>
      <c r="E2353" s="25"/>
      <c r="F2353" s="25"/>
      <c r="G2353" s="123"/>
      <c r="H2353" s="123"/>
      <c r="I2353" s="25"/>
      <c r="J2353" s="25"/>
      <c r="K2353" s="367"/>
      <c r="L2353" s="42"/>
      <c r="M2353" s="42"/>
      <c r="N2353" s="42"/>
      <c r="O2353" s="42"/>
      <c r="P2353" s="42"/>
      <c r="Q2353" s="42"/>
      <c r="R2353" s="176"/>
      <c r="S2353" s="42"/>
      <c r="T2353" s="42"/>
      <c r="U2353" s="46"/>
      <c r="V2353" s="42"/>
      <c r="W2353" s="42"/>
      <c r="X2353" s="42"/>
      <c r="Y2353" s="42"/>
      <c r="Z2353" s="42"/>
      <c r="AA2353" s="42"/>
      <c r="AB2353" s="42"/>
      <c r="AC2353" s="42"/>
      <c r="AD2353" s="42"/>
      <c r="AE2353" s="42"/>
      <c r="AF2353" s="42"/>
    </row>
    <row r="2354">
      <c r="A2354" s="25"/>
      <c r="B2354" s="297"/>
      <c r="C2354" s="25"/>
      <c r="D2354" s="25"/>
      <c r="E2354" s="25"/>
      <c r="F2354" s="25"/>
      <c r="G2354" s="123"/>
      <c r="H2354" s="123"/>
      <c r="I2354" s="25"/>
      <c r="J2354" s="25"/>
      <c r="K2354" s="367"/>
      <c r="L2354" s="42"/>
      <c r="M2354" s="42"/>
      <c r="N2354" s="42"/>
      <c r="O2354" s="42"/>
      <c r="P2354" s="42"/>
      <c r="Q2354" s="42"/>
      <c r="R2354" s="176"/>
      <c r="S2354" s="42"/>
      <c r="T2354" s="42"/>
      <c r="U2354" s="46"/>
      <c r="V2354" s="42"/>
      <c r="W2354" s="42"/>
      <c r="X2354" s="42"/>
      <c r="Y2354" s="42"/>
      <c r="Z2354" s="42"/>
      <c r="AA2354" s="42"/>
      <c r="AB2354" s="42"/>
      <c r="AC2354" s="42"/>
      <c r="AD2354" s="42"/>
      <c r="AE2354" s="42"/>
      <c r="AF2354" s="42"/>
    </row>
    <row r="2355">
      <c r="A2355" s="25"/>
      <c r="B2355" s="297"/>
      <c r="C2355" s="25"/>
      <c r="D2355" s="25"/>
      <c r="E2355" s="25"/>
      <c r="F2355" s="25"/>
      <c r="G2355" s="123"/>
      <c r="H2355" s="123"/>
      <c r="I2355" s="25"/>
      <c r="J2355" s="25"/>
      <c r="K2355" s="367"/>
      <c r="L2355" s="42"/>
      <c r="M2355" s="42"/>
      <c r="N2355" s="42"/>
      <c r="O2355" s="42"/>
      <c r="P2355" s="42"/>
      <c r="Q2355" s="42"/>
      <c r="R2355" s="176"/>
      <c r="S2355" s="42"/>
      <c r="T2355" s="42"/>
      <c r="U2355" s="46"/>
      <c r="V2355" s="42"/>
      <c r="W2355" s="42"/>
      <c r="X2355" s="42"/>
      <c r="Y2355" s="42"/>
      <c r="Z2355" s="42"/>
      <c r="AA2355" s="42"/>
      <c r="AB2355" s="42"/>
      <c r="AC2355" s="42"/>
      <c r="AD2355" s="42"/>
      <c r="AE2355" s="42"/>
      <c r="AF2355" s="42"/>
    </row>
    <row r="2356">
      <c r="A2356" s="25"/>
      <c r="B2356" s="297"/>
      <c r="C2356" s="25"/>
      <c r="D2356" s="25"/>
      <c r="E2356" s="25"/>
      <c r="F2356" s="25"/>
      <c r="G2356" s="123"/>
      <c r="H2356" s="123"/>
      <c r="I2356" s="25"/>
      <c r="J2356" s="25"/>
      <c r="K2356" s="367"/>
      <c r="L2356" s="42"/>
      <c r="M2356" s="42"/>
      <c r="N2356" s="42"/>
      <c r="O2356" s="42"/>
      <c r="P2356" s="42"/>
      <c r="Q2356" s="42"/>
      <c r="R2356" s="176"/>
      <c r="S2356" s="42"/>
      <c r="T2356" s="42"/>
      <c r="U2356" s="46"/>
      <c r="V2356" s="42"/>
      <c r="W2356" s="42"/>
      <c r="X2356" s="42"/>
      <c r="Y2356" s="42"/>
      <c r="Z2356" s="42"/>
      <c r="AA2356" s="42"/>
      <c r="AB2356" s="42"/>
      <c r="AC2356" s="42"/>
      <c r="AD2356" s="42"/>
      <c r="AE2356" s="42"/>
      <c r="AF2356" s="42"/>
    </row>
    <row r="2357">
      <c r="A2357" s="25"/>
      <c r="B2357" s="297"/>
      <c r="C2357" s="25"/>
      <c r="D2357" s="25"/>
      <c r="E2357" s="25"/>
      <c r="F2357" s="25"/>
      <c r="G2357" s="123"/>
      <c r="H2357" s="123"/>
      <c r="I2357" s="25"/>
      <c r="J2357" s="25"/>
      <c r="K2357" s="367"/>
      <c r="L2357" s="42"/>
      <c r="M2357" s="42"/>
      <c r="N2357" s="42"/>
      <c r="O2357" s="42"/>
      <c r="P2357" s="42"/>
      <c r="Q2357" s="42"/>
      <c r="R2357" s="176"/>
      <c r="S2357" s="42"/>
      <c r="T2357" s="42"/>
      <c r="U2357" s="46"/>
      <c r="V2357" s="42"/>
      <c r="W2357" s="42"/>
      <c r="X2357" s="42"/>
      <c r="Y2357" s="42"/>
      <c r="Z2357" s="42"/>
      <c r="AA2357" s="42"/>
      <c r="AB2357" s="42"/>
      <c r="AC2357" s="42"/>
      <c r="AD2357" s="42"/>
      <c r="AE2357" s="42"/>
      <c r="AF2357" s="42"/>
    </row>
    <row r="2358">
      <c r="A2358" s="25"/>
      <c r="B2358" s="297"/>
      <c r="C2358" s="25"/>
      <c r="D2358" s="25"/>
      <c r="E2358" s="25"/>
      <c r="F2358" s="25"/>
      <c r="G2358" s="123"/>
      <c r="H2358" s="123"/>
      <c r="I2358" s="25"/>
      <c r="J2358" s="25"/>
      <c r="K2358" s="367"/>
      <c r="L2358" s="42"/>
      <c r="M2358" s="42"/>
      <c r="N2358" s="42"/>
      <c r="O2358" s="42"/>
      <c r="P2358" s="42"/>
      <c r="Q2358" s="42"/>
      <c r="R2358" s="176"/>
      <c r="S2358" s="42"/>
      <c r="T2358" s="42"/>
      <c r="U2358" s="46"/>
      <c r="V2358" s="42"/>
      <c r="W2358" s="42"/>
      <c r="X2358" s="42"/>
      <c r="Y2358" s="42"/>
      <c r="Z2358" s="42"/>
      <c r="AA2358" s="42"/>
      <c r="AB2358" s="42"/>
      <c r="AC2358" s="42"/>
      <c r="AD2358" s="42"/>
      <c r="AE2358" s="42"/>
      <c r="AF2358" s="42"/>
    </row>
    <row r="2359">
      <c r="A2359" s="25"/>
      <c r="B2359" s="297"/>
      <c r="C2359" s="25"/>
      <c r="D2359" s="25"/>
      <c r="E2359" s="25"/>
      <c r="F2359" s="25"/>
      <c r="G2359" s="123"/>
      <c r="H2359" s="123"/>
      <c r="I2359" s="25"/>
      <c r="J2359" s="25"/>
      <c r="K2359" s="367"/>
      <c r="L2359" s="42"/>
      <c r="M2359" s="42"/>
      <c r="N2359" s="42"/>
      <c r="O2359" s="42"/>
      <c r="P2359" s="42"/>
      <c r="Q2359" s="42"/>
      <c r="R2359" s="176"/>
      <c r="S2359" s="42"/>
      <c r="T2359" s="42"/>
      <c r="U2359" s="46"/>
      <c r="V2359" s="42"/>
      <c r="W2359" s="42"/>
      <c r="X2359" s="42"/>
      <c r="Y2359" s="42"/>
      <c r="Z2359" s="42"/>
      <c r="AA2359" s="42"/>
      <c r="AB2359" s="42"/>
      <c r="AC2359" s="42"/>
      <c r="AD2359" s="42"/>
      <c r="AE2359" s="42"/>
      <c r="AF2359" s="42"/>
    </row>
    <row r="2360">
      <c r="A2360" s="25"/>
      <c r="B2360" s="297"/>
      <c r="C2360" s="25"/>
      <c r="D2360" s="25"/>
      <c r="E2360" s="25"/>
      <c r="F2360" s="25"/>
      <c r="G2360" s="123"/>
      <c r="H2360" s="123"/>
      <c r="I2360" s="25"/>
      <c r="J2360" s="25"/>
      <c r="K2360" s="367"/>
      <c r="L2360" s="42"/>
      <c r="M2360" s="42"/>
      <c r="N2360" s="42"/>
      <c r="O2360" s="42"/>
      <c r="P2360" s="42"/>
      <c r="Q2360" s="42"/>
      <c r="R2360" s="176"/>
      <c r="S2360" s="42"/>
      <c r="T2360" s="42"/>
      <c r="U2360" s="46"/>
      <c r="V2360" s="42"/>
      <c r="W2360" s="42"/>
      <c r="X2360" s="42"/>
      <c r="Y2360" s="42"/>
      <c r="Z2360" s="42"/>
      <c r="AA2360" s="42"/>
      <c r="AB2360" s="42"/>
      <c r="AC2360" s="42"/>
      <c r="AD2360" s="42"/>
      <c r="AE2360" s="42"/>
      <c r="AF2360" s="42"/>
    </row>
    <row r="2361">
      <c r="A2361" s="25"/>
      <c r="B2361" s="297"/>
      <c r="C2361" s="25"/>
      <c r="D2361" s="25"/>
      <c r="E2361" s="25"/>
      <c r="F2361" s="25"/>
      <c r="G2361" s="123"/>
      <c r="H2361" s="123"/>
      <c r="I2361" s="25"/>
      <c r="J2361" s="25"/>
      <c r="K2361" s="367"/>
      <c r="L2361" s="42"/>
      <c r="M2361" s="42"/>
      <c r="N2361" s="42"/>
      <c r="O2361" s="42"/>
      <c r="P2361" s="42"/>
      <c r="Q2361" s="42"/>
      <c r="R2361" s="176"/>
      <c r="S2361" s="42"/>
      <c r="T2361" s="42"/>
      <c r="U2361" s="46"/>
      <c r="V2361" s="42"/>
      <c r="W2361" s="42"/>
      <c r="X2361" s="42"/>
      <c r="Y2361" s="42"/>
      <c r="Z2361" s="42"/>
      <c r="AA2361" s="42"/>
      <c r="AB2361" s="42"/>
      <c r="AC2361" s="42"/>
      <c r="AD2361" s="42"/>
      <c r="AE2361" s="42"/>
      <c r="AF2361" s="42"/>
    </row>
    <row r="2362">
      <c r="A2362" s="25"/>
      <c r="B2362" s="297"/>
      <c r="C2362" s="25"/>
      <c r="D2362" s="25"/>
      <c r="E2362" s="25"/>
      <c r="F2362" s="25"/>
      <c r="G2362" s="123"/>
      <c r="H2362" s="123"/>
      <c r="I2362" s="25"/>
      <c r="J2362" s="25"/>
      <c r="K2362" s="367"/>
      <c r="L2362" s="42"/>
      <c r="M2362" s="42"/>
      <c r="N2362" s="42"/>
      <c r="O2362" s="42"/>
      <c r="P2362" s="42"/>
      <c r="Q2362" s="42"/>
      <c r="R2362" s="176"/>
      <c r="S2362" s="42"/>
      <c r="T2362" s="42"/>
      <c r="U2362" s="46"/>
      <c r="V2362" s="42"/>
      <c r="W2362" s="42"/>
      <c r="X2362" s="42"/>
      <c r="Y2362" s="42"/>
      <c r="Z2362" s="42"/>
      <c r="AA2362" s="42"/>
      <c r="AB2362" s="42"/>
      <c r="AC2362" s="42"/>
      <c r="AD2362" s="42"/>
      <c r="AE2362" s="42"/>
      <c r="AF2362" s="42"/>
    </row>
    <row r="2363">
      <c r="A2363" s="25"/>
      <c r="B2363" s="297"/>
      <c r="C2363" s="25"/>
      <c r="D2363" s="25"/>
      <c r="E2363" s="25"/>
      <c r="F2363" s="25"/>
      <c r="G2363" s="123"/>
      <c r="H2363" s="123"/>
      <c r="I2363" s="25"/>
      <c r="J2363" s="25"/>
      <c r="K2363" s="367"/>
      <c r="L2363" s="42"/>
      <c r="M2363" s="42"/>
      <c r="N2363" s="42"/>
      <c r="O2363" s="42"/>
      <c r="P2363" s="42"/>
      <c r="Q2363" s="42"/>
      <c r="R2363" s="176"/>
      <c r="S2363" s="42"/>
      <c r="T2363" s="42"/>
      <c r="U2363" s="46"/>
      <c r="V2363" s="42"/>
      <c r="W2363" s="42"/>
      <c r="X2363" s="42"/>
      <c r="Y2363" s="42"/>
      <c r="Z2363" s="42"/>
      <c r="AA2363" s="42"/>
      <c r="AB2363" s="42"/>
      <c r="AC2363" s="42"/>
      <c r="AD2363" s="42"/>
      <c r="AE2363" s="42"/>
      <c r="AF2363" s="42"/>
    </row>
    <row r="2364">
      <c r="A2364" s="25"/>
      <c r="B2364" s="297"/>
      <c r="C2364" s="25"/>
      <c r="D2364" s="25"/>
      <c r="E2364" s="25"/>
      <c r="F2364" s="25"/>
      <c r="G2364" s="123"/>
      <c r="H2364" s="123"/>
      <c r="I2364" s="25"/>
      <c r="J2364" s="25"/>
      <c r="K2364" s="367"/>
      <c r="L2364" s="42"/>
      <c r="M2364" s="42"/>
      <c r="N2364" s="42"/>
      <c r="O2364" s="42"/>
      <c r="P2364" s="42"/>
      <c r="Q2364" s="42"/>
      <c r="R2364" s="176"/>
      <c r="S2364" s="42"/>
      <c r="T2364" s="42"/>
      <c r="U2364" s="46"/>
      <c r="V2364" s="42"/>
      <c r="W2364" s="42"/>
      <c r="X2364" s="42"/>
      <c r="Y2364" s="42"/>
      <c r="Z2364" s="42"/>
      <c r="AA2364" s="42"/>
      <c r="AB2364" s="42"/>
      <c r="AC2364" s="42"/>
      <c r="AD2364" s="42"/>
      <c r="AE2364" s="42"/>
      <c r="AF2364" s="42"/>
    </row>
    <row r="2365">
      <c r="A2365" s="25"/>
      <c r="B2365" s="297"/>
      <c r="C2365" s="25"/>
      <c r="D2365" s="25"/>
      <c r="E2365" s="25"/>
      <c r="F2365" s="25"/>
      <c r="G2365" s="123"/>
      <c r="H2365" s="123"/>
      <c r="I2365" s="25"/>
      <c r="J2365" s="25"/>
      <c r="K2365" s="367"/>
      <c r="L2365" s="42"/>
      <c r="M2365" s="42"/>
      <c r="N2365" s="42"/>
      <c r="O2365" s="42"/>
      <c r="P2365" s="42"/>
      <c r="Q2365" s="42"/>
      <c r="R2365" s="176"/>
      <c r="S2365" s="42"/>
      <c r="T2365" s="42"/>
      <c r="U2365" s="46"/>
      <c r="V2365" s="42"/>
      <c r="W2365" s="42"/>
      <c r="X2365" s="42"/>
      <c r="Y2365" s="42"/>
      <c r="Z2365" s="42"/>
      <c r="AA2365" s="42"/>
      <c r="AB2365" s="42"/>
      <c r="AC2365" s="42"/>
      <c r="AD2365" s="42"/>
      <c r="AE2365" s="42"/>
      <c r="AF2365" s="42"/>
    </row>
    <row r="2366">
      <c r="A2366" s="25"/>
      <c r="B2366" s="297"/>
      <c r="C2366" s="25"/>
      <c r="D2366" s="25"/>
      <c r="E2366" s="25"/>
      <c r="F2366" s="25"/>
      <c r="G2366" s="123"/>
      <c r="H2366" s="123"/>
      <c r="I2366" s="25"/>
      <c r="J2366" s="25"/>
      <c r="K2366" s="367"/>
      <c r="L2366" s="42"/>
      <c r="M2366" s="42"/>
      <c r="N2366" s="42"/>
      <c r="O2366" s="42"/>
      <c r="P2366" s="42"/>
      <c r="Q2366" s="42"/>
      <c r="R2366" s="176"/>
      <c r="S2366" s="42"/>
      <c r="T2366" s="42"/>
      <c r="U2366" s="46"/>
      <c r="V2366" s="42"/>
      <c r="W2366" s="42"/>
      <c r="X2366" s="42"/>
      <c r="Y2366" s="42"/>
      <c r="Z2366" s="42"/>
      <c r="AA2366" s="42"/>
      <c r="AB2366" s="42"/>
      <c r="AC2366" s="42"/>
      <c r="AD2366" s="42"/>
      <c r="AE2366" s="42"/>
      <c r="AF2366" s="42"/>
    </row>
    <row r="2367">
      <c r="A2367" s="25"/>
      <c r="B2367" s="297"/>
      <c r="C2367" s="25"/>
      <c r="D2367" s="25"/>
      <c r="E2367" s="25"/>
      <c r="F2367" s="25"/>
      <c r="G2367" s="123"/>
      <c r="H2367" s="123"/>
      <c r="I2367" s="25"/>
      <c r="J2367" s="25"/>
      <c r="K2367" s="367"/>
      <c r="L2367" s="42"/>
      <c r="M2367" s="42"/>
      <c r="N2367" s="42"/>
      <c r="O2367" s="42"/>
      <c r="P2367" s="42"/>
      <c r="Q2367" s="42"/>
      <c r="R2367" s="176"/>
      <c r="S2367" s="42"/>
      <c r="T2367" s="42"/>
      <c r="U2367" s="46"/>
      <c r="V2367" s="42"/>
      <c r="W2367" s="42"/>
      <c r="X2367" s="42"/>
      <c r="Y2367" s="42"/>
      <c r="Z2367" s="42"/>
      <c r="AA2367" s="42"/>
      <c r="AB2367" s="42"/>
      <c r="AC2367" s="42"/>
      <c r="AD2367" s="42"/>
      <c r="AE2367" s="42"/>
      <c r="AF2367" s="42"/>
    </row>
    <row r="2368">
      <c r="A2368" s="25"/>
      <c r="B2368" s="297"/>
      <c r="C2368" s="25"/>
      <c r="D2368" s="25"/>
      <c r="E2368" s="25"/>
      <c r="F2368" s="25"/>
      <c r="G2368" s="123"/>
      <c r="H2368" s="123"/>
      <c r="I2368" s="25"/>
      <c r="J2368" s="25"/>
      <c r="K2368" s="367"/>
      <c r="L2368" s="42"/>
      <c r="M2368" s="42"/>
      <c r="N2368" s="42"/>
      <c r="O2368" s="42"/>
      <c r="P2368" s="42"/>
      <c r="Q2368" s="42"/>
      <c r="R2368" s="176"/>
      <c r="S2368" s="42"/>
      <c r="T2368" s="42"/>
      <c r="U2368" s="46"/>
      <c r="V2368" s="42"/>
      <c r="W2368" s="42"/>
      <c r="X2368" s="42"/>
      <c r="Y2368" s="42"/>
      <c r="Z2368" s="42"/>
      <c r="AA2368" s="42"/>
      <c r="AB2368" s="42"/>
      <c r="AC2368" s="42"/>
      <c r="AD2368" s="42"/>
      <c r="AE2368" s="42"/>
      <c r="AF2368" s="42"/>
    </row>
    <row r="2369">
      <c r="A2369" s="25"/>
      <c r="B2369" s="297"/>
      <c r="C2369" s="25"/>
      <c r="D2369" s="25"/>
      <c r="E2369" s="25"/>
      <c r="F2369" s="25"/>
      <c r="G2369" s="123"/>
      <c r="H2369" s="123"/>
      <c r="I2369" s="25"/>
      <c r="J2369" s="25"/>
      <c r="K2369" s="367"/>
      <c r="L2369" s="42"/>
      <c r="M2369" s="42"/>
      <c r="N2369" s="42"/>
      <c r="O2369" s="42"/>
      <c r="P2369" s="42"/>
      <c r="Q2369" s="42"/>
      <c r="R2369" s="176"/>
      <c r="S2369" s="42"/>
      <c r="T2369" s="42"/>
      <c r="U2369" s="46"/>
      <c r="V2369" s="42"/>
      <c r="W2369" s="42"/>
      <c r="X2369" s="42"/>
      <c r="Y2369" s="42"/>
      <c r="Z2369" s="42"/>
      <c r="AA2369" s="42"/>
      <c r="AB2369" s="42"/>
      <c r="AC2369" s="42"/>
      <c r="AD2369" s="42"/>
      <c r="AE2369" s="42"/>
      <c r="AF2369" s="42"/>
    </row>
    <row r="2370">
      <c r="A2370" s="25"/>
      <c r="B2370" s="297"/>
      <c r="C2370" s="25"/>
      <c r="D2370" s="25"/>
      <c r="E2370" s="25"/>
      <c r="F2370" s="25"/>
      <c r="G2370" s="123"/>
      <c r="H2370" s="123"/>
      <c r="I2370" s="25"/>
      <c r="J2370" s="25"/>
      <c r="K2370" s="367"/>
      <c r="L2370" s="42"/>
      <c r="M2370" s="42"/>
      <c r="N2370" s="42"/>
      <c r="O2370" s="42"/>
      <c r="P2370" s="42"/>
      <c r="Q2370" s="42"/>
      <c r="R2370" s="176"/>
      <c r="S2370" s="42"/>
      <c r="T2370" s="42"/>
      <c r="U2370" s="46"/>
      <c r="V2370" s="42"/>
      <c r="W2370" s="42"/>
      <c r="X2370" s="42"/>
      <c r="Y2370" s="42"/>
      <c r="Z2370" s="42"/>
      <c r="AA2370" s="42"/>
      <c r="AB2370" s="42"/>
      <c r="AC2370" s="42"/>
      <c r="AD2370" s="42"/>
      <c r="AE2370" s="42"/>
      <c r="AF2370" s="42"/>
    </row>
    <row r="2371">
      <c r="A2371" s="25"/>
      <c r="B2371" s="297"/>
      <c r="C2371" s="25"/>
      <c r="D2371" s="25"/>
      <c r="E2371" s="25"/>
      <c r="F2371" s="25"/>
      <c r="G2371" s="123"/>
      <c r="H2371" s="123"/>
      <c r="I2371" s="25"/>
      <c r="J2371" s="25"/>
      <c r="K2371" s="367"/>
      <c r="L2371" s="42"/>
      <c r="M2371" s="42"/>
      <c r="N2371" s="42"/>
      <c r="O2371" s="42"/>
      <c r="P2371" s="42"/>
      <c r="Q2371" s="42"/>
      <c r="R2371" s="176"/>
      <c r="S2371" s="42"/>
      <c r="T2371" s="42"/>
      <c r="U2371" s="46"/>
      <c r="V2371" s="42"/>
      <c r="W2371" s="42"/>
      <c r="X2371" s="42"/>
      <c r="Y2371" s="42"/>
      <c r="Z2371" s="42"/>
      <c r="AA2371" s="42"/>
      <c r="AB2371" s="42"/>
      <c r="AC2371" s="42"/>
      <c r="AD2371" s="42"/>
      <c r="AE2371" s="42"/>
      <c r="AF2371" s="42"/>
    </row>
    <row r="2372">
      <c r="A2372" s="25"/>
      <c r="B2372" s="297"/>
      <c r="C2372" s="25"/>
      <c r="D2372" s="25"/>
      <c r="E2372" s="25"/>
      <c r="F2372" s="25"/>
      <c r="G2372" s="123"/>
      <c r="H2372" s="123"/>
      <c r="I2372" s="25"/>
      <c r="J2372" s="25"/>
      <c r="K2372" s="367"/>
      <c r="L2372" s="42"/>
      <c r="M2372" s="42"/>
      <c r="N2372" s="42"/>
      <c r="O2372" s="42"/>
      <c r="P2372" s="42"/>
      <c r="Q2372" s="42"/>
      <c r="R2372" s="176"/>
      <c r="S2372" s="42"/>
      <c r="T2372" s="42"/>
      <c r="U2372" s="46"/>
      <c r="V2372" s="42"/>
      <c r="W2372" s="42"/>
      <c r="X2372" s="42"/>
      <c r="Y2372" s="42"/>
      <c r="Z2372" s="42"/>
      <c r="AA2372" s="42"/>
      <c r="AB2372" s="42"/>
      <c r="AC2372" s="42"/>
      <c r="AD2372" s="42"/>
      <c r="AE2372" s="42"/>
      <c r="AF2372" s="42"/>
    </row>
    <row r="2373">
      <c r="A2373" s="25"/>
      <c r="B2373" s="297"/>
      <c r="C2373" s="25"/>
      <c r="D2373" s="25"/>
      <c r="E2373" s="25"/>
      <c r="F2373" s="25"/>
      <c r="G2373" s="123"/>
      <c r="H2373" s="123"/>
      <c r="I2373" s="25"/>
      <c r="J2373" s="25"/>
      <c r="K2373" s="367"/>
      <c r="L2373" s="42"/>
      <c r="M2373" s="42"/>
      <c r="N2373" s="42"/>
      <c r="O2373" s="42"/>
      <c r="P2373" s="42"/>
      <c r="Q2373" s="42"/>
      <c r="R2373" s="176"/>
      <c r="S2373" s="42"/>
      <c r="T2373" s="42"/>
      <c r="U2373" s="46"/>
      <c r="V2373" s="42"/>
      <c r="W2373" s="42"/>
      <c r="X2373" s="42"/>
      <c r="Y2373" s="42"/>
      <c r="Z2373" s="42"/>
      <c r="AA2373" s="42"/>
      <c r="AB2373" s="42"/>
      <c r="AC2373" s="42"/>
      <c r="AD2373" s="42"/>
      <c r="AE2373" s="42"/>
      <c r="AF2373" s="42"/>
    </row>
    <row r="2374">
      <c r="A2374" s="25"/>
      <c r="B2374" s="297"/>
      <c r="C2374" s="25"/>
      <c r="D2374" s="25"/>
      <c r="E2374" s="25"/>
      <c r="F2374" s="25"/>
      <c r="G2374" s="123"/>
      <c r="H2374" s="123"/>
      <c r="I2374" s="25"/>
      <c r="J2374" s="25"/>
      <c r="K2374" s="367"/>
      <c r="L2374" s="42"/>
      <c r="M2374" s="42"/>
      <c r="N2374" s="42"/>
      <c r="O2374" s="42"/>
      <c r="P2374" s="42"/>
      <c r="Q2374" s="42"/>
      <c r="R2374" s="176"/>
      <c r="S2374" s="42"/>
      <c r="T2374" s="42"/>
      <c r="U2374" s="46"/>
      <c r="V2374" s="42"/>
      <c r="W2374" s="42"/>
      <c r="X2374" s="42"/>
      <c r="Y2374" s="42"/>
      <c r="Z2374" s="42"/>
      <c r="AA2374" s="42"/>
      <c r="AB2374" s="42"/>
      <c r="AC2374" s="42"/>
      <c r="AD2374" s="42"/>
      <c r="AE2374" s="42"/>
      <c r="AF2374" s="42"/>
    </row>
    <row r="2375">
      <c r="A2375" s="25"/>
      <c r="B2375" s="297"/>
      <c r="C2375" s="25"/>
      <c r="D2375" s="25"/>
      <c r="E2375" s="25"/>
      <c r="F2375" s="25"/>
      <c r="G2375" s="123"/>
      <c r="H2375" s="123"/>
      <c r="I2375" s="25"/>
      <c r="J2375" s="25"/>
      <c r="K2375" s="367"/>
      <c r="L2375" s="42"/>
      <c r="M2375" s="42"/>
      <c r="N2375" s="42"/>
      <c r="O2375" s="42"/>
      <c r="P2375" s="42"/>
      <c r="Q2375" s="42"/>
      <c r="R2375" s="176"/>
      <c r="S2375" s="42"/>
      <c r="T2375" s="42"/>
      <c r="U2375" s="46"/>
      <c r="V2375" s="42"/>
      <c r="W2375" s="42"/>
      <c r="X2375" s="42"/>
      <c r="Y2375" s="42"/>
      <c r="Z2375" s="42"/>
      <c r="AA2375" s="42"/>
      <c r="AB2375" s="42"/>
      <c r="AC2375" s="42"/>
      <c r="AD2375" s="42"/>
      <c r="AE2375" s="42"/>
      <c r="AF2375" s="42"/>
    </row>
    <row r="2376">
      <c r="A2376" s="25"/>
      <c r="B2376" s="297"/>
      <c r="C2376" s="25"/>
      <c r="D2376" s="25"/>
      <c r="E2376" s="25"/>
      <c r="F2376" s="25"/>
      <c r="G2376" s="123"/>
      <c r="H2376" s="123"/>
      <c r="I2376" s="25"/>
      <c r="J2376" s="25"/>
      <c r="K2376" s="367"/>
      <c r="L2376" s="42"/>
      <c r="M2376" s="42"/>
      <c r="N2376" s="42"/>
      <c r="O2376" s="42"/>
      <c r="P2376" s="42"/>
      <c r="Q2376" s="42"/>
      <c r="R2376" s="176"/>
      <c r="S2376" s="42"/>
      <c r="T2376" s="42"/>
      <c r="U2376" s="46"/>
      <c r="V2376" s="42"/>
      <c r="W2376" s="42"/>
      <c r="X2376" s="42"/>
      <c r="Y2376" s="42"/>
      <c r="Z2376" s="42"/>
      <c r="AA2376" s="42"/>
      <c r="AB2376" s="42"/>
      <c r="AC2376" s="42"/>
      <c r="AD2376" s="42"/>
      <c r="AE2376" s="42"/>
      <c r="AF2376" s="42"/>
    </row>
    <row r="2377">
      <c r="A2377" s="25"/>
      <c r="B2377" s="297"/>
      <c r="C2377" s="25"/>
      <c r="D2377" s="25"/>
      <c r="E2377" s="25"/>
      <c r="F2377" s="25"/>
      <c r="G2377" s="123"/>
      <c r="H2377" s="123"/>
      <c r="I2377" s="25"/>
      <c r="J2377" s="25"/>
      <c r="K2377" s="367"/>
      <c r="L2377" s="42"/>
      <c r="M2377" s="42"/>
      <c r="N2377" s="42"/>
      <c r="O2377" s="42"/>
      <c r="P2377" s="42"/>
      <c r="Q2377" s="42"/>
      <c r="R2377" s="176"/>
      <c r="S2377" s="42"/>
      <c r="T2377" s="42"/>
      <c r="U2377" s="46"/>
      <c r="V2377" s="42"/>
      <c r="W2377" s="42"/>
      <c r="X2377" s="42"/>
      <c r="Y2377" s="42"/>
      <c r="Z2377" s="42"/>
      <c r="AA2377" s="42"/>
      <c r="AB2377" s="42"/>
      <c r="AC2377" s="42"/>
      <c r="AD2377" s="42"/>
      <c r="AE2377" s="42"/>
      <c r="AF2377" s="42"/>
    </row>
    <row r="2378">
      <c r="A2378" s="25"/>
      <c r="B2378" s="297"/>
      <c r="C2378" s="25"/>
      <c r="D2378" s="25"/>
      <c r="E2378" s="25"/>
      <c r="F2378" s="25"/>
      <c r="G2378" s="123"/>
      <c r="H2378" s="123"/>
      <c r="I2378" s="25"/>
      <c r="J2378" s="25"/>
      <c r="K2378" s="367"/>
      <c r="L2378" s="42"/>
      <c r="M2378" s="42"/>
      <c r="N2378" s="42"/>
      <c r="O2378" s="42"/>
      <c r="P2378" s="42"/>
      <c r="Q2378" s="42"/>
      <c r="R2378" s="176"/>
      <c r="S2378" s="42"/>
      <c r="T2378" s="42"/>
      <c r="U2378" s="46"/>
      <c r="V2378" s="42"/>
      <c r="W2378" s="42"/>
      <c r="X2378" s="42"/>
      <c r="Y2378" s="42"/>
      <c r="Z2378" s="42"/>
      <c r="AA2378" s="42"/>
      <c r="AB2378" s="42"/>
      <c r="AC2378" s="42"/>
      <c r="AD2378" s="42"/>
      <c r="AE2378" s="42"/>
      <c r="AF2378" s="42"/>
    </row>
    <row r="2379">
      <c r="A2379" s="25"/>
      <c r="B2379" s="297"/>
      <c r="C2379" s="25"/>
      <c r="D2379" s="25"/>
      <c r="E2379" s="25"/>
      <c r="F2379" s="25"/>
      <c r="G2379" s="123"/>
      <c r="H2379" s="123"/>
      <c r="I2379" s="25"/>
      <c r="J2379" s="25"/>
      <c r="K2379" s="367"/>
      <c r="L2379" s="42"/>
      <c r="M2379" s="42"/>
      <c r="N2379" s="42"/>
      <c r="O2379" s="42"/>
      <c r="P2379" s="42"/>
      <c r="Q2379" s="42"/>
      <c r="R2379" s="176"/>
      <c r="S2379" s="42"/>
      <c r="T2379" s="42"/>
      <c r="U2379" s="46"/>
      <c r="V2379" s="42"/>
      <c r="W2379" s="42"/>
      <c r="X2379" s="42"/>
      <c r="Y2379" s="42"/>
      <c r="Z2379" s="42"/>
      <c r="AA2379" s="42"/>
      <c r="AB2379" s="42"/>
      <c r="AC2379" s="42"/>
      <c r="AD2379" s="42"/>
      <c r="AE2379" s="42"/>
      <c r="AF2379" s="42"/>
    </row>
    <row r="2380">
      <c r="A2380" s="25"/>
      <c r="B2380" s="297"/>
      <c r="C2380" s="25"/>
      <c r="D2380" s="25"/>
      <c r="E2380" s="25"/>
      <c r="F2380" s="25"/>
      <c r="G2380" s="123"/>
      <c r="H2380" s="123"/>
      <c r="I2380" s="25"/>
      <c r="J2380" s="25"/>
      <c r="K2380" s="367"/>
      <c r="L2380" s="42"/>
      <c r="M2380" s="42"/>
      <c r="N2380" s="42"/>
      <c r="O2380" s="42"/>
      <c r="P2380" s="42"/>
      <c r="Q2380" s="42"/>
      <c r="R2380" s="176"/>
      <c r="S2380" s="42"/>
      <c r="T2380" s="42"/>
      <c r="U2380" s="46"/>
      <c r="V2380" s="42"/>
      <c r="W2380" s="42"/>
      <c r="X2380" s="42"/>
      <c r="Y2380" s="42"/>
      <c r="Z2380" s="42"/>
      <c r="AA2380" s="42"/>
      <c r="AB2380" s="42"/>
      <c r="AC2380" s="42"/>
      <c r="AD2380" s="42"/>
      <c r="AE2380" s="42"/>
      <c r="AF2380" s="42"/>
    </row>
    <row r="2381">
      <c r="A2381" s="25"/>
      <c r="B2381" s="297"/>
      <c r="C2381" s="25"/>
      <c r="D2381" s="25"/>
      <c r="E2381" s="25"/>
      <c r="F2381" s="25"/>
      <c r="G2381" s="123"/>
      <c r="H2381" s="123"/>
      <c r="I2381" s="25"/>
      <c r="J2381" s="25"/>
      <c r="K2381" s="367"/>
      <c r="L2381" s="42"/>
      <c r="M2381" s="42"/>
      <c r="N2381" s="42"/>
      <c r="O2381" s="42"/>
      <c r="P2381" s="42"/>
      <c r="Q2381" s="42"/>
      <c r="R2381" s="176"/>
      <c r="S2381" s="42"/>
      <c r="T2381" s="42"/>
      <c r="U2381" s="46"/>
      <c r="V2381" s="42"/>
      <c r="W2381" s="42"/>
      <c r="X2381" s="42"/>
      <c r="Y2381" s="42"/>
      <c r="Z2381" s="42"/>
      <c r="AA2381" s="42"/>
      <c r="AB2381" s="42"/>
      <c r="AC2381" s="42"/>
      <c r="AD2381" s="42"/>
      <c r="AE2381" s="42"/>
      <c r="AF2381" s="42"/>
    </row>
    <row r="2382">
      <c r="A2382" s="25"/>
      <c r="B2382" s="297"/>
      <c r="C2382" s="25"/>
      <c r="D2382" s="25"/>
      <c r="E2382" s="25"/>
      <c r="F2382" s="25"/>
      <c r="G2382" s="123"/>
      <c r="H2382" s="123"/>
      <c r="I2382" s="25"/>
      <c r="J2382" s="25"/>
      <c r="K2382" s="367"/>
      <c r="L2382" s="42"/>
      <c r="M2382" s="42"/>
      <c r="N2382" s="42"/>
      <c r="O2382" s="42"/>
      <c r="P2382" s="42"/>
      <c r="Q2382" s="42"/>
      <c r="R2382" s="176"/>
      <c r="S2382" s="42"/>
      <c r="T2382" s="42"/>
      <c r="U2382" s="46"/>
      <c r="V2382" s="42"/>
      <c r="W2382" s="42"/>
      <c r="X2382" s="42"/>
      <c r="Y2382" s="42"/>
      <c r="Z2382" s="42"/>
      <c r="AA2382" s="42"/>
      <c r="AB2382" s="42"/>
      <c r="AC2382" s="42"/>
      <c r="AD2382" s="42"/>
      <c r="AE2382" s="42"/>
      <c r="AF2382" s="42"/>
    </row>
    <row r="2383">
      <c r="A2383" s="25"/>
      <c r="B2383" s="297"/>
      <c r="C2383" s="25"/>
      <c r="D2383" s="25"/>
      <c r="E2383" s="25"/>
      <c r="F2383" s="25"/>
      <c r="G2383" s="123"/>
      <c r="H2383" s="123"/>
      <c r="I2383" s="25"/>
      <c r="J2383" s="25"/>
      <c r="K2383" s="367"/>
      <c r="L2383" s="42"/>
      <c r="M2383" s="42"/>
      <c r="N2383" s="42"/>
      <c r="O2383" s="42"/>
      <c r="P2383" s="42"/>
      <c r="Q2383" s="42"/>
      <c r="R2383" s="176"/>
      <c r="S2383" s="42"/>
      <c r="T2383" s="42"/>
      <c r="U2383" s="46"/>
      <c r="V2383" s="42"/>
      <c r="W2383" s="42"/>
      <c r="X2383" s="42"/>
      <c r="Y2383" s="42"/>
      <c r="Z2383" s="42"/>
      <c r="AA2383" s="42"/>
      <c r="AB2383" s="42"/>
      <c r="AC2383" s="42"/>
      <c r="AD2383" s="42"/>
      <c r="AE2383" s="42"/>
      <c r="AF2383" s="42"/>
    </row>
    <row r="2384">
      <c r="A2384" s="25"/>
      <c r="B2384" s="297"/>
      <c r="C2384" s="25"/>
      <c r="D2384" s="25"/>
      <c r="E2384" s="25"/>
      <c r="F2384" s="25"/>
      <c r="G2384" s="123"/>
      <c r="H2384" s="123"/>
      <c r="I2384" s="25"/>
      <c r="J2384" s="25"/>
      <c r="K2384" s="367"/>
      <c r="L2384" s="42"/>
      <c r="M2384" s="42"/>
      <c r="N2384" s="42"/>
      <c r="O2384" s="42"/>
      <c r="P2384" s="42"/>
      <c r="Q2384" s="42"/>
      <c r="R2384" s="176"/>
      <c r="S2384" s="42"/>
      <c r="T2384" s="42"/>
      <c r="U2384" s="46"/>
      <c r="V2384" s="42"/>
      <c r="W2384" s="42"/>
      <c r="X2384" s="42"/>
      <c r="Y2384" s="42"/>
      <c r="Z2384" s="42"/>
      <c r="AA2384" s="42"/>
      <c r="AB2384" s="42"/>
      <c r="AC2384" s="42"/>
      <c r="AD2384" s="42"/>
      <c r="AE2384" s="42"/>
      <c r="AF2384" s="42"/>
    </row>
    <row r="2385">
      <c r="A2385" s="25"/>
      <c r="B2385" s="297"/>
      <c r="C2385" s="25"/>
      <c r="D2385" s="25"/>
      <c r="E2385" s="25"/>
      <c r="F2385" s="25"/>
      <c r="G2385" s="123"/>
      <c r="H2385" s="123"/>
      <c r="I2385" s="25"/>
      <c r="J2385" s="25"/>
      <c r="K2385" s="367"/>
      <c r="L2385" s="42"/>
      <c r="M2385" s="42"/>
      <c r="N2385" s="42"/>
      <c r="O2385" s="42"/>
      <c r="P2385" s="42"/>
      <c r="Q2385" s="42"/>
      <c r="R2385" s="176"/>
      <c r="S2385" s="42"/>
      <c r="T2385" s="42"/>
      <c r="U2385" s="46"/>
      <c r="V2385" s="42"/>
      <c r="W2385" s="42"/>
      <c r="X2385" s="42"/>
      <c r="Y2385" s="42"/>
      <c r="Z2385" s="42"/>
      <c r="AA2385" s="42"/>
      <c r="AB2385" s="42"/>
      <c r="AC2385" s="42"/>
      <c r="AD2385" s="42"/>
      <c r="AE2385" s="42"/>
      <c r="AF2385" s="42"/>
    </row>
    <row r="2386">
      <c r="A2386" s="25"/>
      <c r="B2386" s="297"/>
      <c r="C2386" s="25"/>
      <c r="D2386" s="25"/>
      <c r="E2386" s="25"/>
      <c r="F2386" s="25"/>
      <c r="G2386" s="123"/>
      <c r="H2386" s="123"/>
      <c r="I2386" s="25"/>
      <c r="J2386" s="25"/>
      <c r="K2386" s="367"/>
      <c r="L2386" s="42"/>
      <c r="M2386" s="42"/>
      <c r="N2386" s="42"/>
      <c r="O2386" s="42"/>
      <c r="P2386" s="42"/>
      <c r="Q2386" s="42"/>
      <c r="R2386" s="176"/>
      <c r="S2386" s="42"/>
      <c r="T2386" s="42"/>
      <c r="U2386" s="46"/>
      <c r="V2386" s="42"/>
      <c r="W2386" s="42"/>
      <c r="X2386" s="42"/>
      <c r="Y2386" s="42"/>
      <c r="Z2386" s="42"/>
      <c r="AA2386" s="42"/>
      <c r="AB2386" s="42"/>
      <c r="AC2386" s="42"/>
      <c r="AD2386" s="42"/>
      <c r="AE2386" s="42"/>
      <c r="AF2386" s="42"/>
    </row>
    <row r="2387">
      <c r="A2387" s="25"/>
      <c r="B2387" s="297"/>
      <c r="C2387" s="25"/>
      <c r="D2387" s="25"/>
      <c r="E2387" s="25"/>
      <c r="F2387" s="25"/>
      <c r="G2387" s="123"/>
      <c r="H2387" s="123"/>
      <c r="I2387" s="25"/>
      <c r="J2387" s="25"/>
      <c r="K2387" s="367"/>
      <c r="L2387" s="42"/>
      <c r="M2387" s="42"/>
      <c r="N2387" s="42"/>
      <c r="O2387" s="42"/>
      <c r="P2387" s="42"/>
      <c r="Q2387" s="42"/>
      <c r="R2387" s="176"/>
      <c r="S2387" s="42"/>
      <c r="T2387" s="42"/>
      <c r="U2387" s="46"/>
      <c r="V2387" s="42"/>
      <c r="W2387" s="42"/>
      <c r="X2387" s="42"/>
      <c r="Y2387" s="42"/>
      <c r="Z2387" s="42"/>
      <c r="AA2387" s="42"/>
      <c r="AB2387" s="42"/>
      <c r="AC2387" s="42"/>
      <c r="AD2387" s="42"/>
      <c r="AE2387" s="42"/>
      <c r="AF2387" s="42"/>
    </row>
    <row r="2388">
      <c r="A2388" s="25"/>
      <c r="B2388" s="297"/>
      <c r="C2388" s="25"/>
      <c r="D2388" s="25"/>
      <c r="E2388" s="25"/>
      <c r="F2388" s="25"/>
      <c r="G2388" s="123"/>
      <c r="H2388" s="123"/>
      <c r="I2388" s="25"/>
      <c r="J2388" s="25"/>
      <c r="K2388" s="367"/>
      <c r="L2388" s="42"/>
      <c r="M2388" s="42"/>
      <c r="N2388" s="42"/>
      <c r="O2388" s="42"/>
      <c r="P2388" s="42"/>
      <c r="Q2388" s="42"/>
      <c r="R2388" s="176"/>
      <c r="S2388" s="42"/>
      <c r="T2388" s="42"/>
      <c r="U2388" s="46"/>
      <c r="V2388" s="42"/>
      <c r="W2388" s="42"/>
      <c r="X2388" s="42"/>
      <c r="Y2388" s="42"/>
      <c r="Z2388" s="42"/>
      <c r="AA2388" s="42"/>
      <c r="AB2388" s="42"/>
      <c r="AC2388" s="42"/>
      <c r="AD2388" s="42"/>
      <c r="AE2388" s="42"/>
      <c r="AF2388" s="42"/>
    </row>
    <row r="2389">
      <c r="A2389" s="25"/>
      <c r="B2389" s="297"/>
      <c r="C2389" s="25"/>
      <c r="D2389" s="25"/>
      <c r="E2389" s="25"/>
      <c r="F2389" s="25"/>
      <c r="G2389" s="123"/>
      <c r="H2389" s="123"/>
      <c r="I2389" s="25"/>
      <c r="J2389" s="25"/>
      <c r="K2389" s="367"/>
      <c r="L2389" s="42"/>
      <c r="M2389" s="42"/>
      <c r="N2389" s="42"/>
      <c r="O2389" s="42"/>
      <c r="P2389" s="42"/>
      <c r="Q2389" s="42"/>
      <c r="R2389" s="176"/>
      <c r="S2389" s="42"/>
      <c r="T2389" s="42"/>
      <c r="U2389" s="46"/>
      <c r="V2389" s="42"/>
      <c r="W2389" s="42"/>
      <c r="X2389" s="42"/>
      <c r="Y2389" s="42"/>
      <c r="Z2389" s="42"/>
      <c r="AA2389" s="42"/>
      <c r="AB2389" s="42"/>
      <c r="AC2389" s="42"/>
      <c r="AD2389" s="42"/>
      <c r="AE2389" s="42"/>
      <c r="AF2389" s="42"/>
    </row>
    <row r="2390">
      <c r="A2390" s="25"/>
      <c r="B2390" s="297"/>
      <c r="C2390" s="25"/>
      <c r="D2390" s="25"/>
      <c r="E2390" s="25"/>
      <c r="F2390" s="25"/>
      <c r="G2390" s="123"/>
      <c r="H2390" s="123"/>
      <c r="I2390" s="25"/>
      <c r="J2390" s="25"/>
      <c r="K2390" s="367"/>
      <c r="L2390" s="42"/>
      <c r="M2390" s="42"/>
      <c r="N2390" s="42"/>
      <c r="O2390" s="42"/>
      <c r="P2390" s="42"/>
      <c r="Q2390" s="42"/>
      <c r="R2390" s="176"/>
      <c r="S2390" s="42"/>
      <c r="T2390" s="42"/>
      <c r="U2390" s="46"/>
      <c r="V2390" s="42"/>
      <c r="W2390" s="42"/>
      <c r="X2390" s="42"/>
      <c r="Y2390" s="42"/>
      <c r="Z2390" s="42"/>
      <c r="AA2390" s="42"/>
      <c r="AB2390" s="42"/>
      <c r="AC2390" s="42"/>
      <c r="AD2390" s="42"/>
      <c r="AE2390" s="42"/>
      <c r="AF2390" s="42"/>
    </row>
    <row r="2391">
      <c r="A2391" s="25"/>
      <c r="B2391" s="297"/>
      <c r="C2391" s="25"/>
      <c r="D2391" s="25"/>
      <c r="E2391" s="25"/>
      <c r="F2391" s="25"/>
      <c r="G2391" s="123"/>
      <c r="H2391" s="123"/>
      <c r="I2391" s="25"/>
      <c r="J2391" s="25"/>
      <c r="K2391" s="367"/>
      <c r="L2391" s="42"/>
      <c r="M2391" s="42"/>
      <c r="N2391" s="42"/>
      <c r="O2391" s="42"/>
      <c r="P2391" s="42"/>
      <c r="Q2391" s="42"/>
      <c r="R2391" s="176"/>
      <c r="S2391" s="42"/>
      <c r="T2391" s="42"/>
      <c r="U2391" s="46"/>
      <c r="V2391" s="42"/>
      <c r="W2391" s="42"/>
      <c r="X2391" s="42"/>
      <c r="Y2391" s="42"/>
      <c r="Z2391" s="42"/>
      <c r="AA2391" s="42"/>
      <c r="AB2391" s="42"/>
      <c r="AC2391" s="42"/>
      <c r="AD2391" s="42"/>
      <c r="AE2391" s="42"/>
      <c r="AF2391" s="42"/>
    </row>
    <row r="2392">
      <c r="A2392" s="25"/>
      <c r="B2392" s="297"/>
      <c r="C2392" s="25"/>
      <c r="D2392" s="25"/>
      <c r="E2392" s="25"/>
      <c r="F2392" s="25"/>
      <c r="G2392" s="123"/>
      <c r="H2392" s="123"/>
      <c r="I2392" s="25"/>
      <c r="J2392" s="25"/>
      <c r="K2392" s="367"/>
      <c r="L2392" s="42"/>
      <c r="M2392" s="42"/>
      <c r="N2392" s="42"/>
      <c r="O2392" s="42"/>
      <c r="P2392" s="42"/>
      <c r="Q2392" s="42"/>
      <c r="R2392" s="176"/>
      <c r="S2392" s="42"/>
      <c r="T2392" s="42"/>
      <c r="U2392" s="46"/>
      <c r="V2392" s="42"/>
      <c r="W2392" s="42"/>
      <c r="X2392" s="42"/>
      <c r="Y2392" s="42"/>
      <c r="Z2392" s="42"/>
      <c r="AA2392" s="42"/>
      <c r="AB2392" s="42"/>
      <c r="AC2392" s="42"/>
      <c r="AD2392" s="42"/>
      <c r="AE2392" s="42"/>
      <c r="AF2392" s="42"/>
    </row>
    <row r="2393">
      <c r="A2393" s="25"/>
      <c r="B2393" s="297"/>
      <c r="C2393" s="25"/>
      <c r="D2393" s="25"/>
      <c r="E2393" s="25"/>
      <c r="F2393" s="25"/>
      <c r="G2393" s="123"/>
      <c r="H2393" s="123"/>
      <c r="I2393" s="25"/>
      <c r="J2393" s="25"/>
      <c r="K2393" s="367"/>
      <c r="L2393" s="42"/>
      <c r="M2393" s="42"/>
      <c r="N2393" s="42"/>
      <c r="O2393" s="42"/>
      <c r="P2393" s="42"/>
      <c r="Q2393" s="42"/>
      <c r="R2393" s="176"/>
      <c r="S2393" s="42"/>
      <c r="T2393" s="42"/>
      <c r="U2393" s="46"/>
      <c r="V2393" s="42"/>
      <c r="W2393" s="42"/>
      <c r="X2393" s="42"/>
      <c r="Y2393" s="42"/>
      <c r="Z2393" s="42"/>
      <c r="AA2393" s="42"/>
      <c r="AB2393" s="42"/>
      <c r="AC2393" s="42"/>
      <c r="AD2393" s="42"/>
      <c r="AE2393" s="42"/>
      <c r="AF2393" s="42"/>
    </row>
    <row r="2394">
      <c r="A2394" s="25"/>
      <c r="B2394" s="297"/>
      <c r="C2394" s="25"/>
      <c r="D2394" s="25"/>
      <c r="E2394" s="25"/>
      <c r="F2394" s="25"/>
      <c r="G2394" s="123"/>
      <c r="H2394" s="123"/>
      <c r="I2394" s="25"/>
      <c r="J2394" s="25"/>
      <c r="K2394" s="367"/>
      <c r="L2394" s="42"/>
      <c r="M2394" s="42"/>
      <c r="N2394" s="42"/>
      <c r="O2394" s="42"/>
      <c r="P2394" s="42"/>
      <c r="Q2394" s="42"/>
      <c r="R2394" s="176"/>
      <c r="S2394" s="42"/>
      <c r="T2394" s="42"/>
      <c r="U2394" s="46"/>
      <c r="V2394" s="42"/>
      <c r="W2394" s="42"/>
      <c r="X2394" s="42"/>
      <c r="Y2394" s="42"/>
      <c r="Z2394" s="42"/>
      <c r="AA2394" s="42"/>
      <c r="AB2394" s="42"/>
      <c r="AC2394" s="42"/>
      <c r="AD2394" s="42"/>
      <c r="AE2394" s="42"/>
      <c r="AF2394" s="42"/>
    </row>
    <row r="2395">
      <c r="A2395" s="25"/>
      <c r="B2395" s="297"/>
      <c r="C2395" s="25"/>
      <c r="D2395" s="25"/>
      <c r="E2395" s="25"/>
      <c r="F2395" s="25"/>
      <c r="G2395" s="123"/>
      <c r="H2395" s="123"/>
      <c r="I2395" s="25"/>
      <c r="J2395" s="25"/>
      <c r="K2395" s="367"/>
      <c r="L2395" s="42"/>
      <c r="M2395" s="42"/>
      <c r="N2395" s="42"/>
      <c r="O2395" s="42"/>
      <c r="P2395" s="42"/>
      <c r="Q2395" s="42"/>
      <c r="R2395" s="176"/>
      <c r="S2395" s="42"/>
      <c r="T2395" s="42"/>
      <c r="U2395" s="46"/>
      <c r="V2395" s="42"/>
      <c r="W2395" s="42"/>
      <c r="X2395" s="42"/>
      <c r="Y2395" s="42"/>
      <c r="Z2395" s="42"/>
      <c r="AA2395" s="42"/>
      <c r="AB2395" s="42"/>
      <c r="AC2395" s="42"/>
      <c r="AD2395" s="42"/>
      <c r="AE2395" s="42"/>
      <c r="AF2395" s="42"/>
    </row>
    <row r="2396">
      <c r="A2396" s="25"/>
      <c r="B2396" s="297"/>
      <c r="C2396" s="25"/>
      <c r="D2396" s="25"/>
      <c r="E2396" s="25"/>
      <c r="F2396" s="25"/>
      <c r="G2396" s="123"/>
      <c r="H2396" s="123"/>
      <c r="I2396" s="25"/>
      <c r="J2396" s="25"/>
      <c r="K2396" s="367"/>
      <c r="L2396" s="42"/>
      <c r="M2396" s="42"/>
      <c r="N2396" s="42"/>
      <c r="O2396" s="42"/>
      <c r="P2396" s="42"/>
      <c r="Q2396" s="42"/>
      <c r="R2396" s="176"/>
      <c r="S2396" s="42"/>
      <c r="T2396" s="42"/>
      <c r="U2396" s="46"/>
      <c r="V2396" s="42"/>
      <c r="W2396" s="42"/>
      <c r="X2396" s="42"/>
      <c r="Y2396" s="42"/>
      <c r="Z2396" s="42"/>
      <c r="AA2396" s="42"/>
      <c r="AB2396" s="42"/>
      <c r="AC2396" s="42"/>
      <c r="AD2396" s="42"/>
      <c r="AE2396" s="42"/>
      <c r="AF2396" s="42"/>
    </row>
    <row r="2397">
      <c r="A2397" s="25"/>
      <c r="B2397" s="297"/>
      <c r="C2397" s="25"/>
      <c r="D2397" s="25"/>
      <c r="E2397" s="25"/>
      <c r="F2397" s="25"/>
      <c r="G2397" s="123"/>
      <c r="H2397" s="123"/>
      <c r="I2397" s="25"/>
      <c r="J2397" s="25"/>
      <c r="K2397" s="367"/>
      <c r="L2397" s="42"/>
      <c r="M2397" s="42"/>
      <c r="N2397" s="42"/>
      <c r="O2397" s="42"/>
      <c r="P2397" s="42"/>
      <c r="Q2397" s="42"/>
      <c r="R2397" s="176"/>
      <c r="S2397" s="42"/>
      <c r="T2397" s="42"/>
      <c r="U2397" s="46"/>
      <c r="V2397" s="42"/>
      <c r="W2397" s="42"/>
      <c r="X2397" s="42"/>
      <c r="Y2397" s="42"/>
      <c r="Z2397" s="42"/>
      <c r="AA2397" s="42"/>
      <c r="AB2397" s="42"/>
      <c r="AC2397" s="42"/>
      <c r="AD2397" s="42"/>
      <c r="AE2397" s="42"/>
      <c r="AF2397" s="42"/>
    </row>
    <row r="2398">
      <c r="A2398" s="25"/>
      <c r="B2398" s="297"/>
      <c r="C2398" s="25"/>
      <c r="D2398" s="25"/>
      <c r="E2398" s="25"/>
      <c r="F2398" s="25"/>
      <c r="G2398" s="123"/>
      <c r="H2398" s="123"/>
      <c r="I2398" s="25"/>
      <c r="J2398" s="25"/>
      <c r="K2398" s="367"/>
      <c r="L2398" s="42"/>
      <c r="M2398" s="42"/>
      <c r="N2398" s="42"/>
      <c r="O2398" s="42"/>
      <c r="P2398" s="42"/>
      <c r="Q2398" s="42"/>
      <c r="R2398" s="176"/>
      <c r="S2398" s="42"/>
      <c r="T2398" s="42"/>
      <c r="U2398" s="46"/>
      <c r="V2398" s="42"/>
      <c r="W2398" s="42"/>
      <c r="X2398" s="42"/>
      <c r="Y2398" s="42"/>
      <c r="Z2398" s="42"/>
      <c r="AA2398" s="42"/>
      <c r="AB2398" s="42"/>
      <c r="AC2398" s="42"/>
      <c r="AD2398" s="42"/>
      <c r="AE2398" s="42"/>
      <c r="AF2398" s="42"/>
    </row>
    <row r="2399">
      <c r="A2399" s="25"/>
      <c r="B2399" s="297"/>
      <c r="C2399" s="25"/>
      <c r="D2399" s="25"/>
      <c r="E2399" s="25"/>
      <c r="F2399" s="25"/>
      <c r="G2399" s="123"/>
      <c r="H2399" s="123"/>
      <c r="I2399" s="25"/>
      <c r="J2399" s="25"/>
      <c r="K2399" s="367"/>
      <c r="L2399" s="42"/>
      <c r="M2399" s="42"/>
      <c r="N2399" s="42"/>
      <c r="O2399" s="42"/>
      <c r="P2399" s="42"/>
      <c r="Q2399" s="42"/>
      <c r="R2399" s="176"/>
      <c r="S2399" s="42"/>
      <c r="T2399" s="42"/>
      <c r="U2399" s="46"/>
      <c r="V2399" s="42"/>
      <c r="W2399" s="42"/>
      <c r="X2399" s="42"/>
      <c r="Y2399" s="42"/>
      <c r="Z2399" s="42"/>
      <c r="AA2399" s="42"/>
      <c r="AB2399" s="42"/>
      <c r="AC2399" s="42"/>
      <c r="AD2399" s="42"/>
      <c r="AE2399" s="42"/>
      <c r="AF2399" s="42"/>
    </row>
    <row r="2400">
      <c r="A2400" s="25"/>
      <c r="B2400" s="297"/>
      <c r="C2400" s="25"/>
      <c r="D2400" s="25"/>
      <c r="E2400" s="25"/>
      <c r="F2400" s="25"/>
      <c r="G2400" s="123"/>
      <c r="H2400" s="123"/>
      <c r="I2400" s="25"/>
      <c r="J2400" s="25"/>
      <c r="K2400" s="367"/>
      <c r="L2400" s="42"/>
      <c r="M2400" s="42"/>
      <c r="N2400" s="42"/>
      <c r="O2400" s="42"/>
      <c r="P2400" s="42"/>
      <c r="Q2400" s="42"/>
      <c r="R2400" s="176"/>
      <c r="S2400" s="42"/>
      <c r="T2400" s="42"/>
      <c r="U2400" s="46"/>
      <c r="V2400" s="42"/>
      <c r="W2400" s="42"/>
      <c r="X2400" s="42"/>
      <c r="Y2400" s="42"/>
      <c r="Z2400" s="42"/>
      <c r="AA2400" s="42"/>
      <c r="AB2400" s="42"/>
      <c r="AC2400" s="42"/>
      <c r="AD2400" s="42"/>
      <c r="AE2400" s="42"/>
      <c r="AF2400" s="42"/>
    </row>
    <row r="2401">
      <c r="A2401" s="25"/>
      <c r="B2401" s="297"/>
      <c r="C2401" s="25"/>
      <c r="D2401" s="25"/>
      <c r="E2401" s="25"/>
      <c r="F2401" s="25"/>
      <c r="G2401" s="123"/>
      <c r="H2401" s="123"/>
      <c r="I2401" s="25"/>
      <c r="J2401" s="25"/>
      <c r="K2401" s="367"/>
      <c r="L2401" s="42"/>
      <c r="M2401" s="42"/>
      <c r="N2401" s="42"/>
      <c r="O2401" s="42"/>
      <c r="P2401" s="42"/>
      <c r="Q2401" s="42"/>
      <c r="R2401" s="176"/>
      <c r="S2401" s="42"/>
      <c r="T2401" s="42"/>
      <c r="U2401" s="46"/>
      <c r="V2401" s="42"/>
      <c r="W2401" s="42"/>
      <c r="X2401" s="42"/>
      <c r="Y2401" s="42"/>
      <c r="Z2401" s="42"/>
      <c r="AA2401" s="42"/>
      <c r="AB2401" s="42"/>
      <c r="AC2401" s="42"/>
      <c r="AD2401" s="42"/>
      <c r="AE2401" s="42"/>
      <c r="AF2401" s="42"/>
    </row>
    <row r="2402">
      <c r="A2402" s="25"/>
      <c r="B2402" s="297"/>
      <c r="C2402" s="25"/>
      <c r="D2402" s="25"/>
      <c r="E2402" s="25"/>
      <c r="F2402" s="25"/>
      <c r="G2402" s="123"/>
      <c r="H2402" s="123"/>
      <c r="I2402" s="25"/>
      <c r="J2402" s="25"/>
      <c r="K2402" s="367"/>
      <c r="L2402" s="42"/>
      <c r="M2402" s="42"/>
      <c r="N2402" s="42"/>
      <c r="O2402" s="42"/>
      <c r="P2402" s="42"/>
      <c r="Q2402" s="42"/>
      <c r="R2402" s="176"/>
      <c r="S2402" s="42"/>
      <c r="T2402" s="42"/>
      <c r="U2402" s="46"/>
      <c r="V2402" s="42"/>
      <c r="W2402" s="42"/>
      <c r="X2402" s="42"/>
      <c r="Y2402" s="42"/>
      <c r="Z2402" s="42"/>
      <c r="AA2402" s="42"/>
      <c r="AB2402" s="42"/>
      <c r="AC2402" s="42"/>
      <c r="AD2402" s="42"/>
      <c r="AE2402" s="42"/>
      <c r="AF2402" s="42"/>
    </row>
    <row r="2403">
      <c r="A2403" s="25"/>
      <c r="B2403" s="297"/>
      <c r="C2403" s="25"/>
      <c r="D2403" s="25"/>
      <c r="E2403" s="25"/>
      <c r="F2403" s="25"/>
      <c r="G2403" s="123"/>
      <c r="H2403" s="123"/>
      <c r="I2403" s="25"/>
      <c r="J2403" s="25"/>
      <c r="K2403" s="367"/>
      <c r="L2403" s="42"/>
      <c r="M2403" s="42"/>
      <c r="N2403" s="42"/>
      <c r="O2403" s="42"/>
      <c r="P2403" s="42"/>
      <c r="Q2403" s="42"/>
      <c r="R2403" s="176"/>
      <c r="S2403" s="42"/>
      <c r="T2403" s="42"/>
      <c r="U2403" s="46"/>
      <c r="V2403" s="42"/>
      <c r="W2403" s="42"/>
      <c r="X2403" s="42"/>
      <c r="Y2403" s="42"/>
      <c r="Z2403" s="42"/>
      <c r="AA2403" s="42"/>
      <c r="AB2403" s="42"/>
      <c r="AC2403" s="42"/>
      <c r="AD2403" s="42"/>
      <c r="AE2403" s="42"/>
      <c r="AF2403" s="42"/>
    </row>
    <row r="2404">
      <c r="A2404" s="25"/>
      <c r="B2404" s="297"/>
      <c r="C2404" s="25"/>
      <c r="D2404" s="25"/>
      <c r="E2404" s="25"/>
      <c r="F2404" s="25"/>
      <c r="G2404" s="123"/>
      <c r="H2404" s="123"/>
      <c r="I2404" s="25"/>
      <c r="J2404" s="25"/>
      <c r="K2404" s="367"/>
      <c r="L2404" s="42"/>
      <c r="M2404" s="42"/>
      <c r="N2404" s="42"/>
      <c r="O2404" s="42"/>
      <c r="P2404" s="42"/>
      <c r="Q2404" s="42"/>
      <c r="R2404" s="176"/>
      <c r="S2404" s="42"/>
      <c r="T2404" s="42"/>
      <c r="U2404" s="46"/>
      <c r="V2404" s="42"/>
      <c r="W2404" s="42"/>
      <c r="X2404" s="42"/>
      <c r="Y2404" s="42"/>
      <c r="Z2404" s="42"/>
      <c r="AA2404" s="42"/>
      <c r="AB2404" s="42"/>
      <c r="AC2404" s="42"/>
      <c r="AD2404" s="42"/>
      <c r="AE2404" s="42"/>
      <c r="AF2404" s="42"/>
    </row>
    <row r="2405">
      <c r="A2405" s="25"/>
      <c r="B2405" s="297"/>
      <c r="C2405" s="25"/>
      <c r="D2405" s="25"/>
      <c r="E2405" s="25"/>
      <c r="F2405" s="25"/>
      <c r="G2405" s="123"/>
      <c r="H2405" s="123"/>
      <c r="I2405" s="25"/>
      <c r="J2405" s="25"/>
      <c r="K2405" s="367"/>
      <c r="L2405" s="42"/>
      <c r="M2405" s="42"/>
      <c r="N2405" s="42"/>
      <c r="O2405" s="42"/>
      <c r="P2405" s="42"/>
      <c r="Q2405" s="42"/>
      <c r="R2405" s="176"/>
      <c r="S2405" s="42"/>
      <c r="T2405" s="42"/>
      <c r="U2405" s="46"/>
      <c r="V2405" s="42"/>
      <c r="W2405" s="42"/>
      <c r="X2405" s="42"/>
      <c r="Y2405" s="42"/>
      <c r="Z2405" s="42"/>
      <c r="AA2405" s="42"/>
      <c r="AB2405" s="42"/>
      <c r="AC2405" s="42"/>
      <c r="AD2405" s="42"/>
      <c r="AE2405" s="42"/>
      <c r="AF2405" s="42"/>
    </row>
    <row r="2406">
      <c r="A2406" s="25"/>
      <c r="B2406" s="297"/>
      <c r="C2406" s="25"/>
      <c r="D2406" s="25"/>
      <c r="E2406" s="25"/>
      <c r="F2406" s="25"/>
      <c r="G2406" s="123"/>
      <c r="H2406" s="123"/>
      <c r="I2406" s="25"/>
      <c r="J2406" s="25"/>
      <c r="K2406" s="367"/>
      <c r="L2406" s="42"/>
      <c r="M2406" s="42"/>
      <c r="N2406" s="42"/>
      <c r="O2406" s="42"/>
      <c r="P2406" s="42"/>
      <c r="Q2406" s="42"/>
      <c r="R2406" s="176"/>
      <c r="S2406" s="42"/>
      <c r="T2406" s="42"/>
      <c r="U2406" s="46"/>
      <c r="V2406" s="42"/>
      <c r="W2406" s="42"/>
      <c r="X2406" s="42"/>
      <c r="Y2406" s="42"/>
      <c r="Z2406" s="42"/>
      <c r="AA2406" s="42"/>
      <c r="AB2406" s="42"/>
      <c r="AC2406" s="42"/>
      <c r="AD2406" s="42"/>
      <c r="AE2406" s="42"/>
      <c r="AF2406" s="42"/>
    </row>
    <row r="2407">
      <c r="A2407" s="25"/>
      <c r="B2407" s="297"/>
      <c r="C2407" s="25"/>
      <c r="D2407" s="25"/>
      <c r="E2407" s="25"/>
      <c r="F2407" s="25"/>
      <c r="G2407" s="123"/>
      <c r="H2407" s="123"/>
      <c r="I2407" s="25"/>
      <c r="J2407" s="25"/>
      <c r="K2407" s="367"/>
      <c r="L2407" s="42"/>
      <c r="M2407" s="42"/>
      <c r="N2407" s="42"/>
      <c r="O2407" s="42"/>
      <c r="P2407" s="42"/>
      <c r="Q2407" s="42"/>
      <c r="R2407" s="176"/>
      <c r="S2407" s="42"/>
      <c r="T2407" s="42"/>
      <c r="U2407" s="46"/>
      <c r="V2407" s="42"/>
      <c r="W2407" s="42"/>
      <c r="X2407" s="42"/>
      <c r="Y2407" s="42"/>
      <c r="Z2407" s="42"/>
      <c r="AA2407" s="42"/>
      <c r="AB2407" s="42"/>
      <c r="AC2407" s="42"/>
      <c r="AD2407" s="42"/>
      <c r="AE2407" s="42"/>
      <c r="AF2407" s="42"/>
    </row>
    <row r="2408">
      <c r="A2408" s="25"/>
      <c r="B2408" s="297"/>
      <c r="C2408" s="25"/>
      <c r="D2408" s="25"/>
      <c r="E2408" s="25"/>
      <c r="F2408" s="25"/>
      <c r="G2408" s="123"/>
      <c r="H2408" s="123"/>
      <c r="I2408" s="25"/>
      <c r="J2408" s="25"/>
      <c r="K2408" s="367"/>
      <c r="L2408" s="42"/>
      <c r="M2408" s="42"/>
      <c r="N2408" s="42"/>
      <c r="O2408" s="42"/>
      <c r="P2408" s="42"/>
      <c r="Q2408" s="42"/>
      <c r="R2408" s="176"/>
      <c r="S2408" s="42"/>
      <c r="T2408" s="42"/>
      <c r="U2408" s="46"/>
      <c r="V2408" s="42"/>
      <c r="W2408" s="42"/>
      <c r="X2408" s="42"/>
      <c r="Y2408" s="42"/>
      <c r="Z2408" s="42"/>
      <c r="AA2408" s="42"/>
      <c r="AB2408" s="42"/>
      <c r="AC2408" s="42"/>
      <c r="AD2408" s="42"/>
      <c r="AE2408" s="42"/>
      <c r="AF2408" s="42"/>
    </row>
    <row r="2409">
      <c r="A2409" s="25"/>
      <c r="B2409" s="297"/>
      <c r="C2409" s="25"/>
      <c r="D2409" s="25"/>
      <c r="E2409" s="25"/>
      <c r="F2409" s="25"/>
      <c r="G2409" s="123"/>
      <c r="H2409" s="123"/>
      <c r="I2409" s="25"/>
      <c r="J2409" s="25"/>
      <c r="K2409" s="367"/>
      <c r="L2409" s="42"/>
      <c r="M2409" s="42"/>
      <c r="N2409" s="42"/>
      <c r="O2409" s="42"/>
      <c r="P2409" s="42"/>
      <c r="Q2409" s="42"/>
      <c r="R2409" s="176"/>
      <c r="S2409" s="42"/>
      <c r="T2409" s="42"/>
      <c r="U2409" s="46"/>
      <c r="V2409" s="42"/>
      <c r="W2409" s="42"/>
      <c r="X2409" s="42"/>
      <c r="Y2409" s="42"/>
      <c r="Z2409" s="42"/>
      <c r="AA2409" s="42"/>
      <c r="AB2409" s="42"/>
      <c r="AC2409" s="42"/>
      <c r="AD2409" s="42"/>
      <c r="AE2409" s="42"/>
      <c r="AF2409" s="42"/>
    </row>
    <row r="2410">
      <c r="A2410" s="25"/>
      <c r="B2410" s="297"/>
      <c r="C2410" s="25"/>
      <c r="D2410" s="25"/>
      <c r="E2410" s="25"/>
      <c r="F2410" s="25"/>
      <c r="G2410" s="123"/>
      <c r="H2410" s="123"/>
      <c r="I2410" s="25"/>
      <c r="J2410" s="25"/>
      <c r="K2410" s="367"/>
      <c r="L2410" s="42"/>
      <c r="M2410" s="42"/>
      <c r="N2410" s="42"/>
      <c r="O2410" s="42"/>
      <c r="P2410" s="42"/>
      <c r="Q2410" s="42"/>
      <c r="R2410" s="176"/>
      <c r="S2410" s="42"/>
      <c r="T2410" s="42"/>
      <c r="U2410" s="46"/>
      <c r="V2410" s="42"/>
      <c r="W2410" s="42"/>
      <c r="X2410" s="42"/>
      <c r="Y2410" s="42"/>
      <c r="Z2410" s="42"/>
      <c r="AA2410" s="42"/>
      <c r="AB2410" s="42"/>
      <c r="AC2410" s="42"/>
      <c r="AD2410" s="42"/>
      <c r="AE2410" s="42"/>
      <c r="AF2410" s="42"/>
    </row>
    <row r="2411">
      <c r="A2411" s="25"/>
      <c r="B2411" s="297"/>
      <c r="C2411" s="25"/>
      <c r="D2411" s="25"/>
      <c r="E2411" s="25"/>
      <c r="F2411" s="25"/>
      <c r="G2411" s="123"/>
      <c r="H2411" s="123"/>
      <c r="I2411" s="25"/>
      <c r="J2411" s="25"/>
      <c r="K2411" s="367"/>
      <c r="L2411" s="42"/>
      <c r="M2411" s="42"/>
      <c r="N2411" s="42"/>
      <c r="O2411" s="42"/>
      <c r="P2411" s="42"/>
      <c r="Q2411" s="42"/>
      <c r="R2411" s="176"/>
      <c r="S2411" s="42"/>
      <c r="T2411" s="42"/>
      <c r="U2411" s="46"/>
      <c r="V2411" s="42"/>
      <c r="W2411" s="42"/>
      <c r="X2411" s="42"/>
      <c r="Y2411" s="42"/>
      <c r="Z2411" s="42"/>
      <c r="AA2411" s="42"/>
      <c r="AB2411" s="42"/>
      <c r="AC2411" s="42"/>
      <c r="AD2411" s="42"/>
      <c r="AE2411" s="42"/>
      <c r="AF2411" s="42"/>
    </row>
    <row r="2412">
      <c r="A2412" s="25"/>
      <c r="B2412" s="297"/>
      <c r="C2412" s="25"/>
      <c r="D2412" s="25"/>
      <c r="E2412" s="25"/>
      <c r="F2412" s="25"/>
      <c r="G2412" s="123"/>
      <c r="H2412" s="123"/>
      <c r="I2412" s="25"/>
      <c r="J2412" s="25"/>
      <c r="K2412" s="367"/>
      <c r="L2412" s="42"/>
      <c r="M2412" s="42"/>
      <c r="N2412" s="42"/>
      <c r="O2412" s="42"/>
      <c r="P2412" s="42"/>
      <c r="Q2412" s="42"/>
      <c r="R2412" s="176"/>
      <c r="S2412" s="42"/>
      <c r="T2412" s="42"/>
      <c r="U2412" s="46"/>
      <c r="V2412" s="42"/>
      <c r="W2412" s="42"/>
      <c r="X2412" s="42"/>
      <c r="Y2412" s="42"/>
      <c r="Z2412" s="42"/>
      <c r="AA2412" s="42"/>
      <c r="AB2412" s="42"/>
      <c r="AC2412" s="42"/>
      <c r="AD2412" s="42"/>
      <c r="AE2412" s="42"/>
      <c r="AF2412" s="42"/>
    </row>
    <row r="2413">
      <c r="A2413" s="25"/>
      <c r="B2413" s="297"/>
      <c r="C2413" s="25"/>
      <c r="D2413" s="25"/>
      <c r="E2413" s="25"/>
      <c r="F2413" s="25"/>
      <c r="G2413" s="123"/>
      <c r="H2413" s="123"/>
      <c r="I2413" s="25"/>
      <c r="J2413" s="25"/>
      <c r="K2413" s="367"/>
      <c r="L2413" s="42"/>
      <c r="M2413" s="42"/>
      <c r="N2413" s="42"/>
      <c r="O2413" s="42"/>
      <c r="P2413" s="42"/>
      <c r="Q2413" s="42"/>
      <c r="R2413" s="176"/>
      <c r="S2413" s="42"/>
      <c r="T2413" s="42"/>
      <c r="U2413" s="46"/>
      <c r="V2413" s="42"/>
      <c r="W2413" s="42"/>
      <c r="X2413" s="42"/>
      <c r="Y2413" s="42"/>
      <c r="Z2413" s="42"/>
      <c r="AA2413" s="42"/>
      <c r="AB2413" s="42"/>
      <c r="AC2413" s="42"/>
      <c r="AD2413" s="42"/>
      <c r="AE2413" s="42"/>
      <c r="AF2413" s="42"/>
    </row>
    <row r="2414">
      <c r="A2414" s="25"/>
      <c r="B2414" s="297"/>
      <c r="C2414" s="25"/>
      <c r="D2414" s="25"/>
      <c r="E2414" s="25"/>
      <c r="F2414" s="25"/>
      <c r="G2414" s="123"/>
      <c r="H2414" s="123"/>
      <c r="I2414" s="25"/>
      <c r="J2414" s="25"/>
      <c r="K2414" s="367"/>
      <c r="L2414" s="42"/>
      <c r="M2414" s="42"/>
      <c r="N2414" s="42"/>
      <c r="O2414" s="42"/>
      <c r="P2414" s="42"/>
      <c r="Q2414" s="42"/>
      <c r="R2414" s="176"/>
      <c r="S2414" s="42"/>
      <c r="T2414" s="42"/>
      <c r="U2414" s="46"/>
      <c r="V2414" s="42"/>
      <c r="W2414" s="42"/>
      <c r="X2414" s="42"/>
      <c r="Y2414" s="42"/>
      <c r="Z2414" s="42"/>
      <c r="AA2414" s="42"/>
      <c r="AB2414" s="42"/>
      <c r="AC2414" s="42"/>
      <c r="AD2414" s="42"/>
      <c r="AE2414" s="42"/>
      <c r="AF2414" s="42"/>
    </row>
    <row r="2415">
      <c r="A2415" s="25"/>
      <c r="B2415" s="297"/>
      <c r="C2415" s="25"/>
      <c r="D2415" s="25"/>
      <c r="E2415" s="25"/>
      <c r="F2415" s="25"/>
      <c r="G2415" s="123"/>
      <c r="H2415" s="123"/>
      <c r="I2415" s="25"/>
      <c r="J2415" s="25"/>
      <c r="K2415" s="367"/>
      <c r="L2415" s="42"/>
      <c r="M2415" s="42"/>
      <c r="N2415" s="42"/>
      <c r="O2415" s="42"/>
      <c r="P2415" s="42"/>
      <c r="Q2415" s="42"/>
      <c r="R2415" s="176"/>
      <c r="S2415" s="42"/>
      <c r="T2415" s="42"/>
      <c r="U2415" s="46"/>
      <c r="V2415" s="42"/>
      <c r="W2415" s="42"/>
      <c r="X2415" s="42"/>
      <c r="Y2415" s="42"/>
      <c r="Z2415" s="42"/>
      <c r="AA2415" s="42"/>
      <c r="AB2415" s="42"/>
      <c r="AC2415" s="42"/>
      <c r="AD2415" s="42"/>
      <c r="AE2415" s="42"/>
      <c r="AF2415" s="42"/>
    </row>
    <row r="2416">
      <c r="A2416" s="25"/>
      <c r="B2416" s="297"/>
      <c r="C2416" s="25"/>
      <c r="D2416" s="25"/>
      <c r="E2416" s="25"/>
      <c r="F2416" s="25"/>
      <c r="G2416" s="123"/>
      <c r="H2416" s="123"/>
      <c r="I2416" s="25"/>
      <c r="J2416" s="25"/>
      <c r="K2416" s="367"/>
      <c r="L2416" s="42"/>
      <c r="M2416" s="42"/>
      <c r="N2416" s="42"/>
      <c r="O2416" s="42"/>
      <c r="P2416" s="42"/>
      <c r="Q2416" s="42"/>
      <c r="R2416" s="176"/>
      <c r="S2416" s="42"/>
      <c r="T2416" s="42"/>
      <c r="U2416" s="46"/>
      <c r="V2416" s="42"/>
      <c r="W2416" s="42"/>
      <c r="X2416" s="42"/>
      <c r="Y2416" s="42"/>
      <c r="Z2416" s="42"/>
      <c r="AA2416" s="42"/>
      <c r="AB2416" s="42"/>
      <c r="AC2416" s="42"/>
      <c r="AD2416" s="42"/>
      <c r="AE2416" s="42"/>
      <c r="AF2416" s="42"/>
    </row>
    <row r="2417">
      <c r="A2417" s="25"/>
      <c r="B2417" s="297"/>
      <c r="C2417" s="25"/>
      <c r="D2417" s="25"/>
      <c r="E2417" s="25"/>
      <c r="F2417" s="25"/>
      <c r="G2417" s="123"/>
      <c r="H2417" s="123"/>
      <c r="I2417" s="25"/>
      <c r="J2417" s="25"/>
      <c r="K2417" s="367"/>
      <c r="L2417" s="42"/>
      <c r="M2417" s="42"/>
      <c r="N2417" s="42"/>
      <c r="O2417" s="42"/>
      <c r="P2417" s="42"/>
      <c r="Q2417" s="42"/>
      <c r="R2417" s="176"/>
      <c r="S2417" s="42"/>
      <c r="T2417" s="42"/>
      <c r="U2417" s="46"/>
      <c r="V2417" s="42"/>
      <c r="W2417" s="42"/>
      <c r="X2417" s="42"/>
      <c r="Y2417" s="42"/>
      <c r="Z2417" s="42"/>
      <c r="AA2417" s="42"/>
      <c r="AB2417" s="42"/>
      <c r="AC2417" s="42"/>
      <c r="AD2417" s="42"/>
      <c r="AE2417" s="42"/>
      <c r="AF2417" s="42"/>
    </row>
    <row r="2418">
      <c r="A2418" s="25"/>
      <c r="B2418" s="297"/>
      <c r="C2418" s="25"/>
      <c r="D2418" s="25"/>
      <c r="E2418" s="25"/>
      <c r="F2418" s="25"/>
      <c r="G2418" s="123"/>
      <c r="H2418" s="123"/>
      <c r="I2418" s="25"/>
      <c r="J2418" s="25"/>
      <c r="K2418" s="367"/>
      <c r="L2418" s="42"/>
      <c r="M2418" s="42"/>
      <c r="N2418" s="42"/>
      <c r="O2418" s="42"/>
      <c r="P2418" s="42"/>
      <c r="Q2418" s="42"/>
      <c r="R2418" s="176"/>
      <c r="S2418" s="42"/>
      <c r="T2418" s="42"/>
      <c r="U2418" s="46"/>
      <c r="V2418" s="42"/>
      <c r="W2418" s="42"/>
      <c r="X2418" s="42"/>
      <c r="Y2418" s="42"/>
      <c r="Z2418" s="42"/>
      <c r="AA2418" s="42"/>
      <c r="AB2418" s="42"/>
      <c r="AC2418" s="42"/>
      <c r="AD2418" s="42"/>
      <c r="AE2418" s="42"/>
      <c r="AF2418" s="42"/>
    </row>
    <row r="2419">
      <c r="A2419" s="25"/>
      <c r="B2419" s="297"/>
      <c r="C2419" s="25"/>
      <c r="D2419" s="25"/>
      <c r="E2419" s="25"/>
      <c r="F2419" s="25"/>
      <c r="G2419" s="123"/>
      <c r="H2419" s="123"/>
      <c r="I2419" s="25"/>
      <c r="J2419" s="25"/>
      <c r="K2419" s="367"/>
      <c r="L2419" s="42"/>
      <c r="M2419" s="42"/>
      <c r="N2419" s="42"/>
      <c r="O2419" s="42"/>
      <c r="P2419" s="42"/>
      <c r="Q2419" s="42"/>
      <c r="R2419" s="176"/>
      <c r="S2419" s="42"/>
      <c r="T2419" s="42"/>
      <c r="U2419" s="46"/>
      <c r="V2419" s="42"/>
      <c r="W2419" s="42"/>
      <c r="X2419" s="42"/>
      <c r="Y2419" s="42"/>
      <c r="Z2419" s="42"/>
      <c r="AA2419" s="42"/>
      <c r="AB2419" s="42"/>
      <c r="AC2419" s="42"/>
      <c r="AD2419" s="42"/>
      <c r="AE2419" s="42"/>
      <c r="AF2419" s="42"/>
    </row>
    <row r="2420">
      <c r="A2420" s="25"/>
      <c r="B2420" s="297"/>
      <c r="C2420" s="25"/>
      <c r="D2420" s="25"/>
      <c r="E2420" s="25"/>
      <c r="F2420" s="25"/>
      <c r="G2420" s="123"/>
      <c r="H2420" s="123"/>
      <c r="I2420" s="25"/>
      <c r="J2420" s="25"/>
      <c r="K2420" s="367"/>
      <c r="L2420" s="42"/>
      <c r="M2420" s="42"/>
      <c r="N2420" s="42"/>
      <c r="O2420" s="42"/>
      <c r="P2420" s="42"/>
      <c r="Q2420" s="42"/>
      <c r="R2420" s="176"/>
      <c r="S2420" s="42"/>
      <c r="T2420" s="42"/>
      <c r="U2420" s="46"/>
      <c r="V2420" s="42"/>
      <c r="W2420" s="42"/>
      <c r="X2420" s="42"/>
      <c r="Y2420" s="42"/>
      <c r="Z2420" s="42"/>
      <c r="AA2420" s="42"/>
      <c r="AB2420" s="42"/>
      <c r="AC2420" s="42"/>
      <c r="AD2420" s="42"/>
      <c r="AE2420" s="42"/>
      <c r="AF2420" s="42"/>
    </row>
    <row r="2421">
      <c r="A2421" s="25"/>
      <c r="B2421" s="297"/>
      <c r="C2421" s="25"/>
      <c r="D2421" s="25"/>
      <c r="E2421" s="25"/>
      <c r="F2421" s="25"/>
      <c r="G2421" s="123"/>
      <c r="H2421" s="123"/>
      <c r="I2421" s="25"/>
      <c r="J2421" s="25"/>
      <c r="K2421" s="367"/>
      <c r="L2421" s="42"/>
      <c r="M2421" s="42"/>
      <c r="N2421" s="42"/>
      <c r="O2421" s="42"/>
      <c r="P2421" s="42"/>
      <c r="Q2421" s="42"/>
      <c r="R2421" s="176"/>
      <c r="S2421" s="42"/>
      <c r="T2421" s="42"/>
      <c r="U2421" s="46"/>
      <c r="V2421" s="42"/>
      <c r="W2421" s="42"/>
      <c r="X2421" s="42"/>
      <c r="Y2421" s="42"/>
      <c r="Z2421" s="42"/>
      <c r="AA2421" s="42"/>
      <c r="AB2421" s="42"/>
      <c r="AC2421" s="42"/>
      <c r="AD2421" s="42"/>
      <c r="AE2421" s="42"/>
      <c r="AF2421" s="42"/>
    </row>
    <row r="2422">
      <c r="A2422" s="25"/>
      <c r="B2422" s="297"/>
      <c r="C2422" s="25"/>
      <c r="D2422" s="25"/>
      <c r="E2422" s="25"/>
      <c r="F2422" s="25"/>
      <c r="G2422" s="123"/>
      <c r="H2422" s="123"/>
      <c r="I2422" s="25"/>
      <c r="J2422" s="25"/>
      <c r="K2422" s="367"/>
      <c r="L2422" s="42"/>
      <c r="M2422" s="42"/>
      <c r="N2422" s="42"/>
      <c r="O2422" s="42"/>
      <c r="P2422" s="42"/>
      <c r="Q2422" s="42"/>
      <c r="R2422" s="176"/>
      <c r="S2422" s="42"/>
      <c r="T2422" s="42"/>
      <c r="U2422" s="46"/>
      <c r="V2422" s="42"/>
      <c r="W2422" s="42"/>
      <c r="X2422" s="42"/>
      <c r="Y2422" s="42"/>
      <c r="Z2422" s="42"/>
      <c r="AA2422" s="42"/>
      <c r="AB2422" s="42"/>
      <c r="AC2422" s="42"/>
      <c r="AD2422" s="42"/>
      <c r="AE2422" s="42"/>
      <c r="AF2422" s="42"/>
    </row>
    <row r="2423">
      <c r="A2423" s="25"/>
      <c r="B2423" s="297"/>
      <c r="C2423" s="25"/>
      <c r="D2423" s="25"/>
      <c r="E2423" s="25"/>
      <c r="F2423" s="25"/>
      <c r="G2423" s="123"/>
      <c r="H2423" s="123"/>
      <c r="I2423" s="25"/>
      <c r="J2423" s="25"/>
      <c r="K2423" s="367"/>
      <c r="L2423" s="42"/>
      <c r="M2423" s="42"/>
      <c r="N2423" s="42"/>
      <c r="O2423" s="42"/>
      <c r="P2423" s="42"/>
      <c r="Q2423" s="42"/>
      <c r="R2423" s="176"/>
      <c r="S2423" s="42"/>
      <c r="T2423" s="42"/>
      <c r="U2423" s="46"/>
      <c r="V2423" s="42"/>
      <c r="W2423" s="42"/>
      <c r="X2423" s="42"/>
      <c r="Y2423" s="42"/>
      <c r="Z2423" s="42"/>
      <c r="AA2423" s="42"/>
      <c r="AB2423" s="42"/>
      <c r="AC2423" s="42"/>
      <c r="AD2423" s="42"/>
      <c r="AE2423" s="42"/>
      <c r="AF2423" s="42"/>
    </row>
    <row r="2424">
      <c r="A2424" s="25"/>
      <c r="B2424" s="297"/>
      <c r="C2424" s="25"/>
      <c r="D2424" s="25"/>
      <c r="E2424" s="25"/>
      <c r="F2424" s="25"/>
      <c r="G2424" s="123"/>
      <c r="H2424" s="123"/>
      <c r="I2424" s="25"/>
      <c r="J2424" s="25"/>
      <c r="K2424" s="367"/>
      <c r="L2424" s="42"/>
      <c r="M2424" s="42"/>
      <c r="N2424" s="42"/>
      <c r="O2424" s="42"/>
      <c r="P2424" s="42"/>
      <c r="Q2424" s="42"/>
      <c r="R2424" s="176"/>
      <c r="S2424" s="42"/>
      <c r="T2424" s="42"/>
      <c r="U2424" s="46"/>
      <c r="V2424" s="42"/>
      <c r="W2424" s="42"/>
      <c r="X2424" s="42"/>
      <c r="Y2424" s="42"/>
      <c r="Z2424" s="42"/>
      <c r="AA2424" s="42"/>
      <c r="AB2424" s="42"/>
      <c r="AC2424" s="42"/>
      <c r="AD2424" s="42"/>
      <c r="AE2424" s="42"/>
      <c r="AF2424" s="42"/>
    </row>
    <row r="2425">
      <c r="A2425" s="25"/>
      <c r="B2425" s="297"/>
      <c r="C2425" s="25"/>
      <c r="D2425" s="25"/>
      <c r="E2425" s="25"/>
      <c r="F2425" s="25"/>
      <c r="G2425" s="123"/>
      <c r="H2425" s="123"/>
      <c r="I2425" s="25"/>
      <c r="J2425" s="25"/>
      <c r="K2425" s="367"/>
      <c r="L2425" s="42"/>
      <c r="M2425" s="42"/>
      <c r="N2425" s="42"/>
      <c r="O2425" s="42"/>
      <c r="P2425" s="42"/>
      <c r="Q2425" s="42"/>
      <c r="R2425" s="176"/>
      <c r="S2425" s="42"/>
      <c r="T2425" s="42"/>
      <c r="U2425" s="46"/>
      <c r="V2425" s="42"/>
      <c r="W2425" s="42"/>
      <c r="X2425" s="42"/>
      <c r="Y2425" s="42"/>
      <c r="Z2425" s="42"/>
      <c r="AA2425" s="42"/>
      <c r="AB2425" s="42"/>
      <c r="AC2425" s="42"/>
      <c r="AD2425" s="42"/>
      <c r="AE2425" s="42"/>
      <c r="AF2425" s="42"/>
    </row>
    <row r="2426">
      <c r="A2426" s="25"/>
      <c r="B2426" s="297"/>
      <c r="C2426" s="25"/>
      <c r="D2426" s="25"/>
      <c r="E2426" s="25"/>
      <c r="F2426" s="25"/>
      <c r="G2426" s="123"/>
      <c r="H2426" s="123"/>
      <c r="I2426" s="25"/>
      <c r="J2426" s="25"/>
      <c r="K2426" s="367"/>
      <c r="L2426" s="42"/>
      <c r="M2426" s="42"/>
      <c r="N2426" s="42"/>
      <c r="O2426" s="42"/>
      <c r="P2426" s="42"/>
      <c r="Q2426" s="42"/>
      <c r="R2426" s="176"/>
      <c r="S2426" s="42"/>
      <c r="T2426" s="42"/>
      <c r="U2426" s="46"/>
      <c r="V2426" s="42"/>
      <c r="W2426" s="42"/>
      <c r="X2426" s="42"/>
      <c r="Y2426" s="42"/>
      <c r="Z2426" s="42"/>
      <c r="AA2426" s="42"/>
      <c r="AB2426" s="42"/>
      <c r="AC2426" s="42"/>
      <c r="AD2426" s="42"/>
      <c r="AE2426" s="42"/>
      <c r="AF2426" s="42"/>
    </row>
    <row r="2427">
      <c r="A2427" s="25"/>
      <c r="B2427" s="297"/>
      <c r="C2427" s="25"/>
      <c r="D2427" s="25"/>
      <c r="E2427" s="25"/>
      <c r="F2427" s="25"/>
      <c r="G2427" s="123"/>
      <c r="H2427" s="123"/>
      <c r="I2427" s="25"/>
      <c r="J2427" s="25"/>
      <c r="K2427" s="367"/>
      <c r="L2427" s="42"/>
      <c r="M2427" s="42"/>
      <c r="N2427" s="42"/>
      <c r="O2427" s="42"/>
      <c r="P2427" s="42"/>
      <c r="Q2427" s="42"/>
      <c r="R2427" s="176"/>
      <c r="S2427" s="42"/>
      <c r="T2427" s="42"/>
      <c r="U2427" s="46"/>
      <c r="V2427" s="42"/>
      <c r="W2427" s="42"/>
      <c r="X2427" s="42"/>
      <c r="Y2427" s="42"/>
      <c r="Z2427" s="42"/>
      <c r="AA2427" s="42"/>
      <c r="AB2427" s="42"/>
      <c r="AC2427" s="42"/>
      <c r="AD2427" s="42"/>
      <c r="AE2427" s="42"/>
      <c r="AF2427" s="42"/>
    </row>
    <row r="2428">
      <c r="A2428" s="25"/>
      <c r="B2428" s="297"/>
      <c r="C2428" s="25"/>
      <c r="D2428" s="25"/>
      <c r="E2428" s="25"/>
      <c r="F2428" s="25"/>
      <c r="G2428" s="123"/>
      <c r="H2428" s="123"/>
      <c r="I2428" s="25"/>
      <c r="J2428" s="25"/>
      <c r="K2428" s="367"/>
      <c r="L2428" s="42"/>
      <c r="M2428" s="42"/>
      <c r="N2428" s="42"/>
      <c r="O2428" s="42"/>
      <c r="P2428" s="42"/>
      <c r="Q2428" s="42"/>
      <c r="R2428" s="176"/>
      <c r="S2428" s="42"/>
      <c r="T2428" s="42"/>
      <c r="U2428" s="46"/>
      <c r="V2428" s="42"/>
      <c r="W2428" s="42"/>
      <c r="X2428" s="42"/>
      <c r="Y2428" s="42"/>
      <c r="Z2428" s="42"/>
      <c r="AA2428" s="42"/>
      <c r="AB2428" s="42"/>
      <c r="AC2428" s="42"/>
      <c r="AD2428" s="42"/>
      <c r="AE2428" s="42"/>
      <c r="AF2428" s="42"/>
    </row>
    <row r="2429">
      <c r="A2429" s="25"/>
      <c r="B2429" s="297"/>
      <c r="C2429" s="25"/>
      <c r="D2429" s="25"/>
      <c r="E2429" s="25"/>
      <c r="F2429" s="25"/>
      <c r="G2429" s="123"/>
      <c r="H2429" s="123"/>
      <c r="I2429" s="25"/>
      <c r="J2429" s="25"/>
      <c r="K2429" s="367"/>
      <c r="L2429" s="42"/>
      <c r="M2429" s="42"/>
      <c r="N2429" s="42"/>
      <c r="O2429" s="42"/>
      <c r="P2429" s="42"/>
      <c r="Q2429" s="42"/>
      <c r="R2429" s="176"/>
      <c r="S2429" s="42"/>
      <c r="T2429" s="42"/>
      <c r="U2429" s="46"/>
      <c r="V2429" s="42"/>
      <c r="W2429" s="42"/>
      <c r="X2429" s="42"/>
      <c r="Y2429" s="42"/>
      <c r="Z2429" s="42"/>
      <c r="AA2429" s="42"/>
      <c r="AB2429" s="42"/>
      <c r="AC2429" s="42"/>
      <c r="AD2429" s="42"/>
      <c r="AE2429" s="42"/>
      <c r="AF2429" s="42"/>
    </row>
    <row r="2430">
      <c r="A2430" s="25"/>
      <c r="B2430" s="297"/>
      <c r="C2430" s="25"/>
      <c r="D2430" s="25"/>
      <c r="E2430" s="25"/>
      <c r="F2430" s="25"/>
      <c r="G2430" s="123"/>
      <c r="H2430" s="123"/>
      <c r="I2430" s="25"/>
      <c r="J2430" s="25"/>
      <c r="K2430" s="367"/>
      <c r="L2430" s="42"/>
      <c r="M2430" s="42"/>
      <c r="N2430" s="42"/>
      <c r="O2430" s="42"/>
      <c r="P2430" s="42"/>
      <c r="Q2430" s="42"/>
      <c r="R2430" s="176"/>
      <c r="S2430" s="42"/>
      <c r="T2430" s="42"/>
      <c r="U2430" s="46"/>
      <c r="V2430" s="42"/>
      <c r="W2430" s="42"/>
      <c r="X2430" s="42"/>
      <c r="Y2430" s="42"/>
      <c r="Z2430" s="42"/>
      <c r="AA2430" s="42"/>
      <c r="AB2430" s="42"/>
      <c r="AC2430" s="42"/>
      <c r="AD2430" s="42"/>
      <c r="AE2430" s="42"/>
      <c r="AF2430" s="42"/>
    </row>
    <row r="2431">
      <c r="A2431" s="25"/>
      <c r="B2431" s="297"/>
      <c r="C2431" s="25"/>
      <c r="D2431" s="25"/>
      <c r="E2431" s="25"/>
      <c r="F2431" s="25"/>
      <c r="G2431" s="123"/>
      <c r="H2431" s="123"/>
      <c r="I2431" s="25"/>
      <c r="J2431" s="25"/>
      <c r="K2431" s="367"/>
      <c r="L2431" s="42"/>
      <c r="M2431" s="42"/>
      <c r="N2431" s="42"/>
      <c r="O2431" s="42"/>
      <c r="P2431" s="42"/>
      <c r="Q2431" s="42"/>
      <c r="R2431" s="176"/>
      <c r="S2431" s="42"/>
      <c r="T2431" s="42"/>
      <c r="U2431" s="46"/>
      <c r="V2431" s="42"/>
      <c r="W2431" s="42"/>
      <c r="X2431" s="42"/>
      <c r="Y2431" s="42"/>
      <c r="Z2431" s="42"/>
      <c r="AA2431" s="42"/>
      <c r="AB2431" s="42"/>
      <c r="AC2431" s="42"/>
      <c r="AD2431" s="42"/>
      <c r="AE2431" s="42"/>
      <c r="AF2431" s="42"/>
    </row>
    <row r="2432">
      <c r="A2432" s="25"/>
      <c r="B2432" s="297"/>
      <c r="C2432" s="25"/>
      <c r="D2432" s="25"/>
      <c r="E2432" s="25"/>
      <c r="F2432" s="25"/>
      <c r="G2432" s="123"/>
      <c r="H2432" s="123"/>
      <c r="I2432" s="25"/>
      <c r="J2432" s="25"/>
      <c r="K2432" s="367"/>
      <c r="L2432" s="42"/>
      <c r="M2432" s="42"/>
      <c r="N2432" s="42"/>
      <c r="O2432" s="42"/>
      <c r="P2432" s="42"/>
      <c r="Q2432" s="42"/>
      <c r="R2432" s="176"/>
      <c r="S2432" s="42"/>
      <c r="T2432" s="42"/>
      <c r="U2432" s="46"/>
      <c r="V2432" s="42"/>
      <c r="W2432" s="42"/>
      <c r="X2432" s="42"/>
      <c r="Y2432" s="42"/>
      <c r="Z2432" s="42"/>
      <c r="AA2432" s="42"/>
      <c r="AB2432" s="42"/>
      <c r="AC2432" s="42"/>
      <c r="AD2432" s="42"/>
      <c r="AE2432" s="42"/>
      <c r="AF2432" s="42"/>
    </row>
    <row r="2433">
      <c r="A2433" s="25"/>
      <c r="B2433" s="297"/>
      <c r="C2433" s="25"/>
      <c r="D2433" s="25"/>
      <c r="E2433" s="25"/>
      <c r="F2433" s="25"/>
      <c r="G2433" s="123"/>
      <c r="H2433" s="123"/>
      <c r="I2433" s="25"/>
      <c r="J2433" s="25"/>
      <c r="K2433" s="367"/>
      <c r="L2433" s="42"/>
      <c r="M2433" s="42"/>
      <c r="N2433" s="42"/>
      <c r="O2433" s="42"/>
      <c r="P2433" s="42"/>
      <c r="Q2433" s="42"/>
      <c r="R2433" s="176"/>
      <c r="S2433" s="42"/>
      <c r="T2433" s="42"/>
      <c r="U2433" s="46"/>
      <c r="V2433" s="42"/>
      <c r="W2433" s="42"/>
      <c r="X2433" s="42"/>
      <c r="Y2433" s="42"/>
      <c r="Z2433" s="42"/>
      <c r="AA2433" s="42"/>
      <c r="AB2433" s="42"/>
      <c r="AC2433" s="42"/>
      <c r="AD2433" s="42"/>
      <c r="AE2433" s="42"/>
      <c r="AF2433" s="42"/>
    </row>
    <row r="2434">
      <c r="A2434" s="25"/>
      <c r="B2434" s="297"/>
      <c r="C2434" s="25"/>
      <c r="D2434" s="25"/>
      <c r="E2434" s="25"/>
      <c r="F2434" s="25"/>
      <c r="G2434" s="123"/>
      <c r="H2434" s="123"/>
      <c r="I2434" s="25"/>
      <c r="J2434" s="25"/>
      <c r="K2434" s="367"/>
      <c r="L2434" s="42"/>
      <c r="M2434" s="42"/>
      <c r="N2434" s="42"/>
      <c r="O2434" s="42"/>
      <c r="P2434" s="42"/>
      <c r="Q2434" s="42"/>
      <c r="R2434" s="176"/>
      <c r="S2434" s="42"/>
      <c r="T2434" s="42"/>
      <c r="U2434" s="46"/>
      <c r="V2434" s="42"/>
      <c r="W2434" s="42"/>
      <c r="X2434" s="42"/>
      <c r="Y2434" s="42"/>
      <c r="Z2434" s="42"/>
      <c r="AA2434" s="42"/>
      <c r="AB2434" s="42"/>
      <c r="AC2434" s="42"/>
      <c r="AD2434" s="42"/>
      <c r="AE2434" s="42"/>
      <c r="AF2434" s="42"/>
    </row>
    <row r="2435">
      <c r="A2435" s="25"/>
      <c r="B2435" s="297"/>
      <c r="C2435" s="25"/>
      <c r="D2435" s="25"/>
      <c r="E2435" s="25"/>
      <c r="F2435" s="25"/>
      <c r="G2435" s="123"/>
      <c r="H2435" s="123"/>
      <c r="I2435" s="25"/>
      <c r="J2435" s="25"/>
      <c r="K2435" s="367"/>
      <c r="L2435" s="42"/>
      <c r="M2435" s="42"/>
      <c r="N2435" s="42"/>
      <c r="O2435" s="42"/>
      <c r="P2435" s="42"/>
      <c r="Q2435" s="42"/>
      <c r="R2435" s="176"/>
      <c r="S2435" s="42"/>
      <c r="T2435" s="42"/>
      <c r="U2435" s="46"/>
      <c r="V2435" s="42"/>
      <c r="W2435" s="42"/>
      <c r="X2435" s="42"/>
      <c r="Y2435" s="42"/>
      <c r="Z2435" s="42"/>
      <c r="AA2435" s="42"/>
      <c r="AB2435" s="42"/>
      <c r="AC2435" s="42"/>
      <c r="AD2435" s="42"/>
      <c r="AE2435" s="42"/>
      <c r="AF2435" s="42"/>
    </row>
    <row r="2436">
      <c r="A2436" s="25"/>
      <c r="B2436" s="297"/>
      <c r="C2436" s="25"/>
      <c r="D2436" s="25"/>
      <c r="E2436" s="25"/>
      <c r="F2436" s="25"/>
      <c r="G2436" s="123"/>
      <c r="H2436" s="123"/>
      <c r="I2436" s="25"/>
      <c r="J2436" s="25"/>
      <c r="K2436" s="367"/>
      <c r="L2436" s="42"/>
      <c r="M2436" s="42"/>
      <c r="N2436" s="42"/>
      <c r="O2436" s="42"/>
      <c r="P2436" s="42"/>
      <c r="Q2436" s="42"/>
      <c r="R2436" s="176"/>
      <c r="S2436" s="42"/>
      <c r="T2436" s="42"/>
      <c r="U2436" s="46"/>
      <c r="V2436" s="42"/>
      <c r="W2436" s="42"/>
      <c r="X2436" s="42"/>
      <c r="Y2436" s="42"/>
      <c r="Z2436" s="42"/>
      <c r="AA2436" s="42"/>
      <c r="AB2436" s="42"/>
      <c r="AC2436" s="42"/>
      <c r="AD2436" s="42"/>
      <c r="AE2436" s="42"/>
      <c r="AF2436" s="42"/>
    </row>
    <row r="2437">
      <c r="A2437" s="25"/>
      <c r="B2437" s="297"/>
      <c r="C2437" s="25"/>
      <c r="D2437" s="25"/>
      <c r="E2437" s="25"/>
      <c r="F2437" s="25"/>
      <c r="G2437" s="123"/>
      <c r="H2437" s="123"/>
      <c r="I2437" s="25"/>
      <c r="J2437" s="25"/>
      <c r="K2437" s="367"/>
      <c r="L2437" s="42"/>
      <c r="M2437" s="42"/>
      <c r="N2437" s="42"/>
      <c r="O2437" s="42"/>
      <c r="P2437" s="42"/>
      <c r="Q2437" s="42"/>
      <c r="R2437" s="176"/>
      <c r="S2437" s="42"/>
      <c r="T2437" s="42"/>
      <c r="U2437" s="46"/>
      <c r="V2437" s="42"/>
      <c r="W2437" s="42"/>
      <c r="X2437" s="42"/>
      <c r="Y2437" s="42"/>
      <c r="Z2437" s="42"/>
      <c r="AA2437" s="42"/>
      <c r="AB2437" s="42"/>
      <c r="AC2437" s="42"/>
      <c r="AD2437" s="42"/>
      <c r="AE2437" s="42"/>
      <c r="AF2437" s="42"/>
    </row>
    <row r="2438">
      <c r="A2438" s="25"/>
      <c r="B2438" s="297"/>
      <c r="C2438" s="25"/>
      <c r="D2438" s="25"/>
      <c r="E2438" s="25"/>
      <c r="F2438" s="25"/>
      <c r="G2438" s="123"/>
      <c r="H2438" s="123"/>
      <c r="I2438" s="25"/>
      <c r="J2438" s="25"/>
      <c r="K2438" s="367"/>
      <c r="L2438" s="42"/>
      <c r="M2438" s="42"/>
      <c r="N2438" s="42"/>
      <c r="O2438" s="42"/>
      <c r="P2438" s="42"/>
      <c r="Q2438" s="42"/>
      <c r="R2438" s="176"/>
      <c r="S2438" s="42"/>
      <c r="T2438" s="42"/>
      <c r="U2438" s="46"/>
      <c r="V2438" s="42"/>
      <c r="W2438" s="42"/>
      <c r="X2438" s="42"/>
      <c r="Y2438" s="42"/>
      <c r="Z2438" s="42"/>
      <c r="AA2438" s="42"/>
      <c r="AB2438" s="42"/>
      <c r="AC2438" s="42"/>
      <c r="AD2438" s="42"/>
      <c r="AE2438" s="42"/>
      <c r="AF2438" s="42"/>
    </row>
    <row r="2439">
      <c r="A2439" s="25"/>
      <c r="B2439" s="297"/>
      <c r="C2439" s="25"/>
      <c r="D2439" s="25"/>
      <c r="E2439" s="25"/>
      <c r="F2439" s="25"/>
      <c r="G2439" s="123"/>
      <c r="H2439" s="123"/>
      <c r="I2439" s="25"/>
      <c r="J2439" s="25"/>
      <c r="K2439" s="367"/>
      <c r="L2439" s="42"/>
      <c r="M2439" s="42"/>
      <c r="N2439" s="42"/>
      <c r="O2439" s="42"/>
      <c r="P2439" s="42"/>
      <c r="Q2439" s="42"/>
      <c r="R2439" s="176"/>
      <c r="S2439" s="42"/>
      <c r="T2439" s="42"/>
      <c r="U2439" s="46"/>
      <c r="V2439" s="42"/>
      <c r="W2439" s="42"/>
      <c r="X2439" s="42"/>
      <c r="Y2439" s="42"/>
      <c r="Z2439" s="42"/>
      <c r="AA2439" s="42"/>
      <c r="AB2439" s="42"/>
      <c r="AC2439" s="42"/>
      <c r="AD2439" s="42"/>
      <c r="AE2439" s="42"/>
      <c r="AF2439" s="42"/>
    </row>
    <row r="2440">
      <c r="A2440" s="25"/>
      <c r="B2440" s="297"/>
      <c r="C2440" s="25"/>
      <c r="D2440" s="25"/>
      <c r="E2440" s="25"/>
      <c r="F2440" s="25"/>
      <c r="G2440" s="123"/>
      <c r="H2440" s="123"/>
      <c r="I2440" s="25"/>
      <c r="J2440" s="25"/>
      <c r="K2440" s="367"/>
      <c r="L2440" s="42"/>
      <c r="M2440" s="42"/>
      <c r="N2440" s="42"/>
      <c r="O2440" s="42"/>
      <c r="P2440" s="42"/>
      <c r="Q2440" s="42"/>
      <c r="R2440" s="176"/>
      <c r="S2440" s="42"/>
      <c r="T2440" s="42"/>
      <c r="U2440" s="46"/>
      <c r="V2440" s="42"/>
      <c r="W2440" s="42"/>
      <c r="X2440" s="42"/>
      <c r="Y2440" s="42"/>
      <c r="Z2440" s="42"/>
      <c r="AA2440" s="42"/>
      <c r="AB2440" s="42"/>
      <c r="AC2440" s="42"/>
      <c r="AD2440" s="42"/>
      <c r="AE2440" s="42"/>
      <c r="AF2440" s="42"/>
    </row>
    <row r="2441">
      <c r="A2441" s="25"/>
      <c r="B2441" s="297"/>
      <c r="C2441" s="25"/>
      <c r="D2441" s="25"/>
      <c r="E2441" s="25"/>
      <c r="F2441" s="25"/>
      <c r="G2441" s="123"/>
      <c r="H2441" s="123"/>
      <c r="I2441" s="25"/>
      <c r="J2441" s="25"/>
      <c r="K2441" s="367"/>
      <c r="L2441" s="42"/>
      <c r="M2441" s="42"/>
      <c r="N2441" s="42"/>
      <c r="O2441" s="42"/>
      <c r="P2441" s="42"/>
      <c r="Q2441" s="42"/>
      <c r="R2441" s="176"/>
      <c r="S2441" s="42"/>
      <c r="T2441" s="42"/>
      <c r="U2441" s="46"/>
      <c r="V2441" s="42"/>
      <c r="W2441" s="42"/>
      <c r="X2441" s="42"/>
      <c r="Y2441" s="42"/>
      <c r="Z2441" s="42"/>
      <c r="AA2441" s="42"/>
      <c r="AB2441" s="42"/>
      <c r="AC2441" s="42"/>
      <c r="AD2441" s="42"/>
      <c r="AE2441" s="42"/>
      <c r="AF2441" s="42"/>
    </row>
    <row r="2442">
      <c r="A2442" s="25"/>
      <c r="B2442" s="297"/>
      <c r="C2442" s="25"/>
      <c r="D2442" s="25"/>
      <c r="E2442" s="25"/>
      <c r="F2442" s="25"/>
      <c r="G2442" s="123"/>
      <c r="H2442" s="123"/>
      <c r="I2442" s="25"/>
      <c r="J2442" s="25"/>
      <c r="K2442" s="367"/>
      <c r="L2442" s="42"/>
      <c r="M2442" s="42"/>
      <c r="N2442" s="42"/>
      <c r="O2442" s="42"/>
      <c r="P2442" s="42"/>
      <c r="Q2442" s="42"/>
      <c r="R2442" s="176"/>
      <c r="S2442" s="42"/>
      <c r="T2442" s="42"/>
      <c r="U2442" s="46"/>
      <c r="V2442" s="42"/>
      <c r="W2442" s="42"/>
      <c r="X2442" s="42"/>
      <c r="Y2442" s="42"/>
      <c r="Z2442" s="42"/>
      <c r="AA2442" s="42"/>
      <c r="AB2442" s="42"/>
      <c r="AC2442" s="42"/>
      <c r="AD2442" s="42"/>
      <c r="AE2442" s="42"/>
      <c r="AF2442" s="42"/>
    </row>
    <row r="2443">
      <c r="A2443" s="25"/>
      <c r="B2443" s="297"/>
      <c r="C2443" s="25"/>
      <c r="D2443" s="25"/>
      <c r="E2443" s="25"/>
      <c r="F2443" s="25"/>
      <c r="G2443" s="123"/>
      <c r="H2443" s="123"/>
      <c r="I2443" s="25"/>
      <c r="J2443" s="25"/>
      <c r="K2443" s="367"/>
      <c r="L2443" s="42"/>
      <c r="M2443" s="42"/>
      <c r="N2443" s="42"/>
      <c r="O2443" s="42"/>
      <c r="P2443" s="42"/>
      <c r="Q2443" s="42"/>
      <c r="R2443" s="176"/>
      <c r="S2443" s="42"/>
      <c r="T2443" s="42"/>
      <c r="U2443" s="46"/>
      <c r="V2443" s="42"/>
      <c r="W2443" s="42"/>
      <c r="X2443" s="42"/>
      <c r="Y2443" s="42"/>
      <c r="Z2443" s="42"/>
      <c r="AA2443" s="42"/>
      <c r="AB2443" s="42"/>
      <c r="AC2443" s="42"/>
      <c r="AD2443" s="42"/>
      <c r="AE2443" s="42"/>
      <c r="AF2443" s="42"/>
    </row>
    <row r="2444">
      <c r="A2444" s="25"/>
      <c r="B2444" s="297"/>
      <c r="C2444" s="25"/>
      <c r="D2444" s="25"/>
      <c r="E2444" s="25"/>
      <c r="F2444" s="25"/>
      <c r="G2444" s="123"/>
      <c r="H2444" s="123"/>
      <c r="I2444" s="25"/>
      <c r="J2444" s="25"/>
      <c r="K2444" s="367"/>
      <c r="L2444" s="42"/>
      <c r="M2444" s="42"/>
      <c r="N2444" s="42"/>
      <c r="O2444" s="42"/>
      <c r="P2444" s="42"/>
      <c r="Q2444" s="42"/>
      <c r="R2444" s="176"/>
      <c r="S2444" s="42"/>
      <c r="T2444" s="42"/>
      <c r="U2444" s="46"/>
      <c r="V2444" s="42"/>
      <c r="W2444" s="42"/>
      <c r="X2444" s="42"/>
      <c r="Y2444" s="42"/>
      <c r="Z2444" s="42"/>
      <c r="AA2444" s="42"/>
      <c r="AB2444" s="42"/>
      <c r="AC2444" s="42"/>
      <c r="AD2444" s="42"/>
      <c r="AE2444" s="42"/>
      <c r="AF2444" s="42"/>
    </row>
    <row r="2445">
      <c r="A2445" s="25"/>
      <c r="B2445" s="297"/>
      <c r="C2445" s="25"/>
      <c r="D2445" s="25"/>
      <c r="E2445" s="25"/>
      <c r="F2445" s="25"/>
      <c r="G2445" s="123"/>
      <c r="H2445" s="123"/>
      <c r="I2445" s="25"/>
      <c r="J2445" s="25"/>
      <c r="K2445" s="367"/>
      <c r="L2445" s="42"/>
      <c r="M2445" s="42"/>
      <c r="N2445" s="42"/>
      <c r="O2445" s="42"/>
      <c r="P2445" s="42"/>
      <c r="Q2445" s="42"/>
      <c r="R2445" s="176"/>
      <c r="S2445" s="42"/>
      <c r="T2445" s="42"/>
      <c r="U2445" s="46"/>
      <c r="V2445" s="42"/>
      <c r="W2445" s="42"/>
      <c r="X2445" s="42"/>
      <c r="Y2445" s="42"/>
      <c r="Z2445" s="42"/>
      <c r="AA2445" s="42"/>
      <c r="AB2445" s="42"/>
      <c r="AC2445" s="42"/>
      <c r="AD2445" s="42"/>
      <c r="AE2445" s="42"/>
      <c r="AF2445" s="42"/>
    </row>
    <row r="2446">
      <c r="A2446" s="25"/>
      <c r="B2446" s="297"/>
      <c r="C2446" s="25"/>
      <c r="D2446" s="25"/>
      <c r="E2446" s="25"/>
      <c r="F2446" s="25"/>
      <c r="G2446" s="123"/>
      <c r="H2446" s="123"/>
      <c r="I2446" s="25"/>
      <c r="J2446" s="25"/>
      <c r="K2446" s="367"/>
      <c r="L2446" s="42"/>
      <c r="M2446" s="42"/>
      <c r="N2446" s="42"/>
      <c r="O2446" s="42"/>
      <c r="P2446" s="42"/>
      <c r="Q2446" s="42"/>
      <c r="R2446" s="176"/>
      <c r="S2446" s="42"/>
      <c r="T2446" s="42"/>
      <c r="U2446" s="46"/>
      <c r="V2446" s="42"/>
      <c r="W2446" s="42"/>
      <c r="X2446" s="42"/>
      <c r="Y2446" s="42"/>
      <c r="Z2446" s="42"/>
      <c r="AA2446" s="42"/>
      <c r="AB2446" s="42"/>
      <c r="AC2446" s="42"/>
      <c r="AD2446" s="42"/>
      <c r="AE2446" s="42"/>
      <c r="AF2446" s="42"/>
    </row>
    <row r="2447">
      <c r="A2447" s="25"/>
      <c r="B2447" s="297"/>
      <c r="C2447" s="25"/>
      <c r="D2447" s="25"/>
      <c r="E2447" s="25"/>
      <c r="F2447" s="25"/>
      <c r="G2447" s="123"/>
      <c r="H2447" s="123"/>
      <c r="I2447" s="25"/>
      <c r="J2447" s="25"/>
      <c r="K2447" s="367"/>
      <c r="L2447" s="42"/>
      <c r="M2447" s="42"/>
      <c r="N2447" s="42"/>
      <c r="O2447" s="42"/>
      <c r="P2447" s="42"/>
      <c r="Q2447" s="42"/>
      <c r="R2447" s="176"/>
      <c r="S2447" s="42"/>
      <c r="T2447" s="42"/>
      <c r="U2447" s="46"/>
      <c r="V2447" s="42"/>
      <c r="W2447" s="42"/>
      <c r="X2447" s="42"/>
      <c r="Y2447" s="42"/>
      <c r="Z2447" s="42"/>
      <c r="AA2447" s="42"/>
      <c r="AB2447" s="42"/>
      <c r="AC2447" s="42"/>
      <c r="AD2447" s="42"/>
      <c r="AE2447" s="42"/>
      <c r="AF2447" s="42"/>
    </row>
    <row r="2448">
      <c r="A2448" s="25"/>
      <c r="B2448" s="297"/>
      <c r="C2448" s="25"/>
      <c r="D2448" s="25"/>
      <c r="E2448" s="25"/>
      <c r="F2448" s="25"/>
      <c r="G2448" s="123"/>
      <c r="H2448" s="123"/>
      <c r="I2448" s="25"/>
      <c r="J2448" s="25"/>
      <c r="K2448" s="367"/>
      <c r="L2448" s="42"/>
      <c r="M2448" s="42"/>
      <c r="N2448" s="42"/>
      <c r="O2448" s="42"/>
      <c r="P2448" s="42"/>
      <c r="Q2448" s="42"/>
      <c r="R2448" s="176"/>
      <c r="S2448" s="42"/>
      <c r="T2448" s="42"/>
      <c r="U2448" s="46"/>
      <c r="V2448" s="42"/>
      <c r="W2448" s="42"/>
      <c r="X2448" s="42"/>
      <c r="Y2448" s="42"/>
      <c r="Z2448" s="42"/>
      <c r="AA2448" s="42"/>
      <c r="AB2448" s="42"/>
      <c r="AC2448" s="42"/>
      <c r="AD2448" s="42"/>
      <c r="AE2448" s="42"/>
      <c r="AF2448" s="42"/>
    </row>
    <row r="2449">
      <c r="A2449" s="25"/>
      <c r="B2449" s="297"/>
      <c r="C2449" s="25"/>
      <c r="D2449" s="25"/>
      <c r="E2449" s="25"/>
      <c r="F2449" s="25"/>
      <c r="G2449" s="123"/>
      <c r="H2449" s="123"/>
      <c r="I2449" s="25"/>
      <c r="J2449" s="25"/>
      <c r="K2449" s="367"/>
      <c r="L2449" s="42"/>
      <c r="M2449" s="42"/>
      <c r="N2449" s="42"/>
      <c r="O2449" s="42"/>
      <c r="P2449" s="42"/>
      <c r="Q2449" s="42"/>
      <c r="R2449" s="176"/>
      <c r="S2449" s="42"/>
      <c r="T2449" s="42"/>
      <c r="U2449" s="46"/>
      <c r="V2449" s="42"/>
      <c r="W2449" s="42"/>
      <c r="X2449" s="42"/>
      <c r="Y2449" s="42"/>
      <c r="Z2449" s="42"/>
      <c r="AA2449" s="42"/>
      <c r="AB2449" s="42"/>
      <c r="AC2449" s="42"/>
      <c r="AD2449" s="42"/>
      <c r="AE2449" s="42"/>
      <c r="AF2449" s="42"/>
    </row>
    <row r="2450">
      <c r="A2450" s="25"/>
      <c r="B2450" s="297"/>
      <c r="C2450" s="25"/>
      <c r="D2450" s="25"/>
      <c r="E2450" s="25"/>
      <c r="F2450" s="25"/>
      <c r="G2450" s="123"/>
      <c r="H2450" s="123"/>
      <c r="I2450" s="25"/>
      <c r="J2450" s="25"/>
      <c r="K2450" s="367"/>
      <c r="L2450" s="42"/>
      <c r="M2450" s="42"/>
      <c r="N2450" s="42"/>
      <c r="O2450" s="42"/>
      <c r="P2450" s="42"/>
      <c r="Q2450" s="42"/>
      <c r="R2450" s="176"/>
      <c r="S2450" s="42"/>
      <c r="T2450" s="42"/>
      <c r="U2450" s="46"/>
      <c r="V2450" s="42"/>
      <c r="W2450" s="42"/>
      <c r="X2450" s="42"/>
      <c r="Y2450" s="42"/>
      <c r="Z2450" s="42"/>
      <c r="AA2450" s="42"/>
      <c r="AB2450" s="42"/>
      <c r="AC2450" s="42"/>
      <c r="AD2450" s="42"/>
      <c r="AE2450" s="42"/>
      <c r="AF2450" s="42"/>
    </row>
    <row r="2451">
      <c r="A2451" s="25"/>
      <c r="B2451" s="297"/>
      <c r="C2451" s="25"/>
      <c r="D2451" s="25"/>
      <c r="E2451" s="25"/>
      <c r="F2451" s="25"/>
      <c r="G2451" s="123"/>
      <c r="H2451" s="123"/>
      <c r="I2451" s="25"/>
      <c r="J2451" s="25"/>
      <c r="K2451" s="367"/>
      <c r="L2451" s="42"/>
      <c r="M2451" s="42"/>
      <c r="N2451" s="42"/>
      <c r="O2451" s="42"/>
      <c r="P2451" s="42"/>
      <c r="Q2451" s="42"/>
      <c r="R2451" s="176"/>
      <c r="S2451" s="42"/>
      <c r="T2451" s="42"/>
      <c r="U2451" s="46"/>
      <c r="V2451" s="42"/>
      <c r="W2451" s="42"/>
      <c r="X2451" s="42"/>
      <c r="Y2451" s="42"/>
      <c r="Z2451" s="42"/>
      <c r="AA2451" s="42"/>
      <c r="AB2451" s="42"/>
      <c r="AC2451" s="42"/>
      <c r="AD2451" s="42"/>
      <c r="AE2451" s="42"/>
      <c r="AF2451" s="42"/>
    </row>
    <row r="2452">
      <c r="A2452" s="25"/>
      <c r="B2452" s="297"/>
      <c r="C2452" s="25"/>
      <c r="D2452" s="25"/>
      <c r="E2452" s="25"/>
      <c r="F2452" s="25"/>
      <c r="G2452" s="123"/>
      <c r="H2452" s="123"/>
      <c r="I2452" s="25"/>
      <c r="J2452" s="25"/>
      <c r="K2452" s="367"/>
      <c r="L2452" s="42"/>
      <c r="M2452" s="42"/>
      <c r="N2452" s="42"/>
      <c r="O2452" s="42"/>
      <c r="P2452" s="42"/>
      <c r="Q2452" s="42"/>
      <c r="R2452" s="176"/>
      <c r="S2452" s="42"/>
      <c r="T2452" s="42"/>
      <c r="U2452" s="46"/>
      <c r="V2452" s="42"/>
      <c r="W2452" s="42"/>
      <c r="X2452" s="42"/>
      <c r="Y2452" s="42"/>
      <c r="Z2452" s="42"/>
      <c r="AA2452" s="42"/>
      <c r="AB2452" s="42"/>
      <c r="AC2452" s="42"/>
      <c r="AD2452" s="42"/>
      <c r="AE2452" s="42"/>
      <c r="AF2452" s="42"/>
    </row>
    <row r="2453">
      <c r="A2453" s="25"/>
      <c r="B2453" s="297"/>
      <c r="C2453" s="25"/>
      <c r="D2453" s="25"/>
      <c r="E2453" s="25"/>
      <c r="F2453" s="25"/>
      <c r="G2453" s="123"/>
      <c r="H2453" s="123"/>
      <c r="I2453" s="25"/>
      <c r="J2453" s="25"/>
      <c r="K2453" s="367"/>
      <c r="L2453" s="42"/>
      <c r="M2453" s="42"/>
      <c r="N2453" s="42"/>
      <c r="O2453" s="42"/>
      <c r="P2453" s="42"/>
      <c r="Q2453" s="42"/>
      <c r="R2453" s="176"/>
      <c r="S2453" s="42"/>
      <c r="T2453" s="42"/>
      <c r="U2453" s="46"/>
      <c r="V2453" s="42"/>
      <c r="W2453" s="42"/>
      <c r="X2453" s="42"/>
      <c r="Y2453" s="42"/>
      <c r="Z2453" s="42"/>
      <c r="AA2453" s="42"/>
      <c r="AB2453" s="42"/>
      <c r="AC2453" s="42"/>
      <c r="AD2453" s="42"/>
      <c r="AE2453" s="42"/>
      <c r="AF2453" s="42"/>
    </row>
    <row r="2454">
      <c r="A2454" s="25"/>
      <c r="B2454" s="297"/>
      <c r="C2454" s="25"/>
      <c r="D2454" s="25"/>
      <c r="E2454" s="25"/>
      <c r="F2454" s="25"/>
      <c r="G2454" s="123"/>
      <c r="H2454" s="123"/>
      <c r="I2454" s="25"/>
      <c r="J2454" s="25"/>
      <c r="K2454" s="367"/>
      <c r="L2454" s="42"/>
      <c r="M2454" s="42"/>
      <c r="N2454" s="42"/>
      <c r="O2454" s="42"/>
      <c r="P2454" s="42"/>
      <c r="Q2454" s="42"/>
      <c r="R2454" s="176"/>
      <c r="S2454" s="42"/>
      <c r="T2454" s="42"/>
      <c r="U2454" s="46"/>
      <c r="V2454" s="42"/>
      <c r="W2454" s="42"/>
      <c r="X2454" s="42"/>
      <c r="Y2454" s="42"/>
      <c r="Z2454" s="42"/>
      <c r="AA2454" s="42"/>
      <c r="AB2454" s="42"/>
      <c r="AC2454" s="42"/>
      <c r="AD2454" s="42"/>
      <c r="AE2454" s="42"/>
      <c r="AF2454" s="42"/>
    </row>
    <row r="2455">
      <c r="A2455" s="25"/>
      <c r="B2455" s="297"/>
      <c r="C2455" s="25"/>
      <c r="D2455" s="25"/>
      <c r="E2455" s="25"/>
      <c r="F2455" s="25"/>
      <c r="G2455" s="123"/>
      <c r="H2455" s="123"/>
      <c r="I2455" s="25"/>
      <c r="J2455" s="25"/>
      <c r="K2455" s="367"/>
      <c r="L2455" s="42"/>
      <c r="M2455" s="42"/>
      <c r="N2455" s="42"/>
      <c r="O2455" s="42"/>
      <c r="P2455" s="42"/>
      <c r="Q2455" s="42"/>
      <c r="R2455" s="176"/>
      <c r="S2455" s="42"/>
      <c r="T2455" s="42"/>
      <c r="U2455" s="46"/>
      <c r="V2455" s="42"/>
      <c r="W2455" s="42"/>
      <c r="X2455" s="42"/>
      <c r="Y2455" s="42"/>
      <c r="Z2455" s="42"/>
      <c r="AA2455" s="42"/>
      <c r="AB2455" s="42"/>
      <c r="AC2455" s="42"/>
      <c r="AD2455" s="42"/>
      <c r="AE2455" s="42"/>
      <c r="AF2455" s="42"/>
    </row>
    <row r="2456">
      <c r="A2456" s="25"/>
      <c r="B2456" s="297"/>
      <c r="C2456" s="25"/>
      <c r="D2456" s="25"/>
      <c r="E2456" s="25"/>
      <c r="F2456" s="25"/>
      <c r="G2456" s="123"/>
      <c r="H2456" s="123"/>
      <c r="I2456" s="25"/>
      <c r="J2456" s="25"/>
      <c r="K2456" s="367"/>
      <c r="L2456" s="42"/>
      <c r="M2456" s="42"/>
      <c r="N2456" s="42"/>
      <c r="O2456" s="42"/>
      <c r="P2456" s="42"/>
      <c r="Q2456" s="42"/>
      <c r="R2456" s="176"/>
      <c r="S2456" s="42"/>
      <c r="T2456" s="42"/>
      <c r="U2456" s="46"/>
      <c r="V2456" s="42"/>
      <c r="W2456" s="42"/>
      <c r="X2456" s="42"/>
      <c r="Y2456" s="42"/>
      <c r="Z2456" s="42"/>
      <c r="AA2456" s="42"/>
      <c r="AB2456" s="42"/>
      <c r="AC2456" s="42"/>
      <c r="AD2456" s="42"/>
      <c r="AE2456" s="42"/>
      <c r="AF2456" s="42"/>
    </row>
    <row r="2457">
      <c r="A2457" s="25"/>
      <c r="B2457" s="297"/>
      <c r="C2457" s="25"/>
      <c r="D2457" s="25"/>
      <c r="E2457" s="25"/>
      <c r="F2457" s="25"/>
      <c r="G2457" s="123"/>
      <c r="H2457" s="123"/>
      <c r="I2457" s="25"/>
      <c r="J2457" s="25"/>
      <c r="K2457" s="367"/>
      <c r="L2457" s="42"/>
      <c r="M2457" s="42"/>
      <c r="N2457" s="42"/>
      <c r="O2457" s="42"/>
      <c r="P2457" s="42"/>
      <c r="Q2457" s="42"/>
      <c r="R2457" s="176"/>
      <c r="S2457" s="42"/>
      <c r="T2457" s="42"/>
      <c r="U2457" s="46"/>
      <c r="V2457" s="42"/>
      <c r="W2457" s="42"/>
      <c r="X2457" s="42"/>
      <c r="Y2457" s="42"/>
      <c r="Z2457" s="42"/>
      <c r="AA2457" s="42"/>
      <c r="AB2457" s="42"/>
      <c r="AC2457" s="42"/>
      <c r="AD2457" s="42"/>
      <c r="AE2457" s="42"/>
      <c r="AF2457" s="42"/>
    </row>
    <row r="2458">
      <c r="A2458" s="25"/>
      <c r="B2458" s="297"/>
      <c r="C2458" s="25"/>
      <c r="D2458" s="25"/>
      <c r="E2458" s="25"/>
      <c r="F2458" s="25"/>
      <c r="G2458" s="123"/>
      <c r="H2458" s="123"/>
      <c r="I2458" s="25"/>
      <c r="J2458" s="25"/>
      <c r="K2458" s="367"/>
      <c r="L2458" s="42"/>
      <c r="M2458" s="42"/>
      <c r="N2458" s="42"/>
      <c r="O2458" s="42"/>
      <c r="P2458" s="42"/>
      <c r="Q2458" s="42"/>
      <c r="R2458" s="176"/>
      <c r="S2458" s="42"/>
      <c r="T2458" s="42"/>
      <c r="U2458" s="46"/>
      <c r="V2458" s="42"/>
      <c r="W2458" s="42"/>
      <c r="X2458" s="42"/>
      <c r="Y2458" s="42"/>
      <c r="Z2458" s="42"/>
      <c r="AA2458" s="42"/>
      <c r="AB2458" s="42"/>
      <c r="AC2458" s="42"/>
      <c r="AD2458" s="42"/>
      <c r="AE2458" s="42"/>
      <c r="AF2458" s="42"/>
    </row>
    <row r="2459">
      <c r="A2459" s="25"/>
      <c r="B2459" s="297"/>
      <c r="C2459" s="25"/>
      <c r="D2459" s="25"/>
      <c r="E2459" s="25"/>
      <c r="F2459" s="25"/>
      <c r="G2459" s="123"/>
      <c r="H2459" s="123"/>
      <c r="I2459" s="25"/>
      <c r="J2459" s="25"/>
      <c r="K2459" s="367"/>
      <c r="L2459" s="42"/>
      <c r="M2459" s="42"/>
      <c r="N2459" s="42"/>
      <c r="O2459" s="42"/>
      <c r="P2459" s="42"/>
      <c r="Q2459" s="42"/>
      <c r="R2459" s="176"/>
      <c r="S2459" s="42"/>
      <c r="T2459" s="42"/>
      <c r="U2459" s="46"/>
      <c r="V2459" s="42"/>
      <c r="W2459" s="42"/>
      <c r="X2459" s="42"/>
      <c r="Y2459" s="42"/>
      <c r="Z2459" s="42"/>
      <c r="AA2459" s="42"/>
      <c r="AB2459" s="42"/>
      <c r="AC2459" s="42"/>
      <c r="AD2459" s="42"/>
      <c r="AE2459" s="42"/>
      <c r="AF2459" s="42"/>
    </row>
    <row r="2460">
      <c r="A2460" s="25"/>
      <c r="B2460" s="297"/>
      <c r="C2460" s="25"/>
      <c r="D2460" s="25"/>
      <c r="E2460" s="25"/>
      <c r="F2460" s="25"/>
      <c r="G2460" s="123"/>
      <c r="H2460" s="123"/>
      <c r="I2460" s="25"/>
      <c r="J2460" s="25"/>
      <c r="K2460" s="367"/>
      <c r="L2460" s="42"/>
      <c r="M2460" s="42"/>
      <c r="N2460" s="42"/>
      <c r="O2460" s="42"/>
      <c r="P2460" s="42"/>
      <c r="Q2460" s="42"/>
      <c r="R2460" s="176"/>
      <c r="S2460" s="42"/>
      <c r="T2460" s="42"/>
      <c r="U2460" s="46"/>
      <c r="V2460" s="42"/>
      <c r="W2460" s="42"/>
      <c r="X2460" s="42"/>
      <c r="Y2460" s="42"/>
      <c r="Z2460" s="42"/>
      <c r="AA2460" s="42"/>
      <c r="AB2460" s="42"/>
      <c r="AC2460" s="42"/>
      <c r="AD2460" s="42"/>
      <c r="AE2460" s="42"/>
      <c r="AF2460" s="42"/>
    </row>
    <row r="2461">
      <c r="A2461" s="25"/>
      <c r="B2461" s="297"/>
      <c r="C2461" s="25"/>
      <c r="D2461" s="25"/>
      <c r="E2461" s="25"/>
      <c r="F2461" s="25"/>
      <c r="G2461" s="123"/>
      <c r="H2461" s="123"/>
      <c r="I2461" s="25"/>
      <c r="J2461" s="25"/>
      <c r="K2461" s="367"/>
      <c r="L2461" s="42"/>
      <c r="M2461" s="42"/>
      <c r="N2461" s="42"/>
      <c r="O2461" s="42"/>
      <c r="P2461" s="42"/>
      <c r="Q2461" s="42"/>
      <c r="R2461" s="176"/>
      <c r="S2461" s="42"/>
      <c r="T2461" s="42"/>
      <c r="U2461" s="46"/>
      <c r="V2461" s="42"/>
      <c r="W2461" s="42"/>
      <c r="X2461" s="42"/>
      <c r="Y2461" s="42"/>
      <c r="Z2461" s="42"/>
      <c r="AA2461" s="42"/>
      <c r="AB2461" s="42"/>
      <c r="AC2461" s="42"/>
      <c r="AD2461" s="42"/>
      <c r="AE2461" s="42"/>
      <c r="AF2461" s="42"/>
    </row>
    <row r="2462">
      <c r="A2462" s="25"/>
      <c r="B2462" s="297"/>
      <c r="C2462" s="25"/>
      <c r="D2462" s="25"/>
      <c r="E2462" s="25"/>
      <c r="F2462" s="25"/>
      <c r="G2462" s="123"/>
      <c r="H2462" s="123"/>
      <c r="I2462" s="25"/>
      <c r="J2462" s="25"/>
      <c r="K2462" s="367"/>
      <c r="L2462" s="42"/>
      <c r="M2462" s="42"/>
      <c r="N2462" s="42"/>
      <c r="O2462" s="42"/>
      <c r="P2462" s="42"/>
      <c r="Q2462" s="42"/>
      <c r="R2462" s="176"/>
      <c r="S2462" s="42"/>
      <c r="T2462" s="42"/>
      <c r="U2462" s="46"/>
      <c r="V2462" s="42"/>
      <c r="W2462" s="42"/>
      <c r="X2462" s="42"/>
      <c r="Y2462" s="42"/>
      <c r="Z2462" s="42"/>
      <c r="AA2462" s="42"/>
      <c r="AB2462" s="42"/>
      <c r="AC2462" s="42"/>
      <c r="AD2462" s="42"/>
      <c r="AE2462" s="42"/>
      <c r="AF2462" s="42"/>
    </row>
    <row r="2463">
      <c r="A2463" s="25"/>
      <c r="B2463" s="297"/>
      <c r="C2463" s="25"/>
      <c r="D2463" s="25"/>
      <c r="E2463" s="25"/>
      <c r="F2463" s="25"/>
      <c r="G2463" s="123"/>
      <c r="H2463" s="123"/>
      <c r="I2463" s="25"/>
      <c r="J2463" s="25"/>
      <c r="K2463" s="367"/>
      <c r="L2463" s="42"/>
      <c r="M2463" s="42"/>
      <c r="N2463" s="42"/>
      <c r="O2463" s="42"/>
      <c r="P2463" s="42"/>
      <c r="Q2463" s="42"/>
      <c r="R2463" s="176"/>
      <c r="S2463" s="42"/>
      <c r="T2463" s="42"/>
      <c r="U2463" s="46"/>
      <c r="V2463" s="42"/>
      <c r="W2463" s="42"/>
      <c r="X2463" s="42"/>
      <c r="Y2463" s="42"/>
      <c r="Z2463" s="42"/>
      <c r="AA2463" s="42"/>
      <c r="AB2463" s="42"/>
      <c r="AC2463" s="42"/>
      <c r="AD2463" s="42"/>
      <c r="AE2463" s="42"/>
      <c r="AF2463" s="42"/>
    </row>
    <row r="2464">
      <c r="A2464" s="25"/>
      <c r="B2464" s="297"/>
      <c r="C2464" s="25"/>
      <c r="D2464" s="25"/>
      <c r="E2464" s="25"/>
      <c r="F2464" s="25"/>
      <c r="G2464" s="123"/>
      <c r="H2464" s="123"/>
      <c r="I2464" s="25"/>
      <c r="J2464" s="25"/>
      <c r="K2464" s="367"/>
      <c r="L2464" s="42"/>
      <c r="M2464" s="42"/>
      <c r="N2464" s="42"/>
      <c r="O2464" s="42"/>
      <c r="P2464" s="42"/>
      <c r="Q2464" s="42"/>
      <c r="R2464" s="176"/>
      <c r="S2464" s="42"/>
      <c r="T2464" s="42"/>
      <c r="U2464" s="46"/>
      <c r="V2464" s="42"/>
      <c r="W2464" s="42"/>
      <c r="X2464" s="42"/>
      <c r="Y2464" s="42"/>
      <c r="Z2464" s="42"/>
      <c r="AA2464" s="42"/>
      <c r="AB2464" s="42"/>
      <c r="AC2464" s="42"/>
      <c r="AD2464" s="42"/>
      <c r="AE2464" s="42"/>
      <c r="AF2464" s="42"/>
    </row>
    <row r="2465">
      <c r="A2465" s="25"/>
      <c r="B2465" s="297"/>
      <c r="C2465" s="25"/>
      <c r="D2465" s="25"/>
      <c r="E2465" s="25"/>
      <c r="F2465" s="25"/>
      <c r="G2465" s="123"/>
      <c r="H2465" s="123"/>
      <c r="I2465" s="25"/>
      <c r="J2465" s="25"/>
      <c r="K2465" s="367"/>
      <c r="L2465" s="42"/>
      <c r="M2465" s="42"/>
      <c r="N2465" s="42"/>
      <c r="O2465" s="42"/>
      <c r="P2465" s="42"/>
      <c r="Q2465" s="42"/>
      <c r="R2465" s="176"/>
      <c r="S2465" s="42"/>
      <c r="T2465" s="42"/>
      <c r="U2465" s="46"/>
      <c r="V2465" s="42"/>
      <c r="W2465" s="42"/>
      <c r="X2465" s="42"/>
      <c r="Y2465" s="42"/>
      <c r="Z2465" s="42"/>
      <c r="AA2465" s="42"/>
      <c r="AB2465" s="42"/>
      <c r="AC2465" s="42"/>
      <c r="AD2465" s="42"/>
      <c r="AE2465" s="42"/>
      <c r="AF2465" s="42"/>
    </row>
    <row r="2466">
      <c r="A2466" s="25"/>
      <c r="B2466" s="297"/>
      <c r="C2466" s="25"/>
      <c r="D2466" s="25"/>
      <c r="E2466" s="25"/>
      <c r="F2466" s="25"/>
      <c r="G2466" s="123"/>
      <c r="H2466" s="123"/>
      <c r="I2466" s="25"/>
      <c r="J2466" s="25"/>
      <c r="K2466" s="367"/>
      <c r="L2466" s="42"/>
      <c r="M2466" s="42"/>
      <c r="N2466" s="42"/>
      <c r="O2466" s="42"/>
      <c r="P2466" s="42"/>
      <c r="Q2466" s="42"/>
      <c r="R2466" s="176"/>
      <c r="S2466" s="42"/>
      <c r="T2466" s="42"/>
      <c r="U2466" s="46"/>
      <c r="V2466" s="42"/>
      <c r="W2466" s="42"/>
      <c r="X2466" s="42"/>
      <c r="Y2466" s="42"/>
      <c r="Z2466" s="42"/>
      <c r="AA2466" s="42"/>
      <c r="AB2466" s="42"/>
      <c r="AC2466" s="42"/>
      <c r="AD2466" s="42"/>
      <c r="AE2466" s="42"/>
      <c r="AF2466" s="42"/>
    </row>
    <row r="2467">
      <c r="A2467" s="25"/>
      <c r="B2467" s="297"/>
      <c r="C2467" s="25"/>
      <c r="D2467" s="25"/>
      <c r="E2467" s="25"/>
      <c r="F2467" s="25"/>
      <c r="G2467" s="123"/>
      <c r="H2467" s="123"/>
      <c r="I2467" s="25"/>
      <c r="J2467" s="25"/>
      <c r="K2467" s="367"/>
      <c r="L2467" s="42"/>
      <c r="M2467" s="42"/>
      <c r="N2467" s="42"/>
      <c r="O2467" s="42"/>
      <c r="P2467" s="42"/>
      <c r="Q2467" s="42"/>
      <c r="R2467" s="176"/>
      <c r="S2467" s="42"/>
      <c r="T2467" s="42"/>
      <c r="U2467" s="46"/>
      <c r="V2467" s="42"/>
      <c r="W2467" s="42"/>
      <c r="X2467" s="42"/>
      <c r="Y2467" s="42"/>
      <c r="Z2467" s="42"/>
      <c r="AA2467" s="42"/>
      <c r="AB2467" s="42"/>
      <c r="AC2467" s="42"/>
      <c r="AD2467" s="42"/>
      <c r="AE2467" s="42"/>
      <c r="AF2467" s="42"/>
    </row>
    <row r="2468">
      <c r="A2468" s="25"/>
      <c r="B2468" s="297"/>
      <c r="C2468" s="25"/>
      <c r="D2468" s="25"/>
      <c r="E2468" s="25"/>
      <c r="F2468" s="25"/>
      <c r="G2468" s="123"/>
      <c r="H2468" s="123"/>
      <c r="I2468" s="25"/>
      <c r="J2468" s="25"/>
      <c r="K2468" s="367"/>
      <c r="L2468" s="42"/>
      <c r="M2468" s="42"/>
      <c r="N2468" s="42"/>
      <c r="O2468" s="42"/>
      <c r="P2468" s="42"/>
      <c r="Q2468" s="42"/>
      <c r="R2468" s="176"/>
      <c r="S2468" s="42"/>
      <c r="T2468" s="42"/>
      <c r="U2468" s="46"/>
      <c r="V2468" s="42"/>
      <c r="W2468" s="42"/>
      <c r="X2468" s="42"/>
      <c r="Y2468" s="42"/>
      <c r="Z2468" s="42"/>
      <c r="AA2468" s="42"/>
      <c r="AB2468" s="42"/>
      <c r="AC2468" s="42"/>
      <c r="AD2468" s="42"/>
      <c r="AE2468" s="42"/>
      <c r="AF2468" s="42"/>
    </row>
    <row r="2469">
      <c r="A2469" s="25"/>
      <c r="B2469" s="297"/>
      <c r="C2469" s="25"/>
      <c r="D2469" s="25"/>
      <c r="E2469" s="25"/>
      <c r="F2469" s="25"/>
      <c r="G2469" s="123"/>
      <c r="H2469" s="123"/>
      <c r="I2469" s="25"/>
      <c r="J2469" s="25"/>
      <c r="K2469" s="367"/>
      <c r="L2469" s="42"/>
      <c r="M2469" s="42"/>
      <c r="N2469" s="42"/>
      <c r="O2469" s="42"/>
      <c r="P2469" s="42"/>
      <c r="Q2469" s="42"/>
      <c r="R2469" s="176"/>
      <c r="S2469" s="42"/>
      <c r="T2469" s="42"/>
      <c r="U2469" s="46"/>
      <c r="V2469" s="42"/>
      <c r="W2469" s="42"/>
      <c r="X2469" s="42"/>
      <c r="Y2469" s="42"/>
      <c r="Z2469" s="42"/>
      <c r="AA2469" s="42"/>
      <c r="AB2469" s="42"/>
      <c r="AC2469" s="42"/>
      <c r="AD2469" s="42"/>
      <c r="AE2469" s="42"/>
      <c r="AF2469" s="42"/>
    </row>
    <row r="2470">
      <c r="A2470" s="25"/>
      <c r="B2470" s="297"/>
      <c r="C2470" s="25"/>
      <c r="D2470" s="25"/>
      <c r="E2470" s="25"/>
      <c r="F2470" s="25"/>
      <c r="G2470" s="123"/>
      <c r="H2470" s="123"/>
      <c r="I2470" s="25"/>
      <c r="J2470" s="25"/>
      <c r="K2470" s="367"/>
      <c r="L2470" s="42"/>
      <c r="M2470" s="42"/>
      <c r="N2470" s="42"/>
      <c r="O2470" s="42"/>
      <c r="P2470" s="42"/>
      <c r="Q2470" s="42"/>
      <c r="R2470" s="176"/>
      <c r="S2470" s="42"/>
      <c r="T2470" s="42"/>
      <c r="U2470" s="46"/>
      <c r="V2470" s="42"/>
      <c r="W2470" s="42"/>
      <c r="X2470" s="42"/>
      <c r="Y2470" s="42"/>
      <c r="Z2470" s="42"/>
      <c r="AA2470" s="42"/>
      <c r="AB2470" s="42"/>
      <c r="AC2470" s="42"/>
      <c r="AD2470" s="42"/>
      <c r="AE2470" s="42"/>
      <c r="AF2470" s="42"/>
    </row>
    <row r="2471">
      <c r="A2471" s="25"/>
      <c r="B2471" s="297"/>
      <c r="C2471" s="25"/>
      <c r="D2471" s="25"/>
      <c r="E2471" s="25"/>
      <c r="F2471" s="25"/>
      <c r="G2471" s="123"/>
      <c r="H2471" s="123"/>
      <c r="I2471" s="25"/>
      <c r="J2471" s="25"/>
      <c r="K2471" s="367"/>
      <c r="L2471" s="42"/>
      <c r="M2471" s="42"/>
      <c r="N2471" s="42"/>
      <c r="O2471" s="42"/>
      <c r="P2471" s="42"/>
      <c r="Q2471" s="42"/>
      <c r="R2471" s="176"/>
      <c r="S2471" s="42"/>
      <c r="T2471" s="42"/>
      <c r="U2471" s="46"/>
      <c r="V2471" s="42"/>
      <c r="W2471" s="42"/>
      <c r="X2471" s="42"/>
      <c r="Y2471" s="42"/>
      <c r="Z2471" s="42"/>
      <c r="AA2471" s="42"/>
      <c r="AB2471" s="42"/>
      <c r="AC2471" s="42"/>
      <c r="AD2471" s="42"/>
      <c r="AE2471" s="42"/>
      <c r="AF2471" s="42"/>
    </row>
    <row r="2472">
      <c r="A2472" s="25"/>
      <c r="B2472" s="297"/>
      <c r="C2472" s="25"/>
      <c r="D2472" s="25"/>
      <c r="E2472" s="25"/>
      <c r="F2472" s="25"/>
      <c r="G2472" s="123"/>
      <c r="H2472" s="123"/>
      <c r="I2472" s="25"/>
      <c r="J2472" s="25"/>
      <c r="K2472" s="367"/>
      <c r="L2472" s="42"/>
      <c r="M2472" s="42"/>
      <c r="N2472" s="42"/>
      <c r="O2472" s="42"/>
      <c r="P2472" s="42"/>
      <c r="Q2472" s="42"/>
      <c r="R2472" s="176"/>
      <c r="S2472" s="42"/>
      <c r="T2472" s="42"/>
      <c r="U2472" s="46"/>
      <c r="V2472" s="42"/>
      <c r="W2472" s="42"/>
      <c r="X2472" s="42"/>
      <c r="Y2472" s="42"/>
      <c r="Z2472" s="42"/>
      <c r="AA2472" s="42"/>
      <c r="AB2472" s="42"/>
      <c r="AC2472" s="42"/>
      <c r="AD2472" s="42"/>
      <c r="AE2472" s="42"/>
      <c r="AF2472" s="42"/>
    </row>
    <row r="2473">
      <c r="A2473" s="25"/>
      <c r="B2473" s="297"/>
      <c r="C2473" s="25"/>
      <c r="D2473" s="25"/>
      <c r="E2473" s="25"/>
      <c r="F2473" s="25"/>
      <c r="G2473" s="123"/>
      <c r="H2473" s="123"/>
      <c r="I2473" s="25"/>
      <c r="J2473" s="25"/>
      <c r="K2473" s="367"/>
      <c r="L2473" s="42"/>
      <c r="M2473" s="42"/>
      <c r="N2473" s="42"/>
      <c r="O2473" s="42"/>
      <c r="P2473" s="42"/>
      <c r="Q2473" s="42"/>
      <c r="R2473" s="176"/>
      <c r="S2473" s="42"/>
      <c r="T2473" s="42"/>
      <c r="U2473" s="46"/>
      <c r="V2473" s="42"/>
      <c r="W2473" s="42"/>
      <c r="X2473" s="42"/>
      <c r="Y2473" s="42"/>
      <c r="Z2473" s="42"/>
      <c r="AA2473" s="42"/>
      <c r="AB2473" s="42"/>
      <c r="AC2473" s="42"/>
      <c r="AD2473" s="42"/>
      <c r="AE2473" s="42"/>
      <c r="AF2473" s="42"/>
    </row>
    <row r="2474">
      <c r="A2474" s="25"/>
      <c r="B2474" s="297"/>
      <c r="C2474" s="25"/>
      <c r="D2474" s="25"/>
      <c r="E2474" s="25"/>
      <c r="F2474" s="25"/>
      <c r="G2474" s="123"/>
      <c r="H2474" s="123"/>
      <c r="I2474" s="25"/>
      <c r="J2474" s="25"/>
      <c r="K2474" s="367"/>
      <c r="L2474" s="42"/>
      <c r="M2474" s="42"/>
      <c r="N2474" s="42"/>
      <c r="O2474" s="42"/>
      <c r="P2474" s="42"/>
      <c r="Q2474" s="42"/>
      <c r="R2474" s="176"/>
      <c r="S2474" s="42"/>
      <c r="T2474" s="42"/>
      <c r="U2474" s="46"/>
      <c r="V2474" s="42"/>
      <c r="W2474" s="42"/>
      <c r="X2474" s="42"/>
      <c r="Y2474" s="42"/>
      <c r="Z2474" s="42"/>
      <c r="AA2474" s="42"/>
      <c r="AB2474" s="42"/>
      <c r="AC2474" s="42"/>
      <c r="AD2474" s="42"/>
      <c r="AE2474" s="42"/>
      <c r="AF2474" s="42"/>
    </row>
    <row r="2475">
      <c r="A2475" s="25"/>
      <c r="B2475" s="297"/>
      <c r="C2475" s="25"/>
      <c r="D2475" s="25"/>
      <c r="E2475" s="25"/>
      <c r="F2475" s="25"/>
      <c r="G2475" s="123"/>
      <c r="H2475" s="123"/>
      <c r="I2475" s="25"/>
      <c r="J2475" s="25"/>
      <c r="K2475" s="367"/>
      <c r="L2475" s="42"/>
      <c r="M2475" s="42"/>
      <c r="N2475" s="42"/>
      <c r="O2475" s="42"/>
      <c r="P2475" s="42"/>
      <c r="Q2475" s="42"/>
      <c r="R2475" s="176"/>
      <c r="S2475" s="42"/>
      <c r="T2475" s="42"/>
      <c r="U2475" s="46"/>
      <c r="V2475" s="42"/>
      <c r="W2475" s="42"/>
      <c r="X2475" s="42"/>
      <c r="Y2475" s="42"/>
      <c r="Z2475" s="42"/>
      <c r="AA2475" s="42"/>
      <c r="AB2475" s="42"/>
      <c r="AC2475" s="42"/>
      <c r="AD2475" s="42"/>
      <c r="AE2475" s="42"/>
      <c r="AF2475" s="42"/>
    </row>
    <row r="2476">
      <c r="A2476" s="25"/>
      <c r="B2476" s="297"/>
      <c r="C2476" s="25"/>
      <c r="D2476" s="25"/>
      <c r="E2476" s="25"/>
      <c r="F2476" s="25"/>
      <c r="G2476" s="123"/>
      <c r="H2476" s="123"/>
      <c r="I2476" s="25"/>
      <c r="J2476" s="25"/>
      <c r="K2476" s="367"/>
      <c r="L2476" s="42"/>
      <c r="M2476" s="42"/>
      <c r="N2476" s="42"/>
      <c r="O2476" s="42"/>
      <c r="P2476" s="42"/>
      <c r="Q2476" s="42"/>
      <c r="R2476" s="176"/>
      <c r="S2476" s="42"/>
      <c r="T2476" s="42"/>
      <c r="U2476" s="46"/>
      <c r="V2476" s="42"/>
      <c r="W2476" s="42"/>
      <c r="X2476" s="42"/>
      <c r="Y2476" s="42"/>
      <c r="Z2476" s="42"/>
      <c r="AA2476" s="42"/>
      <c r="AB2476" s="42"/>
      <c r="AC2476" s="42"/>
      <c r="AD2476" s="42"/>
      <c r="AE2476" s="42"/>
      <c r="AF2476" s="42"/>
    </row>
    <row r="2477">
      <c r="A2477" s="25"/>
      <c r="B2477" s="297"/>
      <c r="C2477" s="25"/>
      <c r="D2477" s="25"/>
      <c r="E2477" s="25"/>
      <c r="F2477" s="25"/>
      <c r="G2477" s="123"/>
      <c r="H2477" s="123"/>
      <c r="I2477" s="25"/>
      <c r="J2477" s="25"/>
      <c r="K2477" s="367"/>
      <c r="L2477" s="42"/>
      <c r="M2477" s="42"/>
      <c r="N2477" s="42"/>
      <c r="O2477" s="42"/>
      <c r="P2477" s="42"/>
      <c r="Q2477" s="42"/>
      <c r="R2477" s="176"/>
      <c r="S2477" s="42"/>
      <c r="T2477" s="42"/>
      <c r="U2477" s="46"/>
      <c r="V2477" s="42"/>
      <c r="W2477" s="42"/>
      <c r="X2477" s="42"/>
      <c r="Y2477" s="42"/>
      <c r="Z2477" s="42"/>
      <c r="AA2477" s="42"/>
      <c r="AB2477" s="42"/>
      <c r="AC2477" s="42"/>
      <c r="AD2477" s="42"/>
      <c r="AE2477" s="42"/>
      <c r="AF2477" s="42"/>
    </row>
    <row r="2478">
      <c r="A2478" s="25"/>
      <c r="B2478" s="297"/>
      <c r="C2478" s="25"/>
      <c r="D2478" s="25"/>
      <c r="E2478" s="25"/>
      <c r="F2478" s="25"/>
      <c r="G2478" s="123"/>
      <c r="H2478" s="123"/>
      <c r="I2478" s="25"/>
      <c r="J2478" s="25"/>
      <c r="K2478" s="367"/>
      <c r="L2478" s="42"/>
      <c r="M2478" s="42"/>
      <c r="N2478" s="42"/>
      <c r="O2478" s="42"/>
      <c r="P2478" s="42"/>
      <c r="Q2478" s="42"/>
      <c r="R2478" s="176"/>
      <c r="S2478" s="42"/>
      <c r="T2478" s="42"/>
      <c r="U2478" s="46"/>
      <c r="V2478" s="42"/>
      <c r="W2478" s="42"/>
      <c r="X2478" s="42"/>
      <c r="Y2478" s="42"/>
      <c r="Z2478" s="42"/>
      <c r="AA2478" s="42"/>
      <c r="AB2478" s="42"/>
      <c r="AC2478" s="42"/>
      <c r="AD2478" s="42"/>
      <c r="AE2478" s="42"/>
      <c r="AF2478" s="42"/>
    </row>
    <row r="2479">
      <c r="A2479" s="25"/>
      <c r="B2479" s="297"/>
      <c r="C2479" s="25"/>
      <c r="D2479" s="25"/>
      <c r="E2479" s="25"/>
      <c r="F2479" s="25"/>
      <c r="G2479" s="123"/>
      <c r="H2479" s="123"/>
      <c r="I2479" s="25"/>
      <c r="J2479" s="25"/>
      <c r="K2479" s="367"/>
      <c r="L2479" s="42"/>
      <c r="M2479" s="42"/>
      <c r="N2479" s="42"/>
      <c r="O2479" s="42"/>
      <c r="P2479" s="42"/>
      <c r="Q2479" s="42"/>
      <c r="R2479" s="176"/>
      <c r="S2479" s="42"/>
      <c r="T2479" s="42"/>
      <c r="U2479" s="46"/>
      <c r="V2479" s="42"/>
      <c r="W2479" s="42"/>
      <c r="X2479" s="42"/>
      <c r="Y2479" s="42"/>
      <c r="Z2479" s="42"/>
      <c r="AA2479" s="42"/>
      <c r="AB2479" s="42"/>
      <c r="AC2479" s="42"/>
      <c r="AD2479" s="42"/>
      <c r="AE2479" s="42"/>
      <c r="AF2479" s="42"/>
    </row>
    <row r="2480">
      <c r="A2480" s="25"/>
      <c r="B2480" s="297"/>
      <c r="C2480" s="25"/>
      <c r="D2480" s="25"/>
      <c r="E2480" s="25"/>
      <c r="F2480" s="25"/>
      <c r="G2480" s="123"/>
      <c r="H2480" s="123"/>
      <c r="I2480" s="25"/>
      <c r="J2480" s="25"/>
      <c r="K2480" s="367"/>
      <c r="L2480" s="42"/>
      <c r="M2480" s="42"/>
      <c r="N2480" s="42"/>
      <c r="O2480" s="42"/>
      <c r="P2480" s="42"/>
      <c r="Q2480" s="42"/>
      <c r="R2480" s="176"/>
      <c r="S2480" s="42"/>
      <c r="T2480" s="42"/>
      <c r="U2480" s="46"/>
      <c r="V2480" s="42"/>
      <c r="W2480" s="42"/>
      <c r="X2480" s="42"/>
      <c r="Y2480" s="42"/>
      <c r="Z2480" s="42"/>
      <c r="AA2480" s="42"/>
      <c r="AB2480" s="42"/>
      <c r="AC2480" s="42"/>
      <c r="AD2480" s="42"/>
      <c r="AE2480" s="42"/>
      <c r="AF2480" s="42"/>
    </row>
    <row r="2481">
      <c r="A2481" s="25"/>
      <c r="B2481" s="297"/>
      <c r="C2481" s="25"/>
      <c r="D2481" s="25"/>
      <c r="E2481" s="25"/>
      <c r="F2481" s="25"/>
      <c r="G2481" s="123"/>
      <c r="H2481" s="123"/>
      <c r="I2481" s="25"/>
      <c r="J2481" s="25"/>
      <c r="K2481" s="367"/>
      <c r="L2481" s="42"/>
      <c r="M2481" s="42"/>
      <c r="N2481" s="42"/>
      <c r="O2481" s="42"/>
      <c r="P2481" s="42"/>
      <c r="Q2481" s="42"/>
      <c r="R2481" s="176"/>
      <c r="S2481" s="42"/>
      <c r="T2481" s="42"/>
      <c r="U2481" s="46"/>
      <c r="V2481" s="42"/>
      <c r="W2481" s="42"/>
      <c r="X2481" s="42"/>
      <c r="Y2481" s="42"/>
      <c r="Z2481" s="42"/>
      <c r="AA2481" s="42"/>
      <c r="AB2481" s="42"/>
      <c r="AC2481" s="42"/>
      <c r="AD2481" s="42"/>
      <c r="AE2481" s="42"/>
      <c r="AF2481" s="42"/>
    </row>
    <row r="2482">
      <c r="A2482" s="25"/>
      <c r="B2482" s="297"/>
      <c r="C2482" s="25"/>
      <c r="D2482" s="25"/>
      <c r="E2482" s="25"/>
      <c r="F2482" s="25"/>
      <c r="G2482" s="123"/>
      <c r="H2482" s="123"/>
      <c r="I2482" s="25"/>
      <c r="J2482" s="25"/>
      <c r="K2482" s="367"/>
      <c r="L2482" s="42"/>
      <c r="M2482" s="42"/>
      <c r="N2482" s="42"/>
      <c r="O2482" s="42"/>
      <c r="P2482" s="42"/>
      <c r="Q2482" s="42"/>
      <c r="R2482" s="176"/>
      <c r="S2482" s="42"/>
      <c r="T2482" s="42"/>
      <c r="U2482" s="46"/>
      <c r="V2482" s="42"/>
      <c r="W2482" s="42"/>
      <c r="X2482" s="42"/>
      <c r="Y2482" s="42"/>
      <c r="Z2482" s="42"/>
      <c r="AA2482" s="42"/>
      <c r="AB2482" s="42"/>
      <c r="AC2482" s="42"/>
      <c r="AD2482" s="42"/>
      <c r="AE2482" s="42"/>
      <c r="AF2482" s="42"/>
    </row>
    <row r="2483">
      <c r="A2483" s="25"/>
      <c r="B2483" s="297"/>
      <c r="C2483" s="25"/>
      <c r="D2483" s="25"/>
      <c r="E2483" s="25"/>
      <c r="F2483" s="25"/>
      <c r="G2483" s="123"/>
      <c r="H2483" s="123"/>
      <c r="I2483" s="25"/>
      <c r="J2483" s="25"/>
      <c r="K2483" s="367"/>
      <c r="L2483" s="42"/>
      <c r="M2483" s="42"/>
      <c r="N2483" s="42"/>
      <c r="O2483" s="42"/>
      <c r="P2483" s="42"/>
      <c r="Q2483" s="42"/>
      <c r="R2483" s="176"/>
      <c r="S2483" s="42"/>
      <c r="T2483" s="42"/>
      <c r="U2483" s="46"/>
      <c r="V2483" s="42"/>
      <c r="W2483" s="42"/>
      <c r="X2483" s="42"/>
      <c r="Y2483" s="42"/>
      <c r="Z2483" s="42"/>
      <c r="AA2483" s="42"/>
      <c r="AB2483" s="42"/>
      <c r="AC2483" s="42"/>
      <c r="AD2483" s="42"/>
      <c r="AE2483" s="42"/>
      <c r="AF2483" s="42"/>
    </row>
    <row r="2484">
      <c r="A2484" s="25"/>
      <c r="B2484" s="297"/>
      <c r="C2484" s="25"/>
      <c r="D2484" s="25"/>
      <c r="E2484" s="25"/>
      <c r="F2484" s="25"/>
      <c r="G2484" s="123"/>
      <c r="H2484" s="123"/>
      <c r="I2484" s="25"/>
      <c r="J2484" s="25"/>
      <c r="K2484" s="367"/>
      <c r="L2484" s="42"/>
      <c r="M2484" s="42"/>
      <c r="N2484" s="42"/>
      <c r="O2484" s="42"/>
      <c r="P2484" s="42"/>
      <c r="Q2484" s="42"/>
      <c r="R2484" s="176"/>
      <c r="S2484" s="42"/>
      <c r="T2484" s="42"/>
      <c r="U2484" s="46"/>
      <c r="V2484" s="42"/>
      <c r="W2484" s="42"/>
      <c r="X2484" s="42"/>
      <c r="Y2484" s="42"/>
      <c r="Z2484" s="42"/>
      <c r="AA2484" s="42"/>
      <c r="AB2484" s="42"/>
      <c r="AC2484" s="42"/>
      <c r="AD2484" s="42"/>
      <c r="AE2484" s="42"/>
      <c r="AF2484" s="42"/>
    </row>
    <row r="2485">
      <c r="A2485" s="25"/>
      <c r="B2485" s="297"/>
      <c r="C2485" s="25"/>
      <c r="D2485" s="25"/>
      <c r="E2485" s="25"/>
      <c r="F2485" s="25"/>
      <c r="G2485" s="123"/>
      <c r="H2485" s="123"/>
      <c r="I2485" s="25"/>
      <c r="J2485" s="25"/>
      <c r="K2485" s="367"/>
      <c r="L2485" s="42"/>
      <c r="M2485" s="42"/>
      <c r="N2485" s="42"/>
      <c r="O2485" s="42"/>
      <c r="P2485" s="42"/>
      <c r="Q2485" s="42"/>
      <c r="R2485" s="176"/>
      <c r="S2485" s="42"/>
      <c r="T2485" s="42"/>
      <c r="U2485" s="46"/>
      <c r="V2485" s="42"/>
      <c r="W2485" s="42"/>
      <c r="X2485" s="42"/>
      <c r="Y2485" s="42"/>
      <c r="Z2485" s="42"/>
      <c r="AA2485" s="42"/>
      <c r="AB2485" s="42"/>
      <c r="AC2485" s="42"/>
      <c r="AD2485" s="42"/>
      <c r="AE2485" s="42"/>
      <c r="AF2485" s="42"/>
    </row>
    <row r="2486">
      <c r="A2486" s="25"/>
      <c r="B2486" s="297"/>
      <c r="C2486" s="25"/>
      <c r="D2486" s="25"/>
      <c r="E2486" s="25"/>
      <c r="F2486" s="25"/>
      <c r="G2486" s="123"/>
      <c r="H2486" s="123"/>
      <c r="I2486" s="25"/>
      <c r="J2486" s="25"/>
      <c r="K2486" s="367"/>
      <c r="L2486" s="42"/>
      <c r="M2486" s="42"/>
      <c r="N2486" s="42"/>
      <c r="O2486" s="42"/>
      <c r="P2486" s="42"/>
      <c r="Q2486" s="42"/>
      <c r="R2486" s="176"/>
      <c r="S2486" s="42"/>
      <c r="T2486" s="42"/>
      <c r="U2486" s="46"/>
      <c r="V2486" s="42"/>
      <c r="W2486" s="42"/>
      <c r="X2486" s="42"/>
      <c r="Y2486" s="42"/>
      <c r="Z2486" s="42"/>
      <c r="AA2486" s="42"/>
      <c r="AB2486" s="42"/>
      <c r="AC2486" s="42"/>
      <c r="AD2486" s="42"/>
      <c r="AE2486" s="42"/>
      <c r="AF2486" s="42"/>
    </row>
    <row r="2487">
      <c r="A2487" s="25"/>
      <c r="B2487" s="297"/>
      <c r="C2487" s="25"/>
      <c r="D2487" s="25"/>
      <c r="E2487" s="25"/>
      <c r="F2487" s="25"/>
      <c r="G2487" s="123"/>
      <c r="H2487" s="123"/>
      <c r="I2487" s="25"/>
      <c r="J2487" s="25"/>
      <c r="K2487" s="367"/>
      <c r="L2487" s="42"/>
      <c r="M2487" s="42"/>
      <c r="N2487" s="42"/>
      <c r="O2487" s="42"/>
      <c r="P2487" s="42"/>
      <c r="Q2487" s="42"/>
      <c r="R2487" s="176"/>
      <c r="S2487" s="42"/>
      <c r="T2487" s="42"/>
      <c r="U2487" s="46"/>
      <c r="V2487" s="42"/>
      <c r="W2487" s="42"/>
      <c r="X2487" s="42"/>
      <c r="Y2487" s="42"/>
      <c r="Z2487" s="42"/>
      <c r="AA2487" s="42"/>
      <c r="AB2487" s="42"/>
      <c r="AC2487" s="42"/>
      <c r="AD2487" s="42"/>
      <c r="AE2487" s="42"/>
      <c r="AF2487" s="42"/>
    </row>
    <row r="2488">
      <c r="A2488" s="25"/>
      <c r="B2488" s="297"/>
      <c r="C2488" s="25"/>
      <c r="D2488" s="25"/>
      <c r="E2488" s="25"/>
      <c r="F2488" s="25"/>
      <c r="G2488" s="123"/>
      <c r="H2488" s="123"/>
      <c r="I2488" s="25"/>
      <c r="J2488" s="25"/>
      <c r="K2488" s="367"/>
      <c r="L2488" s="42"/>
      <c r="M2488" s="42"/>
      <c r="N2488" s="42"/>
      <c r="O2488" s="42"/>
      <c r="P2488" s="42"/>
      <c r="Q2488" s="42"/>
      <c r="R2488" s="176"/>
      <c r="S2488" s="42"/>
      <c r="T2488" s="42"/>
      <c r="U2488" s="46"/>
      <c r="V2488" s="42"/>
      <c r="W2488" s="42"/>
      <c r="X2488" s="42"/>
      <c r="Y2488" s="42"/>
      <c r="Z2488" s="42"/>
      <c r="AA2488" s="42"/>
      <c r="AB2488" s="42"/>
      <c r="AC2488" s="42"/>
      <c r="AD2488" s="42"/>
      <c r="AE2488" s="42"/>
      <c r="AF2488" s="42"/>
    </row>
    <row r="2489">
      <c r="A2489" s="25"/>
      <c r="B2489" s="297"/>
      <c r="C2489" s="25"/>
      <c r="D2489" s="25"/>
      <c r="E2489" s="25"/>
      <c r="F2489" s="25"/>
      <c r="G2489" s="123"/>
      <c r="H2489" s="123"/>
      <c r="I2489" s="25"/>
      <c r="J2489" s="25"/>
      <c r="K2489" s="367"/>
      <c r="L2489" s="42"/>
      <c r="M2489" s="42"/>
      <c r="N2489" s="42"/>
      <c r="O2489" s="42"/>
      <c r="P2489" s="42"/>
      <c r="Q2489" s="42"/>
      <c r="R2489" s="176"/>
      <c r="S2489" s="42"/>
      <c r="T2489" s="42"/>
      <c r="U2489" s="46"/>
      <c r="V2489" s="42"/>
      <c r="W2489" s="42"/>
      <c r="X2489" s="42"/>
      <c r="Y2489" s="42"/>
      <c r="Z2489" s="42"/>
      <c r="AA2489" s="42"/>
      <c r="AB2489" s="42"/>
      <c r="AC2489" s="42"/>
      <c r="AD2489" s="42"/>
      <c r="AE2489" s="42"/>
      <c r="AF2489" s="42"/>
    </row>
    <row r="2490">
      <c r="A2490" s="25"/>
      <c r="B2490" s="297"/>
      <c r="C2490" s="25"/>
      <c r="D2490" s="25"/>
      <c r="E2490" s="25"/>
      <c r="F2490" s="25"/>
      <c r="G2490" s="123"/>
      <c r="H2490" s="123"/>
      <c r="I2490" s="25"/>
      <c r="J2490" s="25"/>
      <c r="K2490" s="367"/>
      <c r="L2490" s="42"/>
      <c r="M2490" s="42"/>
      <c r="N2490" s="42"/>
      <c r="O2490" s="42"/>
      <c r="P2490" s="42"/>
      <c r="Q2490" s="42"/>
      <c r="R2490" s="176"/>
      <c r="S2490" s="42"/>
      <c r="T2490" s="42"/>
      <c r="U2490" s="46"/>
      <c r="V2490" s="42"/>
      <c r="W2490" s="42"/>
      <c r="X2490" s="42"/>
      <c r="Y2490" s="42"/>
      <c r="Z2490" s="42"/>
      <c r="AA2490" s="42"/>
      <c r="AB2490" s="42"/>
      <c r="AC2490" s="42"/>
      <c r="AD2490" s="42"/>
      <c r="AE2490" s="42"/>
      <c r="AF2490" s="42"/>
    </row>
    <row r="2491">
      <c r="A2491" s="25"/>
      <c r="B2491" s="297"/>
      <c r="C2491" s="25"/>
      <c r="D2491" s="25"/>
      <c r="E2491" s="25"/>
      <c r="F2491" s="25"/>
      <c r="G2491" s="123"/>
      <c r="H2491" s="123"/>
      <c r="I2491" s="25"/>
      <c r="J2491" s="25"/>
      <c r="K2491" s="367"/>
      <c r="L2491" s="42"/>
      <c r="M2491" s="42"/>
      <c r="N2491" s="42"/>
      <c r="O2491" s="42"/>
      <c r="P2491" s="42"/>
      <c r="Q2491" s="42"/>
      <c r="R2491" s="176"/>
      <c r="S2491" s="42"/>
      <c r="T2491" s="42"/>
      <c r="U2491" s="46"/>
      <c r="V2491" s="42"/>
      <c r="W2491" s="42"/>
      <c r="X2491" s="42"/>
      <c r="Y2491" s="42"/>
      <c r="Z2491" s="42"/>
      <c r="AA2491" s="42"/>
      <c r="AB2491" s="42"/>
      <c r="AC2491" s="42"/>
      <c r="AD2491" s="42"/>
      <c r="AE2491" s="42"/>
      <c r="AF2491" s="42"/>
    </row>
    <row r="2492">
      <c r="A2492" s="25"/>
      <c r="B2492" s="297"/>
      <c r="C2492" s="25"/>
      <c r="D2492" s="25"/>
      <c r="E2492" s="25"/>
      <c r="F2492" s="25"/>
      <c r="G2492" s="123"/>
      <c r="H2492" s="123"/>
      <c r="I2492" s="25"/>
      <c r="J2492" s="25"/>
      <c r="K2492" s="367"/>
      <c r="L2492" s="42"/>
      <c r="M2492" s="42"/>
      <c r="N2492" s="42"/>
      <c r="O2492" s="42"/>
      <c r="P2492" s="42"/>
      <c r="Q2492" s="42"/>
      <c r="R2492" s="176"/>
      <c r="S2492" s="42"/>
      <c r="T2492" s="42"/>
      <c r="U2492" s="46"/>
      <c r="V2492" s="42"/>
      <c r="W2492" s="42"/>
      <c r="X2492" s="42"/>
      <c r="Y2492" s="42"/>
      <c r="Z2492" s="42"/>
      <c r="AA2492" s="42"/>
      <c r="AB2492" s="42"/>
      <c r="AC2492" s="42"/>
      <c r="AD2492" s="42"/>
      <c r="AE2492" s="42"/>
      <c r="AF2492" s="42"/>
    </row>
    <row r="2493">
      <c r="A2493" s="25"/>
      <c r="B2493" s="297"/>
      <c r="C2493" s="25"/>
      <c r="D2493" s="25"/>
      <c r="E2493" s="25"/>
      <c r="F2493" s="25"/>
      <c r="G2493" s="123"/>
      <c r="H2493" s="123"/>
      <c r="I2493" s="25"/>
      <c r="J2493" s="25"/>
      <c r="K2493" s="367"/>
      <c r="L2493" s="42"/>
      <c r="M2493" s="42"/>
      <c r="N2493" s="42"/>
      <c r="O2493" s="42"/>
      <c r="P2493" s="42"/>
      <c r="Q2493" s="42"/>
      <c r="R2493" s="176"/>
      <c r="S2493" s="42"/>
      <c r="T2493" s="42"/>
      <c r="U2493" s="46"/>
      <c r="V2493" s="42"/>
      <c r="W2493" s="42"/>
      <c r="X2493" s="42"/>
      <c r="Y2493" s="42"/>
      <c r="Z2493" s="42"/>
      <c r="AA2493" s="42"/>
      <c r="AB2493" s="42"/>
      <c r="AC2493" s="42"/>
      <c r="AD2493" s="42"/>
      <c r="AE2493" s="42"/>
      <c r="AF2493" s="42"/>
    </row>
    <row r="2494">
      <c r="A2494" s="25"/>
      <c r="B2494" s="297"/>
      <c r="C2494" s="25"/>
      <c r="D2494" s="25"/>
      <c r="E2494" s="25"/>
      <c r="F2494" s="25"/>
      <c r="G2494" s="123"/>
      <c r="H2494" s="123"/>
      <c r="I2494" s="25"/>
      <c r="J2494" s="25"/>
      <c r="K2494" s="367"/>
      <c r="L2494" s="42"/>
      <c r="M2494" s="42"/>
      <c r="N2494" s="42"/>
      <c r="O2494" s="42"/>
      <c r="P2494" s="42"/>
      <c r="Q2494" s="42"/>
      <c r="R2494" s="176"/>
      <c r="S2494" s="42"/>
      <c r="T2494" s="42"/>
      <c r="U2494" s="46"/>
      <c r="V2494" s="42"/>
      <c r="W2494" s="42"/>
      <c r="X2494" s="42"/>
      <c r="Y2494" s="42"/>
      <c r="Z2494" s="42"/>
      <c r="AA2494" s="42"/>
      <c r="AB2494" s="42"/>
      <c r="AC2494" s="42"/>
      <c r="AD2494" s="42"/>
      <c r="AE2494" s="42"/>
      <c r="AF2494" s="42"/>
    </row>
    <row r="2495">
      <c r="A2495" s="25"/>
      <c r="B2495" s="297"/>
      <c r="C2495" s="25"/>
      <c r="D2495" s="25"/>
      <c r="E2495" s="25"/>
      <c r="F2495" s="25"/>
      <c r="G2495" s="123"/>
      <c r="H2495" s="123"/>
      <c r="I2495" s="25"/>
      <c r="J2495" s="25"/>
      <c r="K2495" s="367"/>
      <c r="L2495" s="42"/>
      <c r="M2495" s="42"/>
      <c r="N2495" s="42"/>
      <c r="O2495" s="42"/>
      <c r="P2495" s="42"/>
      <c r="Q2495" s="42"/>
      <c r="R2495" s="176"/>
      <c r="S2495" s="42"/>
      <c r="T2495" s="42"/>
      <c r="U2495" s="46"/>
      <c r="V2495" s="42"/>
      <c r="W2495" s="42"/>
      <c r="X2495" s="42"/>
      <c r="Y2495" s="42"/>
      <c r="Z2495" s="42"/>
      <c r="AA2495" s="42"/>
      <c r="AB2495" s="42"/>
      <c r="AC2495" s="42"/>
      <c r="AD2495" s="42"/>
      <c r="AE2495" s="42"/>
      <c r="AF2495" s="42"/>
    </row>
    <row r="2496">
      <c r="A2496" s="25"/>
      <c r="B2496" s="297"/>
      <c r="C2496" s="25"/>
      <c r="D2496" s="25"/>
      <c r="E2496" s="25"/>
      <c r="F2496" s="25"/>
      <c r="G2496" s="123"/>
      <c r="H2496" s="123"/>
      <c r="I2496" s="25"/>
      <c r="J2496" s="25"/>
      <c r="K2496" s="367"/>
      <c r="L2496" s="42"/>
      <c r="M2496" s="42"/>
      <c r="N2496" s="42"/>
      <c r="O2496" s="42"/>
      <c r="P2496" s="42"/>
      <c r="Q2496" s="42"/>
      <c r="R2496" s="176"/>
      <c r="S2496" s="42"/>
      <c r="T2496" s="42"/>
      <c r="U2496" s="46"/>
      <c r="V2496" s="42"/>
      <c r="W2496" s="42"/>
      <c r="X2496" s="42"/>
      <c r="Y2496" s="42"/>
      <c r="Z2496" s="42"/>
      <c r="AA2496" s="42"/>
      <c r="AB2496" s="42"/>
      <c r="AC2496" s="42"/>
      <c r="AD2496" s="42"/>
      <c r="AE2496" s="42"/>
      <c r="AF2496" s="42"/>
    </row>
    <row r="2497">
      <c r="A2497" s="25"/>
      <c r="B2497" s="297"/>
      <c r="C2497" s="25"/>
      <c r="D2497" s="25"/>
      <c r="E2497" s="25"/>
      <c r="F2497" s="25"/>
      <c r="G2497" s="123"/>
      <c r="H2497" s="123"/>
      <c r="I2497" s="25"/>
      <c r="J2497" s="25"/>
      <c r="K2497" s="367"/>
      <c r="L2497" s="42"/>
      <c r="M2497" s="42"/>
      <c r="N2497" s="42"/>
      <c r="O2497" s="42"/>
      <c r="P2497" s="42"/>
      <c r="Q2497" s="42"/>
      <c r="R2497" s="176"/>
      <c r="S2497" s="42"/>
      <c r="T2497" s="42"/>
      <c r="U2497" s="46"/>
      <c r="V2497" s="42"/>
      <c r="W2497" s="42"/>
      <c r="X2497" s="42"/>
      <c r="Y2497" s="42"/>
      <c r="Z2497" s="42"/>
      <c r="AA2497" s="42"/>
      <c r="AB2497" s="42"/>
      <c r="AC2497" s="42"/>
      <c r="AD2497" s="42"/>
      <c r="AE2497" s="42"/>
      <c r="AF2497" s="42"/>
    </row>
    <row r="2498">
      <c r="A2498" s="25"/>
      <c r="B2498" s="297"/>
      <c r="C2498" s="25"/>
      <c r="D2498" s="25"/>
      <c r="E2498" s="25"/>
      <c r="F2498" s="25"/>
      <c r="G2498" s="123"/>
      <c r="H2498" s="123"/>
      <c r="I2498" s="25"/>
      <c r="J2498" s="25"/>
      <c r="K2498" s="367"/>
      <c r="L2498" s="42"/>
      <c r="M2498" s="42"/>
      <c r="N2498" s="42"/>
      <c r="O2498" s="42"/>
      <c r="P2498" s="42"/>
      <c r="Q2498" s="42"/>
      <c r="R2498" s="176"/>
      <c r="S2498" s="42"/>
      <c r="T2498" s="42"/>
      <c r="U2498" s="46"/>
      <c r="V2498" s="42"/>
      <c r="W2498" s="42"/>
      <c r="X2498" s="42"/>
      <c r="Y2498" s="42"/>
      <c r="Z2498" s="42"/>
      <c r="AA2498" s="42"/>
      <c r="AB2498" s="42"/>
      <c r="AC2498" s="42"/>
      <c r="AD2498" s="42"/>
      <c r="AE2498" s="42"/>
      <c r="AF2498" s="42"/>
    </row>
    <row r="2499">
      <c r="A2499" s="25"/>
      <c r="B2499" s="297"/>
      <c r="C2499" s="25"/>
      <c r="D2499" s="25"/>
      <c r="E2499" s="25"/>
      <c r="F2499" s="25"/>
      <c r="G2499" s="123"/>
      <c r="H2499" s="123"/>
      <c r="I2499" s="25"/>
      <c r="J2499" s="25"/>
      <c r="K2499" s="367"/>
      <c r="L2499" s="42"/>
      <c r="M2499" s="42"/>
      <c r="N2499" s="42"/>
      <c r="O2499" s="42"/>
      <c r="P2499" s="42"/>
      <c r="Q2499" s="42"/>
      <c r="R2499" s="176"/>
      <c r="S2499" s="42"/>
      <c r="T2499" s="42"/>
      <c r="U2499" s="46"/>
      <c r="V2499" s="42"/>
      <c r="W2499" s="42"/>
      <c r="X2499" s="42"/>
      <c r="Y2499" s="42"/>
      <c r="Z2499" s="42"/>
      <c r="AA2499" s="42"/>
      <c r="AB2499" s="42"/>
      <c r="AC2499" s="42"/>
      <c r="AD2499" s="42"/>
      <c r="AE2499" s="42"/>
      <c r="AF2499" s="42"/>
    </row>
    <row r="2500">
      <c r="A2500" s="25"/>
      <c r="B2500" s="297"/>
      <c r="C2500" s="25"/>
      <c r="D2500" s="25"/>
      <c r="E2500" s="25"/>
      <c r="F2500" s="25"/>
      <c r="G2500" s="123"/>
      <c r="H2500" s="123"/>
      <c r="I2500" s="25"/>
      <c r="J2500" s="25"/>
      <c r="K2500" s="367"/>
      <c r="L2500" s="42"/>
      <c r="M2500" s="42"/>
      <c r="N2500" s="42"/>
      <c r="O2500" s="42"/>
      <c r="P2500" s="42"/>
      <c r="Q2500" s="42"/>
      <c r="R2500" s="176"/>
      <c r="S2500" s="42"/>
      <c r="T2500" s="42"/>
      <c r="U2500" s="46"/>
      <c r="V2500" s="42"/>
      <c r="W2500" s="42"/>
      <c r="X2500" s="42"/>
      <c r="Y2500" s="42"/>
      <c r="Z2500" s="42"/>
      <c r="AA2500" s="42"/>
      <c r="AB2500" s="42"/>
      <c r="AC2500" s="42"/>
      <c r="AD2500" s="42"/>
      <c r="AE2500" s="42"/>
      <c r="AF2500" s="42"/>
    </row>
    <row r="2501">
      <c r="A2501" s="25"/>
      <c r="B2501" s="297"/>
      <c r="C2501" s="25"/>
      <c r="D2501" s="25"/>
      <c r="E2501" s="25"/>
      <c r="F2501" s="25"/>
      <c r="G2501" s="123"/>
      <c r="H2501" s="123"/>
      <c r="I2501" s="25"/>
      <c r="J2501" s="25"/>
      <c r="K2501" s="367"/>
      <c r="L2501" s="42"/>
      <c r="M2501" s="42"/>
      <c r="N2501" s="42"/>
      <c r="O2501" s="42"/>
      <c r="P2501" s="42"/>
      <c r="Q2501" s="42"/>
      <c r="R2501" s="176"/>
      <c r="S2501" s="42"/>
      <c r="T2501" s="42"/>
      <c r="U2501" s="46"/>
      <c r="V2501" s="42"/>
      <c r="W2501" s="42"/>
      <c r="X2501" s="42"/>
      <c r="Y2501" s="42"/>
      <c r="Z2501" s="42"/>
      <c r="AA2501" s="42"/>
      <c r="AB2501" s="42"/>
      <c r="AC2501" s="42"/>
      <c r="AD2501" s="42"/>
      <c r="AE2501" s="42"/>
      <c r="AF2501" s="42"/>
    </row>
    <row r="2502">
      <c r="A2502" s="25"/>
      <c r="B2502" s="297"/>
      <c r="C2502" s="25"/>
      <c r="D2502" s="25"/>
      <c r="E2502" s="25"/>
      <c r="F2502" s="25"/>
      <c r="G2502" s="123"/>
      <c r="H2502" s="123"/>
      <c r="I2502" s="25"/>
      <c r="J2502" s="25"/>
      <c r="K2502" s="367"/>
      <c r="L2502" s="42"/>
      <c r="M2502" s="42"/>
      <c r="N2502" s="42"/>
      <c r="O2502" s="42"/>
      <c r="P2502" s="42"/>
      <c r="Q2502" s="42"/>
      <c r="R2502" s="176"/>
      <c r="S2502" s="42"/>
      <c r="T2502" s="42"/>
      <c r="U2502" s="46"/>
      <c r="V2502" s="42"/>
      <c r="W2502" s="42"/>
      <c r="X2502" s="42"/>
      <c r="Y2502" s="42"/>
      <c r="Z2502" s="42"/>
      <c r="AA2502" s="42"/>
      <c r="AB2502" s="42"/>
      <c r="AC2502" s="42"/>
      <c r="AD2502" s="42"/>
      <c r="AE2502" s="42"/>
      <c r="AF2502" s="42"/>
    </row>
    <row r="2503">
      <c r="A2503" s="25"/>
      <c r="B2503" s="297"/>
      <c r="C2503" s="25"/>
      <c r="D2503" s="25"/>
      <c r="E2503" s="25"/>
      <c r="F2503" s="25"/>
      <c r="G2503" s="123"/>
      <c r="H2503" s="123"/>
      <c r="I2503" s="25"/>
      <c r="J2503" s="25"/>
      <c r="K2503" s="367"/>
      <c r="L2503" s="42"/>
      <c r="M2503" s="42"/>
      <c r="N2503" s="42"/>
      <c r="O2503" s="42"/>
      <c r="P2503" s="42"/>
      <c r="Q2503" s="42"/>
      <c r="R2503" s="176"/>
      <c r="S2503" s="42"/>
      <c r="T2503" s="42"/>
      <c r="U2503" s="46"/>
      <c r="V2503" s="42"/>
      <c r="W2503" s="42"/>
      <c r="X2503" s="42"/>
      <c r="Y2503" s="42"/>
      <c r="Z2503" s="42"/>
      <c r="AA2503" s="42"/>
      <c r="AB2503" s="42"/>
      <c r="AC2503" s="42"/>
      <c r="AD2503" s="42"/>
      <c r="AE2503" s="42"/>
      <c r="AF2503" s="42"/>
    </row>
    <row r="2504">
      <c r="A2504" s="25"/>
      <c r="B2504" s="297"/>
      <c r="C2504" s="25"/>
      <c r="D2504" s="25"/>
      <c r="E2504" s="25"/>
      <c r="F2504" s="25"/>
      <c r="G2504" s="123"/>
      <c r="H2504" s="123"/>
      <c r="I2504" s="25"/>
      <c r="J2504" s="25"/>
      <c r="K2504" s="367"/>
      <c r="L2504" s="42"/>
      <c r="M2504" s="42"/>
      <c r="N2504" s="42"/>
      <c r="O2504" s="42"/>
      <c r="P2504" s="42"/>
      <c r="Q2504" s="42"/>
      <c r="R2504" s="176"/>
      <c r="S2504" s="42"/>
      <c r="T2504" s="42"/>
      <c r="U2504" s="46"/>
      <c r="V2504" s="42"/>
      <c r="W2504" s="42"/>
      <c r="X2504" s="42"/>
      <c r="Y2504" s="42"/>
      <c r="Z2504" s="42"/>
      <c r="AA2504" s="42"/>
      <c r="AB2504" s="42"/>
      <c r="AC2504" s="42"/>
      <c r="AD2504" s="42"/>
      <c r="AE2504" s="42"/>
      <c r="AF2504" s="42"/>
    </row>
    <row r="2505">
      <c r="A2505" s="25"/>
      <c r="B2505" s="297"/>
      <c r="C2505" s="25"/>
      <c r="D2505" s="25"/>
      <c r="E2505" s="25"/>
      <c r="F2505" s="25"/>
      <c r="G2505" s="123"/>
      <c r="H2505" s="123"/>
      <c r="I2505" s="25"/>
      <c r="J2505" s="25"/>
      <c r="K2505" s="367"/>
      <c r="L2505" s="42"/>
      <c r="M2505" s="42"/>
      <c r="N2505" s="42"/>
      <c r="O2505" s="42"/>
      <c r="P2505" s="42"/>
      <c r="Q2505" s="42"/>
      <c r="R2505" s="176"/>
      <c r="S2505" s="42"/>
      <c r="T2505" s="42"/>
      <c r="U2505" s="46"/>
      <c r="V2505" s="42"/>
      <c r="W2505" s="42"/>
      <c r="X2505" s="42"/>
      <c r="Y2505" s="42"/>
      <c r="Z2505" s="42"/>
      <c r="AA2505" s="42"/>
      <c r="AB2505" s="42"/>
      <c r="AC2505" s="42"/>
      <c r="AD2505" s="42"/>
      <c r="AE2505" s="42"/>
      <c r="AF2505" s="42"/>
    </row>
    <row r="2506">
      <c r="A2506" s="25"/>
      <c r="B2506" s="297"/>
      <c r="C2506" s="25"/>
      <c r="D2506" s="25"/>
      <c r="E2506" s="25"/>
      <c r="F2506" s="25"/>
      <c r="G2506" s="123"/>
      <c r="H2506" s="123"/>
      <c r="I2506" s="25"/>
      <c r="J2506" s="25"/>
      <c r="K2506" s="367"/>
      <c r="L2506" s="42"/>
      <c r="M2506" s="42"/>
      <c r="N2506" s="42"/>
      <c r="O2506" s="42"/>
      <c r="P2506" s="42"/>
      <c r="Q2506" s="42"/>
      <c r="R2506" s="176"/>
      <c r="S2506" s="42"/>
      <c r="T2506" s="42"/>
      <c r="U2506" s="46"/>
      <c r="V2506" s="42"/>
      <c r="W2506" s="42"/>
      <c r="X2506" s="42"/>
      <c r="Y2506" s="42"/>
      <c r="Z2506" s="42"/>
      <c r="AA2506" s="42"/>
      <c r="AB2506" s="42"/>
      <c r="AC2506" s="42"/>
      <c r="AD2506" s="42"/>
      <c r="AE2506" s="42"/>
      <c r="AF2506" s="42"/>
    </row>
    <row r="2507">
      <c r="A2507" s="25"/>
      <c r="B2507" s="297"/>
      <c r="C2507" s="25"/>
      <c r="D2507" s="25"/>
      <c r="E2507" s="25"/>
      <c r="F2507" s="25"/>
      <c r="G2507" s="123"/>
      <c r="H2507" s="123"/>
      <c r="I2507" s="25"/>
      <c r="J2507" s="25"/>
      <c r="K2507" s="367"/>
      <c r="L2507" s="42"/>
      <c r="M2507" s="42"/>
      <c r="N2507" s="42"/>
      <c r="O2507" s="42"/>
      <c r="P2507" s="42"/>
      <c r="Q2507" s="42"/>
      <c r="R2507" s="176"/>
      <c r="S2507" s="42"/>
      <c r="T2507" s="42"/>
      <c r="U2507" s="46"/>
      <c r="V2507" s="42"/>
      <c r="W2507" s="42"/>
      <c r="X2507" s="42"/>
      <c r="Y2507" s="42"/>
      <c r="Z2507" s="42"/>
      <c r="AA2507" s="42"/>
      <c r="AB2507" s="42"/>
      <c r="AC2507" s="42"/>
      <c r="AD2507" s="42"/>
      <c r="AE2507" s="42"/>
      <c r="AF2507" s="42"/>
    </row>
    <row r="2508">
      <c r="A2508" s="25"/>
      <c r="B2508" s="297"/>
      <c r="C2508" s="25"/>
      <c r="D2508" s="25"/>
      <c r="E2508" s="25"/>
      <c r="F2508" s="25"/>
      <c r="G2508" s="123"/>
      <c r="H2508" s="123"/>
      <c r="I2508" s="25"/>
      <c r="J2508" s="25"/>
      <c r="K2508" s="367"/>
      <c r="L2508" s="42"/>
      <c r="M2508" s="42"/>
      <c r="N2508" s="42"/>
      <c r="O2508" s="42"/>
      <c r="P2508" s="42"/>
      <c r="Q2508" s="42"/>
      <c r="R2508" s="176"/>
      <c r="S2508" s="42"/>
      <c r="T2508" s="42"/>
      <c r="U2508" s="46"/>
      <c r="V2508" s="42"/>
      <c r="W2508" s="42"/>
      <c r="X2508" s="42"/>
      <c r="Y2508" s="42"/>
      <c r="Z2508" s="42"/>
      <c r="AA2508" s="42"/>
      <c r="AB2508" s="42"/>
      <c r="AC2508" s="42"/>
      <c r="AD2508" s="42"/>
      <c r="AE2508" s="42"/>
      <c r="AF2508" s="42"/>
    </row>
    <row r="2509">
      <c r="A2509" s="25"/>
      <c r="B2509" s="297"/>
      <c r="C2509" s="25"/>
      <c r="D2509" s="25"/>
      <c r="E2509" s="25"/>
      <c r="F2509" s="25"/>
      <c r="G2509" s="123"/>
      <c r="H2509" s="123"/>
      <c r="I2509" s="25"/>
      <c r="J2509" s="25"/>
      <c r="K2509" s="367"/>
      <c r="L2509" s="42"/>
      <c r="M2509" s="42"/>
      <c r="N2509" s="42"/>
      <c r="O2509" s="42"/>
      <c r="P2509" s="42"/>
      <c r="Q2509" s="42"/>
      <c r="R2509" s="176"/>
      <c r="S2509" s="42"/>
      <c r="T2509" s="42"/>
      <c r="U2509" s="46"/>
      <c r="V2509" s="42"/>
      <c r="W2509" s="42"/>
      <c r="X2509" s="42"/>
      <c r="Y2509" s="42"/>
      <c r="Z2509" s="42"/>
      <c r="AA2509" s="42"/>
      <c r="AB2509" s="42"/>
      <c r="AC2509" s="42"/>
      <c r="AD2509" s="42"/>
      <c r="AE2509" s="42"/>
      <c r="AF2509" s="42"/>
    </row>
    <row r="2510">
      <c r="A2510" s="25"/>
      <c r="B2510" s="297"/>
      <c r="C2510" s="25"/>
      <c r="D2510" s="25"/>
      <c r="E2510" s="25"/>
      <c r="F2510" s="25"/>
      <c r="G2510" s="123"/>
      <c r="H2510" s="123"/>
      <c r="I2510" s="25"/>
      <c r="J2510" s="25"/>
      <c r="K2510" s="367"/>
      <c r="L2510" s="42"/>
      <c r="M2510" s="42"/>
      <c r="N2510" s="42"/>
      <c r="O2510" s="42"/>
      <c r="P2510" s="42"/>
      <c r="Q2510" s="42"/>
      <c r="R2510" s="176"/>
      <c r="S2510" s="42"/>
      <c r="T2510" s="42"/>
      <c r="U2510" s="46"/>
      <c r="V2510" s="42"/>
      <c r="W2510" s="42"/>
      <c r="X2510" s="42"/>
      <c r="Y2510" s="42"/>
      <c r="Z2510" s="42"/>
      <c r="AA2510" s="42"/>
      <c r="AB2510" s="42"/>
      <c r="AC2510" s="42"/>
      <c r="AD2510" s="42"/>
      <c r="AE2510" s="42"/>
      <c r="AF2510" s="42"/>
    </row>
    <row r="2511">
      <c r="A2511" s="25"/>
      <c r="B2511" s="297"/>
      <c r="C2511" s="25"/>
      <c r="D2511" s="25"/>
      <c r="E2511" s="25"/>
      <c r="F2511" s="25"/>
      <c r="G2511" s="123"/>
      <c r="H2511" s="123"/>
      <c r="I2511" s="25"/>
      <c r="J2511" s="25"/>
      <c r="K2511" s="367"/>
      <c r="L2511" s="42"/>
      <c r="M2511" s="42"/>
      <c r="N2511" s="42"/>
      <c r="O2511" s="42"/>
      <c r="P2511" s="42"/>
      <c r="Q2511" s="42"/>
      <c r="R2511" s="176"/>
      <c r="S2511" s="42"/>
      <c r="T2511" s="42"/>
      <c r="U2511" s="46"/>
      <c r="V2511" s="42"/>
      <c r="W2511" s="42"/>
      <c r="X2511" s="42"/>
      <c r="Y2511" s="42"/>
      <c r="Z2511" s="42"/>
      <c r="AA2511" s="42"/>
      <c r="AB2511" s="42"/>
      <c r="AC2511" s="42"/>
      <c r="AD2511" s="42"/>
      <c r="AE2511" s="42"/>
      <c r="AF2511" s="42"/>
    </row>
    <row r="2512">
      <c r="A2512" s="25"/>
      <c r="B2512" s="297"/>
      <c r="C2512" s="25"/>
      <c r="D2512" s="25"/>
      <c r="E2512" s="25"/>
      <c r="F2512" s="25"/>
      <c r="G2512" s="123"/>
      <c r="H2512" s="123"/>
      <c r="I2512" s="25"/>
      <c r="J2512" s="25"/>
      <c r="K2512" s="367"/>
      <c r="L2512" s="42"/>
      <c r="M2512" s="42"/>
      <c r="N2512" s="42"/>
      <c r="O2512" s="42"/>
      <c r="P2512" s="42"/>
      <c r="Q2512" s="42"/>
      <c r="R2512" s="176"/>
      <c r="S2512" s="42"/>
      <c r="T2512" s="42"/>
      <c r="U2512" s="46"/>
      <c r="V2512" s="42"/>
      <c r="W2512" s="42"/>
      <c r="X2512" s="42"/>
      <c r="Y2512" s="42"/>
      <c r="Z2512" s="42"/>
      <c r="AA2512" s="42"/>
      <c r="AB2512" s="42"/>
      <c r="AC2512" s="42"/>
      <c r="AD2512" s="42"/>
      <c r="AE2512" s="42"/>
      <c r="AF2512" s="42"/>
    </row>
    <row r="2513">
      <c r="A2513" s="25"/>
      <c r="B2513" s="297"/>
      <c r="C2513" s="25"/>
      <c r="D2513" s="25"/>
      <c r="E2513" s="25"/>
      <c r="F2513" s="25"/>
      <c r="G2513" s="123"/>
      <c r="H2513" s="123"/>
      <c r="I2513" s="25"/>
      <c r="J2513" s="25"/>
      <c r="K2513" s="367"/>
      <c r="L2513" s="42"/>
      <c r="M2513" s="42"/>
      <c r="N2513" s="42"/>
      <c r="O2513" s="42"/>
      <c r="P2513" s="42"/>
      <c r="Q2513" s="42"/>
      <c r="R2513" s="176"/>
      <c r="S2513" s="42"/>
      <c r="T2513" s="42"/>
      <c r="U2513" s="46"/>
      <c r="V2513" s="42"/>
      <c r="W2513" s="42"/>
      <c r="X2513" s="42"/>
      <c r="Y2513" s="42"/>
      <c r="Z2513" s="42"/>
      <c r="AA2513" s="42"/>
      <c r="AB2513" s="42"/>
      <c r="AC2513" s="42"/>
      <c r="AD2513" s="42"/>
      <c r="AE2513" s="42"/>
      <c r="AF2513" s="42"/>
    </row>
    <row r="2514">
      <c r="A2514" s="25"/>
      <c r="B2514" s="297"/>
      <c r="C2514" s="25"/>
      <c r="D2514" s="25"/>
      <c r="E2514" s="25"/>
      <c r="F2514" s="25"/>
      <c r="G2514" s="123"/>
      <c r="H2514" s="123"/>
      <c r="I2514" s="25"/>
      <c r="J2514" s="25"/>
      <c r="K2514" s="367"/>
      <c r="L2514" s="42"/>
      <c r="M2514" s="42"/>
      <c r="N2514" s="42"/>
      <c r="O2514" s="42"/>
      <c r="P2514" s="42"/>
      <c r="Q2514" s="42"/>
      <c r="R2514" s="176"/>
      <c r="S2514" s="42"/>
      <c r="T2514" s="42"/>
      <c r="U2514" s="46"/>
      <c r="V2514" s="42"/>
      <c r="W2514" s="42"/>
      <c r="X2514" s="42"/>
      <c r="Y2514" s="42"/>
      <c r="Z2514" s="42"/>
      <c r="AA2514" s="42"/>
      <c r="AB2514" s="42"/>
      <c r="AC2514" s="42"/>
      <c r="AD2514" s="42"/>
      <c r="AE2514" s="42"/>
      <c r="AF2514" s="42"/>
    </row>
    <row r="2515">
      <c r="A2515" s="25"/>
      <c r="B2515" s="297"/>
      <c r="C2515" s="25"/>
      <c r="D2515" s="25"/>
      <c r="E2515" s="25"/>
      <c r="F2515" s="25"/>
      <c r="G2515" s="123"/>
      <c r="H2515" s="123"/>
      <c r="I2515" s="25"/>
      <c r="J2515" s="25"/>
      <c r="K2515" s="367"/>
      <c r="L2515" s="42"/>
      <c r="M2515" s="42"/>
      <c r="N2515" s="42"/>
      <c r="O2515" s="42"/>
      <c r="P2515" s="42"/>
      <c r="Q2515" s="42"/>
      <c r="R2515" s="176"/>
      <c r="S2515" s="42"/>
      <c r="T2515" s="42"/>
      <c r="U2515" s="46"/>
      <c r="V2515" s="42"/>
      <c r="W2515" s="42"/>
      <c r="X2515" s="42"/>
      <c r="Y2515" s="42"/>
      <c r="Z2515" s="42"/>
      <c r="AA2515" s="42"/>
      <c r="AB2515" s="42"/>
      <c r="AC2515" s="42"/>
      <c r="AD2515" s="42"/>
      <c r="AE2515" s="42"/>
      <c r="AF2515" s="42"/>
    </row>
    <row r="2516">
      <c r="A2516" s="25"/>
      <c r="B2516" s="297"/>
      <c r="C2516" s="25"/>
      <c r="D2516" s="25"/>
      <c r="E2516" s="25"/>
      <c r="F2516" s="25"/>
      <c r="G2516" s="123"/>
      <c r="H2516" s="123"/>
      <c r="I2516" s="25"/>
      <c r="J2516" s="25"/>
      <c r="K2516" s="367"/>
      <c r="L2516" s="42"/>
      <c r="M2516" s="42"/>
      <c r="N2516" s="42"/>
      <c r="O2516" s="42"/>
      <c r="P2516" s="42"/>
      <c r="Q2516" s="42"/>
      <c r="R2516" s="176"/>
      <c r="S2516" s="42"/>
      <c r="T2516" s="42"/>
      <c r="U2516" s="46"/>
      <c r="V2516" s="42"/>
      <c r="W2516" s="42"/>
      <c r="X2516" s="42"/>
      <c r="Y2516" s="42"/>
      <c r="Z2516" s="42"/>
      <c r="AA2516" s="42"/>
      <c r="AB2516" s="42"/>
      <c r="AC2516" s="42"/>
      <c r="AD2516" s="42"/>
      <c r="AE2516" s="42"/>
      <c r="AF2516" s="42"/>
    </row>
    <row r="2517">
      <c r="A2517" s="25"/>
      <c r="B2517" s="297"/>
      <c r="C2517" s="25"/>
      <c r="D2517" s="25"/>
      <c r="E2517" s="25"/>
      <c r="F2517" s="25"/>
      <c r="G2517" s="123"/>
      <c r="H2517" s="123"/>
      <c r="I2517" s="25"/>
      <c r="J2517" s="25"/>
      <c r="K2517" s="367"/>
      <c r="L2517" s="42"/>
      <c r="M2517" s="42"/>
      <c r="N2517" s="42"/>
      <c r="O2517" s="42"/>
      <c r="P2517" s="42"/>
      <c r="Q2517" s="42"/>
      <c r="R2517" s="176"/>
      <c r="S2517" s="42"/>
      <c r="T2517" s="42"/>
      <c r="U2517" s="46"/>
      <c r="V2517" s="42"/>
      <c r="W2517" s="42"/>
      <c r="X2517" s="42"/>
      <c r="Y2517" s="42"/>
      <c r="Z2517" s="42"/>
      <c r="AA2517" s="42"/>
      <c r="AB2517" s="42"/>
      <c r="AC2517" s="42"/>
      <c r="AD2517" s="42"/>
      <c r="AE2517" s="42"/>
      <c r="AF2517" s="42"/>
    </row>
    <row r="2518">
      <c r="A2518" s="25"/>
      <c r="B2518" s="297"/>
      <c r="C2518" s="25"/>
      <c r="D2518" s="25"/>
      <c r="E2518" s="25"/>
      <c r="F2518" s="25"/>
      <c r="G2518" s="123"/>
      <c r="H2518" s="123"/>
      <c r="I2518" s="25"/>
      <c r="J2518" s="25"/>
      <c r="K2518" s="367"/>
      <c r="L2518" s="42"/>
      <c r="M2518" s="42"/>
      <c r="N2518" s="42"/>
      <c r="O2518" s="42"/>
      <c r="P2518" s="42"/>
      <c r="Q2518" s="42"/>
      <c r="R2518" s="176"/>
      <c r="S2518" s="42"/>
      <c r="T2518" s="42"/>
      <c r="U2518" s="46"/>
      <c r="V2518" s="42"/>
      <c r="W2518" s="42"/>
      <c r="X2518" s="42"/>
      <c r="Y2518" s="42"/>
      <c r="Z2518" s="42"/>
      <c r="AA2518" s="42"/>
      <c r="AB2518" s="42"/>
      <c r="AC2518" s="42"/>
      <c r="AD2518" s="42"/>
      <c r="AE2518" s="42"/>
      <c r="AF2518" s="42"/>
    </row>
    <row r="2519">
      <c r="A2519" s="25"/>
      <c r="B2519" s="297"/>
      <c r="C2519" s="25"/>
      <c r="D2519" s="25"/>
      <c r="E2519" s="25"/>
      <c r="F2519" s="25"/>
      <c r="G2519" s="123"/>
      <c r="H2519" s="123"/>
      <c r="I2519" s="25"/>
      <c r="J2519" s="25"/>
      <c r="K2519" s="367"/>
      <c r="L2519" s="42"/>
      <c r="M2519" s="42"/>
      <c r="N2519" s="42"/>
      <c r="O2519" s="42"/>
      <c r="P2519" s="42"/>
      <c r="Q2519" s="42"/>
      <c r="R2519" s="176"/>
      <c r="S2519" s="42"/>
      <c r="T2519" s="42"/>
      <c r="U2519" s="46"/>
      <c r="V2519" s="42"/>
      <c r="W2519" s="42"/>
      <c r="X2519" s="42"/>
      <c r="Y2519" s="42"/>
      <c r="Z2519" s="42"/>
      <c r="AA2519" s="42"/>
      <c r="AB2519" s="42"/>
      <c r="AC2519" s="42"/>
      <c r="AD2519" s="42"/>
      <c r="AE2519" s="42"/>
      <c r="AF2519" s="42"/>
    </row>
    <row r="2520">
      <c r="A2520" s="25"/>
      <c r="B2520" s="297"/>
      <c r="C2520" s="25"/>
      <c r="D2520" s="25"/>
      <c r="E2520" s="25"/>
      <c r="F2520" s="25"/>
      <c r="G2520" s="123"/>
      <c r="H2520" s="123"/>
      <c r="I2520" s="25"/>
      <c r="J2520" s="25"/>
      <c r="K2520" s="367"/>
      <c r="L2520" s="42"/>
      <c r="M2520" s="42"/>
      <c r="N2520" s="42"/>
      <c r="O2520" s="42"/>
      <c r="P2520" s="42"/>
      <c r="Q2520" s="42"/>
      <c r="R2520" s="176"/>
      <c r="S2520" s="42"/>
      <c r="T2520" s="42"/>
      <c r="U2520" s="46"/>
      <c r="V2520" s="42"/>
      <c r="W2520" s="42"/>
      <c r="X2520" s="42"/>
      <c r="Y2520" s="42"/>
      <c r="Z2520" s="42"/>
      <c r="AA2520" s="42"/>
      <c r="AB2520" s="42"/>
      <c r="AC2520" s="42"/>
      <c r="AD2520" s="42"/>
      <c r="AE2520" s="42"/>
      <c r="AF2520" s="42"/>
    </row>
    <row r="2521">
      <c r="A2521" s="25"/>
      <c r="B2521" s="297"/>
      <c r="C2521" s="25"/>
      <c r="D2521" s="25"/>
      <c r="E2521" s="25"/>
      <c r="F2521" s="25"/>
      <c r="G2521" s="123"/>
      <c r="H2521" s="123"/>
      <c r="I2521" s="25"/>
      <c r="J2521" s="25"/>
      <c r="K2521" s="367"/>
      <c r="L2521" s="42"/>
      <c r="M2521" s="42"/>
      <c r="N2521" s="42"/>
      <c r="O2521" s="42"/>
      <c r="P2521" s="42"/>
      <c r="Q2521" s="42"/>
      <c r="R2521" s="176"/>
      <c r="S2521" s="42"/>
      <c r="T2521" s="42"/>
      <c r="U2521" s="46"/>
      <c r="V2521" s="42"/>
      <c r="W2521" s="42"/>
      <c r="X2521" s="42"/>
      <c r="Y2521" s="42"/>
      <c r="Z2521" s="42"/>
      <c r="AA2521" s="42"/>
      <c r="AB2521" s="42"/>
      <c r="AC2521" s="42"/>
      <c r="AD2521" s="42"/>
      <c r="AE2521" s="42"/>
      <c r="AF2521" s="42"/>
    </row>
    <row r="2522">
      <c r="A2522" s="25"/>
      <c r="B2522" s="297"/>
      <c r="C2522" s="25"/>
      <c r="D2522" s="25"/>
      <c r="E2522" s="25"/>
      <c r="F2522" s="25"/>
      <c r="G2522" s="123"/>
      <c r="H2522" s="123"/>
      <c r="I2522" s="25"/>
      <c r="J2522" s="25"/>
      <c r="K2522" s="367"/>
      <c r="L2522" s="42"/>
      <c r="M2522" s="42"/>
      <c r="N2522" s="42"/>
      <c r="O2522" s="42"/>
      <c r="P2522" s="42"/>
      <c r="Q2522" s="42"/>
      <c r="R2522" s="176"/>
      <c r="S2522" s="42"/>
      <c r="T2522" s="42"/>
      <c r="U2522" s="46"/>
      <c r="V2522" s="42"/>
      <c r="W2522" s="42"/>
      <c r="X2522" s="42"/>
      <c r="Y2522" s="42"/>
      <c r="Z2522" s="42"/>
      <c r="AA2522" s="42"/>
      <c r="AB2522" s="42"/>
      <c r="AC2522" s="42"/>
      <c r="AD2522" s="42"/>
      <c r="AE2522" s="42"/>
      <c r="AF2522" s="42"/>
    </row>
    <row r="2523">
      <c r="A2523" s="25"/>
      <c r="B2523" s="297"/>
      <c r="C2523" s="25"/>
      <c r="D2523" s="25"/>
      <c r="E2523" s="25"/>
      <c r="F2523" s="25"/>
      <c r="G2523" s="123"/>
      <c r="H2523" s="123"/>
      <c r="I2523" s="25"/>
      <c r="J2523" s="25"/>
      <c r="K2523" s="367"/>
      <c r="L2523" s="42"/>
      <c r="M2523" s="42"/>
      <c r="N2523" s="42"/>
      <c r="O2523" s="42"/>
      <c r="P2523" s="42"/>
      <c r="Q2523" s="42"/>
      <c r="R2523" s="176"/>
      <c r="S2523" s="42"/>
      <c r="T2523" s="42"/>
      <c r="U2523" s="46"/>
      <c r="V2523" s="42"/>
      <c r="W2523" s="42"/>
      <c r="X2523" s="42"/>
      <c r="Y2523" s="42"/>
      <c r="Z2523" s="42"/>
      <c r="AA2523" s="42"/>
      <c r="AB2523" s="42"/>
      <c r="AC2523" s="42"/>
      <c r="AD2523" s="42"/>
      <c r="AE2523" s="42"/>
      <c r="AF2523" s="42"/>
    </row>
    <row r="2524">
      <c r="A2524" s="25"/>
      <c r="B2524" s="297"/>
      <c r="C2524" s="25"/>
      <c r="D2524" s="25"/>
      <c r="E2524" s="25"/>
      <c r="F2524" s="25"/>
      <c r="G2524" s="123"/>
      <c r="H2524" s="123"/>
      <c r="I2524" s="25"/>
      <c r="J2524" s="25"/>
      <c r="K2524" s="367"/>
      <c r="L2524" s="42"/>
      <c r="M2524" s="42"/>
      <c r="N2524" s="42"/>
      <c r="O2524" s="42"/>
      <c r="P2524" s="42"/>
      <c r="Q2524" s="42"/>
      <c r="R2524" s="176"/>
      <c r="S2524" s="42"/>
      <c r="T2524" s="42"/>
      <c r="U2524" s="46"/>
      <c r="V2524" s="42"/>
      <c r="W2524" s="42"/>
      <c r="X2524" s="42"/>
      <c r="Y2524" s="42"/>
      <c r="Z2524" s="42"/>
      <c r="AA2524" s="42"/>
      <c r="AB2524" s="42"/>
      <c r="AC2524" s="42"/>
      <c r="AD2524" s="42"/>
      <c r="AE2524" s="42"/>
      <c r="AF2524" s="42"/>
    </row>
    <row r="2525">
      <c r="A2525" s="25"/>
      <c r="B2525" s="297"/>
      <c r="C2525" s="25"/>
      <c r="D2525" s="25"/>
      <c r="E2525" s="25"/>
      <c r="F2525" s="25"/>
      <c r="G2525" s="123"/>
      <c r="H2525" s="123"/>
      <c r="I2525" s="25"/>
      <c r="J2525" s="25"/>
      <c r="K2525" s="367"/>
      <c r="L2525" s="42"/>
      <c r="M2525" s="42"/>
      <c r="N2525" s="42"/>
      <c r="O2525" s="42"/>
      <c r="P2525" s="42"/>
      <c r="Q2525" s="42"/>
      <c r="R2525" s="176"/>
      <c r="S2525" s="42"/>
      <c r="T2525" s="42"/>
      <c r="U2525" s="46"/>
      <c r="V2525" s="42"/>
      <c r="W2525" s="42"/>
      <c r="X2525" s="42"/>
      <c r="Y2525" s="42"/>
      <c r="Z2525" s="42"/>
      <c r="AA2525" s="42"/>
      <c r="AB2525" s="42"/>
      <c r="AC2525" s="42"/>
      <c r="AD2525" s="42"/>
      <c r="AE2525" s="42"/>
      <c r="AF2525" s="42"/>
    </row>
    <row r="2526">
      <c r="A2526" s="25"/>
      <c r="B2526" s="297"/>
      <c r="C2526" s="25"/>
      <c r="D2526" s="25"/>
      <c r="E2526" s="25"/>
      <c r="F2526" s="25"/>
      <c r="G2526" s="123"/>
      <c r="H2526" s="123"/>
      <c r="I2526" s="25"/>
      <c r="J2526" s="25"/>
      <c r="K2526" s="367"/>
      <c r="L2526" s="42"/>
      <c r="M2526" s="42"/>
      <c r="N2526" s="42"/>
      <c r="O2526" s="42"/>
      <c r="P2526" s="42"/>
      <c r="Q2526" s="42"/>
      <c r="R2526" s="176"/>
      <c r="S2526" s="42"/>
      <c r="T2526" s="42"/>
      <c r="U2526" s="46"/>
      <c r="V2526" s="42"/>
      <c r="W2526" s="42"/>
      <c r="X2526" s="42"/>
      <c r="Y2526" s="42"/>
      <c r="Z2526" s="42"/>
      <c r="AA2526" s="42"/>
      <c r="AB2526" s="42"/>
      <c r="AC2526" s="42"/>
      <c r="AD2526" s="42"/>
      <c r="AE2526" s="42"/>
      <c r="AF2526" s="42"/>
    </row>
    <row r="2527">
      <c r="A2527" s="25"/>
      <c r="B2527" s="297"/>
      <c r="C2527" s="25"/>
      <c r="D2527" s="25"/>
      <c r="E2527" s="25"/>
      <c r="F2527" s="25"/>
      <c r="G2527" s="123"/>
      <c r="H2527" s="123"/>
      <c r="I2527" s="25"/>
      <c r="J2527" s="25"/>
      <c r="K2527" s="367"/>
      <c r="L2527" s="42"/>
      <c r="M2527" s="42"/>
      <c r="N2527" s="42"/>
      <c r="O2527" s="42"/>
      <c r="P2527" s="42"/>
      <c r="Q2527" s="42"/>
      <c r="R2527" s="176"/>
      <c r="S2527" s="42"/>
      <c r="T2527" s="42"/>
      <c r="U2527" s="46"/>
      <c r="V2527" s="42"/>
      <c r="W2527" s="42"/>
      <c r="X2527" s="42"/>
      <c r="Y2527" s="42"/>
      <c r="Z2527" s="42"/>
      <c r="AA2527" s="42"/>
      <c r="AB2527" s="42"/>
      <c r="AC2527" s="42"/>
      <c r="AD2527" s="42"/>
      <c r="AE2527" s="42"/>
      <c r="AF2527" s="42"/>
    </row>
    <row r="2528">
      <c r="A2528" s="25"/>
      <c r="B2528" s="297"/>
      <c r="C2528" s="25"/>
      <c r="D2528" s="25"/>
      <c r="E2528" s="25"/>
      <c r="F2528" s="25"/>
      <c r="G2528" s="123"/>
      <c r="H2528" s="123"/>
      <c r="I2528" s="25"/>
      <c r="J2528" s="25"/>
      <c r="K2528" s="367"/>
      <c r="L2528" s="42"/>
      <c r="M2528" s="42"/>
      <c r="N2528" s="42"/>
      <c r="O2528" s="42"/>
      <c r="P2528" s="42"/>
      <c r="Q2528" s="42"/>
      <c r="R2528" s="176"/>
      <c r="S2528" s="42"/>
      <c r="T2528" s="42"/>
      <c r="U2528" s="46"/>
      <c r="V2528" s="42"/>
      <c r="W2528" s="42"/>
      <c r="X2528" s="42"/>
      <c r="Y2528" s="42"/>
      <c r="Z2528" s="42"/>
      <c r="AA2528" s="42"/>
      <c r="AB2528" s="42"/>
      <c r="AC2528" s="42"/>
      <c r="AD2528" s="42"/>
      <c r="AE2528" s="42"/>
      <c r="AF2528" s="42"/>
    </row>
    <row r="2529">
      <c r="A2529" s="25"/>
      <c r="B2529" s="297"/>
      <c r="C2529" s="25"/>
      <c r="D2529" s="25"/>
      <c r="E2529" s="25"/>
      <c r="F2529" s="25"/>
      <c r="G2529" s="123"/>
      <c r="H2529" s="123"/>
      <c r="I2529" s="25"/>
      <c r="J2529" s="25"/>
      <c r="K2529" s="367"/>
      <c r="L2529" s="42"/>
      <c r="M2529" s="42"/>
      <c r="N2529" s="42"/>
      <c r="O2529" s="42"/>
      <c r="P2529" s="42"/>
      <c r="Q2529" s="42"/>
      <c r="R2529" s="176"/>
      <c r="S2529" s="42"/>
      <c r="T2529" s="42"/>
      <c r="U2529" s="46"/>
      <c r="V2529" s="42"/>
      <c r="W2529" s="42"/>
      <c r="X2529" s="42"/>
      <c r="Y2529" s="42"/>
      <c r="Z2529" s="42"/>
      <c r="AA2529" s="42"/>
      <c r="AB2529" s="42"/>
      <c r="AC2529" s="42"/>
      <c r="AD2529" s="42"/>
      <c r="AE2529" s="42"/>
      <c r="AF2529" s="42"/>
    </row>
    <row r="2530">
      <c r="A2530" s="25"/>
      <c r="B2530" s="297"/>
      <c r="C2530" s="25"/>
      <c r="D2530" s="25"/>
      <c r="E2530" s="25"/>
      <c r="F2530" s="25"/>
      <c r="G2530" s="123"/>
      <c r="H2530" s="123"/>
      <c r="I2530" s="25"/>
      <c r="J2530" s="25"/>
      <c r="K2530" s="367"/>
      <c r="L2530" s="42"/>
      <c r="M2530" s="42"/>
      <c r="N2530" s="42"/>
      <c r="O2530" s="42"/>
      <c r="P2530" s="42"/>
      <c r="Q2530" s="42"/>
      <c r="R2530" s="176"/>
      <c r="S2530" s="42"/>
      <c r="T2530" s="42"/>
      <c r="U2530" s="46"/>
      <c r="V2530" s="42"/>
      <c r="W2530" s="42"/>
      <c r="X2530" s="42"/>
      <c r="Y2530" s="42"/>
      <c r="Z2530" s="42"/>
      <c r="AA2530" s="42"/>
      <c r="AB2530" s="42"/>
      <c r="AC2530" s="42"/>
      <c r="AD2530" s="42"/>
      <c r="AE2530" s="42"/>
      <c r="AF2530" s="42"/>
    </row>
    <row r="2531">
      <c r="A2531" s="25"/>
      <c r="B2531" s="297"/>
      <c r="C2531" s="25"/>
      <c r="D2531" s="25"/>
      <c r="E2531" s="25"/>
      <c r="F2531" s="25"/>
      <c r="G2531" s="123"/>
      <c r="H2531" s="123"/>
      <c r="I2531" s="25"/>
      <c r="J2531" s="25"/>
      <c r="K2531" s="367"/>
      <c r="L2531" s="42"/>
      <c r="M2531" s="42"/>
      <c r="N2531" s="42"/>
      <c r="O2531" s="42"/>
      <c r="P2531" s="42"/>
      <c r="Q2531" s="42"/>
      <c r="R2531" s="176"/>
      <c r="S2531" s="42"/>
      <c r="T2531" s="42"/>
      <c r="U2531" s="46"/>
      <c r="V2531" s="42"/>
      <c r="W2531" s="42"/>
      <c r="X2531" s="42"/>
      <c r="Y2531" s="42"/>
      <c r="Z2531" s="42"/>
      <c r="AA2531" s="42"/>
      <c r="AB2531" s="42"/>
      <c r="AC2531" s="42"/>
      <c r="AD2531" s="42"/>
      <c r="AE2531" s="42"/>
      <c r="AF2531" s="42"/>
    </row>
    <row r="2532">
      <c r="A2532" s="25"/>
      <c r="B2532" s="297"/>
      <c r="C2532" s="25"/>
      <c r="D2532" s="25"/>
      <c r="E2532" s="25"/>
      <c r="F2532" s="25"/>
      <c r="G2532" s="123"/>
      <c r="H2532" s="123"/>
      <c r="I2532" s="25"/>
      <c r="J2532" s="25"/>
      <c r="K2532" s="367"/>
      <c r="L2532" s="42"/>
      <c r="M2532" s="42"/>
      <c r="N2532" s="42"/>
      <c r="O2532" s="42"/>
      <c r="P2532" s="42"/>
      <c r="Q2532" s="42"/>
      <c r="R2532" s="176"/>
      <c r="S2532" s="42"/>
      <c r="T2532" s="42"/>
      <c r="U2532" s="46"/>
      <c r="V2532" s="42"/>
      <c r="W2532" s="42"/>
      <c r="X2532" s="42"/>
      <c r="Y2532" s="42"/>
      <c r="Z2532" s="42"/>
      <c r="AA2532" s="42"/>
      <c r="AB2532" s="42"/>
      <c r="AC2532" s="42"/>
      <c r="AD2532" s="42"/>
      <c r="AE2532" s="42"/>
      <c r="AF2532" s="42"/>
    </row>
    <row r="2533">
      <c r="A2533" s="25"/>
      <c r="B2533" s="297"/>
      <c r="C2533" s="25"/>
      <c r="D2533" s="25"/>
      <c r="E2533" s="25"/>
      <c r="F2533" s="25"/>
      <c r="G2533" s="123"/>
      <c r="H2533" s="123"/>
      <c r="I2533" s="25"/>
      <c r="J2533" s="25"/>
      <c r="K2533" s="367"/>
      <c r="L2533" s="42"/>
      <c r="M2533" s="42"/>
      <c r="N2533" s="42"/>
      <c r="O2533" s="42"/>
      <c r="P2533" s="42"/>
      <c r="Q2533" s="42"/>
      <c r="R2533" s="176"/>
      <c r="S2533" s="42"/>
      <c r="T2533" s="42"/>
      <c r="U2533" s="46"/>
      <c r="V2533" s="42"/>
      <c r="W2533" s="42"/>
      <c r="X2533" s="42"/>
      <c r="Y2533" s="42"/>
      <c r="Z2533" s="42"/>
      <c r="AA2533" s="42"/>
      <c r="AB2533" s="42"/>
      <c r="AC2533" s="42"/>
      <c r="AD2533" s="42"/>
      <c r="AE2533" s="42"/>
      <c r="AF2533" s="42"/>
    </row>
    <row r="2534">
      <c r="A2534" s="25"/>
      <c r="B2534" s="297"/>
      <c r="C2534" s="25"/>
      <c r="D2534" s="25"/>
      <c r="E2534" s="25"/>
      <c r="F2534" s="25"/>
      <c r="G2534" s="123"/>
      <c r="H2534" s="123"/>
      <c r="I2534" s="25"/>
      <c r="J2534" s="25"/>
      <c r="K2534" s="367"/>
      <c r="L2534" s="42"/>
      <c r="M2534" s="42"/>
      <c r="N2534" s="42"/>
      <c r="O2534" s="42"/>
      <c r="P2534" s="42"/>
      <c r="Q2534" s="42"/>
      <c r="R2534" s="176"/>
      <c r="S2534" s="42"/>
      <c r="T2534" s="42"/>
      <c r="U2534" s="46"/>
      <c r="V2534" s="42"/>
      <c r="W2534" s="42"/>
      <c r="X2534" s="42"/>
      <c r="Y2534" s="42"/>
      <c r="Z2534" s="42"/>
      <c r="AA2534" s="42"/>
      <c r="AB2534" s="42"/>
      <c r="AC2534" s="42"/>
      <c r="AD2534" s="42"/>
      <c r="AE2534" s="42"/>
      <c r="AF2534" s="42"/>
    </row>
    <row r="2535">
      <c r="A2535" s="25"/>
      <c r="B2535" s="297"/>
      <c r="C2535" s="25"/>
      <c r="D2535" s="25"/>
      <c r="E2535" s="25"/>
      <c r="F2535" s="25"/>
      <c r="G2535" s="123"/>
      <c r="H2535" s="123"/>
      <c r="I2535" s="25"/>
      <c r="J2535" s="25"/>
      <c r="K2535" s="367"/>
      <c r="L2535" s="42"/>
      <c r="M2535" s="42"/>
      <c r="N2535" s="42"/>
      <c r="O2535" s="42"/>
      <c r="P2535" s="42"/>
      <c r="Q2535" s="42"/>
      <c r="R2535" s="176"/>
      <c r="S2535" s="42"/>
      <c r="T2535" s="42"/>
      <c r="U2535" s="46"/>
      <c r="V2535" s="42"/>
      <c r="W2535" s="42"/>
      <c r="X2535" s="42"/>
      <c r="Y2535" s="42"/>
      <c r="Z2535" s="42"/>
      <c r="AA2535" s="42"/>
      <c r="AB2535" s="42"/>
      <c r="AC2535" s="42"/>
      <c r="AD2535" s="42"/>
      <c r="AE2535" s="42"/>
      <c r="AF2535" s="42"/>
    </row>
    <row r="2536">
      <c r="A2536" s="25"/>
      <c r="B2536" s="297"/>
      <c r="C2536" s="25"/>
      <c r="D2536" s="25"/>
      <c r="E2536" s="25"/>
      <c r="F2536" s="25"/>
      <c r="G2536" s="123"/>
      <c r="H2536" s="123"/>
      <c r="I2536" s="25"/>
      <c r="J2536" s="25"/>
      <c r="K2536" s="367"/>
      <c r="L2536" s="42"/>
      <c r="M2536" s="42"/>
      <c r="N2536" s="42"/>
      <c r="O2536" s="42"/>
      <c r="P2536" s="42"/>
      <c r="Q2536" s="42"/>
      <c r="R2536" s="176"/>
      <c r="S2536" s="42"/>
      <c r="T2536" s="42"/>
      <c r="U2536" s="46"/>
      <c r="V2536" s="42"/>
      <c r="W2536" s="42"/>
      <c r="X2536" s="42"/>
      <c r="Y2536" s="42"/>
      <c r="Z2536" s="42"/>
      <c r="AA2536" s="42"/>
      <c r="AB2536" s="42"/>
      <c r="AC2536" s="42"/>
      <c r="AD2536" s="42"/>
      <c r="AE2536" s="42"/>
      <c r="AF2536" s="42"/>
    </row>
    <row r="2537">
      <c r="A2537" s="25"/>
      <c r="B2537" s="297"/>
      <c r="C2537" s="25"/>
      <c r="D2537" s="25"/>
      <c r="E2537" s="25"/>
      <c r="F2537" s="25"/>
      <c r="G2537" s="123"/>
      <c r="H2537" s="123"/>
      <c r="I2537" s="25"/>
      <c r="J2537" s="25"/>
      <c r="K2537" s="367"/>
      <c r="L2537" s="42"/>
      <c r="M2537" s="42"/>
      <c r="N2537" s="42"/>
      <c r="O2537" s="42"/>
      <c r="P2537" s="42"/>
      <c r="Q2537" s="42"/>
      <c r="R2537" s="176"/>
      <c r="S2537" s="42"/>
      <c r="T2537" s="42"/>
      <c r="U2537" s="46"/>
      <c r="V2537" s="42"/>
      <c r="W2537" s="42"/>
      <c r="X2537" s="42"/>
      <c r="Y2537" s="42"/>
      <c r="Z2537" s="42"/>
      <c r="AA2537" s="42"/>
      <c r="AB2537" s="42"/>
      <c r="AC2537" s="42"/>
      <c r="AD2537" s="42"/>
      <c r="AE2537" s="42"/>
      <c r="AF2537" s="42"/>
    </row>
    <row r="2538">
      <c r="A2538" s="25"/>
      <c r="B2538" s="297"/>
      <c r="C2538" s="25"/>
      <c r="D2538" s="25"/>
      <c r="E2538" s="25"/>
      <c r="F2538" s="25"/>
      <c r="G2538" s="123"/>
      <c r="H2538" s="123"/>
      <c r="I2538" s="25"/>
      <c r="J2538" s="25"/>
      <c r="K2538" s="367"/>
      <c r="L2538" s="42"/>
      <c r="M2538" s="42"/>
      <c r="N2538" s="42"/>
      <c r="O2538" s="42"/>
      <c r="P2538" s="42"/>
      <c r="Q2538" s="42"/>
      <c r="R2538" s="176"/>
      <c r="S2538" s="42"/>
      <c r="T2538" s="42"/>
      <c r="U2538" s="46"/>
      <c r="V2538" s="42"/>
      <c r="W2538" s="42"/>
      <c r="X2538" s="42"/>
      <c r="Y2538" s="42"/>
      <c r="Z2538" s="42"/>
      <c r="AA2538" s="42"/>
      <c r="AB2538" s="42"/>
      <c r="AC2538" s="42"/>
      <c r="AD2538" s="42"/>
      <c r="AE2538" s="42"/>
      <c r="AF2538" s="42"/>
    </row>
    <row r="2539">
      <c r="A2539" s="25"/>
      <c r="B2539" s="297"/>
      <c r="C2539" s="25"/>
      <c r="D2539" s="25"/>
      <c r="E2539" s="25"/>
      <c r="F2539" s="25"/>
      <c r="G2539" s="123"/>
      <c r="H2539" s="123"/>
      <c r="I2539" s="25"/>
      <c r="J2539" s="25"/>
      <c r="K2539" s="367"/>
      <c r="L2539" s="42"/>
      <c r="M2539" s="42"/>
      <c r="N2539" s="42"/>
      <c r="O2539" s="42"/>
      <c r="P2539" s="42"/>
      <c r="Q2539" s="42"/>
      <c r="R2539" s="176"/>
      <c r="S2539" s="42"/>
      <c r="T2539" s="42"/>
      <c r="U2539" s="46"/>
      <c r="V2539" s="42"/>
      <c r="W2539" s="42"/>
      <c r="X2539" s="42"/>
      <c r="Y2539" s="42"/>
      <c r="Z2539" s="42"/>
      <c r="AA2539" s="42"/>
      <c r="AB2539" s="42"/>
      <c r="AC2539" s="42"/>
      <c r="AD2539" s="42"/>
      <c r="AE2539" s="42"/>
      <c r="AF2539" s="42"/>
    </row>
    <row r="2540">
      <c r="A2540" s="25"/>
      <c r="B2540" s="297"/>
      <c r="C2540" s="25"/>
      <c r="D2540" s="25"/>
      <c r="E2540" s="25"/>
      <c r="F2540" s="25"/>
      <c r="G2540" s="123"/>
      <c r="H2540" s="123"/>
      <c r="I2540" s="25"/>
      <c r="J2540" s="25"/>
      <c r="K2540" s="367"/>
      <c r="L2540" s="42"/>
      <c r="M2540" s="42"/>
      <c r="N2540" s="42"/>
      <c r="O2540" s="42"/>
      <c r="P2540" s="42"/>
      <c r="Q2540" s="42"/>
      <c r="R2540" s="176"/>
      <c r="S2540" s="42"/>
      <c r="T2540" s="42"/>
      <c r="U2540" s="46"/>
      <c r="V2540" s="42"/>
      <c r="W2540" s="42"/>
      <c r="X2540" s="42"/>
      <c r="Y2540" s="42"/>
      <c r="Z2540" s="42"/>
      <c r="AA2540" s="42"/>
      <c r="AB2540" s="42"/>
      <c r="AC2540" s="42"/>
      <c r="AD2540" s="42"/>
      <c r="AE2540" s="42"/>
      <c r="AF2540" s="42"/>
    </row>
    <row r="2541">
      <c r="A2541" s="25"/>
      <c r="B2541" s="297"/>
      <c r="C2541" s="25"/>
      <c r="D2541" s="25"/>
      <c r="E2541" s="25"/>
      <c r="F2541" s="25"/>
      <c r="G2541" s="123"/>
      <c r="H2541" s="123"/>
      <c r="I2541" s="25"/>
      <c r="J2541" s="25"/>
      <c r="K2541" s="367"/>
      <c r="L2541" s="42"/>
      <c r="M2541" s="42"/>
      <c r="N2541" s="42"/>
      <c r="O2541" s="42"/>
      <c r="P2541" s="42"/>
      <c r="Q2541" s="42"/>
      <c r="R2541" s="176"/>
      <c r="S2541" s="42"/>
      <c r="T2541" s="42"/>
      <c r="U2541" s="46"/>
      <c r="V2541" s="42"/>
      <c r="W2541" s="42"/>
      <c r="X2541" s="42"/>
      <c r="Y2541" s="42"/>
      <c r="Z2541" s="42"/>
      <c r="AA2541" s="42"/>
      <c r="AB2541" s="42"/>
      <c r="AC2541" s="42"/>
      <c r="AD2541" s="42"/>
      <c r="AE2541" s="42"/>
      <c r="AF2541" s="42"/>
    </row>
    <row r="2542">
      <c r="A2542" s="25"/>
      <c r="B2542" s="297"/>
      <c r="C2542" s="25"/>
      <c r="D2542" s="25"/>
      <c r="E2542" s="25"/>
      <c r="F2542" s="25"/>
      <c r="G2542" s="123"/>
      <c r="H2542" s="123"/>
      <c r="I2542" s="25"/>
      <c r="J2542" s="25"/>
      <c r="K2542" s="367"/>
      <c r="L2542" s="42"/>
      <c r="M2542" s="42"/>
      <c r="N2542" s="42"/>
      <c r="O2542" s="42"/>
      <c r="P2542" s="42"/>
      <c r="Q2542" s="42"/>
      <c r="R2542" s="176"/>
      <c r="S2542" s="42"/>
      <c r="T2542" s="42"/>
      <c r="U2542" s="46"/>
      <c r="V2542" s="42"/>
      <c r="W2542" s="42"/>
      <c r="X2542" s="42"/>
      <c r="Y2542" s="42"/>
      <c r="Z2542" s="42"/>
      <c r="AA2542" s="42"/>
      <c r="AB2542" s="42"/>
      <c r="AC2542" s="42"/>
      <c r="AD2542" s="42"/>
      <c r="AE2542" s="42"/>
      <c r="AF2542" s="42"/>
    </row>
    <row r="2543">
      <c r="A2543" s="25"/>
      <c r="B2543" s="297"/>
      <c r="C2543" s="25"/>
      <c r="D2543" s="25"/>
      <c r="E2543" s="25"/>
      <c r="F2543" s="25"/>
      <c r="G2543" s="123"/>
      <c r="H2543" s="123"/>
      <c r="I2543" s="25"/>
      <c r="J2543" s="25"/>
      <c r="K2543" s="367"/>
      <c r="L2543" s="42"/>
      <c r="M2543" s="42"/>
      <c r="N2543" s="42"/>
      <c r="O2543" s="42"/>
      <c r="P2543" s="42"/>
      <c r="Q2543" s="42"/>
      <c r="R2543" s="176"/>
      <c r="S2543" s="42"/>
      <c r="T2543" s="42"/>
      <c r="U2543" s="46"/>
      <c r="V2543" s="42"/>
      <c r="W2543" s="42"/>
      <c r="X2543" s="42"/>
      <c r="Y2543" s="42"/>
      <c r="Z2543" s="42"/>
      <c r="AA2543" s="42"/>
      <c r="AB2543" s="42"/>
      <c r="AC2543" s="42"/>
      <c r="AD2543" s="42"/>
      <c r="AE2543" s="42"/>
      <c r="AF2543" s="42"/>
    </row>
    <row r="2544">
      <c r="A2544" s="25"/>
      <c r="B2544" s="297"/>
      <c r="C2544" s="25"/>
      <c r="D2544" s="25"/>
      <c r="E2544" s="25"/>
      <c r="F2544" s="25"/>
      <c r="G2544" s="123"/>
      <c r="H2544" s="123"/>
      <c r="I2544" s="25"/>
      <c r="J2544" s="25"/>
      <c r="K2544" s="367"/>
      <c r="L2544" s="42"/>
      <c r="M2544" s="42"/>
      <c r="N2544" s="42"/>
      <c r="O2544" s="42"/>
      <c r="P2544" s="42"/>
      <c r="Q2544" s="42"/>
      <c r="R2544" s="176"/>
      <c r="S2544" s="42"/>
      <c r="T2544" s="42"/>
      <c r="U2544" s="46"/>
      <c r="V2544" s="42"/>
      <c r="W2544" s="42"/>
      <c r="X2544" s="42"/>
      <c r="Y2544" s="42"/>
      <c r="Z2544" s="42"/>
      <c r="AA2544" s="42"/>
      <c r="AB2544" s="42"/>
      <c r="AC2544" s="42"/>
      <c r="AD2544" s="42"/>
      <c r="AE2544" s="42"/>
      <c r="AF2544" s="42"/>
    </row>
    <row r="2545">
      <c r="A2545" s="25"/>
      <c r="B2545" s="297"/>
      <c r="C2545" s="25"/>
      <c r="D2545" s="25"/>
      <c r="E2545" s="25"/>
      <c r="F2545" s="25"/>
      <c r="G2545" s="123"/>
      <c r="H2545" s="123"/>
      <c r="I2545" s="25"/>
      <c r="J2545" s="25"/>
      <c r="K2545" s="367"/>
      <c r="L2545" s="42"/>
      <c r="M2545" s="42"/>
      <c r="N2545" s="42"/>
      <c r="O2545" s="42"/>
      <c r="P2545" s="42"/>
      <c r="Q2545" s="42"/>
      <c r="R2545" s="176"/>
      <c r="S2545" s="42"/>
      <c r="T2545" s="42"/>
      <c r="U2545" s="46"/>
      <c r="V2545" s="42"/>
      <c r="W2545" s="42"/>
      <c r="X2545" s="42"/>
      <c r="Y2545" s="42"/>
      <c r="Z2545" s="42"/>
      <c r="AA2545" s="42"/>
      <c r="AB2545" s="42"/>
      <c r="AC2545" s="42"/>
      <c r="AD2545" s="42"/>
      <c r="AE2545" s="42"/>
      <c r="AF2545" s="42"/>
    </row>
    <row r="2546">
      <c r="A2546" s="25"/>
      <c r="B2546" s="297"/>
      <c r="C2546" s="25"/>
      <c r="D2546" s="25"/>
      <c r="E2546" s="25"/>
      <c r="F2546" s="25"/>
      <c r="G2546" s="123"/>
      <c r="H2546" s="123"/>
      <c r="I2546" s="25"/>
      <c r="J2546" s="25"/>
      <c r="K2546" s="367"/>
      <c r="L2546" s="42"/>
      <c r="M2546" s="42"/>
      <c r="N2546" s="42"/>
      <c r="O2546" s="42"/>
      <c r="P2546" s="42"/>
      <c r="Q2546" s="42"/>
      <c r="R2546" s="176"/>
      <c r="S2546" s="42"/>
      <c r="T2546" s="42"/>
      <c r="U2546" s="46"/>
      <c r="V2546" s="42"/>
      <c r="W2546" s="42"/>
      <c r="X2546" s="42"/>
      <c r="Y2546" s="42"/>
      <c r="Z2546" s="42"/>
      <c r="AA2546" s="42"/>
      <c r="AB2546" s="42"/>
      <c r="AC2546" s="42"/>
      <c r="AD2546" s="42"/>
      <c r="AE2546" s="42"/>
      <c r="AF2546" s="42"/>
    </row>
    <row r="2547">
      <c r="A2547" s="25"/>
      <c r="B2547" s="297"/>
      <c r="C2547" s="25"/>
      <c r="D2547" s="25"/>
      <c r="E2547" s="25"/>
      <c r="F2547" s="25"/>
      <c r="G2547" s="123"/>
      <c r="H2547" s="123"/>
      <c r="I2547" s="25"/>
      <c r="J2547" s="25"/>
      <c r="K2547" s="367"/>
      <c r="L2547" s="42"/>
      <c r="M2547" s="42"/>
      <c r="N2547" s="42"/>
      <c r="O2547" s="42"/>
      <c r="P2547" s="42"/>
      <c r="Q2547" s="42"/>
      <c r="R2547" s="176"/>
      <c r="S2547" s="42"/>
      <c r="T2547" s="42"/>
      <c r="U2547" s="46"/>
      <c r="V2547" s="42"/>
      <c r="W2547" s="42"/>
      <c r="X2547" s="42"/>
      <c r="Y2547" s="42"/>
      <c r="Z2547" s="42"/>
      <c r="AA2547" s="42"/>
      <c r="AB2547" s="42"/>
      <c r="AC2547" s="42"/>
      <c r="AD2547" s="42"/>
      <c r="AE2547" s="42"/>
      <c r="AF2547" s="42"/>
    </row>
    <row r="2548">
      <c r="A2548" s="25"/>
      <c r="B2548" s="297"/>
      <c r="C2548" s="25"/>
      <c r="D2548" s="25"/>
      <c r="E2548" s="25"/>
      <c r="F2548" s="25"/>
      <c r="G2548" s="123"/>
      <c r="H2548" s="123"/>
      <c r="I2548" s="25"/>
      <c r="J2548" s="25"/>
      <c r="K2548" s="367"/>
      <c r="L2548" s="42"/>
      <c r="M2548" s="42"/>
      <c r="N2548" s="42"/>
      <c r="O2548" s="42"/>
      <c r="P2548" s="42"/>
      <c r="Q2548" s="42"/>
      <c r="R2548" s="176"/>
      <c r="S2548" s="42"/>
      <c r="T2548" s="42"/>
      <c r="U2548" s="46"/>
      <c r="V2548" s="42"/>
      <c r="W2548" s="42"/>
      <c r="X2548" s="42"/>
      <c r="Y2548" s="42"/>
      <c r="Z2548" s="42"/>
      <c r="AA2548" s="42"/>
      <c r="AB2548" s="42"/>
      <c r="AC2548" s="42"/>
      <c r="AD2548" s="42"/>
      <c r="AE2548" s="42"/>
      <c r="AF2548" s="42"/>
    </row>
    <row r="2549">
      <c r="A2549" s="25"/>
      <c r="B2549" s="297"/>
      <c r="C2549" s="25"/>
      <c r="D2549" s="25"/>
      <c r="E2549" s="25"/>
      <c r="F2549" s="25"/>
      <c r="G2549" s="123"/>
      <c r="H2549" s="123"/>
      <c r="I2549" s="25"/>
      <c r="J2549" s="25"/>
      <c r="K2549" s="367"/>
      <c r="L2549" s="42"/>
      <c r="M2549" s="42"/>
      <c r="N2549" s="42"/>
      <c r="O2549" s="42"/>
      <c r="P2549" s="42"/>
      <c r="Q2549" s="42"/>
      <c r="R2549" s="176"/>
      <c r="S2549" s="42"/>
      <c r="T2549" s="42"/>
      <c r="U2549" s="46"/>
      <c r="V2549" s="42"/>
      <c r="W2549" s="42"/>
      <c r="X2549" s="42"/>
      <c r="Y2549" s="42"/>
      <c r="Z2549" s="42"/>
      <c r="AA2549" s="42"/>
      <c r="AB2549" s="42"/>
      <c r="AC2549" s="42"/>
      <c r="AD2549" s="42"/>
      <c r="AE2549" s="42"/>
      <c r="AF2549" s="42"/>
    </row>
    <row r="2550">
      <c r="A2550" s="25"/>
      <c r="B2550" s="297"/>
      <c r="C2550" s="25"/>
      <c r="D2550" s="25"/>
      <c r="E2550" s="25"/>
      <c r="F2550" s="25"/>
      <c r="G2550" s="123"/>
      <c r="H2550" s="123"/>
      <c r="I2550" s="25"/>
      <c r="J2550" s="25"/>
      <c r="K2550" s="367"/>
      <c r="L2550" s="42"/>
      <c r="M2550" s="42"/>
      <c r="N2550" s="42"/>
      <c r="O2550" s="42"/>
      <c r="P2550" s="42"/>
      <c r="Q2550" s="42"/>
      <c r="R2550" s="176"/>
      <c r="S2550" s="42"/>
      <c r="T2550" s="42"/>
      <c r="U2550" s="46"/>
      <c r="V2550" s="42"/>
      <c r="W2550" s="42"/>
      <c r="X2550" s="42"/>
      <c r="Y2550" s="42"/>
      <c r="Z2550" s="42"/>
      <c r="AA2550" s="42"/>
      <c r="AB2550" s="42"/>
      <c r="AC2550" s="42"/>
      <c r="AD2550" s="42"/>
      <c r="AE2550" s="42"/>
      <c r="AF2550" s="42"/>
    </row>
    <row r="2551">
      <c r="A2551" s="25"/>
      <c r="B2551" s="297"/>
      <c r="C2551" s="25"/>
      <c r="D2551" s="25"/>
      <c r="E2551" s="25"/>
      <c r="F2551" s="25"/>
      <c r="G2551" s="123"/>
      <c r="H2551" s="123"/>
      <c r="I2551" s="25"/>
      <c r="J2551" s="25"/>
      <c r="K2551" s="367"/>
      <c r="L2551" s="42"/>
      <c r="M2551" s="42"/>
      <c r="N2551" s="42"/>
      <c r="O2551" s="42"/>
      <c r="P2551" s="42"/>
      <c r="Q2551" s="42"/>
      <c r="R2551" s="176"/>
      <c r="S2551" s="42"/>
      <c r="T2551" s="42"/>
      <c r="U2551" s="46"/>
      <c r="V2551" s="42"/>
      <c r="W2551" s="42"/>
      <c r="X2551" s="42"/>
      <c r="Y2551" s="42"/>
      <c r="Z2551" s="42"/>
      <c r="AA2551" s="42"/>
      <c r="AB2551" s="42"/>
      <c r="AC2551" s="42"/>
      <c r="AD2551" s="42"/>
      <c r="AE2551" s="42"/>
      <c r="AF2551" s="42"/>
    </row>
    <row r="2552">
      <c r="A2552" s="25"/>
      <c r="B2552" s="297"/>
      <c r="C2552" s="25"/>
      <c r="D2552" s="25"/>
      <c r="E2552" s="25"/>
      <c r="F2552" s="25"/>
      <c r="G2552" s="123"/>
      <c r="H2552" s="123"/>
      <c r="I2552" s="25"/>
      <c r="J2552" s="25"/>
      <c r="K2552" s="367"/>
      <c r="L2552" s="42"/>
      <c r="M2552" s="42"/>
      <c r="N2552" s="42"/>
      <c r="O2552" s="42"/>
      <c r="P2552" s="42"/>
      <c r="Q2552" s="42"/>
      <c r="R2552" s="176"/>
      <c r="S2552" s="42"/>
      <c r="T2552" s="42"/>
      <c r="U2552" s="46"/>
      <c r="V2552" s="42"/>
      <c r="W2552" s="42"/>
      <c r="X2552" s="42"/>
      <c r="Y2552" s="42"/>
      <c r="Z2552" s="42"/>
      <c r="AA2552" s="42"/>
      <c r="AB2552" s="42"/>
      <c r="AC2552" s="42"/>
      <c r="AD2552" s="42"/>
      <c r="AE2552" s="42"/>
      <c r="AF2552" s="42"/>
    </row>
    <row r="2553">
      <c r="A2553" s="25"/>
      <c r="B2553" s="297"/>
      <c r="C2553" s="25"/>
      <c r="D2553" s="25"/>
      <c r="E2553" s="25"/>
      <c r="F2553" s="25"/>
      <c r="G2553" s="123"/>
      <c r="H2553" s="123"/>
      <c r="I2553" s="25"/>
      <c r="J2553" s="25"/>
      <c r="K2553" s="367"/>
      <c r="L2553" s="42"/>
      <c r="M2553" s="42"/>
      <c r="N2553" s="42"/>
      <c r="O2553" s="42"/>
      <c r="P2553" s="42"/>
      <c r="Q2553" s="42"/>
      <c r="R2553" s="176"/>
      <c r="S2553" s="42"/>
      <c r="T2553" s="42"/>
      <c r="U2553" s="46"/>
      <c r="V2553" s="42"/>
      <c r="W2553" s="42"/>
      <c r="X2553" s="42"/>
      <c r="Y2553" s="42"/>
      <c r="Z2553" s="42"/>
      <c r="AA2553" s="42"/>
      <c r="AB2553" s="42"/>
      <c r="AC2553" s="42"/>
      <c r="AD2553" s="42"/>
      <c r="AE2553" s="42"/>
      <c r="AF2553" s="42"/>
    </row>
    <row r="2554">
      <c r="A2554" s="25"/>
      <c r="B2554" s="297"/>
      <c r="C2554" s="25"/>
      <c r="D2554" s="25"/>
      <c r="E2554" s="25"/>
      <c r="F2554" s="25"/>
      <c r="G2554" s="123"/>
      <c r="H2554" s="123"/>
      <c r="I2554" s="25"/>
      <c r="J2554" s="25"/>
      <c r="K2554" s="367"/>
      <c r="L2554" s="42"/>
      <c r="M2554" s="42"/>
      <c r="N2554" s="42"/>
      <c r="O2554" s="42"/>
      <c r="P2554" s="42"/>
      <c r="Q2554" s="42"/>
      <c r="R2554" s="176"/>
      <c r="S2554" s="42"/>
      <c r="T2554" s="42"/>
      <c r="U2554" s="46"/>
      <c r="V2554" s="42"/>
      <c r="W2554" s="42"/>
      <c r="X2554" s="42"/>
      <c r="Y2554" s="42"/>
      <c r="Z2554" s="42"/>
      <c r="AA2554" s="42"/>
      <c r="AB2554" s="42"/>
      <c r="AC2554" s="42"/>
      <c r="AD2554" s="42"/>
      <c r="AE2554" s="42"/>
      <c r="AF2554" s="42"/>
    </row>
    <row r="2555">
      <c r="A2555" s="25"/>
      <c r="B2555" s="297"/>
      <c r="C2555" s="25"/>
      <c r="D2555" s="25"/>
      <c r="E2555" s="25"/>
      <c r="F2555" s="25"/>
      <c r="G2555" s="123"/>
      <c r="H2555" s="123"/>
      <c r="I2555" s="25"/>
      <c r="J2555" s="25"/>
      <c r="K2555" s="367"/>
      <c r="L2555" s="42"/>
      <c r="M2555" s="42"/>
      <c r="N2555" s="42"/>
      <c r="O2555" s="42"/>
      <c r="P2555" s="42"/>
      <c r="Q2555" s="42"/>
      <c r="R2555" s="176"/>
      <c r="S2555" s="42"/>
      <c r="T2555" s="42"/>
      <c r="U2555" s="46"/>
      <c r="V2555" s="42"/>
      <c r="W2555" s="42"/>
      <c r="X2555" s="42"/>
      <c r="Y2555" s="42"/>
      <c r="Z2555" s="42"/>
      <c r="AA2555" s="42"/>
      <c r="AB2555" s="42"/>
      <c r="AC2555" s="42"/>
      <c r="AD2555" s="42"/>
      <c r="AE2555" s="42"/>
      <c r="AF2555" s="42"/>
    </row>
    <row r="2556">
      <c r="A2556" s="25"/>
      <c r="B2556" s="297"/>
      <c r="C2556" s="25"/>
      <c r="D2556" s="25"/>
      <c r="E2556" s="25"/>
      <c r="F2556" s="25"/>
      <c r="G2556" s="123"/>
      <c r="H2556" s="123"/>
      <c r="I2556" s="25"/>
      <c r="J2556" s="25"/>
      <c r="K2556" s="367"/>
      <c r="L2556" s="42"/>
      <c r="M2556" s="42"/>
      <c r="N2556" s="42"/>
      <c r="O2556" s="42"/>
      <c r="P2556" s="42"/>
      <c r="Q2556" s="42"/>
      <c r="R2556" s="176"/>
      <c r="S2556" s="42"/>
      <c r="T2556" s="42"/>
      <c r="U2556" s="46"/>
      <c r="V2556" s="42"/>
      <c r="W2556" s="42"/>
      <c r="X2556" s="42"/>
      <c r="Y2556" s="42"/>
      <c r="Z2556" s="42"/>
      <c r="AA2556" s="42"/>
      <c r="AB2556" s="42"/>
      <c r="AC2556" s="42"/>
      <c r="AD2556" s="42"/>
      <c r="AE2556" s="42"/>
      <c r="AF2556" s="42"/>
    </row>
    <row r="2557">
      <c r="A2557" s="25"/>
      <c r="B2557" s="297"/>
      <c r="C2557" s="25"/>
      <c r="D2557" s="25"/>
      <c r="E2557" s="25"/>
      <c r="F2557" s="25"/>
      <c r="G2557" s="123"/>
      <c r="H2557" s="123"/>
      <c r="I2557" s="25"/>
      <c r="J2557" s="25"/>
      <c r="K2557" s="367"/>
      <c r="L2557" s="42"/>
      <c r="M2557" s="42"/>
      <c r="N2557" s="42"/>
      <c r="O2557" s="42"/>
      <c r="P2557" s="42"/>
      <c r="Q2557" s="42"/>
      <c r="R2557" s="176"/>
      <c r="S2557" s="42"/>
      <c r="T2557" s="42"/>
      <c r="U2557" s="46"/>
      <c r="V2557" s="42"/>
      <c r="W2557" s="42"/>
      <c r="X2557" s="42"/>
      <c r="Y2557" s="42"/>
      <c r="Z2557" s="42"/>
      <c r="AA2557" s="42"/>
      <c r="AB2557" s="42"/>
      <c r="AC2557" s="42"/>
      <c r="AD2557" s="42"/>
      <c r="AE2557" s="42"/>
      <c r="AF2557" s="42"/>
    </row>
    <row r="2558">
      <c r="A2558" s="25"/>
      <c r="B2558" s="297"/>
      <c r="C2558" s="25"/>
      <c r="D2558" s="25"/>
      <c r="E2558" s="25"/>
      <c r="F2558" s="25"/>
      <c r="G2558" s="123"/>
      <c r="H2558" s="123"/>
      <c r="I2558" s="25"/>
      <c r="J2558" s="25"/>
      <c r="K2558" s="367"/>
      <c r="L2558" s="42"/>
      <c r="M2558" s="42"/>
      <c r="N2558" s="42"/>
      <c r="O2558" s="42"/>
      <c r="P2558" s="42"/>
      <c r="Q2558" s="42"/>
      <c r="R2558" s="176"/>
      <c r="S2558" s="42"/>
      <c r="T2558" s="42"/>
      <c r="U2558" s="46"/>
      <c r="V2558" s="42"/>
      <c r="W2558" s="42"/>
      <c r="X2558" s="42"/>
      <c r="Y2558" s="42"/>
      <c r="Z2558" s="42"/>
      <c r="AA2558" s="42"/>
      <c r="AB2558" s="42"/>
      <c r="AC2558" s="42"/>
      <c r="AD2558" s="42"/>
      <c r="AE2558" s="42"/>
      <c r="AF2558" s="42"/>
    </row>
    <row r="2559">
      <c r="A2559" s="25"/>
      <c r="B2559" s="297"/>
      <c r="C2559" s="25"/>
      <c r="D2559" s="25"/>
      <c r="E2559" s="25"/>
      <c r="F2559" s="25"/>
      <c r="G2559" s="123"/>
      <c r="H2559" s="123"/>
      <c r="I2559" s="25"/>
      <c r="J2559" s="25"/>
      <c r="K2559" s="367"/>
      <c r="L2559" s="42"/>
      <c r="M2559" s="42"/>
      <c r="N2559" s="42"/>
      <c r="O2559" s="42"/>
      <c r="P2559" s="42"/>
      <c r="Q2559" s="42"/>
      <c r="R2559" s="176"/>
      <c r="S2559" s="42"/>
      <c r="T2559" s="42"/>
      <c r="U2559" s="46"/>
      <c r="V2559" s="42"/>
      <c r="W2559" s="42"/>
      <c r="X2559" s="42"/>
      <c r="Y2559" s="42"/>
      <c r="Z2559" s="42"/>
      <c r="AA2559" s="42"/>
      <c r="AB2559" s="42"/>
      <c r="AC2559" s="42"/>
      <c r="AD2559" s="42"/>
      <c r="AE2559" s="42"/>
      <c r="AF2559" s="42"/>
    </row>
    <row r="2560">
      <c r="A2560" s="25"/>
      <c r="B2560" s="297"/>
      <c r="C2560" s="25"/>
      <c r="D2560" s="25"/>
      <c r="E2560" s="25"/>
      <c r="F2560" s="25"/>
      <c r="G2560" s="123"/>
      <c r="H2560" s="123"/>
      <c r="I2560" s="25"/>
      <c r="J2560" s="25"/>
      <c r="K2560" s="367"/>
      <c r="L2560" s="42"/>
      <c r="M2560" s="42"/>
      <c r="N2560" s="42"/>
      <c r="O2560" s="42"/>
      <c r="P2560" s="42"/>
      <c r="Q2560" s="42"/>
      <c r="R2560" s="176"/>
      <c r="S2560" s="42"/>
      <c r="T2560" s="42"/>
      <c r="U2560" s="46"/>
      <c r="V2560" s="42"/>
      <c r="W2560" s="42"/>
      <c r="X2560" s="42"/>
      <c r="Y2560" s="42"/>
      <c r="Z2560" s="42"/>
      <c r="AA2560" s="42"/>
      <c r="AB2560" s="42"/>
      <c r="AC2560" s="42"/>
      <c r="AD2560" s="42"/>
      <c r="AE2560" s="42"/>
      <c r="AF2560" s="42"/>
    </row>
    <row r="2561">
      <c r="A2561" s="25"/>
      <c r="B2561" s="297"/>
      <c r="C2561" s="25"/>
      <c r="D2561" s="25"/>
      <c r="E2561" s="25"/>
      <c r="F2561" s="25"/>
      <c r="G2561" s="123"/>
      <c r="H2561" s="123"/>
      <c r="I2561" s="25"/>
      <c r="J2561" s="25"/>
      <c r="K2561" s="367"/>
      <c r="L2561" s="42"/>
      <c r="M2561" s="42"/>
      <c r="N2561" s="42"/>
      <c r="O2561" s="42"/>
      <c r="P2561" s="42"/>
      <c r="Q2561" s="42"/>
      <c r="R2561" s="176"/>
      <c r="S2561" s="42"/>
      <c r="T2561" s="42"/>
      <c r="U2561" s="46"/>
      <c r="V2561" s="42"/>
      <c r="W2561" s="42"/>
      <c r="X2561" s="42"/>
      <c r="Y2561" s="42"/>
      <c r="Z2561" s="42"/>
      <c r="AA2561" s="42"/>
      <c r="AB2561" s="42"/>
      <c r="AC2561" s="42"/>
      <c r="AD2561" s="42"/>
      <c r="AE2561" s="42"/>
      <c r="AF2561" s="42"/>
    </row>
    <row r="2562">
      <c r="A2562" s="25"/>
      <c r="B2562" s="297"/>
      <c r="C2562" s="25"/>
      <c r="D2562" s="25"/>
      <c r="E2562" s="25"/>
      <c r="F2562" s="25"/>
      <c r="G2562" s="123"/>
      <c r="H2562" s="123"/>
      <c r="I2562" s="25"/>
      <c r="J2562" s="25"/>
      <c r="K2562" s="367"/>
      <c r="L2562" s="42"/>
      <c r="M2562" s="42"/>
      <c r="N2562" s="42"/>
      <c r="O2562" s="42"/>
      <c r="P2562" s="42"/>
      <c r="Q2562" s="42"/>
      <c r="R2562" s="176"/>
      <c r="S2562" s="42"/>
      <c r="T2562" s="42"/>
      <c r="U2562" s="46"/>
      <c r="V2562" s="42"/>
      <c r="W2562" s="42"/>
      <c r="X2562" s="42"/>
      <c r="Y2562" s="42"/>
      <c r="Z2562" s="42"/>
      <c r="AA2562" s="42"/>
      <c r="AB2562" s="42"/>
      <c r="AC2562" s="42"/>
      <c r="AD2562" s="42"/>
      <c r="AE2562" s="42"/>
      <c r="AF2562" s="42"/>
    </row>
    <row r="2563">
      <c r="A2563" s="25"/>
      <c r="B2563" s="297"/>
      <c r="C2563" s="25"/>
      <c r="D2563" s="25"/>
      <c r="E2563" s="25"/>
      <c r="F2563" s="25"/>
      <c r="G2563" s="123"/>
      <c r="H2563" s="123"/>
      <c r="I2563" s="25"/>
      <c r="J2563" s="25"/>
      <c r="K2563" s="367"/>
      <c r="L2563" s="42"/>
      <c r="M2563" s="42"/>
      <c r="N2563" s="42"/>
      <c r="O2563" s="42"/>
      <c r="P2563" s="42"/>
      <c r="Q2563" s="42"/>
      <c r="R2563" s="176"/>
      <c r="S2563" s="42"/>
      <c r="T2563" s="42"/>
      <c r="U2563" s="46"/>
      <c r="V2563" s="42"/>
      <c r="W2563" s="42"/>
      <c r="X2563" s="42"/>
      <c r="Y2563" s="42"/>
      <c r="Z2563" s="42"/>
      <c r="AA2563" s="42"/>
      <c r="AB2563" s="42"/>
      <c r="AC2563" s="42"/>
      <c r="AD2563" s="42"/>
      <c r="AE2563" s="42"/>
      <c r="AF2563" s="42"/>
    </row>
    <row r="2564">
      <c r="A2564" s="25"/>
      <c r="B2564" s="297"/>
      <c r="C2564" s="25"/>
      <c r="D2564" s="25"/>
      <c r="E2564" s="25"/>
      <c r="F2564" s="25"/>
      <c r="G2564" s="123"/>
      <c r="H2564" s="123"/>
      <c r="I2564" s="25"/>
      <c r="J2564" s="25"/>
      <c r="K2564" s="367"/>
      <c r="L2564" s="42"/>
      <c r="M2564" s="42"/>
      <c r="N2564" s="42"/>
      <c r="O2564" s="42"/>
      <c r="P2564" s="42"/>
      <c r="Q2564" s="42"/>
      <c r="R2564" s="176"/>
      <c r="S2564" s="42"/>
      <c r="T2564" s="42"/>
      <c r="U2564" s="46"/>
      <c r="V2564" s="42"/>
      <c r="W2564" s="42"/>
      <c r="X2564" s="42"/>
      <c r="Y2564" s="42"/>
      <c r="Z2564" s="42"/>
      <c r="AA2564" s="42"/>
      <c r="AB2564" s="42"/>
      <c r="AC2564" s="42"/>
      <c r="AD2564" s="42"/>
      <c r="AE2564" s="42"/>
      <c r="AF2564" s="42"/>
    </row>
    <row r="2565">
      <c r="A2565" s="25"/>
      <c r="B2565" s="297"/>
      <c r="C2565" s="25"/>
      <c r="D2565" s="25"/>
      <c r="E2565" s="25"/>
      <c r="F2565" s="25"/>
      <c r="G2565" s="123"/>
      <c r="H2565" s="123"/>
      <c r="I2565" s="25"/>
      <c r="J2565" s="25"/>
      <c r="K2565" s="367"/>
      <c r="L2565" s="42"/>
      <c r="M2565" s="42"/>
      <c r="N2565" s="42"/>
      <c r="O2565" s="42"/>
      <c r="P2565" s="42"/>
      <c r="Q2565" s="42"/>
      <c r="R2565" s="176"/>
      <c r="S2565" s="42"/>
      <c r="T2565" s="42"/>
      <c r="U2565" s="46"/>
      <c r="V2565" s="42"/>
      <c r="W2565" s="42"/>
      <c r="X2565" s="42"/>
      <c r="Y2565" s="42"/>
      <c r="Z2565" s="42"/>
      <c r="AA2565" s="42"/>
      <c r="AB2565" s="42"/>
      <c r="AC2565" s="42"/>
      <c r="AD2565" s="42"/>
      <c r="AE2565" s="42"/>
      <c r="AF2565" s="42"/>
    </row>
    <row r="2566">
      <c r="A2566" s="25"/>
      <c r="B2566" s="297"/>
      <c r="C2566" s="25"/>
      <c r="D2566" s="25"/>
      <c r="E2566" s="25"/>
      <c r="F2566" s="25"/>
      <c r="G2566" s="123"/>
      <c r="H2566" s="123"/>
      <c r="I2566" s="25"/>
      <c r="J2566" s="25"/>
      <c r="K2566" s="367"/>
      <c r="L2566" s="42"/>
      <c r="M2566" s="42"/>
      <c r="N2566" s="42"/>
      <c r="O2566" s="42"/>
      <c r="P2566" s="42"/>
      <c r="Q2566" s="42"/>
      <c r="R2566" s="176"/>
      <c r="S2566" s="42"/>
      <c r="T2566" s="42"/>
      <c r="U2566" s="46"/>
      <c r="V2566" s="42"/>
      <c r="W2566" s="42"/>
      <c r="X2566" s="42"/>
      <c r="Y2566" s="42"/>
      <c r="Z2566" s="42"/>
      <c r="AA2566" s="42"/>
      <c r="AB2566" s="42"/>
      <c r="AC2566" s="42"/>
      <c r="AD2566" s="42"/>
      <c r="AE2566" s="42"/>
      <c r="AF2566" s="42"/>
    </row>
    <row r="2567">
      <c r="A2567" s="25"/>
      <c r="B2567" s="297"/>
      <c r="C2567" s="25"/>
      <c r="D2567" s="25"/>
      <c r="E2567" s="25"/>
      <c r="F2567" s="25"/>
      <c r="G2567" s="123"/>
      <c r="H2567" s="123"/>
      <c r="I2567" s="25"/>
      <c r="J2567" s="25"/>
      <c r="K2567" s="367"/>
      <c r="L2567" s="42"/>
      <c r="M2567" s="42"/>
      <c r="N2567" s="42"/>
      <c r="O2567" s="42"/>
      <c r="P2567" s="42"/>
      <c r="Q2567" s="42"/>
      <c r="R2567" s="176"/>
      <c r="S2567" s="42"/>
      <c r="T2567" s="42"/>
      <c r="U2567" s="46"/>
      <c r="V2567" s="42"/>
      <c r="W2567" s="42"/>
      <c r="X2567" s="42"/>
      <c r="Y2567" s="42"/>
      <c r="Z2567" s="42"/>
      <c r="AA2567" s="42"/>
      <c r="AB2567" s="42"/>
      <c r="AC2567" s="42"/>
      <c r="AD2567" s="42"/>
      <c r="AE2567" s="42"/>
      <c r="AF2567" s="42"/>
    </row>
    <row r="2568">
      <c r="A2568" s="25"/>
      <c r="B2568" s="297"/>
      <c r="C2568" s="25"/>
      <c r="D2568" s="25"/>
      <c r="E2568" s="25"/>
      <c r="F2568" s="25"/>
      <c r="G2568" s="123"/>
      <c r="H2568" s="123"/>
      <c r="I2568" s="25"/>
      <c r="J2568" s="25"/>
      <c r="K2568" s="367"/>
      <c r="L2568" s="42"/>
      <c r="M2568" s="42"/>
      <c r="N2568" s="42"/>
      <c r="O2568" s="42"/>
      <c r="P2568" s="42"/>
      <c r="Q2568" s="42"/>
      <c r="R2568" s="176"/>
      <c r="S2568" s="42"/>
      <c r="T2568" s="42"/>
      <c r="U2568" s="46"/>
      <c r="V2568" s="42"/>
      <c r="W2568" s="42"/>
      <c r="X2568" s="42"/>
      <c r="Y2568" s="42"/>
      <c r="Z2568" s="42"/>
      <c r="AA2568" s="42"/>
      <c r="AB2568" s="42"/>
      <c r="AC2568" s="42"/>
      <c r="AD2568" s="42"/>
      <c r="AE2568" s="42"/>
      <c r="AF2568" s="42"/>
    </row>
    <row r="2569">
      <c r="A2569" s="25"/>
      <c r="B2569" s="297"/>
      <c r="C2569" s="25"/>
      <c r="D2569" s="25"/>
      <c r="E2569" s="25"/>
      <c r="F2569" s="25"/>
      <c r="G2569" s="123"/>
      <c r="H2569" s="123"/>
      <c r="I2569" s="25"/>
      <c r="J2569" s="25"/>
      <c r="K2569" s="367"/>
      <c r="L2569" s="42"/>
      <c r="M2569" s="42"/>
      <c r="N2569" s="42"/>
      <c r="O2569" s="42"/>
      <c r="P2569" s="42"/>
      <c r="Q2569" s="42"/>
      <c r="R2569" s="176"/>
      <c r="S2569" s="42"/>
      <c r="T2569" s="42"/>
      <c r="U2569" s="46"/>
      <c r="V2569" s="42"/>
      <c r="W2569" s="42"/>
      <c r="X2569" s="42"/>
      <c r="Y2569" s="42"/>
      <c r="Z2569" s="42"/>
      <c r="AA2569" s="42"/>
      <c r="AB2569" s="42"/>
      <c r="AC2569" s="42"/>
      <c r="AD2569" s="42"/>
      <c r="AE2569" s="42"/>
      <c r="AF2569" s="42"/>
    </row>
    <row r="2570">
      <c r="A2570" s="25"/>
      <c r="B2570" s="297"/>
      <c r="C2570" s="25"/>
      <c r="D2570" s="25"/>
      <c r="E2570" s="25"/>
      <c r="F2570" s="25"/>
      <c r="G2570" s="123"/>
      <c r="H2570" s="123"/>
      <c r="I2570" s="25"/>
      <c r="J2570" s="25"/>
      <c r="K2570" s="367"/>
      <c r="L2570" s="42"/>
      <c r="M2570" s="42"/>
      <c r="N2570" s="42"/>
      <c r="O2570" s="42"/>
      <c r="P2570" s="42"/>
      <c r="Q2570" s="42"/>
      <c r="R2570" s="176"/>
      <c r="S2570" s="42"/>
      <c r="T2570" s="42"/>
      <c r="U2570" s="46"/>
      <c r="V2570" s="42"/>
      <c r="W2570" s="42"/>
      <c r="X2570" s="42"/>
      <c r="Y2570" s="42"/>
      <c r="Z2570" s="42"/>
      <c r="AA2570" s="42"/>
      <c r="AB2570" s="42"/>
      <c r="AC2570" s="42"/>
      <c r="AD2570" s="42"/>
      <c r="AE2570" s="42"/>
      <c r="AF2570" s="42"/>
    </row>
    <row r="2571">
      <c r="A2571" s="25"/>
      <c r="B2571" s="297"/>
      <c r="C2571" s="25"/>
      <c r="D2571" s="25"/>
      <c r="E2571" s="25"/>
      <c r="F2571" s="25"/>
      <c r="G2571" s="123"/>
      <c r="H2571" s="123"/>
      <c r="I2571" s="25"/>
      <c r="J2571" s="25"/>
      <c r="K2571" s="367"/>
      <c r="L2571" s="42"/>
      <c r="M2571" s="42"/>
      <c r="N2571" s="42"/>
      <c r="O2571" s="42"/>
      <c r="P2571" s="42"/>
      <c r="Q2571" s="42"/>
      <c r="R2571" s="176"/>
      <c r="S2571" s="42"/>
      <c r="T2571" s="42"/>
      <c r="U2571" s="46"/>
      <c r="V2571" s="42"/>
      <c r="W2571" s="42"/>
      <c r="X2571" s="42"/>
      <c r="Y2571" s="42"/>
      <c r="Z2571" s="42"/>
      <c r="AA2571" s="42"/>
      <c r="AB2571" s="42"/>
      <c r="AC2571" s="42"/>
      <c r="AD2571" s="42"/>
      <c r="AE2571" s="42"/>
      <c r="AF2571" s="42"/>
    </row>
    <row r="2572">
      <c r="A2572" s="25"/>
      <c r="B2572" s="297"/>
      <c r="C2572" s="25"/>
      <c r="D2572" s="25"/>
      <c r="E2572" s="25"/>
      <c r="F2572" s="25"/>
      <c r="G2572" s="123"/>
      <c r="H2572" s="123"/>
      <c r="I2572" s="25"/>
      <c r="J2572" s="25"/>
      <c r="K2572" s="367"/>
      <c r="L2572" s="42"/>
      <c r="M2572" s="42"/>
      <c r="N2572" s="42"/>
      <c r="O2572" s="42"/>
      <c r="P2572" s="42"/>
      <c r="Q2572" s="42"/>
      <c r="R2572" s="176"/>
      <c r="S2572" s="42"/>
      <c r="T2572" s="42"/>
      <c r="U2572" s="46"/>
      <c r="V2572" s="42"/>
      <c r="W2572" s="42"/>
      <c r="X2572" s="42"/>
      <c r="Y2572" s="42"/>
      <c r="Z2572" s="42"/>
      <c r="AA2572" s="42"/>
      <c r="AB2572" s="42"/>
      <c r="AC2572" s="42"/>
      <c r="AD2572" s="42"/>
      <c r="AE2572" s="42"/>
      <c r="AF2572" s="42"/>
    </row>
    <row r="2573">
      <c r="A2573" s="25"/>
      <c r="B2573" s="297"/>
      <c r="C2573" s="25"/>
      <c r="D2573" s="25"/>
      <c r="E2573" s="25"/>
      <c r="F2573" s="25"/>
      <c r="G2573" s="123"/>
      <c r="H2573" s="123"/>
      <c r="I2573" s="25"/>
      <c r="J2573" s="25"/>
      <c r="K2573" s="367"/>
      <c r="L2573" s="42"/>
      <c r="M2573" s="42"/>
      <c r="N2573" s="42"/>
      <c r="O2573" s="42"/>
      <c r="P2573" s="42"/>
      <c r="Q2573" s="42"/>
      <c r="R2573" s="176"/>
      <c r="S2573" s="42"/>
      <c r="T2573" s="42"/>
      <c r="U2573" s="46"/>
      <c r="V2573" s="42"/>
      <c r="W2573" s="42"/>
      <c r="X2573" s="42"/>
      <c r="Y2573" s="42"/>
      <c r="Z2573" s="42"/>
      <c r="AA2573" s="42"/>
      <c r="AB2573" s="42"/>
      <c r="AC2573" s="42"/>
      <c r="AD2573" s="42"/>
      <c r="AE2573" s="42"/>
      <c r="AF2573" s="42"/>
    </row>
    <row r="2574">
      <c r="A2574" s="25"/>
      <c r="B2574" s="297"/>
      <c r="C2574" s="25"/>
      <c r="D2574" s="25"/>
      <c r="E2574" s="25"/>
      <c r="F2574" s="25"/>
      <c r="G2574" s="123"/>
      <c r="H2574" s="123"/>
      <c r="I2574" s="25"/>
      <c r="J2574" s="25"/>
      <c r="K2574" s="367"/>
      <c r="L2574" s="42"/>
      <c r="M2574" s="42"/>
      <c r="N2574" s="42"/>
      <c r="O2574" s="42"/>
      <c r="P2574" s="42"/>
      <c r="Q2574" s="42"/>
      <c r="R2574" s="176"/>
      <c r="S2574" s="42"/>
      <c r="T2574" s="42"/>
      <c r="U2574" s="46"/>
      <c r="V2574" s="42"/>
      <c r="W2574" s="42"/>
      <c r="X2574" s="42"/>
      <c r="Y2574" s="42"/>
      <c r="Z2574" s="42"/>
      <c r="AA2574" s="42"/>
      <c r="AB2574" s="42"/>
      <c r="AC2574" s="42"/>
      <c r="AD2574" s="42"/>
      <c r="AE2574" s="42"/>
      <c r="AF2574" s="42"/>
    </row>
    <row r="2575">
      <c r="A2575" s="25"/>
      <c r="B2575" s="297"/>
      <c r="C2575" s="25"/>
      <c r="D2575" s="25"/>
      <c r="E2575" s="25"/>
      <c r="F2575" s="25"/>
      <c r="G2575" s="123"/>
      <c r="H2575" s="123"/>
      <c r="I2575" s="25"/>
      <c r="J2575" s="25"/>
      <c r="K2575" s="367"/>
      <c r="L2575" s="42"/>
      <c r="M2575" s="42"/>
      <c r="N2575" s="42"/>
      <c r="O2575" s="42"/>
      <c r="P2575" s="42"/>
      <c r="Q2575" s="42"/>
      <c r="R2575" s="176"/>
      <c r="S2575" s="42"/>
      <c r="T2575" s="42"/>
      <c r="U2575" s="46"/>
      <c r="V2575" s="42"/>
      <c r="W2575" s="42"/>
      <c r="X2575" s="42"/>
      <c r="Y2575" s="42"/>
      <c r="Z2575" s="42"/>
      <c r="AA2575" s="42"/>
      <c r="AB2575" s="42"/>
      <c r="AC2575" s="42"/>
      <c r="AD2575" s="42"/>
      <c r="AE2575" s="42"/>
      <c r="AF2575" s="42"/>
    </row>
    <row r="2576">
      <c r="A2576" s="25"/>
      <c r="B2576" s="297"/>
      <c r="C2576" s="25"/>
      <c r="D2576" s="25"/>
      <c r="E2576" s="25"/>
      <c r="F2576" s="25"/>
      <c r="G2576" s="123"/>
      <c r="H2576" s="123"/>
      <c r="I2576" s="25"/>
      <c r="J2576" s="25"/>
      <c r="K2576" s="367"/>
      <c r="L2576" s="42"/>
      <c r="M2576" s="42"/>
      <c r="N2576" s="42"/>
      <c r="O2576" s="42"/>
      <c r="P2576" s="42"/>
      <c r="Q2576" s="42"/>
      <c r="R2576" s="176"/>
      <c r="S2576" s="42"/>
      <c r="T2576" s="42"/>
      <c r="U2576" s="46"/>
      <c r="V2576" s="42"/>
      <c r="W2576" s="42"/>
      <c r="X2576" s="42"/>
      <c r="Y2576" s="42"/>
      <c r="Z2576" s="42"/>
      <c r="AA2576" s="42"/>
      <c r="AB2576" s="42"/>
      <c r="AC2576" s="42"/>
      <c r="AD2576" s="42"/>
      <c r="AE2576" s="42"/>
      <c r="AF2576" s="42"/>
    </row>
    <row r="2577">
      <c r="A2577" s="25"/>
      <c r="B2577" s="297"/>
      <c r="C2577" s="25"/>
      <c r="D2577" s="25"/>
      <c r="E2577" s="25"/>
      <c r="F2577" s="25"/>
      <c r="G2577" s="123"/>
      <c r="H2577" s="123"/>
      <c r="I2577" s="25"/>
      <c r="J2577" s="25"/>
      <c r="K2577" s="367"/>
      <c r="L2577" s="42"/>
      <c r="M2577" s="42"/>
      <c r="N2577" s="42"/>
      <c r="O2577" s="42"/>
      <c r="P2577" s="42"/>
      <c r="Q2577" s="42"/>
      <c r="R2577" s="176"/>
      <c r="S2577" s="42"/>
      <c r="T2577" s="42"/>
      <c r="U2577" s="46"/>
      <c r="V2577" s="42"/>
      <c r="W2577" s="42"/>
      <c r="X2577" s="42"/>
      <c r="Y2577" s="42"/>
      <c r="Z2577" s="42"/>
      <c r="AA2577" s="42"/>
      <c r="AB2577" s="42"/>
      <c r="AC2577" s="42"/>
      <c r="AD2577" s="42"/>
      <c r="AE2577" s="42"/>
      <c r="AF2577" s="42"/>
    </row>
    <row r="2578">
      <c r="A2578" s="25"/>
      <c r="B2578" s="297"/>
      <c r="C2578" s="25"/>
      <c r="D2578" s="25"/>
      <c r="E2578" s="25"/>
      <c r="F2578" s="25"/>
      <c r="G2578" s="123"/>
      <c r="H2578" s="123"/>
      <c r="I2578" s="25"/>
      <c r="J2578" s="25"/>
      <c r="K2578" s="367"/>
      <c r="L2578" s="42"/>
      <c r="M2578" s="42"/>
      <c r="N2578" s="42"/>
      <c r="O2578" s="42"/>
      <c r="P2578" s="42"/>
      <c r="Q2578" s="42"/>
      <c r="R2578" s="176"/>
      <c r="S2578" s="42"/>
      <c r="T2578" s="42"/>
      <c r="U2578" s="46"/>
      <c r="V2578" s="42"/>
      <c r="W2578" s="42"/>
      <c r="X2578" s="42"/>
      <c r="Y2578" s="42"/>
      <c r="Z2578" s="42"/>
      <c r="AA2578" s="42"/>
      <c r="AB2578" s="42"/>
      <c r="AC2578" s="42"/>
      <c r="AD2578" s="42"/>
      <c r="AE2578" s="42"/>
      <c r="AF2578" s="42"/>
    </row>
    <row r="2579">
      <c r="A2579" s="25"/>
      <c r="B2579" s="297"/>
      <c r="C2579" s="25"/>
      <c r="D2579" s="25"/>
      <c r="E2579" s="25"/>
      <c r="F2579" s="25"/>
      <c r="G2579" s="123"/>
      <c r="H2579" s="123"/>
      <c r="I2579" s="25"/>
      <c r="J2579" s="25"/>
      <c r="K2579" s="367"/>
      <c r="L2579" s="42"/>
      <c r="M2579" s="42"/>
      <c r="N2579" s="42"/>
      <c r="O2579" s="42"/>
      <c r="P2579" s="42"/>
      <c r="Q2579" s="42"/>
      <c r="R2579" s="176"/>
      <c r="S2579" s="42"/>
      <c r="T2579" s="42"/>
      <c r="U2579" s="46"/>
      <c r="V2579" s="42"/>
      <c r="W2579" s="42"/>
      <c r="X2579" s="42"/>
      <c r="Y2579" s="42"/>
      <c r="Z2579" s="42"/>
      <c r="AA2579" s="42"/>
      <c r="AB2579" s="42"/>
      <c r="AC2579" s="42"/>
      <c r="AD2579" s="42"/>
      <c r="AE2579" s="42"/>
      <c r="AF2579" s="42"/>
    </row>
    <row r="2580">
      <c r="A2580" s="25"/>
      <c r="B2580" s="297"/>
      <c r="C2580" s="25"/>
      <c r="D2580" s="25"/>
      <c r="E2580" s="25"/>
      <c r="F2580" s="25"/>
      <c r="G2580" s="123"/>
      <c r="H2580" s="123"/>
      <c r="I2580" s="25"/>
      <c r="J2580" s="25"/>
      <c r="K2580" s="367"/>
      <c r="L2580" s="42"/>
      <c r="M2580" s="42"/>
      <c r="N2580" s="42"/>
      <c r="O2580" s="42"/>
      <c r="P2580" s="42"/>
      <c r="Q2580" s="42"/>
      <c r="R2580" s="176"/>
      <c r="S2580" s="42"/>
      <c r="T2580" s="42"/>
      <c r="U2580" s="46"/>
      <c r="V2580" s="42"/>
      <c r="W2580" s="42"/>
      <c r="X2580" s="42"/>
      <c r="Y2580" s="42"/>
      <c r="Z2580" s="42"/>
      <c r="AA2580" s="42"/>
      <c r="AB2580" s="42"/>
      <c r="AC2580" s="42"/>
      <c r="AD2580" s="42"/>
      <c r="AE2580" s="42"/>
      <c r="AF2580" s="42"/>
    </row>
    <row r="2581">
      <c r="A2581" s="25"/>
      <c r="B2581" s="297"/>
      <c r="C2581" s="25"/>
      <c r="D2581" s="25"/>
      <c r="E2581" s="25"/>
      <c r="F2581" s="25"/>
      <c r="G2581" s="123"/>
      <c r="H2581" s="123"/>
      <c r="I2581" s="25"/>
      <c r="J2581" s="25"/>
      <c r="K2581" s="367"/>
      <c r="L2581" s="42"/>
      <c r="M2581" s="42"/>
      <c r="N2581" s="42"/>
      <c r="O2581" s="42"/>
      <c r="P2581" s="42"/>
      <c r="Q2581" s="42"/>
      <c r="R2581" s="176"/>
      <c r="S2581" s="42"/>
      <c r="T2581" s="42"/>
      <c r="U2581" s="46"/>
      <c r="V2581" s="42"/>
      <c r="W2581" s="42"/>
      <c r="X2581" s="42"/>
      <c r="Y2581" s="42"/>
      <c r="Z2581" s="42"/>
      <c r="AA2581" s="42"/>
      <c r="AB2581" s="42"/>
      <c r="AC2581" s="42"/>
      <c r="AD2581" s="42"/>
      <c r="AE2581" s="42"/>
      <c r="AF2581" s="42"/>
    </row>
    <row r="2582">
      <c r="A2582" s="25"/>
      <c r="B2582" s="297"/>
      <c r="C2582" s="25"/>
      <c r="D2582" s="25"/>
      <c r="E2582" s="25"/>
      <c r="F2582" s="25"/>
      <c r="G2582" s="123"/>
      <c r="H2582" s="123"/>
      <c r="I2582" s="25"/>
      <c r="J2582" s="25"/>
      <c r="K2582" s="367"/>
      <c r="L2582" s="42"/>
      <c r="M2582" s="42"/>
      <c r="N2582" s="42"/>
      <c r="O2582" s="42"/>
      <c r="P2582" s="42"/>
      <c r="Q2582" s="42"/>
      <c r="R2582" s="176"/>
      <c r="S2582" s="42"/>
      <c r="T2582" s="42"/>
      <c r="U2582" s="46"/>
      <c r="V2582" s="42"/>
      <c r="W2582" s="42"/>
      <c r="X2582" s="42"/>
      <c r="Y2582" s="42"/>
      <c r="Z2582" s="42"/>
      <c r="AA2582" s="42"/>
      <c r="AB2582" s="42"/>
      <c r="AC2582" s="42"/>
      <c r="AD2582" s="42"/>
      <c r="AE2582" s="42"/>
      <c r="AF2582" s="42"/>
    </row>
    <row r="2583">
      <c r="A2583" s="25"/>
      <c r="B2583" s="297"/>
      <c r="C2583" s="25"/>
      <c r="D2583" s="25"/>
      <c r="E2583" s="25"/>
      <c r="F2583" s="25"/>
      <c r="G2583" s="123"/>
      <c r="H2583" s="123"/>
      <c r="I2583" s="25"/>
      <c r="J2583" s="25"/>
      <c r="K2583" s="367"/>
      <c r="L2583" s="42"/>
      <c r="M2583" s="42"/>
      <c r="N2583" s="42"/>
      <c r="O2583" s="42"/>
      <c r="P2583" s="42"/>
      <c r="Q2583" s="42"/>
      <c r="R2583" s="176"/>
      <c r="S2583" s="42"/>
      <c r="T2583" s="42"/>
      <c r="U2583" s="46"/>
      <c r="V2583" s="42"/>
      <c r="W2583" s="42"/>
      <c r="X2583" s="42"/>
      <c r="Y2583" s="42"/>
      <c r="Z2583" s="42"/>
      <c r="AA2583" s="42"/>
      <c r="AB2583" s="42"/>
      <c r="AC2583" s="42"/>
      <c r="AD2583" s="42"/>
      <c r="AE2583" s="42"/>
      <c r="AF2583" s="42"/>
    </row>
    <row r="2584">
      <c r="A2584" s="25"/>
      <c r="B2584" s="297"/>
      <c r="C2584" s="25"/>
      <c r="D2584" s="25"/>
      <c r="E2584" s="25"/>
      <c r="F2584" s="25"/>
      <c r="G2584" s="123"/>
      <c r="H2584" s="123"/>
      <c r="I2584" s="25"/>
      <c r="J2584" s="25"/>
      <c r="K2584" s="367"/>
      <c r="L2584" s="42"/>
      <c r="M2584" s="42"/>
      <c r="N2584" s="42"/>
      <c r="O2584" s="42"/>
      <c r="P2584" s="42"/>
      <c r="Q2584" s="42"/>
      <c r="R2584" s="176"/>
      <c r="S2584" s="42"/>
      <c r="T2584" s="42"/>
      <c r="U2584" s="46"/>
      <c r="V2584" s="42"/>
      <c r="W2584" s="42"/>
      <c r="X2584" s="42"/>
      <c r="Y2584" s="42"/>
      <c r="Z2584" s="42"/>
      <c r="AA2584" s="42"/>
      <c r="AB2584" s="42"/>
      <c r="AC2584" s="42"/>
      <c r="AD2584" s="42"/>
      <c r="AE2584" s="42"/>
      <c r="AF2584" s="42"/>
    </row>
    <row r="2585">
      <c r="A2585" s="25"/>
      <c r="B2585" s="297"/>
      <c r="C2585" s="25"/>
      <c r="D2585" s="25"/>
      <c r="E2585" s="25"/>
      <c r="F2585" s="25"/>
      <c r="G2585" s="123"/>
      <c r="H2585" s="123"/>
      <c r="I2585" s="25"/>
      <c r="J2585" s="25"/>
      <c r="K2585" s="367"/>
      <c r="L2585" s="42"/>
      <c r="M2585" s="42"/>
      <c r="N2585" s="42"/>
      <c r="O2585" s="42"/>
      <c r="P2585" s="42"/>
      <c r="Q2585" s="42"/>
      <c r="R2585" s="176"/>
      <c r="S2585" s="42"/>
      <c r="T2585" s="42"/>
      <c r="U2585" s="46"/>
      <c r="V2585" s="42"/>
      <c r="W2585" s="42"/>
      <c r="X2585" s="42"/>
      <c r="Y2585" s="42"/>
      <c r="Z2585" s="42"/>
      <c r="AA2585" s="42"/>
      <c r="AB2585" s="42"/>
      <c r="AC2585" s="42"/>
      <c r="AD2585" s="42"/>
      <c r="AE2585" s="42"/>
      <c r="AF2585" s="42"/>
    </row>
    <row r="2586">
      <c r="A2586" s="25"/>
      <c r="B2586" s="297"/>
      <c r="C2586" s="25"/>
      <c r="D2586" s="25"/>
      <c r="E2586" s="25"/>
      <c r="F2586" s="25"/>
      <c r="G2586" s="123"/>
      <c r="H2586" s="123"/>
      <c r="I2586" s="25"/>
      <c r="J2586" s="25"/>
      <c r="K2586" s="367"/>
      <c r="L2586" s="42"/>
      <c r="M2586" s="42"/>
      <c r="N2586" s="42"/>
      <c r="O2586" s="42"/>
      <c r="P2586" s="42"/>
      <c r="Q2586" s="42"/>
      <c r="R2586" s="176"/>
      <c r="S2586" s="42"/>
      <c r="T2586" s="42"/>
      <c r="U2586" s="46"/>
      <c r="V2586" s="42"/>
      <c r="W2586" s="42"/>
      <c r="X2586" s="42"/>
      <c r="Y2586" s="42"/>
      <c r="Z2586" s="42"/>
      <c r="AA2586" s="42"/>
      <c r="AB2586" s="42"/>
      <c r="AC2586" s="42"/>
      <c r="AD2586" s="42"/>
      <c r="AE2586" s="42"/>
      <c r="AF2586" s="42"/>
    </row>
    <row r="2587">
      <c r="A2587" s="25"/>
      <c r="B2587" s="297"/>
      <c r="C2587" s="25"/>
      <c r="D2587" s="25"/>
      <c r="E2587" s="25"/>
      <c r="F2587" s="25"/>
      <c r="G2587" s="123"/>
      <c r="H2587" s="123"/>
      <c r="I2587" s="25"/>
      <c r="J2587" s="25"/>
      <c r="K2587" s="367"/>
      <c r="L2587" s="42"/>
      <c r="M2587" s="42"/>
      <c r="N2587" s="42"/>
      <c r="O2587" s="42"/>
      <c r="P2587" s="42"/>
      <c r="Q2587" s="42"/>
      <c r="R2587" s="176"/>
      <c r="S2587" s="42"/>
      <c r="T2587" s="42"/>
      <c r="U2587" s="46"/>
      <c r="V2587" s="42"/>
      <c r="W2587" s="42"/>
      <c r="X2587" s="42"/>
      <c r="Y2587" s="42"/>
      <c r="Z2587" s="42"/>
      <c r="AA2587" s="42"/>
      <c r="AB2587" s="42"/>
      <c r="AC2587" s="42"/>
      <c r="AD2587" s="42"/>
      <c r="AE2587" s="42"/>
      <c r="AF2587" s="42"/>
    </row>
    <row r="2588">
      <c r="A2588" s="25"/>
      <c r="B2588" s="297"/>
      <c r="C2588" s="25"/>
      <c r="D2588" s="25"/>
      <c r="E2588" s="25"/>
      <c r="F2588" s="25"/>
      <c r="G2588" s="123"/>
      <c r="H2588" s="123"/>
      <c r="I2588" s="25"/>
      <c r="J2588" s="25"/>
      <c r="K2588" s="367"/>
      <c r="L2588" s="42"/>
      <c r="M2588" s="42"/>
      <c r="N2588" s="42"/>
      <c r="O2588" s="42"/>
      <c r="P2588" s="42"/>
      <c r="Q2588" s="42"/>
      <c r="R2588" s="176"/>
      <c r="S2588" s="42"/>
      <c r="T2588" s="42"/>
      <c r="U2588" s="46"/>
      <c r="V2588" s="42"/>
      <c r="W2588" s="42"/>
      <c r="X2588" s="42"/>
      <c r="Y2588" s="42"/>
      <c r="Z2588" s="42"/>
      <c r="AA2588" s="42"/>
      <c r="AB2588" s="42"/>
      <c r="AC2588" s="42"/>
      <c r="AD2588" s="42"/>
      <c r="AE2588" s="42"/>
      <c r="AF2588" s="42"/>
    </row>
    <row r="2589">
      <c r="A2589" s="25"/>
      <c r="B2589" s="297"/>
      <c r="C2589" s="25"/>
      <c r="D2589" s="25"/>
      <c r="E2589" s="25"/>
      <c r="F2589" s="25"/>
      <c r="G2589" s="123"/>
      <c r="H2589" s="123"/>
      <c r="I2589" s="25"/>
      <c r="J2589" s="25"/>
      <c r="K2589" s="367"/>
      <c r="L2589" s="42"/>
      <c r="M2589" s="42"/>
      <c r="N2589" s="42"/>
      <c r="O2589" s="42"/>
      <c r="P2589" s="42"/>
      <c r="Q2589" s="42"/>
      <c r="R2589" s="176"/>
      <c r="S2589" s="42"/>
      <c r="T2589" s="42"/>
      <c r="U2589" s="46"/>
      <c r="V2589" s="42"/>
      <c r="W2589" s="42"/>
      <c r="X2589" s="42"/>
      <c r="Y2589" s="42"/>
      <c r="Z2589" s="42"/>
      <c r="AA2589" s="42"/>
      <c r="AB2589" s="42"/>
      <c r="AC2589" s="42"/>
      <c r="AD2589" s="42"/>
      <c r="AE2589" s="42"/>
      <c r="AF2589" s="42"/>
    </row>
    <row r="2590">
      <c r="A2590" s="25"/>
      <c r="B2590" s="297"/>
      <c r="C2590" s="25"/>
      <c r="D2590" s="25"/>
      <c r="E2590" s="25"/>
      <c r="F2590" s="25"/>
      <c r="G2590" s="123"/>
      <c r="H2590" s="123"/>
      <c r="I2590" s="25"/>
      <c r="J2590" s="25"/>
      <c r="K2590" s="367"/>
      <c r="L2590" s="42"/>
      <c r="M2590" s="42"/>
      <c r="N2590" s="42"/>
      <c r="O2590" s="42"/>
      <c r="P2590" s="42"/>
      <c r="Q2590" s="42"/>
      <c r="R2590" s="176"/>
      <c r="S2590" s="42"/>
      <c r="T2590" s="42"/>
      <c r="U2590" s="46"/>
      <c r="V2590" s="42"/>
      <c r="W2590" s="42"/>
      <c r="X2590" s="42"/>
      <c r="Y2590" s="42"/>
      <c r="Z2590" s="42"/>
      <c r="AA2590" s="42"/>
      <c r="AB2590" s="42"/>
      <c r="AC2590" s="42"/>
      <c r="AD2590" s="42"/>
      <c r="AE2590" s="42"/>
      <c r="AF2590" s="42"/>
    </row>
    <row r="2591">
      <c r="A2591" s="25"/>
      <c r="B2591" s="297"/>
      <c r="C2591" s="25"/>
      <c r="D2591" s="25"/>
      <c r="E2591" s="25"/>
      <c r="F2591" s="25"/>
      <c r="G2591" s="123"/>
      <c r="H2591" s="123"/>
      <c r="I2591" s="25"/>
      <c r="J2591" s="25"/>
      <c r="K2591" s="367"/>
      <c r="L2591" s="42"/>
      <c r="M2591" s="42"/>
      <c r="N2591" s="42"/>
      <c r="O2591" s="42"/>
      <c r="P2591" s="42"/>
      <c r="Q2591" s="42"/>
      <c r="R2591" s="176"/>
      <c r="S2591" s="42"/>
      <c r="T2591" s="42"/>
      <c r="U2591" s="46"/>
      <c r="V2591" s="42"/>
      <c r="W2591" s="42"/>
      <c r="X2591" s="42"/>
      <c r="Y2591" s="42"/>
      <c r="Z2591" s="42"/>
      <c r="AA2591" s="42"/>
      <c r="AB2591" s="42"/>
      <c r="AC2591" s="42"/>
      <c r="AD2591" s="42"/>
      <c r="AE2591" s="42"/>
      <c r="AF2591" s="42"/>
    </row>
    <row r="2592">
      <c r="A2592" s="25"/>
      <c r="B2592" s="297"/>
      <c r="C2592" s="25"/>
      <c r="D2592" s="25"/>
      <c r="E2592" s="25"/>
      <c r="F2592" s="25"/>
      <c r="G2592" s="123"/>
      <c r="H2592" s="123"/>
      <c r="I2592" s="25"/>
      <c r="J2592" s="25"/>
      <c r="K2592" s="367"/>
      <c r="L2592" s="42"/>
      <c r="M2592" s="42"/>
      <c r="N2592" s="42"/>
      <c r="O2592" s="42"/>
      <c r="P2592" s="42"/>
      <c r="Q2592" s="42"/>
      <c r="R2592" s="176"/>
      <c r="S2592" s="42"/>
      <c r="T2592" s="42"/>
      <c r="U2592" s="46"/>
      <c r="V2592" s="42"/>
      <c r="W2592" s="42"/>
      <c r="X2592" s="42"/>
      <c r="Y2592" s="42"/>
      <c r="Z2592" s="42"/>
      <c r="AA2592" s="42"/>
      <c r="AB2592" s="42"/>
      <c r="AC2592" s="42"/>
      <c r="AD2592" s="42"/>
      <c r="AE2592" s="42"/>
      <c r="AF2592" s="42"/>
    </row>
    <row r="2593">
      <c r="A2593" s="25"/>
      <c r="B2593" s="297"/>
      <c r="C2593" s="25"/>
      <c r="D2593" s="25"/>
      <c r="E2593" s="25"/>
      <c r="F2593" s="25"/>
      <c r="G2593" s="123"/>
      <c r="H2593" s="123"/>
      <c r="I2593" s="25"/>
      <c r="J2593" s="25"/>
      <c r="K2593" s="367"/>
      <c r="L2593" s="42"/>
      <c r="M2593" s="42"/>
      <c r="N2593" s="42"/>
      <c r="O2593" s="42"/>
      <c r="P2593" s="42"/>
      <c r="Q2593" s="42"/>
      <c r="R2593" s="176"/>
      <c r="S2593" s="42"/>
      <c r="T2593" s="42"/>
      <c r="U2593" s="46"/>
      <c r="V2593" s="42"/>
      <c r="W2593" s="42"/>
      <c r="X2593" s="42"/>
      <c r="Y2593" s="42"/>
      <c r="Z2593" s="42"/>
      <c r="AA2593" s="42"/>
      <c r="AB2593" s="42"/>
      <c r="AC2593" s="42"/>
      <c r="AD2593" s="42"/>
      <c r="AE2593" s="42"/>
      <c r="AF2593" s="42"/>
    </row>
    <row r="2594">
      <c r="A2594" s="25"/>
      <c r="B2594" s="297"/>
      <c r="C2594" s="25"/>
      <c r="D2594" s="25"/>
      <c r="E2594" s="25"/>
      <c r="F2594" s="25"/>
      <c r="G2594" s="123"/>
      <c r="H2594" s="123"/>
      <c r="I2594" s="25"/>
      <c r="J2594" s="25"/>
      <c r="K2594" s="367"/>
      <c r="L2594" s="42"/>
      <c r="M2594" s="42"/>
      <c r="N2594" s="42"/>
      <c r="O2594" s="42"/>
      <c r="P2594" s="42"/>
      <c r="Q2594" s="42"/>
      <c r="R2594" s="176"/>
      <c r="S2594" s="42"/>
      <c r="T2594" s="42"/>
      <c r="U2594" s="46"/>
      <c r="V2594" s="42"/>
      <c r="W2594" s="42"/>
      <c r="X2594" s="42"/>
      <c r="Y2594" s="42"/>
      <c r="Z2594" s="42"/>
      <c r="AA2594" s="42"/>
      <c r="AB2594" s="42"/>
      <c r="AC2594" s="42"/>
      <c r="AD2594" s="42"/>
      <c r="AE2594" s="42"/>
      <c r="AF2594" s="42"/>
    </row>
    <row r="2595">
      <c r="A2595" s="25"/>
      <c r="B2595" s="297"/>
      <c r="C2595" s="25"/>
      <c r="D2595" s="25"/>
      <c r="E2595" s="25"/>
      <c r="F2595" s="25"/>
      <c r="G2595" s="123"/>
      <c r="H2595" s="123"/>
      <c r="I2595" s="25"/>
      <c r="J2595" s="25"/>
      <c r="K2595" s="367"/>
      <c r="L2595" s="42"/>
      <c r="M2595" s="42"/>
      <c r="N2595" s="42"/>
      <c r="O2595" s="42"/>
      <c r="P2595" s="42"/>
      <c r="Q2595" s="42"/>
      <c r="R2595" s="176"/>
      <c r="S2595" s="42"/>
      <c r="T2595" s="42"/>
      <c r="U2595" s="46"/>
      <c r="V2595" s="42"/>
      <c r="W2595" s="42"/>
      <c r="X2595" s="42"/>
      <c r="Y2595" s="42"/>
      <c r="Z2595" s="42"/>
      <c r="AA2595" s="42"/>
      <c r="AB2595" s="42"/>
      <c r="AC2595" s="42"/>
      <c r="AD2595" s="42"/>
      <c r="AE2595" s="42"/>
      <c r="AF2595" s="42"/>
    </row>
    <row r="2596">
      <c r="A2596" s="25"/>
      <c r="B2596" s="297"/>
      <c r="C2596" s="25"/>
      <c r="D2596" s="25"/>
      <c r="E2596" s="25"/>
      <c r="F2596" s="25"/>
      <c r="G2596" s="123"/>
      <c r="H2596" s="123"/>
      <c r="I2596" s="25"/>
      <c r="J2596" s="25"/>
      <c r="K2596" s="367"/>
      <c r="L2596" s="42"/>
      <c r="M2596" s="42"/>
      <c r="N2596" s="42"/>
      <c r="O2596" s="42"/>
      <c r="P2596" s="42"/>
      <c r="Q2596" s="42"/>
      <c r="R2596" s="176"/>
      <c r="S2596" s="42"/>
      <c r="T2596" s="42"/>
      <c r="U2596" s="46"/>
      <c r="V2596" s="42"/>
      <c r="W2596" s="42"/>
      <c r="X2596" s="42"/>
      <c r="Y2596" s="42"/>
      <c r="Z2596" s="42"/>
      <c r="AA2596" s="42"/>
      <c r="AB2596" s="42"/>
      <c r="AC2596" s="42"/>
      <c r="AD2596" s="42"/>
      <c r="AE2596" s="42"/>
      <c r="AF2596" s="42"/>
    </row>
    <row r="2597">
      <c r="A2597" s="25"/>
      <c r="B2597" s="297"/>
      <c r="C2597" s="25"/>
      <c r="D2597" s="25"/>
      <c r="E2597" s="25"/>
      <c r="F2597" s="25"/>
      <c r="G2597" s="123"/>
      <c r="H2597" s="123"/>
      <c r="I2597" s="25"/>
      <c r="J2597" s="25"/>
      <c r="K2597" s="367"/>
      <c r="L2597" s="42"/>
      <c r="M2597" s="42"/>
      <c r="N2597" s="42"/>
      <c r="O2597" s="42"/>
      <c r="P2597" s="42"/>
      <c r="Q2597" s="42"/>
      <c r="R2597" s="176"/>
      <c r="S2597" s="42"/>
      <c r="T2597" s="42"/>
      <c r="U2597" s="46"/>
      <c r="V2597" s="42"/>
      <c r="W2597" s="42"/>
      <c r="X2597" s="42"/>
      <c r="Y2597" s="42"/>
      <c r="Z2597" s="42"/>
      <c r="AA2597" s="42"/>
      <c r="AB2597" s="42"/>
      <c r="AC2597" s="42"/>
      <c r="AD2597" s="42"/>
      <c r="AE2597" s="42"/>
      <c r="AF2597" s="42"/>
    </row>
    <row r="2598">
      <c r="A2598" s="25"/>
      <c r="B2598" s="297"/>
      <c r="C2598" s="25"/>
      <c r="D2598" s="25"/>
      <c r="E2598" s="25"/>
      <c r="F2598" s="25"/>
      <c r="G2598" s="123"/>
      <c r="H2598" s="123"/>
      <c r="I2598" s="25"/>
      <c r="J2598" s="25"/>
      <c r="K2598" s="367"/>
      <c r="L2598" s="42"/>
      <c r="M2598" s="42"/>
      <c r="N2598" s="42"/>
      <c r="O2598" s="42"/>
      <c r="P2598" s="42"/>
      <c r="Q2598" s="42"/>
      <c r="R2598" s="176"/>
      <c r="S2598" s="42"/>
      <c r="T2598" s="42"/>
      <c r="U2598" s="46"/>
      <c r="V2598" s="42"/>
      <c r="W2598" s="42"/>
      <c r="X2598" s="42"/>
      <c r="Y2598" s="42"/>
      <c r="Z2598" s="42"/>
      <c r="AA2598" s="42"/>
      <c r="AB2598" s="42"/>
      <c r="AC2598" s="42"/>
      <c r="AD2598" s="42"/>
      <c r="AE2598" s="42"/>
      <c r="AF2598" s="42"/>
    </row>
    <row r="2599">
      <c r="A2599" s="25"/>
      <c r="B2599" s="297"/>
      <c r="C2599" s="25"/>
      <c r="D2599" s="25"/>
      <c r="E2599" s="25"/>
      <c r="F2599" s="25"/>
      <c r="G2599" s="123"/>
      <c r="H2599" s="123"/>
      <c r="I2599" s="25"/>
      <c r="J2599" s="25"/>
      <c r="K2599" s="367"/>
      <c r="L2599" s="42"/>
      <c r="M2599" s="42"/>
      <c r="N2599" s="42"/>
      <c r="O2599" s="42"/>
      <c r="P2599" s="42"/>
      <c r="Q2599" s="42"/>
      <c r="R2599" s="176"/>
      <c r="S2599" s="42"/>
      <c r="T2599" s="42"/>
      <c r="U2599" s="46"/>
      <c r="V2599" s="42"/>
      <c r="W2599" s="42"/>
      <c r="X2599" s="42"/>
      <c r="Y2599" s="42"/>
      <c r="Z2599" s="42"/>
      <c r="AA2599" s="42"/>
      <c r="AB2599" s="42"/>
      <c r="AC2599" s="42"/>
      <c r="AD2599" s="42"/>
      <c r="AE2599" s="42"/>
      <c r="AF2599" s="42"/>
    </row>
    <row r="2600">
      <c r="A2600" s="25"/>
      <c r="B2600" s="297"/>
      <c r="C2600" s="25"/>
      <c r="D2600" s="25"/>
      <c r="E2600" s="25"/>
      <c r="F2600" s="25"/>
      <c r="G2600" s="123"/>
      <c r="H2600" s="123"/>
      <c r="I2600" s="25"/>
      <c r="J2600" s="25"/>
      <c r="K2600" s="367"/>
      <c r="L2600" s="42"/>
      <c r="M2600" s="42"/>
      <c r="N2600" s="42"/>
      <c r="O2600" s="42"/>
      <c r="P2600" s="42"/>
      <c r="Q2600" s="42"/>
      <c r="R2600" s="176"/>
      <c r="S2600" s="42"/>
      <c r="T2600" s="42"/>
      <c r="U2600" s="46"/>
      <c r="V2600" s="42"/>
      <c r="W2600" s="42"/>
      <c r="X2600" s="42"/>
      <c r="Y2600" s="42"/>
      <c r="Z2600" s="42"/>
      <c r="AA2600" s="42"/>
      <c r="AB2600" s="42"/>
      <c r="AC2600" s="42"/>
      <c r="AD2600" s="42"/>
      <c r="AE2600" s="42"/>
      <c r="AF2600" s="42"/>
    </row>
    <row r="2601">
      <c r="A2601" s="25"/>
      <c r="B2601" s="297"/>
      <c r="C2601" s="25"/>
      <c r="D2601" s="25"/>
      <c r="E2601" s="25"/>
      <c r="F2601" s="25"/>
      <c r="G2601" s="123"/>
      <c r="H2601" s="123"/>
      <c r="I2601" s="25"/>
      <c r="J2601" s="25"/>
      <c r="K2601" s="367"/>
      <c r="L2601" s="42"/>
      <c r="M2601" s="42"/>
      <c r="N2601" s="42"/>
      <c r="O2601" s="42"/>
      <c r="P2601" s="42"/>
      <c r="Q2601" s="42"/>
      <c r="R2601" s="176"/>
      <c r="S2601" s="42"/>
      <c r="T2601" s="42"/>
      <c r="U2601" s="46"/>
      <c r="V2601" s="42"/>
      <c r="W2601" s="42"/>
      <c r="X2601" s="42"/>
      <c r="Y2601" s="42"/>
      <c r="Z2601" s="42"/>
      <c r="AA2601" s="42"/>
      <c r="AB2601" s="42"/>
      <c r="AC2601" s="42"/>
      <c r="AD2601" s="42"/>
      <c r="AE2601" s="42"/>
      <c r="AF2601" s="42"/>
    </row>
    <row r="2602">
      <c r="A2602" s="25"/>
      <c r="B2602" s="297"/>
      <c r="C2602" s="25"/>
      <c r="D2602" s="25"/>
      <c r="E2602" s="25"/>
      <c r="F2602" s="25"/>
      <c r="G2602" s="123"/>
      <c r="H2602" s="123"/>
      <c r="I2602" s="25"/>
      <c r="J2602" s="25"/>
      <c r="K2602" s="367"/>
      <c r="L2602" s="42"/>
      <c r="M2602" s="42"/>
      <c r="N2602" s="42"/>
      <c r="O2602" s="42"/>
      <c r="P2602" s="42"/>
      <c r="Q2602" s="42"/>
      <c r="R2602" s="176"/>
      <c r="S2602" s="42"/>
      <c r="T2602" s="42"/>
      <c r="U2602" s="46"/>
      <c r="V2602" s="42"/>
      <c r="W2602" s="42"/>
      <c r="X2602" s="42"/>
      <c r="Y2602" s="42"/>
      <c r="Z2602" s="42"/>
      <c r="AA2602" s="42"/>
      <c r="AB2602" s="42"/>
      <c r="AC2602" s="42"/>
      <c r="AD2602" s="42"/>
      <c r="AE2602" s="42"/>
      <c r="AF2602" s="42"/>
    </row>
    <row r="2603">
      <c r="A2603" s="25"/>
      <c r="B2603" s="297"/>
      <c r="C2603" s="25"/>
      <c r="D2603" s="25"/>
      <c r="E2603" s="25"/>
      <c r="F2603" s="25"/>
      <c r="G2603" s="123"/>
      <c r="H2603" s="123"/>
      <c r="I2603" s="25"/>
      <c r="J2603" s="25"/>
      <c r="K2603" s="367"/>
      <c r="L2603" s="42"/>
      <c r="M2603" s="42"/>
      <c r="N2603" s="42"/>
      <c r="O2603" s="42"/>
      <c r="P2603" s="42"/>
      <c r="Q2603" s="42"/>
      <c r="R2603" s="176"/>
      <c r="S2603" s="42"/>
      <c r="T2603" s="42"/>
      <c r="U2603" s="46"/>
      <c r="V2603" s="42"/>
      <c r="W2603" s="42"/>
      <c r="X2603" s="42"/>
      <c r="Y2603" s="42"/>
      <c r="Z2603" s="42"/>
      <c r="AA2603" s="42"/>
      <c r="AB2603" s="42"/>
      <c r="AC2603" s="42"/>
      <c r="AD2603" s="42"/>
      <c r="AE2603" s="42"/>
      <c r="AF2603" s="42"/>
    </row>
    <row r="2604">
      <c r="A2604" s="25"/>
      <c r="B2604" s="297"/>
      <c r="C2604" s="25"/>
      <c r="D2604" s="25"/>
      <c r="E2604" s="25"/>
      <c r="F2604" s="25"/>
      <c r="G2604" s="123"/>
      <c r="H2604" s="123"/>
      <c r="I2604" s="25"/>
      <c r="J2604" s="25"/>
      <c r="K2604" s="367"/>
      <c r="L2604" s="42"/>
      <c r="M2604" s="42"/>
      <c r="N2604" s="42"/>
      <c r="O2604" s="42"/>
      <c r="P2604" s="42"/>
      <c r="Q2604" s="42"/>
      <c r="R2604" s="176"/>
      <c r="S2604" s="42"/>
      <c r="T2604" s="42"/>
      <c r="U2604" s="46"/>
      <c r="V2604" s="42"/>
      <c r="W2604" s="42"/>
      <c r="X2604" s="42"/>
      <c r="Y2604" s="42"/>
      <c r="Z2604" s="42"/>
      <c r="AA2604" s="42"/>
      <c r="AB2604" s="42"/>
      <c r="AC2604" s="42"/>
      <c r="AD2604" s="42"/>
      <c r="AE2604" s="42"/>
      <c r="AF2604" s="42"/>
    </row>
    <row r="2605">
      <c r="A2605" s="25"/>
      <c r="B2605" s="297"/>
      <c r="C2605" s="25"/>
      <c r="D2605" s="25"/>
      <c r="E2605" s="25"/>
      <c r="F2605" s="25"/>
      <c r="G2605" s="123"/>
      <c r="H2605" s="123"/>
      <c r="I2605" s="25"/>
      <c r="J2605" s="25"/>
      <c r="K2605" s="367"/>
      <c r="L2605" s="42"/>
      <c r="M2605" s="42"/>
      <c r="N2605" s="42"/>
      <c r="O2605" s="42"/>
      <c r="P2605" s="42"/>
      <c r="Q2605" s="42"/>
      <c r="R2605" s="176"/>
      <c r="S2605" s="42"/>
      <c r="T2605" s="42"/>
      <c r="U2605" s="46"/>
      <c r="V2605" s="42"/>
      <c r="W2605" s="42"/>
      <c r="X2605" s="42"/>
      <c r="Y2605" s="42"/>
      <c r="Z2605" s="42"/>
      <c r="AA2605" s="42"/>
      <c r="AB2605" s="42"/>
      <c r="AC2605" s="42"/>
      <c r="AD2605" s="42"/>
      <c r="AE2605" s="42"/>
      <c r="AF2605" s="42"/>
    </row>
    <row r="2606">
      <c r="A2606" s="25"/>
      <c r="B2606" s="297"/>
      <c r="C2606" s="25"/>
      <c r="D2606" s="25"/>
      <c r="E2606" s="25"/>
      <c r="F2606" s="25"/>
      <c r="G2606" s="123"/>
      <c r="H2606" s="123"/>
      <c r="I2606" s="25"/>
      <c r="J2606" s="25"/>
      <c r="K2606" s="367"/>
      <c r="L2606" s="42"/>
      <c r="M2606" s="42"/>
      <c r="N2606" s="42"/>
      <c r="O2606" s="42"/>
      <c r="P2606" s="42"/>
      <c r="Q2606" s="42"/>
      <c r="R2606" s="176"/>
      <c r="S2606" s="42"/>
      <c r="T2606" s="42"/>
      <c r="U2606" s="46"/>
      <c r="V2606" s="42"/>
      <c r="W2606" s="42"/>
      <c r="X2606" s="42"/>
      <c r="Y2606" s="42"/>
      <c r="Z2606" s="42"/>
      <c r="AA2606" s="42"/>
      <c r="AB2606" s="42"/>
      <c r="AC2606" s="42"/>
      <c r="AD2606" s="42"/>
      <c r="AE2606" s="42"/>
      <c r="AF2606" s="42"/>
    </row>
    <row r="2607">
      <c r="A2607" s="25"/>
      <c r="B2607" s="297"/>
      <c r="C2607" s="25"/>
      <c r="D2607" s="25"/>
      <c r="E2607" s="25"/>
      <c r="F2607" s="25"/>
      <c r="G2607" s="123"/>
      <c r="H2607" s="123"/>
      <c r="I2607" s="25"/>
      <c r="J2607" s="25"/>
      <c r="K2607" s="367"/>
      <c r="L2607" s="42"/>
      <c r="M2607" s="42"/>
      <c r="N2607" s="42"/>
      <c r="O2607" s="42"/>
      <c r="P2607" s="42"/>
      <c r="Q2607" s="42"/>
      <c r="R2607" s="176"/>
      <c r="S2607" s="42"/>
      <c r="T2607" s="42"/>
      <c r="U2607" s="46"/>
      <c r="V2607" s="42"/>
      <c r="W2607" s="42"/>
      <c r="X2607" s="42"/>
      <c r="Y2607" s="42"/>
      <c r="Z2607" s="42"/>
      <c r="AA2607" s="42"/>
      <c r="AB2607" s="42"/>
      <c r="AC2607" s="42"/>
      <c r="AD2607" s="42"/>
      <c r="AE2607" s="42"/>
      <c r="AF2607" s="42"/>
    </row>
    <row r="2608">
      <c r="A2608" s="25"/>
      <c r="B2608" s="297"/>
      <c r="C2608" s="25"/>
      <c r="D2608" s="25"/>
      <c r="E2608" s="25"/>
      <c r="F2608" s="25"/>
      <c r="G2608" s="123"/>
      <c r="H2608" s="123"/>
      <c r="I2608" s="25"/>
      <c r="J2608" s="25"/>
      <c r="K2608" s="367"/>
      <c r="L2608" s="42"/>
      <c r="M2608" s="42"/>
      <c r="N2608" s="42"/>
      <c r="O2608" s="42"/>
      <c r="P2608" s="42"/>
      <c r="Q2608" s="42"/>
      <c r="R2608" s="176"/>
      <c r="S2608" s="42"/>
      <c r="T2608" s="42"/>
      <c r="U2608" s="46"/>
      <c r="V2608" s="42"/>
      <c r="W2608" s="42"/>
      <c r="X2608" s="42"/>
      <c r="Y2608" s="42"/>
      <c r="Z2608" s="42"/>
      <c r="AA2608" s="42"/>
      <c r="AB2608" s="42"/>
      <c r="AC2608" s="42"/>
      <c r="AD2608" s="42"/>
      <c r="AE2608" s="42"/>
      <c r="AF2608" s="42"/>
    </row>
    <row r="2609">
      <c r="A2609" s="25"/>
      <c r="B2609" s="297"/>
      <c r="C2609" s="25"/>
      <c r="D2609" s="25"/>
      <c r="E2609" s="25"/>
      <c r="F2609" s="25"/>
      <c r="G2609" s="123"/>
      <c r="H2609" s="123"/>
      <c r="I2609" s="25"/>
      <c r="J2609" s="25"/>
      <c r="K2609" s="367"/>
      <c r="L2609" s="42"/>
      <c r="M2609" s="42"/>
      <c r="N2609" s="42"/>
      <c r="O2609" s="42"/>
      <c r="P2609" s="42"/>
      <c r="Q2609" s="42"/>
      <c r="R2609" s="176"/>
      <c r="S2609" s="42"/>
      <c r="T2609" s="42"/>
      <c r="U2609" s="46"/>
      <c r="V2609" s="42"/>
      <c r="W2609" s="42"/>
      <c r="X2609" s="42"/>
      <c r="Y2609" s="42"/>
      <c r="Z2609" s="42"/>
      <c r="AA2609" s="42"/>
      <c r="AB2609" s="42"/>
      <c r="AC2609" s="42"/>
      <c r="AD2609" s="42"/>
      <c r="AE2609" s="42"/>
      <c r="AF2609" s="42"/>
    </row>
    <row r="2610">
      <c r="A2610" s="25"/>
      <c r="B2610" s="297"/>
      <c r="C2610" s="25"/>
      <c r="D2610" s="25"/>
      <c r="E2610" s="25"/>
      <c r="F2610" s="25"/>
      <c r="G2610" s="123"/>
      <c r="H2610" s="123"/>
      <c r="I2610" s="25"/>
      <c r="J2610" s="25"/>
      <c r="K2610" s="367"/>
      <c r="L2610" s="42"/>
      <c r="M2610" s="42"/>
      <c r="N2610" s="42"/>
      <c r="O2610" s="42"/>
      <c r="P2610" s="42"/>
      <c r="Q2610" s="42"/>
      <c r="R2610" s="176"/>
      <c r="S2610" s="42"/>
      <c r="T2610" s="42"/>
      <c r="U2610" s="46"/>
      <c r="V2610" s="42"/>
      <c r="W2610" s="42"/>
      <c r="X2610" s="42"/>
      <c r="Y2610" s="42"/>
      <c r="Z2610" s="42"/>
      <c r="AA2610" s="42"/>
      <c r="AB2610" s="42"/>
      <c r="AC2610" s="42"/>
      <c r="AD2610" s="42"/>
      <c r="AE2610" s="42"/>
      <c r="AF2610" s="42"/>
    </row>
    <row r="2611">
      <c r="A2611" s="25"/>
      <c r="B2611" s="297"/>
      <c r="C2611" s="25"/>
      <c r="D2611" s="25"/>
      <c r="E2611" s="25"/>
      <c r="F2611" s="25"/>
      <c r="G2611" s="123"/>
      <c r="H2611" s="123"/>
      <c r="I2611" s="25"/>
      <c r="J2611" s="25"/>
      <c r="K2611" s="367"/>
      <c r="L2611" s="42"/>
      <c r="M2611" s="42"/>
      <c r="N2611" s="42"/>
      <c r="O2611" s="42"/>
      <c r="P2611" s="42"/>
      <c r="Q2611" s="42"/>
      <c r="R2611" s="176"/>
      <c r="S2611" s="42"/>
      <c r="T2611" s="42"/>
      <c r="U2611" s="46"/>
      <c r="V2611" s="42"/>
      <c r="W2611" s="42"/>
      <c r="X2611" s="42"/>
      <c r="Y2611" s="42"/>
      <c r="Z2611" s="42"/>
      <c r="AA2611" s="42"/>
      <c r="AB2611" s="42"/>
      <c r="AC2611" s="42"/>
      <c r="AD2611" s="42"/>
      <c r="AE2611" s="42"/>
      <c r="AF2611" s="42"/>
    </row>
    <row r="2612">
      <c r="A2612" s="25"/>
      <c r="B2612" s="297"/>
      <c r="C2612" s="25"/>
      <c r="D2612" s="25"/>
      <c r="E2612" s="25"/>
      <c r="F2612" s="25"/>
      <c r="G2612" s="123"/>
      <c r="H2612" s="123"/>
      <c r="I2612" s="25"/>
      <c r="J2612" s="25"/>
      <c r="K2612" s="367"/>
      <c r="L2612" s="42"/>
      <c r="M2612" s="42"/>
      <c r="N2612" s="42"/>
      <c r="O2612" s="42"/>
      <c r="P2612" s="42"/>
      <c r="Q2612" s="42"/>
      <c r="R2612" s="176"/>
      <c r="S2612" s="42"/>
      <c r="T2612" s="42"/>
      <c r="U2612" s="46"/>
      <c r="V2612" s="42"/>
      <c r="W2612" s="42"/>
      <c r="X2612" s="42"/>
      <c r="Y2612" s="42"/>
      <c r="Z2612" s="42"/>
      <c r="AA2612" s="42"/>
      <c r="AB2612" s="42"/>
      <c r="AC2612" s="42"/>
      <c r="AD2612" s="42"/>
      <c r="AE2612" s="42"/>
      <c r="AF2612" s="42"/>
    </row>
    <row r="2613">
      <c r="A2613" s="25"/>
      <c r="B2613" s="297"/>
      <c r="C2613" s="25"/>
      <c r="D2613" s="25"/>
      <c r="E2613" s="25"/>
      <c r="F2613" s="25"/>
      <c r="G2613" s="123"/>
      <c r="H2613" s="123"/>
      <c r="I2613" s="25"/>
      <c r="J2613" s="25"/>
      <c r="K2613" s="367"/>
      <c r="L2613" s="42"/>
      <c r="M2613" s="42"/>
      <c r="N2613" s="42"/>
      <c r="O2613" s="42"/>
      <c r="P2613" s="42"/>
      <c r="Q2613" s="42"/>
      <c r="R2613" s="176"/>
      <c r="S2613" s="42"/>
      <c r="T2613" s="42"/>
      <c r="U2613" s="46"/>
      <c r="V2613" s="42"/>
      <c r="W2613" s="42"/>
      <c r="X2613" s="42"/>
      <c r="Y2613" s="42"/>
      <c r="Z2613" s="42"/>
      <c r="AA2613" s="42"/>
      <c r="AB2613" s="42"/>
      <c r="AC2613" s="42"/>
      <c r="AD2613" s="42"/>
      <c r="AE2613" s="42"/>
      <c r="AF2613" s="42"/>
    </row>
    <row r="2614">
      <c r="A2614" s="25"/>
      <c r="B2614" s="297"/>
      <c r="C2614" s="25"/>
      <c r="D2614" s="25"/>
      <c r="E2614" s="25"/>
      <c r="F2614" s="25"/>
      <c r="G2614" s="123"/>
      <c r="H2614" s="123"/>
      <c r="I2614" s="25"/>
      <c r="J2614" s="25"/>
      <c r="K2614" s="367"/>
      <c r="L2614" s="42"/>
      <c r="M2614" s="42"/>
      <c r="N2614" s="42"/>
      <c r="O2614" s="42"/>
      <c r="P2614" s="42"/>
      <c r="Q2614" s="42"/>
      <c r="R2614" s="176"/>
      <c r="S2614" s="42"/>
      <c r="T2614" s="42"/>
      <c r="U2614" s="46"/>
      <c r="V2614" s="42"/>
      <c r="W2614" s="42"/>
      <c r="X2614" s="42"/>
      <c r="Y2614" s="42"/>
      <c r="Z2614" s="42"/>
      <c r="AA2614" s="42"/>
      <c r="AB2614" s="42"/>
      <c r="AC2614" s="42"/>
      <c r="AD2614" s="42"/>
      <c r="AE2614" s="42"/>
      <c r="AF2614" s="42"/>
    </row>
    <row r="2615">
      <c r="A2615" s="25"/>
      <c r="B2615" s="297"/>
      <c r="C2615" s="25"/>
      <c r="D2615" s="25"/>
      <c r="E2615" s="25"/>
      <c r="F2615" s="25"/>
      <c r="G2615" s="123"/>
      <c r="H2615" s="123"/>
      <c r="I2615" s="25"/>
      <c r="J2615" s="25"/>
      <c r="K2615" s="367"/>
      <c r="L2615" s="42"/>
      <c r="M2615" s="42"/>
      <c r="N2615" s="42"/>
      <c r="O2615" s="42"/>
      <c r="P2615" s="42"/>
      <c r="Q2615" s="42"/>
      <c r="R2615" s="176"/>
      <c r="S2615" s="42"/>
      <c r="T2615" s="42"/>
      <c r="U2615" s="46"/>
      <c r="V2615" s="42"/>
      <c r="W2615" s="42"/>
      <c r="X2615" s="42"/>
      <c r="Y2615" s="42"/>
      <c r="Z2615" s="42"/>
      <c r="AA2615" s="42"/>
      <c r="AB2615" s="42"/>
      <c r="AC2615" s="42"/>
      <c r="AD2615" s="42"/>
      <c r="AE2615" s="42"/>
      <c r="AF2615" s="42"/>
    </row>
    <row r="2616">
      <c r="A2616" s="25"/>
      <c r="B2616" s="297"/>
      <c r="C2616" s="25"/>
      <c r="D2616" s="25"/>
      <c r="E2616" s="25"/>
      <c r="F2616" s="25"/>
      <c r="G2616" s="123"/>
      <c r="H2616" s="123"/>
      <c r="I2616" s="25"/>
      <c r="J2616" s="25"/>
      <c r="K2616" s="367"/>
      <c r="L2616" s="42"/>
      <c r="M2616" s="42"/>
      <c r="N2616" s="42"/>
      <c r="O2616" s="42"/>
      <c r="P2616" s="42"/>
      <c r="Q2616" s="42"/>
      <c r="R2616" s="176"/>
      <c r="S2616" s="42"/>
      <c r="T2616" s="42"/>
      <c r="U2616" s="46"/>
      <c r="V2616" s="42"/>
      <c r="W2616" s="42"/>
      <c r="X2616" s="42"/>
      <c r="Y2616" s="42"/>
      <c r="Z2616" s="42"/>
      <c r="AA2616" s="42"/>
      <c r="AB2616" s="42"/>
      <c r="AC2616" s="42"/>
      <c r="AD2616" s="42"/>
      <c r="AE2616" s="42"/>
      <c r="AF2616" s="42"/>
    </row>
    <row r="2617">
      <c r="A2617" s="25"/>
      <c r="B2617" s="297"/>
      <c r="C2617" s="25"/>
      <c r="D2617" s="25"/>
      <c r="E2617" s="25"/>
      <c r="F2617" s="25"/>
      <c r="G2617" s="123"/>
      <c r="H2617" s="123"/>
      <c r="I2617" s="25"/>
      <c r="J2617" s="25"/>
      <c r="K2617" s="367"/>
      <c r="L2617" s="42"/>
      <c r="M2617" s="42"/>
      <c r="N2617" s="42"/>
      <c r="O2617" s="42"/>
      <c r="P2617" s="42"/>
      <c r="Q2617" s="42"/>
      <c r="R2617" s="176"/>
      <c r="S2617" s="42"/>
      <c r="T2617" s="42"/>
      <c r="U2617" s="46"/>
      <c r="V2617" s="42"/>
      <c r="W2617" s="42"/>
      <c r="X2617" s="42"/>
      <c r="Y2617" s="42"/>
      <c r="Z2617" s="42"/>
      <c r="AA2617" s="42"/>
      <c r="AB2617" s="42"/>
      <c r="AC2617" s="42"/>
      <c r="AD2617" s="42"/>
      <c r="AE2617" s="42"/>
      <c r="AF2617" s="42"/>
    </row>
    <row r="2618">
      <c r="A2618" s="25"/>
      <c r="B2618" s="297"/>
      <c r="C2618" s="25"/>
      <c r="D2618" s="25"/>
      <c r="E2618" s="25"/>
      <c r="F2618" s="25"/>
      <c r="G2618" s="123"/>
      <c r="H2618" s="123"/>
      <c r="I2618" s="25"/>
      <c r="J2618" s="25"/>
      <c r="K2618" s="367"/>
      <c r="L2618" s="42"/>
      <c r="M2618" s="42"/>
      <c r="N2618" s="42"/>
      <c r="O2618" s="42"/>
      <c r="P2618" s="42"/>
      <c r="Q2618" s="42"/>
      <c r="R2618" s="176"/>
      <c r="S2618" s="42"/>
      <c r="T2618" s="42"/>
      <c r="U2618" s="46"/>
      <c r="V2618" s="42"/>
      <c r="W2618" s="42"/>
      <c r="X2618" s="42"/>
      <c r="Y2618" s="42"/>
      <c r="Z2618" s="42"/>
      <c r="AA2618" s="42"/>
      <c r="AB2618" s="42"/>
      <c r="AC2618" s="42"/>
      <c r="AD2618" s="42"/>
      <c r="AE2618" s="42"/>
      <c r="AF2618" s="42"/>
    </row>
    <row r="2619">
      <c r="A2619" s="25"/>
      <c r="B2619" s="297"/>
      <c r="C2619" s="25"/>
      <c r="D2619" s="25"/>
      <c r="E2619" s="25"/>
      <c r="F2619" s="25"/>
      <c r="G2619" s="123"/>
      <c r="H2619" s="123"/>
      <c r="I2619" s="25"/>
      <c r="J2619" s="25"/>
      <c r="K2619" s="367"/>
      <c r="L2619" s="42"/>
      <c r="M2619" s="42"/>
      <c r="N2619" s="42"/>
      <c r="O2619" s="42"/>
      <c r="P2619" s="42"/>
      <c r="Q2619" s="42"/>
      <c r="R2619" s="176"/>
      <c r="S2619" s="42"/>
      <c r="T2619" s="42"/>
      <c r="U2619" s="46"/>
      <c r="V2619" s="42"/>
      <c r="W2619" s="42"/>
      <c r="X2619" s="42"/>
      <c r="Y2619" s="42"/>
      <c r="Z2619" s="42"/>
      <c r="AA2619" s="42"/>
      <c r="AB2619" s="42"/>
      <c r="AC2619" s="42"/>
      <c r="AD2619" s="42"/>
      <c r="AE2619" s="42"/>
      <c r="AF2619" s="42"/>
    </row>
    <row r="2620">
      <c r="A2620" s="25"/>
      <c r="B2620" s="297"/>
      <c r="C2620" s="25"/>
      <c r="D2620" s="25"/>
      <c r="E2620" s="25"/>
      <c r="F2620" s="25"/>
      <c r="G2620" s="123"/>
      <c r="H2620" s="123"/>
      <c r="I2620" s="25"/>
      <c r="J2620" s="25"/>
      <c r="K2620" s="367"/>
      <c r="L2620" s="42"/>
      <c r="M2620" s="42"/>
      <c r="N2620" s="42"/>
      <c r="O2620" s="42"/>
      <c r="P2620" s="42"/>
      <c r="Q2620" s="42"/>
      <c r="R2620" s="176"/>
      <c r="S2620" s="42"/>
      <c r="T2620" s="42"/>
      <c r="U2620" s="46"/>
      <c r="V2620" s="42"/>
      <c r="W2620" s="42"/>
      <c r="X2620" s="42"/>
      <c r="Y2620" s="42"/>
      <c r="Z2620" s="42"/>
      <c r="AA2620" s="42"/>
      <c r="AB2620" s="42"/>
      <c r="AC2620" s="42"/>
      <c r="AD2620" s="42"/>
      <c r="AE2620" s="42"/>
      <c r="AF2620" s="42"/>
    </row>
    <row r="2621">
      <c r="A2621" s="25"/>
      <c r="B2621" s="297"/>
      <c r="C2621" s="25"/>
      <c r="D2621" s="25"/>
      <c r="E2621" s="25"/>
      <c r="F2621" s="25"/>
      <c r="G2621" s="123"/>
      <c r="H2621" s="123"/>
      <c r="I2621" s="25"/>
      <c r="J2621" s="25"/>
      <c r="K2621" s="367"/>
      <c r="L2621" s="42"/>
      <c r="M2621" s="42"/>
      <c r="N2621" s="42"/>
      <c r="O2621" s="42"/>
      <c r="P2621" s="42"/>
      <c r="Q2621" s="42"/>
      <c r="R2621" s="176"/>
      <c r="S2621" s="42"/>
      <c r="T2621" s="42"/>
      <c r="U2621" s="46"/>
      <c r="V2621" s="42"/>
      <c r="W2621" s="42"/>
      <c r="X2621" s="42"/>
      <c r="Y2621" s="42"/>
      <c r="Z2621" s="42"/>
      <c r="AA2621" s="42"/>
      <c r="AB2621" s="42"/>
      <c r="AC2621" s="42"/>
      <c r="AD2621" s="42"/>
      <c r="AE2621" s="42"/>
      <c r="AF2621" s="42"/>
    </row>
    <row r="2622">
      <c r="A2622" s="25"/>
      <c r="B2622" s="297"/>
      <c r="C2622" s="25"/>
      <c r="D2622" s="25"/>
      <c r="E2622" s="25"/>
      <c r="F2622" s="25"/>
      <c r="G2622" s="123"/>
      <c r="H2622" s="123"/>
      <c r="I2622" s="25"/>
      <c r="J2622" s="25"/>
      <c r="K2622" s="367"/>
      <c r="L2622" s="42"/>
      <c r="M2622" s="42"/>
      <c r="N2622" s="42"/>
      <c r="O2622" s="42"/>
      <c r="P2622" s="42"/>
      <c r="Q2622" s="42"/>
      <c r="R2622" s="176"/>
      <c r="S2622" s="42"/>
      <c r="T2622" s="42"/>
      <c r="U2622" s="46"/>
      <c r="V2622" s="42"/>
      <c r="W2622" s="42"/>
      <c r="X2622" s="42"/>
      <c r="Y2622" s="42"/>
      <c r="Z2622" s="42"/>
      <c r="AA2622" s="42"/>
      <c r="AB2622" s="42"/>
      <c r="AC2622" s="42"/>
      <c r="AD2622" s="42"/>
      <c r="AE2622" s="42"/>
      <c r="AF2622" s="42"/>
    </row>
    <row r="2623">
      <c r="A2623" s="25"/>
      <c r="B2623" s="297"/>
      <c r="C2623" s="25"/>
      <c r="D2623" s="25"/>
      <c r="E2623" s="25"/>
      <c r="F2623" s="25"/>
      <c r="G2623" s="123"/>
      <c r="H2623" s="123"/>
      <c r="I2623" s="25"/>
      <c r="J2623" s="25"/>
      <c r="K2623" s="367"/>
      <c r="L2623" s="42"/>
      <c r="M2623" s="42"/>
      <c r="N2623" s="42"/>
      <c r="O2623" s="42"/>
      <c r="P2623" s="42"/>
      <c r="Q2623" s="42"/>
      <c r="R2623" s="176"/>
      <c r="S2623" s="42"/>
      <c r="T2623" s="42"/>
      <c r="U2623" s="46"/>
      <c r="V2623" s="42"/>
      <c r="W2623" s="42"/>
      <c r="X2623" s="42"/>
      <c r="Y2623" s="42"/>
      <c r="Z2623" s="42"/>
      <c r="AA2623" s="42"/>
      <c r="AB2623" s="42"/>
      <c r="AC2623" s="42"/>
      <c r="AD2623" s="42"/>
      <c r="AE2623" s="42"/>
      <c r="AF2623" s="42"/>
    </row>
    <row r="2624">
      <c r="A2624" s="25"/>
      <c r="B2624" s="297"/>
      <c r="C2624" s="25"/>
      <c r="D2624" s="25"/>
      <c r="E2624" s="25"/>
      <c r="F2624" s="25"/>
      <c r="G2624" s="123"/>
      <c r="H2624" s="123"/>
      <c r="I2624" s="25"/>
      <c r="J2624" s="25"/>
      <c r="K2624" s="367"/>
      <c r="L2624" s="42"/>
      <c r="M2624" s="42"/>
      <c r="N2624" s="42"/>
      <c r="O2624" s="42"/>
      <c r="P2624" s="42"/>
      <c r="Q2624" s="42"/>
      <c r="R2624" s="176"/>
      <c r="S2624" s="42"/>
      <c r="T2624" s="42"/>
      <c r="U2624" s="46"/>
      <c r="V2624" s="42"/>
      <c r="W2624" s="42"/>
      <c r="X2624" s="42"/>
      <c r="Y2624" s="42"/>
      <c r="Z2624" s="42"/>
      <c r="AA2624" s="42"/>
      <c r="AB2624" s="42"/>
      <c r="AC2624" s="42"/>
      <c r="AD2624" s="42"/>
      <c r="AE2624" s="42"/>
      <c r="AF2624" s="42"/>
    </row>
    <row r="2625">
      <c r="A2625" s="25"/>
      <c r="B2625" s="297"/>
      <c r="C2625" s="25"/>
      <c r="D2625" s="25"/>
      <c r="E2625" s="25"/>
      <c r="F2625" s="25"/>
      <c r="G2625" s="123"/>
      <c r="H2625" s="123"/>
      <c r="I2625" s="25"/>
      <c r="J2625" s="25"/>
      <c r="K2625" s="367"/>
      <c r="L2625" s="42"/>
      <c r="M2625" s="42"/>
      <c r="N2625" s="42"/>
      <c r="O2625" s="42"/>
      <c r="P2625" s="42"/>
      <c r="Q2625" s="42"/>
      <c r="R2625" s="176"/>
      <c r="S2625" s="42"/>
      <c r="T2625" s="42"/>
      <c r="U2625" s="46"/>
      <c r="V2625" s="42"/>
      <c r="W2625" s="42"/>
      <c r="X2625" s="42"/>
      <c r="Y2625" s="42"/>
      <c r="Z2625" s="42"/>
      <c r="AA2625" s="42"/>
      <c r="AB2625" s="42"/>
      <c r="AC2625" s="42"/>
      <c r="AD2625" s="42"/>
      <c r="AE2625" s="42"/>
      <c r="AF2625" s="42"/>
    </row>
    <row r="2626">
      <c r="A2626" s="25"/>
      <c r="B2626" s="297"/>
      <c r="C2626" s="25"/>
      <c r="D2626" s="25"/>
      <c r="E2626" s="25"/>
      <c r="F2626" s="25"/>
      <c r="G2626" s="123"/>
      <c r="H2626" s="123"/>
      <c r="I2626" s="25"/>
      <c r="J2626" s="25"/>
      <c r="K2626" s="367"/>
      <c r="L2626" s="42"/>
      <c r="M2626" s="42"/>
      <c r="N2626" s="42"/>
      <c r="O2626" s="42"/>
      <c r="P2626" s="42"/>
      <c r="Q2626" s="42"/>
      <c r="R2626" s="176"/>
      <c r="S2626" s="42"/>
      <c r="T2626" s="42"/>
      <c r="U2626" s="46"/>
      <c r="V2626" s="42"/>
      <c r="W2626" s="42"/>
      <c r="X2626" s="42"/>
      <c r="Y2626" s="42"/>
      <c r="Z2626" s="42"/>
      <c r="AA2626" s="42"/>
      <c r="AB2626" s="42"/>
      <c r="AC2626" s="42"/>
      <c r="AD2626" s="42"/>
      <c r="AE2626" s="42"/>
      <c r="AF2626" s="42"/>
    </row>
    <row r="2627">
      <c r="A2627" s="25"/>
      <c r="B2627" s="297"/>
      <c r="C2627" s="25"/>
      <c r="D2627" s="25"/>
      <c r="E2627" s="25"/>
      <c r="F2627" s="25"/>
      <c r="G2627" s="123"/>
      <c r="H2627" s="123"/>
      <c r="I2627" s="25"/>
      <c r="J2627" s="25"/>
      <c r="K2627" s="367"/>
      <c r="L2627" s="42"/>
      <c r="M2627" s="42"/>
      <c r="N2627" s="42"/>
      <c r="O2627" s="42"/>
      <c r="P2627" s="42"/>
      <c r="Q2627" s="42"/>
      <c r="R2627" s="176"/>
      <c r="S2627" s="42"/>
      <c r="T2627" s="42"/>
      <c r="U2627" s="46"/>
      <c r="V2627" s="42"/>
      <c r="W2627" s="42"/>
      <c r="X2627" s="42"/>
      <c r="Y2627" s="42"/>
      <c r="Z2627" s="42"/>
      <c r="AA2627" s="42"/>
      <c r="AB2627" s="42"/>
      <c r="AC2627" s="42"/>
      <c r="AD2627" s="42"/>
      <c r="AE2627" s="42"/>
      <c r="AF2627" s="42"/>
    </row>
    <row r="2628">
      <c r="A2628" s="25"/>
      <c r="B2628" s="297"/>
      <c r="C2628" s="25"/>
      <c r="D2628" s="25"/>
      <c r="E2628" s="25"/>
      <c r="F2628" s="25"/>
      <c r="G2628" s="123"/>
      <c r="H2628" s="123"/>
      <c r="I2628" s="25"/>
      <c r="J2628" s="25"/>
      <c r="K2628" s="367"/>
      <c r="L2628" s="42"/>
      <c r="M2628" s="42"/>
      <c r="N2628" s="42"/>
      <c r="O2628" s="42"/>
      <c r="P2628" s="42"/>
      <c r="Q2628" s="42"/>
      <c r="R2628" s="176"/>
      <c r="S2628" s="42"/>
      <c r="T2628" s="42"/>
      <c r="U2628" s="46"/>
      <c r="V2628" s="42"/>
      <c r="W2628" s="42"/>
      <c r="X2628" s="42"/>
      <c r="Y2628" s="42"/>
      <c r="Z2628" s="42"/>
      <c r="AA2628" s="42"/>
      <c r="AB2628" s="42"/>
      <c r="AC2628" s="42"/>
      <c r="AD2628" s="42"/>
      <c r="AE2628" s="42"/>
      <c r="AF2628" s="42"/>
    </row>
    <row r="2629">
      <c r="A2629" s="25"/>
      <c r="B2629" s="297"/>
      <c r="C2629" s="25"/>
      <c r="D2629" s="25"/>
      <c r="E2629" s="25"/>
      <c r="F2629" s="25"/>
      <c r="G2629" s="123"/>
      <c r="H2629" s="123"/>
      <c r="I2629" s="25"/>
      <c r="J2629" s="25"/>
      <c r="K2629" s="367"/>
      <c r="L2629" s="42"/>
      <c r="M2629" s="42"/>
      <c r="N2629" s="42"/>
      <c r="O2629" s="42"/>
      <c r="P2629" s="42"/>
      <c r="Q2629" s="42"/>
      <c r="R2629" s="176"/>
      <c r="S2629" s="42"/>
      <c r="T2629" s="42"/>
      <c r="U2629" s="46"/>
      <c r="V2629" s="42"/>
      <c r="W2629" s="42"/>
      <c r="X2629" s="42"/>
      <c r="Y2629" s="42"/>
      <c r="Z2629" s="42"/>
      <c r="AA2629" s="42"/>
      <c r="AB2629" s="42"/>
      <c r="AC2629" s="42"/>
      <c r="AD2629" s="42"/>
      <c r="AE2629" s="42"/>
      <c r="AF2629" s="42"/>
    </row>
    <row r="2630">
      <c r="A2630" s="25"/>
      <c r="B2630" s="297"/>
      <c r="C2630" s="25"/>
      <c r="D2630" s="25"/>
      <c r="E2630" s="25"/>
      <c r="F2630" s="25"/>
      <c r="G2630" s="123"/>
      <c r="H2630" s="123"/>
      <c r="I2630" s="25"/>
      <c r="J2630" s="25"/>
      <c r="K2630" s="367"/>
      <c r="L2630" s="42"/>
      <c r="M2630" s="42"/>
      <c r="N2630" s="42"/>
      <c r="O2630" s="42"/>
      <c r="P2630" s="42"/>
      <c r="Q2630" s="42"/>
      <c r="R2630" s="176"/>
      <c r="S2630" s="42"/>
      <c r="T2630" s="42"/>
      <c r="U2630" s="46"/>
      <c r="V2630" s="42"/>
      <c r="W2630" s="42"/>
      <c r="X2630" s="42"/>
      <c r="Y2630" s="42"/>
      <c r="Z2630" s="42"/>
      <c r="AA2630" s="42"/>
      <c r="AB2630" s="42"/>
      <c r="AC2630" s="42"/>
      <c r="AD2630" s="42"/>
      <c r="AE2630" s="42"/>
      <c r="AF2630" s="42"/>
    </row>
    <row r="2631">
      <c r="A2631" s="25"/>
      <c r="B2631" s="297"/>
      <c r="C2631" s="25"/>
      <c r="D2631" s="25"/>
      <c r="E2631" s="25"/>
      <c r="F2631" s="25"/>
      <c r="G2631" s="123"/>
      <c r="H2631" s="123"/>
      <c r="I2631" s="25"/>
      <c r="J2631" s="25"/>
      <c r="K2631" s="367"/>
      <c r="L2631" s="42"/>
      <c r="M2631" s="42"/>
      <c r="N2631" s="42"/>
      <c r="O2631" s="42"/>
      <c r="P2631" s="42"/>
      <c r="Q2631" s="42"/>
      <c r="R2631" s="176"/>
      <c r="S2631" s="42"/>
      <c r="T2631" s="42"/>
      <c r="U2631" s="46"/>
      <c r="V2631" s="42"/>
      <c r="W2631" s="42"/>
      <c r="X2631" s="42"/>
      <c r="Y2631" s="42"/>
      <c r="Z2631" s="42"/>
      <c r="AA2631" s="42"/>
      <c r="AB2631" s="42"/>
      <c r="AC2631" s="42"/>
      <c r="AD2631" s="42"/>
      <c r="AE2631" s="42"/>
      <c r="AF2631" s="42"/>
    </row>
    <row r="2632">
      <c r="A2632" s="25"/>
      <c r="B2632" s="297"/>
      <c r="C2632" s="25"/>
      <c r="D2632" s="25"/>
      <c r="E2632" s="25"/>
      <c r="F2632" s="25"/>
      <c r="G2632" s="123"/>
      <c r="H2632" s="123"/>
      <c r="I2632" s="25"/>
      <c r="J2632" s="25"/>
      <c r="K2632" s="367"/>
      <c r="L2632" s="42"/>
      <c r="M2632" s="42"/>
      <c r="N2632" s="42"/>
      <c r="O2632" s="42"/>
      <c r="P2632" s="42"/>
      <c r="Q2632" s="42"/>
      <c r="R2632" s="176"/>
      <c r="S2632" s="42"/>
      <c r="T2632" s="42"/>
      <c r="U2632" s="46"/>
      <c r="V2632" s="42"/>
      <c r="W2632" s="42"/>
      <c r="X2632" s="42"/>
      <c r="Y2632" s="42"/>
      <c r="Z2632" s="42"/>
      <c r="AA2632" s="42"/>
      <c r="AB2632" s="42"/>
      <c r="AC2632" s="42"/>
      <c r="AD2632" s="42"/>
      <c r="AE2632" s="42"/>
      <c r="AF2632" s="42"/>
    </row>
    <row r="2633">
      <c r="A2633" s="25"/>
      <c r="B2633" s="297"/>
      <c r="C2633" s="25"/>
      <c r="D2633" s="25"/>
      <c r="E2633" s="25"/>
      <c r="F2633" s="25"/>
      <c r="G2633" s="123"/>
      <c r="H2633" s="123"/>
      <c r="I2633" s="25"/>
      <c r="J2633" s="25"/>
      <c r="K2633" s="367"/>
      <c r="L2633" s="42"/>
      <c r="M2633" s="42"/>
      <c r="N2633" s="42"/>
      <c r="O2633" s="42"/>
      <c r="P2633" s="42"/>
      <c r="Q2633" s="42"/>
      <c r="R2633" s="176"/>
      <c r="S2633" s="42"/>
      <c r="T2633" s="42"/>
      <c r="U2633" s="46"/>
      <c r="V2633" s="42"/>
      <c r="W2633" s="42"/>
      <c r="X2633" s="42"/>
      <c r="Y2633" s="42"/>
      <c r="Z2633" s="42"/>
      <c r="AA2633" s="42"/>
      <c r="AB2633" s="42"/>
      <c r="AC2633" s="42"/>
      <c r="AD2633" s="42"/>
      <c r="AE2633" s="42"/>
      <c r="AF2633" s="42"/>
    </row>
    <row r="2634">
      <c r="A2634" s="25"/>
      <c r="B2634" s="297"/>
      <c r="C2634" s="25"/>
      <c r="D2634" s="25"/>
      <c r="E2634" s="25"/>
      <c r="F2634" s="25"/>
      <c r="G2634" s="123"/>
      <c r="H2634" s="123"/>
      <c r="I2634" s="25"/>
      <c r="J2634" s="25"/>
      <c r="K2634" s="367"/>
      <c r="L2634" s="42"/>
      <c r="M2634" s="42"/>
      <c r="N2634" s="42"/>
      <c r="O2634" s="42"/>
      <c r="P2634" s="42"/>
      <c r="Q2634" s="42"/>
      <c r="R2634" s="176"/>
      <c r="S2634" s="42"/>
      <c r="T2634" s="42"/>
      <c r="U2634" s="46"/>
      <c r="V2634" s="42"/>
      <c r="W2634" s="42"/>
      <c r="X2634" s="42"/>
      <c r="Y2634" s="42"/>
      <c r="Z2634" s="42"/>
      <c r="AA2634" s="42"/>
      <c r="AB2634" s="42"/>
      <c r="AC2634" s="42"/>
      <c r="AD2634" s="42"/>
      <c r="AE2634" s="42"/>
      <c r="AF2634" s="42"/>
    </row>
    <row r="2635">
      <c r="A2635" s="25"/>
      <c r="B2635" s="297"/>
      <c r="C2635" s="25"/>
      <c r="D2635" s="25"/>
      <c r="E2635" s="25"/>
      <c r="F2635" s="25"/>
      <c r="G2635" s="123"/>
      <c r="H2635" s="123"/>
      <c r="I2635" s="25"/>
      <c r="J2635" s="25"/>
      <c r="K2635" s="367"/>
      <c r="L2635" s="42"/>
      <c r="M2635" s="42"/>
      <c r="N2635" s="42"/>
      <c r="O2635" s="42"/>
      <c r="P2635" s="42"/>
      <c r="Q2635" s="42"/>
      <c r="R2635" s="176"/>
      <c r="S2635" s="42"/>
      <c r="T2635" s="42"/>
      <c r="U2635" s="46"/>
      <c r="V2635" s="42"/>
      <c r="W2635" s="42"/>
      <c r="X2635" s="42"/>
      <c r="Y2635" s="42"/>
      <c r="Z2635" s="42"/>
      <c r="AA2635" s="42"/>
      <c r="AB2635" s="42"/>
      <c r="AC2635" s="42"/>
      <c r="AD2635" s="42"/>
      <c r="AE2635" s="42"/>
      <c r="AF2635" s="42"/>
    </row>
    <row r="2636">
      <c r="A2636" s="25"/>
      <c r="B2636" s="297"/>
      <c r="C2636" s="25"/>
      <c r="D2636" s="25"/>
      <c r="E2636" s="25"/>
      <c r="F2636" s="25"/>
      <c r="G2636" s="123"/>
      <c r="H2636" s="123"/>
      <c r="I2636" s="25"/>
      <c r="J2636" s="25"/>
      <c r="K2636" s="367"/>
      <c r="L2636" s="42"/>
      <c r="M2636" s="42"/>
      <c r="N2636" s="42"/>
      <c r="O2636" s="42"/>
      <c r="P2636" s="42"/>
      <c r="Q2636" s="42"/>
      <c r="R2636" s="176"/>
      <c r="S2636" s="42"/>
      <c r="T2636" s="42"/>
      <c r="U2636" s="46"/>
      <c r="V2636" s="42"/>
      <c r="W2636" s="42"/>
      <c r="X2636" s="42"/>
      <c r="Y2636" s="42"/>
      <c r="Z2636" s="42"/>
      <c r="AA2636" s="42"/>
      <c r="AB2636" s="42"/>
      <c r="AC2636" s="42"/>
      <c r="AD2636" s="42"/>
      <c r="AE2636" s="42"/>
      <c r="AF2636" s="42"/>
    </row>
    <row r="2637">
      <c r="A2637" s="25"/>
      <c r="B2637" s="297"/>
      <c r="C2637" s="25"/>
      <c r="D2637" s="25"/>
      <c r="E2637" s="25"/>
      <c r="F2637" s="25"/>
      <c r="G2637" s="123"/>
      <c r="H2637" s="123"/>
      <c r="I2637" s="25"/>
      <c r="J2637" s="25"/>
      <c r="K2637" s="367"/>
      <c r="L2637" s="42"/>
      <c r="M2637" s="42"/>
      <c r="N2637" s="42"/>
      <c r="O2637" s="42"/>
      <c r="P2637" s="42"/>
      <c r="Q2637" s="42"/>
      <c r="R2637" s="176"/>
      <c r="S2637" s="42"/>
      <c r="T2637" s="42"/>
      <c r="U2637" s="46"/>
      <c r="V2637" s="42"/>
      <c r="W2637" s="42"/>
      <c r="X2637" s="42"/>
      <c r="Y2637" s="42"/>
      <c r="Z2637" s="42"/>
      <c r="AA2637" s="42"/>
      <c r="AB2637" s="42"/>
      <c r="AC2637" s="42"/>
      <c r="AD2637" s="42"/>
      <c r="AE2637" s="42"/>
      <c r="AF2637" s="42"/>
    </row>
    <row r="2638">
      <c r="A2638" s="25"/>
      <c r="B2638" s="297"/>
      <c r="C2638" s="25"/>
      <c r="D2638" s="25"/>
      <c r="E2638" s="25"/>
      <c r="F2638" s="25"/>
      <c r="G2638" s="123"/>
      <c r="H2638" s="123"/>
      <c r="I2638" s="25"/>
      <c r="J2638" s="25"/>
      <c r="K2638" s="367"/>
      <c r="L2638" s="42"/>
      <c r="M2638" s="42"/>
      <c r="N2638" s="42"/>
      <c r="O2638" s="42"/>
      <c r="P2638" s="42"/>
      <c r="Q2638" s="42"/>
      <c r="R2638" s="176"/>
      <c r="S2638" s="42"/>
      <c r="T2638" s="42"/>
      <c r="U2638" s="46"/>
      <c r="V2638" s="42"/>
      <c r="W2638" s="42"/>
      <c r="X2638" s="42"/>
      <c r="Y2638" s="42"/>
      <c r="Z2638" s="42"/>
      <c r="AA2638" s="42"/>
      <c r="AB2638" s="42"/>
      <c r="AC2638" s="42"/>
      <c r="AD2638" s="42"/>
      <c r="AE2638" s="42"/>
      <c r="AF2638" s="42"/>
    </row>
    <row r="2639">
      <c r="A2639" s="25"/>
      <c r="B2639" s="297"/>
      <c r="C2639" s="25"/>
      <c r="D2639" s="25"/>
      <c r="E2639" s="25"/>
      <c r="F2639" s="25"/>
      <c r="G2639" s="123"/>
      <c r="H2639" s="123"/>
      <c r="I2639" s="25"/>
      <c r="J2639" s="25"/>
      <c r="K2639" s="367"/>
      <c r="L2639" s="42"/>
      <c r="M2639" s="42"/>
      <c r="N2639" s="42"/>
      <c r="O2639" s="42"/>
      <c r="P2639" s="42"/>
      <c r="Q2639" s="42"/>
      <c r="R2639" s="176"/>
      <c r="S2639" s="42"/>
      <c r="T2639" s="42"/>
      <c r="U2639" s="46"/>
      <c r="V2639" s="42"/>
      <c r="W2639" s="42"/>
      <c r="X2639" s="42"/>
      <c r="Y2639" s="42"/>
      <c r="Z2639" s="42"/>
      <c r="AA2639" s="42"/>
      <c r="AB2639" s="42"/>
      <c r="AC2639" s="42"/>
      <c r="AD2639" s="42"/>
      <c r="AE2639" s="42"/>
      <c r="AF2639" s="42"/>
    </row>
    <row r="2640">
      <c r="A2640" s="25"/>
      <c r="B2640" s="297"/>
      <c r="C2640" s="25"/>
      <c r="D2640" s="25"/>
      <c r="E2640" s="25"/>
      <c r="F2640" s="25"/>
      <c r="G2640" s="123"/>
      <c r="H2640" s="123"/>
      <c r="I2640" s="25"/>
      <c r="J2640" s="25"/>
      <c r="K2640" s="367"/>
      <c r="L2640" s="42"/>
      <c r="M2640" s="42"/>
      <c r="N2640" s="42"/>
      <c r="O2640" s="42"/>
      <c r="P2640" s="42"/>
      <c r="Q2640" s="42"/>
      <c r="R2640" s="176"/>
      <c r="S2640" s="42"/>
      <c r="T2640" s="42"/>
      <c r="U2640" s="46"/>
      <c r="V2640" s="42"/>
      <c r="W2640" s="42"/>
      <c r="X2640" s="42"/>
      <c r="Y2640" s="42"/>
      <c r="Z2640" s="42"/>
      <c r="AA2640" s="42"/>
      <c r="AB2640" s="42"/>
      <c r="AC2640" s="42"/>
      <c r="AD2640" s="42"/>
      <c r="AE2640" s="42"/>
      <c r="AF2640" s="42"/>
    </row>
    <row r="2641">
      <c r="A2641" s="25"/>
      <c r="B2641" s="297"/>
      <c r="C2641" s="25"/>
      <c r="D2641" s="25"/>
      <c r="E2641" s="25"/>
      <c r="F2641" s="25"/>
      <c r="G2641" s="123"/>
      <c r="H2641" s="123"/>
      <c r="I2641" s="25"/>
      <c r="J2641" s="25"/>
      <c r="K2641" s="367"/>
      <c r="L2641" s="42"/>
      <c r="M2641" s="42"/>
      <c r="N2641" s="42"/>
      <c r="O2641" s="42"/>
      <c r="P2641" s="42"/>
      <c r="Q2641" s="42"/>
      <c r="R2641" s="176"/>
      <c r="S2641" s="42"/>
      <c r="T2641" s="42"/>
      <c r="U2641" s="46"/>
      <c r="V2641" s="42"/>
      <c r="W2641" s="42"/>
      <c r="X2641" s="42"/>
      <c r="Y2641" s="42"/>
      <c r="Z2641" s="42"/>
      <c r="AA2641" s="42"/>
      <c r="AB2641" s="42"/>
      <c r="AC2641" s="42"/>
      <c r="AD2641" s="42"/>
      <c r="AE2641" s="42"/>
      <c r="AF2641" s="42"/>
    </row>
    <row r="2642">
      <c r="A2642" s="25"/>
      <c r="B2642" s="297"/>
      <c r="C2642" s="25"/>
      <c r="D2642" s="25"/>
      <c r="E2642" s="25"/>
      <c r="F2642" s="25"/>
      <c r="G2642" s="123"/>
      <c r="H2642" s="123"/>
      <c r="I2642" s="25"/>
      <c r="J2642" s="25"/>
      <c r="K2642" s="367"/>
      <c r="L2642" s="42"/>
      <c r="M2642" s="42"/>
      <c r="N2642" s="42"/>
      <c r="O2642" s="42"/>
      <c r="P2642" s="42"/>
      <c r="Q2642" s="42"/>
      <c r="R2642" s="176"/>
      <c r="S2642" s="42"/>
      <c r="T2642" s="42"/>
      <c r="U2642" s="46"/>
      <c r="V2642" s="42"/>
      <c r="W2642" s="42"/>
      <c r="X2642" s="42"/>
      <c r="Y2642" s="42"/>
      <c r="Z2642" s="42"/>
      <c r="AA2642" s="42"/>
      <c r="AB2642" s="42"/>
      <c r="AC2642" s="42"/>
      <c r="AD2642" s="42"/>
      <c r="AE2642" s="42"/>
      <c r="AF2642" s="42"/>
    </row>
    <row r="2643">
      <c r="A2643" s="25"/>
      <c r="B2643" s="297"/>
      <c r="C2643" s="25"/>
      <c r="D2643" s="25"/>
      <c r="E2643" s="25"/>
      <c r="F2643" s="25"/>
      <c r="G2643" s="123"/>
      <c r="H2643" s="123"/>
      <c r="I2643" s="25"/>
      <c r="J2643" s="25"/>
      <c r="K2643" s="367"/>
      <c r="L2643" s="42"/>
      <c r="M2643" s="42"/>
      <c r="N2643" s="42"/>
      <c r="O2643" s="42"/>
      <c r="P2643" s="42"/>
      <c r="Q2643" s="42"/>
      <c r="R2643" s="176"/>
      <c r="S2643" s="42"/>
      <c r="T2643" s="42"/>
      <c r="U2643" s="46"/>
      <c r="V2643" s="42"/>
      <c r="W2643" s="42"/>
      <c r="X2643" s="42"/>
      <c r="Y2643" s="42"/>
      <c r="Z2643" s="42"/>
      <c r="AA2643" s="42"/>
      <c r="AB2643" s="42"/>
      <c r="AC2643" s="42"/>
      <c r="AD2643" s="42"/>
      <c r="AE2643" s="42"/>
      <c r="AF2643" s="42"/>
    </row>
    <row r="2644">
      <c r="A2644" s="25"/>
      <c r="B2644" s="297"/>
      <c r="C2644" s="25"/>
      <c r="D2644" s="25"/>
      <c r="E2644" s="25"/>
      <c r="F2644" s="25"/>
      <c r="G2644" s="123"/>
      <c r="H2644" s="123"/>
      <c r="I2644" s="25"/>
      <c r="J2644" s="25"/>
      <c r="K2644" s="367"/>
      <c r="L2644" s="42"/>
      <c r="M2644" s="42"/>
      <c r="N2644" s="42"/>
      <c r="O2644" s="42"/>
      <c r="P2644" s="42"/>
      <c r="Q2644" s="42"/>
      <c r="R2644" s="176"/>
      <c r="S2644" s="42"/>
      <c r="T2644" s="42"/>
      <c r="U2644" s="46"/>
      <c r="V2644" s="42"/>
      <c r="W2644" s="42"/>
      <c r="X2644" s="42"/>
      <c r="Y2644" s="42"/>
      <c r="Z2644" s="42"/>
      <c r="AA2644" s="42"/>
      <c r="AB2644" s="42"/>
      <c r="AC2644" s="42"/>
      <c r="AD2644" s="42"/>
      <c r="AE2644" s="42"/>
      <c r="AF2644" s="42"/>
    </row>
    <row r="2645">
      <c r="A2645" s="25"/>
      <c r="B2645" s="297"/>
      <c r="C2645" s="25"/>
      <c r="D2645" s="25"/>
      <c r="E2645" s="25"/>
      <c r="F2645" s="25"/>
      <c r="G2645" s="123"/>
      <c r="H2645" s="123"/>
      <c r="I2645" s="25"/>
      <c r="J2645" s="25"/>
      <c r="K2645" s="367"/>
      <c r="L2645" s="42"/>
      <c r="M2645" s="42"/>
      <c r="N2645" s="42"/>
      <c r="O2645" s="42"/>
      <c r="P2645" s="42"/>
      <c r="Q2645" s="42"/>
      <c r="R2645" s="176"/>
      <c r="S2645" s="42"/>
      <c r="T2645" s="42"/>
      <c r="U2645" s="46"/>
      <c r="V2645" s="42"/>
      <c r="W2645" s="42"/>
      <c r="X2645" s="42"/>
      <c r="Y2645" s="42"/>
      <c r="Z2645" s="42"/>
      <c r="AA2645" s="42"/>
      <c r="AB2645" s="42"/>
      <c r="AC2645" s="42"/>
      <c r="AD2645" s="42"/>
      <c r="AE2645" s="42"/>
      <c r="AF2645" s="42"/>
    </row>
    <row r="2646">
      <c r="A2646" s="25"/>
      <c r="B2646" s="297"/>
      <c r="C2646" s="25"/>
      <c r="D2646" s="25"/>
      <c r="E2646" s="25"/>
      <c r="F2646" s="25"/>
      <c r="G2646" s="123"/>
      <c r="H2646" s="123"/>
      <c r="I2646" s="25"/>
      <c r="J2646" s="25"/>
      <c r="K2646" s="367"/>
      <c r="L2646" s="42"/>
      <c r="M2646" s="42"/>
      <c r="N2646" s="42"/>
      <c r="O2646" s="42"/>
      <c r="P2646" s="42"/>
      <c r="Q2646" s="42"/>
      <c r="R2646" s="176"/>
      <c r="S2646" s="42"/>
      <c r="T2646" s="42"/>
      <c r="U2646" s="46"/>
      <c r="V2646" s="42"/>
      <c r="W2646" s="42"/>
      <c r="X2646" s="42"/>
      <c r="Y2646" s="42"/>
      <c r="Z2646" s="42"/>
      <c r="AA2646" s="42"/>
      <c r="AB2646" s="42"/>
      <c r="AC2646" s="42"/>
      <c r="AD2646" s="42"/>
      <c r="AE2646" s="42"/>
      <c r="AF2646" s="42"/>
    </row>
    <row r="2647">
      <c r="A2647" s="25"/>
      <c r="B2647" s="297"/>
      <c r="C2647" s="25"/>
      <c r="D2647" s="25"/>
      <c r="E2647" s="25"/>
      <c r="F2647" s="25"/>
      <c r="G2647" s="123"/>
      <c r="H2647" s="123"/>
      <c r="I2647" s="25"/>
      <c r="J2647" s="25"/>
      <c r="K2647" s="367"/>
      <c r="L2647" s="42"/>
      <c r="M2647" s="42"/>
      <c r="N2647" s="42"/>
      <c r="O2647" s="42"/>
      <c r="P2647" s="42"/>
      <c r="Q2647" s="42"/>
      <c r="R2647" s="176"/>
      <c r="S2647" s="42"/>
      <c r="T2647" s="42"/>
      <c r="U2647" s="46"/>
      <c r="V2647" s="42"/>
      <c r="W2647" s="42"/>
      <c r="X2647" s="42"/>
      <c r="Y2647" s="42"/>
      <c r="Z2647" s="42"/>
      <c r="AA2647" s="42"/>
      <c r="AB2647" s="42"/>
      <c r="AC2647" s="42"/>
      <c r="AD2647" s="42"/>
      <c r="AE2647" s="42"/>
      <c r="AF2647" s="42"/>
    </row>
    <row r="2648">
      <c r="A2648" s="25"/>
      <c r="B2648" s="297"/>
      <c r="C2648" s="25"/>
      <c r="D2648" s="25"/>
      <c r="E2648" s="25"/>
      <c r="F2648" s="25"/>
      <c r="G2648" s="123"/>
      <c r="H2648" s="123"/>
      <c r="I2648" s="25"/>
      <c r="J2648" s="25"/>
      <c r="K2648" s="367"/>
      <c r="L2648" s="42"/>
      <c r="M2648" s="42"/>
      <c r="N2648" s="42"/>
      <c r="O2648" s="42"/>
      <c r="P2648" s="42"/>
      <c r="Q2648" s="42"/>
      <c r="R2648" s="176"/>
      <c r="S2648" s="42"/>
      <c r="T2648" s="42"/>
      <c r="U2648" s="46"/>
      <c r="V2648" s="42"/>
      <c r="W2648" s="42"/>
      <c r="X2648" s="42"/>
      <c r="Y2648" s="42"/>
      <c r="Z2648" s="42"/>
      <c r="AA2648" s="42"/>
      <c r="AB2648" s="42"/>
      <c r="AC2648" s="42"/>
      <c r="AD2648" s="42"/>
      <c r="AE2648" s="42"/>
      <c r="AF2648" s="42"/>
    </row>
    <row r="2649">
      <c r="A2649" s="25"/>
      <c r="B2649" s="297"/>
      <c r="C2649" s="25"/>
      <c r="D2649" s="25"/>
      <c r="E2649" s="25"/>
      <c r="F2649" s="25"/>
      <c r="G2649" s="123"/>
      <c r="H2649" s="123"/>
      <c r="I2649" s="25"/>
      <c r="J2649" s="25"/>
      <c r="K2649" s="367"/>
      <c r="L2649" s="42"/>
      <c r="M2649" s="42"/>
      <c r="N2649" s="42"/>
      <c r="O2649" s="42"/>
      <c r="P2649" s="42"/>
      <c r="Q2649" s="42"/>
      <c r="R2649" s="176"/>
      <c r="S2649" s="42"/>
      <c r="T2649" s="42"/>
      <c r="U2649" s="46"/>
      <c r="V2649" s="42"/>
      <c r="W2649" s="42"/>
      <c r="X2649" s="42"/>
      <c r="Y2649" s="42"/>
      <c r="Z2649" s="42"/>
      <c r="AA2649" s="42"/>
      <c r="AB2649" s="42"/>
      <c r="AC2649" s="42"/>
      <c r="AD2649" s="42"/>
      <c r="AE2649" s="42"/>
      <c r="AF2649" s="42"/>
    </row>
    <row r="2650">
      <c r="A2650" s="25"/>
      <c r="B2650" s="297"/>
      <c r="C2650" s="25"/>
      <c r="D2650" s="25"/>
      <c r="E2650" s="25"/>
      <c r="F2650" s="25"/>
      <c r="G2650" s="123"/>
      <c r="H2650" s="123"/>
      <c r="I2650" s="25"/>
      <c r="J2650" s="25"/>
      <c r="K2650" s="367"/>
      <c r="L2650" s="42"/>
      <c r="M2650" s="42"/>
      <c r="N2650" s="42"/>
      <c r="O2650" s="42"/>
      <c r="P2650" s="42"/>
      <c r="Q2650" s="42"/>
      <c r="R2650" s="176"/>
      <c r="S2650" s="42"/>
      <c r="T2650" s="42"/>
      <c r="U2650" s="46"/>
      <c r="V2650" s="42"/>
      <c r="W2650" s="42"/>
      <c r="X2650" s="42"/>
      <c r="Y2650" s="42"/>
      <c r="Z2650" s="42"/>
      <c r="AA2650" s="42"/>
      <c r="AB2650" s="42"/>
      <c r="AC2650" s="42"/>
      <c r="AD2650" s="42"/>
      <c r="AE2650" s="42"/>
      <c r="AF2650" s="42"/>
    </row>
    <row r="2651">
      <c r="A2651" s="25"/>
      <c r="B2651" s="297"/>
      <c r="C2651" s="25"/>
      <c r="D2651" s="25"/>
      <c r="E2651" s="25"/>
      <c r="F2651" s="25"/>
      <c r="G2651" s="123"/>
      <c r="H2651" s="123"/>
      <c r="I2651" s="25"/>
      <c r="J2651" s="25"/>
      <c r="K2651" s="367"/>
      <c r="L2651" s="42"/>
      <c r="M2651" s="42"/>
      <c r="N2651" s="42"/>
      <c r="O2651" s="42"/>
      <c r="P2651" s="42"/>
      <c r="Q2651" s="42"/>
      <c r="R2651" s="176"/>
      <c r="S2651" s="42"/>
      <c r="T2651" s="42"/>
      <c r="U2651" s="46"/>
      <c r="V2651" s="42"/>
      <c r="W2651" s="42"/>
      <c r="X2651" s="42"/>
      <c r="Y2651" s="42"/>
      <c r="Z2651" s="42"/>
      <c r="AA2651" s="42"/>
      <c r="AB2651" s="42"/>
      <c r="AC2651" s="42"/>
      <c r="AD2651" s="42"/>
      <c r="AE2651" s="42"/>
      <c r="AF2651" s="42"/>
    </row>
    <row r="2652">
      <c r="A2652" s="25"/>
      <c r="B2652" s="297"/>
      <c r="C2652" s="25"/>
      <c r="D2652" s="25"/>
      <c r="E2652" s="25"/>
      <c r="F2652" s="25"/>
      <c r="G2652" s="123"/>
      <c r="H2652" s="123"/>
      <c r="I2652" s="25"/>
      <c r="J2652" s="25"/>
      <c r="K2652" s="367"/>
      <c r="L2652" s="42"/>
      <c r="M2652" s="42"/>
      <c r="N2652" s="42"/>
      <c r="O2652" s="42"/>
      <c r="P2652" s="42"/>
      <c r="Q2652" s="42"/>
      <c r="R2652" s="176"/>
      <c r="S2652" s="42"/>
      <c r="T2652" s="42"/>
      <c r="U2652" s="46"/>
      <c r="V2652" s="42"/>
      <c r="W2652" s="42"/>
      <c r="X2652" s="42"/>
      <c r="Y2652" s="42"/>
      <c r="Z2652" s="42"/>
      <c r="AA2652" s="42"/>
      <c r="AB2652" s="42"/>
      <c r="AC2652" s="42"/>
      <c r="AD2652" s="42"/>
      <c r="AE2652" s="42"/>
      <c r="AF2652" s="42"/>
    </row>
    <row r="2653">
      <c r="A2653" s="25"/>
      <c r="B2653" s="297"/>
      <c r="C2653" s="25"/>
      <c r="D2653" s="25"/>
      <c r="E2653" s="25"/>
      <c r="F2653" s="25"/>
      <c r="G2653" s="123"/>
      <c r="H2653" s="123"/>
      <c r="I2653" s="25"/>
      <c r="J2653" s="25"/>
      <c r="K2653" s="367"/>
      <c r="L2653" s="42"/>
      <c r="M2653" s="42"/>
      <c r="N2653" s="42"/>
      <c r="O2653" s="42"/>
      <c r="P2653" s="42"/>
      <c r="Q2653" s="42"/>
      <c r="R2653" s="176"/>
      <c r="S2653" s="42"/>
      <c r="T2653" s="42"/>
      <c r="U2653" s="46"/>
      <c r="V2653" s="42"/>
      <c r="W2653" s="42"/>
      <c r="X2653" s="42"/>
      <c r="Y2653" s="42"/>
      <c r="Z2653" s="42"/>
      <c r="AA2653" s="42"/>
      <c r="AB2653" s="42"/>
      <c r="AC2653" s="42"/>
      <c r="AD2653" s="42"/>
      <c r="AE2653" s="42"/>
      <c r="AF2653" s="42"/>
    </row>
    <row r="2654">
      <c r="A2654" s="25"/>
      <c r="B2654" s="297"/>
      <c r="C2654" s="25"/>
      <c r="D2654" s="25"/>
      <c r="E2654" s="25"/>
      <c r="F2654" s="25"/>
      <c r="G2654" s="123"/>
      <c r="H2654" s="123"/>
      <c r="I2654" s="25"/>
      <c r="J2654" s="25"/>
      <c r="K2654" s="367"/>
      <c r="L2654" s="42"/>
      <c r="M2654" s="42"/>
      <c r="N2654" s="42"/>
      <c r="O2654" s="42"/>
      <c r="P2654" s="42"/>
      <c r="Q2654" s="42"/>
      <c r="R2654" s="176"/>
      <c r="S2654" s="42"/>
      <c r="T2654" s="42"/>
      <c r="U2654" s="46"/>
      <c r="V2654" s="42"/>
      <c r="W2654" s="42"/>
      <c r="X2654" s="42"/>
      <c r="Y2654" s="42"/>
      <c r="Z2654" s="42"/>
      <c r="AA2654" s="42"/>
      <c r="AB2654" s="42"/>
      <c r="AC2654" s="42"/>
      <c r="AD2654" s="42"/>
      <c r="AE2654" s="42"/>
      <c r="AF2654" s="42"/>
    </row>
    <row r="2655">
      <c r="A2655" s="25"/>
      <c r="B2655" s="297"/>
      <c r="C2655" s="25"/>
      <c r="D2655" s="25"/>
      <c r="E2655" s="25"/>
      <c r="F2655" s="25"/>
      <c r="G2655" s="123"/>
      <c r="H2655" s="123"/>
      <c r="I2655" s="25"/>
      <c r="J2655" s="25"/>
      <c r="K2655" s="367"/>
      <c r="L2655" s="42"/>
      <c r="M2655" s="42"/>
      <c r="N2655" s="42"/>
      <c r="O2655" s="42"/>
      <c r="P2655" s="42"/>
      <c r="Q2655" s="42"/>
      <c r="R2655" s="176"/>
      <c r="S2655" s="42"/>
      <c r="T2655" s="42"/>
      <c r="U2655" s="46"/>
      <c r="V2655" s="42"/>
      <c r="W2655" s="42"/>
      <c r="X2655" s="42"/>
      <c r="Y2655" s="42"/>
      <c r="Z2655" s="42"/>
      <c r="AA2655" s="42"/>
      <c r="AB2655" s="42"/>
      <c r="AC2655" s="42"/>
      <c r="AD2655" s="42"/>
      <c r="AE2655" s="42"/>
      <c r="AF2655" s="42"/>
    </row>
    <row r="2656">
      <c r="A2656" s="25"/>
      <c r="B2656" s="297"/>
      <c r="C2656" s="25"/>
      <c r="D2656" s="25"/>
      <c r="E2656" s="25"/>
      <c r="F2656" s="25"/>
      <c r="G2656" s="123"/>
      <c r="H2656" s="123"/>
      <c r="I2656" s="25"/>
      <c r="J2656" s="25"/>
      <c r="K2656" s="367"/>
      <c r="L2656" s="42"/>
      <c r="M2656" s="42"/>
      <c r="N2656" s="42"/>
      <c r="O2656" s="42"/>
      <c r="P2656" s="42"/>
      <c r="Q2656" s="42"/>
      <c r="R2656" s="176"/>
      <c r="S2656" s="42"/>
      <c r="T2656" s="42"/>
      <c r="U2656" s="46"/>
      <c r="V2656" s="42"/>
      <c r="W2656" s="42"/>
      <c r="X2656" s="42"/>
      <c r="Y2656" s="42"/>
      <c r="Z2656" s="42"/>
      <c r="AA2656" s="42"/>
      <c r="AB2656" s="42"/>
      <c r="AC2656" s="42"/>
      <c r="AD2656" s="42"/>
      <c r="AE2656" s="42"/>
      <c r="AF2656" s="42"/>
    </row>
    <row r="2657">
      <c r="A2657" s="25"/>
      <c r="B2657" s="297"/>
      <c r="C2657" s="25"/>
      <c r="D2657" s="25"/>
      <c r="E2657" s="25"/>
      <c r="F2657" s="25"/>
      <c r="G2657" s="123"/>
      <c r="H2657" s="123"/>
      <c r="I2657" s="25"/>
      <c r="J2657" s="25"/>
      <c r="K2657" s="367"/>
      <c r="L2657" s="42"/>
      <c r="M2657" s="42"/>
      <c r="N2657" s="42"/>
      <c r="O2657" s="42"/>
      <c r="P2657" s="42"/>
      <c r="Q2657" s="42"/>
      <c r="R2657" s="176"/>
      <c r="S2657" s="42"/>
      <c r="T2657" s="42"/>
      <c r="U2657" s="46"/>
      <c r="V2657" s="42"/>
      <c r="W2657" s="42"/>
      <c r="X2657" s="42"/>
      <c r="Y2657" s="42"/>
      <c r="Z2657" s="42"/>
      <c r="AA2657" s="42"/>
      <c r="AB2657" s="42"/>
      <c r="AC2657" s="42"/>
      <c r="AD2657" s="42"/>
      <c r="AE2657" s="42"/>
      <c r="AF2657" s="42"/>
    </row>
    <row r="2658">
      <c r="A2658" s="25"/>
      <c r="B2658" s="297"/>
      <c r="C2658" s="25"/>
      <c r="D2658" s="25"/>
      <c r="E2658" s="25"/>
      <c r="F2658" s="25"/>
      <c r="G2658" s="123"/>
      <c r="H2658" s="123"/>
      <c r="I2658" s="25"/>
      <c r="J2658" s="25"/>
      <c r="K2658" s="367"/>
      <c r="L2658" s="42"/>
      <c r="M2658" s="42"/>
      <c r="N2658" s="42"/>
      <c r="O2658" s="42"/>
      <c r="P2658" s="42"/>
      <c r="Q2658" s="42"/>
      <c r="R2658" s="176"/>
      <c r="S2658" s="42"/>
      <c r="T2658" s="42"/>
      <c r="U2658" s="46"/>
      <c r="V2658" s="42"/>
      <c r="W2658" s="42"/>
      <c r="X2658" s="42"/>
      <c r="Y2658" s="42"/>
      <c r="Z2658" s="42"/>
      <c r="AA2658" s="42"/>
      <c r="AB2658" s="42"/>
      <c r="AC2658" s="42"/>
      <c r="AD2658" s="42"/>
      <c r="AE2658" s="42"/>
      <c r="AF2658" s="42"/>
    </row>
    <row r="2659">
      <c r="A2659" s="25"/>
      <c r="B2659" s="297"/>
      <c r="C2659" s="25"/>
      <c r="D2659" s="25"/>
      <c r="E2659" s="25"/>
      <c r="F2659" s="25"/>
      <c r="G2659" s="123"/>
      <c r="H2659" s="123"/>
      <c r="I2659" s="25"/>
      <c r="J2659" s="25"/>
      <c r="K2659" s="367"/>
      <c r="L2659" s="42"/>
      <c r="M2659" s="42"/>
      <c r="N2659" s="42"/>
      <c r="O2659" s="42"/>
      <c r="P2659" s="42"/>
      <c r="Q2659" s="42"/>
      <c r="R2659" s="176"/>
      <c r="S2659" s="42"/>
      <c r="T2659" s="42"/>
      <c r="U2659" s="46"/>
      <c r="V2659" s="42"/>
      <c r="W2659" s="42"/>
      <c r="X2659" s="42"/>
      <c r="Y2659" s="42"/>
      <c r="Z2659" s="42"/>
      <c r="AA2659" s="42"/>
      <c r="AB2659" s="42"/>
      <c r="AC2659" s="42"/>
      <c r="AD2659" s="42"/>
      <c r="AE2659" s="42"/>
      <c r="AF2659" s="42"/>
    </row>
    <row r="2660">
      <c r="A2660" s="25"/>
      <c r="B2660" s="297"/>
      <c r="C2660" s="25"/>
      <c r="D2660" s="25"/>
      <c r="E2660" s="25"/>
      <c r="F2660" s="25"/>
      <c r="G2660" s="123"/>
      <c r="H2660" s="123"/>
      <c r="I2660" s="25"/>
      <c r="J2660" s="25"/>
      <c r="K2660" s="367"/>
      <c r="L2660" s="42"/>
      <c r="M2660" s="42"/>
      <c r="N2660" s="42"/>
      <c r="O2660" s="42"/>
      <c r="P2660" s="42"/>
      <c r="Q2660" s="42"/>
      <c r="R2660" s="176"/>
      <c r="S2660" s="42"/>
      <c r="T2660" s="42"/>
      <c r="U2660" s="46"/>
      <c r="V2660" s="42"/>
      <c r="W2660" s="42"/>
      <c r="X2660" s="42"/>
      <c r="Y2660" s="42"/>
      <c r="Z2660" s="42"/>
      <c r="AA2660" s="42"/>
      <c r="AB2660" s="42"/>
      <c r="AC2660" s="42"/>
      <c r="AD2660" s="42"/>
      <c r="AE2660" s="42"/>
      <c r="AF2660" s="42"/>
    </row>
    <row r="2661">
      <c r="A2661" s="25"/>
      <c r="B2661" s="297"/>
      <c r="C2661" s="25"/>
      <c r="D2661" s="25"/>
      <c r="E2661" s="25"/>
      <c r="F2661" s="25"/>
      <c r="G2661" s="123"/>
      <c r="H2661" s="123"/>
      <c r="I2661" s="25"/>
      <c r="J2661" s="25"/>
      <c r="K2661" s="367"/>
      <c r="L2661" s="42"/>
      <c r="M2661" s="42"/>
      <c r="N2661" s="42"/>
      <c r="O2661" s="42"/>
      <c r="P2661" s="42"/>
      <c r="Q2661" s="42"/>
      <c r="R2661" s="176"/>
      <c r="S2661" s="42"/>
      <c r="T2661" s="42"/>
      <c r="U2661" s="46"/>
      <c r="V2661" s="42"/>
      <c r="W2661" s="42"/>
      <c r="X2661" s="42"/>
      <c r="Y2661" s="42"/>
      <c r="Z2661" s="42"/>
      <c r="AA2661" s="42"/>
      <c r="AB2661" s="42"/>
      <c r="AC2661" s="42"/>
      <c r="AD2661" s="42"/>
      <c r="AE2661" s="42"/>
      <c r="AF2661" s="42"/>
    </row>
    <row r="2662">
      <c r="A2662" s="25"/>
      <c r="B2662" s="297"/>
      <c r="C2662" s="25"/>
      <c r="D2662" s="25"/>
      <c r="E2662" s="25"/>
      <c r="F2662" s="25"/>
      <c r="G2662" s="123"/>
      <c r="H2662" s="123"/>
      <c r="I2662" s="25"/>
      <c r="J2662" s="25"/>
      <c r="K2662" s="367"/>
      <c r="L2662" s="42"/>
      <c r="M2662" s="42"/>
      <c r="N2662" s="42"/>
      <c r="O2662" s="42"/>
      <c r="P2662" s="42"/>
      <c r="Q2662" s="42"/>
      <c r="R2662" s="176"/>
      <c r="S2662" s="42"/>
      <c r="T2662" s="42"/>
      <c r="U2662" s="46"/>
      <c r="V2662" s="42"/>
      <c r="W2662" s="42"/>
      <c r="X2662" s="42"/>
      <c r="Y2662" s="42"/>
      <c r="Z2662" s="42"/>
      <c r="AA2662" s="42"/>
      <c r="AB2662" s="42"/>
      <c r="AC2662" s="42"/>
      <c r="AD2662" s="42"/>
      <c r="AE2662" s="42"/>
      <c r="AF2662" s="42"/>
    </row>
    <row r="2663">
      <c r="A2663" s="25"/>
      <c r="B2663" s="297"/>
      <c r="C2663" s="25"/>
      <c r="D2663" s="25"/>
      <c r="E2663" s="25"/>
      <c r="F2663" s="25"/>
      <c r="G2663" s="123"/>
      <c r="H2663" s="123"/>
      <c r="I2663" s="25"/>
      <c r="J2663" s="25"/>
      <c r="K2663" s="367"/>
      <c r="L2663" s="42"/>
      <c r="M2663" s="42"/>
      <c r="N2663" s="42"/>
      <c r="O2663" s="42"/>
      <c r="P2663" s="42"/>
      <c r="Q2663" s="42"/>
      <c r="R2663" s="176"/>
      <c r="S2663" s="42"/>
      <c r="T2663" s="42"/>
      <c r="U2663" s="46"/>
      <c r="V2663" s="42"/>
      <c r="W2663" s="42"/>
      <c r="X2663" s="42"/>
      <c r="Y2663" s="42"/>
      <c r="Z2663" s="42"/>
      <c r="AA2663" s="42"/>
      <c r="AB2663" s="42"/>
      <c r="AC2663" s="42"/>
      <c r="AD2663" s="42"/>
      <c r="AE2663" s="42"/>
      <c r="AF2663" s="42"/>
    </row>
    <row r="2664">
      <c r="A2664" s="25"/>
      <c r="B2664" s="297"/>
      <c r="C2664" s="25"/>
      <c r="D2664" s="25"/>
      <c r="E2664" s="25"/>
      <c r="F2664" s="25"/>
      <c r="G2664" s="123"/>
      <c r="H2664" s="123"/>
      <c r="I2664" s="25"/>
      <c r="J2664" s="25"/>
      <c r="K2664" s="367"/>
      <c r="L2664" s="42"/>
      <c r="M2664" s="42"/>
      <c r="N2664" s="42"/>
      <c r="O2664" s="42"/>
      <c r="P2664" s="42"/>
      <c r="Q2664" s="42"/>
      <c r="R2664" s="176"/>
      <c r="S2664" s="42"/>
      <c r="T2664" s="42"/>
      <c r="U2664" s="46"/>
      <c r="V2664" s="42"/>
      <c r="W2664" s="42"/>
      <c r="X2664" s="42"/>
      <c r="Y2664" s="42"/>
      <c r="Z2664" s="42"/>
      <c r="AA2664" s="42"/>
      <c r="AB2664" s="42"/>
      <c r="AC2664" s="42"/>
      <c r="AD2664" s="42"/>
      <c r="AE2664" s="42"/>
      <c r="AF2664" s="42"/>
    </row>
    <row r="2665">
      <c r="A2665" s="25"/>
      <c r="B2665" s="297"/>
      <c r="C2665" s="25"/>
      <c r="D2665" s="25"/>
      <c r="E2665" s="25"/>
      <c r="F2665" s="25"/>
      <c r="G2665" s="123"/>
      <c r="H2665" s="123"/>
      <c r="I2665" s="25"/>
      <c r="J2665" s="25"/>
      <c r="K2665" s="367"/>
      <c r="L2665" s="42"/>
      <c r="M2665" s="42"/>
      <c r="N2665" s="42"/>
      <c r="O2665" s="42"/>
      <c r="P2665" s="42"/>
      <c r="Q2665" s="42"/>
      <c r="R2665" s="176"/>
      <c r="S2665" s="42"/>
      <c r="T2665" s="42"/>
      <c r="U2665" s="46"/>
      <c r="V2665" s="42"/>
      <c r="W2665" s="42"/>
      <c r="X2665" s="42"/>
      <c r="Y2665" s="42"/>
      <c r="Z2665" s="42"/>
      <c r="AA2665" s="42"/>
      <c r="AB2665" s="42"/>
      <c r="AC2665" s="42"/>
      <c r="AD2665" s="42"/>
      <c r="AE2665" s="42"/>
      <c r="AF2665" s="42"/>
    </row>
    <row r="2666">
      <c r="A2666" s="25"/>
      <c r="B2666" s="297"/>
      <c r="C2666" s="25"/>
      <c r="D2666" s="25"/>
      <c r="E2666" s="25"/>
      <c r="F2666" s="25"/>
      <c r="G2666" s="123"/>
      <c r="H2666" s="123"/>
      <c r="I2666" s="25"/>
      <c r="J2666" s="25"/>
      <c r="K2666" s="367"/>
      <c r="L2666" s="42"/>
      <c r="M2666" s="42"/>
      <c r="N2666" s="42"/>
      <c r="O2666" s="42"/>
      <c r="P2666" s="42"/>
      <c r="Q2666" s="42"/>
      <c r="R2666" s="176"/>
      <c r="S2666" s="42"/>
      <c r="T2666" s="42"/>
      <c r="U2666" s="46"/>
      <c r="V2666" s="42"/>
      <c r="W2666" s="42"/>
      <c r="X2666" s="42"/>
      <c r="Y2666" s="42"/>
      <c r="Z2666" s="42"/>
      <c r="AA2666" s="42"/>
      <c r="AB2666" s="42"/>
      <c r="AC2666" s="42"/>
      <c r="AD2666" s="42"/>
      <c r="AE2666" s="42"/>
      <c r="AF2666" s="42"/>
    </row>
    <row r="2667">
      <c r="A2667" s="25"/>
      <c r="B2667" s="297"/>
      <c r="C2667" s="25"/>
      <c r="D2667" s="25"/>
      <c r="E2667" s="25"/>
      <c r="F2667" s="25"/>
      <c r="G2667" s="123"/>
      <c r="H2667" s="123"/>
      <c r="I2667" s="25"/>
      <c r="J2667" s="25"/>
      <c r="K2667" s="367"/>
      <c r="L2667" s="42"/>
      <c r="M2667" s="42"/>
      <c r="N2667" s="42"/>
      <c r="O2667" s="42"/>
      <c r="P2667" s="42"/>
      <c r="Q2667" s="42"/>
      <c r="R2667" s="176"/>
      <c r="S2667" s="42"/>
      <c r="T2667" s="42"/>
      <c r="U2667" s="46"/>
      <c r="V2667" s="42"/>
      <c r="W2667" s="42"/>
      <c r="X2667" s="42"/>
      <c r="Y2667" s="42"/>
      <c r="Z2667" s="42"/>
      <c r="AA2667" s="42"/>
      <c r="AB2667" s="42"/>
      <c r="AC2667" s="42"/>
      <c r="AD2667" s="42"/>
      <c r="AE2667" s="42"/>
      <c r="AF2667" s="42"/>
    </row>
    <row r="2668">
      <c r="A2668" s="25"/>
      <c r="B2668" s="297"/>
      <c r="C2668" s="25"/>
      <c r="D2668" s="25"/>
      <c r="E2668" s="25"/>
      <c r="F2668" s="25"/>
      <c r="G2668" s="123"/>
      <c r="H2668" s="123"/>
      <c r="I2668" s="25"/>
      <c r="J2668" s="25"/>
      <c r="K2668" s="367"/>
      <c r="L2668" s="42"/>
      <c r="M2668" s="42"/>
      <c r="N2668" s="42"/>
      <c r="O2668" s="42"/>
      <c r="P2668" s="42"/>
      <c r="Q2668" s="42"/>
      <c r="R2668" s="176"/>
      <c r="S2668" s="42"/>
      <c r="T2668" s="42"/>
      <c r="U2668" s="46"/>
      <c r="V2668" s="42"/>
      <c r="W2668" s="42"/>
      <c r="X2668" s="42"/>
      <c r="Y2668" s="42"/>
      <c r="Z2668" s="42"/>
      <c r="AA2668" s="42"/>
      <c r="AB2668" s="42"/>
      <c r="AC2668" s="42"/>
      <c r="AD2668" s="42"/>
      <c r="AE2668" s="42"/>
      <c r="AF2668" s="42"/>
    </row>
    <row r="2669">
      <c r="A2669" s="25"/>
      <c r="B2669" s="297"/>
      <c r="C2669" s="25"/>
      <c r="D2669" s="25"/>
      <c r="E2669" s="25"/>
      <c r="F2669" s="25"/>
      <c r="G2669" s="123"/>
      <c r="H2669" s="123"/>
      <c r="I2669" s="25"/>
      <c r="J2669" s="25"/>
      <c r="K2669" s="367"/>
      <c r="L2669" s="42"/>
      <c r="M2669" s="42"/>
      <c r="N2669" s="42"/>
      <c r="O2669" s="42"/>
      <c r="P2669" s="42"/>
      <c r="Q2669" s="42"/>
      <c r="R2669" s="176"/>
      <c r="S2669" s="42"/>
      <c r="T2669" s="42"/>
      <c r="U2669" s="46"/>
      <c r="V2669" s="42"/>
      <c r="W2669" s="42"/>
      <c r="X2669" s="42"/>
      <c r="Y2669" s="42"/>
      <c r="Z2669" s="42"/>
      <c r="AA2669" s="42"/>
      <c r="AB2669" s="42"/>
      <c r="AC2669" s="42"/>
      <c r="AD2669" s="42"/>
      <c r="AE2669" s="42"/>
      <c r="AF2669" s="42"/>
    </row>
    <row r="2670">
      <c r="A2670" s="25"/>
      <c r="B2670" s="297"/>
      <c r="C2670" s="25"/>
      <c r="D2670" s="25"/>
      <c r="E2670" s="25"/>
      <c r="F2670" s="25"/>
      <c r="G2670" s="123"/>
      <c r="H2670" s="123"/>
      <c r="I2670" s="25"/>
      <c r="J2670" s="25"/>
      <c r="K2670" s="367"/>
      <c r="L2670" s="42"/>
      <c r="M2670" s="42"/>
      <c r="N2670" s="42"/>
      <c r="O2670" s="42"/>
      <c r="P2670" s="42"/>
      <c r="Q2670" s="42"/>
      <c r="R2670" s="176"/>
      <c r="S2670" s="42"/>
      <c r="T2670" s="42"/>
      <c r="U2670" s="46"/>
      <c r="V2670" s="42"/>
      <c r="W2670" s="42"/>
      <c r="X2670" s="42"/>
      <c r="Y2670" s="42"/>
      <c r="Z2670" s="42"/>
      <c r="AA2670" s="42"/>
      <c r="AB2670" s="42"/>
      <c r="AC2670" s="42"/>
      <c r="AD2670" s="42"/>
      <c r="AE2670" s="42"/>
      <c r="AF2670" s="42"/>
    </row>
    <row r="2671">
      <c r="A2671" s="25"/>
      <c r="B2671" s="297"/>
      <c r="C2671" s="25"/>
      <c r="D2671" s="25"/>
      <c r="E2671" s="25"/>
      <c r="F2671" s="25"/>
      <c r="G2671" s="123"/>
      <c r="H2671" s="123"/>
      <c r="I2671" s="25"/>
      <c r="J2671" s="25"/>
      <c r="K2671" s="367"/>
      <c r="L2671" s="42"/>
      <c r="M2671" s="42"/>
      <c r="N2671" s="42"/>
      <c r="O2671" s="42"/>
      <c r="P2671" s="42"/>
      <c r="Q2671" s="42"/>
      <c r="R2671" s="176"/>
      <c r="S2671" s="42"/>
      <c r="T2671" s="42"/>
      <c r="U2671" s="46"/>
      <c r="V2671" s="42"/>
      <c r="W2671" s="42"/>
      <c r="X2671" s="42"/>
      <c r="Y2671" s="42"/>
      <c r="Z2671" s="42"/>
      <c r="AA2671" s="42"/>
      <c r="AB2671" s="42"/>
      <c r="AC2671" s="42"/>
      <c r="AD2671" s="42"/>
      <c r="AE2671" s="42"/>
      <c r="AF2671" s="42"/>
    </row>
    <row r="2672">
      <c r="A2672" s="25"/>
      <c r="B2672" s="297"/>
      <c r="C2672" s="25"/>
      <c r="D2672" s="25"/>
      <c r="E2672" s="25"/>
      <c r="F2672" s="25"/>
      <c r="G2672" s="123"/>
      <c r="H2672" s="123"/>
      <c r="I2672" s="25"/>
      <c r="J2672" s="25"/>
      <c r="K2672" s="367"/>
      <c r="L2672" s="42"/>
      <c r="M2672" s="42"/>
      <c r="N2672" s="42"/>
      <c r="O2672" s="42"/>
      <c r="P2672" s="42"/>
      <c r="Q2672" s="42"/>
      <c r="R2672" s="176"/>
      <c r="S2672" s="42"/>
      <c r="T2672" s="42"/>
      <c r="U2672" s="46"/>
      <c r="V2672" s="42"/>
      <c r="W2672" s="42"/>
      <c r="X2672" s="42"/>
      <c r="Y2672" s="42"/>
      <c r="Z2672" s="42"/>
      <c r="AA2672" s="42"/>
      <c r="AB2672" s="42"/>
      <c r="AC2672" s="42"/>
      <c r="AD2672" s="42"/>
      <c r="AE2672" s="42"/>
      <c r="AF2672" s="42"/>
    </row>
    <row r="2673">
      <c r="A2673" s="25"/>
      <c r="B2673" s="297"/>
      <c r="C2673" s="25"/>
      <c r="D2673" s="25"/>
      <c r="E2673" s="25"/>
      <c r="F2673" s="25"/>
      <c r="G2673" s="123"/>
      <c r="H2673" s="123"/>
      <c r="I2673" s="25"/>
      <c r="J2673" s="25"/>
      <c r="K2673" s="367"/>
      <c r="L2673" s="42"/>
      <c r="M2673" s="42"/>
      <c r="N2673" s="42"/>
      <c r="O2673" s="42"/>
      <c r="P2673" s="42"/>
      <c r="Q2673" s="42"/>
      <c r="R2673" s="176"/>
      <c r="S2673" s="42"/>
      <c r="T2673" s="42"/>
      <c r="U2673" s="46"/>
      <c r="V2673" s="42"/>
      <c r="W2673" s="42"/>
      <c r="X2673" s="42"/>
      <c r="Y2673" s="42"/>
      <c r="Z2673" s="42"/>
      <c r="AA2673" s="42"/>
      <c r="AB2673" s="42"/>
      <c r="AC2673" s="42"/>
      <c r="AD2673" s="42"/>
      <c r="AE2673" s="42"/>
      <c r="AF2673" s="42"/>
    </row>
    <row r="2674">
      <c r="A2674" s="25"/>
      <c r="B2674" s="297"/>
      <c r="C2674" s="25"/>
      <c r="D2674" s="25"/>
      <c r="E2674" s="25"/>
      <c r="F2674" s="25"/>
      <c r="G2674" s="123"/>
      <c r="H2674" s="123"/>
      <c r="I2674" s="25"/>
      <c r="J2674" s="25"/>
      <c r="K2674" s="367"/>
      <c r="L2674" s="42"/>
      <c r="M2674" s="42"/>
      <c r="N2674" s="42"/>
      <c r="O2674" s="42"/>
      <c r="P2674" s="42"/>
      <c r="Q2674" s="42"/>
      <c r="R2674" s="176"/>
      <c r="S2674" s="42"/>
      <c r="T2674" s="42"/>
      <c r="U2674" s="46"/>
      <c r="V2674" s="42"/>
      <c r="W2674" s="42"/>
      <c r="X2674" s="42"/>
      <c r="Y2674" s="42"/>
      <c r="Z2674" s="42"/>
      <c r="AA2674" s="42"/>
      <c r="AB2674" s="42"/>
      <c r="AC2674" s="42"/>
      <c r="AD2674" s="42"/>
      <c r="AE2674" s="42"/>
      <c r="AF2674" s="42"/>
    </row>
    <row r="2675">
      <c r="A2675" s="25"/>
      <c r="B2675" s="297"/>
      <c r="C2675" s="25"/>
      <c r="D2675" s="25"/>
      <c r="E2675" s="25"/>
      <c r="F2675" s="25"/>
      <c r="G2675" s="123"/>
      <c r="H2675" s="123"/>
      <c r="I2675" s="25"/>
      <c r="J2675" s="25"/>
      <c r="K2675" s="367"/>
      <c r="L2675" s="42"/>
      <c r="M2675" s="42"/>
      <c r="N2675" s="42"/>
      <c r="O2675" s="42"/>
      <c r="P2675" s="42"/>
      <c r="Q2675" s="42"/>
      <c r="R2675" s="176"/>
      <c r="S2675" s="42"/>
      <c r="T2675" s="42"/>
      <c r="U2675" s="46"/>
      <c r="V2675" s="42"/>
      <c r="W2675" s="42"/>
      <c r="X2675" s="42"/>
      <c r="Y2675" s="42"/>
      <c r="Z2675" s="42"/>
      <c r="AA2675" s="42"/>
      <c r="AB2675" s="42"/>
      <c r="AC2675" s="42"/>
      <c r="AD2675" s="42"/>
      <c r="AE2675" s="42"/>
      <c r="AF2675" s="42"/>
    </row>
    <row r="2676">
      <c r="A2676" s="25"/>
      <c r="B2676" s="297"/>
      <c r="C2676" s="25"/>
      <c r="D2676" s="25"/>
      <c r="E2676" s="25"/>
      <c r="F2676" s="25"/>
      <c r="G2676" s="123"/>
      <c r="H2676" s="123"/>
      <c r="I2676" s="25"/>
      <c r="J2676" s="25"/>
      <c r="K2676" s="367"/>
      <c r="L2676" s="42"/>
      <c r="M2676" s="42"/>
      <c r="N2676" s="42"/>
      <c r="O2676" s="42"/>
      <c r="P2676" s="42"/>
      <c r="Q2676" s="42"/>
      <c r="R2676" s="176"/>
      <c r="S2676" s="42"/>
      <c r="T2676" s="42"/>
      <c r="U2676" s="46"/>
      <c r="V2676" s="42"/>
      <c r="W2676" s="42"/>
      <c r="X2676" s="42"/>
      <c r="Y2676" s="42"/>
      <c r="Z2676" s="42"/>
      <c r="AA2676" s="42"/>
      <c r="AB2676" s="42"/>
      <c r="AC2676" s="42"/>
      <c r="AD2676" s="42"/>
      <c r="AE2676" s="42"/>
      <c r="AF2676" s="42"/>
    </row>
    <row r="2677">
      <c r="A2677" s="25"/>
      <c r="B2677" s="297"/>
      <c r="C2677" s="25"/>
      <c r="D2677" s="25"/>
      <c r="E2677" s="25"/>
      <c r="F2677" s="25"/>
      <c r="G2677" s="123"/>
      <c r="H2677" s="123"/>
      <c r="I2677" s="25"/>
      <c r="J2677" s="25"/>
      <c r="K2677" s="367"/>
      <c r="L2677" s="42"/>
      <c r="M2677" s="42"/>
      <c r="N2677" s="42"/>
      <c r="O2677" s="42"/>
      <c r="P2677" s="42"/>
      <c r="Q2677" s="42"/>
      <c r="R2677" s="176"/>
      <c r="S2677" s="42"/>
      <c r="T2677" s="42"/>
      <c r="U2677" s="46"/>
      <c r="V2677" s="42"/>
      <c r="W2677" s="42"/>
      <c r="X2677" s="42"/>
      <c r="Y2677" s="42"/>
      <c r="Z2677" s="42"/>
      <c r="AA2677" s="42"/>
      <c r="AB2677" s="42"/>
      <c r="AC2677" s="42"/>
      <c r="AD2677" s="42"/>
      <c r="AE2677" s="42"/>
      <c r="AF2677" s="42"/>
    </row>
    <row r="2678">
      <c r="A2678" s="25"/>
      <c r="B2678" s="297"/>
      <c r="C2678" s="25"/>
      <c r="D2678" s="25"/>
      <c r="E2678" s="25"/>
      <c r="F2678" s="25"/>
      <c r="G2678" s="123"/>
      <c r="H2678" s="123"/>
      <c r="I2678" s="25"/>
      <c r="J2678" s="25"/>
      <c r="K2678" s="367"/>
      <c r="L2678" s="42"/>
      <c r="M2678" s="42"/>
      <c r="N2678" s="42"/>
      <c r="O2678" s="42"/>
      <c r="P2678" s="42"/>
      <c r="Q2678" s="42"/>
      <c r="R2678" s="176"/>
      <c r="S2678" s="42"/>
      <c r="T2678" s="42"/>
      <c r="U2678" s="46"/>
      <c r="V2678" s="42"/>
      <c r="W2678" s="42"/>
      <c r="X2678" s="42"/>
      <c r="Y2678" s="42"/>
      <c r="Z2678" s="42"/>
      <c r="AA2678" s="42"/>
      <c r="AB2678" s="42"/>
      <c r="AC2678" s="42"/>
      <c r="AD2678" s="42"/>
      <c r="AE2678" s="42"/>
      <c r="AF2678" s="42"/>
    </row>
    <row r="2679">
      <c r="A2679" s="25"/>
      <c r="B2679" s="297"/>
      <c r="C2679" s="25"/>
      <c r="D2679" s="25"/>
      <c r="E2679" s="25"/>
      <c r="F2679" s="25"/>
      <c r="G2679" s="123"/>
      <c r="H2679" s="123"/>
      <c r="I2679" s="25"/>
      <c r="J2679" s="25"/>
      <c r="K2679" s="367"/>
      <c r="L2679" s="42"/>
      <c r="M2679" s="42"/>
      <c r="N2679" s="42"/>
      <c r="O2679" s="42"/>
      <c r="P2679" s="42"/>
      <c r="Q2679" s="42"/>
      <c r="R2679" s="176"/>
      <c r="S2679" s="42"/>
      <c r="T2679" s="42"/>
      <c r="U2679" s="46"/>
      <c r="V2679" s="42"/>
      <c r="W2679" s="42"/>
      <c r="X2679" s="42"/>
      <c r="Y2679" s="42"/>
      <c r="Z2679" s="42"/>
      <c r="AA2679" s="42"/>
      <c r="AB2679" s="42"/>
      <c r="AC2679" s="42"/>
      <c r="AD2679" s="42"/>
      <c r="AE2679" s="42"/>
      <c r="AF2679" s="42"/>
    </row>
    <row r="2680">
      <c r="A2680" s="25"/>
      <c r="B2680" s="297"/>
      <c r="C2680" s="25"/>
      <c r="D2680" s="25"/>
      <c r="E2680" s="25"/>
      <c r="F2680" s="25"/>
      <c r="G2680" s="123"/>
      <c r="H2680" s="123"/>
      <c r="I2680" s="25"/>
      <c r="J2680" s="25"/>
      <c r="K2680" s="367"/>
      <c r="L2680" s="42"/>
      <c r="M2680" s="42"/>
      <c r="N2680" s="42"/>
      <c r="O2680" s="42"/>
      <c r="P2680" s="42"/>
      <c r="Q2680" s="42"/>
      <c r="R2680" s="176"/>
      <c r="S2680" s="42"/>
      <c r="T2680" s="42"/>
      <c r="U2680" s="46"/>
      <c r="V2680" s="42"/>
      <c r="W2680" s="42"/>
      <c r="X2680" s="42"/>
      <c r="Y2680" s="42"/>
      <c r="Z2680" s="42"/>
      <c r="AA2680" s="42"/>
      <c r="AB2680" s="42"/>
      <c r="AC2680" s="42"/>
      <c r="AD2680" s="42"/>
      <c r="AE2680" s="42"/>
      <c r="AF2680" s="42"/>
    </row>
    <row r="2681">
      <c r="A2681" s="25"/>
      <c r="B2681" s="297"/>
      <c r="C2681" s="25"/>
      <c r="D2681" s="25"/>
      <c r="E2681" s="25"/>
      <c r="F2681" s="25"/>
      <c r="G2681" s="123"/>
      <c r="H2681" s="123"/>
      <c r="I2681" s="25"/>
      <c r="J2681" s="25"/>
      <c r="K2681" s="367"/>
      <c r="L2681" s="42"/>
      <c r="M2681" s="42"/>
      <c r="N2681" s="42"/>
      <c r="O2681" s="42"/>
      <c r="P2681" s="42"/>
      <c r="Q2681" s="42"/>
      <c r="R2681" s="176"/>
      <c r="S2681" s="42"/>
      <c r="T2681" s="42"/>
      <c r="U2681" s="46"/>
      <c r="V2681" s="42"/>
      <c r="W2681" s="42"/>
      <c r="X2681" s="42"/>
      <c r="Y2681" s="42"/>
      <c r="Z2681" s="42"/>
      <c r="AA2681" s="42"/>
      <c r="AB2681" s="42"/>
      <c r="AC2681" s="42"/>
      <c r="AD2681" s="42"/>
      <c r="AE2681" s="42"/>
      <c r="AF2681" s="42"/>
    </row>
    <row r="2682">
      <c r="A2682" s="25"/>
      <c r="B2682" s="297"/>
      <c r="C2682" s="25"/>
      <c r="D2682" s="25"/>
      <c r="E2682" s="25"/>
      <c r="F2682" s="25"/>
      <c r="G2682" s="123"/>
      <c r="H2682" s="123"/>
      <c r="I2682" s="25"/>
      <c r="J2682" s="25"/>
      <c r="K2682" s="367"/>
      <c r="L2682" s="42"/>
      <c r="M2682" s="42"/>
      <c r="N2682" s="42"/>
      <c r="O2682" s="42"/>
      <c r="P2682" s="42"/>
      <c r="Q2682" s="42"/>
      <c r="R2682" s="176"/>
      <c r="S2682" s="42"/>
      <c r="T2682" s="42"/>
      <c r="U2682" s="46"/>
      <c r="V2682" s="42"/>
      <c r="W2682" s="42"/>
      <c r="X2682" s="42"/>
      <c r="Y2682" s="42"/>
      <c r="Z2682" s="42"/>
      <c r="AA2682" s="42"/>
      <c r="AB2682" s="42"/>
      <c r="AC2682" s="42"/>
      <c r="AD2682" s="42"/>
      <c r="AE2682" s="42"/>
      <c r="AF2682" s="42"/>
    </row>
    <row r="2683">
      <c r="A2683" s="25"/>
      <c r="B2683" s="297"/>
      <c r="C2683" s="25"/>
      <c r="D2683" s="25"/>
      <c r="E2683" s="25"/>
      <c r="F2683" s="25"/>
      <c r="G2683" s="123"/>
      <c r="H2683" s="123"/>
      <c r="I2683" s="25"/>
      <c r="J2683" s="25"/>
      <c r="K2683" s="367"/>
      <c r="L2683" s="42"/>
      <c r="M2683" s="42"/>
      <c r="N2683" s="42"/>
      <c r="O2683" s="42"/>
      <c r="P2683" s="42"/>
      <c r="Q2683" s="42"/>
      <c r="R2683" s="176"/>
      <c r="S2683" s="42"/>
      <c r="T2683" s="42"/>
      <c r="U2683" s="46"/>
      <c r="V2683" s="42"/>
      <c r="W2683" s="42"/>
      <c r="X2683" s="42"/>
      <c r="Y2683" s="42"/>
      <c r="Z2683" s="42"/>
      <c r="AA2683" s="42"/>
      <c r="AB2683" s="42"/>
      <c r="AC2683" s="42"/>
      <c r="AD2683" s="42"/>
      <c r="AE2683" s="42"/>
      <c r="AF2683" s="42"/>
    </row>
    <row r="2684">
      <c r="A2684" s="25"/>
      <c r="B2684" s="297"/>
      <c r="C2684" s="25"/>
      <c r="D2684" s="25"/>
      <c r="E2684" s="25"/>
      <c r="F2684" s="25"/>
      <c r="G2684" s="123"/>
      <c r="H2684" s="123"/>
      <c r="I2684" s="25"/>
      <c r="J2684" s="25"/>
      <c r="K2684" s="367"/>
      <c r="L2684" s="42"/>
      <c r="M2684" s="42"/>
      <c r="N2684" s="42"/>
      <c r="O2684" s="42"/>
      <c r="P2684" s="42"/>
      <c r="Q2684" s="42"/>
      <c r="R2684" s="176"/>
      <c r="S2684" s="42"/>
      <c r="T2684" s="42"/>
      <c r="U2684" s="46"/>
      <c r="V2684" s="42"/>
      <c r="W2684" s="42"/>
      <c r="X2684" s="42"/>
      <c r="Y2684" s="42"/>
      <c r="Z2684" s="42"/>
      <c r="AA2684" s="42"/>
      <c r="AB2684" s="42"/>
      <c r="AC2684" s="42"/>
      <c r="AD2684" s="42"/>
      <c r="AE2684" s="42"/>
      <c r="AF2684" s="42"/>
    </row>
    <row r="2685">
      <c r="A2685" s="25"/>
      <c r="B2685" s="297"/>
      <c r="C2685" s="25"/>
      <c r="D2685" s="25"/>
      <c r="E2685" s="25"/>
      <c r="F2685" s="25"/>
      <c r="G2685" s="123"/>
      <c r="H2685" s="123"/>
      <c r="I2685" s="25"/>
      <c r="J2685" s="25"/>
      <c r="K2685" s="367"/>
      <c r="L2685" s="42"/>
      <c r="M2685" s="42"/>
      <c r="N2685" s="42"/>
      <c r="O2685" s="42"/>
      <c r="P2685" s="42"/>
      <c r="Q2685" s="42"/>
      <c r="R2685" s="176"/>
      <c r="S2685" s="42"/>
      <c r="T2685" s="42"/>
      <c r="U2685" s="46"/>
      <c r="V2685" s="42"/>
      <c r="W2685" s="42"/>
      <c r="X2685" s="42"/>
      <c r="Y2685" s="42"/>
      <c r="Z2685" s="42"/>
      <c r="AA2685" s="42"/>
      <c r="AB2685" s="42"/>
      <c r="AC2685" s="42"/>
      <c r="AD2685" s="42"/>
      <c r="AE2685" s="42"/>
      <c r="AF2685" s="42"/>
    </row>
    <row r="2686">
      <c r="A2686" s="25"/>
      <c r="B2686" s="297"/>
      <c r="C2686" s="25"/>
      <c r="D2686" s="25"/>
      <c r="E2686" s="25"/>
      <c r="F2686" s="25"/>
      <c r="G2686" s="123"/>
      <c r="H2686" s="123"/>
      <c r="I2686" s="25"/>
      <c r="J2686" s="25"/>
      <c r="K2686" s="367"/>
      <c r="L2686" s="42"/>
      <c r="M2686" s="42"/>
      <c r="N2686" s="42"/>
      <c r="O2686" s="42"/>
      <c r="P2686" s="42"/>
      <c r="Q2686" s="42"/>
      <c r="R2686" s="176"/>
      <c r="S2686" s="42"/>
      <c r="T2686" s="42"/>
      <c r="U2686" s="46"/>
      <c r="V2686" s="42"/>
      <c r="W2686" s="42"/>
      <c r="X2686" s="42"/>
      <c r="Y2686" s="42"/>
      <c r="Z2686" s="42"/>
      <c r="AA2686" s="42"/>
      <c r="AB2686" s="42"/>
      <c r="AC2686" s="42"/>
      <c r="AD2686" s="42"/>
      <c r="AE2686" s="42"/>
      <c r="AF2686" s="42"/>
    </row>
    <row r="2687">
      <c r="A2687" s="25"/>
      <c r="B2687" s="297"/>
      <c r="C2687" s="25"/>
      <c r="D2687" s="25"/>
      <c r="E2687" s="25"/>
      <c r="F2687" s="25"/>
      <c r="G2687" s="123"/>
      <c r="H2687" s="123"/>
      <c r="I2687" s="25"/>
      <c r="J2687" s="25"/>
      <c r="K2687" s="367"/>
      <c r="L2687" s="42"/>
      <c r="M2687" s="42"/>
      <c r="N2687" s="42"/>
      <c r="O2687" s="42"/>
      <c r="P2687" s="42"/>
      <c r="Q2687" s="42"/>
      <c r="R2687" s="176"/>
      <c r="S2687" s="42"/>
      <c r="T2687" s="42"/>
      <c r="U2687" s="46"/>
      <c r="V2687" s="42"/>
      <c r="W2687" s="42"/>
      <c r="X2687" s="42"/>
      <c r="Y2687" s="42"/>
      <c r="Z2687" s="42"/>
      <c r="AA2687" s="42"/>
      <c r="AB2687" s="42"/>
      <c r="AC2687" s="42"/>
      <c r="AD2687" s="42"/>
      <c r="AE2687" s="42"/>
      <c r="AF2687" s="42"/>
    </row>
    <row r="2688">
      <c r="A2688" s="25"/>
      <c r="B2688" s="297"/>
      <c r="C2688" s="25"/>
      <c r="D2688" s="25"/>
      <c r="E2688" s="25"/>
      <c r="F2688" s="25"/>
      <c r="G2688" s="123"/>
      <c r="H2688" s="123"/>
      <c r="I2688" s="25"/>
      <c r="J2688" s="25"/>
      <c r="K2688" s="367"/>
      <c r="L2688" s="42"/>
      <c r="M2688" s="42"/>
      <c r="N2688" s="42"/>
      <c r="O2688" s="42"/>
      <c r="P2688" s="42"/>
      <c r="Q2688" s="42"/>
      <c r="R2688" s="176"/>
      <c r="S2688" s="42"/>
      <c r="T2688" s="42"/>
      <c r="U2688" s="46"/>
      <c r="V2688" s="42"/>
      <c r="W2688" s="42"/>
      <c r="X2688" s="42"/>
      <c r="Y2688" s="42"/>
      <c r="Z2688" s="42"/>
      <c r="AA2688" s="42"/>
      <c r="AB2688" s="42"/>
      <c r="AC2688" s="42"/>
      <c r="AD2688" s="42"/>
      <c r="AE2688" s="42"/>
      <c r="AF2688" s="42"/>
    </row>
    <row r="2689">
      <c r="A2689" s="25"/>
      <c r="B2689" s="297"/>
      <c r="C2689" s="25"/>
      <c r="D2689" s="25"/>
      <c r="E2689" s="25"/>
      <c r="F2689" s="25"/>
      <c r="G2689" s="123"/>
      <c r="H2689" s="123"/>
      <c r="I2689" s="25"/>
      <c r="J2689" s="25"/>
      <c r="K2689" s="367"/>
      <c r="L2689" s="42"/>
      <c r="M2689" s="42"/>
      <c r="N2689" s="42"/>
      <c r="O2689" s="42"/>
      <c r="P2689" s="42"/>
      <c r="Q2689" s="42"/>
      <c r="R2689" s="176"/>
      <c r="S2689" s="42"/>
      <c r="T2689" s="42"/>
      <c r="U2689" s="46"/>
      <c r="V2689" s="42"/>
      <c r="W2689" s="42"/>
      <c r="X2689" s="42"/>
      <c r="Y2689" s="42"/>
      <c r="Z2689" s="42"/>
      <c r="AA2689" s="42"/>
      <c r="AB2689" s="42"/>
      <c r="AC2689" s="42"/>
      <c r="AD2689" s="42"/>
      <c r="AE2689" s="42"/>
      <c r="AF2689" s="42"/>
    </row>
    <row r="2690">
      <c r="A2690" s="25"/>
      <c r="B2690" s="297"/>
      <c r="C2690" s="25"/>
      <c r="D2690" s="25"/>
      <c r="E2690" s="25"/>
      <c r="F2690" s="25"/>
      <c r="G2690" s="123"/>
      <c r="H2690" s="123"/>
      <c r="I2690" s="25"/>
      <c r="J2690" s="25"/>
      <c r="K2690" s="367"/>
      <c r="L2690" s="42"/>
      <c r="M2690" s="42"/>
      <c r="N2690" s="42"/>
      <c r="O2690" s="42"/>
      <c r="P2690" s="42"/>
      <c r="Q2690" s="42"/>
      <c r="R2690" s="176"/>
      <c r="S2690" s="42"/>
      <c r="T2690" s="42"/>
      <c r="U2690" s="46"/>
      <c r="V2690" s="42"/>
      <c r="W2690" s="42"/>
      <c r="X2690" s="42"/>
      <c r="Y2690" s="42"/>
      <c r="Z2690" s="42"/>
      <c r="AA2690" s="42"/>
      <c r="AB2690" s="42"/>
      <c r="AC2690" s="42"/>
      <c r="AD2690" s="42"/>
      <c r="AE2690" s="42"/>
      <c r="AF2690" s="42"/>
    </row>
    <row r="2691">
      <c r="A2691" s="25"/>
      <c r="B2691" s="297"/>
      <c r="C2691" s="25"/>
      <c r="D2691" s="25"/>
      <c r="E2691" s="25"/>
      <c r="F2691" s="25"/>
      <c r="G2691" s="123"/>
      <c r="H2691" s="123"/>
      <c r="I2691" s="25"/>
      <c r="J2691" s="25"/>
      <c r="K2691" s="367"/>
      <c r="L2691" s="42"/>
      <c r="M2691" s="42"/>
      <c r="N2691" s="42"/>
      <c r="O2691" s="42"/>
      <c r="P2691" s="42"/>
      <c r="Q2691" s="42"/>
      <c r="R2691" s="176"/>
      <c r="S2691" s="42"/>
      <c r="T2691" s="42"/>
      <c r="U2691" s="46"/>
      <c r="V2691" s="42"/>
      <c r="W2691" s="42"/>
      <c r="X2691" s="42"/>
      <c r="Y2691" s="42"/>
      <c r="Z2691" s="42"/>
      <c r="AA2691" s="42"/>
      <c r="AB2691" s="42"/>
      <c r="AC2691" s="42"/>
      <c r="AD2691" s="42"/>
      <c r="AE2691" s="42"/>
      <c r="AF2691" s="42"/>
    </row>
    <row r="2692">
      <c r="A2692" s="25"/>
      <c r="B2692" s="297"/>
      <c r="C2692" s="25"/>
      <c r="D2692" s="25"/>
      <c r="E2692" s="25"/>
      <c r="F2692" s="25"/>
      <c r="G2692" s="123"/>
      <c r="H2692" s="123"/>
      <c r="I2692" s="25"/>
      <c r="J2692" s="25"/>
      <c r="K2692" s="367"/>
      <c r="L2692" s="42"/>
      <c r="M2692" s="42"/>
      <c r="N2692" s="42"/>
      <c r="O2692" s="42"/>
      <c r="P2692" s="42"/>
      <c r="Q2692" s="42"/>
      <c r="R2692" s="176"/>
      <c r="S2692" s="42"/>
      <c r="T2692" s="42"/>
      <c r="U2692" s="46"/>
      <c r="V2692" s="42"/>
      <c r="W2692" s="42"/>
      <c r="X2692" s="42"/>
      <c r="Y2692" s="42"/>
      <c r="Z2692" s="42"/>
      <c r="AA2692" s="42"/>
      <c r="AB2692" s="42"/>
      <c r="AC2692" s="42"/>
      <c r="AD2692" s="42"/>
      <c r="AE2692" s="42"/>
      <c r="AF2692" s="42"/>
    </row>
    <row r="2693">
      <c r="A2693" s="25"/>
      <c r="B2693" s="297"/>
      <c r="C2693" s="25"/>
      <c r="D2693" s="25"/>
      <c r="E2693" s="25"/>
      <c r="F2693" s="25"/>
      <c r="G2693" s="123"/>
      <c r="H2693" s="123"/>
      <c r="I2693" s="25"/>
      <c r="J2693" s="25"/>
      <c r="K2693" s="367"/>
      <c r="L2693" s="42"/>
      <c r="M2693" s="42"/>
      <c r="N2693" s="42"/>
      <c r="O2693" s="42"/>
      <c r="P2693" s="42"/>
      <c r="Q2693" s="42"/>
      <c r="R2693" s="176"/>
      <c r="S2693" s="42"/>
      <c r="T2693" s="42"/>
      <c r="U2693" s="46"/>
      <c r="V2693" s="42"/>
      <c r="W2693" s="42"/>
      <c r="X2693" s="42"/>
      <c r="Y2693" s="42"/>
      <c r="Z2693" s="42"/>
      <c r="AA2693" s="42"/>
      <c r="AB2693" s="42"/>
      <c r="AC2693" s="42"/>
      <c r="AD2693" s="42"/>
      <c r="AE2693" s="42"/>
      <c r="AF2693" s="42"/>
    </row>
    <row r="2694">
      <c r="A2694" s="25"/>
      <c r="B2694" s="297"/>
      <c r="C2694" s="25"/>
      <c r="D2694" s="25"/>
      <c r="E2694" s="25"/>
      <c r="F2694" s="25"/>
      <c r="G2694" s="123"/>
      <c r="H2694" s="123"/>
      <c r="I2694" s="25"/>
      <c r="J2694" s="25"/>
      <c r="K2694" s="367"/>
      <c r="L2694" s="42"/>
      <c r="M2694" s="42"/>
      <c r="N2694" s="42"/>
      <c r="O2694" s="42"/>
      <c r="P2694" s="42"/>
      <c r="Q2694" s="42"/>
      <c r="R2694" s="176"/>
      <c r="S2694" s="42"/>
      <c r="T2694" s="42"/>
      <c r="U2694" s="46"/>
      <c r="V2694" s="42"/>
      <c r="W2694" s="42"/>
      <c r="X2694" s="42"/>
      <c r="Y2694" s="42"/>
      <c r="Z2694" s="42"/>
      <c r="AA2694" s="42"/>
      <c r="AB2694" s="42"/>
      <c r="AC2694" s="42"/>
      <c r="AD2694" s="42"/>
      <c r="AE2694" s="42"/>
      <c r="AF2694" s="42"/>
    </row>
    <row r="2695">
      <c r="A2695" s="25"/>
      <c r="B2695" s="297"/>
      <c r="C2695" s="25"/>
      <c r="D2695" s="25"/>
      <c r="E2695" s="25"/>
      <c r="F2695" s="25"/>
      <c r="G2695" s="123"/>
      <c r="H2695" s="123"/>
      <c r="I2695" s="25"/>
      <c r="J2695" s="25"/>
      <c r="K2695" s="367"/>
      <c r="L2695" s="42"/>
      <c r="M2695" s="42"/>
      <c r="N2695" s="42"/>
      <c r="O2695" s="42"/>
      <c r="P2695" s="42"/>
      <c r="Q2695" s="42"/>
      <c r="R2695" s="176"/>
      <c r="S2695" s="42"/>
      <c r="T2695" s="42"/>
      <c r="U2695" s="46"/>
      <c r="V2695" s="42"/>
      <c r="W2695" s="42"/>
      <c r="X2695" s="42"/>
      <c r="Y2695" s="42"/>
      <c r="Z2695" s="42"/>
      <c r="AA2695" s="42"/>
      <c r="AB2695" s="42"/>
      <c r="AC2695" s="42"/>
      <c r="AD2695" s="42"/>
      <c r="AE2695" s="42"/>
      <c r="AF2695" s="42"/>
    </row>
    <row r="2696">
      <c r="A2696" s="25"/>
      <c r="B2696" s="297"/>
      <c r="C2696" s="25"/>
      <c r="D2696" s="25"/>
      <c r="E2696" s="25"/>
      <c r="F2696" s="25"/>
      <c r="G2696" s="123"/>
      <c r="H2696" s="123"/>
      <c r="I2696" s="25"/>
      <c r="J2696" s="25"/>
      <c r="K2696" s="367"/>
      <c r="L2696" s="42"/>
      <c r="M2696" s="42"/>
      <c r="N2696" s="42"/>
      <c r="O2696" s="42"/>
      <c r="P2696" s="42"/>
      <c r="Q2696" s="42"/>
      <c r="R2696" s="176"/>
      <c r="S2696" s="42"/>
      <c r="T2696" s="42"/>
      <c r="U2696" s="46"/>
      <c r="V2696" s="42"/>
      <c r="W2696" s="42"/>
      <c r="X2696" s="42"/>
      <c r="Y2696" s="42"/>
      <c r="Z2696" s="42"/>
      <c r="AA2696" s="42"/>
      <c r="AB2696" s="42"/>
      <c r="AC2696" s="42"/>
      <c r="AD2696" s="42"/>
      <c r="AE2696" s="42"/>
      <c r="AF2696" s="42"/>
    </row>
    <row r="2697">
      <c r="A2697" s="25"/>
      <c r="B2697" s="297"/>
      <c r="C2697" s="25"/>
      <c r="D2697" s="25"/>
      <c r="E2697" s="25"/>
      <c r="F2697" s="25"/>
      <c r="G2697" s="123"/>
      <c r="H2697" s="123"/>
      <c r="I2697" s="25"/>
      <c r="J2697" s="25"/>
      <c r="K2697" s="367"/>
      <c r="L2697" s="42"/>
      <c r="M2697" s="42"/>
      <c r="N2697" s="42"/>
      <c r="O2697" s="42"/>
      <c r="P2697" s="42"/>
      <c r="Q2697" s="42"/>
      <c r="R2697" s="176"/>
      <c r="S2697" s="42"/>
      <c r="T2697" s="42"/>
      <c r="U2697" s="46"/>
      <c r="V2697" s="42"/>
      <c r="W2697" s="42"/>
      <c r="X2697" s="42"/>
      <c r="Y2697" s="42"/>
      <c r="Z2697" s="42"/>
      <c r="AA2697" s="42"/>
      <c r="AB2697" s="42"/>
      <c r="AC2697" s="42"/>
      <c r="AD2697" s="42"/>
      <c r="AE2697" s="42"/>
      <c r="AF2697" s="42"/>
    </row>
    <row r="2698">
      <c r="A2698" s="25"/>
      <c r="B2698" s="297"/>
      <c r="C2698" s="25"/>
      <c r="D2698" s="25"/>
      <c r="E2698" s="25"/>
      <c r="F2698" s="25"/>
      <c r="G2698" s="123"/>
      <c r="H2698" s="123"/>
      <c r="I2698" s="25"/>
      <c r="J2698" s="25"/>
      <c r="K2698" s="367"/>
      <c r="L2698" s="42"/>
      <c r="M2698" s="42"/>
      <c r="N2698" s="42"/>
      <c r="O2698" s="42"/>
      <c r="P2698" s="42"/>
      <c r="Q2698" s="42"/>
      <c r="R2698" s="176"/>
      <c r="S2698" s="42"/>
      <c r="T2698" s="42"/>
      <c r="U2698" s="46"/>
      <c r="V2698" s="42"/>
      <c r="W2698" s="42"/>
      <c r="X2698" s="42"/>
      <c r="Y2698" s="42"/>
      <c r="Z2698" s="42"/>
      <c r="AA2698" s="42"/>
      <c r="AB2698" s="42"/>
      <c r="AC2698" s="42"/>
      <c r="AD2698" s="42"/>
      <c r="AE2698" s="42"/>
      <c r="AF2698" s="42"/>
    </row>
    <row r="2699">
      <c r="A2699" s="25"/>
      <c r="B2699" s="297"/>
      <c r="C2699" s="25"/>
      <c r="D2699" s="25"/>
      <c r="E2699" s="25"/>
      <c r="F2699" s="25"/>
      <c r="G2699" s="123"/>
      <c r="H2699" s="123"/>
      <c r="I2699" s="25"/>
      <c r="J2699" s="25"/>
      <c r="K2699" s="367"/>
      <c r="L2699" s="42"/>
      <c r="M2699" s="42"/>
      <c r="N2699" s="42"/>
      <c r="O2699" s="42"/>
      <c r="P2699" s="42"/>
      <c r="Q2699" s="42"/>
      <c r="R2699" s="176"/>
      <c r="S2699" s="42"/>
      <c r="T2699" s="42"/>
      <c r="U2699" s="46"/>
      <c r="V2699" s="42"/>
      <c r="W2699" s="42"/>
      <c r="X2699" s="42"/>
      <c r="Y2699" s="42"/>
      <c r="Z2699" s="42"/>
      <c r="AA2699" s="42"/>
      <c r="AB2699" s="42"/>
      <c r="AC2699" s="42"/>
      <c r="AD2699" s="42"/>
      <c r="AE2699" s="42"/>
      <c r="AF2699" s="42"/>
    </row>
    <row r="2700">
      <c r="A2700" s="25"/>
      <c r="B2700" s="297"/>
      <c r="C2700" s="25"/>
      <c r="D2700" s="25"/>
      <c r="E2700" s="25"/>
      <c r="F2700" s="25"/>
      <c r="G2700" s="123"/>
      <c r="H2700" s="123"/>
      <c r="I2700" s="25"/>
      <c r="J2700" s="25"/>
      <c r="K2700" s="367"/>
      <c r="L2700" s="42"/>
      <c r="M2700" s="42"/>
      <c r="N2700" s="42"/>
      <c r="O2700" s="42"/>
      <c r="P2700" s="42"/>
      <c r="Q2700" s="42"/>
      <c r="R2700" s="176"/>
      <c r="S2700" s="42"/>
      <c r="T2700" s="42"/>
      <c r="U2700" s="46"/>
      <c r="V2700" s="42"/>
      <c r="W2700" s="42"/>
      <c r="X2700" s="42"/>
      <c r="Y2700" s="42"/>
      <c r="Z2700" s="42"/>
      <c r="AA2700" s="42"/>
      <c r="AB2700" s="42"/>
      <c r="AC2700" s="42"/>
      <c r="AD2700" s="42"/>
      <c r="AE2700" s="42"/>
      <c r="AF2700" s="42"/>
    </row>
    <row r="2701">
      <c r="A2701" s="25"/>
      <c r="B2701" s="297"/>
      <c r="C2701" s="25"/>
      <c r="D2701" s="25"/>
      <c r="E2701" s="25"/>
      <c r="F2701" s="25"/>
      <c r="G2701" s="123"/>
      <c r="H2701" s="123"/>
      <c r="I2701" s="25"/>
      <c r="J2701" s="25"/>
      <c r="K2701" s="367"/>
      <c r="L2701" s="42"/>
      <c r="M2701" s="42"/>
      <c r="N2701" s="42"/>
      <c r="O2701" s="42"/>
      <c r="P2701" s="42"/>
      <c r="Q2701" s="42"/>
      <c r="R2701" s="176"/>
      <c r="S2701" s="42"/>
      <c r="T2701" s="42"/>
      <c r="U2701" s="46"/>
      <c r="V2701" s="42"/>
      <c r="W2701" s="42"/>
      <c r="X2701" s="42"/>
      <c r="Y2701" s="42"/>
      <c r="Z2701" s="42"/>
      <c r="AA2701" s="42"/>
      <c r="AB2701" s="42"/>
      <c r="AC2701" s="42"/>
      <c r="AD2701" s="42"/>
      <c r="AE2701" s="42"/>
      <c r="AF2701" s="42"/>
    </row>
    <row r="2702">
      <c r="A2702" s="25"/>
      <c r="B2702" s="297"/>
      <c r="C2702" s="25"/>
      <c r="D2702" s="25"/>
      <c r="E2702" s="25"/>
      <c r="F2702" s="25"/>
      <c r="G2702" s="123"/>
      <c r="H2702" s="123"/>
      <c r="I2702" s="25"/>
      <c r="J2702" s="25"/>
      <c r="K2702" s="367"/>
      <c r="L2702" s="42"/>
      <c r="M2702" s="42"/>
      <c r="N2702" s="42"/>
      <c r="O2702" s="42"/>
      <c r="P2702" s="42"/>
      <c r="Q2702" s="42"/>
      <c r="R2702" s="176"/>
      <c r="S2702" s="42"/>
      <c r="T2702" s="42"/>
      <c r="U2702" s="46"/>
      <c r="V2702" s="42"/>
      <c r="W2702" s="42"/>
      <c r="X2702" s="42"/>
      <c r="Y2702" s="42"/>
      <c r="Z2702" s="42"/>
      <c r="AA2702" s="42"/>
      <c r="AB2702" s="42"/>
      <c r="AC2702" s="42"/>
      <c r="AD2702" s="42"/>
      <c r="AE2702" s="42"/>
      <c r="AF2702" s="42"/>
    </row>
    <row r="2703">
      <c r="A2703" s="25"/>
      <c r="B2703" s="297"/>
      <c r="C2703" s="25"/>
      <c r="D2703" s="25"/>
      <c r="E2703" s="25"/>
      <c r="F2703" s="25"/>
      <c r="G2703" s="123"/>
      <c r="H2703" s="123"/>
      <c r="I2703" s="25"/>
      <c r="J2703" s="25"/>
      <c r="K2703" s="367"/>
      <c r="L2703" s="42"/>
      <c r="M2703" s="42"/>
      <c r="N2703" s="42"/>
      <c r="O2703" s="42"/>
      <c r="P2703" s="42"/>
      <c r="Q2703" s="42"/>
      <c r="R2703" s="176"/>
      <c r="S2703" s="42"/>
      <c r="T2703" s="42"/>
      <c r="U2703" s="46"/>
      <c r="V2703" s="42"/>
      <c r="W2703" s="42"/>
      <c r="X2703" s="42"/>
      <c r="Y2703" s="42"/>
      <c r="Z2703" s="42"/>
      <c r="AA2703" s="42"/>
      <c r="AB2703" s="42"/>
      <c r="AC2703" s="42"/>
      <c r="AD2703" s="42"/>
      <c r="AE2703" s="42"/>
      <c r="AF2703" s="42"/>
    </row>
    <row r="2704">
      <c r="A2704" s="25"/>
      <c r="B2704" s="297"/>
      <c r="C2704" s="25"/>
      <c r="D2704" s="25"/>
      <c r="E2704" s="25"/>
      <c r="F2704" s="25"/>
      <c r="G2704" s="123"/>
      <c r="H2704" s="123"/>
      <c r="I2704" s="25"/>
      <c r="J2704" s="25"/>
      <c r="K2704" s="367"/>
      <c r="L2704" s="42"/>
      <c r="M2704" s="42"/>
      <c r="N2704" s="42"/>
      <c r="O2704" s="42"/>
      <c r="P2704" s="42"/>
      <c r="Q2704" s="42"/>
      <c r="R2704" s="176"/>
      <c r="S2704" s="42"/>
      <c r="T2704" s="42"/>
      <c r="U2704" s="46"/>
      <c r="V2704" s="42"/>
      <c r="W2704" s="42"/>
      <c r="X2704" s="42"/>
      <c r="Y2704" s="42"/>
      <c r="Z2704" s="42"/>
      <c r="AA2704" s="42"/>
      <c r="AB2704" s="42"/>
      <c r="AC2704" s="42"/>
      <c r="AD2704" s="42"/>
      <c r="AE2704" s="42"/>
      <c r="AF2704" s="42"/>
    </row>
    <row r="2705">
      <c r="A2705" s="25"/>
      <c r="B2705" s="297"/>
      <c r="C2705" s="25"/>
      <c r="D2705" s="25"/>
      <c r="E2705" s="25"/>
      <c r="F2705" s="25"/>
      <c r="G2705" s="123"/>
      <c r="H2705" s="123"/>
      <c r="I2705" s="25"/>
      <c r="J2705" s="25"/>
      <c r="K2705" s="367"/>
      <c r="L2705" s="42"/>
      <c r="M2705" s="42"/>
      <c r="N2705" s="42"/>
      <c r="O2705" s="42"/>
      <c r="P2705" s="42"/>
      <c r="Q2705" s="42"/>
      <c r="R2705" s="176"/>
      <c r="S2705" s="42"/>
      <c r="T2705" s="42"/>
      <c r="U2705" s="46"/>
      <c r="V2705" s="42"/>
      <c r="W2705" s="42"/>
      <c r="X2705" s="42"/>
      <c r="Y2705" s="42"/>
      <c r="Z2705" s="42"/>
      <c r="AA2705" s="42"/>
      <c r="AB2705" s="42"/>
      <c r="AC2705" s="42"/>
      <c r="AD2705" s="42"/>
      <c r="AE2705" s="42"/>
      <c r="AF2705" s="42"/>
    </row>
    <row r="2706">
      <c r="A2706" s="25"/>
      <c r="B2706" s="297"/>
      <c r="C2706" s="25"/>
      <c r="D2706" s="25"/>
      <c r="E2706" s="25"/>
      <c r="F2706" s="25"/>
      <c r="G2706" s="123"/>
      <c r="H2706" s="123"/>
      <c r="I2706" s="25"/>
      <c r="J2706" s="25"/>
      <c r="K2706" s="367"/>
      <c r="L2706" s="42"/>
      <c r="M2706" s="42"/>
      <c r="N2706" s="42"/>
      <c r="O2706" s="42"/>
      <c r="P2706" s="42"/>
      <c r="Q2706" s="42"/>
      <c r="R2706" s="176"/>
      <c r="S2706" s="42"/>
      <c r="T2706" s="42"/>
      <c r="U2706" s="46"/>
      <c r="V2706" s="42"/>
      <c r="W2706" s="42"/>
      <c r="X2706" s="42"/>
      <c r="Y2706" s="42"/>
      <c r="Z2706" s="42"/>
      <c r="AA2706" s="42"/>
      <c r="AB2706" s="42"/>
      <c r="AC2706" s="42"/>
      <c r="AD2706" s="42"/>
      <c r="AE2706" s="42"/>
      <c r="AF2706" s="42"/>
    </row>
    <row r="2707">
      <c r="A2707" s="25"/>
      <c r="B2707" s="297"/>
      <c r="C2707" s="25"/>
      <c r="D2707" s="25"/>
      <c r="E2707" s="25"/>
      <c r="F2707" s="25"/>
      <c r="G2707" s="123"/>
      <c r="H2707" s="123"/>
      <c r="I2707" s="25"/>
      <c r="J2707" s="25"/>
      <c r="K2707" s="367"/>
      <c r="L2707" s="42"/>
      <c r="M2707" s="42"/>
      <c r="N2707" s="42"/>
      <c r="O2707" s="42"/>
      <c r="P2707" s="42"/>
      <c r="Q2707" s="42"/>
      <c r="R2707" s="176"/>
      <c r="S2707" s="42"/>
      <c r="T2707" s="42"/>
      <c r="U2707" s="46"/>
      <c r="V2707" s="42"/>
      <c r="W2707" s="42"/>
      <c r="X2707" s="42"/>
      <c r="Y2707" s="42"/>
      <c r="Z2707" s="42"/>
      <c r="AA2707" s="42"/>
      <c r="AB2707" s="42"/>
      <c r="AC2707" s="42"/>
      <c r="AD2707" s="42"/>
      <c r="AE2707" s="42"/>
      <c r="AF2707" s="42"/>
    </row>
    <row r="2708">
      <c r="A2708" s="25"/>
      <c r="B2708" s="297"/>
      <c r="C2708" s="25"/>
      <c r="D2708" s="25"/>
      <c r="E2708" s="25"/>
      <c r="F2708" s="25"/>
      <c r="G2708" s="123"/>
      <c r="H2708" s="123"/>
      <c r="I2708" s="25"/>
      <c r="J2708" s="25"/>
      <c r="K2708" s="367"/>
      <c r="L2708" s="42"/>
      <c r="M2708" s="42"/>
      <c r="N2708" s="42"/>
      <c r="O2708" s="42"/>
      <c r="P2708" s="42"/>
      <c r="Q2708" s="42"/>
      <c r="R2708" s="176"/>
      <c r="S2708" s="42"/>
      <c r="T2708" s="42"/>
      <c r="U2708" s="46"/>
      <c r="V2708" s="42"/>
      <c r="W2708" s="42"/>
      <c r="X2708" s="42"/>
      <c r="Y2708" s="42"/>
      <c r="Z2708" s="42"/>
      <c r="AA2708" s="42"/>
      <c r="AB2708" s="42"/>
      <c r="AC2708" s="42"/>
      <c r="AD2708" s="42"/>
      <c r="AE2708" s="42"/>
      <c r="AF2708" s="42"/>
    </row>
    <row r="2709">
      <c r="A2709" s="25"/>
      <c r="B2709" s="297"/>
      <c r="C2709" s="25"/>
      <c r="D2709" s="25"/>
      <c r="E2709" s="25"/>
      <c r="F2709" s="25"/>
      <c r="G2709" s="123"/>
      <c r="H2709" s="123"/>
      <c r="I2709" s="25"/>
      <c r="J2709" s="25"/>
      <c r="K2709" s="367"/>
      <c r="L2709" s="42"/>
      <c r="M2709" s="42"/>
      <c r="N2709" s="42"/>
      <c r="O2709" s="42"/>
      <c r="P2709" s="42"/>
      <c r="Q2709" s="42"/>
      <c r="R2709" s="176"/>
      <c r="S2709" s="42"/>
      <c r="T2709" s="42"/>
      <c r="U2709" s="46"/>
      <c r="V2709" s="42"/>
      <c r="W2709" s="42"/>
      <c r="X2709" s="42"/>
      <c r="Y2709" s="42"/>
      <c r="Z2709" s="42"/>
      <c r="AA2709" s="42"/>
      <c r="AB2709" s="42"/>
      <c r="AC2709" s="42"/>
      <c r="AD2709" s="42"/>
      <c r="AE2709" s="42"/>
      <c r="AF2709" s="42"/>
    </row>
    <row r="2710">
      <c r="A2710" s="25"/>
      <c r="B2710" s="297"/>
      <c r="C2710" s="25"/>
      <c r="D2710" s="25"/>
      <c r="E2710" s="25"/>
      <c r="F2710" s="25"/>
      <c r="G2710" s="123"/>
      <c r="H2710" s="123"/>
      <c r="I2710" s="25"/>
      <c r="J2710" s="25"/>
      <c r="K2710" s="367"/>
      <c r="L2710" s="42"/>
      <c r="M2710" s="42"/>
      <c r="N2710" s="42"/>
      <c r="O2710" s="42"/>
      <c r="P2710" s="42"/>
      <c r="Q2710" s="42"/>
      <c r="R2710" s="176"/>
      <c r="S2710" s="42"/>
      <c r="T2710" s="42"/>
      <c r="U2710" s="46"/>
      <c r="V2710" s="42"/>
      <c r="W2710" s="42"/>
      <c r="X2710" s="42"/>
      <c r="Y2710" s="42"/>
      <c r="Z2710" s="42"/>
      <c r="AA2710" s="42"/>
      <c r="AB2710" s="42"/>
      <c r="AC2710" s="42"/>
      <c r="AD2710" s="42"/>
      <c r="AE2710" s="42"/>
      <c r="AF2710" s="42"/>
    </row>
    <row r="2711">
      <c r="A2711" s="25"/>
      <c r="B2711" s="297"/>
      <c r="C2711" s="25"/>
      <c r="D2711" s="25"/>
      <c r="E2711" s="25"/>
      <c r="F2711" s="25"/>
      <c r="G2711" s="123"/>
      <c r="H2711" s="123"/>
      <c r="I2711" s="25"/>
      <c r="J2711" s="25"/>
      <c r="K2711" s="367"/>
      <c r="L2711" s="42"/>
      <c r="M2711" s="42"/>
      <c r="N2711" s="42"/>
      <c r="O2711" s="42"/>
      <c r="P2711" s="42"/>
      <c r="Q2711" s="42"/>
      <c r="R2711" s="176"/>
      <c r="S2711" s="42"/>
      <c r="T2711" s="42"/>
      <c r="U2711" s="46"/>
      <c r="V2711" s="42"/>
      <c r="W2711" s="42"/>
      <c r="X2711" s="42"/>
      <c r="Y2711" s="42"/>
      <c r="Z2711" s="42"/>
      <c r="AA2711" s="42"/>
      <c r="AB2711" s="42"/>
      <c r="AC2711" s="42"/>
      <c r="AD2711" s="42"/>
      <c r="AE2711" s="42"/>
      <c r="AF2711" s="42"/>
    </row>
    <row r="2712">
      <c r="A2712" s="25"/>
      <c r="B2712" s="297"/>
      <c r="C2712" s="25"/>
      <c r="D2712" s="25"/>
      <c r="E2712" s="25"/>
      <c r="F2712" s="25"/>
      <c r="G2712" s="123"/>
      <c r="H2712" s="123"/>
      <c r="I2712" s="25"/>
      <c r="J2712" s="25"/>
      <c r="K2712" s="367"/>
      <c r="L2712" s="42"/>
      <c r="M2712" s="42"/>
      <c r="N2712" s="42"/>
      <c r="O2712" s="42"/>
      <c r="P2712" s="42"/>
      <c r="Q2712" s="42"/>
      <c r="R2712" s="176"/>
      <c r="S2712" s="42"/>
      <c r="T2712" s="42"/>
      <c r="U2712" s="46"/>
      <c r="V2712" s="42"/>
      <c r="W2712" s="42"/>
      <c r="X2712" s="42"/>
      <c r="Y2712" s="42"/>
      <c r="Z2712" s="42"/>
      <c r="AA2712" s="42"/>
      <c r="AB2712" s="42"/>
      <c r="AC2712" s="42"/>
      <c r="AD2712" s="42"/>
      <c r="AE2712" s="42"/>
      <c r="AF2712" s="42"/>
    </row>
    <row r="2713">
      <c r="A2713" s="25"/>
      <c r="B2713" s="297"/>
      <c r="C2713" s="25"/>
      <c r="D2713" s="25"/>
      <c r="E2713" s="25"/>
      <c r="F2713" s="25"/>
      <c r="G2713" s="123"/>
      <c r="H2713" s="123"/>
      <c r="I2713" s="25"/>
      <c r="J2713" s="25"/>
      <c r="K2713" s="367"/>
      <c r="L2713" s="42"/>
      <c r="M2713" s="42"/>
      <c r="N2713" s="42"/>
      <c r="O2713" s="42"/>
      <c r="P2713" s="42"/>
      <c r="Q2713" s="42"/>
      <c r="R2713" s="176"/>
      <c r="S2713" s="42"/>
      <c r="T2713" s="42"/>
      <c r="U2713" s="46"/>
      <c r="V2713" s="42"/>
      <c r="W2713" s="42"/>
      <c r="X2713" s="42"/>
      <c r="Y2713" s="42"/>
      <c r="Z2713" s="42"/>
      <c r="AA2713" s="42"/>
      <c r="AB2713" s="42"/>
      <c r="AC2713" s="42"/>
      <c r="AD2713" s="42"/>
      <c r="AE2713" s="42"/>
      <c r="AF2713" s="42"/>
    </row>
    <row r="2714">
      <c r="A2714" s="25"/>
      <c r="B2714" s="297"/>
      <c r="C2714" s="25"/>
      <c r="D2714" s="25"/>
      <c r="E2714" s="25"/>
      <c r="F2714" s="25"/>
      <c r="G2714" s="123"/>
      <c r="H2714" s="123"/>
      <c r="I2714" s="25"/>
      <c r="J2714" s="25"/>
      <c r="K2714" s="367"/>
      <c r="L2714" s="42"/>
      <c r="M2714" s="42"/>
      <c r="N2714" s="42"/>
      <c r="O2714" s="42"/>
      <c r="P2714" s="42"/>
      <c r="Q2714" s="42"/>
      <c r="R2714" s="176"/>
      <c r="S2714" s="42"/>
      <c r="T2714" s="42"/>
      <c r="U2714" s="46"/>
      <c r="V2714" s="42"/>
      <c r="W2714" s="42"/>
      <c r="X2714" s="42"/>
      <c r="Y2714" s="42"/>
      <c r="Z2714" s="42"/>
      <c r="AA2714" s="42"/>
      <c r="AB2714" s="42"/>
      <c r="AC2714" s="42"/>
      <c r="AD2714" s="42"/>
      <c r="AE2714" s="42"/>
      <c r="AF2714" s="42"/>
    </row>
    <row r="2715">
      <c r="A2715" s="25"/>
      <c r="B2715" s="297"/>
      <c r="C2715" s="25"/>
      <c r="D2715" s="25"/>
      <c r="E2715" s="25"/>
      <c r="F2715" s="25"/>
      <c r="G2715" s="123"/>
      <c r="H2715" s="123"/>
      <c r="I2715" s="25"/>
      <c r="J2715" s="25"/>
      <c r="K2715" s="367"/>
      <c r="L2715" s="42"/>
      <c r="M2715" s="42"/>
      <c r="N2715" s="42"/>
      <c r="O2715" s="42"/>
      <c r="P2715" s="42"/>
      <c r="Q2715" s="42"/>
      <c r="R2715" s="176"/>
      <c r="S2715" s="42"/>
      <c r="T2715" s="42"/>
      <c r="U2715" s="46"/>
      <c r="V2715" s="42"/>
      <c r="W2715" s="42"/>
      <c r="X2715" s="42"/>
      <c r="Y2715" s="42"/>
      <c r="Z2715" s="42"/>
      <c r="AA2715" s="42"/>
      <c r="AB2715" s="42"/>
      <c r="AC2715" s="42"/>
      <c r="AD2715" s="42"/>
      <c r="AE2715" s="42"/>
      <c r="AF2715" s="42"/>
    </row>
    <row r="2716">
      <c r="A2716" s="25"/>
      <c r="B2716" s="297"/>
      <c r="C2716" s="25"/>
      <c r="D2716" s="25"/>
      <c r="E2716" s="25"/>
      <c r="F2716" s="25"/>
      <c r="G2716" s="123"/>
      <c r="H2716" s="123"/>
      <c r="I2716" s="25"/>
      <c r="J2716" s="25"/>
      <c r="K2716" s="367"/>
      <c r="L2716" s="42"/>
      <c r="M2716" s="42"/>
      <c r="N2716" s="42"/>
      <c r="O2716" s="42"/>
      <c r="P2716" s="42"/>
      <c r="Q2716" s="42"/>
      <c r="R2716" s="176"/>
      <c r="S2716" s="42"/>
      <c r="T2716" s="42"/>
      <c r="U2716" s="46"/>
      <c r="V2716" s="42"/>
      <c r="W2716" s="42"/>
      <c r="X2716" s="42"/>
      <c r="Y2716" s="42"/>
      <c r="Z2716" s="42"/>
      <c r="AA2716" s="42"/>
      <c r="AB2716" s="42"/>
      <c r="AC2716" s="42"/>
      <c r="AD2716" s="42"/>
      <c r="AE2716" s="42"/>
      <c r="AF2716" s="42"/>
    </row>
    <row r="2717">
      <c r="A2717" s="25"/>
      <c r="B2717" s="297"/>
      <c r="C2717" s="25"/>
      <c r="D2717" s="25"/>
      <c r="E2717" s="25"/>
      <c r="F2717" s="25"/>
      <c r="G2717" s="123"/>
      <c r="H2717" s="123"/>
      <c r="I2717" s="25"/>
      <c r="J2717" s="25"/>
      <c r="K2717" s="367"/>
      <c r="L2717" s="42"/>
      <c r="M2717" s="42"/>
      <c r="N2717" s="42"/>
      <c r="O2717" s="42"/>
      <c r="P2717" s="42"/>
      <c r="Q2717" s="42"/>
      <c r="R2717" s="176"/>
      <c r="S2717" s="42"/>
      <c r="T2717" s="42"/>
      <c r="U2717" s="46"/>
      <c r="V2717" s="42"/>
      <c r="W2717" s="42"/>
      <c r="X2717" s="42"/>
      <c r="Y2717" s="42"/>
      <c r="Z2717" s="42"/>
      <c r="AA2717" s="42"/>
      <c r="AB2717" s="42"/>
      <c r="AC2717" s="42"/>
      <c r="AD2717" s="42"/>
      <c r="AE2717" s="42"/>
      <c r="AF2717" s="42"/>
    </row>
    <row r="2718">
      <c r="A2718" s="25"/>
      <c r="B2718" s="297"/>
      <c r="C2718" s="25"/>
      <c r="D2718" s="25"/>
      <c r="E2718" s="25"/>
      <c r="F2718" s="25"/>
      <c r="G2718" s="123"/>
      <c r="H2718" s="123"/>
      <c r="I2718" s="25"/>
      <c r="J2718" s="25"/>
      <c r="K2718" s="367"/>
      <c r="L2718" s="42"/>
      <c r="M2718" s="42"/>
      <c r="N2718" s="42"/>
      <c r="O2718" s="42"/>
      <c r="P2718" s="42"/>
      <c r="Q2718" s="42"/>
      <c r="R2718" s="176"/>
      <c r="S2718" s="42"/>
      <c r="T2718" s="42"/>
      <c r="U2718" s="46"/>
      <c r="V2718" s="42"/>
      <c r="W2718" s="42"/>
      <c r="X2718" s="42"/>
      <c r="Y2718" s="42"/>
      <c r="Z2718" s="42"/>
      <c r="AA2718" s="42"/>
      <c r="AB2718" s="42"/>
      <c r="AC2718" s="42"/>
      <c r="AD2718" s="42"/>
      <c r="AE2718" s="42"/>
      <c r="AF2718" s="42"/>
    </row>
    <row r="2719">
      <c r="A2719" s="25"/>
      <c r="B2719" s="297"/>
      <c r="C2719" s="25"/>
      <c r="D2719" s="25"/>
      <c r="E2719" s="25"/>
      <c r="F2719" s="25"/>
      <c r="G2719" s="123"/>
      <c r="H2719" s="123"/>
      <c r="I2719" s="25"/>
      <c r="J2719" s="25"/>
      <c r="K2719" s="367"/>
      <c r="L2719" s="42"/>
      <c r="M2719" s="42"/>
      <c r="N2719" s="42"/>
      <c r="O2719" s="42"/>
      <c r="P2719" s="42"/>
      <c r="Q2719" s="42"/>
      <c r="R2719" s="176"/>
      <c r="S2719" s="42"/>
      <c r="T2719" s="42"/>
      <c r="U2719" s="46"/>
      <c r="V2719" s="42"/>
      <c r="W2719" s="42"/>
      <c r="X2719" s="42"/>
      <c r="Y2719" s="42"/>
      <c r="Z2719" s="42"/>
      <c r="AA2719" s="42"/>
      <c r="AB2719" s="42"/>
      <c r="AC2719" s="42"/>
      <c r="AD2719" s="42"/>
      <c r="AE2719" s="42"/>
      <c r="AF2719" s="42"/>
    </row>
    <row r="2720">
      <c r="A2720" s="25"/>
      <c r="B2720" s="297"/>
      <c r="C2720" s="25"/>
      <c r="D2720" s="25"/>
      <c r="E2720" s="25"/>
      <c r="F2720" s="25"/>
      <c r="G2720" s="123"/>
      <c r="H2720" s="123"/>
      <c r="I2720" s="25"/>
      <c r="J2720" s="25"/>
      <c r="K2720" s="367"/>
      <c r="L2720" s="42"/>
      <c r="M2720" s="42"/>
      <c r="N2720" s="42"/>
      <c r="O2720" s="42"/>
      <c r="P2720" s="42"/>
      <c r="Q2720" s="42"/>
      <c r="R2720" s="176"/>
      <c r="S2720" s="42"/>
      <c r="T2720" s="42"/>
      <c r="U2720" s="46"/>
      <c r="V2720" s="42"/>
      <c r="W2720" s="42"/>
      <c r="X2720" s="42"/>
      <c r="Y2720" s="42"/>
      <c r="Z2720" s="42"/>
      <c r="AA2720" s="42"/>
      <c r="AB2720" s="42"/>
      <c r="AC2720" s="42"/>
      <c r="AD2720" s="42"/>
      <c r="AE2720" s="42"/>
      <c r="AF2720" s="42"/>
    </row>
    <row r="2721">
      <c r="A2721" s="25"/>
      <c r="B2721" s="297"/>
      <c r="C2721" s="25"/>
      <c r="D2721" s="25"/>
      <c r="E2721" s="25"/>
      <c r="F2721" s="25"/>
      <c r="G2721" s="123"/>
      <c r="H2721" s="123"/>
      <c r="I2721" s="25"/>
      <c r="J2721" s="25"/>
      <c r="K2721" s="367"/>
      <c r="L2721" s="42"/>
      <c r="M2721" s="42"/>
      <c r="N2721" s="42"/>
      <c r="O2721" s="42"/>
      <c r="P2721" s="42"/>
      <c r="Q2721" s="42"/>
      <c r="R2721" s="176"/>
      <c r="S2721" s="42"/>
      <c r="T2721" s="42"/>
      <c r="U2721" s="46"/>
      <c r="V2721" s="42"/>
      <c r="W2721" s="42"/>
      <c r="X2721" s="42"/>
      <c r="Y2721" s="42"/>
      <c r="Z2721" s="42"/>
      <c r="AA2721" s="42"/>
      <c r="AB2721" s="42"/>
      <c r="AC2721" s="42"/>
      <c r="AD2721" s="42"/>
      <c r="AE2721" s="42"/>
      <c r="AF2721" s="42"/>
    </row>
    <row r="2722">
      <c r="A2722" s="25"/>
      <c r="B2722" s="297"/>
      <c r="C2722" s="25"/>
      <c r="D2722" s="25"/>
      <c r="E2722" s="25"/>
      <c r="F2722" s="25"/>
      <c r="G2722" s="123"/>
      <c r="H2722" s="123"/>
      <c r="I2722" s="25"/>
      <c r="J2722" s="25"/>
      <c r="K2722" s="367"/>
      <c r="L2722" s="42"/>
      <c r="M2722" s="42"/>
      <c r="N2722" s="42"/>
      <c r="O2722" s="42"/>
      <c r="P2722" s="42"/>
      <c r="Q2722" s="42"/>
      <c r="R2722" s="176"/>
      <c r="S2722" s="42"/>
      <c r="T2722" s="42"/>
      <c r="U2722" s="46"/>
      <c r="V2722" s="42"/>
      <c r="W2722" s="42"/>
      <c r="X2722" s="42"/>
      <c r="Y2722" s="42"/>
      <c r="Z2722" s="42"/>
      <c r="AA2722" s="42"/>
      <c r="AB2722" s="42"/>
      <c r="AC2722" s="42"/>
      <c r="AD2722" s="42"/>
      <c r="AE2722" s="42"/>
      <c r="AF2722" s="42"/>
    </row>
    <row r="2723">
      <c r="A2723" s="25"/>
      <c r="B2723" s="297"/>
      <c r="C2723" s="25"/>
      <c r="D2723" s="25"/>
      <c r="E2723" s="25"/>
      <c r="F2723" s="25"/>
      <c r="G2723" s="123"/>
      <c r="H2723" s="123"/>
      <c r="I2723" s="25"/>
      <c r="J2723" s="25"/>
      <c r="K2723" s="367"/>
      <c r="L2723" s="42"/>
      <c r="M2723" s="42"/>
      <c r="N2723" s="42"/>
      <c r="O2723" s="42"/>
      <c r="P2723" s="42"/>
      <c r="Q2723" s="42"/>
      <c r="R2723" s="176"/>
      <c r="S2723" s="42"/>
      <c r="T2723" s="42"/>
      <c r="U2723" s="46"/>
      <c r="V2723" s="42"/>
      <c r="W2723" s="42"/>
      <c r="X2723" s="42"/>
      <c r="Y2723" s="42"/>
      <c r="Z2723" s="42"/>
      <c r="AA2723" s="42"/>
      <c r="AB2723" s="42"/>
      <c r="AC2723" s="42"/>
      <c r="AD2723" s="42"/>
      <c r="AE2723" s="42"/>
      <c r="AF2723" s="42"/>
    </row>
    <row r="2724">
      <c r="A2724" s="25"/>
      <c r="B2724" s="297"/>
      <c r="C2724" s="25"/>
      <c r="D2724" s="25"/>
      <c r="E2724" s="25"/>
      <c r="F2724" s="25"/>
      <c r="G2724" s="123"/>
      <c r="H2724" s="123"/>
      <c r="I2724" s="25"/>
      <c r="J2724" s="25"/>
      <c r="K2724" s="367"/>
      <c r="L2724" s="42"/>
      <c r="M2724" s="42"/>
      <c r="N2724" s="42"/>
      <c r="O2724" s="42"/>
      <c r="P2724" s="42"/>
      <c r="Q2724" s="42"/>
      <c r="R2724" s="176"/>
      <c r="S2724" s="42"/>
      <c r="T2724" s="42"/>
      <c r="U2724" s="46"/>
      <c r="V2724" s="42"/>
      <c r="W2724" s="42"/>
      <c r="X2724" s="42"/>
      <c r="Y2724" s="42"/>
      <c r="Z2724" s="42"/>
      <c r="AA2724" s="42"/>
      <c r="AB2724" s="42"/>
      <c r="AC2724" s="42"/>
      <c r="AD2724" s="42"/>
      <c r="AE2724" s="42"/>
      <c r="AF2724" s="42"/>
    </row>
    <row r="2725">
      <c r="A2725" s="25"/>
      <c r="B2725" s="297"/>
      <c r="C2725" s="25"/>
      <c r="D2725" s="25"/>
      <c r="E2725" s="25"/>
      <c r="F2725" s="25"/>
      <c r="G2725" s="123"/>
      <c r="H2725" s="123"/>
      <c r="I2725" s="25"/>
      <c r="J2725" s="25"/>
      <c r="K2725" s="367"/>
      <c r="L2725" s="42"/>
      <c r="M2725" s="42"/>
      <c r="N2725" s="42"/>
      <c r="O2725" s="42"/>
      <c r="P2725" s="42"/>
      <c r="Q2725" s="42"/>
      <c r="R2725" s="176"/>
      <c r="S2725" s="42"/>
      <c r="T2725" s="42"/>
      <c r="U2725" s="46"/>
      <c r="V2725" s="42"/>
      <c r="W2725" s="42"/>
      <c r="X2725" s="42"/>
      <c r="Y2725" s="42"/>
      <c r="Z2725" s="42"/>
      <c r="AA2725" s="42"/>
      <c r="AB2725" s="42"/>
      <c r="AC2725" s="42"/>
      <c r="AD2725" s="42"/>
      <c r="AE2725" s="42"/>
      <c r="AF2725" s="42"/>
    </row>
    <row r="2726">
      <c r="A2726" s="25"/>
      <c r="B2726" s="297"/>
      <c r="C2726" s="25"/>
      <c r="D2726" s="25"/>
      <c r="E2726" s="25"/>
      <c r="F2726" s="25"/>
      <c r="G2726" s="123"/>
      <c r="H2726" s="123"/>
      <c r="I2726" s="25"/>
      <c r="J2726" s="25"/>
      <c r="K2726" s="367"/>
      <c r="L2726" s="42"/>
      <c r="M2726" s="42"/>
      <c r="N2726" s="42"/>
      <c r="O2726" s="42"/>
      <c r="P2726" s="42"/>
      <c r="Q2726" s="42"/>
      <c r="R2726" s="176"/>
      <c r="S2726" s="42"/>
      <c r="T2726" s="42"/>
      <c r="U2726" s="46"/>
      <c r="V2726" s="42"/>
      <c r="W2726" s="42"/>
      <c r="X2726" s="42"/>
      <c r="Y2726" s="42"/>
      <c r="Z2726" s="42"/>
      <c r="AA2726" s="42"/>
      <c r="AB2726" s="42"/>
      <c r="AC2726" s="42"/>
      <c r="AD2726" s="42"/>
      <c r="AE2726" s="42"/>
      <c r="AF2726" s="42"/>
    </row>
    <row r="2727">
      <c r="A2727" s="25"/>
      <c r="B2727" s="297"/>
      <c r="C2727" s="25"/>
      <c r="D2727" s="25"/>
      <c r="E2727" s="25"/>
      <c r="F2727" s="25"/>
      <c r="G2727" s="123"/>
      <c r="H2727" s="123"/>
      <c r="I2727" s="25"/>
      <c r="J2727" s="25"/>
      <c r="K2727" s="367"/>
      <c r="L2727" s="42"/>
      <c r="M2727" s="42"/>
      <c r="N2727" s="42"/>
      <c r="O2727" s="42"/>
      <c r="P2727" s="42"/>
      <c r="Q2727" s="42"/>
      <c r="R2727" s="176"/>
      <c r="S2727" s="42"/>
      <c r="T2727" s="42"/>
      <c r="U2727" s="46"/>
      <c r="V2727" s="42"/>
      <c r="W2727" s="42"/>
      <c r="X2727" s="42"/>
      <c r="Y2727" s="42"/>
      <c r="Z2727" s="42"/>
      <c r="AA2727" s="42"/>
      <c r="AB2727" s="42"/>
      <c r="AC2727" s="42"/>
      <c r="AD2727" s="42"/>
      <c r="AE2727" s="42"/>
      <c r="AF2727" s="42"/>
    </row>
    <row r="2728">
      <c r="A2728" s="25"/>
      <c r="B2728" s="297"/>
      <c r="C2728" s="25"/>
      <c r="D2728" s="25"/>
      <c r="E2728" s="25"/>
      <c r="F2728" s="25"/>
      <c r="G2728" s="123"/>
      <c r="H2728" s="123"/>
      <c r="I2728" s="25"/>
      <c r="J2728" s="25"/>
      <c r="K2728" s="367"/>
      <c r="L2728" s="42"/>
      <c r="M2728" s="42"/>
      <c r="N2728" s="42"/>
      <c r="O2728" s="42"/>
      <c r="P2728" s="42"/>
      <c r="Q2728" s="42"/>
      <c r="R2728" s="176"/>
      <c r="S2728" s="42"/>
      <c r="T2728" s="42"/>
      <c r="U2728" s="46"/>
      <c r="V2728" s="42"/>
      <c r="W2728" s="42"/>
      <c r="X2728" s="42"/>
      <c r="Y2728" s="42"/>
      <c r="Z2728" s="42"/>
      <c r="AA2728" s="42"/>
      <c r="AB2728" s="42"/>
      <c r="AC2728" s="42"/>
      <c r="AD2728" s="42"/>
      <c r="AE2728" s="42"/>
      <c r="AF2728" s="42"/>
    </row>
    <row r="2729">
      <c r="A2729" s="25"/>
      <c r="B2729" s="297"/>
      <c r="C2729" s="25"/>
      <c r="D2729" s="25"/>
      <c r="E2729" s="25"/>
      <c r="F2729" s="25"/>
      <c r="G2729" s="123"/>
      <c r="H2729" s="123"/>
      <c r="I2729" s="25"/>
      <c r="J2729" s="25"/>
      <c r="K2729" s="367"/>
      <c r="L2729" s="42"/>
      <c r="M2729" s="42"/>
      <c r="N2729" s="42"/>
      <c r="O2729" s="42"/>
      <c r="P2729" s="42"/>
      <c r="Q2729" s="42"/>
      <c r="R2729" s="176"/>
      <c r="S2729" s="42"/>
      <c r="T2729" s="42"/>
      <c r="U2729" s="46"/>
      <c r="V2729" s="42"/>
      <c r="W2729" s="42"/>
      <c r="X2729" s="42"/>
      <c r="Y2729" s="42"/>
      <c r="Z2729" s="42"/>
      <c r="AA2729" s="42"/>
      <c r="AB2729" s="42"/>
      <c r="AC2729" s="42"/>
      <c r="AD2729" s="42"/>
      <c r="AE2729" s="42"/>
      <c r="AF2729" s="42"/>
    </row>
    <row r="2730">
      <c r="A2730" s="25"/>
      <c r="B2730" s="297"/>
      <c r="C2730" s="25"/>
      <c r="D2730" s="25"/>
      <c r="E2730" s="25"/>
      <c r="F2730" s="25"/>
      <c r="G2730" s="123"/>
      <c r="H2730" s="123"/>
      <c r="I2730" s="25"/>
      <c r="J2730" s="25"/>
      <c r="K2730" s="367"/>
      <c r="L2730" s="42"/>
      <c r="M2730" s="42"/>
      <c r="N2730" s="42"/>
      <c r="O2730" s="42"/>
      <c r="P2730" s="42"/>
      <c r="Q2730" s="42"/>
      <c r="R2730" s="176"/>
      <c r="S2730" s="42"/>
      <c r="T2730" s="42"/>
      <c r="U2730" s="46"/>
      <c r="V2730" s="42"/>
      <c r="W2730" s="42"/>
      <c r="X2730" s="42"/>
      <c r="Y2730" s="42"/>
      <c r="Z2730" s="42"/>
      <c r="AA2730" s="42"/>
      <c r="AB2730" s="42"/>
      <c r="AC2730" s="42"/>
      <c r="AD2730" s="42"/>
      <c r="AE2730" s="42"/>
      <c r="AF2730" s="42"/>
    </row>
    <row r="2731">
      <c r="A2731" s="25"/>
      <c r="B2731" s="297"/>
      <c r="C2731" s="25"/>
      <c r="D2731" s="25"/>
      <c r="E2731" s="25"/>
      <c r="F2731" s="25"/>
      <c r="G2731" s="123"/>
      <c r="H2731" s="123"/>
      <c r="I2731" s="25"/>
      <c r="J2731" s="25"/>
      <c r="K2731" s="367"/>
      <c r="L2731" s="42"/>
      <c r="M2731" s="42"/>
      <c r="N2731" s="42"/>
      <c r="O2731" s="42"/>
      <c r="P2731" s="42"/>
      <c r="Q2731" s="42"/>
      <c r="R2731" s="176"/>
      <c r="S2731" s="42"/>
      <c r="T2731" s="42"/>
      <c r="U2731" s="46"/>
      <c r="V2731" s="42"/>
      <c r="W2731" s="42"/>
      <c r="X2731" s="42"/>
      <c r="Y2731" s="42"/>
      <c r="Z2731" s="42"/>
      <c r="AA2731" s="42"/>
      <c r="AB2731" s="42"/>
      <c r="AC2731" s="42"/>
      <c r="AD2731" s="42"/>
      <c r="AE2731" s="42"/>
      <c r="AF2731" s="42"/>
    </row>
    <row r="2732">
      <c r="A2732" s="25"/>
      <c r="B2732" s="297"/>
      <c r="C2732" s="25"/>
      <c r="D2732" s="25"/>
      <c r="E2732" s="25"/>
      <c r="F2732" s="25"/>
      <c r="G2732" s="123"/>
      <c r="H2732" s="123"/>
      <c r="I2732" s="25"/>
      <c r="J2732" s="25"/>
      <c r="K2732" s="367"/>
      <c r="L2732" s="42"/>
      <c r="M2732" s="42"/>
      <c r="N2732" s="42"/>
      <c r="O2732" s="42"/>
      <c r="P2732" s="42"/>
      <c r="Q2732" s="42"/>
      <c r="R2732" s="176"/>
      <c r="S2732" s="42"/>
      <c r="T2732" s="42"/>
      <c r="U2732" s="46"/>
      <c r="V2732" s="42"/>
      <c r="W2732" s="42"/>
      <c r="X2732" s="42"/>
      <c r="Y2732" s="42"/>
      <c r="Z2732" s="42"/>
      <c r="AA2732" s="42"/>
      <c r="AB2732" s="42"/>
      <c r="AC2732" s="42"/>
      <c r="AD2732" s="42"/>
      <c r="AE2732" s="42"/>
      <c r="AF2732" s="42"/>
    </row>
    <row r="2733">
      <c r="A2733" s="25"/>
      <c r="B2733" s="297"/>
      <c r="C2733" s="25"/>
      <c r="D2733" s="25"/>
      <c r="E2733" s="25"/>
      <c r="F2733" s="25"/>
      <c r="G2733" s="123"/>
      <c r="H2733" s="123"/>
      <c r="I2733" s="25"/>
      <c r="J2733" s="25"/>
      <c r="K2733" s="367"/>
      <c r="L2733" s="42"/>
      <c r="M2733" s="42"/>
      <c r="N2733" s="42"/>
      <c r="O2733" s="42"/>
      <c r="P2733" s="42"/>
      <c r="Q2733" s="42"/>
      <c r="R2733" s="176"/>
      <c r="S2733" s="42"/>
      <c r="T2733" s="42"/>
      <c r="U2733" s="46"/>
      <c r="V2733" s="42"/>
      <c r="W2733" s="42"/>
      <c r="X2733" s="42"/>
      <c r="Y2733" s="42"/>
      <c r="Z2733" s="42"/>
      <c r="AA2733" s="42"/>
      <c r="AB2733" s="42"/>
      <c r="AC2733" s="42"/>
      <c r="AD2733" s="42"/>
      <c r="AE2733" s="42"/>
      <c r="AF2733" s="42"/>
    </row>
    <row r="2734">
      <c r="A2734" s="25"/>
      <c r="B2734" s="297"/>
      <c r="C2734" s="25"/>
      <c r="D2734" s="25"/>
      <c r="E2734" s="25"/>
      <c r="F2734" s="25"/>
      <c r="G2734" s="123"/>
      <c r="H2734" s="123"/>
      <c r="I2734" s="25"/>
      <c r="J2734" s="25"/>
      <c r="K2734" s="367"/>
      <c r="L2734" s="42"/>
      <c r="M2734" s="42"/>
      <c r="N2734" s="42"/>
      <c r="O2734" s="42"/>
      <c r="P2734" s="42"/>
      <c r="Q2734" s="42"/>
      <c r="R2734" s="176"/>
      <c r="S2734" s="42"/>
      <c r="T2734" s="42"/>
      <c r="U2734" s="46"/>
      <c r="V2734" s="42"/>
      <c r="W2734" s="42"/>
      <c r="X2734" s="42"/>
      <c r="Y2734" s="42"/>
      <c r="Z2734" s="42"/>
      <c r="AA2734" s="42"/>
      <c r="AB2734" s="42"/>
      <c r="AC2734" s="42"/>
      <c r="AD2734" s="42"/>
      <c r="AE2734" s="42"/>
      <c r="AF2734" s="42"/>
    </row>
    <row r="2735">
      <c r="A2735" s="25"/>
      <c r="B2735" s="297"/>
      <c r="C2735" s="25"/>
      <c r="D2735" s="25"/>
      <c r="E2735" s="25"/>
      <c r="F2735" s="25"/>
      <c r="G2735" s="123"/>
      <c r="H2735" s="123"/>
      <c r="I2735" s="25"/>
      <c r="J2735" s="25"/>
      <c r="K2735" s="367"/>
      <c r="L2735" s="42"/>
      <c r="M2735" s="42"/>
      <c r="N2735" s="42"/>
      <c r="O2735" s="42"/>
      <c r="P2735" s="42"/>
      <c r="Q2735" s="42"/>
      <c r="R2735" s="176"/>
      <c r="S2735" s="42"/>
      <c r="T2735" s="42"/>
      <c r="U2735" s="46"/>
      <c r="V2735" s="42"/>
      <c r="W2735" s="42"/>
      <c r="X2735" s="42"/>
      <c r="Y2735" s="42"/>
      <c r="Z2735" s="42"/>
      <c r="AA2735" s="42"/>
      <c r="AB2735" s="42"/>
      <c r="AC2735" s="42"/>
      <c r="AD2735" s="42"/>
      <c r="AE2735" s="42"/>
      <c r="AF2735" s="42"/>
    </row>
    <row r="2736">
      <c r="A2736" s="25"/>
      <c r="B2736" s="297"/>
      <c r="C2736" s="25"/>
      <c r="D2736" s="25"/>
      <c r="E2736" s="25"/>
      <c r="F2736" s="25"/>
      <c r="G2736" s="123"/>
      <c r="H2736" s="123"/>
      <c r="I2736" s="25"/>
      <c r="J2736" s="25"/>
      <c r="K2736" s="367"/>
      <c r="L2736" s="42"/>
      <c r="M2736" s="42"/>
      <c r="N2736" s="42"/>
      <c r="O2736" s="42"/>
      <c r="P2736" s="42"/>
      <c r="Q2736" s="42"/>
      <c r="R2736" s="176"/>
      <c r="S2736" s="42"/>
      <c r="T2736" s="42"/>
      <c r="U2736" s="46"/>
      <c r="V2736" s="42"/>
      <c r="W2736" s="42"/>
      <c r="X2736" s="42"/>
      <c r="Y2736" s="42"/>
      <c r="Z2736" s="42"/>
      <c r="AA2736" s="42"/>
      <c r="AB2736" s="42"/>
      <c r="AC2736" s="42"/>
      <c r="AD2736" s="42"/>
      <c r="AE2736" s="42"/>
      <c r="AF2736" s="42"/>
    </row>
    <row r="2737">
      <c r="A2737" s="25"/>
      <c r="B2737" s="297"/>
      <c r="C2737" s="25"/>
      <c r="D2737" s="25"/>
      <c r="E2737" s="25"/>
      <c r="F2737" s="25"/>
      <c r="G2737" s="123"/>
      <c r="H2737" s="123"/>
      <c r="I2737" s="25"/>
      <c r="J2737" s="25"/>
      <c r="K2737" s="367"/>
      <c r="L2737" s="42"/>
      <c r="M2737" s="42"/>
      <c r="N2737" s="42"/>
      <c r="O2737" s="42"/>
      <c r="P2737" s="42"/>
      <c r="Q2737" s="42"/>
      <c r="R2737" s="176"/>
      <c r="S2737" s="42"/>
      <c r="T2737" s="42"/>
      <c r="U2737" s="46"/>
      <c r="V2737" s="42"/>
      <c r="W2737" s="42"/>
      <c r="X2737" s="42"/>
      <c r="Y2737" s="42"/>
      <c r="Z2737" s="42"/>
      <c r="AA2737" s="42"/>
      <c r="AB2737" s="42"/>
      <c r="AC2737" s="42"/>
      <c r="AD2737" s="42"/>
      <c r="AE2737" s="42"/>
      <c r="AF2737" s="42"/>
    </row>
    <row r="2738">
      <c r="A2738" s="25"/>
      <c r="B2738" s="297"/>
      <c r="C2738" s="25"/>
      <c r="D2738" s="25"/>
      <c r="E2738" s="25"/>
      <c r="F2738" s="25"/>
      <c r="G2738" s="123"/>
      <c r="H2738" s="123"/>
      <c r="I2738" s="25"/>
      <c r="J2738" s="25"/>
      <c r="K2738" s="367"/>
      <c r="L2738" s="42"/>
      <c r="M2738" s="42"/>
      <c r="N2738" s="42"/>
      <c r="O2738" s="42"/>
      <c r="P2738" s="42"/>
      <c r="Q2738" s="42"/>
      <c r="R2738" s="176"/>
      <c r="S2738" s="42"/>
      <c r="T2738" s="42"/>
      <c r="U2738" s="46"/>
      <c r="V2738" s="42"/>
      <c r="W2738" s="42"/>
      <c r="X2738" s="42"/>
      <c r="Y2738" s="42"/>
      <c r="Z2738" s="42"/>
      <c r="AA2738" s="42"/>
      <c r="AB2738" s="42"/>
      <c r="AC2738" s="42"/>
      <c r="AD2738" s="42"/>
      <c r="AE2738" s="42"/>
      <c r="AF2738" s="42"/>
    </row>
    <row r="2739">
      <c r="A2739" s="25"/>
      <c r="B2739" s="297"/>
      <c r="C2739" s="25"/>
      <c r="D2739" s="25"/>
      <c r="E2739" s="25"/>
      <c r="F2739" s="25"/>
      <c r="G2739" s="123"/>
      <c r="H2739" s="123"/>
      <c r="I2739" s="25"/>
      <c r="J2739" s="25"/>
      <c r="K2739" s="367"/>
      <c r="L2739" s="42"/>
      <c r="M2739" s="42"/>
      <c r="N2739" s="42"/>
      <c r="O2739" s="42"/>
      <c r="P2739" s="42"/>
      <c r="Q2739" s="42"/>
      <c r="R2739" s="176"/>
      <c r="S2739" s="42"/>
      <c r="T2739" s="42"/>
      <c r="U2739" s="46"/>
      <c r="V2739" s="42"/>
      <c r="W2739" s="42"/>
      <c r="X2739" s="42"/>
      <c r="Y2739" s="42"/>
      <c r="Z2739" s="42"/>
      <c r="AA2739" s="42"/>
      <c r="AB2739" s="42"/>
      <c r="AC2739" s="42"/>
      <c r="AD2739" s="42"/>
      <c r="AE2739" s="42"/>
      <c r="AF2739" s="42"/>
    </row>
    <row r="2740">
      <c r="A2740" s="25"/>
      <c r="B2740" s="297"/>
      <c r="C2740" s="25"/>
      <c r="D2740" s="25"/>
      <c r="E2740" s="25"/>
      <c r="F2740" s="25"/>
      <c r="G2740" s="123"/>
      <c r="H2740" s="123"/>
      <c r="I2740" s="25"/>
      <c r="J2740" s="25"/>
      <c r="K2740" s="367"/>
      <c r="L2740" s="42"/>
      <c r="M2740" s="42"/>
      <c r="N2740" s="42"/>
      <c r="O2740" s="42"/>
      <c r="P2740" s="42"/>
      <c r="Q2740" s="42"/>
      <c r="R2740" s="176"/>
      <c r="S2740" s="42"/>
      <c r="T2740" s="42"/>
      <c r="U2740" s="46"/>
      <c r="V2740" s="42"/>
      <c r="W2740" s="42"/>
      <c r="X2740" s="42"/>
      <c r="Y2740" s="42"/>
      <c r="Z2740" s="42"/>
      <c r="AA2740" s="42"/>
      <c r="AB2740" s="42"/>
      <c r="AC2740" s="42"/>
      <c r="AD2740" s="42"/>
      <c r="AE2740" s="42"/>
      <c r="AF2740" s="42"/>
    </row>
    <row r="2741">
      <c r="A2741" s="25"/>
      <c r="B2741" s="297"/>
      <c r="C2741" s="25"/>
      <c r="D2741" s="25"/>
      <c r="E2741" s="25"/>
      <c r="F2741" s="25"/>
      <c r="G2741" s="123"/>
      <c r="H2741" s="123"/>
      <c r="I2741" s="25"/>
      <c r="J2741" s="25"/>
      <c r="K2741" s="367"/>
      <c r="L2741" s="42"/>
      <c r="M2741" s="42"/>
      <c r="N2741" s="42"/>
      <c r="O2741" s="42"/>
      <c r="P2741" s="42"/>
      <c r="Q2741" s="42"/>
      <c r="R2741" s="176"/>
      <c r="S2741" s="42"/>
      <c r="T2741" s="42"/>
      <c r="U2741" s="46"/>
      <c r="V2741" s="42"/>
      <c r="W2741" s="42"/>
      <c r="X2741" s="42"/>
      <c r="Y2741" s="42"/>
      <c r="Z2741" s="42"/>
      <c r="AA2741" s="42"/>
      <c r="AB2741" s="42"/>
      <c r="AC2741" s="42"/>
      <c r="AD2741" s="42"/>
      <c r="AE2741" s="42"/>
      <c r="AF2741" s="42"/>
    </row>
    <row r="2742">
      <c r="A2742" s="25"/>
      <c r="B2742" s="297"/>
      <c r="C2742" s="25"/>
      <c r="D2742" s="25"/>
      <c r="E2742" s="25"/>
      <c r="F2742" s="25"/>
      <c r="G2742" s="123"/>
      <c r="H2742" s="123"/>
      <c r="I2742" s="25"/>
      <c r="J2742" s="25"/>
      <c r="K2742" s="367"/>
      <c r="L2742" s="42"/>
      <c r="M2742" s="42"/>
      <c r="N2742" s="42"/>
      <c r="O2742" s="42"/>
      <c r="P2742" s="42"/>
      <c r="Q2742" s="42"/>
      <c r="R2742" s="176"/>
      <c r="S2742" s="42"/>
      <c r="T2742" s="42"/>
      <c r="U2742" s="46"/>
      <c r="V2742" s="42"/>
      <c r="W2742" s="42"/>
      <c r="X2742" s="42"/>
      <c r="Y2742" s="42"/>
      <c r="Z2742" s="42"/>
      <c r="AA2742" s="42"/>
      <c r="AB2742" s="42"/>
      <c r="AC2742" s="42"/>
      <c r="AD2742" s="42"/>
      <c r="AE2742" s="42"/>
      <c r="AF2742" s="42"/>
    </row>
    <row r="2743">
      <c r="A2743" s="25"/>
      <c r="B2743" s="297"/>
      <c r="C2743" s="25"/>
      <c r="D2743" s="25"/>
      <c r="E2743" s="25"/>
      <c r="F2743" s="25"/>
      <c r="G2743" s="123"/>
      <c r="H2743" s="123"/>
      <c r="I2743" s="25"/>
      <c r="J2743" s="25"/>
      <c r="K2743" s="367"/>
      <c r="L2743" s="42"/>
      <c r="M2743" s="42"/>
      <c r="N2743" s="42"/>
      <c r="O2743" s="42"/>
      <c r="P2743" s="42"/>
      <c r="Q2743" s="42"/>
      <c r="R2743" s="176"/>
      <c r="S2743" s="42"/>
      <c r="T2743" s="42"/>
      <c r="U2743" s="46"/>
      <c r="V2743" s="42"/>
      <c r="W2743" s="42"/>
      <c r="X2743" s="42"/>
      <c r="Y2743" s="42"/>
      <c r="Z2743" s="42"/>
      <c r="AA2743" s="42"/>
      <c r="AB2743" s="42"/>
      <c r="AC2743" s="42"/>
      <c r="AD2743" s="42"/>
      <c r="AE2743" s="42"/>
      <c r="AF2743" s="42"/>
    </row>
    <row r="2744">
      <c r="A2744" s="25"/>
      <c r="B2744" s="297"/>
      <c r="C2744" s="25"/>
      <c r="D2744" s="25"/>
      <c r="E2744" s="25"/>
      <c r="F2744" s="25"/>
      <c r="G2744" s="123"/>
      <c r="H2744" s="123"/>
      <c r="I2744" s="25"/>
      <c r="J2744" s="25"/>
      <c r="K2744" s="367"/>
      <c r="L2744" s="42"/>
      <c r="M2744" s="42"/>
      <c r="N2744" s="42"/>
      <c r="O2744" s="42"/>
      <c r="P2744" s="42"/>
      <c r="Q2744" s="42"/>
      <c r="R2744" s="176"/>
      <c r="S2744" s="42"/>
      <c r="T2744" s="42"/>
      <c r="U2744" s="46"/>
      <c r="V2744" s="42"/>
      <c r="W2744" s="42"/>
      <c r="X2744" s="42"/>
      <c r="Y2744" s="42"/>
      <c r="Z2744" s="42"/>
      <c r="AA2744" s="42"/>
      <c r="AB2744" s="42"/>
      <c r="AC2744" s="42"/>
      <c r="AD2744" s="42"/>
      <c r="AE2744" s="42"/>
      <c r="AF2744" s="42"/>
    </row>
    <row r="2745">
      <c r="A2745" s="25"/>
      <c r="B2745" s="297"/>
      <c r="C2745" s="25"/>
      <c r="D2745" s="25"/>
      <c r="E2745" s="25"/>
      <c r="F2745" s="25"/>
      <c r="G2745" s="123"/>
      <c r="H2745" s="123"/>
      <c r="I2745" s="25"/>
      <c r="J2745" s="25"/>
      <c r="K2745" s="367"/>
      <c r="L2745" s="42"/>
      <c r="M2745" s="42"/>
      <c r="N2745" s="42"/>
      <c r="O2745" s="42"/>
      <c r="P2745" s="42"/>
      <c r="Q2745" s="42"/>
      <c r="R2745" s="176"/>
      <c r="S2745" s="42"/>
      <c r="T2745" s="42"/>
      <c r="U2745" s="46"/>
      <c r="V2745" s="42"/>
      <c r="W2745" s="42"/>
      <c r="X2745" s="42"/>
      <c r="Y2745" s="42"/>
      <c r="Z2745" s="42"/>
      <c r="AA2745" s="42"/>
      <c r="AB2745" s="42"/>
      <c r="AC2745" s="42"/>
      <c r="AD2745" s="42"/>
      <c r="AE2745" s="42"/>
      <c r="AF2745" s="42"/>
    </row>
    <row r="2746">
      <c r="A2746" s="25"/>
      <c r="B2746" s="297"/>
      <c r="C2746" s="25"/>
      <c r="D2746" s="25"/>
      <c r="E2746" s="25"/>
      <c r="F2746" s="25"/>
      <c r="G2746" s="123"/>
      <c r="H2746" s="123"/>
      <c r="I2746" s="25"/>
      <c r="J2746" s="25"/>
      <c r="K2746" s="367"/>
      <c r="L2746" s="42"/>
      <c r="M2746" s="42"/>
      <c r="N2746" s="42"/>
      <c r="O2746" s="42"/>
      <c r="P2746" s="42"/>
      <c r="Q2746" s="42"/>
      <c r="R2746" s="176"/>
      <c r="S2746" s="42"/>
      <c r="T2746" s="42"/>
      <c r="U2746" s="46"/>
      <c r="V2746" s="42"/>
      <c r="W2746" s="42"/>
      <c r="X2746" s="42"/>
      <c r="Y2746" s="42"/>
      <c r="Z2746" s="42"/>
      <c r="AA2746" s="42"/>
      <c r="AB2746" s="42"/>
      <c r="AC2746" s="42"/>
      <c r="AD2746" s="42"/>
      <c r="AE2746" s="42"/>
      <c r="AF2746" s="42"/>
    </row>
    <row r="2747">
      <c r="A2747" s="25"/>
      <c r="B2747" s="297"/>
      <c r="C2747" s="25"/>
      <c r="D2747" s="25"/>
      <c r="E2747" s="25"/>
      <c r="F2747" s="25"/>
      <c r="G2747" s="123"/>
      <c r="H2747" s="123"/>
      <c r="I2747" s="25"/>
      <c r="J2747" s="25"/>
      <c r="K2747" s="367"/>
      <c r="L2747" s="42"/>
      <c r="M2747" s="42"/>
      <c r="N2747" s="42"/>
      <c r="O2747" s="42"/>
      <c r="P2747" s="42"/>
      <c r="Q2747" s="42"/>
      <c r="R2747" s="176"/>
      <c r="S2747" s="42"/>
      <c r="T2747" s="42"/>
      <c r="U2747" s="46"/>
      <c r="V2747" s="42"/>
      <c r="W2747" s="42"/>
      <c r="X2747" s="42"/>
      <c r="Y2747" s="42"/>
      <c r="Z2747" s="42"/>
      <c r="AA2747" s="42"/>
      <c r="AB2747" s="42"/>
      <c r="AC2747" s="42"/>
      <c r="AD2747" s="42"/>
      <c r="AE2747" s="42"/>
      <c r="AF2747" s="42"/>
    </row>
    <row r="2748">
      <c r="A2748" s="25"/>
      <c r="B2748" s="297"/>
      <c r="C2748" s="25"/>
      <c r="D2748" s="25"/>
      <c r="E2748" s="25"/>
      <c r="F2748" s="25"/>
      <c r="G2748" s="123"/>
      <c r="H2748" s="123"/>
      <c r="I2748" s="25"/>
      <c r="J2748" s="25"/>
      <c r="K2748" s="367"/>
      <c r="L2748" s="42"/>
      <c r="M2748" s="42"/>
      <c r="N2748" s="42"/>
      <c r="O2748" s="42"/>
      <c r="P2748" s="42"/>
      <c r="Q2748" s="42"/>
      <c r="R2748" s="176"/>
      <c r="S2748" s="42"/>
      <c r="T2748" s="42"/>
      <c r="U2748" s="46"/>
      <c r="V2748" s="42"/>
      <c r="W2748" s="42"/>
      <c r="X2748" s="42"/>
      <c r="Y2748" s="42"/>
      <c r="Z2748" s="42"/>
      <c r="AA2748" s="42"/>
      <c r="AB2748" s="42"/>
      <c r="AC2748" s="42"/>
      <c r="AD2748" s="42"/>
      <c r="AE2748" s="42"/>
      <c r="AF2748" s="42"/>
    </row>
    <row r="2749">
      <c r="A2749" s="25"/>
      <c r="B2749" s="297"/>
      <c r="C2749" s="25"/>
      <c r="D2749" s="25"/>
      <c r="E2749" s="25"/>
      <c r="F2749" s="25"/>
      <c r="G2749" s="123"/>
      <c r="H2749" s="123"/>
      <c r="I2749" s="25"/>
      <c r="J2749" s="25"/>
      <c r="K2749" s="367"/>
      <c r="L2749" s="42"/>
      <c r="M2749" s="42"/>
      <c r="N2749" s="42"/>
      <c r="O2749" s="42"/>
      <c r="P2749" s="42"/>
      <c r="Q2749" s="42"/>
      <c r="R2749" s="176"/>
      <c r="S2749" s="42"/>
      <c r="T2749" s="42"/>
      <c r="U2749" s="46"/>
      <c r="V2749" s="42"/>
      <c r="W2749" s="42"/>
      <c r="X2749" s="42"/>
      <c r="Y2749" s="42"/>
      <c r="Z2749" s="42"/>
      <c r="AA2749" s="42"/>
      <c r="AB2749" s="42"/>
      <c r="AC2749" s="42"/>
      <c r="AD2749" s="42"/>
      <c r="AE2749" s="42"/>
      <c r="AF2749" s="42"/>
    </row>
    <row r="2750">
      <c r="A2750" s="25"/>
      <c r="B2750" s="297"/>
      <c r="C2750" s="25"/>
      <c r="D2750" s="25"/>
      <c r="E2750" s="25"/>
      <c r="F2750" s="25"/>
      <c r="G2750" s="123"/>
      <c r="H2750" s="123"/>
      <c r="I2750" s="25"/>
      <c r="J2750" s="25"/>
      <c r="K2750" s="367"/>
      <c r="L2750" s="42"/>
      <c r="M2750" s="42"/>
      <c r="N2750" s="42"/>
      <c r="O2750" s="42"/>
      <c r="P2750" s="42"/>
      <c r="Q2750" s="42"/>
      <c r="R2750" s="176"/>
      <c r="S2750" s="42"/>
      <c r="T2750" s="42"/>
      <c r="U2750" s="46"/>
      <c r="V2750" s="42"/>
      <c r="W2750" s="42"/>
      <c r="X2750" s="42"/>
      <c r="Y2750" s="42"/>
      <c r="Z2750" s="42"/>
      <c r="AA2750" s="42"/>
      <c r="AB2750" s="42"/>
      <c r="AC2750" s="42"/>
      <c r="AD2750" s="42"/>
      <c r="AE2750" s="42"/>
      <c r="AF2750" s="42"/>
    </row>
    <row r="2751">
      <c r="A2751" s="25"/>
      <c r="B2751" s="297"/>
      <c r="C2751" s="25"/>
      <c r="D2751" s="25"/>
      <c r="E2751" s="25"/>
      <c r="F2751" s="25"/>
      <c r="G2751" s="123"/>
      <c r="H2751" s="123"/>
      <c r="I2751" s="25"/>
      <c r="J2751" s="25"/>
      <c r="K2751" s="367"/>
      <c r="L2751" s="42"/>
      <c r="M2751" s="42"/>
      <c r="N2751" s="42"/>
      <c r="O2751" s="42"/>
      <c r="P2751" s="42"/>
      <c r="Q2751" s="42"/>
      <c r="R2751" s="176"/>
      <c r="S2751" s="42"/>
      <c r="T2751" s="42"/>
      <c r="U2751" s="46"/>
      <c r="V2751" s="42"/>
      <c r="W2751" s="42"/>
      <c r="X2751" s="42"/>
      <c r="Y2751" s="42"/>
      <c r="Z2751" s="42"/>
      <c r="AA2751" s="42"/>
      <c r="AB2751" s="42"/>
      <c r="AC2751" s="42"/>
      <c r="AD2751" s="42"/>
      <c r="AE2751" s="42"/>
      <c r="AF2751" s="42"/>
    </row>
    <row r="2752">
      <c r="A2752" s="25"/>
      <c r="B2752" s="297"/>
      <c r="C2752" s="25"/>
      <c r="D2752" s="25"/>
      <c r="E2752" s="25"/>
      <c r="F2752" s="25"/>
      <c r="G2752" s="123"/>
      <c r="H2752" s="123"/>
      <c r="I2752" s="25"/>
      <c r="J2752" s="25"/>
      <c r="K2752" s="367"/>
      <c r="L2752" s="42"/>
      <c r="M2752" s="42"/>
      <c r="N2752" s="42"/>
      <c r="O2752" s="42"/>
      <c r="P2752" s="42"/>
      <c r="Q2752" s="42"/>
      <c r="R2752" s="176"/>
      <c r="S2752" s="42"/>
      <c r="T2752" s="42"/>
      <c r="U2752" s="46"/>
      <c r="V2752" s="42"/>
      <c r="W2752" s="42"/>
      <c r="X2752" s="42"/>
      <c r="Y2752" s="42"/>
      <c r="Z2752" s="42"/>
      <c r="AA2752" s="42"/>
      <c r="AB2752" s="42"/>
      <c r="AC2752" s="42"/>
      <c r="AD2752" s="42"/>
      <c r="AE2752" s="42"/>
      <c r="AF2752" s="42"/>
    </row>
    <row r="2753">
      <c r="A2753" s="25"/>
      <c r="B2753" s="297"/>
      <c r="C2753" s="25"/>
      <c r="D2753" s="25"/>
      <c r="E2753" s="25"/>
      <c r="F2753" s="25"/>
      <c r="G2753" s="123"/>
      <c r="H2753" s="123"/>
      <c r="I2753" s="25"/>
      <c r="J2753" s="25"/>
      <c r="K2753" s="367"/>
      <c r="L2753" s="42"/>
      <c r="M2753" s="42"/>
      <c r="N2753" s="42"/>
      <c r="O2753" s="42"/>
      <c r="P2753" s="42"/>
      <c r="Q2753" s="42"/>
      <c r="R2753" s="176"/>
      <c r="S2753" s="42"/>
      <c r="T2753" s="42"/>
      <c r="U2753" s="46"/>
      <c r="V2753" s="42"/>
      <c r="W2753" s="42"/>
      <c r="X2753" s="42"/>
      <c r="Y2753" s="42"/>
      <c r="Z2753" s="42"/>
      <c r="AA2753" s="42"/>
      <c r="AB2753" s="42"/>
      <c r="AC2753" s="42"/>
      <c r="AD2753" s="42"/>
      <c r="AE2753" s="42"/>
      <c r="AF2753" s="42"/>
    </row>
    <row r="2754">
      <c r="A2754" s="25"/>
      <c r="B2754" s="297"/>
      <c r="C2754" s="25"/>
      <c r="D2754" s="25"/>
      <c r="E2754" s="25"/>
      <c r="F2754" s="25"/>
      <c r="G2754" s="123"/>
      <c r="H2754" s="123"/>
      <c r="I2754" s="25"/>
      <c r="J2754" s="25"/>
      <c r="K2754" s="367"/>
      <c r="L2754" s="42"/>
      <c r="M2754" s="42"/>
      <c r="N2754" s="42"/>
      <c r="O2754" s="42"/>
      <c r="P2754" s="42"/>
      <c r="Q2754" s="42"/>
      <c r="R2754" s="176"/>
      <c r="S2754" s="42"/>
      <c r="T2754" s="42"/>
      <c r="U2754" s="46"/>
      <c r="V2754" s="42"/>
      <c r="W2754" s="42"/>
      <c r="X2754" s="42"/>
      <c r="Y2754" s="42"/>
      <c r="Z2754" s="42"/>
      <c r="AA2754" s="42"/>
      <c r="AB2754" s="42"/>
      <c r="AC2754" s="42"/>
      <c r="AD2754" s="42"/>
      <c r="AE2754" s="42"/>
      <c r="AF2754" s="42"/>
    </row>
    <row r="2755">
      <c r="A2755" s="25"/>
      <c r="B2755" s="297"/>
      <c r="C2755" s="25"/>
      <c r="D2755" s="25"/>
      <c r="E2755" s="25"/>
      <c r="F2755" s="25"/>
      <c r="G2755" s="123"/>
      <c r="H2755" s="123"/>
      <c r="I2755" s="25"/>
      <c r="J2755" s="25"/>
      <c r="K2755" s="367"/>
      <c r="L2755" s="42"/>
      <c r="M2755" s="42"/>
      <c r="N2755" s="42"/>
      <c r="O2755" s="42"/>
      <c r="P2755" s="42"/>
      <c r="Q2755" s="42"/>
      <c r="R2755" s="176"/>
      <c r="S2755" s="42"/>
      <c r="T2755" s="42"/>
      <c r="U2755" s="46"/>
      <c r="V2755" s="42"/>
      <c r="W2755" s="42"/>
      <c r="X2755" s="42"/>
      <c r="Y2755" s="42"/>
      <c r="Z2755" s="42"/>
      <c r="AA2755" s="42"/>
      <c r="AB2755" s="42"/>
      <c r="AC2755" s="42"/>
      <c r="AD2755" s="42"/>
      <c r="AE2755" s="42"/>
      <c r="AF2755" s="42"/>
    </row>
    <row r="2756">
      <c r="A2756" s="25"/>
      <c r="B2756" s="297"/>
      <c r="C2756" s="25"/>
      <c r="D2756" s="25"/>
      <c r="E2756" s="25"/>
      <c r="F2756" s="25"/>
      <c r="G2756" s="123"/>
      <c r="H2756" s="123"/>
      <c r="I2756" s="25"/>
      <c r="J2756" s="25"/>
      <c r="K2756" s="367"/>
      <c r="L2756" s="42"/>
      <c r="M2756" s="42"/>
      <c r="N2756" s="42"/>
      <c r="O2756" s="42"/>
      <c r="P2756" s="42"/>
      <c r="Q2756" s="42"/>
      <c r="R2756" s="176"/>
      <c r="S2756" s="42"/>
      <c r="T2756" s="42"/>
      <c r="U2756" s="46"/>
      <c r="V2756" s="42"/>
      <c r="W2756" s="42"/>
      <c r="X2756" s="42"/>
      <c r="Y2756" s="42"/>
      <c r="Z2756" s="42"/>
      <c r="AA2756" s="42"/>
      <c r="AB2756" s="42"/>
      <c r="AC2756" s="42"/>
      <c r="AD2756" s="42"/>
      <c r="AE2756" s="42"/>
      <c r="AF2756" s="42"/>
    </row>
    <row r="2757">
      <c r="A2757" s="25"/>
      <c r="B2757" s="297"/>
      <c r="C2757" s="25"/>
      <c r="D2757" s="25"/>
      <c r="E2757" s="25"/>
      <c r="F2757" s="25"/>
      <c r="G2757" s="123"/>
      <c r="H2757" s="123"/>
      <c r="I2757" s="25"/>
      <c r="J2757" s="25"/>
      <c r="K2757" s="367"/>
      <c r="L2757" s="42"/>
      <c r="M2757" s="42"/>
      <c r="N2757" s="42"/>
      <c r="O2757" s="42"/>
      <c r="P2757" s="42"/>
      <c r="Q2757" s="42"/>
      <c r="R2757" s="176"/>
      <c r="S2757" s="42"/>
      <c r="T2757" s="42"/>
      <c r="U2757" s="46"/>
      <c r="V2757" s="42"/>
      <c r="W2757" s="42"/>
      <c r="X2757" s="42"/>
      <c r="Y2757" s="42"/>
      <c r="Z2757" s="42"/>
      <c r="AA2757" s="42"/>
      <c r="AB2757" s="42"/>
      <c r="AC2757" s="42"/>
      <c r="AD2757" s="42"/>
      <c r="AE2757" s="42"/>
      <c r="AF2757" s="42"/>
    </row>
    <row r="2758">
      <c r="A2758" s="25"/>
      <c r="B2758" s="297"/>
      <c r="C2758" s="25"/>
      <c r="D2758" s="25"/>
      <c r="E2758" s="25"/>
      <c r="F2758" s="25"/>
      <c r="G2758" s="123"/>
      <c r="H2758" s="123"/>
      <c r="I2758" s="25"/>
      <c r="J2758" s="25"/>
      <c r="K2758" s="367"/>
      <c r="L2758" s="42"/>
      <c r="M2758" s="42"/>
      <c r="N2758" s="42"/>
      <c r="O2758" s="42"/>
      <c r="P2758" s="42"/>
      <c r="Q2758" s="42"/>
      <c r="R2758" s="176"/>
      <c r="S2758" s="42"/>
      <c r="T2758" s="42"/>
      <c r="U2758" s="46"/>
      <c r="V2758" s="42"/>
      <c r="W2758" s="42"/>
      <c r="X2758" s="42"/>
      <c r="Y2758" s="42"/>
      <c r="Z2758" s="42"/>
      <c r="AA2758" s="42"/>
      <c r="AB2758" s="42"/>
      <c r="AC2758" s="42"/>
      <c r="AD2758" s="42"/>
      <c r="AE2758" s="42"/>
      <c r="AF2758" s="42"/>
    </row>
    <row r="2759">
      <c r="A2759" s="25"/>
      <c r="B2759" s="297"/>
      <c r="C2759" s="25"/>
      <c r="D2759" s="25"/>
      <c r="E2759" s="25"/>
      <c r="F2759" s="25"/>
      <c r="G2759" s="123"/>
      <c r="H2759" s="123"/>
      <c r="I2759" s="25"/>
      <c r="J2759" s="25"/>
      <c r="K2759" s="367"/>
      <c r="L2759" s="42"/>
      <c r="M2759" s="42"/>
      <c r="N2759" s="42"/>
      <c r="O2759" s="42"/>
      <c r="P2759" s="42"/>
      <c r="Q2759" s="42"/>
      <c r="R2759" s="176"/>
      <c r="S2759" s="42"/>
      <c r="T2759" s="42"/>
      <c r="U2759" s="46"/>
      <c r="V2759" s="42"/>
      <c r="W2759" s="42"/>
      <c r="X2759" s="42"/>
      <c r="Y2759" s="42"/>
      <c r="Z2759" s="42"/>
      <c r="AA2759" s="42"/>
      <c r="AB2759" s="42"/>
      <c r="AC2759" s="42"/>
      <c r="AD2759" s="42"/>
      <c r="AE2759" s="42"/>
      <c r="AF2759" s="42"/>
    </row>
    <row r="2760">
      <c r="A2760" s="25"/>
      <c r="B2760" s="297"/>
      <c r="C2760" s="25"/>
      <c r="D2760" s="25"/>
      <c r="E2760" s="25"/>
      <c r="F2760" s="25"/>
      <c r="G2760" s="123"/>
      <c r="H2760" s="123"/>
      <c r="I2760" s="25"/>
      <c r="J2760" s="25"/>
      <c r="K2760" s="367"/>
      <c r="L2760" s="42"/>
      <c r="M2760" s="42"/>
      <c r="N2760" s="42"/>
      <c r="O2760" s="42"/>
      <c r="P2760" s="42"/>
      <c r="Q2760" s="42"/>
      <c r="R2760" s="176"/>
      <c r="S2760" s="42"/>
      <c r="T2760" s="42"/>
      <c r="U2760" s="46"/>
      <c r="V2760" s="42"/>
      <c r="W2760" s="42"/>
      <c r="X2760" s="42"/>
      <c r="Y2760" s="42"/>
      <c r="Z2760" s="42"/>
      <c r="AA2760" s="42"/>
      <c r="AB2760" s="42"/>
      <c r="AC2760" s="42"/>
      <c r="AD2760" s="42"/>
      <c r="AE2760" s="42"/>
      <c r="AF2760" s="42"/>
    </row>
    <row r="2761">
      <c r="A2761" s="25"/>
      <c r="B2761" s="297"/>
      <c r="C2761" s="25"/>
      <c r="D2761" s="25"/>
      <c r="E2761" s="25"/>
      <c r="F2761" s="25"/>
      <c r="G2761" s="123"/>
      <c r="H2761" s="123"/>
      <c r="I2761" s="25"/>
      <c r="J2761" s="25"/>
      <c r="K2761" s="367"/>
      <c r="L2761" s="42"/>
      <c r="M2761" s="42"/>
      <c r="N2761" s="42"/>
      <c r="O2761" s="42"/>
      <c r="P2761" s="42"/>
      <c r="Q2761" s="42"/>
      <c r="R2761" s="176"/>
      <c r="S2761" s="42"/>
      <c r="T2761" s="42"/>
      <c r="U2761" s="46"/>
      <c r="V2761" s="42"/>
      <c r="W2761" s="42"/>
      <c r="X2761" s="42"/>
      <c r="Y2761" s="42"/>
      <c r="Z2761" s="42"/>
      <c r="AA2761" s="42"/>
      <c r="AB2761" s="42"/>
      <c r="AC2761" s="42"/>
      <c r="AD2761" s="42"/>
      <c r="AE2761" s="42"/>
      <c r="AF2761" s="42"/>
    </row>
    <row r="2762">
      <c r="A2762" s="25"/>
      <c r="B2762" s="297"/>
      <c r="C2762" s="25"/>
      <c r="D2762" s="25"/>
      <c r="E2762" s="25"/>
      <c r="F2762" s="25"/>
      <c r="G2762" s="123"/>
      <c r="H2762" s="123"/>
      <c r="I2762" s="25"/>
      <c r="J2762" s="25"/>
      <c r="K2762" s="367"/>
      <c r="L2762" s="42"/>
      <c r="M2762" s="42"/>
      <c r="N2762" s="42"/>
      <c r="O2762" s="42"/>
      <c r="P2762" s="42"/>
      <c r="Q2762" s="42"/>
      <c r="R2762" s="176"/>
      <c r="S2762" s="42"/>
      <c r="T2762" s="42"/>
      <c r="U2762" s="46"/>
      <c r="V2762" s="42"/>
      <c r="W2762" s="42"/>
      <c r="X2762" s="42"/>
      <c r="Y2762" s="42"/>
      <c r="Z2762" s="42"/>
      <c r="AA2762" s="42"/>
      <c r="AB2762" s="42"/>
      <c r="AC2762" s="42"/>
      <c r="AD2762" s="42"/>
      <c r="AE2762" s="42"/>
      <c r="AF2762" s="42"/>
    </row>
    <row r="2763">
      <c r="A2763" s="25"/>
      <c r="B2763" s="297"/>
      <c r="C2763" s="25"/>
      <c r="D2763" s="25"/>
      <c r="E2763" s="25"/>
      <c r="F2763" s="25"/>
      <c r="G2763" s="123"/>
      <c r="H2763" s="123"/>
      <c r="I2763" s="25"/>
      <c r="J2763" s="25"/>
      <c r="K2763" s="367"/>
      <c r="L2763" s="42"/>
      <c r="M2763" s="42"/>
      <c r="N2763" s="42"/>
      <c r="O2763" s="42"/>
      <c r="P2763" s="42"/>
      <c r="Q2763" s="42"/>
      <c r="R2763" s="176"/>
      <c r="S2763" s="42"/>
      <c r="T2763" s="42"/>
      <c r="U2763" s="46"/>
      <c r="V2763" s="42"/>
      <c r="W2763" s="42"/>
      <c r="X2763" s="42"/>
      <c r="Y2763" s="42"/>
      <c r="Z2763" s="42"/>
      <c r="AA2763" s="42"/>
      <c r="AB2763" s="42"/>
      <c r="AC2763" s="42"/>
      <c r="AD2763" s="42"/>
      <c r="AE2763" s="42"/>
      <c r="AF2763" s="42"/>
    </row>
    <row r="2764">
      <c r="A2764" s="25"/>
      <c r="B2764" s="297"/>
      <c r="C2764" s="25"/>
      <c r="D2764" s="25"/>
      <c r="E2764" s="25"/>
      <c r="F2764" s="25"/>
      <c r="G2764" s="123"/>
      <c r="H2764" s="123"/>
      <c r="I2764" s="25"/>
      <c r="J2764" s="25"/>
      <c r="K2764" s="367"/>
      <c r="L2764" s="42"/>
      <c r="M2764" s="42"/>
      <c r="N2764" s="42"/>
      <c r="O2764" s="42"/>
      <c r="P2764" s="42"/>
      <c r="Q2764" s="42"/>
      <c r="R2764" s="176"/>
      <c r="S2764" s="42"/>
      <c r="T2764" s="42"/>
      <c r="U2764" s="46"/>
      <c r="V2764" s="42"/>
      <c r="W2764" s="42"/>
      <c r="X2764" s="42"/>
      <c r="Y2764" s="42"/>
      <c r="Z2764" s="42"/>
      <c r="AA2764" s="42"/>
      <c r="AB2764" s="42"/>
      <c r="AC2764" s="42"/>
      <c r="AD2764" s="42"/>
      <c r="AE2764" s="42"/>
      <c r="AF2764" s="42"/>
    </row>
    <row r="2765">
      <c r="A2765" s="25"/>
      <c r="B2765" s="297"/>
      <c r="C2765" s="25"/>
      <c r="D2765" s="25"/>
      <c r="E2765" s="25"/>
      <c r="F2765" s="25"/>
      <c r="G2765" s="123"/>
      <c r="H2765" s="123"/>
      <c r="I2765" s="25"/>
      <c r="J2765" s="25"/>
      <c r="K2765" s="367"/>
      <c r="L2765" s="42"/>
      <c r="M2765" s="42"/>
      <c r="N2765" s="42"/>
      <c r="O2765" s="42"/>
      <c r="P2765" s="42"/>
      <c r="Q2765" s="42"/>
      <c r="R2765" s="176"/>
      <c r="S2765" s="42"/>
      <c r="T2765" s="42"/>
      <c r="U2765" s="46"/>
      <c r="V2765" s="42"/>
      <c r="W2765" s="42"/>
      <c r="X2765" s="42"/>
      <c r="Y2765" s="42"/>
      <c r="Z2765" s="42"/>
      <c r="AA2765" s="42"/>
      <c r="AB2765" s="42"/>
      <c r="AC2765" s="42"/>
      <c r="AD2765" s="42"/>
      <c r="AE2765" s="42"/>
      <c r="AF2765" s="42"/>
    </row>
    <row r="2766">
      <c r="A2766" s="25"/>
      <c r="B2766" s="297"/>
      <c r="C2766" s="25"/>
      <c r="D2766" s="25"/>
      <c r="E2766" s="25"/>
      <c r="F2766" s="25"/>
      <c r="G2766" s="123"/>
      <c r="H2766" s="123"/>
      <c r="I2766" s="25"/>
      <c r="J2766" s="25"/>
      <c r="K2766" s="367"/>
      <c r="L2766" s="42"/>
      <c r="M2766" s="42"/>
      <c r="N2766" s="42"/>
      <c r="O2766" s="42"/>
      <c r="P2766" s="42"/>
      <c r="Q2766" s="42"/>
      <c r="R2766" s="176"/>
      <c r="S2766" s="42"/>
      <c r="T2766" s="42"/>
      <c r="U2766" s="46"/>
      <c r="V2766" s="42"/>
      <c r="W2766" s="42"/>
      <c r="X2766" s="42"/>
      <c r="Y2766" s="42"/>
      <c r="Z2766" s="42"/>
      <c r="AA2766" s="42"/>
      <c r="AB2766" s="42"/>
      <c r="AC2766" s="42"/>
      <c r="AD2766" s="42"/>
      <c r="AE2766" s="42"/>
      <c r="AF2766" s="42"/>
    </row>
    <row r="2767">
      <c r="A2767" s="25"/>
      <c r="B2767" s="297"/>
      <c r="C2767" s="25"/>
      <c r="D2767" s="25"/>
      <c r="E2767" s="25"/>
      <c r="F2767" s="25"/>
      <c r="G2767" s="123"/>
      <c r="H2767" s="123"/>
      <c r="I2767" s="25"/>
      <c r="J2767" s="25"/>
      <c r="K2767" s="367"/>
      <c r="L2767" s="42"/>
      <c r="M2767" s="42"/>
      <c r="N2767" s="42"/>
      <c r="O2767" s="42"/>
      <c r="P2767" s="42"/>
      <c r="Q2767" s="42"/>
      <c r="R2767" s="176"/>
      <c r="S2767" s="42"/>
      <c r="T2767" s="42"/>
      <c r="U2767" s="46"/>
      <c r="V2767" s="42"/>
      <c r="W2767" s="42"/>
      <c r="X2767" s="42"/>
      <c r="Y2767" s="42"/>
      <c r="Z2767" s="42"/>
      <c r="AA2767" s="42"/>
      <c r="AB2767" s="42"/>
      <c r="AC2767" s="42"/>
      <c r="AD2767" s="42"/>
      <c r="AE2767" s="42"/>
      <c r="AF2767" s="42"/>
    </row>
    <row r="2768">
      <c r="A2768" s="25"/>
      <c r="B2768" s="297"/>
      <c r="C2768" s="25"/>
      <c r="D2768" s="25"/>
      <c r="E2768" s="25"/>
      <c r="F2768" s="25"/>
      <c r="G2768" s="123"/>
      <c r="H2768" s="123"/>
      <c r="I2768" s="25"/>
      <c r="J2768" s="25"/>
      <c r="K2768" s="367"/>
      <c r="L2768" s="42"/>
      <c r="M2768" s="42"/>
      <c r="N2768" s="42"/>
      <c r="O2768" s="42"/>
      <c r="P2768" s="42"/>
      <c r="Q2768" s="42"/>
      <c r="R2768" s="176"/>
      <c r="S2768" s="42"/>
      <c r="T2768" s="42"/>
      <c r="U2768" s="46"/>
      <c r="V2768" s="42"/>
      <c r="W2768" s="42"/>
      <c r="X2768" s="42"/>
      <c r="Y2768" s="42"/>
      <c r="Z2768" s="42"/>
      <c r="AA2768" s="42"/>
      <c r="AB2768" s="42"/>
      <c r="AC2768" s="42"/>
      <c r="AD2768" s="42"/>
      <c r="AE2768" s="42"/>
      <c r="AF2768" s="42"/>
    </row>
    <row r="2769">
      <c r="A2769" s="25"/>
      <c r="B2769" s="297"/>
      <c r="C2769" s="25"/>
      <c r="D2769" s="25"/>
      <c r="E2769" s="25"/>
      <c r="F2769" s="25"/>
      <c r="G2769" s="123"/>
      <c r="H2769" s="123"/>
      <c r="I2769" s="25"/>
      <c r="J2769" s="25"/>
      <c r="K2769" s="367"/>
      <c r="L2769" s="42"/>
      <c r="M2769" s="42"/>
      <c r="N2769" s="42"/>
      <c r="O2769" s="42"/>
      <c r="P2769" s="42"/>
      <c r="Q2769" s="42"/>
      <c r="R2769" s="176"/>
      <c r="S2769" s="42"/>
      <c r="T2769" s="42"/>
      <c r="U2769" s="46"/>
      <c r="V2769" s="42"/>
      <c r="W2769" s="42"/>
      <c r="X2769" s="42"/>
      <c r="Y2769" s="42"/>
      <c r="Z2769" s="42"/>
      <c r="AA2769" s="42"/>
      <c r="AB2769" s="42"/>
      <c r="AC2769" s="42"/>
      <c r="AD2769" s="42"/>
      <c r="AE2769" s="42"/>
      <c r="AF2769" s="42"/>
    </row>
    <row r="2770">
      <c r="A2770" s="25"/>
      <c r="B2770" s="297"/>
      <c r="C2770" s="25"/>
      <c r="D2770" s="25"/>
      <c r="E2770" s="25"/>
      <c r="F2770" s="25"/>
      <c r="G2770" s="123"/>
      <c r="H2770" s="123"/>
      <c r="I2770" s="25"/>
      <c r="J2770" s="25"/>
      <c r="K2770" s="367"/>
      <c r="L2770" s="42"/>
      <c r="M2770" s="42"/>
      <c r="N2770" s="42"/>
      <c r="O2770" s="42"/>
      <c r="P2770" s="42"/>
      <c r="Q2770" s="42"/>
      <c r="R2770" s="176"/>
      <c r="S2770" s="42"/>
      <c r="T2770" s="42"/>
      <c r="U2770" s="46"/>
      <c r="V2770" s="42"/>
      <c r="W2770" s="42"/>
      <c r="X2770" s="42"/>
      <c r="Y2770" s="42"/>
      <c r="Z2770" s="42"/>
      <c r="AA2770" s="42"/>
      <c r="AB2770" s="42"/>
      <c r="AC2770" s="42"/>
      <c r="AD2770" s="42"/>
      <c r="AE2770" s="42"/>
      <c r="AF2770" s="42"/>
    </row>
    <row r="2771">
      <c r="A2771" s="25"/>
      <c r="B2771" s="297"/>
      <c r="C2771" s="25"/>
      <c r="D2771" s="25"/>
      <c r="E2771" s="25"/>
      <c r="F2771" s="25"/>
      <c r="G2771" s="123"/>
      <c r="H2771" s="123"/>
      <c r="I2771" s="25"/>
      <c r="J2771" s="25"/>
      <c r="K2771" s="367"/>
      <c r="L2771" s="42"/>
      <c r="M2771" s="42"/>
      <c r="N2771" s="42"/>
      <c r="O2771" s="42"/>
      <c r="P2771" s="42"/>
      <c r="Q2771" s="42"/>
      <c r="R2771" s="176"/>
      <c r="S2771" s="42"/>
      <c r="T2771" s="42"/>
      <c r="U2771" s="46"/>
      <c r="V2771" s="42"/>
      <c r="W2771" s="42"/>
      <c r="X2771" s="42"/>
      <c r="Y2771" s="42"/>
      <c r="Z2771" s="42"/>
      <c r="AA2771" s="42"/>
      <c r="AB2771" s="42"/>
      <c r="AC2771" s="42"/>
      <c r="AD2771" s="42"/>
      <c r="AE2771" s="42"/>
      <c r="AF2771" s="42"/>
    </row>
    <row r="2772">
      <c r="A2772" s="25"/>
      <c r="B2772" s="297"/>
      <c r="C2772" s="25"/>
      <c r="D2772" s="25"/>
      <c r="E2772" s="25"/>
      <c r="F2772" s="25"/>
      <c r="G2772" s="123"/>
      <c r="H2772" s="123"/>
      <c r="I2772" s="25"/>
      <c r="J2772" s="25"/>
      <c r="K2772" s="367"/>
      <c r="L2772" s="42"/>
      <c r="M2772" s="42"/>
      <c r="N2772" s="42"/>
      <c r="O2772" s="42"/>
      <c r="P2772" s="42"/>
      <c r="Q2772" s="42"/>
      <c r="R2772" s="176"/>
      <c r="S2772" s="42"/>
      <c r="T2772" s="42"/>
      <c r="U2772" s="46"/>
      <c r="V2772" s="42"/>
      <c r="W2772" s="42"/>
      <c r="X2772" s="42"/>
      <c r="Y2772" s="42"/>
      <c r="Z2772" s="42"/>
      <c r="AA2772" s="42"/>
      <c r="AB2772" s="42"/>
      <c r="AC2772" s="42"/>
      <c r="AD2772" s="42"/>
      <c r="AE2772" s="42"/>
      <c r="AF2772" s="42"/>
    </row>
    <row r="2773">
      <c r="A2773" s="25"/>
      <c r="B2773" s="297"/>
      <c r="C2773" s="25"/>
      <c r="D2773" s="25"/>
      <c r="E2773" s="25"/>
      <c r="F2773" s="25"/>
      <c r="G2773" s="123"/>
      <c r="H2773" s="123"/>
      <c r="I2773" s="25"/>
      <c r="J2773" s="25"/>
      <c r="K2773" s="367"/>
      <c r="L2773" s="42"/>
      <c r="M2773" s="42"/>
      <c r="N2773" s="42"/>
      <c r="O2773" s="42"/>
      <c r="P2773" s="42"/>
      <c r="Q2773" s="42"/>
      <c r="R2773" s="176"/>
      <c r="S2773" s="42"/>
      <c r="T2773" s="42"/>
      <c r="U2773" s="46"/>
      <c r="V2773" s="42"/>
      <c r="W2773" s="42"/>
      <c r="X2773" s="42"/>
      <c r="Y2773" s="42"/>
      <c r="Z2773" s="42"/>
      <c r="AA2773" s="42"/>
      <c r="AB2773" s="42"/>
      <c r="AC2773" s="42"/>
      <c r="AD2773" s="42"/>
      <c r="AE2773" s="42"/>
      <c r="AF2773" s="42"/>
    </row>
    <row r="2774">
      <c r="A2774" s="25"/>
      <c r="B2774" s="297"/>
      <c r="C2774" s="25"/>
      <c r="D2774" s="25"/>
      <c r="E2774" s="25"/>
      <c r="F2774" s="25"/>
      <c r="G2774" s="123"/>
      <c r="H2774" s="123"/>
      <c r="I2774" s="25"/>
      <c r="J2774" s="25"/>
      <c r="K2774" s="367"/>
      <c r="L2774" s="42"/>
      <c r="M2774" s="42"/>
      <c r="N2774" s="42"/>
      <c r="O2774" s="42"/>
      <c r="P2774" s="42"/>
      <c r="Q2774" s="42"/>
      <c r="R2774" s="176"/>
      <c r="S2774" s="42"/>
      <c r="T2774" s="42"/>
      <c r="U2774" s="46"/>
      <c r="V2774" s="42"/>
      <c r="W2774" s="42"/>
      <c r="X2774" s="42"/>
      <c r="Y2774" s="42"/>
      <c r="Z2774" s="42"/>
      <c r="AA2774" s="42"/>
      <c r="AB2774" s="42"/>
      <c r="AC2774" s="42"/>
      <c r="AD2774" s="42"/>
      <c r="AE2774" s="42"/>
      <c r="AF2774" s="42"/>
    </row>
    <row r="2775">
      <c r="A2775" s="25"/>
      <c r="B2775" s="297"/>
      <c r="C2775" s="25"/>
      <c r="D2775" s="25"/>
      <c r="E2775" s="25"/>
      <c r="F2775" s="25"/>
      <c r="G2775" s="123"/>
      <c r="H2775" s="123"/>
      <c r="I2775" s="25"/>
      <c r="J2775" s="25"/>
      <c r="K2775" s="367"/>
      <c r="L2775" s="42"/>
      <c r="M2775" s="42"/>
      <c r="N2775" s="42"/>
      <c r="O2775" s="42"/>
      <c r="P2775" s="42"/>
      <c r="Q2775" s="42"/>
      <c r="R2775" s="176"/>
      <c r="S2775" s="42"/>
      <c r="T2775" s="42"/>
      <c r="U2775" s="46"/>
      <c r="V2775" s="42"/>
      <c r="W2775" s="42"/>
      <c r="X2775" s="42"/>
      <c r="Y2775" s="42"/>
      <c r="Z2775" s="42"/>
      <c r="AA2775" s="42"/>
      <c r="AB2775" s="42"/>
      <c r="AC2775" s="42"/>
      <c r="AD2775" s="42"/>
      <c r="AE2775" s="42"/>
      <c r="AF2775" s="42"/>
    </row>
    <row r="2776">
      <c r="A2776" s="25"/>
      <c r="B2776" s="297"/>
      <c r="C2776" s="25"/>
      <c r="D2776" s="25"/>
      <c r="E2776" s="25"/>
      <c r="F2776" s="25"/>
      <c r="G2776" s="123"/>
      <c r="H2776" s="123"/>
      <c r="I2776" s="25"/>
      <c r="J2776" s="25"/>
      <c r="K2776" s="367"/>
      <c r="L2776" s="42"/>
      <c r="M2776" s="42"/>
      <c r="N2776" s="42"/>
      <c r="O2776" s="42"/>
      <c r="P2776" s="42"/>
      <c r="Q2776" s="42"/>
      <c r="R2776" s="176"/>
      <c r="S2776" s="42"/>
      <c r="T2776" s="42"/>
      <c r="U2776" s="46"/>
      <c r="V2776" s="42"/>
      <c r="W2776" s="42"/>
      <c r="X2776" s="42"/>
      <c r="Y2776" s="42"/>
      <c r="Z2776" s="42"/>
      <c r="AA2776" s="42"/>
      <c r="AB2776" s="42"/>
      <c r="AC2776" s="42"/>
      <c r="AD2776" s="42"/>
      <c r="AE2776" s="42"/>
      <c r="AF2776" s="42"/>
    </row>
    <row r="2777">
      <c r="A2777" s="25"/>
      <c r="B2777" s="297"/>
      <c r="C2777" s="25"/>
      <c r="D2777" s="25"/>
      <c r="E2777" s="25"/>
      <c r="F2777" s="25"/>
      <c r="G2777" s="123"/>
      <c r="H2777" s="123"/>
      <c r="I2777" s="25"/>
      <c r="J2777" s="25"/>
      <c r="K2777" s="367"/>
      <c r="L2777" s="42"/>
      <c r="M2777" s="42"/>
      <c r="N2777" s="42"/>
      <c r="O2777" s="42"/>
      <c r="P2777" s="42"/>
      <c r="Q2777" s="42"/>
      <c r="R2777" s="176"/>
      <c r="S2777" s="42"/>
      <c r="T2777" s="42"/>
      <c r="U2777" s="46"/>
      <c r="V2777" s="42"/>
      <c r="W2777" s="42"/>
      <c r="X2777" s="42"/>
      <c r="Y2777" s="42"/>
      <c r="Z2777" s="42"/>
      <c r="AA2777" s="42"/>
      <c r="AB2777" s="42"/>
      <c r="AC2777" s="42"/>
      <c r="AD2777" s="42"/>
      <c r="AE2777" s="42"/>
      <c r="AF2777" s="42"/>
    </row>
    <row r="2778">
      <c r="A2778" s="25"/>
      <c r="B2778" s="297"/>
      <c r="C2778" s="25"/>
      <c r="D2778" s="25"/>
      <c r="E2778" s="25"/>
      <c r="F2778" s="25"/>
      <c r="G2778" s="123"/>
      <c r="H2778" s="123"/>
      <c r="I2778" s="25"/>
      <c r="J2778" s="25"/>
      <c r="K2778" s="367"/>
      <c r="L2778" s="42"/>
      <c r="M2778" s="42"/>
      <c r="N2778" s="42"/>
      <c r="O2778" s="42"/>
      <c r="P2778" s="42"/>
      <c r="Q2778" s="42"/>
      <c r="R2778" s="176"/>
      <c r="S2778" s="42"/>
      <c r="T2778" s="42"/>
      <c r="U2778" s="46"/>
      <c r="V2778" s="42"/>
      <c r="W2778" s="42"/>
      <c r="X2778" s="42"/>
      <c r="Y2778" s="42"/>
      <c r="Z2778" s="42"/>
      <c r="AA2778" s="42"/>
      <c r="AB2778" s="42"/>
      <c r="AC2778" s="42"/>
      <c r="AD2778" s="42"/>
      <c r="AE2778" s="42"/>
      <c r="AF2778" s="42"/>
    </row>
    <row r="2779">
      <c r="A2779" s="25"/>
      <c r="B2779" s="297"/>
      <c r="C2779" s="25"/>
      <c r="D2779" s="25"/>
      <c r="E2779" s="25"/>
      <c r="F2779" s="25"/>
      <c r="G2779" s="123"/>
      <c r="H2779" s="123"/>
      <c r="I2779" s="25"/>
      <c r="J2779" s="25"/>
      <c r="K2779" s="367"/>
      <c r="L2779" s="42"/>
      <c r="M2779" s="42"/>
      <c r="N2779" s="42"/>
      <c r="O2779" s="42"/>
      <c r="P2779" s="42"/>
      <c r="Q2779" s="42"/>
      <c r="R2779" s="176"/>
      <c r="S2779" s="42"/>
      <c r="T2779" s="42"/>
      <c r="U2779" s="46"/>
      <c r="V2779" s="42"/>
      <c r="W2779" s="42"/>
      <c r="X2779" s="42"/>
      <c r="Y2779" s="42"/>
      <c r="Z2779" s="42"/>
      <c r="AA2779" s="42"/>
      <c r="AB2779" s="42"/>
      <c r="AC2779" s="42"/>
      <c r="AD2779" s="42"/>
      <c r="AE2779" s="42"/>
      <c r="AF2779" s="42"/>
    </row>
    <row r="2780">
      <c r="A2780" s="25"/>
      <c r="B2780" s="297"/>
      <c r="C2780" s="25"/>
      <c r="D2780" s="25"/>
      <c r="E2780" s="25"/>
      <c r="F2780" s="25"/>
      <c r="G2780" s="123"/>
      <c r="H2780" s="123"/>
      <c r="I2780" s="25"/>
      <c r="J2780" s="25"/>
      <c r="K2780" s="367"/>
      <c r="L2780" s="42"/>
      <c r="M2780" s="42"/>
      <c r="N2780" s="42"/>
      <c r="O2780" s="42"/>
      <c r="P2780" s="42"/>
      <c r="Q2780" s="42"/>
      <c r="R2780" s="176"/>
      <c r="S2780" s="42"/>
      <c r="T2780" s="42"/>
      <c r="U2780" s="46"/>
      <c r="V2780" s="42"/>
      <c r="W2780" s="42"/>
      <c r="X2780" s="42"/>
      <c r="Y2780" s="42"/>
      <c r="Z2780" s="42"/>
      <c r="AA2780" s="42"/>
      <c r="AB2780" s="42"/>
      <c r="AC2780" s="42"/>
      <c r="AD2780" s="42"/>
      <c r="AE2780" s="42"/>
      <c r="AF2780" s="42"/>
    </row>
    <row r="2781">
      <c r="A2781" s="25"/>
      <c r="B2781" s="297"/>
      <c r="C2781" s="25"/>
      <c r="D2781" s="25"/>
      <c r="E2781" s="25"/>
      <c r="F2781" s="25"/>
      <c r="G2781" s="123"/>
      <c r="H2781" s="123"/>
      <c r="I2781" s="25"/>
      <c r="J2781" s="25"/>
      <c r="K2781" s="367"/>
      <c r="L2781" s="42"/>
      <c r="M2781" s="42"/>
      <c r="N2781" s="42"/>
      <c r="O2781" s="42"/>
      <c r="P2781" s="42"/>
      <c r="Q2781" s="42"/>
      <c r="R2781" s="176"/>
      <c r="S2781" s="42"/>
      <c r="T2781" s="42"/>
      <c r="U2781" s="46"/>
      <c r="V2781" s="42"/>
      <c r="W2781" s="42"/>
      <c r="X2781" s="42"/>
      <c r="Y2781" s="42"/>
      <c r="Z2781" s="42"/>
      <c r="AA2781" s="42"/>
      <c r="AB2781" s="42"/>
      <c r="AC2781" s="42"/>
      <c r="AD2781" s="42"/>
      <c r="AE2781" s="42"/>
      <c r="AF2781" s="42"/>
    </row>
    <row r="2782">
      <c r="A2782" s="25"/>
      <c r="B2782" s="297"/>
      <c r="C2782" s="25"/>
      <c r="D2782" s="25"/>
      <c r="E2782" s="25"/>
      <c r="F2782" s="25"/>
      <c r="G2782" s="123"/>
      <c r="H2782" s="123"/>
      <c r="I2782" s="25"/>
      <c r="J2782" s="25"/>
      <c r="K2782" s="367"/>
      <c r="L2782" s="42"/>
      <c r="M2782" s="42"/>
      <c r="N2782" s="42"/>
      <c r="O2782" s="42"/>
      <c r="P2782" s="42"/>
      <c r="Q2782" s="42"/>
      <c r="R2782" s="176"/>
      <c r="S2782" s="42"/>
      <c r="T2782" s="42"/>
      <c r="U2782" s="46"/>
      <c r="V2782" s="42"/>
      <c r="W2782" s="42"/>
      <c r="X2782" s="42"/>
      <c r="Y2782" s="42"/>
      <c r="Z2782" s="42"/>
      <c r="AA2782" s="42"/>
      <c r="AB2782" s="42"/>
      <c r="AC2782" s="42"/>
      <c r="AD2782" s="42"/>
      <c r="AE2782" s="42"/>
      <c r="AF2782" s="42"/>
    </row>
    <row r="2783">
      <c r="A2783" s="25"/>
      <c r="B2783" s="297"/>
      <c r="C2783" s="25"/>
      <c r="D2783" s="25"/>
      <c r="E2783" s="25"/>
      <c r="F2783" s="25"/>
      <c r="G2783" s="123"/>
      <c r="H2783" s="123"/>
      <c r="I2783" s="25"/>
      <c r="J2783" s="25"/>
      <c r="K2783" s="367"/>
      <c r="L2783" s="42"/>
      <c r="M2783" s="42"/>
      <c r="N2783" s="42"/>
      <c r="O2783" s="42"/>
      <c r="P2783" s="42"/>
      <c r="Q2783" s="42"/>
      <c r="R2783" s="176"/>
      <c r="S2783" s="42"/>
      <c r="T2783" s="42"/>
      <c r="U2783" s="46"/>
      <c r="V2783" s="42"/>
      <c r="W2783" s="42"/>
      <c r="X2783" s="42"/>
      <c r="Y2783" s="42"/>
      <c r="Z2783" s="42"/>
      <c r="AA2783" s="42"/>
      <c r="AB2783" s="42"/>
      <c r="AC2783" s="42"/>
      <c r="AD2783" s="42"/>
      <c r="AE2783" s="42"/>
      <c r="AF2783" s="42"/>
    </row>
    <row r="2784">
      <c r="A2784" s="25"/>
      <c r="B2784" s="297"/>
      <c r="C2784" s="25"/>
      <c r="D2784" s="25"/>
      <c r="E2784" s="25"/>
      <c r="F2784" s="25"/>
      <c r="G2784" s="123"/>
      <c r="H2784" s="123"/>
      <c r="I2784" s="25"/>
      <c r="J2784" s="25"/>
      <c r="K2784" s="367"/>
      <c r="L2784" s="42"/>
      <c r="M2784" s="42"/>
      <c r="N2784" s="42"/>
      <c r="O2784" s="42"/>
      <c r="P2784" s="42"/>
      <c r="Q2784" s="42"/>
      <c r="R2784" s="176"/>
      <c r="S2784" s="42"/>
      <c r="T2784" s="42"/>
      <c r="U2784" s="46"/>
      <c r="V2784" s="42"/>
      <c r="W2784" s="42"/>
      <c r="X2784" s="42"/>
      <c r="Y2784" s="42"/>
      <c r="Z2784" s="42"/>
      <c r="AA2784" s="42"/>
      <c r="AB2784" s="42"/>
      <c r="AC2784" s="42"/>
      <c r="AD2784" s="42"/>
      <c r="AE2784" s="42"/>
      <c r="AF2784" s="42"/>
    </row>
    <row r="2785">
      <c r="A2785" s="25"/>
      <c r="B2785" s="297"/>
      <c r="C2785" s="25"/>
      <c r="D2785" s="25"/>
      <c r="E2785" s="25"/>
      <c r="F2785" s="25"/>
      <c r="G2785" s="123"/>
      <c r="H2785" s="123"/>
      <c r="I2785" s="25"/>
      <c r="J2785" s="25"/>
      <c r="K2785" s="367"/>
      <c r="L2785" s="42"/>
      <c r="M2785" s="42"/>
      <c r="N2785" s="42"/>
      <c r="O2785" s="42"/>
      <c r="P2785" s="42"/>
      <c r="Q2785" s="42"/>
      <c r="R2785" s="176"/>
      <c r="S2785" s="42"/>
      <c r="T2785" s="42"/>
      <c r="U2785" s="46"/>
      <c r="V2785" s="42"/>
      <c r="W2785" s="42"/>
      <c r="X2785" s="42"/>
      <c r="Y2785" s="42"/>
      <c r="Z2785" s="42"/>
      <c r="AA2785" s="42"/>
      <c r="AB2785" s="42"/>
      <c r="AC2785" s="42"/>
      <c r="AD2785" s="42"/>
      <c r="AE2785" s="42"/>
      <c r="AF2785" s="42"/>
    </row>
    <row r="2786">
      <c r="A2786" s="25"/>
      <c r="B2786" s="297"/>
      <c r="C2786" s="25"/>
      <c r="D2786" s="25"/>
      <c r="E2786" s="25"/>
      <c r="F2786" s="25"/>
      <c r="G2786" s="123"/>
      <c r="H2786" s="123"/>
      <c r="I2786" s="25"/>
      <c r="J2786" s="25"/>
      <c r="K2786" s="367"/>
      <c r="L2786" s="42"/>
      <c r="M2786" s="42"/>
      <c r="N2786" s="42"/>
      <c r="O2786" s="42"/>
      <c r="P2786" s="42"/>
      <c r="Q2786" s="42"/>
      <c r="R2786" s="176"/>
      <c r="S2786" s="42"/>
      <c r="T2786" s="42"/>
      <c r="U2786" s="46"/>
      <c r="V2786" s="42"/>
      <c r="W2786" s="42"/>
      <c r="X2786" s="42"/>
      <c r="Y2786" s="42"/>
      <c r="Z2786" s="42"/>
      <c r="AA2786" s="42"/>
      <c r="AB2786" s="42"/>
      <c r="AC2786" s="42"/>
      <c r="AD2786" s="42"/>
      <c r="AE2786" s="42"/>
      <c r="AF2786" s="42"/>
    </row>
    <row r="2787">
      <c r="A2787" s="25"/>
      <c r="B2787" s="297"/>
      <c r="C2787" s="25"/>
      <c r="D2787" s="25"/>
      <c r="E2787" s="25"/>
      <c r="F2787" s="25"/>
      <c r="G2787" s="123"/>
      <c r="H2787" s="123"/>
      <c r="I2787" s="25"/>
      <c r="J2787" s="25"/>
      <c r="K2787" s="367"/>
      <c r="L2787" s="42"/>
      <c r="M2787" s="42"/>
      <c r="N2787" s="42"/>
      <c r="O2787" s="42"/>
      <c r="P2787" s="42"/>
      <c r="Q2787" s="42"/>
      <c r="R2787" s="176"/>
      <c r="S2787" s="42"/>
      <c r="T2787" s="42"/>
      <c r="U2787" s="46"/>
      <c r="V2787" s="42"/>
      <c r="W2787" s="42"/>
      <c r="X2787" s="42"/>
      <c r="Y2787" s="42"/>
      <c r="Z2787" s="42"/>
      <c r="AA2787" s="42"/>
      <c r="AB2787" s="42"/>
      <c r="AC2787" s="42"/>
      <c r="AD2787" s="42"/>
      <c r="AE2787" s="42"/>
      <c r="AF2787" s="42"/>
    </row>
    <row r="2788">
      <c r="A2788" s="25"/>
      <c r="B2788" s="297"/>
      <c r="C2788" s="25"/>
      <c r="D2788" s="25"/>
      <c r="E2788" s="25"/>
      <c r="F2788" s="25"/>
      <c r="G2788" s="123"/>
      <c r="H2788" s="123"/>
      <c r="I2788" s="25"/>
      <c r="J2788" s="25"/>
      <c r="K2788" s="367"/>
      <c r="L2788" s="42"/>
      <c r="M2788" s="42"/>
      <c r="N2788" s="42"/>
      <c r="O2788" s="42"/>
      <c r="P2788" s="42"/>
      <c r="Q2788" s="42"/>
      <c r="R2788" s="176"/>
      <c r="S2788" s="42"/>
      <c r="T2788" s="42"/>
      <c r="U2788" s="46"/>
      <c r="V2788" s="42"/>
      <c r="W2788" s="42"/>
      <c r="X2788" s="42"/>
      <c r="Y2788" s="42"/>
      <c r="Z2788" s="42"/>
      <c r="AA2788" s="42"/>
      <c r="AB2788" s="42"/>
      <c r="AC2788" s="42"/>
      <c r="AD2788" s="42"/>
      <c r="AE2788" s="42"/>
      <c r="AF2788" s="42"/>
    </row>
    <row r="2789">
      <c r="A2789" s="25"/>
      <c r="B2789" s="297"/>
      <c r="C2789" s="25"/>
      <c r="D2789" s="25"/>
      <c r="E2789" s="25"/>
      <c r="F2789" s="25"/>
      <c r="G2789" s="123"/>
      <c r="H2789" s="123"/>
      <c r="I2789" s="25"/>
      <c r="J2789" s="25"/>
      <c r="K2789" s="367"/>
      <c r="L2789" s="42"/>
      <c r="M2789" s="42"/>
      <c r="N2789" s="42"/>
      <c r="O2789" s="42"/>
      <c r="P2789" s="42"/>
      <c r="Q2789" s="42"/>
      <c r="R2789" s="176"/>
      <c r="S2789" s="42"/>
      <c r="T2789" s="42"/>
      <c r="U2789" s="46"/>
      <c r="V2789" s="42"/>
      <c r="W2789" s="42"/>
      <c r="X2789" s="42"/>
      <c r="Y2789" s="42"/>
      <c r="Z2789" s="42"/>
      <c r="AA2789" s="42"/>
      <c r="AB2789" s="42"/>
      <c r="AC2789" s="42"/>
      <c r="AD2789" s="42"/>
      <c r="AE2789" s="42"/>
      <c r="AF2789" s="42"/>
    </row>
    <row r="2790">
      <c r="A2790" s="25"/>
      <c r="B2790" s="297"/>
      <c r="C2790" s="25"/>
      <c r="D2790" s="25"/>
      <c r="E2790" s="25"/>
      <c r="F2790" s="25"/>
      <c r="G2790" s="123"/>
      <c r="H2790" s="123"/>
      <c r="I2790" s="25"/>
      <c r="J2790" s="25"/>
      <c r="K2790" s="367"/>
      <c r="L2790" s="42"/>
      <c r="M2790" s="42"/>
      <c r="N2790" s="42"/>
      <c r="O2790" s="42"/>
      <c r="P2790" s="42"/>
      <c r="Q2790" s="42"/>
      <c r="R2790" s="176"/>
      <c r="S2790" s="42"/>
      <c r="T2790" s="42"/>
      <c r="U2790" s="46"/>
      <c r="V2790" s="42"/>
      <c r="W2790" s="42"/>
      <c r="X2790" s="42"/>
      <c r="Y2790" s="42"/>
      <c r="Z2790" s="42"/>
      <c r="AA2790" s="42"/>
      <c r="AB2790" s="42"/>
      <c r="AC2790" s="42"/>
      <c r="AD2790" s="42"/>
      <c r="AE2790" s="42"/>
      <c r="AF2790" s="42"/>
    </row>
    <row r="2791">
      <c r="A2791" s="25"/>
      <c r="B2791" s="297"/>
      <c r="C2791" s="25"/>
      <c r="D2791" s="25"/>
      <c r="E2791" s="25"/>
      <c r="F2791" s="25"/>
      <c r="G2791" s="123"/>
      <c r="H2791" s="123"/>
      <c r="I2791" s="25"/>
      <c r="J2791" s="25"/>
      <c r="K2791" s="367"/>
      <c r="L2791" s="42"/>
      <c r="M2791" s="42"/>
      <c r="N2791" s="42"/>
      <c r="O2791" s="42"/>
      <c r="P2791" s="42"/>
      <c r="Q2791" s="42"/>
      <c r="R2791" s="176"/>
      <c r="S2791" s="42"/>
      <c r="T2791" s="42"/>
      <c r="U2791" s="46"/>
      <c r="V2791" s="42"/>
      <c r="W2791" s="42"/>
      <c r="X2791" s="42"/>
      <c r="Y2791" s="42"/>
      <c r="Z2791" s="42"/>
      <c r="AA2791" s="42"/>
      <c r="AB2791" s="42"/>
      <c r="AC2791" s="42"/>
      <c r="AD2791" s="42"/>
      <c r="AE2791" s="42"/>
      <c r="AF2791" s="42"/>
    </row>
    <row r="2792">
      <c r="A2792" s="25"/>
      <c r="B2792" s="297"/>
      <c r="C2792" s="25"/>
      <c r="D2792" s="25"/>
      <c r="E2792" s="25"/>
      <c r="F2792" s="25"/>
      <c r="G2792" s="123"/>
      <c r="H2792" s="123"/>
      <c r="I2792" s="25"/>
      <c r="J2792" s="25"/>
      <c r="K2792" s="367"/>
      <c r="L2792" s="42"/>
      <c r="M2792" s="42"/>
      <c r="N2792" s="42"/>
      <c r="O2792" s="42"/>
      <c r="P2792" s="42"/>
      <c r="Q2792" s="42"/>
      <c r="R2792" s="176"/>
      <c r="S2792" s="42"/>
      <c r="T2792" s="42"/>
      <c r="U2792" s="46"/>
      <c r="V2792" s="42"/>
      <c r="W2792" s="42"/>
      <c r="X2792" s="42"/>
      <c r="Y2792" s="42"/>
      <c r="Z2792" s="42"/>
      <c r="AA2792" s="42"/>
      <c r="AB2792" s="42"/>
      <c r="AC2792" s="42"/>
      <c r="AD2792" s="42"/>
      <c r="AE2792" s="42"/>
      <c r="AF2792" s="42"/>
    </row>
    <row r="2793">
      <c r="A2793" s="25"/>
      <c r="B2793" s="297"/>
      <c r="C2793" s="25"/>
      <c r="D2793" s="25"/>
      <c r="E2793" s="25"/>
      <c r="F2793" s="25"/>
      <c r="G2793" s="123"/>
      <c r="H2793" s="123"/>
      <c r="I2793" s="25"/>
      <c r="J2793" s="25"/>
      <c r="K2793" s="367"/>
      <c r="L2793" s="42"/>
      <c r="M2793" s="42"/>
      <c r="N2793" s="42"/>
      <c r="O2793" s="42"/>
      <c r="P2793" s="42"/>
      <c r="Q2793" s="42"/>
      <c r="R2793" s="176"/>
      <c r="S2793" s="42"/>
      <c r="T2793" s="42"/>
      <c r="U2793" s="46"/>
      <c r="V2793" s="42"/>
      <c r="W2793" s="42"/>
      <c r="X2793" s="42"/>
      <c r="Y2793" s="42"/>
      <c r="Z2793" s="42"/>
      <c r="AA2793" s="42"/>
      <c r="AB2793" s="42"/>
      <c r="AC2793" s="42"/>
      <c r="AD2793" s="42"/>
      <c r="AE2793" s="42"/>
      <c r="AF2793" s="42"/>
    </row>
    <row r="2794">
      <c r="A2794" s="25"/>
      <c r="B2794" s="297"/>
      <c r="C2794" s="25"/>
      <c r="D2794" s="25"/>
      <c r="E2794" s="25"/>
      <c r="F2794" s="25"/>
      <c r="G2794" s="123"/>
      <c r="H2794" s="123"/>
      <c r="I2794" s="25"/>
      <c r="J2794" s="25"/>
      <c r="K2794" s="367"/>
      <c r="L2794" s="42"/>
      <c r="M2794" s="42"/>
      <c r="N2794" s="42"/>
      <c r="O2794" s="42"/>
      <c r="P2794" s="42"/>
      <c r="Q2794" s="42"/>
      <c r="R2794" s="176"/>
      <c r="S2794" s="42"/>
      <c r="T2794" s="42"/>
      <c r="U2794" s="46"/>
      <c r="V2794" s="42"/>
      <c r="W2794" s="42"/>
      <c r="X2794" s="42"/>
      <c r="Y2794" s="42"/>
      <c r="Z2794" s="42"/>
      <c r="AA2794" s="42"/>
      <c r="AB2794" s="42"/>
      <c r="AC2794" s="42"/>
      <c r="AD2794" s="42"/>
      <c r="AE2794" s="42"/>
      <c r="AF2794" s="42"/>
    </row>
    <row r="2795">
      <c r="A2795" s="25"/>
      <c r="B2795" s="297"/>
      <c r="C2795" s="25"/>
      <c r="D2795" s="25"/>
      <c r="E2795" s="25"/>
      <c r="F2795" s="25"/>
      <c r="G2795" s="123"/>
      <c r="H2795" s="123"/>
      <c r="I2795" s="25"/>
      <c r="J2795" s="25"/>
      <c r="K2795" s="367"/>
      <c r="L2795" s="42"/>
      <c r="M2795" s="42"/>
      <c r="N2795" s="42"/>
      <c r="O2795" s="42"/>
      <c r="P2795" s="42"/>
      <c r="Q2795" s="42"/>
      <c r="R2795" s="176"/>
      <c r="S2795" s="42"/>
      <c r="T2795" s="42"/>
      <c r="U2795" s="46"/>
      <c r="V2795" s="42"/>
      <c r="W2795" s="42"/>
      <c r="X2795" s="42"/>
      <c r="Y2795" s="42"/>
      <c r="Z2795" s="42"/>
      <c r="AA2795" s="42"/>
      <c r="AB2795" s="42"/>
      <c r="AC2795" s="42"/>
      <c r="AD2795" s="42"/>
      <c r="AE2795" s="42"/>
      <c r="AF2795" s="42"/>
    </row>
    <row r="2796">
      <c r="A2796" s="25"/>
      <c r="B2796" s="297"/>
      <c r="C2796" s="25"/>
      <c r="D2796" s="25"/>
      <c r="E2796" s="25"/>
      <c r="F2796" s="25"/>
      <c r="G2796" s="123"/>
      <c r="H2796" s="123"/>
      <c r="I2796" s="25"/>
      <c r="J2796" s="25"/>
      <c r="K2796" s="367"/>
      <c r="L2796" s="42"/>
      <c r="M2796" s="42"/>
      <c r="N2796" s="42"/>
      <c r="O2796" s="42"/>
      <c r="P2796" s="42"/>
      <c r="Q2796" s="42"/>
      <c r="R2796" s="176"/>
      <c r="S2796" s="42"/>
      <c r="T2796" s="42"/>
      <c r="U2796" s="46"/>
      <c r="V2796" s="42"/>
      <c r="W2796" s="42"/>
      <c r="X2796" s="42"/>
      <c r="Y2796" s="42"/>
      <c r="Z2796" s="42"/>
      <c r="AA2796" s="42"/>
      <c r="AB2796" s="42"/>
      <c r="AC2796" s="42"/>
      <c r="AD2796" s="42"/>
      <c r="AE2796" s="42"/>
      <c r="AF2796" s="42"/>
    </row>
    <row r="2797">
      <c r="A2797" s="25"/>
      <c r="B2797" s="297"/>
      <c r="C2797" s="25"/>
      <c r="D2797" s="25"/>
      <c r="E2797" s="25"/>
      <c r="F2797" s="25"/>
      <c r="G2797" s="123"/>
      <c r="H2797" s="123"/>
      <c r="I2797" s="25"/>
      <c r="J2797" s="25"/>
      <c r="K2797" s="367"/>
      <c r="L2797" s="42"/>
      <c r="M2797" s="42"/>
      <c r="N2797" s="42"/>
      <c r="O2797" s="42"/>
      <c r="P2797" s="42"/>
      <c r="Q2797" s="42"/>
      <c r="R2797" s="176"/>
      <c r="S2797" s="42"/>
      <c r="T2797" s="42"/>
      <c r="U2797" s="46"/>
      <c r="V2797" s="42"/>
      <c r="W2797" s="42"/>
      <c r="X2797" s="42"/>
      <c r="Y2797" s="42"/>
      <c r="Z2797" s="42"/>
      <c r="AA2797" s="42"/>
      <c r="AB2797" s="42"/>
      <c r="AC2797" s="42"/>
      <c r="AD2797" s="42"/>
      <c r="AE2797" s="42"/>
      <c r="AF2797" s="42"/>
    </row>
    <row r="2798">
      <c r="A2798" s="25"/>
      <c r="B2798" s="297"/>
      <c r="C2798" s="25"/>
      <c r="D2798" s="25"/>
      <c r="E2798" s="25"/>
      <c r="F2798" s="25"/>
      <c r="G2798" s="123"/>
      <c r="H2798" s="123"/>
      <c r="I2798" s="25"/>
      <c r="J2798" s="25"/>
      <c r="K2798" s="367"/>
      <c r="L2798" s="42"/>
      <c r="M2798" s="42"/>
      <c r="N2798" s="42"/>
      <c r="O2798" s="42"/>
      <c r="P2798" s="42"/>
      <c r="Q2798" s="42"/>
      <c r="R2798" s="176"/>
      <c r="S2798" s="42"/>
      <c r="T2798" s="42"/>
      <c r="U2798" s="46"/>
      <c r="V2798" s="42"/>
      <c r="W2798" s="42"/>
      <c r="X2798" s="42"/>
      <c r="Y2798" s="42"/>
      <c r="Z2798" s="42"/>
      <c r="AA2798" s="42"/>
      <c r="AB2798" s="42"/>
      <c r="AC2798" s="42"/>
      <c r="AD2798" s="42"/>
      <c r="AE2798" s="42"/>
      <c r="AF2798" s="42"/>
    </row>
    <row r="2799">
      <c r="A2799" s="25"/>
      <c r="B2799" s="297"/>
      <c r="C2799" s="25"/>
      <c r="D2799" s="25"/>
      <c r="E2799" s="25"/>
      <c r="F2799" s="25"/>
      <c r="G2799" s="123"/>
      <c r="H2799" s="123"/>
      <c r="I2799" s="25"/>
      <c r="J2799" s="25"/>
      <c r="K2799" s="367"/>
      <c r="L2799" s="42"/>
      <c r="M2799" s="42"/>
      <c r="N2799" s="42"/>
      <c r="O2799" s="42"/>
      <c r="P2799" s="42"/>
      <c r="Q2799" s="42"/>
      <c r="R2799" s="176"/>
      <c r="S2799" s="42"/>
      <c r="T2799" s="42"/>
      <c r="U2799" s="46"/>
      <c r="V2799" s="42"/>
      <c r="W2799" s="42"/>
      <c r="X2799" s="42"/>
      <c r="Y2799" s="42"/>
      <c r="Z2799" s="42"/>
      <c r="AA2799" s="42"/>
      <c r="AB2799" s="42"/>
      <c r="AC2799" s="42"/>
      <c r="AD2799" s="42"/>
      <c r="AE2799" s="42"/>
      <c r="AF2799" s="42"/>
    </row>
    <row r="2800">
      <c r="A2800" s="25"/>
      <c r="B2800" s="297"/>
      <c r="C2800" s="25"/>
      <c r="D2800" s="25"/>
      <c r="E2800" s="25"/>
      <c r="F2800" s="25"/>
      <c r="G2800" s="123"/>
      <c r="H2800" s="123"/>
      <c r="I2800" s="25"/>
      <c r="J2800" s="25"/>
      <c r="K2800" s="367"/>
      <c r="L2800" s="42"/>
      <c r="M2800" s="42"/>
      <c r="N2800" s="42"/>
      <c r="O2800" s="42"/>
      <c r="P2800" s="42"/>
      <c r="Q2800" s="42"/>
      <c r="R2800" s="176"/>
      <c r="S2800" s="42"/>
      <c r="T2800" s="42"/>
      <c r="U2800" s="46"/>
      <c r="V2800" s="42"/>
      <c r="W2800" s="42"/>
      <c r="X2800" s="42"/>
      <c r="Y2800" s="42"/>
      <c r="Z2800" s="42"/>
      <c r="AA2800" s="42"/>
      <c r="AB2800" s="42"/>
      <c r="AC2800" s="42"/>
      <c r="AD2800" s="42"/>
      <c r="AE2800" s="42"/>
      <c r="AF2800" s="42"/>
    </row>
    <row r="2801">
      <c r="A2801" s="25"/>
      <c r="B2801" s="297"/>
      <c r="C2801" s="25"/>
      <c r="D2801" s="25"/>
      <c r="E2801" s="25"/>
      <c r="F2801" s="25"/>
      <c r="G2801" s="123"/>
      <c r="H2801" s="123"/>
      <c r="I2801" s="25"/>
      <c r="J2801" s="25"/>
      <c r="K2801" s="367"/>
      <c r="L2801" s="42"/>
      <c r="M2801" s="42"/>
      <c r="N2801" s="42"/>
      <c r="O2801" s="42"/>
      <c r="P2801" s="42"/>
      <c r="Q2801" s="42"/>
      <c r="R2801" s="176"/>
      <c r="S2801" s="42"/>
      <c r="T2801" s="42"/>
      <c r="U2801" s="46"/>
      <c r="V2801" s="42"/>
      <c r="W2801" s="42"/>
      <c r="X2801" s="42"/>
      <c r="Y2801" s="42"/>
      <c r="Z2801" s="42"/>
      <c r="AA2801" s="42"/>
      <c r="AB2801" s="42"/>
      <c r="AC2801" s="42"/>
      <c r="AD2801" s="42"/>
      <c r="AE2801" s="42"/>
      <c r="AF2801" s="42"/>
    </row>
    <row r="2802">
      <c r="A2802" s="25"/>
      <c r="B2802" s="297"/>
      <c r="C2802" s="25"/>
      <c r="D2802" s="25"/>
      <c r="E2802" s="25"/>
      <c r="F2802" s="25"/>
      <c r="G2802" s="123"/>
      <c r="H2802" s="123"/>
      <c r="I2802" s="25"/>
      <c r="J2802" s="25"/>
      <c r="K2802" s="367"/>
      <c r="L2802" s="42"/>
      <c r="M2802" s="42"/>
      <c r="N2802" s="42"/>
      <c r="O2802" s="42"/>
      <c r="P2802" s="42"/>
      <c r="Q2802" s="42"/>
      <c r="R2802" s="176"/>
      <c r="S2802" s="42"/>
      <c r="T2802" s="42"/>
      <c r="U2802" s="46"/>
      <c r="V2802" s="42"/>
      <c r="W2802" s="42"/>
      <c r="X2802" s="42"/>
      <c r="Y2802" s="42"/>
      <c r="Z2802" s="42"/>
      <c r="AA2802" s="42"/>
      <c r="AB2802" s="42"/>
      <c r="AC2802" s="42"/>
      <c r="AD2802" s="42"/>
      <c r="AE2802" s="42"/>
      <c r="AF2802" s="42"/>
    </row>
    <row r="2803">
      <c r="A2803" s="25"/>
      <c r="B2803" s="297"/>
      <c r="C2803" s="25"/>
      <c r="D2803" s="25"/>
      <c r="E2803" s="25"/>
      <c r="F2803" s="25"/>
      <c r="G2803" s="123"/>
      <c r="H2803" s="123"/>
      <c r="I2803" s="25"/>
      <c r="J2803" s="25"/>
      <c r="K2803" s="367"/>
      <c r="L2803" s="42"/>
      <c r="M2803" s="42"/>
      <c r="N2803" s="42"/>
      <c r="O2803" s="42"/>
      <c r="P2803" s="42"/>
      <c r="Q2803" s="42"/>
      <c r="R2803" s="176"/>
      <c r="S2803" s="42"/>
      <c r="T2803" s="42"/>
      <c r="U2803" s="46"/>
      <c r="V2803" s="42"/>
      <c r="W2803" s="42"/>
      <c r="X2803" s="42"/>
      <c r="Y2803" s="42"/>
      <c r="Z2803" s="42"/>
      <c r="AA2803" s="42"/>
      <c r="AB2803" s="42"/>
      <c r="AC2803" s="42"/>
      <c r="AD2803" s="42"/>
      <c r="AE2803" s="42"/>
      <c r="AF2803" s="42"/>
    </row>
    <row r="2804">
      <c r="A2804" s="25"/>
      <c r="B2804" s="297"/>
      <c r="C2804" s="25"/>
      <c r="D2804" s="25"/>
      <c r="E2804" s="25"/>
      <c r="F2804" s="25"/>
      <c r="G2804" s="123"/>
      <c r="H2804" s="123"/>
      <c r="I2804" s="25"/>
      <c r="J2804" s="25"/>
      <c r="K2804" s="367"/>
      <c r="L2804" s="42"/>
      <c r="M2804" s="42"/>
      <c r="N2804" s="42"/>
      <c r="O2804" s="42"/>
      <c r="P2804" s="42"/>
      <c r="Q2804" s="42"/>
      <c r="R2804" s="176"/>
      <c r="S2804" s="42"/>
      <c r="T2804" s="42"/>
      <c r="U2804" s="46"/>
      <c r="V2804" s="42"/>
      <c r="W2804" s="42"/>
      <c r="X2804" s="42"/>
      <c r="Y2804" s="42"/>
      <c r="Z2804" s="42"/>
      <c r="AA2804" s="42"/>
      <c r="AB2804" s="42"/>
      <c r="AC2804" s="42"/>
      <c r="AD2804" s="42"/>
      <c r="AE2804" s="42"/>
      <c r="AF2804" s="42"/>
    </row>
    <row r="2805">
      <c r="A2805" s="25"/>
      <c r="B2805" s="297"/>
      <c r="C2805" s="25"/>
      <c r="D2805" s="25"/>
      <c r="E2805" s="25"/>
      <c r="F2805" s="25"/>
      <c r="G2805" s="123"/>
      <c r="H2805" s="123"/>
      <c r="I2805" s="25"/>
      <c r="J2805" s="25"/>
      <c r="K2805" s="367"/>
      <c r="L2805" s="42"/>
      <c r="M2805" s="42"/>
      <c r="N2805" s="42"/>
      <c r="O2805" s="42"/>
      <c r="P2805" s="42"/>
      <c r="Q2805" s="42"/>
      <c r="R2805" s="176"/>
      <c r="S2805" s="42"/>
      <c r="T2805" s="42"/>
      <c r="U2805" s="46"/>
      <c r="V2805" s="42"/>
      <c r="W2805" s="42"/>
      <c r="X2805" s="42"/>
      <c r="Y2805" s="42"/>
      <c r="Z2805" s="42"/>
      <c r="AA2805" s="42"/>
      <c r="AB2805" s="42"/>
      <c r="AC2805" s="42"/>
      <c r="AD2805" s="42"/>
      <c r="AE2805" s="42"/>
      <c r="AF2805" s="42"/>
    </row>
    <row r="2806">
      <c r="A2806" s="25"/>
      <c r="B2806" s="297"/>
      <c r="C2806" s="25"/>
      <c r="D2806" s="25"/>
      <c r="E2806" s="25"/>
      <c r="F2806" s="25"/>
      <c r="G2806" s="123"/>
      <c r="H2806" s="123"/>
      <c r="I2806" s="25"/>
      <c r="J2806" s="25"/>
      <c r="K2806" s="367"/>
      <c r="L2806" s="42"/>
      <c r="M2806" s="42"/>
      <c r="N2806" s="42"/>
      <c r="O2806" s="42"/>
      <c r="P2806" s="42"/>
      <c r="Q2806" s="42"/>
      <c r="R2806" s="176"/>
      <c r="S2806" s="42"/>
      <c r="T2806" s="42"/>
      <c r="U2806" s="46"/>
      <c r="V2806" s="42"/>
      <c r="W2806" s="42"/>
      <c r="X2806" s="42"/>
      <c r="Y2806" s="42"/>
      <c r="Z2806" s="42"/>
      <c r="AA2806" s="42"/>
      <c r="AB2806" s="42"/>
      <c r="AC2806" s="42"/>
      <c r="AD2806" s="42"/>
      <c r="AE2806" s="42"/>
      <c r="AF2806" s="42"/>
    </row>
    <row r="2807">
      <c r="A2807" s="25"/>
      <c r="B2807" s="297"/>
      <c r="C2807" s="25"/>
      <c r="D2807" s="25"/>
      <c r="E2807" s="25"/>
      <c r="F2807" s="25"/>
      <c r="G2807" s="123"/>
      <c r="H2807" s="123"/>
      <c r="I2807" s="25"/>
      <c r="J2807" s="25"/>
      <c r="K2807" s="367"/>
      <c r="L2807" s="42"/>
      <c r="M2807" s="42"/>
      <c r="N2807" s="42"/>
      <c r="O2807" s="42"/>
      <c r="P2807" s="42"/>
      <c r="Q2807" s="42"/>
      <c r="R2807" s="176"/>
      <c r="S2807" s="42"/>
      <c r="T2807" s="42"/>
      <c r="U2807" s="46"/>
      <c r="V2807" s="42"/>
      <c r="W2807" s="42"/>
      <c r="X2807" s="42"/>
      <c r="Y2807" s="42"/>
      <c r="Z2807" s="42"/>
      <c r="AA2807" s="42"/>
      <c r="AB2807" s="42"/>
      <c r="AC2807" s="42"/>
      <c r="AD2807" s="42"/>
      <c r="AE2807" s="42"/>
      <c r="AF2807" s="42"/>
    </row>
    <row r="2808">
      <c r="A2808" s="25"/>
      <c r="B2808" s="297"/>
      <c r="C2808" s="25"/>
      <c r="D2808" s="25"/>
      <c r="E2808" s="25"/>
      <c r="F2808" s="25"/>
      <c r="G2808" s="123"/>
      <c r="H2808" s="123"/>
      <c r="I2808" s="25"/>
      <c r="J2808" s="25"/>
      <c r="K2808" s="367"/>
      <c r="L2808" s="42"/>
      <c r="M2808" s="42"/>
      <c r="N2808" s="42"/>
      <c r="O2808" s="42"/>
      <c r="P2808" s="42"/>
      <c r="Q2808" s="42"/>
      <c r="R2808" s="176"/>
      <c r="S2808" s="42"/>
      <c r="T2808" s="42"/>
      <c r="U2808" s="46"/>
      <c r="V2808" s="42"/>
      <c r="W2808" s="42"/>
      <c r="X2808" s="42"/>
      <c r="Y2808" s="42"/>
      <c r="Z2808" s="42"/>
      <c r="AA2808" s="42"/>
      <c r="AB2808" s="42"/>
      <c r="AC2808" s="42"/>
      <c r="AD2808" s="42"/>
      <c r="AE2808" s="42"/>
      <c r="AF2808" s="42"/>
    </row>
    <row r="2809">
      <c r="A2809" s="25"/>
      <c r="B2809" s="297"/>
      <c r="C2809" s="25"/>
      <c r="D2809" s="25"/>
      <c r="E2809" s="25"/>
      <c r="F2809" s="25"/>
      <c r="G2809" s="123"/>
      <c r="H2809" s="123"/>
      <c r="I2809" s="25"/>
      <c r="J2809" s="25"/>
      <c r="K2809" s="367"/>
      <c r="L2809" s="42"/>
      <c r="M2809" s="42"/>
      <c r="N2809" s="42"/>
      <c r="O2809" s="42"/>
      <c r="P2809" s="42"/>
      <c r="Q2809" s="42"/>
      <c r="R2809" s="176"/>
      <c r="S2809" s="42"/>
      <c r="T2809" s="42"/>
      <c r="U2809" s="46"/>
      <c r="V2809" s="42"/>
      <c r="W2809" s="42"/>
      <c r="X2809" s="42"/>
      <c r="Y2809" s="42"/>
      <c r="Z2809" s="42"/>
      <c r="AA2809" s="42"/>
      <c r="AB2809" s="42"/>
      <c r="AC2809" s="42"/>
      <c r="AD2809" s="42"/>
      <c r="AE2809" s="42"/>
      <c r="AF2809" s="42"/>
    </row>
    <row r="2810">
      <c r="A2810" s="25"/>
      <c r="B2810" s="297"/>
      <c r="C2810" s="25"/>
      <c r="D2810" s="25"/>
      <c r="E2810" s="25"/>
      <c r="F2810" s="25"/>
      <c r="G2810" s="123"/>
      <c r="H2810" s="123"/>
      <c r="I2810" s="25"/>
      <c r="J2810" s="25"/>
      <c r="K2810" s="367"/>
      <c r="L2810" s="42"/>
      <c r="M2810" s="42"/>
      <c r="N2810" s="42"/>
      <c r="O2810" s="42"/>
      <c r="P2810" s="42"/>
      <c r="Q2810" s="42"/>
      <c r="R2810" s="176"/>
      <c r="S2810" s="42"/>
      <c r="T2810" s="42"/>
      <c r="U2810" s="46"/>
      <c r="V2810" s="42"/>
      <c r="W2810" s="42"/>
      <c r="X2810" s="42"/>
      <c r="Y2810" s="42"/>
      <c r="Z2810" s="42"/>
      <c r="AA2810" s="42"/>
      <c r="AB2810" s="42"/>
      <c r="AC2810" s="42"/>
      <c r="AD2810" s="42"/>
      <c r="AE2810" s="42"/>
      <c r="AF2810" s="42"/>
    </row>
    <row r="2811">
      <c r="A2811" s="25"/>
      <c r="B2811" s="297"/>
      <c r="C2811" s="25"/>
      <c r="D2811" s="25"/>
      <c r="E2811" s="25"/>
      <c r="F2811" s="25"/>
      <c r="G2811" s="123"/>
      <c r="H2811" s="123"/>
      <c r="I2811" s="25"/>
      <c r="J2811" s="25"/>
      <c r="K2811" s="367"/>
      <c r="L2811" s="42"/>
      <c r="M2811" s="42"/>
      <c r="N2811" s="42"/>
      <c r="O2811" s="42"/>
      <c r="P2811" s="42"/>
      <c r="Q2811" s="42"/>
      <c r="R2811" s="176"/>
      <c r="S2811" s="42"/>
      <c r="T2811" s="42"/>
      <c r="U2811" s="46"/>
      <c r="V2811" s="42"/>
      <c r="W2811" s="42"/>
      <c r="X2811" s="42"/>
      <c r="Y2811" s="42"/>
      <c r="Z2811" s="42"/>
      <c r="AA2811" s="42"/>
      <c r="AB2811" s="42"/>
      <c r="AC2811" s="42"/>
      <c r="AD2811" s="42"/>
      <c r="AE2811" s="42"/>
      <c r="AF2811" s="42"/>
    </row>
    <row r="2812">
      <c r="A2812" s="25"/>
      <c r="B2812" s="297"/>
      <c r="C2812" s="25"/>
      <c r="D2812" s="25"/>
      <c r="E2812" s="25"/>
      <c r="F2812" s="25"/>
      <c r="G2812" s="123"/>
      <c r="H2812" s="123"/>
      <c r="I2812" s="25"/>
      <c r="J2812" s="25"/>
      <c r="K2812" s="367"/>
      <c r="L2812" s="42"/>
      <c r="M2812" s="42"/>
      <c r="N2812" s="42"/>
      <c r="O2812" s="42"/>
      <c r="P2812" s="42"/>
      <c r="Q2812" s="42"/>
      <c r="R2812" s="176"/>
      <c r="S2812" s="42"/>
      <c r="T2812" s="42"/>
      <c r="U2812" s="46"/>
      <c r="V2812" s="42"/>
      <c r="W2812" s="42"/>
      <c r="X2812" s="42"/>
      <c r="Y2812" s="42"/>
      <c r="Z2812" s="42"/>
      <c r="AA2812" s="42"/>
      <c r="AB2812" s="42"/>
      <c r="AC2812" s="42"/>
      <c r="AD2812" s="42"/>
      <c r="AE2812" s="42"/>
      <c r="AF2812" s="42"/>
    </row>
    <row r="2813">
      <c r="A2813" s="25"/>
      <c r="B2813" s="297"/>
      <c r="C2813" s="25"/>
      <c r="D2813" s="25"/>
      <c r="E2813" s="25"/>
      <c r="F2813" s="25"/>
      <c r="G2813" s="123"/>
      <c r="H2813" s="123"/>
      <c r="I2813" s="25"/>
      <c r="J2813" s="25"/>
      <c r="K2813" s="367"/>
      <c r="L2813" s="42"/>
      <c r="M2813" s="42"/>
      <c r="N2813" s="42"/>
      <c r="O2813" s="42"/>
      <c r="P2813" s="42"/>
      <c r="Q2813" s="42"/>
      <c r="R2813" s="176"/>
      <c r="S2813" s="42"/>
      <c r="T2813" s="42"/>
      <c r="U2813" s="46"/>
      <c r="V2813" s="42"/>
      <c r="W2813" s="42"/>
      <c r="X2813" s="42"/>
      <c r="Y2813" s="42"/>
      <c r="Z2813" s="42"/>
      <c r="AA2813" s="42"/>
      <c r="AB2813" s="42"/>
      <c r="AC2813" s="42"/>
      <c r="AD2813" s="42"/>
      <c r="AE2813" s="42"/>
      <c r="AF2813" s="42"/>
    </row>
    <row r="2814">
      <c r="A2814" s="25"/>
      <c r="B2814" s="297"/>
      <c r="C2814" s="25"/>
      <c r="D2814" s="25"/>
      <c r="E2814" s="25"/>
      <c r="F2814" s="25"/>
      <c r="G2814" s="123"/>
      <c r="H2814" s="123"/>
      <c r="I2814" s="25"/>
      <c r="J2814" s="25"/>
      <c r="K2814" s="367"/>
      <c r="L2814" s="42"/>
      <c r="M2814" s="42"/>
      <c r="N2814" s="42"/>
      <c r="O2814" s="42"/>
      <c r="P2814" s="42"/>
      <c r="Q2814" s="42"/>
      <c r="R2814" s="176"/>
      <c r="S2814" s="42"/>
      <c r="T2814" s="42"/>
      <c r="U2814" s="46"/>
      <c r="V2814" s="42"/>
      <c r="W2814" s="42"/>
      <c r="X2814" s="42"/>
      <c r="Y2814" s="42"/>
      <c r="Z2814" s="42"/>
      <c r="AA2814" s="42"/>
      <c r="AB2814" s="42"/>
      <c r="AC2814" s="42"/>
      <c r="AD2814" s="42"/>
      <c r="AE2814" s="42"/>
      <c r="AF2814" s="42"/>
    </row>
    <row r="2815">
      <c r="A2815" s="25"/>
      <c r="B2815" s="297"/>
      <c r="C2815" s="25"/>
      <c r="D2815" s="25"/>
      <c r="E2815" s="25"/>
      <c r="F2815" s="25"/>
      <c r="G2815" s="123"/>
      <c r="H2815" s="123"/>
      <c r="I2815" s="25"/>
      <c r="J2815" s="25"/>
      <c r="K2815" s="367"/>
      <c r="L2815" s="42"/>
      <c r="M2815" s="42"/>
      <c r="N2815" s="42"/>
      <c r="O2815" s="42"/>
      <c r="P2815" s="42"/>
      <c r="Q2815" s="42"/>
      <c r="R2815" s="176"/>
      <c r="S2815" s="42"/>
      <c r="T2815" s="42"/>
      <c r="U2815" s="46"/>
      <c r="V2815" s="42"/>
      <c r="W2815" s="42"/>
      <c r="X2815" s="42"/>
      <c r="Y2815" s="42"/>
      <c r="Z2815" s="42"/>
      <c r="AA2815" s="42"/>
      <c r="AB2815" s="42"/>
      <c r="AC2815" s="42"/>
      <c r="AD2815" s="42"/>
      <c r="AE2815" s="42"/>
      <c r="AF2815" s="42"/>
    </row>
    <row r="2816">
      <c r="A2816" s="25"/>
      <c r="B2816" s="297"/>
      <c r="C2816" s="25"/>
      <c r="D2816" s="25"/>
      <c r="E2816" s="25"/>
      <c r="F2816" s="25"/>
      <c r="G2816" s="123"/>
      <c r="H2816" s="123"/>
      <c r="I2816" s="25"/>
      <c r="J2816" s="25"/>
      <c r="K2816" s="367"/>
      <c r="L2816" s="42"/>
      <c r="M2816" s="42"/>
      <c r="N2816" s="42"/>
      <c r="O2816" s="42"/>
      <c r="P2816" s="42"/>
      <c r="Q2816" s="42"/>
      <c r="R2816" s="176"/>
      <c r="S2816" s="42"/>
      <c r="T2816" s="42"/>
      <c r="U2816" s="46"/>
      <c r="V2816" s="42"/>
      <c r="W2816" s="42"/>
      <c r="X2816" s="42"/>
      <c r="Y2816" s="42"/>
      <c r="Z2816" s="42"/>
      <c r="AA2816" s="42"/>
      <c r="AB2816" s="42"/>
      <c r="AC2816" s="42"/>
      <c r="AD2816" s="42"/>
      <c r="AE2816" s="42"/>
      <c r="AF2816" s="42"/>
    </row>
    <row r="2817">
      <c r="A2817" s="25"/>
      <c r="B2817" s="297"/>
      <c r="C2817" s="25"/>
      <c r="D2817" s="25"/>
      <c r="E2817" s="25"/>
      <c r="F2817" s="25"/>
      <c r="G2817" s="123"/>
      <c r="H2817" s="123"/>
      <c r="I2817" s="25"/>
      <c r="J2817" s="25"/>
      <c r="K2817" s="367"/>
      <c r="L2817" s="42"/>
      <c r="M2817" s="42"/>
      <c r="N2817" s="42"/>
      <c r="O2817" s="42"/>
      <c r="P2817" s="42"/>
      <c r="Q2817" s="42"/>
      <c r="R2817" s="176"/>
      <c r="S2817" s="42"/>
      <c r="T2817" s="42"/>
      <c r="U2817" s="46"/>
      <c r="V2817" s="42"/>
      <c r="W2817" s="42"/>
      <c r="X2817" s="42"/>
      <c r="Y2817" s="42"/>
      <c r="Z2817" s="42"/>
      <c r="AA2817" s="42"/>
      <c r="AB2817" s="42"/>
      <c r="AC2817" s="42"/>
      <c r="AD2817" s="42"/>
      <c r="AE2817" s="42"/>
      <c r="AF2817" s="42"/>
    </row>
    <row r="2818">
      <c r="A2818" s="25"/>
      <c r="B2818" s="297"/>
      <c r="C2818" s="25"/>
      <c r="D2818" s="25"/>
      <c r="E2818" s="25"/>
      <c r="F2818" s="25"/>
      <c r="G2818" s="123"/>
      <c r="H2818" s="123"/>
      <c r="I2818" s="25"/>
      <c r="J2818" s="25"/>
      <c r="K2818" s="367"/>
      <c r="L2818" s="42"/>
      <c r="M2818" s="42"/>
      <c r="N2818" s="42"/>
      <c r="O2818" s="42"/>
      <c r="P2818" s="42"/>
      <c r="Q2818" s="42"/>
      <c r="R2818" s="176"/>
      <c r="S2818" s="42"/>
      <c r="T2818" s="42"/>
      <c r="U2818" s="46"/>
      <c r="V2818" s="42"/>
      <c r="W2818" s="42"/>
      <c r="X2818" s="42"/>
      <c r="Y2818" s="42"/>
      <c r="Z2818" s="42"/>
      <c r="AA2818" s="42"/>
      <c r="AB2818" s="42"/>
      <c r="AC2818" s="42"/>
      <c r="AD2818" s="42"/>
      <c r="AE2818" s="42"/>
      <c r="AF2818" s="42"/>
    </row>
    <row r="2819">
      <c r="A2819" s="25"/>
      <c r="B2819" s="297"/>
      <c r="C2819" s="25"/>
      <c r="D2819" s="25"/>
      <c r="E2819" s="25"/>
      <c r="F2819" s="25"/>
      <c r="G2819" s="123"/>
      <c r="H2819" s="123"/>
      <c r="I2819" s="25"/>
      <c r="J2819" s="25"/>
      <c r="K2819" s="367"/>
      <c r="L2819" s="42"/>
      <c r="M2819" s="42"/>
      <c r="N2819" s="42"/>
      <c r="O2819" s="42"/>
      <c r="P2819" s="42"/>
      <c r="Q2819" s="42"/>
      <c r="R2819" s="176"/>
      <c r="S2819" s="42"/>
      <c r="T2819" s="42"/>
      <c r="U2819" s="46"/>
      <c r="V2819" s="42"/>
      <c r="W2819" s="42"/>
      <c r="X2819" s="42"/>
      <c r="Y2819" s="42"/>
      <c r="Z2819" s="42"/>
      <c r="AA2819" s="42"/>
      <c r="AB2819" s="42"/>
      <c r="AC2819" s="42"/>
      <c r="AD2819" s="42"/>
      <c r="AE2819" s="42"/>
      <c r="AF2819" s="42"/>
    </row>
    <row r="2820">
      <c r="A2820" s="25"/>
      <c r="B2820" s="297"/>
      <c r="C2820" s="25"/>
      <c r="D2820" s="25"/>
      <c r="E2820" s="25"/>
      <c r="F2820" s="25"/>
      <c r="G2820" s="123"/>
      <c r="H2820" s="123"/>
      <c r="I2820" s="25"/>
      <c r="J2820" s="25"/>
      <c r="K2820" s="367"/>
      <c r="L2820" s="42"/>
      <c r="M2820" s="42"/>
      <c r="N2820" s="42"/>
      <c r="O2820" s="42"/>
      <c r="P2820" s="42"/>
      <c r="Q2820" s="42"/>
      <c r="R2820" s="176"/>
      <c r="S2820" s="42"/>
      <c r="T2820" s="42"/>
      <c r="U2820" s="46"/>
      <c r="V2820" s="42"/>
      <c r="W2820" s="42"/>
      <c r="X2820" s="42"/>
      <c r="Y2820" s="42"/>
      <c r="Z2820" s="42"/>
      <c r="AA2820" s="42"/>
      <c r="AB2820" s="42"/>
      <c r="AC2820" s="42"/>
      <c r="AD2820" s="42"/>
      <c r="AE2820" s="42"/>
      <c r="AF2820" s="42"/>
    </row>
    <row r="2821">
      <c r="A2821" s="25"/>
      <c r="B2821" s="297"/>
      <c r="C2821" s="25"/>
      <c r="D2821" s="25"/>
      <c r="E2821" s="25"/>
      <c r="F2821" s="25"/>
      <c r="G2821" s="123"/>
      <c r="H2821" s="123"/>
      <c r="I2821" s="25"/>
      <c r="J2821" s="25"/>
      <c r="K2821" s="367"/>
      <c r="L2821" s="42"/>
      <c r="M2821" s="42"/>
      <c r="N2821" s="42"/>
      <c r="O2821" s="42"/>
      <c r="P2821" s="42"/>
      <c r="Q2821" s="42"/>
      <c r="R2821" s="176"/>
      <c r="S2821" s="42"/>
      <c r="T2821" s="42"/>
      <c r="U2821" s="46"/>
      <c r="V2821" s="42"/>
      <c r="W2821" s="42"/>
      <c r="X2821" s="42"/>
      <c r="Y2821" s="42"/>
      <c r="Z2821" s="42"/>
      <c r="AA2821" s="42"/>
      <c r="AB2821" s="42"/>
      <c r="AC2821" s="42"/>
      <c r="AD2821" s="42"/>
      <c r="AE2821" s="42"/>
      <c r="AF2821" s="42"/>
    </row>
    <row r="2822">
      <c r="A2822" s="25"/>
      <c r="B2822" s="297"/>
      <c r="C2822" s="25"/>
      <c r="D2822" s="25"/>
      <c r="E2822" s="25"/>
      <c r="F2822" s="25"/>
      <c r="G2822" s="123"/>
      <c r="H2822" s="123"/>
      <c r="I2822" s="25"/>
      <c r="J2822" s="25"/>
      <c r="K2822" s="367"/>
      <c r="L2822" s="42"/>
      <c r="M2822" s="42"/>
      <c r="N2822" s="42"/>
      <c r="O2822" s="42"/>
      <c r="P2822" s="42"/>
      <c r="Q2822" s="42"/>
      <c r="R2822" s="176"/>
      <c r="S2822" s="42"/>
      <c r="T2822" s="42"/>
      <c r="U2822" s="46"/>
      <c r="V2822" s="42"/>
      <c r="W2822" s="42"/>
      <c r="X2822" s="42"/>
      <c r="Y2822" s="42"/>
      <c r="Z2822" s="42"/>
      <c r="AA2822" s="42"/>
      <c r="AB2822" s="42"/>
      <c r="AC2822" s="42"/>
      <c r="AD2822" s="42"/>
      <c r="AE2822" s="42"/>
      <c r="AF2822" s="42"/>
    </row>
    <row r="2823">
      <c r="A2823" s="25"/>
      <c r="B2823" s="297"/>
      <c r="C2823" s="25"/>
      <c r="D2823" s="25"/>
      <c r="E2823" s="25"/>
      <c r="F2823" s="25"/>
      <c r="G2823" s="123"/>
      <c r="H2823" s="123"/>
      <c r="I2823" s="25"/>
      <c r="J2823" s="25"/>
      <c r="K2823" s="367"/>
      <c r="L2823" s="42"/>
      <c r="M2823" s="42"/>
      <c r="N2823" s="42"/>
      <c r="O2823" s="42"/>
      <c r="P2823" s="42"/>
      <c r="Q2823" s="42"/>
      <c r="R2823" s="176"/>
      <c r="S2823" s="42"/>
      <c r="T2823" s="42"/>
      <c r="U2823" s="46"/>
      <c r="V2823" s="42"/>
      <c r="W2823" s="42"/>
      <c r="X2823" s="42"/>
      <c r="Y2823" s="42"/>
      <c r="Z2823" s="42"/>
      <c r="AA2823" s="42"/>
      <c r="AB2823" s="42"/>
      <c r="AC2823" s="42"/>
      <c r="AD2823" s="42"/>
      <c r="AE2823" s="42"/>
      <c r="AF2823" s="42"/>
    </row>
    <row r="2824">
      <c r="A2824" s="25"/>
      <c r="B2824" s="297"/>
      <c r="C2824" s="25"/>
      <c r="D2824" s="25"/>
      <c r="E2824" s="25"/>
      <c r="F2824" s="25"/>
      <c r="G2824" s="123"/>
      <c r="H2824" s="123"/>
      <c r="I2824" s="25"/>
      <c r="J2824" s="25"/>
      <c r="K2824" s="367"/>
      <c r="L2824" s="42"/>
      <c r="M2824" s="42"/>
      <c r="N2824" s="42"/>
      <c r="O2824" s="42"/>
      <c r="P2824" s="42"/>
      <c r="Q2824" s="42"/>
      <c r="R2824" s="176"/>
      <c r="S2824" s="42"/>
      <c r="T2824" s="42"/>
      <c r="U2824" s="46"/>
      <c r="V2824" s="42"/>
      <c r="W2824" s="42"/>
      <c r="X2824" s="42"/>
      <c r="Y2824" s="42"/>
      <c r="Z2824" s="42"/>
      <c r="AA2824" s="42"/>
      <c r="AB2824" s="42"/>
      <c r="AC2824" s="42"/>
      <c r="AD2824" s="42"/>
      <c r="AE2824" s="42"/>
      <c r="AF2824" s="42"/>
    </row>
    <row r="2825">
      <c r="A2825" s="25"/>
      <c r="B2825" s="297"/>
      <c r="C2825" s="25"/>
      <c r="D2825" s="25"/>
      <c r="E2825" s="25"/>
      <c r="F2825" s="25"/>
      <c r="G2825" s="123"/>
      <c r="H2825" s="123"/>
      <c r="I2825" s="25"/>
      <c r="J2825" s="25"/>
      <c r="K2825" s="367"/>
      <c r="L2825" s="42"/>
      <c r="M2825" s="42"/>
      <c r="N2825" s="42"/>
      <c r="O2825" s="42"/>
      <c r="P2825" s="42"/>
      <c r="Q2825" s="42"/>
      <c r="R2825" s="176"/>
      <c r="S2825" s="42"/>
      <c r="T2825" s="42"/>
      <c r="U2825" s="46"/>
      <c r="V2825" s="42"/>
      <c r="W2825" s="42"/>
      <c r="X2825" s="42"/>
      <c r="Y2825" s="42"/>
      <c r="Z2825" s="42"/>
      <c r="AA2825" s="42"/>
      <c r="AB2825" s="42"/>
      <c r="AC2825" s="42"/>
      <c r="AD2825" s="42"/>
      <c r="AE2825" s="42"/>
      <c r="AF2825" s="42"/>
    </row>
    <row r="2826">
      <c r="A2826" s="25"/>
      <c r="B2826" s="297"/>
      <c r="C2826" s="25"/>
      <c r="D2826" s="25"/>
      <c r="E2826" s="25"/>
      <c r="F2826" s="25"/>
      <c r="G2826" s="123"/>
      <c r="H2826" s="123"/>
      <c r="I2826" s="25"/>
      <c r="J2826" s="25"/>
      <c r="K2826" s="367"/>
      <c r="L2826" s="42"/>
      <c r="M2826" s="42"/>
      <c r="N2826" s="42"/>
      <c r="O2826" s="42"/>
      <c r="P2826" s="42"/>
      <c r="Q2826" s="42"/>
      <c r="R2826" s="176"/>
      <c r="S2826" s="42"/>
      <c r="T2826" s="42"/>
      <c r="U2826" s="46"/>
      <c r="V2826" s="42"/>
      <c r="W2826" s="42"/>
      <c r="X2826" s="42"/>
      <c r="Y2826" s="42"/>
      <c r="Z2826" s="42"/>
      <c r="AA2826" s="42"/>
      <c r="AB2826" s="42"/>
      <c r="AC2826" s="42"/>
      <c r="AD2826" s="42"/>
      <c r="AE2826" s="42"/>
      <c r="AF2826" s="42"/>
    </row>
    <row r="2827">
      <c r="A2827" s="25"/>
      <c r="B2827" s="297"/>
      <c r="C2827" s="25"/>
      <c r="D2827" s="25"/>
      <c r="E2827" s="25"/>
      <c r="F2827" s="25"/>
      <c r="G2827" s="123"/>
      <c r="H2827" s="123"/>
      <c r="I2827" s="25"/>
      <c r="J2827" s="25"/>
      <c r="K2827" s="367"/>
      <c r="L2827" s="42"/>
      <c r="M2827" s="42"/>
      <c r="N2827" s="42"/>
      <c r="O2827" s="42"/>
      <c r="P2827" s="42"/>
      <c r="Q2827" s="42"/>
      <c r="R2827" s="176"/>
      <c r="S2827" s="42"/>
      <c r="T2827" s="42"/>
      <c r="U2827" s="46"/>
      <c r="V2827" s="42"/>
      <c r="W2827" s="42"/>
      <c r="X2827" s="42"/>
      <c r="Y2827" s="42"/>
      <c r="Z2827" s="42"/>
      <c r="AA2827" s="42"/>
      <c r="AB2827" s="42"/>
      <c r="AC2827" s="42"/>
      <c r="AD2827" s="42"/>
      <c r="AE2827" s="42"/>
      <c r="AF2827" s="42"/>
    </row>
    <row r="2828">
      <c r="A2828" s="25"/>
      <c r="B2828" s="297"/>
      <c r="C2828" s="25"/>
      <c r="D2828" s="25"/>
      <c r="E2828" s="25"/>
      <c r="F2828" s="25"/>
      <c r="G2828" s="123"/>
      <c r="H2828" s="123"/>
      <c r="I2828" s="25"/>
      <c r="J2828" s="25"/>
      <c r="K2828" s="367"/>
      <c r="L2828" s="42"/>
      <c r="M2828" s="42"/>
      <c r="N2828" s="42"/>
      <c r="O2828" s="42"/>
      <c r="P2828" s="42"/>
      <c r="Q2828" s="42"/>
      <c r="R2828" s="176"/>
      <c r="S2828" s="42"/>
      <c r="T2828" s="42"/>
      <c r="U2828" s="46"/>
      <c r="V2828" s="42"/>
      <c r="W2828" s="42"/>
      <c r="X2828" s="42"/>
      <c r="Y2828" s="42"/>
      <c r="Z2828" s="42"/>
      <c r="AA2828" s="42"/>
      <c r="AB2828" s="42"/>
      <c r="AC2828" s="42"/>
      <c r="AD2828" s="42"/>
      <c r="AE2828" s="42"/>
      <c r="AF2828" s="42"/>
    </row>
    <row r="2829">
      <c r="A2829" s="25"/>
      <c r="B2829" s="297"/>
      <c r="C2829" s="25"/>
      <c r="D2829" s="25"/>
      <c r="E2829" s="25"/>
      <c r="F2829" s="25"/>
      <c r="G2829" s="123"/>
      <c r="H2829" s="123"/>
      <c r="I2829" s="25"/>
      <c r="J2829" s="25"/>
      <c r="K2829" s="367"/>
      <c r="L2829" s="42"/>
      <c r="M2829" s="42"/>
      <c r="N2829" s="42"/>
      <c r="O2829" s="42"/>
      <c r="P2829" s="42"/>
      <c r="Q2829" s="42"/>
      <c r="R2829" s="176"/>
      <c r="S2829" s="42"/>
      <c r="T2829" s="42"/>
      <c r="U2829" s="46"/>
      <c r="V2829" s="42"/>
      <c r="W2829" s="42"/>
      <c r="X2829" s="42"/>
      <c r="Y2829" s="42"/>
      <c r="Z2829" s="42"/>
      <c r="AA2829" s="42"/>
      <c r="AB2829" s="42"/>
      <c r="AC2829" s="42"/>
      <c r="AD2829" s="42"/>
      <c r="AE2829" s="42"/>
      <c r="AF2829" s="42"/>
    </row>
    <row r="2830">
      <c r="A2830" s="25"/>
      <c r="B2830" s="297"/>
      <c r="C2830" s="25"/>
      <c r="D2830" s="25"/>
      <c r="E2830" s="25"/>
      <c r="F2830" s="25"/>
      <c r="G2830" s="123"/>
      <c r="H2830" s="123"/>
      <c r="I2830" s="25"/>
      <c r="J2830" s="25"/>
      <c r="K2830" s="367"/>
      <c r="L2830" s="42"/>
      <c r="M2830" s="42"/>
      <c r="N2830" s="42"/>
      <c r="O2830" s="42"/>
      <c r="P2830" s="42"/>
      <c r="Q2830" s="42"/>
      <c r="R2830" s="176"/>
      <c r="S2830" s="42"/>
      <c r="T2830" s="42"/>
      <c r="U2830" s="46"/>
      <c r="V2830" s="42"/>
      <c r="W2830" s="42"/>
      <c r="X2830" s="42"/>
      <c r="Y2830" s="42"/>
      <c r="Z2830" s="42"/>
      <c r="AA2830" s="42"/>
      <c r="AB2830" s="42"/>
      <c r="AC2830" s="42"/>
      <c r="AD2830" s="42"/>
      <c r="AE2830" s="42"/>
      <c r="AF2830" s="42"/>
    </row>
    <row r="2831">
      <c r="A2831" s="25"/>
      <c r="B2831" s="297"/>
      <c r="C2831" s="25"/>
      <c r="D2831" s="25"/>
      <c r="E2831" s="25"/>
      <c r="F2831" s="25"/>
      <c r="G2831" s="123"/>
      <c r="H2831" s="123"/>
      <c r="I2831" s="25"/>
      <c r="J2831" s="25"/>
      <c r="K2831" s="367"/>
      <c r="L2831" s="42"/>
      <c r="M2831" s="42"/>
      <c r="N2831" s="42"/>
      <c r="O2831" s="42"/>
      <c r="P2831" s="42"/>
      <c r="Q2831" s="42"/>
      <c r="R2831" s="176"/>
      <c r="S2831" s="42"/>
      <c r="T2831" s="42"/>
      <c r="U2831" s="46"/>
      <c r="V2831" s="42"/>
      <c r="W2831" s="42"/>
      <c r="X2831" s="42"/>
      <c r="Y2831" s="42"/>
      <c r="Z2831" s="42"/>
      <c r="AA2831" s="42"/>
      <c r="AB2831" s="42"/>
      <c r="AC2831" s="42"/>
      <c r="AD2831" s="42"/>
      <c r="AE2831" s="42"/>
      <c r="AF2831" s="42"/>
    </row>
    <row r="2832">
      <c r="A2832" s="25"/>
      <c r="B2832" s="297"/>
      <c r="C2832" s="25"/>
      <c r="D2832" s="25"/>
      <c r="E2832" s="25"/>
      <c r="F2832" s="25"/>
      <c r="G2832" s="123"/>
      <c r="H2832" s="123"/>
      <c r="I2832" s="25"/>
      <c r="J2832" s="25"/>
      <c r="K2832" s="367"/>
      <c r="L2832" s="42"/>
      <c r="M2832" s="42"/>
      <c r="N2832" s="42"/>
      <c r="O2832" s="42"/>
      <c r="P2832" s="42"/>
      <c r="Q2832" s="42"/>
      <c r="R2832" s="176"/>
      <c r="S2832" s="42"/>
      <c r="T2832" s="42"/>
      <c r="U2832" s="46"/>
      <c r="V2832" s="42"/>
      <c r="W2832" s="42"/>
      <c r="X2832" s="42"/>
      <c r="Y2832" s="42"/>
      <c r="Z2832" s="42"/>
      <c r="AA2832" s="42"/>
      <c r="AB2832" s="42"/>
      <c r="AC2832" s="42"/>
      <c r="AD2832" s="42"/>
      <c r="AE2832" s="42"/>
      <c r="AF2832" s="42"/>
    </row>
    <row r="2833">
      <c r="A2833" s="25"/>
      <c r="B2833" s="297"/>
      <c r="C2833" s="25"/>
      <c r="D2833" s="25"/>
      <c r="E2833" s="25"/>
      <c r="F2833" s="25"/>
      <c r="G2833" s="123"/>
      <c r="H2833" s="123"/>
      <c r="I2833" s="25"/>
      <c r="J2833" s="25"/>
      <c r="K2833" s="367"/>
      <c r="L2833" s="42"/>
      <c r="M2833" s="42"/>
      <c r="N2833" s="42"/>
      <c r="O2833" s="42"/>
      <c r="P2833" s="42"/>
      <c r="Q2833" s="42"/>
      <c r="R2833" s="176"/>
      <c r="S2833" s="42"/>
      <c r="T2833" s="42"/>
      <c r="U2833" s="46"/>
      <c r="V2833" s="42"/>
      <c r="W2833" s="42"/>
      <c r="X2833" s="42"/>
      <c r="Y2833" s="42"/>
      <c r="Z2833" s="42"/>
      <c r="AA2833" s="42"/>
      <c r="AB2833" s="42"/>
      <c r="AC2833" s="42"/>
      <c r="AD2833" s="42"/>
      <c r="AE2833" s="42"/>
      <c r="AF2833" s="42"/>
    </row>
    <row r="2834">
      <c r="A2834" s="25"/>
      <c r="B2834" s="297"/>
      <c r="C2834" s="25"/>
      <c r="D2834" s="25"/>
      <c r="E2834" s="25"/>
      <c r="F2834" s="25"/>
      <c r="G2834" s="123"/>
      <c r="H2834" s="123"/>
      <c r="I2834" s="25"/>
      <c r="J2834" s="25"/>
      <c r="K2834" s="367"/>
      <c r="L2834" s="42"/>
      <c r="M2834" s="42"/>
      <c r="N2834" s="42"/>
      <c r="O2834" s="42"/>
      <c r="P2834" s="42"/>
      <c r="Q2834" s="42"/>
      <c r="R2834" s="176"/>
      <c r="S2834" s="42"/>
      <c r="T2834" s="42"/>
      <c r="U2834" s="46"/>
      <c r="V2834" s="42"/>
      <c r="W2834" s="42"/>
      <c r="X2834" s="42"/>
      <c r="Y2834" s="42"/>
      <c r="Z2834" s="42"/>
      <c r="AA2834" s="42"/>
      <c r="AB2834" s="42"/>
      <c r="AC2834" s="42"/>
      <c r="AD2834" s="42"/>
      <c r="AE2834" s="42"/>
      <c r="AF2834" s="42"/>
    </row>
    <row r="2835">
      <c r="A2835" s="25"/>
      <c r="B2835" s="297"/>
      <c r="C2835" s="25"/>
      <c r="D2835" s="25"/>
      <c r="E2835" s="25"/>
      <c r="F2835" s="25"/>
      <c r="G2835" s="123"/>
      <c r="H2835" s="123"/>
      <c r="I2835" s="25"/>
      <c r="J2835" s="25"/>
      <c r="K2835" s="367"/>
      <c r="L2835" s="42"/>
      <c r="M2835" s="42"/>
      <c r="N2835" s="42"/>
      <c r="O2835" s="42"/>
      <c r="P2835" s="42"/>
      <c r="Q2835" s="42"/>
      <c r="R2835" s="176"/>
      <c r="S2835" s="42"/>
      <c r="T2835" s="42"/>
      <c r="U2835" s="46"/>
      <c r="V2835" s="42"/>
      <c r="W2835" s="42"/>
      <c r="X2835" s="42"/>
      <c r="Y2835" s="42"/>
      <c r="Z2835" s="42"/>
      <c r="AA2835" s="42"/>
      <c r="AB2835" s="42"/>
      <c r="AC2835" s="42"/>
      <c r="AD2835" s="42"/>
      <c r="AE2835" s="42"/>
      <c r="AF2835" s="42"/>
    </row>
    <row r="2836">
      <c r="A2836" s="25"/>
      <c r="B2836" s="297"/>
      <c r="C2836" s="25"/>
      <c r="D2836" s="25"/>
      <c r="E2836" s="25"/>
      <c r="F2836" s="25"/>
      <c r="G2836" s="123"/>
      <c r="H2836" s="123"/>
      <c r="I2836" s="25"/>
      <c r="J2836" s="25"/>
      <c r="K2836" s="367"/>
      <c r="L2836" s="42"/>
      <c r="M2836" s="42"/>
      <c r="N2836" s="42"/>
      <c r="O2836" s="42"/>
      <c r="P2836" s="42"/>
      <c r="Q2836" s="42"/>
      <c r="R2836" s="176"/>
      <c r="S2836" s="42"/>
      <c r="T2836" s="42"/>
      <c r="U2836" s="46"/>
      <c r="V2836" s="42"/>
      <c r="W2836" s="42"/>
      <c r="X2836" s="42"/>
      <c r="Y2836" s="42"/>
      <c r="Z2836" s="42"/>
      <c r="AA2836" s="42"/>
      <c r="AB2836" s="42"/>
      <c r="AC2836" s="42"/>
      <c r="AD2836" s="42"/>
      <c r="AE2836" s="42"/>
      <c r="AF2836" s="42"/>
    </row>
    <row r="2837">
      <c r="A2837" s="25"/>
      <c r="B2837" s="297"/>
      <c r="C2837" s="25"/>
      <c r="D2837" s="25"/>
      <c r="E2837" s="25"/>
      <c r="F2837" s="25"/>
      <c r="G2837" s="123"/>
      <c r="H2837" s="123"/>
      <c r="I2837" s="25"/>
      <c r="J2837" s="25"/>
      <c r="K2837" s="367"/>
      <c r="L2837" s="42"/>
      <c r="M2837" s="42"/>
      <c r="N2837" s="42"/>
      <c r="O2837" s="42"/>
      <c r="P2837" s="42"/>
      <c r="Q2837" s="42"/>
      <c r="R2837" s="176"/>
      <c r="S2837" s="42"/>
      <c r="T2837" s="42"/>
      <c r="U2837" s="46"/>
      <c r="V2837" s="42"/>
      <c r="W2837" s="42"/>
      <c r="X2837" s="42"/>
      <c r="Y2837" s="42"/>
      <c r="Z2837" s="42"/>
      <c r="AA2837" s="42"/>
      <c r="AB2837" s="42"/>
      <c r="AC2837" s="42"/>
      <c r="AD2837" s="42"/>
      <c r="AE2837" s="42"/>
      <c r="AF2837" s="42"/>
    </row>
    <row r="2838">
      <c r="A2838" s="25"/>
      <c r="B2838" s="297"/>
      <c r="C2838" s="25"/>
      <c r="D2838" s="25"/>
      <c r="E2838" s="25"/>
      <c r="F2838" s="25"/>
      <c r="G2838" s="123"/>
      <c r="H2838" s="123"/>
      <c r="I2838" s="25"/>
      <c r="J2838" s="25"/>
      <c r="K2838" s="367"/>
      <c r="L2838" s="42"/>
      <c r="M2838" s="42"/>
      <c r="N2838" s="42"/>
      <c r="O2838" s="42"/>
      <c r="P2838" s="42"/>
      <c r="Q2838" s="42"/>
      <c r="R2838" s="176"/>
      <c r="S2838" s="42"/>
      <c r="T2838" s="42"/>
      <c r="U2838" s="46"/>
      <c r="V2838" s="42"/>
      <c r="W2838" s="42"/>
      <c r="X2838" s="42"/>
      <c r="Y2838" s="42"/>
      <c r="Z2838" s="42"/>
      <c r="AA2838" s="42"/>
      <c r="AB2838" s="42"/>
      <c r="AC2838" s="42"/>
      <c r="AD2838" s="42"/>
      <c r="AE2838" s="42"/>
      <c r="AF2838" s="42"/>
    </row>
    <row r="2839">
      <c r="A2839" s="25"/>
      <c r="B2839" s="297"/>
      <c r="C2839" s="25"/>
      <c r="D2839" s="25"/>
      <c r="E2839" s="25"/>
      <c r="F2839" s="25"/>
      <c r="G2839" s="123"/>
      <c r="H2839" s="123"/>
      <c r="I2839" s="25"/>
      <c r="J2839" s="25"/>
      <c r="K2839" s="367"/>
      <c r="L2839" s="42"/>
      <c r="M2839" s="42"/>
      <c r="N2839" s="42"/>
      <c r="O2839" s="42"/>
      <c r="P2839" s="42"/>
      <c r="Q2839" s="42"/>
      <c r="R2839" s="176"/>
      <c r="S2839" s="42"/>
      <c r="T2839" s="42"/>
      <c r="U2839" s="46"/>
      <c r="V2839" s="42"/>
      <c r="W2839" s="42"/>
      <c r="X2839" s="42"/>
      <c r="Y2839" s="42"/>
      <c r="Z2839" s="42"/>
      <c r="AA2839" s="42"/>
      <c r="AB2839" s="42"/>
      <c r="AC2839" s="42"/>
      <c r="AD2839" s="42"/>
      <c r="AE2839" s="42"/>
      <c r="AF2839" s="42"/>
    </row>
    <row r="2840">
      <c r="A2840" s="25"/>
      <c r="B2840" s="297"/>
      <c r="C2840" s="25"/>
      <c r="D2840" s="25"/>
      <c r="E2840" s="25"/>
      <c r="F2840" s="25"/>
      <c r="G2840" s="123"/>
      <c r="H2840" s="123"/>
      <c r="I2840" s="25"/>
      <c r="J2840" s="25"/>
      <c r="K2840" s="367"/>
      <c r="L2840" s="42"/>
      <c r="M2840" s="42"/>
      <c r="N2840" s="42"/>
      <c r="O2840" s="42"/>
      <c r="P2840" s="42"/>
      <c r="Q2840" s="42"/>
      <c r="R2840" s="176"/>
      <c r="S2840" s="42"/>
      <c r="T2840" s="42"/>
      <c r="U2840" s="46"/>
      <c r="V2840" s="42"/>
      <c r="W2840" s="42"/>
      <c r="X2840" s="42"/>
      <c r="Y2840" s="42"/>
      <c r="Z2840" s="42"/>
      <c r="AA2840" s="42"/>
      <c r="AB2840" s="42"/>
      <c r="AC2840" s="42"/>
      <c r="AD2840" s="42"/>
      <c r="AE2840" s="42"/>
      <c r="AF2840" s="42"/>
    </row>
    <row r="2841">
      <c r="A2841" s="25"/>
      <c r="B2841" s="297"/>
      <c r="C2841" s="25"/>
      <c r="D2841" s="25"/>
      <c r="E2841" s="25"/>
      <c r="F2841" s="25"/>
      <c r="G2841" s="123"/>
      <c r="H2841" s="123"/>
      <c r="I2841" s="25"/>
      <c r="J2841" s="25"/>
      <c r="K2841" s="367"/>
      <c r="L2841" s="42"/>
      <c r="M2841" s="42"/>
      <c r="N2841" s="42"/>
      <c r="O2841" s="42"/>
      <c r="P2841" s="42"/>
      <c r="Q2841" s="42"/>
      <c r="R2841" s="176"/>
      <c r="S2841" s="42"/>
      <c r="T2841" s="42"/>
      <c r="U2841" s="46"/>
      <c r="V2841" s="42"/>
      <c r="W2841" s="42"/>
      <c r="X2841" s="42"/>
      <c r="Y2841" s="42"/>
      <c r="Z2841" s="42"/>
      <c r="AA2841" s="42"/>
      <c r="AB2841" s="42"/>
      <c r="AC2841" s="42"/>
      <c r="AD2841" s="42"/>
      <c r="AE2841" s="42"/>
      <c r="AF2841" s="42"/>
    </row>
    <row r="2842">
      <c r="A2842" s="25"/>
      <c r="B2842" s="297"/>
      <c r="C2842" s="25"/>
      <c r="D2842" s="25"/>
      <c r="E2842" s="25"/>
      <c r="F2842" s="25"/>
      <c r="G2842" s="123"/>
      <c r="H2842" s="123"/>
      <c r="I2842" s="25"/>
      <c r="J2842" s="25"/>
      <c r="K2842" s="367"/>
      <c r="L2842" s="42"/>
      <c r="M2842" s="42"/>
      <c r="N2842" s="42"/>
      <c r="O2842" s="42"/>
      <c r="P2842" s="42"/>
      <c r="Q2842" s="42"/>
      <c r="R2842" s="176"/>
      <c r="S2842" s="42"/>
      <c r="T2842" s="42"/>
      <c r="U2842" s="46"/>
      <c r="V2842" s="42"/>
      <c r="W2842" s="42"/>
      <c r="X2842" s="42"/>
      <c r="Y2842" s="42"/>
      <c r="Z2842" s="42"/>
      <c r="AA2842" s="42"/>
      <c r="AB2842" s="42"/>
      <c r="AC2842" s="42"/>
      <c r="AD2842" s="42"/>
      <c r="AE2842" s="42"/>
      <c r="AF2842" s="42"/>
    </row>
    <row r="2843">
      <c r="A2843" s="25"/>
      <c r="B2843" s="297"/>
      <c r="C2843" s="25"/>
      <c r="D2843" s="25"/>
      <c r="E2843" s="25"/>
      <c r="F2843" s="25"/>
      <c r="G2843" s="123"/>
      <c r="H2843" s="123"/>
      <c r="I2843" s="25"/>
      <c r="J2843" s="25"/>
      <c r="K2843" s="367"/>
      <c r="L2843" s="42"/>
      <c r="M2843" s="42"/>
      <c r="N2843" s="42"/>
      <c r="O2843" s="42"/>
      <c r="P2843" s="42"/>
      <c r="Q2843" s="42"/>
      <c r="R2843" s="176"/>
      <c r="S2843" s="42"/>
      <c r="T2843" s="42"/>
      <c r="U2843" s="46"/>
      <c r="V2843" s="42"/>
      <c r="W2843" s="42"/>
      <c r="X2843" s="42"/>
      <c r="Y2843" s="42"/>
      <c r="Z2843" s="42"/>
      <c r="AA2843" s="42"/>
      <c r="AB2843" s="42"/>
      <c r="AC2843" s="42"/>
      <c r="AD2843" s="42"/>
      <c r="AE2843" s="42"/>
      <c r="AF2843" s="42"/>
    </row>
    <row r="2844">
      <c r="A2844" s="25"/>
      <c r="B2844" s="297"/>
      <c r="C2844" s="25"/>
      <c r="D2844" s="25"/>
      <c r="E2844" s="25"/>
      <c r="F2844" s="25"/>
      <c r="G2844" s="123"/>
      <c r="H2844" s="123"/>
      <c r="I2844" s="25"/>
      <c r="J2844" s="25"/>
      <c r="K2844" s="367"/>
      <c r="L2844" s="42"/>
      <c r="M2844" s="42"/>
      <c r="N2844" s="42"/>
      <c r="O2844" s="42"/>
      <c r="P2844" s="42"/>
      <c r="Q2844" s="42"/>
      <c r="R2844" s="176"/>
      <c r="S2844" s="42"/>
      <c r="T2844" s="42"/>
      <c r="U2844" s="46"/>
      <c r="V2844" s="42"/>
      <c r="W2844" s="42"/>
      <c r="X2844" s="42"/>
      <c r="Y2844" s="42"/>
      <c r="Z2844" s="42"/>
      <c r="AA2844" s="42"/>
      <c r="AB2844" s="42"/>
      <c r="AC2844" s="42"/>
      <c r="AD2844" s="42"/>
      <c r="AE2844" s="42"/>
      <c r="AF2844" s="42"/>
    </row>
  </sheetData>
  <customSheetViews>
    <customSheetView guid="{051E4C51-F42F-4528-821F-84B8A4B66F8D}" filter="1" showAutoFilter="1">
      <autoFilter ref="$A$1:$X$248"/>
    </customSheetView>
    <customSheetView guid="{889ED070-0D93-4F51-A306-12D094EAF3E5}" filter="1" showAutoFilter="1">
      <autoFilter ref="$A$1:$X$418">
        <filterColumn colId="8">
          <filters>
            <filter val="DLR ACC"/>
            <filter val="VS28"/>
            <filter val="VS29"/>
            <filter val="VS30"/>
            <filter val="VS23"/>
            <filter val="VS12"/>
          </filters>
        </filterColumn>
        <sortState ref="A1:X418">
          <sortCondition ref="B1:B418"/>
        </sortState>
      </autoFilter>
    </customSheetView>
    <customSheetView guid="{53B5B2E0-1F6A-4302-A7AF-6CA488ADC63D}" filter="1" showAutoFilter="1">
      <autoFilter ref="$A$1:$X$253">
        <sortState ref="A1:X253">
          <sortCondition ref="B1:B253"/>
        </sortState>
      </autoFilter>
    </customSheetView>
    <customSheetView guid="{4D7D1229-F593-4F73-B17A-999A8F1BA0C7}" filter="1" showAutoFilter="1">
      <autoFilter ref="$A$1:$X$360">
        <filterColumn colId="9">
          <filters>
            <filter val="27"/>
          </filters>
        </filterColumn>
        <filterColumn colId="5">
          <filters>
            <filter val="ANAND RATHI"/>
            <filter val="JAINAMSRED"/>
            <filter val="ACHINTYA"/>
            <filter val="KREDENT"/>
            <filter val="EXCELSTOCK"/>
            <filter val="MastertrustPro"/>
            <filter val="IIFL_DEALER"/>
            <filter val="IIFL_CDC2"/>
            <filter val="GyandeepStocks"/>
            <filter val="Pace"/>
            <filter val="jainamXTS"/>
            <filter val="MasterTrust_Dealer"/>
            <filter val="jainamsred"/>
            <filter val="JAINAMSRED2"/>
            <filter val="ANANDRATHI"/>
            <filter val="JM_FINANCIAL"/>
            <filter val="Jainam_Broking"/>
            <filter val="JainamBroking"/>
            <filter val="ALPHA MATRIX"/>
            <filter val="JAINAM_RETAIL"/>
            <filter val="JainamXTS"/>
            <filter val="Mastertrustpro"/>
            <filter val="JAINAM_XTS"/>
            <filter val="ArhamWealthProp"/>
            <filter val="JainamBROKING"/>
            <filter val="PACE"/>
            <filter val="ASPL1"/>
            <filter val="JAINAMBROKING"/>
            <filter val="AnandRathi"/>
          </filters>
        </filterColumn>
      </autoFilter>
    </customSheetView>
    <customSheetView guid="{E85F74B1-AE5C-472E-9045-879DABE0BF04}" filter="1" showAutoFilter="1">
      <autoFilter ref="$A$1:$Z$753">
        <filterColumn colId="5">
          <filters>
            <filter val="AshikaXTS"/>
            <filter val="KREDENT"/>
            <filter val="EXCELSTOCK"/>
            <filter val="JM_FINANCIAL"/>
            <filter val="Nuvama"/>
            <filter val="JainamXTS"/>
            <filter val="Mastertrustpro"/>
            <filter val="JainamBROKING"/>
            <filter val="PACE"/>
            <filter val="JUNOmoneta"/>
            <filter val="JAINAMBROKING"/>
            <filter val="AnandRathi"/>
            <filter val="ANAND RATHI"/>
            <filter val="PACEXTS"/>
            <filter val="MastertrustPro"/>
            <filter val="jainamsred"/>
            <filter val="PaceXts"/>
            <filter val="ANANDRATHI"/>
            <filter val="EXCELXTSPRO"/>
          </filters>
        </filterColumn>
        <filterColumn colId="8">
          <filters>
            <filter val="VS14"/>
            <filter val="VS15"/>
            <filter val="VS16"/>
            <filter val="VS18"/>
            <filter val="VS19"/>
            <filter val="VS2"/>
            <filter val="VS21"/>
            <filter val="VS1"/>
            <filter val="VS22"/>
            <filter val="VS23"/>
            <filter val="VS4"/>
            <filter val="VS24"/>
            <filter val="VS3"/>
            <filter val="VS6"/>
            <filter val="VS5"/>
            <filter val="VS8"/>
            <filter val="VS7"/>
            <filter val="VS25"/>
            <filter val="VS26"/>
            <filter val="VS27"/>
            <filter val="VS28"/>
            <filter val="VS29"/>
            <filter val="VS30"/>
            <filter val="VS10"/>
            <filter val="VS11"/>
            <filter val="VS33"/>
            <filter val="VS12"/>
            <filter val="VS13"/>
          </filters>
        </filterColumn>
        <filterColumn colId="12">
          <filters>
            <filter val="DLR ACC"/>
            <filter val="1DTE/0DTE"/>
            <filter val="0DTE"/>
            <filter val="DAILY"/>
          </filters>
        </filterColumn>
      </autoFilter>
    </customSheetView>
    <customSheetView guid="{1F63DB80-DBD6-4222-8725-E91565CCC5C8}" filter="1" showAutoFilter="1">
      <autoFilter ref="$A$1:$X$418">
        <filterColumn colId="8">
          <filters>
            <filter val="DLR ACC"/>
            <filter val="VS28"/>
            <filter val="VS29"/>
            <filter val="VS30"/>
            <filter val="VS10"/>
            <filter val="VS23"/>
          </filters>
        </filterColumn>
        <sortState ref="A1:X418">
          <sortCondition ref="B1:B418"/>
        </sortState>
      </autoFilter>
    </customSheetView>
    <customSheetView guid="{1579EE49-65C2-491E-991B-E20EE33BD0CF}" filter="1" showAutoFilter="1">
      <autoFilter ref="$A$1:$X$360">
        <sortState ref="A1:X360">
          <sortCondition ref="B1:B360"/>
        </sortState>
      </autoFilter>
    </customSheetView>
    <customSheetView guid="{D74D10B6-EEC7-4166-B0A0-8E36A8E662E0}" filter="1" showAutoFilter="1">
      <autoFilter ref="$A$1:$AB$2844"/>
    </customSheetView>
    <customSheetView guid="{A028FDE0-77D1-4CA8-8C92-EA3762B50A94}" filter="1" showAutoFilter="1">
      <autoFilter ref="$A$1:$X$418">
        <filterColumn colId="8">
          <filters>
            <filter val="DLR ACC"/>
            <filter val="VS28"/>
            <filter val="VS29"/>
            <filter val="VS30"/>
            <filter val="VS23"/>
          </filters>
        </filterColumn>
        <sortState ref="A1:X418">
          <sortCondition ref="B1:B418"/>
        </sortState>
      </autoFilter>
    </customSheetView>
    <customSheetView guid="{8A66B125-3F1A-44B0-AE88-A79C49F414A3}" filter="1" showAutoFilter="1">
      <autoFilter ref="$A$1:$X$253"/>
    </customSheetView>
    <customSheetView guid="{CDB72D98-C8D6-41FA-8C52-736DFC735D8A}" filter="1" showAutoFilter="1">
      <autoFilter ref="$A$1:$X$418">
        <filterColumn colId="8">
          <filters>
            <filter val="DLR ACC"/>
            <filter val="VS28"/>
            <filter val="VS29"/>
            <filter val="VS18"/>
            <filter val="VS19"/>
            <filter val="VS30"/>
            <filter val="VS23"/>
            <filter val="VS8"/>
          </filters>
        </filterColumn>
        <sortState ref="A1:X418">
          <sortCondition descending="1" ref="H1:H418"/>
        </sortState>
      </autoFilter>
    </customSheetView>
    <customSheetView guid="{747E910D-CDE2-414B-B949-CDC2846426D7}" filter="1" showAutoFilter="1">
      <autoFilter ref="$A$1:$X$418">
        <filterColumn colId="0">
          <filters>
            <filter val="VIBHORIN"/>
            <filter val="ZZJ17210"/>
            <filter val="RAMYA009"/>
            <filter val="S0147ONE"/>
            <filter val="7RIK2031"/>
            <filter val="7RIK2032"/>
            <filter val="PCDD3R115"/>
            <filter val="7RIK2037"/>
            <filter val="7RIK2036"/>
            <filter val="TRUSTAVI"/>
            <filter val="HUFTOLAN"/>
            <filter val="DXX40"/>
            <filter val="7RIK2019"/>
            <filter val="7RIKPL01"/>
            <filter val="DLT07"/>
            <filter val="7RIK2021"/>
            <filter val="7RIK2024"/>
            <filter val="VIDHID00"/>
            <filter val="MGOURAV1"/>
            <filter val="AVIKAS13"/>
            <filter val="MUMPRM192"/>
            <filter val="XLDH142"/>
            <filter val="ZZJ16147"/>
            <filter val="MSHASHI0"/>
            <filter val="MARHATAK"/>
            <filter val="R0299TWO"/>
            <filter val="ZZJ17223"/>
            <filter val="ANITAKA9"/>
            <filter val="VSNON127"/>
            <filter val="ZZJ17137"/>
            <filter val="MSAURJ02"/>
            <filter val="P0052"/>
            <filter val="GPU1R050"/>
            <filter val="ZZJ17248"/>
            <filter val="ZZJ15071"/>
            <filter val="ZZJ15070"/>
            <filter val="D0098"/>
            <filter val="ABAD2S101"/>
            <filter val="ALKAAGA0"/>
            <filter val="HNK202"/>
            <filter val="SAHIL089"/>
            <filter val="GKOPAS101"/>
            <filter val="MCDD3R104"/>
            <filter val="ABHIMA01"/>
            <filter val="R0299FIVE"/>
            <filter val="ZZJ15679"/>
            <filter val="HUFDEVEG"/>
            <filter val="9PS30CC"/>
            <filter val="RITESH10"/>
            <filter val="AJ008EX"/>
            <filter val="AJ008FE"/>
            <filter val="AHMA035"/>
            <filter val="DLDH128"/>
            <filter val="ASHO1956"/>
            <filter val="API152"/>
            <filter val="ADHISH03"/>
            <filter val="API153"/>
            <filter val="API154"/>
            <filter val="API150"/>
            <filter val="GNPK604"/>
            <filter val="API151"/>
            <filter val="ES006"/>
            <filter val="AM006"/>
            <filter val="AM004"/>
            <filter val="GBN10P587"/>
            <filter val="DWH00459"/>
            <filter val="Z0004FIVE"/>
            <filter val="7RIKML02"/>
            <filter val="JFNILESH"/>
            <filter val="MCHEENUG"/>
            <filter val="7RIKML01"/>
            <filter val="7RIKBL02"/>
            <filter val="ADWS1V104"/>
            <filter val="MBONSAI0"/>
            <filter val="RASHIVTS"/>
            <filter val="GDLD1A162"/>
            <filter val="AJ00FG"/>
            <filter val="XLDH161"/>
            <filter val="XLDH162"/>
            <filter val="AJ008JO"/>
            <filter val="AJ008JP"/>
            <filter val="ZZJ17418"/>
            <filter val="ZZJ16449"/>
            <filter val="ZZJ17417"/>
            <filter val="AJ008JS"/>
            <filter val="XLDH168"/>
            <filter val="AJ008JT"/>
            <filter val="ADISHA26"/>
            <filter val="R0299THREE"/>
            <filter val="AJ008IK"/>
            <filter val="ZZJ16559"/>
            <filter val="XLDH158"/>
            <filter val="ZZJ15222"/>
            <filter val="XLDH159"/>
            <filter val="ZZJ15223"/>
            <filter val="JPRIYA05"/>
            <filter val="JPBWM229"/>
            <filter val="SUMIYYA7"/>
            <filter val="BAID1950"/>
            <filter val="FY261AP01"/>
            <filter val="XTS12"/>
            <filter val="XTS11"/>
            <filter val="ITC2484"/>
            <filter val="MJOS334"/>
            <filter val="VPAREEK1"/>
            <filter val="ITC2247"/>
            <filter val="GDLF2S128"/>
            <filter val="PODDARAC"/>
            <filter val="MSHEENAM"/>
            <filter val="MBHANDAR"/>
            <filter val="SMRITITR"/>
            <filter val="GI1653"/>
            <filter val="SHRIRHUF"/>
            <filter val="7RIKSI01"/>
            <filter val="CCD1800A"/>
            <filter val="CCD1800B"/>
            <filter val="JPWSDC101"/>
            <filter val="Z0004"/>
            <filter val="MUMPRJ129"/>
            <filter val="MDILEEPS"/>
            <filter val="CCD1800D"/>
            <filter val="12315119"/>
            <filter val="ZZJ15849"/>
            <filter val="GBN13P147"/>
            <filter val="S0393ONE"/>
            <filter val="7RBE0217"/>
            <filter val="HUFJAIND"/>
            <filter val="NAMITBAJ"/>
            <filter val="7RA110081"/>
            <filter val="WPNBAS132"/>
            <filter val="GBN305M116"/>
            <filter val="BASANTGO"/>
            <filter val="B7RA1BA50"/>
            <filter val="R0299FOUR"/>
            <filter val="MDURGADS"/>
            <filter val="Z0004ONE"/>
            <filter val="X138"/>
            <filter val="FINE1A02"/>
            <filter val="MPOOJA35"/>
            <filter val="7RIKBB01"/>
            <filter val="RPR3R007"/>
            <filter val="Z0004TWO"/>
            <filter val="MVIKASJ0"/>
            <filter val="SF184"/>
            <filter val="GMAN023"/>
            <filter val="RIYATAK1"/>
            <filter val="GDVS267"/>
            <filter val="SANDHU01"/>
            <filter val="MADWIGO2"/>
            <filter val="X144"/>
            <filter val="X145"/>
            <filter val="ZZJ16085"/>
            <filter val="MRAJSHRE"/>
            <filter val="7RIKAB01"/>
            <filter val="GDLF1O101"/>
            <filter val="MANUPANK"/>
            <filter val="MSHILPI1"/>
            <filter val="RAVI2308"/>
            <filter val="NEHAGOE4"/>
            <filter val="SF192"/>
            <filter val="AS00B"/>
            <filter val="MONETAAA"/>
            <filter val="AS00A"/>
            <filter val="RENUD101"/>
            <filter val="VTPRATIM"/>
            <filter val="MSEEMARA"/>
            <filter val="RHUFJAIN"/>
            <filter val="06954037"/>
            <filter val="S0393TWO"/>
            <filter val="HOP555"/>
            <filter val="S0393"/>
            <filter val="S0393FIVE"/>
            <filter val="MGEORGE9"/>
            <filter val="GNPU057"/>
            <filter val="GPU111U157"/>
            <filter val="BR052"/>
            <filter val="ZZJ15812"/>
            <filter val="YADAVD11"/>
            <filter val="7RIK2052"/>
            <filter val="X7RIK01"/>
            <filter val="7RIK2055"/>
            <filter val="X7RIK02"/>
            <filter val="7RIK2057"/>
            <filter val="7RIK2058"/>
            <filter val="X7RIK03"/>
            <filter val="MDAKSHAS"/>
            <filter val="AKAMLA02"/>
            <filter val="KHEMANI2"/>
            <filter val="SHALABH5"/>
            <filter val="7RIK2045"/>
            <filter val="HUFGRAVI"/>
            <filter val="DLL4298"/>
            <filter val="DLL5265"/>
          </filters>
        </filterColumn>
        <filterColumn colId="17">
          <filters>
            <filter val="FALSE"/>
          </filters>
        </filterColumn>
      </autoFilter>
    </customSheetView>
    <customSheetView guid="{3282B7DF-6B47-4137-AD80-84008C51AA3A}" filter="1" showAutoFilter="1">
      <autoFilter ref="$A$1:$AE$2844">
        <filterColumn colId="23">
          <filters>
            <filter val="CC"/>
            <filter val="CCG"/>
            <filter val="PVT"/>
          </filters>
        </filterColumn>
        <filterColumn colId="8">
          <filters blank="1">
            <filter val="VS14"/>
            <filter val="VS15"/>
            <filter val="VS16"/>
            <filter val="VS18"/>
            <filter val="VS19"/>
            <filter val="VS2"/>
            <filter val="VS21"/>
            <filter val="VS1"/>
            <filter val="VS22"/>
            <filter val="VS23"/>
            <filter val="VS4"/>
            <filter val="VS24"/>
            <filter val="VS3"/>
            <filter val="VS6"/>
            <filter val="VS5"/>
            <filter val="VS8"/>
            <filter val="VS7"/>
            <filter val="VS9"/>
            <filter val="VS25"/>
            <filter val="VS26"/>
            <filter val="VS27"/>
            <filter val="VS28"/>
            <filter val="VS29"/>
            <filter val="VS30"/>
            <filter val="VS10"/>
            <filter val="VS11"/>
            <filter val="VS33"/>
            <filter val="VS12"/>
            <filter val="VS13"/>
          </filters>
        </filterColumn>
        <filterColumn colId="9">
          <filters blank="1">
            <filter val="0"/>
            <filter val="1"/>
            <filter val="25"/>
            <filter val="15"/>
            <filter val="7"/>
          </filters>
        </filterColumn>
        <filterColumn colId="11">
          <filters blank="1">
            <filter val="DLR ACC"/>
            <filter val="Not Running"/>
            <filter val="INT"/>
          </filters>
        </filterColumn>
      </autoFilter>
    </customSheetView>
    <customSheetView guid="{FBC910C1-1D75-427C-832C-FDD978EF6438}" filter="1" showAutoFilter="1">
      <autoFilter ref="$A$1:$X$418">
        <filterColumn colId="8">
          <filters>
            <filter val="DLR ACC"/>
            <filter val="VS28"/>
            <filter val="VS29"/>
            <filter val="VS18"/>
            <filter val="VS19"/>
            <filter val="VS30"/>
            <filter val="VS23"/>
          </filters>
        </filterColumn>
        <sortState ref="A1:X418">
          <sortCondition ref="A1:A418"/>
          <sortCondition ref="B1:B418"/>
        </sortState>
      </autoFilter>
    </customSheetView>
    <customSheetView guid="{3222C0C0-A7DE-4AFC-B328-4A18BE983D59}" filter="1" showAutoFilter="1">
      <autoFilter ref="$A$1:$X$269"/>
    </customSheetView>
    <customSheetView guid="{16AB4084-141F-45C2-BC35-27BAEE272405}" filter="1" showAutoFilter="1">
      <autoFilter ref="$A$1:$X$418">
        <filterColumn colId="0">
          <filters>
            <filter val="VIBHORIN"/>
            <filter val="ZZJ17210"/>
            <filter val="RAMYA009"/>
            <filter val="S0147ONE"/>
            <filter val="7RIK2031"/>
            <filter val="7RIK2032"/>
            <filter val="PCDD3R115"/>
            <filter val="7RIK2037"/>
            <filter val="7RIK2036"/>
            <filter val="TRUSTAVI"/>
            <filter val="HUFTOLAN"/>
            <filter val="DXX40"/>
            <filter val="7RIK2019"/>
            <filter val="7RIKPL01"/>
            <filter val="DLT07"/>
            <filter val="7RIK2021"/>
            <filter val="7RIK2024"/>
            <filter val="VIDHID00"/>
            <filter val="MGOURAV1"/>
            <filter val="AVIKAS13"/>
            <filter val="MUMPRM192"/>
            <filter val="XLDH142"/>
            <filter val="ZZJ16147"/>
            <filter val="MSHASHI0"/>
            <filter val="MARHATAK"/>
            <filter val="R0299TWO"/>
            <filter val="ZZJ17223"/>
            <filter val="ANITAKA9"/>
            <filter val="VSNON127"/>
            <filter val="ZZJ17137"/>
            <filter val="MSAURJ02"/>
            <filter val="P0052"/>
            <filter val="GPU1R050"/>
            <filter val="ZZJ17248"/>
            <filter val="ZZJ15071"/>
            <filter val="ZZJ15070"/>
            <filter val="D0098"/>
            <filter val="ABAD2S101"/>
            <filter val="ALKAAGA0"/>
            <filter val="HNK202"/>
            <filter val="SAHIL089"/>
            <filter val="GKOPAS101"/>
            <filter val="MCDD3R104"/>
            <filter val="ABHIMA01"/>
            <filter val="R0299FIVE"/>
            <filter val="ZZJ15679"/>
            <filter val="HUFDEVEG"/>
            <filter val="9PS30CC"/>
            <filter val="RITESH10"/>
            <filter val="AJ008EX"/>
            <filter val="AJ008FE"/>
            <filter val="AHMA035"/>
            <filter val="DLDH128"/>
            <filter val="ASHO1956"/>
            <filter val="API152"/>
            <filter val="ADHISH03"/>
            <filter val="API153"/>
            <filter val="API154"/>
            <filter val="API150"/>
            <filter val="GNPK604"/>
            <filter val="API151"/>
            <filter val="ES006"/>
            <filter val="AM006"/>
            <filter val="AM004"/>
            <filter val="GBN10P587"/>
            <filter val="DWH00459"/>
            <filter val="Z0004FIVE"/>
            <filter val="7RIKML02"/>
            <filter val="JFNILESH"/>
            <filter val="MCHEENUG"/>
            <filter val="7RIKML01"/>
            <filter val="7RIKBL02"/>
            <filter val="ADWS1V104"/>
            <filter val="MBONSAI0"/>
            <filter val="RASHIVTS"/>
            <filter val="GDLD1A162"/>
            <filter val="AJ00FG"/>
            <filter val="XLDH161"/>
            <filter val="XLDH162"/>
            <filter val="AJ008JO"/>
            <filter val="AJ008JP"/>
            <filter val="ZZJ17418"/>
            <filter val="ZZJ16449"/>
            <filter val="ZZJ17417"/>
            <filter val="AJ008JS"/>
            <filter val="XLDH168"/>
            <filter val="AJ008JT"/>
            <filter val="ADISHA26"/>
            <filter val="R0299THREE"/>
            <filter val="AJ008IK"/>
            <filter val="ZZJ16559"/>
            <filter val="XLDH158"/>
            <filter val="XLDH159"/>
            <filter val="ZZJ15223"/>
            <filter val="JPRIYA05"/>
            <filter val="JPBWM229"/>
            <filter val="SUMIYYA7"/>
            <filter val="BAID1950"/>
            <filter val="FY261AP01"/>
            <filter val="XTS12"/>
            <filter val="XTS11"/>
            <filter val="ITC2484"/>
            <filter val="MJOS334"/>
            <filter val="VPAREEK1"/>
            <filter val="ITC2247"/>
            <filter val="GDLF2S128"/>
            <filter val="PODDARAC"/>
            <filter val="MSHEENAM"/>
            <filter val="MBHANDAR"/>
            <filter val="SMRITITR"/>
            <filter val="GI1653"/>
            <filter val="ZZJ13883"/>
            <filter val="SHRIRHUF"/>
            <filter val="7RIKSI01"/>
            <filter val="CCD1800A"/>
            <filter val="CCD1800B"/>
            <filter val="JPWSDC101"/>
            <filter val="Z0004"/>
            <filter val="MUMPRJ129"/>
            <filter val="MDILEEPS"/>
            <filter val="CCD1800D"/>
            <filter val="12315119"/>
            <filter val="ZZJ15849"/>
            <filter val="GBN13P147"/>
            <filter val="S0393ONE"/>
            <filter val="7RBE0217"/>
            <filter val="HUFJAIND"/>
            <filter val="NAMITBAJ"/>
            <filter val="7RA110081"/>
            <filter val="WPNBAS132"/>
            <filter val="GBN305M116"/>
            <filter val="BASANTGO"/>
            <filter val="B7RA1BA50"/>
            <filter val="R0299FOUR"/>
            <filter val="MDURGADS"/>
            <filter val="Z0004ONE"/>
            <filter val="X138"/>
            <filter val="FINE1A02"/>
            <filter val="MPOOJA35"/>
            <filter val="7RIKBB01"/>
            <filter val="RPR3R007"/>
            <filter val="Z0004TWO"/>
            <filter val="MVIKASJ0"/>
            <filter val="SF184"/>
            <filter val="GMAN023"/>
            <filter val="RIYATAK1"/>
            <filter val="GDVS267"/>
            <filter val="SANDHU01"/>
            <filter val="MADWIGO2"/>
            <filter val="X144"/>
            <filter val="X145"/>
            <filter val="ZZJ16085"/>
            <filter val="MRAJSHRE"/>
            <filter val="7RIKAB01"/>
            <filter val="GDLF1O101"/>
            <filter val="MANUPANK"/>
            <filter val="MSHILPI1"/>
            <filter val="RAVI2308"/>
            <filter val="NEHAGOE4"/>
            <filter val="SF192"/>
            <filter val="AS00B"/>
            <filter val="MONETAAA"/>
            <filter val="AS00A"/>
            <filter val="RENUD101"/>
            <filter val="VTPRATIM"/>
            <filter val="MSEEMARA"/>
            <filter val="RHUFJAIN"/>
            <filter val="06954037"/>
            <filter val="S0393TWO"/>
            <filter val="HOP555"/>
            <filter val="S0393"/>
            <filter val="S0393FIVE"/>
            <filter val="MGEORGE9"/>
            <filter val="GNPU057"/>
            <filter val="GPU111U157"/>
            <filter val="BR052"/>
            <filter val="ZZJ15812"/>
            <filter val="YADAVD11"/>
            <filter val="7RIK2052"/>
            <filter val="X7RIK01"/>
            <filter val="7RIK2055"/>
            <filter val="X7RIK02"/>
            <filter val="7RIK2057"/>
            <filter val="7RIK2058"/>
            <filter val="X7RIK03"/>
            <filter val="AKAMLA02"/>
            <filter val="KHEMANI2"/>
            <filter val="SHALABH5"/>
            <filter val="7RIK2045"/>
            <filter val="HUFGRAVI"/>
          </filters>
        </filterColumn>
      </autoFilter>
    </customSheetView>
    <customSheetView guid="{F34DB8A5-04FB-496A-AD5A-C9312B2666FC}" filter="1" showAutoFilter="1">
      <autoFilter ref="$A$1:$X$418">
        <filterColumn colId="9">
          <filters>
            <filter val="15"/>
            <filter val="27"/>
          </filters>
        </filterColumn>
        <filterColumn colId="17">
          <filters>
            <filter val="FALSE"/>
          </filters>
        </filterColumn>
        <sortState ref="A1:X418">
          <sortCondition ref="A1:A418"/>
        </sortState>
      </autoFilter>
    </customSheetView>
    <customSheetView guid="{CA2ECE4E-01C8-4CF2-87A5-6B0C4F7E4468}" filter="1" showAutoFilter="1">
      <autoFilter ref="$A$1:$X$236">
        <filterColumn colId="8">
          <filters>
            <filter val="DLR ACC"/>
            <filter val="VS28"/>
            <filter val="VS29"/>
            <filter val="VS30"/>
            <filter val="VS23"/>
            <filter val="VS8"/>
          </filters>
        </filterColumn>
        <sortState ref="A1:X236">
          <sortCondition ref="B1:B236"/>
        </sortState>
      </autoFilter>
    </customSheetView>
    <customSheetView guid="{85CF5F1E-4FF0-422A-BC9D-47F80B8DCF77}" filter="1" showAutoFilter="1">
      <autoFilter ref="$A$1:$X$2844"/>
    </customSheetView>
    <customSheetView guid="{7D64AA9A-2A9F-45B1-AD86-11E8804087EA}" filter="1" showAutoFilter="1">
      <autoFilter ref="$H$523:$H$524"/>
    </customSheetView>
    <customSheetView guid="{5F819023-5E2E-4F10-947F-33C3E7065C35}" filter="1" showAutoFilter="1">
      <autoFilter ref="$A$1:$X$269">
        <filterColumn colId="5">
          <filters>
            <filter val="IIFL-CDC2"/>
            <filter val="IIFL_CDC"/>
            <filter val="ANAND RATHI"/>
            <filter val="MasterTrust_Noren"/>
            <filter val="ACHINTYA"/>
            <filter val="KREDENT"/>
            <filter val="EXCELSTOCK"/>
            <filter val="MastertrustPro"/>
            <filter val="IIFL_DEALER"/>
            <filter val="IIFL_CDC2"/>
            <filter val="GyandeepStocks"/>
            <filter val="Pace"/>
            <filter val="jainamXTS"/>
            <filter val="MasterTrust_Dealer"/>
            <filter val="jainamsred"/>
            <filter val="ANANDRATHI"/>
            <filter val="JM_FINANCIAL"/>
            <filter val="Jainam_Broking"/>
            <filter val="ALPHA MATRIX"/>
            <filter val="JAINAM_RETAIL"/>
            <filter val="JainamXTS"/>
            <filter val="Mastertrustpro"/>
            <filter val="JAINAM_XTS"/>
            <filter val="ArhamWealthProp"/>
            <filter val="JainamBROKING"/>
            <filter val="GCL"/>
            <filter val="PACE"/>
            <filter val="JAINAMBROKING"/>
            <filter val="AnandRathi"/>
          </filters>
        </filterColumn>
        <filterColumn colId="17">
          <filters>
            <filter val="FALSE"/>
          </filters>
        </filterColumn>
      </autoFilter>
    </customSheetView>
  </customSheetViews>
  <conditionalFormatting sqref="B723 B735:B737 B746">
    <cfRule type="expression" dxfId="0" priority="1">
      <formula>COUNTIF(A:A, B723) &gt; 1</formula>
    </cfRule>
  </conditionalFormatting>
  <conditionalFormatting sqref="A451 A488">
    <cfRule type="expression" dxfId="4" priority="2">
      <formula>COUNTIF(#REF!, A451) &gt; 1</formula>
    </cfRule>
  </conditionalFormatting>
  <conditionalFormatting sqref="B451 B488">
    <cfRule type="colorScale" priority="3">
      <colorScale>
        <cfvo type="min"/>
        <cfvo type="max"/>
        <color rgb="FFFFFFFF"/>
        <color rgb="FF57BB8A"/>
      </colorScale>
    </cfRule>
  </conditionalFormatting>
  <conditionalFormatting sqref="E451">
    <cfRule type="expression" dxfId="4" priority="4">
      <formula>"$E1&lt;&gt;$G1"</formula>
    </cfRule>
  </conditionalFormatting>
  <conditionalFormatting sqref="R451 R469">
    <cfRule type="expression" dxfId="2" priority="5">
      <formula>U451&lt;&gt;H451</formula>
    </cfRule>
  </conditionalFormatting>
  <conditionalFormatting sqref="R448">
    <cfRule type="expression" dxfId="2" priority="6">
      <formula>#REF!&lt;&gt;#REF!</formula>
    </cfRule>
  </conditionalFormatting>
  <conditionalFormatting sqref="A245">
    <cfRule type="expression" dxfId="6" priority="7">
      <formula>COUNTIF(A:A, A245) &gt; 1</formula>
    </cfRule>
  </conditionalFormatting>
  <conditionalFormatting sqref="R419:R420">
    <cfRule type="expression" dxfId="2" priority="8">
      <formula>U419&lt;&gt;H419</formula>
    </cfRule>
  </conditionalFormatting>
  <conditionalFormatting sqref="A419 A448">
    <cfRule type="expression" dxfId="4" priority="9">
      <formula>COUNTIF(#REF!, A419) &gt; 1</formula>
    </cfRule>
  </conditionalFormatting>
  <conditionalFormatting sqref="B419">
    <cfRule type="colorScale" priority="10">
      <colorScale>
        <cfvo type="min"/>
        <cfvo type="max"/>
        <color rgb="FFFFFFFF"/>
        <color rgb="FF57BB8A"/>
      </colorScale>
    </cfRule>
  </conditionalFormatting>
  <conditionalFormatting sqref="E419:E420">
    <cfRule type="expression" dxfId="4" priority="11">
      <formula>"$E1&lt;&gt;$G1"</formula>
    </cfRule>
  </conditionalFormatting>
  <conditionalFormatting sqref="A401">
    <cfRule type="expression" dxfId="4" priority="12">
      <formula>COUNTIF(#REF!, A401) &gt; 1</formula>
    </cfRule>
  </conditionalFormatting>
  <conditionalFormatting sqref="A401">
    <cfRule type="expression" dxfId="4" priority="13">
      <formula>COUNTIF(#REF!, A401) &gt; 1</formula>
    </cfRule>
  </conditionalFormatting>
  <conditionalFormatting sqref="A361 A363 A389">
    <cfRule type="expression" dxfId="4" priority="14">
      <formula>COUNTIF(#REF!, A361) &gt; 1</formula>
    </cfRule>
  </conditionalFormatting>
  <conditionalFormatting sqref="A352">
    <cfRule type="expression" dxfId="4" priority="15">
      <formula>COUNTIF(#REF!, A352) &gt; 1</formula>
    </cfRule>
  </conditionalFormatting>
  <conditionalFormatting sqref="A351">
    <cfRule type="expression" dxfId="4" priority="16">
      <formula>COUNTIF(#REF!, A351) &gt; 1</formula>
    </cfRule>
  </conditionalFormatting>
  <conditionalFormatting sqref="A341">
    <cfRule type="expression" dxfId="4" priority="17">
      <formula>COUNTIF(#REF!, A341) &gt; 1</formula>
    </cfRule>
  </conditionalFormatting>
  <conditionalFormatting sqref="E341:E344">
    <cfRule type="expression" dxfId="4" priority="18">
      <formula>"$E1&lt;&gt;$G1"</formula>
    </cfRule>
  </conditionalFormatting>
  <conditionalFormatting sqref="A1:A583 A585:A609 A611:A648 A650:A722 B702 A724:A2844 B777">
    <cfRule type="expression" dxfId="0" priority="19">
      <formula>COUNTIF(A:A, A1) &gt; 1</formula>
    </cfRule>
  </conditionalFormatting>
  <conditionalFormatting sqref="E2:E194 G2:H66 G88:H88 G190 E196:E223 E225:E231 E233:E351 G331 E353:E644 G371 E646:E684 E687 E691:E702 E706:E709 E711:E728 E730:E745 G734 E749:E765 E768:E780 G769:H769 G775 E782:E794 G787 E796:E2844">
    <cfRule type="expression" dxfId="4" priority="20">
      <formula>"$E1&lt;&gt;$G1"</formula>
    </cfRule>
  </conditionalFormatting>
  <conditionalFormatting sqref="R2:R944">
    <cfRule type="expression" dxfId="2" priority="21">
      <formula>U2&lt;&gt;H2</formula>
    </cfRule>
  </conditionalFormatting>
  <conditionalFormatting sqref="B2:B400 P190:P243 A195 B402:B451 B456 B478:B482 B486 B488 B495 B659 B685:B686 B689:B690 B702:B704 B710 B749">
    <cfRule type="colorScale" priority="22">
      <colorScale>
        <cfvo type="min"/>
        <cfvo type="max"/>
        <color rgb="FFFFFFFF"/>
        <color rgb="FF57BB8A"/>
      </colorScale>
    </cfRule>
  </conditionalFormatting>
  <conditionalFormatting sqref="I75 I88 I90:I94">
    <cfRule type="colorScale" priority="23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I2:I2844">
      <formula1>"Z SERVER,NOT RUNNING,server,VS1,VS10,VS11,VS12,VS13,VS14,VS15,VS16,VS18,VS19,VS2,VS20,VS3,VS4,VS5,VS7,VS8,VS9,DLR ACC,VS6,VS21,VS22,VS50,VS23,VS24,VS25,VS26,VS27,VS28,VS29,VS30,VS33"</formula1>
    </dataValidation>
    <dataValidation type="list" allowBlank="1" showErrorMessage="1" sqref="J2:J2844">
      <formula1>"1,0,2,5,7,8,9,12,14,15,17,19,102,1108,1208,21,11,1P,15P,7P,25,27"</formula1>
    </dataValidation>
    <dataValidation type="list" allowBlank="1" showErrorMessage="1" sqref="M2:M2844">
      <formula1>"0DTE,1DTE/0DTE,DAILY,DLR ACC,Not Running"</formula1>
    </dataValidation>
    <dataValidation type="list" allowBlank="1" showErrorMessage="1" sqref="L2:L2844">
      <formula1>"DLR ACC,INT,Not Running,POS"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29"/>
    <col customWidth="1" min="2" max="2" width="8.43"/>
    <col customWidth="1" min="3" max="3" width="10.14"/>
    <col customWidth="1" min="4" max="4" width="11.29"/>
    <col customWidth="1" min="5" max="5" width="21.71"/>
    <col customWidth="1" min="6" max="6" width="101.43"/>
  </cols>
  <sheetData>
    <row r="1">
      <c r="A1" s="2" t="s">
        <v>1</v>
      </c>
      <c r="B1" s="2" t="s">
        <v>7</v>
      </c>
      <c r="C1" s="2" t="s">
        <v>9</v>
      </c>
      <c r="D1" s="2" t="s">
        <v>11</v>
      </c>
      <c r="E1" s="2" t="s">
        <v>4</v>
      </c>
      <c r="F1" s="2" t="s">
        <v>15</v>
      </c>
    </row>
    <row r="2">
      <c r="A2" s="7">
        <v>46205.0</v>
      </c>
      <c r="B2" s="9">
        <v>15.0</v>
      </c>
      <c r="C2" s="9" t="s">
        <v>25</v>
      </c>
      <c r="D2" s="9" t="s">
        <v>27</v>
      </c>
      <c r="E2" s="19" t="str">
        <f>IFERROR(VLOOKUP(D2,Main!$A$2:$B$2844,2,0)," ")</f>
        <v>MSS_A15_RM_PRSNL_INT</v>
      </c>
      <c r="F2" s="9" t="s">
        <v>51</v>
      </c>
    </row>
    <row r="3">
      <c r="A3" s="7">
        <v>46205.0</v>
      </c>
      <c r="B3" s="9">
        <v>15.0</v>
      </c>
      <c r="C3" s="9" t="s">
        <v>54</v>
      </c>
      <c r="D3" s="9" t="s">
        <v>56</v>
      </c>
      <c r="E3" s="19" t="str">
        <f>IFERROR(VLOOKUP(D3,Main!$A$2:$B$2844,2,0)," ")</f>
        <v>A15_ANANDRATHI_FIX1CR_INT_7</v>
      </c>
      <c r="F3" s="9" t="s">
        <v>63</v>
      </c>
    </row>
    <row r="4">
      <c r="A4" s="7">
        <v>46205.0</v>
      </c>
      <c r="B4" s="9">
        <v>7.0</v>
      </c>
      <c r="C4" s="9" t="s">
        <v>66</v>
      </c>
      <c r="D4" s="9" t="s">
        <v>68</v>
      </c>
      <c r="E4" s="19" t="str">
        <f>IFERROR(VLOOKUP(D4,Main!$A$2:$B$2844,2,0)," ")</f>
        <v>MSS_CHEKKA_AR_FIX_1CR_INT</v>
      </c>
      <c r="F4" s="9" t="s">
        <v>73</v>
      </c>
    </row>
    <row r="5">
      <c r="A5" s="7">
        <v>46205.0</v>
      </c>
      <c r="B5" s="9">
        <v>7.0</v>
      </c>
      <c r="C5" s="9" t="s">
        <v>75</v>
      </c>
      <c r="D5" s="19"/>
      <c r="E5" s="19" t="str">
        <f>IFERROR(VLOOKUP(D5,Main!$A$2:$B$2844,2,0)," ")</f>
        <v> </v>
      </c>
      <c r="F5" s="28" t="s">
        <v>81</v>
      </c>
    </row>
    <row r="6">
      <c r="A6" s="7">
        <v>46205.0</v>
      </c>
      <c r="B6" s="9">
        <v>7.0</v>
      </c>
      <c r="C6" s="9" t="s">
        <v>83</v>
      </c>
      <c r="D6" s="19"/>
      <c r="E6" s="19" t="str">
        <f>IFERROR(VLOOKUP(D6,Main!$A$2:$B$2844,2,0)," ")</f>
        <v> </v>
      </c>
      <c r="F6" s="28" t="s">
        <v>81</v>
      </c>
    </row>
    <row r="7">
      <c r="A7" s="7">
        <v>46205.0</v>
      </c>
      <c r="B7" s="9">
        <v>7.0</v>
      </c>
      <c r="C7" s="9" t="s">
        <v>66</v>
      </c>
      <c r="D7" s="19"/>
      <c r="E7" s="19" t="str">
        <f>IFERROR(VLOOKUP(D7,Main!$A$2:$B$2844,2,0)," ")</f>
        <v> </v>
      </c>
      <c r="F7" s="28" t="s">
        <v>81</v>
      </c>
    </row>
    <row r="8">
      <c r="A8" s="7">
        <v>46205.0</v>
      </c>
      <c r="B8" s="9">
        <v>7.0</v>
      </c>
      <c r="C8" s="9" t="s">
        <v>66</v>
      </c>
      <c r="D8" s="19"/>
      <c r="E8" s="19" t="str">
        <f>IFERROR(VLOOKUP(D8,Main!$A$2:$B$2844,2,0)," ")</f>
        <v> </v>
      </c>
      <c r="F8" s="28" t="s">
        <v>90</v>
      </c>
    </row>
    <row r="9">
      <c r="A9" s="7">
        <v>46205.0</v>
      </c>
      <c r="B9" s="9">
        <v>7.0</v>
      </c>
      <c r="C9" s="9" t="s">
        <v>92</v>
      </c>
      <c r="D9" s="19"/>
      <c r="E9" s="19" t="str">
        <f>IFERROR(VLOOKUP(D9,Main!$A$2:$B$2844,2,0)," ")</f>
        <v> </v>
      </c>
      <c r="F9" s="28" t="s">
        <v>90</v>
      </c>
    </row>
    <row r="10">
      <c r="A10" s="7">
        <v>46205.0</v>
      </c>
      <c r="B10" s="9">
        <v>15.0</v>
      </c>
      <c r="C10" s="9" t="s">
        <v>54</v>
      </c>
      <c r="D10" s="9" t="s">
        <v>96</v>
      </c>
      <c r="E10" s="19" t="str">
        <f>IFERROR(VLOOKUP(D10,Main!$A$2:$B$2844,2,0)," ")</f>
        <v>MSR_GIRNAAR2_POS</v>
      </c>
      <c r="F10" s="9" t="s">
        <v>97</v>
      </c>
    </row>
    <row r="11">
      <c r="A11" s="7">
        <v>46205.0</v>
      </c>
      <c r="B11" s="9">
        <v>15.0</v>
      </c>
      <c r="C11" s="9" t="s">
        <v>54</v>
      </c>
      <c r="D11" s="9" t="s">
        <v>98</v>
      </c>
      <c r="E11" s="19" t="str">
        <f>IFERROR(VLOOKUP(D11,Main!$A$2:$B$2844,2,0)," ")</f>
        <v>XLDH159_CC06(Parent)</v>
      </c>
      <c r="F11" s="9" t="s">
        <v>97</v>
      </c>
    </row>
    <row r="12">
      <c r="A12" s="7">
        <v>46205.0</v>
      </c>
      <c r="B12" s="9">
        <v>15.0</v>
      </c>
      <c r="C12" s="9" t="s">
        <v>54</v>
      </c>
      <c r="D12" s="9" t="s">
        <v>99</v>
      </c>
      <c r="E12" s="19" t="str">
        <f>IFERROR(VLOOKUP(D12,Main!$A$2:$B$2844,2,0)," ")</f>
        <v>MSR_SSGUPTA2_INT</v>
      </c>
      <c r="F12" s="9" t="s">
        <v>97</v>
      </c>
    </row>
    <row r="13">
      <c r="A13" s="7">
        <v>46205.0</v>
      </c>
      <c r="B13" s="9">
        <v>15.0</v>
      </c>
      <c r="C13" s="9" t="s">
        <v>54</v>
      </c>
      <c r="D13" s="9" t="s">
        <v>102</v>
      </c>
      <c r="E13" s="19" t="str">
        <f>IFERROR(VLOOKUP(D13,Main!$A$2:$B$2844,2,0)," ")</f>
        <v>MSR_RAJM7_INT</v>
      </c>
      <c r="F13" s="9" t="s">
        <v>97</v>
      </c>
    </row>
    <row r="14">
      <c r="A14" s="7">
        <v>46205.0</v>
      </c>
      <c r="B14" s="9">
        <v>15.0</v>
      </c>
      <c r="C14" s="9" t="s">
        <v>54</v>
      </c>
      <c r="D14" s="9" t="s">
        <v>104</v>
      </c>
      <c r="E14" s="19" t="str">
        <f>IFERROR(VLOOKUP(D14,Main!$A$2:$B$2844,2,0)," ")</f>
        <v>MSR_RAJM6_INT</v>
      </c>
      <c r="F14" s="9" t="s">
        <v>97</v>
      </c>
    </row>
    <row r="15">
      <c r="A15" s="7">
        <v>46205.0</v>
      </c>
      <c r="B15" s="9">
        <v>15.0</v>
      </c>
      <c r="C15" s="9" t="s">
        <v>54</v>
      </c>
      <c r="D15" s="9" t="s">
        <v>105</v>
      </c>
      <c r="E15" s="19" t="str">
        <f>IFERROR(VLOOKUP(D15,Main!$A$2:$B$2844,2,0)," ")</f>
        <v>MSR_ASR9_INT</v>
      </c>
      <c r="F15" s="9" t="s">
        <v>97</v>
      </c>
    </row>
    <row r="16">
      <c r="A16" s="7">
        <v>46205.0</v>
      </c>
      <c r="B16" s="9">
        <v>15.0</v>
      </c>
      <c r="C16" s="9" t="s">
        <v>54</v>
      </c>
      <c r="D16" s="9" t="s">
        <v>106</v>
      </c>
      <c r="E16" s="19" t="str">
        <f>IFERROR(VLOOKUP(D16,Main!$A$2:$B$2844,2,0)," ")</f>
        <v>MSR_ASR10_INT</v>
      </c>
      <c r="F16" s="9" t="s">
        <v>97</v>
      </c>
    </row>
    <row r="17">
      <c r="A17" s="7">
        <v>46205.0</v>
      </c>
      <c r="B17" s="9">
        <v>7.0</v>
      </c>
      <c r="C17" s="9" t="s">
        <v>75</v>
      </c>
      <c r="D17" s="19"/>
      <c r="E17" s="19" t="str">
        <f>IFERROR(VLOOKUP(D17,Main!$A$2:$B$2844,2,0)," ")</f>
        <v> </v>
      </c>
      <c r="F17" s="9" t="s">
        <v>108</v>
      </c>
    </row>
    <row r="18">
      <c r="A18" s="7">
        <v>46205.0</v>
      </c>
      <c r="B18" s="9">
        <v>7.0</v>
      </c>
      <c r="C18" s="9" t="s">
        <v>92</v>
      </c>
      <c r="D18" s="19"/>
      <c r="E18" s="19" t="str">
        <f>IFERROR(VLOOKUP(D18,Main!$A$2:$B$2844,2,0)," ")</f>
        <v> </v>
      </c>
      <c r="F18" s="9" t="s">
        <v>111</v>
      </c>
    </row>
    <row r="19">
      <c r="A19" s="7">
        <v>46205.0</v>
      </c>
      <c r="B19" s="9">
        <v>7.0</v>
      </c>
      <c r="C19" s="9" t="s">
        <v>66</v>
      </c>
      <c r="D19" s="19"/>
      <c r="E19" s="19" t="str">
        <f>IFERROR(VLOOKUP(D19,Main!$A$2:$B$2844,2,0)," ")</f>
        <v> </v>
      </c>
      <c r="F19" s="9" t="s">
        <v>111</v>
      </c>
    </row>
    <row r="20">
      <c r="A20" s="7">
        <v>46206.0</v>
      </c>
      <c r="B20" s="9">
        <v>7.0</v>
      </c>
      <c r="C20" s="9" t="s">
        <v>113</v>
      </c>
      <c r="D20" s="19"/>
      <c r="E20" s="19" t="str">
        <f>IFERROR(VLOOKUP(D20,Main!$A$2:$B$2844,2,0)," ")</f>
        <v> </v>
      </c>
      <c r="F20" s="9" t="s">
        <v>114</v>
      </c>
    </row>
    <row r="21">
      <c r="A21" s="7">
        <v>46210.0</v>
      </c>
      <c r="B21" s="9">
        <v>7.0</v>
      </c>
      <c r="C21" s="9" t="s">
        <v>92</v>
      </c>
      <c r="D21" s="9" t="s">
        <v>116</v>
      </c>
      <c r="E21" s="19" t="str">
        <f>IFERROR(VLOOKUP(D21,Main!$A$2:$B$2844,2,0)," ")</f>
        <v> </v>
      </c>
      <c r="F21" s="9" t="s">
        <v>117</v>
      </c>
    </row>
    <row r="22">
      <c r="A22" s="7">
        <v>46210.0</v>
      </c>
      <c r="B22" s="9">
        <v>7.0</v>
      </c>
      <c r="C22" s="9" t="s">
        <v>83</v>
      </c>
      <c r="D22" s="9" t="s">
        <v>116</v>
      </c>
      <c r="E22" s="19" t="str">
        <f>IFERROR(VLOOKUP(D22,Main!$A$2:$B$2844,2,0)," ")</f>
        <v> </v>
      </c>
      <c r="F22" s="9" t="s">
        <v>117</v>
      </c>
    </row>
    <row r="23">
      <c r="A23" s="7">
        <v>46210.0</v>
      </c>
      <c r="B23" s="9">
        <v>7.0</v>
      </c>
      <c r="C23" s="9" t="s">
        <v>119</v>
      </c>
      <c r="D23" s="9" t="s">
        <v>116</v>
      </c>
      <c r="E23" s="19" t="str">
        <f>IFERROR(VLOOKUP(D23,Main!$A$2:$B$2844,2,0)," ")</f>
        <v> </v>
      </c>
      <c r="F23" s="9" t="s">
        <v>117</v>
      </c>
    </row>
    <row r="24">
      <c r="A24" s="7">
        <v>46210.0</v>
      </c>
      <c r="B24" s="9">
        <v>7.0</v>
      </c>
      <c r="C24" s="9" t="s">
        <v>75</v>
      </c>
      <c r="D24" s="9" t="s">
        <v>116</v>
      </c>
      <c r="E24" s="19" t="str">
        <f>IFERROR(VLOOKUP(D24,Main!$A$2:$B$2844,2,0)," ")</f>
        <v> </v>
      </c>
      <c r="F24" s="9" t="s">
        <v>117</v>
      </c>
    </row>
    <row r="25">
      <c r="A25" s="7">
        <v>46210.0</v>
      </c>
      <c r="B25" s="9">
        <v>7.0</v>
      </c>
      <c r="C25" s="9" t="s">
        <v>113</v>
      </c>
      <c r="D25" s="9" t="s">
        <v>116</v>
      </c>
      <c r="E25" s="19" t="str">
        <f>IFERROR(VLOOKUP(D25,Main!$A$2:$B$2844,2,0)," ")</f>
        <v> </v>
      </c>
      <c r="F25" s="9" t="s">
        <v>117</v>
      </c>
    </row>
    <row r="26">
      <c r="A26" s="7">
        <v>46211.0</v>
      </c>
      <c r="B26" s="9">
        <v>7.0</v>
      </c>
      <c r="C26" s="9" t="s">
        <v>83</v>
      </c>
      <c r="D26" s="9" t="s">
        <v>121</v>
      </c>
      <c r="E26" s="19" t="str">
        <f>IFERROR(VLOOKUP(D26,Main!$A$2:$B$2844,2,0)," ")</f>
        <v>MSR_ARYAMAN1_POS</v>
      </c>
      <c r="F26" s="9" t="s">
        <v>124</v>
      </c>
    </row>
    <row r="27">
      <c r="A27" s="7">
        <v>46211.0</v>
      </c>
      <c r="B27" s="9">
        <v>7.0</v>
      </c>
      <c r="C27" s="9" t="s">
        <v>83</v>
      </c>
      <c r="D27" s="9" t="s">
        <v>125</v>
      </c>
      <c r="E27" s="19" t="str">
        <f>IFERROR(VLOOKUP(D27,Main!$A$2:$B$2844,2,0)," ")</f>
        <v>MSN_NK_KOTHARI3_INT</v>
      </c>
      <c r="F27" s="9" t="s">
        <v>124</v>
      </c>
    </row>
    <row r="28">
      <c r="A28" s="7">
        <v>46211.0</v>
      </c>
      <c r="B28" s="9">
        <v>7.0</v>
      </c>
      <c r="C28" s="9" t="s">
        <v>83</v>
      </c>
      <c r="D28" s="9" t="s">
        <v>126</v>
      </c>
      <c r="E28" s="19" t="str">
        <f>IFERROR(VLOOKUP(D28,Main!$A$2:$B$2844,2,0)," ")</f>
        <v>MSR_LOYALKA2_POS</v>
      </c>
      <c r="F28" s="9" t="s">
        <v>124</v>
      </c>
    </row>
    <row r="29">
      <c r="A29" s="7">
        <v>46211.0</v>
      </c>
      <c r="B29" s="9">
        <v>7.0</v>
      </c>
      <c r="C29" s="9" t="s">
        <v>83</v>
      </c>
      <c r="D29" s="9" t="s">
        <v>127</v>
      </c>
      <c r="E29" s="19" t="str">
        <f>IFERROR(VLOOKUP(D29,Main!$A$2:$B$2844,2,0)," ")</f>
        <v>MSN_ANUPAM_KANODIA3_POS</v>
      </c>
      <c r="F29" s="9" t="s">
        <v>124</v>
      </c>
    </row>
    <row r="30">
      <c r="A30" s="7">
        <v>46211.0</v>
      </c>
      <c r="B30" s="9">
        <v>7.0</v>
      </c>
      <c r="C30" s="9" t="s">
        <v>66</v>
      </c>
      <c r="D30" s="9" t="s">
        <v>128</v>
      </c>
      <c r="E30" s="19" t="str">
        <f>IFERROR(VLOOKUP(D30,Main!$A$2:$B$2844,2,0)," ")</f>
        <v>MSS_A7_RM_ACHINTYA_POS</v>
      </c>
      <c r="F30" s="9" t="s">
        <v>124</v>
      </c>
    </row>
    <row r="31">
      <c r="A31" s="7">
        <v>46212.0</v>
      </c>
      <c r="B31" s="9">
        <v>15.0</v>
      </c>
      <c r="C31" s="9" t="s">
        <v>54</v>
      </c>
      <c r="D31" s="9" t="s">
        <v>130</v>
      </c>
      <c r="E31" s="19" t="str">
        <f>IFERROR(VLOOKUP(D31,Main!$A$2:$B$2844,2,0)," ")</f>
        <v>MSS_ANOOJ_JAYANTILAL_AR_FIX_1CR_INT</v>
      </c>
      <c r="F31" s="9" t="s">
        <v>131</v>
      </c>
    </row>
    <row r="32">
      <c r="A32" s="7">
        <v>46212.0</v>
      </c>
      <c r="B32" s="9">
        <v>7.0</v>
      </c>
      <c r="C32" s="9" t="s">
        <v>132</v>
      </c>
      <c r="D32" s="9" t="s">
        <v>133</v>
      </c>
      <c r="E32" s="19" t="str">
        <f>IFERROR(VLOOKUP(D32,Main!$A$2:$B$2844,2,0)," ")</f>
        <v> MSP_PINKY_INT</v>
      </c>
      <c r="F32" s="9" t="s">
        <v>134</v>
      </c>
    </row>
    <row r="33">
      <c r="A33" s="7">
        <v>46212.0</v>
      </c>
      <c r="B33" s="9">
        <v>7.0</v>
      </c>
      <c r="C33" s="9" t="s">
        <v>92</v>
      </c>
      <c r="D33" s="9" t="s">
        <v>116</v>
      </c>
      <c r="E33" s="19" t="str">
        <f>IFERROR(VLOOKUP(D33,Main!$A$2:$B$2844,2,0)," ")</f>
        <v> </v>
      </c>
      <c r="F33" s="9" t="s">
        <v>136</v>
      </c>
    </row>
    <row r="34">
      <c r="A34" s="7">
        <v>46212.0</v>
      </c>
      <c r="B34" s="9">
        <v>7.0</v>
      </c>
      <c r="C34" s="9" t="s">
        <v>66</v>
      </c>
      <c r="D34" s="9" t="s">
        <v>116</v>
      </c>
      <c r="E34" s="19" t="str">
        <f>IFERROR(VLOOKUP(D34,Main!$A$2:$B$2844,2,0)," ")</f>
        <v> </v>
      </c>
      <c r="F34" s="9" t="s">
        <v>136</v>
      </c>
    </row>
    <row r="35">
      <c r="A35" s="7">
        <v>46212.0</v>
      </c>
      <c r="B35" s="9">
        <v>1.0</v>
      </c>
      <c r="C35" s="9" t="s">
        <v>140</v>
      </c>
      <c r="D35" s="9" t="s">
        <v>141</v>
      </c>
      <c r="E35" s="19" t="str">
        <f>IFERROR(VLOOKUP(D35,Main!$A$2:$B$2844,2,0)," ")</f>
        <v>CCV_NARAYANA_1_2CR_INT</v>
      </c>
      <c r="F35" s="9" t="s">
        <v>142</v>
      </c>
    </row>
    <row r="36">
      <c r="A36" s="7">
        <v>46216.0</v>
      </c>
      <c r="B36" s="9">
        <v>1.0</v>
      </c>
      <c r="C36" s="9" t="s">
        <v>143</v>
      </c>
      <c r="D36" s="9" t="s">
        <v>144</v>
      </c>
      <c r="E36" s="19" t="str">
        <f>IFERROR(VLOOKUP(D36,Main!$A$2:$B$2844,2,0)," ")</f>
        <v>MSS_A1_RM_INT</v>
      </c>
      <c r="F36" s="9" t="s">
        <v>145</v>
      </c>
    </row>
    <row r="37">
      <c r="A37" s="7">
        <v>46216.0</v>
      </c>
      <c r="B37" s="9">
        <v>1.0</v>
      </c>
      <c r="C37" s="9" t="s">
        <v>143</v>
      </c>
      <c r="D37" s="9" t="s">
        <v>107</v>
      </c>
      <c r="E37" s="19" t="str">
        <f>IFERROR(VLOOKUP(D37,Main!$A$2:$B$2844,2,0)," ")</f>
        <v>MSS_A1_PS_POS</v>
      </c>
      <c r="F37" s="9" t="s">
        <v>145</v>
      </c>
    </row>
    <row r="38">
      <c r="A38" s="7">
        <v>46216.0</v>
      </c>
      <c r="B38" s="9">
        <v>15.0</v>
      </c>
      <c r="C38" s="9" t="s">
        <v>54</v>
      </c>
      <c r="D38" s="9" t="s">
        <v>146</v>
      </c>
      <c r="E38" s="19" t="str">
        <f>IFERROR(VLOOKUP(D38,Main!$A$2:$B$2844,2,0)," ")</f>
        <v>MSS_A15_RM_ACHINTYA_POS</v>
      </c>
      <c r="F38" s="9" t="s">
        <v>145</v>
      </c>
    </row>
    <row r="39">
      <c r="A39" s="7">
        <v>46216.0</v>
      </c>
      <c r="B39" s="9">
        <v>15.0</v>
      </c>
      <c r="C39" s="9" t="s">
        <v>54</v>
      </c>
      <c r="D39" s="9" t="s">
        <v>129</v>
      </c>
      <c r="E39" s="19" t="str">
        <f>IFERROR(VLOOKUP(D39,Main!$A$2:$B$2844,2,0)," ")</f>
        <v>MSS_A15_PS_POS</v>
      </c>
      <c r="F39" s="9" t="s">
        <v>145</v>
      </c>
    </row>
    <row r="40">
      <c r="A40" s="7">
        <v>46216.0</v>
      </c>
      <c r="B40" s="9">
        <v>7.0</v>
      </c>
      <c r="C40" s="9" t="s">
        <v>66</v>
      </c>
      <c r="D40" s="9" t="s">
        <v>149</v>
      </c>
      <c r="E40" s="19" t="str">
        <f>IFERROR(VLOOKUP(D40,Main!$A$2:$B$2844,2,0)," ")</f>
        <v>MSS_A7_RM_POS</v>
      </c>
      <c r="F40" s="9" t="s">
        <v>145</v>
      </c>
    </row>
    <row r="41">
      <c r="A41" s="7">
        <v>46216.0</v>
      </c>
      <c r="B41" s="9">
        <v>7.0</v>
      </c>
      <c r="C41" s="9" t="s">
        <v>83</v>
      </c>
      <c r="D41" s="9" t="s">
        <v>120</v>
      </c>
      <c r="E41" s="19" t="str">
        <f>IFERROR(VLOOKUP(D41,Main!$A$2:$B$2844,2,0)," ")</f>
        <v>MSS_A7_PS_FULL_POS</v>
      </c>
      <c r="F41" s="9" t="s">
        <v>145</v>
      </c>
    </row>
    <row r="42">
      <c r="A42" s="7">
        <v>46217.0</v>
      </c>
      <c r="B42" s="9">
        <v>1.0</v>
      </c>
      <c r="C42" s="9" t="s">
        <v>143</v>
      </c>
      <c r="D42" s="9" t="s">
        <v>144</v>
      </c>
      <c r="E42" s="19" t="str">
        <f>IFERROR(VLOOKUP(D42,Main!$A$2:$B$2844,2,0)," ")</f>
        <v>MSS_A1_RM_INT</v>
      </c>
      <c r="F42" s="9" t="s">
        <v>150</v>
      </c>
    </row>
    <row r="43">
      <c r="A43" s="7">
        <v>46217.0</v>
      </c>
      <c r="B43" s="9">
        <v>1.0</v>
      </c>
      <c r="C43" s="9" t="s">
        <v>143</v>
      </c>
      <c r="D43" s="9" t="s">
        <v>151</v>
      </c>
      <c r="E43" s="19" t="str">
        <f>IFERROR(VLOOKUP(D43,Main!$A$2:$B$2844,2,0)," ")</f>
        <v>MSS_VILAS_HIRALAL_AR_FIX_1CR_INT</v>
      </c>
      <c r="F43" s="9" t="s">
        <v>152</v>
      </c>
    </row>
    <row r="44">
      <c r="A44" s="7">
        <v>46217.0</v>
      </c>
      <c r="B44" s="9">
        <v>7.0</v>
      </c>
      <c r="C44" s="9" t="s">
        <v>66</v>
      </c>
      <c r="D44" s="9" t="s">
        <v>149</v>
      </c>
      <c r="E44" s="19" t="str">
        <f>IFERROR(VLOOKUP(D44,Main!$A$2:$B$2844,2,0)," ")</f>
        <v>MSS_A7_RM_POS</v>
      </c>
      <c r="F44" s="9" t="s">
        <v>153</v>
      </c>
    </row>
    <row r="45">
      <c r="A45" s="7">
        <v>46217.0</v>
      </c>
      <c r="B45" s="9">
        <v>7.0</v>
      </c>
      <c r="C45" s="9" t="s">
        <v>132</v>
      </c>
      <c r="D45" s="9" t="s">
        <v>155</v>
      </c>
      <c r="E45" s="59" t="str">
        <f>VLOOKUP(D45,Main!A:B,2,0)</f>
        <v>MSR_DIGVIJAY4_INT</v>
      </c>
      <c r="F45" s="9" t="s">
        <v>156</v>
      </c>
    </row>
    <row r="46">
      <c r="A46" s="7">
        <v>46217.0</v>
      </c>
      <c r="B46" s="9">
        <v>7.0</v>
      </c>
      <c r="C46" s="9" t="s">
        <v>66</v>
      </c>
      <c r="D46" s="9" t="s">
        <v>157</v>
      </c>
      <c r="E46" s="59" t="str">
        <f>VLOOKUP(D46,Main!A:B,2,0)</f>
        <v>MSR_BANSAL4_INT</v>
      </c>
      <c r="F46" s="9" t="s">
        <v>156</v>
      </c>
    </row>
    <row r="47">
      <c r="A47" s="7">
        <v>46217.0</v>
      </c>
      <c r="B47" s="9">
        <v>15.0</v>
      </c>
      <c r="C47" s="9" t="s">
        <v>54</v>
      </c>
      <c r="D47" s="9" t="s">
        <v>160</v>
      </c>
      <c r="E47" s="59" t="str">
        <f>VLOOKUP(D47,Main!A:B,2,0)</f>
        <v>A15_EXCEL13_EXC</v>
      </c>
      <c r="F47" s="9" t="s">
        <v>161</v>
      </c>
    </row>
    <row r="48">
      <c r="A48" s="7">
        <v>46219.0</v>
      </c>
      <c r="B48" s="9">
        <v>8.0</v>
      </c>
      <c r="C48" s="9" t="s">
        <v>162</v>
      </c>
      <c r="D48" s="9" t="s">
        <v>163</v>
      </c>
      <c r="E48" s="59" t="str">
        <f>VLOOKUP(D48,Main!A:B,2,0)</f>
        <v>A8_RGJPR</v>
      </c>
      <c r="F48" s="9" t="s">
        <v>164</v>
      </c>
    </row>
    <row r="49">
      <c r="A49" s="7">
        <v>46219.0</v>
      </c>
      <c r="B49" s="9">
        <v>7.0</v>
      </c>
      <c r="C49" s="9" t="s">
        <v>132</v>
      </c>
      <c r="D49" s="19"/>
      <c r="E49" s="19"/>
      <c r="F49" s="9" t="s">
        <v>165</v>
      </c>
    </row>
    <row r="50">
      <c r="A50" s="7">
        <v>46223.0</v>
      </c>
      <c r="B50" s="9">
        <v>1.0</v>
      </c>
      <c r="C50" s="9" t="s">
        <v>166</v>
      </c>
      <c r="D50" s="9" t="s">
        <v>167</v>
      </c>
      <c r="E50" s="9" t="s">
        <v>168</v>
      </c>
      <c r="F50" s="9" t="s">
        <v>169</v>
      </c>
    </row>
    <row r="51">
      <c r="A51" s="7">
        <v>46224.0</v>
      </c>
      <c r="B51" s="9">
        <v>1.0</v>
      </c>
      <c r="C51" s="9" t="s">
        <v>143</v>
      </c>
      <c r="D51" s="9" t="s">
        <v>170</v>
      </c>
      <c r="E51" s="19"/>
      <c r="F51" s="9" t="s">
        <v>171</v>
      </c>
    </row>
    <row r="52">
      <c r="A52" s="7">
        <v>46224.0</v>
      </c>
      <c r="B52" s="9">
        <v>7.0</v>
      </c>
      <c r="C52" s="9" t="s">
        <v>83</v>
      </c>
      <c r="D52" s="9" t="s">
        <v>172</v>
      </c>
      <c r="E52" s="19"/>
      <c r="F52" s="9" t="s">
        <v>171</v>
      </c>
    </row>
    <row r="53">
      <c r="A53" s="7">
        <v>46225.0</v>
      </c>
      <c r="B53" s="9">
        <v>7.0</v>
      </c>
      <c r="C53" s="9" t="s">
        <v>113</v>
      </c>
      <c r="D53" s="9"/>
      <c r="E53" s="9"/>
      <c r="F53" s="9" t="s">
        <v>173</v>
      </c>
    </row>
    <row r="54">
      <c r="A54" s="63">
        <v>46226.0</v>
      </c>
      <c r="B54" s="9">
        <v>1.0</v>
      </c>
      <c r="C54" s="9" t="s">
        <v>174</v>
      </c>
      <c r="D54" s="9" t="s">
        <v>175</v>
      </c>
      <c r="E54" s="9" t="s">
        <v>176</v>
      </c>
      <c r="F54" s="9" t="s">
        <v>177</v>
      </c>
    </row>
    <row r="55">
      <c r="A55" s="63">
        <v>46226.0</v>
      </c>
      <c r="B55" s="9">
        <v>7.0</v>
      </c>
      <c r="C55" s="9" t="s">
        <v>132</v>
      </c>
      <c r="D55" s="9" t="s">
        <v>179</v>
      </c>
      <c r="E55" s="9" t="s">
        <v>180</v>
      </c>
      <c r="F55" s="14" t="s">
        <v>182</v>
      </c>
    </row>
    <row r="56">
      <c r="A56" s="63">
        <v>46226.0</v>
      </c>
      <c r="B56" s="9">
        <v>7.0</v>
      </c>
      <c r="C56" s="9" t="s">
        <v>132</v>
      </c>
      <c r="D56" s="9" t="s">
        <v>183</v>
      </c>
      <c r="E56" s="9" t="s">
        <v>184</v>
      </c>
      <c r="F56" s="9" t="s">
        <v>185</v>
      </c>
    </row>
    <row r="57">
      <c r="A57" s="63">
        <v>46227.0</v>
      </c>
      <c r="B57" s="9">
        <v>7.0</v>
      </c>
      <c r="C57" s="9" t="s">
        <v>113</v>
      </c>
      <c r="D57" s="9" t="s">
        <v>187</v>
      </c>
      <c r="E57" s="23" t="s">
        <v>188</v>
      </c>
      <c r="F57" s="9" t="s">
        <v>189</v>
      </c>
    </row>
    <row r="58">
      <c r="A58" s="63">
        <v>46227.0</v>
      </c>
      <c r="B58" s="9">
        <v>7.0</v>
      </c>
      <c r="C58" s="9" t="s">
        <v>113</v>
      </c>
      <c r="D58" s="9">
        <v>1.0408756E7</v>
      </c>
      <c r="E58" s="40" t="s">
        <v>190</v>
      </c>
      <c r="F58" s="9" t="s">
        <v>189</v>
      </c>
    </row>
    <row r="59">
      <c r="A59" s="63">
        <v>46231.0</v>
      </c>
      <c r="B59" s="9">
        <v>7.0</v>
      </c>
      <c r="C59" s="9" t="s">
        <v>66</v>
      </c>
      <c r="D59" s="9" t="s">
        <v>191</v>
      </c>
      <c r="E59" s="9" t="s">
        <v>192</v>
      </c>
      <c r="F59" s="9" t="s">
        <v>193</v>
      </c>
    </row>
    <row r="60">
      <c r="A60" s="19"/>
      <c r="B60" s="19"/>
      <c r="C60" s="19"/>
      <c r="D60" s="19"/>
      <c r="E60" s="19"/>
      <c r="F60" s="19"/>
    </row>
    <row r="61">
      <c r="A61" s="69">
        <v>46237.0</v>
      </c>
      <c r="B61" s="9">
        <v>7.0</v>
      </c>
      <c r="C61" s="9" t="s">
        <v>113</v>
      </c>
      <c r="D61" s="9" t="s">
        <v>194</v>
      </c>
      <c r="E61" s="19"/>
      <c r="F61" s="9" t="s">
        <v>195</v>
      </c>
    </row>
    <row r="62">
      <c r="A62" s="69">
        <v>46237.0</v>
      </c>
      <c r="B62" s="9">
        <v>7.0</v>
      </c>
      <c r="C62" s="9" t="s">
        <v>113</v>
      </c>
      <c r="D62" s="9" t="s">
        <v>196</v>
      </c>
      <c r="E62" s="19"/>
      <c r="F62" s="9" t="s">
        <v>199</v>
      </c>
    </row>
    <row r="63">
      <c r="A63" s="69">
        <v>46237.0</v>
      </c>
      <c r="B63" s="9">
        <v>7.0</v>
      </c>
      <c r="C63" s="9" t="s">
        <v>113</v>
      </c>
      <c r="D63" s="9" t="s">
        <v>196</v>
      </c>
      <c r="E63" s="19"/>
      <c r="F63" s="9" t="s">
        <v>200</v>
      </c>
    </row>
    <row r="64">
      <c r="A64" s="69">
        <v>46238.0</v>
      </c>
      <c r="B64" s="9">
        <v>15.0</v>
      </c>
      <c r="C64" s="9" t="s">
        <v>54</v>
      </c>
      <c r="D64" s="9" t="s">
        <v>129</v>
      </c>
      <c r="E64" s="19"/>
      <c r="F64" s="9" t="s">
        <v>202</v>
      </c>
    </row>
    <row r="65">
      <c r="A65" s="69">
        <v>46238.0</v>
      </c>
      <c r="B65" s="9">
        <v>7.0</v>
      </c>
      <c r="C65" s="9" t="s">
        <v>83</v>
      </c>
      <c r="D65" s="9" t="s">
        <v>120</v>
      </c>
      <c r="E65" s="19"/>
      <c r="F65" s="9" t="s">
        <v>204</v>
      </c>
    </row>
    <row r="66">
      <c r="A66" s="69">
        <v>46238.0</v>
      </c>
      <c r="B66" s="9">
        <v>7.0</v>
      </c>
      <c r="C66" s="9" t="s">
        <v>66</v>
      </c>
      <c r="D66" s="9" t="s">
        <v>149</v>
      </c>
      <c r="E66" s="19"/>
      <c r="F66" s="9" t="s">
        <v>204</v>
      </c>
    </row>
    <row r="67">
      <c r="A67" s="69">
        <v>46238.0</v>
      </c>
      <c r="B67" s="9">
        <v>7.0</v>
      </c>
      <c r="C67" s="9" t="s">
        <v>132</v>
      </c>
      <c r="D67" s="9" t="s">
        <v>205</v>
      </c>
      <c r="E67" s="19"/>
      <c r="F67" s="9" t="s">
        <v>206</v>
      </c>
    </row>
    <row r="68">
      <c r="A68" s="69">
        <v>46238.0</v>
      </c>
      <c r="B68" s="9">
        <v>7.0</v>
      </c>
      <c r="C68" s="9" t="s">
        <v>132</v>
      </c>
      <c r="D68" s="9" t="s">
        <v>208</v>
      </c>
      <c r="E68" s="19"/>
      <c r="F68" s="9" t="s">
        <v>209</v>
      </c>
    </row>
    <row r="69">
      <c r="A69" s="69">
        <v>46238.0</v>
      </c>
      <c r="B69" s="9">
        <v>7.0</v>
      </c>
      <c r="C69" s="9" t="s">
        <v>92</v>
      </c>
      <c r="D69" s="9" t="s">
        <v>210</v>
      </c>
      <c r="E69" s="19"/>
      <c r="F69" s="9" t="s">
        <v>211</v>
      </c>
    </row>
    <row r="70">
      <c r="A70" s="69">
        <v>46238.0</v>
      </c>
      <c r="B70" s="9">
        <v>7.0</v>
      </c>
      <c r="C70" s="9" t="s">
        <v>132</v>
      </c>
      <c r="D70" s="9" t="s">
        <v>125</v>
      </c>
      <c r="E70" s="19"/>
      <c r="F70" s="9" t="s">
        <v>214</v>
      </c>
    </row>
    <row r="71">
      <c r="A71" s="69">
        <v>46238.0</v>
      </c>
      <c r="B71" s="9">
        <v>7.0</v>
      </c>
      <c r="C71" s="9" t="s">
        <v>215</v>
      </c>
      <c r="D71" s="19"/>
      <c r="E71" s="19"/>
      <c r="F71" s="9" t="s">
        <v>217</v>
      </c>
    </row>
    <row r="72">
      <c r="A72" s="69">
        <v>46238.0</v>
      </c>
      <c r="B72" s="9">
        <v>1.0</v>
      </c>
      <c r="C72" s="9" t="s">
        <v>218</v>
      </c>
      <c r="D72" s="9" t="s">
        <v>219</v>
      </c>
      <c r="E72" s="19"/>
      <c r="F72" s="9" t="s">
        <v>220</v>
      </c>
    </row>
    <row r="73">
      <c r="A73" s="69">
        <v>46238.0</v>
      </c>
      <c r="B73" s="9">
        <v>1.0</v>
      </c>
      <c r="C73" s="9" t="s">
        <v>215</v>
      </c>
      <c r="D73" s="19"/>
      <c r="E73" s="19"/>
      <c r="F73" s="9" t="s">
        <v>221</v>
      </c>
    </row>
    <row r="74">
      <c r="A74" s="69">
        <v>46238.0</v>
      </c>
      <c r="B74" s="9">
        <v>1.0</v>
      </c>
      <c r="C74" s="9" t="s">
        <v>143</v>
      </c>
      <c r="D74" s="9" t="s">
        <v>107</v>
      </c>
      <c r="E74" s="19"/>
      <c r="F74" s="9" t="s">
        <v>223</v>
      </c>
    </row>
    <row r="75">
      <c r="A75" s="69">
        <v>46238.0</v>
      </c>
      <c r="B75" s="9">
        <v>7.0</v>
      </c>
      <c r="C75" s="9" t="s">
        <v>113</v>
      </c>
      <c r="D75" s="9" t="s">
        <v>225</v>
      </c>
      <c r="E75" s="19"/>
      <c r="F75" s="9" t="s">
        <v>226</v>
      </c>
    </row>
    <row r="76">
      <c r="A76" s="69">
        <v>46238.0</v>
      </c>
      <c r="B76" s="9">
        <v>7.0</v>
      </c>
      <c r="C76" s="9" t="s">
        <v>113</v>
      </c>
      <c r="D76" s="9" t="s">
        <v>227</v>
      </c>
      <c r="E76" s="19"/>
      <c r="F76" s="9" t="s">
        <v>226</v>
      </c>
    </row>
    <row r="77">
      <c r="A77" s="69">
        <v>46238.0</v>
      </c>
      <c r="B77" s="9">
        <v>7.0</v>
      </c>
      <c r="C77" s="9" t="s">
        <v>113</v>
      </c>
      <c r="D77" s="9" t="s">
        <v>228</v>
      </c>
      <c r="E77" s="19"/>
      <c r="F77" s="9" t="s">
        <v>226</v>
      </c>
    </row>
    <row r="78">
      <c r="A78" s="69">
        <v>46238.0</v>
      </c>
      <c r="B78" s="9">
        <v>7.0</v>
      </c>
      <c r="C78" s="9" t="s">
        <v>113</v>
      </c>
      <c r="D78" s="9" t="s">
        <v>229</v>
      </c>
      <c r="E78" s="19"/>
      <c r="F78" s="9" t="s">
        <v>226</v>
      </c>
    </row>
    <row r="79">
      <c r="A79" s="69">
        <v>46238.0</v>
      </c>
      <c r="B79" s="9">
        <v>7.0</v>
      </c>
      <c r="C79" s="9" t="s">
        <v>113</v>
      </c>
      <c r="D79" s="9" t="s">
        <v>233</v>
      </c>
      <c r="E79" s="19"/>
      <c r="F79" s="9" t="s">
        <v>226</v>
      </c>
    </row>
    <row r="80">
      <c r="A80" s="69">
        <v>46238.0</v>
      </c>
      <c r="B80" s="9">
        <v>7.0</v>
      </c>
      <c r="C80" s="9" t="s">
        <v>92</v>
      </c>
      <c r="D80" s="9" t="s">
        <v>235</v>
      </c>
      <c r="E80" s="19"/>
      <c r="F80" s="9" t="s">
        <v>226</v>
      </c>
    </row>
    <row r="81">
      <c r="A81" s="19"/>
      <c r="E81" s="19"/>
      <c r="F81" s="19"/>
    </row>
    <row r="82">
      <c r="A82" s="69">
        <v>46239.0</v>
      </c>
      <c r="B82" s="9">
        <v>1.0</v>
      </c>
      <c r="C82" s="9" t="s">
        <v>143</v>
      </c>
      <c r="D82" s="9" t="s">
        <v>170</v>
      </c>
      <c r="E82" s="19"/>
      <c r="F82" s="9" t="s">
        <v>236</v>
      </c>
    </row>
    <row r="83">
      <c r="A83" s="69">
        <v>46239.0</v>
      </c>
      <c r="B83" s="9">
        <v>7.0</v>
      </c>
      <c r="C83" s="9" t="s">
        <v>83</v>
      </c>
      <c r="D83" s="9" t="s">
        <v>172</v>
      </c>
      <c r="E83" s="19"/>
      <c r="F83" s="9" t="s">
        <v>236</v>
      </c>
    </row>
    <row r="84">
      <c r="A84" s="69"/>
      <c r="B84" s="9"/>
      <c r="C84" s="9"/>
      <c r="D84" s="9"/>
      <c r="E84" s="19"/>
      <c r="F84" s="9"/>
    </row>
    <row r="85">
      <c r="A85" s="69">
        <v>46240.0</v>
      </c>
      <c r="B85" s="9">
        <v>15.0</v>
      </c>
      <c r="C85" s="9" t="s">
        <v>54</v>
      </c>
      <c r="D85" s="9" t="s">
        <v>237</v>
      </c>
      <c r="E85" s="19"/>
      <c r="F85" s="9" t="s">
        <v>238</v>
      </c>
    </row>
    <row r="86">
      <c r="A86" s="69">
        <v>46240.0</v>
      </c>
      <c r="B86" s="9">
        <v>7.0</v>
      </c>
      <c r="C86" s="9" t="s">
        <v>66</v>
      </c>
      <c r="D86" s="11" t="s">
        <v>239</v>
      </c>
      <c r="E86" s="19"/>
      <c r="F86" s="9" t="s">
        <v>240</v>
      </c>
    </row>
    <row r="87">
      <c r="A87" s="69">
        <v>46240.0</v>
      </c>
      <c r="B87" s="9">
        <v>7.0</v>
      </c>
      <c r="C87" s="9" t="s">
        <v>66</v>
      </c>
      <c r="D87" s="11" t="s">
        <v>241</v>
      </c>
      <c r="E87" s="19"/>
      <c r="F87" s="9" t="s">
        <v>240</v>
      </c>
    </row>
    <row r="88">
      <c r="A88" s="69">
        <v>46240.0</v>
      </c>
      <c r="B88" s="9">
        <v>7.0</v>
      </c>
      <c r="C88" s="9" t="s">
        <v>66</v>
      </c>
      <c r="D88" s="11" t="s">
        <v>242</v>
      </c>
      <c r="E88" s="19"/>
      <c r="F88" s="9" t="s">
        <v>240</v>
      </c>
    </row>
    <row r="89">
      <c r="A89" s="69">
        <v>46240.0</v>
      </c>
      <c r="B89" s="9">
        <v>7.0</v>
      </c>
      <c r="C89" s="9" t="s">
        <v>132</v>
      </c>
      <c r="D89" s="19" t="s">
        <v>155</v>
      </c>
      <c r="E89" s="19"/>
      <c r="F89" s="9" t="s">
        <v>245</v>
      </c>
    </row>
    <row r="90">
      <c r="A90" s="69">
        <v>46240.0</v>
      </c>
      <c r="B90" s="9">
        <v>1.0</v>
      </c>
      <c r="C90" s="9">
        <v>6.0</v>
      </c>
      <c r="D90" s="9" t="s">
        <v>181</v>
      </c>
      <c r="E90" s="19"/>
      <c r="F90" s="9" t="s">
        <v>246</v>
      </c>
    </row>
    <row r="91">
      <c r="A91" s="69">
        <v>46240.0</v>
      </c>
      <c r="B91" s="9">
        <v>1.0</v>
      </c>
      <c r="C91" s="9" t="s">
        <v>143</v>
      </c>
      <c r="D91" s="9" t="s">
        <v>144</v>
      </c>
      <c r="E91" s="19"/>
      <c r="F91" s="9" t="s">
        <v>246</v>
      </c>
    </row>
    <row r="92">
      <c r="A92" s="69">
        <v>46240.0</v>
      </c>
      <c r="B92" s="9">
        <v>1.0</v>
      </c>
      <c r="C92" s="9" t="s">
        <v>143</v>
      </c>
      <c r="D92" s="9" t="s">
        <v>107</v>
      </c>
      <c r="E92" s="19"/>
      <c r="F92" s="9" t="s">
        <v>248</v>
      </c>
    </row>
    <row r="93">
      <c r="A93" s="69">
        <v>46240.0</v>
      </c>
      <c r="B93" s="9">
        <v>1.0</v>
      </c>
      <c r="C93" s="9" t="s">
        <v>249</v>
      </c>
      <c r="D93" s="9" t="s">
        <v>224</v>
      </c>
      <c r="E93" s="19"/>
      <c r="F93" s="9" t="s">
        <v>246</v>
      </c>
    </row>
    <row r="94">
      <c r="A94" s="69">
        <v>46240.0</v>
      </c>
      <c r="B94" s="9">
        <v>1.0</v>
      </c>
      <c r="C94" s="9" t="s">
        <v>218</v>
      </c>
      <c r="D94" s="9" t="s">
        <v>250</v>
      </c>
      <c r="E94" s="19"/>
      <c r="F94" s="9" t="s">
        <v>251</v>
      </c>
    </row>
    <row r="95">
      <c r="A95" s="69">
        <v>46240.0</v>
      </c>
      <c r="B95" s="9">
        <v>1.0</v>
      </c>
      <c r="C95" s="9" t="s">
        <v>252</v>
      </c>
      <c r="D95" s="9" t="s">
        <v>253</v>
      </c>
      <c r="E95" s="19"/>
      <c r="F95" s="9" t="s">
        <v>254</v>
      </c>
    </row>
    <row r="96">
      <c r="A96" s="69">
        <v>46240.0</v>
      </c>
      <c r="B96" s="9">
        <v>15.0</v>
      </c>
      <c r="C96" s="9" t="s">
        <v>54</v>
      </c>
      <c r="D96" s="9" t="s">
        <v>129</v>
      </c>
      <c r="E96" s="19"/>
      <c r="F96" s="9" t="s">
        <v>255</v>
      </c>
    </row>
    <row r="97">
      <c r="A97" s="69">
        <v>46240.0</v>
      </c>
      <c r="B97" s="9">
        <v>15.0</v>
      </c>
      <c r="C97" s="9" t="s">
        <v>54</v>
      </c>
      <c r="D97" s="9" t="s">
        <v>146</v>
      </c>
      <c r="E97" s="19"/>
      <c r="F97" s="9" t="s">
        <v>255</v>
      </c>
    </row>
    <row r="98">
      <c r="A98" s="69">
        <v>46240.0</v>
      </c>
      <c r="B98" s="9">
        <v>15.0</v>
      </c>
      <c r="C98" s="9" t="s">
        <v>25</v>
      </c>
      <c r="D98" s="9" t="s">
        <v>27</v>
      </c>
      <c r="E98" s="19"/>
      <c r="F98" s="9" t="s">
        <v>255</v>
      </c>
    </row>
    <row r="99">
      <c r="A99" s="69">
        <v>46240.0</v>
      </c>
      <c r="B99" s="9">
        <v>7.0</v>
      </c>
      <c r="C99" s="9" t="s">
        <v>113</v>
      </c>
      <c r="D99" s="19"/>
      <c r="E99" s="19"/>
      <c r="F99" s="9" t="s">
        <v>256</v>
      </c>
    </row>
    <row r="100">
      <c r="A100" s="19"/>
      <c r="B100" s="19"/>
      <c r="C100" s="19"/>
      <c r="D100" s="19"/>
      <c r="E100" s="19"/>
      <c r="F100" s="19"/>
    </row>
    <row r="101">
      <c r="A101" s="69">
        <v>46241.0</v>
      </c>
      <c r="B101" s="9">
        <v>7.0</v>
      </c>
      <c r="C101" s="9" t="s">
        <v>113</v>
      </c>
      <c r="D101" s="19"/>
      <c r="E101" s="19"/>
      <c r="F101" s="9" t="s">
        <v>260</v>
      </c>
    </row>
    <row r="102">
      <c r="A102" s="19"/>
      <c r="B102" s="19"/>
      <c r="C102" s="19"/>
      <c r="D102" s="19"/>
      <c r="E102" s="19"/>
      <c r="F102" s="19"/>
    </row>
    <row r="103">
      <c r="A103" s="63">
        <v>46244.0</v>
      </c>
      <c r="B103" s="9">
        <v>7.0</v>
      </c>
      <c r="C103" s="9" t="s">
        <v>113</v>
      </c>
      <c r="D103" s="9" t="s">
        <v>234</v>
      </c>
      <c r="E103" s="19"/>
      <c r="F103" s="9" t="s">
        <v>262</v>
      </c>
    </row>
    <row r="104">
      <c r="A104" s="19"/>
      <c r="B104" s="19"/>
      <c r="C104" s="19"/>
      <c r="D104" s="19"/>
      <c r="E104" s="19"/>
      <c r="F104" s="19"/>
    </row>
    <row r="105">
      <c r="A105" s="63">
        <v>46245.0</v>
      </c>
      <c r="B105" s="9">
        <v>1.0</v>
      </c>
      <c r="C105" s="9" t="s">
        <v>143</v>
      </c>
      <c r="D105" s="9" t="s">
        <v>170</v>
      </c>
      <c r="E105" s="19"/>
      <c r="F105" s="9" t="s">
        <v>263</v>
      </c>
    </row>
    <row r="106">
      <c r="A106" s="19"/>
      <c r="B106" s="19"/>
      <c r="C106" s="19"/>
      <c r="D106" s="19"/>
      <c r="E106" s="19"/>
      <c r="F106" s="19"/>
    </row>
    <row r="107">
      <c r="A107" s="42"/>
      <c r="B107" s="42"/>
      <c r="C107" s="42"/>
      <c r="D107" s="42"/>
      <c r="E107" s="42"/>
      <c r="F107" s="42"/>
    </row>
    <row r="108">
      <c r="A108" s="42"/>
      <c r="B108" s="42"/>
      <c r="C108" s="42"/>
      <c r="D108" s="42"/>
      <c r="E108" s="42"/>
      <c r="F108" s="42"/>
    </row>
    <row r="109">
      <c r="A109" s="42"/>
      <c r="B109" s="42"/>
      <c r="C109" s="42"/>
      <c r="D109" s="42"/>
      <c r="E109" s="42"/>
      <c r="F109" s="42"/>
    </row>
    <row r="110">
      <c r="A110" s="42"/>
      <c r="B110" s="42"/>
      <c r="C110" s="42"/>
      <c r="D110" s="42"/>
      <c r="E110" s="42"/>
      <c r="F110" s="42"/>
    </row>
    <row r="111">
      <c r="A111" s="42"/>
      <c r="B111" s="42"/>
      <c r="C111" s="42"/>
      <c r="D111" s="42"/>
      <c r="E111" s="42"/>
      <c r="F111" s="42"/>
    </row>
    <row r="112">
      <c r="A112" s="42"/>
      <c r="B112" s="42"/>
      <c r="C112" s="42"/>
      <c r="D112" s="42"/>
      <c r="E112" s="42"/>
      <c r="F112" s="42"/>
    </row>
    <row r="113">
      <c r="A113" s="42"/>
      <c r="B113" s="42"/>
      <c r="C113" s="42"/>
      <c r="D113" s="42"/>
      <c r="E113" s="42"/>
      <c r="F113" s="42"/>
    </row>
    <row r="114">
      <c r="A114" s="42"/>
      <c r="B114" s="42"/>
      <c r="C114" s="42"/>
      <c r="D114" s="42"/>
      <c r="E114" s="42"/>
      <c r="F114" s="42"/>
    </row>
    <row r="115">
      <c r="A115" s="42"/>
      <c r="B115" s="42"/>
      <c r="C115" s="42"/>
      <c r="D115" s="42"/>
      <c r="E115" s="42"/>
      <c r="F115" s="42"/>
    </row>
    <row r="116">
      <c r="A116" s="42"/>
      <c r="B116" s="42"/>
      <c r="C116" s="42"/>
      <c r="D116" s="42"/>
      <c r="E116" s="42"/>
      <c r="F116" s="42"/>
    </row>
    <row r="117">
      <c r="A117" s="42"/>
      <c r="B117" s="42"/>
      <c r="C117" s="42"/>
      <c r="D117" s="42"/>
      <c r="E117" s="42"/>
      <c r="F117" s="42"/>
    </row>
    <row r="118">
      <c r="A118" s="42"/>
      <c r="B118" s="42"/>
      <c r="C118" s="42"/>
      <c r="D118" s="42"/>
      <c r="E118" s="42"/>
      <c r="F118" s="42"/>
    </row>
    <row r="119">
      <c r="A119" s="42"/>
      <c r="B119" s="42"/>
      <c r="C119" s="42"/>
      <c r="D119" s="42"/>
      <c r="E119" s="42"/>
      <c r="F119" s="42"/>
    </row>
    <row r="120">
      <c r="A120" s="42"/>
      <c r="B120" s="42"/>
      <c r="C120" s="42"/>
      <c r="D120" s="42"/>
      <c r="E120" s="42"/>
      <c r="F120" s="42"/>
    </row>
    <row r="121">
      <c r="A121" s="42"/>
      <c r="B121" s="42"/>
      <c r="C121" s="42"/>
      <c r="D121" s="42"/>
      <c r="E121" s="42"/>
      <c r="F121" s="42"/>
    </row>
    <row r="122">
      <c r="A122" s="42"/>
      <c r="B122" s="42"/>
      <c r="C122" s="42"/>
      <c r="D122" s="42"/>
      <c r="E122" s="42"/>
      <c r="F122" s="42"/>
    </row>
    <row r="123">
      <c r="A123" s="42"/>
      <c r="B123" s="42"/>
      <c r="C123" s="42"/>
      <c r="D123" s="42"/>
      <c r="E123" s="42"/>
      <c r="F123" s="42"/>
    </row>
    <row r="124">
      <c r="A124" s="42"/>
      <c r="B124" s="42"/>
      <c r="C124" s="42"/>
      <c r="D124" s="42"/>
      <c r="E124" s="42"/>
      <c r="F124" s="42"/>
    </row>
    <row r="125">
      <c r="A125" s="42"/>
      <c r="B125" s="42"/>
      <c r="C125" s="42"/>
      <c r="D125" s="42"/>
      <c r="E125" s="42"/>
      <c r="F125" s="42"/>
    </row>
    <row r="126">
      <c r="A126" s="42"/>
      <c r="B126" s="42"/>
      <c r="C126" s="42"/>
      <c r="D126" s="42"/>
      <c r="E126" s="42"/>
      <c r="F126" s="42"/>
    </row>
    <row r="127">
      <c r="A127" s="42"/>
      <c r="B127" s="42"/>
      <c r="C127" s="42"/>
      <c r="D127" s="42"/>
      <c r="E127" s="42"/>
      <c r="F127" s="42"/>
    </row>
    <row r="128">
      <c r="A128" s="42"/>
      <c r="B128" s="42"/>
      <c r="C128" s="42"/>
      <c r="D128" s="42"/>
      <c r="E128" s="42"/>
      <c r="F128" s="42"/>
    </row>
    <row r="129">
      <c r="A129" s="42"/>
      <c r="B129" s="42"/>
      <c r="C129" s="42"/>
      <c r="D129" s="42"/>
      <c r="E129" s="42"/>
      <c r="F129" s="42"/>
    </row>
    <row r="130">
      <c r="A130" s="42"/>
      <c r="B130" s="42"/>
      <c r="C130" s="42"/>
      <c r="D130" s="42"/>
      <c r="E130" s="42"/>
      <c r="F130" s="42"/>
    </row>
    <row r="131">
      <c r="A131" s="42"/>
      <c r="B131" s="42"/>
      <c r="C131" s="42"/>
      <c r="D131" s="42"/>
      <c r="E131" s="42"/>
      <c r="F131" s="42"/>
    </row>
    <row r="132">
      <c r="A132" s="42"/>
      <c r="B132" s="42"/>
      <c r="C132" s="42"/>
      <c r="D132" s="42"/>
      <c r="E132" s="42"/>
      <c r="F132" s="42"/>
    </row>
    <row r="133">
      <c r="A133" s="42"/>
      <c r="B133" s="42"/>
      <c r="C133" s="42"/>
      <c r="D133" s="42"/>
      <c r="E133" s="42"/>
      <c r="F133" s="42"/>
    </row>
    <row r="134">
      <c r="A134" s="42"/>
      <c r="B134" s="42"/>
      <c r="C134" s="42"/>
      <c r="D134" s="42"/>
      <c r="E134" s="42"/>
      <c r="F134" s="42"/>
    </row>
    <row r="135">
      <c r="A135" s="42"/>
      <c r="B135" s="42"/>
      <c r="C135" s="42"/>
      <c r="D135" s="42"/>
      <c r="E135" s="42"/>
      <c r="F135" s="42"/>
    </row>
    <row r="136">
      <c r="A136" s="42"/>
      <c r="B136" s="42"/>
      <c r="C136" s="42"/>
      <c r="D136" s="42"/>
      <c r="E136" s="42"/>
      <c r="F136" s="42"/>
    </row>
    <row r="137">
      <c r="A137" s="42"/>
      <c r="B137" s="42"/>
      <c r="C137" s="42"/>
      <c r="D137" s="42"/>
      <c r="E137" s="42"/>
      <c r="F137" s="42"/>
    </row>
    <row r="138">
      <c r="A138" s="42"/>
      <c r="B138" s="42"/>
      <c r="C138" s="42"/>
      <c r="D138" s="42"/>
      <c r="E138" s="42"/>
      <c r="F138" s="42"/>
    </row>
    <row r="139">
      <c r="A139" s="42"/>
      <c r="B139" s="42"/>
      <c r="C139" s="42"/>
      <c r="D139" s="42"/>
      <c r="E139" s="42"/>
      <c r="F139" s="42"/>
    </row>
    <row r="140">
      <c r="A140" s="42"/>
      <c r="B140" s="42"/>
      <c r="C140" s="42"/>
      <c r="D140" s="42"/>
      <c r="E140" s="42"/>
      <c r="F140" s="42"/>
    </row>
    <row r="141">
      <c r="A141" s="42"/>
      <c r="B141" s="42"/>
      <c r="C141" s="42"/>
      <c r="D141" s="42"/>
      <c r="E141" s="42"/>
      <c r="F141" s="42"/>
    </row>
    <row r="142">
      <c r="A142" s="42"/>
      <c r="B142" s="42"/>
      <c r="C142" s="42"/>
      <c r="D142" s="42"/>
      <c r="E142" s="42"/>
      <c r="F142" s="42"/>
    </row>
    <row r="143">
      <c r="A143" s="42"/>
      <c r="B143" s="42"/>
      <c r="C143" s="42"/>
      <c r="D143" s="42"/>
      <c r="E143" s="42"/>
      <c r="F143" s="42"/>
    </row>
    <row r="144">
      <c r="A144" s="42"/>
      <c r="B144" s="42"/>
      <c r="C144" s="42"/>
      <c r="D144" s="42"/>
      <c r="E144" s="42"/>
      <c r="F144" s="42"/>
    </row>
    <row r="145">
      <c r="A145" s="42"/>
      <c r="B145" s="42"/>
      <c r="C145" s="42"/>
      <c r="D145" s="42"/>
      <c r="E145" s="42"/>
      <c r="F145" s="42"/>
    </row>
    <row r="146">
      <c r="A146" s="42"/>
      <c r="B146" s="42"/>
      <c r="C146" s="42"/>
      <c r="D146" s="42"/>
      <c r="E146" s="42"/>
      <c r="F146" s="42"/>
    </row>
    <row r="147">
      <c r="A147" s="42"/>
      <c r="B147" s="42"/>
      <c r="C147" s="42"/>
      <c r="D147" s="42"/>
      <c r="E147" s="42"/>
      <c r="F147" s="42"/>
    </row>
    <row r="148">
      <c r="A148" s="42"/>
      <c r="B148" s="42"/>
      <c r="C148" s="42"/>
      <c r="D148" s="42"/>
      <c r="E148" s="42"/>
      <c r="F148" s="42"/>
    </row>
    <row r="149">
      <c r="A149" s="42"/>
      <c r="B149" s="42"/>
      <c r="C149" s="42"/>
      <c r="D149" s="42"/>
      <c r="E149" s="42"/>
      <c r="F149" s="42"/>
    </row>
    <row r="150">
      <c r="A150" s="42"/>
      <c r="B150" s="42"/>
      <c r="C150" s="42"/>
      <c r="D150" s="42"/>
      <c r="E150" s="42"/>
      <c r="F150" s="42"/>
    </row>
    <row r="151">
      <c r="A151" s="42"/>
      <c r="B151" s="42"/>
      <c r="C151" s="42"/>
      <c r="D151" s="42"/>
      <c r="E151" s="42"/>
      <c r="F151" s="42"/>
    </row>
    <row r="152">
      <c r="A152" s="42"/>
      <c r="B152" s="42"/>
      <c r="C152" s="42"/>
      <c r="D152" s="42"/>
      <c r="E152" s="42"/>
      <c r="F152" s="42"/>
    </row>
    <row r="153">
      <c r="A153" s="42"/>
      <c r="B153" s="42"/>
      <c r="C153" s="42"/>
      <c r="D153" s="42"/>
      <c r="E153" s="42"/>
      <c r="F153" s="42"/>
    </row>
    <row r="154">
      <c r="A154" s="42"/>
      <c r="B154" s="42"/>
      <c r="C154" s="42"/>
      <c r="D154" s="42"/>
      <c r="E154" s="42"/>
      <c r="F154" s="42"/>
    </row>
    <row r="155">
      <c r="A155" s="42"/>
      <c r="B155" s="42"/>
      <c r="C155" s="42"/>
      <c r="D155" s="42"/>
      <c r="E155" s="42"/>
      <c r="F155" s="42"/>
    </row>
    <row r="156">
      <c r="A156" s="42"/>
      <c r="B156" s="42"/>
      <c r="C156" s="42"/>
      <c r="D156" s="42"/>
      <c r="E156" s="42"/>
      <c r="F156" s="42"/>
    </row>
    <row r="157">
      <c r="A157" s="42"/>
      <c r="B157" s="42"/>
      <c r="C157" s="42"/>
      <c r="D157" s="42"/>
      <c r="E157" s="42"/>
      <c r="F157" s="42"/>
    </row>
    <row r="158">
      <c r="A158" s="42"/>
      <c r="B158" s="42"/>
      <c r="C158" s="42"/>
      <c r="D158" s="42"/>
      <c r="E158" s="42"/>
      <c r="F158" s="42"/>
    </row>
    <row r="159">
      <c r="A159" s="42"/>
      <c r="B159" s="42"/>
      <c r="C159" s="42"/>
      <c r="D159" s="42"/>
      <c r="E159" s="42"/>
      <c r="F159" s="42"/>
    </row>
    <row r="160">
      <c r="A160" s="42"/>
      <c r="B160" s="42"/>
      <c r="C160" s="42"/>
      <c r="D160" s="42"/>
      <c r="E160" s="42"/>
      <c r="F160" s="42"/>
    </row>
    <row r="161">
      <c r="A161" s="42"/>
      <c r="B161" s="42"/>
      <c r="C161" s="42"/>
      <c r="D161" s="42"/>
      <c r="E161" s="42"/>
      <c r="F161" s="42"/>
    </row>
    <row r="162">
      <c r="A162" s="42"/>
      <c r="B162" s="42"/>
      <c r="C162" s="42"/>
      <c r="D162" s="42"/>
      <c r="E162" s="42"/>
      <c r="F162" s="42"/>
    </row>
    <row r="163">
      <c r="A163" s="42"/>
      <c r="B163" s="42"/>
      <c r="C163" s="42"/>
      <c r="D163" s="42"/>
      <c r="E163" s="42"/>
      <c r="F163" s="42"/>
    </row>
    <row r="164">
      <c r="A164" s="42"/>
      <c r="B164" s="42"/>
      <c r="C164" s="42"/>
      <c r="D164" s="42"/>
      <c r="E164" s="42"/>
      <c r="F164" s="42"/>
    </row>
    <row r="165">
      <c r="A165" s="42"/>
      <c r="B165" s="42"/>
      <c r="C165" s="42"/>
      <c r="D165" s="42"/>
      <c r="E165" s="42"/>
      <c r="F165" s="42"/>
    </row>
    <row r="166">
      <c r="A166" s="42"/>
      <c r="B166" s="42"/>
      <c r="C166" s="42"/>
      <c r="D166" s="42"/>
      <c r="E166" s="42"/>
      <c r="F166" s="42"/>
    </row>
    <row r="167">
      <c r="A167" s="42"/>
      <c r="B167" s="42"/>
      <c r="C167" s="42"/>
      <c r="D167" s="42"/>
      <c r="E167" s="42"/>
      <c r="F167" s="42"/>
    </row>
    <row r="168">
      <c r="A168" s="42"/>
      <c r="B168" s="42"/>
      <c r="C168" s="42"/>
      <c r="D168" s="42"/>
      <c r="E168" s="42"/>
      <c r="F168" s="42"/>
    </row>
    <row r="169">
      <c r="A169" s="42"/>
      <c r="B169" s="42"/>
      <c r="C169" s="42"/>
      <c r="D169" s="42"/>
      <c r="E169" s="42"/>
      <c r="F169" s="42"/>
    </row>
    <row r="170">
      <c r="A170" s="42"/>
      <c r="B170" s="42"/>
      <c r="C170" s="42"/>
      <c r="D170" s="42"/>
      <c r="E170" s="42"/>
      <c r="F170" s="42"/>
    </row>
    <row r="171">
      <c r="A171" s="42"/>
      <c r="B171" s="42"/>
      <c r="C171" s="42"/>
      <c r="D171" s="42"/>
      <c r="E171" s="42"/>
      <c r="F171" s="42"/>
    </row>
    <row r="172">
      <c r="A172" s="42"/>
      <c r="B172" s="42"/>
      <c r="C172" s="42"/>
      <c r="D172" s="42"/>
      <c r="E172" s="42"/>
      <c r="F172" s="42"/>
    </row>
    <row r="173">
      <c r="A173" s="42"/>
      <c r="B173" s="42"/>
      <c r="C173" s="42"/>
      <c r="D173" s="42"/>
      <c r="E173" s="42"/>
      <c r="F173" s="42"/>
    </row>
    <row r="174">
      <c r="A174" s="42"/>
      <c r="B174" s="42"/>
      <c r="C174" s="42"/>
      <c r="D174" s="42"/>
      <c r="E174" s="42"/>
      <c r="F174" s="42"/>
    </row>
    <row r="175">
      <c r="A175" s="42"/>
      <c r="B175" s="42"/>
      <c r="C175" s="42"/>
      <c r="D175" s="42"/>
      <c r="E175" s="42"/>
      <c r="F175" s="42"/>
    </row>
    <row r="176">
      <c r="A176" s="42"/>
      <c r="B176" s="42"/>
      <c r="C176" s="42"/>
      <c r="D176" s="42"/>
      <c r="E176" s="42"/>
      <c r="F176" s="42"/>
    </row>
    <row r="177">
      <c r="A177" s="42"/>
      <c r="B177" s="42"/>
      <c r="C177" s="42"/>
      <c r="D177" s="42"/>
      <c r="E177" s="42"/>
      <c r="F177" s="42"/>
    </row>
    <row r="178">
      <c r="A178" s="42"/>
      <c r="B178" s="42"/>
      <c r="C178" s="42"/>
      <c r="D178" s="42"/>
      <c r="E178" s="42"/>
      <c r="F178" s="42"/>
    </row>
    <row r="179">
      <c r="A179" s="42"/>
      <c r="B179" s="42"/>
      <c r="C179" s="42"/>
      <c r="D179" s="42"/>
      <c r="E179" s="42"/>
      <c r="F179" s="42"/>
    </row>
    <row r="180">
      <c r="A180" s="42"/>
      <c r="B180" s="42"/>
      <c r="C180" s="42"/>
      <c r="D180" s="42"/>
      <c r="E180" s="42"/>
      <c r="F180" s="42"/>
    </row>
    <row r="181">
      <c r="A181" s="42"/>
      <c r="B181" s="42"/>
      <c r="C181" s="42"/>
      <c r="D181" s="42"/>
      <c r="E181" s="42"/>
      <c r="F181" s="42"/>
    </row>
    <row r="182">
      <c r="A182" s="42"/>
      <c r="B182" s="42"/>
      <c r="C182" s="42"/>
      <c r="D182" s="42"/>
      <c r="E182" s="42"/>
      <c r="F182" s="42"/>
    </row>
    <row r="183">
      <c r="A183" s="42"/>
      <c r="B183" s="42"/>
      <c r="C183" s="42"/>
      <c r="D183" s="42"/>
      <c r="E183" s="42"/>
      <c r="F183" s="42"/>
    </row>
    <row r="184">
      <c r="A184" s="42"/>
      <c r="B184" s="42"/>
      <c r="C184" s="42"/>
      <c r="D184" s="42"/>
      <c r="E184" s="42"/>
      <c r="F184" s="42"/>
    </row>
    <row r="185">
      <c r="A185" s="42"/>
      <c r="B185" s="42"/>
      <c r="C185" s="42"/>
      <c r="D185" s="42"/>
      <c r="E185" s="42"/>
      <c r="F185" s="42"/>
    </row>
    <row r="186">
      <c r="A186" s="42"/>
      <c r="B186" s="42"/>
      <c r="C186" s="42"/>
      <c r="D186" s="42"/>
      <c r="E186" s="42"/>
      <c r="F186" s="42"/>
    </row>
    <row r="187">
      <c r="A187" s="42"/>
      <c r="B187" s="42"/>
      <c r="C187" s="42"/>
      <c r="D187" s="42"/>
      <c r="E187" s="42"/>
      <c r="F187" s="42"/>
    </row>
    <row r="188">
      <c r="A188" s="42"/>
      <c r="B188" s="42"/>
      <c r="C188" s="42"/>
      <c r="D188" s="42"/>
      <c r="E188" s="42"/>
      <c r="F188" s="42"/>
    </row>
    <row r="189">
      <c r="A189" s="42"/>
      <c r="B189" s="42"/>
      <c r="C189" s="42"/>
      <c r="D189" s="42"/>
      <c r="E189" s="42"/>
      <c r="F189" s="42"/>
    </row>
    <row r="190">
      <c r="A190" s="42"/>
      <c r="B190" s="42"/>
      <c r="C190" s="42"/>
      <c r="D190" s="42"/>
      <c r="E190" s="42"/>
      <c r="F190" s="42"/>
    </row>
    <row r="191">
      <c r="A191" s="42"/>
      <c r="B191" s="42"/>
      <c r="C191" s="42"/>
      <c r="D191" s="42"/>
      <c r="E191" s="42"/>
      <c r="F191" s="42"/>
    </row>
    <row r="192">
      <c r="A192" s="42"/>
      <c r="B192" s="42"/>
      <c r="C192" s="42"/>
      <c r="D192" s="42"/>
      <c r="E192" s="42"/>
      <c r="F192" s="42"/>
    </row>
    <row r="193">
      <c r="A193" s="42"/>
      <c r="B193" s="42"/>
      <c r="C193" s="42"/>
      <c r="D193" s="42"/>
      <c r="E193" s="42"/>
      <c r="F193" s="42"/>
    </row>
    <row r="194">
      <c r="A194" s="42"/>
      <c r="B194" s="42"/>
      <c r="C194" s="42"/>
      <c r="D194" s="42"/>
      <c r="E194" s="42"/>
      <c r="F194" s="42"/>
    </row>
    <row r="195">
      <c r="A195" s="42"/>
      <c r="B195" s="42"/>
      <c r="C195" s="42"/>
      <c r="D195" s="42"/>
      <c r="E195" s="42"/>
      <c r="F195" s="42"/>
    </row>
    <row r="196">
      <c r="A196" s="42"/>
      <c r="B196" s="42"/>
      <c r="C196" s="42"/>
      <c r="D196" s="42"/>
      <c r="E196" s="42"/>
      <c r="F196" s="42"/>
    </row>
    <row r="197">
      <c r="A197" s="42"/>
      <c r="B197" s="42"/>
      <c r="C197" s="42"/>
      <c r="D197" s="42"/>
      <c r="E197" s="42"/>
      <c r="F197" s="42"/>
    </row>
    <row r="198">
      <c r="A198" s="42"/>
      <c r="B198" s="42"/>
      <c r="C198" s="42"/>
      <c r="D198" s="42"/>
      <c r="E198" s="42"/>
      <c r="F198" s="42"/>
    </row>
    <row r="199">
      <c r="A199" s="42"/>
      <c r="B199" s="42"/>
      <c r="C199" s="42"/>
      <c r="D199" s="42"/>
      <c r="E199" s="42"/>
      <c r="F199" s="42"/>
    </row>
    <row r="200">
      <c r="A200" s="42"/>
      <c r="B200" s="42"/>
      <c r="C200" s="42"/>
      <c r="D200" s="42"/>
      <c r="E200" s="42"/>
      <c r="F200" s="42"/>
    </row>
    <row r="201">
      <c r="A201" s="42"/>
      <c r="B201" s="42"/>
      <c r="C201" s="42"/>
      <c r="D201" s="42"/>
      <c r="E201" s="42"/>
      <c r="F201" s="42"/>
    </row>
    <row r="202">
      <c r="A202" s="42"/>
      <c r="B202" s="42"/>
      <c r="C202" s="42"/>
      <c r="D202" s="42"/>
      <c r="E202" s="42"/>
      <c r="F202" s="42"/>
    </row>
    <row r="203">
      <c r="A203" s="42"/>
      <c r="B203" s="42"/>
      <c r="C203" s="42"/>
      <c r="D203" s="42"/>
      <c r="E203" s="42"/>
      <c r="F203" s="42"/>
    </row>
    <row r="204">
      <c r="A204" s="42"/>
      <c r="B204" s="42"/>
      <c r="C204" s="42"/>
      <c r="D204" s="42"/>
      <c r="E204" s="42"/>
      <c r="F204" s="42"/>
    </row>
    <row r="205">
      <c r="A205" s="42"/>
      <c r="B205" s="42"/>
      <c r="C205" s="42"/>
      <c r="D205" s="42"/>
      <c r="E205" s="42"/>
      <c r="F205" s="42"/>
    </row>
    <row r="206">
      <c r="A206" s="42"/>
      <c r="B206" s="42"/>
      <c r="C206" s="42"/>
      <c r="D206" s="42"/>
      <c r="E206" s="42"/>
      <c r="F206" s="42"/>
    </row>
    <row r="207">
      <c r="A207" s="42"/>
      <c r="B207" s="42"/>
      <c r="C207" s="42"/>
      <c r="D207" s="42"/>
      <c r="E207" s="42"/>
      <c r="F207" s="42"/>
    </row>
    <row r="208">
      <c r="A208" s="42"/>
      <c r="B208" s="42"/>
      <c r="C208" s="42"/>
      <c r="D208" s="42"/>
      <c r="E208" s="42"/>
      <c r="F208" s="42"/>
    </row>
    <row r="209">
      <c r="A209" s="42"/>
      <c r="B209" s="42"/>
      <c r="C209" s="42"/>
      <c r="D209" s="42"/>
      <c r="E209" s="42"/>
      <c r="F209" s="42"/>
    </row>
    <row r="210">
      <c r="A210" s="42"/>
      <c r="B210" s="42"/>
      <c r="C210" s="42"/>
      <c r="D210" s="42"/>
      <c r="E210" s="42"/>
      <c r="F210" s="42"/>
    </row>
    <row r="211">
      <c r="A211" s="42"/>
      <c r="B211" s="42"/>
      <c r="C211" s="42"/>
      <c r="D211" s="42"/>
      <c r="E211" s="42"/>
      <c r="F211" s="42"/>
    </row>
    <row r="212">
      <c r="A212" s="42"/>
      <c r="B212" s="42"/>
      <c r="C212" s="42"/>
      <c r="D212" s="42"/>
      <c r="E212" s="42"/>
      <c r="F212" s="42"/>
    </row>
    <row r="213">
      <c r="A213" s="42"/>
      <c r="B213" s="42"/>
      <c r="C213" s="42"/>
      <c r="D213" s="42"/>
      <c r="E213" s="42"/>
      <c r="F213" s="42"/>
    </row>
    <row r="214">
      <c r="A214" s="42"/>
      <c r="B214" s="42"/>
      <c r="C214" s="42"/>
      <c r="D214" s="42"/>
      <c r="E214" s="42"/>
      <c r="F214" s="42"/>
    </row>
    <row r="215">
      <c r="A215" s="42"/>
      <c r="B215" s="42"/>
      <c r="C215" s="42"/>
      <c r="D215" s="42"/>
      <c r="E215" s="42"/>
      <c r="F215" s="42"/>
    </row>
    <row r="216">
      <c r="A216" s="42"/>
      <c r="B216" s="42"/>
      <c r="C216" s="42"/>
      <c r="D216" s="42"/>
      <c r="E216" s="42"/>
      <c r="F216" s="42"/>
    </row>
    <row r="217">
      <c r="A217" s="42"/>
      <c r="B217" s="42"/>
      <c r="C217" s="42"/>
      <c r="D217" s="42"/>
      <c r="E217" s="42"/>
      <c r="F217" s="42"/>
    </row>
    <row r="218">
      <c r="A218" s="42"/>
      <c r="B218" s="42"/>
      <c r="C218" s="42"/>
      <c r="D218" s="42"/>
      <c r="E218" s="42"/>
      <c r="F218" s="42"/>
    </row>
    <row r="219">
      <c r="A219" s="42"/>
      <c r="B219" s="42"/>
      <c r="C219" s="42"/>
      <c r="D219" s="42"/>
      <c r="E219" s="42"/>
      <c r="F219" s="42"/>
    </row>
    <row r="220">
      <c r="A220" s="42"/>
      <c r="B220" s="42"/>
      <c r="C220" s="42"/>
      <c r="D220" s="42"/>
      <c r="E220" s="42"/>
      <c r="F220" s="42"/>
    </row>
    <row r="221">
      <c r="A221" s="42"/>
      <c r="B221" s="42"/>
      <c r="C221" s="42"/>
      <c r="D221" s="42"/>
      <c r="E221" s="42"/>
      <c r="F221" s="42"/>
    </row>
    <row r="222">
      <c r="A222" s="42"/>
      <c r="B222" s="42"/>
      <c r="C222" s="42"/>
      <c r="D222" s="42"/>
      <c r="E222" s="42"/>
      <c r="F222" s="42"/>
    </row>
    <row r="223">
      <c r="A223" s="42"/>
      <c r="B223" s="42"/>
      <c r="C223" s="42"/>
      <c r="D223" s="42"/>
      <c r="E223" s="42"/>
      <c r="F223" s="42"/>
    </row>
    <row r="224">
      <c r="A224" s="42"/>
      <c r="B224" s="42"/>
      <c r="C224" s="42"/>
      <c r="D224" s="42"/>
      <c r="E224" s="42"/>
      <c r="F224" s="42"/>
    </row>
    <row r="225">
      <c r="A225" s="42"/>
      <c r="B225" s="42"/>
      <c r="C225" s="42"/>
      <c r="D225" s="42"/>
      <c r="E225" s="42"/>
      <c r="F225" s="42"/>
    </row>
    <row r="226">
      <c r="A226" s="42"/>
      <c r="B226" s="42"/>
      <c r="C226" s="42"/>
      <c r="D226" s="42"/>
      <c r="E226" s="42"/>
      <c r="F226" s="42"/>
    </row>
    <row r="227">
      <c r="A227" s="42"/>
      <c r="B227" s="42"/>
      <c r="C227" s="42"/>
      <c r="D227" s="42"/>
      <c r="E227" s="42"/>
      <c r="F227" s="42"/>
    </row>
    <row r="228">
      <c r="A228" s="42"/>
      <c r="B228" s="42"/>
      <c r="C228" s="42"/>
      <c r="D228" s="42"/>
      <c r="E228" s="42"/>
      <c r="F228" s="42"/>
    </row>
    <row r="229">
      <c r="A229" s="42"/>
      <c r="B229" s="42"/>
      <c r="C229" s="42"/>
      <c r="D229" s="42"/>
      <c r="E229" s="42"/>
      <c r="F229" s="42"/>
    </row>
    <row r="230">
      <c r="A230" s="42"/>
      <c r="B230" s="42"/>
      <c r="C230" s="42"/>
      <c r="D230" s="42"/>
      <c r="E230" s="42"/>
      <c r="F230" s="42"/>
    </row>
    <row r="231">
      <c r="A231" s="42"/>
      <c r="B231" s="42"/>
      <c r="C231" s="42"/>
      <c r="D231" s="42"/>
      <c r="E231" s="42"/>
      <c r="F231" s="42"/>
    </row>
    <row r="232">
      <c r="A232" s="42"/>
      <c r="B232" s="42"/>
      <c r="C232" s="42"/>
      <c r="D232" s="42"/>
      <c r="E232" s="42"/>
      <c r="F232" s="42"/>
    </row>
    <row r="233">
      <c r="A233" s="42"/>
      <c r="B233" s="42"/>
      <c r="C233" s="42"/>
      <c r="D233" s="42"/>
      <c r="E233" s="42"/>
      <c r="F233" s="42"/>
    </row>
    <row r="234">
      <c r="A234" s="42"/>
      <c r="B234" s="42"/>
      <c r="C234" s="42"/>
      <c r="D234" s="42"/>
      <c r="E234" s="42"/>
      <c r="F234" s="42"/>
    </row>
    <row r="235">
      <c r="A235" s="42"/>
      <c r="B235" s="42"/>
      <c r="C235" s="42"/>
      <c r="D235" s="42"/>
      <c r="E235" s="42"/>
      <c r="F235" s="42"/>
    </row>
    <row r="236">
      <c r="A236" s="42"/>
      <c r="B236" s="42"/>
      <c r="C236" s="42"/>
      <c r="D236" s="42"/>
      <c r="E236" s="42"/>
      <c r="F236" s="42"/>
    </row>
    <row r="237">
      <c r="A237" s="42"/>
      <c r="B237" s="42"/>
      <c r="C237" s="42"/>
      <c r="D237" s="42"/>
      <c r="E237" s="42"/>
      <c r="F237" s="42"/>
    </row>
    <row r="238">
      <c r="A238" s="42"/>
      <c r="B238" s="42"/>
      <c r="C238" s="42"/>
      <c r="D238" s="42"/>
      <c r="E238" s="42"/>
      <c r="F238" s="42"/>
    </row>
    <row r="239">
      <c r="A239" s="42"/>
      <c r="B239" s="42"/>
      <c r="C239" s="42"/>
      <c r="D239" s="42"/>
      <c r="E239" s="42"/>
      <c r="F239" s="42"/>
    </row>
    <row r="240">
      <c r="A240" s="42"/>
      <c r="B240" s="42"/>
      <c r="C240" s="42"/>
      <c r="D240" s="42"/>
      <c r="E240" s="42"/>
      <c r="F240" s="42"/>
    </row>
    <row r="241">
      <c r="A241" s="42"/>
      <c r="B241" s="42"/>
      <c r="C241" s="42"/>
      <c r="D241" s="42"/>
      <c r="E241" s="42"/>
      <c r="F241" s="42"/>
    </row>
    <row r="242">
      <c r="A242" s="42"/>
      <c r="B242" s="42"/>
      <c r="C242" s="42"/>
      <c r="D242" s="42"/>
      <c r="E242" s="42"/>
      <c r="F242" s="42"/>
    </row>
    <row r="243">
      <c r="A243" s="42"/>
      <c r="B243" s="42"/>
      <c r="C243" s="42"/>
      <c r="D243" s="42"/>
      <c r="E243" s="42"/>
      <c r="F243" s="42"/>
    </row>
    <row r="244">
      <c r="A244" s="42"/>
      <c r="B244" s="42"/>
      <c r="C244" s="42"/>
      <c r="D244" s="42"/>
      <c r="E244" s="42"/>
      <c r="F244" s="42"/>
    </row>
    <row r="245">
      <c r="A245" s="42"/>
      <c r="B245" s="42"/>
      <c r="C245" s="42"/>
      <c r="D245" s="42"/>
      <c r="E245" s="42"/>
      <c r="F245" s="42"/>
    </row>
    <row r="246">
      <c r="A246" s="42"/>
      <c r="B246" s="42"/>
      <c r="C246" s="42"/>
      <c r="D246" s="42"/>
      <c r="E246" s="42"/>
      <c r="F246" s="42"/>
    </row>
    <row r="247">
      <c r="A247" s="42"/>
      <c r="B247" s="42"/>
      <c r="C247" s="42"/>
      <c r="D247" s="42"/>
      <c r="E247" s="42"/>
      <c r="F247" s="42"/>
    </row>
    <row r="248">
      <c r="A248" s="42"/>
      <c r="B248" s="42"/>
      <c r="C248" s="42"/>
      <c r="D248" s="42"/>
      <c r="E248" s="42"/>
      <c r="F248" s="42"/>
    </row>
    <row r="249">
      <c r="A249" s="42"/>
      <c r="B249" s="42"/>
      <c r="C249" s="42"/>
      <c r="D249" s="42"/>
      <c r="E249" s="42"/>
      <c r="F249" s="42"/>
    </row>
    <row r="250">
      <c r="A250" s="42"/>
      <c r="B250" s="42"/>
      <c r="C250" s="42"/>
      <c r="D250" s="42"/>
      <c r="E250" s="42"/>
      <c r="F250" s="42"/>
    </row>
    <row r="251">
      <c r="A251" s="42"/>
      <c r="B251" s="42"/>
      <c r="C251" s="42"/>
      <c r="D251" s="42"/>
      <c r="E251" s="42"/>
      <c r="F251" s="42"/>
    </row>
    <row r="252">
      <c r="A252" s="42"/>
      <c r="B252" s="42"/>
      <c r="C252" s="42"/>
      <c r="D252" s="42"/>
      <c r="E252" s="42"/>
      <c r="F252" s="42"/>
    </row>
    <row r="253">
      <c r="A253" s="42"/>
      <c r="B253" s="42"/>
      <c r="C253" s="42"/>
      <c r="D253" s="42"/>
      <c r="E253" s="42"/>
      <c r="F253" s="42"/>
    </row>
    <row r="254">
      <c r="A254" s="42"/>
      <c r="B254" s="42"/>
      <c r="C254" s="42"/>
      <c r="D254" s="42"/>
      <c r="E254" s="42"/>
      <c r="F254" s="42"/>
    </row>
    <row r="255">
      <c r="A255" s="42"/>
      <c r="B255" s="42"/>
      <c r="C255" s="42"/>
      <c r="D255" s="42"/>
      <c r="E255" s="42"/>
      <c r="F255" s="42"/>
    </row>
    <row r="256">
      <c r="A256" s="42"/>
      <c r="B256" s="42"/>
      <c r="C256" s="42"/>
      <c r="D256" s="42"/>
      <c r="E256" s="42"/>
      <c r="F256" s="42"/>
    </row>
    <row r="257">
      <c r="A257" s="42"/>
      <c r="B257" s="42"/>
      <c r="C257" s="42"/>
      <c r="D257" s="42"/>
      <c r="E257" s="42"/>
      <c r="F257" s="42"/>
    </row>
    <row r="258">
      <c r="A258" s="42"/>
      <c r="B258" s="42"/>
      <c r="C258" s="42"/>
      <c r="D258" s="42"/>
      <c r="E258" s="42"/>
      <c r="F258" s="42"/>
    </row>
    <row r="259">
      <c r="A259" s="42"/>
      <c r="B259" s="42"/>
      <c r="C259" s="42"/>
      <c r="D259" s="42"/>
      <c r="E259" s="42"/>
      <c r="F259" s="42"/>
    </row>
    <row r="260">
      <c r="A260" s="42"/>
      <c r="B260" s="42"/>
      <c r="C260" s="42"/>
      <c r="D260" s="42"/>
      <c r="E260" s="42"/>
      <c r="F260" s="42"/>
    </row>
    <row r="261">
      <c r="A261" s="42"/>
      <c r="B261" s="42"/>
      <c r="C261" s="42"/>
      <c r="D261" s="42"/>
      <c r="E261" s="42"/>
      <c r="F261" s="42"/>
    </row>
    <row r="262">
      <c r="A262" s="42"/>
      <c r="B262" s="42"/>
      <c r="C262" s="42"/>
      <c r="D262" s="42"/>
      <c r="E262" s="42"/>
      <c r="F262" s="42"/>
    </row>
    <row r="263">
      <c r="A263" s="42"/>
      <c r="B263" s="42"/>
      <c r="C263" s="42"/>
      <c r="D263" s="42"/>
      <c r="E263" s="42"/>
      <c r="F263" s="42"/>
    </row>
    <row r="264">
      <c r="A264" s="42"/>
      <c r="B264" s="42"/>
      <c r="C264" s="42"/>
      <c r="D264" s="42"/>
      <c r="E264" s="42"/>
      <c r="F264" s="42"/>
    </row>
    <row r="265">
      <c r="A265" s="42"/>
      <c r="B265" s="42"/>
      <c r="C265" s="42"/>
      <c r="D265" s="42"/>
      <c r="E265" s="42"/>
      <c r="F265" s="42"/>
    </row>
    <row r="266">
      <c r="A266" s="42"/>
      <c r="B266" s="42"/>
      <c r="C266" s="42"/>
      <c r="D266" s="42"/>
      <c r="E266" s="42"/>
      <c r="F266" s="42"/>
    </row>
    <row r="267">
      <c r="A267" s="42"/>
      <c r="B267" s="42"/>
      <c r="C267" s="42"/>
      <c r="D267" s="42"/>
      <c r="E267" s="42"/>
      <c r="F267" s="42"/>
    </row>
    <row r="268">
      <c r="A268" s="42"/>
      <c r="B268" s="42"/>
      <c r="C268" s="42"/>
      <c r="D268" s="42"/>
      <c r="E268" s="42"/>
      <c r="F268" s="42"/>
    </row>
    <row r="269">
      <c r="A269" s="42"/>
      <c r="B269" s="42"/>
      <c r="C269" s="42"/>
      <c r="D269" s="42"/>
      <c r="E269" s="42"/>
      <c r="F269" s="42"/>
    </row>
    <row r="270">
      <c r="A270" s="42"/>
      <c r="B270" s="42"/>
      <c r="C270" s="42"/>
      <c r="D270" s="42"/>
      <c r="E270" s="42"/>
      <c r="F270" s="42"/>
    </row>
    <row r="271">
      <c r="A271" s="42"/>
      <c r="B271" s="42"/>
      <c r="C271" s="42"/>
      <c r="D271" s="42"/>
      <c r="E271" s="42"/>
      <c r="F271" s="42"/>
    </row>
    <row r="272">
      <c r="A272" s="42"/>
      <c r="B272" s="42"/>
      <c r="C272" s="42"/>
      <c r="D272" s="42"/>
      <c r="E272" s="42"/>
      <c r="F272" s="42"/>
    </row>
    <row r="273">
      <c r="A273" s="42"/>
      <c r="B273" s="42"/>
      <c r="C273" s="42"/>
      <c r="D273" s="42"/>
      <c r="E273" s="42"/>
      <c r="F273" s="42"/>
    </row>
    <row r="274">
      <c r="A274" s="42"/>
      <c r="B274" s="42"/>
      <c r="C274" s="42"/>
      <c r="D274" s="42"/>
      <c r="E274" s="42"/>
      <c r="F274" s="42"/>
    </row>
    <row r="275">
      <c r="A275" s="42"/>
      <c r="B275" s="42"/>
      <c r="C275" s="42"/>
      <c r="D275" s="42"/>
      <c r="E275" s="42"/>
      <c r="F275" s="42"/>
    </row>
    <row r="276">
      <c r="A276" s="42"/>
      <c r="B276" s="42"/>
      <c r="C276" s="42"/>
      <c r="D276" s="42"/>
      <c r="E276" s="42"/>
      <c r="F276" s="42"/>
    </row>
    <row r="277">
      <c r="A277" s="42"/>
      <c r="B277" s="42"/>
      <c r="C277" s="42"/>
      <c r="D277" s="42"/>
      <c r="E277" s="42"/>
      <c r="F277" s="42"/>
    </row>
    <row r="278">
      <c r="A278" s="42"/>
      <c r="B278" s="42"/>
      <c r="C278" s="42"/>
      <c r="D278" s="42"/>
      <c r="E278" s="42"/>
      <c r="F278" s="42"/>
    </row>
    <row r="279">
      <c r="A279" s="42"/>
      <c r="B279" s="42"/>
      <c r="C279" s="42"/>
      <c r="D279" s="42"/>
      <c r="E279" s="42"/>
      <c r="F279" s="42"/>
    </row>
    <row r="280">
      <c r="A280" s="42"/>
      <c r="B280" s="42"/>
      <c r="C280" s="42"/>
      <c r="D280" s="42"/>
      <c r="E280" s="42"/>
      <c r="F280" s="42"/>
    </row>
    <row r="281">
      <c r="A281" s="42"/>
      <c r="B281" s="42"/>
      <c r="C281" s="42"/>
      <c r="D281" s="42"/>
      <c r="E281" s="42"/>
      <c r="F281" s="42"/>
    </row>
    <row r="282">
      <c r="A282" s="42"/>
      <c r="B282" s="42"/>
      <c r="C282" s="42"/>
      <c r="D282" s="42"/>
      <c r="E282" s="42"/>
      <c r="F282" s="42"/>
    </row>
    <row r="283">
      <c r="A283" s="42"/>
      <c r="B283" s="42"/>
      <c r="C283" s="42"/>
      <c r="D283" s="42"/>
      <c r="E283" s="42"/>
      <c r="F283" s="42"/>
    </row>
    <row r="284">
      <c r="A284" s="42"/>
      <c r="B284" s="42"/>
      <c r="C284" s="42"/>
      <c r="D284" s="42"/>
      <c r="E284" s="42"/>
      <c r="F284" s="42"/>
    </row>
    <row r="285">
      <c r="A285" s="42"/>
      <c r="B285" s="42"/>
      <c r="C285" s="42"/>
      <c r="D285" s="42"/>
      <c r="E285" s="42"/>
      <c r="F285" s="42"/>
    </row>
    <row r="286">
      <c r="A286" s="42"/>
      <c r="B286" s="42"/>
      <c r="C286" s="42"/>
      <c r="D286" s="42"/>
      <c r="E286" s="42"/>
      <c r="F286" s="42"/>
    </row>
    <row r="287">
      <c r="A287" s="42"/>
      <c r="B287" s="42"/>
      <c r="C287" s="42"/>
      <c r="D287" s="42"/>
      <c r="E287" s="42"/>
      <c r="F287" s="42"/>
    </row>
    <row r="288">
      <c r="A288" s="42"/>
      <c r="B288" s="42"/>
      <c r="C288" s="42"/>
      <c r="D288" s="42"/>
      <c r="E288" s="42"/>
      <c r="F288" s="42"/>
    </row>
    <row r="289">
      <c r="A289" s="42"/>
      <c r="B289" s="42"/>
      <c r="C289" s="42"/>
      <c r="D289" s="42"/>
      <c r="E289" s="42"/>
      <c r="F289" s="42"/>
    </row>
    <row r="290">
      <c r="A290" s="42"/>
      <c r="B290" s="42"/>
      <c r="C290" s="42"/>
      <c r="D290" s="42"/>
      <c r="E290" s="42"/>
      <c r="F290" s="42"/>
    </row>
    <row r="291">
      <c r="A291" s="42"/>
      <c r="B291" s="42"/>
      <c r="C291" s="42"/>
      <c r="D291" s="42"/>
      <c r="E291" s="42"/>
      <c r="F291" s="42"/>
    </row>
    <row r="292">
      <c r="A292" s="42"/>
      <c r="B292" s="42"/>
      <c r="C292" s="42"/>
      <c r="D292" s="42"/>
      <c r="E292" s="42"/>
      <c r="F292" s="42"/>
    </row>
    <row r="293">
      <c r="A293" s="42"/>
      <c r="B293" s="42"/>
      <c r="C293" s="42"/>
      <c r="D293" s="42"/>
      <c r="E293" s="42"/>
      <c r="F293" s="42"/>
    </row>
    <row r="294">
      <c r="A294" s="42"/>
      <c r="B294" s="42"/>
      <c r="C294" s="42"/>
      <c r="D294" s="42"/>
      <c r="E294" s="42"/>
      <c r="F294" s="42"/>
    </row>
    <row r="295">
      <c r="A295" s="42"/>
      <c r="B295" s="42"/>
      <c r="C295" s="42"/>
      <c r="D295" s="42"/>
      <c r="E295" s="42"/>
      <c r="F295" s="42"/>
    </row>
    <row r="296">
      <c r="A296" s="42"/>
      <c r="B296" s="42"/>
      <c r="C296" s="42"/>
      <c r="D296" s="42"/>
      <c r="E296" s="42"/>
      <c r="F296" s="42"/>
    </row>
    <row r="297">
      <c r="A297" s="42"/>
      <c r="B297" s="42"/>
      <c r="C297" s="42"/>
      <c r="D297" s="42"/>
      <c r="E297" s="42"/>
      <c r="F297" s="42"/>
    </row>
    <row r="298">
      <c r="A298" s="42"/>
      <c r="B298" s="42"/>
      <c r="C298" s="42"/>
      <c r="D298" s="42"/>
      <c r="E298" s="42"/>
      <c r="F298" s="42"/>
    </row>
    <row r="299">
      <c r="A299" s="42"/>
      <c r="B299" s="42"/>
      <c r="C299" s="42"/>
      <c r="D299" s="42"/>
      <c r="E299" s="42"/>
      <c r="F299" s="42"/>
    </row>
    <row r="300">
      <c r="A300" s="42"/>
      <c r="B300" s="42"/>
      <c r="C300" s="42"/>
      <c r="D300" s="42"/>
      <c r="E300" s="42"/>
      <c r="F300" s="42"/>
    </row>
    <row r="301">
      <c r="A301" s="42"/>
      <c r="B301" s="42"/>
      <c r="C301" s="42"/>
      <c r="D301" s="42"/>
      <c r="E301" s="42"/>
      <c r="F301" s="42"/>
    </row>
    <row r="302">
      <c r="A302" s="42"/>
      <c r="B302" s="42"/>
      <c r="C302" s="42"/>
      <c r="D302" s="42"/>
      <c r="E302" s="42"/>
      <c r="F302" s="42"/>
    </row>
    <row r="303">
      <c r="A303" s="42"/>
      <c r="B303" s="42"/>
      <c r="C303" s="42"/>
      <c r="D303" s="42"/>
      <c r="E303" s="42"/>
      <c r="F303" s="42"/>
    </row>
    <row r="304">
      <c r="A304" s="42"/>
      <c r="B304" s="42"/>
      <c r="C304" s="42"/>
      <c r="D304" s="42"/>
      <c r="E304" s="42"/>
      <c r="F304" s="42"/>
    </row>
    <row r="305">
      <c r="A305" s="42"/>
      <c r="B305" s="42"/>
      <c r="C305" s="42"/>
      <c r="D305" s="42"/>
      <c r="E305" s="42"/>
      <c r="F305" s="42"/>
    </row>
    <row r="306">
      <c r="A306" s="42"/>
      <c r="B306" s="42"/>
      <c r="C306" s="42"/>
      <c r="D306" s="42"/>
      <c r="E306" s="42"/>
      <c r="F306" s="42"/>
    </row>
    <row r="307">
      <c r="A307" s="42"/>
      <c r="B307" s="42"/>
      <c r="C307" s="42"/>
      <c r="D307" s="42"/>
      <c r="E307" s="42"/>
      <c r="F307" s="42"/>
    </row>
    <row r="308">
      <c r="A308" s="42"/>
      <c r="B308" s="42"/>
      <c r="C308" s="42"/>
      <c r="D308" s="42"/>
      <c r="E308" s="42"/>
      <c r="F308" s="42"/>
    </row>
    <row r="309">
      <c r="A309" s="42"/>
      <c r="B309" s="42"/>
      <c r="C309" s="42"/>
      <c r="D309" s="42"/>
      <c r="E309" s="42"/>
      <c r="F309" s="42"/>
    </row>
    <row r="310">
      <c r="A310" s="42"/>
      <c r="B310" s="42"/>
      <c r="C310" s="42"/>
      <c r="D310" s="42"/>
      <c r="E310" s="42"/>
      <c r="F310" s="42"/>
    </row>
    <row r="311">
      <c r="A311" s="42"/>
      <c r="B311" s="42"/>
      <c r="C311" s="42"/>
      <c r="D311" s="42"/>
      <c r="E311" s="42"/>
      <c r="F311" s="42"/>
    </row>
    <row r="312">
      <c r="A312" s="42"/>
      <c r="B312" s="42"/>
      <c r="C312" s="42"/>
      <c r="D312" s="42"/>
      <c r="E312" s="42"/>
      <c r="F312" s="42"/>
    </row>
    <row r="313">
      <c r="A313" s="42"/>
      <c r="B313" s="42"/>
      <c r="C313" s="42"/>
      <c r="D313" s="42"/>
      <c r="E313" s="42"/>
      <c r="F313" s="42"/>
    </row>
    <row r="314">
      <c r="A314" s="42"/>
      <c r="B314" s="42"/>
      <c r="C314" s="42"/>
      <c r="D314" s="42"/>
      <c r="E314" s="42"/>
      <c r="F314" s="42"/>
    </row>
    <row r="315">
      <c r="A315" s="42"/>
      <c r="B315" s="42"/>
      <c r="C315" s="42"/>
      <c r="D315" s="42"/>
      <c r="E315" s="42"/>
      <c r="F315" s="42"/>
    </row>
    <row r="316">
      <c r="A316" s="42"/>
      <c r="B316" s="42"/>
      <c r="C316" s="42"/>
      <c r="D316" s="42"/>
      <c r="E316" s="42"/>
      <c r="F316" s="42"/>
    </row>
    <row r="317">
      <c r="A317" s="42"/>
      <c r="B317" s="42"/>
      <c r="C317" s="42"/>
      <c r="D317" s="42"/>
      <c r="E317" s="42"/>
      <c r="F317" s="42"/>
    </row>
    <row r="318">
      <c r="A318" s="42"/>
      <c r="B318" s="42"/>
      <c r="C318" s="42"/>
      <c r="D318" s="42"/>
      <c r="E318" s="42"/>
      <c r="F318" s="42"/>
    </row>
    <row r="319">
      <c r="A319" s="42"/>
      <c r="B319" s="42"/>
      <c r="C319" s="42"/>
      <c r="D319" s="42"/>
      <c r="E319" s="42"/>
      <c r="F319" s="42"/>
    </row>
    <row r="320">
      <c r="A320" s="42"/>
      <c r="B320" s="42"/>
      <c r="C320" s="42"/>
      <c r="D320" s="42"/>
      <c r="E320" s="42"/>
      <c r="F320" s="42"/>
    </row>
    <row r="321">
      <c r="A321" s="42"/>
      <c r="B321" s="42"/>
      <c r="C321" s="42"/>
      <c r="D321" s="42"/>
      <c r="E321" s="42"/>
      <c r="F321" s="42"/>
    </row>
    <row r="322">
      <c r="A322" s="42"/>
      <c r="B322" s="42"/>
      <c r="C322" s="42"/>
      <c r="D322" s="42"/>
      <c r="E322" s="42"/>
      <c r="F322" s="42"/>
    </row>
    <row r="323">
      <c r="A323" s="42"/>
      <c r="B323" s="42"/>
      <c r="C323" s="42"/>
      <c r="D323" s="42"/>
      <c r="E323" s="42"/>
      <c r="F323" s="42"/>
    </row>
    <row r="324">
      <c r="A324" s="42"/>
      <c r="B324" s="42"/>
      <c r="C324" s="42"/>
      <c r="D324" s="42"/>
      <c r="E324" s="42"/>
      <c r="F324" s="42"/>
    </row>
    <row r="325">
      <c r="A325" s="42"/>
      <c r="B325" s="42"/>
      <c r="C325" s="42"/>
      <c r="D325" s="42"/>
      <c r="E325" s="42"/>
      <c r="F325" s="42"/>
    </row>
    <row r="326">
      <c r="A326" s="42"/>
      <c r="B326" s="42"/>
      <c r="C326" s="42"/>
      <c r="D326" s="42"/>
      <c r="E326" s="42"/>
      <c r="F326" s="42"/>
    </row>
    <row r="327">
      <c r="A327" s="42"/>
      <c r="B327" s="42"/>
      <c r="C327" s="42"/>
      <c r="D327" s="42"/>
      <c r="E327" s="42"/>
      <c r="F327" s="42"/>
    </row>
    <row r="328">
      <c r="A328" s="42"/>
      <c r="B328" s="42"/>
      <c r="C328" s="42"/>
      <c r="D328" s="42"/>
      <c r="E328" s="42"/>
      <c r="F328" s="42"/>
    </row>
    <row r="329">
      <c r="A329" s="42"/>
      <c r="B329" s="42"/>
      <c r="C329" s="42"/>
      <c r="D329" s="42"/>
      <c r="E329" s="42"/>
      <c r="F329" s="42"/>
    </row>
    <row r="330">
      <c r="A330" s="42"/>
      <c r="B330" s="42"/>
      <c r="C330" s="42"/>
      <c r="D330" s="42"/>
      <c r="E330" s="42"/>
      <c r="F330" s="42"/>
    </row>
    <row r="331">
      <c r="A331" s="42"/>
      <c r="B331" s="42"/>
      <c r="C331" s="42"/>
      <c r="D331" s="42"/>
      <c r="E331" s="42"/>
      <c r="F331" s="42"/>
    </row>
    <row r="332">
      <c r="A332" s="42"/>
      <c r="B332" s="42"/>
      <c r="C332" s="42"/>
      <c r="D332" s="42"/>
      <c r="E332" s="42"/>
      <c r="F332" s="42"/>
    </row>
    <row r="333">
      <c r="A333" s="42"/>
      <c r="B333" s="42"/>
      <c r="C333" s="42"/>
      <c r="D333" s="42"/>
      <c r="E333" s="42"/>
      <c r="F333" s="42"/>
    </row>
    <row r="334">
      <c r="A334" s="42"/>
      <c r="B334" s="42"/>
      <c r="C334" s="42"/>
      <c r="D334" s="42"/>
      <c r="E334" s="42"/>
      <c r="F334" s="42"/>
    </row>
    <row r="335">
      <c r="A335" s="42"/>
      <c r="B335" s="42"/>
      <c r="C335" s="42"/>
      <c r="D335" s="42"/>
      <c r="E335" s="42"/>
      <c r="F335" s="42"/>
    </row>
    <row r="336">
      <c r="A336" s="42"/>
      <c r="B336" s="42"/>
      <c r="C336" s="42"/>
      <c r="D336" s="42"/>
      <c r="E336" s="42"/>
      <c r="F336" s="42"/>
    </row>
    <row r="337">
      <c r="A337" s="42"/>
      <c r="B337" s="42"/>
      <c r="C337" s="42"/>
      <c r="D337" s="42"/>
      <c r="E337" s="42"/>
      <c r="F337" s="42"/>
    </row>
    <row r="338">
      <c r="A338" s="42"/>
      <c r="B338" s="42"/>
      <c r="C338" s="42"/>
      <c r="D338" s="42"/>
      <c r="E338" s="42"/>
      <c r="F338" s="42"/>
    </row>
    <row r="339">
      <c r="A339" s="42"/>
      <c r="B339" s="42"/>
      <c r="C339" s="42"/>
      <c r="D339" s="42"/>
      <c r="E339" s="42"/>
      <c r="F339" s="42"/>
    </row>
    <row r="340">
      <c r="A340" s="42"/>
      <c r="B340" s="42"/>
      <c r="C340" s="42"/>
      <c r="D340" s="42"/>
      <c r="E340" s="42"/>
      <c r="F340" s="42"/>
    </row>
    <row r="341">
      <c r="A341" s="42"/>
      <c r="B341" s="42"/>
      <c r="C341" s="42"/>
      <c r="D341" s="42"/>
      <c r="E341" s="42"/>
      <c r="F341" s="42"/>
    </row>
    <row r="342">
      <c r="A342" s="42"/>
      <c r="B342" s="42"/>
      <c r="C342" s="42"/>
      <c r="D342" s="42"/>
      <c r="E342" s="42"/>
      <c r="F342" s="42"/>
    </row>
    <row r="343">
      <c r="A343" s="42"/>
      <c r="B343" s="42"/>
      <c r="C343" s="42"/>
      <c r="D343" s="42"/>
      <c r="E343" s="42"/>
      <c r="F343" s="42"/>
    </row>
    <row r="344">
      <c r="A344" s="42"/>
      <c r="B344" s="42"/>
      <c r="C344" s="42"/>
      <c r="D344" s="42"/>
      <c r="E344" s="42"/>
      <c r="F344" s="42"/>
    </row>
    <row r="345">
      <c r="A345" s="42"/>
      <c r="B345" s="42"/>
      <c r="C345" s="42"/>
      <c r="D345" s="42"/>
      <c r="E345" s="42"/>
      <c r="F345" s="42"/>
    </row>
    <row r="346">
      <c r="A346" s="42"/>
      <c r="B346" s="42"/>
      <c r="C346" s="42"/>
      <c r="D346" s="42"/>
      <c r="E346" s="42"/>
      <c r="F346" s="42"/>
    </row>
    <row r="347">
      <c r="A347" s="42"/>
      <c r="B347" s="42"/>
      <c r="C347" s="42"/>
      <c r="D347" s="42"/>
      <c r="E347" s="42"/>
      <c r="F347" s="42"/>
    </row>
    <row r="348">
      <c r="A348" s="42"/>
      <c r="B348" s="42"/>
      <c r="C348" s="42"/>
      <c r="D348" s="42"/>
      <c r="E348" s="42"/>
      <c r="F348" s="42"/>
    </row>
    <row r="349">
      <c r="A349" s="42"/>
      <c r="B349" s="42"/>
      <c r="C349" s="42"/>
      <c r="D349" s="42"/>
      <c r="E349" s="42"/>
      <c r="F349" s="42"/>
    </row>
    <row r="350">
      <c r="A350" s="42"/>
      <c r="B350" s="42"/>
      <c r="C350" s="42"/>
      <c r="D350" s="42"/>
      <c r="E350" s="42"/>
      <c r="F350" s="42"/>
    </row>
    <row r="351">
      <c r="A351" s="42"/>
      <c r="B351" s="42"/>
      <c r="C351" s="42"/>
      <c r="D351" s="42"/>
      <c r="E351" s="42"/>
      <c r="F351" s="42"/>
    </row>
    <row r="352">
      <c r="A352" s="42"/>
      <c r="B352" s="42"/>
      <c r="C352" s="42"/>
      <c r="D352" s="42"/>
      <c r="E352" s="42"/>
      <c r="F352" s="42"/>
    </row>
    <row r="353">
      <c r="A353" s="42"/>
      <c r="B353" s="42"/>
      <c r="C353" s="42"/>
      <c r="D353" s="42"/>
      <c r="E353" s="42"/>
      <c r="F353" s="42"/>
    </row>
    <row r="354">
      <c r="A354" s="42"/>
      <c r="B354" s="42"/>
      <c r="C354" s="42"/>
      <c r="D354" s="42"/>
      <c r="E354" s="42"/>
      <c r="F354" s="42"/>
    </row>
    <row r="355">
      <c r="A355" s="42"/>
      <c r="B355" s="42"/>
      <c r="C355" s="42"/>
      <c r="D355" s="42"/>
      <c r="E355" s="42"/>
      <c r="F355" s="42"/>
    </row>
    <row r="356">
      <c r="A356" s="42"/>
      <c r="B356" s="42"/>
      <c r="C356" s="42"/>
      <c r="D356" s="42"/>
      <c r="E356" s="42"/>
      <c r="F356" s="42"/>
    </row>
    <row r="357">
      <c r="A357" s="42"/>
      <c r="B357" s="42"/>
      <c r="C357" s="42"/>
      <c r="D357" s="42"/>
      <c r="E357" s="42"/>
      <c r="F357" s="42"/>
    </row>
    <row r="358">
      <c r="A358" s="42"/>
      <c r="B358" s="42"/>
      <c r="C358" s="42"/>
      <c r="D358" s="42"/>
      <c r="E358" s="42"/>
      <c r="F358" s="42"/>
    </row>
    <row r="359">
      <c r="A359" s="42"/>
      <c r="B359" s="42"/>
      <c r="C359" s="42"/>
      <c r="D359" s="42"/>
      <c r="E359" s="42"/>
      <c r="F359" s="42"/>
    </row>
    <row r="360">
      <c r="A360" s="42"/>
      <c r="B360" s="42"/>
      <c r="C360" s="42"/>
      <c r="D360" s="42"/>
      <c r="E360" s="42"/>
      <c r="F360" s="42"/>
    </row>
    <row r="361">
      <c r="A361" s="42"/>
      <c r="B361" s="42"/>
      <c r="C361" s="42"/>
      <c r="D361" s="42"/>
      <c r="E361" s="42"/>
      <c r="F361" s="42"/>
    </row>
    <row r="362">
      <c r="A362" s="42"/>
      <c r="B362" s="42"/>
      <c r="C362" s="42"/>
      <c r="D362" s="42"/>
      <c r="E362" s="42"/>
      <c r="F362" s="42"/>
    </row>
    <row r="363">
      <c r="A363" s="42"/>
      <c r="B363" s="42"/>
      <c r="C363" s="42"/>
      <c r="D363" s="42"/>
      <c r="E363" s="42"/>
      <c r="F363" s="42"/>
    </row>
    <row r="364">
      <c r="A364" s="42"/>
      <c r="B364" s="42"/>
      <c r="C364" s="42"/>
      <c r="D364" s="42"/>
      <c r="E364" s="42"/>
      <c r="F364" s="42"/>
    </row>
    <row r="365">
      <c r="A365" s="42"/>
      <c r="B365" s="42"/>
      <c r="C365" s="42"/>
      <c r="D365" s="42"/>
      <c r="E365" s="42"/>
      <c r="F365" s="42"/>
    </row>
    <row r="366">
      <c r="A366" s="42"/>
      <c r="B366" s="42"/>
      <c r="C366" s="42"/>
      <c r="D366" s="42"/>
      <c r="E366" s="42"/>
      <c r="F366" s="42"/>
    </row>
    <row r="367">
      <c r="A367" s="42"/>
      <c r="B367" s="42"/>
      <c r="C367" s="42"/>
      <c r="D367" s="42"/>
      <c r="E367" s="42"/>
      <c r="F367" s="42"/>
    </row>
    <row r="368">
      <c r="A368" s="42"/>
      <c r="B368" s="42"/>
      <c r="C368" s="42"/>
      <c r="D368" s="42"/>
      <c r="E368" s="42"/>
      <c r="F368" s="42"/>
    </row>
    <row r="369">
      <c r="A369" s="42"/>
      <c r="B369" s="42"/>
      <c r="C369" s="42"/>
      <c r="D369" s="42"/>
      <c r="E369" s="42"/>
      <c r="F369" s="42"/>
    </row>
    <row r="370">
      <c r="A370" s="42"/>
      <c r="B370" s="42"/>
      <c r="C370" s="42"/>
      <c r="D370" s="42"/>
      <c r="E370" s="42"/>
      <c r="F370" s="42"/>
    </row>
    <row r="371">
      <c r="A371" s="42"/>
      <c r="B371" s="42"/>
      <c r="C371" s="42"/>
      <c r="D371" s="42"/>
      <c r="E371" s="42"/>
      <c r="F371" s="42"/>
    </row>
    <row r="372">
      <c r="A372" s="42"/>
      <c r="B372" s="42"/>
      <c r="C372" s="42"/>
      <c r="D372" s="42"/>
      <c r="E372" s="42"/>
      <c r="F372" s="42"/>
    </row>
    <row r="373">
      <c r="A373" s="42"/>
      <c r="B373" s="42"/>
      <c r="C373" s="42"/>
      <c r="D373" s="42"/>
      <c r="E373" s="42"/>
      <c r="F373" s="42"/>
    </row>
    <row r="374">
      <c r="A374" s="42"/>
      <c r="B374" s="42"/>
      <c r="C374" s="42"/>
      <c r="D374" s="42"/>
      <c r="E374" s="42"/>
      <c r="F374" s="42"/>
    </row>
    <row r="375">
      <c r="A375" s="42"/>
      <c r="B375" s="42"/>
      <c r="C375" s="42"/>
      <c r="D375" s="42"/>
      <c r="E375" s="42"/>
      <c r="F375" s="42"/>
    </row>
    <row r="376">
      <c r="A376" s="42"/>
      <c r="B376" s="42"/>
      <c r="C376" s="42"/>
      <c r="D376" s="42"/>
      <c r="E376" s="42"/>
      <c r="F376" s="42"/>
    </row>
    <row r="377">
      <c r="A377" s="42"/>
      <c r="B377" s="42"/>
      <c r="C377" s="42"/>
      <c r="D377" s="42"/>
      <c r="E377" s="42"/>
      <c r="F377" s="42"/>
    </row>
    <row r="378">
      <c r="A378" s="42"/>
      <c r="B378" s="42"/>
      <c r="C378" s="42"/>
      <c r="D378" s="42"/>
      <c r="E378" s="42"/>
      <c r="F378" s="42"/>
    </row>
    <row r="379">
      <c r="A379" s="42"/>
      <c r="B379" s="42"/>
      <c r="C379" s="42"/>
      <c r="D379" s="42"/>
      <c r="E379" s="42"/>
      <c r="F379" s="42"/>
    </row>
    <row r="380">
      <c r="A380" s="42"/>
      <c r="B380" s="42"/>
      <c r="C380" s="42"/>
      <c r="D380" s="42"/>
      <c r="E380" s="42"/>
      <c r="F380" s="42"/>
    </row>
    <row r="381">
      <c r="A381" s="42"/>
      <c r="B381" s="42"/>
      <c r="C381" s="42"/>
      <c r="D381" s="42"/>
      <c r="E381" s="42"/>
      <c r="F381" s="42"/>
    </row>
    <row r="382">
      <c r="A382" s="42"/>
      <c r="B382" s="42"/>
      <c r="C382" s="42"/>
      <c r="D382" s="42"/>
      <c r="E382" s="42"/>
      <c r="F382" s="42"/>
    </row>
    <row r="383">
      <c r="A383" s="42"/>
      <c r="B383" s="42"/>
      <c r="C383" s="42"/>
      <c r="D383" s="42"/>
      <c r="E383" s="42"/>
      <c r="F383" s="42"/>
    </row>
    <row r="384">
      <c r="A384" s="42"/>
      <c r="B384" s="42"/>
      <c r="C384" s="42"/>
      <c r="D384" s="42"/>
      <c r="E384" s="42"/>
      <c r="F384" s="42"/>
    </row>
    <row r="385">
      <c r="A385" s="42"/>
      <c r="B385" s="42"/>
      <c r="C385" s="42"/>
      <c r="D385" s="42"/>
      <c r="E385" s="42"/>
      <c r="F385" s="42"/>
    </row>
    <row r="386">
      <c r="A386" s="42"/>
      <c r="B386" s="42"/>
      <c r="C386" s="42"/>
      <c r="D386" s="42"/>
      <c r="E386" s="42"/>
      <c r="F386" s="42"/>
    </row>
    <row r="387">
      <c r="A387" s="42"/>
      <c r="B387" s="42"/>
      <c r="C387" s="42"/>
      <c r="D387" s="42"/>
      <c r="E387" s="42"/>
      <c r="F387" s="42"/>
    </row>
    <row r="388">
      <c r="A388" s="42"/>
      <c r="B388" s="42"/>
      <c r="C388" s="42"/>
      <c r="D388" s="42"/>
      <c r="E388" s="42"/>
      <c r="F388" s="42"/>
    </row>
    <row r="389">
      <c r="A389" s="42"/>
      <c r="B389" s="42"/>
      <c r="C389" s="42"/>
      <c r="D389" s="42"/>
      <c r="E389" s="42"/>
      <c r="F389" s="42"/>
    </row>
    <row r="390">
      <c r="A390" s="42"/>
      <c r="B390" s="42"/>
      <c r="C390" s="42"/>
      <c r="D390" s="42"/>
      <c r="E390" s="42"/>
      <c r="F390" s="42"/>
    </row>
    <row r="391">
      <c r="A391" s="42"/>
      <c r="B391" s="42"/>
      <c r="C391" s="42"/>
      <c r="D391" s="42"/>
      <c r="E391" s="42"/>
      <c r="F391" s="42"/>
    </row>
    <row r="392">
      <c r="A392" s="42"/>
      <c r="B392" s="42"/>
      <c r="C392" s="42"/>
      <c r="D392" s="42"/>
      <c r="E392" s="42"/>
      <c r="F392" s="42"/>
    </row>
    <row r="393">
      <c r="A393" s="42"/>
      <c r="B393" s="42"/>
      <c r="C393" s="42"/>
      <c r="D393" s="42"/>
      <c r="E393" s="42"/>
      <c r="F393" s="42"/>
    </row>
    <row r="394">
      <c r="A394" s="42"/>
      <c r="B394" s="42"/>
      <c r="C394" s="42"/>
      <c r="D394" s="42"/>
      <c r="E394" s="42"/>
      <c r="F394" s="42"/>
    </row>
    <row r="395">
      <c r="A395" s="42"/>
      <c r="B395" s="42"/>
      <c r="C395" s="42"/>
      <c r="D395" s="42"/>
      <c r="E395" s="42"/>
      <c r="F395" s="42"/>
    </row>
    <row r="396">
      <c r="A396" s="42"/>
      <c r="B396" s="42"/>
      <c r="C396" s="42"/>
      <c r="D396" s="42"/>
      <c r="E396" s="42"/>
      <c r="F396" s="42"/>
    </row>
    <row r="397">
      <c r="A397" s="42"/>
      <c r="B397" s="42"/>
      <c r="C397" s="42"/>
      <c r="D397" s="42"/>
      <c r="E397" s="42"/>
      <c r="F397" s="42"/>
    </row>
    <row r="398">
      <c r="A398" s="42"/>
      <c r="B398" s="42"/>
      <c r="C398" s="42"/>
      <c r="D398" s="42"/>
      <c r="E398" s="42"/>
      <c r="F398" s="42"/>
    </row>
    <row r="399">
      <c r="A399" s="42"/>
      <c r="B399" s="42"/>
      <c r="C399" s="42"/>
      <c r="D399" s="42"/>
      <c r="E399" s="42"/>
      <c r="F399" s="42"/>
    </row>
    <row r="400">
      <c r="A400" s="42"/>
      <c r="B400" s="42"/>
      <c r="C400" s="42"/>
      <c r="D400" s="42"/>
      <c r="E400" s="42"/>
      <c r="F400" s="42"/>
    </row>
    <row r="401">
      <c r="A401" s="42"/>
      <c r="B401" s="42"/>
      <c r="C401" s="42"/>
      <c r="D401" s="42"/>
      <c r="E401" s="42"/>
      <c r="F401" s="42"/>
    </row>
    <row r="402">
      <c r="A402" s="42"/>
      <c r="B402" s="42"/>
      <c r="C402" s="42"/>
      <c r="D402" s="42"/>
      <c r="E402" s="42"/>
      <c r="F402" s="42"/>
    </row>
    <row r="403">
      <c r="A403" s="42"/>
      <c r="B403" s="42"/>
      <c r="C403" s="42"/>
      <c r="D403" s="42"/>
      <c r="E403" s="42"/>
      <c r="F403" s="42"/>
    </row>
    <row r="404">
      <c r="A404" s="42"/>
      <c r="B404" s="42"/>
      <c r="C404" s="42"/>
      <c r="D404" s="42"/>
      <c r="E404" s="42"/>
      <c r="F404" s="42"/>
    </row>
    <row r="405">
      <c r="A405" s="42"/>
      <c r="B405" s="42"/>
      <c r="C405" s="42"/>
      <c r="D405" s="42"/>
      <c r="E405" s="42"/>
      <c r="F405" s="42"/>
    </row>
    <row r="406">
      <c r="A406" s="42"/>
      <c r="B406" s="42"/>
      <c r="C406" s="42"/>
      <c r="D406" s="42"/>
      <c r="E406" s="42"/>
      <c r="F406" s="42"/>
    </row>
    <row r="407">
      <c r="A407" s="42"/>
      <c r="B407" s="42"/>
      <c r="C407" s="42"/>
      <c r="D407" s="42"/>
      <c r="E407" s="42"/>
      <c r="F407" s="42"/>
    </row>
    <row r="408">
      <c r="A408" s="42"/>
      <c r="B408" s="42"/>
      <c r="C408" s="42"/>
      <c r="D408" s="42"/>
      <c r="E408" s="42"/>
      <c r="F408" s="42"/>
    </row>
    <row r="409">
      <c r="A409" s="42"/>
      <c r="B409" s="42"/>
      <c r="C409" s="42"/>
      <c r="D409" s="42"/>
      <c r="E409" s="42"/>
      <c r="F409" s="42"/>
    </row>
    <row r="410">
      <c r="A410" s="42"/>
      <c r="B410" s="42"/>
      <c r="C410" s="42"/>
      <c r="D410" s="42"/>
      <c r="E410" s="42"/>
      <c r="F410" s="42"/>
    </row>
    <row r="411">
      <c r="A411" s="42"/>
      <c r="B411" s="42"/>
      <c r="C411" s="42"/>
      <c r="D411" s="42"/>
      <c r="E411" s="42"/>
      <c r="F411" s="42"/>
    </row>
    <row r="412">
      <c r="A412" s="42"/>
      <c r="B412" s="42"/>
      <c r="C412" s="42"/>
      <c r="D412" s="42"/>
      <c r="E412" s="42"/>
      <c r="F412" s="42"/>
    </row>
    <row r="413">
      <c r="A413" s="42"/>
      <c r="B413" s="42"/>
      <c r="C413" s="42"/>
      <c r="D413" s="42"/>
      <c r="E413" s="42"/>
      <c r="F413" s="42"/>
    </row>
    <row r="414">
      <c r="A414" s="42"/>
      <c r="B414" s="42"/>
      <c r="C414" s="42"/>
      <c r="D414" s="42"/>
      <c r="E414" s="42"/>
      <c r="F414" s="42"/>
    </row>
    <row r="415">
      <c r="A415" s="42"/>
      <c r="B415" s="42"/>
      <c r="C415" s="42"/>
      <c r="D415" s="42"/>
      <c r="E415" s="42"/>
      <c r="F415" s="42"/>
    </row>
    <row r="416">
      <c r="A416" s="42"/>
      <c r="B416" s="42"/>
      <c r="C416" s="42"/>
      <c r="D416" s="42"/>
      <c r="E416" s="42"/>
      <c r="F416" s="42"/>
    </row>
    <row r="417">
      <c r="A417" s="42"/>
      <c r="B417" s="42"/>
      <c r="C417" s="42"/>
      <c r="D417" s="42"/>
      <c r="E417" s="42"/>
      <c r="F417" s="42"/>
    </row>
    <row r="418">
      <c r="A418" s="42"/>
      <c r="B418" s="42"/>
      <c r="C418" s="42"/>
      <c r="D418" s="42"/>
      <c r="E418" s="42"/>
      <c r="F418" s="42"/>
    </row>
    <row r="419">
      <c r="A419" s="42"/>
      <c r="B419" s="42"/>
      <c r="C419" s="42"/>
      <c r="D419" s="42"/>
      <c r="E419" s="42"/>
      <c r="F419" s="42"/>
    </row>
    <row r="420">
      <c r="A420" s="42"/>
      <c r="B420" s="42"/>
      <c r="C420" s="42"/>
      <c r="D420" s="42"/>
      <c r="E420" s="42"/>
      <c r="F420" s="42"/>
    </row>
    <row r="421">
      <c r="A421" s="42"/>
      <c r="B421" s="42"/>
      <c r="C421" s="42"/>
      <c r="D421" s="42"/>
      <c r="E421" s="42"/>
      <c r="F421" s="42"/>
    </row>
    <row r="422">
      <c r="A422" s="42"/>
      <c r="B422" s="42"/>
      <c r="C422" s="42"/>
      <c r="D422" s="42"/>
      <c r="E422" s="42"/>
      <c r="F422" s="42"/>
    </row>
    <row r="423">
      <c r="A423" s="42"/>
      <c r="B423" s="42"/>
      <c r="C423" s="42"/>
      <c r="D423" s="42"/>
      <c r="E423" s="42"/>
      <c r="F423" s="42"/>
    </row>
    <row r="424">
      <c r="A424" s="42"/>
      <c r="B424" s="42"/>
      <c r="C424" s="42"/>
      <c r="D424" s="42"/>
      <c r="E424" s="42"/>
      <c r="F424" s="42"/>
    </row>
    <row r="425">
      <c r="A425" s="42"/>
      <c r="B425" s="42"/>
      <c r="C425" s="42"/>
      <c r="D425" s="42"/>
      <c r="E425" s="42"/>
      <c r="F425" s="42"/>
    </row>
    <row r="426">
      <c r="A426" s="42"/>
      <c r="B426" s="42"/>
      <c r="C426" s="42"/>
      <c r="D426" s="42"/>
      <c r="E426" s="42"/>
      <c r="F426" s="42"/>
    </row>
    <row r="427">
      <c r="A427" s="42"/>
      <c r="B427" s="42"/>
      <c r="C427" s="42"/>
      <c r="D427" s="42"/>
      <c r="E427" s="42"/>
      <c r="F427" s="42"/>
    </row>
    <row r="428">
      <c r="A428" s="42"/>
      <c r="B428" s="42"/>
      <c r="C428" s="42"/>
      <c r="D428" s="42"/>
      <c r="E428" s="42"/>
      <c r="F428" s="42"/>
    </row>
    <row r="429">
      <c r="A429" s="42"/>
      <c r="B429" s="42"/>
      <c r="C429" s="42"/>
      <c r="D429" s="42"/>
      <c r="E429" s="42"/>
      <c r="F429" s="42"/>
    </row>
    <row r="430">
      <c r="A430" s="42"/>
      <c r="B430" s="42"/>
      <c r="C430" s="42"/>
      <c r="D430" s="42"/>
      <c r="E430" s="42"/>
      <c r="F430" s="42"/>
    </row>
    <row r="431">
      <c r="A431" s="42"/>
      <c r="B431" s="42"/>
      <c r="C431" s="42"/>
      <c r="D431" s="42"/>
      <c r="E431" s="42"/>
      <c r="F431" s="42"/>
    </row>
    <row r="432">
      <c r="A432" s="42"/>
      <c r="B432" s="42"/>
      <c r="C432" s="42"/>
      <c r="D432" s="42"/>
      <c r="E432" s="42"/>
      <c r="F432" s="42"/>
    </row>
    <row r="433">
      <c r="A433" s="42"/>
      <c r="B433" s="42"/>
      <c r="C433" s="42"/>
      <c r="D433" s="42"/>
      <c r="E433" s="42"/>
      <c r="F433" s="42"/>
    </row>
    <row r="434">
      <c r="A434" s="42"/>
      <c r="B434" s="42"/>
      <c r="C434" s="42"/>
      <c r="D434" s="42"/>
      <c r="E434" s="42"/>
      <c r="F434" s="42"/>
    </row>
    <row r="435">
      <c r="A435" s="42"/>
      <c r="B435" s="42"/>
      <c r="C435" s="42"/>
      <c r="D435" s="42"/>
      <c r="E435" s="42"/>
      <c r="F435" s="42"/>
    </row>
    <row r="436">
      <c r="A436" s="42"/>
      <c r="B436" s="42"/>
      <c r="C436" s="42"/>
      <c r="D436" s="42"/>
      <c r="E436" s="42"/>
      <c r="F436" s="42"/>
    </row>
    <row r="437">
      <c r="A437" s="42"/>
      <c r="B437" s="42"/>
      <c r="C437" s="42"/>
      <c r="D437" s="42"/>
      <c r="E437" s="42"/>
      <c r="F437" s="42"/>
    </row>
    <row r="438">
      <c r="A438" s="42"/>
      <c r="B438" s="42"/>
      <c r="C438" s="42"/>
      <c r="D438" s="42"/>
      <c r="E438" s="42"/>
      <c r="F438" s="42"/>
    </row>
    <row r="439">
      <c r="A439" s="42"/>
      <c r="B439" s="42"/>
      <c r="C439" s="42"/>
      <c r="D439" s="42"/>
      <c r="E439" s="42"/>
      <c r="F439" s="42"/>
    </row>
    <row r="440">
      <c r="A440" s="42"/>
      <c r="B440" s="42"/>
      <c r="C440" s="42"/>
      <c r="D440" s="42"/>
      <c r="E440" s="42"/>
      <c r="F440" s="42"/>
    </row>
    <row r="441">
      <c r="A441" s="42"/>
      <c r="B441" s="42"/>
      <c r="C441" s="42"/>
      <c r="D441" s="42"/>
      <c r="E441" s="42"/>
      <c r="F441" s="42"/>
    </row>
    <row r="442">
      <c r="A442" s="42"/>
      <c r="B442" s="42"/>
      <c r="C442" s="42"/>
      <c r="D442" s="42"/>
      <c r="E442" s="42"/>
      <c r="F442" s="42"/>
    </row>
    <row r="443">
      <c r="A443" s="42"/>
      <c r="B443" s="42"/>
      <c r="C443" s="42"/>
      <c r="D443" s="42"/>
      <c r="E443" s="42"/>
      <c r="F443" s="42"/>
    </row>
    <row r="444">
      <c r="A444" s="42"/>
      <c r="B444" s="42"/>
      <c r="C444" s="42"/>
      <c r="D444" s="42"/>
      <c r="E444" s="42"/>
      <c r="F444" s="42"/>
    </row>
    <row r="445">
      <c r="A445" s="42"/>
      <c r="B445" s="42"/>
      <c r="C445" s="42"/>
      <c r="D445" s="42"/>
      <c r="E445" s="42"/>
      <c r="F445" s="42"/>
    </row>
    <row r="446">
      <c r="A446" s="42"/>
      <c r="B446" s="42"/>
      <c r="C446" s="42"/>
      <c r="D446" s="42"/>
      <c r="E446" s="42"/>
      <c r="F446" s="42"/>
    </row>
    <row r="447">
      <c r="A447" s="42"/>
      <c r="B447" s="42"/>
      <c r="C447" s="42"/>
      <c r="D447" s="42"/>
      <c r="E447" s="42"/>
      <c r="F447" s="42"/>
    </row>
    <row r="448">
      <c r="A448" s="42"/>
      <c r="B448" s="42"/>
      <c r="C448" s="42"/>
      <c r="D448" s="42"/>
      <c r="E448" s="42"/>
      <c r="F448" s="42"/>
    </row>
    <row r="449">
      <c r="A449" s="42"/>
      <c r="B449" s="42"/>
      <c r="C449" s="42"/>
      <c r="D449" s="42"/>
      <c r="E449" s="42"/>
      <c r="F449" s="42"/>
    </row>
    <row r="450">
      <c r="A450" s="42"/>
      <c r="B450" s="42"/>
      <c r="C450" s="42"/>
      <c r="D450" s="42"/>
      <c r="E450" s="42"/>
      <c r="F450" s="42"/>
    </row>
    <row r="451">
      <c r="A451" s="42"/>
      <c r="B451" s="42"/>
      <c r="C451" s="42"/>
      <c r="D451" s="42"/>
      <c r="E451" s="42"/>
      <c r="F451" s="42"/>
    </row>
    <row r="452">
      <c r="A452" s="42"/>
      <c r="B452" s="42"/>
      <c r="C452" s="42"/>
      <c r="D452" s="42"/>
      <c r="E452" s="42"/>
      <c r="F452" s="42"/>
    </row>
    <row r="453">
      <c r="A453" s="42"/>
      <c r="B453" s="42"/>
      <c r="C453" s="42"/>
      <c r="D453" s="42"/>
      <c r="E453" s="42"/>
      <c r="F453" s="42"/>
    </row>
    <row r="454">
      <c r="A454" s="42"/>
      <c r="B454" s="42"/>
      <c r="C454" s="42"/>
      <c r="D454" s="42"/>
      <c r="E454" s="42"/>
      <c r="F454" s="42"/>
    </row>
    <row r="455">
      <c r="A455" s="42"/>
      <c r="B455" s="42"/>
      <c r="C455" s="42"/>
      <c r="D455" s="42"/>
      <c r="E455" s="42"/>
      <c r="F455" s="42"/>
    </row>
    <row r="456">
      <c r="A456" s="42"/>
      <c r="B456" s="42"/>
      <c r="C456" s="42"/>
      <c r="D456" s="42"/>
      <c r="E456" s="42"/>
      <c r="F456" s="42"/>
    </row>
    <row r="457">
      <c r="A457" s="42"/>
      <c r="B457" s="42"/>
      <c r="C457" s="42"/>
      <c r="D457" s="42"/>
      <c r="E457" s="42"/>
      <c r="F457" s="42"/>
    </row>
    <row r="458">
      <c r="A458" s="42"/>
      <c r="B458" s="42"/>
      <c r="C458" s="42"/>
      <c r="D458" s="42"/>
      <c r="E458" s="42"/>
      <c r="F458" s="42"/>
    </row>
    <row r="459">
      <c r="A459" s="42"/>
      <c r="B459" s="42"/>
      <c r="C459" s="42"/>
      <c r="D459" s="42"/>
      <c r="E459" s="42"/>
      <c r="F459" s="42"/>
    </row>
    <row r="460">
      <c r="A460" s="42"/>
      <c r="B460" s="42"/>
      <c r="C460" s="42"/>
      <c r="D460" s="42"/>
      <c r="E460" s="42"/>
      <c r="F460" s="42"/>
    </row>
    <row r="461">
      <c r="A461" s="42"/>
      <c r="B461" s="42"/>
      <c r="C461" s="42"/>
      <c r="D461" s="42"/>
      <c r="E461" s="42"/>
      <c r="F461" s="42"/>
    </row>
    <row r="462">
      <c r="A462" s="42"/>
      <c r="B462" s="42"/>
      <c r="C462" s="42"/>
      <c r="D462" s="42"/>
      <c r="E462" s="42"/>
      <c r="F462" s="42"/>
    </row>
    <row r="463">
      <c r="A463" s="42"/>
      <c r="B463" s="42"/>
      <c r="C463" s="42"/>
      <c r="D463" s="42"/>
      <c r="E463" s="42"/>
      <c r="F463" s="42"/>
    </row>
    <row r="464">
      <c r="A464" s="42"/>
      <c r="B464" s="42"/>
      <c r="C464" s="42"/>
      <c r="D464" s="42"/>
      <c r="E464" s="42"/>
      <c r="F464" s="42"/>
    </row>
    <row r="465">
      <c r="A465" s="42"/>
      <c r="B465" s="42"/>
      <c r="C465" s="42"/>
      <c r="D465" s="42"/>
      <c r="E465" s="42"/>
      <c r="F465" s="42"/>
    </row>
    <row r="466">
      <c r="A466" s="42"/>
      <c r="B466" s="42"/>
      <c r="C466" s="42"/>
      <c r="D466" s="42"/>
      <c r="E466" s="42"/>
      <c r="F466" s="42"/>
    </row>
    <row r="467">
      <c r="A467" s="42"/>
      <c r="B467" s="42"/>
      <c r="C467" s="42"/>
      <c r="D467" s="42"/>
      <c r="E467" s="42"/>
      <c r="F467" s="42"/>
    </row>
    <row r="468">
      <c r="A468" s="42"/>
      <c r="B468" s="42"/>
      <c r="C468" s="42"/>
      <c r="D468" s="42"/>
      <c r="E468" s="42"/>
      <c r="F468" s="42"/>
    </row>
    <row r="469">
      <c r="A469" s="42"/>
      <c r="B469" s="42"/>
      <c r="C469" s="42"/>
      <c r="D469" s="42"/>
      <c r="E469" s="42"/>
      <c r="F469" s="42"/>
    </row>
    <row r="470">
      <c r="A470" s="42"/>
      <c r="B470" s="42"/>
      <c r="C470" s="42"/>
      <c r="D470" s="42"/>
      <c r="E470" s="42"/>
      <c r="F470" s="42"/>
    </row>
    <row r="471">
      <c r="A471" s="42"/>
      <c r="B471" s="42"/>
      <c r="C471" s="42"/>
      <c r="D471" s="42"/>
      <c r="E471" s="42"/>
      <c r="F471" s="42"/>
    </row>
    <row r="472">
      <c r="A472" s="42"/>
      <c r="B472" s="42"/>
      <c r="C472" s="42"/>
      <c r="D472" s="42"/>
      <c r="E472" s="42"/>
      <c r="F472" s="42"/>
    </row>
    <row r="473">
      <c r="A473" s="42"/>
      <c r="B473" s="42"/>
      <c r="C473" s="42"/>
      <c r="D473" s="42"/>
      <c r="E473" s="42"/>
      <c r="F473" s="42"/>
    </row>
    <row r="474">
      <c r="A474" s="42"/>
      <c r="B474" s="42"/>
      <c r="C474" s="42"/>
      <c r="D474" s="42"/>
      <c r="E474" s="42"/>
      <c r="F474" s="42"/>
    </row>
    <row r="475">
      <c r="A475" s="42"/>
      <c r="B475" s="42"/>
      <c r="C475" s="42"/>
      <c r="D475" s="42"/>
      <c r="E475" s="42"/>
      <c r="F475" s="42"/>
    </row>
    <row r="476">
      <c r="A476" s="42"/>
      <c r="B476" s="42"/>
      <c r="C476" s="42"/>
      <c r="D476" s="42"/>
      <c r="E476" s="42"/>
      <c r="F476" s="42"/>
    </row>
    <row r="477">
      <c r="A477" s="42"/>
      <c r="B477" s="42"/>
      <c r="C477" s="42"/>
      <c r="D477" s="42"/>
      <c r="E477" s="42"/>
      <c r="F477" s="42"/>
    </row>
    <row r="478">
      <c r="A478" s="42"/>
      <c r="B478" s="42"/>
      <c r="C478" s="42"/>
      <c r="D478" s="42"/>
      <c r="E478" s="42"/>
      <c r="F478" s="42"/>
    </row>
    <row r="479">
      <c r="A479" s="42"/>
      <c r="B479" s="42"/>
      <c r="C479" s="42"/>
      <c r="D479" s="42"/>
      <c r="E479" s="42"/>
      <c r="F479" s="42"/>
    </row>
    <row r="480">
      <c r="A480" s="42"/>
      <c r="B480" s="42"/>
      <c r="C480" s="42"/>
      <c r="D480" s="42"/>
      <c r="E480" s="42"/>
      <c r="F480" s="42"/>
    </row>
    <row r="481">
      <c r="A481" s="42"/>
      <c r="B481" s="42"/>
      <c r="C481" s="42"/>
      <c r="D481" s="42"/>
      <c r="E481" s="42"/>
      <c r="F481" s="42"/>
    </row>
    <row r="482">
      <c r="A482" s="42"/>
      <c r="B482" s="42"/>
      <c r="C482" s="42"/>
      <c r="D482" s="42"/>
      <c r="E482" s="42"/>
      <c r="F482" s="42"/>
    </row>
    <row r="483">
      <c r="A483" s="42"/>
      <c r="B483" s="42"/>
      <c r="C483" s="42"/>
      <c r="D483" s="42"/>
      <c r="E483" s="42"/>
      <c r="F483" s="42"/>
    </row>
    <row r="484">
      <c r="A484" s="42"/>
      <c r="B484" s="42"/>
      <c r="C484" s="42"/>
      <c r="D484" s="42"/>
      <c r="E484" s="42"/>
      <c r="F484" s="42"/>
    </row>
    <row r="485">
      <c r="A485" s="42"/>
      <c r="B485" s="42"/>
      <c r="C485" s="42"/>
      <c r="D485" s="42"/>
      <c r="E485" s="42"/>
      <c r="F485" s="42"/>
    </row>
    <row r="486">
      <c r="A486" s="42"/>
      <c r="B486" s="42"/>
      <c r="C486" s="42"/>
      <c r="D486" s="42"/>
      <c r="E486" s="42"/>
      <c r="F486" s="42"/>
    </row>
    <row r="487">
      <c r="A487" s="42"/>
      <c r="B487" s="42"/>
      <c r="C487" s="42"/>
      <c r="D487" s="42"/>
      <c r="E487" s="42"/>
      <c r="F487" s="42"/>
    </row>
    <row r="488">
      <c r="A488" s="42"/>
      <c r="B488" s="42"/>
      <c r="C488" s="42"/>
      <c r="D488" s="42"/>
      <c r="E488" s="42"/>
      <c r="F488" s="42"/>
    </row>
    <row r="489">
      <c r="A489" s="42"/>
      <c r="B489" s="42"/>
      <c r="C489" s="42"/>
      <c r="D489" s="42"/>
      <c r="E489" s="42"/>
      <c r="F489" s="42"/>
    </row>
    <row r="490">
      <c r="A490" s="42"/>
      <c r="B490" s="42"/>
      <c r="C490" s="42"/>
      <c r="D490" s="42"/>
      <c r="E490" s="42"/>
      <c r="F490" s="42"/>
    </row>
    <row r="491">
      <c r="A491" s="42"/>
      <c r="B491" s="42"/>
      <c r="C491" s="42"/>
      <c r="D491" s="42"/>
      <c r="E491" s="42"/>
      <c r="F491" s="42"/>
    </row>
    <row r="492">
      <c r="A492" s="42"/>
      <c r="B492" s="42"/>
      <c r="C492" s="42"/>
      <c r="D492" s="42"/>
      <c r="E492" s="42"/>
      <c r="F492" s="42"/>
    </row>
    <row r="493">
      <c r="A493" s="42"/>
      <c r="B493" s="42"/>
      <c r="C493" s="42"/>
      <c r="D493" s="42"/>
      <c r="E493" s="42"/>
      <c r="F493" s="42"/>
    </row>
    <row r="494">
      <c r="A494" s="42"/>
      <c r="B494" s="42"/>
      <c r="C494" s="42"/>
      <c r="D494" s="42"/>
      <c r="E494" s="42"/>
      <c r="F494" s="42"/>
    </row>
    <row r="495">
      <c r="A495" s="42"/>
      <c r="B495" s="42"/>
      <c r="C495" s="42"/>
      <c r="D495" s="42"/>
      <c r="E495" s="42"/>
      <c r="F495" s="42"/>
    </row>
    <row r="496">
      <c r="A496" s="42"/>
      <c r="B496" s="42"/>
      <c r="C496" s="42"/>
      <c r="D496" s="42"/>
      <c r="E496" s="42"/>
      <c r="F496" s="42"/>
    </row>
    <row r="497">
      <c r="A497" s="42"/>
      <c r="B497" s="42"/>
      <c r="C497" s="42"/>
      <c r="D497" s="42"/>
      <c r="E497" s="42"/>
      <c r="F497" s="42"/>
    </row>
    <row r="498">
      <c r="A498" s="42"/>
      <c r="B498" s="42"/>
      <c r="C498" s="42"/>
      <c r="D498" s="42"/>
      <c r="E498" s="42"/>
      <c r="F498" s="42"/>
    </row>
    <row r="499">
      <c r="A499" s="42"/>
      <c r="B499" s="42"/>
      <c r="C499" s="42"/>
      <c r="D499" s="42"/>
      <c r="E499" s="42"/>
      <c r="F499" s="42"/>
    </row>
    <row r="500">
      <c r="A500" s="42"/>
      <c r="B500" s="42"/>
      <c r="C500" s="42"/>
      <c r="D500" s="42"/>
      <c r="E500" s="42"/>
      <c r="F500" s="42"/>
    </row>
    <row r="501">
      <c r="A501" s="42"/>
      <c r="B501" s="42"/>
      <c r="C501" s="42"/>
      <c r="D501" s="42"/>
      <c r="E501" s="42"/>
      <c r="F501" s="42"/>
    </row>
    <row r="502">
      <c r="A502" s="42"/>
      <c r="B502" s="42"/>
      <c r="C502" s="42"/>
      <c r="D502" s="42"/>
      <c r="E502" s="42"/>
      <c r="F502" s="42"/>
    </row>
    <row r="503">
      <c r="A503" s="42"/>
      <c r="B503" s="42"/>
      <c r="C503" s="42"/>
      <c r="D503" s="42"/>
      <c r="E503" s="42"/>
      <c r="F503" s="42"/>
    </row>
    <row r="504">
      <c r="A504" s="42"/>
      <c r="B504" s="42"/>
      <c r="C504" s="42"/>
      <c r="D504" s="42"/>
      <c r="E504" s="42"/>
      <c r="F504" s="42"/>
    </row>
    <row r="505">
      <c r="A505" s="42"/>
      <c r="B505" s="42"/>
      <c r="C505" s="42"/>
      <c r="D505" s="42"/>
      <c r="E505" s="42"/>
      <c r="F505" s="42"/>
    </row>
    <row r="506">
      <c r="A506" s="42"/>
      <c r="B506" s="42"/>
      <c r="C506" s="42"/>
      <c r="D506" s="42"/>
      <c r="E506" s="42"/>
      <c r="F506" s="42"/>
    </row>
    <row r="507">
      <c r="A507" s="42"/>
      <c r="B507" s="42"/>
      <c r="C507" s="42"/>
      <c r="D507" s="42"/>
      <c r="E507" s="42"/>
      <c r="F507" s="42"/>
    </row>
    <row r="508">
      <c r="A508" s="42"/>
      <c r="B508" s="42"/>
      <c r="C508" s="42"/>
      <c r="D508" s="42"/>
      <c r="E508" s="42"/>
      <c r="F508" s="42"/>
    </row>
    <row r="509">
      <c r="A509" s="42"/>
      <c r="B509" s="42"/>
      <c r="C509" s="42"/>
      <c r="D509" s="42"/>
      <c r="E509" s="42"/>
      <c r="F509" s="42"/>
    </row>
    <row r="510">
      <c r="A510" s="42"/>
      <c r="B510" s="42"/>
      <c r="C510" s="42"/>
      <c r="D510" s="42"/>
      <c r="E510" s="42"/>
      <c r="F510" s="42"/>
    </row>
    <row r="511">
      <c r="A511" s="42"/>
      <c r="B511" s="42"/>
      <c r="C511" s="42"/>
      <c r="D511" s="42"/>
      <c r="E511" s="42"/>
      <c r="F511" s="42"/>
    </row>
    <row r="512">
      <c r="A512" s="42"/>
      <c r="B512" s="42"/>
      <c r="C512" s="42"/>
      <c r="D512" s="42"/>
      <c r="E512" s="42"/>
      <c r="F512" s="42"/>
    </row>
    <row r="513">
      <c r="A513" s="42"/>
      <c r="B513" s="42"/>
      <c r="C513" s="42"/>
      <c r="D513" s="42"/>
      <c r="E513" s="42"/>
      <c r="F513" s="42"/>
    </row>
    <row r="514">
      <c r="A514" s="42"/>
      <c r="B514" s="42"/>
      <c r="C514" s="42"/>
      <c r="D514" s="42"/>
      <c r="E514" s="42"/>
      <c r="F514" s="42"/>
    </row>
    <row r="515">
      <c r="A515" s="42"/>
      <c r="B515" s="42"/>
      <c r="C515" s="42"/>
      <c r="D515" s="42"/>
      <c r="E515" s="42"/>
      <c r="F515" s="42"/>
    </row>
    <row r="516">
      <c r="A516" s="42"/>
      <c r="B516" s="42"/>
      <c r="C516" s="42"/>
      <c r="D516" s="42"/>
      <c r="E516" s="42"/>
      <c r="F516" s="42"/>
    </row>
    <row r="517">
      <c r="A517" s="42"/>
      <c r="B517" s="42"/>
      <c r="C517" s="42"/>
      <c r="D517" s="42"/>
      <c r="E517" s="42"/>
      <c r="F517" s="42"/>
    </row>
    <row r="518">
      <c r="A518" s="42"/>
      <c r="B518" s="42"/>
      <c r="C518" s="42"/>
      <c r="D518" s="42"/>
      <c r="E518" s="42"/>
      <c r="F518" s="42"/>
    </row>
    <row r="519">
      <c r="A519" s="42"/>
      <c r="B519" s="42"/>
      <c r="C519" s="42"/>
      <c r="D519" s="42"/>
      <c r="E519" s="42"/>
      <c r="F519" s="42"/>
    </row>
    <row r="520">
      <c r="A520" s="42"/>
      <c r="B520" s="42"/>
      <c r="C520" s="42"/>
      <c r="D520" s="42"/>
      <c r="E520" s="42"/>
      <c r="F520" s="42"/>
    </row>
    <row r="521">
      <c r="A521" s="42"/>
      <c r="B521" s="42"/>
      <c r="C521" s="42"/>
      <c r="D521" s="42"/>
      <c r="E521" s="42"/>
      <c r="F521" s="42"/>
    </row>
    <row r="522">
      <c r="A522" s="42"/>
      <c r="B522" s="42"/>
      <c r="C522" s="42"/>
      <c r="D522" s="42"/>
      <c r="E522" s="42"/>
      <c r="F522" s="42"/>
    </row>
    <row r="523">
      <c r="A523" s="42"/>
      <c r="B523" s="42"/>
      <c r="C523" s="42"/>
      <c r="D523" s="42"/>
      <c r="E523" s="42"/>
      <c r="F523" s="42"/>
    </row>
    <row r="524">
      <c r="A524" s="42"/>
      <c r="B524" s="42"/>
      <c r="C524" s="42"/>
      <c r="D524" s="42"/>
      <c r="E524" s="42"/>
      <c r="F524" s="42"/>
    </row>
    <row r="525">
      <c r="A525" s="42"/>
      <c r="B525" s="42"/>
      <c r="C525" s="42"/>
      <c r="D525" s="42"/>
      <c r="E525" s="42"/>
      <c r="F525" s="42"/>
    </row>
    <row r="526">
      <c r="A526" s="42"/>
      <c r="B526" s="42"/>
      <c r="C526" s="42"/>
      <c r="D526" s="42"/>
      <c r="E526" s="42"/>
      <c r="F526" s="42"/>
    </row>
    <row r="527">
      <c r="A527" s="42"/>
      <c r="B527" s="42"/>
      <c r="C527" s="42"/>
      <c r="D527" s="42"/>
      <c r="E527" s="42"/>
      <c r="F527" s="42"/>
    </row>
    <row r="528">
      <c r="A528" s="42"/>
      <c r="B528" s="42"/>
      <c r="C528" s="42"/>
      <c r="D528" s="42"/>
      <c r="E528" s="42"/>
      <c r="F528" s="42"/>
    </row>
    <row r="529">
      <c r="A529" s="42"/>
      <c r="B529" s="42"/>
      <c r="C529" s="42"/>
      <c r="D529" s="42"/>
      <c r="E529" s="42"/>
      <c r="F529" s="42"/>
    </row>
    <row r="530">
      <c r="A530" s="42"/>
      <c r="B530" s="42"/>
      <c r="C530" s="42"/>
      <c r="D530" s="42"/>
      <c r="E530" s="42"/>
      <c r="F530" s="42"/>
    </row>
    <row r="531">
      <c r="A531" s="42"/>
      <c r="B531" s="42"/>
      <c r="C531" s="42"/>
      <c r="D531" s="42"/>
      <c r="E531" s="42"/>
      <c r="F531" s="42"/>
    </row>
    <row r="532">
      <c r="A532" s="42"/>
      <c r="B532" s="42"/>
      <c r="C532" s="42"/>
      <c r="D532" s="42"/>
      <c r="E532" s="42"/>
      <c r="F532" s="42"/>
    </row>
    <row r="533">
      <c r="A533" s="42"/>
      <c r="B533" s="42"/>
      <c r="C533" s="42"/>
      <c r="D533" s="42"/>
      <c r="E533" s="42"/>
      <c r="F533" s="42"/>
    </row>
    <row r="534">
      <c r="A534" s="42"/>
      <c r="B534" s="42"/>
      <c r="C534" s="42"/>
      <c r="D534" s="42"/>
      <c r="E534" s="42"/>
      <c r="F534" s="42"/>
    </row>
    <row r="535">
      <c r="A535" s="42"/>
      <c r="B535" s="42"/>
      <c r="C535" s="42"/>
      <c r="D535" s="42"/>
      <c r="E535" s="42"/>
      <c r="F535" s="42"/>
    </row>
    <row r="536">
      <c r="A536" s="42"/>
      <c r="B536" s="42"/>
      <c r="C536" s="42"/>
      <c r="D536" s="42"/>
      <c r="E536" s="42"/>
      <c r="F536" s="42"/>
    </row>
    <row r="537">
      <c r="A537" s="42"/>
      <c r="B537" s="42"/>
      <c r="C537" s="42"/>
      <c r="D537" s="42"/>
      <c r="E537" s="42"/>
      <c r="F537" s="42"/>
    </row>
    <row r="538">
      <c r="A538" s="42"/>
      <c r="B538" s="42"/>
      <c r="C538" s="42"/>
      <c r="D538" s="42"/>
      <c r="E538" s="42"/>
      <c r="F538" s="42"/>
    </row>
    <row r="539">
      <c r="A539" s="42"/>
      <c r="B539" s="42"/>
      <c r="C539" s="42"/>
      <c r="D539" s="42"/>
      <c r="E539" s="42"/>
      <c r="F539" s="42"/>
    </row>
    <row r="540">
      <c r="A540" s="42"/>
      <c r="B540" s="42"/>
      <c r="C540" s="42"/>
      <c r="D540" s="42"/>
      <c r="E540" s="42"/>
      <c r="F540" s="42"/>
    </row>
    <row r="541">
      <c r="A541" s="42"/>
      <c r="B541" s="42"/>
      <c r="C541" s="42"/>
      <c r="D541" s="42"/>
      <c r="E541" s="42"/>
      <c r="F541" s="42"/>
    </row>
    <row r="542">
      <c r="A542" s="42"/>
      <c r="B542" s="42"/>
      <c r="C542" s="42"/>
      <c r="D542" s="42"/>
      <c r="E542" s="42"/>
      <c r="F542" s="42"/>
    </row>
    <row r="543">
      <c r="A543" s="42"/>
      <c r="B543" s="42"/>
      <c r="C543" s="42"/>
      <c r="D543" s="42"/>
      <c r="E543" s="42"/>
      <c r="F543" s="42"/>
    </row>
    <row r="544">
      <c r="A544" s="42"/>
      <c r="B544" s="42"/>
      <c r="C544" s="42"/>
      <c r="D544" s="42"/>
      <c r="E544" s="42"/>
      <c r="F544" s="42"/>
    </row>
    <row r="545">
      <c r="A545" s="42"/>
      <c r="B545" s="42"/>
      <c r="C545" s="42"/>
      <c r="D545" s="42"/>
      <c r="E545" s="42"/>
      <c r="F545" s="42"/>
    </row>
    <row r="546">
      <c r="A546" s="42"/>
      <c r="B546" s="42"/>
      <c r="C546" s="42"/>
      <c r="D546" s="42"/>
      <c r="E546" s="42"/>
      <c r="F546" s="42"/>
    </row>
    <row r="547">
      <c r="A547" s="42"/>
      <c r="B547" s="42"/>
      <c r="C547" s="42"/>
      <c r="D547" s="42"/>
      <c r="E547" s="42"/>
      <c r="F547" s="42"/>
    </row>
    <row r="548">
      <c r="A548" s="42"/>
      <c r="B548" s="42"/>
      <c r="C548" s="42"/>
      <c r="D548" s="42"/>
      <c r="E548" s="42"/>
      <c r="F548" s="42"/>
    </row>
    <row r="549">
      <c r="A549" s="42"/>
      <c r="B549" s="42"/>
      <c r="C549" s="42"/>
      <c r="D549" s="42"/>
      <c r="E549" s="42"/>
      <c r="F549" s="42"/>
    </row>
    <row r="550">
      <c r="A550" s="42"/>
      <c r="B550" s="42"/>
      <c r="C550" s="42"/>
      <c r="D550" s="42"/>
      <c r="E550" s="42"/>
      <c r="F550" s="42"/>
    </row>
    <row r="551">
      <c r="A551" s="42"/>
      <c r="B551" s="42"/>
      <c r="C551" s="42"/>
      <c r="D551" s="42"/>
      <c r="E551" s="42"/>
      <c r="F551" s="42"/>
    </row>
    <row r="552">
      <c r="A552" s="42"/>
      <c r="B552" s="42"/>
      <c r="C552" s="42"/>
      <c r="D552" s="42"/>
      <c r="E552" s="42"/>
      <c r="F552" s="42"/>
    </row>
    <row r="553">
      <c r="A553" s="42"/>
      <c r="B553" s="42"/>
      <c r="C553" s="42"/>
      <c r="D553" s="42"/>
      <c r="E553" s="42"/>
      <c r="F553" s="42"/>
    </row>
    <row r="554">
      <c r="A554" s="42"/>
      <c r="B554" s="42"/>
      <c r="C554" s="42"/>
      <c r="D554" s="42"/>
      <c r="E554" s="42"/>
      <c r="F554" s="42"/>
    </row>
    <row r="555">
      <c r="A555" s="42"/>
      <c r="B555" s="42"/>
      <c r="C555" s="42"/>
      <c r="D555" s="42"/>
      <c r="E555" s="42"/>
      <c r="F555" s="42"/>
    </row>
    <row r="556">
      <c r="A556" s="42"/>
      <c r="B556" s="42"/>
      <c r="C556" s="42"/>
      <c r="D556" s="42"/>
      <c r="E556" s="42"/>
      <c r="F556" s="42"/>
    </row>
    <row r="557">
      <c r="A557" s="42"/>
      <c r="B557" s="42"/>
      <c r="C557" s="42"/>
      <c r="D557" s="42"/>
      <c r="E557" s="42"/>
      <c r="F557" s="42"/>
    </row>
    <row r="558">
      <c r="A558" s="42"/>
      <c r="B558" s="42"/>
      <c r="C558" s="42"/>
      <c r="D558" s="42"/>
      <c r="E558" s="42"/>
      <c r="F558" s="42"/>
    </row>
    <row r="559">
      <c r="A559" s="42"/>
      <c r="B559" s="42"/>
      <c r="C559" s="42"/>
      <c r="D559" s="42"/>
      <c r="E559" s="42"/>
      <c r="F559" s="42"/>
    </row>
    <row r="560">
      <c r="A560" s="42"/>
      <c r="B560" s="42"/>
      <c r="C560" s="42"/>
      <c r="D560" s="42"/>
      <c r="E560" s="42"/>
      <c r="F560" s="42"/>
    </row>
    <row r="561">
      <c r="A561" s="42"/>
      <c r="B561" s="42"/>
      <c r="C561" s="42"/>
      <c r="D561" s="42"/>
      <c r="E561" s="42"/>
      <c r="F561" s="42"/>
    </row>
    <row r="562">
      <c r="A562" s="42"/>
      <c r="B562" s="42"/>
      <c r="C562" s="42"/>
      <c r="D562" s="42"/>
      <c r="E562" s="42"/>
      <c r="F562" s="42"/>
    </row>
    <row r="563">
      <c r="A563" s="42"/>
      <c r="B563" s="42"/>
      <c r="C563" s="42"/>
      <c r="D563" s="42"/>
      <c r="E563" s="42"/>
      <c r="F563" s="42"/>
    </row>
    <row r="564">
      <c r="A564" s="42"/>
      <c r="B564" s="42"/>
      <c r="C564" s="42"/>
      <c r="D564" s="42"/>
      <c r="E564" s="42"/>
      <c r="F564" s="42"/>
    </row>
    <row r="565">
      <c r="A565" s="42"/>
      <c r="B565" s="42"/>
      <c r="C565" s="42"/>
      <c r="D565" s="42"/>
      <c r="E565" s="42"/>
      <c r="F565" s="42"/>
    </row>
    <row r="566">
      <c r="A566" s="42"/>
      <c r="B566" s="42"/>
      <c r="C566" s="42"/>
      <c r="D566" s="42"/>
      <c r="E566" s="42"/>
      <c r="F566" s="42"/>
    </row>
    <row r="567">
      <c r="A567" s="42"/>
      <c r="B567" s="42"/>
      <c r="C567" s="42"/>
      <c r="D567" s="42"/>
      <c r="E567" s="42"/>
      <c r="F567" s="42"/>
    </row>
    <row r="568">
      <c r="A568" s="42"/>
      <c r="B568" s="42"/>
      <c r="C568" s="42"/>
      <c r="D568" s="42"/>
      <c r="E568" s="42"/>
      <c r="F568" s="42"/>
    </row>
    <row r="569">
      <c r="A569" s="42"/>
      <c r="B569" s="42"/>
      <c r="C569" s="42"/>
      <c r="D569" s="42"/>
      <c r="E569" s="42"/>
      <c r="F569" s="42"/>
    </row>
    <row r="570">
      <c r="A570" s="42"/>
      <c r="B570" s="42"/>
      <c r="C570" s="42"/>
      <c r="D570" s="42"/>
      <c r="E570" s="42"/>
      <c r="F570" s="42"/>
    </row>
    <row r="571">
      <c r="A571" s="42"/>
      <c r="B571" s="42"/>
      <c r="C571" s="42"/>
      <c r="D571" s="42"/>
      <c r="E571" s="42"/>
      <c r="F571" s="42"/>
    </row>
    <row r="572">
      <c r="A572" s="42"/>
      <c r="B572" s="42"/>
      <c r="C572" s="42"/>
      <c r="D572" s="42"/>
      <c r="E572" s="42"/>
      <c r="F572" s="42"/>
    </row>
    <row r="573">
      <c r="A573" s="42"/>
      <c r="B573" s="42"/>
      <c r="C573" s="42"/>
      <c r="D573" s="42"/>
      <c r="E573" s="42"/>
      <c r="F573" s="42"/>
    </row>
    <row r="574">
      <c r="A574" s="42"/>
      <c r="B574" s="42"/>
      <c r="C574" s="42"/>
      <c r="D574" s="42"/>
      <c r="E574" s="42"/>
      <c r="F574" s="42"/>
    </row>
    <row r="575">
      <c r="A575" s="42"/>
      <c r="B575" s="42"/>
      <c r="C575" s="42"/>
      <c r="D575" s="42"/>
      <c r="E575" s="42"/>
      <c r="F575" s="42"/>
    </row>
    <row r="576">
      <c r="A576" s="42"/>
      <c r="B576" s="42"/>
      <c r="C576" s="42"/>
      <c r="D576" s="42"/>
      <c r="E576" s="42"/>
      <c r="F576" s="42"/>
    </row>
    <row r="577">
      <c r="A577" s="42"/>
      <c r="B577" s="42"/>
      <c r="C577" s="42"/>
      <c r="D577" s="42"/>
      <c r="E577" s="42"/>
      <c r="F577" s="42"/>
    </row>
    <row r="578">
      <c r="A578" s="42"/>
      <c r="B578" s="42"/>
      <c r="C578" s="42"/>
      <c r="D578" s="42"/>
      <c r="E578" s="42"/>
      <c r="F578" s="42"/>
    </row>
    <row r="579">
      <c r="A579" s="42"/>
      <c r="B579" s="42"/>
      <c r="C579" s="42"/>
      <c r="D579" s="42"/>
      <c r="E579" s="42"/>
      <c r="F579" s="42"/>
    </row>
    <row r="580">
      <c r="A580" s="42"/>
      <c r="B580" s="42"/>
      <c r="C580" s="42"/>
      <c r="D580" s="42"/>
      <c r="E580" s="42"/>
      <c r="F580" s="42"/>
    </row>
    <row r="581">
      <c r="A581" s="42"/>
      <c r="B581" s="42"/>
      <c r="C581" s="42"/>
      <c r="D581" s="42"/>
      <c r="E581" s="42"/>
      <c r="F581" s="42"/>
    </row>
    <row r="582">
      <c r="A582" s="42"/>
      <c r="B582" s="42"/>
      <c r="C582" s="42"/>
      <c r="D582" s="42"/>
      <c r="E582" s="42"/>
      <c r="F582" s="42"/>
    </row>
    <row r="583">
      <c r="A583" s="42"/>
      <c r="B583" s="42"/>
      <c r="C583" s="42"/>
      <c r="D583" s="42"/>
      <c r="E583" s="42"/>
      <c r="F583" s="42"/>
    </row>
    <row r="584">
      <c r="A584" s="42"/>
      <c r="B584" s="42"/>
      <c r="C584" s="42"/>
      <c r="D584" s="42"/>
      <c r="E584" s="42"/>
      <c r="F584" s="42"/>
    </row>
    <row r="585">
      <c r="A585" s="42"/>
      <c r="B585" s="42"/>
      <c r="C585" s="42"/>
      <c r="D585" s="42"/>
      <c r="E585" s="42"/>
      <c r="F585" s="42"/>
    </row>
    <row r="586">
      <c r="A586" s="42"/>
      <c r="B586" s="42"/>
      <c r="C586" s="42"/>
      <c r="D586" s="42"/>
      <c r="E586" s="42"/>
      <c r="F586" s="42"/>
    </row>
    <row r="587">
      <c r="A587" s="42"/>
      <c r="B587" s="42"/>
      <c r="C587" s="42"/>
      <c r="D587" s="42"/>
      <c r="E587" s="42"/>
      <c r="F587" s="42"/>
    </row>
    <row r="588">
      <c r="A588" s="42"/>
      <c r="B588" s="42"/>
      <c r="C588" s="42"/>
      <c r="D588" s="42"/>
      <c r="E588" s="42"/>
      <c r="F588" s="42"/>
    </row>
    <row r="589">
      <c r="A589" s="42"/>
      <c r="B589" s="42"/>
      <c r="C589" s="42"/>
      <c r="D589" s="42"/>
      <c r="E589" s="42"/>
      <c r="F589" s="42"/>
    </row>
    <row r="590">
      <c r="A590" s="42"/>
      <c r="B590" s="42"/>
      <c r="C590" s="42"/>
      <c r="D590" s="42"/>
      <c r="E590" s="42"/>
      <c r="F590" s="42"/>
    </row>
    <row r="591">
      <c r="A591" s="42"/>
      <c r="B591" s="42"/>
      <c r="C591" s="42"/>
      <c r="D591" s="42"/>
      <c r="E591" s="42"/>
      <c r="F591" s="42"/>
    </row>
    <row r="592">
      <c r="A592" s="42"/>
      <c r="B592" s="42"/>
      <c r="C592" s="42"/>
      <c r="D592" s="42"/>
      <c r="E592" s="42"/>
      <c r="F592" s="42"/>
    </row>
    <row r="593">
      <c r="A593" s="42"/>
      <c r="B593" s="42"/>
      <c r="C593" s="42"/>
      <c r="D593" s="42"/>
      <c r="E593" s="42"/>
      <c r="F593" s="42"/>
    </row>
    <row r="594">
      <c r="A594" s="42"/>
      <c r="B594" s="42"/>
      <c r="C594" s="42"/>
      <c r="D594" s="42"/>
      <c r="E594" s="42"/>
      <c r="F594" s="42"/>
    </row>
    <row r="595">
      <c r="A595" s="42"/>
      <c r="B595" s="42"/>
      <c r="C595" s="42"/>
      <c r="D595" s="42"/>
      <c r="E595" s="42"/>
      <c r="F595" s="42"/>
    </row>
    <row r="596">
      <c r="A596" s="42"/>
      <c r="B596" s="42"/>
      <c r="C596" s="42"/>
      <c r="D596" s="42"/>
      <c r="E596" s="42"/>
      <c r="F596" s="42"/>
    </row>
    <row r="597">
      <c r="A597" s="42"/>
      <c r="B597" s="42"/>
      <c r="C597" s="42"/>
      <c r="D597" s="42"/>
      <c r="E597" s="42"/>
      <c r="F597" s="42"/>
    </row>
    <row r="598">
      <c r="A598" s="42"/>
      <c r="B598" s="42"/>
      <c r="C598" s="42"/>
      <c r="D598" s="42"/>
      <c r="E598" s="42"/>
      <c r="F598" s="42"/>
    </row>
    <row r="599">
      <c r="A599" s="42"/>
      <c r="B599" s="42"/>
      <c r="C599" s="42"/>
      <c r="D599" s="42"/>
      <c r="E599" s="42"/>
      <c r="F599" s="42"/>
    </row>
    <row r="600">
      <c r="A600" s="42"/>
      <c r="B600" s="42"/>
      <c r="C600" s="42"/>
      <c r="D600" s="42"/>
      <c r="E600" s="42"/>
      <c r="F600" s="42"/>
    </row>
    <row r="601">
      <c r="A601" s="42"/>
      <c r="B601" s="42"/>
      <c r="C601" s="42"/>
      <c r="D601" s="42"/>
      <c r="E601" s="42"/>
      <c r="F601" s="42"/>
    </row>
    <row r="602">
      <c r="A602" s="42"/>
      <c r="B602" s="42"/>
      <c r="C602" s="42"/>
      <c r="D602" s="42"/>
      <c r="E602" s="42"/>
      <c r="F602" s="42"/>
    </row>
    <row r="603">
      <c r="A603" s="42"/>
      <c r="B603" s="42"/>
      <c r="C603" s="42"/>
      <c r="D603" s="42"/>
      <c r="E603" s="42"/>
      <c r="F603" s="42"/>
    </row>
    <row r="604">
      <c r="A604" s="42"/>
      <c r="B604" s="42"/>
      <c r="C604" s="42"/>
      <c r="D604" s="42"/>
      <c r="E604" s="42"/>
      <c r="F604" s="42"/>
    </row>
    <row r="605">
      <c r="A605" s="42"/>
      <c r="B605" s="42"/>
      <c r="C605" s="42"/>
      <c r="D605" s="42"/>
      <c r="E605" s="42"/>
      <c r="F605" s="42"/>
    </row>
    <row r="606">
      <c r="A606" s="42"/>
      <c r="B606" s="42"/>
      <c r="C606" s="42"/>
      <c r="D606" s="42"/>
      <c r="E606" s="42"/>
      <c r="F606" s="42"/>
    </row>
    <row r="607">
      <c r="A607" s="42"/>
      <c r="B607" s="42"/>
      <c r="C607" s="42"/>
      <c r="D607" s="42"/>
      <c r="E607" s="42"/>
      <c r="F607" s="42"/>
    </row>
    <row r="608">
      <c r="A608" s="42"/>
      <c r="B608" s="42"/>
      <c r="C608" s="42"/>
      <c r="D608" s="42"/>
      <c r="E608" s="42"/>
      <c r="F608" s="42"/>
    </row>
    <row r="609">
      <c r="A609" s="42"/>
      <c r="B609" s="42"/>
      <c r="C609" s="42"/>
      <c r="D609" s="42"/>
      <c r="E609" s="42"/>
      <c r="F609" s="42"/>
    </row>
    <row r="610">
      <c r="A610" s="42"/>
      <c r="B610" s="42"/>
      <c r="C610" s="42"/>
      <c r="D610" s="42"/>
      <c r="E610" s="42"/>
      <c r="F610" s="42"/>
    </row>
    <row r="611">
      <c r="A611" s="42"/>
      <c r="B611" s="42"/>
      <c r="C611" s="42"/>
      <c r="D611" s="42"/>
      <c r="E611" s="42"/>
      <c r="F611" s="42"/>
    </row>
    <row r="612">
      <c r="A612" s="42"/>
      <c r="B612" s="42"/>
      <c r="C612" s="42"/>
      <c r="D612" s="42"/>
      <c r="E612" s="42"/>
      <c r="F612" s="42"/>
    </row>
    <row r="613">
      <c r="A613" s="42"/>
      <c r="B613" s="42"/>
      <c r="C613" s="42"/>
      <c r="D613" s="42"/>
      <c r="E613" s="42"/>
      <c r="F613" s="42"/>
    </row>
    <row r="614">
      <c r="A614" s="42"/>
      <c r="B614" s="42"/>
      <c r="C614" s="42"/>
      <c r="D614" s="42"/>
      <c r="E614" s="42"/>
      <c r="F614" s="42"/>
    </row>
    <row r="615">
      <c r="A615" s="42"/>
      <c r="B615" s="42"/>
      <c r="C615" s="42"/>
      <c r="D615" s="42"/>
      <c r="E615" s="42"/>
      <c r="F615" s="42"/>
    </row>
    <row r="616">
      <c r="A616" s="42"/>
      <c r="B616" s="42"/>
      <c r="C616" s="42"/>
      <c r="D616" s="42"/>
      <c r="E616" s="42"/>
      <c r="F616" s="42"/>
    </row>
    <row r="617">
      <c r="A617" s="42"/>
      <c r="B617" s="42"/>
      <c r="C617" s="42"/>
      <c r="D617" s="42"/>
      <c r="E617" s="42"/>
      <c r="F617" s="42"/>
    </row>
    <row r="618">
      <c r="A618" s="42"/>
      <c r="B618" s="42"/>
      <c r="C618" s="42"/>
      <c r="D618" s="42"/>
      <c r="E618" s="42"/>
      <c r="F618" s="42"/>
    </row>
    <row r="619">
      <c r="A619" s="42"/>
      <c r="B619" s="42"/>
      <c r="C619" s="42"/>
      <c r="D619" s="42"/>
      <c r="E619" s="42"/>
      <c r="F619" s="42"/>
    </row>
    <row r="620">
      <c r="A620" s="42"/>
      <c r="B620" s="42"/>
      <c r="C620" s="42"/>
      <c r="D620" s="42"/>
      <c r="E620" s="42"/>
      <c r="F620" s="42"/>
    </row>
    <row r="621">
      <c r="A621" s="42"/>
      <c r="B621" s="42"/>
      <c r="C621" s="42"/>
      <c r="D621" s="42"/>
      <c r="E621" s="42"/>
      <c r="F621" s="42"/>
    </row>
    <row r="622">
      <c r="A622" s="42"/>
      <c r="B622" s="42"/>
      <c r="C622" s="42"/>
      <c r="D622" s="42"/>
      <c r="E622" s="42"/>
      <c r="F622" s="42"/>
    </row>
    <row r="623">
      <c r="A623" s="42"/>
      <c r="B623" s="42"/>
      <c r="C623" s="42"/>
      <c r="D623" s="42"/>
      <c r="E623" s="42"/>
      <c r="F623" s="42"/>
    </row>
    <row r="624">
      <c r="A624" s="42"/>
      <c r="B624" s="42"/>
      <c r="C624" s="42"/>
      <c r="D624" s="42"/>
      <c r="E624" s="42"/>
      <c r="F624" s="42"/>
    </row>
    <row r="625">
      <c r="A625" s="42"/>
      <c r="B625" s="42"/>
      <c r="C625" s="42"/>
      <c r="D625" s="42"/>
      <c r="E625" s="42"/>
      <c r="F625" s="42"/>
    </row>
    <row r="626">
      <c r="A626" s="42"/>
      <c r="B626" s="42"/>
      <c r="C626" s="42"/>
      <c r="D626" s="42"/>
      <c r="E626" s="42"/>
      <c r="F626" s="42"/>
    </row>
    <row r="627">
      <c r="A627" s="42"/>
      <c r="B627" s="42"/>
      <c r="C627" s="42"/>
      <c r="D627" s="42"/>
      <c r="E627" s="42"/>
      <c r="F627" s="42"/>
    </row>
    <row r="628">
      <c r="A628" s="42"/>
      <c r="B628" s="42"/>
      <c r="C628" s="42"/>
      <c r="D628" s="42"/>
      <c r="E628" s="42"/>
      <c r="F628" s="42"/>
    </row>
    <row r="629">
      <c r="A629" s="42"/>
      <c r="B629" s="42"/>
      <c r="C629" s="42"/>
      <c r="D629" s="42"/>
      <c r="E629" s="42"/>
      <c r="F629" s="42"/>
    </row>
    <row r="630">
      <c r="A630" s="42"/>
      <c r="B630" s="42"/>
      <c r="C630" s="42"/>
      <c r="D630" s="42"/>
      <c r="E630" s="42"/>
      <c r="F630" s="42"/>
    </row>
    <row r="631">
      <c r="A631" s="42"/>
      <c r="B631" s="42"/>
      <c r="C631" s="42"/>
      <c r="D631" s="42"/>
      <c r="E631" s="42"/>
      <c r="F631" s="42"/>
    </row>
    <row r="632">
      <c r="A632" s="42"/>
      <c r="B632" s="42"/>
      <c r="C632" s="42"/>
      <c r="D632" s="42"/>
      <c r="E632" s="42"/>
      <c r="F632" s="42"/>
    </row>
    <row r="633">
      <c r="A633" s="42"/>
      <c r="B633" s="42"/>
      <c r="C633" s="42"/>
      <c r="D633" s="42"/>
      <c r="E633" s="42"/>
      <c r="F633" s="42"/>
    </row>
    <row r="634">
      <c r="A634" s="42"/>
      <c r="B634" s="42"/>
      <c r="C634" s="42"/>
      <c r="D634" s="42"/>
      <c r="E634" s="42"/>
      <c r="F634" s="42"/>
    </row>
    <row r="635">
      <c r="A635" s="42"/>
      <c r="B635" s="42"/>
      <c r="C635" s="42"/>
      <c r="D635" s="42"/>
      <c r="E635" s="42"/>
      <c r="F635" s="42"/>
    </row>
    <row r="636">
      <c r="A636" s="42"/>
      <c r="B636" s="42"/>
      <c r="C636" s="42"/>
      <c r="D636" s="42"/>
      <c r="E636" s="42"/>
      <c r="F636" s="42"/>
    </row>
    <row r="637">
      <c r="A637" s="42"/>
      <c r="B637" s="42"/>
      <c r="C637" s="42"/>
      <c r="D637" s="42"/>
      <c r="E637" s="42"/>
      <c r="F637" s="42"/>
    </row>
    <row r="638">
      <c r="A638" s="42"/>
      <c r="B638" s="42"/>
      <c r="C638" s="42"/>
      <c r="D638" s="42"/>
      <c r="E638" s="42"/>
      <c r="F638" s="42"/>
    </row>
    <row r="639">
      <c r="A639" s="42"/>
      <c r="B639" s="42"/>
      <c r="C639" s="42"/>
      <c r="D639" s="42"/>
      <c r="E639" s="42"/>
      <c r="F639" s="42"/>
    </row>
    <row r="640">
      <c r="A640" s="42"/>
      <c r="B640" s="42"/>
      <c r="C640" s="42"/>
      <c r="D640" s="42"/>
      <c r="E640" s="42"/>
      <c r="F640" s="42"/>
    </row>
    <row r="641">
      <c r="A641" s="42"/>
      <c r="B641" s="42"/>
      <c r="C641" s="42"/>
      <c r="D641" s="42"/>
      <c r="E641" s="42"/>
      <c r="F641" s="42"/>
    </row>
    <row r="642">
      <c r="A642" s="42"/>
      <c r="B642" s="42"/>
      <c r="C642" s="42"/>
      <c r="D642" s="42"/>
      <c r="E642" s="42"/>
      <c r="F642" s="42"/>
    </row>
    <row r="643">
      <c r="A643" s="42"/>
      <c r="B643" s="42"/>
      <c r="C643" s="42"/>
      <c r="D643" s="42"/>
      <c r="E643" s="42"/>
      <c r="F643" s="42"/>
    </row>
    <row r="644">
      <c r="A644" s="42"/>
      <c r="B644" s="42"/>
      <c r="C644" s="42"/>
      <c r="D644" s="42"/>
      <c r="E644" s="42"/>
      <c r="F644" s="42"/>
    </row>
    <row r="645">
      <c r="A645" s="42"/>
      <c r="B645" s="42"/>
      <c r="C645" s="42"/>
      <c r="D645" s="42"/>
      <c r="E645" s="42"/>
      <c r="F645" s="42"/>
    </row>
    <row r="646">
      <c r="A646" s="42"/>
      <c r="B646" s="42"/>
      <c r="C646" s="42"/>
      <c r="D646" s="42"/>
      <c r="E646" s="42"/>
      <c r="F646" s="42"/>
    </row>
    <row r="647">
      <c r="A647" s="42"/>
      <c r="B647" s="42"/>
      <c r="C647" s="42"/>
      <c r="D647" s="42"/>
      <c r="E647" s="42"/>
      <c r="F647" s="42"/>
    </row>
    <row r="648">
      <c r="A648" s="42"/>
      <c r="B648" s="42"/>
      <c r="C648" s="42"/>
      <c r="D648" s="42"/>
      <c r="E648" s="42"/>
      <c r="F648" s="42"/>
    </row>
    <row r="649">
      <c r="A649" s="42"/>
      <c r="B649" s="42"/>
      <c r="C649" s="42"/>
      <c r="D649" s="42"/>
      <c r="E649" s="42"/>
      <c r="F649" s="42"/>
    </row>
    <row r="650">
      <c r="A650" s="42"/>
      <c r="B650" s="42"/>
      <c r="C650" s="42"/>
      <c r="D650" s="42"/>
      <c r="E650" s="42"/>
      <c r="F650" s="42"/>
    </row>
    <row r="651">
      <c r="A651" s="42"/>
      <c r="B651" s="42"/>
      <c r="C651" s="42"/>
      <c r="D651" s="42"/>
      <c r="E651" s="42"/>
      <c r="F651" s="42"/>
    </row>
    <row r="652">
      <c r="A652" s="42"/>
      <c r="B652" s="42"/>
      <c r="C652" s="42"/>
      <c r="D652" s="42"/>
      <c r="E652" s="42"/>
      <c r="F652" s="42"/>
    </row>
    <row r="653">
      <c r="A653" s="42"/>
      <c r="B653" s="42"/>
      <c r="C653" s="42"/>
      <c r="D653" s="42"/>
      <c r="E653" s="42"/>
      <c r="F653" s="42"/>
    </row>
    <row r="654">
      <c r="A654" s="42"/>
      <c r="B654" s="42"/>
      <c r="C654" s="42"/>
      <c r="D654" s="42"/>
      <c r="E654" s="42"/>
      <c r="F654" s="42"/>
    </row>
    <row r="655">
      <c r="A655" s="42"/>
      <c r="B655" s="42"/>
      <c r="C655" s="42"/>
      <c r="D655" s="42"/>
      <c r="E655" s="42"/>
      <c r="F655" s="42"/>
    </row>
    <row r="656">
      <c r="A656" s="42"/>
      <c r="B656" s="42"/>
      <c r="C656" s="42"/>
      <c r="D656" s="42"/>
      <c r="E656" s="42"/>
      <c r="F656" s="42"/>
    </row>
    <row r="657">
      <c r="A657" s="42"/>
      <c r="B657" s="42"/>
      <c r="C657" s="42"/>
      <c r="D657" s="42"/>
      <c r="E657" s="42"/>
      <c r="F657" s="42"/>
    </row>
    <row r="658">
      <c r="A658" s="42"/>
      <c r="B658" s="42"/>
      <c r="C658" s="42"/>
      <c r="D658" s="42"/>
      <c r="E658" s="42"/>
      <c r="F658" s="42"/>
    </row>
    <row r="659">
      <c r="A659" s="42"/>
      <c r="B659" s="42"/>
      <c r="C659" s="42"/>
      <c r="D659" s="42"/>
      <c r="E659" s="42"/>
      <c r="F659" s="42"/>
    </row>
    <row r="660">
      <c r="A660" s="42"/>
      <c r="B660" s="42"/>
      <c r="C660" s="42"/>
      <c r="D660" s="42"/>
      <c r="E660" s="42"/>
      <c r="F660" s="42"/>
    </row>
    <row r="661">
      <c r="A661" s="42"/>
      <c r="B661" s="42"/>
      <c r="C661" s="42"/>
      <c r="D661" s="42"/>
      <c r="E661" s="42"/>
      <c r="F661" s="42"/>
    </row>
    <row r="662">
      <c r="A662" s="42"/>
      <c r="B662" s="42"/>
      <c r="C662" s="42"/>
      <c r="D662" s="42"/>
      <c r="E662" s="42"/>
      <c r="F662" s="42"/>
    </row>
    <row r="663">
      <c r="A663" s="42"/>
      <c r="B663" s="42"/>
      <c r="C663" s="42"/>
      <c r="D663" s="42"/>
      <c r="E663" s="42"/>
      <c r="F663" s="42"/>
    </row>
    <row r="664">
      <c r="A664" s="42"/>
      <c r="B664" s="42"/>
      <c r="C664" s="42"/>
      <c r="D664" s="42"/>
      <c r="E664" s="42"/>
      <c r="F664" s="42"/>
    </row>
    <row r="665">
      <c r="A665" s="42"/>
      <c r="B665" s="42"/>
      <c r="C665" s="42"/>
      <c r="D665" s="42"/>
      <c r="E665" s="42"/>
      <c r="F665" s="42"/>
    </row>
    <row r="666">
      <c r="A666" s="42"/>
      <c r="B666" s="42"/>
      <c r="C666" s="42"/>
      <c r="D666" s="42"/>
      <c r="E666" s="42"/>
      <c r="F666" s="42"/>
    </row>
    <row r="667">
      <c r="A667" s="42"/>
      <c r="B667" s="42"/>
      <c r="C667" s="42"/>
      <c r="D667" s="42"/>
      <c r="E667" s="42"/>
      <c r="F667" s="42"/>
    </row>
    <row r="668">
      <c r="A668" s="42"/>
      <c r="B668" s="42"/>
      <c r="C668" s="42"/>
      <c r="D668" s="42"/>
      <c r="E668" s="42"/>
      <c r="F668" s="42"/>
    </row>
    <row r="669">
      <c r="A669" s="42"/>
      <c r="B669" s="42"/>
      <c r="C669" s="42"/>
      <c r="D669" s="42"/>
      <c r="E669" s="42"/>
      <c r="F669" s="42"/>
    </row>
    <row r="670">
      <c r="A670" s="42"/>
      <c r="B670" s="42"/>
      <c r="C670" s="42"/>
      <c r="D670" s="42"/>
      <c r="E670" s="42"/>
      <c r="F670" s="42"/>
    </row>
    <row r="671">
      <c r="A671" s="42"/>
      <c r="B671" s="42"/>
      <c r="C671" s="42"/>
      <c r="D671" s="42"/>
      <c r="E671" s="42"/>
      <c r="F671" s="42"/>
    </row>
    <row r="672">
      <c r="A672" s="42"/>
      <c r="B672" s="42"/>
      <c r="C672" s="42"/>
      <c r="D672" s="42"/>
      <c r="E672" s="42"/>
      <c r="F672" s="42"/>
    </row>
    <row r="673">
      <c r="A673" s="42"/>
      <c r="B673" s="42"/>
      <c r="C673" s="42"/>
      <c r="D673" s="42"/>
      <c r="E673" s="42"/>
      <c r="F673" s="42"/>
    </row>
    <row r="674">
      <c r="A674" s="42"/>
      <c r="B674" s="42"/>
      <c r="C674" s="42"/>
      <c r="D674" s="42"/>
      <c r="E674" s="42"/>
      <c r="F674" s="42"/>
    </row>
    <row r="675">
      <c r="A675" s="42"/>
      <c r="B675" s="42"/>
      <c r="C675" s="42"/>
      <c r="D675" s="42"/>
      <c r="E675" s="42"/>
      <c r="F675" s="42"/>
    </row>
    <row r="676">
      <c r="A676" s="42"/>
      <c r="B676" s="42"/>
      <c r="C676" s="42"/>
      <c r="D676" s="42"/>
      <c r="E676" s="42"/>
      <c r="F676" s="42"/>
    </row>
    <row r="677">
      <c r="A677" s="42"/>
      <c r="B677" s="42"/>
      <c r="C677" s="42"/>
      <c r="D677" s="42"/>
      <c r="E677" s="42"/>
      <c r="F677" s="42"/>
    </row>
    <row r="678">
      <c r="A678" s="42"/>
      <c r="B678" s="42"/>
      <c r="C678" s="42"/>
      <c r="D678" s="42"/>
      <c r="E678" s="42"/>
      <c r="F678" s="42"/>
    </row>
    <row r="679">
      <c r="A679" s="42"/>
      <c r="B679" s="42"/>
      <c r="C679" s="42"/>
      <c r="D679" s="42"/>
      <c r="E679" s="42"/>
      <c r="F679" s="42"/>
    </row>
    <row r="680">
      <c r="A680" s="42"/>
      <c r="B680" s="42"/>
      <c r="C680" s="42"/>
      <c r="D680" s="42"/>
      <c r="E680" s="42"/>
      <c r="F680" s="42"/>
    </row>
    <row r="681">
      <c r="A681" s="42"/>
      <c r="B681" s="42"/>
      <c r="C681" s="42"/>
      <c r="D681" s="42"/>
      <c r="E681" s="42"/>
      <c r="F681" s="42"/>
    </row>
    <row r="682">
      <c r="A682" s="42"/>
      <c r="B682" s="42"/>
      <c r="C682" s="42"/>
      <c r="D682" s="42"/>
      <c r="E682" s="42"/>
      <c r="F682" s="42"/>
    </row>
    <row r="683">
      <c r="A683" s="42"/>
      <c r="B683" s="42"/>
      <c r="C683" s="42"/>
      <c r="D683" s="42"/>
      <c r="E683" s="42"/>
      <c r="F683" s="42"/>
    </row>
    <row r="684">
      <c r="A684" s="42"/>
      <c r="B684" s="42"/>
      <c r="C684" s="42"/>
      <c r="D684" s="42"/>
      <c r="E684" s="42"/>
      <c r="F684" s="42"/>
    </row>
    <row r="685">
      <c r="A685" s="42"/>
      <c r="B685" s="42"/>
      <c r="C685" s="42"/>
      <c r="D685" s="42"/>
      <c r="E685" s="42"/>
      <c r="F685" s="42"/>
    </row>
    <row r="686">
      <c r="A686" s="42"/>
      <c r="B686" s="42"/>
      <c r="C686" s="42"/>
      <c r="D686" s="42"/>
      <c r="E686" s="42"/>
      <c r="F686" s="42"/>
    </row>
    <row r="687">
      <c r="A687" s="42"/>
      <c r="B687" s="42"/>
      <c r="C687" s="42"/>
      <c r="D687" s="42"/>
      <c r="E687" s="42"/>
      <c r="F687" s="42"/>
    </row>
    <row r="688">
      <c r="A688" s="42"/>
      <c r="B688" s="42"/>
      <c r="C688" s="42"/>
      <c r="D688" s="42"/>
      <c r="E688" s="42"/>
      <c r="F688" s="42"/>
    </row>
    <row r="689">
      <c r="A689" s="42"/>
      <c r="B689" s="42"/>
      <c r="C689" s="42"/>
      <c r="D689" s="42"/>
      <c r="E689" s="42"/>
      <c r="F689" s="42"/>
    </row>
    <row r="690">
      <c r="A690" s="42"/>
      <c r="B690" s="42"/>
      <c r="C690" s="42"/>
      <c r="D690" s="42"/>
      <c r="E690" s="42"/>
      <c r="F690" s="42"/>
    </row>
    <row r="691">
      <c r="A691" s="42"/>
      <c r="B691" s="42"/>
      <c r="C691" s="42"/>
      <c r="D691" s="42"/>
      <c r="E691" s="42"/>
      <c r="F691" s="42"/>
    </row>
    <row r="692">
      <c r="A692" s="42"/>
      <c r="B692" s="42"/>
      <c r="C692" s="42"/>
      <c r="D692" s="42"/>
      <c r="E692" s="42"/>
      <c r="F692" s="42"/>
    </row>
    <row r="693">
      <c r="A693" s="42"/>
      <c r="B693" s="42"/>
      <c r="C693" s="42"/>
      <c r="D693" s="42"/>
      <c r="E693" s="42"/>
      <c r="F693" s="42"/>
    </row>
    <row r="694">
      <c r="A694" s="42"/>
      <c r="B694" s="42"/>
      <c r="C694" s="42"/>
      <c r="D694" s="42"/>
      <c r="E694" s="42"/>
      <c r="F694" s="42"/>
    </row>
    <row r="695">
      <c r="A695" s="42"/>
      <c r="B695" s="42"/>
      <c r="C695" s="42"/>
      <c r="D695" s="42"/>
      <c r="E695" s="42"/>
      <c r="F695" s="42"/>
    </row>
    <row r="696">
      <c r="A696" s="42"/>
      <c r="B696" s="42"/>
      <c r="C696" s="42"/>
      <c r="D696" s="42"/>
      <c r="E696" s="42"/>
      <c r="F696" s="42"/>
    </row>
    <row r="697">
      <c r="A697" s="42"/>
      <c r="B697" s="42"/>
      <c r="C697" s="42"/>
      <c r="D697" s="42"/>
      <c r="E697" s="42"/>
      <c r="F697" s="42"/>
    </row>
    <row r="698">
      <c r="A698" s="42"/>
      <c r="B698" s="42"/>
      <c r="C698" s="42"/>
      <c r="D698" s="42"/>
      <c r="E698" s="42"/>
      <c r="F698" s="42"/>
    </row>
    <row r="699">
      <c r="A699" s="42"/>
      <c r="B699" s="42"/>
      <c r="C699" s="42"/>
      <c r="D699" s="42"/>
      <c r="E699" s="42"/>
      <c r="F699" s="42"/>
    </row>
    <row r="700">
      <c r="A700" s="42"/>
      <c r="B700" s="42"/>
      <c r="C700" s="42"/>
      <c r="D700" s="42"/>
      <c r="E700" s="42"/>
      <c r="F700" s="42"/>
    </row>
    <row r="701">
      <c r="A701" s="42"/>
      <c r="B701" s="42"/>
      <c r="C701" s="42"/>
      <c r="D701" s="42"/>
      <c r="E701" s="42"/>
      <c r="F701" s="42"/>
    </row>
    <row r="702">
      <c r="A702" s="42"/>
      <c r="B702" s="42"/>
      <c r="C702" s="42"/>
      <c r="D702" s="42"/>
      <c r="E702" s="42"/>
      <c r="F702" s="42"/>
    </row>
    <row r="703">
      <c r="A703" s="42"/>
      <c r="B703" s="42"/>
      <c r="C703" s="42"/>
      <c r="D703" s="42"/>
      <c r="E703" s="42"/>
      <c r="F703" s="42"/>
    </row>
    <row r="704">
      <c r="A704" s="42"/>
      <c r="B704" s="42"/>
      <c r="C704" s="42"/>
      <c r="D704" s="42"/>
      <c r="E704" s="42"/>
      <c r="F704" s="42"/>
    </row>
    <row r="705">
      <c r="A705" s="42"/>
      <c r="B705" s="42"/>
      <c r="C705" s="42"/>
      <c r="D705" s="42"/>
      <c r="E705" s="42"/>
      <c r="F705" s="42"/>
    </row>
    <row r="706">
      <c r="A706" s="42"/>
      <c r="B706" s="42"/>
      <c r="C706" s="42"/>
      <c r="D706" s="42"/>
      <c r="E706" s="42"/>
      <c r="F706" s="42"/>
    </row>
    <row r="707">
      <c r="A707" s="42"/>
      <c r="B707" s="42"/>
      <c r="C707" s="42"/>
      <c r="D707" s="42"/>
      <c r="E707" s="42"/>
      <c r="F707" s="42"/>
    </row>
    <row r="708">
      <c r="A708" s="42"/>
      <c r="B708" s="42"/>
      <c r="C708" s="42"/>
      <c r="D708" s="42"/>
      <c r="E708" s="42"/>
      <c r="F708" s="42"/>
    </row>
    <row r="709">
      <c r="A709" s="42"/>
      <c r="B709" s="42"/>
      <c r="C709" s="42"/>
      <c r="D709" s="42"/>
      <c r="E709" s="42"/>
      <c r="F709" s="42"/>
    </row>
    <row r="710">
      <c r="A710" s="42"/>
      <c r="B710" s="42"/>
      <c r="C710" s="42"/>
      <c r="D710" s="42"/>
      <c r="E710" s="42"/>
      <c r="F710" s="42"/>
    </row>
    <row r="711">
      <c r="A711" s="42"/>
      <c r="B711" s="42"/>
      <c r="C711" s="42"/>
      <c r="D711" s="42"/>
      <c r="E711" s="42"/>
      <c r="F711" s="42"/>
    </row>
    <row r="712">
      <c r="A712" s="42"/>
      <c r="B712" s="42"/>
      <c r="C712" s="42"/>
      <c r="D712" s="42"/>
      <c r="E712" s="42"/>
      <c r="F712" s="42"/>
    </row>
    <row r="713">
      <c r="A713" s="42"/>
      <c r="B713" s="42"/>
      <c r="C713" s="42"/>
      <c r="D713" s="42"/>
      <c r="E713" s="42"/>
      <c r="F713" s="42"/>
    </row>
    <row r="714">
      <c r="A714" s="42"/>
      <c r="B714" s="42"/>
      <c r="C714" s="42"/>
      <c r="D714" s="42"/>
      <c r="E714" s="42"/>
      <c r="F714" s="42"/>
    </row>
    <row r="715">
      <c r="A715" s="42"/>
      <c r="B715" s="42"/>
      <c r="C715" s="42"/>
      <c r="D715" s="42"/>
      <c r="E715" s="42"/>
      <c r="F715" s="42"/>
    </row>
    <row r="716">
      <c r="A716" s="42"/>
      <c r="B716" s="42"/>
      <c r="C716" s="42"/>
      <c r="D716" s="42"/>
      <c r="E716" s="42"/>
      <c r="F716" s="42"/>
    </row>
    <row r="717">
      <c r="A717" s="42"/>
      <c r="B717" s="42"/>
      <c r="C717" s="42"/>
      <c r="D717" s="42"/>
      <c r="E717" s="42"/>
      <c r="F717" s="42"/>
    </row>
    <row r="718">
      <c r="A718" s="42"/>
      <c r="B718" s="42"/>
      <c r="C718" s="42"/>
      <c r="D718" s="42"/>
      <c r="E718" s="42"/>
      <c r="F718" s="42"/>
    </row>
    <row r="719">
      <c r="A719" s="42"/>
      <c r="B719" s="42"/>
      <c r="C719" s="42"/>
      <c r="D719" s="42"/>
      <c r="E719" s="42"/>
      <c r="F719" s="42"/>
    </row>
    <row r="720">
      <c r="A720" s="42"/>
      <c r="B720" s="42"/>
      <c r="C720" s="42"/>
      <c r="D720" s="42"/>
      <c r="E720" s="42"/>
      <c r="F720" s="42"/>
    </row>
    <row r="721">
      <c r="A721" s="42"/>
      <c r="B721" s="42"/>
      <c r="C721" s="42"/>
      <c r="D721" s="42"/>
      <c r="E721" s="42"/>
      <c r="F721" s="42"/>
    </row>
    <row r="722">
      <c r="A722" s="42"/>
      <c r="B722" s="42"/>
      <c r="C722" s="42"/>
      <c r="D722" s="42"/>
      <c r="E722" s="42"/>
      <c r="F722" s="42"/>
    </row>
    <row r="723">
      <c r="A723" s="42"/>
      <c r="B723" s="42"/>
      <c r="C723" s="42"/>
      <c r="D723" s="42"/>
      <c r="E723" s="42"/>
      <c r="F723" s="42"/>
    </row>
    <row r="724">
      <c r="A724" s="42"/>
      <c r="B724" s="42"/>
      <c r="C724" s="42"/>
      <c r="D724" s="42"/>
      <c r="E724" s="42"/>
      <c r="F724" s="42"/>
    </row>
    <row r="725">
      <c r="A725" s="42"/>
      <c r="B725" s="42"/>
      <c r="C725" s="42"/>
      <c r="D725" s="42"/>
      <c r="E725" s="42"/>
      <c r="F725" s="42"/>
    </row>
    <row r="726">
      <c r="A726" s="42"/>
      <c r="B726" s="42"/>
      <c r="C726" s="42"/>
      <c r="D726" s="42"/>
      <c r="E726" s="42"/>
      <c r="F726" s="42"/>
    </row>
    <row r="727">
      <c r="A727" s="42"/>
      <c r="B727" s="42"/>
      <c r="C727" s="42"/>
      <c r="D727" s="42"/>
      <c r="E727" s="42"/>
      <c r="F727" s="42"/>
    </row>
    <row r="728">
      <c r="A728" s="42"/>
      <c r="B728" s="42"/>
      <c r="C728" s="42"/>
      <c r="D728" s="42"/>
      <c r="E728" s="42"/>
      <c r="F728" s="42"/>
    </row>
    <row r="729">
      <c r="A729" s="42"/>
      <c r="B729" s="42"/>
      <c r="C729" s="42"/>
      <c r="D729" s="42"/>
      <c r="E729" s="42"/>
      <c r="F729" s="42"/>
    </row>
    <row r="730">
      <c r="A730" s="42"/>
      <c r="B730" s="42"/>
      <c r="C730" s="42"/>
      <c r="D730" s="42"/>
      <c r="E730" s="42"/>
      <c r="F730" s="42"/>
    </row>
    <row r="731">
      <c r="A731" s="42"/>
      <c r="B731" s="42"/>
      <c r="C731" s="42"/>
      <c r="D731" s="42"/>
      <c r="E731" s="42"/>
      <c r="F731" s="42"/>
    </row>
    <row r="732">
      <c r="A732" s="42"/>
      <c r="B732" s="42"/>
      <c r="C732" s="42"/>
      <c r="D732" s="42"/>
      <c r="E732" s="42"/>
      <c r="F732" s="42"/>
    </row>
    <row r="733">
      <c r="A733" s="42"/>
      <c r="B733" s="42"/>
      <c r="C733" s="42"/>
      <c r="D733" s="42"/>
      <c r="E733" s="42"/>
      <c r="F733" s="42"/>
    </row>
    <row r="734">
      <c r="A734" s="42"/>
      <c r="B734" s="42"/>
      <c r="C734" s="42"/>
      <c r="D734" s="42"/>
      <c r="E734" s="42"/>
      <c r="F734" s="42"/>
    </row>
    <row r="735">
      <c r="A735" s="42"/>
      <c r="B735" s="42"/>
      <c r="C735" s="42"/>
      <c r="D735" s="42"/>
      <c r="E735" s="42"/>
      <c r="F735" s="42"/>
    </row>
    <row r="736">
      <c r="A736" s="42"/>
      <c r="B736" s="42"/>
      <c r="C736" s="42"/>
      <c r="D736" s="42"/>
      <c r="E736" s="42"/>
      <c r="F736" s="42"/>
    </row>
    <row r="737">
      <c r="A737" s="42"/>
      <c r="B737" s="42"/>
      <c r="C737" s="42"/>
      <c r="D737" s="42"/>
      <c r="E737" s="42"/>
      <c r="F737" s="42"/>
    </row>
    <row r="738">
      <c r="A738" s="42"/>
      <c r="B738" s="42"/>
      <c r="C738" s="42"/>
      <c r="D738" s="42"/>
      <c r="E738" s="42"/>
      <c r="F738" s="42"/>
    </row>
    <row r="739">
      <c r="A739" s="42"/>
      <c r="B739" s="42"/>
      <c r="C739" s="42"/>
      <c r="D739" s="42"/>
      <c r="E739" s="42"/>
      <c r="F739" s="42"/>
    </row>
    <row r="740">
      <c r="A740" s="42"/>
      <c r="B740" s="42"/>
      <c r="C740" s="42"/>
      <c r="D740" s="42"/>
      <c r="E740" s="42"/>
      <c r="F740" s="42"/>
    </row>
    <row r="741">
      <c r="A741" s="42"/>
      <c r="B741" s="42"/>
      <c r="C741" s="42"/>
      <c r="D741" s="42"/>
      <c r="E741" s="42"/>
      <c r="F741" s="42"/>
    </row>
    <row r="742">
      <c r="A742" s="42"/>
      <c r="B742" s="42"/>
      <c r="C742" s="42"/>
      <c r="D742" s="42"/>
      <c r="E742" s="42"/>
      <c r="F742" s="42"/>
    </row>
    <row r="743">
      <c r="A743" s="42"/>
      <c r="B743" s="42"/>
      <c r="C743" s="42"/>
      <c r="D743" s="42"/>
      <c r="E743" s="42"/>
      <c r="F743" s="42"/>
    </row>
    <row r="744">
      <c r="A744" s="42"/>
      <c r="B744" s="42"/>
      <c r="C744" s="42"/>
      <c r="D744" s="42"/>
      <c r="E744" s="42"/>
      <c r="F744" s="42"/>
    </row>
    <row r="745">
      <c r="A745" s="42"/>
      <c r="B745" s="42"/>
      <c r="C745" s="42"/>
      <c r="D745" s="42"/>
      <c r="E745" s="42"/>
      <c r="F745" s="42"/>
    </row>
    <row r="746">
      <c r="A746" s="42"/>
      <c r="B746" s="42"/>
      <c r="C746" s="42"/>
      <c r="D746" s="42"/>
      <c r="E746" s="42"/>
      <c r="F746" s="42"/>
    </row>
    <row r="747">
      <c r="A747" s="42"/>
      <c r="B747" s="42"/>
      <c r="C747" s="42"/>
      <c r="D747" s="42"/>
      <c r="E747" s="42"/>
      <c r="F747" s="42"/>
    </row>
    <row r="748">
      <c r="A748" s="42"/>
      <c r="B748" s="42"/>
      <c r="C748" s="42"/>
      <c r="D748" s="42"/>
      <c r="E748" s="42"/>
      <c r="F748" s="42"/>
    </row>
    <row r="749">
      <c r="A749" s="42"/>
      <c r="B749" s="42"/>
      <c r="C749" s="42"/>
      <c r="D749" s="42"/>
      <c r="E749" s="42"/>
      <c r="F749" s="42"/>
    </row>
    <row r="750">
      <c r="A750" s="42"/>
      <c r="B750" s="42"/>
      <c r="C750" s="42"/>
      <c r="D750" s="42"/>
      <c r="E750" s="42"/>
      <c r="F750" s="42"/>
    </row>
    <row r="751">
      <c r="A751" s="42"/>
      <c r="B751" s="42"/>
      <c r="C751" s="42"/>
      <c r="D751" s="42"/>
      <c r="E751" s="42"/>
      <c r="F751" s="42"/>
    </row>
    <row r="752">
      <c r="A752" s="42"/>
      <c r="B752" s="42"/>
      <c r="C752" s="42"/>
      <c r="D752" s="42"/>
      <c r="E752" s="42"/>
      <c r="F752" s="42"/>
    </row>
    <row r="753">
      <c r="A753" s="42"/>
      <c r="B753" s="42"/>
      <c r="C753" s="42"/>
      <c r="D753" s="42"/>
      <c r="E753" s="42"/>
      <c r="F753" s="42"/>
    </row>
    <row r="754">
      <c r="A754" s="42"/>
      <c r="B754" s="42"/>
      <c r="C754" s="42"/>
      <c r="D754" s="42"/>
      <c r="E754" s="42"/>
      <c r="F754" s="42"/>
    </row>
    <row r="755">
      <c r="A755" s="42"/>
      <c r="B755" s="42"/>
      <c r="C755" s="42"/>
      <c r="D755" s="42"/>
      <c r="E755" s="42"/>
      <c r="F755" s="42"/>
    </row>
    <row r="756">
      <c r="A756" s="42"/>
      <c r="B756" s="42"/>
      <c r="C756" s="42"/>
      <c r="D756" s="42"/>
      <c r="E756" s="42"/>
      <c r="F756" s="42"/>
    </row>
    <row r="757">
      <c r="A757" s="42"/>
      <c r="B757" s="42"/>
      <c r="C757" s="42"/>
      <c r="D757" s="42"/>
      <c r="E757" s="42"/>
      <c r="F757" s="42"/>
    </row>
    <row r="758">
      <c r="A758" s="42"/>
      <c r="B758" s="42"/>
      <c r="C758" s="42"/>
      <c r="D758" s="42"/>
      <c r="E758" s="42"/>
      <c r="F758" s="42"/>
    </row>
    <row r="759">
      <c r="A759" s="42"/>
      <c r="B759" s="42"/>
      <c r="C759" s="42"/>
      <c r="D759" s="42"/>
      <c r="E759" s="42"/>
      <c r="F759" s="42"/>
    </row>
    <row r="760">
      <c r="A760" s="42"/>
      <c r="B760" s="42"/>
      <c r="C760" s="42"/>
      <c r="D760" s="42"/>
      <c r="E760" s="42"/>
      <c r="F760" s="42"/>
    </row>
    <row r="761">
      <c r="A761" s="42"/>
      <c r="B761" s="42"/>
      <c r="C761" s="42"/>
      <c r="D761" s="42"/>
      <c r="E761" s="42"/>
      <c r="F761" s="42"/>
    </row>
    <row r="762">
      <c r="A762" s="42"/>
      <c r="B762" s="42"/>
      <c r="C762" s="42"/>
      <c r="D762" s="42"/>
      <c r="E762" s="42"/>
      <c r="F762" s="42"/>
    </row>
    <row r="763">
      <c r="A763" s="42"/>
      <c r="B763" s="42"/>
      <c r="C763" s="42"/>
      <c r="D763" s="42"/>
      <c r="E763" s="42"/>
      <c r="F763" s="42"/>
    </row>
    <row r="764">
      <c r="A764" s="42"/>
      <c r="B764" s="42"/>
      <c r="C764" s="42"/>
      <c r="D764" s="42"/>
      <c r="E764" s="42"/>
      <c r="F764" s="42"/>
    </row>
    <row r="765">
      <c r="A765" s="42"/>
      <c r="B765" s="42"/>
      <c r="C765" s="42"/>
      <c r="D765" s="42"/>
      <c r="E765" s="42"/>
      <c r="F765" s="42"/>
    </row>
    <row r="766">
      <c r="A766" s="42"/>
      <c r="B766" s="42"/>
      <c r="C766" s="42"/>
      <c r="D766" s="42"/>
      <c r="E766" s="42"/>
      <c r="F766" s="42"/>
    </row>
    <row r="767">
      <c r="A767" s="42"/>
      <c r="B767" s="42"/>
      <c r="C767" s="42"/>
      <c r="D767" s="42"/>
      <c r="E767" s="42"/>
      <c r="F767" s="42"/>
    </row>
    <row r="768">
      <c r="A768" s="42"/>
      <c r="B768" s="42"/>
      <c r="C768" s="42"/>
      <c r="D768" s="42"/>
      <c r="E768" s="42"/>
      <c r="F768" s="42"/>
    </row>
    <row r="769">
      <c r="A769" s="42"/>
      <c r="B769" s="42"/>
      <c r="C769" s="42"/>
      <c r="D769" s="42"/>
      <c r="E769" s="42"/>
      <c r="F769" s="42"/>
    </row>
    <row r="770">
      <c r="A770" s="42"/>
      <c r="B770" s="42"/>
      <c r="C770" s="42"/>
      <c r="D770" s="42"/>
      <c r="E770" s="42"/>
      <c r="F770" s="42"/>
    </row>
    <row r="771">
      <c r="A771" s="42"/>
      <c r="B771" s="42"/>
      <c r="C771" s="42"/>
      <c r="D771" s="42"/>
      <c r="E771" s="42"/>
      <c r="F771" s="42"/>
    </row>
    <row r="772">
      <c r="A772" s="42"/>
      <c r="B772" s="42"/>
      <c r="C772" s="42"/>
      <c r="D772" s="42"/>
      <c r="E772" s="42"/>
      <c r="F772" s="42"/>
    </row>
    <row r="773">
      <c r="A773" s="42"/>
      <c r="B773" s="42"/>
      <c r="C773" s="42"/>
      <c r="D773" s="42"/>
      <c r="E773" s="42"/>
      <c r="F773" s="42"/>
    </row>
    <row r="774">
      <c r="A774" s="42"/>
      <c r="B774" s="42"/>
      <c r="C774" s="42"/>
      <c r="D774" s="42"/>
      <c r="E774" s="42"/>
      <c r="F774" s="42"/>
    </row>
    <row r="775">
      <c r="A775" s="42"/>
      <c r="B775" s="42"/>
      <c r="C775" s="42"/>
      <c r="D775" s="42"/>
      <c r="E775" s="42"/>
      <c r="F775" s="42"/>
    </row>
    <row r="776">
      <c r="A776" s="42"/>
      <c r="B776" s="42"/>
      <c r="C776" s="42"/>
      <c r="D776" s="42"/>
      <c r="E776" s="42"/>
      <c r="F776" s="42"/>
    </row>
    <row r="777">
      <c r="A777" s="42"/>
      <c r="B777" s="42"/>
      <c r="C777" s="42"/>
      <c r="D777" s="42"/>
      <c r="E777" s="42"/>
      <c r="F777" s="42"/>
    </row>
    <row r="778">
      <c r="A778" s="42"/>
      <c r="B778" s="42"/>
      <c r="C778" s="42"/>
      <c r="D778" s="42"/>
      <c r="E778" s="42"/>
      <c r="F778" s="42"/>
    </row>
    <row r="779">
      <c r="A779" s="42"/>
      <c r="B779" s="42"/>
      <c r="C779" s="42"/>
      <c r="D779" s="42"/>
      <c r="E779" s="42"/>
      <c r="F779" s="42"/>
    </row>
    <row r="780">
      <c r="A780" s="42"/>
      <c r="B780" s="42"/>
      <c r="C780" s="42"/>
      <c r="D780" s="42"/>
      <c r="E780" s="42"/>
      <c r="F780" s="42"/>
    </row>
    <row r="781">
      <c r="A781" s="42"/>
      <c r="B781" s="42"/>
      <c r="C781" s="42"/>
      <c r="D781" s="42"/>
      <c r="E781" s="42"/>
      <c r="F781" s="42"/>
    </row>
    <row r="782">
      <c r="A782" s="42"/>
      <c r="B782" s="42"/>
      <c r="C782" s="42"/>
      <c r="D782" s="42"/>
      <c r="E782" s="42"/>
      <c r="F782" s="42"/>
    </row>
    <row r="783">
      <c r="A783" s="42"/>
      <c r="B783" s="42"/>
      <c r="C783" s="42"/>
      <c r="D783" s="42"/>
      <c r="E783" s="42"/>
      <c r="F783" s="42"/>
    </row>
    <row r="784">
      <c r="A784" s="42"/>
      <c r="B784" s="42"/>
      <c r="C784" s="42"/>
      <c r="D784" s="42"/>
      <c r="E784" s="42"/>
      <c r="F784" s="42"/>
    </row>
    <row r="785">
      <c r="A785" s="42"/>
      <c r="B785" s="42"/>
      <c r="C785" s="42"/>
      <c r="D785" s="42"/>
      <c r="E785" s="42"/>
      <c r="F785" s="42"/>
    </row>
    <row r="786">
      <c r="A786" s="42"/>
      <c r="B786" s="42"/>
      <c r="C786" s="42"/>
      <c r="D786" s="42"/>
      <c r="E786" s="42"/>
      <c r="F786" s="42"/>
    </row>
    <row r="787">
      <c r="A787" s="42"/>
      <c r="B787" s="42"/>
      <c r="C787" s="42"/>
      <c r="D787" s="42"/>
      <c r="E787" s="42"/>
      <c r="F787" s="42"/>
    </row>
    <row r="788">
      <c r="A788" s="42"/>
      <c r="B788" s="42"/>
      <c r="C788" s="42"/>
      <c r="D788" s="42"/>
      <c r="E788" s="42"/>
      <c r="F788" s="42"/>
    </row>
    <row r="789">
      <c r="A789" s="42"/>
      <c r="B789" s="42"/>
      <c r="C789" s="42"/>
      <c r="D789" s="42"/>
      <c r="E789" s="42"/>
      <c r="F789" s="42"/>
    </row>
    <row r="790">
      <c r="A790" s="42"/>
      <c r="B790" s="42"/>
      <c r="C790" s="42"/>
      <c r="D790" s="42"/>
      <c r="E790" s="42"/>
      <c r="F790" s="42"/>
    </row>
    <row r="791">
      <c r="A791" s="42"/>
      <c r="B791" s="42"/>
      <c r="C791" s="42"/>
      <c r="D791" s="42"/>
      <c r="E791" s="42"/>
      <c r="F791" s="42"/>
    </row>
    <row r="792">
      <c r="A792" s="42"/>
      <c r="B792" s="42"/>
      <c r="C792" s="42"/>
      <c r="D792" s="42"/>
      <c r="E792" s="42"/>
      <c r="F792" s="42"/>
    </row>
    <row r="793">
      <c r="A793" s="42"/>
      <c r="B793" s="42"/>
      <c r="C793" s="42"/>
      <c r="D793" s="42"/>
      <c r="E793" s="42"/>
      <c r="F793" s="42"/>
    </row>
    <row r="794">
      <c r="A794" s="42"/>
      <c r="B794" s="42"/>
      <c r="C794" s="42"/>
      <c r="D794" s="42"/>
      <c r="E794" s="42"/>
      <c r="F794" s="42"/>
    </row>
    <row r="795">
      <c r="A795" s="42"/>
      <c r="B795" s="42"/>
      <c r="C795" s="42"/>
      <c r="D795" s="42"/>
      <c r="E795" s="42"/>
      <c r="F795" s="42"/>
    </row>
    <row r="796">
      <c r="A796" s="42"/>
      <c r="B796" s="42"/>
      <c r="C796" s="42"/>
      <c r="D796" s="42"/>
      <c r="E796" s="42"/>
      <c r="F796" s="42"/>
    </row>
    <row r="797">
      <c r="A797" s="42"/>
      <c r="B797" s="42"/>
      <c r="C797" s="42"/>
      <c r="D797" s="42"/>
      <c r="E797" s="42"/>
      <c r="F797" s="42"/>
    </row>
    <row r="798">
      <c r="A798" s="42"/>
      <c r="B798" s="42"/>
      <c r="C798" s="42"/>
      <c r="D798" s="42"/>
      <c r="E798" s="42"/>
      <c r="F798" s="42"/>
    </row>
    <row r="799">
      <c r="A799" s="42"/>
      <c r="B799" s="42"/>
      <c r="C799" s="42"/>
      <c r="D799" s="42"/>
      <c r="E799" s="42"/>
      <c r="F799" s="42"/>
    </row>
    <row r="800">
      <c r="A800" s="42"/>
      <c r="B800" s="42"/>
      <c r="C800" s="42"/>
      <c r="D800" s="42"/>
      <c r="E800" s="42"/>
      <c r="F800" s="42"/>
    </row>
    <row r="801">
      <c r="A801" s="42"/>
      <c r="B801" s="42"/>
      <c r="C801" s="42"/>
      <c r="D801" s="42"/>
      <c r="E801" s="42"/>
      <c r="F801" s="42"/>
    </row>
    <row r="802">
      <c r="A802" s="42"/>
      <c r="B802" s="42"/>
      <c r="C802" s="42"/>
      <c r="D802" s="42"/>
      <c r="E802" s="42"/>
      <c r="F802" s="42"/>
    </row>
    <row r="803">
      <c r="A803" s="42"/>
      <c r="B803" s="42"/>
      <c r="C803" s="42"/>
      <c r="D803" s="42"/>
      <c r="E803" s="42"/>
      <c r="F803" s="42"/>
    </row>
    <row r="804">
      <c r="A804" s="42"/>
      <c r="B804" s="42"/>
      <c r="C804" s="42"/>
      <c r="D804" s="42"/>
      <c r="E804" s="42"/>
      <c r="F804" s="42"/>
    </row>
    <row r="805">
      <c r="A805" s="42"/>
      <c r="B805" s="42"/>
      <c r="C805" s="42"/>
      <c r="D805" s="42"/>
      <c r="E805" s="42"/>
      <c r="F805" s="42"/>
    </row>
    <row r="806">
      <c r="A806" s="42"/>
      <c r="B806" s="42"/>
      <c r="C806" s="42"/>
      <c r="D806" s="42"/>
      <c r="E806" s="42"/>
      <c r="F806" s="42"/>
    </row>
    <row r="807">
      <c r="A807" s="42"/>
      <c r="B807" s="42"/>
      <c r="C807" s="42"/>
      <c r="D807" s="42"/>
      <c r="E807" s="42"/>
      <c r="F807" s="42"/>
    </row>
    <row r="808">
      <c r="A808" s="42"/>
      <c r="B808" s="42"/>
      <c r="C808" s="42"/>
      <c r="D808" s="42"/>
      <c r="E808" s="42"/>
      <c r="F808" s="42"/>
    </row>
    <row r="809">
      <c r="A809" s="42"/>
      <c r="B809" s="42"/>
      <c r="C809" s="42"/>
      <c r="D809" s="42"/>
      <c r="E809" s="42"/>
      <c r="F809" s="42"/>
    </row>
    <row r="810">
      <c r="A810" s="42"/>
      <c r="B810" s="42"/>
      <c r="C810" s="42"/>
      <c r="D810" s="42"/>
      <c r="E810" s="42"/>
      <c r="F810" s="42"/>
    </row>
    <row r="811">
      <c r="A811" s="42"/>
      <c r="B811" s="42"/>
      <c r="C811" s="42"/>
      <c r="D811" s="42"/>
      <c r="E811" s="42"/>
      <c r="F811" s="42"/>
    </row>
    <row r="812">
      <c r="A812" s="42"/>
      <c r="B812" s="42"/>
      <c r="C812" s="42"/>
      <c r="D812" s="42"/>
      <c r="E812" s="42"/>
      <c r="F812" s="42"/>
    </row>
    <row r="813">
      <c r="A813" s="42"/>
      <c r="B813" s="42"/>
      <c r="C813" s="42"/>
      <c r="D813" s="42"/>
      <c r="E813" s="42"/>
      <c r="F813" s="42"/>
    </row>
    <row r="814">
      <c r="A814" s="42"/>
      <c r="B814" s="42"/>
      <c r="C814" s="42"/>
      <c r="D814" s="42"/>
      <c r="E814" s="42"/>
      <c r="F814" s="42"/>
    </row>
    <row r="815">
      <c r="A815" s="42"/>
      <c r="B815" s="42"/>
      <c r="C815" s="42"/>
      <c r="D815" s="42"/>
      <c r="E815" s="42"/>
      <c r="F815" s="42"/>
    </row>
    <row r="816">
      <c r="A816" s="42"/>
      <c r="B816" s="42"/>
      <c r="C816" s="42"/>
      <c r="D816" s="42"/>
      <c r="E816" s="42"/>
      <c r="F816" s="42"/>
    </row>
    <row r="817">
      <c r="A817" s="42"/>
      <c r="B817" s="42"/>
      <c r="C817" s="42"/>
      <c r="D817" s="42"/>
      <c r="E817" s="42"/>
      <c r="F817" s="42"/>
    </row>
    <row r="818">
      <c r="A818" s="42"/>
      <c r="B818" s="42"/>
      <c r="C818" s="42"/>
      <c r="D818" s="42"/>
      <c r="E818" s="42"/>
      <c r="F818" s="42"/>
    </row>
    <row r="819">
      <c r="A819" s="42"/>
      <c r="B819" s="42"/>
      <c r="C819" s="42"/>
      <c r="D819" s="42"/>
      <c r="E819" s="42"/>
      <c r="F819" s="42"/>
    </row>
    <row r="820">
      <c r="A820" s="42"/>
      <c r="B820" s="42"/>
      <c r="C820" s="42"/>
      <c r="D820" s="42"/>
      <c r="E820" s="42"/>
      <c r="F820" s="42"/>
    </row>
    <row r="821">
      <c r="A821" s="42"/>
      <c r="B821" s="42"/>
      <c r="C821" s="42"/>
      <c r="D821" s="42"/>
      <c r="E821" s="42"/>
      <c r="F821" s="42"/>
    </row>
    <row r="822">
      <c r="A822" s="42"/>
      <c r="B822" s="42"/>
      <c r="C822" s="42"/>
      <c r="D822" s="42"/>
      <c r="E822" s="42"/>
      <c r="F822" s="42"/>
    </row>
    <row r="823">
      <c r="A823" s="42"/>
      <c r="B823" s="42"/>
      <c r="C823" s="42"/>
      <c r="D823" s="42"/>
      <c r="E823" s="42"/>
      <c r="F823" s="42"/>
    </row>
    <row r="824">
      <c r="A824" s="42"/>
      <c r="B824" s="42"/>
      <c r="C824" s="42"/>
      <c r="D824" s="42"/>
      <c r="E824" s="42"/>
      <c r="F824" s="42"/>
    </row>
    <row r="825">
      <c r="A825" s="42"/>
      <c r="B825" s="42"/>
      <c r="C825" s="42"/>
      <c r="D825" s="42"/>
      <c r="E825" s="42"/>
      <c r="F825" s="42"/>
    </row>
    <row r="826">
      <c r="A826" s="42"/>
      <c r="B826" s="42"/>
      <c r="C826" s="42"/>
      <c r="D826" s="42"/>
      <c r="E826" s="42"/>
      <c r="F826" s="42"/>
    </row>
    <row r="827">
      <c r="A827" s="42"/>
      <c r="B827" s="42"/>
      <c r="C827" s="42"/>
      <c r="D827" s="42"/>
      <c r="E827" s="42"/>
      <c r="F827" s="42"/>
    </row>
    <row r="828">
      <c r="A828" s="42"/>
      <c r="B828" s="42"/>
      <c r="C828" s="42"/>
      <c r="D828" s="42"/>
      <c r="E828" s="42"/>
      <c r="F828" s="42"/>
    </row>
    <row r="829">
      <c r="A829" s="42"/>
      <c r="B829" s="42"/>
      <c r="C829" s="42"/>
      <c r="D829" s="42"/>
      <c r="E829" s="42"/>
      <c r="F829" s="42"/>
    </row>
    <row r="830">
      <c r="A830" s="42"/>
      <c r="B830" s="42"/>
      <c r="C830" s="42"/>
      <c r="D830" s="42"/>
      <c r="E830" s="42"/>
      <c r="F830" s="42"/>
    </row>
    <row r="831">
      <c r="A831" s="42"/>
      <c r="B831" s="42"/>
      <c r="C831" s="42"/>
      <c r="D831" s="42"/>
      <c r="E831" s="42"/>
      <c r="F831" s="42"/>
    </row>
    <row r="832">
      <c r="A832" s="42"/>
      <c r="B832" s="42"/>
      <c r="C832" s="42"/>
      <c r="D832" s="42"/>
      <c r="E832" s="42"/>
      <c r="F832" s="42"/>
    </row>
    <row r="833">
      <c r="A833" s="42"/>
      <c r="B833" s="42"/>
      <c r="C833" s="42"/>
      <c r="D833" s="42"/>
      <c r="E833" s="42"/>
      <c r="F833" s="42"/>
    </row>
    <row r="834">
      <c r="A834" s="42"/>
      <c r="B834" s="42"/>
      <c r="C834" s="42"/>
      <c r="D834" s="42"/>
      <c r="E834" s="42"/>
      <c r="F834" s="42"/>
    </row>
    <row r="835">
      <c r="A835" s="42"/>
      <c r="B835" s="42"/>
      <c r="C835" s="42"/>
      <c r="D835" s="42"/>
      <c r="E835" s="42"/>
      <c r="F835" s="42"/>
    </row>
    <row r="836">
      <c r="A836" s="42"/>
      <c r="B836" s="42"/>
      <c r="C836" s="42"/>
      <c r="D836" s="42"/>
      <c r="E836" s="42"/>
      <c r="F836" s="42"/>
    </row>
    <row r="837">
      <c r="A837" s="42"/>
      <c r="B837" s="42"/>
      <c r="C837" s="42"/>
      <c r="D837" s="42"/>
      <c r="E837" s="42"/>
      <c r="F837" s="42"/>
    </row>
    <row r="838">
      <c r="A838" s="42"/>
      <c r="B838" s="42"/>
      <c r="C838" s="42"/>
      <c r="D838" s="42"/>
      <c r="E838" s="42"/>
      <c r="F838" s="42"/>
    </row>
    <row r="839">
      <c r="A839" s="42"/>
      <c r="B839" s="42"/>
      <c r="C839" s="42"/>
      <c r="D839" s="42"/>
      <c r="E839" s="42"/>
      <c r="F839" s="42"/>
    </row>
    <row r="840">
      <c r="A840" s="42"/>
      <c r="B840" s="42"/>
      <c r="C840" s="42"/>
      <c r="D840" s="42"/>
      <c r="E840" s="42"/>
      <c r="F840" s="42"/>
    </row>
    <row r="841">
      <c r="A841" s="42"/>
      <c r="B841" s="42"/>
      <c r="C841" s="42"/>
      <c r="D841" s="42"/>
      <c r="E841" s="42"/>
      <c r="F841" s="42"/>
    </row>
    <row r="842">
      <c r="A842" s="42"/>
      <c r="B842" s="42"/>
      <c r="C842" s="42"/>
      <c r="D842" s="42"/>
      <c r="E842" s="42"/>
      <c r="F842" s="42"/>
    </row>
    <row r="843">
      <c r="A843" s="42"/>
      <c r="B843" s="42"/>
      <c r="C843" s="42"/>
      <c r="D843" s="42"/>
      <c r="E843" s="42"/>
      <c r="F843" s="42"/>
    </row>
    <row r="844">
      <c r="A844" s="42"/>
      <c r="B844" s="42"/>
      <c r="C844" s="42"/>
      <c r="D844" s="42"/>
      <c r="E844" s="42"/>
      <c r="F844" s="42"/>
    </row>
    <row r="845">
      <c r="A845" s="42"/>
      <c r="B845" s="42"/>
      <c r="C845" s="42"/>
      <c r="D845" s="42"/>
      <c r="E845" s="42"/>
      <c r="F845" s="42"/>
    </row>
    <row r="846">
      <c r="A846" s="42"/>
      <c r="B846" s="42"/>
      <c r="C846" s="42"/>
      <c r="D846" s="42"/>
      <c r="E846" s="42"/>
      <c r="F846" s="42"/>
    </row>
    <row r="847">
      <c r="A847" s="42"/>
      <c r="B847" s="42"/>
      <c r="C847" s="42"/>
      <c r="D847" s="42"/>
      <c r="E847" s="42"/>
      <c r="F847" s="42"/>
    </row>
    <row r="848">
      <c r="A848" s="42"/>
      <c r="B848" s="42"/>
      <c r="C848" s="42"/>
      <c r="D848" s="42"/>
      <c r="E848" s="42"/>
      <c r="F848" s="42"/>
    </row>
    <row r="849">
      <c r="A849" s="42"/>
      <c r="B849" s="42"/>
      <c r="C849" s="42"/>
      <c r="D849" s="42"/>
      <c r="E849" s="42"/>
      <c r="F849" s="42"/>
    </row>
    <row r="850">
      <c r="A850" s="42"/>
      <c r="B850" s="42"/>
      <c r="C850" s="42"/>
      <c r="D850" s="42"/>
      <c r="E850" s="42"/>
      <c r="F850" s="42"/>
    </row>
    <row r="851">
      <c r="A851" s="42"/>
      <c r="B851" s="42"/>
      <c r="C851" s="42"/>
      <c r="D851" s="42"/>
      <c r="E851" s="42"/>
      <c r="F851" s="42"/>
    </row>
    <row r="852">
      <c r="A852" s="42"/>
      <c r="B852" s="42"/>
      <c r="C852" s="42"/>
      <c r="D852" s="42"/>
      <c r="E852" s="42"/>
      <c r="F852" s="42"/>
    </row>
    <row r="853">
      <c r="A853" s="42"/>
      <c r="B853" s="42"/>
      <c r="C853" s="42"/>
      <c r="D853" s="42"/>
      <c r="E853" s="42"/>
      <c r="F853" s="42"/>
    </row>
    <row r="854">
      <c r="A854" s="42"/>
      <c r="B854" s="42"/>
      <c r="C854" s="42"/>
      <c r="D854" s="42"/>
      <c r="E854" s="42"/>
      <c r="F854" s="42"/>
    </row>
    <row r="855">
      <c r="A855" s="42"/>
      <c r="B855" s="42"/>
      <c r="C855" s="42"/>
      <c r="D855" s="42"/>
      <c r="E855" s="42"/>
      <c r="F855" s="42"/>
    </row>
    <row r="856">
      <c r="A856" s="42"/>
      <c r="B856" s="42"/>
      <c r="C856" s="42"/>
      <c r="D856" s="42"/>
      <c r="E856" s="42"/>
      <c r="F856" s="42"/>
    </row>
    <row r="857">
      <c r="A857" s="42"/>
      <c r="B857" s="42"/>
      <c r="C857" s="42"/>
      <c r="D857" s="42"/>
      <c r="E857" s="42"/>
      <c r="F857" s="42"/>
    </row>
    <row r="858">
      <c r="A858" s="42"/>
      <c r="B858" s="42"/>
      <c r="C858" s="42"/>
      <c r="D858" s="42"/>
      <c r="E858" s="42"/>
      <c r="F858" s="42"/>
    </row>
    <row r="859">
      <c r="A859" s="42"/>
      <c r="B859" s="42"/>
      <c r="C859" s="42"/>
      <c r="D859" s="42"/>
      <c r="E859" s="42"/>
      <c r="F859" s="42"/>
    </row>
    <row r="860">
      <c r="A860" s="42"/>
      <c r="B860" s="42"/>
      <c r="C860" s="42"/>
      <c r="D860" s="42"/>
      <c r="E860" s="42"/>
      <c r="F860" s="42"/>
    </row>
    <row r="861">
      <c r="A861" s="42"/>
      <c r="B861" s="42"/>
      <c r="C861" s="42"/>
      <c r="D861" s="42"/>
      <c r="E861" s="42"/>
      <c r="F861" s="42"/>
    </row>
    <row r="862">
      <c r="A862" s="42"/>
      <c r="B862" s="42"/>
      <c r="C862" s="42"/>
      <c r="D862" s="42"/>
      <c r="E862" s="42"/>
      <c r="F862" s="42"/>
    </row>
    <row r="863">
      <c r="A863" s="42"/>
      <c r="B863" s="42"/>
      <c r="C863" s="42"/>
      <c r="D863" s="42"/>
      <c r="E863" s="42"/>
      <c r="F863" s="42"/>
    </row>
    <row r="864">
      <c r="A864" s="42"/>
      <c r="B864" s="42"/>
      <c r="C864" s="42"/>
      <c r="D864" s="42"/>
      <c r="E864" s="42"/>
      <c r="F864" s="42"/>
    </row>
    <row r="865">
      <c r="A865" s="42"/>
      <c r="B865" s="42"/>
      <c r="C865" s="42"/>
      <c r="D865" s="42"/>
      <c r="E865" s="42"/>
      <c r="F865" s="42"/>
    </row>
    <row r="866">
      <c r="A866" s="42"/>
      <c r="B866" s="42"/>
      <c r="C866" s="42"/>
      <c r="D866" s="42"/>
      <c r="E866" s="42"/>
      <c r="F866" s="42"/>
    </row>
    <row r="867">
      <c r="A867" s="42"/>
      <c r="B867" s="42"/>
      <c r="C867" s="42"/>
      <c r="D867" s="42"/>
      <c r="E867" s="42"/>
      <c r="F867" s="42"/>
    </row>
    <row r="868">
      <c r="A868" s="42"/>
      <c r="B868" s="42"/>
      <c r="C868" s="42"/>
      <c r="D868" s="42"/>
      <c r="E868" s="42"/>
      <c r="F868" s="42"/>
    </row>
    <row r="869">
      <c r="A869" s="42"/>
      <c r="B869" s="42"/>
      <c r="C869" s="42"/>
      <c r="D869" s="42"/>
      <c r="E869" s="42"/>
      <c r="F869" s="42"/>
    </row>
    <row r="870">
      <c r="A870" s="42"/>
      <c r="B870" s="42"/>
      <c r="C870" s="42"/>
      <c r="D870" s="42"/>
      <c r="E870" s="42"/>
      <c r="F870" s="42"/>
    </row>
    <row r="871">
      <c r="A871" s="42"/>
      <c r="B871" s="42"/>
      <c r="C871" s="42"/>
      <c r="D871" s="42"/>
      <c r="E871" s="42"/>
      <c r="F871" s="42"/>
    </row>
    <row r="872">
      <c r="A872" s="42"/>
      <c r="B872" s="42"/>
      <c r="C872" s="42"/>
      <c r="D872" s="42"/>
      <c r="E872" s="42"/>
      <c r="F872" s="42"/>
    </row>
    <row r="873">
      <c r="A873" s="42"/>
      <c r="B873" s="42"/>
      <c r="C873" s="42"/>
      <c r="D873" s="42"/>
      <c r="E873" s="42"/>
      <c r="F873" s="42"/>
    </row>
    <row r="874">
      <c r="A874" s="42"/>
      <c r="B874" s="42"/>
      <c r="C874" s="42"/>
      <c r="D874" s="42"/>
      <c r="E874" s="42"/>
      <c r="F874" s="42"/>
    </row>
    <row r="875">
      <c r="A875" s="42"/>
      <c r="B875" s="42"/>
      <c r="C875" s="42"/>
      <c r="D875" s="42"/>
      <c r="E875" s="42"/>
      <c r="F875" s="42"/>
    </row>
    <row r="876">
      <c r="A876" s="42"/>
      <c r="B876" s="42"/>
      <c r="C876" s="42"/>
      <c r="D876" s="42"/>
      <c r="E876" s="42"/>
      <c r="F876" s="42"/>
    </row>
    <row r="877">
      <c r="A877" s="42"/>
      <c r="B877" s="42"/>
      <c r="C877" s="42"/>
      <c r="D877" s="42"/>
      <c r="E877" s="42"/>
      <c r="F877" s="42"/>
    </row>
    <row r="878">
      <c r="A878" s="42"/>
      <c r="B878" s="42"/>
      <c r="C878" s="42"/>
      <c r="D878" s="42"/>
      <c r="E878" s="42"/>
      <c r="F878" s="42"/>
    </row>
    <row r="879">
      <c r="A879" s="42"/>
      <c r="B879" s="42"/>
      <c r="C879" s="42"/>
      <c r="D879" s="42"/>
      <c r="E879" s="42"/>
      <c r="F879" s="42"/>
    </row>
    <row r="880">
      <c r="A880" s="42"/>
      <c r="B880" s="42"/>
      <c r="C880" s="42"/>
      <c r="D880" s="42"/>
      <c r="E880" s="42"/>
      <c r="F880" s="42"/>
    </row>
    <row r="881">
      <c r="A881" s="42"/>
      <c r="B881" s="42"/>
      <c r="C881" s="42"/>
      <c r="D881" s="42"/>
      <c r="E881" s="42"/>
      <c r="F881" s="42"/>
    </row>
    <row r="882">
      <c r="A882" s="42"/>
      <c r="B882" s="42"/>
      <c r="C882" s="42"/>
      <c r="D882" s="42"/>
      <c r="E882" s="42"/>
      <c r="F882" s="42"/>
    </row>
    <row r="883">
      <c r="A883" s="42"/>
      <c r="B883" s="42"/>
      <c r="C883" s="42"/>
      <c r="D883" s="42"/>
      <c r="E883" s="42"/>
      <c r="F883" s="42"/>
    </row>
    <row r="884">
      <c r="A884" s="42"/>
      <c r="B884" s="42"/>
      <c r="C884" s="42"/>
      <c r="D884" s="42"/>
      <c r="E884" s="42"/>
      <c r="F884" s="42"/>
    </row>
    <row r="885">
      <c r="A885" s="42"/>
      <c r="B885" s="42"/>
      <c r="C885" s="42"/>
      <c r="D885" s="42"/>
      <c r="E885" s="42"/>
      <c r="F885" s="42"/>
    </row>
    <row r="886">
      <c r="A886" s="42"/>
      <c r="B886" s="42"/>
      <c r="C886" s="42"/>
      <c r="D886" s="42"/>
      <c r="E886" s="42"/>
      <c r="F886" s="42"/>
    </row>
    <row r="887">
      <c r="A887" s="42"/>
      <c r="B887" s="42"/>
      <c r="C887" s="42"/>
      <c r="D887" s="42"/>
      <c r="E887" s="42"/>
      <c r="F887" s="42"/>
    </row>
    <row r="888">
      <c r="A888" s="42"/>
      <c r="B888" s="42"/>
      <c r="C888" s="42"/>
      <c r="D888" s="42"/>
      <c r="E888" s="42"/>
      <c r="F888" s="42"/>
    </row>
    <row r="889">
      <c r="A889" s="42"/>
      <c r="B889" s="42"/>
      <c r="C889" s="42"/>
      <c r="D889" s="42"/>
      <c r="E889" s="42"/>
      <c r="F889" s="42"/>
    </row>
    <row r="890">
      <c r="A890" s="42"/>
      <c r="B890" s="42"/>
      <c r="C890" s="42"/>
      <c r="D890" s="42"/>
      <c r="E890" s="42"/>
      <c r="F890" s="42"/>
    </row>
    <row r="891">
      <c r="A891" s="42"/>
      <c r="B891" s="42"/>
      <c r="C891" s="42"/>
      <c r="D891" s="42"/>
      <c r="E891" s="42"/>
      <c r="F891" s="42"/>
    </row>
    <row r="892">
      <c r="A892" s="42"/>
      <c r="B892" s="42"/>
      <c r="C892" s="42"/>
      <c r="D892" s="42"/>
      <c r="E892" s="42"/>
      <c r="F892" s="42"/>
    </row>
    <row r="893">
      <c r="A893" s="42"/>
      <c r="B893" s="42"/>
      <c r="C893" s="42"/>
      <c r="D893" s="42"/>
      <c r="E893" s="42"/>
      <c r="F893" s="42"/>
    </row>
    <row r="894">
      <c r="A894" s="42"/>
      <c r="B894" s="42"/>
      <c r="C894" s="42"/>
      <c r="D894" s="42"/>
      <c r="E894" s="42"/>
      <c r="F894" s="42"/>
    </row>
    <row r="895">
      <c r="A895" s="42"/>
      <c r="B895" s="42"/>
      <c r="C895" s="42"/>
      <c r="D895" s="42"/>
      <c r="E895" s="42"/>
      <c r="F895" s="42"/>
    </row>
    <row r="896">
      <c r="A896" s="42"/>
      <c r="B896" s="42"/>
      <c r="C896" s="42"/>
      <c r="D896" s="42"/>
      <c r="E896" s="42"/>
      <c r="F896" s="42"/>
    </row>
    <row r="897">
      <c r="A897" s="42"/>
      <c r="B897" s="42"/>
      <c r="C897" s="42"/>
      <c r="D897" s="42"/>
      <c r="E897" s="42"/>
      <c r="F897" s="42"/>
    </row>
    <row r="898">
      <c r="A898" s="42"/>
      <c r="B898" s="42"/>
      <c r="C898" s="42"/>
      <c r="D898" s="42"/>
      <c r="E898" s="42"/>
      <c r="F898" s="42"/>
    </row>
    <row r="899">
      <c r="A899" s="42"/>
      <c r="B899" s="42"/>
      <c r="C899" s="42"/>
      <c r="D899" s="42"/>
      <c r="E899" s="42"/>
      <c r="F899" s="42"/>
    </row>
    <row r="900">
      <c r="A900" s="42"/>
      <c r="B900" s="42"/>
      <c r="C900" s="42"/>
      <c r="D900" s="42"/>
      <c r="E900" s="42"/>
      <c r="F900" s="42"/>
    </row>
    <row r="901">
      <c r="A901" s="42"/>
      <c r="B901" s="42"/>
      <c r="C901" s="42"/>
      <c r="D901" s="42"/>
      <c r="E901" s="42"/>
      <c r="F901" s="42"/>
    </row>
    <row r="902">
      <c r="A902" s="42"/>
      <c r="B902" s="42"/>
      <c r="C902" s="42"/>
      <c r="D902" s="42"/>
      <c r="E902" s="42"/>
      <c r="F902" s="42"/>
    </row>
    <row r="903">
      <c r="A903" s="42"/>
      <c r="B903" s="42"/>
      <c r="C903" s="42"/>
      <c r="D903" s="42"/>
      <c r="E903" s="42"/>
      <c r="F903" s="42"/>
    </row>
    <row r="904">
      <c r="A904" s="42"/>
      <c r="B904" s="42"/>
      <c r="C904" s="42"/>
      <c r="D904" s="42"/>
      <c r="E904" s="42"/>
      <c r="F904" s="42"/>
    </row>
    <row r="905">
      <c r="A905" s="42"/>
      <c r="B905" s="42"/>
      <c r="C905" s="42"/>
      <c r="D905" s="42"/>
      <c r="E905" s="42"/>
      <c r="F905" s="42"/>
    </row>
    <row r="906">
      <c r="A906" s="42"/>
      <c r="B906" s="42"/>
      <c r="C906" s="42"/>
      <c r="D906" s="42"/>
      <c r="E906" s="42"/>
      <c r="F906" s="42"/>
    </row>
    <row r="907">
      <c r="A907" s="42"/>
      <c r="B907" s="42"/>
      <c r="C907" s="42"/>
      <c r="D907" s="42"/>
      <c r="E907" s="42"/>
      <c r="F907" s="42"/>
    </row>
    <row r="908">
      <c r="A908" s="42"/>
      <c r="B908" s="42"/>
      <c r="C908" s="42"/>
      <c r="D908" s="42"/>
      <c r="E908" s="42"/>
      <c r="F908" s="42"/>
    </row>
    <row r="909">
      <c r="A909" s="42"/>
      <c r="B909" s="42"/>
      <c r="C909" s="42"/>
      <c r="D909" s="42"/>
      <c r="E909" s="42"/>
      <c r="F909" s="42"/>
    </row>
    <row r="910">
      <c r="A910" s="42"/>
      <c r="B910" s="42"/>
      <c r="C910" s="42"/>
      <c r="D910" s="42"/>
      <c r="E910" s="42"/>
      <c r="F910" s="42"/>
    </row>
    <row r="911">
      <c r="A911" s="42"/>
      <c r="B911" s="42"/>
      <c r="C911" s="42"/>
      <c r="D911" s="42"/>
      <c r="E911" s="42"/>
      <c r="F911" s="42"/>
    </row>
    <row r="912">
      <c r="A912" s="42"/>
      <c r="B912" s="42"/>
      <c r="C912" s="42"/>
      <c r="D912" s="42"/>
      <c r="E912" s="42"/>
      <c r="F912" s="42"/>
    </row>
    <row r="913">
      <c r="A913" s="42"/>
      <c r="B913" s="42"/>
      <c r="C913" s="42"/>
      <c r="D913" s="42"/>
      <c r="E913" s="42"/>
      <c r="F913" s="42"/>
    </row>
    <row r="914">
      <c r="A914" s="42"/>
      <c r="B914" s="42"/>
      <c r="C914" s="42"/>
      <c r="D914" s="42"/>
      <c r="E914" s="42"/>
      <c r="F914" s="42"/>
    </row>
    <row r="915">
      <c r="A915" s="42"/>
      <c r="B915" s="42"/>
      <c r="C915" s="42"/>
      <c r="D915" s="42"/>
      <c r="E915" s="42"/>
      <c r="F915" s="42"/>
    </row>
    <row r="916">
      <c r="A916" s="42"/>
      <c r="B916" s="42"/>
      <c r="C916" s="42"/>
      <c r="D916" s="42"/>
      <c r="E916" s="42"/>
      <c r="F916" s="42"/>
    </row>
    <row r="917">
      <c r="A917" s="42"/>
      <c r="B917" s="42"/>
      <c r="C917" s="42"/>
      <c r="D917" s="42"/>
      <c r="E917" s="42"/>
      <c r="F917" s="42"/>
    </row>
    <row r="918">
      <c r="A918" s="42"/>
      <c r="B918" s="42"/>
      <c r="C918" s="42"/>
      <c r="D918" s="42"/>
      <c r="E918" s="42"/>
      <c r="F918" s="42"/>
    </row>
    <row r="919">
      <c r="A919" s="42"/>
      <c r="B919" s="42"/>
      <c r="C919" s="42"/>
      <c r="D919" s="42"/>
      <c r="E919" s="42"/>
      <c r="F919" s="42"/>
    </row>
    <row r="920">
      <c r="A920" s="42"/>
      <c r="B920" s="42"/>
      <c r="C920" s="42"/>
      <c r="D920" s="42"/>
      <c r="E920" s="42"/>
      <c r="F920" s="42"/>
    </row>
    <row r="921">
      <c r="A921" s="42"/>
      <c r="B921" s="42"/>
      <c r="C921" s="42"/>
      <c r="D921" s="42"/>
      <c r="E921" s="42"/>
      <c r="F921" s="42"/>
    </row>
    <row r="922">
      <c r="A922" s="42"/>
      <c r="B922" s="42"/>
      <c r="C922" s="42"/>
      <c r="D922" s="42"/>
      <c r="E922" s="42"/>
      <c r="F922" s="42"/>
    </row>
    <row r="923">
      <c r="A923" s="42"/>
      <c r="B923" s="42"/>
      <c r="C923" s="42"/>
      <c r="D923" s="42"/>
      <c r="E923" s="42"/>
      <c r="F923" s="42"/>
    </row>
    <row r="924">
      <c r="A924" s="42"/>
      <c r="B924" s="42"/>
      <c r="C924" s="42"/>
      <c r="D924" s="42"/>
      <c r="E924" s="42"/>
      <c r="F924" s="42"/>
    </row>
    <row r="925">
      <c r="A925" s="42"/>
      <c r="B925" s="42"/>
      <c r="C925" s="42"/>
      <c r="D925" s="42"/>
      <c r="E925" s="42"/>
      <c r="F925" s="42"/>
    </row>
    <row r="926">
      <c r="A926" s="42"/>
      <c r="B926" s="42"/>
      <c r="C926" s="42"/>
      <c r="D926" s="42"/>
      <c r="E926" s="42"/>
      <c r="F926" s="42"/>
    </row>
    <row r="927">
      <c r="A927" s="42"/>
      <c r="B927" s="42"/>
      <c r="C927" s="42"/>
      <c r="D927" s="42"/>
      <c r="E927" s="42"/>
      <c r="F927" s="42"/>
    </row>
    <row r="928">
      <c r="A928" s="42"/>
      <c r="B928" s="42"/>
      <c r="C928" s="42"/>
      <c r="D928" s="42"/>
      <c r="E928" s="42"/>
      <c r="F928" s="42"/>
    </row>
    <row r="929">
      <c r="A929" s="42"/>
      <c r="B929" s="42"/>
      <c r="C929" s="42"/>
      <c r="D929" s="42"/>
      <c r="E929" s="42"/>
      <c r="F929" s="42"/>
    </row>
    <row r="930">
      <c r="A930" s="42"/>
      <c r="B930" s="42"/>
      <c r="C930" s="42"/>
      <c r="D930" s="42"/>
      <c r="E930" s="42"/>
      <c r="F930" s="42"/>
    </row>
    <row r="931">
      <c r="A931" s="42"/>
      <c r="B931" s="42"/>
      <c r="C931" s="42"/>
      <c r="D931" s="42"/>
      <c r="E931" s="42"/>
      <c r="F931" s="42"/>
    </row>
    <row r="932">
      <c r="A932" s="42"/>
      <c r="B932" s="42"/>
      <c r="C932" s="42"/>
      <c r="D932" s="42"/>
      <c r="E932" s="42"/>
      <c r="F932" s="42"/>
    </row>
    <row r="933">
      <c r="A933" s="42"/>
      <c r="B933" s="42"/>
      <c r="C933" s="42"/>
      <c r="D933" s="42"/>
      <c r="E933" s="42"/>
      <c r="F933" s="42"/>
    </row>
    <row r="934">
      <c r="A934" s="42"/>
      <c r="B934" s="42"/>
      <c r="C934" s="42"/>
      <c r="D934" s="42"/>
      <c r="E934" s="42"/>
      <c r="F934" s="42"/>
    </row>
    <row r="935">
      <c r="A935" s="42"/>
      <c r="B935" s="42"/>
      <c r="C935" s="42"/>
      <c r="D935" s="42"/>
      <c r="E935" s="42"/>
      <c r="F935" s="42"/>
    </row>
    <row r="936">
      <c r="A936" s="42"/>
      <c r="B936" s="42"/>
      <c r="C936" s="42"/>
      <c r="D936" s="42"/>
      <c r="E936" s="42"/>
      <c r="F936" s="42"/>
    </row>
    <row r="937">
      <c r="A937" s="42"/>
      <c r="B937" s="42"/>
      <c r="C937" s="42"/>
      <c r="D937" s="42"/>
      <c r="E937" s="42"/>
      <c r="F937" s="42"/>
    </row>
    <row r="938">
      <c r="A938" s="42"/>
      <c r="B938" s="42"/>
      <c r="C938" s="42"/>
      <c r="D938" s="42"/>
      <c r="E938" s="42"/>
      <c r="F938" s="42"/>
    </row>
    <row r="939">
      <c r="A939" s="42"/>
      <c r="B939" s="42"/>
      <c r="C939" s="42"/>
      <c r="D939" s="42"/>
      <c r="E939" s="42"/>
      <c r="F939" s="42"/>
    </row>
    <row r="940">
      <c r="A940" s="42"/>
      <c r="B940" s="42"/>
      <c r="C940" s="42"/>
      <c r="D940" s="42"/>
      <c r="E940" s="42"/>
      <c r="F940" s="42"/>
    </row>
    <row r="941">
      <c r="A941" s="42"/>
      <c r="B941" s="42"/>
      <c r="C941" s="42"/>
      <c r="D941" s="42"/>
      <c r="E941" s="42"/>
      <c r="F941" s="42"/>
    </row>
    <row r="942">
      <c r="A942" s="42"/>
      <c r="B942" s="42"/>
      <c r="C942" s="42"/>
      <c r="D942" s="42"/>
      <c r="E942" s="42"/>
      <c r="F942" s="42"/>
    </row>
    <row r="943">
      <c r="A943" s="42"/>
      <c r="B943" s="42"/>
      <c r="C943" s="42"/>
      <c r="D943" s="42"/>
      <c r="E943" s="42"/>
      <c r="F943" s="42"/>
    </row>
    <row r="944">
      <c r="A944" s="42"/>
      <c r="B944" s="42"/>
      <c r="C944" s="42"/>
      <c r="D944" s="42"/>
      <c r="E944" s="42"/>
      <c r="F944" s="42"/>
    </row>
    <row r="945">
      <c r="A945" s="42"/>
      <c r="B945" s="42"/>
      <c r="C945" s="42"/>
      <c r="D945" s="42"/>
      <c r="E945" s="42"/>
      <c r="F945" s="42"/>
    </row>
    <row r="946">
      <c r="A946" s="42"/>
      <c r="B946" s="42"/>
      <c r="C946" s="42"/>
      <c r="D946" s="42"/>
      <c r="E946" s="42"/>
      <c r="F946" s="42"/>
    </row>
    <row r="947">
      <c r="A947" s="42"/>
      <c r="B947" s="42"/>
      <c r="C947" s="42"/>
      <c r="D947" s="42"/>
      <c r="E947" s="42"/>
      <c r="F947" s="42"/>
    </row>
    <row r="948">
      <c r="A948" s="42"/>
      <c r="B948" s="42"/>
      <c r="C948" s="42"/>
      <c r="D948" s="42"/>
      <c r="E948" s="42"/>
      <c r="F948" s="42"/>
    </row>
    <row r="949">
      <c r="A949" s="42"/>
      <c r="B949" s="42"/>
      <c r="C949" s="42"/>
      <c r="D949" s="42"/>
      <c r="E949" s="42"/>
      <c r="F949" s="42"/>
    </row>
    <row r="950">
      <c r="A950" s="42"/>
      <c r="B950" s="42"/>
      <c r="C950" s="42"/>
      <c r="D950" s="42"/>
      <c r="E950" s="42"/>
      <c r="F950" s="42"/>
    </row>
    <row r="951">
      <c r="A951" s="42"/>
      <c r="B951" s="42"/>
      <c r="C951" s="42"/>
      <c r="D951" s="42"/>
      <c r="E951" s="42"/>
      <c r="F951" s="42"/>
    </row>
    <row r="952">
      <c r="A952" s="42"/>
      <c r="B952" s="42"/>
      <c r="C952" s="42"/>
      <c r="D952" s="42"/>
      <c r="E952" s="42"/>
      <c r="F952" s="42"/>
    </row>
    <row r="953">
      <c r="A953" s="42"/>
      <c r="B953" s="42"/>
      <c r="C953" s="42"/>
      <c r="D953" s="42"/>
      <c r="E953" s="42"/>
      <c r="F953" s="42"/>
    </row>
    <row r="954">
      <c r="A954" s="42"/>
      <c r="B954" s="42"/>
      <c r="C954" s="42"/>
      <c r="D954" s="42"/>
      <c r="E954" s="42"/>
      <c r="F954" s="42"/>
    </row>
    <row r="955">
      <c r="A955" s="42"/>
      <c r="B955" s="42"/>
      <c r="C955" s="42"/>
      <c r="D955" s="42"/>
      <c r="E955" s="42"/>
      <c r="F955" s="42"/>
    </row>
    <row r="956">
      <c r="A956" s="42"/>
      <c r="B956" s="42"/>
      <c r="C956" s="42"/>
      <c r="D956" s="42"/>
      <c r="E956" s="42"/>
      <c r="F956" s="42"/>
    </row>
    <row r="957">
      <c r="A957" s="42"/>
      <c r="B957" s="42"/>
      <c r="C957" s="42"/>
      <c r="D957" s="42"/>
      <c r="E957" s="42"/>
      <c r="F957" s="42"/>
    </row>
    <row r="958">
      <c r="A958" s="42"/>
      <c r="B958" s="42"/>
      <c r="C958" s="42"/>
      <c r="D958" s="42"/>
      <c r="E958" s="42"/>
      <c r="F958" s="42"/>
    </row>
    <row r="959">
      <c r="A959" s="42"/>
      <c r="B959" s="42"/>
      <c r="C959" s="42"/>
      <c r="D959" s="42"/>
      <c r="E959" s="42"/>
      <c r="F959" s="42"/>
    </row>
    <row r="960">
      <c r="A960" s="42"/>
      <c r="B960" s="42"/>
      <c r="C960" s="42"/>
      <c r="D960" s="42"/>
      <c r="E960" s="42"/>
      <c r="F960" s="42"/>
    </row>
    <row r="961">
      <c r="A961" s="42"/>
      <c r="B961" s="42"/>
      <c r="C961" s="42"/>
      <c r="D961" s="42"/>
      <c r="E961" s="42"/>
      <c r="F961" s="42"/>
    </row>
    <row r="962">
      <c r="A962" s="42"/>
      <c r="B962" s="42"/>
      <c r="C962" s="42"/>
      <c r="D962" s="42"/>
      <c r="E962" s="42"/>
      <c r="F962" s="42"/>
    </row>
    <row r="963">
      <c r="A963" s="42"/>
      <c r="B963" s="42"/>
      <c r="C963" s="42"/>
      <c r="D963" s="42"/>
      <c r="E963" s="42"/>
      <c r="F963" s="42"/>
    </row>
    <row r="964">
      <c r="A964" s="42"/>
      <c r="B964" s="42"/>
      <c r="C964" s="42"/>
      <c r="D964" s="42"/>
      <c r="E964" s="42"/>
      <c r="F964" s="42"/>
    </row>
    <row r="965">
      <c r="A965" s="42"/>
      <c r="B965" s="42"/>
      <c r="C965" s="42"/>
      <c r="D965" s="42"/>
      <c r="E965" s="42"/>
      <c r="F965" s="42"/>
    </row>
    <row r="966">
      <c r="A966" s="42"/>
      <c r="B966" s="42"/>
      <c r="C966" s="42"/>
      <c r="D966" s="42"/>
      <c r="E966" s="42"/>
      <c r="F966" s="42"/>
    </row>
    <row r="967">
      <c r="A967" s="42"/>
      <c r="B967" s="42"/>
      <c r="C967" s="42"/>
      <c r="D967" s="42"/>
      <c r="E967" s="42"/>
      <c r="F967" s="42"/>
    </row>
    <row r="968">
      <c r="A968" s="42"/>
      <c r="B968" s="42"/>
      <c r="C968" s="42"/>
      <c r="D968" s="42"/>
      <c r="E968" s="42"/>
      <c r="F968" s="42"/>
    </row>
    <row r="969">
      <c r="A969" s="42"/>
      <c r="B969" s="42"/>
      <c r="C969" s="42"/>
      <c r="D969" s="42"/>
      <c r="E969" s="42"/>
      <c r="F969" s="42"/>
    </row>
    <row r="970">
      <c r="A970" s="42"/>
      <c r="B970" s="42"/>
      <c r="C970" s="42"/>
      <c r="D970" s="42"/>
      <c r="E970" s="42"/>
      <c r="F970" s="42"/>
    </row>
    <row r="971">
      <c r="A971" s="42"/>
      <c r="B971" s="42"/>
      <c r="C971" s="42"/>
      <c r="D971" s="42"/>
      <c r="E971" s="42"/>
      <c r="F971" s="42"/>
    </row>
    <row r="972">
      <c r="A972" s="42"/>
      <c r="B972" s="42"/>
      <c r="C972" s="42"/>
      <c r="D972" s="42"/>
      <c r="E972" s="42"/>
      <c r="F972" s="42"/>
    </row>
    <row r="973">
      <c r="A973" s="42"/>
      <c r="B973" s="42"/>
      <c r="C973" s="42"/>
      <c r="D973" s="42"/>
      <c r="E973" s="42"/>
      <c r="F973" s="42"/>
    </row>
    <row r="974">
      <c r="A974" s="42"/>
      <c r="B974" s="42"/>
      <c r="C974" s="42"/>
      <c r="D974" s="42"/>
      <c r="E974" s="42"/>
      <c r="F974" s="42"/>
    </row>
    <row r="975">
      <c r="A975" s="42"/>
      <c r="B975" s="42"/>
      <c r="C975" s="42"/>
      <c r="D975" s="42"/>
      <c r="E975" s="42"/>
      <c r="F975" s="42"/>
    </row>
    <row r="976">
      <c r="A976" s="42"/>
      <c r="B976" s="42"/>
      <c r="C976" s="42"/>
      <c r="D976" s="42"/>
      <c r="E976" s="42"/>
      <c r="F976" s="42"/>
    </row>
    <row r="977">
      <c r="A977" s="42"/>
      <c r="B977" s="42"/>
      <c r="C977" s="42"/>
      <c r="D977" s="42"/>
      <c r="E977" s="42"/>
      <c r="F977" s="42"/>
    </row>
    <row r="978">
      <c r="A978" s="42"/>
      <c r="B978" s="42"/>
      <c r="C978" s="42"/>
      <c r="D978" s="42"/>
      <c r="E978" s="42"/>
      <c r="F978" s="42"/>
    </row>
    <row r="979">
      <c r="A979" s="42"/>
      <c r="B979" s="42"/>
      <c r="C979" s="42"/>
      <c r="D979" s="42"/>
      <c r="E979" s="42"/>
      <c r="F979" s="42"/>
    </row>
    <row r="980">
      <c r="A980" s="42"/>
      <c r="B980" s="42"/>
      <c r="C980" s="42"/>
      <c r="D980" s="42"/>
      <c r="E980" s="42"/>
      <c r="F980" s="42"/>
    </row>
    <row r="981">
      <c r="A981" s="42"/>
      <c r="B981" s="42"/>
      <c r="C981" s="42"/>
      <c r="D981" s="42"/>
      <c r="E981" s="42"/>
      <c r="F981" s="42"/>
    </row>
    <row r="982">
      <c r="A982" s="42"/>
      <c r="B982" s="42"/>
      <c r="C982" s="42"/>
      <c r="D982" s="42"/>
      <c r="E982" s="42"/>
      <c r="F982" s="42"/>
    </row>
    <row r="983">
      <c r="A983" s="42"/>
      <c r="B983" s="42"/>
      <c r="C983" s="42"/>
      <c r="D983" s="42"/>
      <c r="E983" s="42"/>
      <c r="F983" s="42"/>
    </row>
    <row r="984">
      <c r="A984" s="42"/>
      <c r="B984" s="42"/>
      <c r="C984" s="42"/>
      <c r="D984" s="42"/>
      <c r="E984" s="42"/>
      <c r="F984" s="42"/>
    </row>
    <row r="985">
      <c r="A985" s="42"/>
      <c r="B985" s="42"/>
      <c r="C985" s="42"/>
      <c r="D985" s="42"/>
      <c r="E985" s="42"/>
      <c r="F985" s="42"/>
    </row>
    <row r="986">
      <c r="A986" s="42"/>
      <c r="B986" s="42"/>
      <c r="C986" s="42"/>
      <c r="D986" s="42"/>
      <c r="E986" s="42"/>
      <c r="F986" s="42"/>
    </row>
    <row r="987">
      <c r="A987" s="42"/>
      <c r="B987" s="42"/>
      <c r="C987" s="42"/>
      <c r="D987" s="42"/>
      <c r="E987" s="42"/>
      <c r="F987" s="42"/>
    </row>
    <row r="988">
      <c r="A988" s="42"/>
      <c r="B988" s="42"/>
      <c r="C988" s="42"/>
      <c r="D988" s="42"/>
      <c r="E988" s="42"/>
      <c r="F988" s="42"/>
    </row>
    <row r="989">
      <c r="A989" s="42"/>
      <c r="B989" s="42"/>
      <c r="C989" s="42"/>
      <c r="D989" s="42"/>
      <c r="E989" s="42"/>
      <c r="F989" s="42"/>
    </row>
    <row r="990">
      <c r="A990" s="42"/>
      <c r="B990" s="42"/>
      <c r="C990" s="42"/>
      <c r="D990" s="42"/>
      <c r="E990" s="42"/>
      <c r="F990" s="42"/>
    </row>
    <row r="991">
      <c r="A991" s="42"/>
      <c r="B991" s="42"/>
      <c r="C991" s="42"/>
      <c r="D991" s="42"/>
      <c r="E991" s="42"/>
      <c r="F991" s="42"/>
    </row>
    <row r="992">
      <c r="A992" s="42"/>
      <c r="B992" s="42"/>
      <c r="C992" s="42"/>
      <c r="D992" s="42"/>
      <c r="E992" s="42"/>
      <c r="F992" s="42"/>
    </row>
    <row r="993">
      <c r="A993" s="42"/>
      <c r="B993" s="42"/>
      <c r="C993" s="42"/>
      <c r="D993" s="42"/>
      <c r="E993" s="42"/>
      <c r="F993" s="42"/>
    </row>
    <row r="994">
      <c r="A994" s="42"/>
      <c r="B994" s="42"/>
      <c r="C994" s="42"/>
      <c r="D994" s="42"/>
      <c r="E994" s="42"/>
      <c r="F994" s="42"/>
    </row>
    <row r="995">
      <c r="A995" s="42"/>
      <c r="B995" s="42"/>
      <c r="C995" s="42"/>
      <c r="D995" s="42"/>
      <c r="E995" s="42"/>
      <c r="F995" s="42"/>
    </row>
    <row r="996">
      <c r="A996" s="42"/>
      <c r="B996" s="42"/>
      <c r="C996" s="42"/>
      <c r="D996" s="42"/>
      <c r="E996" s="42"/>
      <c r="F996" s="42"/>
    </row>
    <row r="997">
      <c r="A997" s="42"/>
      <c r="B997" s="42"/>
      <c r="C997" s="42"/>
      <c r="D997" s="42"/>
      <c r="E997" s="42"/>
      <c r="F997" s="42"/>
    </row>
    <row r="998">
      <c r="A998" s="42"/>
      <c r="B998" s="42"/>
      <c r="C998" s="42"/>
      <c r="D998" s="42"/>
      <c r="E998" s="42"/>
      <c r="F998" s="42"/>
    </row>
    <row r="999">
      <c r="A999" s="42"/>
      <c r="B999" s="42"/>
      <c r="C999" s="42"/>
      <c r="D999" s="42"/>
      <c r="E999" s="42"/>
      <c r="F999" s="42"/>
    </row>
    <row r="1000">
      <c r="A1000" s="42"/>
      <c r="B1000" s="42"/>
      <c r="C1000" s="42"/>
      <c r="D1000" s="42"/>
      <c r="E1000" s="42"/>
      <c r="F1000" s="42"/>
    </row>
    <row r="1001">
      <c r="A1001" s="42"/>
      <c r="B1001" s="42"/>
      <c r="C1001" s="42"/>
      <c r="D1001" s="42"/>
      <c r="E1001" s="42"/>
      <c r="F1001" s="42"/>
    </row>
    <row r="1002">
      <c r="A1002" s="42"/>
      <c r="B1002" s="42"/>
      <c r="C1002" s="42"/>
      <c r="D1002" s="42"/>
      <c r="E1002" s="42"/>
      <c r="F1002" s="42"/>
    </row>
    <row r="1003">
      <c r="A1003" s="42"/>
      <c r="B1003" s="42"/>
      <c r="C1003" s="42"/>
      <c r="D1003" s="42"/>
      <c r="E1003" s="42"/>
      <c r="F1003" s="42"/>
    </row>
    <row r="1004">
      <c r="A1004" s="42"/>
      <c r="B1004" s="42"/>
      <c r="C1004" s="42"/>
      <c r="D1004" s="42"/>
      <c r="E1004" s="42"/>
      <c r="F1004" s="42"/>
    </row>
    <row r="1005">
      <c r="A1005" s="42"/>
      <c r="B1005" s="42"/>
      <c r="C1005" s="42"/>
      <c r="D1005" s="42"/>
      <c r="E1005" s="42"/>
      <c r="F1005" s="42"/>
    </row>
    <row r="1006">
      <c r="A1006" s="42"/>
      <c r="B1006" s="42"/>
      <c r="C1006" s="42"/>
      <c r="D1006" s="42"/>
      <c r="E1006" s="42"/>
      <c r="F1006" s="42"/>
    </row>
    <row r="1007">
      <c r="A1007" s="42"/>
      <c r="B1007" s="42"/>
      <c r="C1007" s="42"/>
      <c r="D1007" s="42"/>
      <c r="E1007" s="42"/>
      <c r="F1007" s="42"/>
    </row>
    <row r="1008">
      <c r="A1008" s="42"/>
      <c r="B1008" s="42"/>
      <c r="C1008" s="42"/>
      <c r="D1008" s="42"/>
      <c r="E1008" s="42"/>
      <c r="F1008" s="42"/>
    </row>
    <row r="1009">
      <c r="A1009" s="42"/>
      <c r="B1009" s="42"/>
      <c r="C1009" s="42"/>
      <c r="D1009" s="42"/>
      <c r="E1009" s="42"/>
      <c r="F1009" s="42"/>
    </row>
    <row r="1010">
      <c r="A1010" s="42"/>
      <c r="B1010" s="42"/>
      <c r="C1010" s="42"/>
      <c r="D1010" s="42"/>
      <c r="E1010" s="42"/>
      <c r="F1010" s="42"/>
    </row>
    <row r="1011">
      <c r="A1011" s="42"/>
      <c r="B1011" s="42"/>
      <c r="C1011" s="42"/>
      <c r="D1011" s="42"/>
      <c r="E1011" s="42"/>
      <c r="F1011" s="42"/>
    </row>
    <row r="1012">
      <c r="A1012" s="42"/>
      <c r="B1012" s="42"/>
      <c r="C1012" s="42"/>
      <c r="D1012" s="42"/>
      <c r="E1012" s="42"/>
      <c r="F1012" s="42"/>
    </row>
    <row r="1013">
      <c r="A1013" s="42"/>
      <c r="B1013" s="42"/>
      <c r="C1013" s="42"/>
      <c r="D1013" s="42"/>
      <c r="E1013" s="42"/>
      <c r="F1013" s="42"/>
    </row>
    <row r="1014">
      <c r="A1014" s="42"/>
      <c r="B1014" s="42"/>
      <c r="C1014" s="42"/>
      <c r="D1014" s="42"/>
      <c r="E1014" s="42"/>
      <c r="F1014" s="42"/>
    </row>
    <row r="1015">
      <c r="A1015" s="42"/>
      <c r="B1015" s="42"/>
      <c r="C1015" s="42"/>
      <c r="D1015" s="42"/>
      <c r="E1015" s="42"/>
      <c r="F1015" s="42"/>
    </row>
    <row r="1016">
      <c r="A1016" s="42"/>
      <c r="B1016" s="42"/>
      <c r="C1016" s="42"/>
      <c r="D1016" s="42"/>
      <c r="E1016" s="42"/>
      <c r="F1016" s="42"/>
    </row>
    <row r="1017">
      <c r="A1017" s="42"/>
      <c r="B1017" s="42"/>
      <c r="C1017" s="42"/>
      <c r="D1017" s="42"/>
      <c r="E1017" s="42"/>
      <c r="F1017" s="42"/>
    </row>
    <row r="1018">
      <c r="A1018" s="42"/>
      <c r="B1018" s="42"/>
      <c r="C1018" s="42"/>
      <c r="D1018" s="42"/>
      <c r="E1018" s="42"/>
      <c r="F1018" s="42"/>
    </row>
    <row r="1019">
      <c r="A1019" s="42"/>
      <c r="B1019" s="42"/>
      <c r="C1019" s="42"/>
      <c r="D1019" s="42"/>
      <c r="E1019" s="42"/>
      <c r="F1019" s="42"/>
    </row>
    <row r="1020">
      <c r="A1020" s="42"/>
      <c r="B1020" s="42"/>
      <c r="C1020" s="42"/>
      <c r="D1020" s="42"/>
      <c r="E1020" s="42"/>
      <c r="F1020" s="42"/>
    </row>
    <row r="1021">
      <c r="A1021" s="42"/>
      <c r="B1021" s="42"/>
      <c r="C1021" s="42"/>
      <c r="D1021" s="42"/>
      <c r="E1021" s="42"/>
      <c r="F1021" s="42"/>
    </row>
    <row r="1022">
      <c r="A1022" s="42"/>
      <c r="B1022" s="42"/>
      <c r="C1022" s="42"/>
      <c r="D1022" s="42"/>
      <c r="E1022" s="42"/>
      <c r="F1022" s="42"/>
    </row>
    <row r="1023">
      <c r="A1023" s="42"/>
      <c r="B1023" s="42"/>
      <c r="C1023" s="42"/>
      <c r="D1023" s="42"/>
      <c r="E1023" s="42"/>
      <c r="F1023" s="42"/>
    </row>
    <row r="1024">
      <c r="A1024" s="42"/>
      <c r="B1024" s="42"/>
      <c r="C1024" s="42"/>
      <c r="D1024" s="42"/>
      <c r="E1024" s="42"/>
      <c r="F1024" s="42"/>
    </row>
  </sheetData>
  <conditionalFormatting sqref="D86:D88">
    <cfRule type="expression" dxfId="0" priority="1">
      <formula>COUNTIF(D:D, D86) &gt; 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35.43"/>
    <col customWidth="1" min="3" max="3" width="12.57"/>
    <col customWidth="1" min="4" max="4" width="14.29"/>
    <col customWidth="1" min="5" max="5" width="15.14"/>
    <col customWidth="1" min="6" max="6" width="22.57"/>
    <col customWidth="1" min="7" max="7" width="18.29"/>
    <col customWidth="1" min="8" max="8" width="19.57"/>
    <col customWidth="1" min="13" max="13" width="18.14"/>
    <col customWidth="1" min="17" max="17" width="19.86"/>
    <col customWidth="1" min="18" max="18" width="21.86"/>
    <col customWidth="1" min="19" max="19" width="20.43"/>
  </cols>
  <sheetData>
    <row r="1">
      <c r="A1" s="5" t="s">
        <v>2</v>
      </c>
      <c r="B1" s="10" t="s">
        <v>22</v>
      </c>
      <c r="C1" s="10" t="s">
        <v>33</v>
      </c>
      <c r="D1" s="13" t="s">
        <v>37</v>
      </c>
      <c r="E1" s="16" t="s">
        <v>42</v>
      </c>
      <c r="F1" s="16" t="s">
        <v>45</v>
      </c>
      <c r="G1" s="10" t="s">
        <v>48</v>
      </c>
      <c r="H1" s="10" t="s">
        <v>49</v>
      </c>
      <c r="I1" s="10" t="s">
        <v>35</v>
      </c>
      <c r="J1" s="10" t="s">
        <v>9</v>
      </c>
      <c r="K1" s="10" t="s">
        <v>5</v>
      </c>
      <c r="L1" s="10" t="s">
        <v>60</v>
      </c>
      <c r="M1" s="10" t="s">
        <v>62</v>
      </c>
      <c r="N1" s="10" t="s">
        <v>69</v>
      </c>
      <c r="O1" s="10" t="s">
        <v>32</v>
      </c>
      <c r="P1" s="23" t="s">
        <v>71</v>
      </c>
      <c r="Q1" s="10" t="s">
        <v>74</v>
      </c>
      <c r="R1" s="10" t="s">
        <v>76</v>
      </c>
      <c r="S1" s="10" t="s">
        <v>78</v>
      </c>
      <c r="T1" s="13" t="s">
        <v>79</v>
      </c>
      <c r="U1" s="10" t="s">
        <v>80</v>
      </c>
      <c r="V1" s="23" t="s">
        <v>82</v>
      </c>
      <c r="W1" s="23"/>
      <c r="X1" s="23" t="s">
        <v>84</v>
      </c>
      <c r="Y1" s="23"/>
      <c r="Z1" s="23"/>
      <c r="AA1" s="23"/>
      <c r="AB1" s="23"/>
      <c r="AC1" s="23"/>
      <c r="AD1" s="23"/>
      <c r="AE1" s="23"/>
    </row>
    <row r="2">
      <c r="A2" s="36" t="s">
        <v>88</v>
      </c>
      <c r="B2" s="40" t="str">
        <f>VLOOKUP(A2,Main!A:B,2,0)</f>
        <v>MSV_KALPESHV_POS</v>
      </c>
      <c r="C2" s="23" t="s">
        <v>94</v>
      </c>
      <c r="D2" s="41">
        <v>80000.0</v>
      </c>
      <c r="E2" s="44">
        <f>IFERROR(VLOOKUP(A2,'Realised and SV'!A:I,5,0),0)</f>
        <v>0</v>
      </c>
      <c r="F2" s="44">
        <f>IFERROR(VLOOKUP(A2,'Realised and SV'!A:I,6,0),0)</f>
        <v>3246.75</v>
      </c>
      <c r="G2" s="48">
        <f>INT(IF(U2=0,VLOOKUP(A2,'Realised and SV'!A:H,7,0),IF(OR(K2="1",K2="15"),D2*2+E2+IF(C2="Noren",0,F2),D2*1.8+E2+IF(C2="Noren",0,F2))))</f>
        <v>160000</v>
      </c>
      <c r="H2" s="41">
        <f t="shared" ref="H2:H3" si="1">int(IF(C2="Noren",G2+F2,G2))</f>
        <v>163246</v>
      </c>
      <c r="I2" s="51">
        <f t="shared" ref="I2:I69" si="2">H2/D2</f>
        <v>2.040575</v>
      </c>
      <c r="J2" s="53" t="str">
        <f>VLOOKUP(A2,Main!A:L,9,0)</f>
        <v>VS14</v>
      </c>
      <c r="K2" s="36" t="str">
        <f>VLOOKUP(A2,Main!A:L,10,0)</f>
        <v>1</v>
      </c>
      <c r="L2" s="23" t="b">
        <f>VLOOKUP(A2,Main!A:K,7,0)=H2</f>
        <v>1</v>
      </c>
      <c r="M2" s="23" t="b">
        <f>VLOOKUP(A2,Main!A:K,8,0)=D2</f>
        <v>1</v>
      </c>
      <c r="N2" s="23" t="s">
        <v>118</v>
      </c>
      <c r="O2" s="23" t="str">
        <f>VLOOKUP(A2,Main!$A$1:$M$2844,13,0)</f>
        <v>1DTE/0DTE</v>
      </c>
      <c r="P2" s="23" t="b">
        <f>_xlfn.isformula(VLOOKUP(A2,Main!$A$1:$J$949,7,0))</f>
        <v>1</v>
      </c>
      <c r="Q2" s="41">
        <f t="shared" ref="Q2:Q69" si="3">IF(C2="NOREN",H2-G2-F2,H2-G2)</f>
        <v>-0.75</v>
      </c>
      <c r="R2" s="41"/>
      <c r="S2" s="41"/>
      <c r="T2" s="41"/>
      <c r="U2" s="23">
        <v>0.0</v>
      </c>
      <c r="V2" s="55" t="str">
        <f>VLOOKUP(A2,Exception!$A$2:$L$19,12,0)</f>
        <v>#N/A</v>
      </c>
      <c r="W2" s="55" t="str">
        <f>VLOOKUP(A2,Exception!$A$2:$M$17,13,0)</f>
        <v>#N/A</v>
      </c>
      <c r="X2" s="23" t="str">
        <f>VLOOKUP(A2,Category!A:E,5,0)</f>
        <v>CCV</v>
      </c>
      <c r="Y2" s="56" t="str">
        <f>VLOOKUP(A2,VlookupSheet!$A$382:$A$523,1,0)</f>
        <v>7RA110015</v>
      </c>
      <c r="Z2" s="23"/>
      <c r="AA2" s="23"/>
      <c r="AB2" s="23"/>
      <c r="AC2" s="23"/>
      <c r="AD2" s="23"/>
      <c r="AE2" s="23"/>
    </row>
    <row r="3">
      <c r="A3" s="36" t="s">
        <v>135</v>
      </c>
      <c r="B3" s="40" t="str">
        <f>VLOOKUP(A3,Main!A:B,2,0)</f>
        <v>MSS_RENU1_POS</v>
      </c>
      <c r="C3" s="23" t="s">
        <v>94</v>
      </c>
      <c r="D3" s="41">
        <v>120000.0</v>
      </c>
      <c r="E3" s="44">
        <f>IFERROR(VLOOKUP(A3,'Realised and SV'!A:I,5,0),0)</f>
        <v>-208</v>
      </c>
      <c r="F3" s="44">
        <f>IFERROR(VLOOKUP(A3,'Realised and SV'!A:I,6,0),0)</f>
        <v>43826.25</v>
      </c>
      <c r="G3" s="48">
        <f>INT(IF(U3=0,VLOOKUP(A3,'Realised and SV'!A:H,7,0),IF(OR(K3="1",K3="15"),D3*2+E3+IF(C3="Noren",0,F3),D3*1.8+E3+IF(C3="Noren",0,F3))))</f>
        <v>215792</v>
      </c>
      <c r="H3" s="41">
        <f t="shared" si="1"/>
        <v>259618</v>
      </c>
      <c r="I3" s="51">
        <f t="shared" si="2"/>
        <v>2.163483333</v>
      </c>
      <c r="J3" s="58" t="str">
        <f>VLOOKUP(A3,Main!A:L,9,0)</f>
        <v>VS26</v>
      </c>
      <c r="K3" s="36" t="str">
        <f>VLOOKUP(A3,Main!A:L,10,0)</f>
        <v>7</v>
      </c>
      <c r="L3" s="23" t="b">
        <f>VLOOKUP(A3,Main!A:K,7,0)=H3</f>
        <v>1</v>
      </c>
      <c r="M3" s="23" t="b">
        <f>VLOOKUP(A3,Main!A:K,8,0)=D3</f>
        <v>1</v>
      </c>
      <c r="N3" s="23" t="s">
        <v>118</v>
      </c>
      <c r="O3" s="23" t="str">
        <f>VLOOKUP(A3,Main!$A$1:$M$2844,13,0)</f>
        <v>DAILY</v>
      </c>
      <c r="P3" s="23" t="b">
        <f>_xlfn.isformula(VLOOKUP(A3,Main!$A$1:$J$949,7,0))</f>
        <v>1</v>
      </c>
      <c r="Q3" s="41">
        <f t="shared" si="3"/>
        <v>-0.25</v>
      </c>
      <c r="R3" s="41"/>
      <c r="S3" s="41"/>
      <c r="T3" s="41"/>
      <c r="U3" s="23">
        <v>0.0</v>
      </c>
      <c r="V3" s="55" t="str">
        <f>VLOOKUP(A3,Exception!$A$2:$L$19,12,0)</f>
        <v>#N/A</v>
      </c>
      <c r="W3" s="55" t="str">
        <f>VLOOKUP(A3,Exception!$A$2:$M$17,13,0)</f>
        <v>#N/A</v>
      </c>
      <c r="X3" s="23" t="str">
        <f>VLOOKUP(A3,Category!A:E,5,0)</f>
        <v>PPS</v>
      </c>
      <c r="Y3" s="56" t="str">
        <f>VLOOKUP(A3,VlookupSheet!$A$382:$A$523,1,0)</f>
        <v>7RIK2042</v>
      </c>
      <c r="Z3" s="23"/>
      <c r="AA3" s="23"/>
      <c r="AB3" s="23"/>
      <c r="AC3" s="23"/>
      <c r="AD3" s="23"/>
      <c r="AE3" s="23"/>
    </row>
    <row r="4">
      <c r="A4" s="62" t="s">
        <v>107</v>
      </c>
      <c r="B4" s="40" t="str">
        <f>VLOOKUP(A4,Main!A:B,2,0)</f>
        <v>MSS_A1_PS_POS</v>
      </c>
      <c r="C4" s="55" t="s">
        <v>93</v>
      </c>
      <c r="D4" s="64">
        <v>100000.0</v>
      </c>
      <c r="E4" s="44">
        <f>IFERROR(VLOOKUP(A4,'Realised and SV'!A:I,5,0),0)</f>
        <v>0</v>
      </c>
      <c r="F4" s="44">
        <f>IFERROR(VLOOKUP(A4,'Realised and SV'!A:I,6,0),0)</f>
        <v>3133</v>
      </c>
      <c r="G4" s="66">
        <f>V4</f>
        <v>163133</v>
      </c>
      <c r="H4" s="66">
        <f>G4</f>
        <v>163133</v>
      </c>
      <c r="I4" s="67">
        <f t="shared" si="2"/>
        <v>1.63133</v>
      </c>
      <c r="J4" s="68" t="str">
        <f>VLOOKUP(A4,Main!A:L,9,0)</f>
        <v>VS27</v>
      </c>
      <c r="K4" s="56" t="str">
        <f>VLOOKUP(A4,Main!A:L,10,0)</f>
        <v>1</v>
      </c>
      <c r="L4" s="55" t="b">
        <f>VLOOKUP(A4,Main!A:K,7,0)=H4</f>
        <v>1</v>
      </c>
      <c r="M4" s="55" t="b">
        <f>VLOOKUP(A4,Main!A:K,8,0)=D4</f>
        <v>1</v>
      </c>
      <c r="N4" s="23" t="s">
        <v>118</v>
      </c>
      <c r="O4" s="55" t="str">
        <f>VLOOKUP(A4,Main!$A$1:$M$2844,13,0)</f>
        <v>1DTE/0DTE</v>
      </c>
      <c r="P4" s="55" t="b">
        <f>_xlfn.isformula(VLOOKUP(A4,Main!$A$1:$J$949,7,0))</f>
        <v>1</v>
      </c>
      <c r="Q4" s="64">
        <f t="shared" si="3"/>
        <v>0</v>
      </c>
      <c r="R4" s="64"/>
      <c r="S4" s="64"/>
      <c r="T4" s="64"/>
      <c r="U4" s="23">
        <v>0.0</v>
      </c>
      <c r="V4" s="64">
        <f>VLOOKUP(A4,Exception!$A$2:$L$19,12,0)</f>
        <v>163133</v>
      </c>
      <c r="W4" s="64">
        <f>VLOOKUP(A4,Exception!$A$2:$M$17,13,0)</f>
        <v>163133</v>
      </c>
      <c r="X4" s="23" t="str">
        <f>VLOOKUP(A4,Category!A:E,5,0)</f>
        <v>MSJ</v>
      </c>
      <c r="Y4" s="56" t="str">
        <f>VLOOKUP(A4,VlookupSheet!$A$382:$A$523,1,0)</f>
        <v>ZZJ17221</v>
      </c>
      <c r="Z4" s="55"/>
      <c r="AA4" s="55"/>
      <c r="AB4" s="55"/>
      <c r="AC4" s="55"/>
      <c r="AD4" s="55"/>
      <c r="AE4" s="55"/>
    </row>
    <row r="5">
      <c r="A5" s="36" t="s">
        <v>222</v>
      </c>
      <c r="B5" s="40" t="str">
        <f>VLOOKUP(A5,Main!A:B,2,0)</f>
        <v>MSV_NIRAJDESAI_POS</v>
      </c>
      <c r="C5" s="23" t="s">
        <v>93</v>
      </c>
      <c r="D5" s="41">
        <v>80000.0</v>
      </c>
      <c r="E5" s="44">
        <f>IFERROR(VLOOKUP(A5,'Realised and SV'!A:I,5,0),0)</f>
        <v>0</v>
      </c>
      <c r="F5" s="44">
        <f>IFERROR(VLOOKUP(A5,'Realised and SV'!A:I,6,0),0)</f>
        <v>3139.5</v>
      </c>
      <c r="G5" s="48">
        <f>INT(IF(U5=0,VLOOKUP(A5,'Realised and SV'!A:H,7,0),IF(OR(K5="1",K5="15"),D5*2+E5+IF(C5="Noren",0,F5),D5*1.8+E5+IF(C5="Noren",0,F5))))</f>
        <v>163139</v>
      </c>
      <c r="H5" s="41">
        <f t="shared" ref="H5:H32" si="4">int(IF(C5="Noren",G5+F5,G5))</f>
        <v>163139</v>
      </c>
      <c r="I5" s="51">
        <f t="shared" si="2"/>
        <v>2.0392375</v>
      </c>
      <c r="J5" s="58" t="str">
        <f>VLOOKUP(A5,Main!A:L,9,0)</f>
        <v>VS6</v>
      </c>
      <c r="K5" s="36" t="str">
        <f>VLOOKUP(A5,Main!A:L,10,0)</f>
        <v>1</v>
      </c>
      <c r="L5" s="23" t="b">
        <f>VLOOKUP(A5,Main!A:K,7,0)=H5</f>
        <v>1</v>
      </c>
      <c r="M5" s="23" t="b">
        <f>VLOOKUP(A5,Main!A:K,8,0)=D5</f>
        <v>1</v>
      </c>
      <c r="N5" s="23" t="s">
        <v>118</v>
      </c>
      <c r="O5" s="23" t="str">
        <f>VLOOKUP(A5,Main!$A$1:$M$2844,13,0)</f>
        <v>1DTE/0DTE</v>
      </c>
      <c r="P5" s="23" t="b">
        <f>_xlfn.isformula(VLOOKUP(A5,Main!$A$1:$J$949,7,0))</f>
        <v>1</v>
      </c>
      <c r="Q5" s="41">
        <f t="shared" si="3"/>
        <v>0</v>
      </c>
      <c r="R5" s="41"/>
      <c r="S5" s="41"/>
      <c r="T5" s="41"/>
      <c r="U5" s="23">
        <v>0.0</v>
      </c>
      <c r="V5" s="55" t="str">
        <f>VLOOKUP(A5,Exception!$A$2:$L$19,12,0)</f>
        <v>#N/A</v>
      </c>
      <c r="W5" s="55" t="str">
        <f>VLOOKUP(A5,Exception!$A$2:$M$17,13,0)</f>
        <v>#N/A</v>
      </c>
      <c r="X5" s="23" t="str">
        <f>VLOOKUP(A5,Category!A:E,5,0)</f>
        <v>CCV</v>
      </c>
      <c r="Y5" s="56" t="str">
        <f>VLOOKUP(A5,VlookupSheet!$A$382:$A$523,1,0)</f>
        <v>SPAN0050</v>
      </c>
      <c r="Z5" s="23"/>
      <c r="AA5" s="23"/>
      <c r="AB5" s="23"/>
      <c r="AC5" s="23"/>
      <c r="AD5" s="23"/>
      <c r="AE5" s="23"/>
    </row>
    <row r="6">
      <c r="A6" s="36" t="s">
        <v>259</v>
      </c>
      <c r="B6" s="40" t="str">
        <f>VLOOKUP(A6,Main!A:B,2,0)</f>
        <v>MSS_RENU_POS</v>
      </c>
      <c r="C6" s="23" t="s">
        <v>93</v>
      </c>
      <c r="D6" s="41">
        <v>100000.0</v>
      </c>
      <c r="E6" s="44">
        <f>IFERROR(VLOOKUP(A6,'Realised and SV'!A:I,5,0),0)</f>
        <v>-182</v>
      </c>
      <c r="F6" s="44">
        <f>IFERROR(VLOOKUP(A6,'Realised and SV'!A:I,6,0),0)</f>
        <v>37380.85</v>
      </c>
      <c r="G6" s="48">
        <f>INT(IF(U6=0,VLOOKUP(A6,'Realised and SV'!A:H,7,0),IF(OR(K6="1",K6="15"),D6*2+E6+IF(C6="Noren",0,F6),D6*1.8+E6+IF(C6="Noren",0,F6))))</f>
        <v>243454</v>
      </c>
      <c r="H6" s="41">
        <f t="shared" si="4"/>
        <v>243454</v>
      </c>
      <c r="I6" s="51">
        <f t="shared" si="2"/>
        <v>2.43454</v>
      </c>
      <c r="J6" s="58" t="str">
        <f>VLOOKUP(A6,Main!A:L,9,0)</f>
        <v>VS14</v>
      </c>
      <c r="K6" s="36" t="str">
        <f>VLOOKUP(A6,Main!A:L,10,0)</f>
        <v>1</v>
      </c>
      <c r="L6" s="23" t="b">
        <f>VLOOKUP(A6,Main!A:K,7,0)=H6</f>
        <v>1</v>
      </c>
      <c r="M6" s="23" t="b">
        <f>VLOOKUP(A6,Main!A:K,8,0)=D6</f>
        <v>1</v>
      </c>
      <c r="N6" s="23" t="s">
        <v>118</v>
      </c>
      <c r="O6" s="23" t="str">
        <f>VLOOKUP(A6,Main!$A$1:$M$2844,13,0)</f>
        <v>DAILY</v>
      </c>
      <c r="P6" s="23" t="b">
        <f>_xlfn.isformula(VLOOKUP(A6,Main!$A$1:$J$949,7,0))</f>
        <v>1</v>
      </c>
      <c r="Q6" s="41">
        <f t="shared" si="3"/>
        <v>0</v>
      </c>
      <c r="R6" s="41"/>
      <c r="S6" s="41"/>
      <c r="T6" s="41"/>
      <c r="U6" s="23">
        <v>0.0</v>
      </c>
      <c r="V6" s="55" t="str">
        <f>VLOOKUP(A6,Exception!$A$2:$L$19,12,0)</f>
        <v>#N/A</v>
      </c>
      <c r="W6" s="55" t="str">
        <f>VLOOKUP(A6,Exception!$A$2:$M$17,13,0)</f>
        <v>#N/A</v>
      </c>
      <c r="X6" s="23" t="str">
        <f>VLOOKUP(A6,Category!A:E,5,0)</f>
        <v>PPS</v>
      </c>
      <c r="Y6" s="56" t="str">
        <f>VLOOKUP(A6,VlookupSheet!$A$382:$A$523,1,0)</f>
        <v>RENUD101</v>
      </c>
      <c r="Z6" s="23"/>
      <c r="AA6" s="23"/>
      <c r="AB6" s="23"/>
      <c r="AC6" s="23"/>
      <c r="AD6" s="23"/>
      <c r="AE6" s="23"/>
    </row>
    <row r="7">
      <c r="A7" s="36" t="s">
        <v>274</v>
      </c>
      <c r="B7" s="40" t="str">
        <f>VLOOKUP(A7,Main!A:B,2,0)</f>
        <v>MSV_MILIND_POS</v>
      </c>
      <c r="C7" s="23" t="s">
        <v>93</v>
      </c>
      <c r="D7" s="41">
        <v>80000.0</v>
      </c>
      <c r="E7" s="44">
        <f>IFERROR(VLOOKUP(A7,'Realised and SV'!A:I,5,0),0)</f>
        <v>0</v>
      </c>
      <c r="F7" s="44">
        <f>IFERROR(VLOOKUP(A7,'Realised and SV'!A:I,6,0),0)</f>
        <v>3126.5</v>
      </c>
      <c r="G7" s="48">
        <f>INT(IF(U7=0,VLOOKUP(A7,'Realised and SV'!A:H,7,0),IF(OR(K7="1",K7="15"),D7*2+E7+IF(C7="Noren",0,F7),D7*1.8+E7+IF(C7="Noren",0,F7))))</f>
        <v>163126</v>
      </c>
      <c r="H7" s="41">
        <f t="shared" si="4"/>
        <v>163126</v>
      </c>
      <c r="I7" s="51">
        <f t="shared" si="2"/>
        <v>2.039075</v>
      </c>
      <c r="J7" s="58" t="str">
        <f>VLOOKUP(A7,Main!A:L,9,0)</f>
        <v>VS6</v>
      </c>
      <c r="K7" s="36" t="str">
        <f>VLOOKUP(A7,Main!A:L,10,0)</f>
        <v>1</v>
      </c>
      <c r="L7" s="23" t="b">
        <f>VLOOKUP(A7,Main!A:K,7,0)=H7</f>
        <v>1</v>
      </c>
      <c r="M7" s="23" t="b">
        <f>VLOOKUP(A7,Main!A:K,8,0)=D7</f>
        <v>1</v>
      </c>
      <c r="N7" s="23" t="s">
        <v>118</v>
      </c>
      <c r="O7" s="23" t="str">
        <f>VLOOKUP(A7,Main!$A$1:$M$2844,13,0)</f>
        <v>1DTE/0DTE</v>
      </c>
      <c r="P7" s="23" t="b">
        <f>_xlfn.isformula(VLOOKUP(A7,Main!$A$1:$J$949,7,0))</f>
        <v>1</v>
      </c>
      <c r="Q7" s="41">
        <f t="shared" si="3"/>
        <v>0</v>
      </c>
      <c r="R7" s="41"/>
      <c r="S7" s="41"/>
      <c r="T7" s="41"/>
      <c r="U7" s="23">
        <v>0.0</v>
      </c>
      <c r="V7" s="55" t="str">
        <f>VLOOKUP(A7,Exception!$A$2:$L$19,12,0)</f>
        <v>#N/A</v>
      </c>
      <c r="W7" s="55" t="str">
        <f>VLOOKUP(A7,Exception!$A$2:$M$17,13,0)</f>
        <v>#N/A</v>
      </c>
      <c r="X7" s="23" t="str">
        <f>VLOOKUP(A7,Category!A:E,5,0)</f>
        <v>CCV</v>
      </c>
      <c r="Y7" s="56" t="str">
        <f>VLOOKUP(A7,VlookupSheet!$A$382:$A$523,1,0)</f>
        <v>MMILIND7</v>
      </c>
      <c r="Z7" s="23"/>
      <c r="AA7" s="23"/>
      <c r="AB7" s="23"/>
      <c r="AC7" s="23"/>
      <c r="AD7" s="23"/>
      <c r="AE7" s="23"/>
    </row>
    <row r="8">
      <c r="A8" s="36" t="s">
        <v>282</v>
      </c>
      <c r="B8" s="40" t="str">
        <f>VLOOKUP(A8,Main!A:B,2,0)</f>
        <v>MSV_AMIT_POS</v>
      </c>
      <c r="C8" s="23" t="s">
        <v>93</v>
      </c>
      <c r="D8" s="41">
        <v>120000.0</v>
      </c>
      <c r="E8" s="44">
        <f>IFERROR(VLOOKUP(A8,'Realised and SV'!A:I,5,0),0)</f>
        <v>0</v>
      </c>
      <c r="F8" s="44">
        <f>IFERROR(VLOOKUP(A8,'Realised and SV'!A:I,6,0),0)</f>
        <v>37864.45</v>
      </c>
      <c r="G8" s="48">
        <f>D8*30</f>
        <v>3600000</v>
      </c>
      <c r="H8" s="41">
        <f t="shared" si="4"/>
        <v>3600000</v>
      </c>
      <c r="I8" s="51">
        <f t="shared" si="2"/>
        <v>30</v>
      </c>
      <c r="J8" s="58" t="str">
        <f>VLOOKUP(A8,Main!A:L,9,0)</f>
        <v>VS6</v>
      </c>
      <c r="K8" s="36" t="str">
        <f>VLOOKUP(A8,Main!A:L,10,0)</f>
        <v>1</v>
      </c>
      <c r="L8" s="23" t="b">
        <f>VLOOKUP(A8,Main!A:K,7,0)=H8</f>
        <v>1</v>
      </c>
      <c r="M8" s="23" t="b">
        <f>VLOOKUP(A8,Main!A:K,8,0)=D8</f>
        <v>1</v>
      </c>
      <c r="N8" s="23" t="s">
        <v>118</v>
      </c>
      <c r="O8" s="23" t="str">
        <f>VLOOKUP(A8,Main!$A$1:$M$2844,13,0)</f>
        <v>DAILY</v>
      </c>
      <c r="P8" s="23" t="b">
        <f>_xlfn.isformula(VLOOKUP(A8,Main!$A$1:$J$949,7,0))</f>
        <v>0</v>
      </c>
      <c r="Q8" s="41">
        <f t="shared" si="3"/>
        <v>0</v>
      </c>
      <c r="R8" s="41"/>
      <c r="S8" s="41"/>
      <c r="T8" s="41"/>
      <c r="U8" s="23">
        <v>0.0</v>
      </c>
      <c r="V8" s="55" t="str">
        <f>VLOOKUP(A8,Exception!$A$2:$L$19,12,0)</f>
        <v>#N/A</v>
      </c>
      <c r="W8" s="55" t="str">
        <f>VLOOKUP(A8,Exception!$A$2:$M$17,13,0)</f>
        <v>#N/A</v>
      </c>
      <c r="X8" s="23" t="str">
        <f>VLOOKUP(A8,Category!A:E,5,0)</f>
        <v>PVT</v>
      </c>
      <c r="Y8" s="56" t="str">
        <f>VLOOKUP(A8,VlookupSheet!$A$382:$A$523,1,0)</f>
        <v>MAMIT782</v>
      </c>
      <c r="Z8" s="23"/>
      <c r="AA8" s="23"/>
      <c r="AB8" s="23"/>
      <c r="AC8" s="23"/>
      <c r="AD8" s="23"/>
      <c r="AE8" s="23"/>
    </row>
    <row r="9">
      <c r="A9" s="36" t="s">
        <v>289</v>
      </c>
      <c r="B9" s="40" t="str">
        <f>VLOOKUP(A9,Main!A:B,2,0)</f>
        <v>CCV_GAUTAMVIPUL_POS</v>
      </c>
      <c r="C9" s="23" t="s">
        <v>93</v>
      </c>
      <c r="D9" s="41">
        <v>80000.0</v>
      </c>
      <c r="E9" s="44">
        <f>IFERROR(VLOOKUP(A9,'Realised and SV'!A:I,5,0),0)</f>
        <v>0</v>
      </c>
      <c r="F9" s="44">
        <f>IFERROR(VLOOKUP(A9,'Realised and SV'!A:I,6,0),0)</f>
        <v>3080.35</v>
      </c>
      <c r="G9" s="48">
        <f>INT(IF(U9=0,VLOOKUP(A9,'Realised and SV'!A:H,7,0),IF(OR(K9="1",K9="15"),D9*2+E9+IF(C9="Noren",0,F9),D9*1.8+E9+IF(C9="Noren",0,F9))))</f>
        <v>163080</v>
      </c>
      <c r="H9" s="41">
        <f t="shared" si="4"/>
        <v>163080</v>
      </c>
      <c r="I9" s="51">
        <f t="shared" si="2"/>
        <v>2.0385</v>
      </c>
      <c r="J9" s="58" t="str">
        <f>VLOOKUP(A9,Main!A:L,9,0)</f>
        <v>VS3</v>
      </c>
      <c r="K9" s="36" t="str">
        <f>VLOOKUP(A9,Main!A:L,10,0)</f>
        <v>1</v>
      </c>
      <c r="L9" s="23" t="b">
        <f>VLOOKUP(A9,Main!A:K,7,0)=H9</f>
        <v>1</v>
      </c>
      <c r="M9" s="23" t="b">
        <f>VLOOKUP(A9,Main!A:K,8,0)=D9</f>
        <v>1</v>
      </c>
      <c r="N9" s="23" t="s">
        <v>118</v>
      </c>
      <c r="O9" s="23" t="str">
        <f>VLOOKUP(A9,Main!$A$1:$M$2844,13,0)</f>
        <v>1DTE/0DTE</v>
      </c>
      <c r="P9" s="23" t="b">
        <f>_xlfn.isformula(VLOOKUP(A9,Main!$A$1:$J$949,7,0))</f>
        <v>1</v>
      </c>
      <c r="Q9" s="41">
        <f t="shared" si="3"/>
        <v>0</v>
      </c>
      <c r="R9" s="41"/>
      <c r="S9" s="41"/>
      <c r="T9" s="41"/>
      <c r="U9" s="23">
        <v>0.0</v>
      </c>
      <c r="V9" s="55" t="str">
        <f>VLOOKUP(A9,Exception!$A$2:$L$19,12,0)</f>
        <v>#N/A</v>
      </c>
      <c r="W9" s="55" t="str">
        <f>VLOOKUP(A9,Exception!$A$2:$M$17,13,0)</f>
        <v>#N/A</v>
      </c>
      <c r="X9" s="23" t="str">
        <f>VLOOKUP(A9,Category!A:E,5,0)</f>
        <v>CCV</v>
      </c>
      <c r="Y9" s="56" t="str">
        <f>VLOOKUP(A9,VlookupSheet!$A$382:$A$523,1,0)</f>
        <v>KRISTA78</v>
      </c>
      <c r="Z9" s="23"/>
      <c r="AA9" s="23"/>
      <c r="AB9" s="23"/>
      <c r="AC9" s="23"/>
      <c r="AD9" s="23"/>
      <c r="AE9" s="23"/>
    </row>
    <row r="10">
      <c r="A10" s="36" t="s">
        <v>299</v>
      </c>
      <c r="B10" s="40" t="str">
        <f>VLOOKUP(A10,Main!A:B,2,0)</f>
        <v>CCV_NIKHIL_BANSAL_POS</v>
      </c>
      <c r="C10" s="23" t="s">
        <v>93</v>
      </c>
      <c r="D10" s="41">
        <v>60000.0</v>
      </c>
      <c r="E10" s="44">
        <f>IFERROR(VLOOKUP(A10,'Realised and SV'!A:I,5,0),0)</f>
        <v>0</v>
      </c>
      <c r="F10" s="44">
        <f>IFERROR(VLOOKUP(A10,'Realised and SV'!A:I,6,0),0)</f>
        <v>2990</v>
      </c>
      <c r="G10" s="48">
        <f>INT(IF(U10=0,VLOOKUP(A10,'Realised and SV'!A:H,7,0),IF(OR(K10="1",K10="15"),D10*2+E10+IF(C10="Noren",0,F10),D10*1.8+E10+IF(C10="Noren",0,F10))))</f>
        <v>122990</v>
      </c>
      <c r="H10" s="41">
        <f t="shared" si="4"/>
        <v>122990</v>
      </c>
      <c r="I10" s="51">
        <f t="shared" si="2"/>
        <v>2.049833333</v>
      </c>
      <c r="J10" s="58" t="str">
        <f>VLOOKUP(A10,Main!A:L,9,0)</f>
        <v>VS3</v>
      </c>
      <c r="K10" s="36" t="str">
        <f>VLOOKUP(A10,Main!A:L,10,0)</f>
        <v>1</v>
      </c>
      <c r="L10" s="23" t="b">
        <f>VLOOKUP(A10,Main!A:K,7,0)=H10</f>
        <v>1</v>
      </c>
      <c r="M10" s="23" t="b">
        <f>VLOOKUP(A10,Main!A:K,8,0)=D10</f>
        <v>1</v>
      </c>
      <c r="N10" s="23" t="s">
        <v>118</v>
      </c>
      <c r="O10" s="23" t="str">
        <f>VLOOKUP(A10,Main!$A$1:$M$2844,13,0)</f>
        <v>1DTE/0DTE</v>
      </c>
      <c r="P10" s="23" t="b">
        <f>_xlfn.isformula(VLOOKUP(A10,Main!$A$1:$J$949,7,0))</f>
        <v>1</v>
      </c>
      <c r="Q10" s="41">
        <f t="shared" si="3"/>
        <v>0</v>
      </c>
      <c r="R10" s="41"/>
      <c r="S10" s="41"/>
      <c r="T10" s="23"/>
      <c r="U10" s="23">
        <v>0.0</v>
      </c>
      <c r="V10" s="55" t="str">
        <f>VLOOKUP(A10,Exception!$A$2:$L$19,12,0)</f>
        <v>#N/A</v>
      </c>
      <c r="W10" s="55" t="str">
        <f>VLOOKUP(A10,Exception!$A$2:$M$17,13,0)</f>
        <v>#N/A</v>
      </c>
      <c r="X10" s="23" t="str">
        <f>VLOOKUP(A10,Category!A:E,5,0)</f>
        <v>CCV</v>
      </c>
      <c r="Y10" s="56" t="str">
        <f>VLOOKUP(A10,VlookupSheet!$A$382:$A$523,1,0)</f>
        <v>IR0012</v>
      </c>
      <c r="Z10" s="23"/>
      <c r="AA10" s="23"/>
      <c r="AB10" s="23"/>
      <c r="AC10" s="23"/>
      <c r="AD10" s="23"/>
      <c r="AE10" s="23"/>
    </row>
    <row r="11">
      <c r="A11" s="36" t="s">
        <v>306</v>
      </c>
      <c r="B11" s="40" t="str">
        <f>VLOOKUP(A11,Main!A:B,2,0)</f>
        <v>CC_RAJESHK_POS</v>
      </c>
      <c r="C11" s="23" t="s">
        <v>93</v>
      </c>
      <c r="D11" s="41">
        <v>140000.0</v>
      </c>
      <c r="E11" s="44">
        <f>IFERROR(VLOOKUP(A11,'Realised and SV'!A:I,5,0),0)</f>
        <v>0</v>
      </c>
      <c r="F11" s="44">
        <f>IFERROR(VLOOKUP(A11,'Realised and SV'!A:I,6,0),0)</f>
        <v>37839.75</v>
      </c>
      <c r="G11" s="48">
        <f>D11*30</f>
        <v>4200000</v>
      </c>
      <c r="H11" s="41">
        <f t="shared" si="4"/>
        <v>4200000</v>
      </c>
      <c r="I11" s="51">
        <f t="shared" si="2"/>
        <v>30</v>
      </c>
      <c r="J11" s="58" t="str">
        <f>VLOOKUP(A11,Main!A:L,9,0)</f>
        <v>VS3</v>
      </c>
      <c r="K11" s="36" t="str">
        <f>VLOOKUP(A11,Main!A:L,10,0)</f>
        <v>1</v>
      </c>
      <c r="L11" s="23" t="b">
        <f>VLOOKUP(A11,Main!A:K,7,0)=H11</f>
        <v>1</v>
      </c>
      <c r="M11" s="23" t="b">
        <f>VLOOKUP(A11,Main!A:K,8,0)=D11</f>
        <v>1</v>
      </c>
      <c r="N11" s="23" t="s">
        <v>118</v>
      </c>
      <c r="O11" s="23" t="str">
        <f>VLOOKUP(A11,Main!$A$1:$M$2844,13,0)</f>
        <v>DAILY</v>
      </c>
      <c r="P11" s="23" t="b">
        <f>_xlfn.isformula(VLOOKUP(A11,Main!$A$1:$J$949,7,0))</f>
        <v>1</v>
      </c>
      <c r="Q11" s="41">
        <f t="shared" si="3"/>
        <v>0</v>
      </c>
      <c r="R11" s="41"/>
      <c r="S11" s="41"/>
      <c r="T11" s="41"/>
      <c r="U11" s="23">
        <v>0.0</v>
      </c>
      <c r="V11" s="55" t="str">
        <f>VLOOKUP(A11,Exception!$A$2:$L$19,12,0)</f>
        <v>#N/A</v>
      </c>
      <c r="W11" s="55" t="str">
        <f>VLOOKUP(A11,Exception!$A$2:$M$17,13,0)</f>
        <v>#N/A</v>
      </c>
      <c r="X11" s="23" t="str">
        <f>VLOOKUP(A11,Category!A:E,5,0)</f>
        <v>CCG</v>
      </c>
      <c r="Y11" s="56" t="str">
        <f>VLOOKUP(A11,VlookupSheet!$A$382:$A$523,1,0)</f>
        <v>AVS00RKL</v>
      </c>
      <c r="Z11" s="23"/>
      <c r="AA11" s="23"/>
      <c r="AB11" s="23"/>
      <c r="AC11" s="23"/>
      <c r="AD11" s="23"/>
      <c r="AE11" s="23"/>
    </row>
    <row r="12">
      <c r="A12" s="36" t="s">
        <v>314</v>
      </c>
      <c r="B12" s="40" t="str">
        <f>VLOOKUP(A12,Main!A:B,2,0)</f>
        <v>MSV_AMITBANSAL_POS</v>
      </c>
      <c r="C12" s="23" t="s">
        <v>93</v>
      </c>
      <c r="D12" s="41">
        <v>80000.0</v>
      </c>
      <c r="E12" s="44">
        <f>IFERROR(VLOOKUP(A12,'Realised and SV'!A:I,5,0),0)</f>
        <v>0</v>
      </c>
      <c r="F12" s="44">
        <f>IFERROR(VLOOKUP(A12,'Realised and SV'!A:I,6,0),0)</f>
        <v>3177.85</v>
      </c>
      <c r="G12" s="48">
        <f>INT(IF(U12=0,VLOOKUP(A12,'Realised and SV'!A:H,7,0),IF(OR(K12="1",K12="15"),D12*2+E12+IF(C12="Noren",0,F12),D12*1.8+E12+IF(C12="Noren",0,F12))))</f>
        <v>163177</v>
      </c>
      <c r="H12" s="41">
        <f t="shared" si="4"/>
        <v>163177</v>
      </c>
      <c r="I12" s="51">
        <f t="shared" si="2"/>
        <v>2.0397125</v>
      </c>
      <c r="J12" s="58" t="str">
        <f>VLOOKUP(A12,Main!A:L,9,0)</f>
        <v>VS6</v>
      </c>
      <c r="K12" s="36" t="str">
        <f>VLOOKUP(A12,Main!A:L,10,0)</f>
        <v>1</v>
      </c>
      <c r="L12" s="23" t="b">
        <f>VLOOKUP(A12,Main!A:K,7,0)=H12</f>
        <v>1</v>
      </c>
      <c r="M12" s="23" t="b">
        <f>VLOOKUP(A12,Main!A:K,8,0)=D12</f>
        <v>1</v>
      </c>
      <c r="N12" s="23" t="s">
        <v>118</v>
      </c>
      <c r="O12" s="23" t="str">
        <f>VLOOKUP(A12,Main!$A$1:$M$2844,13,0)</f>
        <v>1DTE/0DTE</v>
      </c>
      <c r="P12" s="23" t="b">
        <f>_xlfn.isformula(VLOOKUP(A12,Main!$A$1:$J$949,7,0))</f>
        <v>1</v>
      </c>
      <c r="Q12" s="41">
        <f t="shared" si="3"/>
        <v>0</v>
      </c>
      <c r="R12" s="41"/>
      <c r="S12" s="41"/>
      <c r="T12" s="41"/>
      <c r="U12" s="23">
        <v>0.0</v>
      </c>
      <c r="V12" s="55" t="str">
        <f>VLOOKUP(A12,Exception!$A$2:$L$19,12,0)</f>
        <v>#N/A</v>
      </c>
      <c r="W12" s="55" t="str">
        <f>VLOOKUP(A12,Exception!$A$2:$M$17,13,0)</f>
        <v>#N/A</v>
      </c>
      <c r="X12" s="23" t="str">
        <f>VLOOKUP(A12,Category!A:E,5,0)</f>
        <v>CCV</v>
      </c>
      <c r="Y12" s="56" t="str">
        <f>VLOOKUP(A12,VlookupSheet!$A$382:$A$523,1,0)</f>
        <v>AMITHUFB</v>
      </c>
      <c r="Z12" s="23"/>
      <c r="AA12" s="23"/>
      <c r="AB12" s="23"/>
      <c r="AC12" s="23"/>
      <c r="AD12" s="23"/>
      <c r="AE12" s="23"/>
    </row>
    <row r="13">
      <c r="A13" s="36" t="s">
        <v>321</v>
      </c>
      <c r="B13" s="40" t="str">
        <f>VLOOKUP(A13,Main!A:B,2,0)</f>
        <v>MSG_CHANDRAKALA_POS</v>
      </c>
      <c r="C13" s="23" t="s">
        <v>93</v>
      </c>
      <c r="D13" s="41">
        <v>60000.0</v>
      </c>
      <c r="E13" s="44">
        <f>IFERROR(VLOOKUP(A13,'Realised and SV'!A:I,5,0),0)</f>
        <v>0</v>
      </c>
      <c r="F13" s="44">
        <f>IFERROR(VLOOKUP(A13,'Realised and SV'!A:I,6,0),0)</f>
        <v>3105.7</v>
      </c>
      <c r="G13" s="48">
        <f t="shared" ref="G13:G15" si="5">D13*30</f>
        <v>1800000</v>
      </c>
      <c r="H13" s="41">
        <f t="shared" si="4"/>
        <v>1800000</v>
      </c>
      <c r="I13" s="51">
        <f t="shared" si="2"/>
        <v>30</v>
      </c>
      <c r="J13" s="58" t="str">
        <f>VLOOKUP(A13,Main!A:L,9,0)</f>
        <v>VS6</v>
      </c>
      <c r="K13" s="36" t="str">
        <f>VLOOKUP(A13,Main!A:L,10,0)</f>
        <v>1</v>
      </c>
      <c r="L13" s="23" t="b">
        <f>VLOOKUP(A13,Main!A:K,7,0)=H13</f>
        <v>1</v>
      </c>
      <c r="M13" s="23" t="b">
        <f>VLOOKUP(A13,Main!A:K,8,0)=D13</f>
        <v>1</v>
      </c>
      <c r="N13" s="23" t="s">
        <v>118</v>
      </c>
      <c r="O13" s="23" t="str">
        <f>VLOOKUP(A13,Main!$A$1:$M$2844,13,0)</f>
        <v>1DTE/0DTE</v>
      </c>
      <c r="P13" s="23" t="b">
        <f>_xlfn.isformula(VLOOKUP(A13,Main!$A$1:$J$949,7,0))</f>
        <v>1</v>
      </c>
      <c r="Q13" s="41">
        <f t="shared" si="3"/>
        <v>0</v>
      </c>
      <c r="R13" s="41"/>
      <c r="S13" s="41"/>
      <c r="T13" s="23"/>
      <c r="U13" s="23">
        <v>0.0</v>
      </c>
      <c r="V13" s="55" t="str">
        <f>VLOOKUP(A13,Exception!$A$2:$L$19,12,0)</f>
        <v>#N/A</v>
      </c>
      <c r="W13" s="55" t="str">
        <f>VLOOKUP(A13,Exception!$A$2:$M$17,13,0)</f>
        <v>#N/A</v>
      </c>
      <c r="X13" s="23" t="str">
        <f>VLOOKUP(A13,Category!A:E,5,0)</f>
        <v>CCG</v>
      </c>
      <c r="Y13" s="56" t="str">
        <f>VLOOKUP(A13,VlookupSheet!$A$382:$A$523,1,0)</f>
        <v>99972022</v>
      </c>
      <c r="Z13" s="23"/>
      <c r="AA13" s="23"/>
      <c r="AB13" s="23"/>
      <c r="AC13" s="23"/>
      <c r="AD13" s="23"/>
      <c r="AE13" s="23"/>
    </row>
    <row r="14">
      <c r="A14" s="36" t="s">
        <v>348</v>
      </c>
      <c r="B14" s="40" t="str">
        <f>VLOOKUP(A14,Main!A:B,2,0)</f>
        <v>CC_SEEMAB_POS</v>
      </c>
      <c r="C14" s="23" t="s">
        <v>93</v>
      </c>
      <c r="D14" s="41">
        <v>80000.0</v>
      </c>
      <c r="E14" s="44">
        <f>IFERROR(VLOOKUP(A14,'Realised and SV'!A:I,5,0),0)</f>
        <v>0</v>
      </c>
      <c r="F14" s="44">
        <f>IFERROR(VLOOKUP(A14,'Realised and SV'!A:I,6,0),0)</f>
        <v>3127.15</v>
      </c>
      <c r="G14" s="48">
        <f t="shared" si="5"/>
        <v>2400000</v>
      </c>
      <c r="H14" s="41">
        <f t="shared" si="4"/>
        <v>2400000</v>
      </c>
      <c r="I14" s="51">
        <f t="shared" si="2"/>
        <v>30</v>
      </c>
      <c r="J14" s="58" t="str">
        <f>VLOOKUP(A14,Main!A:L,9,0)</f>
        <v>VS3</v>
      </c>
      <c r="K14" s="36" t="str">
        <f>VLOOKUP(A14,Main!A:L,10,0)</f>
        <v>1</v>
      </c>
      <c r="L14" s="23" t="b">
        <f>VLOOKUP(A14,Main!A:K,7,0)=H14</f>
        <v>1</v>
      </c>
      <c r="M14" s="23" t="b">
        <f>VLOOKUP(A14,Main!A:K,8,0)=D14</f>
        <v>1</v>
      </c>
      <c r="N14" s="23" t="s">
        <v>118</v>
      </c>
      <c r="O14" s="23" t="str">
        <f>VLOOKUP(A14,Main!$A$1:$M$2844,13,0)</f>
        <v>1DTE/0DTE</v>
      </c>
      <c r="P14" s="23" t="b">
        <f>_xlfn.isformula(VLOOKUP(A14,Main!$A$1:$J$949,7,0))</f>
        <v>1</v>
      </c>
      <c r="Q14" s="41">
        <f t="shared" si="3"/>
        <v>0</v>
      </c>
      <c r="R14" s="41"/>
      <c r="S14" s="41"/>
      <c r="T14" s="23"/>
      <c r="U14" s="23">
        <v>0.0</v>
      </c>
      <c r="V14" s="55" t="str">
        <f>VLOOKUP(A14,Exception!$A$2:$L$19,12,0)</f>
        <v>#N/A</v>
      </c>
      <c r="W14" s="55" t="str">
        <f>VLOOKUP(A14,Exception!$A$2:$M$17,13,0)</f>
        <v>#N/A</v>
      </c>
      <c r="X14" s="23" t="str">
        <f>VLOOKUP(A14,Category!A:E,5,0)</f>
        <v>CCG</v>
      </c>
      <c r="Y14" s="56" t="str">
        <f>VLOOKUP(A14,VlookupSheet!$A$382:$A$523,1,0)</f>
        <v>92609325</v>
      </c>
      <c r="Z14" s="23"/>
      <c r="AA14" s="23"/>
      <c r="AB14" s="23"/>
      <c r="AC14" s="23"/>
      <c r="AD14" s="23"/>
      <c r="AE14" s="23"/>
    </row>
    <row r="15">
      <c r="A15" s="36" t="s">
        <v>366</v>
      </c>
      <c r="B15" s="40" t="str">
        <f>VLOOKUP(A15,Main!A:B,2,0)</f>
        <v>CC_APOORVAP_POS</v>
      </c>
      <c r="C15" s="23" t="s">
        <v>93</v>
      </c>
      <c r="D15" s="41">
        <v>60000.0</v>
      </c>
      <c r="E15" s="44">
        <f>IFERROR(VLOOKUP(A15,'Realised and SV'!A:I,5,0),0)</f>
        <v>0</v>
      </c>
      <c r="F15" s="44">
        <f>IFERROR(VLOOKUP(A15,'Realised and SV'!A:I,6,0),0)</f>
        <v>3122.6</v>
      </c>
      <c r="G15" s="48">
        <f t="shared" si="5"/>
        <v>1800000</v>
      </c>
      <c r="H15" s="41">
        <f t="shared" si="4"/>
        <v>1800000</v>
      </c>
      <c r="I15" s="51">
        <f t="shared" si="2"/>
        <v>30</v>
      </c>
      <c r="J15" s="58" t="str">
        <f>VLOOKUP(A15,Main!A:L,9,0)</f>
        <v>VS3</v>
      </c>
      <c r="K15" s="36" t="str">
        <f>VLOOKUP(A15,Main!A:L,10,0)</f>
        <v>1</v>
      </c>
      <c r="L15" s="23" t="b">
        <f>VLOOKUP(A15,Main!A:K,7,0)=H15</f>
        <v>1</v>
      </c>
      <c r="M15" s="23" t="b">
        <f>VLOOKUP(A15,Main!A:K,8,0)=D15</f>
        <v>1</v>
      </c>
      <c r="N15" s="23" t="s">
        <v>118</v>
      </c>
      <c r="O15" s="23" t="str">
        <f>VLOOKUP(A15,Main!$A$1:$M$2844,13,0)</f>
        <v>1DTE/0DTE</v>
      </c>
      <c r="P15" s="23" t="b">
        <f>_xlfn.isformula(VLOOKUP(A15,Main!$A$1:$J$949,7,0))</f>
        <v>1</v>
      </c>
      <c r="Q15" s="41">
        <f t="shared" si="3"/>
        <v>0</v>
      </c>
      <c r="R15" s="41"/>
      <c r="S15" s="41"/>
      <c r="T15" s="23"/>
      <c r="U15" s="23">
        <v>0.0</v>
      </c>
      <c r="V15" s="55" t="str">
        <f>VLOOKUP(A15,Exception!$A$2:$L$19,12,0)</f>
        <v>#N/A</v>
      </c>
      <c r="W15" s="55" t="str">
        <f>VLOOKUP(A15,Exception!$A$2:$M$17,13,0)</f>
        <v>#N/A</v>
      </c>
      <c r="X15" s="23" t="str">
        <f>VLOOKUP(A15,Category!A:E,5,0)</f>
        <v>CCG</v>
      </c>
      <c r="Y15" s="56" t="str">
        <f>VLOOKUP(A15,VlookupSheet!$A$382:$A$523,1,0)</f>
        <v>91582593</v>
      </c>
      <c r="Z15" s="23"/>
      <c r="AA15" s="23"/>
      <c r="AB15" s="23"/>
      <c r="AC15" s="23"/>
      <c r="AD15" s="23"/>
      <c r="AE15" s="23"/>
    </row>
    <row r="16">
      <c r="A16" s="36" t="s">
        <v>335</v>
      </c>
      <c r="B16" s="40" t="str">
        <f>VLOOKUP(A16,Main!A:B,2,0)</f>
        <v>MSV_SAANVI_POS</v>
      </c>
      <c r="C16" s="23" t="s">
        <v>93</v>
      </c>
      <c r="D16" s="41">
        <v>80000.0</v>
      </c>
      <c r="E16" s="44">
        <f>IFERROR(VLOOKUP(A16,'Realised and SV'!A:I,5,0),0)</f>
        <v>0</v>
      </c>
      <c r="F16" s="44">
        <f>IFERROR(VLOOKUP(A16,'Realised and SV'!A:I,6,0),0)</f>
        <v>3155.75</v>
      </c>
      <c r="G16" s="48">
        <f>INT(IF(U16=0,VLOOKUP(A16,'Realised and SV'!A:H,7,0),IF(OR(K16="1",K16="15"),D16*2+E16+IF(C16="Noren",0,F16),D16*1.8+E16+IF(C16="Noren",0,F16))))</f>
        <v>163155</v>
      </c>
      <c r="H16" s="41">
        <f t="shared" si="4"/>
        <v>163155</v>
      </c>
      <c r="I16" s="51">
        <f t="shared" si="2"/>
        <v>2.0394375</v>
      </c>
      <c r="J16" s="58" t="str">
        <f>VLOOKUP(A16,Main!A:L,9,0)</f>
        <v>VS6</v>
      </c>
      <c r="K16" s="36" t="str">
        <f>VLOOKUP(A16,Main!A:L,10,0)</f>
        <v>1</v>
      </c>
      <c r="L16" s="23" t="b">
        <f>VLOOKUP(A16,Main!A:K,7,0)=H16</f>
        <v>1</v>
      </c>
      <c r="M16" s="23" t="b">
        <f>VLOOKUP(A16,Main!A:K,8,0)=D16</f>
        <v>1</v>
      </c>
      <c r="N16" s="23" t="s">
        <v>118</v>
      </c>
      <c r="O16" s="23" t="str">
        <f>VLOOKUP(A16,Main!$A$1:$M$2844,13,0)</f>
        <v>1DTE/0DTE</v>
      </c>
      <c r="P16" s="23" t="b">
        <f>_xlfn.isformula(VLOOKUP(A16,Main!$A$1:$J$949,7,0))</f>
        <v>1</v>
      </c>
      <c r="Q16" s="41">
        <f t="shared" si="3"/>
        <v>0</v>
      </c>
      <c r="R16" s="41"/>
      <c r="S16" s="41"/>
      <c r="T16" s="41"/>
      <c r="U16" s="23">
        <v>0.0</v>
      </c>
      <c r="V16" s="55" t="str">
        <f>VLOOKUP(A16,Exception!$A$2:$L$19,12,0)</f>
        <v>#N/A</v>
      </c>
      <c r="W16" s="55" t="str">
        <f>VLOOKUP(A16,Exception!$A$2:$M$17,13,0)</f>
        <v>#N/A</v>
      </c>
      <c r="X16" s="23" t="str">
        <f>VLOOKUP(A16,Category!A:E,5,0)</f>
        <v>CCV</v>
      </c>
      <c r="Y16" s="56" t="str">
        <f>VLOOKUP(A16,VlookupSheet!$A$382:$A$523,1,0)</f>
        <v>75962003</v>
      </c>
      <c r="Z16" s="23"/>
      <c r="AA16" s="23"/>
      <c r="AB16" s="23"/>
      <c r="AC16" s="23"/>
      <c r="AD16" s="23"/>
      <c r="AE16" s="23"/>
    </row>
    <row r="17">
      <c r="A17" s="36" t="s">
        <v>344</v>
      </c>
      <c r="B17" s="40" t="str">
        <f>VLOOKUP(A17,Main!A:B,2,0)</f>
        <v>CC_MANISHA_POS</v>
      </c>
      <c r="C17" s="23" t="s">
        <v>93</v>
      </c>
      <c r="D17" s="41">
        <v>60000.0</v>
      </c>
      <c r="E17" s="44">
        <f>IFERROR(VLOOKUP(A17,'Realised and SV'!A:I,5,0),0)</f>
        <v>0</v>
      </c>
      <c r="F17" s="44">
        <f>IFERROR(VLOOKUP(A17,'Realised and SV'!A:I,6,0),0)</f>
        <v>3119.35</v>
      </c>
      <c r="G17" s="48">
        <f t="shared" ref="G17:G22" si="6">D17*30</f>
        <v>1800000</v>
      </c>
      <c r="H17" s="41">
        <f t="shared" si="4"/>
        <v>1800000</v>
      </c>
      <c r="I17" s="51">
        <f t="shared" si="2"/>
        <v>30</v>
      </c>
      <c r="J17" s="58" t="str">
        <f>VLOOKUP(A17,Main!A:L,9,0)</f>
        <v>VS3</v>
      </c>
      <c r="K17" s="36" t="str">
        <f>VLOOKUP(A17,Main!A:L,10,0)</f>
        <v>1</v>
      </c>
      <c r="L17" s="23" t="b">
        <f>VLOOKUP(A17,Main!A:K,7,0)=H17</f>
        <v>1</v>
      </c>
      <c r="M17" s="23" t="b">
        <f>VLOOKUP(A17,Main!A:K,8,0)=D17</f>
        <v>1</v>
      </c>
      <c r="N17" s="23" t="s">
        <v>118</v>
      </c>
      <c r="O17" s="23" t="str">
        <f>VLOOKUP(A17,Main!$A$1:$M$2844,13,0)</f>
        <v>1DTE/0DTE</v>
      </c>
      <c r="P17" s="23" t="b">
        <f>_xlfn.isformula(VLOOKUP(A17,Main!$A$1:$J$949,7,0))</f>
        <v>1</v>
      </c>
      <c r="Q17" s="41">
        <f t="shared" si="3"/>
        <v>0</v>
      </c>
      <c r="R17" s="41"/>
      <c r="S17" s="41"/>
      <c r="T17" s="23"/>
      <c r="U17" s="23">
        <v>0.0</v>
      </c>
      <c r="V17" s="55" t="str">
        <f>VLOOKUP(A17,Exception!$A$2:$L$19,12,0)</f>
        <v>#N/A</v>
      </c>
      <c r="W17" s="55" t="str">
        <f>VLOOKUP(A17,Exception!$A$2:$M$17,13,0)</f>
        <v>#N/A</v>
      </c>
      <c r="X17" s="23" t="str">
        <f>VLOOKUP(A17,Category!A:E,5,0)</f>
        <v>CCG</v>
      </c>
      <c r="Y17" s="56" t="str">
        <f>VLOOKUP(A17,VlookupSheet!$A$382:$A$523,1,0)</f>
        <v>74962685</v>
      </c>
      <c r="Z17" s="23"/>
      <c r="AA17" s="23"/>
      <c r="AB17" s="23"/>
      <c r="AC17" s="23"/>
      <c r="AD17" s="23"/>
      <c r="AE17" s="23"/>
    </row>
    <row r="18">
      <c r="A18" s="36" t="s">
        <v>400</v>
      </c>
      <c r="B18" s="40" t="str">
        <f>VLOOKUP(A18,Main!A:B,2,0)</f>
        <v>CC_PALAKS_POS</v>
      </c>
      <c r="C18" s="23" t="s">
        <v>93</v>
      </c>
      <c r="D18" s="41">
        <v>60000.0</v>
      </c>
      <c r="E18" s="44">
        <f>IFERROR(VLOOKUP(A18,'Realised and SV'!A:I,5,0),0)</f>
        <v>0</v>
      </c>
      <c r="F18" s="44">
        <f>IFERROR(VLOOKUP(A18,'Realised and SV'!A:I,6,0),0)</f>
        <v>3130.4</v>
      </c>
      <c r="G18" s="48">
        <f t="shared" si="6"/>
        <v>1800000</v>
      </c>
      <c r="H18" s="41">
        <f t="shared" si="4"/>
        <v>1800000</v>
      </c>
      <c r="I18" s="51">
        <f t="shared" si="2"/>
        <v>30</v>
      </c>
      <c r="J18" s="58" t="str">
        <f>VLOOKUP(A18,Main!A:L,9,0)</f>
        <v>VS3</v>
      </c>
      <c r="K18" s="36" t="str">
        <f>VLOOKUP(A18,Main!A:L,10,0)</f>
        <v>1</v>
      </c>
      <c r="L18" s="23" t="b">
        <f>VLOOKUP(A18,Main!A:K,7,0)=H18</f>
        <v>1</v>
      </c>
      <c r="M18" s="23" t="b">
        <f>VLOOKUP(A18,Main!A:K,8,0)=D18</f>
        <v>1</v>
      </c>
      <c r="N18" s="23" t="s">
        <v>118</v>
      </c>
      <c r="O18" s="23" t="str">
        <f>VLOOKUP(A18,Main!$A$1:$M$2844,13,0)</f>
        <v>1DTE/0DTE</v>
      </c>
      <c r="P18" s="23" t="b">
        <f>_xlfn.isformula(VLOOKUP(A18,Main!$A$1:$J$949,7,0))</f>
        <v>1</v>
      </c>
      <c r="Q18" s="41">
        <f t="shared" si="3"/>
        <v>0</v>
      </c>
      <c r="R18" s="41"/>
      <c r="S18" s="41"/>
      <c r="T18" s="23"/>
      <c r="U18" s="23">
        <v>0.0</v>
      </c>
      <c r="V18" s="55" t="str">
        <f>VLOOKUP(A18,Exception!$A$2:$L$19,12,0)</f>
        <v>#N/A</v>
      </c>
      <c r="W18" s="55" t="str">
        <f>VLOOKUP(A18,Exception!$A$2:$M$17,13,0)</f>
        <v>#N/A</v>
      </c>
      <c r="X18" s="23" t="str">
        <f>VLOOKUP(A18,Category!A:E,5,0)</f>
        <v>CCG</v>
      </c>
      <c r="Y18" s="56" t="str">
        <f>VLOOKUP(A18,VlookupSheet!$A$382:$A$523,1,0)</f>
        <v>74727658</v>
      </c>
      <c r="Z18" s="23"/>
      <c r="AA18" s="23"/>
      <c r="AB18" s="23"/>
      <c r="AC18" s="23"/>
      <c r="AD18" s="23"/>
      <c r="AE18" s="23"/>
    </row>
    <row r="19">
      <c r="A19" s="36" t="s">
        <v>438</v>
      </c>
      <c r="B19" s="40" t="str">
        <f>VLOOKUP(A19,Main!A:B,2,0)</f>
        <v>CC_LALITAB_POS</v>
      </c>
      <c r="C19" s="23" t="s">
        <v>93</v>
      </c>
      <c r="D19" s="41">
        <v>40000.0</v>
      </c>
      <c r="E19" s="44">
        <f>IFERROR(VLOOKUP(A19,'Realised and SV'!A:I,5,0),0)</f>
        <v>0</v>
      </c>
      <c r="F19" s="44">
        <f>IFERROR(VLOOKUP(A19,'Realised and SV'!A:I,6,0),0)</f>
        <v>3179.15</v>
      </c>
      <c r="G19" s="48">
        <f t="shared" si="6"/>
        <v>1200000</v>
      </c>
      <c r="H19" s="41">
        <f t="shared" si="4"/>
        <v>1200000</v>
      </c>
      <c r="I19" s="51">
        <f t="shared" si="2"/>
        <v>30</v>
      </c>
      <c r="J19" s="58" t="str">
        <f>VLOOKUP(A19,Main!A:L,9,0)</f>
        <v>VS3</v>
      </c>
      <c r="K19" s="36" t="str">
        <f>VLOOKUP(A19,Main!A:L,10,0)</f>
        <v>1</v>
      </c>
      <c r="L19" s="23" t="b">
        <f>VLOOKUP(A19,Main!A:K,7,0)=H19</f>
        <v>1</v>
      </c>
      <c r="M19" s="23" t="b">
        <f>VLOOKUP(A19,Main!A:K,8,0)=D19</f>
        <v>1</v>
      </c>
      <c r="N19" s="23" t="s">
        <v>118</v>
      </c>
      <c r="O19" s="23" t="str">
        <f>VLOOKUP(A19,Main!$A$1:$M$2844,13,0)</f>
        <v>1DTE/0DTE</v>
      </c>
      <c r="P19" s="23" t="b">
        <f>_xlfn.isformula(VLOOKUP(A19,Main!$A$1:$J$949,7,0))</f>
        <v>1</v>
      </c>
      <c r="Q19" s="41">
        <f t="shared" si="3"/>
        <v>0</v>
      </c>
      <c r="R19" s="41"/>
      <c r="S19" s="41"/>
      <c r="T19" s="23"/>
      <c r="U19" s="23">
        <v>0.0</v>
      </c>
      <c r="V19" s="55" t="str">
        <f>VLOOKUP(A19,Exception!$A$2:$L$19,12,0)</f>
        <v>#N/A</v>
      </c>
      <c r="W19" s="55" t="str">
        <f>VLOOKUP(A19,Exception!$A$2:$M$17,13,0)</f>
        <v>#N/A</v>
      </c>
      <c r="X19" s="23" t="str">
        <f>VLOOKUP(A19,Category!A:E,5,0)</f>
        <v>CCG</v>
      </c>
      <c r="Y19" s="56" t="str">
        <f>VLOOKUP(A19,VlookupSheet!$A$382:$A$523,1,0)</f>
        <v>65872914</v>
      </c>
      <c r="Z19" s="23"/>
      <c r="AA19" s="23"/>
      <c r="AB19" s="23"/>
      <c r="AC19" s="23"/>
      <c r="AD19" s="23"/>
      <c r="AE19" s="23"/>
    </row>
    <row r="20">
      <c r="A20" s="36" t="s">
        <v>455</v>
      </c>
      <c r="B20" s="40" t="str">
        <f>VLOOKUP(A20,Main!A:B,2,0)</f>
        <v>MSG_NILOY_JAIN_POS</v>
      </c>
      <c r="C20" s="23" t="s">
        <v>93</v>
      </c>
      <c r="D20" s="41">
        <v>100000.0</v>
      </c>
      <c r="E20" s="44">
        <f>IFERROR(VLOOKUP(A20,'Realised and SV'!A:I,5,0),0)</f>
        <v>0</v>
      </c>
      <c r="F20" s="44">
        <f>IFERROR(VLOOKUP(A20,'Realised and SV'!A:I,6,0),0)</f>
        <v>3168.1</v>
      </c>
      <c r="G20" s="48">
        <f t="shared" si="6"/>
        <v>3000000</v>
      </c>
      <c r="H20" s="41">
        <f t="shared" si="4"/>
        <v>3000000</v>
      </c>
      <c r="I20" s="51">
        <f t="shared" si="2"/>
        <v>30</v>
      </c>
      <c r="J20" s="58" t="str">
        <f>VLOOKUP(A20,Main!A:L,9,0)</f>
        <v>VS3</v>
      </c>
      <c r="K20" s="36" t="str">
        <f>VLOOKUP(A20,Main!A:L,10,0)</f>
        <v>1</v>
      </c>
      <c r="L20" s="23" t="b">
        <f>VLOOKUP(A20,Main!A:K,7,0)=H20</f>
        <v>1</v>
      </c>
      <c r="M20" s="23" t="b">
        <f>VLOOKUP(A20,Main!A:K,8,0)=D20</f>
        <v>1</v>
      </c>
      <c r="N20" s="23" t="s">
        <v>118</v>
      </c>
      <c r="O20" s="23" t="str">
        <f>VLOOKUP(A20,Main!$A$1:$M$2844,13,0)</f>
        <v>1DTE/0DTE</v>
      </c>
      <c r="P20" s="23" t="b">
        <f>_xlfn.isformula(VLOOKUP(A20,Main!$A$1:$J$949,7,0))</f>
        <v>1</v>
      </c>
      <c r="Q20" s="41">
        <f t="shared" si="3"/>
        <v>0</v>
      </c>
      <c r="R20" s="41"/>
      <c r="S20" s="41"/>
      <c r="T20" s="23"/>
      <c r="U20" s="23">
        <v>0.0</v>
      </c>
      <c r="V20" s="55" t="str">
        <f>VLOOKUP(A20,Exception!$A$2:$L$19,12,0)</f>
        <v>#N/A</v>
      </c>
      <c r="W20" s="55" t="str">
        <f>VLOOKUP(A20,Exception!$A$2:$M$17,13,0)</f>
        <v>#N/A</v>
      </c>
      <c r="X20" s="23" t="str">
        <f>VLOOKUP(A20,Category!A:E,5,0)</f>
        <v>CCG</v>
      </c>
      <c r="Y20" s="56" t="str">
        <f>VLOOKUP(A20,VlookupSheet!$A$382:$A$523,1,0)</f>
        <v>62288965</v>
      </c>
      <c r="Z20" s="23"/>
      <c r="AA20" s="23"/>
      <c r="AB20" s="23"/>
      <c r="AC20" s="23"/>
      <c r="AD20" s="23"/>
      <c r="AE20" s="23"/>
    </row>
    <row r="21">
      <c r="A21" s="36" t="s">
        <v>475</v>
      </c>
      <c r="B21" s="40" t="str">
        <f>VLOOKUP(A21,Main!A:B,2,0)</f>
        <v>CC_VAIBHAVB_POS</v>
      </c>
      <c r="C21" s="23" t="s">
        <v>93</v>
      </c>
      <c r="D21" s="41">
        <v>100000.0</v>
      </c>
      <c r="E21" s="44">
        <f>IFERROR(VLOOKUP(A21,'Realised and SV'!A:I,5,0),0)</f>
        <v>0</v>
      </c>
      <c r="F21" s="44">
        <f>IFERROR(VLOOKUP(A21,'Realised and SV'!A:I,6,0),0)</f>
        <v>37826.75</v>
      </c>
      <c r="G21" s="48">
        <f t="shared" si="6"/>
        <v>3000000</v>
      </c>
      <c r="H21" s="41">
        <f t="shared" si="4"/>
        <v>3000000</v>
      </c>
      <c r="I21" s="51">
        <f t="shared" si="2"/>
        <v>30</v>
      </c>
      <c r="J21" s="58" t="str">
        <f>VLOOKUP(A21,Main!A:L,9,0)</f>
        <v>VS3</v>
      </c>
      <c r="K21" s="36" t="str">
        <f>VLOOKUP(A21,Main!A:L,10,0)</f>
        <v>1</v>
      </c>
      <c r="L21" s="23" t="b">
        <f>VLOOKUP(A21,Main!A:K,7,0)=H21</f>
        <v>1</v>
      </c>
      <c r="M21" s="23" t="b">
        <f>VLOOKUP(A21,Main!A:K,8,0)=D21</f>
        <v>1</v>
      </c>
      <c r="N21" s="23" t="s">
        <v>118</v>
      </c>
      <c r="O21" s="23" t="str">
        <f>VLOOKUP(A21,Main!$A$1:$M$2844,13,0)</f>
        <v>DAILY</v>
      </c>
      <c r="P21" s="23" t="b">
        <f>_xlfn.isformula(VLOOKUP(A21,Main!$A$1:$J$949,7,0))</f>
        <v>1</v>
      </c>
      <c r="Q21" s="41">
        <f t="shared" si="3"/>
        <v>0</v>
      </c>
      <c r="R21" s="41"/>
      <c r="S21" s="41"/>
      <c r="T21" s="23"/>
      <c r="U21" s="23">
        <v>0.0</v>
      </c>
      <c r="V21" s="55" t="str">
        <f>VLOOKUP(A21,Exception!$A$2:$L$19,12,0)</f>
        <v>#N/A</v>
      </c>
      <c r="W21" s="55" t="str">
        <f>VLOOKUP(A21,Exception!$A$2:$M$17,13,0)</f>
        <v>#N/A</v>
      </c>
      <c r="X21" s="23" t="str">
        <f>VLOOKUP(A21,Category!A:E,5,0)</f>
        <v>CCG</v>
      </c>
      <c r="Y21" s="56" t="str">
        <f>VLOOKUP(A21,VlookupSheet!$A$382:$A$523,1,0)</f>
        <v>58480023</v>
      </c>
      <c r="Z21" s="23"/>
      <c r="AA21" s="23"/>
      <c r="AB21" s="23"/>
      <c r="AC21" s="23"/>
      <c r="AD21" s="23"/>
      <c r="AE21" s="23"/>
    </row>
    <row r="22">
      <c r="A22" s="36" t="s">
        <v>430</v>
      </c>
      <c r="B22" s="40" t="str">
        <f>VLOOKUP(A22,Main!A:B,2,0)</f>
        <v>CC_SAMATAPAT_POS</v>
      </c>
      <c r="C22" s="23" t="s">
        <v>93</v>
      </c>
      <c r="D22" s="41">
        <v>80000.0</v>
      </c>
      <c r="E22" s="44">
        <f>IFERROR(VLOOKUP(A22,'Realised and SV'!A:I,5,0),0)</f>
        <v>0</v>
      </c>
      <c r="F22" s="44">
        <f>IFERROR(VLOOKUP(A22,'Realised and SV'!A:I,6,0),0)</f>
        <v>3084.25</v>
      </c>
      <c r="G22" s="48">
        <f t="shared" si="6"/>
        <v>2400000</v>
      </c>
      <c r="H22" s="41">
        <f t="shared" si="4"/>
        <v>2400000</v>
      </c>
      <c r="I22" s="51">
        <f t="shared" si="2"/>
        <v>30</v>
      </c>
      <c r="J22" s="58" t="str">
        <f>VLOOKUP(A22,Main!A:L,9,0)</f>
        <v>VS3</v>
      </c>
      <c r="K22" s="36" t="str">
        <f>VLOOKUP(A22,Main!A:L,10,0)</f>
        <v>1</v>
      </c>
      <c r="L22" s="23" t="b">
        <f>VLOOKUP(A22,Main!A:K,7,0)=H22</f>
        <v>1</v>
      </c>
      <c r="M22" s="23" t="b">
        <f>VLOOKUP(A22,Main!A:K,8,0)=D22</f>
        <v>1</v>
      </c>
      <c r="N22" s="23" t="s">
        <v>118</v>
      </c>
      <c r="O22" s="23" t="str">
        <f>VLOOKUP(A22,Main!$A$1:$M$2844,13,0)</f>
        <v>1DTE/0DTE</v>
      </c>
      <c r="P22" s="23" t="b">
        <f>_xlfn.isformula(VLOOKUP(A22,Main!$A$1:$J$949,7,0))</f>
        <v>1</v>
      </c>
      <c r="Q22" s="41">
        <f t="shared" si="3"/>
        <v>0</v>
      </c>
      <c r="R22" s="41"/>
      <c r="S22" s="41"/>
      <c r="T22" s="23"/>
      <c r="U22" s="23">
        <v>0.0</v>
      </c>
      <c r="V22" s="55" t="str">
        <f>VLOOKUP(A22,Exception!$A$2:$L$19,12,0)</f>
        <v>#N/A</v>
      </c>
      <c r="W22" s="55" t="str">
        <f>VLOOKUP(A22,Exception!$A$2:$M$17,13,0)</f>
        <v>#N/A</v>
      </c>
      <c r="X22" s="23" t="str">
        <f>VLOOKUP(A22,Category!A:E,5,0)</f>
        <v>CCG</v>
      </c>
      <c r="Y22" s="56" t="str">
        <f>VLOOKUP(A22,VlookupSheet!$A$382:$A$523,1,0)</f>
        <v>55802167</v>
      </c>
      <c r="Z22" s="23"/>
      <c r="AA22" s="23"/>
      <c r="AB22" s="23"/>
      <c r="AC22" s="23"/>
      <c r="AD22" s="23"/>
      <c r="AE22" s="23"/>
    </row>
    <row r="23">
      <c r="A23" s="36" t="s">
        <v>326</v>
      </c>
      <c r="B23" s="40" t="str">
        <f>VLOOKUP(A23,Main!A:B,2,0)</f>
        <v>CCV_ANKITBAJ_FIX_1.4CR_POS</v>
      </c>
      <c r="C23" s="23" t="s">
        <v>93</v>
      </c>
      <c r="D23" s="41">
        <v>80000.0</v>
      </c>
      <c r="E23" s="44">
        <f>IFERROR(VLOOKUP(A23,'Realised and SV'!A:I,5,0),0)</f>
        <v>0</v>
      </c>
      <c r="F23" s="44">
        <f>IFERROR(VLOOKUP(A23,'Realised and SV'!A:I,6,0),0)</f>
        <v>3086.85</v>
      </c>
      <c r="G23" s="48">
        <f>INT(IF(U23=0,VLOOKUP(A23,'Realised and SV'!A:H,7,0),IF(OR(K23="1",K23="15"),D23*2+E23+IF(C23="Noren",0,F23),D23*1.8+E23+IF(C23="Noren",0,F23))))</f>
        <v>163086</v>
      </c>
      <c r="H23" s="41">
        <f t="shared" si="4"/>
        <v>163086</v>
      </c>
      <c r="I23" s="51">
        <f t="shared" si="2"/>
        <v>2.038575</v>
      </c>
      <c r="J23" s="58" t="str">
        <f>VLOOKUP(A23,Main!A:L,9,0)</f>
        <v>VS3</v>
      </c>
      <c r="K23" s="36" t="str">
        <f>VLOOKUP(A23,Main!A:L,10,0)</f>
        <v>1</v>
      </c>
      <c r="L23" s="23" t="b">
        <f>VLOOKUP(A23,Main!A:K,7,0)=H23</f>
        <v>1</v>
      </c>
      <c r="M23" s="23" t="b">
        <f>VLOOKUP(A23,Main!A:K,8,0)=D23</f>
        <v>1</v>
      </c>
      <c r="N23" s="23" t="s">
        <v>118</v>
      </c>
      <c r="O23" s="23" t="str">
        <f>VLOOKUP(A23,Main!$A$1:$M$2844,13,0)</f>
        <v>1DTE/0DTE</v>
      </c>
      <c r="P23" s="23" t="b">
        <f>_xlfn.isformula(VLOOKUP(A23,Main!$A$1:$J$949,7,0))</f>
        <v>1</v>
      </c>
      <c r="Q23" s="41">
        <f t="shared" si="3"/>
        <v>0</v>
      </c>
      <c r="R23" s="41"/>
      <c r="S23" s="41"/>
      <c r="T23" s="41"/>
      <c r="U23" s="23">
        <v>0.0</v>
      </c>
      <c r="V23" s="55" t="str">
        <f>VLOOKUP(A23,Exception!$A$2:$L$19,12,0)</f>
        <v>#N/A</v>
      </c>
      <c r="W23" s="55" t="str">
        <f>VLOOKUP(A23,Exception!$A$2:$M$17,13,0)</f>
        <v>#N/A</v>
      </c>
      <c r="X23" s="23" t="str">
        <f>VLOOKUP(A23,Category!A:E,5,0)</f>
        <v>CCV</v>
      </c>
      <c r="Y23" s="56" t="str">
        <f>VLOOKUP(A23,VlookupSheet!$A$382:$A$523,1,0)</f>
        <v>54046262</v>
      </c>
      <c r="Z23" s="23"/>
      <c r="AA23" s="23"/>
      <c r="AB23" s="23"/>
      <c r="AC23" s="23"/>
      <c r="AD23" s="23"/>
      <c r="AE23" s="23"/>
    </row>
    <row r="24">
      <c r="A24" s="36" t="s">
        <v>418</v>
      </c>
      <c r="B24" s="40" t="str">
        <f>VLOOKUP(A24,Main!A:B,2,0)</f>
        <v>CC_PRIYANKB_POS</v>
      </c>
      <c r="C24" s="23" t="s">
        <v>93</v>
      </c>
      <c r="D24" s="41">
        <v>120000.0</v>
      </c>
      <c r="E24" s="44">
        <f>IFERROR(VLOOKUP(A24,'Realised and SV'!A:I,5,0),0)</f>
        <v>0</v>
      </c>
      <c r="F24" s="44">
        <f>IFERROR(VLOOKUP(A24,'Realised and SV'!A:I,6,0),0)</f>
        <v>37742.25</v>
      </c>
      <c r="G24" s="48">
        <f t="shared" ref="G24:G32" si="7">D24*30</f>
        <v>3600000</v>
      </c>
      <c r="H24" s="41">
        <f t="shared" si="4"/>
        <v>3600000</v>
      </c>
      <c r="I24" s="51">
        <f t="shared" si="2"/>
        <v>30</v>
      </c>
      <c r="J24" s="58" t="str">
        <f>VLOOKUP(A24,Main!A:L,9,0)</f>
        <v>VS3</v>
      </c>
      <c r="K24" s="36" t="str">
        <f>VLOOKUP(A24,Main!A:L,10,0)</f>
        <v>1</v>
      </c>
      <c r="L24" s="23" t="b">
        <f>VLOOKUP(A24,Main!A:K,7,0)=H24</f>
        <v>1</v>
      </c>
      <c r="M24" s="23" t="b">
        <f>VLOOKUP(A24,Main!A:K,8,0)=D24</f>
        <v>1</v>
      </c>
      <c r="N24" s="23" t="s">
        <v>118</v>
      </c>
      <c r="O24" s="23" t="str">
        <f>VLOOKUP(A24,Main!$A$1:$M$2844,13,0)</f>
        <v>DAILY</v>
      </c>
      <c r="P24" s="23" t="b">
        <f>_xlfn.isformula(VLOOKUP(A24,Main!$A$1:$J$949,7,0))</f>
        <v>1</v>
      </c>
      <c r="Q24" s="41">
        <f t="shared" si="3"/>
        <v>0</v>
      </c>
      <c r="R24" s="41"/>
      <c r="S24" s="41"/>
      <c r="T24" s="23"/>
      <c r="U24" s="23">
        <v>0.0</v>
      </c>
      <c r="V24" s="55" t="str">
        <f>VLOOKUP(A24,Exception!$A$2:$L$19,12,0)</f>
        <v>#N/A</v>
      </c>
      <c r="W24" s="55" t="str">
        <f>VLOOKUP(A24,Exception!$A$2:$M$17,13,0)</f>
        <v>#N/A</v>
      </c>
      <c r="X24" s="23" t="str">
        <f>VLOOKUP(A24,Category!A:E,5,0)</f>
        <v>CCG</v>
      </c>
      <c r="Y24" s="56" t="str">
        <f>VLOOKUP(A24,VlookupSheet!$A$382:$A$523,1,0)</f>
        <v>46891412</v>
      </c>
      <c r="Z24" s="23"/>
      <c r="AA24" s="23"/>
      <c r="AB24" s="23"/>
      <c r="AC24" s="23"/>
      <c r="AD24" s="23"/>
      <c r="AE24" s="23"/>
    </row>
    <row r="25">
      <c r="A25" s="36" t="s">
        <v>334</v>
      </c>
      <c r="B25" s="40" t="str">
        <f>VLOOKUP(A25,Main!A:B,2,0)</f>
        <v>CC_MANASIF_POS</v>
      </c>
      <c r="C25" s="23" t="s">
        <v>93</v>
      </c>
      <c r="D25" s="41">
        <v>80000.0</v>
      </c>
      <c r="E25" s="44">
        <f>IFERROR(VLOOKUP(A25,'Realised and SV'!A:I,5,0),0)</f>
        <v>0</v>
      </c>
      <c r="F25" s="44">
        <f>IFERROR(VLOOKUP(A25,'Realised and SV'!A:I,6,0),0)</f>
        <v>3002.35</v>
      </c>
      <c r="G25" s="48">
        <f t="shared" si="7"/>
        <v>2400000</v>
      </c>
      <c r="H25" s="41">
        <f t="shared" si="4"/>
        <v>2400000</v>
      </c>
      <c r="I25" s="51">
        <f t="shared" si="2"/>
        <v>30</v>
      </c>
      <c r="J25" s="58" t="str">
        <f>VLOOKUP(A25,Main!A:L,9,0)</f>
        <v>VS3</v>
      </c>
      <c r="K25" s="36" t="str">
        <f>VLOOKUP(A25,Main!A:L,10,0)</f>
        <v>1</v>
      </c>
      <c r="L25" s="23" t="b">
        <f>VLOOKUP(A25,Main!A:K,7,0)=H25</f>
        <v>1</v>
      </c>
      <c r="M25" s="23" t="b">
        <f>VLOOKUP(A25,Main!A:K,8,0)=D25</f>
        <v>1</v>
      </c>
      <c r="N25" s="23" t="s">
        <v>118</v>
      </c>
      <c r="O25" s="23" t="str">
        <f>VLOOKUP(A25,Main!$A$1:$M$2844,13,0)</f>
        <v>1DTE/0DTE</v>
      </c>
      <c r="P25" s="23" t="b">
        <f>_xlfn.isformula(VLOOKUP(A25,Main!$A$1:$J$949,7,0))</f>
        <v>1</v>
      </c>
      <c r="Q25" s="41">
        <f t="shared" si="3"/>
        <v>0</v>
      </c>
      <c r="R25" s="41"/>
      <c r="S25" s="41"/>
      <c r="T25" s="23"/>
      <c r="U25" s="23">
        <v>0.0</v>
      </c>
      <c r="V25" s="55" t="str">
        <f>VLOOKUP(A25,Exception!$A$2:$L$19,12,0)</f>
        <v>#N/A</v>
      </c>
      <c r="W25" s="55" t="str">
        <f>VLOOKUP(A25,Exception!$A$2:$M$17,13,0)</f>
        <v>#N/A</v>
      </c>
      <c r="X25" s="23" t="str">
        <f>VLOOKUP(A25,Category!A:E,5,0)</f>
        <v>CCG</v>
      </c>
      <c r="Y25" s="56" t="str">
        <f>VLOOKUP(A25,VlookupSheet!$A$382:$A$523,1,0)</f>
        <v>40023384</v>
      </c>
      <c r="Z25" s="23"/>
      <c r="AA25" s="23"/>
      <c r="AB25" s="23"/>
      <c r="AC25" s="23"/>
      <c r="AD25" s="23"/>
      <c r="AE25" s="23"/>
    </row>
    <row r="26">
      <c r="A26" s="36" t="s">
        <v>516</v>
      </c>
      <c r="B26" s="40" t="str">
        <f>VLOOKUP(A26,Main!A:B,2,0)</f>
        <v>MSG_RAMAGURU_POS</v>
      </c>
      <c r="C26" s="23" t="s">
        <v>93</v>
      </c>
      <c r="D26" s="41">
        <v>60000.0</v>
      </c>
      <c r="E26" s="44">
        <f>IFERROR(VLOOKUP(A26,'Realised and SV'!A:I,5,0),0)</f>
        <v>0</v>
      </c>
      <c r="F26" s="44">
        <f>IFERROR(VLOOKUP(A26,'Realised and SV'!A:I,6,0),0)</f>
        <v>3128.45</v>
      </c>
      <c r="G26" s="48">
        <f t="shared" si="7"/>
        <v>1800000</v>
      </c>
      <c r="H26" s="41">
        <f t="shared" si="4"/>
        <v>1800000</v>
      </c>
      <c r="I26" s="51">
        <f t="shared" si="2"/>
        <v>30</v>
      </c>
      <c r="J26" s="58" t="str">
        <f>VLOOKUP(A26,Main!A:L,9,0)</f>
        <v>VS6</v>
      </c>
      <c r="K26" s="36" t="str">
        <f>VLOOKUP(A26,Main!A:L,10,0)</f>
        <v>1</v>
      </c>
      <c r="L26" s="23" t="b">
        <f>VLOOKUP(A26,Main!A:K,7,0)=H26</f>
        <v>1</v>
      </c>
      <c r="M26" s="23" t="b">
        <f>VLOOKUP(A26,Main!A:K,8,0)=D26</f>
        <v>1</v>
      </c>
      <c r="N26" s="23" t="s">
        <v>118</v>
      </c>
      <c r="O26" s="23" t="str">
        <f>VLOOKUP(A26,Main!$A$1:$M$2844,13,0)</f>
        <v>1DTE/0DTE</v>
      </c>
      <c r="P26" s="23" t="b">
        <f>_xlfn.isformula(VLOOKUP(A26,Main!$A$1:$J$949,7,0))</f>
        <v>1</v>
      </c>
      <c r="Q26" s="41">
        <f t="shared" si="3"/>
        <v>0</v>
      </c>
      <c r="R26" s="41"/>
      <c r="S26" s="41"/>
      <c r="T26" s="23"/>
      <c r="U26" s="23">
        <v>0.0</v>
      </c>
      <c r="V26" s="55" t="str">
        <f>VLOOKUP(A26,Exception!$A$2:$L$19,12,0)</f>
        <v>#N/A</v>
      </c>
      <c r="W26" s="55" t="str">
        <f>VLOOKUP(A26,Exception!$A$2:$M$17,13,0)</f>
        <v>#N/A</v>
      </c>
      <c r="X26" s="23" t="str">
        <f>VLOOKUP(A26,Category!A:E,5,0)</f>
        <v>CCG</v>
      </c>
      <c r="Y26" s="56" t="str">
        <f>VLOOKUP(A26,VlookupSheet!$A$382:$A$523,1,0)</f>
        <v>35300800</v>
      </c>
      <c r="Z26" s="23"/>
      <c r="AA26" s="23"/>
      <c r="AB26" s="23"/>
      <c r="AC26" s="23"/>
      <c r="AD26" s="23"/>
      <c r="AE26" s="23"/>
    </row>
    <row r="27">
      <c r="A27" s="36" t="s">
        <v>377</v>
      </c>
      <c r="B27" s="40" t="str">
        <f>VLOOKUP(A27,Main!A:B,2,0)</f>
        <v>CC_NIDHIC_POS</v>
      </c>
      <c r="C27" s="23" t="s">
        <v>93</v>
      </c>
      <c r="D27" s="41">
        <v>100000.0</v>
      </c>
      <c r="E27" s="44">
        <f>IFERROR(VLOOKUP(A27,'Realised and SV'!A:I,5,0),0)</f>
        <v>0</v>
      </c>
      <c r="F27" s="44">
        <f>IFERROR(VLOOKUP(A27,'Realised and SV'!A:I,6,0),0)</f>
        <v>37852.1</v>
      </c>
      <c r="G27" s="48">
        <f t="shared" si="7"/>
        <v>3000000</v>
      </c>
      <c r="H27" s="41">
        <f t="shared" si="4"/>
        <v>3000000</v>
      </c>
      <c r="I27" s="51">
        <f t="shared" si="2"/>
        <v>30</v>
      </c>
      <c r="J27" s="58" t="str">
        <f>VLOOKUP(A27,Main!A:L,9,0)</f>
        <v>VS3</v>
      </c>
      <c r="K27" s="36" t="str">
        <f>VLOOKUP(A27,Main!A:L,10,0)</f>
        <v>1</v>
      </c>
      <c r="L27" s="23" t="b">
        <f>VLOOKUP(A27,Main!A:K,7,0)=H27</f>
        <v>1</v>
      </c>
      <c r="M27" s="23" t="b">
        <f>VLOOKUP(A27,Main!A:K,8,0)=D27</f>
        <v>1</v>
      </c>
      <c r="N27" s="23" t="s">
        <v>118</v>
      </c>
      <c r="O27" s="23" t="str">
        <f>VLOOKUP(A27,Main!$A$1:$M$2844,13,0)</f>
        <v>DAILY</v>
      </c>
      <c r="P27" s="23" t="b">
        <f>_xlfn.isformula(VLOOKUP(A27,Main!$A$1:$J$949,7,0))</f>
        <v>1</v>
      </c>
      <c r="Q27" s="41">
        <f t="shared" si="3"/>
        <v>0</v>
      </c>
      <c r="R27" s="41"/>
      <c r="S27" s="41"/>
      <c r="T27" s="41"/>
      <c r="U27" s="23">
        <v>0.0</v>
      </c>
      <c r="V27" s="55" t="str">
        <f>VLOOKUP(A27,Exception!$A$2:$L$19,12,0)</f>
        <v>#N/A</v>
      </c>
      <c r="W27" s="55" t="str">
        <f>VLOOKUP(A27,Exception!$A$2:$M$17,13,0)</f>
        <v>#N/A</v>
      </c>
      <c r="X27" s="23" t="str">
        <f>VLOOKUP(A27,Category!A:E,5,0)</f>
        <v>CCG</v>
      </c>
      <c r="Y27" s="56" t="str">
        <f>VLOOKUP(A27,VlookupSheet!$A$382:$A$523,1,0)</f>
        <v>30368271</v>
      </c>
      <c r="Z27" s="23"/>
      <c r="AA27" s="23"/>
      <c r="AB27" s="23"/>
      <c r="AC27" s="23"/>
      <c r="AD27" s="23"/>
      <c r="AE27" s="23"/>
    </row>
    <row r="28">
      <c r="A28" s="36" t="s">
        <v>527</v>
      </c>
      <c r="B28" s="40" t="str">
        <f>VLOOKUP(A28,Main!A:B,2,0)</f>
        <v>CC_AKASA_POS</v>
      </c>
      <c r="C28" s="23" t="s">
        <v>93</v>
      </c>
      <c r="D28" s="41">
        <v>120000.0</v>
      </c>
      <c r="E28" s="44">
        <f>IFERROR(VLOOKUP(A28,'Realised and SV'!A:I,5,0),0)</f>
        <v>0</v>
      </c>
      <c r="F28" s="44">
        <f>IFERROR(VLOOKUP(A28,'Realised and SV'!A:I,6,0),0)</f>
        <v>37792.95</v>
      </c>
      <c r="G28" s="48">
        <f t="shared" si="7"/>
        <v>3600000</v>
      </c>
      <c r="H28" s="41">
        <f t="shared" si="4"/>
        <v>3600000</v>
      </c>
      <c r="I28" s="51">
        <f t="shared" si="2"/>
        <v>30</v>
      </c>
      <c r="J28" s="58" t="str">
        <f>VLOOKUP(A28,Main!A:L,9,0)</f>
        <v>VS3</v>
      </c>
      <c r="K28" s="36" t="str">
        <f>VLOOKUP(A28,Main!A:L,10,0)</f>
        <v>1</v>
      </c>
      <c r="L28" s="23" t="b">
        <f>VLOOKUP(A28,Main!A:K,7,0)=H28</f>
        <v>1</v>
      </c>
      <c r="M28" s="23" t="b">
        <f>VLOOKUP(A28,Main!A:K,8,0)=D28</f>
        <v>1</v>
      </c>
      <c r="N28" s="23" t="s">
        <v>118</v>
      </c>
      <c r="O28" s="23" t="str">
        <f>VLOOKUP(A28,Main!$A$1:$M$2844,13,0)</f>
        <v>DAILY</v>
      </c>
      <c r="P28" s="23" t="b">
        <f>_xlfn.isformula(VLOOKUP(A28,Main!$A$1:$J$949,7,0))</f>
        <v>1</v>
      </c>
      <c r="Q28" s="41">
        <f t="shared" si="3"/>
        <v>0</v>
      </c>
      <c r="R28" s="41"/>
      <c r="S28" s="41"/>
      <c r="T28" s="23"/>
      <c r="U28" s="23">
        <v>0.0</v>
      </c>
      <c r="V28" s="55" t="str">
        <f>VLOOKUP(A28,Exception!$A$2:$L$19,12,0)</f>
        <v>#N/A</v>
      </c>
      <c r="W28" s="55" t="str">
        <f>VLOOKUP(A28,Exception!$A$2:$M$17,13,0)</f>
        <v>#N/A</v>
      </c>
      <c r="X28" s="23" t="str">
        <f>VLOOKUP(A28,Category!A:E,5,0)</f>
        <v>CCG</v>
      </c>
      <c r="Y28" s="56" t="str">
        <f>VLOOKUP(A28,VlookupSheet!$A$382:$A$523,1,0)</f>
        <v>29898256</v>
      </c>
      <c r="Z28" s="23"/>
      <c r="AA28" s="23"/>
      <c r="AB28" s="23"/>
      <c r="AC28" s="23"/>
      <c r="AD28" s="23"/>
      <c r="AE28" s="23"/>
    </row>
    <row r="29">
      <c r="A29" s="36" t="s">
        <v>324</v>
      </c>
      <c r="B29" s="40" t="str">
        <f>VLOOKUP(A29,Main!A:B,2,0)</f>
        <v>CC_KRUPALPATEL_POS</v>
      </c>
      <c r="C29" s="23" t="s">
        <v>93</v>
      </c>
      <c r="D29" s="41">
        <v>80000.0</v>
      </c>
      <c r="E29" s="44">
        <f>IFERROR(VLOOKUP(A29,'Realised and SV'!A:I,5,0),0)</f>
        <v>0</v>
      </c>
      <c r="F29" s="44">
        <f>IFERROR(VLOOKUP(A29,'Realised and SV'!A:I,6,0),0)</f>
        <v>3178.5</v>
      </c>
      <c r="G29" s="48">
        <f t="shared" si="7"/>
        <v>2400000</v>
      </c>
      <c r="H29" s="41">
        <f t="shared" si="4"/>
        <v>2400000</v>
      </c>
      <c r="I29" s="51">
        <f t="shared" si="2"/>
        <v>30</v>
      </c>
      <c r="J29" s="58" t="str">
        <f>VLOOKUP(A29,Main!A:L,9,0)</f>
        <v>VS3</v>
      </c>
      <c r="K29" s="36" t="str">
        <f>VLOOKUP(A29,Main!A:L,10,0)</f>
        <v>1</v>
      </c>
      <c r="L29" s="23" t="b">
        <f>VLOOKUP(A29,Main!A:K,7,0)=H29</f>
        <v>1</v>
      </c>
      <c r="M29" s="23" t="b">
        <f>VLOOKUP(A29,Main!A:K,8,0)=D29</f>
        <v>1</v>
      </c>
      <c r="N29" s="23" t="s">
        <v>118</v>
      </c>
      <c r="O29" s="23" t="str">
        <f>VLOOKUP(A29,Main!$A$1:$M$2844,13,0)</f>
        <v>1DTE/0DTE</v>
      </c>
      <c r="P29" s="23" t="b">
        <f>_xlfn.isformula(VLOOKUP(A29,Main!$A$1:$J$949,7,0))</f>
        <v>1</v>
      </c>
      <c r="Q29" s="41">
        <f t="shared" si="3"/>
        <v>0</v>
      </c>
      <c r="R29" s="41"/>
      <c r="S29" s="41"/>
      <c r="T29" s="23"/>
      <c r="U29" s="23">
        <v>0.0</v>
      </c>
      <c r="V29" s="55" t="str">
        <f>VLOOKUP(A29,Exception!$A$2:$L$19,12,0)</f>
        <v>#N/A</v>
      </c>
      <c r="W29" s="55" t="str">
        <f>VLOOKUP(A29,Exception!$A$2:$M$17,13,0)</f>
        <v>#N/A</v>
      </c>
      <c r="X29" s="23" t="str">
        <f>VLOOKUP(A29,Category!A:E,5,0)</f>
        <v>CCG</v>
      </c>
      <c r="Y29" s="56" t="str">
        <f>VLOOKUP(A29,VlookupSheet!$A$382:$A$523,1,0)</f>
        <v>22196536</v>
      </c>
      <c r="Z29" s="23"/>
      <c r="AA29" s="23"/>
      <c r="AB29" s="23"/>
      <c r="AC29" s="23"/>
      <c r="AD29" s="23"/>
      <c r="AE29" s="23"/>
    </row>
    <row r="30">
      <c r="A30" s="36" t="s">
        <v>477</v>
      </c>
      <c r="B30" s="40" t="str">
        <f>VLOOKUP(A30,Main!A:B,2,0)</f>
        <v>MSG_KONATHALA_RAMYA_POS</v>
      </c>
      <c r="C30" s="23" t="s">
        <v>93</v>
      </c>
      <c r="D30" s="41">
        <v>120000.0</v>
      </c>
      <c r="E30" s="44">
        <f>IFERROR(VLOOKUP(A30,'Realised and SV'!A:I,5,0),0)</f>
        <v>0</v>
      </c>
      <c r="F30" s="44">
        <f>IFERROR(VLOOKUP(A30,'Realised and SV'!A:I,6,0),0)</f>
        <v>37865.75</v>
      </c>
      <c r="G30" s="48">
        <f t="shared" si="7"/>
        <v>3600000</v>
      </c>
      <c r="H30" s="41">
        <f t="shared" si="4"/>
        <v>3600000</v>
      </c>
      <c r="I30" s="51">
        <f t="shared" si="2"/>
        <v>30</v>
      </c>
      <c r="J30" s="58" t="str">
        <f>VLOOKUP(A30,Main!A:L,9,0)</f>
        <v>VS6</v>
      </c>
      <c r="K30" s="36" t="str">
        <f>VLOOKUP(A30,Main!A:L,10,0)</f>
        <v>1</v>
      </c>
      <c r="L30" s="23" t="b">
        <f>VLOOKUP(A30,Main!A:K,7,0)=H30</f>
        <v>1</v>
      </c>
      <c r="M30" s="23" t="b">
        <f>VLOOKUP(A30,Main!A:K,8,0)=D30</f>
        <v>1</v>
      </c>
      <c r="N30" s="23" t="s">
        <v>118</v>
      </c>
      <c r="O30" s="23" t="str">
        <f>VLOOKUP(A30,Main!$A$1:$M$2844,13,0)</f>
        <v>DAILY</v>
      </c>
      <c r="P30" s="23" t="b">
        <f>_xlfn.isformula(VLOOKUP(A30,Main!$A$1:$J$949,7,0))</f>
        <v>1</v>
      </c>
      <c r="Q30" s="41">
        <f t="shared" si="3"/>
        <v>0</v>
      </c>
      <c r="R30" s="41"/>
      <c r="S30" s="41"/>
      <c r="T30" s="41"/>
      <c r="U30" s="23">
        <v>0.0</v>
      </c>
      <c r="V30" s="55" t="str">
        <f>VLOOKUP(A30,Exception!$A$2:$L$19,12,0)</f>
        <v>#N/A</v>
      </c>
      <c r="W30" s="55" t="str">
        <f>VLOOKUP(A30,Exception!$A$2:$M$17,13,0)</f>
        <v>#N/A</v>
      </c>
      <c r="X30" s="23" t="str">
        <f>VLOOKUP(A30,Category!A:E,5,0)</f>
        <v>CCG</v>
      </c>
      <c r="Y30" s="56" t="str">
        <f>VLOOKUP(A30,VlookupSheet!$A$382:$A$523,1,0)</f>
        <v>18400763</v>
      </c>
      <c r="Z30" s="23"/>
      <c r="AA30" s="23"/>
      <c r="AB30" s="23"/>
      <c r="AC30" s="23"/>
      <c r="AD30" s="23"/>
      <c r="AE30" s="23"/>
    </row>
    <row r="31">
      <c r="A31" s="36" t="s">
        <v>544</v>
      </c>
      <c r="B31" s="40" t="str">
        <f>VLOOKUP(A31,Main!A:B,2,0)</f>
        <v>CC_ALPANAG_POS</v>
      </c>
      <c r="C31" s="23" t="s">
        <v>93</v>
      </c>
      <c r="D31" s="41">
        <v>80000.0</v>
      </c>
      <c r="E31" s="44">
        <f>IFERROR(VLOOKUP(A31,'Realised and SV'!A:I,5,0),0)</f>
        <v>0</v>
      </c>
      <c r="F31" s="44">
        <f>IFERROR(VLOOKUP(A31,'Realised and SV'!A:I,6,0),0)</f>
        <v>3061.5</v>
      </c>
      <c r="G31" s="48">
        <f t="shared" si="7"/>
        <v>2400000</v>
      </c>
      <c r="H31" s="41">
        <f t="shared" si="4"/>
        <v>2400000</v>
      </c>
      <c r="I31" s="51">
        <f t="shared" si="2"/>
        <v>30</v>
      </c>
      <c r="J31" s="58" t="str">
        <f>VLOOKUP(A31,Main!A:L,9,0)</f>
        <v>VS3</v>
      </c>
      <c r="K31" s="36" t="str">
        <f>VLOOKUP(A31,Main!A:L,10,0)</f>
        <v>1</v>
      </c>
      <c r="L31" s="23" t="b">
        <f>VLOOKUP(A31,Main!A:K,7,0)=H31</f>
        <v>1</v>
      </c>
      <c r="M31" s="23" t="b">
        <f>VLOOKUP(A31,Main!A:K,8,0)=D31</f>
        <v>1</v>
      </c>
      <c r="N31" s="23" t="s">
        <v>118</v>
      </c>
      <c r="O31" s="23" t="str">
        <f>VLOOKUP(A31,Main!$A$1:$M$2844,13,0)</f>
        <v>1DTE/0DTE</v>
      </c>
      <c r="P31" s="23" t="b">
        <f>_xlfn.isformula(VLOOKUP(A31,Main!$A$1:$J$949,7,0))</f>
        <v>1</v>
      </c>
      <c r="Q31" s="41">
        <f t="shared" si="3"/>
        <v>0</v>
      </c>
      <c r="R31" s="41"/>
      <c r="S31" s="41"/>
      <c r="T31" s="23"/>
      <c r="U31" s="23">
        <v>0.0</v>
      </c>
      <c r="V31" s="55" t="str">
        <f>VLOOKUP(A31,Exception!$A$2:$L$19,12,0)</f>
        <v>#N/A</v>
      </c>
      <c r="W31" s="55" t="str">
        <f>VLOOKUP(A31,Exception!$A$2:$M$17,13,0)</f>
        <v>#N/A</v>
      </c>
      <c r="X31" s="23" t="str">
        <f>VLOOKUP(A31,Category!A:E,5,0)</f>
        <v>CCG</v>
      </c>
      <c r="Y31" s="56" t="str">
        <f>VLOOKUP(A31,VlookupSheet!$A$382:$A$523,1,0)</f>
        <v>16384608</v>
      </c>
      <c r="Z31" s="23"/>
      <c r="AA31" s="23"/>
      <c r="AB31" s="23"/>
      <c r="AC31" s="23"/>
      <c r="AD31" s="23"/>
      <c r="AE31" s="23"/>
    </row>
    <row r="32">
      <c r="A32" s="36" t="s">
        <v>526</v>
      </c>
      <c r="B32" s="40" t="str">
        <f>VLOOKUP(A32,Main!A:B,2,0)</f>
        <v>MSG_RICHA_KAUR_POS</v>
      </c>
      <c r="C32" s="23" t="s">
        <v>93</v>
      </c>
      <c r="D32" s="41">
        <v>60000.0</v>
      </c>
      <c r="E32" s="44">
        <f>IFERROR(VLOOKUP(A32,'Realised and SV'!A:I,5,0),0)</f>
        <v>0</v>
      </c>
      <c r="F32" s="44">
        <f>IFERROR(VLOOKUP(A32,'Realised and SV'!A:I,6,0),0)</f>
        <v>3118.05</v>
      </c>
      <c r="G32" s="48">
        <f t="shared" si="7"/>
        <v>1800000</v>
      </c>
      <c r="H32" s="41">
        <f t="shared" si="4"/>
        <v>1800000</v>
      </c>
      <c r="I32" s="51">
        <f t="shared" si="2"/>
        <v>30</v>
      </c>
      <c r="J32" s="58" t="str">
        <f>VLOOKUP(A32,Main!A:L,9,0)</f>
        <v>VS6</v>
      </c>
      <c r="K32" s="36" t="str">
        <f>VLOOKUP(A32,Main!A:L,10,0)</f>
        <v>1</v>
      </c>
      <c r="L32" s="23" t="b">
        <f>VLOOKUP(A32,Main!A:K,7,0)=H32</f>
        <v>1</v>
      </c>
      <c r="M32" s="23" t="b">
        <f>VLOOKUP(A32,Main!A:K,8,0)=D32</f>
        <v>1</v>
      </c>
      <c r="N32" s="23" t="s">
        <v>118</v>
      </c>
      <c r="O32" s="23" t="str">
        <f>VLOOKUP(A32,Main!$A$1:$M$2844,13,0)</f>
        <v>1DTE/0DTE</v>
      </c>
      <c r="P32" s="23" t="b">
        <f>_xlfn.isformula(VLOOKUP(A32,Main!$A$1:$J$949,7,0))</f>
        <v>1</v>
      </c>
      <c r="Q32" s="41">
        <f t="shared" si="3"/>
        <v>0</v>
      </c>
      <c r="R32" s="41"/>
      <c r="S32" s="41"/>
      <c r="T32" s="23"/>
      <c r="U32" s="23">
        <v>0.0</v>
      </c>
      <c r="V32" s="55" t="str">
        <f>VLOOKUP(A32,Exception!$A$2:$L$19,12,0)</f>
        <v>#N/A</v>
      </c>
      <c r="W32" s="55" t="str">
        <f>VLOOKUP(A32,Exception!$A$2:$M$17,13,0)</f>
        <v>#N/A</v>
      </c>
      <c r="X32" s="23" t="str">
        <f>VLOOKUP(A32,Category!A:E,5,0)</f>
        <v>CCG</v>
      </c>
      <c r="Y32" s="56" t="str">
        <f>VLOOKUP(A32,VlookupSheet!$A$382:$A$523,1,0)</f>
        <v>15524387</v>
      </c>
      <c r="Z32" s="23"/>
      <c r="AA32" s="23"/>
      <c r="AB32" s="23"/>
      <c r="AC32" s="23"/>
      <c r="AD32" s="23"/>
      <c r="AE32" s="23"/>
    </row>
    <row r="33">
      <c r="A33" s="62" t="s">
        <v>120</v>
      </c>
      <c r="B33" s="40" t="str">
        <f>VLOOKUP(A33,Main!A:B,2,0)</f>
        <v>MSS_A7_PS_FULL_POS</v>
      </c>
      <c r="C33" s="55" t="s">
        <v>93</v>
      </c>
      <c r="D33" s="64">
        <v>100000.0</v>
      </c>
      <c r="E33" s="44">
        <f>IFERROR(VLOOKUP(A33,'Realised and SV'!A:I,5,0),0)</f>
        <v>0</v>
      </c>
      <c r="F33" s="44">
        <f>IFERROR(VLOOKUP(A33,'Realised and SV'!A:I,6,0),0)</f>
        <v>-171.6</v>
      </c>
      <c r="G33" s="66">
        <f>V33</f>
        <v>139828.4</v>
      </c>
      <c r="H33" s="66">
        <f>G33</f>
        <v>139828.4</v>
      </c>
      <c r="I33" s="67">
        <f t="shared" si="2"/>
        <v>1.398284</v>
      </c>
      <c r="J33" s="68" t="str">
        <f>VLOOKUP(A33,Main!A:L,9,0)</f>
        <v>VS11</v>
      </c>
      <c r="K33" s="56" t="str">
        <f>VLOOKUP(A33,Main!A:L,10,0)</f>
        <v>7</v>
      </c>
      <c r="L33" s="55" t="b">
        <f>VLOOKUP(A33,Main!A:K,7,0)=H33</f>
        <v>1</v>
      </c>
      <c r="M33" s="55" t="b">
        <f>VLOOKUP(A33,Main!A:K,8,0)=D33</f>
        <v>1</v>
      </c>
      <c r="N33" s="23" t="s">
        <v>118</v>
      </c>
      <c r="O33" s="55" t="str">
        <f>VLOOKUP(A33,Main!$A$1:$M$2844,13,0)</f>
        <v>1DTE/0DTE</v>
      </c>
      <c r="P33" s="55" t="b">
        <f>_xlfn.isformula(VLOOKUP(A33,Main!$A$1:$J$949,7,0))</f>
        <v>1</v>
      </c>
      <c r="Q33" s="64">
        <f t="shared" si="3"/>
        <v>0</v>
      </c>
      <c r="R33" s="64"/>
      <c r="S33" s="64"/>
      <c r="T33" s="64"/>
      <c r="U33" s="23">
        <v>0.0</v>
      </c>
      <c r="V33" s="64">
        <f>VLOOKUP(A33,Exception!$A$2:$L$19,12,0)</f>
        <v>139828.4</v>
      </c>
      <c r="W33" s="64">
        <f>VLOOKUP(A33,Exception!$A$2:$M$17,13,0)</f>
        <v>139828.4</v>
      </c>
      <c r="X33" s="23" t="str">
        <f>VLOOKUP(A33,Category!A:E,5,0)</f>
        <v>MSJ</v>
      </c>
      <c r="Y33" s="56" t="str">
        <f>VLOOKUP(A33,VlookupSheet!$A$382:$A$523,1,0)</f>
        <v>ZZJ17223</v>
      </c>
      <c r="Z33" s="55"/>
      <c r="AA33" s="55"/>
      <c r="AB33" s="55"/>
      <c r="AC33" s="55"/>
      <c r="AD33" s="55"/>
      <c r="AE33" s="55"/>
    </row>
    <row r="34">
      <c r="A34" s="36" t="s">
        <v>428</v>
      </c>
      <c r="B34" s="40" t="str">
        <f>VLOOKUP(A34,Main!A:B,2,0)</f>
        <v>CC_SHAMLAL_POS</v>
      </c>
      <c r="C34" s="23" t="s">
        <v>93</v>
      </c>
      <c r="D34" s="41">
        <v>140000.0</v>
      </c>
      <c r="E34" s="44">
        <f>IFERROR(VLOOKUP(A34,'Realised and SV'!A:I,5,0),0)</f>
        <v>0</v>
      </c>
      <c r="F34" s="44">
        <f>IFERROR(VLOOKUP(A34,'Realised and SV'!A:I,6,0),0)</f>
        <v>37924.25</v>
      </c>
      <c r="G34" s="48">
        <f t="shared" ref="G34:G35" si="8">D34*30</f>
        <v>4200000</v>
      </c>
      <c r="H34" s="41">
        <f t="shared" ref="H34:H42" si="9">int(IF(C34="Noren",G34+F34,G34))</f>
        <v>4200000</v>
      </c>
      <c r="I34" s="51">
        <f t="shared" si="2"/>
        <v>30</v>
      </c>
      <c r="J34" s="58" t="str">
        <f>VLOOKUP(A34,Main!A:L,9,0)</f>
        <v>VS4</v>
      </c>
      <c r="K34" s="36" t="str">
        <f>VLOOKUP(A34,Main!A:L,10,0)</f>
        <v>7</v>
      </c>
      <c r="L34" s="23" t="b">
        <f>VLOOKUP(A34,Main!A:K,7,0)=H34</f>
        <v>1</v>
      </c>
      <c r="M34" s="23" t="b">
        <f>VLOOKUP(A34,Main!A:K,8,0)=D34</f>
        <v>1</v>
      </c>
      <c r="N34" s="23" t="s">
        <v>118</v>
      </c>
      <c r="O34" s="23" t="str">
        <f>VLOOKUP(A34,Main!$A$1:$M$2844,13,0)</f>
        <v>DAILY</v>
      </c>
      <c r="P34" s="23" t="b">
        <f>_xlfn.isformula(VLOOKUP(A34,Main!$A$1:$J$949,7,0))</f>
        <v>1</v>
      </c>
      <c r="Q34" s="41">
        <f t="shared" si="3"/>
        <v>0</v>
      </c>
      <c r="R34" s="41"/>
      <c r="S34" s="41"/>
      <c r="T34" s="41"/>
      <c r="U34" s="23">
        <v>0.0</v>
      </c>
      <c r="V34" s="55" t="str">
        <f>VLOOKUP(A34,Exception!$A$2:$L$19,12,0)</f>
        <v>#N/A</v>
      </c>
      <c r="W34" s="55" t="str">
        <f>VLOOKUP(A34,Exception!$A$2:$M$17,13,0)</f>
        <v>#N/A</v>
      </c>
      <c r="X34" s="23" t="str">
        <f>VLOOKUP(A34,Category!A:E,5,0)</f>
        <v>CCG</v>
      </c>
      <c r="Y34" s="56" t="str">
        <f>VLOOKUP(A34,VlookupSheet!$A$382:$A$523,1,0)</f>
        <v>SHAMLAL4</v>
      </c>
      <c r="Z34" s="23"/>
      <c r="AA34" s="23"/>
      <c r="AB34" s="23"/>
      <c r="AC34" s="23"/>
      <c r="AD34" s="23"/>
      <c r="AE34" s="23"/>
    </row>
    <row r="35">
      <c r="A35" s="36" t="s">
        <v>464</v>
      </c>
      <c r="B35" s="40" t="str">
        <f>VLOOKUP(A35,Main!A:B,2,0)</f>
        <v>CC_RAHULGO_POS</v>
      </c>
      <c r="C35" s="23" t="s">
        <v>93</v>
      </c>
      <c r="D35" s="41">
        <v>180000.0</v>
      </c>
      <c r="E35" s="44">
        <f>IFERROR(VLOOKUP(A35,'Realised and SV'!A:I,5,0),0)</f>
        <v>0</v>
      </c>
      <c r="F35" s="44">
        <f>IFERROR(VLOOKUP(A35,'Realised and SV'!A:I,6,0),0)</f>
        <v>41003.3</v>
      </c>
      <c r="G35" s="48">
        <f t="shared" si="8"/>
        <v>5400000</v>
      </c>
      <c r="H35" s="41">
        <f t="shared" si="9"/>
        <v>5400000</v>
      </c>
      <c r="I35" s="51">
        <f t="shared" si="2"/>
        <v>30</v>
      </c>
      <c r="J35" s="58" t="str">
        <f>VLOOKUP(A35,Main!A:L,9,0)</f>
        <v>VS4</v>
      </c>
      <c r="K35" s="36" t="str">
        <f>VLOOKUP(A35,Main!A:L,10,0)</f>
        <v>7</v>
      </c>
      <c r="L35" s="23" t="b">
        <f>VLOOKUP(A35,Main!A:K,7,0)=H35</f>
        <v>1</v>
      </c>
      <c r="M35" s="23" t="b">
        <f>VLOOKUP(A35,Main!A:K,8,0)=D35</f>
        <v>1</v>
      </c>
      <c r="N35" s="23" t="s">
        <v>118</v>
      </c>
      <c r="O35" s="23" t="str">
        <f>VLOOKUP(A35,Main!$A$1:$M$2844,13,0)</f>
        <v>DAILY</v>
      </c>
      <c r="P35" s="23" t="b">
        <f>_xlfn.isformula(VLOOKUP(A35,Main!$A$1:$J$949,7,0))</f>
        <v>1</v>
      </c>
      <c r="Q35" s="41">
        <f t="shared" si="3"/>
        <v>0</v>
      </c>
      <c r="R35" s="41"/>
      <c r="S35" s="41"/>
      <c r="T35" s="41"/>
      <c r="U35" s="23">
        <v>0.0</v>
      </c>
      <c r="V35" s="55" t="str">
        <f>VLOOKUP(A35,Exception!$A$2:$L$19,12,0)</f>
        <v>#N/A</v>
      </c>
      <c r="W35" s="55" t="str">
        <f>VLOOKUP(A35,Exception!$A$2:$M$17,13,0)</f>
        <v>#N/A</v>
      </c>
      <c r="X35" s="23" t="str">
        <f>VLOOKUP(A35,Category!A:E,5,0)</f>
        <v>CCG</v>
      </c>
      <c r="Y35" s="56" t="str">
        <f>VLOOKUP(A35,VlookupSheet!$A$382:$A$523,1,0)</f>
        <v>RAHULG15</v>
      </c>
      <c r="Z35" s="23"/>
      <c r="AA35" s="23"/>
      <c r="AB35" s="23"/>
      <c r="AC35" s="23"/>
      <c r="AD35" s="23"/>
      <c r="AE35" s="23"/>
    </row>
    <row r="36">
      <c r="A36" s="36" t="s">
        <v>225</v>
      </c>
      <c r="B36" s="40" t="str">
        <f>VLOOKUP(A36,Main!A:B,2,0)</f>
        <v>CCV_A7_PIYUSH_AGR_POS</v>
      </c>
      <c r="C36" s="23" t="s">
        <v>93</v>
      </c>
      <c r="D36" s="41">
        <v>80000.0</v>
      </c>
      <c r="E36" s="44">
        <f>IFERROR(VLOOKUP(A36,'Realised and SV'!A:I,5,0),0)</f>
        <v>0</v>
      </c>
      <c r="F36" s="44">
        <f>IFERROR(VLOOKUP(A36,'Realised and SV'!A:I,6,0),0)</f>
        <v>3125.85</v>
      </c>
      <c r="G36" s="48">
        <f>INT(IF(U36=0,VLOOKUP(A36,'Realised and SV'!A:H,7,0),IF(OR(K36="1",K36="15"),D36*2+E36+IF(C36="Noren",0,F36),D36*1.8+E36+IF(C36="Noren",0,F36))))</f>
        <v>147125</v>
      </c>
      <c r="H36" s="41">
        <f t="shared" si="9"/>
        <v>147125</v>
      </c>
      <c r="I36" s="51">
        <f t="shared" si="2"/>
        <v>1.8390625</v>
      </c>
      <c r="J36" s="58" t="str">
        <f>VLOOKUP(A36,Main!A:L,9,0)</f>
        <v>VS4</v>
      </c>
      <c r="K36" s="36" t="str">
        <f>VLOOKUP(A36,Main!A:L,10,0)</f>
        <v>7</v>
      </c>
      <c r="L36" s="23" t="b">
        <f>VLOOKUP(A36,Main!A:K,7,0)=H36</f>
        <v>1</v>
      </c>
      <c r="M36" s="23" t="b">
        <f>VLOOKUP(A36,Main!A:K,8,0)=D36</f>
        <v>1</v>
      </c>
      <c r="N36" s="23" t="s">
        <v>118</v>
      </c>
      <c r="O36" s="23" t="str">
        <f>VLOOKUP(A36,Main!$A$1:$M$2844,13,0)</f>
        <v>1DTE/0DTE</v>
      </c>
      <c r="P36" s="23" t="b">
        <f>_xlfn.isformula(VLOOKUP(A36,Main!$A$1:$J$949,7,0))</f>
        <v>1</v>
      </c>
      <c r="Q36" s="41">
        <f t="shared" si="3"/>
        <v>0</v>
      </c>
      <c r="R36" s="41"/>
      <c r="S36" s="41"/>
      <c r="T36" s="41"/>
      <c r="U36" s="23">
        <v>0.0</v>
      </c>
      <c r="V36" s="55" t="str">
        <f>VLOOKUP(A36,Exception!$A$2:$L$19,12,0)</f>
        <v>#N/A</v>
      </c>
      <c r="W36" s="55" t="str">
        <f>VLOOKUP(A36,Exception!$A$2:$M$17,13,0)</f>
        <v>#N/A</v>
      </c>
      <c r="X36" s="23" t="str">
        <f>VLOOKUP(A36,Category!A:E,5,0)</f>
        <v>CCV</v>
      </c>
      <c r="Y36" s="56" t="str">
        <f>VLOOKUP(A36,VlookupSheet!$A$382:$A$523,1,0)</f>
        <v>NK0002</v>
      </c>
      <c r="Z36" s="23"/>
      <c r="AA36" s="23"/>
      <c r="AB36" s="23"/>
      <c r="AC36" s="23"/>
      <c r="AD36" s="23"/>
      <c r="AE36" s="23"/>
    </row>
    <row r="37">
      <c r="A37" s="36" t="s">
        <v>569</v>
      </c>
      <c r="B37" s="40" t="str">
        <f>VLOOKUP(A37,Main!A:B,2,0)</f>
        <v>CC_ADITYAPINTO_POS</v>
      </c>
      <c r="C37" s="23" t="s">
        <v>93</v>
      </c>
      <c r="D37" s="41">
        <v>160000.0</v>
      </c>
      <c r="E37" s="44">
        <f>IFERROR(VLOOKUP(A37,'Realised and SV'!A:I,5,0),0)</f>
        <v>0</v>
      </c>
      <c r="F37" s="44">
        <f>IFERROR(VLOOKUP(A37,'Realised and SV'!A:I,6,0),0)</f>
        <v>40994.2</v>
      </c>
      <c r="G37" s="48">
        <f t="shared" ref="G37:G39" si="10">D37*30</f>
        <v>4800000</v>
      </c>
      <c r="H37" s="41">
        <f t="shared" si="9"/>
        <v>4800000</v>
      </c>
      <c r="I37" s="51">
        <f t="shared" si="2"/>
        <v>30</v>
      </c>
      <c r="J37" s="58" t="str">
        <f>VLOOKUP(A37,Main!A:L,9,0)</f>
        <v>VS4</v>
      </c>
      <c r="K37" s="36" t="str">
        <f>VLOOKUP(A37,Main!A:L,10,0)</f>
        <v>7</v>
      </c>
      <c r="L37" s="23" t="b">
        <f>VLOOKUP(A37,Main!A:K,7,0)=H37</f>
        <v>1</v>
      </c>
      <c r="M37" s="23" t="b">
        <f>VLOOKUP(A37,Main!A:K,8,0)=D37</f>
        <v>1</v>
      </c>
      <c r="N37" s="23" t="s">
        <v>118</v>
      </c>
      <c r="O37" s="23" t="str">
        <f>VLOOKUP(A37,Main!$A$1:$M$2844,13,0)</f>
        <v>DAILY</v>
      </c>
      <c r="P37" s="23" t="b">
        <f>_xlfn.isformula(VLOOKUP(A37,Main!$A$1:$J$949,7,0))</f>
        <v>1</v>
      </c>
      <c r="Q37" s="41">
        <f t="shared" si="3"/>
        <v>0</v>
      </c>
      <c r="R37" s="41"/>
      <c r="S37" s="41"/>
      <c r="T37" s="41"/>
      <c r="U37" s="23">
        <v>0.0</v>
      </c>
      <c r="V37" s="55" t="str">
        <f>VLOOKUP(A37,Exception!$A$2:$L$19,12,0)</f>
        <v>#N/A</v>
      </c>
      <c r="W37" s="55" t="str">
        <f>VLOOKUP(A37,Exception!$A$2:$M$17,13,0)</f>
        <v>#N/A</v>
      </c>
      <c r="X37" s="23" t="str">
        <f>VLOOKUP(A37,Category!A:E,5,0)</f>
        <v>CCG</v>
      </c>
      <c r="Y37" s="56" t="str">
        <f>VLOOKUP(A37,VlookupSheet!$A$382:$A$523,1,0)</f>
        <v>MARIA196</v>
      </c>
      <c r="Z37" s="23"/>
      <c r="AA37" s="23"/>
      <c r="AB37" s="23"/>
      <c r="AC37" s="23"/>
      <c r="AD37" s="23"/>
      <c r="AE37" s="23"/>
    </row>
    <row r="38">
      <c r="A38" s="36" t="s">
        <v>380</v>
      </c>
      <c r="B38" s="40" t="str">
        <f>VLOOKUP(A38,Main!A:B,2,0)</f>
        <v>MSV_AKANSHA_POS</v>
      </c>
      <c r="C38" s="23" t="s">
        <v>93</v>
      </c>
      <c r="D38" s="41">
        <v>80000.0</v>
      </c>
      <c r="E38" s="44">
        <f>IFERROR(VLOOKUP(A38,'Realised and SV'!A:I,5,0),0)</f>
        <v>0</v>
      </c>
      <c r="F38" s="44">
        <f>IFERROR(VLOOKUP(A38,'Realised and SV'!A:I,6,0),0)</f>
        <v>3107</v>
      </c>
      <c r="G38" s="48">
        <f t="shared" si="10"/>
        <v>2400000</v>
      </c>
      <c r="H38" s="41">
        <f t="shared" si="9"/>
        <v>2400000</v>
      </c>
      <c r="I38" s="51">
        <f t="shared" si="2"/>
        <v>30</v>
      </c>
      <c r="J38" s="58" t="str">
        <f>VLOOKUP(A38,Main!A:L,9,0)</f>
        <v>VS29</v>
      </c>
      <c r="K38" s="36" t="str">
        <f>VLOOKUP(A38,Main!A:L,10,0)</f>
        <v>7</v>
      </c>
      <c r="L38" s="23" t="b">
        <f>VLOOKUP(A38,Main!A:K,7,0)=H38</f>
        <v>1</v>
      </c>
      <c r="M38" s="23" t="b">
        <f>VLOOKUP(A38,Main!A:K,8,0)=D38</f>
        <v>1</v>
      </c>
      <c r="N38" s="23" t="s">
        <v>118</v>
      </c>
      <c r="O38" s="23" t="str">
        <f>VLOOKUP(A38,Main!$A$1:$M$2844,13,0)</f>
        <v>1DTE/0DTE</v>
      </c>
      <c r="P38" s="23" t="b">
        <f>_xlfn.isformula(VLOOKUP(A38,Main!$A$1:$J$949,7,0))</f>
        <v>0</v>
      </c>
      <c r="Q38" s="41">
        <f t="shared" si="3"/>
        <v>0</v>
      </c>
      <c r="R38" s="41"/>
      <c r="S38" s="41"/>
      <c r="T38" s="23"/>
      <c r="U38" s="23">
        <v>0.0</v>
      </c>
      <c r="V38" s="55" t="str">
        <f>VLOOKUP(A38,Exception!$A$2:$L$19,12,0)</f>
        <v>#N/A</v>
      </c>
      <c r="W38" s="55" t="str">
        <f>VLOOKUP(A38,Exception!$A$2:$M$17,13,0)</f>
        <v>#N/A</v>
      </c>
      <c r="X38" s="23" t="str">
        <f>VLOOKUP(A38,Category!A:E,5,0)</f>
        <v>PVT</v>
      </c>
      <c r="Y38" s="56" t="str">
        <f>VLOOKUP(A38,VlookupSheet!$A$382:$A$523,1,0)</f>
        <v>MAKANSHA</v>
      </c>
      <c r="Z38" s="23"/>
      <c r="AA38" s="23"/>
      <c r="AB38" s="23"/>
      <c r="AC38" s="23"/>
      <c r="AD38" s="23"/>
      <c r="AE38" s="23"/>
    </row>
    <row r="39">
      <c r="A39" s="36" t="s">
        <v>498</v>
      </c>
      <c r="B39" s="40" t="str">
        <f>VLOOKUP(A39,Main!A:B,2,0)</f>
        <v>CC_JEETKASAR_POS</v>
      </c>
      <c r="C39" s="23" t="s">
        <v>93</v>
      </c>
      <c r="D39" s="41">
        <v>120000.0</v>
      </c>
      <c r="E39" s="44">
        <f>IFERROR(VLOOKUP(A39,'Realised and SV'!A:I,5,0),0)</f>
        <v>0</v>
      </c>
      <c r="F39" s="44">
        <f>IFERROR(VLOOKUP(A39,'Realised and SV'!A:I,6,0),0)</f>
        <v>37835.85</v>
      </c>
      <c r="G39" s="48">
        <f t="shared" si="10"/>
        <v>3600000</v>
      </c>
      <c r="H39" s="41">
        <f t="shared" si="9"/>
        <v>3600000</v>
      </c>
      <c r="I39" s="51">
        <f t="shared" si="2"/>
        <v>30</v>
      </c>
      <c r="J39" s="58" t="str">
        <f>VLOOKUP(A39,Main!A:L,9,0)</f>
        <v>VS4</v>
      </c>
      <c r="K39" s="36" t="str">
        <f>VLOOKUP(A39,Main!A:L,10,0)</f>
        <v>7</v>
      </c>
      <c r="L39" s="23" t="b">
        <f>VLOOKUP(A39,Main!A:K,7,0)=H39</f>
        <v>1</v>
      </c>
      <c r="M39" s="23" t="b">
        <f>VLOOKUP(A39,Main!A:K,8,0)=D39</f>
        <v>1</v>
      </c>
      <c r="N39" s="23" t="s">
        <v>118</v>
      </c>
      <c r="O39" s="23" t="str">
        <f>VLOOKUP(A39,Main!$A$1:$M$2844,13,0)</f>
        <v>DAILY</v>
      </c>
      <c r="P39" s="23" t="b">
        <f>_xlfn.isformula(VLOOKUP(A39,Main!$A$1:$J$949,7,0))</f>
        <v>1</v>
      </c>
      <c r="Q39" s="41">
        <f t="shared" si="3"/>
        <v>0</v>
      </c>
      <c r="R39" s="41"/>
      <c r="S39" s="41"/>
      <c r="T39" s="41"/>
      <c r="U39" s="23">
        <v>0.0</v>
      </c>
      <c r="V39" s="55" t="str">
        <f>VLOOKUP(A39,Exception!$A$2:$L$19,12,0)</f>
        <v>#N/A</v>
      </c>
      <c r="W39" s="55" t="str">
        <f>VLOOKUP(A39,Exception!$A$2:$M$17,13,0)</f>
        <v>#N/A</v>
      </c>
      <c r="X39" s="23" t="str">
        <f>VLOOKUP(A39,Category!A:E,5,0)</f>
        <v>CCG</v>
      </c>
      <c r="Y39" s="56" t="str">
        <f>VLOOKUP(A39,VlookupSheet!$A$382:$A$523,1,0)</f>
        <v>KASAR116</v>
      </c>
      <c r="Z39" s="23"/>
      <c r="AA39" s="23"/>
      <c r="AB39" s="23"/>
      <c r="AC39" s="23"/>
      <c r="AD39" s="23"/>
      <c r="AE39" s="23"/>
    </row>
    <row r="40">
      <c r="A40" s="36" t="s">
        <v>228</v>
      </c>
      <c r="B40" s="40" t="str">
        <f>VLOOKUP(A40,Main!A:B,2,0)</f>
        <v>CCV_RITU_KREDENT_POS</v>
      </c>
      <c r="C40" s="23" t="s">
        <v>93</v>
      </c>
      <c r="D40" s="41">
        <v>60000.0</v>
      </c>
      <c r="E40" s="44">
        <f>IFERROR(VLOOKUP(A40,'Realised and SV'!A:I,5,0),0)</f>
        <v>0</v>
      </c>
      <c r="F40" s="44">
        <f>IFERROR(VLOOKUP(A40,'Realised and SV'!A:I,6,0),0)</f>
        <v>3064.1</v>
      </c>
      <c r="G40" s="48">
        <f>INT(IF(U40=0,VLOOKUP(A40,'Realised and SV'!A:H,7,0),IF(OR(K40="1",K40="15"),D40*2+E40+IF(C40="Noren",0,F40),D40*1.8+E40+IF(C40="Noren",0,F40))))</f>
        <v>111064</v>
      </c>
      <c r="H40" s="41">
        <f t="shared" si="9"/>
        <v>111064</v>
      </c>
      <c r="I40" s="51">
        <f t="shared" si="2"/>
        <v>1.851066667</v>
      </c>
      <c r="J40" s="58" t="str">
        <f>VLOOKUP(A40,Main!A:L,9,0)</f>
        <v>VS4</v>
      </c>
      <c r="K40" s="36" t="str">
        <f>VLOOKUP(A40,Main!A:L,10,0)</f>
        <v>7</v>
      </c>
      <c r="L40" s="23" t="b">
        <f>VLOOKUP(A40,Main!A:K,7,0)=H40</f>
        <v>1</v>
      </c>
      <c r="M40" s="23" t="b">
        <f>VLOOKUP(A40,Main!A:K,8,0)=D40</f>
        <v>1</v>
      </c>
      <c r="N40" s="23" t="s">
        <v>118</v>
      </c>
      <c r="O40" s="23" t="str">
        <f>VLOOKUP(A40,Main!$A$1:$M$2844,13,0)</f>
        <v>1DTE/0DTE</v>
      </c>
      <c r="P40" s="23" t="b">
        <f>_xlfn.isformula(VLOOKUP(A40,Main!$A$1:$J$949,7,0))</f>
        <v>1</v>
      </c>
      <c r="Q40" s="41">
        <f t="shared" si="3"/>
        <v>0</v>
      </c>
      <c r="R40" s="41"/>
      <c r="S40" s="41"/>
      <c r="T40" s="23"/>
      <c r="U40" s="23">
        <v>0.0</v>
      </c>
      <c r="V40" s="55" t="str">
        <f>VLOOKUP(A40,Exception!$A$2:$L$19,12,0)</f>
        <v>#N/A</v>
      </c>
      <c r="W40" s="55" t="str">
        <f>VLOOKUP(A40,Exception!$A$2:$M$17,13,0)</f>
        <v>#N/A</v>
      </c>
      <c r="X40" s="23" t="str">
        <f>VLOOKUP(A40,Category!A:E,5,0)</f>
        <v>CCV</v>
      </c>
      <c r="Y40" s="56" t="str">
        <f>VLOOKUP(A40,VlookupSheet!$A$382:$A$523,1,0)</f>
        <v>IR0029</v>
      </c>
      <c r="Z40" s="23"/>
      <c r="AA40" s="23"/>
      <c r="AB40" s="23"/>
      <c r="AC40" s="23"/>
      <c r="AD40" s="23"/>
      <c r="AE40" s="23"/>
    </row>
    <row r="41">
      <c r="A41" s="36" t="s">
        <v>361</v>
      </c>
      <c r="B41" s="40" t="str">
        <f>VLOOKUP(A41,Main!A:B,2,0)</f>
        <v>MSG_PUGAL_POS</v>
      </c>
      <c r="C41" s="23" t="s">
        <v>93</v>
      </c>
      <c r="D41" s="41">
        <v>180000.0</v>
      </c>
      <c r="E41" s="44">
        <f>IFERROR(VLOOKUP(A41,'Realised and SV'!A:I,5,0),0)</f>
        <v>0</v>
      </c>
      <c r="F41" s="44">
        <f>IFERROR(VLOOKUP(A41,'Realised and SV'!A:I,6,0),0)</f>
        <v>40878.5</v>
      </c>
      <c r="G41" s="48">
        <f t="shared" ref="G41:G44" si="11">D41*30</f>
        <v>5400000</v>
      </c>
      <c r="H41" s="41">
        <f t="shared" si="9"/>
        <v>5400000</v>
      </c>
      <c r="I41" s="51">
        <f t="shared" si="2"/>
        <v>30</v>
      </c>
      <c r="J41" s="58" t="str">
        <f>VLOOKUP(A41,Main!A:L,9,0)</f>
        <v>VS4</v>
      </c>
      <c r="K41" s="36" t="str">
        <f>VLOOKUP(A41,Main!A:L,10,0)</f>
        <v>7</v>
      </c>
      <c r="L41" s="23" t="b">
        <f>VLOOKUP(A41,Main!A:K,7,0)=H41</f>
        <v>1</v>
      </c>
      <c r="M41" s="23" t="b">
        <f>VLOOKUP(A41,Main!A:K,8,0)=D41</f>
        <v>1</v>
      </c>
      <c r="N41" s="23" t="s">
        <v>118</v>
      </c>
      <c r="O41" s="23" t="str">
        <f>VLOOKUP(A41,Main!$A$1:$M$2844,13,0)</f>
        <v>DAILY</v>
      </c>
      <c r="P41" s="23" t="b">
        <f>_xlfn.isformula(VLOOKUP(A41,Main!$A$1:$J$949,7,0))</f>
        <v>1</v>
      </c>
      <c r="Q41" s="41">
        <f t="shared" si="3"/>
        <v>0</v>
      </c>
      <c r="R41" s="41"/>
      <c r="S41" s="41"/>
      <c r="T41" s="41"/>
      <c r="U41" s="23">
        <v>0.0</v>
      </c>
      <c r="V41" s="55" t="str">
        <f>VLOOKUP(A41,Exception!$A$2:$L$19,12,0)</f>
        <v>#N/A</v>
      </c>
      <c r="W41" s="55" t="str">
        <f>VLOOKUP(A41,Exception!$A$2:$M$17,13,0)</f>
        <v>#N/A</v>
      </c>
      <c r="X41" s="23" t="str">
        <f>VLOOKUP(A41,Category!A:E,5,0)</f>
        <v>CCG</v>
      </c>
      <c r="Y41" s="56" t="str">
        <f>VLOOKUP(A41,VlookupSheet!$A$382:$A$523,1,0)</f>
        <v>HUFPUGAL</v>
      </c>
      <c r="Z41" s="23"/>
      <c r="AA41" s="23"/>
      <c r="AB41" s="23"/>
      <c r="AC41" s="23"/>
      <c r="AD41" s="23"/>
      <c r="AE41" s="23"/>
    </row>
    <row r="42">
      <c r="A42" s="36" t="s">
        <v>391</v>
      </c>
      <c r="B42" s="40" t="str">
        <f>VLOOKUP(A42,Main!A:B,2,0)</f>
        <v>CC_DHIRAJY_POS</v>
      </c>
      <c r="C42" s="23" t="s">
        <v>93</v>
      </c>
      <c r="D42" s="41">
        <v>80000.0</v>
      </c>
      <c r="E42" s="44">
        <f>IFERROR(VLOOKUP(A42,'Realised and SV'!A:I,5,0),0)</f>
        <v>0</v>
      </c>
      <c r="F42" s="44">
        <f>IFERROR(VLOOKUP(A42,'Realised and SV'!A:I,6,0),0)</f>
        <v>2969.85</v>
      </c>
      <c r="G42" s="48">
        <f t="shared" si="11"/>
        <v>2400000</v>
      </c>
      <c r="H42" s="41">
        <f t="shared" si="9"/>
        <v>2400000</v>
      </c>
      <c r="I42" s="51">
        <f t="shared" si="2"/>
        <v>30</v>
      </c>
      <c r="J42" s="58" t="str">
        <f>VLOOKUP(A42,Main!A:L,9,0)</f>
        <v>VS4</v>
      </c>
      <c r="K42" s="36" t="str">
        <f>VLOOKUP(A42,Main!A:L,10,0)</f>
        <v>7</v>
      </c>
      <c r="L42" s="23" t="b">
        <f>VLOOKUP(A42,Main!A:K,7,0)=H42</f>
        <v>1</v>
      </c>
      <c r="M42" s="23" t="b">
        <f>VLOOKUP(A42,Main!A:K,8,0)=D42</f>
        <v>1</v>
      </c>
      <c r="N42" s="23" t="s">
        <v>118</v>
      </c>
      <c r="O42" s="23" t="str">
        <f>VLOOKUP(A42,Main!$A$1:$M$2844,13,0)</f>
        <v>1DTE/0DTE</v>
      </c>
      <c r="P42" s="23" t="b">
        <f>_xlfn.isformula(VLOOKUP(A42,Main!$A$1:$J$949,7,0))</f>
        <v>1</v>
      </c>
      <c r="Q42" s="41">
        <f t="shared" si="3"/>
        <v>0</v>
      </c>
      <c r="R42" s="41"/>
      <c r="S42" s="41"/>
      <c r="T42" s="23"/>
      <c r="U42" s="23">
        <v>0.0</v>
      </c>
      <c r="V42" s="55" t="str">
        <f>VLOOKUP(A42,Exception!$A$2:$L$19,12,0)</f>
        <v>#N/A</v>
      </c>
      <c r="W42" s="55" t="str">
        <f>VLOOKUP(A42,Exception!$A$2:$M$17,13,0)</f>
        <v>#N/A</v>
      </c>
      <c r="X42" s="23" t="str">
        <f>VLOOKUP(A42,Category!A:E,5,0)</f>
        <v>CCG</v>
      </c>
      <c r="Y42" s="56" t="str">
        <f>VLOOKUP(A42,VlookupSheet!$A$382:$A$523,1,0)</f>
        <v>DHIRAJYS</v>
      </c>
      <c r="Z42" s="23"/>
      <c r="AA42" s="23"/>
      <c r="AB42" s="23"/>
      <c r="AC42" s="23"/>
      <c r="AD42" s="23"/>
      <c r="AE42" s="23"/>
    </row>
    <row r="43">
      <c r="A43" s="56" t="s">
        <v>95</v>
      </c>
      <c r="B43" s="40" t="str">
        <f>VLOOKUP(A43,Main!A:B,2,0)</f>
        <v>CC_GAYATRIB_FIX_1CR_0SL_POS</v>
      </c>
      <c r="C43" s="55" t="s">
        <v>93</v>
      </c>
      <c r="D43" s="64">
        <v>100000.0</v>
      </c>
      <c r="E43" s="44">
        <f>IFERROR(VLOOKUP(A43,'Realised and SV'!A:I,5,0),0)</f>
        <v>0</v>
      </c>
      <c r="F43" s="44">
        <f>IFERROR(VLOOKUP(A43,'Realised and SV'!A:I,6,0),0)</f>
        <v>37806.6</v>
      </c>
      <c r="G43" s="48">
        <f t="shared" si="11"/>
        <v>3000000</v>
      </c>
      <c r="H43" s="64">
        <f>V43</f>
        <v>3000000</v>
      </c>
      <c r="I43" s="67">
        <f t="shared" si="2"/>
        <v>30</v>
      </c>
      <c r="J43" s="68" t="str">
        <f>VLOOKUP(A43,Main!A:L,9,0)</f>
        <v>VS4</v>
      </c>
      <c r="K43" s="56" t="str">
        <f>VLOOKUP(A43,Main!A:L,10,0)</f>
        <v>7</v>
      </c>
      <c r="L43" s="55" t="b">
        <f>VLOOKUP(A43,Main!A:K,7,0)=H43</f>
        <v>1</v>
      </c>
      <c r="M43" s="55" t="b">
        <f>VLOOKUP(A43,Main!A:K,8,0)=D43</f>
        <v>1</v>
      </c>
      <c r="N43" s="23" t="s">
        <v>118</v>
      </c>
      <c r="O43" s="55" t="str">
        <f>VLOOKUP(A43,Main!$A$1:$M$2844,13,0)</f>
        <v>DAILY</v>
      </c>
      <c r="P43" s="55" t="b">
        <f>_xlfn.isformula(VLOOKUP(A43,Main!$A$1:$J$949,7,0))</f>
        <v>0</v>
      </c>
      <c r="Q43" s="64">
        <f t="shared" si="3"/>
        <v>0</v>
      </c>
      <c r="R43" s="64"/>
      <c r="S43" s="64"/>
      <c r="T43" s="64"/>
      <c r="U43" s="23">
        <v>0.0</v>
      </c>
      <c r="V43" s="55">
        <f>VLOOKUP(A43,Exception!$A$2:$L$19,12,0)</f>
        <v>3000000</v>
      </c>
      <c r="W43" s="55">
        <f>VLOOKUP(A43,Exception!$A$2:$M$17,13,0)</f>
        <v>3000000</v>
      </c>
      <c r="X43" s="23" t="str">
        <f>VLOOKUP(A43,Category!A:E,5,0)</f>
        <v>PGB</v>
      </c>
      <c r="Y43" s="56" t="str">
        <f>VLOOKUP(A43,VlookupSheet!$A$382:$A$523,1,0)</f>
        <v>BHADADAG</v>
      </c>
      <c r="Z43" s="55"/>
      <c r="AA43" s="55"/>
      <c r="AB43" s="55"/>
      <c r="AC43" s="55"/>
      <c r="AD43" s="55"/>
      <c r="AE43" s="55"/>
    </row>
    <row r="44">
      <c r="A44" s="36" t="s">
        <v>444</v>
      </c>
      <c r="B44" s="40" t="str">
        <f>VLOOKUP(A44,Main!A:B,2,0)</f>
        <v>CC_LAXMIK_POS</v>
      </c>
      <c r="C44" s="23" t="s">
        <v>93</v>
      </c>
      <c r="D44" s="41">
        <v>120000.0</v>
      </c>
      <c r="E44" s="44">
        <f>IFERROR(VLOOKUP(A44,'Realised and SV'!A:I,5,0),0)</f>
        <v>0</v>
      </c>
      <c r="F44" s="44">
        <f>IFERROR(VLOOKUP(A44,'Realised and SV'!A:I,6,0),0)</f>
        <v>37827.4</v>
      </c>
      <c r="G44" s="48">
        <f t="shared" si="11"/>
        <v>3600000</v>
      </c>
      <c r="H44" s="41">
        <f t="shared" ref="H44:H54" si="12">int(IF(C44="Noren",G44+F44,G44))</f>
        <v>3600000</v>
      </c>
      <c r="I44" s="51">
        <f t="shared" si="2"/>
        <v>30</v>
      </c>
      <c r="J44" s="58" t="str">
        <f>VLOOKUP(A44,Main!A:L,9,0)</f>
        <v>VS4</v>
      </c>
      <c r="K44" s="36" t="str">
        <f>VLOOKUP(A44,Main!A:L,10,0)</f>
        <v>7</v>
      </c>
      <c r="L44" s="23" t="b">
        <f>VLOOKUP(A44,Main!A:K,7,0)=H44</f>
        <v>1</v>
      </c>
      <c r="M44" s="23" t="b">
        <f>VLOOKUP(A44,Main!A:K,8,0)=D44</f>
        <v>1</v>
      </c>
      <c r="N44" s="23" t="s">
        <v>118</v>
      </c>
      <c r="O44" s="23" t="str">
        <f>VLOOKUP(A44,Main!$A$1:$M$2844,13,0)</f>
        <v>DAILY</v>
      </c>
      <c r="P44" s="23" t="b">
        <f>_xlfn.isformula(VLOOKUP(A44,Main!$A$1:$J$949,7,0))</f>
        <v>1</v>
      </c>
      <c r="Q44" s="41">
        <f t="shared" si="3"/>
        <v>0</v>
      </c>
      <c r="R44" s="41"/>
      <c r="S44" s="41"/>
      <c r="T44" s="41"/>
      <c r="U44" s="23">
        <v>0.0</v>
      </c>
      <c r="V44" s="55" t="str">
        <f>VLOOKUP(A44,Exception!$A$2:$L$19,12,0)</f>
        <v>#N/A</v>
      </c>
      <c r="W44" s="55" t="str">
        <f>VLOOKUP(A44,Exception!$A$2:$M$17,13,0)</f>
        <v>#N/A</v>
      </c>
      <c r="X44" s="23" t="str">
        <f>VLOOKUP(A44,Category!A:E,5,0)</f>
        <v>CCG</v>
      </c>
      <c r="Y44" s="56" t="str">
        <f>VLOOKUP(A44,VlookupSheet!$A$382:$A$523,1,0)</f>
        <v>AVS03LKW</v>
      </c>
      <c r="Z44" s="23"/>
      <c r="AA44" s="23"/>
      <c r="AB44" s="23"/>
      <c r="AC44" s="23"/>
      <c r="AD44" s="23"/>
      <c r="AE44" s="23"/>
    </row>
    <row r="45">
      <c r="A45" s="36" t="s">
        <v>421</v>
      </c>
      <c r="B45" s="40" t="str">
        <f>VLOOKUP(A45,Main!A:B,2,0)</f>
        <v>CCV_ANKITADOK_POS</v>
      </c>
      <c r="C45" s="23" t="s">
        <v>93</v>
      </c>
      <c r="D45" s="41">
        <v>60000.0</v>
      </c>
      <c r="E45" s="44">
        <f>IFERROR(VLOOKUP(A45,'Realised and SV'!A:I,5,0),0)</f>
        <v>0</v>
      </c>
      <c r="F45" s="44">
        <f>IFERROR(VLOOKUP(A45,'Realised and SV'!A:I,6,0),0)</f>
        <v>3042.65</v>
      </c>
      <c r="G45" s="48">
        <f>INT(IF(U45=0,VLOOKUP(A45,'Realised and SV'!A:H,7,0),IF(OR(K45="1",K45="15"),D45*2+E45+IF(C45="Noren",0,F45),D45*1.8+E45+IF(C45="Noren",0,F45))))</f>
        <v>111042</v>
      </c>
      <c r="H45" s="41">
        <f t="shared" si="12"/>
        <v>111042</v>
      </c>
      <c r="I45" s="51">
        <f t="shared" si="2"/>
        <v>1.8507</v>
      </c>
      <c r="J45" s="58" t="str">
        <f>VLOOKUP(A45,Main!A:L,9,0)</f>
        <v>VS4</v>
      </c>
      <c r="K45" s="36" t="str">
        <f>VLOOKUP(A45,Main!A:L,10,0)</f>
        <v>7</v>
      </c>
      <c r="L45" s="23" t="b">
        <f>VLOOKUP(A45,Main!A:K,7,0)=H45</f>
        <v>1</v>
      </c>
      <c r="M45" s="23" t="b">
        <f>VLOOKUP(A45,Main!A:K,8,0)=D45</f>
        <v>1</v>
      </c>
      <c r="N45" s="23" t="s">
        <v>118</v>
      </c>
      <c r="O45" s="23" t="str">
        <f>VLOOKUP(A45,Main!$A$1:$M$2844,13,0)</f>
        <v>1DTE/0DTE</v>
      </c>
      <c r="P45" s="23" t="b">
        <f>_xlfn.isformula(VLOOKUP(A45,Main!$A$1:$J$949,7,0))</f>
        <v>1</v>
      </c>
      <c r="Q45" s="41">
        <f t="shared" si="3"/>
        <v>0</v>
      </c>
      <c r="R45" s="41"/>
      <c r="S45" s="41"/>
      <c r="T45" s="23"/>
      <c r="U45" s="23">
        <v>0.0</v>
      </c>
      <c r="V45" s="55" t="str">
        <f>VLOOKUP(A45,Exception!$A$2:$L$19,12,0)</f>
        <v>#N/A</v>
      </c>
      <c r="W45" s="55" t="str">
        <f>VLOOKUP(A45,Exception!$A$2:$M$17,13,0)</f>
        <v>#N/A</v>
      </c>
      <c r="X45" s="23" t="str">
        <f>VLOOKUP(A45,Category!A:E,5,0)</f>
        <v>CCV</v>
      </c>
      <c r="Y45" s="56" t="str">
        <f>VLOOKUP(A45,VlookupSheet!$A$382:$A$523,1,0)</f>
        <v>92348046</v>
      </c>
      <c r="Z45" s="23"/>
      <c r="AA45" s="23"/>
      <c r="AB45" s="23"/>
      <c r="AC45" s="23"/>
      <c r="AD45" s="23"/>
      <c r="AE45" s="23"/>
    </row>
    <row r="46">
      <c r="A46" s="56" t="s">
        <v>50</v>
      </c>
      <c r="B46" s="40" t="str">
        <f>VLOOKUP(A46,Main!A:B,2,0)</f>
        <v>CC__JOHNJOSEPH_FULL_POS1CR</v>
      </c>
      <c r="C46" s="55" t="s">
        <v>93</v>
      </c>
      <c r="D46" s="64">
        <v>420000.0</v>
      </c>
      <c r="E46" s="44">
        <f>IFERROR(VLOOKUP(A46,'Realised and SV'!A:I,5,0),0)</f>
        <v>0</v>
      </c>
      <c r="F46" s="44">
        <f>IFERROR(VLOOKUP(A46,'Realised and SV'!A:I,6,0),0)</f>
        <v>37791.65</v>
      </c>
      <c r="G46" s="48">
        <v>3000000.0</v>
      </c>
      <c r="H46" s="41">
        <f t="shared" si="12"/>
        <v>3000000</v>
      </c>
      <c r="I46" s="67">
        <f t="shared" si="2"/>
        <v>7.142857143</v>
      </c>
      <c r="J46" s="68" t="str">
        <f>VLOOKUP(A46,Main!A:L,9,0)</f>
        <v>VS4</v>
      </c>
      <c r="K46" s="56" t="str">
        <f>VLOOKUP(A46,Main!A:L,10,0)</f>
        <v>7</v>
      </c>
      <c r="L46" s="55" t="b">
        <f>VLOOKUP(A46,Main!A:K,7,0)=H46</f>
        <v>0</v>
      </c>
      <c r="M46" s="55" t="b">
        <f>VLOOKUP(A46,Main!A:K,8,0)=D46</f>
        <v>1</v>
      </c>
      <c r="N46" s="23" t="s">
        <v>118</v>
      </c>
      <c r="O46" s="55" t="str">
        <f>VLOOKUP(A46,Main!$A$1:$M$2844,13,0)</f>
        <v>DAILY</v>
      </c>
      <c r="P46" s="55" t="b">
        <f>_xlfn.isformula(VLOOKUP(A46,Main!$A$1:$J$949,7,0))</f>
        <v>1</v>
      </c>
      <c r="Q46" s="64">
        <f t="shared" si="3"/>
        <v>0</v>
      </c>
      <c r="R46" s="64"/>
      <c r="S46" s="64"/>
      <c r="T46" s="64"/>
      <c r="U46" s="23">
        <v>0.0</v>
      </c>
      <c r="V46" s="64">
        <f>VLOOKUP(A46,Exception!$A$2:$L$19,12,0)</f>
        <v>436000</v>
      </c>
      <c r="W46" s="64">
        <f>VLOOKUP(A46,Exception!$A$2:$M$17,13,0)</f>
        <v>436000</v>
      </c>
      <c r="X46" s="23" t="str">
        <f>VLOOKUP(A46,Category!A:E,5,0)</f>
        <v>CCG</v>
      </c>
      <c r="Y46" s="56" t="str">
        <f>VLOOKUP(A46,VlookupSheet!$A$382:$A$523,1,0)</f>
        <v>85533200</v>
      </c>
      <c r="Z46" s="55"/>
      <c r="AA46" s="55"/>
      <c r="AB46" s="55"/>
      <c r="AC46" s="55"/>
      <c r="AD46" s="55"/>
      <c r="AE46" s="55"/>
    </row>
    <row r="47">
      <c r="A47" s="36" t="s">
        <v>466</v>
      </c>
      <c r="B47" s="40" t="str">
        <f>VLOOKUP(A47,Main!A:B,2,0)</f>
        <v>CC_JATING_POS</v>
      </c>
      <c r="C47" s="23" t="s">
        <v>93</v>
      </c>
      <c r="D47" s="41">
        <v>80000.0</v>
      </c>
      <c r="E47" s="44">
        <f>IFERROR(VLOOKUP(A47,'Realised and SV'!A:I,5,0),0)</f>
        <v>0</v>
      </c>
      <c r="F47" s="44">
        <f>IFERROR(VLOOKUP(A47,'Realised and SV'!A:I,6,0),0)</f>
        <v>3033.55</v>
      </c>
      <c r="G47" s="48">
        <f t="shared" ref="G47:G56" si="13">D47*30</f>
        <v>2400000</v>
      </c>
      <c r="H47" s="41">
        <f t="shared" si="12"/>
        <v>2400000</v>
      </c>
      <c r="I47" s="51">
        <f t="shared" si="2"/>
        <v>30</v>
      </c>
      <c r="J47" s="58" t="str">
        <f>VLOOKUP(A47,Main!A:L,9,0)</f>
        <v>VS4</v>
      </c>
      <c r="K47" s="36" t="str">
        <f>VLOOKUP(A47,Main!A:L,10,0)</f>
        <v>7</v>
      </c>
      <c r="L47" s="23" t="b">
        <f>VLOOKUP(A47,Main!A:K,7,0)=H47</f>
        <v>1</v>
      </c>
      <c r="M47" s="23" t="b">
        <f>VLOOKUP(A47,Main!A:K,8,0)=D47</f>
        <v>1</v>
      </c>
      <c r="N47" s="23" t="s">
        <v>118</v>
      </c>
      <c r="O47" s="23" t="str">
        <f>VLOOKUP(A47,Main!$A$1:$M$2844,13,0)</f>
        <v>1DTE/0DTE</v>
      </c>
      <c r="P47" s="23" t="b">
        <f>_xlfn.isformula(VLOOKUP(A47,Main!$A$1:$J$949,7,0))</f>
        <v>1</v>
      </c>
      <c r="Q47" s="41">
        <f t="shared" si="3"/>
        <v>0</v>
      </c>
      <c r="R47" s="41"/>
      <c r="S47" s="41"/>
      <c r="T47" s="23"/>
      <c r="U47" s="23">
        <v>0.0</v>
      </c>
      <c r="V47" s="55" t="str">
        <f>VLOOKUP(A47,Exception!$A$2:$L$19,12,0)</f>
        <v>#N/A</v>
      </c>
      <c r="W47" s="55" t="str">
        <f>VLOOKUP(A47,Exception!$A$2:$M$17,13,0)</f>
        <v>#N/A</v>
      </c>
      <c r="X47" s="23" t="str">
        <f>VLOOKUP(A47,Category!A:E,5,0)</f>
        <v>CCG</v>
      </c>
      <c r="Y47" s="56" t="str">
        <f>VLOOKUP(A47,VlookupSheet!$A$382:$A$523,1,0)</f>
        <v>77149338</v>
      </c>
      <c r="Z47" s="23"/>
      <c r="AA47" s="23"/>
      <c r="AB47" s="23"/>
      <c r="AC47" s="23"/>
      <c r="AD47" s="23"/>
      <c r="AE47" s="23"/>
    </row>
    <row r="48">
      <c r="A48" s="36" t="s">
        <v>399</v>
      </c>
      <c r="B48" s="40" t="str">
        <f>VLOOKUP(A48,Main!A:B,2,0)</f>
        <v>CC_MEGHAAG_POS</v>
      </c>
      <c r="C48" s="23" t="s">
        <v>93</v>
      </c>
      <c r="D48" s="41">
        <v>120000.0</v>
      </c>
      <c r="E48" s="44">
        <f>IFERROR(VLOOKUP(A48,'Realised and SV'!A:I,5,0),0)</f>
        <v>0</v>
      </c>
      <c r="F48" s="44">
        <f>IFERROR(VLOOKUP(A48,'Realised and SV'!A:I,6,0),0)</f>
        <v>37746.15</v>
      </c>
      <c r="G48" s="48">
        <f t="shared" si="13"/>
        <v>3600000</v>
      </c>
      <c r="H48" s="41">
        <f t="shared" si="12"/>
        <v>3600000</v>
      </c>
      <c r="I48" s="51">
        <f t="shared" si="2"/>
        <v>30</v>
      </c>
      <c r="J48" s="58" t="str">
        <f>VLOOKUP(A48,Main!A:L,9,0)</f>
        <v>VS4</v>
      </c>
      <c r="K48" s="36" t="str">
        <f>VLOOKUP(A48,Main!A:L,10,0)</f>
        <v>7</v>
      </c>
      <c r="L48" s="23" t="b">
        <f>VLOOKUP(A48,Main!A:K,7,0)=H48</f>
        <v>1</v>
      </c>
      <c r="M48" s="23" t="b">
        <f>VLOOKUP(A48,Main!A:K,8,0)=D48</f>
        <v>1</v>
      </c>
      <c r="N48" s="23" t="s">
        <v>118</v>
      </c>
      <c r="O48" s="23" t="str">
        <f>VLOOKUP(A48,Main!$A$1:$M$2844,13,0)</f>
        <v>DAILY</v>
      </c>
      <c r="P48" s="23" t="b">
        <f>_xlfn.isformula(VLOOKUP(A48,Main!$A$1:$J$949,7,0))</f>
        <v>1</v>
      </c>
      <c r="Q48" s="41">
        <f t="shared" si="3"/>
        <v>0</v>
      </c>
      <c r="R48" s="41"/>
      <c r="S48" s="53"/>
      <c r="T48" s="41"/>
      <c r="U48" s="23">
        <v>0.0</v>
      </c>
      <c r="V48" s="55" t="str">
        <f>VLOOKUP(A48,Exception!$A$2:$L$19,12,0)</f>
        <v>#N/A</v>
      </c>
      <c r="W48" s="55" t="str">
        <f>VLOOKUP(A48,Exception!$A$2:$M$17,13,0)</f>
        <v>#N/A</v>
      </c>
      <c r="X48" s="23" t="str">
        <f>VLOOKUP(A48,Category!A:E,5,0)</f>
        <v>CCG</v>
      </c>
      <c r="Y48" s="56" t="str">
        <f>VLOOKUP(A48,VlookupSheet!$A$382:$A$523,1,0)</f>
        <v>64785796</v>
      </c>
      <c r="Z48" s="23"/>
      <c r="AA48" s="23"/>
      <c r="AB48" s="23"/>
      <c r="AC48" s="23"/>
      <c r="AD48" s="23"/>
      <c r="AE48" s="23"/>
    </row>
    <row r="49">
      <c r="A49" s="36" t="s">
        <v>410</v>
      </c>
      <c r="B49" s="40" t="str">
        <f>VLOOKUP(A49,Main!A:B,2,0)</f>
        <v>CC_SCHOUGULE_POS</v>
      </c>
      <c r="C49" s="23" t="s">
        <v>93</v>
      </c>
      <c r="D49" s="41">
        <v>140000.0</v>
      </c>
      <c r="E49" s="44">
        <f>IFERROR(VLOOKUP(A49,'Realised and SV'!A:I,5,0),0)</f>
        <v>0</v>
      </c>
      <c r="F49" s="44">
        <f>IFERROR(VLOOKUP(A49,'Realised and SV'!A:I,6,0),0)</f>
        <v>37916.45</v>
      </c>
      <c r="G49" s="48">
        <f t="shared" si="13"/>
        <v>4200000</v>
      </c>
      <c r="H49" s="41">
        <f t="shared" si="12"/>
        <v>4200000</v>
      </c>
      <c r="I49" s="51">
        <f t="shared" si="2"/>
        <v>30</v>
      </c>
      <c r="J49" s="58" t="str">
        <f>VLOOKUP(A49,Main!A:L,9,0)</f>
        <v>VS4</v>
      </c>
      <c r="K49" s="36" t="str">
        <f>VLOOKUP(A49,Main!A:L,10,0)</f>
        <v>7</v>
      </c>
      <c r="L49" s="23" t="b">
        <f>VLOOKUP(A49,Main!A:K,7,0)=H49</f>
        <v>1</v>
      </c>
      <c r="M49" s="23" t="b">
        <f>VLOOKUP(A49,Main!A:K,8,0)=D49</f>
        <v>1</v>
      </c>
      <c r="N49" s="23" t="s">
        <v>118</v>
      </c>
      <c r="O49" s="23" t="str">
        <f>VLOOKUP(A49,Main!$A$1:$M$2844,13,0)</f>
        <v>DAILY</v>
      </c>
      <c r="P49" s="23" t="b">
        <f>_xlfn.isformula(VLOOKUP(A49,Main!$A$1:$J$949,7,0))</f>
        <v>1</v>
      </c>
      <c r="Q49" s="41">
        <f t="shared" si="3"/>
        <v>0</v>
      </c>
      <c r="R49" s="41"/>
      <c r="S49" s="53"/>
      <c r="T49" s="41"/>
      <c r="U49" s="23">
        <v>0.0</v>
      </c>
      <c r="V49" s="55" t="str">
        <f>VLOOKUP(A49,Exception!$A$2:$L$19,12,0)</f>
        <v>#N/A</v>
      </c>
      <c r="W49" s="55" t="str">
        <f>VLOOKUP(A49,Exception!$A$2:$M$17,13,0)</f>
        <v>#N/A</v>
      </c>
      <c r="X49" s="23" t="str">
        <f>VLOOKUP(A49,Category!A:E,5,0)</f>
        <v>CCG</v>
      </c>
      <c r="Y49" s="56" t="str">
        <f>VLOOKUP(A49,VlookupSheet!$A$382:$A$523,1,0)</f>
        <v>57437129</v>
      </c>
      <c r="Z49" s="23"/>
      <c r="AA49" s="23"/>
      <c r="AB49" s="23"/>
      <c r="AC49" s="23"/>
      <c r="AD49" s="23"/>
      <c r="AE49" s="23"/>
    </row>
    <row r="50">
      <c r="A50" s="36" t="s">
        <v>452</v>
      </c>
      <c r="B50" s="40" t="str">
        <f>VLOOKUP(A50,Main!A:B,2,0)</f>
        <v>CC_PUSHKARA_POS</v>
      </c>
      <c r="C50" s="23" t="s">
        <v>93</v>
      </c>
      <c r="D50" s="41">
        <v>80000.0</v>
      </c>
      <c r="E50" s="44">
        <f>IFERROR(VLOOKUP(A50,'Realised and SV'!A:I,5,0),0)</f>
        <v>0</v>
      </c>
      <c r="F50" s="44">
        <f>IFERROR(VLOOKUP(A50,'Realised and SV'!A:I,6,0),0)</f>
        <v>2987.4</v>
      </c>
      <c r="G50" s="48">
        <f t="shared" si="13"/>
        <v>2400000</v>
      </c>
      <c r="H50" s="41">
        <f t="shared" si="12"/>
        <v>2400000</v>
      </c>
      <c r="I50" s="51">
        <f t="shared" si="2"/>
        <v>30</v>
      </c>
      <c r="J50" s="58" t="str">
        <f>VLOOKUP(A50,Main!A:L,9,0)</f>
        <v>VS4</v>
      </c>
      <c r="K50" s="36" t="str">
        <f>VLOOKUP(A50,Main!A:L,10,0)</f>
        <v>7</v>
      </c>
      <c r="L50" s="23" t="b">
        <f>VLOOKUP(A50,Main!A:K,7,0)=H50</f>
        <v>1</v>
      </c>
      <c r="M50" s="23" t="b">
        <f>VLOOKUP(A50,Main!A:K,8,0)=D50</f>
        <v>1</v>
      </c>
      <c r="N50" s="23" t="s">
        <v>118</v>
      </c>
      <c r="O50" s="23" t="str">
        <f>VLOOKUP(A50,Main!$A$1:$M$2844,13,0)</f>
        <v>1DTE/0DTE</v>
      </c>
      <c r="P50" s="23" t="b">
        <f>_xlfn.isformula(VLOOKUP(A50,Main!$A$1:$J$949,7,0))</f>
        <v>1</v>
      </c>
      <c r="Q50" s="41">
        <f t="shared" si="3"/>
        <v>0</v>
      </c>
      <c r="R50" s="41"/>
      <c r="S50" s="53"/>
      <c r="T50" s="23"/>
      <c r="U50" s="23">
        <v>0.0</v>
      </c>
      <c r="V50" s="55" t="str">
        <f>VLOOKUP(A50,Exception!$A$2:$L$19,12,0)</f>
        <v>#N/A</v>
      </c>
      <c r="W50" s="55" t="str">
        <f>VLOOKUP(A50,Exception!$A$2:$M$17,13,0)</f>
        <v>#N/A</v>
      </c>
      <c r="X50" s="23" t="str">
        <f>VLOOKUP(A50,Category!A:E,5,0)</f>
        <v>CCG</v>
      </c>
      <c r="Y50" s="56" t="str">
        <f>VLOOKUP(A50,VlookupSheet!$A$382:$A$523,1,0)</f>
        <v>46966951</v>
      </c>
      <c r="Z50" s="23"/>
      <c r="AA50" s="23"/>
      <c r="AB50" s="23"/>
      <c r="AC50" s="23"/>
      <c r="AD50" s="23"/>
      <c r="AE50" s="23"/>
    </row>
    <row r="51">
      <c r="A51" s="36" t="s">
        <v>429</v>
      </c>
      <c r="B51" s="40" t="str">
        <f>VLOOKUP(A51,Main!A:B,2,0)</f>
        <v>CC_PUNEETG_POS</v>
      </c>
      <c r="C51" s="23" t="s">
        <v>93</v>
      </c>
      <c r="D51" s="41">
        <v>100000.0</v>
      </c>
      <c r="E51" s="44">
        <f>IFERROR(VLOOKUP(A51,'Realised and SV'!A:I,5,0),0)</f>
        <v>0</v>
      </c>
      <c r="F51" s="44">
        <f>IFERROR(VLOOKUP(A51,'Realised and SV'!A:I,6,0),0)</f>
        <v>3099.2</v>
      </c>
      <c r="G51" s="48">
        <f t="shared" si="13"/>
        <v>3000000</v>
      </c>
      <c r="H51" s="41">
        <f t="shared" si="12"/>
        <v>3000000</v>
      </c>
      <c r="I51" s="51">
        <f t="shared" si="2"/>
        <v>30</v>
      </c>
      <c r="J51" s="58" t="str">
        <f>VLOOKUP(A51,Main!A:L,9,0)</f>
        <v>VS4</v>
      </c>
      <c r="K51" s="36" t="str">
        <f>VLOOKUP(A51,Main!A:L,10,0)</f>
        <v>7</v>
      </c>
      <c r="L51" s="23" t="b">
        <f>VLOOKUP(A51,Main!A:K,7,0)=H51</f>
        <v>1</v>
      </c>
      <c r="M51" s="23" t="b">
        <f>VLOOKUP(A51,Main!A:K,8,0)=D51</f>
        <v>1</v>
      </c>
      <c r="N51" s="23" t="s">
        <v>118</v>
      </c>
      <c r="O51" s="23" t="str">
        <f>VLOOKUP(A51,Main!$A$1:$M$2844,13,0)</f>
        <v>1DTE/0DTE</v>
      </c>
      <c r="P51" s="23" t="b">
        <f>_xlfn.isformula(VLOOKUP(A51,Main!$A$1:$J$949,7,0))</f>
        <v>1</v>
      </c>
      <c r="Q51" s="41">
        <f t="shared" si="3"/>
        <v>0</v>
      </c>
      <c r="R51" s="41"/>
      <c r="S51" s="53"/>
      <c r="T51" s="23"/>
      <c r="U51" s="23">
        <v>0.0</v>
      </c>
      <c r="V51" s="55" t="str">
        <f>VLOOKUP(A51,Exception!$A$2:$L$19,12,0)</f>
        <v>#N/A</v>
      </c>
      <c r="W51" s="55" t="str">
        <f>VLOOKUP(A51,Exception!$A$2:$M$17,13,0)</f>
        <v>#N/A</v>
      </c>
      <c r="X51" s="23" t="str">
        <f>VLOOKUP(A51,Category!A:E,5,0)</f>
        <v>CCG</v>
      </c>
      <c r="Y51" s="56" t="str">
        <f>VLOOKUP(A51,VlookupSheet!$A$382:$A$523,1,0)</f>
        <v>24699329</v>
      </c>
      <c r="Z51" s="23"/>
      <c r="AA51" s="23"/>
      <c r="AB51" s="23"/>
      <c r="AC51" s="23"/>
      <c r="AD51" s="23"/>
      <c r="AE51" s="23"/>
    </row>
    <row r="52">
      <c r="A52" s="40" t="s">
        <v>478</v>
      </c>
      <c r="B52" s="40" t="str">
        <f>VLOOKUP(A52,Main!A:B,2,0)</f>
        <v>CC_CHARUB_POS</v>
      </c>
      <c r="C52" s="23" t="s">
        <v>93</v>
      </c>
      <c r="D52" s="41">
        <v>120000.0</v>
      </c>
      <c r="E52" s="44">
        <f>IFERROR(VLOOKUP(A52,'Realised and SV'!A:I,5,0),0)</f>
        <v>0</v>
      </c>
      <c r="F52" s="44">
        <f>IFERROR(VLOOKUP(A52,'Realised and SV'!A:I,6,0),0)</f>
        <v>37848.2</v>
      </c>
      <c r="G52" s="48">
        <f t="shared" si="13"/>
        <v>3600000</v>
      </c>
      <c r="H52" s="41">
        <f t="shared" si="12"/>
        <v>3600000</v>
      </c>
      <c r="I52" s="51">
        <f t="shared" si="2"/>
        <v>30</v>
      </c>
      <c r="J52" s="58" t="str">
        <f>VLOOKUP(A52,Main!A:L,9,0)</f>
        <v>VS4</v>
      </c>
      <c r="K52" s="36" t="str">
        <f>VLOOKUP(A52,Main!A:L,10,0)</f>
        <v>7</v>
      </c>
      <c r="L52" s="23" t="b">
        <f>VLOOKUP(A52,Main!A:K,7,0)=H52</f>
        <v>1</v>
      </c>
      <c r="M52" s="23" t="b">
        <f>VLOOKUP(A52,Main!A:K,8,0)=D52</f>
        <v>1</v>
      </c>
      <c r="N52" s="23" t="s">
        <v>118</v>
      </c>
      <c r="O52" s="23" t="str">
        <f>VLOOKUP(A52,Main!$A$1:$M$2844,13,0)</f>
        <v>DAILY</v>
      </c>
      <c r="P52" s="23" t="b">
        <f>_xlfn.isformula(VLOOKUP(A52,Main!$A$1:$J$949,7,0))</f>
        <v>0</v>
      </c>
      <c r="Q52" s="41">
        <f t="shared" si="3"/>
        <v>0</v>
      </c>
      <c r="R52" s="41"/>
      <c r="S52" s="53"/>
      <c r="T52" s="41"/>
      <c r="U52" s="23">
        <v>0.0</v>
      </c>
      <c r="V52" s="55" t="str">
        <f>VLOOKUP(A52,Exception!$A$2:$L$19,12,0)</f>
        <v>#N/A</v>
      </c>
      <c r="W52" s="55" t="str">
        <f>VLOOKUP(A52,Exception!$A$2:$M$17,13,0)</f>
        <v>#N/A</v>
      </c>
      <c r="X52" s="23" t="str">
        <f>VLOOKUP(A52,Category!A:E,5,0)</f>
        <v>PGB</v>
      </c>
      <c r="Y52" s="56" t="str">
        <f>VLOOKUP(A52,VlookupSheet!$A$382:$A$523,1,0)</f>
        <v>19583994</v>
      </c>
      <c r="Z52" s="23"/>
      <c r="AA52" s="23"/>
      <c r="AB52" s="23"/>
      <c r="AC52" s="23"/>
      <c r="AD52" s="23"/>
      <c r="AE52" s="23"/>
    </row>
    <row r="53">
      <c r="A53" s="146" t="s">
        <v>759</v>
      </c>
      <c r="B53" s="40" t="str">
        <f>VLOOKUP(A53,Main!A:B,2,0)</f>
        <v>MSG_TANYA_POS</v>
      </c>
      <c r="C53" s="23" t="s">
        <v>93</v>
      </c>
      <c r="D53" s="147">
        <v>120000.0</v>
      </c>
      <c r="E53" s="44">
        <f>IFERROR(VLOOKUP(A53,'Realised and SV'!A:I,5,0),0)</f>
        <v>0</v>
      </c>
      <c r="F53" s="44">
        <f>IFERROR(VLOOKUP(A53,'Realised and SV'!A:I,6,0),0)</f>
        <v>37891.1</v>
      </c>
      <c r="G53" s="48">
        <f t="shared" si="13"/>
        <v>3600000</v>
      </c>
      <c r="H53" s="41">
        <f t="shared" si="12"/>
        <v>3600000</v>
      </c>
      <c r="I53" s="51">
        <f t="shared" si="2"/>
        <v>30</v>
      </c>
      <c r="J53" s="58" t="str">
        <f>VLOOKUP(A53,Main!A:L,9,0)</f>
        <v>VS4</v>
      </c>
      <c r="K53" s="36" t="str">
        <f>VLOOKUP(A53,Main!A:L,10,0)</f>
        <v>7</v>
      </c>
      <c r="L53" s="23" t="b">
        <f>VLOOKUP(A53,Main!A:K,7,0)=H53</f>
        <v>1</v>
      </c>
      <c r="M53" s="23" t="b">
        <f>VLOOKUP(A53,Main!A:K,8,0)=D53</f>
        <v>1</v>
      </c>
      <c r="N53" s="23" t="s">
        <v>118</v>
      </c>
      <c r="O53" s="23" t="str">
        <f>VLOOKUP(A53,Main!$A$1:$M$2844,13,0)</f>
        <v>DAILY</v>
      </c>
      <c r="P53" s="23" t="b">
        <f>_xlfn.isformula(VLOOKUP(A53,Main!$A$1:$J$949,7,0))</f>
        <v>1</v>
      </c>
      <c r="Q53" s="41">
        <f t="shared" si="3"/>
        <v>0</v>
      </c>
      <c r="R53" s="41"/>
      <c r="S53" s="53"/>
      <c r="T53" s="23"/>
      <c r="U53" s="23">
        <v>0.0</v>
      </c>
      <c r="V53" s="55" t="str">
        <f>VLOOKUP(A53,Exception!$A$2:$L$19,12,0)</f>
        <v>#N/A</v>
      </c>
      <c r="W53" s="55" t="str">
        <f>VLOOKUP(A53,Exception!$A$2:$M$17,13,0)</f>
        <v>#N/A</v>
      </c>
      <c r="X53" s="23" t="str">
        <f>VLOOKUP(A53,Category!A:E,5,0)</f>
        <v>CCG</v>
      </c>
      <c r="Y53" s="56" t="str">
        <f>VLOOKUP(A53,VlookupSheet!$A$382:$A$523,1,0)</f>
        <v>14419090</v>
      </c>
      <c r="Z53" s="23"/>
      <c r="AA53" s="23"/>
      <c r="AB53" s="23"/>
      <c r="AC53" s="23"/>
      <c r="AD53" s="23"/>
      <c r="AE53" s="23"/>
    </row>
    <row r="54">
      <c r="A54" s="40" t="s">
        <v>442</v>
      </c>
      <c r="B54" s="40" t="str">
        <f>VLOOKUP(A54,Main!A:B,2,0)</f>
        <v>CC_CHADARAM_ARUNA_POS</v>
      </c>
      <c r="C54" s="23" t="s">
        <v>93</v>
      </c>
      <c r="D54" s="41">
        <v>120000.0</v>
      </c>
      <c r="E54" s="44">
        <f>IFERROR(VLOOKUP(A54,'Realised and SV'!A:I,5,0),0)</f>
        <v>0</v>
      </c>
      <c r="F54" s="44">
        <f>IFERROR(VLOOKUP(A54,'Realised and SV'!A:I,6,0),0)</f>
        <v>37802.05</v>
      </c>
      <c r="G54" s="48">
        <f t="shared" si="13"/>
        <v>3600000</v>
      </c>
      <c r="H54" s="41">
        <f t="shared" si="12"/>
        <v>3600000</v>
      </c>
      <c r="I54" s="51">
        <f t="shared" si="2"/>
        <v>30</v>
      </c>
      <c r="J54" s="58" t="str">
        <f>VLOOKUP(A54,Main!A:L,9,0)</f>
        <v>VS4</v>
      </c>
      <c r="K54" s="36" t="str">
        <f>VLOOKUP(A54,Main!A:L,10,0)</f>
        <v>7</v>
      </c>
      <c r="L54" s="23" t="b">
        <f>VLOOKUP(A54,Main!A:K,7,0)=H54</f>
        <v>1</v>
      </c>
      <c r="M54" s="23" t="b">
        <f>VLOOKUP(A54,Main!A:K,8,0)=D54</f>
        <v>1</v>
      </c>
      <c r="N54" s="23" t="s">
        <v>118</v>
      </c>
      <c r="O54" s="23" t="str">
        <f>VLOOKUP(A54,Main!$A$1:$M$2844,13,0)</f>
        <v>DAILY</v>
      </c>
      <c r="P54" s="23" t="b">
        <f>_xlfn.isformula(VLOOKUP(A54,Main!$A$1:$J$949,7,0))</f>
        <v>1</v>
      </c>
      <c r="Q54" s="41">
        <f t="shared" si="3"/>
        <v>0</v>
      </c>
      <c r="R54" s="41"/>
      <c r="S54" s="53"/>
      <c r="T54" s="41"/>
      <c r="U54" s="23">
        <v>0.0</v>
      </c>
      <c r="V54" s="55" t="str">
        <f>VLOOKUP(A54,Exception!$A$2:$L$19,12,0)</f>
        <v>#N/A</v>
      </c>
      <c r="W54" s="55" t="str">
        <f>VLOOKUP(A54,Exception!$A$2:$M$17,13,0)</f>
        <v>#N/A</v>
      </c>
      <c r="X54" s="23" t="str">
        <f>VLOOKUP(A54,Category!A:E,5,0)</f>
        <v>CCG</v>
      </c>
      <c r="Y54" s="56" t="str">
        <f>VLOOKUP(A54,VlookupSheet!$A$382:$A$523,1,0)</f>
        <v>10408756</v>
      </c>
      <c r="Z54" s="23"/>
      <c r="AA54" s="23"/>
      <c r="AB54" s="23"/>
      <c r="AC54" s="23"/>
      <c r="AD54" s="23"/>
      <c r="AE54" s="23"/>
    </row>
    <row r="55">
      <c r="A55" s="56" t="s">
        <v>103</v>
      </c>
      <c r="B55" s="40" t="str">
        <f>VLOOKUP(A55,Main!A:B,2,0)</f>
        <v>CC_BHADADAR_FIX_1CR_POS</v>
      </c>
      <c r="C55" s="55" t="s">
        <v>93</v>
      </c>
      <c r="D55" s="64">
        <v>100000.0</v>
      </c>
      <c r="E55" s="44">
        <f>IFERROR(VLOOKUP(A55,'Realised and SV'!A:I,5,0),0)</f>
        <v>0</v>
      </c>
      <c r="F55" s="44">
        <f>IFERROR(VLOOKUP(A55,'Realised and SV'!A:I,6,0),0)</f>
        <v>37892.4</v>
      </c>
      <c r="G55" s="48">
        <f t="shared" si="13"/>
        <v>3000000</v>
      </c>
      <c r="H55" s="64">
        <f>V55</f>
        <v>3000000</v>
      </c>
      <c r="I55" s="67">
        <f t="shared" si="2"/>
        <v>30</v>
      </c>
      <c r="J55" s="68" t="str">
        <f>VLOOKUP(A55,Main!A:L,9,0)</f>
        <v>VS19</v>
      </c>
      <c r="K55" s="56" t="str">
        <f>VLOOKUP(A55,Main!A:L,10,0)</f>
        <v>15</v>
      </c>
      <c r="L55" s="55" t="b">
        <f>VLOOKUP(A55,Main!A:K,7,0)=H55</f>
        <v>1</v>
      </c>
      <c r="M55" s="55" t="b">
        <f>VLOOKUP(A55,Main!A:K,8,0)=D55</f>
        <v>1</v>
      </c>
      <c r="N55" s="23" t="s">
        <v>118</v>
      </c>
      <c r="O55" s="55" t="str">
        <f>VLOOKUP(A55,Main!$A$1:$M$2844,13,0)</f>
        <v>DAILY</v>
      </c>
      <c r="P55" s="55" t="b">
        <f>_xlfn.isformula(VLOOKUP(A55,Main!$A$1:$J$949,7,0))</f>
        <v>0</v>
      </c>
      <c r="Q55" s="64">
        <f t="shared" si="3"/>
        <v>0</v>
      </c>
      <c r="R55" s="149"/>
      <c r="S55" s="149"/>
      <c r="T55" s="64"/>
      <c r="U55" s="23">
        <v>0.0</v>
      </c>
      <c r="V55" s="55">
        <f>VLOOKUP(A55,Exception!$A$2:$L$19,12,0)</f>
        <v>3000000</v>
      </c>
      <c r="W55" s="55">
        <f>VLOOKUP(A55,Exception!$A$2:$M$17,13,0)</f>
        <v>3000000</v>
      </c>
      <c r="X55" s="23" t="str">
        <f>VLOOKUP(A55,Category!A:E,5,0)</f>
        <v>PGB</v>
      </c>
      <c r="Y55" s="56" t="str">
        <f>VLOOKUP(A55,VlookupSheet!$A$382:$A$523,1,0)</f>
        <v>BHADADAR</v>
      </c>
      <c r="Z55" s="55"/>
      <c r="AA55" s="55"/>
      <c r="AB55" s="55"/>
      <c r="AC55" s="55"/>
      <c r="AD55" s="55"/>
      <c r="AE55" s="55"/>
    </row>
    <row r="56">
      <c r="A56" s="150" t="s">
        <v>882</v>
      </c>
      <c r="B56" s="40" t="str">
        <f>VLOOKUP(A56,Main!A:B,2,0)</f>
        <v>CC_GOVINDJ_POS</v>
      </c>
      <c r="C56" s="23" t="s">
        <v>93</v>
      </c>
      <c r="D56" s="147">
        <v>60000.0</v>
      </c>
      <c r="E56" s="44">
        <f>IFERROR(VLOOKUP(A56,'Realised and SV'!A:I,5,0),0)</f>
        <v>0</v>
      </c>
      <c r="F56" s="44">
        <f>IFERROR(VLOOKUP(A56,'Realised and SV'!A:I,6,0),0)</f>
        <v>3123.25</v>
      </c>
      <c r="G56" s="48">
        <f t="shared" si="13"/>
        <v>1800000</v>
      </c>
      <c r="H56" s="41">
        <f t="shared" ref="H56:H57" si="14">int(IF(C56="Noren",G56+F56,G56))</f>
        <v>1800000</v>
      </c>
      <c r="I56" s="51">
        <f t="shared" si="2"/>
        <v>30</v>
      </c>
      <c r="J56" s="58" t="str">
        <f>VLOOKUP(A56,Main!A:L,9,0)</f>
        <v>VS3</v>
      </c>
      <c r="K56" s="36" t="str">
        <f>VLOOKUP(A56,Main!A:L,10,0)</f>
        <v>1</v>
      </c>
      <c r="L56" s="23" t="b">
        <f>VLOOKUP(A56,Main!A:K,7,0)=H56</f>
        <v>1</v>
      </c>
      <c r="M56" s="23" t="b">
        <f>VLOOKUP(A56,Main!A:K,8,0)=D56</f>
        <v>1</v>
      </c>
      <c r="N56" s="23" t="s">
        <v>118</v>
      </c>
      <c r="O56" s="23" t="str">
        <f>VLOOKUP(A56,Main!$A$1:$M$2844,13,0)</f>
        <v>1DTE/0DTE</v>
      </c>
      <c r="P56" s="23" t="b">
        <f>_xlfn.isformula(VLOOKUP(A56,Main!$A$1:$J$949,7,0))</f>
        <v>1</v>
      </c>
      <c r="Q56" s="41">
        <f t="shared" si="3"/>
        <v>0</v>
      </c>
      <c r="R56" s="58"/>
      <c r="S56" s="58"/>
      <c r="T56" s="58"/>
      <c r="U56" s="23">
        <v>0.0</v>
      </c>
      <c r="V56" s="55" t="str">
        <f>VLOOKUP(A56,Exception!$A$2:$L$19,12,0)</f>
        <v>#N/A</v>
      </c>
      <c r="W56" s="55" t="str">
        <f>VLOOKUP(A56,Exception!$A$2:$M$17,13,0)</f>
        <v>#N/A</v>
      </c>
      <c r="X56" s="23" t="str">
        <f>VLOOKUP(A56,Category!A:E,5,0)</f>
        <v>CCG</v>
      </c>
      <c r="Y56" s="56" t="str">
        <f>VLOOKUP(A56,VlookupSheet!$A$382:$A$523,1,0)</f>
        <v>52055541</v>
      </c>
      <c r="Z56" s="58"/>
      <c r="AA56" s="58"/>
      <c r="AB56" s="58"/>
      <c r="AC56" s="58"/>
      <c r="AD56" s="58"/>
      <c r="AE56" s="58"/>
    </row>
    <row r="57">
      <c r="A57" s="21" t="s">
        <v>854</v>
      </c>
      <c r="B57" s="40" t="str">
        <f>VLOOKUP(A57,Main!A:B,2,0)</f>
        <v>CCV_SANJAY_MITTAL_POS</v>
      </c>
      <c r="C57" s="23" t="s">
        <v>93</v>
      </c>
      <c r="D57" s="147">
        <v>60000.0</v>
      </c>
      <c r="E57" s="44">
        <f>IFERROR(VLOOKUP(A57,'Realised and SV'!A:I,5,0),0)</f>
        <v>0</v>
      </c>
      <c r="F57" s="44">
        <f>IFERROR(VLOOKUP(A57,'Realised and SV'!A:I,6,0),0)</f>
        <v>3047.85</v>
      </c>
      <c r="G57" s="48">
        <f>INT(IF(U57=0,VLOOKUP(A57,'Realised and SV'!A:H,7,0),IF(OR(K57="1",K57="15"),D57*2+E57+IF(C57="Noren",0,F57),D57*1.8+E57+IF(C57="Noren",0,F57))))</f>
        <v>123047</v>
      </c>
      <c r="H57" s="41">
        <f t="shared" si="14"/>
        <v>123047</v>
      </c>
      <c r="I57" s="51">
        <f t="shared" si="2"/>
        <v>2.050783333</v>
      </c>
      <c r="J57" s="151" t="str">
        <f>VLOOKUP(A57,Main!A:L,9,0)</f>
        <v>VS3</v>
      </c>
      <c r="K57" s="36" t="str">
        <f>VLOOKUP(A57,Main!A:L,10,0)</f>
        <v>1</v>
      </c>
      <c r="L57" s="23" t="b">
        <f>VLOOKUP(A57,Main!A:K,7,0)=H57</f>
        <v>1</v>
      </c>
      <c r="M57" s="23" t="b">
        <f>VLOOKUP(A57,Main!A:K,8,0)=D57</f>
        <v>1</v>
      </c>
      <c r="N57" s="23" t="s">
        <v>118</v>
      </c>
      <c r="O57" s="23" t="str">
        <f>VLOOKUP(A57,Main!$A$1:$M$2844,13,0)</f>
        <v>1DTE/0DTE</v>
      </c>
      <c r="P57" s="23" t="b">
        <f>_xlfn.isformula(VLOOKUP(A57,Main!$A$1:$J$949,7,0))</f>
        <v>1</v>
      </c>
      <c r="Q57" s="41">
        <f t="shared" si="3"/>
        <v>0</v>
      </c>
      <c r="R57" s="58"/>
      <c r="S57" s="58"/>
      <c r="T57" s="58"/>
      <c r="U57" s="23">
        <v>0.0</v>
      </c>
      <c r="V57" s="55" t="str">
        <f>VLOOKUP(A57,Exception!$A$2:$L$19,12,0)</f>
        <v>#N/A</v>
      </c>
      <c r="W57" s="55" t="str">
        <f>VLOOKUP(A57,Exception!$A$2:$M$17,13,0)</f>
        <v>#N/A</v>
      </c>
      <c r="X57" s="23" t="str">
        <f>VLOOKUP(A57,Category!A:E,5,0)</f>
        <v>CCV</v>
      </c>
      <c r="Y57" s="56" t="str">
        <f>VLOOKUP(A57,VlookupSheet!$A$382:$A$523,1,0)</f>
        <v>NS0008</v>
      </c>
      <c r="Z57" s="58"/>
      <c r="AA57" s="58"/>
      <c r="AB57" s="58"/>
      <c r="AC57" s="58"/>
      <c r="AD57" s="58"/>
      <c r="AE57" s="58"/>
    </row>
    <row r="58">
      <c r="A58" s="61" t="s">
        <v>201</v>
      </c>
      <c r="B58" s="40" t="str">
        <f>VLOOKUP(A58,Main!A:B,2,0)</f>
        <v>MSV_VTPRATIM_0SL_FIX1CR_POS</v>
      </c>
      <c r="C58" s="55" t="s">
        <v>93</v>
      </c>
      <c r="D58" s="153">
        <v>100000.0</v>
      </c>
      <c r="E58" s="44">
        <f>IFERROR(VLOOKUP(A58,'Realised and SV'!A:I,5,0),0)</f>
        <v>0</v>
      </c>
      <c r="F58" s="44">
        <f>IFERROR(VLOOKUP(A58,'Realised and SV'!A:I,6,0),0)</f>
        <v>-339862.25</v>
      </c>
      <c r="G58" s="48">
        <f t="shared" ref="G58:G67" si="15">D58*30</f>
        <v>3000000</v>
      </c>
      <c r="H58" s="64">
        <f>V58</f>
        <v>3000000</v>
      </c>
      <c r="I58" s="67">
        <f t="shared" si="2"/>
        <v>30</v>
      </c>
      <c r="J58" s="68" t="str">
        <f>VLOOKUP(A58,Main!A:L,9,0)</f>
        <v>VS11</v>
      </c>
      <c r="K58" s="56" t="str">
        <f>VLOOKUP(A58,Main!A:L,10,0)</f>
        <v>7</v>
      </c>
      <c r="L58" s="55" t="b">
        <f>VLOOKUP(A58,Main!A:K,7,0)=H58</f>
        <v>0</v>
      </c>
      <c r="M58" s="55" t="b">
        <f>VLOOKUP(A58,Main!A:K,8,0)=D58</f>
        <v>0</v>
      </c>
      <c r="N58" s="23" t="s">
        <v>118</v>
      </c>
      <c r="O58" s="55" t="str">
        <f>VLOOKUP(A58,Main!$A$1:$M$2844,13,0)</f>
        <v>DAILY</v>
      </c>
      <c r="P58" s="55" t="b">
        <f>_xlfn.isformula(VLOOKUP(A58,Main!$A$1:$J$949,7,0))</f>
        <v>0</v>
      </c>
      <c r="Q58" s="64">
        <f t="shared" si="3"/>
        <v>0</v>
      </c>
      <c r="R58" s="68"/>
      <c r="S58" s="68"/>
      <c r="T58" s="68"/>
      <c r="U58" s="23">
        <v>0.0</v>
      </c>
      <c r="V58" s="64">
        <f>VLOOKUP(A58,Exception!$A$2:$L$19,12,0)</f>
        <v>3000000</v>
      </c>
      <c r="W58" s="64">
        <f>VLOOKUP(A58,Exception!$A$2:$M$17,13,0)</f>
        <v>3000000</v>
      </c>
      <c r="X58" s="23" t="str">
        <f>VLOOKUP(A58,Category!A:E,5,0)</f>
        <v>PVT</v>
      </c>
      <c r="Y58" s="56" t="str">
        <f>VLOOKUP(A58,VlookupSheet!$A$382:$A$523,1,0)</f>
        <v>VTPRATIM</v>
      </c>
      <c r="Z58" s="58"/>
      <c r="AA58" s="58"/>
      <c r="AB58" s="58"/>
      <c r="AC58" s="58"/>
      <c r="AD58" s="58"/>
      <c r="AE58" s="58"/>
    </row>
    <row r="59">
      <c r="A59" s="36" t="s">
        <v>810</v>
      </c>
      <c r="B59" s="40" t="str">
        <f>VLOOKUP(A59,Main!A:B,2,0)</f>
        <v>CC_PIYUSHK_POS</v>
      </c>
      <c r="C59" s="23" t="s">
        <v>93</v>
      </c>
      <c r="D59" s="147">
        <v>60000.0</v>
      </c>
      <c r="E59" s="44">
        <f>IFERROR(VLOOKUP(A59,'Realised and SV'!A:I,5,0),0)</f>
        <v>0</v>
      </c>
      <c r="F59" s="44">
        <f>IFERROR(VLOOKUP(A59,'Realised and SV'!A:I,6,0),0)</f>
        <v>3101.8</v>
      </c>
      <c r="G59" s="48">
        <f t="shared" si="15"/>
        <v>1800000</v>
      </c>
      <c r="H59" s="41">
        <f t="shared" ref="H59:H64" si="16">int(IF(C59="Noren",G59+F59,G59))</f>
        <v>1800000</v>
      </c>
      <c r="I59" s="51">
        <f t="shared" si="2"/>
        <v>30</v>
      </c>
      <c r="J59" s="58" t="str">
        <f>VLOOKUP(A59,Main!A:L,9,0)</f>
        <v>VS6</v>
      </c>
      <c r="K59" s="36" t="str">
        <f>VLOOKUP(A59,Main!A:L,10,0)</f>
        <v>1</v>
      </c>
      <c r="L59" s="23" t="b">
        <f>VLOOKUP(A59,Main!A:K,7,0)=H59</f>
        <v>1</v>
      </c>
      <c r="M59" s="23" t="b">
        <f>VLOOKUP(A59,Main!A:K,8,0)=D59</f>
        <v>1</v>
      </c>
      <c r="N59" s="23" t="s">
        <v>118</v>
      </c>
      <c r="O59" s="23" t="str">
        <f>VLOOKUP(A59,Main!$A$1:$M$2844,13,0)</f>
        <v>1DTE/0DTE</v>
      </c>
      <c r="P59" s="23" t="b">
        <f>_xlfn.isformula(VLOOKUP(A59,Main!$A$1:$J$949,7,0))</f>
        <v>1</v>
      </c>
      <c r="Q59" s="41">
        <f t="shared" si="3"/>
        <v>0</v>
      </c>
      <c r="R59" s="58"/>
      <c r="S59" s="58"/>
      <c r="T59" s="58"/>
      <c r="U59" s="23">
        <v>0.0</v>
      </c>
      <c r="V59" s="55" t="str">
        <f>VLOOKUP(A59,Exception!$A$2:$L$19,12,0)</f>
        <v>#N/A</v>
      </c>
      <c r="W59" s="55" t="str">
        <f>VLOOKUP(A59,Exception!$A$2:$M$17,13,0)</f>
        <v>#N/A</v>
      </c>
      <c r="X59" s="23" t="str">
        <f>VLOOKUP(A59,Category!A:E,5,0)</f>
        <v>CCG</v>
      </c>
      <c r="Y59" s="56" t="str">
        <f>VLOOKUP(A59,VlookupSheet!$A$382:$A$523,1,0)</f>
        <v>72881081</v>
      </c>
      <c r="Z59" s="58"/>
      <c r="AA59" s="58"/>
      <c r="AB59" s="58"/>
      <c r="AC59" s="58"/>
      <c r="AD59" s="58"/>
      <c r="AE59" s="58"/>
    </row>
    <row r="60">
      <c r="A60" s="36" t="s">
        <v>808</v>
      </c>
      <c r="B60" s="40" t="str">
        <f>VLOOKUP(A60,Main!A:B,2,0)</f>
        <v>CC_MRINALDEBNATH_POS</v>
      </c>
      <c r="C60" s="23" t="s">
        <v>93</v>
      </c>
      <c r="D60" s="147">
        <v>40000.0</v>
      </c>
      <c r="E60" s="44">
        <f>IFERROR(VLOOKUP(A60,'Realised and SV'!A:I,5,0),0)</f>
        <v>0</v>
      </c>
      <c r="F60" s="44">
        <f>IFERROR(VLOOKUP(A60,'Realised and SV'!A:I,6,0),0)</f>
        <v>3156.4</v>
      </c>
      <c r="G60" s="48">
        <f t="shared" si="15"/>
        <v>1200000</v>
      </c>
      <c r="H60" s="41">
        <f t="shared" si="16"/>
        <v>1200000</v>
      </c>
      <c r="I60" s="51">
        <f t="shared" si="2"/>
        <v>30</v>
      </c>
      <c r="J60" s="58" t="str">
        <f>VLOOKUP(A60,Main!A:L,9,0)</f>
        <v>VS6</v>
      </c>
      <c r="K60" s="36" t="str">
        <f>VLOOKUP(A60,Main!A:L,10,0)</f>
        <v>1</v>
      </c>
      <c r="L60" s="23" t="b">
        <f>VLOOKUP(A60,Main!A:K,7,0)=H60</f>
        <v>1</v>
      </c>
      <c r="M60" s="23" t="b">
        <f>VLOOKUP(A60,Main!A:K,8,0)=D60</f>
        <v>1</v>
      </c>
      <c r="N60" s="23" t="s">
        <v>118</v>
      </c>
      <c r="O60" s="23" t="str">
        <f>VLOOKUP(A60,Main!$A$1:$M$2844,13,0)</f>
        <v>1DTE/0DTE</v>
      </c>
      <c r="P60" s="23" t="b">
        <f>_xlfn.isformula(VLOOKUP(A60,Main!$A$1:$J$949,7,0))</f>
        <v>1</v>
      </c>
      <c r="Q60" s="41">
        <f t="shared" si="3"/>
        <v>0</v>
      </c>
      <c r="R60" s="58"/>
      <c r="S60" s="58"/>
      <c r="T60" s="58"/>
      <c r="U60" s="23">
        <v>0.0</v>
      </c>
      <c r="V60" s="55" t="str">
        <f>VLOOKUP(A60,Exception!$A$2:$L$19,12,0)</f>
        <v>#N/A</v>
      </c>
      <c r="W60" s="55" t="str">
        <f>VLOOKUP(A60,Exception!$A$2:$M$17,13,0)</f>
        <v>#N/A</v>
      </c>
      <c r="X60" s="23" t="str">
        <f>VLOOKUP(A60,Category!A:E,5,0)</f>
        <v>CCG</v>
      </c>
      <c r="Y60" s="56" t="str">
        <f>VLOOKUP(A60,VlookupSheet!$A$382:$A$523,1,0)</f>
        <v>82930874</v>
      </c>
      <c r="Z60" s="58"/>
      <c r="AA60" s="58"/>
      <c r="AB60" s="58"/>
      <c r="AC60" s="58"/>
      <c r="AD60" s="58"/>
      <c r="AE60" s="58"/>
    </row>
    <row r="61">
      <c r="A61" s="36" t="s">
        <v>805</v>
      </c>
      <c r="B61" s="40" t="str">
        <f>VLOOKUP(A61,Main!A:B,2,0)</f>
        <v>CC_MAYURJADHAV_POS</v>
      </c>
      <c r="C61" s="23" t="s">
        <v>93</v>
      </c>
      <c r="D61" s="147">
        <v>40000.0</v>
      </c>
      <c r="E61" s="44">
        <f>IFERROR(VLOOKUP(A61,'Realised and SV'!A:I,5,0),0)</f>
        <v>0</v>
      </c>
      <c r="F61" s="44">
        <f>IFERROR(VLOOKUP(A61,'Realised and SV'!A:I,6,0),0)</f>
        <v>3088.8</v>
      </c>
      <c r="G61" s="48">
        <f t="shared" si="15"/>
        <v>1200000</v>
      </c>
      <c r="H61" s="41">
        <f t="shared" si="16"/>
        <v>1200000</v>
      </c>
      <c r="I61" s="51">
        <f t="shared" si="2"/>
        <v>30</v>
      </c>
      <c r="J61" s="58" t="str">
        <f>VLOOKUP(A61,Main!A:L,9,0)</f>
        <v>VS6</v>
      </c>
      <c r="K61" s="36" t="str">
        <f>VLOOKUP(A61,Main!A:L,10,0)</f>
        <v>1</v>
      </c>
      <c r="L61" s="23" t="b">
        <f>VLOOKUP(A61,Main!A:K,7,0)=H61</f>
        <v>1</v>
      </c>
      <c r="M61" s="23" t="b">
        <f>VLOOKUP(A61,Main!A:K,8,0)=D61</f>
        <v>1</v>
      </c>
      <c r="N61" s="23" t="s">
        <v>118</v>
      </c>
      <c r="O61" s="23" t="str">
        <f>VLOOKUP(A61,Main!$A$1:$M$2844,13,0)</f>
        <v>1DTE/0DTE</v>
      </c>
      <c r="P61" s="23" t="b">
        <f>_xlfn.isformula(VLOOKUP(A61,Main!$A$1:$J$949,7,0))</f>
        <v>1</v>
      </c>
      <c r="Q61" s="41">
        <f t="shared" si="3"/>
        <v>0</v>
      </c>
      <c r="R61" s="58"/>
      <c r="S61" s="58"/>
      <c r="T61" s="58"/>
      <c r="U61" s="23">
        <v>0.0</v>
      </c>
      <c r="V61" s="55" t="str">
        <f>VLOOKUP(A61,Exception!$A$2:$L$19,12,0)</f>
        <v>#N/A</v>
      </c>
      <c r="W61" s="55" t="str">
        <f>VLOOKUP(A61,Exception!$A$2:$M$17,13,0)</f>
        <v>#N/A</v>
      </c>
      <c r="X61" s="23" t="str">
        <f>VLOOKUP(A61,Category!A:E,5,0)</f>
        <v>CCG</v>
      </c>
      <c r="Y61" s="56" t="str">
        <f>VLOOKUP(A61,VlookupSheet!$A$382:$A$523,1,0)</f>
        <v>56718024</v>
      </c>
      <c r="Z61" s="58"/>
      <c r="AA61" s="58"/>
      <c r="AB61" s="58"/>
      <c r="AC61" s="58"/>
      <c r="AD61" s="58"/>
      <c r="AE61" s="58"/>
    </row>
    <row r="62">
      <c r="A62" s="36" t="s">
        <v>818</v>
      </c>
      <c r="B62" s="40" t="str">
        <f>VLOOKUP(A62,Main!A:B,2,0)</f>
        <v>CCG_HARSHA_POS</v>
      </c>
      <c r="C62" s="23" t="s">
        <v>93</v>
      </c>
      <c r="D62" s="147">
        <v>20000.0</v>
      </c>
      <c r="E62" s="44">
        <f>IFERROR(VLOOKUP(A62,'Realised and SV'!A:I,5,0),0)</f>
        <v>0</v>
      </c>
      <c r="F62" s="44">
        <f>IFERROR(VLOOKUP(A62,'Realised and SV'!A:I,6,0),0)</f>
        <v>3114.8</v>
      </c>
      <c r="G62" s="48">
        <f t="shared" si="15"/>
        <v>600000</v>
      </c>
      <c r="H62" s="41">
        <f t="shared" si="16"/>
        <v>600000</v>
      </c>
      <c r="I62" s="51">
        <f t="shared" si="2"/>
        <v>30</v>
      </c>
      <c r="J62" s="58" t="str">
        <f>VLOOKUP(A62,Main!A:L,9,0)</f>
        <v>VS6</v>
      </c>
      <c r="K62" s="36" t="str">
        <f>VLOOKUP(A62,Main!A:L,10,0)</f>
        <v>1</v>
      </c>
      <c r="L62" s="23" t="b">
        <f>VLOOKUP(A62,Main!A:K,7,0)=H62</f>
        <v>1</v>
      </c>
      <c r="M62" s="23" t="b">
        <f>VLOOKUP(A62,Main!A:K,8,0)=D62</f>
        <v>1</v>
      </c>
      <c r="N62" s="23" t="s">
        <v>118</v>
      </c>
      <c r="O62" s="23" t="str">
        <f>VLOOKUP(A62,Main!$A$1:$M$2844,13,0)</f>
        <v>1DTE/0DTE</v>
      </c>
      <c r="P62" s="23" t="b">
        <f>_xlfn.isformula(VLOOKUP(A62,Main!$A$1:$J$949,7,0))</f>
        <v>1</v>
      </c>
      <c r="Q62" s="41">
        <f t="shared" si="3"/>
        <v>0</v>
      </c>
      <c r="R62" s="58"/>
      <c r="S62" s="58"/>
      <c r="T62" s="58"/>
      <c r="U62" s="23">
        <v>0.0</v>
      </c>
      <c r="V62" s="55" t="str">
        <f>VLOOKUP(A62,Exception!$A$2:$L$19,12,0)</f>
        <v>#N/A</v>
      </c>
      <c r="W62" s="55" t="str">
        <f>VLOOKUP(A62,Exception!$A$2:$M$17,13,0)</f>
        <v>#N/A</v>
      </c>
      <c r="X62" s="23" t="str">
        <f>VLOOKUP(A62,Category!A:E,5,0)</f>
        <v>CCG</v>
      </c>
      <c r="Y62" s="56" t="str">
        <f>VLOOKUP(A62,VlookupSheet!$A$382:$A$523,1,0)</f>
        <v>17055796</v>
      </c>
      <c r="Z62" s="58"/>
      <c r="AA62" s="58"/>
      <c r="AB62" s="58"/>
      <c r="AC62" s="58"/>
      <c r="AD62" s="58"/>
      <c r="AE62" s="58"/>
    </row>
    <row r="63">
      <c r="A63" s="36" t="s">
        <v>815</v>
      </c>
      <c r="B63" s="40" t="str">
        <f>VLOOKUP(A63,Main!A:B,2,0)</f>
        <v>CC_VIDHIM_POS</v>
      </c>
      <c r="C63" s="23" t="s">
        <v>93</v>
      </c>
      <c r="D63" s="147">
        <v>40000.0</v>
      </c>
      <c r="E63" s="44">
        <f>IFERROR(VLOOKUP(A63,'Realised and SV'!A:I,5,0),0)</f>
        <v>0</v>
      </c>
      <c r="F63" s="44">
        <f>IFERROR(VLOOKUP(A63,'Realised and SV'!A:I,6,0),0)</f>
        <v>3107</v>
      </c>
      <c r="G63" s="48">
        <f t="shared" si="15"/>
        <v>1200000</v>
      </c>
      <c r="H63" s="41">
        <f t="shared" si="16"/>
        <v>1200000</v>
      </c>
      <c r="I63" s="51">
        <f t="shared" si="2"/>
        <v>30</v>
      </c>
      <c r="J63" s="58" t="str">
        <f>VLOOKUP(A63,Main!A:L,9,0)</f>
        <v>VS6</v>
      </c>
      <c r="K63" s="36" t="str">
        <f>VLOOKUP(A63,Main!A:L,10,0)</f>
        <v>1</v>
      </c>
      <c r="L63" s="23" t="b">
        <f>VLOOKUP(A63,Main!A:K,7,0)=H63</f>
        <v>1</v>
      </c>
      <c r="M63" s="23" t="b">
        <f>VLOOKUP(A63,Main!A:K,8,0)=D63</f>
        <v>1</v>
      </c>
      <c r="N63" s="23" t="s">
        <v>118</v>
      </c>
      <c r="O63" s="23" t="str">
        <f>VLOOKUP(A63,Main!$A$1:$M$2844,13,0)</f>
        <v>1DTE/0DTE</v>
      </c>
      <c r="P63" s="23" t="b">
        <f>_xlfn.isformula(VLOOKUP(A63,Main!$A$1:$J$949,7,0))</f>
        <v>1</v>
      </c>
      <c r="Q63" s="41">
        <f t="shared" si="3"/>
        <v>0</v>
      </c>
      <c r="R63" s="58"/>
      <c r="S63" s="58"/>
      <c r="T63" s="58"/>
      <c r="U63" s="23">
        <v>0.0</v>
      </c>
      <c r="V63" s="55" t="str">
        <f>VLOOKUP(A63,Exception!$A$2:$L$19,12,0)</f>
        <v>#N/A</v>
      </c>
      <c r="W63" s="55" t="str">
        <f>VLOOKUP(A63,Exception!$A$2:$M$17,13,0)</f>
        <v>#N/A</v>
      </c>
      <c r="X63" s="23" t="str">
        <f>VLOOKUP(A63,Category!A:E,5,0)</f>
        <v>CCG</v>
      </c>
      <c r="Y63" s="56" t="str">
        <f>VLOOKUP(A63,VlookupSheet!$A$382:$A$523,1,0)</f>
        <v>27344149</v>
      </c>
      <c r="Z63" s="58"/>
      <c r="AA63" s="58"/>
      <c r="AB63" s="58"/>
      <c r="AC63" s="58"/>
      <c r="AD63" s="58"/>
      <c r="AE63" s="58"/>
    </row>
    <row r="64">
      <c r="A64" s="150" t="s">
        <v>467</v>
      </c>
      <c r="B64" s="40" t="str">
        <f>VLOOKUP(A64,Main!A:B,2,0)</f>
        <v>CC_JAYACHAN_POS</v>
      </c>
      <c r="C64" s="156" t="s">
        <v>93</v>
      </c>
      <c r="D64" s="147">
        <v>60000.0</v>
      </c>
      <c r="E64" s="44">
        <f>IFERROR(VLOOKUP(A64,'Realised and SV'!A:I,5,0),0)</f>
        <v>0</v>
      </c>
      <c r="F64" s="44">
        <f>IFERROR(VLOOKUP(A64,'Realised and SV'!A:I,6,0),0)</f>
        <v>3121.95</v>
      </c>
      <c r="G64" s="48">
        <f t="shared" si="15"/>
        <v>1800000</v>
      </c>
      <c r="H64" s="41">
        <f t="shared" si="16"/>
        <v>1800000</v>
      </c>
      <c r="I64" s="51">
        <f t="shared" si="2"/>
        <v>30</v>
      </c>
      <c r="J64" s="58" t="str">
        <f>VLOOKUP(A64,Main!A:L,9,0)</f>
        <v>VS6</v>
      </c>
      <c r="K64" s="36" t="str">
        <f>VLOOKUP(A64,Main!A:L,10,0)</f>
        <v>1</v>
      </c>
      <c r="L64" s="23" t="b">
        <f>VLOOKUP(A64,Main!A:K,7,0)=H64</f>
        <v>1</v>
      </c>
      <c r="M64" s="23" t="b">
        <f>VLOOKUP(A64,Main!A:K,8,0)=D64</f>
        <v>1</v>
      </c>
      <c r="N64" s="23" t="s">
        <v>118</v>
      </c>
      <c r="O64" s="23" t="str">
        <f>VLOOKUP(A64,Main!$A$1:$M$2844,13,0)</f>
        <v>1DTE/0DTE</v>
      </c>
      <c r="P64" s="23" t="b">
        <f>_xlfn.isformula(VLOOKUP(A64,Main!$A$1:$J$949,7,0))</f>
        <v>1</v>
      </c>
      <c r="Q64" s="41">
        <f t="shared" si="3"/>
        <v>0</v>
      </c>
      <c r="R64" s="58"/>
      <c r="S64" s="58"/>
      <c r="T64" s="58"/>
      <c r="U64" s="23">
        <v>0.0</v>
      </c>
      <c r="V64" s="55" t="str">
        <f>VLOOKUP(A64,Exception!$A$2:$L$19,12,0)</f>
        <v>#N/A</v>
      </c>
      <c r="W64" s="55" t="str">
        <f>VLOOKUP(A64,Exception!$A$2:$M$17,13,0)</f>
        <v>#N/A</v>
      </c>
      <c r="X64" s="23" t="str">
        <f>VLOOKUP(A64,Category!A:E,5,0)</f>
        <v>CCG</v>
      </c>
      <c r="Y64" s="56" t="str">
        <f>VLOOKUP(A64,VlookupSheet!$A$382:$A$523,1,0)</f>
        <v>87316853</v>
      </c>
      <c r="Z64" s="58"/>
      <c r="AA64" s="58"/>
      <c r="AB64" s="58"/>
      <c r="AC64" s="58"/>
      <c r="AD64" s="58"/>
      <c r="AE64" s="58"/>
    </row>
    <row r="65">
      <c r="A65" s="158" t="s">
        <v>207</v>
      </c>
      <c r="B65" s="40" t="str">
        <f>VLOOKUP(A65,Main!A:B,2,0)</f>
        <v>MSV_VIVEK THEBARIA_POS</v>
      </c>
      <c r="C65" s="55" t="s">
        <v>94</v>
      </c>
      <c r="D65" s="153">
        <v>100000.0</v>
      </c>
      <c r="E65" s="163">
        <f>IFERROR(VLOOKUP(A65,'Realised and SV'!A:I,5,0),0)</f>
        <v>0</v>
      </c>
      <c r="F65" s="163">
        <f>IFERROR(VLOOKUP(A65,'Realised and SV'!A:I,6,0),0)</f>
        <v>44395</v>
      </c>
      <c r="G65" s="48">
        <f t="shared" si="15"/>
        <v>3000000</v>
      </c>
      <c r="H65" s="64">
        <f t="shared" ref="H65:H66" si="17">V65</f>
        <v>3000000</v>
      </c>
      <c r="I65" s="67">
        <f t="shared" si="2"/>
        <v>30</v>
      </c>
      <c r="J65" s="164" t="str">
        <f>VLOOKUP(A65,Main!A:L,9,0)</f>
        <v>VS2</v>
      </c>
      <c r="K65" s="56" t="str">
        <f>VLOOKUP(A65,Main!A:L,10,0)</f>
        <v>15</v>
      </c>
      <c r="L65" s="55" t="b">
        <f>VLOOKUP(A65,Main!A:K,7,0)=H65</f>
        <v>1</v>
      </c>
      <c r="M65" s="55" t="b">
        <f>VLOOKUP(A65,Main!A:K,8,0)=D65</f>
        <v>1</v>
      </c>
      <c r="N65" s="23" t="s">
        <v>118</v>
      </c>
      <c r="O65" s="55" t="str">
        <f>VLOOKUP(A65,Main!$A$1:$M$2844,13,0)</f>
        <v>DAILY</v>
      </c>
      <c r="P65" s="55" t="b">
        <f>_xlfn.isformula(VLOOKUP(A65,Main!$A$1:$J$1049,7,0))</f>
        <v>0</v>
      </c>
      <c r="Q65" s="64">
        <f t="shared" si="3"/>
        <v>-44395</v>
      </c>
      <c r="R65" s="68"/>
      <c r="S65" s="68"/>
      <c r="T65" s="68"/>
      <c r="U65" s="23">
        <v>0.0</v>
      </c>
      <c r="V65" s="64">
        <f>VLOOKUP(A65,Exception!$A$2:$L$19,12,0)</f>
        <v>3000000</v>
      </c>
      <c r="W65" s="64">
        <f>VLOOKUP(A65,Exception!$A$2:$M$17,13,0)</f>
        <v>3000000</v>
      </c>
      <c r="X65" s="23" t="str">
        <f>VLOOKUP(A65,Category!A:E,5,0)</f>
        <v>PVT</v>
      </c>
      <c r="Y65" s="56" t="str">
        <f>VLOOKUP(A65,VlookupSheet!$A$382:$A$523,1,0)</f>
        <v>7RIK2028</v>
      </c>
      <c r="Z65" s="58"/>
      <c r="AA65" s="58"/>
      <c r="AB65" s="58"/>
      <c r="AC65" s="58"/>
      <c r="AD65" s="58"/>
      <c r="AE65" s="58"/>
    </row>
    <row r="66">
      <c r="A66" s="146" t="s">
        <v>216</v>
      </c>
      <c r="B66" s="40" t="str">
        <f>VLOOKUP(A66,Main!A:B,2,0)</f>
        <v>CCV_VIVEK_THEBARIA_FIX_1CR_POS</v>
      </c>
      <c r="C66" s="23" t="s">
        <v>93</v>
      </c>
      <c r="D66" s="147">
        <v>100000.0</v>
      </c>
      <c r="E66" s="44">
        <f>IFERROR(VLOOKUP(A66,'Realised and SV'!A:I,5,0),0)</f>
        <v>0</v>
      </c>
      <c r="F66" s="44">
        <f>IFERROR(VLOOKUP(A66,'Realised and SV'!A:I,6,0),0)</f>
        <v>37779.95</v>
      </c>
      <c r="G66" s="48">
        <f t="shared" si="15"/>
        <v>3000000</v>
      </c>
      <c r="H66" s="64">
        <f t="shared" si="17"/>
        <v>3000000</v>
      </c>
      <c r="I66" s="51">
        <f t="shared" si="2"/>
        <v>30</v>
      </c>
      <c r="J66" s="58" t="str">
        <f>VLOOKUP(A66,Main!A:L,9,0)</f>
        <v>VS6</v>
      </c>
      <c r="K66" s="36" t="str">
        <f>VLOOKUP(A66,Main!A:L,10,0)</f>
        <v>1</v>
      </c>
      <c r="L66" s="23" t="b">
        <f>VLOOKUP(A66,Main!A:K,7,0)=H66</f>
        <v>1</v>
      </c>
      <c r="M66" s="23" t="b">
        <f>VLOOKUP(A66,Main!A:K,8,0)=D66</f>
        <v>1</v>
      </c>
      <c r="N66" s="23" t="s">
        <v>118</v>
      </c>
      <c r="O66" s="23" t="str">
        <f>VLOOKUP(A66,Main!$A$1:$M$2844,13,0)</f>
        <v>DAILY</v>
      </c>
      <c r="P66" s="23" t="b">
        <f>_xlfn.isformula(VLOOKUP(A66,Main!$A$1:$J$1049,7,0))</f>
        <v>0</v>
      </c>
      <c r="Q66" s="41">
        <f t="shared" si="3"/>
        <v>0</v>
      </c>
      <c r="R66" s="58"/>
      <c r="S66" s="58"/>
      <c r="T66" s="58"/>
      <c r="U66" s="23">
        <v>0.0</v>
      </c>
      <c r="V66" s="64">
        <f>VLOOKUP(A66,Exception!$A$2:$L$19,12,0)</f>
        <v>3000000</v>
      </c>
      <c r="W66" s="64">
        <f>VLOOKUP(A66,Exception!$A$2:$M$17,13,0)</f>
        <v>3000000</v>
      </c>
      <c r="X66" s="23" t="str">
        <f>VLOOKUP(A66,Category!A:E,5,0)</f>
        <v>PVT</v>
      </c>
      <c r="Y66" s="56" t="str">
        <f>VLOOKUP(A66,VlookupSheet!$A$382:$A$523,1,0)</f>
        <v>92176368</v>
      </c>
      <c r="Z66" s="58"/>
      <c r="AA66" s="58"/>
      <c r="AB66" s="58"/>
      <c r="AC66" s="58"/>
      <c r="AD66" s="58"/>
      <c r="AE66" s="58"/>
    </row>
    <row r="67">
      <c r="A67" s="83" t="s">
        <v>797</v>
      </c>
      <c r="B67" s="40" t="str">
        <f>VLOOKUP(A67,Main!A:B,2,0)</f>
        <v>CCV_VAIBHAVT_POS</v>
      </c>
      <c r="C67" s="23" t="s">
        <v>93</v>
      </c>
      <c r="D67" s="165">
        <v>100000.0</v>
      </c>
      <c r="E67" s="44">
        <f>IFERROR(VLOOKUP(A67,'Realised and SV'!A:I,5,0),0)</f>
        <v>0</v>
      </c>
      <c r="F67" s="44">
        <f>IFERROR(VLOOKUP(A67,'Realised and SV'!A:I,6,0),0)</f>
        <v>3114.15</v>
      </c>
      <c r="G67" s="48">
        <f t="shared" si="15"/>
        <v>3000000</v>
      </c>
      <c r="H67" s="41">
        <f t="shared" ref="H67:H69" si="18">int(IF(C67="Noren",G67+F67,G67))</f>
        <v>3000000</v>
      </c>
      <c r="I67" s="51">
        <f t="shared" si="2"/>
        <v>30</v>
      </c>
      <c r="J67" s="58" t="str">
        <f>VLOOKUP(A67,Main!A:L,9,0)</f>
        <v>VS6</v>
      </c>
      <c r="K67" s="36" t="str">
        <f>VLOOKUP(A67,Main!A:L,10,0)</f>
        <v>1</v>
      </c>
      <c r="L67" s="23" t="b">
        <f>VLOOKUP(A67,Main!A:K,7,0)=H67</f>
        <v>1</v>
      </c>
      <c r="M67" s="23" t="b">
        <f>VLOOKUP(A67,Main!A:K,8,0)=D67</f>
        <v>1</v>
      </c>
      <c r="N67" s="23" t="s">
        <v>118</v>
      </c>
      <c r="O67" s="23" t="str">
        <f>VLOOKUP(A67,Main!$A$1:$M$2844,13,0)</f>
        <v>1DTE/0DTE</v>
      </c>
      <c r="P67" s="23" t="b">
        <f>_xlfn.isformula(VLOOKUP(A67,Main!$A$1:$J$1049,7,0))</f>
        <v>0</v>
      </c>
      <c r="Q67" s="41">
        <f t="shared" si="3"/>
        <v>0</v>
      </c>
      <c r="R67" s="58"/>
      <c r="S67" s="58"/>
      <c r="T67" s="58"/>
      <c r="U67" s="23">
        <v>0.0</v>
      </c>
      <c r="V67" s="55" t="str">
        <f>VLOOKUP(A67,Exception!$A$2:$L$19,12,0)</f>
        <v>#N/A</v>
      </c>
      <c r="W67" s="55" t="str">
        <f>VLOOKUP(A67,Exception!$A$2:$M$17,13,0)</f>
        <v>#N/A</v>
      </c>
      <c r="X67" s="23" t="str">
        <f>VLOOKUP(A67,Category!A:E,5,0)</f>
        <v>PVT</v>
      </c>
      <c r="Y67" s="56" t="str">
        <f>VLOOKUP(A67,VlookupSheet!$A$382:$A$523,1,0)</f>
        <v>55910733</v>
      </c>
      <c r="Z67" s="58"/>
      <c r="AA67" s="58"/>
      <c r="AB67" s="58"/>
      <c r="AC67" s="58"/>
      <c r="AD67" s="58"/>
      <c r="AE67" s="58"/>
    </row>
    <row r="68">
      <c r="A68" s="166" t="s">
        <v>224</v>
      </c>
      <c r="B68" s="24" t="s">
        <v>847</v>
      </c>
      <c r="C68" s="23" t="s">
        <v>93</v>
      </c>
      <c r="D68" s="147">
        <v>400000.0</v>
      </c>
      <c r="E68" s="44">
        <f>IFERROR(VLOOKUP(A68,'Realised and SV'!A:I,5,0),0)</f>
        <v>0</v>
      </c>
      <c r="F68" s="44">
        <f>IFERROR(VLOOKUP(A68,'Realised and SV'!A:I,6,0),0)</f>
        <v>6178.25</v>
      </c>
      <c r="G68" s="66">
        <f t="shared" ref="G68:G69" si="19">V68</f>
        <v>526178.25</v>
      </c>
      <c r="H68" s="41">
        <f t="shared" si="18"/>
        <v>526178</v>
      </c>
      <c r="I68" s="51">
        <f t="shared" si="2"/>
        <v>1.315445</v>
      </c>
      <c r="J68" s="58" t="str">
        <f>VLOOKUP(A68,Main!A:L,9,0)</f>
        <v>VS8</v>
      </c>
      <c r="K68" s="36" t="str">
        <f>VLOOKUP(A68,Main!A:L,10,0)</f>
        <v>1</v>
      </c>
      <c r="L68" s="23" t="b">
        <f>VLOOKUP(A68,Main!A:K,7,0)=H68</f>
        <v>1</v>
      </c>
      <c r="M68" s="23" t="b">
        <f>VLOOKUP(A68,Main!A:K,8,0)=D68</f>
        <v>1</v>
      </c>
      <c r="N68" s="23" t="s">
        <v>118</v>
      </c>
      <c r="O68" s="23" t="str">
        <f>VLOOKUP(A68,Main!$A$1:$M$2844,13,0)</f>
        <v>1DTE/0DTE</v>
      </c>
      <c r="P68" s="23" t="b">
        <f>_xlfn.isformula(VLOOKUP(A68,Main!$A$1:$J$1049,7,0))</f>
        <v>1</v>
      </c>
      <c r="Q68" s="41">
        <f t="shared" si="3"/>
        <v>-0.25</v>
      </c>
      <c r="R68" s="58"/>
      <c r="S68" s="58"/>
      <c r="T68" s="58"/>
      <c r="U68" s="23">
        <v>0.0</v>
      </c>
      <c r="V68" s="64">
        <f>VLOOKUP(A68,Exception!$A$2:$L$19,12,0)</f>
        <v>526178.25</v>
      </c>
      <c r="W68" s="55" t="str">
        <f>VLOOKUP(A68,Exception!$A$2:$M$17,13,0)</f>
        <v>#N/A</v>
      </c>
      <c r="X68" s="23" t="str">
        <f>VLOOKUP(A68,Category!A:E,5,0)</f>
        <v>MSJ</v>
      </c>
      <c r="Y68" s="56" t="str">
        <f>VLOOKUP(A68,VlookupSheet!$A$382:$A$523,1,0)</f>
        <v>AM005</v>
      </c>
      <c r="Z68" s="58"/>
      <c r="AA68" s="58"/>
      <c r="AB68" s="58"/>
      <c r="AC68" s="58"/>
      <c r="AD68" s="58"/>
      <c r="AE68" s="58"/>
    </row>
    <row r="69">
      <c r="A69" s="167" t="s">
        <v>234</v>
      </c>
      <c r="B69" s="24" t="s">
        <v>985</v>
      </c>
      <c r="C69" s="23" t="s">
        <v>93</v>
      </c>
      <c r="D69" s="147">
        <v>400000.0</v>
      </c>
      <c r="E69" s="44">
        <f>IFERROR(VLOOKUP(A69,'Realised and SV'!A:I,5,0),0)</f>
        <v>5.2</v>
      </c>
      <c r="F69" s="44">
        <f>IFERROR(VLOOKUP(A69,'Realised and SV'!A:I,6,0),0)</f>
        <v>-1015.3</v>
      </c>
      <c r="G69" s="66">
        <f t="shared" si="19"/>
        <v>438989.9</v>
      </c>
      <c r="H69" s="41">
        <f t="shared" si="18"/>
        <v>438989</v>
      </c>
      <c r="I69" s="51">
        <f t="shared" si="2"/>
        <v>1.0974725</v>
      </c>
      <c r="J69" s="58" t="str">
        <f>VLOOKUP(A69,Main!A:L,9,0)</f>
        <v>VS4</v>
      </c>
      <c r="K69" s="36" t="str">
        <f>VLOOKUP(A69,Main!A:L,10,0)</f>
        <v>7</v>
      </c>
      <c r="L69" s="23" t="b">
        <f>VLOOKUP(A69,Main!A:K,7,0)=H69</f>
        <v>1</v>
      </c>
      <c r="M69" s="23" t="b">
        <f>VLOOKUP(A69,Main!A:K,8,0)=D69</f>
        <v>1</v>
      </c>
      <c r="N69" s="23" t="s">
        <v>118</v>
      </c>
      <c r="O69" s="23" t="str">
        <f>VLOOKUP(A69,Main!$A$1:$M$2844,13,0)</f>
        <v>1DTE/0DTE</v>
      </c>
      <c r="P69" s="23" t="b">
        <f>_xlfn.isformula(VLOOKUP(A69,Main!$A$1:$J$1049,7,0))</f>
        <v>1</v>
      </c>
      <c r="Q69" s="41">
        <f t="shared" si="3"/>
        <v>-0.9</v>
      </c>
      <c r="R69" s="58"/>
      <c r="S69" s="58"/>
      <c r="T69" s="58"/>
      <c r="U69" s="23">
        <v>0.0</v>
      </c>
      <c r="V69" s="64">
        <f>VLOOKUP(A69,Exception!$A$2:$L$19,12,0)</f>
        <v>438989.9</v>
      </c>
      <c r="W69" s="55" t="str">
        <f>VLOOKUP(A69,Exception!$A$2:$M$17,13,0)</f>
        <v>#N/A</v>
      </c>
      <c r="X69" s="23" t="str">
        <f>VLOOKUP(A69,Category!A:E,5,0)</f>
        <v>MSJ</v>
      </c>
      <c r="Y69" s="56" t="str">
        <f>VLOOKUP(A69,VlookupSheet!$A$382:$A$523,1,0)</f>
        <v>AM008</v>
      </c>
      <c r="Z69" s="58"/>
      <c r="AA69" s="58"/>
      <c r="AB69" s="58"/>
      <c r="AC69" s="58"/>
      <c r="AD69" s="58"/>
      <c r="AE69" s="58"/>
    </row>
    <row r="70">
      <c r="A70" s="40"/>
      <c r="B70" s="156"/>
      <c r="C70" s="156"/>
      <c r="D70" s="147"/>
      <c r="E70" s="168"/>
      <c r="F70" s="168"/>
      <c r="G70" s="156"/>
      <c r="H70" s="156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</row>
    <row r="71">
      <c r="A71" s="40"/>
      <c r="B71" s="156"/>
      <c r="C71" s="156"/>
      <c r="D71" s="147"/>
      <c r="E71" s="168"/>
      <c r="F71" s="168"/>
      <c r="G71" s="156"/>
      <c r="H71" s="156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</row>
    <row r="72">
      <c r="A72" s="58"/>
      <c r="B72" s="58"/>
      <c r="C72" s="58"/>
      <c r="D72" s="53"/>
      <c r="E72" s="169"/>
      <c r="F72" s="169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</row>
    <row r="73">
      <c r="A73" s="58"/>
      <c r="B73" s="58"/>
      <c r="C73" s="58"/>
      <c r="D73" s="53"/>
      <c r="E73" s="169"/>
      <c r="F73" s="169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</row>
    <row r="74">
      <c r="A74" s="58"/>
      <c r="B74" s="58"/>
      <c r="C74" s="58"/>
      <c r="D74" s="53"/>
      <c r="E74" s="169"/>
      <c r="F74" s="169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</row>
    <row r="75">
      <c r="A75" s="58"/>
      <c r="B75" s="58"/>
      <c r="C75" s="58"/>
      <c r="D75" s="53"/>
      <c r="E75" s="169"/>
      <c r="F75" s="169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</row>
    <row r="76">
      <c r="A76" s="58"/>
      <c r="B76" s="58"/>
      <c r="C76" s="58"/>
      <c r="D76" s="53"/>
      <c r="E76" s="169"/>
      <c r="F76" s="169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8"/>
    </row>
    <row r="77">
      <c r="A77" s="58"/>
      <c r="B77" s="58"/>
      <c r="C77" s="58"/>
      <c r="D77" s="53"/>
      <c r="E77" s="169"/>
      <c r="F77" s="169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</row>
    <row r="78">
      <c r="A78" s="58"/>
      <c r="B78" s="58"/>
      <c r="C78" s="58"/>
      <c r="D78" s="53"/>
      <c r="E78" s="169"/>
      <c r="F78" s="169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  <c r="AD78" s="58"/>
      <c r="AE78" s="58"/>
    </row>
    <row r="79">
      <c r="A79" s="58"/>
      <c r="B79" s="58"/>
      <c r="C79" s="58"/>
      <c r="D79" s="53"/>
      <c r="E79" s="169"/>
      <c r="F79" s="169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</row>
    <row r="80">
      <c r="A80" s="58"/>
      <c r="B80" s="58"/>
      <c r="C80" s="58"/>
      <c r="D80" s="53"/>
      <c r="E80" s="169"/>
      <c r="F80" s="169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</row>
    <row r="81">
      <c r="A81" s="58"/>
      <c r="B81" s="58"/>
      <c r="C81" s="58"/>
      <c r="D81" s="53"/>
      <c r="E81" s="169"/>
      <c r="F81" s="169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</row>
    <row r="82">
      <c r="A82" s="58"/>
      <c r="B82" s="58"/>
      <c r="C82" s="58"/>
      <c r="D82" s="53"/>
      <c r="E82" s="169"/>
      <c r="F82" s="169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</row>
    <row r="83">
      <c r="A83" s="58"/>
      <c r="B83" s="58"/>
      <c r="C83" s="58"/>
      <c r="D83" s="53"/>
      <c r="E83" s="169"/>
      <c r="F83" s="169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</row>
    <row r="84">
      <c r="A84" s="58"/>
      <c r="B84" s="58"/>
      <c r="C84" s="58"/>
      <c r="D84" s="53"/>
      <c r="E84" s="169"/>
      <c r="F84" s="169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</row>
    <row r="85">
      <c r="A85" s="58"/>
      <c r="B85" s="58"/>
      <c r="C85" s="58"/>
      <c r="D85" s="53"/>
      <c r="E85" s="169"/>
      <c r="F85" s="169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</row>
    <row r="86">
      <c r="A86" s="58"/>
      <c r="B86" s="58"/>
      <c r="C86" s="58"/>
      <c r="D86" s="53"/>
      <c r="E86" s="169"/>
      <c r="F86" s="169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</row>
    <row r="87">
      <c r="A87" s="58"/>
      <c r="B87" s="58"/>
      <c r="C87" s="58"/>
      <c r="D87" s="53"/>
      <c r="E87" s="169"/>
      <c r="F87" s="169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</row>
    <row r="88">
      <c r="A88" s="58"/>
      <c r="B88" s="58"/>
      <c r="C88" s="58"/>
      <c r="D88" s="53"/>
      <c r="E88" s="169"/>
      <c r="F88" s="169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</row>
    <row r="89">
      <c r="A89" s="58"/>
      <c r="B89" s="58"/>
      <c r="C89" s="58"/>
      <c r="D89" s="53"/>
      <c r="E89" s="169"/>
      <c r="F89" s="169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</row>
    <row r="90">
      <c r="A90" s="58"/>
      <c r="B90" s="58"/>
      <c r="C90" s="58"/>
      <c r="D90" s="53"/>
      <c r="E90" s="169"/>
      <c r="F90" s="169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</row>
    <row r="91">
      <c r="A91" s="58"/>
      <c r="B91" s="58"/>
      <c r="C91" s="58"/>
      <c r="D91" s="53"/>
      <c r="E91" s="169"/>
      <c r="F91" s="169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</row>
    <row r="92">
      <c r="A92" s="58"/>
      <c r="B92" s="58"/>
      <c r="C92" s="58"/>
      <c r="D92" s="53"/>
      <c r="E92" s="169"/>
      <c r="F92" s="169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</row>
    <row r="93">
      <c r="A93" s="58"/>
      <c r="B93" s="58"/>
      <c r="C93" s="58"/>
      <c r="D93" s="53"/>
      <c r="E93" s="169"/>
      <c r="F93" s="169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</row>
    <row r="94">
      <c r="A94" s="58"/>
      <c r="B94" s="58"/>
      <c r="C94" s="58"/>
      <c r="D94" s="53"/>
      <c r="E94" s="169"/>
      <c r="F94" s="169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</row>
    <row r="95">
      <c r="A95" s="58"/>
      <c r="B95" s="58"/>
      <c r="C95" s="58"/>
      <c r="D95" s="53"/>
      <c r="E95" s="169"/>
      <c r="F95" s="169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</row>
    <row r="96">
      <c r="A96" s="58"/>
      <c r="B96" s="58"/>
      <c r="C96" s="58"/>
      <c r="D96" s="53"/>
      <c r="E96" s="169"/>
      <c r="F96" s="169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</row>
    <row r="97">
      <c r="A97" s="58"/>
      <c r="B97" s="58"/>
      <c r="C97" s="58"/>
      <c r="D97" s="53"/>
      <c r="E97" s="169"/>
      <c r="F97" s="169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</row>
    <row r="98">
      <c r="A98" s="58"/>
      <c r="B98" s="58"/>
      <c r="C98" s="58"/>
      <c r="D98" s="53"/>
      <c r="E98" s="169"/>
      <c r="F98" s="169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</row>
    <row r="99">
      <c r="A99" s="58"/>
      <c r="B99" s="58"/>
      <c r="C99" s="58"/>
      <c r="D99" s="53"/>
      <c r="E99" s="169"/>
      <c r="F99" s="169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</row>
    <row r="100">
      <c r="A100" s="58"/>
      <c r="B100" s="58"/>
      <c r="C100" s="58"/>
      <c r="D100" s="53"/>
      <c r="E100" s="169"/>
      <c r="F100" s="169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</row>
    <row r="101">
      <c r="A101" s="58"/>
      <c r="B101" s="58"/>
      <c r="C101" s="58"/>
      <c r="D101" s="53"/>
      <c r="E101" s="169"/>
      <c r="F101" s="169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</row>
    <row r="102">
      <c r="A102" s="58"/>
      <c r="B102" s="58"/>
      <c r="C102" s="58"/>
      <c r="D102" s="53"/>
      <c r="E102" s="169"/>
      <c r="F102" s="169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</row>
    <row r="103">
      <c r="A103" s="58"/>
      <c r="B103" s="58"/>
      <c r="C103" s="58"/>
      <c r="D103" s="53"/>
      <c r="E103" s="169"/>
      <c r="F103" s="169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</row>
    <row r="104">
      <c r="A104" s="58"/>
      <c r="B104" s="58"/>
      <c r="C104" s="58"/>
      <c r="D104" s="53"/>
      <c r="E104" s="169"/>
      <c r="F104" s="169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</row>
    <row r="105">
      <c r="A105" s="58"/>
      <c r="B105" s="58"/>
      <c r="C105" s="58"/>
      <c r="D105" s="53"/>
      <c r="E105" s="169"/>
      <c r="F105" s="169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</row>
    <row r="106">
      <c r="A106" s="58"/>
      <c r="B106" s="58"/>
      <c r="C106" s="58"/>
      <c r="D106" s="53"/>
      <c r="E106" s="169"/>
      <c r="F106" s="169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</row>
    <row r="107">
      <c r="A107" s="58"/>
      <c r="B107" s="58"/>
      <c r="C107" s="58"/>
      <c r="D107" s="53"/>
      <c r="E107" s="169"/>
      <c r="F107" s="169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  <c r="AE107" s="58"/>
    </row>
    <row r="108">
      <c r="A108" s="58"/>
      <c r="B108" s="58"/>
      <c r="C108" s="58"/>
      <c r="D108" s="53"/>
      <c r="E108" s="169"/>
      <c r="F108" s="169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  <c r="AD108" s="58"/>
      <c r="AE108" s="58"/>
    </row>
    <row r="109">
      <c r="A109" s="58"/>
      <c r="B109" s="58"/>
      <c r="C109" s="58"/>
      <c r="D109" s="53"/>
      <c r="E109" s="169"/>
      <c r="F109" s="169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  <c r="AD109" s="58"/>
      <c r="AE109" s="58"/>
    </row>
    <row r="110">
      <c r="A110" s="58"/>
      <c r="B110" s="58"/>
      <c r="C110" s="58"/>
      <c r="D110" s="53"/>
      <c r="E110" s="169"/>
      <c r="F110" s="169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  <c r="AD110" s="58"/>
      <c r="AE110" s="58"/>
    </row>
    <row r="111">
      <c r="A111" s="58"/>
      <c r="B111" s="58"/>
      <c r="C111" s="58"/>
      <c r="D111" s="53"/>
      <c r="E111" s="169"/>
      <c r="F111" s="169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  <c r="AD111" s="58"/>
      <c r="AE111" s="58"/>
    </row>
    <row r="112">
      <c r="A112" s="58"/>
      <c r="B112" s="58"/>
      <c r="C112" s="58"/>
      <c r="D112" s="53"/>
      <c r="E112" s="169"/>
      <c r="F112" s="169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  <c r="AD112" s="58"/>
      <c r="AE112" s="58"/>
    </row>
    <row r="113">
      <c r="A113" s="58"/>
      <c r="B113" s="58"/>
      <c r="C113" s="58"/>
      <c r="D113" s="53"/>
      <c r="E113" s="169"/>
      <c r="F113" s="169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</row>
    <row r="114">
      <c r="A114" s="58"/>
      <c r="B114" s="58"/>
      <c r="C114" s="58"/>
      <c r="D114" s="53"/>
      <c r="E114" s="169"/>
      <c r="F114" s="169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</row>
    <row r="115">
      <c r="A115" s="58"/>
      <c r="B115" s="58"/>
      <c r="C115" s="58"/>
      <c r="D115" s="53"/>
      <c r="E115" s="169"/>
      <c r="F115" s="169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</row>
    <row r="116">
      <c r="A116" s="58"/>
      <c r="B116" s="58"/>
      <c r="C116" s="58"/>
      <c r="D116" s="53"/>
      <c r="E116" s="169"/>
      <c r="F116" s="169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</row>
    <row r="117">
      <c r="A117" s="58"/>
      <c r="B117" s="58"/>
      <c r="C117" s="58"/>
      <c r="D117" s="53"/>
      <c r="E117" s="169"/>
      <c r="F117" s="169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</row>
    <row r="118">
      <c r="A118" s="58"/>
      <c r="B118" s="58"/>
      <c r="C118" s="58"/>
      <c r="D118" s="53"/>
      <c r="E118" s="169"/>
      <c r="F118" s="169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</row>
    <row r="119">
      <c r="A119" s="58"/>
      <c r="B119" s="58"/>
      <c r="C119" s="58"/>
      <c r="D119" s="53"/>
      <c r="E119" s="169"/>
      <c r="F119" s="169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</row>
    <row r="120">
      <c r="A120" s="58"/>
      <c r="B120" s="58"/>
      <c r="C120" s="58"/>
      <c r="D120" s="53"/>
      <c r="E120" s="169"/>
      <c r="F120" s="169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</row>
    <row r="121">
      <c r="A121" s="58"/>
      <c r="B121" s="58"/>
      <c r="C121" s="58"/>
      <c r="D121" s="53"/>
      <c r="E121" s="169"/>
      <c r="F121" s="169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</row>
    <row r="122">
      <c r="A122" s="58"/>
      <c r="B122" s="58"/>
      <c r="C122" s="58"/>
      <c r="D122" s="53"/>
      <c r="E122" s="169"/>
      <c r="F122" s="169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</row>
    <row r="123">
      <c r="A123" s="58"/>
      <c r="B123" s="58"/>
      <c r="C123" s="58"/>
      <c r="D123" s="53"/>
      <c r="E123" s="169"/>
      <c r="F123" s="169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</row>
    <row r="124">
      <c r="A124" s="58"/>
      <c r="B124" s="58"/>
      <c r="C124" s="58"/>
      <c r="D124" s="53"/>
      <c r="E124" s="169"/>
      <c r="F124" s="169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  <c r="AE124" s="58"/>
    </row>
    <row r="125">
      <c r="A125" s="58"/>
      <c r="B125" s="58"/>
      <c r="C125" s="58"/>
      <c r="D125" s="53"/>
      <c r="E125" s="169"/>
      <c r="F125" s="169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  <c r="AE125" s="58"/>
    </row>
    <row r="126">
      <c r="A126" s="58"/>
      <c r="B126" s="58"/>
      <c r="C126" s="58"/>
      <c r="D126" s="53"/>
      <c r="E126" s="169"/>
      <c r="F126" s="169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</row>
    <row r="127">
      <c r="A127" s="58"/>
      <c r="B127" s="58"/>
      <c r="C127" s="58"/>
      <c r="D127" s="53"/>
      <c r="E127" s="169"/>
      <c r="F127" s="169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  <c r="AE127" s="58"/>
    </row>
    <row r="128">
      <c r="A128" s="58"/>
      <c r="B128" s="58"/>
      <c r="C128" s="58"/>
      <c r="D128" s="53"/>
      <c r="E128" s="169"/>
      <c r="F128" s="169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  <c r="AD128" s="58"/>
      <c r="AE128" s="58"/>
    </row>
    <row r="129">
      <c r="A129" s="58"/>
      <c r="B129" s="58"/>
      <c r="C129" s="58"/>
      <c r="D129" s="53"/>
      <c r="E129" s="169"/>
      <c r="F129" s="169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</row>
    <row r="130">
      <c r="A130" s="58"/>
      <c r="B130" s="58"/>
      <c r="C130" s="58"/>
      <c r="D130" s="53"/>
      <c r="E130" s="169"/>
      <c r="F130" s="169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</row>
    <row r="131">
      <c r="A131" s="58"/>
      <c r="B131" s="58"/>
      <c r="C131" s="58"/>
      <c r="D131" s="53"/>
      <c r="E131" s="169"/>
      <c r="F131" s="169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  <c r="AD131" s="58"/>
      <c r="AE131" s="58"/>
    </row>
    <row r="132">
      <c r="A132" s="58"/>
      <c r="B132" s="58"/>
      <c r="C132" s="58"/>
      <c r="D132" s="53"/>
      <c r="E132" s="169"/>
      <c r="F132" s="169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  <c r="AD132" s="58"/>
      <c r="AE132" s="58"/>
    </row>
    <row r="133">
      <c r="A133" s="58"/>
      <c r="B133" s="58"/>
      <c r="C133" s="58"/>
      <c r="D133" s="53"/>
      <c r="E133" s="169"/>
      <c r="F133" s="169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  <c r="AD133" s="58"/>
      <c r="AE133" s="58"/>
    </row>
    <row r="134">
      <c r="A134" s="58"/>
      <c r="B134" s="58"/>
      <c r="C134" s="58"/>
      <c r="D134" s="53"/>
      <c r="E134" s="169"/>
      <c r="F134" s="169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</row>
    <row r="135">
      <c r="A135" s="58"/>
      <c r="B135" s="58"/>
      <c r="C135" s="58"/>
      <c r="D135" s="53"/>
      <c r="E135" s="169"/>
      <c r="F135" s="169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  <c r="AD135" s="58"/>
      <c r="AE135" s="58"/>
    </row>
    <row r="136">
      <c r="A136" s="58"/>
      <c r="B136" s="58"/>
      <c r="C136" s="58"/>
      <c r="D136" s="53"/>
      <c r="E136" s="169"/>
      <c r="F136" s="169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</row>
    <row r="137">
      <c r="A137" s="58"/>
      <c r="B137" s="58"/>
      <c r="C137" s="58"/>
      <c r="D137" s="53"/>
      <c r="E137" s="169"/>
      <c r="F137" s="169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  <c r="AD137" s="58"/>
      <c r="AE137" s="58"/>
    </row>
    <row r="138">
      <c r="A138" s="58"/>
      <c r="B138" s="58"/>
      <c r="C138" s="58"/>
      <c r="D138" s="53"/>
      <c r="E138" s="169"/>
      <c r="F138" s="169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</row>
    <row r="139">
      <c r="A139" s="58"/>
      <c r="B139" s="58"/>
      <c r="C139" s="58"/>
      <c r="D139" s="53"/>
      <c r="E139" s="169"/>
      <c r="F139" s="169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</row>
    <row r="140">
      <c r="A140" s="58"/>
      <c r="B140" s="58"/>
      <c r="C140" s="58"/>
      <c r="D140" s="53"/>
      <c r="E140" s="169"/>
      <c r="F140" s="169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</row>
    <row r="141">
      <c r="A141" s="58"/>
      <c r="B141" s="58"/>
      <c r="C141" s="58"/>
      <c r="D141" s="53"/>
      <c r="E141" s="169"/>
      <c r="F141" s="169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  <c r="AD141" s="58"/>
      <c r="AE141" s="58"/>
    </row>
    <row r="142">
      <c r="A142" s="58"/>
      <c r="B142" s="58"/>
      <c r="C142" s="58"/>
      <c r="D142" s="53"/>
      <c r="E142" s="169"/>
      <c r="F142" s="169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</row>
    <row r="143">
      <c r="A143" s="58"/>
      <c r="B143" s="58"/>
      <c r="C143" s="58"/>
      <c r="D143" s="53"/>
      <c r="E143" s="169"/>
      <c r="F143" s="169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</row>
    <row r="144">
      <c r="A144" s="58"/>
      <c r="B144" s="58"/>
      <c r="C144" s="58"/>
      <c r="D144" s="53"/>
      <c r="E144" s="169"/>
      <c r="F144" s="169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</row>
    <row r="145">
      <c r="A145" s="58"/>
      <c r="B145" s="58"/>
      <c r="C145" s="58"/>
      <c r="D145" s="53"/>
      <c r="E145" s="169"/>
      <c r="F145" s="169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</row>
    <row r="146">
      <c r="A146" s="58"/>
      <c r="B146" s="58"/>
      <c r="C146" s="58"/>
      <c r="D146" s="53"/>
      <c r="E146" s="169"/>
      <c r="F146" s="169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</row>
    <row r="147">
      <c r="A147" s="58"/>
      <c r="B147" s="58"/>
      <c r="C147" s="58"/>
      <c r="D147" s="53"/>
      <c r="E147" s="169"/>
      <c r="F147" s="169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</row>
    <row r="148">
      <c r="A148" s="58"/>
      <c r="B148" s="58"/>
      <c r="C148" s="58"/>
      <c r="D148" s="53"/>
      <c r="E148" s="169"/>
      <c r="F148" s="169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</row>
    <row r="149">
      <c r="A149" s="58"/>
      <c r="B149" s="58"/>
      <c r="C149" s="58"/>
      <c r="D149" s="53"/>
      <c r="E149" s="169"/>
      <c r="F149" s="169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</row>
    <row r="150">
      <c r="A150" s="58"/>
      <c r="B150" s="58"/>
      <c r="C150" s="58"/>
      <c r="D150" s="53"/>
      <c r="E150" s="169"/>
      <c r="F150" s="169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</row>
    <row r="151">
      <c r="A151" s="58"/>
      <c r="B151" s="58"/>
      <c r="C151" s="58"/>
      <c r="D151" s="53"/>
      <c r="E151" s="169"/>
      <c r="F151" s="169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  <c r="AD151" s="58"/>
      <c r="AE151" s="58"/>
    </row>
    <row r="152">
      <c r="A152" s="58"/>
      <c r="B152" s="58"/>
      <c r="C152" s="58"/>
      <c r="D152" s="53"/>
      <c r="E152" s="169"/>
      <c r="F152" s="169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  <c r="AD152" s="58"/>
      <c r="AE152" s="58"/>
    </row>
    <row r="153">
      <c r="A153" s="58"/>
      <c r="B153" s="58"/>
      <c r="C153" s="58"/>
      <c r="D153" s="53"/>
      <c r="E153" s="169"/>
      <c r="F153" s="169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  <c r="AD153" s="58"/>
      <c r="AE153" s="58"/>
    </row>
    <row r="154">
      <c r="A154" s="58"/>
      <c r="B154" s="58"/>
      <c r="C154" s="58"/>
      <c r="D154" s="53"/>
      <c r="E154" s="169"/>
      <c r="F154" s="169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</row>
    <row r="155">
      <c r="A155" s="58"/>
      <c r="B155" s="58"/>
      <c r="C155" s="58"/>
      <c r="D155" s="53"/>
      <c r="E155" s="169"/>
      <c r="F155" s="169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  <c r="AD155" s="58"/>
      <c r="AE155" s="58"/>
    </row>
    <row r="156">
      <c r="A156" s="58"/>
      <c r="B156" s="58"/>
      <c r="C156" s="58"/>
      <c r="D156" s="53"/>
      <c r="E156" s="169"/>
      <c r="F156" s="169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  <c r="AD156" s="58"/>
      <c r="AE156" s="58"/>
    </row>
    <row r="157">
      <c r="A157" s="58"/>
      <c r="B157" s="58"/>
      <c r="C157" s="58"/>
      <c r="D157" s="53"/>
      <c r="E157" s="169"/>
      <c r="F157" s="169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</row>
    <row r="158">
      <c r="A158" s="58"/>
      <c r="B158" s="58"/>
      <c r="C158" s="58"/>
      <c r="D158" s="53"/>
      <c r="E158" s="169"/>
      <c r="F158" s="169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  <c r="AD158" s="58"/>
      <c r="AE158" s="58"/>
    </row>
    <row r="159">
      <c r="A159" s="58"/>
      <c r="B159" s="58"/>
      <c r="C159" s="58"/>
      <c r="D159" s="53"/>
      <c r="E159" s="169"/>
      <c r="F159" s="169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  <c r="AD159" s="58"/>
      <c r="AE159" s="58"/>
    </row>
    <row r="160">
      <c r="A160" s="58"/>
      <c r="B160" s="58"/>
      <c r="C160" s="58"/>
      <c r="D160" s="53"/>
      <c r="E160" s="169"/>
      <c r="F160" s="169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  <c r="AD160" s="58"/>
      <c r="AE160" s="58"/>
    </row>
    <row r="161">
      <c r="A161" s="58"/>
      <c r="B161" s="58"/>
      <c r="C161" s="58"/>
      <c r="D161" s="53"/>
      <c r="E161" s="169"/>
      <c r="F161" s="169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  <c r="AD161" s="58"/>
      <c r="AE161" s="58"/>
    </row>
    <row r="162">
      <c r="A162" s="58"/>
      <c r="B162" s="58"/>
      <c r="C162" s="58"/>
      <c r="D162" s="53"/>
      <c r="E162" s="169"/>
      <c r="F162" s="169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  <c r="AE162" s="58"/>
    </row>
    <row r="163">
      <c r="A163" s="58"/>
      <c r="B163" s="58"/>
      <c r="C163" s="58"/>
      <c r="D163" s="53"/>
      <c r="E163" s="169"/>
      <c r="F163" s="169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  <c r="AD163" s="58"/>
      <c r="AE163" s="58"/>
    </row>
    <row r="164">
      <c r="A164" s="58"/>
      <c r="B164" s="58"/>
      <c r="C164" s="58"/>
      <c r="D164" s="53"/>
      <c r="E164" s="169"/>
      <c r="F164" s="169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  <c r="AD164" s="58"/>
      <c r="AE164" s="58"/>
    </row>
    <row r="165">
      <c r="A165" s="58"/>
      <c r="B165" s="58"/>
      <c r="C165" s="58"/>
      <c r="D165" s="53"/>
      <c r="E165" s="169"/>
      <c r="F165" s="169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  <c r="AD165" s="58"/>
      <c r="AE165" s="58"/>
    </row>
    <row r="166">
      <c r="A166" s="58"/>
      <c r="B166" s="58"/>
      <c r="C166" s="58"/>
      <c r="D166" s="53"/>
      <c r="E166" s="169"/>
      <c r="F166" s="169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  <c r="AE166" s="58"/>
    </row>
    <row r="167">
      <c r="A167" s="58"/>
      <c r="B167" s="58"/>
      <c r="C167" s="58"/>
      <c r="D167" s="53"/>
      <c r="E167" s="169"/>
      <c r="F167" s="169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  <c r="AD167" s="58"/>
      <c r="AE167" s="58"/>
    </row>
    <row r="168">
      <c r="A168" s="58"/>
      <c r="B168" s="58"/>
      <c r="C168" s="58"/>
      <c r="D168" s="53"/>
      <c r="E168" s="169"/>
      <c r="F168" s="169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  <c r="AD168" s="58"/>
      <c r="AE168" s="58"/>
    </row>
    <row r="169">
      <c r="A169" s="58"/>
      <c r="B169" s="58"/>
      <c r="C169" s="58"/>
      <c r="D169" s="53"/>
      <c r="E169" s="169"/>
      <c r="F169" s="169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</row>
    <row r="170">
      <c r="A170" s="58"/>
      <c r="B170" s="58"/>
      <c r="C170" s="58"/>
      <c r="D170" s="53"/>
      <c r="E170" s="169"/>
      <c r="F170" s="169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</row>
    <row r="171">
      <c r="A171" s="58"/>
      <c r="B171" s="58"/>
      <c r="C171" s="58"/>
      <c r="D171" s="53"/>
      <c r="E171" s="169"/>
      <c r="F171" s="169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  <c r="AD171" s="58"/>
      <c r="AE171" s="58"/>
    </row>
    <row r="172">
      <c r="A172" s="58"/>
      <c r="B172" s="58"/>
      <c r="C172" s="58"/>
      <c r="D172" s="53"/>
      <c r="E172" s="169"/>
      <c r="F172" s="169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  <c r="AD172" s="58"/>
      <c r="AE172" s="58"/>
    </row>
    <row r="173">
      <c r="A173" s="58"/>
      <c r="B173" s="58"/>
      <c r="C173" s="58"/>
      <c r="D173" s="53"/>
      <c r="E173" s="169"/>
      <c r="F173" s="169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</row>
    <row r="174">
      <c r="A174" s="58"/>
      <c r="B174" s="58"/>
      <c r="C174" s="58"/>
      <c r="D174" s="53"/>
      <c r="E174" s="169"/>
      <c r="F174" s="169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</row>
    <row r="175">
      <c r="A175" s="58"/>
      <c r="B175" s="58"/>
      <c r="C175" s="58"/>
      <c r="D175" s="53"/>
      <c r="E175" s="169"/>
      <c r="F175" s="169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</row>
    <row r="176">
      <c r="A176" s="58"/>
      <c r="B176" s="58"/>
      <c r="C176" s="58"/>
      <c r="D176" s="53"/>
      <c r="E176" s="169"/>
      <c r="F176" s="169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</row>
    <row r="177">
      <c r="A177" s="58"/>
      <c r="B177" s="58"/>
      <c r="C177" s="58"/>
      <c r="D177" s="53"/>
      <c r="E177" s="169"/>
      <c r="F177" s="169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</row>
    <row r="178">
      <c r="A178" s="58"/>
      <c r="B178" s="58"/>
      <c r="C178" s="58"/>
      <c r="D178" s="53"/>
      <c r="E178" s="169"/>
      <c r="F178" s="169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  <c r="AD178" s="58"/>
      <c r="AE178" s="58"/>
    </row>
    <row r="179">
      <c r="A179" s="58"/>
      <c r="B179" s="58"/>
      <c r="C179" s="58"/>
      <c r="D179" s="53"/>
      <c r="E179" s="169"/>
      <c r="F179" s="169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  <c r="AD179" s="58"/>
      <c r="AE179" s="58"/>
    </row>
    <row r="180">
      <c r="A180" s="58"/>
      <c r="B180" s="58"/>
      <c r="C180" s="58"/>
      <c r="D180" s="53"/>
      <c r="E180" s="169"/>
      <c r="F180" s="169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  <c r="AD180" s="58"/>
      <c r="AE180" s="58"/>
    </row>
    <row r="181">
      <c r="A181" s="58"/>
      <c r="B181" s="58"/>
      <c r="C181" s="58"/>
      <c r="D181" s="53"/>
      <c r="E181" s="169"/>
      <c r="F181" s="169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  <c r="AD181" s="58"/>
      <c r="AE181" s="58"/>
    </row>
    <row r="182">
      <c r="A182" s="58"/>
      <c r="B182" s="58"/>
      <c r="C182" s="58"/>
      <c r="D182" s="53"/>
      <c r="E182" s="169"/>
      <c r="F182" s="169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</row>
    <row r="183">
      <c r="A183" s="58"/>
      <c r="B183" s="58"/>
      <c r="C183" s="58"/>
      <c r="D183" s="53"/>
      <c r="E183" s="169"/>
      <c r="F183" s="169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  <c r="AE183" s="58"/>
    </row>
    <row r="184">
      <c r="A184" s="58"/>
      <c r="B184" s="58"/>
      <c r="C184" s="58"/>
      <c r="D184" s="53"/>
      <c r="E184" s="169"/>
      <c r="F184" s="169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</row>
    <row r="185">
      <c r="A185" s="58"/>
      <c r="B185" s="58"/>
      <c r="C185" s="58"/>
      <c r="D185" s="53"/>
      <c r="E185" s="169"/>
      <c r="F185" s="169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</row>
    <row r="186">
      <c r="A186" s="58"/>
      <c r="B186" s="58"/>
      <c r="C186" s="58"/>
      <c r="D186" s="53"/>
      <c r="E186" s="169"/>
      <c r="F186" s="169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  <c r="AD186" s="58"/>
      <c r="AE186" s="58"/>
    </row>
    <row r="187">
      <c r="A187" s="58"/>
      <c r="B187" s="58"/>
      <c r="C187" s="58"/>
      <c r="D187" s="53"/>
      <c r="E187" s="169"/>
      <c r="F187" s="169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  <c r="AD187" s="58"/>
      <c r="AE187" s="58"/>
    </row>
    <row r="188">
      <c r="A188" s="58"/>
      <c r="B188" s="58"/>
      <c r="C188" s="58"/>
      <c r="D188" s="53"/>
      <c r="E188" s="169"/>
      <c r="F188" s="169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  <c r="AD188" s="58"/>
      <c r="AE188" s="58"/>
    </row>
    <row r="189">
      <c r="A189" s="58"/>
      <c r="B189" s="58"/>
      <c r="C189" s="58"/>
      <c r="D189" s="53"/>
      <c r="E189" s="169"/>
      <c r="F189" s="169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  <c r="AD189" s="58"/>
      <c r="AE189" s="58"/>
    </row>
    <row r="190">
      <c r="A190" s="58"/>
      <c r="B190" s="58"/>
      <c r="C190" s="58"/>
      <c r="D190" s="53"/>
      <c r="E190" s="169"/>
      <c r="F190" s="169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  <c r="AD190" s="58"/>
      <c r="AE190" s="58"/>
    </row>
    <row r="191">
      <c r="A191" s="58"/>
      <c r="B191" s="58"/>
      <c r="C191" s="58"/>
      <c r="D191" s="53"/>
      <c r="E191" s="169"/>
      <c r="F191" s="169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  <c r="AD191" s="58"/>
      <c r="AE191" s="58"/>
    </row>
    <row r="192">
      <c r="A192" s="58"/>
      <c r="B192" s="58"/>
      <c r="C192" s="58"/>
      <c r="D192" s="53"/>
      <c r="E192" s="169"/>
      <c r="F192" s="169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  <c r="AD192" s="58"/>
      <c r="AE192" s="58"/>
    </row>
    <row r="193">
      <c r="A193" s="58"/>
      <c r="B193" s="58"/>
      <c r="C193" s="58"/>
      <c r="D193" s="53"/>
      <c r="E193" s="169"/>
      <c r="F193" s="169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  <c r="AD193" s="58"/>
      <c r="AE193" s="58"/>
    </row>
    <row r="194">
      <c r="A194" s="58"/>
      <c r="B194" s="58"/>
      <c r="C194" s="58"/>
      <c r="D194" s="53"/>
      <c r="E194" s="169"/>
      <c r="F194" s="169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  <c r="AD194" s="58"/>
      <c r="AE194" s="58"/>
    </row>
    <row r="195">
      <c r="A195" s="58"/>
      <c r="B195" s="58"/>
      <c r="C195" s="58"/>
      <c r="D195" s="53"/>
      <c r="E195" s="169"/>
      <c r="F195" s="169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  <c r="AD195" s="58"/>
      <c r="AE195" s="58"/>
    </row>
    <row r="196">
      <c r="A196" s="58"/>
      <c r="B196" s="58"/>
      <c r="C196" s="58"/>
      <c r="D196" s="53"/>
      <c r="E196" s="169"/>
      <c r="F196" s="169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  <c r="AD196" s="58"/>
      <c r="AE196" s="58"/>
    </row>
    <row r="197">
      <c r="A197" s="58"/>
      <c r="B197" s="58"/>
      <c r="C197" s="58"/>
      <c r="D197" s="53"/>
      <c r="E197" s="169"/>
      <c r="F197" s="169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</row>
    <row r="198">
      <c r="A198" s="58"/>
      <c r="B198" s="58"/>
      <c r="C198" s="58"/>
      <c r="D198" s="53"/>
      <c r="E198" s="169"/>
      <c r="F198" s="169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  <c r="AD198" s="58"/>
      <c r="AE198" s="58"/>
    </row>
    <row r="199">
      <c r="A199" s="58"/>
      <c r="B199" s="58"/>
      <c r="C199" s="58"/>
      <c r="D199" s="53"/>
      <c r="E199" s="169"/>
      <c r="F199" s="169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</row>
    <row r="200">
      <c r="A200" s="58"/>
      <c r="B200" s="58"/>
      <c r="C200" s="58"/>
      <c r="D200" s="53"/>
      <c r="E200" s="169"/>
      <c r="F200" s="169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</row>
    <row r="201">
      <c r="A201" s="58"/>
      <c r="B201" s="58"/>
      <c r="C201" s="58"/>
      <c r="D201" s="53"/>
      <c r="E201" s="169"/>
      <c r="F201" s="169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</row>
    <row r="202">
      <c r="A202" s="58"/>
      <c r="B202" s="58"/>
      <c r="C202" s="58"/>
      <c r="D202" s="53"/>
      <c r="E202" s="169"/>
      <c r="F202" s="169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  <c r="AD202" s="58"/>
      <c r="AE202" s="58"/>
    </row>
    <row r="203">
      <c r="A203" s="58"/>
      <c r="B203" s="58"/>
      <c r="C203" s="58"/>
      <c r="D203" s="53"/>
      <c r="E203" s="169"/>
      <c r="F203" s="169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  <c r="AD203" s="58"/>
      <c r="AE203" s="58"/>
    </row>
    <row r="204">
      <c r="A204" s="58"/>
      <c r="B204" s="58"/>
      <c r="C204" s="58"/>
      <c r="D204" s="53"/>
      <c r="E204" s="169"/>
      <c r="F204" s="169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  <c r="AD204" s="58"/>
      <c r="AE204" s="58"/>
    </row>
    <row r="205">
      <c r="A205" s="58"/>
      <c r="B205" s="58"/>
      <c r="C205" s="58"/>
      <c r="D205" s="53"/>
      <c r="E205" s="169"/>
      <c r="F205" s="169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  <c r="AD205" s="58"/>
      <c r="AE205" s="58"/>
    </row>
    <row r="206">
      <c r="A206" s="58"/>
      <c r="B206" s="58"/>
      <c r="C206" s="58"/>
      <c r="D206" s="53"/>
      <c r="E206" s="169"/>
      <c r="F206" s="169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  <c r="AD206" s="58"/>
      <c r="AE206" s="58"/>
    </row>
    <row r="207">
      <c r="A207" s="58"/>
      <c r="B207" s="58"/>
      <c r="C207" s="58"/>
      <c r="D207" s="53"/>
      <c r="E207" s="169"/>
      <c r="F207" s="169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  <c r="AD207" s="58"/>
      <c r="AE207" s="58"/>
    </row>
    <row r="208">
      <c r="A208" s="58"/>
      <c r="B208" s="58"/>
      <c r="C208" s="58"/>
      <c r="D208" s="53"/>
      <c r="E208" s="169"/>
      <c r="F208" s="169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  <c r="AD208" s="58"/>
      <c r="AE208" s="58"/>
    </row>
    <row r="209">
      <c r="A209" s="58"/>
      <c r="B209" s="58"/>
      <c r="C209" s="58"/>
      <c r="D209" s="53"/>
      <c r="E209" s="169"/>
      <c r="F209" s="169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</row>
    <row r="210">
      <c r="A210" s="58"/>
      <c r="B210" s="58"/>
      <c r="C210" s="58"/>
      <c r="D210" s="53"/>
      <c r="E210" s="169"/>
      <c r="F210" s="169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  <c r="AD210" s="58"/>
      <c r="AE210" s="58"/>
    </row>
    <row r="211">
      <c r="A211" s="58"/>
      <c r="B211" s="58"/>
      <c r="C211" s="58"/>
      <c r="D211" s="53"/>
      <c r="E211" s="169"/>
      <c r="F211" s="169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  <c r="AD211" s="58"/>
      <c r="AE211" s="58"/>
    </row>
    <row r="212">
      <c r="A212" s="58"/>
      <c r="B212" s="58"/>
      <c r="C212" s="58"/>
      <c r="D212" s="53"/>
      <c r="E212" s="169"/>
      <c r="F212" s="169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  <c r="AD212" s="58"/>
      <c r="AE212" s="58"/>
    </row>
    <row r="213">
      <c r="A213" s="58"/>
      <c r="B213" s="58"/>
      <c r="C213" s="58"/>
      <c r="D213" s="53"/>
      <c r="E213" s="169"/>
      <c r="F213" s="169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  <c r="AD213" s="58"/>
      <c r="AE213" s="58"/>
    </row>
    <row r="214">
      <c r="A214" s="58"/>
      <c r="B214" s="58"/>
      <c r="C214" s="58"/>
      <c r="D214" s="53"/>
      <c r="E214" s="169"/>
      <c r="F214" s="169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</row>
    <row r="215">
      <c r="A215" s="58"/>
      <c r="B215" s="58"/>
      <c r="C215" s="58"/>
      <c r="D215" s="53"/>
      <c r="E215" s="169"/>
      <c r="F215" s="169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</row>
    <row r="216">
      <c r="A216" s="58"/>
      <c r="B216" s="58"/>
      <c r="C216" s="58"/>
      <c r="D216" s="53"/>
      <c r="E216" s="169"/>
      <c r="F216" s="169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  <c r="AD216" s="58"/>
      <c r="AE216" s="58"/>
    </row>
    <row r="217">
      <c r="A217" s="58"/>
      <c r="B217" s="58"/>
      <c r="C217" s="58"/>
      <c r="D217" s="53"/>
      <c r="E217" s="169"/>
      <c r="F217" s="169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  <c r="AD217" s="58"/>
      <c r="AE217" s="58"/>
    </row>
    <row r="218">
      <c r="A218" s="58"/>
      <c r="B218" s="58"/>
      <c r="C218" s="58"/>
      <c r="D218" s="53"/>
      <c r="E218" s="169"/>
      <c r="F218" s="169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  <c r="AD218" s="58"/>
      <c r="AE218" s="58"/>
    </row>
    <row r="219">
      <c r="A219" s="58"/>
      <c r="B219" s="58"/>
      <c r="C219" s="58"/>
      <c r="D219" s="53"/>
      <c r="E219" s="169"/>
      <c r="F219" s="169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</row>
    <row r="220">
      <c r="A220" s="58"/>
      <c r="B220" s="58"/>
      <c r="C220" s="58"/>
      <c r="D220" s="53"/>
      <c r="E220" s="169"/>
      <c r="F220" s="169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  <c r="AD220" s="58"/>
      <c r="AE220" s="58"/>
    </row>
    <row r="221">
      <c r="A221" s="58"/>
      <c r="B221" s="58"/>
      <c r="C221" s="58"/>
      <c r="D221" s="53"/>
      <c r="E221" s="169"/>
      <c r="F221" s="169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</row>
    <row r="222">
      <c r="A222" s="58"/>
      <c r="B222" s="58"/>
      <c r="C222" s="58"/>
      <c r="D222" s="53"/>
      <c r="E222" s="169"/>
      <c r="F222" s="169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  <c r="AD222" s="58"/>
      <c r="AE222" s="58"/>
    </row>
    <row r="223">
      <c r="A223" s="58"/>
      <c r="B223" s="58"/>
      <c r="C223" s="58"/>
      <c r="D223" s="53"/>
      <c r="E223" s="169"/>
      <c r="F223" s="169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  <c r="AD223" s="58"/>
      <c r="AE223" s="58"/>
    </row>
    <row r="224">
      <c r="A224" s="58"/>
      <c r="B224" s="58"/>
      <c r="C224" s="58"/>
      <c r="D224" s="53"/>
      <c r="E224" s="169"/>
      <c r="F224" s="169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</row>
    <row r="225">
      <c r="A225" s="58"/>
      <c r="B225" s="58"/>
      <c r="C225" s="58"/>
      <c r="D225" s="53"/>
      <c r="E225" s="169"/>
      <c r="F225" s="169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  <c r="AD225" s="58"/>
      <c r="AE225" s="58"/>
    </row>
    <row r="226">
      <c r="A226" s="58"/>
      <c r="B226" s="58"/>
      <c r="C226" s="58"/>
      <c r="D226" s="53"/>
      <c r="E226" s="169"/>
      <c r="F226" s="169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  <c r="AD226" s="58"/>
      <c r="AE226" s="58"/>
    </row>
    <row r="227">
      <c r="A227" s="58"/>
      <c r="B227" s="58"/>
      <c r="C227" s="58"/>
      <c r="D227" s="53"/>
      <c r="E227" s="169"/>
      <c r="F227" s="169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  <c r="AD227" s="58"/>
      <c r="AE227" s="58"/>
    </row>
    <row r="228">
      <c r="A228" s="58"/>
      <c r="B228" s="58"/>
      <c r="C228" s="58"/>
      <c r="D228" s="53"/>
      <c r="E228" s="169"/>
      <c r="F228" s="169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  <c r="AD228" s="58"/>
      <c r="AE228" s="58"/>
    </row>
    <row r="229">
      <c r="A229" s="58"/>
      <c r="B229" s="58"/>
      <c r="C229" s="58"/>
      <c r="D229" s="53"/>
      <c r="E229" s="169"/>
      <c r="F229" s="169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  <c r="AD229" s="58"/>
      <c r="AE229" s="58"/>
    </row>
    <row r="230">
      <c r="A230" s="58"/>
      <c r="B230" s="58"/>
      <c r="C230" s="58"/>
      <c r="D230" s="53"/>
      <c r="E230" s="169"/>
      <c r="F230" s="169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  <c r="AD230" s="58"/>
      <c r="AE230" s="58"/>
    </row>
    <row r="231">
      <c r="A231" s="58"/>
      <c r="B231" s="58"/>
      <c r="C231" s="58"/>
      <c r="D231" s="53"/>
      <c r="E231" s="169"/>
      <c r="F231" s="169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  <c r="AD231" s="58"/>
      <c r="AE231" s="58"/>
    </row>
    <row r="232">
      <c r="A232" s="58"/>
      <c r="B232" s="58"/>
      <c r="C232" s="58"/>
      <c r="D232" s="53"/>
      <c r="E232" s="169"/>
      <c r="F232" s="169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</row>
    <row r="233">
      <c r="A233" s="58"/>
      <c r="B233" s="58"/>
      <c r="C233" s="58"/>
      <c r="D233" s="53"/>
      <c r="E233" s="169"/>
      <c r="F233" s="169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  <c r="AD233" s="58"/>
      <c r="AE233" s="58"/>
    </row>
    <row r="234">
      <c r="A234" s="58"/>
      <c r="B234" s="58"/>
      <c r="C234" s="58"/>
      <c r="D234" s="53"/>
      <c r="E234" s="169"/>
      <c r="F234" s="169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  <c r="AD234" s="58"/>
      <c r="AE234" s="58"/>
    </row>
    <row r="235">
      <c r="A235" s="58"/>
      <c r="B235" s="58"/>
      <c r="C235" s="58"/>
      <c r="D235" s="53"/>
      <c r="E235" s="169"/>
      <c r="F235" s="169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</row>
    <row r="236">
      <c r="A236" s="58"/>
      <c r="B236" s="58"/>
      <c r="C236" s="58"/>
      <c r="D236" s="53"/>
      <c r="E236" s="169"/>
      <c r="F236" s="169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</row>
    <row r="237">
      <c r="A237" s="58"/>
      <c r="B237" s="58"/>
      <c r="C237" s="58"/>
      <c r="D237" s="53"/>
      <c r="E237" s="169"/>
      <c r="F237" s="169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  <c r="AD237" s="58"/>
      <c r="AE237" s="58"/>
    </row>
    <row r="238">
      <c r="A238" s="58"/>
      <c r="B238" s="58"/>
      <c r="C238" s="58"/>
      <c r="D238" s="53"/>
      <c r="E238" s="169"/>
      <c r="F238" s="169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  <c r="AD238" s="58"/>
      <c r="AE238" s="58"/>
    </row>
    <row r="239">
      <c r="A239" s="58"/>
      <c r="B239" s="58"/>
      <c r="C239" s="58"/>
      <c r="D239" s="53"/>
      <c r="E239" s="169"/>
      <c r="F239" s="169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  <c r="AD239" s="58"/>
      <c r="AE239" s="58"/>
    </row>
    <row r="240">
      <c r="A240" s="58"/>
      <c r="B240" s="58"/>
      <c r="C240" s="58"/>
      <c r="D240" s="53"/>
      <c r="E240" s="169"/>
      <c r="F240" s="169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  <c r="AD240" s="58"/>
      <c r="AE240" s="58"/>
    </row>
    <row r="241">
      <c r="A241" s="58"/>
      <c r="B241" s="58"/>
      <c r="C241" s="58"/>
      <c r="D241" s="53"/>
      <c r="E241" s="169"/>
      <c r="F241" s="169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</row>
    <row r="242">
      <c r="A242" s="58"/>
      <c r="B242" s="58"/>
      <c r="C242" s="58"/>
      <c r="D242" s="53"/>
      <c r="E242" s="169"/>
      <c r="F242" s="169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  <c r="AD242" s="58"/>
      <c r="AE242" s="58"/>
    </row>
    <row r="243">
      <c r="A243" s="58"/>
      <c r="B243" s="58"/>
      <c r="C243" s="58"/>
      <c r="D243" s="53"/>
      <c r="E243" s="169"/>
      <c r="F243" s="169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</row>
    <row r="244">
      <c r="A244" s="58"/>
      <c r="B244" s="58"/>
      <c r="C244" s="58"/>
      <c r="D244" s="53"/>
      <c r="E244" s="169"/>
      <c r="F244" s="169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</row>
    <row r="245">
      <c r="A245" s="58"/>
      <c r="B245" s="58"/>
      <c r="C245" s="58"/>
      <c r="D245" s="53"/>
      <c r="E245" s="169"/>
      <c r="F245" s="169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  <c r="AD245" s="58"/>
      <c r="AE245" s="58"/>
    </row>
    <row r="246">
      <c r="A246" s="58"/>
      <c r="B246" s="58"/>
      <c r="C246" s="58"/>
      <c r="D246" s="53"/>
      <c r="E246" s="169"/>
      <c r="F246" s="169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</row>
    <row r="247">
      <c r="A247" s="58"/>
      <c r="B247" s="58"/>
      <c r="C247" s="58"/>
      <c r="D247" s="53"/>
      <c r="E247" s="169"/>
      <c r="F247" s="169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  <c r="AD247" s="58"/>
      <c r="AE247" s="58"/>
    </row>
    <row r="248">
      <c r="A248" s="58"/>
      <c r="B248" s="58"/>
      <c r="C248" s="58"/>
      <c r="D248" s="53"/>
      <c r="E248" s="169"/>
      <c r="F248" s="169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  <c r="AD248" s="58"/>
      <c r="AE248" s="58"/>
    </row>
    <row r="249">
      <c r="A249" s="58"/>
      <c r="B249" s="58"/>
      <c r="C249" s="58"/>
      <c r="D249" s="53"/>
      <c r="E249" s="169"/>
      <c r="F249" s="169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  <c r="AD249" s="58"/>
      <c r="AE249" s="58"/>
    </row>
    <row r="250">
      <c r="A250" s="58"/>
      <c r="B250" s="58"/>
      <c r="C250" s="58"/>
      <c r="D250" s="53"/>
      <c r="E250" s="169"/>
      <c r="F250" s="169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</row>
    <row r="251">
      <c r="A251" s="58"/>
      <c r="B251" s="58"/>
      <c r="C251" s="58"/>
      <c r="D251" s="53"/>
      <c r="E251" s="169"/>
      <c r="F251" s="169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</row>
    <row r="252">
      <c r="A252" s="58"/>
      <c r="B252" s="58"/>
      <c r="C252" s="58"/>
      <c r="D252" s="53"/>
      <c r="E252" s="169"/>
      <c r="F252" s="169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  <c r="AD252" s="58"/>
      <c r="AE252" s="58"/>
    </row>
    <row r="253">
      <c r="A253" s="58"/>
      <c r="B253" s="58"/>
      <c r="C253" s="58"/>
      <c r="D253" s="53"/>
      <c r="E253" s="169"/>
      <c r="F253" s="169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  <c r="AD253" s="58"/>
      <c r="AE253" s="58"/>
    </row>
    <row r="254">
      <c r="A254" s="58"/>
      <c r="B254" s="58"/>
      <c r="C254" s="58"/>
      <c r="D254" s="53"/>
      <c r="E254" s="169"/>
      <c r="F254" s="169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</row>
    <row r="255">
      <c r="A255" s="58"/>
      <c r="B255" s="58"/>
      <c r="C255" s="58"/>
      <c r="D255" s="53"/>
      <c r="E255" s="169"/>
      <c r="F255" s="169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</row>
    <row r="256">
      <c r="A256" s="58"/>
      <c r="B256" s="58"/>
      <c r="C256" s="58"/>
      <c r="D256" s="53"/>
      <c r="E256" s="169"/>
      <c r="F256" s="169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  <c r="AD256" s="58"/>
      <c r="AE256" s="58"/>
    </row>
    <row r="257">
      <c r="A257" s="58"/>
      <c r="B257" s="58"/>
      <c r="C257" s="58"/>
      <c r="D257" s="53"/>
      <c r="E257" s="169"/>
      <c r="F257" s="169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  <c r="AD257" s="58"/>
      <c r="AE257" s="58"/>
    </row>
    <row r="258">
      <c r="A258" s="58"/>
      <c r="B258" s="58"/>
      <c r="C258" s="58"/>
      <c r="D258" s="53"/>
      <c r="E258" s="169"/>
      <c r="F258" s="169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  <c r="AD258" s="58"/>
      <c r="AE258" s="58"/>
    </row>
    <row r="259">
      <c r="A259" s="58"/>
      <c r="B259" s="58"/>
      <c r="C259" s="58"/>
      <c r="D259" s="53"/>
      <c r="E259" s="169"/>
      <c r="F259" s="169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  <c r="AD259" s="58"/>
      <c r="AE259" s="58"/>
    </row>
    <row r="260">
      <c r="A260" s="58"/>
      <c r="B260" s="58"/>
      <c r="C260" s="58"/>
      <c r="D260" s="53"/>
      <c r="E260" s="169"/>
      <c r="F260" s="169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</row>
    <row r="261">
      <c r="A261" s="58"/>
      <c r="B261" s="58"/>
      <c r="C261" s="58"/>
      <c r="D261" s="53"/>
      <c r="E261" s="169"/>
      <c r="F261" s="169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</row>
    <row r="262">
      <c r="A262" s="58"/>
      <c r="B262" s="58"/>
      <c r="C262" s="58"/>
      <c r="D262" s="53"/>
      <c r="E262" s="169"/>
      <c r="F262" s="169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  <c r="AD262" s="58"/>
      <c r="AE262" s="58"/>
    </row>
    <row r="263">
      <c r="A263" s="58"/>
      <c r="B263" s="58"/>
      <c r="C263" s="58"/>
      <c r="D263" s="53"/>
      <c r="E263" s="169"/>
      <c r="F263" s="169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  <c r="AD263" s="58"/>
      <c r="AE263" s="58"/>
    </row>
    <row r="264">
      <c r="A264" s="58"/>
      <c r="B264" s="58"/>
      <c r="C264" s="58"/>
      <c r="D264" s="53"/>
      <c r="E264" s="169"/>
      <c r="F264" s="169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  <c r="AD264" s="58"/>
      <c r="AE264" s="58"/>
    </row>
    <row r="265">
      <c r="A265" s="58"/>
      <c r="B265" s="58"/>
      <c r="C265" s="58"/>
      <c r="D265" s="53"/>
      <c r="E265" s="169"/>
      <c r="F265" s="169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  <c r="AD265" s="58"/>
      <c r="AE265" s="58"/>
    </row>
    <row r="266">
      <c r="A266" s="58"/>
      <c r="B266" s="58"/>
      <c r="C266" s="58"/>
      <c r="D266" s="53"/>
      <c r="E266" s="169"/>
      <c r="F266" s="169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</row>
    <row r="267">
      <c r="A267" s="58"/>
      <c r="B267" s="58"/>
      <c r="C267" s="58"/>
      <c r="D267" s="53"/>
      <c r="E267" s="169"/>
      <c r="F267" s="169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  <c r="AD267" s="58"/>
      <c r="AE267" s="58"/>
    </row>
    <row r="268">
      <c r="A268" s="58"/>
      <c r="B268" s="58"/>
      <c r="C268" s="58"/>
      <c r="D268" s="53"/>
      <c r="E268" s="169"/>
      <c r="F268" s="169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  <c r="AD268" s="58"/>
      <c r="AE268" s="58"/>
    </row>
    <row r="269">
      <c r="A269" s="58"/>
      <c r="B269" s="58"/>
      <c r="C269" s="58"/>
      <c r="D269" s="53"/>
      <c r="E269" s="169"/>
      <c r="F269" s="169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  <c r="AD269" s="58"/>
      <c r="AE269" s="58"/>
    </row>
    <row r="270">
      <c r="A270" s="58"/>
      <c r="B270" s="58"/>
      <c r="C270" s="58"/>
      <c r="D270" s="53"/>
      <c r="E270" s="169"/>
      <c r="F270" s="169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  <c r="AD270" s="58"/>
      <c r="AE270" s="58"/>
    </row>
    <row r="271">
      <c r="A271" s="58"/>
      <c r="B271" s="58"/>
      <c r="C271" s="58"/>
      <c r="D271" s="53"/>
      <c r="E271" s="169"/>
      <c r="F271" s="169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  <c r="AD271" s="58"/>
      <c r="AE271" s="58"/>
    </row>
    <row r="272">
      <c r="A272" s="58"/>
      <c r="B272" s="58"/>
      <c r="C272" s="58"/>
      <c r="D272" s="53"/>
      <c r="E272" s="169"/>
      <c r="F272" s="169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  <c r="AD272" s="58"/>
      <c r="AE272" s="58"/>
    </row>
    <row r="273">
      <c r="A273" s="58"/>
      <c r="B273" s="58"/>
      <c r="C273" s="58"/>
      <c r="D273" s="53"/>
      <c r="E273" s="169"/>
      <c r="F273" s="169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  <c r="AD273" s="58"/>
      <c r="AE273" s="58"/>
    </row>
    <row r="274">
      <c r="A274" s="58"/>
      <c r="B274" s="58"/>
      <c r="C274" s="58"/>
      <c r="D274" s="53"/>
      <c r="E274" s="169"/>
      <c r="F274" s="169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  <c r="AD274" s="58"/>
      <c r="AE274" s="58"/>
    </row>
    <row r="275">
      <c r="A275" s="58"/>
      <c r="B275" s="58"/>
      <c r="C275" s="58"/>
      <c r="D275" s="53"/>
      <c r="E275" s="169"/>
      <c r="F275" s="169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  <c r="AD275" s="58"/>
      <c r="AE275" s="58"/>
    </row>
    <row r="276">
      <c r="A276" s="58"/>
      <c r="B276" s="58"/>
      <c r="C276" s="58"/>
      <c r="D276" s="53"/>
      <c r="E276" s="169"/>
      <c r="F276" s="169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</row>
    <row r="277">
      <c r="A277" s="58"/>
      <c r="B277" s="58"/>
      <c r="C277" s="58"/>
      <c r="D277" s="53"/>
      <c r="E277" s="169"/>
      <c r="F277" s="169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  <c r="AD277" s="58"/>
      <c r="AE277" s="58"/>
    </row>
    <row r="278">
      <c r="A278" s="58"/>
      <c r="B278" s="58"/>
      <c r="C278" s="58"/>
      <c r="D278" s="53"/>
      <c r="E278" s="169"/>
      <c r="F278" s="169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</row>
    <row r="279">
      <c r="A279" s="58"/>
      <c r="B279" s="58"/>
      <c r="C279" s="58"/>
      <c r="D279" s="53"/>
      <c r="E279" s="169"/>
      <c r="F279" s="169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  <c r="AD279" s="58"/>
      <c r="AE279" s="58"/>
    </row>
    <row r="280">
      <c r="A280" s="58"/>
      <c r="B280" s="58"/>
      <c r="C280" s="58"/>
      <c r="D280" s="53"/>
      <c r="E280" s="169"/>
      <c r="F280" s="169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  <c r="AD280" s="58"/>
      <c r="AE280" s="58"/>
    </row>
    <row r="281">
      <c r="A281" s="58"/>
      <c r="B281" s="58"/>
      <c r="C281" s="58"/>
      <c r="D281" s="53"/>
      <c r="E281" s="169"/>
      <c r="F281" s="169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  <c r="AD281" s="58"/>
      <c r="AE281" s="58"/>
    </row>
    <row r="282">
      <c r="A282" s="58"/>
      <c r="B282" s="58"/>
      <c r="C282" s="58"/>
      <c r="D282" s="53"/>
      <c r="E282" s="169"/>
      <c r="F282" s="169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  <c r="AE282" s="58"/>
    </row>
    <row r="283">
      <c r="A283" s="58"/>
      <c r="B283" s="58"/>
      <c r="C283" s="58"/>
      <c r="D283" s="53"/>
      <c r="E283" s="169"/>
      <c r="F283" s="169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  <c r="AD283" s="58"/>
      <c r="AE283" s="58"/>
    </row>
    <row r="284">
      <c r="A284" s="58"/>
      <c r="B284" s="58"/>
      <c r="C284" s="58"/>
      <c r="D284" s="53"/>
      <c r="E284" s="169"/>
      <c r="F284" s="169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  <c r="AD284" s="58"/>
      <c r="AE284" s="58"/>
    </row>
    <row r="285">
      <c r="A285" s="58"/>
      <c r="B285" s="58"/>
      <c r="C285" s="58"/>
      <c r="D285" s="53"/>
      <c r="E285" s="169"/>
      <c r="F285" s="169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  <c r="AD285" s="58"/>
      <c r="AE285" s="58"/>
    </row>
    <row r="286">
      <c r="A286" s="58"/>
      <c r="B286" s="58"/>
      <c r="C286" s="58"/>
      <c r="D286" s="53"/>
      <c r="E286" s="169"/>
      <c r="F286" s="169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</row>
    <row r="287">
      <c r="A287" s="58"/>
      <c r="B287" s="58"/>
      <c r="C287" s="58"/>
      <c r="D287" s="53"/>
      <c r="E287" s="169"/>
      <c r="F287" s="169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</row>
    <row r="288">
      <c r="A288" s="58"/>
      <c r="B288" s="58"/>
      <c r="C288" s="58"/>
      <c r="D288" s="53"/>
      <c r="E288" s="169"/>
      <c r="F288" s="169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</row>
    <row r="289">
      <c r="A289" s="58"/>
      <c r="B289" s="58"/>
      <c r="C289" s="58"/>
      <c r="D289" s="53"/>
      <c r="E289" s="169"/>
      <c r="F289" s="169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</row>
    <row r="290">
      <c r="A290" s="58"/>
      <c r="B290" s="58"/>
      <c r="C290" s="58"/>
      <c r="D290" s="53"/>
      <c r="E290" s="169"/>
      <c r="F290" s="169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</row>
    <row r="291">
      <c r="A291" s="58"/>
      <c r="B291" s="58"/>
      <c r="C291" s="58"/>
      <c r="D291" s="53"/>
      <c r="E291" s="169"/>
      <c r="F291" s="169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  <c r="AD291" s="58"/>
      <c r="AE291" s="58"/>
    </row>
    <row r="292">
      <c r="A292" s="58"/>
      <c r="B292" s="58"/>
      <c r="C292" s="58"/>
      <c r="D292" s="53"/>
      <c r="E292" s="169"/>
      <c r="F292" s="169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</row>
    <row r="293">
      <c r="A293" s="58"/>
      <c r="B293" s="58"/>
      <c r="C293" s="58"/>
      <c r="D293" s="53"/>
      <c r="E293" s="169"/>
      <c r="F293" s="169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  <c r="AD293" s="58"/>
      <c r="AE293" s="58"/>
    </row>
    <row r="294">
      <c r="A294" s="58"/>
      <c r="B294" s="58"/>
      <c r="C294" s="58"/>
      <c r="D294" s="53"/>
      <c r="E294" s="169"/>
      <c r="F294" s="169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  <c r="AD294" s="58"/>
      <c r="AE294" s="58"/>
    </row>
    <row r="295">
      <c r="A295" s="58"/>
      <c r="B295" s="58"/>
      <c r="C295" s="58"/>
      <c r="D295" s="53"/>
      <c r="E295" s="169"/>
      <c r="F295" s="169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  <c r="AD295" s="58"/>
      <c r="AE295" s="58"/>
    </row>
    <row r="296">
      <c r="A296" s="58"/>
      <c r="B296" s="58"/>
      <c r="C296" s="58"/>
      <c r="D296" s="53"/>
      <c r="E296" s="169"/>
      <c r="F296" s="169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  <c r="AD296" s="58"/>
      <c r="AE296" s="58"/>
    </row>
    <row r="297">
      <c r="A297" s="58"/>
      <c r="B297" s="58"/>
      <c r="C297" s="58"/>
      <c r="D297" s="53"/>
      <c r="E297" s="169"/>
      <c r="F297" s="169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  <c r="AD297" s="58"/>
      <c r="AE297" s="58"/>
    </row>
    <row r="298">
      <c r="A298" s="58"/>
      <c r="B298" s="58"/>
      <c r="C298" s="58"/>
      <c r="D298" s="53"/>
      <c r="E298" s="169"/>
      <c r="F298" s="169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  <c r="AD298" s="58"/>
      <c r="AE298" s="58"/>
    </row>
    <row r="299">
      <c r="A299" s="58"/>
      <c r="B299" s="58"/>
      <c r="C299" s="58"/>
      <c r="D299" s="53"/>
      <c r="E299" s="169"/>
      <c r="F299" s="169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  <c r="AD299" s="58"/>
      <c r="AE299" s="58"/>
    </row>
    <row r="300">
      <c r="A300" s="58"/>
      <c r="B300" s="58"/>
      <c r="C300" s="58"/>
      <c r="D300" s="53"/>
      <c r="E300" s="169"/>
      <c r="F300" s="169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  <c r="AD300" s="58"/>
      <c r="AE300" s="58"/>
    </row>
    <row r="301">
      <c r="A301" s="58"/>
      <c r="B301" s="58"/>
      <c r="C301" s="58"/>
      <c r="D301" s="53"/>
      <c r="E301" s="169"/>
      <c r="F301" s="169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  <c r="AE301" s="58"/>
    </row>
    <row r="302">
      <c r="A302" s="58"/>
      <c r="B302" s="58"/>
      <c r="C302" s="58"/>
      <c r="D302" s="53"/>
      <c r="E302" s="169"/>
      <c r="F302" s="169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  <c r="AD302" s="58"/>
      <c r="AE302" s="58"/>
    </row>
    <row r="303">
      <c r="A303" s="58"/>
      <c r="B303" s="58"/>
      <c r="C303" s="58"/>
      <c r="D303" s="53"/>
      <c r="E303" s="169"/>
      <c r="F303" s="169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  <c r="AD303" s="58"/>
      <c r="AE303" s="58"/>
    </row>
    <row r="304">
      <c r="A304" s="58"/>
      <c r="B304" s="58"/>
      <c r="C304" s="58"/>
      <c r="D304" s="53"/>
      <c r="E304" s="169"/>
      <c r="F304" s="169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  <c r="AD304" s="58"/>
      <c r="AE304" s="58"/>
    </row>
    <row r="305">
      <c r="A305" s="58"/>
      <c r="B305" s="58"/>
      <c r="C305" s="58"/>
      <c r="D305" s="53"/>
      <c r="E305" s="169"/>
      <c r="F305" s="169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  <c r="AD305" s="58"/>
      <c r="AE305" s="58"/>
    </row>
    <row r="306">
      <c r="A306" s="58"/>
      <c r="B306" s="58"/>
      <c r="C306" s="58"/>
      <c r="D306" s="53"/>
      <c r="E306" s="169"/>
      <c r="F306" s="169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  <c r="AD306" s="58"/>
      <c r="AE306" s="58"/>
    </row>
    <row r="307">
      <c r="A307" s="58"/>
      <c r="B307" s="58"/>
      <c r="C307" s="58"/>
      <c r="D307" s="53"/>
      <c r="E307" s="169"/>
      <c r="F307" s="169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  <c r="AD307" s="58"/>
      <c r="AE307" s="58"/>
    </row>
    <row r="308">
      <c r="A308" s="58"/>
      <c r="B308" s="58"/>
      <c r="C308" s="58"/>
      <c r="D308" s="53"/>
      <c r="E308" s="169"/>
      <c r="F308" s="169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  <c r="AE308" s="58"/>
    </row>
    <row r="309">
      <c r="A309" s="58"/>
      <c r="B309" s="58"/>
      <c r="C309" s="58"/>
      <c r="D309" s="53"/>
      <c r="E309" s="169"/>
      <c r="F309" s="169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  <c r="AD309" s="58"/>
      <c r="AE309" s="58"/>
    </row>
    <row r="310">
      <c r="A310" s="58"/>
      <c r="B310" s="58"/>
      <c r="C310" s="58"/>
      <c r="D310" s="53"/>
      <c r="E310" s="169"/>
      <c r="F310" s="169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  <c r="AD310" s="58"/>
      <c r="AE310" s="58"/>
    </row>
    <row r="311">
      <c r="A311" s="58"/>
      <c r="B311" s="58"/>
      <c r="C311" s="58"/>
      <c r="D311" s="53"/>
      <c r="E311" s="169"/>
      <c r="F311" s="169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  <c r="AD311" s="58"/>
      <c r="AE311" s="58"/>
    </row>
    <row r="312">
      <c r="A312" s="58"/>
      <c r="B312" s="58"/>
      <c r="C312" s="58"/>
      <c r="D312" s="53"/>
      <c r="E312" s="169"/>
      <c r="F312" s="169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  <c r="AD312" s="58"/>
      <c r="AE312" s="58"/>
    </row>
    <row r="313">
      <c r="A313" s="58"/>
      <c r="B313" s="58"/>
      <c r="C313" s="58"/>
      <c r="D313" s="53"/>
      <c r="E313" s="169"/>
      <c r="F313" s="169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  <c r="AD313" s="58"/>
      <c r="AE313" s="58"/>
    </row>
    <row r="314">
      <c r="A314" s="58"/>
      <c r="B314" s="58"/>
      <c r="C314" s="58"/>
      <c r="D314" s="53"/>
      <c r="E314" s="169"/>
      <c r="F314" s="169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  <c r="AD314" s="58"/>
      <c r="AE314" s="58"/>
    </row>
    <row r="315">
      <c r="A315" s="58"/>
      <c r="B315" s="58"/>
      <c r="C315" s="58"/>
      <c r="D315" s="53"/>
      <c r="E315" s="169"/>
      <c r="F315" s="169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  <c r="AD315" s="58"/>
      <c r="AE315" s="58"/>
    </row>
    <row r="316">
      <c r="A316" s="58"/>
      <c r="B316" s="58"/>
      <c r="C316" s="58"/>
      <c r="D316" s="53"/>
      <c r="E316" s="169"/>
      <c r="F316" s="169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</row>
    <row r="317">
      <c r="A317" s="58"/>
      <c r="B317" s="58"/>
      <c r="C317" s="58"/>
      <c r="D317" s="53"/>
      <c r="E317" s="169"/>
      <c r="F317" s="169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  <c r="AD317" s="58"/>
      <c r="AE317" s="58"/>
    </row>
    <row r="318">
      <c r="A318" s="58"/>
      <c r="B318" s="58"/>
      <c r="C318" s="58"/>
      <c r="D318" s="53"/>
      <c r="E318" s="169"/>
      <c r="F318" s="169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  <c r="AD318" s="58"/>
      <c r="AE318" s="58"/>
    </row>
    <row r="319">
      <c r="A319" s="58"/>
      <c r="B319" s="58"/>
      <c r="C319" s="58"/>
      <c r="D319" s="53"/>
      <c r="E319" s="169"/>
      <c r="F319" s="169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  <c r="AD319" s="58"/>
      <c r="AE319" s="58"/>
    </row>
    <row r="320">
      <c r="A320" s="58"/>
      <c r="B320" s="58"/>
      <c r="C320" s="58"/>
      <c r="D320" s="53"/>
      <c r="E320" s="169"/>
      <c r="F320" s="169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  <c r="AD320" s="58"/>
      <c r="AE320" s="58"/>
    </row>
    <row r="321">
      <c r="A321" s="58"/>
      <c r="B321" s="58"/>
      <c r="C321" s="58"/>
      <c r="D321" s="53"/>
      <c r="E321" s="169"/>
      <c r="F321" s="169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</row>
    <row r="322">
      <c r="A322" s="58"/>
      <c r="B322" s="58"/>
      <c r="C322" s="58"/>
      <c r="D322" s="53"/>
      <c r="E322" s="169"/>
      <c r="F322" s="169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</row>
    <row r="323">
      <c r="A323" s="58"/>
      <c r="B323" s="58"/>
      <c r="C323" s="58"/>
      <c r="D323" s="53"/>
      <c r="E323" s="169"/>
      <c r="F323" s="169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  <c r="AE323" s="58"/>
    </row>
    <row r="324">
      <c r="A324" s="58"/>
      <c r="B324" s="58"/>
      <c r="C324" s="58"/>
      <c r="D324" s="53"/>
      <c r="E324" s="169"/>
      <c r="F324" s="169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  <c r="AE324" s="58"/>
    </row>
    <row r="325">
      <c r="A325" s="58"/>
      <c r="B325" s="58"/>
      <c r="C325" s="58"/>
      <c r="D325" s="53"/>
      <c r="E325" s="169"/>
      <c r="F325" s="169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  <c r="AE325" s="58"/>
    </row>
    <row r="326">
      <c r="A326" s="58"/>
      <c r="B326" s="58"/>
      <c r="C326" s="58"/>
      <c r="D326" s="53"/>
      <c r="E326" s="169"/>
      <c r="F326" s="169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  <c r="AE326" s="58"/>
    </row>
    <row r="327">
      <c r="A327" s="58"/>
      <c r="B327" s="58"/>
      <c r="C327" s="58"/>
      <c r="D327" s="53"/>
      <c r="E327" s="169"/>
      <c r="F327" s="169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  <c r="AE327" s="58"/>
    </row>
    <row r="328">
      <c r="A328" s="58"/>
      <c r="B328" s="58"/>
      <c r="C328" s="58"/>
      <c r="D328" s="53"/>
      <c r="E328" s="169"/>
      <c r="F328" s="169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  <c r="AE328" s="58"/>
    </row>
    <row r="329">
      <c r="A329" s="58"/>
      <c r="B329" s="58"/>
      <c r="C329" s="58"/>
      <c r="D329" s="53"/>
      <c r="E329" s="169"/>
      <c r="F329" s="169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  <c r="AD329" s="58"/>
      <c r="AE329" s="58"/>
    </row>
    <row r="330">
      <c r="A330" s="58"/>
      <c r="B330" s="58"/>
      <c r="C330" s="58"/>
      <c r="D330" s="53"/>
      <c r="E330" s="169"/>
      <c r="F330" s="169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  <c r="AD330" s="58"/>
      <c r="AE330" s="58"/>
    </row>
    <row r="331">
      <c r="A331" s="58"/>
      <c r="B331" s="58"/>
      <c r="C331" s="58"/>
      <c r="D331" s="53"/>
      <c r="E331" s="169"/>
      <c r="F331" s="169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  <c r="AD331" s="58"/>
      <c r="AE331" s="58"/>
    </row>
    <row r="332">
      <c r="A332" s="58"/>
      <c r="B332" s="58"/>
      <c r="C332" s="58"/>
      <c r="D332" s="53"/>
      <c r="E332" s="169"/>
      <c r="F332" s="169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  <c r="AD332" s="58"/>
      <c r="AE332" s="58"/>
    </row>
    <row r="333">
      <c r="A333" s="58"/>
      <c r="B333" s="58"/>
      <c r="C333" s="58"/>
      <c r="D333" s="53"/>
      <c r="E333" s="169"/>
      <c r="F333" s="169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  <c r="AD333" s="58"/>
      <c r="AE333" s="58"/>
    </row>
    <row r="334">
      <c r="A334" s="58"/>
      <c r="B334" s="58"/>
      <c r="C334" s="58"/>
      <c r="D334" s="53"/>
      <c r="E334" s="169"/>
      <c r="F334" s="169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  <c r="AD334" s="58"/>
      <c r="AE334" s="58"/>
    </row>
    <row r="335">
      <c r="A335" s="58"/>
      <c r="B335" s="58"/>
      <c r="C335" s="58"/>
      <c r="D335" s="53"/>
      <c r="E335" s="169"/>
      <c r="F335" s="169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  <c r="AD335" s="58"/>
      <c r="AE335" s="58"/>
    </row>
    <row r="336">
      <c r="A336" s="58"/>
      <c r="B336" s="58"/>
      <c r="C336" s="58"/>
      <c r="D336" s="53"/>
      <c r="E336" s="169"/>
      <c r="F336" s="169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  <c r="AD336" s="58"/>
      <c r="AE336" s="58"/>
    </row>
    <row r="337">
      <c r="A337" s="58"/>
      <c r="B337" s="58"/>
      <c r="C337" s="58"/>
      <c r="D337" s="53"/>
      <c r="E337" s="169"/>
      <c r="F337" s="169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  <c r="AD337" s="58"/>
      <c r="AE337" s="58"/>
    </row>
    <row r="338">
      <c r="A338" s="58"/>
      <c r="B338" s="58"/>
      <c r="C338" s="58"/>
      <c r="D338" s="53"/>
      <c r="E338" s="169"/>
      <c r="F338" s="169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</row>
    <row r="339">
      <c r="A339" s="58"/>
      <c r="B339" s="58"/>
      <c r="C339" s="58"/>
      <c r="D339" s="53"/>
      <c r="E339" s="169"/>
      <c r="F339" s="169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  <c r="AD339" s="58"/>
      <c r="AE339" s="58"/>
    </row>
    <row r="340">
      <c r="A340" s="58"/>
      <c r="B340" s="58"/>
      <c r="C340" s="58"/>
      <c r="D340" s="53"/>
      <c r="E340" s="169"/>
      <c r="F340" s="169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</row>
    <row r="341">
      <c r="A341" s="58"/>
      <c r="B341" s="58"/>
      <c r="C341" s="58"/>
      <c r="D341" s="53"/>
      <c r="E341" s="169"/>
      <c r="F341" s="169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  <c r="AD341" s="58"/>
      <c r="AE341" s="58"/>
    </row>
    <row r="342">
      <c r="A342" s="58"/>
      <c r="B342" s="58"/>
      <c r="C342" s="58"/>
      <c r="D342" s="53"/>
      <c r="E342" s="169"/>
      <c r="F342" s="169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</row>
    <row r="343">
      <c r="A343" s="58"/>
      <c r="B343" s="58"/>
      <c r="C343" s="58"/>
      <c r="D343" s="53"/>
      <c r="E343" s="169"/>
      <c r="F343" s="169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  <c r="AD343" s="58"/>
      <c r="AE343" s="58"/>
    </row>
    <row r="344">
      <c r="A344" s="58"/>
      <c r="B344" s="58"/>
      <c r="C344" s="58"/>
      <c r="D344" s="53"/>
      <c r="E344" s="169"/>
      <c r="F344" s="169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  <c r="AD344" s="58"/>
      <c r="AE344" s="58"/>
    </row>
    <row r="345">
      <c r="A345" s="58"/>
      <c r="B345" s="58"/>
      <c r="C345" s="58"/>
      <c r="D345" s="53"/>
      <c r="E345" s="169"/>
      <c r="F345" s="169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  <c r="AD345" s="58"/>
      <c r="AE345" s="58"/>
    </row>
    <row r="346">
      <c r="A346" s="58"/>
      <c r="B346" s="58"/>
      <c r="C346" s="58"/>
      <c r="D346" s="53"/>
      <c r="E346" s="169"/>
      <c r="F346" s="169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  <c r="AD346" s="58"/>
      <c r="AE346" s="58"/>
    </row>
    <row r="347">
      <c r="A347" s="58"/>
      <c r="B347" s="58"/>
      <c r="C347" s="58"/>
      <c r="D347" s="53"/>
      <c r="E347" s="169"/>
      <c r="F347" s="169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  <c r="AD347" s="58"/>
      <c r="AE347" s="58"/>
    </row>
    <row r="348">
      <c r="A348" s="58"/>
      <c r="B348" s="58"/>
      <c r="C348" s="58"/>
      <c r="D348" s="53"/>
      <c r="E348" s="169"/>
      <c r="F348" s="169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  <c r="AD348" s="58"/>
      <c r="AE348" s="58"/>
    </row>
    <row r="349">
      <c r="A349" s="58"/>
      <c r="B349" s="58"/>
      <c r="C349" s="58"/>
      <c r="D349" s="53"/>
      <c r="E349" s="169"/>
      <c r="F349" s="169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  <c r="AD349" s="58"/>
      <c r="AE349" s="58"/>
    </row>
    <row r="350">
      <c r="A350" s="58"/>
      <c r="B350" s="58"/>
      <c r="C350" s="58"/>
      <c r="D350" s="53"/>
      <c r="E350" s="169"/>
      <c r="F350" s="169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  <c r="AD350" s="58"/>
      <c r="AE350" s="58"/>
    </row>
    <row r="351">
      <c r="A351" s="58"/>
      <c r="B351" s="58"/>
      <c r="C351" s="58"/>
      <c r="D351" s="53"/>
      <c r="E351" s="169"/>
      <c r="F351" s="169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  <c r="AD351" s="58"/>
      <c r="AE351" s="58"/>
    </row>
    <row r="352">
      <c r="A352" s="58"/>
      <c r="B352" s="58"/>
      <c r="C352" s="58"/>
      <c r="D352" s="53"/>
      <c r="E352" s="169"/>
      <c r="F352" s="169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  <c r="AD352" s="58"/>
      <c r="AE352" s="58"/>
    </row>
    <row r="353">
      <c r="A353" s="58"/>
      <c r="B353" s="58"/>
      <c r="C353" s="58"/>
      <c r="D353" s="53"/>
      <c r="E353" s="169"/>
      <c r="F353" s="169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  <c r="AD353" s="58"/>
      <c r="AE353" s="58"/>
    </row>
    <row r="354">
      <c r="A354" s="58"/>
      <c r="B354" s="58"/>
      <c r="C354" s="58"/>
      <c r="D354" s="53"/>
      <c r="E354" s="169"/>
      <c r="F354" s="169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  <c r="AD354" s="58"/>
      <c r="AE354" s="58"/>
    </row>
    <row r="355">
      <c r="A355" s="58"/>
      <c r="B355" s="58"/>
      <c r="C355" s="58"/>
      <c r="D355" s="53"/>
      <c r="E355" s="169"/>
      <c r="F355" s="169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  <c r="AD355" s="58"/>
      <c r="AE355" s="58"/>
    </row>
    <row r="356">
      <c r="A356" s="58"/>
      <c r="B356" s="58"/>
      <c r="C356" s="58"/>
      <c r="D356" s="53"/>
      <c r="E356" s="169"/>
      <c r="F356" s="169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  <c r="AD356" s="58"/>
      <c r="AE356" s="58"/>
    </row>
    <row r="357">
      <c r="A357" s="58"/>
      <c r="B357" s="58"/>
      <c r="C357" s="58"/>
      <c r="D357" s="53"/>
      <c r="E357" s="169"/>
      <c r="F357" s="169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  <c r="AD357" s="58"/>
      <c r="AE357" s="58"/>
    </row>
    <row r="358">
      <c r="A358" s="58"/>
      <c r="B358" s="58"/>
      <c r="C358" s="58"/>
      <c r="D358" s="53"/>
      <c r="E358" s="169"/>
      <c r="F358" s="169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  <c r="AD358" s="58"/>
      <c r="AE358" s="58"/>
    </row>
    <row r="359">
      <c r="A359" s="58"/>
      <c r="B359" s="58"/>
      <c r="C359" s="58"/>
      <c r="D359" s="53"/>
      <c r="E359" s="169"/>
      <c r="F359" s="169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</row>
    <row r="360">
      <c r="A360" s="58"/>
      <c r="B360" s="58"/>
      <c r="C360" s="58"/>
      <c r="D360" s="53"/>
      <c r="E360" s="169"/>
      <c r="F360" s="169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  <c r="AD360" s="58"/>
      <c r="AE360" s="58"/>
    </row>
    <row r="361">
      <c r="A361" s="58"/>
      <c r="B361" s="58"/>
      <c r="C361" s="58"/>
      <c r="D361" s="53"/>
      <c r="E361" s="169"/>
      <c r="F361" s="169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  <c r="AD361" s="58"/>
      <c r="AE361" s="58"/>
    </row>
    <row r="362">
      <c r="A362" s="58"/>
      <c r="B362" s="58"/>
      <c r="C362" s="58"/>
      <c r="D362" s="53"/>
      <c r="E362" s="169"/>
      <c r="F362" s="169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  <c r="AD362" s="58"/>
      <c r="AE362" s="58"/>
    </row>
    <row r="363">
      <c r="A363" s="58"/>
      <c r="B363" s="58"/>
      <c r="C363" s="58"/>
      <c r="D363" s="53"/>
      <c r="E363" s="169"/>
      <c r="F363" s="169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  <c r="AD363" s="58"/>
      <c r="AE363" s="58"/>
    </row>
    <row r="364">
      <c r="A364" s="58"/>
      <c r="B364" s="58"/>
      <c r="C364" s="58"/>
      <c r="D364" s="53"/>
      <c r="E364" s="169"/>
      <c r="F364" s="169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  <c r="AD364" s="58"/>
      <c r="AE364" s="58"/>
    </row>
    <row r="365">
      <c r="A365" s="58"/>
      <c r="B365" s="58"/>
      <c r="C365" s="58"/>
      <c r="D365" s="53"/>
      <c r="E365" s="169"/>
      <c r="F365" s="169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  <c r="AD365" s="58"/>
      <c r="AE365" s="58"/>
    </row>
    <row r="366">
      <c r="A366" s="58"/>
      <c r="B366" s="58"/>
      <c r="C366" s="58"/>
      <c r="D366" s="53"/>
      <c r="E366" s="169"/>
      <c r="F366" s="169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  <c r="AD366" s="58"/>
      <c r="AE366" s="58"/>
    </row>
    <row r="367">
      <c r="A367" s="58"/>
      <c r="B367" s="58"/>
      <c r="C367" s="58"/>
      <c r="D367" s="53"/>
      <c r="E367" s="169"/>
      <c r="F367" s="169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  <c r="AD367" s="58"/>
      <c r="AE367" s="58"/>
    </row>
    <row r="368">
      <c r="A368" s="58"/>
      <c r="B368" s="58"/>
      <c r="C368" s="58"/>
      <c r="D368" s="53"/>
      <c r="E368" s="169"/>
      <c r="F368" s="169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  <c r="AD368" s="58"/>
      <c r="AE368" s="58"/>
    </row>
    <row r="369">
      <c r="A369" s="58"/>
      <c r="B369" s="58"/>
      <c r="C369" s="58"/>
      <c r="D369" s="53"/>
      <c r="E369" s="169"/>
      <c r="F369" s="169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  <c r="AE369" s="58"/>
    </row>
    <row r="370">
      <c r="A370" s="58"/>
      <c r="B370" s="58"/>
      <c r="C370" s="58"/>
      <c r="D370" s="53"/>
      <c r="E370" s="169"/>
      <c r="F370" s="169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  <c r="AE370" s="58"/>
    </row>
    <row r="371">
      <c r="A371" s="58"/>
      <c r="B371" s="58"/>
      <c r="C371" s="58"/>
      <c r="D371" s="53"/>
      <c r="E371" s="169"/>
      <c r="F371" s="169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  <c r="AE371" s="58"/>
    </row>
    <row r="372">
      <c r="A372" s="58"/>
      <c r="B372" s="58"/>
      <c r="C372" s="58"/>
      <c r="D372" s="53"/>
      <c r="E372" s="169"/>
      <c r="F372" s="169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  <c r="AE372" s="58"/>
    </row>
    <row r="373">
      <c r="A373" s="58"/>
      <c r="B373" s="58"/>
      <c r="C373" s="58"/>
      <c r="D373" s="53"/>
      <c r="E373" s="169"/>
      <c r="F373" s="169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  <c r="AE373" s="58"/>
    </row>
    <row r="374">
      <c r="A374" s="58"/>
      <c r="B374" s="58"/>
      <c r="C374" s="58"/>
      <c r="D374" s="53"/>
      <c r="E374" s="169"/>
      <c r="F374" s="169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  <c r="AE374" s="58"/>
    </row>
    <row r="375">
      <c r="A375" s="58"/>
      <c r="B375" s="58"/>
      <c r="C375" s="58"/>
      <c r="D375" s="53"/>
      <c r="E375" s="169"/>
      <c r="F375" s="169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  <c r="AE375" s="58"/>
    </row>
    <row r="376">
      <c r="A376" s="58"/>
      <c r="B376" s="58"/>
      <c r="C376" s="58"/>
      <c r="D376" s="53"/>
      <c r="E376" s="169"/>
      <c r="F376" s="169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  <c r="AE376" s="58"/>
    </row>
    <row r="377">
      <c r="A377" s="58"/>
      <c r="B377" s="58"/>
      <c r="C377" s="58"/>
      <c r="D377" s="53"/>
      <c r="E377" s="169"/>
      <c r="F377" s="169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  <c r="AE377" s="58"/>
    </row>
    <row r="378">
      <c r="A378" s="58"/>
      <c r="B378" s="58"/>
      <c r="C378" s="58"/>
      <c r="D378" s="53"/>
      <c r="E378" s="169"/>
      <c r="F378" s="169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  <c r="AE378" s="58"/>
    </row>
    <row r="379">
      <c r="A379" s="58"/>
      <c r="B379" s="58"/>
      <c r="C379" s="58"/>
      <c r="D379" s="53"/>
      <c r="E379" s="169"/>
      <c r="F379" s="169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  <c r="AE379" s="58"/>
    </row>
    <row r="380">
      <c r="A380" s="58"/>
      <c r="B380" s="58"/>
      <c r="C380" s="58"/>
      <c r="D380" s="53"/>
      <c r="E380" s="169"/>
      <c r="F380" s="169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  <c r="AE380" s="58"/>
    </row>
    <row r="381">
      <c r="A381" s="58"/>
      <c r="B381" s="58"/>
      <c r="C381" s="58"/>
      <c r="D381" s="53"/>
      <c r="E381" s="169"/>
      <c r="F381" s="169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  <c r="AE381" s="58"/>
    </row>
    <row r="382">
      <c r="A382" s="58"/>
      <c r="B382" s="58"/>
      <c r="C382" s="58"/>
      <c r="D382" s="53"/>
      <c r="E382" s="169"/>
      <c r="F382" s="169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  <c r="AE382" s="58"/>
    </row>
    <row r="383">
      <c r="A383" s="58"/>
      <c r="B383" s="58"/>
      <c r="C383" s="58"/>
      <c r="D383" s="53"/>
      <c r="E383" s="169"/>
      <c r="F383" s="169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  <c r="AE383" s="58"/>
    </row>
    <row r="384">
      <c r="A384" s="58"/>
      <c r="B384" s="58"/>
      <c r="C384" s="58"/>
      <c r="D384" s="53"/>
      <c r="E384" s="169"/>
      <c r="F384" s="169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  <c r="AE384" s="58"/>
    </row>
    <row r="385">
      <c r="A385" s="58"/>
      <c r="B385" s="58"/>
      <c r="C385" s="58"/>
      <c r="D385" s="53"/>
      <c r="E385" s="169"/>
      <c r="F385" s="169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  <c r="AE385" s="58"/>
    </row>
    <row r="386">
      <c r="A386" s="58"/>
      <c r="B386" s="58"/>
      <c r="C386" s="58"/>
      <c r="D386" s="53"/>
      <c r="E386" s="169"/>
      <c r="F386" s="169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  <c r="AE386" s="58"/>
    </row>
    <row r="387">
      <c r="A387" s="58"/>
      <c r="B387" s="58"/>
      <c r="C387" s="58"/>
      <c r="D387" s="53"/>
      <c r="E387" s="169"/>
      <c r="F387" s="169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  <c r="AE387" s="58"/>
    </row>
    <row r="388">
      <c r="A388" s="58"/>
      <c r="B388" s="58"/>
      <c r="C388" s="58"/>
      <c r="D388" s="53"/>
      <c r="E388" s="169"/>
      <c r="F388" s="169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  <c r="AE388" s="58"/>
    </row>
    <row r="389">
      <c r="A389" s="58"/>
      <c r="B389" s="58"/>
      <c r="C389" s="58"/>
      <c r="D389" s="53"/>
      <c r="E389" s="169"/>
      <c r="F389" s="169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  <c r="AE389" s="58"/>
    </row>
    <row r="390">
      <c r="A390" s="58"/>
      <c r="B390" s="58"/>
      <c r="C390" s="58"/>
      <c r="D390" s="53"/>
      <c r="E390" s="169"/>
      <c r="F390" s="169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  <c r="AE390" s="58"/>
    </row>
    <row r="391">
      <c r="A391" s="58"/>
      <c r="B391" s="58"/>
      <c r="C391" s="58"/>
      <c r="D391" s="53"/>
      <c r="E391" s="169"/>
      <c r="F391" s="169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  <c r="AE391" s="58"/>
    </row>
    <row r="392">
      <c r="A392" s="58"/>
      <c r="B392" s="58"/>
      <c r="C392" s="58"/>
      <c r="D392" s="53"/>
      <c r="E392" s="169"/>
      <c r="F392" s="169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  <c r="AE392" s="58"/>
    </row>
    <row r="393">
      <c r="A393" s="58"/>
      <c r="B393" s="58"/>
      <c r="C393" s="58"/>
      <c r="D393" s="53"/>
      <c r="E393" s="169"/>
      <c r="F393" s="169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  <c r="AE393" s="58"/>
    </row>
    <row r="394">
      <c r="A394" s="58"/>
      <c r="B394" s="58"/>
      <c r="C394" s="58"/>
      <c r="D394" s="53"/>
      <c r="E394" s="169"/>
      <c r="F394" s="169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  <c r="AE394" s="58"/>
    </row>
    <row r="395">
      <c r="A395" s="58"/>
      <c r="B395" s="58"/>
      <c r="C395" s="58"/>
      <c r="D395" s="53"/>
      <c r="E395" s="169"/>
      <c r="F395" s="169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</row>
    <row r="396">
      <c r="A396" s="58"/>
      <c r="B396" s="58"/>
      <c r="C396" s="58"/>
      <c r="D396" s="53"/>
      <c r="E396" s="169"/>
      <c r="F396" s="169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  <c r="AE396" s="58"/>
    </row>
    <row r="397">
      <c r="A397" s="58"/>
      <c r="B397" s="58"/>
      <c r="C397" s="58"/>
      <c r="D397" s="53"/>
      <c r="E397" s="169"/>
      <c r="F397" s="169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  <c r="AE397" s="58"/>
    </row>
    <row r="398">
      <c r="A398" s="58"/>
      <c r="B398" s="58"/>
      <c r="C398" s="58"/>
      <c r="D398" s="53"/>
      <c r="E398" s="169"/>
      <c r="F398" s="169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  <c r="AE398" s="58"/>
    </row>
    <row r="399">
      <c r="A399" s="58"/>
      <c r="B399" s="58"/>
      <c r="C399" s="58"/>
      <c r="D399" s="53"/>
      <c r="E399" s="169"/>
      <c r="F399" s="169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  <c r="AE399" s="58"/>
    </row>
    <row r="400">
      <c r="A400" s="58"/>
      <c r="B400" s="58"/>
      <c r="C400" s="58"/>
      <c r="D400" s="53"/>
      <c r="E400" s="169"/>
      <c r="F400" s="169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  <c r="AE400" s="58"/>
    </row>
    <row r="401">
      <c r="A401" s="58"/>
      <c r="B401" s="58"/>
      <c r="C401" s="58"/>
      <c r="D401" s="53"/>
      <c r="E401" s="169"/>
      <c r="F401" s="169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  <c r="AE401" s="58"/>
    </row>
    <row r="402">
      <c r="A402" s="58"/>
      <c r="B402" s="58"/>
      <c r="C402" s="58"/>
      <c r="D402" s="53"/>
      <c r="E402" s="169"/>
      <c r="F402" s="169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</row>
    <row r="403">
      <c r="A403" s="58"/>
      <c r="B403" s="58"/>
      <c r="C403" s="58"/>
      <c r="D403" s="53"/>
      <c r="E403" s="169"/>
      <c r="F403" s="169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  <c r="AE403" s="58"/>
    </row>
    <row r="404">
      <c r="A404" s="58"/>
      <c r="B404" s="58"/>
      <c r="C404" s="58"/>
      <c r="D404" s="53"/>
      <c r="E404" s="169"/>
      <c r="F404" s="169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  <c r="AE404" s="58"/>
    </row>
    <row r="405">
      <c r="A405" s="58"/>
      <c r="B405" s="58"/>
      <c r="C405" s="58"/>
      <c r="D405" s="53"/>
      <c r="E405" s="169"/>
      <c r="F405" s="169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  <c r="AE405" s="58"/>
    </row>
    <row r="406">
      <c r="A406" s="58"/>
      <c r="B406" s="58"/>
      <c r="C406" s="58"/>
      <c r="D406" s="53"/>
      <c r="E406" s="169"/>
      <c r="F406" s="169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  <c r="AE406" s="58"/>
    </row>
    <row r="407">
      <c r="A407" s="58"/>
      <c r="B407" s="58"/>
      <c r="C407" s="58"/>
      <c r="D407" s="53"/>
      <c r="E407" s="169"/>
      <c r="F407" s="169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  <c r="AE407" s="58"/>
    </row>
    <row r="408">
      <c r="A408" s="58"/>
      <c r="B408" s="58"/>
      <c r="C408" s="58"/>
      <c r="D408" s="53"/>
      <c r="E408" s="169"/>
      <c r="F408" s="169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  <c r="AE408" s="58"/>
    </row>
    <row r="409">
      <c r="A409" s="58"/>
      <c r="B409" s="58"/>
      <c r="C409" s="58"/>
      <c r="D409" s="53"/>
      <c r="E409" s="169"/>
      <c r="F409" s="169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</row>
    <row r="410">
      <c r="A410" s="58"/>
      <c r="B410" s="58"/>
      <c r="C410" s="58"/>
      <c r="D410" s="53"/>
      <c r="E410" s="169"/>
      <c r="F410" s="169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</row>
    <row r="411">
      <c r="A411" s="58"/>
      <c r="B411" s="58"/>
      <c r="C411" s="58"/>
      <c r="D411" s="53"/>
      <c r="E411" s="169"/>
      <c r="F411" s="169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</row>
    <row r="412">
      <c r="A412" s="58"/>
      <c r="B412" s="58"/>
      <c r="C412" s="58"/>
      <c r="D412" s="53"/>
      <c r="E412" s="169"/>
      <c r="F412" s="169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</row>
    <row r="413">
      <c r="A413" s="58"/>
      <c r="B413" s="58"/>
      <c r="C413" s="58"/>
      <c r="D413" s="53"/>
      <c r="E413" s="169"/>
      <c r="F413" s="169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</row>
    <row r="414">
      <c r="A414" s="58"/>
      <c r="B414" s="58"/>
      <c r="C414" s="58"/>
      <c r="D414" s="53"/>
      <c r="E414" s="169"/>
      <c r="F414" s="169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</row>
    <row r="415">
      <c r="A415" s="58"/>
      <c r="B415" s="58"/>
      <c r="C415" s="58"/>
      <c r="D415" s="53"/>
      <c r="E415" s="169"/>
      <c r="F415" s="169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</row>
    <row r="416">
      <c r="A416" s="58"/>
      <c r="B416" s="58"/>
      <c r="C416" s="58"/>
      <c r="D416" s="53"/>
      <c r="E416" s="169"/>
      <c r="F416" s="169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</row>
    <row r="417">
      <c r="A417" s="58"/>
      <c r="B417" s="58"/>
      <c r="C417" s="58"/>
      <c r="D417" s="53"/>
      <c r="E417" s="169"/>
      <c r="F417" s="169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</row>
    <row r="418">
      <c r="A418" s="58"/>
      <c r="B418" s="58"/>
      <c r="C418" s="58"/>
      <c r="D418" s="53"/>
      <c r="E418" s="169"/>
      <c r="F418" s="169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</row>
    <row r="419">
      <c r="A419" s="58"/>
      <c r="B419" s="58"/>
      <c r="C419" s="58"/>
      <c r="D419" s="53"/>
      <c r="E419" s="169"/>
      <c r="F419" s="169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</row>
    <row r="420">
      <c r="A420" s="58"/>
      <c r="B420" s="58"/>
      <c r="C420" s="58"/>
      <c r="D420" s="53"/>
      <c r="E420" s="169"/>
      <c r="F420" s="169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</row>
    <row r="421">
      <c r="A421" s="58"/>
      <c r="B421" s="58"/>
      <c r="C421" s="58"/>
      <c r="D421" s="53"/>
      <c r="E421" s="169"/>
      <c r="F421" s="169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</row>
    <row r="422">
      <c r="A422" s="58"/>
      <c r="B422" s="58"/>
      <c r="C422" s="58"/>
      <c r="D422" s="53"/>
      <c r="E422" s="169"/>
      <c r="F422" s="169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</row>
    <row r="423">
      <c r="A423" s="58"/>
      <c r="B423" s="58"/>
      <c r="C423" s="58"/>
      <c r="D423" s="53"/>
      <c r="E423" s="169"/>
      <c r="F423" s="169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</row>
    <row r="424">
      <c r="A424" s="58"/>
      <c r="B424" s="58"/>
      <c r="C424" s="58"/>
      <c r="D424" s="53"/>
      <c r="E424" s="169"/>
      <c r="F424" s="169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</row>
    <row r="425">
      <c r="A425" s="58"/>
      <c r="B425" s="58"/>
      <c r="C425" s="58"/>
      <c r="D425" s="53"/>
      <c r="E425" s="169"/>
      <c r="F425" s="169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</row>
    <row r="426">
      <c r="A426" s="58"/>
      <c r="B426" s="58"/>
      <c r="C426" s="58"/>
      <c r="D426" s="53"/>
      <c r="E426" s="169"/>
      <c r="F426" s="169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</row>
    <row r="427">
      <c r="A427" s="58"/>
      <c r="B427" s="58"/>
      <c r="C427" s="58"/>
      <c r="D427" s="53"/>
      <c r="E427" s="169"/>
      <c r="F427" s="169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</row>
    <row r="428">
      <c r="A428" s="58"/>
      <c r="B428" s="58"/>
      <c r="C428" s="58"/>
      <c r="D428" s="53"/>
      <c r="E428" s="169"/>
      <c r="F428" s="169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</row>
    <row r="429">
      <c r="A429" s="58"/>
      <c r="B429" s="58"/>
      <c r="C429" s="58"/>
      <c r="D429" s="53"/>
      <c r="E429" s="169"/>
      <c r="F429" s="169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</row>
    <row r="430">
      <c r="A430" s="58"/>
      <c r="B430" s="58"/>
      <c r="C430" s="58"/>
      <c r="D430" s="53"/>
      <c r="E430" s="169"/>
      <c r="F430" s="169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</row>
    <row r="431">
      <c r="A431" s="58"/>
      <c r="B431" s="58"/>
      <c r="C431" s="58"/>
      <c r="D431" s="53"/>
      <c r="E431" s="169"/>
      <c r="F431" s="169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</row>
    <row r="432">
      <c r="A432" s="58"/>
      <c r="B432" s="58"/>
      <c r="C432" s="58"/>
      <c r="D432" s="53"/>
      <c r="E432" s="169"/>
      <c r="F432" s="169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</row>
    <row r="433">
      <c r="A433" s="58"/>
      <c r="B433" s="58"/>
      <c r="C433" s="58"/>
      <c r="D433" s="53"/>
      <c r="E433" s="169"/>
      <c r="F433" s="169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</row>
    <row r="434">
      <c r="A434" s="58"/>
      <c r="B434" s="58"/>
      <c r="C434" s="58"/>
      <c r="D434" s="53"/>
      <c r="E434" s="169"/>
      <c r="F434" s="169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</row>
    <row r="435">
      <c r="A435" s="58"/>
      <c r="B435" s="58"/>
      <c r="C435" s="58"/>
      <c r="D435" s="53"/>
      <c r="E435" s="169"/>
      <c r="F435" s="169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</row>
    <row r="436">
      <c r="A436" s="58"/>
      <c r="B436" s="58"/>
      <c r="C436" s="58"/>
      <c r="D436" s="53"/>
      <c r="E436" s="169"/>
      <c r="F436" s="169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</row>
    <row r="437">
      <c r="A437" s="58"/>
      <c r="B437" s="58"/>
      <c r="C437" s="58"/>
      <c r="D437" s="53"/>
      <c r="E437" s="169"/>
      <c r="F437" s="169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</row>
    <row r="438">
      <c r="A438" s="58"/>
      <c r="B438" s="58"/>
      <c r="C438" s="58"/>
      <c r="D438" s="53"/>
      <c r="E438" s="169"/>
      <c r="F438" s="169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</row>
    <row r="439">
      <c r="A439" s="58"/>
      <c r="B439" s="58"/>
      <c r="C439" s="58"/>
      <c r="D439" s="53"/>
      <c r="E439" s="169"/>
      <c r="F439" s="169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</row>
    <row r="440">
      <c r="A440" s="58"/>
      <c r="B440" s="58"/>
      <c r="C440" s="58"/>
      <c r="D440" s="53"/>
      <c r="E440" s="169"/>
      <c r="F440" s="169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</row>
    <row r="441">
      <c r="A441" s="58"/>
      <c r="B441" s="58"/>
      <c r="C441" s="58"/>
      <c r="D441" s="53"/>
      <c r="E441" s="169"/>
      <c r="F441" s="169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</row>
    <row r="442">
      <c r="A442" s="58"/>
      <c r="B442" s="58"/>
      <c r="C442" s="58"/>
      <c r="D442" s="53"/>
      <c r="E442" s="169"/>
      <c r="F442" s="169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</row>
    <row r="443">
      <c r="A443" s="58"/>
      <c r="B443" s="58"/>
      <c r="C443" s="58"/>
      <c r="D443" s="53"/>
      <c r="E443" s="169"/>
      <c r="F443" s="169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</row>
    <row r="444">
      <c r="A444" s="58"/>
      <c r="B444" s="58"/>
      <c r="C444" s="58"/>
      <c r="D444" s="53"/>
      <c r="E444" s="169"/>
      <c r="F444" s="169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</row>
    <row r="445">
      <c r="A445" s="58"/>
      <c r="B445" s="58"/>
      <c r="C445" s="58"/>
      <c r="D445" s="53"/>
      <c r="E445" s="169"/>
      <c r="F445" s="169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</row>
    <row r="446">
      <c r="A446" s="58"/>
      <c r="B446" s="58"/>
      <c r="C446" s="58"/>
      <c r="D446" s="53"/>
      <c r="E446" s="169"/>
      <c r="F446" s="169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</row>
    <row r="447">
      <c r="A447" s="58"/>
      <c r="B447" s="58"/>
      <c r="C447" s="58"/>
      <c r="D447" s="53"/>
      <c r="E447" s="169"/>
      <c r="F447" s="169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</row>
    <row r="448">
      <c r="A448" s="58"/>
      <c r="B448" s="58"/>
      <c r="C448" s="58"/>
      <c r="D448" s="53"/>
      <c r="E448" s="169"/>
      <c r="F448" s="169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</row>
    <row r="449">
      <c r="A449" s="58"/>
      <c r="B449" s="58"/>
      <c r="C449" s="58"/>
      <c r="D449" s="53"/>
      <c r="E449" s="169"/>
      <c r="F449" s="169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</row>
    <row r="450">
      <c r="A450" s="58"/>
      <c r="B450" s="58"/>
      <c r="C450" s="58"/>
      <c r="D450" s="53"/>
      <c r="E450" s="169"/>
      <c r="F450" s="169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</row>
    <row r="451">
      <c r="A451" s="58"/>
      <c r="B451" s="58"/>
      <c r="C451" s="58"/>
      <c r="D451" s="53"/>
      <c r="E451" s="169"/>
      <c r="F451" s="169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</row>
    <row r="452">
      <c r="A452" s="58"/>
      <c r="B452" s="58"/>
      <c r="C452" s="58"/>
      <c r="D452" s="53"/>
      <c r="E452" s="169"/>
      <c r="F452" s="169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</row>
    <row r="453">
      <c r="A453" s="58"/>
      <c r="B453" s="58"/>
      <c r="C453" s="58"/>
      <c r="D453" s="53"/>
      <c r="E453" s="169"/>
      <c r="F453" s="169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</row>
    <row r="454">
      <c r="A454" s="58"/>
      <c r="B454" s="58"/>
      <c r="C454" s="58"/>
      <c r="D454" s="53"/>
      <c r="E454" s="169"/>
      <c r="F454" s="169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</row>
    <row r="455">
      <c r="A455" s="58"/>
      <c r="B455" s="58"/>
      <c r="C455" s="58"/>
      <c r="D455" s="53"/>
      <c r="E455" s="169"/>
      <c r="F455" s="169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</row>
    <row r="456">
      <c r="A456" s="58"/>
      <c r="B456" s="58"/>
      <c r="C456" s="58"/>
      <c r="D456" s="53"/>
      <c r="E456" s="169"/>
      <c r="F456" s="169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</row>
    <row r="457">
      <c r="A457" s="58"/>
      <c r="B457" s="58"/>
      <c r="C457" s="58"/>
      <c r="D457" s="53"/>
      <c r="E457" s="169"/>
      <c r="F457" s="169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</row>
    <row r="458">
      <c r="A458" s="58"/>
      <c r="B458" s="58"/>
      <c r="C458" s="58"/>
      <c r="D458" s="53"/>
      <c r="E458" s="169"/>
      <c r="F458" s="169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</row>
    <row r="459">
      <c r="A459" s="58"/>
      <c r="B459" s="58"/>
      <c r="C459" s="58"/>
      <c r="D459" s="53"/>
      <c r="E459" s="169"/>
      <c r="F459" s="169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</row>
    <row r="460">
      <c r="A460" s="58"/>
      <c r="B460" s="58"/>
      <c r="C460" s="58"/>
      <c r="D460" s="53"/>
      <c r="E460" s="169"/>
      <c r="F460" s="169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</row>
    <row r="461">
      <c r="A461" s="58"/>
      <c r="B461" s="58"/>
      <c r="C461" s="58"/>
      <c r="D461" s="53"/>
      <c r="E461" s="169"/>
      <c r="F461" s="169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</row>
    <row r="462">
      <c r="A462" s="58"/>
      <c r="B462" s="58"/>
      <c r="C462" s="58"/>
      <c r="D462" s="53"/>
      <c r="E462" s="169"/>
      <c r="F462" s="169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</row>
    <row r="463">
      <c r="A463" s="58"/>
      <c r="B463" s="58"/>
      <c r="C463" s="58"/>
      <c r="D463" s="53"/>
      <c r="E463" s="169"/>
      <c r="F463" s="169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</row>
    <row r="464">
      <c r="A464" s="58"/>
      <c r="B464" s="58"/>
      <c r="C464" s="58"/>
      <c r="D464" s="53"/>
      <c r="E464" s="169"/>
      <c r="F464" s="169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</row>
    <row r="465">
      <c r="A465" s="58"/>
      <c r="B465" s="58"/>
      <c r="C465" s="58"/>
      <c r="D465" s="53"/>
      <c r="E465" s="169"/>
      <c r="F465" s="169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</row>
    <row r="466">
      <c r="A466" s="58"/>
      <c r="B466" s="58"/>
      <c r="C466" s="58"/>
      <c r="D466" s="53"/>
      <c r="E466" s="169"/>
      <c r="F466" s="169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</row>
    <row r="467">
      <c r="A467" s="58"/>
      <c r="B467" s="58"/>
      <c r="C467" s="58"/>
      <c r="D467" s="53"/>
      <c r="E467" s="169"/>
      <c r="F467" s="169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</row>
    <row r="468">
      <c r="A468" s="58"/>
      <c r="B468" s="58"/>
      <c r="C468" s="58"/>
      <c r="D468" s="53"/>
      <c r="E468" s="169"/>
      <c r="F468" s="169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</row>
    <row r="469">
      <c r="A469" s="58"/>
      <c r="B469" s="58"/>
      <c r="C469" s="58"/>
      <c r="D469" s="53"/>
      <c r="E469" s="169"/>
      <c r="F469" s="169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</row>
    <row r="470">
      <c r="A470" s="58"/>
      <c r="B470" s="58"/>
      <c r="C470" s="58"/>
      <c r="D470" s="53"/>
      <c r="E470" s="169"/>
      <c r="F470" s="169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</row>
    <row r="471">
      <c r="A471" s="58"/>
      <c r="B471" s="58"/>
      <c r="C471" s="58"/>
      <c r="D471" s="53"/>
      <c r="E471" s="169"/>
      <c r="F471" s="169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</row>
    <row r="472">
      <c r="A472" s="58"/>
      <c r="B472" s="58"/>
      <c r="C472" s="58"/>
      <c r="D472" s="53"/>
      <c r="E472" s="169"/>
      <c r="F472" s="169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</row>
    <row r="473">
      <c r="A473" s="58"/>
      <c r="B473" s="58"/>
      <c r="C473" s="58"/>
      <c r="D473" s="53"/>
      <c r="E473" s="169"/>
      <c r="F473" s="169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</row>
    <row r="474">
      <c r="A474" s="58"/>
      <c r="B474" s="58"/>
      <c r="C474" s="58"/>
      <c r="D474" s="53"/>
      <c r="E474" s="169"/>
      <c r="F474" s="169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</row>
    <row r="475">
      <c r="A475" s="58"/>
      <c r="B475" s="58"/>
      <c r="C475" s="58"/>
      <c r="D475" s="53"/>
      <c r="E475" s="169"/>
      <c r="F475" s="169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</row>
    <row r="476">
      <c r="A476" s="58"/>
      <c r="B476" s="58"/>
      <c r="C476" s="58"/>
      <c r="D476" s="53"/>
      <c r="E476" s="169"/>
      <c r="F476" s="169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</row>
    <row r="477">
      <c r="A477" s="58"/>
      <c r="B477" s="58"/>
      <c r="C477" s="58"/>
      <c r="D477" s="53"/>
      <c r="E477" s="169"/>
      <c r="F477" s="169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</row>
    <row r="478">
      <c r="A478" s="58"/>
      <c r="B478" s="58"/>
      <c r="C478" s="58"/>
      <c r="D478" s="53"/>
      <c r="E478" s="169"/>
      <c r="F478" s="169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</row>
    <row r="479">
      <c r="A479" s="58"/>
      <c r="B479" s="58"/>
      <c r="C479" s="58"/>
      <c r="D479" s="53"/>
      <c r="E479" s="169"/>
      <c r="F479" s="169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</row>
    <row r="480">
      <c r="A480" s="58"/>
      <c r="B480" s="58"/>
      <c r="C480" s="58"/>
      <c r="D480" s="53"/>
      <c r="E480" s="169"/>
      <c r="F480" s="169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</row>
    <row r="481">
      <c r="A481" s="58"/>
      <c r="B481" s="58"/>
      <c r="C481" s="58"/>
      <c r="D481" s="53"/>
      <c r="E481" s="169"/>
      <c r="F481" s="169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</row>
    <row r="482">
      <c r="A482" s="58"/>
      <c r="B482" s="58"/>
      <c r="C482" s="58"/>
      <c r="D482" s="53"/>
      <c r="E482" s="169"/>
      <c r="F482" s="169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</row>
    <row r="483">
      <c r="A483" s="58"/>
      <c r="B483" s="58"/>
      <c r="C483" s="58"/>
      <c r="D483" s="53"/>
      <c r="E483" s="169"/>
      <c r="F483" s="169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</row>
    <row r="484">
      <c r="A484" s="58"/>
      <c r="B484" s="58"/>
      <c r="C484" s="58"/>
      <c r="D484" s="53"/>
      <c r="E484" s="169"/>
      <c r="F484" s="169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</row>
    <row r="485">
      <c r="A485" s="58"/>
      <c r="B485" s="58"/>
      <c r="C485" s="58"/>
      <c r="D485" s="53"/>
      <c r="E485" s="169"/>
      <c r="F485" s="169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</row>
    <row r="486">
      <c r="A486" s="58"/>
      <c r="B486" s="58"/>
      <c r="C486" s="58"/>
      <c r="D486" s="53"/>
      <c r="E486" s="169"/>
      <c r="F486" s="169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</row>
    <row r="487">
      <c r="A487" s="58"/>
      <c r="B487" s="58"/>
      <c r="C487" s="58"/>
      <c r="D487" s="53"/>
      <c r="E487" s="169"/>
      <c r="F487" s="169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</row>
    <row r="488">
      <c r="A488" s="58"/>
      <c r="B488" s="58"/>
      <c r="C488" s="58"/>
      <c r="D488" s="53"/>
      <c r="E488" s="169"/>
      <c r="F488" s="169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</row>
    <row r="489">
      <c r="A489" s="58"/>
      <c r="B489" s="58"/>
      <c r="C489" s="58"/>
      <c r="D489" s="53"/>
      <c r="E489" s="169"/>
      <c r="F489" s="169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</row>
    <row r="490">
      <c r="A490" s="58"/>
      <c r="B490" s="58"/>
      <c r="C490" s="58"/>
      <c r="D490" s="53"/>
      <c r="E490" s="169"/>
      <c r="F490" s="169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</row>
    <row r="491">
      <c r="A491" s="58"/>
      <c r="B491" s="58"/>
      <c r="C491" s="58"/>
      <c r="D491" s="53"/>
      <c r="E491" s="169"/>
      <c r="F491" s="169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</row>
    <row r="492">
      <c r="A492" s="58"/>
      <c r="B492" s="58"/>
      <c r="C492" s="58"/>
      <c r="D492" s="53"/>
      <c r="E492" s="169"/>
      <c r="F492" s="169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</row>
    <row r="493">
      <c r="A493" s="58"/>
      <c r="B493" s="58"/>
      <c r="C493" s="58"/>
      <c r="D493" s="53"/>
      <c r="E493" s="169"/>
      <c r="F493" s="169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</row>
    <row r="494">
      <c r="A494" s="58"/>
      <c r="B494" s="58"/>
      <c r="C494" s="58"/>
      <c r="D494" s="53"/>
      <c r="E494" s="169"/>
      <c r="F494" s="169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</row>
    <row r="495">
      <c r="A495" s="58"/>
      <c r="B495" s="58"/>
      <c r="C495" s="58"/>
      <c r="D495" s="53"/>
      <c r="E495" s="169"/>
      <c r="F495" s="169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</row>
    <row r="496">
      <c r="A496" s="58"/>
      <c r="B496" s="58"/>
      <c r="C496" s="58"/>
      <c r="D496" s="53"/>
      <c r="E496" s="169"/>
      <c r="F496" s="169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</row>
    <row r="497">
      <c r="A497" s="58"/>
      <c r="B497" s="58"/>
      <c r="C497" s="58"/>
      <c r="D497" s="53"/>
      <c r="E497" s="169"/>
      <c r="F497" s="169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</row>
    <row r="498">
      <c r="A498" s="58"/>
      <c r="B498" s="58"/>
      <c r="C498" s="58"/>
      <c r="D498" s="53"/>
      <c r="E498" s="169"/>
      <c r="F498" s="169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</row>
    <row r="499">
      <c r="A499" s="58"/>
      <c r="B499" s="58"/>
      <c r="C499" s="58"/>
      <c r="D499" s="53"/>
      <c r="E499" s="169"/>
      <c r="F499" s="169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</row>
    <row r="500">
      <c r="A500" s="58"/>
      <c r="B500" s="58"/>
      <c r="C500" s="58"/>
      <c r="D500" s="53"/>
      <c r="E500" s="169"/>
      <c r="F500" s="169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</row>
    <row r="501">
      <c r="A501" s="58"/>
      <c r="B501" s="58"/>
      <c r="C501" s="58"/>
      <c r="D501" s="53"/>
      <c r="E501" s="169"/>
      <c r="F501" s="169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</row>
    <row r="502">
      <c r="A502" s="58"/>
      <c r="B502" s="58"/>
      <c r="C502" s="58"/>
      <c r="D502" s="53"/>
      <c r="E502" s="169"/>
      <c r="F502" s="169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</row>
    <row r="503">
      <c r="A503" s="58"/>
      <c r="B503" s="58"/>
      <c r="C503" s="58"/>
      <c r="D503" s="53"/>
      <c r="E503" s="169"/>
      <c r="F503" s="169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</row>
    <row r="504">
      <c r="A504" s="58"/>
      <c r="B504" s="58"/>
      <c r="C504" s="58"/>
      <c r="D504" s="53"/>
      <c r="E504" s="169"/>
      <c r="F504" s="169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</row>
    <row r="505">
      <c r="A505" s="58"/>
      <c r="B505" s="58"/>
      <c r="C505" s="58"/>
      <c r="D505" s="53"/>
      <c r="E505" s="169"/>
      <c r="F505" s="169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</row>
    <row r="506">
      <c r="A506" s="58"/>
      <c r="B506" s="58"/>
      <c r="C506" s="58"/>
      <c r="D506" s="53"/>
      <c r="E506" s="169"/>
      <c r="F506" s="169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</row>
    <row r="507">
      <c r="A507" s="58"/>
      <c r="B507" s="58"/>
      <c r="C507" s="58"/>
      <c r="D507" s="53"/>
      <c r="E507" s="169"/>
      <c r="F507" s="169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</row>
    <row r="508">
      <c r="A508" s="58"/>
      <c r="B508" s="58"/>
      <c r="C508" s="58"/>
      <c r="D508" s="53"/>
      <c r="E508" s="169"/>
      <c r="F508" s="169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</row>
    <row r="509">
      <c r="A509" s="58"/>
      <c r="B509" s="58"/>
      <c r="C509" s="58"/>
      <c r="D509" s="53"/>
      <c r="E509" s="169"/>
      <c r="F509" s="169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</row>
    <row r="510">
      <c r="A510" s="58"/>
      <c r="B510" s="58"/>
      <c r="C510" s="58"/>
      <c r="D510" s="53"/>
      <c r="E510" s="169"/>
      <c r="F510" s="169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</row>
    <row r="511">
      <c r="A511" s="58"/>
      <c r="B511" s="58"/>
      <c r="C511" s="58"/>
      <c r="D511" s="53"/>
      <c r="E511" s="169"/>
      <c r="F511" s="169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</row>
    <row r="512">
      <c r="A512" s="58"/>
      <c r="B512" s="58"/>
      <c r="C512" s="58"/>
      <c r="D512" s="53"/>
      <c r="E512" s="169"/>
      <c r="F512" s="169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</row>
    <row r="513">
      <c r="A513" s="58"/>
      <c r="B513" s="58"/>
      <c r="C513" s="58"/>
      <c r="D513" s="53"/>
      <c r="E513" s="169"/>
      <c r="F513" s="169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</row>
    <row r="514">
      <c r="A514" s="58"/>
      <c r="B514" s="58"/>
      <c r="C514" s="58"/>
      <c r="D514" s="53"/>
      <c r="E514" s="169"/>
      <c r="F514" s="169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</row>
    <row r="515">
      <c r="A515" s="58"/>
      <c r="B515" s="58"/>
      <c r="C515" s="58"/>
      <c r="D515" s="53"/>
      <c r="E515" s="169"/>
      <c r="F515" s="169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</row>
    <row r="516">
      <c r="A516" s="58"/>
      <c r="B516" s="58"/>
      <c r="C516" s="58"/>
      <c r="D516" s="53"/>
      <c r="E516" s="169"/>
      <c r="F516" s="169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</row>
    <row r="517">
      <c r="A517" s="58"/>
      <c r="B517" s="58"/>
      <c r="C517" s="58"/>
      <c r="D517" s="53"/>
      <c r="E517" s="169"/>
      <c r="F517" s="169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</row>
    <row r="518">
      <c r="A518" s="58"/>
      <c r="B518" s="58"/>
      <c r="C518" s="58"/>
      <c r="D518" s="53"/>
      <c r="E518" s="169"/>
      <c r="F518" s="169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</row>
    <row r="519">
      <c r="A519" s="58"/>
      <c r="B519" s="58"/>
      <c r="C519" s="58"/>
      <c r="D519" s="53"/>
      <c r="E519" s="169"/>
      <c r="F519" s="169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</row>
    <row r="520">
      <c r="A520" s="58"/>
      <c r="B520" s="58"/>
      <c r="C520" s="58"/>
      <c r="D520" s="53"/>
      <c r="E520" s="169"/>
      <c r="F520" s="169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</row>
    <row r="521">
      <c r="A521" s="58"/>
      <c r="B521" s="58"/>
      <c r="C521" s="58"/>
      <c r="D521" s="53"/>
      <c r="E521" s="169"/>
      <c r="F521" s="169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</row>
    <row r="522">
      <c r="A522" s="58"/>
      <c r="B522" s="58"/>
      <c r="C522" s="58"/>
      <c r="D522" s="53"/>
      <c r="E522" s="169"/>
      <c r="F522" s="169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</row>
    <row r="523">
      <c r="A523" s="58"/>
      <c r="B523" s="58"/>
      <c r="C523" s="58"/>
      <c r="D523" s="53"/>
      <c r="E523" s="169"/>
      <c r="F523" s="169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</row>
    <row r="524">
      <c r="A524" s="58"/>
      <c r="B524" s="58"/>
      <c r="C524" s="58"/>
      <c r="D524" s="53"/>
      <c r="E524" s="169"/>
      <c r="F524" s="169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</row>
    <row r="525">
      <c r="A525" s="58"/>
      <c r="B525" s="58"/>
      <c r="C525" s="58"/>
      <c r="D525" s="53"/>
      <c r="E525" s="169"/>
      <c r="F525" s="169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</row>
    <row r="526">
      <c r="A526" s="58"/>
      <c r="B526" s="58"/>
      <c r="C526" s="58"/>
      <c r="D526" s="53"/>
      <c r="E526" s="169"/>
      <c r="F526" s="169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</row>
    <row r="527">
      <c r="A527" s="58"/>
      <c r="B527" s="58"/>
      <c r="C527" s="58"/>
      <c r="D527" s="53"/>
      <c r="E527" s="169"/>
      <c r="F527" s="169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</row>
    <row r="528">
      <c r="A528" s="58"/>
      <c r="B528" s="58"/>
      <c r="C528" s="58"/>
      <c r="D528" s="53"/>
      <c r="E528" s="169"/>
      <c r="F528" s="169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</row>
    <row r="529">
      <c r="A529" s="58"/>
      <c r="B529" s="58"/>
      <c r="C529" s="58"/>
      <c r="D529" s="53"/>
      <c r="E529" s="169"/>
      <c r="F529" s="169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</row>
    <row r="530">
      <c r="A530" s="58"/>
      <c r="B530" s="58"/>
      <c r="C530" s="58"/>
      <c r="D530" s="53"/>
      <c r="E530" s="169"/>
      <c r="F530" s="169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</row>
    <row r="531">
      <c r="A531" s="58"/>
      <c r="B531" s="58"/>
      <c r="C531" s="58"/>
      <c r="D531" s="53"/>
      <c r="E531" s="169"/>
      <c r="F531" s="169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</row>
    <row r="532">
      <c r="A532" s="58"/>
      <c r="B532" s="58"/>
      <c r="C532" s="58"/>
      <c r="D532" s="53"/>
      <c r="E532" s="169"/>
      <c r="F532" s="169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</row>
    <row r="533">
      <c r="A533" s="58"/>
      <c r="B533" s="58"/>
      <c r="C533" s="58"/>
      <c r="D533" s="53"/>
      <c r="E533" s="169"/>
      <c r="F533" s="169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</row>
    <row r="534">
      <c r="A534" s="58"/>
      <c r="B534" s="58"/>
      <c r="C534" s="58"/>
      <c r="D534" s="53"/>
      <c r="E534" s="169"/>
      <c r="F534" s="169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</row>
    <row r="535">
      <c r="A535" s="58"/>
      <c r="B535" s="58"/>
      <c r="C535" s="58"/>
      <c r="D535" s="53"/>
      <c r="E535" s="169"/>
      <c r="F535" s="169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</row>
    <row r="536">
      <c r="A536" s="58"/>
      <c r="B536" s="58"/>
      <c r="C536" s="58"/>
      <c r="D536" s="53"/>
      <c r="E536" s="169"/>
      <c r="F536" s="169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</row>
    <row r="537">
      <c r="A537" s="58"/>
      <c r="B537" s="58"/>
      <c r="C537" s="58"/>
      <c r="D537" s="53"/>
      <c r="E537" s="169"/>
      <c r="F537" s="169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</row>
    <row r="538">
      <c r="A538" s="58"/>
      <c r="B538" s="58"/>
      <c r="C538" s="58"/>
      <c r="D538" s="53"/>
      <c r="E538" s="169"/>
      <c r="F538" s="169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</row>
    <row r="539">
      <c r="A539" s="58"/>
      <c r="B539" s="58"/>
      <c r="C539" s="58"/>
      <c r="D539" s="53"/>
      <c r="E539" s="169"/>
      <c r="F539" s="169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</row>
    <row r="540">
      <c r="A540" s="58"/>
      <c r="B540" s="58"/>
      <c r="C540" s="58"/>
      <c r="D540" s="53"/>
      <c r="E540" s="169"/>
      <c r="F540" s="169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</row>
    <row r="541">
      <c r="A541" s="58"/>
      <c r="B541" s="58"/>
      <c r="C541" s="58"/>
      <c r="D541" s="53"/>
      <c r="E541" s="169"/>
      <c r="F541" s="169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</row>
    <row r="542">
      <c r="A542" s="58"/>
      <c r="B542" s="58"/>
      <c r="C542" s="58"/>
      <c r="D542" s="53"/>
      <c r="E542" s="169"/>
      <c r="F542" s="169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</row>
    <row r="543">
      <c r="A543" s="58"/>
      <c r="B543" s="58"/>
      <c r="C543" s="58"/>
      <c r="D543" s="53"/>
      <c r="E543" s="169"/>
      <c r="F543" s="169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</row>
    <row r="544">
      <c r="A544" s="58"/>
      <c r="B544" s="58"/>
      <c r="C544" s="58"/>
      <c r="D544" s="53"/>
      <c r="E544" s="169"/>
      <c r="F544" s="169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</row>
    <row r="545">
      <c r="A545" s="58"/>
      <c r="B545" s="58"/>
      <c r="C545" s="58"/>
      <c r="D545" s="53"/>
      <c r="E545" s="169"/>
      <c r="F545" s="169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</row>
    <row r="546">
      <c r="A546" s="58"/>
      <c r="B546" s="58"/>
      <c r="C546" s="58"/>
      <c r="D546" s="53"/>
      <c r="E546" s="169"/>
      <c r="F546" s="169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</row>
    <row r="547">
      <c r="A547" s="58"/>
      <c r="B547" s="58"/>
      <c r="C547" s="58"/>
      <c r="D547" s="53"/>
      <c r="E547" s="169"/>
      <c r="F547" s="169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</row>
    <row r="548">
      <c r="A548" s="58"/>
      <c r="B548" s="58"/>
      <c r="C548" s="58"/>
      <c r="D548" s="53"/>
      <c r="E548" s="169"/>
      <c r="F548" s="169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</row>
    <row r="549">
      <c r="A549" s="58"/>
      <c r="B549" s="58"/>
      <c r="C549" s="58"/>
      <c r="D549" s="53"/>
      <c r="E549" s="169"/>
      <c r="F549" s="169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</row>
    <row r="550">
      <c r="A550" s="58"/>
      <c r="B550" s="58"/>
      <c r="C550" s="58"/>
      <c r="D550" s="53"/>
      <c r="E550" s="169"/>
      <c r="F550" s="169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</row>
    <row r="551">
      <c r="A551" s="58"/>
      <c r="B551" s="58"/>
      <c r="C551" s="58"/>
      <c r="D551" s="53"/>
      <c r="E551" s="169"/>
      <c r="F551" s="169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</row>
    <row r="552">
      <c r="A552" s="58"/>
      <c r="B552" s="58"/>
      <c r="C552" s="58"/>
      <c r="D552" s="53"/>
      <c r="E552" s="169"/>
      <c r="F552" s="169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</row>
    <row r="553">
      <c r="A553" s="58"/>
      <c r="B553" s="58"/>
      <c r="C553" s="58"/>
      <c r="D553" s="53"/>
      <c r="E553" s="169"/>
      <c r="F553" s="169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</row>
    <row r="554">
      <c r="A554" s="58"/>
      <c r="B554" s="58"/>
      <c r="C554" s="58"/>
      <c r="D554" s="53"/>
      <c r="E554" s="169"/>
      <c r="F554" s="169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</row>
    <row r="555">
      <c r="A555" s="58"/>
      <c r="B555" s="58"/>
      <c r="C555" s="58"/>
      <c r="D555" s="53"/>
      <c r="E555" s="169"/>
      <c r="F555" s="169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</row>
    <row r="556">
      <c r="A556" s="58"/>
      <c r="B556" s="58"/>
      <c r="C556" s="58"/>
      <c r="D556" s="53"/>
      <c r="E556" s="169"/>
      <c r="F556" s="169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</row>
    <row r="557">
      <c r="A557" s="58"/>
      <c r="B557" s="58"/>
      <c r="C557" s="58"/>
      <c r="D557" s="53"/>
      <c r="E557" s="169"/>
      <c r="F557" s="169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</row>
    <row r="558">
      <c r="A558" s="58"/>
      <c r="B558" s="58"/>
      <c r="C558" s="58"/>
      <c r="D558" s="53"/>
      <c r="E558" s="169"/>
      <c r="F558" s="169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</row>
    <row r="559">
      <c r="A559" s="58"/>
      <c r="B559" s="58"/>
      <c r="C559" s="58"/>
      <c r="D559" s="53"/>
      <c r="E559" s="169"/>
      <c r="F559" s="169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</row>
    <row r="560">
      <c r="A560" s="58"/>
      <c r="B560" s="58"/>
      <c r="C560" s="58"/>
      <c r="D560" s="53"/>
      <c r="E560" s="169"/>
      <c r="F560" s="169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</row>
    <row r="561">
      <c r="A561" s="58"/>
      <c r="B561" s="58"/>
      <c r="C561" s="58"/>
      <c r="D561" s="53"/>
      <c r="E561" s="169"/>
      <c r="F561" s="169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</row>
    <row r="562">
      <c r="A562" s="58"/>
      <c r="B562" s="58"/>
      <c r="C562" s="58"/>
      <c r="D562" s="53"/>
      <c r="E562" s="169"/>
      <c r="F562" s="169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</row>
    <row r="563">
      <c r="A563" s="58"/>
      <c r="B563" s="58"/>
      <c r="C563" s="58"/>
      <c r="D563" s="53"/>
      <c r="E563" s="169"/>
      <c r="F563" s="169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</row>
    <row r="564">
      <c r="A564" s="58"/>
      <c r="B564" s="58"/>
      <c r="C564" s="58"/>
      <c r="D564" s="53"/>
      <c r="E564" s="169"/>
      <c r="F564" s="169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</row>
    <row r="565">
      <c r="A565" s="58"/>
      <c r="B565" s="58"/>
      <c r="C565" s="58"/>
      <c r="D565" s="53"/>
      <c r="E565" s="169"/>
      <c r="F565" s="169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</row>
    <row r="566">
      <c r="A566" s="58"/>
      <c r="B566" s="58"/>
      <c r="C566" s="58"/>
      <c r="D566" s="53"/>
      <c r="E566" s="169"/>
      <c r="F566" s="169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</row>
    <row r="567">
      <c r="A567" s="58"/>
      <c r="B567" s="58"/>
      <c r="C567" s="58"/>
      <c r="D567" s="53"/>
      <c r="E567" s="169"/>
      <c r="F567" s="169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</row>
    <row r="568">
      <c r="A568" s="58"/>
      <c r="B568" s="58"/>
      <c r="C568" s="58"/>
      <c r="D568" s="53"/>
      <c r="E568" s="169"/>
      <c r="F568" s="169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</row>
    <row r="569">
      <c r="A569" s="58"/>
      <c r="B569" s="58"/>
      <c r="C569" s="58"/>
      <c r="D569" s="53"/>
      <c r="E569" s="169"/>
      <c r="F569" s="169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</row>
    <row r="570">
      <c r="A570" s="58"/>
      <c r="B570" s="58"/>
      <c r="C570" s="58"/>
      <c r="D570" s="53"/>
      <c r="E570" s="169"/>
      <c r="F570" s="169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</row>
    <row r="571">
      <c r="A571" s="58"/>
      <c r="B571" s="58"/>
      <c r="C571" s="58"/>
      <c r="D571" s="53"/>
      <c r="E571" s="169"/>
      <c r="F571" s="169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</row>
    <row r="572">
      <c r="A572" s="58"/>
      <c r="B572" s="58"/>
      <c r="C572" s="58"/>
      <c r="D572" s="53"/>
      <c r="E572" s="169"/>
      <c r="F572" s="169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</row>
    <row r="573">
      <c r="A573" s="58"/>
      <c r="B573" s="58"/>
      <c r="C573" s="58"/>
      <c r="D573" s="53"/>
      <c r="E573" s="169"/>
      <c r="F573" s="169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</row>
    <row r="574">
      <c r="A574" s="58"/>
      <c r="B574" s="58"/>
      <c r="C574" s="58"/>
      <c r="D574" s="53"/>
      <c r="E574" s="169"/>
      <c r="F574" s="169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</row>
    <row r="575">
      <c r="A575" s="58"/>
      <c r="B575" s="58"/>
      <c r="C575" s="58"/>
      <c r="D575" s="53"/>
      <c r="E575" s="169"/>
      <c r="F575" s="169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</row>
    <row r="576">
      <c r="A576" s="58"/>
      <c r="B576" s="58"/>
      <c r="C576" s="58"/>
      <c r="D576" s="53"/>
      <c r="E576" s="169"/>
      <c r="F576" s="169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</row>
    <row r="577">
      <c r="A577" s="58"/>
      <c r="B577" s="58"/>
      <c r="C577" s="58"/>
      <c r="D577" s="53"/>
      <c r="E577" s="169"/>
      <c r="F577" s="169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</row>
    <row r="578">
      <c r="A578" s="58"/>
      <c r="B578" s="58"/>
      <c r="C578" s="58"/>
      <c r="D578" s="53"/>
      <c r="E578" s="169"/>
      <c r="F578" s="169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</row>
    <row r="579">
      <c r="A579" s="58"/>
      <c r="B579" s="58"/>
      <c r="C579" s="58"/>
      <c r="D579" s="53"/>
      <c r="E579" s="169"/>
      <c r="F579" s="169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</row>
    <row r="580">
      <c r="A580" s="58"/>
      <c r="B580" s="58"/>
      <c r="C580" s="58"/>
      <c r="D580" s="53"/>
      <c r="E580" s="169"/>
      <c r="F580" s="169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</row>
    <row r="581">
      <c r="A581" s="58"/>
      <c r="B581" s="58"/>
      <c r="C581" s="58"/>
      <c r="D581" s="53"/>
      <c r="E581" s="169"/>
      <c r="F581" s="169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</row>
    <row r="582">
      <c r="A582" s="58"/>
      <c r="B582" s="58"/>
      <c r="C582" s="58"/>
      <c r="D582" s="53"/>
      <c r="E582" s="169"/>
      <c r="F582" s="169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</row>
    <row r="583">
      <c r="A583" s="58"/>
      <c r="B583" s="58"/>
      <c r="C583" s="58"/>
      <c r="D583" s="53"/>
      <c r="E583" s="169"/>
      <c r="F583" s="169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</row>
    <row r="584">
      <c r="A584" s="58"/>
      <c r="B584" s="58"/>
      <c r="C584" s="58"/>
      <c r="D584" s="53"/>
      <c r="E584" s="169"/>
      <c r="F584" s="169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</row>
    <row r="585">
      <c r="A585" s="58"/>
      <c r="B585" s="58"/>
      <c r="C585" s="58"/>
      <c r="D585" s="53"/>
      <c r="E585" s="169"/>
      <c r="F585" s="169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</row>
    <row r="586">
      <c r="A586" s="58"/>
      <c r="B586" s="58"/>
      <c r="C586" s="58"/>
      <c r="D586" s="53"/>
      <c r="E586" s="169"/>
      <c r="F586" s="169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</row>
    <row r="587">
      <c r="A587" s="58"/>
      <c r="B587" s="58"/>
      <c r="C587" s="58"/>
      <c r="D587" s="53"/>
      <c r="E587" s="169"/>
      <c r="F587" s="169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</row>
    <row r="588">
      <c r="A588" s="58"/>
      <c r="B588" s="58"/>
      <c r="C588" s="58"/>
      <c r="D588" s="53"/>
      <c r="E588" s="169"/>
      <c r="F588" s="169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</row>
    <row r="589">
      <c r="A589" s="58"/>
      <c r="B589" s="58"/>
      <c r="C589" s="58"/>
      <c r="D589" s="53"/>
      <c r="E589" s="169"/>
      <c r="F589" s="169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</row>
    <row r="590">
      <c r="A590" s="58"/>
      <c r="B590" s="58"/>
      <c r="C590" s="58"/>
      <c r="D590" s="53"/>
      <c r="E590" s="169"/>
      <c r="F590" s="169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</row>
    <row r="591">
      <c r="A591" s="58"/>
      <c r="B591" s="58"/>
      <c r="C591" s="58"/>
      <c r="D591" s="53"/>
      <c r="E591" s="169"/>
      <c r="F591" s="169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</row>
    <row r="592">
      <c r="A592" s="58"/>
      <c r="B592" s="58"/>
      <c r="C592" s="58"/>
      <c r="D592" s="53"/>
      <c r="E592" s="169"/>
      <c r="F592" s="169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</row>
    <row r="593">
      <c r="A593" s="58"/>
      <c r="B593" s="58"/>
      <c r="C593" s="58"/>
      <c r="D593" s="53"/>
      <c r="E593" s="169"/>
      <c r="F593" s="169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</row>
    <row r="594">
      <c r="A594" s="58"/>
      <c r="B594" s="58"/>
      <c r="C594" s="58"/>
      <c r="D594" s="53"/>
      <c r="E594" s="169"/>
      <c r="F594" s="169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</row>
    <row r="595">
      <c r="A595" s="58"/>
      <c r="B595" s="58"/>
      <c r="C595" s="58"/>
      <c r="D595" s="53"/>
      <c r="E595" s="169"/>
      <c r="F595" s="169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</row>
    <row r="596">
      <c r="A596" s="58"/>
      <c r="B596" s="58"/>
      <c r="C596" s="58"/>
      <c r="D596" s="53"/>
      <c r="E596" s="169"/>
      <c r="F596" s="169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</row>
    <row r="597">
      <c r="A597" s="58"/>
      <c r="B597" s="58"/>
      <c r="C597" s="58"/>
      <c r="D597" s="53"/>
      <c r="E597" s="169"/>
      <c r="F597" s="169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</row>
    <row r="598">
      <c r="A598" s="58"/>
      <c r="B598" s="58"/>
      <c r="C598" s="58"/>
      <c r="D598" s="53"/>
      <c r="E598" s="169"/>
      <c r="F598" s="169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</row>
    <row r="599">
      <c r="A599" s="58"/>
      <c r="B599" s="58"/>
      <c r="C599" s="58"/>
      <c r="D599" s="53"/>
      <c r="E599" s="169"/>
      <c r="F599" s="169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</row>
    <row r="600">
      <c r="A600" s="58"/>
      <c r="B600" s="58"/>
      <c r="C600" s="58"/>
      <c r="D600" s="53"/>
      <c r="E600" s="169"/>
      <c r="F600" s="169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</row>
    <row r="601">
      <c r="A601" s="58"/>
      <c r="B601" s="58"/>
      <c r="C601" s="58"/>
      <c r="D601" s="53"/>
      <c r="E601" s="169"/>
      <c r="F601" s="169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</row>
    <row r="602">
      <c r="A602" s="58"/>
      <c r="B602" s="58"/>
      <c r="C602" s="58"/>
      <c r="D602" s="53"/>
      <c r="E602" s="169"/>
      <c r="F602" s="169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</row>
    <row r="603">
      <c r="A603" s="58"/>
      <c r="B603" s="58"/>
      <c r="C603" s="58"/>
      <c r="D603" s="53"/>
      <c r="E603" s="169"/>
      <c r="F603" s="169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</row>
    <row r="604">
      <c r="A604" s="58"/>
      <c r="B604" s="58"/>
      <c r="C604" s="58"/>
      <c r="D604" s="53"/>
      <c r="E604" s="169"/>
      <c r="F604" s="169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</row>
    <row r="605">
      <c r="A605" s="58"/>
      <c r="B605" s="58"/>
      <c r="C605" s="58"/>
      <c r="D605" s="53"/>
      <c r="E605" s="169"/>
      <c r="F605" s="169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</row>
    <row r="606">
      <c r="A606" s="58"/>
      <c r="B606" s="58"/>
      <c r="C606" s="58"/>
      <c r="D606" s="53"/>
      <c r="E606" s="169"/>
      <c r="F606" s="169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</row>
    <row r="607">
      <c r="A607" s="58"/>
      <c r="B607" s="58"/>
      <c r="C607" s="58"/>
      <c r="D607" s="53"/>
      <c r="E607" s="169"/>
      <c r="F607" s="169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</row>
    <row r="608">
      <c r="A608" s="58"/>
      <c r="B608" s="58"/>
      <c r="C608" s="58"/>
      <c r="D608" s="53"/>
      <c r="E608" s="169"/>
      <c r="F608" s="169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</row>
    <row r="609">
      <c r="A609" s="58"/>
      <c r="B609" s="58"/>
      <c r="C609" s="58"/>
      <c r="D609" s="53"/>
      <c r="E609" s="169"/>
      <c r="F609" s="169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</row>
    <row r="610">
      <c r="A610" s="58"/>
      <c r="B610" s="58"/>
      <c r="C610" s="58"/>
      <c r="D610" s="53"/>
      <c r="E610" s="169"/>
      <c r="F610" s="169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</row>
    <row r="611">
      <c r="A611" s="58"/>
      <c r="B611" s="58"/>
      <c r="C611" s="58"/>
      <c r="D611" s="53"/>
      <c r="E611" s="169"/>
      <c r="F611" s="169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</row>
    <row r="612">
      <c r="A612" s="58"/>
      <c r="B612" s="58"/>
      <c r="C612" s="58"/>
      <c r="D612" s="53"/>
      <c r="E612" s="169"/>
      <c r="F612" s="169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</row>
    <row r="613">
      <c r="A613" s="58"/>
      <c r="B613" s="58"/>
      <c r="C613" s="58"/>
      <c r="D613" s="53"/>
      <c r="E613" s="169"/>
      <c r="F613" s="169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</row>
    <row r="614">
      <c r="A614" s="58"/>
      <c r="B614" s="58"/>
      <c r="C614" s="58"/>
      <c r="D614" s="53"/>
      <c r="E614" s="169"/>
      <c r="F614" s="169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</row>
    <row r="615">
      <c r="A615" s="58"/>
      <c r="B615" s="58"/>
      <c r="C615" s="58"/>
      <c r="D615" s="53"/>
      <c r="E615" s="169"/>
      <c r="F615" s="169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</row>
    <row r="616">
      <c r="A616" s="58"/>
      <c r="B616" s="58"/>
      <c r="C616" s="58"/>
      <c r="D616" s="53"/>
      <c r="E616" s="169"/>
      <c r="F616" s="169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</row>
    <row r="617">
      <c r="A617" s="58"/>
      <c r="B617" s="58"/>
      <c r="C617" s="58"/>
      <c r="D617" s="53"/>
      <c r="E617" s="169"/>
      <c r="F617" s="169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</row>
    <row r="618">
      <c r="A618" s="58"/>
      <c r="B618" s="58"/>
      <c r="C618" s="58"/>
      <c r="D618" s="53"/>
      <c r="E618" s="169"/>
      <c r="F618" s="169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</row>
    <row r="619">
      <c r="A619" s="58"/>
      <c r="B619" s="58"/>
      <c r="C619" s="58"/>
      <c r="D619" s="53"/>
      <c r="E619" s="169"/>
      <c r="F619" s="169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</row>
    <row r="620">
      <c r="A620" s="58"/>
      <c r="B620" s="58"/>
      <c r="C620" s="58"/>
      <c r="D620" s="53"/>
      <c r="E620" s="169"/>
      <c r="F620" s="169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</row>
    <row r="621">
      <c r="A621" s="58"/>
      <c r="B621" s="58"/>
      <c r="C621" s="58"/>
      <c r="D621" s="53"/>
      <c r="E621" s="169"/>
      <c r="F621" s="169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</row>
    <row r="622">
      <c r="A622" s="58"/>
      <c r="B622" s="58"/>
      <c r="C622" s="58"/>
      <c r="D622" s="53"/>
      <c r="E622" s="169"/>
      <c r="F622" s="169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</row>
    <row r="623">
      <c r="A623" s="58"/>
      <c r="B623" s="58"/>
      <c r="C623" s="58"/>
      <c r="D623" s="53"/>
      <c r="E623" s="169"/>
      <c r="F623" s="169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</row>
    <row r="624">
      <c r="A624" s="58"/>
      <c r="B624" s="58"/>
      <c r="C624" s="58"/>
      <c r="D624" s="53"/>
      <c r="E624" s="169"/>
      <c r="F624" s="169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</row>
    <row r="625">
      <c r="A625" s="58"/>
      <c r="B625" s="58"/>
      <c r="C625" s="58"/>
      <c r="D625" s="53"/>
      <c r="E625" s="169"/>
      <c r="F625" s="169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</row>
    <row r="626">
      <c r="A626" s="58"/>
      <c r="B626" s="58"/>
      <c r="C626" s="58"/>
      <c r="D626" s="53"/>
      <c r="E626" s="169"/>
      <c r="F626" s="169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</row>
    <row r="627">
      <c r="A627" s="58"/>
      <c r="B627" s="58"/>
      <c r="C627" s="58"/>
      <c r="D627" s="53"/>
      <c r="E627" s="169"/>
      <c r="F627" s="169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</row>
    <row r="628">
      <c r="A628" s="58"/>
      <c r="B628" s="58"/>
      <c r="C628" s="58"/>
      <c r="D628" s="53"/>
      <c r="E628" s="169"/>
      <c r="F628" s="169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</row>
    <row r="629">
      <c r="A629" s="58"/>
      <c r="B629" s="58"/>
      <c r="C629" s="58"/>
      <c r="D629" s="53"/>
      <c r="E629" s="169"/>
      <c r="F629" s="169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</row>
    <row r="630">
      <c r="A630" s="58"/>
      <c r="B630" s="58"/>
      <c r="C630" s="58"/>
      <c r="D630" s="53"/>
      <c r="E630" s="169"/>
      <c r="F630" s="169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</row>
    <row r="631">
      <c r="A631" s="58"/>
      <c r="B631" s="58"/>
      <c r="C631" s="58"/>
      <c r="D631" s="53"/>
      <c r="E631" s="169"/>
      <c r="F631" s="169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</row>
    <row r="632">
      <c r="A632" s="58"/>
      <c r="B632" s="58"/>
      <c r="C632" s="58"/>
      <c r="D632" s="53"/>
      <c r="E632" s="169"/>
      <c r="F632" s="169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</row>
    <row r="633">
      <c r="A633" s="58"/>
      <c r="B633" s="58"/>
      <c r="C633" s="58"/>
      <c r="D633" s="53"/>
      <c r="E633" s="169"/>
      <c r="F633" s="169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</row>
    <row r="634">
      <c r="A634" s="58"/>
      <c r="B634" s="58"/>
      <c r="C634" s="58"/>
      <c r="D634" s="53"/>
      <c r="E634" s="169"/>
      <c r="F634" s="169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</row>
    <row r="635">
      <c r="A635" s="58"/>
      <c r="B635" s="58"/>
      <c r="C635" s="58"/>
      <c r="D635" s="53"/>
      <c r="E635" s="169"/>
      <c r="F635" s="169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</row>
    <row r="636">
      <c r="A636" s="58"/>
      <c r="B636" s="58"/>
      <c r="C636" s="58"/>
      <c r="D636" s="53"/>
      <c r="E636" s="169"/>
      <c r="F636" s="169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</row>
    <row r="637">
      <c r="A637" s="58"/>
      <c r="B637" s="58"/>
      <c r="C637" s="58"/>
      <c r="D637" s="53"/>
      <c r="E637" s="169"/>
      <c r="F637" s="169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</row>
    <row r="638">
      <c r="A638" s="58"/>
      <c r="B638" s="58"/>
      <c r="C638" s="58"/>
      <c r="D638" s="53"/>
      <c r="E638" s="169"/>
      <c r="F638" s="169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</row>
    <row r="639">
      <c r="A639" s="58"/>
      <c r="B639" s="58"/>
      <c r="C639" s="58"/>
      <c r="D639" s="53"/>
      <c r="E639" s="169"/>
      <c r="F639" s="169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</row>
    <row r="640">
      <c r="A640" s="58"/>
      <c r="B640" s="58"/>
      <c r="C640" s="58"/>
      <c r="D640" s="53"/>
      <c r="E640" s="169"/>
      <c r="F640" s="169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</row>
    <row r="641">
      <c r="A641" s="58"/>
      <c r="B641" s="58"/>
      <c r="C641" s="58"/>
      <c r="D641" s="53"/>
      <c r="E641" s="169"/>
      <c r="F641" s="169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</row>
    <row r="642">
      <c r="A642" s="58"/>
      <c r="B642" s="58"/>
      <c r="C642" s="58"/>
      <c r="D642" s="53"/>
      <c r="E642" s="169"/>
      <c r="F642" s="169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</row>
    <row r="643">
      <c r="A643" s="58"/>
      <c r="B643" s="58"/>
      <c r="C643" s="58"/>
      <c r="D643" s="53"/>
      <c r="E643" s="169"/>
      <c r="F643" s="169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</row>
    <row r="644">
      <c r="A644" s="58"/>
      <c r="B644" s="58"/>
      <c r="C644" s="58"/>
      <c r="D644" s="53"/>
      <c r="E644" s="169"/>
      <c r="F644" s="169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</row>
    <row r="645">
      <c r="A645" s="58"/>
      <c r="B645" s="58"/>
      <c r="C645" s="58"/>
      <c r="D645" s="53"/>
      <c r="E645" s="169"/>
      <c r="F645" s="169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</row>
    <row r="646">
      <c r="A646" s="58"/>
      <c r="B646" s="58"/>
      <c r="C646" s="58"/>
      <c r="D646" s="53"/>
      <c r="E646" s="169"/>
      <c r="F646" s="169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</row>
    <row r="647">
      <c r="A647" s="58"/>
      <c r="B647" s="58"/>
      <c r="C647" s="58"/>
      <c r="D647" s="53"/>
      <c r="E647" s="169"/>
      <c r="F647" s="169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</row>
    <row r="648">
      <c r="A648" s="58"/>
      <c r="B648" s="58"/>
      <c r="C648" s="58"/>
      <c r="D648" s="53"/>
      <c r="E648" s="169"/>
      <c r="F648" s="169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</row>
    <row r="649">
      <c r="A649" s="58"/>
      <c r="B649" s="58"/>
      <c r="C649" s="58"/>
      <c r="D649" s="53"/>
      <c r="E649" s="169"/>
      <c r="F649" s="169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</row>
    <row r="650">
      <c r="A650" s="58"/>
      <c r="B650" s="58"/>
      <c r="C650" s="58"/>
      <c r="D650" s="53"/>
      <c r="E650" s="169"/>
      <c r="F650" s="169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</row>
    <row r="651">
      <c r="A651" s="58"/>
      <c r="B651" s="58"/>
      <c r="C651" s="58"/>
      <c r="D651" s="53"/>
      <c r="E651" s="169"/>
      <c r="F651" s="169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</row>
    <row r="652">
      <c r="A652" s="58"/>
      <c r="B652" s="58"/>
      <c r="C652" s="58"/>
      <c r="D652" s="53"/>
      <c r="E652" s="169"/>
      <c r="F652" s="169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</row>
    <row r="653">
      <c r="A653" s="58"/>
      <c r="B653" s="58"/>
      <c r="C653" s="58"/>
      <c r="D653" s="53"/>
      <c r="E653" s="169"/>
      <c r="F653" s="169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</row>
    <row r="654">
      <c r="A654" s="58"/>
      <c r="B654" s="58"/>
      <c r="C654" s="58"/>
      <c r="D654" s="53"/>
      <c r="E654" s="169"/>
      <c r="F654" s="169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</row>
    <row r="655">
      <c r="A655" s="58"/>
      <c r="B655" s="58"/>
      <c r="C655" s="58"/>
      <c r="D655" s="53"/>
      <c r="E655" s="169"/>
      <c r="F655" s="169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</row>
    <row r="656">
      <c r="A656" s="58"/>
      <c r="B656" s="58"/>
      <c r="C656" s="58"/>
      <c r="D656" s="53"/>
      <c r="E656" s="169"/>
      <c r="F656" s="169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</row>
    <row r="657">
      <c r="A657" s="58"/>
      <c r="B657" s="58"/>
      <c r="C657" s="58"/>
      <c r="D657" s="53"/>
      <c r="E657" s="169"/>
      <c r="F657" s="169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</row>
    <row r="658">
      <c r="A658" s="58"/>
      <c r="B658" s="58"/>
      <c r="C658" s="58"/>
      <c r="D658" s="53"/>
      <c r="E658" s="169"/>
      <c r="F658" s="169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</row>
    <row r="659">
      <c r="A659" s="58"/>
      <c r="B659" s="58"/>
      <c r="C659" s="58"/>
      <c r="D659" s="53"/>
      <c r="E659" s="169"/>
      <c r="F659" s="169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</row>
    <row r="660">
      <c r="A660" s="58"/>
      <c r="B660" s="58"/>
      <c r="C660" s="58"/>
      <c r="D660" s="53"/>
      <c r="E660" s="169"/>
      <c r="F660" s="169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</row>
    <row r="661">
      <c r="A661" s="58"/>
      <c r="B661" s="58"/>
      <c r="C661" s="58"/>
      <c r="D661" s="53"/>
      <c r="E661" s="169"/>
      <c r="F661" s="169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</row>
    <row r="662">
      <c r="A662" s="58"/>
      <c r="B662" s="58"/>
      <c r="C662" s="58"/>
      <c r="D662" s="53"/>
      <c r="E662" s="169"/>
      <c r="F662" s="169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</row>
    <row r="663">
      <c r="A663" s="58"/>
      <c r="B663" s="58"/>
      <c r="C663" s="58"/>
      <c r="D663" s="53"/>
      <c r="E663" s="169"/>
      <c r="F663" s="169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</row>
    <row r="664">
      <c r="A664" s="58"/>
      <c r="B664" s="58"/>
      <c r="C664" s="58"/>
      <c r="D664" s="53"/>
      <c r="E664" s="169"/>
      <c r="F664" s="169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</row>
    <row r="665">
      <c r="A665" s="58"/>
      <c r="B665" s="58"/>
      <c r="C665" s="58"/>
      <c r="D665" s="53"/>
      <c r="E665" s="169"/>
      <c r="F665" s="169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</row>
    <row r="666">
      <c r="A666" s="58"/>
      <c r="B666" s="58"/>
      <c r="C666" s="58"/>
      <c r="D666" s="53"/>
      <c r="E666" s="169"/>
      <c r="F666" s="169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</row>
    <row r="667">
      <c r="A667" s="58"/>
      <c r="B667" s="58"/>
      <c r="C667" s="58"/>
      <c r="D667" s="53"/>
      <c r="E667" s="169"/>
      <c r="F667" s="169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</row>
    <row r="668">
      <c r="A668" s="58"/>
      <c r="B668" s="58"/>
      <c r="C668" s="58"/>
      <c r="D668" s="53"/>
      <c r="E668" s="169"/>
      <c r="F668" s="169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</row>
    <row r="669">
      <c r="A669" s="58"/>
      <c r="B669" s="58"/>
      <c r="C669" s="58"/>
      <c r="D669" s="53"/>
      <c r="E669" s="169"/>
      <c r="F669" s="169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</row>
    <row r="670">
      <c r="A670" s="58"/>
      <c r="B670" s="58"/>
      <c r="C670" s="58"/>
      <c r="D670" s="53"/>
      <c r="E670" s="169"/>
      <c r="F670" s="169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</row>
    <row r="671">
      <c r="A671" s="58"/>
      <c r="B671" s="58"/>
      <c r="C671" s="58"/>
      <c r="D671" s="53"/>
      <c r="E671" s="169"/>
      <c r="F671" s="169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</row>
    <row r="672">
      <c r="A672" s="58"/>
      <c r="B672" s="58"/>
      <c r="C672" s="58"/>
      <c r="D672" s="53"/>
      <c r="E672" s="169"/>
      <c r="F672" s="169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</row>
    <row r="673">
      <c r="A673" s="58"/>
      <c r="B673" s="58"/>
      <c r="C673" s="58"/>
      <c r="D673" s="53"/>
      <c r="E673" s="169"/>
      <c r="F673" s="169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</row>
    <row r="674">
      <c r="A674" s="58"/>
      <c r="B674" s="58"/>
      <c r="C674" s="58"/>
      <c r="D674" s="53"/>
      <c r="E674" s="169"/>
      <c r="F674" s="169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</row>
    <row r="675">
      <c r="A675" s="58"/>
      <c r="B675" s="58"/>
      <c r="C675" s="58"/>
      <c r="D675" s="53"/>
      <c r="E675" s="169"/>
      <c r="F675" s="169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</row>
    <row r="676">
      <c r="A676" s="58"/>
      <c r="B676" s="58"/>
      <c r="C676" s="58"/>
      <c r="D676" s="53"/>
      <c r="E676" s="169"/>
      <c r="F676" s="169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</row>
    <row r="677">
      <c r="A677" s="58"/>
      <c r="B677" s="58"/>
      <c r="C677" s="58"/>
      <c r="D677" s="53"/>
      <c r="E677" s="169"/>
      <c r="F677" s="169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</row>
    <row r="678">
      <c r="A678" s="58"/>
      <c r="B678" s="58"/>
      <c r="C678" s="58"/>
      <c r="D678" s="53"/>
      <c r="E678" s="169"/>
      <c r="F678" s="169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</row>
    <row r="679">
      <c r="A679" s="58"/>
      <c r="B679" s="58"/>
      <c r="C679" s="58"/>
      <c r="D679" s="53"/>
      <c r="E679" s="169"/>
      <c r="F679" s="169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</row>
    <row r="680">
      <c r="A680" s="58"/>
      <c r="B680" s="58"/>
      <c r="C680" s="58"/>
      <c r="D680" s="53"/>
      <c r="E680" s="169"/>
      <c r="F680" s="169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</row>
    <row r="681">
      <c r="A681" s="58"/>
      <c r="B681" s="58"/>
      <c r="C681" s="58"/>
      <c r="D681" s="53"/>
      <c r="E681" s="169"/>
      <c r="F681" s="169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</row>
    <row r="682">
      <c r="A682" s="58"/>
      <c r="B682" s="58"/>
      <c r="C682" s="58"/>
      <c r="D682" s="53"/>
      <c r="E682" s="169"/>
      <c r="F682" s="169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</row>
    <row r="683">
      <c r="A683" s="58"/>
      <c r="B683" s="58"/>
      <c r="C683" s="58"/>
      <c r="D683" s="53"/>
      <c r="E683" s="169"/>
      <c r="F683" s="169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</row>
    <row r="684">
      <c r="A684" s="58"/>
      <c r="B684" s="58"/>
      <c r="C684" s="58"/>
      <c r="D684" s="53"/>
      <c r="E684" s="169"/>
      <c r="F684" s="169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</row>
    <row r="685">
      <c r="A685" s="58"/>
      <c r="B685" s="58"/>
      <c r="C685" s="58"/>
      <c r="D685" s="53"/>
      <c r="E685" s="169"/>
      <c r="F685" s="169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</row>
    <row r="686">
      <c r="A686" s="58"/>
      <c r="B686" s="58"/>
      <c r="C686" s="58"/>
      <c r="D686" s="53"/>
      <c r="E686" s="169"/>
      <c r="F686" s="169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</row>
    <row r="687">
      <c r="A687" s="58"/>
      <c r="B687" s="58"/>
      <c r="C687" s="58"/>
      <c r="D687" s="53"/>
      <c r="E687" s="169"/>
      <c r="F687" s="169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</row>
    <row r="688">
      <c r="A688" s="58"/>
      <c r="B688" s="58"/>
      <c r="C688" s="58"/>
      <c r="D688" s="53"/>
      <c r="E688" s="169"/>
      <c r="F688" s="169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</row>
    <row r="689">
      <c r="A689" s="58"/>
      <c r="B689" s="58"/>
      <c r="C689" s="58"/>
      <c r="D689" s="53"/>
      <c r="E689" s="169"/>
      <c r="F689" s="169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</row>
    <row r="690">
      <c r="A690" s="58"/>
      <c r="B690" s="58"/>
      <c r="C690" s="58"/>
      <c r="D690" s="53"/>
      <c r="E690" s="169"/>
      <c r="F690" s="169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</row>
    <row r="691">
      <c r="A691" s="58"/>
      <c r="B691" s="58"/>
      <c r="C691" s="58"/>
      <c r="D691" s="53"/>
      <c r="E691" s="169"/>
      <c r="F691" s="169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</row>
    <row r="692">
      <c r="A692" s="58"/>
      <c r="B692" s="58"/>
      <c r="C692" s="58"/>
      <c r="D692" s="53"/>
      <c r="E692" s="169"/>
      <c r="F692" s="169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</row>
    <row r="693">
      <c r="A693" s="58"/>
      <c r="B693" s="58"/>
      <c r="C693" s="58"/>
      <c r="D693" s="53"/>
      <c r="E693" s="169"/>
      <c r="F693" s="169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</row>
    <row r="694">
      <c r="A694" s="58"/>
      <c r="B694" s="58"/>
      <c r="C694" s="58"/>
      <c r="D694" s="53"/>
      <c r="E694" s="169"/>
      <c r="F694" s="169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</row>
    <row r="695">
      <c r="A695" s="58"/>
      <c r="B695" s="58"/>
      <c r="C695" s="58"/>
      <c r="D695" s="53"/>
      <c r="E695" s="169"/>
      <c r="F695" s="169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</row>
    <row r="696">
      <c r="A696" s="58"/>
      <c r="B696" s="58"/>
      <c r="C696" s="58"/>
      <c r="D696" s="53"/>
      <c r="E696" s="169"/>
      <c r="F696" s="169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</row>
    <row r="697">
      <c r="A697" s="58"/>
      <c r="B697" s="58"/>
      <c r="C697" s="58"/>
      <c r="D697" s="53"/>
      <c r="E697" s="169"/>
      <c r="F697" s="169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</row>
    <row r="698">
      <c r="A698" s="58"/>
      <c r="B698" s="58"/>
      <c r="C698" s="58"/>
      <c r="D698" s="53"/>
      <c r="E698" s="169"/>
      <c r="F698" s="169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</row>
    <row r="699">
      <c r="A699" s="58"/>
      <c r="B699" s="58"/>
      <c r="C699" s="58"/>
      <c r="D699" s="53"/>
      <c r="E699" s="169"/>
      <c r="F699" s="169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</row>
    <row r="700">
      <c r="A700" s="58"/>
      <c r="B700" s="58"/>
      <c r="C700" s="58"/>
      <c r="D700" s="53"/>
      <c r="E700" s="169"/>
      <c r="F700" s="169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</row>
    <row r="701">
      <c r="A701" s="58"/>
      <c r="B701" s="58"/>
      <c r="C701" s="58"/>
      <c r="D701" s="53"/>
      <c r="E701" s="169"/>
      <c r="F701" s="169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</row>
    <row r="702">
      <c r="A702" s="58"/>
      <c r="B702" s="58"/>
      <c r="C702" s="58"/>
      <c r="D702" s="53"/>
      <c r="E702" s="169"/>
      <c r="F702" s="169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</row>
    <row r="703">
      <c r="A703" s="58"/>
      <c r="B703" s="58"/>
      <c r="C703" s="58"/>
      <c r="D703" s="53"/>
      <c r="E703" s="169"/>
      <c r="F703" s="169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</row>
    <row r="704">
      <c r="A704" s="58"/>
      <c r="B704" s="58"/>
      <c r="C704" s="58"/>
      <c r="D704" s="53"/>
      <c r="E704" s="169"/>
      <c r="F704" s="169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</row>
    <row r="705">
      <c r="A705" s="58"/>
      <c r="B705" s="58"/>
      <c r="C705" s="58"/>
      <c r="D705" s="53"/>
      <c r="E705" s="169"/>
      <c r="F705" s="169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</row>
    <row r="706">
      <c r="A706" s="58"/>
      <c r="B706" s="58"/>
      <c r="C706" s="58"/>
      <c r="D706" s="53"/>
      <c r="E706" s="169"/>
      <c r="F706" s="169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</row>
    <row r="707">
      <c r="A707" s="58"/>
      <c r="B707" s="58"/>
      <c r="C707" s="58"/>
      <c r="D707" s="53"/>
      <c r="E707" s="169"/>
      <c r="F707" s="169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</row>
    <row r="708">
      <c r="A708" s="58"/>
      <c r="B708" s="58"/>
      <c r="C708" s="58"/>
      <c r="D708" s="53"/>
      <c r="E708" s="169"/>
      <c r="F708" s="169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</row>
    <row r="709">
      <c r="A709" s="58"/>
      <c r="B709" s="58"/>
      <c r="C709" s="58"/>
      <c r="D709" s="53"/>
      <c r="E709" s="169"/>
      <c r="F709" s="169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</row>
    <row r="710">
      <c r="A710" s="58"/>
      <c r="B710" s="58"/>
      <c r="C710" s="58"/>
      <c r="D710" s="53"/>
      <c r="E710" s="169"/>
      <c r="F710" s="169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</row>
    <row r="711">
      <c r="A711" s="58"/>
      <c r="B711" s="58"/>
      <c r="C711" s="58"/>
      <c r="D711" s="53"/>
      <c r="E711" s="169"/>
      <c r="F711" s="169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</row>
    <row r="712">
      <c r="A712" s="58"/>
      <c r="B712" s="58"/>
      <c r="C712" s="58"/>
      <c r="D712" s="53"/>
      <c r="E712" s="169"/>
      <c r="F712" s="169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</row>
    <row r="713">
      <c r="A713" s="58"/>
      <c r="B713" s="58"/>
      <c r="C713" s="58"/>
      <c r="D713" s="53"/>
      <c r="E713" s="169"/>
      <c r="F713" s="169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</row>
    <row r="714">
      <c r="A714" s="58"/>
      <c r="B714" s="58"/>
      <c r="C714" s="58"/>
      <c r="D714" s="53"/>
      <c r="E714" s="169"/>
      <c r="F714" s="169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</row>
    <row r="715">
      <c r="A715" s="58"/>
      <c r="B715" s="58"/>
      <c r="C715" s="58"/>
      <c r="D715" s="53"/>
      <c r="E715" s="169"/>
      <c r="F715" s="169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</row>
    <row r="716">
      <c r="A716" s="58"/>
      <c r="B716" s="58"/>
      <c r="C716" s="58"/>
      <c r="D716" s="53"/>
      <c r="E716" s="169"/>
      <c r="F716" s="169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</row>
    <row r="717">
      <c r="A717" s="58"/>
      <c r="B717" s="58"/>
      <c r="C717" s="58"/>
      <c r="D717" s="53"/>
      <c r="E717" s="169"/>
      <c r="F717" s="169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</row>
    <row r="718">
      <c r="A718" s="58"/>
      <c r="B718" s="58"/>
      <c r="C718" s="58"/>
      <c r="D718" s="53"/>
      <c r="E718" s="169"/>
      <c r="F718" s="169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</row>
    <row r="719">
      <c r="A719" s="58"/>
      <c r="B719" s="58"/>
      <c r="C719" s="58"/>
      <c r="D719" s="53"/>
      <c r="E719" s="169"/>
      <c r="F719" s="169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</row>
    <row r="720">
      <c r="A720" s="58"/>
      <c r="B720" s="58"/>
      <c r="C720" s="58"/>
      <c r="D720" s="53"/>
      <c r="E720" s="169"/>
      <c r="F720" s="169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</row>
    <row r="721">
      <c r="A721" s="58"/>
      <c r="B721" s="58"/>
      <c r="C721" s="58"/>
      <c r="D721" s="53"/>
      <c r="E721" s="169"/>
      <c r="F721" s="169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</row>
    <row r="722">
      <c r="A722" s="58"/>
      <c r="B722" s="58"/>
      <c r="C722" s="58"/>
      <c r="D722" s="53"/>
      <c r="E722" s="169"/>
      <c r="F722" s="169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</row>
    <row r="723">
      <c r="A723" s="58"/>
      <c r="B723" s="58"/>
      <c r="C723" s="58"/>
      <c r="D723" s="53"/>
      <c r="E723" s="169"/>
      <c r="F723" s="169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</row>
    <row r="724">
      <c r="A724" s="58"/>
      <c r="B724" s="58"/>
      <c r="C724" s="58"/>
      <c r="D724" s="53"/>
      <c r="E724" s="169"/>
      <c r="F724" s="169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</row>
    <row r="725">
      <c r="A725" s="58"/>
      <c r="B725" s="58"/>
      <c r="C725" s="58"/>
      <c r="D725" s="53"/>
      <c r="E725" s="169"/>
      <c r="F725" s="169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</row>
    <row r="726">
      <c r="A726" s="58"/>
      <c r="B726" s="58"/>
      <c r="C726" s="58"/>
      <c r="D726" s="53"/>
      <c r="E726" s="169"/>
      <c r="F726" s="169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</row>
    <row r="727">
      <c r="A727" s="58"/>
      <c r="B727" s="58"/>
      <c r="C727" s="58"/>
      <c r="D727" s="53"/>
      <c r="E727" s="169"/>
      <c r="F727" s="169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</row>
    <row r="728">
      <c r="A728" s="58"/>
      <c r="B728" s="58"/>
      <c r="C728" s="58"/>
      <c r="D728" s="53"/>
      <c r="E728" s="169"/>
      <c r="F728" s="169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</row>
    <row r="729">
      <c r="A729" s="58"/>
      <c r="B729" s="58"/>
      <c r="C729" s="58"/>
      <c r="D729" s="53"/>
      <c r="E729" s="169"/>
      <c r="F729" s="169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</row>
    <row r="730">
      <c r="A730" s="58"/>
      <c r="B730" s="58"/>
      <c r="C730" s="58"/>
      <c r="D730" s="53"/>
      <c r="E730" s="169"/>
      <c r="F730" s="169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</row>
    <row r="731">
      <c r="A731" s="58"/>
      <c r="B731" s="58"/>
      <c r="C731" s="58"/>
      <c r="D731" s="53"/>
      <c r="E731" s="169"/>
      <c r="F731" s="169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</row>
    <row r="732">
      <c r="A732" s="58"/>
      <c r="B732" s="58"/>
      <c r="C732" s="58"/>
      <c r="D732" s="53"/>
      <c r="E732" s="169"/>
      <c r="F732" s="169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</row>
    <row r="733">
      <c r="A733" s="58"/>
      <c r="B733" s="58"/>
      <c r="C733" s="58"/>
      <c r="D733" s="53"/>
      <c r="E733" s="169"/>
      <c r="F733" s="169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</row>
    <row r="734">
      <c r="A734" s="58"/>
      <c r="B734" s="58"/>
      <c r="C734" s="58"/>
      <c r="D734" s="53"/>
      <c r="E734" s="169"/>
      <c r="F734" s="169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</row>
    <row r="735">
      <c r="A735" s="58"/>
      <c r="B735" s="58"/>
      <c r="C735" s="58"/>
      <c r="D735" s="53"/>
      <c r="E735" s="169"/>
      <c r="F735" s="169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</row>
    <row r="736">
      <c r="A736" s="58"/>
      <c r="B736" s="58"/>
      <c r="C736" s="58"/>
      <c r="D736" s="53"/>
      <c r="E736" s="169"/>
      <c r="F736" s="169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</row>
    <row r="737">
      <c r="A737" s="58"/>
      <c r="B737" s="58"/>
      <c r="C737" s="58"/>
      <c r="D737" s="53"/>
      <c r="E737" s="169"/>
      <c r="F737" s="169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</row>
    <row r="738">
      <c r="A738" s="58"/>
      <c r="B738" s="58"/>
      <c r="C738" s="58"/>
      <c r="D738" s="53"/>
      <c r="E738" s="169"/>
      <c r="F738" s="169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</row>
    <row r="739">
      <c r="A739" s="58"/>
      <c r="B739" s="58"/>
      <c r="C739" s="58"/>
      <c r="D739" s="53"/>
      <c r="E739" s="169"/>
      <c r="F739" s="169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</row>
    <row r="740">
      <c r="A740" s="58"/>
      <c r="B740" s="58"/>
      <c r="C740" s="58"/>
      <c r="D740" s="53"/>
      <c r="E740" s="169"/>
      <c r="F740" s="169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</row>
    <row r="741">
      <c r="A741" s="58"/>
      <c r="B741" s="58"/>
      <c r="C741" s="58"/>
      <c r="D741" s="53"/>
      <c r="E741" s="169"/>
      <c r="F741" s="169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</row>
    <row r="742">
      <c r="A742" s="58"/>
      <c r="B742" s="58"/>
      <c r="C742" s="58"/>
      <c r="D742" s="53"/>
      <c r="E742" s="169"/>
      <c r="F742" s="169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</row>
    <row r="743">
      <c r="A743" s="58"/>
      <c r="B743" s="58"/>
      <c r="C743" s="58"/>
      <c r="D743" s="53"/>
      <c r="E743" s="169"/>
      <c r="F743" s="169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</row>
    <row r="744">
      <c r="A744" s="58"/>
      <c r="B744" s="58"/>
      <c r="C744" s="58"/>
      <c r="D744" s="53"/>
      <c r="E744" s="169"/>
      <c r="F744" s="169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</row>
    <row r="745">
      <c r="A745" s="58"/>
      <c r="B745" s="58"/>
      <c r="C745" s="58"/>
      <c r="D745" s="53"/>
      <c r="E745" s="169"/>
      <c r="F745" s="169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</row>
    <row r="746">
      <c r="A746" s="58"/>
      <c r="B746" s="58"/>
      <c r="C746" s="58"/>
      <c r="D746" s="53"/>
      <c r="E746" s="169"/>
      <c r="F746" s="169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</row>
    <row r="747">
      <c r="A747" s="58"/>
      <c r="B747" s="58"/>
      <c r="C747" s="58"/>
      <c r="D747" s="53"/>
      <c r="E747" s="169"/>
      <c r="F747" s="169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</row>
    <row r="748">
      <c r="A748" s="58"/>
      <c r="B748" s="58"/>
      <c r="C748" s="58"/>
      <c r="D748" s="53"/>
      <c r="E748" s="169"/>
      <c r="F748" s="169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</row>
    <row r="749">
      <c r="A749" s="58"/>
      <c r="B749" s="58"/>
      <c r="C749" s="58"/>
      <c r="D749" s="53"/>
      <c r="E749" s="169"/>
      <c r="F749" s="169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</row>
    <row r="750">
      <c r="A750" s="58"/>
      <c r="B750" s="58"/>
      <c r="C750" s="58"/>
      <c r="D750" s="53"/>
      <c r="E750" s="169"/>
      <c r="F750" s="169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</row>
    <row r="751">
      <c r="A751" s="58"/>
      <c r="B751" s="58"/>
      <c r="C751" s="58"/>
      <c r="D751" s="53"/>
      <c r="E751" s="169"/>
      <c r="F751" s="169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</row>
    <row r="752">
      <c r="A752" s="58"/>
      <c r="B752" s="58"/>
      <c r="C752" s="58"/>
      <c r="D752" s="53"/>
      <c r="E752" s="169"/>
      <c r="F752" s="169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</row>
    <row r="753">
      <c r="A753" s="58"/>
      <c r="B753" s="58"/>
      <c r="C753" s="58"/>
      <c r="D753" s="53"/>
      <c r="E753" s="169"/>
      <c r="F753" s="169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</row>
    <row r="754">
      <c r="A754" s="58"/>
      <c r="B754" s="58"/>
      <c r="C754" s="58"/>
      <c r="D754" s="53"/>
      <c r="E754" s="169"/>
      <c r="F754" s="169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</row>
    <row r="755">
      <c r="A755" s="58"/>
      <c r="B755" s="58"/>
      <c r="C755" s="58"/>
      <c r="D755" s="53"/>
      <c r="E755" s="169"/>
      <c r="F755" s="169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</row>
    <row r="756">
      <c r="A756" s="58"/>
      <c r="B756" s="58"/>
      <c r="C756" s="58"/>
      <c r="D756" s="53"/>
      <c r="E756" s="169"/>
      <c r="F756" s="169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</row>
    <row r="757">
      <c r="A757" s="58"/>
      <c r="B757" s="58"/>
      <c r="C757" s="58"/>
      <c r="D757" s="53"/>
      <c r="E757" s="169"/>
      <c r="F757" s="169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</row>
    <row r="758">
      <c r="A758" s="58"/>
      <c r="B758" s="58"/>
      <c r="C758" s="58"/>
      <c r="D758" s="53"/>
      <c r="E758" s="169"/>
      <c r="F758" s="169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</row>
    <row r="759">
      <c r="A759" s="58"/>
      <c r="B759" s="58"/>
      <c r="C759" s="58"/>
      <c r="D759" s="53"/>
      <c r="E759" s="169"/>
      <c r="F759" s="169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</row>
    <row r="760">
      <c r="A760" s="58"/>
      <c r="B760" s="58"/>
      <c r="C760" s="58"/>
      <c r="D760" s="53"/>
      <c r="E760" s="169"/>
      <c r="F760" s="169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</row>
    <row r="761">
      <c r="A761" s="58"/>
      <c r="B761" s="58"/>
      <c r="C761" s="58"/>
      <c r="D761" s="53"/>
      <c r="E761" s="169"/>
      <c r="F761" s="169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</row>
    <row r="762">
      <c r="A762" s="58"/>
      <c r="B762" s="58"/>
      <c r="C762" s="58"/>
      <c r="D762" s="53"/>
      <c r="E762" s="169"/>
      <c r="F762" s="169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</row>
    <row r="763">
      <c r="A763" s="58"/>
      <c r="B763" s="58"/>
      <c r="C763" s="58"/>
      <c r="D763" s="53"/>
      <c r="E763" s="169"/>
      <c r="F763" s="169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</row>
    <row r="764">
      <c r="A764" s="58"/>
      <c r="B764" s="58"/>
      <c r="C764" s="58"/>
      <c r="D764" s="53"/>
      <c r="E764" s="169"/>
      <c r="F764" s="169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</row>
    <row r="765">
      <c r="A765" s="58"/>
      <c r="B765" s="58"/>
      <c r="C765" s="58"/>
      <c r="D765" s="53"/>
      <c r="E765" s="169"/>
      <c r="F765" s="169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</row>
    <row r="766">
      <c r="A766" s="58"/>
      <c r="B766" s="58"/>
      <c r="C766" s="58"/>
      <c r="D766" s="53"/>
      <c r="E766" s="169"/>
      <c r="F766" s="169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</row>
    <row r="767">
      <c r="A767" s="58"/>
      <c r="B767" s="58"/>
      <c r="C767" s="58"/>
      <c r="D767" s="53"/>
      <c r="E767" s="169"/>
      <c r="F767" s="169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</row>
    <row r="768">
      <c r="A768" s="58"/>
      <c r="B768" s="58"/>
      <c r="C768" s="58"/>
      <c r="D768" s="53"/>
      <c r="E768" s="169"/>
      <c r="F768" s="169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</row>
    <row r="769">
      <c r="A769" s="58"/>
      <c r="B769" s="58"/>
      <c r="C769" s="58"/>
      <c r="D769" s="53"/>
      <c r="E769" s="169"/>
      <c r="F769" s="169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</row>
    <row r="770">
      <c r="A770" s="58"/>
      <c r="B770" s="58"/>
      <c r="C770" s="58"/>
      <c r="D770" s="53"/>
      <c r="E770" s="169"/>
      <c r="F770" s="169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</row>
    <row r="771">
      <c r="A771" s="58"/>
      <c r="B771" s="58"/>
      <c r="C771" s="58"/>
      <c r="D771" s="53"/>
      <c r="E771" s="169"/>
      <c r="F771" s="169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</row>
    <row r="772">
      <c r="A772" s="58"/>
      <c r="B772" s="58"/>
      <c r="C772" s="58"/>
      <c r="D772" s="53"/>
      <c r="E772" s="169"/>
      <c r="F772" s="169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</row>
    <row r="773">
      <c r="A773" s="58"/>
      <c r="B773" s="58"/>
      <c r="C773" s="58"/>
      <c r="D773" s="53"/>
      <c r="E773" s="169"/>
      <c r="F773" s="169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</row>
    <row r="774">
      <c r="A774" s="58"/>
      <c r="B774" s="58"/>
      <c r="C774" s="58"/>
      <c r="D774" s="53"/>
      <c r="E774" s="169"/>
      <c r="F774" s="169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</row>
    <row r="775">
      <c r="A775" s="58"/>
      <c r="B775" s="58"/>
      <c r="C775" s="58"/>
      <c r="D775" s="53"/>
      <c r="E775" s="169"/>
      <c r="F775" s="169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</row>
    <row r="776">
      <c r="A776" s="58"/>
      <c r="B776" s="58"/>
      <c r="C776" s="58"/>
      <c r="D776" s="53"/>
      <c r="E776" s="169"/>
      <c r="F776" s="169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</row>
    <row r="777">
      <c r="A777" s="58"/>
      <c r="B777" s="58"/>
      <c r="C777" s="58"/>
      <c r="D777" s="53"/>
      <c r="E777" s="169"/>
      <c r="F777" s="169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</row>
    <row r="778">
      <c r="A778" s="58"/>
      <c r="B778" s="58"/>
      <c r="C778" s="58"/>
      <c r="D778" s="53"/>
      <c r="E778" s="169"/>
      <c r="F778" s="169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</row>
    <row r="779">
      <c r="A779" s="58"/>
      <c r="B779" s="58"/>
      <c r="C779" s="58"/>
      <c r="D779" s="53"/>
      <c r="E779" s="169"/>
      <c r="F779" s="169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</row>
    <row r="780">
      <c r="A780" s="58"/>
      <c r="B780" s="58"/>
      <c r="C780" s="58"/>
      <c r="D780" s="53"/>
      <c r="E780" s="169"/>
      <c r="F780" s="169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</row>
    <row r="781">
      <c r="A781" s="58"/>
      <c r="B781" s="58"/>
      <c r="C781" s="58"/>
      <c r="D781" s="53"/>
      <c r="E781" s="169"/>
      <c r="F781" s="169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</row>
    <row r="782">
      <c r="A782" s="58"/>
      <c r="B782" s="58"/>
      <c r="C782" s="58"/>
      <c r="D782" s="53"/>
      <c r="E782" s="169"/>
      <c r="F782" s="169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</row>
    <row r="783">
      <c r="A783" s="58"/>
      <c r="B783" s="58"/>
      <c r="C783" s="58"/>
      <c r="D783" s="53"/>
      <c r="E783" s="169"/>
      <c r="F783" s="169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</row>
    <row r="784">
      <c r="A784" s="58"/>
      <c r="B784" s="58"/>
      <c r="C784" s="58"/>
      <c r="D784" s="53"/>
      <c r="E784" s="169"/>
      <c r="F784" s="169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</row>
    <row r="785">
      <c r="A785" s="58"/>
      <c r="B785" s="58"/>
      <c r="C785" s="58"/>
      <c r="D785" s="53"/>
      <c r="E785" s="169"/>
      <c r="F785" s="169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</row>
    <row r="786">
      <c r="A786" s="58"/>
      <c r="B786" s="58"/>
      <c r="C786" s="58"/>
      <c r="D786" s="53"/>
      <c r="E786" s="169"/>
      <c r="F786" s="169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</row>
    <row r="787">
      <c r="A787" s="58"/>
      <c r="B787" s="58"/>
      <c r="C787" s="58"/>
      <c r="D787" s="53"/>
      <c r="E787" s="169"/>
      <c r="F787" s="169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</row>
    <row r="788">
      <c r="A788" s="58"/>
      <c r="B788" s="58"/>
      <c r="C788" s="58"/>
      <c r="D788" s="53"/>
      <c r="E788" s="169"/>
      <c r="F788" s="169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</row>
    <row r="789">
      <c r="A789" s="58"/>
      <c r="B789" s="58"/>
      <c r="C789" s="58"/>
      <c r="D789" s="53"/>
      <c r="E789" s="169"/>
      <c r="F789" s="169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</row>
    <row r="790">
      <c r="A790" s="58"/>
      <c r="B790" s="58"/>
      <c r="C790" s="58"/>
      <c r="D790" s="53"/>
      <c r="E790" s="169"/>
      <c r="F790" s="169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</row>
    <row r="791">
      <c r="A791" s="58"/>
      <c r="B791" s="58"/>
      <c r="C791" s="58"/>
      <c r="D791" s="53"/>
      <c r="E791" s="169"/>
      <c r="F791" s="169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</row>
    <row r="792">
      <c r="A792" s="58"/>
      <c r="B792" s="58"/>
      <c r="C792" s="58"/>
      <c r="D792" s="53"/>
      <c r="E792" s="169"/>
      <c r="F792" s="169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</row>
    <row r="793">
      <c r="A793" s="58"/>
      <c r="B793" s="58"/>
      <c r="C793" s="58"/>
      <c r="D793" s="53"/>
      <c r="E793" s="169"/>
      <c r="F793" s="169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</row>
    <row r="794">
      <c r="A794" s="58"/>
      <c r="B794" s="58"/>
      <c r="C794" s="58"/>
      <c r="D794" s="53"/>
      <c r="E794" s="169"/>
      <c r="F794" s="169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</row>
    <row r="795">
      <c r="A795" s="58"/>
      <c r="B795" s="58"/>
      <c r="C795" s="58"/>
      <c r="D795" s="53"/>
      <c r="E795" s="169"/>
      <c r="F795" s="169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</row>
    <row r="796">
      <c r="A796" s="58"/>
      <c r="B796" s="58"/>
      <c r="C796" s="58"/>
      <c r="D796" s="53"/>
      <c r="E796" s="169"/>
      <c r="F796" s="169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</row>
    <row r="797">
      <c r="A797" s="58"/>
      <c r="B797" s="58"/>
      <c r="C797" s="58"/>
      <c r="D797" s="53"/>
      <c r="E797" s="169"/>
      <c r="F797" s="169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</row>
    <row r="798">
      <c r="A798" s="58"/>
      <c r="B798" s="58"/>
      <c r="C798" s="58"/>
      <c r="D798" s="53"/>
      <c r="E798" s="169"/>
      <c r="F798" s="169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</row>
    <row r="799">
      <c r="A799" s="58"/>
      <c r="B799" s="58"/>
      <c r="C799" s="58"/>
      <c r="D799" s="53"/>
      <c r="E799" s="169"/>
      <c r="F799" s="169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</row>
    <row r="800">
      <c r="A800" s="58"/>
      <c r="B800" s="58"/>
      <c r="C800" s="58"/>
      <c r="D800" s="53"/>
      <c r="E800" s="169"/>
      <c r="F800" s="169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</row>
    <row r="801">
      <c r="A801" s="58"/>
      <c r="B801" s="58"/>
      <c r="C801" s="58"/>
      <c r="D801" s="53"/>
      <c r="E801" s="169"/>
      <c r="F801" s="169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</row>
    <row r="802">
      <c r="A802" s="58"/>
      <c r="B802" s="58"/>
      <c r="C802" s="58"/>
      <c r="D802" s="53"/>
      <c r="E802" s="169"/>
      <c r="F802" s="169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</row>
    <row r="803">
      <c r="A803" s="58"/>
      <c r="B803" s="58"/>
      <c r="C803" s="58"/>
      <c r="D803" s="53"/>
      <c r="E803" s="169"/>
      <c r="F803" s="169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</row>
    <row r="804">
      <c r="A804" s="58"/>
      <c r="B804" s="58"/>
      <c r="C804" s="58"/>
      <c r="D804" s="53"/>
      <c r="E804" s="169"/>
      <c r="F804" s="169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</row>
    <row r="805">
      <c r="A805" s="58"/>
      <c r="B805" s="58"/>
      <c r="C805" s="58"/>
      <c r="D805" s="53"/>
      <c r="E805" s="169"/>
      <c r="F805" s="169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</row>
    <row r="806">
      <c r="A806" s="58"/>
      <c r="B806" s="58"/>
      <c r="C806" s="58"/>
      <c r="D806" s="53"/>
      <c r="E806" s="169"/>
      <c r="F806" s="169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</row>
    <row r="807">
      <c r="A807" s="58"/>
      <c r="B807" s="58"/>
      <c r="C807" s="58"/>
      <c r="D807" s="53"/>
      <c r="E807" s="169"/>
      <c r="F807" s="169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</row>
    <row r="808">
      <c r="A808" s="58"/>
      <c r="B808" s="58"/>
      <c r="C808" s="58"/>
      <c r="D808" s="53"/>
      <c r="E808" s="169"/>
      <c r="F808" s="169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</row>
  </sheetData>
  <conditionalFormatting sqref="A55">
    <cfRule type="expression" dxfId="4" priority="1">
      <formula>COUNTIF(#REF!, A55) &gt; 1</formula>
    </cfRule>
  </conditionalFormatting>
  <conditionalFormatting sqref="A49:A57 A59:A60 A64:A66 A69">
    <cfRule type="expression" dxfId="0" priority="2">
      <formula>COUNTIF(A:A, A49) &gt; 1</formula>
    </cfRule>
  </conditionalFormatting>
  <conditionalFormatting sqref="L1:L69 M2:M69 P65:P69">
    <cfRule type="cellIs" dxfId="2" priority="3" operator="notEqual">
      <formula>TRUE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2.86"/>
    <col customWidth="1" min="6" max="6" width="18.14"/>
    <col customWidth="1" min="8" max="8" width="15.57"/>
    <col customWidth="1" min="10" max="10" width="13.29"/>
    <col customWidth="1" min="11" max="11" width="15.57"/>
    <col customWidth="1" min="12" max="12" width="17.0"/>
    <col customWidth="1" min="13" max="13" width="16.29"/>
    <col customWidth="1" min="15" max="15" width="18.14"/>
    <col customWidth="1" min="16" max="16" width="8.29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4" t="s">
        <v>8</v>
      </c>
      <c r="F1" s="4" t="s">
        <v>13</v>
      </c>
      <c r="G1" s="6" t="s">
        <v>16</v>
      </c>
      <c r="H1" s="6" t="s">
        <v>20</v>
      </c>
      <c r="I1" s="1" t="s">
        <v>21</v>
      </c>
      <c r="J1" s="1" t="s">
        <v>23</v>
      </c>
      <c r="K1" s="1" t="s">
        <v>26</v>
      </c>
      <c r="L1" s="1" t="s">
        <v>29</v>
      </c>
      <c r="M1" s="1" t="s">
        <v>31</v>
      </c>
      <c r="N1" s="1" t="s">
        <v>32</v>
      </c>
      <c r="O1" s="1" t="s">
        <v>34</v>
      </c>
      <c r="P1" s="1" t="s">
        <v>36</v>
      </c>
      <c r="Q1" s="14" t="s">
        <v>40</v>
      </c>
      <c r="R1" s="17"/>
      <c r="S1" s="17"/>
      <c r="T1" s="17"/>
      <c r="U1" s="17"/>
      <c r="V1" s="17"/>
      <c r="W1" s="17"/>
      <c r="X1" s="17"/>
      <c r="Y1" s="17"/>
      <c r="Z1" s="17"/>
      <c r="AA1" s="17"/>
    </row>
    <row r="2">
      <c r="A2" s="21" t="s">
        <v>50</v>
      </c>
      <c r="B2" s="22" t="str">
        <f>VLOOKUP(A2,Main!A:B,2,0)</f>
        <v>CC__JOHNJOSEPH_FULL_POS1CR</v>
      </c>
      <c r="C2" s="22" t="str">
        <f>VLOOKUP(A2,Main!A:J,10,0)</f>
        <v>7</v>
      </c>
      <c r="D2" s="26">
        <f t="shared" ref="D2:D19" si="1">IF(C2="7",0.8%,1%)</f>
        <v>0.008</v>
      </c>
      <c r="E2" s="27">
        <v>4.2E7</v>
      </c>
      <c r="F2" s="27">
        <v>1.0E7</v>
      </c>
      <c r="G2" s="29">
        <v>0.0</v>
      </c>
      <c r="H2" s="29">
        <v>0.0</v>
      </c>
      <c r="I2" s="32">
        <f>IF(N2="4DTE",(F2*O2*P2),(F2*O2*P2+(G2+H2)))</f>
        <v>100000</v>
      </c>
      <c r="J2" s="33">
        <v>0.0</v>
      </c>
      <c r="K2" s="33">
        <v>0.0</v>
      </c>
      <c r="L2" s="35">
        <f>(I2+J2+K2)+(E2*D2)</f>
        <v>436000</v>
      </c>
      <c r="M2" s="37">
        <f t="shared" ref="M2:M5" si="2">L2</f>
        <v>436000</v>
      </c>
      <c r="N2" s="28" t="s">
        <v>89</v>
      </c>
      <c r="O2" s="39">
        <v>0.2</v>
      </c>
      <c r="P2" s="39">
        <v>0.05</v>
      </c>
      <c r="Q2" s="9" t="s">
        <v>93</v>
      </c>
      <c r="R2" s="19"/>
      <c r="S2" s="19"/>
      <c r="T2" s="19"/>
      <c r="U2" s="19"/>
      <c r="V2" s="19"/>
      <c r="W2" s="19"/>
      <c r="X2" s="19"/>
      <c r="Y2" s="19"/>
      <c r="Z2" s="19"/>
      <c r="AA2" s="19"/>
    </row>
    <row r="3">
      <c r="A3" s="28" t="s">
        <v>95</v>
      </c>
      <c r="B3" s="22" t="str">
        <f>VLOOKUP(A3,Main!A:B,2,0)</f>
        <v>CC_GAYATRIB_FIX_1CR_0SL_POS</v>
      </c>
      <c r="C3" s="22" t="str">
        <f>VLOOKUP(A3,Main!A:J,10,0)</f>
        <v>7</v>
      </c>
      <c r="D3" s="26">
        <f t="shared" si="1"/>
        <v>0.008</v>
      </c>
      <c r="E3" s="27">
        <v>1.0E7</v>
      </c>
      <c r="F3" s="27">
        <v>1.0E7</v>
      </c>
      <c r="G3" s="29">
        <v>0.0</v>
      </c>
      <c r="H3" s="29">
        <v>0.0</v>
      </c>
      <c r="I3" s="32">
        <v>3000000.0</v>
      </c>
      <c r="J3" s="33">
        <v>0.0</v>
      </c>
      <c r="K3" s="33">
        <v>0.0</v>
      </c>
      <c r="L3" s="45">
        <v>3000000.0</v>
      </c>
      <c r="M3" s="28">
        <f t="shared" si="2"/>
        <v>3000000</v>
      </c>
      <c r="N3" s="28" t="s">
        <v>89</v>
      </c>
      <c r="O3" s="28" t="s">
        <v>100</v>
      </c>
      <c r="P3" s="28" t="s">
        <v>100</v>
      </c>
      <c r="Q3" s="9" t="s">
        <v>93</v>
      </c>
      <c r="R3" s="9" t="s">
        <v>101</v>
      </c>
      <c r="S3" s="19"/>
      <c r="T3" s="19"/>
      <c r="U3" s="19"/>
      <c r="V3" s="19"/>
      <c r="W3" s="19"/>
      <c r="X3" s="19"/>
      <c r="Y3" s="19"/>
      <c r="Z3" s="19"/>
      <c r="AA3" s="19"/>
    </row>
    <row r="4">
      <c r="A4" s="28" t="s">
        <v>103</v>
      </c>
      <c r="B4" s="22" t="str">
        <f>VLOOKUP(A4,Main!A:B,2,0)</f>
        <v>CC_BHADADAR_FIX_1CR_POS</v>
      </c>
      <c r="C4" s="22" t="str">
        <f>VLOOKUP(A4,Main!A:J,10,0)</f>
        <v>15</v>
      </c>
      <c r="D4" s="26">
        <f t="shared" si="1"/>
        <v>0.01</v>
      </c>
      <c r="E4" s="27">
        <v>1.0E7</v>
      </c>
      <c r="F4" s="27">
        <v>1.0E7</v>
      </c>
      <c r="G4" s="29">
        <v>0.0</v>
      </c>
      <c r="H4" s="29">
        <v>0.0</v>
      </c>
      <c r="I4" s="32">
        <v>3000000.0</v>
      </c>
      <c r="J4" s="33">
        <v>0.0</v>
      </c>
      <c r="K4" s="33">
        <v>0.0</v>
      </c>
      <c r="L4" s="45">
        <v>3000000.0</v>
      </c>
      <c r="M4" s="28">
        <f t="shared" si="2"/>
        <v>3000000</v>
      </c>
      <c r="N4" s="28" t="s">
        <v>89</v>
      </c>
      <c r="O4" s="28" t="s">
        <v>100</v>
      </c>
      <c r="P4" s="28" t="s">
        <v>100</v>
      </c>
      <c r="Q4" s="9" t="s">
        <v>93</v>
      </c>
      <c r="R4" s="9" t="s">
        <v>101</v>
      </c>
      <c r="S4" s="19"/>
      <c r="T4" s="19"/>
      <c r="U4" s="19"/>
      <c r="V4" s="19"/>
      <c r="W4" s="19"/>
      <c r="X4" s="19"/>
      <c r="Y4" s="19"/>
      <c r="Z4" s="19"/>
      <c r="AA4" s="19"/>
    </row>
    <row r="5">
      <c r="A5" s="49" t="s">
        <v>107</v>
      </c>
      <c r="B5" s="22" t="str">
        <f>VLOOKUP(A5,Main!A:B,2,0)</f>
        <v>MSS_A1_PS_POS</v>
      </c>
      <c r="C5" s="22" t="str">
        <f>VLOOKUP(A5,Main!A:J,10,0)</f>
        <v>1</v>
      </c>
      <c r="D5" s="26">
        <f t="shared" si="1"/>
        <v>0.01</v>
      </c>
      <c r="E5" s="27">
        <v>1.0E7</v>
      </c>
      <c r="F5" s="27">
        <v>1.0E7</v>
      </c>
      <c r="G5" s="29">
        <v>0.0</v>
      </c>
      <c r="H5" s="29">
        <v>0.0</v>
      </c>
      <c r="I5" s="32">
        <f>IF(N5="4DTE",(F5*O5*P5),(F5*O5*P5+(G5+H5)))</f>
        <v>60000</v>
      </c>
      <c r="J5" s="33">
        <v>0.0</v>
      </c>
      <c r="K5" s="52">
        <v>3133.0</v>
      </c>
      <c r="L5" s="35">
        <f>(I5+J5+K5)+(E5*D5)</f>
        <v>163133</v>
      </c>
      <c r="M5" s="37">
        <f t="shared" si="2"/>
        <v>163133</v>
      </c>
      <c r="N5" s="28" t="s">
        <v>89</v>
      </c>
      <c r="O5" s="54">
        <v>0.2</v>
      </c>
      <c r="P5" s="54">
        <v>0.03</v>
      </c>
      <c r="Q5" s="9" t="s">
        <v>93</v>
      </c>
      <c r="R5" s="19"/>
      <c r="S5" s="19"/>
      <c r="T5" s="19"/>
      <c r="U5" s="19"/>
      <c r="V5" s="19"/>
      <c r="W5" s="19"/>
      <c r="X5" s="19"/>
      <c r="Y5" s="19"/>
      <c r="Z5" s="19"/>
      <c r="AA5" s="19"/>
    </row>
    <row r="6">
      <c r="A6" s="28" t="s">
        <v>115</v>
      </c>
      <c r="B6" s="22" t="str">
        <f>VLOOKUP(A6,Main!A:B,2,0)</f>
        <v>MSR_RDANGAYACH5_FULL_POS10CR</v>
      </c>
      <c r="C6" s="22" t="str">
        <f>VLOOKUP(A6,Main!A:J,10,0)</f>
        <v>7</v>
      </c>
      <c r="D6" s="26">
        <f t="shared" si="1"/>
        <v>0.008</v>
      </c>
      <c r="E6" s="27">
        <v>4.0E7</v>
      </c>
      <c r="F6" s="27">
        <v>1.0E8</v>
      </c>
      <c r="G6" s="29">
        <v>0.0</v>
      </c>
      <c r="H6" s="29">
        <v>0.0</v>
      </c>
      <c r="I6" s="32">
        <f t="shared" ref="I6:I14" si="3">IF(N6="4DTE",(F6*O6*P6),(F6*O6*P6+G6+H6))</f>
        <v>1000000</v>
      </c>
      <c r="J6" s="33">
        <v>0.0</v>
      </c>
      <c r="K6" s="33">
        <v>0.0</v>
      </c>
      <c r="L6" s="45">
        <f>(F6*O6*P6)+J6+K6+(E6*D6)</f>
        <v>1320000</v>
      </c>
      <c r="M6" s="28">
        <f>L6-K6</f>
        <v>1320000</v>
      </c>
      <c r="N6" s="28" t="s">
        <v>89</v>
      </c>
      <c r="O6" s="39">
        <v>0.2</v>
      </c>
      <c r="P6" s="39">
        <v>0.05</v>
      </c>
      <c r="Q6" s="9" t="s">
        <v>94</v>
      </c>
      <c r="R6" s="19"/>
      <c r="S6" s="19"/>
      <c r="T6" s="19"/>
      <c r="U6" s="19"/>
      <c r="V6" s="19"/>
      <c r="W6" s="19"/>
      <c r="X6" s="19"/>
      <c r="Y6" s="19"/>
      <c r="Z6" s="19"/>
      <c r="AA6" s="19"/>
    </row>
    <row r="7">
      <c r="A7" s="49" t="s">
        <v>120</v>
      </c>
      <c r="B7" s="22" t="str">
        <f>VLOOKUP(A7,Main!A:B,2,0)</f>
        <v>MSS_A7_PS_FULL_POS</v>
      </c>
      <c r="C7" s="22" t="str">
        <f>VLOOKUP(A7,Main!A:J,10,0)</f>
        <v>7</v>
      </c>
      <c r="D7" s="26">
        <f t="shared" si="1"/>
        <v>0.008</v>
      </c>
      <c r="E7" s="27">
        <v>1.0E7</v>
      </c>
      <c r="F7" s="27">
        <v>1.0E7</v>
      </c>
      <c r="G7" s="29">
        <v>0.0</v>
      </c>
      <c r="H7" s="29">
        <v>0.0</v>
      </c>
      <c r="I7" s="32">
        <f t="shared" si="3"/>
        <v>60000</v>
      </c>
      <c r="J7" s="33">
        <v>0.0</v>
      </c>
      <c r="K7" s="33">
        <v>-171.6</v>
      </c>
      <c r="L7" s="35">
        <f t="shared" ref="L7:L14" si="4">(I7+J7+K7)+(E7*D7)</f>
        <v>139828.4</v>
      </c>
      <c r="M7" s="37">
        <f t="shared" ref="M7:M19" si="5">L7</f>
        <v>139828.4</v>
      </c>
      <c r="N7" s="28" t="s">
        <v>89</v>
      </c>
      <c r="O7" s="54">
        <v>0.2</v>
      </c>
      <c r="P7" s="54">
        <v>0.03</v>
      </c>
      <c r="Q7" s="9" t="s">
        <v>93</v>
      </c>
      <c r="R7" s="19"/>
      <c r="S7" s="19"/>
      <c r="T7" s="19"/>
      <c r="U7" s="19"/>
      <c r="V7" s="19"/>
      <c r="W7" s="19"/>
      <c r="X7" s="19"/>
      <c r="Y7" s="19"/>
      <c r="Z7" s="19"/>
      <c r="AA7" s="19"/>
    </row>
    <row r="8">
      <c r="A8" s="55" t="s">
        <v>129</v>
      </c>
      <c r="B8" s="22" t="str">
        <f>VLOOKUP(A8,Main!A:B,2,0)</f>
        <v>MSS_A15_PS_POS</v>
      </c>
      <c r="C8" s="22" t="str">
        <f>VLOOKUP(A8,Main!A:J,10,0)</f>
        <v>15</v>
      </c>
      <c r="D8" s="26">
        <f t="shared" si="1"/>
        <v>0.01</v>
      </c>
      <c r="E8" s="27">
        <v>1.0E7</v>
      </c>
      <c r="F8" s="27">
        <v>0.0</v>
      </c>
      <c r="G8" s="29">
        <v>0.0</v>
      </c>
      <c r="H8" s="29">
        <v>0.0</v>
      </c>
      <c r="I8" s="32">
        <f t="shared" si="3"/>
        <v>0</v>
      </c>
      <c r="J8" s="33">
        <v>0.0</v>
      </c>
      <c r="K8" s="33">
        <v>0.0</v>
      </c>
      <c r="L8" s="35">
        <f t="shared" si="4"/>
        <v>100000</v>
      </c>
      <c r="M8" s="37">
        <f t="shared" si="5"/>
        <v>100000</v>
      </c>
      <c r="N8" s="28" t="s">
        <v>89</v>
      </c>
      <c r="O8" s="54">
        <v>0.2</v>
      </c>
      <c r="P8" s="54">
        <v>0.03</v>
      </c>
      <c r="Q8" s="9" t="s">
        <v>93</v>
      </c>
      <c r="R8" s="19"/>
      <c r="S8" s="19"/>
      <c r="T8" s="19"/>
      <c r="U8" s="19"/>
      <c r="V8" s="19"/>
      <c r="W8" s="19"/>
      <c r="X8" s="19"/>
      <c r="Y8" s="19"/>
      <c r="Z8" s="19"/>
      <c r="AA8" s="19"/>
    </row>
    <row r="9">
      <c r="A9" s="57" t="s">
        <v>144</v>
      </c>
      <c r="B9" s="22" t="str">
        <f>VLOOKUP(A9,Main!A:B,2,0)</f>
        <v>MSS_A1_RM_INT</v>
      </c>
      <c r="C9" s="22" t="str">
        <f>VLOOKUP(A9,Main!A:J,10,0)</f>
        <v>0</v>
      </c>
      <c r="D9" s="26">
        <f t="shared" si="1"/>
        <v>0.01</v>
      </c>
      <c r="E9" s="27">
        <v>2.0E7</v>
      </c>
      <c r="F9" s="27">
        <v>0.0</v>
      </c>
      <c r="G9" s="29">
        <v>0.0</v>
      </c>
      <c r="H9" s="29">
        <v>0.0</v>
      </c>
      <c r="I9" s="32">
        <f t="shared" si="3"/>
        <v>0</v>
      </c>
      <c r="J9" s="33">
        <v>0.0</v>
      </c>
      <c r="K9" s="33">
        <v>0.0</v>
      </c>
      <c r="L9" s="35">
        <f t="shared" si="4"/>
        <v>200000</v>
      </c>
      <c r="M9" s="37">
        <f t="shared" si="5"/>
        <v>200000</v>
      </c>
      <c r="N9" s="28" t="s">
        <v>89</v>
      </c>
      <c r="O9" s="54">
        <v>0.2</v>
      </c>
      <c r="P9" s="54">
        <v>0.03</v>
      </c>
      <c r="Q9" s="9" t="s">
        <v>93</v>
      </c>
      <c r="R9" s="19"/>
      <c r="S9" s="19"/>
      <c r="T9" s="19"/>
      <c r="U9" s="19"/>
      <c r="V9" s="19"/>
      <c r="W9" s="19"/>
      <c r="X9" s="19"/>
      <c r="Y9" s="19"/>
      <c r="Z9" s="19"/>
      <c r="AA9" s="19"/>
    </row>
    <row r="10">
      <c r="A10" s="57" t="s">
        <v>149</v>
      </c>
      <c r="B10" s="22" t="str">
        <f>VLOOKUP(A10,Main!A:B,2,0)</f>
        <v>MSS_A7_RM_POS</v>
      </c>
      <c r="C10" s="22" t="str">
        <f>VLOOKUP(A10,Main!A:J,10,0)</f>
        <v>0</v>
      </c>
      <c r="D10" s="26">
        <f t="shared" si="1"/>
        <v>0.01</v>
      </c>
      <c r="E10" s="27">
        <v>2.0E7</v>
      </c>
      <c r="F10" s="27">
        <v>0.0</v>
      </c>
      <c r="G10" s="29">
        <v>0.0</v>
      </c>
      <c r="H10" s="29">
        <v>0.0</v>
      </c>
      <c r="I10" s="32">
        <f t="shared" si="3"/>
        <v>0</v>
      </c>
      <c r="J10" s="33">
        <v>0.0</v>
      </c>
      <c r="K10" s="33">
        <v>0.0</v>
      </c>
      <c r="L10" s="35">
        <f t="shared" si="4"/>
        <v>200000</v>
      </c>
      <c r="M10" s="37">
        <f t="shared" si="5"/>
        <v>200000</v>
      </c>
      <c r="N10" s="28" t="s">
        <v>89</v>
      </c>
      <c r="O10" s="54">
        <v>0.2</v>
      </c>
      <c r="P10" s="54">
        <v>0.03</v>
      </c>
      <c r="Q10" s="9" t="s">
        <v>93</v>
      </c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>
      <c r="A11" s="22" t="s">
        <v>154</v>
      </c>
      <c r="B11" s="22" t="str">
        <f>VLOOKUP(A11,Main!A:B,2,0)</f>
        <v>MSS_AARTHA_JM_POS</v>
      </c>
      <c r="C11" s="22" t="str">
        <f>VLOOKUP(A11,Main!A:J,10,0)</f>
        <v>1</v>
      </c>
      <c r="D11" s="26">
        <f t="shared" si="1"/>
        <v>0.01</v>
      </c>
      <c r="E11" s="27">
        <v>3.2E7</v>
      </c>
      <c r="F11" s="27">
        <v>5.0E7</v>
      </c>
      <c r="G11" s="29">
        <v>0.0</v>
      </c>
      <c r="H11" s="29">
        <v>0.0</v>
      </c>
      <c r="I11" s="32">
        <f t="shared" si="3"/>
        <v>500000</v>
      </c>
      <c r="J11" s="33">
        <v>0.0</v>
      </c>
      <c r="K11" s="33">
        <v>0.0</v>
      </c>
      <c r="L11" s="35">
        <f t="shared" si="4"/>
        <v>820000</v>
      </c>
      <c r="M11" s="37">
        <f t="shared" si="5"/>
        <v>820000</v>
      </c>
      <c r="N11" s="28" t="s">
        <v>89</v>
      </c>
      <c r="O11" s="39">
        <v>0.2</v>
      </c>
      <c r="P11" s="39">
        <v>0.05</v>
      </c>
      <c r="Q11" s="9" t="s">
        <v>93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>
      <c r="A12" s="61" t="s">
        <v>146</v>
      </c>
      <c r="B12" s="22" t="str">
        <f>VLOOKUP(A12,Main!A:B,2,0)</f>
        <v>MSS_A15_RM_ACHINTYA_POS</v>
      </c>
      <c r="C12" s="22" t="str">
        <f>VLOOKUP(A12,Main!A:J,10,0)</f>
        <v>0</v>
      </c>
      <c r="D12" s="26">
        <f t="shared" si="1"/>
        <v>0.01</v>
      </c>
      <c r="E12" s="27">
        <v>5.0E7</v>
      </c>
      <c r="F12" s="27">
        <v>0.0</v>
      </c>
      <c r="G12" s="29">
        <v>0.0</v>
      </c>
      <c r="H12" s="29">
        <v>0.0</v>
      </c>
      <c r="I12" s="32">
        <f t="shared" si="3"/>
        <v>0</v>
      </c>
      <c r="J12" s="33">
        <v>0.0</v>
      </c>
      <c r="K12" s="33">
        <v>0.0</v>
      </c>
      <c r="L12" s="35">
        <f t="shared" si="4"/>
        <v>500000</v>
      </c>
      <c r="M12" s="37">
        <f t="shared" si="5"/>
        <v>500000</v>
      </c>
      <c r="N12" s="28" t="s">
        <v>89</v>
      </c>
      <c r="O12" s="54">
        <v>0.2</v>
      </c>
      <c r="P12" s="54">
        <v>0.03</v>
      </c>
      <c r="Q12" s="9" t="s">
        <v>93</v>
      </c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>
      <c r="A13" s="61" t="s">
        <v>181</v>
      </c>
      <c r="B13" s="22" t="str">
        <f>VLOOKUP(A13,Main!A:B,2,0)</f>
        <v>MSS_A1_RM_ACHINTYA_INT</v>
      </c>
      <c r="C13" s="22" t="str">
        <f>VLOOKUP(A13,Main!A:J,10,0)</f>
        <v>0</v>
      </c>
      <c r="D13" s="26">
        <f t="shared" si="1"/>
        <v>0.01</v>
      </c>
      <c r="E13" s="27">
        <v>1.1E8</v>
      </c>
      <c r="F13" s="27">
        <v>0.0</v>
      </c>
      <c r="G13" s="29">
        <v>0.0</v>
      </c>
      <c r="H13" s="29">
        <v>0.0</v>
      </c>
      <c r="I13" s="32">
        <f t="shared" si="3"/>
        <v>0</v>
      </c>
      <c r="J13" s="33">
        <v>0.0</v>
      </c>
      <c r="K13" s="33">
        <v>0.0</v>
      </c>
      <c r="L13" s="35">
        <f t="shared" si="4"/>
        <v>1100000</v>
      </c>
      <c r="M13" s="37">
        <f t="shared" si="5"/>
        <v>1100000</v>
      </c>
      <c r="N13" s="28" t="s">
        <v>89</v>
      </c>
      <c r="O13" s="54">
        <v>0.2</v>
      </c>
      <c r="P13" s="54">
        <v>0.03</v>
      </c>
      <c r="Q13" s="9" t="s">
        <v>93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>
      <c r="A14" s="61" t="s">
        <v>128</v>
      </c>
      <c r="B14" s="22" t="str">
        <f>VLOOKUP(A14,Main!A:B,2,0)</f>
        <v>MSS_A7_RM_ACHINTYA_POS</v>
      </c>
      <c r="C14" s="22" t="str">
        <f>VLOOKUP(A14,Main!A:J,10,0)</f>
        <v>0</v>
      </c>
      <c r="D14" s="26">
        <f t="shared" si="1"/>
        <v>0.01</v>
      </c>
      <c r="E14" s="27">
        <v>1.1E8</v>
      </c>
      <c r="F14" s="27">
        <v>0.0</v>
      </c>
      <c r="G14" s="29">
        <v>0.0</v>
      </c>
      <c r="H14" s="29">
        <v>0.0</v>
      </c>
      <c r="I14" s="32">
        <f t="shared" si="3"/>
        <v>0</v>
      </c>
      <c r="J14" s="33">
        <v>0.0</v>
      </c>
      <c r="K14" s="33">
        <v>0.0</v>
      </c>
      <c r="L14" s="35">
        <f t="shared" si="4"/>
        <v>1100000</v>
      </c>
      <c r="M14" s="37">
        <f t="shared" si="5"/>
        <v>1100000</v>
      </c>
      <c r="N14" s="28" t="s">
        <v>89</v>
      </c>
      <c r="O14" s="54">
        <v>0.2</v>
      </c>
      <c r="P14" s="54">
        <v>0.03</v>
      </c>
      <c r="Q14" s="9" t="s">
        <v>93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>
      <c r="A15" s="9" t="s">
        <v>201</v>
      </c>
      <c r="B15" s="22" t="str">
        <f>VLOOKUP(A15,Main!A:B,2,0)</f>
        <v>MSV_VTPRATIM_0SL_FIX1CR_POS</v>
      </c>
      <c r="C15" s="22" t="str">
        <f>VLOOKUP(A15,Main!A:J,10,0)</f>
        <v>7</v>
      </c>
      <c r="D15" s="26">
        <f t="shared" si="1"/>
        <v>0.008</v>
      </c>
      <c r="E15" s="70" t="s">
        <v>203</v>
      </c>
      <c r="F15" s="27" t="s">
        <v>203</v>
      </c>
      <c r="G15" s="29">
        <v>0.0</v>
      </c>
      <c r="H15" s="29">
        <v>0.0</v>
      </c>
      <c r="I15" s="32">
        <v>3000000.0</v>
      </c>
      <c r="J15" s="33">
        <v>0.0</v>
      </c>
      <c r="K15" s="33">
        <v>0.0</v>
      </c>
      <c r="L15" s="32">
        <v>3000000.0</v>
      </c>
      <c r="M15" s="37">
        <f t="shared" si="5"/>
        <v>3000000</v>
      </c>
      <c r="N15" s="28" t="s">
        <v>89</v>
      </c>
      <c r="O15" s="28" t="s">
        <v>100</v>
      </c>
      <c r="P15" s="28" t="s">
        <v>100</v>
      </c>
      <c r="Q15" s="9" t="s">
        <v>93</v>
      </c>
      <c r="R15" s="9" t="s">
        <v>101</v>
      </c>
      <c r="S15" s="19"/>
      <c r="T15" s="19"/>
      <c r="U15" s="19"/>
      <c r="V15" s="19"/>
      <c r="W15" s="19"/>
      <c r="X15" s="19"/>
      <c r="Y15" s="19"/>
      <c r="Z15" s="19"/>
      <c r="AA15" s="19"/>
    </row>
    <row r="16">
      <c r="A16" s="11" t="s">
        <v>207</v>
      </c>
      <c r="B16" s="22" t="str">
        <f>VLOOKUP(A16,Main!A:B,2,0)</f>
        <v>MSV_VIVEK THEBARIA_POS</v>
      </c>
      <c r="C16" s="22" t="str">
        <f>VLOOKUP(A16,Main!A:J,10,0)</f>
        <v>15</v>
      </c>
      <c r="D16" s="26">
        <f t="shared" si="1"/>
        <v>0.01</v>
      </c>
      <c r="E16" s="70" t="s">
        <v>203</v>
      </c>
      <c r="F16" s="27" t="s">
        <v>203</v>
      </c>
      <c r="G16" s="29">
        <v>0.0</v>
      </c>
      <c r="H16" s="29">
        <v>0.0</v>
      </c>
      <c r="I16" s="32">
        <v>3000000.0</v>
      </c>
      <c r="J16" s="33">
        <v>0.0</v>
      </c>
      <c r="K16" s="33">
        <v>0.0</v>
      </c>
      <c r="L16" s="32">
        <v>3000000.0</v>
      </c>
      <c r="M16" s="37">
        <f t="shared" si="5"/>
        <v>3000000</v>
      </c>
      <c r="N16" s="28" t="s">
        <v>89</v>
      </c>
      <c r="O16" s="28" t="s">
        <v>100</v>
      </c>
      <c r="P16" s="28" t="s">
        <v>100</v>
      </c>
      <c r="Q16" s="9" t="s">
        <v>93</v>
      </c>
      <c r="R16" s="9" t="s">
        <v>101</v>
      </c>
    </row>
    <row r="17">
      <c r="A17" s="71" t="s">
        <v>216</v>
      </c>
      <c r="B17" s="22" t="str">
        <f>VLOOKUP(A17,Main!A:B,2,0)</f>
        <v>CCV_VIVEK_THEBARIA_FIX_1CR_POS</v>
      </c>
      <c r="C17" s="22" t="str">
        <f>VLOOKUP(A17,Main!A:J,10,0)</f>
        <v>1</v>
      </c>
      <c r="D17" s="26">
        <f t="shared" si="1"/>
        <v>0.01</v>
      </c>
      <c r="E17" s="70" t="s">
        <v>203</v>
      </c>
      <c r="F17" s="27" t="s">
        <v>203</v>
      </c>
      <c r="G17" s="29">
        <v>0.0</v>
      </c>
      <c r="H17" s="29">
        <v>0.0</v>
      </c>
      <c r="I17" s="32">
        <v>3000000.0</v>
      </c>
      <c r="J17" s="33">
        <v>0.0</v>
      </c>
      <c r="K17" s="33">
        <v>0.0</v>
      </c>
      <c r="L17" s="32">
        <v>3000000.0</v>
      </c>
      <c r="M17" s="37">
        <f t="shared" si="5"/>
        <v>3000000</v>
      </c>
      <c r="N17" s="28" t="s">
        <v>89</v>
      </c>
      <c r="O17" s="28" t="s">
        <v>100</v>
      </c>
      <c r="P17" s="28" t="s">
        <v>100</v>
      </c>
      <c r="Q17" s="9" t="s">
        <v>93</v>
      </c>
      <c r="R17" s="9" t="s">
        <v>101</v>
      </c>
    </row>
    <row r="18">
      <c r="A18" s="72" t="s">
        <v>224</v>
      </c>
      <c r="B18" s="22" t="str">
        <f>VLOOKUP(A18,Main!A:B,2,0)</f>
        <v>MSS_A1_RM_PRSNL_POS</v>
      </c>
      <c r="C18" s="22" t="str">
        <f>VLOOKUP(A18,Main!A:J,10,0)</f>
        <v>1</v>
      </c>
      <c r="D18" s="26">
        <f t="shared" si="1"/>
        <v>0.01</v>
      </c>
      <c r="E18" s="27">
        <v>4.0E7</v>
      </c>
      <c r="F18" s="27">
        <v>2.0E7</v>
      </c>
      <c r="G18" s="29">
        <v>0.0</v>
      </c>
      <c r="H18" s="29">
        <v>0.0</v>
      </c>
      <c r="I18" s="32">
        <f t="shared" ref="I18:I19" si="6">IF(N18="4DTE",(F18*O18*P18),(F18*O18*P18+G18+H18))</f>
        <v>120000</v>
      </c>
      <c r="J18" s="33">
        <v>0.0</v>
      </c>
      <c r="K18" s="33">
        <v>6178.25</v>
      </c>
      <c r="L18" s="35">
        <f t="shared" ref="L18:L19" si="7">(I18+J18+K18)+(E18*D18)</f>
        <v>526178.25</v>
      </c>
      <c r="M18" s="37">
        <f t="shared" si="5"/>
        <v>526178.25</v>
      </c>
      <c r="N18" s="28" t="s">
        <v>89</v>
      </c>
      <c r="O18" s="54">
        <v>0.2</v>
      </c>
      <c r="P18" s="54">
        <v>0.03</v>
      </c>
      <c r="Q18" s="9" t="s">
        <v>93</v>
      </c>
    </row>
    <row r="19">
      <c r="A19" s="73" t="s">
        <v>234</v>
      </c>
      <c r="B19" s="22" t="str">
        <f>VLOOKUP(A19,Main!A:B,2,0)</f>
        <v>MSS_A7_RM_PRSNL_INT</v>
      </c>
      <c r="C19" s="22" t="str">
        <f>VLOOKUP(A19,Main!A:J,10,0)</f>
        <v>7</v>
      </c>
      <c r="D19" s="26">
        <f t="shared" si="1"/>
        <v>0.008</v>
      </c>
      <c r="E19" s="27">
        <v>4.0E7</v>
      </c>
      <c r="F19" s="27">
        <v>2.0E7</v>
      </c>
      <c r="G19" s="29">
        <v>0.0</v>
      </c>
      <c r="H19" s="29">
        <v>0.0</v>
      </c>
      <c r="I19" s="32">
        <f t="shared" si="6"/>
        <v>120000</v>
      </c>
      <c r="J19" s="33">
        <v>5.2</v>
      </c>
      <c r="K19" s="33">
        <v>-1015.3</v>
      </c>
      <c r="L19" s="35">
        <f t="shared" si="7"/>
        <v>438989.9</v>
      </c>
      <c r="M19" s="37">
        <f t="shared" si="5"/>
        <v>438989.9</v>
      </c>
      <c r="N19" s="28" t="s">
        <v>89</v>
      </c>
      <c r="O19" s="54">
        <v>0.2</v>
      </c>
      <c r="P19" s="54">
        <v>0.03</v>
      </c>
      <c r="Q19" s="9" t="s">
        <v>93</v>
      </c>
    </row>
    <row r="20">
      <c r="A20" s="75"/>
      <c r="B20" s="76"/>
      <c r="C20" s="76"/>
      <c r="D20" s="77"/>
      <c r="E20" s="77"/>
      <c r="F20" s="77"/>
      <c r="G20" s="77"/>
      <c r="H20" s="77"/>
      <c r="I20" s="78"/>
      <c r="K20" s="77"/>
      <c r="L20" s="77"/>
      <c r="M20" s="77"/>
      <c r="N20" s="79"/>
      <c r="O20" s="76"/>
    </row>
    <row r="21">
      <c r="A21" s="76"/>
      <c r="B21" s="76"/>
      <c r="C21" s="76"/>
      <c r="D21" s="77"/>
      <c r="E21" s="77"/>
      <c r="F21" s="77"/>
      <c r="G21" s="78"/>
      <c r="H21" s="77"/>
      <c r="K21" s="77"/>
      <c r="L21" s="77"/>
      <c r="M21" s="77"/>
      <c r="N21" s="77"/>
      <c r="O21" s="76"/>
    </row>
    <row r="22">
      <c r="A22" s="76"/>
      <c r="B22" s="76"/>
      <c r="C22" s="76"/>
      <c r="D22" s="77"/>
      <c r="E22" s="77"/>
      <c r="F22" s="77"/>
      <c r="G22" s="77"/>
      <c r="H22" s="78"/>
      <c r="I22" s="77"/>
      <c r="J22" s="32"/>
      <c r="K22" s="77"/>
      <c r="L22" s="77"/>
      <c r="M22" s="77"/>
      <c r="N22" s="77"/>
      <c r="O22" s="76"/>
    </row>
    <row r="23">
      <c r="A23" s="76"/>
      <c r="B23" s="76"/>
      <c r="C23" s="76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6"/>
    </row>
    <row r="24">
      <c r="A24" s="11"/>
      <c r="B24" s="76"/>
      <c r="C24" s="76"/>
      <c r="D24" s="77"/>
      <c r="E24" s="77"/>
      <c r="F24" s="77"/>
      <c r="G24" s="77"/>
      <c r="H24" s="77"/>
      <c r="I24" s="77"/>
      <c r="J24" s="77"/>
      <c r="L24" s="77"/>
      <c r="M24" s="78"/>
      <c r="N24" s="77"/>
      <c r="O24" s="76"/>
    </row>
    <row r="25">
      <c r="A25" s="76"/>
      <c r="B25" s="76"/>
      <c r="C25" s="76"/>
      <c r="D25" s="77"/>
      <c r="E25" s="77"/>
      <c r="F25" s="77"/>
      <c r="G25" s="77"/>
      <c r="H25" s="77"/>
      <c r="I25" s="77"/>
      <c r="J25" s="78"/>
      <c r="L25" s="77"/>
      <c r="M25" s="77"/>
      <c r="N25" s="77"/>
      <c r="O25" s="76"/>
    </row>
    <row r="26">
      <c r="A26" s="76"/>
      <c r="B26" s="76"/>
      <c r="C26" s="76"/>
      <c r="D26" s="77"/>
      <c r="E26" s="77"/>
      <c r="F26" s="77"/>
      <c r="G26" s="77"/>
      <c r="H26" s="77"/>
      <c r="I26" s="77"/>
      <c r="J26" s="77"/>
      <c r="K26" s="80"/>
      <c r="L26" s="78"/>
      <c r="M26" s="77"/>
      <c r="N26" s="77"/>
      <c r="O26" s="76"/>
    </row>
    <row r="27">
      <c r="G27" s="81"/>
      <c r="H27" s="81"/>
      <c r="I27" s="77"/>
      <c r="J27" s="77"/>
      <c r="L27" s="77"/>
      <c r="M27" s="77"/>
    </row>
    <row r="28">
      <c r="G28" s="81"/>
      <c r="H28" s="81"/>
      <c r="K28" s="77"/>
    </row>
    <row r="29">
      <c r="G29" s="81"/>
      <c r="H29" s="81"/>
      <c r="K29" s="77"/>
    </row>
    <row r="30">
      <c r="G30" s="81"/>
      <c r="H30" s="82"/>
    </row>
    <row r="31">
      <c r="G31" s="81"/>
      <c r="H31" s="81"/>
    </row>
    <row r="32">
      <c r="G32" s="81"/>
      <c r="H32" s="81"/>
    </row>
    <row r="33">
      <c r="G33" s="81"/>
      <c r="H33" s="81"/>
    </row>
    <row r="34">
      <c r="G34" s="81"/>
      <c r="H34" s="81"/>
    </row>
    <row r="35">
      <c r="G35" s="81"/>
      <c r="H35" s="81"/>
    </row>
    <row r="36">
      <c r="G36" s="81"/>
      <c r="H36" s="81"/>
    </row>
    <row r="37">
      <c r="G37" s="81"/>
      <c r="H37" s="81"/>
    </row>
    <row r="38">
      <c r="G38" s="81"/>
      <c r="H38" s="81"/>
    </row>
    <row r="39">
      <c r="G39" s="81"/>
      <c r="H39" s="81"/>
    </row>
    <row r="40">
      <c r="G40" s="81"/>
      <c r="H40" s="81"/>
    </row>
    <row r="41">
      <c r="G41" s="81"/>
      <c r="H41" s="81"/>
    </row>
    <row r="42">
      <c r="G42" s="81"/>
      <c r="H42" s="81"/>
    </row>
    <row r="43">
      <c r="G43" s="81"/>
      <c r="H43" s="81"/>
    </row>
    <row r="44">
      <c r="G44" s="81"/>
      <c r="H44" s="81"/>
    </row>
    <row r="45">
      <c r="G45" s="81"/>
      <c r="H45" s="81"/>
    </row>
    <row r="46">
      <c r="G46" s="81"/>
      <c r="H46" s="81"/>
    </row>
    <row r="47">
      <c r="G47" s="81"/>
      <c r="H47" s="81"/>
    </row>
    <row r="48">
      <c r="G48" s="81"/>
      <c r="H48" s="81"/>
    </row>
    <row r="49">
      <c r="G49" s="81"/>
      <c r="H49" s="81"/>
    </row>
    <row r="50">
      <c r="G50" s="81"/>
      <c r="H50" s="81"/>
    </row>
    <row r="51">
      <c r="G51" s="81"/>
      <c r="H51" s="81"/>
    </row>
    <row r="52">
      <c r="G52" s="81"/>
      <c r="H52" s="81"/>
    </row>
    <row r="53">
      <c r="G53" s="81"/>
      <c r="H53" s="81"/>
    </row>
    <row r="54">
      <c r="G54" s="81"/>
      <c r="H54" s="81"/>
    </row>
    <row r="55">
      <c r="G55" s="81"/>
      <c r="H55" s="81"/>
    </row>
    <row r="56">
      <c r="G56" s="81"/>
      <c r="H56" s="81"/>
    </row>
    <row r="57">
      <c r="G57" s="81"/>
      <c r="H57" s="81"/>
    </row>
    <row r="58">
      <c r="G58" s="81"/>
      <c r="H58" s="81"/>
    </row>
    <row r="59">
      <c r="G59" s="81"/>
      <c r="H59" s="81"/>
    </row>
    <row r="60">
      <c r="G60" s="81"/>
      <c r="H60" s="81"/>
    </row>
    <row r="61">
      <c r="G61" s="81"/>
      <c r="H61" s="81"/>
    </row>
    <row r="62">
      <c r="G62" s="81"/>
      <c r="H62" s="81"/>
    </row>
    <row r="63">
      <c r="G63" s="81"/>
      <c r="H63" s="81"/>
    </row>
    <row r="64">
      <c r="G64" s="81"/>
      <c r="H64" s="81"/>
    </row>
    <row r="65">
      <c r="G65" s="81"/>
      <c r="H65" s="81"/>
    </row>
    <row r="66">
      <c r="G66" s="81"/>
      <c r="H66" s="81"/>
    </row>
    <row r="67">
      <c r="G67" s="81"/>
      <c r="H67" s="81"/>
    </row>
    <row r="68">
      <c r="G68" s="81"/>
      <c r="H68" s="81"/>
    </row>
    <row r="69">
      <c r="G69" s="81"/>
      <c r="H69" s="81"/>
    </row>
    <row r="70">
      <c r="G70" s="81"/>
      <c r="H70" s="81"/>
    </row>
    <row r="71">
      <c r="G71" s="81"/>
      <c r="H71" s="81"/>
    </row>
    <row r="72">
      <c r="G72" s="81"/>
      <c r="H72" s="81"/>
    </row>
    <row r="73">
      <c r="G73" s="81"/>
      <c r="H73" s="81"/>
    </row>
    <row r="74">
      <c r="G74" s="81"/>
      <c r="H74" s="81"/>
    </row>
    <row r="75">
      <c r="G75" s="81"/>
      <c r="H75" s="81"/>
    </row>
    <row r="76">
      <c r="G76" s="81"/>
      <c r="H76" s="81"/>
    </row>
    <row r="77">
      <c r="G77" s="81"/>
      <c r="H77" s="81"/>
    </row>
    <row r="78">
      <c r="G78" s="81"/>
      <c r="H78" s="81"/>
    </row>
    <row r="79">
      <c r="G79" s="81"/>
      <c r="H79" s="81"/>
    </row>
    <row r="80">
      <c r="G80" s="81"/>
      <c r="H80" s="81"/>
    </row>
    <row r="81">
      <c r="G81" s="81"/>
      <c r="H81" s="81"/>
    </row>
    <row r="82">
      <c r="G82" s="81"/>
      <c r="H82" s="81"/>
    </row>
    <row r="83">
      <c r="G83" s="81"/>
      <c r="H83" s="81"/>
    </row>
    <row r="84">
      <c r="G84" s="81"/>
      <c r="H84" s="81"/>
    </row>
    <row r="85">
      <c r="G85" s="81"/>
      <c r="H85" s="81"/>
    </row>
    <row r="86">
      <c r="G86" s="81"/>
      <c r="H86" s="81"/>
    </row>
    <row r="87">
      <c r="G87" s="81"/>
      <c r="H87" s="81"/>
    </row>
    <row r="88">
      <c r="G88" s="81"/>
      <c r="H88" s="81"/>
    </row>
    <row r="89">
      <c r="G89" s="81"/>
      <c r="H89" s="81"/>
    </row>
    <row r="90">
      <c r="G90" s="81"/>
      <c r="H90" s="81"/>
    </row>
    <row r="91">
      <c r="G91" s="81"/>
      <c r="H91" s="81"/>
    </row>
    <row r="92">
      <c r="G92" s="81"/>
      <c r="H92" s="81"/>
    </row>
    <row r="93">
      <c r="G93" s="81"/>
      <c r="H93" s="81"/>
    </row>
    <row r="94">
      <c r="G94" s="81"/>
      <c r="H94" s="81"/>
    </row>
    <row r="95">
      <c r="G95" s="81"/>
      <c r="H95" s="81"/>
    </row>
    <row r="96">
      <c r="G96" s="81"/>
      <c r="H96" s="81"/>
    </row>
    <row r="97">
      <c r="G97" s="81"/>
      <c r="H97" s="81"/>
    </row>
    <row r="98">
      <c r="G98" s="81"/>
      <c r="H98" s="81"/>
    </row>
    <row r="99">
      <c r="G99" s="81"/>
      <c r="H99" s="81"/>
    </row>
    <row r="100">
      <c r="G100" s="81"/>
      <c r="H100" s="81"/>
    </row>
    <row r="101">
      <c r="G101" s="81"/>
      <c r="H101" s="81"/>
    </row>
    <row r="102">
      <c r="G102" s="81"/>
      <c r="H102" s="81"/>
    </row>
    <row r="103">
      <c r="G103" s="81"/>
      <c r="H103" s="81"/>
    </row>
    <row r="104">
      <c r="G104" s="81"/>
      <c r="H104" s="81"/>
    </row>
    <row r="105">
      <c r="G105" s="81"/>
      <c r="H105" s="81"/>
    </row>
    <row r="106">
      <c r="G106" s="81"/>
      <c r="H106" s="81"/>
    </row>
    <row r="107">
      <c r="G107" s="81"/>
      <c r="H107" s="81"/>
    </row>
    <row r="108">
      <c r="G108" s="81"/>
      <c r="H108" s="81"/>
    </row>
    <row r="109">
      <c r="G109" s="81"/>
      <c r="H109" s="81"/>
    </row>
    <row r="110">
      <c r="G110" s="81"/>
      <c r="H110" s="81"/>
    </row>
    <row r="111">
      <c r="G111" s="81"/>
      <c r="H111" s="81"/>
    </row>
    <row r="112">
      <c r="G112" s="81"/>
      <c r="H112" s="81"/>
    </row>
    <row r="113">
      <c r="G113" s="81"/>
      <c r="H113" s="81"/>
    </row>
    <row r="114">
      <c r="G114" s="81"/>
      <c r="H114" s="81"/>
    </row>
    <row r="115">
      <c r="G115" s="81"/>
      <c r="H115" s="81"/>
    </row>
    <row r="116">
      <c r="G116" s="81"/>
      <c r="H116" s="81"/>
    </row>
    <row r="117">
      <c r="G117" s="81"/>
      <c r="H117" s="81"/>
    </row>
    <row r="118">
      <c r="G118" s="81"/>
      <c r="H118" s="81"/>
    </row>
    <row r="119">
      <c r="G119" s="81"/>
      <c r="H119" s="81"/>
    </row>
    <row r="120">
      <c r="G120" s="81"/>
      <c r="H120" s="81"/>
    </row>
    <row r="121">
      <c r="G121" s="81"/>
      <c r="H121" s="81"/>
    </row>
    <row r="122">
      <c r="G122" s="81"/>
      <c r="H122" s="81"/>
    </row>
    <row r="123">
      <c r="G123" s="81"/>
      <c r="H123" s="81"/>
    </row>
    <row r="124">
      <c r="G124" s="81"/>
      <c r="H124" s="81"/>
    </row>
    <row r="125">
      <c r="G125" s="81"/>
      <c r="H125" s="81"/>
    </row>
    <row r="126">
      <c r="G126" s="81"/>
      <c r="H126" s="81"/>
    </row>
    <row r="127">
      <c r="G127" s="81"/>
      <c r="H127" s="81"/>
    </row>
    <row r="128">
      <c r="G128" s="81"/>
      <c r="H128" s="81"/>
    </row>
    <row r="129">
      <c r="G129" s="81"/>
      <c r="H129" s="81"/>
    </row>
    <row r="130">
      <c r="G130" s="81"/>
      <c r="H130" s="81"/>
    </row>
    <row r="131">
      <c r="G131" s="81"/>
      <c r="H131" s="81"/>
    </row>
    <row r="132">
      <c r="G132" s="81"/>
      <c r="H132" s="81"/>
    </row>
    <row r="133">
      <c r="G133" s="81"/>
      <c r="H133" s="81"/>
    </row>
    <row r="134">
      <c r="G134" s="81"/>
      <c r="H134" s="81"/>
    </row>
    <row r="135">
      <c r="G135" s="81"/>
      <c r="H135" s="81"/>
    </row>
    <row r="136">
      <c r="G136" s="81"/>
      <c r="H136" s="81"/>
    </row>
    <row r="137">
      <c r="G137" s="81"/>
      <c r="H137" s="81"/>
    </row>
    <row r="138">
      <c r="G138" s="81"/>
      <c r="H138" s="81"/>
    </row>
    <row r="139">
      <c r="G139" s="81"/>
      <c r="H139" s="81"/>
    </row>
    <row r="140">
      <c r="G140" s="81"/>
      <c r="H140" s="81"/>
    </row>
    <row r="141">
      <c r="G141" s="81"/>
      <c r="H141" s="81"/>
    </row>
    <row r="142">
      <c r="G142" s="81"/>
      <c r="H142" s="81"/>
    </row>
    <row r="143">
      <c r="G143" s="81"/>
      <c r="H143" s="81"/>
    </row>
    <row r="144">
      <c r="G144" s="81"/>
      <c r="H144" s="81"/>
    </row>
    <row r="145">
      <c r="G145" s="81"/>
      <c r="H145" s="81"/>
    </row>
    <row r="146">
      <c r="G146" s="81"/>
      <c r="H146" s="81"/>
    </row>
    <row r="147">
      <c r="G147" s="81"/>
      <c r="H147" s="81"/>
    </row>
    <row r="148">
      <c r="G148" s="81"/>
      <c r="H148" s="81"/>
    </row>
    <row r="149">
      <c r="G149" s="81"/>
      <c r="H149" s="81"/>
    </row>
    <row r="150">
      <c r="G150" s="81"/>
      <c r="H150" s="81"/>
    </row>
    <row r="151">
      <c r="G151" s="81"/>
      <c r="H151" s="81"/>
    </row>
    <row r="152">
      <c r="G152" s="81"/>
      <c r="H152" s="81"/>
    </row>
    <row r="153">
      <c r="G153" s="81"/>
      <c r="H153" s="81"/>
    </row>
    <row r="154">
      <c r="G154" s="81"/>
      <c r="H154" s="81"/>
    </row>
    <row r="155">
      <c r="G155" s="81"/>
      <c r="H155" s="81"/>
    </row>
    <row r="156">
      <c r="G156" s="81"/>
      <c r="H156" s="81"/>
    </row>
    <row r="157">
      <c r="G157" s="81"/>
      <c r="H157" s="81"/>
    </row>
    <row r="158">
      <c r="G158" s="81"/>
      <c r="H158" s="81"/>
    </row>
    <row r="159">
      <c r="G159" s="81"/>
      <c r="H159" s="81"/>
    </row>
    <row r="160">
      <c r="G160" s="81"/>
      <c r="H160" s="81"/>
    </row>
    <row r="161">
      <c r="G161" s="81"/>
      <c r="H161" s="81"/>
    </row>
    <row r="162">
      <c r="G162" s="81"/>
      <c r="H162" s="81"/>
    </row>
    <row r="163">
      <c r="G163" s="81"/>
      <c r="H163" s="81"/>
    </row>
    <row r="164">
      <c r="G164" s="81"/>
      <c r="H164" s="81"/>
    </row>
    <row r="165">
      <c r="G165" s="81"/>
      <c r="H165" s="81"/>
    </row>
    <row r="166">
      <c r="G166" s="81"/>
      <c r="H166" s="81"/>
    </row>
    <row r="167">
      <c r="G167" s="81"/>
      <c r="H167" s="81"/>
    </row>
    <row r="168">
      <c r="G168" s="81"/>
      <c r="H168" s="81"/>
    </row>
    <row r="169">
      <c r="G169" s="81"/>
      <c r="H169" s="81"/>
    </row>
    <row r="170">
      <c r="G170" s="81"/>
      <c r="H170" s="81"/>
    </row>
    <row r="171">
      <c r="G171" s="81"/>
      <c r="H171" s="81"/>
    </row>
    <row r="172">
      <c r="G172" s="81"/>
      <c r="H172" s="81"/>
    </row>
    <row r="173">
      <c r="G173" s="81"/>
      <c r="H173" s="81"/>
    </row>
    <row r="174">
      <c r="G174" s="81"/>
      <c r="H174" s="81"/>
    </row>
    <row r="175">
      <c r="G175" s="81"/>
      <c r="H175" s="81"/>
    </row>
    <row r="176">
      <c r="G176" s="81"/>
      <c r="H176" s="81"/>
    </row>
    <row r="177">
      <c r="G177" s="81"/>
      <c r="H177" s="81"/>
    </row>
    <row r="178">
      <c r="G178" s="81"/>
      <c r="H178" s="81"/>
    </row>
    <row r="179">
      <c r="G179" s="81"/>
      <c r="H179" s="81"/>
    </row>
    <row r="180">
      <c r="G180" s="81"/>
      <c r="H180" s="81"/>
    </row>
    <row r="181">
      <c r="G181" s="81"/>
      <c r="H181" s="81"/>
    </row>
    <row r="182">
      <c r="G182" s="81"/>
      <c r="H182" s="81"/>
    </row>
    <row r="183">
      <c r="G183" s="81"/>
      <c r="H183" s="81"/>
    </row>
    <row r="184">
      <c r="G184" s="81"/>
      <c r="H184" s="81"/>
    </row>
    <row r="185">
      <c r="G185" s="81"/>
      <c r="H185" s="81"/>
    </row>
    <row r="186">
      <c r="G186" s="81"/>
      <c r="H186" s="81"/>
    </row>
    <row r="187">
      <c r="G187" s="81"/>
      <c r="H187" s="81"/>
    </row>
    <row r="188">
      <c r="G188" s="81"/>
      <c r="H188" s="81"/>
    </row>
    <row r="189">
      <c r="G189" s="81"/>
      <c r="H189" s="81"/>
    </row>
    <row r="190">
      <c r="G190" s="81"/>
      <c r="H190" s="81"/>
    </row>
    <row r="191">
      <c r="G191" s="81"/>
      <c r="H191" s="81"/>
    </row>
    <row r="192">
      <c r="G192" s="81"/>
      <c r="H192" s="81"/>
    </row>
    <row r="193">
      <c r="G193" s="81"/>
      <c r="H193" s="81"/>
    </row>
    <row r="194">
      <c r="G194" s="81"/>
      <c r="H194" s="81"/>
    </row>
    <row r="195">
      <c r="G195" s="81"/>
      <c r="H195" s="81"/>
    </row>
    <row r="196">
      <c r="G196" s="81"/>
      <c r="H196" s="81"/>
    </row>
    <row r="197">
      <c r="G197" s="81"/>
      <c r="H197" s="81"/>
    </row>
    <row r="198">
      <c r="G198" s="81"/>
      <c r="H198" s="81"/>
    </row>
    <row r="199">
      <c r="G199" s="81"/>
      <c r="H199" s="81"/>
    </row>
    <row r="200">
      <c r="G200" s="81"/>
      <c r="H200" s="81"/>
    </row>
    <row r="201">
      <c r="G201" s="81"/>
      <c r="H201" s="81"/>
    </row>
    <row r="202">
      <c r="G202" s="81"/>
      <c r="H202" s="81"/>
    </row>
    <row r="203">
      <c r="G203" s="81"/>
      <c r="H203" s="81"/>
    </row>
    <row r="204">
      <c r="G204" s="81"/>
      <c r="H204" s="81"/>
    </row>
    <row r="205">
      <c r="G205" s="81"/>
      <c r="H205" s="81"/>
    </row>
    <row r="206">
      <c r="G206" s="81"/>
      <c r="H206" s="81"/>
    </row>
    <row r="207">
      <c r="G207" s="81"/>
      <c r="H207" s="81"/>
    </row>
    <row r="208">
      <c r="G208" s="81"/>
      <c r="H208" s="81"/>
    </row>
    <row r="209">
      <c r="G209" s="81"/>
      <c r="H209" s="81"/>
    </row>
    <row r="210">
      <c r="G210" s="81"/>
      <c r="H210" s="81"/>
    </row>
    <row r="211">
      <c r="G211" s="81"/>
      <c r="H211" s="81"/>
    </row>
    <row r="212">
      <c r="G212" s="81"/>
      <c r="H212" s="81"/>
    </row>
    <row r="213">
      <c r="G213" s="81"/>
      <c r="H213" s="81"/>
    </row>
    <row r="214">
      <c r="G214" s="81"/>
      <c r="H214" s="81"/>
    </row>
    <row r="215">
      <c r="G215" s="81"/>
      <c r="H215" s="81"/>
    </row>
    <row r="216">
      <c r="G216" s="81"/>
      <c r="H216" s="81"/>
    </row>
    <row r="217">
      <c r="G217" s="81"/>
      <c r="H217" s="81"/>
    </row>
    <row r="218">
      <c r="G218" s="81"/>
      <c r="H218" s="81"/>
    </row>
    <row r="219">
      <c r="G219" s="81"/>
      <c r="H219" s="81"/>
    </row>
    <row r="220">
      <c r="G220" s="81"/>
      <c r="H220" s="81"/>
    </row>
    <row r="221">
      <c r="G221" s="81"/>
      <c r="H221" s="81"/>
    </row>
    <row r="222">
      <c r="G222" s="81"/>
      <c r="H222" s="81"/>
    </row>
    <row r="223">
      <c r="G223" s="81"/>
      <c r="H223" s="81"/>
    </row>
    <row r="224">
      <c r="G224" s="81"/>
      <c r="H224" s="81"/>
    </row>
    <row r="225">
      <c r="G225" s="81"/>
      <c r="H225" s="81"/>
    </row>
    <row r="226">
      <c r="G226" s="81"/>
      <c r="H226" s="81"/>
    </row>
    <row r="227">
      <c r="G227" s="81"/>
      <c r="H227" s="81"/>
    </row>
    <row r="228">
      <c r="G228" s="81"/>
      <c r="H228" s="81"/>
    </row>
    <row r="229">
      <c r="G229" s="81"/>
      <c r="H229" s="81"/>
    </row>
    <row r="230">
      <c r="G230" s="81"/>
      <c r="H230" s="81"/>
    </row>
    <row r="231">
      <c r="G231" s="81"/>
      <c r="H231" s="81"/>
    </row>
    <row r="232">
      <c r="G232" s="81"/>
      <c r="H232" s="81"/>
    </row>
    <row r="233">
      <c r="G233" s="81"/>
      <c r="H233" s="81"/>
    </row>
    <row r="234">
      <c r="G234" s="81"/>
      <c r="H234" s="81"/>
    </row>
    <row r="235">
      <c r="G235" s="81"/>
      <c r="H235" s="81"/>
    </row>
    <row r="236">
      <c r="G236" s="81"/>
      <c r="H236" s="81"/>
    </row>
    <row r="237">
      <c r="G237" s="81"/>
      <c r="H237" s="81"/>
    </row>
    <row r="238">
      <c r="G238" s="81"/>
      <c r="H238" s="81"/>
    </row>
    <row r="239">
      <c r="G239" s="81"/>
      <c r="H239" s="81"/>
    </row>
    <row r="240">
      <c r="G240" s="81"/>
      <c r="H240" s="81"/>
    </row>
    <row r="241">
      <c r="G241" s="81"/>
      <c r="H241" s="81"/>
    </row>
    <row r="242">
      <c r="G242" s="81"/>
      <c r="H242" s="81"/>
    </row>
    <row r="243">
      <c r="G243" s="81"/>
      <c r="H243" s="81"/>
    </row>
    <row r="244">
      <c r="G244" s="81"/>
      <c r="H244" s="81"/>
    </row>
    <row r="245">
      <c r="G245" s="81"/>
      <c r="H245" s="81"/>
    </row>
    <row r="246">
      <c r="G246" s="81"/>
      <c r="H246" s="81"/>
    </row>
    <row r="247">
      <c r="G247" s="81"/>
      <c r="H247" s="81"/>
    </row>
    <row r="248">
      <c r="G248" s="81"/>
      <c r="H248" s="81"/>
    </row>
    <row r="249">
      <c r="G249" s="81"/>
      <c r="H249" s="81"/>
    </row>
    <row r="250">
      <c r="G250" s="81"/>
      <c r="H250" s="81"/>
    </row>
    <row r="251">
      <c r="G251" s="81"/>
      <c r="H251" s="81"/>
    </row>
    <row r="252">
      <c r="G252" s="81"/>
      <c r="H252" s="81"/>
    </row>
    <row r="253">
      <c r="G253" s="81"/>
      <c r="H253" s="81"/>
    </row>
    <row r="254">
      <c r="G254" s="81"/>
      <c r="H254" s="81"/>
    </row>
    <row r="255">
      <c r="G255" s="81"/>
      <c r="H255" s="81"/>
    </row>
    <row r="256">
      <c r="G256" s="81"/>
      <c r="H256" s="81"/>
    </row>
    <row r="257">
      <c r="G257" s="81"/>
      <c r="H257" s="81"/>
    </row>
    <row r="258">
      <c r="G258" s="81"/>
      <c r="H258" s="81"/>
    </row>
    <row r="259">
      <c r="G259" s="81"/>
      <c r="H259" s="81"/>
    </row>
    <row r="260">
      <c r="G260" s="81"/>
      <c r="H260" s="81"/>
    </row>
    <row r="261">
      <c r="G261" s="81"/>
      <c r="H261" s="81"/>
    </row>
    <row r="262">
      <c r="G262" s="81"/>
      <c r="H262" s="81"/>
    </row>
    <row r="263">
      <c r="G263" s="81"/>
      <c r="H263" s="81"/>
    </row>
    <row r="264">
      <c r="G264" s="81"/>
      <c r="H264" s="81"/>
    </row>
    <row r="265">
      <c r="G265" s="81"/>
      <c r="H265" s="81"/>
    </row>
    <row r="266">
      <c r="G266" s="81"/>
      <c r="H266" s="81"/>
    </row>
    <row r="267">
      <c r="G267" s="81"/>
      <c r="H267" s="81"/>
    </row>
    <row r="268">
      <c r="G268" s="81"/>
      <c r="H268" s="81"/>
    </row>
    <row r="269">
      <c r="G269" s="81"/>
      <c r="H269" s="81"/>
    </row>
    <row r="270">
      <c r="G270" s="81"/>
      <c r="H270" s="81"/>
    </row>
    <row r="271">
      <c r="G271" s="81"/>
      <c r="H271" s="81"/>
    </row>
    <row r="272">
      <c r="G272" s="81"/>
      <c r="H272" s="81"/>
    </row>
    <row r="273">
      <c r="G273" s="81"/>
      <c r="H273" s="81"/>
    </row>
    <row r="274">
      <c r="G274" s="81"/>
      <c r="H274" s="81"/>
    </row>
    <row r="275">
      <c r="G275" s="81"/>
      <c r="H275" s="81"/>
    </row>
    <row r="276">
      <c r="G276" s="81"/>
      <c r="H276" s="81"/>
    </row>
    <row r="277">
      <c r="G277" s="81"/>
      <c r="H277" s="81"/>
    </row>
    <row r="278">
      <c r="G278" s="81"/>
      <c r="H278" s="81"/>
    </row>
    <row r="279">
      <c r="G279" s="81"/>
      <c r="H279" s="81"/>
    </row>
    <row r="280">
      <c r="G280" s="81"/>
      <c r="H280" s="81"/>
    </row>
    <row r="281">
      <c r="G281" s="81"/>
      <c r="H281" s="81"/>
    </row>
    <row r="282">
      <c r="G282" s="81"/>
      <c r="H282" s="81"/>
    </row>
    <row r="283">
      <c r="G283" s="81"/>
      <c r="H283" s="81"/>
    </row>
    <row r="284">
      <c r="G284" s="81"/>
      <c r="H284" s="81"/>
    </row>
    <row r="285">
      <c r="G285" s="81"/>
      <c r="H285" s="81"/>
    </row>
    <row r="286">
      <c r="G286" s="81"/>
      <c r="H286" s="81"/>
    </row>
    <row r="287">
      <c r="G287" s="81"/>
      <c r="H287" s="81"/>
    </row>
    <row r="288">
      <c r="G288" s="81"/>
      <c r="H288" s="81"/>
    </row>
    <row r="289">
      <c r="G289" s="81"/>
      <c r="H289" s="81"/>
    </row>
    <row r="290">
      <c r="G290" s="81"/>
      <c r="H290" s="81"/>
    </row>
    <row r="291">
      <c r="G291" s="81"/>
      <c r="H291" s="81"/>
    </row>
    <row r="292">
      <c r="G292" s="81"/>
      <c r="H292" s="81"/>
    </row>
    <row r="293">
      <c r="G293" s="81"/>
      <c r="H293" s="81"/>
    </row>
    <row r="294">
      <c r="G294" s="81"/>
      <c r="H294" s="81"/>
    </row>
    <row r="295">
      <c r="G295" s="81"/>
      <c r="H295" s="81"/>
    </row>
    <row r="296">
      <c r="G296" s="81"/>
      <c r="H296" s="81"/>
    </row>
    <row r="297">
      <c r="G297" s="81"/>
      <c r="H297" s="81"/>
    </row>
    <row r="298">
      <c r="G298" s="81"/>
      <c r="H298" s="81"/>
    </row>
    <row r="299">
      <c r="G299" s="81"/>
      <c r="H299" s="81"/>
    </row>
    <row r="300">
      <c r="G300" s="81"/>
      <c r="H300" s="81"/>
    </row>
    <row r="301">
      <c r="G301" s="81"/>
      <c r="H301" s="81"/>
    </row>
    <row r="302">
      <c r="G302" s="81"/>
      <c r="H302" s="81"/>
    </row>
    <row r="303">
      <c r="G303" s="81"/>
      <c r="H303" s="81"/>
    </row>
    <row r="304">
      <c r="G304" s="81"/>
      <c r="H304" s="81"/>
    </row>
    <row r="305">
      <c r="G305" s="81"/>
      <c r="H305" s="81"/>
    </row>
    <row r="306">
      <c r="G306" s="81"/>
      <c r="H306" s="81"/>
    </row>
    <row r="307">
      <c r="G307" s="81"/>
      <c r="H307" s="81"/>
    </row>
    <row r="308">
      <c r="G308" s="81"/>
      <c r="H308" s="81"/>
    </row>
    <row r="309">
      <c r="G309" s="81"/>
      <c r="H309" s="81"/>
    </row>
    <row r="310">
      <c r="G310" s="81"/>
      <c r="H310" s="81"/>
    </row>
    <row r="311">
      <c r="G311" s="81"/>
      <c r="H311" s="81"/>
    </row>
    <row r="312">
      <c r="G312" s="81"/>
      <c r="H312" s="81"/>
    </row>
    <row r="313">
      <c r="G313" s="81"/>
      <c r="H313" s="81"/>
    </row>
    <row r="314">
      <c r="G314" s="81"/>
      <c r="H314" s="81"/>
    </row>
    <row r="315">
      <c r="G315" s="81"/>
      <c r="H315" s="81"/>
    </row>
    <row r="316">
      <c r="G316" s="81"/>
      <c r="H316" s="81"/>
    </row>
    <row r="317">
      <c r="G317" s="81"/>
      <c r="H317" s="81"/>
    </row>
    <row r="318">
      <c r="G318" s="81"/>
      <c r="H318" s="81"/>
    </row>
    <row r="319">
      <c r="G319" s="81"/>
      <c r="H319" s="81"/>
    </row>
    <row r="320">
      <c r="G320" s="81"/>
      <c r="H320" s="81"/>
    </row>
    <row r="321">
      <c r="G321" s="81"/>
      <c r="H321" s="81"/>
    </row>
    <row r="322">
      <c r="G322" s="81"/>
      <c r="H322" s="81"/>
    </row>
    <row r="323">
      <c r="G323" s="81"/>
      <c r="H323" s="81"/>
    </row>
    <row r="324">
      <c r="G324" s="81"/>
      <c r="H324" s="81"/>
    </row>
    <row r="325">
      <c r="G325" s="81"/>
      <c r="H325" s="81"/>
    </row>
    <row r="326">
      <c r="G326" s="81"/>
      <c r="H326" s="81"/>
    </row>
    <row r="327">
      <c r="G327" s="81"/>
      <c r="H327" s="81"/>
    </row>
    <row r="328">
      <c r="G328" s="81"/>
      <c r="H328" s="81"/>
    </row>
    <row r="329">
      <c r="G329" s="81"/>
      <c r="H329" s="81"/>
    </row>
    <row r="330">
      <c r="G330" s="81"/>
      <c r="H330" s="81"/>
    </row>
    <row r="331">
      <c r="G331" s="81"/>
      <c r="H331" s="81"/>
    </row>
    <row r="332">
      <c r="G332" s="81"/>
      <c r="H332" s="81"/>
    </row>
    <row r="333">
      <c r="G333" s="81"/>
      <c r="H333" s="81"/>
    </row>
    <row r="334">
      <c r="G334" s="81"/>
      <c r="H334" s="81"/>
    </row>
    <row r="335">
      <c r="G335" s="81"/>
      <c r="H335" s="81"/>
    </row>
    <row r="336">
      <c r="G336" s="81"/>
      <c r="H336" s="81"/>
    </row>
    <row r="337">
      <c r="G337" s="81"/>
      <c r="H337" s="81"/>
    </row>
    <row r="338">
      <c r="G338" s="81"/>
      <c r="H338" s="81"/>
    </row>
    <row r="339">
      <c r="G339" s="81"/>
      <c r="H339" s="81"/>
    </row>
    <row r="340">
      <c r="G340" s="81"/>
      <c r="H340" s="81"/>
    </row>
    <row r="341">
      <c r="G341" s="81"/>
      <c r="H341" s="81"/>
    </row>
    <row r="342">
      <c r="G342" s="81"/>
      <c r="H342" s="81"/>
    </row>
    <row r="343">
      <c r="G343" s="81"/>
      <c r="H343" s="81"/>
    </row>
    <row r="344">
      <c r="G344" s="81"/>
      <c r="H344" s="81"/>
    </row>
    <row r="345">
      <c r="G345" s="81"/>
      <c r="H345" s="81"/>
    </row>
    <row r="346">
      <c r="G346" s="81"/>
      <c r="H346" s="81"/>
    </row>
    <row r="347">
      <c r="G347" s="81"/>
      <c r="H347" s="81"/>
    </row>
    <row r="348">
      <c r="G348" s="81"/>
      <c r="H348" s="81"/>
    </row>
    <row r="349">
      <c r="G349" s="81"/>
      <c r="H349" s="81"/>
    </row>
    <row r="350">
      <c r="G350" s="81"/>
      <c r="H350" s="81"/>
    </row>
    <row r="351">
      <c r="G351" s="81"/>
      <c r="H351" s="81"/>
    </row>
    <row r="352">
      <c r="G352" s="81"/>
      <c r="H352" s="81"/>
    </row>
    <row r="353">
      <c r="G353" s="81"/>
      <c r="H353" s="81"/>
    </row>
    <row r="354">
      <c r="G354" s="81"/>
      <c r="H354" s="81"/>
    </row>
    <row r="355">
      <c r="G355" s="81"/>
      <c r="H355" s="81"/>
    </row>
    <row r="356">
      <c r="G356" s="81"/>
      <c r="H356" s="81"/>
    </row>
    <row r="357">
      <c r="G357" s="81"/>
      <c r="H357" s="81"/>
    </row>
    <row r="358">
      <c r="G358" s="81"/>
      <c r="H358" s="81"/>
    </row>
    <row r="359">
      <c r="G359" s="81"/>
      <c r="H359" s="81"/>
    </row>
    <row r="360">
      <c r="G360" s="81"/>
      <c r="H360" s="81"/>
    </row>
    <row r="361">
      <c r="G361" s="81"/>
      <c r="H361" s="81"/>
    </row>
    <row r="362">
      <c r="G362" s="81"/>
      <c r="H362" s="81"/>
    </row>
    <row r="363">
      <c r="G363" s="81"/>
      <c r="H363" s="81"/>
    </row>
    <row r="364">
      <c r="G364" s="81"/>
      <c r="H364" s="81"/>
    </row>
    <row r="365">
      <c r="G365" s="81"/>
      <c r="H365" s="81"/>
    </row>
    <row r="366">
      <c r="G366" s="81"/>
      <c r="H366" s="81"/>
    </row>
    <row r="367">
      <c r="G367" s="81"/>
      <c r="H367" s="81"/>
    </row>
    <row r="368">
      <c r="G368" s="81"/>
      <c r="H368" s="81"/>
    </row>
    <row r="369">
      <c r="G369" s="81"/>
      <c r="H369" s="81"/>
    </row>
    <row r="370">
      <c r="G370" s="81"/>
      <c r="H370" s="81"/>
    </row>
    <row r="371">
      <c r="G371" s="81"/>
      <c r="H371" s="81"/>
    </row>
    <row r="372">
      <c r="G372" s="81"/>
      <c r="H372" s="81"/>
    </row>
    <row r="373">
      <c r="G373" s="81"/>
      <c r="H373" s="81"/>
    </row>
    <row r="374">
      <c r="G374" s="81"/>
      <c r="H374" s="81"/>
    </row>
    <row r="375">
      <c r="G375" s="81"/>
      <c r="H375" s="81"/>
    </row>
    <row r="376">
      <c r="G376" s="81"/>
      <c r="H376" s="81"/>
    </row>
    <row r="377">
      <c r="G377" s="81"/>
      <c r="H377" s="81"/>
    </row>
    <row r="378">
      <c r="G378" s="81"/>
      <c r="H378" s="81"/>
    </row>
    <row r="379">
      <c r="G379" s="81"/>
      <c r="H379" s="81"/>
    </row>
    <row r="380">
      <c r="G380" s="81"/>
      <c r="H380" s="81"/>
    </row>
    <row r="381">
      <c r="G381" s="81"/>
      <c r="H381" s="81"/>
    </row>
    <row r="382">
      <c r="G382" s="81"/>
      <c r="H382" s="81"/>
    </row>
    <row r="383">
      <c r="G383" s="81"/>
      <c r="H383" s="81"/>
    </row>
    <row r="384">
      <c r="G384" s="81"/>
      <c r="H384" s="81"/>
    </row>
    <row r="385">
      <c r="G385" s="81"/>
      <c r="H385" s="81"/>
    </row>
    <row r="386">
      <c r="G386" s="81"/>
      <c r="H386" s="81"/>
    </row>
    <row r="387">
      <c r="G387" s="81"/>
      <c r="H387" s="81"/>
    </row>
    <row r="388">
      <c r="G388" s="81"/>
      <c r="H388" s="81"/>
    </row>
    <row r="389">
      <c r="G389" s="81"/>
      <c r="H389" s="81"/>
    </row>
    <row r="390">
      <c r="G390" s="81"/>
      <c r="H390" s="81"/>
    </row>
    <row r="391">
      <c r="G391" s="81"/>
      <c r="H391" s="81"/>
    </row>
    <row r="392">
      <c r="G392" s="81"/>
      <c r="H392" s="81"/>
    </row>
    <row r="393">
      <c r="G393" s="81"/>
      <c r="H393" s="81"/>
    </row>
    <row r="394">
      <c r="G394" s="81"/>
      <c r="H394" s="81"/>
    </row>
    <row r="395">
      <c r="G395" s="81"/>
      <c r="H395" s="81"/>
    </row>
    <row r="396">
      <c r="G396" s="81"/>
      <c r="H396" s="81"/>
    </row>
    <row r="397">
      <c r="G397" s="81"/>
      <c r="H397" s="81"/>
    </row>
    <row r="398">
      <c r="G398" s="81"/>
      <c r="H398" s="81"/>
    </row>
    <row r="399">
      <c r="G399" s="81"/>
      <c r="H399" s="81"/>
    </row>
    <row r="400">
      <c r="G400" s="81"/>
      <c r="H400" s="81"/>
    </row>
    <row r="401">
      <c r="G401" s="81"/>
      <c r="H401" s="81"/>
    </row>
    <row r="402">
      <c r="G402" s="81"/>
      <c r="H402" s="81"/>
    </row>
    <row r="403">
      <c r="G403" s="81"/>
      <c r="H403" s="81"/>
    </row>
    <row r="404">
      <c r="G404" s="81"/>
      <c r="H404" s="81"/>
    </row>
    <row r="405">
      <c r="G405" s="81"/>
      <c r="H405" s="81"/>
    </row>
    <row r="406">
      <c r="G406" s="81"/>
      <c r="H406" s="81"/>
    </row>
    <row r="407">
      <c r="G407" s="81"/>
      <c r="H407" s="81"/>
    </row>
    <row r="408">
      <c r="G408" s="81"/>
      <c r="H408" s="81"/>
    </row>
    <row r="409">
      <c r="G409" s="81"/>
      <c r="H409" s="81"/>
    </row>
    <row r="410">
      <c r="G410" s="81"/>
      <c r="H410" s="81"/>
    </row>
    <row r="411">
      <c r="G411" s="81"/>
      <c r="H411" s="81"/>
    </row>
    <row r="412">
      <c r="G412" s="81"/>
      <c r="H412" s="81"/>
    </row>
    <row r="413">
      <c r="G413" s="81"/>
      <c r="H413" s="81"/>
    </row>
    <row r="414">
      <c r="G414" s="81"/>
      <c r="H414" s="81"/>
    </row>
    <row r="415">
      <c r="G415" s="81"/>
      <c r="H415" s="81"/>
    </row>
    <row r="416">
      <c r="G416" s="81"/>
      <c r="H416" s="81"/>
    </row>
    <row r="417">
      <c r="G417" s="81"/>
      <c r="H417" s="81"/>
    </row>
    <row r="418">
      <c r="G418" s="81"/>
      <c r="H418" s="81"/>
    </row>
    <row r="419">
      <c r="G419" s="81"/>
      <c r="H419" s="81"/>
    </row>
    <row r="420">
      <c r="G420" s="81"/>
      <c r="H420" s="81"/>
    </row>
    <row r="421">
      <c r="G421" s="81"/>
      <c r="H421" s="81"/>
    </row>
    <row r="422">
      <c r="G422" s="81"/>
      <c r="H422" s="81"/>
    </row>
    <row r="423">
      <c r="G423" s="81"/>
      <c r="H423" s="81"/>
    </row>
    <row r="424">
      <c r="G424" s="81"/>
      <c r="H424" s="81"/>
    </row>
    <row r="425">
      <c r="G425" s="81"/>
      <c r="H425" s="81"/>
    </row>
    <row r="426">
      <c r="G426" s="81"/>
      <c r="H426" s="81"/>
    </row>
    <row r="427">
      <c r="G427" s="81"/>
      <c r="H427" s="81"/>
    </row>
    <row r="428">
      <c r="G428" s="81"/>
      <c r="H428" s="81"/>
    </row>
    <row r="429">
      <c r="G429" s="81"/>
      <c r="H429" s="81"/>
    </row>
    <row r="430">
      <c r="G430" s="81"/>
      <c r="H430" s="81"/>
    </row>
    <row r="431">
      <c r="G431" s="81"/>
      <c r="H431" s="81"/>
    </row>
    <row r="432">
      <c r="G432" s="81"/>
      <c r="H432" s="81"/>
    </row>
    <row r="433">
      <c r="G433" s="81"/>
      <c r="H433" s="81"/>
    </row>
    <row r="434">
      <c r="G434" s="81"/>
      <c r="H434" s="81"/>
    </row>
    <row r="435">
      <c r="G435" s="81"/>
      <c r="H435" s="81"/>
    </row>
    <row r="436">
      <c r="G436" s="81"/>
      <c r="H436" s="81"/>
    </row>
    <row r="437">
      <c r="G437" s="81"/>
      <c r="H437" s="81"/>
    </row>
    <row r="438">
      <c r="G438" s="81"/>
      <c r="H438" s="81"/>
    </row>
    <row r="439">
      <c r="G439" s="81"/>
      <c r="H439" s="81"/>
    </row>
    <row r="440">
      <c r="G440" s="81"/>
      <c r="H440" s="81"/>
    </row>
    <row r="441">
      <c r="G441" s="81"/>
      <c r="H441" s="81"/>
    </row>
    <row r="442">
      <c r="G442" s="81"/>
      <c r="H442" s="81"/>
    </row>
    <row r="443">
      <c r="G443" s="81"/>
      <c r="H443" s="81"/>
    </row>
    <row r="444">
      <c r="G444" s="81"/>
      <c r="H444" s="81"/>
    </row>
    <row r="445">
      <c r="G445" s="81"/>
      <c r="H445" s="81"/>
    </row>
    <row r="446">
      <c r="G446" s="81"/>
      <c r="H446" s="81"/>
    </row>
    <row r="447">
      <c r="G447" s="81"/>
      <c r="H447" s="81"/>
    </row>
    <row r="448">
      <c r="G448" s="81"/>
      <c r="H448" s="81"/>
    </row>
    <row r="449">
      <c r="G449" s="81"/>
      <c r="H449" s="81"/>
    </row>
    <row r="450">
      <c r="G450" s="81"/>
      <c r="H450" s="81"/>
    </row>
    <row r="451">
      <c r="G451" s="81"/>
      <c r="H451" s="81"/>
    </row>
    <row r="452">
      <c r="G452" s="81"/>
      <c r="H452" s="81"/>
    </row>
    <row r="453">
      <c r="G453" s="81"/>
      <c r="H453" s="81"/>
    </row>
    <row r="454">
      <c r="G454" s="81"/>
      <c r="H454" s="81"/>
    </row>
    <row r="455">
      <c r="G455" s="81"/>
      <c r="H455" s="81"/>
    </row>
    <row r="456">
      <c r="G456" s="81"/>
      <c r="H456" s="81"/>
    </row>
    <row r="457">
      <c r="G457" s="81"/>
      <c r="H457" s="81"/>
    </row>
    <row r="458">
      <c r="G458" s="81"/>
      <c r="H458" s="81"/>
    </row>
    <row r="459">
      <c r="G459" s="81"/>
      <c r="H459" s="81"/>
    </row>
    <row r="460">
      <c r="G460" s="81"/>
      <c r="H460" s="81"/>
    </row>
    <row r="461">
      <c r="G461" s="81"/>
      <c r="H461" s="81"/>
    </row>
    <row r="462">
      <c r="G462" s="81"/>
      <c r="H462" s="81"/>
    </row>
    <row r="463">
      <c r="G463" s="81"/>
      <c r="H463" s="81"/>
    </row>
    <row r="464">
      <c r="G464" s="81"/>
      <c r="H464" s="81"/>
    </row>
    <row r="465">
      <c r="G465" s="81"/>
      <c r="H465" s="81"/>
    </row>
    <row r="466">
      <c r="G466" s="81"/>
      <c r="H466" s="81"/>
    </row>
    <row r="467">
      <c r="G467" s="81"/>
      <c r="H467" s="81"/>
    </row>
    <row r="468">
      <c r="G468" s="81"/>
      <c r="H468" s="81"/>
    </row>
    <row r="469">
      <c r="G469" s="81"/>
      <c r="H469" s="81"/>
    </row>
    <row r="470">
      <c r="G470" s="81"/>
      <c r="H470" s="81"/>
    </row>
    <row r="471">
      <c r="G471" s="81"/>
      <c r="H471" s="81"/>
    </row>
    <row r="472">
      <c r="G472" s="81"/>
      <c r="H472" s="81"/>
    </row>
    <row r="473">
      <c r="G473" s="81"/>
      <c r="H473" s="81"/>
    </row>
    <row r="474">
      <c r="G474" s="81"/>
      <c r="H474" s="81"/>
    </row>
    <row r="475">
      <c r="G475" s="81"/>
      <c r="H475" s="81"/>
    </row>
    <row r="476">
      <c r="G476" s="81"/>
      <c r="H476" s="81"/>
    </row>
    <row r="477">
      <c r="G477" s="81"/>
      <c r="H477" s="81"/>
    </row>
    <row r="478">
      <c r="G478" s="81"/>
      <c r="H478" s="81"/>
    </row>
    <row r="479">
      <c r="G479" s="81"/>
      <c r="H479" s="81"/>
    </row>
    <row r="480">
      <c r="G480" s="81"/>
      <c r="H480" s="81"/>
    </row>
    <row r="481">
      <c r="G481" s="81"/>
      <c r="H481" s="81"/>
    </row>
    <row r="482">
      <c r="G482" s="81"/>
      <c r="H482" s="81"/>
    </row>
    <row r="483">
      <c r="G483" s="81"/>
      <c r="H483" s="81"/>
    </row>
    <row r="484">
      <c r="G484" s="81"/>
      <c r="H484" s="81"/>
    </row>
    <row r="485">
      <c r="G485" s="81"/>
      <c r="H485" s="81"/>
    </row>
    <row r="486">
      <c r="G486" s="81"/>
      <c r="H486" s="81"/>
    </row>
    <row r="487">
      <c r="G487" s="81"/>
      <c r="H487" s="81"/>
    </row>
    <row r="488">
      <c r="G488" s="81"/>
      <c r="H488" s="81"/>
    </row>
    <row r="489">
      <c r="G489" s="81"/>
      <c r="H489" s="81"/>
    </row>
    <row r="490">
      <c r="G490" s="81"/>
      <c r="H490" s="81"/>
    </row>
    <row r="491">
      <c r="G491" s="81"/>
      <c r="H491" s="81"/>
    </row>
    <row r="492">
      <c r="G492" s="81"/>
      <c r="H492" s="81"/>
    </row>
    <row r="493">
      <c r="G493" s="81"/>
      <c r="H493" s="81"/>
    </row>
    <row r="494">
      <c r="G494" s="81"/>
      <c r="H494" s="81"/>
    </row>
    <row r="495">
      <c r="G495" s="81"/>
      <c r="H495" s="81"/>
    </row>
    <row r="496">
      <c r="G496" s="81"/>
      <c r="H496" s="81"/>
    </row>
    <row r="497">
      <c r="G497" s="81"/>
      <c r="H497" s="81"/>
    </row>
    <row r="498">
      <c r="G498" s="81"/>
      <c r="H498" s="81"/>
    </row>
    <row r="499">
      <c r="G499" s="81"/>
      <c r="H499" s="81"/>
    </row>
    <row r="500">
      <c r="G500" s="81"/>
      <c r="H500" s="81"/>
    </row>
    <row r="501">
      <c r="G501" s="81"/>
      <c r="H501" s="81"/>
    </row>
    <row r="502">
      <c r="G502" s="81"/>
      <c r="H502" s="81"/>
    </row>
    <row r="503">
      <c r="G503" s="81"/>
      <c r="H503" s="81"/>
    </row>
    <row r="504">
      <c r="G504" s="81"/>
      <c r="H504" s="81"/>
    </row>
    <row r="505">
      <c r="G505" s="81"/>
      <c r="H505" s="81"/>
    </row>
    <row r="506">
      <c r="G506" s="81"/>
      <c r="H506" s="81"/>
    </row>
    <row r="507">
      <c r="G507" s="81"/>
      <c r="H507" s="81"/>
    </row>
    <row r="508">
      <c r="G508" s="81"/>
      <c r="H508" s="81"/>
    </row>
    <row r="509">
      <c r="G509" s="81"/>
      <c r="H509" s="81"/>
    </row>
    <row r="510">
      <c r="G510" s="81"/>
      <c r="H510" s="81"/>
    </row>
    <row r="511">
      <c r="G511" s="81"/>
      <c r="H511" s="81"/>
    </row>
    <row r="512">
      <c r="G512" s="81"/>
      <c r="H512" s="81"/>
    </row>
    <row r="513">
      <c r="G513" s="81"/>
      <c r="H513" s="81"/>
    </row>
    <row r="514">
      <c r="G514" s="81"/>
      <c r="H514" s="81"/>
    </row>
    <row r="515">
      <c r="G515" s="81"/>
      <c r="H515" s="81"/>
    </row>
    <row r="516">
      <c r="G516" s="81"/>
      <c r="H516" s="81"/>
    </row>
    <row r="517">
      <c r="G517" s="81"/>
      <c r="H517" s="81"/>
    </row>
    <row r="518">
      <c r="G518" s="81"/>
      <c r="H518" s="81"/>
    </row>
    <row r="519">
      <c r="G519" s="81"/>
      <c r="H519" s="81"/>
    </row>
    <row r="520">
      <c r="G520" s="81"/>
      <c r="H520" s="81"/>
    </row>
    <row r="521">
      <c r="G521" s="81"/>
      <c r="H521" s="81"/>
    </row>
    <row r="522">
      <c r="G522" s="81"/>
      <c r="H522" s="81"/>
    </row>
    <row r="523">
      <c r="G523" s="81"/>
      <c r="H523" s="81"/>
    </row>
    <row r="524">
      <c r="G524" s="81"/>
      <c r="H524" s="81"/>
    </row>
    <row r="525">
      <c r="G525" s="81"/>
      <c r="H525" s="81"/>
    </row>
    <row r="526">
      <c r="G526" s="81"/>
      <c r="H526" s="81"/>
    </row>
    <row r="527">
      <c r="G527" s="81"/>
      <c r="H527" s="81"/>
    </row>
    <row r="528">
      <c r="G528" s="81"/>
      <c r="H528" s="81"/>
    </row>
    <row r="529">
      <c r="G529" s="81"/>
      <c r="H529" s="81"/>
    </row>
    <row r="530">
      <c r="G530" s="81"/>
      <c r="H530" s="81"/>
    </row>
    <row r="531">
      <c r="G531" s="81"/>
      <c r="H531" s="81"/>
    </row>
    <row r="532">
      <c r="G532" s="81"/>
      <c r="H532" s="81"/>
    </row>
    <row r="533">
      <c r="G533" s="81"/>
      <c r="H533" s="81"/>
    </row>
    <row r="534">
      <c r="G534" s="81"/>
      <c r="H534" s="81"/>
    </row>
    <row r="535">
      <c r="G535" s="81"/>
      <c r="H535" s="81"/>
    </row>
    <row r="536">
      <c r="G536" s="81"/>
      <c r="H536" s="81"/>
    </row>
    <row r="537">
      <c r="G537" s="81"/>
      <c r="H537" s="81"/>
    </row>
    <row r="538">
      <c r="G538" s="81"/>
      <c r="H538" s="81"/>
    </row>
    <row r="539">
      <c r="G539" s="81"/>
      <c r="H539" s="81"/>
    </row>
    <row r="540">
      <c r="G540" s="81"/>
      <c r="H540" s="81"/>
    </row>
    <row r="541">
      <c r="G541" s="81"/>
      <c r="H541" s="81"/>
    </row>
    <row r="542">
      <c r="G542" s="81"/>
      <c r="H542" s="81"/>
    </row>
    <row r="543">
      <c r="G543" s="81"/>
      <c r="H543" s="81"/>
    </row>
    <row r="544">
      <c r="G544" s="81"/>
      <c r="H544" s="81"/>
    </row>
    <row r="545">
      <c r="G545" s="81"/>
      <c r="H545" s="81"/>
    </row>
    <row r="546">
      <c r="G546" s="81"/>
      <c r="H546" s="81"/>
    </row>
    <row r="547">
      <c r="G547" s="81"/>
      <c r="H547" s="81"/>
    </row>
    <row r="548">
      <c r="G548" s="81"/>
      <c r="H548" s="81"/>
    </row>
    <row r="549">
      <c r="G549" s="81"/>
      <c r="H549" s="81"/>
    </row>
    <row r="550">
      <c r="G550" s="81"/>
      <c r="H550" s="81"/>
    </row>
    <row r="551">
      <c r="G551" s="81"/>
      <c r="H551" s="81"/>
    </row>
    <row r="552">
      <c r="G552" s="81"/>
      <c r="H552" s="81"/>
    </row>
    <row r="553">
      <c r="G553" s="81"/>
      <c r="H553" s="81"/>
    </row>
    <row r="554">
      <c r="G554" s="81"/>
      <c r="H554" s="81"/>
    </row>
    <row r="555">
      <c r="G555" s="81"/>
      <c r="H555" s="81"/>
    </row>
    <row r="556">
      <c r="G556" s="81"/>
      <c r="H556" s="81"/>
    </row>
    <row r="557">
      <c r="G557" s="81"/>
      <c r="H557" s="81"/>
    </row>
    <row r="558">
      <c r="G558" s="81"/>
      <c r="H558" s="81"/>
    </row>
    <row r="559">
      <c r="G559" s="81"/>
      <c r="H559" s="81"/>
    </row>
    <row r="560">
      <c r="G560" s="81"/>
      <c r="H560" s="81"/>
    </row>
    <row r="561">
      <c r="G561" s="81"/>
      <c r="H561" s="81"/>
    </row>
    <row r="562">
      <c r="G562" s="81"/>
      <c r="H562" s="81"/>
    </row>
    <row r="563">
      <c r="G563" s="81"/>
      <c r="H563" s="81"/>
    </row>
    <row r="564">
      <c r="G564" s="81"/>
      <c r="H564" s="81"/>
    </row>
    <row r="565">
      <c r="G565" s="81"/>
      <c r="H565" s="81"/>
    </row>
    <row r="566">
      <c r="G566" s="81"/>
      <c r="H566" s="81"/>
    </row>
    <row r="567">
      <c r="G567" s="81"/>
      <c r="H567" s="81"/>
    </row>
    <row r="568">
      <c r="G568" s="81"/>
      <c r="H568" s="81"/>
    </row>
    <row r="569">
      <c r="G569" s="81"/>
      <c r="H569" s="81"/>
    </row>
    <row r="570">
      <c r="G570" s="81"/>
      <c r="H570" s="81"/>
    </row>
    <row r="571">
      <c r="G571" s="81"/>
      <c r="H571" s="81"/>
    </row>
    <row r="572">
      <c r="G572" s="81"/>
      <c r="H572" s="81"/>
    </row>
    <row r="573">
      <c r="G573" s="81"/>
      <c r="H573" s="81"/>
    </row>
    <row r="574">
      <c r="G574" s="81"/>
      <c r="H574" s="81"/>
    </row>
    <row r="575">
      <c r="G575" s="81"/>
      <c r="H575" s="81"/>
    </row>
    <row r="576">
      <c r="G576" s="81"/>
      <c r="H576" s="81"/>
    </row>
    <row r="577">
      <c r="G577" s="81"/>
      <c r="H577" s="81"/>
    </row>
    <row r="578">
      <c r="G578" s="81"/>
      <c r="H578" s="81"/>
    </row>
    <row r="579">
      <c r="G579" s="81"/>
      <c r="H579" s="81"/>
    </row>
    <row r="580">
      <c r="G580" s="81"/>
      <c r="H580" s="81"/>
    </row>
    <row r="581">
      <c r="G581" s="81"/>
      <c r="H581" s="81"/>
    </row>
    <row r="582">
      <c r="G582" s="81"/>
      <c r="H582" s="81"/>
    </row>
    <row r="583">
      <c r="G583" s="81"/>
      <c r="H583" s="81"/>
    </row>
    <row r="584">
      <c r="G584" s="81"/>
      <c r="H584" s="81"/>
    </row>
    <row r="585">
      <c r="G585" s="81"/>
      <c r="H585" s="81"/>
    </row>
    <row r="586">
      <c r="G586" s="81"/>
      <c r="H586" s="81"/>
    </row>
    <row r="587">
      <c r="G587" s="81"/>
      <c r="H587" s="81"/>
    </row>
    <row r="588">
      <c r="G588" s="81"/>
      <c r="H588" s="81"/>
    </row>
    <row r="589">
      <c r="G589" s="81"/>
      <c r="H589" s="81"/>
    </row>
    <row r="590">
      <c r="G590" s="81"/>
      <c r="H590" s="81"/>
    </row>
    <row r="591">
      <c r="G591" s="81"/>
      <c r="H591" s="81"/>
    </row>
    <row r="592">
      <c r="G592" s="81"/>
      <c r="H592" s="81"/>
    </row>
    <row r="593">
      <c r="G593" s="81"/>
      <c r="H593" s="81"/>
    </row>
    <row r="594">
      <c r="G594" s="81"/>
      <c r="H594" s="81"/>
    </row>
    <row r="595">
      <c r="G595" s="81"/>
      <c r="H595" s="81"/>
    </row>
    <row r="596">
      <c r="G596" s="81"/>
      <c r="H596" s="81"/>
    </row>
    <row r="597">
      <c r="G597" s="81"/>
      <c r="H597" s="81"/>
    </row>
    <row r="598">
      <c r="G598" s="81"/>
      <c r="H598" s="81"/>
    </row>
    <row r="599">
      <c r="G599" s="81"/>
      <c r="H599" s="81"/>
    </row>
    <row r="600">
      <c r="G600" s="81"/>
      <c r="H600" s="81"/>
    </row>
    <row r="601">
      <c r="G601" s="81"/>
      <c r="H601" s="81"/>
    </row>
    <row r="602">
      <c r="G602" s="81"/>
      <c r="H602" s="81"/>
    </row>
    <row r="603">
      <c r="G603" s="81"/>
      <c r="H603" s="81"/>
    </row>
    <row r="604">
      <c r="G604" s="81"/>
      <c r="H604" s="81"/>
    </row>
    <row r="605">
      <c r="G605" s="81"/>
      <c r="H605" s="81"/>
    </row>
    <row r="606">
      <c r="G606" s="81"/>
      <c r="H606" s="81"/>
    </row>
    <row r="607">
      <c r="G607" s="81"/>
      <c r="H607" s="81"/>
    </row>
    <row r="608">
      <c r="G608" s="81"/>
      <c r="H608" s="81"/>
    </row>
    <row r="609">
      <c r="G609" s="81"/>
      <c r="H609" s="81"/>
    </row>
    <row r="610">
      <c r="G610" s="81"/>
      <c r="H610" s="81"/>
    </row>
    <row r="611">
      <c r="G611" s="81"/>
      <c r="H611" s="81"/>
    </row>
    <row r="612">
      <c r="G612" s="81"/>
      <c r="H612" s="81"/>
    </row>
    <row r="613">
      <c r="G613" s="81"/>
      <c r="H613" s="81"/>
    </row>
    <row r="614">
      <c r="G614" s="81"/>
      <c r="H614" s="81"/>
    </row>
    <row r="615">
      <c r="G615" s="81"/>
      <c r="H615" s="81"/>
    </row>
    <row r="616">
      <c r="G616" s="81"/>
      <c r="H616" s="81"/>
    </row>
    <row r="617">
      <c r="G617" s="81"/>
      <c r="H617" s="81"/>
    </row>
    <row r="618">
      <c r="G618" s="81"/>
      <c r="H618" s="81"/>
    </row>
    <row r="619">
      <c r="G619" s="81"/>
      <c r="H619" s="81"/>
    </row>
    <row r="620">
      <c r="G620" s="81"/>
      <c r="H620" s="81"/>
    </row>
    <row r="621">
      <c r="G621" s="81"/>
      <c r="H621" s="81"/>
    </row>
    <row r="622">
      <c r="G622" s="81"/>
      <c r="H622" s="81"/>
    </row>
    <row r="623">
      <c r="G623" s="81"/>
      <c r="H623" s="81"/>
    </row>
    <row r="624">
      <c r="G624" s="81"/>
      <c r="H624" s="81"/>
    </row>
    <row r="625">
      <c r="G625" s="81"/>
      <c r="H625" s="81"/>
    </row>
    <row r="626">
      <c r="G626" s="81"/>
      <c r="H626" s="81"/>
    </row>
    <row r="627">
      <c r="G627" s="81"/>
      <c r="H627" s="81"/>
    </row>
    <row r="628">
      <c r="G628" s="81"/>
      <c r="H628" s="81"/>
    </row>
    <row r="629">
      <c r="G629" s="81"/>
      <c r="H629" s="81"/>
    </row>
    <row r="630">
      <c r="G630" s="81"/>
      <c r="H630" s="81"/>
    </row>
    <row r="631">
      <c r="G631" s="81"/>
      <c r="H631" s="81"/>
    </row>
    <row r="632">
      <c r="G632" s="81"/>
      <c r="H632" s="81"/>
    </row>
    <row r="633">
      <c r="G633" s="81"/>
      <c r="H633" s="81"/>
    </row>
    <row r="634">
      <c r="G634" s="81"/>
      <c r="H634" s="81"/>
    </row>
    <row r="635">
      <c r="G635" s="81"/>
      <c r="H635" s="81"/>
    </row>
    <row r="636">
      <c r="G636" s="81"/>
      <c r="H636" s="81"/>
    </row>
    <row r="637">
      <c r="G637" s="81"/>
      <c r="H637" s="81"/>
    </row>
    <row r="638">
      <c r="G638" s="81"/>
      <c r="H638" s="81"/>
    </row>
    <row r="639">
      <c r="G639" s="81"/>
      <c r="H639" s="81"/>
    </row>
    <row r="640">
      <c r="G640" s="81"/>
      <c r="H640" s="81"/>
    </row>
    <row r="641">
      <c r="G641" s="81"/>
      <c r="H641" s="81"/>
    </row>
    <row r="642">
      <c r="G642" s="81"/>
      <c r="H642" s="81"/>
    </row>
    <row r="643">
      <c r="G643" s="81"/>
      <c r="H643" s="81"/>
    </row>
    <row r="644">
      <c r="G644" s="81"/>
      <c r="H644" s="81"/>
    </row>
    <row r="645">
      <c r="G645" s="81"/>
      <c r="H645" s="81"/>
    </row>
    <row r="646">
      <c r="G646" s="81"/>
      <c r="H646" s="81"/>
    </row>
    <row r="647">
      <c r="G647" s="81"/>
      <c r="H647" s="81"/>
    </row>
    <row r="648">
      <c r="G648" s="81"/>
      <c r="H648" s="81"/>
    </row>
    <row r="649">
      <c r="G649" s="81"/>
      <c r="H649" s="81"/>
    </row>
    <row r="650">
      <c r="G650" s="81"/>
      <c r="H650" s="81"/>
    </row>
    <row r="651">
      <c r="G651" s="81"/>
      <c r="H651" s="81"/>
    </row>
    <row r="652">
      <c r="G652" s="81"/>
      <c r="H652" s="81"/>
    </row>
    <row r="653">
      <c r="G653" s="81"/>
      <c r="H653" s="81"/>
    </row>
    <row r="654">
      <c r="G654" s="81"/>
      <c r="H654" s="81"/>
    </row>
    <row r="655">
      <c r="G655" s="81"/>
      <c r="H655" s="81"/>
    </row>
    <row r="656">
      <c r="G656" s="81"/>
      <c r="H656" s="81"/>
    </row>
    <row r="657">
      <c r="G657" s="81"/>
      <c r="H657" s="81"/>
    </row>
    <row r="658">
      <c r="G658" s="81"/>
      <c r="H658" s="81"/>
    </row>
    <row r="659">
      <c r="G659" s="81"/>
      <c r="H659" s="81"/>
    </row>
    <row r="660">
      <c r="G660" s="81"/>
      <c r="H660" s="81"/>
    </row>
    <row r="661">
      <c r="G661" s="81"/>
      <c r="H661" s="81"/>
    </row>
    <row r="662">
      <c r="G662" s="81"/>
      <c r="H662" s="81"/>
    </row>
    <row r="663">
      <c r="G663" s="81"/>
      <c r="H663" s="81"/>
    </row>
    <row r="664">
      <c r="G664" s="81"/>
      <c r="H664" s="81"/>
    </row>
    <row r="665">
      <c r="G665" s="81"/>
      <c r="H665" s="81"/>
    </row>
    <row r="666">
      <c r="G666" s="81"/>
      <c r="H666" s="81"/>
    </row>
    <row r="667">
      <c r="G667" s="81"/>
      <c r="H667" s="81"/>
    </row>
    <row r="668">
      <c r="G668" s="81"/>
      <c r="H668" s="81"/>
    </row>
    <row r="669">
      <c r="G669" s="81"/>
      <c r="H669" s="81"/>
    </row>
    <row r="670">
      <c r="G670" s="81"/>
      <c r="H670" s="81"/>
    </row>
    <row r="671">
      <c r="G671" s="81"/>
      <c r="H671" s="81"/>
    </row>
    <row r="672">
      <c r="G672" s="81"/>
      <c r="H672" s="81"/>
    </row>
    <row r="673">
      <c r="G673" s="81"/>
      <c r="H673" s="81"/>
    </row>
    <row r="674">
      <c r="G674" s="81"/>
      <c r="H674" s="81"/>
    </row>
    <row r="675">
      <c r="G675" s="81"/>
      <c r="H675" s="81"/>
    </row>
    <row r="676">
      <c r="G676" s="81"/>
      <c r="H676" s="81"/>
    </row>
    <row r="677">
      <c r="G677" s="81"/>
      <c r="H677" s="81"/>
    </row>
    <row r="678">
      <c r="G678" s="81"/>
      <c r="H678" s="81"/>
    </row>
    <row r="679">
      <c r="G679" s="81"/>
      <c r="H679" s="81"/>
    </row>
    <row r="680">
      <c r="G680" s="81"/>
      <c r="H680" s="81"/>
    </row>
    <row r="681">
      <c r="G681" s="81"/>
      <c r="H681" s="81"/>
    </row>
    <row r="682">
      <c r="G682" s="81"/>
      <c r="H682" s="81"/>
    </row>
    <row r="683">
      <c r="G683" s="81"/>
      <c r="H683" s="81"/>
    </row>
    <row r="684">
      <c r="G684" s="81"/>
      <c r="H684" s="81"/>
    </row>
    <row r="685">
      <c r="G685" s="81"/>
      <c r="H685" s="81"/>
    </row>
    <row r="686">
      <c r="G686" s="81"/>
      <c r="H686" s="81"/>
    </row>
    <row r="687">
      <c r="G687" s="81"/>
      <c r="H687" s="81"/>
    </row>
    <row r="688">
      <c r="G688" s="81"/>
      <c r="H688" s="81"/>
    </row>
    <row r="689">
      <c r="G689" s="81"/>
      <c r="H689" s="81"/>
    </row>
    <row r="690">
      <c r="G690" s="81"/>
      <c r="H690" s="81"/>
    </row>
    <row r="691">
      <c r="G691" s="81"/>
      <c r="H691" s="81"/>
    </row>
    <row r="692">
      <c r="G692" s="81"/>
      <c r="H692" s="81"/>
    </row>
    <row r="693">
      <c r="G693" s="81"/>
      <c r="H693" s="81"/>
    </row>
    <row r="694">
      <c r="G694" s="81"/>
      <c r="H694" s="81"/>
    </row>
    <row r="695">
      <c r="G695" s="81"/>
      <c r="H695" s="81"/>
    </row>
    <row r="696">
      <c r="G696" s="81"/>
      <c r="H696" s="81"/>
    </row>
    <row r="697">
      <c r="G697" s="81"/>
      <c r="H697" s="81"/>
    </row>
    <row r="698">
      <c r="G698" s="81"/>
      <c r="H698" s="81"/>
    </row>
    <row r="699">
      <c r="G699" s="81"/>
      <c r="H699" s="81"/>
    </row>
    <row r="700">
      <c r="G700" s="81"/>
      <c r="H700" s="81"/>
    </row>
    <row r="701">
      <c r="G701" s="81"/>
      <c r="H701" s="81"/>
    </row>
    <row r="702">
      <c r="G702" s="81"/>
      <c r="H702" s="81"/>
    </row>
    <row r="703">
      <c r="G703" s="81"/>
      <c r="H703" s="81"/>
    </row>
    <row r="704">
      <c r="G704" s="81"/>
      <c r="H704" s="81"/>
    </row>
    <row r="705">
      <c r="G705" s="81"/>
      <c r="H705" s="81"/>
    </row>
    <row r="706">
      <c r="G706" s="81"/>
      <c r="H706" s="81"/>
    </row>
    <row r="707">
      <c r="G707" s="81"/>
      <c r="H707" s="81"/>
    </row>
    <row r="708">
      <c r="G708" s="81"/>
      <c r="H708" s="81"/>
    </row>
    <row r="709">
      <c r="G709" s="81"/>
      <c r="H709" s="81"/>
    </row>
    <row r="710">
      <c r="G710" s="81"/>
      <c r="H710" s="81"/>
    </row>
    <row r="711">
      <c r="G711" s="81"/>
      <c r="H711" s="81"/>
    </row>
    <row r="712">
      <c r="G712" s="81"/>
      <c r="H712" s="81"/>
    </row>
    <row r="713">
      <c r="G713" s="81"/>
      <c r="H713" s="81"/>
    </row>
    <row r="714">
      <c r="G714" s="81"/>
      <c r="H714" s="81"/>
    </row>
    <row r="715">
      <c r="G715" s="81"/>
      <c r="H715" s="81"/>
    </row>
    <row r="716">
      <c r="G716" s="81"/>
      <c r="H716" s="81"/>
    </row>
    <row r="717">
      <c r="G717" s="81"/>
      <c r="H717" s="81"/>
    </row>
    <row r="718">
      <c r="G718" s="81"/>
      <c r="H718" s="81"/>
    </row>
    <row r="719">
      <c r="G719" s="81"/>
      <c r="H719" s="81"/>
    </row>
    <row r="720">
      <c r="G720" s="81"/>
      <c r="H720" s="81"/>
    </row>
    <row r="721">
      <c r="G721" s="81"/>
      <c r="H721" s="81"/>
    </row>
    <row r="722">
      <c r="G722" s="81"/>
      <c r="H722" s="81"/>
    </row>
    <row r="723">
      <c r="G723" s="81"/>
      <c r="H723" s="81"/>
    </row>
    <row r="724">
      <c r="G724" s="81"/>
      <c r="H724" s="81"/>
    </row>
    <row r="725">
      <c r="G725" s="81"/>
      <c r="H725" s="81"/>
    </row>
    <row r="726">
      <c r="G726" s="81"/>
      <c r="H726" s="81"/>
    </row>
    <row r="727">
      <c r="G727" s="81"/>
      <c r="H727" s="81"/>
    </row>
    <row r="728">
      <c r="G728" s="81"/>
      <c r="H728" s="81"/>
    </row>
    <row r="729">
      <c r="G729" s="81"/>
      <c r="H729" s="81"/>
    </row>
    <row r="730">
      <c r="G730" s="81"/>
      <c r="H730" s="81"/>
    </row>
    <row r="731">
      <c r="G731" s="81"/>
      <c r="H731" s="81"/>
    </row>
    <row r="732">
      <c r="G732" s="81"/>
      <c r="H732" s="81"/>
    </row>
    <row r="733">
      <c r="G733" s="81"/>
      <c r="H733" s="81"/>
    </row>
    <row r="734">
      <c r="G734" s="81"/>
      <c r="H734" s="81"/>
    </row>
    <row r="735">
      <c r="G735" s="81"/>
      <c r="H735" s="81"/>
    </row>
    <row r="736">
      <c r="G736" s="81"/>
      <c r="H736" s="81"/>
    </row>
    <row r="737">
      <c r="G737" s="81"/>
      <c r="H737" s="81"/>
    </row>
    <row r="738">
      <c r="G738" s="81"/>
      <c r="H738" s="81"/>
    </row>
    <row r="739">
      <c r="G739" s="81"/>
      <c r="H739" s="81"/>
    </row>
    <row r="740">
      <c r="G740" s="81"/>
      <c r="H740" s="81"/>
    </row>
    <row r="741">
      <c r="G741" s="81"/>
      <c r="H741" s="81"/>
    </row>
    <row r="742">
      <c r="G742" s="81"/>
      <c r="H742" s="81"/>
    </row>
    <row r="743">
      <c r="G743" s="81"/>
      <c r="H743" s="81"/>
    </row>
    <row r="744">
      <c r="G744" s="81"/>
      <c r="H744" s="81"/>
    </row>
    <row r="745">
      <c r="G745" s="81"/>
      <c r="H745" s="81"/>
    </row>
    <row r="746">
      <c r="G746" s="81"/>
      <c r="H746" s="81"/>
    </row>
    <row r="747">
      <c r="G747" s="81"/>
      <c r="H747" s="81"/>
    </row>
    <row r="748">
      <c r="G748" s="81"/>
      <c r="H748" s="81"/>
    </row>
    <row r="749">
      <c r="G749" s="81"/>
      <c r="H749" s="81"/>
    </row>
    <row r="750">
      <c r="G750" s="81"/>
      <c r="H750" s="81"/>
    </row>
    <row r="751">
      <c r="G751" s="81"/>
      <c r="H751" s="81"/>
    </row>
    <row r="752">
      <c r="G752" s="81"/>
      <c r="H752" s="81"/>
    </row>
    <row r="753">
      <c r="G753" s="81"/>
      <c r="H753" s="81"/>
    </row>
    <row r="754">
      <c r="G754" s="81"/>
      <c r="H754" s="81"/>
    </row>
    <row r="755">
      <c r="G755" s="81"/>
      <c r="H755" s="81"/>
    </row>
    <row r="756">
      <c r="G756" s="81"/>
      <c r="H756" s="81"/>
    </row>
    <row r="757">
      <c r="G757" s="81"/>
      <c r="H757" s="81"/>
    </row>
    <row r="758">
      <c r="G758" s="81"/>
      <c r="H758" s="81"/>
    </row>
    <row r="759">
      <c r="G759" s="81"/>
      <c r="H759" s="81"/>
    </row>
    <row r="760">
      <c r="G760" s="81"/>
      <c r="H760" s="81"/>
    </row>
    <row r="761">
      <c r="G761" s="81"/>
      <c r="H761" s="81"/>
    </row>
    <row r="762">
      <c r="G762" s="81"/>
      <c r="H762" s="81"/>
    </row>
    <row r="763">
      <c r="G763" s="81"/>
      <c r="H763" s="81"/>
    </row>
    <row r="764">
      <c r="G764" s="81"/>
      <c r="H764" s="81"/>
    </row>
    <row r="765">
      <c r="G765" s="81"/>
      <c r="H765" s="81"/>
    </row>
    <row r="766">
      <c r="G766" s="81"/>
      <c r="H766" s="81"/>
    </row>
    <row r="767">
      <c r="G767" s="81"/>
      <c r="H767" s="81"/>
    </row>
    <row r="768">
      <c r="G768" s="81"/>
      <c r="H768" s="81"/>
    </row>
    <row r="769">
      <c r="G769" s="81"/>
      <c r="H769" s="81"/>
    </row>
    <row r="770">
      <c r="G770" s="81"/>
      <c r="H770" s="81"/>
    </row>
    <row r="771">
      <c r="G771" s="81"/>
      <c r="H771" s="81"/>
    </row>
    <row r="772">
      <c r="G772" s="81"/>
      <c r="H772" s="81"/>
    </row>
    <row r="773">
      <c r="G773" s="81"/>
      <c r="H773" s="81"/>
    </row>
    <row r="774">
      <c r="G774" s="81"/>
      <c r="H774" s="81"/>
    </row>
    <row r="775">
      <c r="G775" s="81"/>
      <c r="H775" s="81"/>
    </row>
    <row r="776">
      <c r="G776" s="81"/>
      <c r="H776" s="81"/>
    </row>
    <row r="777">
      <c r="G777" s="81"/>
      <c r="H777" s="81"/>
    </row>
    <row r="778">
      <c r="G778" s="81"/>
      <c r="H778" s="81"/>
    </row>
    <row r="779">
      <c r="G779" s="81"/>
      <c r="H779" s="81"/>
    </row>
    <row r="780">
      <c r="G780" s="81"/>
      <c r="H780" s="81"/>
    </row>
    <row r="781">
      <c r="G781" s="81"/>
      <c r="H781" s="81"/>
    </row>
    <row r="782">
      <c r="G782" s="81"/>
      <c r="H782" s="81"/>
    </row>
    <row r="783">
      <c r="G783" s="81"/>
      <c r="H783" s="81"/>
    </row>
    <row r="784">
      <c r="G784" s="81"/>
      <c r="H784" s="81"/>
    </row>
    <row r="785">
      <c r="G785" s="81"/>
      <c r="H785" s="81"/>
    </row>
    <row r="786">
      <c r="G786" s="81"/>
      <c r="H786" s="81"/>
    </row>
    <row r="787">
      <c r="G787" s="81"/>
      <c r="H787" s="81"/>
    </row>
    <row r="788">
      <c r="G788" s="81"/>
      <c r="H788" s="81"/>
    </row>
    <row r="789">
      <c r="G789" s="81"/>
      <c r="H789" s="81"/>
    </row>
    <row r="790">
      <c r="G790" s="81"/>
      <c r="H790" s="81"/>
    </row>
    <row r="791">
      <c r="G791" s="81"/>
      <c r="H791" s="81"/>
    </row>
    <row r="792">
      <c r="G792" s="81"/>
      <c r="H792" s="81"/>
    </row>
    <row r="793">
      <c r="G793" s="81"/>
      <c r="H793" s="81"/>
    </row>
    <row r="794">
      <c r="G794" s="81"/>
      <c r="H794" s="81"/>
    </row>
    <row r="795">
      <c r="G795" s="81"/>
      <c r="H795" s="81"/>
    </row>
    <row r="796">
      <c r="G796" s="81"/>
      <c r="H796" s="81"/>
    </row>
    <row r="797">
      <c r="G797" s="81"/>
      <c r="H797" s="81"/>
    </row>
    <row r="798">
      <c r="G798" s="81"/>
      <c r="H798" s="81"/>
    </row>
    <row r="799">
      <c r="G799" s="81"/>
      <c r="H799" s="81"/>
    </row>
    <row r="800">
      <c r="G800" s="81"/>
      <c r="H800" s="81"/>
    </row>
    <row r="801">
      <c r="G801" s="81"/>
      <c r="H801" s="81"/>
    </row>
    <row r="802">
      <c r="G802" s="81"/>
      <c r="H802" s="81"/>
    </row>
    <row r="803">
      <c r="G803" s="81"/>
      <c r="H803" s="81"/>
    </row>
    <row r="804">
      <c r="G804" s="81"/>
      <c r="H804" s="81"/>
    </row>
    <row r="805">
      <c r="G805" s="81"/>
      <c r="H805" s="81"/>
    </row>
    <row r="806">
      <c r="G806" s="81"/>
      <c r="H806" s="81"/>
    </row>
    <row r="807">
      <c r="G807" s="81"/>
      <c r="H807" s="81"/>
    </row>
    <row r="808">
      <c r="G808" s="81"/>
      <c r="H808" s="81"/>
    </row>
    <row r="809">
      <c r="G809" s="81"/>
      <c r="H809" s="81"/>
    </row>
    <row r="810">
      <c r="G810" s="81"/>
      <c r="H810" s="81"/>
    </row>
    <row r="811">
      <c r="G811" s="81"/>
      <c r="H811" s="81"/>
    </row>
    <row r="812">
      <c r="G812" s="81"/>
      <c r="H812" s="81"/>
    </row>
    <row r="813">
      <c r="G813" s="81"/>
      <c r="H813" s="81"/>
    </row>
    <row r="814">
      <c r="G814" s="81"/>
      <c r="H814" s="81"/>
    </row>
    <row r="815">
      <c r="G815" s="81"/>
      <c r="H815" s="81"/>
    </row>
    <row r="816">
      <c r="G816" s="81"/>
      <c r="H816" s="81"/>
    </row>
    <row r="817">
      <c r="G817" s="81"/>
      <c r="H817" s="81"/>
    </row>
    <row r="818">
      <c r="G818" s="81"/>
      <c r="H818" s="81"/>
    </row>
    <row r="819">
      <c r="G819" s="81"/>
      <c r="H819" s="81"/>
    </row>
    <row r="820">
      <c r="G820" s="81"/>
      <c r="H820" s="81"/>
    </row>
    <row r="821">
      <c r="G821" s="81"/>
      <c r="H821" s="81"/>
    </row>
    <row r="822">
      <c r="G822" s="81"/>
      <c r="H822" s="81"/>
    </row>
    <row r="823">
      <c r="G823" s="81"/>
      <c r="H823" s="81"/>
    </row>
    <row r="824">
      <c r="G824" s="81"/>
      <c r="H824" s="81"/>
    </row>
    <row r="825">
      <c r="G825" s="81"/>
      <c r="H825" s="81"/>
    </row>
    <row r="826">
      <c r="G826" s="81"/>
      <c r="H826" s="81"/>
    </row>
    <row r="827">
      <c r="G827" s="81"/>
      <c r="H827" s="81"/>
    </row>
    <row r="828">
      <c r="G828" s="81"/>
      <c r="H828" s="81"/>
    </row>
    <row r="829">
      <c r="G829" s="81"/>
      <c r="H829" s="81"/>
    </row>
    <row r="830">
      <c r="G830" s="81"/>
      <c r="H830" s="81"/>
    </row>
    <row r="831">
      <c r="G831" s="81"/>
      <c r="H831" s="81"/>
    </row>
    <row r="832">
      <c r="G832" s="81"/>
      <c r="H832" s="81"/>
    </row>
    <row r="833">
      <c r="G833" s="81"/>
      <c r="H833" s="81"/>
    </row>
    <row r="834">
      <c r="G834" s="81"/>
      <c r="H834" s="81"/>
    </row>
    <row r="835">
      <c r="G835" s="81"/>
      <c r="H835" s="81"/>
    </row>
    <row r="836">
      <c r="G836" s="81"/>
      <c r="H836" s="81"/>
    </row>
    <row r="837">
      <c r="G837" s="81"/>
      <c r="H837" s="81"/>
    </row>
    <row r="838">
      <c r="G838" s="81"/>
      <c r="H838" s="81"/>
    </row>
    <row r="839">
      <c r="G839" s="81"/>
      <c r="H839" s="81"/>
    </row>
    <row r="840">
      <c r="G840" s="81"/>
      <c r="H840" s="81"/>
    </row>
    <row r="841">
      <c r="G841" s="81"/>
      <c r="H841" s="81"/>
    </row>
    <row r="842">
      <c r="G842" s="81"/>
      <c r="H842" s="81"/>
    </row>
    <row r="843">
      <c r="G843" s="81"/>
      <c r="H843" s="81"/>
    </row>
    <row r="844">
      <c r="G844" s="81"/>
      <c r="H844" s="81"/>
    </row>
    <row r="845">
      <c r="G845" s="81"/>
      <c r="H845" s="81"/>
    </row>
    <row r="846">
      <c r="G846" s="81"/>
      <c r="H846" s="81"/>
    </row>
    <row r="847">
      <c r="G847" s="81"/>
      <c r="H847" s="81"/>
    </row>
    <row r="848">
      <c r="G848" s="81"/>
      <c r="H848" s="81"/>
    </row>
    <row r="849">
      <c r="G849" s="81"/>
      <c r="H849" s="81"/>
    </row>
    <row r="850">
      <c r="G850" s="81"/>
      <c r="H850" s="81"/>
    </row>
    <row r="851">
      <c r="G851" s="81"/>
      <c r="H851" s="81"/>
    </row>
    <row r="852">
      <c r="G852" s="81"/>
      <c r="H852" s="81"/>
    </row>
    <row r="853">
      <c r="G853" s="81"/>
      <c r="H853" s="81"/>
    </row>
    <row r="854">
      <c r="G854" s="81"/>
      <c r="H854" s="81"/>
    </row>
    <row r="855">
      <c r="G855" s="81"/>
      <c r="H855" s="81"/>
    </row>
    <row r="856">
      <c r="G856" s="81"/>
      <c r="H856" s="81"/>
    </row>
    <row r="857">
      <c r="G857" s="81"/>
      <c r="H857" s="81"/>
    </row>
    <row r="858">
      <c r="G858" s="81"/>
      <c r="H858" s="81"/>
    </row>
    <row r="859">
      <c r="G859" s="81"/>
      <c r="H859" s="81"/>
    </row>
    <row r="860">
      <c r="G860" s="81"/>
      <c r="H860" s="81"/>
    </row>
    <row r="861">
      <c r="G861" s="81"/>
      <c r="H861" s="81"/>
    </row>
    <row r="862">
      <c r="G862" s="81"/>
      <c r="H862" s="81"/>
    </row>
    <row r="863">
      <c r="G863" s="81"/>
      <c r="H863" s="81"/>
    </row>
    <row r="864">
      <c r="G864" s="81"/>
      <c r="H864" s="81"/>
    </row>
    <row r="865">
      <c r="G865" s="81"/>
      <c r="H865" s="81"/>
    </row>
    <row r="866">
      <c r="G866" s="81"/>
      <c r="H866" s="81"/>
    </row>
    <row r="867">
      <c r="G867" s="81"/>
      <c r="H867" s="81"/>
    </row>
    <row r="868">
      <c r="G868" s="81"/>
      <c r="H868" s="81"/>
    </row>
    <row r="869">
      <c r="G869" s="81"/>
      <c r="H869" s="81"/>
    </row>
    <row r="870">
      <c r="G870" s="81"/>
      <c r="H870" s="81"/>
    </row>
    <row r="871">
      <c r="G871" s="81"/>
      <c r="H871" s="81"/>
    </row>
    <row r="872">
      <c r="G872" s="81"/>
      <c r="H872" s="81"/>
    </row>
    <row r="873">
      <c r="G873" s="81"/>
      <c r="H873" s="81"/>
    </row>
    <row r="874">
      <c r="G874" s="81"/>
      <c r="H874" s="81"/>
    </row>
    <row r="875">
      <c r="G875" s="81"/>
      <c r="H875" s="81"/>
    </row>
    <row r="876">
      <c r="G876" s="81"/>
      <c r="H876" s="81"/>
    </row>
    <row r="877">
      <c r="G877" s="81"/>
      <c r="H877" s="81"/>
    </row>
    <row r="878">
      <c r="G878" s="81"/>
      <c r="H878" s="81"/>
    </row>
    <row r="879">
      <c r="G879" s="81"/>
      <c r="H879" s="81"/>
    </row>
    <row r="880">
      <c r="G880" s="81"/>
      <c r="H880" s="81"/>
    </row>
    <row r="881">
      <c r="G881" s="81"/>
      <c r="H881" s="81"/>
    </row>
    <row r="882">
      <c r="G882" s="81"/>
      <c r="H882" s="81"/>
    </row>
    <row r="883">
      <c r="G883" s="81"/>
      <c r="H883" s="81"/>
    </row>
    <row r="884">
      <c r="G884" s="81"/>
      <c r="H884" s="81"/>
    </row>
    <row r="885">
      <c r="G885" s="81"/>
      <c r="H885" s="81"/>
    </row>
    <row r="886">
      <c r="G886" s="81"/>
      <c r="H886" s="81"/>
    </row>
    <row r="887">
      <c r="G887" s="81"/>
      <c r="H887" s="81"/>
    </row>
    <row r="888">
      <c r="G888" s="81"/>
      <c r="H888" s="81"/>
    </row>
    <row r="889">
      <c r="G889" s="81"/>
      <c r="H889" s="81"/>
    </row>
    <row r="890">
      <c r="G890" s="81"/>
      <c r="H890" s="81"/>
    </row>
    <row r="891">
      <c r="G891" s="81"/>
      <c r="H891" s="81"/>
    </row>
    <row r="892">
      <c r="G892" s="81"/>
      <c r="H892" s="81"/>
    </row>
    <row r="893">
      <c r="G893" s="81"/>
      <c r="H893" s="81"/>
    </row>
    <row r="894">
      <c r="G894" s="81"/>
      <c r="H894" s="81"/>
    </row>
    <row r="895">
      <c r="G895" s="81"/>
      <c r="H895" s="81"/>
    </row>
    <row r="896">
      <c r="G896" s="81"/>
      <c r="H896" s="81"/>
    </row>
    <row r="897">
      <c r="G897" s="81"/>
      <c r="H897" s="81"/>
    </row>
    <row r="898">
      <c r="G898" s="81"/>
      <c r="H898" s="81"/>
    </row>
    <row r="899">
      <c r="G899" s="81"/>
      <c r="H899" s="81"/>
    </row>
    <row r="900">
      <c r="G900" s="81"/>
      <c r="H900" s="81"/>
    </row>
    <row r="901">
      <c r="G901" s="81"/>
      <c r="H901" s="81"/>
    </row>
    <row r="902">
      <c r="G902" s="81"/>
      <c r="H902" s="81"/>
    </row>
    <row r="903">
      <c r="G903" s="81"/>
      <c r="H903" s="81"/>
    </row>
    <row r="904">
      <c r="G904" s="81"/>
      <c r="H904" s="81"/>
    </row>
    <row r="905">
      <c r="G905" s="81"/>
      <c r="H905" s="81"/>
    </row>
    <row r="906">
      <c r="G906" s="81"/>
      <c r="H906" s="81"/>
    </row>
    <row r="907">
      <c r="G907" s="81"/>
      <c r="H907" s="81"/>
    </row>
    <row r="908">
      <c r="G908" s="81"/>
      <c r="H908" s="81"/>
    </row>
    <row r="909">
      <c r="G909" s="81"/>
      <c r="H909" s="81"/>
    </row>
    <row r="910">
      <c r="G910" s="81"/>
      <c r="H910" s="81"/>
    </row>
    <row r="911">
      <c r="G911" s="81"/>
      <c r="H911" s="81"/>
    </row>
    <row r="912">
      <c r="G912" s="81"/>
      <c r="H912" s="81"/>
    </row>
    <row r="913">
      <c r="G913" s="81"/>
      <c r="H913" s="81"/>
    </row>
    <row r="914">
      <c r="G914" s="81"/>
      <c r="H914" s="81"/>
    </row>
    <row r="915">
      <c r="G915" s="81"/>
      <c r="H915" s="81"/>
    </row>
    <row r="916">
      <c r="G916" s="81"/>
      <c r="H916" s="81"/>
    </row>
    <row r="917">
      <c r="G917" s="81"/>
      <c r="H917" s="81"/>
    </row>
    <row r="918">
      <c r="G918" s="81"/>
      <c r="H918" s="81"/>
    </row>
    <row r="919">
      <c r="G919" s="81"/>
      <c r="H919" s="81"/>
    </row>
    <row r="920">
      <c r="G920" s="81"/>
      <c r="H920" s="81"/>
    </row>
    <row r="921">
      <c r="G921" s="81"/>
      <c r="H921" s="81"/>
    </row>
    <row r="922">
      <c r="G922" s="81"/>
      <c r="H922" s="81"/>
    </row>
    <row r="923">
      <c r="G923" s="81"/>
      <c r="H923" s="81"/>
    </row>
    <row r="924">
      <c r="G924" s="81"/>
      <c r="H924" s="81"/>
    </row>
    <row r="925">
      <c r="G925" s="81"/>
      <c r="H925" s="81"/>
    </row>
    <row r="926">
      <c r="G926" s="81"/>
      <c r="H926" s="81"/>
    </row>
    <row r="927">
      <c r="G927" s="81"/>
      <c r="H927" s="81"/>
    </row>
    <row r="928">
      <c r="G928" s="81"/>
      <c r="H928" s="81"/>
    </row>
    <row r="929">
      <c r="G929" s="81"/>
      <c r="H929" s="81"/>
    </row>
    <row r="930">
      <c r="G930" s="81"/>
      <c r="H930" s="81"/>
    </row>
    <row r="931">
      <c r="G931" s="81"/>
      <c r="H931" s="81"/>
    </row>
    <row r="932">
      <c r="G932" s="81"/>
      <c r="H932" s="81"/>
    </row>
    <row r="933">
      <c r="G933" s="81"/>
      <c r="H933" s="81"/>
    </row>
    <row r="934">
      <c r="G934" s="81"/>
      <c r="H934" s="81"/>
    </row>
    <row r="935">
      <c r="G935" s="81"/>
      <c r="H935" s="81"/>
    </row>
    <row r="936">
      <c r="G936" s="81"/>
      <c r="H936" s="81"/>
    </row>
    <row r="937">
      <c r="G937" s="81"/>
      <c r="H937" s="81"/>
    </row>
    <row r="938">
      <c r="G938" s="81"/>
      <c r="H938" s="81"/>
    </row>
    <row r="939">
      <c r="G939" s="81"/>
      <c r="H939" s="81"/>
    </row>
    <row r="940">
      <c r="G940" s="81"/>
      <c r="H940" s="81"/>
    </row>
    <row r="941">
      <c r="G941" s="81"/>
      <c r="H941" s="81"/>
    </row>
    <row r="942">
      <c r="G942" s="81"/>
      <c r="H942" s="81"/>
    </row>
    <row r="943">
      <c r="G943" s="81"/>
      <c r="H943" s="81"/>
    </row>
    <row r="944">
      <c r="G944" s="81"/>
      <c r="H944" s="81"/>
    </row>
    <row r="945">
      <c r="G945" s="81"/>
      <c r="H945" s="81"/>
    </row>
    <row r="946">
      <c r="G946" s="81"/>
      <c r="H946" s="81"/>
    </row>
    <row r="947">
      <c r="G947" s="81"/>
      <c r="H947" s="81"/>
    </row>
    <row r="948">
      <c r="G948" s="81"/>
      <c r="H948" s="81"/>
    </row>
    <row r="949">
      <c r="G949" s="81"/>
      <c r="H949" s="81"/>
    </row>
    <row r="950">
      <c r="G950" s="81"/>
      <c r="H950" s="81"/>
    </row>
    <row r="951">
      <c r="G951" s="81"/>
      <c r="H951" s="81"/>
    </row>
    <row r="952">
      <c r="G952" s="81"/>
      <c r="H952" s="81"/>
    </row>
    <row r="953">
      <c r="G953" s="81"/>
      <c r="H953" s="81"/>
    </row>
    <row r="954">
      <c r="G954" s="81"/>
      <c r="H954" s="81"/>
    </row>
    <row r="955">
      <c r="G955" s="81"/>
      <c r="H955" s="81"/>
    </row>
    <row r="956">
      <c r="G956" s="81"/>
      <c r="H956" s="81"/>
    </row>
    <row r="957">
      <c r="G957" s="81"/>
      <c r="H957" s="81"/>
    </row>
    <row r="958">
      <c r="G958" s="81"/>
      <c r="H958" s="81"/>
    </row>
    <row r="959">
      <c r="G959" s="81"/>
      <c r="H959" s="81"/>
    </row>
    <row r="960">
      <c r="G960" s="81"/>
      <c r="H960" s="81"/>
    </row>
    <row r="961">
      <c r="G961" s="81"/>
      <c r="H961" s="81"/>
    </row>
    <row r="962">
      <c r="G962" s="81"/>
      <c r="H962" s="81"/>
    </row>
    <row r="963">
      <c r="G963" s="81"/>
      <c r="H963" s="81"/>
    </row>
    <row r="964">
      <c r="G964" s="81"/>
      <c r="H964" s="81"/>
    </row>
    <row r="965">
      <c r="G965" s="81"/>
      <c r="H965" s="81"/>
    </row>
    <row r="966">
      <c r="G966" s="81"/>
      <c r="H966" s="81"/>
    </row>
    <row r="967">
      <c r="G967" s="81"/>
      <c r="H967" s="81"/>
    </row>
    <row r="968">
      <c r="G968" s="81"/>
      <c r="H968" s="81"/>
    </row>
    <row r="969">
      <c r="G969" s="81"/>
      <c r="H969" s="81"/>
    </row>
    <row r="970">
      <c r="G970" s="81"/>
      <c r="H970" s="81"/>
    </row>
    <row r="971">
      <c r="G971" s="81"/>
      <c r="H971" s="81"/>
    </row>
    <row r="972">
      <c r="G972" s="81"/>
      <c r="H972" s="81"/>
    </row>
    <row r="973">
      <c r="G973" s="81"/>
      <c r="H973" s="81"/>
    </row>
    <row r="974">
      <c r="G974" s="81"/>
      <c r="H974" s="81"/>
    </row>
    <row r="975">
      <c r="G975" s="81"/>
      <c r="H975" s="81"/>
    </row>
    <row r="976">
      <c r="G976" s="81"/>
      <c r="H976" s="81"/>
    </row>
    <row r="977">
      <c r="G977" s="81"/>
      <c r="H977" s="81"/>
    </row>
    <row r="978">
      <c r="G978" s="81"/>
      <c r="H978" s="81"/>
    </row>
    <row r="979">
      <c r="G979" s="81"/>
      <c r="H979" s="81"/>
    </row>
    <row r="980">
      <c r="G980" s="81"/>
      <c r="H980" s="81"/>
    </row>
    <row r="981">
      <c r="G981" s="81"/>
      <c r="H981" s="81"/>
    </row>
    <row r="982">
      <c r="G982" s="81"/>
      <c r="H982" s="81"/>
    </row>
    <row r="983">
      <c r="G983" s="81"/>
      <c r="H983" s="81"/>
    </row>
    <row r="984">
      <c r="G984" s="81"/>
      <c r="H984" s="81"/>
    </row>
    <row r="985">
      <c r="G985" s="81"/>
      <c r="H985" s="81"/>
    </row>
    <row r="986">
      <c r="G986" s="81"/>
      <c r="H986" s="81"/>
    </row>
    <row r="987">
      <c r="G987" s="81"/>
      <c r="H987" s="81"/>
    </row>
    <row r="988">
      <c r="G988" s="81"/>
      <c r="H988" s="81"/>
    </row>
    <row r="989">
      <c r="G989" s="81"/>
      <c r="H989" s="81"/>
    </row>
    <row r="990">
      <c r="G990" s="81"/>
      <c r="H990" s="81"/>
    </row>
    <row r="991">
      <c r="G991" s="81"/>
      <c r="H991" s="81"/>
    </row>
    <row r="992">
      <c r="G992" s="81"/>
      <c r="H992" s="81"/>
    </row>
    <row r="993">
      <c r="G993" s="81"/>
      <c r="H993" s="81"/>
    </row>
    <row r="994">
      <c r="G994" s="81"/>
      <c r="H994" s="81"/>
    </row>
    <row r="995">
      <c r="G995" s="81"/>
      <c r="H995" s="81"/>
    </row>
    <row r="996">
      <c r="G996" s="81"/>
      <c r="H996" s="81"/>
    </row>
    <row r="997">
      <c r="G997" s="81"/>
      <c r="H997" s="81"/>
    </row>
    <row r="998">
      <c r="G998" s="81"/>
      <c r="H998" s="81"/>
    </row>
    <row r="999">
      <c r="G999" s="81"/>
      <c r="H999" s="81"/>
    </row>
    <row r="1000">
      <c r="G1000" s="81"/>
      <c r="H1000" s="81"/>
    </row>
    <row r="1001">
      <c r="G1001" s="81"/>
      <c r="H1001" s="81"/>
    </row>
    <row r="1002">
      <c r="G1002" s="81"/>
      <c r="H1002" s="81"/>
    </row>
  </sheetData>
  <conditionalFormatting sqref="A11:A12 A14 A16:A17 A20">
    <cfRule type="expression" dxfId="0" priority="1">
      <formula>COUNTIF(A:A, A11) &gt; 1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" t="s">
        <v>322</v>
      </c>
      <c r="B1" s="18" t="s">
        <v>28</v>
      </c>
      <c r="C1" s="18" t="s">
        <v>30</v>
      </c>
      <c r="D1" s="89" t="s">
        <v>323</v>
      </c>
      <c r="E1" s="89" t="s">
        <v>37</v>
      </c>
    </row>
    <row r="2">
      <c r="A2" s="11" t="s">
        <v>324</v>
      </c>
      <c r="B2" s="18" t="s">
        <v>325</v>
      </c>
      <c r="C2" s="18">
        <v>1.0</v>
      </c>
      <c r="D2" s="90">
        <f>VLOOKUP(A2,Main!A:X,21,0)</f>
        <v>80000</v>
      </c>
      <c r="F2" s="91" t="str">
        <f>VLOOKUP(A2,'Positional cal'!A:A,1,0)</f>
        <v>22196536</v>
      </c>
    </row>
    <row r="3">
      <c r="A3" s="11" t="s">
        <v>326</v>
      </c>
      <c r="B3" s="18" t="s">
        <v>327</v>
      </c>
      <c r="C3" s="18">
        <v>1.0</v>
      </c>
      <c r="D3" s="90">
        <f>VLOOKUP(A3,Main!A:X,21,0)</f>
        <v>160000</v>
      </c>
      <c r="F3" s="91" t="str">
        <f>VLOOKUP(A3,'Positional cal'!A:A,1,0)</f>
        <v>54046262</v>
      </c>
    </row>
    <row r="4">
      <c r="A4" s="11" t="s">
        <v>328</v>
      </c>
      <c r="B4" s="18" t="s">
        <v>329</v>
      </c>
      <c r="C4" s="18">
        <v>1.0</v>
      </c>
      <c r="D4" s="90">
        <f>VLOOKUP(A4,Main!A:X,21,0)</f>
        <v>100000</v>
      </c>
      <c r="F4" s="92" t="str">
        <f>VLOOKUP(A4,'Positional cal'!A:A,1,0)</f>
        <v>#N/A</v>
      </c>
    </row>
    <row r="5">
      <c r="A5" s="11" t="s">
        <v>332</v>
      </c>
      <c r="B5" s="18" t="s">
        <v>83</v>
      </c>
      <c r="C5" s="18">
        <v>7.0</v>
      </c>
      <c r="D5" s="90">
        <f>VLOOKUP(A5,Main!A:X,21,0)</f>
        <v>2200000000</v>
      </c>
      <c r="F5" s="92" t="str">
        <f>VLOOKUP(A5,'Positional cal'!A:A,1,0)</f>
        <v>#N/A</v>
      </c>
    </row>
    <row r="6">
      <c r="A6" s="11" t="s">
        <v>333</v>
      </c>
      <c r="B6" s="18" t="s">
        <v>25</v>
      </c>
      <c r="C6" s="18">
        <v>15.0</v>
      </c>
      <c r="D6" s="90">
        <f>VLOOKUP(A6,Main!A:X,21,0)</f>
        <v>120000</v>
      </c>
      <c r="F6" s="92" t="str">
        <f>VLOOKUP(A6,'Positional cal'!A:A,1,0)</f>
        <v>#N/A</v>
      </c>
    </row>
    <row r="7">
      <c r="A7" s="11" t="s">
        <v>334</v>
      </c>
      <c r="B7" s="18" t="s">
        <v>325</v>
      </c>
      <c r="C7" s="18">
        <v>1.0</v>
      </c>
      <c r="D7" s="90">
        <f>VLOOKUP(A7,Main!A:X,21,0)</f>
        <v>80000</v>
      </c>
      <c r="F7" s="91" t="str">
        <f>VLOOKUP(A7,'Positional cal'!A:A,1,0)</f>
        <v>40023384</v>
      </c>
    </row>
    <row r="8">
      <c r="A8" s="11" t="s">
        <v>335</v>
      </c>
      <c r="B8" s="18" t="s">
        <v>327</v>
      </c>
      <c r="C8" s="18">
        <v>1.0</v>
      </c>
      <c r="D8" s="90">
        <f>VLOOKUP(A8,Main!A:X,21,0)</f>
        <v>140000</v>
      </c>
      <c r="F8" s="91" t="str">
        <f>VLOOKUP(A8,'Positional cal'!A:A,1,0)</f>
        <v>75962003</v>
      </c>
    </row>
    <row r="9">
      <c r="A9" s="11" t="s">
        <v>336</v>
      </c>
      <c r="B9" s="18" t="s">
        <v>218</v>
      </c>
      <c r="C9" s="18">
        <v>1.0</v>
      </c>
      <c r="D9" s="90">
        <f>VLOOKUP(A9,Main!A:X,21,0)</f>
        <v>144000</v>
      </c>
      <c r="F9" s="92" t="str">
        <f>VLOOKUP(A9,'Positional cal'!A:A,1,0)</f>
        <v>#N/A</v>
      </c>
    </row>
    <row r="10">
      <c r="A10" s="11" t="s">
        <v>337</v>
      </c>
      <c r="B10" s="18" t="s">
        <v>338</v>
      </c>
      <c r="C10" s="18">
        <v>1.0</v>
      </c>
      <c r="D10" s="90">
        <f>VLOOKUP(A10,Main!A:X,21,0)</f>
        <v>60000</v>
      </c>
      <c r="F10" s="92" t="str">
        <f>VLOOKUP(A10,'Positional cal'!A:A,1,0)</f>
        <v>#N/A</v>
      </c>
    </row>
    <row r="11">
      <c r="A11" s="11" t="s">
        <v>339</v>
      </c>
      <c r="B11" s="18" t="s">
        <v>340</v>
      </c>
      <c r="C11" s="18">
        <v>1.0</v>
      </c>
      <c r="D11" s="90">
        <f>VLOOKUP(A11,Main!A:X,21,0)</f>
        <v>60000</v>
      </c>
      <c r="F11" s="92" t="str">
        <f>VLOOKUP(A11,'Positional cal'!A:A,1,0)</f>
        <v>#N/A</v>
      </c>
    </row>
    <row r="12">
      <c r="A12" s="11" t="s">
        <v>341</v>
      </c>
      <c r="B12" s="18" t="s">
        <v>140</v>
      </c>
      <c r="C12" s="18">
        <v>1.0</v>
      </c>
      <c r="D12" s="90">
        <f>VLOOKUP(A12,Main!A:X,21,0)</f>
        <v>128000</v>
      </c>
      <c r="F12" s="92" t="str">
        <f>VLOOKUP(A12,'Positional cal'!A:A,1,0)</f>
        <v>#N/A</v>
      </c>
    </row>
    <row r="13">
      <c r="A13" s="11" t="s">
        <v>342</v>
      </c>
      <c r="B13" s="18" t="s">
        <v>83</v>
      </c>
      <c r="C13" s="18">
        <v>7.0</v>
      </c>
      <c r="D13" s="90">
        <f>VLOOKUP(A13,Main!A:X,21,0)</f>
        <v>208000</v>
      </c>
      <c r="F13" s="92" t="str">
        <f>VLOOKUP(A13,'Positional cal'!A:A,1,0)</f>
        <v>#N/A</v>
      </c>
    </row>
    <row r="14">
      <c r="A14" s="11" t="s">
        <v>343</v>
      </c>
      <c r="B14" s="18" t="s">
        <v>249</v>
      </c>
      <c r="C14" s="18">
        <v>1.0</v>
      </c>
      <c r="D14" s="90">
        <f>VLOOKUP(A14,Main!A:X,21,0)</f>
        <v>100000</v>
      </c>
      <c r="F14" s="92" t="str">
        <f>VLOOKUP(A14,'Positional cal'!A:A,1,0)</f>
        <v>#N/A</v>
      </c>
    </row>
    <row r="15">
      <c r="A15" s="11" t="s">
        <v>344</v>
      </c>
      <c r="B15" s="18" t="s">
        <v>325</v>
      </c>
      <c r="C15" s="18">
        <v>1.0</v>
      </c>
      <c r="D15" s="90">
        <f>VLOOKUP(A15,Main!A:X,21,0)</f>
        <v>60000</v>
      </c>
      <c r="F15" s="91" t="str">
        <f>VLOOKUP(A15,'Positional cal'!A:A,1,0)</f>
        <v>74962685</v>
      </c>
    </row>
    <row r="16">
      <c r="A16" s="11" t="s">
        <v>345</v>
      </c>
      <c r="B16" s="18" t="s">
        <v>327</v>
      </c>
      <c r="C16" s="18">
        <v>1.0</v>
      </c>
      <c r="D16" s="90">
        <f>VLOOKUP(A16,Main!A:X,21,0)</f>
        <v>80000</v>
      </c>
      <c r="F16" s="92" t="str">
        <f>VLOOKUP(A16,'Positional cal'!A:A,1,0)</f>
        <v>#N/A</v>
      </c>
    </row>
    <row r="17">
      <c r="A17" s="11" t="s">
        <v>95</v>
      </c>
      <c r="B17" s="18" t="s">
        <v>113</v>
      </c>
      <c r="C17" s="18">
        <v>7.0</v>
      </c>
      <c r="D17" s="90">
        <f>VLOOKUP(A17,Main!A:X,21,0)</f>
        <v>128000</v>
      </c>
      <c r="F17" s="91" t="str">
        <f>VLOOKUP(A17,'Positional cal'!A:A,1,0)</f>
        <v>BHADADAG</v>
      </c>
    </row>
    <row r="18">
      <c r="A18" s="11" t="s">
        <v>349</v>
      </c>
      <c r="B18" s="18" t="s">
        <v>83</v>
      </c>
      <c r="C18" s="18">
        <v>7.0</v>
      </c>
      <c r="D18" s="90">
        <f>VLOOKUP(A18,Main!A:X,21,0)</f>
        <v>140000</v>
      </c>
      <c r="F18" s="92" t="str">
        <f>VLOOKUP(A18,'Positional cal'!A:A,1,0)</f>
        <v>#N/A</v>
      </c>
    </row>
    <row r="19">
      <c r="A19" s="11" t="s">
        <v>350</v>
      </c>
      <c r="B19" s="18" t="s">
        <v>329</v>
      </c>
      <c r="C19" s="18">
        <v>1.0</v>
      </c>
      <c r="D19" s="90">
        <f>VLOOKUP(A19,Main!A:X,21,0)</f>
        <v>80000</v>
      </c>
      <c r="F19" s="92" t="str">
        <f>VLOOKUP(A19,'Positional cal'!A:A,1,0)</f>
        <v>#N/A</v>
      </c>
    </row>
    <row r="20">
      <c r="A20" s="11" t="s">
        <v>351</v>
      </c>
      <c r="B20" s="18" t="s">
        <v>25</v>
      </c>
      <c r="C20" s="18">
        <v>15.0</v>
      </c>
      <c r="D20" s="90">
        <f>VLOOKUP(A20,Main!A:X,21,0)</f>
        <v>154000</v>
      </c>
      <c r="F20" s="92" t="str">
        <f>VLOOKUP(A20,'Positional cal'!A:A,1,0)</f>
        <v>#N/A</v>
      </c>
    </row>
    <row r="21">
      <c r="A21" s="11" t="s">
        <v>352</v>
      </c>
      <c r="B21" s="18" t="s">
        <v>140</v>
      </c>
      <c r="C21" s="18">
        <v>1.0</v>
      </c>
      <c r="D21" s="90">
        <f>VLOOKUP(A21,Main!A:X,21,0)</f>
        <v>120000</v>
      </c>
      <c r="F21" s="92" t="str">
        <f>VLOOKUP(A21,'Positional cal'!A:A,1,0)</f>
        <v>#N/A</v>
      </c>
    </row>
    <row r="22">
      <c r="A22" s="11" t="s">
        <v>353</v>
      </c>
      <c r="B22" s="18" t="s">
        <v>249</v>
      </c>
      <c r="C22" s="18">
        <v>1.0</v>
      </c>
      <c r="D22" s="90">
        <f>VLOOKUP(A22,Main!A:X,21,0)</f>
        <v>120000</v>
      </c>
      <c r="F22" s="92" t="str">
        <f>VLOOKUP(A22,'Positional cal'!A:A,1,0)</f>
        <v>#N/A</v>
      </c>
    </row>
    <row r="23">
      <c r="A23" s="11" t="s">
        <v>354</v>
      </c>
      <c r="B23" s="18" t="s">
        <v>218</v>
      </c>
      <c r="C23" s="18">
        <v>1.0</v>
      </c>
      <c r="D23" s="90">
        <f>VLOOKUP(A23,Main!A:X,21,0)</f>
        <v>154000</v>
      </c>
      <c r="F23" s="92" t="str">
        <f>VLOOKUP(A23,'Positional cal'!A:A,1,0)</f>
        <v>#N/A</v>
      </c>
    </row>
    <row r="24">
      <c r="A24" s="11" t="s">
        <v>355</v>
      </c>
      <c r="B24" s="18" t="s">
        <v>338</v>
      </c>
      <c r="C24" s="18">
        <v>1.0</v>
      </c>
      <c r="D24" s="90">
        <f>VLOOKUP(A24,Main!A:X,21,0)</f>
        <v>80000</v>
      </c>
      <c r="F24" s="92" t="str">
        <f>VLOOKUP(A24,'Positional cal'!A:A,1,0)</f>
        <v>#N/A</v>
      </c>
    </row>
    <row r="25">
      <c r="A25" s="11" t="s">
        <v>356</v>
      </c>
      <c r="B25" s="18" t="s">
        <v>338</v>
      </c>
      <c r="C25" s="18">
        <v>1.0</v>
      </c>
      <c r="D25" s="90">
        <f>VLOOKUP(A25,Main!A:X,21,0)</f>
        <v>120000</v>
      </c>
      <c r="F25" s="92" t="str">
        <f>VLOOKUP(A25,'Positional cal'!A:A,1,0)</f>
        <v>#N/A</v>
      </c>
    </row>
    <row r="26">
      <c r="A26" s="11" t="s">
        <v>357</v>
      </c>
      <c r="B26" s="18" t="s">
        <v>329</v>
      </c>
      <c r="C26" s="18">
        <v>1.0</v>
      </c>
      <c r="D26" s="90">
        <f>VLOOKUP(A26,Main!A:X,21,0)</f>
        <v>160000</v>
      </c>
      <c r="F26" s="92" t="str">
        <f>VLOOKUP(A26,'Positional cal'!A:A,1,0)</f>
        <v>#N/A</v>
      </c>
    </row>
    <row r="27">
      <c r="A27" s="11" t="s">
        <v>360</v>
      </c>
      <c r="B27" s="18" t="s">
        <v>83</v>
      </c>
      <c r="C27" s="18">
        <v>7.0</v>
      </c>
      <c r="D27" s="90">
        <f>VLOOKUP(A27,Main!A:X,21,0)</f>
        <v>112000</v>
      </c>
      <c r="F27" s="92" t="str">
        <f>VLOOKUP(A27,'Positional cal'!A:A,1,0)</f>
        <v>#N/A</v>
      </c>
    </row>
    <row r="28">
      <c r="A28" s="11" t="s">
        <v>361</v>
      </c>
      <c r="B28" s="18" t="s">
        <v>113</v>
      </c>
      <c r="C28" s="18">
        <v>7.0</v>
      </c>
      <c r="D28" s="90">
        <f>VLOOKUP(A28,Main!A:X,21,0)</f>
        <v>144000</v>
      </c>
      <c r="F28" s="91" t="str">
        <f>VLOOKUP(A28,'Positional cal'!A:A,1,0)</f>
        <v>HUFPUGAL</v>
      </c>
    </row>
    <row r="29">
      <c r="A29" s="11" t="s">
        <v>362</v>
      </c>
      <c r="B29" s="18" t="s">
        <v>25</v>
      </c>
      <c r="C29" s="18">
        <v>15.0</v>
      </c>
      <c r="D29" s="90">
        <f>VLOOKUP(A29,Main!A:X,21,0)</f>
        <v>120000</v>
      </c>
      <c r="F29" s="92" t="str">
        <f>VLOOKUP(A29,'Positional cal'!A:A,1,0)</f>
        <v>#N/A</v>
      </c>
    </row>
    <row r="30">
      <c r="A30" s="11" t="s">
        <v>363</v>
      </c>
      <c r="B30" s="18" t="s">
        <v>249</v>
      </c>
      <c r="C30" s="18">
        <v>1.0</v>
      </c>
      <c r="D30" s="90">
        <f>VLOOKUP(A30,Main!A:X,21,0)</f>
        <v>80000</v>
      </c>
      <c r="F30" s="92" t="str">
        <f>VLOOKUP(A30,'Positional cal'!A:A,1,0)</f>
        <v>#N/A</v>
      </c>
    </row>
    <row r="31">
      <c r="A31" s="11" t="s">
        <v>364</v>
      </c>
      <c r="B31" s="18" t="s">
        <v>340</v>
      </c>
      <c r="C31" s="18">
        <v>1.0</v>
      </c>
      <c r="D31" s="90">
        <f>VLOOKUP(A31,Main!A:X,21,0)</f>
        <v>60000</v>
      </c>
      <c r="F31" s="92" t="str">
        <f>VLOOKUP(A31,'Positional cal'!A:A,1,0)</f>
        <v>#N/A</v>
      </c>
    </row>
    <row r="32">
      <c r="A32" s="11" t="s">
        <v>222</v>
      </c>
      <c r="B32" s="18" t="s">
        <v>327</v>
      </c>
      <c r="C32" s="18">
        <v>1.0</v>
      </c>
      <c r="D32" s="90">
        <f>VLOOKUP(A32,Main!A:X,21,0)</f>
        <v>120000</v>
      </c>
      <c r="F32" s="91" t="str">
        <f>VLOOKUP(A32,'Positional cal'!A:A,1,0)</f>
        <v>SPAN0050</v>
      </c>
    </row>
    <row r="33">
      <c r="A33" s="11" t="s">
        <v>365</v>
      </c>
      <c r="B33" s="18" t="s">
        <v>92</v>
      </c>
      <c r="C33" s="18">
        <v>7.0</v>
      </c>
      <c r="D33" s="90">
        <f>VLOOKUP(A33,Main!A:X,21,0)</f>
        <v>144000</v>
      </c>
      <c r="F33" s="92" t="str">
        <f>VLOOKUP(A33,'Positional cal'!A:A,1,0)</f>
        <v>#N/A</v>
      </c>
    </row>
    <row r="34">
      <c r="A34" s="11" t="s">
        <v>367</v>
      </c>
      <c r="B34" s="18" t="s">
        <v>140</v>
      </c>
      <c r="C34" s="18">
        <v>1.0</v>
      </c>
      <c r="D34" s="90">
        <f>VLOOKUP(A34,Main!A:X,21,0)</f>
        <v>60000</v>
      </c>
      <c r="F34" s="92" t="str">
        <f>VLOOKUP(A34,'Positional cal'!A:A,1,0)</f>
        <v>#N/A</v>
      </c>
    </row>
    <row r="35">
      <c r="A35" s="11" t="s">
        <v>368</v>
      </c>
      <c r="B35" s="18" t="s">
        <v>249</v>
      </c>
      <c r="C35" s="18">
        <v>1.0</v>
      </c>
      <c r="D35" s="90" t="str">
        <f>VLOOKUP(A35,Main!A:X,21,0)</f>
        <v/>
      </c>
      <c r="F35" s="92" t="str">
        <f>VLOOKUP(A35,'Positional cal'!A:A,1,0)</f>
        <v>#N/A</v>
      </c>
    </row>
    <row r="36">
      <c r="A36" s="11" t="s">
        <v>369</v>
      </c>
      <c r="B36" s="18" t="s">
        <v>338</v>
      </c>
      <c r="C36" s="18">
        <v>1.0</v>
      </c>
      <c r="D36" s="90">
        <f>VLOOKUP(A36,Main!A:X,21,0)</f>
        <v>80000</v>
      </c>
      <c r="F36" s="92" t="str">
        <f>VLOOKUP(A36,'Positional cal'!A:A,1,0)</f>
        <v>#N/A</v>
      </c>
    </row>
    <row r="37">
      <c r="A37" s="11" t="s">
        <v>274</v>
      </c>
      <c r="B37" s="18" t="s">
        <v>327</v>
      </c>
      <c r="C37" s="18">
        <v>1.0</v>
      </c>
      <c r="D37" s="90">
        <f>VLOOKUP(A37,Main!A:X,21,0)</f>
        <v>140000</v>
      </c>
      <c r="F37" s="91" t="str">
        <f>VLOOKUP(A37,'Positional cal'!A:A,1,0)</f>
        <v>MMILIND7</v>
      </c>
    </row>
    <row r="38">
      <c r="A38" s="11" t="s">
        <v>370</v>
      </c>
      <c r="B38" s="18" t="s">
        <v>329</v>
      </c>
      <c r="C38" s="18">
        <v>1.0</v>
      </c>
      <c r="D38" s="90">
        <f>VLOOKUP(A38,Main!A:X,21,0)</f>
        <v>80000</v>
      </c>
      <c r="F38" s="92" t="str">
        <f>VLOOKUP(A38,'Positional cal'!A:A,1,0)</f>
        <v>#N/A</v>
      </c>
    </row>
    <row r="39">
      <c r="A39" s="11" t="s">
        <v>371</v>
      </c>
      <c r="B39" s="18" t="s">
        <v>25</v>
      </c>
      <c r="C39" s="18">
        <v>15.0</v>
      </c>
      <c r="D39" s="90">
        <f>VLOOKUP(A39,Main!A:X,21,0)</f>
        <v>200000</v>
      </c>
      <c r="F39" s="92" t="str">
        <f>VLOOKUP(A39,'Positional cal'!A:A,1,0)</f>
        <v>#N/A</v>
      </c>
    </row>
    <row r="40">
      <c r="A40" s="11" t="s">
        <v>373</v>
      </c>
      <c r="B40" s="18" t="s">
        <v>83</v>
      </c>
      <c r="C40" s="18">
        <v>7.0</v>
      </c>
      <c r="D40" s="90">
        <f>VLOOKUP(A40,Main!A:X,21,0)</f>
        <v>180000</v>
      </c>
      <c r="F40" s="92" t="str">
        <f>VLOOKUP(A40,'Positional cal'!A:A,1,0)</f>
        <v>#N/A</v>
      </c>
    </row>
    <row r="41">
      <c r="A41" s="11" t="s">
        <v>375</v>
      </c>
      <c r="B41" s="18" t="s">
        <v>113</v>
      </c>
      <c r="C41" s="18">
        <v>7.0</v>
      </c>
      <c r="D41" s="90">
        <f>VLOOKUP(A41,Main!A:X,21,0)</f>
        <v>2200000000</v>
      </c>
      <c r="F41" s="92" t="str">
        <f>VLOOKUP(A41,'Positional cal'!A:A,1,0)</f>
        <v>#N/A</v>
      </c>
    </row>
    <row r="42">
      <c r="A42" s="11" t="s">
        <v>377</v>
      </c>
      <c r="B42" s="18" t="s">
        <v>325</v>
      </c>
      <c r="C42" s="18">
        <v>1.0</v>
      </c>
      <c r="D42" s="90">
        <f>VLOOKUP(A42,Main!A:X,21,0)</f>
        <v>100000</v>
      </c>
      <c r="F42" s="91" t="str">
        <f>VLOOKUP(A42,'Positional cal'!A:A,1,0)</f>
        <v>30368271</v>
      </c>
    </row>
    <row r="43">
      <c r="A43" s="11" t="s">
        <v>378</v>
      </c>
      <c r="B43" s="18" t="s">
        <v>218</v>
      </c>
      <c r="C43" s="18">
        <v>1.0</v>
      </c>
      <c r="D43" s="90">
        <f>VLOOKUP(A43,Main!A:X,21,0)</f>
        <v>80000</v>
      </c>
      <c r="F43" s="92" t="str">
        <f>VLOOKUP(A43,'Positional cal'!A:A,1,0)</f>
        <v>#N/A</v>
      </c>
    </row>
    <row r="44">
      <c r="A44" s="11" t="s">
        <v>103</v>
      </c>
      <c r="B44" s="18" t="s">
        <v>25</v>
      </c>
      <c r="C44" s="18">
        <v>15.0</v>
      </c>
      <c r="D44" s="90">
        <f>VLOOKUP(A44,Main!A:X,21,0)</f>
        <v>120000</v>
      </c>
      <c r="F44" s="91" t="str">
        <f>VLOOKUP(A44,'Positional cal'!A:A,1,0)</f>
        <v>BHADADAR</v>
      </c>
    </row>
    <row r="45">
      <c r="A45" s="11" t="s">
        <v>379</v>
      </c>
      <c r="B45" s="18" t="s">
        <v>338</v>
      </c>
      <c r="C45" s="18">
        <v>1.0</v>
      </c>
      <c r="D45" s="90">
        <f>VLOOKUP(A45,Main!A:X,21,0)</f>
        <v>80000</v>
      </c>
      <c r="F45" s="92" t="str">
        <f>VLOOKUP(A45,'Positional cal'!A:A,1,0)</f>
        <v>#N/A</v>
      </c>
    </row>
    <row r="46">
      <c r="A46" s="11" t="s">
        <v>380</v>
      </c>
      <c r="B46" s="18" t="s">
        <v>113</v>
      </c>
      <c r="C46" s="18">
        <v>7.0</v>
      </c>
      <c r="D46" s="90">
        <f>VLOOKUP(A46,Main!A:X,21,0)</f>
        <v>64000</v>
      </c>
      <c r="F46" s="91" t="str">
        <f>VLOOKUP(A46,'Positional cal'!A:A,1,0)</f>
        <v>MAKANSHA</v>
      </c>
    </row>
    <row r="47">
      <c r="A47" s="11" t="s">
        <v>282</v>
      </c>
      <c r="B47" s="18" t="s">
        <v>327</v>
      </c>
      <c r="C47" s="18">
        <v>1.0</v>
      </c>
      <c r="D47" s="90">
        <f>VLOOKUP(A47,Main!A:X,21,0)</f>
        <v>120000</v>
      </c>
      <c r="F47" s="91" t="str">
        <f>VLOOKUP(A47,'Positional cal'!A:A,1,0)</f>
        <v>MAMIT782</v>
      </c>
    </row>
    <row r="48">
      <c r="A48" s="11" t="s">
        <v>381</v>
      </c>
      <c r="B48" s="18" t="s">
        <v>83</v>
      </c>
      <c r="C48" s="18">
        <v>7.0</v>
      </c>
      <c r="D48" s="90">
        <f>VLOOKUP(A48,Main!A:X,21,0)</f>
        <v>140000</v>
      </c>
      <c r="F48" s="92" t="str">
        <f>VLOOKUP(A48,'Positional cal'!A:A,1,0)</f>
        <v>#N/A</v>
      </c>
    </row>
    <row r="49">
      <c r="A49" s="11" t="s">
        <v>382</v>
      </c>
      <c r="B49" s="18" t="s">
        <v>329</v>
      </c>
      <c r="C49" s="18">
        <v>1.0</v>
      </c>
      <c r="D49" s="90">
        <f>VLOOKUP(A49,Main!A:X,21,0)</f>
        <v>112000</v>
      </c>
      <c r="F49" s="92" t="str">
        <f>VLOOKUP(A49,'Positional cal'!A:A,1,0)</f>
        <v>#N/A</v>
      </c>
    </row>
    <row r="50">
      <c r="A50" s="11" t="s">
        <v>383</v>
      </c>
      <c r="B50" s="18" t="s">
        <v>249</v>
      </c>
      <c r="C50" s="18">
        <v>1.0</v>
      </c>
      <c r="D50" s="90">
        <f>VLOOKUP(A50,Main!A:X,21,0)</f>
        <v>100000</v>
      </c>
      <c r="F50" s="92" t="str">
        <f>VLOOKUP(A50,'Positional cal'!A:A,1,0)</f>
        <v>#N/A</v>
      </c>
    </row>
    <row r="51">
      <c r="A51" s="11" t="s">
        <v>386</v>
      </c>
      <c r="B51" s="18" t="s">
        <v>140</v>
      </c>
      <c r="C51" s="18">
        <v>1.0</v>
      </c>
      <c r="D51" s="90">
        <f>VLOOKUP(A51,Main!A:X,21,0)</f>
        <v>60000</v>
      </c>
      <c r="F51" s="92" t="str">
        <f>VLOOKUP(A51,'Positional cal'!A:A,1,0)</f>
        <v>#N/A</v>
      </c>
    </row>
    <row r="52">
      <c r="A52" s="11" t="s">
        <v>387</v>
      </c>
      <c r="B52" s="18" t="s">
        <v>92</v>
      </c>
      <c r="C52" s="18">
        <v>7.0</v>
      </c>
      <c r="D52" s="90">
        <f>VLOOKUP(A52,Main!A:X,21,0)</f>
        <v>80000</v>
      </c>
      <c r="F52" s="92" t="str">
        <f>VLOOKUP(A52,'Positional cal'!A:A,1,0)</f>
        <v>#N/A</v>
      </c>
    </row>
    <row r="53">
      <c r="A53" s="11" t="s">
        <v>388</v>
      </c>
      <c r="B53" s="18" t="s">
        <v>340</v>
      </c>
      <c r="C53" s="18">
        <v>1.0</v>
      </c>
      <c r="D53" s="90">
        <f>VLOOKUP(A53,Main!A:X,21,0)</f>
        <v>120000</v>
      </c>
      <c r="F53" s="92" t="str">
        <f>VLOOKUP(A53,'Positional cal'!A:A,1,0)</f>
        <v>#N/A</v>
      </c>
    </row>
    <row r="54">
      <c r="A54" s="11" t="s">
        <v>389</v>
      </c>
      <c r="B54" s="18" t="s">
        <v>218</v>
      </c>
      <c r="C54" s="18">
        <v>1.0</v>
      </c>
      <c r="D54" s="90">
        <f>VLOOKUP(A54,Main!A:X,21,0)</f>
        <v>96000</v>
      </c>
      <c r="F54" s="92" t="str">
        <f>VLOOKUP(A54,'Positional cal'!A:A,1,0)</f>
        <v>#N/A</v>
      </c>
    </row>
    <row r="55">
      <c r="A55" s="11" t="s">
        <v>314</v>
      </c>
      <c r="B55" s="18" t="s">
        <v>327</v>
      </c>
      <c r="C55" s="18">
        <v>1.0</v>
      </c>
      <c r="D55" s="90">
        <f>VLOOKUP(A55,Main!A:X,21,0)</f>
        <v>120000</v>
      </c>
      <c r="F55" s="91" t="str">
        <f>VLOOKUP(A55,'Positional cal'!A:A,1,0)</f>
        <v>AMITHUFB</v>
      </c>
    </row>
    <row r="56">
      <c r="A56" s="11" t="s">
        <v>390</v>
      </c>
      <c r="B56" s="18" t="s">
        <v>329</v>
      </c>
      <c r="C56" s="18">
        <v>1.0</v>
      </c>
      <c r="D56" s="90">
        <f>VLOOKUP(A56,Main!A:X,21,0)</f>
        <v>220000</v>
      </c>
      <c r="F56" s="92" t="str">
        <f>VLOOKUP(A56,'Positional cal'!A:A,1,0)</f>
        <v>#N/A</v>
      </c>
    </row>
    <row r="57">
      <c r="A57" s="11" t="s">
        <v>391</v>
      </c>
      <c r="B57" s="18" t="s">
        <v>113</v>
      </c>
      <c r="C57" s="18">
        <v>7.0</v>
      </c>
      <c r="D57" s="90">
        <f>VLOOKUP(A57,Main!A:X,21,0)</f>
        <v>64000</v>
      </c>
      <c r="F57" s="91" t="str">
        <f>VLOOKUP(A57,'Positional cal'!A:A,1,0)</f>
        <v>DHIRAJYS</v>
      </c>
    </row>
    <row r="58">
      <c r="A58" s="11" t="s">
        <v>392</v>
      </c>
      <c r="B58" s="18" t="s">
        <v>140</v>
      </c>
      <c r="C58" s="18">
        <v>1.0</v>
      </c>
      <c r="D58" s="90">
        <f>VLOOKUP(A58,Main!A:X,21,0)</f>
        <v>120000</v>
      </c>
      <c r="F58" s="92" t="str">
        <f>VLOOKUP(A58,'Positional cal'!A:A,1,0)</f>
        <v>#N/A</v>
      </c>
    </row>
    <row r="59">
      <c r="A59" s="11" t="s">
        <v>393</v>
      </c>
      <c r="B59" s="18" t="s">
        <v>338</v>
      </c>
      <c r="C59" s="18">
        <v>1.0</v>
      </c>
      <c r="D59" s="90">
        <f>VLOOKUP(A59,Main!A:X,21,0)</f>
        <v>140000</v>
      </c>
      <c r="F59" s="92" t="str">
        <f>VLOOKUP(A59,'Positional cal'!A:A,1,0)</f>
        <v>#N/A</v>
      </c>
    </row>
    <row r="60">
      <c r="A60" s="11" t="s">
        <v>394</v>
      </c>
      <c r="B60" s="18" t="s">
        <v>249</v>
      </c>
      <c r="C60" s="18">
        <v>1.0</v>
      </c>
      <c r="D60" s="90">
        <f>VLOOKUP(A60,Main!A:X,21,0)</f>
        <v>60000</v>
      </c>
      <c r="F60" s="92" t="str">
        <f>VLOOKUP(A60,'Positional cal'!A:A,1,0)</f>
        <v>#N/A</v>
      </c>
    </row>
    <row r="61">
      <c r="A61" s="11" t="s">
        <v>397</v>
      </c>
      <c r="B61" s="18" t="s">
        <v>25</v>
      </c>
      <c r="C61" s="18">
        <v>15.0</v>
      </c>
      <c r="D61" s="90">
        <f>VLOOKUP(A61,Main!A:X,21,0)</f>
        <v>200000</v>
      </c>
      <c r="F61" s="92" t="str">
        <f>VLOOKUP(A61,'Positional cal'!A:A,1,0)</f>
        <v>#N/A</v>
      </c>
    </row>
    <row r="62">
      <c r="A62" s="11" t="s">
        <v>398</v>
      </c>
      <c r="B62" s="18" t="s">
        <v>83</v>
      </c>
      <c r="C62" s="18">
        <v>7.0</v>
      </c>
      <c r="D62" s="90">
        <f>VLOOKUP(A62,Main!A:X,21,0)</f>
        <v>144000</v>
      </c>
      <c r="F62" s="92" t="str">
        <f>VLOOKUP(A62,'Positional cal'!A:A,1,0)</f>
        <v>#N/A</v>
      </c>
    </row>
    <row r="63">
      <c r="A63" s="11" t="s">
        <v>399</v>
      </c>
      <c r="B63" s="18" t="s">
        <v>113</v>
      </c>
      <c r="C63" s="18">
        <v>7.0</v>
      </c>
      <c r="D63" s="90">
        <f>VLOOKUP(A63,Main!A:X,21,0)</f>
        <v>96000</v>
      </c>
      <c r="F63" s="91" t="str">
        <f>VLOOKUP(A63,'Positional cal'!A:A,1,0)</f>
        <v>64785796</v>
      </c>
    </row>
    <row r="64">
      <c r="A64" s="11" t="s">
        <v>400</v>
      </c>
      <c r="B64" s="18" t="s">
        <v>325</v>
      </c>
      <c r="C64" s="18">
        <v>1.0</v>
      </c>
      <c r="D64" s="90">
        <f>VLOOKUP(A64,Main!A:X,21,0)</f>
        <v>60000</v>
      </c>
      <c r="F64" s="91" t="str">
        <f>VLOOKUP(A64,'Positional cal'!A:A,1,0)</f>
        <v>74727658</v>
      </c>
    </row>
    <row r="65">
      <c r="A65" s="11" t="s">
        <v>401</v>
      </c>
      <c r="B65" s="18" t="s">
        <v>218</v>
      </c>
      <c r="C65" s="18">
        <v>1.0</v>
      </c>
      <c r="D65" s="90">
        <f>VLOOKUP(A65,Main!A:X,21,0)</f>
        <v>60000</v>
      </c>
      <c r="F65" s="92" t="str">
        <f>VLOOKUP(A65,'Positional cal'!A:A,1,0)</f>
        <v>#N/A</v>
      </c>
    </row>
    <row r="66">
      <c r="A66" s="11" t="s">
        <v>402</v>
      </c>
      <c r="B66" s="18" t="s">
        <v>340</v>
      </c>
      <c r="C66" s="18">
        <v>1.0</v>
      </c>
      <c r="D66" s="90">
        <f>VLOOKUP(A66,Main!A:X,21,0)</f>
        <v>120000</v>
      </c>
      <c r="F66" s="92" t="str">
        <f>VLOOKUP(A66,'Positional cal'!A:A,1,0)</f>
        <v>#N/A</v>
      </c>
    </row>
    <row r="67">
      <c r="A67" s="11" t="s">
        <v>403</v>
      </c>
      <c r="B67" s="18" t="s">
        <v>25</v>
      </c>
      <c r="C67" s="18">
        <v>15.0</v>
      </c>
      <c r="D67" s="90">
        <f>VLOOKUP(A67,Main!A:X,21,0)</f>
        <v>120000</v>
      </c>
      <c r="F67" s="92" t="str">
        <f>VLOOKUP(A67,'Positional cal'!A:A,1,0)</f>
        <v>#N/A</v>
      </c>
    </row>
    <row r="68">
      <c r="A68" s="11" t="s">
        <v>404</v>
      </c>
      <c r="B68" s="18" t="s">
        <v>249</v>
      </c>
      <c r="C68" s="18">
        <v>1.0</v>
      </c>
      <c r="D68" s="90">
        <f>VLOOKUP(A68,Main!A:X,21,0)</f>
        <v>120000</v>
      </c>
      <c r="F68" s="92" t="str">
        <f>VLOOKUP(A68,'Positional cal'!A:A,1,0)</f>
        <v>#N/A</v>
      </c>
    </row>
    <row r="69">
      <c r="A69" s="11" t="s">
        <v>405</v>
      </c>
      <c r="B69" s="18" t="s">
        <v>329</v>
      </c>
      <c r="C69" s="18">
        <v>1.0</v>
      </c>
      <c r="D69" s="90">
        <f>VLOOKUP(A69,Main!A:X,21,0)</f>
        <v>60000</v>
      </c>
      <c r="F69" s="92" t="str">
        <f>VLOOKUP(A69,'Positional cal'!A:A,1,0)</f>
        <v>#N/A</v>
      </c>
    </row>
    <row r="70">
      <c r="A70" s="11" t="s">
        <v>406</v>
      </c>
      <c r="B70" s="18" t="s">
        <v>338</v>
      </c>
      <c r="C70" s="18">
        <v>1.0</v>
      </c>
      <c r="D70" s="90">
        <f>VLOOKUP(A70,Main!A:X,21,0)</f>
        <v>100000</v>
      </c>
      <c r="F70" s="92" t="str">
        <f>VLOOKUP(A70,'Positional cal'!A:A,1,0)</f>
        <v>#N/A</v>
      </c>
    </row>
    <row r="71">
      <c r="A71" s="11" t="s">
        <v>409</v>
      </c>
      <c r="B71" s="18" t="s">
        <v>140</v>
      </c>
      <c r="C71" s="18">
        <v>1.0</v>
      </c>
      <c r="D71" s="90">
        <f>VLOOKUP(A71,Main!A:X,21,0)</f>
        <v>140000</v>
      </c>
      <c r="F71" s="92" t="str">
        <f>VLOOKUP(A71,'Positional cal'!A:A,1,0)</f>
        <v>#N/A</v>
      </c>
    </row>
    <row r="72">
      <c r="A72" s="11" t="s">
        <v>410</v>
      </c>
      <c r="B72" s="18" t="s">
        <v>113</v>
      </c>
      <c r="C72" s="18">
        <v>7.0</v>
      </c>
      <c r="D72" s="90">
        <f>VLOOKUP(A72,Main!A:X,21,0)</f>
        <v>128000</v>
      </c>
      <c r="F72" s="91" t="str">
        <f>VLOOKUP(A72,'Positional cal'!A:A,1,0)</f>
        <v>57437129</v>
      </c>
    </row>
    <row r="73">
      <c r="A73" s="11" t="s">
        <v>411</v>
      </c>
      <c r="B73" s="18" t="s">
        <v>140</v>
      </c>
      <c r="C73" s="18">
        <v>1.0</v>
      </c>
      <c r="D73" s="90">
        <f>VLOOKUP(A73,Main!A:X,21,0)</f>
        <v>120000</v>
      </c>
      <c r="F73" s="92" t="str">
        <f>VLOOKUP(A73,'Positional cal'!A:A,1,0)</f>
        <v>#N/A</v>
      </c>
    </row>
    <row r="74">
      <c r="A74" s="11" t="s">
        <v>412</v>
      </c>
      <c r="B74" s="18" t="s">
        <v>413</v>
      </c>
      <c r="C74" s="18">
        <v>1.0</v>
      </c>
      <c r="D74" s="90">
        <f>VLOOKUP(A74,Main!A:X,21,0)</f>
        <v>60000</v>
      </c>
      <c r="F74" s="92" t="str">
        <f>VLOOKUP(A74,'Positional cal'!A:A,1,0)</f>
        <v>#N/A</v>
      </c>
    </row>
    <row r="75">
      <c r="A75" s="11" t="s">
        <v>414</v>
      </c>
      <c r="B75" s="18" t="s">
        <v>338</v>
      </c>
      <c r="C75" s="18">
        <v>1.0</v>
      </c>
      <c r="D75" s="90">
        <f>VLOOKUP(A75,Main!A:X,21,0)</f>
        <v>80000</v>
      </c>
      <c r="F75" s="92" t="str">
        <f>VLOOKUP(A75,'Positional cal'!A:A,1,0)</f>
        <v>#N/A</v>
      </c>
    </row>
    <row r="76">
      <c r="A76" s="11" t="s">
        <v>415</v>
      </c>
      <c r="B76" s="18" t="s">
        <v>249</v>
      </c>
      <c r="C76" s="18">
        <v>1.0</v>
      </c>
      <c r="D76" s="90">
        <f>VLOOKUP(A76,Main!A:X,21,0)</f>
        <v>120000</v>
      </c>
      <c r="F76" s="92" t="str">
        <f>VLOOKUP(A76,'Positional cal'!A:A,1,0)</f>
        <v>#N/A</v>
      </c>
    </row>
    <row r="77">
      <c r="A77" s="11" t="s">
        <v>416</v>
      </c>
      <c r="B77" s="18" t="s">
        <v>329</v>
      </c>
      <c r="C77" s="18">
        <v>1.0</v>
      </c>
      <c r="D77" s="90">
        <f>VLOOKUP(A77,Main!A:X,21,0)</f>
        <v>80000</v>
      </c>
      <c r="F77" s="92" t="str">
        <f>VLOOKUP(A77,'Positional cal'!A:A,1,0)</f>
        <v>#N/A</v>
      </c>
    </row>
    <row r="78">
      <c r="A78" s="11" t="s">
        <v>417</v>
      </c>
      <c r="B78" s="18" t="s">
        <v>340</v>
      </c>
      <c r="C78" s="18">
        <v>1.0</v>
      </c>
      <c r="D78" s="90">
        <f>VLOOKUP(A78,Main!A:X,21,0)</f>
        <v>80000</v>
      </c>
      <c r="F78" s="92" t="str">
        <f>VLOOKUP(A78,'Positional cal'!A:A,1,0)</f>
        <v>#N/A</v>
      </c>
    </row>
    <row r="79">
      <c r="A79" s="11" t="s">
        <v>418</v>
      </c>
      <c r="B79" s="18" t="s">
        <v>325</v>
      </c>
      <c r="C79" s="18">
        <v>1.0</v>
      </c>
      <c r="D79" s="90">
        <f>VLOOKUP(A79,Main!A:X,21,0)</f>
        <v>120000</v>
      </c>
      <c r="F79" s="91" t="str">
        <f>VLOOKUP(A79,'Positional cal'!A:A,1,0)</f>
        <v>46891412</v>
      </c>
    </row>
    <row r="80">
      <c r="A80" s="11" t="s">
        <v>175</v>
      </c>
      <c r="B80" s="18" t="s">
        <v>218</v>
      </c>
      <c r="C80" s="18">
        <v>1.0</v>
      </c>
      <c r="D80" s="90">
        <f>VLOOKUP(A80,Main!A:X,21,0)</f>
        <v>60000</v>
      </c>
      <c r="F80" s="92" t="str">
        <f>VLOOKUP(A80,'Positional cal'!A:A,1,0)</f>
        <v>#N/A</v>
      </c>
    </row>
    <row r="81">
      <c r="A81" s="11" t="s">
        <v>421</v>
      </c>
      <c r="B81" s="18" t="s">
        <v>83</v>
      </c>
      <c r="C81" s="18">
        <v>7.0</v>
      </c>
      <c r="D81" s="90">
        <f>VLOOKUP(A81,Main!A:X,21,0)</f>
        <v>80000</v>
      </c>
      <c r="F81" s="91" t="str">
        <f>VLOOKUP(A81,'Positional cal'!A:A,1,0)</f>
        <v>92348046</v>
      </c>
    </row>
    <row r="82">
      <c r="A82" s="11" t="s">
        <v>422</v>
      </c>
      <c r="B82" s="18" t="s">
        <v>327</v>
      </c>
      <c r="C82" s="18">
        <v>1.0</v>
      </c>
      <c r="D82" s="90">
        <f>VLOOKUP(A82,Main!A:X,21,0)</f>
        <v>80000</v>
      </c>
      <c r="F82" s="92" t="str">
        <f>VLOOKUP(A82,'Positional cal'!A:A,1,0)</f>
        <v>#N/A</v>
      </c>
    </row>
    <row r="83">
      <c r="A83" s="11" t="s">
        <v>423</v>
      </c>
      <c r="B83" s="18" t="s">
        <v>249</v>
      </c>
      <c r="C83" s="18">
        <v>1.0</v>
      </c>
      <c r="D83" s="90">
        <f>VLOOKUP(A83,Main!A:X,21,0)</f>
        <v>80000</v>
      </c>
      <c r="F83" s="92" t="str">
        <f>VLOOKUP(A83,'Positional cal'!A:A,1,0)</f>
        <v>#N/A</v>
      </c>
    </row>
    <row r="84">
      <c r="A84" s="11" t="s">
        <v>424</v>
      </c>
      <c r="B84" s="18" t="s">
        <v>75</v>
      </c>
      <c r="C84" s="18">
        <v>7.0</v>
      </c>
      <c r="D84" s="90">
        <f>VLOOKUP(A84,Main!A:X,21,0)</f>
        <v>176000</v>
      </c>
      <c r="F84" s="92" t="str">
        <f>VLOOKUP(A84,'Positional cal'!A:A,1,0)</f>
        <v>#N/A</v>
      </c>
    </row>
    <row r="85">
      <c r="A85" s="11" t="s">
        <v>425</v>
      </c>
      <c r="B85" s="18" t="s">
        <v>338</v>
      </c>
      <c r="C85" s="18">
        <v>1.0</v>
      </c>
      <c r="D85" s="90">
        <f>VLOOKUP(A85,Main!A:X,21,0)</f>
        <v>100000</v>
      </c>
      <c r="F85" s="92" t="str">
        <f>VLOOKUP(A85,'Positional cal'!A:A,1,0)</f>
        <v>#N/A</v>
      </c>
    </row>
    <row r="86">
      <c r="A86" s="11" t="s">
        <v>426</v>
      </c>
      <c r="B86" s="18" t="s">
        <v>140</v>
      </c>
      <c r="C86" s="18">
        <v>1.0</v>
      </c>
      <c r="D86" s="90">
        <f>VLOOKUP(A86,Main!A:X,21,0)</f>
        <v>60000</v>
      </c>
      <c r="F86" s="92" t="str">
        <f>VLOOKUP(A86,'Positional cal'!A:A,1,0)</f>
        <v>#N/A</v>
      </c>
    </row>
    <row r="87">
      <c r="A87" s="11" t="s">
        <v>427</v>
      </c>
      <c r="B87" s="18" t="s">
        <v>329</v>
      </c>
      <c r="C87" s="18">
        <v>1.0</v>
      </c>
      <c r="D87" s="90">
        <f>VLOOKUP(A87,Main!A:X,21,0)</f>
        <v>120000</v>
      </c>
      <c r="F87" s="92" t="str">
        <f>VLOOKUP(A87,'Positional cal'!A:A,1,0)</f>
        <v>#N/A</v>
      </c>
    </row>
    <row r="88">
      <c r="A88" s="11" t="s">
        <v>428</v>
      </c>
      <c r="B88" s="18" t="s">
        <v>113</v>
      </c>
      <c r="C88" s="18">
        <v>7.0</v>
      </c>
      <c r="D88" s="90">
        <f>VLOOKUP(A88,Main!A:X,21,0)</f>
        <v>112000</v>
      </c>
      <c r="F88" s="91" t="str">
        <f>VLOOKUP(A88,'Positional cal'!A:A,1,0)</f>
        <v>SHAMLAL4</v>
      </c>
    </row>
    <row r="89">
      <c r="A89" s="11" t="s">
        <v>429</v>
      </c>
      <c r="B89" s="18" t="s">
        <v>113</v>
      </c>
      <c r="C89" s="18">
        <v>7.0</v>
      </c>
      <c r="D89" s="90">
        <f>VLOOKUP(A89,Main!A:X,21,0)</f>
        <v>80000</v>
      </c>
      <c r="F89" s="91" t="str">
        <f>VLOOKUP(A89,'Positional cal'!A:A,1,0)</f>
        <v>24699329</v>
      </c>
    </row>
    <row r="90">
      <c r="A90" s="11" t="s">
        <v>430</v>
      </c>
      <c r="B90" s="18" t="s">
        <v>325</v>
      </c>
      <c r="C90" s="18">
        <v>1.0</v>
      </c>
      <c r="D90" s="90">
        <f>VLOOKUP(A90,Main!A:X,21,0)</f>
        <v>80000</v>
      </c>
      <c r="F90" s="91" t="str">
        <f>VLOOKUP(A90,'Positional cal'!A:A,1,0)</f>
        <v>55802167</v>
      </c>
    </row>
    <row r="91">
      <c r="A91" s="11" t="s">
        <v>433</v>
      </c>
      <c r="B91" s="18" t="s">
        <v>92</v>
      </c>
      <c r="C91" s="18">
        <v>7.0</v>
      </c>
      <c r="D91" s="90">
        <f>VLOOKUP(A91,Main!A:X,21,0)</f>
        <v>80000</v>
      </c>
      <c r="F91" s="92" t="str">
        <f>VLOOKUP(A91,'Positional cal'!A:A,1,0)</f>
        <v>#N/A</v>
      </c>
    </row>
    <row r="92">
      <c r="A92" s="11" t="s">
        <v>50</v>
      </c>
      <c r="B92" s="18" t="s">
        <v>83</v>
      </c>
      <c r="C92" s="18">
        <v>7.0</v>
      </c>
      <c r="D92" s="90">
        <f>VLOOKUP(A92,Main!A:X,21,0)</f>
        <v>336000</v>
      </c>
      <c r="F92" s="91" t="str">
        <f>VLOOKUP(A92,'Positional cal'!A:A,1,0)</f>
        <v>85533200</v>
      </c>
    </row>
    <row r="93">
      <c r="A93" s="11" t="s">
        <v>434</v>
      </c>
      <c r="B93" s="18" t="s">
        <v>340</v>
      </c>
      <c r="C93" s="18">
        <v>1.0</v>
      </c>
      <c r="D93" s="90">
        <f>VLOOKUP(A93,Main!A:X,21,0)</f>
        <v>60000</v>
      </c>
      <c r="F93" s="92" t="str">
        <f>VLOOKUP(A93,'Positional cal'!A:A,1,0)</f>
        <v>#N/A</v>
      </c>
    </row>
    <row r="94">
      <c r="A94" s="11" t="s">
        <v>289</v>
      </c>
      <c r="B94" s="18" t="s">
        <v>327</v>
      </c>
      <c r="C94" s="18">
        <v>1.0</v>
      </c>
      <c r="D94" s="90">
        <f>VLOOKUP(A94,Main!A:X,21,0)</f>
        <v>140000</v>
      </c>
      <c r="F94" s="91" t="str">
        <f>VLOOKUP(A94,'Positional cal'!A:A,1,0)</f>
        <v>KRISTA78</v>
      </c>
    </row>
    <row r="95">
      <c r="A95" s="11" t="s">
        <v>435</v>
      </c>
      <c r="B95" s="18" t="s">
        <v>75</v>
      </c>
      <c r="C95" s="18">
        <v>7.0</v>
      </c>
      <c r="D95" s="90">
        <f>VLOOKUP(A95,Main!A:X,21,0)</f>
        <v>144000</v>
      </c>
      <c r="F95" s="92" t="str">
        <f>VLOOKUP(A95,'Positional cal'!A:A,1,0)</f>
        <v>#N/A</v>
      </c>
    </row>
    <row r="96">
      <c r="A96" s="11" t="s">
        <v>436</v>
      </c>
      <c r="B96" s="18" t="s">
        <v>338</v>
      </c>
      <c r="C96" s="18">
        <v>1.0</v>
      </c>
      <c r="D96" s="90">
        <f>VLOOKUP(A96,Main!A:X,21,0)</f>
        <v>60000</v>
      </c>
      <c r="F96" s="92" t="str">
        <f>VLOOKUP(A96,'Positional cal'!A:A,1,0)</f>
        <v>#N/A</v>
      </c>
    </row>
    <row r="97">
      <c r="A97" s="11" t="s">
        <v>437</v>
      </c>
      <c r="B97" s="18" t="s">
        <v>140</v>
      </c>
      <c r="C97" s="18">
        <v>1.0</v>
      </c>
      <c r="D97" s="90">
        <f>VLOOKUP(A97,Main!A:X,21,0)</f>
        <v>100000</v>
      </c>
      <c r="F97" s="92" t="str">
        <f>VLOOKUP(A97,'Positional cal'!A:A,1,0)</f>
        <v>#N/A</v>
      </c>
    </row>
    <row r="98">
      <c r="A98" s="11" t="s">
        <v>439</v>
      </c>
      <c r="B98" s="18" t="s">
        <v>329</v>
      </c>
      <c r="C98" s="18">
        <v>1.0</v>
      </c>
      <c r="D98" s="90">
        <f>VLOOKUP(A98,Main!A:X,21,0)</f>
        <v>140000</v>
      </c>
      <c r="F98" s="92" t="str">
        <f>VLOOKUP(A98,'Positional cal'!A:A,1,0)</f>
        <v>#N/A</v>
      </c>
    </row>
    <row r="99">
      <c r="A99" s="11" t="s">
        <v>442</v>
      </c>
      <c r="B99" s="18" t="s">
        <v>83</v>
      </c>
      <c r="C99" s="18">
        <v>7.0</v>
      </c>
      <c r="D99" s="90">
        <f>VLOOKUP(A99,Main!A:X,21,0)</f>
        <v>112000</v>
      </c>
      <c r="F99" s="91" t="str">
        <f>VLOOKUP(A99,'Positional cal'!A:A,1,0)</f>
        <v>10408756</v>
      </c>
    </row>
    <row r="100">
      <c r="A100" s="11" t="s">
        <v>96</v>
      </c>
      <c r="B100" s="18" t="s">
        <v>54</v>
      </c>
      <c r="C100" s="18">
        <v>15.0</v>
      </c>
      <c r="D100" s="90">
        <f>VLOOKUP(A100,Main!A:X,21,0)</f>
        <v>160000</v>
      </c>
      <c r="F100" s="92" t="str">
        <f>VLOOKUP(A100,'Positional cal'!A:A,1,0)</f>
        <v>#N/A</v>
      </c>
    </row>
    <row r="101">
      <c r="A101" s="11" t="s">
        <v>348</v>
      </c>
      <c r="B101" s="18" t="s">
        <v>325</v>
      </c>
      <c r="C101" s="18">
        <v>1.0</v>
      </c>
      <c r="D101" s="90">
        <f>VLOOKUP(A101,Main!A:X,21,0)</f>
        <v>80000</v>
      </c>
      <c r="F101" s="91" t="str">
        <f>VLOOKUP(A101,'Positional cal'!A:A,1,0)</f>
        <v>92609325</v>
      </c>
    </row>
    <row r="102">
      <c r="A102" s="11" t="s">
        <v>443</v>
      </c>
      <c r="B102" s="18" t="s">
        <v>327</v>
      </c>
      <c r="C102" s="18">
        <v>1.0</v>
      </c>
      <c r="D102" s="90">
        <f>VLOOKUP(A102,Main!A:X,21,0)</f>
        <v>60000</v>
      </c>
      <c r="F102" s="92" t="str">
        <f>VLOOKUP(A102,'Positional cal'!A:A,1,0)</f>
        <v>#N/A</v>
      </c>
    </row>
    <row r="103">
      <c r="A103" s="11" t="s">
        <v>444</v>
      </c>
      <c r="B103" s="18" t="s">
        <v>113</v>
      </c>
      <c r="C103" s="18">
        <v>7.0</v>
      </c>
      <c r="D103" s="90">
        <f>VLOOKUP(A103,Main!A:X,21,0)</f>
        <v>96000</v>
      </c>
      <c r="F103" s="91" t="str">
        <f>VLOOKUP(A103,'Positional cal'!A:A,1,0)</f>
        <v>AVS03LKW</v>
      </c>
    </row>
    <row r="104">
      <c r="A104" s="11" t="s">
        <v>445</v>
      </c>
      <c r="B104" s="18" t="s">
        <v>75</v>
      </c>
      <c r="C104" s="18">
        <v>7.0</v>
      </c>
      <c r="D104" s="90">
        <f>VLOOKUP(A104,Main!A:X,21,0)</f>
        <v>112000</v>
      </c>
      <c r="F104" s="92" t="str">
        <f>VLOOKUP(A104,'Positional cal'!A:A,1,0)</f>
        <v>#N/A</v>
      </c>
    </row>
    <row r="105">
      <c r="A105" s="11" t="s">
        <v>446</v>
      </c>
      <c r="B105" s="18" t="s">
        <v>249</v>
      </c>
      <c r="C105" s="18">
        <v>1.0</v>
      </c>
      <c r="D105" s="90">
        <f>VLOOKUP(A105,Main!A:X,21,0)</f>
        <v>60000</v>
      </c>
      <c r="F105" s="92" t="str">
        <f>VLOOKUP(A105,'Positional cal'!A:A,1,0)</f>
        <v>#N/A</v>
      </c>
    </row>
    <row r="106">
      <c r="A106" s="11" t="s">
        <v>447</v>
      </c>
      <c r="B106" s="18" t="s">
        <v>140</v>
      </c>
      <c r="C106" s="18">
        <v>1.0</v>
      </c>
      <c r="D106" s="90">
        <f>VLOOKUP(A106,Main!A:X,21,0)</f>
        <v>120000</v>
      </c>
      <c r="F106" s="92" t="str">
        <f>VLOOKUP(A106,'Positional cal'!A:A,1,0)</f>
        <v>#N/A</v>
      </c>
    </row>
    <row r="107">
      <c r="A107" s="11" t="s">
        <v>448</v>
      </c>
      <c r="B107" s="18" t="s">
        <v>340</v>
      </c>
      <c r="C107" s="18">
        <v>1.0</v>
      </c>
      <c r="D107" s="90">
        <f>VLOOKUP(A107,Main!A:X,21,0)</f>
        <v>80000</v>
      </c>
      <c r="F107" s="92" t="str">
        <f>VLOOKUP(A107,'Positional cal'!A:A,1,0)</f>
        <v>#N/A</v>
      </c>
    </row>
    <row r="108">
      <c r="A108" s="11" t="s">
        <v>451</v>
      </c>
      <c r="B108" s="18" t="s">
        <v>329</v>
      </c>
      <c r="C108" s="18">
        <v>1.0</v>
      </c>
      <c r="D108" s="90">
        <f>VLOOKUP(A108,Main!A:X,21,0)</f>
        <v>120000</v>
      </c>
      <c r="F108" s="92" t="str">
        <f>VLOOKUP(A108,'Positional cal'!A:A,1,0)</f>
        <v>#N/A</v>
      </c>
    </row>
    <row r="109">
      <c r="A109" s="11" t="s">
        <v>452</v>
      </c>
      <c r="B109" s="18" t="s">
        <v>83</v>
      </c>
      <c r="C109" s="18">
        <v>7.0</v>
      </c>
      <c r="D109" s="90">
        <f>VLOOKUP(A109,Main!A:X,21,0)</f>
        <v>64000</v>
      </c>
      <c r="F109" s="91" t="str">
        <f>VLOOKUP(A109,'Positional cal'!A:A,1,0)</f>
        <v>46966951</v>
      </c>
    </row>
    <row r="110">
      <c r="A110" s="11" t="s">
        <v>454</v>
      </c>
      <c r="B110" s="18" t="s">
        <v>329</v>
      </c>
      <c r="C110" s="18">
        <v>1.0</v>
      </c>
      <c r="D110" s="90">
        <f>VLOOKUP(A110,Main!A:X,21,0)</f>
        <v>140000</v>
      </c>
      <c r="F110" s="92" t="str">
        <f>VLOOKUP(A110,'Positional cal'!A:A,1,0)</f>
        <v>#N/A</v>
      </c>
    </row>
    <row r="111">
      <c r="A111" s="11" t="s">
        <v>456</v>
      </c>
      <c r="B111" s="18" t="s">
        <v>92</v>
      </c>
      <c r="C111" s="18">
        <v>7.0</v>
      </c>
      <c r="D111" s="90">
        <f>VLOOKUP(A111,Main!A:X,21,0)</f>
        <v>112000</v>
      </c>
      <c r="F111" s="92" t="str">
        <f>VLOOKUP(A111,'Positional cal'!A:A,1,0)</f>
        <v>#N/A</v>
      </c>
    </row>
    <row r="112">
      <c r="A112" s="11" t="s">
        <v>457</v>
      </c>
      <c r="B112" s="18" t="s">
        <v>140</v>
      </c>
      <c r="C112" s="18">
        <v>1.0</v>
      </c>
      <c r="D112" s="90">
        <f>VLOOKUP(A112,Main!A:X,21,0)</f>
        <v>80000</v>
      </c>
      <c r="F112" s="92" t="str">
        <f>VLOOKUP(A112,'Positional cal'!A:A,1,0)</f>
        <v>#N/A</v>
      </c>
    </row>
    <row r="113">
      <c r="A113" s="11" t="s">
        <v>458</v>
      </c>
      <c r="B113" s="18" t="s">
        <v>174</v>
      </c>
      <c r="C113" s="18">
        <v>1.0</v>
      </c>
      <c r="D113" s="90">
        <f>VLOOKUP(A113,Main!A:X,21,0)</f>
        <v>100000</v>
      </c>
      <c r="F113" s="92" t="str">
        <f>VLOOKUP(A113,'Positional cal'!A:A,1,0)</f>
        <v>#N/A</v>
      </c>
    </row>
    <row r="114">
      <c r="A114" s="11" t="s">
        <v>459</v>
      </c>
      <c r="B114" s="18" t="s">
        <v>338</v>
      </c>
      <c r="C114" s="18">
        <v>1.0</v>
      </c>
      <c r="D114" s="90">
        <f>VLOOKUP(A114,Main!A:X,21,0)</f>
        <v>60000</v>
      </c>
      <c r="F114" s="92" t="str">
        <f>VLOOKUP(A114,'Positional cal'!A:A,1,0)</f>
        <v>#N/A</v>
      </c>
    </row>
    <row r="115">
      <c r="A115" s="11" t="s">
        <v>460</v>
      </c>
      <c r="B115" s="18" t="s">
        <v>249</v>
      </c>
      <c r="C115" s="18">
        <v>1.0</v>
      </c>
      <c r="D115" s="90">
        <f>VLOOKUP(A115,Main!A:X,21,0)</f>
        <v>120000</v>
      </c>
      <c r="F115" s="92" t="str">
        <f>VLOOKUP(A115,'Positional cal'!A:A,1,0)</f>
        <v>#N/A</v>
      </c>
    </row>
    <row r="116">
      <c r="A116" s="11" t="s">
        <v>461</v>
      </c>
      <c r="B116" s="18" t="s">
        <v>327</v>
      </c>
      <c r="C116" s="18">
        <v>1.0</v>
      </c>
      <c r="D116" s="90">
        <f>VLOOKUP(A116,Main!A:X,21,0)</f>
        <v>120000</v>
      </c>
      <c r="F116" s="92" t="str">
        <f>VLOOKUP(A116,'Positional cal'!A:A,1,0)</f>
        <v>#N/A</v>
      </c>
    </row>
    <row r="117">
      <c r="A117" s="11" t="s">
        <v>464</v>
      </c>
      <c r="B117" s="18" t="s">
        <v>113</v>
      </c>
      <c r="C117" s="18">
        <v>7.0</v>
      </c>
      <c r="D117" s="90">
        <f>VLOOKUP(A117,Main!A:X,21,0)</f>
        <v>144000</v>
      </c>
      <c r="F117" s="91" t="str">
        <f>VLOOKUP(A117,'Positional cal'!A:A,1,0)</f>
        <v>RAHULG15</v>
      </c>
    </row>
    <row r="118">
      <c r="A118" s="11" t="s">
        <v>126</v>
      </c>
      <c r="B118" s="18" t="s">
        <v>75</v>
      </c>
      <c r="C118" s="18">
        <v>7.0</v>
      </c>
      <c r="D118" s="90">
        <f>VLOOKUP(A118,Main!A:X,21,0)</f>
        <v>96000</v>
      </c>
      <c r="F118" s="92" t="str">
        <f>VLOOKUP(A118,'Positional cal'!A:A,1,0)</f>
        <v>#N/A</v>
      </c>
    </row>
    <row r="119">
      <c r="A119" s="11" t="s">
        <v>465</v>
      </c>
      <c r="B119" s="18" t="s">
        <v>140</v>
      </c>
      <c r="C119" s="18">
        <v>1.0</v>
      </c>
      <c r="D119" s="90">
        <f>VLOOKUP(A119,Main!A:X,21,0)</f>
        <v>112000</v>
      </c>
      <c r="F119" s="92" t="str">
        <f>VLOOKUP(A119,'Positional cal'!A:A,1,0)</f>
        <v>#N/A</v>
      </c>
    </row>
    <row r="120">
      <c r="A120" s="11" t="s">
        <v>466</v>
      </c>
      <c r="B120" s="18" t="s">
        <v>113</v>
      </c>
      <c r="C120" s="18">
        <v>7.0</v>
      </c>
      <c r="D120" s="90">
        <f>VLOOKUP(A120,Main!A:X,21,0)</f>
        <v>64000</v>
      </c>
      <c r="F120" s="91" t="str">
        <f>VLOOKUP(A120,'Positional cal'!A:A,1,0)</f>
        <v>77149338</v>
      </c>
    </row>
    <row r="121">
      <c r="A121" s="11" t="s">
        <v>467</v>
      </c>
      <c r="B121" s="18" t="s">
        <v>83</v>
      </c>
      <c r="C121" s="18">
        <v>7.0</v>
      </c>
      <c r="D121" s="90">
        <f>VLOOKUP(A121,Main!A:X,21,0)</f>
        <v>60000</v>
      </c>
      <c r="F121" s="91" t="str">
        <f>VLOOKUP(A121,'Positional cal'!A:A,1,0)</f>
        <v>87316853</v>
      </c>
    </row>
    <row r="122">
      <c r="A122" s="11" t="s">
        <v>321</v>
      </c>
      <c r="B122" s="18" t="s">
        <v>325</v>
      </c>
      <c r="C122" s="18">
        <v>1.0</v>
      </c>
      <c r="D122" s="90">
        <f>VLOOKUP(A122,Main!A:X,21,0)</f>
        <v>60000</v>
      </c>
      <c r="F122" s="91" t="str">
        <f>VLOOKUP(A122,'Positional cal'!A:A,1,0)</f>
        <v>99972022</v>
      </c>
    </row>
    <row r="123">
      <c r="A123" s="11" t="s">
        <v>468</v>
      </c>
      <c r="B123" s="18" t="s">
        <v>338</v>
      </c>
      <c r="C123" s="18">
        <v>1.0</v>
      </c>
      <c r="D123" s="90">
        <f>VLOOKUP(A123,Main!A:X,21,0)</f>
        <v>60000</v>
      </c>
      <c r="F123" s="92" t="str">
        <f>VLOOKUP(A123,'Positional cal'!A:A,1,0)</f>
        <v>#N/A</v>
      </c>
    </row>
    <row r="124">
      <c r="A124" s="11" t="s">
        <v>469</v>
      </c>
      <c r="B124" s="18" t="s">
        <v>75</v>
      </c>
      <c r="C124" s="18">
        <v>7.0</v>
      </c>
      <c r="D124" s="90">
        <f>VLOOKUP(A124,Main!A:X,21,0)</f>
        <v>80000</v>
      </c>
      <c r="F124" s="92" t="str">
        <f>VLOOKUP(A124,'Positional cal'!A:A,1,0)</f>
        <v>#N/A</v>
      </c>
    </row>
    <row r="125">
      <c r="A125" s="11" t="s">
        <v>472</v>
      </c>
      <c r="B125" s="18" t="s">
        <v>92</v>
      </c>
      <c r="C125" s="18">
        <v>7.0</v>
      </c>
      <c r="D125" s="90">
        <f>VLOOKUP(A125,Main!A:X,21,0)</f>
        <v>80000</v>
      </c>
      <c r="F125" s="92" t="str">
        <f>VLOOKUP(A125,'Positional cal'!A:A,1,0)</f>
        <v>#N/A</v>
      </c>
    </row>
    <row r="126">
      <c r="A126" s="11" t="s">
        <v>473</v>
      </c>
      <c r="B126" s="18" t="s">
        <v>249</v>
      </c>
      <c r="C126" s="18">
        <v>1.0</v>
      </c>
      <c r="D126" s="90">
        <f>VLOOKUP(A126,Main!A:X,21,0)</f>
        <v>120000</v>
      </c>
      <c r="F126" s="92" t="str">
        <f>VLOOKUP(A126,'Positional cal'!A:A,1,0)</f>
        <v>#N/A</v>
      </c>
    </row>
    <row r="127">
      <c r="A127" s="11" t="s">
        <v>474</v>
      </c>
      <c r="B127" s="18" t="s">
        <v>329</v>
      </c>
      <c r="C127" s="18">
        <v>1.0</v>
      </c>
      <c r="D127" s="90">
        <f>VLOOKUP(A127,Main!A:X,21,0)</f>
        <v>160000</v>
      </c>
      <c r="F127" s="92" t="str">
        <f>VLOOKUP(A127,'Positional cal'!A:A,1,0)</f>
        <v>#N/A</v>
      </c>
    </row>
    <row r="128">
      <c r="A128" s="11" t="s">
        <v>476</v>
      </c>
      <c r="B128" s="18" t="s">
        <v>340</v>
      </c>
      <c r="C128" s="18">
        <v>1.0</v>
      </c>
      <c r="D128" s="90">
        <f>VLOOKUP(A128,Main!A:X,21,0)</f>
        <v>160000</v>
      </c>
      <c r="F128" s="92" t="str">
        <f>VLOOKUP(A128,'Positional cal'!A:A,1,0)</f>
        <v>#N/A</v>
      </c>
    </row>
    <row r="129">
      <c r="A129" s="11" t="s">
        <v>477</v>
      </c>
      <c r="B129" s="18" t="s">
        <v>325</v>
      </c>
      <c r="C129" s="18">
        <v>1.0</v>
      </c>
      <c r="D129" s="90">
        <f>VLOOKUP(A129,Main!A:X,21,0)</f>
        <v>120000</v>
      </c>
      <c r="F129" s="91" t="str">
        <f>VLOOKUP(A129,'Positional cal'!A:A,1,0)</f>
        <v>18400763</v>
      </c>
    </row>
    <row r="130">
      <c r="A130" s="11" t="s">
        <v>478</v>
      </c>
      <c r="B130" s="18" t="s">
        <v>83</v>
      </c>
      <c r="C130" s="18">
        <v>7.0</v>
      </c>
      <c r="D130" s="90">
        <f>VLOOKUP(A130,Main!A:X,21,0)</f>
        <v>96000</v>
      </c>
      <c r="F130" s="91" t="str">
        <f>VLOOKUP(A130,'Positional cal'!A:A,1,0)</f>
        <v>19583994</v>
      </c>
    </row>
    <row r="131">
      <c r="A131" s="11" t="s">
        <v>475</v>
      </c>
      <c r="B131" s="18" t="s">
        <v>113</v>
      </c>
      <c r="C131" s="18">
        <v>7.0</v>
      </c>
      <c r="D131" s="90">
        <f>VLOOKUP(A131,Main!A:X,21,0)</f>
        <v>120000</v>
      </c>
      <c r="F131" s="91" t="str">
        <f>VLOOKUP(A131,'Positional cal'!A:A,1,0)</f>
        <v>58480023</v>
      </c>
    </row>
    <row r="132">
      <c r="A132" s="11" t="s">
        <v>479</v>
      </c>
      <c r="B132" s="18" t="s">
        <v>174</v>
      </c>
      <c r="C132" s="18">
        <v>1.0</v>
      </c>
      <c r="D132" s="90">
        <f>VLOOKUP(A132,Main!A:X,21,0)</f>
        <v>100000</v>
      </c>
      <c r="F132" s="92" t="str">
        <f>VLOOKUP(A132,'Positional cal'!A:A,1,0)</f>
        <v>#N/A</v>
      </c>
    </row>
    <row r="133">
      <c r="A133" s="11" t="s">
        <v>482</v>
      </c>
      <c r="B133" s="18" t="s">
        <v>92</v>
      </c>
      <c r="C133" s="18">
        <v>7.0</v>
      </c>
      <c r="D133" s="90">
        <f>VLOOKUP(A133,Main!A:X,21,0)</f>
        <v>160000</v>
      </c>
      <c r="F133" s="92" t="str">
        <f>VLOOKUP(A133,'Positional cal'!A:A,1,0)</f>
        <v>#N/A</v>
      </c>
    </row>
    <row r="134">
      <c r="A134" s="11" t="s">
        <v>483</v>
      </c>
      <c r="B134" s="18" t="s">
        <v>340</v>
      </c>
      <c r="C134" s="18">
        <v>1.0</v>
      </c>
      <c r="D134" s="90">
        <f>VLOOKUP(A134,Main!A:X,21,0)</f>
        <v>100000</v>
      </c>
      <c r="F134" s="92" t="str">
        <f>VLOOKUP(A134,'Positional cal'!A:A,1,0)</f>
        <v>#N/A</v>
      </c>
    </row>
    <row r="135">
      <c r="A135" s="11" t="s">
        <v>485</v>
      </c>
      <c r="B135" s="18" t="s">
        <v>140</v>
      </c>
      <c r="C135" s="18">
        <v>1.0</v>
      </c>
      <c r="D135" s="90">
        <f>VLOOKUP(A135,Main!A:X,21,0)</f>
        <v>100000</v>
      </c>
      <c r="F135" s="92" t="str">
        <f>VLOOKUP(A135,'Positional cal'!A:A,1,0)</f>
        <v>#N/A</v>
      </c>
    </row>
    <row r="136">
      <c r="A136" s="11" t="s">
        <v>486</v>
      </c>
      <c r="B136" s="18" t="s">
        <v>75</v>
      </c>
      <c r="C136" s="18">
        <v>7.0</v>
      </c>
      <c r="D136" s="90">
        <f>VLOOKUP(A136,Main!A:X,21,0)</f>
        <v>160000</v>
      </c>
      <c r="F136" s="92" t="str">
        <f>VLOOKUP(A136,'Positional cal'!A:A,1,0)</f>
        <v>#N/A</v>
      </c>
    </row>
    <row r="137">
      <c r="A137" s="11" t="s">
        <v>487</v>
      </c>
      <c r="B137" s="18" t="s">
        <v>338</v>
      </c>
      <c r="C137" s="18">
        <v>1.0</v>
      </c>
      <c r="D137" s="90">
        <f>VLOOKUP(A137,Main!A:X,21,0)</f>
        <v>80000</v>
      </c>
      <c r="F137" s="92" t="str">
        <f>VLOOKUP(A137,'Positional cal'!A:A,1,0)</f>
        <v>#N/A</v>
      </c>
    </row>
    <row r="138">
      <c r="A138" s="11" t="s">
        <v>488</v>
      </c>
      <c r="B138" s="18" t="s">
        <v>249</v>
      </c>
      <c r="C138" s="18">
        <v>1.0</v>
      </c>
      <c r="D138" s="90">
        <f>VLOOKUP(A138,Main!A:X,21,0)</f>
        <v>80000</v>
      </c>
      <c r="F138" s="92" t="str">
        <f>VLOOKUP(A138,'Positional cal'!A:A,1,0)</f>
        <v>#N/A</v>
      </c>
    </row>
    <row r="139">
      <c r="A139" s="11" t="s">
        <v>489</v>
      </c>
      <c r="B139" s="18" t="s">
        <v>327</v>
      </c>
      <c r="C139" s="18">
        <v>1.0</v>
      </c>
      <c r="D139" s="90">
        <f>VLOOKUP(A139,Main!A:X,21,0)</f>
        <v>100000</v>
      </c>
      <c r="F139" s="92" t="str">
        <f>VLOOKUP(A139,'Positional cal'!A:A,1,0)</f>
        <v>#N/A</v>
      </c>
    </row>
    <row r="140">
      <c r="A140" s="11" t="s">
        <v>490</v>
      </c>
      <c r="B140" s="18" t="s">
        <v>413</v>
      </c>
      <c r="C140" s="18">
        <v>1.0</v>
      </c>
      <c r="D140" s="90">
        <f>VLOOKUP(A140,Main!A:X,21,0)</f>
        <v>100000</v>
      </c>
      <c r="F140" s="92" t="str">
        <f>VLOOKUP(A140,'Positional cal'!A:A,1,0)</f>
        <v>#N/A</v>
      </c>
    </row>
    <row r="141">
      <c r="A141" s="11" t="s">
        <v>493</v>
      </c>
      <c r="B141" s="18" t="s">
        <v>340</v>
      </c>
      <c r="C141" s="18">
        <v>1.0</v>
      </c>
      <c r="D141" s="90">
        <f>VLOOKUP(A141,Main!A:X,21,0)</f>
        <v>100000</v>
      </c>
      <c r="F141" s="92" t="str">
        <f>VLOOKUP(A141,'Positional cal'!A:A,1,0)</f>
        <v>#N/A</v>
      </c>
    </row>
    <row r="142">
      <c r="A142" s="11" t="s">
        <v>494</v>
      </c>
      <c r="B142" s="18" t="s">
        <v>83</v>
      </c>
      <c r="C142" s="18">
        <v>7.0</v>
      </c>
      <c r="D142" s="90">
        <f>VLOOKUP(A142,Main!A:X,21,0)</f>
        <v>48000</v>
      </c>
      <c r="F142" s="92" t="str">
        <f>VLOOKUP(A142,'Positional cal'!A:A,1,0)</f>
        <v>#N/A</v>
      </c>
    </row>
    <row r="143">
      <c r="A143" s="11" t="s">
        <v>455</v>
      </c>
      <c r="B143" s="18" t="s">
        <v>325</v>
      </c>
      <c r="C143" s="18">
        <v>1.0</v>
      </c>
      <c r="D143" s="90">
        <f>VLOOKUP(A143,Main!A:X,21,0)</f>
        <v>100000</v>
      </c>
      <c r="F143" s="91" t="str">
        <f>VLOOKUP(A143,'Positional cal'!A:A,1,0)</f>
        <v>62288965</v>
      </c>
    </row>
    <row r="144">
      <c r="A144" s="11" t="s">
        <v>495</v>
      </c>
      <c r="B144" s="18" t="s">
        <v>218</v>
      </c>
      <c r="C144" s="18">
        <v>1.0</v>
      </c>
      <c r="D144" s="90">
        <f>VLOOKUP(A144,Main!A:X,21,0)</f>
        <v>154000</v>
      </c>
      <c r="F144" s="92" t="str">
        <f>VLOOKUP(A144,'Positional cal'!A:A,1,0)</f>
        <v>#N/A</v>
      </c>
    </row>
    <row r="145">
      <c r="A145" s="11" t="s">
        <v>496</v>
      </c>
      <c r="B145" s="18" t="s">
        <v>140</v>
      </c>
      <c r="C145" s="18">
        <v>1.0</v>
      </c>
      <c r="D145" s="90">
        <f>VLOOKUP(A145,Main!A:X,21,0)</f>
        <v>160000</v>
      </c>
      <c r="F145" s="92" t="str">
        <f>VLOOKUP(A145,'Positional cal'!A:A,1,0)</f>
        <v>#N/A</v>
      </c>
    </row>
    <row r="146">
      <c r="A146" s="11" t="s">
        <v>498</v>
      </c>
      <c r="B146" s="18" t="s">
        <v>113</v>
      </c>
      <c r="C146" s="18">
        <v>7.0</v>
      </c>
      <c r="D146" s="90">
        <f>VLOOKUP(A146,Main!A:X,21,0)</f>
        <v>96000</v>
      </c>
      <c r="F146" s="91" t="str">
        <f>VLOOKUP(A146,'Positional cal'!A:A,1,0)</f>
        <v>KASAR116</v>
      </c>
    </row>
    <row r="147">
      <c r="A147" s="11" t="s">
        <v>503</v>
      </c>
      <c r="B147" s="18" t="s">
        <v>338</v>
      </c>
      <c r="C147" s="18">
        <v>1.0</v>
      </c>
      <c r="D147" s="90">
        <f>VLOOKUP(A147,Main!A:X,21,0)</f>
        <v>100000</v>
      </c>
      <c r="F147" s="92" t="str">
        <f>VLOOKUP(A147,'Positional cal'!A:A,1,0)</f>
        <v>#N/A</v>
      </c>
    </row>
    <row r="148">
      <c r="A148" s="11" t="s">
        <v>508</v>
      </c>
      <c r="B148" s="18" t="s">
        <v>75</v>
      </c>
      <c r="C148" s="18">
        <v>7.0</v>
      </c>
      <c r="D148" s="90">
        <f>VLOOKUP(A148,Main!A:X,21,0)</f>
        <v>96000</v>
      </c>
      <c r="F148" s="92" t="str">
        <f>VLOOKUP(A148,'Positional cal'!A:A,1,0)</f>
        <v>#N/A</v>
      </c>
    </row>
    <row r="149">
      <c r="A149" s="11" t="s">
        <v>514</v>
      </c>
      <c r="B149" s="18" t="s">
        <v>249</v>
      </c>
      <c r="C149" s="18">
        <v>1.0</v>
      </c>
      <c r="D149" s="90">
        <f>VLOOKUP(A149,Main!A:X,21,0)</f>
        <v>60000</v>
      </c>
      <c r="F149" s="92" t="str">
        <f>VLOOKUP(A149,'Positional cal'!A:A,1,0)</f>
        <v>#N/A</v>
      </c>
    </row>
    <row r="150">
      <c r="A150" s="11" t="s">
        <v>516</v>
      </c>
      <c r="B150" s="18" t="s">
        <v>325</v>
      </c>
      <c r="C150" s="18">
        <v>1.0</v>
      </c>
      <c r="D150" s="90">
        <f>VLOOKUP(A150,Main!A:X,21,0)</f>
        <v>60000</v>
      </c>
      <c r="F150" s="91" t="str">
        <f>VLOOKUP(A150,'Positional cal'!A:A,1,0)</f>
        <v>35300800</v>
      </c>
    </row>
    <row r="151">
      <c r="A151" s="11" t="s">
        <v>518</v>
      </c>
      <c r="B151" s="18" t="s">
        <v>75</v>
      </c>
      <c r="C151" s="18">
        <v>7.0</v>
      </c>
      <c r="D151" s="90">
        <f>VLOOKUP(A151,Main!A:X,21,0)</f>
        <v>96000</v>
      </c>
      <c r="F151" s="92" t="str">
        <f>VLOOKUP(A151,'Positional cal'!A:A,1,0)</f>
        <v>#N/A</v>
      </c>
    </row>
    <row r="152">
      <c r="A152" s="11" t="s">
        <v>519</v>
      </c>
      <c r="B152" s="18" t="s">
        <v>83</v>
      </c>
      <c r="C152" s="18">
        <v>7.0</v>
      </c>
      <c r="D152" s="90">
        <f>VLOOKUP(A152,Main!A:X,21,0)</f>
        <v>64000</v>
      </c>
      <c r="F152" s="92" t="str">
        <f>VLOOKUP(A152,'Positional cal'!A:A,1,0)</f>
        <v>#N/A</v>
      </c>
    </row>
    <row r="153">
      <c r="A153" s="11" t="s">
        <v>167</v>
      </c>
      <c r="B153" s="18" t="s">
        <v>340</v>
      </c>
      <c r="C153" s="18">
        <v>1.0</v>
      </c>
      <c r="D153" s="90">
        <f>VLOOKUP(A153,Main!A:X,21,0)</f>
        <v>80000</v>
      </c>
      <c r="F153" s="92" t="str">
        <f>VLOOKUP(A153,'Positional cal'!A:A,1,0)</f>
        <v>#N/A</v>
      </c>
    </row>
    <row r="154">
      <c r="A154" s="11" t="s">
        <v>520</v>
      </c>
      <c r="B154" s="18" t="s">
        <v>92</v>
      </c>
      <c r="C154" s="18">
        <v>7.0</v>
      </c>
      <c r="D154" s="90">
        <f>VLOOKUP(A154,Main!A:X,21,0)</f>
        <v>140000</v>
      </c>
      <c r="F154" s="92" t="str">
        <f>VLOOKUP(A154,'Positional cal'!A:A,1,0)</f>
        <v>#N/A</v>
      </c>
    </row>
    <row r="155">
      <c r="A155" s="11" t="s">
        <v>227</v>
      </c>
      <c r="B155" s="18" t="s">
        <v>113</v>
      </c>
      <c r="C155" s="18">
        <v>7.0</v>
      </c>
      <c r="D155" s="90">
        <f>VLOOKUP(A155,Main!A:X,21,0)</f>
        <v>64000</v>
      </c>
      <c r="F155" s="92" t="str">
        <f>VLOOKUP(A155,'Positional cal'!A:A,1,0)</f>
        <v>#N/A</v>
      </c>
    </row>
    <row r="156">
      <c r="A156" s="11" t="s">
        <v>521</v>
      </c>
      <c r="B156" s="18" t="s">
        <v>327</v>
      </c>
      <c r="C156" s="18">
        <v>1.0</v>
      </c>
      <c r="D156" s="90">
        <f>VLOOKUP(A156,Main!A:X,21,0)</f>
        <v>100000</v>
      </c>
      <c r="F156" s="92" t="str">
        <f>VLOOKUP(A156,'Positional cal'!A:A,1,0)</f>
        <v>#N/A</v>
      </c>
    </row>
    <row r="157">
      <c r="A157" s="11" t="s">
        <v>522</v>
      </c>
      <c r="B157" s="18" t="s">
        <v>140</v>
      </c>
      <c r="C157" s="18">
        <v>1.0</v>
      </c>
      <c r="D157" s="90">
        <f>VLOOKUP(A157,Main!A:X,21,0)</f>
        <v>100000</v>
      </c>
      <c r="F157" s="92" t="str">
        <f>VLOOKUP(A157,'Positional cal'!A:A,1,0)</f>
        <v>#N/A</v>
      </c>
    </row>
    <row r="158">
      <c r="A158" s="11" t="s">
        <v>523</v>
      </c>
      <c r="B158" s="18" t="s">
        <v>249</v>
      </c>
      <c r="C158" s="18">
        <v>1.0</v>
      </c>
      <c r="D158" s="90">
        <f>VLOOKUP(A158,Main!A:X,21,0)</f>
        <v>120000</v>
      </c>
      <c r="F158" s="92" t="str">
        <f>VLOOKUP(A158,'Positional cal'!A:A,1,0)</f>
        <v>#N/A</v>
      </c>
    </row>
    <row r="159">
      <c r="A159" s="11" t="s">
        <v>526</v>
      </c>
      <c r="B159" s="18" t="s">
        <v>325</v>
      </c>
      <c r="C159" s="18">
        <v>1.0</v>
      </c>
      <c r="D159" s="90">
        <f>VLOOKUP(A159,Main!A:X,21,0)</f>
        <v>60000</v>
      </c>
      <c r="F159" s="91" t="str">
        <f>VLOOKUP(A159,'Positional cal'!A:A,1,0)</f>
        <v>15524387</v>
      </c>
    </row>
    <row r="160">
      <c r="A160" s="11" t="s">
        <v>527</v>
      </c>
      <c r="B160" s="18" t="s">
        <v>174</v>
      </c>
      <c r="C160" s="18">
        <v>1.0</v>
      </c>
      <c r="D160" s="90">
        <f>VLOOKUP(A160,Main!A:X,21,0)</f>
        <v>120000</v>
      </c>
      <c r="F160" s="91" t="str">
        <f>VLOOKUP(A160,'Positional cal'!A:A,1,0)</f>
        <v>29898256</v>
      </c>
    </row>
    <row r="161">
      <c r="A161" s="11" t="s">
        <v>88</v>
      </c>
      <c r="B161" s="18" t="s">
        <v>329</v>
      </c>
      <c r="C161" s="18">
        <v>1.0</v>
      </c>
      <c r="D161" s="90">
        <f>VLOOKUP(A161,Main!A:X,21,0)</f>
        <v>140000</v>
      </c>
      <c r="F161" s="91" t="str">
        <f>VLOOKUP(A161,'Positional cal'!A:A,1,0)</f>
        <v>7RA110015</v>
      </c>
    </row>
    <row r="162">
      <c r="A162" s="11" t="s">
        <v>528</v>
      </c>
      <c r="B162" s="18" t="s">
        <v>92</v>
      </c>
      <c r="C162" s="18">
        <v>7.0</v>
      </c>
      <c r="D162" s="90">
        <f>VLOOKUP(A162,Main!A:X,21,0)</f>
        <v>100000</v>
      </c>
      <c r="F162" s="92" t="str">
        <f>VLOOKUP(A162,'Positional cal'!A:A,1,0)</f>
        <v>#N/A</v>
      </c>
    </row>
    <row r="163">
      <c r="A163" s="11" t="s">
        <v>530</v>
      </c>
      <c r="B163" s="18" t="s">
        <v>218</v>
      </c>
      <c r="C163" s="18">
        <v>1.0</v>
      </c>
      <c r="D163" s="90">
        <f>VLOOKUP(A163,Main!A:X,21,0)</f>
        <v>60000</v>
      </c>
      <c r="F163" s="92" t="str">
        <f>VLOOKUP(A163,'Positional cal'!A:A,1,0)</f>
        <v>#N/A</v>
      </c>
    </row>
    <row r="164">
      <c r="A164" s="11" t="s">
        <v>531</v>
      </c>
      <c r="B164" s="18" t="s">
        <v>413</v>
      </c>
      <c r="C164" s="18">
        <v>1.0</v>
      </c>
      <c r="D164" s="90">
        <f>VLOOKUP(A164,Main!A:X,21,0)</f>
        <v>80000</v>
      </c>
      <c r="F164" s="92" t="str">
        <f>VLOOKUP(A164,'Positional cal'!A:A,1,0)</f>
        <v>#N/A</v>
      </c>
    </row>
    <row r="165">
      <c r="A165" s="11" t="s">
        <v>532</v>
      </c>
      <c r="B165" s="18" t="s">
        <v>113</v>
      </c>
      <c r="C165" s="18">
        <v>7.0</v>
      </c>
      <c r="D165" s="90">
        <f>VLOOKUP(A165,Main!A:X,21,0)</f>
        <v>416000</v>
      </c>
      <c r="F165" s="92" t="str">
        <f>VLOOKUP(A165,'Positional cal'!A:A,1,0)</f>
        <v>#N/A</v>
      </c>
    </row>
    <row r="166">
      <c r="A166" s="11" t="s">
        <v>534</v>
      </c>
      <c r="B166" s="18" t="s">
        <v>340</v>
      </c>
      <c r="C166" s="18">
        <v>1.0</v>
      </c>
      <c r="D166" s="90">
        <f>VLOOKUP(A166,Main!A:X,21,0)</f>
        <v>60000</v>
      </c>
      <c r="F166" s="92" t="str">
        <f>VLOOKUP(A166,'Positional cal'!A:A,1,0)</f>
        <v>#N/A</v>
      </c>
    </row>
    <row r="167">
      <c r="A167" s="11" t="s">
        <v>535</v>
      </c>
      <c r="B167" s="18" t="s">
        <v>83</v>
      </c>
      <c r="C167" s="18">
        <v>7.0</v>
      </c>
      <c r="D167" s="90">
        <f>VLOOKUP(A167,Main!A:X,21,0)</f>
        <v>64000</v>
      </c>
      <c r="F167" s="92" t="str">
        <f>VLOOKUP(A167,'Positional cal'!A:A,1,0)</f>
        <v>#N/A</v>
      </c>
    </row>
    <row r="168">
      <c r="A168" s="11" t="s">
        <v>536</v>
      </c>
      <c r="B168" s="18" t="s">
        <v>249</v>
      </c>
      <c r="C168" s="18">
        <v>1.0</v>
      </c>
      <c r="D168" s="90">
        <f>VLOOKUP(A168,Main!A:X,21,0)</f>
        <v>60000</v>
      </c>
      <c r="F168" s="92" t="str">
        <f>VLOOKUP(A168,'Positional cal'!A:A,1,0)</f>
        <v>#N/A</v>
      </c>
    </row>
    <row r="169">
      <c r="A169" s="11" t="s">
        <v>539</v>
      </c>
      <c r="B169" s="18" t="s">
        <v>75</v>
      </c>
      <c r="C169" s="18">
        <v>7.0</v>
      </c>
      <c r="D169" s="90">
        <f>VLOOKUP(A169,Main!A:X,21,0)</f>
        <v>140000</v>
      </c>
      <c r="F169" s="92" t="str">
        <f>VLOOKUP(A169,'Positional cal'!A:A,1,0)</f>
        <v>#N/A</v>
      </c>
    </row>
    <row r="170">
      <c r="A170" s="11" t="s">
        <v>540</v>
      </c>
      <c r="B170" s="18" t="s">
        <v>140</v>
      </c>
      <c r="C170" s="18">
        <v>1.0</v>
      </c>
      <c r="D170" s="90">
        <f>VLOOKUP(A170,Main!A:X,21,0)</f>
        <v>120000</v>
      </c>
      <c r="F170" s="92" t="str">
        <f>VLOOKUP(A170,'Positional cal'!A:A,1,0)</f>
        <v>#N/A</v>
      </c>
    </row>
    <row r="171">
      <c r="A171" s="11" t="s">
        <v>541</v>
      </c>
      <c r="B171" s="18" t="s">
        <v>327</v>
      </c>
      <c r="C171" s="18">
        <v>1.0</v>
      </c>
      <c r="D171" s="90">
        <f>VLOOKUP(A171,Main!A:X,21,0)</f>
        <v>120000</v>
      </c>
      <c r="F171" s="92" t="str">
        <f>VLOOKUP(A171,'Positional cal'!A:A,1,0)</f>
        <v>#N/A</v>
      </c>
    </row>
    <row r="172">
      <c r="A172" s="11" t="s">
        <v>543</v>
      </c>
      <c r="B172" s="18" t="s">
        <v>338</v>
      </c>
      <c r="C172" s="18">
        <v>1.0</v>
      </c>
      <c r="D172" s="90">
        <f>VLOOKUP(A172,Main!A:X,21,0)</f>
        <v>120000</v>
      </c>
      <c r="F172" s="92" t="str">
        <f>VLOOKUP(A172,'Positional cal'!A:A,1,0)</f>
        <v>#N/A</v>
      </c>
    </row>
    <row r="173">
      <c r="A173" s="11" t="s">
        <v>544</v>
      </c>
      <c r="B173" s="18" t="s">
        <v>174</v>
      </c>
      <c r="C173" s="18">
        <v>1.0</v>
      </c>
      <c r="D173" s="90">
        <f>VLOOKUP(A173,Main!A:X,21,0)</f>
        <v>80000</v>
      </c>
      <c r="F173" s="91" t="str">
        <f>VLOOKUP(A173,'Positional cal'!A:A,1,0)</f>
        <v>16384608</v>
      </c>
    </row>
    <row r="174">
      <c r="A174" s="11" t="s">
        <v>545</v>
      </c>
      <c r="B174" s="18" t="s">
        <v>329</v>
      </c>
      <c r="C174" s="18">
        <v>1.0</v>
      </c>
      <c r="D174" s="90">
        <f>VLOOKUP(A174,Main!A:X,21,0)</f>
        <v>100000</v>
      </c>
      <c r="F174" s="92" t="str">
        <f>VLOOKUP(A174,'Positional cal'!A:A,1,0)</f>
        <v>#N/A</v>
      </c>
    </row>
    <row r="175">
      <c r="A175" s="11" t="s">
        <v>546</v>
      </c>
      <c r="B175" s="18" t="s">
        <v>249</v>
      </c>
      <c r="C175" s="18">
        <v>1.0</v>
      </c>
      <c r="D175" s="90">
        <f>VLOOKUP(A175,Main!A:X,21,0)</f>
        <v>120000</v>
      </c>
      <c r="F175" s="92" t="str">
        <f>VLOOKUP(A175,'Positional cal'!A:A,1,0)</f>
        <v>#N/A</v>
      </c>
    </row>
    <row r="176">
      <c r="A176" s="11" t="s">
        <v>547</v>
      </c>
      <c r="B176" s="18" t="s">
        <v>75</v>
      </c>
      <c r="C176" s="18">
        <v>7.0</v>
      </c>
      <c r="D176" s="90">
        <f>VLOOKUP(A176,Main!A:X,21,0)</f>
        <v>120000</v>
      </c>
      <c r="F176" s="92" t="str">
        <f>VLOOKUP(A176,'Positional cal'!A:A,1,0)</f>
        <v>#N/A</v>
      </c>
    </row>
    <row r="177">
      <c r="A177" s="11" t="s">
        <v>550</v>
      </c>
      <c r="B177" s="18" t="s">
        <v>140</v>
      </c>
      <c r="C177" s="18">
        <v>1.0</v>
      </c>
      <c r="D177" s="90">
        <f>VLOOKUP(A177,Main!A:X,21,0)</f>
        <v>120000</v>
      </c>
      <c r="F177" s="92" t="str">
        <f>VLOOKUP(A177,'Positional cal'!A:A,1,0)</f>
        <v>#N/A</v>
      </c>
    </row>
    <row r="178">
      <c r="A178" s="11" t="s">
        <v>551</v>
      </c>
      <c r="B178" s="18" t="s">
        <v>327</v>
      </c>
      <c r="C178" s="18">
        <v>1.0</v>
      </c>
      <c r="D178" s="90">
        <f>VLOOKUP(A178,Main!A:X,21,0)</f>
        <v>140000</v>
      </c>
      <c r="F178" s="92" t="str">
        <f>VLOOKUP(A178,'Positional cal'!A:A,1,0)</f>
        <v>#N/A</v>
      </c>
    </row>
    <row r="179">
      <c r="A179" s="11" t="s">
        <v>553</v>
      </c>
      <c r="B179" s="18" t="s">
        <v>338</v>
      </c>
      <c r="C179" s="18">
        <v>1.0</v>
      </c>
      <c r="D179" s="90">
        <f>VLOOKUP(A179,Main!A:X,21,0)</f>
        <v>140000</v>
      </c>
      <c r="F179" s="92" t="str">
        <f>VLOOKUP(A179,'Positional cal'!A:A,1,0)</f>
        <v>#N/A</v>
      </c>
    </row>
    <row r="180">
      <c r="A180" s="11" t="s">
        <v>225</v>
      </c>
      <c r="B180" s="18" t="s">
        <v>113</v>
      </c>
      <c r="C180" s="18">
        <v>7.0</v>
      </c>
      <c r="D180" s="90">
        <f>VLOOKUP(A180,Main!A:X,21,0)</f>
        <v>128000</v>
      </c>
      <c r="F180" s="91" t="str">
        <f>VLOOKUP(A180,'Positional cal'!A:A,1,0)</f>
        <v>NK0002</v>
      </c>
    </row>
    <row r="181">
      <c r="A181" s="11" t="s">
        <v>554</v>
      </c>
      <c r="B181" s="18" t="s">
        <v>413</v>
      </c>
      <c r="C181" s="18">
        <v>1.0</v>
      </c>
      <c r="D181" s="90">
        <f>VLOOKUP(A181,Main!A:X,21,0)</f>
        <v>80000</v>
      </c>
      <c r="F181" s="92" t="str">
        <f>VLOOKUP(A181,'Positional cal'!A:A,1,0)</f>
        <v>#N/A</v>
      </c>
    </row>
    <row r="182">
      <c r="A182" s="11" t="s">
        <v>555</v>
      </c>
      <c r="B182" s="18" t="s">
        <v>329</v>
      </c>
      <c r="C182" s="18">
        <v>1.0</v>
      </c>
      <c r="D182" s="90">
        <f>VLOOKUP(A182,Main!A:X,21,0)</f>
        <v>120000</v>
      </c>
      <c r="F182" s="92" t="str">
        <f>VLOOKUP(A182,'Positional cal'!A:A,1,0)</f>
        <v>#N/A</v>
      </c>
    </row>
    <row r="183">
      <c r="A183" s="11" t="s">
        <v>366</v>
      </c>
      <c r="B183" s="18" t="s">
        <v>174</v>
      </c>
      <c r="C183" s="18">
        <v>1.0</v>
      </c>
      <c r="D183" s="90">
        <f>VLOOKUP(A183,Main!A:X,21,0)</f>
        <v>60000</v>
      </c>
      <c r="F183" s="91" t="str">
        <f>VLOOKUP(A183,'Positional cal'!A:A,1,0)</f>
        <v>91582593</v>
      </c>
    </row>
    <row r="184">
      <c r="A184" s="11" t="s">
        <v>558</v>
      </c>
      <c r="B184" s="18" t="s">
        <v>75</v>
      </c>
      <c r="C184" s="18">
        <v>7.0</v>
      </c>
      <c r="D184" s="90">
        <f>VLOOKUP(A184,Main!A:X,21,0)</f>
        <v>144000</v>
      </c>
      <c r="F184" s="92" t="str">
        <f>VLOOKUP(A184,'Positional cal'!A:A,1,0)</f>
        <v>#N/A</v>
      </c>
    </row>
    <row r="185">
      <c r="A185" s="11" t="s">
        <v>560</v>
      </c>
      <c r="B185" s="18" t="s">
        <v>140</v>
      </c>
      <c r="C185" s="18">
        <v>1.0</v>
      </c>
      <c r="D185" s="90">
        <f>VLOOKUP(A185,Main!A:X,21,0)</f>
        <v>80000</v>
      </c>
      <c r="F185" s="92" t="str">
        <f>VLOOKUP(A185,'Positional cal'!A:A,1,0)</f>
        <v>#N/A</v>
      </c>
    </row>
    <row r="186">
      <c r="A186" s="11" t="s">
        <v>561</v>
      </c>
      <c r="B186" s="18" t="s">
        <v>174</v>
      </c>
      <c r="C186" s="18">
        <v>1.0</v>
      </c>
      <c r="D186" s="90">
        <f>VLOOKUP(A186,Main!A:X,21,0)</f>
        <v>2200000000</v>
      </c>
      <c r="F186" s="92" t="str">
        <f>VLOOKUP(A186,'Positional cal'!A:A,1,0)</f>
        <v>#N/A</v>
      </c>
    </row>
    <row r="187">
      <c r="A187" s="11" t="s">
        <v>562</v>
      </c>
      <c r="B187" s="18" t="s">
        <v>340</v>
      </c>
      <c r="C187" s="18">
        <v>1.0</v>
      </c>
      <c r="D187" s="90">
        <f>VLOOKUP(A187,Main!A:X,21,0)</f>
        <v>80000</v>
      </c>
      <c r="F187" s="92" t="str">
        <f>VLOOKUP(A187,'Positional cal'!A:A,1,0)</f>
        <v>#N/A</v>
      </c>
    </row>
    <row r="188">
      <c r="A188" s="11" t="s">
        <v>563</v>
      </c>
      <c r="B188" s="18" t="s">
        <v>327</v>
      </c>
      <c r="C188" s="18">
        <v>1.0</v>
      </c>
      <c r="D188" s="90">
        <f>VLOOKUP(A188,Main!A:X,21,0)</f>
        <v>400000</v>
      </c>
      <c r="F188" s="92" t="str">
        <f>VLOOKUP(A188,'Positional cal'!A:A,1,0)</f>
        <v>#N/A</v>
      </c>
    </row>
    <row r="189">
      <c r="A189" s="11" t="s">
        <v>565</v>
      </c>
      <c r="B189" s="18" t="s">
        <v>329</v>
      </c>
      <c r="C189" s="18">
        <v>1.0</v>
      </c>
      <c r="D189" s="90">
        <f>VLOOKUP(A189,Main!A:X,21,0)</f>
        <v>80000</v>
      </c>
      <c r="F189" s="92" t="str">
        <f>VLOOKUP(A189,'Positional cal'!A:A,1,0)</f>
        <v>#N/A</v>
      </c>
    </row>
    <row r="190">
      <c r="A190" s="11" t="s">
        <v>568</v>
      </c>
      <c r="B190" s="18" t="s">
        <v>92</v>
      </c>
      <c r="C190" s="18">
        <v>7.0</v>
      </c>
      <c r="D190" s="90">
        <f>VLOOKUP(A190,Main!A:X,21,0)</f>
        <v>144000</v>
      </c>
      <c r="F190" s="92" t="str">
        <f>VLOOKUP(A190,'Positional cal'!A:A,1,0)</f>
        <v>#N/A</v>
      </c>
    </row>
    <row r="191">
      <c r="A191" s="11" t="s">
        <v>299</v>
      </c>
      <c r="B191" s="18" t="s">
        <v>340</v>
      </c>
      <c r="C191" s="18">
        <v>1.0</v>
      </c>
      <c r="D191" s="90">
        <f>VLOOKUP(A191,Main!A:X,21,0)</f>
        <v>100000</v>
      </c>
      <c r="F191" s="91" t="str">
        <f>VLOOKUP(A191,'Positional cal'!A:A,1,0)</f>
        <v>IR0012</v>
      </c>
    </row>
    <row r="192">
      <c r="A192" s="11" t="s">
        <v>569</v>
      </c>
      <c r="B192" s="18" t="s">
        <v>113</v>
      </c>
      <c r="C192" s="18">
        <v>7.0</v>
      </c>
      <c r="D192" s="90">
        <f>VLOOKUP(A192,Main!A:X,21,0)</f>
        <v>128000</v>
      </c>
      <c r="F192" s="91" t="str">
        <f>VLOOKUP(A192,'Positional cal'!A:A,1,0)</f>
        <v>MARIA196</v>
      </c>
    </row>
    <row r="193">
      <c r="A193" s="11" t="s">
        <v>172</v>
      </c>
      <c r="B193" s="18" t="s">
        <v>83</v>
      </c>
      <c r="C193" s="18">
        <v>7.0</v>
      </c>
      <c r="D193" s="90">
        <f>VLOOKUP(A193,Main!A:X,21,0)</f>
        <v>80000</v>
      </c>
      <c r="F193" s="92" t="str">
        <f>VLOOKUP(A193,'Positional cal'!A:A,1,0)</f>
        <v>#N/A</v>
      </c>
    </row>
    <row r="194">
      <c r="A194" s="11" t="s">
        <v>571</v>
      </c>
      <c r="B194" s="18" t="s">
        <v>174</v>
      </c>
      <c r="C194" s="18">
        <v>1.0</v>
      </c>
      <c r="D194" s="90">
        <f>VLOOKUP(A194,Main!A:X,21,0)</f>
        <v>80000</v>
      </c>
      <c r="F194" s="92" t="str">
        <f>VLOOKUP(A194,'Positional cal'!A:A,1,0)</f>
        <v>#N/A</v>
      </c>
    </row>
    <row r="195">
      <c r="A195" s="11" t="s">
        <v>575</v>
      </c>
      <c r="B195" s="18" t="s">
        <v>340</v>
      </c>
      <c r="C195" s="18">
        <v>1.0</v>
      </c>
      <c r="D195" s="90">
        <f>VLOOKUP(A195,Main!A:X,21,0)</f>
        <v>80000</v>
      </c>
      <c r="F195" s="92" t="str">
        <f>VLOOKUP(A195,'Positional cal'!A:A,1,0)</f>
        <v>#N/A</v>
      </c>
    </row>
    <row r="196">
      <c r="A196" s="11" t="s">
        <v>438</v>
      </c>
      <c r="B196" s="18" t="s">
        <v>325</v>
      </c>
      <c r="C196" s="18">
        <v>1.0</v>
      </c>
      <c r="D196" s="90">
        <f>VLOOKUP(A196,Main!A:X,21,0)</f>
        <v>40000</v>
      </c>
      <c r="F196" s="91" t="str">
        <f>VLOOKUP(A196,'Positional cal'!A:A,1,0)</f>
        <v>65872914</v>
      </c>
    </row>
    <row r="197">
      <c r="A197" s="11" t="s">
        <v>306</v>
      </c>
      <c r="B197" s="18" t="s">
        <v>340</v>
      </c>
      <c r="C197" s="18">
        <v>1.0</v>
      </c>
      <c r="D197" s="90">
        <f>VLOOKUP(A197,Main!A:X,21,0)</f>
        <v>140000</v>
      </c>
      <c r="F197" s="91" t="str">
        <f>VLOOKUP(A197,'Positional cal'!A:A,1,0)</f>
        <v>AVS00RKL</v>
      </c>
    </row>
    <row r="198">
      <c r="A198" s="11" t="s">
        <v>170</v>
      </c>
      <c r="B198" s="18" t="s">
        <v>413</v>
      </c>
      <c r="C198" s="18">
        <v>1.0</v>
      </c>
      <c r="D198" s="90">
        <f>VLOOKUP(A198,Main!A:X,21,0)</f>
        <v>100000</v>
      </c>
      <c r="F198" s="92" t="str">
        <f>VLOOKUP(A198,'Positional cal'!A:A,1,0)</f>
        <v>#N/A</v>
      </c>
    </row>
    <row r="199">
      <c r="A199" s="11" t="s">
        <v>577</v>
      </c>
      <c r="B199" s="18" t="s">
        <v>329</v>
      </c>
      <c r="C199" s="18">
        <v>1.0</v>
      </c>
      <c r="D199" s="90">
        <f>VLOOKUP(A199,Main!A:X,21,0)</f>
        <v>60000</v>
      </c>
      <c r="F199" s="92" t="str">
        <f>VLOOKUP(A199,'Positional cal'!A:A,1,0)</f>
        <v>#N/A</v>
      </c>
    </row>
    <row r="200">
      <c r="A200" s="11" t="s">
        <v>228</v>
      </c>
      <c r="B200" s="18" t="s">
        <v>75</v>
      </c>
      <c r="C200" s="18">
        <v>7.0</v>
      </c>
      <c r="D200" s="90">
        <f>VLOOKUP(A200,Main!A:X,21,0)</f>
        <v>64000</v>
      </c>
      <c r="F200" s="91" t="str">
        <f>VLOOKUP(A200,'Positional cal'!A:A,1,0)</f>
        <v>IR0029</v>
      </c>
    </row>
    <row r="201">
      <c r="A201" s="11" t="s">
        <v>581</v>
      </c>
      <c r="B201" s="18" t="s">
        <v>83</v>
      </c>
      <c r="C201" s="18">
        <v>7.0</v>
      </c>
      <c r="D201" s="90">
        <f>VLOOKUP(A201,Main!A:X,21,0)</f>
        <v>100000</v>
      </c>
      <c r="F201" s="92" t="str">
        <f>VLOOKUP(A201,'Positional cal'!A:A,1,0)</f>
        <v>#N/A</v>
      </c>
    </row>
    <row r="202">
      <c r="A202" s="11" t="s">
        <v>582</v>
      </c>
      <c r="B202" s="18" t="s">
        <v>329</v>
      </c>
      <c r="C202" s="18">
        <v>1.0</v>
      </c>
      <c r="D202" s="90">
        <f>VLOOKUP(A202,Main!A:X,21,0)</f>
        <v>144000</v>
      </c>
      <c r="F202" s="92" t="str">
        <f>VLOOKUP(A202,'Positional cal'!A:A,1,0)</f>
        <v>#N/A</v>
      </c>
    </row>
    <row r="203">
      <c r="A203" s="11" t="s">
        <v>584</v>
      </c>
      <c r="B203" s="18" t="s">
        <v>329</v>
      </c>
      <c r="C203" s="18">
        <v>1.0</v>
      </c>
      <c r="D203" s="90">
        <f>VLOOKUP(A203,Main!A:X,21,0)</f>
        <v>100000</v>
      </c>
      <c r="F203" s="92" t="str">
        <f>VLOOKUP(A203,'Positional cal'!A:A,1,0)</f>
        <v>#N/A</v>
      </c>
    </row>
    <row r="204">
      <c r="A204" s="11" t="s">
        <v>583</v>
      </c>
      <c r="B204" s="18" t="s">
        <v>585</v>
      </c>
      <c r="C204" s="11" t="s">
        <v>586</v>
      </c>
      <c r="D204" s="90">
        <f>VLOOKUP(A204,Main!A:X,21,0)</f>
        <v>532000</v>
      </c>
      <c r="F204" s="92" t="str">
        <f>VLOOKUP(A204,'Positional cal'!A:A,1,0)</f>
        <v>#N/A</v>
      </c>
    </row>
    <row r="205">
      <c r="A205" s="11" t="s">
        <v>517</v>
      </c>
      <c r="B205" s="18" t="s">
        <v>585</v>
      </c>
      <c r="C205" s="11" t="s">
        <v>586</v>
      </c>
      <c r="D205" s="90">
        <f>VLOOKUP(A205,Main!A:X,21,0)</f>
        <v>182000</v>
      </c>
      <c r="F205" s="92" t="str">
        <f>VLOOKUP(A205,'Positional cal'!A:A,1,0)</f>
        <v>#N/A</v>
      </c>
    </row>
    <row r="206">
      <c r="A206" s="11" t="s">
        <v>552</v>
      </c>
      <c r="B206" s="18" t="s">
        <v>585</v>
      </c>
      <c r="C206" s="11" t="s">
        <v>586</v>
      </c>
      <c r="D206" s="90">
        <f>VLOOKUP(A206,Main!A:X,21,0)</f>
        <v>238000</v>
      </c>
      <c r="F206" s="92" t="str">
        <f>VLOOKUP(A206,'Positional cal'!A:A,1,0)</f>
        <v>#N/A</v>
      </c>
    </row>
    <row r="207">
      <c r="A207" s="11" t="s">
        <v>564</v>
      </c>
      <c r="B207" s="18" t="s">
        <v>585</v>
      </c>
      <c r="C207" s="11" t="s">
        <v>586</v>
      </c>
      <c r="D207" s="90">
        <f>VLOOKUP(A207,Main!A:X,21,0)</f>
        <v>182000</v>
      </c>
      <c r="F207" s="92" t="str">
        <f>VLOOKUP(A207,'Positional cal'!A:A,1,0)</f>
        <v>#N/A</v>
      </c>
    </row>
    <row r="208">
      <c r="A208" s="11" t="s">
        <v>570</v>
      </c>
      <c r="B208" s="18" t="s">
        <v>585</v>
      </c>
      <c r="C208" s="11" t="s">
        <v>586</v>
      </c>
      <c r="D208" s="90">
        <f>VLOOKUP(A208,Main!A:X,21,0)</f>
        <v>294000</v>
      </c>
      <c r="F208" s="92" t="str">
        <f>VLOOKUP(A208,'Positional cal'!A:A,1,0)</f>
        <v>#N/A</v>
      </c>
    </row>
    <row r="209">
      <c r="A209" s="11" t="s">
        <v>576</v>
      </c>
      <c r="B209" s="18" t="s">
        <v>585</v>
      </c>
      <c r="C209" s="11" t="s">
        <v>586</v>
      </c>
      <c r="D209" s="90">
        <f>VLOOKUP(A209,Main!A:X,21,0)</f>
        <v>196000</v>
      </c>
      <c r="F209" s="92" t="str">
        <f>VLOOKUP(A209,'Positional cal'!A:A,1,0)</f>
        <v>#N/A</v>
      </c>
    </row>
    <row r="210">
      <c r="A210" s="11" t="s">
        <v>559</v>
      </c>
      <c r="B210" s="18" t="s">
        <v>585</v>
      </c>
      <c r="C210" s="11" t="s">
        <v>586</v>
      </c>
      <c r="D210" s="90">
        <f>VLOOKUP(A210,Main!A:X,21,0)</f>
        <v>196000</v>
      </c>
      <c r="F210" s="92" t="str">
        <f>VLOOKUP(A210,'Positional cal'!A:A,1,0)</f>
        <v>#N/A</v>
      </c>
    </row>
    <row r="211">
      <c r="A211" s="11" t="s">
        <v>542</v>
      </c>
      <c r="B211" s="18" t="s">
        <v>585</v>
      </c>
      <c r="C211" s="11" t="s">
        <v>586</v>
      </c>
      <c r="D211" s="90">
        <f>VLOOKUP(A211,Main!A:X,21,0)</f>
        <v>224000</v>
      </c>
      <c r="F211" s="92" t="str">
        <f>VLOOKUP(A211,'Positional cal'!A:A,1,0)</f>
        <v>#N/A</v>
      </c>
    </row>
    <row r="212">
      <c r="A212" s="11" t="s">
        <v>533</v>
      </c>
      <c r="B212" s="18" t="s">
        <v>585</v>
      </c>
      <c r="C212" s="11" t="s">
        <v>586</v>
      </c>
      <c r="D212" s="90">
        <f>VLOOKUP(A212,Main!A:X,21,0)</f>
        <v>168000</v>
      </c>
      <c r="F212" s="92" t="str">
        <f>VLOOKUP(A212,'Positional cal'!A:A,1,0)</f>
        <v>#N/A</v>
      </c>
    </row>
    <row r="213">
      <c r="A213" s="11" t="s">
        <v>593</v>
      </c>
      <c r="B213" s="18" t="s">
        <v>585</v>
      </c>
      <c r="C213" s="11" t="s">
        <v>586</v>
      </c>
      <c r="D213" s="90">
        <f>VLOOKUP(A213,Main!A:X,21,0)</f>
        <v>154000</v>
      </c>
      <c r="F213" s="92" t="str">
        <f>VLOOKUP(A213,'Positional cal'!A:A,1,0)</f>
        <v>#N/A</v>
      </c>
    </row>
    <row r="214">
      <c r="A214" s="11" t="s">
        <v>589</v>
      </c>
      <c r="B214" s="18" t="s">
        <v>585</v>
      </c>
      <c r="C214" s="11" t="s">
        <v>586</v>
      </c>
      <c r="D214" s="90">
        <f>VLOOKUP(A214,Main!A:X,21,0)</f>
        <v>154000</v>
      </c>
      <c r="F214" s="92" t="str">
        <f>VLOOKUP(A214,'Positional cal'!A:A,1,0)</f>
        <v>#N/A</v>
      </c>
    </row>
    <row r="215">
      <c r="A215" s="11" t="s">
        <v>592</v>
      </c>
      <c r="B215" s="18" t="s">
        <v>585</v>
      </c>
      <c r="C215" s="11" t="s">
        <v>586</v>
      </c>
      <c r="D215" s="90">
        <f>VLOOKUP(A215,Main!A:X,21,0)</f>
        <v>140000</v>
      </c>
      <c r="F215" s="92" t="str">
        <f>VLOOKUP(A215,'Positional cal'!A:A,1,0)</f>
        <v>#N/A</v>
      </c>
    </row>
    <row r="216">
      <c r="A216" s="11" t="s">
        <v>595</v>
      </c>
      <c r="B216" s="42" t="s">
        <v>585</v>
      </c>
      <c r="C216" s="11" t="s">
        <v>586</v>
      </c>
      <c r="D216" s="90">
        <f>VLOOKUP(A216,Main!A:X,21,0)</f>
        <v>252000</v>
      </c>
      <c r="F216" s="92" t="str">
        <f>VLOOKUP(A216,'Positional cal'!A:A,1,0)</f>
        <v>#N/A</v>
      </c>
    </row>
    <row r="217">
      <c r="A217" s="11" t="s">
        <v>597</v>
      </c>
      <c r="B217" s="42" t="s">
        <v>585</v>
      </c>
      <c r="C217" s="11" t="s">
        <v>586</v>
      </c>
      <c r="D217" s="90">
        <f>VLOOKUP(A217,Main!A:X,21,0)</f>
        <v>252000</v>
      </c>
      <c r="F217" s="92" t="str">
        <f>VLOOKUP(A217,'Positional cal'!A:A,1,0)</f>
        <v>#N/A</v>
      </c>
    </row>
    <row r="218">
      <c r="A218" s="11" t="s">
        <v>598</v>
      </c>
      <c r="B218" s="42" t="s">
        <v>585</v>
      </c>
      <c r="C218" s="11" t="s">
        <v>586</v>
      </c>
      <c r="D218" s="90">
        <f>VLOOKUP(A218,Main!A:X,21,0)</f>
        <v>196000</v>
      </c>
      <c r="F218" s="92" t="str">
        <f>VLOOKUP(A218,'Positional cal'!A:A,1,0)</f>
        <v>#N/A</v>
      </c>
    </row>
    <row r="219">
      <c r="A219" s="11" t="s">
        <v>599</v>
      </c>
      <c r="B219" s="42" t="s">
        <v>585</v>
      </c>
      <c r="C219" s="11" t="s">
        <v>586</v>
      </c>
      <c r="D219" s="90">
        <f>VLOOKUP(A219,Main!A:X,21,0)</f>
        <v>434000</v>
      </c>
      <c r="F219" s="92" t="str">
        <f>VLOOKUP(A219,'Positional cal'!A:A,1,0)</f>
        <v>#N/A</v>
      </c>
    </row>
    <row r="220">
      <c r="A220" s="11" t="s">
        <v>601</v>
      </c>
      <c r="B220" s="42" t="s">
        <v>585</v>
      </c>
      <c r="C220" s="11" t="s">
        <v>586</v>
      </c>
      <c r="D220" s="90">
        <f>VLOOKUP(A220,Main!A:X,21,0)</f>
        <v>140000</v>
      </c>
      <c r="F220" s="92" t="str">
        <f>VLOOKUP(A220,'Positional cal'!A:A,1,0)</f>
        <v>#N/A</v>
      </c>
    </row>
    <row r="221">
      <c r="A221" s="11" t="s">
        <v>604</v>
      </c>
      <c r="B221" s="42" t="s">
        <v>585</v>
      </c>
      <c r="C221" s="11" t="s">
        <v>586</v>
      </c>
      <c r="D221" s="90">
        <f>VLOOKUP(A221,Main!A:X,21,0)</f>
        <v>140000</v>
      </c>
      <c r="F221" s="92" t="str">
        <f>VLOOKUP(A221,'Positional cal'!A:A,1,0)</f>
        <v>#N/A</v>
      </c>
    </row>
    <row r="222">
      <c r="A222" s="11" t="s">
        <v>605</v>
      </c>
      <c r="B222" s="42" t="s">
        <v>585</v>
      </c>
      <c r="C222" s="11" t="s">
        <v>586</v>
      </c>
      <c r="D222" s="90">
        <f>VLOOKUP(A222,Main!A:X,21,0)</f>
        <v>630000</v>
      </c>
      <c r="F222" s="92" t="str">
        <f>VLOOKUP(A222,'Positional cal'!A:A,1,0)</f>
        <v>#N/A</v>
      </c>
    </row>
    <row r="223">
      <c r="A223" s="11" t="s">
        <v>606</v>
      </c>
      <c r="B223" s="18" t="s">
        <v>585</v>
      </c>
      <c r="C223" s="11" t="s">
        <v>586</v>
      </c>
      <c r="D223" s="90">
        <f>VLOOKUP(A223,Main!A:X,21,0)</f>
        <v>546000</v>
      </c>
      <c r="F223" s="92" t="str">
        <f>VLOOKUP(A223,'Positional cal'!A:A,1,0)</f>
        <v>#N/A</v>
      </c>
    </row>
    <row r="224">
      <c r="A224" s="11" t="s">
        <v>607</v>
      </c>
      <c r="B224" s="42" t="s">
        <v>585</v>
      </c>
      <c r="C224" s="11" t="s">
        <v>586</v>
      </c>
      <c r="D224" s="90">
        <f>VLOOKUP(A224,Main!A:X,21,0)</f>
        <v>476000</v>
      </c>
      <c r="F224" s="92" t="str">
        <f>VLOOKUP(A224,'Positional cal'!A:A,1,0)</f>
        <v>#N/A</v>
      </c>
    </row>
    <row r="225">
      <c r="A225" s="11" t="s">
        <v>609</v>
      </c>
      <c r="B225" s="42" t="s">
        <v>585</v>
      </c>
      <c r="C225" s="11" t="s">
        <v>586</v>
      </c>
      <c r="D225" s="90">
        <f>VLOOKUP(A225,Main!A:X,21,0)</f>
        <v>1120000</v>
      </c>
      <c r="F225" s="92" t="str">
        <f>VLOOKUP(A225,'Positional cal'!A:A,1,0)</f>
        <v>#N/A</v>
      </c>
    </row>
    <row r="226">
      <c r="A226" s="11" t="s">
        <v>612</v>
      </c>
      <c r="B226" s="42" t="s">
        <v>585</v>
      </c>
      <c r="C226" s="11" t="s">
        <v>586</v>
      </c>
      <c r="D226" s="90">
        <f>VLOOKUP(A226,Main!A:X,21,0)</f>
        <v>168000</v>
      </c>
      <c r="F226" s="92" t="str">
        <f>VLOOKUP(A226,'Positional cal'!A:A,1,0)</f>
        <v>#N/A</v>
      </c>
    </row>
    <row r="227">
      <c r="A227" s="11" t="s">
        <v>614</v>
      </c>
      <c r="B227" s="42" t="s">
        <v>585</v>
      </c>
      <c r="C227" s="11" t="s">
        <v>586</v>
      </c>
      <c r="D227" s="90">
        <f>VLOOKUP(A227,Main!A:X,21,0)</f>
        <v>168000</v>
      </c>
      <c r="F227" s="92" t="str">
        <f>VLOOKUP(A227,'Positional cal'!A:A,1,0)</f>
        <v>#N/A</v>
      </c>
    </row>
    <row r="228">
      <c r="A228" s="11" t="s">
        <v>615</v>
      </c>
      <c r="B228" s="18" t="s">
        <v>585</v>
      </c>
      <c r="C228" s="11" t="s">
        <v>586</v>
      </c>
      <c r="D228" s="90">
        <f>VLOOKUP(A228,Main!A:X,21,0)</f>
        <v>154000</v>
      </c>
      <c r="F228" s="92" t="str">
        <f>VLOOKUP(A228,'Positional cal'!A:A,1,0)</f>
        <v>#N/A</v>
      </c>
    </row>
    <row r="229">
      <c r="A229" s="11" t="s">
        <v>617</v>
      </c>
      <c r="B229" s="11" t="s">
        <v>585</v>
      </c>
      <c r="C229" s="11" t="s">
        <v>586</v>
      </c>
      <c r="D229" s="90">
        <f>VLOOKUP(A229,Main!A:X,21,0)</f>
        <v>140000</v>
      </c>
      <c r="F229" s="92" t="str">
        <f>VLOOKUP(A229,'Positional cal'!A:A,1,0)</f>
        <v>#N/A</v>
      </c>
    </row>
    <row r="230">
      <c r="A230" s="11" t="s">
        <v>618</v>
      </c>
      <c r="B230" s="18" t="s">
        <v>585</v>
      </c>
      <c r="C230" s="11" t="s">
        <v>586</v>
      </c>
      <c r="D230" s="90" t="str">
        <f>VLOOKUP(A230,Main!A:X,21,0)</f>
        <v/>
      </c>
      <c r="F230" s="92" t="str">
        <f>VLOOKUP(A230,'Positional cal'!A:A,1,0)</f>
        <v>#N/A</v>
      </c>
    </row>
    <row r="231">
      <c r="A231" s="11" t="s">
        <v>144</v>
      </c>
      <c r="B231" s="11" t="s">
        <v>619</v>
      </c>
      <c r="C231" s="11" t="s">
        <v>620</v>
      </c>
      <c r="D231" s="90">
        <f>VLOOKUP(A231,Main!A:X,21,0)</f>
        <v>100000000000</v>
      </c>
      <c r="F231" s="92" t="str">
        <f>VLOOKUP(A231,'Positional cal'!A:A,1,0)</f>
        <v>#N/A</v>
      </c>
    </row>
    <row r="232">
      <c r="A232" s="11" t="s">
        <v>623</v>
      </c>
      <c r="B232" s="18" t="s">
        <v>624</v>
      </c>
      <c r="C232" s="11" t="s">
        <v>625</v>
      </c>
      <c r="D232" s="90">
        <f>VLOOKUP(A232,Main!A:X,21,0)</f>
        <v>2400000000</v>
      </c>
      <c r="F232" s="92" t="str">
        <f>VLOOKUP(A232,'Positional cal'!A:A,1,0)</f>
        <v>#N/A</v>
      </c>
    </row>
    <row r="233">
      <c r="A233" s="11" t="s">
        <v>627</v>
      </c>
      <c r="B233" s="18" t="s">
        <v>624</v>
      </c>
      <c r="C233" s="11" t="s">
        <v>625</v>
      </c>
      <c r="D233" s="90">
        <f>VLOOKUP(A233,Main!A:X,21,0)</f>
        <v>4000000000</v>
      </c>
      <c r="F233" s="92" t="str">
        <f>VLOOKUP(A233,'Positional cal'!A:A,1,0)</f>
        <v>#N/A</v>
      </c>
    </row>
    <row r="234">
      <c r="A234" s="11" t="s">
        <v>628</v>
      </c>
      <c r="B234" s="18" t="s">
        <v>624</v>
      </c>
      <c r="C234" s="11" t="s">
        <v>625</v>
      </c>
      <c r="D234" s="90">
        <f>VLOOKUP(A234,Main!A:X,21,0)</f>
        <v>200000</v>
      </c>
      <c r="F234" s="92" t="str">
        <f>VLOOKUP(A234,'Positional cal'!A:A,1,0)</f>
        <v>#N/A</v>
      </c>
    </row>
    <row r="235">
      <c r="A235" s="11" t="s">
        <v>629</v>
      </c>
      <c r="B235" s="18" t="s">
        <v>624</v>
      </c>
      <c r="C235" s="11" t="s">
        <v>625</v>
      </c>
      <c r="D235" s="90">
        <f>VLOOKUP(A235,Main!A:X,21,0)</f>
        <v>3000000000</v>
      </c>
      <c r="F235" s="92" t="str">
        <f>VLOOKUP(A235,'Positional cal'!A:A,1,0)</f>
        <v>#N/A</v>
      </c>
    </row>
    <row r="236">
      <c r="A236" s="11" t="s">
        <v>630</v>
      </c>
      <c r="B236" s="18" t="s">
        <v>624</v>
      </c>
      <c r="C236" s="11" t="s">
        <v>625</v>
      </c>
      <c r="D236" s="90">
        <f>VLOOKUP(A236,Main!A:X,21,0)</f>
        <v>2600000000</v>
      </c>
      <c r="F236" s="92" t="str">
        <f>VLOOKUP(A236,'Positional cal'!A:A,1,0)</f>
        <v>#N/A</v>
      </c>
    </row>
    <row r="237">
      <c r="A237" s="117" t="s">
        <v>631</v>
      </c>
      <c r="B237" s="18" t="s">
        <v>624</v>
      </c>
      <c r="C237" s="11" t="s">
        <v>625</v>
      </c>
      <c r="D237" s="90">
        <f>VLOOKUP(A237,Main!A:X,21,0)</f>
        <v>4400000000</v>
      </c>
      <c r="F237" s="92" t="str">
        <f>VLOOKUP(A237,'Positional cal'!A:A,1,0)</f>
        <v>#N/A</v>
      </c>
    </row>
    <row r="238">
      <c r="A238" s="11" t="s">
        <v>634</v>
      </c>
      <c r="B238" s="18" t="s">
        <v>624</v>
      </c>
      <c r="C238" s="11" t="s">
        <v>625</v>
      </c>
      <c r="D238" s="90">
        <f>VLOOKUP(A238,Main!A:X,21,0)</f>
        <v>2400000000</v>
      </c>
      <c r="F238" s="92" t="str">
        <f>VLOOKUP(A238,'Positional cal'!A:A,1,0)</f>
        <v>#N/A</v>
      </c>
    </row>
    <row r="239">
      <c r="A239" s="11" t="s">
        <v>636</v>
      </c>
      <c r="B239" s="18" t="s">
        <v>624</v>
      </c>
      <c r="C239" s="11" t="s">
        <v>625</v>
      </c>
      <c r="D239" s="90">
        <f>VLOOKUP(A239,Main!A:X,21,0)</f>
        <v>4400000000</v>
      </c>
      <c r="F239" s="92" t="str">
        <f>VLOOKUP(A239,'Positional cal'!A:A,1,0)</f>
        <v>#N/A</v>
      </c>
    </row>
    <row r="240">
      <c r="A240" s="11" t="s">
        <v>637</v>
      </c>
      <c r="B240" s="18" t="s">
        <v>624</v>
      </c>
      <c r="C240" s="11" t="s">
        <v>625</v>
      </c>
      <c r="D240" s="90">
        <f>VLOOKUP(A240,Main!A:X,21,0)</f>
        <v>6000000000</v>
      </c>
      <c r="F240" s="92" t="str">
        <f>VLOOKUP(A240,'Positional cal'!A:A,1,0)</f>
        <v>#N/A</v>
      </c>
    </row>
    <row r="241">
      <c r="A241" s="11" t="s">
        <v>638</v>
      </c>
      <c r="B241" s="18" t="s">
        <v>624</v>
      </c>
      <c r="C241" s="11" t="s">
        <v>625</v>
      </c>
      <c r="D241" s="90">
        <f>VLOOKUP(A241,Main!A:X,21,0)</f>
        <v>100000000000</v>
      </c>
      <c r="F241" s="92" t="str">
        <f>VLOOKUP(A241,'Positional cal'!A:A,1,0)</f>
        <v>#N/A</v>
      </c>
    </row>
    <row r="242">
      <c r="A242" s="11" t="s">
        <v>639</v>
      </c>
      <c r="B242" s="18" t="s">
        <v>624</v>
      </c>
      <c r="C242" s="11" t="s">
        <v>625</v>
      </c>
      <c r="D242" s="90">
        <f>VLOOKUP(A242,Main!A:X,21,0)</f>
        <v>2400000000</v>
      </c>
      <c r="F242" s="92" t="str">
        <f>VLOOKUP(A242,'Positional cal'!A:A,1,0)</f>
        <v>#N/A</v>
      </c>
    </row>
    <row r="243">
      <c r="A243" s="11" t="s">
        <v>640</v>
      </c>
      <c r="B243" s="18" t="s">
        <v>624</v>
      </c>
      <c r="C243" s="11" t="s">
        <v>625</v>
      </c>
      <c r="D243" s="90">
        <f>VLOOKUP(A243,Main!A:X,21,0)</f>
        <v>4600000000</v>
      </c>
      <c r="F243" s="92" t="str">
        <f>VLOOKUP(A243,'Positional cal'!A:A,1,0)</f>
        <v>#N/A</v>
      </c>
    </row>
    <row r="244">
      <c r="A244" s="11" t="s">
        <v>641</v>
      </c>
      <c r="B244" s="18" t="s">
        <v>624</v>
      </c>
      <c r="C244" s="11" t="s">
        <v>625</v>
      </c>
      <c r="D244" s="90">
        <f>VLOOKUP(A244,Main!A:X,21,0)</f>
        <v>3200000000</v>
      </c>
      <c r="F244" s="92" t="str">
        <f>VLOOKUP(A244,'Positional cal'!A:A,1,0)</f>
        <v>#N/A</v>
      </c>
    </row>
    <row r="245">
      <c r="A245" s="11" t="s">
        <v>642</v>
      </c>
      <c r="B245" s="18" t="s">
        <v>624</v>
      </c>
      <c r="C245" s="11" t="s">
        <v>625</v>
      </c>
      <c r="D245" s="90">
        <f>VLOOKUP(A245,Main!A:X,21,0)</f>
        <v>2400000000</v>
      </c>
      <c r="F245" s="92" t="str">
        <f>VLOOKUP(A245,'Positional cal'!A:A,1,0)</f>
        <v>#N/A</v>
      </c>
    </row>
    <row r="246">
      <c r="A246" s="11" t="s">
        <v>645</v>
      </c>
      <c r="B246" s="18" t="s">
        <v>624</v>
      </c>
      <c r="C246" s="11" t="s">
        <v>625</v>
      </c>
      <c r="D246" s="90">
        <f>VLOOKUP(A246,Main!A:X,21,0)</f>
        <v>2200000000</v>
      </c>
      <c r="F246" s="92" t="str">
        <f>VLOOKUP(A246,'Positional cal'!A:A,1,0)</f>
        <v>#N/A</v>
      </c>
    </row>
    <row r="247">
      <c r="A247" s="11" t="s">
        <v>647</v>
      </c>
      <c r="B247" s="18" t="s">
        <v>624</v>
      </c>
      <c r="C247" s="11" t="s">
        <v>625</v>
      </c>
      <c r="D247" s="90">
        <f>VLOOKUP(A247,Main!A:X,21,0)</f>
        <v>5200000000</v>
      </c>
      <c r="F247" s="92" t="str">
        <f>VLOOKUP(A247,'Positional cal'!A:A,1,0)</f>
        <v>#N/A</v>
      </c>
    </row>
    <row r="248">
      <c r="A248" s="11" t="s">
        <v>648</v>
      </c>
      <c r="B248" s="18" t="s">
        <v>624</v>
      </c>
      <c r="C248" s="11" t="s">
        <v>625</v>
      </c>
      <c r="D248" s="90">
        <f>VLOOKUP(A248,Main!A:X,21,0)</f>
        <v>10000000000000</v>
      </c>
      <c r="F248" s="92" t="str">
        <f>VLOOKUP(A248,'Positional cal'!A:A,1,0)</f>
        <v>#N/A</v>
      </c>
    </row>
    <row r="249">
      <c r="A249" s="11" t="s">
        <v>149</v>
      </c>
      <c r="B249" s="18" t="s">
        <v>624</v>
      </c>
      <c r="C249" s="11" t="s">
        <v>625</v>
      </c>
      <c r="D249" s="90">
        <f>VLOOKUP(A249,Main!A:X,21,0)</f>
        <v>100000000000</v>
      </c>
      <c r="F249" s="92" t="str">
        <f>VLOOKUP(A249,'Positional cal'!A:A,1,0)</f>
        <v>#N/A</v>
      </c>
    </row>
    <row r="250">
      <c r="A250" s="11" t="s">
        <v>650</v>
      </c>
      <c r="B250" s="18" t="s">
        <v>624</v>
      </c>
      <c r="C250" s="11" t="s">
        <v>625</v>
      </c>
      <c r="D250" s="90">
        <f>VLOOKUP(A250,Main!A:X,21,0)</f>
        <v>2000000000</v>
      </c>
      <c r="F250" s="92" t="str">
        <f>VLOOKUP(A250,'Positional cal'!A:A,1,0)</f>
        <v>#N/A</v>
      </c>
    </row>
    <row r="251">
      <c r="A251" s="11" t="s">
        <v>651</v>
      </c>
      <c r="B251" s="18" t="s">
        <v>624</v>
      </c>
      <c r="C251" s="11" t="s">
        <v>625</v>
      </c>
      <c r="D251" s="90" t="str">
        <f>VLOOKUP(A251,Main!A:X,21,0)</f>
        <v/>
      </c>
      <c r="F251" s="92" t="str">
        <f>VLOOKUP(A251,'Positional cal'!A:A,1,0)</f>
        <v>#N/A</v>
      </c>
    </row>
    <row r="252">
      <c r="A252" s="11" t="s">
        <v>652</v>
      </c>
      <c r="B252" s="18" t="s">
        <v>624</v>
      </c>
      <c r="C252" s="11" t="s">
        <v>625</v>
      </c>
      <c r="D252" s="90">
        <f>VLOOKUP(A252,Main!A:X,21,0)</f>
        <v>6000000000</v>
      </c>
      <c r="F252" s="92" t="str">
        <f>VLOOKUP(A252,'Positional cal'!A:A,1,0)</f>
        <v>#N/A</v>
      </c>
    </row>
    <row r="253">
      <c r="A253" s="11" t="s">
        <v>653</v>
      </c>
      <c r="B253" s="18" t="s">
        <v>624</v>
      </c>
      <c r="C253" s="11" t="s">
        <v>625</v>
      </c>
      <c r="D253" s="90">
        <f>VLOOKUP(A253,Main!A:X,21,0)</f>
        <v>100000000000</v>
      </c>
      <c r="F253" s="92" t="str">
        <f>VLOOKUP(A253,'Positional cal'!A:A,1,0)</f>
        <v>#N/A</v>
      </c>
    </row>
    <row r="254">
      <c r="A254" s="11" t="s">
        <v>655</v>
      </c>
      <c r="B254" s="11" t="s">
        <v>624</v>
      </c>
      <c r="C254" s="11" t="s">
        <v>625</v>
      </c>
      <c r="D254" s="90">
        <f>VLOOKUP(A254,Main!A:X,21,0)</f>
        <v>2400000000</v>
      </c>
      <c r="F254" s="92" t="str">
        <f>VLOOKUP(A254,'Positional cal'!A:A,1,0)</f>
        <v>#N/A</v>
      </c>
    </row>
    <row r="255">
      <c r="A255" s="11" t="s">
        <v>657</v>
      </c>
      <c r="B255" s="11" t="s">
        <v>624</v>
      </c>
      <c r="C255" s="11" t="s">
        <v>625</v>
      </c>
      <c r="D255" s="90">
        <f>VLOOKUP(A255,Main!A:X,21,0)</f>
        <v>5000000000</v>
      </c>
      <c r="F255" s="92" t="str">
        <f>VLOOKUP(A255,'Positional cal'!A:A,1,0)</f>
        <v>#N/A</v>
      </c>
    </row>
    <row r="256">
      <c r="A256" s="11" t="s">
        <v>658</v>
      </c>
      <c r="B256" s="18" t="s">
        <v>162</v>
      </c>
      <c r="C256" s="11" t="s">
        <v>586</v>
      </c>
      <c r="D256" s="90">
        <f>VLOOKUP(A256,Main!A:X,21,0)</f>
        <v>420000</v>
      </c>
      <c r="F256" s="92" t="str">
        <f>VLOOKUP(A256,'Positional cal'!A:A,1,0)</f>
        <v>#N/A</v>
      </c>
    </row>
    <row r="257">
      <c r="A257" s="11" t="s">
        <v>659</v>
      </c>
      <c r="B257" s="18" t="s">
        <v>162</v>
      </c>
      <c r="C257" s="11" t="s">
        <v>586</v>
      </c>
      <c r="D257" s="90">
        <f>VLOOKUP(A257,Main!A:X,21,0)</f>
        <v>140000</v>
      </c>
      <c r="F257" s="92" t="str">
        <f>VLOOKUP(A257,'Positional cal'!A:A,1,0)</f>
        <v>#N/A</v>
      </c>
    </row>
    <row r="258">
      <c r="A258" s="11" t="s">
        <v>660</v>
      </c>
      <c r="B258" s="18" t="s">
        <v>162</v>
      </c>
      <c r="C258" s="11" t="s">
        <v>586</v>
      </c>
      <c r="D258" s="90">
        <f>VLOOKUP(A258,Main!A:X,21,0)</f>
        <v>70000000</v>
      </c>
      <c r="F258" s="92" t="str">
        <f>VLOOKUP(A258,'Positional cal'!A:A,1,0)</f>
        <v>#N/A</v>
      </c>
    </row>
    <row r="259">
      <c r="A259" s="11" t="s">
        <v>661</v>
      </c>
      <c r="B259" s="18" t="s">
        <v>162</v>
      </c>
      <c r="C259" s="11" t="s">
        <v>586</v>
      </c>
      <c r="D259" s="90">
        <f>VLOOKUP(A259,Main!A:X,21,0)</f>
        <v>168000</v>
      </c>
      <c r="F259" s="92" t="str">
        <f>VLOOKUP(A259,'Positional cal'!A:A,1,0)</f>
        <v>#N/A</v>
      </c>
    </row>
    <row r="260">
      <c r="A260" s="11" t="s">
        <v>662</v>
      </c>
      <c r="B260" s="18" t="s">
        <v>162</v>
      </c>
      <c r="C260" s="11" t="s">
        <v>586</v>
      </c>
      <c r="D260" s="90">
        <f>VLOOKUP(A260,Main!A:X,21,0)</f>
        <v>2200000000</v>
      </c>
      <c r="F260" s="92" t="str">
        <f>VLOOKUP(A260,'Positional cal'!A:A,1,0)</f>
        <v>#N/A</v>
      </c>
    </row>
    <row r="261">
      <c r="A261" s="11" t="s">
        <v>160</v>
      </c>
      <c r="B261" s="11" t="s">
        <v>162</v>
      </c>
      <c r="C261" s="11" t="s">
        <v>586</v>
      </c>
      <c r="D261" s="90">
        <f>VLOOKUP(A261,Main!A:X,21,0)</f>
        <v>200000</v>
      </c>
      <c r="F261" s="92" t="str">
        <f>VLOOKUP(A261,'Positional cal'!A:A,1,0)</f>
        <v>#N/A</v>
      </c>
    </row>
    <row r="262">
      <c r="A262" s="11" t="s">
        <v>666</v>
      </c>
      <c r="B262" s="18" t="s">
        <v>667</v>
      </c>
      <c r="C262" s="11" t="s">
        <v>625</v>
      </c>
      <c r="D262" s="90">
        <f>VLOOKUP(A262,Main!A:X,21,0)</f>
        <v>2000000000</v>
      </c>
      <c r="F262" s="92" t="str">
        <f>VLOOKUP(A262,'Positional cal'!A:A,1,0)</f>
        <v>#N/A</v>
      </c>
    </row>
    <row r="263">
      <c r="A263" s="11" t="s">
        <v>668</v>
      </c>
      <c r="B263" s="18" t="s">
        <v>667</v>
      </c>
      <c r="C263" s="11" t="s">
        <v>625</v>
      </c>
      <c r="D263" s="90" t="str">
        <f>VLOOKUP(A263,Main!A:X,21,0)</f>
        <v/>
      </c>
      <c r="F263" s="92" t="str">
        <f>VLOOKUP(A263,'Positional cal'!A:A,1,0)</f>
        <v>#N/A</v>
      </c>
    </row>
    <row r="264">
      <c r="A264" s="11" t="s">
        <v>669</v>
      </c>
      <c r="B264" s="18" t="s">
        <v>667</v>
      </c>
      <c r="C264" s="11" t="s">
        <v>625</v>
      </c>
      <c r="D264" s="90">
        <f>VLOOKUP(A264,Main!A:X,21,0)</f>
        <v>2600000000</v>
      </c>
      <c r="F264" s="92" t="str">
        <f>VLOOKUP(A264,'Positional cal'!A:A,1,0)</f>
        <v>#N/A</v>
      </c>
    </row>
    <row r="265">
      <c r="A265" s="11" t="s">
        <v>670</v>
      </c>
      <c r="B265" s="18" t="s">
        <v>667</v>
      </c>
      <c r="C265" s="11" t="s">
        <v>625</v>
      </c>
      <c r="D265" s="90">
        <f>VLOOKUP(A265,Main!A:X,21,0)</f>
        <v>2000000000</v>
      </c>
      <c r="F265" s="92" t="str">
        <f>VLOOKUP(A265,'Positional cal'!A:A,1,0)</f>
        <v>#N/A</v>
      </c>
    </row>
    <row r="266">
      <c r="A266" s="11" t="s">
        <v>154</v>
      </c>
      <c r="B266" s="11" t="s">
        <v>667</v>
      </c>
      <c r="C266" s="11" t="s">
        <v>625</v>
      </c>
      <c r="D266" s="90">
        <f>VLOOKUP(A266,Main!A:X,21,0)</f>
        <v>760000</v>
      </c>
      <c r="F266" s="92" t="str">
        <f>VLOOKUP(A266,'Positional cal'!A:A,1,0)</f>
        <v>#N/A</v>
      </c>
    </row>
    <row r="267">
      <c r="A267" s="11" t="s">
        <v>671</v>
      </c>
      <c r="B267" s="11" t="s">
        <v>667</v>
      </c>
      <c r="C267" s="11" t="s">
        <v>625</v>
      </c>
      <c r="D267" s="90" t="str">
        <f>VLOOKUP(A267,Main!A:X,21,0)</f>
        <v/>
      </c>
      <c r="F267" s="92" t="str">
        <f>VLOOKUP(A267,'Positional cal'!A:A,1,0)</f>
        <v>#N/A</v>
      </c>
    </row>
    <row r="268">
      <c r="A268" s="11" t="s">
        <v>673</v>
      </c>
      <c r="B268" s="18" t="s">
        <v>667</v>
      </c>
      <c r="C268" s="11" t="s">
        <v>625</v>
      </c>
      <c r="D268" s="90">
        <f>VLOOKUP(A268,Main!A:X,21,0)</f>
        <v>160000</v>
      </c>
      <c r="F268" s="92" t="str">
        <f>VLOOKUP(A268,'Positional cal'!A:A,1,0)</f>
        <v>#N/A</v>
      </c>
    </row>
    <row r="269">
      <c r="A269" s="11" t="s">
        <v>672</v>
      </c>
      <c r="B269" s="18" t="s">
        <v>674</v>
      </c>
      <c r="C269" s="11" t="s">
        <v>586</v>
      </c>
      <c r="D269" s="90">
        <f>VLOOKUP(A269,Main!A:X,21,0)</f>
        <v>280000</v>
      </c>
      <c r="F269" s="92" t="str">
        <f>VLOOKUP(A269,'Positional cal'!A:A,1,0)</f>
        <v>#N/A</v>
      </c>
    </row>
    <row r="270">
      <c r="A270" s="11" t="s">
        <v>677</v>
      </c>
      <c r="B270" s="18" t="s">
        <v>674</v>
      </c>
      <c r="C270" s="11" t="s">
        <v>586</v>
      </c>
      <c r="D270" s="90">
        <f>VLOOKUP(A270,Main!A:X,21,0)</f>
        <v>420000</v>
      </c>
      <c r="F270" s="92" t="str">
        <f>VLOOKUP(A270,'Positional cal'!A:A,1,0)</f>
        <v>#N/A</v>
      </c>
    </row>
    <row r="271">
      <c r="A271" s="11" t="s">
        <v>678</v>
      </c>
      <c r="B271" s="18" t="s">
        <v>674</v>
      </c>
      <c r="C271" s="11" t="s">
        <v>586</v>
      </c>
      <c r="D271" s="90">
        <f>VLOOKUP(A271,Main!A:X,21,0)</f>
        <v>196000</v>
      </c>
      <c r="F271" s="92" t="str">
        <f>VLOOKUP(A271,'Positional cal'!A:A,1,0)</f>
        <v>#N/A</v>
      </c>
    </row>
    <row r="272">
      <c r="A272" s="11" t="s">
        <v>679</v>
      </c>
      <c r="B272" s="18" t="s">
        <v>674</v>
      </c>
      <c r="C272" s="11" t="s">
        <v>586</v>
      </c>
      <c r="D272" s="90">
        <f>VLOOKUP(A272,Main!A:X,21,0)</f>
        <v>196000</v>
      </c>
      <c r="F272" s="92" t="str">
        <f>VLOOKUP(A272,'Positional cal'!A:A,1,0)</f>
        <v>#N/A</v>
      </c>
    </row>
    <row r="273">
      <c r="A273" s="11" t="s">
        <v>680</v>
      </c>
      <c r="B273" s="18" t="s">
        <v>674</v>
      </c>
      <c r="C273" s="11" t="s">
        <v>586</v>
      </c>
      <c r="D273" s="90">
        <f>VLOOKUP(A273,Main!A:X,21,0)</f>
        <v>266000</v>
      </c>
      <c r="F273" s="92" t="str">
        <f>VLOOKUP(A273,'Positional cal'!A:A,1,0)</f>
        <v>#N/A</v>
      </c>
    </row>
    <row r="274">
      <c r="A274" s="11" t="s">
        <v>681</v>
      </c>
      <c r="B274" s="42" t="s">
        <v>674</v>
      </c>
      <c r="C274" s="11" t="s">
        <v>586</v>
      </c>
      <c r="D274" s="90">
        <f>VLOOKUP(A274,Main!A:X,21,0)</f>
        <v>7000000</v>
      </c>
      <c r="F274" s="92" t="str">
        <f>VLOOKUP(A274,'Positional cal'!A:A,1,0)</f>
        <v>#N/A</v>
      </c>
    </row>
    <row r="275">
      <c r="A275" s="11" t="s">
        <v>682</v>
      </c>
      <c r="B275" s="42" t="s">
        <v>674</v>
      </c>
      <c r="C275" s="11" t="s">
        <v>586</v>
      </c>
      <c r="D275" s="90">
        <f>VLOOKUP(A275,Main!A:X,21,0)</f>
        <v>140000</v>
      </c>
      <c r="F275" s="92" t="str">
        <f>VLOOKUP(A275,'Positional cal'!A:A,1,0)</f>
        <v>#N/A</v>
      </c>
    </row>
    <row r="276">
      <c r="A276" s="11" t="s">
        <v>683</v>
      </c>
      <c r="B276" s="42" t="s">
        <v>674</v>
      </c>
      <c r="C276" s="11" t="s">
        <v>586</v>
      </c>
      <c r="D276" s="90">
        <f>VLOOKUP(A276,Main!A:X,21,0)</f>
        <v>252000</v>
      </c>
      <c r="F276" s="92" t="str">
        <f>VLOOKUP(A276,'Positional cal'!A:A,1,0)</f>
        <v>#N/A</v>
      </c>
    </row>
    <row r="277">
      <c r="A277" s="11" t="s">
        <v>685</v>
      </c>
      <c r="B277" s="42" t="s">
        <v>674</v>
      </c>
      <c r="C277" s="11" t="s">
        <v>586</v>
      </c>
      <c r="D277" s="90">
        <f>VLOOKUP(A277,Main!A:X,21,0)</f>
        <v>168000</v>
      </c>
      <c r="F277" s="92" t="str">
        <f>VLOOKUP(A277,'Positional cal'!A:A,1,0)</f>
        <v>#N/A</v>
      </c>
    </row>
    <row r="278">
      <c r="A278" s="11" t="s">
        <v>686</v>
      </c>
      <c r="B278" s="42" t="s">
        <v>674</v>
      </c>
      <c r="C278" s="11" t="s">
        <v>586</v>
      </c>
      <c r="D278" s="90">
        <f>VLOOKUP(A278,Main!A:X,21,0)</f>
        <v>168000</v>
      </c>
      <c r="F278" s="92" t="str">
        <f>VLOOKUP(A278,'Positional cal'!A:A,1,0)</f>
        <v>#N/A</v>
      </c>
    </row>
    <row r="279">
      <c r="A279" s="11" t="s">
        <v>687</v>
      </c>
      <c r="B279" s="42" t="s">
        <v>674</v>
      </c>
      <c r="C279" s="11" t="s">
        <v>586</v>
      </c>
      <c r="D279" s="90">
        <f>VLOOKUP(A279,Main!A:X,21,0)</f>
        <v>630000</v>
      </c>
      <c r="F279" s="92" t="str">
        <f>VLOOKUP(A279,'Positional cal'!A:A,1,0)</f>
        <v>#N/A</v>
      </c>
    </row>
    <row r="280">
      <c r="A280" s="11" t="s">
        <v>688</v>
      </c>
      <c r="B280" s="42" t="s">
        <v>674</v>
      </c>
      <c r="C280" s="11" t="s">
        <v>586</v>
      </c>
      <c r="D280" s="90">
        <f>VLOOKUP(A280,Main!A:X,21,0)</f>
        <v>182000</v>
      </c>
      <c r="F280" s="92" t="str">
        <f>VLOOKUP(A280,'Positional cal'!A:A,1,0)</f>
        <v>#N/A</v>
      </c>
    </row>
    <row r="281">
      <c r="A281" s="11" t="s">
        <v>689</v>
      </c>
      <c r="B281" s="42" t="s">
        <v>674</v>
      </c>
      <c r="C281" s="11" t="s">
        <v>586</v>
      </c>
      <c r="D281" s="90" t="str">
        <f>VLOOKUP(A281,Main!A:X,21,0)</f>
        <v/>
      </c>
      <c r="F281" s="92" t="str">
        <f>VLOOKUP(A281,'Positional cal'!A:A,1,0)</f>
        <v>#N/A</v>
      </c>
    </row>
    <row r="282">
      <c r="A282" s="11" t="s">
        <v>690</v>
      </c>
      <c r="B282" s="42" t="s">
        <v>674</v>
      </c>
      <c r="C282" s="11" t="s">
        <v>586</v>
      </c>
      <c r="D282" s="90">
        <f>VLOOKUP(A282,Main!A:X,21,0)</f>
        <v>588000</v>
      </c>
      <c r="F282" s="92" t="str">
        <f>VLOOKUP(A282,'Positional cal'!A:A,1,0)</f>
        <v>#N/A</v>
      </c>
    </row>
    <row r="283">
      <c r="A283" s="11" t="s">
        <v>693</v>
      </c>
      <c r="B283" s="42" t="s">
        <v>674</v>
      </c>
      <c r="C283" s="11" t="s">
        <v>586</v>
      </c>
      <c r="D283" s="90">
        <f>VLOOKUP(A283,Main!A:X,21,0)</f>
        <v>140000</v>
      </c>
      <c r="F283" s="92" t="str">
        <f>VLOOKUP(A283,'Positional cal'!A:A,1,0)</f>
        <v>#N/A</v>
      </c>
    </row>
    <row r="284">
      <c r="A284" s="11" t="s">
        <v>694</v>
      </c>
      <c r="B284" s="42" t="s">
        <v>674</v>
      </c>
      <c r="C284" s="11" t="s">
        <v>586</v>
      </c>
      <c r="D284" s="90">
        <f>VLOOKUP(A284,Main!A:X,21,0)</f>
        <v>672000</v>
      </c>
      <c r="F284" s="92" t="str">
        <f>VLOOKUP(A284,'Positional cal'!A:A,1,0)</f>
        <v>#N/A</v>
      </c>
    </row>
    <row r="285">
      <c r="A285" s="11" t="s">
        <v>695</v>
      </c>
      <c r="B285" s="42" t="s">
        <v>674</v>
      </c>
      <c r="C285" s="11" t="s">
        <v>586</v>
      </c>
      <c r="D285" s="90">
        <f>VLOOKUP(A285,Main!A:X,21,0)</f>
        <v>196000</v>
      </c>
      <c r="F285" s="92" t="str">
        <f>VLOOKUP(A285,'Positional cal'!A:A,1,0)</f>
        <v>#N/A</v>
      </c>
    </row>
    <row r="286">
      <c r="A286" s="11" t="s">
        <v>684</v>
      </c>
      <c r="B286" s="18" t="s">
        <v>674</v>
      </c>
      <c r="C286" s="11" t="s">
        <v>586</v>
      </c>
      <c r="D286" s="90">
        <f>VLOOKUP(A286,Main!A:X,21,0)</f>
        <v>546000</v>
      </c>
      <c r="F286" s="92" t="str">
        <f>VLOOKUP(A286,'Positional cal'!A:A,1,0)</f>
        <v>#N/A</v>
      </c>
    </row>
    <row r="287">
      <c r="A287" s="11" t="s">
        <v>696</v>
      </c>
      <c r="B287" s="42" t="s">
        <v>674</v>
      </c>
      <c r="C287" s="11" t="s">
        <v>586</v>
      </c>
      <c r="D287" s="90">
        <f>VLOOKUP(A287,Main!A:X,21,0)</f>
        <v>168000</v>
      </c>
      <c r="F287" s="92" t="str">
        <f>VLOOKUP(A287,'Positional cal'!A:A,1,0)</f>
        <v>#N/A</v>
      </c>
    </row>
    <row r="288">
      <c r="A288" s="11" t="s">
        <v>697</v>
      </c>
      <c r="B288" s="42" t="s">
        <v>674</v>
      </c>
      <c r="C288" s="11" t="s">
        <v>586</v>
      </c>
      <c r="D288" s="90">
        <f>VLOOKUP(A288,Main!A:X,21,0)</f>
        <v>140000</v>
      </c>
      <c r="F288" s="92" t="str">
        <f>VLOOKUP(A288,'Positional cal'!A:A,1,0)</f>
        <v>#N/A</v>
      </c>
    </row>
    <row r="289">
      <c r="A289" s="11" t="s">
        <v>698</v>
      </c>
      <c r="B289" s="42" t="s">
        <v>674</v>
      </c>
      <c r="C289" s="11" t="s">
        <v>586</v>
      </c>
      <c r="D289" s="90">
        <f>VLOOKUP(A289,Main!A:X,21,0)</f>
        <v>560000</v>
      </c>
      <c r="F289" s="92" t="str">
        <f>VLOOKUP(A289,'Positional cal'!A:A,1,0)</f>
        <v>#N/A</v>
      </c>
    </row>
    <row r="290">
      <c r="A290" s="11" t="s">
        <v>699</v>
      </c>
      <c r="B290" s="42" t="s">
        <v>674</v>
      </c>
      <c r="C290" s="11" t="s">
        <v>586</v>
      </c>
      <c r="D290" s="90" t="str">
        <f>VLOOKUP(A290,Main!A:X,21,0)</f>
        <v/>
      </c>
      <c r="F290" s="92" t="str">
        <f>VLOOKUP(A290,'Positional cal'!A:A,1,0)</f>
        <v>#N/A</v>
      </c>
    </row>
    <row r="291">
      <c r="A291" s="25" t="s">
        <v>663</v>
      </c>
      <c r="B291" s="42" t="s">
        <v>674</v>
      </c>
      <c r="C291" s="11" t="s">
        <v>586</v>
      </c>
      <c r="D291" s="90">
        <f>VLOOKUP(A291,Main!A:X,21,0)</f>
        <v>280000</v>
      </c>
      <c r="F291" s="92" t="str">
        <f>VLOOKUP(A291,'Positional cal'!A:A,1,0)</f>
        <v>#N/A</v>
      </c>
    </row>
    <row r="292">
      <c r="A292" s="11" t="s">
        <v>700</v>
      </c>
      <c r="B292" s="11" t="s">
        <v>674</v>
      </c>
      <c r="C292" s="11" t="s">
        <v>586</v>
      </c>
      <c r="D292" s="90">
        <f>VLOOKUP(A292,Main!A:X,21,0)</f>
        <v>182000</v>
      </c>
      <c r="F292" s="92" t="str">
        <f>VLOOKUP(A292,'Positional cal'!A:A,1,0)</f>
        <v>#N/A</v>
      </c>
    </row>
    <row r="293">
      <c r="A293" s="11" t="s">
        <v>701</v>
      </c>
      <c r="B293" s="11" t="s">
        <v>674</v>
      </c>
      <c r="C293" s="11" t="s">
        <v>586</v>
      </c>
      <c r="D293" s="90" t="str">
        <f>VLOOKUP(A293,Main!A:X,21,0)</f>
        <v/>
      </c>
      <c r="F293" s="92" t="str">
        <f>VLOOKUP(A293,'Positional cal'!A:A,1,0)</f>
        <v>#N/A</v>
      </c>
    </row>
    <row r="294">
      <c r="A294" s="11" t="s">
        <v>702</v>
      </c>
      <c r="B294" s="18" t="s">
        <v>674</v>
      </c>
      <c r="C294" s="11" t="s">
        <v>586</v>
      </c>
      <c r="D294" s="90" t="str">
        <f>VLOOKUP(A294,Main!A:X,21,0)</f>
        <v/>
      </c>
      <c r="F294" s="92" t="str">
        <f>VLOOKUP(A294,'Positional cal'!A:A,1,0)</f>
        <v>#N/A</v>
      </c>
    </row>
    <row r="295">
      <c r="A295" s="11" t="s">
        <v>705</v>
      </c>
      <c r="B295" s="11" t="s">
        <v>674</v>
      </c>
      <c r="C295" s="11" t="s">
        <v>586</v>
      </c>
      <c r="D295" s="90" t="str">
        <f>VLOOKUP(A295,Main!A:X,21,0)</f>
        <v/>
      </c>
      <c r="F295" s="92" t="str">
        <f>VLOOKUP(A295,'Positional cal'!A:A,1,0)</f>
        <v>#N/A</v>
      </c>
    </row>
    <row r="296">
      <c r="A296" s="11" t="s">
        <v>706</v>
      </c>
      <c r="B296" s="11" t="s">
        <v>674</v>
      </c>
      <c r="C296" s="11" t="s">
        <v>586</v>
      </c>
      <c r="D296" s="90">
        <f>VLOOKUP(A296,Main!A:X,21,0)</f>
        <v>252000</v>
      </c>
      <c r="F296" s="92" t="str">
        <f>VLOOKUP(A296,'Positional cal'!A:A,1,0)</f>
        <v>#N/A</v>
      </c>
    </row>
    <row r="297">
      <c r="A297" s="11" t="s">
        <v>707</v>
      </c>
      <c r="B297" s="18"/>
      <c r="C297" s="18"/>
    </row>
    <row r="298">
      <c r="A298" s="11" t="s">
        <v>708</v>
      </c>
      <c r="B298" s="18"/>
      <c r="C298" s="18"/>
    </row>
    <row r="299">
      <c r="A299" s="11" t="s">
        <v>709</v>
      </c>
      <c r="B299" s="18"/>
      <c r="C299" s="18"/>
    </row>
    <row r="300">
      <c r="A300" s="91"/>
    </row>
    <row r="301">
      <c r="A301" s="91"/>
    </row>
    <row r="302">
      <c r="A302" s="91"/>
    </row>
    <row r="303">
      <c r="A303" s="91"/>
    </row>
    <row r="304">
      <c r="A304" s="91"/>
    </row>
    <row r="305">
      <c r="A305" s="91"/>
    </row>
    <row r="306">
      <c r="A306" s="91"/>
    </row>
    <row r="307">
      <c r="A307" s="91"/>
    </row>
    <row r="308">
      <c r="A308" s="91"/>
    </row>
    <row r="309">
      <c r="A309" s="91"/>
    </row>
    <row r="310">
      <c r="A310" s="91"/>
    </row>
    <row r="311">
      <c r="A311" s="91"/>
    </row>
    <row r="312">
      <c r="A312" s="91"/>
    </row>
    <row r="313">
      <c r="A313" s="91"/>
    </row>
    <row r="314">
      <c r="A314" s="91"/>
    </row>
    <row r="315">
      <c r="A315" s="91"/>
    </row>
    <row r="316">
      <c r="A316" s="91"/>
    </row>
    <row r="317">
      <c r="A317" s="91"/>
    </row>
    <row r="318">
      <c r="A318" s="91"/>
    </row>
    <row r="319">
      <c r="A319" s="91"/>
    </row>
    <row r="320">
      <c r="A320" s="91"/>
    </row>
    <row r="321">
      <c r="A321" s="91"/>
    </row>
    <row r="322">
      <c r="A322" s="91"/>
    </row>
    <row r="323">
      <c r="A323" s="91"/>
    </row>
    <row r="324">
      <c r="A324" s="91"/>
    </row>
    <row r="325">
      <c r="A325" s="91"/>
    </row>
    <row r="326">
      <c r="A326" s="91"/>
    </row>
    <row r="327">
      <c r="A327" s="91"/>
    </row>
    <row r="328">
      <c r="A328" s="91"/>
    </row>
    <row r="329">
      <c r="A329" s="91"/>
    </row>
    <row r="330">
      <c r="A330" s="91"/>
    </row>
    <row r="331">
      <c r="A331" s="91"/>
    </row>
    <row r="332">
      <c r="A332" s="91"/>
    </row>
    <row r="333">
      <c r="A333" s="91"/>
    </row>
    <row r="334">
      <c r="A334" s="91"/>
    </row>
    <row r="335">
      <c r="A335" s="91"/>
    </row>
    <row r="336">
      <c r="A336" s="91"/>
    </row>
    <row r="337">
      <c r="A337" s="91"/>
    </row>
    <row r="338">
      <c r="A338" s="91"/>
    </row>
    <row r="339">
      <c r="A339" s="91"/>
    </row>
    <row r="340">
      <c r="A340" s="91"/>
    </row>
    <row r="341">
      <c r="A341" s="91"/>
    </row>
    <row r="342">
      <c r="A342" s="91"/>
    </row>
    <row r="343">
      <c r="A343" s="91"/>
    </row>
    <row r="344">
      <c r="A344" s="91"/>
    </row>
    <row r="345">
      <c r="A345" s="91"/>
    </row>
    <row r="346">
      <c r="A346" s="91"/>
    </row>
    <row r="347">
      <c r="A347" s="91"/>
    </row>
    <row r="348">
      <c r="A348" s="91"/>
    </row>
    <row r="349">
      <c r="A349" s="91"/>
    </row>
    <row r="350">
      <c r="A350" s="91"/>
    </row>
    <row r="351">
      <c r="A351" s="91"/>
    </row>
    <row r="352">
      <c r="A352" s="91"/>
    </row>
    <row r="353">
      <c r="A353" s="91"/>
    </row>
    <row r="354">
      <c r="A354" s="91"/>
    </row>
    <row r="355">
      <c r="A355" s="91"/>
    </row>
    <row r="356">
      <c r="A356" s="91"/>
    </row>
    <row r="357">
      <c r="A357" s="91"/>
    </row>
    <row r="358">
      <c r="A358" s="91"/>
    </row>
    <row r="359">
      <c r="A359" s="91"/>
    </row>
    <row r="360">
      <c r="A360" s="91"/>
    </row>
    <row r="361">
      <c r="A361" s="91"/>
    </row>
    <row r="362">
      <c r="A362" s="91"/>
    </row>
    <row r="363">
      <c r="A363" s="91"/>
    </row>
    <row r="364">
      <c r="A364" s="91"/>
    </row>
    <row r="365">
      <c r="A365" s="91"/>
    </row>
    <row r="366">
      <c r="A366" s="91"/>
    </row>
    <row r="367">
      <c r="A367" s="91"/>
    </row>
    <row r="368">
      <c r="A368" s="91"/>
    </row>
    <row r="369">
      <c r="A369" s="91"/>
    </row>
    <row r="370">
      <c r="A370" s="91"/>
    </row>
    <row r="371">
      <c r="A371" s="91"/>
    </row>
    <row r="372">
      <c r="A372" s="91"/>
    </row>
    <row r="373">
      <c r="A373" s="91"/>
    </row>
    <row r="374">
      <c r="A374" s="91"/>
    </row>
    <row r="375">
      <c r="A375" s="91"/>
    </row>
    <row r="376">
      <c r="A376" s="91"/>
    </row>
    <row r="377">
      <c r="A377" s="91"/>
    </row>
    <row r="378">
      <c r="A378" s="91"/>
    </row>
    <row r="379">
      <c r="A379" s="91"/>
    </row>
    <row r="380">
      <c r="A380" s="91"/>
    </row>
    <row r="381">
      <c r="A381" s="91"/>
    </row>
    <row r="382">
      <c r="A382" s="91"/>
    </row>
    <row r="383">
      <c r="A383" s="91"/>
    </row>
    <row r="384">
      <c r="A384" s="91"/>
    </row>
    <row r="385">
      <c r="A385" s="91"/>
    </row>
    <row r="386">
      <c r="A386" s="91"/>
    </row>
    <row r="387">
      <c r="A387" s="91"/>
    </row>
    <row r="388">
      <c r="A388" s="91"/>
    </row>
    <row r="389">
      <c r="A389" s="91"/>
    </row>
    <row r="390">
      <c r="A390" s="91"/>
    </row>
    <row r="391">
      <c r="A391" s="91"/>
    </row>
    <row r="392">
      <c r="A392" s="91"/>
    </row>
    <row r="393">
      <c r="A393" s="91"/>
    </row>
    <row r="394">
      <c r="A394" s="91"/>
    </row>
    <row r="395">
      <c r="A395" s="91"/>
    </row>
    <row r="396">
      <c r="A396" s="91"/>
    </row>
    <row r="397">
      <c r="A397" s="91"/>
    </row>
    <row r="398">
      <c r="A398" s="91"/>
    </row>
    <row r="399">
      <c r="A399" s="91"/>
    </row>
    <row r="400">
      <c r="A400" s="91"/>
    </row>
    <row r="401">
      <c r="A401" s="91"/>
    </row>
    <row r="402">
      <c r="A402" s="91"/>
    </row>
    <row r="403">
      <c r="A403" s="91"/>
    </row>
    <row r="404">
      <c r="A404" s="91"/>
    </row>
    <row r="405">
      <c r="A405" s="91"/>
    </row>
    <row r="406">
      <c r="A406" s="91"/>
    </row>
    <row r="407">
      <c r="A407" s="91"/>
    </row>
    <row r="408">
      <c r="A408" s="91"/>
    </row>
    <row r="409">
      <c r="A409" s="91"/>
    </row>
    <row r="410">
      <c r="A410" s="91"/>
    </row>
    <row r="411">
      <c r="A411" s="91"/>
    </row>
    <row r="412">
      <c r="A412" s="91"/>
    </row>
    <row r="413">
      <c r="A413" s="91"/>
    </row>
    <row r="414">
      <c r="A414" s="91"/>
    </row>
    <row r="415">
      <c r="A415" s="91"/>
    </row>
    <row r="416">
      <c r="A416" s="91"/>
    </row>
    <row r="417">
      <c r="A417" s="91"/>
    </row>
    <row r="418">
      <c r="A418" s="91"/>
    </row>
    <row r="419">
      <c r="A419" s="91"/>
    </row>
    <row r="420">
      <c r="A420" s="91"/>
    </row>
    <row r="421">
      <c r="A421" s="91"/>
    </row>
    <row r="422">
      <c r="A422" s="91"/>
    </row>
    <row r="423">
      <c r="A423" s="91"/>
    </row>
    <row r="424">
      <c r="A424" s="91"/>
    </row>
    <row r="425">
      <c r="A425" s="91"/>
    </row>
    <row r="426">
      <c r="A426" s="91"/>
    </row>
    <row r="427">
      <c r="A427" s="91"/>
    </row>
    <row r="428">
      <c r="A428" s="91"/>
    </row>
    <row r="429">
      <c r="A429" s="91"/>
    </row>
    <row r="430">
      <c r="A430" s="91"/>
    </row>
    <row r="431">
      <c r="A431" s="91"/>
    </row>
    <row r="432">
      <c r="A432" s="91"/>
    </row>
    <row r="433">
      <c r="A433" s="91"/>
    </row>
    <row r="434">
      <c r="A434" s="91"/>
    </row>
    <row r="435">
      <c r="A435" s="91"/>
    </row>
    <row r="436">
      <c r="A436" s="91"/>
    </row>
    <row r="437">
      <c r="A437" s="91"/>
    </row>
    <row r="438">
      <c r="A438" s="91"/>
    </row>
    <row r="439">
      <c r="A439" s="91"/>
    </row>
    <row r="440">
      <c r="A440" s="91"/>
    </row>
    <row r="441">
      <c r="A441" s="91"/>
    </row>
    <row r="442">
      <c r="A442" s="91"/>
    </row>
    <row r="443">
      <c r="A443" s="91"/>
    </row>
    <row r="444">
      <c r="A444" s="91"/>
    </row>
    <row r="445">
      <c r="A445" s="91"/>
    </row>
    <row r="446">
      <c r="A446" s="91"/>
    </row>
    <row r="447">
      <c r="A447" s="91"/>
    </row>
    <row r="448">
      <c r="A448" s="91"/>
    </row>
    <row r="449">
      <c r="A449" s="91"/>
    </row>
    <row r="450">
      <c r="A450" s="91"/>
    </row>
    <row r="451">
      <c r="A451" s="91"/>
    </row>
    <row r="452">
      <c r="A452" s="91"/>
    </row>
    <row r="453">
      <c r="A453" s="91"/>
    </row>
    <row r="454">
      <c r="A454" s="91"/>
    </row>
    <row r="455">
      <c r="A455" s="91"/>
    </row>
    <row r="456">
      <c r="A456" s="91"/>
    </row>
    <row r="457">
      <c r="A457" s="91"/>
    </row>
    <row r="458">
      <c r="A458" s="91"/>
    </row>
    <row r="459">
      <c r="A459" s="91"/>
    </row>
    <row r="460">
      <c r="A460" s="91"/>
    </row>
    <row r="461">
      <c r="A461" s="91"/>
    </row>
    <row r="462">
      <c r="A462" s="91"/>
    </row>
    <row r="463">
      <c r="A463" s="91"/>
    </row>
    <row r="464">
      <c r="A464" s="91"/>
    </row>
    <row r="465">
      <c r="A465" s="91"/>
    </row>
    <row r="466">
      <c r="A466" s="91"/>
    </row>
    <row r="467">
      <c r="A467" s="91"/>
    </row>
    <row r="468">
      <c r="A468" s="91"/>
    </row>
    <row r="469">
      <c r="A469" s="91"/>
    </row>
    <row r="470">
      <c r="A470" s="91"/>
    </row>
    <row r="471">
      <c r="A471" s="91"/>
    </row>
    <row r="472">
      <c r="A472" s="91"/>
    </row>
    <row r="473">
      <c r="A473" s="91"/>
    </row>
    <row r="474">
      <c r="A474" s="91"/>
    </row>
    <row r="475">
      <c r="A475" s="91"/>
    </row>
    <row r="476">
      <c r="A476" s="91"/>
    </row>
    <row r="477">
      <c r="A477" s="91"/>
    </row>
    <row r="478">
      <c r="A478" s="91"/>
    </row>
    <row r="479">
      <c r="A479" s="91"/>
    </row>
    <row r="480">
      <c r="A480" s="91"/>
    </row>
    <row r="481">
      <c r="A481" s="91"/>
    </row>
    <row r="482">
      <c r="A482" s="91"/>
    </row>
    <row r="483">
      <c r="A483" s="91"/>
    </row>
    <row r="484">
      <c r="A484" s="91"/>
    </row>
    <row r="485">
      <c r="A485" s="91"/>
    </row>
    <row r="486">
      <c r="A486" s="91"/>
    </row>
    <row r="487">
      <c r="A487" s="91"/>
    </row>
    <row r="488">
      <c r="A488" s="91"/>
    </row>
    <row r="489">
      <c r="A489" s="91"/>
    </row>
    <row r="490">
      <c r="A490" s="91"/>
    </row>
    <row r="491">
      <c r="A491" s="91"/>
    </row>
    <row r="492">
      <c r="A492" s="91"/>
    </row>
    <row r="493">
      <c r="A493" s="91"/>
    </row>
    <row r="494">
      <c r="A494" s="91"/>
    </row>
    <row r="495">
      <c r="A495" s="91"/>
    </row>
    <row r="496">
      <c r="A496" s="91"/>
    </row>
    <row r="497">
      <c r="A497" s="91"/>
    </row>
    <row r="498">
      <c r="A498" s="91"/>
    </row>
    <row r="499">
      <c r="A499" s="91"/>
    </row>
    <row r="500">
      <c r="A500" s="91"/>
    </row>
    <row r="501">
      <c r="A501" s="91"/>
    </row>
    <row r="502">
      <c r="A502" s="91"/>
    </row>
    <row r="503">
      <c r="A503" s="91"/>
    </row>
    <row r="504">
      <c r="A504" s="91"/>
    </row>
    <row r="505">
      <c r="A505" s="91"/>
    </row>
    <row r="506">
      <c r="A506" s="91"/>
    </row>
    <row r="507">
      <c r="A507" s="91"/>
    </row>
    <row r="508">
      <c r="A508" s="91"/>
    </row>
    <row r="509">
      <c r="A509" s="91"/>
    </row>
    <row r="510">
      <c r="A510" s="91"/>
    </row>
    <row r="511">
      <c r="A511" s="91"/>
    </row>
    <row r="512">
      <c r="A512" s="91"/>
    </row>
    <row r="513">
      <c r="A513" s="91"/>
    </row>
    <row r="514">
      <c r="A514" s="91"/>
    </row>
    <row r="515">
      <c r="A515" s="91"/>
    </row>
    <row r="516">
      <c r="A516" s="91"/>
    </row>
    <row r="517">
      <c r="A517" s="91"/>
    </row>
    <row r="518">
      <c r="A518" s="91"/>
    </row>
    <row r="519">
      <c r="A519" s="91"/>
    </row>
    <row r="520">
      <c r="A520" s="91"/>
    </row>
    <row r="521">
      <c r="A521" s="91"/>
    </row>
    <row r="522">
      <c r="A522" s="91"/>
    </row>
    <row r="523">
      <c r="A523" s="91"/>
    </row>
    <row r="524">
      <c r="A524" s="91"/>
    </row>
    <row r="525">
      <c r="A525" s="91"/>
    </row>
    <row r="526">
      <c r="A526" s="91"/>
    </row>
    <row r="527">
      <c r="A527" s="91"/>
    </row>
    <row r="528">
      <c r="A528" s="91"/>
    </row>
    <row r="529">
      <c r="A529" s="91"/>
    </row>
    <row r="530">
      <c r="A530" s="91"/>
    </row>
    <row r="531">
      <c r="A531" s="91"/>
    </row>
    <row r="532">
      <c r="A532" s="91"/>
    </row>
    <row r="533">
      <c r="A533" s="91"/>
    </row>
    <row r="534">
      <c r="A534" s="91"/>
    </row>
    <row r="535">
      <c r="A535" s="91"/>
    </row>
    <row r="536">
      <c r="A536" s="91"/>
    </row>
    <row r="537">
      <c r="A537" s="91"/>
    </row>
    <row r="538">
      <c r="A538" s="91"/>
    </row>
    <row r="539">
      <c r="A539" s="91"/>
    </row>
    <row r="540">
      <c r="A540" s="91"/>
    </row>
    <row r="541">
      <c r="A541" s="91"/>
    </row>
    <row r="542">
      <c r="A542" s="91"/>
    </row>
    <row r="543">
      <c r="A543" s="91"/>
    </row>
    <row r="544">
      <c r="A544" s="91"/>
    </row>
    <row r="545">
      <c r="A545" s="91"/>
    </row>
    <row r="546">
      <c r="A546" s="91"/>
    </row>
    <row r="547">
      <c r="A547" s="91"/>
    </row>
    <row r="548">
      <c r="A548" s="91"/>
    </row>
    <row r="549">
      <c r="A549" s="91"/>
    </row>
    <row r="550">
      <c r="A550" s="91"/>
    </row>
    <row r="551">
      <c r="A551" s="91"/>
    </row>
    <row r="552">
      <c r="A552" s="91"/>
    </row>
    <row r="553">
      <c r="A553" s="91"/>
    </row>
    <row r="554">
      <c r="A554" s="91"/>
    </row>
    <row r="555">
      <c r="A555" s="91"/>
    </row>
    <row r="556">
      <c r="A556" s="91"/>
    </row>
    <row r="557">
      <c r="A557" s="91"/>
    </row>
    <row r="558">
      <c r="A558" s="91"/>
    </row>
    <row r="559">
      <c r="A559" s="91"/>
    </row>
    <row r="560">
      <c r="A560" s="91"/>
    </row>
    <row r="561">
      <c r="A561" s="91"/>
    </row>
    <row r="562">
      <c r="A562" s="91"/>
    </row>
    <row r="563">
      <c r="A563" s="91"/>
    </row>
    <row r="564">
      <c r="A564" s="91"/>
    </row>
    <row r="565">
      <c r="A565" s="91"/>
    </row>
    <row r="566">
      <c r="A566" s="91"/>
    </row>
    <row r="567">
      <c r="A567" s="91"/>
    </row>
    <row r="568">
      <c r="A568" s="91"/>
    </row>
    <row r="569">
      <c r="A569" s="91"/>
    </row>
    <row r="570">
      <c r="A570" s="91"/>
    </row>
    <row r="571">
      <c r="A571" s="91"/>
    </row>
    <row r="572">
      <c r="A572" s="91"/>
    </row>
    <row r="573">
      <c r="A573" s="91"/>
    </row>
    <row r="574">
      <c r="A574" s="91"/>
    </row>
    <row r="575">
      <c r="A575" s="91"/>
    </row>
    <row r="576">
      <c r="A576" s="91"/>
    </row>
    <row r="577">
      <c r="A577" s="91"/>
    </row>
    <row r="578">
      <c r="A578" s="91"/>
    </row>
    <row r="579">
      <c r="A579" s="91"/>
    </row>
    <row r="580">
      <c r="A580" s="91"/>
    </row>
    <row r="581">
      <c r="A581" s="91"/>
    </row>
    <row r="582">
      <c r="A582" s="91"/>
    </row>
    <row r="583">
      <c r="A583" s="91"/>
    </row>
    <row r="584">
      <c r="A584" s="91"/>
    </row>
    <row r="585">
      <c r="A585" s="91"/>
    </row>
    <row r="586">
      <c r="A586" s="91"/>
    </row>
    <row r="587">
      <c r="A587" s="91"/>
    </row>
    <row r="588">
      <c r="A588" s="91"/>
    </row>
    <row r="589">
      <c r="A589" s="91"/>
    </row>
    <row r="590">
      <c r="A590" s="91"/>
    </row>
    <row r="591">
      <c r="A591" s="91"/>
    </row>
    <row r="592">
      <c r="A592" s="91"/>
    </row>
    <row r="593">
      <c r="A593" s="91"/>
    </row>
    <row r="594">
      <c r="A594" s="91"/>
    </row>
    <row r="595">
      <c r="A595" s="91"/>
    </row>
    <row r="596">
      <c r="A596" s="91"/>
    </row>
    <row r="597">
      <c r="A597" s="91"/>
    </row>
    <row r="598">
      <c r="A598" s="91"/>
    </row>
    <row r="599">
      <c r="A599" s="91"/>
    </row>
    <row r="600">
      <c r="A600" s="91"/>
    </row>
    <row r="601">
      <c r="A601" s="91"/>
    </row>
    <row r="602">
      <c r="A602" s="91"/>
    </row>
    <row r="603">
      <c r="A603" s="91"/>
    </row>
    <row r="604">
      <c r="A604" s="91"/>
    </row>
    <row r="605">
      <c r="A605" s="91"/>
    </row>
    <row r="606">
      <c r="A606" s="91"/>
    </row>
    <row r="607">
      <c r="A607" s="91"/>
    </row>
    <row r="608">
      <c r="A608" s="91"/>
    </row>
    <row r="609">
      <c r="A609" s="91"/>
    </row>
    <row r="610">
      <c r="A610" s="91"/>
    </row>
    <row r="611">
      <c r="A611" s="91"/>
    </row>
    <row r="612">
      <c r="A612" s="91"/>
    </row>
    <row r="613">
      <c r="A613" s="91"/>
    </row>
    <row r="614">
      <c r="A614" s="91"/>
    </row>
    <row r="615">
      <c r="A615" s="91"/>
    </row>
    <row r="616">
      <c r="A616" s="91"/>
    </row>
    <row r="617">
      <c r="A617" s="91"/>
    </row>
    <row r="618">
      <c r="A618" s="91"/>
    </row>
    <row r="619">
      <c r="A619" s="91"/>
    </row>
    <row r="620">
      <c r="A620" s="91"/>
    </row>
    <row r="621">
      <c r="A621" s="91"/>
    </row>
    <row r="622">
      <c r="A622" s="91"/>
    </row>
    <row r="623">
      <c r="A623" s="91"/>
    </row>
    <row r="624">
      <c r="A624" s="91"/>
    </row>
    <row r="625">
      <c r="A625" s="91"/>
    </row>
    <row r="626">
      <c r="A626" s="91"/>
    </row>
    <row r="627">
      <c r="A627" s="91"/>
    </row>
    <row r="628">
      <c r="A628" s="91"/>
    </row>
    <row r="629">
      <c r="A629" s="91"/>
    </row>
    <row r="630">
      <c r="A630" s="91"/>
    </row>
    <row r="631">
      <c r="A631" s="91"/>
    </row>
    <row r="632">
      <c r="A632" s="91"/>
    </row>
    <row r="633">
      <c r="A633" s="91"/>
    </row>
    <row r="634">
      <c r="A634" s="91"/>
    </row>
    <row r="635">
      <c r="A635" s="91"/>
    </row>
    <row r="636">
      <c r="A636" s="91"/>
    </row>
    <row r="637">
      <c r="A637" s="91"/>
    </row>
    <row r="638">
      <c r="A638" s="91"/>
    </row>
    <row r="639">
      <c r="A639" s="91"/>
    </row>
    <row r="640">
      <c r="A640" s="91"/>
    </row>
    <row r="641">
      <c r="A641" s="91"/>
    </row>
    <row r="642">
      <c r="A642" s="91"/>
    </row>
    <row r="643">
      <c r="A643" s="91"/>
    </row>
    <row r="644">
      <c r="A644" s="91"/>
    </row>
    <row r="645">
      <c r="A645" s="91"/>
    </row>
    <row r="646">
      <c r="A646" s="91"/>
    </row>
    <row r="647">
      <c r="A647" s="91"/>
    </row>
    <row r="648">
      <c r="A648" s="91"/>
    </row>
    <row r="649">
      <c r="A649" s="91"/>
    </row>
    <row r="650">
      <c r="A650" s="91"/>
    </row>
    <row r="651">
      <c r="A651" s="91"/>
    </row>
    <row r="652">
      <c r="A652" s="91"/>
    </row>
    <row r="653">
      <c r="A653" s="91"/>
    </row>
    <row r="654">
      <c r="A654" s="91"/>
    </row>
    <row r="655">
      <c r="A655" s="91"/>
    </row>
    <row r="656">
      <c r="A656" s="91"/>
    </row>
    <row r="657">
      <c r="A657" s="91"/>
    </row>
    <row r="658">
      <c r="A658" s="91"/>
    </row>
    <row r="659">
      <c r="A659" s="91"/>
    </row>
    <row r="660">
      <c r="A660" s="91"/>
    </row>
    <row r="661">
      <c r="A661" s="91"/>
    </row>
    <row r="662">
      <c r="A662" s="91"/>
    </row>
    <row r="663">
      <c r="A663" s="91"/>
    </row>
    <row r="664">
      <c r="A664" s="91"/>
    </row>
    <row r="665">
      <c r="A665" s="91"/>
    </row>
    <row r="666">
      <c r="A666" s="91"/>
    </row>
    <row r="667">
      <c r="A667" s="91"/>
    </row>
    <row r="668">
      <c r="A668" s="91"/>
    </row>
    <row r="669">
      <c r="A669" s="91"/>
    </row>
    <row r="670">
      <c r="A670" s="91"/>
    </row>
    <row r="671">
      <c r="A671" s="91"/>
    </row>
    <row r="672">
      <c r="A672" s="91"/>
    </row>
    <row r="673">
      <c r="A673" s="91"/>
    </row>
    <row r="674">
      <c r="A674" s="91"/>
    </row>
    <row r="675">
      <c r="A675" s="91"/>
    </row>
    <row r="676">
      <c r="A676" s="91"/>
    </row>
    <row r="677">
      <c r="A677" s="91"/>
    </row>
    <row r="678">
      <c r="A678" s="91"/>
    </row>
    <row r="679">
      <c r="A679" s="91"/>
    </row>
    <row r="680">
      <c r="A680" s="91"/>
    </row>
    <row r="681">
      <c r="A681" s="91"/>
    </row>
    <row r="682">
      <c r="A682" s="91"/>
    </row>
    <row r="683">
      <c r="A683" s="91"/>
    </row>
    <row r="684">
      <c r="A684" s="91"/>
    </row>
    <row r="685">
      <c r="A685" s="91"/>
    </row>
    <row r="686">
      <c r="A686" s="91"/>
    </row>
    <row r="687">
      <c r="A687" s="91"/>
    </row>
    <row r="688">
      <c r="A688" s="91"/>
    </row>
    <row r="689">
      <c r="A689" s="91"/>
    </row>
    <row r="690">
      <c r="A690" s="91"/>
    </row>
    <row r="691">
      <c r="A691" s="91"/>
    </row>
    <row r="692">
      <c r="A692" s="91"/>
    </row>
    <row r="693">
      <c r="A693" s="91"/>
    </row>
    <row r="694">
      <c r="A694" s="91"/>
    </row>
    <row r="695">
      <c r="A695" s="91"/>
    </row>
    <row r="696">
      <c r="A696" s="91"/>
    </row>
    <row r="697">
      <c r="A697" s="91"/>
    </row>
    <row r="698">
      <c r="A698" s="91"/>
    </row>
    <row r="699">
      <c r="A699" s="91"/>
    </row>
    <row r="700">
      <c r="A700" s="91"/>
    </row>
    <row r="701">
      <c r="A701" s="91"/>
    </row>
    <row r="702">
      <c r="A702" s="91"/>
    </row>
    <row r="703">
      <c r="A703" s="91"/>
    </row>
    <row r="704">
      <c r="A704" s="91"/>
    </row>
    <row r="705">
      <c r="A705" s="91"/>
    </row>
    <row r="706">
      <c r="A706" s="91"/>
    </row>
    <row r="707">
      <c r="A707" s="91"/>
    </row>
    <row r="708">
      <c r="A708" s="91"/>
    </row>
    <row r="709">
      <c r="A709" s="91"/>
    </row>
    <row r="710">
      <c r="A710" s="91"/>
    </row>
    <row r="711">
      <c r="A711" s="91"/>
    </row>
    <row r="712">
      <c r="A712" s="91"/>
    </row>
    <row r="713">
      <c r="A713" s="91"/>
    </row>
    <row r="714">
      <c r="A714" s="91"/>
    </row>
    <row r="715">
      <c r="A715" s="91"/>
    </row>
    <row r="716">
      <c r="A716" s="91"/>
    </row>
    <row r="717">
      <c r="A717" s="91"/>
    </row>
    <row r="718">
      <c r="A718" s="91"/>
    </row>
    <row r="719">
      <c r="A719" s="91"/>
    </row>
    <row r="720">
      <c r="A720" s="91"/>
    </row>
    <row r="721">
      <c r="A721" s="91"/>
    </row>
    <row r="722">
      <c r="A722" s="91"/>
    </row>
    <row r="723">
      <c r="A723" s="91"/>
    </row>
    <row r="724">
      <c r="A724" s="91"/>
    </row>
    <row r="725">
      <c r="A725" s="91"/>
    </row>
    <row r="726">
      <c r="A726" s="91"/>
    </row>
    <row r="727">
      <c r="A727" s="91"/>
    </row>
    <row r="728">
      <c r="A728" s="91"/>
    </row>
    <row r="729">
      <c r="A729" s="91"/>
    </row>
    <row r="730">
      <c r="A730" s="91"/>
    </row>
    <row r="731">
      <c r="A731" s="91"/>
    </row>
    <row r="732">
      <c r="A732" s="91"/>
    </row>
    <row r="733">
      <c r="A733" s="91"/>
    </row>
    <row r="734">
      <c r="A734" s="91"/>
    </row>
    <row r="735">
      <c r="A735" s="91"/>
    </row>
    <row r="736">
      <c r="A736" s="91"/>
    </row>
    <row r="737">
      <c r="A737" s="91"/>
    </row>
    <row r="738">
      <c r="A738" s="91"/>
    </row>
    <row r="739">
      <c r="A739" s="91"/>
    </row>
    <row r="740">
      <c r="A740" s="91"/>
    </row>
    <row r="741">
      <c r="A741" s="91"/>
    </row>
    <row r="742">
      <c r="A742" s="91"/>
    </row>
    <row r="743">
      <c r="A743" s="91"/>
    </row>
    <row r="744">
      <c r="A744" s="91"/>
    </row>
    <row r="745">
      <c r="A745" s="91"/>
    </row>
    <row r="746">
      <c r="A746" s="91"/>
    </row>
    <row r="747">
      <c r="A747" s="91"/>
    </row>
    <row r="748">
      <c r="A748" s="91"/>
    </row>
    <row r="749">
      <c r="A749" s="91"/>
    </row>
    <row r="750">
      <c r="A750" s="91"/>
    </row>
    <row r="751">
      <c r="A751" s="91"/>
    </row>
    <row r="752">
      <c r="A752" s="91"/>
    </row>
    <row r="753">
      <c r="A753" s="91"/>
    </row>
    <row r="754">
      <c r="A754" s="91"/>
    </row>
    <row r="755">
      <c r="A755" s="91"/>
    </row>
    <row r="756">
      <c r="A756" s="91"/>
    </row>
    <row r="757">
      <c r="A757" s="91"/>
    </row>
    <row r="758">
      <c r="A758" s="91"/>
    </row>
    <row r="759">
      <c r="A759" s="91"/>
    </row>
    <row r="760">
      <c r="A760" s="91"/>
    </row>
    <row r="761">
      <c r="A761" s="91"/>
    </row>
    <row r="762">
      <c r="A762" s="91"/>
    </row>
    <row r="763">
      <c r="A763" s="91"/>
    </row>
    <row r="764">
      <c r="A764" s="91"/>
    </row>
    <row r="765">
      <c r="A765" s="91"/>
    </row>
    <row r="766">
      <c r="A766" s="91"/>
    </row>
    <row r="767">
      <c r="A767" s="91"/>
    </row>
    <row r="768">
      <c r="A768" s="91"/>
    </row>
    <row r="769">
      <c r="A769" s="91"/>
    </row>
    <row r="770">
      <c r="A770" s="91"/>
    </row>
    <row r="771">
      <c r="A771" s="91"/>
    </row>
    <row r="772">
      <c r="A772" s="91"/>
    </row>
    <row r="773">
      <c r="A773" s="91"/>
    </row>
    <row r="774">
      <c r="A774" s="91"/>
    </row>
    <row r="775">
      <c r="A775" s="91"/>
    </row>
    <row r="776">
      <c r="A776" s="91"/>
    </row>
    <row r="777">
      <c r="A777" s="91"/>
    </row>
    <row r="778">
      <c r="A778" s="91"/>
    </row>
    <row r="779">
      <c r="A779" s="91"/>
    </row>
    <row r="780">
      <c r="A780" s="91"/>
    </row>
    <row r="781">
      <c r="A781" s="91"/>
    </row>
    <row r="782">
      <c r="A782" s="91"/>
    </row>
    <row r="783">
      <c r="A783" s="91"/>
    </row>
    <row r="784">
      <c r="A784" s="91"/>
    </row>
    <row r="785">
      <c r="A785" s="91"/>
    </row>
    <row r="786">
      <c r="A786" s="91"/>
    </row>
    <row r="787">
      <c r="A787" s="91"/>
    </row>
    <row r="788">
      <c r="A788" s="91"/>
    </row>
    <row r="789">
      <c r="A789" s="91"/>
    </row>
    <row r="790">
      <c r="A790" s="91"/>
    </row>
    <row r="791">
      <c r="A791" s="91"/>
    </row>
    <row r="792">
      <c r="A792" s="91"/>
    </row>
    <row r="793">
      <c r="A793" s="91"/>
    </row>
    <row r="794">
      <c r="A794" s="91"/>
    </row>
    <row r="795">
      <c r="A795" s="91"/>
    </row>
    <row r="796">
      <c r="A796" s="91"/>
    </row>
    <row r="797">
      <c r="A797" s="91"/>
    </row>
    <row r="798">
      <c r="A798" s="91"/>
    </row>
    <row r="799">
      <c r="A799" s="91"/>
    </row>
    <row r="800">
      <c r="A800" s="91"/>
    </row>
    <row r="801">
      <c r="A801" s="91"/>
    </row>
    <row r="802">
      <c r="A802" s="91"/>
    </row>
    <row r="803">
      <c r="A803" s="91"/>
    </row>
    <row r="804">
      <c r="A804" s="91"/>
    </row>
    <row r="805">
      <c r="A805" s="91"/>
    </row>
    <row r="806">
      <c r="A806" s="91"/>
    </row>
    <row r="807">
      <c r="A807" s="91"/>
    </row>
    <row r="808">
      <c r="A808" s="91"/>
    </row>
    <row r="809">
      <c r="A809" s="91"/>
    </row>
    <row r="810">
      <c r="A810" s="91"/>
    </row>
    <row r="811">
      <c r="A811" s="91"/>
    </row>
    <row r="812">
      <c r="A812" s="91"/>
    </row>
    <row r="813">
      <c r="A813" s="91"/>
    </row>
    <row r="814">
      <c r="A814" s="91"/>
    </row>
    <row r="815">
      <c r="A815" s="91"/>
    </row>
    <row r="816">
      <c r="A816" s="91"/>
    </row>
    <row r="817">
      <c r="A817" s="91"/>
    </row>
    <row r="818">
      <c r="A818" s="91"/>
    </row>
    <row r="819">
      <c r="A819" s="91"/>
    </row>
    <row r="820">
      <c r="A820" s="91"/>
    </row>
    <row r="821">
      <c r="A821" s="91"/>
    </row>
    <row r="822">
      <c r="A822" s="91"/>
    </row>
    <row r="823">
      <c r="A823" s="91"/>
    </row>
    <row r="824">
      <c r="A824" s="91"/>
    </row>
    <row r="825">
      <c r="A825" s="91"/>
    </row>
    <row r="826">
      <c r="A826" s="91"/>
    </row>
    <row r="827">
      <c r="A827" s="91"/>
    </row>
    <row r="828">
      <c r="A828" s="91"/>
    </row>
    <row r="829">
      <c r="A829" s="91"/>
    </row>
    <row r="830">
      <c r="A830" s="91"/>
    </row>
    <row r="831">
      <c r="A831" s="91"/>
    </row>
    <row r="832">
      <c r="A832" s="91"/>
    </row>
    <row r="833">
      <c r="A833" s="91"/>
    </row>
    <row r="834">
      <c r="A834" s="91"/>
    </row>
    <row r="835">
      <c r="A835" s="91"/>
    </row>
    <row r="836">
      <c r="A836" s="91"/>
    </row>
    <row r="837">
      <c r="A837" s="91"/>
    </row>
    <row r="838">
      <c r="A838" s="91"/>
    </row>
    <row r="839">
      <c r="A839" s="91"/>
    </row>
    <row r="840">
      <c r="A840" s="91"/>
    </row>
    <row r="841">
      <c r="A841" s="91"/>
    </row>
    <row r="842">
      <c r="A842" s="91"/>
    </row>
    <row r="843">
      <c r="A843" s="91"/>
    </row>
    <row r="844">
      <c r="A844" s="91"/>
    </row>
    <row r="845">
      <c r="A845" s="91"/>
    </row>
    <row r="846">
      <c r="A846" s="91"/>
    </row>
    <row r="847">
      <c r="A847" s="91"/>
    </row>
    <row r="848">
      <c r="A848" s="91"/>
    </row>
    <row r="849">
      <c r="A849" s="91"/>
    </row>
    <row r="850">
      <c r="A850" s="91"/>
    </row>
    <row r="851">
      <c r="A851" s="91"/>
    </row>
    <row r="852">
      <c r="A852" s="91"/>
    </row>
    <row r="853">
      <c r="A853" s="91"/>
    </row>
    <row r="854">
      <c r="A854" s="91"/>
    </row>
    <row r="855">
      <c r="A855" s="91"/>
    </row>
    <row r="856">
      <c r="A856" s="91"/>
    </row>
    <row r="857">
      <c r="A857" s="91"/>
    </row>
    <row r="858">
      <c r="A858" s="91"/>
    </row>
    <row r="859">
      <c r="A859" s="91"/>
    </row>
    <row r="860">
      <c r="A860" s="91"/>
    </row>
    <row r="861">
      <c r="A861" s="91"/>
    </row>
    <row r="862">
      <c r="A862" s="91"/>
    </row>
    <row r="863">
      <c r="A863" s="91"/>
    </row>
    <row r="864">
      <c r="A864" s="91"/>
    </row>
    <row r="865">
      <c r="A865" s="91"/>
    </row>
    <row r="866">
      <c r="A866" s="91"/>
    </row>
    <row r="867">
      <c r="A867" s="91"/>
    </row>
    <row r="868">
      <c r="A868" s="91"/>
    </row>
    <row r="869">
      <c r="A869" s="91"/>
    </row>
    <row r="870">
      <c r="A870" s="91"/>
    </row>
    <row r="871">
      <c r="A871" s="91"/>
    </row>
    <row r="872">
      <c r="A872" s="91"/>
    </row>
    <row r="873">
      <c r="A873" s="91"/>
    </row>
    <row r="874">
      <c r="A874" s="91"/>
    </row>
    <row r="875">
      <c r="A875" s="91"/>
    </row>
    <row r="876">
      <c r="A876" s="91"/>
    </row>
    <row r="877">
      <c r="A877" s="91"/>
    </row>
    <row r="878">
      <c r="A878" s="91"/>
    </row>
    <row r="879">
      <c r="A879" s="91"/>
    </row>
    <row r="880">
      <c r="A880" s="91"/>
    </row>
    <row r="881">
      <c r="A881" s="91"/>
    </row>
    <row r="882">
      <c r="A882" s="91"/>
    </row>
    <row r="883">
      <c r="A883" s="91"/>
    </row>
    <row r="884">
      <c r="A884" s="91"/>
    </row>
    <row r="885">
      <c r="A885" s="91"/>
    </row>
    <row r="886">
      <c r="A886" s="91"/>
    </row>
    <row r="887">
      <c r="A887" s="91"/>
    </row>
    <row r="888">
      <c r="A888" s="91"/>
    </row>
    <row r="889">
      <c r="A889" s="91"/>
    </row>
    <row r="890">
      <c r="A890" s="91"/>
    </row>
    <row r="891">
      <c r="A891" s="91"/>
    </row>
    <row r="892">
      <c r="A892" s="91"/>
    </row>
    <row r="893">
      <c r="A893" s="91"/>
    </row>
    <row r="894">
      <c r="A894" s="91"/>
    </row>
    <row r="895">
      <c r="A895" s="91"/>
    </row>
    <row r="896">
      <c r="A896" s="91"/>
    </row>
    <row r="897">
      <c r="A897" s="91"/>
    </row>
    <row r="898">
      <c r="A898" s="91"/>
    </row>
    <row r="899">
      <c r="A899" s="91"/>
    </row>
    <row r="900">
      <c r="A900" s="91"/>
    </row>
    <row r="901">
      <c r="A901" s="91"/>
    </row>
    <row r="902">
      <c r="A902" s="91"/>
    </row>
    <row r="903">
      <c r="A903" s="91"/>
    </row>
    <row r="904">
      <c r="A904" s="91"/>
    </row>
    <row r="905">
      <c r="A905" s="91"/>
    </row>
    <row r="906">
      <c r="A906" s="91"/>
    </row>
    <row r="907">
      <c r="A907" s="91"/>
    </row>
    <row r="908">
      <c r="A908" s="91"/>
    </row>
    <row r="909">
      <c r="A909" s="91"/>
    </row>
    <row r="910">
      <c r="A910" s="91"/>
    </row>
    <row r="911">
      <c r="A911" s="91"/>
    </row>
    <row r="912">
      <c r="A912" s="91"/>
    </row>
    <row r="913">
      <c r="A913" s="91"/>
    </row>
    <row r="914">
      <c r="A914" s="91"/>
    </row>
    <row r="915">
      <c r="A915" s="91"/>
    </row>
    <row r="916">
      <c r="A916" s="91"/>
    </row>
    <row r="917">
      <c r="A917" s="91"/>
    </row>
    <row r="918">
      <c r="A918" s="91"/>
    </row>
    <row r="919">
      <c r="A919" s="91"/>
    </row>
    <row r="920">
      <c r="A920" s="91"/>
    </row>
    <row r="921">
      <c r="A921" s="91"/>
    </row>
    <row r="922">
      <c r="A922" s="91"/>
    </row>
    <row r="923">
      <c r="A923" s="91"/>
    </row>
    <row r="924">
      <c r="A924" s="91"/>
    </row>
    <row r="925">
      <c r="A925" s="91"/>
    </row>
    <row r="926">
      <c r="A926" s="91"/>
    </row>
    <row r="927">
      <c r="A927" s="91"/>
    </row>
    <row r="928">
      <c r="A928" s="91"/>
    </row>
    <row r="929">
      <c r="A929" s="91"/>
    </row>
    <row r="930">
      <c r="A930" s="91"/>
    </row>
    <row r="931">
      <c r="A931" s="91"/>
    </row>
    <row r="932">
      <c r="A932" s="91"/>
    </row>
    <row r="933">
      <c r="A933" s="91"/>
    </row>
    <row r="934">
      <c r="A934" s="91"/>
    </row>
    <row r="935">
      <c r="A935" s="91"/>
    </row>
    <row r="936">
      <c r="A936" s="91"/>
    </row>
    <row r="937">
      <c r="A937" s="91"/>
    </row>
    <row r="938">
      <c r="A938" s="91"/>
    </row>
    <row r="939">
      <c r="A939" s="91"/>
    </row>
    <row r="940">
      <c r="A940" s="91"/>
    </row>
    <row r="941">
      <c r="A941" s="91"/>
    </row>
    <row r="942">
      <c r="A942" s="91"/>
    </row>
    <row r="943">
      <c r="A943" s="91"/>
    </row>
    <row r="944">
      <c r="A944" s="91"/>
    </row>
    <row r="945">
      <c r="A945" s="91"/>
    </row>
    <row r="946">
      <c r="A946" s="91"/>
    </row>
    <row r="947">
      <c r="A947" s="91"/>
    </row>
    <row r="948">
      <c r="A948" s="91"/>
    </row>
    <row r="949">
      <c r="A949" s="91"/>
    </row>
    <row r="950">
      <c r="A950" s="91"/>
    </row>
    <row r="951">
      <c r="A951" s="91"/>
    </row>
    <row r="952">
      <c r="A952" s="91"/>
    </row>
    <row r="953">
      <c r="A953" s="91"/>
    </row>
    <row r="954">
      <c r="A954" s="91"/>
    </row>
    <row r="955">
      <c r="A955" s="91"/>
    </row>
    <row r="956">
      <c r="A956" s="91"/>
    </row>
    <row r="957">
      <c r="A957" s="91"/>
    </row>
    <row r="958">
      <c r="A958" s="91"/>
    </row>
    <row r="959">
      <c r="A959" s="91"/>
    </row>
    <row r="960">
      <c r="A960" s="91"/>
    </row>
    <row r="961">
      <c r="A961" s="91"/>
    </row>
    <row r="962">
      <c r="A962" s="91"/>
    </row>
    <row r="963">
      <c r="A963" s="91"/>
    </row>
    <row r="964">
      <c r="A964" s="91"/>
    </row>
    <row r="965">
      <c r="A965" s="91"/>
    </row>
    <row r="966">
      <c r="A966" s="91"/>
    </row>
    <row r="967">
      <c r="A967" s="91"/>
    </row>
    <row r="968">
      <c r="A968" s="91"/>
    </row>
    <row r="969">
      <c r="A969" s="91"/>
    </row>
    <row r="970">
      <c r="A970" s="91"/>
    </row>
    <row r="971">
      <c r="A971" s="91"/>
    </row>
    <row r="972">
      <c r="A972" s="91"/>
    </row>
    <row r="973">
      <c r="A973" s="91"/>
    </row>
    <row r="974">
      <c r="A974" s="91"/>
    </row>
    <row r="975">
      <c r="A975" s="91"/>
    </row>
    <row r="976">
      <c r="A976" s="91"/>
    </row>
    <row r="977">
      <c r="A977" s="91"/>
    </row>
    <row r="978">
      <c r="A978" s="91"/>
    </row>
    <row r="979">
      <c r="A979" s="91"/>
    </row>
    <row r="980">
      <c r="A980" s="91"/>
    </row>
    <row r="981">
      <c r="A981" s="91"/>
    </row>
    <row r="982">
      <c r="A982" s="91"/>
    </row>
    <row r="983">
      <c r="A983" s="91"/>
    </row>
    <row r="984">
      <c r="A984" s="91"/>
    </row>
    <row r="985">
      <c r="A985" s="91"/>
    </row>
    <row r="986">
      <c r="A986" s="91"/>
    </row>
    <row r="987">
      <c r="A987" s="91"/>
    </row>
    <row r="988">
      <c r="A988" s="91"/>
    </row>
    <row r="989">
      <c r="A989" s="91"/>
    </row>
    <row r="990">
      <c r="A990" s="91"/>
    </row>
    <row r="991">
      <c r="A991" s="91"/>
    </row>
    <row r="992">
      <c r="A992" s="91"/>
    </row>
    <row r="993">
      <c r="A993" s="91"/>
    </row>
    <row r="994">
      <c r="A994" s="91"/>
    </row>
    <row r="995">
      <c r="A995" s="91"/>
    </row>
    <row r="996">
      <c r="A996" s="91"/>
    </row>
    <row r="997">
      <c r="A997" s="91"/>
    </row>
    <row r="998">
      <c r="A998" s="91"/>
    </row>
    <row r="999">
      <c r="A999" s="9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2.71"/>
    <col customWidth="1" min="3" max="3" width="20.29"/>
    <col customWidth="1" min="4" max="4" width="18.29"/>
    <col customWidth="1" min="5" max="5" width="19.43"/>
    <col customWidth="1" min="6" max="6" width="23.86"/>
    <col customWidth="1" min="7" max="7" width="20.57"/>
    <col customWidth="1" min="9" max="9" width="21.29"/>
    <col customWidth="1" min="10" max="10" width="16.14"/>
    <col customWidth="1" min="11" max="11" width="23.86"/>
    <col customWidth="1" min="12" max="12" width="19.0"/>
    <col customWidth="1" min="13" max="13" width="13.71"/>
    <col customWidth="1" min="15" max="15" width="23.57"/>
    <col customWidth="1" min="16" max="16" width="22.57"/>
    <col customWidth="1" min="17" max="17" width="12.57"/>
  </cols>
  <sheetData>
    <row r="1">
      <c r="A1" s="93" t="s">
        <v>2</v>
      </c>
      <c r="B1" s="94" t="s">
        <v>22</v>
      </c>
      <c r="C1" s="94" t="s">
        <v>497</v>
      </c>
      <c r="D1" s="95" t="s">
        <v>499</v>
      </c>
      <c r="E1" s="95" t="s">
        <v>500</v>
      </c>
      <c r="F1" s="93" t="s">
        <v>501</v>
      </c>
      <c r="G1" s="94" t="s">
        <v>502</v>
      </c>
      <c r="H1" s="96" t="s">
        <v>504</v>
      </c>
      <c r="I1" s="96" t="s">
        <v>18</v>
      </c>
      <c r="J1" s="94" t="s">
        <v>505</v>
      </c>
      <c r="K1" s="94" t="s">
        <v>506</v>
      </c>
      <c r="L1" s="94" t="s">
        <v>507</v>
      </c>
      <c r="M1" s="94" t="s">
        <v>9</v>
      </c>
      <c r="N1" s="94" t="s">
        <v>32</v>
      </c>
      <c r="O1" s="96" t="s">
        <v>5</v>
      </c>
      <c r="P1" s="96" t="s">
        <v>509</v>
      </c>
      <c r="Q1" s="97" t="s">
        <v>511</v>
      </c>
      <c r="R1" s="98" t="s">
        <v>84</v>
      </c>
      <c r="S1" s="98" t="s">
        <v>513</v>
      </c>
      <c r="T1" s="98" t="s">
        <v>515</v>
      </c>
      <c r="U1" s="99"/>
      <c r="V1" s="99"/>
      <c r="W1" s="99"/>
      <c r="X1" s="99"/>
      <c r="Y1" s="99"/>
      <c r="Z1" s="99"/>
      <c r="AA1" s="99"/>
      <c r="AB1" s="99"/>
      <c r="AC1" s="99"/>
    </row>
    <row r="2">
      <c r="A2" s="100" t="s">
        <v>517</v>
      </c>
      <c r="B2" s="101" t="str">
        <f>VLOOKUP(A2,Main!$A:$B,2,0)</f>
        <v>MSR_GINNI12_3C</v>
      </c>
      <c r="C2" s="102">
        <v>100000.0</v>
      </c>
      <c r="D2" s="103">
        <f>iferror(VLOOKUP(A2,'Realised and SV'!$A$72:$F$96,5,0),0)</f>
        <v>0</v>
      </c>
      <c r="E2" s="103">
        <f>iferror(VLOOKUP(A2,'Realised and SV'!$A$72:$F$96,6,0),0)</f>
        <v>0</v>
      </c>
      <c r="F2" s="104">
        <f t="shared" ref="F2:F86" si="1">int(IF(N2="1DTE",(FLOOR(C2/100000,2))*100000*0.7,IF(I2="MasterTrust_Noren",C2*0.7+D2,C2*0.7+D2+E2)))+Q2</f>
        <v>70000</v>
      </c>
      <c r="G2" s="104">
        <f t="shared" ref="G2:G86" si="2">int(IF(N2="1DTE",(FLOOR(C2/100000,2))*100000*0.7,C2*0.7+D2+E2))+Q2</f>
        <v>70000</v>
      </c>
      <c r="H2" s="105">
        <f t="shared" ref="H2:H86" si="3">IF(I2 = "MasterTrust_Noren",D2/C2,(D2+E2)/C2)</f>
        <v>0</v>
      </c>
      <c r="I2" s="100" t="str">
        <f>VLOOKUP(A2,Main!A:J,6,0)</f>
        <v>MasterTrust_Noren</v>
      </c>
      <c r="J2" s="106">
        <f t="shared" ref="J2:J86" si="4">F2/C2</f>
        <v>0.7</v>
      </c>
      <c r="K2" s="107">
        <f t="shared" ref="K2:K86" si="5">G2/C2</f>
        <v>0.7</v>
      </c>
      <c r="L2" s="108">
        <f t="shared" ref="L2:L86" si="6">E2/C2</f>
        <v>0</v>
      </c>
      <c r="M2" s="109" t="str">
        <f>VLOOKUP(A2,Main!$A$1:$I$837,9,0)</f>
        <v>VS1</v>
      </c>
      <c r="N2" s="109" t="s">
        <v>529</v>
      </c>
      <c r="O2" s="110">
        <v>8.0</v>
      </c>
      <c r="P2" s="110" t="b">
        <f>_xlfn.isformula(VLOOKUP(A2,Main!A:J,7,0))</f>
        <v>1</v>
      </c>
      <c r="Q2" s="98"/>
      <c r="R2" s="111"/>
      <c r="S2" s="111" t="str">
        <f>VLOOKUP(A2,'Realised and SV'!$A$72:$F$96,5,0)</f>
        <v>#N/A</v>
      </c>
      <c r="T2" s="111" t="str">
        <f>VLOOKUP(A2,'Realised and SV'!$A$72:$F$96,6,0)</f>
        <v>#N/A</v>
      </c>
      <c r="U2" s="99"/>
      <c r="V2" s="99"/>
      <c r="W2" s="99"/>
      <c r="X2" s="99"/>
      <c r="Y2" s="99"/>
      <c r="Z2" s="99"/>
      <c r="AA2" s="99"/>
      <c r="AB2" s="99"/>
      <c r="AC2" s="99"/>
    </row>
    <row r="3">
      <c r="A3" s="100" t="s">
        <v>533</v>
      </c>
      <c r="B3" s="101" t="str">
        <f>VLOOKUP(A3,Main!$A:$B,2,0)</f>
        <v>MSR_SSGUPTA4</v>
      </c>
      <c r="C3" s="102">
        <v>100000.0</v>
      </c>
      <c r="D3" s="103">
        <f>iferror(VLOOKUP(A3,'Realised and SV'!$A$72:$F$96,5,0),0)</f>
        <v>0</v>
      </c>
      <c r="E3" s="103">
        <f>iferror(VLOOKUP(A3,'Realised and SV'!$A$72:$F$96,6,0),0)</f>
        <v>0</v>
      </c>
      <c r="F3" s="104">
        <f t="shared" si="1"/>
        <v>70000</v>
      </c>
      <c r="G3" s="104">
        <f t="shared" si="2"/>
        <v>70000</v>
      </c>
      <c r="H3" s="105">
        <f t="shared" si="3"/>
        <v>0</v>
      </c>
      <c r="I3" s="100" t="str">
        <f>VLOOKUP(A3,Main!A:J,6,0)</f>
        <v>MasterTrust_Noren</v>
      </c>
      <c r="J3" s="106">
        <f t="shared" si="4"/>
        <v>0.7</v>
      </c>
      <c r="K3" s="107">
        <f t="shared" si="5"/>
        <v>0.7</v>
      </c>
      <c r="L3" s="108">
        <f t="shared" si="6"/>
        <v>0</v>
      </c>
      <c r="M3" s="109" t="str">
        <f>VLOOKUP(A3,Main!$A$1:$I$837,9,0)</f>
        <v>VS1</v>
      </c>
      <c r="N3" s="109" t="s">
        <v>529</v>
      </c>
      <c r="O3" s="110">
        <v>8.0</v>
      </c>
      <c r="P3" s="110" t="b">
        <f>_xlfn.isformula(VLOOKUP(A3,Main!A:J,7,0))</f>
        <v>1</v>
      </c>
      <c r="Q3" s="98"/>
      <c r="R3" s="111"/>
      <c r="S3" s="111" t="str">
        <f>VLOOKUP(A3,'Realised and SV'!$A$72:$F$96,5,0)</f>
        <v>#N/A</v>
      </c>
      <c r="T3" s="111" t="str">
        <f>VLOOKUP(A3,'Realised and SV'!$A$72:$F$96,6,0)</f>
        <v>#N/A</v>
      </c>
      <c r="U3" s="99"/>
      <c r="V3" s="99"/>
      <c r="W3" s="99"/>
      <c r="X3" s="99"/>
      <c r="Y3" s="99"/>
      <c r="Z3" s="99"/>
      <c r="AA3" s="99"/>
      <c r="AB3" s="99"/>
      <c r="AC3" s="99"/>
    </row>
    <row r="4">
      <c r="A4" s="100" t="s">
        <v>542</v>
      </c>
      <c r="B4" s="101" t="str">
        <f>VLOOKUP(A4,Main!$A:$B,2,0)</f>
        <v>MSR_RYS2_3C</v>
      </c>
      <c r="C4" s="102">
        <v>100000.0</v>
      </c>
      <c r="D4" s="103">
        <f>iferror(VLOOKUP(A4,'Realised and SV'!$A$72:$F$96,5,0),0)</f>
        <v>0</v>
      </c>
      <c r="E4" s="103">
        <f>iferror(VLOOKUP(A4,'Realised and SV'!$A$72:$F$96,6,0),0)</f>
        <v>0</v>
      </c>
      <c r="F4" s="104">
        <f t="shared" si="1"/>
        <v>70000</v>
      </c>
      <c r="G4" s="104">
        <f t="shared" si="2"/>
        <v>70000</v>
      </c>
      <c r="H4" s="105">
        <f t="shared" si="3"/>
        <v>0</v>
      </c>
      <c r="I4" s="100" t="str">
        <f>VLOOKUP(A4,Main!A:J,6,0)</f>
        <v>MasterTrust_Noren</v>
      </c>
      <c r="J4" s="106">
        <f t="shared" si="4"/>
        <v>0.7</v>
      </c>
      <c r="K4" s="107">
        <f t="shared" si="5"/>
        <v>0.7</v>
      </c>
      <c r="L4" s="108">
        <f t="shared" si="6"/>
        <v>0</v>
      </c>
      <c r="M4" s="109" t="str">
        <f>VLOOKUP(A4,Main!$A$1:$I$837,9,0)</f>
        <v>VS1</v>
      </c>
      <c r="N4" s="109" t="s">
        <v>529</v>
      </c>
      <c r="O4" s="110">
        <v>8.0</v>
      </c>
      <c r="P4" s="110" t="b">
        <f>_xlfn.isformula(VLOOKUP(A4,Main!A:J,7,0))</f>
        <v>1</v>
      </c>
      <c r="Q4" s="98"/>
      <c r="R4" s="111"/>
      <c r="S4" s="111" t="str">
        <f>VLOOKUP(A4,'Realised and SV'!$A$72:$F$96,5,0)</f>
        <v>#N/A</v>
      </c>
      <c r="T4" s="111" t="str">
        <f>VLOOKUP(A4,'Realised and SV'!$A$72:$F$96,6,0)</f>
        <v>#N/A</v>
      </c>
      <c r="U4" s="99"/>
      <c r="V4" s="99"/>
      <c r="W4" s="99"/>
      <c r="X4" s="99"/>
      <c r="Y4" s="99"/>
      <c r="Z4" s="99"/>
      <c r="AA4" s="99"/>
      <c r="AB4" s="99"/>
      <c r="AC4" s="99"/>
    </row>
    <row r="5">
      <c r="A5" s="100" t="s">
        <v>552</v>
      </c>
      <c r="B5" s="101" t="str">
        <f>VLOOKUP(A5,Main!$A:$B,2,0)</f>
        <v>MSR_GINNI13_3C</v>
      </c>
      <c r="C5" s="102">
        <v>100000.0</v>
      </c>
      <c r="D5" s="103">
        <f>iferror(VLOOKUP(A5,'Realised and SV'!$A$72:$F$96,5,0),0)</f>
        <v>0</v>
      </c>
      <c r="E5" s="103">
        <f>iferror(VLOOKUP(A5,'Realised and SV'!$A$72:$F$96,6,0),0)</f>
        <v>0</v>
      </c>
      <c r="F5" s="104">
        <f t="shared" si="1"/>
        <v>70000</v>
      </c>
      <c r="G5" s="104">
        <f t="shared" si="2"/>
        <v>70000</v>
      </c>
      <c r="H5" s="105">
        <f t="shared" si="3"/>
        <v>0</v>
      </c>
      <c r="I5" s="100" t="str">
        <f>VLOOKUP(A5,Main!A:J,6,0)</f>
        <v>MasterTrust_Noren</v>
      </c>
      <c r="J5" s="106">
        <f t="shared" si="4"/>
        <v>0.7</v>
      </c>
      <c r="K5" s="107">
        <f t="shared" si="5"/>
        <v>0.7</v>
      </c>
      <c r="L5" s="108">
        <f t="shared" si="6"/>
        <v>0</v>
      </c>
      <c r="M5" s="109" t="str">
        <f>VLOOKUP(A5,Main!$A$1:$I$837,9,0)</f>
        <v>VS1</v>
      </c>
      <c r="N5" s="109" t="s">
        <v>529</v>
      </c>
      <c r="O5" s="110">
        <v>8.0</v>
      </c>
      <c r="P5" s="110" t="b">
        <f>_xlfn.isformula(VLOOKUP(A5,Main!A:J,7,0))</f>
        <v>1</v>
      </c>
      <c r="Q5" s="98"/>
      <c r="R5" s="111"/>
      <c r="S5" s="111" t="str">
        <f>VLOOKUP(A5,'Realised and SV'!$A$72:$F$96,5,0)</f>
        <v>#N/A</v>
      </c>
      <c r="T5" s="111" t="str">
        <f>VLOOKUP(A5,'Realised and SV'!$A$72:$F$96,6,0)</f>
        <v>#N/A</v>
      </c>
      <c r="U5" s="99"/>
      <c r="V5" s="99"/>
      <c r="W5" s="99"/>
      <c r="X5" s="99"/>
      <c r="Y5" s="99"/>
      <c r="Z5" s="99"/>
      <c r="AA5" s="99"/>
      <c r="AB5" s="99"/>
      <c r="AC5" s="99"/>
    </row>
    <row r="6">
      <c r="A6" s="100" t="s">
        <v>559</v>
      </c>
      <c r="B6" s="101" t="str">
        <f>VLOOKUP(A6,Main!$A:$B,2,0)</f>
        <v>MSR_RAJM8_3C</v>
      </c>
      <c r="C6" s="102">
        <v>100000.0</v>
      </c>
      <c r="D6" s="103">
        <f>iferror(VLOOKUP(A6,'Realised and SV'!$A$72:$F$96,5,0),0)</f>
        <v>0</v>
      </c>
      <c r="E6" s="103">
        <f>iferror(VLOOKUP(A6,'Realised and SV'!$A$72:$F$96,6,0),0)</f>
        <v>0</v>
      </c>
      <c r="F6" s="104">
        <f t="shared" si="1"/>
        <v>70000</v>
      </c>
      <c r="G6" s="104">
        <f t="shared" si="2"/>
        <v>70000</v>
      </c>
      <c r="H6" s="105">
        <f t="shared" si="3"/>
        <v>0</v>
      </c>
      <c r="I6" s="100" t="str">
        <f>VLOOKUP(A6,Main!A:J,6,0)</f>
        <v>MasterTrust_Noren</v>
      </c>
      <c r="J6" s="106">
        <f t="shared" si="4"/>
        <v>0.7</v>
      </c>
      <c r="K6" s="107">
        <f t="shared" si="5"/>
        <v>0.7</v>
      </c>
      <c r="L6" s="108">
        <f t="shared" si="6"/>
        <v>0</v>
      </c>
      <c r="M6" s="109" t="str">
        <f>VLOOKUP(A6,Main!$A$1:$I$837,9,0)</f>
        <v>VS1</v>
      </c>
      <c r="N6" s="109" t="s">
        <v>529</v>
      </c>
      <c r="O6" s="110">
        <v>8.0</v>
      </c>
      <c r="P6" s="110" t="b">
        <f>_xlfn.isformula(VLOOKUP(A6,Main!A:J,7,0))</f>
        <v>1</v>
      </c>
      <c r="Q6" s="98"/>
      <c r="R6" s="111"/>
      <c r="S6" s="111" t="str">
        <f>VLOOKUP(A6,'Realised and SV'!$A$72:$F$96,5,0)</f>
        <v>#N/A</v>
      </c>
      <c r="T6" s="111" t="str">
        <f>VLOOKUP(A6,'Realised and SV'!$A$72:$F$96,6,0)</f>
        <v>#N/A</v>
      </c>
      <c r="U6" s="99"/>
      <c r="V6" s="99"/>
      <c r="W6" s="99"/>
      <c r="X6" s="99"/>
      <c r="Y6" s="99"/>
      <c r="Z6" s="99"/>
      <c r="AA6" s="99"/>
      <c r="AB6" s="99"/>
      <c r="AC6" s="99"/>
    </row>
    <row r="7">
      <c r="A7" s="100" t="s">
        <v>564</v>
      </c>
      <c r="B7" s="101" t="str">
        <f>VLOOKUP(A7,Main!$A:$B,2,0)</f>
        <v>MSR_INDALPHA2</v>
      </c>
      <c r="C7" s="102">
        <v>100000.0</v>
      </c>
      <c r="D7" s="103">
        <f>iferror(VLOOKUP(A7,'Realised and SV'!$A$72:$F$96,5,0),0)</f>
        <v>0</v>
      </c>
      <c r="E7" s="103">
        <f>iferror(VLOOKUP(A7,'Realised and SV'!$A$72:$F$96,6,0),0)</f>
        <v>0</v>
      </c>
      <c r="F7" s="104">
        <f t="shared" si="1"/>
        <v>70000</v>
      </c>
      <c r="G7" s="104">
        <f t="shared" si="2"/>
        <v>70000</v>
      </c>
      <c r="H7" s="105">
        <f t="shared" si="3"/>
        <v>0</v>
      </c>
      <c r="I7" s="100" t="str">
        <f>VLOOKUP(A7,Main!A:J,6,0)</f>
        <v>MasterTrust_Noren</v>
      </c>
      <c r="J7" s="106">
        <f t="shared" si="4"/>
        <v>0.7</v>
      </c>
      <c r="K7" s="107">
        <f t="shared" si="5"/>
        <v>0.7</v>
      </c>
      <c r="L7" s="108">
        <f t="shared" si="6"/>
        <v>0</v>
      </c>
      <c r="M7" s="109" t="str">
        <f>VLOOKUP(A7,Main!$A$1:$I$837,9,0)</f>
        <v>VS1</v>
      </c>
      <c r="N7" s="109" t="s">
        <v>529</v>
      </c>
      <c r="O7" s="110">
        <v>8.0</v>
      </c>
      <c r="P7" s="110" t="b">
        <f>_xlfn.isformula(VLOOKUP(A7,Main!A:J,7,0))</f>
        <v>1</v>
      </c>
      <c r="Q7" s="98"/>
      <c r="R7" s="111"/>
      <c r="S7" s="111" t="str">
        <f>VLOOKUP(A7,'Realised and SV'!$A$72:$F$96,5,0)</f>
        <v>#N/A</v>
      </c>
      <c r="T7" s="111" t="str">
        <f>VLOOKUP(A7,'Realised and SV'!$A$72:$F$96,6,0)</f>
        <v>#N/A</v>
      </c>
      <c r="U7" s="99"/>
      <c r="V7" s="99"/>
      <c r="W7" s="99"/>
      <c r="X7" s="99"/>
      <c r="Y7" s="99"/>
      <c r="Z7" s="99"/>
      <c r="AA7" s="99"/>
      <c r="AB7" s="99"/>
      <c r="AC7" s="99"/>
    </row>
    <row r="8">
      <c r="A8" s="100" t="s">
        <v>570</v>
      </c>
      <c r="B8" s="101" t="str">
        <f>VLOOKUP(A8,Main!$A:$B,2,0)</f>
        <v>MSR_LOKESHGARG_2C_INT</v>
      </c>
      <c r="C8" s="102">
        <v>200000.0</v>
      </c>
      <c r="D8" s="103">
        <f>iferror(VLOOKUP(A8,'Realised and SV'!$A$72:$F$96,5,0),0)</f>
        <v>0</v>
      </c>
      <c r="E8" s="103">
        <f>iferror(VLOOKUP(A8,'Realised and SV'!$A$72:$F$96,6,0),0)</f>
        <v>0</v>
      </c>
      <c r="F8" s="104">
        <f t="shared" si="1"/>
        <v>140000</v>
      </c>
      <c r="G8" s="104">
        <f t="shared" si="2"/>
        <v>140000</v>
      </c>
      <c r="H8" s="105">
        <f t="shared" si="3"/>
        <v>0</v>
      </c>
      <c r="I8" s="100" t="str">
        <f>VLOOKUP(A8,Main!A:J,6,0)</f>
        <v>MasterTrust_Noren</v>
      </c>
      <c r="J8" s="106">
        <f t="shared" si="4"/>
        <v>0.7</v>
      </c>
      <c r="K8" s="107">
        <f t="shared" si="5"/>
        <v>0.7</v>
      </c>
      <c r="L8" s="108">
        <f t="shared" si="6"/>
        <v>0</v>
      </c>
      <c r="M8" s="109" t="str">
        <f>VLOOKUP(A8,Main!$A$1:$I$837,9,0)</f>
        <v>VS1</v>
      </c>
      <c r="N8" s="109" t="s">
        <v>529</v>
      </c>
      <c r="O8" s="110">
        <v>8.0</v>
      </c>
      <c r="P8" s="110" t="b">
        <f>_xlfn.isformula(VLOOKUP(A8,Main!A:J,7,0))</f>
        <v>1</v>
      </c>
      <c r="Q8" s="98"/>
      <c r="R8" s="111"/>
      <c r="S8" s="111" t="str">
        <f>VLOOKUP(A8,'Realised and SV'!$A$72:$F$96,5,0)</f>
        <v>#N/A</v>
      </c>
      <c r="T8" s="111" t="str">
        <f>VLOOKUP(A8,'Realised and SV'!$A$72:$F$96,6,0)</f>
        <v>#N/A</v>
      </c>
      <c r="U8" s="99"/>
      <c r="V8" s="99"/>
      <c r="W8" s="99"/>
      <c r="X8" s="99"/>
      <c r="Y8" s="99"/>
      <c r="Z8" s="99"/>
      <c r="AA8" s="99"/>
      <c r="AB8" s="99"/>
      <c r="AC8" s="99"/>
    </row>
    <row r="9">
      <c r="A9" s="100" t="s">
        <v>576</v>
      </c>
      <c r="B9" s="101" t="str">
        <f>VLOOKUP(A9,Main!$A:$B,2,0)</f>
        <v>MSR_MSMELODIA7_3C</v>
      </c>
      <c r="C9" s="102">
        <v>100000.0</v>
      </c>
      <c r="D9" s="103">
        <f>iferror(VLOOKUP(A9,'Realised and SV'!$A$72:$F$96,5,0),0)</f>
        <v>0</v>
      </c>
      <c r="E9" s="103">
        <f>iferror(VLOOKUP(A9,'Realised and SV'!$A$72:$F$96,6,0),0)</f>
        <v>0</v>
      </c>
      <c r="F9" s="104">
        <f t="shared" si="1"/>
        <v>70000</v>
      </c>
      <c r="G9" s="104">
        <f t="shared" si="2"/>
        <v>70000</v>
      </c>
      <c r="H9" s="105">
        <f t="shared" si="3"/>
        <v>0</v>
      </c>
      <c r="I9" s="100" t="str">
        <f>VLOOKUP(A9,Main!A:J,6,0)</f>
        <v>MasterTrust_Noren</v>
      </c>
      <c r="J9" s="106">
        <f t="shared" si="4"/>
        <v>0.7</v>
      </c>
      <c r="K9" s="107">
        <f t="shared" si="5"/>
        <v>0.7</v>
      </c>
      <c r="L9" s="108">
        <f t="shared" si="6"/>
        <v>0</v>
      </c>
      <c r="M9" s="109" t="str">
        <f>VLOOKUP(A9,Main!$A$1:$I$837,9,0)</f>
        <v>VS1</v>
      </c>
      <c r="N9" s="109" t="s">
        <v>529</v>
      </c>
      <c r="O9" s="110">
        <v>8.0</v>
      </c>
      <c r="P9" s="110" t="b">
        <f>_xlfn.isformula(VLOOKUP(A9,Main!A:J,7,0))</f>
        <v>1</v>
      </c>
      <c r="Q9" s="98"/>
      <c r="R9" s="111"/>
      <c r="S9" s="111" t="str">
        <f>VLOOKUP(A9,'Realised and SV'!$A$72:$F$96,5,0)</f>
        <v>#N/A</v>
      </c>
      <c r="T9" s="111" t="str">
        <f>VLOOKUP(A9,'Realised and SV'!$A$72:$F$96,6,0)</f>
        <v>#N/A</v>
      </c>
      <c r="U9" s="99"/>
      <c r="V9" s="99"/>
      <c r="W9" s="99"/>
      <c r="X9" s="99"/>
      <c r="Y9" s="99"/>
      <c r="Z9" s="99"/>
      <c r="AA9" s="99"/>
      <c r="AB9" s="99"/>
      <c r="AC9" s="99"/>
    </row>
    <row r="10">
      <c r="A10" s="112" t="s">
        <v>583</v>
      </c>
      <c r="B10" s="101" t="str">
        <f>VLOOKUP(A10,Main!$A:$B,2,0)</f>
        <v>MSP_PGFOILS_2C </v>
      </c>
      <c r="C10" s="102">
        <v>200000.0</v>
      </c>
      <c r="D10" s="103">
        <f>iferror(VLOOKUP(A10,'Realised and SV'!$A$72:$F$96,5,0),0)</f>
        <v>0</v>
      </c>
      <c r="E10" s="103">
        <f>iferror(VLOOKUP(A10,'Realised and SV'!$A$72:$F$96,6,0),0)</f>
        <v>26887.9</v>
      </c>
      <c r="F10" s="104">
        <f t="shared" si="1"/>
        <v>140000</v>
      </c>
      <c r="G10" s="104">
        <f t="shared" si="2"/>
        <v>166887</v>
      </c>
      <c r="H10" s="105">
        <f t="shared" si="3"/>
        <v>0</v>
      </c>
      <c r="I10" s="100" t="str">
        <f>VLOOKUP(A10,Main!A:J,6,0)</f>
        <v>MasterTrust_Noren</v>
      </c>
      <c r="J10" s="106">
        <f t="shared" si="4"/>
        <v>0.7</v>
      </c>
      <c r="K10" s="107">
        <f t="shared" si="5"/>
        <v>0.834435</v>
      </c>
      <c r="L10" s="108">
        <f t="shared" si="6"/>
        <v>0.1344395</v>
      </c>
      <c r="M10" s="109" t="str">
        <f>VLOOKUP(A10,Main!$A$1:$I$837,9,0)</f>
        <v>VS1</v>
      </c>
      <c r="N10" s="109" t="s">
        <v>529</v>
      </c>
      <c r="O10" s="110">
        <v>8.0</v>
      </c>
      <c r="P10" s="110" t="b">
        <f>_xlfn.isformula(VLOOKUP(A10,Main!A:J,7,0))</f>
        <v>1</v>
      </c>
      <c r="Q10" s="98"/>
      <c r="R10" s="111"/>
      <c r="S10" s="113">
        <f>VLOOKUP(A10,'Realised and SV'!$A$72:$F$96,5,0)</f>
        <v>0</v>
      </c>
      <c r="T10" s="114">
        <f>VLOOKUP(A10,'Realised and SV'!$A$72:$F$96,6,0)</f>
        <v>26887.9</v>
      </c>
      <c r="U10" s="99"/>
      <c r="V10" s="99"/>
      <c r="W10" s="99"/>
      <c r="X10" s="99"/>
      <c r="Y10" s="99"/>
      <c r="Z10" s="99"/>
      <c r="AA10" s="99"/>
      <c r="AB10" s="99"/>
      <c r="AC10" s="99"/>
    </row>
    <row r="11">
      <c r="A11" s="100" t="s">
        <v>589</v>
      </c>
      <c r="B11" s="101" t="str">
        <f>VLOOKUP(A11,Main!$A:$B,2,0)</f>
        <v>MSR_KABRA2</v>
      </c>
      <c r="C11" s="102">
        <v>100000.0</v>
      </c>
      <c r="D11" s="103">
        <f>iferror(VLOOKUP(A11,'Realised and SV'!$A$72:$F$96,5,0),0)</f>
        <v>0</v>
      </c>
      <c r="E11" s="103">
        <f>iferror(VLOOKUP(A11,'Realised and SV'!$A$72:$F$96,6,0),0)</f>
        <v>0</v>
      </c>
      <c r="F11" s="104">
        <f t="shared" si="1"/>
        <v>70000</v>
      </c>
      <c r="G11" s="104">
        <f t="shared" si="2"/>
        <v>70000</v>
      </c>
      <c r="H11" s="105">
        <f t="shared" si="3"/>
        <v>0</v>
      </c>
      <c r="I11" s="100" t="str">
        <f>VLOOKUP(A11,Main!A:J,6,0)</f>
        <v>MasterTrust_Noren</v>
      </c>
      <c r="J11" s="106">
        <f t="shared" si="4"/>
        <v>0.7</v>
      </c>
      <c r="K11" s="107">
        <f t="shared" si="5"/>
        <v>0.7</v>
      </c>
      <c r="L11" s="108">
        <f t="shared" si="6"/>
        <v>0</v>
      </c>
      <c r="M11" s="109" t="str">
        <f>VLOOKUP(A11,Main!$A$1:$I$837,9,0)</f>
        <v>VS1</v>
      </c>
      <c r="N11" s="109" t="s">
        <v>529</v>
      </c>
      <c r="O11" s="110">
        <v>8.0</v>
      </c>
      <c r="P11" s="110" t="b">
        <f>_xlfn.isformula(VLOOKUP(A11,Main!A:J,7,0))</f>
        <v>1</v>
      </c>
      <c r="Q11" s="98"/>
      <c r="R11" s="111"/>
      <c r="S11" s="111" t="str">
        <f>VLOOKUP(A11,'Realised and SV'!$A$72:$F$96,5,0)</f>
        <v>#N/A</v>
      </c>
      <c r="T11" s="111" t="str">
        <f>VLOOKUP(A11,'Realised and SV'!$A$72:$F$96,6,0)</f>
        <v>#N/A</v>
      </c>
      <c r="U11" s="99"/>
      <c r="V11" s="99"/>
      <c r="W11" s="99"/>
      <c r="X11" s="99"/>
      <c r="Y11" s="99"/>
      <c r="Z11" s="99"/>
      <c r="AA11" s="99"/>
      <c r="AB11" s="99"/>
      <c r="AC11" s="99"/>
    </row>
    <row r="12">
      <c r="A12" s="112" t="s">
        <v>592</v>
      </c>
      <c r="B12" s="101" t="str">
        <f>VLOOKUP(A12,Main!$A:$B,2,0)</f>
        <v>MSR_MSMELODIA4</v>
      </c>
      <c r="C12" s="102">
        <v>100000.0</v>
      </c>
      <c r="D12" s="103">
        <f>iferror(VLOOKUP(A12,'Realised and SV'!$A$72:$F$96,5,0),0)</f>
        <v>0</v>
      </c>
      <c r="E12" s="103">
        <f>iferror(VLOOKUP(A12,'Realised and SV'!$A$72:$F$96,6,0),0)</f>
        <v>0</v>
      </c>
      <c r="F12" s="104">
        <f t="shared" si="1"/>
        <v>70000</v>
      </c>
      <c r="G12" s="104">
        <f t="shared" si="2"/>
        <v>70000</v>
      </c>
      <c r="H12" s="105">
        <f t="shared" si="3"/>
        <v>0</v>
      </c>
      <c r="I12" s="100" t="str">
        <f>VLOOKUP(A12,Main!A:J,6,0)</f>
        <v>MasterTrust_Noren</v>
      </c>
      <c r="J12" s="106">
        <f t="shared" si="4"/>
        <v>0.7</v>
      </c>
      <c r="K12" s="107">
        <f t="shared" si="5"/>
        <v>0.7</v>
      </c>
      <c r="L12" s="108">
        <f t="shared" si="6"/>
        <v>0</v>
      </c>
      <c r="M12" s="109" t="str">
        <f>VLOOKUP(A12,Main!$A$1:$I$837,9,0)</f>
        <v>VS1</v>
      </c>
      <c r="N12" s="109" t="s">
        <v>529</v>
      </c>
      <c r="O12" s="110">
        <v>8.0</v>
      </c>
      <c r="P12" s="110" t="b">
        <f>_xlfn.isformula(VLOOKUP(A12,Main!A:J,7,0))</f>
        <v>1</v>
      </c>
      <c r="Q12" s="98"/>
      <c r="R12" s="111"/>
      <c r="S12" s="111" t="str">
        <f>VLOOKUP(A12,'Realised and SV'!$A$72:$F$96,5,0)</f>
        <v>#N/A</v>
      </c>
      <c r="T12" s="111" t="str">
        <f>VLOOKUP(A12,'Realised and SV'!$A$72:$F$96,6,0)</f>
        <v>#N/A</v>
      </c>
      <c r="U12" s="99"/>
      <c r="V12" s="99"/>
      <c r="W12" s="99"/>
      <c r="X12" s="99"/>
      <c r="Y12" s="99"/>
      <c r="Z12" s="99"/>
      <c r="AA12" s="99"/>
      <c r="AB12" s="99"/>
      <c r="AC12" s="99"/>
    </row>
    <row r="13">
      <c r="A13" s="100" t="s">
        <v>593</v>
      </c>
      <c r="B13" s="101" t="str">
        <f>VLOOKUP(A13,Main!$A:$B,2,0)</f>
        <v>MSR_CHETAN_SINGHAL2</v>
      </c>
      <c r="C13" s="102">
        <v>100000.0</v>
      </c>
      <c r="D13" s="103">
        <f>iferror(VLOOKUP(A13,'Realised and SV'!$A$72:$F$96,5,0),0)</f>
        <v>0</v>
      </c>
      <c r="E13" s="103">
        <f>iferror(VLOOKUP(A13,'Realised and SV'!$A$72:$F$96,6,0),0)</f>
        <v>0</v>
      </c>
      <c r="F13" s="104">
        <f t="shared" si="1"/>
        <v>70000</v>
      </c>
      <c r="G13" s="104">
        <f t="shared" si="2"/>
        <v>70000</v>
      </c>
      <c r="H13" s="105">
        <f t="shared" si="3"/>
        <v>0</v>
      </c>
      <c r="I13" s="100" t="str">
        <f>VLOOKUP(A13,Main!A:J,6,0)</f>
        <v>MasterTrust_Noren</v>
      </c>
      <c r="J13" s="106">
        <f t="shared" si="4"/>
        <v>0.7</v>
      </c>
      <c r="K13" s="107">
        <f t="shared" si="5"/>
        <v>0.7</v>
      </c>
      <c r="L13" s="108">
        <f t="shared" si="6"/>
        <v>0</v>
      </c>
      <c r="M13" s="109" t="str">
        <f>VLOOKUP(A13,Main!$A$1:$I$837,9,0)</f>
        <v>VS1</v>
      </c>
      <c r="N13" s="109" t="s">
        <v>529</v>
      </c>
      <c r="O13" s="110">
        <v>8.0</v>
      </c>
      <c r="P13" s="110" t="b">
        <f>_xlfn.isformula(VLOOKUP(A13,Main!A:J,7,0))</f>
        <v>1</v>
      </c>
      <c r="Q13" s="98"/>
      <c r="R13" s="111"/>
      <c r="S13" s="111" t="str">
        <f>VLOOKUP(A13,'Realised and SV'!$A$72:$F$96,5,0)</f>
        <v>#N/A</v>
      </c>
      <c r="T13" s="111" t="str">
        <f>VLOOKUP(A13,'Realised and SV'!$A$72:$F$96,6,0)</f>
        <v>#N/A</v>
      </c>
      <c r="U13" s="99"/>
      <c r="V13" s="99"/>
      <c r="W13" s="99"/>
      <c r="X13" s="99"/>
      <c r="Y13" s="99"/>
      <c r="Z13" s="99"/>
      <c r="AA13" s="99"/>
      <c r="AB13" s="99"/>
      <c r="AC13" s="99"/>
    </row>
    <row r="14">
      <c r="A14" s="115" t="s">
        <v>600</v>
      </c>
      <c r="B14" s="101" t="str">
        <f>VLOOKUP(A14,Main!$A:$B,2,0)</f>
        <v>MSR_PYADAV1</v>
      </c>
      <c r="C14" s="102">
        <v>100000.0</v>
      </c>
      <c r="D14" s="103">
        <f>iferror(VLOOKUP(A14,'Realised and SV'!$A$72:$F$96,5,0),0)</f>
        <v>0</v>
      </c>
      <c r="E14" s="103">
        <f>iferror(VLOOKUP(A14,'Realised and SV'!$A$72:$F$96,6,0),0)</f>
        <v>0</v>
      </c>
      <c r="F14" s="104">
        <f t="shared" si="1"/>
        <v>70000</v>
      </c>
      <c r="G14" s="104">
        <f t="shared" si="2"/>
        <v>70000</v>
      </c>
      <c r="H14" s="105">
        <f t="shared" si="3"/>
        <v>0</v>
      </c>
      <c r="I14" s="100" t="str">
        <f>VLOOKUP(A14,Main!A:J,6,0)</f>
        <v>MasterTrust_Noren</v>
      </c>
      <c r="J14" s="106">
        <f t="shared" si="4"/>
        <v>0.7</v>
      </c>
      <c r="K14" s="107">
        <f t="shared" si="5"/>
        <v>0.7</v>
      </c>
      <c r="L14" s="108">
        <f t="shared" si="6"/>
        <v>0</v>
      </c>
      <c r="M14" s="109" t="str">
        <f>VLOOKUP(A14,Main!$A$1:$I$837,9,0)</f>
        <v>VS1</v>
      </c>
      <c r="N14" s="109" t="s">
        <v>529</v>
      </c>
      <c r="O14" s="110">
        <v>8.0</v>
      </c>
      <c r="P14" s="110" t="b">
        <f>_xlfn.isformula(VLOOKUP(A14,Main!A:J,7,0))</f>
        <v>1</v>
      </c>
      <c r="Q14" s="98"/>
      <c r="R14" s="111"/>
      <c r="S14" s="111" t="str">
        <f>VLOOKUP(A14,'Realised and SV'!$A$72:$F$96,5,0)</f>
        <v>#N/A</v>
      </c>
      <c r="T14" s="111" t="str">
        <f>VLOOKUP(A14,'Realised and SV'!$A$72:$F$96,6,0)</f>
        <v>#N/A</v>
      </c>
      <c r="U14" s="99"/>
      <c r="V14" s="99"/>
      <c r="W14" s="99"/>
      <c r="X14" s="99"/>
      <c r="Y14" s="99"/>
      <c r="Z14" s="99"/>
      <c r="AA14" s="99"/>
      <c r="AB14" s="99"/>
      <c r="AC14" s="99"/>
    </row>
    <row r="15">
      <c r="A15" s="115" t="s">
        <v>608</v>
      </c>
      <c r="B15" s="101" t="str">
        <f>VLOOKUP(A15,Main!$A:$B,2,0)</f>
        <v>MSR_JITENDRA_AGRAWAL5</v>
      </c>
      <c r="C15" s="102">
        <v>100000.0</v>
      </c>
      <c r="D15" s="103">
        <f>iferror(VLOOKUP(A15,'Realised and SV'!$A$72:$F$96,5,0),0)</f>
        <v>0</v>
      </c>
      <c r="E15" s="103">
        <f>iferror(VLOOKUP(A15,'Realised and SV'!$A$72:$F$96,6,0),0)</f>
        <v>0</v>
      </c>
      <c r="F15" s="104">
        <f t="shared" si="1"/>
        <v>70000</v>
      </c>
      <c r="G15" s="104">
        <f t="shared" si="2"/>
        <v>70000</v>
      </c>
      <c r="H15" s="105">
        <f t="shared" si="3"/>
        <v>0</v>
      </c>
      <c r="I15" s="100" t="str">
        <f>VLOOKUP(A15,Main!A:J,6,0)</f>
        <v>MasterTrust_Noren</v>
      </c>
      <c r="J15" s="106">
        <f t="shared" si="4"/>
        <v>0.7</v>
      </c>
      <c r="K15" s="107">
        <f t="shared" si="5"/>
        <v>0.7</v>
      </c>
      <c r="L15" s="108">
        <f t="shared" si="6"/>
        <v>0</v>
      </c>
      <c r="M15" s="109" t="str">
        <f>VLOOKUP(A15,Main!$A$1:$I$837,9,0)</f>
        <v>VS1</v>
      </c>
      <c r="N15" s="109" t="s">
        <v>529</v>
      </c>
      <c r="O15" s="110">
        <v>8.0</v>
      </c>
      <c r="P15" s="110" t="b">
        <f>_xlfn.isformula(VLOOKUP(A15,Main!A:J,7,0))</f>
        <v>1</v>
      </c>
      <c r="Q15" s="98"/>
      <c r="R15" s="98">
        <v>800000.0</v>
      </c>
      <c r="S15" s="111" t="str">
        <f>VLOOKUP(A15,'Realised and SV'!$A$72:$F$96,5,0)</f>
        <v>#N/A</v>
      </c>
      <c r="T15" s="111" t="str">
        <f>VLOOKUP(A15,'Realised and SV'!$A$72:$F$96,6,0)</f>
        <v>#N/A</v>
      </c>
      <c r="U15" s="99"/>
      <c r="V15" s="99"/>
      <c r="W15" s="99"/>
      <c r="X15" s="99"/>
      <c r="Y15" s="99"/>
      <c r="Z15" s="99"/>
      <c r="AA15" s="99"/>
      <c r="AB15" s="99"/>
      <c r="AC15" s="99"/>
    </row>
    <row r="16">
      <c r="A16" s="116" t="s">
        <v>616</v>
      </c>
      <c r="B16" s="101" t="str">
        <f>VLOOKUP(A16,Main!$A:$B,2,0)</f>
        <v> MSR_DIGVIJAY5</v>
      </c>
      <c r="C16" s="102">
        <v>100000.0</v>
      </c>
      <c r="D16" s="103">
        <f>iferror(VLOOKUP(A16,'Realised and SV'!$A$72:$F$96,5,0),0)</f>
        <v>0</v>
      </c>
      <c r="E16" s="103">
        <f>iferror(VLOOKUP(A16,'Realised and SV'!$A$72:$F$96,6,0),0)</f>
        <v>0</v>
      </c>
      <c r="F16" s="104">
        <f t="shared" si="1"/>
        <v>70000</v>
      </c>
      <c r="G16" s="104">
        <f t="shared" si="2"/>
        <v>70000</v>
      </c>
      <c r="H16" s="105">
        <f t="shared" si="3"/>
        <v>0</v>
      </c>
      <c r="I16" s="100" t="str">
        <f>VLOOKUP(A16,Main!A:J,6,0)</f>
        <v>MasterTrust_Noren</v>
      </c>
      <c r="J16" s="106">
        <f t="shared" si="4"/>
        <v>0.7</v>
      </c>
      <c r="K16" s="107">
        <f t="shared" si="5"/>
        <v>0.7</v>
      </c>
      <c r="L16" s="108">
        <f t="shared" si="6"/>
        <v>0</v>
      </c>
      <c r="M16" s="109" t="str">
        <f>VLOOKUP(A16,Main!$A$1:$I$837,9,0)</f>
        <v>VS1</v>
      </c>
      <c r="N16" s="109" t="s">
        <v>529</v>
      </c>
      <c r="O16" s="110">
        <v>8.0</v>
      </c>
      <c r="P16" s="110" t="b">
        <f>_xlfn.isformula(VLOOKUP(A16,Main!A:J,7,0))</f>
        <v>1</v>
      </c>
      <c r="Q16" s="98"/>
      <c r="R16" s="111"/>
      <c r="S16" s="111" t="str">
        <f>VLOOKUP(A16,'Realised and SV'!$A$72:$F$96,5,0)</f>
        <v>#N/A</v>
      </c>
      <c r="T16" s="111" t="str">
        <f>VLOOKUP(A16,'Realised and SV'!$A$72:$F$96,6,0)</f>
        <v>#N/A</v>
      </c>
      <c r="U16" s="99"/>
      <c r="V16" s="99"/>
      <c r="W16" s="99"/>
      <c r="X16" s="99"/>
      <c r="Y16" s="99"/>
      <c r="Z16" s="99"/>
      <c r="AA16" s="99"/>
      <c r="AB16" s="99"/>
      <c r="AC16" s="99"/>
    </row>
    <row r="17">
      <c r="A17" s="115" t="s">
        <v>626</v>
      </c>
      <c r="B17" s="101" t="str">
        <f>VLOOKUP(A17,Main!$A:$B,2,0)</f>
        <v> MSR_SHREYAB1_2C_INT</v>
      </c>
      <c r="C17" s="102">
        <v>200000.0</v>
      </c>
      <c r="D17" s="103">
        <f>iferror(VLOOKUP(A17,'Realised and SV'!$A$72:$F$96,5,0),0)</f>
        <v>0</v>
      </c>
      <c r="E17" s="103">
        <f>iferror(VLOOKUP(A17,'Realised and SV'!$A$72:$F$96,6,0),0)</f>
        <v>0</v>
      </c>
      <c r="F17" s="104">
        <f t="shared" si="1"/>
        <v>140000</v>
      </c>
      <c r="G17" s="104">
        <f t="shared" si="2"/>
        <v>140000</v>
      </c>
      <c r="H17" s="105">
        <f t="shared" si="3"/>
        <v>0</v>
      </c>
      <c r="I17" s="100" t="str">
        <f>VLOOKUP(A17,Main!A:J,6,0)</f>
        <v>MasterTrust_Noren</v>
      </c>
      <c r="J17" s="106">
        <f t="shared" si="4"/>
        <v>0.7</v>
      </c>
      <c r="K17" s="107">
        <f t="shared" si="5"/>
        <v>0.7</v>
      </c>
      <c r="L17" s="108">
        <f t="shared" si="6"/>
        <v>0</v>
      </c>
      <c r="M17" s="109" t="str">
        <f>VLOOKUP(A17,Main!$A$1:$I$837,9,0)</f>
        <v>VS1</v>
      </c>
      <c r="N17" s="109" t="s">
        <v>529</v>
      </c>
      <c r="O17" s="110">
        <v>8.0</v>
      </c>
      <c r="P17" s="110" t="b">
        <f>_xlfn.isformula(VLOOKUP(A17,Main!A:J,7,0))</f>
        <v>1</v>
      </c>
      <c r="Q17" s="98"/>
      <c r="R17" s="111"/>
      <c r="S17" s="111" t="str">
        <f>VLOOKUP(A17,'Realised and SV'!$A$72:$F$96,5,0)</f>
        <v>#N/A</v>
      </c>
      <c r="T17" s="111" t="str">
        <f>VLOOKUP(A17,'Realised and SV'!$A$72:$F$96,6,0)</f>
        <v>#N/A</v>
      </c>
      <c r="U17" s="99"/>
      <c r="V17" s="99"/>
      <c r="W17" s="99"/>
      <c r="X17" s="99"/>
      <c r="Y17" s="99"/>
      <c r="Z17" s="99"/>
      <c r="AA17" s="99"/>
      <c r="AB17" s="99"/>
      <c r="AC17" s="99"/>
    </row>
    <row r="18">
      <c r="A18" s="100" t="s">
        <v>635</v>
      </c>
      <c r="B18" s="101" t="str">
        <f>VLOOKUP(A18,Main!$A:$B,2,0)</f>
        <v>MSR_GINNI5_3C</v>
      </c>
      <c r="C18" s="102">
        <v>100000.0</v>
      </c>
      <c r="D18" s="103">
        <f>iferror(VLOOKUP(A18,'Realised and SV'!$A$72:$F$96,5,0),0)</f>
        <v>0</v>
      </c>
      <c r="E18" s="103">
        <f>iferror(VLOOKUP(A18,'Realised and SV'!$A$72:$F$96,6,0),0)</f>
        <v>0</v>
      </c>
      <c r="F18" s="104">
        <f t="shared" si="1"/>
        <v>70000</v>
      </c>
      <c r="G18" s="104">
        <f t="shared" si="2"/>
        <v>70000</v>
      </c>
      <c r="H18" s="105">
        <f t="shared" si="3"/>
        <v>0</v>
      </c>
      <c r="I18" s="100" t="str">
        <f>VLOOKUP(A18,Main!A:J,6,0)</f>
        <v>MasterTrust_Noren</v>
      </c>
      <c r="J18" s="106">
        <f t="shared" si="4"/>
        <v>0.7</v>
      </c>
      <c r="K18" s="107">
        <f t="shared" si="5"/>
        <v>0.7</v>
      </c>
      <c r="L18" s="108">
        <f t="shared" si="6"/>
        <v>0</v>
      </c>
      <c r="M18" s="109" t="str">
        <f>VLOOKUP(A18,Main!$A$1:$I$837,9,0)</f>
        <v>VS1</v>
      </c>
      <c r="N18" s="109" t="s">
        <v>529</v>
      </c>
      <c r="O18" s="110">
        <v>8.0</v>
      </c>
      <c r="P18" s="110" t="b">
        <f>_xlfn.isformula(VLOOKUP(A18,Main!A:J,7,0))</f>
        <v>1</v>
      </c>
      <c r="Q18" s="98"/>
      <c r="R18" s="111"/>
      <c r="S18" s="111" t="str">
        <f>VLOOKUP(A18,'Realised and SV'!$A$72:$F$96,5,0)</f>
        <v>#N/A</v>
      </c>
      <c r="T18" s="111" t="str">
        <f>VLOOKUP(A18,'Realised and SV'!$A$72:$F$96,6,0)</f>
        <v>#N/A</v>
      </c>
      <c r="U18" s="99"/>
      <c r="V18" s="99"/>
      <c r="W18" s="99"/>
      <c r="X18" s="99"/>
      <c r="Y18" s="99"/>
      <c r="Z18" s="99"/>
      <c r="AA18" s="99"/>
      <c r="AB18" s="99"/>
      <c r="AC18" s="99"/>
    </row>
    <row r="19">
      <c r="A19" s="100" t="s">
        <v>495</v>
      </c>
      <c r="B19" s="101" t="str">
        <f>VLOOKUP(A19,Main!$A:$B,2,0)</f>
        <v>MSR_LOYALKA</v>
      </c>
      <c r="C19" s="102">
        <v>100000.0</v>
      </c>
      <c r="D19" s="103">
        <f>iferror(VLOOKUP(A19,'Realised and SV'!$A$72:$F$96,5,0),0)</f>
        <v>0</v>
      </c>
      <c r="E19" s="103">
        <f>iferror(VLOOKUP(A19,'Realised and SV'!$A$72:$F$96,6,0),0)</f>
        <v>0</v>
      </c>
      <c r="F19" s="104">
        <f t="shared" si="1"/>
        <v>70000</v>
      </c>
      <c r="G19" s="104">
        <f t="shared" si="2"/>
        <v>70000</v>
      </c>
      <c r="H19" s="105">
        <f t="shared" si="3"/>
        <v>0</v>
      </c>
      <c r="I19" s="100" t="str">
        <f>VLOOKUP(A19,Main!A:J,6,0)</f>
        <v>MasterTrust_Noren</v>
      </c>
      <c r="J19" s="106">
        <f t="shared" si="4"/>
        <v>0.7</v>
      </c>
      <c r="K19" s="107">
        <f t="shared" si="5"/>
        <v>0.7</v>
      </c>
      <c r="L19" s="108">
        <f t="shared" si="6"/>
        <v>0</v>
      </c>
      <c r="M19" s="109" t="str">
        <f>VLOOKUP(A19,Main!$A$1:$I$837,9,0)</f>
        <v>VS1</v>
      </c>
      <c r="N19" s="109" t="s">
        <v>529</v>
      </c>
      <c r="O19" s="110">
        <v>8.0</v>
      </c>
      <c r="P19" s="110" t="b">
        <f>_xlfn.isformula(VLOOKUP(A19,Main!A:J,7,0))</f>
        <v>1</v>
      </c>
      <c r="Q19" s="98"/>
      <c r="R19" s="111"/>
      <c r="S19" s="111" t="str">
        <f>VLOOKUP(A19,'Realised and SV'!$A$72:$F$96,5,0)</f>
        <v>#N/A</v>
      </c>
      <c r="T19" s="111" t="str">
        <f>VLOOKUP(A19,'Realised and SV'!$A$72:$F$96,6,0)</f>
        <v>#N/A</v>
      </c>
      <c r="U19" s="99"/>
      <c r="V19" s="99"/>
      <c r="W19" s="99"/>
      <c r="X19" s="99"/>
      <c r="Y19" s="99"/>
      <c r="Z19" s="99"/>
      <c r="AA19" s="99"/>
      <c r="AB19" s="99"/>
      <c r="AC19" s="99"/>
    </row>
    <row r="20">
      <c r="A20" s="100" t="s">
        <v>654</v>
      </c>
      <c r="B20" s="101" t="str">
        <f>VLOOKUP(A20,Main!$A:$B,2,0)</f>
        <v>MSR_PYADAV2</v>
      </c>
      <c r="C20" s="102">
        <v>100000.0</v>
      </c>
      <c r="D20" s="103">
        <f>iferror(VLOOKUP(A20,'Realised and SV'!$A$72:$F$96,5,0),0)</f>
        <v>0</v>
      </c>
      <c r="E20" s="103">
        <f>iferror(VLOOKUP(A20,'Realised and SV'!$A$72:$F$96,6,0),0)</f>
        <v>0</v>
      </c>
      <c r="F20" s="104">
        <f t="shared" si="1"/>
        <v>70000</v>
      </c>
      <c r="G20" s="104">
        <f t="shared" si="2"/>
        <v>70000</v>
      </c>
      <c r="H20" s="105">
        <f t="shared" si="3"/>
        <v>0</v>
      </c>
      <c r="I20" s="100" t="str">
        <f>VLOOKUP(A20,Main!A:J,6,0)</f>
        <v>MasterTrust_Noren</v>
      </c>
      <c r="J20" s="106">
        <f t="shared" si="4"/>
        <v>0.7</v>
      </c>
      <c r="K20" s="107">
        <f t="shared" si="5"/>
        <v>0.7</v>
      </c>
      <c r="L20" s="108">
        <f t="shared" si="6"/>
        <v>0</v>
      </c>
      <c r="M20" s="109" t="str">
        <f>VLOOKUP(A20,Main!$A$1:$I$837,9,0)</f>
        <v>VS1</v>
      </c>
      <c r="N20" s="109" t="s">
        <v>529</v>
      </c>
      <c r="O20" s="110">
        <v>8.0</v>
      </c>
      <c r="P20" s="110" t="b">
        <f>_xlfn.isformula(VLOOKUP(A20,Main!A:J,7,0))</f>
        <v>1</v>
      </c>
      <c r="Q20" s="98"/>
      <c r="R20" s="98">
        <v>800000.0</v>
      </c>
      <c r="S20" s="111" t="str">
        <f>VLOOKUP(A20,'Realised and SV'!$A$72:$F$96,5,0)</f>
        <v>#N/A</v>
      </c>
      <c r="T20" s="111" t="str">
        <f>VLOOKUP(A20,'Realised and SV'!$A$72:$F$96,6,0)</f>
        <v>#N/A</v>
      </c>
      <c r="U20" s="99"/>
      <c r="V20" s="99"/>
      <c r="W20" s="99"/>
      <c r="X20" s="99"/>
      <c r="Y20" s="99"/>
      <c r="Z20" s="99"/>
      <c r="AA20" s="99"/>
      <c r="AB20" s="99"/>
      <c r="AC20" s="99"/>
    </row>
    <row r="21">
      <c r="A21" s="100" t="s">
        <v>663</v>
      </c>
      <c r="B21" s="101" t="str">
        <f>VLOOKUP(A21,Main!$A:$B,2,0)</f>
        <v>MSS_A8_RM_ACH_4C</v>
      </c>
      <c r="C21" s="102">
        <v>400000.0</v>
      </c>
      <c r="D21" s="103">
        <f>iferror(VLOOKUP(A21,'Realised and SV'!$A$72:$F$96,5,0),0)</f>
        <v>-18788.9</v>
      </c>
      <c r="E21" s="103">
        <f>iferror(VLOOKUP(A21,'Realised and SV'!$A$72:$F$96,6,0),0)</f>
        <v>111934.55</v>
      </c>
      <c r="F21" s="104">
        <f t="shared" si="1"/>
        <v>373145</v>
      </c>
      <c r="G21" s="104">
        <f t="shared" si="2"/>
        <v>373145</v>
      </c>
      <c r="H21" s="105">
        <f t="shared" si="3"/>
        <v>0.232864125</v>
      </c>
      <c r="I21" s="100" t="str">
        <f>VLOOKUP(A21,Main!A:J,6,0)</f>
        <v>ASPL1</v>
      </c>
      <c r="J21" s="106">
        <f t="shared" si="4"/>
        <v>0.9328625</v>
      </c>
      <c r="K21" s="107">
        <f t="shared" si="5"/>
        <v>0.9328625</v>
      </c>
      <c r="L21" s="108">
        <f t="shared" si="6"/>
        <v>0.279836375</v>
      </c>
      <c r="M21" s="109" t="str">
        <f>VLOOKUP(A21,Main!$A$1:$I$837,9,0)</f>
        <v>VS5</v>
      </c>
      <c r="N21" s="109" t="s">
        <v>529</v>
      </c>
      <c r="O21" s="110">
        <v>8.0</v>
      </c>
      <c r="P21" s="110" t="b">
        <f>_xlfn.isformula(VLOOKUP(A21,Main!A:J,7,0))</f>
        <v>1</v>
      </c>
      <c r="Q21" s="98"/>
      <c r="R21" s="98">
        <v>3000000.0</v>
      </c>
      <c r="S21" s="113">
        <f>VLOOKUP(A21,'Realised and SV'!$A$72:$F$96,5,0)</f>
        <v>-18788.9</v>
      </c>
      <c r="T21" s="114">
        <f>VLOOKUP(A21,'Realised and SV'!$A$72:$F$96,6,0)</f>
        <v>111934.55</v>
      </c>
      <c r="U21" s="99"/>
      <c r="V21" s="99"/>
      <c r="W21" s="99"/>
      <c r="X21" s="99"/>
      <c r="Y21" s="99"/>
      <c r="Z21" s="99"/>
      <c r="AA21" s="99"/>
      <c r="AB21" s="99"/>
      <c r="AC21" s="99"/>
    </row>
    <row r="22">
      <c r="A22" s="116" t="s">
        <v>672</v>
      </c>
      <c r="B22" s="101" t="str">
        <f>VLOOKUP(A22,Main!$A:$B,2,0)</f>
        <v>CC_A8_CC10_4C</v>
      </c>
      <c r="C22" s="102">
        <v>400000.0</v>
      </c>
      <c r="D22" s="103">
        <f>iferror(VLOOKUP(A22,'Realised and SV'!$A$72:$F$96,5,0),0)</f>
        <v>-18869.5</v>
      </c>
      <c r="E22" s="103" t="str">
        <f>iferror(VLOOKUP(A22,'Realised and SV'!$A$72:$F$96,6,0),0)</f>
        <v>112507.85</v>
      </c>
      <c r="F22" s="104">
        <f t="shared" si="1"/>
        <v>373638</v>
      </c>
      <c r="G22" s="104">
        <f t="shared" si="2"/>
        <v>373638</v>
      </c>
      <c r="H22" s="105">
        <f t="shared" si="3"/>
        <v>0.234095875</v>
      </c>
      <c r="I22" s="100" t="str">
        <f>VLOOKUP(A22,Main!A:J,6,0)</f>
        <v>MasterTrust_Dealer</v>
      </c>
      <c r="J22" s="106">
        <f t="shared" si="4"/>
        <v>0.934095</v>
      </c>
      <c r="K22" s="107">
        <f t="shared" si="5"/>
        <v>0.934095</v>
      </c>
      <c r="L22" s="108">
        <f t="shared" si="6"/>
        <v>0.281269625</v>
      </c>
      <c r="M22" s="109" t="str">
        <f>VLOOKUP(A22,Main!$A$1:$I$837,9,0)</f>
        <v>VS5</v>
      </c>
      <c r="N22" s="109" t="s">
        <v>529</v>
      </c>
      <c r="O22" s="110">
        <v>8.0</v>
      </c>
      <c r="P22" s="110" t="b">
        <f>_xlfn.isformula(VLOOKUP(A22,Main!A:J,7,0))</f>
        <v>1</v>
      </c>
      <c r="Q22" s="98"/>
      <c r="R22" s="111"/>
      <c r="S22" s="113">
        <f>VLOOKUP(A22,'Realised and SV'!$A$72:$F$96,5,0)</f>
        <v>-18869.5</v>
      </c>
      <c r="T22" s="114" t="str">
        <f>VLOOKUP(A22,'Realised and SV'!$A$72:$F$96,6,0)</f>
        <v>112507.85</v>
      </c>
      <c r="U22" s="99"/>
      <c r="V22" s="99"/>
      <c r="W22" s="99"/>
      <c r="X22" s="99"/>
      <c r="Y22" s="99"/>
      <c r="Z22" s="99"/>
      <c r="AA22" s="99"/>
      <c r="AB22" s="99"/>
      <c r="AC22" s="99"/>
    </row>
    <row r="23">
      <c r="A23" s="116" t="s">
        <v>684</v>
      </c>
      <c r="B23" s="101" t="str">
        <f>VLOOKUP(A23,Main!$A:$B,2,0)</f>
        <v>MSR_RDANGAYACH2_2C</v>
      </c>
      <c r="C23" s="102">
        <v>200000.0</v>
      </c>
      <c r="D23" s="103">
        <f>iferror(VLOOKUP(A23,'Realised and SV'!$A$72:$F$96,5,0),0)</f>
        <v>0</v>
      </c>
      <c r="E23" s="103">
        <f>iferror(VLOOKUP(A23,'Realised and SV'!$A$72:$F$96,6,0),0)</f>
        <v>26765.05</v>
      </c>
      <c r="F23" s="104">
        <f t="shared" si="1"/>
        <v>166765</v>
      </c>
      <c r="G23" s="104">
        <f t="shared" si="2"/>
        <v>166765</v>
      </c>
      <c r="H23" s="105">
        <f t="shared" si="3"/>
        <v>0.13382525</v>
      </c>
      <c r="I23" s="100" t="str">
        <f>VLOOKUP(A23,Main!A:J,6,0)</f>
        <v>IIFL_CDC</v>
      </c>
      <c r="J23" s="106">
        <f t="shared" si="4"/>
        <v>0.833825</v>
      </c>
      <c r="K23" s="107">
        <f t="shared" si="5"/>
        <v>0.833825</v>
      </c>
      <c r="L23" s="108">
        <f t="shared" si="6"/>
        <v>0.13382525</v>
      </c>
      <c r="M23" s="109" t="str">
        <f>VLOOKUP(A23,Main!$A$1:$I$837,9,0)</f>
        <v>VS5</v>
      </c>
      <c r="N23" s="109" t="s">
        <v>529</v>
      </c>
      <c r="O23" s="110">
        <v>8.0</v>
      </c>
      <c r="P23" s="110" t="b">
        <f>_xlfn.isformula(VLOOKUP(A23,Main!A:J,7,0))</f>
        <v>1</v>
      </c>
      <c r="Q23" s="98"/>
      <c r="R23" s="111"/>
      <c r="S23" s="113">
        <f>VLOOKUP(A23,'Realised and SV'!$A$72:$F$96,5,0)</f>
        <v>0</v>
      </c>
      <c r="T23" s="114">
        <f>VLOOKUP(A23,'Realised and SV'!$A$72:$F$96,6,0)</f>
        <v>26765.05</v>
      </c>
      <c r="U23" s="99"/>
      <c r="V23" s="99"/>
      <c r="W23" s="99"/>
      <c r="X23" s="99"/>
      <c r="Y23" s="99"/>
      <c r="Z23" s="99"/>
      <c r="AA23" s="99"/>
      <c r="AB23" s="99"/>
      <c r="AC23" s="99"/>
    </row>
    <row r="24">
      <c r="A24" s="100" t="s">
        <v>681</v>
      </c>
      <c r="B24" s="101" t="str">
        <f>VLOOKUP(A24,Main!$A:$B,2,0)</f>
        <v>MSS_A8_GB_6C</v>
      </c>
      <c r="C24" s="110">
        <v>600000.0</v>
      </c>
      <c r="D24" s="103">
        <f>iferror(VLOOKUP(A24,'Realised and SV'!$A$72:$F$96,5,0),0)</f>
        <v>-28278.9</v>
      </c>
      <c r="E24" s="103">
        <f>iferror(VLOOKUP(A24,'Realised and SV'!$A$72:$F$96,6,0),0)</f>
        <v>167992.5</v>
      </c>
      <c r="F24" s="104">
        <f t="shared" si="1"/>
        <v>559713</v>
      </c>
      <c r="G24" s="104">
        <f t="shared" si="2"/>
        <v>559713</v>
      </c>
      <c r="H24" s="105">
        <f t="shared" si="3"/>
        <v>0.232856</v>
      </c>
      <c r="I24" s="100" t="str">
        <f>VLOOKUP(A24,Main!A:J,6,0)</f>
        <v>JAINAMSRED</v>
      </c>
      <c r="J24" s="106">
        <f t="shared" si="4"/>
        <v>0.932855</v>
      </c>
      <c r="K24" s="107">
        <f t="shared" si="5"/>
        <v>0.932855</v>
      </c>
      <c r="L24" s="108">
        <f t="shared" si="6"/>
        <v>0.2799875</v>
      </c>
      <c r="M24" s="109" t="str">
        <f>VLOOKUP(A24,Main!$A$1:$I$837,9,0)</f>
        <v>VS5</v>
      </c>
      <c r="N24" s="109" t="s">
        <v>529</v>
      </c>
      <c r="O24" s="110">
        <v>8.0</v>
      </c>
      <c r="P24" s="110" t="b">
        <f>_xlfn.isformula(VLOOKUP(A24,Main!A:J,7,0))</f>
        <v>1</v>
      </c>
      <c r="Q24" s="98"/>
      <c r="R24" s="111"/>
      <c r="S24" s="113">
        <f>VLOOKUP(A24,'Realised and SV'!$A$72:$F$96,5,0)</f>
        <v>-28278.9</v>
      </c>
      <c r="T24" s="114">
        <f>VLOOKUP(A24,'Realised and SV'!$A$72:$F$96,6,0)</f>
        <v>167992.5</v>
      </c>
      <c r="U24" s="99"/>
      <c r="V24" s="99"/>
      <c r="W24" s="99"/>
      <c r="X24" s="99"/>
      <c r="Y24" s="99"/>
      <c r="Z24" s="99"/>
      <c r="AA24" s="99"/>
      <c r="AB24" s="99"/>
      <c r="AC24" s="99"/>
    </row>
    <row r="25">
      <c r="A25" s="116" t="s">
        <v>698</v>
      </c>
      <c r="B25" s="101" t="str">
        <f>VLOOKUP(A25,Main!$A:$B,2,0)</f>
        <v>MSR_YOGESH6_2C</v>
      </c>
      <c r="C25" s="102">
        <v>200000.0</v>
      </c>
      <c r="D25" s="103">
        <f>iferror(VLOOKUP(A25,'Realised and SV'!$A$72:$F$96,5,0),0)</f>
        <v>0</v>
      </c>
      <c r="E25" s="103">
        <f>iferror(VLOOKUP(A25,'Realised and SV'!$A$72:$F$96,6,0),0)</f>
        <v>26777.4</v>
      </c>
      <c r="F25" s="104">
        <f t="shared" si="1"/>
        <v>166777</v>
      </c>
      <c r="G25" s="104">
        <f t="shared" si="2"/>
        <v>166777</v>
      </c>
      <c r="H25" s="105">
        <f t="shared" si="3"/>
        <v>0.133887</v>
      </c>
      <c r="I25" s="100" t="str">
        <f>VLOOKUP(A25,Main!A:J,6,0)</f>
        <v>IIFL_CDC</v>
      </c>
      <c r="J25" s="106">
        <f t="shared" si="4"/>
        <v>0.833885</v>
      </c>
      <c r="K25" s="107">
        <f t="shared" si="5"/>
        <v>0.833885</v>
      </c>
      <c r="L25" s="108">
        <f t="shared" si="6"/>
        <v>0.133887</v>
      </c>
      <c r="M25" s="109" t="str">
        <f>VLOOKUP(A25,Main!$A$1:$I$837,9,0)</f>
        <v>VS5</v>
      </c>
      <c r="N25" s="109" t="s">
        <v>529</v>
      </c>
      <c r="O25" s="110">
        <v>8.0</v>
      </c>
      <c r="P25" s="110" t="b">
        <f>_xlfn.isformula(VLOOKUP(A25,Main!A:J,7,0))</f>
        <v>1</v>
      </c>
      <c r="Q25" s="98"/>
      <c r="R25" s="111"/>
      <c r="S25" s="113">
        <f>VLOOKUP(A25,'Realised and SV'!$A$72:$F$96,5,0)</f>
        <v>0</v>
      </c>
      <c r="T25" s="114">
        <f>VLOOKUP(A25,'Realised and SV'!$A$72:$F$96,6,0)</f>
        <v>26777.4</v>
      </c>
      <c r="U25" s="99"/>
      <c r="V25" s="99"/>
      <c r="W25" s="99"/>
      <c r="X25" s="99"/>
      <c r="Y25" s="99"/>
      <c r="Z25" s="99"/>
      <c r="AA25" s="99"/>
      <c r="AB25" s="99"/>
      <c r="AC25" s="99"/>
    </row>
    <row r="26">
      <c r="A26" s="100" t="s">
        <v>690</v>
      </c>
      <c r="B26" s="101" t="str">
        <f>VLOOKUP(A26,Main!$A:$B,2,0)</f>
        <v>MSR_LODHA4_2C</v>
      </c>
      <c r="C26" s="102">
        <v>200000.0</v>
      </c>
      <c r="D26" s="103">
        <f>iferror(VLOOKUP(A26,'Realised and SV'!$A$72:$F$96,5,0),0)</f>
        <v>0</v>
      </c>
      <c r="E26" s="103">
        <f>iferror(VLOOKUP(A26,'Realised and SV'!$A$72:$F$96,6,0),0)</f>
        <v>26627.9</v>
      </c>
      <c r="F26" s="104">
        <f t="shared" si="1"/>
        <v>166627</v>
      </c>
      <c r="G26" s="104">
        <f t="shared" si="2"/>
        <v>166627</v>
      </c>
      <c r="H26" s="105">
        <f t="shared" si="3"/>
        <v>0.1331395</v>
      </c>
      <c r="I26" s="100" t="str">
        <f>VLOOKUP(A26,Main!A:J,6,0)</f>
        <v>IIFL_CDC</v>
      </c>
      <c r="J26" s="106">
        <f t="shared" si="4"/>
        <v>0.833135</v>
      </c>
      <c r="K26" s="107">
        <f t="shared" si="5"/>
        <v>0.833135</v>
      </c>
      <c r="L26" s="108">
        <f t="shared" si="6"/>
        <v>0.1331395</v>
      </c>
      <c r="M26" s="109" t="str">
        <f>VLOOKUP(A26,Main!$A$1:$I$837,9,0)</f>
        <v>VS5</v>
      </c>
      <c r="N26" s="109" t="s">
        <v>529</v>
      </c>
      <c r="O26" s="110">
        <v>8.0</v>
      </c>
      <c r="P26" s="110" t="b">
        <f>_xlfn.isformula(VLOOKUP(A26,Main!A:J,7,0))</f>
        <v>1</v>
      </c>
      <c r="Q26" s="98"/>
      <c r="R26" s="111"/>
      <c r="S26" s="113">
        <f>VLOOKUP(A26,'Realised and SV'!$A$72:$F$96,5,0)</f>
        <v>0</v>
      </c>
      <c r="T26" s="114">
        <f>VLOOKUP(A26,'Realised and SV'!$A$72:$F$96,6,0)</f>
        <v>26627.9</v>
      </c>
      <c r="U26" s="99"/>
      <c r="V26" s="99"/>
      <c r="W26" s="99"/>
      <c r="X26" s="99"/>
      <c r="Y26" s="99"/>
      <c r="Z26" s="99"/>
      <c r="AA26" s="99"/>
      <c r="AB26" s="99"/>
      <c r="AC26" s="99"/>
    </row>
    <row r="27">
      <c r="A27" s="100" t="s">
        <v>685</v>
      </c>
      <c r="B27" s="101" t="str">
        <f>VLOOKUP(A27,Main!$A:$B,2,0)</f>
        <v>MSP_SUSHANTG2</v>
      </c>
      <c r="C27" s="102">
        <v>100000.0</v>
      </c>
      <c r="D27" s="103">
        <f>iferror(VLOOKUP(A27,'Realised and SV'!$A$72:$F$96,5,0),0)</f>
        <v>0</v>
      </c>
      <c r="E27" s="103">
        <f>iferror(VLOOKUP(A27,'Realised and SV'!$A$72:$F$96,6,0),0)</f>
        <v>0</v>
      </c>
      <c r="F27" s="104">
        <f t="shared" si="1"/>
        <v>70000</v>
      </c>
      <c r="G27" s="104">
        <f t="shared" si="2"/>
        <v>70000</v>
      </c>
      <c r="H27" s="105">
        <f t="shared" si="3"/>
        <v>0</v>
      </c>
      <c r="I27" s="100" t="str">
        <f>VLOOKUP(A27,Main!A:J,6,0)</f>
        <v>IIFL_CDC</v>
      </c>
      <c r="J27" s="106">
        <f t="shared" si="4"/>
        <v>0.7</v>
      </c>
      <c r="K27" s="107">
        <f t="shared" si="5"/>
        <v>0.7</v>
      </c>
      <c r="L27" s="108">
        <f t="shared" si="6"/>
        <v>0</v>
      </c>
      <c r="M27" s="109" t="str">
        <f>VLOOKUP(A27,Main!$A$1:$I$837,9,0)</f>
        <v>VS5</v>
      </c>
      <c r="N27" s="109" t="s">
        <v>529</v>
      </c>
      <c r="O27" s="110">
        <v>8.0</v>
      </c>
      <c r="P27" s="110" t="b">
        <f>_xlfn.isformula(VLOOKUP(A27,Main!A:J,7,0))</f>
        <v>1</v>
      </c>
      <c r="Q27" s="98"/>
      <c r="R27" s="111"/>
      <c r="S27" s="111" t="str">
        <f>VLOOKUP(A27,'Realised and SV'!$A$72:$F$96,5,0)</f>
        <v>#N/A</v>
      </c>
      <c r="T27" s="111" t="str">
        <f>VLOOKUP(A27,'Realised and SV'!$A$72:$F$96,6,0)</f>
        <v>#N/A</v>
      </c>
      <c r="U27" s="99"/>
      <c r="V27" s="99"/>
      <c r="W27" s="99"/>
      <c r="X27" s="99"/>
      <c r="Y27" s="99"/>
      <c r="Z27" s="99"/>
      <c r="AA27" s="99"/>
      <c r="AB27" s="99"/>
      <c r="AC27" s="99"/>
    </row>
    <row r="28">
      <c r="A28" s="116" t="s">
        <v>695</v>
      </c>
      <c r="B28" s="101" t="str">
        <f>VLOOKUP(A28,Main!$A:$B,2,0)</f>
        <v>MSR_RAMPAL_RATHI_HUF</v>
      </c>
      <c r="C28" s="102">
        <v>100000.0</v>
      </c>
      <c r="D28" s="103">
        <f>iferror(VLOOKUP(A28,'Realised and SV'!$A$72:$F$96,5,0),0)</f>
        <v>0</v>
      </c>
      <c r="E28" s="103">
        <f>iferror(VLOOKUP(A28,'Realised and SV'!$A$72:$F$96,6,0),0)</f>
        <v>0</v>
      </c>
      <c r="F28" s="104">
        <f t="shared" si="1"/>
        <v>70000</v>
      </c>
      <c r="G28" s="104">
        <f t="shared" si="2"/>
        <v>70000</v>
      </c>
      <c r="H28" s="105">
        <f t="shared" si="3"/>
        <v>0</v>
      </c>
      <c r="I28" s="100" t="str">
        <f>VLOOKUP(A28,Main!A:J,6,0)</f>
        <v>IIFL_CDC</v>
      </c>
      <c r="J28" s="106">
        <f t="shared" si="4"/>
        <v>0.7</v>
      </c>
      <c r="K28" s="107">
        <f t="shared" si="5"/>
        <v>0.7</v>
      </c>
      <c r="L28" s="108">
        <f t="shared" si="6"/>
        <v>0</v>
      </c>
      <c r="M28" s="109" t="str">
        <f>VLOOKUP(A28,Main!$A$1:$I$837,9,0)</f>
        <v>VS5</v>
      </c>
      <c r="N28" s="109" t="s">
        <v>529</v>
      </c>
      <c r="O28" s="110">
        <v>8.0</v>
      </c>
      <c r="P28" s="110" t="b">
        <f>_xlfn.isformula(VLOOKUP(A28,Main!A:J,7,0))</f>
        <v>1</v>
      </c>
      <c r="Q28" s="98"/>
      <c r="R28" s="111"/>
      <c r="S28" s="111" t="str">
        <f>VLOOKUP(A28,'Realised and SV'!$A$72:$F$96,5,0)</f>
        <v>#N/A</v>
      </c>
      <c r="T28" s="111" t="str">
        <f>VLOOKUP(A28,'Realised and SV'!$A$72:$F$96,6,0)</f>
        <v>#N/A</v>
      </c>
      <c r="U28" s="99"/>
      <c r="V28" s="99"/>
      <c r="W28" s="99"/>
      <c r="X28" s="99"/>
      <c r="Y28" s="99"/>
      <c r="Z28" s="99"/>
      <c r="AA28" s="99"/>
      <c r="AB28" s="99"/>
      <c r="AC28" s="99"/>
    </row>
    <row r="29">
      <c r="A29" s="100" t="s">
        <v>693</v>
      </c>
      <c r="B29" s="101" t="str">
        <f>VLOOKUP(A29,Main!$A:$B,2,0)</f>
        <v>MSR_NATH2</v>
      </c>
      <c r="C29" s="102">
        <v>100000.0</v>
      </c>
      <c r="D29" s="103">
        <f>iferror(VLOOKUP(A29,'Realised and SV'!$A$72:$F$96,5,0),0)</f>
        <v>0</v>
      </c>
      <c r="E29" s="103">
        <f>iferror(VLOOKUP(A29,'Realised and SV'!$A$72:$F$96,6,0),0)</f>
        <v>0</v>
      </c>
      <c r="F29" s="104">
        <f t="shared" si="1"/>
        <v>70000</v>
      </c>
      <c r="G29" s="104">
        <f t="shared" si="2"/>
        <v>70000</v>
      </c>
      <c r="H29" s="105">
        <f t="shared" si="3"/>
        <v>0</v>
      </c>
      <c r="I29" s="100" t="str">
        <f>VLOOKUP(A29,Main!A:J,6,0)</f>
        <v>IIFL_CDC</v>
      </c>
      <c r="J29" s="106">
        <f t="shared" si="4"/>
        <v>0.7</v>
      </c>
      <c r="K29" s="107">
        <f t="shared" si="5"/>
        <v>0.7</v>
      </c>
      <c r="L29" s="108">
        <f t="shared" si="6"/>
        <v>0</v>
      </c>
      <c r="M29" s="109" t="str">
        <f>VLOOKUP(A29,Main!$A$1:$I$837,9,0)</f>
        <v>VS5</v>
      </c>
      <c r="N29" s="109" t="s">
        <v>529</v>
      </c>
      <c r="O29" s="110">
        <v>8.0</v>
      </c>
      <c r="P29" s="110" t="b">
        <f>_xlfn.isformula(VLOOKUP(A29,Main!A:J,7,0))</f>
        <v>1</v>
      </c>
      <c r="Q29" s="98"/>
      <c r="R29" s="111"/>
      <c r="S29" s="111" t="str">
        <f>VLOOKUP(A29,'Realised and SV'!$A$72:$F$96,5,0)</f>
        <v>#N/A</v>
      </c>
      <c r="T29" s="111" t="str">
        <f>VLOOKUP(A29,'Realised and SV'!$A$72:$F$96,6,0)</f>
        <v>#N/A</v>
      </c>
      <c r="U29" s="99"/>
      <c r="V29" s="99"/>
      <c r="W29" s="99"/>
      <c r="X29" s="99"/>
      <c r="Y29" s="99"/>
      <c r="Z29" s="99"/>
      <c r="AA29" s="99"/>
      <c r="AB29" s="99"/>
      <c r="AC29" s="99"/>
    </row>
    <row r="30">
      <c r="A30" s="115" t="s">
        <v>694</v>
      </c>
      <c r="B30" s="101" t="str">
        <f>VLOOKUP(A30,Main!$A:$B,2,0)</f>
        <v>MSR_PTAK6_2C</v>
      </c>
      <c r="C30" s="102">
        <v>200000.0</v>
      </c>
      <c r="D30" s="103">
        <f>iferror(VLOOKUP(A30,'Realised and SV'!$A$72:$F$96,5,0),0)</f>
        <v>0</v>
      </c>
      <c r="E30" s="103">
        <f>iferror(VLOOKUP(A30,'Realised and SV'!$A$72:$F$96,6,0),0)</f>
        <v>26762.45</v>
      </c>
      <c r="F30" s="104">
        <f t="shared" si="1"/>
        <v>166762</v>
      </c>
      <c r="G30" s="104">
        <f t="shared" si="2"/>
        <v>166762</v>
      </c>
      <c r="H30" s="105">
        <f t="shared" si="3"/>
        <v>0.13381225</v>
      </c>
      <c r="I30" s="100" t="str">
        <f>VLOOKUP(A30,Main!A:J,6,0)</f>
        <v>IIFL_CDC</v>
      </c>
      <c r="J30" s="106">
        <f t="shared" si="4"/>
        <v>0.83381</v>
      </c>
      <c r="K30" s="107">
        <f t="shared" si="5"/>
        <v>0.83381</v>
      </c>
      <c r="L30" s="108">
        <f t="shared" si="6"/>
        <v>0.13381225</v>
      </c>
      <c r="M30" s="109" t="str">
        <f>VLOOKUP(A30,Main!$A$1:$I$837,9,0)</f>
        <v>VS5</v>
      </c>
      <c r="N30" s="109" t="s">
        <v>529</v>
      </c>
      <c r="O30" s="110">
        <v>8.0</v>
      </c>
      <c r="P30" s="110" t="b">
        <f>_xlfn.isformula(VLOOKUP(A30,Main!A:J,7,0))</f>
        <v>1</v>
      </c>
      <c r="Q30" s="98"/>
      <c r="R30" s="98">
        <v>600000.0</v>
      </c>
      <c r="S30" s="113">
        <f>VLOOKUP(A30,'Realised and SV'!$A$72:$F$96,5,0)</f>
        <v>0</v>
      </c>
      <c r="T30" s="114">
        <f>VLOOKUP(A30,'Realised and SV'!$A$72:$F$96,6,0)</f>
        <v>26762.45</v>
      </c>
      <c r="U30" s="99"/>
      <c r="V30" s="99"/>
      <c r="W30" s="99"/>
      <c r="X30" s="99"/>
      <c r="Y30" s="99"/>
      <c r="Z30" s="99"/>
      <c r="AA30" s="99"/>
      <c r="AB30" s="99"/>
      <c r="AC30" s="99"/>
    </row>
    <row r="31">
      <c r="A31" s="100" t="s">
        <v>696</v>
      </c>
      <c r="B31" s="101" t="str">
        <f>VLOOKUP(A31,Main!$A:$B,2,0)</f>
        <v>MSR_RYADAV2</v>
      </c>
      <c r="C31" s="102">
        <v>100000.0</v>
      </c>
      <c r="D31" s="103">
        <f>iferror(VLOOKUP(A31,'Realised and SV'!$A$72:$F$96,5,0),0)</f>
        <v>0</v>
      </c>
      <c r="E31" s="103">
        <f>iferror(VLOOKUP(A31,'Realised and SV'!$A$72:$F$96,6,0),0)</f>
        <v>0</v>
      </c>
      <c r="F31" s="104">
        <f t="shared" si="1"/>
        <v>70000</v>
      </c>
      <c r="G31" s="104">
        <f t="shared" si="2"/>
        <v>70000</v>
      </c>
      <c r="H31" s="105">
        <f t="shared" si="3"/>
        <v>0</v>
      </c>
      <c r="I31" s="100" t="str">
        <f>VLOOKUP(A31,Main!A:J,6,0)</f>
        <v>IIFL_CDC</v>
      </c>
      <c r="J31" s="106">
        <f t="shared" si="4"/>
        <v>0.7</v>
      </c>
      <c r="K31" s="107">
        <f t="shared" si="5"/>
        <v>0.7</v>
      </c>
      <c r="L31" s="108">
        <f t="shared" si="6"/>
        <v>0</v>
      </c>
      <c r="M31" s="109" t="str">
        <f>VLOOKUP(A31,Main!$A$1:$I$837,9,0)</f>
        <v>VS5</v>
      </c>
      <c r="N31" s="109" t="s">
        <v>529</v>
      </c>
      <c r="O31" s="110">
        <v>8.0</v>
      </c>
      <c r="P31" s="110" t="b">
        <f>_xlfn.isformula(VLOOKUP(A31,Main!A:J,7,0))</f>
        <v>1</v>
      </c>
      <c r="Q31" s="98"/>
      <c r="R31" s="111"/>
      <c r="S31" s="111" t="str">
        <f>VLOOKUP(A31,'Realised and SV'!$A$72:$F$96,5,0)</f>
        <v>#N/A</v>
      </c>
      <c r="T31" s="111" t="str">
        <f>VLOOKUP(A31,'Realised and SV'!$A$72:$F$96,6,0)</f>
        <v>#N/A</v>
      </c>
      <c r="U31" s="99"/>
      <c r="V31" s="99"/>
      <c r="W31" s="99"/>
      <c r="X31" s="99"/>
      <c r="Y31" s="99"/>
      <c r="Z31" s="99"/>
      <c r="AA31" s="99"/>
      <c r="AB31" s="99"/>
      <c r="AC31" s="99"/>
    </row>
    <row r="32">
      <c r="A32" s="100" t="s">
        <v>683</v>
      </c>
      <c r="B32" s="101" t="str">
        <f>VLOOKUP(A32,Main!$A:$B,2,0)</f>
        <v>MSP_MARUNKK3</v>
      </c>
      <c r="C32" s="102">
        <v>100000.0</v>
      </c>
      <c r="D32" s="103">
        <f>iferror(VLOOKUP(A32,'Realised and SV'!$A$72:$F$96,5,0),0)</f>
        <v>0</v>
      </c>
      <c r="E32" s="103">
        <f>iferror(VLOOKUP(A32,'Realised and SV'!$A$72:$F$96,6,0),0)</f>
        <v>0</v>
      </c>
      <c r="F32" s="104">
        <f t="shared" si="1"/>
        <v>70000</v>
      </c>
      <c r="G32" s="104">
        <f t="shared" si="2"/>
        <v>70000</v>
      </c>
      <c r="H32" s="105">
        <f t="shared" si="3"/>
        <v>0</v>
      </c>
      <c r="I32" s="100" t="str">
        <f>VLOOKUP(A32,Main!A:J,6,0)</f>
        <v>IIFL_CDC</v>
      </c>
      <c r="J32" s="106">
        <f t="shared" si="4"/>
        <v>0.7</v>
      </c>
      <c r="K32" s="107">
        <f t="shared" si="5"/>
        <v>0.7</v>
      </c>
      <c r="L32" s="108">
        <f t="shared" si="6"/>
        <v>0</v>
      </c>
      <c r="M32" s="109" t="str">
        <f>VLOOKUP(A32,Main!$A$1:$I$837,9,0)</f>
        <v>VS5</v>
      </c>
      <c r="N32" s="109" t="s">
        <v>529</v>
      </c>
      <c r="O32" s="110">
        <v>8.0</v>
      </c>
      <c r="P32" s="110" t="b">
        <f>_xlfn.isformula(VLOOKUP(A32,Main!A:J,7,0))</f>
        <v>1</v>
      </c>
      <c r="Q32" s="98"/>
      <c r="R32" s="98">
        <v>800000.0</v>
      </c>
      <c r="S32" s="111" t="str">
        <f>VLOOKUP(A32,'Realised and SV'!$A$72:$F$96,5,0)</f>
        <v>#N/A</v>
      </c>
      <c r="T32" s="111" t="str">
        <f>VLOOKUP(A32,'Realised and SV'!$A$72:$F$96,6,0)</f>
        <v>#N/A</v>
      </c>
      <c r="U32" s="99"/>
      <c r="V32" s="99"/>
      <c r="W32" s="99"/>
      <c r="X32" s="99"/>
      <c r="Y32" s="99"/>
      <c r="Z32" s="99"/>
      <c r="AA32" s="99"/>
      <c r="AB32" s="99"/>
      <c r="AC32" s="99"/>
    </row>
    <row r="33">
      <c r="A33" s="100" t="s">
        <v>682</v>
      </c>
      <c r="B33" s="101" t="str">
        <f>VLOOKUP(A33,Main!$A:$B,2,0)</f>
        <v>MSN_ALOYALKA1</v>
      </c>
      <c r="C33" s="102">
        <v>100000.0</v>
      </c>
      <c r="D33" s="103">
        <f>iferror(VLOOKUP(A33,'Realised and SV'!$A$72:$F$96,5,0),0)</f>
        <v>0</v>
      </c>
      <c r="E33" s="103">
        <f>iferror(VLOOKUP(A33,'Realised and SV'!$A$72:$F$96,6,0),0)</f>
        <v>0</v>
      </c>
      <c r="F33" s="104">
        <f t="shared" si="1"/>
        <v>70000</v>
      </c>
      <c r="G33" s="104">
        <f t="shared" si="2"/>
        <v>70000</v>
      </c>
      <c r="H33" s="105">
        <f t="shared" si="3"/>
        <v>0</v>
      </c>
      <c r="I33" s="100" t="str">
        <f>VLOOKUP(A33,Main!A:J,6,0)</f>
        <v>IIFL_CDC</v>
      </c>
      <c r="J33" s="106">
        <f t="shared" si="4"/>
        <v>0.7</v>
      </c>
      <c r="K33" s="107">
        <f t="shared" si="5"/>
        <v>0.7</v>
      </c>
      <c r="L33" s="108">
        <f t="shared" si="6"/>
        <v>0</v>
      </c>
      <c r="M33" s="109" t="str">
        <f>VLOOKUP(A33,Main!$A$1:$I$837,9,0)</f>
        <v>VS5</v>
      </c>
      <c r="N33" s="109" t="s">
        <v>529</v>
      </c>
      <c r="O33" s="110">
        <v>8.0</v>
      </c>
      <c r="P33" s="110" t="b">
        <f>_xlfn.isformula(VLOOKUP(A33,Main!A:J,7,0))</f>
        <v>1</v>
      </c>
      <c r="Q33" s="98"/>
      <c r="R33" s="111"/>
      <c r="S33" s="111" t="str">
        <f>VLOOKUP(A33,'Realised and SV'!$A$72:$F$96,5,0)</f>
        <v>#N/A</v>
      </c>
      <c r="T33" s="111" t="str">
        <f>VLOOKUP(A33,'Realised and SV'!$A$72:$F$96,6,0)</f>
        <v>#N/A</v>
      </c>
      <c r="U33" s="99"/>
      <c r="V33" s="99"/>
      <c r="W33" s="99"/>
      <c r="X33" s="99"/>
      <c r="Y33" s="99"/>
      <c r="Z33" s="99"/>
      <c r="AA33" s="99"/>
      <c r="AB33" s="99"/>
      <c r="AC33" s="99"/>
    </row>
    <row r="34">
      <c r="A34" s="100" t="s">
        <v>686</v>
      </c>
      <c r="B34" s="101" t="str">
        <f>VLOOKUP(A34,Main!$A:$B,2,0)</f>
        <v>MSP_VIKAS_JEPH_HUF</v>
      </c>
      <c r="C34" s="102">
        <v>100000.0</v>
      </c>
      <c r="D34" s="103">
        <f>iferror(VLOOKUP(A34,'Realised and SV'!$A$72:$F$96,5,0),0)</f>
        <v>0</v>
      </c>
      <c r="E34" s="103">
        <f>iferror(VLOOKUP(A34,'Realised and SV'!$A$72:$F$96,6,0),0)</f>
        <v>0</v>
      </c>
      <c r="F34" s="104">
        <f t="shared" si="1"/>
        <v>70000</v>
      </c>
      <c r="G34" s="104">
        <f t="shared" si="2"/>
        <v>70000</v>
      </c>
      <c r="H34" s="105">
        <f t="shared" si="3"/>
        <v>0</v>
      </c>
      <c r="I34" s="100" t="str">
        <f>VLOOKUP(A34,Main!A:J,6,0)</f>
        <v>IIFL_CDC</v>
      </c>
      <c r="J34" s="106">
        <f t="shared" si="4"/>
        <v>0.7</v>
      </c>
      <c r="K34" s="107">
        <f t="shared" si="5"/>
        <v>0.7</v>
      </c>
      <c r="L34" s="108">
        <f t="shared" si="6"/>
        <v>0</v>
      </c>
      <c r="M34" s="109" t="str">
        <f>VLOOKUP(A34,Main!$A$1:$I$837,9,0)</f>
        <v>VS5</v>
      </c>
      <c r="N34" s="109" t="s">
        <v>529</v>
      </c>
      <c r="O34" s="110">
        <v>8.0</v>
      </c>
      <c r="P34" s="110" t="b">
        <f>_xlfn.isformula(VLOOKUP(A34,Main!A:J,7,0))</f>
        <v>1</v>
      </c>
      <c r="Q34" s="98"/>
      <c r="R34" s="111"/>
      <c r="S34" s="111" t="str">
        <f>VLOOKUP(A34,'Realised and SV'!$A$72:$F$96,5,0)</f>
        <v>#N/A</v>
      </c>
      <c r="T34" s="111" t="str">
        <f>VLOOKUP(A34,'Realised and SV'!$A$72:$F$96,6,0)</f>
        <v>#N/A</v>
      </c>
      <c r="U34" s="99"/>
      <c r="V34" s="99"/>
      <c r="W34" s="99"/>
      <c r="X34" s="99"/>
      <c r="Y34" s="99"/>
      <c r="Z34" s="99"/>
      <c r="AA34" s="99"/>
      <c r="AB34" s="99"/>
      <c r="AC34" s="99"/>
    </row>
    <row r="35">
      <c r="A35" s="115" t="s">
        <v>688</v>
      </c>
      <c r="B35" s="101" t="str">
        <f>VLOOKUP(A35,Main!$A:$B,2,0)</f>
        <v>MSR_BHARNI1</v>
      </c>
      <c r="C35" s="102">
        <v>100000.0</v>
      </c>
      <c r="D35" s="103">
        <f>iferror(VLOOKUP(A35,'Realised and SV'!$A$72:$F$96,5,0),0)</f>
        <v>0</v>
      </c>
      <c r="E35" s="103">
        <f>iferror(VLOOKUP(A35,'Realised and SV'!$A$72:$F$96,6,0),0)</f>
        <v>0</v>
      </c>
      <c r="F35" s="104">
        <f t="shared" si="1"/>
        <v>70000</v>
      </c>
      <c r="G35" s="104">
        <f t="shared" si="2"/>
        <v>70000</v>
      </c>
      <c r="H35" s="105">
        <f t="shared" si="3"/>
        <v>0</v>
      </c>
      <c r="I35" s="100" t="str">
        <f>VLOOKUP(A35,Main!A:J,6,0)</f>
        <v>IIFL_CDC</v>
      </c>
      <c r="J35" s="106">
        <f t="shared" si="4"/>
        <v>0.7</v>
      </c>
      <c r="K35" s="107">
        <f t="shared" si="5"/>
        <v>0.7</v>
      </c>
      <c r="L35" s="108">
        <f t="shared" si="6"/>
        <v>0</v>
      </c>
      <c r="M35" s="109" t="str">
        <f>VLOOKUP(A35,Main!$A$1:$I$837,9,0)</f>
        <v>VS5</v>
      </c>
      <c r="N35" s="109" t="s">
        <v>529</v>
      </c>
      <c r="O35" s="110">
        <v>8.0</v>
      </c>
      <c r="P35" s="110" t="b">
        <f>_xlfn.isformula(VLOOKUP(A35,Main!A:J,7,0))</f>
        <v>1</v>
      </c>
      <c r="Q35" s="98"/>
      <c r="R35" s="111"/>
      <c r="S35" s="111" t="str">
        <f>VLOOKUP(A35,'Realised and SV'!$A$72:$F$96,5,0)</f>
        <v>#N/A</v>
      </c>
      <c r="T35" s="111" t="str">
        <f>VLOOKUP(A35,'Realised and SV'!$A$72:$F$96,6,0)</f>
        <v>#N/A</v>
      </c>
      <c r="U35" s="111"/>
      <c r="V35" s="111"/>
      <c r="W35" s="111"/>
      <c r="X35" s="111"/>
      <c r="Y35" s="111"/>
      <c r="Z35" s="111"/>
      <c r="AA35" s="111"/>
      <c r="AB35" s="111"/>
      <c r="AC35" s="111"/>
    </row>
    <row r="36">
      <c r="A36" s="100" t="s">
        <v>687</v>
      </c>
      <c r="B36" s="101" t="str">
        <f>VLOOKUP(A36,Main!$A:$B,2,0)</f>
        <v>MSR_ASR1_2C</v>
      </c>
      <c r="C36" s="102">
        <v>200000.0</v>
      </c>
      <c r="D36" s="103">
        <f>iferror(VLOOKUP(A36,'Realised and SV'!$A$72:$F$96,5,0),0)</f>
        <v>0</v>
      </c>
      <c r="E36" s="103">
        <f>iferror(VLOOKUP(A36,'Realised and SV'!$A$72:$F$96,6,0),0)</f>
        <v>26747.5</v>
      </c>
      <c r="F36" s="104">
        <f t="shared" si="1"/>
        <v>166747</v>
      </c>
      <c r="G36" s="104">
        <f t="shared" si="2"/>
        <v>166747</v>
      </c>
      <c r="H36" s="105">
        <f t="shared" si="3"/>
        <v>0.1337375</v>
      </c>
      <c r="I36" s="100" t="str">
        <f>VLOOKUP(A36,Main!A:J,6,0)</f>
        <v>IIFL_CDC</v>
      </c>
      <c r="J36" s="106">
        <f t="shared" si="4"/>
        <v>0.833735</v>
      </c>
      <c r="K36" s="107">
        <f t="shared" si="5"/>
        <v>0.833735</v>
      </c>
      <c r="L36" s="108">
        <f t="shared" si="6"/>
        <v>0.1337375</v>
      </c>
      <c r="M36" s="109" t="str">
        <f>VLOOKUP(A36,Main!$A$1:$I$837,9,0)</f>
        <v>VS5</v>
      </c>
      <c r="N36" s="109" t="s">
        <v>529</v>
      </c>
      <c r="O36" s="110">
        <v>8.0</v>
      </c>
      <c r="P36" s="110" t="b">
        <f>_xlfn.isformula(VLOOKUP(A36,Main!A:J,7,0))</f>
        <v>1</v>
      </c>
      <c r="Q36" s="98"/>
      <c r="R36" s="111"/>
      <c r="S36" s="113">
        <f>VLOOKUP(A36,'Realised and SV'!$A$72:$F$96,5,0)</f>
        <v>0</v>
      </c>
      <c r="T36" s="114">
        <f>VLOOKUP(A36,'Realised and SV'!$A$72:$F$96,6,0)</f>
        <v>26747.5</v>
      </c>
      <c r="U36" s="99"/>
      <c r="V36" s="99"/>
      <c r="W36" s="99"/>
      <c r="X36" s="99"/>
      <c r="Y36" s="99"/>
      <c r="Z36" s="99"/>
      <c r="AA36" s="99"/>
      <c r="AB36" s="99"/>
      <c r="AC36" s="99"/>
    </row>
    <row r="37">
      <c r="A37" s="100" t="s">
        <v>680</v>
      </c>
      <c r="B37" s="101" t="str">
        <f>VLOOKUP(A37,Main!$A:$B,2,0)</f>
        <v>MSR_MANGAL</v>
      </c>
      <c r="C37" s="102">
        <v>100000.0</v>
      </c>
      <c r="D37" s="103">
        <f>iferror(VLOOKUP(A37,'Realised and SV'!$A$72:$F$96,5,0),0)</f>
        <v>0</v>
      </c>
      <c r="E37" s="103">
        <f>iferror(VLOOKUP(A37,'Realised and SV'!$A$72:$F$96,6,0),0)</f>
        <v>0</v>
      </c>
      <c r="F37" s="104">
        <f t="shared" si="1"/>
        <v>70000</v>
      </c>
      <c r="G37" s="104">
        <f t="shared" si="2"/>
        <v>70000</v>
      </c>
      <c r="H37" s="105">
        <f t="shared" si="3"/>
        <v>0</v>
      </c>
      <c r="I37" s="100" t="str">
        <f>VLOOKUP(A37,Main!A:J,6,0)</f>
        <v>IIFL CAPITAL</v>
      </c>
      <c r="J37" s="106">
        <f t="shared" si="4"/>
        <v>0.7</v>
      </c>
      <c r="K37" s="107">
        <f t="shared" si="5"/>
        <v>0.7</v>
      </c>
      <c r="L37" s="108">
        <f t="shared" si="6"/>
        <v>0</v>
      </c>
      <c r="M37" s="109" t="str">
        <f>VLOOKUP(A37,Main!$A$1:$I$837,9,0)</f>
        <v>VS5</v>
      </c>
      <c r="N37" s="109" t="s">
        <v>529</v>
      </c>
      <c r="O37" s="110">
        <v>8.0</v>
      </c>
      <c r="P37" s="110" t="b">
        <f>_xlfn.isformula(VLOOKUP(A37,Main!A:J,7,0))</f>
        <v>1</v>
      </c>
      <c r="Q37" s="98"/>
      <c r="R37" s="111"/>
      <c r="S37" s="111" t="str">
        <f>VLOOKUP(A37,'Realised and SV'!$A$72:$F$96,5,0)</f>
        <v>#N/A</v>
      </c>
      <c r="T37" s="111" t="str">
        <f>VLOOKUP(A37,'Realised and SV'!$A$72:$F$96,6,0)</f>
        <v>#N/A</v>
      </c>
      <c r="U37" s="111"/>
      <c r="V37" s="111"/>
      <c r="W37" s="111"/>
      <c r="X37" s="111"/>
      <c r="Y37" s="111"/>
      <c r="Z37" s="111"/>
      <c r="AA37" s="111"/>
      <c r="AB37" s="111"/>
      <c r="AC37" s="111"/>
    </row>
    <row r="38">
      <c r="A38" s="100" t="s">
        <v>700</v>
      </c>
      <c r="B38" s="101" t="str">
        <f>VLOOKUP(A38,Main!$A:$B,2,0)</f>
        <v>MSR_R2SAXENA</v>
      </c>
      <c r="C38" s="102">
        <v>100000.0</v>
      </c>
      <c r="D38" s="103">
        <f>iferror(VLOOKUP(A38,'Realised and SV'!$A$72:$F$96,5,0),0)</f>
        <v>0</v>
      </c>
      <c r="E38" s="103">
        <f>iferror(VLOOKUP(A38,'Realised and SV'!$A$72:$F$96,6,0),0)</f>
        <v>0</v>
      </c>
      <c r="F38" s="104">
        <f t="shared" si="1"/>
        <v>70000</v>
      </c>
      <c r="G38" s="104">
        <f t="shared" si="2"/>
        <v>70000</v>
      </c>
      <c r="H38" s="105">
        <f t="shared" si="3"/>
        <v>0</v>
      </c>
      <c r="I38" s="100" t="str">
        <f>VLOOKUP(A38,Main!A:J,6,0)</f>
        <v>IIFL_CDC</v>
      </c>
      <c r="J38" s="106">
        <f t="shared" si="4"/>
        <v>0.7</v>
      </c>
      <c r="K38" s="107">
        <f t="shared" si="5"/>
        <v>0.7</v>
      </c>
      <c r="L38" s="108">
        <f t="shared" si="6"/>
        <v>0</v>
      </c>
      <c r="M38" s="109" t="str">
        <f>VLOOKUP(A38,Main!$A$1:$I$837,9,0)</f>
        <v>VS5</v>
      </c>
      <c r="N38" s="109" t="s">
        <v>529</v>
      </c>
      <c r="O38" s="110">
        <v>8.0</v>
      </c>
      <c r="P38" s="110" t="b">
        <f>_xlfn.isformula(VLOOKUP(A38,Main!A:J,7,0))</f>
        <v>1</v>
      </c>
      <c r="Q38" s="98"/>
      <c r="R38" s="111"/>
      <c r="S38" s="111" t="str">
        <f>VLOOKUP(A38,'Realised and SV'!$A$72:$F$96,5,0)</f>
        <v>#N/A</v>
      </c>
      <c r="T38" s="111" t="str">
        <f>VLOOKUP(A38,'Realised and SV'!$A$72:$F$96,6,0)</f>
        <v>#N/A</v>
      </c>
      <c r="U38" s="99"/>
      <c r="V38" s="99"/>
      <c r="W38" s="99"/>
      <c r="X38" s="99"/>
      <c r="Y38" s="99"/>
      <c r="Z38" s="99"/>
      <c r="AA38" s="99"/>
      <c r="AB38" s="99"/>
      <c r="AC38" s="99"/>
    </row>
    <row r="39">
      <c r="A39" s="100" t="s">
        <v>677</v>
      </c>
      <c r="B39" s="101" t="str">
        <f>VLOOKUP(A39,Main!$A:$B,2,0)</f>
        <v>MSR_A8_RAYGUN_2C_EXC</v>
      </c>
      <c r="C39" s="102">
        <v>200000.0</v>
      </c>
      <c r="D39" s="103">
        <f>iferror(VLOOKUP(A39,'Realised and SV'!$A$72:$F$96,5,0),0)</f>
        <v>0</v>
      </c>
      <c r="E39" s="103">
        <f>iferror(VLOOKUP(A39,'Realised and SV'!$A$72:$F$96,6,0),0)</f>
        <v>26673.4</v>
      </c>
      <c r="F39" s="104">
        <f t="shared" si="1"/>
        <v>166673</v>
      </c>
      <c r="G39" s="104">
        <f t="shared" si="2"/>
        <v>166673</v>
      </c>
      <c r="H39" s="105">
        <f t="shared" si="3"/>
        <v>0.133367</v>
      </c>
      <c r="I39" s="100" t="str">
        <f>VLOOKUP(A39,Main!A:J,6,0)</f>
        <v>EXCELSTOCK</v>
      </c>
      <c r="J39" s="106">
        <f t="shared" si="4"/>
        <v>0.833365</v>
      </c>
      <c r="K39" s="107">
        <f t="shared" si="5"/>
        <v>0.833365</v>
      </c>
      <c r="L39" s="108">
        <f t="shared" si="6"/>
        <v>0.133367</v>
      </c>
      <c r="M39" s="109" t="str">
        <f>VLOOKUP(A39,Main!$A$1:$I$837,9,0)</f>
        <v>VS5</v>
      </c>
      <c r="N39" s="109" t="s">
        <v>529</v>
      </c>
      <c r="O39" s="110">
        <v>8.0</v>
      </c>
      <c r="P39" s="110" t="b">
        <f>_xlfn.isformula(VLOOKUP(A39,Main!A:J,7,0))</f>
        <v>1</v>
      </c>
      <c r="Q39" s="98"/>
      <c r="R39" s="111"/>
      <c r="S39" s="113">
        <f>VLOOKUP(A39,'Realised and SV'!$A$72:$F$96,5,0)</f>
        <v>0</v>
      </c>
      <c r="T39" s="114">
        <f>VLOOKUP(A39,'Realised and SV'!$A$72:$F$96,6,0)</f>
        <v>26673.4</v>
      </c>
      <c r="U39" s="99"/>
      <c r="V39" s="99"/>
      <c r="W39" s="99"/>
      <c r="X39" s="99"/>
      <c r="Y39" s="99"/>
      <c r="Z39" s="99"/>
      <c r="AA39" s="99"/>
      <c r="AB39" s="99"/>
      <c r="AC39" s="99"/>
    </row>
    <row r="40">
      <c r="A40" s="100" t="s">
        <v>678</v>
      </c>
      <c r="B40" s="101" t="str">
        <f>VLOOKUP(A40,Main!$A:$B,2,0)</f>
        <v>MSR_BAGRODIA5</v>
      </c>
      <c r="C40" s="102">
        <v>100000.0</v>
      </c>
      <c r="D40" s="103">
        <f>iferror(VLOOKUP(A40,'Realised and SV'!$A$72:$F$96,5,0),0)</f>
        <v>0</v>
      </c>
      <c r="E40" s="103">
        <f>iferror(VLOOKUP(A40,'Realised and SV'!$A$72:$F$96,6,0),0)</f>
        <v>0</v>
      </c>
      <c r="F40" s="104">
        <f t="shared" si="1"/>
        <v>70000</v>
      </c>
      <c r="G40" s="104">
        <f t="shared" si="2"/>
        <v>70000</v>
      </c>
      <c r="H40" s="105">
        <f t="shared" si="3"/>
        <v>0</v>
      </c>
      <c r="I40" s="100" t="str">
        <f>VLOOKUP(A40,Main!A:J,6,0)</f>
        <v>IIFL_CDC2</v>
      </c>
      <c r="J40" s="106">
        <f t="shared" si="4"/>
        <v>0.7</v>
      </c>
      <c r="K40" s="107">
        <f t="shared" si="5"/>
        <v>0.7</v>
      </c>
      <c r="L40" s="108">
        <f t="shared" si="6"/>
        <v>0</v>
      </c>
      <c r="M40" s="109" t="str">
        <f>VLOOKUP(A40,Main!$A$1:$I$837,9,0)</f>
        <v>VS5</v>
      </c>
      <c r="N40" s="109" t="s">
        <v>529</v>
      </c>
      <c r="O40" s="110">
        <v>8.0</v>
      </c>
      <c r="P40" s="110" t="b">
        <f>_xlfn.isformula(VLOOKUP(A40,Main!A:J,7,0))</f>
        <v>1</v>
      </c>
      <c r="Q40" s="98"/>
      <c r="R40" s="111"/>
      <c r="S40" s="111" t="str">
        <f>VLOOKUP(A40,'Realised and SV'!$A$72:$F$96,5,0)</f>
        <v>#N/A</v>
      </c>
      <c r="T40" s="111" t="str">
        <f>VLOOKUP(A40,'Realised and SV'!$A$72:$F$96,6,0)</f>
        <v>#N/A</v>
      </c>
      <c r="U40" s="99"/>
      <c r="V40" s="99"/>
      <c r="W40" s="99"/>
      <c r="X40" s="99"/>
      <c r="Y40" s="99"/>
      <c r="Z40" s="99"/>
      <c r="AA40" s="99"/>
      <c r="AB40" s="99"/>
      <c r="AC40" s="99"/>
    </row>
    <row r="41">
      <c r="A41" s="115" t="s">
        <v>706</v>
      </c>
      <c r="B41" s="101" t="str">
        <f>VLOOKUP(A41,Main!$A:$B,2,0)</f>
        <v>MSN_NK_KOTHARI</v>
      </c>
      <c r="C41" s="102">
        <v>100000.0</v>
      </c>
      <c r="D41" s="103">
        <f>iferror(VLOOKUP(A41,'Realised and SV'!$A$72:$F$96,5,0),0)</f>
        <v>0</v>
      </c>
      <c r="E41" s="103">
        <f>iferror(VLOOKUP(A41,'Realised and SV'!$A$72:$F$96,6,0),0)</f>
        <v>0</v>
      </c>
      <c r="F41" s="104">
        <f t="shared" si="1"/>
        <v>70000</v>
      </c>
      <c r="G41" s="104">
        <f t="shared" si="2"/>
        <v>70000</v>
      </c>
      <c r="H41" s="105">
        <f t="shared" si="3"/>
        <v>0</v>
      </c>
      <c r="I41" s="100" t="str">
        <f>VLOOKUP(A41,Main!A:J,6,0)</f>
        <v>IIFL_CDC</v>
      </c>
      <c r="J41" s="106">
        <f t="shared" si="4"/>
        <v>0.7</v>
      </c>
      <c r="K41" s="107">
        <f t="shared" si="5"/>
        <v>0.7</v>
      </c>
      <c r="L41" s="108">
        <f t="shared" si="6"/>
        <v>0</v>
      </c>
      <c r="M41" s="109" t="str">
        <f>VLOOKUP(A41,Main!$A$1:$I$837,9,0)</f>
        <v>VS5</v>
      </c>
      <c r="N41" s="109" t="s">
        <v>529</v>
      </c>
      <c r="O41" s="110">
        <v>8.0</v>
      </c>
      <c r="P41" s="110" t="b">
        <f>_xlfn.isformula(VLOOKUP(A41,Main!A:J,7,0))</f>
        <v>1</v>
      </c>
      <c r="Q41" s="98"/>
      <c r="R41" s="111"/>
      <c r="S41" s="111" t="str">
        <f>VLOOKUP(A41,'Realised and SV'!$A$72:$F$96,5,0)</f>
        <v>#N/A</v>
      </c>
      <c r="T41" s="111" t="str">
        <f>VLOOKUP(A41,'Realised and SV'!$A$72:$F$96,6,0)</f>
        <v>#N/A</v>
      </c>
      <c r="U41" s="99"/>
      <c r="V41" s="99"/>
      <c r="W41" s="99"/>
      <c r="X41" s="99"/>
      <c r="Y41" s="99"/>
      <c r="Z41" s="99"/>
      <c r="AA41" s="99"/>
      <c r="AB41" s="99"/>
      <c r="AC41" s="99"/>
    </row>
    <row r="42">
      <c r="A42" s="100" t="s">
        <v>758</v>
      </c>
      <c r="B42" s="101" t="str">
        <f>VLOOKUP(A42,Main!$A:$B,2,0)</f>
        <v>MSR_A8_RAJAT_1_2C_INT</v>
      </c>
      <c r="C42" s="102">
        <v>200000.0</v>
      </c>
      <c r="D42" s="103">
        <f>iferror(VLOOKUP(A42,'Realised and SV'!$A$72:$F$96,5,0),0)</f>
        <v>0</v>
      </c>
      <c r="E42" s="103">
        <f>iferror(VLOOKUP(A42,'Realised and SV'!$A$72:$F$96,6,0),0)</f>
        <v>0</v>
      </c>
      <c r="F42" s="104">
        <f t="shared" si="1"/>
        <v>140000</v>
      </c>
      <c r="G42" s="104">
        <f t="shared" si="2"/>
        <v>140000</v>
      </c>
      <c r="H42" s="105">
        <f t="shared" si="3"/>
        <v>0</v>
      </c>
      <c r="I42" s="100" t="str">
        <f>VLOOKUP(A42,Main!A:J,6,0)</f>
        <v>ASPL</v>
      </c>
      <c r="J42" s="106">
        <f t="shared" si="4"/>
        <v>0.7</v>
      </c>
      <c r="K42" s="107">
        <f t="shared" si="5"/>
        <v>0.7</v>
      </c>
      <c r="L42" s="108">
        <f t="shared" si="6"/>
        <v>0</v>
      </c>
      <c r="M42" s="109" t="str">
        <f>VLOOKUP(A42,Main!$A$1:$I$837,9,0)</f>
        <v>VS5</v>
      </c>
      <c r="N42" s="109" t="s">
        <v>529</v>
      </c>
      <c r="O42" s="110">
        <v>8.0</v>
      </c>
      <c r="P42" s="110" t="b">
        <f>_xlfn.isformula(VLOOKUP(A42,Main!A:J,7,0))</f>
        <v>1</v>
      </c>
      <c r="Q42" s="98"/>
      <c r="R42" s="111"/>
      <c r="S42" s="111" t="str">
        <f>VLOOKUP(A42,'Realised and SV'!$A$72:$F$96,5,0)</f>
        <v>#N/A</v>
      </c>
      <c r="T42" s="111" t="str">
        <f>VLOOKUP(A42,'Realised and SV'!$A$72:$F$96,6,0)</f>
        <v>#N/A</v>
      </c>
      <c r="U42" s="111"/>
      <c r="V42" s="111"/>
      <c r="W42" s="111"/>
      <c r="X42" s="111"/>
      <c r="Y42" s="111"/>
      <c r="Z42" s="111"/>
      <c r="AA42" s="111"/>
      <c r="AB42" s="111"/>
      <c r="AC42" s="111"/>
    </row>
    <row r="43">
      <c r="A43" s="126" t="s">
        <v>763</v>
      </c>
      <c r="B43" s="101" t="str">
        <f>VLOOKUP(A43,Main!$A:$B,2,0)</f>
        <v>MSR_A8_VBD_ZETA_2C_EXC</v>
      </c>
      <c r="C43" s="102">
        <v>200000.0</v>
      </c>
      <c r="D43" s="103">
        <f>iferror(VLOOKUP(A43,'Realised and SV'!$A$72:$F$96,5,0),0)</f>
        <v>0</v>
      </c>
      <c r="E43" s="103">
        <f>iferror(VLOOKUP(A43,'Realised and SV'!$A$72:$F$96,6,0),0)</f>
        <v>26607.75</v>
      </c>
      <c r="F43" s="104">
        <f t="shared" si="1"/>
        <v>166607</v>
      </c>
      <c r="G43" s="104">
        <f t="shared" si="2"/>
        <v>166607</v>
      </c>
      <c r="H43" s="105">
        <f t="shared" si="3"/>
        <v>0.13303875</v>
      </c>
      <c r="I43" s="100" t="str">
        <f>VLOOKUP(A43,Main!A:J,6,0)</f>
        <v>EXCELSTOCK</v>
      </c>
      <c r="J43" s="106">
        <f t="shared" si="4"/>
        <v>0.833035</v>
      </c>
      <c r="K43" s="107">
        <f t="shared" si="5"/>
        <v>0.833035</v>
      </c>
      <c r="L43" s="108">
        <f t="shared" si="6"/>
        <v>0.13303875</v>
      </c>
      <c r="M43" s="109" t="str">
        <f>VLOOKUP(A43,Main!$A$1:$I$837,9,0)</f>
        <v>VS5</v>
      </c>
      <c r="N43" s="109" t="s">
        <v>529</v>
      </c>
      <c r="O43" s="110">
        <v>8.0</v>
      </c>
      <c r="P43" s="110" t="b">
        <f>_xlfn.isformula(VLOOKUP(A43,Main!A:J,7,0))</f>
        <v>1</v>
      </c>
      <c r="Q43" s="98"/>
      <c r="R43" s="111"/>
      <c r="S43" s="113">
        <f>VLOOKUP(A43,'Realised and SV'!$A$72:$F$96,5,0)</f>
        <v>0</v>
      </c>
      <c r="T43" s="114">
        <f>VLOOKUP(A43,'Realised and SV'!$A$72:$F$96,6,0)</f>
        <v>26607.75</v>
      </c>
      <c r="U43" s="99"/>
      <c r="V43" s="99"/>
      <c r="W43" s="99"/>
      <c r="X43" s="99"/>
      <c r="Y43" s="99"/>
      <c r="Z43" s="99"/>
      <c r="AA43" s="99"/>
      <c r="AB43" s="99"/>
      <c r="AC43" s="99"/>
    </row>
    <row r="44">
      <c r="A44" s="100" t="s">
        <v>770</v>
      </c>
      <c r="B44" s="101" t="str">
        <f>VLOOKUP(A44,Main!$A:$B,2,0)</f>
        <v>MSR_A8_SHREESHYAM_2C_EXC</v>
      </c>
      <c r="C44" s="102">
        <v>200000.0</v>
      </c>
      <c r="D44" s="103">
        <f>iferror(VLOOKUP(A44,'Realised and SV'!$A$72:$F$96,5,0),0)</f>
        <v>0</v>
      </c>
      <c r="E44" s="103">
        <f>iferror(VLOOKUP(A44,'Realised and SV'!$A$72:$F$96,6,0),0)</f>
        <v>26726.05</v>
      </c>
      <c r="F44" s="104">
        <f t="shared" si="1"/>
        <v>166726</v>
      </c>
      <c r="G44" s="104">
        <f t="shared" si="2"/>
        <v>166726</v>
      </c>
      <c r="H44" s="105">
        <f t="shared" si="3"/>
        <v>0.13363025</v>
      </c>
      <c r="I44" s="100" t="str">
        <f>VLOOKUP(A44,Main!A:J,6,0)</f>
        <v>EXCELSTOCK</v>
      </c>
      <c r="J44" s="106">
        <f t="shared" si="4"/>
        <v>0.83363</v>
      </c>
      <c r="K44" s="107">
        <f t="shared" si="5"/>
        <v>0.83363</v>
      </c>
      <c r="L44" s="108">
        <f t="shared" si="6"/>
        <v>0.13363025</v>
      </c>
      <c r="M44" s="109" t="str">
        <f>VLOOKUP(A44,Main!$A$1:$I$837,9,0)</f>
        <v>VS5</v>
      </c>
      <c r="N44" s="109" t="s">
        <v>529</v>
      </c>
      <c r="O44" s="110">
        <v>8.0</v>
      </c>
      <c r="P44" s="110" t="b">
        <f>_xlfn.isformula(VLOOKUP(A44,Main!A:J,7,0))</f>
        <v>1</v>
      </c>
      <c r="Q44" s="98"/>
      <c r="R44" s="111"/>
      <c r="S44" s="113">
        <f>VLOOKUP(A44,'Realised and SV'!$A$72:$F$96,5,0)</f>
        <v>0</v>
      </c>
      <c r="T44" s="114">
        <f>VLOOKUP(A44,'Realised and SV'!$A$72:$F$96,6,0)</f>
        <v>26726.05</v>
      </c>
      <c r="U44" s="111"/>
      <c r="V44" s="111"/>
      <c r="W44" s="111"/>
      <c r="X44" s="111"/>
      <c r="Y44" s="111"/>
      <c r="Z44" s="111"/>
      <c r="AA44" s="111"/>
      <c r="AB44" s="111"/>
      <c r="AC44" s="111"/>
    </row>
    <row r="45">
      <c r="A45" s="100" t="s">
        <v>774</v>
      </c>
      <c r="B45" s="101" t="str">
        <f>VLOOKUP(A45,Main!$A:$B,2,0)</f>
        <v>MSS_A8_ASHIKA</v>
      </c>
      <c r="C45" s="102">
        <v>100000.0</v>
      </c>
      <c r="D45" s="103">
        <f>iferror(VLOOKUP(A45,'Realised and SV'!$A$72:$F$96,5,0),0)</f>
        <v>0</v>
      </c>
      <c r="E45" s="103">
        <f>iferror(VLOOKUP(A45,'Realised and SV'!$A$72:$F$96,6,0),0)</f>
        <v>0</v>
      </c>
      <c r="F45" s="104">
        <f t="shared" si="1"/>
        <v>70000</v>
      </c>
      <c r="G45" s="104">
        <f t="shared" si="2"/>
        <v>70000</v>
      </c>
      <c r="H45" s="105">
        <f t="shared" si="3"/>
        <v>0</v>
      </c>
      <c r="I45" s="100" t="str">
        <f>VLOOKUP(A45,Main!A:J,6,0)</f>
        <v>ASHIKAXTS</v>
      </c>
      <c r="J45" s="106">
        <f t="shared" si="4"/>
        <v>0.7</v>
      </c>
      <c r="K45" s="107">
        <f t="shared" si="5"/>
        <v>0.7</v>
      </c>
      <c r="L45" s="108">
        <f t="shared" si="6"/>
        <v>0</v>
      </c>
      <c r="M45" s="109" t="str">
        <f>VLOOKUP(A45,Main!$A$1:$I$837,9,0)</f>
        <v>VS5</v>
      </c>
      <c r="N45" s="109" t="s">
        <v>529</v>
      </c>
      <c r="O45" s="110">
        <v>8.0</v>
      </c>
      <c r="P45" s="110" t="b">
        <f>_xlfn.isformula(VLOOKUP(A45,Main!A:J,7,0))</f>
        <v>1</v>
      </c>
      <c r="Q45" s="98"/>
      <c r="R45" s="111"/>
      <c r="S45" s="111" t="str">
        <f>VLOOKUP(A45,'Realised and SV'!$A$72:$F$96,5,0)</f>
        <v>#N/A</v>
      </c>
      <c r="T45" s="111" t="str">
        <f>VLOOKUP(A45,'Realised and SV'!$A$72:$F$96,6,0)</f>
        <v>#N/A</v>
      </c>
      <c r="U45" s="99"/>
      <c r="V45" s="99"/>
      <c r="W45" s="99"/>
      <c r="X45" s="99"/>
      <c r="Y45" s="99"/>
      <c r="Z45" s="99"/>
      <c r="AA45" s="99"/>
      <c r="AB45" s="99"/>
      <c r="AC45" s="99"/>
    </row>
    <row r="46">
      <c r="A46" s="100" t="s">
        <v>778</v>
      </c>
      <c r="B46" s="101" t="str">
        <f>VLOOKUP(A46,Main!$A:$B,2,0)</f>
        <v>MSR_A8_RGJPR</v>
      </c>
      <c r="C46" s="102">
        <v>100000.0</v>
      </c>
      <c r="D46" s="103">
        <f>iferror(VLOOKUP(A46,'Realised and SV'!$A$72:$F$96,5,0),0)</f>
        <v>0</v>
      </c>
      <c r="E46" s="103">
        <f>iferror(VLOOKUP(A46,'Realised and SV'!$A$72:$F$96,6,0),0)</f>
        <v>0</v>
      </c>
      <c r="F46" s="104">
        <f t="shared" si="1"/>
        <v>70000</v>
      </c>
      <c r="G46" s="104">
        <f t="shared" si="2"/>
        <v>70000</v>
      </c>
      <c r="H46" s="105">
        <f t="shared" si="3"/>
        <v>0</v>
      </c>
      <c r="I46" s="100" t="str">
        <f>VLOOKUP(A46,Main!A:J,6,0)</f>
        <v>Jainam_Broking</v>
      </c>
      <c r="J46" s="106">
        <f t="shared" si="4"/>
        <v>0.7</v>
      </c>
      <c r="K46" s="107">
        <f t="shared" si="5"/>
        <v>0.7</v>
      </c>
      <c r="L46" s="108">
        <f t="shared" si="6"/>
        <v>0</v>
      </c>
      <c r="M46" s="109" t="str">
        <f>VLOOKUP(A46,Main!$A$1:$I$837,9,0)</f>
        <v>VS5</v>
      </c>
      <c r="N46" s="109" t="s">
        <v>529</v>
      </c>
      <c r="O46" s="110">
        <v>8.0</v>
      </c>
      <c r="P46" s="110" t="b">
        <f>_xlfn.isformula(VLOOKUP(A46,Main!A:J,7,0))</f>
        <v>1</v>
      </c>
      <c r="Q46" s="98"/>
      <c r="R46" s="111"/>
      <c r="S46" s="111" t="str">
        <f>VLOOKUP(A46,'Realised and SV'!$A$72:$F$96,5,0)</f>
        <v>#N/A</v>
      </c>
      <c r="T46" s="111" t="str">
        <f>VLOOKUP(A46,'Realised and SV'!$A$72:$F$96,6,0)</f>
        <v>#N/A</v>
      </c>
      <c r="U46" s="128"/>
      <c r="V46" s="128"/>
      <c r="W46" s="128"/>
      <c r="X46" s="128"/>
      <c r="Y46" s="128"/>
      <c r="Z46" s="128"/>
      <c r="AA46" s="128"/>
      <c r="AB46" s="128"/>
      <c r="AC46" s="128"/>
    </row>
    <row r="47">
      <c r="A47" s="100" t="s">
        <v>781</v>
      </c>
      <c r="B47" s="101" t="str">
        <f>VLOOKUP(A47,Main!$A:$B,2,0)</f>
        <v>MSN_BAXI4</v>
      </c>
      <c r="C47" s="102">
        <v>100000.0</v>
      </c>
      <c r="D47" s="103">
        <f>iferror(VLOOKUP(A47,'Realised and SV'!$A$72:$F$96,5,0),0)</f>
        <v>0</v>
      </c>
      <c r="E47" s="103">
        <f>iferror(VLOOKUP(A47,'Realised and SV'!$A$72:$F$96,6,0),0)</f>
        <v>0</v>
      </c>
      <c r="F47" s="104">
        <f t="shared" si="1"/>
        <v>70000</v>
      </c>
      <c r="G47" s="104">
        <f t="shared" si="2"/>
        <v>70000</v>
      </c>
      <c r="H47" s="105">
        <f t="shared" si="3"/>
        <v>0</v>
      </c>
      <c r="I47" s="100" t="str">
        <f>VLOOKUP(A47,Main!A:J,6,0)</f>
        <v>IIFL_CDC</v>
      </c>
      <c r="J47" s="106">
        <f t="shared" si="4"/>
        <v>0.7</v>
      </c>
      <c r="K47" s="107">
        <f t="shared" si="5"/>
        <v>0.7</v>
      </c>
      <c r="L47" s="108">
        <f t="shared" si="6"/>
        <v>0</v>
      </c>
      <c r="M47" s="109" t="str">
        <f>VLOOKUP(A47,Main!$A$1:$I$837,9,0)</f>
        <v>VS24</v>
      </c>
      <c r="N47" s="109" t="s">
        <v>529</v>
      </c>
      <c r="O47" s="110">
        <v>8.0</v>
      </c>
      <c r="P47" s="110" t="b">
        <f>_xlfn.isformula(VLOOKUP(A47,Main!A:J,7,0))</f>
        <v>1</v>
      </c>
      <c r="Q47" s="98"/>
      <c r="R47" s="111"/>
      <c r="S47" s="111" t="str">
        <f>VLOOKUP(A47,'Realised and SV'!$A$72:$F$96,5,0)</f>
        <v>#N/A</v>
      </c>
      <c r="T47" s="111" t="str">
        <f>VLOOKUP(A47,'Realised and SV'!$A$72:$F$96,6,0)</f>
        <v>#N/A</v>
      </c>
      <c r="U47" s="99"/>
      <c r="V47" s="99"/>
      <c r="W47" s="99"/>
      <c r="X47" s="99"/>
      <c r="Y47" s="99"/>
      <c r="Z47" s="99"/>
      <c r="AA47" s="99"/>
      <c r="AB47" s="99"/>
      <c r="AC47" s="99"/>
    </row>
    <row r="48">
      <c r="A48" s="100" t="s">
        <v>659</v>
      </c>
      <c r="B48" s="101" t="str">
        <f>VLOOKUP(A48,Main!$A:$B,2,0)</f>
        <v>CCV_A8_KREDENT_PROP</v>
      </c>
      <c r="C48" s="102">
        <v>200000.0</v>
      </c>
      <c r="D48" s="103">
        <f>iferror(VLOOKUP(A48,'Realised and SV'!$A$72:$F$96,5,0),0)</f>
        <v>-10156.25</v>
      </c>
      <c r="E48" s="103">
        <f>iferror(VLOOKUP(A48,'Realised and SV'!$A$72:$F$96,6,0),0)</f>
        <v>57366.4</v>
      </c>
      <c r="F48" s="104">
        <f t="shared" si="1"/>
        <v>187210</v>
      </c>
      <c r="G48" s="104">
        <f t="shared" si="2"/>
        <v>187210</v>
      </c>
      <c r="H48" s="105">
        <f t="shared" si="3"/>
        <v>0.23605075</v>
      </c>
      <c r="I48" s="100" t="str">
        <f>VLOOKUP(A48,Main!A:J,6,0)</f>
        <v>KREDENT</v>
      </c>
      <c r="J48" s="106">
        <f t="shared" si="4"/>
        <v>0.93605</v>
      </c>
      <c r="K48" s="107">
        <f t="shared" si="5"/>
        <v>0.93605</v>
      </c>
      <c r="L48" s="108">
        <f t="shared" si="6"/>
        <v>0.286832</v>
      </c>
      <c r="M48" s="109" t="str">
        <f>VLOOKUP(A48,Main!$A$1:$I$837,9,0)</f>
        <v>VS24</v>
      </c>
      <c r="N48" s="109" t="s">
        <v>529</v>
      </c>
      <c r="O48" s="110">
        <v>8.0</v>
      </c>
      <c r="P48" s="110" t="b">
        <f>_xlfn.isformula(VLOOKUP(A48,Main!A:J,7,0))</f>
        <v>1</v>
      </c>
      <c r="Q48" s="98"/>
      <c r="R48" s="111"/>
      <c r="S48" s="113">
        <f>VLOOKUP(A48,'Realised and SV'!$A$72:$F$96,5,0)</f>
        <v>-10156.25</v>
      </c>
      <c r="T48" s="114">
        <f>VLOOKUP(A48,'Realised and SV'!$A$72:$F$96,6,0)</f>
        <v>57366.4</v>
      </c>
      <c r="U48" s="99"/>
      <c r="V48" s="99"/>
      <c r="W48" s="99"/>
      <c r="X48" s="99"/>
      <c r="Y48" s="99"/>
      <c r="Z48" s="99"/>
      <c r="AA48" s="99"/>
      <c r="AB48" s="99"/>
      <c r="AC48" s="99"/>
    </row>
    <row r="49">
      <c r="A49" s="115" t="s">
        <v>658</v>
      </c>
      <c r="B49" s="101" t="str">
        <f>VLOOKUP(A49,Main!$A:$B,2,0)</f>
        <v>CC_A8_GSPL_20_6C</v>
      </c>
      <c r="C49" s="102">
        <v>600000.0</v>
      </c>
      <c r="D49" s="103">
        <f>iferror(VLOOKUP(A49,'Realised and SV'!$A$72:$F$96,5,0),0)</f>
        <v>-30540.9</v>
      </c>
      <c r="E49" s="103">
        <f>iferror(VLOOKUP(A49,'Realised and SV'!$A$72:$F$96,6,0),0)</f>
        <v>171464.15</v>
      </c>
      <c r="F49" s="104">
        <f t="shared" si="1"/>
        <v>560923</v>
      </c>
      <c r="G49" s="104">
        <f t="shared" si="2"/>
        <v>560923</v>
      </c>
      <c r="H49" s="105">
        <f t="shared" si="3"/>
        <v>0.2348720833</v>
      </c>
      <c r="I49" s="100" t="str">
        <f>VLOOKUP(A49,Main!A:J,6,0)</f>
        <v>GyandeepStocks</v>
      </c>
      <c r="J49" s="106">
        <f t="shared" si="4"/>
        <v>0.9348716667</v>
      </c>
      <c r="K49" s="107">
        <f t="shared" si="5"/>
        <v>0.9348716667</v>
      </c>
      <c r="L49" s="108">
        <f t="shared" si="6"/>
        <v>0.2857735833</v>
      </c>
      <c r="M49" s="109" t="str">
        <f>VLOOKUP(A49,Main!$A$1:$I$837,9,0)</f>
        <v>VS24</v>
      </c>
      <c r="N49" s="109" t="s">
        <v>529</v>
      </c>
      <c r="O49" s="110">
        <v>8.0</v>
      </c>
      <c r="P49" s="110" t="b">
        <f>_xlfn.isformula(VLOOKUP(A49,Main!A:J,7,0))</f>
        <v>1</v>
      </c>
      <c r="Q49" s="98"/>
      <c r="R49" s="98">
        <v>800000.0</v>
      </c>
      <c r="S49" s="113">
        <f>VLOOKUP(A49,'Realised and SV'!$A$72:$F$96,5,0)</f>
        <v>-30540.9</v>
      </c>
      <c r="T49" s="114">
        <f>VLOOKUP(A49,'Realised and SV'!$A$72:$F$96,6,0)</f>
        <v>171464.15</v>
      </c>
      <c r="U49" s="130"/>
      <c r="V49" s="130"/>
      <c r="W49" s="130"/>
      <c r="X49" s="130"/>
      <c r="Y49" s="130"/>
      <c r="Z49" s="130"/>
      <c r="AA49" s="130"/>
      <c r="AB49" s="130"/>
      <c r="AC49" s="130"/>
    </row>
    <row r="50">
      <c r="A50" s="100" t="s">
        <v>660</v>
      </c>
      <c r="B50" s="101" t="str">
        <f>VLOOKUP(A50,Main!$A:$B,2,0)</f>
        <v>MSR_A8_JUNO_2C_INT</v>
      </c>
      <c r="C50" s="102">
        <v>200000.0</v>
      </c>
      <c r="D50" s="103">
        <f>iferror(VLOOKUP(A50,'Realised and SV'!$A$72:$F$96,5,0),0)</f>
        <v>0</v>
      </c>
      <c r="E50" s="103">
        <f>iferror(VLOOKUP(A50,'Realised and SV'!$A$72:$F$96,6,0),0)</f>
        <v>0</v>
      </c>
      <c r="F50" s="104">
        <f t="shared" si="1"/>
        <v>140000</v>
      </c>
      <c r="G50" s="104">
        <f t="shared" si="2"/>
        <v>140000</v>
      </c>
      <c r="H50" s="105">
        <f t="shared" si="3"/>
        <v>0</v>
      </c>
      <c r="I50" s="100" t="str">
        <f>VLOOKUP(A50,Main!A:J,6,0)</f>
        <v>JUNOmoneta</v>
      </c>
      <c r="J50" s="106">
        <f t="shared" si="4"/>
        <v>0.7</v>
      </c>
      <c r="K50" s="107">
        <f t="shared" si="5"/>
        <v>0.7</v>
      </c>
      <c r="L50" s="108">
        <f t="shared" si="6"/>
        <v>0</v>
      </c>
      <c r="M50" s="109" t="str">
        <f>VLOOKUP(A50,Main!$A$1:$I$837,9,0)</f>
        <v>VS24</v>
      </c>
      <c r="N50" s="109" t="s">
        <v>529</v>
      </c>
      <c r="O50" s="110">
        <v>8.0</v>
      </c>
      <c r="P50" s="110" t="b">
        <f>_xlfn.isformula(VLOOKUP(A50,Main!A:J,7,0))</f>
        <v>1</v>
      </c>
      <c r="Q50" s="98"/>
      <c r="R50" s="98">
        <v>800000.0</v>
      </c>
      <c r="S50" s="111" t="str">
        <f>VLOOKUP(A50,'Realised and SV'!$A$72:$F$96,5,0)</f>
        <v>#N/A</v>
      </c>
      <c r="T50" s="111" t="str">
        <f>VLOOKUP(A50,'Realised and SV'!$A$72:$F$96,6,0)</f>
        <v>#N/A</v>
      </c>
      <c r="U50" s="99"/>
      <c r="V50" s="99"/>
      <c r="W50" s="99"/>
      <c r="X50" s="99"/>
      <c r="Y50" s="99"/>
      <c r="Z50" s="99"/>
      <c r="AA50" s="99"/>
      <c r="AB50" s="99"/>
      <c r="AC50" s="99"/>
    </row>
    <row r="51">
      <c r="A51" s="100" t="s">
        <v>661</v>
      </c>
      <c r="B51" s="101" t="str">
        <f>VLOOKUP(A51,Main!$A:$B,2,0)</f>
        <v>MSR_ASHWINI_MEHTA</v>
      </c>
      <c r="C51" s="102">
        <v>100000.0</v>
      </c>
      <c r="D51" s="103">
        <f>iferror(VLOOKUP(A51,'Realised and SV'!$A$72:$F$96,5,0),0)</f>
        <v>0</v>
      </c>
      <c r="E51" s="103">
        <f>iferror(VLOOKUP(A51,'Realised and SV'!$A$72:$F$96,6,0),0)</f>
        <v>0</v>
      </c>
      <c r="F51" s="104">
        <f t="shared" si="1"/>
        <v>70000</v>
      </c>
      <c r="G51" s="104">
        <f t="shared" si="2"/>
        <v>70000</v>
      </c>
      <c r="H51" s="105">
        <f t="shared" si="3"/>
        <v>0</v>
      </c>
      <c r="I51" s="100" t="str">
        <f>VLOOKUP(A51,Main!A:J,6,0)</f>
        <v>IIFL_CDC</v>
      </c>
      <c r="J51" s="106">
        <f t="shared" si="4"/>
        <v>0.7</v>
      </c>
      <c r="K51" s="107">
        <f t="shared" si="5"/>
        <v>0.7</v>
      </c>
      <c r="L51" s="108">
        <f t="shared" si="6"/>
        <v>0</v>
      </c>
      <c r="M51" s="109" t="str">
        <f>VLOOKUP(A51,Main!$A$1:$I$837,9,0)</f>
        <v>VS24</v>
      </c>
      <c r="N51" s="109" t="s">
        <v>529</v>
      </c>
      <c r="O51" s="110">
        <v>8.0</v>
      </c>
      <c r="P51" s="110" t="b">
        <f>_xlfn.isformula(VLOOKUP(A51,Main!A:J,7,0))</f>
        <v>1</v>
      </c>
      <c r="Q51" s="98"/>
      <c r="R51" s="111"/>
      <c r="S51" s="111" t="str">
        <f>VLOOKUP(A51,'Realised and SV'!$A$72:$F$96,5,0)</f>
        <v>#N/A</v>
      </c>
      <c r="T51" s="111" t="str">
        <f>VLOOKUP(A51,'Realised and SV'!$A$72:$F$96,6,0)</f>
        <v>#N/A</v>
      </c>
      <c r="U51" s="99"/>
      <c r="V51" s="99"/>
      <c r="W51" s="99"/>
      <c r="X51" s="99"/>
      <c r="Y51" s="99"/>
      <c r="Z51" s="99"/>
      <c r="AA51" s="99"/>
      <c r="AB51" s="99"/>
      <c r="AC51" s="99"/>
    </row>
    <row r="52">
      <c r="A52" s="101" t="s">
        <v>351</v>
      </c>
      <c r="B52" s="101" t="str">
        <f>VLOOKUP(A52,Main!$A:$B,2,0)</f>
        <v>MSR_KALPANAAG2</v>
      </c>
      <c r="C52" s="102">
        <v>100000.0</v>
      </c>
      <c r="D52" s="103">
        <f>iferror(VLOOKUP(A52,'Realised and SV'!$A$72:$F$96,5,0),0)</f>
        <v>0</v>
      </c>
      <c r="E52" s="103">
        <f>iferror(VLOOKUP(A52,'Realised and SV'!$A$72:$F$96,6,0),0)</f>
        <v>0</v>
      </c>
      <c r="F52" s="104">
        <f t="shared" si="1"/>
        <v>70000</v>
      </c>
      <c r="G52" s="104">
        <f t="shared" si="2"/>
        <v>70000</v>
      </c>
      <c r="H52" s="105">
        <f t="shared" si="3"/>
        <v>0</v>
      </c>
      <c r="I52" s="100" t="str">
        <f>VLOOKUP(A52,Main!A:J,6,0)</f>
        <v>IIFL_CDC</v>
      </c>
      <c r="J52" s="106">
        <f t="shared" si="4"/>
        <v>0.7</v>
      </c>
      <c r="K52" s="107">
        <f t="shared" si="5"/>
        <v>0.7</v>
      </c>
      <c r="L52" s="108">
        <f t="shared" si="6"/>
        <v>0</v>
      </c>
      <c r="M52" s="109" t="str">
        <f>VLOOKUP(A52,Main!$A$1:$I$837,9,0)</f>
        <v>VS24</v>
      </c>
      <c r="N52" s="109" t="s">
        <v>529</v>
      </c>
      <c r="O52" s="110">
        <v>8.0</v>
      </c>
      <c r="P52" s="110" t="b">
        <f>_xlfn.isformula(VLOOKUP(A52,Main!A:J,7,0))</f>
        <v>1</v>
      </c>
      <c r="Q52" s="98"/>
      <c r="R52" s="111"/>
      <c r="S52" s="111" t="str">
        <f>VLOOKUP(A52,'Realised and SV'!$A$72:$F$96,5,0)</f>
        <v>#N/A</v>
      </c>
      <c r="T52" s="111" t="str">
        <f>VLOOKUP(A52,'Realised and SV'!$A$72:$F$96,6,0)</f>
        <v>#N/A</v>
      </c>
      <c r="U52" s="99"/>
      <c r="V52" s="99"/>
      <c r="W52" s="99"/>
      <c r="X52" s="99"/>
      <c r="Y52" s="99"/>
      <c r="Z52" s="99"/>
      <c r="AA52" s="99"/>
      <c r="AB52" s="99"/>
      <c r="AC52" s="99"/>
    </row>
    <row r="53">
      <c r="A53" s="115" t="s">
        <v>817</v>
      </c>
      <c r="B53" s="101" t="str">
        <f>VLOOKUP(A53,Main!$A:$B,2,0)</f>
        <v>MSR_AJAY_AGARWAL1_4C</v>
      </c>
      <c r="C53" s="102">
        <v>200000.0</v>
      </c>
      <c r="D53" s="103">
        <f>iferror(VLOOKUP(A53,'Realised and SV'!$A$72:$F$96,5,0),0)</f>
        <v>0</v>
      </c>
      <c r="E53" s="103">
        <f>iferror(VLOOKUP(A53,'Realised and SV'!$A$72:$F$96,6,0),0)</f>
        <v>0</v>
      </c>
      <c r="F53" s="104">
        <f t="shared" si="1"/>
        <v>140000</v>
      </c>
      <c r="G53" s="104">
        <f t="shared" si="2"/>
        <v>140000</v>
      </c>
      <c r="H53" s="105">
        <f t="shared" si="3"/>
        <v>0</v>
      </c>
      <c r="I53" s="100" t="str">
        <f>VLOOKUP(A53,Main!A:J,6,0)</f>
        <v>IIFL_CDC</v>
      </c>
      <c r="J53" s="106">
        <f t="shared" si="4"/>
        <v>0.7</v>
      </c>
      <c r="K53" s="107">
        <f t="shared" si="5"/>
        <v>0.7</v>
      </c>
      <c r="L53" s="108">
        <f t="shared" si="6"/>
        <v>0</v>
      </c>
      <c r="M53" s="109" t="str">
        <f>VLOOKUP(A53,Main!$A$1:$I$837,9,0)</f>
        <v>VS24</v>
      </c>
      <c r="N53" s="109" t="s">
        <v>529</v>
      </c>
      <c r="O53" s="110">
        <v>8.0</v>
      </c>
      <c r="P53" s="110" t="b">
        <f>_xlfn.isformula(VLOOKUP(A53,Main!A:J,7,0))</f>
        <v>1</v>
      </c>
      <c r="Q53" s="98"/>
      <c r="R53" s="111"/>
      <c r="S53" s="111" t="str">
        <f>VLOOKUP(A53,'Realised and SV'!$A$72:$F$96,5,0)</f>
        <v>#N/A</v>
      </c>
      <c r="T53" s="111" t="str">
        <f>VLOOKUP(A53,'Realised and SV'!$A$72:$F$96,6,0)</f>
        <v>#N/A</v>
      </c>
      <c r="U53" s="99"/>
      <c r="V53" s="99"/>
      <c r="W53" s="99"/>
      <c r="X53" s="99"/>
      <c r="Y53" s="99"/>
      <c r="Z53" s="99"/>
      <c r="AA53" s="99"/>
      <c r="AB53" s="99"/>
      <c r="AC53" s="99"/>
    </row>
    <row r="54">
      <c r="A54" s="112" t="s">
        <v>822</v>
      </c>
      <c r="B54" s="101" t="str">
        <f>VLOOKUP(A54,Main!$A:$B,2,0)</f>
        <v>MSR_BALDEEP_3C</v>
      </c>
      <c r="C54" s="102">
        <v>100000.0</v>
      </c>
      <c r="D54" s="103">
        <f>iferror(VLOOKUP(A54,'Realised and SV'!$A$72:$F$96,5,0),0)</f>
        <v>0</v>
      </c>
      <c r="E54" s="103">
        <f>iferror(VLOOKUP(A54,'Realised and SV'!$A$72:$F$96,6,0),0)</f>
        <v>0</v>
      </c>
      <c r="F54" s="104">
        <f t="shared" si="1"/>
        <v>70000</v>
      </c>
      <c r="G54" s="104">
        <f t="shared" si="2"/>
        <v>70000</v>
      </c>
      <c r="H54" s="105">
        <f t="shared" si="3"/>
        <v>0</v>
      </c>
      <c r="I54" s="100" t="str">
        <f>VLOOKUP(A54,Main!A:J,6,0)</f>
        <v>IIFL_CDC</v>
      </c>
      <c r="J54" s="106">
        <f t="shared" si="4"/>
        <v>0.7</v>
      </c>
      <c r="K54" s="107">
        <f t="shared" si="5"/>
        <v>0.7</v>
      </c>
      <c r="L54" s="108">
        <f t="shared" si="6"/>
        <v>0</v>
      </c>
      <c r="M54" s="109" t="str">
        <f>VLOOKUP(A54,Main!$A$1:$I$837,9,0)</f>
        <v>VS24</v>
      </c>
      <c r="N54" s="109" t="s">
        <v>529</v>
      </c>
      <c r="O54" s="110">
        <v>8.0</v>
      </c>
      <c r="P54" s="110" t="b">
        <f>_xlfn.isformula(VLOOKUP(A54,Main!A:J,7,0))</f>
        <v>1</v>
      </c>
      <c r="Q54" s="98"/>
      <c r="R54" s="111"/>
      <c r="S54" s="111" t="str">
        <f>VLOOKUP(A54,'Realised and SV'!$A$72:$F$96,5,0)</f>
        <v>#N/A</v>
      </c>
      <c r="T54" s="111" t="str">
        <f>VLOOKUP(A54,'Realised and SV'!$A$72:$F$96,6,0)</f>
        <v>#N/A</v>
      </c>
      <c r="U54" s="99"/>
      <c r="V54" s="99"/>
      <c r="W54" s="99"/>
      <c r="X54" s="99"/>
      <c r="Y54" s="99"/>
      <c r="Z54" s="99"/>
      <c r="AA54" s="99"/>
      <c r="AB54" s="99"/>
      <c r="AC54" s="99"/>
    </row>
    <row r="55">
      <c r="A55" s="101" t="s">
        <v>825</v>
      </c>
      <c r="B55" s="101" t="str">
        <f>VLOOKUP(A55,Main!$A:$B,2,0)</f>
        <v>MSR_PRANSHU0</v>
      </c>
      <c r="C55" s="102">
        <v>100000.0</v>
      </c>
      <c r="D55" s="103">
        <f>iferror(VLOOKUP(A55,'Realised and SV'!$A$72:$F$96,5,0),0)</f>
        <v>0</v>
      </c>
      <c r="E55" s="103">
        <f>iferror(VLOOKUP(A55,'Realised and SV'!$A$72:$F$96,6,0),0)</f>
        <v>0</v>
      </c>
      <c r="F55" s="104">
        <f t="shared" si="1"/>
        <v>70000</v>
      </c>
      <c r="G55" s="104">
        <f t="shared" si="2"/>
        <v>70000</v>
      </c>
      <c r="H55" s="105">
        <f t="shared" si="3"/>
        <v>0</v>
      </c>
      <c r="I55" s="100" t="str">
        <f>VLOOKUP(A55,Main!A:J,6,0)</f>
        <v>IIFL_CDC</v>
      </c>
      <c r="J55" s="106">
        <f t="shared" si="4"/>
        <v>0.7</v>
      </c>
      <c r="K55" s="107">
        <f t="shared" si="5"/>
        <v>0.7</v>
      </c>
      <c r="L55" s="108">
        <f t="shared" si="6"/>
        <v>0</v>
      </c>
      <c r="M55" s="109" t="str">
        <f>VLOOKUP(A55,Main!$A$1:$I$837,9,0)</f>
        <v>VS24</v>
      </c>
      <c r="N55" s="109" t="s">
        <v>529</v>
      </c>
      <c r="O55" s="110">
        <v>8.0</v>
      </c>
      <c r="P55" s="110" t="b">
        <f>_xlfn.isformula(VLOOKUP(A55,Main!A:J,7,0))</f>
        <v>1</v>
      </c>
      <c r="Q55" s="98"/>
      <c r="R55" s="111"/>
      <c r="S55" s="111" t="str">
        <f>VLOOKUP(A55,'Realised and SV'!$A$72:$F$96,5,0)</f>
        <v>#N/A</v>
      </c>
      <c r="T55" s="111" t="str">
        <f>VLOOKUP(A55,'Realised and SV'!$A$72:$F$96,6,0)</f>
        <v>#N/A</v>
      </c>
      <c r="U55" s="99"/>
      <c r="V55" s="99"/>
      <c r="W55" s="99"/>
      <c r="X55" s="99"/>
      <c r="Y55" s="99"/>
      <c r="Z55" s="99"/>
      <c r="AA55" s="99"/>
      <c r="AB55" s="99"/>
      <c r="AC55" s="99"/>
    </row>
    <row r="56">
      <c r="A56" s="101" t="s">
        <v>832</v>
      </c>
      <c r="B56" s="101" t="str">
        <f>VLOOKUP(A56,Main!$A:$B,2,0)</f>
        <v>MSR_A8_MITTAL_2C</v>
      </c>
      <c r="C56" s="102">
        <v>200000.0</v>
      </c>
      <c r="D56" s="103">
        <f>iferror(VLOOKUP(A56,'Realised and SV'!$A$72:$F$96,5,0),0)</f>
        <v>0</v>
      </c>
      <c r="E56" s="103">
        <f>iferror(VLOOKUP(A56,'Realised and SV'!$A$72:$F$96,6,0),0)</f>
        <v>26802.1</v>
      </c>
      <c r="F56" s="104">
        <f t="shared" si="1"/>
        <v>166802</v>
      </c>
      <c r="G56" s="104">
        <f t="shared" si="2"/>
        <v>166802</v>
      </c>
      <c r="H56" s="105">
        <f t="shared" si="3"/>
        <v>0.1340105</v>
      </c>
      <c r="I56" s="100" t="str">
        <f>VLOOKUP(A56,Main!A:J,6,0)</f>
        <v>EXCELSTOCK</v>
      </c>
      <c r="J56" s="106">
        <f t="shared" si="4"/>
        <v>0.83401</v>
      </c>
      <c r="K56" s="107">
        <f t="shared" si="5"/>
        <v>0.83401</v>
      </c>
      <c r="L56" s="108">
        <f t="shared" si="6"/>
        <v>0.1340105</v>
      </c>
      <c r="M56" s="109" t="str">
        <f>VLOOKUP(A56,Main!$A$1:$I$837,9,0)</f>
        <v>VS24</v>
      </c>
      <c r="N56" s="109" t="s">
        <v>529</v>
      </c>
      <c r="O56" s="110">
        <v>8.0</v>
      </c>
      <c r="P56" s="110" t="b">
        <f>_xlfn.isformula(VLOOKUP(A56,Main!A:J,7,0))</f>
        <v>1</v>
      </c>
      <c r="Q56" s="98"/>
      <c r="R56" s="111"/>
      <c r="S56" s="113">
        <f>VLOOKUP(A56,'Realised and SV'!$A$72:$F$96,5,0)</f>
        <v>0</v>
      </c>
      <c r="T56" s="114">
        <f>VLOOKUP(A56,'Realised and SV'!$A$72:$F$96,6,0)</f>
        <v>26802.1</v>
      </c>
      <c r="U56" s="99"/>
      <c r="V56" s="99"/>
      <c r="W56" s="99"/>
      <c r="X56" s="99"/>
      <c r="Y56" s="99"/>
      <c r="Z56" s="99"/>
      <c r="AA56" s="99"/>
      <c r="AB56" s="99"/>
      <c r="AC56" s="99"/>
    </row>
    <row r="57">
      <c r="A57" s="131" t="s">
        <v>838</v>
      </c>
      <c r="B57" s="131" t="str">
        <f>VLOOKUP(A57,Main!$A:$B,2,0)</f>
        <v>MSR_A8_MANISHT_DUB_6C</v>
      </c>
      <c r="C57" s="132">
        <v>600000.0</v>
      </c>
      <c r="D57" s="133">
        <f>iferror(VLOOKUP(A57,'Realised and SV'!$A$72:$F$96,5,0),0)</f>
        <v>0</v>
      </c>
      <c r="E57" s="133">
        <v>0.0</v>
      </c>
      <c r="F57" s="134">
        <f t="shared" si="1"/>
        <v>420000</v>
      </c>
      <c r="G57" s="134">
        <f t="shared" si="2"/>
        <v>420000</v>
      </c>
      <c r="H57" s="135">
        <f t="shared" si="3"/>
        <v>0</v>
      </c>
      <c r="I57" s="136" t="str">
        <f>VLOOKUP(A57,Main!A:J,6,0)</f>
        <v>JainamRetail</v>
      </c>
      <c r="J57" s="137">
        <f t="shared" si="4"/>
        <v>0.7</v>
      </c>
      <c r="K57" s="138">
        <f t="shared" si="5"/>
        <v>0.7</v>
      </c>
      <c r="L57" s="139">
        <f t="shared" si="6"/>
        <v>0</v>
      </c>
      <c r="M57" s="140" t="str">
        <f>VLOOKUP(A57,Main!$A$1:$I$837,9,0)</f>
        <v>VS24</v>
      </c>
      <c r="N57" s="140" t="s">
        <v>529</v>
      </c>
      <c r="O57" s="141">
        <v>8.0</v>
      </c>
      <c r="P57" s="141" t="b">
        <f>_xlfn.isformula(VLOOKUP(A57,Main!A:J,7,0))</f>
        <v>1</v>
      </c>
      <c r="Q57" s="142"/>
      <c r="R57" s="128"/>
      <c r="S57" s="143">
        <f>VLOOKUP(A57,'Realised and SV'!$A$72:$F$96,5,0)</f>
        <v>0</v>
      </c>
      <c r="T57" s="144">
        <f>VLOOKUP(A57,'Realised and SV'!$A$72:$F$96,6,0)</f>
        <v>81485.3</v>
      </c>
      <c r="U57" s="128"/>
      <c r="V57" s="128"/>
      <c r="W57" s="128"/>
      <c r="X57" s="128"/>
      <c r="Y57" s="128"/>
      <c r="Z57" s="128"/>
      <c r="AA57" s="128"/>
      <c r="AB57" s="128"/>
      <c r="AC57" s="128"/>
    </row>
    <row r="58">
      <c r="A58" s="101" t="s">
        <v>844</v>
      </c>
      <c r="B58" s="101" t="str">
        <f>VLOOKUP(A58,Main!$A:$B,2,0)</f>
        <v>MSR_SAHIL1</v>
      </c>
      <c r="C58" s="102">
        <v>100000.0</v>
      </c>
      <c r="D58" s="103">
        <f>iferror(VLOOKUP(A58,'Realised and SV'!$A$72:$F$96,5,0),0)</f>
        <v>0</v>
      </c>
      <c r="E58" s="103">
        <f>iferror(VLOOKUP(A58,'Realised and SV'!$A$72:$F$96,6,0),0)</f>
        <v>0</v>
      </c>
      <c r="F58" s="104">
        <f t="shared" si="1"/>
        <v>70000</v>
      </c>
      <c r="G58" s="104">
        <f t="shared" si="2"/>
        <v>70000</v>
      </c>
      <c r="H58" s="105">
        <f t="shared" si="3"/>
        <v>0</v>
      </c>
      <c r="I58" s="100" t="str">
        <f>VLOOKUP(A58,Main!A:J,6,0)</f>
        <v>IIFL_CDC</v>
      </c>
      <c r="J58" s="106">
        <f t="shared" si="4"/>
        <v>0.7</v>
      </c>
      <c r="K58" s="107">
        <f t="shared" si="5"/>
        <v>0.7</v>
      </c>
      <c r="L58" s="108">
        <f t="shared" si="6"/>
        <v>0</v>
      </c>
      <c r="M58" s="109" t="str">
        <f>VLOOKUP(A58,Main!$A$1:$I$837,9,0)</f>
        <v>VS24</v>
      </c>
      <c r="N58" s="109" t="s">
        <v>529</v>
      </c>
      <c r="O58" s="110">
        <v>8.0</v>
      </c>
      <c r="P58" s="110" t="b">
        <f>_xlfn.isformula(VLOOKUP(A58,Main!A:J,7,0))</f>
        <v>1</v>
      </c>
      <c r="Q58" s="98"/>
      <c r="R58" s="111"/>
      <c r="S58" s="111" t="str">
        <f>VLOOKUP(A58,'Realised and SV'!$A$72:$F$96,5,0)</f>
        <v>#N/A</v>
      </c>
      <c r="T58" s="111" t="str">
        <f>VLOOKUP(A58,'Realised and SV'!$A$72:$F$96,6,0)</f>
        <v>#N/A</v>
      </c>
      <c r="U58" s="128"/>
      <c r="V58" s="128"/>
      <c r="W58" s="128"/>
      <c r="X58" s="128"/>
      <c r="Y58" s="128"/>
      <c r="Z58" s="128"/>
      <c r="AA58" s="128"/>
      <c r="AB58" s="128"/>
      <c r="AC58" s="128"/>
    </row>
    <row r="59">
      <c r="A59" s="101" t="s">
        <v>601</v>
      </c>
      <c r="B59" s="101" t="str">
        <f>VLOOKUP(A59,Main!$A:$B,2,0)</f>
        <v>MSR_BANSAL2</v>
      </c>
      <c r="C59" s="102">
        <v>100000.0</v>
      </c>
      <c r="D59" s="103">
        <f>iferror(VLOOKUP(A59,'Realised and SV'!$A$72:$F$96,5,0),0)</f>
        <v>0</v>
      </c>
      <c r="E59" s="103">
        <f>iferror(VLOOKUP(A59,'Realised and SV'!$A$72:$F$96,6,0),0)</f>
        <v>0</v>
      </c>
      <c r="F59" s="104">
        <f t="shared" si="1"/>
        <v>70000</v>
      </c>
      <c r="G59" s="104">
        <f t="shared" si="2"/>
        <v>70000</v>
      </c>
      <c r="H59" s="105">
        <f t="shared" si="3"/>
        <v>0</v>
      </c>
      <c r="I59" s="100" t="str">
        <f>VLOOKUP(A59,Main!A:J,6,0)</f>
        <v>IIFL_CDC</v>
      </c>
      <c r="J59" s="106">
        <f t="shared" si="4"/>
        <v>0.7</v>
      </c>
      <c r="K59" s="107">
        <f t="shared" si="5"/>
        <v>0.7</v>
      </c>
      <c r="L59" s="108">
        <f t="shared" si="6"/>
        <v>0</v>
      </c>
      <c r="M59" s="109" t="str">
        <f>VLOOKUP(A59,Main!$A$1:$I$837,9,0)</f>
        <v>VS24</v>
      </c>
      <c r="N59" s="109" t="s">
        <v>529</v>
      </c>
      <c r="O59" s="110">
        <v>8.0</v>
      </c>
      <c r="P59" s="110" t="b">
        <f>_xlfn.isformula(VLOOKUP(A59,Main!A:J,7,0))</f>
        <v>1</v>
      </c>
      <c r="Q59" s="98"/>
      <c r="R59" s="111"/>
      <c r="S59" s="111" t="str">
        <f>VLOOKUP(A59,'Realised and SV'!$A$72:$F$96,5,0)</f>
        <v>#N/A</v>
      </c>
      <c r="T59" s="111" t="str">
        <f>VLOOKUP(A59,'Realised and SV'!$A$72:$F$96,6,0)</f>
        <v>#N/A</v>
      </c>
      <c r="U59" s="99"/>
      <c r="V59" s="99"/>
      <c r="W59" s="99"/>
      <c r="X59" s="99"/>
      <c r="Y59" s="99"/>
      <c r="Z59" s="99"/>
      <c r="AA59" s="99"/>
      <c r="AB59" s="99"/>
      <c r="AC59" s="99"/>
    </row>
    <row r="60">
      <c r="A60" s="101" t="s">
        <v>609</v>
      </c>
      <c r="B60" s="101" t="str">
        <f>VLOOKUP(A60,Main!$A:$B,2,0)</f>
        <v>MSR_RAJM2_2C</v>
      </c>
      <c r="C60" s="102">
        <v>200000.0</v>
      </c>
      <c r="D60" s="103">
        <f>iferror(VLOOKUP(A60,'Realised and SV'!$A$72:$F$96,5,0),0)</f>
        <v>0</v>
      </c>
      <c r="E60" s="103">
        <f>iferror(VLOOKUP(A60,'Realised and SV'!$A$72:$F$96,6,0),0)</f>
        <v>27043.9</v>
      </c>
      <c r="F60" s="104">
        <f t="shared" si="1"/>
        <v>167043</v>
      </c>
      <c r="G60" s="104">
        <f t="shared" si="2"/>
        <v>167043</v>
      </c>
      <c r="H60" s="105">
        <f t="shared" si="3"/>
        <v>0.1352195</v>
      </c>
      <c r="I60" s="100" t="str">
        <f>VLOOKUP(A60,Main!A:J,6,0)</f>
        <v>IIFL_CDC</v>
      </c>
      <c r="J60" s="106">
        <f t="shared" si="4"/>
        <v>0.835215</v>
      </c>
      <c r="K60" s="107">
        <f t="shared" si="5"/>
        <v>0.835215</v>
      </c>
      <c r="L60" s="108">
        <f t="shared" si="6"/>
        <v>0.1352195</v>
      </c>
      <c r="M60" s="109" t="str">
        <f>VLOOKUP(A60,Main!$A$1:$I$837,9,0)</f>
        <v>VS24</v>
      </c>
      <c r="N60" s="109" t="s">
        <v>529</v>
      </c>
      <c r="O60" s="110">
        <v>8.0</v>
      </c>
      <c r="P60" s="110" t="b">
        <f>_xlfn.isformula(VLOOKUP(A60,Main!A:J,7,0))</f>
        <v>1</v>
      </c>
      <c r="Q60" s="98"/>
      <c r="R60" s="98">
        <v>800000.0</v>
      </c>
      <c r="S60" s="113">
        <f>VLOOKUP(A60,'Realised and SV'!$A$72:$F$96,5,0)</f>
        <v>0</v>
      </c>
      <c r="T60" s="114">
        <f>VLOOKUP(A60,'Realised and SV'!$A$72:$F$96,6,0)</f>
        <v>27043.9</v>
      </c>
      <c r="U60" s="99"/>
      <c r="V60" s="99"/>
      <c r="W60" s="99"/>
      <c r="X60" s="99"/>
      <c r="Y60" s="99"/>
      <c r="Z60" s="99"/>
      <c r="AA60" s="99"/>
      <c r="AB60" s="99"/>
      <c r="AC60" s="99"/>
    </row>
    <row r="61">
      <c r="A61" s="112" t="s">
        <v>604</v>
      </c>
      <c r="B61" s="101" t="str">
        <f>VLOOKUP(A61,Main!$A:$B,2,0)</f>
        <v>MSR_KALYANG</v>
      </c>
      <c r="C61" s="102">
        <v>100000.0</v>
      </c>
      <c r="D61" s="103">
        <f>iferror(VLOOKUP(A61,'Realised and SV'!$A$72:$F$96,5,0),0)</f>
        <v>0</v>
      </c>
      <c r="E61" s="103">
        <f>iferror(VLOOKUP(A61,'Realised and SV'!$A$72:$F$96,6,0),0)</f>
        <v>0</v>
      </c>
      <c r="F61" s="101">
        <f t="shared" si="1"/>
        <v>70000</v>
      </c>
      <c r="G61" s="104">
        <f t="shared" si="2"/>
        <v>70000</v>
      </c>
      <c r="H61" s="105">
        <f t="shared" si="3"/>
        <v>0</v>
      </c>
      <c r="I61" s="100" t="str">
        <f>VLOOKUP(A61,Main!A:J,6,0)</f>
        <v>IIFL_CDC</v>
      </c>
      <c r="J61" s="106">
        <f t="shared" si="4"/>
        <v>0.7</v>
      </c>
      <c r="K61" s="107">
        <f t="shared" si="5"/>
        <v>0.7</v>
      </c>
      <c r="L61" s="108">
        <f t="shared" si="6"/>
        <v>0</v>
      </c>
      <c r="M61" s="109" t="str">
        <f>VLOOKUP(A61,Main!$A$1:$I$837,9,0)</f>
        <v>VS24</v>
      </c>
      <c r="N61" s="109" t="s">
        <v>529</v>
      </c>
      <c r="O61" s="110">
        <v>8.0</v>
      </c>
      <c r="P61" s="110" t="b">
        <f>_xlfn.isformula(VLOOKUP(A61,Main!A:J,7,0))</f>
        <v>1</v>
      </c>
      <c r="Q61" s="98"/>
      <c r="R61" s="111"/>
      <c r="S61" s="111" t="str">
        <f>VLOOKUP(A61,'Realised and SV'!$A$72:$F$96,5,0)</f>
        <v>#N/A</v>
      </c>
      <c r="T61" s="111" t="str">
        <f>VLOOKUP(A61,'Realised and SV'!$A$72:$F$96,6,0)</f>
        <v>#N/A</v>
      </c>
      <c r="U61" s="99"/>
      <c r="V61" s="99"/>
      <c r="W61" s="99"/>
      <c r="X61" s="99"/>
      <c r="Y61" s="99"/>
      <c r="Z61" s="99"/>
      <c r="AA61" s="99"/>
      <c r="AB61" s="99"/>
      <c r="AC61" s="99"/>
    </row>
    <row r="62">
      <c r="A62" s="112" t="s">
        <v>867</v>
      </c>
      <c r="B62" s="101" t="str">
        <f>VLOOKUP(A62,Main!$A:$B,2,0)</f>
        <v>MSR_ASR7</v>
      </c>
      <c r="C62" s="102">
        <v>100000.0</v>
      </c>
      <c r="D62" s="103">
        <f>iferror(VLOOKUP(A62,'Realised and SV'!$A$72:$F$96,5,0),0)</f>
        <v>0</v>
      </c>
      <c r="E62" s="103">
        <f>iferror(VLOOKUP(A62,'Realised and SV'!$A$72:$F$96,6,0),0)</f>
        <v>0</v>
      </c>
      <c r="F62" s="104">
        <f t="shared" si="1"/>
        <v>70000</v>
      </c>
      <c r="G62" s="104">
        <f t="shared" si="2"/>
        <v>70000</v>
      </c>
      <c r="H62" s="105">
        <f t="shared" si="3"/>
        <v>0</v>
      </c>
      <c r="I62" s="100" t="str">
        <f>VLOOKUP(A62,Main!A:J,6,0)</f>
        <v>IIFL_CDC</v>
      </c>
      <c r="J62" s="106">
        <f t="shared" si="4"/>
        <v>0.7</v>
      </c>
      <c r="K62" s="107">
        <f t="shared" si="5"/>
        <v>0.7</v>
      </c>
      <c r="L62" s="108">
        <f t="shared" si="6"/>
        <v>0</v>
      </c>
      <c r="M62" s="109" t="str">
        <f>VLOOKUP(A62,Main!$A$1:$I$837,9,0)</f>
        <v>VS24</v>
      </c>
      <c r="N62" s="109" t="s">
        <v>529</v>
      </c>
      <c r="O62" s="110">
        <v>8.0</v>
      </c>
      <c r="P62" s="110" t="b">
        <f>_xlfn.isformula(VLOOKUP(A62,Main!A:J,7,0))</f>
        <v>1</v>
      </c>
      <c r="Q62" s="98"/>
      <c r="R62" s="111"/>
      <c r="S62" s="111" t="str">
        <f>VLOOKUP(A62,'Realised and SV'!$A$72:$F$96,5,0)</f>
        <v>#N/A</v>
      </c>
      <c r="T62" s="111" t="str">
        <f>VLOOKUP(A62,'Realised and SV'!$A$72:$F$96,6,0)</f>
        <v>#N/A</v>
      </c>
      <c r="U62" s="99"/>
      <c r="V62" s="99"/>
      <c r="W62" s="99"/>
      <c r="X62" s="99"/>
      <c r="Y62" s="99"/>
      <c r="Z62" s="99"/>
      <c r="AA62" s="99"/>
      <c r="AB62" s="99"/>
      <c r="AC62" s="99"/>
    </row>
    <row r="63">
      <c r="A63" s="112" t="s">
        <v>871</v>
      </c>
      <c r="B63" s="101" t="str">
        <f>VLOOKUP(A63,Main!$A:$B,2,0)</f>
        <v>MSR_ASR8</v>
      </c>
      <c r="C63" s="102">
        <v>100000.0</v>
      </c>
      <c r="D63" s="103">
        <f>iferror(VLOOKUP(A63,'Realised and SV'!$A$72:$F$96,5,0),0)</f>
        <v>0</v>
      </c>
      <c r="E63" s="103">
        <f>iferror(VLOOKUP(A63,'Realised and SV'!$A$72:$F$96,6,0),0)</f>
        <v>0</v>
      </c>
      <c r="F63" s="104">
        <f t="shared" si="1"/>
        <v>70000</v>
      </c>
      <c r="G63" s="104">
        <f t="shared" si="2"/>
        <v>70000</v>
      </c>
      <c r="H63" s="105">
        <f t="shared" si="3"/>
        <v>0</v>
      </c>
      <c r="I63" s="100" t="str">
        <f>VLOOKUP(A63,Main!A:J,6,0)</f>
        <v>IIFL_CDC</v>
      </c>
      <c r="J63" s="106">
        <f t="shared" si="4"/>
        <v>0.7</v>
      </c>
      <c r="K63" s="107">
        <f t="shared" si="5"/>
        <v>0.7</v>
      </c>
      <c r="L63" s="108">
        <f t="shared" si="6"/>
        <v>0</v>
      </c>
      <c r="M63" s="109" t="str">
        <f>VLOOKUP(A63,Main!$A$1:$I$837,9,0)</f>
        <v>VS24</v>
      </c>
      <c r="N63" s="109" t="s">
        <v>529</v>
      </c>
      <c r="O63" s="110">
        <v>8.0</v>
      </c>
      <c r="P63" s="110" t="b">
        <f>_xlfn.isformula(VLOOKUP(A63,Main!A:J,7,0))</f>
        <v>1</v>
      </c>
      <c r="Q63" s="98"/>
      <c r="R63" s="111"/>
      <c r="S63" s="111" t="str">
        <f>VLOOKUP(A63,'Realised and SV'!$A$72:$F$96,5,0)</f>
        <v>#N/A</v>
      </c>
      <c r="T63" s="111" t="str">
        <f>VLOOKUP(A63,'Realised and SV'!$A$72:$F$96,6,0)</f>
        <v>#N/A</v>
      </c>
      <c r="U63" s="99"/>
      <c r="V63" s="99"/>
      <c r="W63" s="99"/>
      <c r="X63" s="99"/>
      <c r="Y63" s="99"/>
      <c r="Z63" s="99"/>
      <c r="AA63" s="99"/>
      <c r="AB63" s="99"/>
      <c r="AC63" s="99"/>
    </row>
    <row r="64">
      <c r="A64" s="112" t="s">
        <v>595</v>
      </c>
      <c r="B64" s="101" t="str">
        <f>VLOOKUP(A64,Main!$A:$B,2,0)</f>
        <v>MSP_AMIT9_3C</v>
      </c>
      <c r="C64" s="102">
        <v>100000.0</v>
      </c>
      <c r="D64" s="103">
        <f>iferror(VLOOKUP(A64,'Realised and SV'!$A$72:$F$96,5,0),0)</f>
        <v>0</v>
      </c>
      <c r="E64" s="103">
        <f>iferror(VLOOKUP(A64,'Realised and SV'!$A$72:$F$96,6,0),0)</f>
        <v>0</v>
      </c>
      <c r="F64" s="104">
        <f t="shared" si="1"/>
        <v>70000</v>
      </c>
      <c r="G64" s="104">
        <f t="shared" si="2"/>
        <v>70000</v>
      </c>
      <c r="H64" s="105">
        <f t="shared" si="3"/>
        <v>0</v>
      </c>
      <c r="I64" s="100" t="str">
        <f>VLOOKUP(A64,Main!A:J,6,0)</f>
        <v>IIFL_CDC</v>
      </c>
      <c r="J64" s="106">
        <f t="shared" si="4"/>
        <v>0.7</v>
      </c>
      <c r="K64" s="107">
        <f t="shared" si="5"/>
        <v>0.7</v>
      </c>
      <c r="L64" s="108">
        <f t="shared" si="6"/>
        <v>0</v>
      </c>
      <c r="M64" s="109" t="str">
        <f>VLOOKUP(A64,Main!$A$1:$I$837,9,0)</f>
        <v>VS24</v>
      </c>
      <c r="N64" s="109" t="s">
        <v>529</v>
      </c>
      <c r="O64" s="110">
        <v>8.0</v>
      </c>
      <c r="P64" s="110" t="b">
        <f>_xlfn.isformula(VLOOKUP(A64,Main!A:J,7,0))</f>
        <v>1</v>
      </c>
      <c r="Q64" s="98"/>
      <c r="R64" s="98">
        <v>1600000.0</v>
      </c>
      <c r="S64" s="111" t="str">
        <f>VLOOKUP(A64,'Realised and SV'!$A$72:$F$96,5,0)</f>
        <v>#N/A</v>
      </c>
      <c r="T64" s="111" t="str">
        <f>VLOOKUP(A64,'Realised and SV'!$A$72:$F$96,6,0)</f>
        <v>#N/A</v>
      </c>
      <c r="U64" s="99"/>
      <c r="V64" s="99"/>
      <c r="W64" s="99"/>
      <c r="X64" s="99"/>
      <c r="Y64" s="99"/>
      <c r="Z64" s="99"/>
      <c r="AA64" s="99"/>
      <c r="AB64" s="99"/>
      <c r="AC64" s="99"/>
    </row>
    <row r="65">
      <c r="A65" s="148" t="s">
        <v>880</v>
      </c>
      <c r="B65" s="101" t="str">
        <f>VLOOKUP(A65,Main!$A:$B,2,0)</f>
        <v>MSS_PAYAL_AR</v>
      </c>
      <c r="C65" s="102">
        <v>100000.0</v>
      </c>
      <c r="D65" s="103">
        <f>iferror(VLOOKUP(A65,'Realised and SV'!$A$72:$F$96,5,0),0)</f>
        <v>0</v>
      </c>
      <c r="E65" s="103">
        <f>iferror(VLOOKUP(A65,'Realised and SV'!$A$72:$F$96,6,0),0)</f>
        <v>0</v>
      </c>
      <c r="F65" s="104">
        <f t="shared" si="1"/>
        <v>70000</v>
      </c>
      <c r="G65" s="104">
        <f t="shared" si="2"/>
        <v>70000</v>
      </c>
      <c r="H65" s="105">
        <f t="shared" si="3"/>
        <v>0</v>
      </c>
      <c r="I65" s="100" t="str">
        <f>VLOOKUP(A65,Main!A:J,6,0)</f>
        <v>ANANDRATHI</v>
      </c>
      <c r="J65" s="106">
        <f t="shared" si="4"/>
        <v>0.7</v>
      </c>
      <c r="K65" s="107">
        <f t="shared" si="5"/>
        <v>0.7</v>
      </c>
      <c r="L65" s="108">
        <f t="shared" si="6"/>
        <v>0</v>
      </c>
      <c r="M65" s="109" t="str">
        <f>VLOOKUP(A65,Main!$A$1:$I$837,9,0)</f>
        <v>VS24</v>
      </c>
      <c r="N65" s="109" t="s">
        <v>529</v>
      </c>
      <c r="O65" s="110">
        <v>8.0</v>
      </c>
      <c r="P65" s="110" t="b">
        <f>_xlfn.isformula(VLOOKUP(A65,Main!A:J,7,0))</f>
        <v>1</v>
      </c>
      <c r="Q65" s="98"/>
      <c r="R65" s="111"/>
      <c r="S65" s="111" t="str">
        <f>VLOOKUP(A65,'Realised and SV'!$A$72:$F$96,5,0)</f>
        <v>#N/A</v>
      </c>
      <c r="T65" s="111" t="str">
        <f>VLOOKUP(A65,'Realised and SV'!$A$72:$F$96,6,0)</f>
        <v>#N/A</v>
      </c>
      <c r="U65" s="99"/>
      <c r="V65" s="99"/>
      <c r="W65" s="99"/>
      <c r="X65" s="99"/>
      <c r="Y65" s="99"/>
      <c r="Z65" s="99"/>
      <c r="AA65" s="99"/>
      <c r="AB65" s="99"/>
      <c r="AC65" s="99"/>
    </row>
    <row r="66">
      <c r="A66" s="112" t="s">
        <v>614</v>
      </c>
      <c r="B66" s="101" t="str">
        <f>VLOOKUP(A66,Main!$A:$B,2,0)</f>
        <v>MSR_PAREEKK2</v>
      </c>
      <c r="C66" s="110">
        <v>100000.0</v>
      </c>
      <c r="D66" s="103">
        <f>iferror(VLOOKUP(A66,'Realised and SV'!$A$72:$F$96,5,0),0)</f>
        <v>0</v>
      </c>
      <c r="E66" s="103">
        <f>iferror(VLOOKUP(A66,'Realised and SV'!$A$72:$F$96,6,0),0)</f>
        <v>0</v>
      </c>
      <c r="F66" s="104">
        <f t="shared" si="1"/>
        <v>70000</v>
      </c>
      <c r="G66" s="104">
        <f t="shared" si="2"/>
        <v>70000</v>
      </c>
      <c r="H66" s="105">
        <f t="shared" si="3"/>
        <v>0</v>
      </c>
      <c r="I66" s="100" t="str">
        <f>VLOOKUP(A66,Main!A:J,6,0)</f>
        <v>IIFL_CDC</v>
      </c>
      <c r="J66" s="106">
        <f t="shared" si="4"/>
        <v>0.7</v>
      </c>
      <c r="K66" s="107">
        <f t="shared" si="5"/>
        <v>0.7</v>
      </c>
      <c r="L66" s="108">
        <f t="shared" si="6"/>
        <v>0</v>
      </c>
      <c r="M66" s="109" t="str">
        <f>VLOOKUP(A66,Main!$A$1:$I$837,9,0)</f>
        <v>VS24</v>
      </c>
      <c r="N66" s="109" t="s">
        <v>529</v>
      </c>
      <c r="O66" s="110">
        <v>8.0</v>
      </c>
      <c r="P66" s="110" t="b">
        <f>_xlfn.isformula(VLOOKUP(A66,Main!A:J,7,0))</f>
        <v>1</v>
      </c>
      <c r="Q66" s="98"/>
      <c r="R66" s="111"/>
      <c r="S66" s="111" t="str">
        <f>VLOOKUP(A66,'Realised and SV'!$A$72:$F$96,5,0)</f>
        <v>#N/A</v>
      </c>
      <c r="T66" s="111" t="str">
        <f>VLOOKUP(A66,'Realised and SV'!$A$72:$F$96,6,0)</f>
        <v>#N/A</v>
      </c>
      <c r="U66" s="99"/>
      <c r="V66" s="99"/>
      <c r="W66" s="99"/>
      <c r="X66" s="99"/>
      <c r="Y66" s="99"/>
      <c r="Z66" s="99"/>
      <c r="AA66" s="99"/>
      <c r="AB66" s="99"/>
      <c r="AC66" s="99"/>
    </row>
    <row r="67">
      <c r="A67" s="112" t="s">
        <v>892</v>
      </c>
      <c r="B67" s="101" t="str">
        <f>VLOOKUP(A67,Main!$A:$B,2,0)</f>
        <v>MSR_A8_BFFD</v>
      </c>
      <c r="C67" s="102">
        <v>100000.0</v>
      </c>
      <c r="D67" s="103">
        <f>iferror(VLOOKUP(A67,'Realised and SV'!$A$72:$F$96,5,0),0)</f>
        <v>0</v>
      </c>
      <c r="E67" s="103">
        <f>iferror(VLOOKUP(A67,'Realised and SV'!$A$72:$F$96,6,0),0)</f>
        <v>0</v>
      </c>
      <c r="F67" s="104">
        <f t="shared" si="1"/>
        <v>70000</v>
      </c>
      <c r="G67" s="104">
        <f t="shared" si="2"/>
        <v>70000</v>
      </c>
      <c r="H67" s="105">
        <f t="shared" si="3"/>
        <v>0</v>
      </c>
      <c r="I67" s="100" t="str">
        <f>VLOOKUP(A67,Main!A:J,6,0)</f>
        <v>CHOICE_XTS_DEALER</v>
      </c>
      <c r="J67" s="106">
        <f t="shared" si="4"/>
        <v>0.7</v>
      </c>
      <c r="K67" s="107">
        <f t="shared" si="5"/>
        <v>0.7</v>
      </c>
      <c r="L67" s="108">
        <f t="shared" si="6"/>
        <v>0</v>
      </c>
      <c r="M67" s="109" t="str">
        <f>VLOOKUP(A67,Main!$A$1:$I$837,9,0)</f>
        <v>VS24</v>
      </c>
      <c r="N67" s="109" t="s">
        <v>529</v>
      </c>
      <c r="O67" s="110">
        <v>8.0</v>
      </c>
      <c r="P67" s="110" t="b">
        <f>_xlfn.isformula(VLOOKUP(A67,Main!A:J,7,0))</f>
        <v>1</v>
      </c>
      <c r="Q67" s="98"/>
      <c r="R67" s="111"/>
      <c r="S67" s="111" t="str">
        <f>VLOOKUP(A67,'Realised and SV'!$A$72:$F$96,5,0)</f>
        <v>#N/A</v>
      </c>
      <c r="T67" s="111" t="str">
        <f>VLOOKUP(A67,'Realised and SV'!$A$72:$F$96,6,0)</f>
        <v>#N/A</v>
      </c>
      <c r="U67" s="99"/>
      <c r="V67" s="99"/>
      <c r="W67" s="99"/>
      <c r="X67" s="99"/>
      <c r="Y67" s="99"/>
      <c r="Z67" s="99"/>
      <c r="AA67" s="99"/>
      <c r="AB67" s="99"/>
      <c r="AC67" s="99"/>
    </row>
    <row r="68">
      <c r="A68" s="112" t="s">
        <v>679</v>
      </c>
      <c r="B68" s="101" t="str">
        <f>VLOOKUP(A68,Main!$A:$B,2,0)</f>
        <v>MSR_SJVJ2_3C</v>
      </c>
      <c r="C68" s="102">
        <v>100000.0</v>
      </c>
      <c r="D68" s="103">
        <f>iferror(VLOOKUP(A68,'Realised and SV'!$A$72:$F$96,5,0),0)</f>
        <v>0</v>
      </c>
      <c r="E68" s="103">
        <f>iferror(VLOOKUP(A68,'Realised and SV'!$A$72:$F$96,6,0),0)</f>
        <v>0</v>
      </c>
      <c r="F68" s="104">
        <f t="shared" si="1"/>
        <v>70000</v>
      </c>
      <c r="G68" s="104">
        <f t="shared" si="2"/>
        <v>70000</v>
      </c>
      <c r="H68" s="105">
        <f t="shared" si="3"/>
        <v>0</v>
      </c>
      <c r="I68" s="100" t="str">
        <f>VLOOKUP(A68,Main!A:J,6,0)</f>
        <v>IIFL_CDC</v>
      </c>
      <c r="J68" s="106">
        <f t="shared" si="4"/>
        <v>0.7</v>
      </c>
      <c r="K68" s="107">
        <f t="shared" si="5"/>
        <v>0.7</v>
      </c>
      <c r="L68" s="108">
        <f t="shared" si="6"/>
        <v>0</v>
      </c>
      <c r="M68" s="109" t="str">
        <f>VLOOKUP(A68,Main!$A$1:$I$837,9,0)</f>
        <v>VS24</v>
      </c>
      <c r="N68" s="109" t="s">
        <v>529</v>
      </c>
      <c r="O68" s="110">
        <v>8.0</v>
      </c>
      <c r="P68" s="110" t="b">
        <f>_xlfn.isformula(VLOOKUP(A68,Main!A:J,7,0))</f>
        <v>1</v>
      </c>
      <c r="Q68" s="98"/>
      <c r="R68" s="111"/>
      <c r="S68" s="111" t="str">
        <f>VLOOKUP(A68,'Realised and SV'!$A$72:$F$96,5,0)</f>
        <v>#N/A</v>
      </c>
      <c r="T68" s="111" t="str">
        <f>VLOOKUP(A68,'Realised and SV'!$A$72:$F$96,6,0)</f>
        <v>#N/A</v>
      </c>
      <c r="U68" s="99"/>
      <c r="V68" s="99"/>
      <c r="W68" s="99"/>
      <c r="X68" s="99"/>
      <c r="Y68" s="99"/>
      <c r="Z68" s="99"/>
      <c r="AA68" s="99"/>
      <c r="AB68" s="99"/>
      <c r="AC68" s="99"/>
    </row>
    <row r="69">
      <c r="A69" s="112" t="s">
        <v>898</v>
      </c>
      <c r="B69" s="101" t="str">
        <f>VLOOKUP(A69,Main!$A:$B,2,0)</f>
        <v>MSS_A8_VT_4C</v>
      </c>
      <c r="C69" s="110">
        <v>400000.0</v>
      </c>
      <c r="D69" s="103">
        <f>iferror(VLOOKUP(A69,'Realised and SV'!$A$72:$F$96,5,0),0)</f>
        <v>-20325.5</v>
      </c>
      <c r="E69" s="103">
        <f>iferror(VLOOKUP(A69,'Realised and SV'!$A$72:$F$96,6,0),0)</f>
        <v>114901.15</v>
      </c>
      <c r="F69" s="104">
        <f t="shared" si="1"/>
        <v>374575</v>
      </c>
      <c r="G69" s="104">
        <f t="shared" si="2"/>
        <v>374575</v>
      </c>
      <c r="H69" s="105">
        <f t="shared" si="3"/>
        <v>0.236439125</v>
      </c>
      <c r="I69" s="100" t="str">
        <f>VLOOKUP(A69,Main!A:J,6,0)</f>
        <v>ALPHA MATRIX</v>
      </c>
      <c r="J69" s="106">
        <f t="shared" si="4"/>
        <v>0.9364375</v>
      </c>
      <c r="K69" s="107">
        <f t="shared" si="5"/>
        <v>0.9364375</v>
      </c>
      <c r="L69" s="108">
        <f t="shared" si="6"/>
        <v>0.287252875</v>
      </c>
      <c r="M69" s="109" t="str">
        <f>VLOOKUP(A69,Main!$A$1:$I$837,9,0)</f>
        <v>VS24</v>
      </c>
      <c r="N69" s="109" t="s">
        <v>529</v>
      </c>
      <c r="O69" s="110">
        <v>8.0</v>
      </c>
      <c r="P69" s="110" t="b">
        <f>_xlfn.isformula(VLOOKUP(A69,Main!A:J,7,0))</f>
        <v>1</v>
      </c>
      <c r="Q69" s="98"/>
      <c r="R69" s="98">
        <v>600000.0</v>
      </c>
      <c r="S69" s="113">
        <f>VLOOKUP(A69,'Realised and SV'!$A$72:$F$96,5,0)</f>
        <v>-20325.5</v>
      </c>
      <c r="T69" s="114">
        <f>VLOOKUP(A69,'Realised and SV'!$A$72:$F$96,6,0)</f>
        <v>114901.15</v>
      </c>
      <c r="U69" s="99"/>
      <c r="V69" s="99"/>
      <c r="W69" s="99"/>
      <c r="X69" s="99"/>
      <c r="Y69" s="99"/>
      <c r="Z69" s="99"/>
      <c r="AA69" s="99"/>
      <c r="AB69" s="99"/>
      <c r="AC69" s="99"/>
    </row>
    <row r="70">
      <c r="A70" s="112" t="s">
        <v>183</v>
      </c>
      <c r="B70" s="101" t="str">
        <f>VLOOKUP(A70,Main!$A:$B,2,0)</f>
        <v>MSS_ANAND_AR</v>
      </c>
      <c r="C70" s="110">
        <v>100000.0</v>
      </c>
      <c r="D70" s="103">
        <f>iferror(VLOOKUP(A70,'Realised and SV'!$A$72:$F$96,5,0),0)</f>
        <v>0</v>
      </c>
      <c r="E70" s="103">
        <f>iferror(VLOOKUP(A70,'Realised and SV'!$A$72:$F$96,6,0),0)</f>
        <v>0</v>
      </c>
      <c r="F70" s="104">
        <f t="shared" si="1"/>
        <v>70000</v>
      </c>
      <c r="G70" s="104">
        <f t="shared" si="2"/>
        <v>70000</v>
      </c>
      <c r="H70" s="105">
        <f t="shared" si="3"/>
        <v>0</v>
      </c>
      <c r="I70" s="100" t="str">
        <f>VLOOKUP(A70,Main!A:J,6,0)</f>
        <v>AnandRathi</v>
      </c>
      <c r="J70" s="106">
        <f t="shared" si="4"/>
        <v>0.7</v>
      </c>
      <c r="K70" s="107">
        <f t="shared" si="5"/>
        <v>0.7</v>
      </c>
      <c r="L70" s="108">
        <f t="shared" si="6"/>
        <v>0</v>
      </c>
      <c r="M70" s="109" t="str">
        <f>VLOOKUP(A70,Main!$A$1:$I$837,9,0)</f>
        <v>VS33</v>
      </c>
      <c r="N70" s="109" t="s">
        <v>529</v>
      </c>
      <c r="O70" s="110">
        <v>8.0</v>
      </c>
      <c r="P70" s="110" t="b">
        <f>_xlfn.isformula(VLOOKUP(A70,Main!A:J,7,0))</f>
        <v>1</v>
      </c>
      <c r="Q70" s="98"/>
      <c r="R70" s="111"/>
      <c r="S70" s="111" t="str">
        <f>VLOOKUP(A70,'Realised and SV'!$A$72:$F$96,5,0)</f>
        <v>#N/A</v>
      </c>
      <c r="T70" s="111" t="str">
        <f>VLOOKUP(A70,'Realised and SV'!$A$72:$F$96,6,0)</f>
        <v>#N/A</v>
      </c>
      <c r="U70" s="99"/>
      <c r="V70" s="99"/>
      <c r="W70" s="99"/>
      <c r="X70" s="99"/>
      <c r="Y70" s="99"/>
      <c r="Z70" s="99"/>
      <c r="AA70" s="99"/>
      <c r="AB70" s="99"/>
      <c r="AC70" s="99"/>
    </row>
    <row r="71">
      <c r="A71" s="112" t="s">
        <v>909</v>
      </c>
      <c r="B71" s="101" t="str">
        <f>VLOOKUP(A71,Main!$A:$B,2,0)</f>
        <v>MSS_A8_PS_2C</v>
      </c>
      <c r="C71" s="110">
        <v>200000.0</v>
      </c>
      <c r="D71" s="103">
        <f>iferror(VLOOKUP(A71,'Realised and SV'!$A$72:$F$96,5,0),0)</f>
        <v>-9421.75</v>
      </c>
      <c r="E71" s="103">
        <f>iferror(VLOOKUP(A71,'Realised and SV'!$A$72:$F$96,6,0),0)</f>
        <v>56000.75</v>
      </c>
      <c r="F71" s="104">
        <f t="shared" si="1"/>
        <v>186579</v>
      </c>
      <c r="G71" s="104">
        <f t="shared" si="2"/>
        <v>186579</v>
      </c>
      <c r="H71" s="105">
        <f t="shared" si="3"/>
        <v>0.232895</v>
      </c>
      <c r="I71" s="100" t="str">
        <f>VLOOKUP(A71,Main!A:J,6,0)</f>
        <v>ALPHA MATRIX</v>
      </c>
      <c r="J71" s="106">
        <f t="shared" si="4"/>
        <v>0.932895</v>
      </c>
      <c r="K71" s="107">
        <f t="shared" si="5"/>
        <v>0.932895</v>
      </c>
      <c r="L71" s="108">
        <f t="shared" si="6"/>
        <v>0.28000375</v>
      </c>
      <c r="M71" s="109" t="str">
        <f>VLOOKUP(A71,Main!$A$1:$I$837,9,0)</f>
        <v>VS33</v>
      </c>
      <c r="N71" s="109" t="s">
        <v>529</v>
      </c>
      <c r="O71" s="110">
        <v>8.0</v>
      </c>
      <c r="P71" s="110" t="b">
        <f>_xlfn.isformula(VLOOKUP(A71,Main!A:J,7,0))</f>
        <v>1</v>
      </c>
      <c r="Q71" s="98"/>
      <c r="R71" s="111"/>
      <c r="S71" s="113">
        <f>VLOOKUP(A71,'Realised and SV'!$A$72:$F$96,5,0)</f>
        <v>-9421.75</v>
      </c>
      <c r="T71" s="114">
        <f>VLOOKUP(A71,'Realised and SV'!$A$72:$F$96,6,0)</f>
        <v>56000.75</v>
      </c>
      <c r="U71" s="99"/>
      <c r="V71" s="99"/>
      <c r="W71" s="99"/>
      <c r="X71" s="99"/>
      <c r="Y71" s="99"/>
      <c r="Z71" s="99"/>
      <c r="AA71" s="99"/>
      <c r="AB71" s="99"/>
      <c r="AC71" s="99"/>
    </row>
    <row r="72">
      <c r="A72" s="126" t="s">
        <v>617</v>
      </c>
      <c r="B72" s="101" t="str">
        <f>VLOOKUP(A72,Main!$A:$B,2,0)</f>
        <v>CCV_A8_VM</v>
      </c>
      <c r="C72" s="110">
        <v>200000.0</v>
      </c>
      <c r="D72" s="103">
        <f>iferror(VLOOKUP(A72,'Realised and SV'!$A$72:$F$96,5,0),0)</f>
        <v>-9389.25</v>
      </c>
      <c r="E72" s="103">
        <f>iferror(VLOOKUP(A72,'Realised and SV'!$A$72:$F$96,6,0),0)</f>
        <v>56269.85</v>
      </c>
      <c r="F72" s="104">
        <f t="shared" si="1"/>
        <v>186880</v>
      </c>
      <c r="G72" s="104">
        <f t="shared" si="2"/>
        <v>186880</v>
      </c>
      <c r="H72" s="105">
        <f t="shared" si="3"/>
        <v>0.234403</v>
      </c>
      <c r="I72" s="100" t="str">
        <f>VLOOKUP(A72,Main!A:J,6,0)</f>
        <v>VMATHRAMCO</v>
      </c>
      <c r="J72" s="106">
        <f t="shared" si="4"/>
        <v>0.9344</v>
      </c>
      <c r="K72" s="107">
        <f t="shared" si="5"/>
        <v>0.9344</v>
      </c>
      <c r="L72" s="108">
        <f t="shared" si="6"/>
        <v>0.28134925</v>
      </c>
      <c r="M72" s="109" t="str">
        <f>VLOOKUP(A72,Main!$A$1:$I$837,9,0)</f>
        <v>VS33</v>
      </c>
      <c r="N72" s="109" t="s">
        <v>529</v>
      </c>
      <c r="O72" s="110">
        <v>8.0</v>
      </c>
      <c r="P72" s="110" t="b">
        <f>_xlfn.isformula(VLOOKUP(A72,Main!A:J,7,0))</f>
        <v>1</v>
      </c>
      <c r="Q72" s="98"/>
      <c r="R72" s="111"/>
      <c r="S72" s="113">
        <f>VLOOKUP(A72,'Realised and SV'!$A$72:$F$96,5,0)</f>
        <v>-9389.25</v>
      </c>
      <c r="T72" s="114">
        <f>VLOOKUP(A72,'Realised and SV'!$A$72:$F$96,6,0)</f>
        <v>56269.85</v>
      </c>
      <c r="U72" s="99"/>
      <c r="V72" s="99"/>
      <c r="W72" s="99"/>
      <c r="X72" s="99"/>
      <c r="Y72" s="99"/>
      <c r="Z72" s="99"/>
      <c r="AA72" s="99"/>
      <c r="AB72" s="99"/>
      <c r="AC72" s="99"/>
    </row>
    <row r="73">
      <c r="A73" s="112" t="s">
        <v>612</v>
      </c>
      <c r="B73" s="101" t="str">
        <f>VLOOKUP(A73,Main!$A:$B,2,0)</f>
        <v>MSR_MADHUP2</v>
      </c>
      <c r="C73" s="110">
        <v>100000.0</v>
      </c>
      <c r="D73" s="103">
        <f>iferror(VLOOKUP(A73,'Realised and SV'!$A$72:$F$96,5,0),0)</f>
        <v>0</v>
      </c>
      <c r="E73" s="103">
        <f>iferror(VLOOKUP(A73,'Realised and SV'!$A$72:$F$96,6,0),0)</f>
        <v>0</v>
      </c>
      <c r="F73" s="104">
        <f t="shared" si="1"/>
        <v>70000</v>
      </c>
      <c r="G73" s="104">
        <f t="shared" si="2"/>
        <v>70000</v>
      </c>
      <c r="H73" s="105">
        <f t="shared" si="3"/>
        <v>0</v>
      </c>
      <c r="I73" s="100" t="str">
        <f>VLOOKUP(A73,Main!A:J,6,0)</f>
        <v>IIFL_CDC</v>
      </c>
      <c r="J73" s="106">
        <f t="shared" si="4"/>
        <v>0.7</v>
      </c>
      <c r="K73" s="107">
        <f t="shared" si="5"/>
        <v>0.7</v>
      </c>
      <c r="L73" s="108">
        <f t="shared" si="6"/>
        <v>0</v>
      </c>
      <c r="M73" s="109" t="str">
        <f>VLOOKUP(A73,Main!$A$1:$I$837,9,0)</f>
        <v>VS33</v>
      </c>
      <c r="N73" s="109" t="s">
        <v>529</v>
      </c>
      <c r="O73" s="110">
        <v>8.0</v>
      </c>
      <c r="P73" s="110" t="b">
        <f>_xlfn.isformula(VLOOKUP(A73,Main!A:J,7,0))</f>
        <v>1</v>
      </c>
      <c r="Q73" s="98"/>
      <c r="R73" s="111"/>
      <c r="S73" s="111" t="str">
        <f>VLOOKUP(A73,'Realised and SV'!$A$72:$F$96,5,0)</f>
        <v>#N/A</v>
      </c>
      <c r="T73" s="111" t="str">
        <f>VLOOKUP(A73,'Realised and SV'!$A$72:$F$96,6,0)</f>
        <v>#N/A</v>
      </c>
      <c r="U73" s="99"/>
      <c r="V73" s="99"/>
      <c r="W73" s="99"/>
      <c r="X73" s="99"/>
      <c r="Y73" s="99"/>
      <c r="Z73" s="99"/>
      <c r="AA73" s="99"/>
      <c r="AB73" s="99"/>
      <c r="AC73" s="99"/>
    </row>
    <row r="74">
      <c r="A74" s="126" t="s">
        <v>605</v>
      </c>
      <c r="B74" s="101" t="str">
        <f>VLOOKUP(A74,Main!$A:$B,2,0)</f>
        <v>MSR_LODHA1_2C</v>
      </c>
      <c r="C74" s="102">
        <v>200000.0</v>
      </c>
      <c r="D74" s="103">
        <f>iferror(VLOOKUP(A74,'Realised and SV'!$A$72:$F$96,5,0),0)</f>
        <v>0</v>
      </c>
      <c r="E74" s="103">
        <f>iferror(VLOOKUP(A74,'Realised and SV'!$A$72:$F$96,6,0),0)</f>
        <v>26846.3</v>
      </c>
      <c r="F74" s="104">
        <f t="shared" si="1"/>
        <v>166846</v>
      </c>
      <c r="G74" s="104">
        <f t="shared" si="2"/>
        <v>166846</v>
      </c>
      <c r="H74" s="105">
        <f t="shared" si="3"/>
        <v>0.1342315</v>
      </c>
      <c r="I74" s="100" t="str">
        <f>VLOOKUP(A74,Main!A:J,6,0)</f>
        <v>IIFL_CDC</v>
      </c>
      <c r="J74" s="106">
        <f t="shared" si="4"/>
        <v>0.83423</v>
      </c>
      <c r="K74" s="107">
        <f t="shared" si="5"/>
        <v>0.83423</v>
      </c>
      <c r="L74" s="108">
        <f t="shared" si="6"/>
        <v>0.1342315</v>
      </c>
      <c r="M74" s="109" t="str">
        <f>VLOOKUP(A74,Main!$A$1:$I$837,9,0)</f>
        <v>VS33</v>
      </c>
      <c r="N74" s="109" t="s">
        <v>529</v>
      </c>
      <c r="O74" s="110">
        <v>8.0</v>
      </c>
      <c r="P74" s="110" t="b">
        <f>_xlfn.isformula(VLOOKUP(A74,Main!A:J,7,0))</f>
        <v>1</v>
      </c>
      <c r="Q74" s="98"/>
      <c r="R74" s="111"/>
      <c r="S74" s="113">
        <f>VLOOKUP(A74,'Realised and SV'!$A$72:$F$96,5,0)</f>
        <v>0</v>
      </c>
      <c r="T74" s="114">
        <f>VLOOKUP(A74,'Realised and SV'!$A$72:$F$96,6,0)</f>
        <v>26846.3</v>
      </c>
      <c r="U74" s="99"/>
      <c r="V74" s="99"/>
      <c r="W74" s="99"/>
      <c r="X74" s="99"/>
      <c r="Y74" s="99"/>
      <c r="Z74" s="99"/>
      <c r="AA74" s="99"/>
      <c r="AB74" s="99"/>
      <c r="AC74" s="99"/>
    </row>
    <row r="75">
      <c r="A75" s="112" t="s">
        <v>607</v>
      </c>
      <c r="B75" s="101" t="str">
        <f>VLOOKUP(A75,Main!$A:$B,2,0)</f>
        <v>MSR_RYADAV4_2C</v>
      </c>
      <c r="C75" s="102">
        <v>200000.0</v>
      </c>
      <c r="D75" s="103">
        <f>iferror(VLOOKUP(A75,'Realised and SV'!$A$72:$F$96,5,0),0)</f>
        <v>0</v>
      </c>
      <c r="E75" s="103">
        <f>iferror(VLOOKUP(A75,'Realised and SV'!$A$72:$F$96,6,0),0)</f>
        <v>26848.25</v>
      </c>
      <c r="F75" s="104">
        <f t="shared" si="1"/>
        <v>166848</v>
      </c>
      <c r="G75" s="104">
        <f t="shared" si="2"/>
        <v>166848</v>
      </c>
      <c r="H75" s="105">
        <f t="shared" si="3"/>
        <v>0.13424125</v>
      </c>
      <c r="I75" s="100" t="str">
        <f>VLOOKUP(A75,Main!A:J,6,0)</f>
        <v>IIFL_CDC</v>
      </c>
      <c r="J75" s="106">
        <f t="shared" si="4"/>
        <v>0.83424</v>
      </c>
      <c r="K75" s="107">
        <f t="shared" si="5"/>
        <v>0.83424</v>
      </c>
      <c r="L75" s="108">
        <f t="shared" si="6"/>
        <v>0.13424125</v>
      </c>
      <c r="M75" s="109" t="str">
        <f>VLOOKUP(A75,Main!$A$1:$I$837,9,0)</f>
        <v>VS33</v>
      </c>
      <c r="N75" s="109" t="s">
        <v>529</v>
      </c>
      <c r="O75" s="110">
        <v>8.0</v>
      </c>
      <c r="P75" s="110" t="b">
        <f>_xlfn.isformula(VLOOKUP(A75,Main!A:J,7,0))</f>
        <v>1</v>
      </c>
      <c r="Q75" s="98"/>
      <c r="R75" s="98">
        <v>800000.0</v>
      </c>
      <c r="S75" s="113">
        <f>VLOOKUP(A75,'Realised and SV'!$A$72:$F$96,5,0)</f>
        <v>0</v>
      </c>
      <c r="T75" s="114">
        <f>VLOOKUP(A75,'Realised and SV'!$A$72:$F$96,6,0)</f>
        <v>26848.25</v>
      </c>
      <c r="U75" s="99"/>
      <c r="V75" s="99"/>
      <c r="W75" s="99"/>
      <c r="X75" s="99"/>
      <c r="Y75" s="99"/>
      <c r="Z75" s="99"/>
      <c r="AA75" s="99"/>
      <c r="AB75" s="99"/>
      <c r="AC75" s="99"/>
    </row>
    <row r="76">
      <c r="A76" s="112" t="s">
        <v>597</v>
      </c>
      <c r="B76" s="101" t="str">
        <f>VLOOKUP(A76,Main!$A:$B,2,0)</f>
        <v>MSP_AMITP5_3C</v>
      </c>
      <c r="C76" s="110">
        <v>100000.0</v>
      </c>
      <c r="D76" s="103">
        <f>iferror(VLOOKUP(A76,'Realised and SV'!$A$72:$F$96,5,0),0)</f>
        <v>0</v>
      </c>
      <c r="E76" s="103">
        <f>iferror(VLOOKUP(A76,'Realised and SV'!$A$72:$F$96,6,0),0)</f>
        <v>0</v>
      </c>
      <c r="F76" s="104">
        <f t="shared" si="1"/>
        <v>70000</v>
      </c>
      <c r="G76" s="104">
        <f t="shared" si="2"/>
        <v>70000</v>
      </c>
      <c r="H76" s="105">
        <f t="shared" si="3"/>
        <v>0</v>
      </c>
      <c r="I76" s="100" t="str">
        <f>VLOOKUP(A76,Main!A:J,6,0)</f>
        <v>IIFL_CDC</v>
      </c>
      <c r="J76" s="106">
        <f t="shared" si="4"/>
        <v>0.7</v>
      </c>
      <c r="K76" s="107">
        <f t="shared" si="5"/>
        <v>0.7</v>
      </c>
      <c r="L76" s="108">
        <f t="shared" si="6"/>
        <v>0</v>
      </c>
      <c r="M76" s="109" t="str">
        <f>VLOOKUP(A76,Main!$A$1:$I$837,9,0)</f>
        <v>VS33</v>
      </c>
      <c r="N76" s="109" t="s">
        <v>529</v>
      </c>
      <c r="O76" s="110">
        <v>8.0</v>
      </c>
      <c r="P76" s="110" t="b">
        <f>_xlfn.isformula(VLOOKUP(A76,Main!A:J,7,0))</f>
        <v>1</v>
      </c>
      <c r="Q76" s="98"/>
      <c r="R76" s="111"/>
      <c r="S76" s="111" t="str">
        <f>VLOOKUP(A76,'Realised and SV'!$A$72:$F$96,5,0)</f>
        <v>#N/A</v>
      </c>
      <c r="T76" s="111" t="str">
        <f>VLOOKUP(A76,'Realised and SV'!$A$72:$F$96,6,0)</f>
        <v>#N/A</v>
      </c>
      <c r="U76" s="99"/>
      <c r="V76" s="99"/>
      <c r="W76" s="99"/>
      <c r="X76" s="99"/>
      <c r="Y76" s="99"/>
      <c r="Z76" s="99"/>
      <c r="AA76" s="99"/>
      <c r="AB76" s="99"/>
      <c r="AC76" s="99"/>
    </row>
    <row r="77">
      <c r="A77" s="100" t="s">
        <v>599</v>
      </c>
      <c r="B77" s="101" t="str">
        <f>VLOOKUP(A77,Main!$A:$B,2,0)</f>
        <v>MSR_AJIT3_2C</v>
      </c>
      <c r="C77" s="154">
        <v>200000.0</v>
      </c>
      <c r="D77" s="103">
        <f>iferror(VLOOKUP(A77,'Realised and SV'!$A$72:$F$96,5,0),0)</f>
        <v>0</v>
      </c>
      <c r="E77" s="103">
        <f>iferror(VLOOKUP(A77,'Realised and SV'!$A$72:$F$96,6,0),0)</f>
        <v>26796.25</v>
      </c>
      <c r="F77" s="104">
        <f t="shared" si="1"/>
        <v>166796</v>
      </c>
      <c r="G77" s="104">
        <f t="shared" si="2"/>
        <v>166796</v>
      </c>
      <c r="H77" s="105">
        <f t="shared" si="3"/>
        <v>0.13398125</v>
      </c>
      <c r="I77" s="100" t="str">
        <f>VLOOKUP(A77,Main!A:J,6,0)</f>
        <v>IIFL_CDC</v>
      </c>
      <c r="J77" s="106">
        <f t="shared" si="4"/>
        <v>0.83398</v>
      </c>
      <c r="K77" s="107">
        <f t="shared" si="5"/>
        <v>0.83398</v>
      </c>
      <c r="L77" s="108">
        <f t="shared" si="6"/>
        <v>0.13398125</v>
      </c>
      <c r="M77" s="109" t="str">
        <f>VLOOKUP(A77,Main!$A$1:$I$837,9,0)</f>
        <v>VS33</v>
      </c>
      <c r="N77" s="109" t="s">
        <v>529</v>
      </c>
      <c r="O77" s="110">
        <v>8.0</v>
      </c>
      <c r="P77" s="110" t="b">
        <f>_xlfn.isformula(VLOOKUP(A77,Main!A:J,7,0))</f>
        <v>1</v>
      </c>
      <c r="Q77" s="98"/>
      <c r="R77" s="98">
        <v>600000.0</v>
      </c>
      <c r="S77" s="113">
        <f>VLOOKUP(A77,'Realised and SV'!$A$72:$F$96,5,0)</f>
        <v>0</v>
      </c>
      <c r="T77" s="114">
        <f>VLOOKUP(A77,'Realised and SV'!$A$72:$F$96,6,0)</f>
        <v>26796.25</v>
      </c>
      <c r="U77" s="99"/>
      <c r="V77" s="99"/>
      <c r="W77" s="99"/>
      <c r="X77" s="99"/>
      <c r="Y77" s="99"/>
      <c r="Z77" s="99"/>
      <c r="AA77" s="99"/>
      <c r="AB77" s="99"/>
      <c r="AC77" s="99"/>
    </row>
    <row r="78">
      <c r="A78" s="100" t="s">
        <v>598</v>
      </c>
      <c r="B78" s="101" t="str">
        <f>VLOOKUP(A78,Main!$A:$B,2,0)</f>
        <v>MSP_AMITP6_3C</v>
      </c>
      <c r="C78" s="110">
        <v>100000.0</v>
      </c>
      <c r="D78" s="103">
        <f>iferror(VLOOKUP(A78,'Realised and SV'!$A$72:$F$96,5,0),0)</f>
        <v>0</v>
      </c>
      <c r="E78" s="103">
        <f>iferror(VLOOKUP(A78,'Realised and SV'!$A$72:$F$96,6,0),0)</f>
        <v>0</v>
      </c>
      <c r="F78" s="104">
        <f t="shared" si="1"/>
        <v>70000</v>
      </c>
      <c r="G78" s="104">
        <f t="shared" si="2"/>
        <v>70000</v>
      </c>
      <c r="H78" s="105">
        <f t="shared" si="3"/>
        <v>0</v>
      </c>
      <c r="I78" s="100" t="str">
        <f>VLOOKUP(A78,Main!A:J,6,0)</f>
        <v>IIFL_CDC</v>
      </c>
      <c r="J78" s="106">
        <f t="shared" si="4"/>
        <v>0.7</v>
      </c>
      <c r="K78" s="107">
        <f t="shared" si="5"/>
        <v>0.7</v>
      </c>
      <c r="L78" s="108">
        <f t="shared" si="6"/>
        <v>0</v>
      </c>
      <c r="M78" s="109" t="str">
        <f>VLOOKUP(A78,Main!$A$1:$I$837,9,0)</f>
        <v>VS33</v>
      </c>
      <c r="N78" s="109" t="s">
        <v>529</v>
      </c>
      <c r="O78" s="110">
        <v>8.0</v>
      </c>
      <c r="P78" s="110" t="b">
        <f>_xlfn.isformula(VLOOKUP(A78,Main!A:J,7,0))</f>
        <v>1</v>
      </c>
      <c r="Q78" s="98"/>
      <c r="R78" s="111"/>
      <c r="S78" s="111" t="str">
        <f>VLOOKUP(A78,'Realised and SV'!$A$72:$F$96,5,0)</f>
        <v>#N/A</v>
      </c>
      <c r="T78" s="111" t="str">
        <f>VLOOKUP(A78,'Realised and SV'!$A$72:$F$96,6,0)</f>
        <v>#N/A</v>
      </c>
      <c r="U78" s="99"/>
      <c r="V78" s="99"/>
      <c r="W78" s="99"/>
      <c r="X78" s="99"/>
      <c r="Y78" s="99"/>
      <c r="Z78" s="99"/>
      <c r="AA78" s="99"/>
      <c r="AB78" s="99"/>
      <c r="AC78" s="99"/>
    </row>
    <row r="79">
      <c r="A79" s="112" t="s">
        <v>606</v>
      </c>
      <c r="B79" s="101" t="str">
        <f>VLOOKUP(A79,Main!$A:$B,2,0)</f>
        <v>MSR_RDANGAYACH3_2C</v>
      </c>
      <c r="C79" s="98">
        <v>200000.0</v>
      </c>
      <c r="D79" s="103">
        <f>iferror(VLOOKUP(A79,'Realised and SV'!$A$72:$F$96,5,0),0)</f>
        <v>-8437</v>
      </c>
      <c r="E79" s="103">
        <f>iferror(VLOOKUP(A79,'Realised and SV'!$A$72:$F$96,6,0),0)</f>
        <v>56275.05</v>
      </c>
      <c r="F79" s="104">
        <f t="shared" si="1"/>
        <v>187838</v>
      </c>
      <c r="G79" s="104">
        <f t="shared" si="2"/>
        <v>187838</v>
      </c>
      <c r="H79" s="105">
        <f t="shared" si="3"/>
        <v>0.23919025</v>
      </c>
      <c r="I79" s="100" t="str">
        <f>VLOOKUP(A79,Main!A:J,6,0)</f>
        <v>IIFL_CDC</v>
      </c>
      <c r="J79" s="106">
        <f t="shared" si="4"/>
        <v>0.93919</v>
      </c>
      <c r="K79" s="107">
        <f t="shared" si="5"/>
        <v>0.93919</v>
      </c>
      <c r="L79" s="108">
        <f t="shared" si="6"/>
        <v>0.28137525</v>
      </c>
      <c r="M79" s="109" t="str">
        <f>VLOOKUP(A79,Main!$A$1:$I$837,9,0)</f>
        <v>VS33</v>
      </c>
      <c r="N79" s="109" t="s">
        <v>529</v>
      </c>
      <c r="O79" s="110">
        <v>8.0</v>
      </c>
      <c r="P79" s="110" t="b">
        <f>_xlfn.isformula(VLOOKUP(A79,Main!A:J,7,0))</f>
        <v>1</v>
      </c>
      <c r="Q79" s="111"/>
      <c r="R79" s="98">
        <v>800000.0</v>
      </c>
      <c r="S79" s="113">
        <f>VLOOKUP(A79,'Realised and SV'!$A$72:$F$96,5,0)</f>
        <v>-8437</v>
      </c>
      <c r="T79" s="114">
        <f>VLOOKUP(A79,'Realised and SV'!$A$72:$F$96,6,0)</f>
        <v>56275.05</v>
      </c>
      <c r="U79" s="99"/>
      <c r="V79" s="99"/>
      <c r="W79" s="99"/>
      <c r="X79" s="99"/>
      <c r="Y79" s="99"/>
      <c r="Z79" s="99"/>
      <c r="AA79" s="99"/>
      <c r="AB79" s="99"/>
      <c r="AC79" s="99"/>
    </row>
    <row r="80">
      <c r="A80" s="112" t="s">
        <v>615</v>
      </c>
      <c r="B80" s="101" t="str">
        <f>VLOOKUP(A80,Main!$A:$B,2,0)</f>
        <v>MSR_AGNANI3</v>
      </c>
      <c r="C80" s="110">
        <v>100000.0</v>
      </c>
      <c r="D80" s="103">
        <f>iferror(VLOOKUP(A80,'Realised and SV'!$A$72:$F$96,5,0),0)</f>
        <v>0</v>
      </c>
      <c r="E80" s="103">
        <f>iferror(VLOOKUP(A80,'Realised and SV'!$A$72:$F$96,6,0),0)</f>
        <v>0</v>
      </c>
      <c r="F80" s="104">
        <f t="shared" si="1"/>
        <v>70000</v>
      </c>
      <c r="G80" s="104">
        <f t="shared" si="2"/>
        <v>70000</v>
      </c>
      <c r="H80" s="105">
        <f t="shared" si="3"/>
        <v>0</v>
      </c>
      <c r="I80" s="100" t="str">
        <f>VLOOKUP(A80,Main!A:J,6,0)</f>
        <v>IIFL_CDC</v>
      </c>
      <c r="J80" s="106">
        <f t="shared" si="4"/>
        <v>0.7</v>
      </c>
      <c r="K80" s="107">
        <f t="shared" si="5"/>
        <v>0.7</v>
      </c>
      <c r="L80" s="108">
        <f t="shared" si="6"/>
        <v>0</v>
      </c>
      <c r="M80" s="109" t="str">
        <f>VLOOKUP(A80,Main!$A$1:$I$837,9,0)</f>
        <v>VS33</v>
      </c>
      <c r="N80" s="109" t="s">
        <v>529</v>
      </c>
      <c r="O80" s="110">
        <v>8.0</v>
      </c>
      <c r="P80" s="110" t="b">
        <f>_xlfn.isformula(VLOOKUP(A80,Main!A:J,7,0))</f>
        <v>1</v>
      </c>
      <c r="Q80" s="111"/>
      <c r="R80" s="111"/>
      <c r="S80" s="111" t="str">
        <f>VLOOKUP(A80,'Realised and SV'!$A$72:$F$96,5,0)</f>
        <v>#N/A</v>
      </c>
      <c r="T80" s="111" t="str">
        <f>VLOOKUP(A80,'Realised and SV'!$A$72:$F$96,6,0)</f>
        <v>#N/A</v>
      </c>
      <c r="U80" s="99"/>
      <c r="V80" s="99"/>
      <c r="W80" s="99"/>
      <c r="X80" s="99"/>
      <c r="Y80" s="99"/>
      <c r="Z80" s="99"/>
      <c r="AA80" s="99"/>
      <c r="AB80" s="99"/>
      <c r="AC80" s="99"/>
    </row>
    <row r="81">
      <c r="A81" s="155" t="s">
        <v>697</v>
      </c>
      <c r="B81" s="101" t="str">
        <f>VLOOKUP(A81,Main!$A:$B,2,0)</f>
        <v>MSR_VGOEL3</v>
      </c>
      <c r="C81" s="110">
        <v>100000.0</v>
      </c>
      <c r="D81" s="103">
        <f>iferror(VLOOKUP(A81,'Realised and SV'!$A$72:$F$96,5,0),0)</f>
        <v>0</v>
      </c>
      <c r="E81" s="103">
        <f>iferror(VLOOKUP(A81,'Realised and SV'!$A$72:$F$96,6,0),0)</f>
        <v>0</v>
      </c>
      <c r="F81" s="104">
        <f t="shared" si="1"/>
        <v>70000</v>
      </c>
      <c r="G81" s="104">
        <f t="shared" si="2"/>
        <v>70000</v>
      </c>
      <c r="H81" s="105">
        <f t="shared" si="3"/>
        <v>0</v>
      </c>
      <c r="I81" s="100" t="str">
        <f>VLOOKUP(A81,Main!A:J,6,0)</f>
        <v>IIFL_CDC</v>
      </c>
      <c r="J81" s="106">
        <f t="shared" si="4"/>
        <v>0.7</v>
      </c>
      <c r="K81" s="107">
        <f t="shared" si="5"/>
        <v>0.7</v>
      </c>
      <c r="L81" s="108">
        <f t="shared" si="6"/>
        <v>0</v>
      </c>
      <c r="M81" s="109" t="str">
        <f>VLOOKUP(A81,Main!$A$1:$I$837,9,0)</f>
        <v>VS33</v>
      </c>
      <c r="N81" s="109" t="s">
        <v>529</v>
      </c>
      <c r="O81" s="110">
        <v>8.0</v>
      </c>
      <c r="P81" s="110" t="b">
        <f>_xlfn.isformula(VLOOKUP(A81,Main!A:J,7,0))</f>
        <v>1</v>
      </c>
      <c r="Q81" s="111"/>
      <c r="R81" s="111"/>
      <c r="S81" s="111" t="str">
        <f>VLOOKUP(A81,'Realised and SV'!$A$72:$F$96,5,0)</f>
        <v>#N/A</v>
      </c>
      <c r="T81" s="111" t="str">
        <f>VLOOKUP(A81,'Realised and SV'!$A$72:$F$96,6,0)</f>
        <v>#N/A</v>
      </c>
      <c r="U81" s="99"/>
      <c r="V81" s="99"/>
      <c r="W81" s="99"/>
      <c r="X81" s="99"/>
      <c r="Y81" s="99"/>
      <c r="Z81" s="99"/>
      <c r="AA81" s="99"/>
      <c r="AB81" s="99"/>
      <c r="AC81" s="99"/>
    </row>
    <row r="82">
      <c r="A82" s="126" t="s">
        <v>957</v>
      </c>
      <c r="B82" s="101" t="str">
        <f>VLOOKUP(A82,Main!$A:$B,2,0)</f>
        <v>MSS_BHUTRA_AR_FIX_3C</v>
      </c>
      <c r="C82" s="110">
        <v>100000.0</v>
      </c>
      <c r="D82" s="103">
        <f>iferror(VLOOKUP(A82,'Realised and SV'!$A$72:$F$96,5,0),0)</f>
        <v>0</v>
      </c>
      <c r="E82" s="103">
        <f>iferror(VLOOKUP(A82,'Realised and SV'!$A$72:$F$96,6,0),0)</f>
        <v>0</v>
      </c>
      <c r="F82" s="104">
        <f t="shared" si="1"/>
        <v>70000</v>
      </c>
      <c r="G82" s="104">
        <f t="shared" si="2"/>
        <v>70000</v>
      </c>
      <c r="H82" s="105">
        <f t="shared" si="3"/>
        <v>0</v>
      </c>
      <c r="I82" s="100" t="str">
        <f>VLOOKUP(A82,Main!A:J,6,0)</f>
        <v>ANANDRATHI</v>
      </c>
      <c r="J82" s="106">
        <f t="shared" si="4"/>
        <v>0.7</v>
      </c>
      <c r="K82" s="107">
        <f t="shared" si="5"/>
        <v>0.7</v>
      </c>
      <c r="L82" s="108">
        <f t="shared" si="6"/>
        <v>0</v>
      </c>
      <c r="M82" s="109" t="str">
        <f>VLOOKUP(A82,Main!$A$1:$I$837,9,0)</f>
        <v>VS33</v>
      </c>
      <c r="N82" s="109" t="s">
        <v>529</v>
      </c>
      <c r="O82" s="110">
        <v>8.0</v>
      </c>
      <c r="P82" s="110" t="b">
        <f>_xlfn.isformula(VLOOKUP(A82,Main!A:J,7,0))</f>
        <v>1</v>
      </c>
      <c r="Q82" s="111"/>
      <c r="R82" s="111"/>
      <c r="S82" s="111" t="str">
        <f>VLOOKUP(A82,'Realised and SV'!$A$72:$F$96,5,0)</f>
        <v>#N/A</v>
      </c>
      <c r="T82" s="111" t="str">
        <f>VLOOKUP(A82,'Realised and SV'!$A$72:$F$96,6,0)</f>
        <v>#N/A</v>
      </c>
      <c r="U82" s="99"/>
      <c r="V82" s="99"/>
      <c r="W82" s="99"/>
      <c r="X82" s="99"/>
      <c r="Y82" s="99"/>
      <c r="Z82" s="99"/>
      <c r="AA82" s="99"/>
      <c r="AB82" s="99"/>
      <c r="AC82" s="99"/>
    </row>
    <row r="83">
      <c r="A83" s="155" t="s">
        <v>960</v>
      </c>
      <c r="B83" s="101" t="str">
        <f>VLOOKUP(A83,Main!$A:$B,2,0)</f>
        <v>MSS_MAHALXMI_AR</v>
      </c>
      <c r="C83" s="110">
        <v>200000.0</v>
      </c>
      <c r="D83" s="103">
        <f>iferror(VLOOKUP(A83,'Realised and SV'!$A$72:$F$96,5,0),0)</f>
        <v>0</v>
      </c>
      <c r="E83" s="103">
        <f>iferror(VLOOKUP(A83,'Realised and SV'!$A$72:$F$96,6,0),0)</f>
        <v>0</v>
      </c>
      <c r="F83" s="104">
        <f t="shared" si="1"/>
        <v>140000</v>
      </c>
      <c r="G83" s="104">
        <f t="shared" si="2"/>
        <v>140000</v>
      </c>
      <c r="H83" s="105">
        <f t="shared" si="3"/>
        <v>0</v>
      </c>
      <c r="I83" s="100" t="str">
        <f>VLOOKUP(A83,Main!A:J,6,0)</f>
        <v>AnandRathi</v>
      </c>
      <c r="J83" s="106">
        <f t="shared" si="4"/>
        <v>0.7</v>
      </c>
      <c r="K83" s="107">
        <f t="shared" si="5"/>
        <v>0.7</v>
      </c>
      <c r="L83" s="108">
        <f t="shared" si="6"/>
        <v>0</v>
      </c>
      <c r="M83" s="109" t="str">
        <f>VLOOKUP(A83,Main!$A$1:$I$837,9,0)</f>
        <v>NOT RUNNING</v>
      </c>
      <c r="N83" s="109" t="s">
        <v>529</v>
      </c>
      <c r="O83" s="110">
        <v>8.0</v>
      </c>
      <c r="P83" s="110" t="b">
        <f>_xlfn.isformula(VLOOKUP(A83,Main!A:J,7,0))</f>
        <v>1</v>
      </c>
      <c r="Q83" s="111"/>
      <c r="R83" s="111"/>
      <c r="S83" s="111" t="str">
        <f>VLOOKUP(A83,'Realised and SV'!$A$72:$F$96,5,0)</f>
        <v>#N/A</v>
      </c>
      <c r="T83" s="111" t="str">
        <f>VLOOKUP(A83,'Realised and SV'!$A$72:$F$96,6,0)</f>
        <v>#N/A</v>
      </c>
      <c r="U83" s="99"/>
      <c r="V83" s="99"/>
      <c r="W83" s="99"/>
      <c r="X83" s="99"/>
      <c r="Y83" s="99"/>
      <c r="Z83" s="99"/>
      <c r="AA83" s="99"/>
      <c r="AB83" s="99"/>
      <c r="AC83" s="99"/>
    </row>
    <row r="84">
      <c r="A84" s="126" t="s">
        <v>945</v>
      </c>
      <c r="B84" s="101" t="str">
        <f>VLOOKUP(A84,Main!$A:$B,2,0)</f>
        <v>MSR_A8_EXCEL_DATACENTRE</v>
      </c>
      <c r="C84" s="98">
        <v>200000.0</v>
      </c>
      <c r="D84" s="103">
        <f>iferror(VLOOKUP(A84,'Realised and SV'!$A$72:$F$96,5,0),0)</f>
        <v>0</v>
      </c>
      <c r="E84" s="103">
        <f>iferror(VLOOKUP(A84,'Realised and SV'!$A$72:$F$96,6,0),0)</f>
        <v>26863.2</v>
      </c>
      <c r="F84" s="104">
        <f t="shared" si="1"/>
        <v>166863</v>
      </c>
      <c r="G84" s="104">
        <f t="shared" si="2"/>
        <v>166863</v>
      </c>
      <c r="H84" s="105">
        <f t="shared" si="3"/>
        <v>0.134316</v>
      </c>
      <c r="I84" s="100" t="str">
        <f>VLOOKUP(A84,Main!A:J,6,0)</f>
        <v>EXCELXTSPRO</v>
      </c>
      <c r="J84" s="106">
        <f t="shared" si="4"/>
        <v>0.834315</v>
      </c>
      <c r="K84" s="107">
        <f t="shared" si="5"/>
        <v>0.834315</v>
      </c>
      <c r="L84" s="108">
        <f t="shared" si="6"/>
        <v>0.134316</v>
      </c>
      <c r="M84" s="109" t="str">
        <f>VLOOKUP(A84,Main!$A$1:$I$837,9,0)</f>
        <v>VS33</v>
      </c>
      <c r="N84" s="109" t="s">
        <v>529</v>
      </c>
      <c r="O84" s="110">
        <v>8.0</v>
      </c>
      <c r="P84" s="110" t="b">
        <f>_xlfn.isformula(VLOOKUP(A84,Main!A:J,7,0))</f>
        <v>1</v>
      </c>
      <c r="Q84" s="111"/>
      <c r="R84" s="111"/>
      <c r="S84" s="113">
        <f>VLOOKUP(A84,'Realised and SV'!$A$72:$F$96,5,0)</f>
        <v>0</v>
      </c>
      <c r="T84" s="114">
        <f>VLOOKUP(A84,'Realised and SV'!$A$72:$F$96,6,0)</f>
        <v>26863.2</v>
      </c>
      <c r="U84" s="99"/>
      <c r="V84" s="99"/>
      <c r="W84" s="99"/>
      <c r="X84" s="99"/>
      <c r="Y84" s="99"/>
      <c r="Z84" s="99"/>
      <c r="AA84" s="99"/>
      <c r="AB84" s="99"/>
      <c r="AC84" s="99"/>
    </row>
    <row r="85">
      <c r="A85" s="126" t="s">
        <v>966</v>
      </c>
      <c r="B85" s="101" t="str">
        <f>VLOOKUP(A85,Main!$A:$B,2,0)</f>
        <v>MSS_ULIKE</v>
      </c>
      <c r="C85" s="98">
        <v>100000.0</v>
      </c>
      <c r="D85" s="103">
        <f>iferror(VLOOKUP(A85,'Realised and SV'!$A$72:$F$96,5,0),0)</f>
        <v>0</v>
      </c>
      <c r="E85" s="103">
        <f>iferror(VLOOKUP(A85,'Realised and SV'!$A$72:$F$96,6,0),0)</f>
        <v>0</v>
      </c>
      <c r="F85" s="104">
        <f t="shared" si="1"/>
        <v>70000</v>
      </c>
      <c r="G85" s="104">
        <f t="shared" si="2"/>
        <v>70000</v>
      </c>
      <c r="H85" s="105">
        <f t="shared" si="3"/>
        <v>0</v>
      </c>
      <c r="I85" s="100" t="s">
        <v>886</v>
      </c>
      <c r="J85" s="106">
        <f t="shared" si="4"/>
        <v>0.7</v>
      </c>
      <c r="K85" s="107">
        <f t="shared" si="5"/>
        <v>0.7</v>
      </c>
      <c r="L85" s="108">
        <f t="shared" si="6"/>
        <v>0</v>
      </c>
      <c r="M85" s="109" t="str">
        <f>VLOOKUP(A85,Main!$A$1:$I$837,9,0)</f>
        <v>VS33</v>
      </c>
      <c r="N85" s="109" t="s">
        <v>529</v>
      </c>
      <c r="O85" s="110">
        <v>8.0</v>
      </c>
      <c r="P85" s="110" t="b">
        <f>_xlfn.isformula(VLOOKUP(A85,Main!A:J,7,0))</f>
        <v>1</v>
      </c>
      <c r="Q85" s="98"/>
      <c r="R85" s="111"/>
      <c r="S85" s="111" t="str">
        <f>VLOOKUP(A85,'Realised and SV'!$A$72:$F$96,5,0)</f>
        <v>#N/A</v>
      </c>
      <c r="T85" s="111" t="str">
        <f>VLOOKUP(A85,'Realised and SV'!$A$72:$F$96,6,0)</f>
        <v>#N/A</v>
      </c>
      <c r="U85" s="99"/>
      <c r="V85" s="99"/>
      <c r="W85" s="99"/>
      <c r="X85" s="99"/>
      <c r="Y85" s="99"/>
      <c r="Z85" s="99"/>
      <c r="AA85" s="99"/>
      <c r="AB85" s="99"/>
      <c r="AC85" s="99"/>
    </row>
    <row r="86">
      <c r="A86" s="155" t="s">
        <v>354</v>
      </c>
      <c r="B86" s="155" t="s">
        <v>968</v>
      </c>
      <c r="C86" s="102">
        <v>100000.0</v>
      </c>
      <c r="D86" s="103">
        <f>iferror(VLOOKUP(A86,'Realised and SV'!$A$72:$F$96,5,0),0)</f>
        <v>0</v>
      </c>
      <c r="E86" s="103">
        <f>iferror(VLOOKUP(A86,'Realised and SV'!$A$72:$F$96,6,0),0)</f>
        <v>0</v>
      </c>
      <c r="F86" s="104">
        <f t="shared" si="1"/>
        <v>70000</v>
      </c>
      <c r="G86" s="104">
        <f t="shared" si="2"/>
        <v>70000</v>
      </c>
      <c r="H86" s="105">
        <f t="shared" si="3"/>
        <v>0</v>
      </c>
      <c r="I86" s="100" t="str">
        <f>VLOOKUP(A86,Main!A:J,6,0)</f>
        <v>MasterTrust_Noren</v>
      </c>
      <c r="J86" s="106">
        <f t="shared" si="4"/>
        <v>0.7</v>
      </c>
      <c r="K86" s="107">
        <f t="shared" si="5"/>
        <v>0.7</v>
      </c>
      <c r="L86" s="108">
        <f t="shared" si="6"/>
        <v>0</v>
      </c>
      <c r="M86" s="109" t="str">
        <f>VLOOKUP(A86,Main!$A$1:$I$837,9,0)</f>
        <v>VS1</v>
      </c>
      <c r="N86" s="109" t="s">
        <v>529</v>
      </c>
      <c r="O86" s="110">
        <v>8.0</v>
      </c>
      <c r="P86" s="111"/>
      <c r="Q86" s="98"/>
      <c r="R86" s="111"/>
      <c r="S86" s="111" t="str">
        <f>VLOOKUP(A86,'Realised and SV'!$A$72:$F$96,5,0)</f>
        <v>#N/A</v>
      </c>
      <c r="T86" s="111" t="str">
        <f>VLOOKUP(A86,'Realised and SV'!$A$72:$F$96,6,0)</f>
        <v>#N/A</v>
      </c>
      <c r="U86" s="99"/>
      <c r="V86" s="99"/>
      <c r="W86" s="99"/>
      <c r="X86" s="99"/>
      <c r="Y86" s="99"/>
      <c r="Z86" s="99"/>
      <c r="AA86" s="99"/>
      <c r="AB86" s="99"/>
      <c r="AC86" s="99"/>
    </row>
    <row r="87">
      <c r="A87" s="157"/>
      <c r="B87" s="99"/>
      <c r="C87" s="99"/>
      <c r="D87" s="99"/>
      <c r="E87" s="159"/>
      <c r="F87" s="160"/>
      <c r="G87" s="159"/>
      <c r="H87" s="159"/>
      <c r="I87" s="159"/>
      <c r="J87" s="161"/>
      <c r="K87" s="159"/>
      <c r="L87" s="159"/>
      <c r="M87" s="159"/>
      <c r="N87" s="162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  <c r="AA87" s="99"/>
      <c r="AB87" s="99"/>
      <c r="AC87" s="99"/>
    </row>
    <row r="88">
      <c r="A88" s="157"/>
      <c r="B88" s="99"/>
      <c r="C88" s="99"/>
      <c r="D88" s="99"/>
      <c r="E88" s="159"/>
      <c r="F88" s="160"/>
      <c r="G88" s="159"/>
      <c r="H88" s="159"/>
      <c r="I88" s="159"/>
      <c r="J88" s="161"/>
      <c r="K88" s="159"/>
      <c r="L88" s="159"/>
      <c r="M88" s="159"/>
      <c r="N88" s="162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  <c r="AB88" s="99"/>
      <c r="AC88" s="99"/>
    </row>
    <row r="89">
      <c r="A89" s="157"/>
      <c r="B89" s="99"/>
      <c r="C89" s="99"/>
      <c r="D89" s="99"/>
      <c r="E89" s="159"/>
      <c r="F89" s="160"/>
      <c r="G89" s="159"/>
      <c r="H89" s="159"/>
      <c r="I89" s="159"/>
      <c r="J89" s="161"/>
      <c r="K89" s="159"/>
      <c r="L89" s="159"/>
      <c r="M89" s="159"/>
      <c r="N89" s="162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  <c r="AA89" s="99"/>
      <c r="AB89" s="99"/>
      <c r="AC89" s="99"/>
    </row>
    <row r="90">
      <c r="A90" s="157"/>
      <c r="B90" s="99"/>
      <c r="C90" s="99"/>
      <c r="D90" s="99"/>
      <c r="E90" s="159"/>
      <c r="F90" s="160"/>
      <c r="G90" s="159"/>
      <c r="H90" s="159"/>
      <c r="I90" s="159"/>
      <c r="J90" s="161"/>
      <c r="K90" s="159"/>
      <c r="L90" s="159"/>
      <c r="M90" s="159"/>
      <c r="N90" s="162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  <c r="AB90" s="99"/>
      <c r="AC90" s="99"/>
    </row>
    <row r="91">
      <c r="A91" s="157"/>
      <c r="B91" s="99"/>
      <c r="C91" s="99"/>
      <c r="D91" s="99"/>
      <c r="E91" s="159"/>
      <c r="F91" s="160"/>
      <c r="G91" s="159"/>
      <c r="H91" s="159"/>
      <c r="I91" s="159"/>
      <c r="J91" s="161"/>
      <c r="K91" s="159"/>
      <c r="L91" s="159"/>
      <c r="M91" s="159"/>
      <c r="N91" s="162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  <c r="AB91" s="99"/>
      <c r="AC91" s="99"/>
    </row>
    <row r="92">
      <c r="H92" s="159"/>
      <c r="I92" s="159"/>
      <c r="J92" s="161"/>
      <c r="K92" s="159"/>
      <c r="L92" s="159"/>
      <c r="M92" s="159"/>
      <c r="N92" s="162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</row>
    <row r="93">
      <c r="H93" s="159"/>
      <c r="I93" s="159"/>
      <c r="J93" s="161"/>
      <c r="K93" s="159"/>
      <c r="L93" s="159"/>
      <c r="M93" s="159"/>
      <c r="N93" s="162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</row>
    <row r="94">
      <c r="H94" s="159"/>
      <c r="I94" s="159"/>
      <c r="J94" s="161"/>
      <c r="K94" s="159"/>
      <c r="L94" s="159"/>
      <c r="M94" s="159"/>
      <c r="N94" s="162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</row>
    <row r="95">
      <c r="H95" s="159"/>
      <c r="I95" s="159"/>
      <c r="J95" s="161"/>
      <c r="K95" s="159"/>
      <c r="L95" s="159"/>
      <c r="M95" s="159"/>
      <c r="N95" s="162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</row>
    <row r="96">
      <c r="H96" s="159"/>
      <c r="I96" s="159"/>
      <c r="J96" s="161"/>
      <c r="K96" s="159"/>
      <c r="L96" s="159"/>
      <c r="M96" s="159"/>
      <c r="N96" s="162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</row>
    <row r="97">
      <c r="H97" s="159"/>
      <c r="I97" s="159"/>
      <c r="J97" s="161"/>
      <c r="K97" s="159"/>
      <c r="L97" s="159"/>
      <c r="M97" s="159"/>
      <c r="N97" s="162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</row>
    <row r="98">
      <c r="H98" s="159"/>
      <c r="I98" s="159"/>
      <c r="J98" s="161"/>
      <c r="K98" s="159"/>
      <c r="L98" s="159"/>
      <c r="M98" s="159"/>
      <c r="N98" s="162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</row>
    <row r="99">
      <c r="H99" s="159"/>
      <c r="I99" s="159"/>
      <c r="J99" s="161"/>
      <c r="K99" s="159"/>
      <c r="L99" s="159"/>
      <c r="M99" s="159"/>
      <c r="N99" s="162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</row>
    <row r="100">
      <c r="H100" s="159"/>
      <c r="I100" s="159"/>
      <c r="J100" s="161"/>
      <c r="K100" s="159"/>
      <c r="L100" s="159"/>
      <c r="M100" s="15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</row>
    <row r="101">
      <c r="H101" s="159"/>
      <c r="I101" s="159"/>
      <c r="J101" s="161"/>
      <c r="K101" s="159"/>
      <c r="L101" s="159"/>
      <c r="M101" s="15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</row>
    <row r="102">
      <c r="H102" s="159"/>
      <c r="I102" s="159"/>
      <c r="J102" s="161"/>
      <c r="K102" s="159"/>
      <c r="L102" s="159"/>
      <c r="M102" s="15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</row>
    <row r="103">
      <c r="H103" s="159"/>
      <c r="I103" s="159"/>
      <c r="J103" s="161"/>
      <c r="K103" s="159"/>
      <c r="L103" s="159"/>
      <c r="M103" s="15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</row>
    <row r="104">
      <c r="H104" s="159"/>
      <c r="I104" s="159"/>
      <c r="J104" s="161"/>
      <c r="K104" s="159"/>
      <c r="L104" s="159"/>
      <c r="M104" s="15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</row>
    <row r="105">
      <c r="H105" s="159"/>
      <c r="I105" s="159"/>
      <c r="J105" s="161"/>
      <c r="K105" s="159"/>
      <c r="L105" s="159"/>
      <c r="M105" s="15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</row>
    <row r="106">
      <c r="H106" s="159"/>
      <c r="I106" s="159"/>
      <c r="J106" s="161"/>
      <c r="K106" s="159"/>
      <c r="L106" s="159"/>
      <c r="M106" s="15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</row>
    <row r="107">
      <c r="H107" s="159"/>
      <c r="I107" s="159"/>
      <c r="J107" s="161"/>
      <c r="K107" s="159"/>
      <c r="L107" s="159"/>
      <c r="M107" s="15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</row>
    <row r="108">
      <c r="H108" s="159"/>
      <c r="I108" s="159"/>
      <c r="J108" s="161"/>
      <c r="K108" s="159"/>
      <c r="L108" s="159"/>
      <c r="M108" s="15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</row>
    <row r="109">
      <c r="H109" s="159"/>
      <c r="I109" s="159"/>
      <c r="J109" s="161"/>
      <c r="K109" s="159"/>
      <c r="L109" s="159"/>
      <c r="M109" s="15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</row>
    <row r="110">
      <c r="H110" s="159"/>
      <c r="I110" s="159"/>
      <c r="J110" s="161"/>
      <c r="K110" s="159"/>
      <c r="L110" s="159"/>
      <c r="M110" s="15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</row>
    <row r="111">
      <c r="H111" s="159"/>
      <c r="I111" s="159"/>
      <c r="J111" s="161"/>
      <c r="K111" s="159"/>
      <c r="L111" s="159"/>
      <c r="M111" s="15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</row>
    <row r="112">
      <c r="H112" s="159"/>
      <c r="I112" s="159"/>
      <c r="J112" s="161"/>
      <c r="K112" s="159"/>
      <c r="L112" s="159"/>
      <c r="M112" s="15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</row>
    <row r="113">
      <c r="H113" s="159"/>
      <c r="I113" s="159"/>
      <c r="J113" s="161"/>
      <c r="K113" s="159"/>
      <c r="L113" s="159"/>
      <c r="M113" s="15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</row>
    <row r="114">
      <c r="H114" s="159"/>
      <c r="I114" s="159"/>
      <c r="J114" s="161"/>
      <c r="K114" s="159"/>
      <c r="L114" s="159"/>
      <c r="M114" s="15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</row>
    <row r="115">
      <c r="H115" s="159"/>
      <c r="I115" s="159"/>
      <c r="J115" s="161"/>
      <c r="K115" s="159"/>
      <c r="L115" s="159"/>
      <c r="M115" s="15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</row>
    <row r="116">
      <c r="H116" s="159"/>
      <c r="I116" s="159"/>
      <c r="J116" s="161"/>
      <c r="K116" s="159"/>
      <c r="L116" s="159"/>
      <c r="M116" s="15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  <c r="AA116" s="99"/>
      <c r="AB116" s="99"/>
      <c r="AC116" s="99"/>
    </row>
    <row r="117">
      <c r="A117" s="157"/>
      <c r="B117" s="99"/>
      <c r="C117" s="99"/>
      <c r="D117" s="99"/>
      <c r="E117" s="159"/>
      <c r="F117" s="160"/>
      <c r="G117" s="159"/>
      <c r="H117" s="159"/>
      <c r="I117" s="159"/>
      <c r="J117" s="161"/>
      <c r="K117" s="159"/>
      <c r="L117" s="159"/>
      <c r="M117" s="15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  <c r="AA117" s="99"/>
      <c r="AB117" s="99"/>
      <c r="AC117" s="99"/>
    </row>
    <row r="118">
      <c r="A118" s="157"/>
      <c r="B118" s="99"/>
      <c r="C118" s="99"/>
      <c r="D118" s="99"/>
      <c r="E118" s="159"/>
      <c r="F118" s="160"/>
      <c r="G118" s="159"/>
      <c r="H118" s="159"/>
      <c r="I118" s="159"/>
      <c r="J118" s="161"/>
      <c r="K118" s="159"/>
      <c r="L118" s="159"/>
      <c r="M118" s="15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  <c r="AA118" s="99"/>
      <c r="AB118" s="99"/>
      <c r="AC118" s="99"/>
    </row>
    <row r="119">
      <c r="A119" s="157"/>
      <c r="B119" s="99"/>
      <c r="C119" s="99"/>
      <c r="D119" s="99"/>
      <c r="E119" s="159"/>
      <c r="F119" s="160"/>
      <c r="G119" s="159"/>
      <c r="H119" s="159"/>
      <c r="I119" s="159"/>
      <c r="J119" s="161"/>
      <c r="K119" s="159"/>
      <c r="L119" s="159"/>
      <c r="M119" s="15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  <c r="AA119" s="99"/>
      <c r="AB119" s="99"/>
      <c r="AC119" s="99"/>
    </row>
    <row r="120">
      <c r="A120" s="157"/>
      <c r="B120" s="99"/>
      <c r="C120" s="99"/>
      <c r="D120" s="99"/>
      <c r="E120" s="159"/>
      <c r="F120" s="160"/>
      <c r="G120" s="159"/>
      <c r="H120" s="159"/>
      <c r="I120" s="159"/>
      <c r="J120" s="161"/>
      <c r="K120" s="159"/>
      <c r="L120" s="159"/>
      <c r="M120" s="15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  <c r="AA120" s="99"/>
      <c r="AB120" s="99"/>
      <c r="AC120" s="99"/>
    </row>
    <row r="121">
      <c r="A121" s="157"/>
      <c r="B121" s="99"/>
      <c r="C121" s="99"/>
      <c r="D121" s="99"/>
      <c r="E121" s="159"/>
      <c r="F121" s="160"/>
      <c r="G121" s="159"/>
      <c r="H121" s="159"/>
      <c r="I121" s="159"/>
      <c r="J121" s="161"/>
      <c r="K121" s="159"/>
      <c r="L121" s="159"/>
      <c r="M121" s="15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  <c r="AA121" s="99"/>
      <c r="AB121" s="99"/>
      <c r="AC121" s="99"/>
    </row>
    <row r="122">
      <c r="A122" s="157"/>
      <c r="B122" s="99"/>
      <c r="C122" s="99"/>
      <c r="D122" s="99"/>
      <c r="E122" s="159"/>
      <c r="F122" s="160"/>
      <c r="G122" s="159"/>
      <c r="H122" s="159"/>
      <c r="I122" s="159"/>
      <c r="J122" s="161"/>
      <c r="K122" s="159"/>
      <c r="L122" s="159"/>
      <c r="M122" s="15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  <c r="AA122" s="99"/>
      <c r="AB122" s="99"/>
      <c r="AC122" s="99"/>
    </row>
    <row r="123">
      <c r="A123" s="157"/>
      <c r="B123" s="99"/>
      <c r="C123" s="99"/>
      <c r="D123" s="99"/>
      <c r="E123" s="159"/>
      <c r="F123" s="160"/>
      <c r="G123" s="159"/>
      <c r="H123" s="159"/>
      <c r="I123" s="159"/>
      <c r="J123" s="161"/>
      <c r="K123" s="159"/>
      <c r="L123" s="159"/>
      <c r="M123" s="15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  <c r="AA123" s="99"/>
      <c r="AB123" s="99"/>
      <c r="AC123" s="99"/>
    </row>
    <row r="124">
      <c r="A124" s="157"/>
      <c r="B124" s="99"/>
      <c r="C124" s="99"/>
      <c r="D124" s="99"/>
      <c r="E124" s="159"/>
      <c r="F124" s="160"/>
      <c r="G124" s="159"/>
      <c r="H124" s="159"/>
      <c r="I124" s="159"/>
      <c r="J124" s="161"/>
      <c r="K124" s="159"/>
      <c r="L124" s="159"/>
      <c r="M124" s="15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  <c r="AA124" s="99"/>
      <c r="AB124" s="99"/>
      <c r="AC124" s="99"/>
    </row>
    <row r="125">
      <c r="A125" s="157"/>
      <c r="B125" s="99"/>
      <c r="C125" s="99"/>
      <c r="D125" s="99"/>
      <c r="E125" s="159"/>
      <c r="F125" s="160"/>
      <c r="G125" s="159"/>
      <c r="H125" s="159"/>
      <c r="I125" s="159"/>
      <c r="J125" s="161"/>
      <c r="K125" s="159"/>
      <c r="L125" s="159"/>
      <c r="M125" s="15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  <c r="AA125" s="99"/>
      <c r="AB125" s="99"/>
      <c r="AC125" s="99"/>
    </row>
    <row r="126">
      <c r="A126" s="157"/>
      <c r="B126" s="99"/>
      <c r="C126" s="99"/>
      <c r="D126" s="99"/>
      <c r="E126" s="159"/>
      <c r="F126" s="160"/>
      <c r="G126" s="159"/>
      <c r="H126" s="159"/>
      <c r="I126" s="159"/>
      <c r="J126" s="161"/>
      <c r="K126" s="159"/>
      <c r="L126" s="159"/>
      <c r="M126" s="15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  <c r="AA126" s="99"/>
      <c r="AB126" s="99"/>
      <c r="AC126" s="99"/>
    </row>
    <row r="127">
      <c r="A127" s="157"/>
      <c r="B127" s="99"/>
      <c r="C127" s="99"/>
      <c r="D127" s="99"/>
      <c r="E127" s="159"/>
      <c r="F127" s="160"/>
      <c r="G127" s="159"/>
      <c r="H127" s="159"/>
      <c r="I127" s="159"/>
      <c r="J127" s="161"/>
      <c r="K127" s="159"/>
      <c r="L127" s="159"/>
      <c r="M127" s="15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  <c r="AA127" s="99"/>
      <c r="AB127" s="99"/>
      <c r="AC127" s="99"/>
    </row>
    <row r="128">
      <c r="A128" s="157"/>
      <c r="B128" s="99"/>
      <c r="C128" s="99"/>
      <c r="D128" s="99"/>
      <c r="E128" s="159"/>
      <c r="F128" s="160"/>
      <c r="G128" s="159"/>
      <c r="H128" s="159"/>
      <c r="I128" s="159"/>
      <c r="J128" s="161"/>
      <c r="K128" s="159"/>
      <c r="L128" s="159"/>
      <c r="M128" s="15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  <c r="AA128" s="99"/>
      <c r="AB128" s="99"/>
      <c r="AC128" s="99"/>
    </row>
    <row r="129">
      <c r="A129" s="157"/>
      <c r="B129" s="99"/>
      <c r="C129" s="99"/>
      <c r="D129" s="99"/>
      <c r="E129" s="159"/>
      <c r="F129" s="160"/>
      <c r="G129" s="159"/>
      <c r="H129" s="159"/>
      <c r="I129" s="159"/>
      <c r="J129" s="161"/>
      <c r="K129" s="159"/>
      <c r="L129" s="159"/>
      <c r="M129" s="15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  <c r="AA129" s="99"/>
      <c r="AB129" s="99"/>
      <c r="AC129" s="99"/>
    </row>
    <row r="130">
      <c r="A130" s="157"/>
      <c r="B130" s="99"/>
      <c r="C130" s="99"/>
      <c r="D130" s="99"/>
      <c r="E130" s="159"/>
      <c r="F130" s="160"/>
      <c r="G130" s="159"/>
      <c r="H130" s="159"/>
      <c r="I130" s="159"/>
      <c r="J130" s="161"/>
      <c r="K130" s="159"/>
      <c r="L130" s="159"/>
      <c r="M130" s="15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  <c r="AA130" s="99"/>
      <c r="AB130" s="99"/>
      <c r="AC130" s="99"/>
    </row>
    <row r="131">
      <c r="A131" s="157"/>
      <c r="B131" s="99"/>
      <c r="C131" s="99"/>
      <c r="D131" s="99"/>
      <c r="E131" s="159"/>
      <c r="F131" s="160"/>
      <c r="G131" s="159"/>
      <c r="H131" s="159"/>
      <c r="I131" s="159"/>
      <c r="J131" s="161"/>
      <c r="K131" s="159"/>
      <c r="L131" s="159"/>
      <c r="M131" s="15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  <c r="AA131" s="99"/>
      <c r="AB131" s="99"/>
      <c r="AC131" s="99"/>
    </row>
    <row r="132">
      <c r="A132" s="157"/>
      <c r="B132" s="99"/>
      <c r="C132" s="99"/>
      <c r="D132" s="99"/>
      <c r="E132" s="159"/>
      <c r="F132" s="160"/>
      <c r="G132" s="159"/>
      <c r="H132" s="159"/>
      <c r="I132" s="159"/>
      <c r="J132" s="161"/>
      <c r="K132" s="159"/>
      <c r="L132" s="159"/>
      <c r="M132" s="15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  <c r="AA132" s="99"/>
      <c r="AB132" s="99"/>
      <c r="AC132" s="99"/>
    </row>
    <row r="133">
      <c r="A133" s="157"/>
      <c r="B133" s="99"/>
      <c r="C133" s="99"/>
      <c r="D133" s="99"/>
      <c r="E133" s="159"/>
      <c r="F133" s="160"/>
      <c r="G133" s="159"/>
      <c r="H133" s="159"/>
      <c r="I133" s="159"/>
      <c r="J133" s="161"/>
      <c r="K133" s="159"/>
      <c r="L133" s="159"/>
      <c r="M133" s="15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  <c r="AA133" s="99"/>
      <c r="AB133" s="99"/>
      <c r="AC133" s="99"/>
    </row>
    <row r="134">
      <c r="A134" s="157"/>
      <c r="B134" s="99"/>
      <c r="C134" s="99"/>
      <c r="D134" s="99"/>
      <c r="E134" s="159"/>
      <c r="F134" s="160"/>
      <c r="G134" s="159"/>
      <c r="H134" s="159"/>
      <c r="I134" s="159"/>
      <c r="J134" s="161"/>
      <c r="K134" s="159"/>
      <c r="L134" s="159"/>
      <c r="M134" s="15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  <c r="AA134" s="99"/>
      <c r="AB134" s="99"/>
      <c r="AC134" s="99"/>
    </row>
    <row r="135">
      <c r="A135" s="157"/>
      <c r="B135" s="99"/>
      <c r="C135" s="99"/>
      <c r="D135" s="99"/>
      <c r="E135" s="159"/>
      <c r="F135" s="160"/>
      <c r="G135" s="159"/>
      <c r="H135" s="159"/>
      <c r="I135" s="159"/>
      <c r="J135" s="161"/>
      <c r="K135" s="159"/>
      <c r="L135" s="159"/>
      <c r="M135" s="15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  <c r="AA135" s="99"/>
      <c r="AB135" s="99"/>
      <c r="AC135" s="99"/>
    </row>
    <row r="136">
      <c r="A136" s="157"/>
      <c r="B136" s="99"/>
      <c r="C136" s="99"/>
      <c r="D136" s="99"/>
      <c r="E136" s="159"/>
      <c r="F136" s="160"/>
      <c r="G136" s="159"/>
      <c r="H136" s="159"/>
      <c r="I136" s="159"/>
      <c r="J136" s="161"/>
      <c r="K136" s="159"/>
      <c r="L136" s="159"/>
      <c r="M136" s="15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  <c r="AA136" s="99"/>
      <c r="AB136" s="99"/>
      <c r="AC136" s="99"/>
    </row>
    <row r="137">
      <c r="A137" s="157"/>
      <c r="B137" s="99"/>
      <c r="C137" s="99"/>
      <c r="D137" s="99"/>
      <c r="E137" s="159"/>
      <c r="F137" s="160"/>
      <c r="G137" s="159"/>
      <c r="H137" s="159"/>
      <c r="I137" s="159"/>
      <c r="J137" s="161"/>
      <c r="K137" s="159"/>
      <c r="L137" s="159"/>
      <c r="M137" s="15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  <c r="AA137" s="99"/>
      <c r="AB137" s="99"/>
      <c r="AC137" s="99"/>
    </row>
    <row r="138">
      <c r="A138" s="157"/>
      <c r="B138" s="99"/>
      <c r="C138" s="99"/>
      <c r="D138" s="99"/>
      <c r="E138" s="159"/>
      <c r="F138" s="160"/>
      <c r="G138" s="159"/>
      <c r="H138" s="159"/>
      <c r="I138" s="159"/>
      <c r="J138" s="161"/>
      <c r="K138" s="159"/>
      <c r="L138" s="159"/>
      <c r="M138" s="15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  <c r="AA138" s="99"/>
      <c r="AB138" s="99"/>
      <c r="AC138" s="99"/>
    </row>
    <row r="139">
      <c r="A139" s="157"/>
      <c r="B139" s="99"/>
      <c r="C139" s="99"/>
      <c r="D139" s="99"/>
      <c r="E139" s="159"/>
      <c r="F139" s="160"/>
      <c r="G139" s="159"/>
      <c r="H139" s="159"/>
      <c r="I139" s="159"/>
      <c r="J139" s="161"/>
      <c r="K139" s="159"/>
      <c r="L139" s="159"/>
      <c r="M139" s="15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  <c r="AA139" s="99"/>
      <c r="AB139" s="99"/>
      <c r="AC139" s="99"/>
    </row>
    <row r="140">
      <c r="A140" s="157"/>
      <c r="B140" s="99"/>
      <c r="C140" s="99"/>
      <c r="D140" s="99"/>
      <c r="E140" s="159"/>
      <c r="F140" s="160"/>
      <c r="G140" s="159"/>
      <c r="H140" s="159"/>
      <c r="I140" s="159"/>
      <c r="J140" s="161"/>
      <c r="K140" s="159"/>
      <c r="L140" s="159"/>
      <c r="M140" s="15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  <c r="AA140" s="99"/>
      <c r="AB140" s="99"/>
      <c r="AC140" s="99"/>
    </row>
    <row r="141">
      <c r="A141" s="157"/>
      <c r="B141" s="99"/>
      <c r="C141" s="99"/>
      <c r="D141" s="99"/>
      <c r="E141" s="159"/>
      <c r="F141" s="160"/>
      <c r="G141" s="159"/>
      <c r="H141" s="159"/>
      <c r="I141" s="159"/>
      <c r="J141" s="161"/>
      <c r="K141" s="159"/>
      <c r="L141" s="159"/>
      <c r="M141" s="15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  <c r="AA141" s="99"/>
      <c r="AB141" s="99"/>
      <c r="AC141" s="99"/>
    </row>
    <row r="142">
      <c r="A142" s="157"/>
      <c r="B142" s="99"/>
      <c r="C142" s="99"/>
      <c r="D142" s="99"/>
      <c r="E142" s="159"/>
      <c r="F142" s="160"/>
      <c r="G142" s="159"/>
      <c r="H142" s="159"/>
      <c r="I142" s="159"/>
      <c r="J142" s="161"/>
      <c r="K142" s="159"/>
      <c r="L142" s="159"/>
      <c r="M142" s="15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  <c r="AA142" s="99"/>
      <c r="AB142" s="99"/>
      <c r="AC142" s="99"/>
    </row>
    <row r="143">
      <c r="A143" s="157"/>
      <c r="B143" s="99"/>
      <c r="C143" s="99"/>
      <c r="D143" s="99"/>
      <c r="E143" s="159"/>
      <c r="F143" s="160"/>
      <c r="G143" s="159"/>
      <c r="H143" s="159"/>
      <c r="I143" s="159"/>
      <c r="J143" s="161"/>
      <c r="K143" s="159"/>
      <c r="L143" s="159"/>
      <c r="M143" s="15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  <c r="AA143" s="99"/>
      <c r="AB143" s="99"/>
      <c r="AC143" s="99"/>
    </row>
    <row r="144">
      <c r="A144" s="157"/>
      <c r="B144" s="99"/>
      <c r="C144" s="99"/>
      <c r="D144" s="99"/>
      <c r="E144" s="159"/>
      <c r="F144" s="160"/>
      <c r="G144" s="159"/>
      <c r="H144" s="159"/>
      <c r="I144" s="159"/>
      <c r="J144" s="161"/>
      <c r="K144" s="159"/>
      <c r="L144" s="159"/>
      <c r="M144" s="15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  <c r="AA144" s="99"/>
      <c r="AB144" s="99"/>
      <c r="AC144" s="99"/>
    </row>
    <row r="145">
      <c r="A145" s="157"/>
      <c r="B145" s="99"/>
      <c r="C145" s="99"/>
      <c r="D145" s="99"/>
      <c r="E145" s="159"/>
      <c r="F145" s="160"/>
      <c r="G145" s="159"/>
      <c r="H145" s="159"/>
      <c r="I145" s="159"/>
      <c r="J145" s="161"/>
      <c r="K145" s="159"/>
      <c r="L145" s="159"/>
      <c r="M145" s="15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  <c r="AA145" s="99"/>
      <c r="AB145" s="99"/>
      <c r="AC145" s="99"/>
    </row>
    <row r="146">
      <c r="A146" s="157"/>
      <c r="B146" s="99"/>
      <c r="C146" s="99"/>
      <c r="D146" s="99"/>
      <c r="E146" s="159"/>
      <c r="F146" s="160"/>
      <c r="G146" s="159"/>
      <c r="H146" s="159"/>
      <c r="I146" s="159"/>
      <c r="J146" s="161"/>
      <c r="K146" s="159"/>
      <c r="L146" s="159"/>
      <c r="M146" s="15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  <c r="AA146" s="99"/>
      <c r="AB146" s="99"/>
      <c r="AC146" s="99"/>
    </row>
    <row r="147">
      <c r="A147" s="157"/>
      <c r="B147" s="99"/>
      <c r="C147" s="99"/>
      <c r="D147" s="99"/>
      <c r="E147" s="159"/>
      <c r="F147" s="160"/>
      <c r="G147" s="159"/>
      <c r="H147" s="159"/>
      <c r="I147" s="159"/>
      <c r="J147" s="161"/>
      <c r="K147" s="159"/>
      <c r="L147" s="159"/>
      <c r="M147" s="15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  <c r="AA147" s="99"/>
      <c r="AB147" s="99"/>
      <c r="AC147" s="99"/>
    </row>
    <row r="148">
      <c r="A148" s="157"/>
      <c r="B148" s="99"/>
      <c r="C148" s="99"/>
      <c r="D148" s="99"/>
      <c r="E148" s="159"/>
      <c r="F148" s="160"/>
      <c r="G148" s="159"/>
      <c r="H148" s="159"/>
      <c r="I148" s="159"/>
      <c r="J148" s="161"/>
      <c r="K148" s="159"/>
      <c r="L148" s="159"/>
      <c r="M148" s="15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  <c r="AA148" s="99"/>
      <c r="AB148" s="99"/>
      <c r="AC148" s="99"/>
    </row>
    <row r="149">
      <c r="A149" s="157"/>
      <c r="B149" s="99"/>
      <c r="C149" s="99"/>
      <c r="D149" s="99"/>
      <c r="E149" s="159"/>
      <c r="F149" s="160"/>
      <c r="G149" s="159"/>
      <c r="H149" s="159"/>
      <c r="I149" s="159"/>
      <c r="J149" s="161"/>
      <c r="K149" s="159"/>
      <c r="L149" s="159"/>
      <c r="M149" s="15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  <c r="AA149" s="99"/>
      <c r="AB149" s="99"/>
      <c r="AC149" s="99"/>
    </row>
    <row r="150">
      <c r="A150" s="157"/>
      <c r="B150" s="99"/>
      <c r="C150" s="99"/>
      <c r="D150" s="99"/>
      <c r="E150" s="159"/>
      <c r="F150" s="160"/>
      <c r="G150" s="159"/>
      <c r="H150" s="159"/>
      <c r="I150" s="159"/>
      <c r="J150" s="161"/>
      <c r="K150" s="159"/>
      <c r="L150" s="159"/>
      <c r="M150" s="15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  <c r="AA150" s="99"/>
      <c r="AB150" s="99"/>
      <c r="AC150" s="99"/>
    </row>
    <row r="151">
      <c r="A151" s="157"/>
      <c r="B151" s="99"/>
      <c r="C151" s="99"/>
      <c r="D151" s="99"/>
      <c r="E151" s="159"/>
      <c r="F151" s="160"/>
      <c r="G151" s="159"/>
      <c r="H151" s="159"/>
      <c r="I151" s="159"/>
      <c r="J151" s="161"/>
      <c r="K151" s="159"/>
      <c r="L151" s="159"/>
      <c r="M151" s="15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  <c r="AA151" s="99"/>
      <c r="AB151" s="99"/>
      <c r="AC151" s="99"/>
    </row>
    <row r="152">
      <c r="A152" s="157"/>
      <c r="B152" s="99"/>
      <c r="C152" s="99"/>
      <c r="D152" s="99"/>
      <c r="E152" s="159"/>
      <c r="F152" s="160"/>
      <c r="G152" s="159"/>
      <c r="H152" s="159"/>
      <c r="I152" s="159"/>
      <c r="J152" s="161"/>
      <c r="K152" s="159"/>
      <c r="L152" s="159"/>
      <c r="M152" s="15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  <c r="AA152" s="99"/>
      <c r="AB152" s="99"/>
      <c r="AC152" s="99"/>
    </row>
    <row r="153">
      <c r="A153" s="157"/>
      <c r="B153" s="99"/>
      <c r="C153" s="99"/>
      <c r="D153" s="99"/>
      <c r="E153" s="159"/>
      <c r="F153" s="160"/>
      <c r="G153" s="159"/>
      <c r="H153" s="159"/>
      <c r="I153" s="159"/>
      <c r="J153" s="161"/>
      <c r="K153" s="159"/>
      <c r="L153" s="159"/>
      <c r="M153" s="15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  <c r="AA153" s="99"/>
      <c r="AB153" s="99"/>
      <c r="AC153" s="99"/>
    </row>
    <row r="154">
      <c r="A154" s="157"/>
      <c r="B154" s="99"/>
      <c r="C154" s="99"/>
      <c r="D154" s="99"/>
      <c r="E154" s="159"/>
      <c r="F154" s="160"/>
      <c r="G154" s="159"/>
      <c r="H154" s="159"/>
      <c r="I154" s="159"/>
      <c r="J154" s="161"/>
      <c r="K154" s="159"/>
      <c r="L154" s="159"/>
      <c r="M154" s="15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  <c r="AA154" s="99"/>
      <c r="AB154" s="99"/>
      <c r="AC154" s="99"/>
    </row>
    <row r="155">
      <c r="A155" s="157"/>
      <c r="B155" s="99"/>
      <c r="C155" s="99"/>
      <c r="D155" s="99"/>
      <c r="E155" s="159"/>
      <c r="F155" s="160"/>
      <c r="G155" s="159"/>
      <c r="H155" s="159"/>
      <c r="I155" s="159"/>
      <c r="J155" s="161"/>
      <c r="K155" s="159"/>
      <c r="L155" s="159"/>
      <c r="M155" s="15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  <c r="AA155" s="99"/>
      <c r="AB155" s="99"/>
      <c r="AC155" s="99"/>
    </row>
    <row r="156">
      <c r="A156" s="157"/>
      <c r="B156" s="99"/>
      <c r="C156" s="99"/>
      <c r="D156" s="99"/>
      <c r="E156" s="159"/>
      <c r="F156" s="160"/>
      <c r="G156" s="159"/>
      <c r="H156" s="159"/>
      <c r="I156" s="159"/>
      <c r="J156" s="161"/>
      <c r="K156" s="159"/>
      <c r="L156" s="159"/>
      <c r="M156" s="15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  <c r="AA156" s="99"/>
      <c r="AB156" s="99"/>
      <c r="AC156" s="99"/>
    </row>
    <row r="157">
      <c r="A157" s="157"/>
      <c r="B157" s="99"/>
      <c r="C157" s="99"/>
      <c r="D157" s="99"/>
      <c r="E157" s="159"/>
      <c r="F157" s="160"/>
      <c r="G157" s="159"/>
      <c r="H157" s="159"/>
      <c r="I157" s="159"/>
      <c r="J157" s="161"/>
      <c r="K157" s="159"/>
      <c r="L157" s="159"/>
      <c r="M157" s="15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  <c r="AA157" s="99"/>
      <c r="AB157" s="99"/>
      <c r="AC157" s="99"/>
    </row>
    <row r="158">
      <c r="A158" s="157"/>
      <c r="B158" s="99"/>
      <c r="C158" s="99"/>
      <c r="D158" s="99"/>
      <c r="E158" s="159"/>
      <c r="F158" s="160"/>
      <c r="G158" s="159"/>
      <c r="H158" s="159"/>
      <c r="I158" s="159"/>
      <c r="J158" s="161"/>
      <c r="K158" s="159"/>
      <c r="L158" s="159"/>
      <c r="M158" s="15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  <c r="AA158" s="99"/>
      <c r="AB158" s="99"/>
      <c r="AC158" s="99"/>
    </row>
    <row r="159">
      <c r="A159" s="157"/>
      <c r="B159" s="99"/>
      <c r="C159" s="99"/>
      <c r="D159" s="99"/>
      <c r="E159" s="159"/>
      <c r="F159" s="160"/>
      <c r="G159" s="159"/>
      <c r="H159" s="159"/>
      <c r="I159" s="159"/>
      <c r="J159" s="161"/>
      <c r="K159" s="159"/>
      <c r="L159" s="159"/>
      <c r="M159" s="15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  <c r="AA159" s="99"/>
      <c r="AB159" s="99"/>
      <c r="AC159" s="99"/>
    </row>
    <row r="160">
      <c r="A160" s="157"/>
      <c r="B160" s="99"/>
      <c r="C160" s="99"/>
      <c r="D160" s="99"/>
      <c r="E160" s="99"/>
      <c r="F160" s="170"/>
      <c r="G160" s="99"/>
      <c r="H160" s="99"/>
      <c r="I160" s="99"/>
      <c r="J160" s="171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  <c r="AA160" s="99"/>
      <c r="AB160" s="99"/>
      <c r="AC160" s="99"/>
    </row>
    <row r="161">
      <c r="A161" s="157"/>
      <c r="B161" s="99"/>
      <c r="C161" s="99"/>
      <c r="D161" s="99"/>
      <c r="E161" s="99"/>
      <c r="F161" s="170"/>
      <c r="G161" s="99"/>
      <c r="H161" s="99"/>
      <c r="I161" s="99"/>
      <c r="J161" s="171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  <c r="AA161" s="99"/>
      <c r="AB161" s="99"/>
      <c r="AC161" s="99"/>
    </row>
    <row r="162">
      <c r="A162" s="157"/>
      <c r="B162" s="99"/>
      <c r="C162" s="99"/>
      <c r="D162" s="99"/>
      <c r="E162" s="99"/>
      <c r="F162" s="170"/>
      <c r="G162" s="99"/>
      <c r="H162" s="99"/>
      <c r="I162" s="99"/>
      <c r="J162" s="171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  <c r="AA162" s="99"/>
      <c r="AB162" s="99"/>
      <c r="AC162" s="99"/>
    </row>
    <row r="163">
      <c r="A163" s="157"/>
      <c r="B163" s="99"/>
      <c r="C163" s="99"/>
      <c r="D163" s="99"/>
      <c r="E163" s="99"/>
      <c r="F163" s="170"/>
      <c r="G163" s="99"/>
      <c r="H163" s="99"/>
      <c r="I163" s="99"/>
      <c r="J163" s="171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  <c r="AA163" s="99"/>
      <c r="AB163" s="99"/>
      <c r="AC163" s="99"/>
    </row>
    <row r="164">
      <c r="A164" s="157"/>
      <c r="B164" s="99"/>
      <c r="C164" s="99"/>
      <c r="D164" s="99"/>
      <c r="E164" s="99"/>
      <c r="F164" s="170"/>
      <c r="G164" s="99"/>
      <c r="H164" s="99"/>
      <c r="I164" s="99"/>
      <c r="J164" s="171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  <c r="AA164" s="99"/>
      <c r="AB164" s="99"/>
      <c r="AC164" s="99"/>
    </row>
    <row r="165">
      <c r="A165" s="157"/>
      <c r="B165" s="99"/>
      <c r="C165" s="99"/>
      <c r="D165" s="99"/>
      <c r="E165" s="99"/>
      <c r="F165" s="170"/>
      <c r="G165" s="99"/>
      <c r="H165" s="99"/>
      <c r="I165" s="99"/>
      <c r="J165" s="171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  <c r="AA165" s="99"/>
      <c r="AB165" s="99"/>
      <c r="AC165" s="99"/>
    </row>
    <row r="166">
      <c r="A166" s="157"/>
      <c r="B166" s="99"/>
      <c r="C166" s="99"/>
      <c r="D166" s="99"/>
      <c r="E166" s="99"/>
      <c r="F166" s="170"/>
      <c r="G166" s="99"/>
      <c r="H166" s="99"/>
      <c r="I166" s="99"/>
      <c r="J166" s="171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  <c r="AA166" s="99"/>
      <c r="AB166" s="99"/>
      <c r="AC166" s="99"/>
    </row>
    <row r="167">
      <c r="A167" s="157"/>
      <c r="B167" s="99"/>
      <c r="C167" s="99"/>
      <c r="D167" s="99"/>
      <c r="E167" s="99"/>
      <c r="F167" s="170"/>
      <c r="G167" s="99"/>
      <c r="H167" s="99"/>
      <c r="I167" s="99"/>
      <c r="J167" s="171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  <c r="AA167" s="99"/>
      <c r="AB167" s="99"/>
      <c r="AC167" s="99"/>
    </row>
    <row r="168">
      <c r="A168" s="157"/>
      <c r="B168" s="99"/>
      <c r="C168" s="99"/>
      <c r="D168" s="99"/>
      <c r="E168" s="99"/>
      <c r="F168" s="170"/>
      <c r="G168" s="99"/>
      <c r="H168" s="99"/>
      <c r="I168" s="99"/>
      <c r="J168" s="171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  <c r="AA168" s="99"/>
      <c r="AB168" s="99"/>
      <c r="AC168" s="99"/>
    </row>
    <row r="169">
      <c r="A169" s="157"/>
      <c r="B169" s="99"/>
      <c r="C169" s="99"/>
      <c r="D169" s="99"/>
      <c r="E169" s="99"/>
      <c r="F169" s="170"/>
      <c r="G169" s="99"/>
      <c r="H169" s="99"/>
      <c r="I169" s="99"/>
      <c r="J169" s="171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  <c r="AA169" s="99"/>
      <c r="AB169" s="99"/>
      <c r="AC169" s="99"/>
    </row>
    <row r="170">
      <c r="A170" s="157"/>
      <c r="B170" s="99"/>
      <c r="C170" s="99"/>
      <c r="D170" s="99"/>
      <c r="E170" s="99"/>
      <c r="F170" s="170"/>
      <c r="G170" s="99"/>
      <c r="H170" s="99"/>
      <c r="I170" s="99"/>
      <c r="J170" s="171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  <c r="AA170" s="99"/>
      <c r="AB170" s="99"/>
      <c r="AC170" s="99"/>
    </row>
    <row r="171">
      <c r="A171" s="157"/>
      <c r="B171" s="99"/>
      <c r="C171" s="99"/>
      <c r="D171" s="99"/>
      <c r="E171" s="99"/>
      <c r="F171" s="170"/>
      <c r="G171" s="99"/>
      <c r="H171" s="99"/>
      <c r="I171" s="99"/>
      <c r="J171" s="171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  <c r="AA171" s="99"/>
      <c r="AB171" s="99"/>
      <c r="AC171" s="99"/>
    </row>
    <row r="172">
      <c r="A172" s="157"/>
      <c r="B172" s="99"/>
      <c r="C172" s="99"/>
      <c r="D172" s="99"/>
      <c r="E172" s="99"/>
      <c r="F172" s="170"/>
      <c r="G172" s="99"/>
      <c r="H172" s="99"/>
      <c r="I172" s="99"/>
      <c r="J172" s="171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  <c r="AA172" s="99"/>
      <c r="AB172" s="99"/>
      <c r="AC172" s="99"/>
    </row>
    <row r="173">
      <c r="A173" s="157"/>
      <c r="B173" s="99"/>
      <c r="C173" s="99"/>
      <c r="D173" s="99"/>
      <c r="E173" s="99"/>
      <c r="F173" s="170"/>
      <c r="G173" s="99"/>
      <c r="H173" s="99"/>
      <c r="I173" s="99"/>
      <c r="J173" s="171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  <c r="AA173" s="99"/>
      <c r="AB173" s="99"/>
      <c r="AC173" s="99"/>
    </row>
    <row r="174">
      <c r="A174" s="157"/>
      <c r="B174" s="99"/>
      <c r="C174" s="99"/>
      <c r="D174" s="99"/>
      <c r="E174" s="99"/>
      <c r="F174" s="170"/>
      <c r="G174" s="99"/>
      <c r="H174" s="99"/>
      <c r="I174" s="99"/>
      <c r="J174" s="171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  <c r="AA174" s="99"/>
      <c r="AB174" s="99"/>
      <c r="AC174" s="99"/>
    </row>
    <row r="175">
      <c r="A175" s="157"/>
      <c r="B175" s="99"/>
      <c r="C175" s="99"/>
      <c r="D175" s="99"/>
      <c r="E175" s="99"/>
      <c r="F175" s="170"/>
      <c r="G175" s="99"/>
      <c r="H175" s="99"/>
      <c r="I175" s="99"/>
      <c r="J175" s="171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  <c r="AA175" s="99"/>
      <c r="AB175" s="99"/>
      <c r="AC175" s="99"/>
    </row>
    <row r="176">
      <c r="A176" s="157"/>
      <c r="B176" s="99"/>
      <c r="C176" s="99"/>
      <c r="D176" s="99"/>
      <c r="E176" s="99"/>
      <c r="F176" s="170"/>
      <c r="G176" s="99"/>
      <c r="H176" s="99"/>
      <c r="I176" s="99"/>
      <c r="J176" s="171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  <c r="AA176" s="99"/>
      <c r="AB176" s="99"/>
      <c r="AC176" s="99"/>
    </row>
    <row r="177">
      <c r="A177" s="157"/>
      <c r="B177" s="99"/>
      <c r="C177" s="99"/>
      <c r="D177" s="99"/>
      <c r="E177" s="99"/>
      <c r="F177" s="170"/>
      <c r="G177" s="99"/>
      <c r="H177" s="99"/>
      <c r="I177" s="99"/>
      <c r="J177" s="171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  <c r="AA177" s="99"/>
      <c r="AB177" s="99"/>
      <c r="AC177" s="99"/>
    </row>
    <row r="178">
      <c r="A178" s="157"/>
      <c r="B178" s="99"/>
      <c r="C178" s="99"/>
      <c r="D178" s="99"/>
      <c r="E178" s="99"/>
      <c r="F178" s="170"/>
      <c r="G178" s="99"/>
      <c r="H178" s="99"/>
      <c r="I178" s="99"/>
      <c r="J178" s="171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  <c r="AA178" s="99"/>
      <c r="AB178" s="99"/>
      <c r="AC178" s="99"/>
    </row>
    <row r="179">
      <c r="A179" s="157"/>
      <c r="B179" s="99"/>
      <c r="C179" s="99"/>
      <c r="D179" s="99"/>
      <c r="E179" s="99"/>
      <c r="F179" s="170"/>
      <c r="G179" s="99"/>
      <c r="H179" s="99"/>
      <c r="I179" s="99"/>
      <c r="J179" s="171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  <c r="AA179" s="99"/>
      <c r="AB179" s="99"/>
      <c r="AC179" s="99"/>
    </row>
    <row r="180">
      <c r="A180" s="157"/>
      <c r="B180" s="99"/>
      <c r="C180" s="99"/>
      <c r="D180" s="99"/>
      <c r="E180" s="99"/>
      <c r="F180" s="170"/>
      <c r="G180" s="99"/>
      <c r="H180" s="99"/>
      <c r="I180" s="99"/>
      <c r="J180" s="171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  <c r="AA180" s="99"/>
      <c r="AB180" s="99"/>
      <c r="AC180" s="99"/>
    </row>
    <row r="181">
      <c r="A181" s="157"/>
      <c r="B181" s="99"/>
      <c r="C181" s="99"/>
      <c r="D181" s="99"/>
      <c r="E181" s="99"/>
      <c r="F181" s="170"/>
      <c r="G181" s="99"/>
      <c r="H181" s="99"/>
      <c r="I181" s="99"/>
      <c r="J181" s="171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  <c r="AA181" s="99"/>
      <c r="AB181" s="99"/>
      <c r="AC181" s="99"/>
    </row>
    <row r="182">
      <c r="A182" s="157"/>
      <c r="B182" s="99"/>
      <c r="C182" s="99"/>
      <c r="D182" s="99"/>
      <c r="E182" s="99"/>
      <c r="F182" s="170"/>
      <c r="G182" s="99"/>
      <c r="H182" s="99"/>
      <c r="I182" s="99"/>
      <c r="J182" s="171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  <c r="AA182" s="99"/>
      <c r="AB182" s="99"/>
      <c r="AC182" s="99"/>
    </row>
    <row r="183">
      <c r="A183" s="157"/>
      <c r="B183" s="99"/>
      <c r="C183" s="99"/>
      <c r="D183" s="99"/>
      <c r="E183" s="99"/>
      <c r="F183" s="170"/>
      <c r="G183" s="99"/>
      <c r="H183" s="99"/>
      <c r="I183" s="99"/>
      <c r="J183" s="171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  <c r="AA183" s="99"/>
      <c r="AB183" s="99"/>
      <c r="AC183" s="99"/>
    </row>
    <row r="184">
      <c r="A184" s="157"/>
      <c r="B184" s="99"/>
      <c r="C184" s="99"/>
      <c r="D184" s="99"/>
      <c r="E184" s="99"/>
      <c r="F184" s="170"/>
      <c r="G184" s="99"/>
      <c r="H184" s="99"/>
      <c r="I184" s="99"/>
      <c r="J184" s="171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  <c r="AA184" s="99"/>
      <c r="AB184" s="99"/>
      <c r="AC184" s="99"/>
    </row>
    <row r="185">
      <c r="A185" s="157"/>
      <c r="B185" s="99"/>
      <c r="C185" s="99"/>
      <c r="D185" s="99"/>
      <c r="E185" s="99"/>
      <c r="F185" s="170"/>
      <c r="G185" s="99"/>
      <c r="H185" s="99"/>
      <c r="I185" s="99"/>
      <c r="J185" s="171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  <c r="AA185" s="99"/>
      <c r="AB185" s="99"/>
      <c r="AC185" s="99"/>
    </row>
    <row r="186">
      <c r="A186" s="157"/>
      <c r="B186" s="99"/>
      <c r="C186" s="99"/>
      <c r="D186" s="99"/>
      <c r="E186" s="99"/>
      <c r="F186" s="170"/>
      <c r="G186" s="99"/>
      <c r="H186" s="99"/>
      <c r="I186" s="99"/>
      <c r="J186" s="171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  <c r="AA186" s="99"/>
      <c r="AB186" s="99"/>
      <c r="AC186" s="99"/>
    </row>
    <row r="187">
      <c r="A187" s="157"/>
      <c r="B187" s="99"/>
      <c r="C187" s="99"/>
      <c r="D187" s="99"/>
      <c r="E187" s="99"/>
      <c r="F187" s="170"/>
      <c r="G187" s="99"/>
      <c r="H187" s="99"/>
      <c r="I187" s="99"/>
      <c r="J187" s="171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  <c r="AA187" s="99"/>
      <c r="AB187" s="99"/>
      <c r="AC187" s="99"/>
    </row>
    <row r="188">
      <c r="A188" s="157"/>
      <c r="B188" s="99"/>
      <c r="C188" s="99"/>
      <c r="D188" s="99"/>
      <c r="E188" s="99"/>
      <c r="F188" s="170"/>
      <c r="G188" s="99"/>
      <c r="H188" s="99"/>
      <c r="I188" s="99"/>
      <c r="J188" s="171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  <c r="AA188" s="99"/>
      <c r="AB188" s="99"/>
      <c r="AC188" s="99"/>
    </row>
    <row r="189">
      <c r="A189" s="157"/>
      <c r="B189" s="99"/>
      <c r="C189" s="99"/>
      <c r="D189" s="99"/>
      <c r="E189" s="99"/>
      <c r="F189" s="170"/>
      <c r="G189" s="99"/>
      <c r="H189" s="99"/>
      <c r="I189" s="99"/>
      <c r="J189" s="171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  <c r="AA189" s="99"/>
      <c r="AB189" s="99"/>
      <c r="AC189" s="99"/>
    </row>
    <row r="190">
      <c r="A190" s="157"/>
      <c r="B190" s="99"/>
      <c r="C190" s="99"/>
      <c r="D190" s="99"/>
      <c r="E190" s="99"/>
      <c r="F190" s="170"/>
      <c r="G190" s="99"/>
      <c r="H190" s="99"/>
      <c r="I190" s="99"/>
      <c r="J190" s="171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  <c r="AA190" s="99"/>
      <c r="AB190" s="99"/>
      <c r="AC190" s="99"/>
    </row>
    <row r="191">
      <c r="A191" s="157"/>
      <c r="B191" s="99"/>
      <c r="C191" s="99"/>
      <c r="D191" s="99"/>
      <c r="E191" s="99"/>
      <c r="F191" s="170"/>
      <c r="G191" s="99"/>
      <c r="H191" s="99"/>
      <c r="I191" s="99"/>
      <c r="J191" s="171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  <c r="AA191" s="99"/>
      <c r="AB191" s="99"/>
      <c r="AC191" s="99"/>
    </row>
    <row r="192">
      <c r="A192" s="157"/>
      <c r="B192" s="99"/>
      <c r="C192" s="99"/>
      <c r="D192" s="99"/>
      <c r="E192" s="99"/>
      <c r="F192" s="170"/>
      <c r="G192" s="99"/>
      <c r="H192" s="99"/>
      <c r="I192" s="99"/>
      <c r="J192" s="171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  <c r="AA192" s="99"/>
      <c r="AB192" s="99"/>
      <c r="AC192" s="99"/>
    </row>
    <row r="193">
      <c r="A193" s="157"/>
      <c r="B193" s="99"/>
      <c r="C193" s="99"/>
      <c r="D193" s="99"/>
      <c r="E193" s="99"/>
      <c r="F193" s="170"/>
      <c r="G193" s="99"/>
      <c r="H193" s="99"/>
      <c r="I193" s="99"/>
      <c r="J193" s="171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  <c r="AA193" s="99"/>
      <c r="AB193" s="99"/>
      <c r="AC193" s="99"/>
    </row>
    <row r="194">
      <c r="A194" s="157"/>
      <c r="B194" s="99"/>
      <c r="C194" s="99"/>
      <c r="D194" s="99"/>
      <c r="E194" s="99"/>
      <c r="F194" s="170"/>
      <c r="G194" s="99"/>
      <c r="H194" s="99"/>
      <c r="I194" s="99"/>
      <c r="J194" s="171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  <c r="AA194" s="99"/>
      <c r="AB194" s="99"/>
      <c r="AC194" s="99"/>
    </row>
    <row r="195">
      <c r="A195" s="157"/>
      <c r="B195" s="99"/>
      <c r="C195" s="99"/>
      <c r="D195" s="99"/>
      <c r="E195" s="99"/>
      <c r="F195" s="170"/>
      <c r="G195" s="99"/>
      <c r="H195" s="99"/>
      <c r="I195" s="99"/>
      <c r="J195" s="171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  <c r="AA195" s="99"/>
      <c r="AB195" s="99"/>
      <c r="AC195" s="99"/>
    </row>
    <row r="196">
      <c r="A196" s="157"/>
      <c r="B196" s="99"/>
      <c r="C196" s="99"/>
      <c r="D196" s="99"/>
      <c r="E196" s="99"/>
      <c r="F196" s="170"/>
      <c r="G196" s="99"/>
      <c r="H196" s="99"/>
      <c r="I196" s="99"/>
      <c r="J196" s="171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  <c r="AA196" s="99"/>
      <c r="AB196" s="99"/>
      <c r="AC196" s="99"/>
    </row>
    <row r="197">
      <c r="A197" s="157"/>
      <c r="B197" s="99"/>
      <c r="C197" s="99"/>
      <c r="D197" s="99"/>
      <c r="E197" s="99"/>
      <c r="F197" s="170"/>
      <c r="G197" s="99"/>
      <c r="H197" s="99"/>
      <c r="I197" s="99"/>
      <c r="J197" s="171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  <c r="AA197" s="99"/>
      <c r="AB197" s="99"/>
      <c r="AC197" s="99"/>
    </row>
    <row r="198">
      <c r="A198" s="157"/>
      <c r="B198" s="99"/>
      <c r="C198" s="99"/>
      <c r="D198" s="99"/>
      <c r="E198" s="99"/>
      <c r="F198" s="170"/>
      <c r="G198" s="99"/>
      <c r="H198" s="99"/>
      <c r="I198" s="99"/>
      <c r="J198" s="171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  <c r="AA198" s="99"/>
      <c r="AB198" s="99"/>
      <c r="AC198" s="99"/>
    </row>
    <row r="199">
      <c r="A199" s="157"/>
      <c r="B199" s="99"/>
      <c r="C199" s="99"/>
      <c r="D199" s="99"/>
      <c r="E199" s="99"/>
      <c r="F199" s="170"/>
      <c r="G199" s="99"/>
      <c r="H199" s="99"/>
      <c r="I199" s="99"/>
      <c r="J199" s="171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  <c r="AA199" s="99"/>
      <c r="AB199" s="99"/>
      <c r="AC199" s="99"/>
    </row>
    <row r="200">
      <c r="A200" s="157"/>
      <c r="B200" s="99"/>
      <c r="C200" s="99"/>
      <c r="D200" s="99"/>
      <c r="E200" s="99"/>
      <c r="F200" s="170"/>
      <c r="G200" s="99"/>
      <c r="H200" s="99"/>
      <c r="I200" s="99"/>
      <c r="J200" s="171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  <c r="AA200" s="99"/>
      <c r="AB200" s="99"/>
      <c r="AC200" s="99"/>
    </row>
    <row r="201">
      <c r="A201" s="157"/>
      <c r="B201" s="99"/>
      <c r="C201" s="99"/>
      <c r="D201" s="99"/>
      <c r="E201" s="99"/>
      <c r="F201" s="170"/>
      <c r="G201" s="99"/>
      <c r="H201" s="99"/>
      <c r="I201" s="99"/>
      <c r="J201" s="171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  <c r="AA201" s="99"/>
      <c r="AB201" s="99"/>
      <c r="AC201" s="99"/>
    </row>
    <row r="202">
      <c r="A202" s="157"/>
      <c r="B202" s="99"/>
      <c r="C202" s="99"/>
      <c r="D202" s="99"/>
      <c r="E202" s="99"/>
      <c r="F202" s="170"/>
      <c r="G202" s="99"/>
      <c r="H202" s="99"/>
      <c r="I202" s="99"/>
      <c r="J202" s="171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  <c r="AA202" s="99"/>
      <c r="AB202" s="99"/>
      <c r="AC202" s="99"/>
    </row>
    <row r="203">
      <c r="A203" s="157"/>
      <c r="B203" s="99"/>
      <c r="C203" s="99"/>
      <c r="D203" s="99"/>
      <c r="E203" s="99"/>
      <c r="F203" s="170"/>
      <c r="G203" s="99"/>
      <c r="H203" s="99"/>
      <c r="I203" s="99"/>
      <c r="J203" s="171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  <c r="AA203" s="99"/>
      <c r="AB203" s="99"/>
      <c r="AC203" s="99"/>
    </row>
    <row r="204">
      <c r="A204" s="157"/>
      <c r="B204" s="99"/>
      <c r="C204" s="99"/>
      <c r="D204" s="99"/>
      <c r="E204" s="99"/>
      <c r="F204" s="170"/>
      <c r="G204" s="99"/>
      <c r="H204" s="99"/>
      <c r="I204" s="99"/>
      <c r="J204" s="171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  <c r="AA204" s="99"/>
      <c r="AB204" s="99"/>
      <c r="AC204" s="99"/>
    </row>
    <row r="205">
      <c r="A205" s="157"/>
      <c r="B205" s="99"/>
      <c r="C205" s="99"/>
      <c r="D205" s="99"/>
      <c r="E205" s="99"/>
      <c r="F205" s="170"/>
      <c r="G205" s="99"/>
      <c r="H205" s="99"/>
      <c r="I205" s="99"/>
      <c r="J205" s="171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  <c r="AA205" s="99"/>
      <c r="AB205" s="99"/>
      <c r="AC205" s="99"/>
    </row>
    <row r="206">
      <c r="A206" s="157"/>
      <c r="B206" s="99"/>
      <c r="C206" s="99"/>
      <c r="D206" s="99"/>
      <c r="E206" s="99"/>
      <c r="F206" s="170"/>
      <c r="G206" s="99"/>
      <c r="H206" s="99"/>
      <c r="I206" s="99"/>
      <c r="J206" s="171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  <c r="AA206" s="99"/>
      <c r="AB206" s="99"/>
      <c r="AC206" s="99"/>
    </row>
    <row r="207">
      <c r="A207" s="157"/>
      <c r="B207" s="99"/>
      <c r="C207" s="99"/>
      <c r="D207" s="99"/>
      <c r="E207" s="99"/>
      <c r="F207" s="170"/>
      <c r="G207" s="99"/>
      <c r="H207" s="99"/>
      <c r="I207" s="99"/>
      <c r="J207" s="171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  <c r="AA207" s="99"/>
      <c r="AB207" s="99"/>
      <c r="AC207" s="99"/>
    </row>
    <row r="208">
      <c r="A208" s="157"/>
      <c r="B208" s="99"/>
      <c r="C208" s="99"/>
      <c r="D208" s="99"/>
      <c r="E208" s="99"/>
      <c r="F208" s="170"/>
      <c r="G208" s="99"/>
      <c r="H208" s="99"/>
      <c r="I208" s="99"/>
      <c r="J208" s="171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  <c r="AA208" s="99"/>
      <c r="AB208" s="99"/>
      <c r="AC208" s="99"/>
    </row>
    <row r="209">
      <c r="A209" s="157"/>
      <c r="B209" s="99"/>
      <c r="C209" s="99"/>
      <c r="D209" s="99"/>
      <c r="E209" s="99"/>
      <c r="F209" s="170"/>
      <c r="G209" s="99"/>
      <c r="H209" s="99"/>
      <c r="I209" s="99"/>
      <c r="J209" s="171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  <c r="AA209" s="99"/>
      <c r="AB209" s="99"/>
      <c r="AC209" s="99"/>
    </row>
    <row r="210">
      <c r="A210" s="157"/>
      <c r="B210" s="99"/>
      <c r="C210" s="99"/>
      <c r="D210" s="99"/>
      <c r="E210" s="99"/>
      <c r="F210" s="170"/>
      <c r="G210" s="99"/>
      <c r="H210" s="99"/>
      <c r="I210" s="99"/>
      <c r="J210" s="171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  <c r="AA210" s="99"/>
      <c r="AB210" s="99"/>
      <c r="AC210" s="99"/>
    </row>
    <row r="211">
      <c r="A211" s="157"/>
      <c r="B211" s="99"/>
      <c r="C211" s="99"/>
      <c r="D211" s="99"/>
      <c r="E211" s="99"/>
      <c r="F211" s="170"/>
      <c r="G211" s="99"/>
      <c r="H211" s="99"/>
      <c r="I211" s="99"/>
      <c r="J211" s="171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  <c r="AA211" s="99"/>
      <c r="AB211" s="99"/>
      <c r="AC211" s="99"/>
    </row>
    <row r="212">
      <c r="A212" s="157"/>
      <c r="B212" s="99"/>
      <c r="C212" s="99"/>
      <c r="D212" s="99"/>
      <c r="E212" s="99"/>
      <c r="F212" s="170"/>
      <c r="G212" s="99"/>
      <c r="H212" s="99"/>
      <c r="I212" s="99"/>
      <c r="J212" s="171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  <c r="AA212" s="99"/>
      <c r="AB212" s="99"/>
      <c r="AC212" s="99"/>
    </row>
    <row r="213">
      <c r="A213" s="157"/>
      <c r="B213" s="99"/>
      <c r="C213" s="99"/>
      <c r="D213" s="99"/>
      <c r="E213" s="99"/>
      <c r="F213" s="170"/>
      <c r="G213" s="99"/>
      <c r="H213" s="99"/>
      <c r="I213" s="99"/>
      <c r="J213" s="171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  <c r="AA213" s="99"/>
      <c r="AB213" s="99"/>
      <c r="AC213" s="99"/>
    </row>
    <row r="214">
      <c r="A214" s="157"/>
      <c r="B214" s="99"/>
      <c r="C214" s="99"/>
      <c r="D214" s="99"/>
      <c r="E214" s="99"/>
      <c r="F214" s="170"/>
      <c r="G214" s="99"/>
      <c r="H214" s="99"/>
      <c r="I214" s="99"/>
      <c r="J214" s="171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  <c r="AA214" s="99"/>
      <c r="AB214" s="99"/>
      <c r="AC214" s="99"/>
    </row>
    <row r="215">
      <c r="A215" s="157"/>
      <c r="B215" s="99"/>
      <c r="C215" s="99"/>
      <c r="D215" s="99"/>
      <c r="E215" s="99"/>
      <c r="F215" s="170"/>
      <c r="G215" s="99"/>
      <c r="H215" s="99"/>
      <c r="I215" s="99"/>
      <c r="J215" s="171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  <c r="AA215" s="99"/>
      <c r="AB215" s="99"/>
      <c r="AC215" s="99"/>
    </row>
    <row r="216">
      <c r="A216" s="157"/>
      <c r="B216" s="99"/>
      <c r="C216" s="99"/>
      <c r="D216" s="99"/>
      <c r="E216" s="99"/>
      <c r="F216" s="170"/>
      <c r="G216" s="99"/>
      <c r="H216" s="99"/>
      <c r="I216" s="99"/>
      <c r="J216" s="171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  <c r="AA216" s="99"/>
      <c r="AB216" s="99"/>
      <c r="AC216" s="99"/>
    </row>
    <row r="217">
      <c r="A217" s="157"/>
      <c r="B217" s="99"/>
      <c r="C217" s="99"/>
      <c r="D217" s="99"/>
      <c r="E217" s="99"/>
      <c r="F217" s="170"/>
      <c r="G217" s="99"/>
      <c r="H217" s="99"/>
      <c r="I217" s="99"/>
      <c r="J217" s="171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  <c r="AA217" s="99"/>
      <c r="AB217" s="99"/>
      <c r="AC217" s="99"/>
    </row>
    <row r="218">
      <c r="A218" s="157"/>
      <c r="B218" s="99"/>
      <c r="C218" s="99"/>
      <c r="D218" s="99"/>
      <c r="E218" s="99"/>
      <c r="F218" s="170"/>
      <c r="G218" s="99"/>
      <c r="H218" s="99"/>
      <c r="I218" s="99"/>
      <c r="J218" s="171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  <c r="AA218" s="99"/>
      <c r="AB218" s="99"/>
      <c r="AC218" s="99"/>
    </row>
    <row r="219">
      <c r="A219" s="157"/>
      <c r="B219" s="99"/>
      <c r="C219" s="99"/>
      <c r="D219" s="99"/>
      <c r="E219" s="99"/>
      <c r="F219" s="170"/>
      <c r="G219" s="99"/>
      <c r="H219" s="99"/>
      <c r="I219" s="99"/>
      <c r="J219" s="171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  <c r="AA219" s="99"/>
      <c r="AB219" s="99"/>
      <c r="AC219" s="99"/>
    </row>
    <row r="220">
      <c r="A220" s="157"/>
      <c r="B220" s="99"/>
      <c r="C220" s="99"/>
      <c r="D220" s="99"/>
      <c r="E220" s="99"/>
      <c r="F220" s="170"/>
      <c r="G220" s="99"/>
      <c r="H220" s="99"/>
      <c r="I220" s="99"/>
      <c r="J220" s="171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  <c r="AA220" s="99"/>
      <c r="AB220" s="99"/>
      <c r="AC220" s="99"/>
    </row>
    <row r="221">
      <c r="A221" s="157"/>
      <c r="B221" s="99"/>
      <c r="C221" s="99"/>
      <c r="D221" s="99"/>
      <c r="E221" s="99"/>
      <c r="F221" s="170"/>
      <c r="G221" s="99"/>
      <c r="H221" s="99"/>
      <c r="I221" s="99"/>
      <c r="J221" s="171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  <c r="AA221" s="99"/>
      <c r="AB221" s="99"/>
      <c r="AC221" s="99"/>
    </row>
    <row r="222">
      <c r="A222" s="157"/>
      <c r="B222" s="99"/>
      <c r="C222" s="99"/>
      <c r="D222" s="99"/>
      <c r="E222" s="99"/>
      <c r="F222" s="170"/>
      <c r="G222" s="99"/>
      <c r="H222" s="99"/>
      <c r="I222" s="99"/>
      <c r="J222" s="171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  <c r="AA222" s="99"/>
      <c r="AB222" s="99"/>
      <c r="AC222" s="99"/>
    </row>
    <row r="223">
      <c r="A223" s="157"/>
      <c r="B223" s="99"/>
      <c r="C223" s="99"/>
      <c r="D223" s="99"/>
      <c r="E223" s="99"/>
      <c r="F223" s="170"/>
      <c r="G223" s="99"/>
      <c r="H223" s="99"/>
      <c r="I223" s="99"/>
      <c r="J223" s="171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  <c r="AA223" s="99"/>
      <c r="AB223" s="99"/>
      <c r="AC223" s="99"/>
    </row>
    <row r="224">
      <c r="A224" s="157"/>
      <c r="B224" s="99"/>
      <c r="C224" s="99"/>
      <c r="D224" s="99"/>
      <c r="E224" s="99"/>
      <c r="F224" s="170"/>
      <c r="G224" s="99"/>
      <c r="H224" s="99"/>
      <c r="I224" s="99"/>
      <c r="J224" s="171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  <c r="AA224" s="99"/>
      <c r="AB224" s="99"/>
      <c r="AC224" s="99"/>
    </row>
    <row r="225">
      <c r="A225" s="157"/>
      <c r="B225" s="99"/>
      <c r="C225" s="99"/>
      <c r="D225" s="99"/>
      <c r="E225" s="99"/>
      <c r="F225" s="170"/>
      <c r="G225" s="99"/>
      <c r="H225" s="99"/>
      <c r="I225" s="99"/>
      <c r="J225" s="171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  <c r="AA225" s="99"/>
      <c r="AB225" s="99"/>
      <c r="AC225" s="99"/>
    </row>
    <row r="226">
      <c r="A226" s="157"/>
      <c r="B226" s="99"/>
      <c r="C226" s="99"/>
      <c r="D226" s="99"/>
      <c r="E226" s="99"/>
      <c r="F226" s="170"/>
      <c r="G226" s="99"/>
      <c r="H226" s="99"/>
      <c r="I226" s="99"/>
      <c r="J226" s="171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  <c r="AA226" s="99"/>
      <c r="AB226" s="99"/>
      <c r="AC226" s="99"/>
    </row>
    <row r="227">
      <c r="A227" s="157"/>
      <c r="B227" s="99"/>
      <c r="C227" s="99"/>
      <c r="D227" s="99"/>
      <c r="E227" s="99"/>
      <c r="F227" s="170"/>
      <c r="G227" s="99"/>
      <c r="H227" s="99"/>
      <c r="I227" s="99"/>
      <c r="J227" s="171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  <c r="AA227" s="99"/>
      <c r="AB227" s="99"/>
      <c r="AC227" s="99"/>
    </row>
    <row r="228">
      <c r="A228" s="157"/>
      <c r="B228" s="99"/>
      <c r="C228" s="99"/>
      <c r="D228" s="99"/>
      <c r="E228" s="99"/>
      <c r="F228" s="170"/>
      <c r="G228" s="99"/>
      <c r="H228" s="99"/>
      <c r="I228" s="99"/>
      <c r="J228" s="171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  <c r="AA228" s="99"/>
      <c r="AB228" s="99"/>
      <c r="AC228" s="99"/>
    </row>
    <row r="229">
      <c r="A229" s="157"/>
      <c r="B229" s="99"/>
      <c r="C229" s="99"/>
      <c r="D229" s="99"/>
      <c r="E229" s="99"/>
      <c r="F229" s="170"/>
      <c r="G229" s="99"/>
      <c r="H229" s="99"/>
      <c r="I229" s="99"/>
      <c r="J229" s="171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  <c r="AA229" s="99"/>
      <c r="AB229" s="99"/>
      <c r="AC229" s="99"/>
    </row>
    <row r="230">
      <c r="A230" s="157"/>
      <c r="B230" s="99"/>
      <c r="C230" s="99"/>
      <c r="D230" s="99"/>
      <c r="E230" s="99"/>
      <c r="F230" s="170"/>
      <c r="G230" s="99"/>
      <c r="H230" s="99"/>
      <c r="I230" s="99"/>
      <c r="J230" s="171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  <c r="X230" s="99"/>
      <c r="Y230" s="99"/>
      <c r="Z230" s="99"/>
      <c r="AA230" s="99"/>
      <c r="AB230" s="99"/>
      <c r="AC230" s="99"/>
    </row>
    <row r="231">
      <c r="A231" s="157"/>
      <c r="B231" s="99"/>
      <c r="C231" s="99"/>
      <c r="D231" s="99"/>
      <c r="E231" s="99"/>
      <c r="F231" s="170"/>
      <c r="G231" s="99"/>
      <c r="H231" s="99"/>
      <c r="I231" s="99"/>
      <c r="J231" s="171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  <c r="X231" s="99"/>
      <c r="Y231" s="99"/>
      <c r="Z231" s="99"/>
      <c r="AA231" s="99"/>
      <c r="AB231" s="99"/>
      <c r="AC231" s="99"/>
    </row>
    <row r="232">
      <c r="A232" s="157"/>
      <c r="B232" s="99"/>
      <c r="C232" s="99"/>
      <c r="D232" s="99"/>
      <c r="E232" s="99"/>
      <c r="F232" s="170"/>
      <c r="G232" s="99"/>
      <c r="H232" s="99"/>
      <c r="I232" s="99"/>
      <c r="J232" s="171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  <c r="X232" s="99"/>
      <c r="Y232" s="99"/>
      <c r="Z232" s="99"/>
      <c r="AA232" s="99"/>
      <c r="AB232" s="99"/>
      <c r="AC232" s="99"/>
    </row>
    <row r="233">
      <c r="A233" s="157"/>
      <c r="B233" s="99"/>
      <c r="C233" s="99"/>
      <c r="D233" s="99"/>
      <c r="E233" s="99"/>
      <c r="F233" s="170"/>
      <c r="G233" s="99"/>
      <c r="H233" s="99"/>
      <c r="I233" s="99"/>
      <c r="J233" s="171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  <c r="AA233" s="99"/>
      <c r="AB233" s="99"/>
      <c r="AC233" s="99"/>
    </row>
    <row r="234">
      <c r="A234" s="157"/>
      <c r="B234" s="99"/>
      <c r="C234" s="99"/>
      <c r="D234" s="99"/>
      <c r="E234" s="99"/>
      <c r="F234" s="170"/>
      <c r="G234" s="99"/>
      <c r="H234" s="99"/>
      <c r="I234" s="99"/>
      <c r="J234" s="171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  <c r="X234" s="99"/>
      <c r="Y234" s="99"/>
      <c r="Z234" s="99"/>
      <c r="AA234" s="99"/>
      <c r="AB234" s="99"/>
      <c r="AC234" s="99"/>
    </row>
    <row r="235">
      <c r="A235" s="157"/>
      <c r="B235" s="99"/>
      <c r="C235" s="99"/>
      <c r="D235" s="99"/>
      <c r="E235" s="99"/>
      <c r="F235" s="170"/>
      <c r="G235" s="99"/>
      <c r="H235" s="99"/>
      <c r="I235" s="99"/>
      <c r="J235" s="171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  <c r="X235" s="99"/>
      <c r="Y235" s="99"/>
      <c r="Z235" s="99"/>
      <c r="AA235" s="99"/>
      <c r="AB235" s="99"/>
      <c r="AC235" s="99"/>
    </row>
    <row r="236">
      <c r="A236" s="157"/>
      <c r="B236" s="99"/>
      <c r="C236" s="99"/>
      <c r="D236" s="99"/>
      <c r="E236" s="99"/>
      <c r="F236" s="170"/>
      <c r="G236" s="99"/>
      <c r="H236" s="99"/>
      <c r="I236" s="99"/>
      <c r="J236" s="171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  <c r="X236" s="99"/>
      <c r="Y236" s="99"/>
      <c r="Z236" s="99"/>
      <c r="AA236" s="99"/>
      <c r="AB236" s="99"/>
      <c r="AC236" s="99"/>
    </row>
    <row r="237">
      <c r="A237" s="157"/>
      <c r="B237" s="99"/>
      <c r="C237" s="99"/>
      <c r="D237" s="99"/>
      <c r="E237" s="99"/>
      <c r="F237" s="170"/>
      <c r="G237" s="99"/>
      <c r="H237" s="99"/>
      <c r="I237" s="99"/>
      <c r="J237" s="171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  <c r="X237" s="99"/>
      <c r="Y237" s="99"/>
      <c r="Z237" s="99"/>
      <c r="AA237" s="99"/>
      <c r="AB237" s="99"/>
      <c r="AC237" s="99"/>
    </row>
    <row r="238">
      <c r="A238" s="157"/>
      <c r="B238" s="99"/>
      <c r="C238" s="99"/>
      <c r="D238" s="99"/>
      <c r="E238" s="99"/>
      <c r="F238" s="170"/>
      <c r="G238" s="99"/>
      <c r="H238" s="99"/>
      <c r="I238" s="99"/>
      <c r="J238" s="171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  <c r="AA238" s="99"/>
      <c r="AB238" s="99"/>
      <c r="AC238" s="99"/>
    </row>
    <row r="239">
      <c r="A239" s="157"/>
      <c r="B239" s="99"/>
      <c r="C239" s="99"/>
      <c r="D239" s="99"/>
      <c r="E239" s="99"/>
      <c r="F239" s="170"/>
      <c r="G239" s="99"/>
      <c r="H239" s="99"/>
      <c r="I239" s="99"/>
      <c r="J239" s="171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  <c r="AA239" s="99"/>
      <c r="AB239" s="99"/>
      <c r="AC239" s="99"/>
    </row>
    <row r="240">
      <c r="A240" s="157"/>
      <c r="B240" s="99"/>
      <c r="C240" s="99"/>
      <c r="D240" s="99"/>
      <c r="E240" s="99"/>
      <c r="F240" s="170"/>
      <c r="G240" s="99"/>
      <c r="H240" s="99"/>
      <c r="I240" s="99"/>
      <c r="J240" s="171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  <c r="X240" s="99"/>
      <c r="Y240" s="99"/>
      <c r="Z240" s="99"/>
      <c r="AA240" s="99"/>
      <c r="AB240" s="99"/>
      <c r="AC240" s="99"/>
    </row>
    <row r="241">
      <c r="A241" s="157"/>
      <c r="B241" s="99"/>
      <c r="C241" s="99"/>
      <c r="D241" s="99"/>
      <c r="E241" s="99"/>
      <c r="F241" s="170"/>
      <c r="G241" s="99"/>
      <c r="H241" s="99"/>
      <c r="I241" s="99"/>
      <c r="J241" s="171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  <c r="AA241" s="99"/>
      <c r="AB241" s="99"/>
      <c r="AC241" s="99"/>
    </row>
    <row r="242">
      <c r="A242" s="157"/>
      <c r="B242" s="99"/>
      <c r="C242" s="99"/>
      <c r="D242" s="99"/>
      <c r="E242" s="99"/>
      <c r="F242" s="170"/>
      <c r="G242" s="99"/>
      <c r="H242" s="99"/>
      <c r="I242" s="99"/>
      <c r="J242" s="171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  <c r="AA242" s="99"/>
      <c r="AB242" s="99"/>
      <c r="AC242" s="99"/>
    </row>
    <row r="243">
      <c r="A243" s="157"/>
      <c r="B243" s="99"/>
      <c r="C243" s="99"/>
      <c r="D243" s="99"/>
      <c r="E243" s="99"/>
      <c r="F243" s="170"/>
      <c r="G243" s="99"/>
      <c r="H243" s="99"/>
      <c r="I243" s="99"/>
      <c r="J243" s="171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  <c r="AA243" s="99"/>
      <c r="AB243" s="99"/>
      <c r="AC243" s="99"/>
    </row>
    <row r="244">
      <c r="A244" s="157"/>
      <c r="B244" s="99"/>
      <c r="C244" s="99"/>
      <c r="D244" s="99"/>
      <c r="E244" s="99"/>
      <c r="F244" s="170"/>
      <c r="G244" s="99"/>
      <c r="H244" s="99"/>
      <c r="I244" s="99"/>
      <c r="J244" s="171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  <c r="AA244" s="99"/>
      <c r="AB244" s="99"/>
      <c r="AC244" s="99"/>
    </row>
    <row r="245">
      <c r="A245" s="157"/>
      <c r="B245" s="99"/>
      <c r="C245" s="99"/>
      <c r="D245" s="99"/>
      <c r="E245" s="99"/>
      <c r="F245" s="170"/>
      <c r="G245" s="99"/>
      <c r="H245" s="99"/>
      <c r="I245" s="99"/>
      <c r="J245" s="171"/>
      <c r="K245" s="99"/>
      <c r="L245" s="99"/>
      <c r="M245" s="99"/>
      <c r="N245" s="99"/>
      <c r="O245" s="99"/>
      <c r="P245" s="99"/>
      <c r="Q245" s="99"/>
      <c r="R245" s="99"/>
      <c r="S245" s="99"/>
      <c r="T245" s="99"/>
      <c r="U245" s="99"/>
      <c r="V245" s="99"/>
      <c r="W245" s="99"/>
      <c r="X245" s="99"/>
      <c r="Y245" s="99"/>
      <c r="Z245" s="99"/>
      <c r="AA245" s="99"/>
      <c r="AB245" s="99"/>
      <c r="AC245" s="99"/>
    </row>
    <row r="246">
      <c r="A246" s="157"/>
      <c r="B246" s="99"/>
      <c r="C246" s="99"/>
      <c r="D246" s="99"/>
      <c r="E246" s="99"/>
      <c r="F246" s="170"/>
      <c r="G246" s="99"/>
      <c r="H246" s="99"/>
      <c r="I246" s="99"/>
      <c r="J246" s="171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  <c r="AA246" s="99"/>
      <c r="AB246" s="99"/>
      <c r="AC246" s="99"/>
    </row>
    <row r="247">
      <c r="A247" s="157"/>
      <c r="B247" s="99"/>
      <c r="C247" s="99"/>
      <c r="D247" s="99"/>
      <c r="E247" s="99"/>
      <c r="F247" s="170"/>
      <c r="G247" s="99"/>
      <c r="H247" s="99"/>
      <c r="I247" s="99"/>
      <c r="J247" s="171"/>
      <c r="K247" s="99"/>
      <c r="L247" s="99"/>
      <c r="M247" s="99"/>
      <c r="N247" s="99"/>
      <c r="O247" s="99"/>
      <c r="P247" s="99"/>
      <c r="Q247" s="99"/>
      <c r="R247" s="99"/>
      <c r="S247" s="99"/>
      <c r="T247" s="99"/>
      <c r="U247" s="99"/>
      <c r="V247" s="99"/>
      <c r="W247" s="99"/>
      <c r="X247" s="99"/>
      <c r="Y247" s="99"/>
      <c r="Z247" s="99"/>
      <c r="AA247" s="99"/>
      <c r="AB247" s="99"/>
      <c r="AC247" s="99"/>
    </row>
    <row r="248">
      <c r="A248" s="157"/>
      <c r="B248" s="99"/>
      <c r="C248" s="99"/>
      <c r="D248" s="99"/>
      <c r="E248" s="99"/>
      <c r="F248" s="170"/>
      <c r="G248" s="99"/>
      <c r="H248" s="99"/>
      <c r="I248" s="99"/>
      <c r="J248" s="171"/>
      <c r="K248" s="99"/>
      <c r="L248" s="99"/>
      <c r="M248" s="99"/>
      <c r="N248" s="99"/>
      <c r="O248" s="99"/>
      <c r="P248" s="99"/>
      <c r="Q248" s="99"/>
      <c r="R248" s="99"/>
      <c r="S248" s="99"/>
      <c r="T248" s="99"/>
      <c r="U248" s="99"/>
      <c r="V248" s="99"/>
      <c r="W248" s="99"/>
      <c r="X248" s="99"/>
      <c r="Y248" s="99"/>
      <c r="Z248" s="99"/>
      <c r="AA248" s="99"/>
      <c r="AB248" s="99"/>
      <c r="AC248" s="99"/>
    </row>
    <row r="249">
      <c r="A249" s="157"/>
      <c r="B249" s="99"/>
      <c r="C249" s="99"/>
      <c r="D249" s="99"/>
      <c r="E249" s="99"/>
      <c r="F249" s="170"/>
      <c r="G249" s="99"/>
      <c r="H249" s="99"/>
      <c r="I249" s="99"/>
      <c r="J249" s="171"/>
      <c r="K249" s="99"/>
      <c r="L249" s="99"/>
      <c r="M249" s="99"/>
      <c r="N249" s="99"/>
      <c r="O249" s="99"/>
      <c r="P249" s="99"/>
      <c r="Q249" s="99"/>
      <c r="R249" s="99"/>
      <c r="S249" s="99"/>
      <c r="T249" s="99"/>
      <c r="U249" s="99"/>
      <c r="V249" s="99"/>
      <c r="W249" s="99"/>
      <c r="X249" s="99"/>
      <c r="Y249" s="99"/>
      <c r="Z249" s="99"/>
      <c r="AA249" s="99"/>
      <c r="AB249" s="99"/>
      <c r="AC249" s="99"/>
    </row>
    <row r="250">
      <c r="A250" s="157"/>
      <c r="B250" s="99"/>
      <c r="C250" s="99"/>
      <c r="D250" s="99"/>
      <c r="E250" s="99"/>
      <c r="F250" s="170"/>
      <c r="G250" s="99"/>
      <c r="H250" s="99"/>
      <c r="I250" s="99"/>
      <c r="J250" s="171"/>
      <c r="K250" s="99"/>
      <c r="L250" s="99"/>
      <c r="M250" s="99"/>
      <c r="N250" s="99"/>
      <c r="O250" s="99"/>
      <c r="P250" s="99"/>
      <c r="Q250" s="99"/>
      <c r="R250" s="99"/>
      <c r="S250" s="99"/>
      <c r="T250" s="99"/>
      <c r="U250" s="99"/>
      <c r="V250" s="99"/>
      <c r="W250" s="99"/>
      <c r="X250" s="99"/>
      <c r="Y250" s="99"/>
      <c r="Z250" s="99"/>
      <c r="AA250" s="99"/>
      <c r="AB250" s="99"/>
      <c r="AC250" s="99"/>
    </row>
    <row r="251">
      <c r="A251" s="157"/>
      <c r="B251" s="99"/>
      <c r="C251" s="99"/>
      <c r="D251" s="99"/>
      <c r="E251" s="99"/>
      <c r="F251" s="170"/>
      <c r="G251" s="99"/>
      <c r="H251" s="99"/>
      <c r="I251" s="99"/>
      <c r="J251" s="171"/>
      <c r="K251" s="99"/>
      <c r="L251" s="99"/>
      <c r="M251" s="99"/>
      <c r="N251" s="99"/>
      <c r="O251" s="99"/>
      <c r="P251" s="99"/>
      <c r="Q251" s="99"/>
      <c r="R251" s="99"/>
      <c r="S251" s="99"/>
      <c r="T251" s="99"/>
      <c r="U251" s="99"/>
      <c r="V251" s="99"/>
      <c r="W251" s="99"/>
      <c r="X251" s="99"/>
      <c r="Y251" s="99"/>
      <c r="Z251" s="99"/>
      <c r="AA251" s="99"/>
      <c r="AB251" s="99"/>
      <c r="AC251" s="99"/>
    </row>
    <row r="252">
      <c r="A252" s="157"/>
      <c r="B252" s="99"/>
      <c r="C252" s="99"/>
      <c r="D252" s="99"/>
      <c r="E252" s="99"/>
      <c r="F252" s="170"/>
      <c r="G252" s="99"/>
      <c r="H252" s="99"/>
      <c r="I252" s="99"/>
      <c r="J252" s="171"/>
      <c r="K252" s="99"/>
      <c r="L252" s="99"/>
      <c r="M252" s="99"/>
      <c r="N252" s="99"/>
      <c r="O252" s="99"/>
      <c r="P252" s="99"/>
      <c r="Q252" s="99"/>
      <c r="R252" s="99"/>
      <c r="S252" s="99"/>
      <c r="T252" s="99"/>
      <c r="U252" s="99"/>
      <c r="V252" s="99"/>
      <c r="W252" s="99"/>
      <c r="X252" s="99"/>
      <c r="Y252" s="99"/>
      <c r="Z252" s="99"/>
      <c r="AA252" s="99"/>
      <c r="AB252" s="99"/>
      <c r="AC252" s="99"/>
    </row>
    <row r="253">
      <c r="A253" s="157"/>
      <c r="B253" s="99"/>
      <c r="C253" s="99"/>
      <c r="D253" s="99"/>
      <c r="E253" s="99"/>
      <c r="F253" s="170"/>
      <c r="G253" s="99"/>
      <c r="H253" s="99"/>
      <c r="I253" s="99"/>
      <c r="J253" s="171"/>
      <c r="K253" s="99"/>
      <c r="L253" s="99"/>
      <c r="M253" s="99"/>
      <c r="N253" s="99"/>
      <c r="O253" s="99"/>
      <c r="P253" s="99"/>
      <c r="Q253" s="99"/>
      <c r="R253" s="99"/>
      <c r="S253" s="99"/>
      <c r="T253" s="99"/>
      <c r="U253" s="99"/>
      <c r="V253" s="99"/>
      <c r="W253" s="99"/>
      <c r="X253" s="99"/>
      <c r="Y253" s="99"/>
      <c r="Z253" s="99"/>
      <c r="AA253" s="99"/>
      <c r="AB253" s="99"/>
      <c r="AC253" s="99"/>
    </row>
    <row r="254">
      <c r="A254" s="157"/>
      <c r="B254" s="99"/>
      <c r="C254" s="99"/>
      <c r="D254" s="99"/>
      <c r="E254" s="99"/>
      <c r="F254" s="170"/>
      <c r="G254" s="99"/>
      <c r="H254" s="99"/>
      <c r="I254" s="99"/>
      <c r="J254" s="171"/>
      <c r="K254" s="99"/>
      <c r="L254" s="99"/>
      <c r="M254" s="99"/>
      <c r="N254" s="99"/>
      <c r="O254" s="99"/>
      <c r="P254" s="99"/>
      <c r="Q254" s="99"/>
      <c r="R254" s="99"/>
      <c r="S254" s="99"/>
      <c r="T254" s="99"/>
      <c r="U254" s="99"/>
      <c r="V254" s="99"/>
      <c r="W254" s="99"/>
      <c r="X254" s="99"/>
      <c r="Y254" s="99"/>
      <c r="Z254" s="99"/>
      <c r="AA254" s="99"/>
      <c r="AB254" s="99"/>
      <c r="AC254" s="99"/>
    </row>
    <row r="255">
      <c r="A255" s="157"/>
      <c r="B255" s="99"/>
      <c r="C255" s="99"/>
      <c r="D255" s="99"/>
      <c r="E255" s="99"/>
      <c r="F255" s="170"/>
      <c r="G255" s="99"/>
      <c r="H255" s="99"/>
      <c r="I255" s="99"/>
      <c r="J255" s="171"/>
      <c r="K255" s="99"/>
      <c r="L255" s="99"/>
      <c r="M255" s="99"/>
      <c r="N255" s="99"/>
      <c r="O255" s="99"/>
      <c r="P255" s="99"/>
      <c r="Q255" s="99"/>
      <c r="R255" s="99"/>
      <c r="S255" s="99"/>
      <c r="T255" s="99"/>
      <c r="U255" s="99"/>
      <c r="V255" s="99"/>
      <c r="W255" s="99"/>
      <c r="X255" s="99"/>
      <c r="Y255" s="99"/>
      <c r="Z255" s="99"/>
      <c r="AA255" s="99"/>
      <c r="AB255" s="99"/>
      <c r="AC255" s="99"/>
    </row>
    <row r="256">
      <c r="A256" s="157"/>
      <c r="B256" s="99"/>
      <c r="C256" s="99"/>
      <c r="D256" s="99"/>
      <c r="E256" s="99"/>
      <c r="F256" s="170"/>
      <c r="G256" s="99"/>
      <c r="H256" s="99"/>
      <c r="I256" s="99"/>
      <c r="J256" s="171"/>
      <c r="K256" s="99"/>
      <c r="L256" s="99"/>
      <c r="M256" s="99"/>
      <c r="N256" s="99"/>
      <c r="O256" s="99"/>
      <c r="P256" s="99"/>
      <c r="Q256" s="99"/>
      <c r="R256" s="99"/>
      <c r="S256" s="99"/>
      <c r="T256" s="99"/>
      <c r="U256" s="99"/>
      <c r="V256" s="99"/>
      <c r="W256" s="99"/>
      <c r="X256" s="99"/>
      <c r="Y256" s="99"/>
      <c r="Z256" s="99"/>
      <c r="AA256" s="99"/>
      <c r="AB256" s="99"/>
      <c r="AC256" s="99"/>
    </row>
    <row r="257">
      <c r="A257" s="157"/>
      <c r="B257" s="99"/>
      <c r="C257" s="99"/>
      <c r="D257" s="99"/>
      <c r="E257" s="99"/>
      <c r="F257" s="170"/>
      <c r="G257" s="99"/>
      <c r="H257" s="99"/>
      <c r="I257" s="99"/>
      <c r="J257" s="171"/>
      <c r="K257" s="99"/>
      <c r="L257" s="99"/>
      <c r="M257" s="99"/>
      <c r="N257" s="99"/>
      <c r="O257" s="99"/>
      <c r="P257" s="99"/>
      <c r="Q257" s="99"/>
      <c r="R257" s="99"/>
      <c r="S257" s="99"/>
      <c r="T257" s="99"/>
      <c r="U257" s="99"/>
      <c r="V257" s="99"/>
      <c r="W257" s="99"/>
      <c r="X257" s="99"/>
      <c r="Y257" s="99"/>
      <c r="Z257" s="99"/>
      <c r="AA257" s="99"/>
      <c r="AB257" s="99"/>
      <c r="AC257" s="99"/>
    </row>
    <row r="258">
      <c r="A258" s="157"/>
      <c r="B258" s="99"/>
      <c r="C258" s="99"/>
      <c r="D258" s="99"/>
      <c r="E258" s="99"/>
      <c r="F258" s="170"/>
      <c r="G258" s="99"/>
      <c r="H258" s="99"/>
      <c r="I258" s="99"/>
      <c r="J258" s="171"/>
      <c r="K258" s="99"/>
      <c r="L258" s="99"/>
      <c r="M258" s="99"/>
      <c r="N258" s="99"/>
      <c r="O258" s="99"/>
      <c r="P258" s="99"/>
      <c r="Q258" s="99"/>
      <c r="R258" s="99"/>
      <c r="S258" s="99"/>
      <c r="T258" s="99"/>
      <c r="U258" s="99"/>
      <c r="V258" s="99"/>
      <c r="W258" s="99"/>
      <c r="X258" s="99"/>
      <c r="Y258" s="99"/>
      <c r="Z258" s="99"/>
      <c r="AA258" s="99"/>
      <c r="AB258" s="99"/>
      <c r="AC258" s="99"/>
    </row>
    <row r="259">
      <c r="A259" s="157"/>
      <c r="B259" s="99"/>
      <c r="C259" s="99"/>
      <c r="D259" s="99"/>
      <c r="E259" s="99"/>
      <c r="F259" s="170"/>
      <c r="G259" s="99"/>
      <c r="H259" s="99"/>
      <c r="I259" s="99"/>
      <c r="J259" s="171"/>
      <c r="K259" s="99"/>
      <c r="L259" s="99"/>
      <c r="M259" s="99"/>
      <c r="N259" s="99"/>
      <c r="O259" s="99"/>
      <c r="P259" s="99"/>
      <c r="Q259" s="99"/>
      <c r="R259" s="99"/>
      <c r="S259" s="99"/>
      <c r="T259" s="99"/>
      <c r="U259" s="99"/>
      <c r="V259" s="99"/>
      <c r="W259" s="99"/>
      <c r="X259" s="99"/>
      <c r="Y259" s="99"/>
      <c r="Z259" s="99"/>
      <c r="AA259" s="99"/>
      <c r="AB259" s="99"/>
      <c r="AC259" s="99"/>
    </row>
    <row r="260">
      <c r="A260" s="157"/>
      <c r="B260" s="99"/>
      <c r="C260" s="99"/>
      <c r="D260" s="99"/>
      <c r="E260" s="99"/>
      <c r="F260" s="170"/>
      <c r="G260" s="99"/>
      <c r="H260" s="99"/>
      <c r="I260" s="99"/>
      <c r="J260" s="171"/>
      <c r="K260" s="99"/>
      <c r="L260" s="99"/>
      <c r="M260" s="99"/>
      <c r="N260" s="99"/>
      <c r="O260" s="99"/>
      <c r="P260" s="99"/>
      <c r="Q260" s="99"/>
      <c r="R260" s="99"/>
      <c r="S260" s="99"/>
      <c r="T260" s="99"/>
      <c r="U260" s="99"/>
      <c r="V260" s="99"/>
      <c r="W260" s="99"/>
      <c r="X260" s="99"/>
      <c r="Y260" s="99"/>
      <c r="Z260" s="99"/>
      <c r="AA260" s="99"/>
      <c r="AB260" s="99"/>
      <c r="AC260" s="99"/>
    </row>
    <row r="261">
      <c r="A261" s="157"/>
      <c r="B261" s="99"/>
      <c r="C261" s="99"/>
      <c r="D261" s="99"/>
      <c r="E261" s="99"/>
      <c r="F261" s="170"/>
      <c r="G261" s="99"/>
      <c r="H261" s="99"/>
      <c r="I261" s="99"/>
      <c r="J261" s="171"/>
      <c r="K261" s="99"/>
      <c r="L261" s="99"/>
      <c r="M261" s="99"/>
      <c r="N261" s="99"/>
      <c r="O261" s="99"/>
      <c r="P261" s="99"/>
      <c r="Q261" s="99"/>
      <c r="R261" s="99"/>
      <c r="S261" s="99"/>
      <c r="T261" s="99"/>
      <c r="U261" s="99"/>
      <c r="V261" s="99"/>
      <c r="W261" s="99"/>
      <c r="X261" s="99"/>
      <c r="Y261" s="99"/>
      <c r="Z261" s="99"/>
      <c r="AA261" s="99"/>
      <c r="AB261" s="99"/>
      <c r="AC261" s="99"/>
    </row>
    <row r="262">
      <c r="A262" s="157"/>
      <c r="B262" s="99"/>
      <c r="C262" s="99"/>
      <c r="D262" s="99"/>
      <c r="E262" s="99"/>
      <c r="F262" s="170"/>
      <c r="G262" s="99"/>
      <c r="H262" s="99"/>
      <c r="I262" s="99"/>
      <c r="J262" s="171"/>
      <c r="K262" s="99"/>
      <c r="L262" s="99"/>
      <c r="M262" s="99"/>
      <c r="N262" s="99"/>
      <c r="O262" s="99"/>
      <c r="P262" s="99"/>
      <c r="Q262" s="99"/>
      <c r="R262" s="99"/>
      <c r="S262" s="99"/>
      <c r="T262" s="99"/>
      <c r="U262" s="99"/>
      <c r="V262" s="99"/>
      <c r="W262" s="99"/>
      <c r="X262" s="99"/>
      <c r="Y262" s="99"/>
      <c r="Z262" s="99"/>
      <c r="AA262" s="99"/>
      <c r="AB262" s="99"/>
      <c r="AC262" s="99"/>
    </row>
    <row r="263">
      <c r="A263" s="157"/>
      <c r="B263" s="99"/>
      <c r="C263" s="99"/>
      <c r="D263" s="99"/>
      <c r="E263" s="99"/>
      <c r="F263" s="170"/>
      <c r="G263" s="99"/>
      <c r="H263" s="99"/>
      <c r="I263" s="99"/>
      <c r="J263" s="171"/>
      <c r="K263" s="99"/>
      <c r="L263" s="99"/>
      <c r="M263" s="99"/>
      <c r="N263" s="99"/>
      <c r="O263" s="99"/>
      <c r="P263" s="99"/>
      <c r="Q263" s="99"/>
      <c r="R263" s="99"/>
      <c r="S263" s="99"/>
      <c r="T263" s="99"/>
      <c r="U263" s="99"/>
      <c r="V263" s="99"/>
      <c r="W263" s="99"/>
      <c r="X263" s="99"/>
      <c r="Y263" s="99"/>
      <c r="Z263" s="99"/>
      <c r="AA263" s="99"/>
      <c r="AB263" s="99"/>
      <c r="AC263" s="99"/>
    </row>
    <row r="264">
      <c r="A264" s="157"/>
      <c r="B264" s="99"/>
      <c r="C264" s="99"/>
      <c r="D264" s="99"/>
      <c r="E264" s="99"/>
      <c r="F264" s="170"/>
      <c r="G264" s="99"/>
      <c r="H264" s="99"/>
      <c r="I264" s="99"/>
      <c r="J264" s="171"/>
      <c r="K264" s="99"/>
      <c r="L264" s="99"/>
      <c r="M264" s="99"/>
      <c r="N264" s="99"/>
      <c r="O264" s="99"/>
      <c r="P264" s="99"/>
      <c r="Q264" s="99"/>
      <c r="R264" s="99"/>
      <c r="S264" s="99"/>
      <c r="T264" s="99"/>
      <c r="U264" s="99"/>
      <c r="V264" s="99"/>
      <c r="W264" s="99"/>
      <c r="X264" s="99"/>
      <c r="Y264" s="99"/>
      <c r="Z264" s="99"/>
      <c r="AA264" s="99"/>
      <c r="AB264" s="99"/>
      <c r="AC264" s="99"/>
    </row>
    <row r="265">
      <c r="A265" s="157"/>
      <c r="B265" s="99"/>
      <c r="C265" s="99"/>
      <c r="D265" s="99"/>
      <c r="E265" s="99"/>
      <c r="F265" s="170"/>
      <c r="G265" s="99"/>
      <c r="H265" s="99"/>
      <c r="I265" s="99"/>
      <c r="J265" s="171"/>
      <c r="K265" s="99"/>
      <c r="L265" s="99"/>
      <c r="M265" s="99"/>
      <c r="N265" s="99"/>
      <c r="O265" s="99"/>
      <c r="P265" s="99"/>
      <c r="Q265" s="99"/>
      <c r="R265" s="99"/>
      <c r="S265" s="99"/>
      <c r="T265" s="99"/>
      <c r="U265" s="99"/>
      <c r="V265" s="99"/>
      <c r="W265" s="99"/>
      <c r="X265" s="99"/>
      <c r="Y265" s="99"/>
      <c r="Z265" s="99"/>
      <c r="AA265" s="99"/>
      <c r="AB265" s="99"/>
      <c r="AC265" s="99"/>
    </row>
    <row r="266">
      <c r="A266" s="157"/>
      <c r="B266" s="99"/>
      <c r="C266" s="99"/>
      <c r="D266" s="99"/>
      <c r="E266" s="99"/>
      <c r="F266" s="170"/>
      <c r="G266" s="99"/>
      <c r="H266" s="99"/>
      <c r="I266" s="99"/>
      <c r="J266" s="171"/>
      <c r="K266" s="99"/>
      <c r="L266" s="99"/>
      <c r="M266" s="99"/>
      <c r="N266" s="99"/>
      <c r="O266" s="99"/>
      <c r="P266" s="99"/>
      <c r="Q266" s="99"/>
      <c r="R266" s="99"/>
      <c r="S266" s="99"/>
      <c r="T266" s="99"/>
      <c r="U266" s="99"/>
      <c r="V266" s="99"/>
      <c r="W266" s="99"/>
      <c r="X266" s="99"/>
      <c r="Y266" s="99"/>
      <c r="Z266" s="99"/>
      <c r="AA266" s="99"/>
      <c r="AB266" s="99"/>
      <c r="AC266" s="99"/>
    </row>
    <row r="267">
      <c r="A267" s="157"/>
      <c r="B267" s="99"/>
      <c r="C267" s="99"/>
      <c r="D267" s="99"/>
      <c r="E267" s="99"/>
      <c r="F267" s="170"/>
      <c r="G267" s="99"/>
      <c r="H267" s="99"/>
      <c r="I267" s="99"/>
      <c r="J267" s="171"/>
      <c r="K267" s="99"/>
      <c r="L267" s="99"/>
      <c r="M267" s="99"/>
      <c r="N267" s="99"/>
      <c r="O267" s="99"/>
      <c r="P267" s="99"/>
      <c r="Q267" s="99"/>
      <c r="R267" s="99"/>
      <c r="S267" s="99"/>
      <c r="T267" s="99"/>
      <c r="U267" s="99"/>
      <c r="V267" s="99"/>
      <c r="W267" s="99"/>
      <c r="X267" s="99"/>
      <c r="Y267" s="99"/>
      <c r="Z267" s="99"/>
      <c r="AA267" s="99"/>
      <c r="AB267" s="99"/>
      <c r="AC267" s="99"/>
    </row>
    <row r="268">
      <c r="A268" s="157"/>
      <c r="B268" s="99"/>
      <c r="C268" s="99"/>
      <c r="D268" s="99"/>
      <c r="E268" s="99"/>
      <c r="F268" s="170"/>
      <c r="G268" s="99"/>
      <c r="H268" s="99"/>
      <c r="I268" s="99"/>
      <c r="J268" s="171"/>
      <c r="K268" s="99"/>
      <c r="L268" s="99"/>
      <c r="M268" s="99"/>
      <c r="N268" s="99"/>
      <c r="O268" s="99"/>
      <c r="P268" s="99"/>
      <c r="Q268" s="99"/>
      <c r="R268" s="99"/>
      <c r="S268" s="99"/>
      <c r="T268" s="99"/>
      <c r="U268" s="99"/>
      <c r="V268" s="99"/>
      <c r="W268" s="99"/>
      <c r="X268" s="99"/>
      <c r="Y268" s="99"/>
      <c r="Z268" s="99"/>
      <c r="AA268" s="99"/>
      <c r="AB268" s="99"/>
      <c r="AC268" s="99"/>
    </row>
    <row r="269">
      <c r="A269" s="157"/>
      <c r="B269" s="99"/>
      <c r="C269" s="99"/>
      <c r="D269" s="99"/>
      <c r="E269" s="99"/>
      <c r="F269" s="170"/>
      <c r="G269" s="99"/>
      <c r="H269" s="99"/>
      <c r="I269" s="99"/>
      <c r="J269" s="171"/>
      <c r="K269" s="99"/>
      <c r="L269" s="99"/>
      <c r="M269" s="99"/>
      <c r="N269" s="99"/>
      <c r="O269" s="99"/>
      <c r="P269" s="99"/>
      <c r="Q269" s="99"/>
      <c r="R269" s="99"/>
      <c r="S269" s="99"/>
      <c r="T269" s="99"/>
      <c r="U269" s="99"/>
      <c r="V269" s="99"/>
      <c r="W269" s="99"/>
      <c r="X269" s="99"/>
      <c r="Y269" s="99"/>
      <c r="Z269" s="99"/>
      <c r="AA269" s="99"/>
      <c r="AB269" s="99"/>
      <c r="AC269" s="99"/>
    </row>
    <row r="270">
      <c r="A270" s="157"/>
      <c r="B270" s="99"/>
      <c r="C270" s="99"/>
      <c r="D270" s="99"/>
      <c r="E270" s="99"/>
      <c r="F270" s="170"/>
      <c r="G270" s="99"/>
      <c r="H270" s="99"/>
      <c r="I270" s="99"/>
      <c r="J270" s="171"/>
      <c r="K270" s="99"/>
      <c r="L270" s="99"/>
      <c r="M270" s="99"/>
      <c r="N270" s="99"/>
      <c r="O270" s="99"/>
      <c r="P270" s="99"/>
      <c r="Q270" s="99"/>
      <c r="R270" s="99"/>
      <c r="S270" s="99"/>
      <c r="T270" s="99"/>
      <c r="U270" s="99"/>
      <c r="V270" s="99"/>
      <c r="W270" s="99"/>
      <c r="X270" s="99"/>
      <c r="Y270" s="99"/>
      <c r="Z270" s="99"/>
      <c r="AA270" s="99"/>
      <c r="AB270" s="99"/>
      <c r="AC270" s="99"/>
    </row>
    <row r="271">
      <c r="A271" s="157"/>
      <c r="B271" s="99"/>
      <c r="C271" s="99"/>
      <c r="D271" s="99"/>
      <c r="E271" s="99"/>
      <c r="F271" s="170"/>
      <c r="G271" s="99"/>
      <c r="H271" s="99"/>
      <c r="I271" s="99"/>
      <c r="J271" s="171"/>
      <c r="K271" s="99"/>
      <c r="L271" s="99"/>
      <c r="M271" s="99"/>
      <c r="N271" s="99"/>
      <c r="O271" s="99"/>
      <c r="P271" s="99"/>
      <c r="Q271" s="99"/>
      <c r="R271" s="99"/>
      <c r="S271" s="99"/>
      <c r="T271" s="99"/>
      <c r="U271" s="99"/>
      <c r="V271" s="99"/>
      <c r="W271" s="99"/>
      <c r="X271" s="99"/>
      <c r="Y271" s="99"/>
      <c r="Z271" s="99"/>
      <c r="AA271" s="99"/>
      <c r="AB271" s="99"/>
      <c r="AC271" s="99"/>
    </row>
    <row r="272">
      <c r="A272" s="157"/>
      <c r="B272" s="99"/>
      <c r="C272" s="99"/>
      <c r="D272" s="99"/>
      <c r="E272" s="99"/>
      <c r="F272" s="170"/>
      <c r="G272" s="99"/>
      <c r="H272" s="99"/>
      <c r="I272" s="99"/>
      <c r="J272" s="171"/>
      <c r="K272" s="99"/>
      <c r="L272" s="99"/>
      <c r="M272" s="99"/>
      <c r="N272" s="99"/>
      <c r="O272" s="99"/>
      <c r="P272" s="99"/>
      <c r="Q272" s="99"/>
      <c r="R272" s="99"/>
      <c r="S272" s="99"/>
      <c r="T272" s="99"/>
      <c r="U272" s="99"/>
      <c r="V272" s="99"/>
      <c r="W272" s="99"/>
      <c r="X272" s="99"/>
      <c r="Y272" s="99"/>
      <c r="Z272" s="99"/>
      <c r="AA272" s="99"/>
      <c r="AB272" s="99"/>
      <c r="AC272" s="99"/>
    </row>
    <row r="273">
      <c r="A273" s="157"/>
      <c r="B273" s="99"/>
      <c r="C273" s="99"/>
      <c r="D273" s="99"/>
      <c r="E273" s="99"/>
      <c r="F273" s="170"/>
      <c r="G273" s="99"/>
      <c r="H273" s="99"/>
      <c r="I273" s="99"/>
      <c r="J273" s="171"/>
      <c r="K273" s="99"/>
      <c r="L273" s="99"/>
      <c r="M273" s="99"/>
      <c r="N273" s="99"/>
      <c r="O273" s="99"/>
      <c r="P273" s="99"/>
      <c r="Q273" s="99"/>
      <c r="R273" s="99"/>
      <c r="S273" s="99"/>
      <c r="T273" s="99"/>
      <c r="U273" s="99"/>
      <c r="V273" s="99"/>
      <c r="W273" s="99"/>
      <c r="X273" s="99"/>
      <c r="Y273" s="99"/>
      <c r="Z273" s="99"/>
      <c r="AA273" s="99"/>
      <c r="AB273" s="99"/>
      <c r="AC273" s="99"/>
    </row>
    <row r="274">
      <c r="A274" s="157"/>
      <c r="B274" s="99"/>
      <c r="C274" s="99"/>
      <c r="D274" s="99"/>
      <c r="E274" s="99"/>
      <c r="F274" s="170"/>
      <c r="G274" s="99"/>
      <c r="H274" s="99"/>
      <c r="I274" s="99"/>
      <c r="J274" s="171"/>
      <c r="K274" s="99"/>
      <c r="L274" s="99"/>
      <c r="M274" s="99"/>
      <c r="N274" s="99"/>
      <c r="O274" s="99"/>
      <c r="P274" s="99"/>
      <c r="Q274" s="99"/>
      <c r="R274" s="99"/>
      <c r="S274" s="99"/>
      <c r="T274" s="99"/>
      <c r="U274" s="99"/>
      <c r="V274" s="99"/>
      <c r="W274" s="99"/>
      <c r="X274" s="99"/>
      <c r="Y274" s="99"/>
      <c r="Z274" s="99"/>
      <c r="AA274" s="99"/>
      <c r="AB274" s="99"/>
      <c r="AC274" s="99"/>
    </row>
    <row r="275">
      <c r="A275" s="157"/>
      <c r="B275" s="99"/>
      <c r="C275" s="99"/>
      <c r="D275" s="99"/>
      <c r="E275" s="99"/>
      <c r="F275" s="170"/>
      <c r="G275" s="99"/>
      <c r="H275" s="99"/>
      <c r="I275" s="99"/>
      <c r="J275" s="171"/>
      <c r="K275" s="99"/>
      <c r="L275" s="99"/>
      <c r="M275" s="99"/>
      <c r="N275" s="99"/>
      <c r="O275" s="99"/>
      <c r="P275" s="99"/>
      <c r="Q275" s="99"/>
      <c r="R275" s="99"/>
      <c r="S275" s="99"/>
      <c r="T275" s="99"/>
      <c r="U275" s="99"/>
      <c r="V275" s="99"/>
      <c r="W275" s="99"/>
      <c r="X275" s="99"/>
      <c r="Y275" s="99"/>
      <c r="Z275" s="99"/>
      <c r="AA275" s="99"/>
      <c r="AB275" s="99"/>
      <c r="AC275" s="99"/>
    </row>
    <row r="276">
      <c r="A276" s="157"/>
      <c r="B276" s="99"/>
      <c r="C276" s="99"/>
      <c r="D276" s="99"/>
      <c r="E276" s="99"/>
      <c r="F276" s="170"/>
      <c r="G276" s="99"/>
      <c r="H276" s="99"/>
      <c r="I276" s="99"/>
      <c r="J276" s="171"/>
      <c r="K276" s="99"/>
      <c r="L276" s="99"/>
      <c r="M276" s="99"/>
      <c r="N276" s="99"/>
      <c r="O276" s="99"/>
      <c r="P276" s="99"/>
      <c r="Q276" s="99"/>
      <c r="R276" s="99"/>
      <c r="S276" s="99"/>
      <c r="T276" s="99"/>
      <c r="U276" s="99"/>
      <c r="V276" s="99"/>
      <c r="W276" s="99"/>
      <c r="X276" s="99"/>
      <c r="Y276" s="99"/>
      <c r="Z276" s="99"/>
      <c r="AA276" s="99"/>
      <c r="AB276" s="99"/>
      <c r="AC276" s="99"/>
    </row>
    <row r="277">
      <c r="A277" s="157"/>
      <c r="B277" s="99"/>
      <c r="C277" s="99"/>
      <c r="D277" s="99"/>
      <c r="E277" s="99"/>
      <c r="F277" s="170"/>
      <c r="G277" s="99"/>
      <c r="H277" s="99"/>
      <c r="I277" s="99"/>
      <c r="J277" s="171"/>
      <c r="K277" s="99"/>
      <c r="L277" s="99"/>
      <c r="M277" s="99"/>
      <c r="N277" s="99"/>
      <c r="O277" s="99"/>
      <c r="P277" s="99"/>
      <c r="Q277" s="99"/>
      <c r="R277" s="99"/>
      <c r="S277" s="99"/>
      <c r="T277" s="99"/>
      <c r="U277" s="99"/>
      <c r="V277" s="99"/>
      <c r="W277" s="99"/>
      <c r="X277" s="99"/>
      <c r="Y277" s="99"/>
      <c r="Z277" s="99"/>
      <c r="AA277" s="99"/>
      <c r="AB277" s="99"/>
      <c r="AC277" s="99"/>
    </row>
    <row r="278">
      <c r="A278" s="157"/>
      <c r="B278" s="99"/>
      <c r="C278" s="99"/>
      <c r="D278" s="99"/>
      <c r="E278" s="99"/>
      <c r="F278" s="170"/>
      <c r="G278" s="99"/>
      <c r="H278" s="99"/>
      <c r="I278" s="99"/>
      <c r="J278" s="171"/>
      <c r="K278" s="99"/>
      <c r="L278" s="99"/>
      <c r="M278" s="99"/>
      <c r="N278" s="99"/>
      <c r="O278" s="99"/>
      <c r="P278" s="99"/>
      <c r="Q278" s="99"/>
      <c r="R278" s="99"/>
      <c r="S278" s="99"/>
      <c r="T278" s="99"/>
      <c r="U278" s="99"/>
      <c r="V278" s="99"/>
      <c r="W278" s="99"/>
      <c r="X278" s="99"/>
      <c r="Y278" s="99"/>
      <c r="Z278" s="99"/>
      <c r="AA278" s="99"/>
      <c r="AB278" s="99"/>
      <c r="AC278" s="99"/>
    </row>
    <row r="279">
      <c r="A279" s="157"/>
      <c r="B279" s="99"/>
      <c r="C279" s="99"/>
      <c r="D279" s="99"/>
      <c r="E279" s="99"/>
      <c r="F279" s="170"/>
      <c r="G279" s="99"/>
      <c r="H279" s="99"/>
      <c r="I279" s="99"/>
      <c r="J279" s="171"/>
      <c r="K279" s="99"/>
      <c r="L279" s="99"/>
      <c r="M279" s="99"/>
      <c r="N279" s="99"/>
      <c r="O279" s="99"/>
      <c r="P279" s="99"/>
      <c r="Q279" s="99"/>
      <c r="R279" s="99"/>
      <c r="S279" s="99"/>
      <c r="T279" s="99"/>
      <c r="U279" s="99"/>
      <c r="V279" s="99"/>
      <c r="W279" s="99"/>
      <c r="X279" s="99"/>
      <c r="Y279" s="99"/>
      <c r="Z279" s="99"/>
      <c r="AA279" s="99"/>
      <c r="AB279" s="99"/>
      <c r="AC279" s="99"/>
    </row>
    <row r="280">
      <c r="A280" s="157"/>
      <c r="B280" s="99"/>
      <c r="C280" s="99"/>
      <c r="D280" s="99"/>
      <c r="E280" s="99"/>
      <c r="F280" s="170"/>
      <c r="G280" s="99"/>
      <c r="H280" s="99"/>
      <c r="I280" s="99"/>
      <c r="J280" s="171"/>
      <c r="K280" s="99"/>
      <c r="L280" s="99"/>
      <c r="M280" s="99"/>
      <c r="N280" s="99"/>
      <c r="O280" s="99"/>
      <c r="P280" s="99"/>
      <c r="Q280" s="99"/>
      <c r="R280" s="99"/>
      <c r="S280" s="99"/>
      <c r="T280" s="99"/>
      <c r="U280" s="99"/>
      <c r="V280" s="99"/>
      <c r="W280" s="99"/>
      <c r="X280" s="99"/>
      <c r="Y280" s="99"/>
      <c r="Z280" s="99"/>
      <c r="AA280" s="99"/>
      <c r="AB280" s="99"/>
      <c r="AC280" s="99"/>
    </row>
    <row r="281">
      <c r="A281" s="157"/>
      <c r="B281" s="99"/>
      <c r="C281" s="99"/>
      <c r="D281" s="99"/>
      <c r="E281" s="99"/>
      <c r="F281" s="170"/>
      <c r="G281" s="99"/>
      <c r="H281" s="99"/>
      <c r="I281" s="99"/>
      <c r="J281" s="171"/>
      <c r="K281" s="99"/>
      <c r="L281" s="99"/>
      <c r="M281" s="99"/>
      <c r="N281" s="99"/>
      <c r="O281" s="99"/>
      <c r="P281" s="99"/>
      <c r="Q281" s="99"/>
      <c r="R281" s="99"/>
      <c r="S281" s="99"/>
      <c r="T281" s="99"/>
      <c r="U281" s="99"/>
      <c r="V281" s="99"/>
      <c r="W281" s="99"/>
      <c r="X281" s="99"/>
      <c r="Y281" s="99"/>
      <c r="Z281" s="99"/>
      <c r="AA281" s="99"/>
      <c r="AB281" s="99"/>
      <c r="AC281" s="99"/>
    </row>
    <row r="282">
      <c r="A282" s="157"/>
      <c r="B282" s="99"/>
      <c r="C282" s="99"/>
      <c r="D282" s="99"/>
      <c r="E282" s="99"/>
      <c r="F282" s="170"/>
      <c r="G282" s="99"/>
      <c r="H282" s="99"/>
      <c r="I282" s="99"/>
      <c r="J282" s="171"/>
      <c r="K282" s="99"/>
      <c r="L282" s="99"/>
      <c r="M282" s="99"/>
      <c r="N282" s="99"/>
      <c r="O282" s="99"/>
      <c r="P282" s="99"/>
      <c r="Q282" s="99"/>
      <c r="R282" s="99"/>
      <c r="S282" s="99"/>
      <c r="T282" s="99"/>
      <c r="U282" s="99"/>
      <c r="V282" s="99"/>
      <c r="W282" s="99"/>
      <c r="X282" s="99"/>
      <c r="Y282" s="99"/>
      <c r="Z282" s="99"/>
      <c r="AA282" s="99"/>
      <c r="AB282" s="99"/>
      <c r="AC282" s="99"/>
    </row>
    <row r="283">
      <c r="A283" s="157"/>
      <c r="B283" s="99"/>
      <c r="C283" s="99"/>
      <c r="D283" s="99"/>
      <c r="E283" s="99"/>
      <c r="F283" s="170"/>
      <c r="G283" s="99"/>
      <c r="H283" s="99"/>
      <c r="I283" s="99"/>
      <c r="J283" s="171"/>
      <c r="K283" s="99"/>
      <c r="L283" s="99"/>
      <c r="M283" s="99"/>
      <c r="N283" s="99"/>
      <c r="O283" s="99"/>
      <c r="P283" s="99"/>
      <c r="Q283" s="99"/>
      <c r="R283" s="99"/>
      <c r="S283" s="99"/>
      <c r="T283" s="99"/>
      <c r="U283" s="99"/>
      <c r="V283" s="99"/>
      <c r="W283" s="99"/>
      <c r="X283" s="99"/>
      <c r="Y283" s="99"/>
      <c r="Z283" s="99"/>
      <c r="AA283" s="99"/>
      <c r="AB283" s="99"/>
      <c r="AC283" s="99"/>
    </row>
    <row r="284">
      <c r="A284" s="157"/>
      <c r="B284" s="99"/>
      <c r="C284" s="99"/>
      <c r="D284" s="99"/>
      <c r="E284" s="99"/>
      <c r="F284" s="170"/>
      <c r="G284" s="99"/>
      <c r="H284" s="99"/>
      <c r="I284" s="99"/>
      <c r="J284" s="171"/>
      <c r="K284" s="99"/>
      <c r="L284" s="99"/>
      <c r="M284" s="99"/>
      <c r="N284" s="99"/>
      <c r="O284" s="99"/>
      <c r="P284" s="99"/>
      <c r="Q284" s="99"/>
      <c r="R284" s="99"/>
      <c r="S284" s="99"/>
      <c r="T284" s="99"/>
      <c r="U284" s="99"/>
      <c r="V284" s="99"/>
      <c r="W284" s="99"/>
      <c r="X284" s="99"/>
      <c r="Y284" s="99"/>
      <c r="Z284" s="99"/>
      <c r="AA284" s="99"/>
      <c r="AB284" s="99"/>
      <c r="AC284" s="99"/>
    </row>
    <row r="285">
      <c r="A285" s="157"/>
      <c r="B285" s="99"/>
      <c r="C285" s="99"/>
      <c r="D285" s="99"/>
      <c r="E285" s="99"/>
      <c r="F285" s="170"/>
      <c r="G285" s="99"/>
      <c r="H285" s="99"/>
      <c r="I285" s="99"/>
      <c r="J285" s="171"/>
      <c r="K285" s="99"/>
      <c r="L285" s="99"/>
      <c r="M285" s="99"/>
      <c r="N285" s="99"/>
      <c r="O285" s="99"/>
      <c r="P285" s="99"/>
      <c r="Q285" s="99"/>
      <c r="R285" s="99"/>
      <c r="S285" s="99"/>
      <c r="T285" s="99"/>
      <c r="U285" s="99"/>
      <c r="V285" s="99"/>
      <c r="W285" s="99"/>
      <c r="X285" s="99"/>
      <c r="Y285" s="99"/>
      <c r="Z285" s="99"/>
      <c r="AA285" s="99"/>
      <c r="AB285" s="99"/>
      <c r="AC285" s="99"/>
    </row>
    <row r="286">
      <c r="A286" s="157"/>
      <c r="B286" s="99"/>
      <c r="C286" s="99"/>
      <c r="D286" s="99"/>
      <c r="E286" s="99"/>
      <c r="F286" s="170"/>
      <c r="G286" s="99"/>
      <c r="H286" s="99"/>
      <c r="I286" s="99"/>
      <c r="J286" s="171"/>
      <c r="K286" s="99"/>
      <c r="L286" s="99"/>
      <c r="M286" s="99"/>
      <c r="N286" s="99"/>
      <c r="O286" s="99"/>
      <c r="P286" s="99"/>
      <c r="Q286" s="99"/>
      <c r="R286" s="99"/>
      <c r="S286" s="99"/>
      <c r="T286" s="99"/>
      <c r="U286" s="99"/>
      <c r="V286" s="99"/>
      <c r="W286" s="99"/>
      <c r="X286" s="99"/>
      <c r="Y286" s="99"/>
      <c r="Z286" s="99"/>
      <c r="AA286" s="99"/>
      <c r="AB286" s="99"/>
      <c r="AC286" s="99"/>
    </row>
    <row r="287">
      <c r="A287" s="157"/>
      <c r="B287" s="99"/>
      <c r="C287" s="99"/>
      <c r="D287" s="99"/>
      <c r="E287" s="99"/>
      <c r="F287" s="170"/>
      <c r="G287" s="99"/>
      <c r="H287" s="99"/>
      <c r="I287" s="99"/>
      <c r="J287" s="171"/>
      <c r="K287" s="99"/>
      <c r="L287" s="99"/>
      <c r="M287" s="99"/>
      <c r="N287" s="99"/>
      <c r="O287" s="99"/>
      <c r="P287" s="99"/>
      <c r="Q287" s="99"/>
      <c r="R287" s="99"/>
      <c r="S287" s="99"/>
      <c r="T287" s="99"/>
      <c r="U287" s="99"/>
      <c r="V287" s="99"/>
      <c r="W287" s="99"/>
      <c r="X287" s="99"/>
      <c r="Y287" s="99"/>
      <c r="Z287" s="99"/>
      <c r="AA287" s="99"/>
      <c r="AB287" s="99"/>
      <c r="AC287" s="99"/>
    </row>
    <row r="288">
      <c r="A288" s="157"/>
      <c r="B288" s="99"/>
      <c r="C288" s="99"/>
      <c r="D288" s="99"/>
      <c r="E288" s="99"/>
      <c r="F288" s="170"/>
      <c r="G288" s="99"/>
      <c r="H288" s="99"/>
      <c r="I288" s="99"/>
      <c r="J288" s="171"/>
      <c r="K288" s="99"/>
      <c r="L288" s="99"/>
      <c r="M288" s="99"/>
      <c r="N288" s="99"/>
      <c r="O288" s="99"/>
      <c r="P288" s="99"/>
      <c r="Q288" s="99"/>
      <c r="R288" s="99"/>
      <c r="S288" s="99"/>
      <c r="T288" s="99"/>
      <c r="U288" s="99"/>
      <c r="V288" s="99"/>
      <c r="W288" s="99"/>
      <c r="X288" s="99"/>
      <c r="Y288" s="99"/>
      <c r="Z288" s="99"/>
      <c r="AA288" s="99"/>
      <c r="AB288" s="99"/>
      <c r="AC288" s="99"/>
    </row>
    <row r="289">
      <c r="A289" s="157"/>
      <c r="B289" s="99"/>
      <c r="C289" s="99"/>
      <c r="D289" s="99"/>
      <c r="E289" s="99"/>
      <c r="F289" s="170"/>
      <c r="G289" s="99"/>
      <c r="H289" s="99"/>
      <c r="I289" s="99"/>
      <c r="J289" s="171"/>
      <c r="K289" s="99"/>
      <c r="L289" s="99"/>
      <c r="M289" s="99"/>
      <c r="N289" s="99"/>
      <c r="O289" s="99"/>
      <c r="P289" s="99"/>
      <c r="Q289" s="99"/>
      <c r="R289" s="99"/>
      <c r="S289" s="99"/>
      <c r="T289" s="99"/>
      <c r="U289" s="99"/>
      <c r="V289" s="99"/>
      <c r="W289" s="99"/>
      <c r="X289" s="99"/>
      <c r="Y289" s="99"/>
      <c r="Z289" s="99"/>
      <c r="AA289" s="99"/>
      <c r="AB289" s="99"/>
      <c r="AC289" s="99"/>
    </row>
    <row r="290">
      <c r="A290" s="157"/>
      <c r="B290" s="99"/>
      <c r="C290" s="99"/>
      <c r="D290" s="99"/>
      <c r="E290" s="99"/>
      <c r="F290" s="170"/>
      <c r="G290" s="99"/>
      <c r="H290" s="99"/>
      <c r="I290" s="99"/>
      <c r="J290" s="171"/>
      <c r="K290" s="99"/>
      <c r="L290" s="99"/>
      <c r="M290" s="99"/>
      <c r="N290" s="99"/>
      <c r="O290" s="99"/>
      <c r="P290" s="99"/>
      <c r="Q290" s="99"/>
      <c r="R290" s="99"/>
      <c r="S290" s="99"/>
      <c r="T290" s="99"/>
      <c r="U290" s="99"/>
      <c r="V290" s="99"/>
      <c r="W290" s="99"/>
      <c r="X290" s="99"/>
      <c r="Y290" s="99"/>
      <c r="Z290" s="99"/>
      <c r="AA290" s="99"/>
      <c r="AB290" s="99"/>
      <c r="AC290" s="99"/>
    </row>
    <row r="291">
      <c r="A291" s="157"/>
      <c r="B291" s="99"/>
      <c r="C291" s="99"/>
      <c r="D291" s="99"/>
      <c r="E291" s="99"/>
      <c r="F291" s="170"/>
      <c r="G291" s="99"/>
      <c r="H291" s="99"/>
      <c r="I291" s="99"/>
      <c r="J291" s="171"/>
      <c r="K291" s="99"/>
      <c r="L291" s="99"/>
      <c r="M291" s="99"/>
      <c r="N291" s="99"/>
      <c r="O291" s="99"/>
      <c r="P291" s="99"/>
      <c r="Q291" s="99"/>
      <c r="R291" s="99"/>
      <c r="S291" s="99"/>
      <c r="T291" s="99"/>
      <c r="U291" s="99"/>
      <c r="V291" s="99"/>
      <c r="W291" s="99"/>
      <c r="X291" s="99"/>
      <c r="Y291" s="99"/>
      <c r="Z291" s="99"/>
      <c r="AA291" s="99"/>
      <c r="AB291" s="99"/>
      <c r="AC291" s="99"/>
    </row>
    <row r="292">
      <c r="A292" s="157"/>
      <c r="B292" s="99"/>
      <c r="C292" s="99"/>
      <c r="D292" s="99"/>
      <c r="E292" s="99"/>
      <c r="F292" s="170"/>
      <c r="G292" s="99"/>
      <c r="H292" s="99"/>
      <c r="I292" s="99"/>
      <c r="J292" s="171"/>
      <c r="K292" s="99"/>
      <c r="L292" s="99"/>
      <c r="M292" s="99"/>
      <c r="N292" s="99"/>
      <c r="O292" s="99"/>
      <c r="P292" s="99"/>
      <c r="Q292" s="99"/>
      <c r="R292" s="99"/>
      <c r="S292" s="99"/>
      <c r="T292" s="99"/>
      <c r="U292" s="99"/>
      <c r="V292" s="99"/>
      <c r="W292" s="99"/>
      <c r="X292" s="99"/>
      <c r="Y292" s="99"/>
      <c r="Z292" s="99"/>
      <c r="AA292" s="99"/>
      <c r="AB292" s="99"/>
      <c r="AC292" s="99"/>
    </row>
    <row r="293">
      <c r="A293" s="157"/>
      <c r="B293" s="99"/>
      <c r="C293" s="99"/>
      <c r="D293" s="99"/>
      <c r="E293" s="99"/>
      <c r="F293" s="170"/>
      <c r="G293" s="99"/>
      <c r="H293" s="99"/>
      <c r="I293" s="99"/>
      <c r="J293" s="171"/>
      <c r="K293" s="99"/>
      <c r="L293" s="99"/>
      <c r="M293" s="99"/>
      <c r="N293" s="99"/>
      <c r="O293" s="99"/>
      <c r="P293" s="99"/>
      <c r="Q293" s="99"/>
      <c r="R293" s="99"/>
      <c r="S293" s="99"/>
      <c r="T293" s="99"/>
      <c r="U293" s="99"/>
      <c r="V293" s="99"/>
      <c r="W293" s="99"/>
      <c r="X293" s="99"/>
      <c r="Y293" s="99"/>
      <c r="Z293" s="99"/>
      <c r="AA293" s="99"/>
      <c r="AB293" s="99"/>
      <c r="AC293" s="99"/>
    </row>
    <row r="294">
      <c r="A294" s="157"/>
      <c r="B294" s="99"/>
      <c r="C294" s="99"/>
      <c r="D294" s="99"/>
      <c r="E294" s="99"/>
      <c r="F294" s="170"/>
      <c r="G294" s="99"/>
      <c r="H294" s="99"/>
      <c r="I294" s="99"/>
      <c r="J294" s="171"/>
      <c r="K294" s="99"/>
      <c r="L294" s="99"/>
      <c r="M294" s="99"/>
      <c r="N294" s="99"/>
      <c r="O294" s="99"/>
      <c r="P294" s="99"/>
      <c r="Q294" s="99"/>
      <c r="R294" s="99"/>
      <c r="S294" s="99"/>
      <c r="T294" s="99"/>
      <c r="U294" s="99"/>
      <c r="V294" s="99"/>
      <c r="W294" s="99"/>
      <c r="X294" s="99"/>
      <c r="Y294" s="99"/>
      <c r="Z294" s="99"/>
      <c r="AA294" s="99"/>
      <c r="AB294" s="99"/>
      <c r="AC294" s="99"/>
    </row>
    <row r="295">
      <c r="A295" s="157"/>
      <c r="B295" s="99"/>
      <c r="C295" s="99"/>
      <c r="D295" s="99"/>
      <c r="E295" s="99"/>
      <c r="F295" s="170"/>
      <c r="G295" s="99"/>
      <c r="H295" s="99"/>
      <c r="I295" s="99"/>
      <c r="J295" s="171"/>
      <c r="K295" s="99"/>
      <c r="L295" s="99"/>
      <c r="M295" s="99"/>
      <c r="N295" s="99"/>
      <c r="O295" s="99"/>
      <c r="P295" s="99"/>
      <c r="Q295" s="99"/>
      <c r="R295" s="99"/>
      <c r="S295" s="99"/>
      <c r="T295" s="99"/>
      <c r="U295" s="99"/>
      <c r="V295" s="99"/>
      <c r="W295" s="99"/>
      <c r="X295" s="99"/>
      <c r="Y295" s="99"/>
      <c r="Z295" s="99"/>
      <c r="AA295" s="99"/>
      <c r="AB295" s="99"/>
      <c r="AC295" s="99"/>
    </row>
    <row r="296">
      <c r="A296" s="157"/>
      <c r="B296" s="99"/>
      <c r="C296" s="99"/>
      <c r="D296" s="99"/>
      <c r="E296" s="99"/>
      <c r="F296" s="170"/>
      <c r="G296" s="99"/>
      <c r="H296" s="99"/>
      <c r="I296" s="99"/>
      <c r="J296" s="171"/>
      <c r="K296" s="99"/>
      <c r="L296" s="99"/>
      <c r="M296" s="99"/>
      <c r="N296" s="99"/>
      <c r="O296" s="99"/>
      <c r="P296" s="99"/>
      <c r="Q296" s="99"/>
      <c r="R296" s="99"/>
      <c r="S296" s="99"/>
      <c r="T296" s="99"/>
      <c r="U296" s="99"/>
      <c r="V296" s="99"/>
      <c r="W296" s="99"/>
      <c r="X296" s="99"/>
      <c r="Y296" s="99"/>
      <c r="Z296" s="99"/>
      <c r="AA296" s="99"/>
      <c r="AB296" s="99"/>
      <c r="AC296" s="99"/>
    </row>
    <row r="297">
      <c r="A297" s="157"/>
      <c r="B297" s="99"/>
      <c r="C297" s="99"/>
      <c r="D297" s="99"/>
      <c r="E297" s="99"/>
      <c r="F297" s="170"/>
      <c r="G297" s="99"/>
      <c r="H297" s="99"/>
      <c r="I297" s="99"/>
      <c r="J297" s="171"/>
      <c r="K297" s="99"/>
      <c r="L297" s="99"/>
      <c r="M297" s="99"/>
      <c r="N297" s="99"/>
      <c r="O297" s="99"/>
      <c r="P297" s="99"/>
      <c r="Q297" s="99"/>
      <c r="R297" s="99"/>
      <c r="S297" s="99"/>
      <c r="T297" s="99"/>
      <c r="U297" s="99"/>
      <c r="V297" s="99"/>
      <c r="W297" s="99"/>
      <c r="X297" s="99"/>
      <c r="Y297" s="99"/>
      <c r="Z297" s="99"/>
      <c r="AA297" s="99"/>
      <c r="AB297" s="99"/>
      <c r="AC297" s="99"/>
    </row>
    <row r="298">
      <c r="A298" s="157"/>
      <c r="B298" s="99"/>
      <c r="C298" s="99"/>
      <c r="D298" s="99"/>
      <c r="E298" s="99"/>
      <c r="F298" s="170"/>
      <c r="G298" s="99"/>
      <c r="H298" s="99"/>
      <c r="I298" s="99"/>
      <c r="J298" s="171"/>
      <c r="K298" s="99"/>
      <c r="L298" s="99"/>
      <c r="M298" s="99"/>
      <c r="N298" s="99"/>
      <c r="O298" s="99"/>
      <c r="P298" s="99"/>
      <c r="Q298" s="99"/>
      <c r="R298" s="99"/>
      <c r="S298" s="99"/>
      <c r="T298" s="99"/>
      <c r="U298" s="99"/>
      <c r="V298" s="99"/>
      <c r="W298" s="99"/>
      <c r="X298" s="99"/>
      <c r="Y298" s="99"/>
      <c r="Z298" s="99"/>
      <c r="AA298" s="99"/>
      <c r="AB298" s="99"/>
      <c r="AC298" s="99"/>
    </row>
    <row r="299">
      <c r="A299" s="157"/>
      <c r="B299" s="99"/>
      <c r="C299" s="99"/>
      <c r="D299" s="99"/>
      <c r="E299" s="99"/>
      <c r="F299" s="170"/>
      <c r="G299" s="99"/>
      <c r="H299" s="99"/>
      <c r="I299" s="99"/>
      <c r="J299" s="171"/>
      <c r="K299" s="99"/>
      <c r="L299" s="99"/>
      <c r="M299" s="99"/>
      <c r="N299" s="99"/>
      <c r="O299" s="99"/>
      <c r="P299" s="99"/>
      <c r="Q299" s="99"/>
      <c r="R299" s="99"/>
      <c r="S299" s="99"/>
      <c r="T299" s="99"/>
      <c r="U299" s="99"/>
      <c r="V299" s="99"/>
      <c r="W299" s="99"/>
      <c r="X299" s="99"/>
      <c r="Y299" s="99"/>
      <c r="Z299" s="99"/>
      <c r="AA299" s="99"/>
      <c r="AB299" s="99"/>
      <c r="AC299" s="99"/>
    </row>
    <row r="300">
      <c r="A300" s="157"/>
      <c r="B300" s="99"/>
      <c r="C300" s="99"/>
      <c r="D300" s="99"/>
      <c r="E300" s="99"/>
      <c r="F300" s="170"/>
      <c r="G300" s="99"/>
      <c r="H300" s="99"/>
      <c r="I300" s="99"/>
      <c r="J300" s="171"/>
      <c r="K300" s="99"/>
      <c r="L300" s="99"/>
      <c r="M300" s="99"/>
      <c r="N300" s="99"/>
      <c r="O300" s="99"/>
      <c r="P300" s="99"/>
      <c r="Q300" s="99"/>
      <c r="R300" s="99"/>
      <c r="S300" s="99"/>
      <c r="T300" s="99"/>
      <c r="U300" s="99"/>
      <c r="V300" s="99"/>
      <c r="W300" s="99"/>
      <c r="X300" s="99"/>
      <c r="Y300" s="99"/>
      <c r="Z300" s="99"/>
      <c r="AA300" s="99"/>
      <c r="AB300" s="99"/>
      <c r="AC300" s="99"/>
    </row>
    <row r="301">
      <c r="A301" s="157"/>
      <c r="B301" s="99"/>
      <c r="C301" s="99"/>
      <c r="D301" s="99"/>
      <c r="E301" s="99"/>
      <c r="F301" s="170"/>
      <c r="G301" s="99"/>
      <c r="H301" s="99"/>
      <c r="I301" s="99"/>
      <c r="J301" s="171"/>
      <c r="K301" s="99"/>
      <c r="L301" s="99"/>
      <c r="M301" s="99"/>
      <c r="N301" s="99"/>
      <c r="O301" s="99"/>
      <c r="P301" s="99"/>
      <c r="Q301" s="99"/>
      <c r="R301" s="99"/>
      <c r="S301" s="99"/>
      <c r="T301" s="99"/>
      <c r="U301" s="99"/>
      <c r="V301" s="99"/>
      <c r="W301" s="99"/>
      <c r="X301" s="99"/>
      <c r="Y301" s="99"/>
      <c r="Z301" s="99"/>
      <c r="AA301" s="99"/>
      <c r="AB301" s="99"/>
      <c r="AC301" s="99"/>
    </row>
    <row r="302">
      <c r="A302" s="157"/>
      <c r="B302" s="99"/>
      <c r="C302" s="99"/>
      <c r="D302" s="99"/>
      <c r="E302" s="99"/>
      <c r="F302" s="170"/>
      <c r="G302" s="99"/>
      <c r="H302" s="99"/>
      <c r="I302" s="99"/>
      <c r="J302" s="171"/>
      <c r="K302" s="99"/>
      <c r="L302" s="99"/>
      <c r="M302" s="99"/>
      <c r="N302" s="99"/>
      <c r="O302" s="99"/>
      <c r="P302" s="99"/>
      <c r="Q302" s="99"/>
      <c r="R302" s="99"/>
      <c r="S302" s="99"/>
      <c r="T302" s="99"/>
      <c r="U302" s="99"/>
      <c r="V302" s="99"/>
      <c r="W302" s="99"/>
      <c r="X302" s="99"/>
      <c r="Y302" s="99"/>
      <c r="Z302" s="99"/>
      <c r="AA302" s="99"/>
      <c r="AB302" s="99"/>
      <c r="AC302" s="99"/>
    </row>
    <row r="303">
      <c r="A303" s="157"/>
      <c r="B303" s="99"/>
      <c r="C303" s="99"/>
      <c r="D303" s="99"/>
      <c r="E303" s="99"/>
      <c r="F303" s="170"/>
      <c r="G303" s="99"/>
      <c r="H303" s="99"/>
      <c r="I303" s="99"/>
      <c r="J303" s="171"/>
      <c r="K303" s="99"/>
      <c r="L303" s="99"/>
      <c r="M303" s="99"/>
      <c r="N303" s="99"/>
      <c r="O303" s="99"/>
      <c r="P303" s="99"/>
      <c r="Q303" s="99"/>
      <c r="R303" s="99"/>
      <c r="S303" s="99"/>
      <c r="T303" s="99"/>
      <c r="U303" s="99"/>
      <c r="V303" s="99"/>
      <c r="W303" s="99"/>
      <c r="X303" s="99"/>
      <c r="Y303" s="99"/>
      <c r="Z303" s="99"/>
      <c r="AA303" s="99"/>
      <c r="AB303" s="99"/>
      <c r="AC303" s="99"/>
    </row>
    <row r="304">
      <c r="A304" s="157"/>
      <c r="B304" s="99"/>
      <c r="C304" s="99"/>
      <c r="D304" s="99"/>
      <c r="E304" s="99"/>
      <c r="F304" s="170"/>
      <c r="G304" s="99"/>
      <c r="H304" s="99"/>
      <c r="I304" s="99"/>
      <c r="J304" s="171"/>
      <c r="K304" s="99"/>
      <c r="L304" s="99"/>
      <c r="M304" s="99"/>
      <c r="N304" s="99"/>
      <c r="O304" s="99"/>
      <c r="P304" s="99"/>
      <c r="Q304" s="99"/>
      <c r="R304" s="99"/>
      <c r="S304" s="99"/>
      <c r="T304" s="99"/>
      <c r="U304" s="99"/>
      <c r="V304" s="99"/>
      <c r="W304" s="99"/>
      <c r="X304" s="99"/>
      <c r="Y304" s="99"/>
      <c r="Z304" s="99"/>
      <c r="AA304" s="99"/>
      <c r="AB304" s="99"/>
      <c r="AC304" s="99"/>
    </row>
    <row r="305">
      <c r="A305" s="157"/>
      <c r="B305" s="99"/>
      <c r="C305" s="99"/>
      <c r="D305" s="99"/>
      <c r="E305" s="99"/>
      <c r="F305" s="170"/>
      <c r="G305" s="99"/>
      <c r="H305" s="99"/>
      <c r="I305" s="99"/>
      <c r="J305" s="171"/>
      <c r="K305" s="99"/>
      <c r="L305" s="99"/>
      <c r="M305" s="99"/>
      <c r="N305" s="99"/>
      <c r="O305" s="99"/>
      <c r="P305" s="99"/>
      <c r="Q305" s="99"/>
      <c r="R305" s="99"/>
      <c r="S305" s="99"/>
      <c r="T305" s="99"/>
      <c r="U305" s="99"/>
      <c r="V305" s="99"/>
      <c r="W305" s="99"/>
      <c r="X305" s="99"/>
      <c r="Y305" s="99"/>
      <c r="Z305" s="99"/>
      <c r="AA305" s="99"/>
      <c r="AB305" s="99"/>
      <c r="AC305" s="99"/>
    </row>
    <row r="306">
      <c r="A306" s="157"/>
      <c r="B306" s="99"/>
      <c r="C306" s="99"/>
      <c r="D306" s="99"/>
      <c r="E306" s="99"/>
      <c r="F306" s="170"/>
      <c r="G306" s="99"/>
      <c r="H306" s="99"/>
      <c r="I306" s="99"/>
      <c r="J306" s="171"/>
      <c r="K306" s="99"/>
      <c r="L306" s="99"/>
      <c r="M306" s="99"/>
      <c r="N306" s="99"/>
      <c r="O306" s="99"/>
      <c r="P306" s="99"/>
      <c r="Q306" s="99"/>
      <c r="R306" s="99"/>
      <c r="S306" s="99"/>
      <c r="T306" s="99"/>
      <c r="U306" s="99"/>
      <c r="V306" s="99"/>
      <c r="W306" s="99"/>
      <c r="X306" s="99"/>
      <c r="Y306" s="99"/>
      <c r="Z306" s="99"/>
      <c r="AA306" s="99"/>
      <c r="AB306" s="99"/>
      <c r="AC306" s="99"/>
    </row>
    <row r="307">
      <c r="A307" s="157"/>
      <c r="B307" s="99"/>
      <c r="C307" s="99"/>
      <c r="D307" s="99"/>
      <c r="E307" s="99"/>
      <c r="F307" s="170"/>
      <c r="G307" s="99"/>
      <c r="H307" s="99"/>
      <c r="I307" s="99"/>
      <c r="J307" s="171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</row>
    <row r="308">
      <c r="A308" s="157"/>
      <c r="B308" s="99"/>
      <c r="C308" s="99"/>
      <c r="D308" s="99"/>
      <c r="E308" s="99"/>
      <c r="F308" s="170"/>
      <c r="G308" s="99"/>
      <c r="H308" s="99"/>
      <c r="I308" s="99"/>
      <c r="J308" s="171"/>
      <c r="K308" s="99"/>
      <c r="L308" s="99"/>
      <c r="M308" s="99"/>
      <c r="N308" s="99"/>
      <c r="O308" s="99"/>
      <c r="P308" s="99"/>
      <c r="Q308" s="99"/>
      <c r="R308" s="99"/>
      <c r="S308" s="99"/>
      <c r="T308" s="99"/>
      <c r="U308" s="99"/>
      <c r="V308" s="99"/>
      <c r="W308" s="99"/>
      <c r="X308" s="99"/>
      <c r="Y308" s="99"/>
      <c r="Z308" s="99"/>
      <c r="AA308" s="99"/>
      <c r="AB308" s="99"/>
      <c r="AC308" s="99"/>
    </row>
    <row r="309">
      <c r="A309" s="157"/>
      <c r="B309" s="99"/>
      <c r="C309" s="99"/>
      <c r="D309" s="99"/>
      <c r="E309" s="99"/>
      <c r="F309" s="170"/>
      <c r="G309" s="99"/>
      <c r="H309" s="99"/>
      <c r="I309" s="99"/>
      <c r="J309" s="171"/>
      <c r="K309" s="99"/>
      <c r="L309" s="99"/>
      <c r="M309" s="99"/>
      <c r="N309" s="99"/>
      <c r="O309" s="99"/>
      <c r="P309" s="99"/>
      <c r="Q309" s="99"/>
      <c r="R309" s="99"/>
      <c r="S309" s="99"/>
      <c r="T309" s="99"/>
      <c r="U309" s="99"/>
      <c r="V309" s="99"/>
      <c r="W309" s="99"/>
      <c r="X309" s="99"/>
      <c r="Y309" s="99"/>
      <c r="Z309" s="99"/>
      <c r="AA309" s="99"/>
      <c r="AB309" s="99"/>
      <c r="AC309" s="99"/>
    </row>
    <row r="310">
      <c r="A310" s="157"/>
      <c r="B310" s="99"/>
      <c r="C310" s="99"/>
      <c r="D310" s="99"/>
      <c r="E310" s="99"/>
      <c r="F310" s="170"/>
      <c r="G310" s="99"/>
      <c r="H310" s="99"/>
      <c r="I310" s="99"/>
      <c r="J310" s="171"/>
      <c r="K310" s="99"/>
      <c r="L310" s="99"/>
      <c r="M310" s="99"/>
      <c r="N310" s="99"/>
      <c r="O310" s="99"/>
      <c r="P310" s="99"/>
      <c r="Q310" s="99"/>
      <c r="R310" s="99"/>
      <c r="S310" s="99"/>
      <c r="T310" s="99"/>
      <c r="U310" s="99"/>
      <c r="V310" s="99"/>
      <c r="W310" s="99"/>
      <c r="X310" s="99"/>
      <c r="Y310" s="99"/>
      <c r="Z310" s="99"/>
      <c r="AA310" s="99"/>
      <c r="AB310" s="99"/>
      <c r="AC310" s="99"/>
    </row>
    <row r="311">
      <c r="A311" s="157"/>
      <c r="B311" s="99"/>
      <c r="C311" s="99"/>
      <c r="D311" s="99"/>
      <c r="E311" s="99"/>
      <c r="F311" s="170"/>
      <c r="G311" s="99"/>
      <c r="H311" s="99"/>
      <c r="I311" s="99"/>
      <c r="J311" s="171"/>
      <c r="K311" s="99"/>
      <c r="L311" s="99"/>
      <c r="M311" s="99"/>
      <c r="N311" s="99"/>
      <c r="O311" s="99"/>
      <c r="P311" s="99"/>
      <c r="Q311" s="99"/>
      <c r="R311" s="99"/>
      <c r="S311" s="99"/>
      <c r="T311" s="99"/>
      <c r="U311" s="99"/>
      <c r="V311" s="99"/>
      <c r="W311" s="99"/>
      <c r="X311" s="99"/>
      <c r="Y311" s="99"/>
      <c r="Z311" s="99"/>
      <c r="AA311" s="99"/>
      <c r="AB311" s="99"/>
      <c r="AC311" s="99"/>
    </row>
    <row r="312">
      <c r="A312" s="157"/>
      <c r="B312" s="99"/>
      <c r="C312" s="99"/>
      <c r="D312" s="99"/>
      <c r="E312" s="99"/>
      <c r="F312" s="170"/>
      <c r="G312" s="99"/>
      <c r="H312" s="99"/>
      <c r="I312" s="99"/>
      <c r="J312" s="171"/>
      <c r="K312" s="99"/>
      <c r="L312" s="99"/>
      <c r="M312" s="99"/>
      <c r="N312" s="99"/>
      <c r="O312" s="99"/>
      <c r="P312" s="99"/>
      <c r="Q312" s="99"/>
      <c r="R312" s="99"/>
      <c r="S312" s="99"/>
      <c r="T312" s="99"/>
      <c r="U312" s="99"/>
      <c r="V312" s="99"/>
      <c r="W312" s="99"/>
      <c r="X312" s="99"/>
      <c r="Y312" s="99"/>
      <c r="Z312" s="99"/>
      <c r="AA312" s="99"/>
      <c r="AB312" s="99"/>
      <c r="AC312" s="99"/>
    </row>
    <row r="313">
      <c r="A313" s="157"/>
      <c r="B313" s="99"/>
      <c r="C313" s="99"/>
      <c r="D313" s="99"/>
      <c r="E313" s="99"/>
      <c r="F313" s="170"/>
      <c r="G313" s="99"/>
      <c r="H313" s="99"/>
      <c r="I313" s="99"/>
      <c r="J313" s="171"/>
      <c r="K313" s="99"/>
      <c r="L313" s="99"/>
      <c r="M313" s="99"/>
      <c r="N313" s="99"/>
      <c r="O313" s="99"/>
      <c r="P313" s="99"/>
      <c r="Q313" s="99"/>
      <c r="R313" s="99"/>
      <c r="S313" s="99"/>
      <c r="T313" s="99"/>
      <c r="U313" s="99"/>
      <c r="V313" s="99"/>
      <c r="W313" s="99"/>
      <c r="X313" s="99"/>
      <c r="Y313" s="99"/>
      <c r="Z313" s="99"/>
      <c r="AA313" s="99"/>
      <c r="AB313" s="99"/>
      <c r="AC313" s="99"/>
    </row>
    <row r="314">
      <c r="A314" s="157"/>
      <c r="B314" s="99"/>
      <c r="C314" s="99"/>
      <c r="D314" s="99"/>
      <c r="E314" s="99"/>
      <c r="F314" s="170"/>
      <c r="G314" s="99"/>
      <c r="H314" s="99"/>
      <c r="I314" s="99"/>
      <c r="J314" s="171"/>
      <c r="K314" s="99"/>
      <c r="L314" s="99"/>
      <c r="M314" s="99"/>
      <c r="N314" s="99"/>
      <c r="O314" s="99"/>
      <c r="P314" s="99"/>
      <c r="Q314" s="99"/>
      <c r="R314" s="99"/>
      <c r="S314" s="99"/>
      <c r="T314" s="99"/>
      <c r="U314" s="99"/>
      <c r="V314" s="99"/>
      <c r="W314" s="99"/>
      <c r="X314" s="99"/>
      <c r="Y314" s="99"/>
      <c r="Z314" s="99"/>
      <c r="AA314" s="99"/>
      <c r="AB314" s="99"/>
      <c r="AC314" s="99"/>
    </row>
    <row r="315">
      <c r="A315" s="157"/>
      <c r="B315" s="99"/>
      <c r="C315" s="99"/>
      <c r="D315" s="99"/>
      <c r="E315" s="99"/>
      <c r="F315" s="170"/>
      <c r="G315" s="99"/>
      <c r="H315" s="99"/>
      <c r="I315" s="99"/>
      <c r="J315" s="171"/>
      <c r="K315" s="99"/>
      <c r="L315" s="99"/>
      <c r="M315" s="99"/>
      <c r="N315" s="99"/>
      <c r="O315" s="99"/>
      <c r="P315" s="99"/>
      <c r="Q315" s="99"/>
      <c r="R315" s="99"/>
      <c r="S315" s="99"/>
      <c r="T315" s="99"/>
      <c r="U315" s="99"/>
      <c r="V315" s="99"/>
      <c r="W315" s="99"/>
      <c r="X315" s="99"/>
      <c r="Y315" s="99"/>
      <c r="Z315" s="99"/>
      <c r="AA315" s="99"/>
      <c r="AB315" s="99"/>
      <c r="AC315" s="99"/>
    </row>
    <row r="316">
      <c r="A316" s="157"/>
      <c r="B316" s="99"/>
      <c r="C316" s="99"/>
      <c r="D316" s="99"/>
      <c r="E316" s="99"/>
      <c r="F316" s="170"/>
      <c r="G316" s="99"/>
      <c r="H316" s="99"/>
      <c r="I316" s="99"/>
      <c r="J316" s="171"/>
      <c r="K316" s="99"/>
      <c r="L316" s="99"/>
      <c r="M316" s="99"/>
      <c r="N316" s="99"/>
      <c r="O316" s="99"/>
      <c r="P316" s="99"/>
      <c r="Q316" s="99"/>
      <c r="R316" s="99"/>
      <c r="S316" s="99"/>
      <c r="T316" s="99"/>
      <c r="U316" s="99"/>
      <c r="V316" s="99"/>
      <c r="W316" s="99"/>
      <c r="X316" s="99"/>
      <c r="Y316" s="99"/>
      <c r="Z316" s="99"/>
      <c r="AA316" s="99"/>
      <c r="AB316" s="99"/>
      <c r="AC316" s="99"/>
    </row>
    <row r="317">
      <c r="A317" s="157"/>
      <c r="B317" s="99"/>
      <c r="C317" s="99"/>
      <c r="D317" s="99"/>
      <c r="E317" s="99"/>
      <c r="F317" s="170"/>
      <c r="G317" s="99"/>
      <c r="H317" s="99"/>
      <c r="I317" s="99"/>
      <c r="J317" s="171"/>
      <c r="K317" s="99"/>
      <c r="L317" s="99"/>
      <c r="M317" s="99"/>
      <c r="N317" s="99"/>
      <c r="O317" s="99"/>
      <c r="P317" s="99"/>
      <c r="Q317" s="99"/>
      <c r="R317" s="99"/>
      <c r="S317" s="99"/>
      <c r="T317" s="99"/>
      <c r="U317" s="99"/>
      <c r="V317" s="99"/>
      <c r="W317" s="99"/>
      <c r="X317" s="99"/>
      <c r="Y317" s="99"/>
      <c r="Z317" s="99"/>
      <c r="AA317" s="99"/>
      <c r="AB317" s="99"/>
      <c r="AC317" s="99"/>
    </row>
    <row r="318">
      <c r="A318" s="157"/>
      <c r="B318" s="99"/>
      <c r="C318" s="99"/>
      <c r="D318" s="99"/>
      <c r="E318" s="99"/>
      <c r="F318" s="170"/>
      <c r="G318" s="99"/>
      <c r="H318" s="99"/>
      <c r="I318" s="99"/>
      <c r="J318" s="171"/>
      <c r="K318" s="99"/>
      <c r="L318" s="99"/>
      <c r="M318" s="99"/>
      <c r="N318" s="99"/>
      <c r="O318" s="99"/>
      <c r="P318" s="99"/>
      <c r="Q318" s="99"/>
      <c r="R318" s="99"/>
      <c r="S318" s="99"/>
      <c r="T318" s="99"/>
      <c r="U318" s="99"/>
      <c r="V318" s="99"/>
      <c r="W318" s="99"/>
      <c r="X318" s="99"/>
      <c r="Y318" s="99"/>
      <c r="Z318" s="99"/>
      <c r="AA318" s="99"/>
      <c r="AB318" s="99"/>
      <c r="AC318" s="99"/>
    </row>
    <row r="319">
      <c r="A319" s="157"/>
      <c r="B319" s="99"/>
      <c r="C319" s="99"/>
      <c r="D319" s="99"/>
      <c r="E319" s="99"/>
      <c r="F319" s="170"/>
      <c r="G319" s="99"/>
      <c r="H319" s="99"/>
      <c r="I319" s="99"/>
      <c r="J319" s="171"/>
      <c r="K319" s="99"/>
      <c r="L319" s="99"/>
      <c r="M319" s="99"/>
      <c r="N319" s="99"/>
      <c r="O319" s="99"/>
      <c r="P319" s="99"/>
      <c r="Q319" s="99"/>
      <c r="R319" s="99"/>
      <c r="S319" s="99"/>
      <c r="T319" s="99"/>
      <c r="U319" s="99"/>
      <c r="V319" s="99"/>
      <c r="W319" s="99"/>
      <c r="X319" s="99"/>
      <c r="Y319" s="99"/>
      <c r="Z319" s="99"/>
      <c r="AA319" s="99"/>
      <c r="AB319" s="99"/>
      <c r="AC319" s="99"/>
    </row>
    <row r="320">
      <c r="A320" s="157"/>
      <c r="B320" s="99"/>
      <c r="C320" s="99"/>
      <c r="D320" s="99"/>
      <c r="E320" s="99"/>
      <c r="F320" s="170"/>
      <c r="G320" s="99"/>
      <c r="H320" s="99"/>
      <c r="I320" s="99"/>
      <c r="J320" s="171"/>
      <c r="K320" s="99"/>
      <c r="L320" s="99"/>
      <c r="M320" s="99"/>
      <c r="N320" s="99"/>
      <c r="O320" s="99"/>
      <c r="P320" s="99"/>
      <c r="Q320" s="99"/>
      <c r="R320" s="99"/>
      <c r="S320" s="99"/>
      <c r="T320" s="99"/>
      <c r="U320" s="99"/>
      <c r="V320" s="99"/>
      <c r="W320" s="99"/>
      <c r="X320" s="99"/>
      <c r="Y320" s="99"/>
      <c r="Z320" s="99"/>
      <c r="AA320" s="99"/>
      <c r="AB320" s="99"/>
      <c r="AC320" s="99"/>
    </row>
    <row r="321">
      <c r="A321" s="157"/>
      <c r="B321" s="99"/>
      <c r="C321" s="99"/>
      <c r="D321" s="99"/>
      <c r="E321" s="99"/>
      <c r="F321" s="170"/>
      <c r="G321" s="99"/>
      <c r="H321" s="99"/>
      <c r="I321" s="99"/>
      <c r="J321" s="171"/>
      <c r="K321" s="99"/>
      <c r="L321" s="99"/>
      <c r="M321" s="99"/>
      <c r="N321" s="99"/>
      <c r="O321" s="99"/>
      <c r="P321" s="99"/>
      <c r="Q321" s="99"/>
      <c r="R321" s="99"/>
      <c r="S321" s="99"/>
      <c r="T321" s="99"/>
      <c r="U321" s="99"/>
      <c r="V321" s="99"/>
      <c r="W321" s="99"/>
      <c r="X321" s="99"/>
      <c r="Y321" s="99"/>
      <c r="Z321" s="99"/>
      <c r="AA321" s="99"/>
      <c r="AB321" s="99"/>
      <c r="AC321" s="99"/>
    </row>
    <row r="322">
      <c r="A322" s="157"/>
      <c r="B322" s="99"/>
      <c r="C322" s="99"/>
      <c r="D322" s="99"/>
      <c r="E322" s="99"/>
      <c r="F322" s="170"/>
      <c r="G322" s="99"/>
      <c r="H322" s="99"/>
      <c r="I322" s="99"/>
      <c r="J322" s="171"/>
      <c r="K322" s="99"/>
      <c r="L322" s="99"/>
      <c r="M322" s="99"/>
      <c r="N322" s="99"/>
      <c r="O322" s="99"/>
      <c r="P322" s="99"/>
      <c r="Q322" s="99"/>
      <c r="R322" s="99"/>
      <c r="S322" s="99"/>
      <c r="T322" s="99"/>
      <c r="U322" s="99"/>
      <c r="V322" s="99"/>
      <c r="W322" s="99"/>
      <c r="X322" s="99"/>
      <c r="Y322" s="99"/>
      <c r="Z322" s="99"/>
      <c r="AA322" s="99"/>
      <c r="AB322" s="99"/>
      <c r="AC322" s="99"/>
    </row>
    <row r="323">
      <c r="A323" s="157"/>
      <c r="B323" s="99"/>
      <c r="C323" s="99"/>
      <c r="D323" s="99"/>
      <c r="E323" s="99"/>
      <c r="F323" s="170"/>
      <c r="G323" s="99"/>
      <c r="H323" s="99"/>
      <c r="I323" s="99"/>
      <c r="J323" s="171"/>
      <c r="K323" s="99"/>
      <c r="L323" s="99"/>
      <c r="M323" s="99"/>
      <c r="N323" s="99"/>
      <c r="O323" s="99"/>
      <c r="P323" s="99"/>
      <c r="Q323" s="99"/>
      <c r="R323" s="99"/>
      <c r="S323" s="99"/>
      <c r="T323" s="99"/>
      <c r="U323" s="99"/>
      <c r="V323" s="99"/>
      <c r="W323" s="99"/>
      <c r="X323" s="99"/>
      <c r="Y323" s="99"/>
      <c r="Z323" s="99"/>
      <c r="AA323" s="99"/>
      <c r="AB323" s="99"/>
      <c r="AC323" s="99"/>
    </row>
    <row r="324">
      <c r="A324" s="157"/>
      <c r="B324" s="99"/>
      <c r="C324" s="99"/>
      <c r="D324" s="99"/>
      <c r="E324" s="99"/>
      <c r="F324" s="170"/>
      <c r="G324" s="99"/>
      <c r="H324" s="99"/>
      <c r="I324" s="99"/>
      <c r="J324" s="171"/>
      <c r="K324" s="99"/>
      <c r="L324" s="99"/>
      <c r="M324" s="99"/>
      <c r="N324" s="99"/>
      <c r="O324" s="99"/>
      <c r="P324" s="99"/>
      <c r="Q324" s="99"/>
      <c r="R324" s="99"/>
      <c r="S324" s="99"/>
      <c r="T324" s="99"/>
      <c r="U324" s="99"/>
      <c r="V324" s="99"/>
      <c r="W324" s="99"/>
      <c r="X324" s="99"/>
      <c r="Y324" s="99"/>
      <c r="Z324" s="99"/>
      <c r="AA324" s="99"/>
      <c r="AB324" s="99"/>
      <c r="AC324" s="99"/>
    </row>
    <row r="325">
      <c r="A325" s="157"/>
      <c r="B325" s="99"/>
      <c r="C325" s="99"/>
      <c r="D325" s="99"/>
      <c r="E325" s="99"/>
      <c r="F325" s="170"/>
      <c r="G325" s="99"/>
      <c r="H325" s="99"/>
      <c r="I325" s="99"/>
      <c r="J325" s="171"/>
      <c r="K325" s="99"/>
      <c r="L325" s="99"/>
      <c r="M325" s="99"/>
      <c r="N325" s="99"/>
      <c r="O325" s="99"/>
      <c r="P325" s="99"/>
      <c r="Q325" s="99"/>
      <c r="R325" s="99"/>
      <c r="S325" s="99"/>
      <c r="T325" s="99"/>
      <c r="U325" s="99"/>
      <c r="V325" s="99"/>
      <c r="W325" s="99"/>
      <c r="X325" s="99"/>
      <c r="Y325" s="99"/>
      <c r="Z325" s="99"/>
      <c r="AA325" s="99"/>
      <c r="AB325" s="99"/>
      <c r="AC325" s="99"/>
    </row>
    <row r="326">
      <c r="A326" s="157"/>
      <c r="B326" s="99"/>
      <c r="C326" s="99"/>
      <c r="D326" s="99"/>
      <c r="E326" s="99"/>
      <c r="F326" s="170"/>
      <c r="G326" s="99"/>
      <c r="H326" s="99"/>
      <c r="I326" s="99"/>
      <c r="J326" s="171"/>
      <c r="K326" s="99"/>
      <c r="L326" s="99"/>
      <c r="M326" s="99"/>
      <c r="N326" s="99"/>
      <c r="O326" s="99"/>
      <c r="P326" s="99"/>
      <c r="Q326" s="99"/>
      <c r="R326" s="99"/>
      <c r="S326" s="99"/>
      <c r="T326" s="99"/>
      <c r="U326" s="99"/>
      <c r="V326" s="99"/>
      <c r="W326" s="99"/>
      <c r="X326" s="99"/>
      <c r="Y326" s="99"/>
      <c r="Z326" s="99"/>
      <c r="AA326" s="99"/>
      <c r="AB326" s="99"/>
      <c r="AC326" s="99"/>
    </row>
    <row r="327">
      <c r="A327" s="157"/>
      <c r="B327" s="99"/>
      <c r="C327" s="99"/>
      <c r="D327" s="99"/>
      <c r="E327" s="99"/>
      <c r="F327" s="170"/>
      <c r="G327" s="99"/>
      <c r="H327" s="99"/>
      <c r="I327" s="99"/>
      <c r="J327" s="171"/>
      <c r="K327" s="99"/>
      <c r="L327" s="99"/>
      <c r="M327" s="99"/>
      <c r="N327" s="99"/>
      <c r="O327" s="99"/>
      <c r="P327" s="99"/>
      <c r="Q327" s="99"/>
      <c r="R327" s="99"/>
      <c r="S327" s="99"/>
      <c r="T327" s="99"/>
      <c r="U327" s="99"/>
      <c r="V327" s="99"/>
      <c r="W327" s="99"/>
      <c r="X327" s="99"/>
      <c r="Y327" s="99"/>
      <c r="Z327" s="99"/>
      <c r="AA327" s="99"/>
      <c r="AB327" s="99"/>
      <c r="AC327" s="99"/>
    </row>
    <row r="328">
      <c r="A328" s="157"/>
      <c r="B328" s="99"/>
      <c r="C328" s="99"/>
      <c r="D328" s="99"/>
      <c r="E328" s="99"/>
      <c r="F328" s="170"/>
      <c r="G328" s="99"/>
      <c r="H328" s="99"/>
      <c r="I328" s="99"/>
      <c r="J328" s="171"/>
      <c r="K328" s="99"/>
      <c r="L328" s="99"/>
      <c r="M328" s="99"/>
      <c r="N328" s="99"/>
      <c r="O328" s="99"/>
      <c r="P328" s="99"/>
      <c r="Q328" s="99"/>
      <c r="R328" s="99"/>
      <c r="S328" s="99"/>
      <c r="T328" s="99"/>
      <c r="U328" s="99"/>
      <c r="V328" s="99"/>
      <c r="W328" s="99"/>
      <c r="X328" s="99"/>
      <c r="Y328" s="99"/>
      <c r="Z328" s="99"/>
      <c r="AA328" s="99"/>
      <c r="AB328" s="99"/>
      <c r="AC328" s="99"/>
    </row>
    <row r="329">
      <c r="A329" s="157"/>
      <c r="B329" s="99"/>
      <c r="C329" s="99"/>
      <c r="D329" s="99"/>
      <c r="E329" s="99"/>
      <c r="F329" s="170"/>
      <c r="G329" s="99"/>
      <c r="H329" s="99"/>
      <c r="I329" s="99"/>
      <c r="J329" s="171"/>
      <c r="K329" s="99"/>
      <c r="L329" s="99"/>
      <c r="M329" s="99"/>
      <c r="N329" s="99"/>
      <c r="O329" s="99"/>
      <c r="P329" s="99"/>
      <c r="Q329" s="99"/>
      <c r="R329" s="99"/>
      <c r="S329" s="99"/>
      <c r="T329" s="99"/>
      <c r="U329" s="99"/>
      <c r="V329" s="99"/>
      <c r="W329" s="99"/>
      <c r="X329" s="99"/>
      <c r="Y329" s="99"/>
      <c r="Z329" s="99"/>
      <c r="AA329" s="99"/>
      <c r="AB329" s="99"/>
      <c r="AC329" s="99"/>
    </row>
    <row r="330">
      <c r="A330" s="157"/>
      <c r="B330" s="99"/>
      <c r="C330" s="99"/>
      <c r="D330" s="99"/>
      <c r="E330" s="99"/>
      <c r="F330" s="170"/>
      <c r="G330" s="99"/>
      <c r="H330" s="99"/>
      <c r="I330" s="99"/>
      <c r="J330" s="171"/>
      <c r="K330" s="99"/>
      <c r="L330" s="99"/>
      <c r="M330" s="99"/>
      <c r="N330" s="99"/>
      <c r="O330" s="99"/>
      <c r="P330" s="99"/>
      <c r="Q330" s="99"/>
      <c r="R330" s="99"/>
      <c r="S330" s="99"/>
      <c r="T330" s="99"/>
      <c r="U330" s="99"/>
      <c r="V330" s="99"/>
      <c r="W330" s="99"/>
      <c r="X330" s="99"/>
      <c r="Y330" s="99"/>
      <c r="Z330" s="99"/>
      <c r="AA330" s="99"/>
      <c r="AB330" s="99"/>
      <c r="AC330" s="99"/>
    </row>
    <row r="331">
      <c r="A331" s="157"/>
      <c r="B331" s="99"/>
      <c r="C331" s="99"/>
      <c r="D331" s="99"/>
      <c r="E331" s="99"/>
      <c r="F331" s="170"/>
      <c r="G331" s="99"/>
      <c r="H331" s="99"/>
      <c r="I331" s="99"/>
      <c r="J331" s="171"/>
      <c r="K331" s="99"/>
      <c r="L331" s="99"/>
      <c r="M331" s="99"/>
      <c r="N331" s="99"/>
      <c r="O331" s="99"/>
      <c r="P331" s="99"/>
      <c r="Q331" s="99"/>
      <c r="R331" s="99"/>
      <c r="S331" s="99"/>
      <c r="T331" s="99"/>
      <c r="U331" s="99"/>
      <c r="V331" s="99"/>
      <c r="W331" s="99"/>
      <c r="X331" s="99"/>
      <c r="Y331" s="99"/>
      <c r="Z331" s="99"/>
      <c r="AA331" s="99"/>
      <c r="AB331" s="99"/>
      <c r="AC331" s="99"/>
    </row>
    <row r="332">
      <c r="A332" s="157"/>
      <c r="B332" s="99"/>
      <c r="C332" s="99"/>
      <c r="D332" s="99"/>
      <c r="E332" s="99"/>
      <c r="F332" s="170"/>
      <c r="G332" s="99"/>
      <c r="H332" s="99"/>
      <c r="I332" s="99"/>
      <c r="J332" s="171"/>
      <c r="K332" s="99"/>
      <c r="L332" s="99"/>
      <c r="M332" s="99"/>
      <c r="N332" s="99"/>
      <c r="O332" s="99"/>
      <c r="P332" s="99"/>
      <c r="Q332" s="99"/>
      <c r="R332" s="99"/>
      <c r="S332" s="99"/>
      <c r="T332" s="99"/>
      <c r="U332" s="99"/>
      <c r="V332" s="99"/>
      <c r="W332" s="99"/>
      <c r="X332" s="99"/>
      <c r="Y332" s="99"/>
      <c r="Z332" s="99"/>
      <c r="AA332" s="99"/>
      <c r="AB332" s="99"/>
      <c r="AC332" s="99"/>
    </row>
    <row r="333">
      <c r="A333" s="157"/>
      <c r="B333" s="99"/>
      <c r="C333" s="99"/>
      <c r="D333" s="99"/>
      <c r="E333" s="99"/>
      <c r="F333" s="170"/>
      <c r="G333" s="99"/>
      <c r="H333" s="99"/>
      <c r="I333" s="99"/>
      <c r="J333" s="171"/>
      <c r="K333" s="99"/>
      <c r="L333" s="99"/>
      <c r="M333" s="99"/>
      <c r="N333" s="99"/>
      <c r="O333" s="99"/>
      <c r="P333" s="99"/>
      <c r="Q333" s="99"/>
      <c r="R333" s="99"/>
      <c r="S333" s="99"/>
      <c r="T333" s="99"/>
      <c r="U333" s="99"/>
      <c r="V333" s="99"/>
      <c r="W333" s="99"/>
      <c r="X333" s="99"/>
      <c r="Y333" s="99"/>
      <c r="Z333" s="99"/>
      <c r="AA333" s="99"/>
      <c r="AB333" s="99"/>
      <c r="AC333" s="99"/>
    </row>
    <row r="334">
      <c r="A334" s="157"/>
      <c r="B334" s="99"/>
      <c r="C334" s="99"/>
      <c r="D334" s="99"/>
      <c r="E334" s="99"/>
      <c r="F334" s="170"/>
      <c r="G334" s="99"/>
      <c r="H334" s="99"/>
      <c r="I334" s="99"/>
      <c r="J334" s="171"/>
      <c r="K334" s="99"/>
      <c r="L334" s="99"/>
      <c r="M334" s="99"/>
      <c r="N334" s="99"/>
      <c r="O334" s="99"/>
      <c r="P334" s="99"/>
      <c r="Q334" s="99"/>
      <c r="R334" s="99"/>
      <c r="S334" s="99"/>
      <c r="T334" s="99"/>
      <c r="U334" s="99"/>
      <c r="V334" s="99"/>
      <c r="W334" s="99"/>
      <c r="X334" s="99"/>
      <c r="Y334" s="99"/>
      <c r="Z334" s="99"/>
      <c r="AA334" s="99"/>
      <c r="AB334" s="99"/>
      <c r="AC334" s="99"/>
    </row>
    <row r="335">
      <c r="A335" s="157"/>
      <c r="B335" s="99"/>
      <c r="C335" s="99"/>
      <c r="D335" s="99"/>
      <c r="E335" s="99"/>
      <c r="F335" s="170"/>
      <c r="G335" s="99"/>
      <c r="H335" s="99"/>
      <c r="I335" s="99"/>
      <c r="J335" s="171"/>
      <c r="K335" s="99"/>
      <c r="L335" s="99"/>
      <c r="M335" s="99"/>
      <c r="N335" s="99"/>
      <c r="O335" s="99"/>
      <c r="P335" s="99"/>
      <c r="Q335" s="99"/>
      <c r="R335" s="99"/>
      <c r="S335" s="99"/>
      <c r="T335" s="99"/>
      <c r="U335" s="99"/>
      <c r="V335" s="99"/>
      <c r="W335" s="99"/>
      <c r="X335" s="99"/>
      <c r="Y335" s="99"/>
      <c r="Z335" s="99"/>
      <c r="AA335" s="99"/>
      <c r="AB335" s="99"/>
      <c r="AC335" s="99"/>
    </row>
    <row r="336">
      <c r="A336" s="157"/>
      <c r="B336" s="99"/>
      <c r="C336" s="99"/>
      <c r="D336" s="99"/>
      <c r="E336" s="99"/>
      <c r="F336" s="170"/>
      <c r="G336" s="99"/>
      <c r="H336" s="99"/>
      <c r="I336" s="99"/>
      <c r="J336" s="171"/>
      <c r="K336" s="99"/>
      <c r="L336" s="99"/>
      <c r="M336" s="99"/>
      <c r="N336" s="99"/>
      <c r="O336" s="99"/>
      <c r="P336" s="99"/>
      <c r="Q336" s="99"/>
      <c r="R336" s="99"/>
      <c r="S336" s="99"/>
      <c r="T336" s="99"/>
      <c r="U336" s="99"/>
      <c r="V336" s="99"/>
      <c r="W336" s="99"/>
      <c r="X336" s="99"/>
      <c r="Y336" s="99"/>
      <c r="Z336" s="99"/>
      <c r="AA336" s="99"/>
      <c r="AB336" s="99"/>
      <c r="AC336" s="99"/>
    </row>
    <row r="337">
      <c r="A337" s="157"/>
      <c r="B337" s="99"/>
      <c r="C337" s="99"/>
      <c r="D337" s="99"/>
      <c r="E337" s="99"/>
      <c r="F337" s="170"/>
      <c r="G337" s="99"/>
      <c r="H337" s="99"/>
      <c r="I337" s="99"/>
      <c r="J337" s="171"/>
      <c r="K337" s="99"/>
      <c r="L337" s="99"/>
      <c r="M337" s="99"/>
      <c r="N337" s="99"/>
      <c r="O337" s="99"/>
      <c r="P337" s="99"/>
      <c r="Q337" s="99"/>
      <c r="R337" s="99"/>
      <c r="S337" s="99"/>
      <c r="T337" s="99"/>
      <c r="U337" s="99"/>
      <c r="V337" s="99"/>
      <c r="W337" s="99"/>
      <c r="X337" s="99"/>
      <c r="Y337" s="99"/>
      <c r="Z337" s="99"/>
      <c r="AA337" s="99"/>
      <c r="AB337" s="99"/>
      <c r="AC337" s="99"/>
    </row>
    <row r="338">
      <c r="A338" s="157"/>
      <c r="B338" s="99"/>
      <c r="C338" s="99"/>
      <c r="D338" s="99"/>
      <c r="E338" s="99"/>
      <c r="F338" s="170"/>
      <c r="G338" s="99"/>
      <c r="H338" s="99"/>
      <c r="I338" s="99"/>
      <c r="J338" s="171"/>
      <c r="K338" s="99"/>
      <c r="L338" s="99"/>
      <c r="M338" s="99"/>
      <c r="N338" s="99"/>
      <c r="O338" s="99"/>
      <c r="P338" s="99"/>
      <c r="Q338" s="99"/>
      <c r="R338" s="99"/>
      <c r="S338" s="99"/>
      <c r="T338" s="99"/>
      <c r="U338" s="99"/>
      <c r="V338" s="99"/>
      <c r="W338" s="99"/>
      <c r="X338" s="99"/>
      <c r="Y338" s="99"/>
      <c r="Z338" s="99"/>
      <c r="AA338" s="99"/>
      <c r="AB338" s="99"/>
      <c r="AC338" s="99"/>
    </row>
    <row r="339">
      <c r="A339" s="157"/>
      <c r="B339" s="99"/>
      <c r="C339" s="99"/>
      <c r="D339" s="99"/>
      <c r="E339" s="99"/>
      <c r="F339" s="170"/>
      <c r="G339" s="99"/>
      <c r="H339" s="99"/>
      <c r="I339" s="99"/>
      <c r="J339" s="171"/>
      <c r="K339" s="99"/>
      <c r="L339" s="99"/>
      <c r="M339" s="99"/>
      <c r="N339" s="99"/>
      <c r="O339" s="99"/>
      <c r="P339" s="99"/>
      <c r="Q339" s="99"/>
      <c r="R339" s="99"/>
      <c r="S339" s="99"/>
      <c r="T339" s="99"/>
      <c r="U339" s="99"/>
      <c r="V339" s="99"/>
      <c r="W339" s="99"/>
      <c r="X339" s="99"/>
      <c r="Y339" s="99"/>
      <c r="Z339" s="99"/>
      <c r="AA339" s="99"/>
      <c r="AB339" s="99"/>
      <c r="AC339" s="99"/>
    </row>
    <row r="340">
      <c r="A340" s="157"/>
      <c r="B340" s="99"/>
      <c r="C340" s="99"/>
      <c r="D340" s="99"/>
      <c r="E340" s="99"/>
      <c r="F340" s="170"/>
      <c r="G340" s="99"/>
      <c r="H340" s="99"/>
      <c r="I340" s="99"/>
      <c r="J340" s="171"/>
      <c r="K340" s="99"/>
      <c r="L340" s="99"/>
      <c r="M340" s="99"/>
      <c r="N340" s="99"/>
      <c r="O340" s="99"/>
      <c r="P340" s="99"/>
      <c r="Q340" s="99"/>
      <c r="R340" s="99"/>
      <c r="S340" s="99"/>
      <c r="T340" s="99"/>
      <c r="U340" s="99"/>
      <c r="V340" s="99"/>
      <c r="W340" s="99"/>
      <c r="X340" s="99"/>
      <c r="Y340" s="99"/>
      <c r="Z340" s="99"/>
      <c r="AA340" s="99"/>
      <c r="AB340" s="99"/>
      <c r="AC340" s="99"/>
    </row>
    <row r="341">
      <c r="A341" s="157"/>
      <c r="B341" s="99"/>
      <c r="C341" s="99"/>
      <c r="D341" s="99"/>
      <c r="E341" s="99"/>
      <c r="F341" s="170"/>
      <c r="G341" s="99"/>
      <c r="H341" s="99"/>
      <c r="I341" s="99"/>
      <c r="J341" s="171"/>
      <c r="K341" s="99"/>
      <c r="L341" s="99"/>
      <c r="M341" s="99"/>
      <c r="N341" s="99"/>
      <c r="O341" s="99"/>
      <c r="P341" s="99"/>
      <c r="Q341" s="99"/>
      <c r="R341" s="99"/>
      <c r="S341" s="99"/>
      <c r="T341" s="99"/>
      <c r="U341" s="99"/>
      <c r="V341" s="99"/>
      <c r="W341" s="99"/>
      <c r="X341" s="99"/>
      <c r="Y341" s="99"/>
      <c r="Z341" s="99"/>
      <c r="AA341" s="99"/>
      <c r="AB341" s="99"/>
      <c r="AC341" s="99"/>
    </row>
    <row r="342">
      <c r="A342" s="157"/>
      <c r="B342" s="99"/>
      <c r="C342" s="99"/>
      <c r="D342" s="99"/>
      <c r="E342" s="99"/>
      <c r="F342" s="170"/>
      <c r="G342" s="99"/>
      <c r="H342" s="99"/>
      <c r="I342" s="99"/>
      <c r="J342" s="171"/>
      <c r="K342" s="99"/>
      <c r="L342" s="99"/>
      <c r="M342" s="99"/>
      <c r="N342" s="99"/>
      <c r="O342" s="99"/>
      <c r="P342" s="99"/>
      <c r="Q342" s="99"/>
      <c r="R342" s="99"/>
      <c r="S342" s="99"/>
      <c r="T342" s="99"/>
      <c r="U342" s="99"/>
      <c r="V342" s="99"/>
      <c r="W342" s="99"/>
      <c r="X342" s="99"/>
      <c r="Y342" s="99"/>
      <c r="Z342" s="99"/>
      <c r="AA342" s="99"/>
      <c r="AB342" s="99"/>
      <c r="AC342" s="99"/>
    </row>
    <row r="343">
      <c r="A343" s="157"/>
      <c r="B343" s="99"/>
      <c r="C343" s="99"/>
      <c r="D343" s="99"/>
      <c r="E343" s="99"/>
      <c r="F343" s="170"/>
      <c r="G343" s="99"/>
      <c r="H343" s="99"/>
      <c r="I343" s="99"/>
      <c r="J343" s="171"/>
      <c r="K343" s="99"/>
      <c r="L343" s="99"/>
      <c r="M343" s="99"/>
      <c r="N343" s="99"/>
      <c r="O343" s="99"/>
      <c r="P343" s="99"/>
      <c r="Q343" s="99"/>
      <c r="R343" s="99"/>
      <c r="S343" s="99"/>
      <c r="T343" s="99"/>
      <c r="U343" s="99"/>
      <c r="V343" s="99"/>
      <c r="W343" s="99"/>
      <c r="X343" s="99"/>
      <c r="Y343" s="99"/>
      <c r="Z343" s="99"/>
      <c r="AA343" s="99"/>
      <c r="AB343" s="99"/>
      <c r="AC343" s="99"/>
    </row>
    <row r="344">
      <c r="A344" s="157"/>
      <c r="B344" s="99"/>
      <c r="C344" s="99"/>
      <c r="D344" s="99"/>
      <c r="E344" s="99"/>
      <c r="F344" s="170"/>
      <c r="G344" s="99"/>
      <c r="H344" s="99"/>
      <c r="I344" s="99"/>
      <c r="J344" s="171"/>
      <c r="K344" s="99"/>
      <c r="L344" s="99"/>
      <c r="M344" s="99"/>
      <c r="N344" s="99"/>
      <c r="O344" s="99"/>
      <c r="P344" s="99"/>
      <c r="Q344" s="99"/>
      <c r="R344" s="99"/>
      <c r="S344" s="99"/>
      <c r="T344" s="99"/>
      <c r="U344" s="99"/>
      <c r="V344" s="99"/>
      <c r="W344" s="99"/>
      <c r="X344" s="99"/>
      <c r="Y344" s="99"/>
      <c r="Z344" s="99"/>
      <c r="AA344" s="99"/>
      <c r="AB344" s="99"/>
      <c r="AC344" s="99"/>
    </row>
    <row r="345">
      <c r="A345" s="157"/>
      <c r="B345" s="99"/>
      <c r="C345" s="99"/>
      <c r="D345" s="99"/>
      <c r="E345" s="99"/>
      <c r="F345" s="170"/>
      <c r="G345" s="99"/>
      <c r="H345" s="99"/>
      <c r="I345" s="99"/>
      <c r="J345" s="171"/>
      <c r="K345" s="99"/>
      <c r="L345" s="99"/>
      <c r="M345" s="99"/>
      <c r="N345" s="99"/>
      <c r="O345" s="99"/>
      <c r="P345" s="99"/>
      <c r="Q345" s="99"/>
      <c r="R345" s="99"/>
      <c r="S345" s="99"/>
      <c r="T345" s="99"/>
      <c r="U345" s="99"/>
      <c r="V345" s="99"/>
      <c r="W345" s="99"/>
      <c r="X345" s="99"/>
      <c r="Y345" s="99"/>
      <c r="Z345" s="99"/>
      <c r="AA345" s="99"/>
      <c r="AB345" s="99"/>
      <c r="AC345" s="99"/>
    </row>
    <row r="346">
      <c r="A346" s="157"/>
      <c r="B346" s="99"/>
      <c r="C346" s="99"/>
      <c r="D346" s="99"/>
      <c r="E346" s="99"/>
      <c r="F346" s="170"/>
      <c r="G346" s="99"/>
      <c r="H346" s="99"/>
      <c r="I346" s="99"/>
      <c r="J346" s="171"/>
      <c r="K346" s="99"/>
      <c r="L346" s="99"/>
      <c r="M346" s="99"/>
      <c r="N346" s="99"/>
      <c r="O346" s="99"/>
      <c r="P346" s="99"/>
      <c r="Q346" s="99"/>
      <c r="R346" s="99"/>
      <c r="S346" s="99"/>
      <c r="T346" s="99"/>
      <c r="U346" s="99"/>
      <c r="V346" s="99"/>
      <c r="W346" s="99"/>
      <c r="X346" s="99"/>
      <c r="Y346" s="99"/>
      <c r="Z346" s="99"/>
      <c r="AA346" s="99"/>
      <c r="AB346" s="99"/>
      <c r="AC346" s="99"/>
    </row>
    <row r="347">
      <c r="A347" s="157"/>
      <c r="B347" s="99"/>
      <c r="C347" s="99"/>
      <c r="D347" s="99"/>
      <c r="E347" s="99"/>
      <c r="F347" s="170"/>
      <c r="G347" s="99"/>
      <c r="H347" s="99"/>
      <c r="I347" s="99"/>
      <c r="J347" s="171"/>
      <c r="K347" s="99"/>
      <c r="L347" s="99"/>
      <c r="M347" s="99"/>
      <c r="N347" s="99"/>
      <c r="O347" s="99"/>
      <c r="P347" s="99"/>
      <c r="Q347" s="99"/>
      <c r="R347" s="99"/>
      <c r="S347" s="99"/>
      <c r="T347" s="99"/>
      <c r="U347" s="99"/>
      <c r="V347" s="99"/>
      <c r="W347" s="99"/>
      <c r="X347" s="99"/>
      <c r="Y347" s="99"/>
      <c r="Z347" s="99"/>
      <c r="AA347" s="99"/>
      <c r="AB347" s="99"/>
      <c r="AC347" s="99"/>
    </row>
    <row r="348">
      <c r="A348" s="157"/>
      <c r="B348" s="99"/>
      <c r="C348" s="99"/>
      <c r="D348" s="99"/>
      <c r="E348" s="99"/>
      <c r="F348" s="170"/>
      <c r="G348" s="99"/>
      <c r="H348" s="99"/>
      <c r="I348" s="99"/>
      <c r="J348" s="171"/>
      <c r="K348" s="99"/>
      <c r="L348" s="99"/>
      <c r="M348" s="99"/>
      <c r="N348" s="99"/>
      <c r="O348" s="99"/>
      <c r="P348" s="99"/>
      <c r="Q348" s="99"/>
      <c r="R348" s="99"/>
      <c r="S348" s="99"/>
      <c r="T348" s="99"/>
      <c r="U348" s="99"/>
      <c r="V348" s="99"/>
      <c r="W348" s="99"/>
      <c r="X348" s="99"/>
      <c r="Y348" s="99"/>
      <c r="Z348" s="99"/>
      <c r="AA348" s="99"/>
      <c r="AB348" s="99"/>
      <c r="AC348" s="99"/>
    </row>
    <row r="349">
      <c r="A349" s="157"/>
      <c r="B349" s="99"/>
      <c r="C349" s="99"/>
      <c r="D349" s="99"/>
      <c r="E349" s="99"/>
      <c r="F349" s="170"/>
      <c r="G349" s="99"/>
      <c r="H349" s="99"/>
      <c r="I349" s="99"/>
      <c r="J349" s="171"/>
      <c r="K349" s="99"/>
      <c r="L349" s="99"/>
      <c r="M349" s="99"/>
      <c r="N349" s="99"/>
      <c r="O349" s="99"/>
      <c r="P349" s="99"/>
      <c r="Q349" s="99"/>
      <c r="R349" s="99"/>
      <c r="S349" s="99"/>
      <c r="T349" s="99"/>
      <c r="U349" s="99"/>
      <c r="V349" s="99"/>
      <c r="W349" s="99"/>
      <c r="X349" s="99"/>
      <c r="Y349" s="99"/>
      <c r="Z349" s="99"/>
      <c r="AA349" s="99"/>
      <c r="AB349" s="99"/>
      <c r="AC349" s="99"/>
    </row>
    <row r="350">
      <c r="A350" s="157"/>
      <c r="B350" s="99"/>
      <c r="C350" s="99"/>
      <c r="D350" s="99"/>
      <c r="E350" s="99"/>
      <c r="F350" s="170"/>
      <c r="G350" s="99"/>
      <c r="H350" s="99"/>
      <c r="I350" s="99"/>
      <c r="J350" s="171"/>
      <c r="K350" s="99"/>
      <c r="L350" s="99"/>
      <c r="M350" s="99"/>
      <c r="N350" s="99"/>
      <c r="O350" s="99"/>
      <c r="P350" s="99"/>
      <c r="Q350" s="99"/>
      <c r="R350" s="99"/>
      <c r="S350" s="99"/>
      <c r="T350" s="99"/>
      <c r="U350" s="99"/>
      <c r="V350" s="99"/>
      <c r="W350" s="99"/>
      <c r="X350" s="99"/>
      <c r="Y350" s="99"/>
      <c r="Z350" s="99"/>
      <c r="AA350" s="99"/>
      <c r="AB350" s="99"/>
      <c r="AC350" s="99"/>
    </row>
    <row r="351">
      <c r="A351" s="157"/>
      <c r="B351" s="99"/>
      <c r="C351" s="99"/>
      <c r="D351" s="99"/>
      <c r="E351" s="99"/>
      <c r="F351" s="170"/>
      <c r="G351" s="99"/>
      <c r="H351" s="99"/>
      <c r="I351" s="99"/>
      <c r="J351" s="171"/>
      <c r="K351" s="99"/>
      <c r="L351" s="99"/>
      <c r="M351" s="99"/>
      <c r="N351" s="99"/>
      <c r="O351" s="99"/>
      <c r="P351" s="99"/>
      <c r="Q351" s="99"/>
      <c r="R351" s="99"/>
      <c r="S351" s="99"/>
      <c r="T351" s="99"/>
      <c r="U351" s="99"/>
      <c r="V351" s="99"/>
      <c r="W351" s="99"/>
      <c r="X351" s="99"/>
      <c r="Y351" s="99"/>
      <c r="Z351" s="99"/>
      <c r="AA351" s="99"/>
      <c r="AB351" s="99"/>
      <c r="AC351" s="99"/>
    </row>
    <row r="352">
      <c r="A352" s="157"/>
      <c r="B352" s="99"/>
      <c r="C352" s="99"/>
      <c r="D352" s="99"/>
      <c r="E352" s="99"/>
      <c r="F352" s="170"/>
      <c r="G352" s="99"/>
      <c r="H352" s="99"/>
      <c r="I352" s="99"/>
      <c r="J352" s="171"/>
      <c r="K352" s="99"/>
      <c r="L352" s="99"/>
      <c r="M352" s="99"/>
      <c r="N352" s="99"/>
      <c r="O352" s="99"/>
      <c r="P352" s="99"/>
      <c r="Q352" s="99"/>
      <c r="R352" s="99"/>
      <c r="S352" s="99"/>
      <c r="T352" s="99"/>
      <c r="U352" s="99"/>
      <c r="V352" s="99"/>
      <c r="W352" s="99"/>
      <c r="X352" s="99"/>
      <c r="Y352" s="99"/>
      <c r="Z352" s="99"/>
      <c r="AA352" s="99"/>
      <c r="AB352" s="99"/>
      <c r="AC352" s="99"/>
    </row>
    <row r="353">
      <c r="A353" s="157"/>
      <c r="B353" s="99"/>
      <c r="C353" s="99"/>
      <c r="D353" s="99"/>
      <c r="E353" s="99"/>
      <c r="F353" s="170"/>
      <c r="G353" s="99"/>
      <c r="H353" s="99"/>
      <c r="I353" s="99"/>
      <c r="J353" s="171"/>
      <c r="K353" s="99"/>
      <c r="L353" s="99"/>
      <c r="M353" s="99"/>
      <c r="N353" s="99"/>
      <c r="O353" s="99"/>
      <c r="P353" s="99"/>
      <c r="Q353" s="99"/>
      <c r="R353" s="99"/>
      <c r="S353" s="99"/>
      <c r="T353" s="99"/>
      <c r="U353" s="99"/>
      <c r="V353" s="99"/>
      <c r="W353" s="99"/>
      <c r="X353" s="99"/>
      <c r="Y353" s="99"/>
      <c r="Z353" s="99"/>
      <c r="AA353" s="99"/>
      <c r="AB353" s="99"/>
      <c r="AC353" s="99"/>
    </row>
    <row r="354">
      <c r="A354" s="157"/>
      <c r="B354" s="99"/>
      <c r="C354" s="99"/>
      <c r="D354" s="99"/>
      <c r="E354" s="99"/>
      <c r="F354" s="170"/>
      <c r="G354" s="99"/>
      <c r="H354" s="99"/>
      <c r="I354" s="99"/>
      <c r="J354" s="171"/>
      <c r="K354" s="99"/>
      <c r="L354" s="99"/>
      <c r="M354" s="99"/>
      <c r="N354" s="99"/>
      <c r="O354" s="99"/>
      <c r="P354" s="99"/>
      <c r="Q354" s="99"/>
      <c r="R354" s="99"/>
      <c r="S354" s="99"/>
      <c r="T354" s="99"/>
      <c r="U354" s="99"/>
      <c r="V354" s="99"/>
      <c r="W354" s="99"/>
      <c r="X354" s="99"/>
      <c r="Y354" s="99"/>
      <c r="Z354" s="99"/>
      <c r="AA354" s="99"/>
      <c r="AB354" s="99"/>
      <c r="AC354" s="99"/>
    </row>
    <row r="355">
      <c r="A355" s="157"/>
      <c r="B355" s="99"/>
      <c r="C355" s="99"/>
      <c r="D355" s="99"/>
      <c r="E355" s="99"/>
      <c r="F355" s="170"/>
      <c r="G355" s="99"/>
      <c r="H355" s="99"/>
      <c r="I355" s="99"/>
      <c r="J355" s="171"/>
      <c r="K355" s="99"/>
      <c r="L355" s="99"/>
      <c r="M355" s="99"/>
      <c r="N355" s="99"/>
      <c r="O355" s="99"/>
      <c r="P355" s="99"/>
      <c r="Q355" s="99"/>
      <c r="R355" s="99"/>
      <c r="S355" s="99"/>
      <c r="T355" s="99"/>
      <c r="U355" s="99"/>
      <c r="V355" s="99"/>
      <c r="W355" s="99"/>
      <c r="X355" s="99"/>
      <c r="Y355" s="99"/>
      <c r="Z355" s="99"/>
      <c r="AA355" s="99"/>
      <c r="AB355" s="99"/>
      <c r="AC355" s="99"/>
    </row>
    <row r="356">
      <c r="A356" s="157"/>
      <c r="B356" s="99"/>
      <c r="C356" s="99"/>
      <c r="D356" s="99"/>
      <c r="E356" s="99"/>
      <c r="F356" s="170"/>
      <c r="G356" s="99"/>
      <c r="H356" s="99"/>
      <c r="I356" s="99"/>
      <c r="J356" s="171"/>
      <c r="K356" s="99"/>
      <c r="L356" s="99"/>
      <c r="M356" s="99"/>
      <c r="N356" s="99"/>
      <c r="O356" s="99"/>
      <c r="P356" s="99"/>
      <c r="Q356" s="99"/>
      <c r="R356" s="99"/>
      <c r="S356" s="99"/>
      <c r="T356" s="99"/>
      <c r="U356" s="99"/>
      <c r="V356" s="99"/>
      <c r="W356" s="99"/>
      <c r="X356" s="99"/>
      <c r="Y356" s="99"/>
      <c r="Z356" s="99"/>
      <c r="AA356" s="99"/>
      <c r="AB356" s="99"/>
      <c r="AC356" s="99"/>
    </row>
    <row r="357">
      <c r="A357" s="157"/>
      <c r="B357" s="99"/>
      <c r="C357" s="99"/>
      <c r="D357" s="99"/>
      <c r="E357" s="99"/>
      <c r="F357" s="170"/>
      <c r="G357" s="99"/>
      <c r="H357" s="99"/>
      <c r="I357" s="99"/>
      <c r="J357" s="171"/>
      <c r="K357" s="99"/>
      <c r="L357" s="99"/>
      <c r="M357" s="99"/>
      <c r="N357" s="99"/>
      <c r="O357" s="99"/>
      <c r="P357" s="99"/>
      <c r="Q357" s="99"/>
      <c r="R357" s="99"/>
      <c r="S357" s="99"/>
      <c r="T357" s="99"/>
      <c r="U357" s="99"/>
      <c r="V357" s="99"/>
      <c r="W357" s="99"/>
      <c r="X357" s="99"/>
      <c r="Y357" s="99"/>
      <c r="Z357" s="99"/>
      <c r="AA357" s="99"/>
      <c r="AB357" s="99"/>
      <c r="AC357" s="99"/>
    </row>
    <row r="358">
      <c r="A358" s="157"/>
      <c r="B358" s="99"/>
      <c r="C358" s="99"/>
      <c r="D358" s="99"/>
      <c r="E358" s="99"/>
      <c r="F358" s="170"/>
      <c r="G358" s="99"/>
      <c r="H358" s="99"/>
      <c r="I358" s="99"/>
      <c r="J358" s="171"/>
      <c r="K358" s="99"/>
      <c r="L358" s="99"/>
      <c r="M358" s="99"/>
      <c r="N358" s="99"/>
      <c r="O358" s="99"/>
      <c r="P358" s="99"/>
      <c r="Q358" s="99"/>
      <c r="R358" s="99"/>
      <c r="S358" s="99"/>
      <c r="T358" s="99"/>
      <c r="U358" s="99"/>
      <c r="V358" s="99"/>
      <c r="W358" s="99"/>
      <c r="X358" s="99"/>
      <c r="Y358" s="99"/>
      <c r="Z358" s="99"/>
      <c r="AA358" s="99"/>
      <c r="AB358" s="99"/>
      <c r="AC358" s="99"/>
    </row>
    <row r="359">
      <c r="A359" s="157"/>
      <c r="B359" s="99"/>
      <c r="C359" s="99"/>
      <c r="D359" s="99"/>
      <c r="E359" s="99"/>
      <c r="F359" s="170"/>
      <c r="G359" s="99"/>
      <c r="H359" s="99"/>
      <c r="I359" s="99"/>
      <c r="J359" s="171"/>
      <c r="K359" s="99"/>
      <c r="L359" s="99"/>
      <c r="M359" s="99"/>
      <c r="N359" s="99"/>
      <c r="O359" s="99"/>
      <c r="P359" s="99"/>
      <c r="Q359" s="99"/>
      <c r="R359" s="99"/>
      <c r="S359" s="99"/>
      <c r="T359" s="99"/>
      <c r="U359" s="99"/>
      <c r="V359" s="99"/>
      <c r="W359" s="99"/>
      <c r="X359" s="99"/>
      <c r="Y359" s="99"/>
      <c r="Z359" s="99"/>
      <c r="AA359" s="99"/>
      <c r="AB359" s="99"/>
      <c r="AC359" s="99"/>
    </row>
    <row r="360">
      <c r="A360" s="157"/>
      <c r="B360" s="99"/>
      <c r="C360" s="99"/>
      <c r="D360" s="99"/>
      <c r="E360" s="99"/>
      <c r="F360" s="170"/>
      <c r="G360" s="99"/>
      <c r="H360" s="99"/>
      <c r="I360" s="99"/>
      <c r="J360" s="171"/>
      <c r="K360" s="99"/>
      <c r="L360" s="99"/>
      <c r="M360" s="99"/>
      <c r="N360" s="99"/>
      <c r="O360" s="99"/>
      <c r="P360" s="99"/>
      <c r="Q360" s="99"/>
      <c r="R360" s="99"/>
      <c r="S360" s="99"/>
      <c r="T360" s="99"/>
      <c r="U360" s="99"/>
      <c r="V360" s="99"/>
      <c r="W360" s="99"/>
      <c r="X360" s="99"/>
      <c r="Y360" s="99"/>
      <c r="Z360" s="99"/>
      <c r="AA360" s="99"/>
      <c r="AB360" s="99"/>
      <c r="AC360" s="99"/>
    </row>
    <row r="361">
      <c r="A361" s="157"/>
      <c r="B361" s="99"/>
      <c r="C361" s="99"/>
      <c r="D361" s="99"/>
      <c r="E361" s="99"/>
      <c r="F361" s="170"/>
      <c r="G361" s="99"/>
      <c r="H361" s="99"/>
      <c r="I361" s="99"/>
      <c r="J361" s="171"/>
      <c r="K361" s="99"/>
      <c r="L361" s="99"/>
      <c r="M361" s="99"/>
      <c r="N361" s="99"/>
      <c r="O361" s="99"/>
      <c r="P361" s="99"/>
      <c r="Q361" s="99"/>
      <c r="R361" s="99"/>
      <c r="S361" s="99"/>
      <c r="T361" s="99"/>
      <c r="U361" s="99"/>
      <c r="V361" s="99"/>
      <c r="W361" s="99"/>
      <c r="X361" s="99"/>
      <c r="Y361" s="99"/>
      <c r="Z361" s="99"/>
      <c r="AA361" s="99"/>
      <c r="AB361" s="99"/>
      <c r="AC361" s="99"/>
    </row>
    <row r="362">
      <c r="A362" s="157"/>
      <c r="B362" s="99"/>
      <c r="C362" s="99"/>
      <c r="D362" s="99"/>
      <c r="E362" s="99"/>
      <c r="F362" s="170"/>
      <c r="G362" s="99"/>
      <c r="H362" s="99"/>
      <c r="I362" s="99"/>
      <c r="J362" s="171"/>
      <c r="K362" s="99"/>
      <c r="L362" s="99"/>
      <c r="M362" s="99"/>
      <c r="N362" s="99"/>
      <c r="O362" s="99"/>
      <c r="P362" s="99"/>
      <c r="Q362" s="99"/>
      <c r="R362" s="99"/>
      <c r="S362" s="99"/>
      <c r="T362" s="99"/>
      <c r="U362" s="99"/>
      <c r="V362" s="99"/>
      <c r="W362" s="99"/>
      <c r="X362" s="99"/>
      <c r="Y362" s="99"/>
      <c r="Z362" s="99"/>
      <c r="AA362" s="99"/>
      <c r="AB362" s="99"/>
      <c r="AC362" s="99"/>
    </row>
    <row r="363">
      <c r="A363" s="157"/>
      <c r="B363" s="99"/>
      <c r="C363" s="99"/>
      <c r="D363" s="99"/>
      <c r="E363" s="99"/>
      <c r="F363" s="170"/>
      <c r="G363" s="99"/>
      <c r="H363" s="99"/>
      <c r="I363" s="99"/>
      <c r="J363" s="171"/>
      <c r="K363" s="99"/>
      <c r="L363" s="99"/>
      <c r="M363" s="99"/>
      <c r="N363" s="99"/>
      <c r="O363" s="99"/>
      <c r="P363" s="99"/>
      <c r="Q363" s="99"/>
      <c r="R363" s="99"/>
      <c r="S363" s="99"/>
      <c r="T363" s="99"/>
      <c r="U363" s="99"/>
      <c r="V363" s="99"/>
      <c r="W363" s="99"/>
      <c r="X363" s="99"/>
      <c r="Y363" s="99"/>
      <c r="Z363" s="99"/>
      <c r="AA363" s="99"/>
      <c r="AB363" s="99"/>
      <c r="AC363" s="99"/>
    </row>
    <row r="364">
      <c r="A364" s="157"/>
      <c r="B364" s="99"/>
      <c r="C364" s="99"/>
      <c r="D364" s="99"/>
      <c r="E364" s="99"/>
      <c r="F364" s="170"/>
      <c r="G364" s="99"/>
      <c r="H364" s="99"/>
      <c r="I364" s="99"/>
      <c r="J364" s="171"/>
      <c r="K364" s="99"/>
      <c r="L364" s="99"/>
      <c r="M364" s="99"/>
      <c r="N364" s="99"/>
      <c r="O364" s="99"/>
      <c r="P364" s="99"/>
      <c r="Q364" s="99"/>
      <c r="R364" s="99"/>
      <c r="S364" s="99"/>
      <c r="T364" s="99"/>
      <c r="U364" s="99"/>
      <c r="V364" s="99"/>
      <c r="W364" s="99"/>
      <c r="X364" s="99"/>
      <c r="Y364" s="99"/>
      <c r="Z364" s="99"/>
      <c r="AA364" s="99"/>
      <c r="AB364" s="99"/>
      <c r="AC364" s="99"/>
    </row>
    <row r="365">
      <c r="A365" s="157"/>
      <c r="B365" s="99"/>
      <c r="C365" s="99"/>
      <c r="D365" s="99"/>
      <c r="E365" s="99"/>
      <c r="F365" s="170"/>
      <c r="G365" s="99"/>
      <c r="H365" s="99"/>
      <c r="I365" s="99"/>
      <c r="J365" s="171"/>
      <c r="K365" s="99"/>
      <c r="L365" s="99"/>
      <c r="M365" s="99"/>
      <c r="N365" s="99"/>
      <c r="O365" s="99"/>
      <c r="P365" s="99"/>
      <c r="Q365" s="99"/>
      <c r="R365" s="99"/>
      <c r="S365" s="99"/>
      <c r="T365" s="99"/>
      <c r="U365" s="99"/>
      <c r="V365" s="99"/>
      <c r="W365" s="99"/>
      <c r="X365" s="99"/>
      <c r="Y365" s="99"/>
      <c r="Z365" s="99"/>
      <c r="AA365" s="99"/>
      <c r="AB365" s="99"/>
      <c r="AC365" s="99"/>
    </row>
    <row r="366">
      <c r="A366" s="157"/>
      <c r="B366" s="99"/>
      <c r="C366" s="99"/>
      <c r="D366" s="99"/>
      <c r="E366" s="99"/>
      <c r="F366" s="170"/>
      <c r="G366" s="99"/>
      <c r="H366" s="99"/>
      <c r="I366" s="99"/>
      <c r="J366" s="171"/>
      <c r="K366" s="99"/>
      <c r="L366" s="99"/>
      <c r="M366" s="99"/>
      <c r="N366" s="99"/>
      <c r="O366" s="99"/>
      <c r="P366" s="99"/>
      <c r="Q366" s="99"/>
      <c r="R366" s="99"/>
      <c r="S366" s="99"/>
      <c r="T366" s="99"/>
      <c r="U366" s="99"/>
      <c r="V366" s="99"/>
      <c r="W366" s="99"/>
      <c r="X366" s="99"/>
      <c r="Y366" s="99"/>
      <c r="Z366" s="99"/>
      <c r="AA366" s="99"/>
      <c r="AB366" s="99"/>
      <c r="AC366" s="99"/>
    </row>
    <row r="367">
      <c r="A367" s="157"/>
      <c r="B367" s="99"/>
      <c r="C367" s="99"/>
      <c r="D367" s="99"/>
      <c r="E367" s="99"/>
      <c r="F367" s="170"/>
      <c r="G367" s="99"/>
      <c r="H367" s="99"/>
      <c r="I367" s="99"/>
      <c r="J367" s="171"/>
      <c r="K367" s="99"/>
      <c r="L367" s="99"/>
      <c r="M367" s="99"/>
      <c r="N367" s="99"/>
      <c r="O367" s="99"/>
      <c r="P367" s="99"/>
      <c r="Q367" s="99"/>
      <c r="R367" s="99"/>
      <c r="S367" s="99"/>
      <c r="T367" s="99"/>
      <c r="U367" s="99"/>
      <c r="V367" s="99"/>
      <c r="W367" s="99"/>
      <c r="X367" s="99"/>
      <c r="Y367" s="99"/>
      <c r="Z367" s="99"/>
      <c r="AA367" s="99"/>
      <c r="AB367" s="99"/>
      <c r="AC367" s="99"/>
    </row>
    <row r="368">
      <c r="A368" s="157"/>
      <c r="B368" s="99"/>
      <c r="C368" s="99"/>
      <c r="D368" s="99"/>
      <c r="E368" s="99"/>
      <c r="F368" s="170"/>
      <c r="G368" s="99"/>
      <c r="H368" s="99"/>
      <c r="I368" s="99"/>
      <c r="J368" s="171"/>
      <c r="K368" s="99"/>
      <c r="L368" s="99"/>
      <c r="M368" s="99"/>
      <c r="N368" s="99"/>
      <c r="O368" s="99"/>
      <c r="P368" s="99"/>
      <c r="Q368" s="99"/>
      <c r="R368" s="99"/>
      <c r="S368" s="99"/>
      <c r="T368" s="99"/>
      <c r="U368" s="99"/>
      <c r="V368" s="99"/>
      <c r="W368" s="99"/>
      <c r="X368" s="99"/>
      <c r="Y368" s="99"/>
      <c r="Z368" s="99"/>
      <c r="AA368" s="99"/>
      <c r="AB368" s="99"/>
      <c r="AC368" s="99"/>
    </row>
    <row r="369">
      <c r="A369" s="157"/>
      <c r="B369" s="99"/>
      <c r="C369" s="99"/>
      <c r="D369" s="99"/>
      <c r="E369" s="99"/>
      <c r="F369" s="170"/>
      <c r="G369" s="99"/>
      <c r="H369" s="99"/>
      <c r="I369" s="99"/>
      <c r="J369" s="171"/>
      <c r="K369" s="99"/>
      <c r="L369" s="99"/>
      <c r="M369" s="99"/>
      <c r="N369" s="99"/>
      <c r="O369" s="99"/>
      <c r="P369" s="99"/>
      <c r="Q369" s="99"/>
      <c r="R369" s="99"/>
      <c r="S369" s="99"/>
      <c r="T369" s="99"/>
      <c r="U369" s="99"/>
      <c r="V369" s="99"/>
      <c r="W369" s="99"/>
      <c r="X369" s="99"/>
      <c r="Y369" s="99"/>
      <c r="Z369" s="99"/>
      <c r="AA369" s="99"/>
      <c r="AB369" s="99"/>
      <c r="AC369" s="99"/>
    </row>
    <row r="370">
      <c r="A370" s="157"/>
      <c r="B370" s="99"/>
      <c r="C370" s="99"/>
      <c r="D370" s="99"/>
      <c r="E370" s="99"/>
      <c r="F370" s="170"/>
      <c r="G370" s="99"/>
      <c r="H370" s="99"/>
      <c r="I370" s="99"/>
      <c r="J370" s="171"/>
      <c r="K370" s="99"/>
      <c r="L370" s="99"/>
      <c r="M370" s="99"/>
      <c r="N370" s="99"/>
      <c r="O370" s="99"/>
      <c r="P370" s="99"/>
      <c r="Q370" s="99"/>
      <c r="R370" s="99"/>
      <c r="S370" s="99"/>
      <c r="T370" s="99"/>
      <c r="U370" s="99"/>
      <c r="V370" s="99"/>
      <c r="W370" s="99"/>
      <c r="X370" s="99"/>
      <c r="Y370" s="99"/>
      <c r="Z370" s="99"/>
      <c r="AA370" s="99"/>
      <c r="AB370" s="99"/>
      <c r="AC370" s="99"/>
    </row>
    <row r="371">
      <c r="A371" s="157"/>
      <c r="B371" s="99"/>
      <c r="C371" s="99"/>
      <c r="D371" s="99"/>
      <c r="E371" s="99"/>
      <c r="F371" s="170"/>
      <c r="G371" s="99"/>
      <c r="H371" s="99"/>
      <c r="I371" s="99"/>
      <c r="J371" s="171"/>
      <c r="K371" s="99"/>
      <c r="L371" s="99"/>
      <c r="M371" s="99"/>
      <c r="N371" s="99"/>
      <c r="O371" s="99"/>
      <c r="P371" s="99"/>
      <c r="Q371" s="99"/>
      <c r="R371" s="99"/>
      <c r="S371" s="99"/>
      <c r="T371" s="99"/>
      <c r="U371" s="99"/>
      <c r="V371" s="99"/>
      <c r="W371" s="99"/>
      <c r="X371" s="99"/>
      <c r="Y371" s="99"/>
      <c r="Z371" s="99"/>
      <c r="AA371" s="99"/>
      <c r="AB371" s="99"/>
      <c r="AC371" s="99"/>
    </row>
    <row r="372">
      <c r="A372" s="157"/>
      <c r="B372" s="99"/>
      <c r="C372" s="99"/>
      <c r="D372" s="99"/>
      <c r="E372" s="99"/>
      <c r="F372" s="170"/>
      <c r="G372" s="99"/>
      <c r="H372" s="99"/>
      <c r="I372" s="99"/>
      <c r="J372" s="171"/>
      <c r="K372" s="99"/>
      <c r="L372" s="99"/>
      <c r="M372" s="99"/>
      <c r="N372" s="99"/>
      <c r="O372" s="99"/>
      <c r="P372" s="99"/>
      <c r="Q372" s="99"/>
      <c r="R372" s="99"/>
      <c r="S372" s="99"/>
      <c r="T372" s="99"/>
      <c r="U372" s="99"/>
      <c r="V372" s="99"/>
      <c r="W372" s="99"/>
      <c r="X372" s="99"/>
      <c r="Y372" s="99"/>
      <c r="Z372" s="99"/>
      <c r="AA372" s="99"/>
      <c r="AB372" s="99"/>
      <c r="AC372" s="99"/>
    </row>
    <row r="373">
      <c r="A373" s="157"/>
      <c r="B373" s="99"/>
      <c r="C373" s="99"/>
      <c r="D373" s="99"/>
      <c r="E373" s="99"/>
      <c r="F373" s="170"/>
      <c r="G373" s="99"/>
      <c r="H373" s="99"/>
      <c r="I373" s="99"/>
      <c r="J373" s="171"/>
      <c r="K373" s="99"/>
      <c r="L373" s="99"/>
      <c r="M373" s="99"/>
      <c r="N373" s="99"/>
      <c r="O373" s="99"/>
      <c r="P373" s="99"/>
      <c r="Q373" s="99"/>
      <c r="R373" s="99"/>
      <c r="S373" s="99"/>
      <c r="T373" s="99"/>
      <c r="U373" s="99"/>
      <c r="V373" s="99"/>
      <c r="W373" s="99"/>
      <c r="X373" s="99"/>
      <c r="Y373" s="99"/>
      <c r="Z373" s="99"/>
      <c r="AA373" s="99"/>
      <c r="AB373" s="99"/>
      <c r="AC373" s="99"/>
    </row>
    <row r="374">
      <c r="A374" s="157"/>
      <c r="B374" s="99"/>
      <c r="C374" s="99"/>
      <c r="D374" s="99"/>
      <c r="E374" s="99"/>
      <c r="F374" s="170"/>
      <c r="G374" s="99"/>
      <c r="H374" s="99"/>
      <c r="I374" s="99"/>
      <c r="J374" s="171"/>
      <c r="K374" s="99"/>
      <c r="L374" s="99"/>
      <c r="M374" s="99"/>
      <c r="N374" s="99"/>
      <c r="O374" s="99"/>
      <c r="P374" s="99"/>
      <c r="Q374" s="99"/>
      <c r="R374" s="99"/>
      <c r="S374" s="99"/>
      <c r="T374" s="99"/>
      <c r="U374" s="99"/>
      <c r="V374" s="99"/>
      <c r="W374" s="99"/>
      <c r="X374" s="99"/>
      <c r="Y374" s="99"/>
      <c r="Z374" s="99"/>
      <c r="AA374" s="99"/>
      <c r="AB374" s="99"/>
      <c r="AC374" s="99"/>
    </row>
    <row r="375">
      <c r="A375" s="157"/>
      <c r="B375" s="99"/>
      <c r="C375" s="99"/>
      <c r="D375" s="99"/>
      <c r="E375" s="99"/>
      <c r="F375" s="170"/>
      <c r="G375" s="99"/>
      <c r="H375" s="99"/>
      <c r="I375" s="99"/>
      <c r="J375" s="171"/>
      <c r="K375" s="99"/>
      <c r="L375" s="99"/>
      <c r="M375" s="99"/>
      <c r="N375" s="99"/>
      <c r="O375" s="99"/>
      <c r="P375" s="99"/>
      <c r="Q375" s="99"/>
      <c r="R375" s="99"/>
      <c r="S375" s="99"/>
      <c r="T375" s="99"/>
      <c r="U375" s="99"/>
      <c r="V375" s="99"/>
      <c r="W375" s="99"/>
      <c r="X375" s="99"/>
      <c r="Y375" s="99"/>
      <c r="Z375" s="99"/>
      <c r="AA375" s="99"/>
      <c r="AB375" s="99"/>
      <c r="AC375" s="99"/>
    </row>
    <row r="376">
      <c r="A376" s="157"/>
      <c r="B376" s="99"/>
      <c r="C376" s="99"/>
      <c r="D376" s="99"/>
      <c r="E376" s="99"/>
      <c r="F376" s="170"/>
      <c r="G376" s="99"/>
      <c r="H376" s="99"/>
      <c r="I376" s="99"/>
      <c r="J376" s="171"/>
      <c r="K376" s="99"/>
      <c r="L376" s="99"/>
      <c r="M376" s="99"/>
      <c r="N376" s="99"/>
      <c r="O376" s="99"/>
      <c r="P376" s="99"/>
      <c r="Q376" s="99"/>
      <c r="R376" s="99"/>
      <c r="S376" s="99"/>
      <c r="T376" s="99"/>
      <c r="U376" s="99"/>
      <c r="V376" s="99"/>
      <c r="W376" s="99"/>
      <c r="X376" s="99"/>
      <c r="Y376" s="99"/>
      <c r="Z376" s="99"/>
      <c r="AA376" s="99"/>
      <c r="AB376" s="99"/>
      <c r="AC376" s="99"/>
    </row>
    <row r="377">
      <c r="A377" s="157"/>
      <c r="B377" s="99"/>
      <c r="C377" s="99"/>
      <c r="D377" s="99"/>
      <c r="E377" s="99"/>
      <c r="F377" s="170"/>
      <c r="G377" s="99"/>
      <c r="H377" s="99"/>
      <c r="I377" s="99"/>
      <c r="J377" s="171"/>
      <c r="K377" s="99"/>
      <c r="L377" s="99"/>
      <c r="M377" s="99"/>
      <c r="N377" s="99"/>
      <c r="O377" s="99"/>
      <c r="P377" s="99"/>
      <c r="Q377" s="99"/>
      <c r="R377" s="99"/>
      <c r="S377" s="99"/>
      <c r="T377" s="99"/>
      <c r="U377" s="99"/>
      <c r="V377" s="99"/>
      <c r="W377" s="99"/>
      <c r="X377" s="99"/>
      <c r="Y377" s="99"/>
      <c r="Z377" s="99"/>
      <c r="AA377" s="99"/>
      <c r="AB377" s="99"/>
      <c r="AC377" s="99"/>
    </row>
    <row r="378">
      <c r="A378" s="157"/>
      <c r="B378" s="99"/>
      <c r="C378" s="99"/>
      <c r="D378" s="99"/>
      <c r="E378" s="99"/>
      <c r="F378" s="170"/>
      <c r="G378" s="99"/>
      <c r="H378" s="99"/>
      <c r="I378" s="99"/>
      <c r="J378" s="171"/>
      <c r="K378" s="99"/>
      <c r="L378" s="99"/>
      <c r="M378" s="99"/>
      <c r="N378" s="99"/>
      <c r="O378" s="99"/>
      <c r="P378" s="99"/>
      <c r="Q378" s="99"/>
      <c r="R378" s="99"/>
      <c r="S378" s="99"/>
      <c r="T378" s="99"/>
      <c r="U378" s="99"/>
      <c r="V378" s="99"/>
      <c r="W378" s="99"/>
      <c r="X378" s="99"/>
      <c r="Y378" s="99"/>
      <c r="Z378" s="99"/>
      <c r="AA378" s="99"/>
      <c r="AB378" s="99"/>
      <c r="AC378" s="99"/>
    </row>
    <row r="379">
      <c r="A379" s="157"/>
      <c r="B379" s="99"/>
      <c r="C379" s="99"/>
      <c r="D379" s="99"/>
      <c r="E379" s="99"/>
      <c r="F379" s="170"/>
      <c r="G379" s="99"/>
      <c r="H379" s="99"/>
      <c r="I379" s="99"/>
      <c r="J379" s="171"/>
      <c r="K379" s="99"/>
      <c r="L379" s="99"/>
      <c r="M379" s="99"/>
      <c r="N379" s="99"/>
      <c r="O379" s="99"/>
      <c r="P379" s="99"/>
      <c r="Q379" s="99"/>
      <c r="R379" s="99"/>
      <c r="S379" s="99"/>
      <c r="T379" s="99"/>
      <c r="U379" s="99"/>
      <c r="V379" s="99"/>
      <c r="W379" s="99"/>
      <c r="X379" s="99"/>
      <c r="Y379" s="99"/>
      <c r="Z379" s="99"/>
      <c r="AA379" s="99"/>
      <c r="AB379" s="99"/>
      <c r="AC379" s="99"/>
    </row>
    <row r="380">
      <c r="A380" s="157"/>
      <c r="B380" s="99"/>
      <c r="C380" s="99"/>
      <c r="D380" s="99"/>
      <c r="E380" s="99"/>
      <c r="F380" s="170"/>
      <c r="G380" s="99"/>
      <c r="H380" s="99"/>
      <c r="I380" s="99"/>
      <c r="J380" s="171"/>
      <c r="K380" s="99"/>
      <c r="L380" s="99"/>
      <c r="M380" s="99"/>
      <c r="N380" s="99"/>
      <c r="O380" s="99"/>
      <c r="P380" s="99"/>
      <c r="Q380" s="99"/>
      <c r="R380" s="99"/>
      <c r="S380" s="99"/>
      <c r="T380" s="99"/>
      <c r="U380" s="99"/>
      <c r="V380" s="99"/>
      <c r="W380" s="99"/>
      <c r="X380" s="99"/>
      <c r="Y380" s="99"/>
      <c r="Z380" s="99"/>
      <c r="AA380" s="99"/>
      <c r="AB380" s="99"/>
      <c r="AC380" s="99"/>
    </row>
    <row r="381">
      <c r="A381" s="157"/>
      <c r="B381" s="99"/>
      <c r="C381" s="99"/>
      <c r="D381" s="99"/>
      <c r="E381" s="99"/>
      <c r="F381" s="170"/>
      <c r="G381" s="99"/>
      <c r="H381" s="99"/>
      <c r="I381" s="99"/>
      <c r="J381" s="171"/>
      <c r="K381" s="99"/>
      <c r="L381" s="99"/>
      <c r="M381" s="99"/>
      <c r="N381" s="99"/>
      <c r="O381" s="99"/>
      <c r="P381" s="99"/>
      <c r="Q381" s="99"/>
      <c r="R381" s="99"/>
      <c r="S381" s="99"/>
      <c r="T381" s="99"/>
      <c r="U381" s="99"/>
      <c r="V381" s="99"/>
      <c r="W381" s="99"/>
      <c r="X381" s="99"/>
      <c r="Y381" s="99"/>
      <c r="Z381" s="99"/>
      <c r="AA381" s="99"/>
      <c r="AB381" s="99"/>
      <c r="AC381" s="99"/>
    </row>
    <row r="382">
      <c r="A382" s="157"/>
      <c r="B382" s="99"/>
      <c r="C382" s="99"/>
      <c r="D382" s="99"/>
      <c r="E382" s="99"/>
      <c r="F382" s="170"/>
      <c r="G382" s="99"/>
      <c r="H382" s="99"/>
      <c r="I382" s="99"/>
      <c r="J382" s="171"/>
      <c r="K382" s="99"/>
      <c r="L382" s="99"/>
      <c r="M382" s="99"/>
      <c r="N382" s="99"/>
      <c r="O382" s="99"/>
      <c r="P382" s="99"/>
      <c r="Q382" s="99"/>
      <c r="R382" s="99"/>
      <c r="S382" s="99"/>
      <c r="T382" s="99"/>
      <c r="U382" s="99"/>
      <c r="V382" s="99"/>
      <c r="W382" s="99"/>
      <c r="X382" s="99"/>
      <c r="Y382" s="99"/>
      <c r="Z382" s="99"/>
      <c r="AA382" s="99"/>
      <c r="AB382" s="99"/>
      <c r="AC382" s="99"/>
    </row>
    <row r="383">
      <c r="A383" s="157"/>
      <c r="B383" s="99"/>
      <c r="C383" s="99"/>
      <c r="D383" s="99"/>
      <c r="E383" s="99"/>
      <c r="F383" s="170"/>
      <c r="G383" s="99"/>
      <c r="H383" s="99"/>
      <c r="I383" s="99"/>
      <c r="J383" s="171"/>
      <c r="K383" s="99"/>
      <c r="L383" s="99"/>
      <c r="M383" s="99"/>
      <c r="N383" s="99"/>
      <c r="O383" s="99"/>
      <c r="P383" s="99"/>
      <c r="Q383" s="99"/>
      <c r="R383" s="99"/>
      <c r="S383" s="99"/>
      <c r="T383" s="99"/>
      <c r="U383" s="99"/>
      <c r="V383" s="99"/>
      <c r="W383" s="99"/>
      <c r="X383" s="99"/>
      <c r="Y383" s="99"/>
      <c r="Z383" s="99"/>
      <c r="AA383" s="99"/>
      <c r="AB383" s="99"/>
      <c r="AC383" s="99"/>
    </row>
    <row r="384">
      <c r="A384" s="157"/>
      <c r="B384" s="99"/>
      <c r="C384" s="99"/>
      <c r="D384" s="99"/>
      <c r="E384" s="99"/>
      <c r="F384" s="170"/>
      <c r="G384" s="99"/>
      <c r="H384" s="99"/>
      <c r="I384" s="99"/>
      <c r="J384" s="171"/>
      <c r="K384" s="99"/>
      <c r="L384" s="99"/>
      <c r="M384" s="99"/>
      <c r="N384" s="99"/>
      <c r="O384" s="99"/>
      <c r="P384" s="99"/>
      <c r="Q384" s="99"/>
      <c r="R384" s="99"/>
      <c r="S384" s="99"/>
      <c r="T384" s="99"/>
      <c r="U384" s="99"/>
      <c r="V384" s="99"/>
      <c r="W384" s="99"/>
      <c r="X384" s="99"/>
      <c r="Y384" s="99"/>
      <c r="Z384" s="99"/>
      <c r="AA384" s="99"/>
      <c r="AB384" s="99"/>
      <c r="AC384" s="99"/>
    </row>
    <row r="385">
      <c r="A385" s="157"/>
      <c r="B385" s="99"/>
      <c r="C385" s="99"/>
      <c r="D385" s="99"/>
      <c r="E385" s="99"/>
      <c r="F385" s="170"/>
      <c r="G385" s="99"/>
      <c r="H385" s="99"/>
      <c r="I385" s="99"/>
      <c r="J385" s="171"/>
      <c r="K385" s="99"/>
      <c r="L385" s="99"/>
      <c r="M385" s="99"/>
      <c r="N385" s="99"/>
      <c r="O385" s="99"/>
      <c r="P385" s="99"/>
      <c r="Q385" s="99"/>
      <c r="R385" s="99"/>
      <c r="S385" s="99"/>
      <c r="T385" s="99"/>
      <c r="U385" s="99"/>
      <c r="V385" s="99"/>
      <c r="W385" s="99"/>
      <c r="X385" s="99"/>
      <c r="Y385" s="99"/>
      <c r="Z385" s="99"/>
      <c r="AA385" s="99"/>
      <c r="AB385" s="99"/>
      <c r="AC385" s="99"/>
    </row>
    <row r="386">
      <c r="A386" s="157"/>
      <c r="B386" s="99"/>
      <c r="C386" s="99"/>
      <c r="D386" s="99"/>
      <c r="E386" s="99"/>
      <c r="F386" s="170"/>
      <c r="G386" s="99"/>
      <c r="H386" s="99"/>
      <c r="I386" s="99"/>
      <c r="J386" s="171"/>
      <c r="K386" s="99"/>
      <c r="L386" s="99"/>
      <c r="M386" s="99"/>
      <c r="N386" s="99"/>
      <c r="O386" s="99"/>
      <c r="P386" s="99"/>
      <c r="Q386" s="99"/>
      <c r="R386" s="99"/>
      <c r="S386" s="99"/>
      <c r="T386" s="99"/>
      <c r="U386" s="99"/>
      <c r="V386" s="99"/>
      <c r="W386" s="99"/>
      <c r="X386" s="99"/>
      <c r="Y386" s="99"/>
      <c r="Z386" s="99"/>
      <c r="AA386" s="99"/>
      <c r="AB386" s="99"/>
      <c r="AC386" s="99"/>
    </row>
    <row r="387">
      <c r="A387" s="157"/>
      <c r="B387" s="99"/>
      <c r="C387" s="99"/>
      <c r="D387" s="99"/>
      <c r="E387" s="99"/>
      <c r="F387" s="170"/>
      <c r="G387" s="99"/>
      <c r="H387" s="99"/>
      <c r="I387" s="99"/>
      <c r="J387" s="171"/>
      <c r="K387" s="99"/>
      <c r="L387" s="99"/>
      <c r="M387" s="99"/>
      <c r="N387" s="99"/>
      <c r="O387" s="99"/>
      <c r="P387" s="99"/>
      <c r="Q387" s="99"/>
      <c r="R387" s="99"/>
      <c r="S387" s="99"/>
      <c r="T387" s="99"/>
      <c r="U387" s="99"/>
      <c r="V387" s="99"/>
      <c r="W387" s="99"/>
      <c r="X387" s="99"/>
      <c r="Y387" s="99"/>
      <c r="Z387" s="99"/>
      <c r="AA387" s="99"/>
      <c r="AB387" s="99"/>
      <c r="AC387" s="99"/>
    </row>
    <row r="388">
      <c r="A388" s="157"/>
      <c r="B388" s="99"/>
      <c r="C388" s="99"/>
      <c r="D388" s="99"/>
      <c r="E388" s="99"/>
      <c r="F388" s="170"/>
      <c r="G388" s="99"/>
      <c r="H388" s="99"/>
      <c r="I388" s="99"/>
      <c r="J388" s="171"/>
      <c r="K388" s="99"/>
      <c r="L388" s="99"/>
      <c r="M388" s="99"/>
      <c r="N388" s="99"/>
      <c r="O388" s="99"/>
      <c r="P388" s="99"/>
      <c r="Q388" s="99"/>
      <c r="R388" s="99"/>
      <c r="S388" s="99"/>
      <c r="T388" s="99"/>
      <c r="U388" s="99"/>
      <c r="V388" s="99"/>
      <c r="W388" s="99"/>
      <c r="X388" s="99"/>
      <c r="Y388" s="99"/>
      <c r="Z388" s="99"/>
      <c r="AA388" s="99"/>
      <c r="AB388" s="99"/>
      <c r="AC388" s="99"/>
    </row>
    <row r="389">
      <c r="A389" s="157"/>
      <c r="B389" s="99"/>
      <c r="C389" s="99"/>
      <c r="D389" s="99"/>
      <c r="E389" s="99"/>
      <c r="F389" s="170"/>
      <c r="G389" s="99"/>
      <c r="H389" s="99"/>
      <c r="I389" s="99"/>
      <c r="J389" s="171"/>
      <c r="K389" s="99"/>
      <c r="L389" s="99"/>
      <c r="M389" s="99"/>
      <c r="N389" s="99"/>
      <c r="O389" s="99"/>
      <c r="P389" s="99"/>
      <c r="Q389" s="99"/>
      <c r="R389" s="99"/>
      <c r="S389" s="99"/>
      <c r="T389" s="99"/>
      <c r="U389" s="99"/>
      <c r="V389" s="99"/>
      <c r="W389" s="99"/>
      <c r="X389" s="99"/>
      <c r="Y389" s="99"/>
      <c r="Z389" s="99"/>
      <c r="AA389" s="99"/>
      <c r="AB389" s="99"/>
      <c r="AC389" s="99"/>
    </row>
    <row r="390">
      <c r="A390" s="157"/>
      <c r="B390" s="99"/>
      <c r="C390" s="99"/>
      <c r="D390" s="99"/>
      <c r="E390" s="99"/>
      <c r="F390" s="170"/>
      <c r="G390" s="99"/>
      <c r="H390" s="99"/>
      <c r="I390" s="99"/>
      <c r="J390" s="171"/>
      <c r="K390" s="99"/>
      <c r="L390" s="99"/>
      <c r="M390" s="99"/>
      <c r="N390" s="99"/>
      <c r="O390" s="99"/>
      <c r="P390" s="99"/>
      <c r="Q390" s="99"/>
      <c r="R390" s="99"/>
      <c r="S390" s="99"/>
      <c r="T390" s="99"/>
      <c r="U390" s="99"/>
      <c r="V390" s="99"/>
      <c r="W390" s="99"/>
      <c r="X390" s="99"/>
      <c r="Y390" s="99"/>
      <c r="Z390" s="99"/>
      <c r="AA390" s="99"/>
      <c r="AB390" s="99"/>
      <c r="AC390" s="99"/>
    </row>
    <row r="391">
      <c r="A391" s="157"/>
      <c r="B391" s="99"/>
      <c r="C391" s="99"/>
      <c r="D391" s="99"/>
      <c r="E391" s="99"/>
      <c r="F391" s="170"/>
      <c r="G391" s="99"/>
      <c r="H391" s="99"/>
      <c r="I391" s="99"/>
      <c r="J391" s="171"/>
      <c r="K391" s="99"/>
      <c r="L391" s="99"/>
      <c r="M391" s="99"/>
      <c r="N391" s="99"/>
      <c r="O391" s="99"/>
      <c r="P391" s="99"/>
      <c r="Q391" s="99"/>
      <c r="R391" s="99"/>
      <c r="S391" s="99"/>
      <c r="T391" s="99"/>
      <c r="U391" s="99"/>
      <c r="V391" s="99"/>
      <c r="W391" s="99"/>
      <c r="X391" s="99"/>
      <c r="Y391" s="99"/>
      <c r="Z391" s="99"/>
      <c r="AA391" s="99"/>
      <c r="AB391" s="99"/>
      <c r="AC391" s="99"/>
    </row>
    <row r="392">
      <c r="A392" s="157"/>
      <c r="B392" s="99"/>
      <c r="C392" s="99"/>
      <c r="D392" s="99"/>
      <c r="E392" s="99"/>
      <c r="F392" s="170"/>
      <c r="G392" s="99"/>
      <c r="H392" s="99"/>
      <c r="I392" s="99"/>
      <c r="J392" s="171"/>
      <c r="K392" s="99"/>
      <c r="L392" s="99"/>
      <c r="M392" s="99"/>
      <c r="N392" s="99"/>
      <c r="O392" s="99"/>
      <c r="P392" s="99"/>
      <c r="Q392" s="99"/>
      <c r="R392" s="99"/>
      <c r="S392" s="99"/>
      <c r="T392" s="99"/>
      <c r="U392" s="99"/>
      <c r="V392" s="99"/>
      <c r="W392" s="99"/>
      <c r="X392" s="99"/>
      <c r="Y392" s="99"/>
      <c r="Z392" s="99"/>
      <c r="AA392" s="99"/>
      <c r="AB392" s="99"/>
      <c r="AC392" s="99"/>
    </row>
    <row r="393">
      <c r="A393" s="157"/>
      <c r="B393" s="99"/>
      <c r="C393" s="99"/>
      <c r="D393" s="99"/>
      <c r="E393" s="99"/>
      <c r="F393" s="170"/>
      <c r="G393" s="99"/>
      <c r="H393" s="99"/>
      <c r="I393" s="99"/>
      <c r="J393" s="171"/>
      <c r="K393" s="99"/>
      <c r="L393" s="99"/>
      <c r="M393" s="99"/>
      <c r="N393" s="99"/>
      <c r="O393" s="99"/>
      <c r="P393" s="99"/>
      <c r="Q393" s="99"/>
      <c r="R393" s="99"/>
      <c r="S393" s="99"/>
      <c r="T393" s="99"/>
      <c r="U393" s="99"/>
      <c r="V393" s="99"/>
      <c r="W393" s="99"/>
      <c r="X393" s="99"/>
      <c r="Y393" s="99"/>
      <c r="Z393" s="99"/>
      <c r="AA393" s="99"/>
      <c r="AB393" s="99"/>
      <c r="AC393" s="99"/>
    </row>
    <row r="394">
      <c r="A394" s="157"/>
      <c r="B394" s="99"/>
      <c r="C394" s="99"/>
      <c r="D394" s="99"/>
      <c r="E394" s="99"/>
      <c r="F394" s="170"/>
      <c r="G394" s="99"/>
      <c r="H394" s="99"/>
      <c r="I394" s="99"/>
      <c r="J394" s="171"/>
      <c r="K394" s="99"/>
      <c r="L394" s="99"/>
      <c r="M394" s="99"/>
      <c r="N394" s="99"/>
      <c r="O394" s="99"/>
      <c r="P394" s="99"/>
      <c r="Q394" s="99"/>
      <c r="R394" s="99"/>
      <c r="S394" s="99"/>
      <c r="T394" s="99"/>
      <c r="U394" s="99"/>
      <c r="V394" s="99"/>
      <c r="W394" s="99"/>
      <c r="X394" s="99"/>
      <c r="Y394" s="99"/>
      <c r="Z394" s="99"/>
      <c r="AA394" s="99"/>
      <c r="AB394" s="99"/>
      <c r="AC394" s="99"/>
    </row>
    <row r="395">
      <c r="A395" s="157"/>
      <c r="B395" s="99"/>
      <c r="C395" s="99"/>
      <c r="D395" s="99"/>
      <c r="E395" s="99"/>
      <c r="F395" s="170"/>
      <c r="G395" s="99"/>
      <c r="H395" s="99"/>
      <c r="I395" s="99"/>
      <c r="J395" s="171"/>
      <c r="K395" s="99"/>
      <c r="L395" s="99"/>
      <c r="M395" s="99"/>
      <c r="N395" s="99"/>
      <c r="O395" s="99"/>
      <c r="P395" s="99"/>
      <c r="Q395" s="99"/>
      <c r="R395" s="99"/>
      <c r="S395" s="99"/>
      <c r="T395" s="99"/>
      <c r="U395" s="99"/>
      <c r="V395" s="99"/>
      <c r="W395" s="99"/>
      <c r="X395" s="99"/>
      <c r="Y395" s="99"/>
      <c r="Z395" s="99"/>
      <c r="AA395" s="99"/>
      <c r="AB395" s="99"/>
      <c r="AC395" s="99"/>
    </row>
    <row r="396">
      <c r="A396" s="157"/>
      <c r="B396" s="99"/>
      <c r="C396" s="99"/>
      <c r="D396" s="99"/>
      <c r="E396" s="99"/>
      <c r="F396" s="170"/>
      <c r="G396" s="99"/>
      <c r="H396" s="99"/>
      <c r="I396" s="99"/>
      <c r="J396" s="171"/>
      <c r="K396" s="99"/>
      <c r="L396" s="99"/>
      <c r="M396" s="99"/>
      <c r="N396" s="99"/>
      <c r="O396" s="99"/>
      <c r="P396" s="99"/>
      <c r="Q396" s="99"/>
      <c r="R396" s="99"/>
      <c r="S396" s="99"/>
      <c r="T396" s="99"/>
      <c r="U396" s="99"/>
      <c r="V396" s="99"/>
      <c r="W396" s="99"/>
      <c r="X396" s="99"/>
      <c r="Y396" s="99"/>
      <c r="Z396" s="99"/>
      <c r="AA396" s="99"/>
      <c r="AB396" s="99"/>
      <c r="AC396" s="99"/>
    </row>
    <row r="397">
      <c r="A397" s="157"/>
      <c r="B397" s="99"/>
      <c r="C397" s="99"/>
      <c r="D397" s="99"/>
      <c r="E397" s="99"/>
      <c r="F397" s="170"/>
      <c r="G397" s="99"/>
      <c r="H397" s="99"/>
      <c r="I397" s="99"/>
      <c r="J397" s="171"/>
      <c r="K397" s="99"/>
      <c r="L397" s="99"/>
      <c r="M397" s="99"/>
      <c r="N397" s="99"/>
      <c r="O397" s="99"/>
      <c r="P397" s="99"/>
      <c r="Q397" s="99"/>
      <c r="R397" s="99"/>
      <c r="S397" s="99"/>
      <c r="T397" s="99"/>
      <c r="U397" s="99"/>
      <c r="V397" s="99"/>
      <c r="W397" s="99"/>
      <c r="X397" s="99"/>
      <c r="Y397" s="99"/>
      <c r="Z397" s="99"/>
      <c r="AA397" s="99"/>
      <c r="AB397" s="99"/>
      <c r="AC397" s="99"/>
    </row>
    <row r="398">
      <c r="A398" s="157"/>
      <c r="B398" s="99"/>
      <c r="C398" s="99"/>
      <c r="D398" s="99"/>
      <c r="E398" s="99"/>
      <c r="F398" s="170"/>
      <c r="G398" s="99"/>
      <c r="H398" s="99"/>
      <c r="I398" s="99"/>
      <c r="J398" s="171"/>
      <c r="K398" s="99"/>
      <c r="L398" s="99"/>
      <c r="M398" s="99"/>
      <c r="N398" s="99"/>
      <c r="O398" s="99"/>
      <c r="P398" s="99"/>
      <c r="Q398" s="99"/>
      <c r="R398" s="99"/>
      <c r="S398" s="99"/>
      <c r="T398" s="99"/>
      <c r="U398" s="99"/>
      <c r="V398" s="99"/>
      <c r="W398" s="99"/>
      <c r="X398" s="99"/>
      <c r="Y398" s="99"/>
      <c r="Z398" s="99"/>
      <c r="AA398" s="99"/>
      <c r="AB398" s="99"/>
      <c r="AC398" s="99"/>
    </row>
    <row r="399">
      <c r="A399" s="157"/>
      <c r="B399" s="99"/>
      <c r="C399" s="99"/>
      <c r="D399" s="99"/>
      <c r="E399" s="99"/>
      <c r="F399" s="170"/>
      <c r="G399" s="99"/>
      <c r="H399" s="99"/>
      <c r="I399" s="99"/>
      <c r="J399" s="171"/>
      <c r="K399" s="99"/>
      <c r="L399" s="99"/>
      <c r="M399" s="99"/>
      <c r="N399" s="99"/>
      <c r="O399" s="99"/>
      <c r="P399" s="99"/>
      <c r="Q399" s="99"/>
      <c r="R399" s="99"/>
      <c r="S399" s="99"/>
      <c r="T399" s="99"/>
      <c r="U399" s="99"/>
      <c r="V399" s="99"/>
      <c r="W399" s="99"/>
      <c r="X399" s="99"/>
      <c r="Y399" s="99"/>
      <c r="Z399" s="99"/>
      <c r="AA399" s="99"/>
      <c r="AB399" s="99"/>
      <c r="AC399" s="99"/>
    </row>
    <row r="400">
      <c r="A400" s="157"/>
      <c r="B400" s="99"/>
      <c r="C400" s="99"/>
      <c r="D400" s="99"/>
      <c r="E400" s="99"/>
      <c r="F400" s="170"/>
      <c r="G400" s="99"/>
      <c r="H400" s="99"/>
      <c r="I400" s="99"/>
      <c r="J400" s="171"/>
      <c r="K400" s="99"/>
      <c r="L400" s="99"/>
      <c r="M400" s="99"/>
      <c r="N400" s="99"/>
      <c r="O400" s="99"/>
      <c r="P400" s="99"/>
      <c r="Q400" s="99"/>
      <c r="R400" s="99"/>
      <c r="S400" s="99"/>
      <c r="T400" s="99"/>
      <c r="U400" s="99"/>
      <c r="V400" s="99"/>
      <c r="W400" s="99"/>
      <c r="X400" s="99"/>
      <c r="Y400" s="99"/>
      <c r="Z400" s="99"/>
      <c r="AA400" s="99"/>
      <c r="AB400" s="99"/>
      <c r="AC400" s="99"/>
    </row>
    <row r="401">
      <c r="A401" s="157"/>
      <c r="B401" s="99"/>
      <c r="C401" s="99"/>
      <c r="D401" s="99"/>
      <c r="E401" s="99"/>
      <c r="F401" s="170"/>
      <c r="G401" s="99"/>
      <c r="H401" s="99"/>
      <c r="I401" s="99"/>
      <c r="J401" s="171"/>
      <c r="K401" s="99"/>
      <c r="L401" s="99"/>
      <c r="M401" s="99"/>
      <c r="N401" s="99"/>
      <c r="O401" s="99"/>
      <c r="P401" s="99"/>
      <c r="Q401" s="99"/>
      <c r="R401" s="99"/>
      <c r="S401" s="99"/>
      <c r="T401" s="99"/>
      <c r="U401" s="99"/>
      <c r="V401" s="99"/>
      <c r="W401" s="99"/>
      <c r="X401" s="99"/>
      <c r="Y401" s="99"/>
      <c r="Z401" s="99"/>
      <c r="AA401" s="99"/>
      <c r="AB401" s="99"/>
      <c r="AC401" s="99"/>
    </row>
    <row r="402">
      <c r="A402" s="157"/>
      <c r="B402" s="99"/>
      <c r="C402" s="99"/>
      <c r="D402" s="99"/>
      <c r="E402" s="99"/>
      <c r="F402" s="170"/>
      <c r="G402" s="99"/>
      <c r="H402" s="99"/>
      <c r="I402" s="99"/>
      <c r="J402" s="171"/>
      <c r="K402" s="99"/>
      <c r="L402" s="99"/>
      <c r="M402" s="99"/>
      <c r="N402" s="99"/>
      <c r="O402" s="99"/>
      <c r="P402" s="99"/>
      <c r="Q402" s="99"/>
      <c r="R402" s="99"/>
      <c r="S402" s="99"/>
      <c r="T402" s="99"/>
      <c r="U402" s="99"/>
      <c r="V402" s="99"/>
      <c r="W402" s="99"/>
      <c r="X402" s="99"/>
      <c r="Y402" s="99"/>
      <c r="Z402" s="99"/>
      <c r="AA402" s="99"/>
      <c r="AB402" s="99"/>
      <c r="AC402" s="99"/>
    </row>
    <row r="403">
      <c r="A403" s="157"/>
      <c r="B403" s="99"/>
      <c r="C403" s="99"/>
      <c r="D403" s="99"/>
      <c r="E403" s="99"/>
      <c r="F403" s="170"/>
      <c r="G403" s="99"/>
      <c r="H403" s="99"/>
      <c r="I403" s="99"/>
      <c r="J403" s="171"/>
      <c r="K403" s="99"/>
      <c r="L403" s="99"/>
      <c r="M403" s="99"/>
      <c r="N403" s="99"/>
      <c r="O403" s="99"/>
      <c r="P403" s="99"/>
      <c r="Q403" s="99"/>
      <c r="R403" s="99"/>
      <c r="S403" s="99"/>
      <c r="T403" s="99"/>
      <c r="U403" s="99"/>
      <c r="V403" s="99"/>
      <c r="W403" s="99"/>
      <c r="X403" s="99"/>
      <c r="Y403" s="99"/>
      <c r="Z403" s="99"/>
      <c r="AA403" s="99"/>
      <c r="AB403" s="99"/>
      <c r="AC403" s="99"/>
    </row>
    <row r="404">
      <c r="A404" s="157"/>
      <c r="B404" s="99"/>
      <c r="C404" s="99"/>
      <c r="D404" s="99"/>
      <c r="E404" s="99"/>
      <c r="F404" s="170"/>
      <c r="G404" s="99"/>
      <c r="H404" s="99"/>
      <c r="I404" s="99"/>
      <c r="J404" s="171"/>
      <c r="K404" s="99"/>
      <c r="L404" s="99"/>
      <c r="M404" s="99"/>
      <c r="N404" s="99"/>
      <c r="O404" s="99"/>
      <c r="P404" s="99"/>
      <c r="Q404" s="99"/>
      <c r="R404" s="99"/>
      <c r="S404" s="99"/>
      <c r="T404" s="99"/>
      <c r="U404" s="99"/>
      <c r="V404" s="99"/>
      <c r="W404" s="99"/>
      <c r="X404" s="99"/>
      <c r="Y404" s="99"/>
      <c r="Z404" s="99"/>
      <c r="AA404" s="99"/>
      <c r="AB404" s="99"/>
      <c r="AC404" s="99"/>
    </row>
    <row r="405">
      <c r="A405" s="157"/>
      <c r="B405" s="99"/>
      <c r="C405" s="99"/>
      <c r="D405" s="99"/>
      <c r="E405" s="99"/>
      <c r="F405" s="170"/>
      <c r="G405" s="99"/>
      <c r="H405" s="99"/>
      <c r="I405" s="99"/>
      <c r="J405" s="171"/>
      <c r="K405" s="99"/>
      <c r="L405" s="99"/>
      <c r="M405" s="99"/>
      <c r="N405" s="99"/>
      <c r="O405" s="99"/>
      <c r="P405" s="99"/>
      <c r="Q405" s="99"/>
      <c r="R405" s="99"/>
      <c r="S405" s="99"/>
      <c r="T405" s="99"/>
      <c r="U405" s="99"/>
      <c r="V405" s="99"/>
      <c r="W405" s="99"/>
      <c r="X405" s="99"/>
      <c r="Y405" s="99"/>
      <c r="Z405" s="99"/>
      <c r="AA405" s="99"/>
      <c r="AB405" s="99"/>
      <c r="AC405" s="99"/>
    </row>
    <row r="406">
      <c r="A406" s="157"/>
      <c r="B406" s="99"/>
      <c r="C406" s="99"/>
      <c r="D406" s="99"/>
      <c r="E406" s="99"/>
      <c r="F406" s="170"/>
      <c r="G406" s="99"/>
      <c r="H406" s="99"/>
      <c r="I406" s="99"/>
      <c r="J406" s="171"/>
      <c r="K406" s="99"/>
      <c r="L406" s="99"/>
      <c r="M406" s="99"/>
      <c r="N406" s="99"/>
      <c r="O406" s="99"/>
      <c r="P406" s="99"/>
      <c r="Q406" s="99"/>
      <c r="R406" s="99"/>
      <c r="S406" s="99"/>
      <c r="T406" s="99"/>
      <c r="U406" s="99"/>
      <c r="V406" s="99"/>
      <c r="W406" s="99"/>
      <c r="X406" s="99"/>
      <c r="Y406" s="99"/>
      <c r="Z406" s="99"/>
      <c r="AA406" s="99"/>
      <c r="AB406" s="99"/>
      <c r="AC406" s="99"/>
    </row>
    <row r="407">
      <c r="A407" s="157"/>
      <c r="B407" s="99"/>
      <c r="C407" s="99"/>
      <c r="D407" s="99"/>
      <c r="E407" s="99"/>
      <c r="F407" s="170"/>
      <c r="G407" s="99"/>
      <c r="H407" s="99"/>
      <c r="I407" s="99"/>
      <c r="J407" s="171"/>
      <c r="K407" s="99"/>
      <c r="L407" s="99"/>
      <c r="M407" s="99"/>
      <c r="N407" s="99"/>
      <c r="O407" s="99"/>
      <c r="P407" s="99"/>
      <c r="Q407" s="99"/>
      <c r="R407" s="99"/>
      <c r="S407" s="99"/>
      <c r="T407" s="99"/>
      <c r="U407" s="99"/>
      <c r="V407" s="99"/>
      <c r="W407" s="99"/>
      <c r="X407" s="99"/>
      <c r="Y407" s="99"/>
      <c r="Z407" s="99"/>
      <c r="AA407" s="99"/>
      <c r="AB407" s="99"/>
      <c r="AC407" s="99"/>
    </row>
    <row r="408">
      <c r="A408" s="157"/>
      <c r="B408" s="99"/>
      <c r="C408" s="99"/>
      <c r="D408" s="99"/>
      <c r="E408" s="99"/>
      <c r="F408" s="170"/>
      <c r="G408" s="99"/>
      <c r="H408" s="99"/>
      <c r="I408" s="99"/>
      <c r="J408" s="171"/>
      <c r="K408" s="99"/>
      <c r="L408" s="99"/>
      <c r="M408" s="99"/>
      <c r="N408" s="99"/>
      <c r="O408" s="99"/>
      <c r="P408" s="99"/>
      <c r="Q408" s="99"/>
      <c r="R408" s="99"/>
      <c r="S408" s="99"/>
      <c r="T408" s="99"/>
      <c r="U408" s="99"/>
      <c r="V408" s="99"/>
      <c r="W408" s="99"/>
      <c r="X408" s="99"/>
      <c r="Y408" s="99"/>
      <c r="Z408" s="99"/>
      <c r="AA408" s="99"/>
      <c r="AB408" s="99"/>
      <c r="AC408" s="99"/>
    </row>
    <row r="409">
      <c r="A409" s="157"/>
      <c r="B409" s="99"/>
      <c r="C409" s="99"/>
      <c r="D409" s="99"/>
      <c r="E409" s="99"/>
      <c r="F409" s="170"/>
      <c r="G409" s="99"/>
      <c r="H409" s="99"/>
      <c r="I409" s="99"/>
      <c r="J409" s="171"/>
      <c r="K409" s="99"/>
      <c r="L409" s="99"/>
      <c r="M409" s="99"/>
      <c r="N409" s="99"/>
      <c r="O409" s="99"/>
      <c r="P409" s="99"/>
      <c r="Q409" s="99"/>
      <c r="R409" s="99"/>
      <c r="S409" s="99"/>
      <c r="T409" s="99"/>
      <c r="U409" s="99"/>
      <c r="V409" s="99"/>
      <c r="W409" s="99"/>
      <c r="X409" s="99"/>
      <c r="Y409" s="99"/>
      <c r="Z409" s="99"/>
      <c r="AA409" s="99"/>
      <c r="AB409" s="99"/>
      <c r="AC409" s="99"/>
    </row>
    <row r="410">
      <c r="A410" s="157"/>
      <c r="B410" s="99"/>
      <c r="C410" s="99"/>
      <c r="D410" s="99"/>
      <c r="E410" s="99"/>
      <c r="F410" s="170"/>
      <c r="G410" s="99"/>
      <c r="H410" s="99"/>
      <c r="I410" s="99"/>
      <c r="J410" s="171"/>
      <c r="K410" s="99"/>
      <c r="L410" s="99"/>
      <c r="M410" s="99"/>
      <c r="N410" s="99"/>
      <c r="O410" s="99"/>
      <c r="P410" s="99"/>
      <c r="Q410" s="99"/>
      <c r="R410" s="99"/>
      <c r="S410" s="99"/>
      <c r="T410" s="99"/>
      <c r="U410" s="99"/>
      <c r="V410" s="99"/>
      <c r="W410" s="99"/>
      <c r="X410" s="99"/>
      <c r="Y410" s="99"/>
      <c r="Z410" s="99"/>
      <c r="AA410" s="99"/>
      <c r="AB410" s="99"/>
      <c r="AC410" s="99"/>
    </row>
    <row r="411">
      <c r="A411" s="157"/>
      <c r="B411" s="99"/>
      <c r="C411" s="99"/>
      <c r="D411" s="99"/>
      <c r="E411" s="99"/>
      <c r="F411" s="170"/>
      <c r="G411" s="99"/>
      <c r="H411" s="99"/>
      <c r="I411" s="99"/>
      <c r="J411" s="171"/>
      <c r="K411" s="99"/>
      <c r="L411" s="99"/>
      <c r="M411" s="99"/>
      <c r="N411" s="99"/>
      <c r="O411" s="99"/>
      <c r="P411" s="99"/>
      <c r="Q411" s="99"/>
      <c r="R411" s="99"/>
      <c r="S411" s="99"/>
      <c r="T411" s="99"/>
      <c r="U411" s="99"/>
      <c r="V411" s="99"/>
      <c r="W411" s="99"/>
      <c r="X411" s="99"/>
      <c r="Y411" s="99"/>
      <c r="Z411" s="99"/>
      <c r="AA411" s="99"/>
      <c r="AB411" s="99"/>
      <c r="AC411" s="99"/>
    </row>
    <row r="412">
      <c r="A412" s="157"/>
      <c r="B412" s="99"/>
      <c r="C412" s="99"/>
      <c r="D412" s="99"/>
      <c r="E412" s="99"/>
      <c r="F412" s="170"/>
      <c r="G412" s="99"/>
      <c r="H412" s="99"/>
      <c r="I412" s="99"/>
      <c r="J412" s="171"/>
      <c r="K412" s="99"/>
      <c r="L412" s="99"/>
      <c r="M412" s="99"/>
      <c r="N412" s="99"/>
      <c r="O412" s="99"/>
      <c r="P412" s="99"/>
      <c r="Q412" s="99"/>
      <c r="R412" s="99"/>
      <c r="S412" s="99"/>
      <c r="T412" s="99"/>
      <c r="U412" s="99"/>
      <c r="V412" s="99"/>
      <c r="W412" s="99"/>
      <c r="X412" s="99"/>
      <c r="Y412" s="99"/>
      <c r="Z412" s="99"/>
      <c r="AA412" s="99"/>
      <c r="AB412" s="99"/>
      <c r="AC412" s="99"/>
    </row>
    <row r="413">
      <c r="A413" s="157"/>
      <c r="B413" s="99"/>
      <c r="C413" s="99"/>
      <c r="D413" s="99"/>
      <c r="E413" s="99"/>
      <c r="F413" s="170"/>
      <c r="G413" s="99"/>
      <c r="H413" s="99"/>
      <c r="I413" s="99"/>
      <c r="J413" s="171"/>
      <c r="K413" s="99"/>
      <c r="L413" s="99"/>
      <c r="M413" s="99"/>
      <c r="N413" s="99"/>
      <c r="O413" s="99"/>
      <c r="P413" s="99"/>
      <c r="Q413" s="99"/>
      <c r="R413" s="99"/>
      <c r="S413" s="99"/>
      <c r="T413" s="99"/>
      <c r="U413" s="99"/>
      <c r="V413" s="99"/>
      <c r="W413" s="99"/>
      <c r="X413" s="99"/>
      <c r="Y413" s="99"/>
      <c r="Z413" s="99"/>
      <c r="AA413" s="99"/>
      <c r="AB413" s="99"/>
      <c r="AC413" s="99"/>
    </row>
    <row r="414">
      <c r="A414" s="157"/>
      <c r="B414" s="99"/>
      <c r="C414" s="99"/>
      <c r="D414" s="99"/>
      <c r="E414" s="99"/>
      <c r="F414" s="170"/>
      <c r="G414" s="99"/>
      <c r="H414" s="99"/>
      <c r="I414" s="99"/>
      <c r="J414" s="171"/>
      <c r="K414" s="99"/>
      <c r="L414" s="99"/>
      <c r="M414" s="99"/>
      <c r="N414" s="99"/>
      <c r="O414" s="99"/>
      <c r="P414" s="99"/>
      <c r="Q414" s="99"/>
      <c r="R414" s="99"/>
      <c r="S414" s="99"/>
      <c r="T414" s="99"/>
      <c r="U414" s="99"/>
      <c r="V414" s="99"/>
      <c r="W414" s="99"/>
      <c r="X414" s="99"/>
      <c r="Y414" s="99"/>
      <c r="Z414" s="99"/>
      <c r="AA414" s="99"/>
      <c r="AB414" s="99"/>
      <c r="AC414" s="99"/>
    </row>
    <row r="415">
      <c r="A415" s="157"/>
      <c r="B415" s="99"/>
      <c r="C415" s="99"/>
      <c r="D415" s="99"/>
      <c r="E415" s="99"/>
      <c r="F415" s="170"/>
      <c r="G415" s="99"/>
      <c r="H415" s="99"/>
      <c r="I415" s="99"/>
      <c r="J415" s="171"/>
      <c r="K415" s="99"/>
      <c r="L415" s="99"/>
      <c r="M415" s="99"/>
      <c r="N415" s="99"/>
      <c r="O415" s="99"/>
      <c r="P415" s="99"/>
      <c r="Q415" s="99"/>
      <c r="R415" s="99"/>
      <c r="S415" s="99"/>
      <c r="T415" s="99"/>
      <c r="U415" s="99"/>
      <c r="V415" s="99"/>
      <c r="W415" s="99"/>
      <c r="X415" s="99"/>
      <c r="Y415" s="99"/>
      <c r="Z415" s="99"/>
      <c r="AA415" s="99"/>
      <c r="AB415" s="99"/>
      <c r="AC415" s="99"/>
    </row>
    <row r="416">
      <c r="A416" s="157"/>
      <c r="B416" s="99"/>
      <c r="C416" s="99"/>
      <c r="D416" s="99"/>
      <c r="E416" s="99"/>
      <c r="F416" s="170"/>
      <c r="G416" s="99"/>
      <c r="H416" s="99"/>
      <c r="I416" s="99"/>
      <c r="J416" s="171"/>
      <c r="K416" s="99"/>
      <c r="L416" s="99"/>
      <c r="M416" s="99"/>
      <c r="N416" s="99"/>
      <c r="O416" s="99"/>
      <c r="P416" s="99"/>
      <c r="Q416" s="99"/>
      <c r="R416" s="99"/>
      <c r="S416" s="99"/>
      <c r="T416" s="99"/>
      <c r="U416" s="99"/>
      <c r="V416" s="99"/>
      <c r="W416" s="99"/>
      <c r="X416" s="99"/>
      <c r="Y416" s="99"/>
      <c r="Z416" s="99"/>
      <c r="AA416" s="99"/>
      <c r="AB416" s="99"/>
      <c r="AC416" s="99"/>
    </row>
    <row r="417">
      <c r="A417" s="157"/>
      <c r="B417" s="99"/>
      <c r="C417" s="99"/>
      <c r="D417" s="99"/>
      <c r="E417" s="99"/>
      <c r="F417" s="170"/>
      <c r="G417" s="99"/>
      <c r="H417" s="99"/>
      <c r="I417" s="99"/>
      <c r="J417" s="171"/>
      <c r="K417" s="99"/>
      <c r="L417" s="99"/>
      <c r="M417" s="99"/>
      <c r="N417" s="99"/>
      <c r="O417" s="99"/>
      <c r="P417" s="99"/>
      <c r="Q417" s="99"/>
      <c r="R417" s="99"/>
      <c r="S417" s="99"/>
      <c r="T417" s="99"/>
      <c r="U417" s="99"/>
      <c r="V417" s="99"/>
      <c r="W417" s="99"/>
      <c r="X417" s="99"/>
      <c r="Y417" s="99"/>
      <c r="Z417" s="99"/>
      <c r="AA417" s="99"/>
      <c r="AB417" s="99"/>
      <c r="AC417" s="99"/>
    </row>
    <row r="418">
      <c r="A418" s="157"/>
      <c r="B418" s="99"/>
      <c r="C418" s="99"/>
      <c r="D418" s="99"/>
      <c r="E418" s="99"/>
      <c r="F418" s="170"/>
      <c r="G418" s="99"/>
      <c r="H418" s="99"/>
      <c r="I418" s="99"/>
      <c r="J418" s="171"/>
      <c r="K418" s="99"/>
      <c r="L418" s="99"/>
      <c r="M418" s="99"/>
      <c r="N418" s="99"/>
      <c r="O418" s="99"/>
      <c r="P418" s="99"/>
      <c r="Q418" s="99"/>
      <c r="R418" s="99"/>
      <c r="S418" s="99"/>
      <c r="T418" s="99"/>
      <c r="U418" s="99"/>
      <c r="V418" s="99"/>
      <c r="W418" s="99"/>
      <c r="X418" s="99"/>
      <c r="Y418" s="99"/>
      <c r="Z418" s="99"/>
      <c r="AA418" s="99"/>
      <c r="AB418" s="99"/>
      <c r="AC418" s="99"/>
    </row>
    <row r="419">
      <c r="A419" s="157"/>
      <c r="B419" s="99"/>
      <c r="C419" s="99"/>
      <c r="D419" s="99"/>
      <c r="E419" s="99"/>
      <c r="F419" s="170"/>
      <c r="G419" s="99"/>
      <c r="H419" s="99"/>
      <c r="I419" s="99"/>
      <c r="J419" s="171"/>
      <c r="K419" s="99"/>
      <c r="L419" s="99"/>
      <c r="M419" s="99"/>
      <c r="N419" s="99"/>
      <c r="O419" s="99"/>
      <c r="P419" s="99"/>
      <c r="Q419" s="99"/>
      <c r="R419" s="99"/>
      <c r="S419" s="99"/>
      <c r="T419" s="99"/>
      <c r="U419" s="99"/>
      <c r="V419" s="99"/>
      <c r="W419" s="99"/>
      <c r="X419" s="99"/>
      <c r="Y419" s="99"/>
      <c r="Z419" s="99"/>
      <c r="AA419" s="99"/>
      <c r="AB419" s="99"/>
      <c r="AC419" s="99"/>
    </row>
    <row r="420">
      <c r="A420" s="157"/>
      <c r="B420" s="99"/>
      <c r="C420" s="99"/>
      <c r="D420" s="99"/>
      <c r="E420" s="99"/>
      <c r="F420" s="170"/>
      <c r="G420" s="99"/>
      <c r="H420" s="99"/>
      <c r="I420" s="99"/>
      <c r="J420" s="171"/>
      <c r="K420" s="99"/>
      <c r="L420" s="99"/>
      <c r="M420" s="99"/>
      <c r="N420" s="99"/>
      <c r="O420" s="99"/>
      <c r="P420" s="99"/>
      <c r="Q420" s="99"/>
      <c r="R420" s="99"/>
      <c r="S420" s="99"/>
      <c r="T420" s="99"/>
      <c r="U420" s="99"/>
      <c r="V420" s="99"/>
      <c r="W420" s="99"/>
      <c r="X420" s="99"/>
      <c r="Y420" s="99"/>
      <c r="Z420" s="99"/>
      <c r="AA420" s="99"/>
      <c r="AB420" s="99"/>
      <c r="AC420" s="99"/>
    </row>
    <row r="421">
      <c r="A421" s="157"/>
      <c r="B421" s="99"/>
      <c r="C421" s="99"/>
      <c r="D421" s="99"/>
      <c r="E421" s="99"/>
      <c r="F421" s="170"/>
      <c r="G421" s="99"/>
      <c r="H421" s="99"/>
      <c r="I421" s="99"/>
      <c r="J421" s="171"/>
      <c r="K421" s="99"/>
      <c r="L421" s="99"/>
      <c r="M421" s="99"/>
      <c r="N421" s="99"/>
      <c r="O421" s="99"/>
      <c r="P421" s="99"/>
      <c r="Q421" s="99"/>
      <c r="R421" s="99"/>
      <c r="S421" s="99"/>
      <c r="T421" s="99"/>
      <c r="U421" s="99"/>
      <c r="V421" s="99"/>
      <c r="W421" s="99"/>
      <c r="X421" s="99"/>
      <c r="Y421" s="99"/>
      <c r="Z421" s="99"/>
      <c r="AA421" s="99"/>
      <c r="AB421" s="99"/>
      <c r="AC421" s="99"/>
    </row>
    <row r="422">
      <c r="A422" s="157"/>
      <c r="B422" s="99"/>
      <c r="C422" s="99"/>
      <c r="D422" s="99"/>
      <c r="E422" s="99"/>
      <c r="F422" s="170"/>
      <c r="G422" s="99"/>
      <c r="H422" s="99"/>
      <c r="I422" s="99"/>
      <c r="J422" s="171"/>
      <c r="K422" s="99"/>
      <c r="L422" s="99"/>
      <c r="M422" s="99"/>
      <c r="N422" s="99"/>
      <c r="O422" s="99"/>
      <c r="P422" s="99"/>
      <c r="Q422" s="99"/>
      <c r="R422" s="99"/>
      <c r="S422" s="99"/>
      <c r="T422" s="99"/>
      <c r="U422" s="99"/>
      <c r="V422" s="99"/>
      <c r="W422" s="99"/>
      <c r="X422" s="99"/>
      <c r="Y422" s="99"/>
      <c r="Z422" s="99"/>
      <c r="AA422" s="99"/>
      <c r="AB422" s="99"/>
      <c r="AC422" s="99"/>
    </row>
    <row r="423">
      <c r="A423" s="157"/>
      <c r="B423" s="99"/>
      <c r="C423" s="99"/>
      <c r="D423" s="99"/>
      <c r="E423" s="99"/>
      <c r="F423" s="170"/>
      <c r="G423" s="99"/>
      <c r="H423" s="99"/>
      <c r="I423" s="99"/>
      <c r="J423" s="171"/>
      <c r="K423" s="99"/>
      <c r="L423" s="99"/>
      <c r="M423" s="99"/>
      <c r="N423" s="99"/>
      <c r="O423" s="99"/>
      <c r="P423" s="99"/>
      <c r="Q423" s="99"/>
      <c r="R423" s="99"/>
      <c r="S423" s="99"/>
      <c r="T423" s="99"/>
      <c r="U423" s="99"/>
      <c r="V423" s="99"/>
      <c r="W423" s="99"/>
      <c r="X423" s="99"/>
      <c r="Y423" s="99"/>
      <c r="Z423" s="99"/>
      <c r="AA423" s="99"/>
      <c r="AB423" s="99"/>
      <c r="AC423" s="99"/>
    </row>
    <row r="424">
      <c r="A424" s="157"/>
      <c r="B424" s="99"/>
      <c r="C424" s="99"/>
      <c r="D424" s="99"/>
      <c r="E424" s="99"/>
      <c r="F424" s="170"/>
      <c r="G424" s="99"/>
      <c r="H424" s="99"/>
      <c r="I424" s="99"/>
      <c r="J424" s="171"/>
      <c r="K424" s="99"/>
      <c r="L424" s="99"/>
      <c r="M424" s="99"/>
      <c r="N424" s="99"/>
      <c r="O424" s="99"/>
      <c r="P424" s="99"/>
      <c r="Q424" s="99"/>
      <c r="R424" s="99"/>
      <c r="S424" s="99"/>
      <c r="T424" s="99"/>
      <c r="U424" s="99"/>
      <c r="V424" s="99"/>
      <c r="W424" s="99"/>
      <c r="X424" s="99"/>
      <c r="Y424" s="99"/>
      <c r="Z424" s="99"/>
      <c r="AA424" s="99"/>
      <c r="AB424" s="99"/>
      <c r="AC424" s="99"/>
    </row>
    <row r="425">
      <c r="A425" s="157"/>
      <c r="B425" s="99"/>
      <c r="C425" s="99"/>
      <c r="D425" s="99"/>
      <c r="E425" s="99"/>
      <c r="F425" s="170"/>
      <c r="G425" s="99"/>
      <c r="H425" s="99"/>
      <c r="I425" s="99"/>
      <c r="J425" s="171"/>
      <c r="K425" s="99"/>
      <c r="L425" s="99"/>
      <c r="M425" s="99"/>
      <c r="N425" s="99"/>
      <c r="O425" s="99"/>
      <c r="P425" s="99"/>
      <c r="Q425" s="99"/>
      <c r="R425" s="99"/>
      <c r="S425" s="99"/>
      <c r="T425" s="99"/>
      <c r="U425" s="99"/>
      <c r="V425" s="99"/>
      <c r="W425" s="99"/>
      <c r="X425" s="99"/>
      <c r="Y425" s="99"/>
      <c r="Z425" s="99"/>
      <c r="AA425" s="99"/>
      <c r="AB425" s="99"/>
      <c r="AC425" s="99"/>
    </row>
    <row r="426">
      <c r="A426" s="157"/>
      <c r="B426" s="99"/>
      <c r="C426" s="99"/>
      <c r="D426" s="99"/>
      <c r="E426" s="99"/>
      <c r="F426" s="170"/>
      <c r="G426" s="99"/>
      <c r="H426" s="99"/>
      <c r="I426" s="99"/>
      <c r="J426" s="171"/>
      <c r="K426" s="99"/>
      <c r="L426" s="99"/>
      <c r="M426" s="99"/>
      <c r="N426" s="99"/>
      <c r="O426" s="99"/>
      <c r="P426" s="99"/>
      <c r="Q426" s="99"/>
      <c r="R426" s="99"/>
      <c r="S426" s="99"/>
      <c r="T426" s="99"/>
      <c r="U426" s="99"/>
      <c r="V426" s="99"/>
      <c r="W426" s="99"/>
      <c r="X426" s="99"/>
      <c r="Y426" s="99"/>
      <c r="Z426" s="99"/>
      <c r="AA426" s="99"/>
      <c r="AB426" s="99"/>
      <c r="AC426" s="99"/>
    </row>
    <row r="427">
      <c r="A427" s="157"/>
      <c r="B427" s="99"/>
      <c r="C427" s="99"/>
      <c r="D427" s="99"/>
      <c r="E427" s="99"/>
      <c r="F427" s="170"/>
      <c r="G427" s="99"/>
      <c r="H427" s="99"/>
      <c r="I427" s="99"/>
      <c r="J427" s="171"/>
      <c r="K427" s="99"/>
      <c r="L427" s="99"/>
      <c r="M427" s="99"/>
      <c r="N427" s="99"/>
      <c r="O427" s="99"/>
      <c r="P427" s="99"/>
      <c r="Q427" s="99"/>
      <c r="R427" s="99"/>
      <c r="S427" s="99"/>
      <c r="T427" s="99"/>
      <c r="U427" s="99"/>
      <c r="V427" s="99"/>
      <c r="W427" s="99"/>
      <c r="X427" s="99"/>
      <c r="Y427" s="99"/>
      <c r="Z427" s="99"/>
      <c r="AA427" s="99"/>
      <c r="AB427" s="99"/>
      <c r="AC427" s="99"/>
    </row>
    <row r="428">
      <c r="A428" s="157"/>
      <c r="B428" s="99"/>
      <c r="C428" s="99"/>
      <c r="D428" s="99"/>
      <c r="E428" s="99"/>
      <c r="F428" s="170"/>
      <c r="G428" s="99"/>
      <c r="H428" s="99"/>
      <c r="I428" s="99"/>
      <c r="J428" s="171"/>
      <c r="K428" s="99"/>
      <c r="L428" s="99"/>
      <c r="M428" s="99"/>
      <c r="N428" s="99"/>
      <c r="O428" s="99"/>
      <c r="P428" s="99"/>
      <c r="Q428" s="99"/>
      <c r="R428" s="99"/>
      <c r="S428" s="99"/>
      <c r="T428" s="99"/>
      <c r="U428" s="99"/>
      <c r="V428" s="99"/>
      <c r="W428" s="99"/>
      <c r="X428" s="99"/>
      <c r="Y428" s="99"/>
      <c r="Z428" s="99"/>
      <c r="AA428" s="99"/>
      <c r="AB428" s="99"/>
      <c r="AC428" s="99"/>
    </row>
    <row r="429">
      <c r="A429" s="157"/>
      <c r="B429" s="99"/>
      <c r="C429" s="99"/>
      <c r="D429" s="99"/>
      <c r="E429" s="99"/>
      <c r="F429" s="170"/>
      <c r="G429" s="99"/>
      <c r="H429" s="99"/>
      <c r="I429" s="99"/>
      <c r="J429" s="171"/>
      <c r="K429" s="99"/>
      <c r="L429" s="99"/>
      <c r="M429" s="99"/>
      <c r="N429" s="99"/>
      <c r="O429" s="99"/>
      <c r="P429" s="99"/>
      <c r="Q429" s="99"/>
      <c r="R429" s="99"/>
      <c r="S429" s="99"/>
      <c r="T429" s="99"/>
      <c r="U429" s="99"/>
      <c r="V429" s="99"/>
      <c r="W429" s="99"/>
      <c r="X429" s="99"/>
      <c r="Y429" s="99"/>
      <c r="Z429" s="99"/>
      <c r="AA429" s="99"/>
      <c r="AB429" s="99"/>
      <c r="AC429" s="99"/>
    </row>
    <row r="430">
      <c r="A430" s="157"/>
      <c r="B430" s="99"/>
      <c r="C430" s="99"/>
      <c r="D430" s="99"/>
      <c r="E430" s="99"/>
      <c r="F430" s="170"/>
      <c r="G430" s="99"/>
      <c r="H430" s="99"/>
      <c r="I430" s="99"/>
      <c r="J430" s="171"/>
      <c r="K430" s="99"/>
      <c r="L430" s="99"/>
      <c r="M430" s="99"/>
      <c r="N430" s="99"/>
      <c r="O430" s="99"/>
      <c r="P430" s="99"/>
      <c r="Q430" s="99"/>
      <c r="R430" s="99"/>
      <c r="S430" s="99"/>
      <c r="T430" s="99"/>
      <c r="U430" s="99"/>
      <c r="V430" s="99"/>
      <c r="W430" s="99"/>
      <c r="X430" s="99"/>
      <c r="Y430" s="99"/>
      <c r="Z430" s="99"/>
      <c r="AA430" s="99"/>
      <c r="AB430" s="99"/>
      <c r="AC430" s="99"/>
    </row>
    <row r="431">
      <c r="A431" s="157"/>
      <c r="B431" s="99"/>
      <c r="C431" s="99"/>
      <c r="D431" s="99"/>
      <c r="E431" s="99"/>
      <c r="F431" s="170"/>
      <c r="G431" s="99"/>
      <c r="H431" s="99"/>
      <c r="I431" s="99"/>
      <c r="J431" s="171"/>
      <c r="K431" s="99"/>
      <c r="L431" s="99"/>
      <c r="M431" s="99"/>
      <c r="N431" s="99"/>
      <c r="O431" s="99"/>
      <c r="P431" s="99"/>
      <c r="Q431" s="99"/>
      <c r="R431" s="99"/>
      <c r="S431" s="99"/>
      <c r="T431" s="99"/>
      <c r="U431" s="99"/>
      <c r="V431" s="99"/>
      <c r="W431" s="99"/>
      <c r="X431" s="99"/>
      <c r="Y431" s="99"/>
      <c r="Z431" s="99"/>
      <c r="AA431" s="99"/>
      <c r="AB431" s="99"/>
      <c r="AC431" s="99"/>
    </row>
    <row r="432">
      <c r="A432" s="157"/>
      <c r="B432" s="99"/>
      <c r="C432" s="99"/>
      <c r="D432" s="99"/>
      <c r="E432" s="99"/>
      <c r="F432" s="170"/>
      <c r="G432" s="99"/>
      <c r="H432" s="99"/>
      <c r="I432" s="99"/>
      <c r="J432" s="171"/>
      <c r="K432" s="99"/>
      <c r="L432" s="99"/>
      <c r="M432" s="99"/>
      <c r="N432" s="99"/>
      <c r="O432" s="99"/>
      <c r="P432" s="99"/>
      <c r="Q432" s="99"/>
      <c r="R432" s="99"/>
      <c r="S432" s="99"/>
      <c r="T432" s="99"/>
      <c r="U432" s="99"/>
      <c r="V432" s="99"/>
      <c r="W432" s="99"/>
      <c r="X432" s="99"/>
      <c r="Y432" s="99"/>
      <c r="Z432" s="99"/>
      <c r="AA432" s="99"/>
      <c r="AB432" s="99"/>
      <c r="AC432" s="99"/>
    </row>
    <row r="433">
      <c r="A433" s="157"/>
      <c r="B433" s="99"/>
      <c r="C433" s="99"/>
      <c r="D433" s="99"/>
      <c r="E433" s="99"/>
      <c r="F433" s="170"/>
      <c r="G433" s="99"/>
      <c r="H433" s="99"/>
      <c r="I433" s="99"/>
      <c r="J433" s="171"/>
      <c r="K433" s="99"/>
      <c r="L433" s="99"/>
      <c r="M433" s="99"/>
      <c r="N433" s="99"/>
      <c r="O433" s="99"/>
      <c r="P433" s="99"/>
      <c r="Q433" s="99"/>
      <c r="R433" s="99"/>
      <c r="S433" s="99"/>
      <c r="T433" s="99"/>
      <c r="U433" s="99"/>
      <c r="V433" s="99"/>
      <c r="W433" s="99"/>
      <c r="X433" s="99"/>
      <c r="Y433" s="99"/>
      <c r="Z433" s="99"/>
      <c r="AA433" s="99"/>
      <c r="AB433" s="99"/>
      <c r="AC433" s="99"/>
    </row>
    <row r="434">
      <c r="A434" s="157"/>
      <c r="B434" s="99"/>
      <c r="C434" s="99"/>
      <c r="D434" s="99"/>
      <c r="E434" s="99"/>
      <c r="F434" s="170"/>
      <c r="G434" s="99"/>
      <c r="H434" s="99"/>
      <c r="I434" s="99"/>
      <c r="J434" s="171"/>
      <c r="K434" s="99"/>
      <c r="L434" s="99"/>
      <c r="M434" s="99"/>
      <c r="N434" s="99"/>
      <c r="O434" s="99"/>
      <c r="P434" s="99"/>
      <c r="Q434" s="99"/>
      <c r="R434" s="99"/>
      <c r="S434" s="99"/>
      <c r="T434" s="99"/>
      <c r="U434" s="99"/>
      <c r="V434" s="99"/>
      <c r="W434" s="99"/>
      <c r="X434" s="99"/>
      <c r="Y434" s="99"/>
      <c r="Z434" s="99"/>
      <c r="AA434" s="99"/>
      <c r="AB434" s="99"/>
      <c r="AC434" s="99"/>
    </row>
    <row r="435">
      <c r="A435" s="157"/>
      <c r="B435" s="99"/>
      <c r="C435" s="99"/>
      <c r="D435" s="99"/>
      <c r="E435" s="99"/>
      <c r="F435" s="170"/>
      <c r="G435" s="99"/>
      <c r="H435" s="99"/>
      <c r="I435" s="99"/>
      <c r="J435" s="171"/>
      <c r="K435" s="99"/>
      <c r="L435" s="99"/>
      <c r="M435" s="99"/>
      <c r="N435" s="99"/>
      <c r="O435" s="99"/>
      <c r="P435" s="99"/>
      <c r="Q435" s="99"/>
      <c r="R435" s="99"/>
      <c r="S435" s="99"/>
      <c r="T435" s="99"/>
      <c r="U435" s="99"/>
      <c r="V435" s="99"/>
      <c r="W435" s="99"/>
      <c r="X435" s="99"/>
      <c r="Y435" s="99"/>
      <c r="Z435" s="99"/>
      <c r="AA435" s="99"/>
      <c r="AB435" s="99"/>
      <c r="AC435" s="99"/>
    </row>
    <row r="436">
      <c r="A436" s="157"/>
      <c r="B436" s="99"/>
      <c r="C436" s="99"/>
      <c r="D436" s="99"/>
      <c r="E436" s="99"/>
      <c r="F436" s="170"/>
      <c r="G436" s="99"/>
      <c r="H436" s="99"/>
      <c r="I436" s="99"/>
      <c r="J436" s="171"/>
      <c r="K436" s="99"/>
      <c r="L436" s="99"/>
      <c r="M436" s="99"/>
      <c r="N436" s="99"/>
      <c r="O436" s="99"/>
      <c r="P436" s="99"/>
      <c r="Q436" s="99"/>
      <c r="R436" s="99"/>
      <c r="S436" s="99"/>
      <c r="T436" s="99"/>
      <c r="U436" s="99"/>
      <c r="V436" s="99"/>
      <c r="W436" s="99"/>
      <c r="X436" s="99"/>
      <c r="Y436" s="99"/>
      <c r="Z436" s="99"/>
      <c r="AA436" s="99"/>
      <c r="AB436" s="99"/>
      <c r="AC436" s="99"/>
    </row>
    <row r="437">
      <c r="A437" s="157"/>
      <c r="B437" s="99"/>
      <c r="C437" s="99"/>
      <c r="D437" s="99"/>
      <c r="E437" s="99"/>
      <c r="F437" s="170"/>
      <c r="G437" s="99"/>
      <c r="H437" s="99"/>
      <c r="I437" s="99"/>
      <c r="J437" s="171"/>
      <c r="K437" s="99"/>
      <c r="L437" s="99"/>
      <c r="M437" s="99"/>
      <c r="N437" s="99"/>
      <c r="O437" s="99"/>
      <c r="P437" s="99"/>
      <c r="Q437" s="99"/>
      <c r="R437" s="99"/>
      <c r="S437" s="99"/>
      <c r="T437" s="99"/>
      <c r="U437" s="99"/>
      <c r="V437" s="99"/>
      <c r="W437" s="99"/>
      <c r="X437" s="99"/>
      <c r="Y437" s="99"/>
      <c r="Z437" s="99"/>
      <c r="AA437" s="99"/>
      <c r="AB437" s="99"/>
      <c r="AC437" s="99"/>
    </row>
    <row r="438">
      <c r="A438" s="157"/>
      <c r="B438" s="99"/>
      <c r="C438" s="99"/>
      <c r="D438" s="99"/>
      <c r="E438" s="99"/>
      <c r="F438" s="170"/>
      <c r="G438" s="99"/>
      <c r="H438" s="99"/>
      <c r="I438" s="99"/>
      <c r="J438" s="171"/>
      <c r="K438" s="99"/>
      <c r="L438" s="99"/>
      <c r="M438" s="99"/>
      <c r="N438" s="99"/>
      <c r="O438" s="99"/>
      <c r="P438" s="99"/>
      <c r="Q438" s="99"/>
      <c r="R438" s="99"/>
      <c r="S438" s="99"/>
      <c r="T438" s="99"/>
      <c r="U438" s="99"/>
      <c r="V438" s="99"/>
      <c r="W438" s="99"/>
      <c r="X438" s="99"/>
      <c r="Y438" s="99"/>
      <c r="Z438" s="99"/>
      <c r="AA438" s="99"/>
      <c r="AB438" s="99"/>
      <c r="AC438" s="99"/>
    </row>
    <row r="439">
      <c r="A439" s="157"/>
      <c r="B439" s="99"/>
      <c r="C439" s="99"/>
      <c r="D439" s="99"/>
      <c r="E439" s="99"/>
      <c r="F439" s="170"/>
      <c r="G439" s="99"/>
      <c r="H439" s="99"/>
      <c r="I439" s="99"/>
      <c r="J439" s="171"/>
      <c r="K439" s="99"/>
      <c r="L439" s="99"/>
      <c r="M439" s="99"/>
      <c r="N439" s="99"/>
      <c r="O439" s="99"/>
      <c r="P439" s="99"/>
      <c r="Q439" s="99"/>
      <c r="R439" s="99"/>
      <c r="S439" s="99"/>
      <c r="T439" s="99"/>
      <c r="U439" s="99"/>
      <c r="V439" s="99"/>
      <c r="W439" s="99"/>
      <c r="X439" s="99"/>
      <c r="Y439" s="99"/>
      <c r="Z439" s="99"/>
      <c r="AA439" s="99"/>
      <c r="AB439" s="99"/>
      <c r="AC439" s="99"/>
    </row>
    <row r="440">
      <c r="A440" s="157"/>
      <c r="B440" s="99"/>
      <c r="C440" s="99"/>
      <c r="D440" s="99"/>
      <c r="E440" s="99"/>
      <c r="F440" s="170"/>
      <c r="G440" s="99"/>
      <c r="H440" s="99"/>
      <c r="I440" s="99"/>
      <c r="J440" s="171"/>
      <c r="K440" s="99"/>
      <c r="L440" s="99"/>
      <c r="M440" s="99"/>
      <c r="N440" s="99"/>
      <c r="O440" s="99"/>
      <c r="P440" s="99"/>
      <c r="Q440" s="99"/>
      <c r="R440" s="99"/>
      <c r="S440" s="99"/>
      <c r="T440" s="99"/>
      <c r="U440" s="99"/>
      <c r="V440" s="99"/>
      <c r="W440" s="99"/>
      <c r="X440" s="99"/>
      <c r="Y440" s="99"/>
      <c r="Z440" s="99"/>
      <c r="AA440" s="99"/>
      <c r="AB440" s="99"/>
      <c r="AC440" s="99"/>
    </row>
    <row r="441">
      <c r="A441" s="157"/>
      <c r="B441" s="99"/>
      <c r="C441" s="99"/>
      <c r="D441" s="99"/>
      <c r="E441" s="99"/>
      <c r="F441" s="170"/>
      <c r="G441" s="99"/>
      <c r="H441" s="99"/>
      <c r="I441" s="99"/>
      <c r="J441" s="171"/>
      <c r="K441" s="99"/>
      <c r="L441" s="99"/>
      <c r="M441" s="99"/>
      <c r="N441" s="99"/>
      <c r="O441" s="99"/>
      <c r="P441" s="99"/>
      <c r="Q441" s="99"/>
      <c r="R441" s="99"/>
      <c r="S441" s="99"/>
      <c r="T441" s="99"/>
      <c r="U441" s="99"/>
      <c r="V441" s="99"/>
      <c r="W441" s="99"/>
      <c r="X441" s="99"/>
      <c r="Y441" s="99"/>
      <c r="Z441" s="99"/>
      <c r="AA441" s="99"/>
      <c r="AB441" s="99"/>
      <c r="AC441" s="99"/>
    </row>
    <row r="442">
      <c r="A442" s="157"/>
      <c r="B442" s="99"/>
      <c r="C442" s="99"/>
      <c r="D442" s="99"/>
      <c r="E442" s="99"/>
      <c r="F442" s="170"/>
      <c r="G442" s="99"/>
      <c r="H442" s="99"/>
      <c r="I442" s="99"/>
      <c r="J442" s="171"/>
      <c r="K442" s="99"/>
      <c r="L442" s="99"/>
      <c r="M442" s="99"/>
      <c r="N442" s="99"/>
      <c r="O442" s="99"/>
      <c r="P442" s="99"/>
      <c r="Q442" s="99"/>
      <c r="R442" s="99"/>
      <c r="S442" s="99"/>
      <c r="T442" s="99"/>
      <c r="U442" s="99"/>
      <c r="V442" s="99"/>
      <c r="W442" s="99"/>
      <c r="X442" s="99"/>
      <c r="Y442" s="99"/>
      <c r="Z442" s="99"/>
      <c r="AA442" s="99"/>
      <c r="AB442" s="99"/>
      <c r="AC442" s="99"/>
    </row>
    <row r="443">
      <c r="A443" s="157"/>
      <c r="B443" s="99"/>
      <c r="C443" s="99"/>
      <c r="D443" s="99"/>
      <c r="E443" s="99"/>
      <c r="F443" s="170"/>
      <c r="G443" s="99"/>
      <c r="H443" s="99"/>
      <c r="I443" s="99"/>
      <c r="J443" s="171"/>
      <c r="K443" s="99"/>
      <c r="L443" s="99"/>
      <c r="M443" s="99"/>
      <c r="N443" s="99"/>
      <c r="O443" s="99"/>
      <c r="P443" s="99"/>
      <c r="Q443" s="99"/>
      <c r="R443" s="99"/>
      <c r="S443" s="99"/>
      <c r="T443" s="99"/>
      <c r="U443" s="99"/>
      <c r="V443" s="99"/>
      <c r="W443" s="99"/>
      <c r="X443" s="99"/>
      <c r="Y443" s="99"/>
      <c r="Z443" s="99"/>
      <c r="AA443" s="99"/>
      <c r="AB443" s="99"/>
      <c r="AC443" s="99"/>
    </row>
    <row r="444">
      <c r="A444" s="157"/>
      <c r="B444" s="99"/>
      <c r="C444" s="99"/>
      <c r="D444" s="99"/>
      <c r="E444" s="99"/>
      <c r="F444" s="170"/>
      <c r="G444" s="99"/>
      <c r="H444" s="99"/>
      <c r="I444" s="99"/>
      <c r="J444" s="171"/>
      <c r="K444" s="99"/>
      <c r="L444" s="99"/>
      <c r="M444" s="99"/>
      <c r="N444" s="99"/>
      <c r="O444" s="99"/>
      <c r="P444" s="99"/>
      <c r="Q444" s="99"/>
      <c r="R444" s="99"/>
      <c r="S444" s="99"/>
      <c r="T444" s="99"/>
      <c r="U444" s="99"/>
      <c r="V444" s="99"/>
      <c r="W444" s="99"/>
      <c r="X444" s="99"/>
      <c r="Y444" s="99"/>
      <c r="Z444" s="99"/>
      <c r="AA444" s="99"/>
      <c r="AB444" s="99"/>
      <c r="AC444" s="99"/>
    </row>
    <row r="445">
      <c r="A445" s="157"/>
      <c r="B445" s="99"/>
      <c r="C445" s="99"/>
      <c r="D445" s="99"/>
      <c r="E445" s="99"/>
      <c r="F445" s="170"/>
      <c r="G445" s="99"/>
      <c r="H445" s="99"/>
      <c r="I445" s="99"/>
      <c r="J445" s="171"/>
      <c r="K445" s="99"/>
      <c r="L445" s="99"/>
      <c r="M445" s="99"/>
      <c r="N445" s="99"/>
      <c r="O445" s="99"/>
      <c r="P445" s="99"/>
      <c r="Q445" s="99"/>
      <c r="R445" s="99"/>
      <c r="S445" s="99"/>
      <c r="T445" s="99"/>
      <c r="U445" s="99"/>
      <c r="V445" s="99"/>
      <c r="W445" s="99"/>
      <c r="X445" s="99"/>
      <c r="Y445" s="99"/>
      <c r="Z445" s="99"/>
      <c r="AA445" s="99"/>
      <c r="AB445" s="99"/>
      <c r="AC445" s="99"/>
    </row>
    <row r="446">
      <c r="A446" s="157"/>
      <c r="B446" s="99"/>
      <c r="C446" s="99"/>
      <c r="D446" s="99"/>
      <c r="E446" s="99"/>
      <c r="F446" s="170"/>
      <c r="G446" s="99"/>
      <c r="H446" s="99"/>
      <c r="I446" s="99"/>
      <c r="J446" s="171"/>
      <c r="K446" s="99"/>
      <c r="L446" s="99"/>
      <c r="M446" s="99"/>
      <c r="N446" s="99"/>
      <c r="O446" s="99"/>
      <c r="P446" s="99"/>
      <c r="Q446" s="99"/>
      <c r="R446" s="99"/>
      <c r="S446" s="99"/>
      <c r="T446" s="99"/>
      <c r="U446" s="99"/>
      <c r="V446" s="99"/>
      <c r="W446" s="99"/>
      <c r="X446" s="99"/>
      <c r="Y446" s="99"/>
      <c r="Z446" s="99"/>
      <c r="AA446" s="99"/>
      <c r="AB446" s="99"/>
      <c r="AC446" s="99"/>
    </row>
    <row r="447">
      <c r="A447" s="157"/>
      <c r="B447" s="99"/>
      <c r="C447" s="99"/>
      <c r="D447" s="99"/>
      <c r="E447" s="99"/>
      <c r="F447" s="170"/>
      <c r="G447" s="99"/>
      <c r="H447" s="99"/>
      <c r="I447" s="99"/>
      <c r="J447" s="171"/>
      <c r="K447" s="99"/>
      <c r="L447" s="99"/>
      <c r="M447" s="99"/>
      <c r="N447" s="99"/>
      <c r="O447" s="99"/>
      <c r="P447" s="99"/>
      <c r="Q447" s="99"/>
      <c r="R447" s="99"/>
      <c r="S447" s="99"/>
      <c r="T447" s="99"/>
      <c r="U447" s="99"/>
      <c r="V447" s="99"/>
      <c r="W447" s="99"/>
      <c r="X447" s="99"/>
      <c r="Y447" s="99"/>
      <c r="Z447" s="99"/>
      <c r="AA447" s="99"/>
      <c r="AB447" s="99"/>
      <c r="AC447" s="99"/>
    </row>
    <row r="448">
      <c r="A448" s="157"/>
      <c r="B448" s="99"/>
      <c r="C448" s="99"/>
      <c r="D448" s="99"/>
      <c r="E448" s="99"/>
      <c r="F448" s="170"/>
      <c r="G448" s="99"/>
      <c r="H448" s="99"/>
      <c r="I448" s="99"/>
      <c r="J448" s="171"/>
      <c r="K448" s="99"/>
      <c r="L448" s="99"/>
      <c r="M448" s="99"/>
      <c r="N448" s="99"/>
      <c r="O448" s="99"/>
      <c r="P448" s="99"/>
      <c r="Q448" s="99"/>
      <c r="R448" s="99"/>
      <c r="S448" s="99"/>
      <c r="T448" s="99"/>
      <c r="U448" s="99"/>
      <c r="V448" s="99"/>
      <c r="W448" s="99"/>
      <c r="X448" s="99"/>
      <c r="Y448" s="99"/>
      <c r="Z448" s="99"/>
      <c r="AA448" s="99"/>
      <c r="AB448" s="99"/>
      <c r="AC448" s="99"/>
    </row>
    <row r="449">
      <c r="A449" s="157"/>
      <c r="B449" s="99"/>
      <c r="C449" s="99"/>
      <c r="D449" s="99"/>
      <c r="E449" s="99"/>
      <c r="F449" s="170"/>
      <c r="G449" s="99"/>
      <c r="H449" s="99"/>
      <c r="I449" s="99"/>
      <c r="J449" s="171"/>
      <c r="K449" s="99"/>
      <c r="L449" s="99"/>
      <c r="M449" s="99"/>
      <c r="N449" s="99"/>
      <c r="O449" s="99"/>
      <c r="P449" s="99"/>
      <c r="Q449" s="99"/>
      <c r="R449" s="99"/>
      <c r="S449" s="99"/>
      <c r="T449" s="99"/>
      <c r="U449" s="99"/>
      <c r="V449" s="99"/>
      <c r="W449" s="99"/>
      <c r="X449" s="99"/>
      <c r="Y449" s="99"/>
      <c r="Z449" s="99"/>
      <c r="AA449" s="99"/>
      <c r="AB449" s="99"/>
      <c r="AC449" s="99"/>
    </row>
    <row r="450">
      <c r="A450" s="157"/>
      <c r="B450" s="99"/>
      <c r="C450" s="99"/>
      <c r="D450" s="99"/>
      <c r="E450" s="99"/>
      <c r="F450" s="170"/>
      <c r="G450" s="99"/>
      <c r="H450" s="99"/>
      <c r="I450" s="99"/>
      <c r="J450" s="171"/>
      <c r="K450" s="99"/>
      <c r="L450" s="99"/>
      <c r="M450" s="99"/>
      <c r="N450" s="99"/>
      <c r="O450" s="99"/>
      <c r="P450" s="99"/>
      <c r="Q450" s="99"/>
      <c r="R450" s="99"/>
      <c r="S450" s="99"/>
      <c r="T450" s="99"/>
      <c r="U450" s="99"/>
      <c r="V450" s="99"/>
      <c r="W450" s="99"/>
      <c r="X450" s="99"/>
      <c r="Y450" s="99"/>
      <c r="Z450" s="99"/>
      <c r="AA450" s="99"/>
      <c r="AB450" s="99"/>
      <c r="AC450" s="99"/>
    </row>
    <row r="451">
      <c r="A451" s="157"/>
      <c r="B451" s="99"/>
      <c r="C451" s="99"/>
      <c r="D451" s="99"/>
      <c r="E451" s="99"/>
      <c r="F451" s="170"/>
      <c r="G451" s="99"/>
      <c r="H451" s="99"/>
      <c r="I451" s="99"/>
      <c r="J451" s="171"/>
      <c r="K451" s="99"/>
      <c r="L451" s="99"/>
      <c r="M451" s="99"/>
      <c r="N451" s="99"/>
      <c r="O451" s="99"/>
      <c r="P451" s="99"/>
      <c r="Q451" s="99"/>
      <c r="R451" s="99"/>
      <c r="S451" s="99"/>
      <c r="T451" s="99"/>
      <c r="U451" s="99"/>
      <c r="V451" s="99"/>
      <c r="W451" s="99"/>
      <c r="X451" s="99"/>
      <c r="Y451" s="99"/>
      <c r="Z451" s="99"/>
      <c r="AA451" s="99"/>
      <c r="AB451" s="99"/>
      <c r="AC451" s="99"/>
    </row>
    <row r="452">
      <c r="A452" s="157"/>
      <c r="B452" s="99"/>
      <c r="C452" s="99"/>
      <c r="D452" s="99"/>
      <c r="E452" s="99"/>
      <c r="F452" s="170"/>
      <c r="G452" s="99"/>
      <c r="H452" s="99"/>
      <c r="I452" s="99"/>
      <c r="J452" s="171"/>
      <c r="K452" s="99"/>
      <c r="L452" s="99"/>
      <c r="M452" s="99"/>
      <c r="N452" s="99"/>
      <c r="O452" s="99"/>
      <c r="P452" s="99"/>
      <c r="Q452" s="99"/>
      <c r="R452" s="99"/>
      <c r="S452" s="99"/>
      <c r="T452" s="99"/>
      <c r="U452" s="99"/>
      <c r="V452" s="99"/>
      <c r="W452" s="99"/>
      <c r="X452" s="99"/>
      <c r="Y452" s="99"/>
      <c r="Z452" s="99"/>
      <c r="AA452" s="99"/>
      <c r="AB452" s="99"/>
      <c r="AC452" s="99"/>
    </row>
    <row r="453">
      <c r="A453" s="157"/>
      <c r="B453" s="99"/>
      <c r="C453" s="99"/>
      <c r="D453" s="99"/>
      <c r="E453" s="99"/>
      <c r="F453" s="170"/>
      <c r="G453" s="99"/>
      <c r="H453" s="99"/>
      <c r="I453" s="99"/>
      <c r="J453" s="171"/>
      <c r="K453" s="99"/>
      <c r="L453" s="99"/>
      <c r="M453" s="99"/>
      <c r="N453" s="99"/>
      <c r="O453" s="99"/>
      <c r="P453" s="99"/>
      <c r="Q453" s="99"/>
      <c r="R453" s="99"/>
      <c r="S453" s="99"/>
      <c r="T453" s="99"/>
      <c r="U453" s="99"/>
      <c r="V453" s="99"/>
      <c r="W453" s="99"/>
      <c r="X453" s="99"/>
      <c r="Y453" s="99"/>
      <c r="Z453" s="99"/>
      <c r="AA453" s="99"/>
      <c r="AB453" s="99"/>
      <c r="AC453" s="99"/>
    </row>
    <row r="454">
      <c r="A454" s="157"/>
      <c r="B454" s="99"/>
      <c r="C454" s="99"/>
      <c r="D454" s="99"/>
      <c r="E454" s="99"/>
      <c r="F454" s="170"/>
      <c r="G454" s="99"/>
      <c r="H454" s="99"/>
      <c r="I454" s="99"/>
      <c r="J454" s="171"/>
      <c r="K454" s="99"/>
      <c r="L454" s="99"/>
      <c r="M454" s="99"/>
      <c r="N454" s="99"/>
      <c r="O454" s="99"/>
      <c r="P454" s="99"/>
      <c r="Q454" s="99"/>
      <c r="R454" s="99"/>
      <c r="S454" s="99"/>
      <c r="T454" s="99"/>
      <c r="U454" s="99"/>
      <c r="V454" s="99"/>
      <c r="W454" s="99"/>
      <c r="X454" s="99"/>
      <c r="Y454" s="99"/>
      <c r="Z454" s="99"/>
      <c r="AA454" s="99"/>
      <c r="AB454" s="99"/>
      <c r="AC454" s="99"/>
    </row>
    <row r="455">
      <c r="A455" s="157"/>
      <c r="B455" s="99"/>
      <c r="C455" s="99"/>
      <c r="D455" s="99"/>
      <c r="E455" s="99"/>
      <c r="F455" s="170"/>
      <c r="G455" s="99"/>
      <c r="H455" s="99"/>
      <c r="I455" s="99"/>
      <c r="J455" s="171"/>
      <c r="K455" s="99"/>
      <c r="L455" s="99"/>
      <c r="M455" s="99"/>
      <c r="N455" s="99"/>
      <c r="O455" s="99"/>
      <c r="P455" s="99"/>
      <c r="Q455" s="99"/>
      <c r="R455" s="99"/>
      <c r="S455" s="99"/>
      <c r="T455" s="99"/>
      <c r="U455" s="99"/>
      <c r="V455" s="99"/>
      <c r="W455" s="99"/>
      <c r="X455" s="99"/>
      <c r="Y455" s="99"/>
      <c r="Z455" s="99"/>
      <c r="AA455" s="99"/>
      <c r="AB455" s="99"/>
      <c r="AC455" s="99"/>
    </row>
    <row r="456">
      <c r="A456" s="157"/>
      <c r="B456" s="99"/>
      <c r="C456" s="99"/>
      <c r="D456" s="99"/>
      <c r="E456" s="99"/>
      <c r="F456" s="170"/>
      <c r="G456" s="99"/>
      <c r="H456" s="99"/>
      <c r="I456" s="99"/>
      <c r="J456" s="171"/>
      <c r="K456" s="99"/>
      <c r="L456" s="99"/>
      <c r="M456" s="99"/>
      <c r="N456" s="99"/>
      <c r="O456" s="99"/>
      <c r="P456" s="99"/>
      <c r="Q456" s="99"/>
      <c r="R456" s="99"/>
      <c r="S456" s="99"/>
      <c r="T456" s="99"/>
      <c r="U456" s="99"/>
      <c r="V456" s="99"/>
      <c r="W456" s="99"/>
      <c r="X456" s="99"/>
      <c r="Y456" s="99"/>
      <c r="Z456" s="99"/>
      <c r="AA456" s="99"/>
      <c r="AB456" s="99"/>
      <c r="AC456" s="99"/>
    </row>
    <row r="457">
      <c r="A457" s="157"/>
      <c r="B457" s="99"/>
      <c r="C457" s="99"/>
      <c r="D457" s="99"/>
      <c r="E457" s="99"/>
      <c r="F457" s="170"/>
      <c r="G457" s="99"/>
      <c r="H457" s="99"/>
      <c r="I457" s="99"/>
      <c r="J457" s="171"/>
      <c r="K457" s="99"/>
      <c r="L457" s="99"/>
      <c r="M457" s="99"/>
      <c r="N457" s="99"/>
      <c r="O457" s="99"/>
      <c r="P457" s="99"/>
      <c r="Q457" s="99"/>
      <c r="R457" s="99"/>
      <c r="S457" s="99"/>
      <c r="T457" s="99"/>
      <c r="U457" s="99"/>
      <c r="V457" s="99"/>
      <c r="W457" s="99"/>
      <c r="X457" s="99"/>
      <c r="Y457" s="99"/>
      <c r="Z457" s="99"/>
      <c r="AA457" s="99"/>
      <c r="AB457" s="99"/>
      <c r="AC457" s="99"/>
    </row>
    <row r="458">
      <c r="A458" s="157"/>
      <c r="B458" s="99"/>
      <c r="C458" s="99"/>
      <c r="D458" s="99"/>
      <c r="E458" s="99"/>
      <c r="F458" s="170"/>
      <c r="G458" s="99"/>
      <c r="H458" s="99"/>
      <c r="I458" s="99"/>
      <c r="J458" s="171"/>
      <c r="K458" s="99"/>
      <c r="L458" s="99"/>
      <c r="M458" s="99"/>
      <c r="N458" s="99"/>
      <c r="O458" s="99"/>
      <c r="P458" s="99"/>
      <c r="Q458" s="99"/>
      <c r="R458" s="99"/>
      <c r="S458" s="99"/>
      <c r="T458" s="99"/>
      <c r="U458" s="99"/>
      <c r="V458" s="99"/>
      <c r="W458" s="99"/>
      <c r="X458" s="99"/>
      <c r="Y458" s="99"/>
      <c r="Z458" s="99"/>
      <c r="AA458" s="99"/>
      <c r="AB458" s="99"/>
      <c r="AC458" s="99"/>
    </row>
    <row r="459">
      <c r="A459" s="157"/>
      <c r="B459" s="99"/>
      <c r="C459" s="99"/>
      <c r="D459" s="99"/>
      <c r="E459" s="99"/>
      <c r="F459" s="170"/>
      <c r="G459" s="99"/>
      <c r="H459" s="99"/>
      <c r="I459" s="99"/>
      <c r="J459" s="171"/>
      <c r="K459" s="99"/>
      <c r="L459" s="99"/>
      <c r="M459" s="99"/>
      <c r="N459" s="99"/>
      <c r="O459" s="99"/>
      <c r="P459" s="99"/>
      <c r="Q459" s="99"/>
      <c r="R459" s="99"/>
      <c r="S459" s="99"/>
      <c r="T459" s="99"/>
      <c r="U459" s="99"/>
      <c r="V459" s="99"/>
      <c r="W459" s="99"/>
      <c r="X459" s="99"/>
      <c r="Y459" s="99"/>
      <c r="Z459" s="99"/>
      <c r="AA459" s="99"/>
      <c r="AB459" s="99"/>
      <c r="AC459" s="99"/>
    </row>
    <row r="460">
      <c r="A460" s="157"/>
      <c r="B460" s="99"/>
      <c r="C460" s="99"/>
      <c r="D460" s="99"/>
      <c r="E460" s="99"/>
      <c r="F460" s="170"/>
      <c r="G460" s="99"/>
      <c r="H460" s="99"/>
      <c r="I460" s="99"/>
      <c r="J460" s="171"/>
      <c r="K460" s="99"/>
      <c r="L460" s="99"/>
      <c r="M460" s="99"/>
      <c r="N460" s="99"/>
      <c r="O460" s="99"/>
      <c r="P460" s="99"/>
      <c r="Q460" s="99"/>
      <c r="R460" s="99"/>
      <c r="S460" s="99"/>
      <c r="T460" s="99"/>
      <c r="U460" s="99"/>
      <c r="V460" s="99"/>
      <c r="W460" s="99"/>
      <c r="X460" s="99"/>
      <c r="Y460" s="99"/>
      <c r="Z460" s="99"/>
      <c r="AA460" s="99"/>
      <c r="AB460" s="99"/>
      <c r="AC460" s="99"/>
    </row>
    <row r="461">
      <c r="A461" s="157"/>
      <c r="B461" s="99"/>
      <c r="C461" s="99"/>
      <c r="D461" s="99"/>
      <c r="E461" s="99"/>
      <c r="F461" s="170"/>
      <c r="G461" s="99"/>
      <c r="H461" s="99"/>
      <c r="I461" s="99"/>
      <c r="J461" s="171"/>
      <c r="K461" s="99"/>
      <c r="L461" s="99"/>
      <c r="M461" s="99"/>
      <c r="N461" s="99"/>
      <c r="O461" s="99"/>
      <c r="P461" s="99"/>
      <c r="Q461" s="99"/>
      <c r="R461" s="99"/>
      <c r="S461" s="99"/>
      <c r="T461" s="99"/>
      <c r="U461" s="99"/>
      <c r="V461" s="99"/>
      <c r="W461" s="99"/>
      <c r="X461" s="99"/>
      <c r="Y461" s="99"/>
      <c r="Z461" s="99"/>
      <c r="AA461" s="99"/>
      <c r="AB461" s="99"/>
      <c r="AC461" s="99"/>
    </row>
    <row r="462">
      <c r="A462" s="157"/>
      <c r="B462" s="99"/>
      <c r="C462" s="99"/>
      <c r="D462" s="99"/>
      <c r="E462" s="99"/>
      <c r="F462" s="170"/>
      <c r="G462" s="99"/>
      <c r="H462" s="99"/>
      <c r="I462" s="99"/>
      <c r="J462" s="171"/>
      <c r="K462" s="99"/>
      <c r="L462" s="99"/>
      <c r="M462" s="99"/>
      <c r="N462" s="99"/>
      <c r="O462" s="99"/>
      <c r="P462" s="99"/>
      <c r="Q462" s="99"/>
      <c r="R462" s="99"/>
      <c r="S462" s="99"/>
      <c r="T462" s="99"/>
      <c r="U462" s="99"/>
      <c r="V462" s="99"/>
      <c r="W462" s="99"/>
      <c r="X462" s="99"/>
      <c r="Y462" s="99"/>
      <c r="Z462" s="99"/>
      <c r="AA462" s="99"/>
      <c r="AB462" s="99"/>
      <c r="AC462" s="99"/>
    </row>
    <row r="463">
      <c r="A463" s="157"/>
      <c r="B463" s="99"/>
      <c r="C463" s="99"/>
      <c r="D463" s="99"/>
      <c r="E463" s="99"/>
      <c r="F463" s="170"/>
      <c r="G463" s="99"/>
      <c r="H463" s="99"/>
      <c r="I463" s="99"/>
      <c r="J463" s="171"/>
      <c r="K463" s="99"/>
      <c r="L463" s="99"/>
      <c r="M463" s="99"/>
      <c r="N463" s="99"/>
      <c r="O463" s="99"/>
      <c r="P463" s="99"/>
      <c r="Q463" s="99"/>
      <c r="R463" s="99"/>
      <c r="S463" s="99"/>
      <c r="T463" s="99"/>
      <c r="U463" s="99"/>
      <c r="V463" s="99"/>
      <c r="W463" s="99"/>
      <c r="X463" s="99"/>
      <c r="Y463" s="99"/>
      <c r="Z463" s="99"/>
      <c r="AA463" s="99"/>
      <c r="AB463" s="99"/>
      <c r="AC463" s="99"/>
    </row>
    <row r="464">
      <c r="A464" s="157"/>
      <c r="B464" s="99"/>
      <c r="C464" s="99"/>
      <c r="D464" s="99"/>
      <c r="E464" s="99"/>
      <c r="F464" s="170"/>
      <c r="G464" s="99"/>
      <c r="H464" s="99"/>
      <c r="I464" s="99"/>
      <c r="J464" s="171"/>
      <c r="K464" s="99"/>
      <c r="L464" s="99"/>
      <c r="M464" s="99"/>
      <c r="N464" s="99"/>
      <c r="O464" s="99"/>
      <c r="P464" s="99"/>
      <c r="Q464" s="99"/>
      <c r="R464" s="99"/>
      <c r="S464" s="99"/>
      <c r="T464" s="99"/>
      <c r="U464" s="99"/>
      <c r="V464" s="99"/>
      <c r="W464" s="99"/>
      <c r="X464" s="99"/>
      <c r="Y464" s="99"/>
      <c r="Z464" s="99"/>
      <c r="AA464" s="99"/>
      <c r="AB464" s="99"/>
      <c r="AC464" s="99"/>
    </row>
    <row r="465">
      <c r="A465" s="157"/>
      <c r="B465" s="99"/>
      <c r="C465" s="99"/>
      <c r="D465" s="99"/>
      <c r="E465" s="99"/>
      <c r="F465" s="170"/>
      <c r="G465" s="99"/>
      <c r="H465" s="99"/>
      <c r="I465" s="99"/>
      <c r="J465" s="171"/>
      <c r="K465" s="99"/>
      <c r="L465" s="99"/>
      <c r="M465" s="99"/>
      <c r="N465" s="99"/>
      <c r="O465" s="99"/>
      <c r="P465" s="99"/>
      <c r="Q465" s="99"/>
      <c r="R465" s="99"/>
      <c r="S465" s="99"/>
      <c r="T465" s="99"/>
      <c r="U465" s="99"/>
      <c r="V465" s="99"/>
      <c r="W465" s="99"/>
      <c r="X465" s="99"/>
      <c r="Y465" s="99"/>
      <c r="Z465" s="99"/>
      <c r="AA465" s="99"/>
      <c r="AB465" s="99"/>
      <c r="AC465" s="99"/>
    </row>
    <row r="466">
      <c r="A466" s="157"/>
      <c r="B466" s="99"/>
      <c r="C466" s="99"/>
      <c r="D466" s="99"/>
      <c r="E466" s="99"/>
      <c r="F466" s="170"/>
      <c r="G466" s="99"/>
      <c r="H466" s="99"/>
      <c r="I466" s="99"/>
      <c r="J466" s="171"/>
      <c r="K466" s="99"/>
      <c r="L466" s="99"/>
      <c r="M466" s="99"/>
      <c r="N466" s="99"/>
      <c r="O466" s="99"/>
      <c r="P466" s="99"/>
      <c r="Q466" s="99"/>
      <c r="R466" s="99"/>
      <c r="S466" s="99"/>
      <c r="T466" s="99"/>
      <c r="U466" s="99"/>
      <c r="V466" s="99"/>
      <c r="W466" s="99"/>
      <c r="X466" s="99"/>
      <c r="Y466" s="99"/>
      <c r="Z466" s="99"/>
      <c r="AA466" s="99"/>
      <c r="AB466" s="99"/>
      <c r="AC466" s="99"/>
    </row>
    <row r="467">
      <c r="A467" s="157"/>
      <c r="B467" s="99"/>
      <c r="C467" s="99"/>
      <c r="D467" s="99"/>
      <c r="E467" s="99"/>
      <c r="F467" s="170"/>
      <c r="G467" s="99"/>
      <c r="H467" s="99"/>
      <c r="I467" s="99"/>
      <c r="J467" s="171"/>
      <c r="K467" s="99"/>
      <c r="L467" s="99"/>
      <c r="M467" s="99"/>
      <c r="N467" s="99"/>
      <c r="O467" s="99"/>
      <c r="P467" s="99"/>
      <c r="Q467" s="99"/>
      <c r="R467" s="99"/>
      <c r="S467" s="99"/>
      <c r="T467" s="99"/>
      <c r="U467" s="99"/>
      <c r="V467" s="99"/>
      <c r="W467" s="99"/>
      <c r="X467" s="99"/>
      <c r="Y467" s="99"/>
      <c r="Z467" s="99"/>
      <c r="AA467" s="99"/>
      <c r="AB467" s="99"/>
      <c r="AC467" s="99"/>
    </row>
    <row r="468">
      <c r="A468" s="157"/>
      <c r="B468" s="99"/>
      <c r="C468" s="99"/>
      <c r="D468" s="99"/>
      <c r="E468" s="99"/>
      <c r="F468" s="170"/>
      <c r="G468" s="99"/>
      <c r="H468" s="99"/>
      <c r="I468" s="99"/>
      <c r="J468" s="171"/>
      <c r="K468" s="99"/>
      <c r="L468" s="99"/>
      <c r="M468" s="99"/>
      <c r="N468" s="99"/>
      <c r="O468" s="99"/>
      <c r="P468" s="99"/>
      <c r="Q468" s="99"/>
      <c r="R468" s="99"/>
      <c r="S468" s="99"/>
      <c r="T468" s="99"/>
      <c r="U468" s="99"/>
      <c r="V468" s="99"/>
      <c r="W468" s="99"/>
      <c r="X468" s="99"/>
      <c r="Y468" s="99"/>
      <c r="Z468" s="99"/>
      <c r="AA468" s="99"/>
      <c r="AB468" s="99"/>
      <c r="AC468" s="99"/>
    </row>
    <row r="469">
      <c r="A469" s="157"/>
      <c r="B469" s="99"/>
      <c r="C469" s="99"/>
      <c r="D469" s="99"/>
      <c r="E469" s="99"/>
      <c r="F469" s="170"/>
      <c r="G469" s="99"/>
      <c r="H469" s="99"/>
      <c r="I469" s="99"/>
      <c r="J469" s="171"/>
      <c r="K469" s="99"/>
      <c r="L469" s="99"/>
      <c r="M469" s="99"/>
      <c r="N469" s="99"/>
      <c r="O469" s="99"/>
      <c r="P469" s="99"/>
      <c r="Q469" s="99"/>
      <c r="R469" s="99"/>
      <c r="S469" s="99"/>
      <c r="T469" s="99"/>
      <c r="U469" s="99"/>
      <c r="V469" s="99"/>
      <c r="W469" s="99"/>
      <c r="X469" s="99"/>
      <c r="Y469" s="99"/>
      <c r="Z469" s="99"/>
      <c r="AA469" s="99"/>
      <c r="AB469" s="99"/>
      <c r="AC469" s="99"/>
    </row>
    <row r="470">
      <c r="A470" s="157"/>
      <c r="B470" s="99"/>
      <c r="C470" s="99"/>
      <c r="D470" s="99"/>
      <c r="E470" s="99"/>
      <c r="F470" s="170"/>
      <c r="G470" s="99"/>
      <c r="H470" s="99"/>
      <c r="I470" s="99"/>
      <c r="J470" s="171"/>
      <c r="K470" s="99"/>
      <c r="L470" s="99"/>
      <c r="M470" s="99"/>
      <c r="N470" s="99"/>
      <c r="O470" s="99"/>
      <c r="P470" s="99"/>
      <c r="Q470" s="99"/>
      <c r="R470" s="99"/>
      <c r="S470" s="99"/>
      <c r="T470" s="99"/>
      <c r="U470" s="99"/>
      <c r="V470" s="99"/>
      <c r="W470" s="99"/>
      <c r="X470" s="99"/>
      <c r="Y470" s="99"/>
      <c r="Z470" s="99"/>
      <c r="AA470" s="99"/>
      <c r="AB470" s="99"/>
      <c r="AC470" s="99"/>
    </row>
    <row r="471">
      <c r="A471" s="157"/>
      <c r="B471" s="99"/>
      <c r="C471" s="99"/>
      <c r="D471" s="99"/>
      <c r="E471" s="99"/>
      <c r="F471" s="170"/>
      <c r="G471" s="99"/>
      <c r="H471" s="99"/>
      <c r="I471" s="99"/>
      <c r="J471" s="171"/>
      <c r="K471" s="99"/>
      <c r="L471" s="99"/>
      <c r="M471" s="99"/>
      <c r="N471" s="99"/>
      <c r="O471" s="99"/>
      <c r="P471" s="99"/>
      <c r="Q471" s="99"/>
      <c r="R471" s="99"/>
      <c r="S471" s="99"/>
      <c r="T471" s="99"/>
      <c r="U471" s="99"/>
      <c r="V471" s="99"/>
      <c r="W471" s="99"/>
      <c r="X471" s="99"/>
      <c r="Y471" s="99"/>
      <c r="Z471" s="99"/>
      <c r="AA471" s="99"/>
      <c r="AB471" s="99"/>
      <c r="AC471" s="99"/>
    </row>
    <row r="472">
      <c r="A472" s="157"/>
      <c r="B472" s="99"/>
      <c r="C472" s="99"/>
      <c r="D472" s="99"/>
      <c r="E472" s="99"/>
      <c r="F472" s="170"/>
      <c r="G472" s="99"/>
      <c r="H472" s="99"/>
      <c r="I472" s="99"/>
      <c r="J472" s="171"/>
      <c r="K472" s="99"/>
      <c r="L472" s="99"/>
      <c r="M472" s="99"/>
      <c r="N472" s="99"/>
      <c r="O472" s="99"/>
      <c r="P472" s="99"/>
      <c r="Q472" s="99"/>
      <c r="R472" s="99"/>
      <c r="S472" s="99"/>
      <c r="T472" s="99"/>
      <c r="U472" s="99"/>
      <c r="V472" s="99"/>
      <c r="W472" s="99"/>
      <c r="X472" s="99"/>
      <c r="Y472" s="99"/>
      <c r="Z472" s="99"/>
      <c r="AA472" s="99"/>
      <c r="AB472" s="99"/>
      <c r="AC472" s="99"/>
    </row>
    <row r="473">
      <c r="A473" s="157"/>
      <c r="B473" s="99"/>
      <c r="C473" s="99"/>
      <c r="D473" s="99"/>
      <c r="E473" s="99"/>
      <c r="F473" s="170"/>
      <c r="G473" s="99"/>
      <c r="H473" s="99"/>
      <c r="I473" s="99"/>
      <c r="J473" s="171"/>
      <c r="K473" s="99"/>
      <c r="L473" s="99"/>
      <c r="M473" s="99"/>
      <c r="N473" s="99"/>
      <c r="O473" s="99"/>
      <c r="P473" s="99"/>
      <c r="Q473" s="99"/>
      <c r="R473" s="99"/>
      <c r="S473" s="99"/>
      <c r="T473" s="99"/>
      <c r="U473" s="99"/>
      <c r="V473" s="99"/>
      <c r="W473" s="99"/>
      <c r="X473" s="99"/>
      <c r="Y473" s="99"/>
      <c r="Z473" s="99"/>
      <c r="AA473" s="99"/>
      <c r="AB473" s="99"/>
      <c r="AC473" s="99"/>
    </row>
    <row r="474">
      <c r="A474" s="157"/>
      <c r="B474" s="99"/>
      <c r="C474" s="99"/>
      <c r="D474" s="99"/>
      <c r="E474" s="99"/>
      <c r="F474" s="170"/>
      <c r="G474" s="99"/>
      <c r="H474" s="99"/>
      <c r="I474" s="99"/>
      <c r="J474" s="171"/>
      <c r="K474" s="99"/>
      <c r="L474" s="99"/>
      <c r="M474" s="99"/>
      <c r="N474" s="99"/>
      <c r="O474" s="99"/>
      <c r="P474" s="99"/>
      <c r="Q474" s="99"/>
      <c r="R474" s="99"/>
      <c r="S474" s="99"/>
      <c r="T474" s="99"/>
      <c r="U474" s="99"/>
      <c r="V474" s="99"/>
      <c r="W474" s="99"/>
      <c r="X474" s="99"/>
      <c r="Y474" s="99"/>
      <c r="Z474" s="99"/>
      <c r="AA474" s="99"/>
      <c r="AB474" s="99"/>
      <c r="AC474" s="99"/>
    </row>
    <row r="475">
      <c r="A475" s="157"/>
      <c r="B475" s="99"/>
      <c r="C475" s="99"/>
      <c r="D475" s="99"/>
      <c r="E475" s="99"/>
      <c r="F475" s="170"/>
      <c r="G475" s="99"/>
      <c r="H475" s="99"/>
      <c r="I475" s="99"/>
      <c r="J475" s="171"/>
      <c r="K475" s="99"/>
      <c r="L475" s="99"/>
      <c r="M475" s="99"/>
      <c r="N475" s="99"/>
      <c r="O475" s="99"/>
      <c r="P475" s="99"/>
      <c r="Q475" s="99"/>
      <c r="R475" s="99"/>
      <c r="S475" s="99"/>
      <c r="T475" s="99"/>
      <c r="U475" s="99"/>
      <c r="V475" s="99"/>
      <c r="W475" s="99"/>
      <c r="X475" s="99"/>
      <c r="Y475" s="99"/>
      <c r="Z475" s="99"/>
      <c r="AA475" s="99"/>
      <c r="AB475" s="99"/>
      <c r="AC475" s="99"/>
    </row>
    <row r="476">
      <c r="A476" s="157"/>
      <c r="B476" s="99"/>
      <c r="C476" s="99"/>
      <c r="D476" s="99"/>
      <c r="E476" s="99"/>
      <c r="F476" s="170"/>
      <c r="G476" s="99"/>
      <c r="H476" s="99"/>
      <c r="I476" s="99"/>
      <c r="J476" s="171"/>
      <c r="K476" s="99"/>
      <c r="L476" s="99"/>
      <c r="M476" s="99"/>
      <c r="N476" s="99"/>
      <c r="O476" s="99"/>
      <c r="P476" s="99"/>
      <c r="Q476" s="99"/>
      <c r="R476" s="99"/>
      <c r="S476" s="99"/>
      <c r="T476" s="99"/>
      <c r="U476" s="99"/>
      <c r="V476" s="99"/>
      <c r="W476" s="99"/>
      <c r="X476" s="99"/>
      <c r="Y476" s="99"/>
      <c r="Z476" s="99"/>
      <c r="AA476" s="99"/>
      <c r="AB476" s="99"/>
      <c r="AC476" s="99"/>
    </row>
    <row r="477">
      <c r="A477" s="157"/>
      <c r="B477" s="99"/>
      <c r="C477" s="99"/>
      <c r="D477" s="99"/>
      <c r="E477" s="99"/>
      <c r="F477" s="170"/>
      <c r="G477" s="99"/>
      <c r="H477" s="99"/>
      <c r="I477" s="99"/>
      <c r="J477" s="171"/>
      <c r="K477" s="99"/>
      <c r="L477" s="99"/>
      <c r="M477" s="99"/>
      <c r="N477" s="99"/>
      <c r="O477" s="99"/>
      <c r="P477" s="99"/>
      <c r="Q477" s="99"/>
      <c r="R477" s="99"/>
      <c r="S477" s="99"/>
      <c r="T477" s="99"/>
      <c r="U477" s="99"/>
      <c r="V477" s="99"/>
      <c r="W477" s="99"/>
      <c r="X477" s="99"/>
      <c r="Y477" s="99"/>
      <c r="Z477" s="99"/>
      <c r="AA477" s="99"/>
      <c r="AB477" s="99"/>
      <c r="AC477" s="99"/>
    </row>
    <row r="478">
      <c r="A478" s="157"/>
      <c r="B478" s="99"/>
      <c r="C478" s="99"/>
      <c r="D478" s="99"/>
      <c r="E478" s="99"/>
      <c r="F478" s="170"/>
      <c r="G478" s="99"/>
      <c r="H478" s="99"/>
      <c r="I478" s="99"/>
      <c r="J478" s="171"/>
      <c r="K478" s="99"/>
      <c r="L478" s="99"/>
      <c r="M478" s="99"/>
      <c r="N478" s="99"/>
      <c r="O478" s="99"/>
      <c r="P478" s="99"/>
      <c r="Q478" s="99"/>
      <c r="R478" s="99"/>
      <c r="S478" s="99"/>
      <c r="T478" s="99"/>
      <c r="U478" s="99"/>
      <c r="V478" s="99"/>
      <c r="W478" s="99"/>
      <c r="X478" s="99"/>
      <c r="Y478" s="99"/>
      <c r="Z478" s="99"/>
      <c r="AA478" s="99"/>
      <c r="AB478" s="99"/>
      <c r="AC478" s="99"/>
    </row>
    <row r="479">
      <c r="A479" s="157"/>
      <c r="B479" s="99"/>
      <c r="C479" s="99"/>
      <c r="D479" s="99"/>
      <c r="E479" s="99"/>
      <c r="F479" s="170"/>
      <c r="G479" s="99"/>
      <c r="H479" s="99"/>
      <c r="I479" s="99"/>
      <c r="J479" s="171"/>
      <c r="K479" s="99"/>
      <c r="L479" s="99"/>
      <c r="M479" s="99"/>
      <c r="N479" s="99"/>
      <c r="O479" s="99"/>
      <c r="P479" s="99"/>
      <c r="Q479" s="99"/>
      <c r="R479" s="99"/>
      <c r="S479" s="99"/>
      <c r="T479" s="99"/>
      <c r="U479" s="99"/>
      <c r="V479" s="99"/>
      <c r="W479" s="99"/>
      <c r="X479" s="99"/>
      <c r="Y479" s="99"/>
      <c r="Z479" s="99"/>
      <c r="AA479" s="99"/>
      <c r="AB479" s="99"/>
      <c r="AC479" s="99"/>
    </row>
    <row r="480">
      <c r="A480" s="157"/>
      <c r="B480" s="99"/>
      <c r="C480" s="99"/>
      <c r="D480" s="99"/>
      <c r="E480" s="99"/>
      <c r="F480" s="170"/>
      <c r="G480" s="99"/>
      <c r="H480" s="99"/>
      <c r="I480" s="99"/>
      <c r="J480" s="171"/>
      <c r="K480" s="99"/>
      <c r="L480" s="99"/>
      <c r="M480" s="99"/>
      <c r="N480" s="99"/>
      <c r="O480" s="99"/>
      <c r="P480" s="99"/>
      <c r="Q480" s="99"/>
      <c r="R480" s="99"/>
      <c r="S480" s="99"/>
      <c r="T480" s="99"/>
      <c r="U480" s="99"/>
      <c r="V480" s="99"/>
      <c r="W480" s="99"/>
      <c r="X480" s="99"/>
      <c r="Y480" s="99"/>
      <c r="Z480" s="99"/>
      <c r="AA480" s="99"/>
      <c r="AB480" s="99"/>
      <c r="AC480" s="99"/>
    </row>
    <row r="481">
      <c r="A481" s="157"/>
      <c r="B481" s="99"/>
      <c r="C481" s="99"/>
      <c r="D481" s="99"/>
      <c r="E481" s="99"/>
      <c r="F481" s="170"/>
      <c r="G481" s="99"/>
      <c r="H481" s="99"/>
      <c r="I481" s="99"/>
      <c r="J481" s="171"/>
      <c r="K481" s="99"/>
      <c r="L481" s="99"/>
      <c r="M481" s="99"/>
      <c r="N481" s="99"/>
      <c r="O481" s="99"/>
      <c r="P481" s="99"/>
      <c r="Q481" s="99"/>
      <c r="R481" s="99"/>
      <c r="S481" s="99"/>
      <c r="T481" s="99"/>
      <c r="U481" s="99"/>
      <c r="V481" s="99"/>
      <c r="W481" s="99"/>
      <c r="X481" s="99"/>
      <c r="Y481" s="99"/>
      <c r="Z481" s="99"/>
      <c r="AA481" s="99"/>
      <c r="AB481" s="99"/>
      <c r="AC481" s="99"/>
    </row>
    <row r="482">
      <c r="A482" s="157"/>
      <c r="B482" s="99"/>
      <c r="C482" s="99"/>
      <c r="D482" s="99"/>
      <c r="E482" s="99"/>
      <c r="F482" s="170"/>
      <c r="G482" s="99"/>
      <c r="H482" s="99"/>
      <c r="I482" s="99"/>
      <c r="J482" s="171"/>
      <c r="K482" s="99"/>
      <c r="L482" s="99"/>
      <c r="M482" s="99"/>
      <c r="N482" s="99"/>
      <c r="O482" s="99"/>
      <c r="P482" s="99"/>
      <c r="Q482" s="99"/>
      <c r="R482" s="99"/>
      <c r="S482" s="99"/>
      <c r="T482" s="99"/>
      <c r="U482" s="99"/>
      <c r="V482" s="99"/>
      <c r="W482" s="99"/>
      <c r="X482" s="99"/>
      <c r="Y482" s="99"/>
      <c r="Z482" s="99"/>
      <c r="AA482" s="99"/>
      <c r="AB482" s="99"/>
      <c r="AC482" s="99"/>
    </row>
    <row r="483">
      <c r="A483" s="157"/>
      <c r="B483" s="99"/>
      <c r="C483" s="99"/>
      <c r="D483" s="99"/>
      <c r="E483" s="99"/>
      <c r="F483" s="170"/>
      <c r="G483" s="99"/>
      <c r="H483" s="99"/>
      <c r="I483" s="99"/>
      <c r="J483" s="171"/>
      <c r="K483" s="99"/>
      <c r="L483" s="99"/>
      <c r="M483" s="99"/>
      <c r="N483" s="99"/>
      <c r="O483" s="99"/>
      <c r="P483" s="99"/>
      <c r="Q483" s="99"/>
      <c r="R483" s="99"/>
      <c r="S483" s="99"/>
      <c r="T483" s="99"/>
      <c r="U483" s="99"/>
      <c r="V483" s="99"/>
      <c r="W483" s="99"/>
      <c r="X483" s="99"/>
      <c r="Y483" s="99"/>
      <c r="Z483" s="99"/>
      <c r="AA483" s="99"/>
      <c r="AB483" s="99"/>
      <c r="AC483" s="99"/>
    </row>
    <row r="484">
      <c r="A484" s="157"/>
      <c r="B484" s="99"/>
      <c r="C484" s="99"/>
      <c r="D484" s="99"/>
      <c r="E484" s="99"/>
      <c r="F484" s="170"/>
      <c r="G484" s="99"/>
      <c r="H484" s="99"/>
      <c r="I484" s="99"/>
      <c r="J484" s="171"/>
      <c r="K484" s="99"/>
      <c r="L484" s="99"/>
      <c r="M484" s="99"/>
      <c r="N484" s="99"/>
      <c r="O484" s="99"/>
      <c r="P484" s="99"/>
      <c r="Q484" s="99"/>
      <c r="R484" s="99"/>
      <c r="S484" s="99"/>
      <c r="T484" s="99"/>
      <c r="U484" s="99"/>
      <c r="V484" s="99"/>
      <c r="W484" s="99"/>
      <c r="X484" s="99"/>
      <c r="Y484" s="99"/>
      <c r="Z484" s="99"/>
      <c r="AA484" s="99"/>
      <c r="AB484" s="99"/>
      <c r="AC484" s="99"/>
    </row>
    <row r="485">
      <c r="A485" s="157"/>
      <c r="B485" s="99"/>
      <c r="C485" s="99"/>
      <c r="D485" s="99"/>
      <c r="E485" s="99"/>
      <c r="F485" s="170"/>
      <c r="G485" s="99"/>
      <c r="H485" s="99"/>
      <c r="I485" s="99"/>
      <c r="J485" s="171"/>
      <c r="K485" s="99"/>
      <c r="L485" s="99"/>
      <c r="M485" s="99"/>
      <c r="N485" s="99"/>
      <c r="O485" s="99"/>
      <c r="P485" s="99"/>
      <c r="Q485" s="99"/>
      <c r="R485" s="99"/>
      <c r="S485" s="99"/>
      <c r="T485" s="99"/>
      <c r="U485" s="99"/>
      <c r="V485" s="99"/>
      <c r="W485" s="99"/>
      <c r="X485" s="99"/>
      <c r="Y485" s="99"/>
      <c r="Z485" s="99"/>
      <c r="AA485" s="99"/>
      <c r="AB485" s="99"/>
      <c r="AC485" s="99"/>
    </row>
    <row r="486">
      <c r="A486" s="157"/>
      <c r="B486" s="99"/>
      <c r="C486" s="99"/>
      <c r="D486" s="99"/>
      <c r="E486" s="99"/>
      <c r="F486" s="170"/>
      <c r="G486" s="99"/>
      <c r="H486" s="99"/>
      <c r="I486" s="99"/>
      <c r="J486" s="171"/>
      <c r="K486" s="99"/>
      <c r="L486" s="99"/>
      <c r="M486" s="99"/>
      <c r="N486" s="99"/>
      <c r="O486" s="99"/>
      <c r="P486" s="99"/>
      <c r="Q486" s="99"/>
      <c r="R486" s="99"/>
      <c r="S486" s="99"/>
      <c r="T486" s="99"/>
      <c r="U486" s="99"/>
      <c r="V486" s="99"/>
      <c r="W486" s="99"/>
      <c r="X486" s="99"/>
      <c r="Y486" s="99"/>
      <c r="Z486" s="99"/>
      <c r="AA486" s="99"/>
      <c r="AB486" s="99"/>
      <c r="AC486" s="99"/>
    </row>
    <row r="487">
      <c r="A487" s="157"/>
      <c r="B487" s="99"/>
      <c r="C487" s="99"/>
      <c r="D487" s="99"/>
      <c r="E487" s="99"/>
      <c r="F487" s="170"/>
      <c r="G487" s="99"/>
      <c r="H487" s="99"/>
      <c r="I487" s="99"/>
      <c r="J487" s="171"/>
      <c r="K487" s="99"/>
      <c r="L487" s="99"/>
      <c r="M487" s="99"/>
      <c r="N487" s="99"/>
      <c r="O487" s="99"/>
      <c r="P487" s="99"/>
      <c r="Q487" s="99"/>
      <c r="R487" s="99"/>
      <c r="S487" s="99"/>
      <c r="T487" s="99"/>
      <c r="U487" s="99"/>
      <c r="V487" s="99"/>
      <c r="W487" s="99"/>
      <c r="X487" s="99"/>
      <c r="Y487" s="99"/>
      <c r="Z487" s="99"/>
      <c r="AA487" s="99"/>
      <c r="AB487" s="99"/>
      <c r="AC487" s="99"/>
    </row>
    <row r="488">
      <c r="A488" s="157"/>
      <c r="B488" s="99"/>
      <c r="C488" s="99"/>
      <c r="D488" s="99"/>
      <c r="E488" s="99"/>
      <c r="F488" s="170"/>
      <c r="G488" s="99"/>
      <c r="H488" s="99"/>
      <c r="I488" s="99"/>
      <c r="J488" s="171"/>
      <c r="K488" s="99"/>
      <c r="L488" s="99"/>
      <c r="M488" s="99"/>
      <c r="N488" s="99"/>
      <c r="O488" s="99"/>
      <c r="P488" s="99"/>
      <c r="Q488" s="99"/>
      <c r="R488" s="99"/>
      <c r="S488" s="99"/>
      <c r="T488" s="99"/>
      <c r="U488" s="99"/>
      <c r="V488" s="99"/>
      <c r="W488" s="99"/>
      <c r="X488" s="99"/>
      <c r="Y488" s="99"/>
      <c r="Z488" s="99"/>
      <c r="AA488" s="99"/>
      <c r="AB488" s="99"/>
      <c r="AC488" s="99"/>
    </row>
    <row r="489">
      <c r="A489" s="157"/>
      <c r="B489" s="99"/>
      <c r="C489" s="99"/>
      <c r="D489" s="99"/>
      <c r="E489" s="99"/>
      <c r="F489" s="170"/>
      <c r="G489" s="99"/>
      <c r="H489" s="99"/>
      <c r="I489" s="99"/>
      <c r="J489" s="171"/>
      <c r="K489" s="99"/>
      <c r="L489" s="99"/>
      <c r="M489" s="99"/>
      <c r="N489" s="99"/>
      <c r="O489" s="99"/>
      <c r="P489" s="99"/>
      <c r="Q489" s="99"/>
      <c r="R489" s="99"/>
      <c r="S489" s="99"/>
      <c r="T489" s="99"/>
      <c r="U489" s="99"/>
      <c r="V489" s="99"/>
      <c r="W489" s="99"/>
      <c r="X489" s="99"/>
      <c r="Y489" s="99"/>
      <c r="Z489" s="99"/>
      <c r="AA489" s="99"/>
      <c r="AB489" s="99"/>
      <c r="AC489" s="99"/>
    </row>
    <row r="490">
      <c r="A490" s="157"/>
      <c r="B490" s="99"/>
      <c r="C490" s="99"/>
      <c r="D490" s="99"/>
      <c r="E490" s="99"/>
      <c r="F490" s="170"/>
      <c r="G490" s="99"/>
      <c r="H490" s="99"/>
      <c r="I490" s="99"/>
      <c r="J490" s="171"/>
      <c r="K490" s="99"/>
      <c r="L490" s="99"/>
      <c r="M490" s="99"/>
      <c r="N490" s="99"/>
      <c r="O490" s="99"/>
      <c r="P490" s="99"/>
      <c r="Q490" s="99"/>
      <c r="R490" s="99"/>
      <c r="S490" s="99"/>
      <c r="T490" s="99"/>
      <c r="U490" s="99"/>
      <c r="V490" s="99"/>
      <c r="W490" s="99"/>
      <c r="X490" s="99"/>
      <c r="Y490" s="99"/>
      <c r="Z490" s="99"/>
      <c r="AA490" s="99"/>
      <c r="AB490" s="99"/>
      <c r="AC490" s="99"/>
    </row>
    <row r="491">
      <c r="A491" s="157"/>
      <c r="B491" s="99"/>
      <c r="C491" s="99"/>
      <c r="D491" s="99"/>
      <c r="E491" s="99"/>
      <c r="F491" s="170"/>
      <c r="G491" s="99"/>
      <c r="H491" s="99"/>
      <c r="I491" s="99"/>
      <c r="J491" s="171"/>
      <c r="K491" s="99"/>
      <c r="L491" s="99"/>
      <c r="M491" s="99"/>
      <c r="N491" s="99"/>
      <c r="O491" s="99"/>
      <c r="P491" s="99"/>
      <c r="Q491" s="99"/>
      <c r="R491" s="99"/>
      <c r="S491" s="99"/>
      <c r="T491" s="99"/>
      <c r="U491" s="99"/>
      <c r="V491" s="99"/>
      <c r="W491" s="99"/>
      <c r="X491" s="99"/>
      <c r="Y491" s="99"/>
      <c r="Z491" s="99"/>
      <c r="AA491" s="99"/>
      <c r="AB491" s="99"/>
      <c r="AC491" s="99"/>
    </row>
    <row r="492">
      <c r="A492" s="157"/>
      <c r="B492" s="99"/>
      <c r="C492" s="99"/>
      <c r="D492" s="99"/>
      <c r="E492" s="99"/>
      <c r="F492" s="170"/>
      <c r="G492" s="99"/>
      <c r="H492" s="99"/>
      <c r="I492" s="99"/>
      <c r="J492" s="171"/>
      <c r="K492" s="99"/>
      <c r="L492" s="99"/>
      <c r="M492" s="99"/>
      <c r="N492" s="99"/>
      <c r="O492" s="99"/>
      <c r="P492" s="99"/>
      <c r="Q492" s="99"/>
      <c r="R492" s="99"/>
      <c r="S492" s="99"/>
      <c r="T492" s="99"/>
      <c r="U492" s="99"/>
      <c r="V492" s="99"/>
      <c r="W492" s="99"/>
      <c r="X492" s="99"/>
      <c r="Y492" s="99"/>
      <c r="Z492" s="99"/>
      <c r="AA492" s="99"/>
      <c r="AB492" s="99"/>
      <c r="AC492" s="99"/>
    </row>
    <row r="493">
      <c r="A493" s="157"/>
      <c r="B493" s="99"/>
      <c r="C493" s="99"/>
      <c r="D493" s="99"/>
      <c r="E493" s="99"/>
      <c r="F493" s="170"/>
      <c r="G493" s="99"/>
      <c r="H493" s="99"/>
      <c r="I493" s="99"/>
      <c r="J493" s="171"/>
      <c r="K493" s="99"/>
      <c r="L493" s="99"/>
      <c r="M493" s="99"/>
      <c r="N493" s="99"/>
      <c r="O493" s="99"/>
      <c r="P493" s="99"/>
      <c r="Q493" s="99"/>
      <c r="R493" s="99"/>
      <c r="S493" s="99"/>
      <c r="T493" s="99"/>
      <c r="U493" s="99"/>
      <c r="V493" s="99"/>
      <c r="W493" s="99"/>
      <c r="X493" s="99"/>
      <c r="Y493" s="99"/>
      <c r="Z493" s="99"/>
      <c r="AA493" s="99"/>
      <c r="AB493" s="99"/>
      <c r="AC493" s="99"/>
    </row>
    <row r="494">
      <c r="A494" s="157"/>
      <c r="B494" s="99"/>
      <c r="C494" s="99"/>
      <c r="D494" s="99"/>
      <c r="E494" s="99"/>
      <c r="F494" s="170"/>
      <c r="G494" s="99"/>
      <c r="H494" s="99"/>
      <c r="I494" s="99"/>
      <c r="J494" s="171"/>
      <c r="K494" s="99"/>
      <c r="L494" s="99"/>
      <c r="M494" s="99"/>
      <c r="N494" s="99"/>
      <c r="O494" s="99"/>
      <c r="P494" s="99"/>
      <c r="Q494" s="99"/>
      <c r="R494" s="99"/>
      <c r="S494" s="99"/>
      <c r="T494" s="99"/>
      <c r="U494" s="99"/>
      <c r="V494" s="99"/>
      <c r="W494" s="99"/>
      <c r="X494" s="99"/>
      <c r="Y494" s="99"/>
      <c r="Z494" s="99"/>
      <c r="AA494" s="99"/>
      <c r="AB494" s="99"/>
      <c r="AC494" s="99"/>
    </row>
    <row r="495">
      <c r="A495" s="157"/>
      <c r="B495" s="99"/>
      <c r="C495" s="99"/>
      <c r="D495" s="99"/>
      <c r="E495" s="99"/>
      <c r="F495" s="170"/>
      <c r="G495" s="99"/>
      <c r="H495" s="99"/>
      <c r="I495" s="99"/>
      <c r="J495" s="171"/>
      <c r="K495" s="99"/>
      <c r="L495" s="99"/>
      <c r="M495" s="99"/>
      <c r="N495" s="99"/>
      <c r="O495" s="99"/>
      <c r="P495" s="99"/>
      <c r="Q495" s="99"/>
      <c r="R495" s="99"/>
      <c r="S495" s="99"/>
      <c r="T495" s="99"/>
      <c r="U495" s="99"/>
      <c r="V495" s="99"/>
      <c r="W495" s="99"/>
      <c r="X495" s="99"/>
      <c r="Y495" s="99"/>
      <c r="Z495" s="99"/>
      <c r="AA495" s="99"/>
      <c r="AB495" s="99"/>
      <c r="AC495" s="99"/>
    </row>
    <row r="496">
      <c r="A496" s="157"/>
      <c r="B496" s="99"/>
      <c r="C496" s="99"/>
      <c r="D496" s="99"/>
      <c r="E496" s="99"/>
      <c r="F496" s="170"/>
      <c r="G496" s="99"/>
      <c r="H496" s="99"/>
      <c r="I496" s="99"/>
      <c r="J496" s="171"/>
      <c r="K496" s="99"/>
      <c r="L496" s="99"/>
      <c r="M496" s="99"/>
      <c r="N496" s="99"/>
      <c r="O496" s="99"/>
      <c r="P496" s="99"/>
      <c r="Q496" s="99"/>
      <c r="R496" s="99"/>
      <c r="S496" s="99"/>
      <c r="T496" s="99"/>
      <c r="U496" s="99"/>
      <c r="V496" s="99"/>
      <c r="W496" s="99"/>
      <c r="X496" s="99"/>
      <c r="Y496" s="99"/>
      <c r="Z496" s="99"/>
      <c r="AA496" s="99"/>
      <c r="AB496" s="99"/>
      <c r="AC496" s="99"/>
    </row>
    <row r="497">
      <c r="A497" s="157"/>
      <c r="B497" s="99"/>
      <c r="C497" s="99"/>
      <c r="D497" s="99"/>
      <c r="E497" s="99"/>
      <c r="F497" s="170"/>
      <c r="G497" s="99"/>
      <c r="H497" s="99"/>
      <c r="I497" s="99"/>
      <c r="J497" s="171"/>
      <c r="K497" s="99"/>
      <c r="L497" s="99"/>
      <c r="M497" s="99"/>
      <c r="N497" s="99"/>
      <c r="O497" s="99"/>
      <c r="P497" s="99"/>
      <c r="Q497" s="99"/>
      <c r="R497" s="99"/>
      <c r="S497" s="99"/>
      <c r="T497" s="99"/>
      <c r="U497" s="99"/>
      <c r="V497" s="99"/>
      <c r="W497" s="99"/>
      <c r="X497" s="99"/>
      <c r="Y497" s="99"/>
      <c r="Z497" s="99"/>
      <c r="AA497" s="99"/>
      <c r="AB497" s="99"/>
      <c r="AC497" s="99"/>
    </row>
    <row r="498">
      <c r="A498" s="157"/>
      <c r="B498" s="99"/>
      <c r="C498" s="99"/>
      <c r="D498" s="99"/>
      <c r="E498" s="99"/>
      <c r="F498" s="170"/>
      <c r="G498" s="99"/>
      <c r="H498" s="99"/>
      <c r="I498" s="99"/>
      <c r="J498" s="171"/>
      <c r="K498" s="99"/>
      <c r="L498" s="99"/>
      <c r="M498" s="99"/>
      <c r="N498" s="99"/>
      <c r="O498" s="99"/>
      <c r="P498" s="99"/>
      <c r="Q498" s="99"/>
      <c r="R498" s="99"/>
      <c r="S498" s="99"/>
      <c r="T498" s="99"/>
      <c r="U498" s="99"/>
      <c r="V498" s="99"/>
      <c r="W498" s="99"/>
      <c r="X498" s="99"/>
      <c r="Y498" s="99"/>
      <c r="Z498" s="99"/>
      <c r="AA498" s="99"/>
      <c r="AB498" s="99"/>
      <c r="AC498" s="99"/>
    </row>
    <row r="499">
      <c r="A499" s="157"/>
      <c r="B499" s="99"/>
      <c r="C499" s="99"/>
      <c r="D499" s="99"/>
      <c r="E499" s="99"/>
      <c r="F499" s="170"/>
      <c r="G499" s="99"/>
      <c r="H499" s="99"/>
      <c r="I499" s="99"/>
      <c r="J499" s="171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</row>
    <row r="500">
      <c r="A500" s="157"/>
      <c r="B500" s="99"/>
      <c r="C500" s="99"/>
      <c r="D500" s="99"/>
      <c r="E500" s="99"/>
      <c r="F500" s="170"/>
      <c r="G500" s="99"/>
      <c r="H500" s="99"/>
      <c r="I500" s="99"/>
      <c r="J500" s="171"/>
      <c r="K500" s="99"/>
      <c r="L500" s="99"/>
      <c r="M500" s="99"/>
      <c r="N500" s="99"/>
      <c r="O500" s="99"/>
      <c r="P500" s="99"/>
      <c r="Q500" s="99"/>
      <c r="R500" s="99"/>
      <c r="S500" s="99"/>
      <c r="T500" s="99"/>
      <c r="U500" s="99"/>
      <c r="V500" s="99"/>
      <c r="W500" s="99"/>
      <c r="X500" s="99"/>
      <c r="Y500" s="99"/>
      <c r="Z500" s="99"/>
      <c r="AA500" s="99"/>
      <c r="AB500" s="99"/>
      <c r="AC500" s="99"/>
    </row>
    <row r="501">
      <c r="A501" s="157"/>
      <c r="B501" s="99"/>
      <c r="C501" s="99"/>
      <c r="D501" s="99"/>
      <c r="E501" s="99"/>
      <c r="F501" s="170"/>
      <c r="G501" s="99"/>
      <c r="H501" s="99"/>
      <c r="I501" s="99"/>
      <c r="J501" s="171"/>
      <c r="K501" s="99"/>
      <c r="L501" s="99"/>
      <c r="M501" s="99"/>
      <c r="N501" s="99"/>
      <c r="O501" s="99"/>
      <c r="P501" s="99"/>
      <c r="Q501" s="99"/>
      <c r="R501" s="99"/>
      <c r="S501" s="99"/>
      <c r="T501" s="99"/>
      <c r="U501" s="99"/>
      <c r="V501" s="99"/>
      <c r="W501" s="99"/>
      <c r="X501" s="99"/>
      <c r="Y501" s="99"/>
      <c r="Z501" s="99"/>
      <c r="AA501" s="99"/>
      <c r="AB501" s="99"/>
      <c r="AC501" s="99"/>
    </row>
    <row r="502">
      <c r="A502" s="157"/>
      <c r="B502" s="99"/>
      <c r="C502" s="99"/>
      <c r="D502" s="99"/>
      <c r="E502" s="99"/>
      <c r="F502" s="170"/>
      <c r="G502" s="99"/>
      <c r="H502" s="99"/>
      <c r="I502" s="99"/>
      <c r="J502" s="171"/>
      <c r="K502" s="99"/>
      <c r="L502" s="99"/>
      <c r="M502" s="99"/>
      <c r="N502" s="99"/>
      <c r="O502" s="99"/>
      <c r="P502" s="99"/>
      <c r="Q502" s="99"/>
      <c r="R502" s="99"/>
      <c r="S502" s="99"/>
      <c r="T502" s="99"/>
      <c r="U502" s="99"/>
      <c r="V502" s="99"/>
      <c r="W502" s="99"/>
      <c r="X502" s="99"/>
      <c r="Y502" s="99"/>
      <c r="Z502" s="99"/>
      <c r="AA502" s="99"/>
      <c r="AB502" s="99"/>
      <c r="AC502" s="99"/>
    </row>
    <row r="503">
      <c r="A503" s="157"/>
      <c r="B503" s="99"/>
      <c r="C503" s="99"/>
      <c r="D503" s="99"/>
      <c r="E503" s="99"/>
      <c r="F503" s="170"/>
      <c r="G503" s="99"/>
      <c r="H503" s="99"/>
      <c r="I503" s="99"/>
      <c r="J503" s="171"/>
      <c r="K503" s="99"/>
      <c r="L503" s="99"/>
      <c r="M503" s="99"/>
      <c r="N503" s="99"/>
      <c r="O503" s="99"/>
      <c r="P503" s="99"/>
      <c r="Q503" s="99"/>
      <c r="R503" s="99"/>
      <c r="S503" s="99"/>
      <c r="T503" s="99"/>
      <c r="U503" s="99"/>
      <c r="V503" s="99"/>
      <c r="W503" s="99"/>
      <c r="X503" s="99"/>
      <c r="Y503" s="99"/>
      <c r="Z503" s="99"/>
      <c r="AA503" s="99"/>
      <c r="AB503" s="99"/>
      <c r="AC503" s="99"/>
    </row>
    <row r="504">
      <c r="A504" s="157"/>
      <c r="B504" s="99"/>
      <c r="C504" s="99"/>
      <c r="D504" s="99"/>
      <c r="E504" s="99"/>
      <c r="F504" s="170"/>
      <c r="G504" s="99"/>
      <c r="H504" s="99"/>
      <c r="I504" s="99"/>
      <c r="J504" s="171"/>
      <c r="K504" s="99"/>
      <c r="L504" s="99"/>
      <c r="M504" s="99"/>
      <c r="N504" s="99"/>
      <c r="O504" s="99"/>
      <c r="P504" s="99"/>
      <c r="Q504" s="99"/>
      <c r="R504" s="99"/>
      <c r="S504" s="99"/>
      <c r="T504" s="99"/>
      <c r="U504" s="99"/>
      <c r="V504" s="99"/>
      <c r="W504" s="99"/>
      <c r="X504" s="99"/>
      <c r="Y504" s="99"/>
      <c r="Z504" s="99"/>
      <c r="AA504" s="99"/>
      <c r="AB504" s="99"/>
      <c r="AC504" s="99"/>
    </row>
    <row r="505">
      <c r="A505" s="157"/>
      <c r="B505" s="99"/>
      <c r="C505" s="99"/>
      <c r="D505" s="99"/>
      <c r="E505" s="99"/>
      <c r="F505" s="170"/>
      <c r="G505" s="99"/>
      <c r="H505" s="99"/>
      <c r="I505" s="99"/>
      <c r="J505" s="171"/>
      <c r="K505" s="99"/>
      <c r="L505" s="99"/>
      <c r="M505" s="99"/>
      <c r="N505" s="99"/>
      <c r="O505" s="99"/>
      <c r="P505" s="99"/>
      <c r="Q505" s="99"/>
      <c r="R505" s="99"/>
      <c r="S505" s="99"/>
      <c r="T505" s="99"/>
      <c r="U505" s="99"/>
      <c r="V505" s="99"/>
      <c r="W505" s="99"/>
      <c r="X505" s="99"/>
      <c r="Y505" s="99"/>
      <c r="Z505" s="99"/>
      <c r="AA505" s="99"/>
      <c r="AB505" s="99"/>
      <c r="AC505" s="99"/>
    </row>
    <row r="506">
      <c r="A506" s="157"/>
      <c r="B506" s="99"/>
      <c r="C506" s="99"/>
      <c r="D506" s="99"/>
      <c r="E506" s="99"/>
      <c r="F506" s="170"/>
      <c r="G506" s="99"/>
      <c r="H506" s="99"/>
      <c r="I506" s="99"/>
      <c r="J506" s="171"/>
      <c r="K506" s="99"/>
      <c r="L506" s="99"/>
      <c r="M506" s="99"/>
      <c r="N506" s="99"/>
      <c r="O506" s="99"/>
      <c r="P506" s="99"/>
      <c r="Q506" s="99"/>
      <c r="R506" s="99"/>
      <c r="S506" s="99"/>
      <c r="T506" s="99"/>
      <c r="U506" s="99"/>
      <c r="V506" s="99"/>
      <c r="W506" s="99"/>
      <c r="X506" s="99"/>
      <c r="Y506" s="99"/>
      <c r="Z506" s="99"/>
      <c r="AA506" s="99"/>
      <c r="AB506" s="99"/>
      <c r="AC506" s="99"/>
    </row>
    <row r="507">
      <c r="A507" s="157"/>
      <c r="B507" s="99"/>
      <c r="C507" s="99"/>
      <c r="D507" s="99"/>
      <c r="E507" s="99"/>
      <c r="F507" s="170"/>
      <c r="G507" s="99"/>
      <c r="H507" s="99"/>
      <c r="I507" s="99"/>
      <c r="J507" s="171"/>
      <c r="K507" s="99"/>
      <c r="L507" s="99"/>
      <c r="M507" s="99"/>
      <c r="N507" s="99"/>
      <c r="O507" s="99"/>
      <c r="P507" s="99"/>
      <c r="Q507" s="99"/>
      <c r="R507" s="99"/>
      <c r="S507" s="99"/>
      <c r="T507" s="99"/>
      <c r="U507" s="99"/>
      <c r="V507" s="99"/>
      <c r="W507" s="99"/>
      <c r="X507" s="99"/>
      <c r="Y507" s="99"/>
      <c r="Z507" s="99"/>
      <c r="AA507" s="99"/>
      <c r="AB507" s="99"/>
      <c r="AC507" s="99"/>
    </row>
    <row r="508">
      <c r="A508" s="157"/>
      <c r="B508" s="99"/>
      <c r="C508" s="99"/>
      <c r="D508" s="99"/>
      <c r="E508" s="99"/>
      <c r="F508" s="170"/>
      <c r="G508" s="99"/>
      <c r="H508" s="99"/>
      <c r="I508" s="99"/>
      <c r="J508" s="171"/>
      <c r="K508" s="99"/>
      <c r="L508" s="99"/>
      <c r="M508" s="99"/>
      <c r="N508" s="99"/>
      <c r="O508" s="99"/>
      <c r="P508" s="99"/>
      <c r="Q508" s="99"/>
      <c r="R508" s="99"/>
      <c r="S508" s="99"/>
      <c r="T508" s="99"/>
      <c r="U508" s="99"/>
      <c r="V508" s="99"/>
      <c r="W508" s="99"/>
      <c r="X508" s="99"/>
      <c r="Y508" s="99"/>
      <c r="Z508" s="99"/>
      <c r="AA508" s="99"/>
      <c r="AB508" s="99"/>
      <c r="AC508" s="99"/>
    </row>
    <row r="509">
      <c r="A509" s="157"/>
      <c r="B509" s="99"/>
      <c r="C509" s="99"/>
      <c r="D509" s="99"/>
      <c r="E509" s="99"/>
      <c r="F509" s="170"/>
      <c r="G509" s="99"/>
      <c r="H509" s="99"/>
      <c r="I509" s="99"/>
      <c r="J509" s="171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</row>
    <row r="510">
      <c r="A510" s="157"/>
      <c r="B510" s="99"/>
      <c r="C510" s="99"/>
      <c r="D510" s="99"/>
      <c r="E510" s="99"/>
      <c r="F510" s="170"/>
      <c r="G510" s="99"/>
      <c r="H510" s="99"/>
      <c r="I510" s="99"/>
      <c r="J510" s="171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</row>
    <row r="511">
      <c r="A511" s="157"/>
      <c r="B511" s="99"/>
      <c r="C511" s="99"/>
      <c r="D511" s="99"/>
      <c r="E511" s="99"/>
      <c r="F511" s="170"/>
      <c r="G511" s="99"/>
      <c r="H511" s="99"/>
      <c r="I511" s="99"/>
      <c r="J511" s="171"/>
      <c r="K511" s="99"/>
      <c r="L511" s="99"/>
      <c r="M511" s="99"/>
      <c r="N511" s="99"/>
      <c r="O511" s="99"/>
      <c r="P511" s="99"/>
      <c r="Q511" s="99"/>
      <c r="R511" s="99"/>
      <c r="S511" s="99"/>
      <c r="T511" s="99"/>
      <c r="U511" s="99"/>
      <c r="V511" s="99"/>
      <c r="W511" s="99"/>
      <c r="X511" s="99"/>
      <c r="Y511" s="99"/>
      <c r="Z511" s="99"/>
      <c r="AA511" s="99"/>
      <c r="AB511" s="99"/>
      <c r="AC511" s="99"/>
    </row>
    <row r="512">
      <c r="A512" s="157"/>
      <c r="B512" s="99"/>
      <c r="C512" s="99"/>
      <c r="D512" s="99"/>
      <c r="E512" s="99"/>
      <c r="F512" s="170"/>
      <c r="G512" s="99"/>
      <c r="H512" s="99"/>
      <c r="I512" s="99"/>
      <c r="J512" s="171"/>
      <c r="K512" s="99"/>
      <c r="L512" s="99"/>
      <c r="M512" s="99"/>
      <c r="N512" s="99"/>
      <c r="O512" s="99"/>
      <c r="P512" s="99"/>
      <c r="Q512" s="99"/>
      <c r="R512" s="99"/>
      <c r="S512" s="99"/>
      <c r="T512" s="99"/>
      <c r="U512" s="99"/>
      <c r="V512" s="99"/>
      <c r="W512" s="99"/>
      <c r="X512" s="99"/>
      <c r="Y512" s="99"/>
      <c r="Z512" s="99"/>
      <c r="AA512" s="99"/>
      <c r="AB512" s="99"/>
      <c r="AC512" s="99"/>
    </row>
    <row r="513">
      <c r="A513" s="157"/>
      <c r="B513" s="99"/>
      <c r="C513" s="99"/>
      <c r="D513" s="99"/>
      <c r="E513" s="99"/>
      <c r="F513" s="170"/>
      <c r="G513" s="99"/>
      <c r="H513" s="99"/>
      <c r="I513" s="99"/>
      <c r="J513" s="171"/>
      <c r="K513" s="99"/>
      <c r="L513" s="99"/>
      <c r="M513" s="99"/>
      <c r="N513" s="99"/>
      <c r="O513" s="99"/>
      <c r="P513" s="99"/>
      <c r="Q513" s="99"/>
      <c r="R513" s="99"/>
      <c r="S513" s="99"/>
      <c r="T513" s="99"/>
      <c r="U513" s="99"/>
      <c r="V513" s="99"/>
      <c r="W513" s="99"/>
      <c r="X513" s="99"/>
      <c r="Y513" s="99"/>
      <c r="Z513" s="99"/>
      <c r="AA513" s="99"/>
      <c r="AB513" s="99"/>
      <c r="AC513" s="99"/>
    </row>
    <row r="514">
      <c r="A514" s="157"/>
      <c r="B514" s="99"/>
      <c r="C514" s="99"/>
      <c r="D514" s="99"/>
      <c r="E514" s="99"/>
      <c r="F514" s="170"/>
      <c r="G514" s="99"/>
      <c r="H514" s="99"/>
      <c r="I514" s="99"/>
      <c r="J514" s="171"/>
      <c r="K514" s="99"/>
      <c r="L514" s="99"/>
      <c r="M514" s="99"/>
      <c r="N514" s="99"/>
      <c r="O514" s="99"/>
      <c r="P514" s="99"/>
      <c r="Q514" s="99"/>
      <c r="R514" s="99"/>
      <c r="S514" s="99"/>
      <c r="T514" s="99"/>
      <c r="U514" s="99"/>
      <c r="V514" s="99"/>
      <c r="W514" s="99"/>
      <c r="X514" s="99"/>
      <c r="Y514" s="99"/>
      <c r="Z514" s="99"/>
      <c r="AA514" s="99"/>
      <c r="AB514" s="99"/>
      <c r="AC514" s="99"/>
    </row>
    <row r="515">
      <c r="A515" s="157"/>
      <c r="B515" s="99"/>
      <c r="C515" s="99"/>
      <c r="D515" s="99"/>
      <c r="E515" s="99"/>
      <c r="F515" s="170"/>
      <c r="G515" s="99"/>
      <c r="H515" s="99"/>
      <c r="I515" s="99"/>
      <c r="J515" s="171"/>
      <c r="K515" s="99"/>
      <c r="L515" s="99"/>
      <c r="M515" s="99"/>
      <c r="N515" s="99"/>
      <c r="O515" s="99"/>
      <c r="P515" s="99"/>
      <c r="Q515" s="99"/>
      <c r="R515" s="99"/>
      <c r="S515" s="99"/>
      <c r="T515" s="99"/>
      <c r="U515" s="99"/>
      <c r="V515" s="99"/>
      <c r="W515" s="99"/>
      <c r="X515" s="99"/>
      <c r="Y515" s="99"/>
      <c r="Z515" s="99"/>
      <c r="AA515" s="99"/>
      <c r="AB515" s="99"/>
      <c r="AC515" s="99"/>
    </row>
    <row r="516">
      <c r="A516" s="157"/>
      <c r="B516" s="99"/>
      <c r="C516" s="99"/>
      <c r="D516" s="99"/>
      <c r="E516" s="99"/>
      <c r="F516" s="170"/>
      <c r="G516" s="99"/>
      <c r="H516" s="99"/>
      <c r="I516" s="99"/>
      <c r="J516" s="171"/>
      <c r="K516" s="99"/>
      <c r="L516" s="99"/>
      <c r="M516" s="99"/>
      <c r="N516" s="99"/>
      <c r="O516" s="99"/>
      <c r="P516" s="99"/>
      <c r="Q516" s="99"/>
      <c r="R516" s="99"/>
      <c r="S516" s="99"/>
      <c r="T516" s="99"/>
      <c r="U516" s="99"/>
      <c r="V516" s="99"/>
      <c r="W516" s="99"/>
      <c r="X516" s="99"/>
      <c r="Y516" s="99"/>
      <c r="Z516" s="99"/>
      <c r="AA516" s="99"/>
      <c r="AB516" s="99"/>
      <c r="AC516" s="99"/>
    </row>
    <row r="517">
      <c r="A517" s="157"/>
      <c r="B517" s="99"/>
      <c r="C517" s="99"/>
      <c r="D517" s="99"/>
      <c r="E517" s="99"/>
      <c r="F517" s="170"/>
      <c r="G517" s="99"/>
      <c r="H517" s="99"/>
      <c r="I517" s="99"/>
      <c r="J517" s="171"/>
      <c r="K517" s="99"/>
      <c r="L517" s="99"/>
      <c r="M517" s="99"/>
      <c r="N517" s="99"/>
      <c r="O517" s="99"/>
      <c r="P517" s="99"/>
      <c r="Q517" s="99"/>
      <c r="R517" s="99"/>
      <c r="S517" s="99"/>
      <c r="T517" s="99"/>
      <c r="U517" s="99"/>
      <c r="V517" s="99"/>
      <c r="W517" s="99"/>
      <c r="X517" s="99"/>
      <c r="Y517" s="99"/>
      <c r="Z517" s="99"/>
      <c r="AA517" s="99"/>
      <c r="AB517" s="99"/>
      <c r="AC517" s="99"/>
    </row>
    <row r="518">
      <c r="A518" s="157"/>
      <c r="B518" s="99"/>
      <c r="C518" s="99"/>
      <c r="D518" s="99"/>
      <c r="E518" s="99"/>
      <c r="F518" s="170"/>
      <c r="G518" s="99"/>
      <c r="H518" s="99"/>
      <c r="I518" s="99"/>
      <c r="J518" s="171"/>
      <c r="K518" s="99"/>
      <c r="L518" s="99"/>
      <c r="M518" s="99"/>
      <c r="N518" s="99"/>
      <c r="O518" s="99"/>
      <c r="P518" s="99"/>
      <c r="Q518" s="99"/>
      <c r="R518" s="99"/>
      <c r="S518" s="99"/>
      <c r="T518" s="99"/>
      <c r="U518" s="99"/>
      <c r="V518" s="99"/>
      <c r="W518" s="99"/>
      <c r="X518" s="99"/>
      <c r="Y518" s="99"/>
      <c r="Z518" s="99"/>
      <c r="AA518" s="99"/>
      <c r="AB518" s="99"/>
      <c r="AC518" s="99"/>
    </row>
    <row r="519">
      <c r="A519" s="157"/>
      <c r="B519" s="99"/>
      <c r="C519" s="99"/>
      <c r="D519" s="99"/>
      <c r="E519" s="99"/>
      <c r="F519" s="170"/>
      <c r="G519" s="99"/>
      <c r="H519" s="99"/>
      <c r="I519" s="99"/>
      <c r="J519" s="171"/>
      <c r="K519" s="99"/>
      <c r="L519" s="99"/>
      <c r="M519" s="99"/>
      <c r="N519" s="99"/>
      <c r="O519" s="99"/>
      <c r="P519" s="99"/>
      <c r="Q519" s="99"/>
      <c r="R519" s="99"/>
      <c r="S519" s="99"/>
      <c r="T519" s="99"/>
      <c r="U519" s="99"/>
      <c r="V519" s="99"/>
      <c r="W519" s="99"/>
      <c r="X519" s="99"/>
      <c r="Y519" s="99"/>
      <c r="Z519" s="99"/>
      <c r="AA519" s="99"/>
      <c r="AB519" s="99"/>
      <c r="AC519" s="99"/>
    </row>
    <row r="520">
      <c r="A520" s="157"/>
      <c r="B520" s="99"/>
      <c r="C520" s="99"/>
      <c r="D520" s="99"/>
      <c r="E520" s="99"/>
      <c r="F520" s="170"/>
      <c r="G520" s="99"/>
      <c r="H520" s="99"/>
      <c r="I520" s="99"/>
      <c r="J520" s="171"/>
      <c r="K520" s="99"/>
      <c r="L520" s="99"/>
      <c r="M520" s="99"/>
      <c r="N520" s="99"/>
      <c r="O520" s="99"/>
      <c r="P520" s="99"/>
      <c r="Q520" s="99"/>
      <c r="R520" s="99"/>
      <c r="S520" s="99"/>
      <c r="T520" s="99"/>
      <c r="U520" s="99"/>
      <c r="V520" s="99"/>
      <c r="W520" s="99"/>
      <c r="X520" s="99"/>
      <c r="Y520" s="99"/>
      <c r="Z520" s="99"/>
      <c r="AA520" s="99"/>
      <c r="AB520" s="99"/>
      <c r="AC520" s="99"/>
    </row>
    <row r="521">
      <c r="A521" s="157"/>
      <c r="B521" s="99"/>
      <c r="C521" s="99"/>
      <c r="D521" s="99"/>
      <c r="E521" s="99"/>
      <c r="F521" s="170"/>
      <c r="G521" s="99"/>
      <c r="H521" s="99"/>
      <c r="I521" s="99"/>
      <c r="J521" s="171"/>
      <c r="K521" s="99"/>
      <c r="L521" s="99"/>
      <c r="M521" s="99"/>
      <c r="N521" s="99"/>
      <c r="O521" s="99"/>
      <c r="P521" s="99"/>
      <c r="Q521" s="99"/>
      <c r="R521" s="99"/>
      <c r="S521" s="99"/>
      <c r="T521" s="99"/>
      <c r="U521" s="99"/>
      <c r="V521" s="99"/>
      <c r="W521" s="99"/>
      <c r="X521" s="99"/>
      <c r="Y521" s="99"/>
      <c r="Z521" s="99"/>
      <c r="AA521" s="99"/>
      <c r="AB521" s="99"/>
      <c r="AC521" s="99"/>
    </row>
    <row r="522">
      <c r="A522" s="157"/>
      <c r="B522" s="99"/>
      <c r="C522" s="99"/>
      <c r="D522" s="99"/>
      <c r="E522" s="99"/>
      <c r="F522" s="170"/>
      <c r="G522" s="99"/>
      <c r="H522" s="99"/>
      <c r="I522" s="99"/>
      <c r="J522" s="171"/>
      <c r="K522" s="99"/>
      <c r="L522" s="99"/>
      <c r="M522" s="99"/>
      <c r="N522" s="99"/>
      <c r="O522" s="99"/>
      <c r="P522" s="99"/>
      <c r="Q522" s="99"/>
      <c r="R522" s="99"/>
      <c r="S522" s="99"/>
      <c r="T522" s="99"/>
      <c r="U522" s="99"/>
      <c r="V522" s="99"/>
      <c r="W522" s="99"/>
      <c r="X522" s="99"/>
      <c r="Y522" s="99"/>
      <c r="Z522" s="99"/>
      <c r="AA522" s="99"/>
      <c r="AB522" s="99"/>
      <c r="AC522" s="99"/>
    </row>
    <row r="523">
      <c r="A523" s="157"/>
      <c r="B523" s="99"/>
      <c r="C523" s="99"/>
      <c r="D523" s="99"/>
      <c r="E523" s="99"/>
      <c r="F523" s="170"/>
      <c r="G523" s="99"/>
      <c r="H523" s="99"/>
      <c r="I523" s="99"/>
      <c r="J523" s="171"/>
      <c r="K523" s="99"/>
      <c r="L523" s="99"/>
      <c r="M523" s="99"/>
      <c r="N523" s="99"/>
      <c r="O523" s="99"/>
      <c r="P523" s="99"/>
      <c r="Q523" s="99"/>
      <c r="R523" s="99"/>
      <c r="S523" s="99"/>
      <c r="T523" s="99"/>
      <c r="U523" s="99"/>
      <c r="V523" s="99"/>
      <c r="W523" s="99"/>
      <c r="X523" s="99"/>
      <c r="Y523" s="99"/>
      <c r="Z523" s="99"/>
      <c r="AA523" s="99"/>
      <c r="AB523" s="99"/>
      <c r="AC523" s="99"/>
    </row>
    <row r="524">
      <c r="A524" s="157"/>
      <c r="B524" s="99"/>
      <c r="C524" s="99"/>
      <c r="D524" s="99"/>
      <c r="E524" s="99"/>
      <c r="F524" s="170"/>
      <c r="G524" s="99"/>
      <c r="H524" s="99"/>
      <c r="I524" s="99"/>
      <c r="J524" s="171"/>
      <c r="K524" s="99"/>
      <c r="L524" s="99"/>
      <c r="M524" s="99"/>
      <c r="N524" s="99"/>
      <c r="O524" s="99"/>
      <c r="P524" s="99"/>
      <c r="Q524" s="99"/>
      <c r="R524" s="99"/>
      <c r="S524" s="99"/>
      <c r="T524" s="99"/>
      <c r="U524" s="99"/>
      <c r="V524" s="99"/>
      <c r="W524" s="99"/>
      <c r="X524" s="99"/>
      <c r="Y524" s="99"/>
      <c r="Z524" s="99"/>
      <c r="AA524" s="99"/>
      <c r="AB524" s="99"/>
      <c r="AC524" s="99"/>
    </row>
    <row r="525">
      <c r="A525" s="157"/>
      <c r="B525" s="99"/>
      <c r="C525" s="99"/>
      <c r="D525" s="99"/>
      <c r="E525" s="99"/>
      <c r="F525" s="170"/>
      <c r="G525" s="99"/>
      <c r="H525" s="99"/>
      <c r="I525" s="99"/>
      <c r="J525" s="171"/>
      <c r="K525" s="99"/>
      <c r="L525" s="99"/>
      <c r="M525" s="99"/>
      <c r="N525" s="99"/>
      <c r="O525" s="99"/>
      <c r="P525" s="99"/>
      <c r="Q525" s="99"/>
      <c r="R525" s="99"/>
      <c r="S525" s="99"/>
      <c r="T525" s="99"/>
      <c r="U525" s="99"/>
      <c r="V525" s="99"/>
      <c r="W525" s="99"/>
      <c r="X525" s="99"/>
      <c r="Y525" s="99"/>
      <c r="Z525" s="99"/>
      <c r="AA525" s="99"/>
      <c r="AB525" s="99"/>
      <c r="AC525" s="99"/>
    </row>
    <row r="526">
      <c r="A526" s="157"/>
      <c r="B526" s="99"/>
      <c r="C526" s="99"/>
      <c r="D526" s="99"/>
      <c r="E526" s="99"/>
      <c r="F526" s="170"/>
      <c r="G526" s="99"/>
      <c r="H526" s="99"/>
      <c r="I526" s="99"/>
      <c r="J526" s="171"/>
      <c r="K526" s="99"/>
      <c r="L526" s="99"/>
      <c r="M526" s="99"/>
      <c r="N526" s="99"/>
      <c r="O526" s="99"/>
      <c r="P526" s="99"/>
      <c r="Q526" s="99"/>
      <c r="R526" s="99"/>
      <c r="S526" s="99"/>
      <c r="T526" s="99"/>
      <c r="U526" s="99"/>
      <c r="V526" s="99"/>
      <c r="W526" s="99"/>
      <c r="X526" s="99"/>
      <c r="Y526" s="99"/>
      <c r="Z526" s="99"/>
      <c r="AA526" s="99"/>
      <c r="AB526" s="99"/>
      <c r="AC526" s="99"/>
    </row>
    <row r="527">
      <c r="A527" s="157"/>
      <c r="B527" s="99"/>
      <c r="C527" s="99"/>
      <c r="D527" s="99"/>
      <c r="E527" s="99"/>
      <c r="F527" s="170"/>
      <c r="G527" s="99"/>
      <c r="H527" s="99"/>
      <c r="I527" s="99"/>
      <c r="J527" s="171"/>
      <c r="K527" s="99"/>
      <c r="L527" s="99"/>
      <c r="M527" s="99"/>
      <c r="N527" s="99"/>
      <c r="O527" s="99"/>
      <c r="P527" s="99"/>
      <c r="Q527" s="99"/>
      <c r="R527" s="99"/>
      <c r="S527" s="99"/>
      <c r="T527" s="99"/>
      <c r="U527" s="99"/>
      <c r="V527" s="99"/>
      <c r="W527" s="99"/>
      <c r="X527" s="99"/>
      <c r="Y527" s="99"/>
      <c r="Z527" s="99"/>
      <c r="AA527" s="99"/>
      <c r="AB527" s="99"/>
      <c r="AC527" s="99"/>
    </row>
    <row r="528">
      <c r="A528" s="157"/>
      <c r="B528" s="99"/>
      <c r="C528" s="99"/>
      <c r="D528" s="99"/>
      <c r="E528" s="99"/>
      <c r="F528" s="170"/>
      <c r="G528" s="99"/>
      <c r="H528" s="99"/>
      <c r="I528" s="99"/>
      <c r="J528" s="171"/>
      <c r="K528" s="99"/>
      <c r="L528" s="99"/>
      <c r="M528" s="99"/>
      <c r="N528" s="99"/>
      <c r="O528" s="99"/>
      <c r="P528" s="99"/>
      <c r="Q528" s="99"/>
      <c r="R528" s="99"/>
      <c r="S528" s="99"/>
      <c r="T528" s="99"/>
      <c r="U528" s="99"/>
      <c r="V528" s="99"/>
      <c r="W528" s="99"/>
      <c r="X528" s="99"/>
      <c r="Y528" s="99"/>
      <c r="Z528" s="99"/>
      <c r="AA528" s="99"/>
      <c r="AB528" s="99"/>
      <c r="AC528" s="99"/>
    </row>
    <row r="529">
      <c r="A529" s="157"/>
      <c r="B529" s="99"/>
      <c r="C529" s="99"/>
      <c r="D529" s="99"/>
      <c r="E529" s="99"/>
      <c r="F529" s="170"/>
      <c r="G529" s="99"/>
      <c r="H529" s="99"/>
      <c r="I529" s="99"/>
      <c r="J529" s="171"/>
      <c r="K529" s="99"/>
      <c r="L529" s="99"/>
      <c r="M529" s="99"/>
      <c r="N529" s="99"/>
      <c r="O529" s="99"/>
      <c r="P529" s="99"/>
      <c r="Q529" s="99"/>
      <c r="R529" s="99"/>
      <c r="S529" s="99"/>
      <c r="T529" s="99"/>
      <c r="U529" s="99"/>
      <c r="V529" s="99"/>
      <c r="W529" s="99"/>
      <c r="X529" s="99"/>
      <c r="Y529" s="99"/>
      <c r="Z529" s="99"/>
      <c r="AA529" s="99"/>
      <c r="AB529" s="99"/>
      <c r="AC529" s="99"/>
    </row>
    <row r="530">
      <c r="A530" s="157"/>
      <c r="B530" s="99"/>
      <c r="C530" s="99"/>
      <c r="D530" s="99"/>
      <c r="E530" s="99"/>
      <c r="F530" s="170"/>
      <c r="G530" s="99"/>
      <c r="H530" s="99"/>
      <c r="I530" s="99"/>
      <c r="J530" s="171"/>
      <c r="K530" s="99"/>
      <c r="L530" s="99"/>
      <c r="M530" s="99"/>
      <c r="N530" s="99"/>
      <c r="O530" s="99"/>
      <c r="P530" s="99"/>
      <c r="Q530" s="99"/>
      <c r="R530" s="99"/>
      <c r="S530" s="99"/>
      <c r="T530" s="99"/>
      <c r="U530" s="99"/>
      <c r="V530" s="99"/>
      <c r="W530" s="99"/>
      <c r="X530" s="99"/>
      <c r="Y530" s="99"/>
      <c r="Z530" s="99"/>
      <c r="AA530" s="99"/>
      <c r="AB530" s="99"/>
      <c r="AC530" s="99"/>
    </row>
    <row r="531">
      <c r="A531" s="157"/>
      <c r="B531" s="99"/>
      <c r="C531" s="99"/>
      <c r="D531" s="99"/>
      <c r="E531" s="99"/>
      <c r="F531" s="170"/>
      <c r="G531" s="99"/>
      <c r="H531" s="99"/>
      <c r="I531" s="99"/>
      <c r="J531" s="171"/>
      <c r="K531" s="99"/>
      <c r="L531" s="99"/>
      <c r="M531" s="99"/>
      <c r="N531" s="99"/>
      <c r="O531" s="99"/>
      <c r="P531" s="99"/>
      <c r="Q531" s="99"/>
      <c r="R531" s="99"/>
      <c r="S531" s="99"/>
      <c r="T531" s="99"/>
      <c r="U531" s="99"/>
      <c r="V531" s="99"/>
      <c r="W531" s="99"/>
      <c r="X531" s="99"/>
      <c r="Y531" s="99"/>
      <c r="Z531" s="99"/>
      <c r="AA531" s="99"/>
      <c r="AB531" s="99"/>
      <c r="AC531" s="99"/>
    </row>
    <row r="532">
      <c r="A532" s="157"/>
      <c r="B532" s="99"/>
      <c r="C532" s="99"/>
      <c r="D532" s="99"/>
      <c r="E532" s="99"/>
      <c r="F532" s="170"/>
      <c r="G532" s="99"/>
      <c r="H532" s="99"/>
      <c r="I532" s="99"/>
      <c r="J532" s="171"/>
      <c r="K532" s="99"/>
      <c r="L532" s="99"/>
      <c r="M532" s="99"/>
      <c r="N532" s="99"/>
      <c r="O532" s="99"/>
      <c r="P532" s="99"/>
      <c r="Q532" s="99"/>
      <c r="R532" s="99"/>
      <c r="S532" s="99"/>
      <c r="T532" s="99"/>
      <c r="U532" s="99"/>
      <c r="V532" s="99"/>
      <c r="W532" s="99"/>
      <c r="X532" s="99"/>
      <c r="Y532" s="99"/>
      <c r="Z532" s="99"/>
      <c r="AA532" s="99"/>
      <c r="AB532" s="99"/>
      <c r="AC532" s="99"/>
    </row>
    <row r="533">
      <c r="A533" s="157"/>
      <c r="B533" s="99"/>
      <c r="C533" s="99"/>
      <c r="D533" s="99"/>
      <c r="E533" s="99"/>
      <c r="F533" s="170"/>
      <c r="G533" s="99"/>
      <c r="H533" s="99"/>
      <c r="I533" s="99"/>
      <c r="J533" s="171"/>
      <c r="K533" s="99"/>
      <c r="L533" s="99"/>
      <c r="M533" s="99"/>
      <c r="N533" s="99"/>
      <c r="O533" s="99"/>
      <c r="P533" s="99"/>
      <c r="Q533" s="99"/>
      <c r="R533" s="99"/>
      <c r="S533" s="99"/>
      <c r="T533" s="99"/>
      <c r="U533" s="99"/>
      <c r="V533" s="99"/>
      <c r="W533" s="99"/>
      <c r="X533" s="99"/>
      <c r="Y533" s="99"/>
      <c r="Z533" s="99"/>
      <c r="AA533" s="99"/>
      <c r="AB533" s="99"/>
      <c r="AC533" s="99"/>
    </row>
    <row r="534">
      <c r="A534" s="157"/>
      <c r="B534" s="99"/>
      <c r="C534" s="99"/>
      <c r="D534" s="99"/>
      <c r="E534" s="99"/>
      <c r="F534" s="170"/>
      <c r="G534" s="99"/>
      <c r="H534" s="99"/>
      <c r="I534" s="99"/>
      <c r="J534" s="171"/>
      <c r="K534" s="99"/>
      <c r="L534" s="99"/>
      <c r="M534" s="99"/>
      <c r="N534" s="99"/>
      <c r="O534" s="99"/>
      <c r="P534" s="99"/>
      <c r="Q534" s="99"/>
      <c r="R534" s="99"/>
      <c r="S534" s="99"/>
      <c r="T534" s="99"/>
      <c r="U534" s="99"/>
      <c r="V534" s="99"/>
      <c r="W534" s="99"/>
      <c r="X534" s="99"/>
      <c r="Y534" s="99"/>
      <c r="Z534" s="99"/>
      <c r="AA534" s="99"/>
      <c r="AB534" s="99"/>
      <c r="AC534" s="99"/>
    </row>
    <row r="535">
      <c r="A535" s="157"/>
      <c r="B535" s="99"/>
      <c r="C535" s="99"/>
      <c r="D535" s="99"/>
      <c r="E535" s="99"/>
      <c r="F535" s="170"/>
      <c r="G535" s="99"/>
      <c r="H535" s="99"/>
      <c r="I535" s="99"/>
      <c r="J535" s="171"/>
      <c r="K535" s="99"/>
      <c r="L535" s="99"/>
      <c r="M535" s="99"/>
      <c r="N535" s="99"/>
      <c r="O535" s="99"/>
      <c r="P535" s="99"/>
      <c r="Q535" s="99"/>
      <c r="R535" s="99"/>
      <c r="S535" s="99"/>
      <c r="T535" s="99"/>
      <c r="U535" s="99"/>
      <c r="V535" s="99"/>
      <c r="W535" s="99"/>
      <c r="X535" s="99"/>
      <c r="Y535" s="99"/>
      <c r="Z535" s="99"/>
      <c r="AA535" s="99"/>
      <c r="AB535" s="99"/>
      <c r="AC535" s="99"/>
    </row>
    <row r="536">
      <c r="A536" s="157"/>
      <c r="B536" s="99"/>
      <c r="C536" s="99"/>
      <c r="D536" s="99"/>
      <c r="E536" s="99"/>
      <c r="F536" s="170"/>
      <c r="G536" s="99"/>
      <c r="H536" s="99"/>
      <c r="I536" s="99"/>
      <c r="J536" s="171"/>
      <c r="K536" s="99"/>
      <c r="L536" s="99"/>
      <c r="M536" s="99"/>
      <c r="N536" s="99"/>
      <c r="O536" s="99"/>
      <c r="P536" s="99"/>
      <c r="Q536" s="99"/>
      <c r="R536" s="99"/>
      <c r="S536" s="99"/>
      <c r="T536" s="99"/>
      <c r="U536" s="99"/>
      <c r="V536" s="99"/>
      <c r="W536" s="99"/>
      <c r="X536" s="99"/>
      <c r="Y536" s="99"/>
      <c r="Z536" s="99"/>
      <c r="AA536" s="99"/>
      <c r="AB536" s="99"/>
      <c r="AC536" s="99"/>
    </row>
    <row r="537">
      <c r="A537" s="157"/>
      <c r="B537" s="99"/>
      <c r="C537" s="99"/>
      <c r="D537" s="99"/>
      <c r="E537" s="99"/>
      <c r="F537" s="170"/>
      <c r="G537" s="99"/>
      <c r="H537" s="99"/>
      <c r="I537" s="99"/>
      <c r="J537" s="171"/>
      <c r="K537" s="99"/>
      <c r="L537" s="99"/>
      <c r="M537" s="99"/>
      <c r="N537" s="99"/>
      <c r="O537" s="99"/>
      <c r="P537" s="99"/>
      <c r="Q537" s="99"/>
      <c r="R537" s="99"/>
      <c r="S537" s="99"/>
      <c r="T537" s="99"/>
      <c r="U537" s="99"/>
      <c r="V537" s="99"/>
      <c r="W537" s="99"/>
      <c r="X537" s="99"/>
      <c r="Y537" s="99"/>
      <c r="Z537" s="99"/>
      <c r="AA537" s="99"/>
      <c r="AB537" s="99"/>
      <c r="AC537" s="99"/>
    </row>
    <row r="538">
      <c r="A538" s="157"/>
      <c r="B538" s="99"/>
      <c r="C538" s="99"/>
      <c r="D538" s="99"/>
      <c r="E538" s="99"/>
      <c r="F538" s="170"/>
      <c r="G538" s="99"/>
      <c r="H538" s="99"/>
      <c r="I538" s="99"/>
      <c r="J538" s="171"/>
      <c r="K538" s="99"/>
      <c r="L538" s="99"/>
      <c r="M538" s="99"/>
      <c r="N538" s="99"/>
      <c r="O538" s="99"/>
      <c r="P538" s="99"/>
      <c r="Q538" s="99"/>
      <c r="R538" s="99"/>
      <c r="S538" s="99"/>
      <c r="T538" s="99"/>
      <c r="U538" s="99"/>
      <c r="V538" s="99"/>
      <c r="W538" s="99"/>
      <c r="X538" s="99"/>
      <c r="Y538" s="99"/>
      <c r="Z538" s="99"/>
      <c r="AA538" s="99"/>
      <c r="AB538" s="99"/>
      <c r="AC538" s="99"/>
    </row>
    <row r="539">
      <c r="A539" s="157"/>
      <c r="B539" s="99"/>
      <c r="C539" s="99"/>
      <c r="D539" s="99"/>
      <c r="E539" s="99"/>
      <c r="F539" s="170"/>
      <c r="G539" s="99"/>
      <c r="H539" s="99"/>
      <c r="I539" s="99"/>
      <c r="J539" s="171"/>
      <c r="K539" s="99"/>
      <c r="L539" s="99"/>
      <c r="M539" s="99"/>
      <c r="N539" s="99"/>
      <c r="O539" s="99"/>
      <c r="P539" s="99"/>
      <c r="Q539" s="99"/>
      <c r="R539" s="99"/>
      <c r="S539" s="99"/>
      <c r="T539" s="99"/>
      <c r="U539" s="99"/>
      <c r="V539" s="99"/>
      <c r="W539" s="99"/>
      <c r="X539" s="99"/>
      <c r="Y539" s="99"/>
      <c r="Z539" s="99"/>
      <c r="AA539" s="99"/>
      <c r="AB539" s="99"/>
      <c r="AC539" s="99"/>
    </row>
    <row r="540">
      <c r="A540" s="157"/>
      <c r="B540" s="99"/>
      <c r="C540" s="99"/>
      <c r="D540" s="99"/>
      <c r="E540" s="99"/>
      <c r="F540" s="170"/>
      <c r="G540" s="99"/>
      <c r="H540" s="99"/>
      <c r="I540" s="99"/>
      <c r="J540" s="171"/>
      <c r="K540" s="99"/>
      <c r="L540" s="99"/>
      <c r="M540" s="99"/>
      <c r="N540" s="99"/>
      <c r="O540" s="99"/>
      <c r="P540" s="99"/>
      <c r="Q540" s="99"/>
      <c r="R540" s="99"/>
      <c r="S540" s="99"/>
      <c r="T540" s="99"/>
      <c r="U540" s="99"/>
      <c r="V540" s="99"/>
      <c r="W540" s="99"/>
      <c r="X540" s="99"/>
      <c r="Y540" s="99"/>
      <c r="Z540" s="99"/>
      <c r="AA540" s="99"/>
      <c r="AB540" s="99"/>
      <c r="AC540" s="99"/>
    </row>
    <row r="541">
      <c r="A541" s="157"/>
      <c r="B541" s="99"/>
      <c r="C541" s="99"/>
      <c r="D541" s="99"/>
      <c r="E541" s="99"/>
      <c r="F541" s="170"/>
      <c r="G541" s="99"/>
      <c r="H541" s="99"/>
      <c r="I541" s="99"/>
      <c r="J541" s="171"/>
      <c r="K541" s="99"/>
      <c r="L541" s="99"/>
      <c r="M541" s="99"/>
      <c r="N541" s="99"/>
      <c r="O541" s="99"/>
      <c r="P541" s="99"/>
      <c r="Q541" s="99"/>
      <c r="R541" s="99"/>
      <c r="S541" s="99"/>
      <c r="T541" s="99"/>
      <c r="U541" s="99"/>
      <c r="V541" s="99"/>
      <c r="W541" s="99"/>
      <c r="X541" s="99"/>
      <c r="Y541" s="99"/>
      <c r="Z541" s="99"/>
      <c r="AA541" s="99"/>
      <c r="AB541" s="99"/>
      <c r="AC541" s="99"/>
    </row>
    <row r="542">
      <c r="A542" s="157"/>
      <c r="B542" s="99"/>
      <c r="C542" s="99"/>
      <c r="D542" s="99"/>
      <c r="E542" s="99"/>
      <c r="F542" s="170"/>
      <c r="G542" s="99"/>
      <c r="H542" s="99"/>
      <c r="I542" s="99"/>
      <c r="J542" s="171"/>
      <c r="K542" s="99"/>
      <c r="L542" s="99"/>
      <c r="M542" s="99"/>
      <c r="N542" s="99"/>
      <c r="O542" s="99"/>
      <c r="P542" s="99"/>
      <c r="Q542" s="99"/>
      <c r="R542" s="99"/>
      <c r="S542" s="99"/>
      <c r="T542" s="99"/>
      <c r="U542" s="99"/>
      <c r="V542" s="99"/>
      <c r="W542" s="99"/>
      <c r="X542" s="99"/>
      <c r="Y542" s="99"/>
      <c r="Z542" s="99"/>
      <c r="AA542" s="99"/>
      <c r="AB542" s="99"/>
      <c r="AC542" s="99"/>
    </row>
    <row r="543">
      <c r="A543" s="157"/>
      <c r="B543" s="99"/>
      <c r="C543" s="99"/>
      <c r="D543" s="99"/>
      <c r="E543" s="99"/>
      <c r="F543" s="170"/>
      <c r="G543" s="99"/>
      <c r="H543" s="99"/>
      <c r="I543" s="99"/>
      <c r="J543" s="171"/>
      <c r="K543" s="99"/>
      <c r="L543" s="99"/>
      <c r="M543" s="99"/>
      <c r="N543" s="99"/>
      <c r="O543" s="99"/>
      <c r="P543" s="99"/>
      <c r="Q543" s="99"/>
      <c r="R543" s="99"/>
      <c r="S543" s="99"/>
      <c r="T543" s="99"/>
      <c r="U543" s="99"/>
      <c r="V543" s="99"/>
      <c r="W543" s="99"/>
      <c r="X543" s="99"/>
      <c r="Y543" s="99"/>
      <c r="Z543" s="99"/>
      <c r="AA543" s="99"/>
      <c r="AB543" s="99"/>
      <c r="AC543" s="99"/>
    </row>
    <row r="544">
      <c r="A544" s="157"/>
      <c r="B544" s="99"/>
      <c r="C544" s="99"/>
      <c r="D544" s="99"/>
      <c r="E544" s="99"/>
      <c r="F544" s="170"/>
      <c r="G544" s="99"/>
      <c r="H544" s="99"/>
      <c r="I544" s="99"/>
      <c r="J544" s="171"/>
      <c r="K544" s="99"/>
      <c r="L544" s="99"/>
      <c r="M544" s="99"/>
      <c r="N544" s="99"/>
      <c r="O544" s="99"/>
      <c r="P544" s="99"/>
      <c r="Q544" s="99"/>
      <c r="R544" s="99"/>
      <c r="S544" s="99"/>
      <c r="T544" s="99"/>
      <c r="U544" s="99"/>
      <c r="V544" s="99"/>
      <c r="W544" s="99"/>
      <c r="X544" s="99"/>
      <c r="Y544" s="99"/>
      <c r="Z544" s="99"/>
      <c r="AA544" s="99"/>
      <c r="AB544" s="99"/>
      <c r="AC544" s="99"/>
    </row>
    <row r="545">
      <c r="A545" s="157"/>
      <c r="B545" s="99"/>
      <c r="C545" s="99"/>
      <c r="D545" s="99"/>
      <c r="E545" s="99"/>
      <c r="F545" s="170"/>
      <c r="G545" s="99"/>
      <c r="H545" s="99"/>
      <c r="I545" s="99"/>
      <c r="J545" s="171"/>
      <c r="K545" s="99"/>
      <c r="L545" s="99"/>
      <c r="M545" s="99"/>
      <c r="N545" s="99"/>
      <c r="O545" s="99"/>
      <c r="P545" s="99"/>
      <c r="Q545" s="99"/>
      <c r="R545" s="99"/>
      <c r="S545" s="99"/>
      <c r="T545" s="99"/>
      <c r="U545" s="99"/>
      <c r="V545" s="99"/>
      <c r="W545" s="99"/>
      <c r="X545" s="99"/>
      <c r="Y545" s="99"/>
      <c r="Z545" s="99"/>
      <c r="AA545" s="99"/>
      <c r="AB545" s="99"/>
      <c r="AC545" s="99"/>
    </row>
    <row r="546">
      <c r="A546" s="157"/>
      <c r="B546" s="99"/>
      <c r="C546" s="99"/>
      <c r="D546" s="99"/>
      <c r="E546" s="99"/>
      <c r="F546" s="170"/>
      <c r="G546" s="99"/>
      <c r="H546" s="99"/>
      <c r="I546" s="99"/>
      <c r="J546" s="171"/>
      <c r="K546" s="99"/>
      <c r="L546" s="99"/>
      <c r="M546" s="99"/>
      <c r="N546" s="99"/>
      <c r="O546" s="99"/>
      <c r="P546" s="99"/>
      <c r="Q546" s="99"/>
      <c r="R546" s="99"/>
      <c r="S546" s="99"/>
      <c r="T546" s="99"/>
      <c r="U546" s="99"/>
      <c r="V546" s="99"/>
      <c r="W546" s="99"/>
      <c r="X546" s="99"/>
      <c r="Y546" s="99"/>
      <c r="Z546" s="99"/>
      <c r="AA546" s="99"/>
      <c r="AB546" s="99"/>
      <c r="AC546" s="99"/>
    </row>
    <row r="547">
      <c r="A547" s="157"/>
      <c r="B547" s="99"/>
      <c r="C547" s="99"/>
      <c r="D547" s="99"/>
      <c r="E547" s="99"/>
      <c r="F547" s="170"/>
      <c r="G547" s="99"/>
      <c r="H547" s="99"/>
      <c r="I547" s="99"/>
      <c r="J547" s="171"/>
      <c r="K547" s="99"/>
      <c r="L547" s="99"/>
      <c r="M547" s="99"/>
      <c r="N547" s="99"/>
      <c r="O547" s="99"/>
      <c r="P547" s="99"/>
      <c r="Q547" s="99"/>
      <c r="R547" s="99"/>
      <c r="S547" s="99"/>
      <c r="T547" s="99"/>
      <c r="U547" s="99"/>
      <c r="V547" s="99"/>
      <c r="W547" s="99"/>
      <c r="X547" s="99"/>
      <c r="Y547" s="99"/>
      <c r="Z547" s="99"/>
      <c r="AA547" s="99"/>
      <c r="AB547" s="99"/>
      <c r="AC547" s="99"/>
    </row>
    <row r="548">
      <c r="A548" s="157"/>
      <c r="B548" s="99"/>
      <c r="C548" s="99"/>
      <c r="D548" s="99"/>
      <c r="E548" s="99"/>
      <c r="F548" s="170"/>
      <c r="G548" s="99"/>
      <c r="H548" s="99"/>
      <c r="I548" s="99"/>
      <c r="J548" s="171"/>
      <c r="K548" s="99"/>
      <c r="L548" s="99"/>
      <c r="M548" s="99"/>
      <c r="N548" s="99"/>
      <c r="O548" s="99"/>
      <c r="P548" s="99"/>
      <c r="Q548" s="99"/>
      <c r="R548" s="99"/>
      <c r="S548" s="99"/>
      <c r="T548" s="99"/>
      <c r="U548" s="99"/>
      <c r="V548" s="99"/>
      <c r="W548" s="99"/>
      <c r="X548" s="99"/>
      <c r="Y548" s="99"/>
      <c r="Z548" s="99"/>
      <c r="AA548" s="99"/>
      <c r="AB548" s="99"/>
      <c r="AC548" s="99"/>
    </row>
    <row r="549">
      <c r="A549" s="157"/>
      <c r="B549" s="99"/>
      <c r="C549" s="99"/>
      <c r="D549" s="99"/>
      <c r="E549" s="99"/>
      <c r="F549" s="170"/>
      <c r="G549" s="99"/>
      <c r="H549" s="99"/>
      <c r="I549" s="99"/>
      <c r="J549" s="171"/>
      <c r="K549" s="99"/>
      <c r="L549" s="99"/>
      <c r="M549" s="99"/>
      <c r="N549" s="99"/>
      <c r="O549" s="99"/>
      <c r="P549" s="99"/>
      <c r="Q549" s="99"/>
      <c r="R549" s="99"/>
      <c r="S549" s="99"/>
      <c r="T549" s="99"/>
      <c r="U549" s="99"/>
      <c r="V549" s="99"/>
      <c r="W549" s="99"/>
      <c r="X549" s="99"/>
      <c r="Y549" s="99"/>
      <c r="Z549" s="99"/>
      <c r="AA549" s="99"/>
      <c r="AB549" s="99"/>
      <c r="AC549" s="99"/>
    </row>
    <row r="550">
      <c r="A550" s="157"/>
      <c r="B550" s="99"/>
      <c r="C550" s="99"/>
      <c r="D550" s="99"/>
      <c r="E550" s="99"/>
      <c r="F550" s="170"/>
      <c r="G550" s="99"/>
      <c r="H550" s="99"/>
      <c r="I550" s="99"/>
      <c r="J550" s="171"/>
      <c r="K550" s="99"/>
      <c r="L550" s="99"/>
      <c r="M550" s="99"/>
      <c r="N550" s="99"/>
      <c r="O550" s="99"/>
      <c r="P550" s="99"/>
      <c r="Q550" s="99"/>
      <c r="R550" s="99"/>
      <c r="S550" s="99"/>
      <c r="T550" s="99"/>
      <c r="U550" s="99"/>
      <c r="V550" s="99"/>
      <c r="W550" s="99"/>
      <c r="X550" s="99"/>
      <c r="Y550" s="99"/>
      <c r="Z550" s="99"/>
      <c r="AA550" s="99"/>
      <c r="AB550" s="99"/>
      <c r="AC550" s="99"/>
    </row>
    <row r="551">
      <c r="A551" s="157"/>
      <c r="B551" s="99"/>
      <c r="C551" s="99"/>
      <c r="D551" s="99"/>
      <c r="E551" s="99"/>
      <c r="F551" s="170"/>
      <c r="G551" s="99"/>
      <c r="H551" s="99"/>
      <c r="I551" s="99"/>
      <c r="J551" s="171"/>
      <c r="K551" s="99"/>
      <c r="L551" s="99"/>
      <c r="M551" s="99"/>
      <c r="N551" s="99"/>
      <c r="O551" s="99"/>
      <c r="P551" s="99"/>
      <c r="Q551" s="99"/>
      <c r="R551" s="99"/>
      <c r="S551" s="99"/>
      <c r="T551" s="99"/>
      <c r="U551" s="99"/>
      <c r="V551" s="99"/>
      <c r="W551" s="99"/>
      <c r="X551" s="99"/>
      <c r="Y551" s="99"/>
      <c r="Z551" s="99"/>
      <c r="AA551" s="99"/>
      <c r="AB551" s="99"/>
      <c r="AC551" s="99"/>
    </row>
    <row r="552">
      <c r="A552" s="157"/>
      <c r="B552" s="99"/>
      <c r="C552" s="99"/>
      <c r="D552" s="99"/>
      <c r="E552" s="99"/>
      <c r="F552" s="170"/>
      <c r="G552" s="99"/>
      <c r="H552" s="99"/>
      <c r="I552" s="99"/>
      <c r="J552" s="171"/>
      <c r="K552" s="99"/>
      <c r="L552" s="99"/>
      <c r="M552" s="99"/>
      <c r="N552" s="99"/>
      <c r="O552" s="99"/>
      <c r="P552" s="99"/>
      <c r="Q552" s="99"/>
      <c r="R552" s="99"/>
      <c r="S552" s="99"/>
      <c r="T552" s="99"/>
      <c r="U552" s="99"/>
      <c r="V552" s="99"/>
      <c r="W552" s="99"/>
      <c r="X552" s="99"/>
      <c r="Y552" s="99"/>
      <c r="Z552" s="99"/>
      <c r="AA552" s="99"/>
      <c r="AB552" s="99"/>
      <c r="AC552" s="99"/>
    </row>
    <row r="553">
      <c r="A553" s="157"/>
      <c r="B553" s="99"/>
      <c r="C553" s="99"/>
      <c r="D553" s="99"/>
      <c r="E553" s="99"/>
      <c r="F553" s="170"/>
      <c r="G553" s="99"/>
      <c r="H553" s="99"/>
      <c r="I553" s="99"/>
      <c r="J553" s="171"/>
      <c r="K553" s="99"/>
      <c r="L553" s="99"/>
      <c r="M553" s="99"/>
      <c r="N553" s="99"/>
      <c r="O553" s="99"/>
      <c r="P553" s="99"/>
      <c r="Q553" s="99"/>
      <c r="R553" s="99"/>
      <c r="S553" s="99"/>
      <c r="T553" s="99"/>
      <c r="U553" s="99"/>
      <c r="V553" s="99"/>
      <c r="W553" s="99"/>
      <c r="X553" s="99"/>
      <c r="Y553" s="99"/>
      <c r="Z553" s="99"/>
      <c r="AA553" s="99"/>
      <c r="AB553" s="99"/>
      <c r="AC553" s="99"/>
    </row>
    <row r="554">
      <c r="A554" s="157"/>
      <c r="B554" s="99"/>
      <c r="C554" s="99"/>
      <c r="D554" s="99"/>
      <c r="E554" s="99"/>
      <c r="F554" s="170"/>
      <c r="G554" s="99"/>
      <c r="H554" s="99"/>
      <c r="I554" s="99"/>
      <c r="J554" s="171"/>
      <c r="K554" s="99"/>
      <c r="L554" s="99"/>
      <c r="M554" s="99"/>
      <c r="N554" s="99"/>
      <c r="O554" s="99"/>
      <c r="P554" s="99"/>
      <c r="Q554" s="99"/>
      <c r="R554" s="99"/>
      <c r="S554" s="99"/>
      <c r="T554" s="99"/>
      <c r="U554" s="99"/>
      <c r="V554" s="99"/>
      <c r="W554" s="99"/>
      <c r="X554" s="99"/>
      <c r="Y554" s="99"/>
      <c r="Z554" s="99"/>
      <c r="AA554" s="99"/>
      <c r="AB554" s="99"/>
      <c r="AC554" s="99"/>
    </row>
    <row r="555">
      <c r="A555" s="157"/>
      <c r="B555" s="99"/>
      <c r="C555" s="99"/>
      <c r="D555" s="99"/>
      <c r="E555" s="99"/>
      <c r="F555" s="170"/>
      <c r="G555" s="99"/>
      <c r="H555" s="99"/>
      <c r="I555" s="99"/>
      <c r="J555" s="171"/>
      <c r="K555" s="99"/>
      <c r="L555" s="99"/>
      <c r="M555" s="99"/>
      <c r="N555" s="99"/>
      <c r="O555" s="99"/>
      <c r="P555" s="99"/>
      <c r="Q555" s="99"/>
      <c r="R555" s="99"/>
      <c r="S555" s="99"/>
      <c r="T555" s="99"/>
      <c r="U555" s="99"/>
      <c r="V555" s="99"/>
      <c r="W555" s="99"/>
      <c r="X555" s="99"/>
      <c r="Y555" s="99"/>
      <c r="Z555" s="99"/>
      <c r="AA555" s="99"/>
      <c r="AB555" s="99"/>
      <c r="AC555" s="99"/>
    </row>
    <row r="556">
      <c r="A556" s="157"/>
      <c r="B556" s="99"/>
      <c r="C556" s="99"/>
      <c r="D556" s="99"/>
      <c r="E556" s="99"/>
      <c r="F556" s="170"/>
      <c r="G556" s="99"/>
      <c r="H556" s="99"/>
      <c r="I556" s="99"/>
      <c r="J556" s="171"/>
      <c r="K556" s="99"/>
      <c r="L556" s="99"/>
      <c r="M556" s="99"/>
      <c r="N556" s="99"/>
      <c r="O556" s="99"/>
      <c r="P556" s="99"/>
      <c r="Q556" s="99"/>
      <c r="R556" s="99"/>
      <c r="S556" s="99"/>
      <c r="T556" s="99"/>
      <c r="U556" s="99"/>
      <c r="V556" s="99"/>
      <c r="W556" s="99"/>
      <c r="X556" s="99"/>
      <c r="Y556" s="99"/>
      <c r="Z556" s="99"/>
      <c r="AA556" s="99"/>
      <c r="AB556" s="99"/>
      <c r="AC556" s="99"/>
    </row>
    <row r="557">
      <c r="A557" s="157"/>
      <c r="B557" s="99"/>
      <c r="C557" s="99"/>
      <c r="D557" s="99"/>
      <c r="E557" s="99"/>
      <c r="F557" s="170"/>
      <c r="G557" s="99"/>
      <c r="H557" s="99"/>
      <c r="I557" s="99"/>
      <c r="J557" s="171"/>
      <c r="K557" s="99"/>
      <c r="L557" s="99"/>
      <c r="M557" s="99"/>
      <c r="N557" s="99"/>
      <c r="O557" s="99"/>
      <c r="P557" s="99"/>
      <c r="Q557" s="99"/>
      <c r="R557" s="99"/>
      <c r="S557" s="99"/>
      <c r="T557" s="99"/>
      <c r="U557" s="99"/>
      <c r="V557" s="99"/>
      <c r="W557" s="99"/>
      <c r="X557" s="99"/>
      <c r="Y557" s="99"/>
      <c r="Z557" s="99"/>
      <c r="AA557" s="99"/>
      <c r="AB557" s="99"/>
      <c r="AC557" s="99"/>
    </row>
    <row r="558">
      <c r="A558" s="157"/>
      <c r="B558" s="99"/>
      <c r="C558" s="99"/>
      <c r="D558" s="99"/>
      <c r="E558" s="99"/>
      <c r="F558" s="170"/>
      <c r="G558" s="99"/>
      <c r="H558" s="99"/>
      <c r="I558" s="99"/>
      <c r="J558" s="171"/>
      <c r="K558" s="99"/>
      <c r="L558" s="99"/>
      <c r="M558" s="99"/>
      <c r="N558" s="99"/>
      <c r="O558" s="99"/>
      <c r="P558" s="99"/>
      <c r="Q558" s="99"/>
      <c r="R558" s="99"/>
      <c r="S558" s="99"/>
      <c r="T558" s="99"/>
      <c r="U558" s="99"/>
      <c r="V558" s="99"/>
      <c r="W558" s="99"/>
      <c r="X558" s="99"/>
      <c r="Y558" s="99"/>
      <c r="Z558" s="99"/>
      <c r="AA558" s="99"/>
      <c r="AB558" s="99"/>
      <c r="AC558" s="99"/>
    </row>
    <row r="559">
      <c r="A559" s="157"/>
      <c r="B559" s="99"/>
      <c r="C559" s="99"/>
      <c r="D559" s="99"/>
      <c r="E559" s="99"/>
      <c r="F559" s="170"/>
      <c r="G559" s="99"/>
      <c r="H559" s="99"/>
      <c r="I559" s="99"/>
      <c r="J559" s="171"/>
      <c r="K559" s="99"/>
      <c r="L559" s="99"/>
      <c r="M559" s="99"/>
      <c r="N559" s="99"/>
      <c r="O559" s="99"/>
      <c r="P559" s="99"/>
      <c r="Q559" s="99"/>
      <c r="R559" s="99"/>
      <c r="S559" s="99"/>
      <c r="T559" s="99"/>
      <c r="U559" s="99"/>
      <c r="V559" s="99"/>
      <c r="W559" s="99"/>
      <c r="X559" s="99"/>
      <c r="Y559" s="99"/>
      <c r="Z559" s="99"/>
      <c r="AA559" s="99"/>
      <c r="AB559" s="99"/>
      <c r="AC559" s="99"/>
    </row>
    <row r="560">
      <c r="A560" s="157"/>
      <c r="B560" s="99"/>
      <c r="C560" s="99"/>
      <c r="D560" s="99"/>
      <c r="E560" s="99"/>
      <c r="F560" s="170"/>
      <c r="G560" s="99"/>
      <c r="H560" s="99"/>
      <c r="I560" s="99"/>
      <c r="J560" s="171"/>
      <c r="K560" s="99"/>
      <c r="L560" s="99"/>
      <c r="M560" s="99"/>
      <c r="N560" s="99"/>
      <c r="O560" s="99"/>
      <c r="P560" s="99"/>
      <c r="Q560" s="99"/>
      <c r="R560" s="99"/>
      <c r="S560" s="99"/>
      <c r="T560" s="99"/>
      <c r="U560" s="99"/>
      <c r="V560" s="99"/>
      <c r="W560" s="99"/>
      <c r="X560" s="99"/>
      <c r="Y560" s="99"/>
      <c r="Z560" s="99"/>
      <c r="AA560" s="99"/>
      <c r="AB560" s="99"/>
      <c r="AC560" s="99"/>
    </row>
    <row r="561">
      <c r="A561" s="157"/>
      <c r="B561" s="99"/>
      <c r="C561" s="99"/>
      <c r="D561" s="99"/>
      <c r="E561" s="99"/>
      <c r="F561" s="170"/>
      <c r="G561" s="99"/>
      <c r="H561" s="99"/>
      <c r="I561" s="99"/>
      <c r="J561" s="171"/>
      <c r="K561" s="99"/>
      <c r="L561" s="99"/>
      <c r="M561" s="99"/>
      <c r="N561" s="99"/>
      <c r="O561" s="99"/>
      <c r="P561" s="99"/>
      <c r="Q561" s="99"/>
      <c r="R561" s="99"/>
      <c r="S561" s="99"/>
      <c r="T561" s="99"/>
      <c r="U561" s="99"/>
      <c r="V561" s="99"/>
      <c r="W561" s="99"/>
      <c r="X561" s="99"/>
      <c r="Y561" s="99"/>
      <c r="Z561" s="99"/>
      <c r="AA561" s="99"/>
      <c r="AB561" s="99"/>
      <c r="AC561" s="99"/>
    </row>
    <row r="562">
      <c r="A562" s="157"/>
      <c r="B562" s="99"/>
      <c r="C562" s="99"/>
      <c r="D562" s="99"/>
      <c r="E562" s="99"/>
      <c r="F562" s="170"/>
      <c r="G562" s="99"/>
      <c r="H562" s="99"/>
      <c r="I562" s="99"/>
      <c r="J562" s="171"/>
      <c r="K562" s="99"/>
      <c r="L562" s="99"/>
      <c r="M562" s="99"/>
      <c r="N562" s="99"/>
      <c r="O562" s="99"/>
      <c r="P562" s="99"/>
      <c r="Q562" s="99"/>
      <c r="R562" s="99"/>
      <c r="S562" s="99"/>
      <c r="T562" s="99"/>
      <c r="U562" s="99"/>
      <c r="V562" s="99"/>
      <c r="W562" s="99"/>
      <c r="X562" s="99"/>
      <c r="Y562" s="99"/>
      <c r="Z562" s="99"/>
      <c r="AA562" s="99"/>
      <c r="AB562" s="99"/>
      <c r="AC562" s="99"/>
    </row>
    <row r="563">
      <c r="A563" s="157"/>
      <c r="B563" s="99"/>
      <c r="C563" s="99"/>
      <c r="D563" s="99"/>
      <c r="E563" s="99"/>
      <c r="F563" s="170"/>
      <c r="G563" s="99"/>
      <c r="H563" s="99"/>
      <c r="I563" s="99"/>
      <c r="J563" s="171"/>
      <c r="K563" s="99"/>
      <c r="L563" s="99"/>
      <c r="M563" s="99"/>
      <c r="N563" s="99"/>
      <c r="O563" s="99"/>
      <c r="P563" s="99"/>
      <c r="Q563" s="99"/>
      <c r="R563" s="99"/>
      <c r="S563" s="99"/>
      <c r="T563" s="99"/>
      <c r="U563" s="99"/>
      <c r="V563" s="99"/>
      <c r="W563" s="99"/>
      <c r="X563" s="99"/>
      <c r="Y563" s="99"/>
      <c r="Z563" s="99"/>
      <c r="AA563" s="99"/>
      <c r="AB563" s="99"/>
      <c r="AC563" s="99"/>
    </row>
    <row r="564">
      <c r="A564" s="157"/>
      <c r="B564" s="99"/>
      <c r="C564" s="99"/>
      <c r="D564" s="99"/>
      <c r="E564" s="99"/>
      <c r="F564" s="170"/>
      <c r="G564" s="99"/>
      <c r="H564" s="99"/>
      <c r="I564" s="99"/>
      <c r="J564" s="171"/>
      <c r="K564" s="99"/>
      <c r="L564" s="99"/>
      <c r="M564" s="99"/>
      <c r="N564" s="99"/>
      <c r="O564" s="99"/>
      <c r="P564" s="99"/>
      <c r="Q564" s="99"/>
      <c r="R564" s="99"/>
      <c r="S564" s="99"/>
      <c r="T564" s="99"/>
      <c r="U564" s="99"/>
      <c r="V564" s="99"/>
      <c r="W564" s="99"/>
      <c r="X564" s="99"/>
      <c r="Y564" s="99"/>
      <c r="Z564" s="99"/>
      <c r="AA564" s="99"/>
      <c r="AB564" s="99"/>
      <c r="AC564" s="99"/>
    </row>
    <row r="565">
      <c r="A565" s="157"/>
      <c r="B565" s="99"/>
      <c r="C565" s="99"/>
      <c r="D565" s="99"/>
      <c r="E565" s="99"/>
      <c r="F565" s="170"/>
      <c r="G565" s="99"/>
      <c r="H565" s="99"/>
      <c r="I565" s="99"/>
      <c r="J565" s="171"/>
      <c r="K565" s="99"/>
      <c r="L565" s="99"/>
      <c r="M565" s="99"/>
      <c r="N565" s="99"/>
      <c r="O565" s="99"/>
      <c r="P565" s="99"/>
      <c r="Q565" s="99"/>
      <c r="R565" s="99"/>
      <c r="S565" s="99"/>
      <c r="T565" s="99"/>
      <c r="U565" s="99"/>
      <c r="V565" s="99"/>
      <c r="W565" s="99"/>
      <c r="X565" s="99"/>
      <c r="Y565" s="99"/>
      <c r="Z565" s="99"/>
      <c r="AA565" s="99"/>
      <c r="AB565" s="99"/>
      <c r="AC565" s="99"/>
    </row>
    <row r="566">
      <c r="A566" s="157"/>
      <c r="B566" s="99"/>
      <c r="C566" s="99"/>
      <c r="D566" s="99"/>
      <c r="E566" s="99"/>
      <c r="F566" s="170"/>
      <c r="G566" s="99"/>
      <c r="H566" s="99"/>
      <c r="I566" s="99"/>
      <c r="J566" s="171"/>
      <c r="K566" s="99"/>
      <c r="L566" s="99"/>
      <c r="M566" s="99"/>
      <c r="N566" s="99"/>
      <c r="O566" s="99"/>
      <c r="P566" s="99"/>
      <c r="Q566" s="99"/>
      <c r="R566" s="99"/>
      <c r="S566" s="99"/>
      <c r="T566" s="99"/>
      <c r="U566" s="99"/>
      <c r="V566" s="99"/>
      <c r="W566" s="99"/>
      <c r="X566" s="99"/>
      <c r="Y566" s="99"/>
      <c r="Z566" s="99"/>
      <c r="AA566" s="99"/>
      <c r="AB566" s="99"/>
      <c r="AC566" s="99"/>
    </row>
    <row r="567">
      <c r="A567" s="157"/>
      <c r="B567" s="99"/>
      <c r="C567" s="99"/>
      <c r="D567" s="99"/>
      <c r="E567" s="99"/>
      <c r="F567" s="170"/>
      <c r="G567" s="99"/>
      <c r="H567" s="99"/>
      <c r="I567" s="99"/>
      <c r="J567" s="171"/>
      <c r="K567" s="99"/>
      <c r="L567" s="99"/>
      <c r="M567" s="99"/>
      <c r="N567" s="99"/>
      <c r="O567" s="99"/>
      <c r="P567" s="99"/>
      <c r="Q567" s="99"/>
      <c r="R567" s="99"/>
      <c r="S567" s="99"/>
      <c r="T567" s="99"/>
      <c r="U567" s="99"/>
      <c r="V567" s="99"/>
      <c r="W567" s="99"/>
      <c r="X567" s="99"/>
      <c r="Y567" s="99"/>
      <c r="Z567" s="99"/>
      <c r="AA567" s="99"/>
      <c r="AB567" s="99"/>
      <c r="AC567" s="99"/>
    </row>
    <row r="568">
      <c r="A568" s="157"/>
      <c r="B568" s="99"/>
      <c r="C568" s="99"/>
      <c r="D568" s="99"/>
      <c r="E568" s="99"/>
      <c r="F568" s="170"/>
      <c r="G568" s="99"/>
      <c r="H568" s="99"/>
      <c r="I568" s="99"/>
      <c r="J568" s="171"/>
      <c r="K568" s="99"/>
      <c r="L568" s="99"/>
      <c r="M568" s="99"/>
      <c r="N568" s="99"/>
      <c r="O568" s="99"/>
      <c r="P568" s="99"/>
      <c r="Q568" s="99"/>
      <c r="R568" s="99"/>
      <c r="S568" s="99"/>
      <c r="T568" s="99"/>
      <c r="U568" s="99"/>
      <c r="V568" s="99"/>
      <c r="W568" s="99"/>
      <c r="X568" s="99"/>
      <c r="Y568" s="99"/>
      <c r="Z568" s="99"/>
      <c r="AA568" s="99"/>
      <c r="AB568" s="99"/>
      <c r="AC568" s="99"/>
    </row>
    <row r="569">
      <c r="A569" s="157"/>
      <c r="B569" s="99"/>
      <c r="C569" s="99"/>
      <c r="D569" s="99"/>
      <c r="E569" s="99"/>
      <c r="F569" s="170"/>
      <c r="G569" s="99"/>
      <c r="H569" s="99"/>
      <c r="I569" s="99"/>
      <c r="J569" s="171"/>
      <c r="K569" s="99"/>
      <c r="L569" s="99"/>
      <c r="M569" s="99"/>
      <c r="N569" s="99"/>
      <c r="O569" s="99"/>
      <c r="P569" s="99"/>
      <c r="Q569" s="99"/>
      <c r="R569" s="99"/>
      <c r="S569" s="99"/>
      <c r="T569" s="99"/>
      <c r="U569" s="99"/>
      <c r="V569" s="99"/>
      <c r="W569" s="99"/>
      <c r="X569" s="99"/>
      <c r="Y569" s="99"/>
      <c r="Z569" s="99"/>
      <c r="AA569" s="99"/>
      <c r="AB569" s="99"/>
      <c r="AC569" s="99"/>
    </row>
    <row r="570">
      <c r="A570" s="157"/>
      <c r="B570" s="99"/>
      <c r="C570" s="99"/>
      <c r="D570" s="99"/>
      <c r="E570" s="99"/>
      <c r="F570" s="170"/>
      <c r="G570" s="99"/>
      <c r="H570" s="99"/>
      <c r="I570" s="99"/>
      <c r="J570" s="171"/>
      <c r="K570" s="99"/>
      <c r="L570" s="99"/>
      <c r="M570" s="99"/>
      <c r="N570" s="99"/>
      <c r="O570" s="99"/>
      <c r="P570" s="99"/>
      <c r="Q570" s="99"/>
      <c r="R570" s="99"/>
      <c r="S570" s="99"/>
      <c r="T570" s="99"/>
      <c r="U570" s="99"/>
      <c r="V570" s="99"/>
      <c r="W570" s="99"/>
      <c r="X570" s="99"/>
      <c r="Y570" s="99"/>
      <c r="Z570" s="99"/>
      <c r="AA570" s="99"/>
      <c r="AB570" s="99"/>
      <c r="AC570" s="99"/>
    </row>
    <row r="571">
      <c r="A571" s="157"/>
      <c r="B571" s="99"/>
      <c r="C571" s="99"/>
      <c r="D571" s="99"/>
      <c r="E571" s="99"/>
      <c r="F571" s="170"/>
      <c r="G571" s="99"/>
      <c r="H571" s="99"/>
      <c r="I571" s="99"/>
      <c r="J571" s="171"/>
      <c r="K571" s="99"/>
      <c r="L571" s="99"/>
      <c r="M571" s="99"/>
      <c r="N571" s="99"/>
      <c r="O571" s="99"/>
      <c r="P571" s="99"/>
      <c r="Q571" s="99"/>
      <c r="R571" s="99"/>
      <c r="S571" s="99"/>
      <c r="T571" s="99"/>
      <c r="U571" s="99"/>
      <c r="V571" s="99"/>
      <c r="W571" s="99"/>
      <c r="X571" s="99"/>
      <c r="Y571" s="99"/>
      <c r="Z571" s="99"/>
      <c r="AA571" s="99"/>
      <c r="AB571" s="99"/>
      <c r="AC571" s="99"/>
    </row>
    <row r="572">
      <c r="A572" s="157"/>
      <c r="B572" s="99"/>
      <c r="C572" s="99"/>
      <c r="D572" s="99"/>
      <c r="E572" s="99"/>
      <c r="F572" s="170"/>
      <c r="G572" s="99"/>
      <c r="H572" s="99"/>
      <c r="I572" s="99"/>
      <c r="J572" s="171"/>
      <c r="K572" s="99"/>
      <c r="L572" s="99"/>
      <c r="M572" s="99"/>
      <c r="N572" s="99"/>
      <c r="O572" s="99"/>
      <c r="P572" s="99"/>
      <c r="Q572" s="99"/>
      <c r="R572" s="99"/>
      <c r="S572" s="99"/>
      <c r="T572" s="99"/>
      <c r="U572" s="99"/>
      <c r="V572" s="99"/>
      <c r="W572" s="99"/>
      <c r="X572" s="99"/>
      <c r="Y572" s="99"/>
      <c r="Z572" s="99"/>
      <c r="AA572" s="99"/>
      <c r="AB572" s="99"/>
      <c r="AC572" s="99"/>
    </row>
    <row r="573">
      <c r="A573" s="157"/>
      <c r="B573" s="99"/>
      <c r="C573" s="99"/>
      <c r="D573" s="99"/>
      <c r="E573" s="99"/>
      <c r="F573" s="170"/>
      <c r="G573" s="99"/>
      <c r="H573" s="99"/>
      <c r="I573" s="99"/>
      <c r="J573" s="171"/>
      <c r="K573" s="99"/>
      <c r="L573" s="99"/>
      <c r="M573" s="99"/>
      <c r="N573" s="99"/>
      <c r="O573" s="99"/>
      <c r="P573" s="99"/>
      <c r="Q573" s="99"/>
      <c r="R573" s="99"/>
      <c r="S573" s="99"/>
      <c r="T573" s="99"/>
      <c r="U573" s="99"/>
      <c r="V573" s="99"/>
      <c r="W573" s="99"/>
      <c r="X573" s="99"/>
      <c r="Y573" s="99"/>
      <c r="Z573" s="99"/>
      <c r="AA573" s="99"/>
      <c r="AB573" s="99"/>
      <c r="AC573" s="99"/>
    </row>
    <row r="574">
      <c r="A574" s="157"/>
      <c r="B574" s="99"/>
      <c r="C574" s="99"/>
      <c r="D574" s="99"/>
      <c r="E574" s="99"/>
      <c r="F574" s="170"/>
      <c r="G574" s="99"/>
      <c r="H574" s="99"/>
      <c r="I574" s="99"/>
      <c r="J574" s="171"/>
      <c r="K574" s="99"/>
      <c r="L574" s="99"/>
      <c r="M574" s="99"/>
      <c r="N574" s="99"/>
      <c r="O574" s="99"/>
      <c r="P574" s="99"/>
      <c r="Q574" s="99"/>
      <c r="R574" s="99"/>
      <c r="S574" s="99"/>
      <c r="T574" s="99"/>
      <c r="U574" s="99"/>
      <c r="V574" s="99"/>
      <c r="W574" s="99"/>
      <c r="X574" s="99"/>
      <c r="Y574" s="99"/>
      <c r="Z574" s="99"/>
      <c r="AA574" s="99"/>
      <c r="AB574" s="99"/>
      <c r="AC574" s="99"/>
    </row>
    <row r="575">
      <c r="A575" s="157"/>
      <c r="B575" s="99"/>
      <c r="C575" s="99"/>
      <c r="D575" s="99"/>
      <c r="E575" s="99"/>
      <c r="F575" s="170"/>
      <c r="G575" s="99"/>
      <c r="H575" s="99"/>
      <c r="I575" s="99"/>
      <c r="J575" s="171"/>
      <c r="K575" s="99"/>
      <c r="L575" s="99"/>
      <c r="M575" s="99"/>
      <c r="N575" s="99"/>
      <c r="O575" s="99"/>
      <c r="P575" s="99"/>
      <c r="Q575" s="99"/>
      <c r="R575" s="99"/>
      <c r="S575" s="99"/>
      <c r="T575" s="99"/>
      <c r="U575" s="99"/>
      <c r="V575" s="99"/>
      <c r="W575" s="99"/>
      <c r="X575" s="99"/>
      <c r="Y575" s="99"/>
      <c r="Z575" s="99"/>
      <c r="AA575" s="99"/>
      <c r="AB575" s="99"/>
      <c r="AC575" s="99"/>
    </row>
    <row r="576">
      <c r="A576" s="157"/>
      <c r="B576" s="99"/>
      <c r="C576" s="99"/>
      <c r="D576" s="99"/>
      <c r="E576" s="99"/>
      <c r="F576" s="170"/>
      <c r="G576" s="99"/>
      <c r="H576" s="99"/>
      <c r="I576" s="99"/>
      <c r="J576" s="171"/>
      <c r="K576" s="99"/>
      <c r="L576" s="99"/>
      <c r="M576" s="99"/>
      <c r="N576" s="99"/>
      <c r="O576" s="99"/>
      <c r="P576" s="99"/>
      <c r="Q576" s="99"/>
      <c r="R576" s="99"/>
      <c r="S576" s="99"/>
      <c r="T576" s="99"/>
      <c r="U576" s="99"/>
      <c r="V576" s="99"/>
      <c r="W576" s="99"/>
      <c r="X576" s="99"/>
      <c r="Y576" s="99"/>
      <c r="Z576" s="99"/>
      <c r="AA576" s="99"/>
      <c r="AB576" s="99"/>
      <c r="AC576" s="99"/>
    </row>
    <row r="577">
      <c r="A577" s="157"/>
      <c r="B577" s="99"/>
      <c r="C577" s="99"/>
      <c r="D577" s="99"/>
      <c r="E577" s="99"/>
      <c r="F577" s="170"/>
      <c r="G577" s="99"/>
      <c r="H577" s="99"/>
      <c r="I577" s="99"/>
      <c r="J577" s="171"/>
      <c r="K577" s="99"/>
      <c r="L577" s="99"/>
      <c r="M577" s="99"/>
      <c r="N577" s="99"/>
      <c r="O577" s="99"/>
      <c r="P577" s="99"/>
      <c r="Q577" s="99"/>
      <c r="R577" s="99"/>
      <c r="S577" s="99"/>
      <c r="T577" s="99"/>
      <c r="U577" s="99"/>
      <c r="V577" s="99"/>
      <c r="W577" s="99"/>
      <c r="X577" s="99"/>
      <c r="Y577" s="99"/>
      <c r="Z577" s="99"/>
      <c r="AA577" s="99"/>
      <c r="AB577" s="99"/>
      <c r="AC577" s="99"/>
    </row>
    <row r="578">
      <c r="A578" s="157"/>
      <c r="B578" s="99"/>
      <c r="C578" s="99"/>
      <c r="D578" s="99"/>
      <c r="E578" s="99"/>
      <c r="F578" s="170"/>
      <c r="G578" s="99"/>
      <c r="H578" s="99"/>
      <c r="I578" s="99"/>
      <c r="J578" s="171"/>
      <c r="K578" s="99"/>
      <c r="L578" s="99"/>
      <c r="M578" s="99"/>
      <c r="N578" s="99"/>
      <c r="O578" s="99"/>
      <c r="P578" s="99"/>
      <c r="Q578" s="99"/>
      <c r="R578" s="99"/>
      <c r="S578" s="99"/>
      <c r="T578" s="99"/>
      <c r="U578" s="99"/>
      <c r="V578" s="99"/>
      <c r="W578" s="99"/>
      <c r="X578" s="99"/>
      <c r="Y578" s="99"/>
      <c r="Z578" s="99"/>
      <c r="AA578" s="99"/>
      <c r="AB578" s="99"/>
      <c r="AC578" s="99"/>
    </row>
    <row r="579">
      <c r="A579" s="157"/>
      <c r="B579" s="99"/>
      <c r="C579" s="99"/>
      <c r="D579" s="99"/>
      <c r="E579" s="99"/>
      <c r="F579" s="170"/>
      <c r="G579" s="99"/>
      <c r="H579" s="99"/>
      <c r="I579" s="99"/>
      <c r="J579" s="171"/>
      <c r="K579" s="99"/>
      <c r="L579" s="99"/>
      <c r="M579" s="99"/>
      <c r="N579" s="99"/>
      <c r="O579" s="99"/>
      <c r="P579" s="99"/>
      <c r="Q579" s="99"/>
      <c r="R579" s="99"/>
      <c r="S579" s="99"/>
      <c r="T579" s="99"/>
      <c r="U579" s="99"/>
      <c r="V579" s="99"/>
      <c r="W579" s="99"/>
      <c r="X579" s="99"/>
      <c r="Y579" s="99"/>
      <c r="Z579" s="99"/>
      <c r="AA579" s="99"/>
      <c r="AB579" s="99"/>
      <c r="AC579" s="99"/>
    </row>
    <row r="580">
      <c r="A580" s="157"/>
      <c r="B580" s="99"/>
      <c r="C580" s="99"/>
      <c r="D580" s="99"/>
      <c r="E580" s="99"/>
      <c r="F580" s="170"/>
      <c r="G580" s="99"/>
      <c r="H580" s="99"/>
      <c r="I580" s="99"/>
      <c r="J580" s="171"/>
      <c r="K580" s="99"/>
      <c r="L580" s="99"/>
      <c r="M580" s="99"/>
      <c r="N580" s="99"/>
      <c r="O580" s="99"/>
      <c r="P580" s="99"/>
      <c r="Q580" s="99"/>
      <c r="R580" s="99"/>
      <c r="S580" s="99"/>
      <c r="T580" s="99"/>
      <c r="U580" s="99"/>
      <c r="V580" s="99"/>
      <c r="W580" s="99"/>
      <c r="X580" s="99"/>
      <c r="Y580" s="99"/>
      <c r="Z580" s="99"/>
      <c r="AA580" s="99"/>
      <c r="AB580" s="99"/>
      <c r="AC580" s="99"/>
    </row>
    <row r="581">
      <c r="A581" s="157"/>
      <c r="B581" s="99"/>
      <c r="C581" s="99"/>
      <c r="D581" s="99"/>
      <c r="E581" s="99"/>
      <c r="F581" s="170"/>
      <c r="G581" s="99"/>
      <c r="H581" s="99"/>
      <c r="I581" s="99"/>
      <c r="J581" s="171"/>
      <c r="K581" s="99"/>
      <c r="L581" s="99"/>
      <c r="M581" s="99"/>
      <c r="N581" s="99"/>
      <c r="O581" s="99"/>
      <c r="P581" s="99"/>
      <c r="Q581" s="99"/>
      <c r="R581" s="99"/>
      <c r="S581" s="99"/>
      <c r="T581" s="99"/>
      <c r="U581" s="99"/>
      <c r="V581" s="99"/>
      <c r="W581" s="99"/>
      <c r="X581" s="99"/>
      <c r="Y581" s="99"/>
      <c r="Z581" s="99"/>
      <c r="AA581" s="99"/>
      <c r="AB581" s="99"/>
      <c r="AC581" s="99"/>
    </row>
    <row r="582">
      <c r="A582" s="157"/>
      <c r="B582" s="99"/>
      <c r="C582" s="99"/>
      <c r="D582" s="99"/>
      <c r="E582" s="99"/>
      <c r="F582" s="170"/>
      <c r="G582" s="99"/>
      <c r="H582" s="99"/>
      <c r="I582" s="99"/>
      <c r="J582" s="171"/>
      <c r="K582" s="99"/>
      <c r="L582" s="99"/>
      <c r="M582" s="99"/>
      <c r="N582" s="99"/>
      <c r="O582" s="99"/>
      <c r="P582" s="99"/>
      <c r="Q582" s="99"/>
      <c r="R582" s="99"/>
      <c r="S582" s="99"/>
      <c r="T582" s="99"/>
      <c r="U582" s="99"/>
      <c r="V582" s="99"/>
      <c r="W582" s="99"/>
      <c r="X582" s="99"/>
      <c r="Y582" s="99"/>
      <c r="Z582" s="99"/>
      <c r="AA582" s="99"/>
      <c r="AB582" s="99"/>
      <c r="AC582" s="99"/>
    </row>
    <row r="583">
      <c r="A583" s="157"/>
      <c r="B583" s="99"/>
      <c r="C583" s="99"/>
      <c r="D583" s="99"/>
      <c r="E583" s="99"/>
      <c r="F583" s="170"/>
      <c r="G583" s="99"/>
      <c r="H583" s="99"/>
      <c r="I583" s="99"/>
      <c r="J583" s="171"/>
      <c r="K583" s="99"/>
      <c r="L583" s="99"/>
      <c r="M583" s="99"/>
      <c r="N583" s="99"/>
      <c r="O583" s="99"/>
      <c r="P583" s="99"/>
      <c r="Q583" s="99"/>
      <c r="R583" s="99"/>
      <c r="S583" s="99"/>
      <c r="T583" s="99"/>
      <c r="U583" s="99"/>
      <c r="V583" s="99"/>
      <c r="W583" s="99"/>
      <c r="X583" s="99"/>
      <c r="Y583" s="99"/>
      <c r="Z583" s="99"/>
      <c r="AA583" s="99"/>
      <c r="AB583" s="99"/>
      <c r="AC583" s="99"/>
    </row>
    <row r="584">
      <c r="A584" s="157"/>
      <c r="B584" s="99"/>
      <c r="C584" s="99"/>
      <c r="D584" s="99"/>
      <c r="E584" s="99"/>
      <c r="F584" s="170"/>
      <c r="G584" s="99"/>
      <c r="H584" s="99"/>
      <c r="I584" s="99"/>
      <c r="J584" s="171"/>
      <c r="K584" s="99"/>
      <c r="L584" s="99"/>
      <c r="M584" s="99"/>
      <c r="N584" s="99"/>
      <c r="O584" s="99"/>
      <c r="P584" s="99"/>
      <c r="Q584" s="99"/>
      <c r="R584" s="99"/>
      <c r="S584" s="99"/>
      <c r="T584" s="99"/>
      <c r="U584" s="99"/>
      <c r="V584" s="99"/>
      <c r="W584" s="99"/>
      <c r="X584" s="99"/>
      <c r="Y584" s="99"/>
      <c r="Z584" s="99"/>
      <c r="AA584" s="99"/>
      <c r="AB584" s="99"/>
      <c r="AC584" s="99"/>
    </row>
    <row r="585">
      <c r="A585" s="157"/>
      <c r="B585" s="99"/>
      <c r="C585" s="99"/>
      <c r="D585" s="99"/>
      <c r="E585" s="99"/>
      <c r="F585" s="170"/>
      <c r="G585" s="99"/>
      <c r="H585" s="99"/>
      <c r="I585" s="99"/>
      <c r="J585" s="171"/>
      <c r="K585" s="99"/>
      <c r="L585" s="99"/>
      <c r="M585" s="99"/>
      <c r="N585" s="99"/>
      <c r="O585" s="99"/>
      <c r="P585" s="99"/>
      <c r="Q585" s="99"/>
      <c r="R585" s="99"/>
      <c r="S585" s="99"/>
      <c r="T585" s="99"/>
      <c r="U585" s="99"/>
      <c r="V585" s="99"/>
      <c r="W585" s="99"/>
      <c r="X585" s="99"/>
      <c r="Y585" s="99"/>
      <c r="Z585" s="99"/>
      <c r="AA585" s="99"/>
      <c r="AB585" s="99"/>
      <c r="AC585" s="99"/>
    </row>
    <row r="586">
      <c r="A586" s="157"/>
      <c r="B586" s="99"/>
      <c r="C586" s="99"/>
      <c r="D586" s="99"/>
      <c r="E586" s="99"/>
      <c r="F586" s="170"/>
      <c r="G586" s="99"/>
      <c r="H586" s="99"/>
      <c r="I586" s="99"/>
      <c r="J586" s="171"/>
      <c r="K586" s="99"/>
      <c r="L586" s="99"/>
      <c r="M586" s="99"/>
      <c r="N586" s="99"/>
      <c r="O586" s="99"/>
      <c r="P586" s="99"/>
      <c r="Q586" s="99"/>
      <c r="R586" s="99"/>
      <c r="S586" s="99"/>
      <c r="T586" s="99"/>
      <c r="U586" s="99"/>
      <c r="V586" s="99"/>
      <c r="W586" s="99"/>
      <c r="X586" s="99"/>
      <c r="Y586" s="99"/>
      <c r="Z586" s="99"/>
      <c r="AA586" s="99"/>
      <c r="AB586" s="99"/>
      <c r="AC586" s="99"/>
    </row>
    <row r="587">
      <c r="A587" s="157"/>
      <c r="B587" s="99"/>
      <c r="C587" s="99"/>
      <c r="D587" s="99"/>
      <c r="E587" s="99"/>
      <c r="F587" s="170"/>
      <c r="G587" s="99"/>
      <c r="H587" s="99"/>
      <c r="I587" s="99"/>
      <c r="J587" s="171"/>
      <c r="K587" s="99"/>
      <c r="L587" s="99"/>
      <c r="M587" s="99"/>
      <c r="N587" s="99"/>
      <c r="O587" s="99"/>
      <c r="P587" s="99"/>
      <c r="Q587" s="99"/>
      <c r="R587" s="99"/>
      <c r="S587" s="99"/>
      <c r="T587" s="99"/>
      <c r="U587" s="99"/>
      <c r="V587" s="99"/>
      <c r="W587" s="99"/>
      <c r="X587" s="99"/>
      <c r="Y587" s="99"/>
      <c r="Z587" s="99"/>
      <c r="AA587" s="99"/>
      <c r="AB587" s="99"/>
      <c r="AC587" s="99"/>
    </row>
    <row r="588">
      <c r="A588" s="157"/>
      <c r="B588" s="99"/>
      <c r="C588" s="99"/>
      <c r="D588" s="99"/>
      <c r="E588" s="99"/>
      <c r="F588" s="170"/>
      <c r="G588" s="99"/>
      <c r="H588" s="99"/>
      <c r="I588" s="99"/>
      <c r="J588" s="171"/>
      <c r="K588" s="99"/>
      <c r="L588" s="99"/>
      <c r="M588" s="99"/>
      <c r="N588" s="99"/>
      <c r="O588" s="99"/>
      <c r="P588" s="99"/>
      <c r="Q588" s="99"/>
      <c r="R588" s="99"/>
      <c r="S588" s="99"/>
      <c r="T588" s="99"/>
      <c r="U588" s="99"/>
      <c r="V588" s="99"/>
      <c r="W588" s="99"/>
      <c r="X588" s="99"/>
      <c r="Y588" s="99"/>
      <c r="Z588" s="99"/>
      <c r="AA588" s="99"/>
      <c r="AB588" s="99"/>
      <c r="AC588" s="99"/>
    </row>
    <row r="589">
      <c r="A589" s="157"/>
      <c r="B589" s="99"/>
      <c r="C589" s="99"/>
      <c r="D589" s="99"/>
      <c r="E589" s="99"/>
      <c r="F589" s="170"/>
      <c r="G589" s="99"/>
      <c r="H589" s="99"/>
      <c r="I589" s="99"/>
      <c r="J589" s="171"/>
      <c r="K589" s="99"/>
      <c r="L589" s="99"/>
      <c r="M589" s="99"/>
      <c r="N589" s="99"/>
      <c r="O589" s="99"/>
      <c r="P589" s="99"/>
      <c r="Q589" s="99"/>
      <c r="R589" s="99"/>
      <c r="S589" s="99"/>
      <c r="T589" s="99"/>
      <c r="U589" s="99"/>
      <c r="V589" s="99"/>
      <c r="W589" s="99"/>
      <c r="X589" s="99"/>
      <c r="Y589" s="99"/>
      <c r="Z589" s="99"/>
      <c r="AA589" s="99"/>
      <c r="AB589" s="99"/>
      <c r="AC589" s="99"/>
    </row>
    <row r="590">
      <c r="A590" s="157"/>
      <c r="B590" s="99"/>
      <c r="C590" s="99"/>
      <c r="D590" s="99"/>
      <c r="E590" s="99"/>
      <c r="F590" s="170"/>
      <c r="G590" s="99"/>
      <c r="H590" s="99"/>
      <c r="I590" s="99"/>
      <c r="J590" s="171"/>
      <c r="K590" s="99"/>
      <c r="L590" s="99"/>
      <c r="M590" s="99"/>
      <c r="N590" s="99"/>
      <c r="O590" s="99"/>
      <c r="P590" s="99"/>
      <c r="Q590" s="99"/>
      <c r="R590" s="99"/>
      <c r="S590" s="99"/>
      <c r="T590" s="99"/>
      <c r="U590" s="99"/>
      <c r="V590" s="99"/>
      <c r="W590" s="99"/>
      <c r="X590" s="99"/>
      <c r="Y590" s="99"/>
      <c r="Z590" s="99"/>
      <c r="AA590" s="99"/>
      <c r="AB590" s="99"/>
      <c r="AC590" s="99"/>
    </row>
    <row r="591">
      <c r="A591" s="157"/>
      <c r="B591" s="99"/>
      <c r="C591" s="99"/>
      <c r="D591" s="99"/>
      <c r="E591" s="99"/>
      <c r="F591" s="170"/>
      <c r="G591" s="99"/>
      <c r="H591" s="99"/>
      <c r="I591" s="99"/>
      <c r="J591" s="171"/>
      <c r="K591" s="99"/>
      <c r="L591" s="99"/>
      <c r="M591" s="99"/>
      <c r="N591" s="99"/>
      <c r="O591" s="99"/>
      <c r="P591" s="99"/>
      <c r="Q591" s="99"/>
      <c r="R591" s="99"/>
      <c r="S591" s="99"/>
      <c r="T591" s="99"/>
      <c r="U591" s="99"/>
      <c r="V591" s="99"/>
      <c r="W591" s="99"/>
      <c r="X591" s="99"/>
      <c r="Y591" s="99"/>
      <c r="Z591" s="99"/>
      <c r="AA591" s="99"/>
      <c r="AB591" s="99"/>
      <c r="AC591" s="99"/>
    </row>
    <row r="592">
      <c r="A592" s="157"/>
      <c r="B592" s="99"/>
      <c r="C592" s="99"/>
      <c r="D592" s="99"/>
      <c r="E592" s="99"/>
      <c r="F592" s="170"/>
      <c r="G592" s="99"/>
      <c r="H592" s="99"/>
      <c r="I592" s="99"/>
      <c r="J592" s="171"/>
      <c r="K592" s="99"/>
      <c r="L592" s="99"/>
      <c r="M592" s="99"/>
      <c r="N592" s="99"/>
      <c r="O592" s="99"/>
      <c r="P592" s="99"/>
      <c r="Q592" s="99"/>
      <c r="R592" s="99"/>
      <c r="S592" s="99"/>
      <c r="T592" s="99"/>
      <c r="U592" s="99"/>
      <c r="V592" s="99"/>
      <c r="W592" s="99"/>
      <c r="X592" s="99"/>
      <c r="Y592" s="99"/>
      <c r="Z592" s="99"/>
      <c r="AA592" s="99"/>
      <c r="AB592" s="99"/>
      <c r="AC592" s="99"/>
    </row>
    <row r="593">
      <c r="A593" s="157"/>
      <c r="B593" s="99"/>
      <c r="C593" s="99"/>
      <c r="D593" s="99"/>
      <c r="E593" s="99"/>
      <c r="F593" s="170"/>
      <c r="G593" s="99"/>
      <c r="H593" s="99"/>
      <c r="I593" s="99"/>
      <c r="J593" s="171"/>
      <c r="K593" s="99"/>
      <c r="L593" s="99"/>
      <c r="M593" s="99"/>
      <c r="N593" s="99"/>
      <c r="O593" s="99"/>
      <c r="P593" s="99"/>
      <c r="Q593" s="99"/>
      <c r="R593" s="99"/>
      <c r="S593" s="99"/>
      <c r="T593" s="99"/>
      <c r="U593" s="99"/>
      <c r="V593" s="99"/>
      <c r="W593" s="99"/>
      <c r="X593" s="99"/>
      <c r="Y593" s="99"/>
      <c r="Z593" s="99"/>
      <c r="AA593" s="99"/>
      <c r="AB593" s="99"/>
      <c r="AC593" s="99"/>
    </row>
    <row r="594">
      <c r="A594" s="157"/>
      <c r="B594" s="99"/>
      <c r="C594" s="99"/>
      <c r="D594" s="99"/>
      <c r="E594" s="99"/>
      <c r="F594" s="170"/>
      <c r="G594" s="99"/>
      <c r="H594" s="99"/>
      <c r="I594" s="99"/>
      <c r="J594" s="171"/>
      <c r="K594" s="99"/>
      <c r="L594" s="99"/>
      <c r="M594" s="99"/>
      <c r="N594" s="99"/>
      <c r="O594" s="99"/>
      <c r="P594" s="99"/>
      <c r="Q594" s="99"/>
      <c r="R594" s="99"/>
      <c r="S594" s="99"/>
      <c r="T594" s="99"/>
      <c r="U594" s="99"/>
      <c r="V594" s="99"/>
      <c r="W594" s="99"/>
      <c r="X594" s="99"/>
      <c r="Y594" s="99"/>
      <c r="Z594" s="99"/>
      <c r="AA594" s="99"/>
      <c r="AB594" s="99"/>
      <c r="AC594" s="99"/>
    </row>
    <row r="595">
      <c r="A595" s="157"/>
      <c r="B595" s="99"/>
      <c r="C595" s="99"/>
      <c r="D595" s="99"/>
      <c r="E595" s="99"/>
      <c r="F595" s="170"/>
      <c r="G595" s="99"/>
      <c r="H595" s="99"/>
      <c r="I595" s="99"/>
      <c r="J595" s="171"/>
      <c r="K595" s="99"/>
      <c r="L595" s="99"/>
      <c r="M595" s="99"/>
      <c r="N595" s="99"/>
      <c r="O595" s="99"/>
      <c r="P595" s="99"/>
      <c r="Q595" s="99"/>
      <c r="R595" s="99"/>
      <c r="S595" s="99"/>
      <c r="T595" s="99"/>
      <c r="U595" s="99"/>
      <c r="V595" s="99"/>
      <c r="W595" s="99"/>
      <c r="X595" s="99"/>
      <c r="Y595" s="99"/>
      <c r="Z595" s="99"/>
      <c r="AA595" s="99"/>
      <c r="AB595" s="99"/>
      <c r="AC595" s="99"/>
    </row>
    <row r="596">
      <c r="A596" s="157"/>
      <c r="B596" s="99"/>
      <c r="C596" s="99"/>
      <c r="D596" s="99"/>
      <c r="E596" s="99"/>
      <c r="F596" s="170"/>
      <c r="G596" s="99"/>
      <c r="H596" s="99"/>
      <c r="I596" s="99"/>
      <c r="J596" s="171"/>
      <c r="K596" s="99"/>
      <c r="L596" s="99"/>
      <c r="M596" s="99"/>
      <c r="N596" s="99"/>
      <c r="O596" s="99"/>
      <c r="P596" s="99"/>
      <c r="Q596" s="99"/>
      <c r="R596" s="99"/>
      <c r="S596" s="99"/>
      <c r="T596" s="99"/>
      <c r="U596" s="99"/>
      <c r="V596" s="99"/>
      <c r="W596" s="99"/>
      <c r="X596" s="99"/>
      <c r="Y596" s="99"/>
      <c r="Z596" s="99"/>
      <c r="AA596" s="99"/>
      <c r="AB596" s="99"/>
      <c r="AC596" s="99"/>
    </row>
    <row r="597">
      <c r="A597" s="157"/>
      <c r="B597" s="99"/>
      <c r="C597" s="99"/>
      <c r="D597" s="99"/>
      <c r="E597" s="99"/>
      <c r="F597" s="170"/>
      <c r="G597" s="99"/>
      <c r="H597" s="99"/>
      <c r="I597" s="99"/>
      <c r="J597" s="171"/>
      <c r="K597" s="99"/>
      <c r="L597" s="99"/>
      <c r="M597" s="99"/>
      <c r="N597" s="99"/>
      <c r="O597" s="99"/>
      <c r="P597" s="99"/>
      <c r="Q597" s="99"/>
      <c r="R597" s="99"/>
      <c r="S597" s="99"/>
      <c r="T597" s="99"/>
      <c r="U597" s="99"/>
      <c r="V597" s="99"/>
      <c r="W597" s="99"/>
      <c r="X597" s="99"/>
      <c r="Y597" s="99"/>
      <c r="Z597" s="99"/>
      <c r="AA597" s="99"/>
      <c r="AB597" s="99"/>
      <c r="AC597" s="99"/>
    </row>
    <row r="598">
      <c r="A598" s="157"/>
      <c r="B598" s="99"/>
      <c r="C598" s="99"/>
      <c r="D598" s="99"/>
      <c r="E598" s="99"/>
      <c r="F598" s="170"/>
      <c r="G598" s="99"/>
      <c r="H598" s="99"/>
      <c r="I598" s="99"/>
      <c r="J598" s="171"/>
      <c r="K598" s="99"/>
      <c r="L598" s="99"/>
      <c r="M598" s="99"/>
      <c r="N598" s="99"/>
      <c r="O598" s="99"/>
      <c r="P598" s="99"/>
      <c r="Q598" s="99"/>
      <c r="R598" s="99"/>
      <c r="S598" s="99"/>
      <c r="T598" s="99"/>
      <c r="U598" s="99"/>
      <c r="V598" s="99"/>
      <c r="W598" s="99"/>
      <c r="X598" s="99"/>
      <c r="Y598" s="99"/>
      <c r="Z598" s="99"/>
      <c r="AA598" s="99"/>
      <c r="AB598" s="99"/>
      <c r="AC598" s="99"/>
    </row>
    <row r="599">
      <c r="A599" s="157"/>
      <c r="B599" s="99"/>
      <c r="C599" s="99"/>
      <c r="D599" s="99"/>
      <c r="E599" s="99"/>
      <c r="F599" s="170"/>
      <c r="G599" s="99"/>
      <c r="H599" s="99"/>
      <c r="I599" s="99"/>
      <c r="J599" s="171"/>
      <c r="K599" s="99"/>
      <c r="L599" s="99"/>
      <c r="M599" s="99"/>
      <c r="N599" s="99"/>
      <c r="O599" s="99"/>
      <c r="P599" s="99"/>
      <c r="Q599" s="99"/>
      <c r="R599" s="99"/>
      <c r="S599" s="99"/>
      <c r="T599" s="99"/>
      <c r="U599" s="99"/>
      <c r="V599" s="99"/>
      <c r="W599" s="99"/>
      <c r="X599" s="99"/>
      <c r="Y599" s="99"/>
      <c r="Z599" s="99"/>
      <c r="AA599" s="99"/>
      <c r="AB599" s="99"/>
      <c r="AC599" s="99"/>
    </row>
    <row r="600">
      <c r="A600" s="157"/>
      <c r="B600" s="99"/>
      <c r="C600" s="99"/>
      <c r="D600" s="99"/>
      <c r="E600" s="99"/>
      <c r="F600" s="170"/>
      <c r="G600" s="99"/>
      <c r="H600" s="99"/>
      <c r="I600" s="99"/>
      <c r="J600" s="171"/>
      <c r="K600" s="99"/>
      <c r="L600" s="99"/>
      <c r="M600" s="99"/>
      <c r="N600" s="99"/>
      <c r="O600" s="99"/>
      <c r="P600" s="99"/>
      <c r="Q600" s="99"/>
      <c r="R600" s="99"/>
      <c r="S600" s="99"/>
      <c r="T600" s="99"/>
      <c r="U600" s="99"/>
      <c r="V600" s="99"/>
      <c r="W600" s="99"/>
      <c r="X600" s="99"/>
      <c r="Y600" s="99"/>
      <c r="Z600" s="99"/>
      <c r="AA600" s="99"/>
      <c r="AB600" s="99"/>
      <c r="AC600" s="99"/>
    </row>
    <row r="601">
      <c r="A601" s="157"/>
      <c r="B601" s="99"/>
      <c r="C601" s="99"/>
      <c r="D601" s="99"/>
      <c r="E601" s="99"/>
      <c r="F601" s="170"/>
      <c r="G601" s="99"/>
      <c r="H601" s="99"/>
      <c r="I601" s="99"/>
      <c r="J601" s="171"/>
      <c r="K601" s="99"/>
      <c r="L601" s="99"/>
      <c r="M601" s="99"/>
      <c r="N601" s="99"/>
      <c r="O601" s="99"/>
      <c r="P601" s="99"/>
      <c r="Q601" s="99"/>
      <c r="R601" s="99"/>
      <c r="S601" s="99"/>
      <c r="T601" s="99"/>
      <c r="U601" s="99"/>
      <c r="V601" s="99"/>
      <c r="W601" s="99"/>
      <c r="X601" s="99"/>
      <c r="Y601" s="99"/>
      <c r="Z601" s="99"/>
      <c r="AA601" s="99"/>
      <c r="AB601" s="99"/>
      <c r="AC601" s="99"/>
    </row>
    <row r="602">
      <c r="A602" s="157"/>
      <c r="B602" s="99"/>
      <c r="C602" s="99"/>
      <c r="D602" s="99"/>
      <c r="E602" s="99"/>
      <c r="F602" s="170"/>
      <c r="G602" s="99"/>
      <c r="H602" s="99"/>
      <c r="I602" s="99"/>
      <c r="J602" s="171"/>
      <c r="K602" s="99"/>
      <c r="L602" s="99"/>
      <c r="M602" s="99"/>
      <c r="N602" s="99"/>
      <c r="O602" s="99"/>
      <c r="P602" s="99"/>
      <c r="Q602" s="99"/>
      <c r="R602" s="99"/>
      <c r="S602" s="99"/>
      <c r="T602" s="99"/>
      <c r="U602" s="99"/>
      <c r="V602" s="99"/>
      <c r="W602" s="99"/>
      <c r="X602" s="99"/>
      <c r="Y602" s="99"/>
      <c r="Z602" s="99"/>
      <c r="AA602" s="99"/>
      <c r="AB602" s="99"/>
      <c r="AC602" s="99"/>
    </row>
    <row r="603">
      <c r="A603" s="157"/>
      <c r="B603" s="99"/>
      <c r="C603" s="99"/>
      <c r="D603" s="99"/>
      <c r="E603" s="99"/>
      <c r="F603" s="170"/>
      <c r="G603" s="99"/>
      <c r="H603" s="99"/>
      <c r="I603" s="99"/>
      <c r="J603" s="171"/>
      <c r="K603" s="99"/>
      <c r="L603" s="99"/>
      <c r="M603" s="99"/>
      <c r="N603" s="99"/>
      <c r="O603" s="99"/>
      <c r="P603" s="99"/>
      <c r="Q603" s="99"/>
      <c r="R603" s="99"/>
      <c r="S603" s="99"/>
      <c r="T603" s="99"/>
      <c r="U603" s="99"/>
      <c r="V603" s="99"/>
      <c r="W603" s="99"/>
      <c r="X603" s="99"/>
      <c r="Y603" s="99"/>
      <c r="Z603" s="99"/>
      <c r="AA603" s="99"/>
      <c r="AB603" s="99"/>
      <c r="AC603" s="99"/>
    </row>
    <row r="604">
      <c r="A604" s="157"/>
      <c r="B604" s="99"/>
      <c r="C604" s="99"/>
      <c r="D604" s="99"/>
      <c r="E604" s="99"/>
      <c r="F604" s="170"/>
      <c r="G604" s="99"/>
      <c r="H604" s="99"/>
      <c r="I604" s="99"/>
      <c r="J604" s="171"/>
      <c r="K604" s="99"/>
      <c r="L604" s="99"/>
      <c r="M604" s="99"/>
      <c r="N604" s="99"/>
      <c r="O604" s="99"/>
      <c r="P604" s="99"/>
      <c r="Q604" s="99"/>
      <c r="R604" s="99"/>
      <c r="S604" s="99"/>
      <c r="T604" s="99"/>
      <c r="U604" s="99"/>
      <c r="V604" s="99"/>
      <c r="W604" s="99"/>
      <c r="X604" s="99"/>
      <c r="Y604" s="99"/>
      <c r="Z604" s="99"/>
      <c r="AA604" s="99"/>
      <c r="AB604" s="99"/>
      <c r="AC604" s="99"/>
    </row>
    <row r="605">
      <c r="A605" s="157"/>
      <c r="B605" s="99"/>
      <c r="C605" s="99"/>
      <c r="D605" s="99"/>
      <c r="E605" s="99"/>
      <c r="F605" s="170"/>
      <c r="G605" s="99"/>
      <c r="H605" s="99"/>
      <c r="I605" s="99"/>
      <c r="J605" s="171"/>
      <c r="K605" s="99"/>
      <c r="L605" s="99"/>
      <c r="M605" s="99"/>
      <c r="N605" s="99"/>
      <c r="O605" s="99"/>
      <c r="P605" s="99"/>
      <c r="Q605" s="99"/>
      <c r="R605" s="99"/>
      <c r="S605" s="99"/>
      <c r="T605" s="99"/>
      <c r="U605" s="99"/>
      <c r="V605" s="99"/>
      <c r="W605" s="99"/>
      <c r="X605" s="99"/>
      <c r="Y605" s="99"/>
      <c r="Z605" s="99"/>
      <c r="AA605" s="99"/>
      <c r="AB605" s="99"/>
      <c r="AC605" s="99"/>
    </row>
    <row r="606">
      <c r="A606" s="157"/>
      <c r="B606" s="99"/>
      <c r="C606" s="99"/>
      <c r="D606" s="99"/>
      <c r="E606" s="99"/>
      <c r="F606" s="170"/>
      <c r="G606" s="99"/>
      <c r="H606" s="99"/>
      <c r="I606" s="99"/>
      <c r="J606" s="171"/>
      <c r="K606" s="99"/>
      <c r="L606" s="99"/>
      <c r="M606" s="99"/>
      <c r="N606" s="99"/>
      <c r="O606" s="99"/>
      <c r="P606" s="99"/>
      <c r="Q606" s="99"/>
      <c r="R606" s="99"/>
      <c r="S606" s="99"/>
      <c r="T606" s="99"/>
      <c r="U606" s="99"/>
      <c r="V606" s="99"/>
      <c r="W606" s="99"/>
      <c r="X606" s="99"/>
      <c r="Y606" s="99"/>
      <c r="Z606" s="99"/>
      <c r="AA606" s="99"/>
      <c r="AB606" s="99"/>
      <c r="AC606" s="99"/>
    </row>
    <row r="607">
      <c r="A607" s="157"/>
      <c r="B607" s="99"/>
      <c r="C607" s="99"/>
      <c r="D607" s="99"/>
      <c r="E607" s="99"/>
      <c r="F607" s="170"/>
      <c r="G607" s="99"/>
      <c r="H607" s="99"/>
      <c r="I607" s="99"/>
      <c r="J607" s="171"/>
      <c r="K607" s="99"/>
      <c r="L607" s="99"/>
      <c r="M607" s="99"/>
      <c r="N607" s="99"/>
      <c r="O607" s="99"/>
      <c r="P607" s="99"/>
      <c r="Q607" s="99"/>
      <c r="R607" s="99"/>
      <c r="S607" s="99"/>
      <c r="T607" s="99"/>
      <c r="U607" s="99"/>
      <c r="V607" s="99"/>
      <c r="W607" s="99"/>
      <c r="X607" s="99"/>
      <c r="Y607" s="99"/>
      <c r="Z607" s="99"/>
      <c r="AA607" s="99"/>
      <c r="AB607" s="99"/>
      <c r="AC607" s="99"/>
    </row>
    <row r="608">
      <c r="A608" s="157"/>
      <c r="B608" s="99"/>
      <c r="C608" s="99"/>
      <c r="D608" s="99"/>
      <c r="E608" s="99"/>
      <c r="F608" s="170"/>
      <c r="G608" s="99"/>
      <c r="H608" s="99"/>
      <c r="I608" s="99"/>
      <c r="J608" s="171"/>
      <c r="K608" s="99"/>
      <c r="L608" s="99"/>
      <c r="M608" s="99"/>
      <c r="N608" s="99"/>
      <c r="O608" s="99"/>
      <c r="P608" s="99"/>
      <c r="Q608" s="99"/>
      <c r="R608" s="99"/>
      <c r="S608" s="99"/>
      <c r="T608" s="99"/>
      <c r="U608" s="99"/>
      <c r="V608" s="99"/>
      <c r="W608" s="99"/>
      <c r="X608" s="99"/>
      <c r="Y608" s="99"/>
      <c r="Z608" s="99"/>
      <c r="AA608" s="99"/>
      <c r="AB608" s="99"/>
      <c r="AC608" s="99"/>
    </row>
    <row r="609">
      <c r="A609" s="157"/>
      <c r="B609" s="99"/>
      <c r="C609" s="99"/>
      <c r="D609" s="99"/>
      <c r="E609" s="99"/>
      <c r="F609" s="170"/>
      <c r="G609" s="99"/>
      <c r="H609" s="99"/>
      <c r="I609" s="99"/>
      <c r="J609" s="171"/>
      <c r="K609" s="99"/>
      <c r="L609" s="99"/>
      <c r="M609" s="99"/>
      <c r="N609" s="99"/>
      <c r="O609" s="99"/>
      <c r="P609" s="99"/>
      <c r="Q609" s="99"/>
      <c r="R609" s="99"/>
      <c r="S609" s="99"/>
      <c r="T609" s="99"/>
      <c r="U609" s="99"/>
      <c r="V609" s="99"/>
      <c r="W609" s="99"/>
      <c r="X609" s="99"/>
      <c r="Y609" s="99"/>
      <c r="Z609" s="99"/>
      <c r="AA609" s="99"/>
      <c r="AB609" s="99"/>
      <c r="AC609" s="99"/>
    </row>
    <row r="610">
      <c r="A610" s="157"/>
      <c r="B610" s="99"/>
      <c r="C610" s="99"/>
      <c r="D610" s="99"/>
      <c r="E610" s="99"/>
      <c r="F610" s="170"/>
      <c r="G610" s="99"/>
      <c r="H610" s="99"/>
      <c r="I610" s="99"/>
      <c r="J610" s="171"/>
      <c r="K610" s="99"/>
      <c r="L610" s="99"/>
      <c r="M610" s="99"/>
      <c r="N610" s="99"/>
      <c r="O610" s="99"/>
      <c r="P610" s="99"/>
      <c r="Q610" s="99"/>
      <c r="R610" s="99"/>
      <c r="S610" s="99"/>
      <c r="T610" s="99"/>
      <c r="U610" s="99"/>
      <c r="V610" s="99"/>
      <c r="W610" s="99"/>
      <c r="X610" s="99"/>
      <c r="Y610" s="99"/>
      <c r="Z610" s="99"/>
      <c r="AA610" s="99"/>
      <c r="AB610" s="99"/>
      <c r="AC610" s="99"/>
    </row>
    <row r="611">
      <c r="A611" s="157"/>
      <c r="B611" s="99"/>
      <c r="C611" s="99"/>
      <c r="D611" s="99"/>
      <c r="E611" s="99"/>
      <c r="F611" s="170"/>
      <c r="G611" s="99"/>
      <c r="H611" s="99"/>
      <c r="I611" s="99"/>
      <c r="J611" s="171"/>
      <c r="K611" s="99"/>
      <c r="L611" s="99"/>
      <c r="M611" s="99"/>
      <c r="N611" s="99"/>
      <c r="O611" s="99"/>
      <c r="P611" s="99"/>
      <c r="Q611" s="99"/>
      <c r="R611" s="99"/>
      <c r="S611" s="99"/>
      <c r="T611" s="99"/>
      <c r="U611" s="99"/>
      <c r="V611" s="99"/>
      <c r="W611" s="99"/>
      <c r="X611" s="99"/>
      <c r="Y611" s="99"/>
      <c r="Z611" s="99"/>
      <c r="AA611" s="99"/>
      <c r="AB611" s="99"/>
      <c r="AC611" s="99"/>
    </row>
    <row r="612">
      <c r="A612" s="157"/>
      <c r="B612" s="99"/>
      <c r="C612" s="99"/>
      <c r="D612" s="99"/>
      <c r="E612" s="99"/>
      <c r="F612" s="170"/>
      <c r="G612" s="99"/>
      <c r="H612" s="99"/>
      <c r="I612" s="99"/>
      <c r="J612" s="171"/>
      <c r="K612" s="99"/>
      <c r="L612" s="99"/>
      <c r="M612" s="99"/>
      <c r="N612" s="99"/>
      <c r="O612" s="99"/>
      <c r="P612" s="99"/>
      <c r="Q612" s="99"/>
      <c r="R612" s="99"/>
      <c r="S612" s="99"/>
      <c r="T612" s="99"/>
      <c r="U612" s="99"/>
      <c r="V612" s="99"/>
      <c r="W612" s="99"/>
      <c r="X612" s="99"/>
      <c r="Y612" s="99"/>
      <c r="Z612" s="99"/>
      <c r="AA612" s="99"/>
      <c r="AB612" s="99"/>
      <c r="AC612" s="99"/>
    </row>
    <row r="613">
      <c r="A613" s="157"/>
      <c r="B613" s="99"/>
      <c r="C613" s="99"/>
      <c r="D613" s="99"/>
      <c r="E613" s="99"/>
      <c r="F613" s="170"/>
      <c r="G613" s="99"/>
      <c r="H613" s="99"/>
      <c r="I613" s="99"/>
      <c r="J613" s="171"/>
      <c r="K613" s="99"/>
      <c r="L613" s="99"/>
      <c r="M613" s="99"/>
      <c r="N613" s="99"/>
      <c r="O613" s="99"/>
      <c r="P613" s="99"/>
      <c r="Q613" s="99"/>
      <c r="R613" s="99"/>
      <c r="S613" s="99"/>
      <c r="T613" s="99"/>
      <c r="U613" s="99"/>
      <c r="V613" s="99"/>
      <c r="W613" s="99"/>
      <c r="X613" s="99"/>
      <c r="Y613" s="99"/>
      <c r="Z613" s="99"/>
      <c r="AA613" s="99"/>
      <c r="AB613" s="99"/>
      <c r="AC613" s="99"/>
    </row>
    <row r="614">
      <c r="A614" s="157"/>
      <c r="B614" s="99"/>
      <c r="C614" s="99"/>
      <c r="D614" s="99"/>
      <c r="E614" s="99"/>
      <c r="F614" s="170"/>
      <c r="G614" s="99"/>
      <c r="H614" s="99"/>
      <c r="I614" s="99"/>
      <c r="J614" s="171"/>
      <c r="K614" s="99"/>
      <c r="L614" s="99"/>
      <c r="M614" s="99"/>
      <c r="N614" s="99"/>
      <c r="O614" s="99"/>
      <c r="P614" s="99"/>
      <c r="Q614" s="99"/>
      <c r="R614" s="99"/>
      <c r="S614" s="99"/>
      <c r="T614" s="99"/>
      <c r="U614" s="99"/>
      <c r="V614" s="99"/>
      <c r="W614" s="99"/>
      <c r="X614" s="99"/>
      <c r="Y614" s="99"/>
      <c r="Z614" s="99"/>
      <c r="AA614" s="99"/>
      <c r="AB614" s="99"/>
      <c r="AC614" s="99"/>
    </row>
    <row r="615">
      <c r="A615" s="157"/>
      <c r="B615" s="99"/>
      <c r="C615" s="99"/>
      <c r="D615" s="99"/>
      <c r="E615" s="99"/>
      <c r="F615" s="170"/>
      <c r="G615" s="99"/>
      <c r="H615" s="99"/>
      <c r="I615" s="99"/>
      <c r="J615" s="171"/>
      <c r="K615" s="99"/>
      <c r="L615" s="99"/>
      <c r="M615" s="99"/>
      <c r="N615" s="99"/>
      <c r="O615" s="99"/>
      <c r="P615" s="99"/>
      <c r="Q615" s="99"/>
      <c r="R615" s="99"/>
      <c r="S615" s="99"/>
      <c r="T615" s="99"/>
      <c r="U615" s="99"/>
      <c r="V615" s="99"/>
      <c r="W615" s="99"/>
      <c r="X615" s="99"/>
      <c r="Y615" s="99"/>
      <c r="Z615" s="99"/>
      <c r="AA615" s="99"/>
      <c r="AB615" s="99"/>
      <c r="AC615" s="99"/>
    </row>
    <row r="616">
      <c r="A616" s="157"/>
      <c r="B616" s="99"/>
      <c r="C616" s="99"/>
      <c r="D616" s="99"/>
      <c r="E616" s="99"/>
      <c r="F616" s="170"/>
      <c r="G616" s="99"/>
      <c r="H616" s="99"/>
      <c r="I616" s="99"/>
      <c r="J616" s="171"/>
      <c r="K616" s="99"/>
      <c r="L616" s="99"/>
      <c r="M616" s="99"/>
      <c r="N616" s="99"/>
      <c r="O616" s="99"/>
      <c r="P616" s="99"/>
      <c r="Q616" s="99"/>
      <c r="R616" s="99"/>
      <c r="S616" s="99"/>
      <c r="T616" s="99"/>
      <c r="U616" s="99"/>
      <c r="V616" s="99"/>
      <c r="W616" s="99"/>
      <c r="X616" s="99"/>
      <c r="Y616" s="99"/>
      <c r="Z616" s="99"/>
      <c r="AA616" s="99"/>
      <c r="AB616" s="99"/>
      <c r="AC616" s="99"/>
    </row>
    <row r="617">
      <c r="A617" s="157"/>
      <c r="B617" s="99"/>
      <c r="C617" s="99"/>
      <c r="D617" s="99"/>
      <c r="E617" s="99"/>
      <c r="F617" s="170"/>
      <c r="G617" s="99"/>
      <c r="H617" s="99"/>
      <c r="I617" s="99"/>
      <c r="J617" s="171"/>
      <c r="K617" s="99"/>
      <c r="L617" s="99"/>
      <c r="M617" s="99"/>
      <c r="N617" s="99"/>
      <c r="O617" s="99"/>
      <c r="P617" s="99"/>
      <c r="Q617" s="99"/>
      <c r="R617" s="99"/>
      <c r="S617" s="99"/>
      <c r="T617" s="99"/>
      <c r="U617" s="99"/>
      <c r="V617" s="99"/>
      <c r="W617" s="99"/>
      <c r="X617" s="99"/>
      <c r="Y617" s="99"/>
      <c r="Z617" s="99"/>
      <c r="AA617" s="99"/>
      <c r="AB617" s="99"/>
      <c r="AC617" s="99"/>
    </row>
    <row r="618">
      <c r="A618" s="157"/>
      <c r="B618" s="99"/>
      <c r="C618" s="99"/>
      <c r="D618" s="99"/>
      <c r="E618" s="99"/>
      <c r="F618" s="170"/>
      <c r="G618" s="99"/>
      <c r="H618" s="99"/>
      <c r="I618" s="99"/>
      <c r="J618" s="171"/>
      <c r="K618" s="99"/>
      <c r="L618" s="99"/>
      <c r="M618" s="99"/>
      <c r="N618" s="99"/>
      <c r="O618" s="99"/>
      <c r="P618" s="99"/>
      <c r="Q618" s="99"/>
      <c r="R618" s="99"/>
      <c r="S618" s="99"/>
      <c r="T618" s="99"/>
      <c r="U618" s="99"/>
      <c r="V618" s="99"/>
      <c r="W618" s="99"/>
      <c r="X618" s="99"/>
      <c r="Y618" s="99"/>
      <c r="Z618" s="99"/>
      <c r="AA618" s="99"/>
      <c r="AB618" s="99"/>
      <c r="AC618" s="99"/>
    </row>
    <row r="619">
      <c r="A619" s="157"/>
      <c r="B619" s="99"/>
      <c r="C619" s="99"/>
      <c r="D619" s="99"/>
      <c r="E619" s="99"/>
      <c r="F619" s="170"/>
      <c r="G619" s="99"/>
      <c r="H619" s="99"/>
      <c r="I619" s="99"/>
      <c r="J619" s="171"/>
      <c r="K619" s="99"/>
      <c r="L619" s="99"/>
      <c r="M619" s="99"/>
      <c r="N619" s="99"/>
      <c r="O619" s="99"/>
      <c r="P619" s="99"/>
      <c r="Q619" s="99"/>
      <c r="R619" s="99"/>
      <c r="S619" s="99"/>
      <c r="T619" s="99"/>
      <c r="U619" s="99"/>
      <c r="V619" s="99"/>
      <c r="W619" s="99"/>
      <c r="X619" s="99"/>
      <c r="Y619" s="99"/>
      <c r="Z619" s="99"/>
      <c r="AA619" s="99"/>
      <c r="AB619" s="99"/>
      <c r="AC619" s="99"/>
    </row>
    <row r="620">
      <c r="A620" s="157"/>
      <c r="B620" s="99"/>
      <c r="C620" s="99"/>
      <c r="D620" s="99"/>
      <c r="E620" s="99"/>
      <c r="F620" s="170"/>
      <c r="G620" s="99"/>
      <c r="H620" s="99"/>
      <c r="I620" s="99"/>
      <c r="J620" s="171"/>
      <c r="K620" s="99"/>
      <c r="L620" s="99"/>
      <c r="M620" s="99"/>
      <c r="N620" s="99"/>
      <c r="O620" s="99"/>
      <c r="P620" s="99"/>
      <c r="Q620" s="99"/>
      <c r="R620" s="99"/>
      <c r="S620" s="99"/>
      <c r="T620" s="99"/>
      <c r="U620" s="99"/>
      <c r="V620" s="99"/>
      <c r="W620" s="99"/>
      <c r="X620" s="99"/>
      <c r="Y620" s="99"/>
      <c r="Z620" s="99"/>
      <c r="AA620" s="99"/>
      <c r="AB620" s="99"/>
      <c r="AC620" s="99"/>
    </row>
    <row r="621">
      <c r="A621" s="157"/>
      <c r="B621" s="99"/>
      <c r="C621" s="99"/>
      <c r="D621" s="99"/>
      <c r="E621" s="99"/>
      <c r="F621" s="170"/>
      <c r="G621" s="99"/>
      <c r="H621" s="99"/>
      <c r="I621" s="99"/>
      <c r="J621" s="171"/>
      <c r="K621" s="99"/>
      <c r="L621" s="99"/>
      <c r="M621" s="99"/>
      <c r="N621" s="99"/>
      <c r="O621" s="99"/>
      <c r="P621" s="99"/>
      <c r="Q621" s="99"/>
      <c r="R621" s="99"/>
      <c r="S621" s="99"/>
      <c r="T621" s="99"/>
      <c r="U621" s="99"/>
      <c r="V621" s="99"/>
      <c r="W621" s="99"/>
      <c r="X621" s="99"/>
      <c r="Y621" s="99"/>
      <c r="Z621" s="99"/>
      <c r="AA621" s="99"/>
      <c r="AB621" s="99"/>
      <c r="AC621" s="99"/>
    </row>
    <row r="622">
      <c r="A622" s="157"/>
      <c r="B622" s="99"/>
      <c r="C622" s="99"/>
      <c r="D622" s="99"/>
      <c r="E622" s="99"/>
      <c r="F622" s="170"/>
      <c r="G622" s="99"/>
      <c r="H622" s="99"/>
      <c r="I622" s="99"/>
      <c r="J622" s="171"/>
      <c r="K622" s="99"/>
      <c r="L622" s="99"/>
      <c r="M622" s="99"/>
      <c r="N622" s="99"/>
      <c r="O622" s="99"/>
      <c r="P622" s="99"/>
      <c r="Q622" s="99"/>
      <c r="R622" s="99"/>
      <c r="S622" s="99"/>
      <c r="T622" s="99"/>
      <c r="U622" s="99"/>
      <c r="V622" s="99"/>
      <c r="W622" s="99"/>
      <c r="X622" s="99"/>
      <c r="Y622" s="99"/>
      <c r="Z622" s="99"/>
      <c r="AA622" s="99"/>
      <c r="AB622" s="99"/>
      <c r="AC622" s="99"/>
    </row>
    <row r="623">
      <c r="A623" s="157"/>
      <c r="B623" s="99"/>
      <c r="C623" s="99"/>
      <c r="D623" s="99"/>
      <c r="E623" s="99"/>
      <c r="F623" s="170"/>
      <c r="G623" s="99"/>
      <c r="H623" s="99"/>
      <c r="I623" s="99"/>
      <c r="J623" s="171"/>
      <c r="K623" s="99"/>
      <c r="L623" s="99"/>
      <c r="M623" s="99"/>
      <c r="N623" s="99"/>
      <c r="O623" s="99"/>
      <c r="P623" s="99"/>
      <c r="Q623" s="99"/>
      <c r="R623" s="99"/>
      <c r="S623" s="99"/>
      <c r="T623" s="99"/>
      <c r="U623" s="99"/>
      <c r="V623" s="99"/>
      <c r="W623" s="99"/>
      <c r="X623" s="99"/>
      <c r="Y623" s="99"/>
      <c r="Z623" s="99"/>
      <c r="AA623" s="99"/>
      <c r="AB623" s="99"/>
      <c r="AC623" s="99"/>
    </row>
    <row r="624">
      <c r="A624" s="157"/>
      <c r="B624" s="99"/>
      <c r="C624" s="99"/>
      <c r="D624" s="99"/>
      <c r="E624" s="99"/>
      <c r="F624" s="170"/>
      <c r="G624" s="99"/>
      <c r="H624" s="99"/>
      <c r="I624" s="99"/>
      <c r="J624" s="171"/>
      <c r="K624" s="99"/>
      <c r="L624" s="99"/>
      <c r="M624" s="99"/>
      <c r="N624" s="99"/>
      <c r="O624" s="99"/>
      <c r="P624" s="99"/>
      <c r="Q624" s="99"/>
      <c r="R624" s="99"/>
      <c r="S624" s="99"/>
      <c r="T624" s="99"/>
      <c r="U624" s="99"/>
      <c r="V624" s="99"/>
      <c r="W624" s="99"/>
      <c r="X624" s="99"/>
      <c r="Y624" s="99"/>
      <c r="Z624" s="99"/>
      <c r="AA624" s="99"/>
      <c r="AB624" s="99"/>
      <c r="AC624" s="99"/>
    </row>
    <row r="625">
      <c r="A625" s="157"/>
      <c r="B625" s="99"/>
      <c r="C625" s="99"/>
      <c r="D625" s="99"/>
      <c r="E625" s="99"/>
      <c r="F625" s="170"/>
      <c r="G625" s="99"/>
      <c r="H625" s="99"/>
      <c r="I625" s="99"/>
      <c r="J625" s="171"/>
      <c r="K625" s="99"/>
      <c r="L625" s="99"/>
      <c r="M625" s="99"/>
      <c r="N625" s="99"/>
      <c r="O625" s="99"/>
      <c r="P625" s="99"/>
      <c r="Q625" s="99"/>
      <c r="R625" s="99"/>
      <c r="S625" s="99"/>
      <c r="T625" s="99"/>
      <c r="U625" s="99"/>
      <c r="V625" s="99"/>
      <c r="W625" s="99"/>
      <c r="X625" s="99"/>
      <c r="Y625" s="99"/>
      <c r="Z625" s="99"/>
      <c r="AA625" s="99"/>
      <c r="AB625" s="99"/>
      <c r="AC625" s="99"/>
    </row>
    <row r="626">
      <c r="A626" s="157"/>
      <c r="B626" s="99"/>
      <c r="C626" s="99"/>
      <c r="D626" s="99"/>
      <c r="E626" s="99"/>
      <c r="F626" s="170"/>
      <c r="G626" s="99"/>
      <c r="H626" s="99"/>
      <c r="I626" s="99"/>
      <c r="J626" s="171"/>
      <c r="K626" s="99"/>
      <c r="L626" s="99"/>
      <c r="M626" s="99"/>
      <c r="N626" s="99"/>
      <c r="O626" s="99"/>
      <c r="P626" s="99"/>
      <c r="Q626" s="99"/>
      <c r="R626" s="99"/>
      <c r="S626" s="99"/>
      <c r="T626" s="99"/>
      <c r="U626" s="99"/>
      <c r="V626" s="99"/>
      <c r="W626" s="99"/>
      <c r="X626" s="99"/>
      <c r="Y626" s="99"/>
      <c r="Z626" s="99"/>
      <c r="AA626" s="99"/>
      <c r="AB626" s="99"/>
      <c r="AC626" s="99"/>
    </row>
    <row r="627">
      <c r="A627" s="157"/>
      <c r="B627" s="99"/>
      <c r="C627" s="99"/>
      <c r="D627" s="99"/>
      <c r="E627" s="99"/>
      <c r="F627" s="170"/>
      <c r="G627" s="99"/>
      <c r="H627" s="99"/>
      <c r="I627" s="99"/>
      <c r="J627" s="171"/>
      <c r="K627" s="99"/>
      <c r="L627" s="99"/>
      <c r="M627" s="99"/>
      <c r="N627" s="99"/>
      <c r="O627" s="99"/>
      <c r="P627" s="99"/>
      <c r="Q627" s="99"/>
      <c r="R627" s="99"/>
      <c r="S627" s="99"/>
      <c r="T627" s="99"/>
      <c r="U627" s="99"/>
      <c r="V627" s="99"/>
      <c r="W627" s="99"/>
      <c r="X627" s="99"/>
      <c r="Y627" s="99"/>
      <c r="Z627" s="99"/>
      <c r="AA627" s="99"/>
      <c r="AB627" s="99"/>
      <c r="AC627" s="99"/>
    </row>
    <row r="628">
      <c r="A628" s="157"/>
      <c r="B628" s="99"/>
      <c r="C628" s="99"/>
      <c r="D628" s="99"/>
      <c r="E628" s="99"/>
      <c r="F628" s="170"/>
      <c r="G628" s="99"/>
      <c r="H628" s="99"/>
      <c r="I628" s="99"/>
      <c r="J628" s="171"/>
      <c r="K628" s="99"/>
      <c r="L628" s="99"/>
      <c r="M628" s="99"/>
      <c r="N628" s="99"/>
      <c r="O628" s="99"/>
      <c r="P628" s="99"/>
      <c r="Q628" s="99"/>
      <c r="R628" s="99"/>
      <c r="S628" s="99"/>
      <c r="T628" s="99"/>
      <c r="U628" s="99"/>
      <c r="V628" s="99"/>
      <c r="W628" s="99"/>
      <c r="X628" s="99"/>
      <c r="Y628" s="99"/>
      <c r="Z628" s="99"/>
      <c r="AA628" s="99"/>
      <c r="AB628" s="99"/>
      <c r="AC628" s="99"/>
    </row>
    <row r="629">
      <c r="A629" s="157"/>
      <c r="B629" s="99"/>
      <c r="C629" s="99"/>
      <c r="D629" s="99"/>
      <c r="E629" s="99"/>
      <c r="F629" s="170"/>
      <c r="G629" s="99"/>
      <c r="H629" s="99"/>
      <c r="I629" s="99"/>
      <c r="J629" s="171"/>
      <c r="K629" s="99"/>
      <c r="L629" s="99"/>
      <c r="M629" s="99"/>
      <c r="N629" s="99"/>
      <c r="O629" s="99"/>
      <c r="P629" s="99"/>
      <c r="Q629" s="99"/>
      <c r="R629" s="99"/>
      <c r="S629" s="99"/>
      <c r="T629" s="99"/>
      <c r="U629" s="99"/>
      <c r="V629" s="99"/>
      <c r="W629" s="99"/>
      <c r="X629" s="99"/>
      <c r="Y629" s="99"/>
      <c r="Z629" s="99"/>
      <c r="AA629" s="99"/>
      <c r="AB629" s="99"/>
      <c r="AC629" s="99"/>
    </row>
    <row r="630">
      <c r="A630" s="157"/>
      <c r="B630" s="99"/>
      <c r="C630" s="99"/>
      <c r="D630" s="99"/>
      <c r="E630" s="99"/>
      <c r="F630" s="170"/>
      <c r="G630" s="99"/>
      <c r="H630" s="99"/>
      <c r="I630" s="99"/>
      <c r="J630" s="171"/>
      <c r="K630" s="99"/>
      <c r="L630" s="99"/>
      <c r="M630" s="99"/>
      <c r="N630" s="99"/>
      <c r="O630" s="99"/>
      <c r="P630" s="99"/>
      <c r="Q630" s="99"/>
      <c r="R630" s="99"/>
      <c r="S630" s="99"/>
      <c r="T630" s="99"/>
      <c r="U630" s="99"/>
      <c r="V630" s="99"/>
      <c r="W630" s="99"/>
      <c r="X630" s="99"/>
      <c r="Y630" s="99"/>
      <c r="Z630" s="99"/>
      <c r="AA630" s="99"/>
      <c r="AB630" s="99"/>
      <c r="AC630" s="99"/>
    </row>
    <row r="631">
      <c r="A631" s="157"/>
      <c r="B631" s="99"/>
      <c r="C631" s="99"/>
      <c r="D631" s="99"/>
      <c r="E631" s="99"/>
      <c r="F631" s="170"/>
      <c r="G631" s="99"/>
      <c r="H631" s="99"/>
      <c r="I631" s="99"/>
      <c r="J631" s="171"/>
      <c r="K631" s="99"/>
      <c r="L631" s="99"/>
      <c r="M631" s="99"/>
      <c r="N631" s="99"/>
      <c r="O631" s="99"/>
      <c r="P631" s="99"/>
      <c r="Q631" s="99"/>
      <c r="R631" s="99"/>
      <c r="S631" s="99"/>
      <c r="T631" s="99"/>
      <c r="U631" s="99"/>
      <c r="V631" s="99"/>
      <c r="W631" s="99"/>
      <c r="X631" s="99"/>
      <c r="Y631" s="99"/>
      <c r="Z631" s="99"/>
      <c r="AA631" s="99"/>
      <c r="AB631" s="99"/>
      <c r="AC631" s="99"/>
    </row>
    <row r="632">
      <c r="A632" s="157"/>
      <c r="B632" s="99"/>
      <c r="C632" s="99"/>
      <c r="D632" s="99"/>
      <c r="E632" s="99"/>
      <c r="F632" s="170"/>
      <c r="G632" s="99"/>
      <c r="H632" s="99"/>
      <c r="I632" s="99"/>
      <c r="J632" s="171"/>
      <c r="K632" s="99"/>
      <c r="L632" s="99"/>
      <c r="M632" s="99"/>
      <c r="N632" s="99"/>
      <c r="O632" s="99"/>
      <c r="P632" s="99"/>
      <c r="Q632" s="99"/>
      <c r="R632" s="99"/>
      <c r="S632" s="99"/>
      <c r="T632" s="99"/>
      <c r="U632" s="99"/>
      <c r="V632" s="99"/>
      <c r="W632" s="99"/>
      <c r="X632" s="99"/>
      <c r="Y632" s="99"/>
      <c r="Z632" s="99"/>
      <c r="AA632" s="99"/>
      <c r="AB632" s="99"/>
      <c r="AC632" s="99"/>
    </row>
    <row r="633">
      <c r="A633" s="157"/>
      <c r="B633" s="99"/>
      <c r="C633" s="99"/>
      <c r="D633" s="99"/>
      <c r="E633" s="99"/>
      <c r="F633" s="170"/>
      <c r="G633" s="99"/>
      <c r="H633" s="99"/>
      <c r="I633" s="99"/>
      <c r="J633" s="171"/>
      <c r="K633" s="99"/>
      <c r="L633" s="99"/>
      <c r="M633" s="99"/>
      <c r="N633" s="99"/>
      <c r="O633" s="99"/>
      <c r="P633" s="99"/>
      <c r="Q633" s="99"/>
      <c r="R633" s="99"/>
      <c r="S633" s="99"/>
      <c r="T633" s="99"/>
      <c r="U633" s="99"/>
      <c r="V633" s="99"/>
      <c r="W633" s="99"/>
      <c r="X633" s="99"/>
      <c r="Y633" s="99"/>
      <c r="Z633" s="99"/>
      <c r="AA633" s="99"/>
      <c r="AB633" s="99"/>
      <c r="AC633" s="99"/>
    </row>
    <row r="634">
      <c r="A634" s="157"/>
      <c r="B634" s="99"/>
      <c r="C634" s="99"/>
      <c r="D634" s="99"/>
      <c r="E634" s="99"/>
      <c r="F634" s="170"/>
      <c r="G634" s="99"/>
      <c r="H634" s="99"/>
      <c r="I634" s="99"/>
      <c r="J634" s="171"/>
      <c r="K634" s="99"/>
      <c r="L634" s="99"/>
      <c r="M634" s="99"/>
      <c r="N634" s="99"/>
      <c r="O634" s="99"/>
      <c r="P634" s="99"/>
      <c r="Q634" s="99"/>
      <c r="R634" s="99"/>
      <c r="S634" s="99"/>
      <c r="T634" s="99"/>
      <c r="U634" s="99"/>
      <c r="V634" s="99"/>
      <c r="W634" s="99"/>
      <c r="X634" s="99"/>
      <c r="Y634" s="99"/>
      <c r="Z634" s="99"/>
      <c r="AA634" s="99"/>
      <c r="AB634" s="99"/>
      <c r="AC634" s="99"/>
    </row>
    <row r="635">
      <c r="A635" s="157"/>
      <c r="B635" s="99"/>
      <c r="C635" s="99"/>
      <c r="D635" s="99"/>
      <c r="E635" s="99"/>
      <c r="F635" s="170"/>
      <c r="G635" s="99"/>
      <c r="H635" s="99"/>
      <c r="I635" s="99"/>
      <c r="J635" s="171"/>
      <c r="K635" s="99"/>
      <c r="L635" s="99"/>
      <c r="M635" s="99"/>
      <c r="N635" s="99"/>
      <c r="O635" s="99"/>
      <c r="P635" s="99"/>
      <c r="Q635" s="99"/>
      <c r="R635" s="99"/>
      <c r="S635" s="99"/>
      <c r="T635" s="99"/>
      <c r="U635" s="99"/>
      <c r="V635" s="99"/>
      <c r="W635" s="99"/>
      <c r="X635" s="99"/>
      <c r="Y635" s="99"/>
      <c r="Z635" s="99"/>
      <c r="AA635" s="99"/>
      <c r="AB635" s="99"/>
      <c r="AC635" s="99"/>
    </row>
    <row r="636">
      <c r="A636" s="157"/>
      <c r="B636" s="99"/>
      <c r="C636" s="99"/>
      <c r="D636" s="99"/>
      <c r="E636" s="99"/>
      <c r="F636" s="170"/>
      <c r="G636" s="99"/>
      <c r="H636" s="99"/>
      <c r="I636" s="99"/>
      <c r="J636" s="171"/>
      <c r="K636" s="99"/>
      <c r="L636" s="99"/>
      <c r="M636" s="99"/>
      <c r="N636" s="99"/>
      <c r="O636" s="99"/>
      <c r="P636" s="99"/>
      <c r="Q636" s="99"/>
      <c r="R636" s="99"/>
      <c r="S636" s="99"/>
      <c r="T636" s="99"/>
      <c r="U636" s="99"/>
      <c r="V636" s="99"/>
      <c r="W636" s="99"/>
      <c r="X636" s="99"/>
      <c r="Y636" s="99"/>
      <c r="Z636" s="99"/>
      <c r="AA636" s="99"/>
      <c r="AB636" s="99"/>
      <c r="AC636" s="99"/>
    </row>
    <row r="637">
      <c r="A637" s="157"/>
      <c r="B637" s="99"/>
      <c r="C637" s="99"/>
      <c r="D637" s="99"/>
      <c r="E637" s="99"/>
      <c r="F637" s="170"/>
      <c r="G637" s="99"/>
      <c r="H637" s="99"/>
      <c r="I637" s="99"/>
      <c r="J637" s="171"/>
      <c r="K637" s="99"/>
      <c r="L637" s="99"/>
      <c r="M637" s="99"/>
      <c r="N637" s="99"/>
      <c r="O637" s="99"/>
      <c r="P637" s="99"/>
      <c r="Q637" s="99"/>
      <c r="R637" s="99"/>
      <c r="S637" s="99"/>
      <c r="T637" s="99"/>
      <c r="U637" s="99"/>
      <c r="V637" s="99"/>
      <c r="W637" s="99"/>
      <c r="X637" s="99"/>
      <c r="Y637" s="99"/>
      <c r="Z637" s="99"/>
      <c r="AA637" s="99"/>
      <c r="AB637" s="99"/>
      <c r="AC637" s="99"/>
    </row>
    <row r="638">
      <c r="A638" s="157"/>
      <c r="B638" s="99"/>
      <c r="C638" s="99"/>
      <c r="D638" s="99"/>
      <c r="E638" s="99"/>
      <c r="F638" s="170"/>
      <c r="G638" s="99"/>
      <c r="H638" s="99"/>
      <c r="I638" s="99"/>
      <c r="J638" s="171"/>
      <c r="K638" s="99"/>
      <c r="L638" s="99"/>
      <c r="M638" s="99"/>
      <c r="N638" s="99"/>
      <c r="O638" s="99"/>
      <c r="P638" s="99"/>
      <c r="Q638" s="99"/>
      <c r="R638" s="99"/>
      <c r="S638" s="99"/>
      <c r="T638" s="99"/>
      <c r="U638" s="99"/>
      <c r="V638" s="99"/>
      <c r="W638" s="99"/>
      <c r="X638" s="99"/>
      <c r="Y638" s="99"/>
      <c r="Z638" s="99"/>
      <c r="AA638" s="99"/>
      <c r="AB638" s="99"/>
      <c r="AC638" s="99"/>
    </row>
    <row r="639">
      <c r="A639" s="157"/>
      <c r="B639" s="99"/>
      <c r="C639" s="99"/>
      <c r="D639" s="99"/>
      <c r="E639" s="99"/>
      <c r="F639" s="170"/>
      <c r="G639" s="99"/>
      <c r="H639" s="99"/>
      <c r="I639" s="99"/>
      <c r="J639" s="171"/>
      <c r="K639" s="99"/>
      <c r="L639" s="99"/>
      <c r="M639" s="99"/>
      <c r="N639" s="99"/>
      <c r="O639" s="99"/>
      <c r="P639" s="99"/>
      <c r="Q639" s="99"/>
      <c r="R639" s="99"/>
      <c r="S639" s="99"/>
      <c r="T639" s="99"/>
      <c r="U639" s="99"/>
      <c r="V639" s="99"/>
      <c r="W639" s="99"/>
      <c r="X639" s="99"/>
      <c r="Y639" s="99"/>
      <c r="Z639" s="99"/>
      <c r="AA639" s="99"/>
      <c r="AB639" s="99"/>
      <c r="AC639" s="99"/>
    </row>
    <row r="640">
      <c r="A640" s="157"/>
      <c r="B640" s="99"/>
      <c r="C640" s="99"/>
      <c r="D640" s="99"/>
      <c r="E640" s="99"/>
      <c r="F640" s="170"/>
      <c r="G640" s="99"/>
      <c r="H640" s="99"/>
      <c r="I640" s="99"/>
      <c r="J640" s="171"/>
      <c r="K640" s="99"/>
      <c r="L640" s="99"/>
      <c r="M640" s="99"/>
      <c r="N640" s="99"/>
      <c r="O640" s="99"/>
      <c r="P640" s="99"/>
      <c r="Q640" s="99"/>
      <c r="R640" s="99"/>
      <c r="S640" s="99"/>
      <c r="T640" s="99"/>
      <c r="U640" s="99"/>
      <c r="V640" s="99"/>
      <c r="W640" s="99"/>
      <c r="X640" s="99"/>
      <c r="Y640" s="99"/>
      <c r="Z640" s="99"/>
      <c r="AA640" s="99"/>
      <c r="AB640" s="99"/>
      <c r="AC640" s="99"/>
    </row>
    <row r="641">
      <c r="A641" s="157"/>
      <c r="B641" s="99"/>
      <c r="C641" s="99"/>
      <c r="D641" s="99"/>
      <c r="E641" s="99"/>
      <c r="F641" s="170"/>
      <c r="G641" s="99"/>
      <c r="H641" s="99"/>
      <c r="I641" s="99"/>
      <c r="J641" s="171"/>
      <c r="K641" s="99"/>
      <c r="L641" s="99"/>
      <c r="M641" s="99"/>
      <c r="N641" s="99"/>
      <c r="O641" s="99"/>
      <c r="P641" s="99"/>
      <c r="Q641" s="99"/>
      <c r="R641" s="99"/>
      <c r="S641" s="99"/>
      <c r="T641" s="99"/>
      <c r="U641" s="99"/>
      <c r="V641" s="99"/>
      <c r="W641" s="99"/>
      <c r="X641" s="99"/>
      <c r="Y641" s="99"/>
      <c r="Z641" s="99"/>
      <c r="AA641" s="99"/>
      <c r="AB641" s="99"/>
      <c r="AC641" s="99"/>
    </row>
    <row r="642">
      <c r="A642" s="157"/>
      <c r="B642" s="99"/>
      <c r="C642" s="99"/>
      <c r="D642" s="99"/>
      <c r="E642" s="99"/>
      <c r="F642" s="170"/>
      <c r="G642" s="99"/>
      <c r="H642" s="99"/>
      <c r="I642" s="99"/>
      <c r="J642" s="171"/>
      <c r="K642" s="99"/>
      <c r="L642" s="99"/>
      <c r="M642" s="99"/>
      <c r="N642" s="99"/>
      <c r="O642" s="99"/>
      <c r="P642" s="99"/>
      <c r="Q642" s="99"/>
      <c r="R642" s="99"/>
      <c r="S642" s="99"/>
      <c r="T642" s="99"/>
      <c r="U642" s="99"/>
      <c r="V642" s="99"/>
      <c r="W642" s="99"/>
      <c r="X642" s="99"/>
      <c r="Y642" s="99"/>
      <c r="Z642" s="99"/>
      <c r="AA642" s="99"/>
      <c r="AB642" s="99"/>
      <c r="AC642" s="99"/>
    </row>
    <row r="643">
      <c r="A643" s="157"/>
      <c r="B643" s="99"/>
      <c r="C643" s="99"/>
      <c r="D643" s="99"/>
      <c r="E643" s="99"/>
      <c r="F643" s="170"/>
      <c r="G643" s="99"/>
      <c r="H643" s="99"/>
      <c r="I643" s="99"/>
      <c r="J643" s="171"/>
      <c r="K643" s="99"/>
      <c r="L643" s="99"/>
      <c r="M643" s="99"/>
      <c r="N643" s="99"/>
      <c r="O643" s="99"/>
      <c r="P643" s="99"/>
      <c r="Q643" s="99"/>
      <c r="R643" s="99"/>
      <c r="S643" s="99"/>
      <c r="T643" s="99"/>
      <c r="U643" s="99"/>
      <c r="V643" s="99"/>
      <c r="W643" s="99"/>
      <c r="X643" s="99"/>
      <c r="Y643" s="99"/>
      <c r="Z643" s="99"/>
      <c r="AA643" s="99"/>
      <c r="AB643" s="99"/>
      <c r="AC643" s="99"/>
    </row>
    <row r="644">
      <c r="A644" s="157"/>
      <c r="B644" s="99"/>
      <c r="C644" s="99"/>
      <c r="D644" s="99"/>
      <c r="E644" s="99"/>
      <c r="F644" s="170"/>
      <c r="G644" s="99"/>
      <c r="H644" s="99"/>
      <c r="I644" s="99"/>
      <c r="J644" s="171"/>
      <c r="K644" s="99"/>
      <c r="L644" s="99"/>
      <c r="M644" s="99"/>
      <c r="N644" s="99"/>
      <c r="O644" s="99"/>
      <c r="P644" s="99"/>
      <c r="Q644" s="99"/>
      <c r="R644" s="99"/>
      <c r="S644" s="99"/>
      <c r="T644" s="99"/>
      <c r="U644" s="99"/>
      <c r="V644" s="99"/>
      <c r="W644" s="99"/>
      <c r="X644" s="99"/>
      <c r="Y644" s="99"/>
      <c r="Z644" s="99"/>
      <c r="AA644" s="99"/>
      <c r="AB644" s="99"/>
      <c r="AC644" s="99"/>
    </row>
    <row r="645">
      <c r="A645" s="157"/>
      <c r="B645" s="99"/>
      <c r="C645" s="99"/>
      <c r="D645" s="99"/>
      <c r="E645" s="99"/>
      <c r="F645" s="170"/>
      <c r="G645" s="99"/>
      <c r="H645" s="99"/>
      <c r="I645" s="99"/>
      <c r="J645" s="171"/>
      <c r="K645" s="99"/>
      <c r="L645" s="99"/>
      <c r="M645" s="99"/>
      <c r="N645" s="99"/>
      <c r="O645" s="99"/>
      <c r="P645" s="99"/>
      <c r="Q645" s="99"/>
      <c r="R645" s="99"/>
      <c r="S645" s="99"/>
      <c r="T645" s="99"/>
      <c r="U645" s="99"/>
      <c r="V645" s="99"/>
      <c r="W645" s="99"/>
      <c r="X645" s="99"/>
      <c r="Y645" s="99"/>
      <c r="Z645" s="99"/>
      <c r="AA645" s="99"/>
      <c r="AB645" s="99"/>
      <c r="AC645" s="99"/>
    </row>
    <row r="646">
      <c r="A646" s="157"/>
      <c r="B646" s="99"/>
      <c r="C646" s="99"/>
      <c r="D646" s="99"/>
      <c r="E646" s="99"/>
      <c r="F646" s="170"/>
      <c r="G646" s="99"/>
      <c r="H646" s="99"/>
      <c r="I646" s="99"/>
      <c r="J646" s="171"/>
      <c r="K646" s="99"/>
      <c r="L646" s="99"/>
      <c r="M646" s="99"/>
      <c r="N646" s="99"/>
      <c r="O646" s="99"/>
      <c r="P646" s="99"/>
      <c r="Q646" s="99"/>
      <c r="R646" s="99"/>
      <c r="S646" s="99"/>
      <c r="T646" s="99"/>
      <c r="U646" s="99"/>
      <c r="V646" s="99"/>
      <c r="W646" s="99"/>
      <c r="X646" s="99"/>
      <c r="Y646" s="99"/>
      <c r="Z646" s="99"/>
      <c r="AA646" s="99"/>
      <c r="AB646" s="99"/>
      <c r="AC646" s="99"/>
    </row>
    <row r="647">
      <c r="A647" s="157"/>
      <c r="B647" s="99"/>
      <c r="C647" s="99"/>
      <c r="D647" s="99"/>
      <c r="E647" s="99"/>
      <c r="F647" s="170"/>
      <c r="G647" s="99"/>
      <c r="H647" s="99"/>
      <c r="I647" s="99"/>
      <c r="J647" s="171"/>
      <c r="K647" s="99"/>
      <c r="L647" s="99"/>
      <c r="M647" s="99"/>
      <c r="N647" s="99"/>
      <c r="O647" s="99"/>
      <c r="P647" s="99"/>
      <c r="Q647" s="99"/>
      <c r="R647" s="99"/>
      <c r="S647" s="99"/>
      <c r="T647" s="99"/>
      <c r="U647" s="99"/>
      <c r="V647" s="99"/>
      <c r="W647" s="99"/>
      <c r="X647" s="99"/>
      <c r="Y647" s="99"/>
      <c r="Z647" s="99"/>
      <c r="AA647" s="99"/>
      <c r="AB647" s="99"/>
      <c r="AC647" s="99"/>
    </row>
    <row r="648">
      <c r="A648" s="157"/>
      <c r="B648" s="99"/>
      <c r="C648" s="99"/>
      <c r="D648" s="99"/>
      <c r="E648" s="99"/>
      <c r="F648" s="170"/>
      <c r="G648" s="99"/>
      <c r="H648" s="99"/>
      <c r="I648" s="99"/>
      <c r="J648" s="171"/>
      <c r="K648" s="99"/>
      <c r="L648" s="99"/>
      <c r="M648" s="99"/>
      <c r="N648" s="99"/>
      <c r="O648" s="99"/>
      <c r="P648" s="99"/>
      <c r="Q648" s="99"/>
      <c r="R648" s="99"/>
      <c r="S648" s="99"/>
      <c r="T648" s="99"/>
      <c r="U648" s="99"/>
      <c r="V648" s="99"/>
      <c r="W648" s="99"/>
      <c r="X648" s="99"/>
      <c r="Y648" s="99"/>
      <c r="Z648" s="99"/>
      <c r="AA648" s="99"/>
      <c r="AB648" s="99"/>
      <c r="AC648" s="99"/>
    </row>
    <row r="649">
      <c r="A649" s="157"/>
      <c r="B649" s="99"/>
      <c r="C649" s="99"/>
      <c r="D649" s="99"/>
      <c r="E649" s="99"/>
      <c r="F649" s="170"/>
      <c r="G649" s="99"/>
      <c r="H649" s="99"/>
      <c r="I649" s="99"/>
      <c r="J649" s="171"/>
      <c r="K649" s="99"/>
      <c r="L649" s="99"/>
      <c r="M649" s="99"/>
      <c r="N649" s="99"/>
      <c r="O649" s="99"/>
      <c r="P649" s="99"/>
      <c r="Q649" s="99"/>
      <c r="R649" s="99"/>
      <c r="S649" s="99"/>
      <c r="T649" s="99"/>
      <c r="U649" s="99"/>
      <c r="V649" s="99"/>
      <c r="W649" s="99"/>
      <c r="X649" s="99"/>
      <c r="Y649" s="99"/>
      <c r="Z649" s="99"/>
      <c r="AA649" s="99"/>
      <c r="AB649" s="99"/>
      <c r="AC649" s="99"/>
    </row>
    <row r="650">
      <c r="A650" s="157"/>
      <c r="B650" s="99"/>
      <c r="C650" s="99"/>
      <c r="D650" s="99"/>
      <c r="E650" s="99"/>
      <c r="F650" s="170"/>
      <c r="G650" s="99"/>
      <c r="H650" s="99"/>
      <c r="I650" s="99"/>
      <c r="J650" s="171"/>
      <c r="K650" s="99"/>
      <c r="L650" s="99"/>
      <c r="M650" s="99"/>
      <c r="N650" s="99"/>
      <c r="O650" s="99"/>
      <c r="P650" s="99"/>
      <c r="Q650" s="99"/>
      <c r="R650" s="99"/>
      <c r="S650" s="99"/>
      <c r="T650" s="99"/>
      <c r="U650" s="99"/>
      <c r="V650" s="99"/>
      <c r="W650" s="99"/>
      <c r="X650" s="99"/>
      <c r="Y650" s="99"/>
      <c r="Z650" s="99"/>
      <c r="AA650" s="99"/>
      <c r="AB650" s="99"/>
      <c r="AC650" s="99"/>
    </row>
    <row r="651">
      <c r="A651" s="157"/>
      <c r="B651" s="99"/>
      <c r="C651" s="99"/>
      <c r="D651" s="99"/>
      <c r="E651" s="99"/>
      <c r="F651" s="170"/>
      <c r="G651" s="99"/>
      <c r="H651" s="99"/>
      <c r="I651" s="99"/>
      <c r="J651" s="171"/>
      <c r="K651" s="99"/>
      <c r="L651" s="99"/>
      <c r="M651" s="99"/>
      <c r="N651" s="99"/>
      <c r="O651" s="99"/>
      <c r="P651" s="99"/>
      <c r="Q651" s="99"/>
      <c r="R651" s="99"/>
      <c r="S651" s="99"/>
      <c r="T651" s="99"/>
      <c r="U651" s="99"/>
      <c r="V651" s="99"/>
      <c r="W651" s="99"/>
      <c r="X651" s="99"/>
      <c r="Y651" s="99"/>
      <c r="Z651" s="99"/>
      <c r="AA651" s="99"/>
      <c r="AB651" s="99"/>
      <c r="AC651" s="99"/>
    </row>
    <row r="652">
      <c r="A652" s="157"/>
      <c r="B652" s="99"/>
      <c r="C652" s="99"/>
      <c r="D652" s="99"/>
      <c r="E652" s="99"/>
      <c r="F652" s="170"/>
      <c r="G652" s="99"/>
      <c r="H652" s="99"/>
      <c r="I652" s="99"/>
      <c r="J652" s="171"/>
      <c r="K652" s="99"/>
      <c r="L652" s="99"/>
      <c r="M652" s="99"/>
      <c r="N652" s="99"/>
      <c r="O652" s="99"/>
      <c r="P652" s="99"/>
      <c r="Q652" s="99"/>
      <c r="R652" s="99"/>
      <c r="S652" s="99"/>
      <c r="T652" s="99"/>
      <c r="U652" s="99"/>
      <c r="V652" s="99"/>
      <c r="W652" s="99"/>
      <c r="X652" s="99"/>
      <c r="Y652" s="99"/>
      <c r="Z652" s="99"/>
      <c r="AA652" s="99"/>
      <c r="AB652" s="99"/>
      <c r="AC652" s="99"/>
    </row>
    <row r="653">
      <c r="A653" s="157"/>
      <c r="B653" s="99"/>
      <c r="C653" s="99"/>
      <c r="D653" s="99"/>
      <c r="E653" s="99"/>
      <c r="F653" s="170"/>
      <c r="G653" s="99"/>
      <c r="H653" s="99"/>
      <c r="I653" s="99"/>
      <c r="J653" s="171"/>
      <c r="K653" s="99"/>
      <c r="L653" s="99"/>
      <c r="M653" s="99"/>
      <c r="N653" s="99"/>
      <c r="O653" s="99"/>
      <c r="P653" s="99"/>
      <c r="Q653" s="99"/>
      <c r="R653" s="99"/>
      <c r="S653" s="99"/>
      <c r="T653" s="99"/>
      <c r="U653" s="99"/>
      <c r="V653" s="99"/>
      <c r="W653" s="99"/>
      <c r="X653" s="99"/>
      <c r="Y653" s="99"/>
      <c r="Z653" s="99"/>
      <c r="AA653" s="99"/>
      <c r="AB653" s="99"/>
      <c r="AC653" s="99"/>
    </row>
    <row r="654">
      <c r="A654" s="157"/>
      <c r="B654" s="99"/>
      <c r="C654" s="99"/>
      <c r="D654" s="99"/>
      <c r="E654" s="99"/>
      <c r="F654" s="170"/>
      <c r="G654" s="99"/>
      <c r="H654" s="99"/>
      <c r="I654" s="99"/>
      <c r="J654" s="171"/>
      <c r="K654" s="99"/>
      <c r="L654" s="99"/>
      <c r="M654" s="99"/>
      <c r="N654" s="99"/>
      <c r="O654" s="99"/>
      <c r="P654" s="99"/>
      <c r="Q654" s="99"/>
      <c r="R654" s="99"/>
      <c r="S654" s="99"/>
      <c r="T654" s="99"/>
      <c r="U654" s="99"/>
      <c r="V654" s="99"/>
      <c r="W654" s="99"/>
      <c r="X654" s="99"/>
      <c r="Y654" s="99"/>
      <c r="Z654" s="99"/>
      <c r="AA654" s="99"/>
      <c r="AB654" s="99"/>
      <c r="AC654" s="99"/>
    </row>
    <row r="655">
      <c r="A655" s="157"/>
      <c r="B655" s="99"/>
      <c r="C655" s="99"/>
      <c r="D655" s="99"/>
      <c r="E655" s="99"/>
      <c r="F655" s="170"/>
      <c r="G655" s="99"/>
      <c r="H655" s="99"/>
      <c r="I655" s="99"/>
      <c r="J655" s="171"/>
      <c r="K655" s="99"/>
      <c r="L655" s="99"/>
      <c r="M655" s="99"/>
      <c r="N655" s="99"/>
      <c r="O655" s="99"/>
      <c r="P655" s="99"/>
      <c r="Q655" s="99"/>
      <c r="R655" s="99"/>
      <c r="S655" s="99"/>
      <c r="T655" s="99"/>
      <c r="U655" s="99"/>
      <c r="V655" s="99"/>
      <c r="W655" s="99"/>
      <c r="X655" s="99"/>
      <c r="Y655" s="99"/>
      <c r="Z655" s="99"/>
      <c r="AA655" s="99"/>
      <c r="AB655" s="99"/>
      <c r="AC655" s="99"/>
    </row>
    <row r="656">
      <c r="A656" s="157"/>
      <c r="B656" s="99"/>
      <c r="C656" s="99"/>
      <c r="D656" s="99"/>
      <c r="E656" s="99"/>
      <c r="F656" s="170"/>
      <c r="G656" s="99"/>
      <c r="H656" s="99"/>
      <c r="I656" s="99"/>
      <c r="J656" s="171"/>
      <c r="K656" s="99"/>
      <c r="L656" s="99"/>
      <c r="M656" s="99"/>
      <c r="N656" s="99"/>
      <c r="O656" s="99"/>
      <c r="P656" s="99"/>
      <c r="Q656" s="99"/>
      <c r="R656" s="99"/>
      <c r="S656" s="99"/>
      <c r="T656" s="99"/>
      <c r="U656" s="99"/>
      <c r="V656" s="99"/>
      <c r="W656" s="99"/>
      <c r="X656" s="99"/>
      <c r="Y656" s="99"/>
      <c r="Z656" s="99"/>
      <c r="AA656" s="99"/>
      <c r="AB656" s="99"/>
      <c r="AC656" s="99"/>
    </row>
    <row r="657">
      <c r="A657" s="157"/>
      <c r="B657" s="99"/>
      <c r="C657" s="99"/>
      <c r="D657" s="99"/>
      <c r="E657" s="99"/>
      <c r="F657" s="170"/>
      <c r="G657" s="99"/>
      <c r="H657" s="99"/>
      <c r="I657" s="99"/>
      <c r="J657" s="171"/>
      <c r="K657" s="99"/>
      <c r="L657" s="99"/>
      <c r="M657" s="99"/>
      <c r="N657" s="99"/>
      <c r="O657" s="99"/>
      <c r="P657" s="99"/>
      <c r="Q657" s="99"/>
      <c r="R657" s="99"/>
      <c r="S657" s="99"/>
      <c r="T657" s="99"/>
      <c r="U657" s="99"/>
      <c r="V657" s="99"/>
      <c r="W657" s="99"/>
      <c r="X657" s="99"/>
      <c r="Y657" s="99"/>
      <c r="Z657" s="99"/>
      <c r="AA657" s="99"/>
      <c r="AB657" s="99"/>
      <c r="AC657" s="99"/>
    </row>
    <row r="658">
      <c r="A658" s="157"/>
      <c r="B658" s="99"/>
      <c r="C658" s="99"/>
      <c r="D658" s="99"/>
      <c r="E658" s="99"/>
      <c r="F658" s="170"/>
      <c r="G658" s="99"/>
      <c r="H658" s="99"/>
      <c r="I658" s="99"/>
      <c r="J658" s="171"/>
      <c r="K658" s="99"/>
      <c r="L658" s="99"/>
      <c r="M658" s="99"/>
      <c r="N658" s="99"/>
      <c r="O658" s="99"/>
      <c r="P658" s="99"/>
      <c r="Q658" s="99"/>
      <c r="R658" s="99"/>
      <c r="S658" s="99"/>
      <c r="T658" s="99"/>
      <c r="U658" s="99"/>
      <c r="V658" s="99"/>
      <c r="W658" s="99"/>
      <c r="X658" s="99"/>
      <c r="Y658" s="99"/>
      <c r="Z658" s="99"/>
      <c r="AA658" s="99"/>
      <c r="AB658" s="99"/>
      <c r="AC658" s="99"/>
    </row>
    <row r="659">
      <c r="A659" s="157"/>
      <c r="B659" s="99"/>
      <c r="C659" s="99"/>
      <c r="D659" s="99"/>
      <c r="E659" s="99"/>
      <c r="F659" s="170"/>
      <c r="G659" s="99"/>
      <c r="H659" s="99"/>
      <c r="I659" s="99"/>
      <c r="J659" s="171"/>
      <c r="K659" s="99"/>
      <c r="L659" s="99"/>
      <c r="M659" s="99"/>
      <c r="N659" s="99"/>
      <c r="O659" s="99"/>
      <c r="P659" s="99"/>
      <c r="Q659" s="99"/>
      <c r="R659" s="99"/>
      <c r="S659" s="99"/>
      <c r="T659" s="99"/>
      <c r="U659" s="99"/>
      <c r="V659" s="99"/>
      <c r="W659" s="99"/>
      <c r="X659" s="99"/>
      <c r="Y659" s="99"/>
      <c r="Z659" s="99"/>
      <c r="AA659" s="99"/>
      <c r="AB659" s="99"/>
      <c r="AC659" s="99"/>
    </row>
    <row r="660">
      <c r="A660" s="157"/>
      <c r="B660" s="99"/>
      <c r="C660" s="99"/>
      <c r="D660" s="99"/>
      <c r="E660" s="99"/>
      <c r="F660" s="170"/>
      <c r="G660" s="99"/>
      <c r="H660" s="99"/>
      <c r="I660" s="99"/>
      <c r="J660" s="171"/>
      <c r="K660" s="99"/>
      <c r="L660" s="99"/>
      <c r="M660" s="99"/>
      <c r="N660" s="99"/>
      <c r="O660" s="99"/>
      <c r="P660" s="99"/>
      <c r="Q660" s="99"/>
      <c r="R660" s="99"/>
      <c r="S660" s="99"/>
      <c r="T660" s="99"/>
      <c r="U660" s="99"/>
      <c r="V660" s="99"/>
      <c r="W660" s="99"/>
      <c r="X660" s="99"/>
      <c r="Y660" s="99"/>
      <c r="Z660" s="99"/>
      <c r="AA660" s="99"/>
      <c r="AB660" s="99"/>
      <c r="AC660" s="99"/>
    </row>
    <row r="661">
      <c r="A661" s="157"/>
      <c r="B661" s="99"/>
      <c r="C661" s="99"/>
      <c r="D661" s="99"/>
      <c r="E661" s="99"/>
      <c r="F661" s="170"/>
      <c r="G661" s="99"/>
      <c r="H661" s="99"/>
      <c r="I661" s="99"/>
      <c r="J661" s="171"/>
      <c r="K661" s="99"/>
      <c r="L661" s="99"/>
      <c r="M661" s="99"/>
      <c r="N661" s="99"/>
      <c r="O661" s="99"/>
      <c r="P661" s="99"/>
      <c r="Q661" s="99"/>
      <c r="R661" s="99"/>
      <c r="S661" s="99"/>
      <c r="T661" s="99"/>
      <c r="U661" s="99"/>
      <c r="V661" s="99"/>
      <c r="W661" s="99"/>
      <c r="X661" s="99"/>
      <c r="Y661" s="99"/>
      <c r="Z661" s="99"/>
      <c r="AA661" s="99"/>
      <c r="AB661" s="99"/>
      <c r="AC661" s="99"/>
    </row>
    <row r="662">
      <c r="A662" s="157"/>
      <c r="B662" s="99"/>
      <c r="C662" s="99"/>
      <c r="D662" s="99"/>
      <c r="E662" s="99"/>
      <c r="F662" s="170"/>
      <c r="G662" s="99"/>
      <c r="H662" s="99"/>
      <c r="I662" s="99"/>
      <c r="J662" s="171"/>
      <c r="K662" s="99"/>
      <c r="L662" s="99"/>
      <c r="M662" s="99"/>
      <c r="N662" s="99"/>
      <c r="O662" s="99"/>
      <c r="P662" s="99"/>
      <c r="Q662" s="99"/>
      <c r="R662" s="99"/>
      <c r="S662" s="99"/>
      <c r="T662" s="99"/>
      <c r="U662" s="99"/>
      <c r="V662" s="99"/>
      <c r="W662" s="99"/>
      <c r="X662" s="99"/>
      <c r="Y662" s="99"/>
      <c r="Z662" s="99"/>
      <c r="AA662" s="99"/>
      <c r="AB662" s="99"/>
      <c r="AC662" s="99"/>
    </row>
    <row r="663">
      <c r="A663" s="157"/>
      <c r="B663" s="99"/>
      <c r="C663" s="99"/>
      <c r="D663" s="99"/>
      <c r="E663" s="99"/>
      <c r="F663" s="170"/>
      <c r="G663" s="99"/>
      <c r="H663" s="99"/>
      <c r="I663" s="99"/>
      <c r="J663" s="171"/>
      <c r="K663" s="99"/>
      <c r="L663" s="99"/>
      <c r="M663" s="99"/>
      <c r="N663" s="99"/>
      <c r="O663" s="99"/>
      <c r="P663" s="99"/>
      <c r="Q663" s="99"/>
      <c r="R663" s="99"/>
      <c r="S663" s="99"/>
      <c r="T663" s="99"/>
      <c r="U663" s="99"/>
      <c r="V663" s="99"/>
      <c r="W663" s="99"/>
      <c r="X663" s="99"/>
      <c r="Y663" s="99"/>
      <c r="Z663" s="99"/>
      <c r="AA663" s="99"/>
      <c r="AB663" s="99"/>
      <c r="AC663" s="99"/>
    </row>
    <row r="664">
      <c r="A664" s="157"/>
      <c r="B664" s="99"/>
      <c r="C664" s="99"/>
      <c r="D664" s="99"/>
      <c r="E664" s="99"/>
      <c r="F664" s="170"/>
      <c r="G664" s="99"/>
      <c r="H664" s="99"/>
      <c r="I664" s="99"/>
      <c r="J664" s="171"/>
      <c r="K664" s="99"/>
      <c r="L664" s="99"/>
      <c r="M664" s="99"/>
      <c r="N664" s="99"/>
      <c r="O664" s="99"/>
      <c r="P664" s="99"/>
      <c r="Q664" s="99"/>
      <c r="R664" s="99"/>
      <c r="S664" s="99"/>
      <c r="T664" s="99"/>
      <c r="U664" s="99"/>
      <c r="V664" s="99"/>
      <c r="W664" s="99"/>
      <c r="X664" s="99"/>
      <c r="Y664" s="99"/>
      <c r="Z664" s="99"/>
      <c r="AA664" s="99"/>
      <c r="AB664" s="99"/>
      <c r="AC664" s="99"/>
    </row>
    <row r="665">
      <c r="A665" s="157"/>
      <c r="B665" s="99"/>
      <c r="C665" s="99"/>
      <c r="D665" s="99"/>
      <c r="E665" s="99"/>
      <c r="F665" s="170"/>
      <c r="G665" s="99"/>
      <c r="H665" s="99"/>
      <c r="I665" s="99"/>
      <c r="J665" s="171"/>
      <c r="K665" s="99"/>
      <c r="L665" s="99"/>
      <c r="M665" s="99"/>
      <c r="N665" s="99"/>
      <c r="O665" s="99"/>
      <c r="P665" s="99"/>
      <c r="Q665" s="99"/>
      <c r="R665" s="99"/>
      <c r="S665" s="99"/>
      <c r="T665" s="99"/>
      <c r="U665" s="99"/>
      <c r="V665" s="99"/>
      <c r="W665" s="99"/>
      <c r="X665" s="99"/>
      <c r="Y665" s="99"/>
      <c r="Z665" s="99"/>
      <c r="AA665" s="99"/>
      <c r="AB665" s="99"/>
      <c r="AC665" s="99"/>
    </row>
    <row r="666">
      <c r="A666" s="157"/>
      <c r="B666" s="99"/>
      <c r="C666" s="99"/>
      <c r="D666" s="99"/>
      <c r="E666" s="99"/>
      <c r="F666" s="170"/>
      <c r="G666" s="99"/>
      <c r="H666" s="99"/>
      <c r="I666" s="99"/>
      <c r="J666" s="171"/>
      <c r="K666" s="99"/>
      <c r="L666" s="99"/>
      <c r="M666" s="99"/>
      <c r="N666" s="99"/>
      <c r="O666" s="99"/>
      <c r="P666" s="99"/>
      <c r="Q666" s="99"/>
      <c r="R666" s="99"/>
      <c r="S666" s="99"/>
      <c r="T666" s="99"/>
      <c r="U666" s="99"/>
      <c r="V666" s="99"/>
      <c r="W666" s="99"/>
      <c r="X666" s="99"/>
      <c r="Y666" s="99"/>
      <c r="Z666" s="99"/>
      <c r="AA666" s="99"/>
      <c r="AB666" s="99"/>
      <c r="AC666" s="99"/>
    </row>
    <row r="667">
      <c r="A667" s="157"/>
      <c r="B667" s="99"/>
      <c r="C667" s="99"/>
      <c r="D667" s="99"/>
      <c r="E667" s="99"/>
      <c r="F667" s="170"/>
      <c r="G667" s="99"/>
      <c r="H667" s="99"/>
      <c r="I667" s="99"/>
      <c r="J667" s="171"/>
      <c r="K667" s="99"/>
      <c r="L667" s="99"/>
      <c r="M667" s="99"/>
      <c r="N667" s="99"/>
      <c r="O667" s="99"/>
      <c r="P667" s="99"/>
      <c r="Q667" s="99"/>
      <c r="R667" s="99"/>
      <c r="S667" s="99"/>
      <c r="T667" s="99"/>
      <c r="U667" s="99"/>
      <c r="V667" s="99"/>
      <c r="W667" s="99"/>
      <c r="X667" s="99"/>
      <c r="Y667" s="99"/>
      <c r="Z667" s="99"/>
      <c r="AA667" s="99"/>
      <c r="AB667" s="99"/>
      <c r="AC667" s="99"/>
    </row>
    <row r="668">
      <c r="A668" s="157"/>
      <c r="B668" s="99"/>
      <c r="C668" s="99"/>
      <c r="D668" s="99"/>
      <c r="E668" s="99"/>
      <c r="F668" s="170"/>
      <c r="G668" s="99"/>
      <c r="H668" s="99"/>
      <c r="I668" s="99"/>
      <c r="J668" s="171"/>
      <c r="K668" s="99"/>
      <c r="L668" s="99"/>
      <c r="M668" s="99"/>
      <c r="N668" s="99"/>
      <c r="O668" s="99"/>
      <c r="P668" s="99"/>
      <c r="Q668" s="99"/>
      <c r="R668" s="99"/>
      <c r="S668" s="99"/>
      <c r="T668" s="99"/>
      <c r="U668" s="99"/>
      <c r="V668" s="99"/>
      <c r="W668" s="99"/>
      <c r="X668" s="99"/>
      <c r="Y668" s="99"/>
      <c r="Z668" s="99"/>
      <c r="AA668" s="99"/>
      <c r="AB668" s="99"/>
      <c r="AC668" s="99"/>
    </row>
    <row r="669">
      <c r="A669" s="157"/>
      <c r="B669" s="99"/>
      <c r="C669" s="99"/>
      <c r="D669" s="99"/>
      <c r="E669" s="99"/>
      <c r="F669" s="170"/>
      <c r="G669" s="99"/>
      <c r="H669" s="99"/>
      <c r="I669" s="99"/>
      <c r="J669" s="171"/>
      <c r="K669" s="99"/>
      <c r="L669" s="99"/>
      <c r="M669" s="99"/>
      <c r="N669" s="99"/>
      <c r="O669" s="99"/>
      <c r="P669" s="99"/>
      <c r="Q669" s="99"/>
      <c r="R669" s="99"/>
      <c r="S669" s="99"/>
      <c r="T669" s="99"/>
      <c r="U669" s="99"/>
      <c r="V669" s="99"/>
      <c r="W669" s="99"/>
      <c r="X669" s="99"/>
      <c r="Y669" s="99"/>
      <c r="Z669" s="99"/>
      <c r="AA669" s="99"/>
      <c r="AB669" s="99"/>
      <c r="AC669" s="99"/>
    </row>
    <row r="670">
      <c r="A670" s="157"/>
      <c r="B670" s="99"/>
      <c r="C670" s="99"/>
      <c r="D670" s="99"/>
      <c r="E670" s="99"/>
      <c r="F670" s="170"/>
      <c r="G670" s="99"/>
      <c r="H670" s="99"/>
      <c r="I670" s="99"/>
      <c r="J670" s="171"/>
      <c r="K670" s="99"/>
      <c r="L670" s="99"/>
      <c r="M670" s="99"/>
      <c r="N670" s="99"/>
      <c r="O670" s="99"/>
      <c r="P670" s="99"/>
      <c r="Q670" s="99"/>
      <c r="R670" s="99"/>
      <c r="S670" s="99"/>
      <c r="T670" s="99"/>
      <c r="U670" s="99"/>
      <c r="V670" s="99"/>
      <c r="W670" s="99"/>
      <c r="X670" s="99"/>
      <c r="Y670" s="99"/>
      <c r="Z670" s="99"/>
      <c r="AA670" s="99"/>
      <c r="AB670" s="99"/>
      <c r="AC670" s="99"/>
    </row>
    <row r="671">
      <c r="A671" s="157"/>
      <c r="B671" s="99"/>
      <c r="C671" s="99"/>
      <c r="D671" s="99"/>
      <c r="E671" s="99"/>
      <c r="F671" s="170"/>
      <c r="G671" s="99"/>
      <c r="H671" s="99"/>
      <c r="I671" s="99"/>
      <c r="J671" s="171"/>
      <c r="K671" s="99"/>
      <c r="L671" s="99"/>
      <c r="M671" s="99"/>
      <c r="N671" s="99"/>
      <c r="O671" s="99"/>
      <c r="P671" s="99"/>
      <c r="Q671" s="99"/>
      <c r="R671" s="99"/>
      <c r="S671" s="99"/>
      <c r="T671" s="99"/>
      <c r="U671" s="99"/>
      <c r="V671" s="99"/>
      <c r="W671" s="99"/>
      <c r="X671" s="99"/>
      <c r="Y671" s="99"/>
      <c r="Z671" s="99"/>
      <c r="AA671" s="99"/>
      <c r="AB671" s="99"/>
      <c r="AC671" s="99"/>
    </row>
    <row r="672">
      <c r="A672" s="157"/>
      <c r="B672" s="99"/>
      <c r="C672" s="99"/>
      <c r="D672" s="99"/>
      <c r="E672" s="99"/>
      <c r="F672" s="170"/>
      <c r="G672" s="99"/>
      <c r="H672" s="99"/>
      <c r="I672" s="99"/>
      <c r="J672" s="171"/>
      <c r="K672" s="99"/>
      <c r="L672" s="99"/>
      <c r="M672" s="99"/>
      <c r="N672" s="99"/>
      <c r="O672" s="99"/>
      <c r="P672" s="99"/>
      <c r="Q672" s="99"/>
      <c r="R672" s="99"/>
      <c r="S672" s="99"/>
      <c r="T672" s="99"/>
      <c r="U672" s="99"/>
      <c r="V672" s="99"/>
      <c r="W672" s="99"/>
      <c r="X672" s="99"/>
      <c r="Y672" s="99"/>
      <c r="Z672" s="99"/>
      <c r="AA672" s="99"/>
      <c r="AB672" s="99"/>
      <c r="AC672" s="99"/>
    </row>
    <row r="673">
      <c r="A673" s="157"/>
      <c r="B673" s="99"/>
      <c r="C673" s="99"/>
      <c r="D673" s="99"/>
      <c r="E673" s="99"/>
      <c r="F673" s="170"/>
      <c r="G673" s="99"/>
      <c r="H673" s="99"/>
      <c r="I673" s="99"/>
      <c r="J673" s="171"/>
      <c r="K673" s="99"/>
      <c r="L673" s="99"/>
      <c r="M673" s="99"/>
      <c r="N673" s="99"/>
      <c r="O673" s="99"/>
      <c r="P673" s="99"/>
      <c r="Q673" s="99"/>
      <c r="R673" s="99"/>
      <c r="S673" s="99"/>
      <c r="T673" s="99"/>
      <c r="U673" s="99"/>
      <c r="V673" s="99"/>
      <c r="W673" s="99"/>
      <c r="X673" s="99"/>
      <c r="Y673" s="99"/>
      <c r="Z673" s="99"/>
      <c r="AA673" s="99"/>
      <c r="AB673" s="99"/>
      <c r="AC673" s="99"/>
    </row>
    <row r="674">
      <c r="A674" s="157"/>
      <c r="B674" s="99"/>
      <c r="C674" s="99"/>
      <c r="D674" s="99"/>
      <c r="E674" s="99"/>
      <c r="F674" s="170"/>
      <c r="G674" s="99"/>
      <c r="H674" s="99"/>
      <c r="I674" s="99"/>
      <c r="J674" s="171"/>
      <c r="K674" s="99"/>
      <c r="L674" s="99"/>
      <c r="M674" s="99"/>
      <c r="N674" s="99"/>
      <c r="O674" s="99"/>
      <c r="P674" s="99"/>
      <c r="Q674" s="99"/>
      <c r="R674" s="99"/>
      <c r="S674" s="99"/>
      <c r="T674" s="99"/>
      <c r="U674" s="99"/>
      <c r="V674" s="99"/>
      <c r="W674" s="99"/>
      <c r="X674" s="99"/>
      <c r="Y674" s="99"/>
      <c r="Z674" s="99"/>
      <c r="AA674" s="99"/>
      <c r="AB674" s="99"/>
      <c r="AC674" s="99"/>
    </row>
    <row r="675">
      <c r="A675" s="157"/>
      <c r="B675" s="99"/>
      <c r="C675" s="99"/>
      <c r="D675" s="99"/>
      <c r="E675" s="99"/>
      <c r="F675" s="170"/>
      <c r="G675" s="99"/>
      <c r="H675" s="99"/>
      <c r="I675" s="99"/>
      <c r="J675" s="171"/>
      <c r="K675" s="99"/>
      <c r="L675" s="99"/>
      <c r="M675" s="99"/>
      <c r="N675" s="99"/>
      <c r="O675" s="99"/>
      <c r="P675" s="99"/>
      <c r="Q675" s="99"/>
      <c r="R675" s="99"/>
      <c r="S675" s="99"/>
      <c r="T675" s="99"/>
      <c r="U675" s="99"/>
      <c r="V675" s="99"/>
      <c r="W675" s="99"/>
      <c r="X675" s="99"/>
      <c r="Y675" s="99"/>
      <c r="Z675" s="99"/>
      <c r="AA675" s="99"/>
      <c r="AB675" s="99"/>
      <c r="AC675" s="99"/>
    </row>
    <row r="676">
      <c r="A676" s="157"/>
      <c r="B676" s="99"/>
      <c r="C676" s="99"/>
      <c r="D676" s="99"/>
      <c r="E676" s="99"/>
      <c r="F676" s="170"/>
      <c r="G676" s="99"/>
      <c r="H676" s="99"/>
      <c r="I676" s="99"/>
      <c r="J676" s="171"/>
      <c r="K676" s="99"/>
      <c r="L676" s="99"/>
      <c r="M676" s="99"/>
      <c r="N676" s="99"/>
      <c r="O676" s="99"/>
      <c r="P676" s="99"/>
      <c r="Q676" s="99"/>
      <c r="R676" s="99"/>
      <c r="S676" s="99"/>
      <c r="T676" s="99"/>
      <c r="U676" s="99"/>
      <c r="V676" s="99"/>
      <c r="W676" s="99"/>
      <c r="X676" s="99"/>
      <c r="Y676" s="99"/>
      <c r="Z676" s="99"/>
      <c r="AA676" s="99"/>
      <c r="AB676" s="99"/>
      <c r="AC676" s="99"/>
    </row>
    <row r="677">
      <c r="A677" s="157"/>
      <c r="B677" s="99"/>
      <c r="C677" s="99"/>
      <c r="D677" s="99"/>
      <c r="E677" s="99"/>
      <c r="F677" s="170"/>
      <c r="G677" s="99"/>
      <c r="H677" s="99"/>
      <c r="I677" s="99"/>
      <c r="J677" s="171"/>
      <c r="K677" s="99"/>
      <c r="L677" s="99"/>
      <c r="M677" s="99"/>
      <c r="N677" s="99"/>
      <c r="O677" s="99"/>
      <c r="P677" s="99"/>
      <c r="Q677" s="99"/>
      <c r="R677" s="99"/>
      <c r="S677" s="99"/>
      <c r="T677" s="99"/>
      <c r="U677" s="99"/>
      <c r="V677" s="99"/>
      <c r="W677" s="99"/>
      <c r="X677" s="99"/>
      <c r="Y677" s="99"/>
      <c r="Z677" s="99"/>
      <c r="AA677" s="99"/>
      <c r="AB677" s="99"/>
      <c r="AC677" s="99"/>
    </row>
    <row r="678">
      <c r="A678" s="157"/>
      <c r="B678" s="99"/>
      <c r="C678" s="99"/>
      <c r="D678" s="99"/>
      <c r="E678" s="99"/>
      <c r="F678" s="170"/>
      <c r="G678" s="99"/>
      <c r="H678" s="99"/>
      <c r="I678" s="99"/>
      <c r="J678" s="171"/>
      <c r="K678" s="99"/>
      <c r="L678" s="99"/>
      <c r="M678" s="99"/>
      <c r="N678" s="99"/>
      <c r="O678" s="99"/>
      <c r="P678" s="99"/>
      <c r="Q678" s="99"/>
      <c r="R678" s="99"/>
      <c r="S678" s="99"/>
      <c r="T678" s="99"/>
      <c r="U678" s="99"/>
      <c r="V678" s="99"/>
      <c r="W678" s="99"/>
      <c r="X678" s="99"/>
      <c r="Y678" s="99"/>
      <c r="Z678" s="99"/>
      <c r="AA678" s="99"/>
      <c r="AB678" s="99"/>
      <c r="AC678" s="99"/>
    </row>
    <row r="679">
      <c r="A679" s="157"/>
      <c r="B679" s="99"/>
      <c r="C679" s="99"/>
      <c r="D679" s="99"/>
      <c r="E679" s="99"/>
      <c r="F679" s="170"/>
      <c r="G679" s="99"/>
      <c r="H679" s="99"/>
      <c r="I679" s="99"/>
      <c r="J679" s="171"/>
      <c r="K679" s="99"/>
      <c r="L679" s="99"/>
      <c r="M679" s="99"/>
      <c r="N679" s="99"/>
      <c r="O679" s="99"/>
      <c r="P679" s="99"/>
      <c r="Q679" s="99"/>
      <c r="R679" s="99"/>
      <c r="S679" s="99"/>
      <c r="T679" s="99"/>
      <c r="U679" s="99"/>
      <c r="V679" s="99"/>
      <c r="W679" s="99"/>
      <c r="X679" s="99"/>
      <c r="Y679" s="99"/>
      <c r="Z679" s="99"/>
      <c r="AA679" s="99"/>
      <c r="AB679" s="99"/>
      <c r="AC679" s="99"/>
    </row>
    <row r="680">
      <c r="A680" s="157"/>
      <c r="B680" s="99"/>
      <c r="C680" s="99"/>
      <c r="D680" s="99"/>
      <c r="E680" s="99"/>
      <c r="F680" s="170"/>
      <c r="G680" s="99"/>
      <c r="H680" s="99"/>
      <c r="I680" s="99"/>
      <c r="J680" s="171"/>
      <c r="K680" s="99"/>
      <c r="L680" s="99"/>
      <c r="M680" s="99"/>
      <c r="N680" s="99"/>
      <c r="O680" s="99"/>
      <c r="P680" s="99"/>
      <c r="Q680" s="99"/>
      <c r="R680" s="99"/>
      <c r="S680" s="99"/>
      <c r="T680" s="99"/>
      <c r="U680" s="99"/>
      <c r="V680" s="99"/>
      <c r="W680" s="99"/>
      <c r="X680" s="99"/>
      <c r="Y680" s="99"/>
      <c r="Z680" s="99"/>
      <c r="AA680" s="99"/>
      <c r="AB680" s="99"/>
      <c r="AC680" s="99"/>
    </row>
    <row r="681">
      <c r="A681" s="157"/>
      <c r="B681" s="99"/>
      <c r="C681" s="99"/>
      <c r="D681" s="99"/>
      <c r="E681" s="99"/>
      <c r="F681" s="170"/>
      <c r="G681" s="99"/>
      <c r="H681" s="99"/>
      <c r="I681" s="99"/>
      <c r="J681" s="171"/>
      <c r="K681" s="99"/>
      <c r="L681" s="99"/>
      <c r="M681" s="99"/>
      <c r="N681" s="99"/>
      <c r="O681" s="99"/>
      <c r="P681" s="99"/>
      <c r="Q681" s="99"/>
      <c r="R681" s="99"/>
      <c r="S681" s="99"/>
      <c r="T681" s="99"/>
      <c r="U681" s="99"/>
      <c r="V681" s="99"/>
      <c r="W681" s="99"/>
      <c r="X681" s="99"/>
      <c r="Y681" s="99"/>
      <c r="Z681" s="99"/>
      <c r="AA681" s="99"/>
      <c r="AB681" s="99"/>
      <c r="AC681" s="99"/>
    </row>
    <row r="682">
      <c r="A682" s="157"/>
      <c r="B682" s="99"/>
      <c r="C682" s="99"/>
      <c r="D682" s="99"/>
      <c r="E682" s="99"/>
      <c r="F682" s="170"/>
      <c r="G682" s="99"/>
      <c r="H682" s="99"/>
      <c r="I682" s="99"/>
      <c r="J682" s="171"/>
      <c r="K682" s="99"/>
      <c r="L682" s="99"/>
      <c r="M682" s="99"/>
      <c r="N682" s="99"/>
      <c r="O682" s="99"/>
      <c r="P682" s="99"/>
      <c r="Q682" s="99"/>
      <c r="R682" s="99"/>
      <c r="S682" s="99"/>
      <c r="T682" s="99"/>
      <c r="U682" s="99"/>
      <c r="V682" s="99"/>
      <c r="W682" s="99"/>
      <c r="X682" s="99"/>
      <c r="Y682" s="99"/>
      <c r="Z682" s="99"/>
      <c r="AA682" s="99"/>
      <c r="AB682" s="99"/>
      <c r="AC682" s="99"/>
    </row>
    <row r="683">
      <c r="A683" s="157"/>
      <c r="B683" s="99"/>
      <c r="C683" s="99"/>
      <c r="D683" s="99"/>
      <c r="E683" s="99"/>
      <c r="F683" s="170"/>
      <c r="G683" s="99"/>
      <c r="H683" s="99"/>
      <c r="I683" s="99"/>
      <c r="J683" s="171"/>
      <c r="K683" s="99"/>
      <c r="L683" s="99"/>
      <c r="M683" s="99"/>
      <c r="N683" s="99"/>
      <c r="O683" s="99"/>
      <c r="P683" s="99"/>
      <c r="Q683" s="99"/>
      <c r="R683" s="99"/>
      <c r="S683" s="99"/>
      <c r="T683" s="99"/>
      <c r="U683" s="99"/>
      <c r="V683" s="99"/>
      <c r="W683" s="99"/>
      <c r="X683" s="99"/>
      <c r="Y683" s="99"/>
      <c r="Z683" s="99"/>
      <c r="AA683" s="99"/>
      <c r="AB683" s="99"/>
      <c r="AC683" s="99"/>
    </row>
    <row r="684">
      <c r="A684" s="157"/>
      <c r="B684" s="99"/>
      <c r="C684" s="99"/>
      <c r="D684" s="99"/>
      <c r="E684" s="99"/>
      <c r="F684" s="170"/>
      <c r="G684" s="99"/>
      <c r="H684" s="99"/>
      <c r="I684" s="99"/>
      <c r="J684" s="171"/>
      <c r="K684" s="99"/>
      <c r="L684" s="99"/>
      <c r="M684" s="99"/>
      <c r="N684" s="99"/>
      <c r="O684" s="99"/>
      <c r="P684" s="99"/>
      <c r="Q684" s="99"/>
      <c r="R684" s="99"/>
      <c r="S684" s="99"/>
      <c r="T684" s="99"/>
      <c r="U684" s="99"/>
      <c r="V684" s="99"/>
      <c r="W684" s="99"/>
      <c r="X684" s="99"/>
      <c r="Y684" s="99"/>
      <c r="Z684" s="99"/>
      <c r="AA684" s="99"/>
      <c r="AB684" s="99"/>
      <c r="AC684" s="99"/>
    </row>
    <row r="685">
      <c r="A685" s="157"/>
      <c r="B685" s="99"/>
      <c r="C685" s="99"/>
      <c r="D685" s="99"/>
      <c r="E685" s="99"/>
      <c r="F685" s="170"/>
      <c r="G685" s="99"/>
      <c r="H685" s="99"/>
      <c r="I685" s="99"/>
      <c r="J685" s="171"/>
      <c r="K685" s="99"/>
      <c r="L685" s="99"/>
      <c r="M685" s="99"/>
      <c r="N685" s="99"/>
      <c r="O685" s="99"/>
      <c r="P685" s="99"/>
      <c r="Q685" s="99"/>
      <c r="R685" s="99"/>
      <c r="S685" s="99"/>
      <c r="T685" s="99"/>
      <c r="U685" s="99"/>
      <c r="V685" s="99"/>
      <c r="W685" s="99"/>
      <c r="X685" s="99"/>
      <c r="Y685" s="99"/>
      <c r="Z685" s="99"/>
      <c r="AA685" s="99"/>
      <c r="AB685" s="99"/>
      <c r="AC685" s="99"/>
    </row>
    <row r="686">
      <c r="A686" s="157"/>
      <c r="B686" s="99"/>
      <c r="C686" s="99"/>
      <c r="D686" s="99"/>
      <c r="E686" s="99"/>
      <c r="F686" s="170"/>
      <c r="G686" s="99"/>
      <c r="H686" s="99"/>
      <c r="I686" s="99"/>
      <c r="J686" s="171"/>
      <c r="K686" s="99"/>
      <c r="L686" s="99"/>
      <c r="M686" s="99"/>
      <c r="N686" s="99"/>
      <c r="O686" s="99"/>
      <c r="P686" s="99"/>
      <c r="Q686" s="99"/>
      <c r="R686" s="99"/>
      <c r="S686" s="99"/>
      <c r="T686" s="99"/>
      <c r="U686" s="99"/>
      <c r="V686" s="99"/>
      <c r="W686" s="99"/>
      <c r="X686" s="99"/>
      <c r="Y686" s="99"/>
      <c r="Z686" s="99"/>
      <c r="AA686" s="99"/>
      <c r="AB686" s="99"/>
      <c r="AC686" s="99"/>
    </row>
    <row r="687">
      <c r="A687" s="157"/>
      <c r="B687" s="99"/>
      <c r="C687" s="99"/>
      <c r="D687" s="99"/>
      <c r="E687" s="99"/>
      <c r="F687" s="170"/>
      <c r="G687" s="99"/>
      <c r="H687" s="99"/>
      <c r="I687" s="99"/>
      <c r="J687" s="171"/>
      <c r="K687" s="99"/>
      <c r="L687" s="99"/>
      <c r="M687" s="99"/>
      <c r="N687" s="99"/>
      <c r="O687" s="99"/>
      <c r="P687" s="99"/>
      <c r="Q687" s="99"/>
      <c r="R687" s="99"/>
      <c r="S687" s="99"/>
      <c r="T687" s="99"/>
      <c r="U687" s="99"/>
      <c r="V687" s="99"/>
      <c r="W687" s="99"/>
      <c r="X687" s="99"/>
      <c r="Y687" s="99"/>
      <c r="Z687" s="99"/>
      <c r="AA687" s="99"/>
      <c r="AB687" s="99"/>
      <c r="AC687" s="99"/>
    </row>
    <row r="688">
      <c r="A688" s="157"/>
      <c r="B688" s="99"/>
      <c r="C688" s="99"/>
      <c r="D688" s="99"/>
      <c r="E688" s="99"/>
      <c r="F688" s="170"/>
      <c r="G688" s="99"/>
      <c r="H688" s="99"/>
      <c r="I688" s="99"/>
      <c r="J688" s="171"/>
      <c r="K688" s="99"/>
      <c r="L688" s="99"/>
      <c r="M688" s="99"/>
      <c r="N688" s="99"/>
      <c r="O688" s="99"/>
      <c r="P688" s="99"/>
      <c r="Q688" s="99"/>
      <c r="R688" s="99"/>
      <c r="S688" s="99"/>
      <c r="T688" s="99"/>
      <c r="U688" s="99"/>
      <c r="V688" s="99"/>
      <c r="W688" s="99"/>
      <c r="X688" s="99"/>
      <c r="Y688" s="99"/>
      <c r="Z688" s="99"/>
      <c r="AA688" s="99"/>
      <c r="AB688" s="99"/>
      <c r="AC688" s="99"/>
    </row>
    <row r="689">
      <c r="A689" s="157"/>
      <c r="B689" s="99"/>
      <c r="C689" s="99"/>
      <c r="D689" s="99"/>
      <c r="E689" s="99"/>
      <c r="F689" s="170"/>
      <c r="G689" s="99"/>
      <c r="H689" s="99"/>
      <c r="I689" s="99"/>
      <c r="J689" s="171"/>
      <c r="K689" s="99"/>
      <c r="L689" s="99"/>
      <c r="M689" s="99"/>
      <c r="N689" s="99"/>
      <c r="O689" s="99"/>
      <c r="P689" s="99"/>
      <c r="Q689" s="99"/>
      <c r="R689" s="99"/>
      <c r="S689" s="99"/>
      <c r="T689" s="99"/>
      <c r="U689" s="99"/>
      <c r="V689" s="99"/>
      <c r="W689" s="99"/>
      <c r="X689" s="99"/>
      <c r="Y689" s="99"/>
      <c r="Z689" s="99"/>
      <c r="AA689" s="99"/>
      <c r="AB689" s="99"/>
      <c r="AC689" s="99"/>
    </row>
    <row r="690">
      <c r="A690" s="157"/>
      <c r="B690" s="99"/>
      <c r="C690" s="99"/>
      <c r="D690" s="99"/>
      <c r="E690" s="99"/>
      <c r="F690" s="170"/>
      <c r="G690" s="99"/>
      <c r="H690" s="99"/>
      <c r="I690" s="99"/>
      <c r="J690" s="171"/>
      <c r="K690" s="99"/>
      <c r="L690" s="99"/>
      <c r="M690" s="99"/>
      <c r="N690" s="99"/>
      <c r="O690" s="99"/>
      <c r="P690" s="99"/>
      <c r="Q690" s="99"/>
      <c r="R690" s="99"/>
      <c r="S690" s="99"/>
      <c r="T690" s="99"/>
      <c r="U690" s="99"/>
      <c r="V690" s="99"/>
      <c r="W690" s="99"/>
      <c r="X690" s="99"/>
      <c r="Y690" s="99"/>
      <c r="Z690" s="99"/>
      <c r="AA690" s="99"/>
      <c r="AB690" s="99"/>
      <c r="AC690" s="99"/>
    </row>
    <row r="691">
      <c r="A691" s="157"/>
      <c r="B691" s="99"/>
      <c r="C691" s="99"/>
      <c r="D691" s="99"/>
      <c r="E691" s="99"/>
      <c r="F691" s="170"/>
      <c r="G691" s="99"/>
      <c r="H691" s="99"/>
      <c r="I691" s="99"/>
      <c r="J691" s="171"/>
      <c r="K691" s="99"/>
      <c r="L691" s="99"/>
      <c r="M691" s="99"/>
      <c r="N691" s="99"/>
      <c r="O691" s="99"/>
      <c r="P691" s="99"/>
      <c r="Q691" s="99"/>
      <c r="R691" s="99"/>
      <c r="S691" s="99"/>
      <c r="T691" s="99"/>
      <c r="U691" s="99"/>
      <c r="V691" s="99"/>
      <c r="W691" s="99"/>
      <c r="X691" s="99"/>
      <c r="Y691" s="99"/>
      <c r="Z691" s="99"/>
      <c r="AA691" s="99"/>
      <c r="AB691" s="99"/>
      <c r="AC691" s="99"/>
    </row>
    <row r="692">
      <c r="A692" s="157"/>
      <c r="B692" s="99"/>
      <c r="C692" s="99"/>
      <c r="D692" s="99"/>
      <c r="E692" s="99"/>
      <c r="F692" s="170"/>
      <c r="G692" s="99"/>
      <c r="H692" s="99"/>
      <c r="I692" s="99"/>
      <c r="J692" s="171"/>
      <c r="K692" s="99"/>
      <c r="L692" s="99"/>
      <c r="M692" s="99"/>
      <c r="N692" s="99"/>
      <c r="O692" s="99"/>
      <c r="P692" s="99"/>
      <c r="Q692" s="99"/>
      <c r="R692" s="99"/>
      <c r="S692" s="99"/>
      <c r="T692" s="99"/>
      <c r="U692" s="99"/>
      <c r="V692" s="99"/>
      <c r="W692" s="99"/>
      <c r="X692" s="99"/>
      <c r="Y692" s="99"/>
      <c r="Z692" s="99"/>
      <c r="AA692" s="99"/>
      <c r="AB692" s="99"/>
      <c r="AC692" s="99"/>
    </row>
    <row r="693">
      <c r="A693" s="157"/>
      <c r="B693" s="99"/>
      <c r="C693" s="99"/>
      <c r="D693" s="99"/>
      <c r="E693" s="99"/>
      <c r="F693" s="170"/>
      <c r="G693" s="99"/>
      <c r="H693" s="99"/>
      <c r="I693" s="99"/>
      <c r="J693" s="171"/>
      <c r="K693" s="99"/>
      <c r="L693" s="99"/>
      <c r="M693" s="99"/>
      <c r="N693" s="99"/>
      <c r="O693" s="99"/>
      <c r="P693" s="99"/>
      <c r="Q693" s="99"/>
      <c r="R693" s="99"/>
      <c r="S693" s="99"/>
      <c r="T693" s="99"/>
      <c r="U693" s="99"/>
      <c r="V693" s="99"/>
      <c r="W693" s="99"/>
      <c r="X693" s="99"/>
      <c r="Y693" s="99"/>
      <c r="Z693" s="99"/>
      <c r="AA693" s="99"/>
      <c r="AB693" s="99"/>
      <c r="AC693" s="99"/>
    </row>
    <row r="694">
      <c r="A694" s="157"/>
      <c r="B694" s="99"/>
      <c r="C694" s="99"/>
      <c r="D694" s="99"/>
      <c r="E694" s="99"/>
      <c r="F694" s="170"/>
      <c r="G694" s="99"/>
      <c r="H694" s="99"/>
      <c r="I694" s="99"/>
      <c r="J694" s="171"/>
      <c r="K694" s="99"/>
      <c r="L694" s="99"/>
      <c r="M694" s="99"/>
      <c r="N694" s="99"/>
      <c r="O694" s="99"/>
      <c r="P694" s="99"/>
      <c r="Q694" s="99"/>
      <c r="R694" s="99"/>
      <c r="S694" s="99"/>
      <c r="T694" s="99"/>
      <c r="U694" s="99"/>
      <c r="V694" s="99"/>
      <c r="W694" s="99"/>
      <c r="X694" s="99"/>
      <c r="Y694" s="99"/>
      <c r="Z694" s="99"/>
      <c r="AA694" s="99"/>
      <c r="AB694" s="99"/>
      <c r="AC694" s="99"/>
    </row>
    <row r="695">
      <c r="A695" s="157"/>
      <c r="B695" s="99"/>
      <c r="C695" s="99"/>
      <c r="D695" s="99"/>
      <c r="E695" s="99"/>
      <c r="F695" s="170"/>
      <c r="G695" s="99"/>
      <c r="H695" s="99"/>
      <c r="I695" s="99"/>
      <c r="J695" s="171"/>
      <c r="K695" s="99"/>
      <c r="L695" s="99"/>
      <c r="M695" s="99"/>
      <c r="N695" s="99"/>
      <c r="O695" s="99"/>
      <c r="P695" s="99"/>
      <c r="Q695" s="99"/>
      <c r="R695" s="99"/>
      <c r="S695" s="99"/>
      <c r="T695" s="99"/>
      <c r="U695" s="99"/>
      <c r="V695" s="99"/>
      <c r="W695" s="99"/>
      <c r="X695" s="99"/>
      <c r="Y695" s="99"/>
      <c r="Z695" s="99"/>
      <c r="AA695" s="99"/>
      <c r="AB695" s="99"/>
      <c r="AC695" s="99"/>
    </row>
    <row r="696">
      <c r="A696" s="157"/>
      <c r="B696" s="99"/>
      <c r="C696" s="99"/>
      <c r="D696" s="99"/>
      <c r="E696" s="99"/>
      <c r="F696" s="170"/>
      <c r="G696" s="99"/>
      <c r="H696" s="99"/>
      <c r="I696" s="99"/>
      <c r="J696" s="171"/>
      <c r="K696" s="99"/>
      <c r="L696" s="99"/>
      <c r="M696" s="99"/>
      <c r="N696" s="99"/>
      <c r="O696" s="99"/>
      <c r="P696" s="99"/>
      <c r="Q696" s="99"/>
      <c r="R696" s="99"/>
      <c r="S696" s="99"/>
      <c r="T696" s="99"/>
      <c r="U696" s="99"/>
      <c r="V696" s="99"/>
      <c r="W696" s="99"/>
      <c r="X696" s="99"/>
      <c r="Y696" s="99"/>
      <c r="Z696" s="99"/>
      <c r="AA696" s="99"/>
      <c r="AB696" s="99"/>
      <c r="AC696" s="99"/>
    </row>
    <row r="697">
      <c r="A697" s="157"/>
      <c r="B697" s="99"/>
      <c r="C697" s="99"/>
      <c r="D697" s="99"/>
      <c r="E697" s="99"/>
      <c r="F697" s="170"/>
      <c r="G697" s="99"/>
      <c r="H697" s="99"/>
      <c r="I697" s="99"/>
      <c r="J697" s="171"/>
      <c r="K697" s="99"/>
      <c r="L697" s="99"/>
      <c r="M697" s="99"/>
      <c r="N697" s="99"/>
      <c r="O697" s="99"/>
      <c r="P697" s="99"/>
      <c r="Q697" s="99"/>
      <c r="R697" s="99"/>
      <c r="S697" s="99"/>
      <c r="T697" s="99"/>
      <c r="U697" s="99"/>
      <c r="V697" s="99"/>
      <c r="W697" s="99"/>
      <c r="X697" s="99"/>
      <c r="Y697" s="99"/>
      <c r="Z697" s="99"/>
      <c r="AA697" s="99"/>
      <c r="AB697" s="99"/>
      <c r="AC697" s="99"/>
    </row>
    <row r="698">
      <c r="A698" s="157"/>
      <c r="B698" s="99"/>
      <c r="C698" s="99"/>
      <c r="D698" s="99"/>
      <c r="E698" s="99"/>
      <c r="F698" s="170"/>
      <c r="G698" s="99"/>
      <c r="H698" s="99"/>
      <c r="I698" s="99"/>
      <c r="J698" s="171"/>
      <c r="K698" s="99"/>
      <c r="L698" s="99"/>
      <c r="M698" s="99"/>
      <c r="N698" s="99"/>
      <c r="O698" s="99"/>
      <c r="P698" s="99"/>
      <c r="Q698" s="99"/>
      <c r="R698" s="99"/>
      <c r="S698" s="99"/>
      <c r="T698" s="99"/>
      <c r="U698" s="99"/>
      <c r="V698" s="99"/>
      <c r="W698" s="99"/>
      <c r="X698" s="99"/>
      <c r="Y698" s="99"/>
      <c r="Z698" s="99"/>
      <c r="AA698" s="99"/>
      <c r="AB698" s="99"/>
      <c r="AC698" s="99"/>
    </row>
    <row r="699">
      <c r="A699" s="157"/>
      <c r="B699" s="99"/>
      <c r="C699" s="99"/>
      <c r="D699" s="99"/>
      <c r="E699" s="99"/>
      <c r="F699" s="170"/>
      <c r="G699" s="99"/>
      <c r="H699" s="99"/>
      <c r="I699" s="99"/>
      <c r="J699" s="171"/>
      <c r="K699" s="99"/>
      <c r="L699" s="99"/>
      <c r="M699" s="99"/>
      <c r="N699" s="99"/>
      <c r="O699" s="99"/>
      <c r="P699" s="99"/>
      <c r="Q699" s="99"/>
      <c r="R699" s="99"/>
      <c r="S699" s="99"/>
      <c r="T699" s="99"/>
      <c r="U699" s="99"/>
      <c r="V699" s="99"/>
      <c r="W699" s="99"/>
      <c r="X699" s="99"/>
      <c r="Y699" s="99"/>
      <c r="Z699" s="99"/>
      <c r="AA699" s="99"/>
      <c r="AB699" s="99"/>
      <c r="AC699" s="99"/>
    </row>
    <row r="700">
      <c r="A700" s="157"/>
      <c r="B700" s="99"/>
      <c r="C700" s="99"/>
      <c r="D700" s="99"/>
      <c r="E700" s="99"/>
      <c r="F700" s="170"/>
      <c r="G700" s="99"/>
      <c r="H700" s="99"/>
      <c r="I700" s="99"/>
      <c r="J700" s="171"/>
      <c r="K700" s="99"/>
      <c r="L700" s="99"/>
      <c r="M700" s="99"/>
      <c r="N700" s="99"/>
      <c r="O700" s="99"/>
      <c r="P700" s="99"/>
      <c r="Q700" s="99"/>
      <c r="R700" s="99"/>
      <c r="S700" s="99"/>
      <c r="T700" s="99"/>
      <c r="U700" s="99"/>
      <c r="V700" s="99"/>
      <c r="W700" s="99"/>
      <c r="X700" s="99"/>
      <c r="Y700" s="99"/>
      <c r="Z700" s="99"/>
      <c r="AA700" s="99"/>
      <c r="AB700" s="99"/>
      <c r="AC700" s="99"/>
    </row>
    <row r="701">
      <c r="A701" s="157"/>
      <c r="B701" s="99"/>
      <c r="C701" s="99"/>
      <c r="D701" s="99"/>
      <c r="E701" s="99"/>
      <c r="F701" s="170"/>
      <c r="G701" s="99"/>
      <c r="H701" s="99"/>
      <c r="I701" s="99"/>
      <c r="J701" s="171"/>
      <c r="K701" s="99"/>
      <c r="L701" s="99"/>
      <c r="M701" s="99"/>
      <c r="N701" s="99"/>
      <c r="O701" s="99"/>
      <c r="P701" s="99"/>
      <c r="Q701" s="99"/>
      <c r="R701" s="99"/>
      <c r="S701" s="99"/>
      <c r="T701" s="99"/>
      <c r="U701" s="99"/>
      <c r="V701" s="99"/>
      <c r="W701" s="99"/>
      <c r="X701" s="99"/>
      <c r="Y701" s="99"/>
      <c r="Z701" s="99"/>
      <c r="AA701" s="99"/>
      <c r="AB701" s="99"/>
      <c r="AC701" s="99"/>
    </row>
    <row r="702">
      <c r="A702" s="157"/>
      <c r="B702" s="99"/>
      <c r="C702" s="99"/>
      <c r="D702" s="99"/>
      <c r="E702" s="99"/>
      <c r="F702" s="170"/>
      <c r="G702" s="99"/>
      <c r="H702" s="99"/>
      <c r="I702" s="99"/>
      <c r="J702" s="171"/>
      <c r="K702" s="99"/>
      <c r="L702" s="99"/>
      <c r="M702" s="99"/>
      <c r="N702" s="99"/>
      <c r="O702" s="99"/>
      <c r="P702" s="99"/>
      <c r="Q702" s="99"/>
      <c r="R702" s="99"/>
      <c r="S702" s="99"/>
      <c r="T702" s="99"/>
      <c r="U702" s="99"/>
      <c r="V702" s="99"/>
      <c r="W702" s="99"/>
      <c r="X702" s="99"/>
      <c r="Y702" s="99"/>
      <c r="Z702" s="99"/>
      <c r="AA702" s="99"/>
      <c r="AB702" s="99"/>
      <c r="AC702" s="99"/>
    </row>
    <row r="703">
      <c r="A703" s="157"/>
      <c r="B703" s="99"/>
      <c r="C703" s="99"/>
      <c r="D703" s="99"/>
      <c r="E703" s="99"/>
      <c r="F703" s="170"/>
      <c r="G703" s="99"/>
      <c r="H703" s="99"/>
      <c r="I703" s="99"/>
      <c r="J703" s="171"/>
      <c r="K703" s="99"/>
      <c r="L703" s="99"/>
      <c r="M703" s="99"/>
      <c r="N703" s="99"/>
      <c r="O703" s="99"/>
      <c r="P703" s="99"/>
      <c r="Q703" s="99"/>
      <c r="R703" s="99"/>
      <c r="S703" s="99"/>
      <c r="T703" s="99"/>
      <c r="U703" s="99"/>
      <c r="V703" s="99"/>
      <c r="W703" s="99"/>
      <c r="X703" s="99"/>
      <c r="Y703" s="99"/>
      <c r="Z703" s="99"/>
      <c r="AA703" s="99"/>
      <c r="AB703" s="99"/>
      <c r="AC703" s="99"/>
    </row>
    <row r="704">
      <c r="A704" s="157"/>
      <c r="B704" s="99"/>
      <c r="C704" s="99"/>
      <c r="D704" s="99"/>
      <c r="E704" s="99"/>
      <c r="F704" s="170"/>
      <c r="G704" s="99"/>
      <c r="H704" s="99"/>
      <c r="I704" s="99"/>
      <c r="J704" s="171"/>
      <c r="K704" s="99"/>
      <c r="L704" s="99"/>
      <c r="M704" s="99"/>
      <c r="N704" s="99"/>
      <c r="O704" s="99"/>
      <c r="P704" s="99"/>
      <c r="Q704" s="99"/>
      <c r="R704" s="99"/>
      <c r="S704" s="99"/>
      <c r="T704" s="99"/>
      <c r="U704" s="99"/>
      <c r="V704" s="99"/>
      <c r="W704" s="99"/>
      <c r="X704" s="99"/>
      <c r="Y704" s="99"/>
      <c r="Z704" s="99"/>
      <c r="AA704" s="99"/>
      <c r="AB704" s="99"/>
      <c r="AC704" s="99"/>
    </row>
    <row r="705">
      <c r="A705" s="157"/>
      <c r="B705" s="99"/>
      <c r="C705" s="99"/>
      <c r="D705" s="99"/>
      <c r="E705" s="99"/>
      <c r="F705" s="170"/>
      <c r="G705" s="99"/>
      <c r="H705" s="99"/>
      <c r="I705" s="99"/>
      <c r="J705" s="171"/>
      <c r="K705" s="99"/>
      <c r="L705" s="99"/>
      <c r="M705" s="99"/>
      <c r="N705" s="99"/>
      <c r="O705" s="99"/>
      <c r="P705" s="99"/>
      <c r="Q705" s="99"/>
      <c r="R705" s="99"/>
      <c r="S705" s="99"/>
      <c r="T705" s="99"/>
      <c r="U705" s="99"/>
      <c r="V705" s="99"/>
      <c r="W705" s="99"/>
      <c r="X705" s="99"/>
      <c r="Y705" s="99"/>
      <c r="Z705" s="99"/>
      <c r="AA705" s="99"/>
      <c r="AB705" s="99"/>
      <c r="AC705" s="99"/>
    </row>
    <row r="706">
      <c r="A706" s="157"/>
      <c r="B706" s="99"/>
      <c r="C706" s="99"/>
      <c r="D706" s="99"/>
      <c r="E706" s="99"/>
      <c r="F706" s="170"/>
      <c r="G706" s="99"/>
      <c r="H706" s="99"/>
      <c r="I706" s="99"/>
      <c r="J706" s="171"/>
      <c r="K706" s="99"/>
      <c r="L706" s="99"/>
      <c r="M706" s="99"/>
      <c r="N706" s="99"/>
      <c r="O706" s="99"/>
      <c r="P706" s="99"/>
      <c r="Q706" s="99"/>
      <c r="R706" s="99"/>
      <c r="S706" s="99"/>
      <c r="T706" s="99"/>
      <c r="U706" s="99"/>
      <c r="V706" s="99"/>
      <c r="W706" s="99"/>
      <c r="X706" s="99"/>
      <c r="Y706" s="99"/>
      <c r="Z706" s="99"/>
      <c r="AA706" s="99"/>
      <c r="AB706" s="99"/>
      <c r="AC706" s="99"/>
    </row>
    <row r="707">
      <c r="A707" s="157"/>
      <c r="B707" s="99"/>
      <c r="C707" s="99"/>
      <c r="D707" s="99"/>
      <c r="E707" s="99"/>
      <c r="F707" s="170"/>
      <c r="G707" s="99"/>
      <c r="H707" s="99"/>
      <c r="I707" s="99"/>
      <c r="J707" s="171"/>
      <c r="K707" s="99"/>
      <c r="L707" s="99"/>
      <c r="M707" s="99"/>
      <c r="N707" s="99"/>
      <c r="O707" s="99"/>
      <c r="P707" s="99"/>
      <c r="Q707" s="99"/>
      <c r="R707" s="99"/>
      <c r="S707" s="99"/>
      <c r="T707" s="99"/>
      <c r="U707" s="99"/>
      <c r="V707" s="99"/>
      <c r="W707" s="99"/>
      <c r="X707" s="99"/>
      <c r="Y707" s="99"/>
      <c r="Z707" s="99"/>
      <c r="AA707" s="99"/>
      <c r="AB707" s="99"/>
      <c r="AC707" s="99"/>
    </row>
    <row r="708">
      <c r="A708" s="157"/>
      <c r="B708" s="99"/>
      <c r="C708" s="99"/>
      <c r="D708" s="99"/>
      <c r="E708" s="99"/>
      <c r="F708" s="170"/>
      <c r="G708" s="99"/>
      <c r="H708" s="99"/>
      <c r="I708" s="99"/>
      <c r="J708" s="171"/>
      <c r="K708" s="99"/>
      <c r="L708" s="99"/>
      <c r="M708" s="99"/>
      <c r="N708" s="99"/>
      <c r="O708" s="99"/>
      <c r="P708" s="99"/>
      <c r="Q708" s="99"/>
      <c r="R708" s="99"/>
      <c r="S708" s="99"/>
      <c r="T708" s="99"/>
      <c r="U708" s="99"/>
      <c r="V708" s="99"/>
      <c r="W708" s="99"/>
      <c r="X708" s="99"/>
      <c r="Y708" s="99"/>
      <c r="Z708" s="99"/>
      <c r="AA708" s="99"/>
      <c r="AB708" s="99"/>
      <c r="AC708" s="99"/>
    </row>
    <row r="709">
      <c r="A709" s="157"/>
      <c r="B709" s="99"/>
      <c r="C709" s="99"/>
      <c r="D709" s="99"/>
      <c r="E709" s="99"/>
      <c r="F709" s="170"/>
      <c r="G709" s="99"/>
      <c r="H709" s="99"/>
      <c r="I709" s="99"/>
      <c r="J709" s="171"/>
      <c r="K709" s="99"/>
      <c r="L709" s="99"/>
      <c r="M709" s="99"/>
      <c r="N709" s="99"/>
      <c r="O709" s="99"/>
      <c r="P709" s="99"/>
      <c r="Q709" s="99"/>
      <c r="R709" s="99"/>
      <c r="S709" s="99"/>
      <c r="T709" s="99"/>
      <c r="U709" s="99"/>
      <c r="V709" s="99"/>
      <c r="W709" s="99"/>
      <c r="X709" s="99"/>
      <c r="Y709" s="99"/>
      <c r="Z709" s="99"/>
      <c r="AA709" s="99"/>
      <c r="AB709" s="99"/>
      <c r="AC709" s="99"/>
    </row>
    <row r="710">
      <c r="A710" s="157"/>
      <c r="B710" s="99"/>
      <c r="C710" s="99"/>
      <c r="D710" s="99"/>
      <c r="E710" s="99"/>
      <c r="F710" s="170"/>
      <c r="G710" s="99"/>
      <c r="H710" s="99"/>
      <c r="I710" s="99"/>
      <c r="J710" s="171"/>
      <c r="K710" s="99"/>
      <c r="L710" s="99"/>
      <c r="M710" s="99"/>
      <c r="N710" s="99"/>
      <c r="O710" s="99"/>
      <c r="P710" s="99"/>
      <c r="Q710" s="99"/>
      <c r="R710" s="99"/>
      <c r="S710" s="99"/>
      <c r="T710" s="99"/>
      <c r="U710" s="99"/>
      <c r="V710" s="99"/>
      <c r="W710" s="99"/>
      <c r="X710" s="99"/>
      <c r="Y710" s="99"/>
      <c r="Z710" s="99"/>
      <c r="AA710" s="99"/>
      <c r="AB710" s="99"/>
      <c r="AC710" s="99"/>
    </row>
    <row r="711">
      <c r="A711" s="157"/>
      <c r="B711" s="99"/>
      <c r="C711" s="99"/>
      <c r="D711" s="99"/>
      <c r="E711" s="99"/>
      <c r="F711" s="170"/>
      <c r="G711" s="99"/>
      <c r="H711" s="99"/>
      <c r="I711" s="99"/>
      <c r="J711" s="171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</row>
    <row r="712">
      <c r="A712" s="157"/>
      <c r="B712" s="99"/>
      <c r="C712" s="99"/>
      <c r="D712" s="99"/>
      <c r="E712" s="99"/>
      <c r="F712" s="170"/>
      <c r="G712" s="99"/>
      <c r="H712" s="99"/>
      <c r="I712" s="99"/>
      <c r="J712" s="171"/>
      <c r="K712" s="99"/>
      <c r="L712" s="99"/>
      <c r="M712" s="99"/>
      <c r="N712" s="99"/>
      <c r="O712" s="99"/>
      <c r="P712" s="99"/>
      <c r="Q712" s="99"/>
      <c r="R712" s="99"/>
      <c r="S712" s="99"/>
      <c r="T712" s="99"/>
      <c r="U712" s="99"/>
      <c r="V712" s="99"/>
      <c r="W712" s="99"/>
      <c r="X712" s="99"/>
      <c r="Y712" s="99"/>
      <c r="Z712" s="99"/>
      <c r="AA712" s="99"/>
      <c r="AB712" s="99"/>
      <c r="AC712" s="99"/>
    </row>
    <row r="713">
      <c r="A713" s="157"/>
      <c r="B713" s="99"/>
      <c r="C713" s="99"/>
      <c r="D713" s="99"/>
      <c r="E713" s="99"/>
      <c r="F713" s="170"/>
      <c r="G713" s="99"/>
      <c r="H713" s="99"/>
      <c r="I713" s="99"/>
      <c r="J713" s="171"/>
      <c r="K713" s="99"/>
      <c r="L713" s="99"/>
      <c r="M713" s="99"/>
      <c r="N713" s="99"/>
      <c r="O713" s="99"/>
      <c r="P713" s="99"/>
      <c r="Q713" s="99"/>
      <c r="R713" s="99"/>
      <c r="S713" s="99"/>
      <c r="T713" s="99"/>
      <c r="U713" s="99"/>
      <c r="V713" s="99"/>
      <c r="W713" s="99"/>
      <c r="X713" s="99"/>
      <c r="Y713" s="99"/>
      <c r="Z713" s="99"/>
      <c r="AA713" s="99"/>
      <c r="AB713" s="99"/>
      <c r="AC713" s="99"/>
    </row>
    <row r="714">
      <c r="A714" s="157"/>
      <c r="B714" s="99"/>
      <c r="C714" s="99"/>
      <c r="D714" s="99"/>
      <c r="E714" s="99"/>
      <c r="F714" s="170"/>
      <c r="G714" s="99"/>
      <c r="H714" s="99"/>
      <c r="I714" s="99"/>
      <c r="J714" s="171"/>
      <c r="K714" s="99"/>
      <c r="L714" s="99"/>
      <c r="M714" s="99"/>
      <c r="N714" s="99"/>
      <c r="O714" s="99"/>
      <c r="P714" s="99"/>
      <c r="Q714" s="99"/>
      <c r="R714" s="99"/>
      <c r="S714" s="99"/>
      <c r="T714" s="99"/>
      <c r="U714" s="99"/>
      <c r="V714" s="99"/>
      <c r="W714" s="99"/>
      <c r="X714" s="99"/>
      <c r="Y714" s="99"/>
      <c r="Z714" s="99"/>
      <c r="AA714" s="99"/>
      <c r="AB714" s="99"/>
      <c r="AC714" s="99"/>
    </row>
    <row r="715">
      <c r="A715" s="157"/>
      <c r="B715" s="99"/>
      <c r="C715" s="99"/>
      <c r="D715" s="99"/>
      <c r="E715" s="99"/>
      <c r="F715" s="170"/>
      <c r="G715" s="99"/>
      <c r="H715" s="99"/>
      <c r="I715" s="99"/>
      <c r="J715" s="171"/>
      <c r="K715" s="99"/>
      <c r="L715" s="99"/>
      <c r="M715" s="99"/>
      <c r="N715" s="99"/>
      <c r="O715" s="99"/>
      <c r="P715" s="99"/>
      <c r="Q715" s="99"/>
      <c r="R715" s="99"/>
      <c r="S715" s="99"/>
      <c r="T715" s="99"/>
      <c r="U715" s="99"/>
      <c r="V715" s="99"/>
      <c r="W715" s="99"/>
      <c r="X715" s="99"/>
      <c r="Y715" s="99"/>
      <c r="Z715" s="99"/>
      <c r="AA715" s="99"/>
      <c r="AB715" s="99"/>
      <c r="AC715" s="99"/>
    </row>
    <row r="716">
      <c r="A716" s="157"/>
      <c r="B716" s="99"/>
      <c r="C716" s="99"/>
      <c r="D716" s="99"/>
      <c r="E716" s="99"/>
      <c r="F716" s="170"/>
      <c r="G716" s="99"/>
      <c r="H716" s="99"/>
      <c r="I716" s="99"/>
      <c r="J716" s="171"/>
      <c r="K716" s="99"/>
      <c r="L716" s="99"/>
      <c r="M716" s="99"/>
      <c r="N716" s="99"/>
      <c r="O716" s="99"/>
      <c r="P716" s="99"/>
      <c r="Q716" s="99"/>
      <c r="R716" s="99"/>
      <c r="S716" s="99"/>
      <c r="T716" s="99"/>
      <c r="U716" s="99"/>
      <c r="V716" s="99"/>
      <c r="W716" s="99"/>
      <c r="X716" s="99"/>
      <c r="Y716" s="99"/>
      <c r="Z716" s="99"/>
      <c r="AA716" s="99"/>
      <c r="AB716" s="99"/>
      <c r="AC716" s="99"/>
    </row>
    <row r="717">
      <c r="A717" s="157"/>
      <c r="B717" s="99"/>
      <c r="C717" s="99"/>
      <c r="D717" s="99"/>
      <c r="E717" s="99"/>
      <c r="F717" s="170"/>
      <c r="G717" s="99"/>
      <c r="H717" s="99"/>
      <c r="I717" s="99"/>
      <c r="J717" s="171"/>
      <c r="K717" s="99"/>
      <c r="L717" s="99"/>
      <c r="M717" s="99"/>
      <c r="N717" s="99"/>
      <c r="O717" s="99"/>
      <c r="P717" s="99"/>
      <c r="Q717" s="99"/>
      <c r="R717" s="99"/>
      <c r="S717" s="99"/>
      <c r="T717" s="99"/>
      <c r="U717" s="99"/>
      <c r="V717" s="99"/>
      <c r="W717" s="99"/>
      <c r="X717" s="99"/>
      <c r="Y717" s="99"/>
      <c r="Z717" s="99"/>
      <c r="AA717" s="99"/>
      <c r="AB717" s="99"/>
      <c r="AC717" s="99"/>
    </row>
    <row r="718">
      <c r="A718" s="157"/>
      <c r="B718" s="99"/>
      <c r="C718" s="99"/>
      <c r="D718" s="99"/>
      <c r="E718" s="99"/>
      <c r="F718" s="170"/>
      <c r="G718" s="99"/>
      <c r="H718" s="99"/>
      <c r="I718" s="99"/>
      <c r="J718" s="171"/>
      <c r="K718" s="99"/>
      <c r="L718" s="99"/>
      <c r="M718" s="99"/>
      <c r="N718" s="99"/>
      <c r="O718" s="99"/>
      <c r="P718" s="99"/>
      <c r="Q718" s="99"/>
      <c r="R718" s="99"/>
      <c r="S718" s="99"/>
      <c r="T718" s="99"/>
      <c r="U718" s="99"/>
      <c r="V718" s="99"/>
      <c r="W718" s="99"/>
      <c r="X718" s="99"/>
      <c r="Y718" s="99"/>
      <c r="Z718" s="99"/>
      <c r="AA718" s="99"/>
      <c r="AB718" s="99"/>
      <c r="AC718" s="99"/>
    </row>
    <row r="719">
      <c r="A719" s="157"/>
      <c r="B719" s="99"/>
      <c r="C719" s="99"/>
      <c r="D719" s="99"/>
      <c r="E719" s="99"/>
      <c r="F719" s="170"/>
      <c r="G719" s="99"/>
      <c r="H719" s="99"/>
      <c r="I719" s="99"/>
      <c r="J719" s="171"/>
      <c r="K719" s="99"/>
      <c r="L719" s="99"/>
      <c r="M719" s="99"/>
      <c r="N719" s="99"/>
      <c r="O719" s="99"/>
      <c r="P719" s="99"/>
      <c r="Q719" s="99"/>
      <c r="R719" s="99"/>
      <c r="S719" s="99"/>
      <c r="T719" s="99"/>
      <c r="U719" s="99"/>
      <c r="V719" s="99"/>
      <c r="W719" s="99"/>
      <c r="X719" s="99"/>
      <c r="Y719" s="99"/>
      <c r="Z719" s="99"/>
      <c r="AA719" s="99"/>
      <c r="AB719" s="99"/>
      <c r="AC719" s="99"/>
    </row>
    <row r="720">
      <c r="A720" s="157"/>
      <c r="B720" s="99"/>
      <c r="C720" s="99"/>
      <c r="D720" s="99"/>
      <c r="E720" s="99"/>
      <c r="F720" s="170"/>
      <c r="G720" s="99"/>
      <c r="H720" s="99"/>
      <c r="I720" s="99"/>
      <c r="J720" s="171"/>
      <c r="K720" s="99"/>
      <c r="L720" s="99"/>
      <c r="M720" s="99"/>
      <c r="N720" s="99"/>
      <c r="O720" s="99"/>
      <c r="P720" s="99"/>
      <c r="Q720" s="99"/>
      <c r="R720" s="99"/>
      <c r="S720" s="99"/>
      <c r="T720" s="99"/>
      <c r="U720" s="99"/>
      <c r="V720" s="99"/>
      <c r="W720" s="99"/>
      <c r="X720" s="99"/>
      <c r="Y720" s="99"/>
      <c r="Z720" s="99"/>
      <c r="AA720" s="99"/>
      <c r="AB720" s="99"/>
      <c r="AC720" s="99"/>
    </row>
    <row r="721">
      <c r="A721" s="157"/>
      <c r="B721" s="99"/>
      <c r="C721" s="99"/>
      <c r="D721" s="99"/>
      <c r="E721" s="99"/>
      <c r="F721" s="170"/>
      <c r="G721" s="99"/>
      <c r="H721" s="99"/>
      <c r="I721" s="99"/>
      <c r="J721" s="171"/>
      <c r="K721" s="99"/>
      <c r="L721" s="99"/>
      <c r="M721" s="99"/>
      <c r="N721" s="99"/>
      <c r="O721" s="99"/>
      <c r="P721" s="99"/>
      <c r="Q721" s="99"/>
      <c r="R721" s="99"/>
      <c r="S721" s="99"/>
      <c r="T721" s="99"/>
      <c r="U721" s="99"/>
      <c r="V721" s="99"/>
      <c r="W721" s="99"/>
      <c r="X721" s="99"/>
      <c r="Y721" s="99"/>
      <c r="Z721" s="99"/>
      <c r="AA721" s="99"/>
      <c r="AB721" s="99"/>
      <c r="AC721" s="99"/>
    </row>
    <row r="722">
      <c r="A722" s="157"/>
      <c r="B722" s="99"/>
      <c r="C722" s="99"/>
      <c r="D722" s="99"/>
      <c r="E722" s="99"/>
      <c r="F722" s="170"/>
      <c r="G722" s="99"/>
      <c r="H722" s="99"/>
      <c r="I722" s="99"/>
      <c r="J722" s="171"/>
      <c r="K722" s="99"/>
      <c r="L722" s="99"/>
      <c r="M722" s="99"/>
      <c r="N722" s="99"/>
      <c r="O722" s="99"/>
      <c r="P722" s="99"/>
      <c r="Q722" s="99"/>
      <c r="R722" s="99"/>
      <c r="S722" s="99"/>
      <c r="T722" s="99"/>
      <c r="U722" s="99"/>
      <c r="V722" s="99"/>
      <c r="W722" s="99"/>
      <c r="X722" s="99"/>
      <c r="Y722" s="99"/>
      <c r="Z722" s="99"/>
      <c r="AA722" s="99"/>
      <c r="AB722" s="99"/>
      <c r="AC722" s="99"/>
    </row>
    <row r="723">
      <c r="A723" s="157"/>
      <c r="B723" s="99"/>
      <c r="C723" s="99"/>
      <c r="D723" s="99"/>
      <c r="E723" s="99"/>
      <c r="F723" s="170"/>
      <c r="G723" s="99"/>
      <c r="H723" s="99"/>
      <c r="I723" s="99"/>
      <c r="J723" s="171"/>
      <c r="K723" s="99"/>
      <c r="L723" s="99"/>
      <c r="M723" s="99"/>
      <c r="N723" s="99"/>
      <c r="O723" s="99"/>
      <c r="P723" s="99"/>
      <c r="Q723" s="99"/>
      <c r="R723" s="99"/>
      <c r="S723" s="99"/>
      <c r="T723" s="99"/>
      <c r="U723" s="99"/>
      <c r="V723" s="99"/>
      <c r="W723" s="99"/>
      <c r="X723" s="99"/>
      <c r="Y723" s="99"/>
      <c r="Z723" s="99"/>
      <c r="AA723" s="99"/>
      <c r="AB723" s="99"/>
      <c r="AC723" s="99"/>
    </row>
    <row r="724">
      <c r="A724" s="157"/>
      <c r="B724" s="99"/>
      <c r="C724" s="99"/>
      <c r="D724" s="99"/>
      <c r="E724" s="99"/>
      <c r="F724" s="170"/>
      <c r="G724" s="99"/>
      <c r="H724" s="99"/>
      <c r="I724" s="99"/>
      <c r="J724" s="171"/>
      <c r="K724" s="99"/>
      <c r="L724" s="99"/>
      <c r="M724" s="99"/>
      <c r="N724" s="99"/>
      <c r="O724" s="99"/>
      <c r="P724" s="99"/>
      <c r="Q724" s="99"/>
      <c r="R724" s="99"/>
      <c r="S724" s="99"/>
      <c r="T724" s="99"/>
      <c r="U724" s="99"/>
      <c r="V724" s="99"/>
      <c r="W724" s="99"/>
      <c r="X724" s="99"/>
      <c r="Y724" s="99"/>
      <c r="Z724" s="99"/>
      <c r="AA724" s="99"/>
      <c r="AB724" s="99"/>
      <c r="AC724" s="99"/>
    </row>
    <row r="725">
      <c r="A725" s="157"/>
      <c r="B725" s="99"/>
      <c r="C725" s="99"/>
      <c r="D725" s="99"/>
      <c r="E725" s="99"/>
      <c r="F725" s="170"/>
      <c r="G725" s="99"/>
      <c r="H725" s="99"/>
      <c r="I725" s="99"/>
      <c r="J725" s="171"/>
      <c r="K725" s="99"/>
      <c r="L725" s="99"/>
      <c r="M725" s="99"/>
      <c r="N725" s="99"/>
      <c r="O725" s="99"/>
      <c r="P725" s="99"/>
      <c r="Q725" s="99"/>
      <c r="R725" s="99"/>
      <c r="S725" s="99"/>
      <c r="T725" s="99"/>
      <c r="U725" s="99"/>
      <c r="V725" s="99"/>
      <c r="W725" s="99"/>
      <c r="X725" s="99"/>
      <c r="Y725" s="99"/>
      <c r="Z725" s="99"/>
      <c r="AA725" s="99"/>
      <c r="AB725" s="99"/>
      <c r="AC725" s="99"/>
    </row>
    <row r="726">
      <c r="A726" s="157"/>
      <c r="B726" s="99"/>
      <c r="C726" s="99"/>
      <c r="D726" s="99"/>
      <c r="E726" s="99"/>
      <c r="F726" s="170"/>
      <c r="G726" s="99"/>
      <c r="H726" s="99"/>
      <c r="I726" s="99"/>
      <c r="J726" s="171"/>
      <c r="K726" s="99"/>
      <c r="L726" s="99"/>
      <c r="M726" s="99"/>
      <c r="N726" s="99"/>
      <c r="O726" s="99"/>
      <c r="P726" s="99"/>
      <c r="Q726" s="99"/>
      <c r="R726" s="99"/>
      <c r="S726" s="99"/>
      <c r="T726" s="99"/>
      <c r="U726" s="99"/>
      <c r="V726" s="99"/>
      <c r="W726" s="99"/>
      <c r="X726" s="99"/>
      <c r="Y726" s="99"/>
      <c r="Z726" s="99"/>
      <c r="AA726" s="99"/>
      <c r="AB726" s="99"/>
      <c r="AC726" s="99"/>
    </row>
    <row r="727">
      <c r="A727" s="157"/>
      <c r="B727" s="99"/>
      <c r="C727" s="99"/>
      <c r="D727" s="99"/>
      <c r="E727" s="99"/>
      <c r="F727" s="170"/>
      <c r="G727" s="99"/>
      <c r="H727" s="99"/>
      <c r="I727" s="99"/>
      <c r="J727" s="171"/>
      <c r="K727" s="99"/>
      <c r="L727" s="99"/>
      <c r="M727" s="99"/>
      <c r="N727" s="99"/>
      <c r="O727" s="99"/>
      <c r="P727" s="99"/>
      <c r="Q727" s="99"/>
      <c r="R727" s="99"/>
      <c r="S727" s="99"/>
      <c r="T727" s="99"/>
      <c r="U727" s="99"/>
      <c r="V727" s="99"/>
      <c r="W727" s="99"/>
      <c r="X727" s="99"/>
      <c r="Y727" s="99"/>
      <c r="Z727" s="99"/>
      <c r="AA727" s="99"/>
      <c r="AB727" s="99"/>
      <c r="AC727" s="99"/>
    </row>
    <row r="728">
      <c r="A728" s="157"/>
      <c r="B728" s="99"/>
      <c r="C728" s="99"/>
      <c r="D728" s="99"/>
      <c r="E728" s="99"/>
      <c r="F728" s="170"/>
      <c r="G728" s="99"/>
      <c r="H728" s="99"/>
      <c r="I728" s="99"/>
      <c r="J728" s="171"/>
      <c r="K728" s="99"/>
      <c r="L728" s="99"/>
      <c r="M728" s="99"/>
      <c r="N728" s="99"/>
      <c r="O728" s="99"/>
      <c r="P728" s="99"/>
      <c r="Q728" s="99"/>
      <c r="R728" s="99"/>
      <c r="S728" s="99"/>
      <c r="T728" s="99"/>
      <c r="U728" s="99"/>
      <c r="V728" s="99"/>
      <c r="W728" s="99"/>
      <c r="X728" s="99"/>
      <c r="Y728" s="99"/>
      <c r="Z728" s="99"/>
      <c r="AA728" s="99"/>
      <c r="AB728" s="99"/>
      <c r="AC728" s="99"/>
    </row>
    <row r="729">
      <c r="A729" s="157"/>
      <c r="B729" s="99"/>
      <c r="C729" s="99"/>
      <c r="D729" s="99"/>
      <c r="E729" s="99"/>
      <c r="F729" s="170"/>
      <c r="G729" s="99"/>
      <c r="H729" s="99"/>
      <c r="I729" s="99"/>
      <c r="J729" s="171"/>
      <c r="K729" s="99"/>
      <c r="L729" s="99"/>
      <c r="M729" s="99"/>
      <c r="N729" s="99"/>
      <c r="O729" s="99"/>
      <c r="P729" s="99"/>
      <c r="Q729" s="99"/>
      <c r="R729" s="99"/>
      <c r="S729" s="99"/>
      <c r="T729" s="99"/>
      <c r="U729" s="99"/>
      <c r="V729" s="99"/>
      <c r="W729" s="99"/>
      <c r="X729" s="99"/>
      <c r="Y729" s="99"/>
      <c r="Z729" s="99"/>
      <c r="AA729" s="99"/>
      <c r="AB729" s="99"/>
      <c r="AC729" s="99"/>
    </row>
    <row r="730">
      <c r="A730" s="157"/>
      <c r="B730" s="99"/>
      <c r="C730" s="99"/>
      <c r="D730" s="99"/>
      <c r="E730" s="99"/>
      <c r="F730" s="170"/>
      <c r="G730" s="99"/>
      <c r="H730" s="99"/>
      <c r="I730" s="99"/>
      <c r="J730" s="171"/>
      <c r="K730" s="99"/>
      <c r="L730" s="99"/>
      <c r="M730" s="99"/>
      <c r="N730" s="99"/>
      <c r="O730" s="99"/>
      <c r="P730" s="99"/>
      <c r="Q730" s="99"/>
      <c r="R730" s="99"/>
      <c r="S730" s="99"/>
      <c r="T730" s="99"/>
      <c r="U730" s="99"/>
      <c r="V730" s="99"/>
      <c r="W730" s="99"/>
      <c r="X730" s="99"/>
      <c r="Y730" s="99"/>
      <c r="Z730" s="99"/>
      <c r="AA730" s="99"/>
      <c r="AB730" s="99"/>
      <c r="AC730" s="99"/>
    </row>
    <row r="731">
      <c r="A731" s="157"/>
      <c r="B731" s="99"/>
      <c r="C731" s="99"/>
      <c r="D731" s="99"/>
      <c r="E731" s="99"/>
      <c r="F731" s="170"/>
      <c r="G731" s="99"/>
      <c r="H731" s="99"/>
      <c r="I731" s="99"/>
      <c r="J731" s="171"/>
      <c r="K731" s="99"/>
      <c r="L731" s="99"/>
      <c r="M731" s="99"/>
      <c r="N731" s="99"/>
      <c r="O731" s="99"/>
      <c r="P731" s="99"/>
      <c r="Q731" s="99"/>
      <c r="R731" s="99"/>
      <c r="S731" s="99"/>
      <c r="T731" s="99"/>
      <c r="U731" s="99"/>
      <c r="V731" s="99"/>
      <c r="W731" s="99"/>
      <c r="X731" s="99"/>
      <c r="Y731" s="99"/>
      <c r="Z731" s="99"/>
      <c r="AA731" s="99"/>
      <c r="AB731" s="99"/>
      <c r="AC731" s="99"/>
    </row>
    <row r="732">
      <c r="A732" s="157"/>
      <c r="B732" s="99"/>
      <c r="C732" s="99"/>
      <c r="D732" s="99"/>
      <c r="E732" s="99"/>
      <c r="F732" s="170"/>
      <c r="G732" s="99"/>
      <c r="H732" s="99"/>
      <c r="I732" s="99"/>
      <c r="J732" s="171"/>
      <c r="K732" s="99"/>
      <c r="L732" s="99"/>
      <c r="M732" s="99"/>
      <c r="N732" s="99"/>
      <c r="O732" s="99"/>
      <c r="P732" s="99"/>
      <c r="Q732" s="99"/>
      <c r="R732" s="99"/>
      <c r="S732" s="99"/>
      <c r="T732" s="99"/>
      <c r="U732" s="99"/>
      <c r="V732" s="99"/>
      <c r="W732" s="99"/>
      <c r="X732" s="99"/>
      <c r="Y732" s="99"/>
      <c r="Z732" s="99"/>
      <c r="AA732" s="99"/>
      <c r="AB732" s="99"/>
      <c r="AC732" s="99"/>
    </row>
    <row r="733">
      <c r="A733" s="157"/>
      <c r="B733" s="99"/>
      <c r="C733" s="99"/>
      <c r="D733" s="99"/>
      <c r="E733" s="99"/>
      <c r="F733" s="170"/>
      <c r="G733" s="99"/>
      <c r="H733" s="99"/>
      <c r="I733" s="99"/>
      <c r="J733" s="171"/>
      <c r="K733" s="99"/>
      <c r="L733" s="99"/>
      <c r="M733" s="99"/>
      <c r="N733" s="99"/>
      <c r="O733" s="99"/>
      <c r="P733" s="99"/>
      <c r="Q733" s="99"/>
      <c r="R733" s="99"/>
      <c r="S733" s="99"/>
      <c r="T733" s="99"/>
      <c r="U733" s="99"/>
      <c r="V733" s="99"/>
      <c r="W733" s="99"/>
      <c r="X733" s="99"/>
      <c r="Y733" s="99"/>
      <c r="Z733" s="99"/>
      <c r="AA733" s="99"/>
      <c r="AB733" s="99"/>
      <c r="AC733" s="99"/>
    </row>
    <row r="734">
      <c r="A734" s="157"/>
      <c r="B734" s="99"/>
      <c r="C734" s="99"/>
      <c r="D734" s="99"/>
      <c r="E734" s="99"/>
      <c r="F734" s="170"/>
      <c r="G734" s="99"/>
      <c r="H734" s="99"/>
      <c r="I734" s="99"/>
      <c r="J734" s="171"/>
      <c r="K734" s="99"/>
      <c r="L734" s="99"/>
      <c r="M734" s="99"/>
      <c r="N734" s="99"/>
      <c r="O734" s="99"/>
      <c r="P734" s="99"/>
      <c r="Q734" s="99"/>
      <c r="R734" s="99"/>
      <c r="S734" s="99"/>
      <c r="T734" s="99"/>
      <c r="U734" s="99"/>
      <c r="V734" s="99"/>
      <c r="W734" s="99"/>
      <c r="X734" s="99"/>
      <c r="Y734" s="99"/>
      <c r="Z734" s="99"/>
      <c r="AA734" s="99"/>
      <c r="AB734" s="99"/>
      <c r="AC734" s="99"/>
    </row>
    <row r="735">
      <c r="A735" s="157"/>
      <c r="B735" s="99"/>
      <c r="C735" s="99"/>
      <c r="D735" s="99"/>
      <c r="E735" s="99"/>
      <c r="F735" s="170"/>
      <c r="G735" s="99"/>
      <c r="H735" s="99"/>
      <c r="I735" s="99"/>
      <c r="J735" s="171"/>
      <c r="K735" s="99"/>
      <c r="L735" s="99"/>
      <c r="M735" s="99"/>
      <c r="N735" s="99"/>
      <c r="O735" s="99"/>
      <c r="P735" s="99"/>
      <c r="Q735" s="99"/>
      <c r="R735" s="99"/>
      <c r="S735" s="99"/>
      <c r="T735" s="99"/>
      <c r="U735" s="99"/>
      <c r="V735" s="99"/>
      <c r="W735" s="99"/>
      <c r="X735" s="99"/>
      <c r="Y735" s="99"/>
      <c r="Z735" s="99"/>
      <c r="AA735" s="99"/>
      <c r="AB735" s="99"/>
      <c r="AC735" s="99"/>
    </row>
    <row r="736">
      <c r="A736" s="157"/>
      <c r="B736" s="99"/>
      <c r="C736" s="99"/>
      <c r="D736" s="99"/>
      <c r="E736" s="99"/>
      <c r="F736" s="170"/>
      <c r="G736" s="99"/>
      <c r="H736" s="99"/>
      <c r="I736" s="99"/>
      <c r="J736" s="171"/>
      <c r="K736" s="99"/>
      <c r="L736" s="99"/>
      <c r="M736" s="99"/>
      <c r="N736" s="99"/>
      <c r="O736" s="99"/>
      <c r="P736" s="99"/>
      <c r="Q736" s="99"/>
      <c r="R736" s="99"/>
      <c r="S736" s="99"/>
      <c r="T736" s="99"/>
      <c r="U736" s="99"/>
      <c r="V736" s="99"/>
      <c r="W736" s="99"/>
      <c r="X736" s="99"/>
      <c r="Y736" s="99"/>
      <c r="Z736" s="99"/>
      <c r="AA736" s="99"/>
      <c r="AB736" s="99"/>
      <c r="AC736" s="99"/>
    </row>
    <row r="737">
      <c r="A737" s="157"/>
      <c r="B737" s="99"/>
      <c r="C737" s="99"/>
      <c r="D737" s="99"/>
      <c r="E737" s="99"/>
      <c r="F737" s="170"/>
      <c r="G737" s="99"/>
      <c r="H737" s="99"/>
      <c r="I737" s="99"/>
      <c r="J737" s="171"/>
      <c r="K737" s="99"/>
      <c r="L737" s="99"/>
      <c r="M737" s="99"/>
      <c r="N737" s="99"/>
      <c r="O737" s="99"/>
      <c r="P737" s="99"/>
      <c r="Q737" s="99"/>
      <c r="R737" s="99"/>
      <c r="S737" s="99"/>
      <c r="T737" s="99"/>
      <c r="U737" s="99"/>
      <c r="V737" s="99"/>
      <c r="W737" s="99"/>
      <c r="X737" s="99"/>
      <c r="Y737" s="99"/>
      <c r="Z737" s="99"/>
      <c r="AA737" s="99"/>
      <c r="AB737" s="99"/>
      <c r="AC737" s="99"/>
    </row>
    <row r="738">
      <c r="A738" s="157"/>
      <c r="B738" s="99"/>
      <c r="C738" s="99"/>
      <c r="D738" s="99"/>
      <c r="E738" s="99"/>
      <c r="F738" s="170"/>
      <c r="G738" s="99"/>
      <c r="H738" s="99"/>
      <c r="I738" s="99"/>
      <c r="J738" s="171"/>
      <c r="K738" s="99"/>
      <c r="L738" s="99"/>
      <c r="M738" s="99"/>
      <c r="N738" s="99"/>
      <c r="O738" s="99"/>
      <c r="P738" s="99"/>
      <c r="Q738" s="99"/>
      <c r="R738" s="99"/>
      <c r="S738" s="99"/>
      <c r="T738" s="99"/>
      <c r="U738" s="99"/>
      <c r="V738" s="99"/>
      <c r="W738" s="99"/>
      <c r="X738" s="99"/>
      <c r="Y738" s="99"/>
      <c r="Z738" s="99"/>
      <c r="AA738" s="99"/>
      <c r="AB738" s="99"/>
      <c r="AC738" s="99"/>
    </row>
    <row r="739">
      <c r="A739" s="157"/>
      <c r="B739" s="99"/>
      <c r="C739" s="99"/>
      <c r="D739" s="99"/>
      <c r="E739" s="99"/>
      <c r="F739" s="170"/>
      <c r="G739" s="99"/>
      <c r="H739" s="99"/>
      <c r="I739" s="99"/>
      <c r="J739" s="171"/>
      <c r="K739" s="99"/>
      <c r="L739" s="99"/>
      <c r="M739" s="99"/>
      <c r="N739" s="99"/>
      <c r="O739" s="99"/>
      <c r="P739" s="99"/>
      <c r="Q739" s="99"/>
      <c r="R739" s="99"/>
      <c r="S739" s="99"/>
      <c r="T739" s="99"/>
      <c r="U739" s="99"/>
      <c r="V739" s="99"/>
      <c r="W739" s="99"/>
      <c r="X739" s="99"/>
      <c r="Y739" s="99"/>
      <c r="Z739" s="99"/>
      <c r="AA739" s="99"/>
      <c r="AB739" s="99"/>
      <c r="AC739" s="99"/>
    </row>
    <row r="740">
      <c r="A740" s="157"/>
      <c r="B740" s="99"/>
      <c r="C740" s="99"/>
      <c r="D740" s="99"/>
      <c r="E740" s="99"/>
      <c r="F740" s="170"/>
      <c r="G740" s="99"/>
      <c r="H740" s="99"/>
      <c r="I740" s="99"/>
      <c r="J740" s="171"/>
      <c r="K740" s="99"/>
      <c r="L740" s="99"/>
      <c r="M740" s="99"/>
      <c r="N740" s="99"/>
      <c r="O740" s="99"/>
      <c r="P740" s="99"/>
      <c r="Q740" s="99"/>
      <c r="R740" s="99"/>
      <c r="S740" s="99"/>
      <c r="T740" s="99"/>
      <c r="U740" s="99"/>
      <c r="V740" s="99"/>
      <c r="W740" s="99"/>
      <c r="X740" s="99"/>
      <c r="Y740" s="99"/>
      <c r="Z740" s="99"/>
      <c r="AA740" s="99"/>
      <c r="AB740" s="99"/>
      <c r="AC740" s="99"/>
    </row>
    <row r="741">
      <c r="A741" s="157"/>
      <c r="B741" s="99"/>
      <c r="C741" s="99"/>
      <c r="D741" s="99"/>
      <c r="E741" s="99"/>
      <c r="F741" s="170"/>
      <c r="G741" s="99"/>
      <c r="H741" s="99"/>
      <c r="I741" s="99"/>
      <c r="J741" s="171"/>
      <c r="K741" s="99"/>
      <c r="L741" s="99"/>
      <c r="M741" s="99"/>
      <c r="N741" s="99"/>
      <c r="O741" s="99"/>
      <c r="P741" s="99"/>
      <c r="Q741" s="99"/>
      <c r="R741" s="99"/>
      <c r="S741" s="99"/>
      <c r="T741" s="99"/>
      <c r="U741" s="99"/>
      <c r="V741" s="99"/>
      <c r="W741" s="99"/>
      <c r="X741" s="99"/>
      <c r="Y741" s="99"/>
      <c r="Z741" s="99"/>
      <c r="AA741" s="99"/>
      <c r="AB741" s="99"/>
      <c r="AC741" s="99"/>
    </row>
    <row r="742">
      <c r="A742" s="157"/>
      <c r="B742" s="99"/>
      <c r="C742" s="99"/>
      <c r="D742" s="99"/>
      <c r="E742" s="99"/>
      <c r="F742" s="170"/>
      <c r="G742" s="99"/>
      <c r="H742" s="99"/>
      <c r="I742" s="99"/>
      <c r="J742" s="171"/>
      <c r="K742" s="99"/>
      <c r="L742" s="99"/>
      <c r="M742" s="99"/>
      <c r="N742" s="99"/>
      <c r="O742" s="99"/>
      <c r="P742" s="99"/>
      <c r="Q742" s="99"/>
      <c r="R742" s="99"/>
      <c r="S742" s="99"/>
      <c r="T742" s="99"/>
      <c r="U742" s="99"/>
      <c r="V742" s="99"/>
      <c r="W742" s="99"/>
      <c r="X742" s="99"/>
      <c r="Y742" s="99"/>
      <c r="Z742" s="99"/>
      <c r="AA742" s="99"/>
      <c r="AB742" s="99"/>
      <c r="AC742" s="99"/>
    </row>
    <row r="743">
      <c r="A743" s="157"/>
      <c r="B743" s="99"/>
      <c r="C743" s="99"/>
      <c r="D743" s="99"/>
      <c r="E743" s="99"/>
      <c r="F743" s="170"/>
      <c r="G743" s="99"/>
      <c r="H743" s="99"/>
      <c r="I743" s="99"/>
      <c r="J743" s="171"/>
      <c r="K743" s="99"/>
      <c r="L743" s="99"/>
      <c r="M743" s="99"/>
      <c r="N743" s="99"/>
      <c r="O743" s="99"/>
      <c r="P743" s="99"/>
      <c r="Q743" s="99"/>
      <c r="R743" s="99"/>
      <c r="S743" s="99"/>
      <c r="T743" s="99"/>
      <c r="U743" s="99"/>
      <c r="V743" s="99"/>
      <c r="W743" s="99"/>
      <c r="X743" s="99"/>
      <c r="Y743" s="99"/>
      <c r="Z743" s="99"/>
      <c r="AA743" s="99"/>
      <c r="AB743" s="99"/>
      <c r="AC743" s="99"/>
    </row>
    <row r="744">
      <c r="A744" s="157"/>
      <c r="B744" s="99"/>
      <c r="C744" s="99"/>
      <c r="D744" s="99"/>
      <c r="E744" s="99"/>
      <c r="F744" s="170"/>
      <c r="G744" s="99"/>
      <c r="H744" s="99"/>
      <c r="I744" s="99"/>
      <c r="J744" s="171"/>
      <c r="K744" s="99"/>
      <c r="L744" s="99"/>
      <c r="M744" s="99"/>
      <c r="N744" s="99"/>
      <c r="O744" s="99"/>
      <c r="P744" s="99"/>
      <c r="Q744" s="99"/>
      <c r="R744" s="99"/>
      <c r="S744" s="99"/>
      <c r="T744" s="99"/>
      <c r="U744" s="99"/>
      <c r="V744" s="99"/>
      <c r="W744" s="99"/>
      <c r="X744" s="99"/>
      <c r="Y744" s="99"/>
      <c r="Z744" s="99"/>
      <c r="AA744" s="99"/>
      <c r="AB744" s="99"/>
      <c r="AC744" s="99"/>
    </row>
    <row r="745">
      <c r="A745" s="157"/>
      <c r="B745" s="99"/>
      <c r="C745" s="99"/>
      <c r="D745" s="99"/>
      <c r="E745" s="99"/>
      <c r="F745" s="170"/>
      <c r="G745" s="99"/>
      <c r="H745" s="99"/>
      <c r="I745" s="99"/>
      <c r="J745" s="171"/>
      <c r="K745" s="99"/>
      <c r="L745" s="99"/>
      <c r="M745" s="99"/>
      <c r="N745" s="99"/>
      <c r="O745" s="99"/>
      <c r="P745" s="99"/>
      <c r="Q745" s="99"/>
      <c r="R745" s="99"/>
      <c r="S745" s="99"/>
      <c r="T745" s="99"/>
      <c r="U745" s="99"/>
      <c r="V745" s="99"/>
      <c r="W745" s="99"/>
      <c r="X745" s="99"/>
      <c r="Y745" s="99"/>
      <c r="Z745" s="99"/>
      <c r="AA745" s="99"/>
      <c r="AB745" s="99"/>
      <c r="AC745" s="99"/>
    </row>
    <row r="746">
      <c r="A746" s="157"/>
      <c r="B746" s="99"/>
      <c r="C746" s="99"/>
      <c r="D746" s="99"/>
      <c r="E746" s="99"/>
      <c r="F746" s="170"/>
      <c r="G746" s="99"/>
      <c r="H746" s="99"/>
      <c r="I746" s="99"/>
      <c r="J746" s="171"/>
      <c r="K746" s="99"/>
      <c r="L746" s="99"/>
      <c r="M746" s="99"/>
      <c r="N746" s="99"/>
      <c r="O746" s="99"/>
      <c r="P746" s="99"/>
      <c r="Q746" s="99"/>
      <c r="R746" s="99"/>
      <c r="S746" s="99"/>
      <c r="T746" s="99"/>
      <c r="U746" s="99"/>
      <c r="V746" s="99"/>
      <c r="W746" s="99"/>
      <c r="X746" s="99"/>
      <c r="Y746" s="99"/>
      <c r="Z746" s="99"/>
      <c r="AA746" s="99"/>
      <c r="AB746" s="99"/>
      <c r="AC746" s="99"/>
    </row>
    <row r="747">
      <c r="A747" s="157"/>
      <c r="B747" s="99"/>
      <c r="C747" s="99"/>
      <c r="D747" s="99"/>
      <c r="E747" s="99"/>
      <c r="F747" s="170"/>
      <c r="G747" s="99"/>
      <c r="H747" s="99"/>
      <c r="I747" s="99"/>
      <c r="J747" s="171"/>
      <c r="K747" s="99"/>
      <c r="L747" s="99"/>
      <c r="M747" s="99"/>
      <c r="N747" s="99"/>
      <c r="O747" s="99"/>
      <c r="P747" s="99"/>
      <c r="Q747" s="99"/>
      <c r="R747" s="99"/>
      <c r="S747" s="99"/>
      <c r="T747" s="99"/>
      <c r="U747" s="99"/>
      <c r="V747" s="99"/>
      <c r="W747" s="99"/>
      <c r="X747" s="99"/>
      <c r="Y747" s="99"/>
      <c r="Z747" s="99"/>
      <c r="AA747" s="99"/>
      <c r="AB747" s="99"/>
      <c r="AC747" s="99"/>
    </row>
    <row r="748">
      <c r="A748" s="157"/>
      <c r="B748" s="99"/>
      <c r="C748" s="99"/>
      <c r="D748" s="99"/>
      <c r="E748" s="99"/>
      <c r="F748" s="170"/>
      <c r="G748" s="99"/>
      <c r="H748" s="99"/>
      <c r="I748" s="99"/>
      <c r="J748" s="171"/>
      <c r="K748" s="99"/>
      <c r="L748" s="99"/>
      <c r="M748" s="99"/>
      <c r="N748" s="99"/>
      <c r="O748" s="99"/>
      <c r="P748" s="99"/>
      <c r="Q748" s="99"/>
      <c r="R748" s="99"/>
      <c r="S748" s="99"/>
      <c r="T748" s="99"/>
      <c r="U748" s="99"/>
      <c r="V748" s="99"/>
      <c r="W748" s="99"/>
      <c r="X748" s="99"/>
      <c r="Y748" s="99"/>
      <c r="Z748" s="99"/>
      <c r="AA748" s="99"/>
      <c r="AB748" s="99"/>
      <c r="AC748" s="99"/>
    </row>
    <row r="749">
      <c r="A749" s="157"/>
      <c r="B749" s="99"/>
      <c r="C749" s="99"/>
      <c r="D749" s="99"/>
      <c r="E749" s="99"/>
      <c r="F749" s="170"/>
      <c r="G749" s="99"/>
      <c r="H749" s="99"/>
      <c r="I749" s="99"/>
      <c r="J749" s="171"/>
      <c r="K749" s="99"/>
      <c r="L749" s="99"/>
      <c r="M749" s="99"/>
      <c r="N749" s="99"/>
      <c r="O749" s="99"/>
      <c r="P749" s="99"/>
      <c r="Q749" s="99"/>
      <c r="R749" s="99"/>
      <c r="S749" s="99"/>
      <c r="T749" s="99"/>
      <c r="U749" s="99"/>
      <c r="V749" s="99"/>
      <c r="W749" s="99"/>
      <c r="X749" s="99"/>
      <c r="Y749" s="99"/>
      <c r="Z749" s="99"/>
      <c r="AA749" s="99"/>
      <c r="AB749" s="99"/>
      <c r="AC749" s="99"/>
    </row>
    <row r="750">
      <c r="A750" s="157"/>
      <c r="B750" s="99"/>
      <c r="C750" s="99"/>
      <c r="D750" s="99"/>
      <c r="E750" s="99"/>
      <c r="F750" s="170"/>
      <c r="G750" s="99"/>
      <c r="H750" s="99"/>
      <c r="I750" s="99"/>
      <c r="J750" s="171"/>
      <c r="K750" s="99"/>
      <c r="L750" s="99"/>
      <c r="M750" s="99"/>
      <c r="N750" s="99"/>
      <c r="O750" s="99"/>
      <c r="P750" s="99"/>
      <c r="Q750" s="99"/>
      <c r="R750" s="99"/>
      <c r="S750" s="99"/>
      <c r="T750" s="99"/>
      <c r="U750" s="99"/>
      <c r="V750" s="99"/>
      <c r="W750" s="99"/>
      <c r="X750" s="99"/>
      <c r="Y750" s="99"/>
      <c r="Z750" s="99"/>
      <c r="AA750" s="99"/>
      <c r="AB750" s="99"/>
      <c r="AC750" s="99"/>
    </row>
    <row r="751">
      <c r="A751" s="157"/>
      <c r="B751" s="99"/>
      <c r="C751" s="99"/>
      <c r="D751" s="99"/>
      <c r="E751" s="99"/>
      <c r="F751" s="170"/>
      <c r="G751" s="99"/>
      <c r="H751" s="99"/>
      <c r="I751" s="99"/>
      <c r="J751" s="171"/>
      <c r="K751" s="99"/>
      <c r="L751" s="99"/>
      <c r="M751" s="99"/>
      <c r="N751" s="99"/>
      <c r="O751" s="99"/>
      <c r="P751" s="99"/>
      <c r="Q751" s="99"/>
      <c r="R751" s="99"/>
      <c r="S751" s="99"/>
      <c r="T751" s="99"/>
      <c r="U751" s="99"/>
      <c r="V751" s="99"/>
      <c r="W751" s="99"/>
      <c r="X751" s="99"/>
      <c r="Y751" s="99"/>
      <c r="Z751" s="99"/>
      <c r="AA751" s="99"/>
      <c r="AB751" s="99"/>
      <c r="AC751" s="99"/>
    </row>
    <row r="752">
      <c r="A752" s="157"/>
      <c r="B752" s="99"/>
      <c r="C752" s="99"/>
      <c r="D752" s="99"/>
      <c r="E752" s="99"/>
      <c r="F752" s="170"/>
      <c r="G752" s="99"/>
      <c r="H752" s="99"/>
      <c r="I752" s="99"/>
      <c r="J752" s="171"/>
      <c r="K752" s="99"/>
      <c r="L752" s="99"/>
      <c r="M752" s="99"/>
      <c r="N752" s="99"/>
      <c r="O752" s="99"/>
      <c r="P752" s="99"/>
      <c r="Q752" s="99"/>
      <c r="R752" s="99"/>
      <c r="S752" s="99"/>
      <c r="T752" s="99"/>
      <c r="U752" s="99"/>
      <c r="V752" s="99"/>
      <c r="W752" s="99"/>
      <c r="X752" s="99"/>
      <c r="Y752" s="99"/>
      <c r="Z752" s="99"/>
      <c r="AA752" s="99"/>
      <c r="AB752" s="99"/>
      <c r="AC752" s="99"/>
    </row>
    <row r="753">
      <c r="A753" s="157"/>
      <c r="B753" s="99"/>
      <c r="C753" s="99"/>
      <c r="D753" s="99"/>
      <c r="E753" s="99"/>
      <c r="F753" s="170"/>
      <c r="G753" s="99"/>
      <c r="H753" s="99"/>
      <c r="I753" s="99"/>
      <c r="J753" s="171"/>
      <c r="K753" s="99"/>
      <c r="L753" s="99"/>
      <c r="M753" s="99"/>
      <c r="N753" s="99"/>
      <c r="O753" s="99"/>
      <c r="P753" s="99"/>
      <c r="Q753" s="99"/>
      <c r="R753" s="99"/>
      <c r="S753" s="99"/>
      <c r="T753" s="99"/>
      <c r="U753" s="99"/>
      <c r="V753" s="99"/>
      <c r="W753" s="99"/>
      <c r="X753" s="99"/>
      <c r="Y753" s="99"/>
      <c r="Z753" s="99"/>
      <c r="AA753" s="99"/>
      <c r="AB753" s="99"/>
      <c r="AC753" s="99"/>
    </row>
    <row r="754">
      <c r="A754" s="157"/>
      <c r="B754" s="99"/>
      <c r="C754" s="99"/>
      <c r="D754" s="99"/>
      <c r="E754" s="99"/>
      <c r="F754" s="170"/>
      <c r="G754" s="99"/>
      <c r="H754" s="99"/>
      <c r="I754" s="99"/>
      <c r="J754" s="171"/>
      <c r="K754" s="99"/>
      <c r="L754" s="99"/>
      <c r="M754" s="99"/>
      <c r="N754" s="99"/>
      <c r="O754" s="99"/>
      <c r="P754" s="99"/>
      <c r="Q754" s="99"/>
      <c r="R754" s="99"/>
      <c r="S754" s="99"/>
      <c r="T754" s="99"/>
      <c r="U754" s="99"/>
      <c r="V754" s="99"/>
      <c r="W754" s="99"/>
      <c r="X754" s="99"/>
      <c r="Y754" s="99"/>
      <c r="Z754" s="99"/>
      <c r="AA754" s="99"/>
      <c r="AB754" s="99"/>
      <c r="AC754" s="99"/>
    </row>
    <row r="755">
      <c r="A755" s="157"/>
      <c r="B755" s="99"/>
      <c r="C755" s="99"/>
      <c r="D755" s="99"/>
      <c r="E755" s="99"/>
      <c r="F755" s="170"/>
      <c r="G755" s="99"/>
      <c r="H755" s="99"/>
      <c r="I755" s="99"/>
      <c r="J755" s="171"/>
      <c r="K755" s="99"/>
      <c r="L755" s="99"/>
      <c r="M755" s="99"/>
      <c r="N755" s="99"/>
      <c r="O755" s="99"/>
      <c r="P755" s="99"/>
      <c r="Q755" s="99"/>
      <c r="R755" s="99"/>
      <c r="S755" s="99"/>
      <c r="T755" s="99"/>
      <c r="U755" s="99"/>
      <c r="V755" s="99"/>
      <c r="W755" s="99"/>
      <c r="X755" s="99"/>
      <c r="Y755" s="99"/>
      <c r="Z755" s="99"/>
      <c r="AA755" s="99"/>
      <c r="AB755" s="99"/>
      <c r="AC755" s="99"/>
    </row>
    <row r="756">
      <c r="A756" s="157"/>
      <c r="B756" s="99"/>
      <c r="C756" s="99"/>
      <c r="D756" s="99"/>
      <c r="E756" s="99"/>
      <c r="F756" s="170"/>
      <c r="G756" s="99"/>
      <c r="H756" s="99"/>
      <c r="I756" s="99"/>
      <c r="J756" s="171"/>
      <c r="K756" s="99"/>
      <c r="L756" s="99"/>
      <c r="M756" s="99"/>
      <c r="N756" s="99"/>
      <c r="O756" s="99"/>
      <c r="P756" s="99"/>
      <c r="Q756" s="99"/>
      <c r="R756" s="99"/>
      <c r="S756" s="99"/>
      <c r="T756" s="99"/>
      <c r="U756" s="99"/>
      <c r="V756" s="99"/>
      <c r="W756" s="99"/>
      <c r="X756" s="99"/>
      <c r="Y756" s="99"/>
      <c r="Z756" s="99"/>
      <c r="AA756" s="99"/>
      <c r="AB756" s="99"/>
      <c r="AC756" s="99"/>
    </row>
    <row r="757">
      <c r="A757" s="157"/>
      <c r="B757" s="99"/>
      <c r="C757" s="99"/>
      <c r="D757" s="99"/>
      <c r="E757" s="99"/>
      <c r="F757" s="170"/>
      <c r="G757" s="99"/>
      <c r="H757" s="99"/>
      <c r="I757" s="99"/>
      <c r="J757" s="171"/>
      <c r="K757" s="99"/>
      <c r="L757" s="99"/>
      <c r="M757" s="99"/>
      <c r="N757" s="99"/>
      <c r="O757" s="99"/>
      <c r="P757" s="99"/>
      <c r="Q757" s="99"/>
      <c r="R757" s="99"/>
      <c r="S757" s="99"/>
      <c r="T757" s="99"/>
      <c r="U757" s="99"/>
      <c r="V757" s="99"/>
      <c r="W757" s="99"/>
      <c r="X757" s="99"/>
      <c r="Y757" s="99"/>
      <c r="Z757" s="99"/>
      <c r="AA757" s="99"/>
      <c r="AB757" s="99"/>
      <c r="AC757" s="99"/>
    </row>
    <row r="758">
      <c r="A758" s="157"/>
      <c r="B758" s="99"/>
      <c r="C758" s="99"/>
      <c r="D758" s="99"/>
      <c r="E758" s="99"/>
      <c r="F758" s="170"/>
      <c r="G758" s="99"/>
      <c r="H758" s="99"/>
      <c r="I758" s="99"/>
      <c r="J758" s="171"/>
      <c r="K758" s="99"/>
      <c r="L758" s="99"/>
      <c r="M758" s="99"/>
      <c r="N758" s="99"/>
      <c r="O758" s="99"/>
      <c r="P758" s="99"/>
      <c r="Q758" s="99"/>
      <c r="R758" s="99"/>
      <c r="S758" s="99"/>
      <c r="T758" s="99"/>
      <c r="U758" s="99"/>
      <c r="V758" s="99"/>
      <c r="W758" s="99"/>
      <c r="X758" s="99"/>
      <c r="Y758" s="99"/>
      <c r="Z758" s="99"/>
      <c r="AA758" s="99"/>
      <c r="AB758" s="99"/>
      <c r="AC758" s="99"/>
    </row>
    <row r="759">
      <c r="A759" s="157"/>
      <c r="B759" s="99"/>
      <c r="C759" s="99"/>
      <c r="D759" s="99"/>
      <c r="E759" s="99"/>
      <c r="F759" s="170"/>
      <c r="G759" s="99"/>
      <c r="H759" s="99"/>
      <c r="I759" s="99"/>
      <c r="J759" s="171"/>
      <c r="K759" s="99"/>
      <c r="L759" s="99"/>
      <c r="M759" s="99"/>
      <c r="N759" s="99"/>
      <c r="O759" s="99"/>
      <c r="P759" s="99"/>
      <c r="Q759" s="99"/>
      <c r="R759" s="99"/>
      <c r="S759" s="99"/>
      <c r="T759" s="99"/>
      <c r="U759" s="99"/>
      <c r="V759" s="99"/>
      <c r="W759" s="99"/>
      <c r="X759" s="99"/>
      <c r="Y759" s="99"/>
      <c r="Z759" s="99"/>
      <c r="AA759" s="99"/>
      <c r="AB759" s="99"/>
      <c r="AC759" s="99"/>
    </row>
    <row r="760">
      <c r="A760" s="157"/>
      <c r="B760" s="99"/>
      <c r="C760" s="99"/>
      <c r="D760" s="99"/>
      <c r="E760" s="99"/>
      <c r="F760" s="170"/>
      <c r="G760" s="99"/>
      <c r="H760" s="99"/>
      <c r="I760" s="99"/>
      <c r="J760" s="171"/>
      <c r="K760" s="99"/>
      <c r="L760" s="99"/>
      <c r="M760" s="99"/>
      <c r="N760" s="99"/>
      <c r="O760" s="99"/>
      <c r="P760" s="99"/>
      <c r="Q760" s="99"/>
      <c r="R760" s="99"/>
      <c r="S760" s="99"/>
      <c r="T760" s="99"/>
      <c r="U760" s="99"/>
      <c r="V760" s="99"/>
      <c r="W760" s="99"/>
      <c r="X760" s="99"/>
      <c r="Y760" s="99"/>
      <c r="Z760" s="99"/>
      <c r="AA760" s="99"/>
      <c r="AB760" s="99"/>
      <c r="AC760" s="99"/>
    </row>
    <row r="761">
      <c r="A761" s="157"/>
      <c r="B761" s="99"/>
      <c r="C761" s="99"/>
      <c r="D761" s="99"/>
      <c r="E761" s="99"/>
      <c r="F761" s="170"/>
      <c r="G761" s="99"/>
      <c r="H761" s="99"/>
      <c r="I761" s="99"/>
      <c r="J761" s="171"/>
      <c r="K761" s="99"/>
      <c r="L761" s="99"/>
      <c r="M761" s="99"/>
      <c r="N761" s="99"/>
      <c r="O761" s="99"/>
      <c r="P761" s="99"/>
      <c r="Q761" s="99"/>
      <c r="R761" s="99"/>
      <c r="S761" s="99"/>
      <c r="T761" s="99"/>
      <c r="U761" s="99"/>
      <c r="V761" s="99"/>
      <c r="W761" s="99"/>
      <c r="X761" s="99"/>
      <c r="Y761" s="99"/>
      <c r="Z761" s="99"/>
      <c r="AA761" s="99"/>
      <c r="AB761" s="99"/>
      <c r="AC761" s="99"/>
    </row>
    <row r="762">
      <c r="A762" s="157"/>
      <c r="B762" s="99"/>
      <c r="C762" s="99"/>
      <c r="D762" s="99"/>
      <c r="E762" s="99"/>
      <c r="F762" s="170"/>
      <c r="G762" s="99"/>
      <c r="H762" s="99"/>
      <c r="I762" s="99"/>
      <c r="J762" s="171"/>
      <c r="K762" s="99"/>
      <c r="L762" s="99"/>
      <c r="M762" s="99"/>
      <c r="N762" s="99"/>
      <c r="O762" s="99"/>
      <c r="P762" s="99"/>
      <c r="Q762" s="99"/>
      <c r="R762" s="99"/>
      <c r="S762" s="99"/>
      <c r="T762" s="99"/>
      <c r="U762" s="99"/>
      <c r="V762" s="99"/>
      <c r="W762" s="99"/>
      <c r="X762" s="99"/>
      <c r="Y762" s="99"/>
      <c r="Z762" s="99"/>
      <c r="AA762" s="99"/>
      <c r="AB762" s="99"/>
      <c r="AC762" s="99"/>
    </row>
    <row r="763">
      <c r="A763" s="157"/>
      <c r="B763" s="99"/>
      <c r="C763" s="99"/>
      <c r="D763" s="99"/>
      <c r="E763" s="99"/>
      <c r="F763" s="170"/>
      <c r="G763" s="99"/>
      <c r="H763" s="99"/>
      <c r="I763" s="99"/>
      <c r="J763" s="171"/>
      <c r="K763" s="99"/>
      <c r="L763" s="99"/>
      <c r="M763" s="99"/>
      <c r="N763" s="99"/>
      <c r="O763" s="99"/>
      <c r="P763" s="99"/>
      <c r="Q763" s="99"/>
      <c r="R763" s="99"/>
      <c r="S763" s="99"/>
      <c r="T763" s="99"/>
      <c r="U763" s="99"/>
      <c r="V763" s="99"/>
      <c r="W763" s="99"/>
      <c r="X763" s="99"/>
      <c r="Y763" s="99"/>
      <c r="Z763" s="99"/>
      <c r="AA763" s="99"/>
      <c r="AB763" s="99"/>
      <c r="AC763" s="99"/>
    </row>
    <row r="764">
      <c r="A764" s="157"/>
      <c r="B764" s="99"/>
      <c r="C764" s="99"/>
      <c r="D764" s="99"/>
      <c r="E764" s="99"/>
      <c r="F764" s="170"/>
      <c r="G764" s="99"/>
      <c r="H764" s="99"/>
      <c r="I764" s="99"/>
      <c r="J764" s="171"/>
      <c r="K764" s="99"/>
      <c r="L764" s="99"/>
      <c r="M764" s="99"/>
      <c r="N764" s="99"/>
      <c r="O764" s="99"/>
      <c r="P764" s="99"/>
      <c r="Q764" s="99"/>
      <c r="R764" s="99"/>
      <c r="S764" s="99"/>
      <c r="T764" s="99"/>
      <c r="U764" s="99"/>
      <c r="V764" s="99"/>
      <c r="W764" s="99"/>
      <c r="X764" s="99"/>
      <c r="Y764" s="99"/>
      <c r="Z764" s="99"/>
      <c r="AA764" s="99"/>
      <c r="AB764" s="99"/>
      <c r="AC764" s="99"/>
    </row>
    <row r="765">
      <c r="A765" s="157"/>
      <c r="B765" s="99"/>
      <c r="C765" s="99"/>
      <c r="D765" s="99"/>
      <c r="E765" s="99"/>
      <c r="F765" s="170"/>
      <c r="G765" s="99"/>
      <c r="H765" s="99"/>
      <c r="I765" s="99"/>
      <c r="J765" s="171"/>
      <c r="K765" s="99"/>
      <c r="L765" s="99"/>
      <c r="M765" s="99"/>
      <c r="N765" s="99"/>
      <c r="O765" s="99"/>
      <c r="P765" s="99"/>
      <c r="Q765" s="99"/>
      <c r="R765" s="99"/>
      <c r="S765" s="99"/>
      <c r="T765" s="99"/>
      <c r="U765" s="99"/>
      <c r="V765" s="99"/>
      <c r="W765" s="99"/>
      <c r="X765" s="99"/>
      <c r="Y765" s="99"/>
      <c r="Z765" s="99"/>
      <c r="AA765" s="99"/>
      <c r="AB765" s="99"/>
      <c r="AC765" s="99"/>
    </row>
    <row r="766">
      <c r="A766" s="157"/>
      <c r="B766" s="99"/>
      <c r="C766" s="99"/>
      <c r="D766" s="99"/>
      <c r="E766" s="99"/>
      <c r="F766" s="170"/>
      <c r="G766" s="99"/>
      <c r="H766" s="99"/>
      <c r="I766" s="99"/>
      <c r="J766" s="171"/>
      <c r="K766" s="99"/>
      <c r="L766" s="99"/>
      <c r="M766" s="99"/>
      <c r="N766" s="99"/>
      <c r="O766" s="99"/>
      <c r="P766" s="99"/>
      <c r="Q766" s="99"/>
      <c r="R766" s="99"/>
      <c r="S766" s="99"/>
      <c r="T766" s="99"/>
      <c r="U766" s="99"/>
      <c r="V766" s="99"/>
      <c r="W766" s="99"/>
      <c r="X766" s="99"/>
      <c r="Y766" s="99"/>
      <c r="Z766" s="99"/>
      <c r="AA766" s="99"/>
      <c r="AB766" s="99"/>
      <c r="AC766" s="99"/>
    </row>
    <row r="767">
      <c r="A767" s="157"/>
      <c r="B767" s="99"/>
      <c r="C767" s="99"/>
      <c r="D767" s="99"/>
      <c r="E767" s="99"/>
      <c r="F767" s="170"/>
      <c r="G767" s="99"/>
      <c r="H767" s="99"/>
      <c r="I767" s="99"/>
      <c r="J767" s="171"/>
      <c r="K767" s="99"/>
      <c r="L767" s="99"/>
      <c r="M767" s="99"/>
      <c r="N767" s="99"/>
      <c r="O767" s="99"/>
      <c r="P767" s="99"/>
      <c r="Q767" s="99"/>
      <c r="R767" s="99"/>
      <c r="S767" s="99"/>
      <c r="T767" s="99"/>
      <c r="U767" s="99"/>
      <c r="V767" s="99"/>
      <c r="W767" s="99"/>
      <c r="X767" s="99"/>
      <c r="Y767" s="99"/>
      <c r="Z767" s="99"/>
      <c r="AA767" s="99"/>
      <c r="AB767" s="99"/>
      <c r="AC767" s="99"/>
    </row>
    <row r="768">
      <c r="A768" s="157"/>
      <c r="B768" s="99"/>
      <c r="C768" s="99"/>
      <c r="D768" s="99"/>
      <c r="E768" s="99"/>
      <c r="F768" s="170"/>
      <c r="G768" s="99"/>
      <c r="H768" s="99"/>
      <c r="I768" s="99"/>
      <c r="J768" s="171"/>
      <c r="K768" s="99"/>
      <c r="L768" s="99"/>
      <c r="M768" s="99"/>
      <c r="N768" s="99"/>
      <c r="O768" s="99"/>
      <c r="P768" s="99"/>
      <c r="Q768" s="99"/>
      <c r="R768" s="99"/>
      <c r="S768" s="99"/>
      <c r="T768" s="99"/>
      <c r="U768" s="99"/>
      <c r="V768" s="99"/>
      <c r="W768" s="99"/>
      <c r="X768" s="99"/>
      <c r="Y768" s="99"/>
      <c r="Z768" s="99"/>
      <c r="AA768" s="99"/>
      <c r="AB768" s="99"/>
      <c r="AC768" s="99"/>
    </row>
    <row r="769">
      <c r="A769" s="157"/>
      <c r="B769" s="99"/>
      <c r="C769" s="99"/>
      <c r="D769" s="99"/>
      <c r="E769" s="99"/>
      <c r="F769" s="170"/>
      <c r="G769" s="99"/>
      <c r="H769" s="99"/>
      <c r="I769" s="99"/>
      <c r="J769" s="171"/>
      <c r="K769" s="99"/>
      <c r="L769" s="99"/>
      <c r="M769" s="99"/>
      <c r="N769" s="99"/>
      <c r="O769" s="99"/>
      <c r="P769" s="99"/>
      <c r="Q769" s="99"/>
      <c r="R769" s="99"/>
      <c r="S769" s="99"/>
      <c r="T769" s="99"/>
      <c r="U769" s="99"/>
      <c r="V769" s="99"/>
      <c r="W769" s="99"/>
      <c r="X769" s="99"/>
      <c r="Y769" s="99"/>
      <c r="Z769" s="99"/>
      <c r="AA769" s="99"/>
      <c r="AB769" s="99"/>
      <c r="AC769" s="99"/>
    </row>
    <row r="770">
      <c r="A770" s="157"/>
      <c r="B770" s="99"/>
      <c r="C770" s="99"/>
      <c r="D770" s="99"/>
      <c r="E770" s="99"/>
      <c r="F770" s="170"/>
      <c r="G770" s="99"/>
      <c r="H770" s="99"/>
      <c r="I770" s="99"/>
      <c r="J770" s="171"/>
      <c r="K770" s="99"/>
      <c r="L770" s="99"/>
      <c r="M770" s="99"/>
      <c r="N770" s="99"/>
      <c r="O770" s="99"/>
      <c r="P770" s="99"/>
      <c r="Q770" s="99"/>
      <c r="R770" s="99"/>
      <c r="S770" s="99"/>
      <c r="T770" s="99"/>
      <c r="U770" s="99"/>
      <c r="V770" s="99"/>
      <c r="W770" s="99"/>
      <c r="X770" s="99"/>
      <c r="Y770" s="99"/>
      <c r="Z770" s="99"/>
      <c r="AA770" s="99"/>
      <c r="AB770" s="99"/>
      <c r="AC770" s="99"/>
    </row>
    <row r="771">
      <c r="A771" s="157"/>
      <c r="B771" s="99"/>
      <c r="C771" s="99"/>
      <c r="D771" s="99"/>
      <c r="E771" s="99"/>
      <c r="F771" s="170"/>
      <c r="G771" s="99"/>
      <c r="H771" s="99"/>
      <c r="I771" s="99"/>
      <c r="J771" s="171"/>
      <c r="K771" s="99"/>
      <c r="L771" s="99"/>
      <c r="M771" s="99"/>
      <c r="N771" s="99"/>
      <c r="O771" s="99"/>
      <c r="P771" s="99"/>
      <c r="Q771" s="99"/>
      <c r="R771" s="99"/>
      <c r="S771" s="99"/>
      <c r="T771" s="99"/>
      <c r="U771" s="99"/>
      <c r="V771" s="99"/>
      <c r="W771" s="99"/>
      <c r="X771" s="99"/>
      <c r="Y771" s="99"/>
      <c r="Z771" s="99"/>
      <c r="AA771" s="99"/>
      <c r="AB771" s="99"/>
      <c r="AC771" s="99"/>
    </row>
    <row r="772">
      <c r="A772" s="157"/>
      <c r="B772" s="99"/>
      <c r="C772" s="99"/>
      <c r="D772" s="99"/>
      <c r="E772" s="99"/>
      <c r="F772" s="170"/>
      <c r="G772" s="99"/>
      <c r="H772" s="99"/>
      <c r="I772" s="99"/>
      <c r="J772" s="171"/>
      <c r="K772" s="99"/>
      <c r="L772" s="99"/>
      <c r="M772" s="99"/>
      <c r="N772" s="99"/>
      <c r="O772" s="99"/>
      <c r="P772" s="99"/>
      <c r="Q772" s="99"/>
      <c r="R772" s="99"/>
      <c r="S772" s="99"/>
      <c r="T772" s="99"/>
      <c r="U772" s="99"/>
      <c r="V772" s="99"/>
      <c r="W772" s="99"/>
      <c r="X772" s="99"/>
      <c r="Y772" s="99"/>
      <c r="Z772" s="99"/>
      <c r="AA772" s="99"/>
      <c r="AB772" s="99"/>
      <c r="AC772" s="99"/>
    </row>
    <row r="773">
      <c r="A773" s="157"/>
      <c r="B773" s="99"/>
      <c r="C773" s="99"/>
      <c r="D773" s="99"/>
      <c r="E773" s="99"/>
      <c r="F773" s="170"/>
      <c r="G773" s="99"/>
      <c r="H773" s="99"/>
      <c r="I773" s="99"/>
      <c r="J773" s="171"/>
      <c r="K773" s="99"/>
      <c r="L773" s="99"/>
      <c r="M773" s="99"/>
      <c r="N773" s="99"/>
      <c r="O773" s="99"/>
      <c r="P773" s="99"/>
      <c r="Q773" s="99"/>
      <c r="R773" s="99"/>
      <c r="S773" s="99"/>
      <c r="T773" s="99"/>
      <c r="U773" s="99"/>
      <c r="V773" s="99"/>
      <c r="W773" s="99"/>
      <c r="X773" s="99"/>
      <c r="Y773" s="99"/>
      <c r="Z773" s="99"/>
      <c r="AA773" s="99"/>
      <c r="AB773" s="99"/>
      <c r="AC773" s="99"/>
    </row>
    <row r="774">
      <c r="A774" s="157"/>
      <c r="B774" s="99"/>
      <c r="C774" s="99"/>
      <c r="D774" s="99"/>
      <c r="E774" s="99"/>
      <c r="F774" s="170"/>
      <c r="G774" s="99"/>
      <c r="H774" s="99"/>
      <c r="I774" s="99"/>
      <c r="J774" s="171"/>
      <c r="K774" s="99"/>
      <c r="L774" s="99"/>
      <c r="M774" s="99"/>
      <c r="N774" s="99"/>
      <c r="O774" s="99"/>
      <c r="P774" s="99"/>
      <c r="Q774" s="99"/>
      <c r="R774" s="99"/>
      <c r="S774" s="99"/>
      <c r="T774" s="99"/>
      <c r="U774" s="99"/>
      <c r="V774" s="99"/>
      <c r="W774" s="99"/>
      <c r="X774" s="99"/>
      <c r="Y774" s="99"/>
      <c r="Z774" s="99"/>
      <c r="AA774" s="99"/>
      <c r="AB774" s="99"/>
      <c r="AC774" s="99"/>
    </row>
    <row r="775">
      <c r="A775" s="157"/>
      <c r="B775" s="99"/>
      <c r="C775" s="99"/>
      <c r="D775" s="99"/>
      <c r="E775" s="99"/>
      <c r="F775" s="170"/>
      <c r="G775" s="99"/>
      <c r="H775" s="99"/>
      <c r="I775" s="99"/>
      <c r="J775" s="171"/>
      <c r="K775" s="99"/>
      <c r="L775" s="99"/>
      <c r="M775" s="99"/>
      <c r="N775" s="99"/>
      <c r="O775" s="99"/>
      <c r="P775" s="99"/>
      <c r="Q775" s="99"/>
      <c r="R775" s="99"/>
      <c r="S775" s="99"/>
      <c r="T775" s="99"/>
      <c r="U775" s="99"/>
      <c r="V775" s="99"/>
      <c r="W775" s="99"/>
      <c r="X775" s="99"/>
      <c r="Y775" s="99"/>
      <c r="Z775" s="99"/>
      <c r="AA775" s="99"/>
      <c r="AB775" s="99"/>
      <c r="AC775" s="99"/>
    </row>
    <row r="776">
      <c r="A776" s="157"/>
      <c r="B776" s="99"/>
      <c r="C776" s="99"/>
      <c r="D776" s="99"/>
      <c r="E776" s="99"/>
      <c r="F776" s="170"/>
      <c r="G776" s="99"/>
      <c r="H776" s="99"/>
      <c r="I776" s="99"/>
      <c r="J776" s="171"/>
      <c r="K776" s="99"/>
      <c r="L776" s="99"/>
      <c r="M776" s="99"/>
      <c r="N776" s="99"/>
      <c r="O776" s="99"/>
      <c r="P776" s="99"/>
      <c r="Q776" s="99"/>
      <c r="R776" s="99"/>
      <c r="S776" s="99"/>
      <c r="T776" s="99"/>
      <c r="U776" s="99"/>
      <c r="V776" s="99"/>
      <c r="W776" s="99"/>
      <c r="X776" s="99"/>
      <c r="Y776" s="99"/>
      <c r="Z776" s="99"/>
      <c r="AA776" s="99"/>
      <c r="AB776" s="99"/>
      <c r="AC776" s="99"/>
    </row>
    <row r="777">
      <c r="A777" s="157"/>
      <c r="B777" s="99"/>
      <c r="C777" s="99"/>
      <c r="D777" s="99"/>
      <c r="E777" s="99"/>
      <c r="F777" s="170"/>
      <c r="G777" s="99"/>
      <c r="H777" s="99"/>
      <c r="I777" s="99"/>
      <c r="J777" s="171"/>
      <c r="K777" s="99"/>
      <c r="L777" s="99"/>
      <c r="M777" s="99"/>
      <c r="N777" s="99"/>
      <c r="O777" s="99"/>
      <c r="P777" s="99"/>
      <c r="Q777" s="99"/>
      <c r="R777" s="99"/>
      <c r="S777" s="99"/>
      <c r="T777" s="99"/>
      <c r="U777" s="99"/>
      <c r="V777" s="99"/>
      <c r="W777" s="99"/>
      <c r="X777" s="99"/>
      <c r="Y777" s="99"/>
      <c r="Z777" s="99"/>
      <c r="AA777" s="99"/>
      <c r="AB777" s="99"/>
      <c r="AC777" s="99"/>
    </row>
    <row r="778">
      <c r="A778" s="157"/>
      <c r="B778" s="99"/>
      <c r="C778" s="99"/>
      <c r="D778" s="99"/>
      <c r="E778" s="99"/>
      <c r="F778" s="170"/>
      <c r="G778" s="99"/>
      <c r="H778" s="99"/>
      <c r="I778" s="99"/>
      <c r="J778" s="171"/>
      <c r="K778" s="99"/>
      <c r="L778" s="99"/>
      <c r="M778" s="99"/>
      <c r="N778" s="99"/>
      <c r="O778" s="99"/>
      <c r="P778" s="99"/>
      <c r="Q778" s="99"/>
      <c r="R778" s="99"/>
      <c r="S778" s="99"/>
      <c r="T778" s="99"/>
      <c r="U778" s="99"/>
      <c r="V778" s="99"/>
      <c r="W778" s="99"/>
      <c r="X778" s="99"/>
      <c r="Y778" s="99"/>
      <c r="Z778" s="99"/>
      <c r="AA778" s="99"/>
      <c r="AB778" s="99"/>
      <c r="AC778" s="99"/>
    </row>
    <row r="779">
      <c r="A779" s="157"/>
      <c r="B779" s="99"/>
      <c r="C779" s="99"/>
      <c r="D779" s="99"/>
      <c r="E779" s="99"/>
      <c r="F779" s="170"/>
      <c r="G779" s="99"/>
      <c r="H779" s="99"/>
      <c r="I779" s="99"/>
      <c r="J779" s="171"/>
      <c r="K779" s="99"/>
      <c r="L779" s="99"/>
      <c r="M779" s="99"/>
      <c r="N779" s="99"/>
      <c r="O779" s="99"/>
      <c r="P779" s="99"/>
      <c r="Q779" s="99"/>
      <c r="R779" s="99"/>
      <c r="S779" s="99"/>
      <c r="T779" s="99"/>
      <c r="U779" s="99"/>
      <c r="V779" s="99"/>
      <c r="W779" s="99"/>
      <c r="X779" s="99"/>
      <c r="Y779" s="99"/>
      <c r="Z779" s="99"/>
      <c r="AA779" s="99"/>
      <c r="AB779" s="99"/>
      <c r="AC779" s="99"/>
    </row>
    <row r="780">
      <c r="A780" s="157"/>
      <c r="B780" s="99"/>
      <c r="C780" s="99"/>
      <c r="D780" s="99"/>
      <c r="E780" s="99"/>
      <c r="F780" s="170"/>
      <c r="G780" s="99"/>
      <c r="H780" s="99"/>
      <c r="I780" s="99"/>
      <c r="J780" s="171"/>
      <c r="K780" s="99"/>
      <c r="L780" s="99"/>
      <c r="M780" s="99"/>
      <c r="N780" s="99"/>
      <c r="O780" s="99"/>
      <c r="P780" s="99"/>
      <c r="Q780" s="99"/>
      <c r="R780" s="99"/>
      <c r="S780" s="99"/>
      <c r="T780" s="99"/>
      <c r="U780" s="99"/>
      <c r="V780" s="99"/>
      <c r="W780" s="99"/>
      <c r="X780" s="99"/>
      <c r="Y780" s="99"/>
      <c r="Z780" s="99"/>
      <c r="AA780" s="99"/>
      <c r="AB780" s="99"/>
      <c r="AC780" s="99"/>
    </row>
    <row r="781">
      <c r="A781" s="157"/>
      <c r="B781" s="99"/>
      <c r="C781" s="99"/>
      <c r="D781" s="99"/>
      <c r="E781" s="99"/>
      <c r="F781" s="170"/>
      <c r="G781" s="99"/>
      <c r="H781" s="99"/>
      <c r="I781" s="99"/>
      <c r="J781" s="171"/>
      <c r="K781" s="99"/>
      <c r="L781" s="99"/>
      <c r="M781" s="99"/>
      <c r="N781" s="99"/>
      <c r="O781" s="99"/>
      <c r="P781" s="99"/>
      <c r="Q781" s="99"/>
      <c r="R781" s="99"/>
      <c r="S781" s="99"/>
      <c r="T781" s="99"/>
      <c r="U781" s="99"/>
      <c r="V781" s="99"/>
      <c r="W781" s="99"/>
      <c r="X781" s="99"/>
      <c r="Y781" s="99"/>
      <c r="Z781" s="99"/>
      <c r="AA781" s="99"/>
      <c r="AB781" s="99"/>
      <c r="AC781" s="99"/>
    </row>
    <row r="782">
      <c r="A782" s="157"/>
      <c r="B782" s="99"/>
      <c r="C782" s="99"/>
      <c r="D782" s="99"/>
      <c r="E782" s="99"/>
      <c r="F782" s="170"/>
      <c r="G782" s="99"/>
      <c r="H782" s="99"/>
      <c r="I782" s="99"/>
      <c r="J782" s="171"/>
      <c r="K782" s="99"/>
      <c r="L782" s="99"/>
      <c r="M782" s="99"/>
      <c r="N782" s="99"/>
      <c r="O782" s="99"/>
      <c r="P782" s="99"/>
      <c r="Q782" s="99"/>
      <c r="R782" s="99"/>
      <c r="S782" s="99"/>
      <c r="T782" s="99"/>
      <c r="U782" s="99"/>
      <c r="V782" s="99"/>
      <c r="W782" s="99"/>
      <c r="X782" s="99"/>
      <c r="Y782" s="99"/>
      <c r="Z782" s="99"/>
      <c r="AA782" s="99"/>
      <c r="AB782" s="99"/>
      <c r="AC782" s="99"/>
    </row>
    <row r="783">
      <c r="A783" s="157"/>
      <c r="B783" s="99"/>
      <c r="C783" s="99"/>
      <c r="D783" s="99"/>
      <c r="E783" s="99"/>
      <c r="F783" s="170"/>
      <c r="G783" s="99"/>
      <c r="H783" s="99"/>
      <c r="I783" s="99"/>
      <c r="J783" s="171"/>
      <c r="K783" s="99"/>
      <c r="L783" s="99"/>
      <c r="M783" s="99"/>
      <c r="N783" s="99"/>
      <c r="O783" s="99"/>
      <c r="P783" s="99"/>
      <c r="Q783" s="99"/>
      <c r="R783" s="99"/>
      <c r="S783" s="99"/>
      <c r="T783" s="99"/>
      <c r="U783" s="99"/>
      <c r="V783" s="99"/>
      <c r="W783" s="99"/>
      <c r="X783" s="99"/>
      <c r="Y783" s="99"/>
      <c r="Z783" s="99"/>
      <c r="AA783" s="99"/>
      <c r="AB783" s="99"/>
      <c r="AC783" s="99"/>
    </row>
    <row r="784">
      <c r="A784" s="157"/>
      <c r="B784" s="99"/>
      <c r="C784" s="99"/>
      <c r="D784" s="99"/>
      <c r="E784" s="99"/>
      <c r="F784" s="170"/>
      <c r="G784" s="99"/>
      <c r="H784" s="99"/>
      <c r="I784" s="99"/>
      <c r="J784" s="171"/>
      <c r="K784" s="99"/>
      <c r="L784" s="99"/>
      <c r="M784" s="99"/>
      <c r="N784" s="99"/>
      <c r="O784" s="99"/>
      <c r="P784" s="99"/>
      <c r="Q784" s="99"/>
      <c r="R784" s="99"/>
      <c r="S784" s="99"/>
      <c r="T784" s="99"/>
      <c r="U784" s="99"/>
      <c r="V784" s="99"/>
      <c r="W784" s="99"/>
      <c r="X784" s="99"/>
      <c r="Y784" s="99"/>
      <c r="Z784" s="99"/>
      <c r="AA784" s="99"/>
      <c r="AB784" s="99"/>
      <c r="AC784" s="99"/>
    </row>
    <row r="785">
      <c r="A785" s="157"/>
      <c r="B785" s="99"/>
      <c r="C785" s="99"/>
      <c r="D785" s="99"/>
      <c r="E785" s="99"/>
      <c r="F785" s="170"/>
      <c r="G785" s="99"/>
      <c r="H785" s="99"/>
      <c r="I785" s="99"/>
      <c r="J785" s="171"/>
      <c r="K785" s="99"/>
      <c r="L785" s="99"/>
      <c r="M785" s="99"/>
      <c r="N785" s="99"/>
      <c r="O785" s="99"/>
      <c r="P785" s="99"/>
      <c r="Q785" s="99"/>
      <c r="R785" s="99"/>
      <c r="S785" s="99"/>
      <c r="T785" s="99"/>
      <c r="U785" s="99"/>
      <c r="V785" s="99"/>
      <c r="W785" s="99"/>
      <c r="X785" s="99"/>
      <c r="Y785" s="99"/>
      <c r="Z785" s="99"/>
      <c r="AA785" s="99"/>
      <c r="AB785" s="99"/>
      <c r="AC785" s="99"/>
    </row>
    <row r="786">
      <c r="A786" s="157"/>
      <c r="B786" s="99"/>
      <c r="C786" s="99"/>
      <c r="D786" s="99"/>
      <c r="E786" s="99"/>
      <c r="F786" s="170"/>
      <c r="G786" s="99"/>
      <c r="H786" s="99"/>
      <c r="I786" s="99"/>
      <c r="J786" s="171"/>
      <c r="K786" s="99"/>
      <c r="L786" s="99"/>
      <c r="M786" s="99"/>
      <c r="N786" s="99"/>
      <c r="O786" s="99"/>
      <c r="P786" s="99"/>
      <c r="Q786" s="99"/>
      <c r="R786" s="99"/>
      <c r="S786" s="99"/>
      <c r="T786" s="99"/>
      <c r="U786" s="99"/>
      <c r="V786" s="99"/>
      <c r="W786" s="99"/>
      <c r="X786" s="99"/>
      <c r="Y786" s="99"/>
      <c r="Z786" s="99"/>
      <c r="AA786" s="99"/>
      <c r="AB786" s="99"/>
      <c r="AC786" s="99"/>
    </row>
    <row r="787">
      <c r="A787" s="157"/>
      <c r="B787" s="99"/>
      <c r="C787" s="99"/>
      <c r="D787" s="99"/>
      <c r="E787" s="99"/>
      <c r="F787" s="170"/>
      <c r="G787" s="99"/>
      <c r="H787" s="99"/>
      <c r="I787" s="99"/>
      <c r="J787" s="171"/>
      <c r="K787" s="99"/>
      <c r="L787" s="99"/>
      <c r="M787" s="99"/>
      <c r="N787" s="99"/>
      <c r="O787" s="99"/>
      <c r="P787" s="99"/>
      <c r="Q787" s="99"/>
      <c r="R787" s="99"/>
      <c r="S787" s="99"/>
      <c r="T787" s="99"/>
      <c r="U787" s="99"/>
      <c r="V787" s="99"/>
      <c r="W787" s="99"/>
      <c r="X787" s="99"/>
      <c r="Y787" s="99"/>
      <c r="Z787" s="99"/>
      <c r="AA787" s="99"/>
      <c r="AB787" s="99"/>
      <c r="AC787" s="99"/>
    </row>
    <row r="788">
      <c r="A788" s="157"/>
      <c r="B788" s="99"/>
      <c r="C788" s="99"/>
      <c r="D788" s="99"/>
      <c r="E788" s="99"/>
      <c r="F788" s="170"/>
      <c r="G788" s="99"/>
      <c r="H788" s="99"/>
      <c r="I788" s="99"/>
      <c r="J788" s="171"/>
      <c r="K788" s="99"/>
      <c r="L788" s="99"/>
      <c r="M788" s="99"/>
      <c r="N788" s="99"/>
      <c r="O788" s="99"/>
      <c r="P788" s="99"/>
      <c r="Q788" s="99"/>
      <c r="R788" s="99"/>
      <c r="S788" s="99"/>
      <c r="T788" s="99"/>
      <c r="U788" s="99"/>
      <c r="V788" s="99"/>
      <c r="W788" s="99"/>
      <c r="X788" s="99"/>
      <c r="Y788" s="99"/>
      <c r="Z788" s="99"/>
      <c r="AA788" s="99"/>
      <c r="AB788" s="99"/>
      <c r="AC788" s="99"/>
    </row>
    <row r="789">
      <c r="A789" s="157"/>
      <c r="B789" s="99"/>
      <c r="C789" s="99"/>
      <c r="D789" s="99"/>
      <c r="E789" s="99"/>
      <c r="F789" s="170"/>
      <c r="G789" s="99"/>
      <c r="H789" s="99"/>
      <c r="I789" s="99"/>
      <c r="J789" s="171"/>
      <c r="K789" s="99"/>
      <c r="L789" s="99"/>
      <c r="M789" s="99"/>
      <c r="N789" s="99"/>
      <c r="O789" s="99"/>
      <c r="P789" s="99"/>
      <c r="Q789" s="99"/>
      <c r="R789" s="99"/>
      <c r="S789" s="99"/>
      <c r="T789" s="99"/>
      <c r="U789" s="99"/>
      <c r="V789" s="99"/>
      <c r="W789" s="99"/>
      <c r="X789" s="99"/>
      <c r="Y789" s="99"/>
      <c r="Z789" s="99"/>
      <c r="AA789" s="99"/>
      <c r="AB789" s="99"/>
      <c r="AC789" s="99"/>
    </row>
    <row r="790">
      <c r="A790" s="157"/>
      <c r="B790" s="99"/>
      <c r="C790" s="99"/>
      <c r="D790" s="99"/>
      <c r="E790" s="99"/>
      <c r="F790" s="170"/>
      <c r="G790" s="99"/>
      <c r="H790" s="99"/>
      <c r="I790" s="99"/>
      <c r="J790" s="171"/>
      <c r="K790" s="99"/>
      <c r="L790" s="99"/>
      <c r="M790" s="99"/>
      <c r="N790" s="99"/>
      <c r="O790" s="99"/>
      <c r="P790" s="99"/>
      <c r="Q790" s="99"/>
      <c r="R790" s="99"/>
      <c r="S790" s="99"/>
      <c r="T790" s="99"/>
      <c r="U790" s="99"/>
      <c r="V790" s="99"/>
      <c r="W790" s="99"/>
      <c r="X790" s="99"/>
      <c r="Y790" s="99"/>
      <c r="Z790" s="99"/>
      <c r="AA790" s="99"/>
      <c r="AB790" s="99"/>
      <c r="AC790" s="99"/>
    </row>
    <row r="791">
      <c r="A791" s="157"/>
      <c r="B791" s="99"/>
      <c r="C791" s="99"/>
      <c r="D791" s="99"/>
      <c r="E791" s="99"/>
      <c r="F791" s="170"/>
      <c r="G791" s="99"/>
      <c r="H791" s="99"/>
      <c r="I791" s="99"/>
      <c r="J791" s="171"/>
      <c r="K791" s="99"/>
      <c r="L791" s="99"/>
      <c r="M791" s="99"/>
      <c r="N791" s="99"/>
      <c r="O791" s="99"/>
      <c r="P791" s="99"/>
      <c r="Q791" s="99"/>
      <c r="R791" s="99"/>
      <c r="S791" s="99"/>
      <c r="T791" s="99"/>
      <c r="U791" s="99"/>
      <c r="V791" s="99"/>
      <c r="W791" s="99"/>
      <c r="X791" s="99"/>
      <c r="Y791" s="99"/>
      <c r="Z791" s="99"/>
      <c r="AA791" s="99"/>
      <c r="AB791" s="99"/>
      <c r="AC791" s="99"/>
    </row>
    <row r="792">
      <c r="A792" s="157"/>
      <c r="B792" s="99"/>
      <c r="C792" s="99"/>
      <c r="D792" s="99"/>
      <c r="E792" s="99"/>
      <c r="F792" s="170"/>
      <c r="G792" s="99"/>
      <c r="H792" s="99"/>
      <c r="I792" s="99"/>
      <c r="J792" s="171"/>
      <c r="K792" s="99"/>
      <c r="L792" s="99"/>
      <c r="M792" s="99"/>
      <c r="N792" s="99"/>
      <c r="O792" s="99"/>
      <c r="P792" s="99"/>
      <c r="Q792" s="99"/>
      <c r="R792" s="99"/>
      <c r="S792" s="99"/>
      <c r="T792" s="99"/>
      <c r="U792" s="99"/>
      <c r="V792" s="99"/>
      <c r="W792" s="99"/>
      <c r="X792" s="99"/>
      <c r="Y792" s="99"/>
      <c r="Z792" s="99"/>
      <c r="AA792" s="99"/>
      <c r="AB792" s="99"/>
      <c r="AC792" s="99"/>
    </row>
    <row r="793">
      <c r="A793" s="157"/>
      <c r="B793" s="99"/>
      <c r="C793" s="99"/>
      <c r="D793" s="99"/>
      <c r="E793" s="99"/>
      <c r="F793" s="170"/>
      <c r="G793" s="99"/>
      <c r="H793" s="99"/>
      <c r="I793" s="99"/>
      <c r="J793" s="171"/>
      <c r="K793" s="99"/>
      <c r="L793" s="99"/>
      <c r="M793" s="99"/>
      <c r="N793" s="99"/>
      <c r="O793" s="99"/>
      <c r="P793" s="99"/>
      <c r="Q793" s="99"/>
      <c r="R793" s="99"/>
      <c r="S793" s="99"/>
      <c r="T793" s="99"/>
      <c r="U793" s="99"/>
      <c r="V793" s="99"/>
      <c r="W793" s="99"/>
      <c r="X793" s="99"/>
      <c r="Y793" s="99"/>
      <c r="Z793" s="99"/>
      <c r="AA793" s="99"/>
      <c r="AB793" s="99"/>
      <c r="AC793" s="99"/>
    </row>
    <row r="794">
      <c r="A794" s="157"/>
      <c r="B794" s="99"/>
      <c r="C794" s="99"/>
      <c r="D794" s="99"/>
      <c r="E794" s="99"/>
      <c r="F794" s="170"/>
      <c r="G794" s="99"/>
      <c r="H794" s="99"/>
      <c r="I794" s="99"/>
      <c r="J794" s="171"/>
      <c r="K794" s="99"/>
      <c r="L794" s="99"/>
      <c r="M794" s="99"/>
      <c r="N794" s="99"/>
      <c r="O794" s="99"/>
      <c r="P794" s="99"/>
      <c r="Q794" s="99"/>
      <c r="R794" s="99"/>
      <c r="S794" s="99"/>
      <c r="T794" s="99"/>
      <c r="U794" s="99"/>
      <c r="V794" s="99"/>
      <c r="W794" s="99"/>
      <c r="X794" s="99"/>
      <c r="Y794" s="99"/>
      <c r="Z794" s="99"/>
      <c r="AA794" s="99"/>
      <c r="AB794" s="99"/>
      <c r="AC794" s="99"/>
    </row>
    <row r="795">
      <c r="A795" s="157"/>
      <c r="B795" s="99"/>
      <c r="C795" s="99"/>
      <c r="D795" s="99"/>
      <c r="E795" s="99"/>
      <c r="F795" s="170"/>
      <c r="G795" s="99"/>
      <c r="H795" s="99"/>
      <c r="I795" s="99"/>
      <c r="J795" s="171"/>
      <c r="K795" s="99"/>
      <c r="L795" s="99"/>
      <c r="M795" s="99"/>
      <c r="N795" s="99"/>
      <c r="O795" s="99"/>
      <c r="P795" s="99"/>
      <c r="Q795" s="99"/>
      <c r="R795" s="99"/>
      <c r="S795" s="99"/>
      <c r="T795" s="99"/>
      <c r="U795" s="99"/>
      <c r="V795" s="99"/>
      <c r="W795" s="99"/>
      <c r="X795" s="99"/>
      <c r="Y795" s="99"/>
      <c r="Z795" s="99"/>
      <c r="AA795" s="99"/>
      <c r="AB795" s="99"/>
      <c r="AC795" s="99"/>
    </row>
    <row r="796">
      <c r="A796" s="157"/>
      <c r="B796" s="99"/>
      <c r="C796" s="99"/>
      <c r="D796" s="99"/>
      <c r="E796" s="99"/>
      <c r="F796" s="170"/>
      <c r="G796" s="99"/>
      <c r="H796" s="99"/>
      <c r="I796" s="99"/>
      <c r="J796" s="171"/>
      <c r="K796" s="99"/>
      <c r="L796" s="99"/>
      <c r="M796" s="99"/>
      <c r="N796" s="99"/>
      <c r="O796" s="99"/>
      <c r="P796" s="99"/>
      <c r="Q796" s="99"/>
      <c r="R796" s="99"/>
      <c r="S796" s="99"/>
      <c r="T796" s="99"/>
      <c r="U796" s="99"/>
      <c r="V796" s="99"/>
      <c r="W796" s="99"/>
      <c r="X796" s="99"/>
      <c r="Y796" s="99"/>
      <c r="Z796" s="99"/>
      <c r="AA796" s="99"/>
      <c r="AB796" s="99"/>
      <c r="AC796" s="99"/>
    </row>
    <row r="797">
      <c r="A797" s="157"/>
      <c r="B797" s="99"/>
      <c r="C797" s="99"/>
      <c r="D797" s="99"/>
      <c r="E797" s="99"/>
      <c r="F797" s="170"/>
      <c r="G797" s="99"/>
      <c r="H797" s="99"/>
      <c r="I797" s="99"/>
      <c r="J797" s="171"/>
      <c r="K797" s="99"/>
      <c r="L797" s="99"/>
      <c r="M797" s="99"/>
      <c r="N797" s="99"/>
      <c r="O797" s="99"/>
      <c r="P797" s="99"/>
      <c r="Q797" s="99"/>
      <c r="R797" s="99"/>
      <c r="S797" s="99"/>
      <c r="T797" s="99"/>
      <c r="U797" s="99"/>
      <c r="V797" s="99"/>
      <c r="W797" s="99"/>
      <c r="X797" s="99"/>
      <c r="Y797" s="99"/>
      <c r="Z797" s="99"/>
      <c r="AA797" s="99"/>
      <c r="AB797" s="99"/>
      <c r="AC797" s="99"/>
    </row>
    <row r="798">
      <c r="A798" s="157"/>
      <c r="B798" s="99"/>
      <c r="C798" s="99"/>
      <c r="D798" s="99"/>
      <c r="E798" s="99"/>
      <c r="F798" s="170"/>
      <c r="G798" s="99"/>
      <c r="H798" s="99"/>
      <c r="I798" s="99"/>
      <c r="J798" s="171"/>
      <c r="K798" s="99"/>
      <c r="L798" s="99"/>
      <c r="M798" s="99"/>
      <c r="N798" s="99"/>
      <c r="O798" s="99"/>
      <c r="P798" s="99"/>
      <c r="Q798" s="99"/>
      <c r="R798" s="99"/>
      <c r="S798" s="99"/>
      <c r="T798" s="99"/>
      <c r="U798" s="99"/>
      <c r="V798" s="99"/>
      <c r="W798" s="99"/>
      <c r="X798" s="99"/>
      <c r="Y798" s="99"/>
      <c r="Z798" s="99"/>
      <c r="AA798" s="99"/>
      <c r="AB798" s="99"/>
      <c r="AC798" s="99"/>
    </row>
    <row r="799">
      <c r="A799" s="157"/>
      <c r="B799" s="99"/>
      <c r="C799" s="99"/>
      <c r="D799" s="99"/>
      <c r="E799" s="99"/>
      <c r="F799" s="170"/>
      <c r="G799" s="99"/>
      <c r="H799" s="99"/>
      <c r="I799" s="99"/>
      <c r="J799" s="171"/>
      <c r="K799" s="99"/>
      <c r="L799" s="99"/>
      <c r="M799" s="99"/>
      <c r="N799" s="99"/>
      <c r="O799" s="99"/>
      <c r="P799" s="99"/>
      <c r="Q799" s="99"/>
      <c r="R799" s="99"/>
      <c r="S799" s="99"/>
      <c r="T799" s="99"/>
      <c r="U799" s="99"/>
      <c r="V799" s="99"/>
      <c r="W799" s="99"/>
      <c r="X799" s="99"/>
      <c r="Y799" s="99"/>
      <c r="Z799" s="99"/>
      <c r="AA799" s="99"/>
      <c r="AB799" s="99"/>
      <c r="AC799" s="99"/>
    </row>
    <row r="800">
      <c r="A800" s="157"/>
      <c r="B800" s="99"/>
      <c r="C800" s="99"/>
      <c r="D800" s="99"/>
      <c r="E800" s="99"/>
      <c r="F800" s="170"/>
      <c r="G800" s="99"/>
      <c r="H800" s="99"/>
      <c r="I800" s="99"/>
      <c r="J800" s="171"/>
      <c r="K800" s="99"/>
      <c r="L800" s="99"/>
      <c r="M800" s="99"/>
      <c r="N800" s="99"/>
      <c r="O800" s="99"/>
      <c r="P800" s="99"/>
      <c r="Q800" s="99"/>
      <c r="R800" s="99"/>
      <c r="S800" s="99"/>
      <c r="T800" s="99"/>
      <c r="U800" s="99"/>
      <c r="V800" s="99"/>
      <c r="W800" s="99"/>
      <c r="X800" s="99"/>
      <c r="Y800" s="99"/>
      <c r="Z800" s="99"/>
      <c r="AA800" s="99"/>
      <c r="AB800" s="99"/>
      <c r="AC800" s="99"/>
    </row>
    <row r="801">
      <c r="A801" s="157"/>
      <c r="B801" s="99"/>
      <c r="C801" s="99"/>
      <c r="D801" s="99"/>
      <c r="E801" s="99"/>
      <c r="F801" s="170"/>
      <c r="G801" s="99"/>
      <c r="H801" s="99"/>
      <c r="I801" s="99"/>
      <c r="J801" s="171"/>
      <c r="K801" s="99"/>
      <c r="L801" s="99"/>
      <c r="M801" s="99"/>
      <c r="N801" s="99"/>
      <c r="O801" s="99"/>
      <c r="P801" s="99"/>
      <c r="Q801" s="99"/>
      <c r="R801" s="99"/>
      <c r="S801" s="99"/>
      <c r="T801" s="99"/>
      <c r="U801" s="99"/>
      <c r="V801" s="99"/>
      <c r="W801" s="99"/>
      <c r="X801" s="99"/>
      <c r="Y801" s="99"/>
      <c r="Z801" s="99"/>
      <c r="AA801" s="99"/>
      <c r="AB801" s="99"/>
      <c r="AC801" s="99"/>
    </row>
    <row r="802">
      <c r="A802" s="157"/>
      <c r="B802" s="99"/>
      <c r="C802" s="99"/>
      <c r="D802" s="99"/>
      <c r="E802" s="99"/>
      <c r="F802" s="170"/>
      <c r="G802" s="99"/>
      <c r="H802" s="99"/>
      <c r="I802" s="99"/>
      <c r="J802" s="171"/>
      <c r="K802" s="99"/>
      <c r="L802" s="99"/>
      <c r="M802" s="99"/>
      <c r="N802" s="99"/>
      <c r="O802" s="99"/>
      <c r="P802" s="99"/>
      <c r="Q802" s="99"/>
      <c r="R802" s="99"/>
      <c r="S802" s="99"/>
      <c r="T802" s="99"/>
      <c r="U802" s="99"/>
      <c r="V802" s="99"/>
      <c r="W802" s="99"/>
      <c r="X802" s="99"/>
      <c r="Y802" s="99"/>
      <c r="Z802" s="99"/>
      <c r="AA802" s="99"/>
      <c r="AB802" s="99"/>
      <c r="AC802" s="99"/>
    </row>
    <row r="803">
      <c r="A803" s="157"/>
      <c r="B803" s="99"/>
      <c r="C803" s="99"/>
      <c r="D803" s="99"/>
      <c r="E803" s="99"/>
      <c r="F803" s="170"/>
      <c r="G803" s="99"/>
      <c r="H803" s="99"/>
      <c r="I803" s="99"/>
      <c r="J803" s="171"/>
      <c r="K803" s="99"/>
      <c r="L803" s="99"/>
      <c r="M803" s="99"/>
      <c r="N803" s="99"/>
      <c r="O803" s="99"/>
      <c r="P803" s="99"/>
      <c r="Q803" s="99"/>
      <c r="R803" s="99"/>
      <c r="S803" s="99"/>
      <c r="T803" s="99"/>
      <c r="U803" s="99"/>
      <c r="V803" s="99"/>
      <c r="W803" s="99"/>
      <c r="X803" s="99"/>
      <c r="Y803" s="99"/>
      <c r="Z803" s="99"/>
      <c r="AA803" s="99"/>
      <c r="AB803" s="99"/>
      <c r="AC803" s="99"/>
    </row>
    <row r="804">
      <c r="A804" s="157"/>
      <c r="B804" s="99"/>
      <c r="C804" s="99"/>
      <c r="D804" s="99"/>
      <c r="E804" s="99"/>
      <c r="F804" s="170"/>
      <c r="G804" s="99"/>
      <c r="H804" s="99"/>
      <c r="I804" s="99"/>
      <c r="J804" s="171"/>
      <c r="K804" s="99"/>
      <c r="L804" s="99"/>
      <c r="M804" s="99"/>
      <c r="N804" s="99"/>
      <c r="O804" s="99"/>
      <c r="P804" s="99"/>
      <c r="Q804" s="99"/>
      <c r="R804" s="99"/>
      <c r="S804" s="99"/>
      <c r="T804" s="99"/>
      <c r="U804" s="99"/>
      <c r="V804" s="99"/>
      <c r="W804" s="99"/>
      <c r="X804" s="99"/>
      <c r="Y804" s="99"/>
      <c r="Z804" s="99"/>
      <c r="AA804" s="99"/>
      <c r="AB804" s="99"/>
      <c r="AC804" s="99"/>
    </row>
    <row r="805">
      <c r="A805" s="157"/>
      <c r="B805" s="99"/>
      <c r="C805" s="99"/>
      <c r="D805" s="99"/>
      <c r="E805" s="99"/>
      <c r="F805" s="170"/>
      <c r="G805" s="99"/>
      <c r="H805" s="99"/>
      <c r="I805" s="99"/>
      <c r="J805" s="171"/>
      <c r="K805" s="99"/>
      <c r="L805" s="99"/>
      <c r="M805" s="99"/>
      <c r="N805" s="99"/>
      <c r="O805" s="99"/>
      <c r="P805" s="99"/>
      <c r="Q805" s="99"/>
      <c r="R805" s="99"/>
      <c r="S805" s="99"/>
      <c r="T805" s="99"/>
      <c r="U805" s="99"/>
      <c r="V805" s="99"/>
      <c r="W805" s="99"/>
      <c r="X805" s="99"/>
      <c r="Y805" s="99"/>
      <c r="Z805" s="99"/>
      <c r="AA805" s="99"/>
      <c r="AB805" s="99"/>
      <c r="AC805" s="99"/>
    </row>
    <row r="806">
      <c r="A806" s="157"/>
      <c r="B806" s="99"/>
      <c r="C806" s="99"/>
      <c r="D806" s="99"/>
      <c r="E806" s="99"/>
      <c r="F806" s="170"/>
      <c r="G806" s="99"/>
      <c r="H806" s="99"/>
      <c r="I806" s="99"/>
      <c r="J806" s="171"/>
      <c r="K806" s="99"/>
      <c r="L806" s="99"/>
      <c r="M806" s="99"/>
      <c r="N806" s="99"/>
      <c r="O806" s="99"/>
      <c r="P806" s="99"/>
      <c r="Q806" s="99"/>
      <c r="R806" s="99"/>
      <c r="S806" s="99"/>
      <c r="T806" s="99"/>
      <c r="U806" s="99"/>
      <c r="V806" s="99"/>
      <c r="W806" s="99"/>
      <c r="X806" s="99"/>
      <c r="Y806" s="99"/>
      <c r="Z806" s="99"/>
      <c r="AA806" s="99"/>
      <c r="AB806" s="99"/>
      <c r="AC806" s="99"/>
    </row>
    <row r="807">
      <c r="A807" s="157"/>
      <c r="B807" s="99"/>
      <c r="C807" s="99"/>
      <c r="D807" s="99"/>
      <c r="E807" s="99"/>
      <c r="F807" s="170"/>
      <c r="G807" s="99"/>
      <c r="H807" s="99"/>
      <c r="I807" s="99"/>
      <c r="J807" s="171"/>
      <c r="K807" s="99"/>
      <c r="L807" s="99"/>
      <c r="M807" s="99"/>
      <c r="N807" s="99"/>
      <c r="O807" s="99"/>
      <c r="P807" s="99"/>
      <c r="Q807" s="99"/>
      <c r="R807" s="99"/>
      <c r="S807" s="99"/>
      <c r="T807" s="99"/>
      <c r="U807" s="99"/>
      <c r="V807" s="99"/>
      <c r="W807" s="99"/>
      <c r="X807" s="99"/>
      <c r="Y807" s="99"/>
      <c r="Z807" s="99"/>
      <c r="AA807" s="99"/>
      <c r="AB807" s="99"/>
      <c r="AC807" s="99"/>
    </row>
    <row r="808">
      <c r="A808" s="157"/>
      <c r="B808" s="99"/>
      <c r="C808" s="99"/>
      <c r="D808" s="99"/>
      <c r="E808" s="99"/>
      <c r="F808" s="170"/>
      <c r="G808" s="99"/>
      <c r="H808" s="99"/>
      <c r="I808" s="99"/>
      <c r="J808" s="171"/>
      <c r="K808" s="99"/>
      <c r="L808" s="99"/>
      <c r="M808" s="99"/>
      <c r="N808" s="99"/>
      <c r="O808" s="99"/>
      <c r="P808" s="99"/>
      <c r="Q808" s="99"/>
      <c r="R808" s="99"/>
      <c r="S808" s="99"/>
      <c r="T808" s="99"/>
      <c r="U808" s="99"/>
      <c r="V808" s="99"/>
      <c r="W808" s="99"/>
      <c r="X808" s="99"/>
      <c r="Y808" s="99"/>
      <c r="Z808" s="99"/>
      <c r="AA808" s="99"/>
      <c r="AB808" s="99"/>
      <c r="AC808" s="99"/>
    </row>
    <row r="809">
      <c r="A809" s="157"/>
      <c r="B809" s="99"/>
      <c r="C809" s="99"/>
      <c r="D809" s="99"/>
      <c r="E809" s="99"/>
      <c r="F809" s="170"/>
      <c r="G809" s="99"/>
      <c r="H809" s="99"/>
      <c r="I809" s="99"/>
      <c r="J809" s="171"/>
      <c r="K809" s="99"/>
      <c r="L809" s="99"/>
      <c r="M809" s="99"/>
      <c r="N809" s="99"/>
      <c r="O809" s="99"/>
      <c r="P809" s="99"/>
      <c r="Q809" s="99"/>
      <c r="R809" s="99"/>
      <c r="S809" s="99"/>
      <c r="T809" s="99"/>
      <c r="U809" s="99"/>
      <c r="V809" s="99"/>
      <c r="W809" s="99"/>
      <c r="X809" s="99"/>
      <c r="Y809" s="99"/>
      <c r="Z809" s="99"/>
      <c r="AA809" s="99"/>
      <c r="AB809" s="99"/>
      <c r="AC809" s="99"/>
    </row>
    <row r="810">
      <c r="A810" s="157"/>
      <c r="B810" s="99"/>
      <c r="C810" s="99"/>
      <c r="D810" s="99"/>
      <c r="E810" s="99"/>
      <c r="F810" s="170"/>
      <c r="G810" s="99"/>
      <c r="H810" s="99"/>
      <c r="I810" s="99"/>
      <c r="J810" s="171"/>
      <c r="K810" s="99"/>
      <c r="L810" s="99"/>
      <c r="M810" s="99"/>
      <c r="N810" s="99"/>
      <c r="O810" s="99"/>
      <c r="P810" s="99"/>
      <c r="Q810" s="99"/>
      <c r="R810" s="99"/>
      <c r="S810" s="99"/>
      <c r="T810" s="99"/>
      <c r="U810" s="99"/>
      <c r="V810" s="99"/>
      <c r="W810" s="99"/>
      <c r="X810" s="99"/>
      <c r="Y810" s="99"/>
      <c r="Z810" s="99"/>
      <c r="AA810" s="99"/>
      <c r="AB810" s="99"/>
      <c r="AC810" s="99"/>
    </row>
    <row r="811">
      <c r="A811" s="157"/>
      <c r="B811" s="99"/>
      <c r="C811" s="99"/>
      <c r="D811" s="99"/>
      <c r="E811" s="99"/>
      <c r="F811" s="170"/>
      <c r="G811" s="99"/>
      <c r="H811" s="99"/>
      <c r="I811" s="99"/>
      <c r="J811" s="171"/>
      <c r="K811" s="99"/>
      <c r="L811" s="99"/>
      <c r="M811" s="99"/>
      <c r="N811" s="99"/>
      <c r="O811" s="99"/>
      <c r="P811" s="99"/>
      <c r="Q811" s="99"/>
      <c r="R811" s="99"/>
      <c r="S811" s="99"/>
      <c r="T811" s="99"/>
      <c r="U811" s="99"/>
      <c r="V811" s="99"/>
      <c r="W811" s="99"/>
      <c r="X811" s="99"/>
      <c r="Y811" s="99"/>
      <c r="Z811" s="99"/>
      <c r="AA811" s="99"/>
      <c r="AB811" s="99"/>
      <c r="AC811" s="99"/>
    </row>
    <row r="812">
      <c r="A812" s="157"/>
      <c r="B812" s="99"/>
      <c r="C812" s="99"/>
      <c r="D812" s="99"/>
      <c r="E812" s="99"/>
      <c r="F812" s="170"/>
      <c r="G812" s="99"/>
      <c r="H812" s="99"/>
      <c r="I812" s="99"/>
      <c r="J812" s="171"/>
      <c r="K812" s="99"/>
      <c r="L812" s="99"/>
      <c r="M812" s="99"/>
      <c r="N812" s="99"/>
      <c r="O812" s="99"/>
      <c r="P812" s="99"/>
      <c r="Q812" s="99"/>
      <c r="R812" s="99"/>
      <c r="S812" s="99"/>
      <c r="T812" s="99"/>
      <c r="U812" s="99"/>
      <c r="V812" s="99"/>
      <c r="W812" s="99"/>
      <c r="X812" s="99"/>
      <c r="Y812" s="99"/>
      <c r="Z812" s="99"/>
      <c r="AA812" s="99"/>
      <c r="AB812" s="99"/>
      <c r="AC812" s="99"/>
    </row>
    <row r="813">
      <c r="A813" s="157"/>
      <c r="B813" s="99"/>
      <c r="C813" s="99"/>
      <c r="D813" s="99"/>
      <c r="E813" s="99"/>
      <c r="F813" s="170"/>
      <c r="G813" s="99"/>
      <c r="H813" s="99"/>
      <c r="I813" s="99"/>
      <c r="J813" s="171"/>
      <c r="K813" s="99"/>
      <c r="L813" s="99"/>
      <c r="M813" s="99"/>
      <c r="N813" s="99"/>
      <c r="O813" s="99"/>
      <c r="P813" s="99"/>
      <c r="Q813" s="99"/>
      <c r="R813" s="99"/>
      <c r="S813" s="99"/>
      <c r="T813" s="99"/>
      <c r="U813" s="99"/>
      <c r="V813" s="99"/>
      <c r="W813" s="99"/>
      <c r="X813" s="99"/>
      <c r="Y813" s="99"/>
      <c r="Z813" s="99"/>
      <c r="AA813" s="99"/>
      <c r="AB813" s="99"/>
      <c r="AC813" s="99"/>
    </row>
    <row r="814">
      <c r="A814" s="157"/>
      <c r="B814" s="99"/>
      <c r="C814" s="99"/>
      <c r="D814" s="99"/>
      <c r="E814" s="99"/>
      <c r="F814" s="170"/>
      <c r="G814" s="99"/>
      <c r="H814" s="99"/>
      <c r="I814" s="99"/>
      <c r="J814" s="171"/>
      <c r="K814" s="99"/>
      <c r="L814" s="99"/>
      <c r="M814" s="99"/>
      <c r="N814" s="99"/>
      <c r="O814" s="99"/>
      <c r="P814" s="99"/>
      <c r="Q814" s="99"/>
      <c r="R814" s="99"/>
      <c r="S814" s="99"/>
      <c r="T814" s="99"/>
      <c r="U814" s="99"/>
      <c r="V814" s="99"/>
      <c r="W814" s="99"/>
      <c r="X814" s="99"/>
      <c r="Y814" s="99"/>
      <c r="Z814" s="99"/>
      <c r="AA814" s="99"/>
      <c r="AB814" s="99"/>
      <c r="AC814" s="99"/>
    </row>
    <row r="815">
      <c r="A815" s="157"/>
      <c r="B815" s="99"/>
      <c r="C815" s="99"/>
      <c r="D815" s="99"/>
      <c r="E815" s="99"/>
      <c r="F815" s="170"/>
      <c r="G815" s="99"/>
      <c r="H815" s="99"/>
      <c r="I815" s="99"/>
      <c r="J815" s="171"/>
      <c r="K815" s="99"/>
      <c r="L815" s="99"/>
      <c r="M815" s="99"/>
      <c r="N815" s="99"/>
      <c r="O815" s="99"/>
      <c r="P815" s="99"/>
      <c r="Q815" s="99"/>
      <c r="R815" s="99"/>
      <c r="S815" s="99"/>
      <c r="T815" s="99"/>
      <c r="U815" s="99"/>
      <c r="V815" s="99"/>
      <c r="W815" s="99"/>
      <c r="X815" s="99"/>
      <c r="Y815" s="99"/>
      <c r="Z815" s="99"/>
      <c r="AA815" s="99"/>
      <c r="AB815" s="99"/>
      <c r="AC815" s="99"/>
    </row>
    <row r="816">
      <c r="A816" s="157"/>
      <c r="B816" s="99"/>
      <c r="C816" s="99"/>
      <c r="D816" s="99"/>
      <c r="E816" s="99"/>
      <c r="F816" s="170"/>
      <c r="G816" s="99"/>
      <c r="H816" s="99"/>
      <c r="I816" s="99"/>
      <c r="J816" s="171"/>
      <c r="K816" s="99"/>
      <c r="L816" s="99"/>
      <c r="M816" s="99"/>
      <c r="N816" s="99"/>
      <c r="O816" s="99"/>
      <c r="P816" s="99"/>
      <c r="Q816" s="99"/>
      <c r="R816" s="99"/>
      <c r="S816" s="99"/>
      <c r="T816" s="99"/>
      <c r="U816" s="99"/>
      <c r="V816" s="99"/>
      <c r="W816" s="99"/>
      <c r="X816" s="99"/>
      <c r="Y816" s="99"/>
      <c r="Z816" s="99"/>
      <c r="AA816" s="99"/>
      <c r="AB816" s="99"/>
      <c r="AC816" s="99"/>
    </row>
    <row r="817">
      <c r="A817" s="157"/>
      <c r="B817" s="99"/>
      <c r="C817" s="99"/>
      <c r="D817" s="99"/>
      <c r="E817" s="99"/>
      <c r="F817" s="170"/>
      <c r="G817" s="99"/>
      <c r="H817" s="99"/>
      <c r="I817" s="99"/>
      <c r="J817" s="171"/>
      <c r="K817" s="99"/>
      <c r="L817" s="99"/>
      <c r="M817" s="99"/>
      <c r="N817" s="99"/>
      <c r="O817" s="99"/>
      <c r="P817" s="99"/>
      <c r="Q817" s="99"/>
      <c r="R817" s="99"/>
      <c r="S817" s="99"/>
      <c r="T817" s="99"/>
      <c r="U817" s="99"/>
      <c r="V817" s="99"/>
      <c r="W817" s="99"/>
      <c r="X817" s="99"/>
      <c r="Y817" s="99"/>
      <c r="Z817" s="99"/>
      <c r="AA817" s="99"/>
      <c r="AB817" s="99"/>
      <c r="AC817" s="99"/>
    </row>
    <row r="818">
      <c r="A818" s="157"/>
      <c r="B818" s="99"/>
      <c r="C818" s="99"/>
      <c r="D818" s="99"/>
      <c r="E818" s="99"/>
      <c r="F818" s="170"/>
      <c r="G818" s="99"/>
      <c r="H818" s="99"/>
      <c r="I818" s="99"/>
      <c r="J818" s="171"/>
      <c r="K818" s="99"/>
      <c r="L818" s="99"/>
      <c r="M818" s="99"/>
      <c r="N818" s="99"/>
      <c r="O818" s="99"/>
      <c r="P818" s="99"/>
      <c r="Q818" s="99"/>
      <c r="R818" s="99"/>
      <c r="S818" s="99"/>
      <c r="T818" s="99"/>
      <c r="U818" s="99"/>
      <c r="V818" s="99"/>
      <c r="W818" s="99"/>
      <c r="X818" s="99"/>
      <c r="Y818" s="99"/>
      <c r="Z818" s="99"/>
      <c r="AA818" s="99"/>
      <c r="AB818" s="99"/>
      <c r="AC818" s="99"/>
    </row>
    <row r="819">
      <c r="A819" s="157"/>
      <c r="B819" s="99"/>
      <c r="C819" s="99"/>
      <c r="D819" s="99"/>
      <c r="E819" s="99"/>
      <c r="F819" s="170"/>
      <c r="G819" s="99"/>
      <c r="H819" s="99"/>
      <c r="I819" s="99"/>
      <c r="J819" s="171"/>
      <c r="K819" s="99"/>
      <c r="L819" s="99"/>
      <c r="M819" s="99"/>
      <c r="N819" s="99"/>
      <c r="O819" s="99"/>
      <c r="P819" s="99"/>
      <c r="Q819" s="99"/>
      <c r="R819" s="99"/>
      <c r="S819" s="99"/>
      <c r="T819" s="99"/>
      <c r="U819" s="99"/>
      <c r="V819" s="99"/>
      <c r="W819" s="99"/>
      <c r="X819" s="99"/>
      <c r="Y819" s="99"/>
      <c r="Z819" s="99"/>
      <c r="AA819" s="99"/>
      <c r="AB819" s="99"/>
      <c r="AC819" s="99"/>
    </row>
    <row r="820">
      <c r="A820" s="157"/>
      <c r="B820" s="99"/>
      <c r="C820" s="99"/>
      <c r="D820" s="99"/>
      <c r="E820" s="99"/>
      <c r="F820" s="170"/>
      <c r="G820" s="99"/>
      <c r="H820" s="99"/>
      <c r="I820" s="99"/>
      <c r="J820" s="171"/>
      <c r="K820" s="99"/>
      <c r="L820" s="99"/>
      <c r="M820" s="99"/>
      <c r="N820" s="99"/>
      <c r="O820" s="99"/>
      <c r="P820" s="99"/>
      <c r="Q820" s="99"/>
      <c r="R820" s="99"/>
      <c r="S820" s="99"/>
      <c r="T820" s="99"/>
      <c r="U820" s="99"/>
      <c r="V820" s="99"/>
      <c r="W820" s="99"/>
      <c r="X820" s="99"/>
      <c r="Y820" s="99"/>
      <c r="Z820" s="99"/>
      <c r="AA820" s="99"/>
      <c r="AB820" s="99"/>
      <c r="AC820" s="99"/>
    </row>
    <row r="821">
      <c r="A821" s="157"/>
      <c r="B821" s="99"/>
      <c r="C821" s="99"/>
      <c r="D821" s="99"/>
      <c r="E821" s="99"/>
      <c r="F821" s="170"/>
      <c r="G821" s="99"/>
      <c r="H821" s="99"/>
      <c r="I821" s="99"/>
      <c r="J821" s="171"/>
      <c r="K821" s="99"/>
      <c r="L821" s="99"/>
      <c r="M821" s="99"/>
      <c r="N821" s="99"/>
      <c r="O821" s="99"/>
      <c r="P821" s="99"/>
      <c r="Q821" s="99"/>
      <c r="R821" s="99"/>
      <c r="S821" s="99"/>
      <c r="T821" s="99"/>
      <c r="U821" s="99"/>
      <c r="V821" s="99"/>
      <c r="W821" s="99"/>
      <c r="X821" s="99"/>
      <c r="Y821" s="99"/>
      <c r="Z821" s="99"/>
      <c r="AA821" s="99"/>
      <c r="AB821" s="99"/>
      <c r="AC821" s="99"/>
    </row>
    <row r="822">
      <c r="A822" s="157"/>
      <c r="B822" s="99"/>
      <c r="C822" s="99"/>
      <c r="D822" s="99"/>
      <c r="E822" s="99"/>
      <c r="F822" s="170"/>
      <c r="G822" s="99"/>
      <c r="H822" s="99"/>
      <c r="I822" s="99"/>
      <c r="J822" s="171"/>
      <c r="K822" s="99"/>
      <c r="L822" s="99"/>
      <c r="M822" s="99"/>
      <c r="N822" s="99"/>
      <c r="O822" s="99"/>
      <c r="P822" s="99"/>
      <c r="Q822" s="99"/>
      <c r="R822" s="99"/>
      <c r="S822" s="99"/>
      <c r="T822" s="99"/>
      <c r="U822" s="99"/>
      <c r="V822" s="99"/>
      <c r="W822" s="99"/>
      <c r="X822" s="99"/>
      <c r="Y822" s="99"/>
      <c r="Z822" s="99"/>
      <c r="AA822" s="99"/>
      <c r="AB822" s="99"/>
      <c r="AC822" s="99"/>
    </row>
    <row r="823">
      <c r="A823" s="157"/>
      <c r="B823" s="99"/>
      <c r="C823" s="99"/>
      <c r="D823" s="99"/>
      <c r="E823" s="99"/>
      <c r="F823" s="170"/>
      <c r="G823" s="99"/>
      <c r="H823" s="99"/>
      <c r="I823" s="99"/>
      <c r="J823" s="171"/>
      <c r="K823" s="99"/>
      <c r="L823" s="99"/>
      <c r="M823" s="99"/>
      <c r="N823" s="99"/>
      <c r="O823" s="99"/>
      <c r="P823" s="99"/>
      <c r="Q823" s="99"/>
      <c r="R823" s="99"/>
      <c r="S823" s="99"/>
      <c r="T823" s="99"/>
      <c r="U823" s="99"/>
      <c r="V823" s="99"/>
      <c r="W823" s="99"/>
      <c r="X823" s="99"/>
      <c r="Y823" s="99"/>
      <c r="Z823" s="99"/>
      <c r="AA823" s="99"/>
      <c r="AB823" s="99"/>
      <c r="AC823" s="99"/>
    </row>
    <row r="824">
      <c r="A824" s="157"/>
      <c r="B824" s="99"/>
      <c r="C824" s="99"/>
      <c r="D824" s="99"/>
      <c r="E824" s="99"/>
      <c r="F824" s="170"/>
      <c r="G824" s="99"/>
      <c r="H824" s="99"/>
      <c r="I824" s="99"/>
      <c r="J824" s="171"/>
      <c r="K824" s="99"/>
      <c r="L824" s="99"/>
      <c r="M824" s="99"/>
      <c r="N824" s="99"/>
      <c r="O824" s="99"/>
      <c r="P824" s="99"/>
      <c r="Q824" s="99"/>
      <c r="R824" s="99"/>
      <c r="S824" s="99"/>
      <c r="T824" s="99"/>
      <c r="U824" s="99"/>
      <c r="V824" s="99"/>
      <c r="W824" s="99"/>
      <c r="X824" s="99"/>
      <c r="Y824" s="99"/>
      <c r="Z824" s="99"/>
      <c r="AA824" s="99"/>
      <c r="AB824" s="99"/>
      <c r="AC824" s="99"/>
    </row>
    <row r="825">
      <c r="A825" s="157"/>
      <c r="B825" s="99"/>
      <c r="C825" s="99"/>
      <c r="D825" s="99"/>
      <c r="E825" s="99"/>
      <c r="F825" s="170"/>
      <c r="G825" s="99"/>
      <c r="H825" s="99"/>
      <c r="I825" s="99"/>
      <c r="J825" s="171"/>
      <c r="K825" s="99"/>
      <c r="L825" s="99"/>
      <c r="M825" s="99"/>
      <c r="N825" s="99"/>
      <c r="O825" s="99"/>
      <c r="P825" s="99"/>
      <c r="Q825" s="99"/>
      <c r="R825" s="99"/>
      <c r="S825" s="99"/>
      <c r="T825" s="99"/>
      <c r="U825" s="99"/>
      <c r="V825" s="99"/>
      <c r="W825" s="99"/>
      <c r="X825" s="99"/>
      <c r="Y825" s="99"/>
      <c r="Z825" s="99"/>
      <c r="AA825" s="99"/>
      <c r="AB825" s="99"/>
      <c r="AC825" s="99"/>
    </row>
    <row r="826">
      <c r="A826" s="157"/>
      <c r="B826" s="99"/>
      <c r="C826" s="99"/>
      <c r="D826" s="99"/>
      <c r="E826" s="99"/>
      <c r="F826" s="170"/>
      <c r="G826" s="99"/>
      <c r="H826" s="99"/>
      <c r="I826" s="99"/>
      <c r="J826" s="171"/>
      <c r="K826" s="99"/>
      <c r="L826" s="99"/>
      <c r="M826" s="99"/>
      <c r="N826" s="99"/>
      <c r="O826" s="99"/>
      <c r="P826" s="99"/>
      <c r="Q826" s="99"/>
      <c r="R826" s="99"/>
      <c r="S826" s="99"/>
      <c r="T826" s="99"/>
      <c r="U826" s="99"/>
      <c r="V826" s="99"/>
      <c r="W826" s="99"/>
      <c r="X826" s="99"/>
      <c r="Y826" s="99"/>
      <c r="Z826" s="99"/>
      <c r="AA826" s="99"/>
      <c r="AB826" s="99"/>
      <c r="AC826" s="99"/>
    </row>
    <row r="827">
      <c r="A827" s="157"/>
      <c r="B827" s="99"/>
      <c r="C827" s="99"/>
      <c r="D827" s="99"/>
      <c r="E827" s="99"/>
      <c r="F827" s="170"/>
      <c r="G827" s="99"/>
      <c r="H827" s="99"/>
      <c r="I827" s="99"/>
      <c r="J827" s="171"/>
      <c r="K827" s="99"/>
      <c r="L827" s="99"/>
      <c r="M827" s="99"/>
      <c r="N827" s="99"/>
      <c r="O827" s="99"/>
      <c r="P827" s="99"/>
      <c r="Q827" s="99"/>
      <c r="R827" s="99"/>
      <c r="S827" s="99"/>
      <c r="T827" s="99"/>
      <c r="U827" s="99"/>
      <c r="V827" s="99"/>
      <c r="W827" s="99"/>
      <c r="X827" s="99"/>
      <c r="Y827" s="99"/>
      <c r="Z827" s="99"/>
      <c r="AA827" s="99"/>
      <c r="AB827" s="99"/>
      <c r="AC827" s="99"/>
    </row>
    <row r="828">
      <c r="A828" s="157"/>
      <c r="B828" s="99"/>
      <c r="C828" s="99"/>
      <c r="D828" s="99"/>
      <c r="E828" s="99"/>
      <c r="F828" s="170"/>
      <c r="G828" s="99"/>
      <c r="H828" s="99"/>
      <c r="I828" s="99"/>
      <c r="J828" s="171"/>
      <c r="K828" s="99"/>
      <c r="L828" s="99"/>
      <c r="M828" s="99"/>
      <c r="N828" s="99"/>
      <c r="O828" s="99"/>
      <c r="P828" s="99"/>
      <c r="Q828" s="99"/>
      <c r="R828" s="99"/>
      <c r="S828" s="99"/>
      <c r="T828" s="99"/>
      <c r="U828" s="99"/>
      <c r="V828" s="99"/>
      <c r="W828" s="99"/>
      <c r="X828" s="99"/>
      <c r="Y828" s="99"/>
      <c r="Z828" s="99"/>
      <c r="AA828" s="99"/>
      <c r="AB828" s="99"/>
      <c r="AC828" s="99"/>
    </row>
    <row r="829">
      <c r="A829" s="157"/>
      <c r="B829" s="99"/>
      <c r="C829" s="99"/>
      <c r="D829" s="99"/>
      <c r="E829" s="99"/>
      <c r="F829" s="170"/>
      <c r="G829" s="99"/>
      <c r="H829" s="99"/>
      <c r="I829" s="99"/>
      <c r="J829" s="171"/>
      <c r="K829" s="99"/>
      <c r="L829" s="99"/>
      <c r="M829" s="99"/>
      <c r="N829" s="99"/>
      <c r="O829" s="99"/>
      <c r="P829" s="99"/>
      <c r="Q829" s="99"/>
      <c r="R829" s="99"/>
      <c r="S829" s="99"/>
      <c r="T829" s="99"/>
      <c r="U829" s="99"/>
      <c r="V829" s="99"/>
      <c r="W829" s="99"/>
      <c r="X829" s="99"/>
      <c r="Y829" s="99"/>
      <c r="Z829" s="99"/>
      <c r="AA829" s="99"/>
      <c r="AB829" s="99"/>
      <c r="AC829" s="99"/>
    </row>
    <row r="830">
      <c r="A830" s="157"/>
      <c r="B830" s="99"/>
      <c r="C830" s="99"/>
      <c r="D830" s="99"/>
      <c r="E830" s="99"/>
      <c r="F830" s="170"/>
      <c r="G830" s="99"/>
      <c r="H830" s="99"/>
      <c r="I830" s="99"/>
      <c r="J830" s="171"/>
      <c r="K830" s="99"/>
      <c r="L830" s="99"/>
      <c r="M830" s="99"/>
      <c r="N830" s="99"/>
      <c r="O830" s="99"/>
      <c r="P830" s="99"/>
      <c r="Q830" s="99"/>
      <c r="R830" s="99"/>
      <c r="S830" s="99"/>
      <c r="T830" s="99"/>
      <c r="U830" s="99"/>
      <c r="V830" s="99"/>
      <c r="W830" s="99"/>
      <c r="X830" s="99"/>
      <c r="Y830" s="99"/>
      <c r="Z830" s="99"/>
      <c r="AA830" s="99"/>
      <c r="AB830" s="99"/>
      <c r="AC830" s="99"/>
    </row>
    <row r="831">
      <c r="A831" s="157"/>
      <c r="B831" s="99"/>
      <c r="C831" s="99"/>
      <c r="D831" s="99"/>
      <c r="E831" s="99"/>
      <c r="F831" s="170"/>
      <c r="G831" s="99"/>
      <c r="H831" s="99"/>
      <c r="I831" s="99"/>
      <c r="J831" s="171"/>
      <c r="K831" s="99"/>
      <c r="L831" s="99"/>
      <c r="M831" s="99"/>
      <c r="N831" s="99"/>
      <c r="O831" s="99"/>
      <c r="P831" s="99"/>
      <c r="Q831" s="99"/>
      <c r="R831" s="99"/>
      <c r="S831" s="99"/>
      <c r="T831" s="99"/>
      <c r="U831" s="99"/>
      <c r="V831" s="99"/>
      <c r="W831" s="99"/>
      <c r="X831" s="99"/>
      <c r="Y831" s="99"/>
      <c r="Z831" s="99"/>
      <c r="AA831" s="99"/>
      <c r="AB831" s="99"/>
      <c r="AC831" s="99"/>
    </row>
    <row r="832">
      <c r="A832" s="157"/>
      <c r="B832" s="99"/>
      <c r="C832" s="99"/>
      <c r="D832" s="99"/>
      <c r="E832" s="99"/>
      <c r="F832" s="170"/>
      <c r="G832" s="99"/>
      <c r="H832" s="99"/>
      <c r="I832" s="99"/>
      <c r="J832" s="171"/>
      <c r="K832" s="99"/>
      <c r="L832" s="99"/>
      <c r="M832" s="99"/>
      <c r="N832" s="99"/>
      <c r="O832" s="99"/>
      <c r="P832" s="99"/>
      <c r="Q832" s="99"/>
      <c r="R832" s="99"/>
      <c r="S832" s="99"/>
      <c r="T832" s="99"/>
      <c r="U832" s="99"/>
      <c r="V832" s="99"/>
      <c r="W832" s="99"/>
      <c r="X832" s="99"/>
      <c r="Y832" s="99"/>
      <c r="Z832" s="99"/>
      <c r="AA832" s="99"/>
      <c r="AB832" s="99"/>
      <c r="AC832" s="99"/>
    </row>
    <row r="833">
      <c r="A833" s="157"/>
      <c r="B833" s="99"/>
      <c r="C833" s="99"/>
      <c r="D833" s="99"/>
      <c r="E833" s="99"/>
      <c r="F833" s="170"/>
      <c r="G833" s="99"/>
      <c r="H833" s="99"/>
      <c r="I833" s="99"/>
      <c r="J833" s="171"/>
      <c r="K833" s="99"/>
      <c r="L833" s="99"/>
      <c r="M833" s="99"/>
      <c r="N833" s="99"/>
      <c r="O833" s="99"/>
      <c r="P833" s="99"/>
      <c r="Q833" s="99"/>
      <c r="R833" s="99"/>
      <c r="S833" s="99"/>
      <c r="T833" s="99"/>
      <c r="U833" s="99"/>
      <c r="V833" s="99"/>
      <c r="W833" s="99"/>
      <c r="X833" s="99"/>
      <c r="Y833" s="99"/>
      <c r="Z833" s="99"/>
      <c r="AA833" s="99"/>
      <c r="AB833" s="99"/>
      <c r="AC833" s="99"/>
    </row>
    <row r="834">
      <c r="A834" s="157"/>
      <c r="B834" s="99"/>
      <c r="C834" s="99"/>
      <c r="D834" s="99"/>
      <c r="E834" s="99"/>
      <c r="F834" s="170"/>
      <c r="G834" s="99"/>
      <c r="H834" s="99"/>
      <c r="I834" s="99"/>
      <c r="J834" s="171"/>
      <c r="K834" s="99"/>
      <c r="L834" s="99"/>
      <c r="M834" s="99"/>
      <c r="N834" s="99"/>
      <c r="O834" s="99"/>
      <c r="P834" s="99"/>
      <c r="Q834" s="99"/>
      <c r="R834" s="99"/>
      <c r="S834" s="99"/>
      <c r="T834" s="99"/>
      <c r="U834" s="99"/>
      <c r="V834" s="99"/>
      <c r="W834" s="99"/>
      <c r="X834" s="99"/>
      <c r="Y834" s="99"/>
      <c r="Z834" s="99"/>
      <c r="AA834" s="99"/>
      <c r="AB834" s="99"/>
      <c r="AC834" s="99"/>
    </row>
    <row r="835">
      <c r="A835" s="157"/>
      <c r="B835" s="99"/>
      <c r="C835" s="99"/>
      <c r="D835" s="99"/>
      <c r="E835" s="99"/>
      <c r="F835" s="170"/>
      <c r="G835" s="99"/>
      <c r="H835" s="99"/>
      <c r="I835" s="99"/>
      <c r="J835" s="171"/>
      <c r="K835" s="99"/>
      <c r="L835" s="99"/>
      <c r="M835" s="99"/>
      <c r="N835" s="99"/>
      <c r="O835" s="99"/>
      <c r="P835" s="99"/>
      <c r="Q835" s="99"/>
      <c r="R835" s="99"/>
      <c r="S835" s="99"/>
      <c r="T835" s="99"/>
      <c r="U835" s="99"/>
      <c r="V835" s="99"/>
      <c r="W835" s="99"/>
      <c r="X835" s="99"/>
      <c r="Y835" s="99"/>
      <c r="Z835" s="99"/>
      <c r="AA835" s="99"/>
      <c r="AB835" s="99"/>
      <c r="AC835" s="99"/>
    </row>
    <row r="836">
      <c r="A836" s="157"/>
      <c r="B836" s="99"/>
      <c r="C836" s="99"/>
      <c r="D836" s="99"/>
      <c r="E836" s="99"/>
      <c r="F836" s="170"/>
      <c r="G836" s="99"/>
      <c r="H836" s="99"/>
      <c r="I836" s="99"/>
      <c r="J836" s="171"/>
      <c r="K836" s="99"/>
      <c r="L836" s="99"/>
      <c r="M836" s="99"/>
      <c r="N836" s="99"/>
      <c r="O836" s="99"/>
      <c r="P836" s="99"/>
      <c r="Q836" s="99"/>
      <c r="R836" s="99"/>
      <c r="S836" s="99"/>
      <c r="T836" s="99"/>
      <c r="U836" s="99"/>
      <c r="V836" s="99"/>
      <c r="W836" s="99"/>
      <c r="X836" s="99"/>
      <c r="Y836" s="99"/>
      <c r="Z836" s="99"/>
      <c r="AA836" s="99"/>
      <c r="AB836" s="99"/>
      <c r="AC836" s="99"/>
    </row>
    <row r="837">
      <c r="A837" s="157"/>
      <c r="B837" s="99"/>
      <c r="C837" s="99"/>
      <c r="D837" s="99"/>
      <c r="E837" s="99"/>
      <c r="F837" s="170"/>
      <c r="G837" s="99"/>
      <c r="H837" s="99"/>
      <c r="I837" s="99"/>
      <c r="J837" s="171"/>
      <c r="K837" s="99"/>
      <c r="L837" s="99"/>
      <c r="M837" s="99"/>
      <c r="N837" s="99"/>
      <c r="O837" s="99"/>
      <c r="P837" s="99"/>
      <c r="Q837" s="99"/>
      <c r="R837" s="99"/>
      <c r="S837" s="99"/>
      <c r="T837" s="99"/>
      <c r="U837" s="99"/>
      <c r="V837" s="99"/>
      <c r="W837" s="99"/>
      <c r="X837" s="99"/>
      <c r="Y837" s="99"/>
      <c r="Z837" s="99"/>
      <c r="AA837" s="99"/>
      <c r="AB837" s="99"/>
      <c r="AC837" s="99"/>
    </row>
    <row r="838">
      <c r="A838" s="157"/>
      <c r="B838" s="99"/>
      <c r="C838" s="99"/>
      <c r="D838" s="99"/>
      <c r="E838" s="99"/>
      <c r="F838" s="170"/>
      <c r="G838" s="99"/>
      <c r="H838" s="99"/>
      <c r="I838" s="99"/>
      <c r="J838" s="171"/>
      <c r="K838" s="99"/>
      <c r="L838" s="99"/>
      <c r="M838" s="99"/>
      <c r="N838" s="99"/>
      <c r="O838" s="99"/>
      <c r="P838" s="99"/>
      <c r="Q838" s="99"/>
      <c r="R838" s="99"/>
      <c r="S838" s="99"/>
      <c r="T838" s="99"/>
      <c r="U838" s="99"/>
      <c r="V838" s="99"/>
      <c r="W838" s="99"/>
      <c r="X838" s="99"/>
      <c r="Y838" s="99"/>
      <c r="Z838" s="99"/>
      <c r="AA838" s="99"/>
      <c r="AB838" s="99"/>
      <c r="AC838" s="99"/>
    </row>
    <row r="839">
      <c r="A839" s="157"/>
      <c r="B839" s="99"/>
      <c r="C839" s="99"/>
      <c r="D839" s="99"/>
      <c r="E839" s="99"/>
      <c r="F839" s="170"/>
      <c r="G839" s="99"/>
      <c r="H839" s="99"/>
      <c r="I839" s="99"/>
      <c r="J839" s="171"/>
      <c r="K839" s="99"/>
      <c r="L839" s="99"/>
      <c r="M839" s="99"/>
      <c r="N839" s="99"/>
      <c r="O839" s="99"/>
      <c r="P839" s="99"/>
      <c r="Q839" s="99"/>
      <c r="R839" s="99"/>
      <c r="S839" s="99"/>
      <c r="T839" s="99"/>
      <c r="U839" s="99"/>
      <c r="V839" s="99"/>
      <c r="W839" s="99"/>
      <c r="X839" s="99"/>
      <c r="Y839" s="99"/>
      <c r="Z839" s="99"/>
      <c r="AA839" s="99"/>
      <c r="AB839" s="99"/>
      <c r="AC839" s="99"/>
    </row>
    <row r="840">
      <c r="A840" s="157"/>
      <c r="B840" s="99"/>
      <c r="C840" s="99"/>
      <c r="D840" s="99"/>
      <c r="E840" s="99"/>
      <c r="F840" s="170"/>
      <c r="G840" s="99"/>
      <c r="H840" s="99"/>
      <c r="I840" s="99"/>
      <c r="J840" s="171"/>
      <c r="K840" s="99"/>
      <c r="L840" s="99"/>
      <c r="M840" s="99"/>
      <c r="N840" s="99"/>
      <c r="O840" s="99"/>
      <c r="P840" s="99"/>
      <c r="Q840" s="99"/>
      <c r="R840" s="99"/>
      <c r="S840" s="99"/>
      <c r="T840" s="99"/>
      <c r="U840" s="99"/>
      <c r="V840" s="99"/>
      <c r="W840" s="99"/>
      <c r="X840" s="99"/>
      <c r="Y840" s="99"/>
      <c r="Z840" s="99"/>
      <c r="AA840" s="99"/>
      <c r="AB840" s="99"/>
      <c r="AC840" s="99"/>
    </row>
    <row r="841">
      <c r="A841" s="157"/>
      <c r="B841" s="99"/>
      <c r="C841" s="99"/>
      <c r="D841" s="99"/>
      <c r="E841" s="99"/>
      <c r="F841" s="170"/>
      <c r="G841" s="99"/>
      <c r="H841" s="99"/>
      <c r="I841" s="99"/>
      <c r="J841" s="171"/>
      <c r="K841" s="99"/>
      <c r="L841" s="99"/>
      <c r="M841" s="99"/>
      <c r="N841" s="99"/>
      <c r="O841" s="99"/>
      <c r="P841" s="99"/>
      <c r="Q841" s="99"/>
      <c r="R841" s="99"/>
      <c r="S841" s="99"/>
      <c r="T841" s="99"/>
      <c r="U841" s="99"/>
      <c r="V841" s="99"/>
      <c r="W841" s="99"/>
      <c r="X841" s="99"/>
      <c r="Y841" s="99"/>
      <c r="Z841" s="99"/>
      <c r="AA841" s="99"/>
      <c r="AB841" s="99"/>
      <c r="AC841" s="99"/>
    </row>
    <row r="842">
      <c r="A842" s="157"/>
      <c r="B842" s="99"/>
      <c r="C842" s="99"/>
      <c r="D842" s="99"/>
      <c r="E842" s="99"/>
      <c r="F842" s="170"/>
      <c r="G842" s="99"/>
      <c r="H842" s="99"/>
      <c r="I842" s="99"/>
      <c r="J842" s="171"/>
      <c r="K842" s="99"/>
      <c r="L842" s="99"/>
      <c r="M842" s="99"/>
      <c r="N842" s="99"/>
      <c r="O842" s="99"/>
      <c r="P842" s="99"/>
      <c r="Q842" s="99"/>
      <c r="R842" s="99"/>
      <c r="S842" s="99"/>
      <c r="T842" s="99"/>
      <c r="U842" s="99"/>
      <c r="V842" s="99"/>
      <c r="W842" s="99"/>
      <c r="X842" s="99"/>
      <c r="Y842" s="99"/>
      <c r="Z842" s="99"/>
      <c r="AA842" s="99"/>
      <c r="AB842" s="99"/>
      <c r="AC842" s="99"/>
    </row>
    <row r="843">
      <c r="A843" s="157"/>
      <c r="B843" s="99"/>
      <c r="C843" s="99"/>
      <c r="D843" s="99"/>
      <c r="E843" s="99"/>
      <c r="F843" s="170"/>
      <c r="G843" s="99"/>
      <c r="H843" s="99"/>
      <c r="I843" s="99"/>
      <c r="J843" s="171"/>
      <c r="K843" s="99"/>
      <c r="L843" s="99"/>
      <c r="M843" s="99"/>
      <c r="N843" s="99"/>
      <c r="O843" s="99"/>
      <c r="P843" s="99"/>
      <c r="Q843" s="99"/>
      <c r="R843" s="99"/>
      <c r="S843" s="99"/>
      <c r="T843" s="99"/>
      <c r="U843" s="99"/>
      <c r="V843" s="99"/>
      <c r="W843" s="99"/>
      <c r="X843" s="99"/>
      <c r="Y843" s="99"/>
      <c r="Z843" s="99"/>
      <c r="AA843" s="99"/>
      <c r="AB843" s="99"/>
      <c r="AC843" s="99"/>
    </row>
    <row r="844">
      <c r="A844" s="157"/>
      <c r="B844" s="99"/>
      <c r="C844" s="99"/>
      <c r="D844" s="99"/>
      <c r="E844" s="99"/>
      <c r="F844" s="170"/>
      <c r="G844" s="99"/>
      <c r="H844" s="99"/>
      <c r="I844" s="99"/>
      <c r="J844" s="171"/>
      <c r="K844" s="99"/>
      <c r="L844" s="99"/>
      <c r="M844" s="99"/>
      <c r="N844" s="99"/>
      <c r="O844" s="99"/>
      <c r="P844" s="99"/>
      <c r="Q844" s="99"/>
      <c r="R844" s="99"/>
      <c r="S844" s="99"/>
      <c r="T844" s="99"/>
      <c r="U844" s="99"/>
      <c r="V844" s="99"/>
      <c r="W844" s="99"/>
      <c r="X844" s="99"/>
      <c r="Y844" s="99"/>
      <c r="Z844" s="99"/>
      <c r="AA844" s="99"/>
      <c r="AB844" s="99"/>
      <c r="AC844" s="99"/>
    </row>
    <row r="845">
      <c r="A845" s="157"/>
      <c r="B845" s="99"/>
      <c r="C845" s="99"/>
      <c r="D845" s="99"/>
      <c r="E845" s="99"/>
      <c r="F845" s="170"/>
      <c r="G845" s="99"/>
      <c r="H845" s="99"/>
      <c r="I845" s="99"/>
      <c r="J845" s="171"/>
      <c r="K845" s="99"/>
      <c r="L845" s="99"/>
      <c r="M845" s="99"/>
      <c r="N845" s="99"/>
      <c r="O845" s="99"/>
      <c r="P845" s="99"/>
      <c r="Q845" s="99"/>
      <c r="R845" s="99"/>
      <c r="S845" s="99"/>
      <c r="T845" s="99"/>
      <c r="U845" s="99"/>
      <c r="V845" s="99"/>
      <c r="W845" s="99"/>
      <c r="X845" s="99"/>
      <c r="Y845" s="99"/>
      <c r="Z845" s="99"/>
      <c r="AA845" s="99"/>
      <c r="AB845" s="99"/>
      <c r="AC845" s="99"/>
    </row>
    <row r="846">
      <c r="A846" s="157"/>
      <c r="B846" s="99"/>
      <c r="C846" s="99"/>
      <c r="D846" s="99"/>
      <c r="E846" s="99"/>
      <c r="F846" s="170"/>
      <c r="G846" s="99"/>
      <c r="H846" s="99"/>
      <c r="I846" s="99"/>
      <c r="J846" s="171"/>
      <c r="K846" s="99"/>
      <c r="L846" s="99"/>
      <c r="M846" s="99"/>
      <c r="N846" s="99"/>
      <c r="O846" s="99"/>
      <c r="P846" s="99"/>
      <c r="Q846" s="99"/>
      <c r="R846" s="99"/>
      <c r="S846" s="99"/>
      <c r="T846" s="99"/>
      <c r="U846" s="99"/>
      <c r="V846" s="99"/>
      <c r="W846" s="99"/>
      <c r="X846" s="99"/>
      <c r="Y846" s="99"/>
      <c r="Z846" s="99"/>
      <c r="AA846" s="99"/>
      <c r="AB846" s="99"/>
      <c r="AC846" s="99"/>
    </row>
    <row r="847">
      <c r="A847" s="157"/>
      <c r="B847" s="99"/>
      <c r="C847" s="99"/>
      <c r="D847" s="99"/>
      <c r="E847" s="99"/>
      <c r="F847" s="170"/>
      <c r="G847" s="99"/>
      <c r="H847" s="99"/>
      <c r="I847" s="99"/>
      <c r="J847" s="171"/>
      <c r="K847" s="99"/>
      <c r="L847" s="99"/>
      <c r="M847" s="99"/>
      <c r="N847" s="99"/>
      <c r="O847" s="99"/>
      <c r="P847" s="99"/>
      <c r="Q847" s="99"/>
      <c r="R847" s="99"/>
      <c r="S847" s="99"/>
      <c r="T847" s="99"/>
      <c r="U847" s="99"/>
      <c r="V847" s="99"/>
      <c r="W847" s="99"/>
      <c r="X847" s="99"/>
      <c r="Y847" s="99"/>
      <c r="Z847" s="99"/>
      <c r="AA847" s="99"/>
      <c r="AB847" s="99"/>
      <c r="AC847" s="99"/>
    </row>
    <row r="848">
      <c r="A848" s="157"/>
      <c r="B848" s="99"/>
      <c r="C848" s="99"/>
      <c r="D848" s="99"/>
      <c r="E848" s="99"/>
      <c r="F848" s="170"/>
      <c r="G848" s="99"/>
      <c r="H848" s="99"/>
      <c r="I848" s="99"/>
      <c r="J848" s="171"/>
      <c r="K848" s="99"/>
      <c r="L848" s="99"/>
      <c r="M848" s="99"/>
      <c r="N848" s="99"/>
      <c r="O848" s="99"/>
      <c r="P848" s="99"/>
      <c r="Q848" s="99"/>
      <c r="R848" s="99"/>
      <c r="S848" s="99"/>
      <c r="T848" s="99"/>
      <c r="U848" s="99"/>
      <c r="V848" s="99"/>
      <c r="W848" s="99"/>
      <c r="X848" s="99"/>
      <c r="Y848" s="99"/>
      <c r="Z848" s="99"/>
      <c r="AA848" s="99"/>
      <c r="AB848" s="99"/>
      <c r="AC848" s="99"/>
    </row>
    <row r="849">
      <c r="A849" s="157"/>
      <c r="B849" s="99"/>
      <c r="C849" s="99"/>
      <c r="D849" s="99"/>
      <c r="E849" s="99"/>
      <c r="F849" s="170"/>
      <c r="G849" s="99"/>
      <c r="H849" s="99"/>
      <c r="I849" s="99"/>
      <c r="J849" s="171"/>
      <c r="K849" s="99"/>
      <c r="L849" s="99"/>
      <c r="M849" s="99"/>
      <c r="N849" s="99"/>
      <c r="O849" s="99"/>
      <c r="P849" s="99"/>
      <c r="Q849" s="99"/>
      <c r="R849" s="99"/>
      <c r="S849" s="99"/>
      <c r="T849" s="99"/>
      <c r="U849" s="99"/>
      <c r="V849" s="99"/>
      <c r="W849" s="99"/>
      <c r="X849" s="99"/>
      <c r="Y849" s="99"/>
      <c r="Z849" s="99"/>
      <c r="AA849" s="99"/>
      <c r="AB849" s="99"/>
      <c r="AC849" s="99"/>
    </row>
    <row r="850">
      <c r="A850" s="157"/>
      <c r="B850" s="99"/>
      <c r="C850" s="99"/>
      <c r="D850" s="99"/>
      <c r="E850" s="99"/>
      <c r="F850" s="170"/>
      <c r="G850" s="99"/>
      <c r="H850" s="99"/>
      <c r="I850" s="99"/>
      <c r="J850" s="171"/>
      <c r="K850" s="99"/>
      <c r="L850" s="99"/>
      <c r="M850" s="99"/>
      <c r="N850" s="99"/>
      <c r="O850" s="99"/>
      <c r="P850" s="99"/>
      <c r="Q850" s="99"/>
      <c r="R850" s="99"/>
      <c r="S850" s="99"/>
      <c r="T850" s="99"/>
      <c r="U850" s="99"/>
      <c r="V850" s="99"/>
      <c r="W850" s="99"/>
      <c r="X850" s="99"/>
      <c r="Y850" s="99"/>
      <c r="Z850" s="99"/>
      <c r="AA850" s="99"/>
      <c r="AB850" s="99"/>
      <c r="AC850" s="99"/>
    </row>
    <row r="851">
      <c r="A851" s="157"/>
      <c r="B851" s="99"/>
      <c r="C851" s="99"/>
      <c r="D851" s="99"/>
      <c r="E851" s="99"/>
      <c r="F851" s="170"/>
      <c r="G851" s="99"/>
      <c r="H851" s="99"/>
      <c r="I851" s="99"/>
      <c r="J851" s="171"/>
      <c r="K851" s="99"/>
      <c r="L851" s="99"/>
      <c r="M851" s="99"/>
      <c r="N851" s="99"/>
      <c r="O851" s="99"/>
      <c r="P851" s="99"/>
      <c r="Q851" s="99"/>
      <c r="R851" s="99"/>
      <c r="S851" s="99"/>
      <c r="T851" s="99"/>
      <c r="U851" s="99"/>
      <c r="V851" s="99"/>
      <c r="W851" s="99"/>
      <c r="X851" s="99"/>
      <c r="Y851" s="99"/>
      <c r="Z851" s="99"/>
      <c r="AA851" s="99"/>
      <c r="AB851" s="99"/>
      <c r="AC851" s="99"/>
    </row>
    <row r="852">
      <c r="A852" s="157"/>
      <c r="B852" s="99"/>
      <c r="C852" s="99"/>
      <c r="D852" s="99"/>
      <c r="E852" s="99"/>
      <c r="F852" s="170"/>
      <c r="G852" s="99"/>
      <c r="H852" s="99"/>
      <c r="I852" s="99"/>
      <c r="J852" s="171"/>
      <c r="K852" s="99"/>
      <c r="L852" s="99"/>
      <c r="M852" s="99"/>
      <c r="N852" s="99"/>
      <c r="O852" s="99"/>
      <c r="P852" s="99"/>
      <c r="Q852" s="99"/>
      <c r="R852" s="99"/>
      <c r="S852" s="99"/>
      <c r="T852" s="99"/>
      <c r="U852" s="99"/>
      <c r="V852" s="99"/>
      <c r="W852" s="99"/>
      <c r="X852" s="99"/>
      <c r="Y852" s="99"/>
      <c r="Z852" s="99"/>
      <c r="AA852" s="99"/>
      <c r="AB852" s="99"/>
      <c r="AC852" s="99"/>
    </row>
    <row r="853">
      <c r="A853" s="157"/>
      <c r="B853" s="99"/>
      <c r="C853" s="99"/>
      <c r="D853" s="99"/>
      <c r="E853" s="99"/>
      <c r="F853" s="170"/>
      <c r="G853" s="99"/>
      <c r="H853" s="99"/>
      <c r="I853" s="99"/>
      <c r="J853" s="171"/>
      <c r="K853" s="99"/>
      <c r="L853" s="99"/>
      <c r="M853" s="99"/>
      <c r="N853" s="99"/>
      <c r="O853" s="99"/>
      <c r="P853" s="99"/>
      <c r="Q853" s="99"/>
      <c r="R853" s="99"/>
      <c r="S853" s="99"/>
      <c r="T853" s="99"/>
      <c r="U853" s="99"/>
      <c r="V853" s="99"/>
      <c r="W853" s="99"/>
      <c r="X853" s="99"/>
      <c r="Y853" s="99"/>
      <c r="Z853" s="99"/>
      <c r="AA853" s="99"/>
      <c r="AB853" s="99"/>
      <c r="AC853" s="99"/>
    </row>
    <row r="854">
      <c r="A854" s="157"/>
      <c r="B854" s="99"/>
      <c r="C854" s="99"/>
      <c r="D854" s="99"/>
      <c r="E854" s="99"/>
      <c r="F854" s="170"/>
      <c r="G854" s="99"/>
      <c r="H854" s="99"/>
      <c r="I854" s="99"/>
      <c r="J854" s="171"/>
      <c r="K854" s="99"/>
      <c r="L854" s="99"/>
      <c r="M854" s="99"/>
      <c r="N854" s="99"/>
      <c r="O854" s="99"/>
      <c r="P854" s="99"/>
      <c r="Q854" s="99"/>
      <c r="R854" s="99"/>
      <c r="S854" s="99"/>
      <c r="T854" s="99"/>
      <c r="U854" s="99"/>
      <c r="V854" s="99"/>
      <c r="W854" s="99"/>
      <c r="X854" s="99"/>
      <c r="Y854" s="99"/>
      <c r="Z854" s="99"/>
      <c r="AA854" s="99"/>
      <c r="AB854" s="99"/>
      <c r="AC854" s="99"/>
    </row>
    <row r="855">
      <c r="A855" s="157"/>
      <c r="B855" s="99"/>
      <c r="C855" s="99"/>
      <c r="D855" s="99"/>
      <c r="E855" s="99"/>
      <c r="F855" s="170"/>
      <c r="G855" s="99"/>
      <c r="H855" s="99"/>
      <c r="I855" s="99"/>
      <c r="J855" s="171"/>
      <c r="K855" s="99"/>
      <c r="L855" s="99"/>
      <c r="M855" s="99"/>
      <c r="N855" s="99"/>
      <c r="O855" s="99"/>
      <c r="P855" s="99"/>
      <c r="Q855" s="99"/>
      <c r="R855" s="99"/>
      <c r="S855" s="99"/>
      <c r="T855" s="99"/>
      <c r="U855" s="99"/>
      <c r="V855" s="99"/>
      <c r="W855" s="99"/>
      <c r="X855" s="99"/>
      <c r="Y855" s="99"/>
      <c r="Z855" s="99"/>
      <c r="AA855" s="99"/>
      <c r="AB855" s="99"/>
      <c r="AC855" s="99"/>
    </row>
    <row r="856">
      <c r="A856" s="157"/>
      <c r="B856" s="99"/>
      <c r="C856" s="99"/>
      <c r="D856" s="99"/>
      <c r="E856" s="99"/>
      <c r="F856" s="170"/>
      <c r="G856" s="99"/>
      <c r="H856" s="99"/>
      <c r="I856" s="99"/>
      <c r="J856" s="171"/>
      <c r="K856" s="99"/>
      <c r="L856" s="99"/>
      <c r="M856" s="99"/>
      <c r="N856" s="99"/>
      <c r="O856" s="99"/>
      <c r="P856" s="99"/>
      <c r="Q856" s="99"/>
      <c r="R856" s="99"/>
      <c r="S856" s="99"/>
      <c r="T856" s="99"/>
      <c r="U856" s="99"/>
      <c r="V856" s="99"/>
      <c r="W856" s="99"/>
      <c r="X856" s="99"/>
      <c r="Y856" s="99"/>
      <c r="Z856" s="99"/>
      <c r="AA856" s="99"/>
      <c r="AB856" s="99"/>
      <c r="AC856" s="99"/>
    </row>
    <row r="857">
      <c r="A857" s="157"/>
      <c r="B857" s="99"/>
      <c r="C857" s="99"/>
      <c r="D857" s="99"/>
      <c r="E857" s="99"/>
      <c r="F857" s="170"/>
      <c r="G857" s="99"/>
      <c r="H857" s="99"/>
      <c r="I857" s="99"/>
      <c r="J857" s="171"/>
      <c r="K857" s="99"/>
      <c r="L857" s="99"/>
      <c r="M857" s="99"/>
      <c r="N857" s="99"/>
      <c r="O857" s="99"/>
      <c r="P857" s="99"/>
      <c r="Q857" s="99"/>
      <c r="R857" s="99"/>
      <c r="S857" s="99"/>
      <c r="T857" s="99"/>
      <c r="U857" s="99"/>
      <c r="V857" s="99"/>
      <c r="W857" s="99"/>
      <c r="X857" s="99"/>
      <c r="Y857" s="99"/>
      <c r="Z857" s="99"/>
      <c r="AA857" s="99"/>
      <c r="AB857" s="99"/>
      <c r="AC857" s="99"/>
    </row>
    <row r="858">
      <c r="A858" s="157"/>
      <c r="B858" s="99"/>
      <c r="C858" s="99"/>
      <c r="D858" s="99"/>
      <c r="E858" s="99"/>
      <c r="F858" s="170"/>
      <c r="G858" s="99"/>
      <c r="H858" s="99"/>
      <c r="I858" s="99"/>
      <c r="J858" s="171"/>
      <c r="K858" s="99"/>
      <c r="L858" s="99"/>
      <c r="M858" s="99"/>
      <c r="N858" s="99"/>
      <c r="O858" s="99"/>
      <c r="P858" s="99"/>
      <c r="Q858" s="99"/>
      <c r="R858" s="99"/>
      <c r="S858" s="99"/>
      <c r="T858" s="99"/>
      <c r="U858" s="99"/>
      <c r="V858" s="99"/>
      <c r="W858" s="99"/>
      <c r="X858" s="99"/>
      <c r="Y858" s="99"/>
      <c r="Z858" s="99"/>
      <c r="AA858" s="99"/>
      <c r="AB858" s="99"/>
      <c r="AC858" s="99"/>
    </row>
    <row r="859">
      <c r="A859" s="157"/>
      <c r="B859" s="99"/>
      <c r="C859" s="99"/>
      <c r="D859" s="99"/>
      <c r="E859" s="99"/>
      <c r="F859" s="170"/>
      <c r="G859" s="99"/>
      <c r="H859" s="99"/>
      <c r="I859" s="99"/>
      <c r="J859" s="171"/>
      <c r="K859" s="99"/>
      <c r="L859" s="99"/>
      <c r="M859" s="99"/>
      <c r="N859" s="99"/>
      <c r="O859" s="99"/>
      <c r="P859" s="99"/>
      <c r="Q859" s="99"/>
      <c r="R859" s="99"/>
      <c r="S859" s="99"/>
      <c r="T859" s="99"/>
      <c r="U859" s="99"/>
      <c r="V859" s="99"/>
      <c r="W859" s="99"/>
      <c r="X859" s="99"/>
      <c r="Y859" s="99"/>
      <c r="Z859" s="99"/>
      <c r="AA859" s="99"/>
      <c r="AB859" s="99"/>
      <c r="AC859" s="99"/>
    </row>
    <row r="860">
      <c r="A860" s="157"/>
      <c r="B860" s="99"/>
      <c r="C860" s="99"/>
      <c r="D860" s="99"/>
      <c r="E860" s="99"/>
      <c r="F860" s="170"/>
      <c r="G860" s="99"/>
      <c r="H860" s="99"/>
      <c r="I860" s="99"/>
      <c r="J860" s="171"/>
      <c r="K860" s="99"/>
      <c r="L860" s="99"/>
      <c r="M860" s="99"/>
      <c r="N860" s="99"/>
      <c r="O860" s="99"/>
      <c r="P860" s="99"/>
      <c r="Q860" s="99"/>
      <c r="R860" s="99"/>
      <c r="S860" s="99"/>
      <c r="T860" s="99"/>
      <c r="U860" s="99"/>
      <c r="V860" s="99"/>
      <c r="W860" s="99"/>
      <c r="X860" s="99"/>
      <c r="Y860" s="99"/>
      <c r="Z860" s="99"/>
      <c r="AA860" s="99"/>
      <c r="AB860" s="99"/>
      <c r="AC860" s="99"/>
    </row>
    <row r="861">
      <c r="A861" s="157"/>
      <c r="B861" s="99"/>
      <c r="C861" s="99"/>
      <c r="D861" s="99"/>
      <c r="E861" s="99"/>
      <c r="F861" s="170"/>
      <c r="G861" s="99"/>
      <c r="H861" s="99"/>
      <c r="I861" s="99"/>
      <c r="J861" s="171"/>
      <c r="K861" s="99"/>
      <c r="L861" s="99"/>
      <c r="M861" s="99"/>
      <c r="N861" s="99"/>
      <c r="O861" s="99"/>
      <c r="P861" s="99"/>
      <c r="Q861" s="99"/>
      <c r="R861" s="99"/>
      <c r="S861" s="99"/>
      <c r="T861" s="99"/>
      <c r="U861" s="99"/>
      <c r="V861" s="99"/>
      <c r="W861" s="99"/>
      <c r="X861" s="99"/>
      <c r="Y861" s="99"/>
      <c r="Z861" s="99"/>
      <c r="AA861" s="99"/>
      <c r="AB861" s="99"/>
      <c r="AC861" s="99"/>
    </row>
    <row r="862">
      <c r="A862" s="157"/>
      <c r="B862" s="99"/>
      <c r="C862" s="99"/>
      <c r="D862" s="99"/>
      <c r="E862" s="99"/>
      <c r="F862" s="170"/>
      <c r="G862" s="99"/>
      <c r="H862" s="99"/>
      <c r="I862" s="99"/>
      <c r="J862" s="171"/>
      <c r="K862" s="99"/>
      <c r="L862" s="99"/>
      <c r="M862" s="99"/>
      <c r="N862" s="99"/>
      <c r="O862" s="99"/>
      <c r="P862" s="99"/>
      <c r="Q862" s="99"/>
      <c r="R862" s="99"/>
      <c r="S862" s="99"/>
      <c r="T862" s="99"/>
      <c r="U862" s="99"/>
      <c r="V862" s="99"/>
      <c r="W862" s="99"/>
      <c r="X862" s="99"/>
      <c r="Y862" s="99"/>
      <c r="Z862" s="99"/>
      <c r="AA862" s="99"/>
      <c r="AB862" s="99"/>
      <c r="AC862" s="99"/>
    </row>
    <row r="863">
      <c r="A863" s="157"/>
      <c r="B863" s="99"/>
      <c r="C863" s="99"/>
      <c r="D863" s="99"/>
      <c r="E863" s="99"/>
      <c r="F863" s="170"/>
      <c r="G863" s="99"/>
      <c r="H863" s="99"/>
      <c r="I863" s="99"/>
      <c r="J863" s="171"/>
      <c r="K863" s="99"/>
      <c r="L863" s="99"/>
      <c r="M863" s="99"/>
      <c r="N863" s="99"/>
      <c r="O863" s="99"/>
      <c r="P863" s="99"/>
      <c r="Q863" s="99"/>
      <c r="R863" s="99"/>
      <c r="S863" s="99"/>
      <c r="T863" s="99"/>
      <c r="U863" s="99"/>
      <c r="V863" s="99"/>
      <c r="W863" s="99"/>
      <c r="X863" s="99"/>
      <c r="Y863" s="99"/>
      <c r="Z863" s="99"/>
      <c r="AA863" s="99"/>
      <c r="AB863" s="99"/>
      <c r="AC863" s="99"/>
    </row>
    <row r="864">
      <c r="A864" s="157"/>
      <c r="B864" s="99"/>
      <c r="C864" s="99"/>
      <c r="D864" s="99"/>
      <c r="E864" s="99"/>
      <c r="F864" s="170"/>
      <c r="G864" s="99"/>
      <c r="H864" s="99"/>
      <c r="I864" s="99"/>
      <c r="J864" s="171"/>
      <c r="K864" s="99"/>
      <c r="L864" s="99"/>
      <c r="M864" s="99"/>
      <c r="N864" s="99"/>
      <c r="O864" s="99"/>
      <c r="P864" s="99"/>
      <c r="Q864" s="99"/>
      <c r="R864" s="99"/>
      <c r="S864" s="99"/>
      <c r="T864" s="99"/>
      <c r="U864" s="99"/>
      <c r="V864" s="99"/>
      <c r="W864" s="99"/>
      <c r="X864" s="99"/>
      <c r="Y864" s="99"/>
      <c r="Z864" s="99"/>
      <c r="AA864" s="99"/>
      <c r="AB864" s="99"/>
      <c r="AC864" s="99"/>
    </row>
    <row r="865">
      <c r="A865" s="157"/>
      <c r="B865" s="99"/>
      <c r="C865" s="99"/>
      <c r="D865" s="99"/>
      <c r="E865" s="99"/>
      <c r="F865" s="170"/>
      <c r="G865" s="99"/>
      <c r="H865" s="99"/>
      <c r="I865" s="99"/>
      <c r="J865" s="171"/>
      <c r="K865" s="99"/>
      <c r="L865" s="99"/>
      <c r="M865" s="99"/>
      <c r="N865" s="99"/>
      <c r="O865" s="99"/>
      <c r="P865" s="99"/>
      <c r="Q865" s="99"/>
      <c r="R865" s="99"/>
      <c r="S865" s="99"/>
      <c r="T865" s="99"/>
      <c r="U865" s="99"/>
      <c r="V865" s="99"/>
      <c r="W865" s="99"/>
      <c r="X865" s="99"/>
      <c r="Y865" s="99"/>
      <c r="Z865" s="99"/>
      <c r="AA865" s="99"/>
      <c r="AB865" s="99"/>
      <c r="AC865" s="99"/>
    </row>
    <row r="866">
      <c r="A866" s="157"/>
      <c r="B866" s="99"/>
      <c r="C866" s="99"/>
      <c r="D866" s="99"/>
      <c r="E866" s="99"/>
      <c r="F866" s="170"/>
      <c r="G866" s="99"/>
      <c r="H866" s="99"/>
      <c r="I866" s="99"/>
      <c r="J866" s="171"/>
      <c r="K866" s="99"/>
      <c r="L866" s="99"/>
      <c r="M866" s="99"/>
      <c r="N866" s="99"/>
      <c r="O866" s="99"/>
      <c r="P866" s="99"/>
      <c r="Q866" s="99"/>
      <c r="R866" s="99"/>
      <c r="S866" s="99"/>
      <c r="T866" s="99"/>
      <c r="U866" s="99"/>
      <c r="V866" s="99"/>
      <c r="W866" s="99"/>
      <c r="X866" s="99"/>
      <c r="Y866" s="99"/>
      <c r="Z866" s="99"/>
      <c r="AA866" s="99"/>
      <c r="AB866" s="99"/>
      <c r="AC866" s="99"/>
    </row>
    <row r="867">
      <c r="A867" s="157"/>
      <c r="B867" s="99"/>
      <c r="C867" s="99"/>
      <c r="D867" s="99"/>
      <c r="E867" s="99"/>
      <c r="F867" s="170"/>
      <c r="G867" s="99"/>
      <c r="H867" s="99"/>
      <c r="I867" s="99"/>
      <c r="J867" s="171"/>
      <c r="K867" s="99"/>
      <c r="L867" s="99"/>
      <c r="M867" s="99"/>
      <c r="N867" s="99"/>
      <c r="O867" s="99"/>
      <c r="P867" s="99"/>
      <c r="Q867" s="99"/>
      <c r="R867" s="99"/>
      <c r="S867" s="99"/>
      <c r="T867" s="99"/>
      <c r="U867" s="99"/>
      <c r="V867" s="99"/>
      <c r="W867" s="99"/>
      <c r="X867" s="99"/>
      <c r="Y867" s="99"/>
      <c r="Z867" s="99"/>
      <c r="AA867" s="99"/>
      <c r="AB867" s="99"/>
      <c r="AC867" s="99"/>
    </row>
    <row r="868">
      <c r="A868" s="157"/>
      <c r="B868" s="99"/>
      <c r="C868" s="99"/>
      <c r="D868" s="99"/>
      <c r="E868" s="99"/>
      <c r="F868" s="170"/>
      <c r="G868" s="99"/>
      <c r="H868" s="99"/>
      <c r="I868" s="99"/>
      <c r="J868" s="171"/>
      <c r="K868" s="99"/>
      <c r="L868" s="99"/>
      <c r="M868" s="99"/>
      <c r="N868" s="99"/>
      <c r="O868" s="99"/>
      <c r="P868" s="99"/>
      <c r="Q868" s="99"/>
      <c r="R868" s="99"/>
      <c r="S868" s="99"/>
      <c r="T868" s="99"/>
      <c r="U868" s="99"/>
      <c r="V868" s="99"/>
      <c r="W868" s="99"/>
      <c r="X868" s="99"/>
      <c r="Y868" s="99"/>
      <c r="Z868" s="99"/>
      <c r="AA868" s="99"/>
      <c r="AB868" s="99"/>
      <c r="AC868" s="99"/>
    </row>
    <row r="869">
      <c r="A869" s="157"/>
      <c r="B869" s="99"/>
      <c r="C869" s="99"/>
      <c r="D869" s="99"/>
      <c r="E869" s="99"/>
      <c r="F869" s="170"/>
      <c r="G869" s="99"/>
      <c r="H869" s="99"/>
      <c r="I869" s="99"/>
      <c r="J869" s="171"/>
      <c r="K869" s="99"/>
      <c r="L869" s="99"/>
      <c r="M869" s="99"/>
      <c r="N869" s="99"/>
      <c r="O869" s="99"/>
      <c r="P869" s="99"/>
      <c r="Q869" s="99"/>
      <c r="R869" s="99"/>
      <c r="S869" s="99"/>
      <c r="T869" s="99"/>
      <c r="U869" s="99"/>
      <c r="V869" s="99"/>
      <c r="W869" s="99"/>
      <c r="X869" s="99"/>
      <c r="Y869" s="99"/>
      <c r="Z869" s="99"/>
      <c r="AA869" s="99"/>
      <c r="AB869" s="99"/>
      <c r="AC869" s="99"/>
    </row>
    <row r="870">
      <c r="A870" s="157"/>
      <c r="B870" s="99"/>
      <c r="C870" s="99"/>
      <c r="D870" s="99"/>
      <c r="E870" s="99"/>
      <c r="F870" s="170"/>
      <c r="G870" s="99"/>
      <c r="H870" s="99"/>
      <c r="I870" s="99"/>
      <c r="J870" s="171"/>
      <c r="K870" s="99"/>
      <c r="L870" s="99"/>
      <c r="M870" s="99"/>
      <c r="N870" s="99"/>
      <c r="O870" s="99"/>
      <c r="P870" s="99"/>
      <c r="Q870" s="99"/>
      <c r="R870" s="99"/>
      <c r="S870" s="99"/>
      <c r="T870" s="99"/>
      <c r="U870" s="99"/>
      <c r="V870" s="99"/>
      <c r="W870" s="99"/>
      <c r="X870" s="99"/>
      <c r="Y870" s="99"/>
      <c r="Z870" s="99"/>
      <c r="AA870" s="99"/>
      <c r="AB870" s="99"/>
      <c r="AC870" s="99"/>
    </row>
    <row r="871">
      <c r="A871" s="157"/>
      <c r="B871" s="99"/>
      <c r="C871" s="99"/>
      <c r="D871" s="99"/>
      <c r="E871" s="99"/>
      <c r="F871" s="170"/>
      <c r="G871" s="99"/>
      <c r="H871" s="99"/>
      <c r="I871" s="99"/>
      <c r="J871" s="171"/>
      <c r="K871" s="99"/>
      <c r="L871" s="99"/>
      <c r="M871" s="99"/>
      <c r="N871" s="99"/>
      <c r="O871" s="99"/>
      <c r="P871" s="99"/>
      <c r="Q871" s="99"/>
      <c r="R871" s="99"/>
      <c r="S871" s="99"/>
      <c r="T871" s="99"/>
      <c r="U871" s="99"/>
      <c r="V871" s="99"/>
      <c r="W871" s="99"/>
      <c r="X871" s="99"/>
      <c r="Y871" s="99"/>
      <c r="Z871" s="99"/>
      <c r="AA871" s="99"/>
      <c r="AB871" s="99"/>
      <c r="AC871" s="99"/>
    </row>
    <row r="872">
      <c r="A872" s="157"/>
      <c r="B872" s="99"/>
      <c r="C872" s="99"/>
      <c r="D872" s="99"/>
      <c r="E872" s="99"/>
      <c r="F872" s="170"/>
      <c r="G872" s="99"/>
      <c r="H872" s="99"/>
      <c r="I872" s="99"/>
      <c r="J872" s="171"/>
      <c r="K872" s="99"/>
      <c r="L872" s="99"/>
      <c r="M872" s="99"/>
      <c r="N872" s="99"/>
      <c r="O872" s="99"/>
      <c r="P872" s="99"/>
      <c r="Q872" s="99"/>
      <c r="R872" s="99"/>
      <c r="S872" s="99"/>
      <c r="T872" s="99"/>
      <c r="U872" s="99"/>
      <c r="V872" s="99"/>
      <c r="W872" s="99"/>
      <c r="X872" s="99"/>
      <c r="Y872" s="99"/>
      <c r="Z872" s="99"/>
      <c r="AA872" s="99"/>
      <c r="AB872" s="99"/>
      <c r="AC872" s="99"/>
    </row>
    <row r="873">
      <c r="A873" s="157"/>
      <c r="B873" s="99"/>
      <c r="C873" s="99"/>
      <c r="D873" s="99"/>
      <c r="E873" s="99"/>
      <c r="F873" s="170"/>
      <c r="G873" s="99"/>
      <c r="H873" s="99"/>
      <c r="I873" s="99"/>
      <c r="J873" s="171"/>
      <c r="K873" s="99"/>
      <c r="L873" s="99"/>
      <c r="M873" s="99"/>
      <c r="N873" s="99"/>
      <c r="O873" s="99"/>
      <c r="P873" s="99"/>
      <c r="Q873" s="99"/>
      <c r="R873" s="99"/>
      <c r="S873" s="99"/>
      <c r="T873" s="99"/>
      <c r="U873" s="99"/>
      <c r="V873" s="99"/>
      <c r="W873" s="99"/>
      <c r="X873" s="99"/>
      <c r="Y873" s="99"/>
      <c r="Z873" s="99"/>
      <c r="AA873" s="99"/>
      <c r="AB873" s="99"/>
      <c r="AC873" s="99"/>
    </row>
    <row r="874">
      <c r="A874" s="157"/>
      <c r="B874" s="99"/>
      <c r="C874" s="99"/>
      <c r="D874" s="99"/>
      <c r="E874" s="99"/>
      <c r="F874" s="170"/>
      <c r="G874" s="99"/>
      <c r="H874" s="99"/>
      <c r="I874" s="99"/>
      <c r="J874" s="171"/>
      <c r="K874" s="99"/>
      <c r="L874" s="99"/>
      <c r="M874" s="99"/>
      <c r="N874" s="99"/>
      <c r="O874" s="99"/>
      <c r="P874" s="99"/>
      <c r="Q874" s="99"/>
      <c r="R874" s="99"/>
      <c r="S874" s="99"/>
      <c r="T874" s="99"/>
      <c r="U874" s="99"/>
      <c r="V874" s="99"/>
      <c r="W874" s="99"/>
      <c r="X874" s="99"/>
      <c r="Y874" s="99"/>
      <c r="Z874" s="99"/>
      <c r="AA874" s="99"/>
      <c r="AB874" s="99"/>
      <c r="AC874" s="99"/>
    </row>
    <row r="875">
      <c r="A875" s="157"/>
      <c r="B875" s="99"/>
      <c r="C875" s="99"/>
      <c r="D875" s="99"/>
      <c r="E875" s="99"/>
      <c r="F875" s="170"/>
      <c r="G875" s="99"/>
      <c r="H875" s="99"/>
      <c r="I875" s="99"/>
      <c r="J875" s="171"/>
      <c r="K875" s="99"/>
      <c r="L875" s="99"/>
      <c r="M875" s="99"/>
      <c r="N875" s="99"/>
      <c r="O875" s="99"/>
      <c r="P875" s="99"/>
      <c r="Q875" s="99"/>
      <c r="R875" s="99"/>
      <c r="S875" s="99"/>
      <c r="T875" s="99"/>
      <c r="U875" s="99"/>
      <c r="V875" s="99"/>
      <c r="W875" s="99"/>
      <c r="X875" s="99"/>
      <c r="Y875" s="99"/>
      <c r="Z875" s="99"/>
      <c r="AA875" s="99"/>
      <c r="AB875" s="99"/>
      <c r="AC875" s="99"/>
    </row>
    <row r="876">
      <c r="A876" s="157"/>
      <c r="B876" s="99"/>
      <c r="C876" s="99"/>
      <c r="D876" s="99"/>
      <c r="E876" s="99"/>
      <c r="F876" s="170"/>
      <c r="G876" s="99"/>
      <c r="H876" s="99"/>
      <c r="I876" s="99"/>
      <c r="J876" s="171"/>
      <c r="K876" s="99"/>
      <c r="L876" s="99"/>
      <c r="M876" s="99"/>
      <c r="N876" s="99"/>
      <c r="O876" s="99"/>
      <c r="P876" s="99"/>
      <c r="Q876" s="99"/>
      <c r="R876" s="99"/>
      <c r="S876" s="99"/>
      <c r="T876" s="99"/>
      <c r="U876" s="99"/>
      <c r="V876" s="99"/>
      <c r="W876" s="99"/>
      <c r="X876" s="99"/>
      <c r="Y876" s="99"/>
      <c r="Z876" s="99"/>
      <c r="AA876" s="99"/>
      <c r="AB876" s="99"/>
      <c r="AC876" s="99"/>
    </row>
    <row r="877">
      <c r="A877" s="157"/>
      <c r="B877" s="99"/>
      <c r="C877" s="99"/>
      <c r="D877" s="99"/>
      <c r="E877" s="99"/>
      <c r="F877" s="170"/>
      <c r="G877" s="99"/>
      <c r="H877" s="99"/>
      <c r="I877" s="99"/>
      <c r="J877" s="171"/>
      <c r="K877" s="99"/>
      <c r="L877" s="99"/>
      <c r="M877" s="99"/>
      <c r="N877" s="99"/>
      <c r="O877" s="99"/>
      <c r="P877" s="99"/>
      <c r="Q877" s="99"/>
      <c r="R877" s="99"/>
      <c r="S877" s="99"/>
      <c r="T877" s="99"/>
      <c r="U877" s="99"/>
      <c r="V877" s="99"/>
      <c r="W877" s="99"/>
      <c r="X877" s="99"/>
      <c r="Y877" s="99"/>
      <c r="Z877" s="99"/>
      <c r="AA877" s="99"/>
      <c r="AB877" s="99"/>
      <c r="AC877" s="99"/>
    </row>
    <row r="878">
      <c r="A878" s="157"/>
      <c r="B878" s="99"/>
      <c r="C878" s="99"/>
      <c r="D878" s="99"/>
      <c r="E878" s="99"/>
      <c r="F878" s="170"/>
      <c r="G878" s="99"/>
      <c r="H878" s="99"/>
      <c r="I878" s="99"/>
      <c r="J878" s="171"/>
      <c r="K878" s="99"/>
      <c r="L878" s="99"/>
      <c r="M878" s="99"/>
      <c r="N878" s="99"/>
      <c r="O878" s="99"/>
      <c r="P878" s="99"/>
      <c r="Q878" s="99"/>
      <c r="R878" s="99"/>
      <c r="S878" s="99"/>
      <c r="T878" s="99"/>
      <c r="U878" s="99"/>
      <c r="V878" s="99"/>
      <c r="W878" s="99"/>
      <c r="X878" s="99"/>
      <c r="Y878" s="99"/>
      <c r="Z878" s="99"/>
      <c r="AA878" s="99"/>
      <c r="AB878" s="99"/>
      <c r="AC878" s="99"/>
    </row>
    <row r="879">
      <c r="A879" s="157"/>
      <c r="B879" s="99"/>
      <c r="C879" s="99"/>
      <c r="D879" s="99"/>
      <c r="E879" s="99"/>
      <c r="F879" s="170"/>
      <c r="G879" s="99"/>
      <c r="H879" s="99"/>
      <c r="I879" s="99"/>
      <c r="J879" s="171"/>
      <c r="K879" s="99"/>
      <c r="L879" s="99"/>
      <c r="M879" s="99"/>
      <c r="N879" s="99"/>
      <c r="O879" s="99"/>
      <c r="P879" s="99"/>
      <c r="Q879" s="99"/>
      <c r="R879" s="99"/>
      <c r="S879" s="99"/>
      <c r="T879" s="99"/>
      <c r="U879" s="99"/>
      <c r="V879" s="99"/>
      <c r="W879" s="99"/>
      <c r="X879" s="99"/>
      <c r="Y879" s="99"/>
      <c r="Z879" s="99"/>
      <c r="AA879" s="99"/>
      <c r="AB879" s="99"/>
      <c r="AC879" s="99"/>
    </row>
    <row r="880">
      <c r="A880" s="157"/>
      <c r="B880" s="99"/>
      <c r="C880" s="99"/>
      <c r="D880" s="99"/>
      <c r="E880" s="99"/>
      <c r="F880" s="170"/>
      <c r="G880" s="99"/>
      <c r="H880" s="99"/>
      <c r="I880" s="99"/>
      <c r="J880" s="171"/>
      <c r="K880" s="99"/>
      <c r="L880" s="99"/>
      <c r="M880" s="99"/>
      <c r="N880" s="99"/>
      <c r="O880" s="99"/>
      <c r="P880" s="99"/>
      <c r="Q880" s="99"/>
      <c r="R880" s="99"/>
      <c r="S880" s="99"/>
      <c r="T880" s="99"/>
      <c r="U880" s="99"/>
      <c r="V880" s="99"/>
      <c r="W880" s="99"/>
      <c r="X880" s="99"/>
      <c r="Y880" s="99"/>
      <c r="Z880" s="99"/>
      <c r="AA880" s="99"/>
      <c r="AB880" s="99"/>
      <c r="AC880" s="99"/>
    </row>
    <row r="881">
      <c r="A881" s="157"/>
      <c r="B881" s="99"/>
      <c r="C881" s="99"/>
      <c r="D881" s="99"/>
      <c r="E881" s="99"/>
      <c r="F881" s="170"/>
      <c r="G881" s="99"/>
      <c r="H881" s="99"/>
      <c r="I881" s="99"/>
      <c r="J881" s="171"/>
      <c r="K881" s="99"/>
      <c r="L881" s="99"/>
      <c r="M881" s="99"/>
      <c r="N881" s="99"/>
      <c r="O881" s="99"/>
      <c r="P881" s="99"/>
      <c r="Q881" s="99"/>
      <c r="R881" s="99"/>
      <c r="S881" s="99"/>
      <c r="T881" s="99"/>
      <c r="U881" s="99"/>
      <c r="V881" s="99"/>
      <c r="W881" s="99"/>
      <c r="X881" s="99"/>
      <c r="Y881" s="99"/>
      <c r="Z881" s="99"/>
      <c r="AA881" s="99"/>
      <c r="AB881" s="99"/>
      <c r="AC881" s="99"/>
    </row>
    <row r="882">
      <c r="A882" s="157"/>
      <c r="B882" s="99"/>
      <c r="C882" s="99"/>
      <c r="D882" s="99"/>
      <c r="E882" s="99"/>
      <c r="F882" s="170"/>
      <c r="G882" s="99"/>
      <c r="H882" s="99"/>
      <c r="I882" s="99"/>
      <c r="J882" s="171"/>
      <c r="K882" s="99"/>
      <c r="L882" s="99"/>
      <c r="M882" s="99"/>
      <c r="N882" s="99"/>
      <c r="O882" s="99"/>
      <c r="P882" s="99"/>
      <c r="Q882" s="99"/>
      <c r="R882" s="99"/>
      <c r="S882" s="99"/>
      <c r="T882" s="99"/>
      <c r="U882" s="99"/>
      <c r="V882" s="99"/>
      <c r="W882" s="99"/>
      <c r="X882" s="99"/>
      <c r="Y882" s="99"/>
      <c r="Z882" s="99"/>
      <c r="AA882" s="99"/>
      <c r="AB882" s="99"/>
      <c r="AC882" s="99"/>
    </row>
    <row r="883">
      <c r="A883" s="157"/>
      <c r="B883" s="99"/>
      <c r="C883" s="99"/>
      <c r="D883" s="99"/>
      <c r="E883" s="99"/>
      <c r="F883" s="170"/>
      <c r="G883" s="99"/>
      <c r="H883" s="99"/>
      <c r="I883" s="99"/>
      <c r="J883" s="171"/>
      <c r="K883" s="99"/>
      <c r="L883" s="99"/>
      <c r="M883" s="99"/>
      <c r="N883" s="99"/>
      <c r="O883" s="99"/>
      <c r="P883" s="99"/>
      <c r="Q883" s="99"/>
      <c r="R883" s="99"/>
      <c r="S883" s="99"/>
      <c r="T883" s="99"/>
      <c r="U883" s="99"/>
      <c r="V883" s="99"/>
      <c r="W883" s="99"/>
      <c r="X883" s="99"/>
      <c r="Y883" s="99"/>
      <c r="Z883" s="99"/>
      <c r="AA883" s="99"/>
      <c r="AB883" s="99"/>
      <c r="AC883" s="99"/>
    </row>
    <row r="884">
      <c r="A884" s="157"/>
      <c r="B884" s="99"/>
      <c r="C884" s="99"/>
      <c r="D884" s="99"/>
      <c r="E884" s="99"/>
      <c r="F884" s="170"/>
      <c r="G884" s="99"/>
      <c r="H884" s="99"/>
      <c r="I884" s="99"/>
      <c r="J884" s="171"/>
      <c r="K884" s="99"/>
      <c r="L884" s="99"/>
      <c r="M884" s="99"/>
      <c r="N884" s="99"/>
      <c r="O884" s="99"/>
      <c r="P884" s="99"/>
      <c r="Q884" s="99"/>
      <c r="R884" s="99"/>
      <c r="S884" s="99"/>
      <c r="T884" s="99"/>
      <c r="U884" s="99"/>
      <c r="V884" s="99"/>
      <c r="W884" s="99"/>
      <c r="X884" s="99"/>
      <c r="Y884" s="99"/>
      <c r="Z884" s="99"/>
      <c r="AA884" s="99"/>
      <c r="AB884" s="99"/>
      <c r="AC884" s="99"/>
    </row>
    <row r="885">
      <c r="A885" s="157"/>
      <c r="B885" s="99"/>
      <c r="C885" s="99"/>
      <c r="D885" s="99"/>
      <c r="E885" s="99"/>
      <c r="F885" s="170"/>
      <c r="G885" s="99"/>
      <c r="H885" s="99"/>
      <c r="I885" s="99"/>
      <c r="J885" s="171"/>
      <c r="K885" s="99"/>
      <c r="L885" s="99"/>
      <c r="M885" s="99"/>
      <c r="N885" s="99"/>
      <c r="O885" s="99"/>
      <c r="P885" s="99"/>
      <c r="Q885" s="99"/>
      <c r="R885" s="99"/>
      <c r="S885" s="99"/>
      <c r="T885" s="99"/>
      <c r="U885" s="99"/>
      <c r="V885" s="99"/>
      <c r="W885" s="99"/>
      <c r="X885" s="99"/>
      <c r="Y885" s="99"/>
      <c r="Z885" s="99"/>
      <c r="AA885" s="99"/>
      <c r="AB885" s="99"/>
      <c r="AC885" s="99"/>
    </row>
    <row r="886">
      <c r="A886" s="157"/>
      <c r="B886" s="99"/>
      <c r="C886" s="99"/>
      <c r="D886" s="99"/>
      <c r="E886" s="99"/>
      <c r="F886" s="170"/>
      <c r="G886" s="99"/>
      <c r="H886" s="99"/>
      <c r="I886" s="99"/>
      <c r="J886" s="171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</row>
    <row r="887">
      <c r="A887" s="157"/>
      <c r="B887" s="99"/>
      <c r="C887" s="99"/>
      <c r="D887" s="99"/>
      <c r="E887" s="99"/>
      <c r="F887" s="170"/>
      <c r="G887" s="99"/>
      <c r="H887" s="99"/>
      <c r="I887" s="99"/>
      <c r="J887" s="171"/>
      <c r="K887" s="99"/>
      <c r="L887" s="99"/>
      <c r="M887" s="99"/>
      <c r="N887" s="99"/>
      <c r="O887" s="99"/>
      <c r="P887" s="99"/>
      <c r="Q887" s="99"/>
      <c r="R887" s="99"/>
      <c r="S887" s="99"/>
      <c r="T887" s="99"/>
      <c r="U887" s="99"/>
      <c r="V887" s="99"/>
      <c r="W887" s="99"/>
      <c r="X887" s="99"/>
      <c r="Y887" s="99"/>
      <c r="Z887" s="99"/>
      <c r="AA887" s="99"/>
      <c r="AB887" s="99"/>
      <c r="AC887" s="99"/>
    </row>
    <row r="888">
      <c r="A888" s="157"/>
      <c r="B888" s="99"/>
      <c r="C888" s="99"/>
      <c r="D888" s="99"/>
      <c r="E888" s="99"/>
      <c r="F888" s="170"/>
      <c r="G888" s="99"/>
      <c r="H888" s="99"/>
      <c r="I888" s="99"/>
      <c r="J888" s="171"/>
      <c r="K888" s="99"/>
      <c r="L888" s="99"/>
      <c r="M888" s="99"/>
      <c r="N888" s="99"/>
      <c r="O888" s="99"/>
      <c r="P888" s="99"/>
      <c r="Q888" s="99"/>
      <c r="R888" s="99"/>
      <c r="S888" s="99"/>
      <c r="T888" s="99"/>
      <c r="U888" s="99"/>
      <c r="V888" s="99"/>
      <c r="W888" s="99"/>
      <c r="X888" s="99"/>
      <c r="Y888" s="99"/>
      <c r="Z888" s="99"/>
      <c r="AA888" s="99"/>
      <c r="AB888" s="99"/>
      <c r="AC888" s="99"/>
    </row>
    <row r="889">
      <c r="A889" s="157"/>
      <c r="B889" s="99"/>
      <c r="C889" s="99"/>
      <c r="D889" s="99"/>
      <c r="E889" s="99"/>
      <c r="F889" s="170"/>
      <c r="G889" s="99"/>
      <c r="H889" s="99"/>
      <c r="I889" s="99"/>
      <c r="J889" s="171"/>
      <c r="K889" s="99"/>
      <c r="L889" s="99"/>
      <c r="M889" s="99"/>
      <c r="N889" s="99"/>
      <c r="O889" s="99"/>
      <c r="P889" s="99"/>
      <c r="Q889" s="99"/>
      <c r="R889" s="99"/>
      <c r="S889" s="99"/>
      <c r="T889" s="99"/>
      <c r="U889" s="99"/>
      <c r="V889" s="99"/>
      <c r="W889" s="99"/>
      <c r="X889" s="99"/>
      <c r="Y889" s="99"/>
      <c r="Z889" s="99"/>
      <c r="AA889" s="99"/>
      <c r="AB889" s="99"/>
      <c r="AC889" s="99"/>
    </row>
    <row r="890">
      <c r="A890" s="157"/>
      <c r="B890" s="99"/>
      <c r="C890" s="99"/>
      <c r="D890" s="99"/>
      <c r="E890" s="99"/>
      <c r="F890" s="170"/>
      <c r="G890" s="99"/>
      <c r="H890" s="99"/>
      <c r="I890" s="99"/>
      <c r="J890" s="171"/>
      <c r="K890" s="99"/>
      <c r="L890" s="99"/>
      <c r="M890" s="99"/>
      <c r="N890" s="99"/>
      <c r="O890" s="99"/>
      <c r="P890" s="99"/>
      <c r="Q890" s="99"/>
      <c r="R890" s="99"/>
      <c r="S890" s="99"/>
      <c r="T890" s="99"/>
      <c r="U890" s="99"/>
      <c r="V890" s="99"/>
      <c r="W890" s="99"/>
      <c r="X890" s="99"/>
      <c r="Y890" s="99"/>
      <c r="Z890" s="99"/>
      <c r="AA890" s="99"/>
      <c r="AB890" s="99"/>
      <c r="AC890" s="99"/>
    </row>
    <row r="891">
      <c r="A891" s="157"/>
      <c r="B891" s="99"/>
      <c r="C891" s="99"/>
      <c r="D891" s="99"/>
      <c r="E891" s="99"/>
      <c r="F891" s="170"/>
      <c r="G891" s="99"/>
      <c r="H891" s="99"/>
      <c r="I891" s="99"/>
      <c r="J891" s="171"/>
      <c r="K891" s="99"/>
      <c r="L891" s="99"/>
      <c r="M891" s="99"/>
      <c r="N891" s="99"/>
      <c r="O891" s="99"/>
      <c r="P891" s="99"/>
      <c r="Q891" s="99"/>
      <c r="R891" s="99"/>
      <c r="S891" s="99"/>
      <c r="T891" s="99"/>
      <c r="U891" s="99"/>
      <c r="V891" s="99"/>
      <c r="W891" s="99"/>
      <c r="X891" s="99"/>
      <c r="Y891" s="99"/>
      <c r="Z891" s="99"/>
      <c r="AA891" s="99"/>
      <c r="AB891" s="99"/>
      <c r="AC891" s="99"/>
    </row>
    <row r="892">
      <c r="A892" s="157"/>
      <c r="B892" s="99"/>
      <c r="C892" s="99"/>
      <c r="D892" s="99"/>
      <c r="E892" s="99"/>
      <c r="F892" s="170"/>
      <c r="G892" s="99"/>
      <c r="H892" s="99"/>
      <c r="I892" s="99"/>
      <c r="J892" s="171"/>
      <c r="K892" s="99"/>
      <c r="L892" s="99"/>
      <c r="M892" s="99"/>
      <c r="N892" s="99"/>
      <c r="O892" s="99"/>
      <c r="P892" s="99"/>
      <c r="Q892" s="99"/>
      <c r="R892" s="99"/>
      <c r="S892" s="99"/>
      <c r="T892" s="99"/>
      <c r="U892" s="99"/>
      <c r="V892" s="99"/>
      <c r="W892" s="99"/>
      <c r="X892" s="99"/>
      <c r="Y892" s="99"/>
      <c r="Z892" s="99"/>
      <c r="AA892" s="99"/>
      <c r="AB892" s="99"/>
      <c r="AC892" s="99"/>
    </row>
    <row r="893">
      <c r="A893" s="157"/>
      <c r="B893" s="99"/>
      <c r="C893" s="99"/>
      <c r="D893" s="99"/>
      <c r="E893" s="99"/>
      <c r="F893" s="170"/>
      <c r="G893" s="99"/>
      <c r="H893" s="99"/>
      <c r="I893" s="99"/>
      <c r="J893" s="171"/>
      <c r="K893" s="99"/>
      <c r="L893" s="99"/>
      <c r="M893" s="99"/>
      <c r="N893" s="99"/>
      <c r="O893" s="99"/>
      <c r="P893" s="99"/>
      <c r="Q893" s="99"/>
      <c r="R893" s="99"/>
      <c r="S893" s="99"/>
      <c r="T893" s="99"/>
      <c r="U893" s="99"/>
      <c r="V893" s="99"/>
      <c r="W893" s="99"/>
      <c r="X893" s="99"/>
      <c r="Y893" s="99"/>
      <c r="Z893" s="99"/>
      <c r="AA893" s="99"/>
      <c r="AB893" s="99"/>
      <c r="AC893" s="99"/>
    </row>
    <row r="894">
      <c r="A894" s="157"/>
      <c r="B894" s="99"/>
      <c r="C894" s="99"/>
      <c r="D894" s="99"/>
      <c r="E894" s="99"/>
      <c r="F894" s="170"/>
      <c r="G894" s="99"/>
      <c r="H894" s="99"/>
      <c r="I894" s="99"/>
      <c r="J894" s="171"/>
      <c r="K894" s="99"/>
      <c r="L894" s="99"/>
      <c r="M894" s="99"/>
      <c r="N894" s="99"/>
      <c r="O894" s="99"/>
      <c r="P894" s="99"/>
      <c r="Q894" s="99"/>
      <c r="R894" s="99"/>
      <c r="S894" s="99"/>
      <c r="T894" s="99"/>
      <c r="U894" s="99"/>
      <c r="V894" s="99"/>
      <c r="W894" s="99"/>
      <c r="X894" s="99"/>
      <c r="Y894" s="99"/>
      <c r="Z894" s="99"/>
      <c r="AA894" s="99"/>
      <c r="AB894" s="99"/>
      <c r="AC894" s="99"/>
    </row>
    <row r="895">
      <c r="A895" s="157"/>
      <c r="B895" s="99"/>
      <c r="C895" s="99"/>
      <c r="D895" s="99"/>
      <c r="E895" s="99"/>
      <c r="F895" s="170"/>
      <c r="G895" s="99"/>
      <c r="H895" s="99"/>
      <c r="I895" s="99"/>
      <c r="J895" s="171"/>
      <c r="K895" s="99"/>
      <c r="L895" s="99"/>
      <c r="M895" s="99"/>
      <c r="N895" s="99"/>
      <c r="O895" s="99"/>
      <c r="P895" s="99"/>
      <c r="Q895" s="99"/>
      <c r="R895" s="99"/>
      <c r="S895" s="99"/>
      <c r="T895" s="99"/>
      <c r="U895" s="99"/>
      <c r="V895" s="99"/>
      <c r="W895" s="99"/>
      <c r="X895" s="99"/>
      <c r="Y895" s="99"/>
      <c r="Z895" s="99"/>
      <c r="AA895" s="99"/>
      <c r="AB895" s="99"/>
      <c r="AC895" s="99"/>
    </row>
    <row r="896">
      <c r="A896" s="157"/>
      <c r="B896" s="99"/>
      <c r="C896" s="99"/>
      <c r="D896" s="99"/>
      <c r="E896" s="99"/>
      <c r="F896" s="170"/>
      <c r="G896" s="99"/>
      <c r="H896" s="99"/>
      <c r="I896" s="99"/>
      <c r="J896" s="171"/>
      <c r="K896" s="99"/>
      <c r="L896" s="99"/>
      <c r="M896" s="99"/>
      <c r="N896" s="99"/>
      <c r="O896" s="99"/>
      <c r="P896" s="99"/>
      <c r="Q896" s="99"/>
      <c r="R896" s="99"/>
      <c r="S896" s="99"/>
      <c r="T896" s="99"/>
      <c r="U896" s="99"/>
      <c r="V896" s="99"/>
      <c r="W896" s="99"/>
      <c r="X896" s="99"/>
      <c r="Y896" s="99"/>
      <c r="Z896" s="99"/>
      <c r="AA896" s="99"/>
      <c r="AB896" s="99"/>
      <c r="AC896" s="99"/>
    </row>
    <row r="897">
      <c r="A897" s="157"/>
      <c r="B897" s="99"/>
      <c r="C897" s="99"/>
      <c r="D897" s="99"/>
      <c r="E897" s="99"/>
      <c r="F897" s="170"/>
      <c r="G897" s="99"/>
      <c r="H897" s="99"/>
      <c r="I897" s="99"/>
      <c r="J897" s="171"/>
      <c r="K897" s="99"/>
      <c r="L897" s="99"/>
      <c r="M897" s="99"/>
      <c r="N897" s="99"/>
      <c r="O897" s="99"/>
      <c r="P897" s="99"/>
      <c r="Q897" s="99"/>
      <c r="R897" s="99"/>
      <c r="S897" s="99"/>
      <c r="T897" s="99"/>
      <c r="U897" s="99"/>
      <c r="V897" s="99"/>
      <c r="W897" s="99"/>
      <c r="X897" s="99"/>
      <c r="Y897" s="99"/>
      <c r="Z897" s="99"/>
      <c r="AA897" s="99"/>
      <c r="AB897" s="99"/>
      <c r="AC897" s="99"/>
    </row>
    <row r="898">
      <c r="A898" s="157"/>
      <c r="B898" s="99"/>
      <c r="C898" s="99"/>
      <c r="D898" s="99"/>
      <c r="E898" s="99"/>
      <c r="F898" s="170"/>
      <c r="G898" s="99"/>
      <c r="H898" s="99"/>
      <c r="I898" s="99"/>
      <c r="J898" s="171"/>
      <c r="K898" s="99"/>
      <c r="L898" s="99"/>
      <c r="M898" s="99"/>
      <c r="N898" s="99"/>
      <c r="O898" s="99"/>
      <c r="P898" s="99"/>
      <c r="Q898" s="99"/>
      <c r="R898" s="99"/>
      <c r="S898" s="99"/>
      <c r="T898" s="99"/>
      <c r="U898" s="99"/>
      <c r="V898" s="99"/>
      <c r="W898" s="99"/>
      <c r="X898" s="99"/>
      <c r="Y898" s="99"/>
      <c r="Z898" s="99"/>
      <c r="AA898" s="99"/>
      <c r="AB898" s="99"/>
      <c r="AC898" s="99"/>
    </row>
    <row r="899">
      <c r="A899" s="157"/>
      <c r="B899" s="99"/>
      <c r="C899" s="99"/>
      <c r="D899" s="99"/>
      <c r="E899" s="99"/>
      <c r="F899" s="170"/>
      <c r="G899" s="99"/>
      <c r="H899" s="99"/>
      <c r="I899" s="99"/>
      <c r="J899" s="171"/>
      <c r="K899" s="99"/>
      <c r="L899" s="99"/>
      <c r="M899" s="99"/>
      <c r="N899" s="99"/>
      <c r="O899" s="99"/>
      <c r="P899" s="99"/>
      <c r="Q899" s="99"/>
      <c r="R899" s="99"/>
      <c r="S899" s="99"/>
      <c r="T899" s="99"/>
      <c r="U899" s="99"/>
      <c r="V899" s="99"/>
      <c r="W899" s="99"/>
      <c r="X899" s="99"/>
      <c r="Y899" s="99"/>
      <c r="Z899" s="99"/>
      <c r="AA899" s="99"/>
      <c r="AB899" s="99"/>
      <c r="AC899" s="99"/>
    </row>
    <row r="900">
      <c r="A900" s="157"/>
      <c r="B900" s="99"/>
      <c r="C900" s="99"/>
      <c r="D900" s="99"/>
      <c r="E900" s="99"/>
      <c r="F900" s="170"/>
      <c r="G900" s="99"/>
      <c r="H900" s="99"/>
      <c r="I900" s="99"/>
      <c r="J900" s="171"/>
      <c r="K900" s="99"/>
      <c r="L900" s="99"/>
      <c r="M900" s="99"/>
      <c r="N900" s="99"/>
      <c r="O900" s="99"/>
      <c r="P900" s="99"/>
      <c r="Q900" s="99"/>
      <c r="R900" s="99"/>
      <c r="S900" s="99"/>
      <c r="T900" s="99"/>
      <c r="U900" s="99"/>
      <c r="V900" s="99"/>
      <c r="W900" s="99"/>
      <c r="X900" s="99"/>
      <c r="Y900" s="99"/>
      <c r="Z900" s="99"/>
      <c r="AA900" s="99"/>
      <c r="AB900" s="99"/>
      <c r="AC900" s="99"/>
    </row>
    <row r="901">
      <c r="A901" s="157"/>
      <c r="B901" s="99"/>
      <c r="C901" s="99"/>
      <c r="D901" s="99"/>
      <c r="E901" s="99"/>
      <c r="F901" s="170"/>
      <c r="G901" s="99"/>
      <c r="H901" s="99"/>
      <c r="I901" s="99"/>
      <c r="J901" s="171"/>
      <c r="K901" s="99"/>
      <c r="L901" s="99"/>
      <c r="M901" s="99"/>
      <c r="N901" s="99"/>
      <c r="O901" s="99"/>
      <c r="P901" s="99"/>
      <c r="Q901" s="99"/>
      <c r="R901" s="99"/>
      <c r="S901" s="99"/>
      <c r="T901" s="99"/>
      <c r="U901" s="99"/>
      <c r="V901" s="99"/>
      <c r="W901" s="99"/>
      <c r="X901" s="99"/>
      <c r="Y901" s="99"/>
      <c r="Z901" s="99"/>
      <c r="AA901" s="99"/>
      <c r="AB901" s="99"/>
      <c r="AC901" s="99"/>
    </row>
    <row r="902">
      <c r="A902" s="157"/>
      <c r="B902" s="99"/>
      <c r="C902" s="99"/>
      <c r="D902" s="99"/>
      <c r="E902" s="99"/>
      <c r="F902" s="170"/>
      <c r="G902" s="99"/>
      <c r="H902" s="99"/>
      <c r="I902" s="99"/>
      <c r="J902" s="171"/>
      <c r="K902" s="99"/>
      <c r="L902" s="99"/>
      <c r="M902" s="99"/>
      <c r="N902" s="99"/>
      <c r="O902" s="99"/>
      <c r="P902" s="99"/>
      <c r="Q902" s="99"/>
      <c r="R902" s="99"/>
      <c r="S902" s="99"/>
      <c r="T902" s="99"/>
      <c r="U902" s="99"/>
      <c r="V902" s="99"/>
      <c r="W902" s="99"/>
      <c r="X902" s="99"/>
      <c r="Y902" s="99"/>
      <c r="Z902" s="99"/>
      <c r="AA902" s="99"/>
      <c r="AB902" s="99"/>
      <c r="AC902" s="99"/>
    </row>
    <row r="903">
      <c r="A903" s="157"/>
      <c r="B903" s="99"/>
      <c r="C903" s="99"/>
      <c r="D903" s="99"/>
      <c r="E903" s="99"/>
      <c r="F903" s="170"/>
      <c r="G903" s="99"/>
      <c r="H903" s="99"/>
      <c r="I903" s="99"/>
      <c r="J903" s="171"/>
      <c r="K903" s="99"/>
      <c r="L903" s="99"/>
      <c r="M903" s="99"/>
      <c r="N903" s="99"/>
      <c r="O903" s="99"/>
      <c r="P903" s="99"/>
      <c r="Q903" s="99"/>
      <c r="R903" s="99"/>
      <c r="S903" s="99"/>
      <c r="T903" s="99"/>
      <c r="U903" s="99"/>
      <c r="V903" s="99"/>
      <c r="W903" s="99"/>
      <c r="X903" s="99"/>
      <c r="Y903" s="99"/>
      <c r="Z903" s="99"/>
      <c r="AA903" s="99"/>
      <c r="AB903" s="99"/>
      <c r="AC903" s="99"/>
    </row>
    <row r="904">
      <c r="A904" s="157"/>
      <c r="B904" s="99"/>
      <c r="C904" s="99"/>
      <c r="D904" s="99"/>
      <c r="E904" s="99"/>
      <c r="F904" s="170"/>
      <c r="G904" s="99"/>
      <c r="H904" s="99"/>
      <c r="I904" s="99"/>
      <c r="J904" s="171"/>
      <c r="K904" s="99"/>
      <c r="L904" s="99"/>
      <c r="M904" s="99"/>
      <c r="N904" s="99"/>
      <c r="O904" s="99"/>
      <c r="P904" s="99"/>
      <c r="Q904" s="99"/>
      <c r="R904" s="99"/>
      <c r="S904" s="99"/>
      <c r="T904" s="99"/>
      <c r="U904" s="99"/>
      <c r="V904" s="99"/>
      <c r="W904" s="99"/>
      <c r="X904" s="99"/>
      <c r="Y904" s="99"/>
      <c r="Z904" s="99"/>
      <c r="AA904" s="99"/>
      <c r="AB904" s="99"/>
      <c r="AC904" s="99"/>
    </row>
    <row r="905">
      <c r="A905" s="157"/>
      <c r="B905" s="99"/>
      <c r="C905" s="99"/>
      <c r="D905" s="99"/>
      <c r="E905" s="99"/>
      <c r="F905" s="170"/>
      <c r="G905" s="99"/>
      <c r="H905" s="99"/>
      <c r="I905" s="99"/>
      <c r="J905" s="171"/>
      <c r="K905" s="99"/>
      <c r="L905" s="99"/>
      <c r="M905" s="99"/>
      <c r="N905" s="99"/>
      <c r="O905" s="99"/>
      <c r="P905" s="99"/>
      <c r="Q905" s="99"/>
      <c r="R905" s="99"/>
      <c r="S905" s="99"/>
      <c r="T905" s="99"/>
      <c r="U905" s="99"/>
      <c r="V905" s="99"/>
      <c r="W905" s="99"/>
      <c r="X905" s="99"/>
      <c r="Y905" s="99"/>
      <c r="Z905" s="99"/>
      <c r="AA905" s="99"/>
      <c r="AB905" s="99"/>
      <c r="AC905" s="99"/>
    </row>
    <row r="906">
      <c r="A906" s="157"/>
      <c r="B906" s="99"/>
      <c r="C906" s="99"/>
      <c r="D906" s="99"/>
      <c r="E906" s="99"/>
      <c r="F906" s="170"/>
      <c r="G906" s="99"/>
      <c r="H906" s="99"/>
      <c r="I906" s="99"/>
      <c r="J906" s="171"/>
      <c r="K906" s="99"/>
      <c r="L906" s="99"/>
      <c r="M906" s="99"/>
      <c r="N906" s="99"/>
      <c r="O906" s="99"/>
      <c r="P906" s="99"/>
      <c r="Q906" s="99"/>
      <c r="R906" s="99"/>
      <c r="S906" s="99"/>
      <c r="T906" s="99"/>
      <c r="U906" s="99"/>
      <c r="V906" s="99"/>
      <c r="W906" s="99"/>
      <c r="X906" s="99"/>
      <c r="Y906" s="99"/>
      <c r="Z906" s="99"/>
      <c r="AA906" s="99"/>
      <c r="AB906" s="99"/>
      <c r="AC906" s="99"/>
    </row>
    <row r="907">
      <c r="A907" s="157"/>
      <c r="B907" s="99"/>
      <c r="C907" s="99"/>
      <c r="D907" s="99"/>
      <c r="E907" s="99"/>
      <c r="F907" s="170"/>
      <c r="G907" s="99"/>
      <c r="H907" s="99"/>
      <c r="I907" s="99"/>
      <c r="J907" s="171"/>
      <c r="K907" s="99"/>
      <c r="L907" s="99"/>
      <c r="M907" s="99"/>
      <c r="N907" s="99"/>
      <c r="O907" s="99"/>
      <c r="P907" s="99"/>
      <c r="Q907" s="99"/>
      <c r="R907" s="99"/>
      <c r="S907" s="99"/>
      <c r="T907" s="99"/>
      <c r="U907" s="99"/>
      <c r="V907" s="99"/>
      <c r="W907" s="99"/>
      <c r="X907" s="99"/>
      <c r="Y907" s="99"/>
      <c r="Z907" s="99"/>
      <c r="AA907" s="99"/>
      <c r="AB907" s="99"/>
      <c r="AC907" s="99"/>
    </row>
    <row r="908">
      <c r="A908" s="157"/>
      <c r="B908" s="99"/>
      <c r="C908" s="99"/>
      <c r="D908" s="99"/>
      <c r="E908" s="99"/>
      <c r="F908" s="170"/>
      <c r="G908" s="99"/>
      <c r="H908" s="99"/>
      <c r="I908" s="99"/>
      <c r="J908" s="171"/>
      <c r="K908" s="99"/>
      <c r="L908" s="99"/>
      <c r="M908" s="99"/>
      <c r="N908" s="99"/>
      <c r="O908" s="99"/>
      <c r="P908" s="99"/>
      <c r="Q908" s="99"/>
      <c r="R908" s="99"/>
      <c r="S908" s="99"/>
      <c r="T908" s="99"/>
      <c r="U908" s="99"/>
      <c r="V908" s="99"/>
      <c r="W908" s="99"/>
      <c r="X908" s="99"/>
      <c r="Y908" s="99"/>
      <c r="Z908" s="99"/>
      <c r="AA908" s="99"/>
      <c r="AB908" s="99"/>
      <c r="AC908" s="99"/>
    </row>
    <row r="909">
      <c r="A909" s="157"/>
      <c r="B909" s="99"/>
      <c r="C909" s="99"/>
      <c r="D909" s="99"/>
      <c r="E909" s="99"/>
      <c r="F909" s="170"/>
      <c r="G909" s="99"/>
      <c r="H909" s="99"/>
      <c r="I909" s="99"/>
      <c r="J909" s="171"/>
      <c r="K909" s="99"/>
      <c r="L909" s="99"/>
      <c r="M909" s="99"/>
      <c r="N909" s="99"/>
      <c r="O909" s="99"/>
      <c r="P909" s="99"/>
      <c r="Q909" s="99"/>
      <c r="R909" s="99"/>
      <c r="S909" s="99"/>
      <c r="T909" s="99"/>
      <c r="U909" s="99"/>
      <c r="V909" s="99"/>
      <c r="W909" s="99"/>
      <c r="X909" s="99"/>
      <c r="Y909" s="99"/>
      <c r="Z909" s="99"/>
      <c r="AA909" s="99"/>
      <c r="AB909" s="99"/>
      <c r="AC909" s="99"/>
    </row>
    <row r="910">
      <c r="A910" s="157"/>
      <c r="B910" s="99"/>
      <c r="C910" s="99"/>
      <c r="D910" s="99"/>
      <c r="E910" s="99"/>
      <c r="F910" s="170"/>
      <c r="G910" s="99"/>
      <c r="H910" s="99"/>
      <c r="I910" s="99"/>
      <c r="J910" s="171"/>
      <c r="K910" s="99"/>
      <c r="L910" s="99"/>
      <c r="M910" s="99"/>
      <c r="N910" s="99"/>
      <c r="O910" s="99"/>
      <c r="P910" s="99"/>
      <c r="Q910" s="99"/>
      <c r="R910" s="99"/>
      <c r="S910" s="99"/>
      <c r="T910" s="99"/>
      <c r="U910" s="99"/>
      <c r="V910" s="99"/>
      <c r="W910" s="99"/>
      <c r="X910" s="99"/>
      <c r="Y910" s="99"/>
      <c r="Z910" s="99"/>
      <c r="AA910" s="99"/>
      <c r="AB910" s="99"/>
      <c r="AC910" s="99"/>
    </row>
    <row r="911">
      <c r="A911" s="157"/>
      <c r="B911" s="99"/>
      <c r="C911" s="99"/>
      <c r="D911" s="99"/>
      <c r="E911" s="99"/>
      <c r="F911" s="170"/>
      <c r="G911" s="99"/>
      <c r="H911" s="99"/>
      <c r="I911" s="99"/>
      <c r="J911" s="171"/>
      <c r="K911" s="99"/>
      <c r="L911" s="99"/>
      <c r="M911" s="99"/>
      <c r="N911" s="99"/>
      <c r="O911" s="99"/>
      <c r="P911" s="99"/>
      <c r="Q911" s="99"/>
      <c r="R911" s="99"/>
      <c r="S911" s="99"/>
      <c r="T911" s="99"/>
      <c r="U911" s="99"/>
      <c r="V911" s="99"/>
      <c r="W911" s="99"/>
      <c r="X911" s="99"/>
      <c r="Y911" s="99"/>
      <c r="Z911" s="99"/>
      <c r="AA911" s="99"/>
      <c r="AB911" s="99"/>
      <c r="AC911" s="99"/>
    </row>
    <row r="912">
      <c r="A912" s="157"/>
      <c r="B912" s="99"/>
      <c r="C912" s="99"/>
      <c r="D912" s="99"/>
      <c r="E912" s="99"/>
      <c r="F912" s="170"/>
      <c r="G912" s="99"/>
      <c r="H912" s="99"/>
      <c r="I912" s="99"/>
      <c r="J912" s="171"/>
      <c r="K912" s="99"/>
      <c r="L912" s="99"/>
      <c r="M912" s="99"/>
      <c r="N912" s="99"/>
      <c r="O912" s="99"/>
      <c r="P912" s="99"/>
      <c r="Q912" s="99"/>
      <c r="R912" s="99"/>
      <c r="S912" s="99"/>
      <c r="T912" s="99"/>
      <c r="U912" s="99"/>
      <c r="V912" s="99"/>
      <c r="W912" s="99"/>
      <c r="X912" s="99"/>
      <c r="Y912" s="99"/>
      <c r="Z912" s="99"/>
      <c r="AA912" s="99"/>
      <c r="AB912" s="99"/>
      <c r="AC912" s="99"/>
    </row>
    <row r="913">
      <c r="A913" s="157"/>
      <c r="B913" s="99"/>
      <c r="C913" s="99"/>
      <c r="D913" s="99"/>
      <c r="E913" s="99"/>
      <c r="F913" s="170"/>
      <c r="G913" s="99"/>
      <c r="H913" s="99"/>
      <c r="I913" s="99"/>
      <c r="J913" s="171"/>
      <c r="K913" s="99"/>
      <c r="L913" s="99"/>
      <c r="M913" s="99"/>
      <c r="N913" s="99"/>
      <c r="O913" s="99"/>
      <c r="P913" s="99"/>
      <c r="Q913" s="99"/>
      <c r="R913" s="99"/>
      <c r="S913" s="99"/>
      <c r="T913" s="99"/>
      <c r="U913" s="99"/>
      <c r="V913" s="99"/>
      <c r="W913" s="99"/>
      <c r="X913" s="99"/>
      <c r="Y913" s="99"/>
      <c r="Z913" s="99"/>
      <c r="AA913" s="99"/>
      <c r="AB913" s="99"/>
      <c r="AC913" s="99"/>
    </row>
    <row r="914">
      <c r="A914" s="157"/>
      <c r="B914" s="99"/>
      <c r="C914" s="99"/>
      <c r="D914" s="99"/>
      <c r="E914" s="99"/>
      <c r="F914" s="170"/>
      <c r="G914" s="99"/>
      <c r="H914" s="99"/>
      <c r="I914" s="99"/>
      <c r="J914" s="171"/>
      <c r="K914" s="99"/>
      <c r="L914" s="99"/>
      <c r="M914" s="99"/>
      <c r="N914" s="99"/>
      <c r="O914" s="99"/>
      <c r="P914" s="99"/>
      <c r="Q914" s="99"/>
      <c r="R914" s="99"/>
      <c r="S914" s="99"/>
      <c r="T914" s="99"/>
      <c r="U914" s="99"/>
      <c r="V914" s="99"/>
      <c r="W914" s="99"/>
      <c r="X914" s="99"/>
      <c r="Y914" s="99"/>
      <c r="Z914" s="99"/>
      <c r="AA914" s="99"/>
      <c r="AB914" s="99"/>
      <c r="AC914" s="99"/>
    </row>
    <row r="915">
      <c r="A915" s="157"/>
      <c r="B915" s="99"/>
      <c r="C915" s="99"/>
      <c r="D915" s="99"/>
      <c r="E915" s="99"/>
      <c r="F915" s="170"/>
      <c r="G915" s="99"/>
      <c r="H915" s="99"/>
      <c r="I915" s="99"/>
      <c r="J915" s="171"/>
      <c r="K915" s="99"/>
      <c r="L915" s="99"/>
      <c r="M915" s="99"/>
      <c r="N915" s="99"/>
      <c r="O915" s="99"/>
      <c r="P915" s="99"/>
      <c r="Q915" s="99"/>
      <c r="R915" s="99"/>
      <c r="S915" s="99"/>
      <c r="T915" s="99"/>
      <c r="U915" s="99"/>
      <c r="V915" s="99"/>
      <c r="W915" s="99"/>
      <c r="X915" s="99"/>
      <c r="Y915" s="99"/>
      <c r="Z915" s="99"/>
      <c r="AA915" s="99"/>
      <c r="AB915" s="99"/>
      <c r="AC915" s="99"/>
    </row>
    <row r="916">
      <c r="A916" s="157"/>
      <c r="B916" s="99"/>
      <c r="C916" s="99"/>
      <c r="D916" s="99"/>
      <c r="E916" s="99"/>
      <c r="F916" s="170"/>
      <c r="G916" s="99"/>
      <c r="H916" s="99"/>
      <c r="I916" s="99"/>
      <c r="J916" s="171"/>
      <c r="K916" s="99"/>
      <c r="L916" s="99"/>
      <c r="M916" s="99"/>
      <c r="N916" s="99"/>
      <c r="O916" s="99"/>
      <c r="P916" s="99"/>
      <c r="Q916" s="99"/>
      <c r="R916" s="99"/>
      <c r="S916" s="99"/>
      <c r="T916" s="99"/>
      <c r="U916" s="99"/>
      <c r="V916" s="99"/>
      <c r="W916" s="99"/>
      <c r="X916" s="99"/>
      <c r="Y916" s="99"/>
      <c r="Z916" s="99"/>
      <c r="AA916" s="99"/>
      <c r="AB916" s="99"/>
      <c r="AC916" s="99"/>
    </row>
    <row r="917">
      <c r="A917" s="157"/>
      <c r="B917" s="99"/>
      <c r="C917" s="99"/>
      <c r="D917" s="99"/>
      <c r="E917" s="99"/>
      <c r="F917" s="170"/>
      <c r="G917" s="99"/>
      <c r="H917" s="99"/>
      <c r="I917" s="99"/>
      <c r="J917" s="171"/>
      <c r="K917" s="99"/>
      <c r="L917" s="99"/>
      <c r="M917" s="99"/>
      <c r="N917" s="99"/>
      <c r="O917" s="99"/>
      <c r="P917" s="99"/>
      <c r="Q917" s="99"/>
      <c r="R917" s="99"/>
      <c r="S917" s="99"/>
      <c r="T917" s="99"/>
      <c r="U917" s="99"/>
      <c r="V917" s="99"/>
      <c r="W917" s="99"/>
      <c r="X917" s="99"/>
      <c r="Y917" s="99"/>
      <c r="Z917" s="99"/>
      <c r="AA917" s="99"/>
      <c r="AB917" s="99"/>
      <c r="AC917" s="99"/>
    </row>
    <row r="918">
      <c r="A918" s="157"/>
      <c r="B918" s="99"/>
      <c r="C918" s="99"/>
      <c r="D918" s="99"/>
      <c r="E918" s="99"/>
      <c r="F918" s="170"/>
      <c r="G918" s="99"/>
      <c r="H918" s="99"/>
      <c r="I918" s="99"/>
      <c r="J918" s="171"/>
      <c r="K918" s="99"/>
      <c r="L918" s="99"/>
      <c r="M918" s="99"/>
      <c r="N918" s="99"/>
      <c r="O918" s="99"/>
      <c r="P918" s="99"/>
      <c r="Q918" s="99"/>
      <c r="R918" s="99"/>
      <c r="S918" s="99"/>
      <c r="T918" s="99"/>
      <c r="U918" s="99"/>
      <c r="V918" s="99"/>
      <c r="W918" s="99"/>
      <c r="X918" s="99"/>
      <c r="Y918" s="99"/>
      <c r="Z918" s="99"/>
      <c r="AA918" s="99"/>
      <c r="AB918" s="99"/>
      <c r="AC918" s="99"/>
    </row>
    <row r="919">
      <c r="A919" s="157"/>
      <c r="B919" s="99"/>
      <c r="C919" s="99"/>
      <c r="D919" s="99"/>
      <c r="E919" s="99"/>
      <c r="F919" s="170"/>
      <c r="G919" s="99"/>
      <c r="H919" s="99"/>
      <c r="I919" s="99"/>
      <c r="J919" s="171"/>
      <c r="K919" s="99"/>
      <c r="L919" s="99"/>
      <c r="M919" s="99"/>
      <c r="N919" s="99"/>
      <c r="O919" s="99"/>
      <c r="P919" s="99"/>
      <c r="Q919" s="99"/>
      <c r="R919" s="99"/>
      <c r="S919" s="99"/>
      <c r="T919" s="99"/>
      <c r="U919" s="99"/>
      <c r="V919" s="99"/>
      <c r="W919" s="99"/>
      <c r="X919" s="99"/>
      <c r="Y919" s="99"/>
      <c r="Z919" s="99"/>
      <c r="AA919" s="99"/>
      <c r="AB919" s="99"/>
      <c r="AC919" s="99"/>
    </row>
    <row r="920">
      <c r="A920" s="157"/>
      <c r="B920" s="99"/>
      <c r="C920" s="99"/>
      <c r="D920" s="99"/>
      <c r="E920" s="99"/>
      <c r="F920" s="170"/>
      <c r="G920" s="99"/>
      <c r="H920" s="99"/>
      <c r="I920" s="99"/>
      <c r="J920" s="171"/>
      <c r="K920" s="99"/>
      <c r="L920" s="99"/>
      <c r="M920" s="99"/>
      <c r="N920" s="99"/>
      <c r="O920" s="99"/>
      <c r="P920" s="99"/>
      <c r="Q920" s="99"/>
      <c r="R920" s="99"/>
      <c r="S920" s="99"/>
      <c r="T920" s="99"/>
      <c r="U920" s="99"/>
      <c r="V920" s="99"/>
      <c r="W920" s="99"/>
      <c r="X920" s="99"/>
      <c r="Y920" s="99"/>
      <c r="Z920" s="99"/>
      <c r="AA920" s="99"/>
      <c r="AB920" s="99"/>
      <c r="AC920" s="99"/>
    </row>
    <row r="921">
      <c r="A921" s="157"/>
      <c r="B921" s="99"/>
      <c r="C921" s="99"/>
      <c r="D921" s="99"/>
      <c r="E921" s="99"/>
      <c r="F921" s="170"/>
      <c r="G921" s="99"/>
      <c r="H921" s="99"/>
      <c r="I921" s="99"/>
      <c r="J921" s="171"/>
      <c r="K921" s="99"/>
      <c r="L921" s="99"/>
      <c r="M921" s="99"/>
      <c r="N921" s="99"/>
      <c r="O921" s="99"/>
      <c r="P921" s="99"/>
      <c r="Q921" s="99"/>
      <c r="R921" s="99"/>
      <c r="S921" s="99"/>
      <c r="T921" s="99"/>
      <c r="U921" s="99"/>
      <c r="V921" s="99"/>
      <c r="W921" s="99"/>
      <c r="X921" s="99"/>
      <c r="Y921" s="99"/>
      <c r="Z921" s="99"/>
      <c r="AA921" s="99"/>
      <c r="AB921" s="99"/>
      <c r="AC921" s="99"/>
    </row>
    <row r="922">
      <c r="A922" s="157"/>
      <c r="B922" s="99"/>
      <c r="C922" s="99"/>
      <c r="D922" s="99"/>
      <c r="E922" s="99"/>
      <c r="F922" s="170"/>
      <c r="G922" s="99"/>
      <c r="H922" s="99"/>
      <c r="I922" s="99"/>
      <c r="J922" s="171"/>
      <c r="K922" s="99"/>
      <c r="L922" s="99"/>
      <c r="M922" s="99"/>
      <c r="N922" s="99"/>
      <c r="O922" s="99"/>
      <c r="P922" s="99"/>
      <c r="Q922" s="99"/>
      <c r="R922" s="99"/>
      <c r="S922" s="99"/>
      <c r="T922" s="99"/>
      <c r="U922" s="99"/>
      <c r="V922" s="99"/>
      <c r="W922" s="99"/>
      <c r="X922" s="99"/>
      <c r="Y922" s="99"/>
      <c r="Z922" s="99"/>
      <c r="AA922" s="99"/>
      <c r="AB922" s="99"/>
      <c r="AC922" s="99"/>
    </row>
    <row r="923">
      <c r="A923" s="157"/>
      <c r="B923" s="99"/>
      <c r="C923" s="99"/>
      <c r="D923" s="99"/>
      <c r="E923" s="99"/>
      <c r="F923" s="170"/>
      <c r="G923" s="99"/>
      <c r="H923" s="99"/>
      <c r="I923" s="99"/>
      <c r="J923" s="171"/>
      <c r="K923" s="99"/>
      <c r="L923" s="99"/>
      <c r="M923" s="99"/>
      <c r="N923" s="99"/>
      <c r="O923" s="99"/>
      <c r="P923" s="99"/>
      <c r="Q923" s="99"/>
      <c r="R923" s="99"/>
      <c r="S923" s="99"/>
      <c r="T923" s="99"/>
      <c r="U923" s="99"/>
      <c r="V923" s="99"/>
      <c r="W923" s="99"/>
      <c r="X923" s="99"/>
      <c r="Y923" s="99"/>
      <c r="Z923" s="99"/>
      <c r="AA923" s="99"/>
      <c r="AB923" s="99"/>
      <c r="AC923" s="99"/>
    </row>
    <row r="924">
      <c r="A924" s="157"/>
      <c r="B924" s="99"/>
      <c r="C924" s="99"/>
      <c r="D924" s="99"/>
      <c r="E924" s="99"/>
      <c r="F924" s="170"/>
      <c r="G924" s="99"/>
      <c r="H924" s="99"/>
      <c r="I924" s="99"/>
      <c r="J924" s="171"/>
      <c r="K924" s="99"/>
      <c r="L924" s="99"/>
      <c r="M924" s="99"/>
      <c r="N924" s="99"/>
      <c r="O924" s="99"/>
      <c r="P924" s="99"/>
      <c r="Q924" s="99"/>
      <c r="R924" s="99"/>
      <c r="S924" s="99"/>
      <c r="T924" s="99"/>
      <c r="U924" s="99"/>
      <c r="V924" s="99"/>
      <c r="W924" s="99"/>
      <c r="X924" s="99"/>
      <c r="Y924" s="99"/>
      <c r="Z924" s="99"/>
      <c r="AA924" s="99"/>
      <c r="AB924" s="99"/>
      <c r="AC924" s="99"/>
    </row>
    <row r="925">
      <c r="A925" s="157"/>
      <c r="B925" s="99"/>
      <c r="C925" s="99"/>
      <c r="D925" s="99"/>
      <c r="E925" s="99"/>
      <c r="F925" s="170"/>
      <c r="G925" s="99"/>
      <c r="H925" s="99"/>
      <c r="I925" s="99"/>
      <c r="J925" s="171"/>
      <c r="K925" s="99"/>
      <c r="L925" s="99"/>
      <c r="M925" s="99"/>
      <c r="N925" s="99"/>
      <c r="O925" s="99"/>
      <c r="P925" s="99"/>
      <c r="Q925" s="99"/>
      <c r="R925" s="99"/>
      <c r="S925" s="99"/>
      <c r="T925" s="99"/>
      <c r="U925" s="99"/>
      <c r="V925" s="99"/>
      <c r="W925" s="99"/>
      <c r="X925" s="99"/>
      <c r="Y925" s="99"/>
      <c r="Z925" s="99"/>
      <c r="AA925" s="99"/>
      <c r="AB925" s="99"/>
      <c r="AC925" s="99"/>
    </row>
    <row r="926">
      <c r="A926" s="157"/>
      <c r="B926" s="99"/>
      <c r="C926" s="99"/>
      <c r="D926" s="99"/>
      <c r="E926" s="99"/>
      <c r="F926" s="170"/>
      <c r="G926" s="99"/>
      <c r="H926" s="99"/>
      <c r="I926" s="99"/>
      <c r="J926" s="171"/>
      <c r="K926" s="99"/>
      <c r="L926" s="99"/>
      <c r="M926" s="99"/>
      <c r="N926" s="99"/>
      <c r="O926" s="99"/>
      <c r="P926" s="99"/>
      <c r="Q926" s="99"/>
      <c r="R926" s="99"/>
      <c r="S926" s="99"/>
      <c r="T926" s="99"/>
      <c r="U926" s="99"/>
      <c r="V926" s="99"/>
      <c r="W926" s="99"/>
      <c r="X926" s="99"/>
      <c r="Y926" s="99"/>
      <c r="Z926" s="99"/>
      <c r="AA926" s="99"/>
      <c r="AB926" s="99"/>
      <c r="AC926" s="99"/>
    </row>
    <row r="927">
      <c r="A927" s="157"/>
      <c r="B927" s="99"/>
      <c r="C927" s="99"/>
      <c r="D927" s="99"/>
      <c r="E927" s="99"/>
      <c r="F927" s="170"/>
      <c r="G927" s="99"/>
      <c r="H927" s="99"/>
      <c r="I927" s="99"/>
      <c r="J927" s="171"/>
      <c r="K927" s="99"/>
      <c r="L927" s="99"/>
      <c r="M927" s="99"/>
      <c r="N927" s="99"/>
      <c r="O927" s="99"/>
      <c r="P927" s="99"/>
      <c r="Q927" s="99"/>
      <c r="R927" s="99"/>
      <c r="S927" s="99"/>
      <c r="T927" s="99"/>
      <c r="U927" s="99"/>
      <c r="V927" s="99"/>
      <c r="W927" s="99"/>
      <c r="X927" s="99"/>
      <c r="Y927" s="99"/>
      <c r="Z927" s="99"/>
      <c r="AA927" s="99"/>
      <c r="AB927" s="99"/>
      <c r="AC927" s="99"/>
    </row>
    <row r="928">
      <c r="A928" s="157"/>
      <c r="B928" s="99"/>
      <c r="C928" s="99"/>
      <c r="D928" s="99"/>
      <c r="E928" s="99"/>
      <c r="F928" s="170"/>
      <c r="G928" s="99"/>
      <c r="H928" s="99"/>
      <c r="I928" s="99"/>
      <c r="J928" s="171"/>
      <c r="K928" s="99"/>
      <c r="L928" s="99"/>
      <c r="M928" s="99"/>
      <c r="N928" s="99"/>
      <c r="O928" s="99"/>
      <c r="P928" s="99"/>
      <c r="Q928" s="99"/>
      <c r="R928" s="99"/>
      <c r="S928" s="99"/>
      <c r="T928" s="99"/>
      <c r="U928" s="99"/>
      <c r="V928" s="99"/>
      <c r="W928" s="99"/>
      <c r="X928" s="99"/>
      <c r="Y928" s="99"/>
      <c r="Z928" s="99"/>
      <c r="AA928" s="99"/>
      <c r="AB928" s="99"/>
      <c r="AC928" s="99"/>
    </row>
    <row r="929">
      <c r="A929" s="157"/>
      <c r="B929" s="99"/>
      <c r="C929" s="99"/>
      <c r="D929" s="99"/>
      <c r="E929" s="99"/>
      <c r="F929" s="170"/>
      <c r="G929" s="99"/>
      <c r="H929" s="99"/>
      <c r="I929" s="99"/>
      <c r="J929" s="171"/>
      <c r="K929" s="99"/>
      <c r="L929" s="99"/>
      <c r="M929" s="99"/>
      <c r="N929" s="99"/>
      <c r="O929" s="99"/>
      <c r="P929" s="99"/>
      <c r="Q929" s="99"/>
      <c r="R929" s="99"/>
      <c r="S929" s="99"/>
      <c r="T929" s="99"/>
      <c r="U929" s="99"/>
      <c r="V929" s="99"/>
      <c r="W929" s="99"/>
      <c r="X929" s="99"/>
      <c r="Y929" s="99"/>
      <c r="Z929" s="99"/>
      <c r="AA929" s="99"/>
      <c r="AB929" s="99"/>
      <c r="AC929" s="99"/>
    </row>
    <row r="930">
      <c r="A930" s="157"/>
      <c r="B930" s="99"/>
      <c r="C930" s="99"/>
      <c r="D930" s="99"/>
      <c r="E930" s="99"/>
      <c r="F930" s="170"/>
      <c r="G930" s="99"/>
      <c r="H930" s="99"/>
      <c r="I930" s="99"/>
      <c r="J930" s="171"/>
      <c r="K930" s="99"/>
      <c r="L930" s="99"/>
      <c r="M930" s="99"/>
      <c r="N930" s="99"/>
      <c r="O930" s="99"/>
      <c r="P930" s="99"/>
      <c r="Q930" s="99"/>
      <c r="R930" s="99"/>
      <c r="S930" s="99"/>
      <c r="T930" s="99"/>
      <c r="U930" s="99"/>
      <c r="V930" s="99"/>
      <c r="W930" s="99"/>
      <c r="X930" s="99"/>
      <c r="Y930" s="99"/>
      <c r="Z930" s="99"/>
      <c r="AA930" s="99"/>
      <c r="AB930" s="99"/>
      <c r="AC930" s="99"/>
    </row>
    <row r="931">
      <c r="A931" s="157"/>
      <c r="B931" s="99"/>
      <c r="C931" s="99"/>
      <c r="D931" s="99"/>
      <c r="E931" s="99"/>
      <c r="F931" s="170"/>
      <c r="G931" s="99"/>
      <c r="H931" s="99"/>
      <c r="I931" s="99"/>
      <c r="J931" s="171"/>
      <c r="K931" s="99"/>
      <c r="L931" s="99"/>
      <c r="M931" s="99"/>
      <c r="N931" s="99"/>
      <c r="O931" s="99"/>
      <c r="P931" s="99"/>
      <c r="Q931" s="99"/>
      <c r="R931" s="99"/>
      <c r="S931" s="99"/>
      <c r="T931" s="99"/>
      <c r="U931" s="99"/>
      <c r="V931" s="99"/>
      <c r="W931" s="99"/>
      <c r="X931" s="99"/>
      <c r="Y931" s="99"/>
      <c r="Z931" s="99"/>
      <c r="AA931" s="99"/>
      <c r="AB931" s="99"/>
      <c r="AC931" s="99"/>
    </row>
    <row r="932">
      <c r="A932" s="157"/>
      <c r="B932" s="99"/>
      <c r="C932" s="99"/>
      <c r="D932" s="99"/>
      <c r="E932" s="99"/>
      <c r="F932" s="170"/>
      <c r="G932" s="99"/>
      <c r="H932" s="99"/>
      <c r="I932" s="99"/>
      <c r="J932" s="171"/>
      <c r="K932" s="99"/>
      <c r="L932" s="99"/>
      <c r="M932" s="99"/>
      <c r="N932" s="99"/>
      <c r="O932" s="99"/>
      <c r="P932" s="99"/>
      <c r="Q932" s="99"/>
      <c r="R932" s="99"/>
      <c r="S932" s="99"/>
      <c r="T932" s="99"/>
      <c r="U932" s="99"/>
      <c r="V932" s="99"/>
      <c r="W932" s="99"/>
      <c r="X932" s="99"/>
      <c r="Y932" s="99"/>
      <c r="Z932" s="99"/>
      <c r="AA932" s="99"/>
      <c r="AB932" s="99"/>
      <c r="AC932" s="99"/>
    </row>
    <row r="933">
      <c r="A933" s="157"/>
      <c r="B933" s="99"/>
      <c r="C933" s="99"/>
      <c r="D933" s="99"/>
      <c r="E933" s="99"/>
      <c r="F933" s="170"/>
      <c r="G933" s="99"/>
      <c r="H933" s="99"/>
      <c r="I933" s="99"/>
      <c r="J933" s="171"/>
      <c r="K933" s="99"/>
      <c r="L933" s="99"/>
      <c r="M933" s="99"/>
      <c r="N933" s="99"/>
      <c r="O933" s="99"/>
      <c r="P933" s="99"/>
      <c r="Q933" s="99"/>
      <c r="R933" s="99"/>
      <c r="S933" s="99"/>
      <c r="T933" s="99"/>
      <c r="U933" s="99"/>
      <c r="V933" s="99"/>
      <c r="W933" s="99"/>
      <c r="X933" s="99"/>
      <c r="Y933" s="99"/>
      <c r="Z933" s="99"/>
      <c r="AA933" s="99"/>
      <c r="AB933" s="99"/>
      <c r="AC933" s="99"/>
    </row>
    <row r="934">
      <c r="A934" s="157"/>
      <c r="B934" s="99"/>
      <c r="C934" s="99"/>
      <c r="D934" s="99"/>
      <c r="E934" s="99"/>
      <c r="F934" s="170"/>
      <c r="G934" s="99"/>
      <c r="H934" s="99"/>
      <c r="I934" s="99"/>
      <c r="J934" s="171"/>
      <c r="K934" s="99"/>
      <c r="L934" s="99"/>
      <c r="M934" s="99"/>
      <c r="N934" s="99"/>
      <c r="O934" s="99"/>
      <c r="P934" s="99"/>
      <c r="Q934" s="99"/>
      <c r="R934" s="99"/>
      <c r="S934" s="99"/>
      <c r="T934" s="99"/>
      <c r="U934" s="99"/>
      <c r="V934" s="99"/>
      <c r="W934" s="99"/>
      <c r="X934" s="99"/>
      <c r="Y934" s="99"/>
      <c r="Z934" s="99"/>
      <c r="AA934" s="99"/>
      <c r="AB934" s="99"/>
      <c r="AC934" s="99"/>
    </row>
    <row r="935">
      <c r="A935" s="157"/>
      <c r="B935" s="99"/>
      <c r="C935" s="99"/>
      <c r="D935" s="99"/>
      <c r="E935" s="99"/>
      <c r="F935" s="170"/>
      <c r="G935" s="99"/>
      <c r="H935" s="99"/>
      <c r="I935" s="99"/>
      <c r="J935" s="171"/>
      <c r="K935" s="99"/>
      <c r="L935" s="99"/>
      <c r="M935" s="99"/>
      <c r="N935" s="99"/>
      <c r="O935" s="99"/>
      <c r="P935" s="99"/>
      <c r="Q935" s="99"/>
      <c r="R935" s="99"/>
      <c r="S935" s="99"/>
      <c r="T935" s="99"/>
      <c r="U935" s="99"/>
      <c r="V935" s="99"/>
      <c r="W935" s="99"/>
      <c r="X935" s="99"/>
      <c r="Y935" s="99"/>
      <c r="Z935" s="99"/>
      <c r="AA935" s="99"/>
      <c r="AB935" s="99"/>
      <c r="AC935" s="99"/>
    </row>
    <row r="936">
      <c r="A936" s="157"/>
      <c r="B936" s="99"/>
      <c r="C936" s="99"/>
      <c r="D936" s="99"/>
      <c r="E936" s="99"/>
      <c r="F936" s="170"/>
      <c r="G936" s="99"/>
      <c r="H936" s="99"/>
      <c r="I936" s="99"/>
      <c r="J936" s="171"/>
      <c r="K936" s="99"/>
      <c r="L936" s="99"/>
      <c r="M936" s="99"/>
      <c r="N936" s="99"/>
      <c r="O936" s="99"/>
      <c r="P936" s="99"/>
      <c r="Q936" s="99"/>
      <c r="R936" s="99"/>
      <c r="S936" s="99"/>
      <c r="T936" s="99"/>
      <c r="U936" s="99"/>
      <c r="V936" s="99"/>
      <c r="W936" s="99"/>
      <c r="X936" s="99"/>
      <c r="Y936" s="99"/>
      <c r="Z936" s="99"/>
      <c r="AA936" s="99"/>
      <c r="AB936" s="99"/>
      <c r="AC936" s="99"/>
    </row>
    <row r="937">
      <c r="A937" s="157"/>
      <c r="B937" s="99"/>
      <c r="C937" s="99"/>
      <c r="D937" s="99"/>
      <c r="E937" s="99"/>
      <c r="F937" s="170"/>
      <c r="G937" s="99"/>
      <c r="H937" s="99"/>
      <c r="I937" s="99"/>
      <c r="J937" s="171"/>
      <c r="K937" s="99"/>
      <c r="L937" s="99"/>
      <c r="M937" s="99"/>
      <c r="N937" s="99"/>
      <c r="O937" s="99"/>
      <c r="P937" s="99"/>
      <c r="Q937" s="99"/>
      <c r="R937" s="99"/>
      <c r="S937" s="99"/>
      <c r="T937" s="99"/>
      <c r="U937" s="99"/>
      <c r="V937" s="99"/>
      <c r="W937" s="99"/>
      <c r="X937" s="99"/>
      <c r="Y937" s="99"/>
      <c r="Z937" s="99"/>
      <c r="AA937" s="99"/>
      <c r="AB937" s="99"/>
      <c r="AC937" s="99"/>
    </row>
    <row r="938">
      <c r="A938" s="157"/>
      <c r="B938" s="99"/>
      <c r="C938" s="99"/>
      <c r="D938" s="99"/>
      <c r="E938" s="99"/>
      <c r="F938" s="170"/>
      <c r="G938" s="99"/>
      <c r="H938" s="99"/>
      <c r="I938" s="99"/>
      <c r="J938" s="171"/>
      <c r="K938" s="99"/>
      <c r="L938" s="99"/>
      <c r="M938" s="99"/>
      <c r="N938" s="99"/>
      <c r="O938" s="99"/>
      <c r="P938" s="99"/>
      <c r="Q938" s="99"/>
      <c r="R938" s="99"/>
      <c r="S938" s="99"/>
      <c r="T938" s="99"/>
      <c r="U938" s="99"/>
      <c r="V938" s="99"/>
      <c r="W938" s="99"/>
      <c r="X938" s="99"/>
      <c r="Y938" s="99"/>
      <c r="Z938" s="99"/>
      <c r="AA938" s="99"/>
      <c r="AB938" s="99"/>
      <c r="AC938" s="99"/>
    </row>
    <row r="939">
      <c r="A939" s="157"/>
      <c r="B939" s="99"/>
      <c r="C939" s="99"/>
      <c r="D939" s="99"/>
      <c r="E939" s="99"/>
      <c r="F939" s="170"/>
      <c r="G939" s="99"/>
      <c r="H939" s="99"/>
      <c r="I939" s="99"/>
      <c r="J939" s="171"/>
      <c r="K939" s="99"/>
      <c r="L939" s="99"/>
      <c r="M939" s="99"/>
      <c r="N939" s="99"/>
      <c r="O939" s="99"/>
      <c r="P939" s="99"/>
      <c r="Q939" s="99"/>
      <c r="R939" s="99"/>
      <c r="S939" s="99"/>
      <c r="T939" s="99"/>
      <c r="U939" s="99"/>
      <c r="V939" s="99"/>
      <c r="W939" s="99"/>
      <c r="X939" s="99"/>
      <c r="Y939" s="99"/>
      <c r="Z939" s="99"/>
      <c r="AA939" s="99"/>
      <c r="AB939" s="99"/>
      <c r="AC939" s="99"/>
    </row>
    <row r="940">
      <c r="A940" s="157"/>
      <c r="B940" s="99"/>
      <c r="C940" s="99"/>
      <c r="D940" s="99"/>
      <c r="E940" s="99"/>
      <c r="F940" s="170"/>
      <c r="G940" s="99"/>
      <c r="H940" s="99"/>
      <c r="I940" s="99"/>
      <c r="J940" s="171"/>
      <c r="K940" s="99"/>
      <c r="L940" s="99"/>
      <c r="M940" s="99"/>
      <c r="N940" s="99"/>
      <c r="O940" s="99"/>
      <c r="P940" s="99"/>
      <c r="Q940" s="99"/>
      <c r="R940" s="99"/>
      <c r="S940" s="99"/>
      <c r="T940" s="99"/>
      <c r="U940" s="99"/>
      <c r="V940" s="99"/>
      <c r="W940" s="99"/>
      <c r="X940" s="99"/>
      <c r="Y940" s="99"/>
      <c r="Z940" s="99"/>
      <c r="AA940" s="99"/>
      <c r="AB940" s="99"/>
      <c r="AC940" s="99"/>
    </row>
    <row r="941">
      <c r="A941" s="157"/>
      <c r="B941" s="99"/>
      <c r="C941" s="99"/>
      <c r="D941" s="99"/>
      <c r="E941" s="99"/>
      <c r="F941" s="170"/>
      <c r="G941" s="99"/>
      <c r="H941" s="99"/>
      <c r="I941" s="99"/>
      <c r="J941" s="171"/>
      <c r="K941" s="99"/>
      <c r="L941" s="99"/>
      <c r="M941" s="99"/>
      <c r="N941" s="99"/>
      <c r="O941" s="99"/>
      <c r="P941" s="99"/>
      <c r="Q941" s="99"/>
      <c r="R941" s="99"/>
      <c r="S941" s="99"/>
      <c r="T941" s="99"/>
      <c r="U941" s="99"/>
      <c r="V941" s="99"/>
      <c r="W941" s="99"/>
      <c r="X941" s="99"/>
      <c r="Y941" s="99"/>
      <c r="Z941" s="99"/>
      <c r="AA941" s="99"/>
      <c r="AB941" s="99"/>
      <c r="AC941" s="99"/>
    </row>
    <row r="942">
      <c r="A942" s="157"/>
      <c r="B942" s="99"/>
      <c r="C942" s="99"/>
      <c r="D942" s="99"/>
      <c r="E942" s="99"/>
      <c r="F942" s="170"/>
      <c r="G942" s="99"/>
      <c r="H942" s="99"/>
      <c r="I942" s="99"/>
      <c r="J942" s="171"/>
      <c r="K942" s="99"/>
      <c r="L942" s="99"/>
      <c r="M942" s="99"/>
      <c r="N942" s="99"/>
      <c r="O942" s="99"/>
      <c r="P942" s="99"/>
      <c r="Q942" s="99"/>
      <c r="R942" s="99"/>
      <c r="S942" s="99"/>
      <c r="T942" s="99"/>
      <c r="U942" s="99"/>
      <c r="V942" s="99"/>
      <c r="W942" s="99"/>
      <c r="X942" s="99"/>
      <c r="Y942" s="99"/>
      <c r="Z942" s="99"/>
      <c r="AA942" s="99"/>
      <c r="AB942" s="99"/>
      <c r="AC942" s="99"/>
    </row>
    <row r="943">
      <c r="A943" s="157"/>
      <c r="B943" s="99"/>
      <c r="C943" s="99"/>
      <c r="D943" s="99"/>
      <c r="E943" s="99"/>
      <c r="F943" s="170"/>
      <c r="G943" s="99"/>
      <c r="H943" s="99"/>
      <c r="I943" s="99"/>
      <c r="J943" s="171"/>
      <c r="K943" s="99"/>
      <c r="L943" s="99"/>
      <c r="M943" s="99"/>
      <c r="N943" s="99"/>
      <c r="O943" s="99"/>
      <c r="P943" s="99"/>
      <c r="Q943" s="99"/>
      <c r="R943" s="99"/>
      <c r="S943" s="99"/>
      <c r="T943" s="99"/>
      <c r="U943" s="99"/>
      <c r="V943" s="99"/>
      <c r="W943" s="99"/>
      <c r="X943" s="99"/>
      <c r="Y943" s="99"/>
      <c r="Z943" s="99"/>
      <c r="AA943" s="99"/>
      <c r="AB943" s="99"/>
      <c r="AC943" s="99"/>
    </row>
    <row r="944">
      <c r="A944" s="157"/>
      <c r="B944" s="99"/>
      <c r="C944" s="99"/>
      <c r="D944" s="99"/>
      <c r="E944" s="99"/>
      <c r="F944" s="170"/>
      <c r="G944" s="99"/>
      <c r="H944" s="99"/>
      <c r="I944" s="99"/>
      <c r="J944" s="171"/>
      <c r="K944" s="99"/>
      <c r="L944" s="99"/>
      <c r="M944" s="99"/>
      <c r="N944" s="99"/>
      <c r="O944" s="99"/>
      <c r="P944" s="99"/>
      <c r="Q944" s="99"/>
      <c r="R944" s="99"/>
      <c r="S944" s="99"/>
      <c r="T944" s="99"/>
      <c r="U944" s="99"/>
      <c r="V944" s="99"/>
      <c r="W944" s="99"/>
      <c r="X944" s="99"/>
      <c r="Y944" s="99"/>
      <c r="Z944" s="99"/>
      <c r="AA944" s="99"/>
      <c r="AB944" s="99"/>
      <c r="AC944" s="99"/>
    </row>
    <row r="945">
      <c r="A945" s="157"/>
      <c r="B945" s="99"/>
      <c r="C945" s="99"/>
      <c r="D945" s="99"/>
      <c r="E945" s="99"/>
      <c r="F945" s="170"/>
      <c r="G945" s="99"/>
      <c r="H945" s="99"/>
      <c r="I945" s="99"/>
      <c r="J945" s="171"/>
      <c r="K945" s="99"/>
      <c r="L945" s="99"/>
      <c r="M945" s="99"/>
      <c r="N945" s="99"/>
      <c r="O945" s="99"/>
      <c r="P945" s="99"/>
      <c r="Q945" s="99"/>
      <c r="R945" s="99"/>
      <c r="S945" s="99"/>
      <c r="T945" s="99"/>
      <c r="U945" s="99"/>
      <c r="V945" s="99"/>
      <c r="W945" s="99"/>
      <c r="X945" s="99"/>
      <c r="Y945" s="99"/>
      <c r="Z945" s="99"/>
      <c r="AA945" s="99"/>
      <c r="AB945" s="99"/>
      <c r="AC945" s="99"/>
    </row>
    <row r="946">
      <c r="A946" s="157"/>
      <c r="B946" s="99"/>
      <c r="C946" s="99"/>
      <c r="D946" s="99"/>
      <c r="E946" s="99"/>
      <c r="F946" s="170"/>
      <c r="G946" s="99"/>
      <c r="H946" s="99"/>
      <c r="I946" s="99"/>
      <c r="J946" s="171"/>
      <c r="K946" s="99"/>
      <c r="L946" s="99"/>
      <c r="M946" s="99"/>
      <c r="N946" s="99"/>
      <c r="O946" s="99"/>
      <c r="P946" s="99"/>
      <c r="Q946" s="99"/>
      <c r="R946" s="99"/>
      <c r="S946" s="99"/>
      <c r="T946" s="99"/>
      <c r="U946" s="99"/>
      <c r="V946" s="99"/>
      <c r="W946" s="99"/>
      <c r="X946" s="99"/>
      <c r="Y946" s="99"/>
      <c r="Z946" s="99"/>
      <c r="AA946" s="99"/>
      <c r="AB946" s="99"/>
      <c r="AC946" s="99"/>
    </row>
    <row r="947">
      <c r="A947" s="157"/>
      <c r="B947" s="99"/>
      <c r="C947" s="99"/>
      <c r="D947" s="99"/>
      <c r="E947" s="99"/>
      <c r="F947" s="170"/>
      <c r="G947" s="99"/>
      <c r="H947" s="99"/>
      <c r="I947" s="99"/>
      <c r="J947" s="171"/>
      <c r="K947" s="99"/>
      <c r="L947" s="99"/>
      <c r="M947" s="99"/>
      <c r="N947" s="99"/>
      <c r="O947" s="99"/>
      <c r="P947" s="99"/>
      <c r="Q947" s="99"/>
      <c r="R947" s="99"/>
      <c r="S947" s="99"/>
      <c r="T947" s="99"/>
      <c r="U947" s="99"/>
      <c r="V947" s="99"/>
      <c r="W947" s="99"/>
      <c r="X947" s="99"/>
      <c r="Y947" s="99"/>
      <c r="Z947" s="99"/>
      <c r="AA947" s="99"/>
      <c r="AB947" s="99"/>
      <c r="AC947" s="99"/>
    </row>
    <row r="948">
      <c r="A948" s="157"/>
      <c r="B948" s="99"/>
      <c r="C948" s="99"/>
      <c r="D948" s="99"/>
      <c r="E948" s="99"/>
      <c r="F948" s="170"/>
      <c r="G948" s="99"/>
      <c r="H948" s="99"/>
      <c r="I948" s="99"/>
      <c r="J948" s="171"/>
      <c r="K948" s="99"/>
      <c r="L948" s="99"/>
      <c r="M948" s="99"/>
      <c r="N948" s="99"/>
      <c r="O948" s="99"/>
      <c r="P948" s="99"/>
      <c r="Q948" s="99"/>
      <c r="R948" s="99"/>
      <c r="S948" s="99"/>
      <c r="T948" s="99"/>
      <c r="U948" s="99"/>
      <c r="V948" s="99"/>
      <c r="W948" s="99"/>
      <c r="X948" s="99"/>
      <c r="Y948" s="99"/>
      <c r="Z948" s="99"/>
      <c r="AA948" s="99"/>
      <c r="AB948" s="99"/>
      <c r="AC948" s="99"/>
    </row>
    <row r="949">
      <c r="A949" s="157"/>
      <c r="B949" s="99"/>
      <c r="C949" s="99"/>
      <c r="D949" s="99"/>
      <c r="E949" s="99"/>
      <c r="F949" s="170"/>
      <c r="G949" s="99"/>
      <c r="H949" s="99"/>
      <c r="I949" s="99"/>
      <c r="J949" s="171"/>
      <c r="K949" s="99"/>
      <c r="L949" s="99"/>
      <c r="M949" s="99"/>
      <c r="N949" s="99"/>
      <c r="O949" s="99"/>
      <c r="P949" s="99"/>
      <c r="Q949" s="99"/>
      <c r="R949" s="99"/>
      <c r="S949" s="99"/>
      <c r="T949" s="99"/>
      <c r="U949" s="99"/>
      <c r="V949" s="99"/>
      <c r="W949" s="99"/>
      <c r="X949" s="99"/>
      <c r="Y949" s="99"/>
      <c r="Z949" s="99"/>
      <c r="AA949" s="99"/>
      <c r="AB949" s="99"/>
      <c r="AC949" s="99"/>
    </row>
    <row r="950">
      <c r="A950" s="157"/>
      <c r="B950" s="99"/>
      <c r="C950" s="99"/>
      <c r="D950" s="99"/>
      <c r="E950" s="99"/>
      <c r="F950" s="170"/>
      <c r="G950" s="99"/>
      <c r="H950" s="99"/>
      <c r="I950" s="99"/>
      <c r="J950" s="171"/>
      <c r="K950" s="99"/>
      <c r="L950" s="99"/>
      <c r="M950" s="99"/>
      <c r="N950" s="99"/>
      <c r="O950" s="99"/>
      <c r="P950" s="99"/>
      <c r="Q950" s="99"/>
      <c r="R950" s="99"/>
      <c r="S950" s="99"/>
      <c r="T950" s="99"/>
      <c r="U950" s="99"/>
      <c r="V950" s="99"/>
      <c r="W950" s="99"/>
      <c r="X950" s="99"/>
      <c r="Y950" s="99"/>
      <c r="Z950" s="99"/>
      <c r="AA950" s="99"/>
      <c r="AB950" s="99"/>
      <c r="AC950" s="99"/>
    </row>
    <row r="951">
      <c r="A951" s="157"/>
      <c r="B951" s="99"/>
      <c r="C951" s="99"/>
      <c r="D951" s="99"/>
      <c r="E951" s="99"/>
      <c r="F951" s="170"/>
      <c r="G951" s="99"/>
      <c r="H951" s="99"/>
      <c r="I951" s="99"/>
      <c r="J951" s="171"/>
      <c r="K951" s="99"/>
      <c r="L951" s="99"/>
      <c r="M951" s="99"/>
      <c r="N951" s="99"/>
      <c r="O951" s="99"/>
      <c r="P951" s="99"/>
      <c r="Q951" s="99"/>
      <c r="R951" s="99"/>
      <c r="S951" s="99"/>
      <c r="T951" s="99"/>
      <c r="U951" s="99"/>
      <c r="V951" s="99"/>
      <c r="W951" s="99"/>
      <c r="X951" s="99"/>
      <c r="Y951" s="99"/>
      <c r="Z951" s="99"/>
      <c r="AA951" s="99"/>
      <c r="AB951" s="99"/>
      <c r="AC951" s="99"/>
    </row>
    <row r="952">
      <c r="A952" s="157"/>
      <c r="B952" s="99"/>
      <c r="C952" s="99"/>
      <c r="D952" s="99"/>
      <c r="E952" s="99"/>
      <c r="F952" s="170"/>
      <c r="G952" s="99"/>
      <c r="H952" s="99"/>
      <c r="I952" s="99"/>
      <c r="J952" s="171"/>
      <c r="K952" s="99"/>
      <c r="L952" s="99"/>
      <c r="M952" s="99"/>
      <c r="N952" s="99"/>
      <c r="O952" s="99"/>
      <c r="P952" s="99"/>
      <c r="Q952" s="99"/>
      <c r="R952" s="99"/>
      <c r="S952" s="99"/>
      <c r="T952" s="99"/>
      <c r="U952" s="99"/>
      <c r="V952" s="99"/>
      <c r="W952" s="99"/>
      <c r="X952" s="99"/>
      <c r="Y952" s="99"/>
      <c r="Z952" s="99"/>
      <c r="AA952" s="99"/>
      <c r="AB952" s="99"/>
      <c r="AC952" s="99"/>
    </row>
    <row r="953">
      <c r="A953" s="157"/>
      <c r="B953" s="99"/>
      <c r="C953" s="99"/>
      <c r="D953" s="99"/>
      <c r="E953" s="99"/>
      <c r="F953" s="170"/>
      <c r="G953" s="99"/>
      <c r="H953" s="99"/>
      <c r="I953" s="99"/>
      <c r="J953" s="171"/>
      <c r="K953" s="99"/>
      <c r="L953" s="99"/>
      <c r="M953" s="99"/>
      <c r="N953" s="99"/>
      <c r="O953" s="99"/>
      <c r="P953" s="99"/>
      <c r="Q953" s="99"/>
      <c r="R953" s="99"/>
      <c r="S953" s="99"/>
      <c r="T953" s="99"/>
      <c r="U953" s="99"/>
      <c r="V953" s="99"/>
      <c r="W953" s="99"/>
      <c r="X953" s="99"/>
      <c r="Y953" s="99"/>
      <c r="Z953" s="99"/>
      <c r="AA953" s="99"/>
      <c r="AB953" s="99"/>
      <c r="AC953" s="99"/>
    </row>
    <row r="954">
      <c r="A954" s="157"/>
      <c r="B954" s="99"/>
      <c r="C954" s="99"/>
      <c r="D954" s="99"/>
      <c r="E954" s="99"/>
      <c r="F954" s="170"/>
      <c r="G954" s="99"/>
      <c r="H954" s="99"/>
      <c r="I954" s="99"/>
      <c r="J954" s="171"/>
      <c r="K954" s="99"/>
      <c r="L954" s="99"/>
      <c r="M954" s="99"/>
      <c r="N954" s="99"/>
      <c r="O954" s="99"/>
      <c r="P954" s="99"/>
      <c r="Q954" s="99"/>
      <c r="R954" s="99"/>
      <c r="S954" s="99"/>
      <c r="T954" s="99"/>
      <c r="U954" s="99"/>
      <c r="V954" s="99"/>
      <c r="W954" s="99"/>
      <c r="X954" s="99"/>
      <c r="Y954" s="99"/>
      <c r="Z954" s="99"/>
      <c r="AA954" s="99"/>
      <c r="AB954" s="99"/>
      <c r="AC954" s="99"/>
    </row>
    <row r="955">
      <c r="A955" s="157"/>
      <c r="B955" s="99"/>
      <c r="C955" s="99"/>
      <c r="D955" s="99"/>
      <c r="E955" s="99"/>
      <c r="F955" s="170"/>
      <c r="G955" s="99"/>
      <c r="H955" s="99"/>
      <c r="I955" s="99"/>
      <c r="J955" s="171"/>
      <c r="K955" s="99"/>
      <c r="L955" s="99"/>
      <c r="M955" s="99"/>
      <c r="N955" s="99"/>
      <c r="O955" s="99"/>
      <c r="P955" s="99"/>
      <c r="Q955" s="99"/>
      <c r="R955" s="99"/>
      <c r="S955" s="99"/>
      <c r="T955" s="99"/>
      <c r="U955" s="99"/>
      <c r="V955" s="99"/>
      <c r="W955" s="99"/>
      <c r="X955" s="99"/>
      <c r="Y955" s="99"/>
      <c r="Z955" s="99"/>
      <c r="AA955" s="99"/>
      <c r="AB955" s="99"/>
      <c r="AC955" s="99"/>
    </row>
    <row r="956">
      <c r="A956" s="157"/>
      <c r="B956" s="99"/>
      <c r="C956" s="99"/>
      <c r="D956" s="99"/>
      <c r="E956" s="99"/>
      <c r="F956" s="170"/>
      <c r="G956" s="99"/>
      <c r="H956" s="99"/>
      <c r="I956" s="99"/>
      <c r="J956" s="171"/>
      <c r="K956" s="99"/>
      <c r="L956" s="99"/>
      <c r="M956" s="99"/>
      <c r="N956" s="99"/>
      <c r="O956" s="99"/>
      <c r="P956" s="99"/>
      <c r="Q956" s="99"/>
      <c r="R956" s="99"/>
      <c r="S956" s="99"/>
      <c r="T956" s="99"/>
      <c r="U956" s="99"/>
      <c r="V956" s="99"/>
      <c r="W956" s="99"/>
      <c r="X956" s="99"/>
      <c r="Y956" s="99"/>
      <c r="Z956" s="99"/>
      <c r="AA956" s="99"/>
      <c r="AB956" s="99"/>
      <c r="AC956" s="99"/>
    </row>
    <row r="957">
      <c r="A957" s="157"/>
      <c r="B957" s="99"/>
      <c r="C957" s="99"/>
      <c r="D957" s="99"/>
      <c r="E957" s="99"/>
      <c r="F957" s="170"/>
      <c r="G957" s="99"/>
      <c r="H957" s="99"/>
      <c r="I957" s="99"/>
      <c r="J957" s="171"/>
      <c r="K957" s="99"/>
      <c r="L957" s="99"/>
      <c r="M957" s="99"/>
      <c r="N957" s="99"/>
      <c r="O957" s="99"/>
      <c r="P957" s="99"/>
      <c r="Q957" s="99"/>
      <c r="R957" s="99"/>
      <c r="S957" s="99"/>
      <c r="T957" s="99"/>
      <c r="U957" s="99"/>
      <c r="V957" s="99"/>
      <c r="W957" s="99"/>
      <c r="X957" s="99"/>
      <c r="Y957" s="99"/>
      <c r="Z957" s="99"/>
      <c r="AA957" s="99"/>
      <c r="AB957" s="99"/>
      <c r="AC957" s="99"/>
    </row>
  </sheetData>
  <conditionalFormatting sqref="B86">
    <cfRule type="colorScale" priority="1">
      <colorScale>
        <cfvo type="min"/>
        <cfvo type="max"/>
        <color rgb="FFFFFFFF"/>
        <color rgb="FF57BB8A"/>
      </colorScale>
    </cfRule>
  </conditionalFormatting>
  <conditionalFormatting sqref="A16 A22:A23 A25 A28 A40:A43 A53:A54 A61:A76 A79:A86">
    <cfRule type="expression" dxfId="0" priority="2">
      <formula>COUNTIF(A:A, A16) &gt; 1</formula>
    </cfRule>
  </conditionalFormatting>
  <conditionalFormatting sqref="A16 A23 A25 A28">
    <cfRule type="expression" dxfId="0" priority="3">
      <formula>COUNTIF(A:A, A16) &gt; 1</formula>
    </cfRule>
  </conditionalFormatting>
  <conditionalFormatting sqref="A16 A23 A25 A28">
    <cfRule type="expression" dxfId="0" priority="4">
      <formula>COUNTIF(A:A, A16) &gt; 1</formula>
    </cfRule>
  </conditionalFormatting>
  <conditionalFormatting sqref="A16 A23 A25 A28">
    <cfRule type="expression" dxfId="0" priority="5">
      <formula>COUNTIF(A:A, A16) &gt; 1</formula>
    </cfRule>
  </conditionalFormatting>
  <conditionalFormatting sqref="A16 A23 A25 A28">
    <cfRule type="expression" dxfId="0" priority="6">
      <formula>COUNTIF(A:A, A16) &gt; 1</formula>
    </cfRule>
  </conditionalFormatting>
  <conditionalFormatting sqref="A1">
    <cfRule type="expression" dxfId="1" priority="7">
      <formula>COUNTIF(A:A, A1) &gt; 1</formula>
    </cfRule>
  </conditionalFormatting>
  <conditionalFormatting sqref="P2:P78 P80:P85">
    <cfRule type="expression" dxfId="2" priority="8">
      <formula>$P2&lt;&gt;TRUE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5.43"/>
    <col customWidth="1" min="5" max="5" width="15.14"/>
    <col customWidth="1" min="6" max="6" width="22.57"/>
    <col customWidth="1" min="8" max="8" width="19.57"/>
    <col customWidth="1" min="14" max="14" width="17.0"/>
    <col customWidth="1" min="15" max="15" width="17.14"/>
    <col customWidth="1" min="16" max="16" width="19.29"/>
    <col customWidth="1" min="17" max="17" width="22.0"/>
    <col customWidth="1" min="18" max="18" width="28.43"/>
    <col customWidth="1" min="19" max="19" width="20.43"/>
    <col customWidth="1" min="21" max="21" width="19.57"/>
  </cols>
  <sheetData>
    <row r="1">
      <c r="A1" s="118" t="s">
        <v>2</v>
      </c>
      <c r="B1" s="119" t="s">
        <v>22</v>
      </c>
      <c r="C1" s="119" t="s">
        <v>33</v>
      </c>
      <c r="D1" s="119" t="s">
        <v>723</v>
      </c>
      <c r="E1" s="119" t="s">
        <v>42</v>
      </c>
      <c r="F1" s="119" t="s">
        <v>45</v>
      </c>
      <c r="G1" s="119" t="s">
        <v>726</v>
      </c>
      <c r="H1" s="119" t="s">
        <v>727</v>
      </c>
      <c r="I1" s="119" t="s">
        <v>32</v>
      </c>
      <c r="J1" s="119" t="s">
        <v>35</v>
      </c>
      <c r="K1" s="119" t="s">
        <v>5</v>
      </c>
      <c r="L1" s="119" t="s">
        <v>9</v>
      </c>
      <c r="M1" s="119" t="s">
        <v>728</v>
      </c>
      <c r="N1" s="119" t="s">
        <v>729</v>
      </c>
      <c r="O1" s="119" t="s">
        <v>730</v>
      </c>
      <c r="P1" s="119" t="s">
        <v>731</v>
      </c>
      <c r="Q1" s="119" t="s">
        <v>64</v>
      </c>
      <c r="R1" s="119" t="s">
        <v>732</v>
      </c>
      <c r="S1" s="119" t="s">
        <v>78</v>
      </c>
      <c r="T1" s="119" t="s">
        <v>733</v>
      </c>
      <c r="U1" s="119" t="s">
        <v>734</v>
      </c>
      <c r="V1" s="120"/>
      <c r="W1" s="120"/>
      <c r="X1" s="120"/>
      <c r="Y1" s="120"/>
      <c r="Z1" s="120"/>
      <c r="AA1" s="120"/>
    </row>
    <row r="2">
      <c r="A2" s="75" t="s">
        <v>135</v>
      </c>
      <c r="B2" s="47" t="s">
        <v>735</v>
      </c>
      <c r="C2" s="47" t="s">
        <v>94</v>
      </c>
      <c r="D2" s="47">
        <v>120000.0</v>
      </c>
      <c r="E2" s="121">
        <v>-208.0</v>
      </c>
      <c r="F2" s="121">
        <v>43826.25</v>
      </c>
      <c r="G2" s="121">
        <v>215792.0</v>
      </c>
      <c r="H2" s="121">
        <v>259618.25</v>
      </c>
      <c r="I2" s="18" t="s">
        <v>736</v>
      </c>
      <c r="J2" s="122">
        <f t="shared" ref="J2:J69" si="1">H2/D2</f>
        <v>2.163485417</v>
      </c>
      <c r="K2" s="75" t="str">
        <f>VLOOKUP(A2,Main!A:J,10,0)</f>
        <v>7</v>
      </c>
      <c r="L2" s="47" t="s">
        <v>329</v>
      </c>
      <c r="M2" s="18" t="str">
        <f>VLOOKUP(A2,Main!A:M,13,0)</f>
        <v>DAILY</v>
      </c>
      <c r="N2" s="123">
        <f>VLOOKUP(A2,'Positional cal'!A:S,7,0)-G2</f>
        <v>0</v>
      </c>
      <c r="O2" s="123">
        <f>VLOOKUP(A2,'Positional cal'!A:H,8,0)-H2</f>
        <v>-0.25</v>
      </c>
      <c r="P2" s="42" t="str">
        <f>VLOOKUP(A2,Exception!A:A,1,0)</f>
        <v>#N/A</v>
      </c>
      <c r="Q2" s="42"/>
      <c r="R2" s="42"/>
      <c r="S2" s="123"/>
      <c r="T2" s="42" t="str">
        <f>VLOOKUP(A2,Main!A:AC,29,0)</f>
        <v/>
      </c>
      <c r="U2" s="123"/>
      <c r="V2" s="42"/>
      <c r="W2" s="42"/>
      <c r="X2" s="42"/>
      <c r="Y2" s="42"/>
      <c r="Z2" s="42"/>
      <c r="AA2" s="42"/>
    </row>
    <row r="3">
      <c r="A3" s="75" t="s">
        <v>88</v>
      </c>
      <c r="B3" s="47" t="s">
        <v>738</v>
      </c>
      <c r="C3" s="47" t="s">
        <v>94</v>
      </c>
      <c r="D3" s="47">
        <v>80000.0</v>
      </c>
      <c r="E3" s="121">
        <v>0.0</v>
      </c>
      <c r="F3" s="121">
        <v>3246.75</v>
      </c>
      <c r="G3" s="121">
        <v>160000.0</v>
      </c>
      <c r="H3" s="121">
        <v>163246.75</v>
      </c>
      <c r="I3" s="18" t="s">
        <v>736</v>
      </c>
      <c r="J3" s="122">
        <f t="shared" si="1"/>
        <v>2.040584375</v>
      </c>
      <c r="K3" s="75" t="str">
        <f>VLOOKUP(A3,Main!A:J,10,0)</f>
        <v>1</v>
      </c>
      <c r="L3" s="47" t="s">
        <v>66</v>
      </c>
      <c r="M3" s="18" t="str">
        <f>VLOOKUP(A3,Main!A:M,13,0)</f>
        <v>1DTE/0DTE</v>
      </c>
      <c r="N3" s="123">
        <f>VLOOKUP(A3,'Positional cal'!A:S,7,0)-G3</f>
        <v>0</v>
      </c>
      <c r="O3" s="123">
        <f>VLOOKUP(A3,'Positional cal'!A:H,8,0)-H3</f>
        <v>-0.75</v>
      </c>
      <c r="P3" s="42" t="str">
        <f>VLOOKUP(A3,Exception!A:A,1,0)</f>
        <v>#N/A</v>
      </c>
      <c r="Q3" s="42"/>
      <c r="R3" s="42"/>
      <c r="S3" s="42"/>
      <c r="T3" s="124">
        <f>VLOOKUP(A3,Main!A:AC,29,0)</f>
        <v>0.01</v>
      </c>
      <c r="U3" s="42"/>
      <c r="V3" s="42"/>
      <c r="W3" s="42"/>
      <c r="X3" s="42"/>
      <c r="Y3" s="42"/>
      <c r="Z3" s="42"/>
      <c r="AA3" s="42"/>
    </row>
    <row r="4">
      <c r="A4" s="75" t="s">
        <v>207</v>
      </c>
      <c r="B4" s="47" t="s">
        <v>741</v>
      </c>
      <c r="C4" s="47" t="s">
        <v>94</v>
      </c>
      <c r="D4" s="47">
        <v>100000.0</v>
      </c>
      <c r="E4" s="121">
        <v>0.0</v>
      </c>
      <c r="F4" s="121">
        <v>44395.0</v>
      </c>
      <c r="G4" s="121">
        <v>200000.0</v>
      </c>
      <c r="H4" s="121">
        <v>244395.0</v>
      </c>
      <c r="I4" s="18" t="s">
        <v>736</v>
      </c>
      <c r="J4" s="122">
        <f t="shared" si="1"/>
        <v>2.44395</v>
      </c>
      <c r="K4" s="75" t="str">
        <f>VLOOKUP(A4,Main!A:J,10,0)</f>
        <v>15</v>
      </c>
      <c r="L4" s="47" t="s">
        <v>329</v>
      </c>
      <c r="M4" s="18" t="str">
        <f>VLOOKUP(A4,Main!A:M,13,0)</f>
        <v>DAILY</v>
      </c>
      <c r="N4" s="123">
        <f>VLOOKUP(A4,'Positional cal'!A:S,7,0)-G4</f>
        <v>2800000</v>
      </c>
      <c r="O4" s="123">
        <f>VLOOKUP(A4,'Positional cal'!A:H,8,0)-H4</f>
        <v>2755605</v>
      </c>
      <c r="P4" s="25" t="str">
        <f>VLOOKUP(A4,Exception!A:A,1,0)</f>
        <v>7RIK2028</v>
      </c>
      <c r="Q4" s="42"/>
      <c r="R4" s="42"/>
      <c r="S4" s="42"/>
      <c r="T4" s="125">
        <f>VLOOKUP(A4,Main!A:AC,29,0)</f>
        <v>0.008</v>
      </c>
      <c r="U4" s="42"/>
      <c r="V4" s="42"/>
      <c r="W4" s="42"/>
      <c r="X4" s="42"/>
      <c r="Y4" s="42"/>
      <c r="Z4" s="42"/>
      <c r="AA4" s="42"/>
    </row>
    <row r="5">
      <c r="A5" s="75" t="s">
        <v>391</v>
      </c>
      <c r="B5" s="47" t="s">
        <v>743</v>
      </c>
      <c r="C5" s="47" t="s">
        <v>93</v>
      </c>
      <c r="D5" s="47">
        <v>80000.0</v>
      </c>
      <c r="E5" s="121">
        <v>0.0</v>
      </c>
      <c r="F5" s="121">
        <v>2969.85</v>
      </c>
      <c r="G5" s="121">
        <v>2969.0</v>
      </c>
      <c r="H5" s="121">
        <v>146969.85</v>
      </c>
      <c r="I5" s="18" t="s">
        <v>736</v>
      </c>
      <c r="J5" s="122">
        <f t="shared" si="1"/>
        <v>1.837123125</v>
      </c>
      <c r="K5" s="75" t="str">
        <f>VLOOKUP(A5,Main!A:J,10,0)</f>
        <v>7</v>
      </c>
      <c r="L5" s="47" t="s">
        <v>329</v>
      </c>
      <c r="M5" s="18" t="str">
        <f>VLOOKUP(A5,Main!A:M,13,0)</f>
        <v>1DTE/0DTE</v>
      </c>
      <c r="N5" s="123">
        <f>VLOOKUP(A5,'Positional cal'!A:S,7,0)-G5</f>
        <v>2397031</v>
      </c>
      <c r="O5" s="123">
        <f>VLOOKUP(A5,'Positional cal'!A:H,8,0)-H5</f>
        <v>2253030.15</v>
      </c>
      <c r="P5" s="42" t="str">
        <f>VLOOKUP(A5,Exception!A:A,1,0)</f>
        <v>#N/A</v>
      </c>
      <c r="Q5" s="42"/>
      <c r="R5" s="42"/>
      <c r="S5" s="42"/>
      <c r="T5" s="124">
        <f>VLOOKUP(A5,Main!A:AC,29,0)</f>
        <v>0.3</v>
      </c>
      <c r="U5" s="42"/>
      <c r="V5" s="42"/>
      <c r="W5" s="42"/>
      <c r="X5" s="42"/>
      <c r="Y5" s="42"/>
      <c r="Z5" s="42"/>
      <c r="AA5" s="42"/>
    </row>
    <row r="6">
      <c r="A6" s="75" t="s">
        <v>452</v>
      </c>
      <c r="B6" s="47" t="s">
        <v>744</v>
      </c>
      <c r="C6" s="47" t="s">
        <v>93</v>
      </c>
      <c r="D6" s="47">
        <v>80000.0</v>
      </c>
      <c r="E6" s="121">
        <v>0.0</v>
      </c>
      <c r="F6" s="121">
        <v>2987.4</v>
      </c>
      <c r="G6" s="121">
        <v>2987.0</v>
      </c>
      <c r="H6" s="121">
        <v>146987.4</v>
      </c>
      <c r="I6" s="18" t="s">
        <v>736</v>
      </c>
      <c r="J6" s="122">
        <f t="shared" si="1"/>
        <v>1.8373425</v>
      </c>
      <c r="K6" s="75" t="str">
        <f>VLOOKUP(A6,Main!A:J,10,0)</f>
        <v>7</v>
      </c>
      <c r="L6" s="47" t="s">
        <v>329</v>
      </c>
      <c r="M6" s="18" t="str">
        <f>VLOOKUP(A6,Main!A:M,13,0)</f>
        <v>1DTE/0DTE</v>
      </c>
      <c r="N6" s="123">
        <f>VLOOKUP(A6,'Positional cal'!A:S,7,0)-G6</f>
        <v>2397013</v>
      </c>
      <c r="O6" s="123">
        <f>VLOOKUP(A6,'Positional cal'!A:H,8,0)-H6</f>
        <v>2253012.6</v>
      </c>
      <c r="P6" s="42" t="str">
        <f>VLOOKUP(A6,Exception!A:A,1,0)</f>
        <v>#N/A</v>
      </c>
      <c r="Q6" s="42"/>
      <c r="R6" s="42"/>
      <c r="S6" s="42"/>
      <c r="T6" s="124">
        <f>VLOOKUP(A6,Main!A:AC,29,0)</f>
        <v>0.3</v>
      </c>
      <c r="U6" s="42"/>
      <c r="V6" s="42"/>
      <c r="W6" s="42"/>
      <c r="X6" s="42"/>
      <c r="Y6" s="42"/>
      <c r="Z6" s="42"/>
      <c r="AA6" s="42"/>
    </row>
    <row r="7">
      <c r="A7" s="75" t="s">
        <v>429</v>
      </c>
      <c r="B7" s="47" t="s">
        <v>747</v>
      </c>
      <c r="C7" s="47" t="s">
        <v>93</v>
      </c>
      <c r="D7" s="47">
        <v>100000.0</v>
      </c>
      <c r="E7" s="121">
        <v>0.0</v>
      </c>
      <c r="F7" s="121">
        <v>3099.2</v>
      </c>
      <c r="G7" s="121">
        <v>3099.0</v>
      </c>
      <c r="H7" s="121">
        <v>183099.2</v>
      </c>
      <c r="I7" s="18" t="s">
        <v>736</v>
      </c>
      <c r="J7" s="122">
        <f t="shared" si="1"/>
        <v>1.830992</v>
      </c>
      <c r="K7" s="75" t="str">
        <f>VLOOKUP(A7,Main!A:J,10,0)</f>
        <v>7</v>
      </c>
      <c r="L7" s="47" t="s">
        <v>174</v>
      </c>
      <c r="M7" s="18" t="str">
        <f>VLOOKUP(A7,Main!A:M,13,0)</f>
        <v>1DTE/0DTE</v>
      </c>
      <c r="N7" s="123">
        <f>VLOOKUP(A7,'Positional cal'!A:S,7,0)-G7</f>
        <v>2996901</v>
      </c>
      <c r="O7" s="123">
        <f>VLOOKUP(A7,'Positional cal'!A:H,8,0)-H7</f>
        <v>2816900.8</v>
      </c>
      <c r="P7" s="42" t="str">
        <f>VLOOKUP(A7,Exception!A:A,1,0)</f>
        <v>#N/A</v>
      </c>
      <c r="Q7" s="42"/>
      <c r="R7" s="42"/>
      <c r="S7" s="42"/>
      <c r="T7" s="124">
        <f>VLOOKUP(A7,Main!A:AC,29,0)</f>
        <v>0.3</v>
      </c>
      <c r="U7" s="42"/>
      <c r="V7" s="42"/>
      <c r="W7" s="42"/>
      <c r="X7" s="42"/>
      <c r="Y7" s="42"/>
      <c r="Z7" s="42"/>
      <c r="AA7" s="42"/>
    </row>
    <row r="8">
      <c r="A8" s="75" t="s">
        <v>466</v>
      </c>
      <c r="B8" s="47" t="s">
        <v>748</v>
      </c>
      <c r="C8" s="47" t="s">
        <v>93</v>
      </c>
      <c r="D8" s="47">
        <v>80000.0</v>
      </c>
      <c r="E8" s="121">
        <v>0.0</v>
      </c>
      <c r="F8" s="121">
        <v>3033.55</v>
      </c>
      <c r="G8" s="121">
        <v>3033.0</v>
      </c>
      <c r="H8" s="121">
        <v>147033.55</v>
      </c>
      <c r="I8" s="18" t="s">
        <v>736</v>
      </c>
      <c r="J8" s="122">
        <f t="shared" si="1"/>
        <v>1.837919375</v>
      </c>
      <c r="K8" s="75" t="str">
        <f>VLOOKUP(A8,Main!A:J,10,0)</f>
        <v>7</v>
      </c>
      <c r="L8" s="47" t="s">
        <v>174</v>
      </c>
      <c r="M8" s="18" t="str">
        <f>VLOOKUP(A8,Main!A:M,13,0)</f>
        <v>1DTE/0DTE</v>
      </c>
      <c r="N8" s="123">
        <f>VLOOKUP(A8,'Positional cal'!A:S,7,0)-G8</f>
        <v>2396967</v>
      </c>
      <c r="O8" s="123">
        <f>VLOOKUP(A8,'Positional cal'!A:H,8,0)-H8</f>
        <v>2252966.45</v>
      </c>
      <c r="P8" s="42" t="str">
        <f>VLOOKUP(A8,Exception!A:A,1,0)</f>
        <v>#N/A</v>
      </c>
      <c r="Q8" s="42"/>
      <c r="R8" s="42"/>
      <c r="S8" s="42"/>
      <c r="T8" s="124">
        <f>VLOOKUP(A8,Main!A:AC,29,0)</f>
        <v>0.3</v>
      </c>
      <c r="U8" s="42"/>
      <c r="V8" s="42"/>
      <c r="W8" s="42"/>
      <c r="X8" s="42"/>
      <c r="Y8" s="42"/>
      <c r="Z8" s="42"/>
      <c r="AA8" s="42"/>
    </row>
    <row r="9">
      <c r="A9" s="75" t="s">
        <v>228</v>
      </c>
      <c r="B9" s="47" t="s">
        <v>752</v>
      </c>
      <c r="C9" s="47" t="s">
        <v>93</v>
      </c>
      <c r="D9" s="47">
        <v>60000.0</v>
      </c>
      <c r="E9" s="121">
        <v>0.0</v>
      </c>
      <c r="F9" s="121">
        <v>3064.1</v>
      </c>
      <c r="G9" s="121">
        <v>111064.0</v>
      </c>
      <c r="H9" s="121">
        <v>111064.1</v>
      </c>
      <c r="I9" s="18" t="s">
        <v>736</v>
      </c>
      <c r="J9" s="122">
        <f t="shared" si="1"/>
        <v>1.851068333</v>
      </c>
      <c r="K9" s="75" t="str">
        <f>VLOOKUP(A9,Main!A:J,10,0)</f>
        <v>7</v>
      </c>
      <c r="L9" s="47" t="s">
        <v>174</v>
      </c>
      <c r="M9" s="18" t="str">
        <f>VLOOKUP(A9,Main!A:M,13,0)</f>
        <v>1DTE/0DTE</v>
      </c>
      <c r="N9" s="123">
        <f>VLOOKUP(A9,'Positional cal'!A:S,7,0)-G9</f>
        <v>0</v>
      </c>
      <c r="O9" s="123">
        <f>VLOOKUP(A9,'Positional cal'!A:H,8,0)-H9</f>
        <v>-0.1</v>
      </c>
      <c r="P9" s="42" t="str">
        <f>VLOOKUP(A9,Exception!A:A,1,0)</f>
        <v>#N/A</v>
      </c>
      <c r="Q9" s="42"/>
      <c r="R9" s="42"/>
      <c r="S9" s="42"/>
      <c r="T9" s="42" t="str">
        <f>VLOOKUP(A9,Main!A:AC,29,0)</f>
        <v/>
      </c>
      <c r="U9" s="42"/>
      <c r="V9" s="42"/>
      <c r="W9" s="42"/>
      <c r="X9" s="42"/>
      <c r="Y9" s="42"/>
      <c r="Z9" s="42"/>
      <c r="AA9" s="42"/>
    </row>
    <row r="10">
      <c r="A10" s="75" t="s">
        <v>478</v>
      </c>
      <c r="B10" s="47" t="s">
        <v>753</v>
      </c>
      <c r="C10" s="47" t="s">
        <v>93</v>
      </c>
      <c r="D10" s="47">
        <v>120000.0</v>
      </c>
      <c r="E10" s="121">
        <v>0.0</v>
      </c>
      <c r="F10" s="121">
        <v>37848.2</v>
      </c>
      <c r="G10" s="121">
        <v>37848.0</v>
      </c>
      <c r="H10" s="121">
        <v>260127.85</v>
      </c>
      <c r="I10" s="18" t="s">
        <v>736</v>
      </c>
      <c r="J10" s="122">
        <f t="shared" si="1"/>
        <v>2.167732083</v>
      </c>
      <c r="K10" s="75" t="str">
        <f>VLOOKUP(A10,Main!A:J,10,0)</f>
        <v>7</v>
      </c>
      <c r="L10" s="47" t="s">
        <v>174</v>
      </c>
      <c r="M10" s="18" t="str">
        <f>VLOOKUP(A10,Main!A:M,13,0)</f>
        <v>DAILY</v>
      </c>
      <c r="N10" s="123">
        <f>VLOOKUP(A10,'Positional cal'!A:S,7,0)-G10</f>
        <v>3562152</v>
      </c>
      <c r="O10" s="123">
        <f>VLOOKUP(A10,'Positional cal'!A:H,8,0)-H10</f>
        <v>3339872.15</v>
      </c>
      <c r="P10" s="42" t="str">
        <f>VLOOKUP(A10,Exception!A:A,1,0)</f>
        <v>#N/A</v>
      </c>
      <c r="Q10" s="42"/>
      <c r="R10" s="42"/>
      <c r="S10" s="42"/>
      <c r="T10" s="42" t="str">
        <f>VLOOKUP(A10,Main!A:AC,29,0)</f>
        <v/>
      </c>
      <c r="U10" s="42"/>
      <c r="V10" s="42"/>
      <c r="W10" s="42"/>
      <c r="X10" s="42"/>
      <c r="Y10" s="42"/>
      <c r="Z10" s="42"/>
      <c r="AA10" s="42"/>
    </row>
    <row r="11">
      <c r="A11" s="75" t="s">
        <v>421</v>
      </c>
      <c r="B11" s="47" t="s">
        <v>756</v>
      </c>
      <c r="C11" s="47" t="s">
        <v>93</v>
      </c>
      <c r="D11" s="47">
        <v>60000.0</v>
      </c>
      <c r="E11" s="121">
        <v>0.0</v>
      </c>
      <c r="F11" s="121">
        <v>3042.65</v>
      </c>
      <c r="G11" s="121">
        <v>111042.0</v>
      </c>
      <c r="H11" s="121">
        <v>111042.65</v>
      </c>
      <c r="I11" s="18" t="s">
        <v>736</v>
      </c>
      <c r="J11" s="122">
        <f t="shared" si="1"/>
        <v>1.850710833</v>
      </c>
      <c r="K11" s="75" t="str">
        <f>VLOOKUP(A11,Main!A:J,10,0)</f>
        <v>7</v>
      </c>
      <c r="L11" s="47" t="s">
        <v>66</v>
      </c>
      <c r="M11" s="18" t="str">
        <f>VLOOKUP(A11,Main!A:M,13,0)</f>
        <v>1DTE/0DTE</v>
      </c>
      <c r="N11" s="123">
        <f>VLOOKUP(A11,'Positional cal'!A:S,7,0)-G11</f>
        <v>0</v>
      </c>
      <c r="O11" s="123">
        <f>VLOOKUP(A11,'Positional cal'!A:H,8,0)-H11</f>
        <v>-0.65</v>
      </c>
      <c r="P11" s="42" t="str">
        <f>VLOOKUP(A11,Exception!A:A,1,0)</f>
        <v>#N/A</v>
      </c>
      <c r="Q11" s="42"/>
      <c r="R11" s="42"/>
      <c r="S11" s="42"/>
      <c r="T11" s="42" t="str">
        <f>VLOOKUP(A11,Main!A:AC,29,0)</f>
        <v/>
      </c>
      <c r="U11" s="42"/>
      <c r="V11" s="42"/>
      <c r="W11" s="42"/>
      <c r="X11" s="42"/>
      <c r="Y11" s="42"/>
      <c r="Z11" s="42"/>
      <c r="AA11" s="42"/>
    </row>
    <row r="12">
      <c r="A12" s="75" t="s">
        <v>361</v>
      </c>
      <c r="B12" s="47" t="s">
        <v>757</v>
      </c>
      <c r="C12" s="47" t="s">
        <v>93</v>
      </c>
      <c r="D12" s="47">
        <v>180000.0</v>
      </c>
      <c r="E12" s="121">
        <v>0.0</v>
      </c>
      <c r="F12" s="121">
        <v>40878.5</v>
      </c>
      <c r="G12" s="121">
        <v>40878.0</v>
      </c>
      <c r="H12" s="121">
        <v>371148.4</v>
      </c>
      <c r="I12" s="18" t="s">
        <v>736</v>
      </c>
      <c r="J12" s="122">
        <f t="shared" si="1"/>
        <v>2.061935556</v>
      </c>
      <c r="K12" s="75" t="str">
        <f>VLOOKUP(A12,Main!A:J,10,0)</f>
        <v>7</v>
      </c>
      <c r="L12" s="47" t="s">
        <v>66</v>
      </c>
      <c r="M12" s="18" t="str">
        <f>VLOOKUP(A12,Main!A:M,13,0)</f>
        <v>DAILY</v>
      </c>
      <c r="N12" s="123">
        <f>VLOOKUP(A12,'Positional cal'!A:S,7,0)-G12</f>
        <v>5359122</v>
      </c>
      <c r="O12" s="123">
        <f>VLOOKUP(A12,'Positional cal'!A:H,8,0)-H12</f>
        <v>5028851.6</v>
      </c>
      <c r="P12" s="42" t="str">
        <f>VLOOKUP(A12,Exception!A:A,1,0)</f>
        <v>#N/A</v>
      </c>
      <c r="Q12" s="42"/>
      <c r="R12" s="42"/>
      <c r="S12" s="42"/>
      <c r="T12" s="124">
        <f>VLOOKUP(A12,Main!A:AC,29,0)</f>
        <v>0.3</v>
      </c>
      <c r="U12" s="42"/>
      <c r="V12" s="42"/>
      <c r="W12" s="42"/>
      <c r="X12" s="42"/>
      <c r="Y12" s="42"/>
      <c r="Z12" s="42"/>
      <c r="AA12" s="42"/>
    </row>
    <row r="13">
      <c r="A13" s="75" t="s">
        <v>759</v>
      </c>
      <c r="B13" s="47" t="s">
        <v>760</v>
      </c>
      <c r="C13" s="47" t="s">
        <v>93</v>
      </c>
      <c r="D13" s="47">
        <v>120000.0</v>
      </c>
      <c r="E13" s="121">
        <v>0.0</v>
      </c>
      <c r="F13" s="121">
        <v>37891.1</v>
      </c>
      <c r="G13" s="121">
        <v>37891.0</v>
      </c>
      <c r="H13" s="121">
        <v>260117.45</v>
      </c>
      <c r="I13" s="18" t="s">
        <v>736</v>
      </c>
      <c r="J13" s="122">
        <f t="shared" si="1"/>
        <v>2.167645417</v>
      </c>
      <c r="K13" s="75" t="str">
        <f>VLOOKUP(A13,Main!A:J,10,0)</f>
        <v>7</v>
      </c>
      <c r="L13" s="47" t="s">
        <v>54</v>
      </c>
      <c r="M13" s="18" t="str">
        <f>VLOOKUP(A13,Main!A:M,13,0)</f>
        <v>DAILY</v>
      </c>
      <c r="N13" s="123">
        <f>VLOOKUP(A13,'Positional cal'!A:S,7,0)-G13</f>
        <v>3562109</v>
      </c>
      <c r="O13" s="123">
        <f>VLOOKUP(A13,'Positional cal'!A:H,8,0)-H13</f>
        <v>3339882.55</v>
      </c>
      <c r="P13" s="42" t="str">
        <f>VLOOKUP(A13,Exception!A:A,1,0)</f>
        <v>#N/A</v>
      </c>
      <c r="Q13" s="42"/>
      <c r="R13" s="42"/>
      <c r="S13" s="42"/>
      <c r="T13" s="124">
        <f>VLOOKUP(A13,Main!A:AC,29,0)</f>
        <v>0.3</v>
      </c>
      <c r="U13" s="42"/>
      <c r="V13" s="42"/>
      <c r="W13" s="42"/>
      <c r="X13" s="42"/>
      <c r="Y13" s="42"/>
      <c r="Z13" s="42"/>
      <c r="AA13" s="42"/>
    </row>
    <row r="14">
      <c r="A14" s="75" t="s">
        <v>444</v>
      </c>
      <c r="B14" s="47" t="s">
        <v>764</v>
      </c>
      <c r="C14" s="47" t="s">
        <v>93</v>
      </c>
      <c r="D14" s="47">
        <v>120000.0</v>
      </c>
      <c r="E14" s="121">
        <v>0.0</v>
      </c>
      <c r="F14" s="121">
        <v>37827.4</v>
      </c>
      <c r="G14" s="121">
        <v>37827.0</v>
      </c>
      <c r="H14" s="121">
        <v>260109.0</v>
      </c>
      <c r="I14" s="18" t="s">
        <v>736</v>
      </c>
      <c r="J14" s="122">
        <f t="shared" si="1"/>
        <v>2.167575</v>
      </c>
      <c r="K14" s="75" t="str">
        <f>VLOOKUP(A14,Main!A:J,10,0)</f>
        <v>7</v>
      </c>
      <c r="L14" s="47" t="s">
        <v>329</v>
      </c>
      <c r="M14" s="18" t="str">
        <f>VLOOKUP(A14,Main!A:M,13,0)</f>
        <v>DAILY</v>
      </c>
      <c r="N14" s="123">
        <f>VLOOKUP(A14,'Positional cal'!A:S,7,0)-G14</f>
        <v>3562173</v>
      </c>
      <c r="O14" s="123">
        <f>VLOOKUP(A14,'Positional cal'!A:H,8,0)-H14</f>
        <v>3339891</v>
      </c>
      <c r="P14" s="42" t="str">
        <f>VLOOKUP(A14,Exception!A:A,1,0)</f>
        <v>#N/A</v>
      </c>
      <c r="Q14" s="42"/>
      <c r="R14" s="42"/>
      <c r="S14" s="42"/>
      <c r="T14" s="124">
        <f>VLOOKUP(A14,Main!A:AC,29,0)</f>
        <v>0.3</v>
      </c>
      <c r="U14" s="42"/>
      <c r="V14" s="42"/>
      <c r="W14" s="42"/>
      <c r="X14" s="42"/>
      <c r="Y14" s="42"/>
      <c r="Z14" s="42"/>
      <c r="AA14" s="42"/>
    </row>
    <row r="15">
      <c r="A15" s="75" t="s">
        <v>50</v>
      </c>
      <c r="B15" s="47" t="s">
        <v>765</v>
      </c>
      <c r="C15" s="47" t="s">
        <v>93</v>
      </c>
      <c r="D15" s="47">
        <v>420000.0</v>
      </c>
      <c r="E15" s="121">
        <v>0.0</v>
      </c>
      <c r="F15" s="121">
        <v>37791.65</v>
      </c>
      <c r="G15" s="121">
        <v>37791.0</v>
      </c>
      <c r="H15" s="121">
        <v>800058.95</v>
      </c>
      <c r="I15" s="18" t="s">
        <v>736</v>
      </c>
      <c r="J15" s="122">
        <f t="shared" si="1"/>
        <v>1.904902262</v>
      </c>
      <c r="K15" s="75" t="str">
        <f>VLOOKUP(A15,Main!A:J,10,0)</f>
        <v>7</v>
      </c>
      <c r="L15" s="47" t="s">
        <v>329</v>
      </c>
      <c r="M15" s="18" t="str">
        <f>VLOOKUP(A15,Main!A:M,13,0)</f>
        <v>DAILY</v>
      </c>
      <c r="N15" s="123">
        <f>VLOOKUP(A15,'Positional cal'!A:S,7,0)-G15</f>
        <v>2962209</v>
      </c>
      <c r="O15" s="123">
        <f>VLOOKUP(A15,'Positional cal'!A:H,8,0)-H15</f>
        <v>2199941.05</v>
      </c>
      <c r="P15" s="25" t="str">
        <f>VLOOKUP(A15,Exception!A:A,1,0)</f>
        <v>85533200</v>
      </c>
      <c r="Q15" s="42"/>
      <c r="R15" s="42"/>
      <c r="S15" s="42"/>
      <c r="T15" s="124">
        <f>VLOOKUP(A15,Main!A:AC,29,0)</f>
        <v>0.3</v>
      </c>
      <c r="U15" s="42"/>
      <c r="V15" s="42"/>
      <c r="W15" s="42"/>
      <c r="X15" s="42"/>
      <c r="Y15" s="42"/>
      <c r="Z15" s="42"/>
      <c r="AA15" s="42"/>
    </row>
    <row r="16">
      <c r="A16" s="75" t="s">
        <v>442</v>
      </c>
      <c r="B16" s="47" t="s">
        <v>190</v>
      </c>
      <c r="C16" s="47" t="s">
        <v>93</v>
      </c>
      <c r="D16" s="47">
        <v>120000.0</v>
      </c>
      <c r="E16" s="121">
        <v>0.0</v>
      </c>
      <c r="F16" s="121">
        <v>37802.05</v>
      </c>
      <c r="G16" s="121">
        <v>37802.0</v>
      </c>
      <c r="H16" s="121">
        <v>260064.15</v>
      </c>
      <c r="I16" s="18" t="s">
        <v>736</v>
      </c>
      <c r="J16" s="122">
        <f t="shared" si="1"/>
        <v>2.16720125</v>
      </c>
      <c r="K16" s="75" t="str">
        <f>VLOOKUP(A16,Main!A:J,10,0)</f>
        <v>7</v>
      </c>
      <c r="L16" s="47" t="s">
        <v>329</v>
      </c>
      <c r="M16" s="18" t="str">
        <f>VLOOKUP(A16,Main!A:M,13,0)</f>
        <v>DAILY</v>
      </c>
      <c r="N16" s="123">
        <f>VLOOKUP(A16,'Positional cal'!A:S,7,0)-G16</f>
        <v>3562198</v>
      </c>
      <c r="O16" s="123">
        <f>VLOOKUP(A16,'Positional cal'!A:H,8,0)-H16</f>
        <v>3339935.85</v>
      </c>
      <c r="P16" s="42" t="str">
        <f>VLOOKUP(A16,Exception!A:A,1,0)</f>
        <v>#N/A</v>
      </c>
      <c r="Q16" s="42"/>
      <c r="R16" s="42"/>
      <c r="S16" s="42"/>
      <c r="T16" s="124">
        <f>VLOOKUP(A16,Main!A:AC,29,0)</f>
        <v>0.3</v>
      </c>
      <c r="U16" s="42"/>
      <c r="V16" s="42"/>
      <c r="W16" s="42"/>
      <c r="X16" s="42"/>
      <c r="Y16" s="42"/>
      <c r="Z16" s="42"/>
      <c r="AA16" s="42"/>
    </row>
    <row r="17">
      <c r="A17" s="75" t="s">
        <v>95</v>
      </c>
      <c r="B17" s="47" t="s">
        <v>773</v>
      </c>
      <c r="C17" s="47" t="s">
        <v>93</v>
      </c>
      <c r="D17" s="47">
        <v>100000.0</v>
      </c>
      <c r="E17" s="121">
        <v>0.0</v>
      </c>
      <c r="F17" s="121">
        <v>37806.6</v>
      </c>
      <c r="G17" s="121">
        <v>37806.0</v>
      </c>
      <c r="H17" s="121">
        <v>224107.05</v>
      </c>
      <c r="I17" s="18" t="s">
        <v>736</v>
      </c>
      <c r="J17" s="122">
        <f t="shared" si="1"/>
        <v>2.2410705</v>
      </c>
      <c r="K17" s="75" t="str">
        <f>VLOOKUP(A17,Main!A:J,10,0)</f>
        <v>7</v>
      </c>
      <c r="L17" s="47" t="s">
        <v>329</v>
      </c>
      <c r="M17" s="18" t="str">
        <f>VLOOKUP(A17,Main!A:M,13,0)</f>
        <v>DAILY</v>
      </c>
      <c r="N17" s="123">
        <f>VLOOKUP(A17,'Positional cal'!A:S,7,0)-G17</f>
        <v>2962194</v>
      </c>
      <c r="O17" s="123">
        <f>VLOOKUP(A17,'Positional cal'!A:H,8,0)-H17</f>
        <v>2775892.95</v>
      </c>
      <c r="P17" s="42" t="str">
        <f>VLOOKUP(A17,Exception!A:A,1,0)</f>
        <v>BHADADAG</v>
      </c>
      <c r="Q17" s="42"/>
      <c r="R17" s="42"/>
      <c r="S17" s="42"/>
      <c r="T17" s="124">
        <f>VLOOKUP(A17,Main!A:AC,29,0)</f>
        <v>0.3</v>
      </c>
      <c r="U17" s="42"/>
      <c r="V17" s="42"/>
      <c r="W17" s="42"/>
      <c r="X17" s="42"/>
      <c r="Y17" s="42"/>
      <c r="Z17" s="42"/>
      <c r="AA17" s="42"/>
    </row>
    <row r="18">
      <c r="A18" s="75" t="s">
        <v>428</v>
      </c>
      <c r="B18" s="47" t="s">
        <v>775</v>
      </c>
      <c r="C18" s="47" t="s">
        <v>93</v>
      </c>
      <c r="D18" s="47">
        <v>140000.0</v>
      </c>
      <c r="E18" s="121">
        <v>0.0</v>
      </c>
      <c r="F18" s="121">
        <v>37924.25</v>
      </c>
      <c r="G18" s="121">
        <v>37924.0</v>
      </c>
      <c r="H18" s="121">
        <v>296222.75</v>
      </c>
      <c r="I18" s="18" t="s">
        <v>736</v>
      </c>
      <c r="J18" s="122">
        <f t="shared" si="1"/>
        <v>2.115876786</v>
      </c>
      <c r="K18" s="75" t="str">
        <f>VLOOKUP(A18,Main!A:J,10,0)</f>
        <v>7</v>
      </c>
      <c r="L18" s="47" t="s">
        <v>329</v>
      </c>
      <c r="M18" s="18" t="str">
        <f>VLOOKUP(A18,Main!A:M,13,0)</f>
        <v>DAILY</v>
      </c>
      <c r="N18" s="123">
        <f>VLOOKUP(A18,'Positional cal'!A:S,7,0)-G18</f>
        <v>4162076</v>
      </c>
      <c r="O18" s="123">
        <f>VLOOKUP(A18,'Positional cal'!A:H,8,0)-H18</f>
        <v>3903777.25</v>
      </c>
      <c r="P18" s="42" t="str">
        <f>VLOOKUP(A18,Exception!A:A,1,0)</f>
        <v>#N/A</v>
      </c>
      <c r="Q18" s="42"/>
      <c r="R18" s="42"/>
      <c r="S18" s="42"/>
      <c r="T18" s="124">
        <f>VLOOKUP(A18,Main!A:AC,29,0)</f>
        <v>0.3</v>
      </c>
      <c r="U18" s="42"/>
      <c r="V18" s="42"/>
      <c r="W18" s="42"/>
      <c r="X18" s="42"/>
      <c r="Y18" s="42"/>
      <c r="Z18" s="42"/>
      <c r="AA18" s="42"/>
    </row>
    <row r="19">
      <c r="A19" s="75" t="s">
        <v>399</v>
      </c>
      <c r="B19" s="47" t="s">
        <v>779</v>
      </c>
      <c r="C19" s="47" t="s">
        <v>93</v>
      </c>
      <c r="D19" s="47">
        <v>120000.0</v>
      </c>
      <c r="E19" s="121">
        <v>0.0</v>
      </c>
      <c r="F19" s="121">
        <v>37746.15</v>
      </c>
      <c r="G19" s="121">
        <v>37746.0</v>
      </c>
      <c r="H19" s="121">
        <v>260053.1</v>
      </c>
      <c r="I19" s="18" t="s">
        <v>736</v>
      </c>
      <c r="J19" s="122">
        <f t="shared" si="1"/>
        <v>2.167109167</v>
      </c>
      <c r="K19" s="75" t="str">
        <f>VLOOKUP(A19,Main!A:J,10,0)</f>
        <v>7</v>
      </c>
      <c r="L19" s="47" t="s">
        <v>329</v>
      </c>
      <c r="M19" s="18" t="str">
        <f>VLOOKUP(A19,Main!A:M,13,0)</f>
        <v>DAILY</v>
      </c>
      <c r="N19" s="123">
        <f>VLOOKUP(A19,'Positional cal'!A:S,7,0)-G19</f>
        <v>3562254</v>
      </c>
      <c r="O19" s="123">
        <f>VLOOKUP(A19,'Positional cal'!A:H,8,0)-H19</f>
        <v>3339946.9</v>
      </c>
      <c r="P19" s="42" t="str">
        <f>VLOOKUP(A19,Exception!A:A,1,0)</f>
        <v>#N/A</v>
      </c>
      <c r="Q19" s="42"/>
      <c r="R19" s="42"/>
      <c r="S19" s="42"/>
      <c r="T19" s="124">
        <f>VLOOKUP(A19,Main!A:AC,29,0)</f>
        <v>0.3</v>
      </c>
      <c r="U19" s="42"/>
      <c r="V19" s="42"/>
      <c r="W19" s="42"/>
      <c r="X19" s="42"/>
      <c r="Y19" s="42"/>
      <c r="Z19" s="42"/>
      <c r="AA19" s="42"/>
    </row>
    <row r="20">
      <c r="A20" s="75" t="s">
        <v>410</v>
      </c>
      <c r="B20" s="47" t="s">
        <v>780</v>
      </c>
      <c r="C20" s="47" t="s">
        <v>93</v>
      </c>
      <c r="D20" s="47">
        <v>140000.0</v>
      </c>
      <c r="E20" s="121">
        <v>0.0</v>
      </c>
      <c r="F20" s="121">
        <v>37916.45</v>
      </c>
      <c r="G20" s="121">
        <v>37916.0</v>
      </c>
      <c r="H20" s="121">
        <v>296228.6</v>
      </c>
      <c r="I20" s="18" t="s">
        <v>736</v>
      </c>
      <c r="J20" s="122">
        <f t="shared" si="1"/>
        <v>2.115918571</v>
      </c>
      <c r="K20" s="75" t="str">
        <f>VLOOKUP(A20,Main!A:J,10,0)</f>
        <v>7</v>
      </c>
      <c r="L20" s="47" t="s">
        <v>140</v>
      </c>
      <c r="M20" s="18" t="str">
        <f>VLOOKUP(A20,Main!A:M,13,0)</f>
        <v>DAILY</v>
      </c>
      <c r="N20" s="123">
        <f>VLOOKUP(A20,'Positional cal'!A:S,7,0)-G20</f>
        <v>4162084</v>
      </c>
      <c r="O20" s="123">
        <f>VLOOKUP(A20,'Positional cal'!A:H,8,0)-H20</f>
        <v>3903771.4</v>
      </c>
      <c r="P20" s="42" t="str">
        <f>VLOOKUP(A20,Exception!A:A,1,0)</f>
        <v>#N/A</v>
      </c>
      <c r="Q20" s="42"/>
      <c r="R20" s="42"/>
      <c r="S20" s="42"/>
      <c r="T20" s="124">
        <f>VLOOKUP(A20,Main!A:AC,29,0)</f>
        <v>0.3</v>
      </c>
      <c r="U20" s="42"/>
      <c r="V20" s="42"/>
      <c r="W20" s="42"/>
      <c r="X20" s="42"/>
      <c r="Y20" s="42"/>
      <c r="Z20" s="42"/>
      <c r="AA20" s="42"/>
    </row>
    <row r="21">
      <c r="A21" s="75" t="s">
        <v>498</v>
      </c>
      <c r="B21" s="47" t="s">
        <v>784</v>
      </c>
      <c r="C21" s="47" t="s">
        <v>93</v>
      </c>
      <c r="D21" s="47">
        <v>120000.0</v>
      </c>
      <c r="E21" s="121">
        <v>0.0</v>
      </c>
      <c r="F21" s="121">
        <v>37835.85</v>
      </c>
      <c r="G21" s="121">
        <v>37835.0</v>
      </c>
      <c r="H21" s="121">
        <v>260118.1</v>
      </c>
      <c r="I21" s="18" t="s">
        <v>736</v>
      </c>
      <c r="J21" s="122">
        <f t="shared" si="1"/>
        <v>2.167650833</v>
      </c>
      <c r="K21" s="75" t="str">
        <f>VLOOKUP(A21,Main!A:J,10,0)</f>
        <v>7</v>
      </c>
      <c r="L21" s="47" t="s">
        <v>140</v>
      </c>
      <c r="M21" s="18" t="str">
        <f>VLOOKUP(A21,Main!A:M,13,0)</f>
        <v>DAILY</v>
      </c>
      <c r="N21" s="123">
        <f>VLOOKUP(A21,'Positional cal'!A:S,7,0)-G21</f>
        <v>3562165</v>
      </c>
      <c r="O21" s="123">
        <f>VLOOKUP(A21,'Positional cal'!A:H,8,0)-H21</f>
        <v>3339881.9</v>
      </c>
      <c r="P21" s="42" t="str">
        <f>VLOOKUP(A21,Exception!A:A,1,0)</f>
        <v>#N/A</v>
      </c>
      <c r="Q21" s="42"/>
      <c r="R21" s="42"/>
      <c r="S21" s="42"/>
      <c r="T21" s="124">
        <f>VLOOKUP(A21,Main!A:AC,29,0)</f>
        <v>0.3</v>
      </c>
      <c r="U21" s="42"/>
      <c r="V21" s="42"/>
      <c r="W21" s="42"/>
      <c r="X21" s="42"/>
      <c r="Y21" s="42"/>
      <c r="Z21" s="42"/>
      <c r="AA21" s="42"/>
    </row>
    <row r="22">
      <c r="A22" s="75" t="s">
        <v>464</v>
      </c>
      <c r="B22" s="47" t="s">
        <v>785</v>
      </c>
      <c r="C22" s="47" t="s">
        <v>93</v>
      </c>
      <c r="D22" s="47">
        <v>180000.0</v>
      </c>
      <c r="E22" s="121">
        <v>0.0</v>
      </c>
      <c r="F22" s="121">
        <v>41003.3</v>
      </c>
      <c r="G22" s="121">
        <v>41003.0</v>
      </c>
      <c r="H22" s="121">
        <v>371273.85</v>
      </c>
      <c r="I22" s="18" t="s">
        <v>736</v>
      </c>
      <c r="J22" s="122">
        <f t="shared" si="1"/>
        <v>2.0626325</v>
      </c>
      <c r="K22" s="75" t="str">
        <f>VLOOKUP(A22,Main!A:J,10,0)</f>
        <v>7</v>
      </c>
      <c r="L22" s="47" t="s">
        <v>140</v>
      </c>
      <c r="M22" s="18" t="str">
        <f>VLOOKUP(A22,Main!A:M,13,0)</f>
        <v>DAILY</v>
      </c>
      <c r="N22" s="123">
        <f>VLOOKUP(A22,'Positional cal'!A:S,7,0)-G22</f>
        <v>5358997</v>
      </c>
      <c r="O22" s="123">
        <f>VLOOKUP(A22,'Positional cal'!A:H,8,0)-H22</f>
        <v>5028726.15</v>
      </c>
      <c r="P22" s="42" t="str">
        <f>VLOOKUP(A22,Exception!A:A,1,0)</f>
        <v>#N/A</v>
      </c>
      <c r="Q22" s="42"/>
      <c r="R22" s="42"/>
      <c r="S22" s="42"/>
      <c r="T22" s="124">
        <f>VLOOKUP(A22,Main!A:AC,29,0)</f>
        <v>0.3</v>
      </c>
      <c r="U22" s="42"/>
      <c r="V22" s="42"/>
      <c r="W22" s="42"/>
      <c r="X22" s="42"/>
      <c r="Y22" s="42"/>
      <c r="Z22" s="42"/>
      <c r="AA22" s="42"/>
    </row>
    <row r="23">
      <c r="A23" s="75" t="s">
        <v>569</v>
      </c>
      <c r="B23" s="47" t="s">
        <v>188</v>
      </c>
      <c r="C23" s="47" t="s">
        <v>93</v>
      </c>
      <c r="D23" s="47">
        <v>160000.0</v>
      </c>
      <c r="E23" s="121">
        <v>0.0</v>
      </c>
      <c r="F23" s="121">
        <v>40994.2</v>
      </c>
      <c r="G23" s="121">
        <v>40994.0</v>
      </c>
      <c r="H23" s="121">
        <v>335262.15</v>
      </c>
      <c r="I23" s="18" t="s">
        <v>736</v>
      </c>
      <c r="J23" s="122">
        <f t="shared" si="1"/>
        <v>2.095388438</v>
      </c>
      <c r="K23" s="75" t="str">
        <f>VLOOKUP(A23,Main!A:J,10,0)</f>
        <v>7</v>
      </c>
      <c r="L23" s="47" t="s">
        <v>340</v>
      </c>
      <c r="M23" s="18" t="str">
        <f>VLOOKUP(A23,Main!A:M,13,0)</f>
        <v>DAILY</v>
      </c>
      <c r="N23" s="123">
        <f>VLOOKUP(A23,'Positional cal'!A:S,7,0)-G23</f>
        <v>4759006</v>
      </c>
      <c r="O23" s="123">
        <f>VLOOKUP(A23,'Positional cal'!A:H,8,0)-H23</f>
        <v>4464737.85</v>
      </c>
      <c r="P23" s="42" t="str">
        <f>VLOOKUP(A23,Exception!A:A,1,0)</f>
        <v>#N/A</v>
      </c>
      <c r="Q23" s="42"/>
      <c r="R23" s="42"/>
      <c r="S23" s="42"/>
      <c r="T23" s="124">
        <f>VLOOKUP(A23,Main!A:AC,29,0)</f>
        <v>0.3</v>
      </c>
      <c r="U23" s="42"/>
      <c r="V23" s="42"/>
      <c r="W23" s="42"/>
      <c r="X23" s="42"/>
      <c r="Y23" s="42"/>
      <c r="Z23" s="42"/>
      <c r="AA23" s="42"/>
    </row>
    <row r="24">
      <c r="A24" s="75" t="s">
        <v>225</v>
      </c>
      <c r="B24" s="47" t="s">
        <v>788</v>
      </c>
      <c r="C24" s="47" t="s">
        <v>93</v>
      </c>
      <c r="D24" s="47">
        <v>80000.0</v>
      </c>
      <c r="E24" s="121">
        <v>0.0</v>
      </c>
      <c r="F24" s="121">
        <v>3125.85</v>
      </c>
      <c r="G24" s="121">
        <v>147125.0</v>
      </c>
      <c r="H24" s="121">
        <v>147125.85</v>
      </c>
      <c r="I24" s="18" t="s">
        <v>736</v>
      </c>
      <c r="J24" s="122">
        <f t="shared" si="1"/>
        <v>1.839073125</v>
      </c>
      <c r="K24" s="75" t="str">
        <f>VLOOKUP(A24,Main!A:J,10,0)</f>
        <v>7</v>
      </c>
      <c r="L24" s="47" t="s">
        <v>340</v>
      </c>
      <c r="M24" s="18" t="str">
        <f>VLOOKUP(A24,Main!A:M,13,0)</f>
        <v>1DTE/0DTE</v>
      </c>
      <c r="N24" s="123">
        <f>VLOOKUP(A24,'Positional cal'!A:S,7,0)-G24</f>
        <v>0</v>
      </c>
      <c r="O24" s="123">
        <f>VLOOKUP(A24,'Positional cal'!A:H,8,0)-H24</f>
        <v>-0.85</v>
      </c>
      <c r="P24" s="42" t="str">
        <f>VLOOKUP(A24,Exception!A:A,1,0)</f>
        <v>#N/A</v>
      </c>
      <c r="Q24" s="42"/>
      <c r="R24" s="42"/>
      <c r="S24" s="42"/>
      <c r="T24" s="124">
        <f>VLOOKUP(A24,Main!A:AC,29,0)</f>
        <v>0.02</v>
      </c>
      <c r="U24" s="42"/>
      <c r="V24" s="42"/>
      <c r="W24" s="42"/>
      <c r="X24" s="42"/>
      <c r="Y24" s="42"/>
      <c r="Z24" s="42"/>
      <c r="AA24" s="42"/>
    </row>
    <row r="25">
      <c r="A25" s="75" t="s">
        <v>234</v>
      </c>
      <c r="B25" s="47" t="s">
        <v>789</v>
      </c>
      <c r="C25" s="47" t="s">
        <v>93</v>
      </c>
      <c r="D25" s="47">
        <v>200000.0</v>
      </c>
      <c r="E25" s="121">
        <v>5.2</v>
      </c>
      <c r="F25" s="121">
        <v>-1015.3</v>
      </c>
      <c r="G25" s="121">
        <v>118989.0</v>
      </c>
      <c r="H25" s="121">
        <v>358989.9</v>
      </c>
      <c r="I25" s="18" t="s">
        <v>736</v>
      </c>
      <c r="J25" s="122">
        <f t="shared" si="1"/>
        <v>1.7949495</v>
      </c>
      <c r="K25" s="75" t="str">
        <f>VLOOKUP(A25,Main!A:J,10,0)</f>
        <v>7</v>
      </c>
      <c r="L25" s="47" t="s">
        <v>174</v>
      </c>
      <c r="M25" s="18" t="str">
        <f>VLOOKUP(A25,Main!A:M,13,0)</f>
        <v>1DTE/0DTE</v>
      </c>
      <c r="N25" s="129">
        <f>VLOOKUP(A25,'Positional cal'!A:S,7,0)-G25</f>
        <v>320000.9</v>
      </c>
      <c r="O25" s="123">
        <f>VLOOKUP(A25,'Positional cal'!A:H,8,0)-H25</f>
        <v>79999.1</v>
      </c>
      <c r="P25" s="42" t="str">
        <f>VLOOKUP(A25,Exception!A:A,1,0)</f>
        <v>AM008</v>
      </c>
      <c r="Q25" s="42"/>
      <c r="R25" s="42"/>
      <c r="S25" s="42"/>
      <c r="T25" s="42" t="str">
        <f>VLOOKUP(A25,Main!A:AC,29,0)</f>
        <v/>
      </c>
      <c r="U25" s="42"/>
      <c r="V25" s="42"/>
      <c r="W25" s="42"/>
      <c r="X25" s="42"/>
      <c r="Y25" s="42"/>
      <c r="Z25" s="42"/>
      <c r="AA25" s="42"/>
    </row>
    <row r="26">
      <c r="A26" s="75" t="s">
        <v>120</v>
      </c>
      <c r="B26" s="47" t="s">
        <v>792</v>
      </c>
      <c r="C26" s="47" t="s">
        <v>93</v>
      </c>
      <c r="D26" s="47">
        <v>100000.0</v>
      </c>
      <c r="E26" s="121">
        <v>0.0</v>
      </c>
      <c r="F26" s="121">
        <v>-171.6</v>
      </c>
      <c r="G26" s="121">
        <v>59828.0</v>
      </c>
      <c r="H26" s="121">
        <v>179828.4</v>
      </c>
      <c r="I26" s="18" t="s">
        <v>736</v>
      </c>
      <c r="J26" s="122">
        <f t="shared" si="1"/>
        <v>1.798284</v>
      </c>
      <c r="K26" s="75" t="str">
        <f>VLOOKUP(A26,Main!A:J,10,0)</f>
        <v>7</v>
      </c>
      <c r="L26" s="47" t="s">
        <v>174</v>
      </c>
      <c r="M26" s="18" t="str">
        <f>VLOOKUP(A26,Main!A:M,13,0)</f>
        <v>1DTE/0DTE</v>
      </c>
      <c r="N26" s="129">
        <f>VLOOKUP(A26,'Positional cal'!A:S,7,0)-G26</f>
        <v>80000.4</v>
      </c>
      <c r="O26" s="129">
        <f>VLOOKUP(A26,'Positional cal'!A:H,8,0)-H26</f>
        <v>-40000</v>
      </c>
      <c r="P26" s="42" t="str">
        <f>VLOOKUP(A26,Exception!A:A,1,0)</f>
        <v>ZZJ17223</v>
      </c>
      <c r="Q26" s="42"/>
      <c r="R26" s="42"/>
      <c r="S26" s="42"/>
      <c r="T26" s="124">
        <f>VLOOKUP(A26,Main!A:AC,29,0)</f>
        <v>0.01</v>
      </c>
      <c r="U26" s="42"/>
      <c r="V26" s="42"/>
      <c r="W26" s="42"/>
      <c r="X26" s="42"/>
      <c r="Y26" s="42"/>
      <c r="Z26" s="42"/>
      <c r="AA26" s="42"/>
    </row>
    <row r="27">
      <c r="A27" s="75" t="s">
        <v>201</v>
      </c>
      <c r="B27" s="47" t="s">
        <v>793</v>
      </c>
      <c r="C27" s="47" t="s">
        <v>93</v>
      </c>
      <c r="D27" s="47">
        <v>100000.0</v>
      </c>
      <c r="E27" s="121">
        <v>0.0</v>
      </c>
      <c r="F27" s="121">
        <v>-339862.25</v>
      </c>
      <c r="G27" s="121">
        <v>-339862.0</v>
      </c>
      <c r="H27" s="121">
        <v>-153650.85</v>
      </c>
      <c r="I27" s="18" t="s">
        <v>736</v>
      </c>
      <c r="J27" s="122">
        <f t="shared" si="1"/>
        <v>-1.5365085</v>
      </c>
      <c r="K27" s="75" t="str">
        <f>VLOOKUP(A27,Main!A:J,10,0)</f>
        <v>7</v>
      </c>
      <c r="L27" s="47" t="s">
        <v>325</v>
      </c>
      <c r="M27" s="18" t="str">
        <f>VLOOKUP(A27,Main!A:M,13,0)</f>
        <v>DAILY</v>
      </c>
      <c r="N27" s="123">
        <f>VLOOKUP(A27,'Positional cal'!A:S,7,0)-G27</f>
        <v>3339862</v>
      </c>
      <c r="O27" s="123">
        <f>VLOOKUP(A27,'Positional cal'!A:H,8,0)-H27</f>
        <v>3153650.85</v>
      </c>
      <c r="P27" s="42" t="str">
        <f>VLOOKUP(A27,Exception!A:A,1,0)</f>
        <v>VTPRATIM</v>
      </c>
      <c r="Q27" s="42"/>
      <c r="R27" s="42"/>
      <c r="S27" s="42"/>
      <c r="T27" s="124">
        <f>VLOOKUP(A27,Main!A:AC,29,0)</f>
        <v>0.01</v>
      </c>
      <c r="U27" s="42"/>
      <c r="V27" s="42"/>
      <c r="W27" s="42"/>
      <c r="X27" s="42"/>
      <c r="Y27" s="42"/>
      <c r="Z27" s="42"/>
      <c r="AA27" s="42"/>
    </row>
    <row r="28">
      <c r="A28" s="75" t="s">
        <v>380</v>
      </c>
      <c r="B28" s="47" t="s">
        <v>796</v>
      </c>
      <c r="C28" s="47" t="s">
        <v>93</v>
      </c>
      <c r="D28" s="47">
        <v>80000.0</v>
      </c>
      <c r="E28" s="121">
        <v>0.0</v>
      </c>
      <c r="F28" s="121">
        <v>3107.0</v>
      </c>
      <c r="G28" s="121">
        <v>147107.0</v>
      </c>
      <c r="H28" s="121">
        <v>147107.0</v>
      </c>
      <c r="I28" s="18" t="s">
        <v>736</v>
      </c>
      <c r="J28" s="122">
        <f t="shared" si="1"/>
        <v>1.8388375</v>
      </c>
      <c r="K28" s="75" t="str">
        <f>VLOOKUP(A28,Main!A:J,10,0)</f>
        <v>7</v>
      </c>
      <c r="L28" s="47" t="s">
        <v>325</v>
      </c>
      <c r="M28" s="18" t="str">
        <f>VLOOKUP(A28,Main!A:M,13,0)</f>
        <v>1DTE/0DTE</v>
      </c>
      <c r="N28" s="123">
        <f>VLOOKUP(A28,'Positional cal'!A:S,7,0)-G28</f>
        <v>2252893</v>
      </c>
      <c r="O28" s="123">
        <f>VLOOKUP(A28,'Positional cal'!A:H,8,0)-H28</f>
        <v>2252893</v>
      </c>
      <c r="P28" s="42" t="str">
        <f>VLOOKUP(A28,Exception!A:A,1,0)</f>
        <v>#N/A</v>
      </c>
      <c r="Q28" s="42"/>
      <c r="R28" s="42"/>
      <c r="S28" s="42"/>
      <c r="T28" s="42" t="str">
        <f>VLOOKUP(A28,Main!A:AC,29,0)</f>
        <v/>
      </c>
      <c r="U28" s="42"/>
      <c r="V28" s="42"/>
      <c r="W28" s="42"/>
      <c r="X28" s="42"/>
      <c r="Y28" s="42"/>
      <c r="Z28" s="42"/>
      <c r="AA28" s="42"/>
    </row>
    <row r="29">
      <c r="A29" s="75" t="s">
        <v>797</v>
      </c>
      <c r="B29" s="47" t="s">
        <v>798</v>
      </c>
      <c r="C29" s="47" t="s">
        <v>93</v>
      </c>
      <c r="D29" s="47">
        <v>100000.0</v>
      </c>
      <c r="E29" s="121">
        <v>0.0</v>
      </c>
      <c r="F29" s="121">
        <v>3114.15</v>
      </c>
      <c r="G29" s="121">
        <v>203114.0</v>
      </c>
      <c r="H29" s="121">
        <v>203114.15</v>
      </c>
      <c r="I29" s="18" t="s">
        <v>736</v>
      </c>
      <c r="J29" s="122">
        <f t="shared" si="1"/>
        <v>2.0311415</v>
      </c>
      <c r="K29" s="75" t="str">
        <f>VLOOKUP(A29,Main!A:J,10,0)</f>
        <v>1</v>
      </c>
      <c r="L29" s="47" t="s">
        <v>325</v>
      </c>
      <c r="M29" s="18" t="str">
        <f>VLOOKUP(A29,Main!A:M,13,0)</f>
        <v>1DTE/0DTE</v>
      </c>
      <c r="N29" s="123">
        <f>VLOOKUP(A29,'Positional cal'!A:S,7,0)-G29</f>
        <v>2796886</v>
      </c>
      <c r="O29" s="123">
        <f>VLOOKUP(A29,'Positional cal'!A:H,8,0)-H29</f>
        <v>2796885.85</v>
      </c>
      <c r="P29" s="42" t="str">
        <f>VLOOKUP(A29,Exception!A:A,1,0)</f>
        <v>#N/A</v>
      </c>
      <c r="Q29" s="42"/>
      <c r="R29" s="42"/>
      <c r="S29" s="42"/>
      <c r="T29" s="42" t="str">
        <f>VLOOKUP(A29,Main!A:AC,29,0)</f>
        <v/>
      </c>
      <c r="U29" s="42"/>
      <c r="V29" s="42"/>
      <c r="W29" s="42"/>
      <c r="X29" s="42"/>
      <c r="Y29" s="42"/>
      <c r="Z29" s="42"/>
      <c r="AA29" s="42"/>
    </row>
    <row r="30">
      <c r="A30" s="75" t="s">
        <v>321</v>
      </c>
      <c r="B30" s="47" t="s">
        <v>802</v>
      </c>
      <c r="C30" s="47" t="s">
        <v>93</v>
      </c>
      <c r="D30" s="47">
        <v>60000.0</v>
      </c>
      <c r="E30" s="121">
        <v>0.0</v>
      </c>
      <c r="F30" s="121">
        <v>3105.7</v>
      </c>
      <c r="G30" s="121">
        <v>3105.0</v>
      </c>
      <c r="H30" s="121">
        <v>123105.7</v>
      </c>
      <c r="I30" s="18" t="s">
        <v>736</v>
      </c>
      <c r="J30" s="122">
        <f t="shared" si="1"/>
        <v>2.051761667</v>
      </c>
      <c r="K30" s="75" t="str">
        <f>VLOOKUP(A30,Main!A:J,10,0)</f>
        <v>1</v>
      </c>
      <c r="L30" s="47" t="s">
        <v>413</v>
      </c>
      <c r="M30" s="18" t="str">
        <f>VLOOKUP(A30,Main!A:M,13,0)</f>
        <v>1DTE/0DTE</v>
      </c>
      <c r="N30" s="123">
        <f>VLOOKUP(A30,'Positional cal'!A:S,7,0)-G30</f>
        <v>1796895</v>
      </c>
      <c r="O30" s="123">
        <f>VLOOKUP(A30,'Positional cal'!A:H,8,0)-H30</f>
        <v>1676894.3</v>
      </c>
      <c r="P30" s="42" t="str">
        <f>VLOOKUP(A30,Exception!A:A,1,0)</f>
        <v>#N/A</v>
      </c>
      <c r="Q30" s="42"/>
      <c r="R30" s="42"/>
      <c r="S30" s="42"/>
      <c r="T30" s="124">
        <f>VLOOKUP(A30,Main!A:AC,29,0)</f>
        <v>0.3</v>
      </c>
      <c r="U30" s="42"/>
      <c r="V30" s="42"/>
      <c r="W30" s="42"/>
      <c r="X30" s="42"/>
      <c r="Y30" s="42"/>
      <c r="Z30" s="42"/>
      <c r="AA30" s="42"/>
    </row>
    <row r="31">
      <c r="A31" s="75" t="s">
        <v>526</v>
      </c>
      <c r="B31" s="47" t="s">
        <v>803</v>
      </c>
      <c r="C31" s="47" t="s">
        <v>93</v>
      </c>
      <c r="D31" s="47">
        <v>60000.0</v>
      </c>
      <c r="E31" s="121">
        <v>0.0</v>
      </c>
      <c r="F31" s="121">
        <v>3118.05</v>
      </c>
      <c r="G31" s="121">
        <v>3118.0</v>
      </c>
      <c r="H31" s="121">
        <v>123118.05</v>
      </c>
      <c r="I31" s="18" t="s">
        <v>736</v>
      </c>
      <c r="J31" s="122">
        <f t="shared" si="1"/>
        <v>2.0519675</v>
      </c>
      <c r="K31" s="75" t="str">
        <f>VLOOKUP(A31,Main!A:J,10,0)</f>
        <v>1</v>
      </c>
      <c r="L31" s="47" t="s">
        <v>413</v>
      </c>
      <c r="M31" s="18" t="str">
        <f>VLOOKUP(A31,Main!A:M,13,0)</f>
        <v>1DTE/0DTE</v>
      </c>
      <c r="N31" s="123">
        <f>VLOOKUP(A31,'Positional cal'!A:S,7,0)-G31</f>
        <v>1796882</v>
      </c>
      <c r="O31" s="123">
        <f>VLOOKUP(A31,'Positional cal'!A:H,8,0)-H31</f>
        <v>1676881.95</v>
      </c>
      <c r="P31" s="42" t="str">
        <f>VLOOKUP(A31,Exception!A:A,1,0)</f>
        <v>#N/A</v>
      </c>
      <c r="Q31" s="42"/>
      <c r="R31" s="42"/>
      <c r="S31" s="42"/>
      <c r="T31" s="124">
        <f>VLOOKUP(A31,Main!A:AC,29,0)</f>
        <v>0.3</v>
      </c>
      <c r="U31" s="42"/>
      <c r="V31" s="42"/>
      <c r="W31" s="42"/>
      <c r="X31" s="42"/>
      <c r="Y31" s="42"/>
      <c r="Z31" s="42"/>
      <c r="AA31" s="42"/>
    </row>
    <row r="32">
      <c r="A32" s="75" t="s">
        <v>805</v>
      </c>
      <c r="B32" s="47" t="s">
        <v>807</v>
      </c>
      <c r="C32" s="47" t="s">
        <v>93</v>
      </c>
      <c r="D32" s="47">
        <v>40000.0</v>
      </c>
      <c r="E32" s="121">
        <v>0.0</v>
      </c>
      <c r="F32" s="121">
        <v>3088.8</v>
      </c>
      <c r="G32" s="121">
        <v>3088.0</v>
      </c>
      <c r="H32" s="121">
        <v>83088.8</v>
      </c>
      <c r="I32" s="18" t="s">
        <v>736</v>
      </c>
      <c r="J32" s="122">
        <f t="shared" si="1"/>
        <v>2.07722</v>
      </c>
      <c r="K32" s="75" t="str">
        <f>VLOOKUP(A32,Main!A:J,10,0)</f>
        <v>1</v>
      </c>
      <c r="L32" s="47" t="s">
        <v>413</v>
      </c>
      <c r="M32" s="18" t="str">
        <f>VLOOKUP(A32,Main!A:M,13,0)</f>
        <v>1DTE/0DTE</v>
      </c>
      <c r="N32" s="123">
        <f>VLOOKUP(A32,'Positional cal'!A:S,7,0)-G32</f>
        <v>1196912</v>
      </c>
      <c r="O32" s="123">
        <f>VLOOKUP(A32,'Positional cal'!A:H,8,0)-H32</f>
        <v>1116911.2</v>
      </c>
      <c r="P32" s="42" t="str">
        <f>VLOOKUP(A32,Exception!A:A,1,0)</f>
        <v>#N/A</v>
      </c>
      <c r="Q32" s="42"/>
      <c r="R32" s="42"/>
      <c r="S32" s="42"/>
      <c r="T32" s="124">
        <f>VLOOKUP(A32,Main!A:AC,29,0)</f>
        <v>0.3</v>
      </c>
      <c r="U32" s="42"/>
      <c r="V32" s="42"/>
      <c r="W32" s="42"/>
      <c r="X32" s="42"/>
      <c r="Y32" s="42"/>
      <c r="Z32" s="42"/>
      <c r="AA32" s="42"/>
    </row>
    <row r="33">
      <c r="A33" s="75" t="s">
        <v>808</v>
      </c>
      <c r="B33" s="47" t="s">
        <v>809</v>
      </c>
      <c r="C33" s="47" t="s">
        <v>93</v>
      </c>
      <c r="D33" s="47">
        <v>40000.0</v>
      </c>
      <c r="E33" s="121">
        <v>0.0</v>
      </c>
      <c r="F33" s="121">
        <v>3156.4</v>
      </c>
      <c r="G33" s="121">
        <v>3156.0</v>
      </c>
      <c r="H33" s="121">
        <v>83156.4</v>
      </c>
      <c r="I33" s="18" t="s">
        <v>736</v>
      </c>
      <c r="J33" s="122">
        <f t="shared" si="1"/>
        <v>2.07891</v>
      </c>
      <c r="K33" s="75" t="str">
        <f>VLOOKUP(A33,Main!A:J,10,0)</f>
        <v>1</v>
      </c>
      <c r="L33" s="47" t="s">
        <v>413</v>
      </c>
      <c r="M33" s="18" t="str">
        <f>VLOOKUP(A33,Main!A:M,13,0)</f>
        <v>1DTE/0DTE</v>
      </c>
      <c r="N33" s="123">
        <f>VLOOKUP(A33,'Positional cal'!A:S,7,0)-G33</f>
        <v>1196844</v>
      </c>
      <c r="O33" s="123">
        <f>VLOOKUP(A33,'Positional cal'!A:H,8,0)-H33</f>
        <v>1116843.6</v>
      </c>
      <c r="P33" s="42" t="str">
        <f>VLOOKUP(A33,Exception!A:A,1,0)</f>
        <v>#N/A</v>
      </c>
      <c r="Q33" s="42"/>
      <c r="R33" s="42"/>
      <c r="S33" s="42"/>
      <c r="T33" s="124">
        <f>VLOOKUP(A33,Main!A:AC,29,0)</f>
        <v>0.3</v>
      </c>
      <c r="U33" s="42"/>
      <c r="V33" s="42"/>
      <c r="W33" s="42"/>
      <c r="X33" s="42"/>
      <c r="Y33" s="42"/>
      <c r="Z33" s="42"/>
      <c r="AA33" s="42"/>
    </row>
    <row r="34">
      <c r="A34" s="75" t="s">
        <v>810</v>
      </c>
      <c r="B34" s="47" t="s">
        <v>811</v>
      </c>
      <c r="C34" s="47" t="s">
        <v>93</v>
      </c>
      <c r="D34" s="47">
        <v>60000.0</v>
      </c>
      <c r="E34" s="121">
        <v>0.0</v>
      </c>
      <c r="F34" s="121">
        <v>3101.8</v>
      </c>
      <c r="G34" s="121">
        <v>3101.0</v>
      </c>
      <c r="H34" s="121">
        <v>123101.8</v>
      </c>
      <c r="I34" s="18" t="s">
        <v>736</v>
      </c>
      <c r="J34" s="122">
        <f t="shared" si="1"/>
        <v>2.051696667</v>
      </c>
      <c r="K34" s="75" t="str">
        <f>VLOOKUP(A34,Main!A:J,10,0)</f>
        <v>1</v>
      </c>
      <c r="L34" s="47" t="s">
        <v>413</v>
      </c>
      <c r="M34" s="18" t="str">
        <f>VLOOKUP(A34,Main!A:M,13,0)</f>
        <v>1DTE/0DTE</v>
      </c>
      <c r="N34" s="123">
        <f>VLOOKUP(A34,'Positional cal'!A:S,7,0)-G34</f>
        <v>1796899</v>
      </c>
      <c r="O34" s="123">
        <f>VLOOKUP(A34,'Positional cal'!A:H,8,0)-H34</f>
        <v>1676898.2</v>
      </c>
      <c r="P34" s="42" t="str">
        <f>VLOOKUP(A34,Exception!A:A,1,0)</f>
        <v>#N/A</v>
      </c>
      <c r="Q34" s="42"/>
      <c r="R34" s="42"/>
      <c r="S34" s="42"/>
      <c r="T34" s="124">
        <f>VLOOKUP(A34,Main!A:AC,29,0)</f>
        <v>0.3</v>
      </c>
      <c r="U34" s="42"/>
      <c r="V34" s="42"/>
      <c r="W34" s="42"/>
      <c r="X34" s="42"/>
      <c r="Y34" s="42"/>
      <c r="Z34" s="42"/>
      <c r="AA34" s="42"/>
    </row>
    <row r="35">
      <c r="A35" s="75" t="s">
        <v>815</v>
      </c>
      <c r="B35" s="47" t="s">
        <v>816</v>
      </c>
      <c r="C35" s="47" t="s">
        <v>93</v>
      </c>
      <c r="D35" s="47">
        <v>40000.0</v>
      </c>
      <c r="E35" s="121">
        <v>0.0</v>
      </c>
      <c r="F35" s="121">
        <v>3107.0</v>
      </c>
      <c r="G35" s="121">
        <v>3107.0</v>
      </c>
      <c r="H35" s="121">
        <v>83107.0</v>
      </c>
      <c r="I35" s="18" t="s">
        <v>736</v>
      </c>
      <c r="J35" s="122">
        <f t="shared" si="1"/>
        <v>2.077675</v>
      </c>
      <c r="K35" s="75" t="str">
        <f>VLOOKUP(A35,Main!A:J,10,0)</f>
        <v>1</v>
      </c>
      <c r="L35" s="47" t="s">
        <v>413</v>
      </c>
      <c r="M35" s="18" t="str">
        <f>VLOOKUP(A35,Main!A:M,13,0)</f>
        <v>1DTE/0DTE</v>
      </c>
      <c r="N35" s="123">
        <f>VLOOKUP(A35,'Positional cal'!A:S,7,0)-G35</f>
        <v>1196893</v>
      </c>
      <c r="O35" s="123">
        <f>VLOOKUP(A35,'Positional cal'!A:H,8,0)-H35</f>
        <v>1116893</v>
      </c>
      <c r="P35" s="42" t="str">
        <f>VLOOKUP(A35,Exception!A:A,1,0)</f>
        <v>#N/A</v>
      </c>
      <c r="Q35" s="42"/>
      <c r="R35" s="42"/>
      <c r="S35" s="42"/>
      <c r="T35" s="124">
        <f>VLOOKUP(A35,Main!A:AC,29,0)</f>
        <v>0.3</v>
      </c>
      <c r="U35" s="42"/>
      <c r="V35" s="42"/>
      <c r="W35" s="42"/>
      <c r="X35" s="42"/>
      <c r="Y35" s="42"/>
      <c r="Z35" s="42"/>
      <c r="AA35" s="42"/>
    </row>
    <row r="36">
      <c r="A36" s="75" t="s">
        <v>818</v>
      </c>
      <c r="B36" s="47" t="s">
        <v>819</v>
      </c>
      <c r="C36" s="47" t="s">
        <v>93</v>
      </c>
      <c r="D36" s="47">
        <v>20000.0</v>
      </c>
      <c r="E36" s="121">
        <v>0.0</v>
      </c>
      <c r="F36" s="121">
        <v>3114.8</v>
      </c>
      <c r="G36" s="121">
        <v>3114.0</v>
      </c>
      <c r="H36" s="121">
        <v>43114.8</v>
      </c>
      <c r="I36" s="18" t="s">
        <v>736</v>
      </c>
      <c r="J36" s="122">
        <f t="shared" si="1"/>
        <v>2.15574</v>
      </c>
      <c r="K36" s="75" t="str">
        <f>VLOOKUP(A36,Main!A:J,10,0)</f>
        <v>1</v>
      </c>
      <c r="L36" s="47" t="s">
        <v>413</v>
      </c>
      <c r="M36" s="18" t="str">
        <f>VLOOKUP(A36,Main!A:M,13,0)</f>
        <v>1DTE/0DTE</v>
      </c>
      <c r="N36" s="123">
        <f>VLOOKUP(A36,'Positional cal'!A:S,7,0)-G36</f>
        <v>596886</v>
      </c>
      <c r="O36" s="123">
        <f>VLOOKUP(A36,'Positional cal'!A:H,8,0)-H36</f>
        <v>556885.2</v>
      </c>
      <c r="P36" s="42" t="str">
        <f>VLOOKUP(A36,Exception!A:A,1,0)</f>
        <v>#N/A</v>
      </c>
      <c r="Q36" s="42"/>
      <c r="R36" s="42"/>
      <c r="S36" s="42"/>
      <c r="T36" s="124">
        <f>VLOOKUP(A36,Main!A:AC,29,0)</f>
        <v>0.3</v>
      </c>
      <c r="U36" s="42"/>
      <c r="V36" s="42"/>
      <c r="W36" s="42"/>
      <c r="X36" s="42"/>
      <c r="Y36" s="42"/>
      <c r="Z36" s="42"/>
      <c r="AA36" s="42"/>
    </row>
    <row r="37">
      <c r="A37" s="75" t="s">
        <v>467</v>
      </c>
      <c r="B37" s="47" t="s">
        <v>823</v>
      </c>
      <c r="C37" s="47" t="s">
        <v>93</v>
      </c>
      <c r="D37" s="47">
        <v>60000.0</v>
      </c>
      <c r="E37" s="121">
        <v>0.0</v>
      </c>
      <c r="F37" s="121">
        <v>3121.95</v>
      </c>
      <c r="G37" s="121">
        <v>3121.0</v>
      </c>
      <c r="H37" s="121">
        <v>123121.95</v>
      </c>
      <c r="I37" s="18" t="s">
        <v>736</v>
      </c>
      <c r="J37" s="122">
        <f t="shared" si="1"/>
        <v>2.0520325</v>
      </c>
      <c r="K37" s="75" t="str">
        <f>VLOOKUP(A37,Main!A:J,10,0)</f>
        <v>1</v>
      </c>
      <c r="L37" s="47" t="s">
        <v>413</v>
      </c>
      <c r="M37" s="18" t="str">
        <f>VLOOKUP(A37,Main!A:M,13,0)</f>
        <v>1DTE/0DTE</v>
      </c>
      <c r="N37" s="123">
        <f>VLOOKUP(A37,'Positional cal'!A:S,7,0)-G37</f>
        <v>1796879</v>
      </c>
      <c r="O37" s="123">
        <f>VLOOKUP(A37,'Positional cal'!A:H,8,0)-H37</f>
        <v>1676878.05</v>
      </c>
      <c r="P37" s="42" t="str">
        <f>VLOOKUP(A37,Exception!A:A,1,0)</f>
        <v>#N/A</v>
      </c>
      <c r="Q37" s="42"/>
      <c r="R37" s="42"/>
      <c r="S37" s="42"/>
      <c r="T37" s="124">
        <f>VLOOKUP(A37,Main!A:AC,29,0)</f>
        <v>0.3</v>
      </c>
      <c r="U37" s="42"/>
      <c r="V37" s="42"/>
      <c r="W37" s="42"/>
      <c r="X37" s="42"/>
      <c r="Y37" s="42"/>
      <c r="Z37" s="42"/>
      <c r="AA37" s="42"/>
    </row>
    <row r="38">
      <c r="A38" s="75" t="s">
        <v>516</v>
      </c>
      <c r="B38" s="47" t="s">
        <v>824</v>
      </c>
      <c r="C38" s="47" t="s">
        <v>93</v>
      </c>
      <c r="D38" s="47">
        <v>60000.0</v>
      </c>
      <c r="E38" s="121">
        <v>0.0</v>
      </c>
      <c r="F38" s="121">
        <v>3128.45</v>
      </c>
      <c r="G38" s="121">
        <v>3128.0</v>
      </c>
      <c r="H38" s="121">
        <v>123128.45</v>
      </c>
      <c r="I38" s="18" t="s">
        <v>736</v>
      </c>
      <c r="J38" s="122">
        <f t="shared" si="1"/>
        <v>2.052140833</v>
      </c>
      <c r="K38" s="75" t="str">
        <f>VLOOKUP(A38,Main!A:J,10,0)</f>
        <v>1</v>
      </c>
      <c r="L38" s="47" t="s">
        <v>413</v>
      </c>
      <c r="M38" s="18" t="str">
        <f>VLOOKUP(A38,Main!A:M,13,0)</f>
        <v>1DTE/0DTE</v>
      </c>
      <c r="N38" s="123">
        <f>VLOOKUP(A38,'Positional cal'!A:S,7,0)-G38</f>
        <v>1796872</v>
      </c>
      <c r="O38" s="123">
        <f>VLOOKUP(A38,'Positional cal'!A:H,8,0)-H38</f>
        <v>1676871.55</v>
      </c>
      <c r="P38" s="42" t="str">
        <f>VLOOKUP(A38,Exception!A:A,1,0)</f>
        <v>#N/A</v>
      </c>
      <c r="Q38" s="42"/>
      <c r="R38" s="42"/>
      <c r="S38" s="42"/>
      <c r="T38" s="124">
        <f>VLOOKUP(A38,Main!A:AC,29,0)</f>
        <v>0.3</v>
      </c>
      <c r="U38" s="42"/>
      <c r="V38" s="42"/>
      <c r="W38" s="42"/>
      <c r="X38" s="42"/>
      <c r="Y38" s="42"/>
      <c r="Z38" s="42"/>
      <c r="AA38" s="42"/>
    </row>
    <row r="39">
      <c r="A39" s="75" t="s">
        <v>282</v>
      </c>
      <c r="B39" s="47" t="s">
        <v>828</v>
      </c>
      <c r="C39" s="47" t="s">
        <v>93</v>
      </c>
      <c r="D39" s="47">
        <v>120000.0</v>
      </c>
      <c r="E39" s="121">
        <v>0.0</v>
      </c>
      <c r="F39" s="121">
        <v>37864.45</v>
      </c>
      <c r="G39" s="121">
        <v>284071.0</v>
      </c>
      <c r="H39" s="121">
        <v>284071.95</v>
      </c>
      <c r="I39" s="18" t="s">
        <v>736</v>
      </c>
      <c r="J39" s="122">
        <f t="shared" si="1"/>
        <v>2.36726625</v>
      </c>
      <c r="K39" s="75" t="str">
        <f>VLOOKUP(A39,Main!A:J,10,0)</f>
        <v>1</v>
      </c>
      <c r="L39" s="47" t="s">
        <v>338</v>
      </c>
      <c r="M39" s="18" t="str">
        <f>VLOOKUP(A39,Main!A:M,13,0)</f>
        <v>DAILY</v>
      </c>
      <c r="N39" s="123">
        <f>VLOOKUP(A39,'Positional cal'!A:S,7,0)-G39</f>
        <v>3315929</v>
      </c>
      <c r="O39" s="123">
        <f>VLOOKUP(A39,'Positional cal'!A:H,8,0)-H39</f>
        <v>3315928.05</v>
      </c>
      <c r="P39" s="42" t="str">
        <f>VLOOKUP(A39,Exception!A:A,1,0)</f>
        <v>#N/A</v>
      </c>
      <c r="Q39" s="42"/>
      <c r="R39" s="42"/>
      <c r="S39" s="42"/>
      <c r="T39" s="42" t="str">
        <f>VLOOKUP(A39,Main!A:AC,29,0)</f>
        <v/>
      </c>
      <c r="U39" s="42"/>
      <c r="V39" s="42"/>
      <c r="W39" s="42"/>
      <c r="X39" s="42"/>
      <c r="Y39" s="42"/>
      <c r="Z39" s="42"/>
      <c r="AA39" s="42"/>
    </row>
    <row r="40">
      <c r="A40" s="75" t="s">
        <v>314</v>
      </c>
      <c r="B40" s="47" t="s">
        <v>830</v>
      </c>
      <c r="C40" s="47" t="s">
        <v>93</v>
      </c>
      <c r="D40" s="47">
        <v>80000.0</v>
      </c>
      <c r="E40" s="121">
        <v>0.0</v>
      </c>
      <c r="F40" s="121">
        <v>3177.85</v>
      </c>
      <c r="G40" s="121">
        <v>163177.0</v>
      </c>
      <c r="H40" s="121">
        <v>163177.85</v>
      </c>
      <c r="I40" s="18" t="s">
        <v>736</v>
      </c>
      <c r="J40" s="122">
        <f t="shared" si="1"/>
        <v>2.039723125</v>
      </c>
      <c r="K40" s="75" t="str">
        <f>VLOOKUP(A40,Main!A:J,10,0)</f>
        <v>1</v>
      </c>
      <c r="L40" s="47" t="s">
        <v>338</v>
      </c>
      <c r="M40" s="18" t="str">
        <f>VLOOKUP(A40,Main!A:M,13,0)</f>
        <v>1DTE/0DTE</v>
      </c>
      <c r="N40" s="123">
        <f>VLOOKUP(A40,'Positional cal'!A:S,7,0)-G40</f>
        <v>0</v>
      </c>
      <c r="O40" s="123">
        <f>VLOOKUP(A40,'Positional cal'!A:H,8,0)-H40</f>
        <v>-0.85</v>
      </c>
      <c r="P40" s="42" t="str">
        <f>VLOOKUP(A40,Exception!A:A,1,0)</f>
        <v>#N/A</v>
      </c>
      <c r="Q40" s="42"/>
      <c r="R40" s="42"/>
      <c r="S40" s="42"/>
      <c r="T40" s="124" t="str">
        <f>VLOOKUP(A40,Main!A:AC,29,0)</f>
        <v/>
      </c>
      <c r="U40" s="42"/>
      <c r="V40" s="42"/>
      <c r="W40" s="42"/>
      <c r="X40" s="42"/>
      <c r="Y40" s="42"/>
      <c r="Z40" s="42"/>
      <c r="AA40" s="42"/>
    </row>
    <row r="41">
      <c r="A41" s="75" t="s">
        <v>274</v>
      </c>
      <c r="B41" s="47" t="s">
        <v>831</v>
      </c>
      <c r="C41" s="47" t="s">
        <v>93</v>
      </c>
      <c r="D41" s="47">
        <v>80000.0</v>
      </c>
      <c r="E41" s="121">
        <v>0.0</v>
      </c>
      <c r="F41" s="121">
        <v>3126.5</v>
      </c>
      <c r="G41" s="121">
        <v>163126.0</v>
      </c>
      <c r="H41" s="121">
        <v>163126.5</v>
      </c>
      <c r="I41" s="18" t="s">
        <v>736</v>
      </c>
      <c r="J41" s="122">
        <f t="shared" si="1"/>
        <v>2.03908125</v>
      </c>
      <c r="K41" s="75" t="str">
        <f>VLOOKUP(A41,Main!A:J,10,0)</f>
        <v>1</v>
      </c>
      <c r="L41" s="47" t="s">
        <v>338</v>
      </c>
      <c r="M41" s="18" t="str">
        <f>VLOOKUP(A41,Main!A:M,13,0)</f>
        <v>1DTE/0DTE</v>
      </c>
      <c r="N41" s="123">
        <f>VLOOKUP(A41,'Positional cal'!A:S,7,0)-G41</f>
        <v>0</v>
      </c>
      <c r="O41" s="123">
        <f>VLOOKUP(A41,'Positional cal'!A:H,8,0)-H41</f>
        <v>-0.5</v>
      </c>
      <c r="P41" s="42" t="str">
        <f>VLOOKUP(A41,Exception!A:A,1,0)</f>
        <v>#N/A</v>
      </c>
      <c r="Q41" s="42"/>
      <c r="R41" s="42"/>
      <c r="S41" s="42"/>
      <c r="T41" s="124">
        <f>VLOOKUP(A41,Main!A:AC,29,0)</f>
        <v>0.3</v>
      </c>
      <c r="U41" s="42"/>
      <c r="V41" s="42"/>
      <c r="W41" s="42"/>
      <c r="X41" s="42"/>
      <c r="Y41" s="42"/>
      <c r="Z41" s="42"/>
      <c r="AA41" s="42"/>
    </row>
    <row r="42">
      <c r="A42" s="75" t="s">
        <v>222</v>
      </c>
      <c r="B42" s="47" t="s">
        <v>836</v>
      </c>
      <c r="C42" s="47" t="s">
        <v>93</v>
      </c>
      <c r="D42" s="47">
        <v>80000.0</v>
      </c>
      <c r="E42" s="121">
        <v>0.0</v>
      </c>
      <c r="F42" s="121">
        <v>3139.5</v>
      </c>
      <c r="G42" s="121">
        <v>163139.0</v>
      </c>
      <c r="H42" s="121">
        <v>163139.5</v>
      </c>
      <c r="I42" s="18" t="s">
        <v>736</v>
      </c>
      <c r="J42" s="122">
        <f t="shared" si="1"/>
        <v>2.03924375</v>
      </c>
      <c r="K42" s="75" t="str">
        <f>VLOOKUP(A42,Main!A:J,10,0)</f>
        <v>1</v>
      </c>
      <c r="L42" s="47" t="s">
        <v>338</v>
      </c>
      <c r="M42" s="18" t="str">
        <f>VLOOKUP(A42,Main!A:M,13,0)</f>
        <v>1DTE/0DTE</v>
      </c>
      <c r="N42" s="123">
        <f>VLOOKUP(A42,'Positional cal'!A:S,7,0)-G42</f>
        <v>0</v>
      </c>
      <c r="O42" s="123">
        <f>VLOOKUP(A42,'Positional cal'!A:H,8,0)-H42</f>
        <v>-0.5</v>
      </c>
      <c r="P42" s="42" t="str">
        <f>VLOOKUP(A42,Exception!A:A,1,0)</f>
        <v>#N/A</v>
      </c>
      <c r="Q42" s="42"/>
      <c r="R42" s="42"/>
      <c r="S42" s="42"/>
      <c r="T42" s="124" t="str">
        <f>VLOOKUP(A42,Main!A:AC,29,0)</f>
        <v/>
      </c>
      <c r="U42" s="42"/>
      <c r="V42" s="42"/>
      <c r="W42" s="42"/>
      <c r="X42" s="42"/>
      <c r="Y42" s="42"/>
      <c r="Z42" s="42"/>
      <c r="AA42" s="42"/>
    </row>
    <row r="43">
      <c r="A43" s="75" t="s">
        <v>335</v>
      </c>
      <c r="B43" s="47" t="s">
        <v>837</v>
      </c>
      <c r="C43" s="47" t="s">
        <v>93</v>
      </c>
      <c r="D43" s="47">
        <v>80000.0</v>
      </c>
      <c r="E43" s="121">
        <v>0.0</v>
      </c>
      <c r="F43" s="121">
        <v>3155.75</v>
      </c>
      <c r="G43" s="121">
        <v>163155.0</v>
      </c>
      <c r="H43" s="121">
        <v>163155.75</v>
      </c>
      <c r="I43" s="18" t="s">
        <v>736</v>
      </c>
      <c r="J43" s="122">
        <f t="shared" si="1"/>
        <v>2.039446875</v>
      </c>
      <c r="K43" s="75" t="str">
        <f>VLOOKUP(A43,Main!A:J,10,0)</f>
        <v>1</v>
      </c>
      <c r="L43" s="47" t="s">
        <v>143</v>
      </c>
      <c r="M43" s="18" t="str">
        <f>VLOOKUP(A43,Main!A:M,13,0)</f>
        <v>1DTE/0DTE</v>
      </c>
      <c r="N43" s="123">
        <f>VLOOKUP(A43,'Positional cal'!A:S,7,0)-G43</f>
        <v>0</v>
      </c>
      <c r="O43" s="123">
        <f>VLOOKUP(A43,'Positional cal'!A:H,8,0)-H43</f>
        <v>-0.75</v>
      </c>
      <c r="P43" s="42" t="str">
        <f>VLOOKUP(A43,Exception!A:A,1,0)</f>
        <v>#N/A</v>
      </c>
      <c r="Q43" s="42"/>
      <c r="R43" s="42"/>
      <c r="S43" s="42"/>
      <c r="T43" s="124" t="str">
        <f>VLOOKUP(A43,Main!A:AC,29,0)</f>
        <v/>
      </c>
      <c r="U43" s="42"/>
      <c r="V43" s="42"/>
      <c r="W43" s="42"/>
      <c r="X43" s="42"/>
      <c r="Y43" s="42"/>
      <c r="Z43" s="42"/>
      <c r="AA43" s="42"/>
    </row>
    <row r="44">
      <c r="A44" s="75" t="s">
        <v>477</v>
      </c>
      <c r="B44" s="47" t="s">
        <v>842</v>
      </c>
      <c r="C44" s="47" t="s">
        <v>93</v>
      </c>
      <c r="D44" s="47">
        <v>120000.0</v>
      </c>
      <c r="E44" s="121">
        <v>0.0</v>
      </c>
      <c r="F44" s="121">
        <v>37865.75</v>
      </c>
      <c r="G44" s="121">
        <v>37865.0</v>
      </c>
      <c r="H44" s="121">
        <v>284032.95</v>
      </c>
      <c r="I44" s="18" t="s">
        <v>736</v>
      </c>
      <c r="J44" s="122">
        <f t="shared" si="1"/>
        <v>2.36694125</v>
      </c>
      <c r="K44" s="75" t="str">
        <f>VLOOKUP(A44,Main!A:J,10,0)</f>
        <v>1</v>
      </c>
      <c r="L44" s="47" t="s">
        <v>174</v>
      </c>
      <c r="M44" s="18" t="str">
        <f>VLOOKUP(A44,Main!A:M,13,0)</f>
        <v>DAILY</v>
      </c>
      <c r="N44" s="123">
        <f>VLOOKUP(A44,'Positional cal'!A:S,7,0)-G44</f>
        <v>3562135</v>
      </c>
      <c r="O44" s="123">
        <f>VLOOKUP(A44,'Positional cal'!A:H,8,0)-H44</f>
        <v>3315967.05</v>
      </c>
      <c r="P44" s="42" t="str">
        <f>VLOOKUP(A44,Exception!A:A,1,0)</f>
        <v>#N/A</v>
      </c>
      <c r="Q44" s="42"/>
      <c r="R44" s="42"/>
      <c r="S44" s="42"/>
      <c r="T44" s="124">
        <f>VLOOKUP(A44,Main!A:AC,29,0)</f>
        <v>0.3</v>
      </c>
      <c r="U44" s="42"/>
      <c r="V44" s="42"/>
      <c r="W44" s="42"/>
      <c r="X44" s="42"/>
      <c r="Y44" s="42"/>
      <c r="Z44" s="42"/>
      <c r="AA44" s="42"/>
    </row>
    <row r="45">
      <c r="A45" s="75" t="s">
        <v>216</v>
      </c>
      <c r="B45" s="47" t="s">
        <v>843</v>
      </c>
      <c r="C45" s="47" t="s">
        <v>93</v>
      </c>
      <c r="D45" s="47">
        <v>100000.0</v>
      </c>
      <c r="E45" s="121">
        <v>0.0</v>
      </c>
      <c r="F45" s="121">
        <v>37779.95</v>
      </c>
      <c r="G45" s="121">
        <v>37779.0</v>
      </c>
      <c r="H45" s="121">
        <v>243951.05</v>
      </c>
      <c r="I45" s="18" t="s">
        <v>736</v>
      </c>
      <c r="J45" s="122">
        <f t="shared" si="1"/>
        <v>2.4395105</v>
      </c>
      <c r="K45" s="75" t="str">
        <f>VLOOKUP(A45,Main!A:J,10,0)</f>
        <v>1</v>
      </c>
      <c r="L45" s="47" t="s">
        <v>66</v>
      </c>
      <c r="M45" s="18" t="str">
        <f>VLOOKUP(A45,Main!A:M,13,0)</f>
        <v>DAILY</v>
      </c>
      <c r="N45" s="123">
        <f>VLOOKUP(A45,'Positional cal'!A:S,7,0)-G45</f>
        <v>2962221</v>
      </c>
      <c r="O45" s="123">
        <f>VLOOKUP(A45,'Positional cal'!A:H,8,0)-H45</f>
        <v>2756048.95</v>
      </c>
      <c r="P45" s="25" t="str">
        <f>VLOOKUP(A45,Exception!A:A,1,0)</f>
        <v>92176368</v>
      </c>
      <c r="Q45" s="42"/>
      <c r="R45" s="42"/>
      <c r="S45" s="42"/>
      <c r="T45" s="42" t="str">
        <f>VLOOKUP(A45,Main!A:AC,29,0)</f>
        <v/>
      </c>
      <c r="U45" s="42"/>
      <c r="V45" s="42"/>
      <c r="W45" s="42"/>
      <c r="X45" s="42"/>
      <c r="Y45" s="42"/>
      <c r="Z45" s="42"/>
      <c r="AA45" s="42"/>
    </row>
    <row r="46">
      <c r="A46" s="75" t="s">
        <v>224</v>
      </c>
      <c r="B46" s="47" t="s">
        <v>847</v>
      </c>
      <c r="C46" s="47" t="s">
        <v>93</v>
      </c>
      <c r="D46" s="47">
        <v>200000.0</v>
      </c>
      <c r="E46" s="121">
        <v>0.0</v>
      </c>
      <c r="F46" s="121">
        <v>6178.25</v>
      </c>
      <c r="G46" s="121">
        <v>126178.0</v>
      </c>
      <c r="H46" s="121">
        <v>406178.25</v>
      </c>
      <c r="I46" s="18" t="s">
        <v>736</v>
      </c>
      <c r="J46" s="122">
        <f t="shared" si="1"/>
        <v>2.03089125</v>
      </c>
      <c r="K46" s="75" t="str">
        <f>VLOOKUP(A46,Main!A:J,10,0)</f>
        <v>1</v>
      </c>
      <c r="L46" s="47" t="s">
        <v>66</v>
      </c>
      <c r="M46" s="18" t="str">
        <f>VLOOKUP(A46,Main!A:M,13,0)</f>
        <v>1DTE/0DTE</v>
      </c>
      <c r="N46" s="129">
        <f>VLOOKUP(A46,'Positional cal'!A:S,7,0)-G46</f>
        <v>400000.25</v>
      </c>
      <c r="O46" s="123">
        <f>VLOOKUP(A46,'Positional cal'!A:H,8,0)-H46</f>
        <v>119999.75</v>
      </c>
      <c r="P46" s="42" t="str">
        <f>VLOOKUP(A46,Exception!A:A,1,0)</f>
        <v>AM005</v>
      </c>
      <c r="Q46" s="42"/>
      <c r="R46" s="42"/>
      <c r="S46" s="42"/>
      <c r="T46" s="42" t="str">
        <f>VLOOKUP(A46,Main!A:AC,29,0)</f>
        <v/>
      </c>
      <c r="U46" s="42"/>
      <c r="V46" s="42"/>
      <c r="W46" s="42"/>
      <c r="X46" s="42"/>
      <c r="Y46" s="42"/>
      <c r="Z46" s="42"/>
      <c r="AA46" s="42"/>
    </row>
    <row r="47">
      <c r="A47" s="75" t="s">
        <v>259</v>
      </c>
      <c r="B47" s="47" t="s">
        <v>849</v>
      </c>
      <c r="C47" s="47" t="s">
        <v>93</v>
      </c>
      <c r="D47" s="47">
        <v>100000.0</v>
      </c>
      <c r="E47" s="121">
        <v>-182.0</v>
      </c>
      <c r="F47" s="121">
        <v>37380.85</v>
      </c>
      <c r="G47" s="121">
        <v>243454.0</v>
      </c>
      <c r="H47" s="121">
        <v>243455.1</v>
      </c>
      <c r="I47" s="18" t="s">
        <v>736</v>
      </c>
      <c r="J47" s="122">
        <f t="shared" si="1"/>
        <v>2.434551</v>
      </c>
      <c r="K47" s="75" t="str">
        <f>VLOOKUP(A47,Main!A:J,10,0)</f>
        <v>1</v>
      </c>
      <c r="L47" s="47" t="s">
        <v>66</v>
      </c>
      <c r="M47" s="18" t="str">
        <f>VLOOKUP(A47,Main!A:M,13,0)</f>
        <v>DAILY</v>
      </c>
      <c r="N47" s="123">
        <f>VLOOKUP(A47,'Positional cal'!A:S,7,0)-G47</f>
        <v>0</v>
      </c>
      <c r="O47" s="123">
        <f>VLOOKUP(A47,'Positional cal'!A:H,8,0)-H47</f>
        <v>-1.1</v>
      </c>
      <c r="P47" s="42" t="str">
        <f>VLOOKUP(A47,Exception!A:A,1,0)</f>
        <v>#N/A</v>
      </c>
      <c r="Q47" s="42"/>
      <c r="R47" s="42"/>
      <c r="S47" s="42"/>
      <c r="T47" s="124">
        <f>VLOOKUP(A47,Main!A:AC,29,0)</f>
        <v>0.01</v>
      </c>
      <c r="U47" s="42"/>
      <c r="V47" s="42"/>
      <c r="W47" s="42"/>
      <c r="X47" s="42"/>
      <c r="Y47" s="42"/>
      <c r="Z47" s="42"/>
      <c r="AA47" s="42"/>
    </row>
    <row r="48">
      <c r="A48" s="75" t="s">
        <v>107</v>
      </c>
      <c r="B48" s="47" t="s">
        <v>852</v>
      </c>
      <c r="C48" s="47" t="s">
        <v>93</v>
      </c>
      <c r="D48" s="47">
        <v>100000.0</v>
      </c>
      <c r="E48" s="121">
        <v>0.0</v>
      </c>
      <c r="F48" s="121">
        <v>3133.0</v>
      </c>
      <c r="G48" s="121">
        <v>63133.0</v>
      </c>
      <c r="H48" s="121">
        <v>203133.0</v>
      </c>
      <c r="I48" s="18" t="s">
        <v>736</v>
      </c>
      <c r="J48" s="122">
        <f t="shared" si="1"/>
        <v>2.03133</v>
      </c>
      <c r="K48" s="75" t="str">
        <f>VLOOKUP(A48,Main!A:J,10,0)</f>
        <v>1</v>
      </c>
      <c r="L48" s="47" t="s">
        <v>66</v>
      </c>
      <c r="M48" s="18" t="str">
        <f>VLOOKUP(A48,Main!A:M,13,0)</f>
        <v>1DTE/0DTE</v>
      </c>
      <c r="N48" s="129">
        <f>VLOOKUP(A48,'Positional cal'!A:S,7,0)-G48</f>
        <v>100000</v>
      </c>
      <c r="O48" s="129">
        <f>VLOOKUP(A48,'Positional cal'!A:H,8,0)-H48</f>
        <v>-40000</v>
      </c>
      <c r="P48" s="42" t="str">
        <f>VLOOKUP(A48,Exception!A:A,1,0)</f>
        <v>ZZJ17221</v>
      </c>
      <c r="Q48" s="42"/>
      <c r="R48" s="42"/>
      <c r="S48" s="42"/>
      <c r="T48" s="42" t="str">
        <f>VLOOKUP(A48,Main!A:AC,29,0)</f>
        <v/>
      </c>
      <c r="U48" s="42"/>
      <c r="V48" s="42"/>
      <c r="W48" s="42"/>
      <c r="X48" s="42"/>
      <c r="Y48" s="42"/>
      <c r="Z48" s="42"/>
      <c r="AA48" s="42"/>
    </row>
    <row r="49">
      <c r="A49" s="75" t="s">
        <v>299</v>
      </c>
      <c r="B49" s="47" t="s">
        <v>853</v>
      </c>
      <c r="C49" s="47" t="s">
        <v>93</v>
      </c>
      <c r="D49" s="47">
        <v>60000.0</v>
      </c>
      <c r="E49" s="121">
        <v>0.0</v>
      </c>
      <c r="F49" s="121">
        <v>2990.0</v>
      </c>
      <c r="G49" s="121">
        <v>122990.0</v>
      </c>
      <c r="H49" s="121">
        <v>122990.0</v>
      </c>
      <c r="I49" s="18" t="s">
        <v>736</v>
      </c>
      <c r="J49" s="122">
        <f t="shared" si="1"/>
        <v>2.049833333</v>
      </c>
      <c r="K49" s="75" t="str">
        <f>VLOOKUP(A49,Main!A:J,10,0)</f>
        <v>1</v>
      </c>
      <c r="L49" s="47" t="s">
        <v>66</v>
      </c>
      <c r="M49" s="18" t="str">
        <f>VLOOKUP(A49,Main!A:M,13,0)</f>
        <v>1DTE/0DTE</v>
      </c>
      <c r="N49" s="123">
        <f>VLOOKUP(A49,'Positional cal'!A:S,7,0)-G49</f>
        <v>0</v>
      </c>
      <c r="O49" s="123">
        <f>VLOOKUP(A49,'Positional cal'!A:H,8,0)-H49</f>
        <v>0</v>
      </c>
      <c r="P49" s="42" t="str">
        <f>VLOOKUP(A49,Exception!A:A,1,0)</f>
        <v>#N/A</v>
      </c>
      <c r="Q49" s="42"/>
      <c r="R49" s="42"/>
      <c r="S49" s="42"/>
      <c r="T49" s="124" t="str">
        <f>VLOOKUP(A49,Main!A:AC,29,0)</f>
        <v/>
      </c>
      <c r="U49" s="42"/>
      <c r="V49" s="42"/>
      <c r="W49" s="42"/>
      <c r="X49" s="42"/>
      <c r="Y49" s="42"/>
      <c r="Z49" s="42"/>
      <c r="AA49" s="42"/>
    </row>
    <row r="50">
      <c r="A50" s="75" t="s">
        <v>854</v>
      </c>
      <c r="B50" s="47" t="s">
        <v>855</v>
      </c>
      <c r="C50" s="47" t="s">
        <v>93</v>
      </c>
      <c r="D50" s="47">
        <v>60000.0</v>
      </c>
      <c r="E50" s="121">
        <v>0.0</v>
      </c>
      <c r="F50" s="121">
        <v>3047.85</v>
      </c>
      <c r="G50" s="121">
        <v>123047.0</v>
      </c>
      <c r="H50" s="121">
        <v>123047.85</v>
      </c>
      <c r="I50" s="18" t="s">
        <v>736</v>
      </c>
      <c r="J50" s="122">
        <f t="shared" si="1"/>
        <v>2.0507975</v>
      </c>
      <c r="K50" s="75" t="str">
        <f>VLOOKUP(A50,Main!A:J,10,0)</f>
        <v>1</v>
      </c>
      <c r="L50" s="47" t="s">
        <v>66</v>
      </c>
      <c r="M50" s="18" t="str">
        <f>VLOOKUP(A50,Main!A:M,13,0)</f>
        <v>1DTE/0DTE</v>
      </c>
      <c r="N50" s="123">
        <f>VLOOKUP(A50,'Positional cal'!A:S,7,0)-G50</f>
        <v>0</v>
      </c>
      <c r="O50" s="123">
        <f>VLOOKUP(A50,'Positional cal'!A:H,8,0)-H50</f>
        <v>-0.85</v>
      </c>
      <c r="P50" s="42" t="str">
        <f>VLOOKUP(A50,Exception!A:A,1,0)</f>
        <v>#N/A</v>
      </c>
      <c r="Q50" s="42"/>
      <c r="R50" s="42"/>
      <c r="S50" s="42"/>
      <c r="T50" s="124" t="str">
        <f>VLOOKUP(A50,Main!A:AC,29,0)</f>
        <v/>
      </c>
      <c r="U50" s="42"/>
      <c r="V50" s="42"/>
      <c r="W50" s="42"/>
      <c r="X50" s="42"/>
      <c r="Y50" s="42"/>
      <c r="Z50" s="42"/>
      <c r="AA50" s="42"/>
    </row>
    <row r="51">
      <c r="A51" s="75" t="s">
        <v>366</v>
      </c>
      <c r="B51" s="47" t="s">
        <v>857</v>
      </c>
      <c r="C51" s="47" t="s">
        <v>93</v>
      </c>
      <c r="D51" s="47">
        <v>60000.0</v>
      </c>
      <c r="E51" s="121">
        <v>0.0</v>
      </c>
      <c r="F51" s="121">
        <v>3122.6</v>
      </c>
      <c r="G51" s="121">
        <v>3122.0</v>
      </c>
      <c r="H51" s="121">
        <v>123122.6</v>
      </c>
      <c r="I51" s="18" t="s">
        <v>736</v>
      </c>
      <c r="J51" s="122">
        <f t="shared" si="1"/>
        <v>2.052043333</v>
      </c>
      <c r="K51" s="75" t="str">
        <f>VLOOKUP(A51,Main!A:J,10,0)</f>
        <v>1</v>
      </c>
      <c r="L51" s="47" t="s">
        <v>54</v>
      </c>
      <c r="M51" s="18" t="str">
        <f>VLOOKUP(A51,Main!A:M,13,0)</f>
        <v>1DTE/0DTE</v>
      </c>
      <c r="N51" s="123">
        <f>VLOOKUP(A51,'Positional cal'!A:S,7,0)-G51</f>
        <v>1796878</v>
      </c>
      <c r="O51" s="123">
        <f>VLOOKUP(A51,'Positional cal'!A:H,8,0)-H51</f>
        <v>1676877.4</v>
      </c>
      <c r="P51" s="42" t="str">
        <f>VLOOKUP(A51,Exception!A:A,1,0)</f>
        <v>#N/A</v>
      </c>
      <c r="Q51" s="42"/>
      <c r="R51" s="42"/>
      <c r="S51" s="42"/>
      <c r="T51" s="124">
        <f>VLOOKUP(A51,Main!A:AC,29,0)</f>
        <v>0.3</v>
      </c>
      <c r="U51" s="42"/>
      <c r="V51" s="42"/>
      <c r="W51" s="42"/>
      <c r="X51" s="42"/>
      <c r="Y51" s="42"/>
      <c r="Z51" s="42"/>
      <c r="AA51" s="42"/>
    </row>
    <row r="52">
      <c r="A52" s="75" t="s">
        <v>544</v>
      </c>
      <c r="B52" s="47" t="s">
        <v>858</v>
      </c>
      <c r="C52" s="47" t="s">
        <v>93</v>
      </c>
      <c r="D52" s="47">
        <v>80000.0</v>
      </c>
      <c r="E52" s="121">
        <v>0.0</v>
      </c>
      <c r="F52" s="121">
        <v>3061.5</v>
      </c>
      <c r="G52" s="121">
        <v>3061.0</v>
      </c>
      <c r="H52" s="121">
        <v>163061.5</v>
      </c>
      <c r="I52" s="18" t="s">
        <v>736</v>
      </c>
      <c r="J52" s="122">
        <f t="shared" si="1"/>
        <v>2.03826875</v>
      </c>
      <c r="K52" s="75" t="str">
        <f>VLOOKUP(A52,Main!A:J,10,0)</f>
        <v>1</v>
      </c>
      <c r="L52" s="47" t="s">
        <v>140</v>
      </c>
      <c r="M52" s="18" t="str">
        <f>VLOOKUP(A52,Main!A:M,13,0)</f>
        <v>1DTE/0DTE</v>
      </c>
      <c r="N52" s="123">
        <f>VLOOKUP(A52,'Positional cal'!A:S,7,0)-G52</f>
        <v>2396939</v>
      </c>
      <c r="O52" s="123">
        <f>VLOOKUP(A52,'Positional cal'!A:H,8,0)-H52</f>
        <v>2236938.5</v>
      </c>
      <c r="P52" s="42" t="str">
        <f>VLOOKUP(A52,Exception!A:A,1,0)</f>
        <v>#N/A</v>
      </c>
      <c r="Q52" s="42"/>
      <c r="R52" s="42"/>
      <c r="S52" s="42"/>
      <c r="T52" s="124">
        <f>VLOOKUP(A52,Main!A:AC,29,0)</f>
        <v>0.3</v>
      </c>
      <c r="U52" s="42"/>
      <c r="V52" s="42"/>
      <c r="W52" s="42"/>
      <c r="X52" s="42"/>
      <c r="Y52" s="42"/>
      <c r="Z52" s="42"/>
      <c r="AA52" s="42"/>
    </row>
    <row r="53">
      <c r="A53" s="75" t="s">
        <v>324</v>
      </c>
      <c r="B53" s="47" t="s">
        <v>861</v>
      </c>
      <c r="C53" s="47" t="s">
        <v>93</v>
      </c>
      <c r="D53" s="47">
        <v>80000.0</v>
      </c>
      <c r="E53" s="121">
        <v>0.0</v>
      </c>
      <c r="F53" s="121">
        <v>3178.5</v>
      </c>
      <c r="G53" s="121">
        <v>3178.0</v>
      </c>
      <c r="H53" s="121">
        <v>163178.5</v>
      </c>
      <c r="I53" s="18" t="s">
        <v>736</v>
      </c>
      <c r="J53" s="122">
        <f t="shared" si="1"/>
        <v>2.03973125</v>
      </c>
      <c r="K53" s="75" t="str">
        <f>VLOOKUP(A53,Main!A:J,10,0)</f>
        <v>1</v>
      </c>
      <c r="L53" s="47" t="s">
        <v>340</v>
      </c>
      <c r="M53" s="18" t="str">
        <f>VLOOKUP(A53,Main!A:M,13,0)</f>
        <v>1DTE/0DTE</v>
      </c>
      <c r="N53" s="123">
        <f>VLOOKUP(A53,'Positional cal'!A:S,7,0)-G53</f>
        <v>2396822</v>
      </c>
      <c r="O53" s="123">
        <f>VLOOKUP(A53,'Positional cal'!A:H,8,0)-H53</f>
        <v>2236821.5</v>
      </c>
      <c r="P53" s="42" t="str">
        <f>VLOOKUP(A53,Exception!A:A,1,0)</f>
        <v>#N/A</v>
      </c>
      <c r="Q53" s="42"/>
      <c r="R53" s="42"/>
      <c r="S53" s="42"/>
      <c r="T53" s="124">
        <f>VLOOKUP(A53,Main!A:AC,29,0)</f>
        <v>0.3</v>
      </c>
      <c r="U53" s="42"/>
      <c r="V53" s="42"/>
      <c r="W53" s="42"/>
      <c r="X53" s="42"/>
      <c r="Y53" s="42"/>
      <c r="Z53" s="42"/>
      <c r="AA53" s="42"/>
    </row>
    <row r="54">
      <c r="A54" s="75" t="s">
        <v>334</v>
      </c>
      <c r="B54" s="47" t="s">
        <v>862</v>
      </c>
      <c r="C54" s="47" t="s">
        <v>93</v>
      </c>
      <c r="D54" s="47">
        <v>80000.0</v>
      </c>
      <c r="E54" s="121">
        <v>0.0</v>
      </c>
      <c r="F54" s="121">
        <v>3002.35</v>
      </c>
      <c r="G54" s="121">
        <v>3002.0</v>
      </c>
      <c r="H54" s="121">
        <v>163002.35</v>
      </c>
      <c r="I54" s="18" t="s">
        <v>736</v>
      </c>
      <c r="J54" s="122">
        <f t="shared" si="1"/>
        <v>2.037529375</v>
      </c>
      <c r="K54" s="75" t="str">
        <f>VLOOKUP(A54,Main!A:J,10,0)</f>
        <v>1</v>
      </c>
      <c r="L54" s="47" t="s">
        <v>174</v>
      </c>
      <c r="M54" s="18" t="str">
        <f>VLOOKUP(A54,Main!A:M,13,0)</f>
        <v>1DTE/0DTE</v>
      </c>
      <c r="N54" s="123">
        <f>VLOOKUP(A54,'Positional cal'!A:S,7,0)-G54</f>
        <v>2396998</v>
      </c>
      <c r="O54" s="123">
        <f>VLOOKUP(A54,'Positional cal'!A:H,8,0)-H54</f>
        <v>2236997.65</v>
      </c>
      <c r="P54" s="42" t="str">
        <f>VLOOKUP(A54,Exception!A:A,1,0)</f>
        <v>#N/A</v>
      </c>
      <c r="Q54" s="42"/>
      <c r="R54" s="42"/>
      <c r="S54" s="42"/>
      <c r="T54" s="124">
        <f>VLOOKUP(A54,Main!A:AC,29,0)</f>
        <v>0.3</v>
      </c>
      <c r="U54" s="42"/>
      <c r="V54" s="42"/>
      <c r="W54" s="42"/>
      <c r="X54" s="42"/>
      <c r="Y54" s="42"/>
      <c r="Z54" s="42"/>
      <c r="AA54" s="42"/>
    </row>
    <row r="55">
      <c r="A55" s="75" t="s">
        <v>344</v>
      </c>
      <c r="B55" s="47" t="s">
        <v>866</v>
      </c>
      <c r="C55" s="47" t="s">
        <v>93</v>
      </c>
      <c r="D55" s="47">
        <v>60000.0</v>
      </c>
      <c r="E55" s="121">
        <v>0.0</v>
      </c>
      <c r="F55" s="121">
        <v>3119.35</v>
      </c>
      <c r="G55" s="121">
        <v>3119.0</v>
      </c>
      <c r="H55" s="121">
        <v>123119.35</v>
      </c>
      <c r="I55" s="18" t="s">
        <v>736</v>
      </c>
      <c r="J55" s="122">
        <f t="shared" si="1"/>
        <v>2.051989167</v>
      </c>
      <c r="K55" s="75" t="str">
        <f>VLOOKUP(A55,Main!A:J,10,0)</f>
        <v>1</v>
      </c>
      <c r="L55" s="47" t="s">
        <v>174</v>
      </c>
      <c r="M55" s="18" t="str">
        <f>VLOOKUP(A55,Main!A:M,13,0)</f>
        <v>1DTE/0DTE</v>
      </c>
      <c r="N55" s="123">
        <f>VLOOKUP(A55,'Positional cal'!A:S,7,0)-G55</f>
        <v>1796881</v>
      </c>
      <c r="O55" s="123">
        <f>VLOOKUP(A55,'Positional cal'!A:H,8,0)-H55</f>
        <v>1676880.65</v>
      </c>
      <c r="P55" s="42" t="str">
        <f>VLOOKUP(A55,Exception!A:A,1,0)</f>
        <v>#N/A</v>
      </c>
      <c r="Q55" s="42"/>
      <c r="R55" s="42"/>
      <c r="S55" s="42"/>
      <c r="T55" s="124">
        <f>VLOOKUP(A55,Main!A:AC,29,0)</f>
        <v>0.3</v>
      </c>
      <c r="U55" s="42"/>
      <c r="V55" s="42"/>
      <c r="W55" s="42"/>
      <c r="X55" s="42"/>
      <c r="Y55" s="42"/>
      <c r="Z55" s="42"/>
      <c r="AA55" s="42"/>
    </row>
    <row r="56">
      <c r="A56" s="75" t="s">
        <v>430</v>
      </c>
      <c r="B56" s="47" t="s">
        <v>868</v>
      </c>
      <c r="C56" s="47" t="s">
        <v>93</v>
      </c>
      <c r="D56" s="47">
        <v>80000.0</v>
      </c>
      <c r="E56" s="121">
        <v>0.0</v>
      </c>
      <c r="F56" s="121">
        <v>3084.25</v>
      </c>
      <c r="G56" s="121">
        <v>3084.0</v>
      </c>
      <c r="H56" s="121">
        <v>163084.25</v>
      </c>
      <c r="I56" s="18" t="s">
        <v>736</v>
      </c>
      <c r="J56" s="122">
        <f t="shared" si="1"/>
        <v>2.038553125</v>
      </c>
      <c r="K56" s="75" t="str">
        <f>VLOOKUP(A56,Main!A:J,10,0)</f>
        <v>1</v>
      </c>
      <c r="L56" s="47" t="s">
        <v>325</v>
      </c>
      <c r="M56" s="18" t="str">
        <f>VLOOKUP(A56,Main!A:M,13,0)</f>
        <v>1DTE/0DTE</v>
      </c>
      <c r="N56" s="123">
        <f>VLOOKUP(A56,'Positional cal'!A:S,7,0)-G56</f>
        <v>2396916</v>
      </c>
      <c r="O56" s="123">
        <f>VLOOKUP(A56,'Positional cal'!A:H,8,0)-H56</f>
        <v>2236915.75</v>
      </c>
      <c r="P56" s="42" t="str">
        <f>VLOOKUP(A56,Exception!A:A,1,0)</f>
        <v>#N/A</v>
      </c>
      <c r="Q56" s="42"/>
      <c r="R56" s="42"/>
      <c r="S56" s="42"/>
      <c r="T56" s="124">
        <f>VLOOKUP(A56,Main!A:AC,29,0)</f>
        <v>0.3</v>
      </c>
      <c r="U56" s="42"/>
      <c r="V56" s="42"/>
      <c r="W56" s="42"/>
      <c r="X56" s="42"/>
      <c r="Y56" s="42"/>
      <c r="Z56" s="42"/>
      <c r="AA56" s="42"/>
    </row>
    <row r="57">
      <c r="A57" s="75" t="s">
        <v>438</v>
      </c>
      <c r="B57" s="47" t="s">
        <v>872</v>
      </c>
      <c r="C57" s="47" t="s">
        <v>93</v>
      </c>
      <c r="D57" s="47">
        <v>40000.0</v>
      </c>
      <c r="E57" s="121">
        <v>0.0</v>
      </c>
      <c r="F57" s="121">
        <v>3179.15</v>
      </c>
      <c r="G57" s="121">
        <v>3179.0</v>
      </c>
      <c r="H57" s="121">
        <v>83179.15</v>
      </c>
      <c r="I57" s="18" t="s">
        <v>736</v>
      </c>
      <c r="J57" s="122">
        <f t="shared" si="1"/>
        <v>2.07947875</v>
      </c>
      <c r="K57" s="75" t="str">
        <f>VLOOKUP(A57,Main!A:J,10,0)</f>
        <v>1</v>
      </c>
      <c r="L57" s="47" t="s">
        <v>325</v>
      </c>
      <c r="M57" s="18" t="str">
        <f>VLOOKUP(A57,Main!A:M,13,0)</f>
        <v>1DTE/0DTE</v>
      </c>
      <c r="N57" s="123">
        <f>VLOOKUP(A57,'Positional cal'!A:S,7,0)-G57</f>
        <v>1196821</v>
      </c>
      <c r="O57" s="123">
        <f>VLOOKUP(A57,'Positional cal'!A:H,8,0)-H57</f>
        <v>1116820.85</v>
      </c>
      <c r="P57" s="42" t="str">
        <f>VLOOKUP(A57,Exception!A:A,1,0)</f>
        <v>#N/A</v>
      </c>
      <c r="Q57" s="42"/>
      <c r="R57" s="42"/>
      <c r="S57" s="42"/>
      <c r="T57" s="124">
        <f>VLOOKUP(A57,Main!A:AC,29,0)</f>
        <v>0.3</v>
      </c>
      <c r="U57" s="42"/>
      <c r="V57" s="42"/>
      <c r="W57" s="42"/>
      <c r="X57" s="42"/>
      <c r="Y57" s="42"/>
      <c r="Z57" s="42"/>
      <c r="AA57" s="42"/>
    </row>
    <row r="58">
      <c r="A58" s="75" t="s">
        <v>400</v>
      </c>
      <c r="B58" s="47" t="s">
        <v>876</v>
      </c>
      <c r="C58" s="47" t="s">
        <v>93</v>
      </c>
      <c r="D58" s="47">
        <v>60000.0</v>
      </c>
      <c r="E58" s="121">
        <v>0.0</v>
      </c>
      <c r="F58" s="121">
        <v>3130.4</v>
      </c>
      <c r="G58" s="121">
        <v>3130.0</v>
      </c>
      <c r="H58" s="121">
        <v>123130.4</v>
      </c>
      <c r="I58" s="18" t="s">
        <v>736</v>
      </c>
      <c r="J58" s="122">
        <f t="shared" si="1"/>
        <v>2.052173333</v>
      </c>
      <c r="K58" s="75" t="str">
        <f>VLOOKUP(A58,Main!A:J,10,0)</f>
        <v>1</v>
      </c>
      <c r="L58" s="47" t="s">
        <v>413</v>
      </c>
      <c r="M58" s="18" t="str">
        <f>VLOOKUP(A58,Main!A:M,13,0)</f>
        <v>1DTE/0DTE</v>
      </c>
      <c r="N58" s="123">
        <f>VLOOKUP(A58,'Positional cal'!A:S,7,0)-G58</f>
        <v>1796870</v>
      </c>
      <c r="O58" s="123">
        <f>VLOOKUP(A58,'Positional cal'!A:H,8,0)-H58</f>
        <v>1676869.6</v>
      </c>
      <c r="P58" s="42" t="str">
        <f>VLOOKUP(A58,Exception!A:A,1,0)</f>
        <v>#N/A</v>
      </c>
      <c r="Q58" s="42"/>
      <c r="R58" s="42"/>
      <c r="S58" s="42"/>
      <c r="T58" s="124">
        <f>VLOOKUP(A58,Main!A:AC,29,0)</f>
        <v>0.3</v>
      </c>
      <c r="U58" s="42"/>
      <c r="V58" s="42"/>
      <c r="W58" s="42"/>
      <c r="X58" s="42"/>
      <c r="Y58" s="42"/>
      <c r="Z58" s="42"/>
      <c r="AA58" s="42"/>
    </row>
    <row r="59">
      <c r="A59" s="75" t="s">
        <v>348</v>
      </c>
      <c r="B59" s="47" t="s">
        <v>877</v>
      </c>
      <c r="C59" s="47" t="s">
        <v>93</v>
      </c>
      <c r="D59" s="47">
        <v>80000.0</v>
      </c>
      <c r="E59" s="121">
        <v>0.0</v>
      </c>
      <c r="F59" s="121">
        <v>3127.15</v>
      </c>
      <c r="G59" s="121">
        <v>3127.0</v>
      </c>
      <c r="H59" s="121">
        <v>163127.15</v>
      </c>
      <c r="I59" s="18" t="s">
        <v>736</v>
      </c>
      <c r="J59" s="122">
        <f t="shared" si="1"/>
        <v>2.039089375</v>
      </c>
      <c r="K59" s="75" t="str">
        <f>VLOOKUP(A59,Main!A:J,10,0)</f>
        <v>1</v>
      </c>
      <c r="L59" s="47" t="s">
        <v>413</v>
      </c>
      <c r="M59" s="18" t="str">
        <f>VLOOKUP(A59,Main!A:M,13,0)</f>
        <v>1DTE/0DTE</v>
      </c>
      <c r="N59" s="123">
        <f>VLOOKUP(A59,'Positional cal'!A:S,7,0)-G59</f>
        <v>2396873</v>
      </c>
      <c r="O59" s="123">
        <f>VLOOKUP(A59,'Positional cal'!A:H,8,0)-H59</f>
        <v>2236872.85</v>
      </c>
      <c r="P59" s="42" t="str">
        <f>VLOOKUP(A59,Exception!A:A,1,0)</f>
        <v>#N/A</v>
      </c>
      <c r="Q59" s="42"/>
      <c r="R59" s="42"/>
      <c r="S59" s="42"/>
      <c r="T59" s="124">
        <f>VLOOKUP(A59,Main!A:AC,29,0)</f>
        <v>0.3</v>
      </c>
      <c r="U59" s="42"/>
      <c r="V59" s="42"/>
      <c r="W59" s="42"/>
      <c r="X59" s="42"/>
      <c r="Y59" s="42"/>
      <c r="Z59" s="42"/>
      <c r="AA59" s="42"/>
    </row>
    <row r="60">
      <c r="A60" s="75" t="s">
        <v>455</v>
      </c>
      <c r="B60" s="47" t="s">
        <v>881</v>
      </c>
      <c r="C60" s="47" t="s">
        <v>93</v>
      </c>
      <c r="D60" s="47">
        <v>100000.0</v>
      </c>
      <c r="E60" s="121">
        <v>0.0</v>
      </c>
      <c r="F60" s="121">
        <v>3168.1</v>
      </c>
      <c r="G60" s="121">
        <v>3168.0</v>
      </c>
      <c r="H60" s="121">
        <v>203168.1</v>
      </c>
      <c r="I60" s="18" t="s">
        <v>736</v>
      </c>
      <c r="J60" s="122">
        <f t="shared" si="1"/>
        <v>2.031681</v>
      </c>
      <c r="K60" s="75" t="str">
        <f>VLOOKUP(A60,Main!A:J,10,0)</f>
        <v>1</v>
      </c>
      <c r="L60" s="47" t="s">
        <v>413</v>
      </c>
      <c r="M60" s="18" t="str">
        <f>VLOOKUP(A60,Main!A:M,13,0)</f>
        <v>1DTE/0DTE</v>
      </c>
      <c r="N60" s="123">
        <f>VLOOKUP(A60,'Positional cal'!A:S,7,0)-G60</f>
        <v>2996832</v>
      </c>
      <c r="O60" s="123">
        <f>VLOOKUP(A60,'Positional cal'!A:H,8,0)-H60</f>
        <v>2796831.9</v>
      </c>
      <c r="P60" s="42" t="str">
        <f>VLOOKUP(A60,Exception!A:A,1,0)</f>
        <v>#N/A</v>
      </c>
      <c r="Q60" s="42"/>
      <c r="R60" s="42"/>
      <c r="S60" s="42"/>
      <c r="T60" s="124">
        <f>VLOOKUP(A60,Main!A:AC,29,0)</f>
        <v>0.3</v>
      </c>
      <c r="U60" s="42"/>
      <c r="V60" s="42"/>
      <c r="W60" s="42"/>
      <c r="X60" s="42"/>
      <c r="Y60" s="42"/>
      <c r="Z60" s="42"/>
      <c r="AA60" s="42"/>
    </row>
    <row r="61">
      <c r="A61" s="75" t="s">
        <v>882</v>
      </c>
      <c r="B61" s="47" t="s">
        <v>883</v>
      </c>
      <c r="C61" s="47" t="s">
        <v>93</v>
      </c>
      <c r="D61" s="47">
        <v>60000.0</v>
      </c>
      <c r="E61" s="121">
        <v>0.0</v>
      </c>
      <c r="F61" s="121">
        <v>3123.25</v>
      </c>
      <c r="G61" s="121">
        <v>3123.0</v>
      </c>
      <c r="H61" s="121">
        <v>123123.25</v>
      </c>
      <c r="I61" s="18" t="s">
        <v>736</v>
      </c>
      <c r="J61" s="122">
        <f t="shared" si="1"/>
        <v>2.052054167</v>
      </c>
      <c r="K61" s="75" t="str">
        <f>VLOOKUP(A61,Main!A:J,10,0)</f>
        <v>1</v>
      </c>
      <c r="L61" s="47" t="s">
        <v>413</v>
      </c>
      <c r="M61" s="18" t="str">
        <f>VLOOKUP(A61,Main!A:M,13,0)</f>
        <v>1DTE/0DTE</v>
      </c>
      <c r="N61" s="123">
        <f>VLOOKUP(A61,'Positional cal'!A:S,7,0)-G61</f>
        <v>1796877</v>
      </c>
      <c r="O61" s="123">
        <f>VLOOKUP(A61,'Positional cal'!A:H,8,0)-H61</f>
        <v>1676876.75</v>
      </c>
      <c r="P61" s="42" t="str">
        <f>VLOOKUP(A61,Exception!A:A,1,0)</f>
        <v>#N/A</v>
      </c>
      <c r="Q61" s="42"/>
      <c r="R61" s="42"/>
      <c r="S61" s="42"/>
      <c r="T61" s="124">
        <f>VLOOKUP(A61,Main!A:AC,29,0)</f>
        <v>0.3</v>
      </c>
      <c r="U61" s="42"/>
      <c r="V61" s="42"/>
      <c r="W61" s="42"/>
      <c r="X61" s="42"/>
      <c r="Y61" s="42"/>
      <c r="Z61" s="42"/>
      <c r="AA61" s="42"/>
    </row>
    <row r="62">
      <c r="A62" s="75" t="s">
        <v>418</v>
      </c>
      <c r="B62" s="47" t="s">
        <v>887</v>
      </c>
      <c r="C62" s="47" t="s">
        <v>93</v>
      </c>
      <c r="D62" s="47">
        <v>120000.0</v>
      </c>
      <c r="E62" s="121">
        <v>0.0</v>
      </c>
      <c r="F62" s="121">
        <v>37742.25</v>
      </c>
      <c r="G62" s="121">
        <v>37742.0</v>
      </c>
      <c r="H62" s="121">
        <v>284056.35</v>
      </c>
      <c r="I62" s="18" t="s">
        <v>736</v>
      </c>
      <c r="J62" s="122">
        <f t="shared" si="1"/>
        <v>2.36713625</v>
      </c>
      <c r="K62" s="75" t="str">
        <f>VLOOKUP(A62,Main!A:J,10,0)</f>
        <v>1</v>
      </c>
      <c r="L62" s="47" t="s">
        <v>413</v>
      </c>
      <c r="M62" s="18" t="str">
        <f>VLOOKUP(A62,Main!A:M,13,0)</f>
        <v>DAILY</v>
      </c>
      <c r="N62" s="123">
        <f>VLOOKUP(A62,'Positional cal'!A:S,7,0)-G62</f>
        <v>3562258</v>
      </c>
      <c r="O62" s="123">
        <f>VLOOKUP(A62,'Positional cal'!A:H,8,0)-H62</f>
        <v>3315943.65</v>
      </c>
      <c r="P62" s="42" t="str">
        <f>VLOOKUP(A62,Exception!A:A,1,0)</f>
        <v>#N/A</v>
      </c>
      <c r="Q62" s="42"/>
      <c r="R62" s="42"/>
      <c r="S62" s="42"/>
      <c r="T62" s="124">
        <f>VLOOKUP(A62,Main!A:AC,29,0)</f>
        <v>0.3</v>
      </c>
      <c r="U62" s="42"/>
      <c r="V62" s="42"/>
      <c r="W62" s="42"/>
      <c r="X62" s="42"/>
      <c r="Y62" s="42"/>
      <c r="Z62" s="42"/>
      <c r="AA62" s="42"/>
    </row>
    <row r="63">
      <c r="A63" s="75" t="s">
        <v>326</v>
      </c>
      <c r="B63" s="47" t="s">
        <v>888</v>
      </c>
      <c r="C63" s="47" t="s">
        <v>93</v>
      </c>
      <c r="D63" s="47">
        <v>80000.0</v>
      </c>
      <c r="E63" s="121">
        <v>0.0</v>
      </c>
      <c r="F63" s="121">
        <v>3086.85</v>
      </c>
      <c r="G63" s="121">
        <v>163086.0</v>
      </c>
      <c r="H63" s="121">
        <v>163086.85</v>
      </c>
      <c r="I63" s="18" t="s">
        <v>736</v>
      </c>
      <c r="J63" s="122">
        <f t="shared" si="1"/>
        <v>2.038585625</v>
      </c>
      <c r="K63" s="75" t="str">
        <f>VLOOKUP(A63,Main!A:J,10,0)</f>
        <v>1</v>
      </c>
      <c r="L63" s="47" t="s">
        <v>413</v>
      </c>
      <c r="M63" s="18" t="str">
        <f>VLOOKUP(A63,Main!A:M,13,0)</f>
        <v>1DTE/0DTE</v>
      </c>
      <c r="N63" s="123">
        <f>VLOOKUP(A63,'Positional cal'!A:S,7,0)-G63</f>
        <v>0</v>
      </c>
      <c r="O63" s="123">
        <f>VLOOKUP(A63,'Positional cal'!A:H,8,0)-H63</f>
        <v>-0.85</v>
      </c>
      <c r="P63" s="42" t="str">
        <f>VLOOKUP(A63,Exception!A:A,1,0)</f>
        <v>#N/A</v>
      </c>
      <c r="Q63" s="42"/>
      <c r="R63" s="42"/>
      <c r="S63" s="42"/>
      <c r="T63" s="124" t="str">
        <f>VLOOKUP(A63,Main!A:AC,29,0)</f>
        <v/>
      </c>
      <c r="U63" s="42"/>
      <c r="V63" s="42"/>
      <c r="W63" s="42"/>
      <c r="X63" s="42"/>
      <c r="Y63" s="42"/>
      <c r="Z63" s="42"/>
      <c r="AA63" s="42"/>
    </row>
    <row r="64">
      <c r="A64" s="75" t="s">
        <v>527</v>
      </c>
      <c r="B64" s="47" t="s">
        <v>890</v>
      </c>
      <c r="C64" s="47" t="s">
        <v>93</v>
      </c>
      <c r="D64" s="47">
        <v>120000.0</v>
      </c>
      <c r="E64" s="121">
        <v>0.0</v>
      </c>
      <c r="F64" s="121">
        <v>37792.95</v>
      </c>
      <c r="G64" s="121">
        <v>37792.0</v>
      </c>
      <c r="H64" s="121">
        <v>284097.3</v>
      </c>
      <c r="I64" s="18" t="s">
        <v>736</v>
      </c>
      <c r="J64" s="122">
        <f t="shared" si="1"/>
        <v>2.3674775</v>
      </c>
      <c r="K64" s="75" t="str">
        <f>VLOOKUP(A64,Main!A:J,10,0)</f>
        <v>1</v>
      </c>
      <c r="L64" s="47" t="s">
        <v>413</v>
      </c>
      <c r="M64" s="18" t="str">
        <f>VLOOKUP(A64,Main!A:M,13,0)</f>
        <v>DAILY</v>
      </c>
      <c r="N64" s="123">
        <f>VLOOKUP(A64,'Positional cal'!A:S,7,0)-G64</f>
        <v>3562208</v>
      </c>
      <c r="O64" s="123">
        <f>VLOOKUP(A64,'Positional cal'!A:H,8,0)-H64</f>
        <v>3315902.7</v>
      </c>
      <c r="P64" s="42" t="str">
        <f>VLOOKUP(A64,Exception!A:A,1,0)</f>
        <v>#N/A</v>
      </c>
      <c r="Q64" s="42"/>
      <c r="R64" s="42"/>
      <c r="S64" s="42"/>
      <c r="T64" s="124">
        <f>VLOOKUP(A64,Main!A:AC,29,0)</f>
        <v>0.3</v>
      </c>
      <c r="U64" s="42"/>
      <c r="V64" s="42"/>
      <c r="W64" s="42"/>
      <c r="X64" s="42"/>
      <c r="Y64" s="42"/>
      <c r="Z64" s="42"/>
      <c r="AA64" s="42"/>
    </row>
    <row r="65">
      <c r="A65" s="75" t="s">
        <v>289</v>
      </c>
      <c r="B65" s="47" t="s">
        <v>893</v>
      </c>
      <c r="C65" s="47" t="s">
        <v>93</v>
      </c>
      <c r="D65" s="47">
        <v>80000.0</v>
      </c>
      <c r="E65" s="121">
        <v>0.0</v>
      </c>
      <c r="F65" s="121">
        <v>3080.35</v>
      </c>
      <c r="G65" s="121">
        <v>163080.0</v>
      </c>
      <c r="H65" s="121">
        <v>163080.35</v>
      </c>
      <c r="I65" s="18" t="s">
        <v>736</v>
      </c>
      <c r="J65" s="122">
        <f t="shared" si="1"/>
        <v>2.038504375</v>
      </c>
      <c r="K65" s="75" t="str">
        <f>VLOOKUP(A65,Main!A:J,10,0)</f>
        <v>1</v>
      </c>
      <c r="L65" s="47" t="s">
        <v>338</v>
      </c>
      <c r="M65" s="18" t="str">
        <f>VLOOKUP(A65,Main!A:M,13,0)</f>
        <v>1DTE/0DTE</v>
      </c>
      <c r="N65" s="123">
        <f>VLOOKUP(A65,'Positional cal'!A:S,7,0)-G65</f>
        <v>0</v>
      </c>
      <c r="O65" s="123">
        <f>VLOOKUP(A65,'Positional cal'!A:H,8,0)-H65</f>
        <v>-0.35</v>
      </c>
      <c r="P65" s="42" t="str">
        <f>VLOOKUP(A65,Exception!A:A,1,0)</f>
        <v>#N/A</v>
      </c>
      <c r="Q65" s="42"/>
      <c r="R65" s="42"/>
      <c r="S65" s="42"/>
      <c r="T65" s="124" t="str">
        <f>VLOOKUP(A65,Main!A:AC,29,0)</f>
        <v/>
      </c>
      <c r="U65" s="42"/>
      <c r="V65" s="42"/>
      <c r="W65" s="42"/>
      <c r="X65" s="42"/>
      <c r="Y65" s="42"/>
      <c r="Z65" s="42"/>
      <c r="AA65" s="42"/>
    </row>
    <row r="66">
      <c r="A66" s="75" t="s">
        <v>377</v>
      </c>
      <c r="B66" s="47" t="s">
        <v>894</v>
      </c>
      <c r="C66" s="47" t="s">
        <v>93</v>
      </c>
      <c r="D66" s="47">
        <v>100000.0</v>
      </c>
      <c r="E66" s="121">
        <v>0.0</v>
      </c>
      <c r="F66" s="121">
        <v>37852.1</v>
      </c>
      <c r="G66" s="121">
        <v>37852.0</v>
      </c>
      <c r="H66" s="121">
        <v>244163.6</v>
      </c>
      <c r="I66" s="18" t="s">
        <v>736</v>
      </c>
      <c r="J66" s="122">
        <f t="shared" si="1"/>
        <v>2.441636</v>
      </c>
      <c r="K66" s="75" t="str">
        <f>VLOOKUP(A66,Main!A:J,10,0)</f>
        <v>1</v>
      </c>
      <c r="L66" s="47" t="s">
        <v>338</v>
      </c>
      <c r="M66" s="18" t="str">
        <f>VLOOKUP(A66,Main!A:M,13,0)</f>
        <v>DAILY</v>
      </c>
      <c r="N66" s="123">
        <f>VLOOKUP(A66,'Positional cal'!A:S,7,0)-G66</f>
        <v>2962148</v>
      </c>
      <c r="O66" s="123">
        <f>VLOOKUP(A66,'Positional cal'!A:H,8,0)-H66</f>
        <v>2755836.4</v>
      </c>
      <c r="P66" s="42" t="str">
        <f>VLOOKUP(A66,Exception!A:A,1,0)</f>
        <v>#N/A</v>
      </c>
      <c r="Q66" s="42"/>
      <c r="R66" s="42"/>
      <c r="S66" s="42"/>
      <c r="T66" s="124">
        <f>VLOOKUP(A66,Main!A:AC,29,0)</f>
        <v>0.3</v>
      </c>
      <c r="U66" s="42"/>
      <c r="V66" s="42"/>
      <c r="W66" s="42"/>
      <c r="X66" s="42"/>
      <c r="Y66" s="42"/>
      <c r="Z66" s="42"/>
      <c r="AA66" s="42"/>
    </row>
    <row r="67">
      <c r="A67" s="75" t="s">
        <v>306</v>
      </c>
      <c r="B67" s="47" t="s">
        <v>899</v>
      </c>
      <c r="C67" s="47" t="s">
        <v>93</v>
      </c>
      <c r="D67" s="47">
        <v>140000.0</v>
      </c>
      <c r="E67" s="121">
        <v>0.0</v>
      </c>
      <c r="F67" s="121">
        <v>37839.75</v>
      </c>
      <c r="G67" s="121">
        <v>37839.0</v>
      </c>
      <c r="H67" s="121">
        <v>324148.65</v>
      </c>
      <c r="I67" s="18" t="s">
        <v>736</v>
      </c>
      <c r="J67" s="122">
        <f t="shared" si="1"/>
        <v>2.3153475</v>
      </c>
      <c r="K67" s="75" t="str">
        <f>VLOOKUP(A67,Main!A:J,10,0)</f>
        <v>1</v>
      </c>
      <c r="L67" s="47" t="s">
        <v>143</v>
      </c>
      <c r="M67" s="18" t="str">
        <f>VLOOKUP(A67,Main!A:M,13,0)</f>
        <v>DAILY</v>
      </c>
      <c r="N67" s="123">
        <f>VLOOKUP(A67,'Positional cal'!A:S,7,0)-G67</f>
        <v>4162161</v>
      </c>
      <c r="O67" s="123">
        <f>VLOOKUP(A67,'Positional cal'!A:H,8,0)-H67</f>
        <v>3875851.35</v>
      </c>
      <c r="P67" s="42" t="str">
        <f>VLOOKUP(A67,Exception!A:A,1,0)</f>
        <v>#N/A</v>
      </c>
      <c r="Q67" s="42"/>
      <c r="R67" s="42"/>
      <c r="S67" s="42"/>
      <c r="T67" s="124">
        <f>VLOOKUP(A67,Main!A:AC,29,0)</f>
        <v>0.3</v>
      </c>
      <c r="U67" s="42"/>
      <c r="V67" s="42"/>
      <c r="W67" s="42"/>
      <c r="X67" s="42"/>
      <c r="Y67" s="42"/>
      <c r="Z67" s="42"/>
      <c r="AA67" s="42"/>
    </row>
    <row r="68">
      <c r="A68" s="75" t="s">
        <v>475</v>
      </c>
      <c r="B68" s="47" t="s">
        <v>902</v>
      </c>
      <c r="C68" s="47" t="s">
        <v>93</v>
      </c>
      <c r="D68" s="47">
        <v>100000.0</v>
      </c>
      <c r="E68" s="121">
        <v>0.0</v>
      </c>
      <c r="F68" s="121">
        <v>37826.75</v>
      </c>
      <c r="G68" s="121">
        <v>37826.0</v>
      </c>
      <c r="H68" s="121">
        <v>244138.25</v>
      </c>
      <c r="I68" s="18" t="s">
        <v>736</v>
      </c>
      <c r="J68" s="122">
        <f t="shared" si="1"/>
        <v>2.4413825</v>
      </c>
      <c r="K68" s="75" t="str">
        <f>VLOOKUP(A68,Main!A:J,10,0)</f>
        <v>1</v>
      </c>
      <c r="L68" s="47" t="s">
        <v>143</v>
      </c>
      <c r="M68" s="18" t="str">
        <f>VLOOKUP(A68,Main!A:M,13,0)</f>
        <v>DAILY</v>
      </c>
      <c r="N68" s="123">
        <f>VLOOKUP(A68,'Positional cal'!A:S,7,0)-G68</f>
        <v>2962174</v>
      </c>
      <c r="O68" s="123">
        <f>VLOOKUP(A68,'Positional cal'!A:H,8,0)-H68</f>
        <v>2755861.75</v>
      </c>
      <c r="P68" s="42" t="str">
        <f>VLOOKUP(A68,Exception!A:A,1,0)</f>
        <v>#N/A</v>
      </c>
      <c r="Q68" s="42"/>
      <c r="R68" s="42"/>
      <c r="S68" s="42"/>
      <c r="T68" s="124">
        <f>VLOOKUP(A68,Main!A:AC,29,0)</f>
        <v>0.3</v>
      </c>
      <c r="U68" s="42"/>
      <c r="V68" s="42"/>
      <c r="W68" s="42"/>
      <c r="X68" s="42"/>
      <c r="Y68" s="42"/>
      <c r="Z68" s="42"/>
      <c r="AA68" s="42"/>
    </row>
    <row r="69">
      <c r="A69" s="75" t="s">
        <v>103</v>
      </c>
      <c r="B69" s="47" t="s">
        <v>908</v>
      </c>
      <c r="C69" s="47" t="s">
        <v>93</v>
      </c>
      <c r="D69" s="47">
        <v>100000.0</v>
      </c>
      <c r="E69" s="121">
        <v>0.0</v>
      </c>
      <c r="F69" s="121">
        <v>37892.4</v>
      </c>
      <c r="G69" s="121">
        <v>37892.0</v>
      </c>
      <c r="H69" s="121">
        <v>244099.9</v>
      </c>
      <c r="I69" s="18" t="s">
        <v>736</v>
      </c>
      <c r="J69" s="122">
        <f t="shared" si="1"/>
        <v>2.440999</v>
      </c>
      <c r="K69" s="75" t="str">
        <f>VLOOKUP(A69,Main!A:J,10,0)</f>
        <v>15</v>
      </c>
      <c r="L69" s="47" t="s">
        <v>143</v>
      </c>
      <c r="M69" s="18" t="str">
        <f>VLOOKUP(A69,Main!A:M,13,0)</f>
        <v>DAILY</v>
      </c>
      <c r="N69" s="123">
        <f>VLOOKUP(A69,'Positional cal'!A:S,7,0)-G69</f>
        <v>2962108</v>
      </c>
      <c r="O69" s="123">
        <f>VLOOKUP(A69,'Positional cal'!A:H,8,0)-H69</f>
        <v>2755900.1</v>
      </c>
      <c r="P69" s="42" t="str">
        <f>VLOOKUP(A69,Exception!A:A,1,0)</f>
        <v>BHADADAR</v>
      </c>
      <c r="Q69" s="42"/>
      <c r="R69" s="42"/>
      <c r="S69" s="42"/>
      <c r="T69" s="124">
        <f>VLOOKUP(A69,Main!A:AC,29,0)</f>
        <v>0.01</v>
      </c>
      <c r="U69" s="42"/>
      <c r="V69" s="42"/>
      <c r="W69" s="42"/>
      <c r="X69" s="42"/>
      <c r="Y69" s="42"/>
      <c r="Z69" s="42"/>
      <c r="AA69" s="42"/>
    </row>
    <row r="70">
      <c r="A70" s="75"/>
      <c r="B70" s="47"/>
      <c r="C70" s="47"/>
      <c r="D70" s="47"/>
      <c r="E70" s="121"/>
      <c r="F70" s="121"/>
      <c r="G70" s="121"/>
      <c r="H70" s="121"/>
      <c r="I70" s="18"/>
      <c r="J70" s="122"/>
      <c r="K70" s="47"/>
      <c r="L70" s="47"/>
      <c r="M70" s="18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</row>
    <row r="71">
      <c r="A71" s="75"/>
      <c r="B71" s="47"/>
      <c r="C71" s="47"/>
      <c r="D71" s="47"/>
      <c r="E71" s="121"/>
      <c r="F71" s="121"/>
      <c r="G71" s="121"/>
      <c r="H71" s="121"/>
      <c r="I71" s="18"/>
      <c r="J71" s="122"/>
      <c r="K71" s="47"/>
      <c r="L71" s="47"/>
      <c r="M71" s="18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</row>
    <row r="72">
      <c r="A72" s="75" t="s">
        <v>663</v>
      </c>
      <c r="B72" s="47" t="s">
        <v>912</v>
      </c>
      <c r="C72" s="47" t="s">
        <v>93</v>
      </c>
      <c r="D72" s="47">
        <v>400000.0</v>
      </c>
      <c r="E72" s="152">
        <v>-18788.9</v>
      </c>
      <c r="F72" s="121">
        <v>111934.55</v>
      </c>
      <c r="G72" s="42"/>
      <c r="H72" s="121"/>
      <c r="I72" s="18"/>
      <c r="J72" s="122"/>
      <c r="K72" s="47">
        <v>8.0</v>
      </c>
      <c r="L72" s="47" t="s">
        <v>674</v>
      </c>
      <c r="M72" s="18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</row>
    <row r="73">
      <c r="A73" s="75" t="s">
        <v>672</v>
      </c>
      <c r="B73" s="47" t="s">
        <v>916</v>
      </c>
      <c r="C73" s="47" t="s">
        <v>93</v>
      </c>
      <c r="D73" s="47">
        <v>400000.0</v>
      </c>
      <c r="E73" s="152">
        <v>-18869.5</v>
      </c>
      <c r="F73" s="121" t="s">
        <v>917</v>
      </c>
      <c r="G73" s="42"/>
      <c r="H73" s="121"/>
      <c r="I73" s="18"/>
      <c r="J73" s="122"/>
      <c r="K73" s="47">
        <v>8.0</v>
      </c>
      <c r="L73" s="47" t="s">
        <v>674</v>
      </c>
      <c r="M73" s="18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</row>
    <row r="74">
      <c r="A74" s="75" t="s">
        <v>684</v>
      </c>
      <c r="B74" s="47" t="s">
        <v>918</v>
      </c>
      <c r="C74" s="47" t="s">
        <v>93</v>
      </c>
      <c r="D74" s="47">
        <v>200000.0</v>
      </c>
      <c r="E74" s="152">
        <v>0.0</v>
      </c>
      <c r="F74" s="121">
        <v>26765.05</v>
      </c>
      <c r="G74" s="42"/>
      <c r="H74" s="121"/>
      <c r="I74" s="18"/>
      <c r="J74" s="122"/>
      <c r="K74" s="47">
        <v>8.0</v>
      </c>
      <c r="L74" s="47" t="s">
        <v>674</v>
      </c>
      <c r="M74" s="18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</row>
    <row r="75">
      <c r="A75" s="75" t="s">
        <v>681</v>
      </c>
      <c r="B75" s="47" t="s">
        <v>919</v>
      </c>
      <c r="C75" s="47" t="s">
        <v>93</v>
      </c>
      <c r="D75" s="47">
        <v>600000.0</v>
      </c>
      <c r="E75" s="152">
        <v>-28278.9</v>
      </c>
      <c r="F75" s="121">
        <v>167992.5</v>
      </c>
      <c r="G75" s="42"/>
      <c r="H75" s="121"/>
      <c r="I75" s="18"/>
      <c r="J75" s="122"/>
      <c r="K75" s="47">
        <v>8.0</v>
      </c>
      <c r="L75" s="47" t="s">
        <v>674</v>
      </c>
      <c r="M75" s="18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>
      <c r="A76" s="75" t="s">
        <v>698</v>
      </c>
      <c r="B76" s="47" t="s">
        <v>920</v>
      </c>
      <c r="C76" s="47" t="s">
        <v>93</v>
      </c>
      <c r="D76" s="47">
        <v>200000.0</v>
      </c>
      <c r="E76" s="152">
        <v>0.0</v>
      </c>
      <c r="F76" s="121">
        <v>26777.4</v>
      </c>
      <c r="G76" s="42"/>
      <c r="H76" s="121"/>
      <c r="I76" s="18"/>
      <c r="J76" s="122"/>
      <c r="K76" s="47">
        <v>8.0</v>
      </c>
      <c r="L76" s="47" t="s">
        <v>674</v>
      </c>
      <c r="M76" s="18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>
      <c r="A77" s="75" t="s">
        <v>690</v>
      </c>
      <c r="B77" s="47" t="s">
        <v>921</v>
      </c>
      <c r="C77" s="47" t="s">
        <v>93</v>
      </c>
      <c r="D77" s="47">
        <v>200000.0</v>
      </c>
      <c r="E77" s="152">
        <v>0.0</v>
      </c>
      <c r="F77" s="121">
        <v>26627.9</v>
      </c>
      <c r="G77" s="42"/>
      <c r="H77" s="121"/>
      <c r="I77" s="18"/>
      <c r="J77" s="122"/>
      <c r="K77" s="47">
        <v>8.0</v>
      </c>
      <c r="L77" s="47" t="s">
        <v>674</v>
      </c>
      <c r="M77" s="18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</row>
    <row r="78">
      <c r="A78" s="75" t="s">
        <v>694</v>
      </c>
      <c r="B78" s="47" t="s">
        <v>922</v>
      </c>
      <c r="C78" s="47" t="s">
        <v>93</v>
      </c>
      <c r="D78" s="47">
        <v>200000.0</v>
      </c>
      <c r="E78" s="152">
        <v>0.0</v>
      </c>
      <c r="F78" s="121">
        <v>26762.45</v>
      </c>
      <c r="G78" s="42"/>
      <c r="H78" s="121"/>
      <c r="I78" s="18"/>
      <c r="J78" s="122"/>
      <c r="K78" s="47">
        <v>8.0</v>
      </c>
      <c r="L78" s="47" t="s">
        <v>674</v>
      </c>
      <c r="M78" s="18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</row>
    <row r="79">
      <c r="A79" s="75" t="s">
        <v>687</v>
      </c>
      <c r="B79" s="47" t="s">
        <v>925</v>
      </c>
      <c r="C79" s="47" t="s">
        <v>93</v>
      </c>
      <c r="D79" s="47">
        <v>200000.0</v>
      </c>
      <c r="E79" s="152">
        <v>0.0</v>
      </c>
      <c r="F79" s="121">
        <v>26747.5</v>
      </c>
      <c r="G79" s="42"/>
      <c r="H79" s="121"/>
      <c r="I79" s="18"/>
      <c r="J79" s="122"/>
      <c r="K79" s="47">
        <v>8.0</v>
      </c>
      <c r="L79" s="47" t="s">
        <v>674</v>
      </c>
      <c r="M79" s="18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</row>
    <row r="80">
      <c r="A80" s="75" t="s">
        <v>677</v>
      </c>
      <c r="B80" s="47" t="s">
        <v>926</v>
      </c>
      <c r="C80" s="47" t="s">
        <v>93</v>
      </c>
      <c r="D80" s="47">
        <v>200000.0</v>
      </c>
      <c r="E80" s="152">
        <v>0.0</v>
      </c>
      <c r="F80" s="121">
        <v>26673.4</v>
      </c>
      <c r="G80" s="42"/>
      <c r="H80" s="121"/>
      <c r="I80" s="18"/>
      <c r="J80" s="122"/>
      <c r="K80" s="47">
        <v>8.0</v>
      </c>
      <c r="L80" s="47" t="s">
        <v>674</v>
      </c>
      <c r="M80" s="18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</row>
    <row r="81">
      <c r="A81" s="75" t="s">
        <v>763</v>
      </c>
      <c r="B81" s="47" t="s">
        <v>927</v>
      </c>
      <c r="C81" s="47" t="s">
        <v>93</v>
      </c>
      <c r="D81" s="47">
        <v>200000.0</v>
      </c>
      <c r="E81" s="152">
        <v>0.0</v>
      </c>
      <c r="F81" s="121">
        <v>26607.75</v>
      </c>
      <c r="G81" s="42"/>
      <c r="H81" s="121"/>
      <c r="I81" s="18"/>
      <c r="J81" s="122"/>
      <c r="K81" s="47">
        <v>8.0</v>
      </c>
      <c r="L81" s="47" t="s">
        <v>674</v>
      </c>
      <c r="M81" s="18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</row>
    <row r="82">
      <c r="A82" s="75" t="s">
        <v>770</v>
      </c>
      <c r="B82" s="47" t="s">
        <v>928</v>
      </c>
      <c r="C82" s="47" t="s">
        <v>93</v>
      </c>
      <c r="D82" s="47">
        <v>200000.0</v>
      </c>
      <c r="E82" s="152">
        <v>0.0</v>
      </c>
      <c r="F82" s="121">
        <v>26726.05</v>
      </c>
      <c r="G82" s="42"/>
      <c r="H82" s="121"/>
      <c r="I82" s="18"/>
      <c r="J82" s="122"/>
      <c r="K82" s="47">
        <v>8.0</v>
      </c>
      <c r="L82" s="47" t="s">
        <v>674</v>
      </c>
      <c r="M82" s="18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</row>
    <row r="83">
      <c r="A83" s="75" t="s">
        <v>659</v>
      </c>
      <c r="B83" s="47" t="s">
        <v>316</v>
      </c>
      <c r="C83" s="47" t="s">
        <v>93</v>
      </c>
      <c r="D83" s="47">
        <v>200000.0</v>
      </c>
      <c r="E83" s="152">
        <v>-10156.25</v>
      </c>
      <c r="F83" s="121">
        <v>57366.4</v>
      </c>
      <c r="G83" s="42"/>
      <c r="H83" s="121"/>
      <c r="I83" s="18"/>
      <c r="J83" s="122"/>
      <c r="K83" s="47">
        <v>8.0</v>
      </c>
      <c r="L83" s="47" t="s">
        <v>162</v>
      </c>
      <c r="M83" s="18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</row>
    <row r="84">
      <c r="A84" s="75" t="s">
        <v>658</v>
      </c>
      <c r="B84" s="47" t="s">
        <v>929</v>
      </c>
      <c r="C84" s="47" t="s">
        <v>93</v>
      </c>
      <c r="D84" s="47">
        <v>600000.0</v>
      </c>
      <c r="E84" s="152">
        <v>-30540.9</v>
      </c>
      <c r="F84" s="121">
        <v>171464.15</v>
      </c>
      <c r="G84" s="42"/>
      <c r="H84" s="121"/>
      <c r="I84" s="18"/>
      <c r="J84" s="122"/>
      <c r="K84" s="47">
        <v>8.0</v>
      </c>
      <c r="L84" s="47" t="s">
        <v>162</v>
      </c>
      <c r="M84" s="18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</row>
    <row r="85">
      <c r="A85" s="75" t="s">
        <v>838</v>
      </c>
      <c r="B85" s="47" t="s">
        <v>931</v>
      </c>
      <c r="C85" s="47" t="s">
        <v>93</v>
      </c>
      <c r="D85" s="47">
        <v>600000.0</v>
      </c>
      <c r="E85" s="152">
        <v>0.0</v>
      </c>
      <c r="F85" s="121">
        <v>81485.3</v>
      </c>
      <c r="G85" s="42"/>
      <c r="H85" s="121"/>
      <c r="I85" s="18"/>
      <c r="J85" s="122"/>
      <c r="K85" s="47">
        <v>8.0</v>
      </c>
      <c r="L85" s="47" t="s">
        <v>162</v>
      </c>
      <c r="M85" s="18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>
      <c r="A86" s="75" t="s">
        <v>609</v>
      </c>
      <c r="B86" s="47" t="s">
        <v>932</v>
      </c>
      <c r="C86" s="47" t="s">
        <v>93</v>
      </c>
      <c r="D86" s="47">
        <v>200000.0</v>
      </c>
      <c r="E86" s="152">
        <v>0.0</v>
      </c>
      <c r="F86" s="121">
        <v>27043.9</v>
      </c>
      <c r="G86" s="42"/>
      <c r="H86" s="121"/>
      <c r="I86" s="18"/>
      <c r="J86" s="122"/>
      <c r="K86" s="47">
        <v>8.0</v>
      </c>
      <c r="L86" s="47" t="s">
        <v>162</v>
      </c>
      <c r="M86" s="18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>
      <c r="A87" s="75" t="s">
        <v>898</v>
      </c>
      <c r="B87" s="47" t="s">
        <v>933</v>
      </c>
      <c r="C87" s="47" t="s">
        <v>93</v>
      </c>
      <c r="D87" s="47">
        <v>400000.0</v>
      </c>
      <c r="E87" s="152">
        <v>-20325.5</v>
      </c>
      <c r="F87" s="121">
        <v>114901.15</v>
      </c>
      <c r="G87" s="42"/>
      <c r="H87" s="121"/>
      <c r="I87" s="18"/>
      <c r="J87" s="122"/>
      <c r="K87" s="47">
        <v>8.0</v>
      </c>
      <c r="L87" s="47" t="s">
        <v>162</v>
      </c>
      <c r="M87" s="18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>
      <c r="A88" s="75" t="s">
        <v>832</v>
      </c>
      <c r="B88" s="47" t="s">
        <v>934</v>
      </c>
      <c r="C88" s="47" t="s">
        <v>93</v>
      </c>
      <c r="D88" s="47">
        <v>200000.0</v>
      </c>
      <c r="E88" s="152">
        <v>0.0</v>
      </c>
      <c r="F88" s="121">
        <v>26802.1</v>
      </c>
      <c r="G88" s="42"/>
      <c r="H88" s="121"/>
      <c r="I88" s="18"/>
      <c r="J88" s="122"/>
      <c r="K88" s="47">
        <v>8.0</v>
      </c>
      <c r="L88" s="47" t="s">
        <v>162</v>
      </c>
      <c r="M88" s="18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>
      <c r="A89" s="75" t="s">
        <v>909</v>
      </c>
      <c r="B89" s="47" t="s">
        <v>935</v>
      </c>
      <c r="C89" s="47" t="s">
        <v>93</v>
      </c>
      <c r="D89" s="47">
        <v>200000.0</v>
      </c>
      <c r="E89" s="152">
        <v>-9421.75</v>
      </c>
      <c r="F89" s="121">
        <v>56000.75</v>
      </c>
      <c r="G89" s="42"/>
      <c r="H89" s="121"/>
      <c r="I89" s="18"/>
      <c r="J89" s="122"/>
      <c r="K89" s="47">
        <v>8.0</v>
      </c>
      <c r="L89" s="47" t="s">
        <v>936</v>
      </c>
      <c r="M89" s="18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</row>
    <row r="90">
      <c r="A90" s="75" t="s">
        <v>617</v>
      </c>
      <c r="B90" s="47" t="s">
        <v>937</v>
      </c>
      <c r="C90" s="47" t="s">
        <v>93</v>
      </c>
      <c r="D90" s="47">
        <v>200000.0</v>
      </c>
      <c r="E90" s="152">
        <v>-9389.25</v>
      </c>
      <c r="F90" s="121">
        <v>56269.85</v>
      </c>
      <c r="G90" s="42"/>
      <c r="H90" s="121"/>
      <c r="I90" s="18"/>
      <c r="J90" s="122"/>
      <c r="K90" s="47">
        <v>8.0</v>
      </c>
      <c r="L90" s="47" t="s">
        <v>936</v>
      </c>
      <c r="M90" s="18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</row>
    <row r="91">
      <c r="A91" s="75" t="s">
        <v>605</v>
      </c>
      <c r="B91" s="47" t="s">
        <v>938</v>
      </c>
      <c r="C91" s="47" t="s">
        <v>93</v>
      </c>
      <c r="D91" s="47">
        <v>200000.0</v>
      </c>
      <c r="E91" s="152">
        <v>0.0</v>
      </c>
      <c r="F91" s="121">
        <v>26846.3</v>
      </c>
      <c r="G91" s="42"/>
      <c r="H91" s="121"/>
      <c r="I91" s="18"/>
      <c r="J91" s="122"/>
      <c r="K91" s="47">
        <v>8.0</v>
      </c>
      <c r="L91" s="47" t="s">
        <v>936</v>
      </c>
      <c r="M91" s="18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75" t="s">
        <v>607</v>
      </c>
      <c r="B92" s="47" t="s">
        <v>941</v>
      </c>
      <c r="C92" s="47" t="s">
        <v>93</v>
      </c>
      <c r="D92" s="47">
        <v>200000.0</v>
      </c>
      <c r="E92" s="152">
        <v>0.0</v>
      </c>
      <c r="F92" s="121">
        <v>26848.25</v>
      </c>
      <c r="G92" s="42"/>
      <c r="H92" s="121"/>
      <c r="I92" s="18"/>
      <c r="J92" s="122"/>
      <c r="K92" s="47">
        <v>8.0</v>
      </c>
      <c r="L92" s="47" t="s">
        <v>936</v>
      </c>
      <c r="M92" s="18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75" t="s">
        <v>599</v>
      </c>
      <c r="B93" s="47" t="s">
        <v>943</v>
      </c>
      <c r="C93" s="47" t="s">
        <v>93</v>
      </c>
      <c r="D93" s="47">
        <v>200000.0</v>
      </c>
      <c r="E93" s="152">
        <v>0.0</v>
      </c>
      <c r="F93" s="121">
        <v>26796.25</v>
      </c>
      <c r="G93" s="42"/>
      <c r="H93" s="121"/>
      <c r="I93" s="18"/>
      <c r="J93" s="122"/>
      <c r="K93" s="47">
        <v>8.0</v>
      </c>
      <c r="L93" s="47" t="s">
        <v>936</v>
      </c>
      <c r="M93" s="18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75" t="s">
        <v>606</v>
      </c>
      <c r="B94" s="47" t="s">
        <v>944</v>
      </c>
      <c r="C94" s="47" t="s">
        <v>93</v>
      </c>
      <c r="D94" s="47">
        <v>200000.0</v>
      </c>
      <c r="E94" s="152">
        <v>-8437.0</v>
      </c>
      <c r="F94" s="121">
        <v>56275.05</v>
      </c>
      <c r="G94" s="42"/>
      <c r="H94" s="121"/>
      <c r="I94" s="18"/>
      <c r="J94" s="122"/>
      <c r="K94" s="47">
        <v>8.0</v>
      </c>
      <c r="L94" s="47" t="s">
        <v>936</v>
      </c>
      <c r="M94" s="18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75" t="s">
        <v>945</v>
      </c>
      <c r="B95" s="47" t="s">
        <v>946</v>
      </c>
      <c r="C95" s="47" t="s">
        <v>93</v>
      </c>
      <c r="D95" s="47">
        <v>200000.0</v>
      </c>
      <c r="E95" s="152">
        <v>0.0</v>
      </c>
      <c r="F95" s="121">
        <v>26863.2</v>
      </c>
      <c r="G95" s="42"/>
      <c r="H95" s="121"/>
      <c r="I95" s="18"/>
      <c r="J95" s="122"/>
      <c r="K95" s="47">
        <v>8.0</v>
      </c>
      <c r="L95" s="47" t="s">
        <v>936</v>
      </c>
      <c r="M95" s="18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75" t="s">
        <v>583</v>
      </c>
      <c r="B96" s="47" t="s">
        <v>947</v>
      </c>
      <c r="C96" s="47" t="s">
        <v>94</v>
      </c>
      <c r="D96" s="47">
        <v>200000.0</v>
      </c>
      <c r="E96" s="152">
        <v>0.0</v>
      </c>
      <c r="F96" s="121">
        <v>26887.9</v>
      </c>
      <c r="G96" s="42"/>
      <c r="H96" s="121"/>
      <c r="I96" s="18"/>
      <c r="J96" s="122"/>
      <c r="K96" s="47">
        <v>8.0</v>
      </c>
      <c r="L96" s="47" t="s">
        <v>585</v>
      </c>
      <c r="M96" s="18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75"/>
      <c r="B97" s="47"/>
      <c r="C97" s="47"/>
      <c r="D97" s="47"/>
      <c r="E97" s="121"/>
      <c r="F97" s="121"/>
      <c r="G97" s="121"/>
      <c r="H97" s="121"/>
      <c r="I97" s="18"/>
      <c r="J97" s="122"/>
      <c r="K97" s="47"/>
      <c r="L97" s="47"/>
      <c r="M97" s="18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75"/>
      <c r="B98" s="47"/>
      <c r="C98" s="47"/>
      <c r="D98" s="47"/>
      <c r="E98" s="121"/>
      <c r="F98" s="121"/>
      <c r="G98" s="121"/>
      <c r="H98" s="121"/>
      <c r="I98" s="18"/>
      <c r="J98" s="122"/>
      <c r="K98" s="47"/>
      <c r="L98" s="47"/>
      <c r="M98" s="18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75"/>
      <c r="B99" s="47"/>
      <c r="C99" s="47"/>
      <c r="D99" s="47"/>
      <c r="E99" s="121"/>
      <c r="F99" s="121"/>
      <c r="G99" s="121"/>
      <c r="H99" s="121"/>
      <c r="I99" s="18"/>
      <c r="J99" s="122"/>
      <c r="K99" s="47"/>
      <c r="L99" s="47"/>
      <c r="M99" s="18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75"/>
      <c r="B100" s="47"/>
      <c r="C100" s="47"/>
      <c r="D100" s="47"/>
      <c r="E100" s="121"/>
      <c r="F100" s="121"/>
      <c r="G100" s="121"/>
      <c r="H100" s="121"/>
      <c r="I100" s="18"/>
      <c r="J100" s="122"/>
      <c r="K100" s="47"/>
      <c r="L100" s="47"/>
      <c r="M100" s="18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75"/>
      <c r="B101" s="47"/>
      <c r="C101" s="47"/>
      <c r="D101" s="47"/>
      <c r="E101" s="121"/>
      <c r="F101" s="121"/>
      <c r="G101" s="121"/>
      <c r="H101" s="121"/>
      <c r="I101" s="18"/>
      <c r="J101" s="122"/>
      <c r="K101" s="47"/>
      <c r="L101" s="47"/>
      <c r="M101" s="18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75"/>
      <c r="B102" s="47"/>
      <c r="C102" s="47"/>
      <c r="D102" s="47"/>
      <c r="E102" s="121"/>
      <c r="F102" s="121"/>
      <c r="G102" s="121"/>
      <c r="H102" s="121"/>
      <c r="I102" s="18"/>
      <c r="J102" s="122"/>
      <c r="K102" s="47"/>
      <c r="L102" s="47"/>
      <c r="M102" s="18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75"/>
      <c r="B103" s="47"/>
      <c r="C103" s="47"/>
      <c r="D103" s="47"/>
      <c r="E103" s="121"/>
      <c r="F103" s="121"/>
      <c r="G103" s="121"/>
      <c r="H103" s="121"/>
      <c r="I103" s="18"/>
      <c r="J103" s="122"/>
      <c r="K103" s="47"/>
      <c r="L103" s="47"/>
      <c r="M103" s="18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75"/>
      <c r="B104" s="47"/>
      <c r="C104" s="47"/>
      <c r="D104" s="47"/>
      <c r="E104" s="121"/>
      <c r="F104" s="121"/>
      <c r="G104" s="121"/>
      <c r="H104" s="121"/>
      <c r="I104" s="18"/>
      <c r="J104" s="122"/>
      <c r="K104" s="47"/>
      <c r="L104" s="47"/>
      <c r="M104" s="18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75"/>
      <c r="B105" s="47"/>
      <c r="C105" s="47"/>
      <c r="D105" s="47"/>
      <c r="E105" s="121"/>
      <c r="F105" s="121"/>
      <c r="G105" s="121"/>
      <c r="H105" s="121"/>
      <c r="I105" s="18"/>
      <c r="J105" s="122"/>
      <c r="K105" s="47"/>
      <c r="L105" s="47"/>
      <c r="M105" s="18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75"/>
      <c r="B106" s="47"/>
      <c r="C106" s="47"/>
      <c r="D106" s="47"/>
      <c r="E106" s="121"/>
      <c r="F106" s="121"/>
      <c r="G106" s="121"/>
      <c r="H106" s="121"/>
      <c r="I106" s="18"/>
      <c r="J106" s="122"/>
      <c r="K106" s="47"/>
      <c r="L106" s="47"/>
      <c r="M106" s="18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75"/>
      <c r="B107" s="47"/>
      <c r="C107" s="47"/>
      <c r="D107" s="47"/>
      <c r="E107" s="121"/>
      <c r="F107" s="121"/>
      <c r="G107" s="121"/>
      <c r="H107" s="121"/>
      <c r="I107" s="18"/>
      <c r="J107" s="122"/>
      <c r="K107" s="47"/>
      <c r="L107" s="47"/>
      <c r="M107" s="18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75"/>
      <c r="B108" s="47"/>
      <c r="C108" s="47"/>
      <c r="D108" s="47"/>
      <c r="E108" s="121"/>
      <c r="F108" s="121"/>
      <c r="G108" s="121"/>
      <c r="H108" s="121"/>
      <c r="I108" s="18"/>
      <c r="J108" s="122"/>
      <c r="K108" s="47"/>
      <c r="L108" s="47"/>
      <c r="M108" s="18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75"/>
      <c r="B109" s="47"/>
      <c r="C109" s="47"/>
      <c r="D109" s="47"/>
      <c r="E109" s="121"/>
      <c r="F109" s="121"/>
      <c r="G109" s="121"/>
      <c r="H109" s="121"/>
      <c r="I109" s="18"/>
      <c r="J109" s="122"/>
      <c r="K109" s="47"/>
      <c r="L109" s="47"/>
      <c r="M109" s="18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75"/>
      <c r="B110" s="47"/>
      <c r="C110" s="47"/>
      <c r="D110" s="47"/>
      <c r="E110" s="121"/>
      <c r="F110" s="121"/>
      <c r="G110" s="121"/>
      <c r="H110" s="121"/>
      <c r="I110" s="18"/>
      <c r="J110" s="122"/>
      <c r="K110" s="47"/>
      <c r="L110" s="47"/>
      <c r="M110" s="18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75"/>
      <c r="B111" s="47"/>
      <c r="C111" s="47"/>
      <c r="D111" s="47"/>
      <c r="E111" s="121"/>
      <c r="F111" s="121"/>
      <c r="G111" s="121"/>
      <c r="H111" s="121"/>
      <c r="I111" s="18"/>
      <c r="J111" s="122"/>
      <c r="K111" s="47"/>
      <c r="L111" s="47"/>
      <c r="M111" s="18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75"/>
      <c r="B112" s="47"/>
      <c r="C112" s="47"/>
      <c r="D112" s="47"/>
      <c r="E112" s="121"/>
      <c r="F112" s="121"/>
      <c r="G112" s="121"/>
      <c r="H112" s="121"/>
      <c r="I112" s="18"/>
      <c r="J112" s="122"/>
      <c r="K112" s="47"/>
      <c r="L112" s="47"/>
      <c r="M112" s="18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75"/>
      <c r="B113" s="47"/>
      <c r="C113" s="47"/>
      <c r="D113" s="47"/>
      <c r="E113" s="121"/>
      <c r="F113" s="121"/>
      <c r="G113" s="121"/>
      <c r="H113" s="121"/>
      <c r="I113" s="18"/>
      <c r="J113" s="122"/>
      <c r="K113" s="47"/>
      <c r="L113" s="47"/>
      <c r="M113" s="18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75"/>
      <c r="B114" s="47"/>
      <c r="C114" s="47"/>
      <c r="D114" s="47"/>
      <c r="E114" s="121"/>
      <c r="F114" s="121"/>
      <c r="G114" s="121"/>
      <c r="H114" s="121"/>
      <c r="I114" s="18"/>
      <c r="J114" s="122"/>
      <c r="K114" s="47"/>
      <c r="L114" s="47"/>
      <c r="M114" s="18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75"/>
      <c r="B115" s="47"/>
      <c r="C115" s="47"/>
      <c r="D115" s="47"/>
      <c r="E115" s="121"/>
      <c r="F115" s="121"/>
      <c r="G115" s="121"/>
      <c r="H115" s="121"/>
      <c r="I115" s="18"/>
      <c r="J115" s="122"/>
      <c r="K115" s="47"/>
      <c r="L115" s="47"/>
      <c r="M115" s="18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75"/>
      <c r="B116" s="47"/>
      <c r="C116" s="47"/>
      <c r="D116" s="47"/>
      <c r="E116" s="121"/>
      <c r="F116" s="121"/>
      <c r="G116" s="121"/>
      <c r="H116" s="121"/>
      <c r="I116" s="18"/>
      <c r="J116" s="122"/>
      <c r="K116" s="47"/>
      <c r="L116" s="47"/>
      <c r="M116" s="18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75"/>
      <c r="B117" s="47"/>
      <c r="C117" s="47"/>
      <c r="D117" s="47"/>
      <c r="E117" s="121"/>
      <c r="F117" s="121"/>
      <c r="G117" s="121"/>
      <c r="H117" s="121"/>
      <c r="I117" s="18"/>
      <c r="J117" s="122"/>
      <c r="K117" s="47"/>
      <c r="L117" s="47"/>
      <c r="M117" s="18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75"/>
      <c r="B118" s="47"/>
      <c r="C118" s="47"/>
      <c r="D118" s="47"/>
      <c r="E118" s="121"/>
      <c r="F118" s="121"/>
      <c r="G118" s="121"/>
      <c r="H118" s="121"/>
      <c r="I118" s="18"/>
      <c r="J118" s="122"/>
      <c r="K118" s="47"/>
      <c r="L118" s="47"/>
      <c r="M118" s="18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75"/>
      <c r="B119" s="47"/>
      <c r="C119" s="47"/>
      <c r="D119" s="47"/>
      <c r="E119" s="121"/>
      <c r="F119" s="121"/>
      <c r="G119" s="121"/>
      <c r="H119" s="121"/>
      <c r="I119" s="18"/>
      <c r="J119" s="122"/>
      <c r="K119" s="47"/>
      <c r="L119" s="47"/>
      <c r="M119" s="18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75"/>
      <c r="B120" s="47"/>
      <c r="C120" s="47"/>
      <c r="D120" s="47"/>
      <c r="E120" s="121"/>
      <c r="F120" s="121"/>
      <c r="G120" s="121"/>
      <c r="H120" s="121"/>
      <c r="I120" s="18"/>
      <c r="J120" s="122"/>
      <c r="K120" s="47"/>
      <c r="L120" s="47"/>
      <c r="M120" s="18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75"/>
      <c r="B121" s="47"/>
      <c r="C121" s="47"/>
      <c r="D121" s="47"/>
      <c r="E121" s="121"/>
      <c r="F121" s="121"/>
      <c r="G121" s="121"/>
      <c r="H121" s="121"/>
      <c r="I121" s="18"/>
      <c r="J121" s="122"/>
      <c r="K121" s="47"/>
      <c r="L121" s="47"/>
      <c r="M121" s="18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75"/>
      <c r="B122" s="47"/>
      <c r="C122" s="47"/>
      <c r="D122" s="47"/>
      <c r="E122" s="121"/>
      <c r="F122" s="121"/>
      <c r="G122" s="121"/>
      <c r="H122" s="121"/>
      <c r="I122" s="18"/>
      <c r="J122" s="122"/>
      <c r="K122" s="47"/>
      <c r="L122" s="47"/>
      <c r="M122" s="18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75"/>
      <c r="B123" s="47"/>
      <c r="C123" s="47"/>
      <c r="D123" s="47"/>
      <c r="E123" s="121"/>
      <c r="F123" s="121"/>
      <c r="G123" s="121"/>
      <c r="H123" s="121"/>
      <c r="I123" s="18"/>
      <c r="J123" s="122"/>
      <c r="K123" s="47"/>
      <c r="L123" s="47"/>
      <c r="M123" s="18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75"/>
      <c r="B124" s="47"/>
      <c r="C124" s="47"/>
      <c r="D124" s="47"/>
      <c r="E124" s="121"/>
      <c r="F124" s="121"/>
      <c r="G124" s="121"/>
      <c r="H124" s="121"/>
      <c r="I124" s="18"/>
      <c r="J124" s="122"/>
      <c r="K124" s="47"/>
      <c r="L124" s="47"/>
      <c r="M124" s="18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75"/>
      <c r="B125" s="47"/>
      <c r="C125" s="47"/>
      <c r="D125" s="47"/>
      <c r="E125" s="121"/>
      <c r="F125" s="121"/>
      <c r="G125" s="121"/>
      <c r="H125" s="121"/>
      <c r="I125" s="18"/>
      <c r="J125" s="122"/>
      <c r="K125" s="47"/>
      <c r="L125" s="47"/>
      <c r="M125" s="18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75"/>
      <c r="B126" s="47"/>
      <c r="C126" s="47"/>
      <c r="D126" s="47"/>
      <c r="E126" s="121"/>
      <c r="F126" s="121"/>
      <c r="G126" s="121"/>
      <c r="H126" s="121"/>
      <c r="I126" s="18"/>
      <c r="J126" s="122"/>
      <c r="K126" s="47"/>
      <c r="L126" s="47"/>
      <c r="M126" s="18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75"/>
      <c r="B127" s="75"/>
      <c r="C127" s="47"/>
      <c r="D127" s="152"/>
      <c r="E127" s="121"/>
      <c r="F127" s="121"/>
      <c r="G127" s="121"/>
      <c r="H127" s="121"/>
      <c r="I127" s="18"/>
      <c r="J127" s="122"/>
      <c r="K127" s="47"/>
      <c r="L127" s="47"/>
      <c r="M127" s="18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75"/>
      <c r="B128" s="47"/>
      <c r="C128" s="47"/>
      <c r="D128" s="47"/>
      <c r="E128" s="121"/>
      <c r="F128" s="121"/>
      <c r="G128" s="121"/>
      <c r="H128" s="121"/>
      <c r="I128" s="18"/>
      <c r="J128" s="122"/>
      <c r="K128" s="47"/>
      <c r="L128" s="47"/>
      <c r="M128" s="18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75"/>
      <c r="B129" s="47"/>
      <c r="C129" s="47"/>
      <c r="D129" s="47"/>
      <c r="E129" s="121"/>
      <c r="F129" s="121"/>
      <c r="G129" s="121"/>
      <c r="H129" s="121"/>
      <c r="I129" s="18"/>
      <c r="J129" s="122"/>
      <c r="K129" s="47"/>
      <c r="L129" s="47"/>
      <c r="M129" s="18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75"/>
      <c r="B130" s="47"/>
      <c r="C130" s="47"/>
      <c r="D130" s="47"/>
      <c r="E130" s="121"/>
      <c r="F130" s="121"/>
      <c r="G130" s="121"/>
      <c r="H130" s="121"/>
      <c r="I130" s="18"/>
      <c r="J130" s="122"/>
      <c r="K130" s="47"/>
      <c r="L130" s="47"/>
      <c r="M130" s="18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75"/>
      <c r="B131" s="47"/>
      <c r="C131" s="47"/>
      <c r="D131" s="47"/>
      <c r="E131" s="121"/>
      <c r="F131" s="121"/>
      <c r="G131" s="121"/>
      <c r="H131" s="121"/>
      <c r="I131" s="18"/>
      <c r="J131" s="122"/>
      <c r="K131" s="47"/>
      <c r="L131" s="47"/>
      <c r="M131" s="18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75"/>
      <c r="B132" s="47"/>
      <c r="C132" s="47"/>
      <c r="D132" s="47"/>
      <c r="E132" s="121"/>
      <c r="F132" s="121"/>
      <c r="G132" s="121"/>
      <c r="H132" s="121"/>
      <c r="I132" s="18"/>
      <c r="J132" s="122"/>
      <c r="K132" s="47"/>
      <c r="L132" s="47"/>
      <c r="M132" s="18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75"/>
      <c r="B133" s="47"/>
      <c r="C133" s="47"/>
      <c r="D133" s="47"/>
      <c r="E133" s="121"/>
      <c r="F133" s="121"/>
      <c r="G133" s="121"/>
      <c r="H133" s="121"/>
      <c r="I133" s="18"/>
      <c r="J133" s="122"/>
      <c r="K133" s="47"/>
      <c r="L133" s="47"/>
      <c r="M133" s="18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75"/>
      <c r="B134" s="47"/>
      <c r="C134" s="47"/>
      <c r="D134" s="47"/>
      <c r="E134" s="121"/>
      <c r="F134" s="121"/>
      <c r="G134" s="121"/>
      <c r="H134" s="121"/>
      <c r="I134" s="18"/>
      <c r="J134" s="122"/>
      <c r="K134" s="47"/>
      <c r="L134" s="47"/>
      <c r="M134" s="18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75"/>
      <c r="B135" s="47"/>
      <c r="C135" s="47"/>
      <c r="D135" s="47"/>
      <c r="E135" s="121"/>
      <c r="F135" s="121"/>
      <c r="G135" s="121"/>
      <c r="H135" s="121"/>
      <c r="I135" s="18"/>
      <c r="J135" s="122"/>
      <c r="K135" s="47"/>
      <c r="L135" s="47"/>
      <c r="M135" s="18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75"/>
      <c r="B136" s="47"/>
      <c r="C136" s="47"/>
      <c r="D136" s="47"/>
      <c r="E136" s="121"/>
      <c r="F136" s="121"/>
      <c r="G136" s="121"/>
      <c r="H136" s="121"/>
      <c r="I136" s="18"/>
      <c r="J136" s="122"/>
      <c r="K136" s="47"/>
      <c r="L136" s="47"/>
      <c r="M136" s="18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75"/>
      <c r="B137" s="47"/>
      <c r="C137" s="47"/>
      <c r="D137" s="47"/>
      <c r="E137" s="121"/>
      <c r="F137" s="121"/>
      <c r="G137" s="121"/>
      <c r="H137" s="121"/>
      <c r="I137" s="18"/>
      <c r="J137" s="122"/>
      <c r="K137" s="47"/>
      <c r="L137" s="47"/>
      <c r="M137" s="18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75"/>
      <c r="B138" s="47"/>
      <c r="C138" s="47"/>
      <c r="D138" s="47"/>
      <c r="E138" s="121"/>
      <c r="F138" s="121"/>
      <c r="G138" s="121"/>
      <c r="H138" s="121"/>
      <c r="I138" s="18"/>
      <c r="J138" s="122"/>
      <c r="K138" s="47"/>
      <c r="L138" s="47"/>
      <c r="M138" s="18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75"/>
      <c r="B139" s="47"/>
      <c r="C139" s="47"/>
      <c r="D139" s="47"/>
      <c r="E139" s="121"/>
      <c r="F139" s="121"/>
      <c r="G139" s="121"/>
      <c r="H139" s="121"/>
      <c r="I139" s="18"/>
      <c r="J139" s="122"/>
      <c r="K139" s="47"/>
      <c r="L139" s="47"/>
      <c r="M139" s="18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75"/>
      <c r="B140" s="47"/>
      <c r="C140" s="47"/>
      <c r="D140" s="47"/>
      <c r="E140" s="121"/>
      <c r="F140" s="121"/>
      <c r="G140" s="121"/>
      <c r="H140" s="121"/>
      <c r="I140" s="18"/>
      <c r="J140" s="122"/>
      <c r="K140" s="47"/>
      <c r="L140" s="47"/>
      <c r="M140" s="18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75"/>
      <c r="B141" s="47"/>
      <c r="C141" s="47"/>
      <c r="D141" s="47"/>
      <c r="E141" s="121"/>
      <c r="F141" s="121"/>
      <c r="G141" s="121"/>
      <c r="H141" s="121"/>
      <c r="I141" s="18"/>
      <c r="J141" s="122"/>
      <c r="K141" s="47"/>
      <c r="L141" s="47"/>
      <c r="M141" s="18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75"/>
      <c r="B142" s="47"/>
      <c r="C142" s="47"/>
      <c r="D142" s="47"/>
      <c r="E142" s="121"/>
      <c r="F142" s="121"/>
      <c r="G142" s="121"/>
      <c r="H142" s="121"/>
      <c r="I142" s="18"/>
      <c r="J142" s="122"/>
      <c r="K142" s="47"/>
      <c r="L142" s="47"/>
      <c r="M142" s="18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75"/>
      <c r="B143" s="47"/>
      <c r="C143" s="47"/>
      <c r="D143" s="47"/>
      <c r="E143" s="121"/>
      <c r="F143" s="121"/>
      <c r="G143" s="121"/>
      <c r="H143" s="121"/>
      <c r="I143" s="18"/>
      <c r="J143" s="122"/>
      <c r="K143" s="47"/>
      <c r="L143" s="47"/>
      <c r="M143" s="18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75"/>
      <c r="B144" s="47"/>
      <c r="C144" s="47"/>
      <c r="D144" s="47"/>
      <c r="E144" s="121"/>
      <c r="F144" s="121"/>
      <c r="G144" s="121"/>
      <c r="H144" s="121"/>
      <c r="I144" s="18"/>
      <c r="J144" s="122"/>
      <c r="K144" s="47"/>
      <c r="L144" s="47"/>
      <c r="M144" s="18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75"/>
      <c r="B145" s="47"/>
      <c r="C145" s="47"/>
      <c r="D145" s="47"/>
      <c r="E145" s="121"/>
      <c r="F145" s="121"/>
      <c r="G145" s="121"/>
      <c r="H145" s="121"/>
      <c r="I145" s="18"/>
      <c r="J145" s="122"/>
      <c r="K145" s="47"/>
      <c r="L145" s="47"/>
      <c r="M145" s="18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75"/>
      <c r="B146" s="47"/>
      <c r="C146" s="47"/>
      <c r="D146" s="47"/>
      <c r="E146" s="121"/>
      <c r="F146" s="121"/>
      <c r="G146" s="121"/>
      <c r="H146" s="121"/>
      <c r="I146" s="18"/>
      <c r="J146" s="122"/>
      <c r="K146" s="47"/>
      <c r="L146" s="47"/>
      <c r="M146" s="18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75"/>
      <c r="B147" s="47"/>
      <c r="C147" s="47"/>
      <c r="D147" s="47"/>
      <c r="E147" s="121"/>
      <c r="F147" s="121"/>
      <c r="G147" s="121"/>
      <c r="H147" s="121"/>
      <c r="I147" s="18"/>
      <c r="J147" s="122"/>
      <c r="K147" s="47"/>
      <c r="L147" s="47"/>
      <c r="M147" s="18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75"/>
      <c r="B148" s="47"/>
      <c r="C148" s="47"/>
      <c r="D148" s="47"/>
      <c r="E148" s="121"/>
      <c r="F148" s="121"/>
      <c r="G148" s="121"/>
      <c r="H148" s="121"/>
      <c r="I148" s="18"/>
      <c r="J148" s="122"/>
      <c r="K148" s="47"/>
      <c r="L148" s="47"/>
      <c r="M148" s="18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75"/>
      <c r="B149" s="47"/>
      <c r="C149" s="47"/>
      <c r="D149" s="47"/>
      <c r="E149" s="121"/>
      <c r="F149" s="121"/>
      <c r="G149" s="121"/>
      <c r="H149" s="121"/>
      <c r="I149" s="18"/>
      <c r="J149" s="122"/>
      <c r="K149" s="47"/>
      <c r="L149" s="47"/>
      <c r="M149" s="18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75"/>
      <c r="B150" s="47"/>
      <c r="C150" s="47"/>
      <c r="D150" s="47"/>
      <c r="E150" s="121"/>
      <c r="F150" s="121"/>
      <c r="G150" s="121"/>
      <c r="H150" s="121"/>
      <c r="I150" s="18"/>
      <c r="J150" s="122"/>
      <c r="K150" s="47"/>
      <c r="L150" s="47"/>
      <c r="M150" s="18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75"/>
      <c r="B151" s="47"/>
      <c r="C151" s="47"/>
      <c r="D151" s="47"/>
      <c r="E151" s="121"/>
      <c r="F151" s="121"/>
      <c r="G151" s="121"/>
      <c r="H151" s="121"/>
      <c r="I151" s="18"/>
      <c r="J151" s="122"/>
      <c r="K151" s="47"/>
      <c r="L151" s="47"/>
      <c r="M151" s="18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75"/>
      <c r="B152" s="47"/>
      <c r="C152" s="47"/>
      <c r="D152" s="47"/>
      <c r="E152" s="121"/>
      <c r="F152" s="121"/>
      <c r="G152" s="121"/>
      <c r="H152" s="121"/>
      <c r="I152" s="18"/>
      <c r="J152" s="122"/>
      <c r="K152" s="47"/>
      <c r="L152" s="47"/>
      <c r="M152" s="18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75"/>
      <c r="B153" s="47"/>
      <c r="C153" s="47"/>
      <c r="D153" s="47"/>
      <c r="E153" s="121"/>
      <c r="F153" s="121"/>
      <c r="G153" s="121"/>
      <c r="H153" s="121"/>
      <c r="I153" s="18"/>
      <c r="J153" s="122"/>
      <c r="K153" s="47"/>
      <c r="L153" s="47"/>
      <c r="M153" s="18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75"/>
      <c r="B154" s="47"/>
      <c r="C154" s="47"/>
      <c r="D154" s="47"/>
      <c r="E154" s="121"/>
      <c r="F154" s="121"/>
      <c r="G154" s="121"/>
      <c r="H154" s="121"/>
      <c r="I154" s="18"/>
      <c r="J154" s="122"/>
      <c r="K154" s="47"/>
      <c r="L154" s="47"/>
      <c r="M154" s="18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75"/>
      <c r="B155" s="47"/>
      <c r="C155" s="47"/>
      <c r="D155" s="47"/>
      <c r="E155" s="121"/>
      <c r="F155" s="121"/>
      <c r="G155" s="121"/>
      <c r="H155" s="121"/>
      <c r="I155" s="18"/>
      <c r="J155" s="122"/>
      <c r="K155" s="47"/>
      <c r="L155" s="47"/>
      <c r="M155" s="18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75"/>
      <c r="B156" s="47"/>
      <c r="C156" s="47"/>
      <c r="D156" s="47"/>
      <c r="E156" s="121"/>
      <c r="F156" s="121"/>
      <c r="G156" s="121"/>
      <c r="H156" s="121"/>
      <c r="I156" s="18"/>
      <c r="J156" s="122"/>
      <c r="K156" s="47"/>
      <c r="L156" s="47"/>
      <c r="M156" s="18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75"/>
      <c r="B157" s="47"/>
      <c r="C157" s="47"/>
      <c r="D157" s="47"/>
      <c r="E157" s="121"/>
      <c r="F157" s="121"/>
      <c r="G157" s="121"/>
      <c r="H157" s="121"/>
      <c r="I157" s="18"/>
      <c r="J157" s="122"/>
      <c r="K157" s="47"/>
      <c r="L157" s="47"/>
      <c r="M157" s="18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75"/>
      <c r="B158" s="47"/>
      <c r="C158" s="47"/>
      <c r="D158" s="47"/>
      <c r="E158" s="121"/>
      <c r="F158" s="121"/>
      <c r="G158" s="121"/>
      <c r="H158" s="121"/>
      <c r="I158" s="18"/>
      <c r="J158" s="122"/>
      <c r="K158" s="47"/>
      <c r="L158" s="47"/>
      <c r="M158" s="18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75"/>
      <c r="B159" s="47"/>
      <c r="C159" s="47"/>
      <c r="D159" s="47"/>
      <c r="E159" s="121"/>
      <c r="F159" s="121"/>
      <c r="G159" s="121"/>
      <c r="H159" s="121"/>
      <c r="I159" s="18"/>
      <c r="J159" s="122"/>
      <c r="K159" s="47"/>
      <c r="L159" s="47"/>
      <c r="M159" s="18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75"/>
      <c r="B160" s="47"/>
      <c r="C160" s="47"/>
      <c r="D160" s="47"/>
      <c r="E160" s="121"/>
      <c r="F160" s="121"/>
      <c r="G160" s="121"/>
      <c r="H160" s="121"/>
      <c r="I160" s="18"/>
      <c r="J160" s="122"/>
      <c r="K160" s="47"/>
      <c r="L160" s="47"/>
      <c r="M160" s="18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75"/>
      <c r="B161" s="47"/>
      <c r="C161" s="47"/>
      <c r="D161" s="47"/>
      <c r="E161" s="121"/>
      <c r="F161" s="121"/>
      <c r="G161" s="121"/>
      <c r="H161" s="121"/>
      <c r="I161" s="18"/>
      <c r="J161" s="122"/>
      <c r="K161" s="47"/>
      <c r="L161" s="47"/>
      <c r="M161" s="18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75"/>
      <c r="B162" s="47"/>
      <c r="C162" s="47"/>
      <c r="D162" s="47"/>
      <c r="E162" s="121"/>
      <c r="F162" s="121"/>
      <c r="G162" s="121"/>
      <c r="H162" s="121"/>
      <c r="I162" s="18"/>
      <c r="J162" s="122"/>
      <c r="K162" s="47"/>
      <c r="L162" s="47"/>
      <c r="M162" s="18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75"/>
      <c r="B163" s="47"/>
      <c r="C163" s="47"/>
      <c r="D163" s="47"/>
      <c r="E163" s="121"/>
      <c r="F163" s="121"/>
      <c r="G163" s="121"/>
      <c r="H163" s="121"/>
      <c r="I163" s="18"/>
      <c r="J163" s="122"/>
      <c r="K163" s="47"/>
      <c r="L163" s="47"/>
      <c r="M163" s="18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75"/>
      <c r="B164" s="47"/>
      <c r="C164" s="47"/>
      <c r="D164" s="47"/>
      <c r="E164" s="121"/>
      <c r="F164" s="121"/>
      <c r="G164" s="121"/>
      <c r="H164" s="121"/>
      <c r="I164" s="18"/>
      <c r="J164" s="122"/>
      <c r="K164" s="47"/>
      <c r="L164" s="47"/>
      <c r="M164" s="18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75"/>
      <c r="B165" s="47"/>
      <c r="C165" s="47"/>
      <c r="D165" s="47"/>
      <c r="E165" s="121"/>
      <c r="F165" s="121"/>
      <c r="G165" s="121"/>
      <c r="H165" s="121"/>
      <c r="I165" s="18"/>
      <c r="J165" s="122"/>
      <c r="K165" s="47"/>
      <c r="L165" s="47"/>
      <c r="M165" s="18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75"/>
      <c r="B166" s="47"/>
      <c r="C166" s="47"/>
      <c r="D166" s="47"/>
      <c r="E166" s="121"/>
      <c r="F166" s="121"/>
      <c r="G166" s="121"/>
      <c r="H166" s="121"/>
      <c r="I166" s="18"/>
      <c r="J166" s="122"/>
      <c r="K166" s="47"/>
      <c r="L166" s="47"/>
      <c r="M166" s="18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75"/>
      <c r="B167" s="47"/>
      <c r="C167" s="47"/>
      <c r="D167" s="47"/>
      <c r="E167" s="121"/>
      <c r="F167" s="121"/>
      <c r="G167" s="121"/>
      <c r="H167" s="121"/>
      <c r="I167" s="18"/>
      <c r="J167" s="122"/>
      <c r="K167" s="47"/>
      <c r="L167" s="47"/>
      <c r="M167" s="18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75"/>
      <c r="B168" s="47"/>
      <c r="C168" s="47"/>
      <c r="D168" s="47"/>
      <c r="E168" s="121"/>
      <c r="F168" s="121"/>
      <c r="G168" s="121"/>
      <c r="H168" s="121"/>
      <c r="I168" s="18"/>
      <c r="J168" s="122"/>
      <c r="K168" s="47"/>
      <c r="L168" s="47"/>
      <c r="M168" s="18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75"/>
      <c r="B169" s="47"/>
      <c r="C169" s="47"/>
      <c r="D169" s="47"/>
      <c r="E169" s="121"/>
      <c r="F169" s="121"/>
      <c r="G169" s="121"/>
      <c r="H169" s="121"/>
      <c r="I169" s="18"/>
      <c r="J169" s="122"/>
      <c r="K169" s="47"/>
      <c r="L169" s="47"/>
      <c r="M169" s="18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75"/>
      <c r="B170" s="47"/>
      <c r="C170" s="47"/>
      <c r="D170" s="47"/>
      <c r="E170" s="121"/>
      <c r="F170" s="121"/>
      <c r="G170" s="121"/>
      <c r="H170" s="121"/>
      <c r="I170" s="18"/>
      <c r="J170" s="122"/>
      <c r="K170" s="47"/>
      <c r="L170" s="47"/>
      <c r="M170" s="18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75"/>
      <c r="B171" s="47"/>
      <c r="C171" s="47"/>
      <c r="D171" s="47"/>
      <c r="E171" s="121"/>
      <c r="F171" s="121"/>
      <c r="G171" s="121"/>
      <c r="H171" s="121"/>
      <c r="I171" s="18"/>
      <c r="J171" s="122"/>
      <c r="K171" s="47"/>
      <c r="L171" s="47"/>
      <c r="M171" s="18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75"/>
      <c r="B172" s="47"/>
      <c r="C172" s="47"/>
      <c r="D172" s="47"/>
      <c r="E172" s="121"/>
      <c r="F172" s="121"/>
      <c r="G172" s="121"/>
      <c r="H172" s="121"/>
      <c r="I172" s="18"/>
      <c r="J172" s="122"/>
      <c r="K172" s="47"/>
      <c r="L172" s="47"/>
      <c r="M172" s="18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75"/>
      <c r="B173" s="47"/>
      <c r="C173" s="47"/>
      <c r="D173" s="47"/>
      <c r="E173" s="121"/>
      <c r="F173" s="121"/>
      <c r="G173" s="121"/>
      <c r="H173" s="121"/>
      <c r="I173" s="18"/>
      <c r="J173" s="122"/>
      <c r="K173" s="47"/>
      <c r="L173" s="47"/>
      <c r="M173" s="18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75"/>
      <c r="B174" s="47"/>
      <c r="C174" s="47"/>
      <c r="D174" s="47"/>
      <c r="E174" s="121"/>
      <c r="F174" s="121"/>
      <c r="G174" s="121"/>
      <c r="H174" s="121"/>
      <c r="I174" s="18"/>
      <c r="J174" s="122"/>
      <c r="K174" s="47"/>
      <c r="L174" s="47"/>
      <c r="M174" s="18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75"/>
      <c r="B175" s="47"/>
      <c r="C175" s="47"/>
      <c r="D175" s="47"/>
      <c r="E175" s="121"/>
      <c r="F175" s="121"/>
      <c r="G175" s="121"/>
      <c r="H175" s="121"/>
      <c r="I175" s="18"/>
      <c r="J175" s="122"/>
      <c r="K175" s="47"/>
      <c r="L175" s="47"/>
      <c r="M175" s="18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75"/>
      <c r="B176" s="47"/>
      <c r="C176" s="47"/>
      <c r="D176" s="47"/>
      <c r="E176" s="121"/>
      <c r="F176" s="121"/>
      <c r="G176" s="121"/>
      <c r="H176" s="121"/>
      <c r="I176" s="18"/>
      <c r="J176" s="122"/>
      <c r="K176" s="47"/>
      <c r="L176" s="47"/>
      <c r="M176" s="18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75"/>
      <c r="B177" s="75"/>
      <c r="C177" s="47"/>
      <c r="D177" s="152"/>
      <c r="E177" s="121"/>
      <c r="F177" s="121"/>
      <c r="G177" s="121"/>
      <c r="H177" s="121"/>
      <c r="I177" s="18"/>
      <c r="J177" s="122"/>
      <c r="K177" s="47"/>
      <c r="L177" s="47"/>
      <c r="M177" s="18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75"/>
      <c r="B178" s="47"/>
      <c r="C178" s="47"/>
      <c r="D178" s="47"/>
      <c r="E178" s="121"/>
      <c r="F178" s="121"/>
      <c r="G178" s="121"/>
      <c r="H178" s="121"/>
      <c r="I178" s="18"/>
      <c r="J178" s="122"/>
      <c r="K178" s="47"/>
      <c r="L178" s="47"/>
      <c r="M178" s="18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75"/>
      <c r="B179" s="47"/>
      <c r="C179" s="47"/>
      <c r="D179" s="47"/>
      <c r="E179" s="121"/>
      <c r="F179" s="121"/>
      <c r="G179" s="121"/>
      <c r="H179" s="121"/>
      <c r="I179" s="18"/>
      <c r="J179" s="122"/>
      <c r="K179" s="47"/>
      <c r="L179" s="47"/>
      <c r="M179" s="18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75"/>
      <c r="B180" s="47"/>
      <c r="C180" s="47"/>
      <c r="D180" s="47"/>
      <c r="E180" s="121"/>
      <c r="F180" s="121"/>
      <c r="G180" s="121"/>
      <c r="H180" s="121"/>
      <c r="I180" s="18"/>
      <c r="J180" s="122"/>
      <c r="K180" s="47"/>
      <c r="L180" s="47"/>
      <c r="M180" s="18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75"/>
      <c r="B181" s="47"/>
      <c r="C181" s="47"/>
      <c r="D181" s="47"/>
      <c r="E181" s="121"/>
      <c r="F181" s="121"/>
      <c r="G181" s="121"/>
      <c r="H181" s="121"/>
      <c r="I181" s="18"/>
      <c r="J181" s="122"/>
      <c r="K181" s="47"/>
      <c r="L181" s="47"/>
      <c r="M181" s="18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75"/>
      <c r="B182" s="47"/>
      <c r="C182" s="47"/>
      <c r="D182" s="47"/>
      <c r="E182" s="121"/>
      <c r="F182" s="121"/>
      <c r="G182" s="121"/>
      <c r="H182" s="121"/>
      <c r="I182" s="18"/>
      <c r="J182" s="122"/>
      <c r="K182" s="47"/>
      <c r="L182" s="47"/>
      <c r="M182" s="18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75"/>
      <c r="B183" s="47"/>
      <c r="C183" s="47"/>
      <c r="D183" s="47"/>
      <c r="E183" s="121"/>
      <c r="F183" s="121"/>
      <c r="G183" s="121"/>
      <c r="H183" s="121"/>
      <c r="I183" s="18"/>
      <c r="J183" s="122"/>
      <c r="K183" s="47"/>
      <c r="L183" s="47"/>
      <c r="M183" s="18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75"/>
      <c r="B184" s="47"/>
      <c r="C184" s="47"/>
      <c r="D184" s="47"/>
      <c r="E184" s="121"/>
      <c r="F184" s="121"/>
      <c r="G184" s="121"/>
      <c r="H184" s="121"/>
      <c r="I184" s="18"/>
      <c r="J184" s="122"/>
      <c r="K184" s="47"/>
      <c r="L184" s="47"/>
      <c r="M184" s="18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75"/>
      <c r="B185" s="47"/>
      <c r="C185" s="47"/>
      <c r="D185" s="47"/>
      <c r="E185" s="121"/>
      <c r="F185" s="121"/>
      <c r="G185" s="121"/>
      <c r="H185" s="121"/>
      <c r="I185" s="18"/>
      <c r="J185" s="122"/>
      <c r="K185" s="47"/>
      <c r="L185" s="47"/>
      <c r="M185" s="18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75"/>
      <c r="B186" s="47"/>
      <c r="C186" s="47"/>
      <c r="D186" s="47"/>
      <c r="E186" s="121"/>
      <c r="F186" s="121"/>
      <c r="G186" s="121"/>
      <c r="H186" s="121"/>
      <c r="I186" s="18"/>
      <c r="J186" s="122"/>
      <c r="K186" s="47"/>
      <c r="L186" s="47"/>
      <c r="M186" s="18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75"/>
      <c r="B187" s="47"/>
      <c r="C187" s="47"/>
      <c r="D187" s="47"/>
      <c r="E187" s="121"/>
      <c r="F187" s="121"/>
      <c r="G187" s="121"/>
      <c r="H187" s="121"/>
      <c r="I187" s="18"/>
      <c r="J187" s="122"/>
      <c r="K187" s="47"/>
      <c r="L187" s="47"/>
      <c r="M187" s="18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75"/>
      <c r="B188" s="47"/>
      <c r="C188" s="47"/>
      <c r="D188" s="47"/>
      <c r="E188" s="121"/>
      <c r="F188" s="121"/>
      <c r="G188" s="121"/>
      <c r="H188" s="121"/>
      <c r="I188" s="18"/>
      <c r="J188" s="122"/>
      <c r="K188" s="47"/>
      <c r="L188" s="47"/>
      <c r="M188" s="18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75"/>
      <c r="B189" s="47"/>
      <c r="C189" s="47"/>
      <c r="D189" s="47"/>
      <c r="E189" s="121"/>
      <c r="F189" s="121"/>
      <c r="G189" s="121"/>
      <c r="H189" s="121"/>
      <c r="I189" s="18"/>
      <c r="J189" s="122"/>
      <c r="K189" s="47"/>
      <c r="L189" s="47"/>
      <c r="M189" s="18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75"/>
      <c r="B190" s="47"/>
      <c r="C190" s="47"/>
      <c r="D190" s="47"/>
      <c r="E190" s="121"/>
      <c r="F190" s="121"/>
      <c r="G190" s="121"/>
      <c r="H190" s="121"/>
      <c r="I190" s="18"/>
      <c r="J190" s="122"/>
      <c r="K190" s="47"/>
      <c r="L190" s="47"/>
      <c r="M190" s="18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75"/>
      <c r="B191" s="47"/>
      <c r="C191" s="47"/>
      <c r="D191" s="47"/>
      <c r="E191" s="121"/>
      <c r="F191" s="121"/>
      <c r="G191" s="121"/>
      <c r="H191" s="121"/>
      <c r="I191" s="18"/>
      <c r="J191" s="122"/>
      <c r="K191" s="47"/>
      <c r="L191" s="47"/>
      <c r="M191" s="18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75"/>
      <c r="B192" s="47"/>
      <c r="C192" s="47"/>
      <c r="D192" s="47"/>
      <c r="E192" s="121"/>
      <c r="F192" s="121"/>
      <c r="G192" s="121"/>
      <c r="H192" s="121"/>
      <c r="I192" s="18"/>
      <c r="J192" s="122"/>
      <c r="K192" s="47"/>
      <c r="L192" s="47"/>
      <c r="M192" s="18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75"/>
      <c r="B193" s="47"/>
      <c r="C193" s="47"/>
      <c r="D193" s="47"/>
      <c r="E193" s="121"/>
      <c r="F193" s="121"/>
      <c r="G193" s="121"/>
      <c r="H193" s="121"/>
      <c r="I193" s="18"/>
      <c r="J193" s="122"/>
      <c r="K193" s="47"/>
      <c r="L193" s="47"/>
      <c r="M193" s="18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75"/>
      <c r="B194" s="47"/>
      <c r="C194" s="47"/>
      <c r="D194" s="47"/>
      <c r="E194" s="121"/>
      <c r="F194" s="121"/>
      <c r="G194" s="121"/>
      <c r="H194" s="121"/>
      <c r="I194" s="18"/>
      <c r="J194" s="122"/>
      <c r="K194" s="47"/>
      <c r="L194" s="47"/>
      <c r="M194" s="18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75"/>
      <c r="B195" s="47"/>
      <c r="C195" s="47"/>
      <c r="D195" s="47"/>
      <c r="E195" s="121"/>
      <c r="F195" s="121"/>
      <c r="G195" s="121"/>
      <c r="H195" s="121"/>
      <c r="I195" s="18"/>
      <c r="J195" s="122"/>
      <c r="K195" s="47"/>
      <c r="L195" s="47"/>
      <c r="M195" s="18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75"/>
      <c r="B196" s="47"/>
      <c r="C196" s="47"/>
      <c r="D196" s="47"/>
      <c r="E196" s="121"/>
      <c r="F196" s="121"/>
      <c r="G196" s="121"/>
      <c r="H196" s="121"/>
      <c r="I196" s="18"/>
      <c r="J196" s="122"/>
      <c r="K196" s="47"/>
      <c r="L196" s="47"/>
      <c r="M196" s="18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75"/>
      <c r="B197" s="47"/>
      <c r="C197" s="47"/>
      <c r="D197" s="47"/>
      <c r="E197" s="121"/>
      <c r="F197" s="121"/>
      <c r="G197" s="121"/>
      <c r="H197" s="121"/>
      <c r="I197" s="18"/>
      <c r="J197" s="122"/>
      <c r="K197" s="47"/>
      <c r="L197" s="47"/>
      <c r="M197" s="18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75"/>
      <c r="B198" s="47"/>
      <c r="C198" s="47"/>
      <c r="D198" s="47"/>
      <c r="E198" s="121"/>
      <c r="F198" s="121"/>
      <c r="G198" s="121"/>
      <c r="H198" s="121"/>
      <c r="I198" s="18"/>
      <c r="J198" s="122"/>
      <c r="K198" s="47"/>
      <c r="L198" s="47"/>
      <c r="M198" s="18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75"/>
      <c r="B199" s="47"/>
      <c r="C199" s="47"/>
      <c r="D199" s="47"/>
      <c r="E199" s="121"/>
      <c r="F199" s="121"/>
      <c r="G199" s="121"/>
      <c r="H199" s="121"/>
      <c r="I199" s="18"/>
      <c r="J199" s="122"/>
      <c r="K199" s="47"/>
      <c r="L199" s="47"/>
      <c r="M199" s="18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75"/>
      <c r="B200" s="75"/>
      <c r="C200" s="47"/>
      <c r="D200" s="152"/>
      <c r="E200" s="121"/>
      <c r="F200" s="121"/>
      <c r="G200" s="121"/>
      <c r="H200" s="121"/>
      <c r="I200" s="18"/>
      <c r="J200" s="122"/>
      <c r="K200" s="47"/>
      <c r="L200" s="47"/>
      <c r="M200" s="18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75"/>
      <c r="B201" s="47"/>
      <c r="C201" s="47"/>
      <c r="D201" s="47"/>
      <c r="E201" s="121"/>
      <c r="F201" s="121"/>
      <c r="G201" s="121"/>
      <c r="H201" s="121"/>
      <c r="I201" s="18"/>
      <c r="J201" s="122"/>
      <c r="K201" s="47"/>
      <c r="L201" s="47"/>
      <c r="M201" s="18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75"/>
      <c r="B202" s="47"/>
      <c r="C202" s="47"/>
      <c r="D202" s="47"/>
      <c r="E202" s="121"/>
      <c r="F202" s="121"/>
      <c r="G202" s="121"/>
      <c r="H202" s="121"/>
      <c r="I202" s="18"/>
      <c r="J202" s="122"/>
      <c r="K202" s="47"/>
      <c r="L202" s="47"/>
      <c r="M202" s="18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75"/>
      <c r="B203" s="47"/>
      <c r="C203" s="47"/>
      <c r="D203" s="47"/>
      <c r="E203" s="121"/>
      <c r="F203" s="121"/>
      <c r="G203" s="121"/>
      <c r="H203" s="121"/>
      <c r="I203" s="18"/>
      <c r="J203" s="122"/>
      <c r="K203" s="47"/>
      <c r="L203" s="47"/>
      <c r="M203" s="18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75"/>
      <c r="B204" s="47"/>
      <c r="C204" s="47"/>
      <c r="D204" s="47"/>
      <c r="E204" s="121"/>
      <c r="F204" s="121"/>
      <c r="G204" s="121"/>
      <c r="H204" s="121"/>
      <c r="I204" s="18"/>
      <c r="J204" s="122"/>
      <c r="K204" s="47"/>
      <c r="L204" s="47"/>
      <c r="M204" s="18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75"/>
      <c r="B205" s="47"/>
      <c r="C205" s="47"/>
      <c r="D205" s="47"/>
      <c r="E205" s="121"/>
      <c r="F205" s="121"/>
      <c r="G205" s="121"/>
      <c r="H205" s="121"/>
      <c r="I205" s="18"/>
      <c r="J205" s="122"/>
      <c r="K205" s="47"/>
      <c r="L205" s="47"/>
      <c r="M205" s="18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75"/>
      <c r="B206" s="47"/>
      <c r="C206" s="47"/>
      <c r="D206" s="47"/>
      <c r="E206" s="121"/>
      <c r="F206" s="121"/>
      <c r="G206" s="121"/>
      <c r="H206" s="121"/>
      <c r="I206" s="18"/>
      <c r="J206" s="122"/>
      <c r="K206" s="47"/>
      <c r="L206" s="47"/>
      <c r="M206" s="18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75"/>
      <c r="B207" s="47"/>
      <c r="C207" s="47"/>
      <c r="D207" s="47"/>
      <c r="E207" s="121"/>
      <c r="F207" s="121"/>
      <c r="G207" s="121"/>
      <c r="H207" s="121"/>
      <c r="I207" s="18"/>
      <c r="J207" s="122"/>
      <c r="K207" s="47"/>
      <c r="L207" s="47"/>
      <c r="M207" s="18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75"/>
      <c r="B208" s="47"/>
      <c r="C208" s="47"/>
      <c r="D208" s="47"/>
      <c r="E208" s="121"/>
      <c r="F208" s="121"/>
      <c r="G208" s="121"/>
      <c r="H208" s="121"/>
      <c r="I208" s="18"/>
      <c r="J208" s="122"/>
      <c r="K208" s="47"/>
      <c r="L208" s="47"/>
      <c r="M208" s="18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75"/>
      <c r="B209" s="47"/>
      <c r="C209" s="47"/>
      <c r="D209" s="47"/>
      <c r="E209" s="121"/>
      <c r="F209" s="121"/>
      <c r="G209" s="121"/>
      <c r="H209" s="121"/>
      <c r="I209" s="18"/>
      <c r="J209" s="122"/>
      <c r="K209" s="47"/>
      <c r="L209" s="47"/>
      <c r="M209" s="18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75"/>
      <c r="B210" s="47"/>
      <c r="C210" s="47"/>
      <c r="D210" s="47"/>
      <c r="E210" s="121"/>
      <c r="F210" s="121"/>
      <c r="G210" s="121"/>
      <c r="H210" s="121"/>
      <c r="I210" s="18"/>
      <c r="J210" s="122"/>
      <c r="K210" s="47"/>
      <c r="L210" s="47"/>
      <c r="M210" s="18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75"/>
      <c r="B211" s="47"/>
      <c r="C211" s="47"/>
      <c r="D211" s="47"/>
      <c r="E211" s="121"/>
      <c r="F211" s="121"/>
      <c r="G211" s="121"/>
      <c r="H211" s="121"/>
      <c r="I211" s="18"/>
      <c r="J211" s="122"/>
      <c r="K211" s="47"/>
      <c r="L211" s="47"/>
      <c r="M211" s="18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75"/>
      <c r="B212" s="47"/>
      <c r="C212" s="47"/>
      <c r="D212" s="47"/>
      <c r="E212" s="121"/>
      <c r="F212" s="121"/>
      <c r="G212" s="121"/>
      <c r="H212" s="121"/>
      <c r="I212" s="18"/>
      <c r="J212" s="122"/>
      <c r="K212" s="47"/>
      <c r="L212" s="47"/>
      <c r="M212" s="18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75"/>
      <c r="B213" s="47"/>
      <c r="C213" s="47"/>
      <c r="D213" s="47"/>
      <c r="E213" s="121"/>
      <c r="F213" s="121"/>
      <c r="G213" s="121"/>
      <c r="H213" s="121"/>
      <c r="I213" s="18"/>
      <c r="J213" s="122"/>
      <c r="K213" s="47"/>
      <c r="L213" s="47"/>
      <c r="M213" s="18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75"/>
      <c r="B214" s="47"/>
      <c r="C214" s="47"/>
      <c r="D214" s="47"/>
      <c r="E214" s="121"/>
      <c r="F214" s="121"/>
      <c r="G214" s="121"/>
      <c r="H214" s="121"/>
      <c r="I214" s="18"/>
      <c r="J214" s="122"/>
      <c r="K214" s="47"/>
      <c r="L214" s="47"/>
      <c r="M214" s="18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75"/>
      <c r="B215" s="75"/>
      <c r="C215" s="47"/>
      <c r="D215" s="152"/>
      <c r="E215" s="121"/>
      <c r="F215" s="121"/>
      <c r="G215" s="121"/>
      <c r="H215" s="121"/>
      <c r="I215" s="18"/>
      <c r="J215" s="122"/>
      <c r="K215" s="47"/>
      <c r="L215" s="47"/>
      <c r="M215" s="18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75"/>
      <c r="B216" s="47"/>
      <c r="C216" s="47"/>
      <c r="D216" s="47"/>
      <c r="E216" s="121"/>
      <c r="F216" s="121"/>
      <c r="G216" s="121"/>
      <c r="H216" s="121"/>
      <c r="I216" s="18"/>
      <c r="J216" s="122"/>
      <c r="K216" s="47"/>
      <c r="L216" s="47"/>
      <c r="M216" s="18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75"/>
      <c r="B217" s="47"/>
      <c r="C217" s="47"/>
      <c r="D217" s="47"/>
      <c r="E217" s="121"/>
      <c r="F217" s="121"/>
      <c r="G217" s="121"/>
      <c r="H217" s="121"/>
      <c r="I217" s="18"/>
      <c r="J217" s="122"/>
      <c r="K217" s="47"/>
      <c r="L217" s="47"/>
      <c r="M217" s="18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75"/>
      <c r="B218" s="47"/>
      <c r="C218" s="47"/>
      <c r="D218" s="47"/>
      <c r="E218" s="121"/>
      <c r="F218" s="121"/>
      <c r="G218" s="121"/>
      <c r="H218" s="121"/>
      <c r="I218" s="18"/>
      <c r="J218" s="122"/>
      <c r="K218" s="47"/>
      <c r="L218" s="47"/>
      <c r="M218" s="18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75"/>
      <c r="B219" s="47"/>
      <c r="C219" s="47"/>
      <c r="D219" s="47"/>
      <c r="E219" s="121"/>
      <c r="F219" s="121"/>
      <c r="G219" s="121"/>
      <c r="H219" s="121"/>
      <c r="I219" s="18"/>
      <c r="J219" s="122"/>
      <c r="K219" s="47"/>
      <c r="L219" s="47"/>
      <c r="M219" s="18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75"/>
      <c r="B220" s="47"/>
      <c r="C220" s="47"/>
      <c r="D220" s="47"/>
      <c r="E220" s="121"/>
      <c r="F220" s="121"/>
      <c r="G220" s="121"/>
      <c r="H220" s="121"/>
      <c r="I220" s="18"/>
      <c r="J220" s="122"/>
      <c r="K220" s="47"/>
      <c r="L220" s="47"/>
      <c r="M220" s="18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75"/>
      <c r="B221" s="47"/>
      <c r="C221" s="47"/>
      <c r="D221" s="47"/>
      <c r="E221" s="121"/>
      <c r="F221" s="121"/>
      <c r="G221" s="121"/>
      <c r="H221" s="121"/>
      <c r="I221" s="18"/>
      <c r="J221" s="122"/>
      <c r="K221" s="47"/>
      <c r="L221" s="47"/>
      <c r="M221" s="18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75"/>
      <c r="B222" s="75"/>
      <c r="C222" s="47"/>
      <c r="D222" s="152"/>
      <c r="E222" s="121"/>
      <c r="F222" s="121"/>
      <c r="G222" s="121"/>
      <c r="H222" s="121"/>
      <c r="I222" s="18"/>
      <c r="J222" s="122"/>
      <c r="K222" s="47"/>
      <c r="L222" s="47"/>
      <c r="M222" s="18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75"/>
      <c r="B223" s="47"/>
      <c r="C223" s="47"/>
      <c r="D223" s="47"/>
      <c r="E223" s="121"/>
      <c r="F223" s="121"/>
      <c r="G223" s="121"/>
      <c r="H223" s="121"/>
      <c r="I223" s="18"/>
      <c r="J223" s="122"/>
      <c r="K223" s="47"/>
      <c r="L223" s="47"/>
      <c r="M223" s="18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75"/>
      <c r="B224" s="47"/>
      <c r="C224" s="47"/>
      <c r="D224" s="47"/>
      <c r="E224" s="121"/>
      <c r="F224" s="121"/>
      <c r="G224" s="121"/>
      <c r="H224" s="121"/>
      <c r="I224" s="18"/>
      <c r="J224" s="122"/>
      <c r="K224" s="47"/>
      <c r="L224" s="47"/>
      <c r="M224" s="18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75"/>
      <c r="B225" s="47"/>
      <c r="C225" s="47"/>
      <c r="D225" s="47"/>
      <c r="E225" s="121"/>
      <c r="F225" s="121"/>
      <c r="G225" s="121"/>
      <c r="H225" s="121"/>
      <c r="I225" s="18"/>
      <c r="J225" s="122"/>
      <c r="K225" s="47"/>
      <c r="L225" s="47"/>
      <c r="M225" s="18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75"/>
      <c r="B226" s="47"/>
      <c r="C226" s="47"/>
      <c r="D226" s="47"/>
      <c r="E226" s="121"/>
      <c r="F226" s="121"/>
      <c r="G226" s="121"/>
      <c r="H226" s="121"/>
      <c r="I226" s="18"/>
      <c r="J226" s="122"/>
      <c r="K226" s="47"/>
      <c r="L226" s="47"/>
      <c r="M226" s="18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75"/>
      <c r="B227" s="47"/>
      <c r="C227" s="47"/>
      <c r="D227" s="47"/>
      <c r="E227" s="121"/>
      <c r="F227" s="121"/>
      <c r="G227" s="121"/>
      <c r="H227" s="121"/>
      <c r="I227" s="18"/>
      <c r="J227" s="122"/>
      <c r="K227" s="47"/>
      <c r="L227" s="47"/>
      <c r="M227" s="18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75"/>
      <c r="B228" s="47"/>
      <c r="C228" s="47"/>
      <c r="D228" s="47"/>
      <c r="E228" s="121"/>
      <c r="F228" s="121"/>
      <c r="G228" s="121"/>
      <c r="H228" s="121"/>
      <c r="I228" s="18"/>
      <c r="J228" s="122"/>
      <c r="K228" s="47"/>
      <c r="L228" s="47"/>
      <c r="M228" s="18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75"/>
      <c r="B229" s="47"/>
      <c r="C229" s="47"/>
      <c r="D229" s="47"/>
      <c r="E229" s="121"/>
      <c r="F229" s="121"/>
      <c r="G229" s="121"/>
      <c r="H229" s="121"/>
      <c r="I229" s="18"/>
      <c r="J229" s="122"/>
      <c r="K229" s="47"/>
      <c r="L229" s="47"/>
      <c r="M229" s="18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75"/>
      <c r="B230" s="47"/>
      <c r="C230" s="47"/>
      <c r="D230" s="47"/>
      <c r="E230" s="121"/>
      <c r="F230" s="121"/>
      <c r="G230" s="121"/>
      <c r="H230" s="121"/>
      <c r="I230" s="18"/>
      <c r="J230" s="122"/>
      <c r="K230" s="47"/>
      <c r="L230" s="47"/>
      <c r="M230" s="18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75"/>
      <c r="B231" s="47"/>
      <c r="C231" s="47"/>
      <c r="D231" s="47"/>
      <c r="E231" s="121"/>
      <c r="F231" s="121"/>
      <c r="G231" s="121"/>
      <c r="H231" s="121"/>
      <c r="I231" s="18"/>
      <c r="J231" s="122"/>
      <c r="K231" s="47"/>
      <c r="L231" s="47"/>
      <c r="M231" s="18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75"/>
      <c r="B232" s="47"/>
      <c r="C232" s="47"/>
      <c r="D232" s="47"/>
      <c r="E232" s="121"/>
      <c r="F232" s="121"/>
      <c r="G232" s="121"/>
      <c r="H232" s="121"/>
      <c r="I232" s="18"/>
      <c r="J232" s="122"/>
      <c r="K232" s="47"/>
      <c r="L232" s="47"/>
      <c r="M232" s="18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75"/>
      <c r="B233" s="47"/>
      <c r="C233" s="47"/>
      <c r="D233" s="47"/>
      <c r="E233" s="121"/>
      <c r="F233" s="121"/>
      <c r="G233" s="121"/>
      <c r="H233" s="121"/>
      <c r="I233" s="18"/>
      <c r="J233" s="122"/>
      <c r="K233" s="47"/>
      <c r="L233" s="47"/>
      <c r="M233" s="18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75"/>
      <c r="B234" s="47"/>
      <c r="C234" s="47"/>
      <c r="D234" s="47"/>
      <c r="E234" s="121"/>
      <c r="F234" s="121"/>
      <c r="G234" s="121"/>
      <c r="H234" s="121"/>
      <c r="I234" s="18"/>
      <c r="J234" s="122"/>
      <c r="K234" s="47"/>
      <c r="L234" s="47"/>
      <c r="M234" s="18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75"/>
      <c r="B235" s="47"/>
      <c r="C235" s="47"/>
      <c r="D235" s="47"/>
      <c r="E235" s="121"/>
      <c r="F235" s="121"/>
      <c r="G235" s="121"/>
      <c r="H235" s="121"/>
      <c r="I235" s="18"/>
      <c r="J235" s="122"/>
      <c r="K235" s="47"/>
      <c r="L235" s="47"/>
      <c r="M235" s="18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75"/>
      <c r="B236" s="47"/>
      <c r="C236" s="47"/>
      <c r="D236" s="75"/>
      <c r="E236" s="121"/>
      <c r="F236" s="121"/>
      <c r="G236" s="121"/>
      <c r="H236" s="121"/>
      <c r="I236" s="18"/>
      <c r="J236" s="122"/>
      <c r="K236" s="47"/>
      <c r="L236" s="47"/>
      <c r="M236" s="18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25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25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75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18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75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18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75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18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75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18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75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18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75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18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75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18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75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18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75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18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75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18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75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18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75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18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75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18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75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18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75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18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75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18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75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18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75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18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75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18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75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18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75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18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75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18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75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18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75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18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75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18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75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18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75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18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75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18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75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18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75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18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75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18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75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18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75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18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75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18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75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18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75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18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75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18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75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18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75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18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75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18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75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18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75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18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75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18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75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18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75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18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75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18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75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18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75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18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75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18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75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18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75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18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75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18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75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18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75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18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75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18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75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18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75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18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75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18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75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18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75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18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75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18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75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18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75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18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75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18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75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18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75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18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75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18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75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18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75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18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75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18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75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18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75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18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75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18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75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18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75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18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75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18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75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18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75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18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75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18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75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18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75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18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75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18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75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18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75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18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75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18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75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18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75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18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75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18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75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18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75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18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75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18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75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18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75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18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75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18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75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18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75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18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75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18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75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18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75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18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75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18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75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18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75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18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75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18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75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18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75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18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75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18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75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18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75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18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75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18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75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18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75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18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75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18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25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25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25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25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25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25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25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25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25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25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25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25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25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25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25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25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25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25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25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25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25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25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25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25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25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25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25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25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25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25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25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25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25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25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25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25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25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25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25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25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25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25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25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25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25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25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25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25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25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25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25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25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25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25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25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25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25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25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25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25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25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25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25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25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25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25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25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25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25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25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25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25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25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25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25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25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25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25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25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25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25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25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25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25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25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25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25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25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25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25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25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25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25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25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25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25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25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25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25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25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25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25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25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25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25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25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25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25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25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25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25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25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25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25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25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25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25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25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25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25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25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25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25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25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25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25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25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25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25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25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25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25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25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25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25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25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25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25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25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25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25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25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25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25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25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25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25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25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25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25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25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25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25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25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25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25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25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25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25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25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25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25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25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25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25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25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25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25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25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25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25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25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25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25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25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25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25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25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25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25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25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25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25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25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25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25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25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25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25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25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25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25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25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25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25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25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25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25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25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25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25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25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25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25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25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25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25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25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25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25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25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25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25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25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25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25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25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25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25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25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25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25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25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25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25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25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25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25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25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25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25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25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25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25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25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25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25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25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25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25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25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25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25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25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25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25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25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25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25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25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25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25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25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25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25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25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25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25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25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25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25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25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25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25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25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25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25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25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25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25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25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25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25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25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25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25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25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25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25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25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25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25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25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25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25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25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25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25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25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25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25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25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25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25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25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25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25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25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25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25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25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25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25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25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25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25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25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25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25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25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25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25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25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25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25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25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25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25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25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25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25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25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25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25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25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25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25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25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25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25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25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25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25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25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25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25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25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25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25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25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25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25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25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25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25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25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25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25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25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25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25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25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25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25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25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25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25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25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25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25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25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25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25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25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25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25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25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25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25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25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25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25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25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25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25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25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25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25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25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25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25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25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25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25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25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25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25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25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25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25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25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25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25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25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25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25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25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25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25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25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25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25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25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25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25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25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25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25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25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  <row r="760">
      <c r="A760" s="25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</row>
    <row r="761">
      <c r="A761" s="25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</row>
    <row r="762">
      <c r="A762" s="25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</row>
    <row r="763">
      <c r="A763" s="25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</row>
    <row r="764">
      <c r="A764" s="25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</row>
    <row r="765">
      <c r="A765" s="25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</row>
    <row r="766">
      <c r="A766" s="25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</row>
    <row r="767">
      <c r="A767" s="25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</row>
    <row r="768">
      <c r="A768" s="25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</row>
    <row r="769">
      <c r="A769" s="25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</row>
    <row r="770">
      <c r="A770" s="25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</row>
    <row r="771">
      <c r="A771" s="25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</row>
    <row r="772">
      <c r="A772" s="25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</row>
    <row r="773">
      <c r="A773" s="25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</row>
    <row r="774">
      <c r="A774" s="25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</row>
    <row r="775">
      <c r="A775" s="25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</row>
    <row r="776">
      <c r="A776" s="25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</row>
    <row r="777">
      <c r="A777" s="25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</row>
    <row r="778">
      <c r="A778" s="25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</row>
    <row r="779">
      <c r="A779" s="25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</row>
    <row r="780">
      <c r="A780" s="25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</row>
    <row r="781">
      <c r="A781" s="25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</row>
    <row r="782">
      <c r="A782" s="25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</row>
    <row r="783">
      <c r="A783" s="25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</row>
    <row r="784">
      <c r="A784" s="25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</row>
    <row r="785">
      <c r="A785" s="25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</row>
    <row r="786">
      <c r="A786" s="25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</row>
    <row r="787">
      <c r="A787" s="25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</row>
    <row r="788">
      <c r="A788" s="25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</row>
    <row r="789">
      <c r="A789" s="25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</row>
    <row r="790">
      <c r="A790" s="25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</row>
    <row r="791">
      <c r="A791" s="25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</row>
    <row r="792">
      <c r="A792" s="25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</row>
    <row r="793">
      <c r="A793" s="25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</row>
    <row r="794">
      <c r="A794" s="25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</row>
    <row r="795">
      <c r="A795" s="25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</row>
    <row r="796">
      <c r="A796" s="25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</row>
    <row r="797">
      <c r="A797" s="25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</row>
    <row r="798">
      <c r="A798" s="25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</row>
    <row r="799">
      <c r="A799" s="25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</row>
    <row r="800">
      <c r="A800" s="25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</row>
    <row r="801">
      <c r="A801" s="25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</row>
    <row r="802">
      <c r="A802" s="25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</row>
    <row r="803">
      <c r="A803" s="25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</row>
    <row r="804">
      <c r="A804" s="25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</row>
    <row r="805">
      <c r="A805" s="25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</row>
    <row r="806">
      <c r="A806" s="25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</row>
    <row r="807">
      <c r="A807" s="25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</row>
    <row r="808">
      <c r="A808" s="25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</row>
    <row r="809">
      <c r="A809" s="25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</row>
    <row r="810">
      <c r="A810" s="25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</row>
    <row r="811">
      <c r="A811" s="25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</row>
    <row r="812">
      <c r="A812" s="25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</row>
    <row r="813">
      <c r="A813" s="25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</row>
    <row r="814">
      <c r="A814" s="25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</row>
    <row r="815">
      <c r="A815" s="25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</row>
    <row r="816">
      <c r="A816" s="25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</row>
    <row r="817">
      <c r="A817" s="25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</row>
    <row r="818">
      <c r="A818" s="25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</row>
    <row r="819">
      <c r="A819" s="25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</row>
    <row r="820">
      <c r="A820" s="25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</row>
    <row r="821">
      <c r="A821" s="25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</row>
    <row r="822">
      <c r="A822" s="25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</row>
    <row r="823">
      <c r="A823" s="25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</row>
    <row r="824">
      <c r="A824" s="25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</row>
    <row r="825">
      <c r="A825" s="25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</row>
    <row r="826">
      <c r="A826" s="25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</row>
    <row r="827">
      <c r="A827" s="25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</row>
    <row r="828">
      <c r="A828" s="25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</row>
    <row r="829">
      <c r="A829" s="25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</row>
    <row r="830">
      <c r="A830" s="25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</row>
    <row r="831">
      <c r="A831" s="25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</row>
    <row r="832">
      <c r="A832" s="25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</row>
    <row r="833">
      <c r="A833" s="25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</row>
    <row r="834">
      <c r="A834" s="25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</row>
    <row r="835">
      <c r="A835" s="25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</row>
    <row r="836">
      <c r="A836" s="25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</row>
    <row r="837">
      <c r="A837" s="25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</row>
    <row r="838">
      <c r="A838" s="25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</row>
    <row r="839">
      <c r="A839" s="25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</row>
    <row r="840">
      <c r="A840" s="25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</row>
    <row r="841">
      <c r="A841" s="25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</row>
    <row r="842">
      <c r="A842" s="25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</row>
    <row r="843">
      <c r="A843" s="25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</row>
    <row r="844">
      <c r="A844" s="25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</row>
    <row r="845">
      <c r="A845" s="25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</row>
    <row r="846">
      <c r="A846" s="25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</row>
    <row r="847">
      <c r="A847" s="25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</row>
    <row r="848">
      <c r="A848" s="25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</row>
    <row r="849">
      <c r="A849" s="25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</row>
    <row r="850">
      <c r="A850" s="25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</row>
    <row r="851">
      <c r="A851" s="25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</row>
    <row r="852">
      <c r="A852" s="25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</row>
    <row r="853">
      <c r="A853" s="25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</row>
    <row r="854">
      <c r="A854" s="25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</row>
    <row r="855">
      <c r="A855" s="25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</row>
    <row r="856">
      <c r="A856" s="25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</row>
    <row r="857">
      <c r="A857" s="25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</row>
    <row r="858">
      <c r="A858" s="25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</row>
    <row r="859">
      <c r="A859" s="25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</row>
    <row r="860">
      <c r="A860" s="25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</row>
    <row r="861">
      <c r="A861" s="25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</row>
    <row r="862">
      <c r="A862" s="25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</row>
    <row r="863">
      <c r="A863" s="25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</row>
    <row r="864">
      <c r="A864" s="25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</row>
    <row r="865">
      <c r="A865" s="25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</row>
    <row r="866">
      <c r="A866" s="25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</row>
    <row r="867">
      <c r="A867" s="25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</row>
    <row r="868">
      <c r="A868" s="25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</row>
    <row r="869">
      <c r="A869" s="25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</row>
    <row r="870">
      <c r="A870" s="25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</row>
    <row r="871">
      <c r="A871" s="25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</row>
    <row r="872">
      <c r="A872" s="25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</row>
    <row r="873">
      <c r="A873" s="25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</row>
    <row r="874">
      <c r="A874" s="25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</row>
    <row r="875">
      <c r="A875" s="25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</row>
    <row r="876">
      <c r="A876" s="25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</row>
    <row r="877">
      <c r="A877" s="25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</row>
    <row r="878">
      <c r="A878" s="25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</row>
    <row r="879">
      <c r="A879" s="25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</row>
    <row r="880">
      <c r="A880" s="25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</row>
    <row r="881">
      <c r="A881" s="25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</row>
    <row r="882">
      <c r="A882" s="25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</row>
    <row r="883">
      <c r="A883" s="25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</row>
    <row r="884">
      <c r="A884" s="25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</row>
    <row r="885">
      <c r="A885" s="25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</row>
    <row r="886">
      <c r="A886" s="25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</row>
    <row r="887">
      <c r="A887" s="25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</row>
    <row r="888">
      <c r="A888" s="25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</row>
    <row r="889">
      <c r="A889" s="25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</row>
    <row r="890">
      <c r="A890" s="25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</row>
    <row r="891">
      <c r="A891" s="25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</row>
    <row r="892">
      <c r="A892" s="25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</row>
    <row r="893">
      <c r="A893" s="25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</row>
    <row r="894">
      <c r="A894" s="25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</row>
    <row r="895">
      <c r="A895" s="25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</row>
    <row r="896">
      <c r="A896" s="25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</row>
    <row r="897">
      <c r="A897" s="25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</row>
    <row r="898">
      <c r="A898" s="25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</row>
    <row r="899">
      <c r="A899" s="25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</row>
    <row r="900">
      <c r="A900" s="25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</row>
    <row r="901">
      <c r="A901" s="25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</row>
    <row r="902">
      <c r="A902" s="25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</row>
    <row r="903">
      <c r="A903" s="25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</row>
    <row r="904">
      <c r="A904" s="25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</row>
    <row r="905">
      <c r="A905" s="25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</row>
    <row r="906">
      <c r="A906" s="25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</row>
    <row r="907">
      <c r="A907" s="25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</row>
    <row r="908">
      <c r="A908" s="25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</row>
    <row r="909">
      <c r="A909" s="25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</row>
    <row r="910">
      <c r="A910" s="25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</row>
    <row r="911">
      <c r="A911" s="25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</row>
    <row r="912">
      <c r="A912" s="25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</row>
    <row r="913">
      <c r="A913" s="25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</row>
    <row r="914">
      <c r="A914" s="25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</row>
    <row r="915">
      <c r="A915" s="25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</row>
    <row r="916">
      <c r="A916" s="25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</row>
    <row r="917">
      <c r="A917" s="25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</row>
    <row r="918">
      <c r="A918" s="25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</row>
    <row r="919">
      <c r="A919" s="25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</row>
    <row r="920">
      <c r="A920" s="25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</row>
    <row r="921">
      <c r="A921" s="25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</row>
    <row r="922">
      <c r="A922" s="25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</row>
    <row r="923">
      <c r="A923" s="25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</row>
    <row r="924">
      <c r="A924" s="25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</row>
    <row r="925">
      <c r="A925" s="25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</row>
    <row r="926">
      <c r="A926" s="25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</row>
    <row r="927">
      <c r="A927" s="25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</row>
    <row r="928">
      <c r="A928" s="25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</row>
    <row r="929">
      <c r="A929" s="25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</row>
    <row r="930">
      <c r="A930" s="25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</row>
    <row r="931">
      <c r="A931" s="25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</row>
    <row r="932">
      <c r="A932" s="25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</row>
    <row r="933">
      <c r="A933" s="25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</row>
    <row r="934">
      <c r="A934" s="25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</row>
    <row r="935">
      <c r="A935" s="25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</row>
    <row r="936">
      <c r="A936" s="25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</row>
    <row r="937">
      <c r="A937" s="25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</row>
    <row r="938">
      <c r="A938" s="25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</row>
    <row r="939">
      <c r="A939" s="25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</row>
    <row r="940">
      <c r="A940" s="25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</row>
    <row r="941">
      <c r="A941" s="25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</row>
    <row r="942">
      <c r="A942" s="25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</row>
    <row r="943">
      <c r="A943" s="25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</row>
    <row r="944">
      <c r="A944" s="25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</row>
    <row r="945">
      <c r="A945" s="25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</row>
    <row r="946">
      <c r="A946" s="25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</row>
    <row r="947">
      <c r="A947" s="25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</row>
    <row r="948">
      <c r="A948" s="25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</row>
    <row r="949">
      <c r="A949" s="25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</row>
    <row r="950">
      <c r="A950" s="25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</row>
    <row r="951">
      <c r="A951" s="25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</row>
    <row r="952">
      <c r="A952" s="25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</row>
    <row r="953">
      <c r="A953" s="25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</row>
    <row r="954">
      <c r="A954" s="25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</row>
    <row r="955">
      <c r="A955" s="25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</row>
    <row r="956">
      <c r="A956" s="25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</row>
    <row r="957">
      <c r="A957" s="25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</row>
    <row r="958">
      <c r="A958" s="25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</row>
    <row r="959">
      <c r="A959" s="25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</row>
    <row r="960">
      <c r="A960" s="25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</row>
    <row r="961">
      <c r="A961" s="25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</row>
    <row r="962">
      <c r="A962" s="25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</row>
    <row r="963">
      <c r="A963" s="25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</row>
    <row r="964">
      <c r="A964" s="25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</row>
    <row r="965">
      <c r="A965" s="25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</row>
    <row r="966">
      <c r="A966" s="25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</row>
    <row r="967">
      <c r="A967" s="25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</row>
    <row r="968">
      <c r="A968" s="25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</row>
    <row r="969">
      <c r="A969" s="25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</row>
    <row r="970">
      <c r="A970" s="25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</row>
    <row r="971">
      <c r="A971" s="25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</row>
    <row r="972">
      <c r="A972" s="25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</row>
    <row r="973">
      <c r="A973" s="25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</row>
    <row r="974">
      <c r="A974" s="25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</row>
    <row r="975">
      <c r="A975" s="25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</row>
    <row r="976">
      <c r="A976" s="25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</row>
    <row r="977">
      <c r="A977" s="25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</row>
    <row r="978">
      <c r="A978" s="25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</row>
    <row r="979">
      <c r="A979" s="25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</row>
    <row r="980">
      <c r="A980" s="25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</row>
    <row r="981">
      <c r="A981" s="25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</row>
    <row r="982">
      <c r="A982" s="25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</row>
    <row r="983">
      <c r="A983" s="25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</row>
    <row r="984">
      <c r="A984" s="25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</row>
    <row r="985">
      <c r="A985" s="25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</row>
    <row r="986">
      <c r="A986" s="25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</row>
    <row r="987">
      <c r="A987" s="25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</row>
    <row r="988">
      <c r="A988" s="25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</row>
    <row r="989">
      <c r="A989" s="25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</row>
    <row r="990">
      <c r="A990" s="25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</row>
    <row r="991">
      <c r="A991" s="25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</row>
    <row r="992">
      <c r="A992" s="25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</row>
    <row r="993">
      <c r="A993" s="25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</row>
    <row r="994">
      <c r="A994" s="25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</row>
    <row r="995">
      <c r="A995" s="25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</row>
    <row r="996">
      <c r="A996" s="25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</row>
    <row r="997">
      <c r="A997" s="25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</row>
    <row r="998">
      <c r="A998" s="25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</row>
  </sheetData>
  <conditionalFormatting sqref="B232:B233">
    <cfRule type="colorScale" priority="1">
      <colorScale>
        <cfvo type="min"/>
        <cfvo type="max"/>
        <color rgb="FFFFFFFF"/>
        <color rgb="FF57BB8A"/>
      </colorScale>
    </cfRule>
  </conditionalFormatting>
  <conditionalFormatting sqref="A216 A232:A234 A236">
    <cfRule type="expression" dxfId="0" priority="2">
      <formula>COUNTIF(A:A, A216) &gt; 1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86"/>
    <col customWidth="1" min="2" max="2" width="35.14"/>
    <col customWidth="1" min="3" max="3" width="20.14"/>
    <col customWidth="1" min="4" max="4" width="22.57"/>
    <col customWidth="1" min="5" max="5" width="29.29"/>
    <col customWidth="1" min="6" max="6" width="24.43"/>
    <col customWidth="1" min="11" max="11" width="24.43"/>
  </cols>
  <sheetData>
    <row r="1">
      <c r="A1" s="181" t="s">
        <v>1148</v>
      </c>
      <c r="B1" s="1" t="s">
        <v>22</v>
      </c>
      <c r="C1" s="1" t="s">
        <v>18</v>
      </c>
      <c r="D1" s="1" t="s">
        <v>58</v>
      </c>
      <c r="E1" s="1" t="s">
        <v>59</v>
      </c>
      <c r="F1" s="1" t="s">
        <v>1149</v>
      </c>
      <c r="J1" s="1" t="s">
        <v>59</v>
      </c>
      <c r="K1" s="1" t="s">
        <v>1149</v>
      </c>
      <c r="M1" s="182"/>
      <c r="N1" s="183"/>
      <c r="O1" s="183"/>
      <c r="P1" s="183"/>
      <c r="Q1" s="183"/>
      <c r="R1" s="183"/>
    </row>
    <row r="2">
      <c r="A2" s="22" t="s">
        <v>1150</v>
      </c>
      <c r="B2" s="28">
        <v>1.1060296E7</v>
      </c>
      <c r="C2" s="28" t="s">
        <v>1151</v>
      </c>
      <c r="D2" s="28" t="s">
        <v>1152</v>
      </c>
      <c r="E2" s="28" t="s">
        <v>1152</v>
      </c>
      <c r="F2" s="19" t="str">
        <f t="shared" ref="F2:F930" si="1">VLOOKUP(E2,$J$2:$K$16,2,0)</f>
        <v>Capital Compound</v>
      </c>
      <c r="J2" s="184" t="s">
        <v>1152</v>
      </c>
      <c r="K2" s="184" t="s">
        <v>1154</v>
      </c>
      <c r="M2" s="185"/>
      <c r="N2" s="186"/>
      <c r="O2" s="186"/>
      <c r="P2" s="186"/>
      <c r="Q2" s="186"/>
      <c r="R2" s="76"/>
    </row>
    <row r="3">
      <c r="A3" s="22" t="s">
        <v>1155</v>
      </c>
      <c r="B3" s="28">
        <v>1.1064875E7</v>
      </c>
      <c r="C3" s="28" t="s">
        <v>1151</v>
      </c>
      <c r="D3" s="28" t="s">
        <v>1152</v>
      </c>
      <c r="E3" s="28" t="s">
        <v>1152</v>
      </c>
      <c r="F3" s="19" t="str">
        <f t="shared" si="1"/>
        <v>Capital Compound</v>
      </c>
      <c r="J3" s="184" t="s">
        <v>1156</v>
      </c>
      <c r="K3" s="184" t="s">
        <v>1157</v>
      </c>
      <c r="M3" s="185"/>
      <c r="N3" s="186"/>
      <c r="O3" s="186"/>
      <c r="P3" s="186"/>
      <c r="Q3" s="186"/>
      <c r="R3" s="76"/>
    </row>
    <row r="4">
      <c r="A4" s="22" t="s">
        <v>1158</v>
      </c>
      <c r="B4" s="28" t="s">
        <v>1159</v>
      </c>
      <c r="C4" s="28" t="s">
        <v>272</v>
      </c>
      <c r="D4" s="28" t="s">
        <v>1160</v>
      </c>
      <c r="E4" s="28" t="s">
        <v>1161</v>
      </c>
      <c r="F4" s="19" t="str">
        <f t="shared" si="1"/>
        <v>Megaserve Jainam</v>
      </c>
      <c r="J4" s="184" t="s">
        <v>1162</v>
      </c>
      <c r="K4" s="184" t="s">
        <v>1163</v>
      </c>
      <c r="M4" s="185"/>
      <c r="N4" s="186"/>
      <c r="O4" s="186"/>
      <c r="P4" s="186"/>
      <c r="Q4" s="186"/>
      <c r="R4" s="76"/>
    </row>
    <row r="5">
      <c r="A5" s="22" t="s">
        <v>724</v>
      </c>
      <c r="B5" s="28" t="s">
        <v>1164</v>
      </c>
      <c r="C5" s="28" t="s">
        <v>646</v>
      </c>
      <c r="D5" s="28" t="s">
        <v>1160</v>
      </c>
      <c r="E5" s="28" t="s">
        <v>1161</v>
      </c>
      <c r="F5" s="19" t="str">
        <f t="shared" si="1"/>
        <v>Megaserve Jainam</v>
      </c>
      <c r="J5" s="184" t="s">
        <v>1160</v>
      </c>
      <c r="K5" s="184" t="s">
        <v>1165</v>
      </c>
      <c r="M5" s="185"/>
      <c r="N5" s="186"/>
      <c r="O5" s="186"/>
      <c r="P5" s="186"/>
      <c r="Q5" s="186"/>
      <c r="R5" s="76"/>
    </row>
    <row r="6">
      <c r="A6" s="22" t="s">
        <v>1166</v>
      </c>
      <c r="B6" s="28" t="s">
        <v>1167</v>
      </c>
      <c r="C6" s="28" t="s">
        <v>266</v>
      </c>
      <c r="D6" s="28" t="s">
        <v>1160</v>
      </c>
      <c r="E6" s="28" t="s">
        <v>1161</v>
      </c>
      <c r="F6" s="19" t="str">
        <f t="shared" si="1"/>
        <v>Megaserve Jainam</v>
      </c>
      <c r="J6" s="184" t="s">
        <v>1161</v>
      </c>
      <c r="K6" s="184" t="s">
        <v>1170</v>
      </c>
      <c r="M6" s="185"/>
      <c r="N6" s="186"/>
      <c r="O6" s="186"/>
      <c r="P6" s="186"/>
      <c r="Q6" s="186"/>
      <c r="R6" s="76"/>
    </row>
    <row r="7">
      <c r="A7" s="22" t="s">
        <v>643</v>
      </c>
      <c r="B7" s="28" t="s">
        <v>1171</v>
      </c>
      <c r="C7" s="28" t="s">
        <v>646</v>
      </c>
      <c r="D7" s="28" t="s">
        <v>1160</v>
      </c>
      <c r="E7" s="28" t="s">
        <v>1161</v>
      </c>
      <c r="F7" s="19" t="str">
        <f t="shared" si="1"/>
        <v>Megaserve Jainam</v>
      </c>
      <c r="J7" s="184" t="s">
        <v>1172</v>
      </c>
      <c r="K7" s="184" t="s">
        <v>1173</v>
      </c>
      <c r="M7" s="185"/>
      <c r="N7" s="186"/>
      <c r="O7" s="186"/>
      <c r="P7" s="186"/>
      <c r="Q7" s="186"/>
      <c r="R7" s="76"/>
    </row>
    <row r="8">
      <c r="A8" s="22" t="s">
        <v>1174</v>
      </c>
      <c r="B8" s="28" t="s">
        <v>1175</v>
      </c>
      <c r="C8" s="28" t="s">
        <v>266</v>
      </c>
      <c r="D8" s="28" t="s">
        <v>1160</v>
      </c>
      <c r="E8" s="28" t="s">
        <v>1161</v>
      </c>
      <c r="F8" s="19" t="str">
        <f t="shared" si="1"/>
        <v>Megaserve Jainam</v>
      </c>
      <c r="J8" s="184" t="s">
        <v>1176</v>
      </c>
      <c r="K8" s="184" t="s">
        <v>1177</v>
      </c>
      <c r="M8" s="185"/>
      <c r="N8" s="186"/>
      <c r="O8" s="186"/>
      <c r="P8" s="186"/>
      <c r="Q8" s="186"/>
      <c r="R8" s="76"/>
    </row>
    <row r="9">
      <c r="A9" s="22" t="s">
        <v>1178</v>
      </c>
      <c r="B9" s="28" t="s">
        <v>1175</v>
      </c>
      <c r="C9" s="28" t="s">
        <v>266</v>
      </c>
      <c r="D9" s="28" t="s">
        <v>1160</v>
      </c>
      <c r="E9" s="28" t="s">
        <v>1161</v>
      </c>
      <c r="F9" s="19" t="str">
        <f t="shared" si="1"/>
        <v>Megaserve Jainam</v>
      </c>
      <c r="J9" s="184" t="s">
        <v>1179</v>
      </c>
      <c r="K9" s="184" t="s">
        <v>1180</v>
      </c>
      <c r="M9" s="185"/>
      <c r="N9" s="186"/>
      <c r="O9" s="186"/>
      <c r="P9" s="186"/>
      <c r="Q9" s="186"/>
      <c r="R9" s="193"/>
    </row>
    <row r="10">
      <c r="A10" s="22" t="s">
        <v>1181</v>
      </c>
      <c r="B10" s="28" t="s">
        <v>265</v>
      </c>
      <c r="C10" s="28" t="s">
        <v>266</v>
      </c>
      <c r="D10" s="28" t="s">
        <v>1160</v>
      </c>
      <c r="E10" s="28" t="s">
        <v>1161</v>
      </c>
      <c r="F10" s="19" t="str">
        <f t="shared" si="1"/>
        <v>Megaserve Jainam</v>
      </c>
      <c r="J10" s="184" t="s">
        <v>1182</v>
      </c>
      <c r="K10" s="184" t="s">
        <v>1183</v>
      </c>
      <c r="M10" s="185"/>
      <c r="N10" s="186"/>
      <c r="O10" s="186"/>
      <c r="P10" s="186"/>
      <c r="Q10" s="186"/>
      <c r="R10" s="76"/>
    </row>
    <row r="11">
      <c r="A11" s="22" t="s">
        <v>264</v>
      </c>
      <c r="B11" s="28" t="s">
        <v>265</v>
      </c>
      <c r="C11" s="28" t="s">
        <v>266</v>
      </c>
      <c r="D11" s="28" t="s">
        <v>1160</v>
      </c>
      <c r="E11" s="28" t="s">
        <v>1161</v>
      </c>
      <c r="F11" s="19" t="str">
        <f t="shared" si="1"/>
        <v>Megaserve Jainam</v>
      </c>
      <c r="J11" s="184" t="s">
        <v>1184</v>
      </c>
      <c r="K11" s="184" t="s">
        <v>1185</v>
      </c>
      <c r="M11" s="185"/>
      <c r="N11" s="186"/>
      <c r="O11" s="186"/>
      <c r="P11" s="186"/>
      <c r="Q11" s="186"/>
      <c r="R11" s="76"/>
    </row>
    <row r="12">
      <c r="A12" s="22" t="s">
        <v>280</v>
      </c>
      <c r="B12" s="28" t="s">
        <v>1186</v>
      </c>
      <c r="C12" s="28" t="s">
        <v>266</v>
      </c>
      <c r="D12" s="28" t="s">
        <v>1160</v>
      </c>
      <c r="E12" s="28" t="s">
        <v>1161</v>
      </c>
      <c r="F12" s="19" t="str">
        <f t="shared" si="1"/>
        <v>Megaserve Jainam</v>
      </c>
      <c r="J12" s="184" t="s">
        <v>1187</v>
      </c>
      <c r="K12" s="184" t="s">
        <v>1188</v>
      </c>
      <c r="M12" s="185"/>
      <c r="N12" s="186"/>
      <c r="O12" s="186"/>
      <c r="P12" s="186"/>
      <c r="Q12" s="186"/>
      <c r="R12" s="76"/>
    </row>
    <row r="13">
      <c r="A13" s="22" t="s">
        <v>287</v>
      </c>
      <c r="B13" s="28" t="s">
        <v>1189</v>
      </c>
      <c r="C13" s="28" t="s">
        <v>266</v>
      </c>
      <c r="D13" s="28" t="s">
        <v>1160</v>
      </c>
      <c r="E13" s="28" t="s">
        <v>1161</v>
      </c>
      <c r="F13" s="19" t="str">
        <f t="shared" si="1"/>
        <v>Megaserve Jainam</v>
      </c>
      <c r="J13" s="184" t="s">
        <v>1190</v>
      </c>
      <c r="K13" s="184" t="s">
        <v>1191</v>
      </c>
      <c r="M13" s="185"/>
      <c r="N13" s="186"/>
      <c r="O13" s="186"/>
      <c r="P13" s="186"/>
      <c r="Q13" s="186"/>
      <c r="R13" s="76"/>
    </row>
    <row r="14">
      <c r="A14" s="22" t="s">
        <v>621</v>
      </c>
      <c r="B14" s="28" t="s">
        <v>1192</v>
      </c>
      <c r="C14" s="28" t="s">
        <v>266</v>
      </c>
      <c r="D14" s="28" t="s">
        <v>1160</v>
      </c>
      <c r="E14" s="28" t="s">
        <v>1161</v>
      </c>
      <c r="F14" s="19" t="str">
        <f t="shared" si="1"/>
        <v>Megaserve Jainam</v>
      </c>
      <c r="J14" s="184" t="s">
        <v>1193</v>
      </c>
      <c r="K14" s="184" t="s">
        <v>1194</v>
      </c>
      <c r="M14" s="185"/>
      <c r="N14" s="186"/>
      <c r="O14" s="186"/>
      <c r="P14" s="186"/>
      <c r="Q14" s="186"/>
      <c r="R14" s="76"/>
    </row>
    <row r="15">
      <c r="A15" s="22" t="s">
        <v>721</v>
      </c>
      <c r="B15" s="28" t="s">
        <v>1195</v>
      </c>
      <c r="C15" s="28" t="s">
        <v>272</v>
      </c>
      <c r="D15" s="28" t="s">
        <v>1160</v>
      </c>
      <c r="E15" s="28" t="s">
        <v>1161</v>
      </c>
      <c r="F15" s="19" t="str">
        <f t="shared" si="1"/>
        <v>Megaserve Jainam</v>
      </c>
      <c r="J15" s="184" t="s">
        <v>1196</v>
      </c>
      <c r="K15" s="184" t="s">
        <v>1197</v>
      </c>
      <c r="M15" s="185"/>
      <c r="N15" s="186"/>
      <c r="O15" s="186"/>
      <c r="P15" s="186"/>
      <c r="Q15" s="186"/>
      <c r="R15" s="76"/>
    </row>
    <row r="16">
      <c r="A16" s="22" t="s">
        <v>663</v>
      </c>
      <c r="B16" s="28" t="s">
        <v>1198</v>
      </c>
      <c r="C16" s="28" t="s">
        <v>285</v>
      </c>
      <c r="D16" s="28" t="s">
        <v>1160</v>
      </c>
      <c r="E16" s="28" t="s">
        <v>1161</v>
      </c>
      <c r="F16" s="19" t="str">
        <f t="shared" si="1"/>
        <v>Megaserve Jainam</v>
      </c>
      <c r="J16" s="184" t="s">
        <v>1160</v>
      </c>
      <c r="K16" s="184" t="s">
        <v>1199</v>
      </c>
      <c r="M16" s="185"/>
      <c r="N16" s="186"/>
      <c r="O16" s="186"/>
      <c r="P16" s="186"/>
      <c r="Q16" s="186"/>
      <c r="R16" s="76"/>
    </row>
    <row r="17">
      <c r="A17" s="22" t="s">
        <v>1200</v>
      </c>
      <c r="B17" s="28" t="s">
        <v>1201</v>
      </c>
      <c r="C17" s="28" t="s">
        <v>272</v>
      </c>
      <c r="D17" s="28" t="s">
        <v>1160</v>
      </c>
      <c r="E17" s="28" t="s">
        <v>1161</v>
      </c>
      <c r="F17" s="19" t="str">
        <f t="shared" si="1"/>
        <v>Megaserve Jainam</v>
      </c>
      <c r="M17" s="185"/>
      <c r="N17" s="186"/>
      <c r="O17" s="186"/>
      <c r="P17" s="186"/>
      <c r="Q17" s="186"/>
      <c r="R17" s="76"/>
    </row>
    <row r="18">
      <c r="A18" s="22" t="s">
        <v>1202</v>
      </c>
      <c r="B18" s="28" t="s">
        <v>291</v>
      </c>
      <c r="C18" s="28" t="s">
        <v>272</v>
      </c>
      <c r="D18" s="28" t="s">
        <v>1160</v>
      </c>
      <c r="E18" s="28" t="s">
        <v>1161</v>
      </c>
      <c r="F18" s="19" t="str">
        <f t="shared" si="1"/>
        <v>Megaserve Jainam</v>
      </c>
      <c r="M18" s="185"/>
      <c r="N18" s="186"/>
      <c r="O18" s="186"/>
      <c r="P18" s="186"/>
      <c r="Q18" s="186"/>
      <c r="R18" s="76"/>
    </row>
    <row r="19">
      <c r="A19" s="22" t="s">
        <v>1203</v>
      </c>
      <c r="B19" s="28" t="s">
        <v>1203</v>
      </c>
      <c r="C19" s="28" t="s">
        <v>1204</v>
      </c>
      <c r="D19" s="28" t="s">
        <v>1160</v>
      </c>
      <c r="E19" s="28" t="s">
        <v>1161</v>
      </c>
      <c r="F19" s="19" t="str">
        <f t="shared" si="1"/>
        <v>Megaserve Jainam</v>
      </c>
      <c r="M19" s="185"/>
      <c r="N19" s="186"/>
      <c r="O19" s="186"/>
      <c r="P19" s="186"/>
      <c r="Q19" s="186"/>
      <c r="R19" s="76"/>
    </row>
    <row r="20">
      <c r="A20" s="22" t="s">
        <v>1205</v>
      </c>
      <c r="B20" s="28" t="s">
        <v>1205</v>
      </c>
      <c r="C20" s="28" t="s">
        <v>1204</v>
      </c>
      <c r="D20" s="28" t="s">
        <v>1160</v>
      </c>
      <c r="E20" s="28" t="s">
        <v>1161</v>
      </c>
      <c r="F20" s="19" t="str">
        <f t="shared" si="1"/>
        <v>Megaserve Jainam</v>
      </c>
      <c r="M20" s="185"/>
      <c r="N20" s="186"/>
      <c r="O20" s="186"/>
      <c r="P20" s="186"/>
      <c r="Q20" s="186"/>
      <c r="R20" s="193"/>
    </row>
    <row r="21">
      <c r="A21" s="22" t="s">
        <v>1207</v>
      </c>
      <c r="B21" s="28" t="s">
        <v>1207</v>
      </c>
      <c r="C21" s="28" t="s">
        <v>1204</v>
      </c>
      <c r="D21" s="28" t="s">
        <v>1160</v>
      </c>
      <c r="E21" s="28" t="s">
        <v>1161</v>
      </c>
      <c r="F21" s="19" t="str">
        <f t="shared" si="1"/>
        <v>Megaserve Jainam</v>
      </c>
      <c r="M21" s="185"/>
      <c r="N21" s="186"/>
      <c r="O21" s="186"/>
      <c r="P21" s="186"/>
      <c r="Q21" s="186"/>
      <c r="R21" s="76"/>
    </row>
    <row r="22">
      <c r="A22" s="22" t="s">
        <v>1208</v>
      </c>
      <c r="B22" s="28" t="s">
        <v>1208</v>
      </c>
      <c r="C22" s="28" t="s">
        <v>1204</v>
      </c>
      <c r="D22" s="28" t="s">
        <v>1160</v>
      </c>
      <c r="E22" s="28" t="s">
        <v>1161</v>
      </c>
      <c r="F22" s="19" t="str">
        <f t="shared" si="1"/>
        <v>Megaserve Jainam</v>
      </c>
      <c r="M22" s="185"/>
      <c r="N22" s="186"/>
      <c r="O22" s="186"/>
      <c r="P22" s="186"/>
      <c r="Q22" s="186"/>
      <c r="R22" s="193"/>
    </row>
    <row r="23">
      <c r="A23" s="22" t="s">
        <v>423</v>
      </c>
      <c r="B23" s="28" t="s">
        <v>1209</v>
      </c>
      <c r="C23" s="28" t="s">
        <v>311</v>
      </c>
      <c r="D23" s="28" t="s">
        <v>1160</v>
      </c>
      <c r="E23" s="28" t="s">
        <v>1179</v>
      </c>
      <c r="F23" s="19" t="str">
        <f t="shared" si="1"/>
        <v>Megaserve Rohit</v>
      </c>
      <c r="M23" s="185"/>
      <c r="N23" s="186"/>
      <c r="O23" s="186"/>
      <c r="P23" s="186"/>
      <c r="Q23" s="186"/>
      <c r="R23" s="76"/>
    </row>
    <row r="24">
      <c r="A24" s="22" t="s">
        <v>309</v>
      </c>
      <c r="B24" s="28" t="s">
        <v>310</v>
      </c>
      <c r="C24" s="28" t="s">
        <v>311</v>
      </c>
      <c r="D24" s="28" t="s">
        <v>1152</v>
      </c>
      <c r="E24" s="28" t="s">
        <v>1156</v>
      </c>
      <c r="F24" s="19" t="str">
        <f t="shared" si="1"/>
        <v>Capital Compound Govinda</v>
      </c>
      <c r="M24" s="185"/>
      <c r="N24" s="186"/>
      <c r="O24" s="186"/>
      <c r="P24" s="186"/>
      <c r="Q24" s="186"/>
      <c r="R24" s="76"/>
    </row>
    <row r="25">
      <c r="A25" s="22" t="s">
        <v>569</v>
      </c>
      <c r="B25" s="28" t="s">
        <v>1210</v>
      </c>
      <c r="C25" s="28" t="s">
        <v>311</v>
      </c>
      <c r="D25" s="28" t="s">
        <v>1152</v>
      </c>
      <c r="E25" s="28" t="s">
        <v>1156</v>
      </c>
      <c r="F25" s="19" t="str">
        <f t="shared" si="1"/>
        <v>Capital Compound Govinda</v>
      </c>
      <c r="M25" s="185"/>
      <c r="N25" s="186"/>
      <c r="O25" s="186"/>
      <c r="P25" s="186"/>
      <c r="Q25" s="186"/>
      <c r="R25" s="76"/>
    </row>
    <row r="26">
      <c r="A26" s="22" t="s">
        <v>527</v>
      </c>
      <c r="B26" s="28" t="s">
        <v>1211</v>
      </c>
      <c r="C26" s="28" t="s">
        <v>311</v>
      </c>
      <c r="D26" s="28" t="s">
        <v>1152</v>
      </c>
      <c r="E26" s="28" t="s">
        <v>1156</v>
      </c>
      <c r="F26" s="19" t="str">
        <f t="shared" si="1"/>
        <v>Capital Compound Govinda</v>
      </c>
      <c r="M26" s="185"/>
      <c r="N26" s="186"/>
      <c r="O26" s="186"/>
      <c r="P26" s="186"/>
      <c r="Q26" s="186"/>
      <c r="R26" s="76"/>
    </row>
    <row r="27">
      <c r="A27" s="22" t="s">
        <v>544</v>
      </c>
      <c r="B27" s="28" t="s">
        <v>1212</v>
      </c>
      <c r="C27" s="28" t="s">
        <v>311</v>
      </c>
      <c r="D27" s="28" t="s">
        <v>1152</v>
      </c>
      <c r="E27" s="28" t="s">
        <v>1156</v>
      </c>
      <c r="F27" s="19" t="str">
        <f t="shared" si="1"/>
        <v>Capital Compound Govinda</v>
      </c>
      <c r="M27" s="185"/>
      <c r="N27" s="186"/>
      <c r="O27" s="186"/>
      <c r="P27" s="186"/>
      <c r="Q27" s="186"/>
      <c r="R27" s="76"/>
    </row>
    <row r="28">
      <c r="A28" s="22" t="s">
        <v>421</v>
      </c>
      <c r="B28" s="28" t="s">
        <v>1213</v>
      </c>
      <c r="C28" s="28" t="s">
        <v>311</v>
      </c>
      <c r="D28" s="28" t="s">
        <v>1152</v>
      </c>
      <c r="E28" s="28" t="s">
        <v>1162</v>
      </c>
      <c r="F28" s="19" t="str">
        <f t="shared" si="1"/>
        <v>Capital Compound Vivek</v>
      </c>
      <c r="M28" s="185"/>
      <c r="N28" s="186"/>
      <c r="O28" s="186"/>
      <c r="P28" s="186"/>
      <c r="Q28" s="186"/>
      <c r="R28" s="76"/>
    </row>
    <row r="29">
      <c r="A29" s="22" t="s">
        <v>326</v>
      </c>
      <c r="B29" s="28" t="s">
        <v>1214</v>
      </c>
      <c r="C29" s="28" t="s">
        <v>311</v>
      </c>
      <c r="D29" s="28" t="s">
        <v>1152</v>
      </c>
      <c r="E29" s="28" t="s">
        <v>1162</v>
      </c>
      <c r="F29" s="19" t="str">
        <f t="shared" si="1"/>
        <v>Capital Compound Vivek</v>
      </c>
      <c r="M29" s="185"/>
      <c r="N29" s="186"/>
      <c r="O29" s="186"/>
      <c r="P29" s="186"/>
      <c r="Q29" s="186"/>
      <c r="R29" s="76"/>
    </row>
    <row r="30">
      <c r="A30" s="22" t="s">
        <v>366</v>
      </c>
      <c r="B30" s="28" t="s">
        <v>1215</v>
      </c>
      <c r="C30" s="28" t="s">
        <v>311</v>
      </c>
      <c r="D30" s="28" t="s">
        <v>1152</v>
      </c>
      <c r="E30" s="28" t="s">
        <v>1156</v>
      </c>
      <c r="F30" s="19" t="str">
        <f t="shared" si="1"/>
        <v>Capital Compound Govinda</v>
      </c>
      <c r="M30" s="185"/>
      <c r="N30" s="186"/>
      <c r="O30" s="186"/>
      <c r="P30" s="186"/>
      <c r="Q30" s="186"/>
      <c r="R30" s="76"/>
    </row>
    <row r="31">
      <c r="A31" s="22" t="s">
        <v>754</v>
      </c>
      <c r="B31" s="28" t="s">
        <v>755</v>
      </c>
      <c r="C31" s="28" t="s">
        <v>311</v>
      </c>
      <c r="D31" s="28" t="s">
        <v>1152</v>
      </c>
      <c r="E31" s="28" t="s">
        <v>1156</v>
      </c>
      <c r="F31" s="19" t="str">
        <f t="shared" si="1"/>
        <v>Capital Compound Govinda</v>
      </c>
      <c r="M31" s="185"/>
      <c r="N31" s="186"/>
      <c r="O31" s="186"/>
      <c r="P31" s="186"/>
      <c r="Q31" s="186"/>
      <c r="R31" s="76"/>
    </row>
    <row r="32">
      <c r="A32" s="22" t="s">
        <v>103</v>
      </c>
      <c r="B32" s="28" t="s">
        <v>1218</v>
      </c>
      <c r="C32" s="28" t="s">
        <v>311</v>
      </c>
      <c r="D32" s="28" t="s">
        <v>1152</v>
      </c>
      <c r="E32" s="28" t="s">
        <v>1196</v>
      </c>
      <c r="F32" s="19" t="str">
        <f t="shared" si="1"/>
        <v>Personal GB</v>
      </c>
      <c r="M32" s="185"/>
      <c r="N32" s="186"/>
      <c r="O32" s="186"/>
      <c r="P32" s="186"/>
      <c r="Q32" s="186"/>
      <c r="R32" s="76"/>
    </row>
    <row r="33">
      <c r="A33" s="22" t="s">
        <v>561</v>
      </c>
      <c r="B33" s="28" t="s">
        <v>1220</v>
      </c>
      <c r="C33" s="28" t="s">
        <v>311</v>
      </c>
      <c r="D33" s="28" t="s">
        <v>1152</v>
      </c>
      <c r="E33" s="28" t="s">
        <v>1162</v>
      </c>
      <c r="F33" s="19" t="str">
        <f t="shared" si="1"/>
        <v>Capital Compound Vivek</v>
      </c>
      <c r="M33" s="185"/>
      <c r="N33" s="186"/>
      <c r="O33" s="186"/>
      <c r="P33" s="186"/>
      <c r="Q33" s="186"/>
      <c r="R33" s="76"/>
    </row>
    <row r="34">
      <c r="A34" s="22" t="s">
        <v>478</v>
      </c>
      <c r="B34" s="28" t="s">
        <v>1221</v>
      </c>
      <c r="C34" s="28" t="s">
        <v>311</v>
      </c>
      <c r="D34" s="28" t="s">
        <v>1152</v>
      </c>
      <c r="E34" s="28" t="s">
        <v>1196</v>
      </c>
      <c r="F34" s="19" t="str">
        <f t="shared" si="1"/>
        <v>Personal GB</v>
      </c>
      <c r="M34" s="185"/>
      <c r="N34" s="186"/>
      <c r="O34" s="186"/>
      <c r="P34" s="186"/>
      <c r="Q34" s="186"/>
      <c r="R34" s="76"/>
    </row>
    <row r="35">
      <c r="A35" s="22" t="s">
        <v>391</v>
      </c>
      <c r="B35" s="28" t="s">
        <v>1222</v>
      </c>
      <c r="C35" s="28" t="s">
        <v>311</v>
      </c>
      <c r="D35" s="28" t="s">
        <v>1152</v>
      </c>
      <c r="E35" s="28" t="s">
        <v>1156</v>
      </c>
      <c r="F35" s="19" t="str">
        <f t="shared" si="1"/>
        <v>Capital Compound Govinda</v>
      </c>
      <c r="M35" s="185"/>
      <c r="N35" s="186"/>
      <c r="O35" s="186"/>
      <c r="P35" s="186"/>
      <c r="Q35" s="186"/>
      <c r="R35" s="76"/>
    </row>
    <row r="36">
      <c r="A36" s="22" t="s">
        <v>95</v>
      </c>
      <c r="B36" s="28" t="s">
        <v>1223</v>
      </c>
      <c r="C36" s="28" t="s">
        <v>311</v>
      </c>
      <c r="D36" s="28" t="s">
        <v>1152</v>
      </c>
      <c r="E36" s="28" t="s">
        <v>1196</v>
      </c>
      <c r="F36" s="19" t="str">
        <f t="shared" si="1"/>
        <v>Personal GB</v>
      </c>
      <c r="M36" s="185"/>
      <c r="N36" s="186"/>
      <c r="O36" s="186"/>
      <c r="P36" s="186"/>
      <c r="Q36" s="186"/>
      <c r="R36" s="76"/>
    </row>
    <row r="37">
      <c r="A37" s="22" t="s">
        <v>882</v>
      </c>
      <c r="B37" s="28" t="s">
        <v>1224</v>
      </c>
      <c r="C37" s="28" t="s">
        <v>311</v>
      </c>
      <c r="D37" s="28" t="s">
        <v>1152</v>
      </c>
      <c r="E37" s="28" t="s">
        <v>1156</v>
      </c>
      <c r="F37" s="19" t="str">
        <f t="shared" si="1"/>
        <v>Capital Compound Govinda</v>
      </c>
      <c r="M37" s="185"/>
      <c r="N37" s="186"/>
      <c r="O37" s="186"/>
      <c r="P37" s="186"/>
      <c r="Q37" s="186"/>
      <c r="R37" s="76"/>
    </row>
    <row r="38">
      <c r="A38" s="22" t="s">
        <v>466</v>
      </c>
      <c r="B38" s="28" t="s">
        <v>1225</v>
      </c>
      <c r="C38" s="28" t="s">
        <v>311</v>
      </c>
      <c r="D38" s="28" t="s">
        <v>1152</v>
      </c>
      <c r="E38" s="28" t="s">
        <v>1156</v>
      </c>
      <c r="F38" s="19" t="str">
        <f t="shared" si="1"/>
        <v>Capital Compound Govinda</v>
      </c>
      <c r="M38" s="185"/>
      <c r="N38" s="186"/>
      <c r="O38" s="186"/>
      <c r="P38" s="186"/>
      <c r="Q38" s="186"/>
      <c r="R38" s="76"/>
    </row>
    <row r="39">
      <c r="A39" s="22" t="s">
        <v>467</v>
      </c>
      <c r="B39" s="28" t="s">
        <v>1226</v>
      </c>
      <c r="C39" s="28" t="s">
        <v>311</v>
      </c>
      <c r="D39" s="28" t="s">
        <v>1152</v>
      </c>
      <c r="E39" s="28" t="s">
        <v>1156</v>
      </c>
      <c r="F39" s="19" t="str">
        <f t="shared" si="1"/>
        <v>Capital Compound Govinda</v>
      </c>
      <c r="M39" s="185"/>
      <c r="N39" s="186"/>
      <c r="O39" s="186"/>
      <c r="P39" s="186"/>
      <c r="Q39" s="186"/>
      <c r="R39" s="76"/>
    </row>
    <row r="40">
      <c r="A40" s="22" t="s">
        <v>498</v>
      </c>
      <c r="B40" s="28" t="s">
        <v>1227</v>
      </c>
      <c r="C40" s="28" t="s">
        <v>311</v>
      </c>
      <c r="D40" s="28" t="s">
        <v>1152</v>
      </c>
      <c r="E40" s="28" t="s">
        <v>1156</v>
      </c>
      <c r="F40" s="19" t="str">
        <f t="shared" si="1"/>
        <v>Capital Compound Govinda</v>
      </c>
      <c r="M40" s="185"/>
      <c r="N40" s="186"/>
      <c r="O40" s="186"/>
      <c r="P40" s="186"/>
      <c r="Q40" s="186"/>
      <c r="R40" s="76"/>
    </row>
    <row r="41">
      <c r="A41" s="22" t="s">
        <v>324</v>
      </c>
      <c r="B41" s="28" t="s">
        <v>1229</v>
      </c>
      <c r="C41" s="28" t="s">
        <v>311</v>
      </c>
      <c r="D41" s="28" t="s">
        <v>1152</v>
      </c>
      <c r="E41" s="28" t="s">
        <v>1156</v>
      </c>
      <c r="F41" s="19" t="str">
        <f t="shared" si="1"/>
        <v>Capital Compound Govinda</v>
      </c>
      <c r="M41" s="185"/>
      <c r="N41" s="186"/>
      <c r="O41" s="186"/>
      <c r="P41" s="186"/>
      <c r="Q41" s="186"/>
      <c r="R41" s="76"/>
    </row>
    <row r="42">
      <c r="A42" s="22" t="s">
        <v>1230</v>
      </c>
      <c r="B42" s="28" t="s">
        <v>1231</v>
      </c>
      <c r="C42" s="28" t="s">
        <v>311</v>
      </c>
      <c r="D42" s="28" t="s">
        <v>1152</v>
      </c>
      <c r="E42" s="28" t="s">
        <v>1156</v>
      </c>
      <c r="F42" s="19" t="str">
        <f t="shared" si="1"/>
        <v>Capital Compound Govinda</v>
      </c>
      <c r="M42" s="185"/>
      <c r="N42" s="186"/>
      <c r="O42" s="186"/>
      <c r="P42" s="186"/>
      <c r="Q42" s="186"/>
      <c r="R42" s="76"/>
    </row>
    <row r="43">
      <c r="A43" s="22" t="s">
        <v>438</v>
      </c>
      <c r="B43" s="28" t="s">
        <v>1232</v>
      </c>
      <c r="C43" s="28" t="s">
        <v>311</v>
      </c>
      <c r="D43" s="28" t="s">
        <v>1152</v>
      </c>
      <c r="E43" s="28" t="s">
        <v>1156</v>
      </c>
      <c r="F43" s="19" t="str">
        <f t="shared" si="1"/>
        <v>Capital Compound Govinda</v>
      </c>
      <c r="M43" s="185"/>
      <c r="N43" s="186"/>
      <c r="O43" s="186"/>
      <c r="P43" s="186"/>
      <c r="Q43" s="186"/>
      <c r="R43" s="76"/>
    </row>
    <row r="44">
      <c r="A44" s="22" t="s">
        <v>444</v>
      </c>
      <c r="B44" s="28" t="s">
        <v>1233</v>
      </c>
      <c r="C44" s="28" t="s">
        <v>311</v>
      </c>
      <c r="D44" s="28" t="s">
        <v>1152</v>
      </c>
      <c r="E44" s="28" t="s">
        <v>1156</v>
      </c>
      <c r="F44" s="19" t="str">
        <f t="shared" si="1"/>
        <v>Capital Compound Govinda</v>
      </c>
      <c r="M44" s="185"/>
      <c r="N44" s="186"/>
      <c r="O44" s="186"/>
      <c r="P44" s="186"/>
      <c r="Q44" s="186"/>
      <c r="R44" s="76"/>
    </row>
    <row r="45">
      <c r="A45" s="22" t="s">
        <v>1234</v>
      </c>
      <c r="B45" s="28" t="s">
        <v>1235</v>
      </c>
      <c r="C45" s="28" t="s">
        <v>311</v>
      </c>
      <c r="D45" s="28" t="s">
        <v>1152</v>
      </c>
      <c r="E45" s="28" t="s">
        <v>1156</v>
      </c>
      <c r="F45" s="19" t="str">
        <f t="shared" si="1"/>
        <v>Capital Compound Govinda</v>
      </c>
      <c r="M45" s="185"/>
      <c r="N45" s="186"/>
      <c r="O45" s="186"/>
      <c r="P45" s="186"/>
      <c r="Q45" s="186"/>
      <c r="R45" s="76"/>
    </row>
    <row r="46">
      <c r="A46" s="22" t="s">
        <v>334</v>
      </c>
      <c r="B46" s="28" t="s">
        <v>1236</v>
      </c>
      <c r="C46" s="28" t="s">
        <v>311</v>
      </c>
      <c r="D46" s="28" t="s">
        <v>1152</v>
      </c>
      <c r="E46" s="28" t="s">
        <v>1156</v>
      </c>
      <c r="F46" s="19" t="str">
        <f t="shared" si="1"/>
        <v>Capital Compound Govinda</v>
      </c>
      <c r="M46" s="185"/>
      <c r="N46" s="186"/>
      <c r="O46" s="186"/>
      <c r="P46" s="186"/>
      <c r="Q46" s="186"/>
      <c r="R46" s="76"/>
    </row>
    <row r="47">
      <c r="A47" s="22" t="s">
        <v>344</v>
      </c>
      <c r="B47" s="28" t="s">
        <v>1237</v>
      </c>
      <c r="C47" s="28" t="s">
        <v>311</v>
      </c>
      <c r="D47" s="28" t="s">
        <v>1152</v>
      </c>
      <c r="E47" s="28" t="s">
        <v>1156</v>
      </c>
      <c r="F47" s="19" t="str">
        <f t="shared" si="1"/>
        <v>Capital Compound Govinda</v>
      </c>
      <c r="M47" s="185"/>
      <c r="N47" s="186"/>
      <c r="O47" s="186"/>
      <c r="P47" s="186"/>
      <c r="Q47" s="186"/>
      <c r="R47" s="76"/>
    </row>
    <row r="48">
      <c r="A48" s="22" t="s">
        <v>805</v>
      </c>
      <c r="B48" s="28" t="s">
        <v>1239</v>
      </c>
      <c r="C48" s="28" t="s">
        <v>311</v>
      </c>
      <c r="D48" s="28" t="s">
        <v>1152</v>
      </c>
      <c r="E48" s="28" t="s">
        <v>1156</v>
      </c>
      <c r="F48" s="19" t="str">
        <f t="shared" si="1"/>
        <v>Capital Compound Govinda</v>
      </c>
      <c r="M48" s="185"/>
      <c r="N48" s="186"/>
      <c r="O48" s="186"/>
      <c r="P48" s="186"/>
      <c r="Q48" s="186"/>
      <c r="R48" s="76"/>
    </row>
    <row r="49">
      <c r="A49" s="22" t="s">
        <v>399</v>
      </c>
      <c r="B49" s="28" t="s">
        <v>1240</v>
      </c>
      <c r="C49" s="28" t="s">
        <v>311</v>
      </c>
      <c r="D49" s="28" t="s">
        <v>1152</v>
      </c>
      <c r="E49" s="28" t="s">
        <v>1156</v>
      </c>
      <c r="F49" s="19" t="str">
        <f t="shared" si="1"/>
        <v>Capital Compound Govinda</v>
      </c>
      <c r="M49" s="185"/>
      <c r="N49" s="186"/>
      <c r="O49" s="186"/>
      <c r="P49" s="186"/>
      <c r="Q49" s="186"/>
      <c r="R49" s="76"/>
    </row>
    <row r="50">
      <c r="A50" s="22" t="s">
        <v>1241</v>
      </c>
      <c r="B50" s="28" t="s">
        <v>1242</v>
      </c>
      <c r="C50" s="28" t="s">
        <v>311</v>
      </c>
      <c r="D50" s="28" t="s">
        <v>1152</v>
      </c>
      <c r="E50" s="28" t="s">
        <v>1156</v>
      </c>
      <c r="F50" s="19" t="str">
        <f t="shared" si="1"/>
        <v>Capital Compound Govinda</v>
      </c>
      <c r="M50" s="185"/>
      <c r="N50" s="186"/>
      <c r="O50" s="186"/>
      <c r="P50" s="186"/>
      <c r="Q50" s="186"/>
      <c r="R50" s="76"/>
    </row>
    <row r="51">
      <c r="A51" s="22" t="s">
        <v>808</v>
      </c>
      <c r="B51" s="28" t="s">
        <v>1243</v>
      </c>
      <c r="C51" s="28" t="s">
        <v>311</v>
      </c>
      <c r="D51" s="28" t="s">
        <v>1152</v>
      </c>
      <c r="E51" s="28" t="s">
        <v>1156</v>
      </c>
      <c r="F51" s="19" t="str">
        <f t="shared" si="1"/>
        <v>Capital Compound Govinda</v>
      </c>
      <c r="M51" s="185"/>
      <c r="N51" s="186"/>
      <c r="O51" s="186"/>
      <c r="P51" s="186"/>
      <c r="Q51" s="186"/>
      <c r="R51" s="76"/>
    </row>
    <row r="52">
      <c r="A52" s="22" t="s">
        <v>377</v>
      </c>
      <c r="B52" s="28" t="s">
        <v>1244</v>
      </c>
      <c r="C52" s="28" t="s">
        <v>311</v>
      </c>
      <c r="D52" s="28" t="s">
        <v>1152</v>
      </c>
      <c r="E52" s="28" t="s">
        <v>1156</v>
      </c>
      <c r="F52" s="19" t="str">
        <f t="shared" si="1"/>
        <v>Capital Compound Govinda</v>
      </c>
      <c r="M52" s="185"/>
      <c r="N52" s="186"/>
      <c r="O52" s="186"/>
      <c r="P52" s="186"/>
      <c r="Q52" s="186"/>
      <c r="R52" s="76"/>
    </row>
    <row r="53">
      <c r="A53" s="22" t="s">
        <v>1245</v>
      </c>
      <c r="B53" s="28" t="s">
        <v>1246</v>
      </c>
      <c r="C53" s="28" t="s">
        <v>311</v>
      </c>
      <c r="D53" s="28" t="s">
        <v>1152</v>
      </c>
      <c r="E53" s="28" t="s">
        <v>1156</v>
      </c>
      <c r="F53" s="19" t="str">
        <f t="shared" si="1"/>
        <v>Capital Compound Govinda</v>
      </c>
      <c r="M53" s="185"/>
      <c r="N53" s="186"/>
      <c r="O53" s="186"/>
      <c r="P53" s="186"/>
      <c r="Q53" s="186"/>
      <c r="R53" s="193"/>
    </row>
    <row r="54">
      <c r="A54" s="22" t="s">
        <v>400</v>
      </c>
      <c r="B54" s="28" t="s">
        <v>1247</v>
      </c>
      <c r="C54" s="28" t="s">
        <v>311</v>
      </c>
      <c r="D54" s="28" t="s">
        <v>1152</v>
      </c>
      <c r="E54" s="28" t="s">
        <v>1156</v>
      </c>
      <c r="F54" s="19" t="str">
        <f t="shared" si="1"/>
        <v>Capital Compound Govinda</v>
      </c>
      <c r="M54" s="185"/>
      <c r="N54" s="186"/>
      <c r="O54" s="186"/>
      <c r="P54" s="186"/>
      <c r="Q54" s="186"/>
      <c r="R54" s="76"/>
    </row>
    <row r="55">
      <c r="A55" s="22" t="s">
        <v>225</v>
      </c>
      <c r="B55" s="28" t="s">
        <v>1250</v>
      </c>
      <c r="C55" s="28" t="s">
        <v>1251</v>
      </c>
      <c r="D55" s="28" t="s">
        <v>1152</v>
      </c>
      <c r="E55" s="28" t="s">
        <v>1162</v>
      </c>
      <c r="F55" s="19" t="str">
        <f t="shared" si="1"/>
        <v>Capital Compound Vivek</v>
      </c>
      <c r="M55" s="185"/>
      <c r="N55" s="186"/>
      <c r="O55" s="186"/>
      <c r="P55" s="186"/>
      <c r="Q55" s="186"/>
      <c r="R55" s="76"/>
    </row>
    <row r="56">
      <c r="A56" s="22" t="s">
        <v>810</v>
      </c>
      <c r="B56" s="28" t="s">
        <v>1252</v>
      </c>
      <c r="C56" s="28" t="s">
        <v>311</v>
      </c>
      <c r="D56" s="28" t="s">
        <v>1152</v>
      </c>
      <c r="E56" s="28" t="s">
        <v>1156</v>
      </c>
      <c r="F56" s="19" t="str">
        <f t="shared" si="1"/>
        <v>Capital Compound Govinda</v>
      </c>
      <c r="M56" s="185"/>
      <c r="N56" s="186"/>
      <c r="O56" s="186"/>
      <c r="P56" s="186"/>
      <c r="Q56" s="186"/>
      <c r="R56" s="76"/>
    </row>
    <row r="57">
      <c r="A57" s="22" t="s">
        <v>820</v>
      </c>
      <c r="B57" s="28" t="s">
        <v>1253</v>
      </c>
      <c r="C57" s="28" t="s">
        <v>311</v>
      </c>
      <c r="D57" s="28" t="s">
        <v>1152</v>
      </c>
      <c r="E57" s="28" t="s">
        <v>1156</v>
      </c>
      <c r="F57" s="19" t="str">
        <f t="shared" si="1"/>
        <v>Capital Compound Govinda</v>
      </c>
      <c r="M57" s="185"/>
      <c r="N57" s="186"/>
      <c r="O57" s="186"/>
      <c r="P57" s="186"/>
      <c r="Q57" s="186"/>
      <c r="R57" s="76"/>
    </row>
    <row r="58">
      <c r="A58" s="22" t="s">
        <v>418</v>
      </c>
      <c r="B58" s="28" t="s">
        <v>1254</v>
      </c>
      <c r="C58" s="28" t="s">
        <v>311</v>
      </c>
      <c r="D58" s="28" t="s">
        <v>1152</v>
      </c>
      <c r="E58" s="28" t="s">
        <v>1156</v>
      </c>
      <c r="F58" s="19" t="str">
        <f t="shared" si="1"/>
        <v>Capital Compound Govinda</v>
      </c>
      <c r="M58" s="185"/>
      <c r="N58" s="186"/>
      <c r="O58" s="186"/>
      <c r="P58" s="186"/>
      <c r="Q58" s="186"/>
      <c r="R58" s="76"/>
    </row>
    <row r="59">
      <c r="A59" s="22" t="s">
        <v>1255</v>
      </c>
      <c r="B59" s="28" t="s">
        <v>1254</v>
      </c>
      <c r="C59" s="28" t="s">
        <v>311</v>
      </c>
      <c r="D59" s="28" t="s">
        <v>1152</v>
      </c>
      <c r="E59" s="28" t="s">
        <v>1156</v>
      </c>
      <c r="F59" s="19" t="str">
        <f t="shared" si="1"/>
        <v>Capital Compound Govinda</v>
      </c>
      <c r="M59" s="185"/>
      <c r="N59" s="186"/>
      <c r="O59" s="186"/>
      <c r="P59" s="186"/>
      <c r="Q59" s="186"/>
      <c r="R59" s="76"/>
    </row>
    <row r="60">
      <c r="A60" s="22" t="s">
        <v>429</v>
      </c>
      <c r="B60" s="28" t="s">
        <v>1256</v>
      </c>
      <c r="C60" s="28" t="s">
        <v>311</v>
      </c>
      <c r="D60" s="28" t="s">
        <v>1152</v>
      </c>
      <c r="E60" s="28" t="s">
        <v>1156</v>
      </c>
      <c r="F60" s="19" t="str">
        <f t="shared" si="1"/>
        <v>Capital Compound Govinda</v>
      </c>
      <c r="M60" s="185"/>
      <c r="N60" s="186"/>
      <c r="O60" s="186"/>
      <c r="P60" s="186"/>
      <c r="Q60" s="186"/>
      <c r="R60" s="76"/>
    </row>
    <row r="61">
      <c r="A61" s="22" t="s">
        <v>452</v>
      </c>
      <c r="B61" s="28" t="s">
        <v>1257</v>
      </c>
      <c r="C61" s="28" t="s">
        <v>311</v>
      </c>
      <c r="D61" s="28" t="s">
        <v>1152</v>
      </c>
      <c r="E61" s="28" t="s">
        <v>1156</v>
      </c>
      <c r="F61" s="19" t="str">
        <f t="shared" si="1"/>
        <v>Capital Compound Govinda</v>
      </c>
      <c r="M61" s="185"/>
      <c r="N61" s="186"/>
      <c r="O61" s="186"/>
      <c r="P61" s="186"/>
      <c r="Q61" s="186"/>
      <c r="R61" s="76"/>
    </row>
    <row r="62">
      <c r="A62" s="22" t="s">
        <v>464</v>
      </c>
      <c r="B62" s="28" t="s">
        <v>1258</v>
      </c>
      <c r="C62" s="28" t="s">
        <v>311</v>
      </c>
      <c r="D62" s="28" t="s">
        <v>1152</v>
      </c>
      <c r="E62" s="28" t="s">
        <v>1156</v>
      </c>
      <c r="F62" s="19" t="str">
        <f t="shared" si="1"/>
        <v>Capital Compound Govinda</v>
      </c>
      <c r="M62" s="185"/>
      <c r="N62" s="186"/>
      <c r="O62" s="186"/>
      <c r="P62" s="186"/>
      <c r="Q62" s="186"/>
      <c r="R62" s="76"/>
    </row>
    <row r="63">
      <c r="A63" s="22" t="s">
        <v>306</v>
      </c>
      <c r="B63" s="28" t="s">
        <v>1259</v>
      </c>
      <c r="C63" s="28" t="s">
        <v>311</v>
      </c>
      <c r="D63" s="28" t="s">
        <v>1152</v>
      </c>
      <c r="E63" s="28" t="s">
        <v>1156</v>
      </c>
      <c r="F63" s="19" t="str">
        <f t="shared" si="1"/>
        <v>Capital Compound Govinda</v>
      </c>
      <c r="M63" s="185"/>
      <c r="N63" s="186"/>
      <c r="O63" s="186"/>
      <c r="P63" s="186"/>
      <c r="Q63" s="186"/>
      <c r="R63" s="76"/>
    </row>
    <row r="64">
      <c r="A64" s="22" t="s">
        <v>1262</v>
      </c>
      <c r="B64" s="28" t="s">
        <v>1263</v>
      </c>
      <c r="C64" s="28" t="s">
        <v>311</v>
      </c>
      <c r="D64" s="28" t="s">
        <v>1152</v>
      </c>
      <c r="E64" s="28" t="s">
        <v>1156</v>
      </c>
      <c r="F64" s="19" t="str">
        <f t="shared" si="1"/>
        <v>Capital Compound Govinda</v>
      </c>
      <c r="M64" s="185"/>
      <c r="N64" s="186"/>
      <c r="O64" s="186"/>
      <c r="P64" s="186"/>
      <c r="Q64" s="186"/>
      <c r="R64" s="76"/>
    </row>
    <row r="65">
      <c r="A65" s="22" t="s">
        <v>1264</v>
      </c>
      <c r="B65" s="28" t="s">
        <v>1265</v>
      </c>
      <c r="C65" s="28" t="s">
        <v>1266</v>
      </c>
      <c r="D65" s="28" t="s">
        <v>1152</v>
      </c>
      <c r="E65" s="28" t="s">
        <v>1156</v>
      </c>
      <c r="F65" s="19" t="str">
        <f t="shared" si="1"/>
        <v>Capital Compound Govinda</v>
      </c>
      <c r="M65" s="185"/>
      <c r="N65" s="186"/>
      <c r="O65" s="186"/>
      <c r="P65" s="186"/>
      <c r="Q65" s="186"/>
      <c r="R65" s="76"/>
    </row>
    <row r="66">
      <c r="A66" s="22" t="s">
        <v>1267</v>
      </c>
      <c r="B66" s="28" t="s">
        <v>1265</v>
      </c>
      <c r="C66" s="28" t="s">
        <v>311</v>
      </c>
      <c r="D66" s="28" t="s">
        <v>1152</v>
      </c>
      <c r="E66" s="28" t="s">
        <v>1156</v>
      </c>
      <c r="F66" s="19" t="str">
        <f t="shared" si="1"/>
        <v>Capital Compound Govinda</v>
      </c>
      <c r="M66" s="185"/>
      <c r="N66" s="186"/>
      <c r="O66" s="186"/>
      <c r="P66" s="186"/>
      <c r="Q66" s="186"/>
      <c r="R66" s="76"/>
    </row>
    <row r="67">
      <c r="A67" s="22" t="s">
        <v>1268</v>
      </c>
      <c r="B67" s="28" t="s">
        <v>1269</v>
      </c>
      <c r="C67" s="28" t="s">
        <v>311</v>
      </c>
      <c r="D67" s="28" t="s">
        <v>1152</v>
      </c>
      <c r="E67" s="28" t="s">
        <v>1156</v>
      </c>
      <c r="F67" s="19" t="str">
        <f t="shared" si="1"/>
        <v>Capital Compound Govinda</v>
      </c>
      <c r="M67" s="185"/>
      <c r="N67" s="186"/>
      <c r="O67" s="186"/>
      <c r="P67" s="186"/>
      <c r="Q67" s="186"/>
      <c r="R67" s="76"/>
    </row>
    <row r="68">
      <c r="A68" s="22" t="s">
        <v>639</v>
      </c>
      <c r="B68" s="28" t="s">
        <v>1270</v>
      </c>
      <c r="C68" s="28" t="s">
        <v>311</v>
      </c>
      <c r="D68" s="28" t="s">
        <v>1152</v>
      </c>
      <c r="E68" s="28" t="s">
        <v>1156</v>
      </c>
      <c r="F68" s="19" t="str">
        <f t="shared" si="1"/>
        <v>Capital Compound Govinda</v>
      </c>
      <c r="M68" s="185"/>
      <c r="N68" s="186"/>
      <c r="O68" s="186"/>
      <c r="P68" s="186"/>
      <c r="Q68" s="186"/>
      <c r="R68" s="76"/>
    </row>
    <row r="69">
      <c r="A69" s="22" t="s">
        <v>494</v>
      </c>
      <c r="B69" s="28" t="s">
        <v>1271</v>
      </c>
      <c r="C69" s="28" t="s">
        <v>311</v>
      </c>
      <c r="D69" s="28" t="s">
        <v>1152</v>
      </c>
      <c r="E69" s="28" t="s">
        <v>1162</v>
      </c>
      <c r="F69" s="19" t="str">
        <f t="shared" si="1"/>
        <v>Capital Compound Vivek</v>
      </c>
      <c r="M69" s="185"/>
      <c r="N69" s="186"/>
      <c r="O69" s="186"/>
      <c r="P69" s="186"/>
      <c r="Q69" s="186"/>
      <c r="R69" s="76"/>
    </row>
    <row r="70">
      <c r="A70" s="22" t="s">
        <v>1272</v>
      </c>
      <c r="B70" s="28" t="s">
        <v>1273</v>
      </c>
      <c r="C70" s="28" t="s">
        <v>311</v>
      </c>
      <c r="D70" s="28" t="s">
        <v>1152</v>
      </c>
      <c r="E70" s="28" t="s">
        <v>1156</v>
      </c>
      <c r="F70" s="19" t="str">
        <f t="shared" si="1"/>
        <v>Capital Compound Govinda</v>
      </c>
      <c r="M70" s="185"/>
      <c r="N70" s="186"/>
      <c r="O70" s="186"/>
      <c r="P70" s="186"/>
      <c r="Q70" s="186"/>
      <c r="R70" s="76"/>
    </row>
    <row r="71">
      <c r="A71" s="22" t="s">
        <v>430</v>
      </c>
      <c r="B71" s="28" t="s">
        <v>1274</v>
      </c>
      <c r="C71" s="28" t="s">
        <v>311</v>
      </c>
      <c r="D71" s="28" t="s">
        <v>1152</v>
      </c>
      <c r="E71" s="28" t="s">
        <v>1156</v>
      </c>
      <c r="F71" s="19" t="str">
        <f t="shared" si="1"/>
        <v>Capital Compound Govinda</v>
      </c>
      <c r="M71" s="185"/>
      <c r="N71" s="186"/>
      <c r="O71" s="186"/>
      <c r="P71" s="186"/>
      <c r="Q71" s="186"/>
      <c r="R71" s="76"/>
    </row>
    <row r="72">
      <c r="A72" s="22" t="s">
        <v>1276</v>
      </c>
      <c r="B72" s="28" t="s">
        <v>1277</v>
      </c>
      <c r="C72" s="28" t="s">
        <v>311</v>
      </c>
      <c r="D72" s="28" t="s">
        <v>1152</v>
      </c>
      <c r="E72" s="28" t="s">
        <v>1156</v>
      </c>
      <c r="F72" s="19" t="str">
        <f t="shared" si="1"/>
        <v>Capital Compound Govinda</v>
      </c>
      <c r="M72" s="185"/>
      <c r="N72" s="186"/>
      <c r="O72" s="186"/>
      <c r="P72" s="186"/>
      <c r="Q72" s="186"/>
      <c r="R72" s="76"/>
    </row>
    <row r="73">
      <c r="A73" s="22" t="s">
        <v>410</v>
      </c>
      <c r="B73" s="28" t="s">
        <v>1278</v>
      </c>
      <c r="C73" s="28" t="s">
        <v>311</v>
      </c>
      <c r="D73" s="28" t="s">
        <v>1152</v>
      </c>
      <c r="E73" s="28" t="s">
        <v>1156</v>
      </c>
      <c r="F73" s="19" t="str">
        <f t="shared" si="1"/>
        <v>Capital Compound Govinda</v>
      </c>
      <c r="M73" s="185"/>
      <c r="N73" s="186"/>
      <c r="O73" s="186"/>
      <c r="P73" s="186"/>
      <c r="Q73" s="186"/>
      <c r="R73" s="76"/>
    </row>
    <row r="74">
      <c r="A74" s="22" t="s">
        <v>348</v>
      </c>
      <c r="B74" s="28" t="s">
        <v>1279</v>
      </c>
      <c r="C74" s="28" t="s">
        <v>311</v>
      </c>
      <c r="D74" s="28" t="s">
        <v>1152</v>
      </c>
      <c r="E74" s="28" t="s">
        <v>1156</v>
      </c>
      <c r="F74" s="19" t="str">
        <f t="shared" si="1"/>
        <v>Capital Compound Govinda</v>
      </c>
      <c r="M74" s="185"/>
      <c r="N74" s="186"/>
      <c r="O74" s="186"/>
      <c r="P74" s="186"/>
      <c r="Q74" s="186"/>
      <c r="R74" s="76"/>
    </row>
    <row r="75">
      <c r="A75" s="22" t="s">
        <v>428</v>
      </c>
      <c r="B75" s="28" t="s">
        <v>1280</v>
      </c>
      <c r="C75" s="28" t="s">
        <v>311</v>
      </c>
      <c r="D75" s="28" t="s">
        <v>1152</v>
      </c>
      <c r="E75" s="28" t="s">
        <v>1156</v>
      </c>
      <c r="F75" s="19" t="str">
        <f t="shared" si="1"/>
        <v>Capital Compound Govinda</v>
      </c>
      <c r="M75" s="185"/>
      <c r="N75" s="186"/>
      <c r="O75" s="186"/>
      <c r="P75" s="186"/>
      <c r="Q75" s="186"/>
      <c r="R75" s="76"/>
    </row>
    <row r="76">
      <c r="A76" s="22" t="s">
        <v>1281</v>
      </c>
      <c r="B76" s="28" t="s">
        <v>1282</v>
      </c>
      <c r="C76" s="28" t="s">
        <v>1283</v>
      </c>
      <c r="D76" s="28" t="s">
        <v>1152</v>
      </c>
      <c r="E76" s="28" t="s">
        <v>1162</v>
      </c>
      <c r="F76" s="19" t="str">
        <f t="shared" si="1"/>
        <v>Capital Compound Vivek</v>
      </c>
      <c r="M76" s="185"/>
      <c r="N76" s="186"/>
      <c r="O76" s="186"/>
      <c r="P76" s="186"/>
      <c r="Q76" s="186"/>
      <c r="R76" s="76"/>
    </row>
    <row r="77">
      <c r="A77" s="22" t="s">
        <v>532</v>
      </c>
      <c r="B77" s="28" t="s">
        <v>1282</v>
      </c>
      <c r="C77" s="28" t="s">
        <v>1283</v>
      </c>
      <c r="D77" s="28" t="s">
        <v>1152</v>
      </c>
      <c r="E77" s="28" t="s">
        <v>1162</v>
      </c>
      <c r="F77" s="19" t="str">
        <f t="shared" si="1"/>
        <v>Capital Compound Vivek</v>
      </c>
      <c r="M77" s="185"/>
      <c r="N77" s="186"/>
      <c r="O77" s="186"/>
      <c r="P77" s="186"/>
      <c r="Q77" s="186"/>
      <c r="R77" s="76"/>
    </row>
    <row r="78">
      <c r="A78" s="22" t="s">
        <v>312</v>
      </c>
      <c r="B78" s="28" t="s">
        <v>313</v>
      </c>
      <c r="C78" s="28" t="s">
        <v>311</v>
      </c>
      <c r="D78" s="28" t="s">
        <v>1152</v>
      </c>
      <c r="E78" s="28" t="s">
        <v>1156</v>
      </c>
      <c r="F78" s="19" t="str">
        <f t="shared" si="1"/>
        <v>Capital Compound Govinda</v>
      </c>
      <c r="M78" s="185"/>
      <c r="N78" s="186"/>
      <c r="O78" s="186"/>
      <c r="P78" s="186"/>
      <c r="Q78" s="186"/>
      <c r="R78" s="76"/>
    </row>
    <row r="79">
      <c r="A79" s="22" t="s">
        <v>475</v>
      </c>
      <c r="B79" s="28" t="s">
        <v>1286</v>
      </c>
      <c r="C79" s="28" t="s">
        <v>311</v>
      </c>
      <c r="D79" s="28" t="s">
        <v>1152</v>
      </c>
      <c r="E79" s="28" t="s">
        <v>1156</v>
      </c>
      <c r="F79" s="19" t="str">
        <f t="shared" si="1"/>
        <v>Capital Compound Govinda</v>
      </c>
      <c r="M79" s="185"/>
      <c r="N79" s="186"/>
      <c r="O79" s="186"/>
      <c r="P79" s="186"/>
      <c r="Q79" s="186"/>
      <c r="R79" s="76"/>
    </row>
    <row r="80">
      <c r="A80" s="22" t="s">
        <v>1287</v>
      </c>
      <c r="B80" s="28" t="s">
        <v>1288</v>
      </c>
      <c r="C80" s="28" t="s">
        <v>1266</v>
      </c>
      <c r="D80" s="28" t="s">
        <v>1152</v>
      </c>
      <c r="E80" s="28" t="s">
        <v>1156</v>
      </c>
      <c r="F80" s="19" t="str">
        <f t="shared" si="1"/>
        <v>Capital Compound Govinda</v>
      </c>
      <c r="M80" s="185"/>
      <c r="N80" s="186"/>
      <c r="O80" s="186"/>
      <c r="P80" s="186"/>
      <c r="Q80" s="186"/>
      <c r="R80" s="76"/>
    </row>
    <row r="81">
      <c r="A81" s="22" t="s">
        <v>1289</v>
      </c>
      <c r="B81" s="28" t="s">
        <v>1288</v>
      </c>
      <c r="C81" s="28" t="s">
        <v>311</v>
      </c>
      <c r="D81" s="28" t="s">
        <v>1152</v>
      </c>
      <c r="E81" s="28" t="s">
        <v>1156</v>
      </c>
      <c r="F81" s="19" t="str">
        <f t="shared" si="1"/>
        <v>Capital Compound Govinda</v>
      </c>
      <c r="M81" s="185"/>
      <c r="N81" s="186"/>
      <c r="O81" s="186"/>
      <c r="P81" s="186"/>
      <c r="Q81" s="186"/>
      <c r="R81" s="76"/>
    </row>
    <row r="82">
      <c r="A82" s="22" t="s">
        <v>375</v>
      </c>
      <c r="B82" s="28" t="s">
        <v>1290</v>
      </c>
      <c r="C82" s="28" t="s">
        <v>311</v>
      </c>
      <c r="D82" s="28" t="s">
        <v>1152</v>
      </c>
      <c r="E82" s="28" t="s">
        <v>1156</v>
      </c>
      <c r="F82" s="19" t="str">
        <f t="shared" si="1"/>
        <v>Capital Compound Govinda</v>
      </c>
      <c r="M82" s="185"/>
      <c r="N82" s="186"/>
      <c r="O82" s="186"/>
      <c r="P82" s="186"/>
      <c r="Q82" s="186"/>
      <c r="R82" s="76"/>
    </row>
    <row r="83">
      <c r="A83" s="22" t="s">
        <v>815</v>
      </c>
      <c r="B83" s="28" t="s">
        <v>1291</v>
      </c>
      <c r="C83" s="28" t="s">
        <v>311</v>
      </c>
      <c r="D83" s="28" t="s">
        <v>1152</v>
      </c>
      <c r="E83" s="28" t="s">
        <v>1156</v>
      </c>
      <c r="F83" s="19" t="str">
        <f t="shared" si="1"/>
        <v>Capital Compound Govinda</v>
      </c>
      <c r="M83" s="185"/>
      <c r="N83" s="186"/>
      <c r="O83" s="186"/>
      <c r="P83" s="186"/>
      <c r="Q83" s="186"/>
      <c r="R83" s="76"/>
    </row>
    <row r="84">
      <c r="A84" s="22" t="s">
        <v>50</v>
      </c>
      <c r="B84" s="28" t="s">
        <v>1292</v>
      </c>
      <c r="C84" s="28" t="s">
        <v>311</v>
      </c>
      <c r="D84" s="28" t="s">
        <v>1152</v>
      </c>
      <c r="E84" s="28" t="s">
        <v>1156</v>
      </c>
      <c r="F84" s="19" t="str">
        <f t="shared" si="1"/>
        <v>Capital Compound Govinda</v>
      </c>
      <c r="M84" s="185"/>
      <c r="N84" s="186"/>
      <c r="O84" s="186"/>
      <c r="P84" s="186"/>
      <c r="Q84" s="186"/>
      <c r="R84" s="76"/>
    </row>
    <row r="85">
      <c r="A85" s="22" t="s">
        <v>1293</v>
      </c>
      <c r="B85" s="28" t="s">
        <v>1294</v>
      </c>
      <c r="C85" s="28" t="s">
        <v>311</v>
      </c>
      <c r="D85" s="28" t="s">
        <v>1152</v>
      </c>
      <c r="E85" s="28" t="s">
        <v>1162</v>
      </c>
      <c r="F85" s="19" t="str">
        <f t="shared" si="1"/>
        <v>Capital Compound Vivek</v>
      </c>
      <c r="M85" s="185"/>
      <c r="N85" s="186"/>
      <c r="O85" s="186"/>
      <c r="P85" s="186"/>
      <c r="Q85" s="186"/>
      <c r="R85" s="76"/>
    </row>
    <row r="86">
      <c r="A86" s="22" t="s">
        <v>345</v>
      </c>
      <c r="B86" s="28" t="s">
        <v>1297</v>
      </c>
      <c r="C86" s="28" t="s">
        <v>311</v>
      </c>
      <c r="D86" s="28" t="s">
        <v>1152</v>
      </c>
      <c r="E86" s="28" t="s">
        <v>1162</v>
      </c>
      <c r="F86" s="19" t="str">
        <f t="shared" si="1"/>
        <v>Capital Compound Vivek</v>
      </c>
      <c r="M86" s="185"/>
      <c r="N86" s="186"/>
      <c r="O86" s="186"/>
      <c r="P86" s="186"/>
      <c r="Q86" s="186"/>
      <c r="R86" s="76"/>
    </row>
    <row r="87">
      <c r="A87" s="22" t="s">
        <v>289</v>
      </c>
      <c r="B87" s="28" t="s">
        <v>1298</v>
      </c>
      <c r="C87" s="28" t="s">
        <v>311</v>
      </c>
      <c r="D87" s="28" t="s">
        <v>1152</v>
      </c>
      <c r="E87" s="28" t="s">
        <v>1162</v>
      </c>
      <c r="F87" s="19" t="str">
        <f t="shared" si="1"/>
        <v>Capital Compound Vivek</v>
      </c>
      <c r="M87" s="185"/>
      <c r="N87" s="186"/>
      <c r="O87" s="186"/>
      <c r="P87" s="186"/>
      <c r="Q87" s="186"/>
      <c r="R87" s="76"/>
    </row>
    <row r="88">
      <c r="A88" s="22" t="s">
        <v>1299</v>
      </c>
      <c r="B88" s="28" t="s">
        <v>1300</v>
      </c>
      <c r="C88" s="28" t="s">
        <v>311</v>
      </c>
      <c r="D88" s="28" t="s">
        <v>1152</v>
      </c>
      <c r="E88" s="28" t="s">
        <v>1162</v>
      </c>
      <c r="F88" s="19" t="str">
        <f t="shared" si="1"/>
        <v>Capital Compound Vivek</v>
      </c>
      <c r="M88" s="185"/>
      <c r="N88" s="186"/>
      <c r="O88" s="186"/>
      <c r="P88" s="186"/>
      <c r="Q88" s="186"/>
      <c r="R88" s="76"/>
    </row>
    <row r="89">
      <c r="A89" s="22" t="s">
        <v>535</v>
      </c>
      <c r="B89" s="28" t="s">
        <v>1301</v>
      </c>
      <c r="C89" s="28" t="s">
        <v>311</v>
      </c>
      <c r="D89" s="28" t="s">
        <v>1152</v>
      </c>
      <c r="E89" s="28" t="s">
        <v>1162</v>
      </c>
      <c r="F89" s="19" t="str">
        <f t="shared" si="1"/>
        <v>Capital Compound Vivek</v>
      </c>
      <c r="M89" s="185"/>
      <c r="N89" s="186"/>
      <c r="O89" s="186"/>
      <c r="P89" s="186"/>
      <c r="Q89" s="186"/>
      <c r="R89" s="76"/>
    </row>
    <row r="90">
      <c r="A90" s="22" t="s">
        <v>1302</v>
      </c>
      <c r="B90" s="28" t="s">
        <v>1303</v>
      </c>
      <c r="C90" s="28" t="s">
        <v>311</v>
      </c>
      <c r="D90" s="28" t="s">
        <v>1152</v>
      </c>
      <c r="E90" s="28" t="s">
        <v>1162</v>
      </c>
      <c r="F90" s="19" t="str">
        <f t="shared" si="1"/>
        <v>Capital Compound Vivek</v>
      </c>
      <c r="M90" s="185"/>
      <c r="N90" s="186"/>
      <c r="O90" s="186"/>
      <c r="P90" s="186"/>
      <c r="Q90" s="186"/>
      <c r="R90" s="76"/>
    </row>
    <row r="91">
      <c r="A91" s="22" t="s">
        <v>519</v>
      </c>
      <c r="B91" s="28" t="s">
        <v>1304</v>
      </c>
      <c r="C91" s="28" t="s">
        <v>311</v>
      </c>
      <c r="D91" s="28" t="s">
        <v>1152</v>
      </c>
      <c r="E91" s="28" t="s">
        <v>1162</v>
      </c>
      <c r="F91" s="19" t="str">
        <f t="shared" si="1"/>
        <v>Capital Compound Vivek</v>
      </c>
      <c r="M91" s="185"/>
      <c r="N91" s="186"/>
      <c r="O91" s="186"/>
      <c r="P91" s="186"/>
      <c r="Q91" s="186"/>
      <c r="R91" s="76"/>
    </row>
    <row r="92">
      <c r="A92" s="22" t="s">
        <v>1305</v>
      </c>
      <c r="B92" s="28" t="s">
        <v>1306</v>
      </c>
      <c r="C92" s="28" t="s">
        <v>311</v>
      </c>
      <c r="D92" s="28" t="s">
        <v>1152</v>
      </c>
      <c r="E92" s="28" t="s">
        <v>1162</v>
      </c>
      <c r="F92" s="19" t="str">
        <f t="shared" si="1"/>
        <v>Capital Compound Vivek</v>
      </c>
      <c r="M92" s="185"/>
      <c r="N92" s="186"/>
      <c r="O92" s="186"/>
      <c r="P92" s="186"/>
      <c r="Q92" s="186"/>
      <c r="R92" s="76"/>
    </row>
    <row r="93">
      <c r="A93" s="22" t="s">
        <v>1307</v>
      </c>
      <c r="B93" s="28" t="s">
        <v>1308</v>
      </c>
      <c r="C93" s="28" t="s">
        <v>1310</v>
      </c>
      <c r="D93" s="28" t="s">
        <v>1152</v>
      </c>
      <c r="E93" s="28" t="s">
        <v>1162</v>
      </c>
      <c r="F93" s="19" t="str">
        <f t="shared" si="1"/>
        <v>Capital Compound Vivek</v>
      </c>
      <c r="M93" s="185"/>
      <c r="N93" s="186"/>
      <c r="O93" s="186"/>
      <c r="P93" s="186"/>
      <c r="Q93" s="186"/>
      <c r="R93" s="76"/>
    </row>
    <row r="94">
      <c r="A94" s="22" t="s">
        <v>562</v>
      </c>
      <c r="B94" s="28" t="s">
        <v>1311</v>
      </c>
      <c r="C94" s="28" t="s">
        <v>1251</v>
      </c>
      <c r="D94" s="28" t="s">
        <v>1152</v>
      </c>
      <c r="E94" s="28" t="s">
        <v>1162</v>
      </c>
      <c r="F94" s="19" t="str">
        <f t="shared" si="1"/>
        <v>Capital Compound Vivek</v>
      </c>
      <c r="M94" s="185"/>
      <c r="N94" s="186"/>
      <c r="O94" s="186"/>
      <c r="P94" s="186"/>
      <c r="Q94" s="186"/>
      <c r="R94" s="76"/>
    </row>
    <row r="95">
      <c r="A95" s="22" t="s">
        <v>1312</v>
      </c>
      <c r="B95" s="28" t="s">
        <v>1313</v>
      </c>
      <c r="C95" s="28" t="s">
        <v>1314</v>
      </c>
      <c r="D95" s="28" t="s">
        <v>1152</v>
      </c>
      <c r="E95" s="28" t="s">
        <v>1152</v>
      </c>
      <c r="F95" s="19" t="str">
        <f t="shared" si="1"/>
        <v>Capital Compound</v>
      </c>
      <c r="M95" s="185"/>
      <c r="N95" s="186"/>
      <c r="O95" s="186"/>
      <c r="P95" s="186"/>
      <c r="Q95" s="186"/>
      <c r="R95" s="76"/>
    </row>
    <row r="96">
      <c r="A96" s="22" t="s">
        <v>1315</v>
      </c>
      <c r="B96" s="28" t="s">
        <v>1316</v>
      </c>
      <c r="C96" s="28" t="s">
        <v>1151</v>
      </c>
      <c r="D96" s="28" t="s">
        <v>1152</v>
      </c>
      <c r="E96" s="28" t="s">
        <v>1152</v>
      </c>
      <c r="F96" s="19" t="str">
        <f t="shared" si="1"/>
        <v>Capital Compound</v>
      </c>
      <c r="M96" s="185"/>
      <c r="N96" s="186"/>
      <c r="O96" s="186"/>
      <c r="P96" s="186"/>
      <c r="Q96" s="186"/>
      <c r="R96" s="76"/>
    </row>
    <row r="97">
      <c r="A97" s="22" t="s">
        <v>1317</v>
      </c>
      <c r="B97" s="28" t="s">
        <v>1318</v>
      </c>
      <c r="C97" s="28" t="s">
        <v>1151</v>
      </c>
      <c r="D97" s="28" t="s">
        <v>1152</v>
      </c>
      <c r="E97" s="28" t="s">
        <v>1152</v>
      </c>
      <c r="F97" s="19" t="str">
        <f t="shared" si="1"/>
        <v>Capital Compound</v>
      </c>
      <c r="M97" s="185"/>
      <c r="N97" s="186"/>
      <c r="O97" s="186"/>
      <c r="P97" s="186"/>
      <c r="Q97" s="186"/>
      <c r="R97" s="76"/>
    </row>
    <row r="98">
      <c r="A98" s="22" t="s">
        <v>1319</v>
      </c>
      <c r="B98" s="28" t="s">
        <v>1320</v>
      </c>
      <c r="C98" s="28" t="s">
        <v>1321</v>
      </c>
      <c r="D98" s="28" t="s">
        <v>1152</v>
      </c>
      <c r="E98" s="28" t="s">
        <v>1156</v>
      </c>
      <c r="F98" s="19" t="str">
        <f t="shared" si="1"/>
        <v>Capital Compound Govinda</v>
      </c>
      <c r="M98" s="185"/>
      <c r="N98" s="186"/>
      <c r="O98" s="186"/>
      <c r="P98" s="186"/>
      <c r="Q98" s="186"/>
      <c r="R98" s="76"/>
    </row>
    <row r="99">
      <c r="A99" s="22" t="s">
        <v>669</v>
      </c>
      <c r="B99" s="28" t="s">
        <v>1322</v>
      </c>
      <c r="C99" s="28" t="s">
        <v>311</v>
      </c>
      <c r="D99" s="28" t="s">
        <v>1152</v>
      </c>
      <c r="E99" s="28" t="s">
        <v>1196</v>
      </c>
      <c r="F99" s="19" t="str">
        <f t="shared" si="1"/>
        <v>Personal GB</v>
      </c>
      <c r="M99" s="185"/>
      <c r="N99" s="186"/>
      <c r="O99" s="186"/>
      <c r="P99" s="186"/>
      <c r="Q99" s="186"/>
      <c r="R99" s="76"/>
    </row>
    <row r="100">
      <c r="A100" s="22" t="s">
        <v>1323</v>
      </c>
      <c r="B100" s="28" t="s">
        <v>1324</v>
      </c>
      <c r="C100" s="28" t="s">
        <v>297</v>
      </c>
      <c r="D100" s="28" t="s">
        <v>1152</v>
      </c>
      <c r="E100" s="28" t="s">
        <v>1156</v>
      </c>
      <c r="F100" s="19" t="str">
        <f t="shared" si="1"/>
        <v>Capital Compound Govinda</v>
      </c>
      <c r="M100" s="185"/>
      <c r="N100" s="186"/>
      <c r="O100" s="186"/>
      <c r="P100" s="186"/>
      <c r="Q100" s="186"/>
      <c r="R100" s="76"/>
    </row>
    <row r="101">
      <c r="A101" s="22" t="s">
        <v>1325</v>
      </c>
      <c r="B101" s="28" t="s">
        <v>1324</v>
      </c>
      <c r="C101" s="28" t="s">
        <v>297</v>
      </c>
      <c r="D101" s="28" t="s">
        <v>1152</v>
      </c>
      <c r="E101" s="28" t="s">
        <v>1156</v>
      </c>
      <c r="F101" s="19" t="str">
        <f t="shared" si="1"/>
        <v>Capital Compound Govinda</v>
      </c>
      <c r="M101" s="185"/>
      <c r="N101" s="186"/>
      <c r="O101" s="186"/>
      <c r="P101" s="186"/>
      <c r="Q101" s="186"/>
      <c r="R101" s="76"/>
    </row>
    <row r="102">
      <c r="A102" s="22" t="s">
        <v>1327</v>
      </c>
      <c r="B102" s="28" t="s">
        <v>1328</v>
      </c>
      <c r="C102" s="28" t="s">
        <v>297</v>
      </c>
      <c r="D102" s="28" t="s">
        <v>1152</v>
      </c>
      <c r="E102" s="28" t="s">
        <v>1156</v>
      </c>
      <c r="F102" s="19" t="str">
        <f t="shared" si="1"/>
        <v>Capital Compound Govinda</v>
      </c>
      <c r="M102" s="185"/>
      <c r="N102" s="186"/>
      <c r="O102" s="186"/>
      <c r="P102" s="186"/>
      <c r="Q102" s="186"/>
      <c r="R102" s="76"/>
    </row>
    <row r="103">
      <c r="A103" s="22" t="s">
        <v>1329</v>
      </c>
      <c r="B103" s="28" t="s">
        <v>1330</v>
      </c>
      <c r="C103" s="28" t="s">
        <v>311</v>
      </c>
      <c r="D103" s="28" t="s">
        <v>1160</v>
      </c>
      <c r="E103" s="28" t="s">
        <v>1179</v>
      </c>
      <c r="F103" s="19" t="str">
        <f t="shared" si="1"/>
        <v>Megaserve Rohit</v>
      </c>
      <c r="M103" s="185"/>
      <c r="N103" s="186"/>
      <c r="O103" s="186"/>
      <c r="P103" s="186"/>
      <c r="Q103" s="186"/>
      <c r="R103" s="76"/>
    </row>
    <row r="104">
      <c r="A104" s="22" t="s">
        <v>503</v>
      </c>
      <c r="B104" s="28" t="s">
        <v>1331</v>
      </c>
      <c r="C104" s="28" t="s">
        <v>311</v>
      </c>
      <c r="D104" s="28" t="s">
        <v>1160</v>
      </c>
      <c r="E104" s="28" t="s">
        <v>1179</v>
      </c>
      <c r="F104" s="19" t="str">
        <f t="shared" si="1"/>
        <v>Megaserve Rohit</v>
      </c>
      <c r="M104" s="185"/>
      <c r="N104" s="186"/>
      <c r="O104" s="186"/>
      <c r="P104" s="186"/>
      <c r="Q104" s="186"/>
      <c r="R104" s="76"/>
    </row>
    <row r="105">
      <c r="A105" s="22" t="s">
        <v>642</v>
      </c>
      <c r="B105" s="28" t="s">
        <v>1332</v>
      </c>
      <c r="C105" s="28" t="s">
        <v>311</v>
      </c>
      <c r="D105" s="28" t="s">
        <v>1160</v>
      </c>
      <c r="E105" s="28" t="s">
        <v>1179</v>
      </c>
      <c r="F105" s="19" t="str">
        <f t="shared" si="1"/>
        <v>Megaserve Rohit</v>
      </c>
      <c r="M105" s="185"/>
      <c r="N105" s="186"/>
      <c r="O105" s="186"/>
      <c r="P105" s="186"/>
      <c r="Q105" s="186"/>
      <c r="R105" s="76"/>
    </row>
    <row r="106">
      <c r="A106" s="22" t="s">
        <v>1333</v>
      </c>
      <c r="B106" s="28" t="s">
        <v>1334</v>
      </c>
      <c r="C106" s="28" t="s">
        <v>311</v>
      </c>
      <c r="D106" s="28" t="s">
        <v>1160</v>
      </c>
      <c r="E106" s="28" t="s">
        <v>1179</v>
      </c>
      <c r="F106" s="19" t="str">
        <f t="shared" si="1"/>
        <v>Megaserve Rohit</v>
      </c>
      <c r="M106" s="185"/>
      <c r="N106" s="186"/>
      <c r="O106" s="186"/>
      <c r="P106" s="186"/>
      <c r="Q106" s="186"/>
      <c r="R106" s="76"/>
    </row>
    <row r="107">
      <c r="A107" s="22" t="s">
        <v>354</v>
      </c>
      <c r="B107" s="28" t="s">
        <v>1335</v>
      </c>
      <c r="C107" s="28" t="s">
        <v>232</v>
      </c>
      <c r="D107" s="28" t="s">
        <v>1160</v>
      </c>
      <c r="E107" s="28" t="s">
        <v>1179</v>
      </c>
      <c r="F107" s="19" t="str">
        <f t="shared" si="1"/>
        <v>Megaserve Rohit</v>
      </c>
      <c r="M107" s="185"/>
      <c r="N107" s="186"/>
      <c r="O107" s="186"/>
      <c r="P107" s="186"/>
      <c r="Q107" s="186"/>
      <c r="R107" s="76"/>
    </row>
    <row r="108">
      <c r="A108" s="22" t="s">
        <v>332</v>
      </c>
      <c r="B108" s="28" t="s">
        <v>1336</v>
      </c>
      <c r="C108" s="28" t="s">
        <v>311</v>
      </c>
      <c r="D108" s="28" t="s">
        <v>1160</v>
      </c>
      <c r="E108" s="28" t="s">
        <v>1179</v>
      </c>
      <c r="F108" s="19" t="str">
        <f t="shared" si="1"/>
        <v>Megaserve Rohit</v>
      </c>
      <c r="M108" s="185"/>
      <c r="N108" s="186"/>
      <c r="O108" s="186"/>
      <c r="P108" s="186"/>
      <c r="Q108" s="186"/>
      <c r="R108" s="76"/>
    </row>
    <row r="109">
      <c r="A109" s="22" t="s">
        <v>1337</v>
      </c>
      <c r="B109" s="28" t="s">
        <v>1339</v>
      </c>
      <c r="C109" s="28" t="s">
        <v>1151</v>
      </c>
      <c r="D109" s="28" t="s">
        <v>1160</v>
      </c>
      <c r="E109" s="28" t="s">
        <v>1179</v>
      </c>
      <c r="F109" s="19" t="str">
        <f t="shared" si="1"/>
        <v>Megaserve Rohit</v>
      </c>
      <c r="M109" s="185"/>
      <c r="N109" s="186"/>
      <c r="O109" s="186"/>
      <c r="P109" s="186"/>
      <c r="Q109" s="186"/>
      <c r="R109" s="76"/>
    </row>
    <row r="110">
      <c r="A110" s="22" t="s">
        <v>1340</v>
      </c>
      <c r="B110" s="28" t="s">
        <v>1341</v>
      </c>
      <c r="C110" s="28" t="s">
        <v>311</v>
      </c>
      <c r="D110" s="28" t="s">
        <v>1160</v>
      </c>
      <c r="E110" s="28" t="s">
        <v>1179</v>
      </c>
      <c r="F110" s="19" t="str">
        <f t="shared" si="1"/>
        <v>Megaserve Rohit</v>
      </c>
      <c r="M110" s="185"/>
      <c r="N110" s="186"/>
      <c r="O110" s="186"/>
      <c r="P110" s="186"/>
      <c r="Q110" s="186"/>
      <c r="R110" s="76"/>
    </row>
    <row r="111">
      <c r="A111" s="22" t="s">
        <v>1342</v>
      </c>
      <c r="B111" s="28" t="s">
        <v>1343</v>
      </c>
      <c r="C111" s="28" t="s">
        <v>311</v>
      </c>
      <c r="D111" s="28" t="s">
        <v>1160</v>
      </c>
      <c r="E111" s="28" t="s">
        <v>1179</v>
      </c>
      <c r="F111" s="19" t="str">
        <f t="shared" si="1"/>
        <v>Megaserve Rohit</v>
      </c>
      <c r="M111" s="185"/>
      <c r="N111" s="186"/>
      <c r="O111" s="186"/>
      <c r="P111" s="186"/>
      <c r="Q111" s="186"/>
      <c r="R111" s="76"/>
    </row>
    <row r="112">
      <c r="A112" s="22" t="s">
        <v>1344</v>
      </c>
      <c r="B112" s="28" t="s">
        <v>1345</v>
      </c>
      <c r="C112" s="28" t="s">
        <v>311</v>
      </c>
      <c r="D112" s="28" t="s">
        <v>1160</v>
      </c>
      <c r="E112" s="28" t="s">
        <v>1179</v>
      </c>
      <c r="F112" s="19" t="str">
        <f t="shared" si="1"/>
        <v>Megaserve Rohit</v>
      </c>
      <c r="M112" s="185"/>
      <c r="N112" s="186"/>
      <c r="O112" s="186"/>
      <c r="P112" s="186"/>
      <c r="Q112" s="186"/>
      <c r="R112" s="76"/>
    </row>
    <row r="113">
      <c r="A113" s="22" t="s">
        <v>1346</v>
      </c>
      <c r="B113" s="28" t="s">
        <v>1347</v>
      </c>
      <c r="C113" s="28" t="s">
        <v>311</v>
      </c>
      <c r="D113" s="28" t="s">
        <v>1160</v>
      </c>
      <c r="E113" s="28" t="s">
        <v>1179</v>
      </c>
      <c r="F113" s="19" t="str">
        <f t="shared" si="1"/>
        <v>Megaserve Rohit</v>
      </c>
      <c r="M113" s="185"/>
      <c r="N113" s="186"/>
      <c r="O113" s="186"/>
      <c r="P113" s="186"/>
      <c r="Q113" s="186"/>
      <c r="R113" s="76"/>
    </row>
    <row r="114">
      <c r="A114" s="22" t="s">
        <v>449</v>
      </c>
      <c r="B114" s="28" t="s">
        <v>1348</v>
      </c>
      <c r="C114" s="28" t="s">
        <v>311</v>
      </c>
      <c r="D114" s="28" t="s">
        <v>1160</v>
      </c>
      <c r="E114" s="28" t="s">
        <v>1179</v>
      </c>
      <c r="F114" s="19" t="str">
        <f t="shared" si="1"/>
        <v>Megaserve Rohit</v>
      </c>
      <c r="M114" s="185"/>
      <c r="N114" s="186"/>
      <c r="O114" s="186"/>
      <c r="P114" s="186"/>
      <c r="Q114" s="186"/>
      <c r="R114" s="76"/>
    </row>
    <row r="115">
      <c r="A115" s="22" t="s">
        <v>1349</v>
      </c>
      <c r="B115" s="28" t="s">
        <v>1350</v>
      </c>
      <c r="C115" s="28" t="s">
        <v>311</v>
      </c>
      <c r="D115" s="28" t="s">
        <v>1160</v>
      </c>
      <c r="E115" s="28" t="s">
        <v>1179</v>
      </c>
      <c r="F115" s="19" t="str">
        <f t="shared" si="1"/>
        <v>Megaserve Rohit</v>
      </c>
      <c r="M115" s="185"/>
      <c r="N115" s="186"/>
      <c r="O115" s="186"/>
      <c r="P115" s="186"/>
      <c r="Q115" s="186"/>
      <c r="R115" s="76"/>
    </row>
    <row r="116">
      <c r="A116" s="22" t="s">
        <v>1352</v>
      </c>
      <c r="B116" s="28" t="s">
        <v>1350</v>
      </c>
      <c r="C116" s="28" t="s">
        <v>232</v>
      </c>
      <c r="D116" s="28" t="s">
        <v>1160</v>
      </c>
      <c r="E116" s="28" t="s">
        <v>1179</v>
      </c>
      <c r="F116" s="19" t="str">
        <f t="shared" si="1"/>
        <v>Megaserve Rohit</v>
      </c>
      <c r="M116" s="185"/>
      <c r="N116" s="186"/>
      <c r="O116" s="186"/>
      <c r="P116" s="186"/>
      <c r="Q116" s="186"/>
      <c r="R116" s="76"/>
    </row>
    <row r="117">
      <c r="A117" s="22" t="s">
        <v>1353</v>
      </c>
      <c r="B117" s="28" t="s">
        <v>1354</v>
      </c>
      <c r="C117" s="28" t="s">
        <v>311</v>
      </c>
      <c r="D117" s="28" t="s">
        <v>1160</v>
      </c>
      <c r="E117" s="28" t="s">
        <v>1179</v>
      </c>
      <c r="F117" s="19" t="str">
        <f t="shared" si="1"/>
        <v>Megaserve Rohit</v>
      </c>
      <c r="M117" s="185"/>
      <c r="N117" s="186"/>
      <c r="O117" s="186"/>
      <c r="P117" s="186"/>
      <c r="Q117" s="186"/>
      <c r="R117" s="76"/>
    </row>
    <row r="118">
      <c r="A118" s="22" t="s">
        <v>426</v>
      </c>
      <c r="B118" s="28" t="s">
        <v>1355</v>
      </c>
      <c r="C118" s="28" t="s">
        <v>311</v>
      </c>
      <c r="D118" s="28" t="s">
        <v>1160</v>
      </c>
      <c r="E118" s="28" t="s">
        <v>1179</v>
      </c>
      <c r="F118" s="19" t="str">
        <f t="shared" si="1"/>
        <v>Megaserve Rohit</v>
      </c>
      <c r="M118" s="185"/>
      <c r="N118" s="186"/>
      <c r="O118" s="186"/>
      <c r="P118" s="186"/>
      <c r="Q118" s="186"/>
      <c r="R118" s="76"/>
    </row>
    <row r="119">
      <c r="A119" s="22" t="s">
        <v>1356</v>
      </c>
      <c r="B119" s="28" t="s">
        <v>1357</v>
      </c>
      <c r="C119" s="28" t="s">
        <v>311</v>
      </c>
      <c r="D119" s="28" t="s">
        <v>1160</v>
      </c>
      <c r="E119" s="28" t="s">
        <v>1179</v>
      </c>
      <c r="F119" s="19" t="str">
        <f t="shared" si="1"/>
        <v>Megaserve Rohit</v>
      </c>
      <c r="M119" s="185"/>
      <c r="N119" s="186"/>
      <c r="O119" s="186"/>
      <c r="P119" s="186"/>
      <c r="Q119" s="186"/>
      <c r="R119" s="76"/>
    </row>
    <row r="120">
      <c r="A120" s="22" t="s">
        <v>1358</v>
      </c>
      <c r="B120" s="28" t="s">
        <v>1359</v>
      </c>
      <c r="C120" s="28" t="s">
        <v>311</v>
      </c>
      <c r="D120" s="28" t="s">
        <v>1160</v>
      </c>
      <c r="E120" s="28" t="s">
        <v>1179</v>
      </c>
      <c r="F120" s="19" t="str">
        <f t="shared" si="1"/>
        <v>Megaserve Rohit</v>
      </c>
      <c r="M120" s="185"/>
      <c r="N120" s="203"/>
      <c r="O120" s="186"/>
      <c r="P120" s="186"/>
      <c r="Q120" s="186"/>
      <c r="R120" s="76"/>
    </row>
    <row r="121">
      <c r="A121" s="22" t="s">
        <v>472</v>
      </c>
      <c r="B121" s="28" t="s">
        <v>1360</v>
      </c>
      <c r="C121" s="28" t="s">
        <v>232</v>
      </c>
      <c r="D121" s="28" t="s">
        <v>1160</v>
      </c>
      <c r="E121" s="28" t="s">
        <v>1179</v>
      </c>
      <c r="F121" s="19" t="str">
        <f t="shared" si="1"/>
        <v>Megaserve Rohit</v>
      </c>
      <c r="M121" s="185"/>
      <c r="N121" s="203"/>
      <c r="O121" s="186"/>
      <c r="P121" s="186"/>
      <c r="Q121" s="186"/>
      <c r="R121" s="76"/>
    </row>
    <row r="122">
      <c r="A122" s="22" t="s">
        <v>1361</v>
      </c>
      <c r="B122" s="28" t="s">
        <v>1362</v>
      </c>
      <c r="C122" s="28" t="s">
        <v>1363</v>
      </c>
      <c r="D122" s="28" t="s">
        <v>1160</v>
      </c>
      <c r="E122" s="28" t="s">
        <v>1179</v>
      </c>
      <c r="F122" s="19" t="str">
        <f t="shared" si="1"/>
        <v>Megaserve Rohit</v>
      </c>
      <c r="M122" s="185"/>
      <c r="N122" s="203"/>
      <c r="O122" s="186"/>
      <c r="P122" s="186"/>
      <c r="Q122" s="186"/>
      <c r="R122" s="76"/>
    </row>
    <row r="123">
      <c r="A123" s="22" t="s">
        <v>1365</v>
      </c>
      <c r="B123" s="28" t="s">
        <v>1366</v>
      </c>
      <c r="C123" s="28" t="s">
        <v>1367</v>
      </c>
      <c r="D123" s="28" t="s">
        <v>1160</v>
      </c>
      <c r="E123" s="28" t="s">
        <v>1179</v>
      </c>
      <c r="F123" s="19" t="str">
        <f t="shared" si="1"/>
        <v>Megaserve Rohit</v>
      </c>
      <c r="M123" s="185"/>
      <c r="N123" s="186"/>
      <c r="O123" s="186"/>
      <c r="P123" s="186"/>
      <c r="Q123" s="186"/>
      <c r="R123" s="193"/>
    </row>
    <row r="124">
      <c r="A124" s="22" t="s">
        <v>318</v>
      </c>
      <c r="B124" s="28" t="s">
        <v>319</v>
      </c>
      <c r="C124" s="28" t="s">
        <v>232</v>
      </c>
      <c r="D124" s="28" t="s">
        <v>1152</v>
      </c>
      <c r="E124" s="28" t="s">
        <v>1156</v>
      </c>
      <c r="F124" s="19" t="str">
        <f t="shared" si="1"/>
        <v>Capital Compound Govinda</v>
      </c>
      <c r="M124" s="204"/>
      <c r="N124" s="205"/>
      <c r="O124" s="205"/>
      <c r="P124" s="205"/>
      <c r="Q124" s="205"/>
      <c r="R124" s="76"/>
    </row>
    <row r="125">
      <c r="A125" s="22" t="s">
        <v>761</v>
      </c>
      <c r="B125" s="28" t="s">
        <v>762</v>
      </c>
      <c r="C125" s="28" t="s">
        <v>311</v>
      </c>
      <c r="D125" s="28" t="s">
        <v>1152</v>
      </c>
      <c r="E125" s="28" t="s">
        <v>1156</v>
      </c>
      <c r="F125" s="19" t="str">
        <f t="shared" si="1"/>
        <v>Capital Compound Govinda</v>
      </c>
      <c r="M125" s="185"/>
      <c r="N125" s="186"/>
      <c r="O125" s="186"/>
      <c r="P125" s="186"/>
      <c r="Q125" s="186"/>
      <c r="R125" s="76"/>
    </row>
    <row r="126">
      <c r="A126" s="22" t="s">
        <v>1368</v>
      </c>
      <c r="B126" s="28" t="s">
        <v>1369</v>
      </c>
      <c r="C126" s="28" t="s">
        <v>232</v>
      </c>
      <c r="D126" s="28" t="s">
        <v>1152</v>
      </c>
      <c r="E126" s="28" t="s">
        <v>1156</v>
      </c>
      <c r="F126" s="19" t="str">
        <f t="shared" si="1"/>
        <v>Capital Compound Govinda</v>
      </c>
      <c r="M126" s="204"/>
      <c r="N126" s="205"/>
      <c r="O126" s="205"/>
      <c r="P126" s="205"/>
      <c r="Q126" s="205"/>
      <c r="R126" s="76"/>
    </row>
    <row r="127">
      <c r="A127" s="22" t="s">
        <v>330</v>
      </c>
      <c r="B127" s="28" t="s">
        <v>331</v>
      </c>
      <c r="C127" s="28" t="s">
        <v>311</v>
      </c>
      <c r="D127" s="28" t="s">
        <v>1152</v>
      </c>
      <c r="E127" s="28" t="s">
        <v>1156</v>
      </c>
      <c r="F127" s="19" t="str">
        <f t="shared" si="1"/>
        <v>Capital Compound Govinda</v>
      </c>
      <c r="M127" s="185"/>
      <c r="N127" s="203"/>
      <c r="O127" s="186"/>
      <c r="P127" s="186"/>
      <c r="Q127" s="186"/>
      <c r="R127" s="76"/>
    </row>
    <row r="128">
      <c r="A128" s="22" t="s">
        <v>516</v>
      </c>
      <c r="B128" s="28" t="s">
        <v>1370</v>
      </c>
      <c r="C128" s="28" t="s">
        <v>311</v>
      </c>
      <c r="D128" s="28" t="s">
        <v>1152</v>
      </c>
      <c r="E128" s="28" t="s">
        <v>1156</v>
      </c>
      <c r="F128" s="19" t="str">
        <f t="shared" si="1"/>
        <v>Capital Compound Govinda</v>
      </c>
      <c r="M128" s="185"/>
      <c r="N128" s="203"/>
      <c r="O128" s="186"/>
      <c r="P128" s="186"/>
      <c r="Q128" s="186"/>
      <c r="R128" s="76"/>
    </row>
    <row r="129">
      <c r="A129" s="22" t="s">
        <v>443</v>
      </c>
      <c r="B129" s="28" t="s">
        <v>1371</v>
      </c>
      <c r="C129" s="28" t="s">
        <v>311</v>
      </c>
      <c r="D129" s="28" t="s">
        <v>1160</v>
      </c>
      <c r="E129" s="28" t="s">
        <v>1176</v>
      </c>
      <c r="F129" s="19" t="str">
        <f t="shared" si="1"/>
        <v>Megaserve Plantitude</v>
      </c>
      <c r="M129" s="185"/>
      <c r="N129" s="203"/>
      <c r="O129" s="186"/>
      <c r="P129" s="186"/>
      <c r="Q129" s="186"/>
      <c r="R129" s="76"/>
    </row>
    <row r="130">
      <c r="A130" s="22" t="s">
        <v>402</v>
      </c>
      <c r="B130" s="28" t="s">
        <v>1373</v>
      </c>
      <c r="C130" s="28" t="s">
        <v>311</v>
      </c>
      <c r="D130" s="28" t="s">
        <v>1160</v>
      </c>
      <c r="E130" s="28" t="s">
        <v>1176</v>
      </c>
      <c r="F130" s="19" t="str">
        <f t="shared" si="1"/>
        <v>Megaserve Plantitude</v>
      </c>
      <c r="M130" s="185"/>
      <c r="N130" s="203"/>
      <c r="O130" s="186"/>
      <c r="P130" s="186"/>
      <c r="Q130" s="186"/>
      <c r="R130" s="76"/>
    </row>
    <row r="131">
      <c r="A131" s="22" t="s">
        <v>205</v>
      </c>
      <c r="B131" s="28" t="s">
        <v>1374</v>
      </c>
      <c r="C131" s="28" t="s">
        <v>311</v>
      </c>
      <c r="D131" s="28" t="s">
        <v>1160</v>
      </c>
      <c r="E131" s="28" t="s">
        <v>1176</v>
      </c>
      <c r="F131" s="19" t="str">
        <f t="shared" si="1"/>
        <v>Megaserve Plantitude</v>
      </c>
      <c r="M131" s="185"/>
      <c r="N131" s="203"/>
      <c r="O131" s="186"/>
      <c r="P131" s="186"/>
      <c r="Q131" s="186"/>
      <c r="R131" s="76"/>
    </row>
    <row r="132">
      <c r="A132" s="22" t="s">
        <v>1375</v>
      </c>
      <c r="B132" s="28" t="s">
        <v>1376</v>
      </c>
      <c r="C132" s="28" t="s">
        <v>311</v>
      </c>
      <c r="D132" s="28" t="s">
        <v>1160</v>
      </c>
      <c r="E132" s="28" t="s">
        <v>1176</v>
      </c>
      <c r="F132" s="19" t="str">
        <f t="shared" si="1"/>
        <v>Megaserve Plantitude</v>
      </c>
      <c r="M132" s="185"/>
      <c r="N132" s="203"/>
      <c r="O132" s="186"/>
      <c r="P132" s="186"/>
      <c r="Q132" s="186"/>
      <c r="R132" s="76"/>
    </row>
    <row r="133">
      <c r="A133" s="22" t="s">
        <v>468</v>
      </c>
      <c r="B133" s="28" t="s">
        <v>1377</v>
      </c>
      <c r="C133" s="28" t="s">
        <v>311</v>
      </c>
      <c r="D133" s="28" t="s">
        <v>1160</v>
      </c>
      <c r="E133" s="28" t="s">
        <v>1176</v>
      </c>
      <c r="F133" s="19" t="str">
        <f t="shared" si="1"/>
        <v>Megaserve Plantitude</v>
      </c>
      <c r="M133" s="185"/>
      <c r="N133" s="186"/>
      <c r="O133" s="186"/>
      <c r="P133" s="186"/>
      <c r="Q133" s="186"/>
      <c r="R133" s="76"/>
    </row>
    <row r="134">
      <c r="A134" s="22" t="s">
        <v>531</v>
      </c>
      <c r="B134" s="28" t="s">
        <v>1378</v>
      </c>
      <c r="C134" s="28" t="s">
        <v>311</v>
      </c>
      <c r="D134" s="28" t="s">
        <v>1160</v>
      </c>
      <c r="E134" s="28" t="s">
        <v>1176</v>
      </c>
      <c r="F134" s="19" t="str">
        <f t="shared" si="1"/>
        <v>Megaserve Plantitude</v>
      </c>
      <c r="M134" s="185"/>
      <c r="N134" s="186"/>
      <c r="O134" s="186"/>
      <c r="P134" s="186"/>
      <c r="Q134" s="186"/>
      <c r="R134" s="76"/>
    </row>
    <row r="135">
      <c r="A135" s="22" t="s">
        <v>167</v>
      </c>
      <c r="B135" s="28" t="s">
        <v>1379</v>
      </c>
      <c r="C135" s="28" t="s">
        <v>311</v>
      </c>
      <c r="D135" s="28" t="s">
        <v>1160</v>
      </c>
      <c r="E135" s="28" t="s">
        <v>1176</v>
      </c>
      <c r="F135" s="19" t="str">
        <f t="shared" si="1"/>
        <v>Megaserve Plantitude</v>
      </c>
      <c r="M135" s="185"/>
      <c r="N135" s="186"/>
      <c r="O135" s="186"/>
      <c r="P135" s="186"/>
      <c r="Q135" s="186"/>
      <c r="R135" s="76"/>
    </row>
    <row r="136">
      <c r="A136" s="22" t="s">
        <v>1380</v>
      </c>
      <c r="B136" s="28" t="s">
        <v>1381</v>
      </c>
      <c r="C136" s="28" t="s">
        <v>311</v>
      </c>
      <c r="D136" s="28" t="s">
        <v>1160</v>
      </c>
      <c r="E136" s="28" t="s">
        <v>1176</v>
      </c>
      <c r="F136" s="19" t="str">
        <f t="shared" si="1"/>
        <v>Megaserve Plantitude</v>
      </c>
      <c r="M136" s="185"/>
      <c r="N136" s="186"/>
      <c r="O136" s="186"/>
      <c r="P136" s="186"/>
      <c r="Q136" s="186"/>
      <c r="R136" s="76"/>
    </row>
    <row r="137">
      <c r="A137" s="22" t="s">
        <v>346</v>
      </c>
      <c r="B137" s="28" t="s">
        <v>347</v>
      </c>
      <c r="C137" s="28" t="s">
        <v>311</v>
      </c>
      <c r="D137" s="28" t="s">
        <v>1160</v>
      </c>
      <c r="E137" s="28" t="s">
        <v>1176</v>
      </c>
      <c r="F137" s="19" t="str">
        <f t="shared" si="1"/>
        <v>Megaserve Plantitude</v>
      </c>
      <c r="M137" s="185"/>
      <c r="N137" s="186"/>
      <c r="O137" s="186"/>
      <c r="P137" s="186"/>
      <c r="Q137" s="186"/>
      <c r="R137" s="76"/>
    </row>
    <row r="138">
      <c r="A138" s="22" t="s">
        <v>496</v>
      </c>
      <c r="B138" s="28" t="s">
        <v>1383</v>
      </c>
      <c r="C138" s="28" t="s">
        <v>311</v>
      </c>
      <c r="D138" s="28" t="s">
        <v>1160</v>
      </c>
      <c r="E138" s="28" t="s">
        <v>1176</v>
      </c>
      <c r="F138" s="19" t="str">
        <f t="shared" si="1"/>
        <v>Megaserve Plantitude</v>
      </c>
      <c r="M138" s="185"/>
      <c r="N138" s="186"/>
      <c r="O138" s="186"/>
      <c r="P138" s="186"/>
      <c r="Q138" s="186"/>
      <c r="R138" s="76"/>
    </row>
    <row r="139">
      <c r="A139" s="22" t="s">
        <v>1295</v>
      </c>
      <c r="B139" s="28" t="s">
        <v>1384</v>
      </c>
      <c r="C139" s="28" t="s">
        <v>311</v>
      </c>
      <c r="D139" s="28" t="s">
        <v>1160</v>
      </c>
      <c r="E139" s="28" t="s">
        <v>1176</v>
      </c>
      <c r="F139" s="19" t="str">
        <f t="shared" si="1"/>
        <v>Megaserve Plantitude</v>
      </c>
      <c r="M139" s="185"/>
      <c r="N139" s="186"/>
      <c r="O139" s="186"/>
      <c r="P139" s="186"/>
      <c r="Q139" s="186"/>
      <c r="R139" s="76"/>
    </row>
    <row r="140">
      <c r="A140" s="22" t="s">
        <v>537</v>
      </c>
      <c r="B140" s="28" t="s">
        <v>1385</v>
      </c>
      <c r="C140" s="28" t="s">
        <v>311</v>
      </c>
      <c r="D140" s="28" t="s">
        <v>1160</v>
      </c>
      <c r="E140" s="28" t="s">
        <v>1176</v>
      </c>
      <c r="F140" s="19" t="str">
        <f t="shared" si="1"/>
        <v>Megaserve Plantitude</v>
      </c>
      <c r="M140" s="185"/>
      <c r="N140" s="186"/>
      <c r="O140" s="186"/>
      <c r="P140" s="186"/>
      <c r="Q140" s="186"/>
      <c r="R140" s="76"/>
    </row>
    <row r="141">
      <c r="A141" s="22" t="s">
        <v>685</v>
      </c>
      <c r="B141" s="28" t="s">
        <v>1386</v>
      </c>
      <c r="C141" s="28" t="s">
        <v>311</v>
      </c>
      <c r="D141" s="28" t="s">
        <v>1160</v>
      </c>
      <c r="E141" s="28" t="s">
        <v>1176</v>
      </c>
      <c r="F141" s="19" t="str">
        <f t="shared" si="1"/>
        <v>Megaserve Plantitude</v>
      </c>
      <c r="M141" s="185"/>
      <c r="N141" s="186"/>
      <c r="O141" s="186"/>
      <c r="P141" s="186"/>
      <c r="Q141" s="186"/>
      <c r="R141" s="76"/>
    </row>
    <row r="142">
      <c r="A142" s="22" t="s">
        <v>597</v>
      </c>
      <c r="B142" s="28" t="s">
        <v>1387</v>
      </c>
      <c r="C142" s="28" t="s">
        <v>311</v>
      </c>
      <c r="D142" s="28" t="s">
        <v>1160</v>
      </c>
      <c r="E142" s="28" t="s">
        <v>1176</v>
      </c>
      <c r="F142" s="19" t="str">
        <f t="shared" si="1"/>
        <v>Megaserve Plantitude</v>
      </c>
      <c r="M142" s="185"/>
      <c r="N142" s="186"/>
      <c r="O142" s="186"/>
      <c r="P142" s="186"/>
      <c r="Q142" s="186"/>
      <c r="R142" s="76"/>
    </row>
    <row r="143">
      <c r="A143" s="22" t="s">
        <v>595</v>
      </c>
      <c r="B143" s="28" t="s">
        <v>1388</v>
      </c>
      <c r="C143" s="28" t="s">
        <v>311</v>
      </c>
      <c r="D143" s="28" t="s">
        <v>1160</v>
      </c>
      <c r="E143" s="28" t="s">
        <v>1176</v>
      </c>
      <c r="F143" s="19" t="str">
        <f t="shared" si="1"/>
        <v>Megaserve Plantitude</v>
      </c>
      <c r="M143" s="185"/>
      <c r="N143" s="186"/>
      <c r="O143" s="186"/>
      <c r="P143" s="186"/>
      <c r="Q143" s="186"/>
      <c r="R143" s="76"/>
    </row>
    <row r="144">
      <c r="A144" s="22" t="s">
        <v>598</v>
      </c>
      <c r="B144" s="28" t="s">
        <v>1390</v>
      </c>
      <c r="C144" s="28" t="s">
        <v>311</v>
      </c>
      <c r="D144" s="28" t="s">
        <v>1160</v>
      </c>
      <c r="E144" s="28" t="s">
        <v>1176</v>
      </c>
      <c r="F144" s="19" t="str">
        <f t="shared" si="1"/>
        <v>Megaserve Plantitude</v>
      </c>
      <c r="M144" s="185"/>
      <c r="N144" s="186"/>
      <c r="O144" s="186"/>
      <c r="P144" s="186"/>
      <c r="Q144" s="186"/>
      <c r="R144" s="76"/>
    </row>
    <row r="145">
      <c r="A145" s="22" t="s">
        <v>1392</v>
      </c>
      <c r="B145" s="28" t="s">
        <v>1393</v>
      </c>
      <c r="C145" s="28" t="s">
        <v>311</v>
      </c>
      <c r="D145" s="28" t="s">
        <v>1160</v>
      </c>
      <c r="E145" s="28" t="s">
        <v>1176</v>
      </c>
      <c r="F145" s="19" t="str">
        <f t="shared" si="1"/>
        <v>Megaserve Plantitude</v>
      </c>
      <c r="M145" s="185"/>
      <c r="N145" s="186"/>
      <c r="O145" s="186"/>
      <c r="P145" s="186"/>
      <c r="Q145" s="186"/>
      <c r="R145" s="76"/>
    </row>
    <row r="146">
      <c r="A146" s="22" t="s">
        <v>521</v>
      </c>
      <c r="B146" s="28" t="s">
        <v>1394</v>
      </c>
      <c r="C146" s="28" t="s">
        <v>311</v>
      </c>
      <c r="D146" s="28" t="s">
        <v>1160</v>
      </c>
      <c r="E146" s="28" t="s">
        <v>1176</v>
      </c>
      <c r="F146" s="19" t="str">
        <f t="shared" si="1"/>
        <v>Megaserve Plantitude</v>
      </c>
      <c r="M146" s="185"/>
      <c r="N146" s="186"/>
      <c r="O146" s="186"/>
      <c r="P146" s="186"/>
      <c r="Q146" s="186"/>
      <c r="R146" s="76"/>
    </row>
    <row r="147">
      <c r="A147" s="22" t="s">
        <v>551</v>
      </c>
      <c r="B147" s="28" t="s">
        <v>1395</v>
      </c>
      <c r="C147" s="28" t="s">
        <v>311</v>
      </c>
      <c r="D147" s="28" t="s">
        <v>1160</v>
      </c>
      <c r="E147" s="28" t="s">
        <v>1176</v>
      </c>
      <c r="F147" s="19" t="str">
        <f t="shared" si="1"/>
        <v>Megaserve Plantitude</v>
      </c>
      <c r="M147" s="185"/>
      <c r="N147" s="186"/>
      <c r="O147" s="186"/>
      <c r="P147" s="186"/>
      <c r="Q147" s="186"/>
      <c r="R147" s="76"/>
    </row>
    <row r="148">
      <c r="A148" s="22" t="s">
        <v>1397</v>
      </c>
      <c r="B148" s="28" t="s">
        <v>1398</v>
      </c>
      <c r="C148" s="28" t="s">
        <v>311</v>
      </c>
      <c r="D148" s="28" t="s">
        <v>1160</v>
      </c>
      <c r="E148" s="28" t="s">
        <v>1176</v>
      </c>
      <c r="F148" s="19" t="str">
        <f t="shared" si="1"/>
        <v>Megaserve Plantitude</v>
      </c>
      <c r="M148" s="185"/>
      <c r="N148" s="186"/>
      <c r="O148" s="186"/>
      <c r="P148" s="186"/>
      <c r="Q148" s="186"/>
      <c r="R148" s="76"/>
    </row>
    <row r="149">
      <c r="A149" s="22" t="s">
        <v>411</v>
      </c>
      <c r="B149" s="28" t="s">
        <v>1399</v>
      </c>
      <c r="C149" s="28" t="s">
        <v>311</v>
      </c>
      <c r="D149" s="28" t="s">
        <v>1160</v>
      </c>
      <c r="E149" s="28" t="s">
        <v>1176</v>
      </c>
      <c r="F149" s="19" t="str">
        <f t="shared" si="1"/>
        <v>Megaserve Plantitude</v>
      </c>
      <c r="M149" s="185"/>
      <c r="N149" s="186"/>
      <c r="O149" s="186"/>
      <c r="P149" s="186"/>
      <c r="Q149" s="186"/>
      <c r="R149" s="76"/>
    </row>
    <row r="150">
      <c r="A150" s="22" t="s">
        <v>1400</v>
      </c>
      <c r="B150" s="28" t="s">
        <v>1401</v>
      </c>
      <c r="C150" s="28" t="s">
        <v>311</v>
      </c>
      <c r="D150" s="28" t="s">
        <v>1160</v>
      </c>
      <c r="E150" s="28" t="s">
        <v>1176</v>
      </c>
      <c r="F150" s="19" t="str">
        <f t="shared" si="1"/>
        <v>Megaserve Plantitude</v>
      </c>
      <c r="M150" s="185"/>
      <c r="N150" s="186"/>
      <c r="O150" s="186"/>
      <c r="P150" s="186"/>
      <c r="Q150" s="186"/>
      <c r="R150" s="76"/>
    </row>
    <row r="151">
      <c r="A151" s="22" t="s">
        <v>1402</v>
      </c>
      <c r="B151" s="28" t="s">
        <v>1403</v>
      </c>
      <c r="C151" s="28" t="s">
        <v>311</v>
      </c>
      <c r="D151" s="28" t="s">
        <v>1160</v>
      </c>
      <c r="E151" s="28" t="s">
        <v>1176</v>
      </c>
      <c r="F151" s="19" t="str">
        <f t="shared" si="1"/>
        <v>Megaserve Plantitude</v>
      </c>
      <c r="M151" s="185"/>
      <c r="N151" s="186"/>
      <c r="O151" s="186"/>
      <c r="P151" s="186"/>
      <c r="Q151" s="186"/>
      <c r="R151" s="76"/>
    </row>
    <row r="152">
      <c r="A152" s="22" t="s">
        <v>560</v>
      </c>
      <c r="B152" s="28" t="s">
        <v>1404</v>
      </c>
      <c r="C152" s="28" t="s">
        <v>311</v>
      </c>
      <c r="D152" s="28" t="s">
        <v>1160</v>
      </c>
      <c r="E152" s="28" t="s">
        <v>1176</v>
      </c>
      <c r="F152" s="19" t="str">
        <f t="shared" si="1"/>
        <v>Megaserve Plantitude</v>
      </c>
      <c r="M152" s="185"/>
      <c r="N152" s="186"/>
      <c r="O152" s="186"/>
      <c r="P152" s="186"/>
      <c r="Q152" s="186"/>
      <c r="R152" s="76"/>
    </row>
    <row r="153">
      <c r="A153" s="22" t="s">
        <v>425</v>
      </c>
      <c r="B153" s="28" t="s">
        <v>1405</v>
      </c>
      <c r="C153" s="28" t="s">
        <v>311</v>
      </c>
      <c r="D153" s="28" t="s">
        <v>1160</v>
      </c>
      <c r="E153" s="28" t="s">
        <v>1176</v>
      </c>
      <c r="F153" s="19" t="str">
        <f t="shared" si="1"/>
        <v>Megaserve Plantitude</v>
      </c>
      <c r="M153" s="185"/>
      <c r="N153" s="186"/>
      <c r="O153" s="186"/>
      <c r="P153" s="186"/>
      <c r="Q153" s="186"/>
      <c r="R153" s="76"/>
    </row>
    <row r="154">
      <c r="A154" s="22" t="s">
        <v>476</v>
      </c>
      <c r="B154" s="28" t="s">
        <v>1406</v>
      </c>
      <c r="C154" s="28" t="s">
        <v>311</v>
      </c>
      <c r="D154" s="28" t="s">
        <v>1160</v>
      </c>
      <c r="E154" s="28" t="s">
        <v>1176</v>
      </c>
      <c r="F154" s="19" t="str">
        <f t="shared" si="1"/>
        <v>Megaserve Plantitude</v>
      </c>
      <c r="M154" s="185"/>
      <c r="N154" s="186"/>
      <c r="O154" s="186"/>
      <c r="P154" s="186"/>
      <c r="Q154" s="186"/>
      <c r="R154" s="76"/>
    </row>
    <row r="155">
      <c r="A155" s="22" t="s">
        <v>339</v>
      </c>
      <c r="B155" s="28" t="s">
        <v>1408</v>
      </c>
      <c r="C155" s="28" t="s">
        <v>311</v>
      </c>
      <c r="D155" s="28" t="s">
        <v>1160</v>
      </c>
      <c r="E155" s="28" t="s">
        <v>1176</v>
      </c>
      <c r="F155" s="19" t="str">
        <f t="shared" si="1"/>
        <v>Megaserve Plantitude</v>
      </c>
      <c r="M155" s="185"/>
      <c r="N155" s="186"/>
      <c r="O155" s="186"/>
      <c r="P155" s="186"/>
      <c r="Q155" s="186"/>
      <c r="R155" s="76"/>
    </row>
    <row r="156">
      <c r="A156" s="22" t="s">
        <v>1409</v>
      </c>
      <c r="B156" s="28" t="s">
        <v>1410</v>
      </c>
      <c r="C156" s="28" t="s">
        <v>311</v>
      </c>
      <c r="D156" s="28" t="s">
        <v>1160</v>
      </c>
      <c r="E156" s="28" t="s">
        <v>1176</v>
      </c>
      <c r="F156" s="19" t="str">
        <f t="shared" si="1"/>
        <v>Megaserve Plantitude</v>
      </c>
      <c r="M156" s="185"/>
      <c r="N156" s="186"/>
      <c r="O156" s="186"/>
      <c r="P156" s="186"/>
      <c r="Q156" s="186"/>
      <c r="R156" s="76"/>
    </row>
    <row r="157">
      <c r="A157" s="22" t="s">
        <v>1411</v>
      </c>
      <c r="B157" s="28" t="s">
        <v>1412</v>
      </c>
      <c r="C157" s="28" t="s">
        <v>311</v>
      </c>
      <c r="D157" s="28" t="s">
        <v>1160</v>
      </c>
      <c r="E157" s="28" t="s">
        <v>1176</v>
      </c>
      <c r="F157" s="19" t="str">
        <f t="shared" si="1"/>
        <v>Megaserve Plantitude</v>
      </c>
      <c r="M157" s="185"/>
      <c r="N157" s="186"/>
      <c r="O157" s="186"/>
      <c r="P157" s="186"/>
      <c r="Q157" s="186"/>
      <c r="R157" s="76"/>
    </row>
    <row r="158">
      <c r="A158" s="22" t="s">
        <v>1413</v>
      </c>
      <c r="B158" s="28" t="s">
        <v>1414</v>
      </c>
      <c r="C158" s="28" t="s">
        <v>311</v>
      </c>
      <c r="D158" s="28" t="s">
        <v>1160</v>
      </c>
      <c r="E158" s="28" t="s">
        <v>1176</v>
      </c>
      <c r="F158" s="19" t="str">
        <f t="shared" si="1"/>
        <v>Megaserve Plantitude</v>
      </c>
      <c r="M158" s="185"/>
      <c r="N158" s="186"/>
      <c r="O158" s="186"/>
      <c r="P158" s="186"/>
      <c r="Q158" s="186"/>
      <c r="R158" s="76"/>
    </row>
    <row r="159">
      <c r="A159" s="22" t="s">
        <v>436</v>
      </c>
      <c r="B159" s="28" t="s">
        <v>1415</v>
      </c>
      <c r="C159" s="28" t="s">
        <v>311</v>
      </c>
      <c r="D159" s="28" t="s">
        <v>1160</v>
      </c>
      <c r="E159" s="28" t="s">
        <v>1176</v>
      </c>
      <c r="F159" s="19" t="str">
        <f t="shared" si="1"/>
        <v>Megaserve Plantitude</v>
      </c>
      <c r="M159" s="185"/>
      <c r="N159" s="186"/>
      <c r="O159" s="186"/>
      <c r="P159" s="186"/>
      <c r="Q159" s="186"/>
      <c r="R159" s="76"/>
    </row>
    <row r="160">
      <c r="A160" s="22" t="s">
        <v>388</v>
      </c>
      <c r="B160" s="28" t="s">
        <v>1416</v>
      </c>
      <c r="C160" s="28" t="s">
        <v>311</v>
      </c>
      <c r="D160" s="28" t="s">
        <v>1160</v>
      </c>
      <c r="E160" s="28" t="s">
        <v>1176</v>
      </c>
      <c r="F160" s="19" t="str">
        <f t="shared" si="1"/>
        <v>Megaserve Plantitude</v>
      </c>
      <c r="M160" s="185"/>
      <c r="N160" s="186"/>
      <c r="O160" s="186"/>
      <c r="P160" s="186"/>
      <c r="Q160" s="186"/>
      <c r="R160" s="76"/>
    </row>
    <row r="161">
      <c r="A161" s="22" t="s">
        <v>1417</v>
      </c>
      <c r="B161" s="28" t="s">
        <v>1418</v>
      </c>
      <c r="C161" s="28" t="s">
        <v>311</v>
      </c>
      <c r="D161" s="28" t="s">
        <v>1160</v>
      </c>
      <c r="E161" s="28" t="s">
        <v>1176</v>
      </c>
      <c r="F161" s="19" t="str">
        <f t="shared" si="1"/>
        <v>Megaserve Plantitude</v>
      </c>
      <c r="M161" s="185"/>
      <c r="N161" s="186"/>
      <c r="O161" s="186"/>
      <c r="P161" s="186"/>
      <c r="Q161" s="186"/>
      <c r="R161" s="76"/>
    </row>
    <row r="162">
      <c r="A162" s="22" t="s">
        <v>395</v>
      </c>
      <c r="B162" s="28" t="s">
        <v>396</v>
      </c>
      <c r="C162" s="28" t="s">
        <v>311</v>
      </c>
      <c r="D162" s="28" t="s">
        <v>1160</v>
      </c>
      <c r="E162" s="28" t="s">
        <v>1176</v>
      </c>
      <c r="F162" s="19" t="str">
        <f t="shared" si="1"/>
        <v>Megaserve Plantitude</v>
      </c>
      <c r="M162" s="185"/>
      <c r="N162" s="186"/>
      <c r="O162" s="186"/>
      <c r="P162" s="186"/>
      <c r="Q162" s="186"/>
      <c r="R162" s="76"/>
    </row>
    <row r="163">
      <c r="A163" s="22" t="s">
        <v>1419</v>
      </c>
      <c r="B163" s="28" t="s">
        <v>1420</v>
      </c>
      <c r="C163" s="28" t="s">
        <v>311</v>
      </c>
      <c r="D163" s="28" t="s">
        <v>1160</v>
      </c>
      <c r="E163" s="28" t="s">
        <v>1176</v>
      </c>
      <c r="F163" s="19" t="str">
        <f t="shared" si="1"/>
        <v>Megaserve Plantitude</v>
      </c>
      <c r="M163" s="185"/>
      <c r="N163" s="186"/>
      <c r="O163" s="186"/>
      <c r="P163" s="186"/>
      <c r="Q163" s="186"/>
      <c r="R163" s="76"/>
    </row>
    <row r="164">
      <c r="A164" s="22" t="s">
        <v>386</v>
      </c>
      <c r="B164" s="28" t="s">
        <v>1422</v>
      </c>
      <c r="C164" s="28" t="s">
        <v>311</v>
      </c>
      <c r="D164" s="28" t="s">
        <v>1160</v>
      </c>
      <c r="E164" s="28" t="s">
        <v>1176</v>
      </c>
      <c r="F164" s="19" t="str">
        <f t="shared" si="1"/>
        <v>Megaserve Plantitude</v>
      </c>
      <c r="M164" s="185"/>
      <c r="N164" s="186"/>
      <c r="O164" s="186"/>
      <c r="P164" s="186"/>
      <c r="Q164" s="186"/>
      <c r="R164" s="76"/>
    </row>
    <row r="165">
      <c r="A165" s="22" t="s">
        <v>488</v>
      </c>
      <c r="B165" s="28" t="s">
        <v>1423</v>
      </c>
      <c r="C165" s="28" t="s">
        <v>311</v>
      </c>
      <c r="D165" s="28" t="s">
        <v>1160</v>
      </c>
      <c r="E165" s="28" t="s">
        <v>1176</v>
      </c>
      <c r="F165" s="19" t="str">
        <f t="shared" si="1"/>
        <v>Megaserve Plantitude</v>
      </c>
      <c r="M165" s="185"/>
      <c r="N165" s="186"/>
      <c r="O165" s="186"/>
      <c r="P165" s="186"/>
      <c r="Q165" s="186"/>
      <c r="R165" s="76"/>
    </row>
    <row r="166">
      <c r="A166" s="22" t="s">
        <v>1424</v>
      </c>
      <c r="B166" s="28" t="s">
        <v>1425</v>
      </c>
      <c r="C166" s="28" t="s">
        <v>311</v>
      </c>
      <c r="D166" s="28" t="s">
        <v>1160</v>
      </c>
      <c r="E166" s="28" t="s">
        <v>1176</v>
      </c>
      <c r="F166" s="19" t="str">
        <f t="shared" si="1"/>
        <v>Megaserve Plantitude</v>
      </c>
      <c r="M166" s="185"/>
      <c r="N166" s="186"/>
      <c r="O166" s="186"/>
      <c r="P166" s="186"/>
      <c r="Q166" s="186"/>
      <c r="R166" s="76"/>
    </row>
    <row r="167">
      <c r="A167" s="22" t="s">
        <v>489</v>
      </c>
      <c r="B167" s="28" t="s">
        <v>1426</v>
      </c>
      <c r="C167" s="28" t="s">
        <v>311</v>
      </c>
      <c r="D167" s="28" t="s">
        <v>1160</v>
      </c>
      <c r="E167" s="28" t="s">
        <v>1176</v>
      </c>
      <c r="F167" s="19" t="str">
        <f t="shared" si="1"/>
        <v>Megaserve Plantitude</v>
      </c>
      <c r="M167" s="185"/>
      <c r="N167" s="186"/>
      <c r="O167" s="186"/>
      <c r="P167" s="186"/>
      <c r="Q167" s="186"/>
      <c r="R167" s="76"/>
    </row>
    <row r="168">
      <c r="A168" s="22" t="s">
        <v>343</v>
      </c>
      <c r="B168" s="28" t="s">
        <v>1427</v>
      </c>
      <c r="C168" s="28" t="s">
        <v>311</v>
      </c>
      <c r="D168" s="28" t="s">
        <v>1160</v>
      </c>
      <c r="E168" s="28" t="s">
        <v>1176</v>
      </c>
      <c r="F168" s="19" t="str">
        <f t="shared" si="1"/>
        <v>Megaserve Plantitude</v>
      </c>
      <c r="M168" s="185"/>
      <c r="N168" s="186"/>
      <c r="O168" s="186"/>
      <c r="P168" s="186"/>
      <c r="Q168" s="186"/>
      <c r="R168" s="76"/>
    </row>
    <row r="169">
      <c r="A169" s="22" t="s">
        <v>641</v>
      </c>
      <c r="B169" s="28" t="s">
        <v>1428</v>
      </c>
      <c r="C169" s="28" t="s">
        <v>311</v>
      </c>
      <c r="D169" s="28" t="s">
        <v>1160</v>
      </c>
      <c r="E169" s="28" t="s">
        <v>1176</v>
      </c>
      <c r="F169" s="19" t="str">
        <f t="shared" si="1"/>
        <v>Megaserve Plantitude</v>
      </c>
      <c r="M169" s="185"/>
      <c r="N169" s="186"/>
      <c r="O169" s="186"/>
      <c r="P169" s="186"/>
      <c r="Q169" s="186"/>
      <c r="R169" s="76"/>
    </row>
    <row r="170">
      <c r="A170" s="22" t="s">
        <v>1429</v>
      </c>
      <c r="B170" s="28" t="s">
        <v>1430</v>
      </c>
      <c r="C170" s="28" t="s">
        <v>311</v>
      </c>
      <c r="D170" s="28" t="s">
        <v>1160</v>
      </c>
      <c r="E170" s="28" t="s">
        <v>1176</v>
      </c>
      <c r="F170" s="19" t="str">
        <f t="shared" si="1"/>
        <v>Megaserve Plantitude</v>
      </c>
      <c r="M170" s="185"/>
      <c r="N170" s="186"/>
      <c r="O170" s="186"/>
      <c r="P170" s="186"/>
      <c r="Q170" s="186"/>
      <c r="R170" s="76"/>
    </row>
    <row r="171">
      <c r="A171" s="22" t="s">
        <v>355</v>
      </c>
      <c r="B171" s="28" t="s">
        <v>1431</v>
      </c>
      <c r="C171" s="28" t="s">
        <v>311</v>
      </c>
      <c r="D171" s="28" t="s">
        <v>1160</v>
      </c>
      <c r="E171" s="28" t="s">
        <v>1176</v>
      </c>
      <c r="F171" s="19" t="str">
        <f t="shared" si="1"/>
        <v>Megaserve Plantitude</v>
      </c>
      <c r="M171" s="185"/>
      <c r="N171" s="186"/>
      <c r="O171" s="186"/>
      <c r="P171" s="186"/>
      <c r="Q171" s="186"/>
      <c r="R171" s="76"/>
    </row>
    <row r="172">
      <c r="A172" s="22" t="s">
        <v>1432</v>
      </c>
      <c r="B172" s="28" t="s">
        <v>1433</v>
      </c>
      <c r="C172" s="28" t="s">
        <v>311</v>
      </c>
      <c r="D172" s="28" t="s">
        <v>1160</v>
      </c>
      <c r="E172" s="28" t="s">
        <v>1176</v>
      </c>
      <c r="F172" s="19" t="str">
        <f t="shared" si="1"/>
        <v>Megaserve Plantitude</v>
      </c>
      <c r="M172" s="185"/>
      <c r="N172" s="186"/>
      <c r="O172" s="186"/>
      <c r="P172" s="186"/>
      <c r="Q172" s="186"/>
      <c r="R172" s="76"/>
    </row>
    <row r="173">
      <c r="A173" s="22" t="s">
        <v>514</v>
      </c>
      <c r="B173" s="28" t="s">
        <v>1435</v>
      </c>
      <c r="C173" s="28" t="s">
        <v>311</v>
      </c>
      <c r="D173" s="28" t="s">
        <v>1160</v>
      </c>
      <c r="E173" s="28" t="s">
        <v>1176</v>
      </c>
      <c r="F173" s="19" t="str">
        <f t="shared" si="1"/>
        <v>Megaserve Plantitude</v>
      </c>
      <c r="M173" s="185"/>
      <c r="N173" s="186"/>
      <c r="O173" s="186"/>
      <c r="P173" s="186"/>
      <c r="Q173" s="186"/>
      <c r="R173" s="76"/>
    </row>
    <row r="174">
      <c r="A174" s="22" t="s">
        <v>487</v>
      </c>
      <c r="B174" s="28" t="s">
        <v>1436</v>
      </c>
      <c r="C174" s="28" t="s">
        <v>311</v>
      </c>
      <c r="D174" s="28" t="s">
        <v>1160</v>
      </c>
      <c r="E174" s="28" t="s">
        <v>1176</v>
      </c>
      <c r="F174" s="19" t="str">
        <f t="shared" si="1"/>
        <v>Megaserve Plantitude</v>
      </c>
      <c r="M174" s="185"/>
      <c r="N174" s="186"/>
      <c r="O174" s="186"/>
      <c r="P174" s="186"/>
      <c r="Q174" s="186"/>
      <c r="R174" s="76"/>
    </row>
    <row r="175">
      <c r="A175" s="22" t="s">
        <v>523</v>
      </c>
      <c r="B175" s="28" t="s">
        <v>1437</v>
      </c>
      <c r="C175" s="28" t="s">
        <v>311</v>
      </c>
      <c r="D175" s="28" t="s">
        <v>1160</v>
      </c>
      <c r="E175" s="28" t="s">
        <v>1176</v>
      </c>
      <c r="F175" s="19" t="str">
        <f t="shared" si="1"/>
        <v>Megaserve Plantitude</v>
      </c>
      <c r="M175" s="185"/>
      <c r="N175" s="186"/>
      <c r="O175" s="186"/>
      <c r="P175" s="186"/>
      <c r="Q175" s="186"/>
      <c r="R175" s="76"/>
    </row>
    <row r="176">
      <c r="A176" s="22" t="s">
        <v>417</v>
      </c>
      <c r="B176" s="28" t="s">
        <v>1438</v>
      </c>
      <c r="C176" s="28" t="s">
        <v>311</v>
      </c>
      <c r="D176" s="28" t="s">
        <v>1160</v>
      </c>
      <c r="E176" s="28" t="s">
        <v>1176</v>
      </c>
      <c r="F176" s="19" t="str">
        <f t="shared" si="1"/>
        <v>Megaserve Plantitude</v>
      </c>
      <c r="M176" s="185"/>
      <c r="N176" s="186"/>
      <c r="O176" s="186"/>
      <c r="P176" s="186"/>
      <c r="Q176" s="186"/>
      <c r="R176" s="76"/>
    </row>
    <row r="177">
      <c r="A177" s="22" t="s">
        <v>1439</v>
      </c>
      <c r="B177" s="28" t="s">
        <v>1440</v>
      </c>
      <c r="C177" s="28" t="s">
        <v>311</v>
      </c>
      <c r="D177" s="28" t="s">
        <v>1160</v>
      </c>
      <c r="E177" s="28" t="s">
        <v>1176</v>
      </c>
      <c r="F177" s="19" t="str">
        <f t="shared" si="1"/>
        <v>Megaserve Plantitude</v>
      </c>
      <c r="M177" s="185"/>
      <c r="N177" s="186"/>
      <c r="O177" s="186"/>
      <c r="P177" s="186"/>
      <c r="Q177" s="186"/>
      <c r="R177" s="76"/>
    </row>
    <row r="178">
      <c r="A178" s="22" t="s">
        <v>1441</v>
      </c>
      <c r="B178" s="28" t="s">
        <v>1442</v>
      </c>
      <c r="C178" s="28" t="s">
        <v>311</v>
      </c>
      <c r="D178" s="28" t="s">
        <v>1160</v>
      </c>
      <c r="E178" s="28" t="s">
        <v>1176</v>
      </c>
      <c r="F178" s="19" t="str">
        <f t="shared" si="1"/>
        <v>Megaserve Plantitude</v>
      </c>
      <c r="M178" s="185"/>
      <c r="N178" s="186"/>
      <c r="O178" s="186"/>
      <c r="P178" s="186"/>
      <c r="Q178" s="186"/>
      <c r="R178" s="76"/>
    </row>
    <row r="179">
      <c r="A179" s="22" t="s">
        <v>1443</v>
      </c>
      <c r="B179" s="28" t="s">
        <v>1444</v>
      </c>
      <c r="C179" s="28" t="s">
        <v>311</v>
      </c>
      <c r="D179" s="28" t="s">
        <v>1160</v>
      </c>
      <c r="E179" s="28" t="s">
        <v>1176</v>
      </c>
      <c r="F179" s="19" t="str">
        <f t="shared" si="1"/>
        <v>Megaserve Plantitude</v>
      </c>
      <c r="M179" s="185"/>
      <c r="N179" s="186"/>
      <c r="O179" s="186"/>
      <c r="P179" s="186"/>
      <c r="Q179" s="186"/>
      <c r="R179" s="76"/>
    </row>
    <row r="180">
      <c r="A180" s="22" t="s">
        <v>640</v>
      </c>
      <c r="B180" s="28" t="s">
        <v>1445</v>
      </c>
      <c r="C180" s="28" t="s">
        <v>311</v>
      </c>
      <c r="D180" s="28" t="s">
        <v>1160</v>
      </c>
      <c r="E180" s="28" t="s">
        <v>1176</v>
      </c>
      <c r="F180" s="19" t="str">
        <f t="shared" si="1"/>
        <v>Megaserve Plantitude</v>
      </c>
      <c r="M180" s="185"/>
      <c r="N180" s="186"/>
      <c r="O180" s="186"/>
      <c r="P180" s="186"/>
      <c r="Q180" s="186"/>
      <c r="R180" s="76"/>
    </row>
    <row r="181">
      <c r="A181" s="22" t="s">
        <v>583</v>
      </c>
      <c r="B181" s="28" t="s">
        <v>1446</v>
      </c>
      <c r="C181" s="28" t="s">
        <v>232</v>
      </c>
      <c r="D181" s="28" t="s">
        <v>1160</v>
      </c>
      <c r="E181" s="28" t="s">
        <v>1176</v>
      </c>
      <c r="F181" s="19" t="str">
        <f t="shared" si="1"/>
        <v>Megaserve Plantitude</v>
      </c>
      <c r="M181" s="185"/>
      <c r="N181" s="186"/>
      <c r="O181" s="186"/>
      <c r="P181" s="186"/>
      <c r="Q181" s="186"/>
      <c r="R181" s="76"/>
    </row>
    <row r="182">
      <c r="A182" s="22" t="s">
        <v>508</v>
      </c>
      <c r="B182" s="28" t="s">
        <v>1448</v>
      </c>
      <c r="C182" s="28" t="s">
        <v>311</v>
      </c>
      <c r="D182" s="28" t="s">
        <v>1160</v>
      </c>
      <c r="E182" s="28" t="s">
        <v>1179</v>
      </c>
      <c r="F182" s="19" t="str">
        <f t="shared" si="1"/>
        <v>Megaserve Rohit</v>
      </c>
      <c r="M182" s="185"/>
      <c r="N182" s="186"/>
      <c r="O182" s="186"/>
      <c r="P182" s="186"/>
      <c r="Q182" s="186"/>
      <c r="R182" s="76"/>
    </row>
    <row r="183">
      <c r="A183" s="22" t="s">
        <v>1449</v>
      </c>
      <c r="B183" s="28" t="s">
        <v>1450</v>
      </c>
      <c r="C183" s="28" t="s">
        <v>311</v>
      </c>
      <c r="D183" s="28" t="s">
        <v>1160</v>
      </c>
      <c r="E183" s="28" t="s">
        <v>1179</v>
      </c>
      <c r="F183" s="19" t="str">
        <f t="shared" si="1"/>
        <v>Megaserve Rohit</v>
      </c>
      <c r="M183" s="185"/>
      <c r="N183" s="186"/>
      <c r="O183" s="186"/>
      <c r="P183" s="186"/>
      <c r="Q183" s="186"/>
      <c r="R183" s="76"/>
    </row>
    <row r="184">
      <c r="A184" s="22" t="s">
        <v>356</v>
      </c>
      <c r="B184" s="28" t="s">
        <v>1451</v>
      </c>
      <c r="C184" s="28" t="s">
        <v>311</v>
      </c>
      <c r="D184" s="28" t="s">
        <v>1160</v>
      </c>
      <c r="E184" s="28" t="s">
        <v>1179</v>
      </c>
      <c r="F184" s="19" t="str">
        <f t="shared" si="1"/>
        <v>Megaserve Rohit</v>
      </c>
      <c r="M184" s="185"/>
      <c r="N184" s="186"/>
      <c r="O184" s="186"/>
      <c r="P184" s="186"/>
      <c r="Q184" s="186"/>
      <c r="R184" s="76"/>
    </row>
    <row r="185">
      <c r="A185" s="22" t="s">
        <v>534</v>
      </c>
      <c r="B185" s="28" t="s">
        <v>1452</v>
      </c>
      <c r="C185" s="28" t="s">
        <v>311</v>
      </c>
      <c r="D185" s="28" t="s">
        <v>1160</v>
      </c>
      <c r="E185" s="28" t="s">
        <v>1179</v>
      </c>
      <c r="F185" s="19" t="str">
        <f t="shared" si="1"/>
        <v>Megaserve Rohit</v>
      </c>
      <c r="M185" s="185"/>
      <c r="N185" s="186"/>
      <c r="O185" s="186"/>
      <c r="P185" s="186"/>
      <c r="Q185" s="186"/>
      <c r="R185" s="76"/>
    </row>
    <row r="186">
      <c r="A186" s="22" t="s">
        <v>592</v>
      </c>
      <c r="B186" s="28" t="s">
        <v>1453</v>
      </c>
      <c r="C186" s="28" t="s">
        <v>232</v>
      </c>
      <c r="D186" s="28" t="s">
        <v>1160</v>
      </c>
      <c r="E186" s="28" t="s">
        <v>1179</v>
      </c>
      <c r="F186" s="19" t="str">
        <f t="shared" si="1"/>
        <v>Megaserve Rohit</v>
      </c>
      <c r="M186" s="185"/>
      <c r="N186" s="186"/>
      <c r="O186" s="186"/>
      <c r="P186" s="186"/>
      <c r="Q186" s="186"/>
      <c r="R186" s="76"/>
    </row>
    <row r="187">
      <c r="A187" s="22" t="s">
        <v>367</v>
      </c>
      <c r="B187" s="28" t="s">
        <v>1454</v>
      </c>
      <c r="C187" s="28" t="s">
        <v>311</v>
      </c>
      <c r="D187" s="28" t="s">
        <v>1160</v>
      </c>
      <c r="E187" s="28" t="s">
        <v>1179</v>
      </c>
      <c r="F187" s="19" t="str">
        <f t="shared" si="1"/>
        <v>Megaserve Rohit</v>
      </c>
      <c r="M187" s="185"/>
      <c r="N187" s="186"/>
      <c r="O187" s="186"/>
      <c r="P187" s="186"/>
      <c r="Q187" s="186"/>
      <c r="R187" s="76"/>
    </row>
    <row r="188">
      <c r="A188" s="22" t="s">
        <v>771</v>
      </c>
      <c r="B188" s="28" t="s">
        <v>1455</v>
      </c>
      <c r="C188" s="28" t="s">
        <v>232</v>
      </c>
      <c r="D188" s="28" t="s">
        <v>1160</v>
      </c>
      <c r="E188" s="28" t="s">
        <v>1179</v>
      </c>
      <c r="F188" s="19" t="str">
        <f t="shared" si="1"/>
        <v>Megaserve Rohit</v>
      </c>
      <c r="M188" s="185"/>
      <c r="N188" s="186"/>
      <c r="O188" s="186"/>
      <c r="P188" s="186"/>
      <c r="Q188" s="186"/>
      <c r="R188" s="76"/>
    </row>
    <row r="189">
      <c r="A189" s="22" t="s">
        <v>682</v>
      </c>
      <c r="B189" s="28" t="s">
        <v>1456</v>
      </c>
      <c r="C189" s="28" t="s">
        <v>311</v>
      </c>
      <c r="D189" s="28" t="s">
        <v>1160</v>
      </c>
      <c r="E189" s="28" t="s">
        <v>1179</v>
      </c>
      <c r="F189" s="19" t="str">
        <f t="shared" si="1"/>
        <v>Megaserve Rohit</v>
      </c>
      <c r="M189" s="185"/>
      <c r="N189" s="186"/>
      <c r="O189" s="186"/>
      <c r="P189" s="186"/>
      <c r="Q189" s="186"/>
      <c r="R189" s="76"/>
    </row>
    <row r="190">
      <c r="A190" s="22" t="s">
        <v>614</v>
      </c>
      <c r="B190" s="28" t="s">
        <v>1457</v>
      </c>
      <c r="C190" s="28" t="s">
        <v>311</v>
      </c>
      <c r="D190" s="28" t="s">
        <v>1160</v>
      </c>
      <c r="E190" s="28" t="s">
        <v>1179</v>
      </c>
      <c r="F190" s="19" t="str">
        <f t="shared" si="1"/>
        <v>Megaserve Rohit</v>
      </c>
      <c r="M190" s="185"/>
      <c r="N190" s="186"/>
      <c r="O190" s="186"/>
      <c r="P190" s="186"/>
      <c r="Q190" s="186"/>
      <c r="R190" s="76"/>
    </row>
    <row r="191">
      <c r="A191" s="22" t="s">
        <v>576</v>
      </c>
      <c r="B191" s="28" t="s">
        <v>1459</v>
      </c>
      <c r="C191" s="28" t="s">
        <v>232</v>
      </c>
      <c r="D191" s="28" t="s">
        <v>1160</v>
      </c>
      <c r="E191" s="28" t="s">
        <v>1179</v>
      </c>
      <c r="F191" s="19" t="str">
        <f t="shared" si="1"/>
        <v>Megaserve Rohit</v>
      </c>
      <c r="M191" s="185"/>
      <c r="N191" s="186"/>
      <c r="O191" s="186"/>
      <c r="P191" s="186"/>
      <c r="Q191" s="186"/>
      <c r="R191" s="76"/>
    </row>
    <row r="192">
      <c r="A192" s="22" t="s">
        <v>1132</v>
      </c>
      <c r="B192" s="28" t="s">
        <v>1460</v>
      </c>
      <c r="C192" s="28" t="s">
        <v>232</v>
      </c>
      <c r="D192" s="28" t="s">
        <v>1160</v>
      </c>
      <c r="E192" s="28" t="s">
        <v>1179</v>
      </c>
      <c r="F192" s="19" t="str">
        <f t="shared" si="1"/>
        <v>Megaserve Rohit</v>
      </c>
      <c r="M192" s="185"/>
      <c r="N192" s="186"/>
      <c r="O192" s="186"/>
      <c r="P192" s="186"/>
      <c r="Q192" s="186"/>
      <c r="R192" s="76"/>
    </row>
    <row r="193">
      <c r="A193" s="22" t="s">
        <v>546</v>
      </c>
      <c r="B193" s="28" t="s">
        <v>1461</v>
      </c>
      <c r="C193" s="28" t="s">
        <v>311</v>
      </c>
      <c r="D193" s="28" t="s">
        <v>1160</v>
      </c>
      <c r="E193" s="28" t="s">
        <v>1179</v>
      </c>
      <c r="F193" s="19" t="str">
        <f t="shared" si="1"/>
        <v>Megaserve Rohit</v>
      </c>
      <c r="M193" s="185"/>
      <c r="N193" s="186"/>
      <c r="O193" s="186"/>
      <c r="P193" s="186"/>
      <c r="Q193" s="186"/>
      <c r="R193" s="76"/>
    </row>
    <row r="194">
      <c r="A194" s="22" t="s">
        <v>554</v>
      </c>
      <c r="B194" s="28" t="s">
        <v>1462</v>
      </c>
      <c r="C194" s="28" t="s">
        <v>311</v>
      </c>
      <c r="D194" s="28" t="s">
        <v>1160</v>
      </c>
      <c r="E194" s="28" t="s">
        <v>1179</v>
      </c>
      <c r="F194" s="19" t="str">
        <f t="shared" si="1"/>
        <v>Megaserve Rohit</v>
      </c>
      <c r="M194" s="185"/>
      <c r="N194" s="186"/>
      <c r="O194" s="186"/>
      <c r="P194" s="186"/>
      <c r="Q194" s="186"/>
      <c r="R194" s="76"/>
    </row>
    <row r="195">
      <c r="A195" s="22" t="s">
        <v>683</v>
      </c>
      <c r="B195" s="28" t="s">
        <v>1463</v>
      </c>
      <c r="C195" s="28" t="s">
        <v>311</v>
      </c>
      <c r="D195" s="28" t="s">
        <v>1160</v>
      </c>
      <c r="E195" s="28" t="s">
        <v>1179</v>
      </c>
      <c r="F195" s="19" t="str">
        <f t="shared" si="1"/>
        <v>Megaserve Rohit</v>
      </c>
      <c r="M195" s="185"/>
      <c r="N195" s="186"/>
      <c r="O195" s="186"/>
      <c r="P195" s="186"/>
      <c r="Q195" s="186"/>
      <c r="R195" s="76"/>
    </row>
    <row r="196">
      <c r="A196" s="22" t="s">
        <v>328</v>
      </c>
      <c r="B196" s="28" t="s">
        <v>1464</v>
      </c>
      <c r="C196" s="28" t="s">
        <v>311</v>
      </c>
      <c r="D196" s="28" t="s">
        <v>1160</v>
      </c>
      <c r="E196" s="28" t="s">
        <v>1179</v>
      </c>
      <c r="F196" s="19" t="str">
        <f t="shared" si="1"/>
        <v>Megaserve Rohit</v>
      </c>
      <c r="M196" s="185"/>
      <c r="N196" s="186"/>
      <c r="O196" s="186"/>
      <c r="P196" s="186"/>
      <c r="Q196" s="186"/>
      <c r="R196" s="76"/>
    </row>
    <row r="197">
      <c r="A197" s="22" t="s">
        <v>419</v>
      </c>
      <c r="B197" s="28" t="s">
        <v>420</v>
      </c>
      <c r="C197" s="28" t="s">
        <v>311</v>
      </c>
      <c r="D197" s="28" t="s">
        <v>1160</v>
      </c>
      <c r="E197" s="28" t="s">
        <v>1179</v>
      </c>
      <c r="F197" s="19" t="str">
        <f t="shared" si="1"/>
        <v>Megaserve Rohit</v>
      </c>
      <c r="M197" s="185"/>
      <c r="N197" s="186"/>
      <c r="O197" s="186"/>
      <c r="P197" s="186"/>
      <c r="Q197" s="186"/>
      <c r="R197" s="76"/>
    </row>
    <row r="198">
      <c r="A198" s="22" t="s">
        <v>1467</v>
      </c>
      <c r="B198" s="28" t="s">
        <v>1468</v>
      </c>
      <c r="C198" s="28" t="s">
        <v>311</v>
      </c>
      <c r="D198" s="28" t="s">
        <v>1160</v>
      </c>
      <c r="E198" s="28" t="s">
        <v>1179</v>
      </c>
      <c r="F198" s="19" t="str">
        <f t="shared" si="1"/>
        <v>Megaserve Rohit</v>
      </c>
      <c r="M198" s="185"/>
      <c r="N198" s="186"/>
      <c r="O198" s="186"/>
      <c r="P198" s="186"/>
      <c r="Q198" s="186"/>
      <c r="R198" s="76"/>
    </row>
    <row r="199">
      <c r="A199" s="22" t="s">
        <v>661</v>
      </c>
      <c r="B199" s="28" t="s">
        <v>1469</v>
      </c>
      <c r="C199" s="28" t="s">
        <v>311</v>
      </c>
      <c r="D199" s="28" t="s">
        <v>1160</v>
      </c>
      <c r="E199" s="28" t="s">
        <v>1179</v>
      </c>
      <c r="F199" s="19" t="str">
        <f t="shared" si="1"/>
        <v>Megaserve Rohit</v>
      </c>
      <c r="M199" s="185"/>
      <c r="N199" s="186"/>
      <c r="O199" s="186"/>
      <c r="P199" s="186"/>
      <c r="Q199" s="186"/>
      <c r="R199" s="76"/>
    </row>
    <row r="200">
      <c r="A200" s="22" t="s">
        <v>1470</v>
      </c>
      <c r="B200" s="28" t="s">
        <v>1471</v>
      </c>
      <c r="C200" s="28" t="s">
        <v>232</v>
      </c>
      <c r="D200" s="28" t="s">
        <v>1160</v>
      </c>
      <c r="E200" s="28" t="s">
        <v>1179</v>
      </c>
      <c r="F200" s="19" t="str">
        <f t="shared" si="1"/>
        <v>Megaserve Rohit</v>
      </c>
      <c r="M200" s="185"/>
      <c r="N200" s="186"/>
      <c r="O200" s="186"/>
      <c r="P200" s="186"/>
      <c r="Q200" s="186"/>
      <c r="R200" s="76"/>
    </row>
    <row r="201">
      <c r="A201" s="22" t="s">
        <v>1124</v>
      </c>
      <c r="B201" s="28" t="s">
        <v>1472</v>
      </c>
      <c r="C201" s="28" t="s">
        <v>311</v>
      </c>
      <c r="D201" s="28" t="s">
        <v>1160</v>
      </c>
      <c r="E201" s="28" t="s">
        <v>1179</v>
      </c>
      <c r="F201" s="19" t="str">
        <f t="shared" si="1"/>
        <v>Megaserve Rohit</v>
      </c>
      <c r="M201" s="185"/>
      <c r="N201" s="186"/>
      <c r="O201" s="186"/>
      <c r="P201" s="186"/>
      <c r="Q201" s="186"/>
      <c r="R201" s="76"/>
    </row>
    <row r="202">
      <c r="A202" s="22" t="s">
        <v>1473</v>
      </c>
      <c r="B202" s="28" t="s">
        <v>1474</v>
      </c>
      <c r="C202" s="28" t="s">
        <v>232</v>
      </c>
      <c r="D202" s="28" t="s">
        <v>1160</v>
      </c>
      <c r="E202" s="28" t="s">
        <v>1179</v>
      </c>
      <c r="F202" s="19" t="str">
        <f t="shared" si="1"/>
        <v>Megaserve Rohit</v>
      </c>
      <c r="M202" s="185"/>
      <c r="N202" s="186"/>
      <c r="O202" s="186"/>
      <c r="P202" s="186"/>
      <c r="Q202" s="186"/>
      <c r="R202" s="76"/>
    </row>
    <row r="203">
      <c r="A203" s="22" t="s">
        <v>688</v>
      </c>
      <c r="B203" s="28" t="s">
        <v>1475</v>
      </c>
      <c r="C203" s="28" t="s">
        <v>311</v>
      </c>
      <c r="D203" s="28" t="s">
        <v>1160</v>
      </c>
      <c r="E203" s="28" t="s">
        <v>1179</v>
      </c>
      <c r="F203" s="19" t="str">
        <f t="shared" si="1"/>
        <v>Megaserve Rohit</v>
      </c>
      <c r="M203" s="185"/>
      <c r="N203" s="186"/>
      <c r="O203" s="186"/>
      <c r="P203" s="186"/>
      <c r="Q203" s="186"/>
      <c r="R203" s="76"/>
    </row>
    <row r="204">
      <c r="A204" s="22" t="s">
        <v>1146</v>
      </c>
      <c r="B204" s="28" t="s">
        <v>1476</v>
      </c>
      <c r="C204" s="28" t="s">
        <v>232</v>
      </c>
      <c r="D204" s="28" t="s">
        <v>1160</v>
      </c>
      <c r="E204" s="28" t="s">
        <v>1179</v>
      </c>
      <c r="F204" s="19" t="str">
        <f t="shared" si="1"/>
        <v>Megaserve Rohit</v>
      </c>
      <c r="M204" s="185"/>
      <c r="N204" s="186"/>
      <c r="O204" s="186"/>
      <c r="P204" s="186"/>
      <c r="Q204" s="186"/>
      <c r="R204" s="76"/>
    </row>
    <row r="205">
      <c r="A205" s="22" t="s">
        <v>431</v>
      </c>
      <c r="B205" s="28" t="s">
        <v>432</v>
      </c>
      <c r="C205" s="28" t="s">
        <v>311</v>
      </c>
      <c r="D205" s="28" t="s">
        <v>1160</v>
      </c>
      <c r="E205" s="28" t="s">
        <v>1179</v>
      </c>
      <c r="F205" s="19" t="str">
        <f t="shared" si="1"/>
        <v>Megaserve Rohit</v>
      </c>
      <c r="M205" s="185"/>
      <c r="N205" s="186"/>
      <c r="O205" s="186"/>
      <c r="P205" s="186"/>
      <c r="Q205" s="186"/>
      <c r="R205" s="76"/>
    </row>
    <row r="206">
      <c r="A206" s="22" t="s">
        <v>440</v>
      </c>
      <c r="B206" s="28" t="s">
        <v>441</v>
      </c>
      <c r="C206" s="28" t="s">
        <v>311</v>
      </c>
      <c r="D206" s="28" t="s">
        <v>1160</v>
      </c>
      <c r="E206" s="28" t="s">
        <v>1179</v>
      </c>
      <c r="F206" s="19" t="str">
        <f t="shared" si="1"/>
        <v>Megaserve Rohit</v>
      </c>
      <c r="M206" s="185"/>
      <c r="N206" s="186"/>
      <c r="O206" s="186"/>
      <c r="P206" s="186"/>
      <c r="Q206" s="186"/>
      <c r="R206" s="76"/>
    </row>
    <row r="207">
      <c r="A207" s="22" t="s">
        <v>1479</v>
      </c>
      <c r="B207" s="28" t="s">
        <v>1480</v>
      </c>
      <c r="C207" s="28" t="s">
        <v>311</v>
      </c>
      <c r="D207" s="28" t="s">
        <v>1160</v>
      </c>
      <c r="E207" s="28" t="s">
        <v>1179</v>
      </c>
      <c r="F207" s="19" t="str">
        <f t="shared" si="1"/>
        <v>Megaserve Rohit</v>
      </c>
      <c r="M207" s="185"/>
      <c r="N207" s="186"/>
      <c r="O207" s="186"/>
      <c r="P207" s="186"/>
      <c r="Q207" s="186"/>
      <c r="R207" s="76"/>
    </row>
    <row r="208">
      <c r="A208" s="22" t="s">
        <v>961</v>
      </c>
      <c r="B208" s="28" t="s">
        <v>1481</v>
      </c>
      <c r="C208" s="28" t="s">
        <v>311</v>
      </c>
      <c r="D208" s="28" t="s">
        <v>1160</v>
      </c>
      <c r="E208" s="28" t="s">
        <v>1179</v>
      </c>
      <c r="F208" s="19" t="str">
        <f t="shared" si="1"/>
        <v>Megaserve Rohit</v>
      </c>
      <c r="M208" s="185"/>
      <c r="N208" s="186"/>
      <c r="O208" s="186"/>
      <c r="P208" s="186"/>
      <c r="Q208" s="186"/>
      <c r="R208" s="76"/>
    </row>
    <row r="209">
      <c r="A209" s="22" t="s">
        <v>424</v>
      </c>
      <c r="B209" s="28" t="s">
        <v>1482</v>
      </c>
      <c r="C209" s="28" t="s">
        <v>311</v>
      </c>
      <c r="D209" s="28" t="s">
        <v>1160</v>
      </c>
      <c r="E209" s="28" t="s">
        <v>1179</v>
      </c>
      <c r="F209" s="19" t="str">
        <f t="shared" si="1"/>
        <v>Megaserve Rohit</v>
      </c>
      <c r="M209" s="185"/>
      <c r="N209" s="186"/>
      <c r="O209" s="186"/>
      <c r="P209" s="186"/>
      <c r="Q209" s="186"/>
      <c r="R209" s="76"/>
    </row>
    <row r="210">
      <c r="A210" s="22" t="s">
        <v>382</v>
      </c>
      <c r="B210" s="28" t="s">
        <v>1483</v>
      </c>
      <c r="C210" s="28" t="s">
        <v>311</v>
      </c>
      <c r="D210" s="28" t="s">
        <v>1160</v>
      </c>
      <c r="E210" s="28" t="s">
        <v>1179</v>
      </c>
      <c r="F210" s="19" t="str">
        <f t="shared" si="1"/>
        <v>Megaserve Rohit</v>
      </c>
      <c r="M210" s="185"/>
      <c r="N210" s="186"/>
      <c r="O210" s="186"/>
      <c r="P210" s="186"/>
      <c r="Q210" s="186"/>
      <c r="R210" s="76"/>
    </row>
    <row r="211">
      <c r="A211" s="22" t="s">
        <v>607</v>
      </c>
      <c r="B211" s="28" t="s">
        <v>1484</v>
      </c>
      <c r="C211" s="28" t="s">
        <v>311</v>
      </c>
      <c r="D211" s="28" t="s">
        <v>1160</v>
      </c>
      <c r="E211" s="28" t="s">
        <v>1179</v>
      </c>
      <c r="F211" s="19" t="str">
        <f t="shared" si="1"/>
        <v>Megaserve Rohit</v>
      </c>
      <c r="M211" s="185"/>
      <c r="N211" s="186"/>
      <c r="O211" s="186"/>
      <c r="P211" s="186"/>
      <c r="Q211" s="186"/>
      <c r="R211" s="76"/>
    </row>
    <row r="212">
      <c r="A212" s="22" t="s">
        <v>1485</v>
      </c>
      <c r="B212" s="28" t="s">
        <v>1486</v>
      </c>
      <c r="C212" s="28" t="s">
        <v>311</v>
      </c>
      <c r="D212" s="28" t="s">
        <v>1160</v>
      </c>
      <c r="E212" s="28" t="s">
        <v>1193</v>
      </c>
      <c r="F212" s="19" t="str">
        <f t="shared" si="1"/>
        <v>Personal RD</v>
      </c>
      <c r="M212" s="185"/>
      <c r="N212" s="186"/>
      <c r="O212" s="186"/>
      <c r="P212" s="186"/>
      <c r="Q212" s="186"/>
      <c r="R212" s="76"/>
    </row>
    <row r="213">
      <c r="A213" s="22" t="s">
        <v>599</v>
      </c>
      <c r="B213" s="28" t="s">
        <v>1488</v>
      </c>
      <c r="C213" s="28" t="s">
        <v>311</v>
      </c>
      <c r="D213" s="28" t="s">
        <v>1160</v>
      </c>
      <c r="E213" s="28" t="s">
        <v>1179</v>
      </c>
      <c r="F213" s="19" t="str">
        <f t="shared" si="1"/>
        <v>Megaserve Rohit</v>
      </c>
      <c r="M213" s="185"/>
      <c r="N213" s="186"/>
      <c r="O213" s="186"/>
      <c r="P213" s="186"/>
      <c r="Q213" s="186"/>
      <c r="R213" s="76"/>
    </row>
    <row r="214">
      <c r="A214" s="22" t="s">
        <v>370</v>
      </c>
      <c r="B214" s="28" t="s">
        <v>1489</v>
      </c>
      <c r="C214" s="28" t="s">
        <v>311</v>
      </c>
      <c r="D214" s="28" t="s">
        <v>1160</v>
      </c>
      <c r="E214" s="28" t="s">
        <v>1179</v>
      </c>
      <c r="F214" s="19" t="str">
        <f t="shared" si="1"/>
        <v>Megaserve Rohit</v>
      </c>
      <c r="M214" s="185"/>
      <c r="N214" s="186"/>
      <c r="O214" s="186"/>
      <c r="P214" s="186"/>
      <c r="Q214" s="186"/>
      <c r="R214" s="76"/>
    </row>
    <row r="215">
      <c r="A215" s="22" t="s">
        <v>1490</v>
      </c>
      <c r="B215" s="28" t="s">
        <v>1491</v>
      </c>
      <c r="C215" s="28" t="s">
        <v>311</v>
      </c>
      <c r="D215" s="28" t="s">
        <v>1160</v>
      </c>
      <c r="E215" s="28" t="s">
        <v>1179</v>
      </c>
      <c r="F215" s="19" t="str">
        <f t="shared" si="1"/>
        <v>Megaserve Rohit</v>
      </c>
      <c r="M215" s="185"/>
      <c r="N215" s="186"/>
      <c r="O215" s="186"/>
      <c r="P215" s="186"/>
      <c r="Q215" s="186"/>
      <c r="R215" s="76"/>
    </row>
    <row r="216">
      <c r="A216" s="22" t="s">
        <v>1492</v>
      </c>
      <c r="B216" s="28" t="s">
        <v>1493</v>
      </c>
      <c r="C216" s="28" t="s">
        <v>311</v>
      </c>
      <c r="D216" s="28" t="s">
        <v>1160</v>
      </c>
      <c r="E216" s="28" t="s">
        <v>1179</v>
      </c>
      <c r="F216" s="19" t="str">
        <f t="shared" si="1"/>
        <v>Megaserve Rohit</v>
      </c>
      <c r="M216" s="185"/>
      <c r="N216" s="186"/>
      <c r="O216" s="186"/>
      <c r="P216" s="186"/>
      <c r="Q216" s="186"/>
      <c r="R216" s="76"/>
    </row>
    <row r="217">
      <c r="A217" s="22" t="s">
        <v>1494</v>
      </c>
      <c r="B217" s="28" t="s">
        <v>1495</v>
      </c>
      <c r="C217" s="28" t="s">
        <v>311</v>
      </c>
      <c r="D217" s="28" t="s">
        <v>1160</v>
      </c>
      <c r="E217" s="28" t="s">
        <v>1179</v>
      </c>
      <c r="F217" s="19" t="str">
        <f t="shared" si="1"/>
        <v>Megaserve Rohit</v>
      </c>
      <c r="M217" s="185"/>
      <c r="N217" s="186"/>
      <c r="O217" s="186"/>
      <c r="P217" s="186"/>
      <c r="Q217" s="186"/>
      <c r="R217" s="76"/>
    </row>
    <row r="218">
      <c r="A218" s="22" t="s">
        <v>547</v>
      </c>
      <c r="B218" s="28" t="s">
        <v>1496</v>
      </c>
      <c r="C218" s="28" t="s">
        <v>311</v>
      </c>
      <c r="D218" s="28" t="s">
        <v>1160</v>
      </c>
      <c r="E218" s="28" t="s">
        <v>1179</v>
      </c>
      <c r="F218" s="19" t="str">
        <f t="shared" si="1"/>
        <v>Megaserve Rohit</v>
      </c>
      <c r="M218" s="185"/>
      <c r="N218" s="186"/>
      <c r="O218" s="186"/>
      <c r="P218" s="186"/>
      <c r="Q218" s="186"/>
      <c r="R218" s="76"/>
    </row>
    <row r="219">
      <c r="A219" s="22" t="s">
        <v>510</v>
      </c>
      <c r="B219" s="28" t="s">
        <v>1497</v>
      </c>
      <c r="C219" s="28" t="s">
        <v>311</v>
      </c>
      <c r="D219" s="28" t="s">
        <v>1160</v>
      </c>
      <c r="E219" s="28" t="s">
        <v>1179</v>
      </c>
      <c r="F219" s="19" t="str">
        <f t="shared" si="1"/>
        <v>Megaserve Rohit</v>
      </c>
      <c r="M219" s="185"/>
      <c r="N219" s="186"/>
      <c r="O219" s="186"/>
      <c r="P219" s="186"/>
      <c r="Q219" s="186"/>
      <c r="R219" s="76"/>
    </row>
    <row r="220">
      <c r="A220" s="22" t="s">
        <v>104</v>
      </c>
      <c r="B220" s="28" t="s">
        <v>1500</v>
      </c>
      <c r="C220" s="28" t="s">
        <v>232</v>
      </c>
      <c r="D220" s="28" t="s">
        <v>1160</v>
      </c>
      <c r="E220" s="28" t="s">
        <v>1179</v>
      </c>
      <c r="F220" s="19" t="str">
        <f t="shared" si="1"/>
        <v>Megaserve Rohit</v>
      </c>
      <c r="M220" s="185"/>
      <c r="N220" s="186"/>
      <c r="O220" s="186"/>
      <c r="P220" s="186"/>
      <c r="Q220" s="186"/>
      <c r="R220" s="193"/>
    </row>
    <row r="221">
      <c r="A221" s="22" t="s">
        <v>1112</v>
      </c>
      <c r="B221" s="28" t="s">
        <v>1502</v>
      </c>
      <c r="C221" s="28" t="s">
        <v>232</v>
      </c>
      <c r="D221" s="28" t="s">
        <v>1160</v>
      </c>
      <c r="E221" s="28" t="s">
        <v>1179</v>
      </c>
      <c r="F221" s="19" t="str">
        <f t="shared" si="1"/>
        <v>Megaserve Rohit</v>
      </c>
      <c r="M221" s="185"/>
      <c r="N221" s="186"/>
      <c r="O221" s="186"/>
      <c r="P221" s="186"/>
      <c r="Q221" s="186"/>
      <c r="R221" s="76"/>
    </row>
    <row r="222">
      <c r="A222" s="22" t="s">
        <v>1503</v>
      </c>
      <c r="B222" s="28" t="s">
        <v>1504</v>
      </c>
      <c r="C222" s="28" t="s">
        <v>311</v>
      </c>
      <c r="D222" s="28" t="s">
        <v>1160</v>
      </c>
      <c r="E222" s="28" t="s">
        <v>1179</v>
      </c>
      <c r="F222" s="19" t="str">
        <f t="shared" si="1"/>
        <v>Megaserve Rohit</v>
      </c>
      <c r="M222" s="185"/>
      <c r="N222" s="186"/>
      <c r="O222" s="186"/>
      <c r="P222" s="186"/>
      <c r="Q222" s="186"/>
      <c r="R222" s="76"/>
    </row>
    <row r="223">
      <c r="A223" s="22" t="s">
        <v>1140</v>
      </c>
      <c r="B223" s="28" t="s">
        <v>1505</v>
      </c>
      <c r="C223" s="28" t="s">
        <v>232</v>
      </c>
      <c r="D223" s="28" t="s">
        <v>1160</v>
      </c>
      <c r="E223" s="28" t="s">
        <v>1179</v>
      </c>
      <c r="F223" s="19" t="str">
        <f t="shared" si="1"/>
        <v>Megaserve Rohit</v>
      </c>
      <c r="M223" s="185"/>
      <c r="N223" s="186"/>
      <c r="O223" s="186"/>
      <c r="P223" s="186"/>
      <c r="Q223" s="186"/>
      <c r="R223" s="76"/>
    </row>
    <row r="224">
      <c r="A224" s="22" t="s">
        <v>1110</v>
      </c>
      <c r="B224" s="28" t="s">
        <v>1506</v>
      </c>
      <c r="C224" s="28" t="s">
        <v>232</v>
      </c>
      <c r="D224" s="28" t="s">
        <v>1160</v>
      </c>
      <c r="E224" s="28" t="s">
        <v>1179</v>
      </c>
      <c r="F224" s="19" t="str">
        <f t="shared" si="1"/>
        <v>Megaserve Rohit</v>
      </c>
      <c r="M224" s="185"/>
      <c r="N224" s="186"/>
      <c r="O224" s="186"/>
      <c r="P224" s="186"/>
      <c r="Q224" s="186"/>
      <c r="R224" s="76"/>
    </row>
    <row r="225">
      <c r="A225" s="22" t="s">
        <v>357</v>
      </c>
      <c r="B225" s="28" t="s">
        <v>1507</v>
      </c>
      <c r="C225" s="28" t="s">
        <v>311</v>
      </c>
      <c r="D225" s="28" t="s">
        <v>1160</v>
      </c>
      <c r="E225" s="28" t="s">
        <v>1179</v>
      </c>
      <c r="F225" s="19" t="str">
        <f t="shared" si="1"/>
        <v>Megaserve Rohit</v>
      </c>
      <c r="M225" s="185"/>
      <c r="N225" s="186"/>
      <c r="O225" s="186"/>
      <c r="P225" s="186"/>
      <c r="Q225" s="186"/>
      <c r="R225" s="76"/>
    </row>
    <row r="226">
      <c r="A226" s="22" t="s">
        <v>1508</v>
      </c>
      <c r="B226" s="28" t="s">
        <v>1509</v>
      </c>
      <c r="C226" s="28" t="s">
        <v>311</v>
      </c>
      <c r="D226" s="28" t="s">
        <v>1160</v>
      </c>
      <c r="E226" s="28" t="s">
        <v>1179</v>
      </c>
      <c r="F226" s="19" t="str">
        <f t="shared" si="1"/>
        <v>Megaserve Rohit</v>
      </c>
      <c r="M226" s="185"/>
      <c r="N226" s="186"/>
      <c r="O226" s="186"/>
      <c r="P226" s="186"/>
      <c r="Q226" s="186"/>
      <c r="R226" s="76"/>
    </row>
    <row r="227">
      <c r="A227" s="22" t="s">
        <v>1510</v>
      </c>
      <c r="B227" s="28" t="s">
        <v>1511</v>
      </c>
      <c r="C227" s="28" t="s">
        <v>311</v>
      </c>
      <c r="D227" s="28" t="s">
        <v>1160</v>
      </c>
      <c r="E227" s="28" t="s">
        <v>1179</v>
      </c>
      <c r="F227" s="19" t="str">
        <f t="shared" si="1"/>
        <v>Megaserve Rohit</v>
      </c>
      <c r="M227" s="185"/>
      <c r="N227" s="186"/>
      <c r="O227" s="186"/>
      <c r="P227" s="186"/>
      <c r="Q227" s="186"/>
      <c r="R227" s="76"/>
    </row>
    <row r="228">
      <c r="A228" s="22" t="s">
        <v>1512</v>
      </c>
      <c r="B228" s="28" t="s">
        <v>1513</v>
      </c>
      <c r="C228" s="28" t="s">
        <v>311</v>
      </c>
      <c r="D228" s="28" t="s">
        <v>1160</v>
      </c>
      <c r="E228" s="28" t="s">
        <v>1179</v>
      </c>
      <c r="F228" s="19" t="str">
        <f t="shared" si="1"/>
        <v>Megaserve Rohit</v>
      </c>
      <c r="M228" s="185"/>
      <c r="N228" s="186"/>
      <c r="O228" s="186"/>
      <c r="P228" s="186"/>
      <c r="Q228" s="186"/>
      <c r="R228" s="76"/>
    </row>
    <row r="229">
      <c r="A229" s="22" t="s">
        <v>1514</v>
      </c>
      <c r="B229" s="28" t="s">
        <v>1515</v>
      </c>
      <c r="C229" s="28" t="s">
        <v>311</v>
      </c>
      <c r="D229" s="28" t="s">
        <v>1160</v>
      </c>
      <c r="E229" s="28" t="s">
        <v>1179</v>
      </c>
      <c r="F229" s="19" t="str">
        <f t="shared" si="1"/>
        <v>Megaserve Rohit</v>
      </c>
      <c r="M229" s="185"/>
      <c r="N229" s="186"/>
      <c r="O229" s="186"/>
      <c r="P229" s="186"/>
      <c r="Q229" s="186"/>
      <c r="R229" s="76"/>
    </row>
    <row r="230">
      <c r="A230" s="22" t="s">
        <v>358</v>
      </c>
      <c r="B230" s="28" t="s">
        <v>1521</v>
      </c>
      <c r="C230" s="28" t="s">
        <v>311</v>
      </c>
      <c r="D230" s="28" t="s">
        <v>1160</v>
      </c>
      <c r="E230" s="28" t="s">
        <v>1179</v>
      </c>
      <c r="F230" s="19" t="str">
        <f t="shared" si="1"/>
        <v>Megaserve Rohit</v>
      </c>
      <c r="M230" s="185"/>
      <c r="N230" s="186"/>
      <c r="O230" s="186"/>
      <c r="P230" s="186"/>
      <c r="Q230" s="186"/>
      <c r="R230" s="76"/>
    </row>
    <row r="231">
      <c r="A231" s="22" t="s">
        <v>1523</v>
      </c>
      <c r="B231" s="28" t="s">
        <v>1525</v>
      </c>
      <c r="C231" s="28" t="s">
        <v>311</v>
      </c>
      <c r="D231" s="28" t="s">
        <v>1160</v>
      </c>
      <c r="E231" s="28" t="s">
        <v>1179</v>
      </c>
      <c r="F231" s="19" t="str">
        <f t="shared" si="1"/>
        <v>Megaserve Rohit</v>
      </c>
      <c r="M231" s="185"/>
      <c r="N231" s="186"/>
      <c r="O231" s="186"/>
      <c r="P231" s="186"/>
      <c r="Q231" s="186"/>
      <c r="R231" s="76"/>
    </row>
    <row r="232">
      <c r="A232" s="22" t="s">
        <v>1530</v>
      </c>
      <c r="B232" s="28" t="s">
        <v>1532</v>
      </c>
      <c r="C232" s="28" t="s">
        <v>311</v>
      </c>
      <c r="D232" s="28" t="s">
        <v>1160</v>
      </c>
      <c r="E232" s="28" t="s">
        <v>1179</v>
      </c>
      <c r="F232" s="19" t="str">
        <f t="shared" si="1"/>
        <v>Megaserve Rohit</v>
      </c>
      <c r="M232" s="185"/>
      <c r="N232" s="186"/>
      <c r="O232" s="186"/>
      <c r="P232" s="186"/>
      <c r="Q232" s="186"/>
      <c r="R232" s="76"/>
    </row>
    <row r="233">
      <c r="A233" s="22" t="s">
        <v>1537</v>
      </c>
      <c r="B233" s="28" t="s">
        <v>1538</v>
      </c>
      <c r="C233" s="28" t="s">
        <v>311</v>
      </c>
      <c r="D233" s="28" t="s">
        <v>1160</v>
      </c>
      <c r="E233" s="28" t="s">
        <v>1179</v>
      </c>
      <c r="F233" s="19" t="str">
        <f t="shared" si="1"/>
        <v>Megaserve Rohit</v>
      </c>
      <c r="M233" s="185"/>
      <c r="N233" s="186"/>
      <c r="O233" s="186"/>
      <c r="P233" s="186"/>
      <c r="Q233" s="186"/>
      <c r="R233" s="76"/>
    </row>
    <row r="234">
      <c r="A234" s="22" t="s">
        <v>1545</v>
      </c>
      <c r="B234" s="28" t="s">
        <v>1546</v>
      </c>
      <c r="C234" s="28" t="s">
        <v>232</v>
      </c>
      <c r="D234" s="28" t="s">
        <v>1160</v>
      </c>
      <c r="E234" s="28" t="s">
        <v>1179</v>
      </c>
      <c r="F234" s="19" t="str">
        <f t="shared" si="1"/>
        <v>Megaserve Rohit</v>
      </c>
      <c r="M234" s="185"/>
      <c r="N234" s="186"/>
      <c r="O234" s="186"/>
      <c r="P234" s="186"/>
      <c r="Q234" s="186"/>
      <c r="R234" s="76"/>
    </row>
    <row r="235">
      <c r="A235" s="22" t="s">
        <v>1138</v>
      </c>
      <c r="B235" s="28" t="s">
        <v>1552</v>
      </c>
      <c r="C235" s="28" t="s">
        <v>232</v>
      </c>
      <c r="D235" s="28" t="s">
        <v>1160</v>
      </c>
      <c r="E235" s="28" t="s">
        <v>1179</v>
      </c>
      <c r="F235" s="19" t="str">
        <f t="shared" si="1"/>
        <v>Megaserve Rohit</v>
      </c>
      <c r="M235" s="185"/>
      <c r="N235" s="186"/>
      <c r="O235" s="186"/>
      <c r="P235" s="186"/>
      <c r="Q235" s="186"/>
      <c r="R235" s="76"/>
    </row>
    <row r="236">
      <c r="A236" s="22" t="s">
        <v>565</v>
      </c>
      <c r="B236" s="28" t="s">
        <v>1553</v>
      </c>
      <c r="C236" s="28" t="s">
        <v>232</v>
      </c>
      <c r="D236" s="28" t="s">
        <v>1160</v>
      </c>
      <c r="E236" s="28" t="s">
        <v>1179</v>
      </c>
      <c r="F236" s="19" t="str">
        <f t="shared" si="1"/>
        <v>Megaserve Rohit</v>
      </c>
      <c r="M236" s="185"/>
      <c r="N236" s="186"/>
      <c r="O236" s="186"/>
      <c r="P236" s="186"/>
      <c r="Q236" s="186"/>
      <c r="R236" s="76"/>
    </row>
    <row r="237">
      <c r="A237" s="22" t="s">
        <v>365</v>
      </c>
      <c r="B237" s="28" t="s">
        <v>1555</v>
      </c>
      <c r="C237" s="28" t="s">
        <v>232</v>
      </c>
      <c r="D237" s="28" t="s">
        <v>1160</v>
      </c>
      <c r="E237" s="28" t="s">
        <v>1179</v>
      </c>
      <c r="F237" s="19" t="str">
        <f t="shared" si="1"/>
        <v>Megaserve Rohit</v>
      </c>
      <c r="M237" s="185"/>
      <c r="N237" s="186"/>
      <c r="O237" s="186"/>
      <c r="P237" s="186"/>
      <c r="Q237" s="186"/>
      <c r="R237" s="76"/>
    </row>
    <row r="238">
      <c r="A238" s="22" t="s">
        <v>1558</v>
      </c>
      <c r="B238" s="28" t="s">
        <v>1560</v>
      </c>
      <c r="C238" s="28" t="s">
        <v>311</v>
      </c>
      <c r="D238" s="28" t="s">
        <v>1160</v>
      </c>
      <c r="E238" s="28" t="s">
        <v>1179</v>
      </c>
      <c r="F238" s="19" t="str">
        <f t="shared" si="1"/>
        <v>Megaserve Rohit</v>
      </c>
      <c r="M238" s="185"/>
      <c r="N238" s="186"/>
      <c r="O238" s="186"/>
      <c r="P238" s="186"/>
      <c r="Q238" s="186"/>
      <c r="R238" s="76"/>
    </row>
    <row r="239">
      <c r="A239" s="22" t="s">
        <v>433</v>
      </c>
      <c r="B239" s="28" t="s">
        <v>1563</v>
      </c>
      <c r="C239" s="28" t="s">
        <v>232</v>
      </c>
      <c r="D239" s="28" t="s">
        <v>1160</v>
      </c>
      <c r="E239" s="28" t="s">
        <v>1179</v>
      </c>
      <c r="F239" s="19" t="str">
        <f t="shared" si="1"/>
        <v>Megaserve Rohit</v>
      </c>
      <c r="M239" s="185"/>
      <c r="N239" s="186"/>
      <c r="O239" s="186"/>
      <c r="P239" s="186"/>
      <c r="Q239" s="186"/>
      <c r="R239" s="76"/>
    </row>
    <row r="240">
      <c r="A240" s="22" t="s">
        <v>604</v>
      </c>
      <c r="B240" s="28" t="s">
        <v>1566</v>
      </c>
      <c r="C240" s="28" t="s">
        <v>311</v>
      </c>
      <c r="D240" s="28" t="s">
        <v>1160</v>
      </c>
      <c r="E240" s="28" t="s">
        <v>1179</v>
      </c>
      <c r="F240" s="19" t="str">
        <f t="shared" si="1"/>
        <v>Megaserve Rohit</v>
      </c>
      <c r="M240" s="185"/>
      <c r="N240" s="186"/>
      <c r="O240" s="186"/>
      <c r="P240" s="186"/>
      <c r="Q240" s="186"/>
      <c r="R240" s="76"/>
    </row>
    <row r="241">
      <c r="A241" s="22" t="s">
        <v>1568</v>
      </c>
      <c r="B241" s="28" t="s">
        <v>1569</v>
      </c>
      <c r="C241" s="28" t="s">
        <v>311</v>
      </c>
      <c r="D241" s="28" t="s">
        <v>1160</v>
      </c>
      <c r="E241" s="28" t="s">
        <v>1179</v>
      </c>
      <c r="F241" s="19" t="str">
        <f t="shared" si="1"/>
        <v>Megaserve Rohit</v>
      </c>
      <c r="M241" s="185"/>
      <c r="N241" s="186"/>
      <c r="O241" s="186"/>
      <c r="P241" s="186"/>
      <c r="Q241" s="186"/>
      <c r="R241" s="76"/>
    </row>
    <row r="242">
      <c r="A242" s="22" t="s">
        <v>1571</v>
      </c>
      <c r="B242" s="28" t="s">
        <v>1573</v>
      </c>
      <c r="C242" s="28" t="s">
        <v>232</v>
      </c>
      <c r="D242" s="28" t="s">
        <v>1160</v>
      </c>
      <c r="E242" s="28" t="s">
        <v>1179</v>
      </c>
      <c r="F242" s="19" t="str">
        <f t="shared" si="1"/>
        <v>Megaserve Rohit</v>
      </c>
      <c r="M242" s="185"/>
      <c r="N242" s="186"/>
      <c r="O242" s="186"/>
      <c r="P242" s="186"/>
      <c r="Q242" s="186"/>
      <c r="R242" s="76"/>
    </row>
    <row r="243">
      <c r="A243" s="22" t="s">
        <v>570</v>
      </c>
      <c r="B243" s="28" t="s">
        <v>1578</v>
      </c>
      <c r="C243" s="28" t="s">
        <v>232</v>
      </c>
      <c r="D243" s="28" t="s">
        <v>1160</v>
      </c>
      <c r="E243" s="28" t="s">
        <v>1179</v>
      </c>
      <c r="F243" s="19" t="str">
        <f t="shared" si="1"/>
        <v>Megaserve Rohit</v>
      </c>
      <c r="M243" s="185"/>
      <c r="N243" s="186"/>
      <c r="O243" s="186"/>
      <c r="P243" s="186"/>
      <c r="Q243" s="186"/>
      <c r="R243" s="76"/>
    </row>
    <row r="244">
      <c r="A244" s="22" t="s">
        <v>495</v>
      </c>
      <c r="B244" s="28" t="s">
        <v>1094</v>
      </c>
      <c r="C244" s="28" t="s">
        <v>232</v>
      </c>
      <c r="D244" s="28" t="s">
        <v>1160</v>
      </c>
      <c r="E244" s="28" t="s">
        <v>1179</v>
      </c>
      <c r="F244" s="19" t="str">
        <f t="shared" si="1"/>
        <v>Megaserve Rohit</v>
      </c>
      <c r="M244" s="185"/>
      <c r="N244" s="186"/>
      <c r="O244" s="186"/>
      <c r="P244" s="186"/>
      <c r="Q244" s="186"/>
      <c r="R244" s="76"/>
    </row>
    <row r="245">
      <c r="A245" s="22" t="s">
        <v>403</v>
      </c>
      <c r="B245" s="28" t="s">
        <v>1583</v>
      </c>
      <c r="C245" s="28" t="s">
        <v>311</v>
      </c>
      <c r="D245" s="28" t="s">
        <v>1160</v>
      </c>
      <c r="E245" s="28" t="s">
        <v>1179</v>
      </c>
      <c r="F245" s="19" t="str">
        <f t="shared" si="1"/>
        <v>Megaserve Rohit</v>
      </c>
      <c r="M245" s="185"/>
      <c r="N245" s="186"/>
      <c r="O245" s="186"/>
      <c r="P245" s="186"/>
      <c r="Q245" s="186"/>
      <c r="R245" s="76"/>
    </row>
    <row r="246">
      <c r="A246" s="22" t="s">
        <v>1570</v>
      </c>
      <c r="B246" s="28" t="s">
        <v>1584</v>
      </c>
      <c r="C246" s="28" t="s">
        <v>311</v>
      </c>
      <c r="D246" s="28" t="s">
        <v>1160</v>
      </c>
      <c r="E246" s="28" t="s">
        <v>1179</v>
      </c>
      <c r="F246" s="19" t="str">
        <f t="shared" si="1"/>
        <v>Megaserve Rohit</v>
      </c>
      <c r="M246" s="185"/>
      <c r="N246" s="186"/>
      <c r="O246" s="186"/>
      <c r="P246" s="186"/>
      <c r="Q246" s="186"/>
      <c r="R246" s="76"/>
    </row>
    <row r="247">
      <c r="A247" s="22" t="s">
        <v>1587</v>
      </c>
      <c r="B247" s="28" t="s">
        <v>1588</v>
      </c>
      <c r="C247" s="28" t="s">
        <v>311</v>
      </c>
      <c r="D247" s="28" t="s">
        <v>1160</v>
      </c>
      <c r="E247" s="28" t="s">
        <v>1179</v>
      </c>
      <c r="F247" s="19" t="str">
        <f t="shared" si="1"/>
        <v>Megaserve Rohit</v>
      </c>
      <c r="M247" s="185"/>
      <c r="N247" s="186"/>
      <c r="O247" s="186"/>
      <c r="P247" s="186"/>
      <c r="Q247" s="186"/>
      <c r="R247" s="76"/>
    </row>
    <row r="248">
      <c r="A248" s="22" t="s">
        <v>1590</v>
      </c>
      <c r="B248" s="22" t="str">
        <f>VLOOKUP(A248,Main!A:B,2,0)</f>
        <v>MSR_KABRA1_INT</v>
      </c>
      <c r="C248" s="28" t="s">
        <v>311</v>
      </c>
      <c r="D248" s="28" t="s">
        <v>1160</v>
      </c>
      <c r="E248" s="28" t="s">
        <v>1179</v>
      </c>
      <c r="F248" s="19" t="str">
        <f t="shared" si="1"/>
        <v>Megaserve Rohit</v>
      </c>
      <c r="M248" s="185"/>
      <c r="N248" s="186"/>
      <c r="O248" s="186"/>
      <c r="P248" s="186"/>
      <c r="Q248" s="186"/>
      <c r="R248" s="76"/>
    </row>
    <row r="249">
      <c r="A249" s="22" t="s">
        <v>650</v>
      </c>
      <c r="B249" s="28" t="s">
        <v>1599</v>
      </c>
      <c r="C249" s="28" t="s">
        <v>311</v>
      </c>
      <c r="D249" s="28" t="s">
        <v>1160</v>
      </c>
      <c r="E249" s="28" t="s">
        <v>1160</v>
      </c>
      <c r="F249" s="19" t="str">
        <f t="shared" si="1"/>
        <v>Megaserve Dealer</v>
      </c>
      <c r="M249" s="185"/>
      <c r="N249" s="186"/>
      <c r="O249" s="186"/>
      <c r="P249" s="186"/>
      <c r="Q249" s="186"/>
      <c r="R249" s="76"/>
    </row>
    <row r="250">
      <c r="A250" s="22" t="s">
        <v>469</v>
      </c>
      <c r="B250" s="28" t="s">
        <v>1604</v>
      </c>
      <c r="C250" s="28" t="s">
        <v>311</v>
      </c>
      <c r="D250" s="28" t="s">
        <v>1160</v>
      </c>
      <c r="E250" s="28" t="s">
        <v>1179</v>
      </c>
      <c r="F250" s="19" t="str">
        <f t="shared" si="1"/>
        <v>Megaserve Rohit</v>
      </c>
      <c r="M250" s="185"/>
      <c r="N250" s="186"/>
      <c r="O250" s="186"/>
      <c r="P250" s="186"/>
      <c r="Q250" s="186"/>
      <c r="R250" s="76"/>
    </row>
    <row r="251">
      <c r="A251" s="22" t="s">
        <v>1606</v>
      </c>
      <c r="B251" s="28" t="s">
        <v>1608</v>
      </c>
      <c r="C251" s="28" t="s">
        <v>311</v>
      </c>
      <c r="D251" s="28" t="s">
        <v>1160</v>
      </c>
      <c r="E251" s="28" t="s">
        <v>1179</v>
      </c>
      <c r="F251" s="19" t="str">
        <f t="shared" si="1"/>
        <v>Megaserve Rohit</v>
      </c>
      <c r="M251" s="185"/>
      <c r="N251" s="186"/>
      <c r="O251" s="186"/>
      <c r="P251" s="186"/>
      <c r="Q251" s="186"/>
      <c r="R251" s="193"/>
    </row>
    <row r="252">
      <c r="A252" s="22" t="s">
        <v>461</v>
      </c>
      <c r="B252" s="28" t="s">
        <v>1611</v>
      </c>
      <c r="C252" s="28" t="s">
        <v>311</v>
      </c>
      <c r="D252" s="28" t="s">
        <v>1160</v>
      </c>
      <c r="E252" s="28" t="s">
        <v>1179</v>
      </c>
      <c r="F252" s="19" t="str">
        <f t="shared" si="1"/>
        <v>Megaserve Rohit</v>
      </c>
      <c r="M252" s="185"/>
      <c r="N252" s="186"/>
      <c r="O252" s="186"/>
      <c r="P252" s="186"/>
      <c r="Q252" s="186"/>
      <c r="R252" s="76"/>
    </row>
    <row r="253">
      <c r="A253" s="22" t="s">
        <v>1615</v>
      </c>
      <c r="B253" s="28" t="s">
        <v>1616</v>
      </c>
      <c r="C253" s="28" t="s">
        <v>311</v>
      </c>
      <c r="D253" s="28" t="s">
        <v>1160</v>
      </c>
      <c r="E253" s="28" t="s">
        <v>1179</v>
      </c>
      <c r="F253" s="19" t="str">
        <f t="shared" si="1"/>
        <v>Megaserve Rohit</v>
      </c>
      <c r="M253" s="185"/>
      <c r="N253" s="186"/>
      <c r="O253" s="186"/>
      <c r="P253" s="186"/>
      <c r="Q253" s="186"/>
      <c r="R253" s="76"/>
    </row>
    <row r="254">
      <c r="A254" s="22" t="s">
        <v>235</v>
      </c>
      <c r="B254" s="28" t="s">
        <v>1617</v>
      </c>
      <c r="C254" s="28" t="s">
        <v>311</v>
      </c>
      <c r="D254" s="28" t="s">
        <v>1160</v>
      </c>
      <c r="E254" s="28" t="s">
        <v>1179</v>
      </c>
      <c r="F254" s="19" t="str">
        <f t="shared" si="1"/>
        <v>Megaserve Rohit</v>
      </c>
      <c r="M254" s="185"/>
      <c r="N254" s="186"/>
      <c r="O254" s="186"/>
      <c r="P254" s="186"/>
      <c r="Q254" s="186"/>
      <c r="R254" s="76"/>
    </row>
    <row r="255">
      <c r="A255" s="22" t="s">
        <v>1621</v>
      </c>
      <c r="B255" s="28" t="s">
        <v>1622</v>
      </c>
      <c r="C255" s="28" t="s">
        <v>311</v>
      </c>
      <c r="D255" s="28" t="s">
        <v>1160</v>
      </c>
      <c r="E255" s="28" t="s">
        <v>1179</v>
      </c>
      <c r="F255" s="19" t="str">
        <f t="shared" si="1"/>
        <v>Megaserve Rohit</v>
      </c>
      <c r="M255" s="185"/>
      <c r="N255" s="186"/>
      <c r="O255" s="186"/>
      <c r="P255" s="186"/>
      <c r="Q255" s="186"/>
      <c r="R255" s="76"/>
    </row>
    <row r="256">
      <c r="A256" s="22" t="s">
        <v>1625</v>
      </c>
      <c r="B256" s="28" t="s">
        <v>1627</v>
      </c>
      <c r="C256" s="28" t="s">
        <v>311</v>
      </c>
      <c r="D256" s="28" t="s">
        <v>1160</v>
      </c>
      <c r="E256" s="28" t="s">
        <v>1179</v>
      </c>
      <c r="F256" s="19" t="str">
        <f t="shared" si="1"/>
        <v>Megaserve Rohit</v>
      </c>
      <c r="M256" s="185"/>
      <c r="N256" s="186"/>
      <c r="O256" s="186"/>
      <c r="P256" s="186"/>
      <c r="Q256" s="186"/>
      <c r="R256" s="76"/>
    </row>
    <row r="257">
      <c r="A257" s="22" t="s">
        <v>491</v>
      </c>
      <c r="B257" s="28" t="s">
        <v>492</v>
      </c>
      <c r="C257" s="28" t="s">
        <v>311</v>
      </c>
      <c r="D257" s="28" t="s">
        <v>1160</v>
      </c>
      <c r="E257" s="28" t="s">
        <v>1179</v>
      </c>
      <c r="F257" s="19" t="str">
        <f t="shared" si="1"/>
        <v>Megaserve Rohit</v>
      </c>
      <c r="M257" s="185"/>
      <c r="N257" s="186"/>
      <c r="O257" s="186"/>
      <c r="P257" s="186"/>
      <c r="Q257" s="186"/>
      <c r="R257" s="76"/>
    </row>
    <row r="258">
      <c r="A258" s="22" t="s">
        <v>1142</v>
      </c>
      <c r="B258" s="28" t="s">
        <v>1630</v>
      </c>
      <c r="C258" s="28" t="s">
        <v>311</v>
      </c>
      <c r="D258" s="28" t="s">
        <v>1160</v>
      </c>
      <c r="E258" s="28" t="s">
        <v>1179</v>
      </c>
      <c r="F258" s="19" t="str">
        <f t="shared" si="1"/>
        <v>Megaserve Rohit</v>
      </c>
      <c r="M258" s="185"/>
      <c r="N258" s="186"/>
      <c r="O258" s="186"/>
      <c r="P258" s="186"/>
      <c r="Q258" s="186"/>
      <c r="R258" s="76"/>
    </row>
    <row r="259">
      <c r="A259" s="22" t="s">
        <v>115</v>
      </c>
      <c r="B259" s="28" t="s">
        <v>1631</v>
      </c>
      <c r="C259" s="28" t="s">
        <v>232</v>
      </c>
      <c r="D259" s="28" t="s">
        <v>1160</v>
      </c>
      <c r="E259" s="28" t="s">
        <v>1193</v>
      </c>
      <c r="F259" s="19" t="str">
        <f t="shared" si="1"/>
        <v>Personal RD</v>
      </c>
      <c r="M259" s="185"/>
      <c r="N259" s="186"/>
      <c r="O259" s="186"/>
      <c r="P259" s="186"/>
      <c r="Q259" s="186"/>
      <c r="R259" s="193"/>
    </row>
    <row r="260">
      <c r="A260" s="22" t="s">
        <v>350</v>
      </c>
      <c r="B260" s="28" t="s">
        <v>1635</v>
      </c>
      <c r="C260" s="28" t="s">
        <v>311</v>
      </c>
      <c r="D260" s="28" t="s">
        <v>1160</v>
      </c>
      <c r="E260" s="28" t="s">
        <v>1179</v>
      </c>
      <c r="F260" s="19" t="str">
        <f t="shared" si="1"/>
        <v>Megaserve Rohit</v>
      </c>
      <c r="M260" s="185"/>
      <c r="N260" s="186"/>
      <c r="O260" s="186"/>
      <c r="P260" s="186"/>
      <c r="Q260" s="186"/>
      <c r="R260" s="193"/>
    </row>
    <row r="261">
      <c r="A261" s="22" t="s">
        <v>1120</v>
      </c>
      <c r="B261" s="28" t="s">
        <v>1640</v>
      </c>
      <c r="C261" s="28" t="s">
        <v>311</v>
      </c>
      <c r="D261" s="28" t="s">
        <v>1160</v>
      </c>
      <c r="E261" s="28" t="s">
        <v>1179</v>
      </c>
      <c r="F261" s="19" t="str">
        <f t="shared" si="1"/>
        <v>Megaserve Rohit</v>
      </c>
      <c r="M261" s="185"/>
      <c r="N261" s="186"/>
      <c r="O261" s="186"/>
      <c r="P261" s="186"/>
      <c r="Q261" s="186"/>
      <c r="R261" s="193"/>
    </row>
    <row r="262">
      <c r="A262" s="22" t="s">
        <v>1644</v>
      </c>
      <c r="B262" s="28" t="s">
        <v>1646</v>
      </c>
      <c r="C262" s="28" t="s">
        <v>232</v>
      </c>
      <c r="D262" s="28" t="s">
        <v>1160</v>
      </c>
      <c r="E262" s="28" t="s">
        <v>1179</v>
      </c>
      <c r="F262" s="19" t="str">
        <f t="shared" si="1"/>
        <v>Megaserve Rohit</v>
      </c>
      <c r="M262" s="185"/>
      <c r="N262" s="186"/>
      <c r="O262" s="186"/>
      <c r="P262" s="186"/>
      <c r="Q262" s="186"/>
      <c r="R262" s="193"/>
    </row>
    <row r="263">
      <c r="A263" s="22" t="s">
        <v>390</v>
      </c>
      <c r="B263" s="28" t="s">
        <v>1648</v>
      </c>
      <c r="C263" s="28" t="s">
        <v>311</v>
      </c>
      <c r="D263" s="28" t="s">
        <v>1160</v>
      </c>
      <c r="E263" s="28" t="s">
        <v>1179</v>
      </c>
      <c r="F263" s="19" t="str">
        <f t="shared" si="1"/>
        <v>Megaserve Rohit</v>
      </c>
      <c r="M263" s="185"/>
      <c r="N263" s="186"/>
      <c r="O263" s="186"/>
      <c r="P263" s="186"/>
      <c r="Q263" s="186"/>
      <c r="R263" s="76"/>
    </row>
    <row r="264">
      <c r="A264" s="22" t="s">
        <v>582</v>
      </c>
      <c r="B264" s="28" t="s">
        <v>1652</v>
      </c>
      <c r="C264" s="28" t="s">
        <v>311</v>
      </c>
      <c r="D264" s="28" t="s">
        <v>1160</v>
      </c>
      <c r="E264" s="28" t="s">
        <v>1179</v>
      </c>
      <c r="F264" s="19" t="str">
        <f t="shared" si="1"/>
        <v>Megaserve Rohit</v>
      </c>
      <c r="M264" s="185"/>
      <c r="N264" s="186"/>
      <c r="O264" s="186"/>
      <c r="P264" s="186"/>
      <c r="Q264" s="186"/>
      <c r="R264" s="76"/>
    </row>
    <row r="265">
      <c r="A265" s="22" t="s">
        <v>571</v>
      </c>
      <c r="B265" s="28" t="s">
        <v>1654</v>
      </c>
      <c r="C265" s="28" t="s">
        <v>311</v>
      </c>
      <c r="D265" s="28" t="s">
        <v>1160</v>
      </c>
      <c r="E265" s="28" t="s">
        <v>1179</v>
      </c>
      <c r="F265" s="19" t="str">
        <f t="shared" si="1"/>
        <v>Megaserve Rohit</v>
      </c>
      <c r="M265" s="185"/>
      <c r="N265" s="186"/>
      <c r="O265" s="186"/>
      <c r="P265" s="186"/>
      <c r="Q265" s="186"/>
      <c r="R265" s="76"/>
    </row>
    <row r="266">
      <c r="A266" s="22" t="s">
        <v>397</v>
      </c>
      <c r="B266" s="28" t="s">
        <v>1657</v>
      </c>
      <c r="C266" s="28" t="s">
        <v>311</v>
      </c>
      <c r="D266" s="28" t="s">
        <v>1160</v>
      </c>
      <c r="E266" s="28" t="s">
        <v>1179</v>
      </c>
      <c r="F266" s="19" t="str">
        <f t="shared" si="1"/>
        <v>Megaserve Rohit</v>
      </c>
      <c r="M266" s="185"/>
      <c r="N266" s="186"/>
      <c r="O266" s="186"/>
      <c r="P266" s="186"/>
      <c r="Q266" s="186"/>
      <c r="R266" s="193"/>
    </row>
    <row r="267">
      <c r="A267" s="22" t="s">
        <v>398</v>
      </c>
      <c r="B267" s="28" t="s">
        <v>1660</v>
      </c>
      <c r="C267" s="28" t="s">
        <v>311</v>
      </c>
      <c r="D267" s="28" t="s">
        <v>1160</v>
      </c>
      <c r="E267" s="28" t="s">
        <v>1179</v>
      </c>
      <c r="F267" s="19" t="str">
        <f t="shared" si="1"/>
        <v>Megaserve Rohit</v>
      </c>
      <c r="M267" s="185"/>
      <c r="N267" s="186"/>
      <c r="O267" s="186"/>
      <c r="P267" s="186"/>
      <c r="Q267" s="186"/>
      <c r="R267" s="76"/>
    </row>
    <row r="268">
      <c r="A268" s="22" t="s">
        <v>1662</v>
      </c>
      <c r="B268" s="28" t="s">
        <v>1665</v>
      </c>
      <c r="C268" s="28" t="s">
        <v>311</v>
      </c>
      <c r="D268" s="28" t="s">
        <v>1160</v>
      </c>
      <c r="E268" s="28" t="s">
        <v>1179</v>
      </c>
      <c r="F268" s="19" t="str">
        <f t="shared" si="1"/>
        <v>Megaserve Rohit</v>
      </c>
      <c r="M268" s="185"/>
      <c r="N268" s="186"/>
      <c r="O268" s="186"/>
      <c r="P268" s="186"/>
      <c r="Q268" s="186"/>
      <c r="R268" s="76"/>
    </row>
    <row r="269">
      <c r="A269" s="22" t="s">
        <v>635</v>
      </c>
      <c r="B269" s="28" t="s">
        <v>1668</v>
      </c>
      <c r="C269" s="28" t="s">
        <v>232</v>
      </c>
      <c r="D269" s="28" t="s">
        <v>1160</v>
      </c>
      <c r="E269" s="28" t="s">
        <v>1179</v>
      </c>
      <c r="F269" s="19" t="str">
        <f t="shared" si="1"/>
        <v>Megaserve Rohit</v>
      </c>
      <c r="M269" s="185"/>
      <c r="N269" s="186"/>
      <c r="O269" s="186"/>
      <c r="P269" s="186"/>
      <c r="Q269" s="186"/>
      <c r="R269" s="76"/>
    </row>
    <row r="270">
      <c r="A270" s="22" t="s">
        <v>1670</v>
      </c>
      <c r="B270" s="28" t="s">
        <v>1671</v>
      </c>
      <c r="C270" s="28" t="s">
        <v>311</v>
      </c>
      <c r="D270" s="28" t="s">
        <v>1160</v>
      </c>
      <c r="E270" s="28" t="s">
        <v>1179</v>
      </c>
      <c r="F270" s="19" t="str">
        <f t="shared" si="1"/>
        <v>Megaserve Rohit</v>
      </c>
      <c r="M270" s="185"/>
      <c r="N270" s="186"/>
      <c r="O270" s="186"/>
      <c r="P270" s="186"/>
      <c r="Q270" s="186"/>
      <c r="R270" s="76"/>
    </row>
    <row r="271">
      <c r="A271" s="22" t="s">
        <v>1673</v>
      </c>
      <c r="B271" s="28" t="s">
        <v>1675</v>
      </c>
      <c r="C271" s="28" t="s">
        <v>311</v>
      </c>
      <c r="D271" s="28" t="s">
        <v>1160</v>
      </c>
      <c r="E271" s="28" t="s">
        <v>1179</v>
      </c>
      <c r="F271" s="19" t="str">
        <f t="shared" si="1"/>
        <v>Megaserve Rohit</v>
      </c>
      <c r="M271" s="185"/>
      <c r="N271" s="186"/>
      <c r="O271" s="186"/>
      <c r="P271" s="186"/>
      <c r="Q271" s="186"/>
      <c r="R271" s="76"/>
    </row>
    <row r="272">
      <c r="A272" s="22" t="s">
        <v>1676</v>
      </c>
      <c r="B272" s="28" t="s">
        <v>1677</v>
      </c>
      <c r="C272" s="28" t="s">
        <v>311</v>
      </c>
      <c r="D272" s="28" t="s">
        <v>1160</v>
      </c>
      <c r="E272" s="28" t="s">
        <v>1179</v>
      </c>
      <c r="F272" s="19" t="str">
        <f t="shared" si="1"/>
        <v>Megaserve Rohit</v>
      </c>
      <c r="M272" s="185"/>
      <c r="N272" s="186"/>
      <c r="O272" s="186"/>
      <c r="P272" s="186"/>
      <c r="Q272" s="186"/>
      <c r="R272" s="76"/>
    </row>
    <row r="273">
      <c r="A273" s="22" t="s">
        <v>696</v>
      </c>
      <c r="B273" s="28" t="s">
        <v>1680</v>
      </c>
      <c r="C273" s="28" t="s">
        <v>311</v>
      </c>
      <c r="D273" s="28" t="s">
        <v>1160</v>
      </c>
      <c r="E273" s="28" t="s">
        <v>1179</v>
      </c>
      <c r="F273" s="19" t="str">
        <f t="shared" si="1"/>
        <v>Megaserve Rohit</v>
      </c>
      <c r="M273" s="185"/>
      <c r="N273" s="186"/>
      <c r="O273" s="186"/>
      <c r="P273" s="186"/>
      <c r="Q273" s="186"/>
      <c r="R273" s="76"/>
    </row>
    <row r="274">
      <c r="A274" s="22" t="s">
        <v>700</v>
      </c>
      <c r="B274" s="28" t="s">
        <v>1683</v>
      </c>
      <c r="C274" s="28" t="s">
        <v>311</v>
      </c>
      <c r="D274" s="28" t="s">
        <v>1160</v>
      </c>
      <c r="E274" s="28" t="s">
        <v>1179</v>
      </c>
      <c r="F274" s="19" t="str">
        <f t="shared" si="1"/>
        <v>Megaserve Rohit</v>
      </c>
      <c r="M274" s="185"/>
      <c r="N274" s="186"/>
      <c r="O274" s="186"/>
      <c r="P274" s="186"/>
      <c r="Q274" s="186"/>
      <c r="R274" s="76"/>
    </row>
    <row r="275">
      <c r="A275" s="22" t="s">
        <v>416</v>
      </c>
      <c r="B275" s="28" t="s">
        <v>1686</v>
      </c>
      <c r="C275" s="28" t="s">
        <v>311</v>
      </c>
      <c r="D275" s="28" t="s">
        <v>1160</v>
      </c>
      <c r="E275" s="28" t="s">
        <v>1179</v>
      </c>
      <c r="F275" s="19" t="str">
        <f t="shared" si="1"/>
        <v>Megaserve Rohit</v>
      </c>
      <c r="M275" s="185"/>
      <c r="N275" s="203"/>
      <c r="O275" s="186"/>
      <c r="P275" s="186"/>
      <c r="Q275" s="186"/>
      <c r="R275" s="186"/>
    </row>
    <row r="276">
      <c r="A276" s="22" t="s">
        <v>1128</v>
      </c>
      <c r="B276" s="28" t="s">
        <v>1692</v>
      </c>
      <c r="C276" s="28" t="s">
        <v>311</v>
      </c>
      <c r="D276" s="28" t="s">
        <v>1160</v>
      </c>
      <c r="E276" s="28" t="s">
        <v>1179</v>
      </c>
      <c r="F276" s="19" t="str">
        <f t="shared" si="1"/>
        <v>Megaserve Rohit</v>
      </c>
      <c r="M276" s="185"/>
      <c r="N276" s="186"/>
      <c r="O276" s="186"/>
      <c r="P276" s="186"/>
      <c r="Q276" s="186"/>
      <c r="R276" s="76"/>
    </row>
    <row r="277">
      <c r="A277" s="22" t="s">
        <v>609</v>
      </c>
      <c r="B277" s="28" t="s">
        <v>1695</v>
      </c>
      <c r="C277" s="28" t="s">
        <v>311</v>
      </c>
      <c r="D277" s="28" t="s">
        <v>1160</v>
      </c>
      <c r="E277" s="28" t="s">
        <v>1179</v>
      </c>
      <c r="F277" s="19" t="str">
        <f t="shared" si="1"/>
        <v>Megaserve Rohit</v>
      </c>
      <c r="M277" s="185"/>
      <c r="N277" s="186"/>
      <c r="O277" s="186"/>
      <c r="P277" s="186"/>
      <c r="Q277" s="186"/>
      <c r="R277" s="76"/>
    </row>
    <row r="278">
      <c r="A278" s="22" t="s">
        <v>1698</v>
      </c>
      <c r="B278" s="28" t="s">
        <v>1699</v>
      </c>
      <c r="C278" s="28" t="s">
        <v>311</v>
      </c>
      <c r="D278" s="28" t="s">
        <v>1160</v>
      </c>
      <c r="E278" s="28" t="s">
        <v>1179</v>
      </c>
      <c r="F278" s="19" t="str">
        <f t="shared" si="1"/>
        <v>Megaserve Rohit</v>
      </c>
      <c r="M278" s="185"/>
      <c r="N278" s="186"/>
      <c r="O278" s="186"/>
      <c r="P278" s="186"/>
      <c r="Q278" s="186"/>
      <c r="R278" s="76"/>
    </row>
    <row r="279">
      <c r="A279" s="22" t="s">
        <v>1700</v>
      </c>
      <c r="B279" s="28" t="s">
        <v>1701</v>
      </c>
      <c r="C279" s="28" t="s">
        <v>311</v>
      </c>
      <c r="D279" s="28" t="s">
        <v>1160</v>
      </c>
      <c r="E279" s="28" t="s">
        <v>1179</v>
      </c>
      <c r="F279" s="19" t="str">
        <f t="shared" si="1"/>
        <v>Megaserve Rohit</v>
      </c>
      <c r="M279" s="185"/>
      <c r="N279" s="186"/>
      <c r="O279" s="186"/>
      <c r="P279" s="186"/>
      <c r="Q279" s="186"/>
      <c r="R279" s="76"/>
    </row>
    <row r="280">
      <c r="A280" s="22" t="s">
        <v>387</v>
      </c>
      <c r="B280" s="28" t="s">
        <v>1703</v>
      </c>
      <c r="C280" s="28" t="s">
        <v>232</v>
      </c>
      <c r="D280" s="28" t="s">
        <v>1160</v>
      </c>
      <c r="E280" s="28" t="s">
        <v>1179</v>
      </c>
      <c r="F280" s="19" t="str">
        <f t="shared" si="1"/>
        <v>Megaserve Rohit</v>
      </c>
      <c r="M280" s="185"/>
      <c r="N280" s="186"/>
      <c r="O280" s="186"/>
      <c r="P280" s="186"/>
      <c r="Q280" s="186"/>
      <c r="R280" s="76"/>
    </row>
    <row r="281">
      <c r="A281" s="22" t="s">
        <v>615</v>
      </c>
      <c r="B281" s="28" t="s">
        <v>1706</v>
      </c>
      <c r="C281" s="28" t="s">
        <v>311</v>
      </c>
      <c r="D281" s="28" t="s">
        <v>1160</v>
      </c>
      <c r="E281" s="28" t="s">
        <v>1179</v>
      </c>
      <c r="F281" s="19" t="str">
        <f t="shared" si="1"/>
        <v>Megaserve Rohit</v>
      </c>
      <c r="M281" s="185"/>
      <c r="N281" s="186"/>
      <c r="O281" s="186"/>
      <c r="P281" s="186"/>
      <c r="Q281" s="186"/>
      <c r="R281" s="76"/>
    </row>
    <row r="282">
      <c r="A282" s="22" t="s">
        <v>520</v>
      </c>
      <c r="B282" s="28" t="s">
        <v>1711</v>
      </c>
      <c r="C282" s="28" t="s">
        <v>232</v>
      </c>
      <c r="D282" s="28" t="s">
        <v>1160</v>
      </c>
      <c r="E282" s="28" t="s">
        <v>1179</v>
      </c>
      <c r="F282" s="19" t="str">
        <f t="shared" si="1"/>
        <v>Megaserve Rohit</v>
      </c>
      <c r="M282" s="185"/>
      <c r="N282" s="186"/>
      <c r="O282" s="186"/>
      <c r="P282" s="186"/>
      <c r="Q282" s="186"/>
      <c r="R282" s="76"/>
    </row>
    <row r="283">
      <c r="A283" s="22" t="s">
        <v>465</v>
      </c>
      <c r="B283" s="28" t="s">
        <v>1714</v>
      </c>
      <c r="C283" s="28" t="s">
        <v>311</v>
      </c>
      <c r="D283" s="28" t="s">
        <v>1160</v>
      </c>
      <c r="E283" s="28" t="s">
        <v>1179</v>
      </c>
      <c r="F283" s="19" t="str">
        <f t="shared" si="1"/>
        <v>Megaserve Rohit</v>
      </c>
      <c r="M283" s="185"/>
      <c r="N283" s="186"/>
      <c r="O283" s="186"/>
      <c r="P283" s="186"/>
      <c r="Q283" s="186"/>
      <c r="R283" s="76"/>
    </row>
    <row r="284">
      <c r="A284" s="22" t="s">
        <v>684</v>
      </c>
      <c r="B284" s="28" t="s">
        <v>1715</v>
      </c>
      <c r="C284" s="28" t="s">
        <v>311</v>
      </c>
      <c r="D284" s="28" t="s">
        <v>1160</v>
      </c>
      <c r="E284" s="28" t="s">
        <v>1193</v>
      </c>
      <c r="F284" s="19" t="str">
        <f t="shared" si="1"/>
        <v>Personal RD</v>
      </c>
      <c r="M284" s="185"/>
      <c r="N284" s="186"/>
      <c r="O284" s="186"/>
      <c r="P284" s="186"/>
      <c r="Q284" s="186"/>
      <c r="R284" s="76"/>
    </row>
    <row r="285">
      <c r="A285" s="22" t="s">
        <v>1718</v>
      </c>
      <c r="B285" s="28" t="s">
        <v>1719</v>
      </c>
      <c r="C285" s="28" t="s">
        <v>311</v>
      </c>
      <c r="D285" s="28" t="s">
        <v>1160</v>
      </c>
      <c r="E285" s="28" t="s">
        <v>1179</v>
      </c>
      <c r="F285" s="19" t="str">
        <f t="shared" si="1"/>
        <v>Megaserve Rohit</v>
      </c>
      <c r="M285" s="185"/>
      <c r="N285" s="186"/>
      <c r="O285" s="186"/>
      <c r="P285" s="186"/>
      <c r="Q285" s="186"/>
      <c r="R285" s="76"/>
    </row>
    <row r="286">
      <c r="A286" s="22" t="s">
        <v>1725</v>
      </c>
      <c r="B286" s="28" t="s">
        <v>1726</v>
      </c>
      <c r="C286" s="28" t="s">
        <v>311</v>
      </c>
      <c r="D286" s="28" t="s">
        <v>1160</v>
      </c>
      <c r="E286" s="28" t="s">
        <v>1179</v>
      </c>
      <c r="F286" s="19" t="str">
        <f t="shared" si="1"/>
        <v>Megaserve Rohit</v>
      </c>
      <c r="M286" s="185"/>
      <c r="N286" s="186"/>
      <c r="O286" s="186"/>
      <c r="P286" s="186"/>
      <c r="Q286" s="186"/>
      <c r="R286" s="76"/>
    </row>
    <row r="287">
      <c r="A287" s="22" t="s">
        <v>647</v>
      </c>
      <c r="B287" s="28" t="s">
        <v>1729</v>
      </c>
      <c r="C287" s="28" t="s">
        <v>311</v>
      </c>
      <c r="D287" s="28" t="s">
        <v>1160</v>
      </c>
      <c r="E287" s="28" t="s">
        <v>1179</v>
      </c>
      <c r="F287" s="19" t="str">
        <f t="shared" si="1"/>
        <v>Megaserve Rohit</v>
      </c>
      <c r="M287" s="185"/>
      <c r="N287" s="186"/>
      <c r="O287" s="186"/>
      <c r="P287" s="186"/>
      <c r="Q287" s="186"/>
      <c r="R287" s="76"/>
    </row>
    <row r="288">
      <c r="A288" s="22" t="s">
        <v>1731</v>
      </c>
      <c r="B288" s="28" t="s">
        <v>1732</v>
      </c>
      <c r="C288" s="28" t="s">
        <v>311</v>
      </c>
      <c r="D288" s="28" t="s">
        <v>1160</v>
      </c>
      <c r="E288" s="28" t="s">
        <v>1179</v>
      </c>
      <c r="F288" s="19" t="str">
        <f t="shared" si="1"/>
        <v>Megaserve Rohit</v>
      </c>
      <c r="M288" s="185"/>
      <c r="N288" s="186"/>
      <c r="O288" s="186"/>
      <c r="P288" s="186"/>
      <c r="Q288" s="186"/>
      <c r="R288" s="76"/>
    </row>
    <row r="289">
      <c r="A289" s="22" t="s">
        <v>542</v>
      </c>
      <c r="B289" s="28" t="s">
        <v>1735</v>
      </c>
      <c r="C289" s="28" t="s">
        <v>232</v>
      </c>
      <c r="D289" s="28" t="s">
        <v>1160</v>
      </c>
      <c r="E289" s="28" t="s">
        <v>1179</v>
      </c>
      <c r="F289" s="19" t="str">
        <f t="shared" si="1"/>
        <v>Megaserve Rohit</v>
      </c>
      <c r="M289" s="185"/>
      <c r="N289" s="186"/>
      <c r="O289" s="186"/>
      <c r="P289" s="186"/>
      <c r="Q289" s="186"/>
      <c r="R289" s="76"/>
    </row>
    <row r="290">
      <c r="A290" s="22" t="s">
        <v>448</v>
      </c>
      <c r="B290" s="28" t="s">
        <v>1737</v>
      </c>
      <c r="C290" s="28" t="s">
        <v>311</v>
      </c>
      <c r="D290" s="28" t="s">
        <v>1160</v>
      </c>
      <c r="E290" s="28" t="s">
        <v>1179</v>
      </c>
      <c r="F290" s="19" t="str">
        <f t="shared" si="1"/>
        <v>Megaserve Rohit</v>
      </c>
      <c r="M290" s="185"/>
      <c r="N290" s="186"/>
      <c r="O290" s="186"/>
      <c r="P290" s="186"/>
      <c r="Q290" s="186"/>
      <c r="R290" s="76"/>
    </row>
    <row r="291">
      <c r="A291" s="22" t="s">
        <v>456</v>
      </c>
      <c r="B291" s="28" t="s">
        <v>1739</v>
      </c>
      <c r="C291" s="28" t="s">
        <v>232</v>
      </c>
      <c r="D291" s="28" t="s">
        <v>1160</v>
      </c>
      <c r="E291" s="28" t="s">
        <v>1179</v>
      </c>
      <c r="F291" s="19" t="str">
        <f t="shared" si="1"/>
        <v>Megaserve Rohit</v>
      </c>
      <c r="M291" s="185"/>
      <c r="N291" s="186"/>
      <c r="O291" s="186"/>
      <c r="P291" s="186"/>
      <c r="Q291" s="186"/>
      <c r="R291" s="76"/>
    </row>
    <row r="292">
      <c r="A292" s="22" t="s">
        <v>1741</v>
      </c>
      <c r="B292" s="28" t="s">
        <v>1742</v>
      </c>
      <c r="C292" s="28" t="s">
        <v>311</v>
      </c>
      <c r="D292" s="28" t="s">
        <v>1160</v>
      </c>
      <c r="E292" s="28" t="s">
        <v>1179</v>
      </c>
      <c r="F292" s="19" t="str">
        <f t="shared" si="1"/>
        <v>Megaserve Rohit</v>
      </c>
      <c r="M292" s="185"/>
      <c r="N292" s="186"/>
      <c r="O292" s="186"/>
      <c r="P292" s="186"/>
      <c r="Q292" s="186"/>
      <c r="R292" s="76"/>
    </row>
    <row r="293">
      <c r="A293" s="22" t="s">
        <v>1744</v>
      </c>
      <c r="B293" s="28" t="s">
        <v>1745</v>
      </c>
      <c r="C293" s="28" t="s">
        <v>311</v>
      </c>
      <c r="D293" s="28" t="s">
        <v>1160</v>
      </c>
      <c r="E293" s="28" t="s">
        <v>1179</v>
      </c>
      <c r="F293" s="19" t="str">
        <f t="shared" si="1"/>
        <v>Megaserve Rohit</v>
      </c>
      <c r="M293" s="185"/>
      <c r="N293" s="186"/>
      <c r="O293" s="186"/>
      <c r="P293" s="186"/>
      <c r="Q293" s="186"/>
      <c r="R293" s="76"/>
    </row>
    <row r="294">
      <c r="A294" s="22" t="s">
        <v>1749</v>
      </c>
      <c r="B294" s="28" t="s">
        <v>1750</v>
      </c>
      <c r="C294" s="28" t="s">
        <v>311</v>
      </c>
      <c r="D294" s="28" t="s">
        <v>1160</v>
      </c>
      <c r="E294" s="28" t="s">
        <v>1179</v>
      </c>
      <c r="F294" s="19" t="str">
        <f t="shared" si="1"/>
        <v>Megaserve Rohit</v>
      </c>
      <c r="M294" s="185"/>
      <c r="N294" s="186"/>
      <c r="O294" s="186"/>
      <c r="P294" s="186"/>
      <c r="Q294" s="186"/>
      <c r="R294" s="76"/>
    </row>
    <row r="295">
      <c r="A295" s="22" t="s">
        <v>462</v>
      </c>
      <c r="B295" s="28" t="s">
        <v>1752</v>
      </c>
      <c r="C295" s="28" t="s">
        <v>311</v>
      </c>
      <c r="D295" s="28" t="s">
        <v>1160</v>
      </c>
      <c r="E295" s="28" t="s">
        <v>1179</v>
      </c>
      <c r="F295" s="19" t="str">
        <f t="shared" si="1"/>
        <v>Megaserve Rohit</v>
      </c>
      <c r="M295" s="185"/>
      <c r="N295" s="186"/>
      <c r="O295" s="186"/>
      <c r="P295" s="186"/>
      <c r="Q295" s="186"/>
      <c r="R295" s="76"/>
    </row>
    <row r="296">
      <c r="A296" s="22" t="s">
        <v>415</v>
      </c>
      <c r="B296" s="28" t="s">
        <v>1755</v>
      </c>
      <c r="C296" s="28" t="s">
        <v>311</v>
      </c>
      <c r="D296" s="28" t="s">
        <v>1160</v>
      </c>
      <c r="E296" s="28" t="s">
        <v>1179</v>
      </c>
      <c r="F296" s="19" t="str">
        <f t="shared" si="1"/>
        <v>Megaserve Rohit</v>
      </c>
      <c r="M296" s="185"/>
      <c r="N296" s="186"/>
      <c r="O296" s="186"/>
      <c r="P296" s="186"/>
      <c r="Q296" s="186"/>
      <c r="R296" s="76"/>
    </row>
    <row r="297">
      <c r="A297" s="22" t="s">
        <v>1756</v>
      </c>
      <c r="B297" s="28" t="s">
        <v>1757</v>
      </c>
      <c r="C297" s="28" t="s">
        <v>311</v>
      </c>
      <c r="D297" s="28" t="s">
        <v>1160</v>
      </c>
      <c r="E297" s="28" t="s">
        <v>1179</v>
      </c>
      <c r="F297" s="19" t="str">
        <f t="shared" si="1"/>
        <v>Megaserve Rohit</v>
      </c>
      <c r="M297" s="185"/>
      <c r="N297" s="186"/>
      <c r="O297" s="186"/>
      <c r="P297" s="186"/>
      <c r="Q297" s="186"/>
      <c r="R297" s="76"/>
    </row>
    <row r="298">
      <c r="A298" s="22" t="s">
        <v>1758</v>
      </c>
      <c r="B298" s="28" t="s">
        <v>1759</v>
      </c>
      <c r="C298" s="28" t="s">
        <v>311</v>
      </c>
      <c r="D298" s="28" t="s">
        <v>1160</v>
      </c>
      <c r="E298" s="28" t="s">
        <v>1179</v>
      </c>
      <c r="F298" s="19" t="str">
        <f t="shared" si="1"/>
        <v>Megaserve Rohit</v>
      </c>
      <c r="M298" s="185"/>
      <c r="N298" s="186"/>
      <c r="O298" s="186"/>
      <c r="P298" s="186"/>
      <c r="Q298" s="186"/>
      <c r="R298" s="76"/>
    </row>
    <row r="299">
      <c r="A299" s="22" t="s">
        <v>1763</v>
      </c>
      <c r="B299" s="28" t="s">
        <v>1764</v>
      </c>
      <c r="C299" s="28" t="s">
        <v>311</v>
      </c>
      <c r="D299" s="28" t="s">
        <v>1160</v>
      </c>
      <c r="E299" s="28" t="s">
        <v>1179</v>
      </c>
      <c r="F299" s="19" t="str">
        <f t="shared" si="1"/>
        <v>Megaserve Rohit</v>
      </c>
      <c r="M299" s="185"/>
      <c r="N299" s="203"/>
      <c r="O299" s="186"/>
      <c r="P299" s="186"/>
      <c r="Q299" s="186"/>
      <c r="R299" s="76"/>
    </row>
    <row r="300">
      <c r="A300" s="22" t="s">
        <v>634</v>
      </c>
      <c r="B300" s="28" t="s">
        <v>1766</v>
      </c>
      <c r="C300" s="28" t="s">
        <v>311</v>
      </c>
      <c r="D300" s="28" t="s">
        <v>1160</v>
      </c>
      <c r="E300" s="28" t="s">
        <v>1179</v>
      </c>
      <c r="F300" s="19" t="str">
        <f t="shared" si="1"/>
        <v>Megaserve Rohit</v>
      </c>
      <c r="M300" s="185"/>
      <c r="N300" s="203"/>
      <c r="O300" s="186"/>
      <c r="P300" s="186"/>
      <c r="Q300" s="186"/>
      <c r="R300" s="76"/>
    </row>
    <row r="301">
      <c r="A301" s="22" t="s">
        <v>710</v>
      </c>
      <c r="B301" s="28" t="s">
        <v>1768</v>
      </c>
      <c r="C301" s="28" t="s">
        <v>232</v>
      </c>
      <c r="D301" s="28" t="s">
        <v>1160</v>
      </c>
      <c r="E301" s="28" t="s">
        <v>1179</v>
      </c>
      <c r="F301" s="19" t="str">
        <f t="shared" si="1"/>
        <v>Megaserve Rohit</v>
      </c>
      <c r="M301" s="185"/>
      <c r="N301" s="186"/>
      <c r="O301" s="186"/>
      <c r="P301" s="186"/>
      <c r="Q301" s="186"/>
      <c r="R301" s="76"/>
    </row>
    <row r="302">
      <c r="A302" s="22" t="s">
        <v>577</v>
      </c>
      <c r="B302" s="28" t="s">
        <v>1769</v>
      </c>
      <c r="C302" s="28" t="s">
        <v>232</v>
      </c>
      <c r="D302" s="28" t="s">
        <v>1160</v>
      </c>
      <c r="E302" s="28" t="s">
        <v>1179</v>
      </c>
      <c r="F302" s="19" t="str">
        <f t="shared" si="1"/>
        <v>Megaserve Rohit</v>
      </c>
      <c r="M302" s="185"/>
      <c r="N302" s="203"/>
      <c r="O302" s="186"/>
      <c r="P302" s="186"/>
      <c r="Q302" s="186"/>
      <c r="R302" s="76"/>
    </row>
    <row r="303">
      <c r="A303" s="22" t="s">
        <v>219</v>
      </c>
      <c r="B303" s="28" t="s">
        <v>1771</v>
      </c>
      <c r="C303" s="28" t="s">
        <v>232</v>
      </c>
      <c r="D303" s="28" t="s">
        <v>1160</v>
      </c>
      <c r="E303" s="28" t="s">
        <v>1193</v>
      </c>
      <c r="F303" s="19" t="str">
        <f t="shared" si="1"/>
        <v>Personal RD</v>
      </c>
      <c r="M303" s="185"/>
      <c r="N303" s="203"/>
      <c r="O303" s="186"/>
      <c r="P303" s="186"/>
      <c r="Q303" s="186"/>
      <c r="R303" s="76"/>
    </row>
    <row r="304">
      <c r="A304" s="22" t="s">
        <v>1774</v>
      </c>
      <c r="B304" s="28" t="s">
        <v>1775</v>
      </c>
      <c r="C304" s="28" t="s">
        <v>311</v>
      </c>
      <c r="D304" s="28" t="s">
        <v>1160</v>
      </c>
      <c r="E304" s="28" t="s">
        <v>1179</v>
      </c>
      <c r="F304" s="19" t="str">
        <f t="shared" si="1"/>
        <v>Megaserve Rohit</v>
      </c>
      <c r="M304" s="185"/>
      <c r="N304" s="186"/>
      <c r="O304" s="186"/>
      <c r="P304" s="186"/>
      <c r="Q304" s="186"/>
      <c r="R304" s="76"/>
    </row>
    <row r="305">
      <c r="A305" s="22" t="s">
        <v>1780</v>
      </c>
      <c r="B305" s="28" t="s">
        <v>1781</v>
      </c>
      <c r="C305" s="28" t="s">
        <v>232</v>
      </c>
      <c r="D305" s="28" t="s">
        <v>1160</v>
      </c>
      <c r="E305" s="28" t="s">
        <v>1179</v>
      </c>
      <c r="F305" s="19" t="str">
        <f t="shared" si="1"/>
        <v>Megaserve Rohit</v>
      </c>
      <c r="M305" s="185"/>
      <c r="N305" s="186"/>
      <c r="O305" s="186"/>
      <c r="P305" s="186"/>
      <c r="Q305" s="186"/>
      <c r="R305" s="76"/>
    </row>
    <row r="306">
      <c r="A306" s="22" t="s">
        <v>486</v>
      </c>
      <c r="B306" s="28" t="s">
        <v>1782</v>
      </c>
      <c r="C306" s="28" t="s">
        <v>311</v>
      </c>
      <c r="D306" s="28" t="s">
        <v>1160</v>
      </c>
      <c r="E306" s="28" t="s">
        <v>1179</v>
      </c>
      <c r="F306" s="19" t="str">
        <f t="shared" si="1"/>
        <v>Megaserve Rohit</v>
      </c>
      <c r="M306" s="185"/>
      <c r="N306" s="203"/>
      <c r="O306" s="186"/>
      <c r="P306" s="186"/>
      <c r="Q306" s="186"/>
      <c r="R306" s="76"/>
    </row>
    <row r="307">
      <c r="A307" s="22" t="s">
        <v>664</v>
      </c>
      <c r="B307" s="28" t="s">
        <v>1783</v>
      </c>
      <c r="C307" s="28" t="s">
        <v>232</v>
      </c>
      <c r="D307" s="28" t="s">
        <v>1160</v>
      </c>
      <c r="E307" s="28" t="s">
        <v>1179</v>
      </c>
      <c r="F307" s="19" t="str">
        <f t="shared" si="1"/>
        <v>Megaserve Rohit</v>
      </c>
      <c r="M307" s="185"/>
      <c r="N307" s="186"/>
      <c r="O307" s="186"/>
      <c r="P307" s="186"/>
      <c r="Q307" s="186"/>
      <c r="R307" s="76"/>
    </row>
    <row r="308">
      <c r="A308" s="22" t="s">
        <v>451</v>
      </c>
      <c r="B308" s="28" t="s">
        <v>1784</v>
      </c>
      <c r="C308" s="28" t="s">
        <v>311</v>
      </c>
      <c r="D308" s="28" t="s">
        <v>1160</v>
      </c>
      <c r="E308" s="28" t="s">
        <v>1179</v>
      </c>
      <c r="F308" s="19" t="str">
        <f t="shared" si="1"/>
        <v>Megaserve Rohit</v>
      </c>
      <c r="M308" s="185"/>
      <c r="N308" s="203"/>
      <c r="O308" s="186"/>
      <c r="P308" s="186"/>
      <c r="Q308" s="186"/>
      <c r="R308" s="76"/>
    </row>
    <row r="309">
      <c r="A309" s="22" t="s">
        <v>1723</v>
      </c>
      <c r="B309" s="28" t="s">
        <v>1787</v>
      </c>
      <c r="C309" s="28" t="s">
        <v>311</v>
      </c>
      <c r="D309" s="28" t="s">
        <v>1160</v>
      </c>
      <c r="E309" s="28" t="s">
        <v>1179</v>
      </c>
      <c r="F309" s="19" t="str">
        <f t="shared" si="1"/>
        <v>Megaserve Rohit</v>
      </c>
      <c r="M309" s="185"/>
      <c r="N309" s="203"/>
      <c r="O309" s="186"/>
      <c r="P309" s="186"/>
      <c r="Q309" s="186"/>
      <c r="R309" s="76"/>
    </row>
    <row r="310">
      <c r="A310" s="22" t="s">
        <v>1790</v>
      </c>
      <c r="B310" s="28" t="s">
        <v>1791</v>
      </c>
      <c r="C310" s="28" t="s">
        <v>232</v>
      </c>
      <c r="D310" s="28" t="s">
        <v>1160</v>
      </c>
      <c r="E310" s="28" t="s">
        <v>1179</v>
      </c>
      <c r="F310" s="19" t="str">
        <f t="shared" si="1"/>
        <v>Megaserve Rohit</v>
      </c>
      <c r="M310" s="185"/>
      <c r="N310" s="186"/>
      <c r="O310" s="186"/>
      <c r="P310" s="186"/>
      <c r="Q310" s="186"/>
      <c r="R310" s="76"/>
    </row>
    <row r="311">
      <c r="A311" s="22" t="s">
        <v>528</v>
      </c>
      <c r="B311" s="28" t="s">
        <v>1793</v>
      </c>
      <c r="C311" s="28" t="s">
        <v>232</v>
      </c>
      <c r="D311" s="28" t="s">
        <v>1160</v>
      </c>
      <c r="E311" s="28" t="s">
        <v>1179</v>
      </c>
      <c r="F311" s="19" t="str">
        <f t="shared" si="1"/>
        <v>Megaserve Rohit</v>
      </c>
      <c r="M311" s="185"/>
      <c r="N311" s="186"/>
      <c r="O311" s="186"/>
      <c r="P311" s="186"/>
      <c r="Q311" s="186"/>
      <c r="R311" s="76"/>
    </row>
    <row r="312">
      <c r="A312" s="22" t="s">
        <v>1794</v>
      </c>
      <c r="B312" s="28" t="s">
        <v>1795</v>
      </c>
      <c r="C312" s="28" t="s">
        <v>232</v>
      </c>
      <c r="D312" s="28" t="s">
        <v>1160</v>
      </c>
      <c r="E312" s="28" t="s">
        <v>1179</v>
      </c>
      <c r="F312" s="19" t="str">
        <f t="shared" si="1"/>
        <v>Megaserve Rohit</v>
      </c>
      <c r="M312" s="185"/>
      <c r="N312" s="186"/>
      <c r="O312" s="186"/>
      <c r="P312" s="186"/>
      <c r="Q312" s="186"/>
      <c r="R312" s="76"/>
    </row>
    <row r="313">
      <c r="A313" s="22" t="s">
        <v>1799</v>
      </c>
      <c r="B313" s="28" t="s">
        <v>1800</v>
      </c>
      <c r="C313" s="28" t="s">
        <v>1367</v>
      </c>
      <c r="D313" s="28" t="s">
        <v>1160</v>
      </c>
      <c r="E313" s="28" t="s">
        <v>1179</v>
      </c>
      <c r="F313" s="19" t="str">
        <f t="shared" si="1"/>
        <v>Megaserve Rohit</v>
      </c>
      <c r="M313" s="185"/>
      <c r="N313" s="186"/>
      <c r="O313" s="186"/>
      <c r="P313" s="186"/>
      <c r="Q313" s="186"/>
      <c r="R313" s="76"/>
    </row>
    <row r="314">
      <c r="A314" s="22" t="s">
        <v>698</v>
      </c>
      <c r="B314" s="28" t="s">
        <v>1801</v>
      </c>
      <c r="C314" s="28" t="s">
        <v>311</v>
      </c>
      <c r="D314" s="28" t="s">
        <v>1160</v>
      </c>
      <c r="E314" s="28" t="s">
        <v>1179</v>
      </c>
      <c r="F314" s="19" t="str">
        <f t="shared" si="1"/>
        <v>Megaserve Rohit</v>
      </c>
      <c r="M314" s="185"/>
      <c r="N314" s="203"/>
      <c r="O314" s="186"/>
      <c r="P314" s="186"/>
      <c r="Q314" s="186"/>
      <c r="R314" s="76"/>
    </row>
    <row r="315">
      <c r="A315" s="22" t="s">
        <v>1803</v>
      </c>
      <c r="B315" s="28" t="s">
        <v>1804</v>
      </c>
      <c r="C315" s="28" t="s">
        <v>232</v>
      </c>
      <c r="D315" s="28" t="s">
        <v>1160</v>
      </c>
      <c r="E315" s="28" t="s">
        <v>1179</v>
      </c>
      <c r="F315" s="19" t="str">
        <f t="shared" si="1"/>
        <v>Megaserve Rohit</v>
      </c>
      <c r="M315" s="185"/>
      <c r="N315" s="186"/>
      <c r="O315" s="186"/>
      <c r="P315" s="186"/>
      <c r="Q315" s="186"/>
      <c r="R315" s="76"/>
    </row>
    <row r="316">
      <c r="A316" s="22" t="s">
        <v>1806</v>
      </c>
      <c r="B316" s="28" t="s">
        <v>1807</v>
      </c>
      <c r="C316" s="28" t="s">
        <v>1367</v>
      </c>
      <c r="D316" s="28" t="s">
        <v>1160</v>
      </c>
      <c r="E316" s="28" t="s">
        <v>1179</v>
      </c>
      <c r="F316" s="19" t="str">
        <f t="shared" si="1"/>
        <v>Megaserve Rohit</v>
      </c>
      <c r="M316" s="185"/>
      <c r="N316" s="186"/>
      <c r="O316" s="186"/>
      <c r="P316" s="186"/>
      <c r="Q316" s="186"/>
      <c r="R316" s="76"/>
    </row>
    <row r="317">
      <c r="A317" s="22" t="s">
        <v>680</v>
      </c>
      <c r="B317" s="28" t="s">
        <v>1810</v>
      </c>
      <c r="C317" s="28" t="s">
        <v>311</v>
      </c>
      <c r="D317" s="28" t="s">
        <v>1160</v>
      </c>
      <c r="E317" s="28" t="s">
        <v>1179</v>
      </c>
      <c r="F317" s="19" t="str">
        <f t="shared" si="1"/>
        <v>Megaserve Rohit</v>
      </c>
      <c r="M317" s="185"/>
      <c r="N317" s="186"/>
      <c r="O317" s="186"/>
      <c r="P317" s="186"/>
      <c r="Q317" s="186"/>
      <c r="R317" s="76"/>
    </row>
    <row r="318">
      <c r="A318" s="22" t="s">
        <v>233</v>
      </c>
      <c r="B318" s="28" t="s">
        <v>1812</v>
      </c>
      <c r="C318" s="28" t="s">
        <v>311</v>
      </c>
      <c r="D318" s="28" t="s">
        <v>1160</v>
      </c>
      <c r="E318" s="28" t="s">
        <v>1179</v>
      </c>
      <c r="F318" s="19" t="str">
        <f t="shared" si="1"/>
        <v>Megaserve Rohit</v>
      </c>
      <c r="M318" s="185"/>
      <c r="N318" s="186"/>
      <c r="O318" s="186"/>
      <c r="P318" s="186"/>
      <c r="Q318" s="186"/>
      <c r="R318" s="76"/>
    </row>
    <row r="319">
      <c r="A319" s="22" t="s">
        <v>479</v>
      </c>
      <c r="B319" s="28" t="s">
        <v>1815</v>
      </c>
      <c r="C319" s="28" t="s">
        <v>311</v>
      </c>
      <c r="D319" s="28" t="s">
        <v>1160</v>
      </c>
      <c r="E319" s="28" t="s">
        <v>1179</v>
      </c>
      <c r="F319" s="19" t="str">
        <f t="shared" si="1"/>
        <v>Megaserve Rohit</v>
      </c>
      <c r="M319" s="185"/>
      <c r="N319" s="186"/>
      <c r="O319" s="186"/>
      <c r="P319" s="186"/>
      <c r="Q319" s="186"/>
      <c r="R319" s="76"/>
    </row>
    <row r="320">
      <c r="A320" s="22" t="s">
        <v>1818</v>
      </c>
      <c r="B320" s="28" t="s">
        <v>1819</v>
      </c>
      <c r="C320" s="28" t="s">
        <v>311</v>
      </c>
      <c r="D320" s="28" t="s">
        <v>1160</v>
      </c>
      <c r="E320" s="28" t="s">
        <v>1179</v>
      </c>
      <c r="F320" s="19" t="str">
        <f t="shared" si="1"/>
        <v>Megaserve Rohit</v>
      </c>
      <c r="M320" s="185"/>
      <c r="N320" s="186"/>
      <c r="O320" s="186"/>
      <c r="P320" s="186"/>
      <c r="Q320" s="186"/>
      <c r="R320" s="76"/>
    </row>
    <row r="321">
      <c r="A321" s="22" t="s">
        <v>555</v>
      </c>
      <c r="B321" s="28" t="s">
        <v>1820</v>
      </c>
      <c r="C321" s="28" t="s">
        <v>232</v>
      </c>
      <c r="D321" s="28" t="s">
        <v>1160</v>
      </c>
      <c r="E321" s="28" t="s">
        <v>1179</v>
      </c>
      <c r="F321" s="19" t="str">
        <f t="shared" si="1"/>
        <v>Megaserve Rohit</v>
      </c>
      <c r="M321" s="185"/>
      <c r="N321" s="186"/>
      <c r="O321" s="186"/>
      <c r="P321" s="186"/>
      <c r="Q321" s="186"/>
      <c r="R321" s="76"/>
    </row>
    <row r="322">
      <c r="A322" s="22" t="s">
        <v>1712</v>
      </c>
      <c r="B322" s="28" t="s">
        <v>1713</v>
      </c>
      <c r="C322" s="28" t="s">
        <v>311</v>
      </c>
      <c r="D322" s="28" t="s">
        <v>1160</v>
      </c>
      <c r="E322" s="28" t="s">
        <v>1179</v>
      </c>
      <c r="F322" s="19" t="str">
        <f t="shared" si="1"/>
        <v>Megaserve Rohit</v>
      </c>
      <c r="M322" s="185"/>
      <c r="N322" s="186"/>
      <c r="O322" s="186"/>
      <c r="P322" s="186"/>
      <c r="Q322" s="186"/>
      <c r="R322" s="76"/>
    </row>
    <row r="323">
      <c r="A323" s="22" t="s">
        <v>1822</v>
      </c>
      <c r="B323" s="28" t="s">
        <v>1823</v>
      </c>
      <c r="C323" s="28" t="s">
        <v>232</v>
      </c>
      <c r="D323" s="28" t="s">
        <v>1160</v>
      </c>
      <c r="E323" s="28" t="s">
        <v>1179</v>
      </c>
      <c r="F323" s="19" t="str">
        <f t="shared" si="1"/>
        <v>Megaserve Rohit</v>
      </c>
      <c r="M323" s="185"/>
      <c r="N323" s="186"/>
      <c r="O323" s="186"/>
      <c r="P323" s="186"/>
      <c r="Q323" s="186"/>
      <c r="R323" s="76"/>
    </row>
    <row r="324">
      <c r="A324" s="22" t="s">
        <v>434</v>
      </c>
      <c r="B324" s="28" t="s">
        <v>1825</v>
      </c>
      <c r="C324" s="28" t="s">
        <v>311</v>
      </c>
      <c r="D324" s="28" t="s">
        <v>1160</v>
      </c>
      <c r="E324" s="28" t="s">
        <v>1179</v>
      </c>
      <c r="F324" s="19" t="str">
        <f t="shared" si="1"/>
        <v>Megaserve Rohit</v>
      </c>
      <c r="M324" s="185"/>
      <c r="N324" s="186"/>
      <c r="O324" s="186"/>
      <c r="P324" s="186"/>
      <c r="Q324" s="186"/>
      <c r="R324" s="76"/>
    </row>
    <row r="325">
      <c r="A325" s="22" t="s">
        <v>1827</v>
      </c>
      <c r="B325" s="28" t="s">
        <v>1828</v>
      </c>
      <c r="C325" s="28" t="s">
        <v>1829</v>
      </c>
      <c r="D325" s="28" t="s">
        <v>1160</v>
      </c>
      <c r="E325" s="28" t="s">
        <v>1179</v>
      </c>
      <c r="F325" s="19" t="str">
        <f t="shared" si="1"/>
        <v>Megaserve Rohit</v>
      </c>
      <c r="M325" s="185"/>
      <c r="N325" s="186"/>
      <c r="O325" s="186"/>
      <c r="P325" s="186"/>
      <c r="Q325" s="186"/>
      <c r="R325" s="76"/>
    </row>
    <row r="326">
      <c r="A326" s="22" t="s">
        <v>1832</v>
      </c>
      <c r="B326" s="28" t="s">
        <v>1833</v>
      </c>
      <c r="C326" s="28" t="s">
        <v>311</v>
      </c>
      <c r="D326" s="28" t="s">
        <v>1160</v>
      </c>
      <c r="E326" s="28" t="s">
        <v>1179</v>
      </c>
      <c r="F326" s="19" t="str">
        <f t="shared" si="1"/>
        <v>Megaserve Rohit</v>
      </c>
      <c r="M326" s="185"/>
      <c r="N326" s="186"/>
      <c r="O326" s="186"/>
      <c r="P326" s="186"/>
      <c r="Q326" s="186"/>
      <c r="R326" s="76"/>
    </row>
    <row r="327">
      <c r="A327" s="22" t="s">
        <v>606</v>
      </c>
      <c r="B327" s="28" t="s">
        <v>1836</v>
      </c>
      <c r="C327" s="28" t="s">
        <v>311</v>
      </c>
      <c r="D327" s="28" t="s">
        <v>1160</v>
      </c>
      <c r="E327" s="28" t="s">
        <v>1193</v>
      </c>
      <c r="F327" s="19" t="str">
        <f t="shared" si="1"/>
        <v>Personal RD</v>
      </c>
      <c r="M327" s="185"/>
      <c r="N327" s="186"/>
      <c r="O327" s="186"/>
      <c r="P327" s="186"/>
      <c r="Q327" s="186"/>
      <c r="R327" s="76"/>
    </row>
    <row r="328">
      <c r="A328" s="22" t="s">
        <v>645</v>
      </c>
      <c r="B328" s="28" t="s">
        <v>1838</v>
      </c>
      <c r="C328" s="28" t="s">
        <v>311</v>
      </c>
      <c r="D328" s="28" t="s">
        <v>1160</v>
      </c>
      <c r="E328" s="28" t="s">
        <v>1179</v>
      </c>
      <c r="F328" s="19" t="str">
        <f t="shared" si="1"/>
        <v>Megaserve Rohit</v>
      </c>
      <c r="M328" s="185"/>
      <c r="N328" s="186"/>
      <c r="O328" s="186"/>
      <c r="P328" s="186"/>
      <c r="Q328" s="186"/>
      <c r="R328" s="76"/>
    </row>
    <row r="329">
      <c r="A329" s="22" t="s">
        <v>1705</v>
      </c>
      <c r="B329" s="28" t="s">
        <v>1840</v>
      </c>
      <c r="C329" s="28" t="s">
        <v>311</v>
      </c>
      <c r="D329" s="28" t="s">
        <v>1160</v>
      </c>
      <c r="E329" s="28" t="s">
        <v>1179</v>
      </c>
      <c r="F329" s="19" t="str">
        <f t="shared" si="1"/>
        <v>Megaserve Rohit</v>
      </c>
      <c r="M329" s="185"/>
      <c r="N329" s="186"/>
      <c r="O329" s="186"/>
      <c r="P329" s="186"/>
      <c r="Q329" s="186"/>
      <c r="R329" s="76"/>
    </row>
    <row r="330">
      <c r="A330" s="22" t="s">
        <v>1843</v>
      </c>
      <c r="B330" s="28" t="s">
        <v>1844</v>
      </c>
      <c r="C330" s="28" t="s">
        <v>311</v>
      </c>
      <c r="D330" s="28" t="s">
        <v>1160</v>
      </c>
      <c r="E330" s="28" t="s">
        <v>1179</v>
      </c>
      <c r="F330" s="19" t="str">
        <f t="shared" si="1"/>
        <v>Megaserve Rohit</v>
      </c>
      <c r="M330" s="185"/>
      <c r="N330" s="186"/>
      <c r="O330" s="186"/>
      <c r="P330" s="186"/>
      <c r="Q330" s="186"/>
      <c r="R330" s="76"/>
    </row>
    <row r="331">
      <c r="A331" s="22" t="s">
        <v>1846</v>
      </c>
      <c r="B331" s="28" t="s">
        <v>1847</v>
      </c>
      <c r="C331" s="28" t="s">
        <v>311</v>
      </c>
      <c r="D331" s="28" t="s">
        <v>1160</v>
      </c>
      <c r="E331" s="28" t="s">
        <v>1179</v>
      </c>
      <c r="F331" s="19" t="str">
        <f t="shared" si="1"/>
        <v>Megaserve Rohit</v>
      </c>
      <c r="M331" s="185"/>
      <c r="N331" s="186"/>
      <c r="O331" s="186"/>
      <c r="P331" s="186"/>
      <c r="Q331" s="186"/>
      <c r="R331" s="76"/>
    </row>
    <row r="332">
      <c r="A332" s="22" t="s">
        <v>693</v>
      </c>
      <c r="B332" s="28" t="s">
        <v>1850</v>
      </c>
      <c r="C332" s="28" t="s">
        <v>311</v>
      </c>
      <c r="D332" s="28" t="s">
        <v>1160</v>
      </c>
      <c r="E332" s="28" t="s">
        <v>1179</v>
      </c>
      <c r="F332" s="19" t="str">
        <f t="shared" si="1"/>
        <v>Megaserve Rohit</v>
      </c>
      <c r="M332" s="185"/>
      <c r="N332" s="186"/>
      <c r="O332" s="186"/>
      <c r="P332" s="186"/>
      <c r="Q332" s="186"/>
      <c r="R332" s="76"/>
    </row>
    <row r="333">
      <c r="A333" s="22" t="s">
        <v>623</v>
      </c>
      <c r="B333" s="28" t="s">
        <v>1854</v>
      </c>
      <c r="C333" s="28" t="s">
        <v>311</v>
      </c>
      <c r="D333" s="28" t="s">
        <v>1160</v>
      </c>
      <c r="E333" s="28" t="s">
        <v>1179</v>
      </c>
      <c r="F333" s="19" t="str">
        <f t="shared" si="1"/>
        <v>Megaserve Rohit</v>
      </c>
      <c r="M333" s="185"/>
      <c r="N333" s="186"/>
      <c r="O333" s="186"/>
      <c r="P333" s="186"/>
      <c r="Q333" s="186"/>
      <c r="R333" s="76"/>
    </row>
    <row r="334">
      <c r="A334" s="22" t="s">
        <v>690</v>
      </c>
      <c r="B334" s="28" t="s">
        <v>1858</v>
      </c>
      <c r="C334" s="28" t="s">
        <v>311</v>
      </c>
      <c r="D334" s="28" t="s">
        <v>1160</v>
      </c>
      <c r="E334" s="28" t="s">
        <v>1179</v>
      </c>
      <c r="F334" s="19" t="str">
        <f t="shared" si="1"/>
        <v>Megaserve Rohit</v>
      </c>
      <c r="M334" s="185"/>
      <c r="N334" s="186"/>
      <c r="O334" s="186"/>
      <c r="P334" s="186"/>
      <c r="Q334" s="186"/>
      <c r="R334" s="76"/>
    </row>
    <row r="335">
      <c r="A335" s="22" t="s">
        <v>368</v>
      </c>
      <c r="B335" s="28" t="s">
        <v>1860</v>
      </c>
      <c r="C335" s="28" t="s">
        <v>311</v>
      </c>
      <c r="D335" s="28" t="s">
        <v>1160</v>
      </c>
      <c r="E335" s="28" t="s">
        <v>1179</v>
      </c>
      <c r="F335" s="19" t="str">
        <f t="shared" si="1"/>
        <v>Megaserve Rohit</v>
      </c>
      <c r="M335" s="185"/>
      <c r="N335" s="186"/>
      <c r="O335" s="186"/>
      <c r="P335" s="186"/>
      <c r="Q335" s="186"/>
      <c r="R335" s="76"/>
    </row>
    <row r="336">
      <c r="A336" s="22" t="s">
        <v>518</v>
      </c>
      <c r="B336" s="28" t="s">
        <v>1861</v>
      </c>
      <c r="C336" s="28" t="s">
        <v>311</v>
      </c>
      <c r="D336" s="28" t="s">
        <v>1160</v>
      </c>
      <c r="E336" s="28" t="s">
        <v>1179</v>
      </c>
      <c r="F336" s="19" t="str">
        <f t="shared" si="1"/>
        <v>Megaserve Rohit</v>
      </c>
      <c r="M336" s="185"/>
      <c r="N336" s="186"/>
      <c r="O336" s="186"/>
      <c r="P336" s="186"/>
      <c r="Q336" s="186"/>
      <c r="R336" s="76"/>
    </row>
    <row r="337">
      <c r="A337" s="22" t="s">
        <v>1863</v>
      </c>
      <c r="B337" s="28" t="s">
        <v>1864</v>
      </c>
      <c r="C337" s="28" t="s">
        <v>311</v>
      </c>
      <c r="D337" s="28" t="s">
        <v>1160</v>
      </c>
      <c r="E337" s="28" t="s">
        <v>1179</v>
      </c>
      <c r="F337" s="19" t="str">
        <f t="shared" si="1"/>
        <v>Megaserve Rohit</v>
      </c>
      <c r="M337" s="185"/>
      <c r="N337" s="186"/>
      <c r="O337" s="186"/>
      <c r="P337" s="186"/>
      <c r="Q337" s="186"/>
      <c r="R337" s="76"/>
    </row>
    <row r="338">
      <c r="A338" s="22" t="s">
        <v>697</v>
      </c>
      <c r="B338" s="28" t="s">
        <v>1866</v>
      </c>
      <c r="C338" s="28" t="s">
        <v>311</v>
      </c>
      <c r="D338" s="28" t="s">
        <v>1160</v>
      </c>
      <c r="E338" s="28" t="s">
        <v>1179</v>
      </c>
      <c r="F338" s="19" t="str">
        <f t="shared" si="1"/>
        <v>Megaserve Rohit</v>
      </c>
      <c r="M338" s="185"/>
      <c r="N338" s="186"/>
      <c r="O338" s="186"/>
      <c r="P338" s="186"/>
      <c r="Q338" s="186"/>
      <c r="R338" s="76"/>
    </row>
    <row r="339">
      <c r="A339" s="22" t="s">
        <v>96</v>
      </c>
      <c r="B339" s="28" t="s">
        <v>1869</v>
      </c>
      <c r="C339" s="28" t="s">
        <v>232</v>
      </c>
      <c r="D339" s="28" t="s">
        <v>1160</v>
      </c>
      <c r="E339" s="28" t="s">
        <v>1179</v>
      </c>
      <c r="F339" s="19" t="str">
        <f t="shared" si="1"/>
        <v>Megaserve Rohit</v>
      </c>
      <c r="M339" s="185"/>
      <c r="N339" s="186"/>
      <c r="O339" s="186"/>
      <c r="P339" s="186"/>
      <c r="Q339" s="186"/>
      <c r="R339" s="76"/>
    </row>
    <row r="340">
      <c r="A340" s="22" t="s">
        <v>470</v>
      </c>
      <c r="B340" s="28" t="s">
        <v>1871</v>
      </c>
      <c r="C340" s="28" t="s">
        <v>311</v>
      </c>
      <c r="D340" s="28" t="s">
        <v>1160</v>
      </c>
      <c r="E340" s="28" t="s">
        <v>1179</v>
      </c>
      <c r="F340" s="19" t="str">
        <f t="shared" si="1"/>
        <v>Megaserve Rohit</v>
      </c>
      <c r="M340" s="185"/>
      <c r="N340" s="186"/>
      <c r="O340" s="186"/>
      <c r="P340" s="186"/>
      <c r="Q340" s="186"/>
      <c r="R340" s="76"/>
    </row>
    <row r="341">
      <c r="A341" s="22" t="s">
        <v>545</v>
      </c>
      <c r="B341" s="28" t="s">
        <v>1873</v>
      </c>
      <c r="C341" s="28" t="s">
        <v>232</v>
      </c>
      <c r="D341" s="28" t="s">
        <v>1160</v>
      </c>
      <c r="E341" s="28" t="s">
        <v>1179</v>
      </c>
      <c r="F341" s="19" t="str">
        <f t="shared" si="1"/>
        <v>Megaserve Rohit</v>
      </c>
      <c r="M341" s="185"/>
      <c r="N341" s="186"/>
      <c r="O341" s="186"/>
      <c r="P341" s="186"/>
      <c r="Q341" s="186"/>
      <c r="R341" s="76"/>
    </row>
    <row r="342">
      <c r="A342" s="22" t="s">
        <v>379</v>
      </c>
      <c r="B342" s="28" t="s">
        <v>1876</v>
      </c>
      <c r="C342" s="28" t="s">
        <v>311</v>
      </c>
      <c r="D342" s="28" t="s">
        <v>1160</v>
      </c>
      <c r="E342" s="28" t="s">
        <v>1179</v>
      </c>
      <c r="F342" s="19" t="str">
        <f t="shared" si="1"/>
        <v>Megaserve Rohit</v>
      </c>
      <c r="M342" s="185"/>
      <c r="N342" s="186"/>
      <c r="O342" s="186"/>
      <c r="P342" s="186"/>
      <c r="Q342" s="186"/>
      <c r="R342" s="76"/>
    </row>
    <row r="343">
      <c r="A343" s="22" t="s">
        <v>1877</v>
      </c>
      <c r="B343" s="28" t="s">
        <v>1878</v>
      </c>
      <c r="C343" s="28" t="s">
        <v>311</v>
      </c>
      <c r="D343" s="28" t="s">
        <v>1160</v>
      </c>
      <c r="E343" s="28" t="s">
        <v>1179</v>
      </c>
      <c r="F343" s="19" t="str">
        <f t="shared" si="1"/>
        <v>Megaserve Rohit</v>
      </c>
      <c r="M343" s="185"/>
      <c r="N343" s="186"/>
      <c r="O343" s="186"/>
      <c r="P343" s="186"/>
      <c r="Q343" s="186"/>
      <c r="R343" s="76"/>
    </row>
    <row r="344">
      <c r="A344" s="22" t="s">
        <v>1879</v>
      </c>
      <c r="B344" s="28" t="s">
        <v>1880</v>
      </c>
      <c r="C344" s="28" t="s">
        <v>232</v>
      </c>
      <c r="D344" s="28" t="s">
        <v>1160</v>
      </c>
      <c r="E344" s="28" t="s">
        <v>1179</v>
      </c>
      <c r="F344" s="19" t="str">
        <f t="shared" si="1"/>
        <v>Megaserve Rohit</v>
      </c>
      <c r="M344" s="185"/>
      <c r="N344" s="186"/>
      <c r="O344" s="186"/>
      <c r="P344" s="186"/>
      <c r="Q344" s="186"/>
      <c r="R344" s="76"/>
    </row>
    <row r="345">
      <c r="A345" s="22" t="s">
        <v>351</v>
      </c>
      <c r="B345" s="28" t="s">
        <v>1882</v>
      </c>
      <c r="C345" s="28" t="s">
        <v>311</v>
      </c>
      <c r="D345" s="28" t="s">
        <v>1160</v>
      </c>
      <c r="E345" s="28" t="s">
        <v>1179</v>
      </c>
      <c r="F345" s="19" t="str">
        <f t="shared" si="1"/>
        <v>Megaserve Rohit</v>
      </c>
      <c r="M345" s="185"/>
      <c r="N345" s="186"/>
      <c r="O345" s="186"/>
      <c r="P345" s="186"/>
      <c r="Q345" s="186"/>
      <c r="R345" s="76"/>
    </row>
    <row r="346">
      <c r="A346" s="22" t="s">
        <v>1884</v>
      </c>
      <c r="B346" s="28" t="s">
        <v>1885</v>
      </c>
      <c r="C346" s="28" t="s">
        <v>311</v>
      </c>
      <c r="D346" s="28" t="s">
        <v>1160</v>
      </c>
      <c r="E346" s="28" t="s">
        <v>1179</v>
      </c>
      <c r="F346" s="19" t="str">
        <f t="shared" si="1"/>
        <v>Megaserve Rohit</v>
      </c>
      <c r="M346" s="185"/>
      <c r="N346" s="186"/>
      <c r="O346" s="186"/>
      <c r="P346" s="186"/>
      <c r="Q346" s="186"/>
      <c r="R346" s="76"/>
    </row>
    <row r="347">
      <c r="A347" s="22" t="s">
        <v>1888</v>
      </c>
      <c r="B347" s="28" t="s">
        <v>1889</v>
      </c>
      <c r="C347" s="28" t="s">
        <v>311</v>
      </c>
      <c r="D347" s="28" t="s">
        <v>1160</v>
      </c>
      <c r="E347" s="28" t="s">
        <v>1179</v>
      </c>
      <c r="F347" s="19" t="str">
        <f t="shared" si="1"/>
        <v>Megaserve Rohit</v>
      </c>
      <c r="M347" s="185"/>
      <c r="N347" s="186"/>
      <c r="O347" s="186"/>
      <c r="P347" s="186"/>
      <c r="Q347" s="186"/>
      <c r="R347" s="76"/>
    </row>
    <row r="348">
      <c r="A348" s="22" t="s">
        <v>1893</v>
      </c>
      <c r="B348" s="28" t="s">
        <v>1894</v>
      </c>
      <c r="C348" s="28" t="s">
        <v>311</v>
      </c>
      <c r="D348" s="28" t="s">
        <v>1160</v>
      </c>
      <c r="E348" s="28" t="s">
        <v>1179</v>
      </c>
      <c r="F348" s="19" t="str">
        <f t="shared" si="1"/>
        <v>Megaserve Rohit</v>
      </c>
      <c r="M348" s="185"/>
      <c r="N348" s="186"/>
      <c r="O348" s="186"/>
      <c r="P348" s="186"/>
      <c r="Q348" s="186"/>
      <c r="R348" s="76"/>
    </row>
    <row r="349">
      <c r="A349" s="22" t="s">
        <v>558</v>
      </c>
      <c r="B349" s="28" t="s">
        <v>1896</v>
      </c>
      <c r="C349" s="28" t="s">
        <v>311</v>
      </c>
      <c r="D349" s="28" t="s">
        <v>1160</v>
      </c>
      <c r="E349" s="28" t="s">
        <v>1179</v>
      </c>
      <c r="F349" s="19" t="str">
        <f t="shared" si="1"/>
        <v>Megaserve Rohit</v>
      </c>
      <c r="M349" s="185"/>
      <c r="N349" s="186"/>
      <c r="O349" s="186"/>
      <c r="P349" s="186"/>
      <c r="Q349" s="186"/>
      <c r="R349" s="76"/>
    </row>
    <row r="350">
      <c r="A350" s="22" t="s">
        <v>1685</v>
      </c>
      <c r="B350" s="28" t="s">
        <v>1898</v>
      </c>
      <c r="C350" s="28" t="s">
        <v>311</v>
      </c>
      <c r="D350" s="28" t="s">
        <v>1160</v>
      </c>
      <c r="E350" s="28" t="s">
        <v>1179</v>
      </c>
      <c r="F350" s="19" t="str">
        <f t="shared" si="1"/>
        <v>Megaserve Rohit</v>
      </c>
      <c r="M350" s="185"/>
      <c r="N350" s="186"/>
      <c r="O350" s="186"/>
      <c r="P350" s="186"/>
      <c r="Q350" s="186"/>
      <c r="R350" s="76"/>
    </row>
    <row r="351">
      <c r="A351" s="22" t="s">
        <v>439</v>
      </c>
      <c r="B351" s="28" t="s">
        <v>1901</v>
      </c>
      <c r="C351" s="28" t="s">
        <v>311</v>
      </c>
      <c r="D351" s="28" t="s">
        <v>1160</v>
      </c>
      <c r="E351" s="28" t="s">
        <v>1179</v>
      </c>
      <c r="F351" s="19" t="str">
        <f t="shared" si="1"/>
        <v>Megaserve Rohit</v>
      </c>
      <c r="M351" s="185"/>
      <c r="N351" s="186"/>
      <c r="O351" s="186"/>
      <c r="P351" s="186"/>
      <c r="Q351" s="186"/>
      <c r="R351" s="76"/>
    </row>
    <row r="352">
      <c r="A352" s="22" t="s">
        <v>126</v>
      </c>
      <c r="B352" s="28" t="s">
        <v>1903</v>
      </c>
      <c r="C352" s="28" t="s">
        <v>311</v>
      </c>
      <c r="D352" s="28" t="s">
        <v>1160</v>
      </c>
      <c r="E352" s="28" t="s">
        <v>1179</v>
      </c>
      <c r="F352" s="19" t="str">
        <f t="shared" si="1"/>
        <v>Megaserve Rohit</v>
      </c>
      <c r="K352" s="42"/>
      <c r="L352" s="42"/>
      <c r="M352" s="185"/>
      <c r="N352" s="203"/>
      <c r="O352" s="186"/>
      <c r="P352" s="186"/>
      <c r="Q352" s="186"/>
      <c r="R352" s="76"/>
    </row>
    <row r="353">
      <c r="A353" s="22" t="s">
        <v>679</v>
      </c>
      <c r="B353" s="28" t="s">
        <v>1905</v>
      </c>
      <c r="C353" s="28" t="s">
        <v>311</v>
      </c>
      <c r="D353" s="28" t="s">
        <v>1160</v>
      </c>
      <c r="E353" s="28" t="s">
        <v>1179</v>
      </c>
      <c r="F353" s="19" t="str">
        <f t="shared" si="1"/>
        <v>Megaserve Rohit</v>
      </c>
      <c r="K353" s="42"/>
      <c r="L353" s="42"/>
      <c r="M353" s="185"/>
      <c r="N353" s="186"/>
      <c r="O353" s="186"/>
      <c r="P353" s="186"/>
      <c r="Q353" s="186"/>
      <c r="R353" s="76"/>
    </row>
    <row r="354">
      <c r="A354" s="22" t="s">
        <v>353</v>
      </c>
      <c r="B354" s="28" t="s">
        <v>1909</v>
      </c>
      <c r="C354" s="28" t="s">
        <v>311</v>
      </c>
      <c r="D354" s="28" t="s">
        <v>1160</v>
      </c>
      <c r="E354" s="28" t="s">
        <v>1179</v>
      </c>
      <c r="F354" s="19" t="str">
        <f t="shared" si="1"/>
        <v>Megaserve Rohit</v>
      </c>
      <c r="M354" s="185"/>
      <c r="N354" s="186"/>
      <c r="O354" s="186"/>
      <c r="P354" s="186"/>
      <c r="Q354" s="186"/>
      <c r="R354" s="76"/>
    </row>
    <row r="355">
      <c r="A355" s="22" t="s">
        <v>1911</v>
      </c>
      <c r="B355" s="28" t="s">
        <v>1912</v>
      </c>
      <c r="C355" s="28" t="s">
        <v>232</v>
      </c>
      <c r="D355" s="28" t="s">
        <v>1160</v>
      </c>
      <c r="E355" s="28" t="s">
        <v>1179</v>
      </c>
      <c r="F355" s="19" t="str">
        <f t="shared" si="1"/>
        <v>Megaserve Rohit</v>
      </c>
      <c r="M355" s="185"/>
      <c r="N355" s="186"/>
      <c r="O355" s="186"/>
      <c r="P355" s="186"/>
      <c r="Q355" s="186"/>
      <c r="R355" s="76"/>
    </row>
    <row r="356">
      <c r="A356" s="22" t="s">
        <v>1914</v>
      </c>
      <c r="B356" s="28" t="s">
        <v>1915</v>
      </c>
      <c r="C356" s="28" t="s">
        <v>1363</v>
      </c>
      <c r="D356" s="28" t="s">
        <v>1160</v>
      </c>
      <c r="E356" s="28" t="s">
        <v>1179</v>
      </c>
      <c r="F356" s="19" t="str">
        <f t="shared" si="1"/>
        <v>Megaserve Rohit</v>
      </c>
      <c r="M356" s="185"/>
      <c r="N356" s="186"/>
      <c r="O356" s="186"/>
      <c r="P356" s="186"/>
      <c r="Q356" s="186"/>
      <c r="R356" s="76"/>
    </row>
    <row r="357">
      <c r="A357" s="22" t="s">
        <v>522</v>
      </c>
      <c r="B357" s="28" t="s">
        <v>1916</v>
      </c>
      <c r="C357" s="28" t="s">
        <v>311</v>
      </c>
      <c r="D357" s="28" t="s">
        <v>1160</v>
      </c>
      <c r="E357" s="28" t="s">
        <v>1179</v>
      </c>
      <c r="F357" s="19" t="str">
        <f t="shared" si="1"/>
        <v>Megaserve Rohit</v>
      </c>
      <c r="M357" s="185"/>
      <c r="N357" s="186"/>
      <c r="O357" s="186"/>
      <c r="P357" s="186"/>
      <c r="Q357" s="186"/>
      <c r="R357" s="76"/>
    </row>
    <row r="358">
      <c r="A358" s="22" t="s">
        <v>776</v>
      </c>
      <c r="B358" s="28" t="s">
        <v>1919</v>
      </c>
      <c r="C358" s="28" t="s">
        <v>232</v>
      </c>
      <c r="D358" s="28" t="s">
        <v>1160</v>
      </c>
      <c r="E358" s="28" t="s">
        <v>1179</v>
      </c>
      <c r="F358" s="19" t="str">
        <f t="shared" si="1"/>
        <v>Megaserve Rohit</v>
      </c>
      <c r="M358" s="185"/>
      <c r="N358" s="186"/>
      <c r="O358" s="186"/>
      <c r="P358" s="186"/>
      <c r="Q358" s="186"/>
      <c r="R358" s="76"/>
    </row>
    <row r="359">
      <c r="A359" s="22" t="s">
        <v>409</v>
      </c>
      <c r="B359" s="28" t="s">
        <v>1921</v>
      </c>
      <c r="C359" s="28" t="s">
        <v>311</v>
      </c>
      <c r="D359" s="28" t="s">
        <v>1160</v>
      </c>
      <c r="E359" s="28" t="s">
        <v>1179</v>
      </c>
      <c r="F359" s="19" t="str">
        <f t="shared" si="1"/>
        <v>Megaserve Rohit</v>
      </c>
      <c r="M359" s="185"/>
      <c r="N359" s="186"/>
      <c r="O359" s="186"/>
      <c r="P359" s="186"/>
      <c r="Q359" s="186"/>
      <c r="R359" s="76"/>
    </row>
    <row r="360">
      <c r="A360" s="22" t="s">
        <v>691</v>
      </c>
      <c r="B360" s="28" t="s">
        <v>1923</v>
      </c>
      <c r="C360" s="28" t="s">
        <v>311</v>
      </c>
      <c r="D360" s="28" t="s">
        <v>1160</v>
      </c>
      <c r="E360" s="28" t="s">
        <v>1179</v>
      </c>
      <c r="F360" s="19" t="str">
        <f t="shared" si="1"/>
        <v>Megaserve Rohit</v>
      </c>
      <c r="M360" s="185"/>
      <c r="N360" s="186"/>
      <c r="O360" s="186"/>
      <c r="P360" s="186"/>
      <c r="Q360" s="186"/>
      <c r="R360" s="76"/>
    </row>
    <row r="361">
      <c r="A361" s="22" t="s">
        <v>703</v>
      </c>
      <c r="B361" s="28" t="s">
        <v>1925</v>
      </c>
      <c r="C361" s="28" t="s">
        <v>311</v>
      </c>
      <c r="D361" s="28" t="s">
        <v>1160</v>
      </c>
      <c r="E361" s="28" t="s">
        <v>1179</v>
      </c>
      <c r="F361" s="19" t="str">
        <f t="shared" si="1"/>
        <v>Megaserve Rohit</v>
      </c>
      <c r="M361" s="185"/>
      <c r="N361" s="186"/>
      <c r="O361" s="186"/>
      <c r="P361" s="186"/>
      <c r="Q361" s="186"/>
      <c r="R361" s="76"/>
    </row>
    <row r="362">
      <c r="A362" s="22" t="s">
        <v>566</v>
      </c>
      <c r="B362" s="28" t="s">
        <v>1927</v>
      </c>
      <c r="C362" s="28" t="s">
        <v>311</v>
      </c>
      <c r="D362" s="28" t="s">
        <v>1160</v>
      </c>
      <c r="E362" s="28" t="s">
        <v>1179</v>
      </c>
      <c r="F362" s="19" t="str">
        <f t="shared" si="1"/>
        <v>Megaserve Rohit</v>
      </c>
      <c r="M362" s="185"/>
      <c r="N362" s="186"/>
      <c r="O362" s="186"/>
      <c r="P362" s="186"/>
      <c r="Q362" s="186"/>
      <c r="R362" s="76"/>
    </row>
    <row r="363">
      <c r="A363" s="22" t="s">
        <v>601</v>
      </c>
      <c r="B363" s="28" t="s">
        <v>1929</v>
      </c>
      <c r="C363" s="28" t="s">
        <v>311</v>
      </c>
      <c r="D363" s="28" t="s">
        <v>1160</v>
      </c>
      <c r="E363" s="28" t="s">
        <v>1179</v>
      </c>
      <c r="F363" s="19" t="str">
        <f t="shared" si="1"/>
        <v>Megaserve Rohit</v>
      </c>
      <c r="M363" s="185"/>
      <c r="N363" s="186"/>
      <c r="O363" s="186"/>
      <c r="P363" s="186"/>
      <c r="Q363" s="186"/>
      <c r="R363" s="76"/>
    </row>
    <row r="364">
      <c r="A364" s="22" t="s">
        <v>1931</v>
      </c>
      <c r="B364" s="28" t="s">
        <v>1932</v>
      </c>
      <c r="C364" s="28" t="s">
        <v>232</v>
      </c>
      <c r="D364" s="28" t="s">
        <v>1160</v>
      </c>
      <c r="E364" s="28" t="s">
        <v>1184</v>
      </c>
      <c r="F364" s="19" t="str">
        <f t="shared" si="1"/>
        <v>Megaserve Parmmeshvar</v>
      </c>
      <c r="M364" s="185"/>
      <c r="N364" s="186"/>
      <c r="O364" s="186"/>
      <c r="P364" s="186"/>
      <c r="Q364" s="186"/>
      <c r="R364" s="76"/>
    </row>
    <row r="365">
      <c r="A365" s="22" t="s">
        <v>1934</v>
      </c>
      <c r="B365" s="28" t="s">
        <v>1935</v>
      </c>
      <c r="C365" s="28" t="s">
        <v>1151</v>
      </c>
      <c r="D365" s="28" t="s">
        <v>1160</v>
      </c>
      <c r="E365" s="28" t="s">
        <v>1184</v>
      </c>
      <c r="F365" s="19" t="str">
        <f t="shared" si="1"/>
        <v>Megaserve Parmmeshvar</v>
      </c>
      <c r="M365" s="185"/>
      <c r="N365" s="186"/>
      <c r="O365" s="186"/>
      <c r="P365" s="186"/>
      <c r="Q365" s="186"/>
      <c r="R365" s="76"/>
    </row>
    <row r="366">
      <c r="A366" s="22" t="s">
        <v>1936</v>
      </c>
      <c r="B366" s="28" t="s">
        <v>1937</v>
      </c>
      <c r="C366" s="28" t="s">
        <v>1938</v>
      </c>
      <c r="D366" s="28" t="s">
        <v>1160</v>
      </c>
      <c r="E366" s="28" t="s">
        <v>1176</v>
      </c>
      <c r="F366" s="19" t="str">
        <f t="shared" si="1"/>
        <v>Megaserve Plantitude</v>
      </c>
      <c r="M366" s="185"/>
      <c r="N366" s="186"/>
      <c r="O366" s="186"/>
      <c r="P366" s="186"/>
      <c r="Q366" s="186"/>
      <c r="R366" s="76"/>
    </row>
    <row r="367">
      <c r="A367" s="22" t="s">
        <v>1913</v>
      </c>
      <c r="B367" s="28" t="s">
        <v>1941</v>
      </c>
      <c r="C367" s="28" t="s">
        <v>311</v>
      </c>
      <c r="D367" s="28" t="s">
        <v>1160</v>
      </c>
      <c r="E367" s="28" t="s">
        <v>1184</v>
      </c>
      <c r="F367" s="19" t="str">
        <f t="shared" si="1"/>
        <v>Megaserve Parmmeshvar</v>
      </c>
      <c r="M367" s="185"/>
      <c r="N367" s="186"/>
      <c r="O367" s="186"/>
      <c r="P367" s="186"/>
      <c r="Q367" s="186"/>
      <c r="R367" s="193"/>
    </row>
    <row r="368">
      <c r="A368" s="22" t="s">
        <v>459</v>
      </c>
      <c r="B368" s="28" t="s">
        <v>1943</v>
      </c>
      <c r="C368" s="28" t="s">
        <v>311</v>
      </c>
      <c r="D368" s="28" t="s">
        <v>1160</v>
      </c>
      <c r="E368" s="28" t="s">
        <v>1184</v>
      </c>
      <c r="F368" s="19" t="str">
        <f t="shared" si="1"/>
        <v>Megaserve Parmmeshvar</v>
      </c>
      <c r="M368" s="185"/>
      <c r="N368" s="186"/>
      <c r="O368" s="186"/>
      <c r="P368" s="186"/>
      <c r="Q368" s="186"/>
      <c r="R368" s="76"/>
    </row>
    <row r="369">
      <c r="A369" s="22" t="s">
        <v>524</v>
      </c>
      <c r="B369" s="28" t="s">
        <v>525</v>
      </c>
      <c r="C369" s="28" t="s">
        <v>311</v>
      </c>
      <c r="D369" s="28" t="s">
        <v>1160</v>
      </c>
      <c r="E369" s="28" t="s">
        <v>1179</v>
      </c>
      <c r="F369" s="19" t="str">
        <f t="shared" si="1"/>
        <v>Megaserve Rohit</v>
      </c>
      <c r="M369" s="185"/>
      <c r="N369" s="186"/>
      <c r="O369" s="186"/>
      <c r="P369" s="186"/>
      <c r="Q369" s="186"/>
      <c r="R369" s="76"/>
    </row>
    <row r="370">
      <c r="A370" s="22" t="s">
        <v>1948</v>
      </c>
      <c r="B370" s="28" t="s">
        <v>1949</v>
      </c>
      <c r="C370" s="28" t="s">
        <v>232</v>
      </c>
      <c r="D370" s="28" t="s">
        <v>1160</v>
      </c>
      <c r="E370" s="28" t="s">
        <v>1184</v>
      </c>
      <c r="F370" s="19" t="str">
        <f t="shared" si="1"/>
        <v>Megaserve Parmmeshvar</v>
      </c>
      <c r="I370" s="219"/>
      <c r="J370" s="220"/>
      <c r="M370" s="185"/>
      <c r="N370" s="186"/>
      <c r="O370" s="186"/>
      <c r="P370" s="186"/>
      <c r="Q370" s="186"/>
      <c r="R370" s="76"/>
    </row>
    <row r="371">
      <c r="A371" s="22" t="s">
        <v>1952</v>
      </c>
      <c r="B371" s="28" t="s">
        <v>1953</v>
      </c>
      <c r="C371" s="28" t="s">
        <v>232</v>
      </c>
      <c r="D371" s="28" t="s">
        <v>1160</v>
      </c>
      <c r="E371" s="28" t="s">
        <v>1184</v>
      </c>
      <c r="F371" s="19" t="str">
        <f t="shared" si="1"/>
        <v>Megaserve Parmmeshvar</v>
      </c>
      <c r="I371" s="219"/>
      <c r="J371" s="220"/>
      <c r="M371" s="185"/>
      <c r="N371" s="186"/>
      <c r="O371" s="186"/>
      <c r="P371" s="186"/>
      <c r="Q371" s="186"/>
      <c r="R371" s="76"/>
    </row>
    <row r="372">
      <c r="A372" s="22" t="s">
        <v>1955</v>
      </c>
      <c r="B372" s="28" t="s">
        <v>1956</v>
      </c>
      <c r="C372" s="28" t="s">
        <v>311</v>
      </c>
      <c r="D372" s="28" t="s">
        <v>1152</v>
      </c>
      <c r="E372" s="28" t="s">
        <v>1190</v>
      </c>
      <c r="F372" s="19" t="str">
        <f t="shared" si="1"/>
        <v>Personal VT</v>
      </c>
      <c r="M372" s="185"/>
      <c r="N372" s="186"/>
      <c r="O372" s="186"/>
      <c r="P372" s="186"/>
      <c r="Q372" s="186"/>
      <c r="R372" s="76"/>
    </row>
    <row r="373">
      <c r="A373" s="22" t="s">
        <v>380</v>
      </c>
      <c r="B373" s="28" t="s">
        <v>1960</v>
      </c>
      <c r="C373" s="28" t="s">
        <v>311</v>
      </c>
      <c r="D373" s="28" t="s">
        <v>1152</v>
      </c>
      <c r="E373" s="28" t="s">
        <v>1190</v>
      </c>
      <c r="F373" s="19" t="str">
        <f t="shared" si="1"/>
        <v>Personal VT</v>
      </c>
      <c r="M373" s="185"/>
      <c r="N373" s="186"/>
      <c r="O373" s="186"/>
      <c r="P373" s="186"/>
      <c r="Q373" s="186"/>
      <c r="R373" s="76"/>
    </row>
    <row r="374">
      <c r="A374" s="22" t="s">
        <v>282</v>
      </c>
      <c r="B374" s="28" t="s">
        <v>1961</v>
      </c>
      <c r="C374" s="28" t="s">
        <v>311</v>
      </c>
      <c r="D374" s="28" t="s">
        <v>1152</v>
      </c>
      <c r="E374" s="28" t="s">
        <v>1190</v>
      </c>
      <c r="F374" s="19" t="str">
        <f t="shared" si="1"/>
        <v>Personal VT</v>
      </c>
      <c r="M374" s="185"/>
      <c r="N374" s="186"/>
      <c r="O374" s="186"/>
      <c r="P374" s="186"/>
      <c r="Q374" s="186"/>
      <c r="R374" s="76"/>
    </row>
    <row r="375">
      <c r="A375" s="22" t="s">
        <v>314</v>
      </c>
      <c r="B375" s="28" t="s">
        <v>1962</v>
      </c>
      <c r="C375" s="28" t="s">
        <v>311</v>
      </c>
      <c r="D375" s="28" t="s">
        <v>1152</v>
      </c>
      <c r="E375" s="28" t="s">
        <v>1162</v>
      </c>
      <c r="F375" s="19" t="str">
        <f t="shared" si="1"/>
        <v>Capital Compound Vivek</v>
      </c>
      <c r="M375" s="185"/>
      <c r="N375" s="186"/>
      <c r="O375" s="186"/>
      <c r="P375" s="186"/>
      <c r="Q375" s="186"/>
      <c r="R375" s="76"/>
    </row>
    <row r="376">
      <c r="A376" s="22" t="s">
        <v>1966</v>
      </c>
      <c r="B376" s="28" t="s">
        <v>1967</v>
      </c>
      <c r="C376" s="28" t="s">
        <v>311</v>
      </c>
      <c r="D376" s="28" t="s">
        <v>1152</v>
      </c>
      <c r="E376" s="28" t="s">
        <v>1162</v>
      </c>
      <c r="F376" s="19" t="str">
        <f t="shared" si="1"/>
        <v>Capital Compound Vivek</v>
      </c>
      <c r="M376" s="185"/>
      <c r="N376" s="203"/>
      <c r="O376" s="186"/>
      <c r="P376" s="186"/>
      <c r="Q376" s="186"/>
      <c r="R376" s="186"/>
    </row>
    <row r="377">
      <c r="A377" s="22" t="s">
        <v>587</v>
      </c>
      <c r="B377" s="28" t="s">
        <v>588</v>
      </c>
      <c r="C377" s="28" t="s">
        <v>311</v>
      </c>
      <c r="D377" s="28" t="s">
        <v>1152</v>
      </c>
      <c r="E377" s="28" t="s">
        <v>1162</v>
      </c>
      <c r="F377" s="19" t="str">
        <f t="shared" si="1"/>
        <v>Capital Compound Vivek</v>
      </c>
      <c r="M377" s="185"/>
      <c r="N377" s="186"/>
      <c r="O377" s="186"/>
      <c r="P377" s="186"/>
      <c r="Q377" s="186"/>
      <c r="R377" s="193"/>
    </row>
    <row r="378">
      <c r="A378" s="22" t="s">
        <v>88</v>
      </c>
      <c r="B378" s="28" t="s">
        <v>1970</v>
      </c>
      <c r="C378" s="28" t="s">
        <v>232</v>
      </c>
      <c r="D378" s="28" t="s">
        <v>1152</v>
      </c>
      <c r="E378" s="28" t="s">
        <v>1162</v>
      </c>
      <c r="F378" s="19" t="str">
        <f t="shared" si="1"/>
        <v>Capital Compound Vivek</v>
      </c>
      <c r="M378" s="185"/>
      <c r="N378" s="186"/>
      <c r="O378" s="186"/>
      <c r="P378" s="186"/>
      <c r="Q378" s="186"/>
      <c r="R378" s="76"/>
    </row>
    <row r="379">
      <c r="A379" s="22" t="s">
        <v>274</v>
      </c>
      <c r="B379" s="28" t="s">
        <v>1972</v>
      </c>
      <c r="C379" s="28" t="s">
        <v>311</v>
      </c>
      <c r="D379" s="28" t="s">
        <v>1152</v>
      </c>
      <c r="E379" s="28" t="s">
        <v>1162</v>
      </c>
      <c r="F379" s="19" t="str">
        <f t="shared" si="1"/>
        <v>Capital Compound Vivek</v>
      </c>
      <c r="I379" s="46"/>
      <c r="J379" s="221"/>
      <c r="K379" s="46"/>
      <c r="L379" s="46"/>
      <c r="M379" s="185"/>
      <c r="N379" s="186"/>
      <c r="O379" s="186"/>
      <c r="P379" s="186"/>
      <c r="Q379" s="186"/>
      <c r="R379" s="76"/>
    </row>
    <row r="380">
      <c r="A380" s="22" t="s">
        <v>300</v>
      </c>
      <c r="B380" s="28" t="s">
        <v>1974</v>
      </c>
      <c r="C380" s="28" t="s">
        <v>302</v>
      </c>
      <c r="D380" s="28" t="s">
        <v>1152</v>
      </c>
      <c r="E380" s="28" t="s">
        <v>1152</v>
      </c>
      <c r="F380" s="19" t="str">
        <f t="shared" si="1"/>
        <v>Capital Compound</v>
      </c>
      <c r="I380" s="46"/>
      <c r="J380" s="42"/>
      <c r="K380" s="42"/>
      <c r="L380" s="42"/>
      <c r="M380" s="185"/>
      <c r="N380" s="186"/>
      <c r="O380" s="186"/>
      <c r="P380" s="186"/>
      <c r="Q380" s="186"/>
      <c r="R380" s="193"/>
    </row>
    <row r="381">
      <c r="A381" s="22" t="s">
        <v>303</v>
      </c>
      <c r="B381" s="28" t="s">
        <v>1977</v>
      </c>
      <c r="C381" s="28" t="s">
        <v>302</v>
      </c>
      <c r="D381" s="28" t="s">
        <v>1152</v>
      </c>
      <c r="E381" s="28" t="s">
        <v>1152</v>
      </c>
      <c r="F381" s="19" t="str">
        <f t="shared" si="1"/>
        <v>Capital Compound</v>
      </c>
      <c r="I381" s="46"/>
      <c r="J381" s="42"/>
      <c r="K381" s="18"/>
      <c r="L381" s="42"/>
      <c r="M381" s="185"/>
      <c r="N381" s="186"/>
      <c r="O381" s="186"/>
      <c r="P381" s="186"/>
      <c r="Q381" s="186"/>
      <c r="R381" s="76"/>
    </row>
    <row r="382">
      <c r="A382" s="22" t="s">
        <v>277</v>
      </c>
      <c r="B382" s="28" t="s">
        <v>1978</v>
      </c>
      <c r="C382" s="28" t="s">
        <v>266</v>
      </c>
      <c r="D382" s="28" t="s">
        <v>1160</v>
      </c>
      <c r="E382" s="28" t="s">
        <v>1161</v>
      </c>
      <c r="F382" s="19" t="str">
        <f t="shared" si="1"/>
        <v>Megaserve Jainam</v>
      </c>
      <c r="I382" s="46"/>
      <c r="J382" s="42"/>
      <c r="K382" s="42"/>
      <c r="L382" s="42"/>
      <c r="M382" s="185"/>
      <c r="N382" s="186"/>
      <c r="O382" s="186"/>
      <c r="P382" s="186"/>
      <c r="Q382" s="186"/>
      <c r="R382" s="76"/>
    </row>
    <row r="383">
      <c r="A383" s="22" t="s">
        <v>712</v>
      </c>
      <c r="B383" s="28" t="s">
        <v>1980</v>
      </c>
      <c r="C383" s="28" t="s">
        <v>266</v>
      </c>
      <c r="D383" s="28" t="s">
        <v>1160</v>
      </c>
      <c r="E383" s="28" t="s">
        <v>1161</v>
      </c>
      <c r="F383" s="19" t="str">
        <f t="shared" si="1"/>
        <v>Megaserve Jainam</v>
      </c>
      <c r="I383" s="46"/>
      <c r="J383" s="42"/>
      <c r="K383" s="88"/>
      <c r="L383" s="88"/>
      <c r="M383" s="185"/>
      <c r="N383" s="186"/>
      <c r="O383" s="186"/>
      <c r="P383" s="186"/>
      <c r="Q383" s="186"/>
      <c r="R383" s="76"/>
    </row>
    <row r="384">
      <c r="A384" s="22" t="s">
        <v>216</v>
      </c>
      <c r="B384" s="28" t="s">
        <v>1982</v>
      </c>
      <c r="C384" s="28" t="s">
        <v>311</v>
      </c>
      <c r="D384" s="28" t="s">
        <v>1152</v>
      </c>
      <c r="E384" s="28" t="s">
        <v>1190</v>
      </c>
      <c r="F384" s="19" t="str">
        <f t="shared" si="1"/>
        <v>Personal VT</v>
      </c>
      <c r="I384" s="46"/>
      <c r="J384" s="42"/>
      <c r="K384" s="42"/>
      <c r="L384" s="42"/>
      <c r="M384" s="185"/>
      <c r="N384" s="203"/>
      <c r="O384" s="186"/>
      <c r="P384" s="186"/>
      <c r="Q384" s="186"/>
      <c r="R384" s="186"/>
    </row>
    <row r="385">
      <c r="A385" s="22" t="s">
        <v>1986</v>
      </c>
      <c r="B385" s="28" t="s">
        <v>1987</v>
      </c>
      <c r="C385" s="28" t="s">
        <v>311</v>
      </c>
      <c r="D385" s="28" t="s">
        <v>1160</v>
      </c>
      <c r="E385" s="28" t="s">
        <v>1179</v>
      </c>
      <c r="F385" s="19" t="str">
        <f t="shared" si="1"/>
        <v>Megaserve Rohit</v>
      </c>
      <c r="M385" s="185"/>
      <c r="N385" s="186"/>
      <c r="O385" s="186"/>
      <c r="P385" s="186"/>
      <c r="Q385" s="186"/>
      <c r="R385" s="193"/>
    </row>
    <row r="386">
      <c r="A386" s="22" t="s">
        <v>342</v>
      </c>
      <c r="B386" s="28" t="s">
        <v>1989</v>
      </c>
      <c r="C386" s="28" t="s">
        <v>311</v>
      </c>
      <c r="D386" s="28" t="s">
        <v>1160</v>
      </c>
      <c r="E386" s="28" t="s">
        <v>1179</v>
      </c>
      <c r="F386" s="19" t="str">
        <f t="shared" si="1"/>
        <v>Megaserve Rohit</v>
      </c>
      <c r="M386" s="185"/>
      <c r="N386" s="186"/>
      <c r="O386" s="186"/>
      <c r="P386" s="186"/>
      <c r="Q386" s="186"/>
      <c r="R386" s="193"/>
    </row>
    <row r="387">
      <c r="A387" s="22" t="s">
        <v>1991</v>
      </c>
      <c r="B387" s="28" t="s">
        <v>1992</v>
      </c>
      <c r="C387" s="28" t="s">
        <v>311</v>
      </c>
      <c r="D387" s="28" t="s">
        <v>1160</v>
      </c>
      <c r="E387" s="28" t="s">
        <v>1179</v>
      </c>
      <c r="F387" s="19" t="str">
        <f t="shared" si="1"/>
        <v>Megaserve Rohit</v>
      </c>
      <c r="M387" s="185"/>
      <c r="N387" s="186"/>
      <c r="O387" s="186"/>
      <c r="P387" s="186"/>
      <c r="Q387" s="186"/>
      <c r="R387" s="193"/>
    </row>
    <row r="388">
      <c r="A388" s="22" t="s">
        <v>102</v>
      </c>
      <c r="B388" s="28" t="s">
        <v>1993</v>
      </c>
      <c r="C388" s="28" t="s">
        <v>232</v>
      </c>
      <c r="D388" s="28" t="s">
        <v>1160</v>
      </c>
      <c r="E388" s="28" t="s">
        <v>1179</v>
      </c>
      <c r="F388" s="19" t="str">
        <f t="shared" si="1"/>
        <v>Megaserve Rohit</v>
      </c>
      <c r="M388" s="185"/>
      <c r="N388" s="186"/>
      <c r="O388" s="186"/>
      <c r="P388" s="186"/>
      <c r="Q388" s="186"/>
      <c r="R388" s="193"/>
    </row>
    <row r="389">
      <c r="A389" s="22" t="s">
        <v>1994</v>
      </c>
      <c r="B389" s="28" t="s">
        <v>1995</v>
      </c>
      <c r="C389" s="28" t="s">
        <v>311</v>
      </c>
      <c r="D389" s="28" t="s">
        <v>1160</v>
      </c>
      <c r="E389" s="28" t="s">
        <v>1179</v>
      </c>
      <c r="F389" s="19" t="str">
        <f t="shared" si="1"/>
        <v>Megaserve Rohit</v>
      </c>
      <c r="M389" s="185"/>
      <c r="N389" s="186"/>
      <c r="O389" s="186"/>
      <c r="P389" s="186"/>
      <c r="Q389" s="186"/>
      <c r="R389" s="76"/>
    </row>
    <row r="390">
      <c r="A390" s="22" t="s">
        <v>407</v>
      </c>
      <c r="B390" s="28" t="s">
        <v>1998</v>
      </c>
      <c r="C390" s="28" t="s">
        <v>311</v>
      </c>
      <c r="D390" s="28" t="s">
        <v>1160</v>
      </c>
      <c r="E390" s="28" t="s">
        <v>1179</v>
      </c>
      <c r="F390" s="19" t="str">
        <f t="shared" si="1"/>
        <v>Megaserve Rohit</v>
      </c>
      <c r="M390" s="185"/>
      <c r="N390" s="186"/>
      <c r="O390" s="186"/>
      <c r="P390" s="186"/>
      <c r="Q390" s="186"/>
      <c r="R390" s="76"/>
    </row>
    <row r="391">
      <c r="A391" s="22" t="s">
        <v>556</v>
      </c>
      <c r="B391" s="28" t="s">
        <v>2001</v>
      </c>
      <c r="C391" s="28" t="s">
        <v>311</v>
      </c>
      <c r="D391" s="28" t="s">
        <v>1160</v>
      </c>
      <c r="E391" s="28" t="s">
        <v>1179</v>
      </c>
      <c r="F391" s="19" t="str">
        <f t="shared" si="1"/>
        <v>Megaserve Rohit</v>
      </c>
      <c r="M391" s="185"/>
      <c r="N391" s="186"/>
      <c r="O391" s="186"/>
      <c r="P391" s="186"/>
      <c r="Q391" s="186"/>
      <c r="R391" s="76"/>
    </row>
    <row r="392">
      <c r="A392" s="22" t="s">
        <v>687</v>
      </c>
      <c r="B392" s="28" t="s">
        <v>2004</v>
      </c>
      <c r="C392" s="28" t="s">
        <v>311</v>
      </c>
      <c r="D392" s="28" t="s">
        <v>1160</v>
      </c>
      <c r="E392" s="28" t="s">
        <v>1179</v>
      </c>
      <c r="F392" s="19" t="str">
        <f t="shared" si="1"/>
        <v>Megaserve Rohit</v>
      </c>
      <c r="M392" s="185"/>
      <c r="N392" s="186"/>
      <c r="O392" s="186"/>
      <c r="P392" s="186"/>
      <c r="Q392" s="186"/>
      <c r="R392" s="76"/>
    </row>
    <row r="393">
      <c r="A393" s="22" t="s">
        <v>2006</v>
      </c>
      <c r="B393" s="28" t="s">
        <v>2006</v>
      </c>
      <c r="C393" s="28" t="s">
        <v>272</v>
      </c>
      <c r="D393" s="28" t="s">
        <v>1160</v>
      </c>
      <c r="E393" s="28" t="s">
        <v>1161</v>
      </c>
      <c r="F393" s="19" t="str">
        <f t="shared" si="1"/>
        <v>Megaserve Jainam</v>
      </c>
      <c r="M393" s="185"/>
      <c r="N393" s="186"/>
      <c r="O393" s="186"/>
      <c r="P393" s="186"/>
      <c r="Q393" s="186"/>
      <c r="R393" s="193"/>
    </row>
    <row r="394">
      <c r="A394" s="22" t="s">
        <v>2007</v>
      </c>
      <c r="B394" s="28" t="s">
        <v>2007</v>
      </c>
      <c r="C394" s="28" t="s">
        <v>272</v>
      </c>
      <c r="D394" s="28" t="s">
        <v>1160</v>
      </c>
      <c r="E394" s="28" t="s">
        <v>1161</v>
      </c>
      <c r="F394" s="19" t="str">
        <f t="shared" si="1"/>
        <v>Megaserve Jainam</v>
      </c>
      <c r="M394" s="185"/>
      <c r="N394" s="186"/>
      <c r="O394" s="186"/>
      <c r="P394" s="186"/>
      <c r="Q394" s="186"/>
      <c r="R394" s="76"/>
    </row>
    <row r="395">
      <c r="A395" s="22" t="s">
        <v>172</v>
      </c>
      <c r="B395" s="28" t="s">
        <v>2009</v>
      </c>
      <c r="C395" s="28" t="s">
        <v>1261</v>
      </c>
      <c r="D395" s="28" t="s">
        <v>1160</v>
      </c>
      <c r="E395" s="28" t="s">
        <v>1176</v>
      </c>
      <c r="F395" s="19" t="str">
        <f t="shared" si="1"/>
        <v>Megaserve Plantitude</v>
      </c>
      <c r="M395" s="185"/>
      <c r="N395" s="186"/>
      <c r="O395" s="186"/>
      <c r="P395" s="186"/>
      <c r="Q395" s="186"/>
      <c r="R395" s="76"/>
    </row>
    <row r="396">
      <c r="A396" s="22" t="s">
        <v>717</v>
      </c>
      <c r="B396" s="28" t="s">
        <v>718</v>
      </c>
      <c r="C396" s="28" t="s">
        <v>311</v>
      </c>
      <c r="D396" s="28" t="s">
        <v>1160</v>
      </c>
      <c r="E396" s="28" t="s">
        <v>1179</v>
      </c>
      <c r="F396" s="19" t="str">
        <f t="shared" si="1"/>
        <v>Megaserve Rohit</v>
      </c>
      <c r="M396" s="185"/>
      <c r="N396" s="186"/>
      <c r="O396" s="186"/>
      <c r="P396" s="186"/>
      <c r="Q396" s="186"/>
      <c r="R396" s="193"/>
    </row>
    <row r="397">
      <c r="A397" s="22" t="s">
        <v>2012</v>
      </c>
      <c r="B397" s="28" t="s">
        <v>2013</v>
      </c>
      <c r="C397" s="28" t="s">
        <v>297</v>
      </c>
      <c r="D397" s="28" t="s">
        <v>1152</v>
      </c>
      <c r="E397" s="28" t="s">
        <v>1156</v>
      </c>
      <c r="F397" s="19" t="str">
        <f t="shared" si="1"/>
        <v>Capital Compound Govinda</v>
      </c>
      <c r="M397" s="185"/>
      <c r="N397" s="203"/>
      <c r="O397" s="186"/>
      <c r="P397" s="186"/>
      <c r="Q397" s="186"/>
      <c r="R397" s="186"/>
    </row>
    <row r="398">
      <c r="A398" s="22" t="s">
        <v>352</v>
      </c>
      <c r="B398" s="28" t="s">
        <v>2014</v>
      </c>
      <c r="C398" s="28" t="s">
        <v>311</v>
      </c>
      <c r="D398" s="28" t="s">
        <v>1160</v>
      </c>
      <c r="E398" s="28" t="s">
        <v>1179</v>
      </c>
      <c r="F398" s="19" t="str">
        <f t="shared" si="1"/>
        <v>Megaserve Rohit</v>
      </c>
      <c r="M398" s="185"/>
      <c r="N398" s="186"/>
      <c r="O398" s="186"/>
      <c r="P398" s="186"/>
      <c r="Q398" s="186"/>
      <c r="R398" s="76"/>
    </row>
    <row r="399">
      <c r="A399" s="22" t="s">
        <v>2015</v>
      </c>
      <c r="B399" s="28" t="s">
        <v>2016</v>
      </c>
      <c r="C399" s="28" t="s">
        <v>311</v>
      </c>
      <c r="D399" s="28" t="s">
        <v>1160</v>
      </c>
      <c r="E399" s="28" t="s">
        <v>1179</v>
      </c>
      <c r="F399" s="19" t="str">
        <f t="shared" si="1"/>
        <v>Megaserve Rohit</v>
      </c>
      <c r="M399" s="185"/>
      <c r="N399" s="186"/>
      <c r="O399" s="186"/>
      <c r="P399" s="186"/>
      <c r="Q399" s="186"/>
      <c r="R399" s="76"/>
    </row>
    <row r="400">
      <c r="A400" s="22" t="s">
        <v>222</v>
      </c>
      <c r="B400" s="28" t="s">
        <v>2018</v>
      </c>
      <c r="C400" s="28" t="s">
        <v>311</v>
      </c>
      <c r="D400" s="28" t="s">
        <v>1152</v>
      </c>
      <c r="E400" s="28" t="s">
        <v>1162</v>
      </c>
      <c r="F400" s="19" t="str">
        <f t="shared" si="1"/>
        <v>Capital Compound Vivek</v>
      </c>
      <c r="M400" s="185"/>
      <c r="N400" s="203"/>
      <c r="O400" s="186"/>
      <c r="P400" s="186"/>
      <c r="Q400" s="186"/>
      <c r="R400" s="186"/>
    </row>
    <row r="401">
      <c r="A401" s="22" t="s">
        <v>2019</v>
      </c>
      <c r="B401" s="28" t="s">
        <v>2020</v>
      </c>
      <c r="C401" s="28" t="s">
        <v>311</v>
      </c>
      <c r="D401" s="28" t="s">
        <v>1160</v>
      </c>
      <c r="E401" s="28" t="s">
        <v>1179</v>
      </c>
      <c r="F401" s="19" t="str">
        <f t="shared" si="1"/>
        <v>Megaserve Rohit</v>
      </c>
      <c r="M401" s="185"/>
      <c r="N401" s="186"/>
      <c r="O401" s="186"/>
      <c r="P401" s="186"/>
      <c r="Q401" s="186"/>
      <c r="R401" s="76"/>
    </row>
    <row r="402">
      <c r="A402" s="22" t="s">
        <v>742</v>
      </c>
      <c r="B402" s="28" t="s">
        <v>2021</v>
      </c>
      <c r="C402" s="28" t="s">
        <v>266</v>
      </c>
      <c r="D402" s="28" t="s">
        <v>1160</v>
      </c>
      <c r="E402" s="28" t="s">
        <v>1161</v>
      </c>
      <c r="F402" s="19" t="str">
        <f t="shared" si="1"/>
        <v>Megaserve Jainam</v>
      </c>
      <c r="M402" s="185"/>
      <c r="N402" s="203"/>
      <c r="O402" s="186"/>
      <c r="P402" s="186"/>
      <c r="Q402" s="186"/>
      <c r="R402" s="186"/>
    </row>
    <row r="403">
      <c r="A403" s="22" t="s">
        <v>675</v>
      </c>
      <c r="B403" s="28" t="s">
        <v>265</v>
      </c>
      <c r="C403" s="28" t="s">
        <v>266</v>
      </c>
      <c r="D403" s="28" t="s">
        <v>1160</v>
      </c>
      <c r="E403" s="28" t="s">
        <v>1161</v>
      </c>
      <c r="F403" s="19" t="str">
        <f t="shared" si="1"/>
        <v>Megaserve Jainam</v>
      </c>
      <c r="M403" s="185"/>
      <c r="N403" s="186"/>
      <c r="O403" s="186"/>
      <c r="P403" s="186"/>
      <c r="Q403" s="186"/>
      <c r="R403" s="76"/>
    </row>
    <row r="404">
      <c r="A404" s="22" t="s">
        <v>2024</v>
      </c>
      <c r="B404" s="28" t="s">
        <v>2025</v>
      </c>
      <c r="C404" s="28" t="s">
        <v>311</v>
      </c>
      <c r="D404" s="28" t="s">
        <v>1160</v>
      </c>
      <c r="E404" s="28" t="s">
        <v>1179</v>
      </c>
      <c r="F404" s="19" t="str">
        <f t="shared" si="1"/>
        <v>Megaserve Rohit</v>
      </c>
      <c r="M404" s="185"/>
      <c r="N404" s="186"/>
      <c r="O404" s="186"/>
      <c r="P404" s="186"/>
      <c r="Q404" s="186"/>
      <c r="R404" s="76"/>
    </row>
    <row r="405">
      <c r="A405" s="22" t="s">
        <v>99</v>
      </c>
      <c r="B405" s="28" t="s">
        <v>2027</v>
      </c>
      <c r="C405" s="28" t="s">
        <v>232</v>
      </c>
      <c r="D405" s="28" t="s">
        <v>1160</v>
      </c>
      <c r="E405" s="28" t="s">
        <v>1179</v>
      </c>
      <c r="F405" s="19" t="str">
        <f t="shared" si="1"/>
        <v>Megaserve Rohit</v>
      </c>
      <c r="M405" s="185"/>
      <c r="N405" s="186"/>
      <c r="O405" s="186"/>
      <c r="P405" s="186"/>
      <c r="Q405" s="186"/>
      <c r="R405" s="186"/>
    </row>
    <row r="406">
      <c r="A406" s="22" t="s">
        <v>401</v>
      </c>
      <c r="B406" s="28" t="s">
        <v>2030</v>
      </c>
      <c r="C406" s="28" t="s">
        <v>232</v>
      </c>
      <c r="D406" s="28" t="s">
        <v>1160</v>
      </c>
      <c r="E406" s="28" t="s">
        <v>1176</v>
      </c>
      <c r="F406" s="19" t="str">
        <f t="shared" si="1"/>
        <v>Megaserve Plantitude</v>
      </c>
      <c r="M406" s="185"/>
      <c r="N406" s="186"/>
      <c r="O406" s="186"/>
      <c r="P406" s="186"/>
      <c r="Q406" s="186"/>
      <c r="R406" s="186"/>
    </row>
    <row r="407">
      <c r="A407" s="22" t="s">
        <v>422</v>
      </c>
      <c r="B407" s="28" t="s">
        <v>2031</v>
      </c>
      <c r="C407" s="28" t="s">
        <v>311</v>
      </c>
      <c r="D407" s="28" t="s">
        <v>1152</v>
      </c>
      <c r="E407" s="28" t="s">
        <v>1162</v>
      </c>
      <c r="F407" s="19" t="str">
        <f t="shared" si="1"/>
        <v>Capital Compound Vivek</v>
      </c>
      <c r="M407" s="185"/>
      <c r="N407" s="186"/>
      <c r="O407" s="186"/>
      <c r="P407" s="186"/>
      <c r="Q407" s="186"/>
      <c r="R407" s="76"/>
    </row>
    <row r="408">
      <c r="A408" s="22" t="s">
        <v>533</v>
      </c>
      <c r="B408" s="28" t="s">
        <v>2032</v>
      </c>
      <c r="C408" s="28" t="s">
        <v>232</v>
      </c>
      <c r="D408" s="28" t="s">
        <v>1160</v>
      </c>
      <c r="E408" s="28" t="s">
        <v>1179</v>
      </c>
      <c r="F408" s="19" t="str">
        <f t="shared" si="1"/>
        <v>Megaserve Rohit</v>
      </c>
      <c r="M408" s="185"/>
      <c r="N408" s="186"/>
      <c r="O408" s="186"/>
      <c r="P408" s="186"/>
      <c r="Q408" s="186"/>
      <c r="R408" s="76"/>
    </row>
    <row r="409">
      <c r="A409" s="22" t="s">
        <v>2033</v>
      </c>
      <c r="B409" s="28" t="s">
        <v>2034</v>
      </c>
      <c r="C409" s="28" t="s">
        <v>266</v>
      </c>
      <c r="D409" s="28" t="s">
        <v>1160</v>
      </c>
      <c r="E409" s="28" t="s">
        <v>1161</v>
      </c>
      <c r="F409" s="19" t="str">
        <f t="shared" si="1"/>
        <v>Megaserve Jainam</v>
      </c>
      <c r="M409" s="185"/>
      <c r="N409" s="186"/>
      <c r="O409" s="186"/>
      <c r="P409" s="186"/>
      <c r="Q409" s="186"/>
      <c r="R409" s="186"/>
    </row>
    <row r="410">
      <c r="A410" s="22" t="s">
        <v>2035</v>
      </c>
      <c r="B410" s="28" t="s">
        <v>1175</v>
      </c>
      <c r="C410" s="28" t="s">
        <v>266</v>
      </c>
      <c r="D410" s="28" t="s">
        <v>1160</v>
      </c>
      <c r="E410" s="28" t="s">
        <v>1161</v>
      </c>
      <c r="F410" s="19" t="str">
        <f t="shared" si="1"/>
        <v>Megaserve Jainam</v>
      </c>
      <c r="M410" s="185"/>
      <c r="N410" s="186"/>
      <c r="O410" s="186"/>
      <c r="P410" s="186"/>
      <c r="Q410" s="186"/>
      <c r="R410" s="186"/>
    </row>
    <row r="411">
      <c r="A411" s="22" t="s">
        <v>2037</v>
      </c>
      <c r="B411" s="28" t="s">
        <v>2038</v>
      </c>
      <c r="C411" s="28" t="s">
        <v>1266</v>
      </c>
      <c r="D411" s="28" t="s">
        <v>1160</v>
      </c>
      <c r="E411" s="28" t="s">
        <v>1179</v>
      </c>
      <c r="F411" s="19" t="str">
        <f t="shared" si="1"/>
        <v>Megaserve Rohit</v>
      </c>
      <c r="M411" s="185"/>
      <c r="N411" s="203"/>
      <c r="O411" s="186"/>
      <c r="P411" s="186"/>
      <c r="Q411" s="186"/>
      <c r="R411" s="76"/>
    </row>
    <row r="412">
      <c r="A412" s="22" t="s">
        <v>435</v>
      </c>
      <c r="B412" s="28" t="s">
        <v>2039</v>
      </c>
      <c r="C412" s="28" t="s">
        <v>311</v>
      </c>
      <c r="D412" s="28" t="s">
        <v>1160</v>
      </c>
      <c r="E412" s="28" t="s">
        <v>1179</v>
      </c>
      <c r="F412" s="19" t="str">
        <f t="shared" si="1"/>
        <v>Megaserve Rohit</v>
      </c>
      <c r="M412" s="185"/>
      <c r="N412" s="186"/>
      <c r="O412" s="186"/>
      <c r="P412" s="186"/>
      <c r="Q412" s="186"/>
      <c r="R412" s="186"/>
    </row>
    <row r="413">
      <c r="A413" s="22" t="s">
        <v>559</v>
      </c>
      <c r="B413" s="28" t="s">
        <v>2042</v>
      </c>
      <c r="C413" s="28" t="s">
        <v>232</v>
      </c>
      <c r="D413" s="28" t="s">
        <v>1160</v>
      </c>
      <c r="E413" s="28" t="s">
        <v>1179</v>
      </c>
      <c r="F413" s="19" t="str">
        <f t="shared" si="1"/>
        <v>Megaserve Rohit</v>
      </c>
      <c r="M413" s="185"/>
      <c r="N413" s="203"/>
      <c r="O413" s="186"/>
      <c r="P413" s="186"/>
      <c r="Q413" s="186"/>
      <c r="R413" s="186"/>
    </row>
    <row r="414">
      <c r="A414" s="22" t="s">
        <v>181</v>
      </c>
      <c r="B414" s="28" t="s">
        <v>2043</v>
      </c>
      <c r="C414" s="28" t="s">
        <v>285</v>
      </c>
      <c r="D414" s="28" t="s">
        <v>1160</v>
      </c>
      <c r="E414" s="28" t="s">
        <v>1161</v>
      </c>
      <c r="F414" s="19" t="str">
        <f t="shared" si="1"/>
        <v>Megaserve Jainam</v>
      </c>
      <c r="M414" s="185"/>
      <c r="N414" s="186"/>
      <c r="O414" s="186"/>
      <c r="P414" s="186"/>
      <c r="Q414" s="186"/>
      <c r="R414" s="193"/>
    </row>
    <row r="415">
      <c r="A415" s="22" t="s">
        <v>128</v>
      </c>
      <c r="B415" s="28" t="s">
        <v>2045</v>
      </c>
      <c r="C415" s="28" t="s">
        <v>285</v>
      </c>
      <c r="D415" s="28" t="s">
        <v>1160</v>
      </c>
      <c r="E415" s="28" t="s">
        <v>1161</v>
      </c>
      <c r="F415" s="19" t="str">
        <f t="shared" si="1"/>
        <v>Megaserve Jainam</v>
      </c>
      <c r="M415" s="185"/>
      <c r="N415" s="203"/>
      <c r="O415" s="186"/>
      <c r="P415" s="186"/>
      <c r="Q415" s="186"/>
      <c r="R415" s="186"/>
    </row>
    <row r="416">
      <c r="A416" s="22" t="s">
        <v>2047</v>
      </c>
      <c r="B416" s="28" t="s">
        <v>2048</v>
      </c>
      <c r="C416" s="28" t="s">
        <v>311</v>
      </c>
      <c r="D416" s="28" t="s">
        <v>1160</v>
      </c>
      <c r="E416" s="28" t="s">
        <v>1179</v>
      </c>
      <c r="F416" s="19" t="str">
        <f t="shared" si="1"/>
        <v>Megaserve Rohit</v>
      </c>
      <c r="M416" s="185"/>
      <c r="N416" s="186"/>
      <c r="O416" s="186"/>
      <c r="P416" s="186"/>
      <c r="Q416" s="186"/>
      <c r="R416" s="193"/>
    </row>
    <row r="417">
      <c r="A417" s="22" t="s">
        <v>2049</v>
      </c>
      <c r="B417" s="28" t="s">
        <v>2050</v>
      </c>
      <c r="C417" s="28" t="s">
        <v>311</v>
      </c>
      <c r="D417" s="28" t="s">
        <v>1160</v>
      </c>
      <c r="E417" s="28" t="s">
        <v>1179</v>
      </c>
      <c r="F417" s="19" t="str">
        <f t="shared" si="1"/>
        <v>Megaserve Rohit</v>
      </c>
      <c r="M417" s="185"/>
      <c r="N417" s="186"/>
      <c r="O417" s="186"/>
      <c r="P417" s="186"/>
      <c r="Q417" s="186"/>
      <c r="R417" s="76"/>
    </row>
    <row r="418">
      <c r="A418" s="22" t="s">
        <v>2051</v>
      </c>
      <c r="B418" s="28" t="s">
        <v>2052</v>
      </c>
      <c r="C418" s="28" t="s">
        <v>311</v>
      </c>
      <c r="D418" s="28" t="s">
        <v>1160</v>
      </c>
      <c r="E418" s="28" t="s">
        <v>1179</v>
      </c>
      <c r="F418" s="19" t="str">
        <f t="shared" si="1"/>
        <v>Megaserve Rohit</v>
      </c>
      <c r="M418" s="185"/>
      <c r="N418" s="186"/>
      <c r="O418" s="186"/>
      <c r="P418" s="186"/>
      <c r="Q418" s="186"/>
      <c r="R418" s="186"/>
    </row>
    <row r="419">
      <c r="A419" s="22" t="s">
        <v>2054</v>
      </c>
      <c r="B419" s="28" t="s">
        <v>2055</v>
      </c>
      <c r="C419" s="28" t="s">
        <v>311</v>
      </c>
      <c r="D419" s="28" t="s">
        <v>1160</v>
      </c>
      <c r="E419" s="28" t="s">
        <v>1179</v>
      </c>
      <c r="F419" s="19" t="str">
        <f t="shared" si="1"/>
        <v>Megaserve Rohit</v>
      </c>
      <c r="M419" s="185"/>
      <c r="N419" s="186"/>
      <c r="O419" s="186"/>
      <c r="P419" s="186"/>
      <c r="Q419" s="186"/>
      <c r="R419" s="76"/>
    </row>
    <row r="420">
      <c r="A420" s="22" t="s">
        <v>384</v>
      </c>
      <c r="B420" s="28" t="s">
        <v>2057</v>
      </c>
      <c r="C420" s="28" t="s">
        <v>311</v>
      </c>
      <c r="D420" s="28" t="s">
        <v>1160</v>
      </c>
      <c r="E420" s="28" t="s">
        <v>1179</v>
      </c>
      <c r="F420" s="19" t="str">
        <f t="shared" si="1"/>
        <v>Megaserve Rohit</v>
      </c>
      <c r="M420" s="185"/>
      <c r="N420" s="186"/>
      <c r="O420" s="186"/>
      <c r="P420" s="186"/>
      <c r="Q420" s="186"/>
      <c r="R420" s="76"/>
    </row>
    <row r="421">
      <c r="A421" s="22" t="s">
        <v>1776</v>
      </c>
      <c r="B421" s="28" t="s">
        <v>2060</v>
      </c>
      <c r="C421" s="28" t="s">
        <v>311</v>
      </c>
      <c r="D421" s="28" t="s">
        <v>1160</v>
      </c>
      <c r="E421" s="28" t="s">
        <v>1184</v>
      </c>
      <c r="F421" s="19" t="str">
        <f t="shared" si="1"/>
        <v>Megaserve Parmmeshvar</v>
      </c>
      <c r="M421" s="185"/>
      <c r="N421" s="186"/>
      <c r="O421" s="186"/>
      <c r="P421" s="186"/>
      <c r="Q421" s="186"/>
      <c r="R421" s="193"/>
    </row>
    <row r="422">
      <c r="A422" s="22" t="s">
        <v>414</v>
      </c>
      <c r="B422" s="28" t="s">
        <v>2062</v>
      </c>
      <c r="C422" s="28" t="s">
        <v>311</v>
      </c>
      <c r="D422" s="28" t="s">
        <v>1160</v>
      </c>
      <c r="E422" s="28" t="s">
        <v>1179</v>
      </c>
      <c r="F422" s="19" t="str">
        <f t="shared" si="1"/>
        <v>Megaserve Rohit</v>
      </c>
      <c r="M422" s="185"/>
      <c r="N422" s="186"/>
      <c r="O422" s="186"/>
      <c r="P422" s="186"/>
      <c r="Q422" s="186"/>
      <c r="R422" s="193"/>
    </row>
    <row r="423">
      <c r="A423" s="22" t="s">
        <v>412</v>
      </c>
      <c r="B423" s="28" t="s">
        <v>2066</v>
      </c>
      <c r="C423" s="28" t="s">
        <v>311</v>
      </c>
      <c r="D423" s="28" t="s">
        <v>1160</v>
      </c>
      <c r="E423" s="28" t="s">
        <v>1179</v>
      </c>
      <c r="F423" s="19" t="str">
        <f t="shared" si="1"/>
        <v>Megaserve Rohit</v>
      </c>
      <c r="M423" s="185"/>
      <c r="N423" s="186"/>
      <c r="O423" s="186"/>
      <c r="P423" s="186"/>
      <c r="Q423" s="186"/>
      <c r="R423" s="76"/>
    </row>
    <row r="424">
      <c r="A424" s="22" t="s">
        <v>686</v>
      </c>
      <c r="B424" s="28" t="s">
        <v>2068</v>
      </c>
      <c r="C424" s="28" t="s">
        <v>311</v>
      </c>
      <c r="D424" s="28" t="s">
        <v>1160</v>
      </c>
      <c r="E424" s="28" t="s">
        <v>1179</v>
      </c>
      <c r="F424" s="19" t="str">
        <f t="shared" si="1"/>
        <v>Megaserve Rohit</v>
      </c>
      <c r="M424" s="185"/>
      <c r="N424" s="186"/>
      <c r="O424" s="186"/>
      <c r="P424" s="186"/>
      <c r="Q424" s="186"/>
      <c r="R424" s="193"/>
    </row>
    <row r="425">
      <c r="A425" s="22" t="s">
        <v>1126</v>
      </c>
      <c r="B425" s="28" t="s">
        <v>2069</v>
      </c>
      <c r="C425" s="28" t="s">
        <v>311</v>
      </c>
      <c r="D425" s="28" t="s">
        <v>1160</v>
      </c>
      <c r="E425" s="28" t="s">
        <v>1179</v>
      </c>
      <c r="F425" s="19" t="str">
        <f t="shared" si="1"/>
        <v>Megaserve Rohit</v>
      </c>
      <c r="M425" s="185"/>
      <c r="N425" s="186"/>
      <c r="O425" s="186"/>
      <c r="P425" s="186"/>
      <c r="Q425" s="186"/>
      <c r="R425" s="193"/>
    </row>
    <row r="426">
      <c r="A426" s="22" t="s">
        <v>2071</v>
      </c>
      <c r="B426" s="28" t="s">
        <v>2072</v>
      </c>
      <c r="C426" s="28" t="s">
        <v>311</v>
      </c>
      <c r="D426" s="28" t="s">
        <v>1160</v>
      </c>
      <c r="E426" s="28" t="s">
        <v>1179</v>
      </c>
      <c r="F426" s="19" t="str">
        <f t="shared" si="1"/>
        <v>Megaserve Rohit</v>
      </c>
      <c r="M426" s="185"/>
      <c r="N426" s="186"/>
      <c r="O426" s="186"/>
      <c r="P426" s="186"/>
      <c r="Q426" s="186"/>
      <c r="R426" s="193"/>
    </row>
    <row r="427">
      <c r="A427" s="22" t="s">
        <v>1642</v>
      </c>
      <c r="B427" s="28" t="s">
        <v>2073</v>
      </c>
      <c r="C427" s="28" t="s">
        <v>311</v>
      </c>
      <c r="D427" s="28" t="s">
        <v>1160</v>
      </c>
      <c r="E427" s="28" t="s">
        <v>1179</v>
      </c>
      <c r="F427" s="19" t="str">
        <f t="shared" si="1"/>
        <v>Megaserve Rohit</v>
      </c>
      <c r="M427" s="185"/>
      <c r="N427" s="186"/>
      <c r="O427" s="186"/>
      <c r="P427" s="186"/>
      <c r="Q427" s="186"/>
      <c r="R427" s="193"/>
    </row>
    <row r="428">
      <c r="A428" s="22" t="s">
        <v>1122</v>
      </c>
      <c r="B428" s="28" t="s">
        <v>2075</v>
      </c>
      <c r="C428" s="28" t="s">
        <v>311</v>
      </c>
      <c r="D428" s="28" t="s">
        <v>1160</v>
      </c>
      <c r="E428" s="28" t="s">
        <v>1179</v>
      </c>
      <c r="F428" s="19" t="str">
        <f t="shared" si="1"/>
        <v>Megaserve Rohit</v>
      </c>
      <c r="M428" s="185"/>
      <c r="N428" s="186"/>
      <c r="O428" s="186"/>
      <c r="P428" s="186"/>
      <c r="Q428" s="186"/>
      <c r="R428" s="193"/>
    </row>
    <row r="429">
      <c r="A429" s="22" t="s">
        <v>2077</v>
      </c>
      <c r="B429" s="28" t="s">
        <v>2079</v>
      </c>
      <c r="C429" s="28" t="s">
        <v>646</v>
      </c>
      <c r="D429" s="28" t="s">
        <v>1160</v>
      </c>
      <c r="E429" s="28" t="s">
        <v>1182</v>
      </c>
      <c r="F429" s="19" t="str">
        <f t="shared" si="1"/>
        <v>Megaserve Rohit Govinda</v>
      </c>
      <c r="M429" s="185"/>
      <c r="N429" s="186"/>
      <c r="O429" s="186"/>
      <c r="P429" s="186"/>
      <c r="Q429" s="186"/>
      <c r="R429" s="76"/>
    </row>
    <row r="430">
      <c r="A430" s="22" t="s">
        <v>656</v>
      </c>
      <c r="B430" s="28" t="s">
        <v>2080</v>
      </c>
      <c r="C430" s="28" t="s">
        <v>266</v>
      </c>
      <c r="D430" s="28" t="s">
        <v>1160</v>
      </c>
      <c r="E430" s="28" t="s">
        <v>1161</v>
      </c>
      <c r="F430" s="19" t="str">
        <f t="shared" si="1"/>
        <v>Megaserve Jainam</v>
      </c>
      <c r="M430" s="185"/>
      <c r="N430" s="186"/>
      <c r="O430" s="186"/>
      <c r="P430" s="186"/>
      <c r="Q430" s="186"/>
      <c r="R430" s="193"/>
    </row>
    <row r="431">
      <c r="A431" s="22" t="s">
        <v>447</v>
      </c>
      <c r="B431" s="28" t="s">
        <v>2082</v>
      </c>
      <c r="C431" s="28" t="s">
        <v>311</v>
      </c>
      <c r="D431" s="28" t="s">
        <v>1160</v>
      </c>
      <c r="E431" s="28" t="s">
        <v>1179</v>
      </c>
      <c r="F431" s="19" t="str">
        <f t="shared" si="1"/>
        <v>Megaserve Rohit</v>
      </c>
      <c r="M431" s="185"/>
      <c r="N431" s="186"/>
      <c r="O431" s="186"/>
      <c r="P431" s="186"/>
      <c r="Q431" s="186"/>
      <c r="R431" s="76"/>
    </row>
    <row r="432">
      <c r="A432" s="22" t="s">
        <v>543</v>
      </c>
      <c r="B432" s="28" t="s">
        <v>2083</v>
      </c>
      <c r="C432" s="28" t="s">
        <v>829</v>
      </c>
      <c r="D432" s="28" t="s">
        <v>1160</v>
      </c>
      <c r="E432" s="28" t="s">
        <v>1179</v>
      </c>
      <c r="F432" s="19" t="str">
        <f t="shared" si="1"/>
        <v>Megaserve Rohit</v>
      </c>
      <c r="M432" s="185"/>
      <c r="N432" s="186"/>
      <c r="O432" s="186"/>
      <c r="P432" s="186"/>
      <c r="Q432" s="186"/>
      <c r="R432" s="193"/>
    </row>
    <row r="433">
      <c r="A433" s="22" t="s">
        <v>552</v>
      </c>
      <c r="B433" s="28" t="s">
        <v>2085</v>
      </c>
      <c r="C433" s="28" t="s">
        <v>232</v>
      </c>
      <c r="D433" s="28" t="s">
        <v>1160</v>
      </c>
      <c r="E433" s="28" t="s">
        <v>1179</v>
      </c>
      <c r="F433" s="19" t="str">
        <f t="shared" si="1"/>
        <v>Megaserve Rohit</v>
      </c>
      <c r="M433" s="185"/>
      <c r="N433" s="186"/>
      <c r="O433" s="186"/>
      <c r="P433" s="186"/>
      <c r="Q433" s="186"/>
      <c r="R433" s="186"/>
    </row>
    <row r="434">
      <c r="A434" s="22" t="s">
        <v>517</v>
      </c>
      <c r="B434" s="28" t="s">
        <v>2088</v>
      </c>
      <c r="C434" s="28" t="s">
        <v>232</v>
      </c>
      <c r="D434" s="28" t="s">
        <v>1160</v>
      </c>
      <c r="E434" s="28" t="s">
        <v>1179</v>
      </c>
      <c r="F434" s="19" t="str">
        <f t="shared" si="1"/>
        <v>Megaserve Rohit</v>
      </c>
      <c r="M434" s="185"/>
      <c r="N434" s="186"/>
      <c r="O434" s="186"/>
      <c r="P434" s="186"/>
      <c r="Q434" s="186"/>
      <c r="R434" s="186"/>
    </row>
    <row r="435">
      <c r="A435" s="22" t="s">
        <v>2090</v>
      </c>
      <c r="B435" s="28" t="s">
        <v>2090</v>
      </c>
      <c r="C435" s="28" t="s">
        <v>2091</v>
      </c>
      <c r="D435" s="28" t="s">
        <v>1160</v>
      </c>
      <c r="E435" s="28" t="s">
        <v>1161</v>
      </c>
      <c r="F435" s="19" t="str">
        <f t="shared" si="1"/>
        <v>Megaserve Jainam</v>
      </c>
      <c r="M435" s="185"/>
      <c r="N435" s="186"/>
      <c r="O435" s="186"/>
      <c r="P435" s="186"/>
      <c r="Q435" s="186"/>
      <c r="R435" s="76"/>
    </row>
    <row r="436">
      <c r="A436" s="22" t="s">
        <v>2092</v>
      </c>
      <c r="B436" s="28" t="s">
        <v>2093</v>
      </c>
      <c r="C436" s="28" t="s">
        <v>311</v>
      </c>
      <c r="D436" s="28" t="s">
        <v>1160</v>
      </c>
      <c r="E436" s="28" t="s">
        <v>1179</v>
      </c>
      <c r="F436" s="19" t="str">
        <f t="shared" si="1"/>
        <v>Megaserve Rohit</v>
      </c>
      <c r="M436" s="185"/>
      <c r="N436" s="203"/>
      <c r="O436" s="186"/>
      <c r="P436" s="186"/>
      <c r="Q436" s="186"/>
      <c r="R436" s="76"/>
    </row>
    <row r="437">
      <c r="A437" s="22" t="s">
        <v>2094</v>
      </c>
      <c r="B437" s="28" t="s">
        <v>2095</v>
      </c>
      <c r="C437" s="28" t="s">
        <v>829</v>
      </c>
      <c r="D437" s="28" t="s">
        <v>1160</v>
      </c>
      <c r="E437" s="28" t="s">
        <v>1179</v>
      </c>
      <c r="F437" s="19" t="str">
        <f t="shared" si="1"/>
        <v>Megaserve Rohit</v>
      </c>
      <c r="M437" s="185"/>
      <c r="N437" s="203"/>
      <c r="O437" s="186"/>
      <c r="P437" s="186"/>
      <c r="Q437" s="186"/>
      <c r="R437" s="193"/>
    </row>
    <row r="438">
      <c r="A438" s="22" t="s">
        <v>482</v>
      </c>
      <c r="B438" s="28" t="s">
        <v>2096</v>
      </c>
      <c r="C438" s="28" t="s">
        <v>232</v>
      </c>
      <c r="D438" s="28" t="s">
        <v>1160</v>
      </c>
      <c r="E438" s="28" t="s">
        <v>1179</v>
      </c>
      <c r="F438" s="19" t="str">
        <f t="shared" si="1"/>
        <v>Megaserve Rohit</v>
      </c>
      <c r="M438" s="185"/>
      <c r="N438" s="203"/>
      <c r="O438" s="186"/>
      <c r="P438" s="186"/>
      <c r="Q438" s="186"/>
      <c r="R438" s="186"/>
    </row>
    <row r="439">
      <c r="A439" s="22" t="s">
        <v>2099</v>
      </c>
      <c r="B439" s="28" t="s">
        <v>2100</v>
      </c>
      <c r="C439" s="28" t="s">
        <v>311</v>
      </c>
      <c r="D439" s="28" t="s">
        <v>1160</v>
      </c>
      <c r="E439" s="28" t="s">
        <v>1179</v>
      </c>
      <c r="F439" s="19" t="str">
        <f t="shared" si="1"/>
        <v>Megaserve Rohit</v>
      </c>
      <c r="M439" s="185"/>
      <c r="N439" s="203"/>
      <c r="O439" s="186"/>
      <c r="P439" s="186"/>
      <c r="Q439" s="186"/>
      <c r="R439" s="186"/>
    </row>
    <row r="440">
      <c r="A440" s="22" t="s">
        <v>695</v>
      </c>
      <c r="B440" s="28" t="s">
        <v>2101</v>
      </c>
      <c r="C440" s="28" t="s">
        <v>311</v>
      </c>
      <c r="D440" s="28" t="s">
        <v>1160</v>
      </c>
      <c r="E440" s="28" t="s">
        <v>1179</v>
      </c>
      <c r="F440" s="19" t="str">
        <f t="shared" si="1"/>
        <v>Megaserve Rohit</v>
      </c>
      <c r="M440" s="185"/>
      <c r="N440" s="203"/>
      <c r="O440" s="186"/>
      <c r="P440" s="186"/>
      <c r="Q440" s="186"/>
      <c r="R440" s="193"/>
    </row>
    <row r="441">
      <c r="A441" s="22" t="s">
        <v>589</v>
      </c>
      <c r="B441" s="28" t="s">
        <v>2103</v>
      </c>
      <c r="C441" s="28" t="s">
        <v>232</v>
      </c>
      <c r="D441" s="28" t="s">
        <v>1160</v>
      </c>
      <c r="E441" s="28" t="s">
        <v>1179</v>
      </c>
      <c r="F441" s="19" t="str">
        <f t="shared" si="1"/>
        <v>Megaserve Rohit</v>
      </c>
      <c r="M441" s="185"/>
      <c r="N441" s="203"/>
      <c r="O441" s="186"/>
      <c r="P441" s="186"/>
      <c r="Q441" s="186"/>
      <c r="R441" s="186"/>
    </row>
    <row r="442">
      <c r="A442" s="22" t="s">
        <v>293</v>
      </c>
      <c r="B442" s="28" t="s">
        <v>294</v>
      </c>
      <c r="C442" s="28" t="s">
        <v>266</v>
      </c>
      <c r="D442" s="28" t="s">
        <v>1160</v>
      </c>
      <c r="E442" s="28" t="s">
        <v>1161</v>
      </c>
      <c r="F442" s="19" t="str">
        <f t="shared" si="1"/>
        <v>Megaserve Jainam</v>
      </c>
      <c r="M442" s="185"/>
      <c r="N442" s="203"/>
      <c r="O442" s="186"/>
      <c r="P442" s="186"/>
      <c r="Q442" s="186"/>
      <c r="R442" s="186"/>
    </row>
    <row r="443">
      <c r="A443" s="22" t="s">
        <v>393</v>
      </c>
      <c r="B443" s="28" t="s">
        <v>2107</v>
      </c>
      <c r="C443" s="28" t="s">
        <v>829</v>
      </c>
      <c r="D443" s="28" t="s">
        <v>1160</v>
      </c>
      <c r="E443" s="28" t="s">
        <v>1179</v>
      </c>
      <c r="F443" s="19" t="str">
        <f t="shared" si="1"/>
        <v>Megaserve Rohit</v>
      </c>
      <c r="M443" s="185"/>
      <c r="N443" s="186"/>
      <c r="O443" s="186"/>
      <c r="P443" s="186"/>
      <c r="Q443" s="186"/>
      <c r="R443" s="76"/>
    </row>
    <row r="444">
      <c r="A444" s="22" t="s">
        <v>540</v>
      </c>
      <c r="B444" s="28" t="s">
        <v>2108</v>
      </c>
      <c r="C444" s="28" t="s">
        <v>829</v>
      </c>
      <c r="D444" s="28" t="s">
        <v>1160</v>
      </c>
      <c r="E444" s="28" t="s">
        <v>1179</v>
      </c>
      <c r="F444" s="19" t="str">
        <f t="shared" si="1"/>
        <v>Megaserve Rohit</v>
      </c>
      <c r="M444" s="185"/>
      <c r="N444" s="186"/>
      <c r="O444" s="186"/>
      <c r="P444" s="186"/>
      <c r="Q444" s="186"/>
      <c r="R444" s="76"/>
    </row>
    <row r="445">
      <c r="A445" s="22" t="s">
        <v>605</v>
      </c>
      <c r="B445" s="28" t="s">
        <v>2110</v>
      </c>
      <c r="C445" s="28" t="s">
        <v>311</v>
      </c>
      <c r="D445" s="28" t="s">
        <v>1160</v>
      </c>
      <c r="E445" s="28" t="s">
        <v>1179</v>
      </c>
      <c r="F445" s="19" t="str">
        <f t="shared" si="1"/>
        <v>Megaserve Rohit</v>
      </c>
      <c r="M445" s="185"/>
      <c r="N445" s="186"/>
      <c r="O445" s="186"/>
      <c r="P445" s="186"/>
      <c r="Q445" s="186"/>
      <c r="R445" s="76"/>
    </row>
    <row r="446">
      <c r="A446" s="22" t="s">
        <v>2112</v>
      </c>
      <c r="B446" s="28" t="s">
        <v>2113</v>
      </c>
      <c r="C446" s="28" t="s">
        <v>311</v>
      </c>
      <c r="D446" s="28" t="s">
        <v>1160</v>
      </c>
      <c r="E446" s="28" t="s">
        <v>1179</v>
      </c>
      <c r="F446" s="19" t="str">
        <f t="shared" si="1"/>
        <v>Megaserve Rohit</v>
      </c>
      <c r="M446" s="185"/>
      <c r="N446" s="203"/>
      <c r="O446" s="186"/>
      <c r="P446" s="186"/>
      <c r="Q446" s="186"/>
      <c r="R446" s="193"/>
    </row>
    <row r="447">
      <c r="A447" s="22" t="s">
        <v>437</v>
      </c>
      <c r="B447" s="28" t="s">
        <v>2114</v>
      </c>
      <c r="C447" s="28" t="s">
        <v>311</v>
      </c>
      <c r="D447" s="28" t="s">
        <v>1160</v>
      </c>
      <c r="E447" s="28" t="s">
        <v>1179</v>
      </c>
      <c r="F447" s="19" t="str">
        <f t="shared" si="1"/>
        <v>Megaserve Rohit</v>
      </c>
      <c r="M447" s="185"/>
      <c r="N447" s="186"/>
      <c r="O447" s="186"/>
      <c r="P447" s="186"/>
      <c r="Q447" s="186"/>
      <c r="R447" s="186"/>
    </row>
    <row r="448">
      <c r="A448" s="22" t="s">
        <v>2115</v>
      </c>
      <c r="B448" s="28" t="s">
        <v>2116</v>
      </c>
      <c r="C448" s="28" t="s">
        <v>232</v>
      </c>
      <c r="D448" s="28" t="s">
        <v>1160</v>
      </c>
      <c r="E448" s="28" t="s">
        <v>1179</v>
      </c>
      <c r="F448" s="19" t="str">
        <f t="shared" si="1"/>
        <v>Megaserve Rohit</v>
      </c>
      <c r="M448" s="185"/>
      <c r="N448" s="186"/>
      <c r="O448" s="186"/>
      <c r="P448" s="186"/>
      <c r="Q448" s="186"/>
      <c r="R448" s="186"/>
    </row>
    <row r="449">
      <c r="A449" s="22" t="s">
        <v>2117</v>
      </c>
      <c r="B449" s="28" t="s">
        <v>2118</v>
      </c>
      <c r="C449" s="28" t="s">
        <v>311</v>
      </c>
      <c r="D449" s="28" t="s">
        <v>1160</v>
      </c>
      <c r="E449" s="28" t="s">
        <v>1179</v>
      </c>
      <c r="F449" s="19" t="str">
        <f t="shared" si="1"/>
        <v>Megaserve Rohit</v>
      </c>
      <c r="M449" s="185"/>
      <c r="N449" s="186"/>
      <c r="O449" s="186"/>
      <c r="P449" s="186"/>
      <c r="Q449" s="186"/>
      <c r="R449" s="186"/>
    </row>
    <row r="450">
      <c r="A450" s="22" t="s">
        <v>2119</v>
      </c>
      <c r="B450" s="28" t="s">
        <v>2121</v>
      </c>
      <c r="C450" s="28" t="s">
        <v>311</v>
      </c>
      <c r="D450" s="28" t="s">
        <v>1160</v>
      </c>
      <c r="E450" s="28" t="s">
        <v>1179</v>
      </c>
      <c r="F450" s="19" t="str">
        <f t="shared" si="1"/>
        <v>Megaserve Rohit</v>
      </c>
      <c r="M450" s="185"/>
      <c r="N450" s="186"/>
      <c r="O450" s="186"/>
      <c r="P450" s="186"/>
      <c r="Q450" s="186"/>
      <c r="R450" s="186"/>
    </row>
    <row r="451">
      <c r="A451" s="22" t="s">
        <v>2122</v>
      </c>
      <c r="B451" s="28" t="s">
        <v>2123</v>
      </c>
      <c r="C451" s="28" t="s">
        <v>311</v>
      </c>
      <c r="D451" s="28" t="s">
        <v>1160</v>
      </c>
      <c r="E451" s="28" t="s">
        <v>1172</v>
      </c>
      <c r="F451" s="19" t="str">
        <f t="shared" si="1"/>
        <v>Megaserve Nandkishore</v>
      </c>
      <c r="M451" s="185"/>
      <c r="N451" s="186"/>
      <c r="O451" s="186"/>
      <c r="P451" s="186"/>
      <c r="Q451" s="186"/>
      <c r="R451" s="186"/>
    </row>
    <row r="452">
      <c r="A452" s="22" t="s">
        <v>454</v>
      </c>
      <c r="B452" s="28" t="s">
        <v>2124</v>
      </c>
      <c r="C452" s="28" t="s">
        <v>311</v>
      </c>
      <c r="D452" s="28" t="s">
        <v>1160</v>
      </c>
      <c r="E452" s="28" t="s">
        <v>1179</v>
      </c>
      <c r="F452" s="19" t="str">
        <f t="shared" si="1"/>
        <v>Megaserve Rohit</v>
      </c>
      <c r="M452" s="185"/>
      <c r="N452" s="186"/>
      <c r="O452" s="186"/>
      <c r="P452" s="186"/>
      <c r="Q452" s="186"/>
      <c r="R452" s="186"/>
    </row>
    <row r="453">
      <c r="A453" s="22" t="s">
        <v>1618</v>
      </c>
      <c r="B453" s="28" t="s">
        <v>2113</v>
      </c>
      <c r="C453" s="28" t="s">
        <v>311</v>
      </c>
      <c r="D453" s="28" t="s">
        <v>1160</v>
      </c>
      <c r="E453" s="28" t="s">
        <v>1179</v>
      </c>
      <c r="F453" s="19" t="str">
        <f t="shared" si="1"/>
        <v>Megaserve Rohit</v>
      </c>
      <c r="M453" s="185"/>
      <c r="N453" s="222"/>
      <c r="O453" s="186"/>
      <c r="P453" s="186"/>
      <c r="Q453" s="186"/>
      <c r="R453" s="193"/>
    </row>
    <row r="454">
      <c r="A454" s="22" t="s">
        <v>378</v>
      </c>
      <c r="B454" s="28" t="s">
        <v>2116</v>
      </c>
      <c r="C454" s="28" t="s">
        <v>232</v>
      </c>
      <c r="D454" s="28" t="s">
        <v>1160</v>
      </c>
      <c r="E454" s="28" t="s">
        <v>1179</v>
      </c>
      <c r="F454" s="19" t="str">
        <f t="shared" si="1"/>
        <v>Megaserve Rohit</v>
      </c>
      <c r="M454" s="185"/>
      <c r="N454" s="186"/>
      <c r="O454" s="186"/>
      <c r="P454" s="186"/>
      <c r="Q454" s="186"/>
      <c r="R454" s="186"/>
    </row>
    <row r="455">
      <c r="A455" s="22" t="s">
        <v>275</v>
      </c>
      <c r="B455" s="28" t="s">
        <v>2129</v>
      </c>
      <c r="C455" s="28" t="s">
        <v>272</v>
      </c>
      <c r="D455" s="28" t="s">
        <v>1160</v>
      </c>
      <c r="E455" s="28" t="s">
        <v>1161</v>
      </c>
      <c r="F455" s="19" t="str">
        <f t="shared" si="1"/>
        <v>Megaserve Jainam</v>
      </c>
      <c r="M455" s="185"/>
      <c r="N455" s="203"/>
      <c r="O455" s="186"/>
      <c r="P455" s="186"/>
      <c r="Q455" s="186"/>
      <c r="R455" s="193"/>
    </row>
    <row r="456">
      <c r="A456" s="22" t="s">
        <v>610</v>
      </c>
      <c r="B456" s="28" t="s">
        <v>2130</v>
      </c>
      <c r="C456" s="28" t="s">
        <v>272</v>
      </c>
      <c r="D456" s="28" t="s">
        <v>1160</v>
      </c>
      <c r="E456" s="28" t="s">
        <v>1161</v>
      </c>
      <c r="F456" s="19" t="str">
        <f t="shared" si="1"/>
        <v>Megaserve Jainam</v>
      </c>
      <c r="M456" s="185"/>
      <c r="N456" s="203"/>
      <c r="O456" s="186"/>
      <c r="P456" s="186"/>
      <c r="Q456" s="186"/>
      <c r="R456" s="186"/>
    </row>
    <row r="457">
      <c r="A457" s="22" t="s">
        <v>2131</v>
      </c>
      <c r="B457" s="28" t="s">
        <v>2132</v>
      </c>
      <c r="C457" s="28" t="s">
        <v>285</v>
      </c>
      <c r="D457" s="28" t="s">
        <v>1160</v>
      </c>
      <c r="E457" s="28" t="s">
        <v>1161</v>
      </c>
      <c r="F457" s="19" t="str">
        <f t="shared" si="1"/>
        <v>Megaserve Jainam</v>
      </c>
      <c r="M457" s="185"/>
      <c r="N457" s="186"/>
      <c r="O457" s="186"/>
      <c r="P457" s="186"/>
      <c r="Q457" s="186"/>
      <c r="R457" s="76"/>
    </row>
    <row r="458">
      <c r="A458" s="22" t="s">
        <v>594</v>
      </c>
      <c r="B458" s="28" t="s">
        <v>2133</v>
      </c>
      <c r="C458" s="28" t="s">
        <v>266</v>
      </c>
      <c r="D458" s="28" t="s">
        <v>1160</v>
      </c>
      <c r="E458" s="28" t="s">
        <v>1161</v>
      </c>
      <c r="F458" s="19" t="str">
        <f t="shared" si="1"/>
        <v>Megaserve Jainam</v>
      </c>
      <c r="M458" s="185"/>
      <c r="N458" s="186"/>
      <c r="O458" s="186"/>
      <c r="P458" s="186"/>
      <c r="Q458" s="186"/>
      <c r="R458" s="76"/>
    </row>
    <row r="459">
      <c r="A459" s="22" t="s">
        <v>2134</v>
      </c>
      <c r="B459" s="28" t="s">
        <v>2135</v>
      </c>
      <c r="C459" s="28" t="s">
        <v>285</v>
      </c>
      <c r="D459" s="28" t="s">
        <v>1160</v>
      </c>
      <c r="E459" s="28" t="s">
        <v>1161</v>
      </c>
      <c r="F459" s="19" t="str">
        <f t="shared" si="1"/>
        <v>Megaserve Jainam</v>
      </c>
      <c r="M459" s="185"/>
      <c r="N459" s="203"/>
      <c r="O459" s="186"/>
      <c r="P459" s="186"/>
      <c r="Q459" s="186"/>
      <c r="R459" s="76"/>
    </row>
    <row r="460">
      <c r="A460" s="22" t="s">
        <v>381</v>
      </c>
      <c r="B460" s="28" t="s">
        <v>2137</v>
      </c>
      <c r="C460" s="28" t="s">
        <v>311</v>
      </c>
      <c r="D460" s="28" t="s">
        <v>1160</v>
      </c>
      <c r="E460" s="28" t="s">
        <v>1179</v>
      </c>
      <c r="F460" s="19" t="str">
        <f t="shared" si="1"/>
        <v>Megaserve Rohit</v>
      </c>
      <c r="M460" s="185"/>
      <c r="N460" s="203"/>
      <c r="O460" s="186"/>
      <c r="P460" s="186"/>
      <c r="Q460" s="186"/>
      <c r="R460" s="76"/>
    </row>
    <row r="461">
      <c r="A461" s="22" t="s">
        <v>575</v>
      </c>
      <c r="B461" s="28" t="s">
        <v>2138</v>
      </c>
      <c r="C461" s="28" t="s">
        <v>311</v>
      </c>
      <c r="D461" s="28" t="s">
        <v>1160</v>
      </c>
      <c r="E461" s="28" t="s">
        <v>1179</v>
      </c>
      <c r="F461" s="19" t="str">
        <f t="shared" si="1"/>
        <v>Megaserve Rohit</v>
      </c>
      <c r="M461" s="185"/>
      <c r="N461" s="203"/>
      <c r="O461" s="186"/>
      <c r="P461" s="186"/>
      <c r="Q461" s="186"/>
      <c r="R461" s="76"/>
    </row>
    <row r="462">
      <c r="A462" s="22" t="s">
        <v>1104</v>
      </c>
      <c r="B462" s="28" t="s">
        <v>2139</v>
      </c>
      <c r="C462" s="28" t="s">
        <v>232</v>
      </c>
      <c r="D462" s="28" t="s">
        <v>1160</v>
      </c>
      <c r="E462" s="28" t="s">
        <v>1179</v>
      </c>
      <c r="F462" s="19" t="str">
        <f t="shared" si="1"/>
        <v>Megaserve Rohit</v>
      </c>
      <c r="M462" s="185"/>
      <c r="N462" s="186"/>
      <c r="O462" s="186"/>
      <c r="P462" s="186"/>
      <c r="Q462" s="186"/>
      <c r="R462" s="193"/>
    </row>
    <row r="463">
      <c r="A463" s="22" t="s">
        <v>270</v>
      </c>
      <c r="B463" s="28" t="s">
        <v>2140</v>
      </c>
      <c r="C463" s="28" t="s">
        <v>272</v>
      </c>
      <c r="D463" s="28" t="s">
        <v>1160</v>
      </c>
      <c r="E463" s="28" t="s">
        <v>1161</v>
      </c>
      <c r="F463" s="19" t="str">
        <f t="shared" si="1"/>
        <v>Megaserve Jainam</v>
      </c>
      <c r="M463" s="185"/>
      <c r="N463" s="203"/>
      <c r="O463" s="186"/>
      <c r="P463" s="186"/>
      <c r="Q463" s="186"/>
      <c r="R463" s="76"/>
    </row>
    <row r="464">
      <c r="A464" s="22" t="s">
        <v>602</v>
      </c>
      <c r="B464" s="28" t="s">
        <v>603</v>
      </c>
      <c r="C464" s="28" t="s">
        <v>272</v>
      </c>
      <c r="D464" s="28" t="s">
        <v>1160</v>
      </c>
      <c r="E464" s="28" t="s">
        <v>1161</v>
      </c>
      <c r="F464" s="19" t="str">
        <f t="shared" si="1"/>
        <v>Megaserve Jainam</v>
      </c>
      <c r="M464" s="185"/>
      <c r="N464" s="203"/>
      <c r="O464" s="186"/>
      <c r="P464" s="186"/>
      <c r="Q464" s="186"/>
      <c r="R464" s="76"/>
    </row>
    <row r="465">
      <c r="A465" s="22" t="s">
        <v>446</v>
      </c>
      <c r="B465" s="28" t="s">
        <v>2143</v>
      </c>
      <c r="C465" s="28" t="s">
        <v>311</v>
      </c>
      <c r="D465" s="28" t="s">
        <v>1160</v>
      </c>
      <c r="E465" s="28" t="s">
        <v>1179</v>
      </c>
      <c r="F465" s="19" t="str">
        <f t="shared" si="1"/>
        <v>Megaserve Rohit</v>
      </c>
      <c r="M465" s="185"/>
      <c r="N465" s="186"/>
      <c r="O465" s="186"/>
      <c r="P465" s="186"/>
      <c r="Q465" s="186"/>
      <c r="R465" s="76"/>
    </row>
    <row r="466">
      <c r="A466" s="22" t="s">
        <v>362</v>
      </c>
      <c r="B466" s="28" t="s">
        <v>2144</v>
      </c>
      <c r="C466" s="28" t="s">
        <v>311</v>
      </c>
      <c r="D466" s="28" t="s">
        <v>1160</v>
      </c>
      <c r="E466" s="28" t="s">
        <v>1179</v>
      </c>
      <c r="F466" s="19" t="str">
        <f t="shared" si="1"/>
        <v>Megaserve Rohit</v>
      </c>
      <c r="M466" s="185"/>
      <c r="N466" s="203"/>
      <c r="O466" s="186"/>
      <c r="P466" s="186"/>
      <c r="Q466" s="186"/>
      <c r="R466" s="76"/>
    </row>
    <row r="467">
      <c r="A467" s="22" t="s">
        <v>442</v>
      </c>
      <c r="B467" s="28" t="s">
        <v>2148</v>
      </c>
      <c r="C467" s="28" t="s">
        <v>311</v>
      </c>
      <c r="D467" s="28" t="s">
        <v>1152</v>
      </c>
      <c r="E467" s="28" t="s">
        <v>1156</v>
      </c>
      <c r="F467" s="19" t="str">
        <f t="shared" si="1"/>
        <v>Capital Compound Govinda</v>
      </c>
      <c r="M467" s="185"/>
      <c r="N467" s="203"/>
      <c r="O467" s="186"/>
      <c r="P467" s="186"/>
      <c r="Q467" s="186"/>
      <c r="R467" s="193"/>
    </row>
    <row r="468">
      <c r="A468" s="22" t="s">
        <v>1891</v>
      </c>
      <c r="B468" s="28" t="s">
        <v>1766</v>
      </c>
      <c r="C468" s="28" t="s">
        <v>311</v>
      </c>
      <c r="D468" s="28" t="s">
        <v>1160</v>
      </c>
      <c r="E468" s="28" t="s">
        <v>1179</v>
      </c>
      <c r="F468" s="19" t="str">
        <f t="shared" si="1"/>
        <v>Megaserve Rohit</v>
      </c>
      <c r="M468" s="185"/>
      <c r="N468" s="186"/>
      <c r="O468" s="186"/>
      <c r="P468" s="186"/>
      <c r="Q468" s="186"/>
      <c r="R468" s="76"/>
    </row>
    <row r="469">
      <c r="A469" s="22" t="s">
        <v>581</v>
      </c>
      <c r="B469" s="28" t="s">
        <v>2151</v>
      </c>
      <c r="C469" s="28" t="s">
        <v>311</v>
      </c>
      <c r="D469" s="28" t="s">
        <v>1160</v>
      </c>
      <c r="E469" s="28" t="s">
        <v>1179</v>
      </c>
      <c r="F469" s="19" t="str">
        <f t="shared" si="1"/>
        <v>Megaserve Rohit</v>
      </c>
      <c r="M469" s="185"/>
      <c r="N469" s="203"/>
      <c r="O469" s="186"/>
      <c r="P469" s="186"/>
      <c r="Q469" s="186"/>
      <c r="R469" s="186"/>
    </row>
    <row r="470">
      <c r="A470" s="22" t="s">
        <v>372</v>
      </c>
      <c r="B470" s="28" t="s">
        <v>374</v>
      </c>
      <c r="C470" s="28" t="s">
        <v>232</v>
      </c>
      <c r="D470" s="28" t="s">
        <v>1160</v>
      </c>
      <c r="E470" s="28" t="s">
        <v>1176</v>
      </c>
      <c r="F470" s="19" t="str">
        <f t="shared" si="1"/>
        <v>Megaserve Plantitude</v>
      </c>
      <c r="M470" s="185"/>
      <c r="N470" s="203"/>
      <c r="O470" s="186"/>
      <c r="P470" s="186"/>
      <c r="Q470" s="186"/>
      <c r="R470" s="186"/>
    </row>
    <row r="471">
      <c r="A471" s="22" t="s">
        <v>2152</v>
      </c>
      <c r="B471" s="28" t="s">
        <v>2152</v>
      </c>
      <c r="C471" s="28" t="s">
        <v>2091</v>
      </c>
      <c r="D471" s="28" t="s">
        <v>1160</v>
      </c>
      <c r="E471" s="28" t="s">
        <v>1161</v>
      </c>
      <c r="F471" s="19" t="str">
        <f t="shared" si="1"/>
        <v>Megaserve Jainam</v>
      </c>
      <c r="M471" s="185"/>
      <c r="N471" s="203"/>
      <c r="O471" s="186"/>
      <c r="P471" s="186"/>
      <c r="Q471" s="186"/>
      <c r="R471" s="193"/>
    </row>
    <row r="472">
      <c r="A472" s="22" t="s">
        <v>333</v>
      </c>
      <c r="B472" s="28" t="s">
        <v>2153</v>
      </c>
      <c r="C472" s="28" t="s">
        <v>311</v>
      </c>
      <c r="D472" s="28" t="s">
        <v>1160</v>
      </c>
      <c r="E472" s="28" t="s">
        <v>1179</v>
      </c>
      <c r="F472" s="19" t="str">
        <f t="shared" si="1"/>
        <v>Megaserve Rohit</v>
      </c>
      <c r="M472" s="185"/>
      <c r="N472" s="203"/>
      <c r="O472" s="186"/>
      <c r="P472" s="186"/>
      <c r="Q472" s="186"/>
      <c r="R472" s="186"/>
    </row>
    <row r="473">
      <c r="A473" s="22" t="s">
        <v>364</v>
      </c>
      <c r="B473" s="28" t="s">
        <v>2154</v>
      </c>
      <c r="C473" s="28" t="s">
        <v>311</v>
      </c>
      <c r="D473" s="28" t="s">
        <v>1160</v>
      </c>
      <c r="E473" s="28" t="s">
        <v>1179</v>
      </c>
      <c r="F473" s="19" t="str">
        <f t="shared" si="1"/>
        <v>Megaserve Rohit</v>
      </c>
      <c r="M473" s="185"/>
      <c r="N473" s="203"/>
      <c r="O473" s="186"/>
      <c r="P473" s="186"/>
      <c r="Q473" s="186"/>
      <c r="R473" s="193"/>
    </row>
    <row r="474">
      <c r="A474" s="22" t="s">
        <v>392</v>
      </c>
      <c r="B474" s="28" t="s">
        <v>2155</v>
      </c>
      <c r="C474" s="28" t="s">
        <v>311</v>
      </c>
      <c r="D474" s="28" t="s">
        <v>1160</v>
      </c>
      <c r="E474" s="28" t="s">
        <v>1179</v>
      </c>
      <c r="F474" s="19" t="str">
        <f t="shared" si="1"/>
        <v>Megaserve Rohit</v>
      </c>
      <c r="M474" s="185"/>
      <c r="N474" s="203"/>
      <c r="O474" s="186"/>
      <c r="P474" s="186"/>
      <c r="Q474" s="186"/>
      <c r="R474" s="76"/>
    </row>
    <row r="475">
      <c r="A475" s="22" t="s">
        <v>405</v>
      </c>
      <c r="B475" s="28" t="s">
        <v>2156</v>
      </c>
      <c r="C475" s="28" t="s">
        <v>311</v>
      </c>
      <c r="D475" s="28" t="s">
        <v>1160</v>
      </c>
      <c r="E475" s="28" t="s">
        <v>1179</v>
      </c>
      <c r="F475" s="19" t="str">
        <f t="shared" si="1"/>
        <v>Megaserve Rohit</v>
      </c>
      <c r="M475" s="185"/>
      <c r="N475" s="203"/>
      <c r="O475" s="186"/>
      <c r="P475" s="186"/>
      <c r="Q475" s="186"/>
      <c r="R475" s="76"/>
    </row>
    <row r="476">
      <c r="A476" s="22" t="s">
        <v>539</v>
      </c>
      <c r="B476" s="28" t="s">
        <v>2160</v>
      </c>
      <c r="C476" s="28" t="s">
        <v>311</v>
      </c>
      <c r="D476" s="28" t="s">
        <v>1160</v>
      </c>
      <c r="E476" s="28" t="s">
        <v>1179</v>
      </c>
      <c r="F476" s="19" t="str">
        <f t="shared" si="1"/>
        <v>Megaserve Rohit</v>
      </c>
      <c r="M476" s="185"/>
      <c r="N476" s="203"/>
      <c r="O476" s="186"/>
      <c r="P476" s="186"/>
      <c r="Q476" s="186"/>
      <c r="R476" s="76"/>
    </row>
    <row r="477">
      <c r="A477" s="22" t="s">
        <v>568</v>
      </c>
      <c r="B477" s="28" t="s">
        <v>2162</v>
      </c>
      <c r="C477" s="28" t="s">
        <v>232</v>
      </c>
      <c r="D477" s="28" t="s">
        <v>1160</v>
      </c>
      <c r="E477" s="28" t="s">
        <v>1179</v>
      </c>
      <c r="F477" s="19" t="str">
        <f t="shared" si="1"/>
        <v>Megaserve Rohit</v>
      </c>
      <c r="M477" s="185"/>
      <c r="N477" s="186"/>
      <c r="O477" s="186"/>
      <c r="P477" s="186"/>
      <c r="Q477" s="186"/>
      <c r="R477" s="76"/>
    </row>
    <row r="478">
      <c r="A478" s="22" t="s">
        <v>363</v>
      </c>
      <c r="B478" s="28" t="s">
        <v>2164</v>
      </c>
      <c r="C478" s="28" t="s">
        <v>965</v>
      </c>
      <c r="D478" s="28" t="s">
        <v>1160</v>
      </c>
      <c r="E478" s="28" t="s">
        <v>1179</v>
      </c>
      <c r="F478" s="19" t="str">
        <f t="shared" si="1"/>
        <v>Megaserve Rohit</v>
      </c>
      <c r="M478" s="185"/>
      <c r="N478" s="203"/>
      <c r="O478" s="186"/>
      <c r="P478" s="186"/>
      <c r="Q478" s="186"/>
      <c r="R478" s="193"/>
    </row>
    <row r="479">
      <c r="A479" s="22" t="s">
        <v>2165</v>
      </c>
      <c r="B479" s="28" t="s">
        <v>2166</v>
      </c>
      <c r="C479" s="28" t="s">
        <v>297</v>
      </c>
      <c r="D479" s="28" t="s">
        <v>1152</v>
      </c>
      <c r="E479" s="28" t="s">
        <v>1156</v>
      </c>
      <c r="F479" s="19" t="str">
        <f t="shared" si="1"/>
        <v>Capital Compound Govinda</v>
      </c>
      <c r="M479" s="185"/>
      <c r="N479" s="203"/>
      <c r="O479" s="186"/>
      <c r="P479" s="186"/>
      <c r="Q479" s="186"/>
      <c r="R479" s="186"/>
    </row>
    <row r="480">
      <c r="A480" s="22" t="s">
        <v>2167</v>
      </c>
      <c r="B480" s="28" t="s">
        <v>2168</v>
      </c>
      <c r="C480" s="28" t="s">
        <v>305</v>
      </c>
      <c r="D480" s="28" t="s">
        <v>1152</v>
      </c>
      <c r="E480" s="28" t="s">
        <v>1152</v>
      </c>
      <c r="F480" s="19" t="str">
        <f t="shared" si="1"/>
        <v>Capital Compound</v>
      </c>
      <c r="M480" s="185"/>
      <c r="N480" s="186"/>
      <c r="O480" s="186"/>
      <c r="P480" s="186"/>
      <c r="Q480" s="186"/>
      <c r="R480" s="193"/>
    </row>
    <row r="481">
      <c r="A481" s="22" t="s">
        <v>295</v>
      </c>
      <c r="B481" s="28" t="s">
        <v>2171</v>
      </c>
      <c r="C481" s="28" t="s">
        <v>297</v>
      </c>
      <c r="D481" s="28" t="s">
        <v>1152</v>
      </c>
      <c r="E481" s="28" t="s">
        <v>1156</v>
      </c>
      <c r="F481" s="19" t="str">
        <f t="shared" si="1"/>
        <v>Capital Compound Govinda</v>
      </c>
      <c r="M481" s="185"/>
      <c r="N481" s="186"/>
      <c r="O481" s="186"/>
      <c r="P481" s="186"/>
      <c r="Q481" s="186"/>
      <c r="R481" s="193"/>
    </row>
    <row r="482">
      <c r="A482" s="22" t="s">
        <v>2172</v>
      </c>
      <c r="B482" s="28" t="s">
        <v>2173</v>
      </c>
      <c r="C482" s="28" t="s">
        <v>305</v>
      </c>
      <c r="D482" s="28" t="s">
        <v>1152</v>
      </c>
      <c r="E482" s="28" t="s">
        <v>1152</v>
      </c>
      <c r="F482" s="19" t="str">
        <f t="shared" si="1"/>
        <v>Capital Compound</v>
      </c>
      <c r="M482" s="185"/>
      <c r="N482" s="186"/>
      <c r="O482" s="186"/>
      <c r="P482" s="186"/>
      <c r="Q482" s="186"/>
      <c r="R482" s="193"/>
    </row>
    <row r="483">
      <c r="A483" s="22" t="s">
        <v>337</v>
      </c>
      <c r="B483" s="28" t="s">
        <v>2174</v>
      </c>
      <c r="C483" s="28" t="s">
        <v>311</v>
      </c>
      <c r="D483" s="28" t="s">
        <v>1160</v>
      </c>
      <c r="E483" s="28" t="s">
        <v>1176</v>
      </c>
      <c r="F483" s="19" t="str">
        <f t="shared" si="1"/>
        <v>Megaserve Plantitude</v>
      </c>
      <c r="M483" s="185"/>
      <c r="N483" s="186"/>
      <c r="O483" s="186"/>
      <c r="P483" s="186"/>
      <c r="Q483" s="186"/>
      <c r="R483" s="193"/>
    </row>
    <row r="484">
      <c r="A484" s="22" t="s">
        <v>455</v>
      </c>
      <c r="B484" s="28" t="s">
        <v>2177</v>
      </c>
      <c r="C484" s="28" t="s">
        <v>311</v>
      </c>
      <c r="D484" s="28" t="s">
        <v>1152</v>
      </c>
      <c r="E484" s="28" t="s">
        <v>1156</v>
      </c>
      <c r="F484" s="19" t="str">
        <f t="shared" si="1"/>
        <v>Capital Compound Govinda</v>
      </c>
      <c r="M484" s="185"/>
      <c r="N484" s="203"/>
      <c r="O484" s="186"/>
      <c r="P484" s="186"/>
      <c r="Q484" s="186"/>
      <c r="R484" s="186"/>
    </row>
    <row r="485">
      <c r="A485" s="22" t="s">
        <v>373</v>
      </c>
      <c r="B485" s="28" t="s">
        <v>2179</v>
      </c>
      <c r="C485" s="28" t="s">
        <v>311</v>
      </c>
      <c r="D485" s="28" t="s">
        <v>1160</v>
      </c>
      <c r="E485" s="28" t="s">
        <v>1172</v>
      </c>
      <c r="F485" s="19" t="str">
        <f t="shared" si="1"/>
        <v>Megaserve Nandkishore</v>
      </c>
      <c r="M485" s="185"/>
      <c r="N485" s="186"/>
      <c r="O485" s="186"/>
      <c r="P485" s="186"/>
      <c r="Q485" s="186"/>
      <c r="R485" s="76"/>
    </row>
    <row r="486">
      <c r="A486" s="22" t="s">
        <v>2181</v>
      </c>
      <c r="B486" s="28" t="s">
        <v>2182</v>
      </c>
      <c r="C486" s="28" t="s">
        <v>311</v>
      </c>
      <c r="D486" s="28" t="s">
        <v>1160</v>
      </c>
      <c r="E486" s="28" t="s">
        <v>1179</v>
      </c>
      <c r="F486" s="19" t="str">
        <f t="shared" si="1"/>
        <v>Megaserve Rohit</v>
      </c>
      <c r="M486" s="185"/>
      <c r="N486" s="186"/>
      <c r="O486" s="186"/>
      <c r="P486" s="186"/>
      <c r="Q486" s="186"/>
      <c r="R486" s="76"/>
    </row>
    <row r="487">
      <c r="A487" s="22" t="s">
        <v>458</v>
      </c>
      <c r="B487" s="28" t="s">
        <v>2183</v>
      </c>
      <c r="C487" s="28" t="s">
        <v>311</v>
      </c>
      <c r="D487" s="28" t="s">
        <v>1160</v>
      </c>
      <c r="E487" s="28" t="s">
        <v>1172</v>
      </c>
      <c r="F487" s="19" t="str">
        <f t="shared" si="1"/>
        <v>Megaserve Nandkishore</v>
      </c>
      <c r="M487" s="185"/>
      <c r="N487" s="186"/>
      <c r="O487" s="186"/>
      <c r="P487" s="186"/>
      <c r="Q487" s="186"/>
      <c r="R487" s="76"/>
    </row>
    <row r="488">
      <c r="A488" s="22" t="s">
        <v>349</v>
      </c>
      <c r="B488" s="28" t="s">
        <v>2185</v>
      </c>
      <c r="C488" s="28" t="s">
        <v>311</v>
      </c>
      <c r="D488" s="28" t="s">
        <v>1160</v>
      </c>
      <c r="E488" s="28" t="s">
        <v>1172</v>
      </c>
      <c r="F488" s="19" t="str">
        <f t="shared" si="1"/>
        <v>Megaserve Nandkishore</v>
      </c>
      <c r="M488" s="185"/>
      <c r="N488" s="186"/>
      <c r="O488" s="186"/>
      <c r="P488" s="186"/>
      <c r="Q488" s="186"/>
      <c r="R488" s="76"/>
    </row>
    <row r="489">
      <c r="A489" s="22" t="s">
        <v>383</v>
      </c>
      <c r="B489" s="28" t="s">
        <v>2188</v>
      </c>
      <c r="C489" s="28" t="s">
        <v>311</v>
      </c>
      <c r="D489" s="28" t="s">
        <v>1160</v>
      </c>
      <c r="E489" s="28" t="s">
        <v>1172</v>
      </c>
      <c r="F489" s="19" t="str">
        <f t="shared" si="1"/>
        <v>Megaserve Nandkishore</v>
      </c>
      <c r="M489" s="185"/>
      <c r="N489" s="186"/>
      <c r="O489" s="186"/>
      <c r="P489" s="186"/>
      <c r="Q489" s="186"/>
      <c r="R489" s="76"/>
    </row>
    <row r="490">
      <c r="A490" s="22" t="s">
        <v>371</v>
      </c>
      <c r="B490" s="28" t="s">
        <v>2190</v>
      </c>
      <c r="C490" s="28" t="s">
        <v>311</v>
      </c>
      <c r="D490" s="28" t="s">
        <v>1160</v>
      </c>
      <c r="E490" s="28" t="s">
        <v>1172</v>
      </c>
      <c r="F490" s="19" t="str">
        <f t="shared" si="1"/>
        <v>Megaserve Nandkishore</v>
      </c>
      <c r="M490" s="185"/>
      <c r="N490" s="186"/>
      <c r="O490" s="186"/>
      <c r="P490" s="186"/>
      <c r="Q490" s="186"/>
      <c r="R490" s="76"/>
    </row>
    <row r="491">
      <c r="A491" s="22" t="s">
        <v>404</v>
      </c>
      <c r="B491" s="28" t="s">
        <v>2193</v>
      </c>
      <c r="C491" s="28" t="s">
        <v>311</v>
      </c>
      <c r="D491" s="28" t="s">
        <v>1160</v>
      </c>
      <c r="E491" s="28" t="s">
        <v>1172</v>
      </c>
      <c r="F491" s="19" t="str">
        <f t="shared" si="1"/>
        <v>Megaserve Nandkishore</v>
      </c>
      <c r="M491" s="185"/>
      <c r="N491" s="186"/>
      <c r="O491" s="186"/>
      <c r="P491" s="186"/>
      <c r="Q491" s="186"/>
      <c r="R491" s="76"/>
    </row>
    <row r="492">
      <c r="A492" s="22" t="s">
        <v>541</v>
      </c>
      <c r="B492" s="28" t="s">
        <v>2196</v>
      </c>
      <c r="C492" s="28" t="s">
        <v>311</v>
      </c>
      <c r="D492" s="28" t="s">
        <v>1160</v>
      </c>
      <c r="E492" s="28" t="s">
        <v>1172</v>
      </c>
      <c r="F492" s="19" t="str">
        <f t="shared" si="1"/>
        <v>Megaserve Nandkishore</v>
      </c>
      <c r="M492" s="185"/>
      <c r="N492" s="203"/>
      <c r="O492" s="186"/>
      <c r="P492" s="186"/>
      <c r="Q492" s="186"/>
      <c r="R492" s="76"/>
    </row>
    <row r="493">
      <c r="A493" s="22" t="s">
        <v>923</v>
      </c>
      <c r="B493" s="28" t="s">
        <v>2198</v>
      </c>
      <c r="C493" s="28" t="s">
        <v>311</v>
      </c>
      <c r="D493" s="28" t="s">
        <v>1160</v>
      </c>
      <c r="E493" s="28" t="s">
        <v>1172</v>
      </c>
      <c r="F493" s="19" t="str">
        <f t="shared" si="1"/>
        <v>Megaserve Nandkishore</v>
      </c>
      <c r="M493" s="185"/>
      <c r="N493" s="203"/>
      <c r="O493" s="186"/>
      <c r="P493" s="186"/>
      <c r="Q493" s="186"/>
      <c r="R493" s="76"/>
    </row>
    <row r="494">
      <c r="A494" s="22" t="s">
        <v>394</v>
      </c>
      <c r="B494" s="28" t="s">
        <v>2201</v>
      </c>
      <c r="C494" s="28" t="s">
        <v>311</v>
      </c>
      <c r="D494" s="28" t="s">
        <v>1160</v>
      </c>
      <c r="E494" s="28" t="s">
        <v>1172</v>
      </c>
      <c r="F494" s="19" t="str">
        <f t="shared" si="1"/>
        <v>Megaserve Nandkishore</v>
      </c>
      <c r="M494" s="185"/>
      <c r="N494" s="203"/>
      <c r="O494" s="186"/>
      <c r="P494" s="186"/>
      <c r="Q494" s="186"/>
      <c r="R494" s="76"/>
    </row>
    <row r="495">
      <c r="A495" s="22" t="s">
        <v>548</v>
      </c>
      <c r="B495" s="28" t="s">
        <v>2203</v>
      </c>
      <c r="C495" s="28" t="s">
        <v>232</v>
      </c>
      <c r="D495" s="28" t="s">
        <v>1160</v>
      </c>
      <c r="E495" s="28" t="s">
        <v>1179</v>
      </c>
      <c r="F495" s="19" t="str">
        <f t="shared" si="1"/>
        <v>Megaserve Rohit</v>
      </c>
      <c r="M495" s="185"/>
      <c r="N495" s="203"/>
      <c r="O495" s="186"/>
      <c r="P495" s="186"/>
      <c r="Q495" s="186"/>
      <c r="R495" s="186"/>
    </row>
    <row r="496">
      <c r="A496" s="22" t="s">
        <v>536</v>
      </c>
      <c r="B496" s="28" t="s">
        <v>2205</v>
      </c>
      <c r="C496" s="28" t="s">
        <v>311</v>
      </c>
      <c r="D496" s="28" t="s">
        <v>1160</v>
      </c>
      <c r="E496" s="28" t="s">
        <v>1179</v>
      </c>
      <c r="F496" s="19" t="str">
        <f t="shared" si="1"/>
        <v>Megaserve Rohit</v>
      </c>
      <c r="M496" s="185"/>
      <c r="N496" s="203"/>
      <c r="O496" s="186"/>
      <c r="P496" s="186"/>
      <c r="Q496" s="186"/>
      <c r="R496" s="186"/>
    </row>
    <row r="497">
      <c r="A497" s="22" t="s">
        <v>335</v>
      </c>
      <c r="B497" s="28" t="s">
        <v>2209</v>
      </c>
      <c r="C497" s="28" t="s">
        <v>311</v>
      </c>
      <c r="D497" s="28" t="s">
        <v>1152</v>
      </c>
      <c r="E497" s="28" t="s">
        <v>1162</v>
      </c>
      <c r="F497" s="19" t="str">
        <f t="shared" si="1"/>
        <v>Capital Compound Vivek</v>
      </c>
      <c r="M497" s="185"/>
      <c r="N497" s="203"/>
      <c r="O497" s="186"/>
      <c r="P497" s="186"/>
      <c r="Q497" s="186"/>
      <c r="R497" s="186"/>
    </row>
    <row r="498">
      <c r="A498" s="22" t="s">
        <v>290</v>
      </c>
      <c r="B498" s="28" t="s">
        <v>291</v>
      </c>
      <c r="C498" s="28" t="s">
        <v>266</v>
      </c>
      <c r="D498" s="28" t="s">
        <v>1160</v>
      </c>
      <c r="E498" s="28" t="s">
        <v>1161</v>
      </c>
      <c r="F498" s="19" t="str">
        <f t="shared" si="1"/>
        <v>Megaserve Jainam</v>
      </c>
      <c r="M498" s="185"/>
      <c r="N498" s="203"/>
      <c r="O498" s="186"/>
      <c r="P498" s="186"/>
      <c r="Q498" s="186"/>
      <c r="R498" s="186"/>
    </row>
    <row r="499">
      <c r="A499" s="22" t="s">
        <v>737</v>
      </c>
      <c r="B499" s="28" t="s">
        <v>2212</v>
      </c>
      <c r="C499" s="28" t="s">
        <v>266</v>
      </c>
      <c r="D499" s="28" t="s">
        <v>1160</v>
      </c>
      <c r="E499" s="28" t="s">
        <v>1161</v>
      </c>
      <c r="F499" s="19" t="str">
        <f t="shared" si="1"/>
        <v>Megaserve Jainam</v>
      </c>
      <c r="M499" s="185"/>
      <c r="N499" s="186"/>
      <c r="O499" s="186"/>
      <c r="P499" s="186"/>
      <c r="Q499" s="186"/>
      <c r="R499" s="193"/>
    </row>
    <row r="500">
      <c r="A500" s="22" t="s">
        <v>445</v>
      </c>
      <c r="B500" s="28" t="s">
        <v>2214</v>
      </c>
      <c r="C500" s="28" t="s">
        <v>965</v>
      </c>
      <c r="D500" s="28" t="s">
        <v>1160</v>
      </c>
      <c r="E500" s="28" t="s">
        <v>1176</v>
      </c>
      <c r="F500" s="19" t="str">
        <f t="shared" si="1"/>
        <v>Megaserve Plantitude</v>
      </c>
      <c r="M500" s="185"/>
      <c r="N500" s="203"/>
      <c r="O500" s="186"/>
      <c r="P500" s="186"/>
      <c r="Q500" s="186"/>
      <c r="R500" s="186"/>
    </row>
    <row r="501">
      <c r="A501" s="22" t="s">
        <v>483</v>
      </c>
      <c r="B501" s="28" t="s">
        <v>2215</v>
      </c>
      <c r="C501" s="28" t="s">
        <v>965</v>
      </c>
      <c r="D501" s="28" t="s">
        <v>1160</v>
      </c>
      <c r="E501" s="28" t="s">
        <v>1172</v>
      </c>
      <c r="F501" s="19" t="str">
        <f t="shared" si="1"/>
        <v>Megaserve Nandkishore</v>
      </c>
      <c r="M501" s="185"/>
      <c r="N501" s="203"/>
      <c r="O501" s="186"/>
      <c r="P501" s="186"/>
      <c r="Q501" s="186"/>
      <c r="R501" s="186"/>
    </row>
    <row r="502">
      <c r="A502" s="22" t="s">
        <v>307</v>
      </c>
      <c r="B502" s="28" t="s">
        <v>2216</v>
      </c>
      <c r="C502" s="28" t="s">
        <v>305</v>
      </c>
      <c r="D502" s="28" t="s">
        <v>1152</v>
      </c>
      <c r="E502" s="28" t="s">
        <v>1152</v>
      </c>
      <c r="F502" s="19" t="str">
        <f t="shared" si="1"/>
        <v>Capital Compound</v>
      </c>
      <c r="M502" s="185"/>
      <c r="N502" s="203"/>
      <c r="O502" s="186"/>
      <c r="P502" s="186"/>
      <c r="Q502" s="186"/>
      <c r="R502" s="186"/>
    </row>
    <row r="503">
      <c r="A503" s="22" t="s">
        <v>175</v>
      </c>
      <c r="B503" s="28" t="s">
        <v>2218</v>
      </c>
      <c r="C503" s="28" t="s">
        <v>232</v>
      </c>
      <c r="D503" s="28" t="s">
        <v>1160</v>
      </c>
      <c r="E503" s="28" t="s">
        <v>1179</v>
      </c>
      <c r="F503" s="19" t="str">
        <f t="shared" si="1"/>
        <v>Megaserve Rohit</v>
      </c>
      <c r="M503" s="185"/>
      <c r="N503" s="203"/>
      <c r="O503" s="186"/>
      <c r="P503" s="186"/>
      <c r="Q503" s="186"/>
      <c r="R503" s="186"/>
    </row>
    <row r="504">
      <c r="A504" s="22" t="s">
        <v>971</v>
      </c>
      <c r="B504" s="28" t="s">
        <v>2220</v>
      </c>
      <c r="C504" s="28" t="s">
        <v>646</v>
      </c>
      <c r="D504" s="28" t="s">
        <v>1160</v>
      </c>
      <c r="E504" s="28" t="s">
        <v>1182</v>
      </c>
      <c r="F504" s="19" t="str">
        <f t="shared" si="1"/>
        <v>Megaserve Rohit Govinda</v>
      </c>
      <c r="M504" s="185"/>
      <c r="N504" s="203"/>
      <c r="O504" s="186"/>
      <c r="P504" s="186"/>
      <c r="Q504" s="186"/>
      <c r="R504" s="186"/>
    </row>
    <row r="505">
      <c r="A505" s="22" t="s">
        <v>2222</v>
      </c>
      <c r="B505" s="28" t="s">
        <v>2223</v>
      </c>
      <c r="C505" s="28" t="s">
        <v>1251</v>
      </c>
      <c r="D505" s="28" t="s">
        <v>1152</v>
      </c>
      <c r="E505" s="28" t="s">
        <v>1162</v>
      </c>
      <c r="F505" s="19" t="str">
        <f t="shared" si="1"/>
        <v>Capital Compound Vivek</v>
      </c>
      <c r="M505" s="185"/>
      <c r="N505" s="203"/>
      <c r="O505" s="186"/>
      <c r="P505" s="186"/>
      <c r="Q505" s="186"/>
      <c r="R505" s="186"/>
    </row>
    <row r="506">
      <c r="A506" s="22" t="s">
        <v>2225</v>
      </c>
      <c r="B506" s="28" t="s">
        <v>284</v>
      </c>
      <c r="C506" s="28" t="s">
        <v>1058</v>
      </c>
      <c r="D506" s="28" t="s">
        <v>1160</v>
      </c>
      <c r="E506" s="28" t="s">
        <v>1161</v>
      </c>
      <c r="F506" s="19" t="str">
        <f t="shared" si="1"/>
        <v>Megaserve Jainam</v>
      </c>
      <c r="M506" s="185"/>
      <c r="N506" s="186"/>
      <c r="O506" s="186"/>
      <c r="P506" s="186"/>
      <c r="Q506" s="186"/>
      <c r="R506" s="193"/>
    </row>
    <row r="507">
      <c r="A507" s="22" t="s">
        <v>473</v>
      </c>
      <c r="B507" s="28" t="s">
        <v>2227</v>
      </c>
      <c r="C507" s="28" t="s">
        <v>311</v>
      </c>
      <c r="D507" s="28" t="s">
        <v>1160</v>
      </c>
      <c r="E507" s="28" t="s">
        <v>1176</v>
      </c>
      <c r="F507" s="19" t="str">
        <f t="shared" si="1"/>
        <v>Megaserve Plantitude</v>
      </c>
      <c r="M507" s="185"/>
      <c r="N507" s="186"/>
      <c r="O507" s="186"/>
      <c r="P507" s="186"/>
      <c r="Q507" s="186"/>
      <c r="R507" s="193"/>
    </row>
    <row r="508">
      <c r="A508" s="22" t="s">
        <v>321</v>
      </c>
      <c r="B508" s="28" t="s">
        <v>2229</v>
      </c>
      <c r="C508" s="28" t="s">
        <v>311</v>
      </c>
      <c r="D508" s="28" t="s">
        <v>1152</v>
      </c>
      <c r="E508" s="28" t="s">
        <v>1156</v>
      </c>
      <c r="F508" s="19" t="str">
        <f t="shared" si="1"/>
        <v>Capital Compound Govinda</v>
      </c>
      <c r="M508" s="185"/>
      <c r="N508" s="203"/>
      <c r="O508" s="186"/>
      <c r="P508" s="186"/>
      <c r="Q508" s="186"/>
      <c r="R508" s="186"/>
    </row>
    <row r="509">
      <c r="A509" s="22" t="s">
        <v>2232</v>
      </c>
      <c r="B509" s="28" t="s">
        <v>2233</v>
      </c>
      <c r="C509" s="28" t="s">
        <v>232</v>
      </c>
      <c r="D509" s="28" t="s">
        <v>1160</v>
      </c>
      <c r="E509" s="28" t="s">
        <v>1179</v>
      </c>
      <c r="F509" s="19" t="str">
        <f t="shared" si="1"/>
        <v>Megaserve Rohit</v>
      </c>
      <c r="M509" s="185"/>
      <c r="N509" s="203"/>
      <c r="O509" s="186"/>
      <c r="P509" s="186"/>
      <c r="Q509" s="186"/>
      <c r="R509" s="186"/>
    </row>
    <row r="510">
      <c r="A510" s="22" t="s">
        <v>493</v>
      </c>
      <c r="B510" s="22" t="str">
        <f>VLOOKUP(A510,Main!A:B,2,0)</f>
        <v>MSR_AJAY_TAMBI_POS</v>
      </c>
      <c r="C510" s="28" t="s">
        <v>829</v>
      </c>
      <c r="D510" s="28" t="s">
        <v>1160</v>
      </c>
      <c r="E510" s="28" t="s">
        <v>1179</v>
      </c>
      <c r="F510" s="19" t="str">
        <f t="shared" si="1"/>
        <v>Megaserve Rohit</v>
      </c>
      <c r="M510" s="185"/>
      <c r="N510" s="186"/>
      <c r="O510" s="186"/>
      <c r="P510" s="186"/>
      <c r="Q510" s="186"/>
      <c r="R510" s="193"/>
    </row>
    <row r="511">
      <c r="A511" s="22" t="s">
        <v>201</v>
      </c>
      <c r="B511" s="28" t="s">
        <v>2237</v>
      </c>
      <c r="C511" s="28" t="s">
        <v>2238</v>
      </c>
      <c r="D511" s="28" t="s">
        <v>1152</v>
      </c>
      <c r="E511" s="28" t="s">
        <v>1190</v>
      </c>
      <c r="F511" s="19" t="str">
        <f t="shared" si="1"/>
        <v>Personal VT</v>
      </c>
      <c r="M511" s="185"/>
      <c r="N511" s="186"/>
      <c r="O511" s="186"/>
      <c r="P511" s="186"/>
      <c r="Q511" s="186"/>
      <c r="R511" s="193"/>
    </row>
    <row r="512">
      <c r="A512" s="22" t="s">
        <v>2239</v>
      </c>
      <c r="B512" s="28" t="s">
        <v>2240</v>
      </c>
      <c r="C512" s="28" t="s">
        <v>2238</v>
      </c>
      <c r="D512" s="28" t="s">
        <v>1160</v>
      </c>
      <c r="E512" s="28" t="s">
        <v>1179</v>
      </c>
      <c r="F512" s="19" t="str">
        <f t="shared" si="1"/>
        <v>Megaserve Rohit</v>
      </c>
      <c r="M512" s="185"/>
      <c r="N512" s="203"/>
      <c r="O512" s="186"/>
      <c r="P512" s="186"/>
      <c r="Q512" s="186"/>
      <c r="R512" s="186"/>
    </row>
    <row r="513">
      <c r="A513" s="22" t="s">
        <v>299</v>
      </c>
      <c r="B513" s="28" t="s">
        <v>2243</v>
      </c>
      <c r="C513" s="28" t="s">
        <v>317</v>
      </c>
      <c r="D513" s="28" t="s">
        <v>1152</v>
      </c>
      <c r="E513" s="28" t="s">
        <v>1162</v>
      </c>
      <c r="F513" s="19" t="str">
        <f t="shared" si="1"/>
        <v>Capital Compound Vivek</v>
      </c>
      <c r="M513" s="185"/>
      <c r="N513" s="186"/>
      <c r="O513" s="186"/>
      <c r="P513" s="186"/>
      <c r="Q513" s="186"/>
      <c r="R513" s="193"/>
    </row>
    <row r="514">
      <c r="A514" s="22" t="s">
        <v>631</v>
      </c>
      <c r="B514" s="28" t="s">
        <v>2245</v>
      </c>
      <c r="C514" s="28" t="s">
        <v>2246</v>
      </c>
      <c r="D514" s="28" t="s">
        <v>1160</v>
      </c>
      <c r="E514" s="28" t="s">
        <v>1179</v>
      </c>
      <c r="F514" s="19" t="str">
        <f t="shared" si="1"/>
        <v>Megaserve Rohit</v>
      </c>
      <c r="M514" s="185"/>
      <c r="N514" s="186"/>
      <c r="O514" s="186"/>
      <c r="P514" s="186"/>
      <c r="Q514" s="186"/>
      <c r="R514" s="76"/>
    </row>
    <row r="515">
      <c r="A515" s="22" t="s">
        <v>632</v>
      </c>
      <c r="B515" s="28" t="s">
        <v>633</v>
      </c>
      <c r="C515" s="28" t="s">
        <v>272</v>
      </c>
      <c r="D515" s="28" t="s">
        <v>1160</v>
      </c>
      <c r="E515" s="28" t="s">
        <v>1161</v>
      </c>
      <c r="F515" s="19" t="str">
        <f t="shared" si="1"/>
        <v>Megaserve Jainam</v>
      </c>
      <c r="M515" s="185"/>
      <c r="N515" s="186"/>
      <c r="O515" s="186"/>
      <c r="P515" s="186"/>
      <c r="Q515" s="186"/>
      <c r="R515" s="76"/>
    </row>
    <row r="516">
      <c r="A516" s="22" t="s">
        <v>389</v>
      </c>
      <c r="B516" s="28" t="s">
        <v>2164</v>
      </c>
      <c r="C516" s="28" t="s">
        <v>232</v>
      </c>
      <c r="D516" s="28" t="s">
        <v>1160</v>
      </c>
      <c r="E516" s="28" t="s">
        <v>1179</v>
      </c>
      <c r="F516" s="19" t="str">
        <f t="shared" si="1"/>
        <v>Megaserve Rohit</v>
      </c>
      <c r="M516" s="223"/>
      <c r="N516" s="224"/>
      <c r="O516" s="224"/>
      <c r="P516" s="224"/>
      <c r="Q516" s="224"/>
      <c r="R516" s="76"/>
    </row>
    <row r="517">
      <c r="A517" s="22" t="s">
        <v>526</v>
      </c>
      <c r="B517" s="28" t="s">
        <v>2248</v>
      </c>
      <c r="C517" s="28" t="s">
        <v>311</v>
      </c>
      <c r="D517" s="28" t="s">
        <v>1152</v>
      </c>
      <c r="E517" s="28" t="s">
        <v>1156</v>
      </c>
      <c r="F517" s="19" t="str">
        <f t="shared" si="1"/>
        <v>Capital Compound Govinda</v>
      </c>
      <c r="M517" s="185"/>
      <c r="N517" s="186"/>
      <c r="O517" s="186"/>
      <c r="P517" s="186"/>
      <c r="Q517" s="186"/>
      <c r="R517" s="76"/>
    </row>
    <row r="518">
      <c r="A518" s="22" t="s">
        <v>564</v>
      </c>
      <c r="B518" s="28" t="s">
        <v>2251</v>
      </c>
      <c r="C518" s="28" t="s">
        <v>232</v>
      </c>
      <c r="D518" s="28" t="s">
        <v>1160</v>
      </c>
      <c r="E518" s="28" t="s">
        <v>1179</v>
      </c>
      <c r="F518" s="19" t="str">
        <f t="shared" si="1"/>
        <v>Megaserve Rohit</v>
      </c>
      <c r="M518" s="185"/>
      <c r="N518" s="186"/>
      <c r="O518" s="186"/>
      <c r="P518" s="186"/>
      <c r="Q518" s="186"/>
      <c r="R518" s="76"/>
    </row>
    <row r="519">
      <c r="A519" s="22" t="s">
        <v>2252</v>
      </c>
      <c r="B519" s="28" t="s">
        <v>2253</v>
      </c>
      <c r="C519" s="28" t="s">
        <v>232</v>
      </c>
      <c r="D519" s="28" t="s">
        <v>1160</v>
      </c>
      <c r="E519" s="28" t="s">
        <v>1179</v>
      </c>
      <c r="F519" s="19" t="str">
        <f t="shared" si="1"/>
        <v>Megaserve Rohit</v>
      </c>
      <c r="M519" s="185"/>
      <c r="N519" s="203"/>
      <c r="O519" s="186"/>
      <c r="P519" s="186"/>
      <c r="Q519" s="186"/>
      <c r="R519" s="76"/>
    </row>
    <row r="520">
      <c r="A520" s="22" t="s">
        <v>1101</v>
      </c>
      <c r="B520" s="28" t="s">
        <v>2233</v>
      </c>
      <c r="C520" s="28" t="s">
        <v>232</v>
      </c>
      <c r="D520" s="28" t="s">
        <v>1160</v>
      </c>
      <c r="E520" s="28" t="s">
        <v>1179</v>
      </c>
      <c r="F520" s="19" t="str">
        <f t="shared" si="1"/>
        <v>Megaserve Rohit</v>
      </c>
      <c r="M520" s="204"/>
      <c r="N520" s="205"/>
      <c r="O520" s="205"/>
      <c r="P520" s="205"/>
      <c r="Q520" s="186"/>
      <c r="R520" s="76"/>
    </row>
    <row r="521">
      <c r="A521" s="22" t="s">
        <v>629</v>
      </c>
      <c r="B521" s="28" t="s">
        <v>2256</v>
      </c>
      <c r="C521" s="28" t="s">
        <v>232</v>
      </c>
      <c r="D521" s="28" t="s">
        <v>1160</v>
      </c>
      <c r="E521" s="28" t="s">
        <v>1179</v>
      </c>
      <c r="F521" s="19" t="str">
        <f t="shared" si="1"/>
        <v>Megaserve Rohit</v>
      </c>
      <c r="M521" s="185"/>
      <c r="N521" s="186"/>
      <c r="O521" s="186"/>
      <c r="P521" s="186"/>
      <c r="Q521" s="186"/>
      <c r="R521" s="76"/>
    </row>
    <row r="522">
      <c r="A522" s="22" t="s">
        <v>530</v>
      </c>
      <c r="B522" s="28" t="s">
        <v>2258</v>
      </c>
      <c r="C522" s="28" t="s">
        <v>232</v>
      </c>
      <c r="D522" s="28" t="s">
        <v>1160</v>
      </c>
      <c r="E522" s="28" t="s">
        <v>1179</v>
      </c>
      <c r="F522" s="19" t="str">
        <f t="shared" si="1"/>
        <v>Megaserve Rohit</v>
      </c>
      <c r="M522" s="185"/>
      <c r="N522" s="203"/>
      <c r="O522" s="186"/>
      <c r="P522" s="186"/>
      <c r="Q522" s="186"/>
      <c r="R522" s="76"/>
    </row>
    <row r="523">
      <c r="A523" s="22" t="s">
        <v>790</v>
      </c>
      <c r="B523" s="28" t="s">
        <v>2260</v>
      </c>
      <c r="C523" s="28" t="s">
        <v>285</v>
      </c>
      <c r="D523" s="28" t="s">
        <v>1160</v>
      </c>
      <c r="E523" s="28" t="s">
        <v>1161</v>
      </c>
      <c r="F523" s="19" t="str">
        <f t="shared" si="1"/>
        <v>Megaserve Jainam</v>
      </c>
      <c r="M523" s="185"/>
      <c r="N523" s="186"/>
      <c r="O523" s="186"/>
      <c r="P523" s="186"/>
      <c r="Q523" s="186"/>
      <c r="R523" s="76"/>
    </row>
    <row r="524">
      <c r="A524" s="22" t="s">
        <v>662</v>
      </c>
      <c r="B524" s="28" t="s">
        <v>2263</v>
      </c>
      <c r="C524" s="28" t="s">
        <v>311</v>
      </c>
      <c r="D524" s="28" t="s">
        <v>1160</v>
      </c>
      <c r="E524" s="28" t="s">
        <v>1179</v>
      </c>
      <c r="F524" s="19" t="str">
        <f t="shared" si="1"/>
        <v>Megaserve Rohit</v>
      </c>
      <c r="M524" s="185"/>
      <c r="N524" s="186"/>
      <c r="O524" s="186"/>
      <c r="P524" s="186"/>
      <c r="Q524" s="186"/>
      <c r="R524" s="76"/>
    </row>
    <row r="525">
      <c r="A525" s="22" t="s">
        <v>694</v>
      </c>
      <c r="B525" s="28" t="s">
        <v>2266</v>
      </c>
      <c r="C525" s="28" t="s">
        <v>311</v>
      </c>
      <c r="D525" s="28" t="s">
        <v>1160</v>
      </c>
      <c r="E525" s="28" t="s">
        <v>1179</v>
      </c>
      <c r="F525" s="19" t="str">
        <f t="shared" si="1"/>
        <v>Megaserve Rohit</v>
      </c>
      <c r="M525" s="204"/>
      <c r="N525" s="205"/>
      <c r="O525" s="205"/>
      <c r="P525" s="205"/>
      <c r="Q525" s="205"/>
      <c r="R525" s="76"/>
    </row>
    <row r="526">
      <c r="A526" s="22" t="s">
        <v>427</v>
      </c>
      <c r="B526" s="28" t="s">
        <v>2268</v>
      </c>
      <c r="C526" s="28" t="s">
        <v>311</v>
      </c>
      <c r="D526" s="28" t="s">
        <v>1160</v>
      </c>
      <c r="E526" s="28" t="s">
        <v>1179</v>
      </c>
      <c r="F526" s="19" t="str">
        <f t="shared" si="1"/>
        <v>Megaserve Rohit</v>
      </c>
      <c r="M526" s="185"/>
      <c r="N526" s="203"/>
      <c r="O526" s="186"/>
      <c r="P526" s="186"/>
      <c r="Q526" s="186"/>
      <c r="R526" s="76"/>
    </row>
    <row r="527">
      <c r="A527" s="22" t="s">
        <v>709</v>
      </c>
      <c r="B527" s="28" t="s">
        <v>2270</v>
      </c>
      <c r="C527" s="28" t="s">
        <v>232</v>
      </c>
      <c r="D527" s="28" t="s">
        <v>1152</v>
      </c>
      <c r="E527" s="28" t="s">
        <v>1196</v>
      </c>
      <c r="F527" s="19" t="str">
        <f t="shared" si="1"/>
        <v>Personal GB</v>
      </c>
      <c r="M527" s="185"/>
      <c r="N527" s="203"/>
      <c r="O527" s="186"/>
      <c r="P527" s="186"/>
      <c r="Q527" s="186"/>
      <c r="R527" s="186"/>
    </row>
    <row r="528">
      <c r="A528" s="22" t="s">
        <v>563</v>
      </c>
      <c r="B528" s="28" t="s">
        <v>2271</v>
      </c>
      <c r="C528" s="28" t="s">
        <v>1283</v>
      </c>
      <c r="D528" s="28" t="s">
        <v>1152</v>
      </c>
      <c r="E528" s="28" t="s">
        <v>1162</v>
      </c>
      <c r="F528" s="19" t="str">
        <f t="shared" si="1"/>
        <v>Capital Compound Vivek</v>
      </c>
      <c r="M528" s="185"/>
      <c r="N528" s="203"/>
      <c r="O528" s="186"/>
      <c r="P528" s="186"/>
      <c r="Q528" s="186"/>
      <c r="R528" s="76"/>
    </row>
    <row r="529">
      <c r="A529" s="22" t="s">
        <v>1055</v>
      </c>
      <c r="B529" s="22" t="str">
        <f>VLOOKUP(A529,Main!A:B,2,0)</f>
        <v>MSR_A1_SHREESHYAM_INT_EXC</v>
      </c>
      <c r="C529" s="28" t="s">
        <v>2272</v>
      </c>
      <c r="D529" s="28" t="s">
        <v>1160</v>
      </c>
      <c r="E529" s="9" t="s">
        <v>1179</v>
      </c>
      <c r="F529" s="19" t="str">
        <f t="shared" si="1"/>
        <v>Megaserve Rohit</v>
      </c>
      <c r="M529" s="185"/>
      <c r="N529" s="186"/>
      <c r="O529" s="186"/>
      <c r="P529" s="186"/>
      <c r="Q529" s="186"/>
      <c r="R529" s="76"/>
    </row>
    <row r="530">
      <c r="A530" s="22" t="s">
        <v>1135</v>
      </c>
      <c r="B530" s="28" t="s">
        <v>2273</v>
      </c>
      <c r="C530" s="28" t="s">
        <v>232</v>
      </c>
      <c r="D530" s="28" t="s">
        <v>1160</v>
      </c>
      <c r="E530" s="28" t="s">
        <v>1179</v>
      </c>
      <c r="F530" s="19" t="str">
        <f t="shared" si="1"/>
        <v>Megaserve Rohit</v>
      </c>
      <c r="M530" s="185"/>
      <c r="N530" s="203"/>
      <c r="O530" s="186"/>
      <c r="P530" s="186"/>
      <c r="Q530" s="186"/>
      <c r="R530" s="76"/>
    </row>
    <row r="531">
      <c r="A531" s="22" t="s">
        <v>689</v>
      </c>
      <c r="B531" s="28" t="s">
        <v>2276</v>
      </c>
      <c r="C531" s="28" t="s">
        <v>2238</v>
      </c>
      <c r="D531" s="28" t="s">
        <v>1160</v>
      </c>
      <c r="E531" s="28" t="s">
        <v>1179</v>
      </c>
      <c r="F531" s="19" t="str">
        <f t="shared" si="1"/>
        <v>Megaserve Rohit</v>
      </c>
      <c r="M531" s="185"/>
      <c r="N531" s="186"/>
      <c r="O531" s="186"/>
      <c r="P531" s="186"/>
      <c r="Q531" s="186"/>
      <c r="R531" s="76"/>
    </row>
    <row r="532">
      <c r="A532" s="22" t="s">
        <v>257</v>
      </c>
      <c r="B532" s="28" t="s">
        <v>2278</v>
      </c>
      <c r="C532" s="28" t="s">
        <v>85</v>
      </c>
      <c r="D532" s="28" t="s">
        <v>1152</v>
      </c>
      <c r="E532" s="28" t="s">
        <v>1152</v>
      </c>
      <c r="F532" s="19" t="str">
        <f t="shared" si="1"/>
        <v>Capital Compound</v>
      </c>
      <c r="M532" s="185"/>
      <c r="N532" s="186"/>
      <c r="O532" s="186"/>
      <c r="P532" s="186"/>
      <c r="Q532" s="186"/>
      <c r="R532" s="76"/>
    </row>
    <row r="533">
      <c r="A533" s="22" t="s">
        <v>668</v>
      </c>
      <c r="B533" s="28" t="s">
        <v>284</v>
      </c>
      <c r="C533" s="28" t="s">
        <v>1058</v>
      </c>
      <c r="D533" s="28" t="s">
        <v>1160</v>
      </c>
      <c r="E533" s="28" t="s">
        <v>1161</v>
      </c>
      <c r="F533" s="19" t="str">
        <f t="shared" si="1"/>
        <v>Megaserve Jainam</v>
      </c>
      <c r="M533" s="185"/>
      <c r="N533" s="203"/>
      <c r="O533" s="186"/>
      <c r="P533" s="186"/>
      <c r="Q533" s="186"/>
      <c r="R533" s="76"/>
    </row>
    <row r="534">
      <c r="A534" s="22" t="s">
        <v>1663</v>
      </c>
      <c r="B534" s="28" t="s">
        <v>2281</v>
      </c>
      <c r="C534" s="28" t="s">
        <v>311</v>
      </c>
      <c r="D534" s="28" t="s">
        <v>1160</v>
      </c>
      <c r="E534" s="28" t="s">
        <v>1179</v>
      </c>
      <c r="F534" s="19" t="str">
        <f t="shared" si="1"/>
        <v>Megaserve Rohit</v>
      </c>
      <c r="M534" s="185"/>
      <c r="N534" s="203"/>
      <c r="O534" s="186"/>
      <c r="P534" s="186"/>
      <c r="Q534" s="186"/>
      <c r="R534" s="76"/>
    </row>
    <row r="535">
      <c r="A535" s="22" t="s">
        <v>584</v>
      </c>
      <c r="B535" s="28" t="s">
        <v>2283</v>
      </c>
      <c r="C535" s="28" t="s">
        <v>311</v>
      </c>
      <c r="D535" s="28" t="s">
        <v>1160</v>
      </c>
      <c r="E535" s="28" t="s">
        <v>1172</v>
      </c>
      <c r="F535" s="19" t="str">
        <f t="shared" si="1"/>
        <v>Megaserve Nandkishore</v>
      </c>
      <c r="M535" s="185"/>
      <c r="N535" s="186"/>
      <c r="O535" s="186"/>
      <c r="P535" s="186"/>
      <c r="Q535" s="186"/>
      <c r="R535" s="76"/>
    </row>
    <row r="536">
      <c r="A536" s="22" t="s">
        <v>1003</v>
      </c>
      <c r="B536" s="28" t="s">
        <v>2285</v>
      </c>
      <c r="C536" s="28" t="s">
        <v>317</v>
      </c>
      <c r="D536" s="28" t="s">
        <v>1152</v>
      </c>
      <c r="E536" s="28" t="s">
        <v>1162</v>
      </c>
      <c r="F536" s="19" t="str">
        <f t="shared" si="1"/>
        <v>Capital Compound Vivek</v>
      </c>
      <c r="M536" s="185"/>
      <c r="N536" s="203"/>
      <c r="O536" s="186"/>
      <c r="P536" s="186"/>
      <c r="Q536" s="186"/>
      <c r="R536" s="76"/>
    </row>
    <row r="537">
      <c r="A537" s="22" t="s">
        <v>2286</v>
      </c>
      <c r="B537" s="28" t="s">
        <v>2278</v>
      </c>
      <c r="C537" s="28" t="s">
        <v>85</v>
      </c>
      <c r="D537" s="28" t="s">
        <v>1152</v>
      </c>
      <c r="E537" s="28" t="s">
        <v>1152</v>
      </c>
      <c r="F537" s="19" t="str">
        <f t="shared" si="1"/>
        <v>Capital Compound</v>
      </c>
      <c r="M537" s="185"/>
      <c r="N537" s="203"/>
      <c r="O537" s="186"/>
      <c r="P537" s="186"/>
      <c r="Q537" s="186"/>
      <c r="R537" s="76"/>
    </row>
    <row r="538">
      <c r="A538" s="22" t="s">
        <v>678</v>
      </c>
      <c r="B538" s="28" t="s">
        <v>2290</v>
      </c>
      <c r="C538" s="28" t="s">
        <v>829</v>
      </c>
      <c r="D538" s="28" t="s">
        <v>1160</v>
      </c>
      <c r="E538" s="28" t="s">
        <v>1179</v>
      </c>
      <c r="F538" s="19" t="str">
        <f t="shared" si="1"/>
        <v>Megaserve Rohit</v>
      </c>
      <c r="M538" s="185"/>
      <c r="N538" s="203"/>
      <c r="O538" s="186"/>
      <c r="P538" s="186"/>
      <c r="Q538" s="186"/>
      <c r="R538" s="76"/>
    </row>
    <row r="539">
      <c r="A539" s="22" t="s">
        <v>658</v>
      </c>
      <c r="B539" s="28" t="s">
        <v>2291</v>
      </c>
      <c r="C539" s="28" t="s">
        <v>297</v>
      </c>
      <c r="D539" s="28" t="s">
        <v>1152</v>
      </c>
      <c r="E539" s="28" t="s">
        <v>1156</v>
      </c>
      <c r="F539" s="19" t="str">
        <f t="shared" si="1"/>
        <v>Capital Compound Govinda</v>
      </c>
      <c r="M539" s="185"/>
      <c r="N539" s="203"/>
      <c r="O539" s="186"/>
      <c r="P539" s="186"/>
      <c r="Q539" s="186"/>
      <c r="R539" s="186"/>
    </row>
    <row r="540">
      <c r="A540" s="22" t="s">
        <v>2293</v>
      </c>
      <c r="B540" s="28" t="s">
        <v>2294</v>
      </c>
      <c r="C540" s="28" t="s">
        <v>85</v>
      </c>
      <c r="D540" s="28" t="s">
        <v>1152</v>
      </c>
      <c r="E540" s="28" t="s">
        <v>1152</v>
      </c>
      <c r="F540" s="19" t="str">
        <f t="shared" si="1"/>
        <v>Capital Compound</v>
      </c>
      <c r="M540" s="225"/>
      <c r="N540" s="203"/>
      <c r="O540" s="186"/>
      <c r="P540" s="186"/>
      <c r="Q540" s="186"/>
      <c r="R540" s="76"/>
    </row>
    <row r="541">
      <c r="A541" s="22" t="s">
        <v>2295</v>
      </c>
      <c r="B541" s="28" t="s">
        <v>2297</v>
      </c>
      <c r="C541" s="28" t="s">
        <v>85</v>
      </c>
      <c r="D541" s="28" t="s">
        <v>1152</v>
      </c>
      <c r="E541" s="28" t="s">
        <v>1152</v>
      </c>
      <c r="F541" s="19" t="str">
        <f t="shared" si="1"/>
        <v>Capital Compound</v>
      </c>
      <c r="M541" s="185"/>
      <c r="N541" s="186"/>
      <c r="O541" s="186"/>
      <c r="P541" s="186"/>
      <c r="Q541" s="186"/>
      <c r="R541" s="76"/>
    </row>
    <row r="542">
      <c r="A542" s="22" t="s">
        <v>2298</v>
      </c>
      <c r="B542" s="28" t="s">
        <v>2299</v>
      </c>
      <c r="C542" s="28" t="s">
        <v>1251</v>
      </c>
      <c r="D542" s="28" t="s">
        <v>1152</v>
      </c>
      <c r="E542" s="28" t="s">
        <v>1162</v>
      </c>
      <c r="F542" s="19" t="str">
        <f t="shared" si="1"/>
        <v>Capital Compound Vivek</v>
      </c>
      <c r="M542" s="185"/>
      <c r="N542" s="203"/>
      <c r="O542" s="186"/>
      <c r="P542" s="186"/>
      <c r="Q542" s="186"/>
      <c r="R542" s="76"/>
    </row>
    <row r="543">
      <c r="A543" s="22" t="s">
        <v>651</v>
      </c>
      <c r="B543" s="28" t="s">
        <v>2302</v>
      </c>
      <c r="C543" s="28" t="s">
        <v>646</v>
      </c>
      <c r="D543" s="28" t="s">
        <v>1152</v>
      </c>
      <c r="E543" s="28" t="s">
        <v>1162</v>
      </c>
      <c r="F543" s="19" t="str">
        <f t="shared" si="1"/>
        <v>Capital Compound Vivek</v>
      </c>
      <c r="M543" s="185"/>
      <c r="N543" s="186"/>
      <c r="O543" s="186"/>
      <c r="P543" s="186"/>
      <c r="Q543" s="186"/>
      <c r="R543" s="76"/>
    </row>
    <row r="544">
      <c r="A544" s="22" t="s">
        <v>141</v>
      </c>
      <c r="B544" s="28" t="s">
        <v>2303</v>
      </c>
      <c r="C544" s="28" t="s">
        <v>2304</v>
      </c>
      <c r="D544" s="28" t="s">
        <v>1152</v>
      </c>
      <c r="E544" s="28" t="s">
        <v>1162</v>
      </c>
      <c r="F544" s="19" t="str">
        <f t="shared" si="1"/>
        <v>Capital Compound Vivek</v>
      </c>
      <c r="M544" s="185"/>
      <c r="N544" s="203"/>
      <c r="O544" s="186"/>
      <c r="P544" s="186"/>
      <c r="Q544" s="186"/>
      <c r="R544" s="186"/>
    </row>
    <row r="545">
      <c r="A545" s="22" t="s">
        <v>553</v>
      </c>
      <c r="B545" s="28" t="s">
        <v>2308</v>
      </c>
      <c r="C545" s="28" t="s">
        <v>311</v>
      </c>
      <c r="D545" s="28" t="s">
        <v>1160</v>
      </c>
      <c r="E545" s="28" t="s">
        <v>1179</v>
      </c>
      <c r="F545" s="19" t="str">
        <f t="shared" si="1"/>
        <v>Megaserve Rohit</v>
      </c>
      <c r="M545" s="185"/>
      <c r="N545" s="203"/>
      <c r="O545" s="186"/>
      <c r="P545" s="186"/>
      <c r="Q545" s="186"/>
      <c r="R545" s="193"/>
    </row>
    <row r="546">
      <c r="A546" s="22" t="s">
        <v>2309</v>
      </c>
      <c r="B546" s="28" t="s">
        <v>2310</v>
      </c>
      <c r="C546" s="28" t="s">
        <v>85</v>
      </c>
      <c r="D546" s="28" t="s">
        <v>1152</v>
      </c>
      <c r="E546" s="28" t="s">
        <v>1152</v>
      </c>
      <c r="F546" s="19" t="str">
        <f t="shared" si="1"/>
        <v>Capital Compound</v>
      </c>
      <c r="M546" s="185"/>
      <c r="N546" s="203"/>
      <c r="O546" s="186"/>
      <c r="P546" s="186"/>
      <c r="Q546" s="186"/>
      <c r="R546" s="193"/>
    </row>
    <row r="547">
      <c r="A547" s="22" t="s">
        <v>659</v>
      </c>
      <c r="B547" s="28" t="s">
        <v>316</v>
      </c>
      <c r="C547" s="28" t="s">
        <v>317</v>
      </c>
      <c r="D547" s="28" t="s">
        <v>1152</v>
      </c>
      <c r="E547" s="28" t="s">
        <v>1162</v>
      </c>
      <c r="F547" s="19" t="str">
        <f t="shared" si="1"/>
        <v>Capital Compound Vivek</v>
      </c>
      <c r="M547" s="185"/>
      <c r="N547" s="203"/>
      <c r="O547" s="186"/>
      <c r="P547" s="186"/>
      <c r="Q547" s="186"/>
      <c r="R547" s="186"/>
    </row>
    <row r="548">
      <c r="A548" s="22" t="s">
        <v>745</v>
      </c>
      <c r="B548" s="28" t="s">
        <v>2313</v>
      </c>
      <c r="C548" s="28" t="s">
        <v>285</v>
      </c>
      <c r="D548" s="28" t="s">
        <v>1160</v>
      </c>
      <c r="E548" s="28" t="s">
        <v>1161</v>
      </c>
      <c r="F548" s="19" t="str">
        <f t="shared" si="1"/>
        <v>Megaserve Jainam</v>
      </c>
      <c r="M548" s="185"/>
      <c r="N548" s="186"/>
      <c r="O548" s="186"/>
      <c r="P548" s="186"/>
      <c r="Q548" s="186"/>
      <c r="R548" s="76"/>
    </row>
    <row r="549">
      <c r="A549" s="22" t="s">
        <v>208</v>
      </c>
      <c r="B549" s="28" t="s">
        <v>2314</v>
      </c>
      <c r="C549" s="28" t="s">
        <v>311</v>
      </c>
      <c r="D549" s="28" t="s">
        <v>1160</v>
      </c>
      <c r="E549" s="28" t="s">
        <v>1179</v>
      </c>
      <c r="F549" s="19" t="str">
        <f t="shared" si="1"/>
        <v>Megaserve Rohit</v>
      </c>
      <c r="M549" s="185"/>
      <c r="N549" s="186"/>
      <c r="O549" s="186"/>
      <c r="P549" s="186"/>
      <c r="Q549" s="186"/>
      <c r="R549" s="76"/>
    </row>
    <row r="550">
      <c r="A550" s="22" t="s">
        <v>477</v>
      </c>
      <c r="B550" s="28" t="s">
        <v>2315</v>
      </c>
      <c r="C550" s="28" t="s">
        <v>311</v>
      </c>
      <c r="D550" s="28" t="s">
        <v>1152</v>
      </c>
      <c r="E550" s="28" t="s">
        <v>1156</v>
      </c>
      <c r="F550" s="19" t="str">
        <f t="shared" si="1"/>
        <v>Capital Compound Govinda</v>
      </c>
      <c r="M550" s="185"/>
      <c r="N550" s="203"/>
      <c r="O550" s="186"/>
      <c r="P550" s="186"/>
      <c r="Q550" s="186"/>
      <c r="R550" s="186"/>
    </row>
    <row r="551">
      <c r="A551" s="22" t="s">
        <v>460</v>
      </c>
      <c r="B551" s="28" t="s">
        <v>2316</v>
      </c>
      <c r="C551" s="28" t="s">
        <v>311</v>
      </c>
      <c r="D551" s="28" t="s">
        <v>1160</v>
      </c>
      <c r="E551" s="28" t="s">
        <v>1176</v>
      </c>
      <c r="F551" s="19" t="str">
        <f t="shared" si="1"/>
        <v>Megaserve Plantitude</v>
      </c>
      <c r="M551" s="185"/>
      <c r="N551" s="203"/>
      <c r="O551" s="186"/>
      <c r="P551" s="186"/>
      <c r="Q551" s="186"/>
      <c r="R551" s="76"/>
    </row>
    <row r="552">
      <c r="A552" s="22" t="s">
        <v>146</v>
      </c>
      <c r="B552" s="28" t="s">
        <v>2317</v>
      </c>
      <c r="C552" s="28" t="s">
        <v>285</v>
      </c>
      <c r="D552" s="28" t="s">
        <v>1160</v>
      </c>
      <c r="E552" s="28" t="s">
        <v>1161</v>
      </c>
      <c r="F552" s="19" t="str">
        <f t="shared" si="1"/>
        <v>Megaserve Jainam</v>
      </c>
      <c r="M552" s="185"/>
      <c r="N552" s="203"/>
      <c r="O552" s="186"/>
      <c r="P552" s="186"/>
      <c r="Q552" s="186"/>
      <c r="R552" s="76"/>
    </row>
    <row r="553">
      <c r="A553" s="22" t="s">
        <v>361</v>
      </c>
      <c r="B553" s="28" t="s">
        <v>2318</v>
      </c>
      <c r="C553" s="28" t="s">
        <v>311</v>
      </c>
      <c r="D553" s="28" t="s">
        <v>1152</v>
      </c>
      <c r="E553" s="28" t="s">
        <v>1156</v>
      </c>
      <c r="F553" s="19" t="str">
        <f t="shared" si="1"/>
        <v>Capital Compound Govinda</v>
      </c>
      <c r="M553" s="185"/>
      <c r="N553" s="203"/>
      <c r="O553" s="203"/>
      <c r="P553" s="186"/>
      <c r="Q553" s="186"/>
      <c r="R553" s="193"/>
    </row>
    <row r="554">
      <c r="A554" s="22" t="s">
        <v>818</v>
      </c>
      <c r="B554" s="28" t="s">
        <v>2319</v>
      </c>
      <c r="C554" s="28" t="s">
        <v>311</v>
      </c>
      <c r="D554" s="28" t="s">
        <v>1152</v>
      </c>
      <c r="E554" s="28" t="s">
        <v>1156</v>
      </c>
      <c r="F554" s="19" t="str">
        <f t="shared" si="1"/>
        <v>Capital Compound Govinda</v>
      </c>
      <c r="M554" s="185"/>
      <c r="N554" s="186"/>
      <c r="O554" s="186"/>
      <c r="P554" s="186"/>
      <c r="Q554" s="186"/>
      <c r="R554" s="76"/>
    </row>
    <row r="555">
      <c r="A555" s="22" t="s">
        <v>2320</v>
      </c>
      <c r="B555" s="28" t="s">
        <v>2321</v>
      </c>
      <c r="C555" s="28" t="s">
        <v>1283</v>
      </c>
      <c r="D555" s="28" t="s">
        <v>1160</v>
      </c>
      <c r="E555" s="28" t="s">
        <v>1184</v>
      </c>
      <c r="F555" s="19" t="str">
        <f t="shared" si="1"/>
        <v>Megaserve Parmmeshvar</v>
      </c>
      <c r="M555" s="185"/>
      <c r="N555" s="203"/>
      <c r="O555" s="186"/>
      <c r="P555" s="186"/>
      <c r="Q555" s="186"/>
      <c r="R555" s="76"/>
    </row>
    <row r="556">
      <c r="A556" s="22" t="s">
        <v>572</v>
      </c>
      <c r="B556" s="28" t="s">
        <v>573</v>
      </c>
      <c r="C556" s="28" t="s">
        <v>574</v>
      </c>
      <c r="D556" s="28" t="s">
        <v>1160</v>
      </c>
      <c r="E556" s="28" t="s">
        <v>1184</v>
      </c>
      <c r="F556" s="19" t="str">
        <f t="shared" si="1"/>
        <v>Megaserve Parmmeshvar</v>
      </c>
      <c r="M556" s="185"/>
      <c r="N556" s="186"/>
      <c r="O556" s="186"/>
      <c r="P556" s="186"/>
      <c r="Q556" s="186"/>
      <c r="R556" s="76"/>
    </row>
    <row r="557">
      <c r="A557" s="22" t="s">
        <v>369</v>
      </c>
      <c r="B557" s="28" t="s">
        <v>2324</v>
      </c>
      <c r="C557" s="28" t="s">
        <v>311</v>
      </c>
      <c r="D557" s="28" t="s">
        <v>1160</v>
      </c>
      <c r="E557" s="28" t="s">
        <v>1179</v>
      </c>
      <c r="F557" s="19" t="str">
        <f t="shared" si="1"/>
        <v>Megaserve Rohit</v>
      </c>
      <c r="M557" s="185"/>
      <c r="N557" s="203"/>
      <c r="O557" s="186"/>
      <c r="P557" s="186"/>
      <c r="Q557" s="186"/>
      <c r="R557" s="186"/>
    </row>
    <row r="558">
      <c r="A558" s="22" t="s">
        <v>631</v>
      </c>
      <c r="B558" s="28" t="s">
        <v>2325</v>
      </c>
      <c r="C558" s="28" t="s">
        <v>311</v>
      </c>
      <c r="D558" s="28" t="s">
        <v>1160</v>
      </c>
      <c r="E558" s="28" t="s">
        <v>1179</v>
      </c>
      <c r="F558" s="19" t="str">
        <f t="shared" si="1"/>
        <v>Megaserve Rohit</v>
      </c>
      <c r="M558" s="226"/>
      <c r="N558" s="203"/>
      <c r="O558" s="186"/>
      <c r="P558" s="186"/>
      <c r="Q558" s="186"/>
      <c r="R558" s="186"/>
    </row>
    <row r="559">
      <c r="A559" s="22" t="s">
        <v>782</v>
      </c>
      <c r="B559" s="28" t="s">
        <v>767</v>
      </c>
      <c r="C559" s="28" t="s">
        <v>768</v>
      </c>
      <c r="D559" s="28" t="s">
        <v>1160</v>
      </c>
      <c r="E559" s="28" t="s">
        <v>1179</v>
      </c>
      <c r="F559" s="19" t="str">
        <f t="shared" si="1"/>
        <v>Megaserve Rohit</v>
      </c>
      <c r="M559" s="185"/>
      <c r="N559" s="203"/>
      <c r="O559" s="186"/>
      <c r="P559" s="186"/>
      <c r="Q559" s="186"/>
      <c r="R559" s="193"/>
    </row>
    <row r="560">
      <c r="A560" s="22" t="s">
        <v>283</v>
      </c>
      <c r="B560" s="28" t="s">
        <v>284</v>
      </c>
      <c r="C560" s="28" t="s">
        <v>285</v>
      </c>
      <c r="D560" s="28" t="s">
        <v>1160</v>
      </c>
      <c r="E560" s="28" t="s">
        <v>1161</v>
      </c>
      <c r="F560" s="19" t="str">
        <f t="shared" si="1"/>
        <v>Megaserve Jainam</v>
      </c>
      <c r="M560" s="223"/>
      <c r="N560" s="224"/>
      <c r="O560" s="224"/>
      <c r="P560" s="224"/>
      <c r="Q560" s="224"/>
      <c r="R560" s="76"/>
    </row>
    <row r="561">
      <c r="A561" s="22" t="s">
        <v>1963</v>
      </c>
      <c r="B561" s="28" t="s">
        <v>2327</v>
      </c>
      <c r="C561" s="28" t="s">
        <v>965</v>
      </c>
      <c r="D561" s="28" t="s">
        <v>1160</v>
      </c>
      <c r="E561" s="28" t="s">
        <v>1172</v>
      </c>
      <c r="F561" s="19" t="str">
        <f t="shared" si="1"/>
        <v>Megaserve Nandkishore</v>
      </c>
      <c r="M561" s="185"/>
      <c r="N561" s="186"/>
      <c r="O561" s="186"/>
      <c r="P561" s="186"/>
      <c r="Q561" s="186"/>
      <c r="R561" s="76"/>
    </row>
    <row r="562">
      <c r="A562" s="22" t="s">
        <v>485</v>
      </c>
      <c r="B562" s="28" t="s">
        <v>2329</v>
      </c>
      <c r="C562" s="28" t="s">
        <v>965</v>
      </c>
      <c r="D562" s="28" t="s">
        <v>1160</v>
      </c>
      <c r="E562" s="28" t="s">
        <v>1176</v>
      </c>
      <c r="F562" s="19" t="str">
        <f t="shared" si="1"/>
        <v>Megaserve Plantitude</v>
      </c>
      <c r="M562" s="185"/>
      <c r="N562" s="203"/>
      <c r="O562" s="186"/>
      <c r="P562" s="186"/>
      <c r="Q562" s="186"/>
      <c r="R562" s="76"/>
    </row>
    <row r="563">
      <c r="A563" s="22" t="s">
        <v>360</v>
      </c>
      <c r="B563" s="28" t="s">
        <v>2331</v>
      </c>
      <c r="C563" s="28" t="s">
        <v>965</v>
      </c>
      <c r="D563" s="28" t="s">
        <v>1160</v>
      </c>
      <c r="E563" s="28" t="s">
        <v>1176</v>
      </c>
      <c r="F563" s="19" t="str">
        <f t="shared" si="1"/>
        <v>Megaserve Plantitude</v>
      </c>
      <c r="M563" s="185"/>
      <c r="N563" s="203"/>
      <c r="O563" s="186"/>
      <c r="P563" s="186"/>
      <c r="Q563" s="186"/>
      <c r="R563" s="186"/>
    </row>
    <row r="564">
      <c r="A564" s="22" t="s">
        <v>627</v>
      </c>
      <c r="B564" s="28" t="s">
        <v>2332</v>
      </c>
      <c r="C564" s="28" t="s">
        <v>85</v>
      </c>
      <c r="D564" s="28" t="s">
        <v>1152</v>
      </c>
      <c r="E564" s="28" t="s">
        <v>1152</v>
      </c>
      <c r="F564" s="19" t="str">
        <f t="shared" si="1"/>
        <v>Capital Compound</v>
      </c>
      <c r="M564" s="185"/>
      <c r="N564" s="203"/>
      <c r="O564" s="203"/>
      <c r="P564" s="186"/>
      <c r="Q564" s="186"/>
      <c r="R564" s="186"/>
    </row>
    <row r="565">
      <c r="A565" s="22" t="s">
        <v>70</v>
      </c>
      <c r="B565" s="28" t="s">
        <v>2310</v>
      </c>
      <c r="C565" s="28" t="s">
        <v>85</v>
      </c>
      <c r="D565" s="28" t="s">
        <v>1152</v>
      </c>
      <c r="E565" s="28" t="s">
        <v>1152</v>
      </c>
      <c r="F565" s="19" t="str">
        <f t="shared" si="1"/>
        <v>Capital Compound</v>
      </c>
      <c r="M565" s="185"/>
      <c r="N565" s="203"/>
      <c r="O565" s="186"/>
      <c r="P565" s="186"/>
      <c r="Q565" s="186"/>
      <c r="R565" s="76"/>
    </row>
    <row r="566">
      <c r="A566" s="22" t="s">
        <v>677</v>
      </c>
      <c r="B566" s="28" t="s">
        <v>2336</v>
      </c>
      <c r="C566" s="28" t="s">
        <v>2272</v>
      </c>
      <c r="D566" s="28" t="s">
        <v>1160</v>
      </c>
      <c r="E566" s="9" t="s">
        <v>1179</v>
      </c>
      <c r="F566" s="19" t="str">
        <f t="shared" si="1"/>
        <v>Megaserve Rohit</v>
      </c>
      <c r="M566" s="185"/>
      <c r="N566" s="203"/>
      <c r="O566" s="186"/>
      <c r="P566" s="186"/>
      <c r="Q566" s="186"/>
      <c r="R566" s="193"/>
    </row>
    <row r="567">
      <c r="A567" s="22" t="s">
        <v>794</v>
      </c>
      <c r="B567" s="28" t="s">
        <v>2337</v>
      </c>
      <c r="C567" s="28" t="s">
        <v>768</v>
      </c>
      <c r="D567" s="28" t="s">
        <v>1160</v>
      </c>
      <c r="E567" s="28" t="s">
        <v>1179</v>
      </c>
      <c r="F567" s="19" t="str">
        <f t="shared" si="1"/>
        <v>Megaserve Rohit</v>
      </c>
      <c r="M567" s="185"/>
      <c r="N567" s="186"/>
      <c r="O567" s="186"/>
      <c r="P567" s="186"/>
      <c r="Q567" s="186"/>
      <c r="R567" s="76"/>
    </row>
    <row r="568">
      <c r="A568" s="22" t="s">
        <v>766</v>
      </c>
      <c r="B568" s="28" t="s">
        <v>2339</v>
      </c>
      <c r="C568" s="28" t="s">
        <v>768</v>
      </c>
      <c r="D568" s="28" t="s">
        <v>1160</v>
      </c>
      <c r="E568" s="28" t="s">
        <v>1179</v>
      </c>
      <c r="F568" s="19" t="str">
        <f t="shared" si="1"/>
        <v>Megaserve Rohit</v>
      </c>
      <c r="M568" s="185"/>
      <c r="N568" s="203"/>
      <c r="O568" s="203"/>
      <c r="P568" s="186"/>
      <c r="Q568" s="186"/>
      <c r="R568" s="186"/>
    </row>
    <row r="569">
      <c r="A569" s="22" t="s">
        <v>804</v>
      </c>
      <c r="B569" s="28" t="s">
        <v>2340</v>
      </c>
      <c r="C569" s="28" t="s">
        <v>768</v>
      </c>
      <c r="D569" s="28" t="s">
        <v>1160</v>
      </c>
      <c r="E569" s="28" t="s">
        <v>1179</v>
      </c>
      <c r="F569" s="19" t="str">
        <f t="shared" si="1"/>
        <v>Megaserve Rohit</v>
      </c>
      <c r="M569" s="185"/>
      <c r="N569" s="203"/>
      <c r="O569" s="186"/>
      <c r="P569" s="186"/>
      <c r="Q569" s="186"/>
      <c r="R569" s="193"/>
    </row>
    <row r="570">
      <c r="A570" s="22" t="s">
        <v>786</v>
      </c>
      <c r="B570" s="28" t="s">
        <v>2341</v>
      </c>
      <c r="C570" s="28" t="s">
        <v>768</v>
      </c>
      <c r="D570" s="28" t="s">
        <v>1160</v>
      </c>
      <c r="E570" s="28" t="s">
        <v>1179</v>
      </c>
      <c r="F570" s="19" t="str">
        <f t="shared" si="1"/>
        <v>Megaserve Rohit</v>
      </c>
      <c r="M570" s="185"/>
      <c r="N570" s="203"/>
      <c r="O570" s="203"/>
      <c r="P570" s="186"/>
      <c r="Q570" s="186"/>
      <c r="R570" s="186"/>
    </row>
    <row r="571">
      <c r="A571" s="22" t="s">
        <v>637</v>
      </c>
      <c r="B571" s="28" t="s">
        <v>2342</v>
      </c>
      <c r="C571" s="28" t="s">
        <v>297</v>
      </c>
      <c r="D571" s="28" t="s">
        <v>1152</v>
      </c>
      <c r="E571" s="28" t="s">
        <v>1156</v>
      </c>
      <c r="F571" s="19" t="str">
        <f t="shared" si="1"/>
        <v>Capital Compound Govinda</v>
      </c>
      <c r="M571" s="185"/>
      <c r="N571" s="203"/>
      <c r="O571" s="203"/>
      <c r="P571" s="186"/>
      <c r="Q571" s="186"/>
      <c r="R571" s="186"/>
    </row>
    <row r="572">
      <c r="A572" s="22" t="s">
        <v>628</v>
      </c>
      <c r="B572" s="28" t="s">
        <v>2343</v>
      </c>
      <c r="C572" s="28" t="s">
        <v>232</v>
      </c>
      <c r="D572" s="28" t="s">
        <v>1160</v>
      </c>
      <c r="E572" s="28" t="s">
        <v>1193</v>
      </c>
      <c r="F572" s="19" t="str">
        <f t="shared" si="1"/>
        <v>Personal RD</v>
      </c>
      <c r="M572" s="185"/>
      <c r="N572" s="203"/>
      <c r="O572" s="203"/>
      <c r="P572" s="186"/>
      <c r="Q572" s="186"/>
      <c r="R572" s="186"/>
    </row>
    <row r="573">
      <c r="A573" s="22" t="s">
        <v>630</v>
      </c>
      <c r="B573" s="28" t="s">
        <v>2344</v>
      </c>
      <c r="C573" s="28" t="s">
        <v>232</v>
      </c>
      <c r="D573" s="28" t="s">
        <v>1160</v>
      </c>
      <c r="E573" s="28" t="s">
        <v>1179</v>
      </c>
      <c r="F573" s="19" t="str">
        <f t="shared" si="1"/>
        <v>Megaserve Rohit</v>
      </c>
      <c r="M573" s="185"/>
      <c r="N573" s="203"/>
      <c r="O573" s="203"/>
      <c r="P573" s="186"/>
      <c r="Q573" s="186"/>
      <c r="R573" s="186"/>
    </row>
    <row r="574">
      <c r="A574" s="22" t="s">
        <v>109</v>
      </c>
      <c r="B574" s="28" t="s">
        <v>2348</v>
      </c>
      <c r="C574" s="28" t="s">
        <v>85</v>
      </c>
      <c r="D574" s="28" t="s">
        <v>1152</v>
      </c>
      <c r="E574" s="28" t="s">
        <v>1152</v>
      </c>
      <c r="F574" s="19" t="str">
        <f t="shared" si="1"/>
        <v>Capital Compound</v>
      </c>
      <c r="M574" s="185"/>
      <c r="N574" s="203"/>
      <c r="O574" s="186"/>
      <c r="P574" s="186"/>
      <c r="Q574" s="186"/>
      <c r="R574" s="193"/>
    </row>
    <row r="575">
      <c r="A575" s="22" t="s">
        <v>1107</v>
      </c>
      <c r="B575" s="28" t="s">
        <v>2350</v>
      </c>
      <c r="C575" s="28" t="s">
        <v>232</v>
      </c>
      <c r="D575" s="28" t="s">
        <v>1160</v>
      </c>
      <c r="E575" s="28" t="s">
        <v>1179</v>
      </c>
      <c r="F575" s="19" t="str">
        <f t="shared" si="1"/>
        <v>Megaserve Rohit</v>
      </c>
      <c r="M575" s="185"/>
      <c r="N575" s="203"/>
      <c r="O575" s="186"/>
      <c r="P575" s="186"/>
      <c r="Q575" s="186"/>
      <c r="R575" s="76"/>
    </row>
    <row r="576">
      <c r="A576" s="22" t="s">
        <v>457</v>
      </c>
      <c r="B576" s="28" t="s">
        <v>2351</v>
      </c>
      <c r="C576" s="28" t="s">
        <v>965</v>
      </c>
      <c r="D576" s="28" t="s">
        <v>1160</v>
      </c>
      <c r="E576" s="28" t="s">
        <v>1179</v>
      </c>
      <c r="F576" s="19" t="str">
        <f t="shared" si="1"/>
        <v>Megaserve Rohit</v>
      </c>
      <c r="M576" s="223"/>
      <c r="N576" s="224"/>
      <c r="O576" s="224"/>
      <c r="P576" s="224"/>
      <c r="Q576" s="224"/>
      <c r="R576" s="76"/>
    </row>
    <row r="577">
      <c r="A577" s="22" t="s">
        <v>578</v>
      </c>
      <c r="B577" s="28" t="s">
        <v>579</v>
      </c>
      <c r="C577" s="28" t="s">
        <v>574</v>
      </c>
      <c r="D577" s="28" t="s">
        <v>1160</v>
      </c>
      <c r="E577" s="28" t="s">
        <v>1184</v>
      </c>
      <c r="F577" s="19" t="str">
        <f t="shared" si="1"/>
        <v>Megaserve Parmmeshvar</v>
      </c>
      <c r="M577" s="185"/>
      <c r="N577" s="203"/>
      <c r="O577" s="186"/>
      <c r="P577" s="186"/>
      <c r="Q577" s="186"/>
      <c r="R577" s="76"/>
    </row>
    <row r="578">
      <c r="A578" s="22" t="s">
        <v>490</v>
      </c>
      <c r="B578" s="28" t="s">
        <v>2352</v>
      </c>
      <c r="C578" s="28" t="s">
        <v>311</v>
      </c>
      <c r="D578" s="28" t="s">
        <v>1160</v>
      </c>
      <c r="E578" s="28" t="s">
        <v>1179</v>
      </c>
      <c r="F578" s="19" t="str">
        <f t="shared" si="1"/>
        <v>Megaserve Rohit</v>
      </c>
      <c r="M578" s="185"/>
      <c r="N578" s="186"/>
      <c r="O578" s="186"/>
      <c r="P578" s="186"/>
      <c r="Q578" s="186"/>
      <c r="R578" s="76"/>
    </row>
    <row r="579">
      <c r="A579" s="22" t="s">
        <v>406</v>
      </c>
      <c r="B579" s="28" t="s">
        <v>2354</v>
      </c>
      <c r="C579" s="28" t="s">
        <v>965</v>
      </c>
      <c r="D579" s="28" t="s">
        <v>1160</v>
      </c>
      <c r="E579" s="28" t="s">
        <v>1179</v>
      </c>
      <c r="F579" s="19" t="str">
        <f t="shared" si="1"/>
        <v>Megaserve Rohit</v>
      </c>
      <c r="M579" s="185"/>
      <c r="N579" s="203"/>
      <c r="O579" s="186"/>
      <c r="P579" s="186"/>
      <c r="Q579" s="186"/>
      <c r="R579" s="193"/>
    </row>
    <row r="580">
      <c r="A580" s="22" t="s">
        <v>227</v>
      </c>
      <c r="B580" s="28" t="s">
        <v>2355</v>
      </c>
      <c r="C580" s="28" t="s">
        <v>1251</v>
      </c>
      <c r="D580" s="28" t="s">
        <v>1152</v>
      </c>
      <c r="E580" s="28" t="s">
        <v>1162</v>
      </c>
      <c r="F580" s="19" t="str">
        <f t="shared" si="1"/>
        <v>Capital Compound Vivek</v>
      </c>
      <c r="M580" s="185"/>
      <c r="N580" s="203"/>
      <c r="O580" s="186"/>
      <c r="P580" s="186"/>
      <c r="Q580" s="186"/>
      <c r="R580" s="193"/>
    </row>
    <row r="581">
      <c r="A581" s="22" t="s">
        <v>799</v>
      </c>
      <c r="B581" s="28" t="s">
        <v>2357</v>
      </c>
      <c r="C581" s="28" t="s">
        <v>801</v>
      </c>
      <c r="D581" s="28" t="s">
        <v>1160</v>
      </c>
      <c r="E581" s="28" t="s">
        <v>1179</v>
      </c>
      <c r="F581" s="19" t="str">
        <f t="shared" si="1"/>
        <v>Megaserve Rohit</v>
      </c>
      <c r="M581" s="185"/>
      <c r="N581" s="203"/>
      <c r="O581" s="186"/>
      <c r="P581" s="186"/>
      <c r="Q581" s="186"/>
      <c r="R581" s="193"/>
    </row>
    <row r="582">
      <c r="A582" s="22" t="s">
        <v>913</v>
      </c>
      <c r="B582" s="22" t="str">
        <f>VLOOKUP(A582,Main!A:B,2,0)</f>
        <v>MSR_A1_PACE_NF_INT </v>
      </c>
      <c r="C582" s="28" t="s">
        <v>915</v>
      </c>
      <c r="D582" s="28" t="s">
        <v>1160</v>
      </c>
      <c r="E582" s="28" t="s">
        <v>1179</v>
      </c>
      <c r="F582" s="19" t="str">
        <f t="shared" si="1"/>
        <v>Megaserve Rohit</v>
      </c>
      <c r="M582" s="185"/>
      <c r="N582" s="186"/>
      <c r="O582" s="186"/>
      <c r="P582" s="186"/>
      <c r="Q582" s="186"/>
      <c r="R582" s="76"/>
    </row>
    <row r="583">
      <c r="A583" s="22" t="s">
        <v>2358</v>
      </c>
      <c r="B583" s="28" t="s">
        <v>2359</v>
      </c>
      <c r="C583" s="28" t="s">
        <v>2360</v>
      </c>
      <c r="D583" s="28" t="s">
        <v>1160</v>
      </c>
      <c r="E583" s="28" t="s">
        <v>1179</v>
      </c>
      <c r="F583" s="19" t="str">
        <f t="shared" si="1"/>
        <v>Megaserve Rohit</v>
      </c>
      <c r="M583" s="185"/>
      <c r="N583" s="203"/>
      <c r="O583" s="203"/>
      <c r="P583" s="186"/>
      <c r="Q583" s="186"/>
      <c r="R583" s="186"/>
    </row>
    <row r="584">
      <c r="A584" s="22" t="s">
        <v>812</v>
      </c>
      <c r="B584" s="28" t="s">
        <v>2361</v>
      </c>
      <c r="C584" s="28" t="s">
        <v>801</v>
      </c>
      <c r="D584" s="28" t="s">
        <v>1160</v>
      </c>
      <c r="E584" s="28" t="s">
        <v>1179</v>
      </c>
      <c r="F584" s="19" t="str">
        <f t="shared" si="1"/>
        <v>Megaserve Rohit</v>
      </c>
      <c r="M584" s="185"/>
      <c r="N584" s="203"/>
      <c r="O584" s="203"/>
      <c r="P584" s="186"/>
      <c r="Q584" s="186"/>
      <c r="R584" s="186"/>
    </row>
    <row r="585">
      <c r="A585" s="22" t="s">
        <v>98</v>
      </c>
      <c r="B585" s="28" t="s">
        <v>98</v>
      </c>
      <c r="C585" s="28" t="s">
        <v>85</v>
      </c>
      <c r="D585" s="28" t="s">
        <v>1152</v>
      </c>
      <c r="E585" s="28" t="s">
        <v>1152</v>
      </c>
      <c r="F585" s="19" t="str">
        <f t="shared" si="1"/>
        <v>Capital Compound</v>
      </c>
      <c r="M585" s="185"/>
      <c r="N585" s="203"/>
      <c r="O585" s="186"/>
      <c r="P585" s="186"/>
      <c r="Q585" s="186"/>
      <c r="R585" s="76"/>
    </row>
    <row r="586">
      <c r="A586" s="22" t="s">
        <v>197</v>
      </c>
      <c r="B586" s="28" t="s">
        <v>2363</v>
      </c>
      <c r="C586" s="28" t="s">
        <v>139</v>
      </c>
      <c r="D586" s="28" t="s">
        <v>1160</v>
      </c>
      <c r="E586" s="28" t="s">
        <v>1179</v>
      </c>
      <c r="F586" s="19" t="str">
        <f t="shared" si="1"/>
        <v>Megaserve Rohit</v>
      </c>
      <c r="M586" s="185"/>
      <c r="N586" s="203"/>
      <c r="O586" s="186"/>
      <c r="P586" s="186"/>
      <c r="Q586" s="186"/>
      <c r="R586" s="76"/>
    </row>
    <row r="587">
      <c r="A587" s="22" t="s">
        <v>480</v>
      </c>
      <c r="B587" s="28" t="s">
        <v>481</v>
      </c>
      <c r="C587" s="28" t="s">
        <v>311</v>
      </c>
      <c r="D587" s="28" t="s">
        <v>1160</v>
      </c>
      <c r="E587" s="28" t="s">
        <v>1179</v>
      </c>
      <c r="F587" s="19" t="str">
        <f t="shared" si="1"/>
        <v>Megaserve Rohit</v>
      </c>
      <c r="M587" s="185"/>
      <c r="N587" s="203"/>
      <c r="O587" s="186"/>
      <c r="P587" s="186"/>
      <c r="Q587" s="186"/>
      <c r="R587" s="76"/>
    </row>
    <row r="588">
      <c r="A588" s="22" t="s">
        <v>590</v>
      </c>
      <c r="B588" s="28" t="s">
        <v>591</v>
      </c>
      <c r="C588" s="28" t="s">
        <v>266</v>
      </c>
      <c r="D588" s="28" t="s">
        <v>1160</v>
      </c>
      <c r="E588" s="28" t="s">
        <v>1161</v>
      </c>
      <c r="F588" s="19" t="str">
        <f t="shared" si="1"/>
        <v>Megaserve Jainam</v>
      </c>
      <c r="M588" s="185"/>
      <c r="N588" s="203"/>
      <c r="O588" s="186"/>
      <c r="P588" s="186"/>
      <c r="Q588" s="186"/>
      <c r="R588" s="76"/>
    </row>
    <row r="589">
      <c r="A589" s="22" t="s">
        <v>336</v>
      </c>
      <c r="B589" s="28" t="s">
        <v>2365</v>
      </c>
      <c r="C589" s="28" t="s">
        <v>232</v>
      </c>
      <c r="D589" s="28" t="s">
        <v>1160</v>
      </c>
      <c r="E589" s="28" t="s">
        <v>1179</v>
      </c>
      <c r="F589" s="19" t="str">
        <f t="shared" si="1"/>
        <v>Megaserve Rohit</v>
      </c>
      <c r="M589" s="185"/>
      <c r="N589" s="203"/>
      <c r="O589" s="186"/>
      <c r="P589" s="186"/>
      <c r="Q589" s="186"/>
      <c r="R589" s="76"/>
    </row>
    <row r="590">
      <c r="A590" s="22" t="s">
        <v>2368</v>
      </c>
      <c r="B590" s="28" t="s">
        <v>2369</v>
      </c>
      <c r="C590" s="28" t="s">
        <v>574</v>
      </c>
      <c r="D590" s="28" t="s">
        <v>1160</v>
      </c>
      <c r="E590" s="28" t="s">
        <v>1184</v>
      </c>
      <c r="F590" s="19" t="str">
        <f t="shared" si="1"/>
        <v>Megaserve Parmmeshvar</v>
      </c>
      <c r="M590" s="185"/>
      <c r="N590" s="203"/>
      <c r="O590" s="186"/>
      <c r="P590" s="186"/>
      <c r="Q590" s="186"/>
      <c r="R590" s="76"/>
    </row>
    <row r="591">
      <c r="A591" s="22" t="s">
        <v>636</v>
      </c>
      <c r="B591" s="28" t="s">
        <v>2370</v>
      </c>
      <c r="C591" s="28" t="s">
        <v>2371</v>
      </c>
      <c r="D591" s="28" t="s">
        <v>1160</v>
      </c>
      <c r="E591" s="28" t="s">
        <v>1193</v>
      </c>
      <c r="F591" s="19" t="str">
        <f t="shared" si="1"/>
        <v>Personal RD</v>
      </c>
      <c r="M591" s="185"/>
      <c r="N591" s="203"/>
      <c r="O591" s="186"/>
      <c r="P591" s="186"/>
      <c r="Q591" s="186"/>
      <c r="R591" s="76"/>
    </row>
    <row r="592">
      <c r="A592" s="22" t="s">
        <v>170</v>
      </c>
      <c r="B592" s="28" t="s">
        <v>2372</v>
      </c>
      <c r="C592" s="28" t="s">
        <v>1261</v>
      </c>
      <c r="D592" s="28" t="s">
        <v>1160</v>
      </c>
      <c r="E592" s="28" t="s">
        <v>1184</v>
      </c>
      <c r="F592" s="19" t="str">
        <f t="shared" si="1"/>
        <v>Megaserve Parmmeshvar</v>
      </c>
      <c r="M592" s="185"/>
      <c r="N592" s="203"/>
      <c r="O592" s="203"/>
      <c r="P592" s="186"/>
      <c r="Q592" s="186"/>
      <c r="R592" s="186"/>
    </row>
    <row r="593">
      <c r="A593" s="22" t="s">
        <v>2373</v>
      </c>
      <c r="B593" s="28" t="s">
        <v>2374</v>
      </c>
      <c r="C593" s="28" t="s">
        <v>266</v>
      </c>
      <c r="D593" s="28" t="s">
        <v>1160</v>
      </c>
      <c r="E593" s="28" t="s">
        <v>1161</v>
      </c>
      <c r="F593" s="19" t="str">
        <f t="shared" si="1"/>
        <v>Megaserve Jainam</v>
      </c>
      <c r="M593" s="185"/>
      <c r="N593" s="203"/>
      <c r="O593" s="203"/>
      <c r="P593" s="186"/>
      <c r="Q593" s="186"/>
      <c r="R593" s="186"/>
    </row>
    <row r="594">
      <c r="A594" s="22" t="s">
        <v>2378</v>
      </c>
      <c r="B594" s="28" t="s">
        <v>2379</v>
      </c>
      <c r="C594" s="28" t="s">
        <v>266</v>
      </c>
      <c r="D594" s="28" t="s">
        <v>1160</v>
      </c>
      <c r="E594" s="28" t="s">
        <v>1161</v>
      </c>
      <c r="F594" s="19" t="str">
        <f t="shared" si="1"/>
        <v>Megaserve Jainam</v>
      </c>
      <c r="M594" s="185"/>
      <c r="N594" s="203"/>
      <c r="O594" s="186"/>
      <c r="P594" s="186"/>
      <c r="Q594" s="186"/>
      <c r="R594" s="193"/>
    </row>
    <row r="595">
      <c r="A595" s="22" t="s">
        <v>612</v>
      </c>
      <c r="B595" s="28" t="s">
        <v>2381</v>
      </c>
      <c r="C595" s="28" t="s">
        <v>311</v>
      </c>
      <c r="D595" s="28" t="s">
        <v>1160</v>
      </c>
      <c r="E595" s="28" t="s">
        <v>1179</v>
      </c>
      <c r="F595" s="19" t="str">
        <f t="shared" si="1"/>
        <v>Megaserve Rohit</v>
      </c>
      <c r="M595" s="185"/>
      <c r="N595" s="203"/>
      <c r="O595" s="186"/>
      <c r="P595" s="186"/>
      <c r="Q595" s="186"/>
      <c r="R595" s="193"/>
    </row>
    <row r="596">
      <c r="A596" s="22" t="s">
        <v>1096</v>
      </c>
      <c r="B596" s="28" t="s">
        <v>2383</v>
      </c>
      <c r="C596" s="28" t="s">
        <v>232</v>
      </c>
      <c r="D596" s="28" t="s">
        <v>1160</v>
      </c>
      <c r="E596" s="28" t="s">
        <v>1179</v>
      </c>
      <c r="F596" s="19" t="str">
        <f t="shared" si="1"/>
        <v>Megaserve Rohit</v>
      </c>
      <c r="M596" s="185"/>
      <c r="N596" s="203"/>
      <c r="O596" s="203"/>
      <c r="P596" s="186"/>
      <c r="Q596" s="186"/>
      <c r="R596" s="76"/>
    </row>
    <row r="597">
      <c r="A597" s="22" t="s">
        <v>2384</v>
      </c>
      <c r="B597" s="28" t="s">
        <v>2385</v>
      </c>
      <c r="C597" s="28" t="s">
        <v>266</v>
      </c>
      <c r="D597" s="28" t="s">
        <v>1160</v>
      </c>
      <c r="E597" s="28" t="s">
        <v>1161</v>
      </c>
      <c r="F597" s="19" t="str">
        <f t="shared" si="1"/>
        <v>Megaserve Jainam</v>
      </c>
      <c r="M597" s="185"/>
      <c r="N597" s="203"/>
      <c r="O597" s="186"/>
      <c r="P597" s="186"/>
      <c r="Q597" s="186"/>
      <c r="R597" s="76"/>
    </row>
    <row r="598">
      <c r="A598" s="22" t="s">
        <v>2386</v>
      </c>
      <c r="B598" s="28" t="s">
        <v>2387</v>
      </c>
      <c r="C598" s="28" t="s">
        <v>1283</v>
      </c>
      <c r="D598" s="28" t="s">
        <v>1160</v>
      </c>
      <c r="E598" s="28" t="s">
        <v>1184</v>
      </c>
      <c r="F598" s="19" t="str">
        <f t="shared" si="1"/>
        <v>Megaserve Parmmeshvar</v>
      </c>
      <c r="M598" s="185"/>
      <c r="N598" s="203"/>
      <c r="O598" s="186"/>
      <c r="P598" s="186"/>
      <c r="Q598" s="186"/>
      <c r="R598" s="186"/>
    </row>
    <row r="599">
      <c r="A599" s="22" t="s">
        <v>2388</v>
      </c>
      <c r="B599" s="28" t="s">
        <v>2389</v>
      </c>
      <c r="C599" s="28" t="s">
        <v>574</v>
      </c>
      <c r="D599" s="28" t="s">
        <v>1160</v>
      </c>
      <c r="E599" s="28" t="s">
        <v>1184</v>
      </c>
      <c r="F599" s="19" t="str">
        <f t="shared" si="1"/>
        <v>Megaserve Parmmeshvar</v>
      </c>
      <c r="M599" s="185"/>
      <c r="N599" s="203"/>
      <c r="O599" s="186"/>
      <c r="P599" s="186"/>
      <c r="Q599" s="186"/>
      <c r="R599" s="76"/>
    </row>
    <row r="600">
      <c r="A600" s="22" t="s">
        <v>719</v>
      </c>
      <c r="B600" s="28" t="s">
        <v>720</v>
      </c>
      <c r="C600" s="28" t="s">
        <v>272</v>
      </c>
      <c r="D600" s="28" t="s">
        <v>1160</v>
      </c>
      <c r="E600" s="28" t="s">
        <v>1161</v>
      </c>
      <c r="F600" s="19" t="str">
        <f t="shared" si="1"/>
        <v>Megaserve Jainam</v>
      </c>
      <c r="M600" s="185"/>
      <c r="N600" s="203"/>
      <c r="O600" s="186"/>
      <c r="P600" s="186"/>
      <c r="Q600" s="186"/>
      <c r="R600" s="76"/>
    </row>
    <row r="601">
      <c r="A601" s="22" t="s">
        <v>2391</v>
      </c>
      <c r="B601" s="28" t="s">
        <v>2392</v>
      </c>
      <c r="C601" s="28" t="s">
        <v>232</v>
      </c>
      <c r="D601" s="28" t="s">
        <v>1160</v>
      </c>
      <c r="E601" s="28" t="s">
        <v>1179</v>
      </c>
      <c r="F601" s="19" t="str">
        <f t="shared" si="1"/>
        <v>Megaserve Rohit</v>
      </c>
      <c r="M601" s="185"/>
      <c r="N601" s="203"/>
      <c r="O601" s="186"/>
      <c r="P601" s="186"/>
      <c r="Q601" s="186"/>
      <c r="R601" s="186"/>
    </row>
    <row r="602">
      <c r="A602" s="22" t="s">
        <v>474</v>
      </c>
      <c r="B602" s="28" t="s">
        <v>2393</v>
      </c>
      <c r="C602" s="28" t="s">
        <v>311</v>
      </c>
      <c r="D602" s="28" t="s">
        <v>1160</v>
      </c>
      <c r="E602" s="28" t="s">
        <v>1184</v>
      </c>
      <c r="F602" s="19" t="str">
        <f t="shared" si="1"/>
        <v>Megaserve Parmmeshvar</v>
      </c>
      <c r="M602" s="185"/>
      <c r="N602" s="203"/>
      <c r="O602" s="186"/>
      <c r="P602" s="186"/>
      <c r="Q602" s="186"/>
      <c r="R602" s="193"/>
    </row>
    <row r="603">
      <c r="A603" s="22" t="s">
        <v>2395</v>
      </c>
      <c r="B603" s="28" t="s">
        <v>2396</v>
      </c>
      <c r="C603" s="28" t="s">
        <v>2397</v>
      </c>
      <c r="D603" s="28" t="s">
        <v>1160</v>
      </c>
      <c r="E603" s="28" t="s">
        <v>1179</v>
      </c>
      <c r="F603" s="19" t="str">
        <f t="shared" si="1"/>
        <v>Megaserve Rohit</v>
      </c>
      <c r="M603" s="185"/>
      <c r="N603" s="203"/>
      <c r="O603" s="186"/>
      <c r="P603" s="186"/>
      <c r="Q603" s="186"/>
      <c r="R603" s="186"/>
    </row>
    <row r="604">
      <c r="A604" s="22" t="s">
        <v>2399</v>
      </c>
      <c r="B604" s="28" t="s">
        <v>2401</v>
      </c>
      <c r="C604" s="28" t="s">
        <v>2402</v>
      </c>
      <c r="D604" s="28" t="s">
        <v>1160</v>
      </c>
      <c r="E604" s="28" t="s">
        <v>1179</v>
      </c>
      <c r="F604" s="19" t="str">
        <f t="shared" si="1"/>
        <v>Megaserve Rohit</v>
      </c>
      <c r="M604" s="185"/>
      <c r="N604" s="203"/>
      <c r="O604" s="186"/>
      <c r="P604" s="186"/>
      <c r="Q604" s="186"/>
      <c r="R604" s="186"/>
    </row>
    <row r="605">
      <c r="A605" s="22" t="s">
        <v>593</v>
      </c>
      <c r="B605" s="28" t="s">
        <v>1086</v>
      </c>
      <c r="C605" s="28" t="s">
        <v>232</v>
      </c>
      <c r="D605" s="28" t="s">
        <v>1160</v>
      </c>
      <c r="E605" s="28" t="s">
        <v>1179</v>
      </c>
      <c r="F605" s="19" t="str">
        <f t="shared" si="1"/>
        <v>Megaserve Rohit</v>
      </c>
      <c r="M605" s="185"/>
      <c r="N605" s="203"/>
      <c r="O605" s="186"/>
      <c r="P605" s="186"/>
      <c r="Q605" s="186"/>
      <c r="R605" s="186"/>
    </row>
    <row r="606">
      <c r="A606" s="22" t="s">
        <v>648</v>
      </c>
      <c r="B606" s="28" t="s">
        <v>2405</v>
      </c>
      <c r="C606" s="28" t="s">
        <v>2397</v>
      </c>
      <c r="D606" s="28" t="s">
        <v>1160</v>
      </c>
      <c r="E606" s="28" t="s">
        <v>1179</v>
      </c>
      <c r="F606" s="19" t="str">
        <f t="shared" si="1"/>
        <v>Megaserve Rohit</v>
      </c>
      <c r="M606" s="185"/>
      <c r="N606" s="203"/>
      <c r="O606" s="186"/>
      <c r="P606" s="186"/>
      <c r="Q606" s="186"/>
      <c r="R606" s="186"/>
    </row>
    <row r="607">
      <c r="A607" s="22" t="s">
        <v>149</v>
      </c>
      <c r="B607" s="28" t="s">
        <v>2407</v>
      </c>
      <c r="C607" s="28" t="s">
        <v>272</v>
      </c>
      <c r="D607" s="28" t="s">
        <v>1160</v>
      </c>
      <c r="E607" s="28" t="s">
        <v>1161</v>
      </c>
      <c r="F607" s="19" t="str">
        <f t="shared" si="1"/>
        <v>Megaserve Jainam</v>
      </c>
      <c r="M607" s="185"/>
      <c r="N607" s="203"/>
      <c r="O607" s="186"/>
      <c r="P607" s="186"/>
      <c r="Q607" s="186"/>
      <c r="R607" s="186"/>
    </row>
    <row r="608">
      <c r="A608" s="22" t="s">
        <v>666</v>
      </c>
      <c r="B608" s="28" t="s">
        <v>2408</v>
      </c>
      <c r="C608" s="28" t="s">
        <v>85</v>
      </c>
      <c r="D608" s="28" t="s">
        <v>1152</v>
      </c>
      <c r="E608" s="28" t="s">
        <v>1152</v>
      </c>
      <c r="F608" s="19" t="str">
        <f t="shared" si="1"/>
        <v>Capital Compound</v>
      </c>
      <c r="M608" s="185"/>
      <c r="N608" s="203"/>
      <c r="O608" s="186"/>
      <c r="P608" s="186"/>
      <c r="Q608" s="186"/>
      <c r="R608" s="186"/>
    </row>
    <row r="609">
      <c r="A609" s="22" t="s">
        <v>826</v>
      </c>
      <c r="B609" s="28" t="s">
        <v>2410</v>
      </c>
      <c r="C609" s="28" t="s">
        <v>829</v>
      </c>
      <c r="D609" s="28" t="s">
        <v>1152</v>
      </c>
      <c r="E609" s="28" t="s">
        <v>1156</v>
      </c>
      <c r="F609" s="19" t="str">
        <f t="shared" si="1"/>
        <v>Capital Compound Govinda</v>
      </c>
      <c r="M609" s="185"/>
      <c r="N609" s="203"/>
      <c r="O609" s="186"/>
      <c r="P609" s="186"/>
      <c r="Q609" s="186"/>
      <c r="R609" s="186"/>
    </row>
    <row r="610">
      <c r="A610" s="22" t="s">
        <v>660</v>
      </c>
      <c r="B610" s="28" t="s">
        <v>2411</v>
      </c>
      <c r="C610" s="28" t="s">
        <v>2402</v>
      </c>
      <c r="D610" s="28" t="s">
        <v>1160</v>
      </c>
      <c r="E610" s="28" t="s">
        <v>1179</v>
      </c>
      <c r="F610" s="19" t="str">
        <f t="shared" si="1"/>
        <v>Megaserve Rohit</v>
      </c>
      <c r="M610" s="185"/>
      <c r="N610" s="203"/>
      <c r="O610" s="186"/>
      <c r="P610" s="186"/>
      <c r="Q610" s="186"/>
      <c r="R610" s="76"/>
    </row>
    <row r="611">
      <c r="A611" s="22" t="s">
        <v>714</v>
      </c>
      <c r="B611" s="28" t="s">
        <v>715</v>
      </c>
      <c r="C611" s="28" t="s">
        <v>574</v>
      </c>
      <c r="D611" s="28" t="s">
        <v>1160</v>
      </c>
      <c r="E611" s="28" t="s">
        <v>1184</v>
      </c>
      <c r="F611" s="19" t="str">
        <f t="shared" si="1"/>
        <v>Megaserve Parmmeshvar</v>
      </c>
      <c r="M611" s="185"/>
      <c r="N611" s="186"/>
      <c r="O611" s="186"/>
      <c r="P611" s="186"/>
      <c r="Q611" s="186"/>
      <c r="R611" s="186"/>
    </row>
    <row r="612">
      <c r="A612" s="22" t="s">
        <v>2413</v>
      </c>
      <c r="B612" s="28" t="s">
        <v>2414</v>
      </c>
      <c r="C612" s="28" t="s">
        <v>2402</v>
      </c>
      <c r="D612" s="28" t="s">
        <v>1160</v>
      </c>
      <c r="E612" s="28" t="s">
        <v>1179</v>
      </c>
      <c r="F612" s="19" t="str">
        <f t="shared" si="1"/>
        <v>Megaserve Rohit</v>
      </c>
      <c r="M612" s="185"/>
      <c r="N612" s="203"/>
      <c r="O612" s="186"/>
      <c r="P612" s="186"/>
      <c r="Q612" s="186"/>
      <c r="R612" s="193"/>
    </row>
    <row r="613">
      <c r="A613" s="22" t="s">
        <v>699</v>
      </c>
      <c r="B613" s="28" t="s">
        <v>895</v>
      </c>
      <c r="C613" s="28" t="s">
        <v>646</v>
      </c>
      <c r="D613" s="28" t="s">
        <v>1160</v>
      </c>
      <c r="E613" s="28" t="s">
        <v>1179</v>
      </c>
      <c r="F613" s="19" t="str">
        <f t="shared" si="1"/>
        <v>Megaserve Rohit</v>
      </c>
      <c r="M613" s="185"/>
      <c r="N613" s="203"/>
      <c r="O613" s="186"/>
      <c r="P613" s="186"/>
      <c r="Q613" s="186"/>
      <c r="R613" s="76"/>
    </row>
    <row r="614">
      <c r="A614" s="22" t="s">
        <v>122</v>
      </c>
      <c r="B614" s="28" t="s">
        <v>123</v>
      </c>
      <c r="C614" s="28" t="s">
        <v>85</v>
      </c>
      <c r="D614" s="28" t="s">
        <v>1152</v>
      </c>
      <c r="E614" s="28" t="s">
        <v>1152</v>
      </c>
      <c r="F614" s="19" t="str">
        <f t="shared" si="1"/>
        <v>Capital Compound</v>
      </c>
      <c r="M614" s="185"/>
      <c r="N614" s="203"/>
      <c r="O614" s="186"/>
      <c r="P614" s="186"/>
      <c r="Q614" s="186"/>
      <c r="R614" s="76"/>
    </row>
    <row r="615">
      <c r="A615" s="22" t="s">
        <v>137</v>
      </c>
      <c r="B615" s="28" t="s">
        <v>138</v>
      </c>
      <c r="C615" s="28" t="s">
        <v>139</v>
      </c>
      <c r="D615" s="28" t="s">
        <v>1160</v>
      </c>
      <c r="E615" s="28" t="s">
        <v>1179</v>
      </c>
      <c r="F615" s="19" t="str">
        <f t="shared" si="1"/>
        <v>Megaserve Rohit</v>
      </c>
      <c r="M615" s="185"/>
      <c r="N615" s="203"/>
      <c r="O615" s="186"/>
      <c r="P615" s="186"/>
      <c r="Q615" s="186"/>
      <c r="R615" s="193"/>
    </row>
    <row r="616">
      <c r="A616" s="22" t="s">
        <v>243</v>
      </c>
      <c r="B616" s="28" t="s">
        <v>244</v>
      </c>
      <c r="C616" s="28" t="s">
        <v>85</v>
      </c>
      <c r="D616" s="28" t="s">
        <v>1152</v>
      </c>
      <c r="E616" s="28" t="s">
        <v>1152</v>
      </c>
      <c r="F616" s="19" t="str">
        <f t="shared" si="1"/>
        <v>Capital Compound</v>
      </c>
      <c r="M616" s="185"/>
      <c r="N616" s="203"/>
      <c r="O616" s="186"/>
      <c r="P616" s="186"/>
      <c r="Q616" s="186"/>
      <c r="R616" s="186"/>
    </row>
    <row r="617">
      <c r="A617" s="22" t="s">
        <v>98</v>
      </c>
      <c r="B617" s="28" t="s">
        <v>178</v>
      </c>
      <c r="C617" s="28" t="s">
        <v>85</v>
      </c>
      <c r="D617" s="28" t="s">
        <v>1152</v>
      </c>
      <c r="E617" s="28" t="s">
        <v>1152</v>
      </c>
      <c r="F617" s="19" t="str">
        <f t="shared" si="1"/>
        <v>Capital Compound</v>
      </c>
      <c r="M617" s="226"/>
      <c r="N617" s="222"/>
      <c r="O617" s="222"/>
      <c r="P617" s="186"/>
      <c r="Q617" s="186"/>
      <c r="R617" s="193"/>
    </row>
    <row r="618">
      <c r="A618" s="22" t="s">
        <v>618</v>
      </c>
      <c r="B618" s="28" t="s">
        <v>2421</v>
      </c>
      <c r="C618" s="28" t="s">
        <v>266</v>
      </c>
      <c r="D618" s="28" t="s">
        <v>1160</v>
      </c>
      <c r="E618" s="28" t="s">
        <v>1161</v>
      </c>
      <c r="F618" s="19" t="str">
        <f t="shared" si="1"/>
        <v>Megaserve Jainam</v>
      </c>
      <c r="M618" s="185"/>
      <c r="N618" s="203"/>
      <c r="O618" s="186"/>
      <c r="P618" s="186"/>
      <c r="Q618" s="186"/>
      <c r="R618" s="193"/>
    </row>
    <row r="619">
      <c r="A619" s="22" t="s">
        <v>120</v>
      </c>
      <c r="B619" s="28" t="s">
        <v>2422</v>
      </c>
      <c r="C619" s="28" t="s">
        <v>266</v>
      </c>
      <c r="D619" s="28" t="s">
        <v>1160</v>
      </c>
      <c r="E619" s="28" t="s">
        <v>1161</v>
      </c>
      <c r="F619" s="19" t="str">
        <f t="shared" si="1"/>
        <v>Megaserve Jainam</v>
      </c>
      <c r="M619" s="185"/>
      <c r="N619" s="203"/>
      <c r="O619" s="186"/>
      <c r="P619" s="186"/>
      <c r="Q619" s="186"/>
      <c r="R619" s="76"/>
    </row>
    <row r="620">
      <c r="A620" s="22" t="s">
        <v>129</v>
      </c>
      <c r="B620" s="28" t="s">
        <v>2424</v>
      </c>
      <c r="C620" s="28" t="s">
        <v>266</v>
      </c>
      <c r="D620" s="28" t="s">
        <v>1160</v>
      </c>
      <c r="E620" s="28" t="s">
        <v>1161</v>
      </c>
      <c r="F620" s="19" t="str">
        <f t="shared" si="1"/>
        <v>Megaserve Jainam</v>
      </c>
      <c r="M620" s="185"/>
      <c r="N620" s="203"/>
      <c r="O620" s="186"/>
      <c r="P620" s="186"/>
      <c r="Q620" s="186"/>
      <c r="R620" s="193"/>
    </row>
    <row r="621">
      <c r="A621" s="22" t="s">
        <v>1051</v>
      </c>
      <c r="B621" s="28" t="s">
        <v>2425</v>
      </c>
      <c r="C621" s="28" t="s">
        <v>266</v>
      </c>
      <c r="D621" s="28" t="s">
        <v>1160</v>
      </c>
      <c r="E621" s="28" t="s">
        <v>1161</v>
      </c>
      <c r="F621" s="19" t="str">
        <f t="shared" si="1"/>
        <v>Megaserve Jainam</v>
      </c>
      <c r="M621" s="185"/>
      <c r="N621" s="203"/>
      <c r="O621" s="186"/>
      <c r="P621" s="186"/>
      <c r="Q621" s="186"/>
      <c r="R621" s="193"/>
    </row>
    <row r="622">
      <c r="A622" s="22" t="s">
        <v>638</v>
      </c>
      <c r="B622" s="28" t="s">
        <v>2428</v>
      </c>
      <c r="C622" s="28" t="s">
        <v>272</v>
      </c>
      <c r="D622" s="28" t="s">
        <v>1160</v>
      </c>
      <c r="E622" s="28" t="s">
        <v>1161</v>
      </c>
      <c r="F622" s="19" t="str">
        <f t="shared" si="1"/>
        <v>Megaserve Jainam</v>
      </c>
      <c r="M622" s="185"/>
      <c r="N622" s="203"/>
      <c r="O622" s="186"/>
      <c r="P622" s="186"/>
      <c r="Q622" s="186"/>
      <c r="R622" s="193"/>
    </row>
    <row r="623">
      <c r="A623" s="22" t="s">
        <v>681</v>
      </c>
      <c r="B623" s="28" t="s">
        <v>2430</v>
      </c>
      <c r="C623" s="28" t="s">
        <v>266</v>
      </c>
      <c r="D623" s="28" t="s">
        <v>1160</v>
      </c>
      <c r="E623" s="28" t="s">
        <v>1161</v>
      </c>
      <c r="F623" s="19" t="str">
        <f t="shared" si="1"/>
        <v>Megaserve Jainam</v>
      </c>
      <c r="M623" s="185"/>
      <c r="N623" s="203"/>
      <c r="O623" s="186"/>
      <c r="P623" s="186"/>
      <c r="Q623" s="186"/>
      <c r="R623" s="76"/>
    </row>
    <row r="624">
      <c r="A624" s="22" t="s">
        <v>107</v>
      </c>
      <c r="B624" s="28" t="s">
        <v>2432</v>
      </c>
      <c r="C624" s="28" t="s">
        <v>266</v>
      </c>
      <c r="D624" s="28" t="s">
        <v>1160</v>
      </c>
      <c r="E624" s="28" t="s">
        <v>1161</v>
      </c>
      <c r="F624" s="19" t="str">
        <f t="shared" si="1"/>
        <v>Megaserve Jainam</v>
      </c>
      <c r="M624" s="185"/>
      <c r="N624" s="203"/>
      <c r="O624" s="186"/>
      <c r="P624" s="186"/>
      <c r="Q624" s="186"/>
      <c r="R624" s="76"/>
    </row>
    <row r="625">
      <c r="A625" s="22" t="s">
        <v>550</v>
      </c>
      <c r="B625" s="28" t="s">
        <v>2436</v>
      </c>
      <c r="C625" s="28" t="s">
        <v>311</v>
      </c>
      <c r="D625" s="28" t="s">
        <v>1160</v>
      </c>
      <c r="E625" s="28" t="s">
        <v>1179</v>
      </c>
      <c r="F625" s="19" t="str">
        <f t="shared" si="1"/>
        <v>Megaserve Rohit</v>
      </c>
      <c r="M625" s="185"/>
      <c r="N625" s="186"/>
      <c r="O625" s="186"/>
      <c r="P625" s="186"/>
      <c r="Q625" s="186"/>
      <c r="R625" s="76"/>
    </row>
    <row r="626">
      <c r="A626" s="22" t="s">
        <v>2437</v>
      </c>
      <c r="B626" s="28" t="s">
        <v>2438</v>
      </c>
      <c r="C626" s="28" t="s">
        <v>574</v>
      </c>
      <c r="D626" s="28" t="s">
        <v>1160</v>
      </c>
      <c r="E626" s="28" t="s">
        <v>1184</v>
      </c>
      <c r="F626" s="19" t="str">
        <f t="shared" si="1"/>
        <v>Megaserve Parmmeshvar</v>
      </c>
      <c r="M626" s="185"/>
      <c r="N626" s="203"/>
      <c r="O626" s="186"/>
      <c r="P626" s="186"/>
      <c r="Q626" s="186"/>
      <c r="R626" s="76"/>
    </row>
    <row r="627">
      <c r="A627" s="22" t="s">
        <v>341</v>
      </c>
      <c r="B627" s="28" t="s">
        <v>2440</v>
      </c>
      <c r="C627" s="28" t="s">
        <v>2441</v>
      </c>
      <c r="D627" s="28" t="s">
        <v>1160</v>
      </c>
      <c r="E627" s="28" t="s">
        <v>1179</v>
      </c>
      <c r="F627" s="19" t="str">
        <f t="shared" si="1"/>
        <v>Megaserve Rohit</v>
      </c>
      <c r="M627" s="185"/>
      <c r="N627" s="203"/>
      <c r="O627" s="186"/>
      <c r="P627" s="186"/>
      <c r="Q627" s="186"/>
      <c r="R627" s="186"/>
    </row>
    <row r="628">
      <c r="A628" s="227" t="s">
        <v>1098</v>
      </c>
      <c r="B628" s="228" t="s">
        <v>2442</v>
      </c>
      <c r="C628" s="227" t="s">
        <v>232</v>
      </c>
      <c r="D628" s="9" t="s">
        <v>1160</v>
      </c>
      <c r="E628" s="9" t="s">
        <v>1179</v>
      </c>
      <c r="F628" s="19" t="str">
        <f t="shared" si="1"/>
        <v>Megaserve Rohit</v>
      </c>
      <c r="M628" s="185"/>
      <c r="N628" s="203"/>
      <c r="O628" s="186"/>
      <c r="P628" s="186"/>
      <c r="Q628" s="186"/>
      <c r="R628" s="193"/>
    </row>
    <row r="629">
      <c r="A629" s="227" t="s">
        <v>154</v>
      </c>
      <c r="B629" s="22" t="str">
        <f>VLOOKUP(A629,Main!A:B,2,0)</f>
        <v>MSS_AARTHA_JM_POS</v>
      </c>
      <c r="C629" s="227" t="s">
        <v>2444</v>
      </c>
      <c r="D629" s="229" t="s">
        <v>1160</v>
      </c>
      <c r="E629" s="229" t="s">
        <v>1184</v>
      </c>
      <c r="F629" s="19" t="str">
        <f t="shared" si="1"/>
        <v>Megaserve Parmmeshvar</v>
      </c>
      <c r="M629" s="185"/>
      <c r="N629" s="203"/>
      <c r="O629" s="186"/>
      <c r="P629" s="186"/>
      <c r="Q629" s="186"/>
      <c r="R629" s="193"/>
    </row>
    <row r="630">
      <c r="A630" s="21" t="s">
        <v>749</v>
      </c>
      <c r="B630" s="21" t="s">
        <v>750</v>
      </c>
      <c r="C630" s="21" t="s">
        <v>751</v>
      </c>
      <c r="D630" s="28" t="s">
        <v>1160</v>
      </c>
      <c r="E630" s="9" t="s">
        <v>1179</v>
      </c>
      <c r="F630" s="19" t="str">
        <f t="shared" si="1"/>
        <v>Megaserve Rohit</v>
      </c>
      <c r="M630" s="185"/>
      <c r="N630" s="203"/>
      <c r="O630" s="186"/>
      <c r="P630" s="186"/>
      <c r="Q630" s="186"/>
      <c r="R630" s="186"/>
    </row>
    <row r="631">
      <c r="A631" s="21" t="s">
        <v>617</v>
      </c>
      <c r="B631" s="21" t="s">
        <v>2446</v>
      </c>
      <c r="C631" s="21" t="s">
        <v>2447</v>
      </c>
      <c r="D631" s="9" t="s">
        <v>1152</v>
      </c>
      <c r="E631" s="9" t="s">
        <v>1162</v>
      </c>
      <c r="F631" s="19" t="str">
        <f t="shared" si="1"/>
        <v>Capital Compound Vivek</v>
      </c>
      <c r="M631" s="185"/>
      <c r="N631" s="203"/>
      <c r="O631" s="186"/>
      <c r="P631" s="186"/>
      <c r="Q631" s="186"/>
      <c r="R631" s="193"/>
    </row>
    <row r="632">
      <c r="A632" s="21" t="s">
        <v>2449</v>
      </c>
      <c r="B632" s="21" t="s">
        <v>2450</v>
      </c>
      <c r="C632" s="21" t="s">
        <v>2447</v>
      </c>
      <c r="D632" s="9" t="s">
        <v>1152</v>
      </c>
      <c r="E632" s="9" t="s">
        <v>1162</v>
      </c>
      <c r="F632" s="19" t="str">
        <f t="shared" si="1"/>
        <v>Capital Compound Vivek</v>
      </c>
      <c r="M632" s="185"/>
      <c r="N632" s="186"/>
      <c r="O632" s="186"/>
      <c r="P632" s="186"/>
      <c r="Q632" s="186"/>
      <c r="R632" s="193"/>
    </row>
    <row r="633">
      <c r="A633" s="21" t="s">
        <v>2261</v>
      </c>
      <c r="B633" s="21" t="s">
        <v>2452</v>
      </c>
      <c r="C633" s="21" t="s">
        <v>311</v>
      </c>
      <c r="D633" s="9" t="s">
        <v>1160</v>
      </c>
      <c r="E633" s="9" t="s">
        <v>1179</v>
      </c>
      <c r="F633" s="19" t="str">
        <f t="shared" si="1"/>
        <v>Megaserve Rohit</v>
      </c>
      <c r="M633" s="185"/>
      <c r="N633" s="186"/>
      <c r="O633" s="186"/>
      <c r="P633" s="186"/>
      <c r="Q633" s="186"/>
      <c r="R633" s="193"/>
    </row>
    <row r="634">
      <c r="A634" s="21" t="s">
        <v>2453</v>
      </c>
      <c r="B634" s="21" t="s">
        <v>2454</v>
      </c>
      <c r="C634" s="21" t="s">
        <v>85</v>
      </c>
      <c r="D634" s="9" t="s">
        <v>1152</v>
      </c>
      <c r="E634" s="9" t="s">
        <v>1152</v>
      </c>
      <c r="F634" s="19" t="str">
        <f t="shared" si="1"/>
        <v>Capital Compound</v>
      </c>
      <c r="M634" s="185"/>
      <c r="N634" s="203"/>
      <c r="O634" s="186"/>
      <c r="P634" s="186"/>
      <c r="Q634" s="186"/>
      <c r="R634" s="76"/>
    </row>
    <row r="635">
      <c r="A635" s="21" t="s">
        <v>2455</v>
      </c>
      <c r="B635" s="21" t="s">
        <v>2456</v>
      </c>
      <c r="C635" s="21" t="s">
        <v>2447</v>
      </c>
      <c r="D635" s="9" t="s">
        <v>1152</v>
      </c>
      <c r="E635" s="9" t="s">
        <v>1162</v>
      </c>
      <c r="F635" s="19" t="str">
        <f t="shared" si="1"/>
        <v>Capital Compound Vivek</v>
      </c>
      <c r="M635" s="185"/>
      <c r="N635" s="203"/>
      <c r="O635" s="186"/>
      <c r="P635" s="186"/>
      <c r="Q635" s="186"/>
      <c r="R635" s="186"/>
    </row>
    <row r="636">
      <c r="A636" s="21" t="s">
        <v>652</v>
      </c>
      <c r="B636" s="22" t="str">
        <f>VLOOKUP(A636,Main!A:B,2,0)</f>
        <v>MSR_A19_RAYGUN_EXC</v>
      </c>
      <c r="C636" s="21" t="s">
        <v>2272</v>
      </c>
      <c r="D636" s="28" t="s">
        <v>1160</v>
      </c>
      <c r="E636" s="9" t="s">
        <v>1179</v>
      </c>
      <c r="F636" s="19" t="str">
        <f t="shared" si="1"/>
        <v>Megaserve Rohit</v>
      </c>
      <c r="M636" s="185"/>
      <c r="N636" s="203"/>
      <c r="O636" s="186"/>
      <c r="P636" s="186"/>
      <c r="Q636" s="186"/>
      <c r="R636" s="186"/>
    </row>
    <row r="637">
      <c r="A637" s="21" t="s">
        <v>653</v>
      </c>
      <c r="B637" s="21" t="s">
        <v>2460</v>
      </c>
      <c r="C637" s="21" t="s">
        <v>266</v>
      </c>
      <c r="D637" s="28" t="s">
        <v>1160</v>
      </c>
      <c r="E637" s="28" t="s">
        <v>1161</v>
      </c>
      <c r="F637" s="19" t="str">
        <f t="shared" si="1"/>
        <v>Megaserve Jainam</v>
      </c>
      <c r="M637" s="185"/>
      <c r="N637" s="203"/>
      <c r="O637" s="186"/>
      <c r="P637" s="186"/>
      <c r="Q637" s="186"/>
      <c r="R637" s="76"/>
    </row>
    <row r="638">
      <c r="A638" s="21" t="s">
        <v>670</v>
      </c>
      <c r="B638" s="21" t="s">
        <v>2462</v>
      </c>
      <c r="C638" s="21" t="s">
        <v>2447</v>
      </c>
      <c r="D638" s="9" t="s">
        <v>1152</v>
      </c>
      <c r="E638" s="9" t="s">
        <v>1162</v>
      </c>
      <c r="F638" s="19" t="str">
        <f t="shared" si="1"/>
        <v>Capital Compound Vivek</v>
      </c>
      <c r="M638" s="185"/>
      <c r="N638" s="203"/>
      <c r="O638" s="186"/>
      <c r="P638" s="186"/>
      <c r="Q638" s="186"/>
      <c r="R638" s="186"/>
    </row>
    <row r="639">
      <c r="A639" s="21" t="s">
        <v>144</v>
      </c>
      <c r="B639" s="21" t="s">
        <v>2463</v>
      </c>
      <c r="C639" s="21" t="s">
        <v>266</v>
      </c>
      <c r="D639" s="28" t="s">
        <v>1160</v>
      </c>
      <c r="E639" s="28" t="s">
        <v>1161</v>
      </c>
      <c r="F639" s="19" t="str">
        <f t="shared" si="1"/>
        <v>Megaserve Jainam</v>
      </c>
      <c r="M639" s="185"/>
      <c r="N639" s="186"/>
      <c r="O639" s="186"/>
      <c r="P639" s="186"/>
      <c r="Q639" s="186"/>
      <c r="R639" s="193"/>
    </row>
    <row r="640">
      <c r="A640" s="21" t="s">
        <v>2464</v>
      </c>
      <c r="B640" s="21" t="s">
        <v>2466</v>
      </c>
      <c r="C640" s="21" t="s">
        <v>2398</v>
      </c>
      <c r="D640" s="28" t="s">
        <v>1160</v>
      </c>
      <c r="E640" s="9" t="s">
        <v>1161</v>
      </c>
      <c r="F640" s="19" t="str">
        <f t="shared" si="1"/>
        <v>Megaserve Jainam</v>
      </c>
      <c r="M640" s="185"/>
      <c r="N640" s="186"/>
      <c r="O640" s="186"/>
      <c r="P640" s="186"/>
      <c r="Q640" s="186"/>
      <c r="R640" s="186"/>
    </row>
    <row r="641">
      <c r="A641" s="21" t="s">
        <v>672</v>
      </c>
      <c r="B641" s="21" t="s">
        <v>2469</v>
      </c>
      <c r="C641" s="21" t="s">
        <v>85</v>
      </c>
      <c r="D641" s="9" t="s">
        <v>1152</v>
      </c>
      <c r="E641" s="9" t="s">
        <v>1152</v>
      </c>
      <c r="F641" s="19" t="str">
        <f t="shared" si="1"/>
        <v>Capital Compound</v>
      </c>
      <c r="M641" s="223"/>
      <c r="N641" s="224"/>
      <c r="O641" s="224"/>
      <c r="P641" s="224"/>
      <c r="Q641" s="224"/>
      <c r="R641" s="186"/>
    </row>
    <row r="642">
      <c r="A642" s="21" t="s">
        <v>701</v>
      </c>
      <c r="B642" s="21" t="s">
        <v>2470</v>
      </c>
      <c r="C642" s="9" t="s">
        <v>266</v>
      </c>
      <c r="D642" s="28" t="s">
        <v>1160</v>
      </c>
      <c r="E642" s="28" t="s">
        <v>1161</v>
      </c>
      <c r="F642" s="19" t="str">
        <f t="shared" si="1"/>
        <v>Megaserve Jainam</v>
      </c>
      <c r="M642" s="185"/>
      <c r="N642" s="203"/>
      <c r="O642" s="186"/>
      <c r="P642" s="186"/>
      <c r="Q642" s="186"/>
      <c r="R642" s="186"/>
    </row>
    <row r="643">
      <c r="A643" s="21" t="s">
        <v>702</v>
      </c>
      <c r="B643" s="21" t="s">
        <v>2472</v>
      </c>
      <c r="C643" s="21" t="s">
        <v>2272</v>
      </c>
      <c r="D643" s="28" t="s">
        <v>1160</v>
      </c>
      <c r="E643" s="9" t="s">
        <v>1179</v>
      </c>
      <c r="F643" s="19" t="str">
        <f t="shared" si="1"/>
        <v>Megaserve Rohit</v>
      </c>
      <c r="M643" s="185"/>
      <c r="N643" s="203"/>
      <c r="O643" s="186"/>
      <c r="P643" s="186"/>
      <c r="Q643" s="186"/>
      <c r="R643" s="76"/>
    </row>
    <row r="644">
      <c r="A644" s="21" t="s">
        <v>2475</v>
      </c>
      <c r="B644" s="21" t="s">
        <v>2476</v>
      </c>
      <c r="C644" s="21" t="s">
        <v>2447</v>
      </c>
      <c r="D644" s="9" t="s">
        <v>1152</v>
      </c>
      <c r="E644" s="9" t="s">
        <v>1162</v>
      </c>
      <c r="F644" s="19" t="str">
        <f t="shared" si="1"/>
        <v>Capital Compound Vivek</v>
      </c>
      <c r="M644" s="185"/>
      <c r="N644" s="203"/>
      <c r="O644" s="186"/>
      <c r="P644" s="186"/>
      <c r="Q644" s="186"/>
      <c r="R644" s="193"/>
    </row>
    <row r="645">
      <c r="A645" s="21" t="s">
        <v>974</v>
      </c>
      <c r="B645" s="21" t="s">
        <v>2478</v>
      </c>
      <c r="C645" s="21" t="s">
        <v>2479</v>
      </c>
      <c r="D645" s="28" t="s">
        <v>1160</v>
      </c>
      <c r="E645" s="9" t="s">
        <v>1179</v>
      </c>
      <c r="F645" s="19" t="str">
        <f t="shared" si="1"/>
        <v>Megaserve Rohit</v>
      </c>
      <c r="M645" s="185"/>
      <c r="N645" s="186"/>
      <c r="O645" s="186"/>
      <c r="P645" s="186"/>
      <c r="Q645" s="186"/>
      <c r="R645" s="186"/>
    </row>
    <row r="646">
      <c r="A646" s="21" t="s">
        <v>1033</v>
      </c>
      <c r="B646" s="21" t="s">
        <v>2480</v>
      </c>
      <c r="C646" s="21" t="s">
        <v>85</v>
      </c>
      <c r="D646" s="9" t="s">
        <v>1152</v>
      </c>
      <c r="E646" s="9" t="s">
        <v>1152</v>
      </c>
      <c r="F646" s="19" t="str">
        <f t="shared" si="1"/>
        <v>Capital Compound</v>
      </c>
      <c r="M646" s="185"/>
      <c r="N646" s="203"/>
      <c r="O646" s="186"/>
      <c r="P646" s="186"/>
      <c r="Q646" s="186"/>
      <c r="R646" s="186"/>
    </row>
    <row r="647">
      <c r="A647" s="21" t="s">
        <v>160</v>
      </c>
      <c r="B647" s="22" t="str">
        <f>VLOOKUP(A647,Main!A:B,2,0)</f>
        <v>A15_EXCEL13_EXC</v>
      </c>
      <c r="C647" s="21" t="s">
        <v>2272</v>
      </c>
      <c r="D647" s="28" t="s">
        <v>1160</v>
      </c>
      <c r="E647" s="9" t="s">
        <v>1179</v>
      </c>
      <c r="F647" s="19" t="str">
        <f t="shared" si="1"/>
        <v>Megaserve Rohit</v>
      </c>
      <c r="M647" s="185"/>
      <c r="N647" s="203"/>
      <c r="O647" s="186"/>
      <c r="P647" s="186"/>
      <c r="Q647" s="186"/>
      <c r="R647" s="76"/>
    </row>
    <row r="648">
      <c r="A648" s="21" t="s">
        <v>705</v>
      </c>
      <c r="B648" s="21" t="s">
        <v>2484</v>
      </c>
      <c r="C648" s="21" t="s">
        <v>751</v>
      </c>
      <c r="D648" s="28" t="s">
        <v>1160</v>
      </c>
      <c r="E648" s="9" t="s">
        <v>1179</v>
      </c>
      <c r="F648" s="19" t="str">
        <f t="shared" si="1"/>
        <v>Megaserve Rohit</v>
      </c>
      <c r="M648" s="185"/>
      <c r="N648" s="203"/>
      <c r="O648" s="186"/>
      <c r="P648" s="186"/>
      <c r="Q648" s="186"/>
      <c r="R648" s="193"/>
    </row>
    <row r="649">
      <c r="A649" s="21" t="s">
        <v>706</v>
      </c>
      <c r="B649" s="21" t="s">
        <v>2486</v>
      </c>
      <c r="C649" s="21" t="s">
        <v>311</v>
      </c>
      <c r="D649" s="9" t="s">
        <v>1160</v>
      </c>
      <c r="E649" s="28" t="s">
        <v>1172</v>
      </c>
      <c r="F649" s="19" t="str">
        <f t="shared" si="1"/>
        <v>Megaserve Nandkishore</v>
      </c>
      <c r="M649" s="185"/>
      <c r="N649" s="203"/>
      <c r="O649" s="186"/>
      <c r="P649" s="186"/>
      <c r="Q649" s="186"/>
      <c r="R649" s="76"/>
    </row>
    <row r="650">
      <c r="A650" s="21" t="s">
        <v>1025</v>
      </c>
      <c r="B650" s="22" t="str">
        <f>VLOOKUP(A650,Main!A:B,2,0)</f>
        <v>MSR_A15_RAYGUN_INT_EXC</v>
      </c>
      <c r="C650" s="21" t="s">
        <v>751</v>
      </c>
      <c r="D650" s="28" t="s">
        <v>1160</v>
      </c>
      <c r="E650" s="9" t="s">
        <v>1179</v>
      </c>
      <c r="F650" s="19" t="str">
        <f t="shared" si="1"/>
        <v>Megaserve Rohit</v>
      </c>
      <c r="M650" s="185"/>
      <c r="N650" s="186"/>
      <c r="O650" s="186"/>
      <c r="P650" s="186"/>
      <c r="Q650" s="186"/>
      <c r="R650" s="186"/>
    </row>
    <row r="651">
      <c r="A651" s="21" t="s">
        <v>655</v>
      </c>
      <c r="B651" s="21" t="s">
        <v>2488</v>
      </c>
      <c r="C651" s="21" t="s">
        <v>85</v>
      </c>
      <c r="D651" s="9" t="s">
        <v>1152</v>
      </c>
      <c r="E651" s="28" t="s">
        <v>1196</v>
      </c>
      <c r="F651" s="19" t="str">
        <f t="shared" si="1"/>
        <v>Personal GB</v>
      </c>
      <c r="M651" s="185"/>
      <c r="N651" s="186"/>
      <c r="O651" s="186"/>
      <c r="P651" s="186"/>
      <c r="Q651" s="186"/>
      <c r="R651" s="186"/>
    </row>
    <row r="652">
      <c r="A652" s="21" t="s">
        <v>671</v>
      </c>
      <c r="B652" s="21" t="s">
        <v>1060</v>
      </c>
      <c r="C652" s="21" t="s">
        <v>841</v>
      </c>
      <c r="D652" s="9" t="s">
        <v>1160</v>
      </c>
      <c r="E652" s="28" t="s">
        <v>1193</v>
      </c>
      <c r="F652" s="19" t="str">
        <f t="shared" si="1"/>
        <v>Personal RD</v>
      </c>
      <c r="M652" s="226"/>
      <c r="N652" s="222"/>
      <c r="O652" s="222"/>
      <c r="P652" s="186"/>
      <c r="Q652" s="186"/>
      <c r="R652" s="186"/>
    </row>
    <row r="653">
      <c r="A653" s="21" t="s">
        <v>673</v>
      </c>
      <c r="B653" s="21" t="s">
        <v>2492</v>
      </c>
      <c r="C653" s="21" t="s">
        <v>2496</v>
      </c>
      <c r="D653" s="28" t="s">
        <v>1160</v>
      </c>
      <c r="E653" s="9" t="s">
        <v>1179</v>
      </c>
      <c r="F653" s="19" t="str">
        <f t="shared" si="1"/>
        <v>Megaserve Rohit</v>
      </c>
      <c r="M653" s="185"/>
      <c r="N653" s="203"/>
      <c r="O653" s="186"/>
      <c r="P653" s="186"/>
      <c r="Q653" s="186"/>
      <c r="R653" s="76"/>
    </row>
    <row r="654">
      <c r="A654" s="21" t="s">
        <v>2498</v>
      </c>
      <c r="B654" s="21" t="s">
        <v>2499</v>
      </c>
      <c r="C654" s="28" t="s">
        <v>574</v>
      </c>
      <c r="D654" s="28" t="s">
        <v>1160</v>
      </c>
      <c r="E654" s="28" t="s">
        <v>1184</v>
      </c>
      <c r="F654" s="19" t="str">
        <f t="shared" si="1"/>
        <v>Megaserve Parmmeshvar</v>
      </c>
      <c r="M654" s="185"/>
      <c r="N654" s="186"/>
      <c r="O654" s="186"/>
      <c r="P654" s="186"/>
      <c r="Q654" s="186"/>
      <c r="R654" s="186"/>
    </row>
    <row r="655">
      <c r="A655" s="21" t="s">
        <v>2502</v>
      </c>
      <c r="B655" s="21" t="s">
        <v>2503</v>
      </c>
      <c r="C655" s="28" t="s">
        <v>574</v>
      </c>
      <c r="D655" s="28" t="s">
        <v>1160</v>
      </c>
      <c r="E655" s="28" t="s">
        <v>1184</v>
      </c>
      <c r="F655" s="19" t="str">
        <f t="shared" si="1"/>
        <v>Megaserve Parmmeshvar</v>
      </c>
      <c r="M655" s="185"/>
      <c r="N655" s="186"/>
      <c r="O655" s="186"/>
      <c r="P655" s="186"/>
      <c r="Q655" s="186"/>
      <c r="R655" s="186"/>
    </row>
    <row r="656">
      <c r="A656" s="21" t="s">
        <v>1144</v>
      </c>
      <c r="B656" s="21" t="s">
        <v>2505</v>
      </c>
      <c r="C656" s="150" t="s">
        <v>311</v>
      </c>
      <c r="D656" s="9" t="s">
        <v>1160</v>
      </c>
      <c r="E656" s="9" t="s">
        <v>1179</v>
      </c>
      <c r="F656" s="19" t="str">
        <f t="shared" si="1"/>
        <v>Megaserve Rohit</v>
      </c>
      <c r="M656" s="185"/>
      <c r="N656" s="186"/>
      <c r="O656" s="186"/>
      <c r="P656" s="186"/>
      <c r="Q656" s="186"/>
      <c r="R656" s="186"/>
    </row>
    <row r="657">
      <c r="A657" s="21" t="s">
        <v>259</v>
      </c>
      <c r="B657" s="231" t="s">
        <v>2506</v>
      </c>
      <c r="C657" s="150" t="s">
        <v>311</v>
      </c>
      <c r="D657" s="9" t="s">
        <v>1160</v>
      </c>
      <c r="E657" s="28" t="s">
        <v>1187</v>
      </c>
      <c r="F657" s="19" t="str">
        <f t="shared" si="1"/>
        <v>Personal PS</v>
      </c>
      <c r="M657" s="185"/>
      <c r="N657" s="186"/>
      <c r="O657" s="186"/>
      <c r="P657" s="186"/>
      <c r="Q657" s="186"/>
      <c r="R657" s="186"/>
    </row>
    <row r="658">
      <c r="A658" s="21" t="s">
        <v>863</v>
      </c>
      <c r="B658" s="231" t="s">
        <v>864</v>
      </c>
      <c r="C658" s="28" t="s">
        <v>574</v>
      </c>
      <c r="D658" s="28" t="s">
        <v>1160</v>
      </c>
      <c r="E658" s="28" t="s">
        <v>1184</v>
      </c>
      <c r="F658" s="19" t="str">
        <f t="shared" si="1"/>
        <v>Megaserve Parmmeshvar</v>
      </c>
      <c r="M658" s="185"/>
      <c r="N658" s="186"/>
      <c r="O658" s="186"/>
      <c r="P658" s="186"/>
      <c r="Q658" s="186"/>
      <c r="R658" s="186"/>
    </row>
    <row r="659">
      <c r="A659" s="21" t="s">
        <v>224</v>
      </c>
      <c r="B659" s="231" t="s">
        <v>2511</v>
      </c>
      <c r="C659" s="21" t="s">
        <v>875</v>
      </c>
      <c r="D659" s="9" t="s">
        <v>1160</v>
      </c>
      <c r="E659" s="9" t="s">
        <v>1161</v>
      </c>
      <c r="F659" s="19" t="str">
        <f t="shared" si="1"/>
        <v>Megaserve Jainam</v>
      </c>
      <c r="M659" s="185"/>
      <c r="N659" s="186"/>
      <c r="O659" s="186"/>
      <c r="P659" s="186"/>
      <c r="Q659" s="186"/>
      <c r="R659" s="76"/>
    </row>
    <row r="660">
      <c r="A660" s="21" t="s">
        <v>707</v>
      </c>
      <c r="B660" s="231" t="s">
        <v>2512</v>
      </c>
      <c r="C660" s="21" t="s">
        <v>875</v>
      </c>
      <c r="D660" s="9" t="s">
        <v>1160</v>
      </c>
      <c r="E660" s="9" t="s">
        <v>1161</v>
      </c>
      <c r="F660" s="19" t="str">
        <f t="shared" si="1"/>
        <v>Megaserve Jainam</v>
      </c>
      <c r="M660" s="185"/>
      <c r="N660" s="203"/>
      <c r="O660" s="186"/>
      <c r="P660" s="186"/>
      <c r="Q660" s="186"/>
      <c r="R660" s="76"/>
    </row>
    <row r="661">
      <c r="A661" s="21" t="s">
        <v>708</v>
      </c>
      <c r="B661" s="231" t="s">
        <v>873</v>
      </c>
      <c r="C661" s="21" t="s">
        <v>875</v>
      </c>
      <c r="D661" s="9" t="s">
        <v>1160</v>
      </c>
      <c r="E661" s="9" t="s">
        <v>1161</v>
      </c>
      <c r="F661" s="19" t="str">
        <f t="shared" si="1"/>
        <v>Megaserve Jainam</v>
      </c>
      <c r="M661" s="185"/>
      <c r="N661" s="203"/>
      <c r="O661" s="186"/>
      <c r="P661" s="186"/>
      <c r="Q661" s="186"/>
      <c r="R661" s="76"/>
    </row>
    <row r="662">
      <c r="A662" s="21" t="s">
        <v>27</v>
      </c>
      <c r="B662" s="231" t="s">
        <v>2515</v>
      </c>
      <c r="C662" s="21" t="s">
        <v>875</v>
      </c>
      <c r="D662" s="9" t="s">
        <v>1160</v>
      </c>
      <c r="E662" s="9" t="s">
        <v>1161</v>
      </c>
      <c r="F662" s="19" t="str">
        <f t="shared" si="1"/>
        <v>Megaserve Jainam</v>
      </c>
      <c r="M662" s="185"/>
      <c r="N662" s="203"/>
      <c r="O662" s="186"/>
      <c r="P662" s="186"/>
      <c r="Q662" s="186"/>
      <c r="R662" s="76"/>
    </row>
    <row r="663">
      <c r="A663" s="21" t="s">
        <v>234</v>
      </c>
      <c r="B663" s="231" t="s">
        <v>2516</v>
      </c>
      <c r="C663" s="21" t="s">
        <v>875</v>
      </c>
      <c r="D663" s="9" t="s">
        <v>1160</v>
      </c>
      <c r="E663" s="9" t="s">
        <v>1161</v>
      </c>
      <c r="F663" s="19" t="str">
        <f t="shared" si="1"/>
        <v>Megaserve Jainam</v>
      </c>
      <c r="M663" s="185"/>
      <c r="N663" s="186"/>
      <c r="O663" s="186"/>
      <c r="P663" s="186"/>
      <c r="Q663" s="186"/>
      <c r="R663" s="186"/>
    </row>
    <row r="664">
      <c r="A664" s="21" t="s">
        <v>608</v>
      </c>
      <c r="B664" s="232" t="s">
        <v>2519</v>
      </c>
      <c r="C664" s="150" t="s">
        <v>232</v>
      </c>
      <c r="D664" s="9" t="s">
        <v>1160</v>
      </c>
      <c r="E664" s="9" t="s">
        <v>1179</v>
      </c>
      <c r="F664" s="19" t="str">
        <f t="shared" si="1"/>
        <v>Megaserve Rohit</v>
      </c>
      <c r="M664" s="185"/>
      <c r="N664" s="186"/>
      <c r="O664" s="186"/>
      <c r="P664" s="186"/>
      <c r="Q664" s="186"/>
      <c r="R664" s="186"/>
    </row>
    <row r="665">
      <c r="A665" s="227" t="s">
        <v>155</v>
      </c>
      <c r="B665" s="228" t="s">
        <v>2521</v>
      </c>
      <c r="C665" s="227" t="s">
        <v>311</v>
      </c>
      <c r="D665" s="9" t="s">
        <v>1160</v>
      </c>
      <c r="E665" s="9" t="s">
        <v>1179</v>
      </c>
      <c r="F665" s="19" t="str">
        <f t="shared" si="1"/>
        <v>Megaserve Rohit</v>
      </c>
      <c r="M665" s="185"/>
      <c r="N665" s="203"/>
      <c r="O665" s="186"/>
      <c r="P665" s="186"/>
      <c r="Q665" s="186"/>
      <c r="R665" s="186"/>
    </row>
    <row r="666">
      <c r="A666" s="227" t="s">
        <v>2523</v>
      </c>
      <c r="B666" s="228" t="s">
        <v>2525</v>
      </c>
      <c r="C666" s="227" t="s">
        <v>311</v>
      </c>
      <c r="D666" s="9" t="s">
        <v>1160</v>
      </c>
      <c r="E666" s="9" t="s">
        <v>1179</v>
      </c>
      <c r="F666" s="19" t="str">
        <f t="shared" si="1"/>
        <v>Megaserve Rohit</v>
      </c>
      <c r="M666" s="185"/>
      <c r="N666" s="203"/>
      <c r="O666" s="186"/>
      <c r="P666" s="186"/>
      <c r="Q666" s="186"/>
      <c r="R666" s="186"/>
    </row>
    <row r="667">
      <c r="A667" s="227" t="s">
        <v>833</v>
      </c>
      <c r="B667" s="228" t="s">
        <v>834</v>
      </c>
      <c r="C667" s="227" t="s">
        <v>835</v>
      </c>
      <c r="D667" s="9" t="s">
        <v>1160</v>
      </c>
      <c r="E667" s="9" t="s">
        <v>1179</v>
      </c>
      <c r="F667" s="19" t="str">
        <f t="shared" si="1"/>
        <v>Megaserve Rohit</v>
      </c>
      <c r="M667" s="185"/>
      <c r="N667" s="186"/>
      <c r="O667" s="186"/>
      <c r="P667" s="186"/>
      <c r="Q667" s="186"/>
      <c r="R667" s="186"/>
    </row>
    <row r="668">
      <c r="A668" s="227" t="s">
        <v>758</v>
      </c>
      <c r="B668" s="228" t="s">
        <v>2527</v>
      </c>
      <c r="C668" s="227" t="s">
        <v>1204</v>
      </c>
      <c r="D668" s="9" t="s">
        <v>1160</v>
      </c>
      <c r="E668" s="9" t="s">
        <v>1179</v>
      </c>
      <c r="F668" s="19" t="str">
        <f t="shared" si="1"/>
        <v>Megaserve Rohit</v>
      </c>
      <c r="M668" s="185"/>
      <c r="N668" s="186"/>
      <c r="O668" s="186"/>
      <c r="P668" s="186"/>
      <c r="Q668" s="186"/>
      <c r="R668" s="186"/>
    </row>
    <row r="669">
      <c r="A669" s="227" t="s">
        <v>239</v>
      </c>
      <c r="B669" s="228" t="s">
        <v>2528</v>
      </c>
      <c r="C669" s="227" t="s">
        <v>1204</v>
      </c>
      <c r="D669" s="9" t="s">
        <v>1160</v>
      </c>
      <c r="E669" s="9" t="s">
        <v>1179</v>
      </c>
      <c r="F669" s="19" t="str">
        <f t="shared" si="1"/>
        <v>Megaserve Rohit</v>
      </c>
      <c r="M669" s="185"/>
      <c r="N669" s="203"/>
      <c r="O669" s="186"/>
      <c r="P669" s="186"/>
      <c r="Q669" s="186"/>
      <c r="R669" s="76"/>
    </row>
    <row r="670">
      <c r="A670" s="227" t="s">
        <v>2530</v>
      </c>
      <c r="B670" s="228" t="s">
        <v>2531</v>
      </c>
      <c r="C670" s="227" t="s">
        <v>1204</v>
      </c>
      <c r="D670" s="9" t="s">
        <v>1160</v>
      </c>
      <c r="E670" s="9" t="s">
        <v>1179</v>
      </c>
      <c r="F670" s="19" t="str">
        <f t="shared" si="1"/>
        <v>Megaserve Rohit</v>
      </c>
      <c r="M670" s="91"/>
    </row>
    <row r="671">
      <c r="A671" s="227" t="s">
        <v>2533</v>
      </c>
      <c r="B671" s="228" t="s">
        <v>2534</v>
      </c>
      <c r="C671" s="227" t="s">
        <v>1204</v>
      </c>
      <c r="D671" s="9" t="s">
        <v>1160</v>
      </c>
      <c r="E671" s="9" t="s">
        <v>1179</v>
      </c>
      <c r="F671" s="19" t="str">
        <f t="shared" si="1"/>
        <v>Megaserve Rohit</v>
      </c>
      <c r="M671" s="91"/>
    </row>
    <row r="672">
      <c r="A672" s="227" t="s">
        <v>2536</v>
      </c>
      <c r="B672" s="228" t="s">
        <v>2537</v>
      </c>
      <c r="C672" s="227" t="s">
        <v>1204</v>
      </c>
      <c r="D672" s="9" t="s">
        <v>1160</v>
      </c>
      <c r="E672" s="9" t="s">
        <v>1179</v>
      </c>
      <c r="F672" s="19" t="str">
        <f t="shared" si="1"/>
        <v>Megaserve Rohit</v>
      </c>
      <c r="M672" s="91"/>
    </row>
    <row r="673">
      <c r="A673" s="227" t="s">
        <v>2538</v>
      </c>
      <c r="B673" s="228" t="s">
        <v>2539</v>
      </c>
      <c r="C673" s="227" t="s">
        <v>716</v>
      </c>
      <c r="D673" s="28" t="s">
        <v>1160</v>
      </c>
      <c r="E673" s="28" t="s">
        <v>1184</v>
      </c>
      <c r="F673" s="19" t="str">
        <f t="shared" si="1"/>
        <v>Megaserve Parmmeshvar</v>
      </c>
      <c r="M673" s="91"/>
    </row>
    <row r="674">
      <c r="A674" s="227" t="s">
        <v>859</v>
      </c>
      <c r="B674" s="233" t="s">
        <v>2542</v>
      </c>
      <c r="C674" s="227" t="s">
        <v>716</v>
      </c>
      <c r="D674" s="28" t="s">
        <v>1160</v>
      </c>
      <c r="E674" s="28" t="s">
        <v>1184</v>
      </c>
      <c r="F674" s="19" t="str">
        <f t="shared" si="1"/>
        <v>Megaserve Parmmeshvar</v>
      </c>
      <c r="M674" s="91"/>
    </row>
    <row r="675">
      <c r="A675" s="227" t="s">
        <v>657</v>
      </c>
      <c r="B675" s="228" t="s">
        <v>2543</v>
      </c>
      <c r="C675" s="227" t="s">
        <v>716</v>
      </c>
      <c r="D675" s="28" t="s">
        <v>1160</v>
      </c>
      <c r="E675" s="28" t="s">
        <v>1184</v>
      </c>
      <c r="F675" s="19" t="str">
        <f t="shared" si="1"/>
        <v>Megaserve Parmmeshvar</v>
      </c>
      <c r="M675" s="91"/>
    </row>
    <row r="676">
      <c r="A676" s="227" t="s">
        <v>1040</v>
      </c>
      <c r="B676" s="228" t="s">
        <v>2544</v>
      </c>
      <c r="C676" s="227" t="s">
        <v>716</v>
      </c>
      <c r="D676" s="28" t="s">
        <v>1160</v>
      </c>
      <c r="E676" s="28" t="s">
        <v>1184</v>
      </c>
      <c r="F676" s="19" t="str">
        <f t="shared" si="1"/>
        <v>Megaserve Parmmeshvar</v>
      </c>
      <c r="M676" s="91"/>
    </row>
    <row r="677">
      <c r="A677" s="227" t="s">
        <v>2545</v>
      </c>
      <c r="B677" s="227" t="s">
        <v>2546</v>
      </c>
      <c r="C677" s="227" t="s">
        <v>716</v>
      </c>
      <c r="D677" s="28" t="s">
        <v>1160</v>
      </c>
      <c r="E677" s="28" t="s">
        <v>1184</v>
      </c>
      <c r="F677" s="19" t="str">
        <f t="shared" si="1"/>
        <v>Megaserve Parmmeshvar</v>
      </c>
      <c r="M677" s="91"/>
    </row>
    <row r="678">
      <c r="A678" s="21" t="s">
        <v>759</v>
      </c>
      <c r="B678" s="232" t="s">
        <v>760</v>
      </c>
      <c r="C678" s="227" t="s">
        <v>311</v>
      </c>
      <c r="D678" s="28" t="s">
        <v>1152</v>
      </c>
      <c r="E678" s="28" t="s">
        <v>1156</v>
      </c>
      <c r="F678" s="19" t="str">
        <f t="shared" si="1"/>
        <v>Capital Compound Govinda</v>
      </c>
      <c r="M678" s="91"/>
    </row>
    <row r="679">
      <c r="A679" s="21" t="s">
        <v>121</v>
      </c>
      <c r="B679" s="232" t="s">
        <v>2549</v>
      </c>
      <c r="C679" s="227" t="s">
        <v>311</v>
      </c>
      <c r="D679" s="9" t="s">
        <v>1160</v>
      </c>
      <c r="E679" s="9" t="s">
        <v>1179</v>
      </c>
      <c r="F679" s="19" t="str">
        <f t="shared" si="1"/>
        <v>Megaserve Rohit</v>
      </c>
      <c r="M679" s="91"/>
    </row>
    <row r="680">
      <c r="A680" s="21" t="s">
        <v>2000</v>
      </c>
      <c r="B680" s="232" t="s">
        <v>2551</v>
      </c>
      <c r="C680" s="227" t="s">
        <v>311</v>
      </c>
      <c r="D680" s="9" t="s">
        <v>1160</v>
      </c>
      <c r="E680" s="9" t="s">
        <v>1179</v>
      </c>
      <c r="F680" s="19" t="str">
        <f t="shared" si="1"/>
        <v>Megaserve Rohit</v>
      </c>
      <c r="M680" s="91"/>
    </row>
    <row r="681">
      <c r="A681" s="21" t="s">
        <v>259</v>
      </c>
      <c r="B681" s="232" t="s">
        <v>849</v>
      </c>
      <c r="C681" s="227" t="s">
        <v>311</v>
      </c>
      <c r="D681" s="9" t="s">
        <v>1160</v>
      </c>
      <c r="E681" s="28" t="s">
        <v>1187</v>
      </c>
      <c r="F681" s="19" t="str">
        <f t="shared" si="1"/>
        <v>Personal PS</v>
      </c>
      <c r="M681" s="91"/>
    </row>
    <row r="682">
      <c r="A682" s="21" t="s">
        <v>2553</v>
      </c>
      <c r="B682" s="232" t="s">
        <v>2554</v>
      </c>
      <c r="C682" s="227" t="s">
        <v>311</v>
      </c>
      <c r="D682" s="9" t="s">
        <v>1160</v>
      </c>
      <c r="E682" s="9" t="s">
        <v>1176</v>
      </c>
      <c r="F682" s="19" t="str">
        <f t="shared" si="1"/>
        <v>Megaserve Plantitude</v>
      </c>
      <c r="M682" s="91"/>
    </row>
    <row r="683">
      <c r="A683" s="21" t="s">
        <v>2555</v>
      </c>
      <c r="B683" s="232" t="s">
        <v>2556</v>
      </c>
      <c r="C683" s="227" t="s">
        <v>311</v>
      </c>
      <c r="D683" s="9" t="s">
        <v>1160</v>
      </c>
      <c r="E683" s="28" t="s">
        <v>1172</v>
      </c>
      <c r="F683" s="19" t="str">
        <f t="shared" si="1"/>
        <v>Megaserve Nandkishore</v>
      </c>
      <c r="M683" s="91"/>
    </row>
    <row r="684">
      <c r="A684" s="227" t="s">
        <v>2557</v>
      </c>
      <c r="B684" s="234" t="s">
        <v>2558</v>
      </c>
      <c r="C684" s="227" t="s">
        <v>2559</v>
      </c>
      <c r="D684" s="9" t="s">
        <v>1160</v>
      </c>
      <c r="E684" s="9" t="s">
        <v>1179</v>
      </c>
      <c r="F684" s="19" t="str">
        <f t="shared" si="1"/>
        <v>Megaserve Rohit</v>
      </c>
      <c r="M684" s="91"/>
    </row>
    <row r="685">
      <c r="A685" s="227" t="s">
        <v>228</v>
      </c>
      <c r="B685" s="228" t="s">
        <v>752</v>
      </c>
      <c r="C685" s="227" t="s">
        <v>317</v>
      </c>
      <c r="D685" s="9" t="s">
        <v>1152</v>
      </c>
      <c r="E685" s="9" t="s">
        <v>1162</v>
      </c>
      <c r="F685" s="19" t="str">
        <f t="shared" si="1"/>
        <v>Capital Compound Vivek</v>
      </c>
      <c r="M685" s="91"/>
    </row>
    <row r="686">
      <c r="A686" s="227" t="s">
        <v>781</v>
      </c>
      <c r="B686" s="228" t="s">
        <v>2563</v>
      </c>
      <c r="C686" s="227" t="s">
        <v>311</v>
      </c>
      <c r="D686" s="9" t="s">
        <v>1160</v>
      </c>
      <c r="E686" s="28" t="s">
        <v>1172</v>
      </c>
      <c r="F686" s="19" t="str">
        <f t="shared" si="1"/>
        <v>Megaserve Nandkishore</v>
      </c>
      <c r="M686" s="91"/>
    </row>
    <row r="687">
      <c r="A687" s="227" t="s">
        <v>135</v>
      </c>
      <c r="B687" s="228" t="s">
        <v>735</v>
      </c>
      <c r="C687" s="227" t="s">
        <v>232</v>
      </c>
      <c r="D687" s="9" t="s">
        <v>1160</v>
      </c>
      <c r="E687" s="28" t="s">
        <v>1187</v>
      </c>
      <c r="F687" s="19" t="str">
        <f t="shared" si="1"/>
        <v>Personal PS</v>
      </c>
      <c r="M687" s="91"/>
    </row>
    <row r="688">
      <c r="A688" s="227" t="s">
        <v>1593</v>
      </c>
      <c r="B688" s="228" t="s">
        <v>1594</v>
      </c>
      <c r="C688" s="227" t="s">
        <v>311</v>
      </c>
      <c r="D688" s="9" t="s">
        <v>1160</v>
      </c>
      <c r="E688" s="9" t="s">
        <v>1179</v>
      </c>
      <c r="F688" s="19" t="str">
        <f t="shared" si="1"/>
        <v>Megaserve Rohit</v>
      </c>
      <c r="M688" s="91"/>
    </row>
    <row r="689">
      <c r="A689" s="227" t="s">
        <v>1118</v>
      </c>
      <c r="B689" s="228" t="s">
        <v>2567</v>
      </c>
      <c r="C689" s="227" t="s">
        <v>311</v>
      </c>
      <c r="D689" s="9" t="s">
        <v>1160</v>
      </c>
      <c r="E689" s="9" t="s">
        <v>1179</v>
      </c>
      <c r="F689" s="19" t="str">
        <f t="shared" si="1"/>
        <v>Megaserve Rohit</v>
      </c>
      <c r="M689" s="91"/>
    </row>
    <row r="690">
      <c r="A690" s="227" t="s">
        <v>1042</v>
      </c>
      <c r="B690" s="228" t="s">
        <v>2569</v>
      </c>
      <c r="C690" s="227" t="s">
        <v>716</v>
      </c>
      <c r="D690" s="28" t="s">
        <v>1160</v>
      </c>
      <c r="E690" s="28" t="s">
        <v>1184</v>
      </c>
      <c r="F690" s="19" t="str">
        <f t="shared" si="1"/>
        <v>Megaserve Parmmeshvar</v>
      </c>
      <c r="M690" s="91"/>
    </row>
    <row r="691">
      <c r="A691" s="227" t="s">
        <v>2570</v>
      </c>
      <c r="B691" s="228" t="s">
        <v>2571</v>
      </c>
      <c r="C691" s="227" t="s">
        <v>311</v>
      </c>
      <c r="D691" s="9" t="s">
        <v>1160</v>
      </c>
      <c r="E691" s="9" t="s">
        <v>1179</v>
      </c>
      <c r="F691" s="19" t="str">
        <f t="shared" si="1"/>
        <v>Megaserve Rohit</v>
      </c>
      <c r="M691" s="91"/>
    </row>
    <row r="692">
      <c r="A692" s="227" t="s">
        <v>2574</v>
      </c>
      <c r="B692" s="228" t="s">
        <v>2575</v>
      </c>
      <c r="C692" s="227" t="s">
        <v>1204</v>
      </c>
      <c r="D692" s="9" t="s">
        <v>1160</v>
      </c>
      <c r="E692" s="9" t="s">
        <v>1179</v>
      </c>
      <c r="F692" s="19" t="str">
        <f t="shared" si="1"/>
        <v>Megaserve Rohit</v>
      </c>
      <c r="M692" s="91"/>
    </row>
    <row r="693">
      <c r="A693" s="227" t="s">
        <v>1006</v>
      </c>
      <c r="B693" s="228" t="s">
        <v>1007</v>
      </c>
      <c r="C693" s="227" t="s">
        <v>266</v>
      </c>
      <c r="D693" s="28" t="s">
        <v>1160</v>
      </c>
      <c r="E693" s="28" t="s">
        <v>1161</v>
      </c>
      <c r="F693" s="19" t="str">
        <f t="shared" si="1"/>
        <v>Megaserve Jainam</v>
      </c>
      <c r="M693" s="91"/>
    </row>
    <row r="694">
      <c r="A694" s="21" t="s">
        <v>2578</v>
      </c>
      <c r="B694" s="232" t="s">
        <v>2579</v>
      </c>
      <c r="C694" s="21" t="s">
        <v>2580</v>
      </c>
      <c r="D694" s="28" t="s">
        <v>1160</v>
      </c>
      <c r="E694" s="28" t="s">
        <v>1179</v>
      </c>
      <c r="F694" s="19" t="str">
        <f t="shared" si="1"/>
        <v>Megaserve Rohit</v>
      </c>
      <c r="M694" s="91"/>
    </row>
    <row r="695">
      <c r="A695" s="21" t="s">
        <v>1035</v>
      </c>
      <c r="B695" s="22" t="str">
        <f>VLOOKUP(A695,Main!A:B,2,0)</f>
        <v>MSR_A7_PACE_NSE_INT</v>
      </c>
      <c r="C695" s="21" t="s">
        <v>905</v>
      </c>
      <c r="D695" s="28" t="s">
        <v>1160</v>
      </c>
      <c r="E695" s="28" t="s">
        <v>1179</v>
      </c>
      <c r="F695" s="19" t="str">
        <f t="shared" si="1"/>
        <v>Megaserve Rohit</v>
      </c>
      <c r="M695" s="91"/>
    </row>
    <row r="696">
      <c r="A696" s="22" t="s">
        <v>2582</v>
      </c>
      <c r="B696" s="232" t="s">
        <v>2583</v>
      </c>
      <c r="C696" s="21" t="s">
        <v>2580</v>
      </c>
      <c r="D696" s="28" t="s">
        <v>1160</v>
      </c>
      <c r="E696" s="28" t="s">
        <v>1179</v>
      </c>
      <c r="F696" s="19" t="str">
        <f t="shared" si="1"/>
        <v>Megaserve Rohit</v>
      </c>
      <c r="M696" s="91"/>
    </row>
    <row r="697">
      <c r="A697" s="22" t="s">
        <v>903</v>
      </c>
      <c r="B697" s="22" t="str">
        <f>VLOOKUP(A697,Main!A:B,2,0)</f>
        <v>MSR_PACE_NSE_INT</v>
      </c>
      <c r="C697" s="21" t="s">
        <v>905</v>
      </c>
      <c r="D697" s="28" t="s">
        <v>1160</v>
      </c>
      <c r="E697" s="28" t="s">
        <v>1179</v>
      </c>
      <c r="F697" s="19" t="str">
        <f t="shared" si="1"/>
        <v>Megaserve Rohit</v>
      </c>
      <c r="M697" s="91"/>
    </row>
    <row r="698">
      <c r="A698" s="227" t="s">
        <v>1284</v>
      </c>
      <c r="B698" s="228" t="s">
        <v>2587</v>
      </c>
      <c r="C698" s="227" t="s">
        <v>311</v>
      </c>
      <c r="D698" s="28" t="s">
        <v>1160</v>
      </c>
      <c r="E698" s="28" t="s">
        <v>1172</v>
      </c>
      <c r="F698" s="19" t="str">
        <f t="shared" si="1"/>
        <v>Megaserve Nandkishore</v>
      </c>
      <c r="M698" s="91"/>
    </row>
    <row r="699">
      <c r="A699" s="227" t="s">
        <v>1944</v>
      </c>
      <c r="B699" s="228" t="s">
        <v>1946</v>
      </c>
      <c r="C699" s="227" t="s">
        <v>311</v>
      </c>
      <c r="D699" s="28" t="s">
        <v>1160</v>
      </c>
      <c r="E699" s="28" t="s">
        <v>1172</v>
      </c>
      <c r="F699" s="19" t="str">
        <f t="shared" si="1"/>
        <v>Megaserve Nandkishore</v>
      </c>
      <c r="M699" s="91"/>
    </row>
    <row r="700">
      <c r="A700" s="227" t="s">
        <v>253</v>
      </c>
      <c r="B700" s="228" t="s">
        <v>2589</v>
      </c>
      <c r="C700" s="227" t="s">
        <v>311</v>
      </c>
      <c r="D700" s="28" t="s">
        <v>1160</v>
      </c>
      <c r="E700" s="28" t="s">
        <v>1172</v>
      </c>
      <c r="F700" s="19" t="str">
        <f t="shared" si="1"/>
        <v>Megaserve Nandkishore</v>
      </c>
      <c r="M700" s="91"/>
    </row>
    <row r="701">
      <c r="A701" s="227" t="s">
        <v>2473</v>
      </c>
      <c r="B701" s="228" t="s">
        <v>2474</v>
      </c>
      <c r="C701" s="227" t="s">
        <v>311</v>
      </c>
      <c r="D701" s="9" t="s">
        <v>1160</v>
      </c>
      <c r="E701" s="9" t="s">
        <v>1179</v>
      </c>
      <c r="F701" s="19" t="str">
        <f t="shared" si="1"/>
        <v>Megaserve Rohit</v>
      </c>
      <c r="M701" s="91"/>
    </row>
    <row r="702">
      <c r="A702" s="227" t="s">
        <v>839</v>
      </c>
      <c r="B702" s="228" t="s">
        <v>840</v>
      </c>
      <c r="C702" s="227" t="s">
        <v>841</v>
      </c>
      <c r="D702" s="9" t="s">
        <v>1160</v>
      </c>
      <c r="E702" s="9" t="s">
        <v>1179</v>
      </c>
      <c r="F702" s="19" t="str">
        <f t="shared" si="1"/>
        <v>Megaserve Rohit</v>
      </c>
      <c r="M702" s="91"/>
    </row>
    <row r="703">
      <c r="A703" s="21" t="s">
        <v>2590</v>
      </c>
      <c r="B703" s="21" t="s">
        <v>2591</v>
      </c>
      <c r="C703" s="59" t="str">
        <f>VLOOKUP(A703,Main!$A:$Y,6,0)</f>
        <v>AnandRathi</v>
      </c>
      <c r="D703" s="28" t="s">
        <v>1160</v>
      </c>
      <c r="E703" s="28" t="s">
        <v>1184</v>
      </c>
      <c r="F703" s="19" t="str">
        <f t="shared" si="1"/>
        <v>Megaserve Parmmeshvar</v>
      </c>
      <c r="M703" s="91"/>
    </row>
    <row r="704">
      <c r="A704" s="21" t="s">
        <v>845</v>
      </c>
      <c r="B704" s="21" t="s">
        <v>846</v>
      </c>
      <c r="C704" s="59" t="str">
        <f>VLOOKUP(A704,Main!$A:$Y,6,0)</f>
        <v>AnandRathi</v>
      </c>
      <c r="D704" s="28" t="s">
        <v>1160</v>
      </c>
      <c r="E704" s="28" t="s">
        <v>1184</v>
      </c>
      <c r="F704" s="19" t="str">
        <f t="shared" si="1"/>
        <v>Megaserve Parmmeshvar</v>
      </c>
      <c r="M704" s="91"/>
    </row>
    <row r="705">
      <c r="A705" s="21" t="s">
        <v>850</v>
      </c>
      <c r="B705" s="21" t="s">
        <v>851</v>
      </c>
      <c r="C705" s="59" t="str">
        <f>VLOOKUP(A705,Main!$A:$Y,6,0)</f>
        <v>AnandRathi</v>
      </c>
      <c r="D705" s="28" t="s">
        <v>1160</v>
      </c>
      <c r="E705" s="28" t="s">
        <v>1184</v>
      </c>
      <c r="F705" s="19" t="str">
        <f t="shared" si="1"/>
        <v>Megaserve Parmmeshvar</v>
      </c>
      <c r="M705" s="91"/>
    </row>
    <row r="706">
      <c r="A706" s="21" t="s">
        <v>1044</v>
      </c>
      <c r="B706" s="21" t="s">
        <v>2595</v>
      </c>
      <c r="C706" s="59" t="str">
        <f>VLOOKUP(A706,Main!$A:$Y,6,0)</f>
        <v>AnandRathi</v>
      </c>
      <c r="D706" s="28" t="s">
        <v>1160</v>
      </c>
      <c r="E706" s="28" t="s">
        <v>1184</v>
      </c>
      <c r="F706" s="19" t="str">
        <f t="shared" si="1"/>
        <v>Megaserve Parmmeshvar</v>
      </c>
      <c r="M706" s="91"/>
    </row>
    <row r="707">
      <c r="A707" s="21" t="s">
        <v>869</v>
      </c>
      <c r="B707" s="21" t="s">
        <v>870</v>
      </c>
      <c r="C707" s="59" t="str">
        <f>VLOOKUP(A707,Main!$A:$Y,6,0)</f>
        <v>AnandRathi</v>
      </c>
      <c r="D707" s="28" t="s">
        <v>1160</v>
      </c>
      <c r="E707" s="28" t="s">
        <v>1184</v>
      </c>
      <c r="F707" s="19" t="str">
        <f t="shared" si="1"/>
        <v>Megaserve Parmmeshvar</v>
      </c>
      <c r="M707" s="91"/>
    </row>
    <row r="708">
      <c r="A708" s="21" t="s">
        <v>183</v>
      </c>
      <c r="B708" s="21" t="s">
        <v>2598</v>
      </c>
      <c r="C708" s="59" t="str">
        <f>VLOOKUP(A708,Main!$A:$Y,6,0)</f>
        <v>AnandRathi</v>
      </c>
      <c r="D708" s="28" t="s">
        <v>1160</v>
      </c>
      <c r="E708" s="28" t="s">
        <v>1184</v>
      </c>
      <c r="F708" s="19" t="str">
        <f t="shared" si="1"/>
        <v>Megaserve Parmmeshvar</v>
      </c>
      <c r="M708" s="91"/>
    </row>
    <row r="709">
      <c r="A709" s="21" t="s">
        <v>2279</v>
      </c>
      <c r="B709" s="21" t="s">
        <v>2280</v>
      </c>
      <c r="C709" s="59" t="str">
        <f>VLOOKUP(A709,Main!$A:$Y,6,0)</f>
        <v>IIFL_CDC</v>
      </c>
      <c r="D709" s="9" t="s">
        <v>1160</v>
      </c>
      <c r="E709" s="9" t="s">
        <v>1176</v>
      </c>
      <c r="F709" s="19" t="str">
        <f t="shared" si="1"/>
        <v>Megaserve Plantitude</v>
      </c>
      <c r="M709" s="91"/>
    </row>
    <row r="710">
      <c r="A710" s="21" t="s">
        <v>1907</v>
      </c>
      <c r="B710" s="21" t="s">
        <v>1908</v>
      </c>
      <c r="C710" s="59" t="str">
        <f>VLOOKUP(A710,Main!$A:$Y,6,0)</f>
        <v>IIFL_CDC</v>
      </c>
      <c r="D710" s="9" t="s">
        <v>1160</v>
      </c>
      <c r="E710" s="9" t="s">
        <v>1179</v>
      </c>
      <c r="F710" s="19" t="str">
        <f t="shared" si="1"/>
        <v>Megaserve Rohit</v>
      </c>
      <c r="M710" s="91"/>
    </row>
    <row r="711">
      <c r="A711" s="21" t="s">
        <v>2602</v>
      </c>
      <c r="B711" s="21" t="s">
        <v>2603</v>
      </c>
      <c r="C711" s="59" t="str">
        <f>VLOOKUP(A711,Main!$A:$Y,6,0)</f>
        <v>IIFL_CDC</v>
      </c>
      <c r="D711" s="9" t="s">
        <v>1160</v>
      </c>
      <c r="E711" s="9" t="s">
        <v>1179</v>
      </c>
      <c r="F711" s="19" t="str">
        <f t="shared" si="1"/>
        <v>Megaserve Rohit</v>
      </c>
      <c r="M711" s="91"/>
    </row>
    <row r="712">
      <c r="A712" s="21" t="s">
        <v>817</v>
      </c>
      <c r="B712" s="21" t="s">
        <v>2604</v>
      </c>
      <c r="C712" s="59" t="str">
        <f>VLOOKUP(A712,Main!$A:$Y,6,0)</f>
        <v>IIFL_CDC</v>
      </c>
      <c r="D712" s="9" t="s">
        <v>1160</v>
      </c>
      <c r="E712" s="9" t="s">
        <v>1179</v>
      </c>
      <c r="F712" s="19" t="str">
        <f t="shared" si="1"/>
        <v>Megaserve Rohit</v>
      </c>
      <c r="M712" s="91"/>
    </row>
    <row r="713">
      <c r="A713" s="21" t="s">
        <v>822</v>
      </c>
      <c r="B713" s="21" t="s">
        <v>2605</v>
      </c>
      <c r="C713" s="59" t="str">
        <f>VLOOKUP(A713,Main!$A:$Y,6,0)</f>
        <v>IIFL_CDC</v>
      </c>
      <c r="D713" s="9" t="s">
        <v>1160</v>
      </c>
      <c r="E713" s="9" t="s">
        <v>1179</v>
      </c>
      <c r="F713" s="19" t="str">
        <f t="shared" si="1"/>
        <v>Megaserve Rohit</v>
      </c>
      <c r="M713" s="91"/>
    </row>
    <row r="714">
      <c r="A714" s="21" t="s">
        <v>2606</v>
      </c>
      <c r="B714" s="21" t="s">
        <v>2607</v>
      </c>
      <c r="C714" s="59" t="str">
        <f>VLOOKUP(A714,Main!$A:$Y,6,0)</f>
        <v>MasterTrust_Noren</v>
      </c>
      <c r="D714" s="9" t="s">
        <v>1160</v>
      </c>
      <c r="E714" s="9" t="s">
        <v>1179</v>
      </c>
      <c r="F714" s="19" t="str">
        <f t="shared" si="1"/>
        <v>Megaserve Rohit</v>
      </c>
      <c r="M714" s="91"/>
    </row>
    <row r="715">
      <c r="A715" s="21" t="s">
        <v>2608</v>
      </c>
      <c r="B715" s="21" t="s">
        <v>1716</v>
      </c>
      <c r="C715" s="59" t="str">
        <f>VLOOKUP(A715,Main!$A:$Y,6,0)</f>
        <v>MasterTrust_Noren</v>
      </c>
      <c r="D715" s="9" t="s">
        <v>1160</v>
      </c>
      <c r="E715" s="9" t="s">
        <v>1176</v>
      </c>
      <c r="F715" s="19" t="str">
        <f t="shared" si="1"/>
        <v>Megaserve Plantitude</v>
      </c>
      <c r="M715" s="91"/>
    </row>
    <row r="716">
      <c r="A716" s="21" t="s">
        <v>1114</v>
      </c>
      <c r="B716" s="232" t="s">
        <v>1115</v>
      </c>
      <c r="C716" s="59" t="str">
        <f>VLOOKUP(A716,Main!$A:$Y,6,0)</f>
        <v>MasterTrust_Noren</v>
      </c>
      <c r="D716" s="9" t="s">
        <v>1160</v>
      </c>
      <c r="E716" s="9" t="s">
        <v>1176</v>
      </c>
      <c r="F716" s="19" t="str">
        <f t="shared" si="1"/>
        <v>Megaserve Plantitude</v>
      </c>
      <c r="M716" s="91"/>
    </row>
    <row r="717">
      <c r="A717" s="21" t="s">
        <v>1216</v>
      </c>
      <c r="B717" s="232" t="s">
        <v>2609</v>
      </c>
      <c r="C717" s="59" t="str">
        <f>VLOOKUP(A717,Main!$A:$Y,6,0)</f>
        <v>IIFL_CDC</v>
      </c>
      <c r="D717" s="9" t="s">
        <v>1160</v>
      </c>
      <c r="E717" s="28" t="s">
        <v>1172</v>
      </c>
      <c r="F717" s="19" t="str">
        <f t="shared" si="1"/>
        <v>Megaserve Nandkishore</v>
      </c>
      <c r="M717" s="91"/>
    </row>
    <row r="718">
      <c r="A718" s="21" t="s">
        <v>2610</v>
      </c>
      <c r="B718" s="232" t="s">
        <v>2611</v>
      </c>
      <c r="C718" s="59" t="str">
        <f>VLOOKUP(A718,Main!$A:$Y,6,0)</f>
        <v>IIFL_CDC</v>
      </c>
      <c r="D718" s="9" t="s">
        <v>1160</v>
      </c>
      <c r="E718" s="9" t="s">
        <v>1176</v>
      </c>
      <c r="F718" s="19" t="str">
        <f t="shared" si="1"/>
        <v>Megaserve Plantitude</v>
      </c>
      <c r="M718" s="91"/>
    </row>
    <row r="719">
      <c r="A719" s="21" t="s">
        <v>2613</v>
      </c>
      <c r="B719" s="232" t="s">
        <v>2614</v>
      </c>
      <c r="C719" s="59" t="str">
        <f>VLOOKUP(A719,Main!$A:$Y,6,0)</f>
        <v>AnandRathi</v>
      </c>
      <c r="D719" s="28" t="s">
        <v>1160</v>
      </c>
      <c r="E719" s="28" t="s">
        <v>1184</v>
      </c>
      <c r="F719" s="19" t="str">
        <f t="shared" si="1"/>
        <v>Megaserve Parmmeshvar</v>
      </c>
      <c r="M719" s="91"/>
    </row>
    <row r="720">
      <c r="A720" s="21" t="s">
        <v>960</v>
      </c>
      <c r="B720" s="232" t="s">
        <v>2615</v>
      </c>
      <c r="C720" s="59" t="str">
        <f>VLOOKUP(A720,Main!$A:$Y,6,0)</f>
        <v>AnandRathi</v>
      </c>
      <c r="D720" s="28" t="s">
        <v>1160</v>
      </c>
      <c r="E720" s="28" t="s">
        <v>1184</v>
      </c>
      <c r="F720" s="19" t="str">
        <f t="shared" si="1"/>
        <v>Megaserve Parmmeshvar</v>
      </c>
      <c r="M720" s="91"/>
    </row>
    <row r="721">
      <c r="A721" s="21" t="s">
        <v>2617</v>
      </c>
      <c r="B721" s="232" t="s">
        <v>2618</v>
      </c>
      <c r="C721" s="59" t="str">
        <f>VLOOKUP(A721,Main!$A:$Y,6,0)</f>
        <v>AnandRathi</v>
      </c>
      <c r="D721" s="28" t="s">
        <v>1160</v>
      </c>
      <c r="E721" s="28" t="s">
        <v>1184</v>
      </c>
      <c r="F721" s="19" t="str">
        <f t="shared" si="1"/>
        <v>Megaserve Parmmeshvar</v>
      </c>
      <c r="M721" s="91"/>
    </row>
    <row r="722">
      <c r="A722" s="21" t="s">
        <v>1061</v>
      </c>
      <c r="B722" s="232" t="s">
        <v>2619</v>
      </c>
      <c r="C722" s="59" t="str">
        <f>VLOOKUP(A722,Main!$A:$Y,6,0)</f>
        <v>AnandRathi</v>
      </c>
      <c r="D722" s="28" t="s">
        <v>1160</v>
      </c>
      <c r="E722" s="28" t="s">
        <v>1184</v>
      </c>
      <c r="F722" s="19" t="str">
        <f t="shared" si="1"/>
        <v>Megaserve Parmmeshvar</v>
      </c>
      <c r="M722" s="91"/>
    </row>
    <row r="723">
      <c r="A723" s="22" t="s">
        <v>1044</v>
      </c>
      <c r="B723" s="28" t="s">
        <v>2621</v>
      </c>
      <c r="C723" s="28" t="s">
        <v>886</v>
      </c>
      <c r="D723" s="28" t="s">
        <v>1160</v>
      </c>
      <c r="E723" s="28" t="s">
        <v>1184</v>
      </c>
      <c r="F723" s="19" t="str">
        <f t="shared" si="1"/>
        <v>Megaserve Parmmeshvar</v>
      </c>
      <c r="M723" s="91"/>
    </row>
    <row r="724">
      <c r="A724" s="22" t="s">
        <v>2613</v>
      </c>
      <c r="B724" s="28" t="s">
        <v>2622</v>
      </c>
      <c r="C724" s="28" t="s">
        <v>886</v>
      </c>
      <c r="D724" s="28" t="s">
        <v>1160</v>
      </c>
      <c r="E724" s="28" t="s">
        <v>1184</v>
      </c>
      <c r="F724" s="19" t="str">
        <f t="shared" si="1"/>
        <v>Megaserve Parmmeshvar</v>
      </c>
      <c r="M724" s="91"/>
    </row>
    <row r="725">
      <c r="A725" s="22" t="s">
        <v>183</v>
      </c>
      <c r="B725" s="28" t="s">
        <v>2598</v>
      </c>
      <c r="C725" s="28" t="s">
        <v>886</v>
      </c>
      <c r="D725" s="28" t="s">
        <v>1160</v>
      </c>
      <c r="E725" s="28" t="s">
        <v>1184</v>
      </c>
      <c r="F725" s="19" t="str">
        <f t="shared" si="1"/>
        <v>Megaserve Parmmeshvar</v>
      </c>
      <c r="M725" s="91"/>
    </row>
    <row r="726">
      <c r="A726" s="22" t="s">
        <v>2590</v>
      </c>
      <c r="B726" s="28" t="s">
        <v>2591</v>
      </c>
      <c r="C726" s="28" t="s">
        <v>886</v>
      </c>
      <c r="D726" s="28" t="s">
        <v>1160</v>
      </c>
      <c r="E726" s="28" t="s">
        <v>1184</v>
      </c>
      <c r="F726" s="19" t="str">
        <f t="shared" si="1"/>
        <v>Megaserve Parmmeshvar</v>
      </c>
      <c r="M726" s="91"/>
    </row>
    <row r="727">
      <c r="A727" s="22" t="s">
        <v>960</v>
      </c>
      <c r="B727" s="28" t="s">
        <v>2615</v>
      </c>
      <c r="C727" s="28" t="s">
        <v>886</v>
      </c>
      <c r="D727" s="28" t="s">
        <v>1160</v>
      </c>
      <c r="E727" s="28" t="s">
        <v>1184</v>
      </c>
      <c r="F727" s="19" t="str">
        <f t="shared" si="1"/>
        <v>Megaserve Parmmeshvar</v>
      </c>
      <c r="M727" s="91"/>
    </row>
    <row r="728">
      <c r="A728" s="22" t="s">
        <v>2617</v>
      </c>
      <c r="B728" s="28" t="s">
        <v>2618</v>
      </c>
      <c r="C728" s="28" t="s">
        <v>886</v>
      </c>
      <c r="D728" s="28" t="s">
        <v>1160</v>
      </c>
      <c r="E728" s="28" t="s">
        <v>1184</v>
      </c>
      <c r="F728" s="19" t="str">
        <f t="shared" si="1"/>
        <v>Megaserve Parmmeshvar</v>
      </c>
      <c r="M728" s="91"/>
    </row>
    <row r="729">
      <c r="A729" s="22" t="s">
        <v>2626</v>
      </c>
      <c r="B729" s="28" t="s">
        <v>2627</v>
      </c>
      <c r="C729" s="28" t="s">
        <v>886</v>
      </c>
      <c r="D729" s="28" t="s">
        <v>1160</v>
      </c>
      <c r="E729" s="28" t="s">
        <v>1184</v>
      </c>
      <c r="F729" s="19" t="str">
        <f t="shared" si="1"/>
        <v>Megaserve Parmmeshvar</v>
      </c>
      <c r="M729" s="91"/>
    </row>
    <row r="730">
      <c r="A730" s="22" t="s">
        <v>884</v>
      </c>
      <c r="B730" s="28" t="s">
        <v>2629</v>
      </c>
      <c r="C730" s="28" t="s">
        <v>886</v>
      </c>
      <c r="D730" s="28" t="s">
        <v>1160</v>
      </c>
      <c r="E730" s="28" t="s">
        <v>1184</v>
      </c>
      <c r="F730" s="19" t="str">
        <f t="shared" si="1"/>
        <v>Megaserve Parmmeshvar</v>
      </c>
      <c r="M730" s="91"/>
    </row>
    <row r="731">
      <c r="A731" s="22" t="s">
        <v>889</v>
      </c>
      <c r="B731" s="28" t="s">
        <v>2630</v>
      </c>
      <c r="C731" s="28" t="s">
        <v>886</v>
      </c>
      <c r="D731" s="28" t="s">
        <v>1160</v>
      </c>
      <c r="E731" s="28" t="s">
        <v>1184</v>
      </c>
      <c r="F731" s="19" t="str">
        <f t="shared" si="1"/>
        <v>Megaserve Parmmeshvar</v>
      </c>
      <c r="M731" s="91"/>
    </row>
    <row r="732">
      <c r="A732" s="22" t="s">
        <v>2632</v>
      </c>
      <c r="B732" s="28" t="s">
        <v>2633</v>
      </c>
      <c r="C732" s="28" t="s">
        <v>886</v>
      </c>
      <c r="D732" s="28" t="s">
        <v>1160</v>
      </c>
      <c r="E732" s="28" t="s">
        <v>1184</v>
      </c>
      <c r="F732" s="19" t="str">
        <f t="shared" si="1"/>
        <v>Megaserve Parmmeshvar</v>
      </c>
      <c r="M732" s="91"/>
    </row>
    <row r="733">
      <c r="A733" s="22" t="s">
        <v>2634</v>
      </c>
      <c r="B733" s="28" t="s">
        <v>2635</v>
      </c>
      <c r="C733" s="28" t="s">
        <v>1204</v>
      </c>
      <c r="D733" s="28" t="s">
        <v>1160</v>
      </c>
      <c r="E733" s="28" t="s">
        <v>1179</v>
      </c>
      <c r="F733" s="19" t="str">
        <f t="shared" si="1"/>
        <v>Megaserve Rohit</v>
      </c>
      <c r="M733" s="91"/>
    </row>
    <row r="734">
      <c r="A734" s="22" t="s">
        <v>969</v>
      </c>
      <c r="B734" s="28" t="s">
        <v>970</v>
      </c>
      <c r="C734" s="28" t="s">
        <v>285</v>
      </c>
      <c r="D734" s="28" t="s">
        <v>1160</v>
      </c>
      <c r="E734" s="28" t="s">
        <v>1161</v>
      </c>
      <c r="F734" s="19" t="str">
        <f t="shared" si="1"/>
        <v>Megaserve Jainam</v>
      </c>
      <c r="M734" s="91"/>
    </row>
    <row r="735">
      <c r="A735" s="22" t="s">
        <v>954</v>
      </c>
      <c r="B735" s="28" t="s">
        <v>2636</v>
      </c>
      <c r="C735" s="28" t="s">
        <v>285</v>
      </c>
      <c r="D735" s="28" t="s">
        <v>1160</v>
      </c>
      <c r="E735" s="28" t="s">
        <v>1161</v>
      </c>
      <c r="F735" s="19" t="str">
        <f t="shared" si="1"/>
        <v>Megaserve Jainam</v>
      </c>
      <c r="M735" s="91"/>
    </row>
    <row r="736">
      <c r="A736" s="22" t="s">
        <v>952</v>
      </c>
      <c r="B736" s="28" t="s">
        <v>2638</v>
      </c>
      <c r="C736" s="28" t="s">
        <v>285</v>
      </c>
      <c r="D736" s="28" t="s">
        <v>1160</v>
      </c>
      <c r="E736" s="28" t="s">
        <v>1161</v>
      </c>
      <c r="F736" s="19" t="str">
        <f t="shared" si="1"/>
        <v>Megaserve Jainam</v>
      </c>
      <c r="M736" s="91"/>
    </row>
    <row r="737">
      <c r="A737" s="22" t="s">
        <v>939</v>
      </c>
      <c r="B737" s="28" t="s">
        <v>940</v>
      </c>
      <c r="C737" s="28" t="s">
        <v>285</v>
      </c>
      <c r="D737" s="28" t="s">
        <v>1160</v>
      </c>
      <c r="E737" s="28" t="s">
        <v>1161</v>
      </c>
      <c r="F737" s="19" t="str">
        <f t="shared" si="1"/>
        <v>Megaserve Jainam</v>
      </c>
      <c r="M737" s="91"/>
    </row>
    <row r="738">
      <c r="A738" s="22" t="s">
        <v>2640</v>
      </c>
      <c r="B738" s="28" t="s">
        <v>2642</v>
      </c>
      <c r="C738" s="28" t="s">
        <v>285</v>
      </c>
      <c r="D738" s="28" t="s">
        <v>1160</v>
      </c>
      <c r="E738" s="28" t="s">
        <v>1161</v>
      </c>
      <c r="F738" s="19" t="str">
        <f t="shared" si="1"/>
        <v>Megaserve Jainam</v>
      </c>
      <c r="M738" s="91"/>
    </row>
    <row r="739">
      <c r="A739" s="22" t="s">
        <v>1015</v>
      </c>
      <c r="B739" s="28" t="s">
        <v>2644</v>
      </c>
      <c r="C739" s="28" t="s">
        <v>2559</v>
      </c>
      <c r="D739" s="28" t="s">
        <v>1160</v>
      </c>
      <c r="E739" s="28" t="s">
        <v>1179</v>
      </c>
      <c r="F739" s="19" t="str">
        <f t="shared" si="1"/>
        <v>Megaserve Rohit</v>
      </c>
      <c r="M739" s="91"/>
    </row>
    <row r="740">
      <c r="A740" s="22" t="s">
        <v>1048</v>
      </c>
      <c r="B740" s="22" t="str">
        <f>VLOOKUP(A740,Main!A:B,2,0)</f>
        <v>MSR_A1_RAYGUN_INT_EXC</v>
      </c>
      <c r="C740" s="28" t="s">
        <v>2559</v>
      </c>
      <c r="D740" s="28" t="s">
        <v>1160</v>
      </c>
      <c r="E740" s="28" t="s">
        <v>1179</v>
      </c>
      <c r="F740" s="19" t="str">
        <f t="shared" si="1"/>
        <v>Megaserve Rohit</v>
      </c>
      <c r="M740" s="91"/>
    </row>
    <row r="741">
      <c r="A741" s="56" t="s">
        <v>832</v>
      </c>
      <c r="B741" s="55" t="s">
        <v>2484</v>
      </c>
      <c r="C741" s="55" t="s">
        <v>2559</v>
      </c>
      <c r="D741" s="55" t="s">
        <v>1160</v>
      </c>
      <c r="E741" s="55" t="s">
        <v>1179</v>
      </c>
      <c r="F741" s="19" t="str">
        <f t="shared" si="1"/>
        <v>Megaserve Rohit</v>
      </c>
      <c r="M741" s="91"/>
    </row>
    <row r="742">
      <c r="A742" s="22" t="s">
        <v>1037</v>
      </c>
      <c r="B742" s="28" t="s">
        <v>2646</v>
      </c>
      <c r="C742" s="28" t="s">
        <v>2559</v>
      </c>
      <c r="D742" s="28" t="s">
        <v>1160</v>
      </c>
      <c r="E742" s="28" t="s">
        <v>1179</v>
      </c>
      <c r="F742" s="19" t="str">
        <f t="shared" si="1"/>
        <v>Megaserve Rohit</v>
      </c>
      <c r="M742" s="91"/>
    </row>
    <row r="743">
      <c r="A743" s="56" t="s">
        <v>817</v>
      </c>
      <c r="B743" s="55" t="s">
        <v>2604</v>
      </c>
      <c r="C743" s="55" t="s">
        <v>311</v>
      </c>
      <c r="D743" s="55" t="s">
        <v>1160</v>
      </c>
      <c r="E743" s="55" t="s">
        <v>1179</v>
      </c>
      <c r="F743" s="19" t="str">
        <f t="shared" si="1"/>
        <v>Megaserve Rohit</v>
      </c>
      <c r="M743" s="91"/>
    </row>
    <row r="744">
      <c r="A744" s="56" t="s">
        <v>825</v>
      </c>
      <c r="B744" s="55" t="s">
        <v>2647</v>
      </c>
      <c r="C744" s="55" t="s">
        <v>311</v>
      </c>
      <c r="D744" s="55" t="s">
        <v>1160</v>
      </c>
      <c r="E744" s="55" t="s">
        <v>1179</v>
      </c>
      <c r="F744" s="19" t="str">
        <f t="shared" si="1"/>
        <v>Megaserve Rohit</v>
      </c>
      <c r="M744" s="91"/>
    </row>
    <row r="745">
      <c r="A745" s="56" t="s">
        <v>950</v>
      </c>
      <c r="B745" s="55" t="s">
        <v>951</v>
      </c>
      <c r="C745" s="55" t="s">
        <v>311</v>
      </c>
      <c r="D745" s="55" t="s">
        <v>1160</v>
      </c>
      <c r="E745" s="55" t="s">
        <v>1179</v>
      </c>
      <c r="F745" s="19" t="str">
        <f t="shared" si="1"/>
        <v>Megaserve Rohit</v>
      </c>
      <c r="M745" s="91"/>
    </row>
    <row r="746">
      <c r="A746" s="236" t="s">
        <v>2649</v>
      </c>
      <c r="B746" s="237" t="s">
        <v>2651</v>
      </c>
      <c r="C746" s="237" t="s">
        <v>311</v>
      </c>
      <c r="D746" s="237" t="s">
        <v>1160</v>
      </c>
      <c r="E746" s="237" t="s">
        <v>1179</v>
      </c>
      <c r="F746" s="19" t="str">
        <f t="shared" si="1"/>
        <v>Megaserve Rohit</v>
      </c>
      <c r="M746" s="91"/>
    </row>
    <row r="747">
      <c r="A747" s="22" t="s">
        <v>2653</v>
      </c>
      <c r="B747" s="28" t="s">
        <v>2654</v>
      </c>
      <c r="C747" s="28" t="s">
        <v>311</v>
      </c>
      <c r="D747" s="28" t="s">
        <v>1160</v>
      </c>
      <c r="E747" s="28" t="s">
        <v>1172</v>
      </c>
      <c r="F747" s="19" t="str">
        <f t="shared" si="1"/>
        <v>Megaserve Nandkishore</v>
      </c>
      <c r="M747" s="91"/>
    </row>
    <row r="748">
      <c r="A748" s="22" t="s">
        <v>2655</v>
      </c>
      <c r="B748" s="28" t="s">
        <v>2656</v>
      </c>
      <c r="C748" s="28" t="s">
        <v>311</v>
      </c>
      <c r="D748" s="28" t="s">
        <v>1160</v>
      </c>
      <c r="E748" s="28" t="s">
        <v>1179</v>
      </c>
      <c r="F748" s="19" t="str">
        <f t="shared" si="1"/>
        <v>Megaserve Rohit</v>
      </c>
      <c r="M748" s="91"/>
    </row>
    <row r="749">
      <c r="A749" s="236" t="s">
        <v>2658</v>
      </c>
      <c r="B749" s="237" t="s">
        <v>2659</v>
      </c>
      <c r="C749" s="237" t="s">
        <v>311</v>
      </c>
      <c r="D749" s="237" t="s">
        <v>1160</v>
      </c>
      <c r="E749" s="28" t="s">
        <v>1172</v>
      </c>
      <c r="F749" s="19" t="str">
        <f t="shared" si="1"/>
        <v>Megaserve Nandkishore</v>
      </c>
      <c r="M749" s="91"/>
    </row>
    <row r="750">
      <c r="A750" s="22" t="s">
        <v>2279</v>
      </c>
      <c r="B750" s="28" t="s">
        <v>2280</v>
      </c>
      <c r="C750" s="28" t="s">
        <v>311</v>
      </c>
      <c r="D750" s="28" t="s">
        <v>1160</v>
      </c>
      <c r="E750" s="28" t="s">
        <v>1176</v>
      </c>
      <c r="F750" s="19" t="str">
        <f t="shared" si="1"/>
        <v>Megaserve Plantitude</v>
      </c>
      <c r="M750" s="91"/>
    </row>
    <row r="751">
      <c r="A751" s="22" t="s">
        <v>797</v>
      </c>
      <c r="B751" s="28" t="s">
        <v>2661</v>
      </c>
      <c r="C751" s="28" t="s">
        <v>311</v>
      </c>
      <c r="D751" s="28" t="s">
        <v>1152</v>
      </c>
      <c r="E751" s="28" t="s">
        <v>1190</v>
      </c>
      <c r="F751" s="19" t="str">
        <f t="shared" si="1"/>
        <v>Personal VT</v>
      </c>
      <c r="M751" s="91"/>
    </row>
    <row r="752">
      <c r="A752" s="22" t="s">
        <v>2663</v>
      </c>
      <c r="B752" s="28" t="s">
        <v>2664</v>
      </c>
      <c r="C752" s="28" t="s">
        <v>311</v>
      </c>
      <c r="D752" s="28" t="s">
        <v>1160</v>
      </c>
      <c r="E752" s="28" t="s">
        <v>1179</v>
      </c>
      <c r="F752" s="19" t="str">
        <f t="shared" si="1"/>
        <v>Megaserve Rohit</v>
      </c>
      <c r="M752" s="91"/>
    </row>
    <row r="753">
      <c r="A753" s="22" t="s">
        <v>2602</v>
      </c>
      <c r="B753" s="28" t="s">
        <v>2603</v>
      </c>
      <c r="C753" s="28" t="s">
        <v>311</v>
      </c>
      <c r="D753" s="28" t="s">
        <v>1160</v>
      </c>
      <c r="E753" s="28" t="s">
        <v>1179</v>
      </c>
      <c r="F753" s="19" t="str">
        <f t="shared" si="1"/>
        <v>Megaserve Rohit</v>
      </c>
      <c r="M753" s="91"/>
    </row>
    <row r="754">
      <c r="A754" s="236" t="s">
        <v>2665</v>
      </c>
      <c r="B754" s="237" t="s">
        <v>2666</v>
      </c>
      <c r="C754" s="237" t="s">
        <v>311</v>
      </c>
      <c r="D754" s="237" t="s">
        <v>1160</v>
      </c>
      <c r="E754" s="237" t="s">
        <v>1179</v>
      </c>
      <c r="F754" s="19" t="str">
        <f t="shared" si="1"/>
        <v>Megaserve Rohit</v>
      </c>
      <c r="M754" s="91"/>
    </row>
    <row r="755">
      <c r="A755" s="236" t="s">
        <v>2667</v>
      </c>
      <c r="B755" s="237" t="s">
        <v>2668</v>
      </c>
      <c r="C755" s="237" t="s">
        <v>311</v>
      </c>
      <c r="D755" s="237" t="s">
        <v>1160</v>
      </c>
      <c r="E755" s="237" t="s">
        <v>1184</v>
      </c>
      <c r="F755" s="19" t="str">
        <f t="shared" si="1"/>
        <v>Megaserve Parmmeshvar</v>
      </c>
      <c r="M755" s="91"/>
    </row>
    <row r="756">
      <c r="A756" s="22" t="s">
        <v>2669</v>
      </c>
      <c r="B756" s="28" t="s">
        <v>2670</v>
      </c>
      <c r="C756" s="28" t="s">
        <v>311</v>
      </c>
      <c r="D756" s="28" t="s">
        <v>1160</v>
      </c>
      <c r="E756" s="28" t="s">
        <v>1179</v>
      </c>
      <c r="F756" s="19" t="str">
        <f t="shared" si="1"/>
        <v>Megaserve Rohit</v>
      </c>
      <c r="M756" s="91"/>
    </row>
    <row r="757">
      <c r="A757" s="22" t="s">
        <v>1012</v>
      </c>
      <c r="B757" s="28" t="s">
        <v>2671</v>
      </c>
      <c r="C757" s="28" t="s">
        <v>646</v>
      </c>
      <c r="D757" s="28" t="s">
        <v>1160</v>
      </c>
      <c r="E757" s="28" t="s">
        <v>1179</v>
      </c>
      <c r="F757" s="19" t="str">
        <f t="shared" si="1"/>
        <v>Megaserve Rohit</v>
      </c>
      <c r="M757" s="91"/>
    </row>
    <row r="758">
      <c r="A758" s="22" t="s">
        <v>838</v>
      </c>
      <c r="B758" s="28" t="s">
        <v>2673</v>
      </c>
      <c r="C758" s="28" t="s">
        <v>2674</v>
      </c>
      <c r="D758" s="28" t="s">
        <v>1160</v>
      </c>
      <c r="E758" s="28" t="s">
        <v>1179</v>
      </c>
      <c r="F758" s="19" t="str">
        <f t="shared" si="1"/>
        <v>Megaserve Rohit</v>
      </c>
      <c r="M758" s="91"/>
    </row>
    <row r="759">
      <c r="A759" s="22" t="s">
        <v>2675</v>
      </c>
      <c r="B759" s="28" t="s">
        <v>2676</v>
      </c>
      <c r="C759" s="28" t="s">
        <v>272</v>
      </c>
      <c r="D759" s="28" t="s">
        <v>1160</v>
      </c>
      <c r="E759" s="28" t="s">
        <v>1161</v>
      </c>
      <c r="F759" s="19" t="str">
        <f t="shared" si="1"/>
        <v>Megaserve Jainam</v>
      </c>
      <c r="M759" s="91"/>
    </row>
    <row r="760">
      <c r="A760" s="22" t="s">
        <v>2677</v>
      </c>
      <c r="B760" s="28" t="s">
        <v>2678</v>
      </c>
      <c r="C760" s="28" t="s">
        <v>272</v>
      </c>
      <c r="D760" s="28" t="s">
        <v>1160</v>
      </c>
      <c r="E760" s="28" t="s">
        <v>1161</v>
      </c>
      <c r="F760" s="19" t="str">
        <f t="shared" si="1"/>
        <v>Megaserve Jainam</v>
      </c>
      <c r="M760" s="91"/>
    </row>
    <row r="761">
      <c r="A761" s="22" t="s">
        <v>2679</v>
      </c>
      <c r="B761" s="28" t="s">
        <v>2680</v>
      </c>
      <c r="C761" s="28" t="s">
        <v>1251</v>
      </c>
      <c r="D761" s="28" t="s">
        <v>1152</v>
      </c>
      <c r="E761" s="28" t="s">
        <v>1162</v>
      </c>
      <c r="F761" s="19" t="str">
        <f t="shared" si="1"/>
        <v>Capital Compound Vivek</v>
      </c>
      <c r="M761" s="91"/>
    </row>
    <row r="762">
      <c r="A762" s="22" t="s">
        <v>2682</v>
      </c>
      <c r="B762" s="28" t="s">
        <v>2683</v>
      </c>
      <c r="C762" s="28" t="s">
        <v>1251</v>
      </c>
      <c r="D762" s="28" t="s">
        <v>1152</v>
      </c>
      <c r="E762" s="28" t="s">
        <v>1162</v>
      </c>
      <c r="F762" s="19" t="str">
        <f t="shared" si="1"/>
        <v>Capital Compound Vivek</v>
      </c>
      <c r="M762" s="91"/>
    </row>
    <row r="763">
      <c r="A763" s="22" t="s">
        <v>1116</v>
      </c>
      <c r="B763" s="28" t="s">
        <v>1117</v>
      </c>
      <c r="C763" s="28" t="s">
        <v>85</v>
      </c>
      <c r="D763" s="28" t="s">
        <v>1160</v>
      </c>
      <c r="E763" s="28" t="s">
        <v>1179</v>
      </c>
      <c r="F763" s="19" t="str">
        <f t="shared" si="1"/>
        <v>Megaserve Rohit</v>
      </c>
      <c r="M763" s="91"/>
    </row>
    <row r="764">
      <c r="A764" s="22" t="s">
        <v>978</v>
      </c>
      <c r="B764" s="28" t="s">
        <v>979</v>
      </c>
      <c r="C764" s="28" t="s">
        <v>85</v>
      </c>
      <c r="D764" s="28" t="s">
        <v>1160</v>
      </c>
      <c r="E764" s="28" t="s">
        <v>1179</v>
      </c>
      <c r="F764" s="19" t="str">
        <f t="shared" si="1"/>
        <v>Megaserve Rohit</v>
      </c>
      <c r="M764" s="91"/>
    </row>
    <row r="765">
      <c r="A765" s="22" t="s">
        <v>2686</v>
      </c>
      <c r="B765" s="28" t="s">
        <v>2687</v>
      </c>
      <c r="C765" s="28" t="s">
        <v>85</v>
      </c>
      <c r="D765" s="28" t="s">
        <v>1160</v>
      </c>
      <c r="E765" s="28" t="s">
        <v>1179</v>
      </c>
      <c r="F765" s="19" t="str">
        <f t="shared" si="1"/>
        <v>Megaserve Rohit</v>
      </c>
      <c r="M765" s="91"/>
    </row>
    <row r="766">
      <c r="A766" s="22" t="s">
        <v>616</v>
      </c>
      <c r="B766" s="28" t="s">
        <v>2688</v>
      </c>
      <c r="C766" s="28" t="s">
        <v>85</v>
      </c>
      <c r="D766" s="28" t="s">
        <v>1160</v>
      </c>
      <c r="E766" s="28" t="s">
        <v>1179</v>
      </c>
      <c r="F766" s="19" t="str">
        <f t="shared" si="1"/>
        <v>Megaserve Rohit</v>
      </c>
      <c r="M766" s="91"/>
    </row>
    <row r="767">
      <c r="A767" s="227" t="s">
        <v>600</v>
      </c>
      <c r="B767" s="228" t="s">
        <v>1091</v>
      </c>
      <c r="C767" s="227" t="s">
        <v>232</v>
      </c>
      <c r="D767" s="28" t="s">
        <v>1160</v>
      </c>
      <c r="E767" s="9" t="s">
        <v>1179</v>
      </c>
      <c r="F767" s="19" t="str">
        <f t="shared" si="1"/>
        <v>Megaserve Rohit</v>
      </c>
      <c r="M767" s="91"/>
    </row>
    <row r="768">
      <c r="A768" s="227" t="s">
        <v>127</v>
      </c>
      <c r="B768" s="228" t="s">
        <v>2693</v>
      </c>
      <c r="C768" s="227" t="s">
        <v>311</v>
      </c>
      <c r="D768" s="28" t="s">
        <v>1160</v>
      </c>
      <c r="E768" s="28" t="s">
        <v>1172</v>
      </c>
      <c r="F768" s="19" t="str">
        <f t="shared" si="1"/>
        <v>Megaserve Nandkishore</v>
      </c>
      <c r="M768" s="91"/>
    </row>
    <row r="769">
      <c r="A769" s="227" t="s">
        <v>2695</v>
      </c>
      <c r="B769" s="228" t="s">
        <v>2696</v>
      </c>
      <c r="C769" s="227" t="s">
        <v>311</v>
      </c>
      <c r="D769" s="28" t="s">
        <v>1160</v>
      </c>
      <c r="E769" s="28" t="s">
        <v>1172</v>
      </c>
      <c r="F769" s="19" t="str">
        <f t="shared" si="1"/>
        <v>Megaserve Nandkishore</v>
      </c>
      <c r="M769" s="91"/>
    </row>
    <row r="770">
      <c r="A770" s="227" t="s">
        <v>2146</v>
      </c>
      <c r="B770" s="228" t="s">
        <v>2147</v>
      </c>
      <c r="C770" s="227" t="s">
        <v>311</v>
      </c>
      <c r="D770" s="28" t="s">
        <v>1160</v>
      </c>
      <c r="E770" s="9" t="s">
        <v>1179</v>
      </c>
      <c r="F770" s="19" t="str">
        <f t="shared" si="1"/>
        <v>Megaserve Rohit</v>
      </c>
      <c r="M770" s="91"/>
    </row>
    <row r="771">
      <c r="A771" s="227" t="s">
        <v>2157</v>
      </c>
      <c r="B771" s="228" t="s">
        <v>2158</v>
      </c>
      <c r="C771" s="227" t="s">
        <v>311</v>
      </c>
      <c r="D771" s="28" t="s">
        <v>1160</v>
      </c>
      <c r="E771" s="9" t="s">
        <v>1176</v>
      </c>
      <c r="F771" s="19" t="str">
        <f t="shared" si="1"/>
        <v>Megaserve Plantitude</v>
      </c>
      <c r="M771" s="91"/>
    </row>
    <row r="772">
      <c r="A772" s="227" t="s">
        <v>2699</v>
      </c>
      <c r="B772" s="228" t="s">
        <v>2700</v>
      </c>
      <c r="C772" s="227" t="s">
        <v>311</v>
      </c>
      <c r="D772" s="28" t="s">
        <v>1160</v>
      </c>
      <c r="E772" s="28" t="s">
        <v>1172</v>
      </c>
      <c r="F772" s="19" t="str">
        <f t="shared" si="1"/>
        <v>Megaserve Nandkishore</v>
      </c>
      <c r="M772" s="91"/>
    </row>
    <row r="773">
      <c r="A773" s="227" t="s">
        <v>844</v>
      </c>
      <c r="B773" s="228" t="s">
        <v>2701</v>
      </c>
      <c r="C773" s="227" t="s">
        <v>311</v>
      </c>
      <c r="D773" s="28" t="s">
        <v>1160</v>
      </c>
      <c r="E773" s="9" t="s">
        <v>1179</v>
      </c>
      <c r="F773" s="19" t="str">
        <f t="shared" si="1"/>
        <v>Megaserve Rohit</v>
      </c>
      <c r="M773" s="91"/>
    </row>
    <row r="774">
      <c r="A774" s="227" t="s">
        <v>163</v>
      </c>
      <c r="B774" s="228" t="s">
        <v>2702</v>
      </c>
      <c r="C774" s="227" t="s">
        <v>646</v>
      </c>
      <c r="D774" s="28" t="s">
        <v>1160</v>
      </c>
      <c r="E774" s="28" t="s">
        <v>1179</v>
      </c>
      <c r="F774" s="19" t="str">
        <f t="shared" si="1"/>
        <v>Megaserve Rohit</v>
      </c>
      <c r="M774" s="91"/>
    </row>
    <row r="775">
      <c r="A775" s="227" t="s">
        <v>2703</v>
      </c>
      <c r="B775" s="228" t="s">
        <v>2704</v>
      </c>
      <c r="C775" s="227" t="s">
        <v>716</v>
      </c>
      <c r="D775" s="28" t="s">
        <v>1160</v>
      </c>
      <c r="E775" s="28" t="s">
        <v>1184</v>
      </c>
      <c r="F775" s="19" t="str">
        <f t="shared" si="1"/>
        <v>Megaserve Parmmeshvar</v>
      </c>
      <c r="M775" s="91"/>
    </row>
    <row r="776">
      <c r="A776" s="228" t="s">
        <v>2705</v>
      </c>
      <c r="B776" s="238" t="s">
        <v>2706</v>
      </c>
      <c r="C776" s="227" t="s">
        <v>311</v>
      </c>
      <c r="D776" s="28" t="s">
        <v>1160</v>
      </c>
      <c r="E776" s="28" t="s">
        <v>1187</v>
      </c>
      <c r="F776" s="19" t="str">
        <f t="shared" si="1"/>
        <v>Personal PS</v>
      </c>
      <c r="M776" s="91"/>
    </row>
    <row r="777">
      <c r="A777" s="227" t="s">
        <v>2708</v>
      </c>
      <c r="B777" s="228" t="s">
        <v>2709</v>
      </c>
      <c r="C777" s="227" t="s">
        <v>232</v>
      </c>
      <c r="D777" s="9" t="s">
        <v>1160</v>
      </c>
      <c r="E777" s="9" t="s">
        <v>1179</v>
      </c>
      <c r="F777" s="19" t="str">
        <f t="shared" si="1"/>
        <v>Megaserve Rohit</v>
      </c>
      <c r="M777" s="91"/>
    </row>
    <row r="778">
      <c r="A778" s="227" t="s">
        <v>2306</v>
      </c>
      <c r="B778" s="228" t="s">
        <v>2307</v>
      </c>
      <c r="C778" s="227" t="s">
        <v>311</v>
      </c>
      <c r="D778" s="28" t="s">
        <v>1160</v>
      </c>
      <c r="E778" s="28" t="s">
        <v>1172</v>
      </c>
      <c r="F778" s="19" t="str">
        <f t="shared" si="1"/>
        <v>Megaserve Nandkishore</v>
      </c>
      <c r="M778" s="91"/>
    </row>
    <row r="779">
      <c r="A779" s="227" t="s">
        <v>2322</v>
      </c>
      <c r="B779" s="228" t="s">
        <v>2323</v>
      </c>
      <c r="C779" s="227" t="s">
        <v>311</v>
      </c>
      <c r="D779" s="28" t="s">
        <v>1160</v>
      </c>
      <c r="E779" s="9" t="s">
        <v>1179</v>
      </c>
      <c r="F779" s="19" t="str">
        <f t="shared" si="1"/>
        <v>Megaserve Rohit</v>
      </c>
      <c r="M779" s="91"/>
    </row>
    <row r="780">
      <c r="A780" s="227" t="s">
        <v>2711</v>
      </c>
      <c r="B780" s="228" t="s">
        <v>2712</v>
      </c>
      <c r="C780" s="227" t="s">
        <v>317</v>
      </c>
      <c r="D780" s="28" t="s">
        <v>1152</v>
      </c>
      <c r="E780" s="28" t="s">
        <v>1162</v>
      </c>
      <c r="F780" s="19" t="str">
        <f t="shared" si="1"/>
        <v>Capital Compound Vivek</v>
      </c>
      <c r="M780" s="91"/>
    </row>
    <row r="781">
      <c r="A781" s="227" t="s">
        <v>2713</v>
      </c>
      <c r="B781" s="228" t="s">
        <v>2714</v>
      </c>
      <c r="C781" s="227" t="s">
        <v>716</v>
      </c>
      <c r="D781" s="28" t="s">
        <v>1160</v>
      </c>
      <c r="E781" s="28" t="s">
        <v>1184</v>
      </c>
      <c r="F781" s="19" t="str">
        <f t="shared" si="1"/>
        <v>Megaserve Parmmeshvar</v>
      </c>
      <c r="M781" s="91"/>
    </row>
    <row r="782">
      <c r="A782" s="227" t="s">
        <v>1046</v>
      </c>
      <c r="B782" s="228" t="s">
        <v>2715</v>
      </c>
      <c r="C782" s="227" t="s">
        <v>716</v>
      </c>
      <c r="D782" s="28" t="s">
        <v>1160</v>
      </c>
      <c r="E782" s="28" t="s">
        <v>1184</v>
      </c>
      <c r="F782" s="19" t="str">
        <f t="shared" si="1"/>
        <v>Megaserve Parmmeshvar</v>
      </c>
      <c r="M782" s="91"/>
    </row>
    <row r="783">
      <c r="A783" s="227" t="s">
        <v>900</v>
      </c>
      <c r="B783" s="228" t="s">
        <v>901</v>
      </c>
      <c r="C783" s="227" t="s">
        <v>716</v>
      </c>
      <c r="D783" s="28" t="s">
        <v>1160</v>
      </c>
      <c r="E783" s="28" t="s">
        <v>1184</v>
      </c>
      <c r="F783" s="19" t="str">
        <f t="shared" si="1"/>
        <v>Megaserve Parmmeshvar</v>
      </c>
      <c r="M783" s="91"/>
    </row>
    <row r="784">
      <c r="A784" s="227" t="s">
        <v>2718</v>
      </c>
      <c r="B784" s="228" t="s">
        <v>2719</v>
      </c>
      <c r="C784" s="227" t="s">
        <v>716</v>
      </c>
      <c r="D784" s="28" t="s">
        <v>1160</v>
      </c>
      <c r="E784" s="28" t="s">
        <v>1184</v>
      </c>
      <c r="F784" s="19" t="str">
        <f t="shared" si="1"/>
        <v>Megaserve Parmmeshvar</v>
      </c>
      <c r="M784" s="91"/>
    </row>
    <row r="785">
      <c r="A785" s="227" t="s">
        <v>654</v>
      </c>
      <c r="B785" s="228" t="s">
        <v>2720</v>
      </c>
      <c r="C785" s="227" t="s">
        <v>232</v>
      </c>
      <c r="D785" s="9" t="s">
        <v>1160</v>
      </c>
      <c r="E785" s="9" t="s">
        <v>1179</v>
      </c>
      <c r="F785" s="19" t="str">
        <f t="shared" si="1"/>
        <v>Megaserve Rohit</v>
      </c>
      <c r="M785" s="91"/>
    </row>
    <row r="786">
      <c r="A786" s="227" t="s">
        <v>990</v>
      </c>
      <c r="B786" s="228" t="s">
        <v>2722</v>
      </c>
      <c r="C786" s="227" t="s">
        <v>232</v>
      </c>
      <c r="D786" s="9" t="s">
        <v>1160</v>
      </c>
      <c r="E786" s="9" t="s">
        <v>1179</v>
      </c>
      <c r="F786" s="19" t="str">
        <f t="shared" si="1"/>
        <v>Megaserve Rohit</v>
      </c>
      <c r="M786" s="91"/>
    </row>
    <row r="787">
      <c r="A787" s="227" t="s">
        <v>2723</v>
      </c>
      <c r="B787" s="228" t="s">
        <v>2724</v>
      </c>
      <c r="C787" s="227" t="s">
        <v>716</v>
      </c>
      <c r="D787" s="28" t="s">
        <v>1160</v>
      </c>
      <c r="E787" s="28" t="s">
        <v>1184</v>
      </c>
      <c r="F787" s="19" t="str">
        <f t="shared" si="1"/>
        <v>Megaserve Parmmeshvar</v>
      </c>
      <c r="M787" s="91"/>
    </row>
    <row r="788">
      <c r="A788" s="227" t="s">
        <v>2727</v>
      </c>
      <c r="B788" s="228" t="s">
        <v>2728</v>
      </c>
      <c r="C788" s="227" t="s">
        <v>311</v>
      </c>
      <c r="D788" s="28" t="s">
        <v>1152</v>
      </c>
      <c r="E788" s="28" t="s">
        <v>1162</v>
      </c>
      <c r="F788" s="19" t="str">
        <f t="shared" si="1"/>
        <v>Capital Compound Vivek</v>
      </c>
      <c r="M788" s="91"/>
    </row>
    <row r="789">
      <c r="A789" s="227" t="s">
        <v>878</v>
      </c>
      <c r="B789" s="228" t="s">
        <v>879</v>
      </c>
      <c r="C789" s="227" t="s">
        <v>311</v>
      </c>
      <c r="D789" s="9" t="s">
        <v>1160</v>
      </c>
      <c r="E789" s="9" t="s">
        <v>1179</v>
      </c>
      <c r="F789" s="19" t="str">
        <f t="shared" si="1"/>
        <v>Megaserve Rohit</v>
      </c>
      <c r="M789" s="91"/>
    </row>
    <row r="790">
      <c r="A790" s="227" t="s">
        <v>2730</v>
      </c>
      <c r="B790" s="228" t="s">
        <v>2731</v>
      </c>
      <c r="C790" s="227" t="s">
        <v>311</v>
      </c>
      <c r="D790" s="9" t="s">
        <v>1152</v>
      </c>
      <c r="E790" s="9" t="s">
        <v>1162</v>
      </c>
      <c r="F790" s="19" t="str">
        <f t="shared" si="1"/>
        <v>Capital Compound Vivek</v>
      </c>
      <c r="M790" s="91"/>
    </row>
    <row r="791">
      <c r="A791" s="227" t="s">
        <v>2733</v>
      </c>
      <c r="B791" s="228" t="s">
        <v>2734</v>
      </c>
      <c r="C791" s="227" t="s">
        <v>311</v>
      </c>
      <c r="D791" s="9" t="s">
        <v>1160</v>
      </c>
      <c r="E791" s="9" t="s">
        <v>1172</v>
      </c>
      <c r="F791" s="19" t="str">
        <f t="shared" si="1"/>
        <v>Megaserve Nandkishore</v>
      </c>
      <c r="M791" s="91"/>
    </row>
    <row r="792">
      <c r="A792" s="227" t="s">
        <v>992</v>
      </c>
      <c r="B792" s="228" t="s">
        <v>2735</v>
      </c>
      <c r="C792" s="228" t="s">
        <v>886</v>
      </c>
      <c r="D792" s="28" t="s">
        <v>1160</v>
      </c>
      <c r="E792" s="28" t="s">
        <v>1184</v>
      </c>
      <c r="F792" s="19" t="str">
        <f t="shared" si="1"/>
        <v>Megaserve Parmmeshvar</v>
      </c>
      <c r="M792" s="91"/>
    </row>
    <row r="793">
      <c r="A793" s="227" t="s">
        <v>626</v>
      </c>
      <c r="B793" s="228" t="s">
        <v>2736</v>
      </c>
      <c r="C793" s="227" t="s">
        <v>232</v>
      </c>
      <c r="D793" s="9" t="s">
        <v>1160</v>
      </c>
      <c r="E793" s="9" t="s">
        <v>1179</v>
      </c>
      <c r="F793" s="19" t="str">
        <f t="shared" si="1"/>
        <v>Megaserve Rohit</v>
      </c>
      <c r="M793" s="91"/>
    </row>
    <row r="794">
      <c r="A794" s="227" t="s">
        <v>1498</v>
      </c>
      <c r="B794" s="228" t="s">
        <v>1499</v>
      </c>
      <c r="C794" s="227" t="s">
        <v>311</v>
      </c>
      <c r="D794" s="9" t="s">
        <v>1160</v>
      </c>
      <c r="E794" s="28" t="s">
        <v>1187</v>
      </c>
      <c r="F794" s="19" t="str">
        <f t="shared" si="1"/>
        <v>Personal PS</v>
      </c>
      <c r="M794" s="91"/>
    </row>
    <row r="795">
      <c r="A795" s="227" t="s">
        <v>2739</v>
      </c>
      <c r="B795" s="228" t="s">
        <v>2740</v>
      </c>
      <c r="C795" s="227" t="s">
        <v>311</v>
      </c>
      <c r="D795" s="9" t="s">
        <v>1160</v>
      </c>
      <c r="E795" s="9" t="s">
        <v>1179</v>
      </c>
      <c r="F795" s="19" t="str">
        <f t="shared" si="1"/>
        <v>Megaserve Rohit</v>
      </c>
      <c r="M795" s="91"/>
    </row>
    <row r="796">
      <c r="A796" s="227" t="s">
        <v>2741</v>
      </c>
      <c r="B796" s="228" t="s">
        <v>2742</v>
      </c>
      <c r="C796" s="227" t="s">
        <v>716</v>
      </c>
      <c r="D796" s="28" t="s">
        <v>1160</v>
      </c>
      <c r="E796" s="28" t="s">
        <v>1184</v>
      </c>
      <c r="F796" s="19" t="str">
        <f t="shared" si="1"/>
        <v>Megaserve Parmmeshvar</v>
      </c>
      <c r="M796" s="91"/>
    </row>
    <row r="797">
      <c r="A797" s="227" t="s">
        <v>2744</v>
      </c>
      <c r="B797" s="228" t="s">
        <v>2746</v>
      </c>
      <c r="C797" s="227" t="s">
        <v>716</v>
      </c>
      <c r="D797" s="28" t="s">
        <v>1160</v>
      </c>
      <c r="E797" s="28" t="s">
        <v>1184</v>
      </c>
      <c r="F797" s="19" t="str">
        <f t="shared" si="1"/>
        <v>Megaserve Parmmeshvar</v>
      </c>
      <c r="M797" s="91"/>
    </row>
    <row r="798">
      <c r="A798" s="227" t="s">
        <v>976</v>
      </c>
      <c r="B798" s="228" t="s">
        <v>976</v>
      </c>
      <c r="C798" s="227" t="s">
        <v>886</v>
      </c>
      <c r="D798" s="28" t="s">
        <v>1160</v>
      </c>
      <c r="E798" s="28" t="s">
        <v>1184</v>
      </c>
      <c r="F798" s="19" t="str">
        <f t="shared" si="1"/>
        <v>Megaserve Parmmeshvar</v>
      </c>
      <c r="M798" s="91"/>
    </row>
    <row r="799">
      <c r="A799" s="227" t="s">
        <v>2747</v>
      </c>
      <c r="B799" s="228" t="s">
        <v>2748</v>
      </c>
      <c r="C799" s="227" t="s">
        <v>311</v>
      </c>
      <c r="D799" s="9" t="s">
        <v>1160</v>
      </c>
      <c r="E799" s="9" t="s">
        <v>1179</v>
      </c>
      <c r="F799" s="19" t="str">
        <f t="shared" si="1"/>
        <v>Megaserve Rohit</v>
      </c>
      <c r="M799" s="91"/>
    </row>
    <row r="800">
      <c r="A800" s="227" t="s">
        <v>1539</v>
      </c>
      <c r="B800" s="228" t="s">
        <v>1540</v>
      </c>
      <c r="C800" s="227" t="s">
        <v>311</v>
      </c>
      <c r="D800" s="9" t="s">
        <v>1160</v>
      </c>
      <c r="E800" s="9" t="s">
        <v>1179</v>
      </c>
      <c r="F800" s="19" t="str">
        <f t="shared" si="1"/>
        <v>Megaserve Rohit</v>
      </c>
      <c r="M800" s="91"/>
    </row>
    <row r="801">
      <c r="A801" s="227" t="s">
        <v>2750</v>
      </c>
      <c r="B801" s="228" t="s">
        <v>2751</v>
      </c>
      <c r="C801" s="227" t="s">
        <v>311</v>
      </c>
      <c r="D801" s="9" t="s">
        <v>1160</v>
      </c>
      <c r="E801" s="9" t="s">
        <v>1179</v>
      </c>
      <c r="F801" s="19" t="str">
        <f t="shared" si="1"/>
        <v>Megaserve Rohit</v>
      </c>
      <c r="M801" s="91"/>
    </row>
    <row r="802">
      <c r="A802" s="227" t="s">
        <v>2752</v>
      </c>
      <c r="B802" s="228" t="s">
        <v>2753</v>
      </c>
      <c r="C802" s="227" t="s">
        <v>716</v>
      </c>
      <c r="D802" s="28" t="s">
        <v>1160</v>
      </c>
      <c r="E802" s="28" t="s">
        <v>1184</v>
      </c>
      <c r="F802" s="19" t="str">
        <f t="shared" si="1"/>
        <v>Megaserve Parmmeshvar</v>
      </c>
      <c r="M802" s="91"/>
    </row>
    <row r="803">
      <c r="A803" s="227" t="s">
        <v>2754</v>
      </c>
      <c r="B803" s="228" t="s">
        <v>2756</v>
      </c>
      <c r="C803" s="227" t="s">
        <v>716</v>
      </c>
      <c r="D803" s="28" t="s">
        <v>1160</v>
      </c>
      <c r="E803" s="28" t="s">
        <v>1184</v>
      </c>
      <c r="F803" s="19" t="str">
        <f t="shared" si="1"/>
        <v>Megaserve Parmmeshvar</v>
      </c>
      <c r="M803" s="91"/>
    </row>
    <row r="804">
      <c r="A804" s="227" t="s">
        <v>867</v>
      </c>
      <c r="B804" s="228" t="s">
        <v>2757</v>
      </c>
      <c r="C804" s="227" t="s">
        <v>311</v>
      </c>
      <c r="D804" s="9" t="s">
        <v>1160</v>
      </c>
      <c r="E804" s="9" t="s">
        <v>1179</v>
      </c>
      <c r="F804" s="19" t="str">
        <f t="shared" si="1"/>
        <v>Megaserve Rohit</v>
      </c>
      <c r="M804" s="91"/>
    </row>
    <row r="805">
      <c r="A805" s="227" t="s">
        <v>958</v>
      </c>
      <c r="B805" s="228" t="s">
        <v>959</v>
      </c>
      <c r="C805" s="227" t="s">
        <v>716</v>
      </c>
      <c r="D805" s="28" t="s">
        <v>1160</v>
      </c>
      <c r="E805" s="28" t="s">
        <v>1184</v>
      </c>
      <c r="F805" s="19" t="str">
        <f t="shared" si="1"/>
        <v>Megaserve Parmmeshvar</v>
      </c>
      <c r="M805" s="91"/>
    </row>
    <row r="806">
      <c r="A806" s="227" t="s">
        <v>871</v>
      </c>
      <c r="B806" s="228" t="s">
        <v>2759</v>
      </c>
      <c r="C806" s="227" t="s">
        <v>311</v>
      </c>
      <c r="D806" s="9" t="s">
        <v>1160</v>
      </c>
      <c r="E806" s="9" t="s">
        <v>1179</v>
      </c>
      <c r="F806" s="19" t="str">
        <f t="shared" si="1"/>
        <v>Megaserve Rohit</v>
      </c>
      <c r="M806" s="91"/>
    </row>
    <row r="807">
      <c r="A807" s="227" t="s">
        <v>854</v>
      </c>
      <c r="B807" s="228" t="s">
        <v>855</v>
      </c>
      <c r="C807" s="227" t="s">
        <v>317</v>
      </c>
      <c r="D807" s="9" t="s">
        <v>1152</v>
      </c>
      <c r="E807" s="9" t="s">
        <v>1162</v>
      </c>
      <c r="F807" s="19" t="str">
        <f t="shared" si="1"/>
        <v>Capital Compound Vivek</v>
      </c>
      <c r="M807" s="91"/>
    </row>
    <row r="808">
      <c r="A808" s="227" t="s">
        <v>880</v>
      </c>
      <c r="B808" s="228" t="s">
        <v>2761</v>
      </c>
      <c r="C808" s="227" t="s">
        <v>886</v>
      </c>
      <c r="D808" s="28" t="s">
        <v>1160</v>
      </c>
      <c r="E808" s="28" t="s">
        <v>1184</v>
      </c>
      <c r="F808" s="19" t="str">
        <f t="shared" si="1"/>
        <v>Megaserve Parmmeshvar</v>
      </c>
      <c r="M808" s="91"/>
    </row>
    <row r="809">
      <c r="A809" s="227" t="s">
        <v>1019</v>
      </c>
      <c r="B809" s="228" t="s">
        <v>2763</v>
      </c>
      <c r="C809" s="227" t="s">
        <v>886</v>
      </c>
      <c r="D809" s="28" t="s">
        <v>1160</v>
      </c>
      <c r="E809" s="28" t="s">
        <v>1184</v>
      </c>
      <c r="F809" s="19" t="str">
        <f t="shared" si="1"/>
        <v>Megaserve Parmmeshvar</v>
      </c>
      <c r="M809" s="91"/>
    </row>
    <row r="810">
      <c r="A810" s="227" t="s">
        <v>68</v>
      </c>
      <c r="B810" s="228" t="s">
        <v>2764</v>
      </c>
      <c r="C810" s="227" t="s">
        <v>886</v>
      </c>
      <c r="D810" s="28" t="s">
        <v>1160</v>
      </c>
      <c r="E810" s="28" t="s">
        <v>1184</v>
      </c>
      <c r="F810" s="19" t="str">
        <f t="shared" si="1"/>
        <v>Megaserve Parmmeshvar</v>
      </c>
      <c r="M810" s="91"/>
    </row>
    <row r="811">
      <c r="A811" s="227" t="s">
        <v>1465</v>
      </c>
      <c r="B811" s="228" t="s">
        <v>2765</v>
      </c>
      <c r="C811" s="227" t="s">
        <v>886</v>
      </c>
      <c r="D811" s="28" t="s">
        <v>1160</v>
      </c>
      <c r="E811" s="28" t="s">
        <v>1184</v>
      </c>
      <c r="F811" s="19" t="str">
        <f t="shared" si="1"/>
        <v>Megaserve Parmmeshvar</v>
      </c>
      <c r="M811" s="91"/>
    </row>
    <row r="812">
      <c r="A812" s="227" t="s">
        <v>2766</v>
      </c>
      <c r="B812" s="228" t="s">
        <v>2767</v>
      </c>
      <c r="C812" s="227" t="s">
        <v>886</v>
      </c>
      <c r="D812" s="28" t="s">
        <v>1160</v>
      </c>
      <c r="E812" s="28" t="s">
        <v>1184</v>
      </c>
      <c r="F812" s="19" t="str">
        <f t="shared" si="1"/>
        <v>Megaserve Parmmeshvar</v>
      </c>
      <c r="M812" s="91"/>
    </row>
    <row r="813">
      <c r="A813" s="227" t="s">
        <v>2768</v>
      </c>
      <c r="B813" s="228" t="s">
        <v>2769</v>
      </c>
      <c r="C813" s="227" t="s">
        <v>886</v>
      </c>
      <c r="D813" s="28" t="s">
        <v>1160</v>
      </c>
      <c r="E813" s="28" t="s">
        <v>1184</v>
      </c>
      <c r="F813" s="19" t="str">
        <f t="shared" si="1"/>
        <v>Megaserve Parmmeshvar</v>
      </c>
      <c r="M813" s="91"/>
    </row>
    <row r="814">
      <c r="A814" s="227" t="s">
        <v>2771</v>
      </c>
      <c r="B814" s="22" t="str">
        <f>VLOOKUP(A814,Main!A:B,2,0)</f>
        <v>MSS_MEENUAGRAWAL_jm_INT</v>
      </c>
      <c r="C814" s="227" t="s">
        <v>1029</v>
      </c>
      <c r="D814" s="229" t="s">
        <v>1160</v>
      </c>
      <c r="E814" s="229" t="s">
        <v>1184</v>
      </c>
      <c r="F814" s="19" t="str">
        <f t="shared" si="1"/>
        <v>Megaserve Parmmeshvar</v>
      </c>
      <c r="M814" s="91"/>
    </row>
    <row r="815">
      <c r="A815" s="227" t="s">
        <v>980</v>
      </c>
      <c r="B815" s="228" t="s">
        <v>981</v>
      </c>
      <c r="C815" s="227" t="s">
        <v>311</v>
      </c>
      <c r="D815" s="9" t="s">
        <v>1160</v>
      </c>
      <c r="E815" s="9" t="s">
        <v>1179</v>
      </c>
      <c r="F815" s="19" t="str">
        <f t="shared" si="1"/>
        <v>Megaserve Rohit</v>
      </c>
      <c r="M815" s="91"/>
    </row>
    <row r="816">
      <c r="A816" s="227" t="s">
        <v>2773</v>
      </c>
      <c r="B816" s="228" t="s">
        <v>2774</v>
      </c>
      <c r="C816" s="227" t="s">
        <v>311</v>
      </c>
      <c r="D816" s="9" t="s">
        <v>1160</v>
      </c>
      <c r="E816" s="9" t="s">
        <v>1179</v>
      </c>
      <c r="F816" s="19" t="str">
        <f t="shared" si="1"/>
        <v>Megaserve Rohit</v>
      </c>
      <c r="M816" s="91"/>
    </row>
    <row r="817">
      <c r="A817" s="227" t="s">
        <v>982</v>
      </c>
      <c r="B817" s="228" t="s">
        <v>983</v>
      </c>
      <c r="C817" s="227" t="s">
        <v>232</v>
      </c>
      <c r="D817" s="9" t="s">
        <v>1160</v>
      </c>
      <c r="E817" s="9" t="s">
        <v>1179</v>
      </c>
      <c r="F817" s="19" t="str">
        <f t="shared" si="1"/>
        <v>Megaserve Rohit</v>
      </c>
      <c r="M817" s="91"/>
    </row>
    <row r="818">
      <c r="A818" s="227" t="s">
        <v>105</v>
      </c>
      <c r="B818" s="228" t="s">
        <v>2777</v>
      </c>
      <c r="C818" s="227" t="s">
        <v>232</v>
      </c>
      <c r="D818" s="9" t="s">
        <v>1160</v>
      </c>
      <c r="E818" s="9" t="s">
        <v>1179</v>
      </c>
      <c r="F818" s="19" t="str">
        <f t="shared" si="1"/>
        <v>Megaserve Rohit</v>
      </c>
      <c r="M818" s="91"/>
    </row>
    <row r="819">
      <c r="A819" s="227" t="s">
        <v>130</v>
      </c>
      <c r="B819" s="228" t="s">
        <v>2779</v>
      </c>
      <c r="C819" s="227" t="s">
        <v>716</v>
      </c>
      <c r="D819" s="229" t="s">
        <v>1160</v>
      </c>
      <c r="E819" s="229" t="s">
        <v>1184</v>
      </c>
      <c r="F819" s="19" t="str">
        <f t="shared" si="1"/>
        <v>Megaserve Parmmeshvar</v>
      </c>
      <c r="M819" s="91"/>
    </row>
    <row r="820">
      <c r="A820" s="227" t="s">
        <v>994</v>
      </c>
      <c r="B820" s="228" t="s">
        <v>995</v>
      </c>
      <c r="C820" s="227" t="s">
        <v>716</v>
      </c>
      <c r="D820" s="229" t="s">
        <v>1160</v>
      </c>
      <c r="E820" s="229" t="s">
        <v>1184</v>
      </c>
      <c r="F820" s="19" t="str">
        <f t="shared" si="1"/>
        <v>Megaserve Parmmeshvar</v>
      </c>
      <c r="M820" s="91"/>
    </row>
    <row r="821">
      <c r="A821" s="227" t="s">
        <v>986</v>
      </c>
      <c r="B821" s="228" t="s">
        <v>987</v>
      </c>
      <c r="C821" s="227" t="s">
        <v>973</v>
      </c>
      <c r="D821" s="9" t="s">
        <v>1160</v>
      </c>
      <c r="E821" s="9" t="s">
        <v>1179</v>
      </c>
      <c r="F821" s="19" t="str">
        <f t="shared" si="1"/>
        <v>Megaserve Rohit</v>
      </c>
      <c r="M821" s="91"/>
    </row>
    <row r="822">
      <c r="A822" s="227" t="s">
        <v>106</v>
      </c>
      <c r="B822" s="228" t="s">
        <v>2781</v>
      </c>
      <c r="C822" s="227" t="s">
        <v>232</v>
      </c>
      <c r="D822" s="9" t="s">
        <v>1160</v>
      </c>
      <c r="E822" s="9" t="s">
        <v>1179</v>
      </c>
      <c r="F822" s="19" t="str">
        <f t="shared" si="1"/>
        <v>Megaserve Rohit</v>
      </c>
      <c r="M822" s="91"/>
    </row>
    <row r="823">
      <c r="A823" s="227" t="s">
        <v>2783</v>
      </c>
      <c r="B823" s="228" t="s">
        <v>2784</v>
      </c>
      <c r="C823" s="227" t="s">
        <v>716</v>
      </c>
      <c r="D823" s="229" t="s">
        <v>1160</v>
      </c>
      <c r="E823" s="229" t="s">
        <v>1184</v>
      </c>
      <c r="F823" s="19" t="str">
        <f t="shared" si="1"/>
        <v>Megaserve Parmmeshvar</v>
      </c>
      <c r="M823" s="91"/>
    </row>
    <row r="824">
      <c r="A824" s="227" t="s">
        <v>2785</v>
      </c>
      <c r="B824" s="228" t="s">
        <v>2786</v>
      </c>
      <c r="C824" s="227" t="s">
        <v>716</v>
      </c>
      <c r="D824" s="229" t="s">
        <v>1160</v>
      </c>
      <c r="E824" s="229" t="s">
        <v>1184</v>
      </c>
      <c r="F824" s="19" t="str">
        <f t="shared" si="1"/>
        <v>Megaserve Parmmeshvar</v>
      </c>
      <c r="M824" s="91"/>
    </row>
    <row r="825">
      <c r="A825" s="227" t="s">
        <v>2789</v>
      </c>
      <c r="B825" s="228" t="s">
        <v>2790</v>
      </c>
      <c r="C825" s="227" t="s">
        <v>311</v>
      </c>
      <c r="D825" s="9" t="s">
        <v>1160</v>
      </c>
      <c r="E825" s="9" t="s">
        <v>1179</v>
      </c>
      <c r="F825" s="19" t="str">
        <f t="shared" si="1"/>
        <v>Megaserve Rohit</v>
      </c>
      <c r="M825" s="91"/>
    </row>
    <row r="826">
      <c r="A826" s="227" t="s">
        <v>2792</v>
      </c>
      <c r="B826" s="228" t="s">
        <v>2793</v>
      </c>
      <c r="C826" s="227" t="s">
        <v>311</v>
      </c>
      <c r="D826" s="9" t="s">
        <v>1160</v>
      </c>
      <c r="E826" s="9" t="s">
        <v>1172</v>
      </c>
      <c r="F826" s="19" t="str">
        <f t="shared" si="1"/>
        <v>Megaserve Nandkishore</v>
      </c>
      <c r="M826" s="91"/>
    </row>
    <row r="827">
      <c r="A827" s="227" t="s">
        <v>2022</v>
      </c>
      <c r="B827" s="228" t="s">
        <v>2023</v>
      </c>
      <c r="C827" s="227" t="s">
        <v>311</v>
      </c>
      <c r="D827" s="9" t="s">
        <v>1160</v>
      </c>
      <c r="E827" s="9" t="s">
        <v>1176</v>
      </c>
      <c r="F827" s="19" t="str">
        <f t="shared" si="1"/>
        <v>Megaserve Plantitude</v>
      </c>
      <c r="M827" s="91"/>
    </row>
    <row r="828">
      <c r="A828" s="227" t="s">
        <v>2795</v>
      </c>
      <c r="B828" s="228" t="s">
        <v>2797</v>
      </c>
      <c r="C828" s="227" t="s">
        <v>232</v>
      </c>
      <c r="D828" s="9" t="s">
        <v>1160</v>
      </c>
      <c r="E828" s="9" t="s">
        <v>1179</v>
      </c>
      <c r="F828" s="19" t="str">
        <f t="shared" si="1"/>
        <v>Megaserve Rohit</v>
      </c>
      <c r="M828" s="91"/>
    </row>
    <row r="829">
      <c r="A829" s="227" t="s">
        <v>2798</v>
      </c>
      <c r="B829" s="228" t="s">
        <v>2799</v>
      </c>
      <c r="C829" s="227" t="s">
        <v>311</v>
      </c>
      <c r="D829" s="9" t="s">
        <v>1160</v>
      </c>
      <c r="E829" s="9" t="s">
        <v>1179</v>
      </c>
      <c r="F829" s="19" t="str">
        <f t="shared" si="1"/>
        <v>Megaserve Rohit</v>
      </c>
      <c r="M829" s="91"/>
    </row>
    <row r="830">
      <c r="A830" s="227" t="s">
        <v>2802</v>
      </c>
      <c r="B830" s="228" t="s">
        <v>2803</v>
      </c>
      <c r="C830" s="227" t="s">
        <v>297</v>
      </c>
      <c r="D830" s="9" t="s">
        <v>1152</v>
      </c>
      <c r="E830" s="9" t="s">
        <v>1156</v>
      </c>
      <c r="F830" s="19" t="str">
        <f t="shared" si="1"/>
        <v>Capital Compound Govinda</v>
      </c>
      <c r="M830" s="91"/>
    </row>
    <row r="831">
      <c r="A831" s="227" t="s">
        <v>2804</v>
      </c>
      <c r="B831" s="228" t="s">
        <v>2806</v>
      </c>
      <c r="C831" s="227" t="s">
        <v>85</v>
      </c>
      <c r="D831" s="9" t="s">
        <v>1152</v>
      </c>
      <c r="E831" s="9" t="s">
        <v>1152</v>
      </c>
      <c r="F831" s="19" t="str">
        <f t="shared" si="1"/>
        <v>Capital Compound</v>
      </c>
      <c r="M831" s="91"/>
    </row>
    <row r="832">
      <c r="A832" s="21" t="s">
        <v>125</v>
      </c>
      <c r="B832" s="232" t="s">
        <v>2807</v>
      </c>
      <c r="C832" s="150" t="s">
        <v>311</v>
      </c>
      <c r="D832" s="9" t="s">
        <v>1160</v>
      </c>
      <c r="E832" s="9" t="s">
        <v>1172</v>
      </c>
      <c r="F832" s="19" t="str">
        <f t="shared" si="1"/>
        <v>Megaserve Nandkishore</v>
      </c>
      <c r="M832" s="91"/>
    </row>
    <row r="833">
      <c r="A833" s="21" t="s">
        <v>2040</v>
      </c>
      <c r="B833" s="232" t="s">
        <v>2041</v>
      </c>
      <c r="C833" s="150" t="s">
        <v>311</v>
      </c>
      <c r="D833" s="9" t="s">
        <v>1160</v>
      </c>
      <c r="E833" s="9" t="s">
        <v>1176</v>
      </c>
      <c r="F833" s="19" t="str">
        <f t="shared" si="1"/>
        <v>Megaserve Plantitude</v>
      </c>
      <c r="M833" s="91"/>
    </row>
    <row r="834">
      <c r="A834" s="21" t="s">
        <v>1477</v>
      </c>
      <c r="B834" s="232" t="s">
        <v>1478</v>
      </c>
      <c r="C834" s="21" t="s">
        <v>716</v>
      </c>
      <c r="D834" s="9" t="s">
        <v>1160</v>
      </c>
      <c r="E834" s="9" t="s">
        <v>1184</v>
      </c>
      <c r="F834" s="19" t="str">
        <f t="shared" si="1"/>
        <v>Megaserve Parmmeshvar</v>
      </c>
      <c r="M834" s="91"/>
    </row>
    <row r="835">
      <c r="A835" s="21" t="s">
        <v>2810</v>
      </c>
      <c r="B835" s="232" t="s">
        <v>2811</v>
      </c>
      <c r="C835" s="21" t="s">
        <v>716</v>
      </c>
      <c r="D835" s="9" t="s">
        <v>1160</v>
      </c>
      <c r="E835" s="9" t="s">
        <v>1184</v>
      </c>
      <c r="F835" s="19" t="str">
        <f t="shared" si="1"/>
        <v>Megaserve Parmmeshvar</v>
      </c>
      <c r="M835" s="91"/>
    </row>
    <row r="836">
      <c r="A836" s="21" t="s">
        <v>56</v>
      </c>
      <c r="B836" s="232" t="s">
        <v>988</v>
      </c>
      <c r="C836" s="21" t="s">
        <v>716</v>
      </c>
      <c r="D836" s="9" t="s">
        <v>1160</v>
      </c>
      <c r="E836" s="9" t="s">
        <v>1184</v>
      </c>
      <c r="F836" s="19" t="str">
        <f t="shared" si="1"/>
        <v>Megaserve Parmmeshvar</v>
      </c>
      <c r="M836" s="91"/>
    </row>
    <row r="837">
      <c r="A837" s="21" t="s">
        <v>1027</v>
      </c>
      <c r="B837" s="232" t="s">
        <v>1028</v>
      </c>
      <c r="C837" s="21" t="s">
        <v>1029</v>
      </c>
      <c r="D837" s="9" t="s">
        <v>1160</v>
      </c>
      <c r="E837" s="9" t="s">
        <v>1179</v>
      </c>
      <c r="F837" s="19" t="str">
        <f t="shared" si="1"/>
        <v>Megaserve Rohit</v>
      </c>
      <c r="M837" s="91"/>
    </row>
    <row r="838">
      <c r="A838" s="21" t="s">
        <v>1009</v>
      </c>
      <c r="B838" s="232" t="s">
        <v>1010</v>
      </c>
      <c r="C838" s="21" t="s">
        <v>1011</v>
      </c>
      <c r="D838" s="9" t="s">
        <v>1152</v>
      </c>
      <c r="E838" s="9" t="s">
        <v>1162</v>
      </c>
      <c r="F838" s="19" t="str">
        <f t="shared" si="1"/>
        <v>Capital Compound Vivek</v>
      </c>
      <c r="M838" s="91"/>
    </row>
    <row r="839">
      <c r="A839" s="21" t="s">
        <v>2814</v>
      </c>
      <c r="B839" s="232" t="s">
        <v>2815</v>
      </c>
      <c r="C839" s="146" t="s">
        <v>311</v>
      </c>
      <c r="D839" s="9" t="s">
        <v>1160</v>
      </c>
      <c r="E839" s="9" t="s">
        <v>1172</v>
      </c>
      <c r="F839" s="19" t="str">
        <f t="shared" si="1"/>
        <v>Megaserve Nandkishore</v>
      </c>
      <c r="M839" s="91"/>
    </row>
    <row r="840">
      <c r="A840" s="227" t="s">
        <v>2816</v>
      </c>
      <c r="B840" s="228" t="s">
        <v>2817</v>
      </c>
      <c r="C840" s="227" t="s">
        <v>311</v>
      </c>
      <c r="D840" s="9" t="s">
        <v>1160</v>
      </c>
      <c r="E840" s="9" t="s">
        <v>1176</v>
      </c>
      <c r="F840" s="19" t="str">
        <f t="shared" si="1"/>
        <v>Megaserve Plantitude</v>
      </c>
      <c r="M840" s="91"/>
    </row>
    <row r="841">
      <c r="A841" s="227" t="s">
        <v>2819</v>
      </c>
      <c r="B841" s="228" t="s">
        <v>2820</v>
      </c>
      <c r="C841" s="227" t="s">
        <v>1251</v>
      </c>
      <c r="D841" s="9" t="s">
        <v>1152</v>
      </c>
      <c r="E841" s="9" t="s">
        <v>1162</v>
      </c>
      <c r="F841" s="19" t="str">
        <f t="shared" si="1"/>
        <v>Capital Compound Vivek</v>
      </c>
      <c r="M841" s="91"/>
    </row>
    <row r="842">
      <c r="A842" s="227" t="s">
        <v>2822</v>
      </c>
      <c r="B842" s="228" t="s">
        <v>2823</v>
      </c>
      <c r="C842" s="227" t="s">
        <v>1251</v>
      </c>
      <c r="D842" s="9" t="s">
        <v>1152</v>
      </c>
      <c r="E842" s="9" t="s">
        <v>1162</v>
      </c>
      <c r="F842" s="19" t="str">
        <f t="shared" si="1"/>
        <v>Capital Compound Vivek</v>
      </c>
      <c r="M842" s="91"/>
    </row>
    <row r="843">
      <c r="A843" s="227" t="s">
        <v>2824</v>
      </c>
      <c r="B843" s="228" t="s">
        <v>2811</v>
      </c>
      <c r="C843" s="227" t="s">
        <v>716</v>
      </c>
      <c r="D843" s="9" t="s">
        <v>1160</v>
      </c>
      <c r="E843" s="9" t="s">
        <v>1184</v>
      </c>
      <c r="F843" s="19" t="str">
        <f t="shared" si="1"/>
        <v>Megaserve Parmmeshvar</v>
      </c>
      <c r="M843" s="91"/>
    </row>
    <row r="844">
      <c r="A844" s="227" t="s">
        <v>2826</v>
      </c>
      <c r="B844" s="228" t="s">
        <v>2827</v>
      </c>
      <c r="C844" s="227" t="s">
        <v>311</v>
      </c>
      <c r="D844" s="9" t="s">
        <v>1160</v>
      </c>
      <c r="E844" s="9" t="s">
        <v>1172</v>
      </c>
      <c r="F844" s="19" t="str">
        <f t="shared" si="1"/>
        <v>Megaserve Nandkishore</v>
      </c>
      <c r="M844" s="91"/>
    </row>
    <row r="845">
      <c r="A845" s="227" t="s">
        <v>2064</v>
      </c>
      <c r="B845" s="228" t="s">
        <v>2065</v>
      </c>
      <c r="C845" s="227" t="s">
        <v>311</v>
      </c>
      <c r="D845" s="9" t="s">
        <v>1160</v>
      </c>
      <c r="E845" s="9" t="s">
        <v>1172</v>
      </c>
      <c r="F845" s="19" t="str">
        <f t="shared" si="1"/>
        <v>Megaserve Nandkishore</v>
      </c>
      <c r="M845" s="91"/>
    </row>
    <row r="846">
      <c r="A846" s="227" t="s">
        <v>2828</v>
      </c>
      <c r="B846" s="228" t="s">
        <v>2829</v>
      </c>
      <c r="C846" s="227" t="s">
        <v>716</v>
      </c>
      <c r="D846" s="9" t="s">
        <v>1160</v>
      </c>
      <c r="E846" s="9" t="s">
        <v>1184</v>
      </c>
      <c r="F846" s="19" t="str">
        <f t="shared" si="1"/>
        <v>Megaserve Parmmeshvar</v>
      </c>
      <c r="M846" s="91"/>
    </row>
    <row r="847">
      <c r="A847" s="227" t="s">
        <v>2830</v>
      </c>
      <c r="B847" s="22" t="str">
        <f>VLOOKUP(A847,Main!A:B,2,0)</f>
        <v>A1_TT_GB_RDANGAYACH_INT</v>
      </c>
      <c r="C847" s="234" t="s">
        <v>973</v>
      </c>
      <c r="D847" s="9" t="s">
        <v>1160</v>
      </c>
      <c r="E847" s="9" t="s">
        <v>1179</v>
      </c>
      <c r="F847" s="19" t="str">
        <f t="shared" si="1"/>
        <v>Megaserve Rohit</v>
      </c>
      <c r="M847" s="91"/>
    </row>
    <row r="848">
      <c r="A848" s="227" t="s">
        <v>2832</v>
      </c>
      <c r="B848" s="228" t="s">
        <v>2833</v>
      </c>
      <c r="C848" s="227" t="s">
        <v>2423</v>
      </c>
      <c r="D848" s="9" t="s">
        <v>1160</v>
      </c>
      <c r="E848" s="9" t="s">
        <v>1179</v>
      </c>
      <c r="F848" s="19" t="str">
        <f t="shared" si="1"/>
        <v>Megaserve Rohit</v>
      </c>
      <c r="M848" s="91"/>
    </row>
    <row r="849">
      <c r="A849" s="227" t="s">
        <v>2835</v>
      </c>
      <c r="B849" s="228" t="s">
        <v>2836</v>
      </c>
      <c r="C849" s="227" t="s">
        <v>2837</v>
      </c>
      <c r="D849" s="9" t="s">
        <v>1160</v>
      </c>
      <c r="E849" s="9" t="s">
        <v>1179</v>
      </c>
      <c r="F849" s="19" t="str">
        <f t="shared" si="1"/>
        <v>Megaserve Rohit</v>
      </c>
      <c r="M849" s="91"/>
    </row>
    <row r="850">
      <c r="A850" s="227" t="s">
        <v>241</v>
      </c>
      <c r="B850" s="228" t="s">
        <v>2838</v>
      </c>
      <c r="C850" s="227" t="s">
        <v>2837</v>
      </c>
      <c r="D850" s="9" t="s">
        <v>1160</v>
      </c>
      <c r="E850" s="9" t="s">
        <v>1179</v>
      </c>
      <c r="F850" s="19" t="str">
        <f t="shared" si="1"/>
        <v>Megaserve Rohit</v>
      </c>
      <c r="M850" s="91"/>
    </row>
    <row r="851">
      <c r="A851" s="227" t="s">
        <v>2839</v>
      </c>
      <c r="B851" s="228" t="s">
        <v>2840</v>
      </c>
      <c r="C851" s="227" t="s">
        <v>716</v>
      </c>
      <c r="D851" s="9" t="s">
        <v>1160</v>
      </c>
      <c r="E851" s="9" t="s">
        <v>1184</v>
      </c>
      <c r="F851" s="19" t="str">
        <f t="shared" si="1"/>
        <v>Megaserve Parmmeshvar</v>
      </c>
      <c r="M851" s="91"/>
    </row>
    <row r="852">
      <c r="A852" s="227" t="s">
        <v>892</v>
      </c>
      <c r="B852" s="228" t="s">
        <v>2841</v>
      </c>
      <c r="C852" s="227" t="s">
        <v>2837</v>
      </c>
      <c r="D852" s="9" t="s">
        <v>1160</v>
      </c>
      <c r="E852" s="9" t="s">
        <v>1179</v>
      </c>
      <c r="F852" s="19" t="str">
        <f t="shared" si="1"/>
        <v>Megaserve Rohit</v>
      </c>
      <c r="M852" s="91"/>
    </row>
    <row r="853">
      <c r="A853" s="227" t="s">
        <v>2842</v>
      </c>
      <c r="B853" s="228" t="s">
        <v>2843</v>
      </c>
      <c r="C853" s="227" t="s">
        <v>2837</v>
      </c>
      <c r="D853" s="9" t="s">
        <v>1160</v>
      </c>
      <c r="E853" s="9" t="s">
        <v>1179</v>
      </c>
      <c r="F853" s="19" t="str">
        <f t="shared" si="1"/>
        <v>Megaserve Rohit</v>
      </c>
      <c r="M853" s="91"/>
    </row>
    <row r="854">
      <c r="A854" s="227" t="s">
        <v>2844</v>
      </c>
      <c r="B854" s="228" t="s">
        <v>2845</v>
      </c>
      <c r="C854" s="227" t="s">
        <v>2837</v>
      </c>
      <c r="D854" s="9" t="s">
        <v>1160</v>
      </c>
      <c r="E854" s="9" t="s">
        <v>1179</v>
      </c>
      <c r="F854" s="19" t="str">
        <f t="shared" si="1"/>
        <v>Megaserve Rohit</v>
      </c>
      <c r="M854" s="91"/>
    </row>
    <row r="855">
      <c r="A855" s="227" t="s">
        <v>229</v>
      </c>
      <c r="B855" s="228" t="s">
        <v>2846</v>
      </c>
      <c r="C855" s="227" t="s">
        <v>311</v>
      </c>
      <c r="D855" s="9" t="s">
        <v>1160</v>
      </c>
      <c r="E855" s="9" t="s">
        <v>1179</v>
      </c>
      <c r="F855" s="19" t="str">
        <f t="shared" si="1"/>
        <v>Megaserve Rohit</v>
      </c>
      <c r="M855" s="91"/>
    </row>
    <row r="856">
      <c r="A856" s="227" t="s">
        <v>2847</v>
      </c>
      <c r="B856" s="228" t="s">
        <v>2848</v>
      </c>
      <c r="C856" s="227" t="s">
        <v>886</v>
      </c>
      <c r="D856" s="9" t="s">
        <v>1160</v>
      </c>
      <c r="E856" s="9" t="s">
        <v>1184</v>
      </c>
      <c r="F856" s="19" t="str">
        <f t="shared" si="1"/>
        <v>Megaserve Parmmeshvar</v>
      </c>
      <c r="M856" s="91"/>
    </row>
    <row r="857">
      <c r="A857" s="227" t="s">
        <v>151</v>
      </c>
      <c r="B857" s="228" t="s">
        <v>1021</v>
      </c>
      <c r="C857" s="227" t="s">
        <v>886</v>
      </c>
      <c r="D857" s="9" t="s">
        <v>1160</v>
      </c>
      <c r="E857" s="9" t="s">
        <v>1184</v>
      </c>
      <c r="F857" s="19" t="str">
        <f t="shared" si="1"/>
        <v>Megaserve Parmmeshvar</v>
      </c>
      <c r="M857" s="91"/>
    </row>
    <row r="858">
      <c r="A858" s="227" t="s">
        <v>157</v>
      </c>
      <c r="B858" s="228" t="s">
        <v>2850</v>
      </c>
      <c r="C858" s="227" t="s">
        <v>232</v>
      </c>
      <c r="D858" s="9" t="s">
        <v>1160</v>
      </c>
      <c r="E858" s="9" t="s">
        <v>1179</v>
      </c>
      <c r="F858" s="19" t="str">
        <f t="shared" si="1"/>
        <v>Megaserve Rohit</v>
      </c>
      <c r="M858" s="91"/>
    </row>
    <row r="859">
      <c r="A859" s="227" t="s">
        <v>133</v>
      </c>
      <c r="B859" s="228" t="s">
        <v>2852</v>
      </c>
      <c r="C859" s="227" t="s">
        <v>311</v>
      </c>
      <c r="D859" s="9" t="s">
        <v>1160</v>
      </c>
      <c r="E859" s="9" t="s">
        <v>1176</v>
      </c>
      <c r="F859" s="19" t="str">
        <f t="shared" si="1"/>
        <v>Megaserve Plantitude</v>
      </c>
      <c r="M859" s="91"/>
    </row>
    <row r="860">
      <c r="A860" s="227" t="s">
        <v>2853</v>
      </c>
      <c r="B860" s="22" t="str">
        <f>VLOOKUP(A860,Main!A:B,2,0)</f>
        <v>A7_JAINAM_NEW2_FIX_1CR_INT</v>
      </c>
      <c r="C860" s="234" t="s">
        <v>973</v>
      </c>
      <c r="D860" s="9" t="s">
        <v>1160</v>
      </c>
      <c r="E860" s="9" t="s">
        <v>1179</v>
      </c>
      <c r="F860" s="19" t="str">
        <f t="shared" si="1"/>
        <v>Megaserve Rohit</v>
      </c>
      <c r="M860" s="91"/>
    </row>
    <row r="861">
      <c r="A861" s="239" t="s">
        <v>2855</v>
      </c>
      <c r="B861" s="240" t="s">
        <v>2856</v>
      </c>
      <c r="C861" s="240" t="s">
        <v>646</v>
      </c>
      <c r="D861" s="241" t="s">
        <v>1160</v>
      </c>
      <c r="E861" s="241" t="s">
        <v>1179</v>
      </c>
      <c r="F861" s="19" t="str">
        <f t="shared" si="1"/>
        <v>Megaserve Rohit</v>
      </c>
      <c r="M861" s="91"/>
    </row>
    <row r="862">
      <c r="A862" s="239" t="s">
        <v>1053</v>
      </c>
      <c r="B862" s="22" t="str">
        <f>VLOOKUP(A862,Main!A:B,2,0)</f>
        <v>MSR_A1_ZETADMA_INT_EXC</v>
      </c>
      <c r="C862" s="240" t="s">
        <v>2559</v>
      </c>
      <c r="D862" s="241" t="s">
        <v>1160</v>
      </c>
      <c r="E862" s="241" t="s">
        <v>1179</v>
      </c>
      <c r="F862" s="19" t="str">
        <f t="shared" si="1"/>
        <v>Megaserve Rohit</v>
      </c>
      <c r="M862" s="91"/>
    </row>
    <row r="863">
      <c r="A863" s="227" t="s">
        <v>1023</v>
      </c>
      <c r="B863" s="228" t="s">
        <v>2857</v>
      </c>
      <c r="C863" s="227" t="s">
        <v>2496</v>
      </c>
      <c r="D863" s="241" t="s">
        <v>1160</v>
      </c>
      <c r="E863" s="241" t="s">
        <v>1179</v>
      </c>
      <c r="F863" s="19" t="str">
        <f t="shared" si="1"/>
        <v>Megaserve Rohit</v>
      </c>
      <c r="M863" s="91"/>
    </row>
    <row r="864">
      <c r="A864" s="227" t="s">
        <v>2860</v>
      </c>
      <c r="B864" s="228" t="s">
        <v>2862</v>
      </c>
      <c r="C864" s="227" t="s">
        <v>311</v>
      </c>
      <c r="D864" s="9" t="s">
        <v>1160</v>
      </c>
      <c r="E864" s="9" t="s">
        <v>1172</v>
      </c>
      <c r="F864" s="19" t="str">
        <f t="shared" si="1"/>
        <v>Megaserve Nandkishore</v>
      </c>
      <c r="M864" s="91"/>
    </row>
    <row r="865">
      <c r="A865" s="227" t="s">
        <v>996</v>
      </c>
      <c r="B865" s="228" t="s">
        <v>2863</v>
      </c>
      <c r="C865" s="227" t="s">
        <v>716</v>
      </c>
      <c r="D865" s="9" t="s">
        <v>1160</v>
      </c>
      <c r="E865" s="9" t="s">
        <v>1184</v>
      </c>
      <c r="F865" s="19" t="str">
        <f t="shared" si="1"/>
        <v>Megaserve Parmmeshvar</v>
      </c>
      <c r="M865" s="91"/>
    </row>
    <row r="866">
      <c r="A866" s="227" t="s">
        <v>998</v>
      </c>
      <c r="B866" s="228" t="s">
        <v>999</v>
      </c>
      <c r="C866" s="227" t="s">
        <v>716</v>
      </c>
      <c r="D866" s="9" t="s">
        <v>1160</v>
      </c>
      <c r="E866" s="9" t="s">
        <v>1184</v>
      </c>
      <c r="F866" s="19" t="str">
        <f t="shared" si="1"/>
        <v>Megaserve Parmmeshvar</v>
      </c>
      <c r="M866" s="91"/>
    </row>
    <row r="867">
      <c r="A867" s="227" t="s">
        <v>1000</v>
      </c>
      <c r="B867" s="228" t="s">
        <v>2866</v>
      </c>
      <c r="C867" s="227" t="s">
        <v>716</v>
      </c>
      <c r="D867" s="9" t="s">
        <v>1160</v>
      </c>
      <c r="E867" s="9" t="s">
        <v>1184</v>
      </c>
      <c r="F867" s="19" t="str">
        <f t="shared" si="1"/>
        <v>Megaserve Parmmeshvar</v>
      </c>
      <c r="M867" s="91"/>
    </row>
    <row r="868">
      <c r="A868" s="227" t="s">
        <v>207</v>
      </c>
      <c r="B868" s="228" t="s">
        <v>2868</v>
      </c>
      <c r="C868" s="227" t="s">
        <v>85</v>
      </c>
      <c r="D868" s="9" t="s">
        <v>1152</v>
      </c>
      <c r="E868" s="28" t="s">
        <v>1190</v>
      </c>
      <c r="F868" s="19" t="str">
        <f t="shared" si="1"/>
        <v>Personal VT</v>
      </c>
      <c r="M868" s="91"/>
    </row>
    <row r="869">
      <c r="A869" s="227" t="s">
        <v>2869</v>
      </c>
      <c r="B869" s="228" t="s">
        <v>2871</v>
      </c>
      <c r="C869" s="227" t="s">
        <v>232</v>
      </c>
      <c r="D869" s="241" t="s">
        <v>1160</v>
      </c>
      <c r="E869" s="241" t="s">
        <v>1179</v>
      </c>
      <c r="F869" s="19" t="str">
        <f t="shared" si="1"/>
        <v>Megaserve Rohit</v>
      </c>
      <c r="M869" s="91"/>
    </row>
    <row r="870">
      <c r="A870" s="227" t="s">
        <v>2873</v>
      </c>
      <c r="B870" s="228" t="s">
        <v>2874</v>
      </c>
      <c r="C870" s="227" t="s">
        <v>311</v>
      </c>
      <c r="D870" s="241" t="s">
        <v>1160</v>
      </c>
      <c r="E870" s="241" t="s">
        <v>1176</v>
      </c>
      <c r="F870" s="19" t="str">
        <f t="shared" si="1"/>
        <v>Megaserve Plantitude</v>
      </c>
      <c r="M870" s="91"/>
    </row>
    <row r="871">
      <c r="A871" s="227" t="s">
        <v>2875</v>
      </c>
      <c r="B871" s="228" t="s">
        <v>2876</v>
      </c>
      <c r="C871" s="227" t="s">
        <v>311</v>
      </c>
      <c r="D871" s="241" t="s">
        <v>1160</v>
      </c>
      <c r="E871" s="241" t="s">
        <v>1179</v>
      </c>
      <c r="F871" s="19" t="str">
        <f t="shared" si="1"/>
        <v>Megaserve Rohit</v>
      </c>
      <c r="M871" s="91"/>
    </row>
    <row r="872">
      <c r="A872" s="227" t="s">
        <v>2880</v>
      </c>
      <c r="B872" s="228" t="s">
        <v>2881</v>
      </c>
      <c r="C872" s="227" t="s">
        <v>311</v>
      </c>
      <c r="D872" s="241" t="s">
        <v>1160</v>
      </c>
      <c r="E872" s="241" t="s">
        <v>1176</v>
      </c>
      <c r="F872" s="19" t="str">
        <f t="shared" si="1"/>
        <v>Megaserve Plantitude</v>
      </c>
      <c r="M872" s="91"/>
    </row>
    <row r="873">
      <c r="A873" s="227" t="s">
        <v>2882</v>
      </c>
      <c r="B873" s="228" t="s">
        <v>2883</v>
      </c>
      <c r="C873" s="227" t="s">
        <v>2884</v>
      </c>
      <c r="D873" s="9" t="s">
        <v>1160</v>
      </c>
      <c r="E873" s="9" t="s">
        <v>1184</v>
      </c>
      <c r="F873" s="19" t="str">
        <f t="shared" si="1"/>
        <v>Megaserve Parmmeshvar</v>
      </c>
      <c r="M873" s="91"/>
    </row>
    <row r="874">
      <c r="A874" s="227" t="s">
        <v>2885</v>
      </c>
      <c r="B874" s="22" t="str">
        <f>VLOOKUP(A874,Main!A:B,2,0)</f>
        <v>MSR_A19_SHREESHYAM_EXC</v>
      </c>
      <c r="C874" s="227" t="s">
        <v>2496</v>
      </c>
      <c r="D874" s="241" t="s">
        <v>1160</v>
      </c>
      <c r="E874" s="241" t="s">
        <v>1179</v>
      </c>
      <c r="F874" s="19" t="str">
        <f t="shared" si="1"/>
        <v>Megaserve Rohit</v>
      </c>
      <c r="M874" s="91"/>
    </row>
    <row r="875">
      <c r="A875" s="227" t="s">
        <v>2887</v>
      </c>
      <c r="B875" s="22" t="str">
        <f>VLOOKUP(A875,Main!A:B,2,0)</f>
        <v>MSR_A19_ZETADMA_EXC</v>
      </c>
      <c r="C875" s="227" t="s">
        <v>2496</v>
      </c>
      <c r="D875" s="241" t="s">
        <v>1160</v>
      </c>
      <c r="E875" s="241" t="s">
        <v>1179</v>
      </c>
      <c r="F875" s="19" t="str">
        <f t="shared" si="1"/>
        <v>Megaserve Rohit</v>
      </c>
      <c r="M875" s="91"/>
    </row>
    <row r="876">
      <c r="A876" s="227" t="s">
        <v>2889</v>
      </c>
      <c r="B876" s="228" t="s">
        <v>2890</v>
      </c>
      <c r="C876" s="227" t="s">
        <v>886</v>
      </c>
      <c r="D876" s="9" t="s">
        <v>1160</v>
      </c>
      <c r="E876" s="9" t="s">
        <v>1184</v>
      </c>
      <c r="F876" s="19" t="str">
        <f t="shared" si="1"/>
        <v>Megaserve Parmmeshvar</v>
      </c>
      <c r="M876" s="91"/>
    </row>
    <row r="877">
      <c r="A877" s="227" t="s">
        <v>1064</v>
      </c>
      <c r="B877" s="228" t="s">
        <v>1065</v>
      </c>
      <c r="C877" s="227" t="s">
        <v>2496</v>
      </c>
      <c r="D877" s="241" t="s">
        <v>1160</v>
      </c>
      <c r="E877" s="241" t="s">
        <v>1179</v>
      </c>
      <c r="F877" s="19" t="str">
        <f t="shared" si="1"/>
        <v>Megaserve Rohit</v>
      </c>
      <c r="M877" s="91"/>
    </row>
    <row r="878">
      <c r="A878" s="227" t="s">
        <v>1069</v>
      </c>
      <c r="B878" s="227" t="s">
        <v>1070</v>
      </c>
      <c r="C878" s="227" t="s">
        <v>2496</v>
      </c>
      <c r="D878" s="241" t="s">
        <v>1160</v>
      </c>
      <c r="E878" s="241" t="s">
        <v>1179</v>
      </c>
      <c r="F878" s="19" t="str">
        <f t="shared" si="1"/>
        <v>Megaserve Rohit</v>
      </c>
      <c r="M878" s="91"/>
    </row>
    <row r="879">
      <c r="A879" s="227" t="s">
        <v>1071</v>
      </c>
      <c r="B879" s="227" t="s">
        <v>1072</v>
      </c>
      <c r="C879" s="227" t="s">
        <v>2496</v>
      </c>
      <c r="D879" s="241" t="s">
        <v>1160</v>
      </c>
      <c r="E879" s="241" t="s">
        <v>1179</v>
      </c>
      <c r="F879" s="19" t="str">
        <f t="shared" si="1"/>
        <v>Megaserve Rohit</v>
      </c>
      <c r="M879" s="91"/>
    </row>
    <row r="880">
      <c r="A880" s="227" t="s">
        <v>1073</v>
      </c>
      <c r="B880" s="228" t="s">
        <v>2893</v>
      </c>
      <c r="C880" s="227" t="s">
        <v>973</v>
      </c>
      <c r="D880" s="241" t="s">
        <v>1160</v>
      </c>
      <c r="E880" s="241" t="s">
        <v>1179</v>
      </c>
      <c r="F880" s="19" t="str">
        <f t="shared" si="1"/>
        <v>Megaserve Rohit</v>
      </c>
      <c r="M880" s="91"/>
    </row>
    <row r="881">
      <c r="A881" s="227" t="s">
        <v>2894</v>
      </c>
      <c r="B881" s="228" t="s">
        <v>2895</v>
      </c>
      <c r="C881" s="227" t="s">
        <v>886</v>
      </c>
      <c r="D881" s="9" t="s">
        <v>1160</v>
      </c>
      <c r="E881" s="9" t="s">
        <v>1184</v>
      </c>
      <c r="F881" s="19" t="str">
        <f t="shared" si="1"/>
        <v>Megaserve Parmmeshvar</v>
      </c>
      <c r="M881" s="91"/>
    </row>
    <row r="882">
      <c r="A882" s="227" t="s">
        <v>2900</v>
      </c>
      <c r="B882" s="228" t="s">
        <v>2901</v>
      </c>
      <c r="C882" s="227" t="s">
        <v>2902</v>
      </c>
      <c r="D882" s="9" t="s">
        <v>1160</v>
      </c>
      <c r="E882" s="9" t="s">
        <v>1184</v>
      </c>
      <c r="F882" s="19" t="str">
        <f t="shared" si="1"/>
        <v>Megaserve Parmmeshvar</v>
      </c>
      <c r="M882" s="91"/>
    </row>
    <row r="883">
      <c r="A883" s="227" t="s">
        <v>2903</v>
      </c>
      <c r="B883" s="228" t="s">
        <v>2904</v>
      </c>
      <c r="C883" s="227" t="s">
        <v>311</v>
      </c>
      <c r="D883" s="241" t="s">
        <v>1160</v>
      </c>
      <c r="E883" s="241" t="s">
        <v>1179</v>
      </c>
      <c r="F883" s="19" t="str">
        <f t="shared" si="1"/>
        <v>Megaserve Rohit</v>
      </c>
      <c r="M883" s="91"/>
    </row>
    <row r="884">
      <c r="A884" s="227" t="s">
        <v>2905</v>
      </c>
      <c r="B884" s="228" t="s">
        <v>2906</v>
      </c>
      <c r="C884" s="227" t="s">
        <v>716</v>
      </c>
      <c r="D884" s="9" t="s">
        <v>1160</v>
      </c>
      <c r="E884" s="9" t="s">
        <v>1184</v>
      </c>
      <c r="F884" s="19" t="str">
        <f t="shared" si="1"/>
        <v>Megaserve Parmmeshvar</v>
      </c>
      <c r="M884" s="91"/>
    </row>
    <row r="885">
      <c r="A885" s="227" t="s">
        <v>1030</v>
      </c>
      <c r="B885" s="22" t="str">
        <f>VLOOKUP(A885,Main!A:B,2,0)</f>
        <v>MSR_A15_ZETADMA_EXC</v>
      </c>
      <c r="C885" s="227" t="s">
        <v>2496</v>
      </c>
      <c r="D885" s="241" t="s">
        <v>1160</v>
      </c>
      <c r="E885" s="241" t="s">
        <v>1179</v>
      </c>
      <c r="F885" s="19" t="str">
        <f t="shared" si="1"/>
        <v>Megaserve Rohit</v>
      </c>
      <c r="M885" s="91"/>
    </row>
    <row r="886">
      <c r="A886" s="227" t="s">
        <v>770</v>
      </c>
      <c r="B886" s="228" t="s">
        <v>2907</v>
      </c>
      <c r="C886" s="227" t="s">
        <v>2496</v>
      </c>
      <c r="D886" s="241" t="s">
        <v>1160</v>
      </c>
      <c r="E886" s="241" t="s">
        <v>1179</v>
      </c>
      <c r="F886" s="19" t="str">
        <f t="shared" si="1"/>
        <v>Megaserve Rohit</v>
      </c>
      <c r="M886" s="91"/>
    </row>
    <row r="887">
      <c r="A887" s="227" t="s">
        <v>763</v>
      </c>
      <c r="B887" s="227" t="s">
        <v>2908</v>
      </c>
      <c r="C887" s="227" t="s">
        <v>2496</v>
      </c>
      <c r="D887" s="241" t="s">
        <v>1160</v>
      </c>
      <c r="E887" s="241" t="s">
        <v>1179</v>
      </c>
      <c r="F887" s="19" t="str">
        <f t="shared" si="1"/>
        <v>Megaserve Rohit</v>
      </c>
      <c r="M887" s="91"/>
    </row>
    <row r="888">
      <c r="A888" s="227" t="s">
        <v>774</v>
      </c>
      <c r="B888" s="228" t="s">
        <v>2911</v>
      </c>
      <c r="C888" s="227" t="s">
        <v>2884</v>
      </c>
      <c r="D888" s="9" t="s">
        <v>1160</v>
      </c>
      <c r="E888" s="9" t="s">
        <v>1184</v>
      </c>
      <c r="F888" s="19" t="str">
        <f t="shared" si="1"/>
        <v>Megaserve Parmmeshvar</v>
      </c>
      <c r="M888" s="91"/>
    </row>
    <row r="889">
      <c r="A889" s="227" t="s">
        <v>2915</v>
      </c>
      <c r="B889" s="228" t="s">
        <v>2916</v>
      </c>
      <c r="C889" s="227" t="s">
        <v>311</v>
      </c>
      <c r="D889" s="9" t="s">
        <v>1160</v>
      </c>
      <c r="E889" s="9" t="s">
        <v>1176</v>
      </c>
      <c r="F889" s="19" t="str">
        <f t="shared" si="1"/>
        <v>Megaserve Plantitude</v>
      </c>
      <c r="M889" s="91"/>
    </row>
    <row r="890">
      <c r="A890" s="227" t="s">
        <v>778</v>
      </c>
      <c r="B890" s="22" t="str">
        <f>VLOOKUP(A890,Main!A:B,2,0)</f>
        <v>MSR_A8_RGJPR</v>
      </c>
      <c r="C890" s="227" t="s">
        <v>1014</v>
      </c>
      <c r="D890" s="241" t="s">
        <v>1160</v>
      </c>
      <c r="E890" s="241" t="s">
        <v>1179</v>
      </c>
      <c r="F890" s="19" t="str">
        <f t="shared" si="1"/>
        <v>Megaserve Rohit</v>
      </c>
      <c r="M890" s="91"/>
    </row>
    <row r="891">
      <c r="A891" s="227" t="s">
        <v>2918</v>
      </c>
      <c r="B891" s="228" t="s">
        <v>2920</v>
      </c>
      <c r="C891" s="227" t="s">
        <v>716</v>
      </c>
      <c r="D891" s="9" t="s">
        <v>1160</v>
      </c>
      <c r="E891" s="9" t="s">
        <v>1184</v>
      </c>
      <c r="F891" s="19" t="str">
        <f t="shared" si="1"/>
        <v>Megaserve Parmmeshvar</v>
      </c>
      <c r="M891" s="91"/>
    </row>
    <row r="892">
      <c r="A892" s="233" t="s">
        <v>2921</v>
      </c>
      <c r="B892" s="228" t="s">
        <v>2922</v>
      </c>
      <c r="C892" s="227" t="s">
        <v>716</v>
      </c>
      <c r="D892" s="9" t="s">
        <v>1160</v>
      </c>
      <c r="E892" s="9" t="s">
        <v>1184</v>
      </c>
      <c r="F892" s="19" t="str">
        <f t="shared" si="1"/>
        <v>Megaserve Parmmeshvar</v>
      </c>
      <c r="M892" s="91"/>
    </row>
    <row r="893">
      <c r="A893" s="227" t="s">
        <v>2924</v>
      </c>
      <c r="B893" s="228" t="s">
        <v>180</v>
      </c>
      <c r="C893" s="227" t="s">
        <v>311</v>
      </c>
      <c r="D893" s="241" t="s">
        <v>1160</v>
      </c>
      <c r="E893" s="241" t="s">
        <v>1179</v>
      </c>
      <c r="F893" s="19" t="str">
        <f t="shared" si="1"/>
        <v>Megaserve Rohit</v>
      </c>
      <c r="M893" s="91"/>
    </row>
    <row r="894">
      <c r="A894" s="227" t="s">
        <v>242</v>
      </c>
      <c r="B894" s="22" t="str">
        <f>VLOOKUP(A894,Main!A:B,2,0)</f>
        <v>MSR_A7_RGJPR_INT</v>
      </c>
      <c r="C894" s="227" t="s">
        <v>1014</v>
      </c>
      <c r="D894" s="241" t="s">
        <v>1160</v>
      </c>
      <c r="E894" s="241" t="s">
        <v>1179</v>
      </c>
      <c r="F894" s="19" t="str">
        <f t="shared" si="1"/>
        <v>Megaserve Rohit</v>
      </c>
      <c r="M894" s="91"/>
    </row>
    <row r="895">
      <c r="A895" s="227" t="s">
        <v>2926</v>
      </c>
      <c r="B895" s="228" t="s">
        <v>2928</v>
      </c>
      <c r="C895" s="227" t="s">
        <v>716</v>
      </c>
      <c r="D895" s="9" t="s">
        <v>1160</v>
      </c>
      <c r="E895" s="9" t="s">
        <v>1172</v>
      </c>
      <c r="F895" s="19" t="str">
        <f t="shared" si="1"/>
        <v>Megaserve Nandkishore</v>
      </c>
      <c r="M895" s="91"/>
    </row>
    <row r="896">
      <c r="A896" s="227" t="s">
        <v>898</v>
      </c>
      <c r="B896" s="228" t="s">
        <v>2929</v>
      </c>
      <c r="C896" s="227" t="s">
        <v>875</v>
      </c>
      <c r="D896" s="9" t="s">
        <v>1160</v>
      </c>
      <c r="E896" s="9" t="s">
        <v>1161</v>
      </c>
      <c r="F896" s="19" t="str">
        <f t="shared" si="1"/>
        <v>Megaserve Jainam</v>
      </c>
      <c r="M896" s="91"/>
    </row>
    <row r="897">
      <c r="A897" s="227" t="s">
        <v>909</v>
      </c>
      <c r="B897" s="228" t="s">
        <v>2930</v>
      </c>
      <c r="C897" s="227" t="s">
        <v>875</v>
      </c>
      <c r="D897" s="9" t="s">
        <v>1160</v>
      </c>
      <c r="E897" s="9" t="s">
        <v>1161</v>
      </c>
      <c r="F897" s="19" t="str">
        <f t="shared" si="1"/>
        <v>Megaserve Jainam</v>
      </c>
      <c r="M897" s="91"/>
    </row>
    <row r="898">
      <c r="A898" s="227" t="s">
        <v>2932</v>
      </c>
      <c r="B898" s="228" t="s">
        <v>2933</v>
      </c>
      <c r="C898" s="227" t="s">
        <v>716</v>
      </c>
      <c r="D898" s="9" t="s">
        <v>1160</v>
      </c>
      <c r="E898" s="9" t="s">
        <v>1184</v>
      </c>
      <c r="F898" s="19" t="str">
        <f t="shared" si="1"/>
        <v>Megaserve Parmmeshvar</v>
      </c>
      <c r="M898" s="91"/>
    </row>
    <row r="899">
      <c r="A899" s="227" t="s">
        <v>1168</v>
      </c>
      <c r="B899" s="228" t="s">
        <v>1169</v>
      </c>
      <c r="C899" s="227" t="s">
        <v>232</v>
      </c>
      <c r="D899" s="241" t="s">
        <v>1160</v>
      </c>
      <c r="E899" s="241" t="s">
        <v>1160</v>
      </c>
      <c r="F899" s="19" t="str">
        <f t="shared" si="1"/>
        <v>Megaserve Dealer</v>
      </c>
      <c r="M899" s="91"/>
    </row>
    <row r="900">
      <c r="A900" s="227" t="s">
        <v>945</v>
      </c>
      <c r="B900" s="228" t="s">
        <v>946</v>
      </c>
      <c r="C900" s="227" t="s">
        <v>2934</v>
      </c>
      <c r="D900" s="241" t="s">
        <v>1160</v>
      </c>
      <c r="E900" s="241" t="s">
        <v>1179</v>
      </c>
      <c r="F900" s="19" t="str">
        <f t="shared" si="1"/>
        <v>Megaserve Rohit</v>
      </c>
      <c r="M900" s="91"/>
    </row>
    <row r="901">
      <c r="A901" s="227" t="s">
        <v>2935</v>
      </c>
      <c r="B901" s="228" t="s">
        <v>2936</v>
      </c>
      <c r="C901" s="228" t="s">
        <v>886</v>
      </c>
      <c r="D901" s="9" t="s">
        <v>1160</v>
      </c>
      <c r="E901" s="9" t="s">
        <v>1184</v>
      </c>
      <c r="F901" s="19" t="str">
        <f t="shared" si="1"/>
        <v>Megaserve Parmmeshvar</v>
      </c>
      <c r="M901" s="91"/>
    </row>
    <row r="902">
      <c r="A902" s="227" t="s">
        <v>2937</v>
      </c>
      <c r="B902" s="228" t="s">
        <v>2938</v>
      </c>
      <c r="C902" s="228" t="s">
        <v>886</v>
      </c>
      <c r="D902" s="9" t="s">
        <v>1160</v>
      </c>
      <c r="E902" s="9" t="s">
        <v>1184</v>
      </c>
      <c r="F902" s="19" t="str">
        <f t="shared" si="1"/>
        <v>Megaserve Parmmeshvar</v>
      </c>
      <c r="M902" s="91"/>
    </row>
    <row r="903">
      <c r="A903" s="227" t="s">
        <v>2940</v>
      </c>
      <c r="B903" s="228" t="s">
        <v>2941</v>
      </c>
      <c r="C903" s="228" t="s">
        <v>886</v>
      </c>
      <c r="D903" s="9" t="s">
        <v>1160</v>
      </c>
      <c r="E903" s="9" t="s">
        <v>1184</v>
      </c>
      <c r="F903" s="19" t="str">
        <f t="shared" si="1"/>
        <v>Megaserve Parmmeshvar</v>
      </c>
      <c r="M903" s="91"/>
    </row>
    <row r="904">
      <c r="A904" s="242" t="s">
        <v>2727</v>
      </c>
      <c r="B904" s="228" t="s">
        <v>2728</v>
      </c>
      <c r="C904" s="227" t="s">
        <v>311</v>
      </c>
      <c r="D904" s="9" t="s">
        <v>1152</v>
      </c>
      <c r="E904" s="9" t="s">
        <v>1162</v>
      </c>
      <c r="F904" s="19" t="str">
        <f t="shared" si="1"/>
        <v>Capital Compound Vivek</v>
      </c>
      <c r="M904" s="91"/>
    </row>
    <row r="905">
      <c r="A905" s="227" t="s">
        <v>191</v>
      </c>
      <c r="B905" s="228" t="s">
        <v>192</v>
      </c>
      <c r="C905" s="227" t="s">
        <v>232</v>
      </c>
      <c r="D905" s="9" t="s">
        <v>1152</v>
      </c>
      <c r="E905" s="9" t="s">
        <v>1162</v>
      </c>
      <c r="F905" s="19" t="str">
        <f t="shared" si="1"/>
        <v>Capital Compound Vivek</v>
      </c>
      <c r="M905" s="91"/>
    </row>
    <row r="906">
      <c r="A906" s="227" t="s">
        <v>2944</v>
      </c>
      <c r="B906" s="228" t="s">
        <v>2945</v>
      </c>
      <c r="C906" s="228" t="s">
        <v>886</v>
      </c>
      <c r="D906" s="9" t="s">
        <v>1160</v>
      </c>
      <c r="E906" s="9" t="s">
        <v>1184</v>
      </c>
      <c r="F906" s="19" t="str">
        <f t="shared" si="1"/>
        <v>Megaserve Parmmeshvar</v>
      </c>
      <c r="M906" s="91"/>
    </row>
    <row r="907">
      <c r="A907" s="227" t="s">
        <v>2946</v>
      </c>
      <c r="B907" s="227" t="s">
        <v>2947</v>
      </c>
      <c r="C907" s="227" t="s">
        <v>311</v>
      </c>
      <c r="D907" s="9" t="s">
        <v>1160</v>
      </c>
      <c r="E907" s="9" t="s">
        <v>1176</v>
      </c>
      <c r="F907" s="19" t="str">
        <f t="shared" si="1"/>
        <v>Megaserve Plantitude</v>
      </c>
      <c r="M907" s="91"/>
    </row>
    <row r="908">
      <c r="A908" s="227" t="s">
        <v>2948</v>
      </c>
      <c r="B908" s="228" t="s">
        <v>2949</v>
      </c>
      <c r="C908" s="227" t="s">
        <v>311</v>
      </c>
      <c r="D908" s="9" t="s">
        <v>1160</v>
      </c>
      <c r="E908" s="9" t="s">
        <v>1179</v>
      </c>
      <c r="F908" s="19" t="str">
        <f t="shared" si="1"/>
        <v>Megaserve Rohit</v>
      </c>
      <c r="M908" s="91"/>
    </row>
    <row r="909">
      <c r="A909" s="227" t="s">
        <v>2950</v>
      </c>
      <c r="B909" s="228" t="s">
        <v>2951</v>
      </c>
      <c r="C909" s="227" t="s">
        <v>311</v>
      </c>
      <c r="D909" s="9" t="s">
        <v>1160</v>
      </c>
      <c r="E909" s="9" t="s">
        <v>1179</v>
      </c>
      <c r="F909" s="19" t="str">
        <f t="shared" si="1"/>
        <v>Megaserve Rohit</v>
      </c>
      <c r="M909" s="91"/>
    </row>
    <row r="910">
      <c r="A910" s="21" t="s">
        <v>2104</v>
      </c>
      <c r="B910" s="232" t="s">
        <v>2105</v>
      </c>
      <c r="C910" s="150" t="s">
        <v>311</v>
      </c>
      <c r="D910" s="9" t="s">
        <v>1160</v>
      </c>
      <c r="E910" s="9" t="s">
        <v>1179</v>
      </c>
      <c r="F910" s="19" t="str">
        <f t="shared" si="1"/>
        <v>Megaserve Rohit</v>
      </c>
      <c r="M910" s="91"/>
    </row>
    <row r="911">
      <c r="A911" s="21" t="s">
        <v>237</v>
      </c>
      <c r="B911" s="232" t="s">
        <v>1004</v>
      </c>
      <c r="C911" s="21" t="s">
        <v>317</v>
      </c>
      <c r="D911" s="9" t="s">
        <v>1152</v>
      </c>
      <c r="E911" s="9" t="s">
        <v>1162</v>
      </c>
      <c r="F911" s="19" t="str">
        <f t="shared" si="1"/>
        <v>Capital Compound Vivek</v>
      </c>
      <c r="M911" s="91"/>
    </row>
    <row r="912">
      <c r="A912" s="21" t="s">
        <v>2953</v>
      </c>
      <c r="B912" s="232" t="s">
        <v>2954</v>
      </c>
      <c r="C912" s="40" t="s">
        <v>886</v>
      </c>
      <c r="D912" s="9" t="s">
        <v>1160</v>
      </c>
      <c r="E912" s="9" t="s">
        <v>1184</v>
      </c>
      <c r="F912" s="19" t="str">
        <f t="shared" si="1"/>
        <v>Megaserve Parmmeshvar</v>
      </c>
      <c r="M912" s="91"/>
    </row>
    <row r="913">
      <c r="A913" s="21" t="s">
        <v>2955</v>
      </c>
      <c r="B913" s="232" t="s">
        <v>2956</v>
      </c>
      <c r="C913" s="40" t="s">
        <v>886</v>
      </c>
      <c r="D913" s="9" t="s">
        <v>1160</v>
      </c>
      <c r="E913" s="9" t="s">
        <v>1184</v>
      </c>
      <c r="F913" s="19" t="str">
        <f t="shared" si="1"/>
        <v>Megaserve Parmmeshvar</v>
      </c>
      <c r="M913" s="91"/>
    </row>
    <row r="914">
      <c r="A914" s="21" t="s">
        <v>2957</v>
      </c>
      <c r="B914" s="232" t="s">
        <v>2958</v>
      </c>
      <c r="C914" s="40" t="s">
        <v>886</v>
      </c>
      <c r="D914" s="9" t="s">
        <v>1160</v>
      </c>
      <c r="E914" s="9" t="s">
        <v>1184</v>
      </c>
      <c r="F914" s="19" t="str">
        <f t="shared" si="1"/>
        <v>Megaserve Parmmeshvar</v>
      </c>
      <c r="M914" s="91"/>
    </row>
    <row r="915">
      <c r="A915" s="21" t="s">
        <v>957</v>
      </c>
      <c r="B915" s="232" t="s">
        <v>2959</v>
      </c>
      <c r="C915" s="40" t="s">
        <v>886</v>
      </c>
      <c r="D915" s="9" t="s">
        <v>1160</v>
      </c>
      <c r="E915" s="9" t="s">
        <v>1184</v>
      </c>
      <c r="F915" s="19" t="str">
        <f t="shared" si="1"/>
        <v>Megaserve Parmmeshvar</v>
      </c>
      <c r="M915" s="91"/>
    </row>
    <row r="916">
      <c r="A916" s="21" t="s">
        <v>966</v>
      </c>
      <c r="B916" s="232" t="s">
        <v>2960</v>
      </c>
      <c r="C916" s="40" t="s">
        <v>886</v>
      </c>
      <c r="D916" s="9" t="s">
        <v>1160</v>
      </c>
      <c r="E916" s="9" t="s">
        <v>1184</v>
      </c>
      <c r="F916" s="19" t="str">
        <f t="shared" si="1"/>
        <v>Megaserve Parmmeshvar</v>
      </c>
      <c r="M916" s="91"/>
    </row>
    <row r="917">
      <c r="A917" s="21" t="s">
        <v>2964</v>
      </c>
      <c r="B917" s="232" t="s">
        <v>1034</v>
      </c>
      <c r="C917" s="21" t="s">
        <v>85</v>
      </c>
      <c r="D917" s="9" t="s">
        <v>1152</v>
      </c>
      <c r="E917" s="9" t="s">
        <v>1152</v>
      </c>
      <c r="F917" s="19" t="str">
        <f t="shared" si="1"/>
        <v>Capital Compound</v>
      </c>
      <c r="M917" s="91"/>
    </row>
    <row r="918">
      <c r="A918" s="21" t="s">
        <v>2965</v>
      </c>
      <c r="B918" s="232" t="s">
        <v>2966</v>
      </c>
      <c r="C918" s="40" t="s">
        <v>886</v>
      </c>
      <c r="D918" s="9" t="s">
        <v>1160</v>
      </c>
      <c r="E918" s="9" t="s">
        <v>1184</v>
      </c>
      <c r="F918" s="19" t="str">
        <f t="shared" si="1"/>
        <v>Megaserve Parmmeshvar</v>
      </c>
      <c r="M918" s="91"/>
    </row>
    <row r="919">
      <c r="A919" s="21" t="s">
        <v>2968</v>
      </c>
      <c r="B919" s="232" t="s">
        <v>2969</v>
      </c>
      <c r="C919" s="150" t="s">
        <v>232</v>
      </c>
      <c r="D919" s="9" t="s">
        <v>1160</v>
      </c>
      <c r="E919" s="9" t="s">
        <v>1179</v>
      </c>
      <c r="F919" s="19" t="str">
        <f t="shared" si="1"/>
        <v>Megaserve Rohit</v>
      </c>
      <c r="M919" s="91"/>
    </row>
    <row r="920">
      <c r="A920" s="227" t="s">
        <v>2970</v>
      </c>
      <c r="B920" s="228" t="s">
        <v>2728</v>
      </c>
      <c r="C920" s="227" t="s">
        <v>311</v>
      </c>
      <c r="D920" s="9" t="s">
        <v>1152</v>
      </c>
      <c r="E920" s="9" t="s">
        <v>1162</v>
      </c>
      <c r="F920" s="19" t="str">
        <f t="shared" si="1"/>
        <v>Capital Compound Vivek</v>
      </c>
      <c r="M920" s="91"/>
    </row>
    <row r="921">
      <c r="A921" s="21" t="s">
        <v>147</v>
      </c>
      <c r="B921" s="232" t="s">
        <v>148</v>
      </c>
      <c r="C921" s="21" t="s">
        <v>139</v>
      </c>
      <c r="D921" s="9" t="s">
        <v>1160</v>
      </c>
      <c r="E921" s="9" t="s">
        <v>1160</v>
      </c>
      <c r="F921" s="19" t="str">
        <f t="shared" si="1"/>
        <v>Megaserve Dealer</v>
      </c>
      <c r="M921" s="91"/>
    </row>
    <row r="922">
      <c r="A922" s="21" t="s">
        <v>158</v>
      </c>
      <c r="B922" s="232" t="s">
        <v>159</v>
      </c>
      <c r="C922" s="21" t="s">
        <v>139</v>
      </c>
      <c r="D922" s="9" t="s">
        <v>1160</v>
      </c>
      <c r="E922" s="9" t="s">
        <v>1160</v>
      </c>
      <c r="F922" s="19" t="str">
        <f t="shared" si="1"/>
        <v>Megaserve Dealer</v>
      </c>
      <c r="M922" s="91"/>
    </row>
    <row r="923">
      <c r="A923" s="21" t="s">
        <v>212</v>
      </c>
      <c r="B923" s="232" t="s">
        <v>213</v>
      </c>
      <c r="C923" s="232" t="s">
        <v>213</v>
      </c>
      <c r="D923" s="9" t="s">
        <v>1160</v>
      </c>
      <c r="E923" s="9" t="s">
        <v>1160</v>
      </c>
      <c r="F923" s="19" t="str">
        <f t="shared" si="1"/>
        <v>Megaserve Dealer</v>
      </c>
      <c r="M923" s="91"/>
    </row>
    <row r="924">
      <c r="A924" s="21" t="s">
        <v>230</v>
      </c>
      <c r="B924" s="232" t="s">
        <v>231</v>
      </c>
      <c r="C924" s="150" t="s">
        <v>232</v>
      </c>
      <c r="D924" s="9" t="s">
        <v>1160</v>
      </c>
      <c r="E924" s="9" t="s">
        <v>1160</v>
      </c>
      <c r="F924" s="19" t="str">
        <f t="shared" si="1"/>
        <v>Megaserve Dealer</v>
      </c>
      <c r="M924" s="91"/>
    </row>
    <row r="925">
      <c r="A925" s="150" t="s">
        <v>315</v>
      </c>
      <c r="B925" s="232" t="s">
        <v>316</v>
      </c>
      <c r="C925" s="21" t="s">
        <v>317</v>
      </c>
      <c r="D925" s="9" t="s">
        <v>1152</v>
      </c>
      <c r="E925" s="9" t="s">
        <v>1162</v>
      </c>
      <c r="F925" s="19" t="str">
        <f t="shared" si="1"/>
        <v>Capital Compound Vivek</v>
      </c>
      <c r="M925" s="91"/>
    </row>
    <row r="926">
      <c r="A926" s="227" t="s">
        <v>2973</v>
      </c>
      <c r="B926" s="228" t="s">
        <v>2974</v>
      </c>
      <c r="C926" s="227" t="s">
        <v>716</v>
      </c>
      <c r="D926" s="9" t="s">
        <v>1160</v>
      </c>
      <c r="E926" s="9" t="s">
        <v>1184</v>
      </c>
      <c r="F926" s="19" t="str">
        <f t="shared" si="1"/>
        <v>Megaserve Parmmeshvar</v>
      </c>
      <c r="M926" s="91"/>
    </row>
    <row r="927">
      <c r="A927" s="227" t="s">
        <v>2975</v>
      </c>
      <c r="B927" s="22" t="str">
        <f>VLOOKUP(A927,Main!A:B,2,0)</f>
        <v>MSN_RAKESHSHARMA_INT</v>
      </c>
      <c r="C927" s="227" t="s">
        <v>311</v>
      </c>
      <c r="D927" s="9" t="s">
        <v>1160</v>
      </c>
      <c r="E927" s="9" t="s">
        <v>1172</v>
      </c>
      <c r="F927" s="19" t="str">
        <f t="shared" si="1"/>
        <v>Megaserve Nandkishore</v>
      </c>
      <c r="M927" s="91"/>
    </row>
    <row r="928">
      <c r="A928" s="227" t="s">
        <v>2976</v>
      </c>
      <c r="B928" s="22" t="str">
        <f>VLOOKUP(A928,Main!A:B,2,0)</f>
        <v>MSR_NARUKA_INT</v>
      </c>
      <c r="C928" s="227" t="s">
        <v>311</v>
      </c>
      <c r="D928" s="9" t="s">
        <v>1160</v>
      </c>
      <c r="E928" s="9" t="s">
        <v>1179</v>
      </c>
      <c r="F928" s="19" t="str">
        <f t="shared" si="1"/>
        <v>Megaserve Rohit</v>
      </c>
      <c r="M928" s="91"/>
    </row>
    <row r="929">
      <c r="A929" s="227" t="s">
        <v>2978</v>
      </c>
      <c r="B929" s="228" t="s">
        <v>2979</v>
      </c>
      <c r="C929" s="227" t="s">
        <v>232</v>
      </c>
      <c r="D929" s="9" t="s">
        <v>1152</v>
      </c>
      <c r="E929" s="9" t="s">
        <v>1162</v>
      </c>
      <c r="F929" s="19" t="str">
        <f t="shared" si="1"/>
        <v>Capital Compound Vivek</v>
      </c>
      <c r="M929" s="91"/>
    </row>
    <row r="930">
      <c r="A930" s="83" t="s">
        <v>2981</v>
      </c>
      <c r="B930" s="243" t="s">
        <v>2982</v>
      </c>
      <c r="C930" s="83" t="s">
        <v>311</v>
      </c>
      <c r="D930" s="18" t="s">
        <v>1160</v>
      </c>
      <c r="E930" s="18" t="s">
        <v>1176</v>
      </c>
      <c r="F930" s="19" t="str">
        <f t="shared" si="1"/>
        <v>Megaserve Plantitude</v>
      </c>
      <c r="M930" s="91"/>
    </row>
    <row r="931">
      <c r="A931" s="25"/>
      <c r="B931" s="42"/>
      <c r="C931" s="42"/>
      <c r="D931" s="42"/>
      <c r="E931" s="42"/>
      <c r="F931" s="42"/>
      <c r="M931" s="91"/>
    </row>
    <row r="932">
      <c r="A932" s="25"/>
      <c r="B932" s="42"/>
      <c r="C932" s="42"/>
      <c r="D932" s="42"/>
      <c r="E932" s="42"/>
      <c r="F932" s="42"/>
      <c r="M932" s="91"/>
    </row>
    <row r="933">
      <c r="A933" s="25"/>
      <c r="B933" s="42"/>
      <c r="C933" s="42"/>
      <c r="D933" s="42"/>
      <c r="E933" s="42"/>
      <c r="F933" s="42"/>
      <c r="M933" s="91"/>
    </row>
    <row r="934">
      <c r="A934" s="25"/>
      <c r="B934" s="42"/>
      <c r="C934" s="42"/>
      <c r="D934" s="42"/>
      <c r="E934" s="42"/>
      <c r="F934" s="42"/>
      <c r="M934" s="91"/>
    </row>
    <row r="935">
      <c r="A935" s="25"/>
      <c r="B935" s="42"/>
      <c r="C935" s="42"/>
      <c r="D935" s="42"/>
      <c r="E935" s="42"/>
      <c r="F935" s="42"/>
      <c r="M935" s="91"/>
    </row>
    <row r="936">
      <c r="A936" s="25"/>
      <c r="B936" s="42"/>
      <c r="C936" s="42"/>
      <c r="D936" s="42"/>
      <c r="E936" s="42"/>
      <c r="F936" s="42"/>
      <c r="M936" s="91"/>
    </row>
    <row r="937">
      <c r="A937" s="25"/>
      <c r="B937" s="42"/>
      <c r="C937" s="42"/>
      <c r="D937" s="42"/>
      <c r="E937" s="42"/>
      <c r="F937" s="42"/>
      <c r="M937" s="91"/>
    </row>
    <row r="938">
      <c r="A938" s="25"/>
      <c r="B938" s="42"/>
      <c r="C938" s="42"/>
      <c r="D938" s="42"/>
      <c r="E938" s="42"/>
      <c r="F938" s="42"/>
      <c r="M938" s="91"/>
    </row>
    <row r="939">
      <c r="A939" s="25"/>
      <c r="B939" s="42"/>
      <c r="C939" s="42"/>
      <c r="D939" s="42"/>
      <c r="E939" s="42"/>
      <c r="F939" s="42"/>
      <c r="M939" s="91"/>
    </row>
    <row r="940">
      <c r="A940" s="25"/>
      <c r="B940" s="42"/>
      <c r="C940" s="42"/>
      <c r="D940" s="42"/>
      <c r="E940" s="42"/>
      <c r="F940" s="42"/>
      <c r="M940" s="91"/>
    </row>
    <row r="941">
      <c r="A941" s="25"/>
      <c r="B941" s="42"/>
      <c r="C941" s="42"/>
      <c r="D941" s="42"/>
      <c r="E941" s="42"/>
      <c r="F941" s="42"/>
      <c r="M941" s="91"/>
    </row>
    <row r="942">
      <c r="A942" s="25"/>
      <c r="B942" s="42"/>
      <c r="C942" s="42"/>
      <c r="D942" s="42"/>
      <c r="E942" s="42"/>
      <c r="F942" s="42"/>
      <c r="M942" s="91"/>
    </row>
    <row r="943">
      <c r="A943" s="25"/>
      <c r="B943" s="42"/>
      <c r="C943" s="42"/>
      <c r="D943" s="42"/>
      <c r="E943" s="42"/>
      <c r="F943" s="42"/>
      <c r="M943" s="91"/>
    </row>
    <row r="944">
      <c r="A944" s="25"/>
      <c r="B944" s="42"/>
      <c r="C944" s="42"/>
      <c r="D944" s="42"/>
      <c r="E944" s="42"/>
      <c r="F944" s="42"/>
      <c r="M944" s="91"/>
    </row>
    <row r="945">
      <c r="A945" s="25"/>
      <c r="B945" s="42"/>
      <c r="C945" s="42"/>
      <c r="D945" s="42"/>
      <c r="E945" s="42"/>
      <c r="F945" s="42"/>
      <c r="M945" s="91"/>
    </row>
    <row r="946">
      <c r="A946" s="25"/>
      <c r="B946" s="42"/>
      <c r="C946" s="42"/>
      <c r="D946" s="42"/>
      <c r="E946" s="42"/>
      <c r="F946" s="42"/>
      <c r="M946" s="91"/>
    </row>
    <row r="947">
      <c r="A947" s="25"/>
      <c r="B947" s="42"/>
      <c r="C947" s="42"/>
      <c r="D947" s="42"/>
      <c r="E947" s="42"/>
      <c r="F947" s="42"/>
      <c r="M947" s="91"/>
    </row>
    <row r="948">
      <c r="A948" s="25"/>
      <c r="B948" s="42"/>
      <c r="C948" s="42"/>
      <c r="D948" s="42"/>
      <c r="E948" s="42"/>
      <c r="F948" s="42"/>
      <c r="M948" s="91"/>
    </row>
    <row r="949">
      <c r="A949" s="25"/>
      <c r="B949" s="42"/>
      <c r="C949" s="42"/>
      <c r="D949" s="42"/>
      <c r="E949" s="42"/>
      <c r="F949" s="42"/>
      <c r="M949" s="91"/>
    </row>
    <row r="950">
      <c r="A950" s="25"/>
      <c r="B950" s="42"/>
      <c r="C950" s="42"/>
      <c r="D950" s="42"/>
      <c r="E950" s="42"/>
      <c r="F950" s="42"/>
      <c r="M950" s="91"/>
    </row>
    <row r="951">
      <c r="A951" s="25"/>
      <c r="B951" s="42"/>
      <c r="C951" s="42"/>
      <c r="D951" s="42"/>
      <c r="E951" s="42"/>
      <c r="F951" s="42"/>
      <c r="M951" s="91"/>
    </row>
    <row r="952">
      <c r="A952" s="25"/>
      <c r="B952" s="42"/>
      <c r="C952" s="42"/>
      <c r="D952" s="42"/>
      <c r="E952" s="42"/>
      <c r="F952" s="42"/>
      <c r="M952" s="91"/>
    </row>
    <row r="953">
      <c r="A953" s="25"/>
      <c r="B953" s="42"/>
      <c r="C953" s="42"/>
      <c r="D953" s="42"/>
      <c r="E953" s="42"/>
      <c r="F953" s="42"/>
      <c r="M953" s="91"/>
    </row>
    <row r="954">
      <c r="A954" s="25"/>
      <c r="B954" s="42"/>
      <c r="C954" s="42"/>
      <c r="D954" s="42"/>
      <c r="E954" s="42"/>
      <c r="F954" s="42"/>
      <c r="M954" s="91"/>
    </row>
    <row r="955">
      <c r="A955" s="25"/>
      <c r="B955" s="42"/>
      <c r="C955" s="42"/>
      <c r="D955" s="42"/>
      <c r="E955" s="42"/>
      <c r="F955" s="42"/>
      <c r="M955" s="91"/>
    </row>
    <row r="956">
      <c r="A956" s="25"/>
      <c r="B956" s="42"/>
      <c r="C956" s="42"/>
      <c r="D956" s="42"/>
      <c r="E956" s="42"/>
      <c r="F956" s="42"/>
      <c r="M956" s="91"/>
    </row>
    <row r="957">
      <c r="A957" s="25"/>
      <c r="B957" s="42"/>
      <c r="C957" s="42"/>
      <c r="D957" s="42"/>
      <c r="E957" s="42"/>
      <c r="F957" s="42"/>
      <c r="M957" s="91"/>
    </row>
    <row r="958">
      <c r="A958" s="25"/>
      <c r="B958" s="42"/>
      <c r="C958" s="42"/>
      <c r="D958" s="42"/>
      <c r="E958" s="42"/>
      <c r="F958" s="42"/>
      <c r="M958" s="91"/>
    </row>
    <row r="959">
      <c r="A959" s="25"/>
      <c r="B959" s="42"/>
      <c r="C959" s="42"/>
      <c r="D959" s="42"/>
      <c r="E959" s="42"/>
      <c r="F959" s="42"/>
      <c r="M959" s="91"/>
    </row>
    <row r="960">
      <c r="A960" s="25"/>
      <c r="B960" s="42"/>
      <c r="C960" s="42"/>
      <c r="D960" s="42"/>
      <c r="E960" s="42"/>
      <c r="F960" s="42"/>
      <c r="M960" s="91"/>
    </row>
    <row r="961">
      <c r="A961" s="25"/>
      <c r="B961" s="42"/>
      <c r="C961" s="42"/>
      <c r="D961" s="42"/>
      <c r="E961" s="42"/>
      <c r="F961" s="42"/>
      <c r="M961" s="91"/>
    </row>
    <row r="962">
      <c r="A962" s="25"/>
      <c r="B962" s="42"/>
      <c r="C962" s="42"/>
      <c r="D962" s="42"/>
      <c r="E962" s="42"/>
      <c r="F962" s="42"/>
      <c r="M962" s="91"/>
    </row>
    <row r="963">
      <c r="A963" s="25"/>
      <c r="B963" s="42"/>
      <c r="C963" s="42"/>
      <c r="D963" s="42"/>
      <c r="E963" s="42"/>
      <c r="F963" s="42"/>
      <c r="M963" s="91"/>
    </row>
    <row r="964">
      <c r="A964" s="25"/>
      <c r="B964" s="42"/>
      <c r="C964" s="42"/>
      <c r="D964" s="42"/>
      <c r="E964" s="42"/>
      <c r="F964" s="42"/>
      <c r="M964" s="91"/>
    </row>
    <row r="965">
      <c r="A965" s="25"/>
      <c r="B965" s="42"/>
      <c r="C965" s="42"/>
      <c r="D965" s="42"/>
      <c r="E965" s="42"/>
      <c r="F965" s="42"/>
      <c r="M965" s="91"/>
    </row>
    <row r="966">
      <c r="A966" s="25"/>
      <c r="B966" s="42"/>
      <c r="C966" s="42"/>
      <c r="D966" s="42"/>
      <c r="E966" s="42"/>
      <c r="F966" s="42"/>
      <c r="M966" s="91"/>
    </row>
    <row r="967">
      <c r="A967" s="25"/>
      <c r="B967" s="42"/>
      <c r="C967" s="42"/>
      <c r="D967" s="42"/>
      <c r="E967" s="42"/>
      <c r="F967" s="42"/>
      <c r="M967" s="91"/>
    </row>
    <row r="968">
      <c r="A968" s="25"/>
      <c r="B968" s="42"/>
      <c r="C968" s="42"/>
      <c r="D968" s="42"/>
      <c r="E968" s="42"/>
      <c r="F968" s="42"/>
      <c r="M968" s="91"/>
    </row>
    <row r="969">
      <c r="A969" s="25"/>
      <c r="B969" s="42"/>
      <c r="C969" s="42"/>
      <c r="D969" s="42"/>
      <c r="E969" s="42"/>
      <c r="F969" s="42"/>
      <c r="M969" s="91"/>
    </row>
    <row r="970">
      <c r="A970" s="25"/>
      <c r="B970" s="42"/>
      <c r="C970" s="42"/>
      <c r="D970" s="42"/>
      <c r="E970" s="42"/>
      <c r="F970" s="42"/>
      <c r="M970" s="91"/>
    </row>
    <row r="971">
      <c r="A971" s="25"/>
      <c r="B971" s="42"/>
      <c r="C971" s="42"/>
      <c r="D971" s="42"/>
      <c r="E971" s="42"/>
      <c r="F971" s="42"/>
      <c r="M971" s="91"/>
    </row>
    <row r="972">
      <c r="A972" s="25"/>
      <c r="B972" s="42"/>
      <c r="C972" s="42"/>
      <c r="D972" s="42"/>
      <c r="E972" s="42"/>
      <c r="F972" s="42"/>
      <c r="M972" s="91"/>
    </row>
    <row r="973">
      <c r="A973" s="25"/>
      <c r="B973" s="42"/>
      <c r="C973" s="42"/>
      <c r="D973" s="42"/>
      <c r="E973" s="42"/>
      <c r="F973" s="42"/>
      <c r="M973" s="91"/>
    </row>
    <row r="974">
      <c r="A974" s="25"/>
      <c r="B974" s="42"/>
      <c r="C974" s="42"/>
      <c r="D974" s="42"/>
      <c r="E974" s="42"/>
      <c r="F974" s="42"/>
      <c r="M974" s="91"/>
    </row>
    <row r="975">
      <c r="A975" s="25"/>
      <c r="B975" s="42"/>
      <c r="C975" s="42"/>
      <c r="D975" s="42"/>
      <c r="E975" s="42"/>
      <c r="F975" s="42"/>
      <c r="M975" s="91"/>
    </row>
    <row r="976">
      <c r="A976" s="25"/>
      <c r="B976" s="42"/>
      <c r="C976" s="42"/>
      <c r="D976" s="42"/>
      <c r="E976" s="42"/>
      <c r="F976" s="42"/>
      <c r="M976" s="91"/>
    </row>
    <row r="977">
      <c r="A977" s="25"/>
      <c r="B977" s="42"/>
      <c r="C977" s="42"/>
      <c r="D977" s="42"/>
      <c r="E977" s="42"/>
      <c r="F977" s="42"/>
      <c r="M977" s="91"/>
    </row>
    <row r="978">
      <c r="A978" s="25"/>
      <c r="B978" s="42"/>
      <c r="C978" s="42"/>
      <c r="D978" s="42"/>
      <c r="E978" s="42"/>
      <c r="F978" s="42"/>
      <c r="M978" s="91"/>
    </row>
    <row r="979">
      <c r="A979" s="25"/>
      <c r="B979" s="42"/>
      <c r="C979" s="42"/>
      <c r="D979" s="42"/>
      <c r="E979" s="42"/>
      <c r="F979" s="42"/>
      <c r="M979" s="91"/>
    </row>
    <row r="980">
      <c r="A980" s="25"/>
      <c r="B980" s="42"/>
      <c r="C980" s="42"/>
      <c r="D980" s="42"/>
      <c r="E980" s="42"/>
      <c r="F980" s="42"/>
      <c r="M980" s="91"/>
    </row>
    <row r="981">
      <c r="A981" s="25"/>
      <c r="B981" s="42"/>
      <c r="C981" s="42"/>
      <c r="D981" s="42"/>
      <c r="E981" s="42"/>
      <c r="F981" s="42"/>
      <c r="M981" s="91"/>
    </row>
    <row r="982">
      <c r="A982" s="25"/>
      <c r="B982" s="42"/>
      <c r="C982" s="42"/>
      <c r="D982" s="42"/>
      <c r="E982" s="42"/>
      <c r="F982" s="42"/>
      <c r="M982" s="91"/>
    </row>
    <row r="983">
      <c r="A983" s="25"/>
      <c r="B983" s="42"/>
      <c r="C983" s="42"/>
      <c r="D983" s="42"/>
      <c r="E983" s="42"/>
      <c r="F983" s="42"/>
      <c r="M983" s="91"/>
    </row>
    <row r="984">
      <c r="A984" s="25"/>
      <c r="B984" s="42"/>
      <c r="C984" s="42"/>
      <c r="D984" s="42"/>
      <c r="E984" s="42"/>
      <c r="F984" s="42"/>
      <c r="M984" s="91"/>
    </row>
    <row r="985">
      <c r="A985" s="25"/>
      <c r="B985" s="42"/>
      <c r="C985" s="42"/>
      <c r="D985" s="42"/>
      <c r="E985" s="42"/>
      <c r="F985" s="42"/>
      <c r="M985" s="91"/>
    </row>
    <row r="986">
      <c r="A986" s="25"/>
      <c r="B986" s="42"/>
      <c r="C986" s="42"/>
      <c r="D986" s="42"/>
      <c r="E986" s="42"/>
      <c r="F986" s="42"/>
      <c r="M986" s="91"/>
    </row>
    <row r="987">
      <c r="A987" s="25"/>
      <c r="B987" s="42"/>
      <c r="C987" s="42"/>
      <c r="D987" s="42"/>
      <c r="E987" s="42"/>
      <c r="F987" s="42"/>
      <c r="M987" s="91"/>
    </row>
    <row r="988">
      <c r="A988" s="25"/>
      <c r="B988" s="42"/>
      <c r="C988" s="42"/>
      <c r="D988" s="42"/>
      <c r="E988" s="42"/>
      <c r="F988" s="42"/>
      <c r="M988" s="91"/>
    </row>
    <row r="989">
      <c r="A989" s="25"/>
      <c r="B989" s="42"/>
      <c r="C989" s="42"/>
      <c r="D989" s="42"/>
      <c r="E989" s="42"/>
      <c r="F989" s="42"/>
      <c r="M989" s="91"/>
    </row>
    <row r="990">
      <c r="A990" s="25"/>
      <c r="B990" s="42"/>
      <c r="C990" s="42"/>
      <c r="D990" s="42"/>
      <c r="E990" s="42"/>
      <c r="F990" s="42"/>
      <c r="M990" s="91"/>
    </row>
    <row r="991">
      <c r="A991" s="25"/>
      <c r="B991" s="42"/>
      <c r="C991" s="42"/>
      <c r="D991" s="42"/>
      <c r="E991" s="42"/>
      <c r="F991" s="42"/>
      <c r="M991" s="91"/>
    </row>
    <row r="992">
      <c r="A992" s="25"/>
      <c r="B992" s="42"/>
      <c r="C992" s="42"/>
      <c r="D992" s="42"/>
      <c r="E992" s="42"/>
      <c r="F992" s="42"/>
      <c r="M992" s="91"/>
    </row>
    <row r="993">
      <c r="A993" s="25"/>
      <c r="B993" s="42"/>
      <c r="C993" s="42"/>
      <c r="D993" s="42"/>
      <c r="E993" s="42"/>
      <c r="F993" s="42"/>
      <c r="M993" s="91"/>
    </row>
    <row r="994">
      <c r="A994" s="25"/>
      <c r="B994" s="42"/>
      <c r="C994" s="42"/>
      <c r="D994" s="42"/>
      <c r="E994" s="42"/>
      <c r="F994" s="42"/>
      <c r="M994" s="91"/>
    </row>
    <row r="995">
      <c r="A995" s="25"/>
      <c r="B995" s="42"/>
      <c r="C995" s="42"/>
      <c r="D995" s="42"/>
      <c r="E995" s="42"/>
      <c r="F995" s="42"/>
      <c r="M995" s="91"/>
    </row>
    <row r="996">
      <c r="A996" s="25"/>
      <c r="B996" s="42"/>
      <c r="C996" s="42"/>
      <c r="D996" s="42"/>
      <c r="E996" s="42"/>
      <c r="F996" s="42"/>
      <c r="M996" s="91"/>
    </row>
    <row r="997">
      <c r="A997" s="25"/>
      <c r="B997" s="42"/>
      <c r="C997" s="42"/>
      <c r="D997" s="42"/>
      <c r="E997" s="42"/>
      <c r="F997" s="42"/>
      <c r="M997" s="91"/>
    </row>
    <row r="998">
      <c r="A998" s="25"/>
      <c r="B998" s="42"/>
      <c r="C998" s="42"/>
      <c r="D998" s="42"/>
      <c r="E998" s="42"/>
      <c r="F998" s="42"/>
      <c r="M998" s="91"/>
    </row>
    <row r="999">
      <c r="A999" s="25"/>
      <c r="B999" s="42"/>
      <c r="C999" s="42"/>
      <c r="D999" s="42"/>
      <c r="E999" s="42"/>
      <c r="F999" s="42"/>
      <c r="M999" s="91"/>
    </row>
    <row r="1000">
      <c r="A1000" s="25"/>
      <c r="B1000" s="42"/>
      <c r="C1000" s="42"/>
      <c r="D1000" s="42"/>
      <c r="E1000" s="42"/>
      <c r="F1000" s="42"/>
      <c r="M1000" s="91"/>
    </row>
    <row r="1001">
      <c r="A1001" s="25"/>
      <c r="B1001" s="42"/>
      <c r="C1001" s="42"/>
      <c r="D1001" s="42"/>
      <c r="E1001" s="42"/>
      <c r="F1001" s="42"/>
      <c r="M1001" s="91"/>
    </row>
    <row r="1002">
      <c r="A1002" s="25"/>
      <c r="B1002" s="42"/>
      <c r="C1002" s="42"/>
      <c r="D1002" s="42"/>
      <c r="E1002" s="42"/>
      <c r="F1002" s="42"/>
      <c r="M1002" s="91"/>
    </row>
    <row r="1003">
      <c r="A1003" s="25"/>
      <c r="B1003" s="42"/>
      <c r="C1003" s="42"/>
      <c r="D1003" s="42"/>
      <c r="E1003" s="42"/>
      <c r="F1003" s="42"/>
      <c r="M1003" s="91"/>
    </row>
    <row r="1004">
      <c r="A1004" s="25"/>
      <c r="B1004" s="42"/>
      <c r="C1004" s="42"/>
      <c r="D1004" s="42"/>
      <c r="E1004" s="42"/>
      <c r="F1004" s="42"/>
      <c r="M1004" s="91"/>
    </row>
    <row r="1005">
      <c r="A1005" s="25"/>
      <c r="B1005" s="42"/>
      <c r="C1005" s="42"/>
      <c r="D1005" s="42"/>
      <c r="E1005" s="42"/>
      <c r="F1005" s="42"/>
      <c r="M1005" s="91"/>
    </row>
    <row r="1006">
      <c r="A1006" s="25"/>
      <c r="B1006" s="42"/>
      <c r="C1006" s="42"/>
      <c r="D1006" s="42"/>
      <c r="E1006" s="42"/>
      <c r="F1006" s="42"/>
      <c r="M1006" s="91"/>
    </row>
    <row r="1007">
      <c r="A1007" s="25"/>
      <c r="B1007" s="42"/>
      <c r="C1007" s="42"/>
      <c r="D1007" s="42"/>
      <c r="E1007" s="42"/>
      <c r="F1007" s="42"/>
      <c r="M1007" s="91"/>
    </row>
    <row r="1008">
      <c r="A1008" s="25"/>
      <c r="B1008" s="42"/>
      <c r="C1008" s="42"/>
      <c r="D1008" s="42"/>
      <c r="E1008" s="42"/>
      <c r="F1008" s="42"/>
      <c r="M1008" s="91"/>
    </row>
    <row r="1009">
      <c r="A1009" s="25"/>
      <c r="B1009" s="42"/>
      <c r="C1009" s="42"/>
      <c r="D1009" s="42"/>
      <c r="E1009" s="42"/>
      <c r="F1009" s="42"/>
      <c r="M1009" s="91"/>
    </row>
    <row r="1010">
      <c r="A1010" s="25"/>
      <c r="B1010" s="42"/>
      <c r="C1010" s="42"/>
      <c r="D1010" s="42"/>
      <c r="E1010" s="42"/>
      <c r="F1010" s="42"/>
      <c r="M1010" s="91"/>
    </row>
    <row r="1011">
      <c r="A1011" s="25"/>
      <c r="B1011" s="42"/>
      <c r="C1011" s="42"/>
      <c r="D1011" s="42"/>
      <c r="E1011" s="42"/>
      <c r="F1011" s="42"/>
      <c r="M1011" s="91"/>
    </row>
    <row r="1012">
      <c r="A1012" s="25"/>
      <c r="B1012" s="42"/>
      <c r="C1012" s="42"/>
      <c r="D1012" s="42"/>
      <c r="E1012" s="42"/>
      <c r="F1012" s="42"/>
      <c r="M1012" s="91"/>
    </row>
    <row r="1013">
      <c r="A1013" s="25"/>
      <c r="B1013" s="42"/>
      <c r="C1013" s="42"/>
      <c r="D1013" s="42"/>
      <c r="E1013" s="42"/>
      <c r="F1013" s="42"/>
      <c r="M1013" s="91"/>
    </row>
    <row r="1014">
      <c r="A1014" s="25"/>
      <c r="B1014" s="42"/>
      <c r="C1014" s="42"/>
      <c r="D1014" s="42"/>
      <c r="E1014" s="42"/>
      <c r="F1014" s="42"/>
      <c r="M1014" s="91"/>
    </row>
    <row r="1015">
      <c r="A1015" s="25"/>
      <c r="B1015" s="42"/>
      <c r="C1015" s="42"/>
      <c r="D1015" s="42"/>
      <c r="E1015" s="42"/>
      <c r="F1015" s="42"/>
      <c r="M1015" s="91"/>
    </row>
    <row r="1016">
      <c r="A1016" s="25"/>
      <c r="B1016" s="42"/>
      <c r="C1016" s="42"/>
      <c r="D1016" s="42"/>
      <c r="E1016" s="42"/>
      <c r="F1016" s="42"/>
      <c r="M1016" s="91"/>
    </row>
    <row r="1017">
      <c r="A1017" s="25"/>
      <c r="B1017" s="42"/>
      <c r="C1017" s="42"/>
      <c r="D1017" s="42"/>
      <c r="E1017" s="42"/>
      <c r="F1017" s="42"/>
      <c r="M1017" s="91"/>
    </row>
    <row r="1018">
      <c r="A1018" s="25"/>
      <c r="B1018" s="42"/>
      <c r="C1018" s="42"/>
      <c r="D1018" s="42"/>
      <c r="E1018" s="42"/>
      <c r="F1018" s="42"/>
      <c r="M1018" s="91"/>
    </row>
    <row r="1019">
      <c r="A1019" s="25"/>
      <c r="B1019" s="42"/>
      <c r="C1019" s="42"/>
      <c r="D1019" s="42"/>
      <c r="E1019" s="42"/>
      <c r="F1019" s="42"/>
      <c r="M1019" s="91"/>
    </row>
    <row r="1020">
      <c r="A1020" s="25"/>
      <c r="B1020" s="42"/>
      <c r="C1020" s="42"/>
      <c r="D1020" s="42"/>
      <c r="E1020" s="42"/>
      <c r="F1020" s="42"/>
      <c r="M1020" s="91"/>
    </row>
    <row r="1021">
      <c r="A1021" s="25"/>
      <c r="B1021" s="42"/>
      <c r="C1021" s="42"/>
      <c r="D1021" s="42"/>
      <c r="E1021" s="42"/>
      <c r="F1021" s="42"/>
      <c r="M1021" s="91"/>
    </row>
    <row r="1022">
      <c r="A1022" s="25"/>
      <c r="B1022" s="42"/>
      <c r="C1022" s="42"/>
      <c r="D1022" s="42"/>
      <c r="E1022" s="42"/>
      <c r="F1022" s="42"/>
      <c r="M1022" s="91"/>
    </row>
    <row r="1023">
      <c r="A1023" s="25"/>
      <c r="B1023" s="42"/>
      <c r="C1023" s="42"/>
      <c r="D1023" s="42"/>
      <c r="E1023" s="42"/>
      <c r="F1023" s="42"/>
      <c r="M1023" s="91"/>
    </row>
    <row r="1024">
      <c r="A1024" s="25"/>
      <c r="B1024" s="42"/>
      <c r="C1024" s="42"/>
      <c r="D1024" s="42"/>
      <c r="E1024" s="42"/>
      <c r="F1024" s="42"/>
      <c r="M1024" s="91"/>
    </row>
    <row r="1025">
      <c r="A1025" s="25"/>
      <c r="B1025" s="42"/>
      <c r="C1025" s="42"/>
      <c r="D1025" s="42"/>
      <c r="E1025" s="42"/>
      <c r="F1025" s="42"/>
      <c r="M1025" s="91"/>
    </row>
    <row r="1026">
      <c r="A1026" s="25"/>
      <c r="B1026" s="42"/>
      <c r="C1026" s="42"/>
      <c r="D1026" s="42"/>
      <c r="E1026" s="42"/>
      <c r="F1026" s="42"/>
      <c r="M1026" s="91"/>
    </row>
    <row r="1027">
      <c r="A1027" s="25"/>
      <c r="B1027" s="42"/>
      <c r="C1027" s="42"/>
      <c r="D1027" s="42"/>
      <c r="E1027" s="42"/>
      <c r="F1027" s="42"/>
      <c r="M1027" s="91"/>
    </row>
    <row r="1028">
      <c r="A1028" s="25"/>
      <c r="B1028" s="42"/>
      <c r="C1028" s="42"/>
      <c r="D1028" s="42"/>
      <c r="E1028" s="42"/>
      <c r="F1028" s="42"/>
      <c r="M1028" s="91"/>
    </row>
    <row r="1029">
      <c r="A1029" s="25"/>
      <c r="B1029" s="42"/>
      <c r="C1029" s="42"/>
      <c r="D1029" s="42"/>
      <c r="E1029" s="42"/>
      <c r="F1029" s="42"/>
      <c r="M1029" s="91"/>
    </row>
    <row r="1030">
      <c r="A1030" s="25"/>
      <c r="B1030" s="42"/>
      <c r="C1030" s="42"/>
      <c r="D1030" s="42"/>
      <c r="E1030" s="42"/>
      <c r="F1030" s="42"/>
      <c r="M1030" s="91"/>
    </row>
    <row r="1031">
      <c r="A1031" s="25"/>
      <c r="B1031" s="42"/>
      <c r="C1031" s="42"/>
      <c r="D1031" s="42"/>
      <c r="E1031" s="42"/>
      <c r="F1031" s="42"/>
      <c r="M1031" s="91"/>
    </row>
    <row r="1032">
      <c r="A1032" s="25"/>
      <c r="B1032" s="42"/>
      <c r="C1032" s="42"/>
      <c r="D1032" s="42"/>
      <c r="E1032" s="42"/>
      <c r="F1032" s="42"/>
      <c r="M1032" s="91"/>
    </row>
    <row r="1033">
      <c r="A1033" s="25"/>
      <c r="B1033" s="42"/>
      <c r="C1033" s="42"/>
      <c r="D1033" s="42"/>
      <c r="E1033" s="42"/>
      <c r="F1033" s="42"/>
      <c r="M1033" s="91"/>
    </row>
    <row r="1034">
      <c r="A1034" s="25"/>
      <c r="B1034" s="42"/>
      <c r="C1034" s="42"/>
      <c r="D1034" s="42"/>
      <c r="E1034" s="42"/>
      <c r="F1034" s="42"/>
      <c r="M1034" s="91"/>
    </row>
    <row r="1035">
      <c r="A1035" s="25"/>
      <c r="B1035" s="42"/>
      <c r="C1035" s="42"/>
      <c r="D1035" s="42"/>
      <c r="E1035" s="42"/>
      <c r="F1035" s="42"/>
      <c r="M1035" s="91"/>
    </row>
    <row r="1036">
      <c r="A1036" s="25"/>
      <c r="B1036" s="42"/>
      <c r="C1036" s="42"/>
      <c r="D1036" s="42"/>
      <c r="E1036" s="42"/>
      <c r="F1036" s="42"/>
      <c r="M1036" s="91"/>
    </row>
    <row r="1037">
      <c r="A1037" s="25"/>
      <c r="B1037" s="42"/>
      <c r="C1037" s="42"/>
      <c r="D1037" s="42"/>
      <c r="E1037" s="42"/>
      <c r="F1037" s="42"/>
      <c r="M1037" s="91"/>
    </row>
    <row r="1038">
      <c r="A1038" s="25"/>
      <c r="B1038" s="42"/>
      <c r="C1038" s="42"/>
      <c r="D1038" s="42"/>
      <c r="E1038" s="42"/>
      <c r="F1038" s="42"/>
      <c r="M1038" s="91"/>
    </row>
    <row r="1039">
      <c r="A1039" s="25"/>
      <c r="B1039" s="42"/>
      <c r="C1039" s="42"/>
      <c r="D1039" s="42"/>
      <c r="E1039" s="42"/>
      <c r="F1039" s="42"/>
      <c r="M1039" s="91"/>
    </row>
    <row r="1040">
      <c r="A1040" s="25"/>
      <c r="B1040" s="42"/>
      <c r="C1040" s="42"/>
      <c r="D1040" s="42"/>
      <c r="E1040" s="42"/>
      <c r="F1040" s="42"/>
      <c r="M1040" s="91"/>
    </row>
    <row r="1041">
      <c r="A1041" s="25"/>
      <c r="B1041" s="42"/>
      <c r="C1041" s="42"/>
      <c r="D1041" s="42"/>
      <c r="E1041" s="42"/>
      <c r="F1041" s="42"/>
      <c r="M1041" s="91"/>
    </row>
    <row r="1042">
      <c r="A1042" s="25"/>
      <c r="B1042" s="42"/>
      <c r="C1042" s="42"/>
      <c r="D1042" s="42"/>
      <c r="E1042" s="42"/>
      <c r="F1042" s="42"/>
      <c r="M1042" s="91"/>
    </row>
    <row r="1043">
      <c r="A1043" s="25"/>
      <c r="B1043" s="42"/>
      <c r="C1043" s="42"/>
      <c r="D1043" s="42"/>
      <c r="E1043" s="42"/>
      <c r="F1043" s="42"/>
      <c r="M1043" s="91"/>
    </row>
    <row r="1044">
      <c r="A1044" s="25"/>
      <c r="B1044" s="42"/>
      <c r="C1044" s="42"/>
      <c r="D1044" s="42"/>
      <c r="E1044" s="42"/>
      <c r="F1044" s="42"/>
      <c r="M1044" s="91"/>
    </row>
    <row r="1045">
      <c r="A1045" s="25"/>
      <c r="B1045" s="42"/>
      <c r="C1045" s="42"/>
      <c r="D1045" s="42"/>
      <c r="E1045" s="42"/>
      <c r="F1045" s="42"/>
      <c r="M1045" s="91"/>
    </row>
    <row r="1046">
      <c r="A1046" s="25"/>
      <c r="B1046" s="42"/>
      <c r="C1046" s="42"/>
      <c r="D1046" s="42"/>
      <c r="E1046" s="42"/>
      <c r="F1046" s="42"/>
      <c r="M1046" s="91"/>
    </row>
    <row r="1047">
      <c r="A1047" s="25"/>
      <c r="B1047" s="42"/>
      <c r="C1047" s="42"/>
      <c r="D1047" s="42"/>
      <c r="E1047" s="42"/>
      <c r="F1047" s="42"/>
      <c r="M1047" s="91"/>
    </row>
    <row r="1048">
      <c r="A1048" s="25"/>
      <c r="B1048" s="42"/>
      <c r="C1048" s="42"/>
      <c r="D1048" s="42"/>
      <c r="E1048" s="42"/>
      <c r="F1048" s="42"/>
      <c r="M1048" s="91"/>
    </row>
    <row r="1049">
      <c r="A1049" s="25"/>
      <c r="B1049" s="42"/>
      <c r="C1049" s="42"/>
      <c r="D1049" s="42"/>
      <c r="E1049" s="42"/>
      <c r="F1049" s="42"/>
      <c r="M1049" s="91"/>
    </row>
    <row r="1050">
      <c r="A1050" s="25"/>
      <c r="B1050" s="42"/>
      <c r="C1050" s="42"/>
      <c r="D1050" s="42"/>
      <c r="E1050" s="42"/>
      <c r="F1050" s="42"/>
      <c r="M1050" s="91"/>
    </row>
    <row r="1051">
      <c r="A1051" s="25"/>
      <c r="B1051" s="42"/>
      <c r="C1051" s="42"/>
      <c r="D1051" s="42"/>
      <c r="E1051" s="42"/>
      <c r="F1051" s="42"/>
      <c r="M1051" s="91"/>
    </row>
    <row r="1052">
      <c r="A1052" s="25"/>
      <c r="B1052" s="42"/>
      <c r="C1052" s="42"/>
      <c r="D1052" s="42"/>
      <c r="E1052" s="42"/>
      <c r="F1052" s="42"/>
      <c r="M1052" s="91"/>
    </row>
    <row r="1053">
      <c r="A1053" s="25"/>
      <c r="B1053" s="42"/>
      <c r="C1053" s="42"/>
      <c r="D1053" s="42"/>
      <c r="E1053" s="42"/>
      <c r="F1053" s="42"/>
      <c r="M1053" s="91"/>
    </row>
    <row r="1054">
      <c r="A1054" s="25"/>
      <c r="B1054" s="42"/>
      <c r="C1054" s="42"/>
      <c r="D1054" s="42"/>
      <c r="E1054" s="42"/>
      <c r="F1054" s="42"/>
      <c r="M1054" s="91"/>
    </row>
    <row r="1055">
      <c r="A1055" s="25"/>
      <c r="B1055" s="42"/>
      <c r="C1055" s="42"/>
      <c r="D1055" s="42"/>
      <c r="E1055" s="42"/>
      <c r="F1055" s="42"/>
      <c r="M1055" s="91"/>
    </row>
    <row r="1056">
      <c r="A1056" s="25"/>
      <c r="B1056" s="42"/>
      <c r="C1056" s="42"/>
      <c r="D1056" s="42"/>
      <c r="E1056" s="42"/>
      <c r="F1056" s="42"/>
      <c r="M1056" s="91"/>
    </row>
    <row r="1057">
      <c r="A1057" s="25"/>
      <c r="B1057" s="42"/>
      <c r="C1057" s="42"/>
      <c r="D1057" s="42"/>
      <c r="E1057" s="42"/>
      <c r="F1057" s="42"/>
      <c r="M1057" s="91"/>
    </row>
    <row r="1058">
      <c r="A1058" s="25"/>
      <c r="B1058" s="42"/>
      <c r="C1058" s="42"/>
      <c r="D1058" s="42"/>
      <c r="E1058" s="42"/>
      <c r="F1058" s="42"/>
      <c r="M1058" s="91"/>
    </row>
    <row r="1059">
      <c r="A1059" s="25"/>
      <c r="B1059" s="42"/>
      <c r="C1059" s="42"/>
      <c r="D1059" s="42"/>
      <c r="E1059" s="42"/>
      <c r="F1059" s="42"/>
      <c r="M1059" s="91"/>
    </row>
    <row r="1060">
      <c r="A1060" s="25"/>
      <c r="B1060" s="42"/>
      <c r="C1060" s="42"/>
      <c r="D1060" s="42"/>
      <c r="E1060" s="42"/>
      <c r="F1060" s="42"/>
      <c r="M1060" s="91"/>
    </row>
    <row r="1061">
      <c r="A1061" s="25"/>
      <c r="B1061" s="42"/>
      <c r="C1061" s="42"/>
      <c r="D1061" s="42"/>
      <c r="E1061" s="42"/>
      <c r="F1061" s="42"/>
      <c r="M1061" s="91"/>
    </row>
    <row r="1062">
      <c r="A1062" s="25"/>
      <c r="B1062" s="42"/>
      <c r="C1062" s="42"/>
      <c r="D1062" s="42"/>
      <c r="E1062" s="42"/>
      <c r="F1062" s="42"/>
      <c r="M1062" s="91"/>
    </row>
    <row r="1063">
      <c r="A1063" s="25"/>
      <c r="B1063" s="42"/>
      <c r="C1063" s="42"/>
      <c r="D1063" s="42"/>
      <c r="E1063" s="42"/>
      <c r="F1063" s="42"/>
      <c r="M1063" s="91"/>
    </row>
    <row r="1064">
      <c r="A1064" s="25"/>
      <c r="B1064" s="42"/>
      <c r="C1064" s="42"/>
      <c r="D1064" s="42"/>
      <c r="E1064" s="42"/>
      <c r="F1064" s="42"/>
      <c r="M1064" s="91"/>
    </row>
    <row r="1065">
      <c r="A1065" s="25"/>
      <c r="B1065" s="42"/>
      <c r="C1065" s="42"/>
      <c r="D1065" s="42"/>
      <c r="E1065" s="42"/>
      <c r="F1065" s="42"/>
      <c r="M1065" s="91"/>
    </row>
    <row r="1066">
      <c r="A1066" s="25"/>
      <c r="B1066" s="42"/>
      <c r="C1066" s="42"/>
      <c r="D1066" s="42"/>
      <c r="E1066" s="42"/>
      <c r="F1066" s="42"/>
      <c r="M1066" s="91"/>
    </row>
    <row r="1067">
      <c r="A1067" s="25"/>
      <c r="B1067" s="42"/>
      <c r="C1067" s="42"/>
      <c r="D1067" s="42"/>
      <c r="E1067" s="42"/>
      <c r="F1067" s="42"/>
      <c r="M1067" s="91"/>
    </row>
    <row r="1068">
      <c r="A1068" s="25"/>
      <c r="B1068" s="42"/>
      <c r="C1068" s="42"/>
      <c r="D1068" s="42"/>
      <c r="E1068" s="42"/>
      <c r="F1068" s="42"/>
      <c r="M1068" s="91"/>
    </row>
    <row r="1069">
      <c r="A1069" s="25"/>
      <c r="B1069" s="42"/>
      <c r="C1069" s="42"/>
      <c r="D1069" s="42"/>
      <c r="E1069" s="42"/>
      <c r="F1069" s="42"/>
      <c r="M1069" s="91"/>
    </row>
    <row r="1070">
      <c r="A1070" s="25"/>
      <c r="B1070" s="42"/>
      <c r="C1070" s="42"/>
      <c r="D1070" s="42"/>
      <c r="E1070" s="42"/>
      <c r="F1070" s="42"/>
      <c r="M1070" s="91"/>
    </row>
    <row r="1071">
      <c r="A1071" s="25"/>
      <c r="B1071" s="42"/>
      <c r="C1071" s="42"/>
      <c r="D1071" s="42"/>
      <c r="E1071" s="42"/>
      <c r="F1071" s="42"/>
      <c r="M1071" s="91"/>
    </row>
    <row r="1072">
      <c r="A1072" s="25"/>
      <c r="B1072" s="42"/>
      <c r="C1072" s="42"/>
      <c r="D1072" s="42"/>
      <c r="E1072" s="42"/>
      <c r="F1072" s="42"/>
      <c r="M1072" s="91"/>
    </row>
    <row r="1073">
      <c r="A1073" s="25"/>
      <c r="B1073" s="42"/>
      <c r="C1073" s="42"/>
      <c r="D1073" s="42"/>
      <c r="E1073" s="42"/>
      <c r="F1073" s="42"/>
      <c r="M1073" s="91"/>
    </row>
    <row r="1074">
      <c r="A1074" s="25"/>
      <c r="B1074" s="42"/>
      <c r="C1074" s="42"/>
      <c r="D1074" s="42"/>
      <c r="E1074" s="42"/>
      <c r="F1074" s="42"/>
      <c r="M1074" s="91"/>
    </row>
    <row r="1075">
      <c r="A1075" s="25"/>
      <c r="B1075" s="42"/>
      <c r="C1075" s="42"/>
      <c r="D1075" s="42"/>
      <c r="E1075" s="42"/>
      <c r="F1075" s="42"/>
      <c r="M1075" s="91"/>
    </row>
    <row r="1076">
      <c r="A1076" s="25"/>
      <c r="B1076" s="42"/>
      <c r="C1076" s="42"/>
      <c r="D1076" s="42"/>
      <c r="E1076" s="42"/>
      <c r="F1076" s="42"/>
      <c r="M1076" s="91"/>
    </row>
    <row r="1077">
      <c r="A1077" s="25"/>
      <c r="B1077" s="42"/>
      <c r="C1077" s="42"/>
      <c r="D1077" s="42"/>
      <c r="E1077" s="42"/>
      <c r="F1077" s="42"/>
      <c r="M1077" s="91"/>
    </row>
    <row r="1078">
      <c r="A1078" s="25"/>
      <c r="B1078" s="42"/>
      <c r="C1078" s="42"/>
      <c r="D1078" s="42"/>
      <c r="E1078" s="42"/>
      <c r="F1078" s="42"/>
      <c r="M1078" s="91"/>
    </row>
    <row r="1079">
      <c r="A1079" s="25"/>
      <c r="B1079" s="42"/>
      <c r="C1079" s="42"/>
      <c r="D1079" s="42"/>
      <c r="E1079" s="42"/>
      <c r="F1079" s="42"/>
      <c r="M1079" s="91"/>
    </row>
    <row r="1080">
      <c r="A1080" s="25"/>
      <c r="B1080" s="42"/>
      <c r="C1080" s="42"/>
      <c r="D1080" s="42"/>
      <c r="E1080" s="42"/>
      <c r="F1080" s="42"/>
      <c r="M1080" s="91"/>
    </row>
    <row r="1081">
      <c r="A1081" s="25"/>
      <c r="B1081" s="42"/>
      <c r="C1081" s="42"/>
      <c r="D1081" s="42"/>
      <c r="E1081" s="42"/>
      <c r="F1081" s="42"/>
      <c r="M1081" s="91"/>
    </row>
    <row r="1082">
      <c r="A1082" s="25"/>
      <c r="B1082" s="42"/>
      <c r="C1082" s="42"/>
      <c r="D1082" s="42"/>
      <c r="E1082" s="42"/>
      <c r="F1082" s="42"/>
      <c r="M1082" s="91"/>
    </row>
    <row r="1083">
      <c r="A1083" s="25"/>
      <c r="B1083" s="42"/>
      <c r="C1083" s="42"/>
      <c r="D1083" s="42"/>
      <c r="E1083" s="42"/>
      <c r="F1083" s="42"/>
      <c r="M1083" s="91"/>
    </row>
    <row r="1084">
      <c r="A1084" s="25"/>
      <c r="B1084" s="42"/>
      <c r="C1084" s="42"/>
      <c r="D1084" s="42"/>
      <c r="E1084" s="42"/>
      <c r="F1084" s="42"/>
      <c r="M1084" s="91"/>
    </row>
    <row r="1085">
      <c r="A1085" s="25"/>
      <c r="B1085" s="42"/>
      <c r="C1085" s="42"/>
      <c r="D1085" s="42"/>
      <c r="E1085" s="42"/>
      <c r="F1085" s="42"/>
      <c r="M1085" s="91"/>
    </row>
    <row r="1086">
      <c r="A1086" s="25"/>
      <c r="B1086" s="42"/>
      <c r="C1086" s="42"/>
      <c r="D1086" s="42"/>
      <c r="E1086" s="42"/>
      <c r="F1086" s="42"/>
      <c r="M1086" s="91"/>
    </row>
    <row r="1087">
      <c r="A1087" s="25"/>
      <c r="B1087" s="42"/>
      <c r="C1087" s="42"/>
      <c r="D1087" s="42"/>
      <c r="E1087" s="42"/>
      <c r="F1087" s="42"/>
      <c r="M1087" s="91"/>
    </row>
    <row r="1088">
      <c r="A1088" s="25"/>
      <c r="B1088" s="42"/>
      <c r="C1088" s="42"/>
      <c r="D1088" s="42"/>
      <c r="E1088" s="42"/>
      <c r="F1088" s="42"/>
      <c r="M1088" s="91"/>
    </row>
    <row r="1089">
      <c r="A1089" s="25"/>
      <c r="B1089" s="42"/>
      <c r="C1089" s="42"/>
      <c r="D1089" s="42"/>
      <c r="E1089" s="42"/>
      <c r="F1089" s="42"/>
      <c r="M1089" s="91"/>
    </row>
    <row r="1090">
      <c r="A1090" s="25"/>
      <c r="B1090" s="42"/>
      <c r="C1090" s="42"/>
      <c r="D1090" s="42"/>
      <c r="E1090" s="42"/>
      <c r="F1090" s="42"/>
      <c r="M1090" s="91"/>
    </row>
    <row r="1091">
      <c r="A1091" s="25"/>
      <c r="B1091" s="42"/>
      <c r="C1091" s="42"/>
      <c r="D1091" s="42"/>
      <c r="E1091" s="42"/>
      <c r="F1091" s="42"/>
      <c r="M1091" s="91"/>
    </row>
    <row r="1092">
      <c r="A1092" s="25"/>
      <c r="B1092" s="42"/>
      <c r="C1092" s="42"/>
      <c r="D1092" s="42"/>
      <c r="E1092" s="42"/>
      <c r="F1092" s="42"/>
      <c r="M1092" s="91"/>
    </row>
    <row r="1093">
      <c r="A1093" s="25"/>
      <c r="B1093" s="42"/>
      <c r="C1093" s="42"/>
      <c r="D1093" s="42"/>
      <c r="E1093" s="42"/>
      <c r="F1093" s="42"/>
      <c r="M1093" s="91"/>
    </row>
    <row r="1094">
      <c r="A1094" s="25"/>
      <c r="B1094" s="42"/>
      <c r="C1094" s="42"/>
      <c r="D1094" s="42"/>
      <c r="E1094" s="42"/>
      <c r="F1094" s="42"/>
      <c r="M1094" s="91"/>
    </row>
    <row r="1095">
      <c r="A1095" s="25"/>
      <c r="B1095" s="42"/>
      <c r="C1095" s="42"/>
      <c r="D1095" s="42"/>
      <c r="E1095" s="42"/>
      <c r="F1095" s="42"/>
      <c r="M1095" s="91"/>
    </row>
    <row r="1096">
      <c r="A1096" s="25"/>
      <c r="B1096" s="42"/>
      <c r="C1096" s="42"/>
      <c r="D1096" s="42"/>
      <c r="E1096" s="42"/>
      <c r="F1096" s="42"/>
      <c r="M1096" s="91"/>
    </row>
    <row r="1097">
      <c r="A1097" s="25"/>
      <c r="B1097" s="42"/>
      <c r="C1097" s="42"/>
      <c r="D1097" s="42"/>
      <c r="E1097" s="42"/>
      <c r="F1097" s="42"/>
      <c r="M1097" s="91"/>
    </row>
    <row r="1098">
      <c r="A1098" s="25"/>
      <c r="B1098" s="42"/>
      <c r="C1098" s="42"/>
      <c r="D1098" s="42"/>
      <c r="E1098" s="42"/>
      <c r="F1098" s="42"/>
      <c r="M1098" s="91"/>
    </row>
    <row r="1099">
      <c r="A1099" s="25"/>
      <c r="B1099" s="42"/>
      <c r="C1099" s="42"/>
      <c r="D1099" s="42"/>
      <c r="E1099" s="42"/>
      <c r="F1099" s="42"/>
      <c r="M1099" s="91"/>
    </row>
    <row r="1100">
      <c r="A1100" s="25"/>
      <c r="B1100" s="42"/>
      <c r="C1100" s="42"/>
      <c r="D1100" s="42"/>
      <c r="E1100" s="42"/>
      <c r="F1100" s="42"/>
      <c r="M1100" s="91"/>
    </row>
    <row r="1101">
      <c r="A1101" s="25"/>
      <c r="B1101" s="42"/>
      <c r="C1101" s="42"/>
      <c r="D1101" s="42"/>
      <c r="E1101" s="42"/>
      <c r="F1101" s="42"/>
      <c r="M1101" s="91"/>
    </row>
    <row r="1102">
      <c r="A1102" s="25"/>
      <c r="B1102" s="42"/>
      <c r="C1102" s="42"/>
      <c r="D1102" s="42"/>
      <c r="E1102" s="42"/>
      <c r="F1102" s="42"/>
      <c r="M1102" s="91"/>
    </row>
    <row r="1103">
      <c r="A1103" s="25"/>
      <c r="B1103" s="42"/>
      <c r="C1103" s="42"/>
      <c r="D1103" s="42"/>
      <c r="E1103" s="42"/>
      <c r="F1103" s="42"/>
      <c r="M1103" s="91"/>
    </row>
    <row r="1104">
      <c r="A1104" s="25"/>
      <c r="B1104" s="42"/>
      <c r="C1104" s="42"/>
      <c r="D1104" s="42"/>
      <c r="E1104" s="42"/>
      <c r="F1104" s="42"/>
      <c r="M1104" s="91"/>
    </row>
    <row r="1105">
      <c r="A1105" s="25"/>
      <c r="B1105" s="42"/>
      <c r="C1105" s="42"/>
      <c r="D1105" s="42"/>
      <c r="E1105" s="42"/>
      <c r="F1105" s="42"/>
      <c r="M1105" s="91"/>
    </row>
    <row r="1106">
      <c r="A1106" s="25"/>
      <c r="B1106" s="42"/>
      <c r="C1106" s="42"/>
      <c r="D1106" s="42"/>
      <c r="E1106" s="42"/>
      <c r="F1106" s="42"/>
      <c r="M1106" s="91"/>
    </row>
    <row r="1107">
      <c r="A1107" s="25"/>
      <c r="B1107" s="42"/>
      <c r="C1107" s="42"/>
      <c r="D1107" s="42"/>
      <c r="E1107" s="42"/>
      <c r="F1107" s="42"/>
      <c r="M1107" s="91"/>
    </row>
    <row r="1108">
      <c r="A1108" s="25"/>
      <c r="B1108" s="42"/>
      <c r="C1108" s="42"/>
      <c r="D1108" s="42"/>
      <c r="E1108" s="42"/>
      <c r="F1108" s="42"/>
      <c r="M1108" s="91"/>
    </row>
    <row r="1109">
      <c r="A1109" s="25"/>
      <c r="B1109" s="42"/>
      <c r="C1109" s="42"/>
      <c r="D1109" s="42"/>
      <c r="E1109" s="42"/>
      <c r="F1109" s="42"/>
      <c r="M1109" s="91"/>
    </row>
    <row r="1110">
      <c r="A1110" s="25"/>
      <c r="B1110" s="42"/>
      <c r="C1110" s="42"/>
      <c r="D1110" s="42"/>
      <c r="E1110" s="42"/>
      <c r="F1110" s="42"/>
      <c r="M1110" s="91"/>
    </row>
    <row r="1111">
      <c r="A1111" s="25"/>
      <c r="B1111" s="42"/>
      <c r="C1111" s="42"/>
      <c r="D1111" s="42"/>
      <c r="E1111" s="42"/>
      <c r="F1111" s="42"/>
      <c r="M1111" s="91"/>
    </row>
    <row r="1112">
      <c r="A1112" s="25"/>
      <c r="B1112" s="42"/>
      <c r="C1112" s="42"/>
      <c r="D1112" s="42"/>
      <c r="E1112" s="42"/>
      <c r="F1112" s="42"/>
      <c r="M1112" s="91"/>
    </row>
    <row r="1113">
      <c r="A1113" s="25"/>
      <c r="B1113" s="42"/>
      <c r="C1113" s="42"/>
      <c r="D1113" s="42"/>
      <c r="E1113" s="42"/>
      <c r="F1113" s="42"/>
      <c r="M1113" s="91"/>
    </row>
    <row r="1114">
      <c r="A1114" s="25"/>
      <c r="B1114" s="42"/>
      <c r="C1114" s="42"/>
      <c r="D1114" s="42"/>
      <c r="E1114" s="42"/>
      <c r="F1114" s="42"/>
      <c r="M1114" s="91"/>
    </row>
    <row r="1115">
      <c r="A1115" s="25"/>
      <c r="B1115" s="42"/>
      <c r="C1115" s="42"/>
      <c r="D1115" s="42"/>
      <c r="E1115" s="42"/>
      <c r="F1115" s="42"/>
      <c r="M1115" s="91"/>
    </row>
    <row r="1116">
      <c r="A1116" s="25"/>
      <c r="B1116" s="42"/>
      <c r="C1116" s="42"/>
      <c r="D1116" s="42"/>
      <c r="E1116" s="42"/>
      <c r="F1116" s="42"/>
      <c r="M1116" s="91"/>
    </row>
    <row r="1117">
      <c r="A1117" s="25"/>
      <c r="B1117" s="42"/>
      <c r="C1117" s="42"/>
      <c r="D1117" s="42"/>
      <c r="E1117" s="42"/>
      <c r="F1117" s="42"/>
      <c r="M1117" s="91"/>
    </row>
    <row r="1118">
      <c r="A1118" s="25"/>
      <c r="B1118" s="42"/>
      <c r="C1118" s="42"/>
      <c r="D1118" s="42"/>
      <c r="E1118" s="42"/>
      <c r="F1118" s="42"/>
      <c r="M1118" s="91"/>
    </row>
    <row r="1119">
      <c r="A1119" s="25"/>
      <c r="B1119" s="42"/>
      <c r="C1119" s="42"/>
      <c r="D1119" s="42"/>
      <c r="E1119" s="42"/>
      <c r="F1119" s="42"/>
      <c r="M1119" s="91"/>
    </row>
    <row r="1120">
      <c r="A1120" s="25"/>
      <c r="B1120" s="42"/>
      <c r="C1120" s="42"/>
      <c r="D1120" s="42"/>
      <c r="E1120" s="42"/>
      <c r="F1120" s="42"/>
      <c r="M1120" s="91"/>
    </row>
    <row r="1121">
      <c r="A1121" s="25"/>
      <c r="B1121" s="42"/>
      <c r="C1121" s="42"/>
      <c r="D1121" s="42"/>
      <c r="E1121" s="42"/>
      <c r="F1121" s="42"/>
      <c r="M1121" s="91"/>
    </row>
    <row r="1122">
      <c r="A1122" s="25"/>
      <c r="B1122" s="42"/>
      <c r="C1122" s="42"/>
      <c r="D1122" s="42"/>
      <c r="E1122" s="42"/>
      <c r="F1122" s="42"/>
      <c r="M1122" s="91"/>
    </row>
    <row r="1123">
      <c r="A1123" s="25"/>
      <c r="B1123" s="42"/>
      <c r="C1123" s="42"/>
      <c r="D1123" s="42"/>
      <c r="E1123" s="42"/>
      <c r="F1123" s="42"/>
      <c r="M1123" s="91"/>
    </row>
    <row r="1124">
      <c r="A1124" s="25"/>
      <c r="B1124" s="42"/>
      <c r="C1124" s="42"/>
      <c r="D1124" s="42"/>
      <c r="E1124" s="42"/>
      <c r="F1124" s="42"/>
      <c r="M1124" s="91"/>
    </row>
    <row r="1125">
      <c r="A1125" s="25"/>
      <c r="B1125" s="42"/>
      <c r="C1125" s="42"/>
      <c r="D1125" s="42"/>
      <c r="E1125" s="42"/>
      <c r="F1125" s="42"/>
      <c r="M1125" s="91"/>
    </row>
    <row r="1126">
      <c r="A1126" s="25"/>
      <c r="B1126" s="42"/>
      <c r="C1126" s="42"/>
      <c r="D1126" s="42"/>
      <c r="E1126" s="42"/>
      <c r="F1126" s="42"/>
      <c r="M1126" s="91"/>
    </row>
    <row r="1127">
      <c r="A1127" s="25"/>
      <c r="B1127" s="42"/>
      <c r="C1127" s="42"/>
      <c r="D1127" s="42"/>
      <c r="E1127" s="42"/>
      <c r="F1127" s="42"/>
      <c r="M1127" s="91"/>
    </row>
    <row r="1128">
      <c r="A1128" s="25"/>
      <c r="B1128" s="42"/>
      <c r="C1128" s="42"/>
      <c r="D1128" s="42"/>
      <c r="E1128" s="42"/>
      <c r="F1128" s="42"/>
      <c r="M1128" s="91"/>
    </row>
    <row r="1129">
      <c r="A1129" s="25"/>
      <c r="B1129" s="42"/>
      <c r="C1129" s="42"/>
      <c r="D1129" s="42"/>
      <c r="E1129" s="42"/>
      <c r="F1129" s="42"/>
      <c r="M1129" s="91"/>
    </row>
    <row r="1130">
      <c r="A1130" s="25"/>
      <c r="B1130" s="42"/>
      <c r="C1130" s="42"/>
      <c r="D1130" s="42"/>
      <c r="E1130" s="42"/>
      <c r="F1130" s="42"/>
      <c r="M1130" s="91"/>
    </row>
    <row r="1131">
      <c r="A1131" s="25"/>
      <c r="B1131" s="42"/>
      <c r="C1131" s="42"/>
      <c r="D1131" s="42"/>
      <c r="E1131" s="42"/>
      <c r="F1131" s="42"/>
      <c r="M1131" s="91"/>
    </row>
    <row r="1132">
      <c r="A1132" s="25"/>
      <c r="B1132" s="42"/>
      <c r="C1132" s="42"/>
      <c r="D1132" s="42"/>
      <c r="E1132" s="42"/>
      <c r="F1132" s="42"/>
      <c r="M1132" s="91"/>
    </row>
    <row r="1133">
      <c r="A1133" s="25"/>
      <c r="B1133" s="42"/>
      <c r="C1133" s="42"/>
      <c r="D1133" s="42"/>
      <c r="E1133" s="42"/>
      <c r="F1133" s="42"/>
      <c r="M1133" s="91"/>
    </row>
    <row r="1134">
      <c r="A1134" s="25"/>
      <c r="B1134" s="42"/>
      <c r="C1134" s="42"/>
      <c r="D1134" s="42"/>
      <c r="E1134" s="42"/>
      <c r="F1134" s="42"/>
      <c r="M1134" s="91"/>
    </row>
    <row r="1135">
      <c r="A1135" s="25"/>
      <c r="B1135" s="42"/>
      <c r="C1135" s="42"/>
      <c r="D1135" s="42"/>
      <c r="E1135" s="42"/>
      <c r="F1135" s="42"/>
      <c r="M1135" s="91"/>
    </row>
    <row r="1136">
      <c r="A1136" s="25"/>
      <c r="B1136" s="42"/>
      <c r="C1136" s="42"/>
      <c r="D1136" s="42"/>
      <c r="E1136" s="42"/>
      <c r="F1136" s="42"/>
      <c r="M1136" s="91"/>
    </row>
    <row r="1137">
      <c r="A1137" s="25"/>
      <c r="B1137" s="42"/>
      <c r="C1137" s="42"/>
      <c r="D1137" s="42"/>
      <c r="E1137" s="42"/>
      <c r="F1137" s="42"/>
      <c r="M1137" s="91"/>
    </row>
    <row r="1138">
      <c r="A1138" s="25"/>
      <c r="B1138" s="42"/>
      <c r="C1138" s="42"/>
      <c r="D1138" s="42"/>
      <c r="E1138" s="42"/>
      <c r="F1138" s="42"/>
      <c r="M1138" s="91"/>
    </row>
    <row r="1139">
      <c r="A1139" s="25"/>
      <c r="B1139" s="42"/>
      <c r="C1139" s="42"/>
      <c r="D1139" s="42"/>
      <c r="E1139" s="42"/>
      <c r="F1139" s="42"/>
      <c r="M1139" s="91"/>
    </row>
    <row r="1140">
      <c r="A1140" s="25"/>
      <c r="B1140" s="42"/>
      <c r="C1140" s="42"/>
      <c r="D1140" s="42"/>
      <c r="E1140" s="42"/>
      <c r="F1140" s="42"/>
      <c r="M1140" s="91"/>
    </row>
    <row r="1141">
      <c r="A1141" s="25"/>
      <c r="B1141" s="42"/>
      <c r="C1141" s="42"/>
      <c r="D1141" s="42"/>
      <c r="E1141" s="42"/>
      <c r="F1141" s="42"/>
      <c r="M1141" s="91"/>
    </row>
    <row r="1142">
      <c r="A1142" s="25"/>
      <c r="B1142" s="42"/>
      <c r="C1142" s="42"/>
      <c r="D1142" s="42"/>
      <c r="E1142" s="42"/>
      <c r="F1142" s="42"/>
      <c r="M1142" s="91"/>
    </row>
    <row r="1143">
      <c r="A1143" s="25"/>
      <c r="B1143" s="42"/>
      <c r="C1143" s="42"/>
      <c r="D1143" s="42"/>
      <c r="E1143" s="42"/>
      <c r="F1143" s="42"/>
      <c r="M1143" s="91"/>
    </row>
    <row r="1144">
      <c r="A1144" s="25"/>
      <c r="B1144" s="42"/>
      <c r="C1144" s="42"/>
      <c r="D1144" s="42"/>
      <c r="E1144" s="42"/>
      <c r="F1144" s="42"/>
      <c r="M1144" s="91"/>
    </row>
    <row r="1145">
      <c r="A1145" s="25"/>
      <c r="B1145" s="42"/>
      <c r="C1145" s="42"/>
      <c r="D1145" s="42"/>
      <c r="E1145" s="42"/>
      <c r="F1145" s="42"/>
      <c r="M1145" s="91"/>
    </row>
    <row r="1146">
      <c r="A1146" s="25"/>
      <c r="B1146" s="42"/>
      <c r="C1146" s="42"/>
      <c r="D1146" s="42"/>
      <c r="E1146" s="42"/>
      <c r="F1146" s="42"/>
      <c r="M1146" s="91"/>
    </row>
    <row r="1147">
      <c r="A1147" s="25"/>
      <c r="B1147" s="42"/>
      <c r="C1147" s="42"/>
      <c r="D1147" s="42"/>
      <c r="E1147" s="42"/>
      <c r="F1147" s="42"/>
      <c r="M1147" s="91"/>
    </row>
    <row r="1148">
      <c r="A1148" s="25"/>
      <c r="B1148" s="42"/>
      <c r="C1148" s="42"/>
      <c r="D1148" s="42"/>
      <c r="E1148" s="42"/>
      <c r="F1148" s="42"/>
      <c r="M1148" s="91"/>
    </row>
    <row r="1149">
      <c r="A1149" s="25"/>
      <c r="B1149" s="42"/>
      <c r="C1149" s="42"/>
      <c r="D1149" s="42"/>
      <c r="E1149" s="42"/>
      <c r="F1149" s="42"/>
      <c r="M1149" s="91"/>
    </row>
    <row r="1150">
      <c r="A1150" s="25"/>
      <c r="B1150" s="42"/>
      <c r="C1150" s="42"/>
      <c r="D1150" s="42"/>
      <c r="E1150" s="42"/>
      <c r="F1150" s="42"/>
      <c r="M1150" s="91"/>
    </row>
    <row r="1151">
      <c r="A1151" s="25"/>
      <c r="B1151" s="42"/>
      <c r="C1151" s="42"/>
      <c r="D1151" s="42"/>
      <c r="E1151" s="42"/>
      <c r="F1151" s="42"/>
      <c r="M1151" s="91"/>
    </row>
    <row r="1152">
      <c r="A1152" s="25"/>
      <c r="B1152" s="42"/>
      <c r="C1152" s="42"/>
      <c r="D1152" s="42"/>
      <c r="E1152" s="42"/>
      <c r="F1152" s="42"/>
      <c r="M1152" s="91"/>
    </row>
    <row r="1153">
      <c r="A1153" s="25"/>
      <c r="B1153" s="42"/>
      <c r="C1153" s="42"/>
      <c r="D1153" s="42"/>
      <c r="E1153" s="42"/>
      <c r="F1153" s="42"/>
      <c r="M1153" s="91"/>
    </row>
    <row r="1154">
      <c r="A1154" s="25"/>
      <c r="B1154" s="42"/>
      <c r="C1154" s="42"/>
      <c r="D1154" s="42"/>
      <c r="E1154" s="42"/>
      <c r="F1154" s="42"/>
      <c r="M1154" s="91"/>
    </row>
    <row r="1155">
      <c r="A1155" s="25"/>
      <c r="B1155" s="42"/>
      <c r="C1155" s="42"/>
      <c r="D1155" s="42"/>
      <c r="E1155" s="42"/>
      <c r="F1155" s="42"/>
      <c r="M1155" s="91"/>
    </row>
    <row r="1156">
      <c r="A1156" s="25"/>
      <c r="B1156" s="42"/>
      <c r="C1156" s="42"/>
      <c r="D1156" s="42"/>
      <c r="E1156" s="42"/>
      <c r="F1156" s="42"/>
      <c r="M1156" s="91"/>
    </row>
    <row r="1157">
      <c r="A1157" s="25"/>
      <c r="B1157" s="42"/>
      <c r="C1157" s="42"/>
      <c r="D1157" s="42"/>
      <c r="E1157" s="42"/>
      <c r="F1157" s="42"/>
      <c r="M1157" s="91"/>
    </row>
    <row r="1158">
      <c r="A1158" s="25"/>
      <c r="B1158" s="42"/>
      <c r="C1158" s="42"/>
      <c r="D1158" s="42"/>
      <c r="E1158" s="42"/>
      <c r="F1158" s="42"/>
      <c r="M1158" s="91"/>
    </row>
    <row r="1159">
      <c r="A1159" s="25"/>
      <c r="B1159" s="42"/>
      <c r="C1159" s="42"/>
      <c r="D1159" s="42"/>
      <c r="E1159" s="42"/>
      <c r="F1159" s="42"/>
      <c r="M1159" s="91"/>
    </row>
    <row r="1160">
      <c r="A1160" s="25"/>
      <c r="B1160" s="42"/>
      <c r="C1160" s="42"/>
      <c r="D1160" s="42"/>
      <c r="E1160" s="42"/>
      <c r="F1160" s="42"/>
      <c r="M1160" s="91"/>
    </row>
    <row r="1161">
      <c r="A1161" s="25"/>
      <c r="B1161" s="42"/>
      <c r="C1161" s="42"/>
      <c r="D1161" s="42"/>
      <c r="E1161" s="42"/>
      <c r="F1161" s="42"/>
      <c r="M1161" s="91"/>
    </row>
    <row r="1162">
      <c r="A1162" s="25"/>
      <c r="B1162" s="42"/>
      <c r="C1162" s="42"/>
      <c r="D1162" s="42"/>
      <c r="E1162" s="42"/>
      <c r="F1162" s="42"/>
      <c r="M1162" s="91"/>
    </row>
    <row r="1163">
      <c r="A1163" s="25"/>
      <c r="B1163" s="42"/>
      <c r="C1163" s="42"/>
      <c r="D1163" s="42"/>
      <c r="E1163" s="42"/>
      <c r="F1163" s="42"/>
      <c r="M1163" s="91"/>
    </row>
    <row r="1164">
      <c r="A1164" s="25"/>
      <c r="B1164" s="42"/>
      <c r="C1164" s="42"/>
      <c r="D1164" s="42"/>
      <c r="E1164" s="42"/>
      <c r="F1164" s="42"/>
      <c r="M1164" s="91"/>
    </row>
    <row r="1165">
      <c r="A1165" s="25"/>
      <c r="B1165" s="42"/>
      <c r="C1165" s="42"/>
      <c r="D1165" s="42"/>
      <c r="E1165" s="42"/>
      <c r="F1165" s="42"/>
      <c r="M1165" s="91"/>
    </row>
    <row r="1166">
      <c r="A1166" s="25"/>
      <c r="B1166" s="42"/>
      <c r="C1166" s="42"/>
      <c r="D1166" s="42"/>
      <c r="E1166" s="42"/>
      <c r="F1166" s="42"/>
      <c r="M1166" s="91"/>
    </row>
    <row r="1167">
      <c r="A1167" s="25"/>
      <c r="B1167" s="42"/>
      <c r="C1167" s="42"/>
      <c r="D1167" s="42"/>
      <c r="E1167" s="42"/>
      <c r="F1167" s="42"/>
      <c r="M1167" s="91"/>
    </row>
    <row r="1168">
      <c r="A1168" s="25"/>
      <c r="B1168" s="42"/>
      <c r="C1168" s="42"/>
      <c r="D1168" s="42"/>
      <c r="E1168" s="42"/>
      <c r="F1168" s="42"/>
      <c r="M1168" s="91"/>
    </row>
    <row r="1169">
      <c r="A1169" s="25"/>
      <c r="B1169" s="42"/>
      <c r="C1169" s="42"/>
      <c r="D1169" s="42"/>
      <c r="E1169" s="42"/>
      <c r="F1169" s="42"/>
      <c r="M1169" s="91"/>
    </row>
    <row r="1170">
      <c r="A1170" s="25"/>
      <c r="B1170" s="42"/>
      <c r="C1170" s="42"/>
      <c r="D1170" s="42"/>
      <c r="E1170" s="42"/>
      <c r="F1170" s="42"/>
      <c r="M1170" s="91"/>
    </row>
    <row r="1171">
      <c r="A1171" s="25"/>
      <c r="B1171" s="42"/>
      <c r="C1171" s="42"/>
      <c r="D1171" s="42"/>
      <c r="E1171" s="42"/>
      <c r="F1171" s="42"/>
      <c r="M1171" s="91"/>
    </row>
    <row r="1172">
      <c r="A1172" s="25"/>
      <c r="B1172" s="42"/>
      <c r="C1172" s="42"/>
      <c r="D1172" s="42"/>
      <c r="E1172" s="42"/>
      <c r="F1172" s="42"/>
      <c r="M1172" s="91"/>
    </row>
    <row r="1173">
      <c r="A1173" s="25"/>
      <c r="B1173" s="42"/>
      <c r="C1173" s="42"/>
      <c r="D1173" s="42"/>
      <c r="E1173" s="42"/>
      <c r="F1173" s="42"/>
      <c r="M1173" s="91"/>
    </row>
    <row r="1174">
      <c r="A1174" s="25"/>
      <c r="B1174" s="42"/>
      <c r="C1174" s="42"/>
      <c r="D1174" s="42"/>
      <c r="E1174" s="42"/>
      <c r="F1174" s="42"/>
      <c r="M1174" s="91"/>
    </row>
    <row r="1175">
      <c r="A1175" s="25"/>
      <c r="B1175" s="42"/>
      <c r="C1175" s="42"/>
      <c r="D1175" s="42"/>
      <c r="E1175" s="42"/>
      <c r="F1175" s="42"/>
      <c r="M1175" s="91"/>
    </row>
    <row r="1176">
      <c r="A1176" s="25"/>
      <c r="B1176" s="42"/>
      <c r="C1176" s="42"/>
      <c r="D1176" s="42"/>
      <c r="E1176" s="42"/>
      <c r="F1176" s="42"/>
      <c r="M1176" s="91"/>
    </row>
    <row r="1177">
      <c r="A1177" s="25"/>
      <c r="B1177" s="42"/>
      <c r="C1177" s="42"/>
      <c r="D1177" s="42"/>
      <c r="E1177" s="42"/>
      <c r="F1177" s="42"/>
      <c r="M1177" s="91"/>
    </row>
    <row r="1178">
      <c r="A1178" s="25"/>
      <c r="B1178" s="42"/>
      <c r="C1178" s="42"/>
      <c r="D1178" s="42"/>
      <c r="E1178" s="42"/>
      <c r="F1178" s="42"/>
      <c r="M1178" s="91"/>
    </row>
    <row r="1179">
      <c r="A1179" s="25"/>
      <c r="B1179" s="42"/>
      <c r="C1179" s="42"/>
      <c r="D1179" s="42"/>
      <c r="E1179" s="42"/>
      <c r="F1179" s="42"/>
      <c r="M1179" s="91"/>
    </row>
    <row r="1180">
      <c r="A1180" s="25"/>
      <c r="B1180" s="42"/>
      <c r="C1180" s="42"/>
      <c r="D1180" s="42"/>
      <c r="E1180" s="42"/>
      <c r="F1180" s="42"/>
      <c r="M1180" s="91"/>
    </row>
    <row r="1181">
      <c r="A1181" s="25"/>
      <c r="B1181" s="42"/>
      <c r="C1181" s="42"/>
      <c r="D1181" s="42"/>
      <c r="E1181" s="42"/>
      <c r="F1181" s="42"/>
      <c r="M1181" s="91"/>
    </row>
    <row r="1182">
      <c r="A1182" s="25"/>
      <c r="B1182" s="42"/>
      <c r="C1182" s="42"/>
      <c r="D1182" s="42"/>
      <c r="E1182" s="42"/>
      <c r="F1182" s="42"/>
      <c r="M1182" s="91"/>
    </row>
    <row r="1183">
      <c r="A1183" s="25"/>
      <c r="B1183" s="42"/>
      <c r="C1183" s="42"/>
      <c r="D1183" s="42"/>
      <c r="E1183" s="42"/>
      <c r="F1183" s="42"/>
      <c r="M1183" s="91"/>
    </row>
    <row r="1184">
      <c r="A1184" s="25"/>
      <c r="B1184" s="42"/>
      <c r="C1184" s="42"/>
      <c r="D1184" s="42"/>
      <c r="E1184" s="42"/>
      <c r="F1184" s="42"/>
      <c r="M1184" s="91"/>
    </row>
    <row r="1185">
      <c r="A1185" s="25"/>
      <c r="B1185" s="42"/>
      <c r="C1185" s="42"/>
      <c r="D1185" s="42"/>
      <c r="E1185" s="42"/>
      <c r="F1185" s="42"/>
      <c r="M1185" s="91"/>
    </row>
    <row r="1186">
      <c r="A1186" s="25"/>
      <c r="B1186" s="42"/>
      <c r="C1186" s="42"/>
      <c r="D1186" s="42"/>
      <c r="E1186" s="42"/>
      <c r="F1186" s="42"/>
      <c r="M1186" s="91"/>
    </row>
    <row r="1187">
      <c r="A1187" s="25"/>
      <c r="B1187" s="42"/>
      <c r="C1187" s="42"/>
      <c r="D1187" s="42"/>
      <c r="E1187" s="42"/>
      <c r="F1187" s="42"/>
      <c r="M1187" s="91"/>
    </row>
    <row r="1188">
      <c r="A1188" s="25"/>
      <c r="B1188" s="42"/>
      <c r="C1188" s="42"/>
      <c r="D1188" s="42"/>
      <c r="E1188" s="42"/>
      <c r="F1188" s="42"/>
      <c r="M1188" s="91"/>
    </row>
    <row r="1189">
      <c r="A1189" s="25"/>
      <c r="B1189" s="42"/>
      <c r="C1189" s="42"/>
      <c r="D1189" s="42"/>
      <c r="E1189" s="42"/>
      <c r="F1189" s="42"/>
      <c r="M1189" s="91"/>
    </row>
    <row r="1190">
      <c r="A1190" s="25"/>
      <c r="B1190" s="42"/>
      <c r="C1190" s="42"/>
      <c r="D1190" s="42"/>
      <c r="E1190" s="42"/>
      <c r="F1190" s="42"/>
      <c r="M1190" s="91"/>
    </row>
    <row r="1191">
      <c r="A1191" s="25"/>
      <c r="B1191" s="42"/>
      <c r="C1191" s="42"/>
      <c r="D1191" s="42"/>
      <c r="E1191" s="42"/>
      <c r="F1191" s="42"/>
      <c r="M1191" s="91"/>
    </row>
    <row r="1192">
      <c r="A1192" s="25"/>
      <c r="B1192" s="42"/>
      <c r="C1192" s="42"/>
      <c r="D1192" s="42"/>
      <c r="E1192" s="42"/>
      <c r="F1192" s="42"/>
      <c r="M1192" s="91"/>
    </row>
    <row r="1193">
      <c r="A1193" s="25"/>
      <c r="B1193" s="42"/>
      <c r="C1193" s="42"/>
      <c r="D1193" s="42"/>
      <c r="E1193" s="42"/>
      <c r="F1193" s="42"/>
      <c r="M1193" s="91"/>
    </row>
    <row r="1194">
      <c r="A1194" s="25"/>
      <c r="B1194" s="42"/>
      <c r="C1194" s="42"/>
      <c r="D1194" s="42"/>
      <c r="E1194" s="42"/>
      <c r="F1194" s="42"/>
      <c r="M1194" s="91"/>
    </row>
    <row r="1195">
      <c r="A1195" s="25"/>
      <c r="B1195" s="42"/>
      <c r="C1195" s="42"/>
      <c r="D1195" s="42"/>
      <c r="E1195" s="42"/>
      <c r="F1195" s="42"/>
      <c r="M1195" s="91"/>
    </row>
    <row r="1196">
      <c r="A1196" s="25"/>
      <c r="B1196" s="42"/>
      <c r="C1196" s="42"/>
      <c r="D1196" s="42"/>
      <c r="E1196" s="42"/>
      <c r="F1196" s="42"/>
      <c r="M1196" s="91"/>
    </row>
    <row r="1197">
      <c r="A1197" s="25"/>
      <c r="B1197" s="42"/>
      <c r="C1197" s="42"/>
      <c r="D1197" s="42"/>
      <c r="E1197" s="42"/>
      <c r="F1197" s="42"/>
      <c r="M1197" s="91"/>
    </row>
    <row r="1198">
      <c r="A1198" s="25"/>
      <c r="B1198" s="42"/>
      <c r="C1198" s="42"/>
      <c r="D1198" s="42"/>
      <c r="E1198" s="42"/>
      <c r="F1198" s="42"/>
      <c r="M1198" s="91"/>
    </row>
    <row r="1199">
      <c r="A1199" s="25"/>
      <c r="B1199" s="42"/>
      <c r="C1199" s="42"/>
      <c r="D1199" s="42"/>
      <c r="E1199" s="42"/>
      <c r="F1199" s="42"/>
      <c r="M1199" s="91"/>
    </row>
    <row r="1200">
      <c r="A1200" s="25"/>
      <c r="B1200" s="42"/>
      <c r="C1200" s="42"/>
      <c r="D1200" s="42"/>
      <c r="E1200" s="42"/>
      <c r="F1200" s="42"/>
      <c r="M1200" s="91"/>
    </row>
    <row r="1201">
      <c r="A1201" s="25"/>
      <c r="B1201" s="42"/>
      <c r="C1201" s="42"/>
      <c r="D1201" s="42"/>
      <c r="E1201" s="42"/>
      <c r="F1201" s="42"/>
      <c r="M1201" s="91"/>
    </row>
    <row r="1202">
      <c r="A1202" s="25"/>
      <c r="B1202" s="42"/>
      <c r="C1202" s="42"/>
      <c r="D1202" s="42"/>
      <c r="E1202" s="42"/>
      <c r="F1202" s="42"/>
      <c r="M1202" s="91"/>
    </row>
    <row r="1203">
      <c r="A1203" s="25"/>
      <c r="B1203" s="42"/>
      <c r="C1203" s="42"/>
      <c r="D1203" s="42"/>
      <c r="E1203" s="42"/>
      <c r="F1203" s="42"/>
      <c r="M1203" s="91"/>
    </row>
    <row r="1204">
      <c r="A1204" s="25"/>
      <c r="B1204" s="42"/>
      <c r="C1204" s="42"/>
      <c r="D1204" s="42"/>
      <c r="E1204" s="42"/>
      <c r="F1204" s="42"/>
      <c r="M1204" s="91"/>
    </row>
    <row r="1205">
      <c r="A1205" s="25"/>
      <c r="B1205" s="42"/>
      <c r="C1205" s="42"/>
      <c r="D1205" s="42"/>
      <c r="E1205" s="42"/>
      <c r="F1205" s="42"/>
      <c r="M1205" s="91"/>
    </row>
    <row r="1206">
      <c r="A1206" s="25"/>
      <c r="B1206" s="42"/>
      <c r="C1206" s="42"/>
      <c r="D1206" s="42"/>
      <c r="E1206" s="42"/>
      <c r="F1206" s="42"/>
      <c r="M1206" s="91"/>
    </row>
    <row r="1207">
      <c r="A1207" s="25"/>
      <c r="B1207" s="42"/>
      <c r="C1207" s="42"/>
      <c r="D1207" s="42"/>
      <c r="E1207" s="42"/>
      <c r="F1207" s="42"/>
      <c r="M1207" s="91"/>
    </row>
    <row r="1208">
      <c r="A1208" s="25"/>
      <c r="B1208" s="42"/>
      <c r="C1208" s="42"/>
      <c r="D1208" s="42"/>
      <c r="E1208" s="42"/>
      <c r="F1208" s="42"/>
      <c r="M1208" s="91"/>
    </row>
    <row r="1209">
      <c r="A1209" s="25"/>
      <c r="B1209" s="42"/>
      <c r="C1209" s="42"/>
      <c r="D1209" s="42"/>
      <c r="E1209" s="42"/>
      <c r="F1209" s="42"/>
      <c r="M1209" s="91"/>
    </row>
    <row r="1210">
      <c r="A1210" s="25"/>
      <c r="B1210" s="42"/>
      <c r="C1210" s="42"/>
      <c r="D1210" s="42"/>
      <c r="E1210" s="42"/>
      <c r="F1210" s="42"/>
      <c r="M1210" s="91"/>
    </row>
    <row r="1211">
      <c r="A1211" s="25"/>
      <c r="B1211" s="42"/>
      <c r="C1211" s="42"/>
      <c r="D1211" s="42"/>
      <c r="E1211" s="42"/>
      <c r="F1211" s="42"/>
      <c r="M1211" s="91"/>
    </row>
    <row r="1212">
      <c r="A1212" s="25"/>
      <c r="B1212" s="42"/>
      <c r="C1212" s="42"/>
      <c r="D1212" s="42"/>
      <c r="E1212" s="42"/>
      <c r="F1212" s="42"/>
      <c r="M1212" s="91"/>
    </row>
    <row r="1213">
      <c r="A1213" s="25"/>
      <c r="B1213" s="42"/>
      <c r="C1213" s="42"/>
      <c r="D1213" s="42"/>
      <c r="E1213" s="42"/>
      <c r="F1213" s="42"/>
      <c r="M1213" s="91"/>
    </row>
    <row r="1214">
      <c r="A1214" s="25"/>
      <c r="B1214" s="42"/>
      <c r="C1214" s="42"/>
      <c r="D1214" s="42"/>
      <c r="E1214" s="42"/>
      <c r="F1214" s="42"/>
      <c r="M1214" s="91"/>
    </row>
    <row r="1215">
      <c r="A1215" s="25"/>
      <c r="B1215" s="42"/>
      <c r="C1215" s="42"/>
      <c r="D1215" s="42"/>
      <c r="E1215" s="42"/>
      <c r="F1215" s="42"/>
      <c r="M1215" s="91"/>
    </row>
    <row r="1216">
      <c r="A1216" s="25"/>
      <c r="B1216" s="42"/>
      <c r="C1216" s="42"/>
      <c r="D1216" s="42"/>
      <c r="E1216" s="42"/>
      <c r="F1216" s="42"/>
      <c r="M1216" s="91"/>
    </row>
    <row r="1217">
      <c r="A1217" s="25"/>
      <c r="B1217" s="42"/>
      <c r="C1217" s="42"/>
      <c r="D1217" s="42"/>
      <c r="E1217" s="42"/>
      <c r="F1217" s="42"/>
      <c r="M1217" s="91"/>
    </row>
    <row r="1218">
      <c r="A1218" s="25"/>
      <c r="B1218" s="42"/>
      <c r="C1218" s="42"/>
      <c r="D1218" s="42"/>
      <c r="E1218" s="42"/>
      <c r="F1218" s="42"/>
      <c r="M1218" s="91"/>
    </row>
    <row r="1219">
      <c r="A1219" s="25"/>
      <c r="B1219" s="42"/>
      <c r="C1219" s="42"/>
      <c r="D1219" s="42"/>
      <c r="E1219" s="42"/>
      <c r="F1219" s="42"/>
      <c r="M1219" s="91"/>
    </row>
    <row r="1220">
      <c r="A1220" s="25"/>
      <c r="B1220" s="42"/>
      <c r="C1220" s="42"/>
      <c r="D1220" s="42"/>
      <c r="E1220" s="42"/>
      <c r="F1220" s="42"/>
      <c r="M1220" s="91"/>
    </row>
    <row r="1221">
      <c r="A1221" s="25"/>
      <c r="B1221" s="42"/>
      <c r="C1221" s="42"/>
      <c r="D1221" s="42"/>
      <c r="E1221" s="42"/>
      <c r="F1221" s="42"/>
      <c r="M1221" s="91"/>
    </row>
    <row r="1222">
      <c r="A1222" s="25"/>
      <c r="B1222" s="42"/>
      <c r="C1222" s="42"/>
      <c r="D1222" s="42"/>
      <c r="E1222" s="42"/>
      <c r="F1222" s="42"/>
      <c r="M1222" s="91"/>
    </row>
    <row r="1223">
      <c r="A1223" s="25"/>
      <c r="B1223" s="42"/>
      <c r="C1223" s="42"/>
      <c r="D1223" s="42"/>
      <c r="E1223" s="42"/>
      <c r="F1223" s="42"/>
      <c r="M1223" s="91"/>
    </row>
    <row r="1224">
      <c r="A1224" s="25"/>
      <c r="B1224" s="42"/>
      <c r="C1224" s="42"/>
      <c r="D1224" s="42"/>
      <c r="E1224" s="42"/>
      <c r="F1224" s="42"/>
      <c r="M1224" s="91"/>
    </row>
    <row r="1225">
      <c r="A1225" s="25"/>
      <c r="B1225" s="42"/>
      <c r="C1225" s="42"/>
      <c r="D1225" s="42"/>
      <c r="E1225" s="42"/>
      <c r="F1225" s="42"/>
      <c r="M1225" s="91"/>
    </row>
    <row r="1226">
      <c r="A1226" s="25"/>
      <c r="B1226" s="42"/>
      <c r="C1226" s="42"/>
      <c r="D1226" s="42"/>
      <c r="E1226" s="42"/>
      <c r="F1226" s="42"/>
      <c r="M1226" s="91"/>
    </row>
    <row r="1227">
      <c r="A1227" s="25"/>
      <c r="B1227" s="42"/>
      <c r="C1227" s="42"/>
      <c r="D1227" s="42"/>
      <c r="E1227" s="42"/>
      <c r="F1227" s="42"/>
      <c r="M1227" s="91"/>
    </row>
    <row r="1228">
      <c r="A1228" s="25"/>
      <c r="B1228" s="42"/>
      <c r="C1228" s="42"/>
      <c r="D1228" s="42"/>
      <c r="E1228" s="42"/>
      <c r="F1228" s="42"/>
      <c r="M1228" s="91"/>
    </row>
    <row r="1229">
      <c r="A1229" s="25"/>
      <c r="B1229" s="42"/>
      <c r="C1229" s="42"/>
      <c r="D1229" s="42"/>
      <c r="E1229" s="42"/>
      <c r="F1229" s="42"/>
      <c r="M1229" s="91"/>
    </row>
    <row r="1230">
      <c r="A1230" s="25"/>
      <c r="B1230" s="42"/>
      <c r="C1230" s="42"/>
      <c r="D1230" s="42"/>
      <c r="E1230" s="42"/>
      <c r="F1230" s="42"/>
      <c r="M1230" s="91"/>
    </row>
    <row r="1231">
      <c r="A1231" s="25"/>
      <c r="B1231" s="42"/>
      <c r="C1231" s="42"/>
      <c r="D1231" s="42"/>
      <c r="E1231" s="42"/>
      <c r="F1231" s="42"/>
      <c r="M1231" s="91"/>
    </row>
    <row r="1232">
      <c r="A1232" s="25"/>
      <c r="B1232" s="42"/>
      <c r="C1232" s="42"/>
      <c r="D1232" s="42"/>
      <c r="E1232" s="42"/>
      <c r="F1232" s="42"/>
      <c r="M1232" s="91"/>
    </row>
    <row r="1233">
      <c r="A1233" s="25"/>
      <c r="B1233" s="42"/>
      <c r="C1233" s="42"/>
      <c r="D1233" s="42"/>
      <c r="E1233" s="42"/>
      <c r="F1233" s="42"/>
      <c r="M1233" s="91"/>
    </row>
    <row r="1234">
      <c r="A1234" s="25"/>
      <c r="B1234" s="42"/>
      <c r="C1234" s="42"/>
      <c r="D1234" s="42"/>
      <c r="E1234" s="42"/>
      <c r="F1234" s="42"/>
      <c r="M1234" s="91"/>
    </row>
    <row r="1235">
      <c r="A1235" s="25"/>
      <c r="B1235" s="42"/>
      <c r="C1235" s="42"/>
      <c r="D1235" s="42"/>
      <c r="E1235" s="42"/>
      <c r="F1235" s="42"/>
      <c r="M1235" s="91"/>
    </row>
    <row r="1236">
      <c r="A1236" s="25"/>
      <c r="B1236" s="42"/>
      <c r="C1236" s="42"/>
      <c r="D1236" s="42"/>
      <c r="E1236" s="42"/>
      <c r="F1236" s="42"/>
      <c r="M1236" s="91"/>
    </row>
    <row r="1237">
      <c r="A1237" s="25"/>
      <c r="B1237" s="42"/>
      <c r="C1237" s="42"/>
      <c r="D1237" s="42"/>
      <c r="E1237" s="42"/>
      <c r="F1237" s="42"/>
      <c r="M1237" s="91"/>
    </row>
    <row r="1238">
      <c r="A1238" s="25"/>
      <c r="B1238" s="42"/>
      <c r="C1238" s="42"/>
      <c r="D1238" s="42"/>
      <c r="E1238" s="42"/>
      <c r="F1238" s="42"/>
      <c r="M1238" s="91"/>
    </row>
    <row r="1239">
      <c r="A1239" s="25"/>
      <c r="B1239" s="42"/>
      <c r="C1239" s="42"/>
      <c r="D1239" s="42"/>
      <c r="E1239" s="42"/>
      <c r="F1239" s="42"/>
      <c r="M1239" s="91"/>
    </row>
    <row r="1240">
      <c r="A1240" s="25"/>
      <c r="B1240" s="42"/>
      <c r="C1240" s="42"/>
      <c r="D1240" s="42"/>
      <c r="E1240" s="42"/>
      <c r="F1240" s="42"/>
      <c r="M1240" s="91"/>
    </row>
    <row r="1241">
      <c r="A1241" s="25"/>
      <c r="B1241" s="42"/>
      <c r="C1241" s="42"/>
      <c r="D1241" s="42"/>
      <c r="E1241" s="42"/>
      <c r="F1241" s="42"/>
      <c r="M1241" s="91"/>
    </row>
    <row r="1242">
      <c r="A1242" s="25"/>
      <c r="B1242" s="42"/>
      <c r="C1242" s="42"/>
      <c r="D1242" s="42"/>
      <c r="E1242" s="42"/>
      <c r="F1242" s="42"/>
      <c r="M1242" s="91"/>
    </row>
    <row r="1243">
      <c r="A1243" s="25"/>
      <c r="B1243" s="42"/>
      <c r="C1243" s="42"/>
      <c r="D1243" s="42"/>
      <c r="E1243" s="42"/>
      <c r="F1243" s="42"/>
      <c r="M1243" s="91"/>
    </row>
    <row r="1244">
      <c r="A1244" s="25"/>
      <c r="B1244" s="42"/>
      <c r="C1244" s="42"/>
      <c r="D1244" s="42"/>
      <c r="E1244" s="42"/>
      <c r="F1244" s="42"/>
      <c r="M1244" s="91"/>
    </row>
    <row r="1245">
      <c r="A1245" s="25"/>
      <c r="B1245" s="42"/>
      <c r="C1245" s="42"/>
      <c r="D1245" s="42"/>
      <c r="E1245" s="42"/>
      <c r="F1245" s="42"/>
      <c r="M1245" s="91"/>
    </row>
    <row r="1246">
      <c r="A1246" s="25"/>
      <c r="B1246" s="42"/>
      <c r="C1246" s="42"/>
      <c r="D1246" s="42"/>
      <c r="E1246" s="42"/>
      <c r="F1246" s="42"/>
      <c r="M1246" s="91"/>
    </row>
    <row r="1247">
      <c r="A1247" s="25"/>
      <c r="B1247" s="42"/>
      <c r="C1247" s="42"/>
      <c r="D1247" s="42"/>
      <c r="E1247" s="42"/>
      <c r="F1247" s="42"/>
      <c r="M1247" s="91"/>
    </row>
    <row r="1248">
      <c r="A1248" s="25"/>
      <c r="B1248" s="42"/>
      <c r="C1248" s="42"/>
      <c r="D1248" s="42"/>
      <c r="E1248" s="42"/>
      <c r="F1248" s="42"/>
      <c r="M1248" s="91"/>
    </row>
    <row r="1249">
      <c r="A1249" s="25"/>
      <c r="B1249" s="42"/>
      <c r="C1249" s="42"/>
      <c r="D1249" s="42"/>
      <c r="E1249" s="42"/>
      <c r="F1249" s="42"/>
      <c r="M1249" s="91"/>
    </row>
    <row r="1250">
      <c r="A1250" s="25"/>
      <c r="B1250" s="42"/>
      <c r="C1250" s="42"/>
      <c r="D1250" s="42"/>
      <c r="E1250" s="42"/>
      <c r="F1250" s="42"/>
      <c r="M1250" s="91"/>
    </row>
    <row r="1251">
      <c r="A1251" s="25"/>
      <c r="B1251" s="42"/>
      <c r="C1251" s="42"/>
      <c r="D1251" s="42"/>
      <c r="E1251" s="42"/>
      <c r="F1251" s="42"/>
      <c r="M1251" s="91"/>
    </row>
    <row r="1252">
      <c r="A1252" s="25"/>
      <c r="B1252" s="42"/>
      <c r="C1252" s="42"/>
      <c r="D1252" s="42"/>
      <c r="E1252" s="42"/>
      <c r="F1252" s="42"/>
      <c r="M1252" s="91"/>
    </row>
    <row r="1253">
      <c r="A1253" s="25"/>
      <c r="B1253" s="42"/>
      <c r="C1253" s="42"/>
      <c r="D1253" s="42"/>
      <c r="E1253" s="42"/>
      <c r="F1253" s="42"/>
      <c r="M1253" s="91"/>
    </row>
    <row r="1254">
      <c r="A1254" s="25"/>
      <c r="B1254" s="42"/>
      <c r="C1254" s="42"/>
      <c r="D1254" s="42"/>
      <c r="E1254" s="42"/>
      <c r="F1254" s="42"/>
      <c r="M1254" s="91"/>
    </row>
    <row r="1255">
      <c r="A1255" s="25"/>
      <c r="B1255" s="42"/>
      <c r="C1255" s="42"/>
      <c r="D1255" s="42"/>
      <c r="E1255" s="42"/>
      <c r="F1255" s="42"/>
      <c r="M1255" s="91"/>
    </row>
    <row r="1256">
      <c r="A1256" s="25"/>
      <c r="B1256" s="42"/>
      <c r="C1256" s="42"/>
      <c r="D1256" s="42"/>
      <c r="E1256" s="42"/>
      <c r="F1256" s="42"/>
      <c r="M1256" s="91"/>
    </row>
    <row r="1257">
      <c r="A1257" s="25"/>
      <c r="B1257" s="42"/>
      <c r="C1257" s="42"/>
      <c r="D1257" s="42"/>
      <c r="E1257" s="42"/>
      <c r="F1257" s="42"/>
      <c r="M1257" s="91"/>
    </row>
    <row r="1258">
      <c r="A1258" s="25"/>
      <c r="B1258" s="42"/>
      <c r="C1258" s="42"/>
      <c r="D1258" s="42"/>
      <c r="E1258" s="42"/>
      <c r="F1258" s="42"/>
      <c r="M1258" s="91"/>
    </row>
    <row r="1259">
      <c r="A1259" s="25"/>
      <c r="B1259" s="42"/>
      <c r="C1259" s="42"/>
      <c r="D1259" s="42"/>
      <c r="E1259" s="42"/>
      <c r="F1259" s="42"/>
      <c r="M1259" s="91"/>
    </row>
    <row r="1260">
      <c r="A1260" s="25"/>
      <c r="B1260" s="42"/>
      <c r="C1260" s="42"/>
      <c r="D1260" s="42"/>
      <c r="E1260" s="42"/>
      <c r="F1260" s="42"/>
      <c r="M1260" s="91"/>
    </row>
    <row r="1261">
      <c r="A1261" s="25"/>
      <c r="B1261" s="42"/>
      <c r="C1261" s="42"/>
      <c r="D1261" s="42"/>
      <c r="E1261" s="42"/>
      <c r="F1261" s="42"/>
      <c r="M1261" s="91"/>
    </row>
    <row r="1262">
      <c r="A1262" s="25"/>
      <c r="B1262" s="42"/>
      <c r="C1262" s="42"/>
      <c r="D1262" s="42"/>
      <c r="E1262" s="42"/>
      <c r="F1262" s="42"/>
      <c r="M1262" s="91"/>
    </row>
    <row r="1263">
      <c r="A1263" s="25"/>
      <c r="B1263" s="42"/>
      <c r="C1263" s="42"/>
      <c r="D1263" s="42"/>
      <c r="E1263" s="42"/>
      <c r="F1263" s="42"/>
      <c r="M1263" s="91"/>
    </row>
    <row r="1264">
      <c r="A1264" s="25"/>
      <c r="B1264" s="42"/>
      <c r="C1264" s="42"/>
      <c r="D1264" s="42"/>
      <c r="E1264" s="42"/>
      <c r="F1264" s="42"/>
      <c r="M1264" s="91"/>
    </row>
    <row r="1265">
      <c r="A1265" s="25"/>
      <c r="B1265" s="42"/>
      <c r="C1265" s="42"/>
      <c r="D1265" s="42"/>
      <c r="E1265" s="42"/>
      <c r="F1265" s="42"/>
      <c r="M1265" s="91"/>
    </row>
    <row r="1266">
      <c r="A1266" s="25"/>
      <c r="B1266" s="42"/>
      <c r="C1266" s="42"/>
      <c r="D1266" s="42"/>
      <c r="E1266" s="42"/>
      <c r="F1266" s="42"/>
      <c r="M1266" s="91"/>
    </row>
    <row r="1267">
      <c r="A1267" s="25"/>
      <c r="B1267" s="42"/>
      <c r="C1267" s="42"/>
      <c r="D1267" s="42"/>
      <c r="E1267" s="42"/>
      <c r="F1267" s="42"/>
      <c r="M1267" s="91"/>
    </row>
    <row r="1268">
      <c r="A1268" s="25"/>
      <c r="B1268" s="42"/>
      <c r="C1268" s="42"/>
      <c r="D1268" s="42"/>
      <c r="E1268" s="42"/>
      <c r="F1268" s="42"/>
      <c r="M1268" s="91"/>
    </row>
    <row r="1269">
      <c r="A1269" s="25"/>
      <c r="B1269" s="42"/>
      <c r="C1269" s="42"/>
      <c r="D1269" s="42"/>
      <c r="E1269" s="42"/>
      <c r="F1269" s="42"/>
      <c r="M1269" s="91"/>
    </row>
    <row r="1270">
      <c r="A1270" s="25"/>
      <c r="B1270" s="42"/>
      <c r="C1270" s="42"/>
      <c r="D1270" s="42"/>
      <c r="E1270" s="42"/>
      <c r="F1270" s="42"/>
      <c r="M1270" s="91"/>
    </row>
    <row r="1271">
      <c r="A1271" s="25"/>
      <c r="B1271" s="42"/>
      <c r="C1271" s="42"/>
      <c r="D1271" s="42"/>
      <c r="E1271" s="42"/>
      <c r="F1271" s="42"/>
      <c r="M1271" s="91"/>
    </row>
    <row r="1272">
      <c r="A1272" s="25"/>
      <c r="B1272" s="42"/>
      <c r="C1272" s="42"/>
      <c r="D1272" s="42"/>
      <c r="E1272" s="42"/>
      <c r="F1272" s="42"/>
      <c r="M1272" s="91"/>
    </row>
    <row r="1273">
      <c r="A1273" s="25"/>
      <c r="B1273" s="42"/>
      <c r="C1273" s="42"/>
      <c r="D1273" s="42"/>
      <c r="E1273" s="42"/>
      <c r="F1273" s="42"/>
      <c r="M1273" s="91"/>
    </row>
    <row r="1274">
      <c r="A1274" s="25"/>
      <c r="B1274" s="42"/>
      <c r="C1274" s="42"/>
      <c r="D1274" s="42"/>
      <c r="E1274" s="42"/>
      <c r="F1274" s="42"/>
      <c r="M1274" s="91"/>
    </row>
    <row r="1275">
      <c r="A1275" s="25"/>
      <c r="B1275" s="42"/>
      <c r="C1275" s="42"/>
      <c r="D1275" s="42"/>
      <c r="E1275" s="42"/>
      <c r="F1275" s="42"/>
      <c r="M1275" s="91"/>
    </row>
    <row r="1276">
      <c r="A1276" s="25"/>
      <c r="B1276" s="42"/>
      <c r="C1276" s="42"/>
      <c r="D1276" s="42"/>
      <c r="E1276" s="42"/>
      <c r="F1276" s="42"/>
      <c r="M1276" s="91"/>
    </row>
    <row r="1277">
      <c r="A1277" s="25"/>
      <c r="B1277" s="42"/>
      <c r="C1277" s="42"/>
      <c r="D1277" s="42"/>
      <c r="E1277" s="42"/>
      <c r="F1277" s="42"/>
      <c r="M1277" s="91"/>
    </row>
    <row r="1278">
      <c r="A1278" s="25"/>
      <c r="B1278" s="42"/>
      <c r="C1278" s="42"/>
      <c r="D1278" s="42"/>
      <c r="E1278" s="42"/>
      <c r="F1278" s="42"/>
      <c r="M1278" s="91"/>
    </row>
    <row r="1279">
      <c r="A1279" s="25"/>
      <c r="B1279" s="42"/>
      <c r="C1279" s="42"/>
      <c r="D1279" s="42"/>
      <c r="E1279" s="42"/>
      <c r="F1279" s="42"/>
      <c r="M1279" s="91"/>
    </row>
    <row r="1280">
      <c r="A1280" s="25"/>
      <c r="B1280" s="42"/>
      <c r="C1280" s="42"/>
      <c r="D1280" s="42"/>
      <c r="E1280" s="42"/>
      <c r="F1280" s="42"/>
      <c r="M1280" s="91"/>
    </row>
    <row r="1281">
      <c r="A1281" s="25"/>
      <c r="B1281" s="42"/>
      <c r="C1281" s="42"/>
      <c r="D1281" s="42"/>
      <c r="E1281" s="42"/>
      <c r="F1281" s="42"/>
      <c r="M1281" s="91"/>
    </row>
    <row r="1282">
      <c r="A1282" s="25"/>
      <c r="B1282" s="42"/>
      <c r="C1282" s="42"/>
      <c r="D1282" s="42"/>
      <c r="E1282" s="42"/>
      <c r="F1282" s="42"/>
      <c r="M1282" s="91"/>
    </row>
    <row r="1283">
      <c r="A1283" s="25"/>
      <c r="B1283" s="42"/>
      <c r="C1283" s="42"/>
      <c r="D1283" s="42"/>
      <c r="E1283" s="42"/>
      <c r="F1283" s="42"/>
      <c r="M1283" s="91"/>
    </row>
    <row r="1284">
      <c r="A1284" s="25"/>
      <c r="B1284" s="42"/>
      <c r="C1284" s="42"/>
      <c r="D1284" s="42"/>
      <c r="E1284" s="42"/>
      <c r="F1284" s="42"/>
      <c r="M1284" s="91"/>
    </row>
    <row r="1285">
      <c r="A1285" s="25"/>
      <c r="B1285" s="42"/>
      <c r="C1285" s="42"/>
      <c r="D1285" s="42"/>
      <c r="E1285" s="42"/>
      <c r="F1285" s="42"/>
      <c r="M1285" s="91"/>
    </row>
    <row r="1286">
      <c r="A1286" s="25"/>
      <c r="B1286" s="42"/>
      <c r="C1286" s="42"/>
      <c r="D1286" s="42"/>
      <c r="E1286" s="42"/>
      <c r="F1286" s="42"/>
      <c r="M1286" s="91"/>
    </row>
    <row r="1287">
      <c r="A1287" s="25"/>
      <c r="B1287" s="42"/>
      <c r="C1287" s="42"/>
      <c r="D1287" s="42"/>
      <c r="E1287" s="42"/>
      <c r="F1287" s="42"/>
      <c r="M1287" s="91"/>
    </row>
    <row r="1288">
      <c r="A1288" s="25"/>
      <c r="B1288" s="42"/>
      <c r="C1288" s="42"/>
      <c r="D1288" s="42"/>
      <c r="E1288" s="42"/>
      <c r="F1288" s="42"/>
      <c r="M1288" s="91"/>
    </row>
    <row r="1289">
      <c r="A1289" s="25"/>
      <c r="B1289" s="42"/>
      <c r="C1289" s="42"/>
      <c r="D1289" s="42"/>
      <c r="E1289" s="42"/>
      <c r="F1289" s="42"/>
      <c r="M1289" s="91"/>
    </row>
    <row r="1290">
      <c r="A1290" s="25"/>
      <c r="B1290" s="42"/>
      <c r="C1290" s="42"/>
      <c r="D1290" s="42"/>
      <c r="E1290" s="42"/>
      <c r="F1290" s="42"/>
      <c r="M1290" s="91"/>
    </row>
    <row r="1291">
      <c r="A1291" s="25"/>
      <c r="B1291" s="42"/>
      <c r="C1291" s="42"/>
      <c r="D1291" s="42"/>
      <c r="E1291" s="42"/>
      <c r="F1291" s="42"/>
      <c r="M1291" s="91"/>
    </row>
    <row r="1292">
      <c r="A1292" s="25"/>
      <c r="B1292" s="42"/>
      <c r="C1292" s="42"/>
      <c r="D1292" s="42"/>
      <c r="E1292" s="42"/>
      <c r="F1292" s="42"/>
      <c r="M1292" s="91"/>
    </row>
    <row r="1293">
      <c r="A1293" s="25"/>
      <c r="B1293" s="42"/>
      <c r="C1293" s="42"/>
      <c r="D1293" s="42"/>
      <c r="E1293" s="42"/>
      <c r="F1293" s="42"/>
      <c r="M1293" s="91"/>
    </row>
    <row r="1294">
      <c r="A1294" s="25"/>
      <c r="B1294" s="42"/>
      <c r="C1294" s="42"/>
      <c r="D1294" s="42"/>
      <c r="E1294" s="42"/>
      <c r="F1294" s="42"/>
      <c r="M1294" s="91"/>
    </row>
    <row r="1295">
      <c r="A1295" s="25"/>
      <c r="B1295" s="42"/>
      <c r="C1295" s="42"/>
      <c r="D1295" s="42"/>
      <c r="E1295" s="42"/>
      <c r="F1295" s="42"/>
      <c r="M1295" s="91"/>
    </row>
    <row r="1296">
      <c r="A1296" s="25"/>
      <c r="B1296" s="42"/>
      <c r="C1296" s="42"/>
      <c r="D1296" s="42"/>
      <c r="E1296" s="42"/>
      <c r="F1296" s="42"/>
      <c r="M1296" s="91"/>
    </row>
    <row r="1297">
      <c r="A1297" s="25"/>
      <c r="B1297" s="42"/>
      <c r="C1297" s="42"/>
      <c r="D1297" s="42"/>
      <c r="E1297" s="42"/>
      <c r="F1297" s="42"/>
      <c r="M1297" s="91"/>
    </row>
    <row r="1298">
      <c r="A1298" s="25"/>
      <c r="B1298" s="42"/>
      <c r="C1298" s="42"/>
      <c r="D1298" s="42"/>
      <c r="E1298" s="42"/>
      <c r="F1298" s="42"/>
      <c r="M1298" s="91"/>
    </row>
    <row r="1299">
      <c r="A1299" s="25"/>
      <c r="B1299" s="42"/>
      <c r="C1299" s="42"/>
      <c r="D1299" s="42"/>
      <c r="E1299" s="42"/>
      <c r="F1299" s="42"/>
      <c r="M1299" s="91"/>
    </row>
    <row r="1300">
      <c r="A1300" s="25"/>
      <c r="B1300" s="42"/>
      <c r="C1300" s="42"/>
      <c r="D1300" s="42"/>
      <c r="E1300" s="42"/>
      <c r="F1300" s="42"/>
      <c r="M1300" s="91"/>
    </row>
    <row r="1301">
      <c r="A1301" s="25"/>
      <c r="B1301" s="42"/>
      <c r="C1301" s="42"/>
      <c r="D1301" s="42"/>
      <c r="E1301" s="42"/>
      <c r="F1301" s="42"/>
      <c r="M1301" s="91"/>
    </row>
    <row r="1302">
      <c r="A1302" s="25"/>
      <c r="B1302" s="42"/>
      <c r="C1302" s="42"/>
      <c r="D1302" s="42"/>
      <c r="E1302" s="42"/>
      <c r="F1302" s="42"/>
      <c r="M1302" s="91"/>
    </row>
    <row r="1303">
      <c r="A1303" s="25"/>
      <c r="B1303" s="42"/>
      <c r="C1303" s="42"/>
      <c r="D1303" s="42"/>
      <c r="E1303" s="42"/>
      <c r="F1303" s="42"/>
      <c r="M1303" s="91"/>
    </row>
    <row r="1304">
      <c r="A1304" s="25"/>
      <c r="B1304" s="42"/>
      <c r="C1304" s="42"/>
      <c r="D1304" s="42"/>
      <c r="E1304" s="42"/>
      <c r="F1304" s="42"/>
      <c r="M1304" s="91"/>
    </row>
    <row r="1305">
      <c r="A1305" s="25"/>
      <c r="B1305" s="42"/>
      <c r="C1305" s="42"/>
      <c r="D1305" s="42"/>
      <c r="E1305" s="42"/>
      <c r="F1305" s="42"/>
      <c r="M1305" s="91"/>
    </row>
    <row r="1306">
      <c r="A1306" s="25"/>
      <c r="B1306" s="42"/>
      <c r="C1306" s="42"/>
      <c r="D1306" s="42"/>
      <c r="E1306" s="42"/>
      <c r="F1306" s="42"/>
      <c r="M1306" s="91"/>
    </row>
    <row r="1307">
      <c r="A1307" s="25"/>
      <c r="B1307" s="42"/>
      <c r="C1307" s="42"/>
      <c r="D1307" s="42"/>
      <c r="E1307" s="42"/>
      <c r="F1307" s="42"/>
      <c r="M1307" s="91"/>
    </row>
    <row r="1308">
      <c r="A1308" s="25"/>
      <c r="B1308" s="42"/>
      <c r="C1308" s="42"/>
      <c r="D1308" s="42"/>
      <c r="E1308" s="42"/>
      <c r="F1308" s="42"/>
      <c r="M1308" s="91"/>
    </row>
    <row r="1309">
      <c r="A1309" s="25"/>
      <c r="B1309" s="42"/>
      <c r="C1309" s="42"/>
      <c r="D1309" s="42"/>
      <c r="E1309" s="42"/>
      <c r="F1309" s="42"/>
      <c r="M1309" s="91"/>
    </row>
    <row r="1310">
      <c r="A1310" s="25"/>
      <c r="B1310" s="42"/>
      <c r="C1310" s="42"/>
      <c r="D1310" s="42"/>
      <c r="E1310" s="42"/>
      <c r="F1310" s="42"/>
      <c r="M1310" s="91"/>
    </row>
    <row r="1311">
      <c r="A1311" s="25"/>
      <c r="B1311" s="42"/>
      <c r="C1311" s="42"/>
      <c r="D1311" s="42"/>
      <c r="E1311" s="42"/>
      <c r="F1311" s="42"/>
      <c r="M1311" s="91"/>
    </row>
    <row r="1312">
      <c r="A1312" s="25"/>
      <c r="B1312" s="42"/>
      <c r="C1312" s="42"/>
      <c r="D1312" s="42"/>
      <c r="E1312" s="42"/>
      <c r="F1312" s="42"/>
      <c r="M1312" s="91"/>
    </row>
    <row r="1313">
      <c r="A1313" s="25"/>
      <c r="B1313" s="42"/>
      <c r="C1313" s="42"/>
      <c r="D1313" s="42"/>
      <c r="E1313" s="42"/>
      <c r="F1313" s="42"/>
      <c r="M1313" s="91"/>
    </row>
    <row r="1314">
      <c r="A1314" s="25"/>
      <c r="B1314" s="42"/>
      <c r="C1314" s="42"/>
      <c r="D1314" s="42"/>
      <c r="E1314" s="42"/>
      <c r="F1314" s="42"/>
      <c r="M1314" s="91"/>
    </row>
    <row r="1315">
      <c r="A1315" s="25"/>
      <c r="B1315" s="42"/>
      <c r="C1315" s="42"/>
      <c r="D1315" s="42"/>
      <c r="E1315" s="42"/>
      <c r="F1315" s="42"/>
      <c r="M1315" s="91"/>
    </row>
    <row r="1316">
      <c r="A1316" s="25"/>
      <c r="B1316" s="42"/>
      <c r="C1316" s="42"/>
      <c r="D1316" s="42"/>
      <c r="E1316" s="42"/>
      <c r="F1316" s="42"/>
      <c r="M1316" s="91"/>
    </row>
    <row r="1317">
      <c r="A1317" s="25"/>
      <c r="B1317" s="42"/>
      <c r="C1317" s="42"/>
      <c r="D1317" s="42"/>
      <c r="E1317" s="42"/>
      <c r="F1317" s="42"/>
      <c r="M1317" s="91"/>
    </row>
    <row r="1318">
      <c r="A1318" s="25"/>
      <c r="B1318" s="42"/>
      <c r="C1318" s="42"/>
      <c r="D1318" s="42"/>
      <c r="E1318" s="42"/>
      <c r="F1318" s="42"/>
      <c r="M1318" s="91"/>
    </row>
    <row r="1319">
      <c r="A1319" s="25"/>
      <c r="B1319" s="42"/>
      <c r="C1319" s="42"/>
      <c r="D1319" s="42"/>
      <c r="E1319" s="42"/>
      <c r="F1319" s="42"/>
      <c r="M1319" s="91"/>
    </row>
    <row r="1320">
      <c r="A1320" s="25"/>
      <c r="B1320" s="42"/>
      <c r="C1320" s="42"/>
      <c r="D1320" s="42"/>
      <c r="E1320" s="42"/>
      <c r="F1320" s="42"/>
      <c r="M1320" s="91"/>
    </row>
    <row r="1321">
      <c r="A1321" s="25"/>
      <c r="B1321" s="42"/>
      <c r="C1321" s="42"/>
      <c r="D1321" s="42"/>
      <c r="E1321" s="42"/>
      <c r="F1321" s="42"/>
      <c r="M1321" s="91"/>
    </row>
    <row r="1322">
      <c r="A1322" s="25"/>
      <c r="B1322" s="42"/>
      <c r="C1322" s="42"/>
      <c r="D1322" s="42"/>
      <c r="E1322" s="42"/>
      <c r="F1322" s="42"/>
      <c r="M1322" s="91"/>
    </row>
    <row r="1323">
      <c r="A1323" s="25"/>
      <c r="B1323" s="42"/>
      <c r="C1323" s="42"/>
      <c r="D1323" s="42"/>
      <c r="E1323" s="42"/>
      <c r="F1323" s="42"/>
      <c r="M1323" s="91"/>
    </row>
    <row r="1324">
      <c r="A1324" s="25"/>
      <c r="B1324" s="42"/>
      <c r="C1324" s="42"/>
      <c r="D1324" s="42"/>
      <c r="E1324" s="42"/>
      <c r="F1324" s="42"/>
      <c r="M1324" s="91"/>
    </row>
    <row r="1325">
      <c r="A1325" s="25"/>
      <c r="B1325" s="42"/>
      <c r="C1325" s="42"/>
      <c r="D1325" s="42"/>
      <c r="E1325" s="42"/>
      <c r="F1325" s="42"/>
      <c r="M1325" s="91"/>
    </row>
    <row r="1326">
      <c r="A1326" s="25"/>
      <c r="B1326" s="42"/>
      <c r="C1326" s="42"/>
      <c r="D1326" s="42"/>
      <c r="E1326" s="42"/>
      <c r="F1326" s="42"/>
      <c r="M1326" s="91"/>
    </row>
    <row r="1327">
      <c r="A1327" s="25"/>
      <c r="B1327" s="42"/>
      <c r="C1327" s="42"/>
      <c r="D1327" s="42"/>
      <c r="E1327" s="42"/>
      <c r="F1327" s="42"/>
      <c r="M1327" s="91"/>
    </row>
    <row r="1328">
      <c r="A1328" s="25"/>
      <c r="B1328" s="42"/>
      <c r="C1328" s="42"/>
      <c r="D1328" s="42"/>
      <c r="E1328" s="42"/>
      <c r="F1328" s="42"/>
      <c r="M1328" s="91"/>
    </row>
    <row r="1329">
      <c r="A1329" s="25"/>
      <c r="B1329" s="42"/>
      <c r="C1329" s="42"/>
      <c r="D1329" s="42"/>
      <c r="E1329" s="42"/>
      <c r="F1329" s="42"/>
      <c r="M1329" s="91"/>
    </row>
    <row r="1330">
      <c r="A1330" s="25"/>
      <c r="B1330" s="42"/>
      <c r="C1330" s="42"/>
      <c r="D1330" s="42"/>
      <c r="E1330" s="42"/>
      <c r="F1330" s="42"/>
      <c r="M1330" s="91"/>
    </row>
    <row r="1331">
      <c r="A1331" s="25"/>
      <c r="B1331" s="42"/>
      <c r="C1331" s="42"/>
      <c r="D1331" s="42"/>
      <c r="E1331" s="42"/>
      <c r="F1331" s="42"/>
      <c r="M1331" s="91"/>
    </row>
    <row r="1332">
      <c r="A1332" s="25"/>
      <c r="B1332" s="42"/>
      <c r="C1332" s="42"/>
      <c r="D1332" s="42"/>
      <c r="E1332" s="42"/>
      <c r="F1332" s="42"/>
      <c r="M1332" s="91"/>
    </row>
    <row r="1333">
      <c r="A1333" s="25"/>
      <c r="B1333" s="42"/>
      <c r="C1333" s="42"/>
      <c r="D1333" s="42"/>
      <c r="E1333" s="42"/>
      <c r="F1333" s="42"/>
      <c r="M1333" s="91"/>
    </row>
    <row r="1334">
      <c r="A1334" s="25"/>
      <c r="B1334" s="42"/>
      <c r="C1334" s="42"/>
      <c r="D1334" s="42"/>
      <c r="E1334" s="42"/>
      <c r="F1334" s="42"/>
      <c r="M1334" s="91"/>
    </row>
    <row r="1335">
      <c r="A1335" s="25"/>
      <c r="B1335" s="42"/>
      <c r="C1335" s="42"/>
      <c r="D1335" s="42"/>
      <c r="E1335" s="42"/>
      <c r="F1335" s="42"/>
      <c r="M1335" s="91"/>
    </row>
    <row r="1336">
      <c r="A1336" s="25"/>
      <c r="B1336" s="42"/>
      <c r="C1336" s="42"/>
      <c r="D1336" s="42"/>
      <c r="E1336" s="42"/>
      <c r="F1336" s="42"/>
      <c r="M1336" s="91"/>
    </row>
    <row r="1337">
      <c r="A1337" s="25"/>
      <c r="B1337" s="42"/>
      <c r="C1337" s="42"/>
      <c r="D1337" s="42"/>
      <c r="E1337" s="42"/>
      <c r="F1337" s="42"/>
      <c r="M1337" s="91"/>
    </row>
    <row r="1338">
      <c r="A1338" s="25"/>
      <c r="B1338" s="42"/>
      <c r="C1338" s="42"/>
      <c r="D1338" s="42"/>
      <c r="E1338" s="42"/>
      <c r="F1338" s="42"/>
      <c r="M1338" s="91"/>
    </row>
    <row r="1339">
      <c r="A1339" s="25"/>
      <c r="B1339" s="42"/>
      <c r="C1339" s="42"/>
      <c r="D1339" s="42"/>
      <c r="E1339" s="42"/>
      <c r="F1339" s="42"/>
      <c r="M1339" s="91"/>
    </row>
    <row r="1340">
      <c r="A1340" s="25"/>
      <c r="B1340" s="42"/>
      <c r="C1340" s="42"/>
      <c r="D1340" s="42"/>
      <c r="E1340" s="42"/>
      <c r="F1340" s="42"/>
      <c r="M1340" s="91"/>
    </row>
    <row r="1341">
      <c r="A1341" s="25"/>
      <c r="B1341" s="42"/>
      <c r="C1341" s="42"/>
      <c r="D1341" s="42"/>
      <c r="E1341" s="42"/>
      <c r="F1341" s="42"/>
      <c r="M1341" s="91"/>
    </row>
    <row r="1342">
      <c r="A1342" s="25"/>
      <c r="B1342" s="42"/>
      <c r="C1342" s="42"/>
      <c r="D1342" s="42"/>
      <c r="E1342" s="42"/>
      <c r="F1342" s="42"/>
      <c r="M1342" s="91"/>
    </row>
    <row r="1343">
      <c r="A1343" s="25"/>
      <c r="B1343" s="42"/>
      <c r="C1343" s="42"/>
      <c r="D1343" s="42"/>
      <c r="E1343" s="42"/>
      <c r="F1343" s="42"/>
      <c r="M1343" s="91"/>
    </row>
    <row r="1344">
      <c r="A1344" s="25"/>
      <c r="B1344" s="42"/>
      <c r="C1344" s="42"/>
      <c r="D1344" s="42"/>
      <c r="E1344" s="42"/>
      <c r="F1344" s="42"/>
      <c r="M1344" s="91"/>
    </row>
    <row r="1345">
      <c r="A1345" s="25"/>
      <c r="B1345" s="42"/>
      <c r="C1345" s="42"/>
      <c r="D1345" s="42"/>
      <c r="E1345" s="42"/>
      <c r="F1345" s="42"/>
      <c r="M1345" s="91"/>
    </row>
    <row r="1346">
      <c r="A1346" s="25"/>
      <c r="B1346" s="42"/>
      <c r="C1346" s="42"/>
      <c r="D1346" s="42"/>
      <c r="E1346" s="42"/>
      <c r="F1346" s="42"/>
      <c r="M1346" s="91"/>
    </row>
    <row r="1347">
      <c r="A1347" s="25"/>
      <c r="B1347" s="42"/>
      <c r="C1347" s="42"/>
      <c r="D1347" s="42"/>
      <c r="E1347" s="42"/>
      <c r="F1347" s="42"/>
      <c r="M1347" s="91"/>
    </row>
    <row r="1348">
      <c r="A1348" s="25"/>
      <c r="B1348" s="42"/>
      <c r="C1348" s="42"/>
      <c r="D1348" s="42"/>
      <c r="E1348" s="42"/>
      <c r="F1348" s="42"/>
      <c r="M1348" s="91"/>
    </row>
    <row r="1349">
      <c r="A1349" s="25"/>
      <c r="B1349" s="42"/>
      <c r="C1349" s="42"/>
      <c r="D1349" s="42"/>
      <c r="E1349" s="42"/>
      <c r="F1349" s="42"/>
      <c r="M1349" s="91"/>
    </row>
    <row r="1350">
      <c r="A1350" s="25"/>
      <c r="B1350" s="42"/>
      <c r="C1350" s="42"/>
      <c r="D1350" s="42"/>
      <c r="E1350" s="42"/>
      <c r="F1350" s="42"/>
      <c r="M1350" s="91"/>
    </row>
    <row r="1351">
      <c r="A1351" s="25"/>
      <c r="B1351" s="42"/>
      <c r="C1351" s="42"/>
      <c r="D1351" s="42"/>
      <c r="E1351" s="42"/>
      <c r="F1351" s="42"/>
      <c r="M1351" s="91"/>
    </row>
    <row r="1352">
      <c r="A1352" s="25"/>
      <c r="B1352" s="42"/>
      <c r="C1352" s="42"/>
      <c r="D1352" s="42"/>
      <c r="E1352" s="42"/>
      <c r="F1352" s="42"/>
      <c r="M1352" s="91"/>
    </row>
    <row r="1353">
      <c r="A1353" s="25"/>
      <c r="B1353" s="42"/>
      <c r="C1353" s="42"/>
      <c r="D1353" s="42"/>
      <c r="E1353" s="42"/>
      <c r="F1353" s="42"/>
      <c r="M1353" s="91"/>
    </row>
    <row r="1354">
      <c r="A1354" s="25"/>
      <c r="B1354" s="42"/>
      <c r="C1354" s="42"/>
      <c r="D1354" s="42"/>
      <c r="E1354" s="42"/>
      <c r="F1354" s="42"/>
      <c r="M1354" s="91"/>
    </row>
    <row r="1355">
      <c r="A1355" s="25"/>
      <c r="B1355" s="42"/>
      <c r="C1355" s="42"/>
      <c r="D1355" s="42"/>
      <c r="E1355" s="42"/>
      <c r="F1355" s="42"/>
      <c r="M1355" s="91"/>
    </row>
    <row r="1356">
      <c r="A1356" s="25"/>
      <c r="B1356" s="42"/>
      <c r="C1356" s="42"/>
      <c r="D1356" s="42"/>
      <c r="E1356" s="42"/>
      <c r="F1356" s="42"/>
      <c r="M1356" s="91"/>
    </row>
    <row r="1357">
      <c r="A1357" s="25"/>
      <c r="B1357" s="42"/>
      <c r="C1357" s="42"/>
      <c r="D1357" s="42"/>
      <c r="E1357" s="42"/>
      <c r="F1357" s="42"/>
      <c r="M1357" s="91"/>
    </row>
    <row r="1358">
      <c r="A1358" s="25"/>
      <c r="B1358" s="42"/>
      <c r="C1358" s="42"/>
      <c r="D1358" s="42"/>
      <c r="E1358" s="42"/>
      <c r="F1358" s="42"/>
      <c r="M1358" s="91"/>
    </row>
    <row r="1359">
      <c r="A1359" s="25"/>
      <c r="B1359" s="42"/>
      <c r="C1359" s="42"/>
      <c r="D1359" s="42"/>
      <c r="E1359" s="42"/>
      <c r="F1359" s="42"/>
      <c r="M1359" s="91"/>
    </row>
    <row r="1360">
      <c r="A1360" s="25"/>
      <c r="B1360" s="42"/>
      <c r="C1360" s="42"/>
      <c r="D1360" s="42"/>
      <c r="E1360" s="42"/>
      <c r="F1360" s="42"/>
      <c r="M1360" s="91"/>
    </row>
    <row r="1361">
      <c r="A1361" s="25"/>
      <c r="B1361" s="42"/>
      <c r="C1361" s="42"/>
      <c r="D1361" s="42"/>
      <c r="E1361" s="42"/>
      <c r="F1361" s="42"/>
      <c r="M1361" s="91"/>
    </row>
    <row r="1362">
      <c r="A1362" s="25"/>
      <c r="B1362" s="42"/>
      <c r="C1362" s="42"/>
      <c r="D1362" s="42"/>
      <c r="E1362" s="42"/>
      <c r="F1362" s="42"/>
      <c r="M1362" s="91"/>
    </row>
    <row r="1363">
      <c r="A1363" s="25"/>
      <c r="B1363" s="42"/>
      <c r="C1363" s="42"/>
      <c r="D1363" s="42"/>
      <c r="E1363" s="42"/>
      <c r="F1363" s="42"/>
      <c r="M1363" s="91"/>
    </row>
    <row r="1364">
      <c r="A1364" s="25"/>
      <c r="B1364" s="42"/>
      <c r="C1364" s="42"/>
      <c r="D1364" s="42"/>
      <c r="E1364" s="42"/>
      <c r="F1364" s="42"/>
      <c r="M1364" s="91"/>
    </row>
    <row r="1365">
      <c r="A1365" s="25"/>
      <c r="B1365" s="42"/>
      <c r="C1365" s="42"/>
      <c r="D1365" s="42"/>
      <c r="E1365" s="42"/>
      <c r="F1365" s="42"/>
      <c r="M1365" s="91"/>
    </row>
    <row r="1366">
      <c r="A1366" s="25"/>
      <c r="B1366" s="42"/>
      <c r="C1366" s="42"/>
      <c r="D1366" s="42"/>
      <c r="E1366" s="42"/>
      <c r="F1366" s="42"/>
      <c r="M1366" s="91"/>
    </row>
    <row r="1367">
      <c r="A1367" s="25"/>
      <c r="B1367" s="42"/>
      <c r="C1367" s="42"/>
      <c r="D1367" s="42"/>
      <c r="E1367" s="42"/>
      <c r="F1367" s="42"/>
      <c r="M1367" s="91"/>
    </row>
    <row r="1368">
      <c r="A1368" s="25"/>
      <c r="B1368" s="42"/>
      <c r="C1368" s="42"/>
      <c r="D1368" s="42"/>
      <c r="E1368" s="42"/>
      <c r="F1368" s="42"/>
      <c r="M1368" s="91"/>
    </row>
    <row r="1369">
      <c r="A1369" s="25"/>
      <c r="B1369" s="42"/>
      <c r="C1369" s="42"/>
      <c r="D1369" s="42"/>
      <c r="E1369" s="42"/>
      <c r="F1369" s="42"/>
      <c r="M1369" s="91"/>
    </row>
    <row r="1370">
      <c r="A1370" s="25"/>
      <c r="B1370" s="42"/>
      <c r="C1370" s="42"/>
      <c r="D1370" s="42"/>
      <c r="E1370" s="42"/>
      <c r="F1370" s="42"/>
      <c r="M1370" s="91"/>
    </row>
    <row r="1371">
      <c r="A1371" s="25"/>
      <c r="B1371" s="42"/>
      <c r="C1371" s="42"/>
      <c r="D1371" s="42"/>
      <c r="E1371" s="42"/>
      <c r="F1371" s="42"/>
      <c r="M1371" s="91"/>
    </row>
    <row r="1372">
      <c r="A1372" s="25"/>
      <c r="B1372" s="42"/>
      <c r="C1372" s="42"/>
      <c r="D1372" s="42"/>
      <c r="E1372" s="42"/>
      <c r="F1372" s="42"/>
      <c r="M1372" s="91"/>
    </row>
    <row r="1373">
      <c r="A1373" s="25"/>
      <c r="B1373" s="42"/>
      <c r="C1373" s="42"/>
      <c r="D1373" s="42"/>
      <c r="E1373" s="42"/>
      <c r="F1373" s="42"/>
      <c r="M1373" s="91"/>
    </row>
    <row r="1374">
      <c r="A1374" s="25"/>
      <c r="B1374" s="42"/>
      <c r="C1374" s="42"/>
      <c r="D1374" s="42"/>
      <c r="E1374" s="42"/>
      <c r="F1374" s="42"/>
      <c r="M1374" s="91"/>
    </row>
    <row r="1375">
      <c r="A1375" s="25"/>
      <c r="B1375" s="42"/>
      <c r="C1375" s="42"/>
      <c r="D1375" s="42"/>
      <c r="E1375" s="42"/>
      <c r="F1375" s="42"/>
      <c r="M1375" s="91"/>
    </row>
    <row r="1376">
      <c r="A1376" s="25"/>
      <c r="B1376" s="42"/>
      <c r="C1376" s="42"/>
      <c r="D1376" s="42"/>
      <c r="E1376" s="42"/>
      <c r="F1376" s="42"/>
      <c r="M1376" s="91"/>
    </row>
    <row r="1377">
      <c r="A1377" s="25"/>
      <c r="B1377" s="42"/>
      <c r="C1377" s="42"/>
      <c r="D1377" s="42"/>
      <c r="E1377" s="42"/>
      <c r="F1377" s="42"/>
      <c r="M1377" s="91"/>
    </row>
    <row r="1378">
      <c r="A1378" s="25"/>
      <c r="B1378" s="42"/>
      <c r="C1378" s="42"/>
      <c r="D1378" s="42"/>
      <c r="E1378" s="42"/>
      <c r="F1378" s="42"/>
      <c r="M1378" s="91"/>
    </row>
    <row r="1379">
      <c r="A1379" s="25"/>
      <c r="B1379" s="42"/>
      <c r="C1379" s="42"/>
      <c r="D1379" s="42"/>
      <c r="E1379" s="42"/>
      <c r="F1379" s="42"/>
      <c r="M1379" s="91"/>
    </row>
    <row r="1380">
      <c r="A1380" s="25"/>
      <c r="B1380" s="42"/>
      <c r="C1380" s="42"/>
      <c r="D1380" s="42"/>
      <c r="E1380" s="42"/>
      <c r="F1380" s="42"/>
      <c r="M1380" s="91"/>
    </row>
    <row r="1381">
      <c r="A1381" s="25"/>
      <c r="B1381" s="42"/>
      <c r="C1381" s="42"/>
      <c r="D1381" s="42"/>
      <c r="E1381" s="42"/>
      <c r="F1381" s="42"/>
      <c r="M1381" s="91"/>
    </row>
    <row r="1382">
      <c r="A1382" s="25"/>
      <c r="B1382" s="42"/>
      <c r="C1382" s="42"/>
      <c r="D1382" s="42"/>
      <c r="E1382" s="42"/>
      <c r="F1382" s="42"/>
      <c r="M1382" s="91"/>
    </row>
    <row r="1383">
      <c r="A1383" s="25"/>
      <c r="B1383" s="42"/>
      <c r="C1383" s="42"/>
      <c r="D1383" s="42"/>
      <c r="E1383" s="42"/>
      <c r="F1383" s="42"/>
      <c r="M1383" s="91"/>
    </row>
    <row r="1384">
      <c r="A1384" s="25"/>
      <c r="B1384" s="42"/>
      <c r="C1384" s="42"/>
      <c r="D1384" s="42"/>
      <c r="E1384" s="42"/>
      <c r="F1384" s="42"/>
      <c r="M1384" s="91"/>
    </row>
    <row r="1385">
      <c r="A1385" s="25"/>
      <c r="B1385" s="42"/>
      <c r="C1385" s="42"/>
      <c r="D1385" s="42"/>
      <c r="E1385" s="42"/>
      <c r="F1385" s="42"/>
      <c r="M1385" s="91"/>
    </row>
    <row r="1386">
      <c r="A1386" s="25"/>
      <c r="B1386" s="42"/>
      <c r="C1386" s="42"/>
      <c r="D1386" s="42"/>
      <c r="E1386" s="42"/>
      <c r="F1386" s="42"/>
      <c r="M1386" s="91"/>
    </row>
    <row r="1387">
      <c r="A1387" s="25"/>
      <c r="B1387" s="42"/>
      <c r="C1387" s="42"/>
      <c r="D1387" s="42"/>
      <c r="E1387" s="42"/>
      <c r="F1387" s="42"/>
      <c r="M1387" s="91"/>
    </row>
    <row r="1388">
      <c r="A1388" s="25"/>
      <c r="B1388" s="42"/>
      <c r="C1388" s="42"/>
      <c r="D1388" s="42"/>
      <c r="E1388" s="42"/>
      <c r="F1388" s="42"/>
      <c r="M1388" s="91"/>
    </row>
    <row r="1389">
      <c r="A1389" s="25"/>
      <c r="B1389" s="42"/>
      <c r="C1389" s="42"/>
      <c r="D1389" s="42"/>
      <c r="E1389" s="42"/>
      <c r="F1389" s="42"/>
      <c r="M1389" s="91"/>
    </row>
    <row r="1390">
      <c r="A1390" s="25"/>
      <c r="B1390" s="42"/>
      <c r="C1390" s="42"/>
      <c r="D1390" s="42"/>
      <c r="E1390" s="42"/>
      <c r="F1390" s="42"/>
      <c r="M1390" s="91"/>
    </row>
    <row r="1391">
      <c r="A1391" s="25"/>
      <c r="B1391" s="42"/>
      <c r="C1391" s="42"/>
      <c r="D1391" s="42"/>
      <c r="E1391" s="42"/>
      <c r="F1391" s="42"/>
      <c r="M1391" s="91"/>
    </row>
    <row r="1392">
      <c r="A1392" s="25"/>
      <c r="B1392" s="42"/>
      <c r="C1392" s="42"/>
      <c r="D1392" s="42"/>
      <c r="E1392" s="42"/>
      <c r="F1392" s="42"/>
      <c r="M1392" s="91"/>
    </row>
    <row r="1393">
      <c r="A1393" s="25"/>
      <c r="B1393" s="42"/>
      <c r="C1393" s="42"/>
      <c r="D1393" s="42"/>
      <c r="E1393" s="42"/>
      <c r="F1393" s="42"/>
      <c r="M1393" s="91"/>
    </row>
    <row r="1394">
      <c r="A1394" s="25"/>
      <c r="B1394" s="42"/>
      <c r="C1394" s="42"/>
      <c r="D1394" s="42"/>
      <c r="E1394" s="42"/>
      <c r="F1394" s="42"/>
      <c r="M1394" s="91"/>
    </row>
    <row r="1395">
      <c r="A1395" s="25"/>
      <c r="B1395" s="42"/>
      <c r="C1395" s="42"/>
      <c r="D1395" s="42"/>
      <c r="E1395" s="42"/>
      <c r="F1395" s="42"/>
      <c r="M1395" s="91"/>
    </row>
    <row r="1396">
      <c r="A1396" s="25"/>
      <c r="B1396" s="42"/>
      <c r="C1396" s="42"/>
      <c r="D1396" s="42"/>
      <c r="E1396" s="42"/>
      <c r="F1396" s="42"/>
      <c r="M1396" s="91"/>
    </row>
    <row r="1397">
      <c r="A1397" s="25"/>
      <c r="B1397" s="42"/>
      <c r="C1397" s="42"/>
      <c r="D1397" s="42"/>
      <c r="E1397" s="42"/>
      <c r="F1397" s="42"/>
      <c r="M1397" s="91"/>
    </row>
    <row r="1398">
      <c r="A1398" s="25"/>
      <c r="B1398" s="42"/>
      <c r="C1398" s="42"/>
      <c r="D1398" s="42"/>
      <c r="E1398" s="42"/>
      <c r="F1398" s="42"/>
      <c r="M1398" s="91"/>
    </row>
    <row r="1399">
      <c r="A1399" s="25"/>
      <c r="B1399" s="42"/>
      <c r="C1399" s="42"/>
      <c r="D1399" s="42"/>
      <c r="E1399" s="42"/>
      <c r="F1399" s="42"/>
      <c r="M1399" s="91"/>
    </row>
    <row r="1400">
      <c r="A1400" s="25"/>
      <c r="B1400" s="42"/>
      <c r="C1400" s="42"/>
      <c r="D1400" s="42"/>
      <c r="E1400" s="42"/>
      <c r="F1400" s="42"/>
      <c r="M1400" s="91"/>
    </row>
    <row r="1401">
      <c r="A1401" s="25"/>
      <c r="B1401" s="42"/>
      <c r="C1401" s="42"/>
      <c r="D1401" s="42"/>
      <c r="E1401" s="42"/>
      <c r="F1401" s="42"/>
      <c r="M1401" s="91"/>
    </row>
    <row r="1402">
      <c r="A1402" s="25"/>
      <c r="B1402" s="42"/>
      <c r="C1402" s="42"/>
      <c r="D1402" s="42"/>
      <c r="E1402" s="42"/>
      <c r="F1402" s="42"/>
      <c r="M1402" s="91"/>
    </row>
    <row r="1403">
      <c r="A1403" s="25"/>
      <c r="B1403" s="42"/>
      <c r="C1403" s="42"/>
      <c r="D1403" s="42"/>
      <c r="E1403" s="42"/>
      <c r="F1403" s="42"/>
      <c r="M1403" s="91"/>
    </row>
    <row r="1404">
      <c r="A1404" s="25"/>
      <c r="B1404" s="42"/>
      <c r="C1404" s="42"/>
      <c r="D1404" s="42"/>
      <c r="E1404" s="42"/>
      <c r="F1404" s="42"/>
      <c r="M1404" s="91"/>
    </row>
    <row r="1405">
      <c r="A1405" s="25"/>
      <c r="B1405" s="42"/>
      <c r="C1405" s="42"/>
      <c r="D1405" s="42"/>
      <c r="E1405" s="42"/>
      <c r="F1405" s="42"/>
      <c r="M1405" s="91"/>
    </row>
    <row r="1406">
      <c r="A1406" s="25"/>
      <c r="B1406" s="42"/>
      <c r="C1406" s="42"/>
      <c r="D1406" s="42"/>
      <c r="E1406" s="42"/>
      <c r="F1406" s="42"/>
      <c r="M1406" s="91"/>
    </row>
    <row r="1407">
      <c r="A1407" s="25"/>
      <c r="B1407" s="42"/>
      <c r="C1407" s="42"/>
      <c r="D1407" s="42"/>
      <c r="E1407" s="42"/>
      <c r="F1407" s="42"/>
      <c r="M1407" s="91"/>
    </row>
    <row r="1408">
      <c r="A1408" s="25"/>
      <c r="B1408" s="42"/>
      <c r="C1408" s="42"/>
      <c r="D1408" s="42"/>
      <c r="E1408" s="42"/>
      <c r="F1408" s="42"/>
      <c r="M1408" s="91"/>
    </row>
    <row r="1409">
      <c r="A1409" s="25"/>
      <c r="B1409" s="42"/>
      <c r="C1409" s="42"/>
      <c r="D1409" s="42"/>
      <c r="E1409" s="42"/>
      <c r="F1409" s="42"/>
      <c r="M1409" s="91"/>
    </row>
    <row r="1410">
      <c r="A1410" s="25"/>
      <c r="B1410" s="42"/>
      <c r="C1410" s="42"/>
      <c r="D1410" s="42"/>
      <c r="E1410" s="42"/>
      <c r="F1410" s="42"/>
      <c r="M1410" s="91"/>
    </row>
    <row r="1411">
      <c r="A1411" s="25"/>
      <c r="B1411" s="42"/>
      <c r="C1411" s="42"/>
      <c r="D1411" s="42"/>
      <c r="E1411" s="42"/>
      <c r="F1411" s="42"/>
      <c r="M1411" s="91"/>
    </row>
    <row r="1412">
      <c r="A1412" s="25"/>
      <c r="B1412" s="42"/>
      <c r="C1412" s="42"/>
      <c r="D1412" s="42"/>
      <c r="E1412" s="42"/>
      <c r="F1412" s="42"/>
      <c r="M1412" s="91"/>
    </row>
    <row r="1413">
      <c r="A1413" s="25"/>
      <c r="B1413" s="42"/>
      <c r="C1413" s="42"/>
      <c r="D1413" s="42"/>
      <c r="E1413" s="42"/>
      <c r="F1413" s="42"/>
      <c r="M1413" s="91"/>
    </row>
    <row r="1414">
      <c r="A1414" s="25"/>
      <c r="B1414" s="42"/>
      <c r="C1414" s="42"/>
      <c r="D1414" s="42"/>
      <c r="E1414" s="42"/>
      <c r="F1414" s="42"/>
      <c r="M1414" s="91"/>
    </row>
    <row r="1415">
      <c r="A1415" s="25"/>
      <c r="B1415" s="42"/>
      <c r="C1415" s="42"/>
      <c r="D1415" s="42"/>
      <c r="E1415" s="42"/>
      <c r="F1415" s="42"/>
      <c r="M1415" s="91"/>
    </row>
    <row r="1416">
      <c r="A1416" s="25"/>
      <c r="B1416" s="42"/>
      <c r="C1416" s="42"/>
      <c r="D1416" s="42"/>
      <c r="E1416" s="42"/>
      <c r="F1416" s="42"/>
      <c r="M1416" s="91"/>
    </row>
    <row r="1417">
      <c r="A1417" s="25"/>
      <c r="B1417" s="42"/>
      <c r="C1417" s="42"/>
      <c r="D1417" s="42"/>
      <c r="E1417" s="42"/>
      <c r="F1417" s="42"/>
      <c r="M1417" s="91"/>
    </row>
    <row r="1418">
      <c r="A1418" s="25"/>
      <c r="B1418" s="42"/>
      <c r="C1418" s="42"/>
      <c r="D1418" s="42"/>
      <c r="E1418" s="42"/>
      <c r="F1418" s="42"/>
      <c r="M1418" s="91"/>
    </row>
    <row r="1419">
      <c r="A1419" s="25"/>
      <c r="B1419" s="42"/>
      <c r="C1419" s="42"/>
      <c r="D1419" s="42"/>
      <c r="E1419" s="42"/>
      <c r="F1419" s="42"/>
      <c r="M1419" s="91"/>
    </row>
    <row r="1420">
      <c r="A1420" s="25"/>
      <c r="B1420" s="42"/>
      <c r="C1420" s="42"/>
      <c r="D1420" s="42"/>
      <c r="E1420" s="42"/>
      <c r="F1420" s="42"/>
      <c r="M1420" s="91"/>
    </row>
    <row r="1421">
      <c r="A1421" s="25"/>
      <c r="B1421" s="42"/>
      <c r="C1421" s="42"/>
      <c r="D1421" s="42"/>
      <c r="E1421" s="42"/>
      <c r="F1421" s="42"/>
      <c r="M1421" s="91"/>
    </row>
    <row r="1422">
      <c r="A1422" s="25"/>
      <c r="B1422" s="42"/>
      <c r="C1422" s="42"/>
      <c r="D1422" s="42"/>
      <c r="E1422" s="42"/>
      <c r="F1422" s="42"/>
      <c r="M1422" s="91"/>
    </row>
    <row r="1423">
      <c r="A1423" s="25"/>
      <c r="B1423" s="42"/>
      <c r="C1423" s="42"/>
      <c r="D1423" s="42"/>
      <c r="E1423" s="42"/>
      <c r="F1423" s="42"/>
      <c r="M1423" s="91"/>
    </row>
    <row r="1424">
      <c r="A1424" s="25"/>
      <c r="B1424" s="42"/>
      <c r="C1424" s="42"/>
      <c r="D1424" s="42"/>
      <c r="E1424" s="42"/>
      <c r="F1424" s="42"/>
      <c r="M1424" s="91"/>
    </row>
    <row r="1425">
      <c r="A1425" s="25"/>
      <c r="B1425" s="42"/>
      <c r="C1425" s="42"/>
      <c r="D1425" s="42"/>
      <c r="E1425" s="42"/>
      <c r="F1425" s="42"/>
      <c r="M1425" s="91"/>
    </row>
    <row r="1426">
      <c r="A1426" s="25"/>
      <c r="B1426" s="42"/>
      <c r="C1426" s="42"/>
      <c r="D1426" s="42"/>
      <c r="E1426" s="42"/>
      <c r="F1426" s="42"/>
      <c r="M1426" s="91"/>
    </row>
    <row r="1427">
      <c r="A1427" s="25"/>
      <c r="B1427" s="42"/>
      <c r="C1427" s="42"/>
      <c r="D1427" s="42"/>
      <c r="E1427" s="42"/>
      <c r="F1427" s="42"/>
      <c r="M1427" s="91"/>
    </row>
    <row r="1428">
      <c r="A1428" s="25"/>
      <c r="B1428" s="42"/>
      <c r="C1428" s="42"/>
      <c r="D1428" s="42"/>
      <c r="E1428" s="42"/>
      <c r="F1428" s="42"/>
      <c r="M1428" s="91"/>
    </row>
    <row r="1429">
      <c r="A1429" s="25"/>
      <c r="B1429" s="42"/>
      <c r="C1429" s="42"/>
      <c r="D1429" s="42"/>
      <c r="E1429" s="42"/>
      <c r="F1429" s="42"/>
      <c r="M1429" s="91"/>
    </row>
    <row r="1430">
      <c r="A1430" s="25"/>
      <c r="B1430" s="42"/>
      <c r="C1430" s="42"/>
      <c r="D1430" s="42"/>
      <c r="E1430" s="42"/>
      <c r="F1430" s="42"/>
      <c r="M1430" s="91"/>
    </row>
    <row r="1431">
      <c r="A1431" s="25"/>
      <c r="B1431" s="42"/>
      <c r="C1431" s="42"/>
      <c r="D1431" s="42"/>
      <c r="E1431" s="42"/>
      <c r="F1431" s="42"/>
      <c r="M1431" s="91"/>
    </row>
    <row r="1432">
      <c r="A1432" s="25"/>
      <c r="B1432" s="42"/>
      <c r="C1432" s="42"/>
      <c r="D1432" s="42"/>
      <c r="E1432" s="42"/>
      <c r="F1432" s="42"/>
      <c r="M1432" s="91"/>
    </row>
    <row r="1433">
      <c r="A1433" s="25"/>
      <c r="B1433" s="42"/>
      <c r="C1433" s="42"/>
      <c r="D1433" s="42"/>
      <c r="E1433" s="42"/>
      <c r="F1433" s="42"/>
      <c r="M1433" s="91"/>
    </row>
    <row r="1434">
      <c r="A1434" s="25"/>
      <c r="B1434" s="42"/>
      <c r="C1434" s="42"/>
      <c r="D1434" s="42"/>
      <c r="E1434" s="42"/>
      <c r="F1434" s="42"/>
      <c r="M1434" s="91"/>
    </row>
    <row r="1435">
      <c r="A1435" s="25"/>
      <c r="B1435" s="42"/>
      <c r="C1435" s="42"/>
      <c r="D1435" s="42"/>
      <c r="E1435" s="42"/>
      <c r="F1435" s="42"/>
      <c r="M1435" s="91"/>
    </row>
    <row r="1436">
      <c r="A1436" s="25"/>
      <c r="B1436" s="42"/>
      <c r="C1436" s="42"/>
      <c r="D1436" s="42"/>
      <c r="E1436" s="42"/>
      <c r="F1436" s="42"/>
      <c r="M1436" s="91"/>
    </row>
    <row r="1437">
      <c r="A1437" s="25"/>
      <c r="B1437" s="42"/>
      <c r="C1437" s="42"/>
      <c r="D1437" s="42"/>
      <c r="E1437" s="42"/>
      <c r="F1437" s="42"/>
      <c r="M1437" s="91"/>
    </row>
    <row r="1438">
      <c r="A1438" s="25"/>
      <c r="B1438" s="42"/>
      <c r="C1438" s="42"/>
      <c r="D1438" s="42"/>
      <c r="E1438" s="42"/>
      <c r="F1438" s="42"/>
      <c r="M1438" s="91"/>
    </row>
    <row r="1439">
      <c r="A1439" s="25"/>
      <c r="B1439" s="42"/>
      <c r="C1439" s="42"/>
      <c r="D1439" s="42"/>
      <c r="E1439" s="42"/>
      <c r="F1439" s="42"/>
      <c r="M1439" s="91"/>
    </row>
    <row r="1440">
      <c r="A1440" s="25"/>
      <c r="B1440" s="42"/>
      <c r="C1440" s="42"/>
      <c r="D1440" s="42"/>
      <c r="E1440" s="42"/>
      <c r="F1440" s="42"/>
      <c r="M1440" s="91"/>
    </row>
    <row r="1441">
      <c r="A1441" s="25"/>
      <c r="B1441" s="42"/>
      <c r="C1441" s="42"/>
      <c r="D1441" s="42"/>
      <c r="E1441" s="42"/>
      <c r="F1441" s="42"/>
      <c r="M1441" s="91"/>
    </row>
    <row r="1442">
      <c r="A1442" s="25"/>
      <c r="B1442" s="42"/>
      <c r="C1442" s="42"/>
      <c r="D1442" s="42"/>
      <c r="E1442" s="42"/>
      <c r="F1442" s="42"/>
      <c r="M1442" s="91"/>
    </row>
    <row r="1443">
      <c r="A1443" s="25"/>
      <c r="B1443" s="42"/>
      <c r="C1443" s="42"/>
      <c r="D1443" s="42"/>
      <c r="E1443" s="42"/>
      <c r="F1443" s="42"/>
      <c r="M1443" s="91"/>
    </row>
    <row r="1444">
      <c r="A1444" s="25"/>
      <c r="B1444" s="42"/>
      <c r="C1444" s="42"/>
      <c r="D1444" s="42"/>
      <c r="E1444" s="42"/>
      <c r="F1444" s="42"/>
      <c r="M1444" s="91"/>
    </row>
    <row r="1445">
      <c r="A1445" s="25"/>
      <c r="B1445" s="42"/>
      <c r="C1445" s="42"/>
      <c r="D1445" s="42"/>
      <c r="E1445" s="42"/>
      <c r="F1445" s="42"/>
      <c r="M1445" s="91"/>
    </row>
    <row r="1446">
      <c r="A1446" s="25"/>
      <c r="B1446" s="42"/>
      <c r="C1446" s="42"/>
      <c r="D1446" s="42"/>
      <c r="E1446" s="42"/>
      <c r="F1446" s="42"/>
      <c r="M1446" s="91"/>
    </row>
    <row r="1447">
      <c r="A1447" s="25"/>
      <c r="B1447" s="42"/>
      <c r="C1447" s="42"/>
      <c r="D1447" s="42"/>
      <c r="E1447" s="42"/>
      <c r="F1447" s="42"/>
      <c r="M1447" s="91"/>
    </row>
    <row r="1448">
      <c r="A1448" s="25"/>
      <c r="B1448" s="42"/>
      <c r="C1448" s="42"/>
      <c r="D1448" s="42"/>
      <c r="E1448" s="42"/>
      <c r="F1448" s="42"/>
      <c r="M1448" s="91"/>
    </row>
    <row r="1449">
      <c r="A1449" s="25"/>
      <c r="B1449" s="42"/>
      <c r="C1449" s="42"/>
      <c r="D1449" s="42"/>
      <c r="E1449" s="42"/>
      <c r="F1449" s="42"/>
      <c r="M1449" s="91"/>
    </row>
    <row r="1450">
      <c r="A1450" s="25"/>
      <c r="B1450" s="42"/>
      <c r="C1450" s="42"/>
      <c r="D1450" s="42"/>
      <c r="E1450" s="42"/>
      <c r="F1450" s="42"/>
      <c r="M1450" s="91"/>
    </row>
    <row r="1451">
      <c r="A1451" s="25"/>
      <c r="B1451" s="42"/>
      <c r="C1451" s="42"/>
      <c r="D1451" s="42"/>
      <c r="E1451" s="42"/>
      <c r="F1451" s="42"/>
      <c r="M1451" s="91"/>
    </row>
    <row r="1452">
      <c r="A1452" s="25"/>
      <c r="B1452" s="42"/>
      <c r="C1452" s="42"/>
      <c r="D1452" s="42"/>
      <c r="E1452" s="42"/>
      <c r="F1452" s="42"/>
      <c r="M1452" s="91"/>
    </row>
    <row r="1453">
      <c r="A1453" s="25"/>
      <c r="B1453" s="42"/>
      <c r="C1453" s="42"/>
      <c r="D1453" s="42"/>
      <c r="E1453" s="42"/>
      <c r="F1453" s="42"/>
      <c r="M1453" s="91"/>
    </row>
    <row r="1454">
      <c r="A1454" s="25"/>
      <c r="B1454" s="42"/>
      <c r="C1454" s="42"/>
      <c r="D1454" s="42"/>
      <c r="E1454" s="42"/>
      <c r="F1454" s="42"/>
      <c r="M1454" s="91"/>
    </row>
    <row r="1455">
      <c r="A1455" s="25"/>
      <c r="B1455" s="42"/>
      <c r="C1455" s="42"/>
      <c r="D1455" s="42"/>
      <c r="E1455" s="42"/>
      <c r="F1455" s="42"/>
      <c r="M1455" s="91"/>
    </row>
    <row r="1456">
      <c r="A1456" s="25"/>
      <c r="B1456" s="42"/>
      <c r="C1456" s="42"/>
      <c r="D1456" s="42"/>
      <c r="E1456" s="42"/>
      <c r="F1456" s="42"/>
      <c r="M1456" s="91"/>
    </row>
    <row r="1457">
      <c r="A1457" s="25"/>
      <c r="B1457" s="42"/>
      <c r="C1457" s="42"/>
      <c r="D1457" s="42"/>
      <c r="E1457" s="42"/>
      <c r="F1457" s="42"/>
      <c r="M1457" s="91"/>
    </row>
    <row r="1458">
      <c r="A1458" s="25"/>
      <c r="B1458" s="42"/>
      <c r="C1458" s="42"/>
      <c r="D1458" s="42"/>
      <c r="E1458" s="42"/>
      <c r="F1458" s="42"/>
      <c r="M1458" s="91"/>
    </row>
    <row r="1459">
      <c r="A1459" s="25"/>
      <c r="B1459" s="42"/>
      <c r="C1459" s="42"/>
      <c r="D1459" s="42"/>
      <c r="E1459" s="42"/>
      <c r="F1459" s="42"/>
      <c r="M1459" s="91"/>
    </row>
    <row r="1460">
      <c r="A1460" s="25"/>
      <c r="B1460" s="42"/>
      <c r="C1460" s="42"/>
      <c r="D1460" s="42"/>
      <c r="E1460" s="42"/>
      <c r="F1460" s="42"/>
      <c r="M1460" s="91"/>
    </row>
    <row r="1461">
      <c r="A1461" s="25"/>
      <c r="B1461" s="42"/>
      <c r="C1461" s="42"/>
      <c r="D1461" s="42"/>
      <c r="E1461" s="42"/>
      <c r="F1461" s="42"/>
      <c r="M1461" s="91"/>
    </row>
    <row r="1462">
      <c r="A1462" s="25"/>
      <c r="B1462" s="42"/>
      <c r="C1462" s="42"/>
      <c r="D1462" s="42"/>
      <c r="E1462" s="42"/>
      <c r="F1462" s="42"/>
      <c r="M1462" s="91"/>
    </row>
    <row r="1463">
      <c r="A1463" s="25"/>
      <c r="B1463" s="42"/>
      <c r="C1463" s="42"/>
      <c r="D1463" s="42"/>
      <c r="E1463" s="42"/>
      <c r="F1463" s="42"/>
      <c r="M1463" s="91"/>
    </row>
    <row r="1464">
      <c r="A1464" s="25"/>
      <c r="B1464" s="42"/>
      <c r="C1464" s="42"/>
      <c r="D1464" s="42"/>
      <c r="E1464" s="42"/>
      <c r="F1464" s="42"/>
      <c r="M1464" s="91"/>
    </row>
    <row r="1465">
      <c r="A1465" s="25"/>
      <c r="B1465" s="42"/>
      <c r="C1465" s="42"/>
      <c r="D1465" s="42"/>
      <c r="E1465" s="42"/>
      <c r="F1465" s="42"/>
      <c r="M1465" s="91"/>
    </row>
    <row r="1466">
      <c r="A1466" s="25"/>
      <c r="B1466" s="42"/>
      <c r="C1466" s="42"/>
      <c r="D1466" s="42"/>
      <c r="E1466" s="42"/>
      <c r="F1466" s="42"/>
      <c r="M1466" s="91"/>
    </row>
    <row r="1467">
      <c r="A1467" s="25"/>
      <c r="B1467" s="42"/>
      <c r="C1467" s="42"/>
      <c r="D1467" s="42"/>
      <c r="E1467" s="42"/>
      <c r="F1467" s="42"/>
      <c r="M1467" s="91"/>
    </row>
    <row r="1468">
      <c r="A1468" s="25"/>
      <c r="B1468" s="42"/>
      <c r="C1468" s="42"/>
      <c r="D1468" s="42"/>
      <c r="E1468" s="42"/>
      <c r="F1468" s="42"/>
      <c r="M1468" s="91"/>
    </row>
    <row r="1469">
      <c r="A1469" s="25"/>
      <c r="B1469" s="42"/>
      <c r="C1469" s="42"/>
      <c r="D1469" s="42"/>
      <c r="E1469" s="42"/>
      <c r="F1469" s="42"/>
      <c r="M1469" s="91"/>
    </row>
    <row r="1470">
      <c r="A1470" s="25"/>
      <c r="B1470" s="42"/>
      <c r="C1470" s="42"/>
      <c r="D1470" s="42"/>
      <c r="E1470" s="42"/>
      <c r="F1470" s="42"/>
      <c r="M1470" s="91"/>
    </row>
    <row r="1471">
      <c r="A1471" s="25"/>
      <c r="B1471" s="42"/>
      <c r="C1471" s="42"/>
      <c r="D1471" s="42"/>
      <c r="E1471" s="42"/>
      <c r="F1471" s="42"/>
      <c r="M1471" s="91"/>
    </row>
    <row r="1472">
      <c r="A1472" s="25"/>
      <c r="B1472" s="42"/>
      <c r="C1472" s="42"/>
      <c r="D1472" s="42"/>
      <c r="E1472" s="42"/>
      <c r="F1472" s="42"/>
      <c r="M1472" s="91"/>
    </row>
    <row r="1473">
      <c r="A1473" s="25"/>
      <c r="B1473" s="42"/>
      <c r="C1473" s="42"/>
      <c r="D1473" s="42"/>
      <c r="E1473" s="42"/>
      <c r="F1473" s="42"/>
      <c r="M1473" s="91"/>
    </row>
    <row r="1474">
      <c r="A1474" s="25"/>
      <c r="B1474" s="42"/>
      <c r="C1474" s="42"/>
      <c r="D1474" s="42"/>
      <c r="E1474" s="42"/>
      <c r="F1474" s="42"/>
      <c r="M1474" s="91"/>
    </row>
    <row r="1475">
      <c r="A1475" s="25"/>
      <c r="B1475" s="42"/>
      <c r="C1475" s="42"/>
      <c r="D1475" s="42"/>
      <c r="E1475" s="42"/>
      <c r="F1475" s="42"/>
      <c r="M1475" s="91"/>
    </row>
    <row r="1476">
      <c r="A1476" s="25"/>
      <c r="B1476" s="42"/>
      <c r="C1476" s="42"/>
      <c r="D1476" s="42"/>
      <c r="E1476" s="42"/>
      <c r="F1476" s="42"/>
      <c r="M1476" s="91"/>
    </row>
    <row r="1477">
      <c r="A1477" s="25"/>
      <c r="B1477" s="42"/>
      <c r="C1477" s="42"/>
      <c r="D1477" s="42"/>
      <c r="E1477" s="42"/>
      <c r="F1477" s="42"/>
      <c r="M1477" s="91"/>
    </row>
    <row r="1478">
      <c r="A1478" s="25"/>
      <c r="B1478" s="42"/>
      <c r="C1478" s="42"/>
      <c r="D1478" s="42"/>
      <c r="E1478" s="42"/>
      <c r="F1478" s="42"/>
      <c r="M1478" s="91"/>
    </row>
    <row r="1479">
      <c r="A1479" s="25"/>
      <c r="B1479" s="42"/>
      <c r="C1479" s="42"/>
      <c r="D1479" s="42"/>
      <c r="E1479" s="42"/>
      <c r="F1479" s="42"/>
      <c r="M1479" s="91"/>
    </row>
    <row r="1480">
      <c r="A1480" s="25"/>
      <c r="B1480" s="42"/>
      <c r="C1480" s="42"/>
      <c r="D1480" s="42"/>
      <c r="E1480" s="42"/>
      <c r="F1480" s="42"/>
      <c r="M1480" s="91"/>
    </row>
    <row r="1481">
      <c r="A1481" s="25"/>
      <c r="B1481" s="42"/>
      <c r="C1481" s="42"/>
      <c r="D1481" s="42"/>
      <c r="E1481" s="42"/>
      <c r="F1481" s="42"/>
      <c r="M1481" s="91"/>
    </row>
    <row r="1482">
      <c r="A1482" s="25"/>
      <c r="B1482" s="42"/>
      <c r="C1482" s="42"/>
      <c r="D1482" s="42"/>
      <c r="E1482" s="42"/>
      <c r="F1482" s="42"/>
      <c r="M1482" s="91"/>
    </row>
    <row r="1483">
      <c r="A1483" s="25"/>
      <c r="B1483" s="42"/>
      <c r="C1483" s="42"/>
      <c r="D1483" s="42"/>
      <c r="E1483" s="42"/>
      <c r="F1483" s="42"/>
      <c r="M1483" s="91"/>
    </row>
    <row r="1484">
      <c r="A1484" s="25"/>
      <c r="B1484" s="42"/>
      <c r="C1484" s="42"/>
      <c r="D1484" s="42"/>
      <c r="E1484" s="42"/>
      <c r="F1484" s="42"/>
      <c r="M1484" s="91"/>
    </row>
    <row r="1485">
      <c r="A1485" s="25"/>
      <c r="B1485" s="42"/>
      <c r="C1485" s="42"/>
      <c r="D1485" s="42"/>
      <c r="E1485" s="42"/>
      <c r="F1485" s="42"/>
      <c r="M1485" s="91"/>
    </row>
    <row r="1486">
      <c r="A1486" s="25"/>
      <c r="B1486" s="42"/>
      <c r="C1486" s="42"/>
      <c r="D1486" s="42"/>
      <c r="E1486" s="42"/>
      <c r="F1486" s="42"/>
      <c r="M1486" s="91"/>
    </row>
    <row r="1487">
      <c r="A1487" s="25"/>
      <c r="B1487" s="42"/>
      <c r="C1487" s="42"/>
      <c r="D1487" s="42"/>
      <c r="E1487" s="42"/>
      <c r="F1487" s="42"/>
      <c r="M1487" s="91"/>
    </row>
    <row r="1488">
      <c r="A1488" s="25"/>
      <c r="B1488" s="42"/>
      <c r="C1488" s="42"/>
      <c r="D1488" s="42"/>
      <c r="E1488" s="42"/>
      <c r="F1488" s="42"/>
      <c r="M1488" s="91"/>
    </row>
    <row r="1489">
      <c r="A1489" s="25"/>
      <c r="B1489" s="42"/>
      <c r="C1489" s="42"/>
      <c r="D1489" s="42"/>
      <c r="E1489" s="42"/>
      <c r="F1489" s="42"/>
      <c r="M1489" s="91"/>
    </row>
    <row r="1490">
      <c r="A1490" s="25"/>
      <c r="B1490" s="42"/>
      <c r="C1490" s="42"/>
      <c r="D1490" s="42"/>
      <c r="E1490" s="42"/>
      <c r="F1490" s="42"/>
      <c r="M1490" s="91"/>
    </row>
    <row r="1491">
      <c r="A1491" s="25"/>
      <c r="B1491" s="42"/>
      <c r="C1491" s="42"/>
      <c r="D1491" s="42"/>
      <c r="E1491" s="42"/>
      <c r="F1491" s="42"/>
      <c r="M1491" s="91"/>
    </row>
    <row r="1492">
      <c r="A1492" s="25"/>
      <c r="B1492" s="42"/>
      <c r="C1492" s="42"/>
      <c r="D1492" s="42"/>
      <c r="E1492" s="42"/>
      <c r="F1492" s="42"/>
      <c r="M1492" s="91"/>
    </row>
    <row r="1493">
      <c r="A1493" s="25"/>
      <c r="B1493" s="42"/>
      <c r="C1493" s="42"/>
      <c r="D1493" s="42"/>
      <c r="E1493" s="42"/>
      <c r="F1493" s="42"/>
      <c r="M1493" s="91"/>
    </row>
    <row r="1494">
      <c r="A1494" s="25"/>
      <c r="B1494" s="42"/>
      <c r="C1494" s="42"/>
      <c r="D1494" s="42"/>
      <c r="E1494" s="42"/>
      <c r="F1494" s="42"/>
      <c r="M1494" s="91"/>
    </row>
    <row r="1495">
      <c r="A1495" s="25"/>
      <c r="B1495" s="42"/>
      <c r="C1495" s="42"/>
      <c r="D1495" s="42"/>
      <c r="E1495" s="42"/>
      <c r="F1495" s="42"/>
      <c r="M1495" s="91"/>
    </row>
    <row r="1496">
      <c r="A1496" s="25"/>
      <c r="B1496" s="42"/>
      <c r="C1496" s="42"/>
      <c r="D1496" s="42"/>
      <c r="E1496" s="42"/>
      <c r="F1496" s="42"/>
      <c r="M1496" s="91"/>
    </row>
    <row r="1497">
      <c r="A1497" s="25"/>
      <c r="B1497" s="42"/>
      <c r="C1497" s="42"/>
      <c r="D1497" s="42"/>
      <c r="E1497" s="42"/>
      <c r="F1497" s="42"/>
      <c r="M1497" s="91"/>
    </row>
    <row r="1498">
      <c r="A1498" s="25"/>
      <c r="B1498" s="42"/>
      <c r="C1498" s="42"/>
      <c r="D1498" s="42"/>
      <c r="E1498" s="42"/>
      <c r="F1498" s="42"/>
      <c r="M1498" s="91"/>
    </row>
    <row r="1499">
      <c r="A1499" s="25"/>
      <c r="B1499" s="42"/>
      <c r="C1499" s="42"/>
      <c r="D1499" s="42"/>
      <c r="E1499" s="42"/>
      <c r="F1499" s="42"/>
      <c r="M1499" s="91"/>
    </row>
    <row r="1500">
      <c r="A1500" s="25"/>
      <c r="B1500" s="42"/>
      <c r="C1500" s="42"/>
      <c r="D1500" s="42"/>
      <c r="E1500" s="42"/>
      <c r="F1500" s="42"/>
      <c r="M1500" s="91"/>
    </row>
    <row r="1501">
      <c r="A1501" s="25"/>
      <c r="B1501" s="42"/>
      <c r="C1501" s="42"/>
      <c r="D1501" s="42"/>
      <c r="E1501" s="42"/>
      <c r="F1501" s="42"/>
      <c r="M1501" s="91"/>
    </row>
    <row r="1502">
      <c r="A1502" s="25"/>
      <c r="B1502" s="42"/>
      <c r="C1502" s="42"/>
      <c r="D1502" s="42"/>
      <c r="E1502" s="42"/>
      <c r="F1502" s="42"/>
      <c r="M1502" s="91"/>
    </row>
    <row r="1503">
      <c r="A1503" s="25"/>
      <c r="B1503" s="42"/>
      <c r="C1503" s="42"/>
      <c r="D1503" s="42"/>
      <c r="E1503" s="42"/>
      <c r="F1503" s="42"/>
      <c r="M1503" s="91"/>
    </row>
    <row r="1504">
      <c r="A1504" s="25"/>
      <c r="B1504" s="42"/>
      <c r="C1504" s="42"/>
      <c r="D1504" s="42"/>
      <c r="E1504" s="42"/>
      <c r="F1504" s="42"/>
      <c r="M1504" s="91"/>
    </row>
    <row r="1505">
      <c r="A1505" s="25"/>
      <c r="B1505" s="42"/>
      <c r="C1505" s="42"/>
      <c r="D1505" s="42"/>
      <c r="E1505" s="42"/>
      <c r="F1505" s="42"/>
      <c r="M1505" s="91"/>
    </row>
    <row r="1506">
      <c r="A1506" s="25"/>
      <c r="B1506" s="42"/>
      <c r="C1506" s="42"/>
      <c r="D1506" s="42"/>
      <c r="E1506" s="42"/>
      <c r="F1506" s="42"/>
      <c r="M1506" s="91"/>
    </row>
    <row r="1507">
      <c r="A1507" s="25"/>
      <c r="B1507" s="42"/>
      <c r="C1507" s="42"/>
      <c r="D1507" s="42"/>
      <c r="E1507" s="42"/>
      <c r="F1507" s="42"/>
      <c r="M1507" s="91"/>
    </row>
    <row r="1508">
      <c r="A1508" s="25"/>
      <c r="B1508" s="42"/>
      <c r="C1508" s="42"/>
      <c r="D1508" s="42"/>
      <c r="E1508" s="42"/>
      <c r="F1508" s="42"/>
      <c r="M1508" s="91"/>
    </row>
    <row r="1509">
      <c r="A1509" s="25"/>
      <c r="B1509" s="42"/>
      <c r="C1509" s="42"/>
      <c r="D1509" s="42"/>
      <c r="E1509" s="42"/>
      <c r="F1509" s="42"/>
      <c r="M1509" s="91"/>
    </row>
    <row r="1510">
      <c r="A1510" s="25"/>
      <c r="B1510" s="42"/>
      <c r="C1510" s="42"/>
      <c r="D1510" s="42"/>
      <c r="E1510" s="42"/>
      <c r="F1510" s="42"/>
      <c r="M1510" s="91"/>
    </row>
    <row r="1511">
      <c r="A1511" s="25"/>
      <c r="B1511" s="42"/>
      <c r="C1511" s="42"/>
      <c r="D1511" s="42"/>
      <c r="E1511" s="42"/>
      <c r="F1511" s="42"/>
      <c r="M1511" s="91"/>
    </row>
    <row r="1512">
      <c r="A1512" s="25"/>
      <c r="B1512" s="42"/>
      <c r="C1512" s="42"/>
      <c r="D1512" s="42"/>
      <c r="E1512" s="42"/>
      <c r="F1512" s="42"/>
      <c r="M1512" s="91"/>
    </row>
    <row r="1513">
      <c r="A1513" s="25"/>
      <c r="B1513" s="42"/>
      <c r="C1513" s="42"/>
      <c r="D1513" s="42"/>
      <c r="E1513" s="42"/>
      <c r="F1513" s="42"/>
      <c r="M1513" s="91"/>
    </row>
    <row r="1514">
      <c r="A1514" s="25"/>
      <c r="B1514" s="42"/>
      <c r="C1514" s="42"/>
      <c r="D1514" s="42"/>
      <c r="E1514" s="42"/>
      <c r="F1514" s="42"/>
      <c r="M1514" s="91"/>
    </row>
    <row r="1515">
      <c r="A1515" s="25"/>
      <c r="B1515" s="42"/>
      <c r="C1515" s="42"/>
      <c r="D1515" s="42"/>
      <c r="E1515" s="42"/>
      <c r="F1515" s="42"/>
      <c r="M1515" s="91"/>
    </row>
    <row r="1516">
      <c r="A1516" s="25"/>
      <c r="B1516" s="42"/>
      <c r="C1516" s="42"/>
      <c r="D1516" s="42"/>
      <c r="E1516" s="42"/>
      <c r="F1516" s="42"/>
      <c r="M1516" s="91"/>
    </row>
    <row r="1517">
      <c r="A1517" s="25"/>
      <c r="B1517" s="42"/>
      <c r="C1517" s="42"/>
      <c r="D1517" s="42"/>
      <c r="E1517" s="42"/>
      <c r="F1517" s="42"/>
      <c r="M1517" s="91"/>
    </row>
    <row r="1518">
      <c r="A1518" s="25"/>
      <c r="B1518" s="42"/>
      <c r="C1518" s="42"/>
      <c r="D1518" s="42"/>
      <c r="E1518" s="42"/>
      <c r="F1518" s="42"/>
      <c r="M1518" s="91"/>
    </row>
    <row r="1519">
      <c r="A1519" s="25"/>
      <c r="B1519" s="42"/>
      <c r="C1519" s="42"/>
      <c r="D1519" s="42"/>
      <c r="E1519" s="42"/>
      <c r="F1519" s="42"/>
      <c r="M1519" s="91"/>
    </row>
    <row r="1520">
      <c r="A1520" s="25"/>
      <c r="B1520" s="42"/>
      <c r="C1520" s="42"/>
      <c r="D1520" s="42"/>
      <c r="E1520" s="42"/>
      <c r="F1520" s="42"/>
      <c r="M1520" s="91"/>
    </row>
    <row r="1521">
      <c r="A1521" s="25"/>
      <c r="B1521" s="42"/>
      <c r="C1521" s="42"/>
      <c r="D1521" s="42"/>
      <c r="E1521" s="42"/>
      <c r="F1521" s="42"/>
      <c r="M1521" s="91"/>
    </row>
    <row r="1522">
      <c r="A1522" s="25"/>
      <c r="B1522" s="42"/>
      <c r="C1522" s="42"/>
      <c r="D1522" s="42"/>
      <c r="E1522" s="42"/>
      <c r="F1522" s="42"/>
      <c r="M1522" s="91"/>
    </row>
    <row r="1523">
      <c r="A1523" s="25"/>
      <c r="B1523" s="42"/>
      <c r="C1523" s="42"/>
      <c r="D1523" s="42"/>
      <c r="E1523" s="42"/>
      <c r="F1523" s="42"/>
      <c r="M1523" s="91"/>
    </row>
    <row r="1524">
      <c r="A1524" s="25"/>
      <c r="B1524" s="42"/>
      <c r="C1524" s="42"/>
      <c r="D1524" s="42"/>
      <c r="E1524" s="42"/>
      <c r="F1524" s="42"/>
      <c r="M1524" s="91"/>
    </row>
    <row r="1525">
      <c r="A1525" s="25"/>
      <c r="B1525" s="42"/>
      <c r="C1525" s="42"/>
      <c r="D1525" s="42"/>
      <c r="E1525" s="42"/>
      <c r="F1525" s="42"/>
      <c r="M1525" s="91"/>
    </row>
    <row r="1526">
      <c r="A1526" s="25"/>
      <c r="B1526" s="42"/>
      <c r="C1526" s="42"/>
      <c r="D1526" s="42"/>
      <c r="E1526" s="42"/>
      <c r="F1526" s="42"/>
      <c r="M1526" s="91"/>
    </row>
    <row r="1527">
      <c r="A1527" s="25"/>
      <c r="B1527" s="42"/>
      <c r="C1527" s="42"/>
      <c r="D1527" s="42"/>
      <c r="E1527" s="42"/>
      <c r="F1527" s="42"/>
      <c r="M1527" s="91"/>
    </row>
    <row r="1528">
      <c r="A1528" s="25"/>
      <c r="B1528" s="42"/>
      <c r="C1528" s="42"/>
      <c r="D1528" s="42"/>
      <c r="E1528" s="42"/>
      <c r="F1528" s="42"/>
      <c r="M1528" s="91"/>
    </row>
    <row r="1529">
      <c r="A1529" s="25"/>
      <c r="B1529" s="42"/>
      <c r="C1529" s="42"/>
      <c r="D1529" s="42"/>
      <c r="E1529" s="42"/>
      <c r="F1529" s="42"/>
      <c r="M1529" s="91"/>
    </row>
    <row r="1530">
      <c r="A1530" s="25"/>
      <c r="B1530" s="42"/>
      <c r="C1530" s="42"/>
      <c r="D1530" s="42"/>
      <c r="E1530" s="42"/>
      <c r="F1530" s="42"/>
      <c r="M1530" s="91"/>
    </row>
    <row r="1531">
      <c r="A1531" s="25"/>
      <c r="B1531" s="42"/>
      <c r="C1531" s="42"/>
      <c r="D1531" s="42"/>
      <c r="E1531" s="42"/>
      <c r="F1531" s="42"/>
      <c r="M1531" s="91"/>
    </row>
    <row r="1532">
      <c r="A1532" s="25"/>
      <c r="B1532" s="42"/>
      <c r="C1532" s="42"/>
      <c r="D1532" s="42"/>
      <c r="E1532" s="42"/>
      <c r="F1532" s="42"/>
      <c r="M1532" s="91"/>
    </row>
    <row r="1533">
      <c r="A1533" s="25"/>
      <c r="B1533" s="42"/>
      <c r="C1533" s="42"/>
      <c r="D1533" s="42"/>
      <c r="E1533" s="42"/>
      <c r="F1533" s="42"/>
      <c r="M1533" s="91"/>
    </row>
    <row r="1534">
      <c r="A1534" s="25"/>
      <c r="B1534" s="42"/>
      <c r="C1534" s="42"/>
      <c r="D1534" s="42"/>
      <c r="E1534" s="42"/>
      <c r="F1534" s="42"/>
      <c r="M1534" s="91"/>
    </row>
    <row r="1535">
      <c r="A1535" s="25"/>
      <c r="B1535" s="42"/>
      <c r="C1535" s="42"/>
      <c r="D1535" s="42"/>
      <c r="E1535" s="42"/>
      <c r="F1535" s="42"/>
      <c r="M1535" s="91"/>
    </row>
    <row r="1536">
      <c r="A1536" s="25"/>
      <c r="B1536" s="42"/>
      <c r="C1536" s="42"/>
      <c r="D1536" s="42"/>
      <c r="E1536" s="42"/>
      <c r="F1536" s="42"/>
      <c r="M1536" s="91"/>
    </row>
    <row r="1537">
      <c r="A1537" s="25"/>
      <c r="B1537" s="42"/>
      <c r="C1537" s="42"/>
      <c r="D1537" s="42"/>
      <c r="E1537" s="42"/>
      <c r="F1537" s="42"/>
      <c r="M1537" s="91"/>
    </row>
    <row r="1538">
      <c r="A1538" s="25"/>
      <c r="B1538" s="42"/>
      <c r="C1538" s="42"/>
      <c r="D1538" s="42"/>
      <c r="E1538" s="42"/>
      <c r="F1538" s="42"/>
      <c r="M1538" s="91"/>
    </row>
    <row r="1539">
      <c r="A1539" s="25"/>
      <c r="B1539" s="42"/>
      <c r="C1539" s="42"/>
      <c r="D1539" s="42"/>
      <c r="E1539" s="42"/>
      <c r="F1539" s="42"/>
      <c r="M1539" s="91"/>
    </row>
    <row r="1540">
      <c r="A1540" s="25"/>
      <c r="B1540" s="42"/>
      <c r="C1540" s="42"/>
      <c r="D1540" s="42"/>
      <c r="E1540" s="42"/>
      <c r="F1540" s="42"/>
      <c r="M1540" s="91"/>
    </row>
    <row r="1541">
      <c r="A1541" s="25"/>
      <c r="B1541" s="42"/>
      <c r="C1541" s="42"/>
      <c r="D1541" s="42"/>
      <c r="E1541" s="42"/>
      <c r="F1541" s="42"/>
      <c r="M1541" s="91"/>
    </row>
    <row r="1542">
      <c r="A1542" s="25"/>
      <c r="B1542" s="42"/>
      <c r="C1542" s="42"/>
      <c r="D1542" s="42"/>
      <c r="E1542" s="42"/>
      <c r="F1542" s="42"/>
      <c r="M1542" s="91"/>
    </row>
    <row r="1543">
      <c r="A1543" s="25"/>
      <c r="B1543" s="42"/>
      <c r="C1543" s="42"/>
      <c r="D1543" s="42"/>
      <c r="E1543" s="42"/>
      <c r="F1543" s="42"/>
      <c r="M1543" s="91"/>
    </row>
    <row r="1544">
      <c r="A1544" s="25"/>
      <c r="B1544" s="42"/>
      <c r="C1544" s="42"/>
      <c r="D1544" s="42"/>
      <c r="E1544" s="42"/>
      <c r="F1544" s="42"/>
      <c r="M1544" s="91"/>
    </row>
    <row r="1545">
      <c r="A1545" s="25"/>
      <c r="B1545" s="42"/>
      <c r="C1545" s="42"/>
      <c r="D1545" s="42"/>
      <c r="E1545" s="42"/>
      <c r="F1545" s="42"/>
      <c r="M1545" s="91"/>
    </row>
    <row r="1546">
      <c r="A1546" s="25"/>
      <c r="B1546" s="42"/>
      <c r="C1546" s="42"/>
      <c r="D1546" s="42"/>
      <c r="E1546" s="42"/>
      <c r="F1546" s="42"/>
      <c r="M1546" s="91"/>
    </row>
    <row r="1547">
      <c r="A1547" s="25"/>
      <c r="B1547" s="42"/>
      <c r="C1547" s="42"/>
      <c r="D1547" s="42"/>
      <c r="E1547" s="42"/>
      <c r="F1547" s="42"/>
      <c r="M1547" s="91"/>
    </row>
    <row r="1548">
      <c r="A1548" s="25"/>
      <c r="B1548" s="42"/>
      <c r="C1548" s="42"/>
      <c r="D1548" s="42"/>
      <c r="E1548" s="42"/>
      <c r="F1548" s="42"/>
      <c r="M1548" s="91"/>
    </row>
    <row r="1549">
      <c r="A1549" s="25"/>
      <c r="B1549" s="42"/>
      <c r="C1549" s="42"/>
      <c r="D1549" s="42"/>
      <c r="E1549" s="42"/>
      <c r="F1549" s="42"/>
      <c r="M1549" s="91"/>
    </row>
    <row r="1550">
      <c r="A1550" s="25"/>
      <c r="B1550" s="42"/>
      <c r="C1550" s="42"/>
      <c r="D1550" s="42"/>
      <c r="E1550" s="42"/>
      <c r="F1550" s="42"/>
      <c r="M1550" s="91"/>
    </row>
    <row r="1551">
      <c r="A1551" s="25"/>
      <c r="B1551" s="42"/>
      <c r="C1551" s="42"/>
      <c r="D1551" s="42"/>
      <c r="E1551" s="42"/>
      <c r="F1551" s="42"/>
      <c r="M1551" s="91"/>
    </row>
    <row r="1552">
      <c r="A1552" s="25"/>
      <c r="B1552" s="42"/>
      <c r="C1552" s="42"/>
      <c r="D1552" s="42"/>
      <c r="E1552" s="42"/>
      <c r="F1552" s="42"/>
      <c r="M1552" s="91"/>
    </row>
    <row r="1553">
      <c r="A1553" s="25"/>
      <c r="B1553" s="42"/>
      <c r="C1553" s="42"/>
      <c r="D1553" s="42"/>
      <c r="E1553" s="42"/>
      <c r="F1553" s="42"/>
      <c r="M1553" s="91"/>
    </row>
    <row r="1554">
      <c r="A1554" s="25"/>
      <c r="B1554" s="42"/>
      <c r="C1554" s="42"/>
      <c r="D1554" s="42"/>
      <c r="E1554" s="42"/>
      <c r="F1554" s="42"/>
      <c r="M1554" s="91"/>
    </row>
    <row r="1555">
      <c r="A1555" s="25"/>
      <c r="B1555" s="42"/>
      <c r="C1555" s="42"/>
      <c r="D1555" s="42"/>
      <c r="E1555" s="42"/>
      <c r="F1555" s="42"/>
      <c r="M1555" s="91"/>
    </row>
    <row r="1556">
      <c r="A1556" s="25"/>
      <c r="B1556" s="42"/>
      <c r="C1556" s="42"/>
      <c r="D1556" s="42"/>
      <c r="E1556" s="42"/>
      <c r="F1556" s="42"/>
      <c r="M1556" s="91"/>
    </row>
    <row r="1557">
      <c r="A1557" s="25"/>
      <c r="B1557" s="42"/>
      <c r="C1557" s="42"/>
      <c r="D1557" s="42"/>
      <c r="E1557" s="42"/>
      <c r="F1557" s="42"/>
      <c r="M1557" s="91"/>
    </row>
    <row r="1558">
      <c r="A1558" s="25"/>
      <c r="B1558" s="42"/>
      <c r="C1558" s="42"/>
      <c r="D1558" s="42"/>
      <c r="E1558" s="42"/>
      <c r="F1558" s="42"/>
      <c r="M1558" s="91"/>
    </row>
    <row r="1559">
      <c r="A1559" s="25"/>
      <c r="B1559" s="42"/>
      <c r="C1559" s="42"/>
      <c r="D1559" s="42"/>
      <c r="E1559" s="42"/>
      <c r="F1559" s="42"/>
      <c r="M1559" s="91"/>
    </row>
    <row r="1560">
      <c r="A1560" s="25"/>
      <c r="B1560" s="42"/>
      <c r="C1560" s="42"/>
      <c r="D1560" s="42"/>
      <c r="E1560" s="42"/>
      <c r="F1560" s="42"/>
      <c r="M1560" s="91"/>
    </row>
    <row r="1561">
      <c r="A1561" s="25"/>
      <c r="B1561" s="42"/>
      <c r="C1561" s="42"/>
      <c r="D1561" s="42"/>
      <c r="E1561" s="42"/>
      <c r="F1561" s="42"/>
      <c r="M1561" s="91"/>
    </row>
    <row r="1562">
      <c r="A1562" s="25"/>
      <c r="B1562" s="42"/>
      <c r="C1562" s="42"/>
      <c r="D1562" s="42"/>
      <c r="E1562" s="42"/>
      <c r="F1562" s="42"/>
      <c r="M1562" s="91"/>
    </row>
    <row r="1563">
      <c r="A1563" s="25"/>
      <c r="B1563" s="42"/>
      <c r="C1563" s="42"/>
      <c r="D1563" s="42"/>
      <c r="E1563" s="42"/>
      <c r="F1563" s="42"/>
      <c r="M1563" s="91"/>
    </row>
    <row r="1564">
      <c r="A1564" s="25"/>
      <c r="B1564" s="42"/>
      <c r="C1564" s="42"/>
      <c r="D1564" s="42"/>
      <c r="E1564" s="42"/>
      <c r="F1564" s="42"/>
      <c r="M1564" s="91"/>
    </row>
    <row r="1565">
      <c r="A1565" s="25"/>
      <c r="B1565" s="42"/>
      <c r="C1565" s="42"/>
      <c r="D1565" s="42"/>
      <c r="E1565" s="42"/>
      <c r="F1565" s="42"/>
      <c r="M1565" s="91"/>
    </row>
    <row r="1566">
      <c r="A1566" s="25"/>
      <c r="B1566" s="42"/>
      <c r="C1566" s="42"/>
      <c r="D1566" s="42"/>
      <c r="E1566" s="42"/>
      <c r="F1566" s="42"/>
      <c r="M1566" s="91"/>
    </row>
    <row r="1567">
      <c r="A1567" s="25"/>
      <c r="B1567" s="42"/>
      <c r="C1567" s="42"/>
      <c r="D1567" s="42"/>
      <c r="E1567" s="42"/>
      <c r="F1567" s="42"/>
      <c r="M1567" s="91"/>
    </row>
    <row r="1568">
      <c r="A1568" s="25"/>
      <c r="B1568" s="42"/>
      <c r="C1568" s="42"/>
      <c r="D1568" s="42"/>
      <c r="E1568" s="42"/>
      <c r="F1568" s="42"/>
      <c r="M1568" s="91"/>
    </row>
    <row r="1569">
      <c r="A1569" s="25"/>
      <c r="B1569" s="42"/>
      <c r="C1569" s="42"/>
      <c r="D1569" s="42"/>
      <c r="E1569" s="42"/>
      <c r="F1569" s="42"/>
      <c r="M1569" s="91"/>
    </row>
    <row r="1570">
      <c r="A1570" s="25"/>
      <c r="B1570" s="42"/>
      <c r="C1570" s="42"/>
      <c r="D1570" s="42"/>
      <c r="E1570" s="42"/>
      <c r="F1570" s="42"/>
      <c r="M1570" s="91"/>
    </row>
    <row r="1571">
      <c r="A1571" s="25"/>
      <c r="B1571" s="42"/>
      <c r="C1571" s="42"/>
      <c r="D1571" s="42"/>
      <c r="E1571" s="42"/>
      <c r="F1571" s="42"/>
      <c r="M1571" s="91"/>
    </row>
    <row r="1572">
      <c r="A1572" s="25"/>
      <c r="B1572" s="42"/>
      <c r="C1572" s="42"/>
      <c r="D1572" s="42"/>
      <c r="E1572" s="42"/>
      <c r="F1572" s="42"/>
      <c r="M1572" s="91"/>
    </row>
    <row r="1573">
      <c r="A1573" s="25"/>
      <c r="B1573" s="42"/>
      <c r="C1573" s="42"/>
      <c r="D1573" s="42"/>
      <c r="E1573" s="42"/>
      <c r="F1573" s="42"/>
      <c r="M1573" s="91"/>
    </row>
    <row r="1574">
      <c r="A1574" s="25"/>
      <c r="B1574" s="42"/>
      <c r="C1574" s="42"/>
      <c r="D1574" s="42"/>
      <c r="E1574" s="42"/>
      <c r="F1574" s="42"/>
      <c r="M1574" s="91"/>
    </row>
    <row r="1575">
      <c r="A1575" s="25"/>
      <c r="B1575" s="42"/>
      <c r="C1575" s="42"/>
      <c r="D1575" s="42"/>
      <c r="E1575" s="42"/>
      <c r="F1575" s="42"/>
      <c r="M1575" s="91"/>
    </row>
    <row r="1576">
      <c r="A1576" s="25"/>
      <c r="B1576" s="42"/>
      <c r="C1576" s="42"/>
      <c r="D1576" s="42"/>
      <c r="E1576" s="42"/>
      <c r="F1576" s="42"/>
      <c r="M1576" s="91"/>
    </row>
    <row r="1577">
      <c r="A1577" s="25"/>
      <c r="B1577" s="42"/>
      <c r="C1577" s="42"/>
      <c r="D1577" s="42"/>
      <c r="E1577" s="42"/>
      <c r="F1577" s="42"/>
      <c r="M1577" s="91"/>
    </row>
    <row r="1578">
      <c r="A1578" s="25"/>
      <c r="B1578" s="42"/>
      <c r="C1578" s="42"/>
      <c r="D1578" s="42"/>
      <c r="E1578" s="42"/>
      <c r="F1578" s="42"/>
      <c r="M1578" s="91"/>
    </row>
    <row r="1579">
      <c r="A1579" s="25"/>
      <c r="B1579" s="42"/>
      <c r="C1579" s="42"/>
      <c r="D1579" s="42"/>
      <c r="E1579" s="42"/>
      <c r="F1579" s="42"/>
      <c r="M1579" s="91"/>
    </row>
    <row r="1580">
      <c r="A1580" s="25"/>
      <c r="B1580" s="42"/>
      <c r="C1580" s="42"/>
      <c r="D1580" s="42"/>
      <c r="E1580" s="42"/>
      <c r="F1580" s="42"/>
      <c r="M1580" s="91"/>
    </row>
    <row r="1581">
      <c r="A1581" s="25"/>
      <c r="B1581" s="42"/>
      <c r="C1581" s="42"/>
      <c r="D1581" s="42"/>
      <c r="E1581" s="42"/>
      <c r="F1581" s="42"/>
      <c r="M1581" s="91"/>
    </row>
    <row r="1582">
      <c r="A1582" s="25"/>
      <c r="B1582" s="42"/>
      <c r="C1582" s="42"/>
      <c r="D1582" s="42"/>
      <c r="E1582" s="42"/>
      <c r="F1582" s="42"/>
      <c r="M1582" s="91"/>
    </row>
    <row r="1583">
      <c r="A1583" s="25"/>
      <c r="B1583" s="42"/>
      <c r="C1583" s="42"/>
      <c r="D1583" s="42"/>
      <c r="E1583" s="42"/>
      <c r="F1583" s="42"/>
      <c r="M1583" s="91"/>
    </row>
    <row r="1584">
      <c r="A1584" s="25"/>
      <c r="B1584" s="42"/>
      <c r="C1584" s="42"/>
      <c r="D1584" s="42"/>
      <c r="E1584" s="42"/>
      <c r="F1584" s="42"/>
      <c r="M1584" s="91"/>
    </row>
    <row r="1585">
      <c r="A1585" s="25"/>
      <c r="B1585" s="42"/>
      <c r="C1585" s="42"/>
      <c r="D1585" s="42"/>
      <c r="E1585" s="42"/>
      <c r="F1585" s="42"/>
      <c r="M1585" s="91"/>
    </row>
    <row r="1586">
      <c r="A1586" s="25"/>
      <c r="B1586" s="42"/>
      <c r="C1586" s="42"/>
      <c r="D1586" s="42"/>
      <c r="E1586" s="42"/>
      <c r="F1586" s="42"/>
      <c r="M1586" s="91"/>
    </row>
    <row r="1587">
      <c r="A1587" s="25"/>
      <c r="B1587" s="42"/>
      <c r="C1587" s="42"/>
      <c r="D1587" s="42"/>
      <c r="E1587" s="42"/>
      <c r="F1587" s="42"/>
      <c r="M1587" s="91"/>
    </row>
    <row r="1588">
      <c r="A1588" s="25"/>
      <c r="B1588" s="42"/>
      <c r="C1588" s="42"/>
      <c r="D1588" s="42"/>
      <c r="E1588" s="42"/>
      <c r="F1588" s="42"/>
      <c r="M1588" s="91"/>
    </row>
    <row r="1589">
      <c r="A1589" s="25"/>
      <c r="B1589" s="42"/>
      <c r="C1589" s="42"/>
      <c r="D1589" s="42"/>
      <c r="E1589" s="42"/>
      <c r="F1589" s="42"/>
      <c r="M1589" s="91"/>
    </row>
    <row r="1590">
      <c r="A1590" s="25"/>
      <c r="B1590" s="42"/>
      <c r="C1590" s="42"/>
      <c r="D1590" s="42"/>
      <c r="E1590" s="42"/>
      <c r="F1590" s="42"/>
      <c r="M1590" s="91"/>
    </row>
    <row r="1591">
      <c r="A1591" s="25"/>
      <c r="B1591" s="42"/>
      <c r="C1591" s="42"/>
      <c r="D1591" s="42"/>
      <c r="E1591" s="42"/>
      <c r="F1591" s="42"/>
      <c r="M1591" s="91"/>
    </row>
    <row r="1592">
      <c r="A1592" s="25"/>
      <c r="B1592" s="42"/>
      <c r="C1592" s="42"/>
      <c r="D1592" s="42"/>
      <c r="E1592" s="42"/>
      <c r="F1592" s="42"/>
      <c r="M1592" s="91"/>
    </row>
    <row r="1593">
      <c r="A1593" s="25"/>
      <c r="B1593" s="42"/>
      <c r="C1593" s="42"/>
      <c r="D1593" s="42"/>
      <c r="E1593" s="42"/>
      <c r="F1593" s="42"/>
      <c r="M1593" s="91"/>
    </row>
    <row r="1594">
      <c r="A1594" s="25"/>
      <c r="B1594" s="42"/>
      <c r="C1594" s="42"/>
      <c r="D1594" s="42"/>
      <c r="E1594" s="42"/>
      <c r="F1594" s="42"/>
      <c r="M1594" s="91"/>
    </row>
    <row r="1595">
      <c r="A1595" s="25"/>
      <c r="B1595" s="42"/>
      <c r="C1595" s="42"/>
      <c r="D1595" s="42"/>
      <c r="E1595" s="42"/>
      <c r="F1595" s="42"/>
      <c r="M1595" s="91"/>
    </row>
    <row r="1596">
      <c r="A1596" s="25"/>
      <c r="B1596" s="42"/>
      <c r="C1596" s="42"/>
      <c r="D1596" s="42"/>
      <c r="E1596" s="42"/>
      <c r="F1596" s="42"/>
      <c r="M1596" s="91"/>
    </row>
    <row r="1597">
      <c r="A1597" s="25"/>
      <c r="B1597" s="42"/>
      <c r="C1597" s="42"/>
      <c r="D1597" s="42"/>
      <c r="E1597" s="42"/>
      <c r="F1597" s="42"/>
      <c r="M1597" s="91"/>
    </row>
    <row r="1598">
      <c r="A1598" s="25"/>
      <c r="B1598" s="42"/>
      <c r="C1598" s="42"/>
      <c r="D1598" s="42"/>
      <c r="E1598" s="42"/>
      <c r="F1598" s="42"/>
      <c r="M1598" s="91"/>
    </row>
    <row r="1599">
      <c r="A1599" s="25"/>
      <c r="B1599" s="42"/>
      <c r="C1599" s="42"/>
      <c r="D1599" s="42"/>
      <c r="E1599" s="42"/>
      <c r="F1599" s="42"/>
      <c r="M1599" s="91"/>
    </row>
    <row r="1600">
      <c r="A1600" s="25"/>
      <c r="B1600" s="42"/>
      <c r="C1600" s="42"/>
      <c r="D1600" s="42"/>
      <c r="E1600" s="42"/>
      <c r="F1600" s="42"/>
      <c r="M1600" s="91"/>
    </row>
    <row r="1601">
      <c r="A1601" s="25"/>
      <c r="B1601" s="42"/>
      <c r="C1601" s="42"/>
      <c r="D1601" s="42"/>
      <c r="E1601" s="42"/>
      <c r="F1601" s="42"/>
      <c r="M1601" s="91"/>
    </row>
    <row r="1602">
      <c r="A1602" s="25"/>
      <c r="B1602" s="42"/>
      <c r="C1602" s="42"/>
      <c r="D1602" s="42"/>
      <c r="E1602" s="42"/>
      <c r="F1602" s="42"/>
      <c r="M1602" s="91"/>
    </row>
    <row r="1603">
      <c r="A1603" s="25"/>
      <c r="B1603" s="42"/>
      <c r="C1603" s="42"/>
      <c r="D1603" s="42"/>
      <c r="E1603" s="42"/>
      <c r="F1603" s="42"/>
      <c r="M1603" s="91"/>
    </row>
    <row r="1604">
      <c r="A1604" s="25"/>
      <c r="B1604" s="42"/>
      <c r="C1604" s="42"/>
      <c r="D1604" s="42"/>
      <c r="E1604" s="42"/>
      <c r="F1604" s="42"/>
      <c r="M1604" s="91"/>
    </row>
    <row r="1605">
      <c r="A1605" s="25"/>
      <c r="B1605" s="42"/>
      <c r="C1605" s="42"/>
      <c r="D1605" s="42"/>
      <c r="E1605" s="42"/>
      <c r="F1605" s="42"/>
      <c r="M1605" s="91"/>
    </row>
    <row r="1606">
      <c r="A1606" s="25"/>
      <c r="B1606" s="42"/>
      <c r="C1606" s="42"/>
      <c r="D1606" s="42"/>
      <c r="E1606" s="42"/>
      <c r="F1606" s="42"/>
      <c r="M1606" s="91"/>
    </row>
    <row r="1607">
      <c r="A1607" s="25"/>
      <c r="B1607" s="42"/>
      <c r="C1607" s="42"/>
      <c r="D1607" s="42"/>
      <c r="E1607" s="42"/>
      <c r="F1607" s="42"/>
      <c r="M1607" s="91"/>
    </row>
    <row r="1608">
      <c r="A1608" s="25"/>
      <c r="B1608" s="42"/>
      <c r="C1608" s="42"/>
      <c r="D1608" s="42"/>
      <c r="E1608" s="42"/>
      <c r="F1608" s="42"/>
      <c r="M1608" s="91"/>
    </row>
    <row r="1609">
      <c r="A1609" s="25"/>
      <c r="B1609" s="42"/>
      <c r="C1609" s="42"/>
      <c r="D1609" s="42"/>
      <c r="E1609" s="42"/>
      <c r="F1609" s="42"/>
      <c r="M1609" s="91"/>
    </row>
    <row r="1610">
      <c r="A1610" s="25"/>
      <c r="B1610" s="42"/>
      <c r="C1610" s="42"/>
      <c r="D1610" s="42"/>
      <c r="E1610" s="42"/>
      <c r="F1610" s="42"/>
      <c r="M1610" s="91"/>
    </row>
    <row r="1611">
      <c r="A1611" s="25"/>
      <c r="B1611" s="42"/>
      <c r="C1611" s="42"/>
      <c r="D1611" s="42"/>
      <c r="E1611" s="42"/>
      <c r="F1611" s="42"/>
      <c r="M1611" s="91"/>
    </row>
    <row r="1612">
      <c r="A1612" s="25"/>
      <c r="B1612" s="42"/>
      <c r="C1612" s="42"/>
      <c r="D1612" s="42"/>
      <c r="E1612" s="42"/>
      <c r="F1612" s="42"/>
      <c r="M1612" s="91"/>
    </row>
    <row r="1613">
      <c r="A1613" s="25"/>
      <c r="B1613" s="42"/>
      <c r="C1613" s="42"/>
      <c r="D1613" s="42"/>
      <c r="E1613" s="42"/>
      <c r="F1613" s="42"/>
      <c r="M1613" s="91"/>
    </row>
    <row r="1614">
      <c r="A1614" s="25"/>
      <c r="B1614" s="42"/>
      <c r="C1614" s="42"/>
      <c r="D1614" s="42"/>
      <c r="E1614" s="42"/>
      <c r="F1614" s="42"/>
      <c r="M1614" s="91"/>
    </row>
    <row r="1615">
      <c r="A1615" s="25"/>
      <c r="B1615" s="42"/>
      <c r="C1615" s="42"/>
      <c r="D1615" s="42"/>
      <c r="E1615" s="42"/>
      <c r="F1615" s="42"/>
      <c r="M1615" s="91"/>
    </row>
    <row r="1616">
      <c r="A1616" s="25"/>
      <c r="B1616" s="42"/>
      <c r="C1616" s="42"/>
      <c r="D1616" s="42"/>
      <c r="E1616" s="42"/>
      <c r="F1616" s="42"/>
      <c r="M1616" s="91"/>
    </row>
    <row r="1617">
      <c r="A1617" s="25"/>
      <c r="B1617" s="42"/>
      <c r="C1617" s="42"/>
      <c r="D1617" s="42"/>
      <c r="E1617" s="42"/>
      <c r="F1617" s="42"/>
      <c r="M1617" s="91"/>
    </row>
    <row r="1618">
      <c r="A1618" s="25"/>
      <c r="B1618" s="42"/>
      <c r="C1618" s="42"/>
      <c r="D1618" s="42"/>
      <c r="E1618" s="42"/>
      <c r="F1618" s="42"/>
      <c r="M1618" s="91"/>
    </row>
    <row r="1619">
      <c r="A1619" s="25"/>
      <c r="B1619" s="42"/>
      <c r="C1619" s="42"/>
      <c r="D1619" s="42"/>
      <c r="E1619" s="42"/>
      <c r="F1619" s="42"/>
      <c r="M1619" s="91"/>
    </row>
    <row r="1620">
      <c r="A1620" s="25"/>
      <c r="B1620" s="42"/>
      <c r="C1620" s="42"/>
      <c r="D1620" s="42"/>
      <c r="E1620" s="42"/>
      <c r="F1620" s="42"/>
      <c r="M1620" s="91"/>
    </row>
    <row r="1621">
      <c r="A1621" s="25"/>
      <c r="B1621" s="42"/>
      <c r="C1621" s="42"/>
      <c r="D1621" s="42"/>
      <c r="E1621" s="42"/>
      <c r="F1621" s="42"/>
      <c r="M1621" s="91"/>
    </row>
    <row r="1622">
      <c r="A1622" s="25"/>
      <c r="B1622" s="42"/>
      <c r="C1622" s="42"/>
      <c r="D1622" s="42"/>
      <c r="E1622" s="42"/>
      <c r="F1622" s="42"/>
      <c r="M1622" s="91"/>
    </row>
    <row r="1623">
      <c r="A1623" s="25"/>
      <c r="B1623" s="42"/>
      <c r="C1623" s="42"/>
      <c r="D1623" s="42"/>
      <c r="E1623" s="42"/>
      <c r="F1623" s="42"/>
      <c r="M1623" s="91"/>
    </row>
    <row r="1624">
      <c r="A1624" s="25"/>
      <c r="B1624" s="42"/>
      <c r="C1624" s="42"/>
      <c r="D1624" s="42"/>
      <c r="E1624" s="42"/>
      <c r="F1624" s="42"/>
      <c r="M1624" s="91"/>
    </row>
    <row r="1625">
      <c r="A1625" s="25"/>
      <c r="B1625" s="42"/>
      <c r="C1625" s="42"/>
      <c r="D1625" s="42"/>
      <c r="E1625" s="42"/>
      <c r="F1625" s="42"/>
      <c r="M1625" s="91"/>
    </row>
    <row r="1626">
      <c r="A1626" s="25"/>
      <c r="B1626" s="42"/>
      <c r="C1626" s="42"/>
      <c r="D1626" s="42"/>
      <c r="E1626" s="42"/>
      <c r="F1626" s="42"/>
      <c r="M1626" s="91"/>
    </row>
    <row r="1627">
      <c r="A1627" s="25"/>
      <c r="B1627" s="42"/>
      <c r="C1627" s="42"/>
      <c r="D1627" s="42"/>
      <c r="E1627" s="42"/>
      <c r="F1627" s="42"/>
      <c r="M1627" s="91"/>
    </row>
    <row r="1628">
      <c r="A1628" s="25"/>
      <c r="B1628" s="42"/>
      <c r="C1628" s="42"/>
      <c r="D1628" s="42"/>
      <c r="E1628" s="42"/>
      <c r="F1628" s="42"/>
      <c r="M1628" s="91"/>
    </row>
    <row r="1629">
      <c r="A1629" s="25"/>
      <c r="B1629" s="42"/>
      <c r="C1629" s="42"/>
      <c r="D1629" s="42"/>
      <c r="E1629" s="42"/>
      <c r="F1629" s="42"/>
      <c r="M1629" s="91"/>
    </row>
    <row r="1630">
      <c r="A1630" s="25"/>
      <c r="B1630" s="42"/>
      <c r="C1630" s="42"/>
      <c r="D1630" s="42"/>
      <c r="E1630" s="42"/>
      <c r="F1630" s="42"/>
      <c r="M1630" s="91"/>
    </row>
    <row r="1631">
      <c r="A1631" s="25"/>
      <c r="B1631" s="42"/>
      <c r="C1631" s="42"/>
      <c r="D1631" s="42"/>
      <c r="E1631" s="42"/>
      <c r="F1631" s="42"/>
      <c r="M1631" s="91"/>
    </row>
    <row r="1632">
      <c r="A1632" s="25"/>
      <c r="B1632" s="42"/>
      <c r="C1632" s="42"/>
      <c r="D1632" s="42"/>
      <c r="E1632" s="42"/>
      <c r="F1632" s="42"/>
      <c r="M1632" s="91"/>
    </row>
    <row r="1633">
      <c r="A1633" s="25"/>
      <c r="B1633" s="42"/>
      <c r="C1633" s="42"/>
      <c r="D1633" s="42"/>
      <c r="E1633" s="42"/>
      <c r="F1633" s="42"/>
      <c r="M1633" s="91"/>
    </row>
    <row r="1634">
      <c r="A1634" s="25"/>
      <c r="B1634" s="42"/>
      <c r="C1634" s="42"/>
      <c r="D1634" s="42"/>
      <c r="E1634" s="42"/>
      <c r="F1634" s="42"/>
      <c r="M1634" s="91"/>
    </row>
    <row r="1635">
      <c r="A1635" s="25"/>
      <c r="B1635" s="42"/>
      <c r="C1635" s="42"/>
      <c r="D1635" s="42"/>
      <c r="E1635" s="42"/>
      <c r="F1635" s="42"/>
      <c r="M1635" s="91"/>
    </row>
    <row r="1636">
      <c r="A1636" s="25"/>
      <c r="B1636" s="42"/>
      <c r="C1636" s="42"/>
      <c r="D1636" s="42"/>
      <c r="E1636" s="42"/>
      <c r="F1636" s="42"/>
      <c r="M1636" s="91"/>
    </row>
    <row r="1637">
      <c r="A1637" s="25"/>
      <c r="B1637" s="42"/>
      <c r="C1637" s="42"/>
      <c r="D1637" s="42"/>
      <c r="E1637" s="42"/>
      <c r="F1637" s="42"/>
      <c r="M1637" s="91"/>
    </row>
    <row r="1638">
      <c r="A1638" s="25"/>
      <c r="B1638" s="42"/>
      <c r="C1638" s="42"/>
      <c r="D1638" s="42"/>
      <c r="E1638" s="42"/>
      <c r="F1638" s="42"/>
      <c r="M1638" s="91"/>
    </row>
    <row r="1639">
      <c r="A1639" s="25"/>
      <c r="B1639" s="42"/>
      <c r="C1639" s="42"/>
      <c r="D1639" s="42"/>
      <c r="E1639" s="42"/>
      <c r="F1639" s="42"/>
      <c r="M1639" s="91"/>
    </row>
    <row r="1640">
      <c r="A1640" s="25"/>
      <c r="B1640" s="42"/>
      <c r="C1640" s="42"/>
      <c r="D1640" s="42"/>
      <c r="E1640" s="42"/>
      <c r="F1640" s="42"/>
      <c r="M1640" s="91"/>
    </row>
    <row r="1641">
      <c r="A1641" s="25"/>
      <c r="B1641" s="42"/>
      <c r="C1641" s="42"/>
      <c r="D1641" s="42"/>
      <c r="E1641" s="42"/>
      <c r="F1641" s="42"/>
      <c r="M1641" s="91"/>
    </row>
    <row r="1642">
      <c r="A1642" s="25"/>
      <c r="B1642" s="42"/>
      <c r="C1642" s="42"/>
      <c r="D1642" s="42"/>
      <c r="E1642" s="42"/>
      <c r="F1642" s="42"/>
      <c r="M1642" s="91"/>
    </row>
    <row r="1643">
      <c r="A1643" s="25"/>
      <c r="B1643" s="42"/>
      <c r="C1643" s="42"/>
      <c r="D1643" s="42"/>
      <c r="E1643" s="42"/>
      <c r="F1643" s="42"/>
      <c r="M1643" s="91"/>
    </row>
    <row r="1644">
      <c r="A1644" s="25"/>
      <c r="B1644" s="42"/>
      <c r="C1644" s="42"/>
      <c r="D1644" s="42"/>
      <c r="E1644" s="42"/>
      <c r="F1644" s="42"/>
      <c r="M1644" s="91"/>
    </row>
    <row r="1645">
      <c r="A1645" s="25"/>
      <c r="B1645" s="42"/>
      <c r="C1645" s="42"/>
      <c r="D1645" s="42"/>
      <c r="E1645" s="42"/>
      <c r="F1645" s="42"/>
      <c r="M1645" s="91"/>
    </row>
    <row r="1646">
      <c r="A1646" s="25"/>
      <c r="B1646" s="42"/>
      <c r="C1646" s="42"/>
      <c r="D1646" s="42"/>
      <c r="E1646" s="42"/>
      <c r="F1646" s="42"/>
      <c r="M1646" s="91"/>
    </row>
    <row r="1647">
      <c r="A1647" s="25"/>
      <c r="B1647" s="42"/>
      <c r="C1647" s="42"/>
      <c r="D1647" s="42"/>
      <c r="E1647" s="42"/>
      <c r="F1647" s="42"/>
      <c r="M1647" s="91"/>
    </row>
    <row r="1648">
      <c r="A1648" s="25"/>
      <c r="B1648" s="42"/>
      <c r="C1648" s="42"/>
      <c r="D1648" s="42"/>
      <c r="E1648" s="42"/>
      <c r="F1648" s="42"/>
      <c r="M1648" s="91"/>
    </row>
    <row r="1649">
      <c r="A1649" s="25"/>
      <c r="B1649" s="42"/>
      <c r="C1649" s="42"/>
      <c r="D1649" s="42"/>
      <c r="E1649" s="42"/>
      <c r="F1649" s="42"/>
      <c r="M1649" s="91"/>
    </row>
    <row r="1650">
      <c r="A1650" s="25"/>
      <c r="B1650" s="42"/>
      <c r="C1650" s="42"/>
      <c r="D1650" s="42"/>
      <c r="E1650" s="42"/>
      <c r="F1650" s="42"/>
      <c r="M1650" s="91"/>
    </row>
    <row r="1651">
      <c r="A1651" s="25"/>
      <c r="B1651" s="42"/>
      <c r="C1651" s="42"/>
      <c r="D1651" s="42"/>
      <c r="E1651" s="42"/>
      <c r="F1651" s="42"/>
      <c r="M1651" s="91"/>
    </row>
    <row r="1652">
      <c r="A1652" s="25"/>
      <c r="B1652" s="42"/>
      <c r="C1652" s="42"/>
      <c r="D1652" s="42"/>
      <c r="E1652" s="42"/>
      <c r="F1652" s="42"/>
      <c r="M1652" s="91"/>
    </row>
    <row r="1653">
      <c r="A1653" s="25"/>
      <c r="B1653" s="42"/>
      <c r="C1653" s="42"/>
      <c r="D1653" s="42"/>
      <c r="E1653" s="42"/>
      <c r="F1653" s="42"/>
      <c r="M1653" s="91"/>
    </row>
    <row r="1654">
      <c r="A1654" s="25"/>
      <c r="B1654" s="42"/>
      <c r="C1654" s="42"/>
      <c r="D1654" s="42"/>
      <c r="E1654" s="42"/>
      <c r="F1654" s="42"/>
      <c r="M1654" s="91"/>
    </row>
    <row r="1655">
      <c r="A1655" s="25"/>
      <c r="B1655" s="42"/>
      <c r="C1655" s="42"/>
      <c r="D1655" s="42"/>
      <c r="E1655" s="42"/>
      <c r="F1655" s="42"/>
      <c r="M1655" s="91"/>
    </row>
    <row r="1656">
      <c r="A1656" s="25"/>
      <c r="B1656" s="42"/>
      <c r="C1656" s="42"/>
      <c r="D1656" s="42"/>
      <c r="E1656" s="42"/>
      <c r="F1656" s="42"/>
      <c r="M1656" s="91"/>
    </row>
    <row r="1657">
      <c r="A1657" s="25"/>
      <c r="B1657" s="42"/>
      <c r="C1657" s="42"/>
      <c r="D1657" s="42"/>
      <c r="E1657" s="42"/>
      <c r="F1657" s="42"/>
      <c r="M1657" s="91"/>
    </row>
    <row r="1658">
      <c r="A1658" s="25"/>
      <c r="B1658" s="42"/>
      <c r="C1658" s="42"/>
      <c r="D1658" s="42"/>
      <c r="E1658" s="42"/>
      <c r="F1658" s="42"/>
      <c r="M1658" s="91"/>
    </row>
    <row r="1659">
      <c r="A1659" s="25"/>
      <c r="B1659" s="42"/>
      <c r="C1659" s="42"/>
      <c r="D1659" s="42"/>
      <c r="E1659" s="42"/>
      <c r="F1659" s="42"/>
      <c r="M1659" s="91"/>
    </row>
    <row r="1660">
      <c r="A1660" s="25"/>
      <c r="B1660" s="42"/>
      <c r="C1660" s="42"/>
      <c r="D1660" s="42"/>
      <c r="E1660" s="42"/>
      <c r="F1660" s="42"/>
      <c r="M1660" s="91"/>
    </row>
    <row r="1661">
      <c r="A1661" s="25"/>
      <c r="B1661" s="42"/>
      <c r="C1661" s="42"/>
      <c r="D1661" s="42"/>
      <c r="E1661" s="42"/>
      <c r="F1661" s="42"/>
      <c r="M1661" s="91"/>
    </row>
    <row r="1662">
      <c r="A1662" s="25"/>
      <c r="B1662" s="42"/>
      <c r="C1662" s="42"/>
      <c r="D1662" s="42"/>
      <c r="E1662" s="42"/>
      <c r="F1662" s="42"/>
      <c r="M1662" s="91"/>
    </row>
    <row r="1663">
      <c r="A1663" s="25"/>
      <c r="B1663" s="42"/>
      <c r="C1663" s="42"/>
      <c r="D1663" s="42"/>
      <c r="E1663" s="42"/>
      <c r="F1663" s="42"/>
      <c r="M1663" s="91"/>
    </row>
    <row r="1664">
      <c r="A1664" s="25"/>
      <c r="B1664" s="42"/>
      <c r="C1664" s="42"/>
      <c r="D1664" s="42"/>
      <c r="E1664" s="42"/>
      <c r="F1664" s="42"/>
      <c r="M1664" s="91"/>
    </row>
    <row r="1665">
      <c r="A1665" s="25"/>
      <c r="B1665" s="42"/>
      <c r="C1665" s="42"/>
      <c r="D1665" s="42"/>
      <c r="E1665" s="42"/>
      <c r="F1665" s="42"/>
      <c r="M1665" s="91"/>
    </row>
    <row r="1666">
      <c r="A1666" s="25"/>
      <c r="B1666" s="42"/>
      <c r="C1666" s="42"/>
      <c r="D1666" s="42"/>
      <c r="E1666" s="42"/>
      <c r="F1666" s="42"/>
      <c r="M1666" s="91"/>
    </row>
    <row r="1667">
      <c r="A1667" s="25"/>
      <c r="B1667" s="42"/>
      <c r="C1667" s="42"/>
      <c r="D1667" s="42"/>
      <c r="E1667" s="42"/>
      <c r="F1667" s="42"/>
      <c r="M1667" s="91"/>
    </row>
    <row r="1668">
      <c r="A1668" s="25"/>
      <c r="B1668" s="42"/>
      <c r="C1668" s="42"/>
      <c r="D1668" s="42"/>
      <c r="E1668" s="42"/>
      <c r="F1668" s="42"/>
      <c r="M1668" s="91"/>
    </row>
    <row r="1669">
      <c r="A1669" s="25"/>
      <c r="B1669" s="42"/>
      <c r="C1669" s="42"/>
      <c r="D1669" s="42"/>
      <c r="E1669" s="42"/>
      <c r="F1669" s="42"/>
      <c r="M1669" s="91"/>
    </row>
    <row r="1670">
      <c r="A1670" s="25"/>
      <c r="B1670" s="42"/>
      <c r="C1670" s="42"/>
      <c r="D1670" s="42"/>
      <c r="E1670" s="42"/>
      <c r="F1670" s="42"/>
      <c r="M1670" s="91"/>
    </row>
    <row r="1671">
      <c r="A1671" s="25"/>
      <c r="B1671" s="42"/>
      <c r="C1671" s="42"/>
      <c r="D1671" s="42"/>
      <c r="E1671" s="42"/>
      <c r="F1671" s="42"/>
      <c r="M1671" s="91"/>
    </row>
    <row r="1672">
      <c r="A1672" s="25"/>
      <c r="B1672" s="42"/>
      <c r="C1672" s="42"/>
      <c r="D1672" s="42"/>
      <c r="E1672" s="42"/>
      <c r="F1672" s="42"/>
      <c r="M1672" s="91"/>
    </row>
    <row r="1673">
      <c r="A1673" s="25"/>
      <c r="B1673" s="42"/>
      <c r="C1673" s="42"/>
      <c r="D1673" s="42"/>
      <c r="E1673" s="42"/>
      <c r="F1673" s="42"/>
      <c r="M1673" s="91"/>
    </row>
    <row r="1674">
      <c r="A1674" s="25"/>
      <c r="B1674" s="42"/>
      <c r="C1674" s="42"/>
      <c r="D1674" s="42"/>
      <c r="E1674" s="42"/>
      <c r="F1674" s="42"/>
      <c r="M1674" s="91"/>
    </row>
    <row r="1675">
      <c r="A1675" s="25"/>
      <c r="B1675" s="42"/>
      <c r="C1675" s="42"/>
      <c r="D1675" s="42"/>
      <c r="E1675" s="42"/>
      <c r="F1675" s="42"/>
      <c r="M1675" s="91"/>
    </row>
    <row r="1676">
      <c r="A1676" s="25"/>
      <c r="B1676" s="42"/>
      <c r="C1676" s="42"/>
      <c r="D1676" s="42"/>
      <c r="E1676" s="42"/>
      <c r="F1676" s="42"/>
      <c r="M1676" s="91"/>
    </row>
    <row r="1677">
      <c r="A1677" s="25"/>
      <c r="B1677" s="42"/>
      <c r="C1677" s="42"/>
      <c r="D1677" s="42"/>
      <c r="E1677" s="42"/>
      <c r="F1677" s="42"/>
      <c r="M1677" s="91"/>
    </row>
    <row r="1678">
      <c r="A1678" s="25"/>
      <c r="B1678" s="42"/>
      <c r="C1678" s="42"/>
      <c r="D1678" s="42"/>
      <c r="E1678" s="42"/>
      <c r="F1678" s="42"/>
      <c r="M1678" s="91"/>
    </row>
    <row r="1679">
      <c r="A1679" s="25"/>
      <c r="B1679" s="42"/>
      <c r="C1679" s="42"/>
      <c r="D1679" s="42"/>
      <c r="E1679" s="42"/>
      <c r="F1679" s="42"/>
      <c r="M1679" s="91"/>
    </row>
    <row r="1680">
      <c r="A1680" s="25"/>
      <c r="B1680" s="42"/>
      <c r="C1680" s="42"/>
      <c r="D1680" s="42"/>
      <c r="E1680" s="42"/>
      <c r="F1680" s="42"/>
      <c r="M1680" s="91"/>
    </row>
    <row r="1681">
      <c r="A1681" s="25"/>
      <c r="B1681" s="42"/>
      <c r="C1681" s="42"/>
      <c r="D1681" s="42"/>
      <c r="E1681" s="42"/>
      <c r="F1681" s="42"/>
      <c r="M1681" s="91"/>
    </row>
    <row r="1682">
      <c r="A1682" s="25"/>
      <c r="B1682" s="42"/>
      <c r="C1682" s="42"/>
      <c r="D1682" s="42"/>
      <c r="E1682" s="42"/>
      <c r="F1682" s="42"/>
      <c r="M1682" s="91"/>
    </row>
    <row r="1683">
      <c r="A1683" s="25"/>
      <c r="B1683" s="42"/>
      <c r="C1683" s="42"/>
      <c r="D1683" s="42"/>
      <c r="E1683" s="42"/>
      <c r="F1683" s="42"/>
      <c r="M1683" s="91"/>
    </row>
    <row r="1684">
      <c r="A1684" s="25"/>
      <c r="B1684" s="42"/>
      <c r="C1684" s="42"/>
      <c r="D1684" s="42"/>
      <c r="E1684" s="42"/>
      <c r="F1684" s="42"/>
      <c r="M1684" s="91"/>
    </row>
    <row r="1685">
      <c r="A1685" s="25"/>
      <c r="B1685" s="42"/>
      <c r="C1685" s="42"/>
      <c r="D1685" s="42"/>
      <c r="E1685" s="42"/>
      <c r="F1685" s="42"/>
      <c r="M1685" s="91"/>
    </row>
    <row r="1686">
      <c r="A1686" s="25"/>
      <c r="B1686" s="42"/>
      <c r="C1686" s="42"/>
      <c r="D1686" s="42"/>
      <c r="E1686" s="42"/>
      <c r="F1686" s="42"/>
      <c r="M1686" s="91"/>
    </row>
    <row r="1687">
      <c r="A1687" s="25"/>
      <c r="B1687" s="42"/>
      <c r="C1687" s="42"/>
      <c r="D1687" s="42"/>
      <c r="E1687" s="42"/>
      <c r="F1687" s="42"/>
      <c r="M1687" s="91"/>
    </row>
    <row r="1688">
      <c r="A1688" s="25"/>
      <c r="B1688" s="42"/>
      <c r="C1688" s="42"/>
      <c r="D1688" s="42"/>
      <c r="E1688" s="42"/>
      <c r="F1688" s="42"/>
      <c r="M1688" s="91"/>
    </row>
    <row r="1689">
      <c r="A1689" s="25"/>
      <c r="B1689" s="42"/>
      <c r="C1689" s="42"/>
      <c r="D1689" s="42"/>
      <c r="E1689" s="42"/>
      <c r="F1689" s="42"/>
      <c r="M1689" s="91"/>
    </row>
    <row r="1690">
      <c r="A1690" s="25"/>
      <c r="B1690" s="42"/>
      <c r="C1690" s="42"/>
      <c r="D1690" s="42"/>
      <c r="E1690" s="42"/>
      <c r="F1690" s="42"/>
      <c r="M1690" s="91"/>
    </row>
    <row r="1691">
      <c r="A1691" s="25"/>
      <c r="B1691" s="42"/>
      <c r="C1691" s="42"/>
      <c r="D1691" s="42"/>
      <c r="E1691" s="42"/>
      <c r="F1691" s="42"/>
      <c r="M1691" s="91"/>
    </row>
    <row r="1692">
      <c r="A1692" s="25"/>
      <c r="B1692" s="42"/>
      <c r="C1692" s="42"/>
      <c r="D1692" s="42"/>
      <c r="E1692" s="42"/>
      <c r="F1692" s="42"/>
      <c r="M1692" s="91"/>
    </row>
    <row r="1693">
      <c r="A1693" s="25"/>
      <c r="B1693" s="42"/>
      <c r="C1693" s="42"/>
      <c r="D1693" s="42"/>
      <c r="E1693" s="42"/>
      <c r="F1693" s="42"/>
      <c r="M1693" s="91"/>
    </row>
    <row r="1694">
      <c r="A1694" s="25"/>
      <c r="B1694" s="42"/>
      <c r="C1694" s="42"/>
      <c r="D1694" s="42"/>
      <c r="E1694" s="42"/>
      <c r="F1694" s="42"/>
      <c r="M1694" s="91"/>
    </row>
    <row r="1695">
      <c r="A1695" s="25"/>
      <c r="B1695" s="42"/>
      <c r="C1695" s="42"/>
      <c r="D1695" s="42"/>
      <c r="E1695" s="42"/>
      <c r="F1695" s="42"/>
      <c r="M1695" s="91"/>
    </row>
    <row r="1696">
      <c r="A1696" s="25"/>
      <c r="B1696" s="42"/>
      <c r="C1696" s="42"/>
      <c r="D1696" s="42"/>
      <c r="E1696" s="42"/>
      <c r="F1696" s="42"/>
      <c r="M1696" s="91"/>
    </row>
    <row r="1697">
      <c r="A1697" s="25"/>
      <c r="B1697" s="42"/>
      <c r="C1697" s="42"/>
      <c r="D1697" s="42"/>
      <c r="E1697" s="42"/>
      <c r="F1697" s="42"/>
      <c r="M1697" s="91"/>
    </row>
    <row r="1698">
      <c r="A1698" s="25"/>
      <c r="B1698" s="42"/>
      <c r="C1698" s="42"/>
      <c r="D1698" s="42"/>
      <c r="E1698" s="42"/>
      <c r="F1698" s="42"/>
      <c r="M1698" s="91"/>
    </row>
    <row r="1699">
      <c r="A1699" s="25"/>
      <c r="B1699" s="42"/>
      <c r="C1699" s="42"/>
      <c r="D1699" s="42"/>
      <c r="E1699" s="42"/>
      <c r="F1699" s="42"/>
      <c r="M1699" s="91"/>
    </row>
    <row r="1700">
      <c r="A1700" s="25"/>
      <c r="B1700" s="42"/>
      <c r="C1700" s="42"/>
      <c r="D1700" s="42"/>
      <c r="E1700" s="42"/>
      <c r="F1700" s="42"/>
      <c r="M1700" s="91"/>
    </row>
    <row r="1701">
      <c r="A1701" s="25"/>
      <c r="B1701" s="42"/>
      <c r="C1701" s="42"/>
      <c r="D1701" s="42"/>
      <c r="E1701" s="42"/>
      <c r="F1701" s="42"/>
      <c r="M1701" s="91"/>
    </row>
    <row r="1702">
      <c r="A1702" s="25"/>
      <c r="B1702" s="42"/>
      <c r="C1702" s="42"/>
      <c r="D1702" s="42"/>
      <c r="E1702" s="42"/>
      <c r="F1702" s="42"/>
      <c r="M1702" s="91"/>
    </row>
    <row r="1703">
      <c r="A1703" s="25"/>
      <c r="B1703" s="42"/>
      <c r="C1703" s="42"/>
      <c r="D1703" s="42"/>
      <c r="E1703" s="42"/>
      <c r="F1703" s="42"/>
      <c r="M1703" s="91"/>
    </row>
    <row r="1704">
      <c r="A1704" s="25"/>
      <c r="B1704" s="42"/>
      <c r="C1704" s="42"/>
      <c r="D1704" s="42"/>
      <c r="E1704" s="42"/>
      <c r="F1704" s="42"/>
      <c r="M1704" s="91"/>
    </row>
    <row r="1705">
      <c r="A1705" s="25"/>
      <c r="B1705" s="42"/>
      <c r="C1705" s="42"/>
      <c r="D1705" s="42"/>
      <c r="E1705" s="42"/>
      <c r="F1705" s="42"/>
      <c r="M1705" s="91"/>
    </row>
    <row r="1706">
      <c r="A1706" s="25"/>
      <c r="B1706" s="42"/>
      <c r="C1706" s="42"/>
      <c r="D1706" s="42"/>
      <c r="E1706" s="42"/>
      <c r="F1706" s="42"/>
      <c r="M1706" s="91"/>
    </row>
    <row r="1707">
      <c r="A1707" s="25"/>
      <c r="B1707" s="42"/>
      <c r="C1707" s="42"/>
      <c r="D1707" s="42"/>
      <c r="E1707" s="42"/>
      <c r="F1707" s="42"/>
      <c r="M1707" s="91"/>
    </row>
    <row r="1708">
      <c r="A1708" s="25"/>
      <c r="B1708" s="42"/>
      <c r="C1708" s="42"/>
      <c r="D1708" s="42"/>
      <c r="E1708" s="42"/>
      <c r="F1708" s="42"/>
      <c r="M1708" s="91"/>
    </row>
    <row r="1709">
      <c r="A1709" s="25"/>
      <c r="B1709" s="42"/>
      <c r="C1709" s="42"/>
      <c r="D1709" s="42"/>
      <c r="E1709" s="42"/>
      <c r="F1709" s="42"/>
      <c r="M1709" s="91"/>
    </row>
    <row r="1710">
      <c r="A1710" s="25"/>
      <c r="B1710" s="42"/>
      <c r="C1710" s="42"/>
      <c r="D1710" s="42"/>
      <c r="E1710" s="42"/>
      <c r="F1710" s="42"/>
      <c r="M1710" s="91"/>
    </row>
    <row r="1711">
      <c r="A1711" s="25"/>
      <c r="B1711" s="42"/>
      <c r="C1711" s="42"/>
      <c r="D1711" s="42"/>
      <c r="E1711" s="42"/>
      <c r="F1711" s="42"/>
      <c r="M1711" s="91"/>
    </row>
    <row r="1712">
      <c r="A1712" s="25"/>
      <c r="B1712" s="42"/>
      <c r="C1712" s="42"/>
      <c r="D1712" s="42"/>
      <c r="E1712" s="42"/>
      <c r="F1712" s="42"/>
      <c r="M1712" s="91"/>
    </row>
    <row r="1713">
      <c r="A1713" s="25"/>
      <c r="B1713" s="42"/>
      <c r="C1713" s="42"/>
      <c r="D1713" s="42"/>
      <c r="E1713" s="42"/>
      <c r="F1713" s="42"/>
      <c r="M1713" s="91"/>
    </row>
    <row r="1714">
      <c r="A1714" s="25"/>
      <c r="B1714" s="42"/>
      <c r="C1714" s="42"/>
      <c r="D1714" s="42"/>
      <c r="E1714" s="42"/>
      <c r="F1714" s="42"/>
      <c r="M1714" s="91"/>
    </row>
    <row r="1715">
      <c r="A1715" s="25"/>
      <c r="B1715" s="42"/>
      <c r="C1715" s="42"/>
      <c r="D1715" s="42"/>
      <c r="E1715" s="42"/>
      <c r="F1715" s="42"/>
      <c r="M1715" s="91"/>
    </row>
    <row r="1716">
      <c r="A1716" s="25"/>
      <c r="B1716" s="42"/>
      <c r="C1716" s="42"/>
      <c r="D1716" s="42"/>
      <c r="E1716" s="42"/>
      <c r="F1716" s="42"/>
      <c r="M1716" s="91"/>
    </row>
    <row r="1717">
      <c r="A1717" s="25"/>
      <c r="B1717" s="42"/>
      <c r="C1717" s="42"/>
      <c r="D1717" s="42"/>
      <c r="E1717" s="42"/>
      <c r="F1717" s="42"/>
      <c r="M1717" s="91"/>
    </row>
    <row r="1718">
      <c r="A1718" s="25"/>
      <c r="B1718" s="42"/>
      <c r="C1718" s="42"/>
      <c r="D1718" s="42"/>
      <c r="E1718" s="42"/>
      <c r="F1718" s="42"/>
      <c r="M1718" s="91"/>
    </row>
    <row r="1719">
      <c r="A1719" s="25"/>
      <c r="B1719" s="42"/>
      <c r="C1719" s="42"/>
      <c r="D1719" s="42"/>
      <c r="E1719" s="42"/>
      <c r="F1719" s="42"/>
      <c r="M1719" s="91"/>
    </row>
    <row r="1720">
      <c r="A1720" s="25"/>
      <c r="B1720" s="42"/>
      <c r="C1720" s="42"/>
      <c r="D1720" s="42"/>
      <c r="E1720" s="42"/>
      <c r="F1720" s="42"/>
      <c r="M1720" s="91"/>
    </row>
    <row r="1721">
      <c r="A1721" s="25"/>
      <c r="B1721" s="42"/>
      <c r="C1721" s="42"/>
      <c r="D1721" s="42"/>
      <c r="E1721" s="42"/>
      <c r="F1721" s="42"/>
      <c r="M1721" s="91"/>
    </row>
    <row r="1722">
      <c r="A1722" s="25"/>
      <c r="B1722" s="42"/>
      <c r="C1722" s="42"/>
      <c r="D1722" s="42"/>
      <c r="E1722" s="42"/>
      <c r="F1722" s="42"/>
      <c r="M1722" s="91"/>
    </row>
    <row r="1723">
      <c r="A1723" s="25"/>
      <c r="B1723" s="42"/>
      <c r="C1723" s="42"/>
      <c r="D1723" s="42"/>
      <c r="E1723" s="42"/>
      <c r="F1723" s="42"/>
      <c r="M1723" s="91"/>
    </row>
    <row r="1724">
      <c r="A1724" s="25"/>
      <c r="B1724" s="42"/>
      <c r="C1724" s="42"/>
      <c r="D1724" s="42"/>
      <c r="E1724" s="42"/>
      <c r="F1724" s="42"/>
      <c r="M1724" s="91"/>
    </row>
    <row r="1725">
      <c r="A1725" s="25"/>
      <c r="B1725" s="42"/>
      <c r="C1725" s="42"/>
      <c r="D1725" s="42"/>
      <c r="E1725" s="42"/>
      <c r="F1725" s="42"/>
      <c r="M1725" s="91"/>
    </row>
    <row r="1726">
      <c r="A1726" s="25"/>
      <c r="B1726" s="42"/>
      <c r="C1726" s="42"/>
      <c r="D1726" s="42"/>
      <c r="E1726" s="42"/>
      <c r="F1726" s="42"/>
      <c r="M1726" s="91"/>
    </row>
    <row r="1727">
      <c r="A1727" s="25"/>
      <c r="B1727" s="42"/>
      <c r="C1727" s="42"/>
      <c r="D1727" s="42"/>
      <c r="E1727" s="42"/>
      <c r="F1727" s="42"/>
      <c r="M1727" s="91"/>
    </row>
    <row r="1728">
      <c r="A1728" s="25"/>
      <c r="B1728" s="42"/>
      <c r="C1728" s="42"/>
      <c r="D1728" s="42"/>
      <c r="E1728" s="42"/>
      <c r="F1728" s="42"/>
      <c r="M1728" s="91"/>
    </row>
    <row r="1729">
      <c r="A1729" s="25"/>
      <c r="B1729" s="42"/>
      <c r="C1729" s="42"/>
      <c r="D1729" s="42"/>
      <c r="E1729" s="42"/>
      <c r="F1729" s="42"/>
      <c r="M1729" s="91"/>
    </row>
    <row r="1730">
      <c r="A1730" s="25"/>
      <c r="B1730" s="42"/>
      <c r="C1730" s="42"/>
      <c r="D1730" s="42"/>
      <c r="E1730" s="42"/>
      <c r="F1730" s="42"/>
      <c r="M1730" s="91"/>
    </row>
    <row r="1731">
      <c r="A1731" s="25"/>
      <c r="B1731" s="42"/>
      <c r="C1731" s="42"/>
      <c r="D1731" s="42"/>
      <c r="E1731" s="42"/>
      <c r="F1731" s="42"/>
      <c r="M1731" s="91"/>
    </row>
    <row r="1732">
      <c r="A1732" s="25"/>
      <c r="B1732" s="42"/>
      <c r="C1732" s="42"/>
      <c r="D1732" s="42"/>
      <c r="E1732" s="42"/>
      <c r="F1732" s="42"/>
      <c r="M1732" s="91"/>
    </row>
    <row r="1733">
      <c r="A1733" s="25"/>
      <c r="B1733" s="42"/>
      <c r="C1733" s="42"/>
      <c r="D1733" s="42"/>
      <c r="E1733" s="42"/>
      <c r="F1733" s="42"/>
      <c r="M1733" s="91"/>
    </row>
    <row r="1734">
      <c r="A1734" s="25"/>
      <c r="B1734" s="42"/>
      <c r="C1734" s="42"/>
      <c r="D1734" s="42"/>
      <c r="E1734" s="42"/>
      <c r="F1734" s="42"/>
      <c r="M1734" s="91"/>
    </row>
    <row r="1735">
      <c r="A1735" s="25"/>
      <c r="B1735" s="42"/>
      <c r="C1735" s="42"/>
      <c r="D1735" s="42"/>
      <c r="E1735" s="42"/>
      <c r="F1735" s="42"/>
      <c r="M1735" s="91"/>
    </row>
    <row r="1736">
      <c r="A1736" s="25"/>
      <c r="B1736" s="42"/>
      <c r="C1736" s="42"/>
      <c r="D1736" s="42"/>
      <c r="E1736" s="42"/>
      <c r="F1736" s="42"/>
      <c r="M1736" s="91"/>
    </row>
    <row r="1737">
      <c r="A1737" s="25"/>
      <c r="B1737" s="42"/>
      <c r="C1737" s="42"/>
      <c r="D1737" s="42"/>
      <c r="E1737" s="42"/>
      <c r="F1737" s="42"/>
      <c r="M1737" s="91"/>
    </row>
    <row r="1738">
      <c r="A1738" s="25"/>
      <c r="B1738" s="42"/>
      <c r="C1738" s="42"/>
      <c r="D1738" s="42"/>
      <c r="E1738" s="42"/>
      <c r="F1738" s="42"/>
      <c r="M1738" s="91"/>
    </row>
    <row r="1739">
      <c r="A1739" s="25"/>
      <c r="B1739" s="42"/>
      <c r="C1739" s="42"/>
      <c r="D1739" s="42"/>
      <c r="E1739" s="42"/>
      <c r="F1739" s="42"/>
      <c r="M1739" s="91"/>
    </row>
    <row r="1740">
      <c r="A1740" s="25"/>
      <c r="B1740" s="42"/>
      <c r="C1740" s="42"/>
      <c r="D1740" s="42"/>
      <c r="E1740" s="42"/>
      <c r="F1740" s="42"/>
      <c r="M1740" s="91"/>
    </row>
    <row r="1741">
      <c r="A1741" s="25"/>
      <c r="B1741" s="42"/>
      <c r="C1741" s="42"/>
      <c r="D1741" s="42"/>
      <c r="E1741" s="42"/>
      <c r="F1741" s="42"/>
      <c r="M1741" s="91"/>
    </row>
    <row r="1742">
      <c r="A1742" s="25"/>
      <c r="B1742" s="42"/>
      <c r="C1742" s="42"/>
      <c r="D1742" s="42"/>
      <c r="E1742" s="42"/>
      <c r="F1742" s="42"/>
      <c r="M1742" s="91"/>
    </row>
    <row r="1743">
      <c r="A1743" s="25"/>
      <c r="B1743" s="42"/>
      <c r="C1743" s="42"/>
      <c r="D1743" s="42"/>
      <c r="E1743" s="42"/>
      <c r="F1743" s="42"/>
      <c r="M1743" s="91"/>
    </row>
    <row r="1744">
      <c r="A1744" s="25"/>
      <c r="B1744" s="42"/>
      <c r="C1744" s="42"/>
      <c r="D1744" s="42"/>
      <c r="E1744" s="42"/>
      <c r="F1744" s="42"/>
      <c r="M1744" s="91"/>
    </row>
    <row r="1745">
      <c r="A1745" s="25"/>
      <c r="B1745" s="42"/>
      <c r="C1745" s="42"/>
      <c r="D1745" s="42"/>
      <c r="E1745" s="42"/>
      <c r="F1745" s="42"/>
      <c r="M1745" s="91"/>
    </row>
    <row r="1746">
      <c r="A1746" s="25"/>
      <c r="B1746" s="42"/>
      <c r="C1746" s="42"/>
      <c r="D1746" s="42"/>
      <c r="E1746" s="42"/>
      <c r="F1746" s="42"/>
      <c r="M1746" s="91"/>
    </row>
    <row r="1747">
      <c r="A1747" s="25"/>
      <c r="B1747" s="42"/>
      <c r="C1747" s="42"/>
      <c r="D1747" s="42"/>
      <c r="E1747" s="42"/>
      <c r="F1747" s="42"/>
      <c r="M1747" s="91"/>
    </row>
    <row r="1748">
      <c r="A1748" s="25"/>
      <c r="B1748" s="42"/>
      <c r="C1748" s="42"/>
      <c r="D1748" s="42"/>
      <c r="E1748" s="42"/>
      <c r="F1748" s="42"/>
      <c r="M1748" s="91"/>
    </row>
    <row r="1749">
      <c r="A1749" s="25"/>
      <c r="B1749" s="42"/>
      <c r="C1749" s="42"/>
      <c r="D1749" s="42"/>
      <c r="E1749" s="42"/>
      <c r="F1749" s="42"/>
      <c r="M1749" s="91"/>
    </row>
    <row r="1750">
      <c r="A1750" s="25"/>
      <c r="B1750" s="42"/>
      <c r="C1750" s="42"/>
      <c r="D1750" s="42"/>
      <c r="E1750" s="42"/>
      <c r="F1750" s="42"/>
      <c r="M1750" s="91"/>
    </row>
    <row r="1751">
      <c r="A1751" s="25"/>
      <c r="B1751" s="42"/>
      <c r="C1751" s="42"/>
      <c r="D1751" s="42"/>
      <c r="E1751" s="42"/>
      <c r="F1751" s="42"/>
      <c r="M1751" s="91"/>
    </row>
    <row r="1752">
      <c r="A1752" s="25"/>
      <c r="B1752" s="42"/>
      <c r="C1752" s="42"/>
      <c r="D1752" s="42"/>
      <c r="E1752" s="42"/>
      <c r="F1752" s="42"/>
      <c r="M1752" s="91"/>
    </row>
    <row r="1753">
      <c r="A1753" s="25"/>
      <c r="B1753" s="42"/>
      <c r="C1753" s="42"/>
      <c r="D1753" s="42"/>
      <c r="E1753" s="42"/>
      <c r="F1753" s="42"/>
      <c r="M1753" s="91"/>
    </row>
    <row r="1754">
      <c r="A1754" s="25"/>
      <c r="B1754" s="42"/>
      <c r="C1754" s="42"/>
      <c r="D1754" s="42"/>
      <c r="E1754" s="42"/>
      <c r="F1754" s="42"/>
      <c r="M1754" s="91"/>
    </row>
    <row r="1755">
      <c r="A1755" s="25"/>
      <c r="B1755" s="42"/>
      <c r="C1755" s="42"/>
      <c r="D1755" s="42"/>
      <c r="E1755" s="42"/>
      <c r="F1755" s="42"/>
      <c r="M1755" s="91"/>
    </row>
    <row r="1756">
      <c r="A1756" s="25"/>
      <c r="B1756" s="42"/>
      <c r="C1756" s="42"/>
      <c r="D1756" s="42"/>
      <c r="E1756" s="42"/>
      <c r="F1756" s="42"/>
      <c r="M1756" s="91"/>
    </row>
    <row r="1757">
      <c r="A1757" s="25"/>
      <c r="B1757" s="42"/>
      <c r="C1757" s="42"/>
      <c r="D1757" s="42"/>
      <c r="E1757" s="42"/>
      <c r="F1757" s="42"/>
      <c r="M1757" s="91"/>
    </row>
    <row r="1758">
      <c r="A1758" s="25"/>
      <c r="B1758" s="42"/>
      <c r="C1758" s="42"/>
      <c r="D1758" s="42"/>
      <c r="E1758" s="42"/>
      <c r="F1758" s="42"/>
      <c r="M1758" s="91"/>
    </row>
    <row r="1759">
      <c r="A1759" s="25"/>
      <c r="B1759" s="42"/>
      <c r="C1759" s="42"/>
      <c r="D1759" s="42"/>
      <c r="E1759" s="42"/>
      <c r="F1759" s="42"/>
      <c r="M1759" s="91"/>
    </row>
    <row r="1760">
      <c r="A1760" s="25"/>
      <c r="B1760" s="42"/>
      <c r="C1760" s="42"/>
      <c r="D1760" s="42"/>
      <c r="E1760" s="42"/>
      <c r="F1760" s="42"/>
      <c r="M1760" s="91"/>
    </row>
    <row r="1761">
      <c r="A1761" s="25"/>
      <c r="B1761" s="42"/>
      <c r="C1761" s="42"/>
      <c r="D1761" s="42"/>
      <c r="E1761" s="42"/>
      <c r="F1761" s="42"/>
      <c r="M1761" s="91"/>
    </row>
    <row r="1762">
      <c r="A1762" s="25"/>
      <c r="B1762" s="42"/>
      <c r="C1762" s="42"/>
      <c r="D1762" s="42"/>
      <c r="E1762" s="42"/>
      <c r="F1762" s="42"/>
      <c r="M1762" s="91"/>
    </row>
    <row r="1763">
      <c r="A1763" s="25"/>
      <c r="B1763" s="42"/>
      <c r="C1763" s="42"/>
      <c r="D1763" s="42"/>
      <c r="E1763" s="42"/>
      <c r="F1763" s="42"/>
      <c r="M1763" s="91"/>
    </row>
    <row r="1764">
      <c r="A1764" s="25"/>
      <c r="B1764" s="42"/>
      <c r="C1764" s="42"/>
      <c r="D1764" s="42"/>
      <c r="E1764" s="42"/>
      <c r="F1764" s="42"/>
      <c r="M1764" s="91"/>
    </row>
    <row r="1765">
      <c r="A1765" s="25"/>
      <c r="B1765" s="42"/>
      <c r="C1765" s="42"/>
      <c r="D1765" s="42"/>
      <c r="E1765" s="42"/>
      <c r="F1765" s="42"/>
      <c r="M1765" s="91"/>
    </row>
    <row r="1766">
      <c r="A1766" s="25"/>
      <c r="B1766" s="42"/>
      <c r="C1766" s="42"/>
      <c r="D1766" s="42"/>
      <c r="E1766" s="42"/>
      <c r="F1766" s="42"/>
      <c r="M1766" s="91"/>
    </row>
    <row r="1767">
      <c r="A1767" s="25"/>
      <c r="B1767" s="42"/>
      <c r="C1767" s="42"/>
      <c r="D1767" s="42"/>
      <c r="E1767" s="42"/>
      <c r="F1767" s="42"/>
      <c r="M1767" s="91"/>
    </row>
    <row r="1768">
      <c r="A1768" s="25"/>
      <c r="B1768" s="42"/>
      <c r="C1768" s="42"/>
      <c r="D1768" s="42"/>
      <c r="E1768" s="42"/>
      <c r="F1768" s="42"/>
      <c r="M1768" s="91"/>
    </row>
    <row r="1769">
      <c r="A1769" s="25"/>
      <c r="B1769" s="42"/>
      <c r="C1769" s="42"/>
      <c r="D1769" s="42"/>
      <c r="E1769" s="42"/>
      <c r="F1769" s="42"/>
      <c r="M1769" s="91"/>
    </row>
    <row r="1770">
      <c r="A1770" s="25"/>
      <c r="B1770" s="42"/>
      <c r="C1770" s="42"/>
      <c r="D1770" s="42"/>
      <c r="E1770" s="42"/>
      <c r="F1770" s="42"/>
      <c r="M1770" s="91"/>
    </row>
    <row r="1771">
      <c r="A1771" s="25"/>
      <c r="B1771" s="42"/>
      <c r="C1771" s="42"/>
      <c r="D1771" s="42"/>
      <c r="E1771" s="42"/>
      <c r="F1771" s="42"/>
      <c r="M1771" s="91"/>
    </row>
    <row r="1772">
      <c r="A1772" s="25"/>
      <c r="B1772" s="42"/>
      <c r="C1772" s="42"/>
      <c r="D1772" s="42"/>
      <c r="E1772" s="42"/>
      <c r="F1772" s="42"/>
      <c r="M1772" s="91"/>
    </row>
    <row r="1773">
      <c r="A1773" s="25"/>
      <c r="B1773" s="42"/>
      <c r="C1773" s="42"/>
      <c r="D1773" s="42"/>
      <c r="E1773" s="42"/>
      <c r="F1773" s="42"/>
      <c r="M1773" s="91"/>
    </row>
    <row r="1774">
      <c r="A1774" s="25"/>
      <c r="B1774" s="42"/>
      <c r="C1774" s="42"/>
      <c r="D1774" s="42"/>
      <c r="E1774" s="42"/>
      <c r="F1774" s="42"/>
      <c r="M1774" s="91"/>
    </row>
    <row r="1775">
      <c r="A1775" s="25"/>
      <c r="B1775" s="42"/>
      <c r="C1775" s="42"/>
      <c r="D1775" s="42"/>
      <c r="E1775" s="42"/>
      <c r="F1775" s="42"/>
      <c r="M1775" s="91"/>
    </row>
    <row r="1776">
      <c r="A1776" s="25"/>
      <c r="B1776" s="42"/>
      <c r="C1776" s="42"/>
      <c r="D1776" s="42"/>
      <c r="E1776" s="42"/>
      <c r="F1776" s="42"/>
      <c r="M1776" s="91"/>
    </row>
    <row r="1777">
      <c r="A1777" s="25"/>
      <c r="B1777" s="42"/>
      <c r="C1777" s="42"/>
      <c r="D1777" s="42"/>
      <c r="E1777" s="42"/>
      <c r="F1777" s="42"/>
      <c r="M1777" s="91"/>
    </row>
    <row r="1778">
      <c r="A1778" s="25"/>
      <c r="B1778" s="42"/>
      <c r="C1778" s="42"/>
      <c r="D1778" s="42"/>
      <c r="E1778" s="42"/>
      <c r="F1778" s="42"/>
      <c r="M1778" s="91"/>
    </row>
    <row r="1779">
      <c r="A1779" s="25"/>
      <c r="B1779" s="42"/>
      <c r="C1779" s="42"/>
      <c r="D1779" s="42"/>
      <c r="E1779" s="42"/>
      <c r="F1779" s="42"/>
      <c r="M1779" s="91"/>
    </row>
    <row r="1780">
      <c r="A1780" s="25"/>
      <c r="B1780" s="42"/>
      <c r="C1780" s="42"/>
      <c r="D1780" s="42"/>
      <c r="E1780" s="42"/>
      <c r="F1780" s="42"/>
      <c r="M1780" s="91"/>
    </row>
    <row r="1781">
      <c r="A1781" s="25"/>
      <c r="B1781" s="42"/>
      <c r="C1781" s="42"/>
      <c r="D1781" s="42"/>
      <c r="E1781" s="42"/>
      <c r="F1781" s="42"/>
      <c r="M1781" s="91"/>
    </row>
    <row r="1782">
      <c r="A1782" s="25"/>
      <c r="B1782" s="42"/>
      <c r="C1782" s="42"/>
      <c r="D1782" s="42"/>
      <c r="E1782" s="42"/>
      <c r="F1782" s="42"/>
      <c r="M1782" s="91"/>
    </row>
    <row r="1783">
      <c r="A1783" s="25"/>
      <c r="B1783" s="42"/>
      <c r="C1783" s="42"/>
      <c r="D1783" s="42"/>
      <c r="E1783" s="42"/>
      <c r="F1783" s="42"/>
      <c r="M1783" s="91"/>
    </row>
    <row r="1784">
      <c r="A1784" s="25"/>
      <c r="B1784" s="42"/>
      <c r="C1784" s="42"/>
      <c r="D1784" s="42"/>
      <c r="E1784" s="42"/>
      <c r="F1784" s="42"/>
      <c r="M1784" s="91"/>
    </row>
    <row r="1785">
      <c r="A1785" s="25"/>
      <c r="B1785" s="42"/>
      <c r="C1785" s="42"/>
      <c r="D1785" s="42"/>
      <c r="E1785" s="42"/>
      <c r="F1785" s="42"/>
      <c r="M1785" s="91"/>
    </row>
    <row r="1786">
      <c r="A1786" s="25"/>
      <c r="B1786" s="42"/>
      <c r="C1786" s="42"/>
      <c r="D1786" s="42"/>
      <c r="E1786" s="42"/>
      <c r="F1786" s="42"/>
      <c r="M1786" s="91"/>
    </row>
    <row r="1787">
      <c r="A1787" s="25"/>
      <c r="B1787" s="42"/>
      <c r="C1787" s="42"/>
      <c r="D1787" s="42"/>
      <c r="E1787" s="42"/>
      <c r="F1787" s="42"/>
      <c r="M1787" s="91"/>
    </row>
    <row r="1788">
      <c r="A1788" s="25"/>
      <c r="B1788" s="42"/>
      <c r="C1788" s="42"/>
      <c r="D1788" s="42"/>
      <c r="E1788" s="42"/>
      <c r="F1788" s="42"/>
      <c r="M1788" s="91"/>
    </row>
    <row r="1789">
      <c r="A1789" s="25"/>
      <c r="B1789" s="42"/>
      <c r="C1789" s="42"/>
      <c r="D1789" s="42"/>
      <c r="E1789" s="42"/>
      <c r="F1789" s="42"/>
      <c r="M1789" s="91"/>
    </row>
    <row r="1790">
      <c r="A1790" s="25"/>
      <c r="B1790" s="42"/>
      <c r="C1790" s="42"/>
      <c r="D1790" s="42"/>
      <c r="E1790" s="42"/>
      <c r="F1790" s="42"/>
      <c r="M1790" s="91"/>
    </row>
    <row r="1791">
      <c r="A1791" s="25"/>
      <c r="B1791" s="42"/>
      <c r="C1791" s="42"/>
      <c r="D1791" s="42"/>
      <c r="E1791" s="42"/>
      <c r="F1791" s="42"/>
      <c r="M1791" s="91"/>
    </row>
    <row r="1792">
      <c r="A1792" s="25"/>
      <c r="B1792" s="42"/>
      <c r="C1792" s="42"/>
      <c r="D1792" s="42"/>
      <c r="E1792" s="42"/>
      <c r="F1792" s="42"/>
      <c r="M1792" s="91"/>
    </row>
    <row r="1793">
      <c r="A1793" s="25"/>
      <c r="B1793" s="42"/>
      <c r="C1793" s="42"/>
      <c r="D1793" s="42"/>
      <c r="E1793" s="42"/>
      <c r="F1793" s="42"/>
      <c r="M1793" s="91"/>
    </row>
    <row r="1794">
      <c r="A1794" s="25"/>
      <c r="B1794" s="42"/>
      <c r="C1794" s="42"/>
      <c r="D1794" s="42"/>
      <c r="E1794" s="42"/>
      <c r="F1794" s="42"/>
      <c r="M1794" s="91"/>
    </row>
    <row r="1795">
      <c r="A1795" s="25"/>
      <c r="B1795" s="42"/>
      <c r="C1795" s="42"/>
      <c r="D1795" s="42"/>
      <c r="E1795" s="42"/>
      <c r="F1795" s="42"/>
      <c r="M1795" s="91"/>
    </row>
    <row r="1796">
      <c r="A1796" s="25"/>
      <c r="B1796" s="42"/>
      <c r="C1796" s="42"/>
      <c r="D1796" s="42"/>
      <c r="E1796" s="42"/>
      <c r="F1796" s="42"/>
      <c r="M1796" s="91"/>
    </row>
    <row r="1797">
      <c r="A1797" s="25"/>
      <c r="B1797" s="42"/>
      <c r="C1797" s="42"/>
      <c r="D1797" s="42"/>
      <c r="E1797" s="42"/>
      <c r="F1797" s="42"/>
      <c r="M1797" s="91"/>
    </row>
    <row r="1798">
      <c r="A1798" s="25"/>
      <c r="B1798" s="42"/>
      <c r="C1798" s="42"/>
      <c r="D1798" s="42"/>
      <c r="E1798" s="42"/>
      <c r="F1798" s="42"/>
      <c r="M1798" s="91"/>
    </row>
    <row r="1799">
      <c r="A1799" s="25"/>
      <c r="B1799" s="42"/>
      <c r="C1799" s="42"/>
      <c r="D1799" s="42"/>
      <c r="E1799" s="42"/>
      <c r="F1799" s="42"/>
      <c r="M1799" s="91"/>
    </row>
    <row r="1800">
      <c r="A1800" s="25"/>
      <c r="B1800" s="42"/>
      <c r="C1800" s="42"/>
      <c r="D1800" s="42"/>
      <c r="E1800" s="42"/>
      <c r="F1800" s="42"/>
      <c r="M1800" s="91"/>
    </row>
    <row r="1801">
      <c r="A1801" s="25"/>
      <c r="B1801" s="42"/>
      <c r="C1801" s="42"/>
      <c r="D1801" s="42"/>
      <c r="E1801" s="42"/>
      <c r="F1801" s="42"/>
      <c r="M1801" s="91"/>
    </row>
    <row r="1802">
      <c r="A1802" s="25"/>
      <c r="B1802" s="42"/>
      <c r="C1802" s="42"/>
      <c r="D1802" s="42"/>
      <c r="E1802" s="42"/>
      <c r="F1802" s="42"/>
      <c r="M1802" s="91"/>
    </row>
    <row r="1803">
      <c r="A1803" s="25"/>
      <c r="B1803" s="42"/>
      <c r="C1803" s="42"/>
      <c r="D1803" s="42"/>
      <c r="E1803" s="42"/>
      <c r="F1803" s="42"/>
      <c r="M1803" s="91"/>
    </row>
    <row r="1804">
      <c r="A1804" s="25"/>
      <c r="B1804" s="42"/>
      <c r="C1804" s="42"/>
      <c r="D1804" s="42"/>
      <c r="E1804" s="42"/>
      <c r="F1804" s="42"/>
      <c r="M1804" s="91"/>
    </row>
    <row r="1805">
      <c r="A1805" s="25"/>
      <c r="B1805" s="42"/>
      <c r="C1805" s="42"/>
      <c r="D1805" s="42"/>
      <c r="E1805" s="42"/>
      <c r="F1805" s="42"/>
      <c r="M1805" s="91"/>
    </row>
    <row r="1806">
      <c r="A1806" s="25"/>
      <c r="B1806" s="42"/>
      <c r="C1806" s="42"/>
      <c r="D1806" s="42"/>
      <c r="E1806" s="42"/>
      <c r="F1806" s="42"/>
      <c r="M1806" s="91"/>
    </row>
    <row r="1807">
      <c r="A1807" s="25"/>
      <c r="B1807" s="42"/>
      <c r="C1807" s="42"/>
      <c r="D1807" s="42"/>
      <c r="E1807" s="42"/>
      <c r="F1807" s="42"/>
      <c r="M1807" s="91"/>
    </row>
    <row r="1808">
      <c r="A1808" s="25"/>
      <c r="B1808" s="42"/>
      <c r="C1808" s="42"/>
      <c r="D1808" s="42"/>
      <c r="E1808" s="42"/>
      <c r="F1808" s="42"/>
      <c r="M1808" s="91"/>
    </row>
    <row r="1809">
      <c r="A1809" s="25"/>
      <c r="B1809" s="42"/>
      <c r="C1809" s="42"/>
      <c r="D1809" s="42"/>
      <c r="E1809" s="42"/>
      <c r="F1809" s="42"/>
      <c r="M1809" s="91"/>
    </row>
    <row r="1810">
      <c r="A1810" s="25"/>
      <c r="B1810" s="42"/>
      <c r="C1810" s="42"/>
      <c r="D1810" s="42"/>
      <c r="E1810" s="42"/>
      <c r="F1810" s="42"/>
      <c r="M1810" s="91"/>
    </row>
    <row r="1811">
      <c r="A1811" s="25"/>
      <c r="B1811" s="42"/>
      <c r="C1811" s="42"/>
      <c r="D1811" s="42"/>
      <c r="E1811" s="42"/>
      <c r="F1811" s="42"/>
      <c r="M1811" s="91"/>
    </row>
    <row r="1812">
      <c r="A1812" s="25"/>
      <c r="B1812" s="42"/>
      <c r="C1812" s="42"/>
      <c r="D1812" s="42"/>
      <c r="E1812" s="42"/>
      <c r="F1812" s="42"/>
      <c r="M1812" s="91"/>
    </row>
    <row r="1813">
      <c r="A1813" s="25"/>
      <c r="B1813" s="42"/>
      <c r="C1813" s="42"/>
      <c r="D1813" s="42"/>
      <c r="E1813" s="42"/>
      <c r="F1813" s="42"/>
      <c r="M1813" s="91"/>
    </row>
    <row r="1814">
      <c r="A1814" s="25"/>
      <c r="B1814" s="42"/>
      <c r="C1814" s="42"/>
      <c r="D1814" s="42"/>
      <c r="E1814" s="42"/>
      <c r="F1814" s="42"/>
      <c r="M1814" s="91"/>
    </row>
    <row r="1815">
      <c r="A1815" s="25"/>
      <c r="B1815" s="42"/>
      <c r="C1815" s="42"/>
      <c r="D1815" s="42"/>
      <c r="E1815" s="42"/>
      <c r="F1815" s="42"/>
      <c r="M1815" s="91"/>
    </row>
    <row r="1816">
      <c r="A1816" s="25"/>
      <c r="B1816" s="42"/>
      <c r="C1816" s="42"/>
      <c r="D1816" s="42"/>
      <c r="E1816" s="42"/>
      <c r="F1816" s="42"/>
      <c r="M1816" s="91"/>
    </row>
    <row r="1817">
      <c r="A1817" s="25"/>
      <c r="B1817" s="42"/>
      <c r="C1817" s="42"/>
      <c r="D1817" s="42"/>
      <c r="E1817" s="42"/>
      <c r="F1817" s="42"/>
      <c r="M1817" s="91"/>
    </row>
    <row r="1818">
      <c r="A1818" s="25"/>
      <c r="B1818" s="42"/>
      <c r="C1818" s="42"/>
      <c r="D1818" s="42"/>
      <c r="E1818" s="42"/>
      <c r="F1818" s="42"/>
      <c r="M1818" s="91"/>
    </row>
    <row r="1819">
      <c r="A1819" s="25"/>
      <c r="B1819" s="42"/>
      <c r="C1819" s="42"/>
      <c r="D1819" s="42"/>
      <c r="E1819" s="42"/>
      <c r="F1819" s="42"/>
      <c r="M1819" s="91"/>
    </row>
    <row r="1820">
      <c r="A1820" s="25"/>
      <c r="B1820" s="42"/>
      <c r="C1820" s="42"/>
      <c r="D1820" s="42"/>
      <c r="E1820" s="42"/>
      <c r="F1820" s="42"/>
      <c r="M1820" s="91"/>
    </row>
    <row r="1821">
      <c r="A1821" s="25"/>
      <c r="B1821" s="42"/>
      <c r="C1821" s="42"/>
      <c r="D1821" s="42"/>
      <c r="E1821" s="42"/>
      <c r="F1821" s="42"/>
      <c r="M1821" s="91"/>
    </row>
    <row r="1822">
      <c r="A1822" s="25"/>
      <c r="B1822" s="42"/>
      <c r="C1822" s="42"/>
      <c r="D1822" s="42"/>
      <c r="E1822" s="42"/>
      <c r="F1822" s="42"/>
      <c r="M1822" s="91"/>
    </row>
    <row r="1823">
      <c r="A1823" s="25"/>
      <c r="B1823" s="42"/>
      <c r="C1823" s="42"/>
      <c r="D1823" s="42"/>
      <c r="E1823" s="42"/>
      <c r="F1823" s="42"/>
      <c r="M1823" s="91"/>
    </row>
    <row r="1824">
      <c r="A1824" s="25"/>
      <c r="B1824" s="42"/>
      <c r="C1824" s="42"/>
      <c r="D1824" s="42"/>
      <c r="E1824" s="42"/>
      <c r="F1824" s="42"/>
      <c r="M1824" s="91"/>
    </row>
    <row r="1825">
      <c r="A1825" s="25"/>
      <c r="B1825" s="42"/>
      <c r="C1825" s="42"/>
      <c r="D1825" s="42"/>
      <c r="E1825" s="42"/>
      <c r="F1825" s="42"/>
      <c r="M1825" s="91"/>
    </row>
    <row r="1826">
      <c r="A1826" s="25"/>
      <c r="B1826" s="42"/>
      <c r="C1826" s="42"/>
      <c r="D1826" s="42"/>
      <c r="E1826" s="42"/>
      <c r="F1826" s="42"/>
      <c r="M1826" s="91"/>
    </row>
    <row r="1827">
      <c r="A1827" s="25"/>
      <c r="B1827" s="42"/>
      <c r="C1827" s="42"/>
      <c r="D1827" s="42"/>
      <c r="E1827" s="42"/>
      <c r="F1827" s="42"/>
      <c r="M1827" s="91"/>
    </row>
    <row r="1828">
      <c r="A1828" s="25"/>
      <c r="B1828" s="42"/>
      <c r="C1828" s="42"/>
      <c r="D1828" s="42"/>
      <c r="E1828" s="42"/>
      <c r="F1828" s="42"/>
      <c r="M1828" s="91"/>
    </row>
    <row r="1829">
      <c r="A1829" s="25"/>
      <c r="B1829" s="42"/>
      <c r="C1829" s="42"/>
      <c r="D1829" s="42"/>
      <c r="E1829" s="42"/>
      <c r="F1829" s="42"/>
      <c r="M1829" s="91"/>
    </row>
    <row r="1830">
      <c r="A1830" s="25"/>
      <c r="B1830" s="42"/>
      <c r="C1830" s="42"/>
      <c r="D1830" s="42"/>
      <c r="E1830" s="42"/>
      <c r="F1830" s="42"/>
      <c r="M1830" s="91"/>
    </row>
    <row r="1831">
      <c r="A1831" s="25"/>
      <c r="B1831" s="42"/>
      <c r="C1831" s="42"/>
      <c r="D1831" s="42"/>
      <c r="E1831" s="42"/>
      <c r="F1831" s="42"/>
      <c r="M1831" s="91"/>
    </row>
    <row r="1832">
      <c r="A1832" s="25"/>
      <c r="B1832" s="42"/>
      <c r="C1832" s="42"/>
      <c r="D1832" s="42"/>
      <c r="E1832" s="42"/>
      <c r="F1832" s="42"/>
      <c r="M1832" s="91"/>
    </row>
    <row r="1833">
      <c r="A1833" s="25"/>
      <c r="B1833" s="42"/>
      <c r="C1833" s="42"/>
      <c r="D1833" s="42"/>
      <c r="E1833" s="42"/>
      <c r="F1833" s="42"/>
      <c r="M1833" s="91"/>
    </row>
    <row r="1834">
      <c r="A1834" s="25"/>
      <c r="B1834" s="42"/>
      <c r="C1834" s="42"/>
      <c r="D1834" s="42"/>
      <c r="E1834" s="42"/>
      <c r="F1834" s="42"/>
      <c r="M1834" s="91"/>
    </row>
    <row r="1835">
      <c r="A1835" s="25"/>
      <c r="B1835" s="42"/>
      <c r="C1835" s="42"/>
      <c r="D1835" s="42"/>
      <c r="E1835" s="42"/>
      <c r="F1835" s="42"/>
      <c r="M1835" s="91"/>
    </row>
    <row r="1836">
      <c r="A1836" s="25"/>
      <c r="B1836" s="42"/>
      <c r="C1836" s="42"/>
      <c r="D1836" s="42"/>
      <c r="E1836" s="42"/>
      <c r="F1836" s="42"/>
      <c r="M1836" s="91"/>
    </row>
    <row r="1837">
      <c r="A1837" s="25"/>
      <c r="B1837" s="42"/>
      <c r="C1837" s="42"/>
      <c r="D1837" s="42"/>
      <c r="E1837" s="42"/>
      <c r="F1837" s="42"/>
      <c r="M1837" s="91"/>
    </row>
    <row r="1838">
      <c r="A1838" s="25"/>
      <c r="B1838" s="42"/>
      <c r="C1838" s="42"/>
      <c r="D1838" s="42"/>
      <c r="E1838" s="42"/>
      <c r="F1838" s="42"/>
      <c r="M1838" s="91"/>
    </row>
    <row r="1839">
      <c r="A1839" s="25"/>
      <c r="B1839" s="42"/>
      <c r="C1839" s="42"/>
      <c r="D1839" s="42"/>
      <c r="E1839" s="42"/>
      <c r="F1839" s="42"/>
      <c r="M1839" s="91"/>
    </row>
    <row r="1840">
      <c r="A1840" s="25"/>
      <c r="B1840" s="42"/>
      <c r="C1840" s="42"/>
      <c r="D1840" s="42"/>
      <c r="E1840" s="42"/>
      <c r="F1840" s="42"/>
      <c r="M1840" s="91"/>
    </row>
    <row r="1841">
      <c r="A1841" s="25"/>
      <c r="B1841" s="42"/>
      <c r="C1841" s="42"/>
      <c r="D1841" s="42"/>
      <c r="E1841" s="42"/>
      <c r="F1841" s="42"/>
      <c r="M1841" s="91"/>
    </row>
    <row r="1842">
      <c r="A1842" s="25"/>
      <c r="B1842" s="42"/>
      <c r="C1842" s="42"/>
      <c r="D1842" s="42"/>
      <c r="E1842" s="42"/>
      <c r="F1842" s="42"/>
      <c r="M1842" s="91"/>
    </row>
    <row r="1843">
      <c r="A1843" s="25"/>
      <c r="B1843" s="42"/>
      <c r="C1843" s="42"/>
      <c r="D1843" s="42"/>
      <c r="E1843" s="42"/>
      <c r="F1843" s="42"/>
      <c r="M1843" s="91"/>
    </row>
    <row r="1844">
      <c r="A1844" s="25"/>
      <c r="B1844" s="42"/>
      <c r="C1844" s="42"/>
      <c r="D1844" s="42"/>
      <c r="E1844" s="42"/>
      <c r="F1844" s="42"/>
      <c r="M1844" s="91"/>
    </row>
    <row r="1845">
      <c r="A1845" s="25"/>
      <c r="B1845" s="42"/>
      <c r="C1845" s="42"/>
      <c r="D1845" s="42"/>
      <c r="E1845" s="42"/>
      <c r="F1845" s="42"/>
      <c r="M1845" s="91"/>
    </row>
    <row r="1846">
      <c r="A1846" s="25"/>
      <c r="B1846" s="42"/>
      <c r="C1846" s="42"/>
      <c r="D1846" s="42"/>
      <c r="E1846" s="42"/>
      <c r="F1846" s="42"/>
      <c r="M1846" s="91"/>
    </row>
    <row r="1847">
      <c r="A1847" s="25"/>
      <c r="B1847" s="42"/>
      <c r="C1847" s="42"/>
      <c r="D1847" s="42"/>
      <c r="E1847" s="42"/>
      <c r="F1847" s="42"/>
      <c r="M1847" s="91"/>
    </row>
    <row r="1848">
      <c r="A1848" s="25"/>
      <c r="B1848" s="42"/>
      <c r="C1848" s="42"/>
      <c r="D1848" s="42"/>
      <c r="E1848" s="42"/>
      <c r="F1848" s="42"/>
      <c r="M1848" s="91"/>
    </row>
    <row r="1849">
      <c r="A1849" s="25"/>
      <c r="B1849" s="42"/>
      <c r="C1849" s="42"/>
      <c r="D1849" s="42"/>
      <c r="E1849" s="42"/>
      <c r="F1849" s="42"/>
      <c r="M1849" s="91"/>
    </row>
    <row r="1850">
      <c r="A1850" s="25"/>
      <c r="B1850" s="42"/>
      <c r="C1850" s="42"/>
      <c r="D1850" s="42"/>
      <c r="E1850" s="42"/>
      <c r="F1850" s="42"/>
      <c r="M1850" s="91"/>
    </row>
    <row r="1851">
      <c r="A1851" s="25"/>
      <c r="B1851" s="42"/>
      <c r="C1851" s="42"/>
      <c r="D1851" s="42"/>
      <c r="E1851" s="42"/>
      <c r="F1851" s="42"/>
      <c r="M1851" s="91"/>
    </row>
    <row r="1852">
      <c r="A1852" s="25"/>
      <c r="B1852" s="42"/>
      <c r="C1852" s="42"/>
      <c r="D1852" s="42"/>
      <c r="E1852" s="42"/>
      <c r="F1852" s="42"/>
      <c r="M1852" s="91"/>
    </row>
    <row r="1853">
      <c r="A1853" s="25"/>
      <c r="B1853" s="42"/>
      <c r="C1853" s="42"/>
      <c r="D1853" s="42"/>
      <c r="E1853" s="42"/>
      <c r="F1853" s="42"/>
      <c r="M1853" s="91"/>
    </row>
    <row r="1854">
      <c r="A1854" s="25"/>
      <c r="B1854" s="42"/>
      <c r="C1854" s="42"/>
      <c r="D1854" s="42"/>
      <c r="E1854" s="42"/>
      <c r="F1854" s="42"/>
      <c r="M1854" s="91"/>
    </row>
    <row r="1855">
      <c r="A1855" s="25"/>
      <c r="B1855" s="42"/>
      <c r="C1855" s="42"/>
      <c r="D1855" s="42"/>
      <c r="E1855" s="42"/>
      <c r="F1855" s="42"/>
      <c r="M1855" s="91"/>
    </row>
    <row r="1856">
      <c r="A1856" s="25"/>
      <c r="B1856" s="42"/>
      <c r="C1856" s="42"/>
      <c r="D1856" s="42"/>
      <c r="E1856" s="42"/>
      <c r="F1856" s="42"/>
      <c r="M1856" s="91"/>
    </row>
    <row r="1857">
      <c r="A1857" s="25"/>
      <c r="B1857" s="42"/>
      <c r="C1857" s="42"/>
      <c r="D1857" s="42"/>
      <c r="E1857" s="42"/>
      <c r="F1857" s="42"/>
      <c r="M1857" s="91"/>
    </row>
    <row r="1858">
      <c r="A1858" s="25"/>
      <c r="B1858" s="42"/>
      <c r="C1858" s="42"/>
      <c r="D1858" s="42"/>
      <c r="E1858" s="42"/>
      <c r="F1858" s="42"/>
      <c r="M1858" s="91"/>
    </row>
    <row r="1859">
      <c r="A1859" s="25"/>
      <c r="B1859" s="42"/>
      <c r="C1859" s="42"/>
      <c r="D1859" s="42"/>
      <c r="E1859" s="42"/>
      <c r="F1859" s="42"/>
      <c r="M1859" s="91"/>
    </row>
    <row r="1860">
      <c r="A1860" s="25"/>
      <c r="B1860" s="42"/>
      <c r="C1860" s="42"/>
      <c r="D1860" s="42"/>
      <c r="E1860" s="42"/>
      <c r="F1860" s="42"/>
      <c r="M1860" s="91"/>
    </row>
    <row r="1861">
      <c r="A1861" s="25"/>
      <c r="B1861" s="42"/>
      <c r="C1861" s="42"/>
      <c r="D1861" s="42"/>
      <c r="E1861" s="42"/>
      <c r="F1861" s="42"/>
      <c r="M1861" s="91"/>
    </row>
    <row r="1862">
      <c r="A1862" s="25"/>
      <c r="B1862" s="42"/>
      <c r="C1862" s="42"/>
      <c r="D1862" s="42"/>
      <c r="E1862" s="42"/>
      <c r="F1862" s="42"/>
      <c r="M1862" s="91"/>
    </row>
    <row r="1863">
      <c r="A1863" s="25"/>
      <c r="B1863" s="42"/>
      <c r="C1863" s="42"/>
      <c r="D1863" s="42"/>
      <c r="E1863" s="42"/>
      <c r="F1863" s="42"/>
      <c r="M1863" s="91"/>
    </row>
    <row r="1864">
      <c r="A1864" s="25"/>
      <c r="B1864" s="42"/>
      <c r="C1864" s="42"/>
      <c r="D1864" s="42"/>
      <c r="E1864" s="42"/>
      <c r="F1864" s="42"/>
      <c r="M1864" s="91"/>
    </row>
    <row r="1865">
      <c r="A1865" s="25"/>
      <c r="B1865" s="42"/>
      <c r="C1865" s="42"/>
      <c r="D1865" s="42"/>
      <c r="E1865" s="42"/>
      <c r="F1865" s="42"/>
      <c r="M1865" s="91"/>
    </row>
    <row r="1866">
      <c r="A1866" s="25"/>
      <c r="B1866" s="42"/>
      <c r="C1866" s="42"/>
      <c r="D1866" s="42"/>
      <c r="E1866" s="42"/>
      <c r="F1866" s="42"/>
      <c r="M1866" s="91"/>
    </row>
    <row r="1867">
      <c r="A1867" s="25"/>
      <c r="B1867" s="42"/>
      <c r="C1867" s="42"/>
      <c r="D1867" s="42"/>
      <c r="E1867" s="42"/>
      <c r="F1867" s="42"/>
      <c r="M1867" s="91"/>
    </row>
    <row r="1868">
      <c r="A1868" s="25"/>
      <c r="B1868" s="42"/>
      <c r="C1868" s="42"/>
      <c r="D1868" s="42"/>
      <c r="E1868" s="42"/>
      <c r="F1868" s="42"/>
      <c r="M1868" s="91"/>
    </row>
    <row r="1869">
      <c r="A1869" s="25"/>
      <c r="B1869" s="42"/>
      <c r="C1869" s="42"/>
      <c r="D1869" s="42"/>
      <c r="E1869" s="42"/>
      <c r="F1869" s="42"/>
      <c r="M1869" s="91"/>
    </row>
    <row r="1870">
      <c r="A1870" s="25"/>
      <c r="B1870" s="42"/>
      <c r="C1870" s="42"/>
      <c r="D1870" s="42"/>
      <c r="E1870" s="42"/>
      <c r="F1870" s="42"/>
      <c r="M1870" s="91"/>
    </row>
    <row r="1871">
      <c r="A1871" s="25"/>
      <c r="B1871" s="42"/>
      <c r="C1871" s="42"/>
      <c r="D1871" s="42"/>
      <c r="E1871" s="42"/>
      <c r="F1871" s="42"/>
      <c r="M1871" s="91"/>
    </row>
    <row r="1872">
      <c r="A1872" s="25"/>
      <c r="B1872" s="42"/>
      <c r="C1872" s="42"/>
      <c r="D1872" s="42"/>
      <c r="E1872" s="42"/>
      <c r="F1872" s="42"/>
      <c r="M1872" s="91"/>
    </row>
    <row r="1873">
      <c r="A1873" s="25"/>
      <c r="B1873" s="42"/>
      <c r="C1873" s="42"/>
      <c r="D1873" s="42"/>
      <c r="E1873" s="42"/>
      <c r="F1873" s="42"/>
      <c r="M1873" s="91"/>
    </row>
    <row r="1874">
      <c r="A1874" s="25"/>
      <c r="B1874" s="42"/>
      <c r="C1874" s="42"/>
      <c r="D1874" s="42"/>
      <c r="E1874" s="42"/>
      <c r="F1874" s="42"/>
      <c r="M1874" s="91"/>
    </row>
    <row r="1875">
      <c r="A1875" s="25"/>
      <c r="B1875" s="42"/>
      <c r="C1875" s="42"/>
      <c r="D1875" s="42"/>
      <c r="E1875" s="42"/>
      <c r="F1875" s="42"/>
      <c r="M1875" s="91"/>
    </row>
    <row r="1876">
      <c r="A1876" s="25"/>
      <c r="B1876" s="42"/>
      <c r="C1876" s="42"/>
      <c r="D1876" s="42"/>
      <c r="E1876" s="42"/>
      <c r="F1876" s="42"/>
      <c r="M1876" s="91"/>
    </row>
    <row r="1877">
      <c r="A1877" s="25"/>
      <c r="B1877" s="42"/>
      <c r="C1877" s="42"/>
      <c r="D1877" s="42"/>
      <c r="E1877" s="42"/>
      <c r="F1877" s="42"/>
      <c r="M1877" s="91"/>
    </row>
    <row r="1878">
      <c r="A1878" s="25"/>
      <c r="B1878" s="42"/>
      <c r="C1878" s="42"/>
      <c r="D1878" s="42"/>
      <c r="E1878" s="42"/>
      <c r="F1878" s="42"/>
      <c r="M1878" s="91"/>
    </row>
    <row r="1879">
      <c r="A1879" s="25"/>
      <c r="B1879" s="42"/>
      <c r="C1879" s="42"/>
      <c r="D1879" s="42"/>
      <c r="E1879" s="42"/>
      <c r="F1879" s="42"/>
      <c r="M1879" s="91"/>
    </row>
    <row r="1880">
      <c r="A1880" s="25"/>
      <c r="B1880" s="42"/>
      <c r="C1880" s="42"/>
      <c r="D1880" s="42"/>
      <c r="E1880" s="42"/>
      <c r="F1880" s="42"/>
      <c r="M1880" s="91"/>
    </row>
    <row r="1881">
      <c r="A1881" s="25"/>
      <c r="B1881" s="42"/>
      <c r="C1881" s="42"/>
      <c r="D1881" s="42"/>
      <c r="E1881" s="42"/>
      <c r="F1881" s="42"/>
      <c r="M1881" s="91"/>
    </row>
    <row r="1882">
      <c r="A1882" s="25"/>
      <c r="B1882" s="42"/>
      <c r="C1882" s="42"/>
      <c r="D1882" s="42"/>
      <c r="E1882" s="42"/>
      <c r="F1882" s="42"/>
      <c r="M1882" s="91"/>
    </row>
    <row r="1883">
      <c r="A1883" s="25"/>
      <c r="B1883" s="42"/>
      <c r="C1883" s="42"/>
      <c r="D1883" s="42"/>
      <c r="E1883" s="42"/>
      <c r="F1883" s="42"/>
      <c r="M1883" s="91"/>
    </row>
    <row r="1884">
      <c r="A1884" s="25"/>
      <c r="B1884" s="42"/>
      <c r="C1884" s="42"/>
      <c r="D1884" s="42"/>
      <c r="E1884" s="42"/>
      <c r="F1884" s="42"/>
      <c r="M1884" s="91"/>
    </row>
    <row r="1885">
      <c r="A1885" s="25"/>
      <c r="B1885" s="42"/>
      <c r="C1885" s="42"/>
      <c r="D1885" s="42"/>
      <c r="E1885" s="42"/>
      <c r="F1885" s="42"/>
      <c r="M1885" s="91"/>
    </row>
    <row r="1886">
      <c r="A1886" s="25"/>
      <c r="B1886" s="42"/>
      <c r="C1886" s="42"/>
      <c r="D1886" s="42"/>
      <c r="E1886" s="42"/>
      <c r="F1886" s="42"/>
      <c r="M1886" s="91"/>
    </row>
    <row r="1887">
      <c r="A1887" s="25"/>
      <c r="B1887" s="42"/>
      <c r="C1887" s="42"/>
      <c r="D1887" s="42"/>
      <c r="E1887" s="42"/>
      <c r="F1887" s="42"/>
      <c r="M1887" s="91"/>
    </row>
    <row r="1888">
      <c r="A1888" s="25"/>
      <c r="B1888" s="42"/>
      <c r="C1888" s="42"/>
      <c r="D1888" s="42"/>
      <c r="E1888" s="42"/>
      <c r="F1888" s="42"/>
      <c r="M1888" s="91"/>
    </row>
    <row r="1889">
      <c r="A1889" s="25"/>
      <c r="B1889" s="42"/>
      <c r="C1889" s="42"/>
      <c r="D1889" s="42"/>
      <c r="E1889" s="42"/>
      <c r="F1889" s="42"/>
      <c r="M1889" s="91"/>
    </row>
    <row r="1890">
      <c r="A1890" s="25"/>
      <c r="B1890" s="42"/>
      <c r="C1890" s="42"/>
      <c r="D1890" s="42"/>
      <c r="E1890" s="42"/>
      <c r="F1890" s="42"/>
      <c r="M1890" s="91"/>
    </row>
    <row r="1891">
      <c r="A1891" s="25"/>
      <c r="B1891" s="42"/>
      <c r="C1891" s="42"/>
      <c r="D1891" s="42"/>
      <c r="E1891" s="42"/>
      <c r="F1891" s="42"/>
      <c r="M1891" s="91"/>
    </row>
    <row r="1892">
      <c r="A1892" s="25"/>
      <c r="B1892" s="42"/>
      <c r="C1892" s="42"/>
      <c r="D1892" s="42"/>
      <c r="E1892" s="42"/>
      <c r="F1892" s="42"/>
      <c r="M1892" s="91"/>
    </row>
    <row r="1893">
      <c r="A1893" s="25"/>
      <c r="B1893" s="42"/>
      <c r="C1893" s="42"/>
      <c r="D1893" s="42"/>
      <c r="E1893" s="42"/>
      <c r="F1893" s="42"/>
      <c r="M1893" s="91"/>
    </row>
    <row r="1894">
      <c r="A1894" s="25"/>
      <c r="B1894" s="42"/>
      <c r="C1894" s="42"/>
      <c r="D1894" s="42"/>
      <c r="E1894" s="42"/>
      <c r="F1894" s="42"/>
      <c r="M1894" s="91"/>
    </row>
    <row r="1895">
      <c r="A1895" s="25"/>
      <c r="B1895" s="42"/>
      <c r="C1895" s="42"/>
      <c r="D1895" s="42"/>
      <c r="E1895" s="42"/>
      <c r="F1895" s="42"/>
      <c r="M1895" s="91"/>
    </row>
    <row r="1896">
      <c r="A1896" s="25"/>
      <c r="B1896" s="42"/>
      <c r="C1896" s="42"/>
      <c r="D1896" s="42"/>
      <c r="E1896" s="42"/>
      <c r="F1896" s="42"/>
      <c r="M1896" s="91"/>
    </row>
    <row r="1897">
      <c r="A1897" s="25"/>
      <c r="B1897" s="42"/>
      <c r="C1897" s="42"/>
      <c r="D1897" s="42"/>
      <c r="E1897" s="42"/>
      <c r="F1897" s="42"/>
      <c r="M1897" s="91"/>
    </row>
    <row r="1898">
      <c r="A1898" s="25"/>
      <c r="B1898" s="42"/>
      <c r="C1898" s="42"/>
      <c r="D1898" s="42"/>
      <c r="E1898" s="42"/>
      <c r="F1898" s="42"/>
      <c r="M1898" s="91"/>
    </row>
    <row r="1899">
      <c r="A1899" s="25"/>
      <c r="B1899" s="42"/>
      <c r="C1899" s="42"/>
      <c r="D1899" s="42"/>
      <c r="E1899" s="42"/>
      <c r="F1899" s="42"/>
      <c r="M1899" s="91"/>
    </row>
    <row r="1900">
      <c r="A1900" s="25"/>
      <c r="B1900" s="42"/>
      <c r="C1900" s="42"/>
      <c r="D1900" s="42"/>
      <c r="E1900" s="42"/>
      <c r="F1900" s="42"/>
      <c r="M1900" s="91"/>
    </row>
    <row r="1901">
      <c r="A1901" s="25"/>
      <c r="B1901" s="42"/>
      <c r="C1901" s="42"/>
      <c r="D1901" s="42"/>
      <c r="E1901" s="42"/>
      <c r="F1901" s="42"/>
      <c r="M1901" s="91"/>
    </row>
    <row r="1902">
      <c r="A1902" s="25"/>
      <c r="B1902" s="42"/>
      <c r="C1902" s="42"/>
      <c r="D1902" s="42"/>
      <c r="E1902" s="42"/>
      <c r="F1902" s="42"/>
      <c r="M1902" s="91"/>
    </row>
    <row r="1903">
      <c r="A1903" s="25"/>
      <c r="B1903" s="42"/>
      <c r="C1903" s="42"/>
      <c r="D1903" s="42"/>
      <c r="E1903" s="42"/>
      <c r="F1903" s="42"/>
      <c r="M1903" s="91"/>
    </row>
    <row r="1904">
      <c r="A1904" s="25"/>
      <c r="B1904" s="42"/>
      <c r="C1904" s="42"/>
      <c r="D1904" s="42"/>
      <c r="E1904" s="42"/>
      <c r="F1904" s="42"/>
      <c r="M1904" s="91"/>
    </row>
    <row r="1905">
      <c r="A1905" s="25"/>
      <c r="B1905" s="42"/>
      <c r="C1905" s="42"/>
      <c r="D1905" s="42"/>
      <c r="E1905" s="42"/>
      <c r="F1905" s="42"/>
      <c r="M1905" s="91"/>
    </row>
    <row r="1906">
      <c r="A1906" s="25"/>
      <c r="B1906" s="42"/>
      <c r="C1906" s="42"/>
      <c r="D1906" s="42"/>
      <c r="E1906" s="42"/>
      <c r="F1906" s="42"/>
      <c r="M1906" s="91"/>
    </row>
    <row r="1907">
      <c r="A1907" s="25"/>
      <c r="B1907" s="42"/>
      <c r="C1907" s="42"/>
      <c r="D1907" s="42"/>
      <c r="E1907" s="42"/>
      <c r="F1907" s="42"/>
      <c r="M1907" s="91"/>
    </row>
    <row r="1908">
      <c r="A1908" s="25"/>
      <c r="B1908" s="42"/>
      <c r="C1908" s="42"/>
      <c r="D1908" s="42"/>
      <c r="E1908" s="42"/>
      <c r="F1908" s="42"/>
      <c r="M1908" s="91"/>
    </row>
    <row r="1909">
      <c r="A1909" s="25"/>
      <c r="B1909" s="42"/>
      <c r="C1909" s="42"/>
      <c r="D1909" s="42"/>
      <c r="E1909" s="42"/>
      <c r="F1909" s="42"/>
      <c r="M1909" s="91"/>
    </row>
    <row r="1910">
      <c r="A1910" s="25"/>
      <c r="B1910" s="42"/>
      <c r="C1910" s="42"/>
      <c r="D1910" s="42"/>
      <c r="E1910" s="42"/>
      <c r="F1910" s="42"/>
      <c r="M1910" s="91"/>
    </row>
    <row r="1911">
      <c r="A1911" s="25"/>
      <c r="B1911" s="42"/>
      <c r="C1911" s="42"/>
      <c r="D1911" s="42"/>
      <c r="E1911" s="42"/>
      <c r="F1911" s="42"/>
      <c r="M1911" s="91"/>
    </row>
    <row r="1912">
      <c r="A1912" s="25"/>
      <c r="B1912" s="42"/>
      <c r="C1912" s="42"/>
      <c r="D1912" s="42"/>
      <c r="E1912" s="42"/>
      <c r="F1912" s="42"/>
      <c r="M1912" s="91"/>
    </row>
    <row r="1913">
      <c r="A1913" s="25"/>
      <c r="B1913" s="42"/>
      <c r="C1913" s="42"/>
      <c r="D1913" s="42"/>
      <c r="E1913" s="42"/>
      <c r="F1913" s="42"/>
      <c r="M1913" s="91"/>
    </row>
    <row r="1914">
      <c r="A1914" s="25"/>
      <c r="B1914" s="42"/>
      <c r="C1914" s="42"/>
      <c r="D1914" s="42"/>
      <c r="E1914" s="42"/>
      <c r="F1914" s="42"/>
      <c r="M1914" s="91"/>
    </row>
    <row r="1915">
      <c r="A1915" s="25"/>
      <c r="B1915" s="42"/>
      <c r="C1915" s="42"/>
      <c r="D1915" s="42"/>
      <c r="E1915" s="42"/>
      <c r="F1915" s="42"/>
      <c r="M1915" s="91"/>
    </row>
    <row r="1916">
      <c r="A1916" s="25"/>
      <c r="B1916" s="42"/>
      <c r="C1916" s="42"/>
      <c r="D1916" s="42"/>
      <c r="E1916" s="42"/>
      <c r="F1916" s="42"/>
      <c r="M1916" s="91"/>
    </row>
    <row r="1917">
      <c r="A1917" s="25"/>
      <c r="B1917" s="42"/>
      <c r="C1917" s="42"/>
      <c r="D1917" s="42"/>
      <c r="E1917" s="42"/>
      <c r="F1917" s="42"/>
      <c r="M1917" s="91"/>
    </row>
    <row r="1918">
      <c r="A1918" s="25"/>
      <c r="B1918" s="42"/>
      <c r="C1918" s="42"/>
      <c r="D1918" s="42"/>
      <c r="E1918" s="42"/>
      <c r="F1918" s="42"/>
      <c r="M1918" s="91"/>
    </row>
    <row r="1919">
      <c r="A1919" s="25"/>
      <c r="B1919" s="42"/>
      <c r="C1919" s="42"/>
      <c r="D1919" s="42"/>
      <c r="E1919" s="42"/>
      <c r="F1919" s="42"/>
      <c r="M1919" s="91"/>
    </row>
    <row r="1920">
      <c r="A1920" s="25"/>
      <c r="B1920" s="42"/>
      <c r="C1920" s="42"/>
      <c r="D1920" s="42"/>
      <c r="E1920" s="42"/>
      <c r="F1920" s="42"/>
      <c r="M1920" s="91"/>
    </row>
    <row r="1921">
      <c r="A1921" s="25"/>
      <c r="B1921" s="42"/>
      <c r="C1921" s="42"/>
      <c r="D1921" s="42"/>
      <c r="E1921" s="42"/>
      <c r="F1921" s="42"/>
      <c r="M1921" s="91"/>
    </row>
    <row r="1922">
      <c r="A1922" s="25"/>
      <c r="B1922" s="42"/>
      <c r="C1922" s="42"/>
      <c r="D1922" s="42"/>
      <c r="E1922" s="42"/>
      <c r="F1922" s="42"/>
      <c r="M1922" s="91"/>
    </row>
    <row r="1923">
      <c r="A1923" s="25"/>
      <c r="B1923" s="42"/>
      <c r="C1923" s="42"/>
      <c r="D1923" s="42"/>
      <c r="E1923" s="42"/>
      <c r="F1923" s="42"/>
      <c r="M1923" s="91"/>
    </row>
    <row r="1924">
      <c r="A1924" s="25"/>
      <c r="B1924" s="42"/>
      <c r="C1924" s="42"/>
      <c r="D1924" s="42"/>
      <c r="E1924" s="42"/>
      <c r="F1924" s="42"/>
      <c r="M1924" s="91"/>
    </row>
    <row r="1925">
      <c r="A1925" s="25"/>
      <c r="B1925" s="42"/>
      <c r="C1925" s="42"/>
      <c r="D1925" s="42"/>
      <c r="E1925" s="42"/>
      <c r="F1925" s="42"/>
      <c r="M1925" s="91"/>
    </row>
    <row r="1926">
      <c r="A1926" s="25"/>
      <c r="B1926" s="42"/>
      <c r="C1926" s="42"/>
      <c r="D1926" s="42"/>
      <c r="E1926" s="42"/>
      <c r="F1926" s="42"/>
      <c r="M1926" s="91"/>
    </row>
    <row r="1927">
      <c r="A1927" s="25"/>
      <c r="B1927" s="42"/>
      <c r="C1927" s="42"/>
      <c r="D1927" s="42"/>
      <c r="E1927" s="42"/>
      <c r="F1927" s="42"/>
      <c r="M1927" s="91"/>
    </row>
    <row r="1928">
      <c r="A1928" s="25"/>
      <c r="B1928" s="42"/>
      <c r="C1928" s="42"/>
      <c r="D1928" s="42"/>
      <c r="E1928" s="42"/>
      <c r="F1928" s="42"/>
      <c r="M1928" s="91"/>
    </row>
    <row r="1929">
      <c r="A1929" s="25"/>
      <c r="B1929" s="42"/>
      <c r="C1929" s="42"/>
      <c r="D1929" s="42"/>
      <c r="E1929" s="42"/>
      <c r="F1929" s="42"/>
      <c r="M1929" s="91"/>
    </row>
    <row r="1930">
      <c r="A1930" s="25"/>
      <c r="B1930" s="42"/>
      <c r="C1930" s="42"/>
      <c r="D1930" s="42"/>
      <c r="E1930" s="42"/>
      <c r="F1930" s="42"/>
      <c r="M1930" s="91"/>
    </row>
    <row r="1931">
      <c r="A1931" s="25"/>
      <c r="B1931" s="42"/>
      <c r="C1931" s="42"/>
      <c r="D1931" s="42"/>
      <c r="E1931" s="42"/>
      <c r="F1931" s="42"/>
      <c r="M1931" s="91"/>
    </row>
    <row r="1932">
      <c r="A1932" s="25"/>
      <c r="B1932" s="42"/>
      <c r="C1932" s="42"/>
      <c r="D1932" s="42"/>
      <c r="E1932" s="42"/>
      <c r="F1932" s="42"/>
      <c r="M1932" s="91"/>
    </row>
    <row r="1933">
      <c r="A1933" s="25"/>
      <c r="B1933" s="42"/>
      <c r="C1933" s="42"/>
      <c r="D1933" s="42"/>
      <c r="E1933" s="42"/>
      <c r="F1933" s="42"/>
      <c r="M1933" s="91"/>
    </row>
    <row r="1934">
      <c r="A1934" s="25"/>
      <c r="B1934" s="42"/>
      <c r="C1934" s="42"/>
      <c r="D1934" s="42"/>
      <c r="E1934" s="42"/>
      <c r="F1934" s="42"/>
      <c r="M1934" s="91"/>
    </row>
    <row r="1935">
      <c r="A1935" s="25"/>
      <c r="B1935" s="42"/>
      <c r="C1935" s="42"/>
      <c r="D1935" s="42"/>
      <c r="E1935" s="42"/>
      <c r="F1935" s="42"/>
      <c r="M1935" s="91"/>
    </row>
    <row r="1936">
      <c r="A1936" s="25"/>
      <c r="B1936" s="42"/>
      <c r="C1936" s="42"/>
      <c r="D1936" s="42"/>
      <c r="E1936" s="42"/>
      <c r="F1936" s="42"/>
      <c r="M1936" s="91"/>
    </row>
    <row r="1937">
      <c r="A1937" s="25"/>
      <c r="B1937" s="42"/>
      <c r="C1937" s="42"/>
      <c r="D1937" s="42"/>
      <c r="E1937" s="42"/>
      <c r="F1937" s="42"/>
      <c r="M1937" s="91"/>
    </row>
    <row r="1938">
      <c r="A1938" s="25"/>
      <c r="B1938" s="42"/>
      <c r="C1938" s="42"/>
      <c r="D1938" s="42"/>
      <c r="E1938" s="42"/>
      <c r="F1938" s="42"/>
      <c r="M1938" s="91"/>
    </row>
    <row r="1939">
      <c r="A1939" s="25"/>
      <c r="B1939" s="42"/>
      <c r="C1939" s="42"/>
      <c r="D1939" s="42"/>
      <c r="E1939" s="42"/>
      <c r="F1939" s="42"/>
      <c r="M1939" s="91"/>
    </row>
    <row r="1940">
      <c r="A1940" s="25"/>
      <c r="B1940" s="42"/>
      <c r="C1940" s="42"/>
      <c r="D1940" s="42"/>
      <c r="E1940" s="42"/>
      <c r="F1940" s="42"/>
      <c r="M1940" s="91"/>
    </row>
    <row r="1941">
      <c r="A1941" s="25"/>
      <c r="B1941" s="42"/>
      <c r="C1941" s="42"/>
      <c r="D1941" s="42"/>
      <c r="E1941" s="42"/>
      <c r="F1941" s="42"/>
      <c r="M1941" s="91"/>
    </row>
    <row r="1942">
      <c r="A1942" s="25"/>
      <c r="B1942" s="42"/>
      <c r="C1942" s="42"/>
      <c r="D1942" s="42"/>
      <c r="E1942" s="42"/>
      <c r="F1942" s="42"/>
      <c r="M1942" s="91"/>
    </row>
    <row r="1943">
      <c r="A1943" s="25"/>
      <c r="B1943" s="42"/>
      <c r="C1943" s="42"/>
      <c r="D1943" s="42"/>
      <c r="E1943" s="42"/>
      <c r="F1943" s="42"/>
      <c r="M1943" s="91"/>
    </row>
    <row r="1944">
      <c r="A1944" s="25"/>
      <c r="B1944" s="42"/>
      <c r="C1944" s="42"/>
      <c r="D1944" s="42"/>
      <c r="E1944" s="42"/>
      <c r="F1944" s="42"/>
      <c r="M1944" s="91"/>
    </row>
    <row r="1945">
      <c r="A1945" s="25"/>
      <c r="B1945" s="42"/>
      <c r="C1945" s="42"/>
      <c r="D1945" s="42"/>
      <c r="E1945" s="42"/>
      <c r="F1945" s="42"/>
      <c r="M1945" s="91"/>
    </row>
    <row r="1946">
      <c r="A1946" s="25"/>
      <c r="B1946" s="42"/>
      <c r="C1946" s="42"/>
      <c r="D1946" s="42"/>
      <c r="E1946" s="42"/>
      <c r="F1946" s="42"/>
      <c r="M1946" s="91"/>
    </row>
    <row r="1947">
      <c r="A1947" s="25"/>
      <c r="B1947" s="42"/>
      <c r="C1947" s="42"/>
      <c r="D1947" s="42"/>
      <c r="E1947" s="42"/>
      <c r="F1947" s="42"/>
      <c r="M1947" s="91"/>
    </row>
    <row r="1948">
      <c r="A1948" s="25"/>
      <c r="B1948" s="42"/>
      <c r="C1948" s="42"/>
      <c r="D1948" s="42"/>
      <c r="E1948" s="42"/>
      <c r="F1948" s="42"/>
      <c r="M1948" s="91"/>
    </row>
    <row r="1949">
      <c r="A1949" s="25"/>
      <c r="B1949" s="42"/>
      <c r="C1949" s="42"/>
      <c r="D1949" s="42"/>
      <c r="E1949" s="42"/>
      <c r="F1949" s="42"/>
      <c r="M1949" s="91"/>
    </row>
    <row r="1950">
      <c r="A1950" s="25"/>
      <c r="B1950" s="42"/>
      <c r="C1950" s="42"/>
      <c r="D1950" s="42"/>
      <c r="E1950" s="42"/>
      <c r="F1950" s="42"/>
      <c r="M1950" s="91"/>
    </row>
    <row r="1951">
      <c r="A1951" s="25"/>
      <c r="B1951" s="42"/>
      <c r="C1951" s="42"/>
      <c r="D1951" s="42"/>
      <c r="E1951" s="42"/>
      <c r="F1951" s="42"/>
      <c r="M1951" s="91"/>
    </row>
    <row r="1952">
      <c r="A1952" s="25"/>
      <c r="B1952" s="42"/>
      <c r="C1952" s="42"/>
      <c r="D1952" s="42"/>
      <c r="E1952" s="42"/>
      <c r="F1952" s="42"/>
      <c r="M1952" s="91"/>
    </row>
    <row r="1953">
      <c r="A1953" s="25"/>
      <c r="B1953" s="42"/>
      <c r="C1953" s="42"/>
      <c r="D1953" s="42"/>
      <c r="E1953" s="42"/>
      <c r="F1953" s="42"/>
      <c r="M1953" s="91"/>
    </row>
    <row r="1954">
      <c r="A1954" s="25"/>
      <c r="B1954" s="42"/>
      <c r="C1954" s="42"/>
      <c r="D1954" s="42"/>
      <c r="E1954" s="42"/>
      <c r="F1954" s="42"/>
      <c r="M1954" s="91"/>
    </row>
    <row r="1955">
      <c r="A1955" s="25"/>
      <c r="B1955" s="42"/>
      <c r="C1955" s="42"/>
      <c r="D1955" s="42"/>
      <c r="E1955" s="42"/>
      <c r="F1955" s="42"/>
      <c r="M1955" s="91"/>
    </row>
    <row r="1956">
      <c r="A1956" s="25"/>
      <c r="B1956" s="42"/>
      <c r="C1956" s="42"/>
      <c r="D1956" s="42"/>
      <c r="E1956" s="42"/>
      <c r="F1956" s="42"/>
      <c r="M1956" s="91"/>
    </row>
    <row r="1957">
      <c r="A1957" s="25"/>
      <c r="B1957" s="42"/>
      <c r="C1957" s="42"/>
      <c r="D1957" s="42"/>
      <c r="E1957" s="42"/>
      <c r="F1957" s="42"/>
      <c r="M1957" s="91"/>
    </row>
    <row r="1958">
      <c r="A1958" s="25"/>
      <c r="B1958" s="42"/>
      <c r="C1958" s="42"/>
      <c r="D1958" s="42"/>
      <c r="E1958" s="42"/>
      <c r="F1958" s="42"/>
      <c r="M1958" s="91"/>
    </row>
    <row r="1959">
      <c r="A1959" s="25"/>
      <c r="B1959" s="42"/>
      <c r="C1959" s="42"/>
      <c r="D1959" s="42"/>
      <c r="E1959" s="42"/>
      <c r="F1959" s="42"/>
      <c r="M1959" s="91"/>
    </row>
    <row r="1960">
      <c r="A1960" s="25"/>
      <c r="B1960" s="42"/>
      <c r="C1960" s="42"/>
      <c r="D1960" s="42"/>
      <c r="E1960" s="42"/>
      <c r="F1960" s="42"/>
      <c r="M1960" s="91"/>
    </row>
    <row r="1961">
      <c r="A1961" s="25"/>
      <c r="B1961" s="42"/>
      <c r="C1961" s="42"/>
      <c r="D1961" s="42"/>
      <c r="E1961" s="42"/>
      <c r="F1961" s="42"/>
      <c r="M1961" s="91"/>
    </row>
    <row r="1962">
      <c r="A1962" s="25"/>
      <c r="B1962" s="42"/>
      <c r="C1962" s="42"/>
      <c r="D1962" s="42"/>
      <c r="E1962" s="42"/>
      <c r="F1962" s="42"/>
      <c r="M1962" s="91"/>
    </row>
    <row r="1963">
      <c r="A1963" s="25"/>
      <c r="B1963" s="42"/>
      <c r="C1963" s="42"/>
      <c r="D1963" s="42"/>
      <c r="E1963" s="42"/>
      <c r="F1963" s="42"/>
      <c r="M1963" s="91"/>
    </row>
  </sheetData>
  <conditionalFormatting sqref="A664 A683 A687 A694:A697 A716:A718 A722 A828:A831 A833:A839 B834 A919 A925">
    <cfRule type="expression" dxfId="0" priority="1">
      <formula>COUNTIF(A:A, A664) &gt; 1</formula>
    </cfRule>
  </conditionalFormatting>
  <conditionalFormatting sqref="B664 B681 B687 B716 B722 B823:B824 B834:B836 B911 B925">
    <cfRule type="colorScale" priority="2">
      <colorScale>
        <cfvo type="min"/>
        <cfvo type="max"/>
        <color rgb="FFFFFFFF"/>
        <color rgb="FF57BB8A"/>
      </colorScale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43"/>
    <col customWidth="1" min="2" max="2" width="15.0"/>
    <col customWidth="1" min="3" max="3" width="14.0"/>
    <col customWidth="1" min="6" max="6" width="9.71"/>
    <col customWidth="1" min="8" max="8" width="5.43"/>
    <col customWidth="1" min="9" max="9" width="13.71"/>
    <col customWidth="1" min="10" max="10" width="9.71"/>
    <col customWidth="1" min="11" max="11" width="10.14"/>
    <col customWidth="1" min="12" max="12" width="6.0"/>
    <col customWidth="1" min="13" max="13" width="6.71"/>
    <col customWidth="1" min="14" max="14" width="10.29"/>
    <col customWidth="1" min="15" max="15" width="10.43"/>
    <col customWidth="1" min="16" max="16" width="9.57"/>
    <col customWidth="1" min="17" max="17" width="8.14"/>
    <col customWidth="1" min="18" max="18" width="13.57"/>
    <col customWidth="1" min="19" max="20" width="9.71"/>
  </cols>
  <sheetData>
    <row r="1">
      <c r="A1" s="206" t="s">
        <v>3</v>
      </c>
      <c r="B1" s="206" t="s">
        <v>1516</v>
      </c>
      <c r="C1" s="206" t="s">
        <v>1518</v>
      </c>
      <c r="D1" s="206" t="s">
        <v>1519</v>
      </c>
      <c r="E1" s="206" t="s">
        <v>1520</v>
      </c>
      <c r="F1" s="206" t="s">
        <v>19</v>
      </c>
      <c r="G1" s="206" t="s">
        <v>10</v>
      </c>
      <c r="H1" s="206" t="s">
        <v>30</v>
      </c>
      <c r="I1" s="206" t="s">
        <v>28</v>
      </c>
      <c r="J1" s="206" t="s">
        <v>24</v>
      </c>
      <c r="K1" s="206" t="s">
        <v>1522</v>
      </c>
      <c r="L1" s="207" t="s">
        <v>1524</v>
      </c>
      <c r="M1" s="207" t="s">
        <v>1526</v>
      </c>
      <c r="N1" s="208" t="s">
        <v>1527</v>
      </c>
      <c r="O1" s="207" t="s">
        <v>1528</v>
      </c>
      <c r="P1" s="209" t="s">
        <v>1529</v>
      </c>
      <c r="Q1" s="209" t="s">
        <v>1531</v>
      </c>
      <c r="R1" s="209" t="s">
        <v>1533</v>
      </c>
      <c r="S1" s="209" t="s">
        <v>1534</v>
      </c>
      <c r="T1" s="209" t="s">
        <v>84</v>
      </c>
      <c r="U1" s="207" t="s">
        <v>1535</v>
      </c>
      <c r="V1" s="207" t="s">
        <v>1536</v>
      </c>
      <c r="W1" s="209" t="s">
        <v>53</v>
      </c>
      <c r="X1" s="210" t="s">
        <v>55</v>
      </c>
      <c r="Y1" s="209" t="s">
        <v>1541</v>
      </c>
      <c r="Z1" s="209"/>
    </row>
    <row r="2">
      <c r="A2" s="145" t="s">
        <v>1342</v>
      </c>
      <c r="B2" s="145" t="s">
        <v>1542</v>
      </c>
      <c r="C2" s="145" t="s">
        <v>1543</v>
      </c>
      <c r="D2" s="75" t="s">
        <v>1544</v>
      </c>
      <c r="E2" s="75" t="s">
        <v>1544</v>
      </c>
      <c r="F2" s="211" t="s">
        <v>1547</v>
      </c>
      <c r="G2" s="145" t="s">
        <v>1548</v>
      </c>
      <c r="H2" s="211" t="s">
        <v>77</v>
      </c>
      <c r="I2" s="145" t="s">
        <v>340</v>
      </c>
      <c r="J2" s="211" t="s">
        <v>1549</v>
      </c>
      <c r="K2" s="75" t="s">
        <v>1544</v>
      </c>
      <c r="L2" s="152" t="b">
        <v>1</v>
      </c>
      <c r="M2" s="152" t="b">
        <v>0</v>
      </c>
      <c r="N2" s="212" t="s">
        <v>1551</v>
      </c>
      <c r="O2" s="213" t="s">
        <v>1554</v>
      </c>
      <c r="P2" s="47" t="b">
        <v>1</v>
      </c>
      <c r="Q2" s="47" t="b">
        <v>0</v>
      </c>
      <c r="R2" s="214"/>
      <c r="S2" s="77">
        <v>0.0</v>
      </c>
      <c r="T2" s="76" t="s">
        <v>1179</v>
      </c>
      <c r="U2" s="78">
        <v>8229289.0</v>
      </c>
      <c r="V2" s="215"/>
      <c r="W2" s="77">
        <v>8000000.0</v>
      </c>
      <c r="X2" s="216">
        <v>80000.0</v>
      </c>
      <c r="Y2" s="77">
        <v>40000.0</v>
      </c>
      <c r="Z2" s="77"/>
    </row>
    <row r="3">
      <c r="A3" s="145" t="s">
        <v>375</v>
      </c>
      <c r="B3" s="145" t="s">
        <v>1556</v>
      </c>
      <c r="C3" s="145" t="s">
        <v>1543</v>
      </c>
      <c r="D3" s="75" t="s">
        <v>1544</v>
      </c>
      <c r="E3" s="75" t="s">
        <v>1544</v>
      </c>
      <c r="F3" s="211" t="s">
        <v>1557</v>
      </c>
      <c r="G3" s="145" t="s">
        <v>1559</v>
      </c>
      <c r="H3" s="211" t="s">
        <v>625</v>
      </c>
      <c r="I3" s="145" t="s">
        <v>624</v>
      </c>
      <c r="J3" s="211" t="s">
        <v>1561</v>
      </c>
      <c r="K3" s="75" t="s">
        <v>1544</v>
      </c>
      <c r="L3" s="152" t="b">
        <v>1</v>
      </c>
      <c r="M3" s="152" t="b">
        <v>0</v>
      </c>
      <c r="N3" s="212" t="s">
        <v>1562</v>
      </c>
      <c r="O3" s="213" t="s">
        <v>1554</v>
      </c>
      <c r="P3" s="47" t="b">
        <v>1</v>
      </c>
      <c r="Q3" s="47" t="b">
        <v>0</v>
      </c>
      <c r="R3" s="214"/>
      <c r="S3" s="77">
        <v>0.0</v>
      </c>
      <c r="T3" s="76" t="s">
        <v>1156</v>
      </c>
      <c r="U3" s="78">
        <v>2.1471347E7</v>
      </c>
      <c r="V3" s="215"/>
      <c r="W3" s="77">
        <v>2.2E7</v>
      </c>
      <c r="X3" s="216">
        <v>2.2E9</v>
      </c>
      <c r="Y3" s="216">
        <v>6000000.0</v>
      </c>
      <c r="Z3" s="77"/>
    </row>
    <row r="4">
      <c r="A4" s="145" t="s">
        <v>353</v>
      </c>
      <c r="B4" s="145" t="s">
        <v>1564</v>
      </c>
      <c r="C4" s="145" t="s">
        <v>1543</v>
      </c>
      <c r="D4" s="75" t="s">
        <v>1544</v>
      </c>
      <c r="E4" s="75" t="s">
        <v>1544</v>
      </c>
      <c r="F4" s="211" t="s">
        <v>1547</v>
      </c>
      <c r="G4" s="145" t="s">
        <v>1565</v>
      </c>
      <c r="H4" s="211" t="s">
        <v>77</v>
      </c>
      <c r="I4" s="145" t="s">
        <v>338</v>
      </c>
      <c r="J4" s="211" t="s">
        <v>1549</v>
      </c>
      <c r="K4" s="75" t="s">
        <v>1544</v>
      </c>
      <c r="L4" s="152" t="b">
        <v>1</v>
      </c>
      <c r="M4" s="152" t="b">
        <v>0</v>
      </c>
      <c r="N4" s="212" t="s">
        <v>1567</v>
      </c>
      <c r="O4" s="213" t="s">
        <v>1554</v>
      </c>
      <c r="P4" s="47" t="b">
        <v>1</v>
      </c>
      <c r="Q4" s="47" t="b">
        <v>0</v>
      </c>
      <c r="R4" s="214"/>
      <c r="S4" s="77">
        <v>0.0</v>
      </c>
      <c r="T4" s="76" t="s">
        <v>1179</v>
      </c>
      <c r="U4" s="78">
        <v>1.1212849E7</v>
      </c>
      <c r="V4" s="215"/>
      <c r="W4" s="77">
        <v>1.2E7</v>
      </c>
      <c r="X4" s="77">
        <v>120000.0</v>
      </c>
      <c r="Y4" s="77">
        <v>40000.0</v>
      </c>
      <c r="Z4" s="77"/>
    </row>
    <row r="5">
      <c r="A5" s="145" t="s">
        <v>339</v>
      </c>
      <c r="B5" s="145" t="s">
        <v>1574</v>
      </c>
      <c r="C5" s="145" t="s">
        <v>1543</v>
      </c>
      <c r="D5" s="75" t="s">
        <v>1544</v>
      </c>
      <c r="E5" s="75" t="s">
        <v>1544</v>
      </c>
      <c r="F5" s="211" t="s">
        <v>1575</v>
      </c>
      <c r="G5" s="145" t="s">
        <v>1576</v>
      </c>
      <c r="H5" s="211" t="s">
        <v>77</v>
      </c>
      <c r="I5" s="145" t="s">
        <v>413</v>
      </c>
      <c r="J5" s="211" t="s">
        <v>1577</v>
      </c>
      <c r="K5" s="75" t="s">
        <v>1544</v>
      </c>
      <c r="L5" s="152" t="b">
        <v>1</v>
      </c>
      <c r="M5" s="152" t="b">
        <v>0</v>
      </c>
      <c r="N5" s="212" t="s">
        <v>1579</v>
      </c>
      <c r="O5" s="213" t="s">
        <v>1554</v>
      </c>
      <c r="P5" s="47" t="b">
        <v>1</v>
      </c>
      <c r="Q5" s="47" t="b">
        <v>0</v>
      </c>
      <c r="R5" s="214"/>
      <c r="S5" s="77">
        <v>0.0</v>
      </c>
      <c r="T5" s="76" t="s">
        <v>1176</v>
      </c>
      <c r="U5" s="78">
        <v>6667295.0</v>
      </c>
      <c r="V5" s="215"/>
      <c r="W5" s="77">
        <v>6000000.0</v>
      </c>
      <c r="X5" s="77">
        <v>60000.0</v>
      </c>
      <c r="Y5" s="77">
        <v>20000.0</v>
      </c>
      <c r="Z5" s="77"/>
    </row>
    <row r="6">
      <c r="A6" s="145" t="s">
        <v>1441</v>
      </c>
      <c r="B6" s="145" t="s">
        <v>1580</v>
      </c>
      <c r="C6" s="145" t="s">
        <v>1543</v>
      </c>
      <c r="D6" s="75" t="s">
        <v>1544</v>
      </c>
      <c r="E6" s="75" t="s">
        <v>1544</v>
      </c>
      <c r="F6" s="211" t="s">
        <v>1575</v>
      </c>
      <c r="G6" s="145" t="s">
        <v>1581</v>
      </c>
      <c r="H6" s="211" t="s">
        <v>77</v>
      </c>
      <c r="I6" s="145" t="s">
        <v>327</v>
      </c>
      <c r="J6" s="211" t="s">
        <v>1577</v>
      </c>
      <c r="K6" s="75" t="s">
        <v>1544</v>
      </c>
      <c r="L6" s="152" t="b">
        <v>1</v>
      </c>
      <c r="M6" s="152" t="b">
        <v>0</v>
      </c>
      <c r="N6" s="212" t="s">
        <v>1582</v>
      </c>
      <c r="O6" s="213" t="s">
        <v>1554</v>
      </c>
      <c r="P6" s="47" t="b">
        <v>1</v>
      </c>
      <c r="Q6" s="47" t="b">
        <v>0</v>
      </c>
      <c r="R6" s="214"/>
      <c r="S6" s="77">
        <v>0.0</v>
      </c>
      <c r="T6" s="76" t="s">
        <v>1176</v>
      </c>
      <c r="U6" s="78">
        <v>6991054.0</v>
      </c>
      <c r="V6" s="215"/>
      <c r="W6" s="77">
        <v>6000000.0</v>
      </c>
      <c r="X6" s="77">
        <v>60000.0</v>
      </c>
      <c r="Y6" s="77">
        <v>20000.0</v>
      </c>
      <c r="Z6" s="77"/>
    </row>
    <row r="7">
      <c r="A7" s="145" t="s">
        <v>815</v>
      </c>
      <c r="B7" s="145" t="s">
        <v>1585</v>
      </c>
      <c r="C7" s="145" t="s">
        <v>1543</v>
      </c>
      <c r="D7" s="75" t="s">
        <v>1544</v>
      </c>
      <c r="E7" s="75" t="s">
        <v>1544</v>
      </c>
      <c r="F7" s="211" t="s">
        <v>1586</v>
      </c>
      <c r="G7" s="145" t="s">
        <v>816</v>
      </c>
      <c r="H7" s="211" t="s">
        <v>77</v>
      </c>
      <c r="I7" s="145" t="s">
        <v>140</v>
      </c>
      <c r="J7" s="211" t="s">
        <v>1549</v>
      </c>
      <c r="K7" s="75" t="s">
        <v>1544</v>
      </c>
      <c r="L7" s="152" t="b">
        <v>1</v>
      </c>
      <c r="M7" s="152" t="b">
        <v>0</v>
      </c>
      <c r="N7" s="212" t="s">
        <v>1589</v>
      </c>
      <c r="O7" s="213" t="s">
        <v>1554</v>
      </c>
      <c r="P7" s="47" t="b">
        <v>1</v>
      </c>
      <c r="Q7" s="47" t="b">
        <v>0</v>
      </c>
      <c r="R7" s="214"/>
      <c r="S7" s="77">
        <v>0.0</v>
      </c>
      <c r="T7" s="76" t="s">
        <v>1156</v>
      </c>
      <c r="U7" s="78">
        <v>4856400.0</v>
      </c>
      <c r="V7" s="215"/>
      <c r="W7" s="77">
        <v>4000000.0</v>
      </c>
      <c r="X7" s="77">
        <v>40000.0</v>
      </c>
      <c r="Y7" s="77">
        <v>1200000.0</v>
      </c>
      <c r="Z7" s="77"/>
    </row>
    <row r="8">
      <c r="A8" s="145" t="s">
        <v>1276</v>
      </c>
      <c r="B8" s="145" t="s">
        <v>1276</v>
      </c>
      <c r="C8" s="145" t="s">
        <v>1266</v>
      </c>
      <c r="D8" s="75" t="s">
        <v>1544</v>
      </c>
      <c r="E8" s="75" t="s">
        <v>1544</v>
      </c>
      <c r="F8" s="211" t="s">
        <v>1591</v>
      </c>
      <c r="G8" s="145" t="s">
        <v>1592</v>
      </c>
      <c r="H8" s="211" t="s">
        <v>87</v>
      </c>
      <c r="I8" s="145" t="s">
        <v>267</v>
      </c>
      <c r="J8" s="211" t="s">
        <v>87</v>
      </c>
      <c r="K8" s="75" t="s">
        <v>1544</v>
      </c>
      <c r="L8" s="152" t="b">
        <v>0</v>
      </c>
      <c r="M8" s="152" t="b">
        <v>0</v>
      </c>
      <c r="N8" s="217"/>
      <c r="O8" s="213" t="s">
        <v>1554</v>
      </c>
      <c r="P8" s="47" t="b">
        <v>0</v>
      </c>
      <c r="Q8" s="47" t="b">
        <v>0</v>
      </c>
      <c r="R8" s="214"/>
      <c r="S8" s="77">
        <v>0.0</v>
      </c>
      <c r="T8" s="214"/>
      <c r="U8" s="215"/>
      <c r="V8" s="215"/>
      <c r="W8" s="214"/>
      <c r="X8" s="214"/>
      <c r="Y8" s="77">
        <v>1.0E7</v>
      </c>
      <c r="Z8" s="77"/>
    </row>
    <row r="9">
      <c r="A9" s="145" t="s">
        <v>95</v>
      </c>
      <c r="B9" s="145" t="s">
        <v>1595</v>
      </c>
      <c r="C9" s="145" t="s">
        <v>1543</v>
      </c>
      <c r="D9" s="75" t="s">
        <v>1544</v>
      </c>
      <c r="E9" s="75" t="s">
        <v>1544</v>
      </c>
      <c r="F9" s="211" t="s">
        <v>1596</v>
      </c>
      <c r="G9" s="145" t="s">
        <v>773</v>
      </c>
      <c r="H9" s="211" t="s">
        <v>1018</v>
      </c>
      <c r="I9" s="145" t="s">
        <v>113</v>
      </c>
      <c r="J9" s="211" t="s">
        <v>1597</v>
      </c>
      <c r="K9" s="75" t="s">
        <v>1544</v>
      </c>
      <c r="L9" s="152" t="b">
        <v>1</v>
      </c>
      <c r="M9" s="152" t="b">
        <v>0</v>
      </c>
      <c r="N9" s="212" t="s">
        <v>1598</v>
      </c>
      <c r="O9" s="213" t="s">
        <v>1554</v>
      </c>
      <c r="P9" s="47" t="b">
        <v>1</v>
      </c>
      <c r="Q9" s="47" t="b">
        <v>0</v>
      </c>
      <c r="R9" s="214"/>
      <c r="S9" s="77">
        <v>0.0</v>
      </c>
      <c r="T9" s="76" t="s">
        <v>1196</v>
      </c>
      <c r="U9" s="78">
        <v>1.6110562E7</v>
      </c>
      <c r="V9" s="215"/>
      <c r="W9" s="77">
        <v>1.6E7</v>
      </c>
      <c r="X9" s="77">
        <v>128000.0</v>
      </c>
      <c r="Y9" s="77">
        <v>3000000.0</v>
      </c>
      <c r="Z9" s="77"/>
    </row>
    <row r="10">
      <c r="A10" s="145" t="s">
        <v>1230</v>
      </c>
      <c r="B10" s="145" t="s">
        <v>1230</v>
      </c>
      <c r="C10" s="145" t="s">
        <v>1600</v>
      </c>
      <c r="D10" s="75" t="s">
        <v>1544</v>
      </c>
      <c r="E10" s="75" t="s">
        <v>1601</v>
      </c>
      <c r="F10" s="211" t="s">
        <v>1602</v>
      </c>
      <c r="G10" s="145" t="s">
        <v>1231</v>
      </c>
      <c r="H10" s="211" t="s">
        <v>87</v>
      </c>
      <c r="I10" s="145" t="s">
        <v>267</v>
      </c>
      <c r="J10" s="211" t="s">
        <v>1603</v>
      </c>
      <c r="K10" s="75" t="s">
        <v>1544</v>
      </c>
      <c r="L10" s="152" t="b">
        <v>0</v>
      </c>
      <c r="M10" s="152" t="b">
        <v>0</v>
      </c>
      <c r="N10" s="217"/>
      <c r="O10" s="213" t="s">
        <v>1554</v>
      </c>
      <c r="P10" s="47" t="b">
        <v>0</v>
      </c>
      <c r="Q10" s="47" t="b">
        <v>0</v>
      </c>
      <c r="R10" s="214"/>
      <c r="S10" s="77">
        <v>0.0</v>
      </c>
      <c r="T10" s="214"/>
      <c r="U10" s="215"/>
      <c r="V10" s="215"/>
      <c r="W10" s="214"/>
      <c r="X10" s="214"/>
      <c r="Y10" s="77">
        <v>1.0</v>
      </c>
      <c r="Z10" s="77"/>
    </row>
    <row r="11">
      <c r="A11" s="145" t="s">
        <v>430</v>
      </c>
      <c r="B11" s="145" t="s">
        <v>1605</v>
      </c>
      <c r="C11" s="145" t="s">
        <v>1543</v>
      </c>
      <c r="D11" s="75" t="s">
        <v>1544</v>
      </c>
      <c r="E11" s="75" t="s">
        <v>1544</v>
      </c>
      <c r="F11" s="211" t="s">
        <v>1607</v>
      </c>
      <c r="G11" s="145" t="s">
        <v>868</v>
      </c>
      <c r="H11" s="211" t="s">
        <v>77</v>
      </c>
      <c r="I11" s="145" t="s">
        <v>329</v>
      </c>
      <c r="J11" s="211" t="s">
        <v>1609</v>
      </c>
      <c r="K11" s="75" t="s">
        <v>1544</v>
      </c>
      <c r="L11" s="152" t="b">
        <v>1</v>
      </c>
      <c r="M11" s="152" t="b">
        <v>0</v>
      </c>
      <c r="N11" s="212" t="s">
        <v>1610</v>
      </c>
      <c r="O11" s="213" t="s">
        <v>1554</v>
      </c>
      <c r="P11" s="47" t="b">
        <v>1</v>
      </c>
      <c r="Q11" s="47" t="b">
        <v>0</v>
      </c>
      <c r="R11" s="214"/>
      <c r="S11" s="77">
        <v>0.0</v>
      </c>
      <c r="T11" s="76" t="s">
        <v>1156</v>
      </c>
      <c r="U11" s="78">
        <v>8341030.0</v>
      </c>
      <c r="V11" s="215"/>
      <c r="W11" s="77">
        <v>8000000.0</v>
      </c>
      <c r="X11" s="77">
        <v>80000.0</v>
      </c>
      <c r="Y11" s="77">
        <v>2400000.0</v>
      </c>
      <c r="Z11" s="77"/>
    </row>
    <row r="12">
      <c r="A12" s="145" t="s">
        <v>103</v>
      </c>
      <c r="B12" s="145" t="s">
        <v>1612</v>
      </c>
      <c r="C12" s="145" t="s">
        <v>1543</v>
      </c>
      <c r="D12" s="75" t="s">
        <v>1544</v>
      </c>
      <c r="E12" s="75" t="s">
        <v>1544</v>
      </c>
      <c r="F12" s="211" t="s">
        <v>1596</v>
      </c>
      <c r="G12" s="145" t="s">
        <v>1613</v>
      </c>
      <c r="H12" s="211" t="s">
        <v>907</v>
      </c>
      <c r="I12" s="145" t="s">
        <v>25</v>
      </c>
      <c r="J12" s="211" t="s">
        <v>1597</v>
      </c>
      <c r="K12" s="75" t="s">
        <v>1544</v>
      </c>
      <c r="L12" s="152" t="b">
        <v>1</v>
      </c>
      <c r="M12" s="152" t="b">
        <v>0</v>
      </c>
      <c r="N12" s="212" t="s">
        <v>1614</v>
      </c>
      <c r="O12" s="213" t="s">
        <v>1554</v>
      </c>
      <c r="P12" s="47" t="b">
        <v>1</v>
      </c>
      <c r="Q12" s="47" t="b">
        <v>0</v>
      </c>
      <c r="R12" s="214"/>
      <c r="S12" s="77">
        <v>0.0</v>
      </c>
      <c r="T12" s="76" t="s">
        <v>1196</v>
      </c>
      <c r="U12" s="78">
        <v>1.1227775E7</v>
      </c>
      <c r="V12" s="215"/>
      <c r="W12" s="216">
        <v>1.2E7</v>
      </c>
      <c r="X12" s="77">
        <v>120000.0</v>
      </c>
      <c r="Y12" s="77">
        <v>3000000.0</v>
      </c>
      <c r="Z12" s="77"/>
    </row>
    <row r="13">
      <c r="A13" s="145" t="s">
        <v>438</v>
      </c>
      <c r="B13" s="145" t="s">
        <v>1605</v>
      </c>
      <c r="C13" s="145" t="s">
        <v>1543</v>
      </c>
      <c r="D13" s="75" t="s">
        <v>1544</v>
      </c>
      <c r="E13" s="75" t="s">
        <v>1544</v>
      </c>
      <c r="F13" s="211" t="s">
        <v>1586</v>
      </c>
      <c r="G13" s="145" t="s">
        <v>872</v>
      </c>
      <c r="H13" s="211" t="s">
        <v>77</v>
      </c>
      <c r="I13" s="145" t="s">
        <v>329</v>
      </c>
      <c r="J13" s="211" t="s">
        <v>1549</v>
      </c>
      <c r="K13" s="75" t="s">
        <v>1544</v>
      </c>
      <c r="L13" s="152" t="b">
        <v>1</v>
      </c>
      <c r="M13" s="152" t="b">
        <v>0</v>
      </c>
      <c r="N13" s="212" t="s">
        <v>1619</v>
      </c>
      <c r="O13" s="213" t="s">
        <v>1554</v>
      </c>
      <c r="P13" s="47" t="b">
        <v>1</v>
      </c>
      <c r="Q13" s="47" t="b">
        <v>0</v>
      </c>
      <c r="R13" s="214"/>
      <c r="S13" s="77">
        <v>0.0</v>
      </c>
      <c r="T13" s="76" t="s">
        <v>1156</v>
      </c>
      <c r="U13" s="78">
        <v>3146248.0</v>
      </c>
      <c r="V13" s="215"/>
      <c r="W13" s="77">
        <v>4000000.0</v>
      </c>
      <c r="X13" s="77">
        <v>40000.0</v>
      </c>
      <c r="Y13" s="77">
        <v>1200000.0</v>
      </c>
      <c r="Z13" s="77"/>
    </row>
    <row r="14">
      <c r="A14" s="145" t="s">
        <v>434</v>
      </c>
      <c r="B14" s="145" t="s">
        <v>1623</v>
      </c>
      <c r="C14" s="145" t="s">
        <v>1543</v>
      </c>
      <c r="D14" s="75" t="s">
        <v>1544</v>
      </c>
      <c r="E14" s="75" t="s">
        <v>1544</v>
      </c>
      <c r="F14" s="211" t="s">
        <v>1575</v>
      </c>
      <c r="G14" s="145" t="s">
        <v>1624</v>
      </c>
      <c r="H14" s="211" t="s">
        <v>77</v>
      </c>
      <c r="I14" s="145" t="s">
        <v>325</v>
      </c>
      <c r="J14" s="211" t="s">
        <v>1577</v>
      </c>
      <c r="K14" s="75" t="s">
        <v>1544</v>
      </c>
      <c r="L14" s="152" t="b">
        <v>1</v>
      </c>
      <c r="M14" s="152" t="b">
        <v>0</v>
      </c>
      <c r="N14" s="212" t="s">
        <v>1626</v>
      </c>
      <c r="O14" s="213" t="s">
        <v>1554</v>
      </c>
      <c r="P14" s="47" t="b">
        <v>1</v>
      </c>
      <c r="Q14" s="47" t="b">
        <v>0</v>
      </c>
      <c r="R14" s="214"/>
      <c r="S14" s="77">
        <v>0.0</v>
      </c>
      <c r="T14" s="76" t="s">
        <v>1179</v>
      </c>
      <c r="U14" s="78">
        <v>5197114.0</v>
      </c>
      <c r="V14" s="215"/>
      <c r="W14" s="77">
        <v>6000000.0</v>
      </c>
      <c r="X14" s="77">
        <v>60000.0</v>
      </c>
      <c r="Y14" s="77">
        <v>20000.0</v>
      </c>
      <c r="Z14" s="77"/>
    </row>
    <row r="15">
      <c r="A15" s="145" t="s">
        <v>1492</v>
      </c>
      <c r="B15" s="145" t="s">
        <v>1542</v>
      </c>
      <c r="C15" s="145" t="s">
        <v>1543</v>
      </c>
      <c r="D15" s="75" t="s">
        <v>1544</v>
      </c>
      <c r="E15" s="75" t="s">
        <v>1544</v>
      </c>
      <c r="F15" s="211" t="s">
        <v>1575</v>
      </c>
      <c r="G15" s="145" t="s">
        <v>1628</v>
      </c>
      <c r="H15" s="211" t="s">
        <v>77</v>
      </c>
      <c r="I15" s="145" t="s">
        <v>340</v>
      </c>
      <c r="J15" s="211" t="s">
        <v>1577</v>
      </c>
      <c r="K15" s="75" t="s">
        <v>1544</v>
      </c>
      <c r="L15" s="152" t="b">
        <v>1</v>
      </c>
      <c r="M15" s="152" t="b">
        <v>0</v>
      </c>
      <c r="N15" s="212" t="s">
        <v>1629</v>
      </c>
      <c r="O15" s="213" t="s">
        <v>1554</v>
      </c>
      <c r="P15" s="47" t="b">
        <v>1</v>
      </c>
      <c r="Q15" s="47" t="b">
        <v>0</v>
      </c>
      <c r="R15" s="214"/>
      <c r="S15" s="77">
        <v>0.0</v>
      </c>
      <c r="T15" s="76" t="s">
        <v>1179</v>
      </c>
      <c r="U15" s="78">
        <v>3875913.0</v>
      </c>
      <c r="V15" s="215"/>
      <c r="W15" s="77">
        <v>4000000.0</v>
      </c>
      <c r="X15" s="77">
        <v>40000.0</v>
      </c>
      <c r="Y15" s="77">
        <v>20000.0</v>
      </c>
      <c r="Z15" s="77"/>
    </row>
    <row r="16">
      <c r="A16" s="145" t="s">
        <v>1397</v>
      </c>
      <c r="B16" s="145" t="s">
        <v>1397</v>
      </c>
      <c r="C16" s="145" t="s">
        <v>1266</v>
      </c>
      <c r="D16" s="75" t="s">
        <v>1544</v>
      </c>
      <c r="E16" s="75" t="s">
        <v>1601</v>
      </c>
      <c r="F16" s="211" t="s">
        <v>1602</v>
      </c>
      <c r="G16" s="145" t="s">
        <v>1398</v>
      </c>
      <c r="H16" s="211" t="s">
        <v>87</v>
      </c>
      <c r="I16" s="145" t="s">
        <v>267</v>
      </c>
      <c r="J16" s="211" t="s">
        <v>1603</v>
      </c>
      <c r="K16" s="75" t="s">
        <v>1544</v>
      </c>
      <c r="L16" s="152" t="b">
        <v>0</v>
      </c>
      <c r="M16" s="152" t="b">
        <v>0</v>
      </c>
      <c r="N16" s="217"/>
      <c r="O16" s="213" t="s">
        <v>1554</v>
      </c>
      <c r="P16" s="47" t="b">
        <v>0</v>
      </c>
      <c r="Q16" s="47" t="b">
        <v>0</v>
      </c>
      <c r="R16" s="214"/>
      <c r="S16" s="77">
        <v>0.0</v>
      </c>
      <c r="T16" s="214"/>
      <c r="U16" s="215"/>
      <c r="V16" s="215"/>
      <c r="W16" s="214"/>
      <c r="X16" s="218"/>
      <c r="Y16" s="77">
        <v>1.0</v>
      </c>
      <c r="Z16" s="77"/>
    </row>
    <row r="17">
      <c r="A17" s="145" t="s">
        <v>356</v>
      </c>
      <c r="B17" s="145" t="s">
        <v>1632</v>
      </c>
      <c r="C17" s="145" t="s">
        <v>1543</v>
      </c>
      <c r="D17" s="75" t="s">
        <v>1544</v>
      </c>
      <c r="E17" s="75" t="s">
        <v>1544</v>
      </c>
      <c r="F17" s="211" t="s">
        <v>1547</v>
      </c>
      <c r="G17" s="145" t="s">
        <v>1633</v>
      </c>
      <c r="H17" s="211" t="s">
        <v>77</v>
      </c>
      <c r="I17" s="145" t="s">
        <v>325</v>
      </c>
      <c r="J17" s="211" t="s">
        <v>1549</v>
      </c>
      <c r="K17" s="75" t="s">
        <v>1544</v>
      </c>
      <c r="L17" s="152" t="b">
        <v>1</v>
      </c>
      <c r="M17" s="152" t="b">
        <v>0</v>
      </c>
      <c r="N17" s="212" t="s">
        <v>1634</v>
      </c>
      <c r="O17" s="213" t="s">
        <v>1554</v>
      </c>
      <c r="P17" s="47" t="b">
        <v>1</v>
      </c>
      <c r="Q17" s="47" t="b">
        <v>0</v>
      </c>
      <c r="R17" s="214"/>
      <c r="S17" s="77">
        <v>0.0</v>
      </c>
      <c r="T17" s="76" t="s">
        <v>1179</v>
      </c>
      <c r="U17" s="78">
        <v>1.1066961E7</v>
      </c>
      <c r="V17" s="215"/>
      <c r="W17" s="77">
        <v>1.2E7</v>
      </c>
      <c r="X17" s="216">
        <v>120000.0</v>
      </c>
      <c r="Y17" s="77">
        <v>40000.0</v>
      </c>
      <c r="Z17" s="77"/>
    </row>
    <row r="18">
      <c r="A18" s="145" t="s">
        <v>551</v>
      </c>
      <c r="B18" s="145" t="s">
        <v>1636</v>
      </c>
      <c r="C18" s="145" t="s">
        <v>1543</v>
      </c>
      <c r="D18" s="75" t="s">
        <v>1544</v>
      </c>
      <c r="E18" s="75" t="s">
        <v>1544</v>
      </c>
      <c r="F18" s="211" t="s">
        <v>1637</v>
      </c>
      <c r="G18" s="145" t="s">
        <v>1638</v>
      </c>
      <c r="H18" s="211" t="s">
        <v>77</v>
      </c>
      <c r="I18" s="145" t="s">
        <v>413</v>
      </c>
      <c r="J18" s="211" t="s">
        <v>1639</v>
      </c>
      <c r="K18" s="75" t="s">
        <v>1544</v>
      </c>
      <c r="L18" s="152" t="b">
        <v>1</v>
      </c>
      <c r="M18" s="152" t="b">
        <v>0</v>
      </c>
      <c r="N18" s="212" t="s">
        <v>1641</v>
      </c>
      <c r="O18" s="213" t="s">
        <v>1554</v>
      </c>
      <c r="P18" s="47" t="b">
        <v>1</v>
      </c>
      <c r="Q18" s="47" t="b">
        <v>0</v>
      </c>
      <c r="R18" s="214"/>
      <c r="S18" s="77">
        <v>0.0</v>
      </c>
      <c r="T18" s="76" t="s">
        <v>1176</v>
      </c>
      <c r="U18" s="78">
        <v>1.3690399E7</v>
      </c>
      <c r="V18" s="215"/>
      <c r="W18" s="77">
        <v>1.4E7</v>
      </c>
      <c r="X18" s="216">
        <v>140000.0</v>
      </c>
      <c r="Y18" s="77">
        <v>60000.0</v>
      </c>
      <c r="Z18" s="77"/>
    </row>
    <row r="19">
      <c r="A19" s="145" t="s">
        <v>309</v>
      </c>
      <c r="B19" s="145" t="s">
        <v>309</v>
      </c>
      <c r="C19" s="145" t="s">
        <v>1600</v>
      </c>
      <c r="D19" s="75" t="s">
        <v>1544</v>
      </c>
      <c r="E19" s="75" t="s">
        <v>1601</v>
      </c>
      <c r="F19" s="211" t="s">
        <v>1645</v>
      </c>
      <c r="G19" s="145" t="s">
        <v>310</v>
      </c>
      <c r="H19" s="211" t="s">
        <v>1018</v>
      </c>
      <c r="I19" s="145" t="s">
        <v>267</v>
      </c>
      <c r="J19" s="211" t="s">
        <v>1597</v>
      </c>
      <c r="K19" s="75" t="s">
        <v>1544</v>
      </c>
      <c r="L19" s="152" t="b">
        <v>0</v>
      </c>
      <c r="M19" s="152" t="b">
        <v>0</v>
      </c>
      <c r="N19" s="217"/>
      <c r="O19" s="213" t="s">
        <v>1554</v>
      </c>
      <c r="P19" s="47" t="b">
        <v>0</v>
      </c>
      <c r="Q19" s="47" t="b">
        <v>0</v>
      </c>
      <c r="R19" s="214"/>
      <c r="S19" s="77">
        <v>0.0</v>
      </c>
      <c r="T19" s="214"/>
      <c r="U19" s="215"/>
      <c r="V19" s="215"/>
      <c r="W19" s="214"/>
      <c r="X19" s="218"/>
      <c r="Y19" s="77">
        <v>80000.0</v>
      </c>
      <c r="Z19" s="77"/>
    </row>
    <row r="20">
      <c r="A20" s="145" t="s">
        <v>1439</v>
      </c>
      <c r="B20" s="145" t="s">
        <v>1647</v>
      </c>
      <c r="C20" s="145" t="s">
        <v>1543</v>
      </c>
      <c r="D20" s="75" t="s">
        <v>1544</v>
      </c>
      <c r="E20" s="75" t="s">
        <v>1544</v>
      </c>
      <c r="F20" s="211" t="s">
        <v>1649</v>
      </c>
      <c r="G20" s="145" t="s">
        <v>1650</v>
      </c>
      <c r="H20" s="211" t="s">
        <v>1018</v>
      </c>
      <c r="I20" s="145" t="s">
        <v>132</v>
      </c>
      <c r="J20" s="211" t="s">
        <v>1549</v>
      </c>
      <c r="K20" s="75" t="s">
        <v>1544</v>
      </c>
      <c r="L20" s="152" t="b">
        <v>1</v>
      </c>
      <c r="M20" s="152" t="b">
        <v>0</v>
      </c>
      <c r="N20" s="212" t="s">
        <v>1651</v>
      </c>
      <c r="O20" s="213" t="s">
        <v>1554</v>
      </c>
      <c r="P20" s="47" t="b">
        <v>1</v>
      </c>
      <c r="Q20" s="47" t="b">
        <v>0</v>
      </c>
      <c r="R20" s="214"/>
      <c r="S20" s="77">
        <v>0.0</v>
      </c>
      <c r="T20" s="76" t="s">
        <v>1176</v>
      </c>
      <c r="U20" s="78">
        <v>1.1647362E7</v>
      </c>
      <c r="V20" s="215"/>
      <c r="W20" s="77">
        <v>1.2E7</v>
      </c>
      <c r="X20" s="216">
        <v>96000.0</v>
      </c>
      <c r="Y20" s="77">
        <v>32000.0</v>
      </c>
      <c r="Z20" s="77"/>
    </row>
    <row r="21">
      <c r="A21" s="145" t="s">
        <v>645</v>
      </c>
      <c r="B21" s="145" t="s">
        <v>1653</v>
      </c>
      <c r="C21" s="145" t="s">
        <v>1543</v>
      </c>
      <c r="D21" s="75" t="s">
        <v>1544</v>
      </c>
      <c r="E21" s="75" t="s">
        <v>1544</v>
      </c>
      <c r="F21" s="211" t="s">
        <v>1557</v>
      </c>
      <c r="G21" s="145" t="s">
        <v>1655</v>
      </c>
      <c r="H21" s="211" t="s">
        <v>625</v>
      </c>
      <c r="I21" s="145" t="s">
        <v>624</v>
      </c>
      <c r="J21" s="211" t="s">
        <v>1561</v>
      </c>
      <c r="K21" s="75" t="s">
        <v>1544</v>
      </c>
      <c r="L21" s="152" t="b">
        <v>1</v>
      </c>
      <c r="M21" s="152" t="b">
        <v>0</v>
      </c>
      <c r="N21" s="212" t="s">
        <v>1656</v>
      </c>
      <c r="O21" s="213" t="s">
        <v>1554</v>
      </c>
      <c r="P21" s="47" t="b">
        <v>1</v>
      </c>
      <c r="Q21" s="47" t="b">
        <v>0</v>
      </c>
      <c r="R21" s="214"/>
      <c r="S21" s="77">
        <v>0.0</v>
      </c>
      <c r="T21" s="76" t="s">
        <v>1179</v>
      </c>
      <c r="U21" s="78">
        <v>2.1719977E7</v>
      </c>
      <c r="V21" s="215"/>
      <c r="W21" s="77">
        <v>2.2E7</v>
      </c>
      <c r="X21" s="216">
        <v>2.2E9</v>
      </c>
      <c r="Y21" s="216">
        <v>6000000.0</v>
      </c>
      <c r="Z21" s="77"/>
    </row>
    <row r="22">
      <c r="A22" s="145" t="s">
        <v>233</v>
      </c>
      <c r="B22" s="145" t="s">
        <v>1658</v>
      </c>
      <c r="C22" s="145" t="s">
        <v>1543</v>
      </c>
      <c r="D22" s="75" t="s">
        <v>1544</v>
      </c>
      <c r="E22" s="75" t="s">
        <v>1544</v>
      </c>
      <c r="F22" s="211" t="s">
        <v>1645</v>
      </c>
      <c r="G22" s="145" t="s">
        <v>1659</v>
      </c>
      <c r="H22" s="211" t="s">
        <v>1018</v>
      </c>
      <c r="I22" s="145" t="s">
        <v>92</v>
      </c>
      <c r="J22" s="211" t="s">
        <v>1597</v>
      </c>
      <c r="K22" s="75" t="s">
        <v>1544</v>
      </c>
      <c r="L22" s="152" t="b">
        <v>1</v>
      </c>
      <c r="M22" s="152" t="b">
        <v>0</v>
      </c>
      <c r="N22" s="212" t="s">
        <v>1661</v>
      </c>
      <c r="O22" s="213" t="s">
        <v>1554</v>
      </c>
      <c r="P22" s="47" t="b">
        <v>1</v>
      </c>
      <c r="Q22" s="47" t="b">
        <v>0</v>
      </c>
      <c r="R22" s="214"/>
      <c r="S22" s="77">
        <v>0.0</v>
      </c>
      <c r="T22" s="76" t="s">
        <v>1179</v>
      </c>
      <c r="U22" s="78">
        <v>2.4338966E7</v>
      </c>
      <c r="V22" s="215"/>
      <c r="W22" s="77">
        <v>2.4E7</v>
      </c>
      <c r="X22" s="77">
        <v>192000.0</v>
      </c>
      <c r="Y22" s="77">
        <v>80000.0</v>
      </c>
      <c r="Z22" s="77"/>
    </row>
    <row r="23">
      <c r="A23" s="145" t="s">
        <v>527</v>
      </c>
      <c r="B23" s="145" t="s">
        <v>1605</v>
      </c>
      <c r="C23" s="145" t="s">
        <v>1543</v>
      </c>
      <c r="D23" s="75" t="s">
        <v>1544</v>
      </c>
      <c r="E23" s="75" t="s">
        <v>1544</v>
      </c>
      <c r="F23" s="211" t="s">
        <v>1666</v>
      </c>
      <c r="G23" s="145" t="s">
        <v>890</v>
      </c>
      <c r="H23" s="211" t="s">
        <v>77</v>
      </c>
      <c r="I23" s="145" t="s">
        <v>329</v>
      </c>
      <c r="J23" s="211" t="s">
        <v>1667</v>
      </c>
      <c r="K23" s="75" t="s">
        <v>1544</v>
      </c>
      <c r="L23" s="152" t="b">
        <v>1</v>
      </c>
      <c r="M23" s="152" t="b">
        <v>0</v>
      </c>
      <c r="N23" s="212" t="s">
        <v>1669</v>
      </c>
      <c r="O23" s="213" t="s">
        <v>1554</v>
      </c>
      <c r="P23" s="47" t="b">
        <v>1</v>
      </c>
      <c r="Q23" s="47" t="b">
        <v>0</v>
      </c>
      <c r="R23" s="214"/>
      <c r="S23" s="77">
        <v>0.0</v>
      </c>
      <c r="T23" s="76" t="s">
        <v>1156</v>
      </c>
      <c r="U23" s="78">
        <v>1.2371793E7</v>
      </c>
      <c r="V23" s="215"/>
      <c r="W23" s="77">
        <v>1.2E7</v>
      </c>
      <c r="X23" s="77">
        <v>120000.0</v>
      </c>
      <c r="Y23" s="77">
        <v>3600000.0</v>
      </c>
      <c r="Z23" s="77"/>
    </row>
    <row r="24">
      <c r="A24" s="145" t="s">
        <v>443</v>
      </c>
      <c r="B24" s="145" t="s">
        <v>1632</v>
      </c>
      <c r="C24" s="145" t="s">
        <v>1543</v>
      </c>
      <c r="D24" s="75" t="s">
        <v>1544</v>
      </c>
      <c r="E24" s="75" t="s">
        <v>1544</v>
      </c>
      <c r="F24" s="211" t="s">
        <v>1575</v>
      </c>
      <c r="G24" s="145" t="s">
        <v>1672</v>
      </c>
      <c r="H24" s="211" t="s">
        <v>77</v>
      </c>
      <c r="I24" s="145" t="s">
        <v>325</v>
      </c>
      <c r="J24" s="211" t="s">
        <v>1577</v>
      </c>
      <c r="K24" s="75" t="s">
        <v>1544</v>
      </c>
      <c r="L24" s="152" t="b">
        <v>1</v>
      </c>
      <c r="M24" s="152" t="b">
        <v>0</v>
      </c>
      <c r="N24" s="212" t="s">
        <v>1674</v>
      </c>
      <c r="O24" s="213" t="s">
        <v>1554</v>
      </c>
      <c r="P24" s="47" t="b">
        <v>1</v>
      </c>
      <c r="Q24" s="47" t="b">
        <v>0</v>
      </c>
      <c r="R24" s="214"/>
      <c r="S24" s="77">
        <v>0.0</v>
      </c>
      <c r="T24" s="76" t="s">
        <v>1176</v>
      </c>
      <c r="U24" s="78">
        <v>6164117.0</v>
      </c>
      <c r="V24" s="215"/>
      <c r="W24" s="77">
        <v>6000000.0</v>
      </c>
      <c r="X24" s="77">
        <v>60000.0</v>
      </c>
      <c r="Y24" s="77">
        <v>20000.0</v>
      </c>
      <c r="Z24" s="77"/>
    </row>
    <row r="25">
      <c r="A25" s="145" t="s">
        <v>544</v>
      </c>
      <c r="B25" s="145" t="s">
        <v>1605</v>
      </c>
      <c r="C25" s="145" t="s">
        <v>1543</v>
      </c>
      <c r="D25" s="75" t="s">
        <v>1544</v>
      </c>
      <c r="E25" s="75" t="s">
        <v>1544</v>
      </c>
      <c r="F25" s="211" t="s">
        <v>1607</v>
      </c>
      <c r="G25" s="145" t="s">
        <v>858</v>
      </c>
      <c r="H25" s="211" t="s">
        <v>77</v>
      </c>
      <c r="I25" s="145" t="s">
        <v>329</v>
      </c>
      <c r="J25" s="211" t="s">
        <v>1609</v>
      </c>
      <c r="K25" s="75" t="s">
        <v>1544</v>
      </c>
      <c r="L25" s="152" t="b">
        <v>1</v>
      </c>
      <c r="M25" s="152" t="b">
        <v>0</v>
      </c>
      <c r="N25" s="212" t="s">
        <v>1678</v>
      </c>
      <c r="O25" s="213" t="s">
        <v>1554</v>
      </c>
      <c r="P25" s="47" t="b">
        <v>1</v>
      </c>
      <c r="Q25" s="47" t="b">
        <v>0</v>
      </c>
      <c r="R25" s="214"/>
      <c r="S25" s="77">
        <v>0.0</v>
      </c>
      <c r="T25" s="76" t="s">
        <v>1156</v>
      </c>
      <c r="U25" s="78">
        <v>8286483.0</v>
      </c>
      <c r="V25" s="215"/>
      <c r="W25" s="77">
        <v>8000000.0</v>
      </c>
      <c r="X25" s="77">
        <v>80000.0</v>
      </c>
      <c r="Y25" s="77">
        <v>2400000.0</v>
      </c>
      <c r="Z25" s="77"/>
    </row>
    <row r="26">
      <c r="A26" s="145" t="s">
        <v>402</v>
      </c>
      <c r="B26" s="145" t="s">
        <v>1679</v>
      </c>
      <c r="C26" s="145" t="s">
        <v>1543</v>
      </c>
      <c r="D26" s="75" t="s">
        <v>1544</v>
      </c>
      <c r="E26" s="75" t="s">
        <v>1544</v>
      </c>
      <c r="F26" s="211" t="s">
        <v>1547</v>
      </c>
      <c r="G26" s="145" t="s">
        <v>1681</v>
      </c>
      <c r="H26" s="211" t="s">
        <v>77</v>
      </c>
      <c r="I26" s="145" t="s">
        <v>174</v>
      </c>
      <c r="J26" s="211" t="s">
        <v>1549</v>
      </c>
      <c r="K26" s="75" t="s">
        <v>1544</v>
      </c>
      <c r="L26" s="152" t="b">
        <v>1</v>
      </c>
      <c r="M26" s="152" t="b">
        <v>0</v>
      </c>
      <c r="N26" s="212" t="s">
        <v>1682</v>
      </c>
      <c r="O26" s="213" t="s">
        <v>1554</v>
      </c>
      <c r="P26" s="47" t="b">
        <v>1</v>
      </c>
      <c r="Q26" s="47" t="b">
        <v>0</v>
      </c>
      <c r="R26" s="214"/>
      <c r="S26" s="77">
        <v>0.0</v>
      </c>
      <c r="T26" s="76" t="s">
        <v>1176</v>
      </c>
      <c r="U26" s="78">
        <v>1.1286434E7</v>
      </c>
      <c r="V26" s="215"/>
      <c r="W26" s="77">
        <v>1.2E7</v>
      </c>
      <c r="X26" s="77">
        <v>120000.0</v>
      </c>
      <c r="Y26" s="77">
        <v>40000.0</v>
      </c>
      <c r="Z26" s="77"/>
    </row>
    <row r="27">
      <c r="A27" s="145" t="s">
        <v>314</v>
      </c>
      <c r="B27" s="145" t="s">
        <v>1585</v>
      </c>
      <c r="C27" s="145" t="s">
        <v>1543</v>
      </c>
      <c r="D27" s="75" t="s">
        <v>1544</v>
      </c>
      <c r="E27" s="75" t="s">
        <v>1544</v>
      </c>
      <c r="F27" s="211" t="s">
        <v>1684</v>
      </c>
      <c r="G27" s="145" t="s">
        <v>830</v>
      </c>
      <c r="H27" s="211" t="s">
        <v>77</v>
      </c>
      <c r="I27" s="145" t="s">
        <v>140</v>
      </c>
      <c r="J27" s="211" t="s">
        <v>1609</v>
      </c>
      <c r="K27" s="75" t="s">
        <v>1544</v>
      </c>
      <c r="L27" s="152" t="b">
        <v>1</v>
      </c>
      <c r="M27" s="152" t="b">
        <v>0</v>
      </c>
      <c r="N27" s="212" t="s">
        <v>1688</v>
      </c>
      <c r="O27" s="213" t="s">
        <v>1554</v>
      </c>
      <c r="P27" s="47" t="b">
        <v>1</v>
      </c>
      <c r="Q27" s="47" t="b">
        <v>0</v>
      </c>
      <c r="R27" s="214"/>
      <c r="S27" s="77">
        <v>0.0</v>
      </c>
      <c r="T27" s="76" t="s">
        <v>1162</v>
      </c>
      <c r="U27" s="78">
        <v>1.2735791E7</v>
      </c>
      <c r="V27" s="215"/>
      <c r="W27" s="77">
        <v>1.2E7</v>
      </c>
      <c r="X27" s="77">
        <v>120000.0</v>
      </c>
      <c r="Y27" s="77">
        <v>163177.0</v>
      </c>
      <c r="Z27" s="77"/>
    </row>
    <row r="28">
      <c r="A28" s="145" t="s">
        <v>614</v>
      </c>
      <c r="B28" s="145" t="s">
        <v>1689</v>
      </c>
      <c r="C28" s="145" t="s">
        <v>1543</v>
      </c>
      <c r="D28" s="75" t="s">
        <v>1544</v>
      </c>
      <c r="E28" s="75" t="s">
        <v>1544</v>
      </c>
      <c r="F28" s="211" t="s">
        <v>1690</v>
      </c>
      <c r="G28" s="145" t="s">
        <v>1691</v>
      </c>
      <c r="H28" s="211" t="s">
        <v>586</v>
      </c>
      <c r="I28" s="145" t="s">
        <v>162</v>
      </c>
      <c r="J28" s="211" t="s">
        <v>1597</v>
      </c>
      <c r="K28" s="75" t="s">
        <v>1544</v>
      </c>
      <c r="L28" s="152" t="b">
        <v>1</v>
      </c>
      <c r="M28" s="152" t="b">
        <v>0</v>
      </c>
      <c r="N28" s="212" t="s">
        <v>1693</v>
      </c>
      <c r="O28" s="213" t="s">
        <v>1554</v>
      </c>
      <c r="P28" s="47" t="b">
        <v>1</v>
      </c>
      <c r="Q28" s="47" t="b">
        <v>0</v>
      </c>
      <c r="R28" s="214"/>
      <c r="S28" s="77">
        <v>0.0</v>
      </c>
      <c r="T28" s="76" t="s">
        <v>1179</v>
      </c>
      <c r="U28" s="78">
        <v>2.3040263E7</v>
      </c>
      <c r="V28" s="215"/>
      <c r="W28" s="77">
        <v>2.4E7</v>
      </c>
      <c r="X28" s="77">
        <v>168000.0</v>
      </c>
      <c r="Y28" s="77">
        <v>100000.0</v>
      </c>
      <c r="Z28" s="77"/>
    </row>
    <row r="29">
      <c r="A29" s="145" t="s">
        <v>597</v>
      </c>
      <c r="B29" s="145" t="s">
        <v>1694</v>
      </c>
      <c r="C29" s="145" t="s">
        <v>1543</v>
      </c>
      <c r="D29" s="75" t="s">
        <v>1544</v>
      </c>
      <c r="E29" s="75" t="s">
        <v>1544</v>
      </c>
      <c r="F29" s="211" t="s">
        <v>1690</v>
      </c>
      <c r="G29" s="145" t="s">
        <v>1696</v>
      </c>
      <c r="H29" s="211" t="s">
        <v>586</v>
      </c>
      <c r="I29" s="145" t="s">
        <v>936</v>
      </c>
      <c r="J29" s="211" t="s">
        <v>1597</v>
      </c>
      <c r="K29" s="75" t="s">
        <v>1544</v>
      </c>
      <c r="L29" s="152" t="b">
        <v>1</v>
      </c>
      <c r="M29" s="152" t="b">
        <v>0</v>
      </c>
      <c r="N29" s="212" t="s">
        <v>1697</v>
      </c>
      <c r="O29" s="213" t="s">
        <v>1554</v>
      </c>
      <c r="P29" s="47" t="b">
        <v>1</v>
      </c>
      <c r="Q29" s="47" t="b">
        <v>0</v>
      </c>
      <c r="R29" s="214"/>
      <c r="S29" s="77">
        <v>0.0</v>
      </c>
      <c r="T29" s="76" t="s">
        <v>1176</v>
      </c>
      <c r="U29" s="78">
        <v>3.6560968E7</v>
      </c>
      <c r="V29" s="215"/>
      <c r="W29" s="77">
        <v>3.6E7</v>
      </c>
      <c r="X29" s="77">
        <v>252000.0</v>
      </c>
      <c r="Y29" s="77">
        <v>100000.0</v>
      </c>
      <c r="Z29" s="77"/>
    </row>
    <row r="30">
      <c r="A30" s="145" t="s">
        <v>595</v>
      </c>
      <c r="B30" s="145" t="s">
        <v>1689</v>
      </c>
      <c r="C30" s="145" t="s">
        <v>1543</v>
      </c>
      <c r="D30" s="75" t="s">
        <v>1544</v>
      </c>
      <c r="E30" s="75" t="s">
        <v>1544</v>
      </c>
      <c r="F30" s="211" t="s">
        <v>1690</v>
      </c>
      <c r="G30" s="145" t="s">
        <v>1702</v>
      </c>
      <c r="H30" s="211" t="s">
        <v>586</v>
      </c>
      <c r="I30" s="145" t="s">
        <v>162</v>
      </c>
      <c r="J30" s="211" t="s">
        <v>1597</v>
      </c>
      <c r="K30" s="75" t="s">
        <v>1544</v>
      </c>
      <c r="L30" s="152" t="b">
        <v>1</v>
      </c>
      <c r="M30" s="152" t="b">
        <v>0</v>
      </c>
      <c r="N30" s="212" t="s">
        <v>1704</v>
      </c>
      <c r="O30" s="213" t="s">
        <v>1554</v>
      </c>
      <c r="P30" s="47" t="b">
        <v>1</v>
      </c>
      <c r="Q30" s="47" t="b">
        <v>0</v>
      </c>
      <c r="R30" s="214"/>
      <c r="S30" s="77">
        <v>0.0</v>
      </c>
      <c r="T30" s="76" t="s">
        <v>1176</v>
      </c>
      <c r="U30" s="78">
        <v>3.5167489E7</v>
      </c>
      <c r="V30" s="215"/>
      <c r="W30" s="77">
        <v>3.6E7</v>
      </c>
      <c r="X30" s="77">
        <v>252000.0</v>
      </c>
      <c r="Y30" s="77">
        <v>100000.0</v>
      </c>
      <c r="Z30" s="77"/>
    </row>
    <row r="31">
      <c r="A31" s="145" t="s">
        <v>1705</v>
      </c>
      <c r="B31" s="145" t="s">
        <v>1707</v>
      </c>
      <c r="C31" s="145" t="s">
        <v>1543</v>
      </c>
      <c r="D31" s="75" t="s">
        <v>1544</v>
      </c>
      <c r="E31" s="75" t="s">
        <v>1544</v>
      </c>
      <c r="F31" s="211" t="s">
        <v>1708</v>
      </c>
      <c r="G31" s="145" t="s">
        <v>1709</v>
      </c>
      <c r="H31" s="211" t="s">
        <v>77</v>
      </c>
      <c r="I31" s="145" t="s">
        <v>327</v>
      </c>
      <c r="J31" s="211" t="s">
        <v>1667</v>
      </c>
      <c r="K31" s="75" t="s">
        <v>1544</v>
      </c>
      <c r="L31" s="152" t="b">
        <v>1</v>
      </c>
      <c r="M31" s="152" t="b">
        <v>0</v>
      </c>
      <c r="N31" s="212" t="s">
        <v>1710</v>
      </c>
      <c r="O31" s="213" t="s">
        <v>1554</v>
      </c>
      <c r="P31" s="47" t="b">
        <v>1</v>
      </c>
      <c r="Q31" s="47" t="b">
        <v>0</v>
      </c>
      <c r="R31" s="214"/>
      <c r="S31" s="77">
        <v>0.0</v>
      </c>
      <c r="T31" s="76" t="s">
        <v>1179</v>
      </c>
      <c r="U31" s="78">
        <v>2.8020462E7</v>
      </c>
      <c r="V31" s="215"/>
      <c r="W31" s="77">
        <v>2.8E7</v>
      </c>
      <c r="X31" s="77">
        <v>280000.0</v>
      </c>
      <c r="Y31" s="77">
        <v>120000.0</v>
      </c>
      <c r="Z31" s="77"/>
    </row>
    <row r="32">
      <c r="A32" s="145" t="s">
        <v>1712</v>
      </c>
      <c r="B32" s="145" t="s">
        <v>1712</v>
      </c>
      <c r="C32" s="145" t="s">
        <v>1266</v>
      </c>
      <c r="D32" s="75" t="s">
        <v>1601</v>
      </c>
      <c r="E32" s="75" t="s">
        <v>1544</v>
      </c>
      <c r="F32" s="211" t="s">
        <v>87</v>
      </c>
      <c r="G32" s="145" t="s">
        <v>1713</v>
      </c>
      <c r="H32" s="211" t="s">
        <v>77</v>
      </c>
      <c r="I32" s="145" t="s">
        <v>249</v>
      </c>
      <c r="J32" s="211" t="s">
        <v>87</v>
      </c>
      <c r="K32" s="75" t="s">
        <v>1544</v>
      </c>
      <c r="L32" s="152" t="b">
        <v>0</v>
      </c>
      <c r="M32" s="152" t="b">
        <v>0</v>
      </c>
      <c r="N32" s="217"/>
      <c r="O32" s="213" t="s">
        <v>1554</v>
      </c>
      <c r="P32" s="47" t="b">
        <v>0</v>
      </c>
      <c r="Q32" s="47" t="b">
        <v>0</v>
      </c>
      <c r="R32" s="214"/>
      <c r="S32" s="77">
        <v>0.0</v>
      </c>
      <c r="T32" s="214"/>
      <c r="U32" s="215"/>
      <c r="V32" s="215"/>
      <c r="W32" s="214"/>
      <c r="X32" s="214"/>
      <c r="Y32" s="77">
        <v>0.0</v>
      </c>
      <c r="Z32" s="77"/>
    </row>
    <row r="33">
      <c r="A33" s="145" t="s">
        <v>205</v>
      </c>
      <c r="B33" s="145" t="s">
        <v>1647</v>
      </c>
      <c r="C33" s="145" t="s">
        <v>1543</v>
      </c>
      <c r="D33" s="75" t="s">
        <v>1544</v>
      </c>
      <c r="E33" s="75" t="s">
        <v>1544</v>
      </c>
      <c r="F33" s="211" t="s">
        <v>1649</v>
      </c>
      <c r="G33" s="145" t="s">
        <v>1716</v>
      </c>
      <c r="H33" s="211" t="s">
        <v>1018</v>
      </c>
      <c r="I33" s="145" t="s">
        <v>132</v>
      </c>
      <c r="J33" s="211" t="s">
        <v>1549</v>
      </c>
      <c r="K33" s="75" t="s">
        <v>1544</v>
      </c>
      <c r="L33" s="152" t="b">
        <v>1</v>
      </c>
      <c r="M33" s="152" t="b">
        <v>0</v>
      </c>
      <c r="N33" s="212" t="s">
        <v>1717</v>
      </c>
      <c r="O33" s="213" t="s">
        <v>1554</v>
      </c>
      <c r="P33" s="47" t="b">
        <v>1</v>
      </c>
      <c r="Q33" s="47" t="b">
        <v>0</v>
      </c>
      <c r="R33" s="214"/>
      <c r="S33" s="77">
        <v>0.0</v>
      </c>
      <c r="T33" s="76" t="s">
        <v>1176</v>
      </c>
      <c r="U33" s="78">
        <v>1.1136561E7</v>
      </c>
      <c r="V33" s="215"/>
      <c r="W33" s="77">
        <v>1.2E7</v>
      </c>
      <c r="X33" s="77">
        <v>96000.0</v>
      </c>
      <c r="Y33" s="77">
        <v>32000.0</v>
      </c>
      <c r="Z33" s="77"/>
    </row>
    <row r="34">
      <c r="A34" s="145" t="s">
        <v>1295</v>
      </c>
      <c r="B34" s="145" t="s">
        <v>1720</v>
      </c>
      <c r="C34" s="145" t="s">
        <v>1543</v>
      </c>
      <c r="D34" s="75" t="s">
        <v>1544</v>
      </c>
      <c r="E34" s="75" t="s">
        <v>1544</v>
      </c>
      <c r="F34" s="211" t="s">
        <v>1721</v>
      </c>
      <c r="G34" s="145" t="s">
        <v>1296</v>
      </c>
      <c r="H34" s="211" t="s">
        <v>1018</v>
      </c>
      <c r="I34" s="145" t="s">
        <v>83</v>
      </c>
      <c r="J34" s="211" t="s">
        <v>1609</v>
      </c>
      <c r="K34" s="75" t="s">
        <v>1544</v>
      </c>
      <c r="L34" s="152" t="b">
        <v>1</v>
      </c>
      <c r="M34" s="152" t="b">
        <v>0</v>
      </c>
      <c r="N34" s="212" t="s">
        <v>1722</v>
      </c>
      <c r="O34" s="213" t="s">
        <v>1554</v>
      </c>
      <c r="P34" s="47" t="b">
        <v>1</v>
      </c>
      <c r="Q34" s="47" t="b">
        <v>0</v>
      </c>
      <c r="R34" s="214"/>
      <c r="S34" s="77">
        <v>0.0</v>
      </c>
      <c r="T34" s="76" t="s">
        <v>1176</v>
      </c>
      <c r="U34" s="78">
        <v>2.038368E7</v>
      </c>
      <c r="V34" s="215"/>
      <c r="W34" s="77">
        <v>2.0E7</v>
      </c>
      <c r="X34" s="77">
        <v>160000.0</v>
      </c>
      <c r="Y34" s="77">
        <v>64000.0</v>
      </c>
      <c r="Z34" s="77"/>
    </row>
    <row r="35">
      <c r="A35" s="145" t="s">
        <v>326</v>
      </c>
      <c r="B35" s="145" t="s">
        <v>1605</v>
      </c>
      <c r="C35" s="145" t="s">
        <v>1543</v>
      </c>
      <c r="D35" s="75" t="s">
        <v>1544</v>
      </c>
      <c r="E35" s="75" t="s">
        <v>1544</v>
      </c>
      <c r="F35" s="211" t="s">
        <v>1727</v>
      </c>
      <c r="G35" s="145" t="s">
        <v>1728</v>
      </c>
      <c r="H35" s="211" t="s">
        <v>77</v>
      </c>
      <c r="I35" s="145" t="s">
        <v>329</v>
      </c>
      <c r="J35" s="211" t="s">
        <v>1609</v>
      </c>
      <c r="K35" s="75" t="s">
        <v>1544</v>
      </c>
      <c r="L35" s="152" t="b">
        <v>1</v>
      </c>
      <c r="M35" s="152" t="b">
        <v>0</v>
      </c>
      <c r="N35" s="212" t="s">
        <v>1730</v>
      </c>
      <c r="O35" s="213" t="s">
        <v>1554</v>
      </c>
      <c r="P35" s="47" t="b">
        <v>1</v>
      </c>
      <c r="Q35" s="47" t="b">
        <v>0</v>
      </c>
      <c r="R35" s="214"/>
      <c r="S35" s="77">
        <v>0.0</v>
      </c>
      <c r="T35" s="76" t="s">
        <v>1162</v>
      </c>
      <c r="U35" s="78">
        <v>1.6802171E7</v>
      </c>
      <c r="V35" s="215"/>
      <c r="W35" s="77">
        <v>1.6E7</v>
      </c>
      <c r="X35" s="77">
        <v>160000.0</v>
      </c>
      <c r="Y35" s="77">
        <v>163086.0</v>
      </c>
      <c r="Z35" s="77"/>
    </row>
    <row r="36">
      <c r="A36" s="145" t="s">
        <v>468</v>
      </c>
      <c r="B36" s="145" t="s">
        <v>1636</v>
      </c>
      <c r="C36" s="145" t="s">
        <v>1543</v>
      </c>
      <c r="D36" s="75" t="s">
        <v>1544</v>
      </c>
      <c r="E36" s="75" t="s">
        <v>1544</v>
      </c>
      <c r="F36" s="211" t="s">
        <v>1575</v>
      </c>
      <c r="G36" s="145" t="s">
        <v>1733</v>
      </c>
      <c r="H36" s="211" t="s">
        <v>77</v>
      </c>
      <c r="I36" s="145" t="s">
        <v>413</v>
      </c>
      <c r="J36" s="211" t="s">
        <v>1577</v>
      </c>
      <c r="K36" s="75" t="s">
        <v>1544</v>
      </c>
      <c r="L36" s="152" t="b">
        <v>1</v>
      </c>
      <c r="M36" s="152" t="b">
        <v>0</v>
      </c>
      <c r="N36" s="212" t="s">
        <v>1734</v>
      </c>
      <c r="O36" s="213" t="s">
        <v>1554</v>
      </c>
      <c r="P36" s="47" t="b">
        <v>1</v>
      </c>
      <c r="Q36" s="47" t="b">
        <v>0</v>
      </c>
      <c r="R36" s="214"/>
      <c r="S36" s="77">
        <v>0.0</v>
      </c>
      <c r="T36" s="76" t="s">
        <v>1176</v>
      </c>
      <c r="U36" s="78">
        <v>6648213.0</v>
      </c>
      <c r="V36" s="215"/>
      <c r="W36" s="77">
        <v>6000000.0</v>
      </c>
      <c r="X36" s="77">
        <v>60000.0</v>
      </c>
      <c r="Y36" s="77">
        <v>20000.0</v>
      </c>
      <c r="Z36" s="77"/>
    </row>
    <row r="37">
      <c r="A37" s="145" t="s">
        <v>421</v>
      </c>
      <c r="B37" s="145" t="s">
        <v>1595</v>
      </c>
      <c r="C37" s="145" t="s">
        <v>1543</v>
      </c>
      <c r="D37" s="75" t="s">
        <v>1544</v>
      </c>
      <c r="E37" s="75" t="s">
        <v>1544</v>
      </c>
      <c r="F37" s="211" t="s">
        <v>1736</v>
      </c>
      <c r="G37" s="145" t="s">
        <v>756</v>
      </c>
      <c r="H37" s="211" t="s">
        <v>1018</v>
      </c>
      <c r="I37" s="145" t="s">
        <v>113</v>
      </c>
      <c r="J37" s="211" t="s">
        <v>1639</v>
      </c>
      <c r="K37" s="75" t="s">
        <v>1544</v>
      </c>
      <c r="L37" s="152" t="b">
        <v>1</v>
      </c>
      <c r="M37" s="152" t="b">
        <v>0</v>
      </c>
      <c r="N37" s="212" t="s">
        <v>1738</v>
      </c>
      <c r="O37" s="213" t="s">
        <v>1554</v>
      </c>
      <c r="P37" s="47" t="b">
        <v>1</v>
      </c>
      <c r="Q37" s="47" t="b">
        <v>0</v>
      </c>
      <c r="R37" s="214"/>
      <c r="S37" s="77">
        <v>0.0</v>
      </c>
      <c r="T37" s="76" t="s">
        <v>1162</v>
      </c>
      <c r="U37" s="78">
        <v>1.0783336E7</v>
      </c>
      <c r="V37" s="215"/>
      <c r="W37" s="77">
        <v>1.0E7</v>
      </c>
      <c r="X37" s="77">
        <v>80000.0</v>
      </c>
      <c r="Y37" s="77">
        <v>111042.0</v>
      </c>
      <c r="Z37" s="77"/>
    </row>
    <row r="38">
      <c r="A38" s="145" t="s">
        <v>1400</v>
      </c>
      <c r="B38" s="145" t="s">
        <v>1707</v>
      </c>
      <c r="C38" s="145" t="s">
        <v>1543</v>
      </c>
      <c r="D38" s="75" t="s">
        <v>1544</v>
      </c>
      <c r="E38" s="75" t="s">
        <v>1544</v>
      </c>
      <c r="F38" s="211" t="s">
        <v>1575</v>
      </c>
      <c r="G38" s="145" t="s">
        <v>1740</v>
      </c>
      <c r="H38" s="211" t="s">
        <v>77</v>
      </c>
      <c r="I38" s="145" t="s">
        <v>327</v>
      </c>
      <c r="J38" s="211" t="s">
        <v>1577</v>
      </c>
      <c r="K38" s="75" t="s">
        <v>1544</v>
      </c>
      <c r="L38" s="152" t="b">
        <v>1</v>
      </c>
      <c r="M38" s="152" t="b">
        <v>0</v>
      </c>
      <c r="N38" s="212" t="s">
        <v>1743</v>
      </c>
      <c r="O38" s="213" t="s">
        <v>1554</v>
      </c>
      <c r="P38" s="47" t="b">
        <v>1</v>
      </c>
      <c r="Q38" s="47" t="b">
        <v>0</v>
      </c>
      <c r="R38" s="214"/>
      <c r="S38" s="77">
        <v>0.0</v>
      </c>
      <c r="T38" s="76" t="s">
        <v>1176</v>
      </c>
      <c r="U38" s="78">
        <v>6030267.0</v>
      </c>
      <c r="V38" s="215"/>
      <c r="W38" s="77">
        <v>6000000.0</v>
      </c>
      <c r="X38" s="77">
        <v>60000.0</v>
      </c>
      <c r="Y38" s="77">
        <v>20000.0</v>
      </c>
      <c r="Z38" s="77"/>
    </row>
    <row r="39">
      <c r="A39" s="145" t="s">
        <v>531</v>
      </c>
      <c r="B39" s="145" t="s">
        <v>1746</v>
      </c>
      <c r="C39" s="145" t="s">
        <v>1543</v>
      </c>
      <c r="D39" s="75" t="s">
        <v>1544</v>
      </c>
      <c r="E39" s="75" t="s">
        <v>1544</v>
      </c>
      <c r="F39" s="211" t="s">
        <v>1547</v>
      </c>
      <c r="G39" s="145" t="s">
        <v>1747</v>
      </c>
      <c r="H39" s="211" t="s">
        <v>77</v>
      </c>
      <c r="I39" s="145" t="s">
        <v>338</v>
      </c>
      <c r="J39" s="211" t="s">
        <v>1549</v>
      </c>
      <c r="K39" s="75" t="s">
        <v>1544</v>
      </c>
      <c r="L39" s="152" t="b">
        <v>1</v>
      </c>
      <c r="M39" s="152" t="b">
        <v>0</v>
      </c>
      <c r="N39" s="212" t="s">
        <v>1748</v>
      </c>
      <c r="O39" s="213" t="s">
        <v>1554</v>
      </c>
      <c r="P39" s="47" t="b">
        <v>1</v>
      </c>
      <c r="Q39" s="47" t="b">
        <v>0</v>
      </c>
      <c r="R39" s="214"/>
      <c r="S39" s="77">
        <v>0.0</v>
      </c>
      <c r="T39" s="76" t="s">
        <v>1176</v>
      </c>
      <c r="U39" s="78">
        <v>8862129.0</v>
      </c>
      <c r="V39" s="215"/>
      <c r="W39" s="77">
        <v>8000000.0</v>
      </c>
      <c r="X39" s="77">
        <v>80000.0</v>
      </c>
      <c r="Y39" s="77">
        <v>40000.0</v>
      </c>
      <c r="Z39" s="77"/>
    </row>
    <row r="40">
      <c r="A40" s="145" t="s">
        <v>379</v>
      </c>
      <c r="B40" s="145" t="s">
        <v>1751</v>
      </c>
      <c r="C40" s="145" t="s">
        <v>1543</v>
      </c>
      <c r="D40" s="75" t="s">
        <v>1544</v>
      </c>
      <c r="E40" s="75" t="s">
        <v>1544</v>
      </c>
      <c r="F40" s="211" t="s">
        <v>1649</v>
      </c>
      <c r="G40" s="145" t="s">
        <v>1434</v>
      </c>
      <c r="H40" s="211" t="s">
        <v>1018</v>
      </c>
      <c r="I40" s="145" t="s">
        <v>83</v>
      </c>
      <c r="J40" s="211" t="s">
        <v>1549</v>
      </c>
      <c r="K40" s="75" t="s">
        <v>1544</v>
      </c>
      <c r="L40" s="152" t="b">
        <v>1</v>
      </c>
      <c r="M40" s="152" t="b">
        <v>0</v>
      </c>
      <c r="N40" s="212" t="s">
        <v>1753</v>
      </c>
      <c r="O40" s="213" t="s">
        <v>1554</v>
      </c>
      <c r="P40" s="47" t="b">
        <v>1</v>
      </c>
      <c r="Q40" s="47" t="b">
        <v>0</v>
      </c>
      <c r="R40" s="214"/>
      <c r="S40" s="77">
        <v>0.0</v>
      </c>
      <c r="T40" s="76" t="s">
        <v>1179</v>
      </c>
      <c r="U40" s="78">
        <v>1.0934726E7</v>
      </c>
      <c r="V40" s="215"/>
      <c r="W40" s="77">
        <v>1.0E7</v>
      </c>
      <c r="X40" s="77">
        <v>80000.0</v>
      </c>
      <c r="Y40" s="77">
        <v>32000.0</v>
      </c>
      <c r="Z40" s="77"/>
    </row>
    <row r="41">
      <c r="A41" s="145" t="s">
        <v>470</v>
      </c>
      <c r="B41" s="145" t="s">
        <v>470</v>
      </c>
      <c r="C41" s="145" t="s">
        <v>1600</v>
      </c>
      <c r="D41" s="75" t="s">
        <v>1601</v>
      </c>
      <c r="E41" s="75" t="s">
        <v>1601</v>
      </c>
      <c r="F41" s="211" t="s">
        <v>87</v>
      </c>
      <c r="G41" s="145" t="s">
        <v>471</v>
      </c>
      <c r="H41" s="211" t="s">
        <v>87</v>
      </c>
      <c r="I41" s="145" t="s">
        <v>267</v>
      </c>
      <c r="J41" s="211" t="s">
        <v>1603</v>
      </c>
      <c r="K41" s="75" t="s">
        <v>1544</v>
      </c>
      <c r="L41" s="152" t="b">
        <v>0</v>
      </c>
      <c r="M41" s="152" t="b">
        <v>0</v>
      </c>
      <c r="N41" s="217"/>
      <c r="O41" s="213" t="s">
        <v>1554</v>
      </c>
      <c r="P41" s="47" t="b">
        <v>0</v>
      </c>
      <c r="Q41" s="47" t="b">
        <v>0</v>
      </c>
      <c r="R41" s="214"/>
      <c r="S41" s="77">
        <v>0.0</v>
      </c>
      <c r="T41" s="214"/>
      <c r="U41" s="215"/>
      <c r="V41" s="215"/>
      <c r="W41" s="214"/>
      <c r="X41" s="214"/>
      <c r="Y41" s="77">
        <v>0.0</v>
      </c>
      <c r="Z41" s="77"/>
    </row>
    <row r="42">
      <c r="A42" s="145" t="s">
        <v>546</v>
      </c>
      <c r="B42" s="145" t="s">
        <v>1760</v>
      </c>
      <c r="C42" s="145" t="s">
        <v>1543</v>
      </c>
      <c r="D42" s="75" t="s">
        <v>1544</v>
      </c>
      <c r="E42" s="75" t="s">
        <v>1544</v>
      </c>
      <c r="F42" s="211" t="s">
        <v>1547</v>
      </c>
      <c r="G42" s="145" t="s">
        <v>1761</v>
      </c>
      <c r="H42" s="211" t="s">
        <v>77</v>
      </c>
      <c r="I42" s="145" t="s">
        <v>143</v>
      </c>
      <c r="J42" s="211" t="s">
        <v>1549</v>
      </c>
      <c r="K42" s="75" t="s">
        <v>1544</v>
      </c>
      <c r="L42" s="152" t="b">
        <v>1</v>
      </c>
      <c r="M42" s="152" t="b">
        <v>0</v>
      </c>
      <c r="N42" s="212" t="s">
        <v>1762</v>
      </c>
      <c r="O42" s="213" t="s">
        <v>1554</v>
      </c>
      <c r="P42" s="47" t="b">
        <v>1</v>
      </c>
      <c r="Q42" s="47" t="b">
        <v>0</v>
      </c>
      <c r="R42" s="214"/>
      <c r="S42" s="77">
        <v>0.0</v>
      </c>
      <c r="T42" s="76" t="s">
        <v>1179</v>
      </c>
      <c r="U42" s="78">
        <v>1.1068778E7</v>
      </c>
      <c r="V42" s="215"/>
      <c r="W42" s="77">
        <v>1.2E7</v>
      </c>
      <c r="X42" s="77">
        <v>120000.0</v>
      </c>
      <c r="Y42" s="77">
        <v>40000.0</v>
      </c>
      <c r="Z42" s="77"/>
    </row>
    <row r="43">
      <c r="A43" s="145" t="s">
        <v>366</v>
      </c>
      <c r="B43" s="145" t="s">
        <v>1605</v>
      </c>
      <c r="C43" s="145" t="s">
        <v>1543</v>
      </c>
      <c r="D43" s="75" t="s">
        <v>1544</v>
      </c>
      <c r="E43" s="75" t="s">
        <v>1544</v>
      </c>
      <c r="F43" s="211" t="s">
        <v>1765</v>
      </c>
      <c r="G43" s="145" t="s">
        <v>857</v>
      </c>
      <c r="H43" s="211" t="s">
        <v>77</v>
      </c>
      <c r="I43" s="145" t="s">
        <v>329</v>
      </c>
      <c r="J43" s="211" t="s">
        <v>1639</v>
      </c>
      <c r="K43" s="75" t="s">
        <v>1544</v>
      </c>
      <c r="L43" s="152" t="b">
        <v>1</v>
      </c>
      <c r="M43" s="152" t="b">
        <v>0</v>
      </c>
      <c r="N43" s="212" t="s">
        <v>1767</v>
      </c>
      <c r="O43" s="213" t="s">
        <v>1554</v>
      </c>
      <c r="P43" s="47" t="b">
        <v>1</v>
      </c>
      <c r="Q43" s="47" t="b">
        <v>0</v>
      </c>
      <c r="R43" s="214"/>
      <c r="S43" s="77">
        <v>0.0</v>
      </c>
      <c r="T43" s="76" t="s">
        <v>1156</v>
      </c>
      <c r="U43" s="78">
        <v>5677092.0</v>
      </c>
      <c r="V43" s="215"/>
      <c r="W43" s="77">
        <v>6000000.0</v>
      </c>
      <c r="X43" s="216">
        <v>60000.0</v>
      </c>
      <c r="Y43" s="77">
        <v>1800000.0</v>
      </c>
      <c r="Z43" s="77"/>
    </row>
    <row r="44">
      <c r="A44" s="145" t="s">
        <v>167</v>
      </c>
      <c r="B44" s="145" t="s">
        <v>1574</v>
      </c>
      <c r="C44" s="145" t="s">
        <v>1543</v>
      </c>
      <c r="D44" s="75" t="s">
        <v>1544</v>
      </c>
      <c r="E44" s="75" t="s">
        <v>1544</v>
      </c>
      <c r="F44" s="211" t="s">
        <v>1547</v>
      </c>
      <c r="G44" s="145" t="s">
        <v>168</v>
      </c>
      <c r="H44" s="211" t="s">
        <v>77</v>
      </c>
      <c r="I44" s="145" t="s">
        <v>413</v>
      </c>
      <c r="J44" s="211" t="s">
        <v>1549</v>
      </c>
      <c r="K44" s="75" t="s">
        <v>1544</v>
      </c>
      <c r="L44" s="152" t="b">
        <v>1</v>
      </c>
      <c r="M44" s="152" t="b">
        <v>0</v>
      </c>
      <c r="N44" s="212" t="s">
        <v>1770</v>
      </c>
      <c r="O44" s="213" t="s">
        <v>1554</v>
      </c>
      <c r="P44" s="47" t="b">
        <v>1</v>
      </c>
      <c r="Q44" s="47" t="b">
        <v>0</v>
      </c>
      <c r="R44" s="214"/>
      <c r="S44" s="77">
        <v>0.0</v>
      </c>
      <c r="T44" s="76" t="s">
        <v>1176</v>
      </c>
      <c r="U44" s="78">
        <v>7703602.0</v>
      </c>
      <c r="V44" s="215"/>
      <c r="W44" s="77">
        <v>8000000.0</v>
      </c>
      <c r="X44" s="216">
        <v>80000.0</v>
      </c>
      <c r="Y44" s="77">
        <v>40000.0</v>
      </c>
      <c r="Z44" s="77"/>
    </row>
    <row r="45">
      <c r="A45" s="145" t="s">
        <v>598</v>
      </c>
      <c r="B45" s="145" t="s">
        <v>1694</v>
      </c>
      <c r="C45" s="145" t="s">
        <v>1543</v>
      </c>
      <c r="D45" s="75" t="s">
        <v>1544</v>
      </c>
      <c r="E45" s="75" t="s">
        <v>1544</v>
      </c>
      <c r="F45" s="211" t="s">
        <v>1690</v>
      </c>
      <c r="G45" s="145" t="s">
        <v>1772</v>
      </c>
      <c r="H45" s="211" t="s">
        <v>586</v>
      </c>
      <c r="I45" s="145" t="s">
        <v>936</v>
      </c>
      <c r="J45" s="211" t="s">
        <v>1597</v>
      </c>
      <c r="K45" s="75" t="s">
        <v>1544</v>
      </c>
      <c r="L45" s="152" t="b">
        <v>1</v>
      </c>
      <c r="M45" s="152" t="b">
        <v>0</v>
      </c>
      <c r="N45" s="212" t="s">
        <v>1773</v>
      </c>
      <c r="O45" s="213" t="s">
        <v>1554</v>
      </c>
      <c r="P45" s="47" t="b">
        <v>1</v>
      </c>
      <c r="Q45" s="47" t="b">
        <v>0</v>
      </c>
      <c r="R45" s="214"/>
      <c r="S45" s="77">
        <v>0.0</v>
      </c>
      <c r="T45" s="76" t="s">
        <v>1176</v>
      </c>
      <c r="U45" s="78">
        <v>2.751674E7</v>
      </c>
      <c r="V45" s="215"/>
      <c r="W45" s="77">
        <v>2.8E7</v>
      </c>
      <c r="X45" s="77">
        <v>196000.0</v>
      </c>
      <c r="Y45" s="77">
        <v>100000.0</v>
      </c>
      <c r="Z45" s="77"/>
    </row>
    <row r="46">
      <c r="A46" s="145" t="s">
        <v>328</v>
      </c>
      <c r="B46" s="145" t="s">
        <v>1623</v>
      </c>
      <c r="C46" s="145" t="s">
        <v>1543</v>
      </c>
      <c r="D46" s="75" t="s">
        <v>1544</v>
      </c>
      <c r="E46" s="75" t="s">
        <v>1544</v>
      </c>
      <c r="F46" s="211" t="s">
        <v>1547</v>
      </c>
      <c r="G46" s="145" t="s">
        <v>1778</v>
      </c>
      <c r="H46" s="211" t="s">
        <v>77</v>
      </c>
      <c r="I46" s="145" t="s">
        <v>325</v>
      </c>
      <c r="J46" s="211" t="s">
        <v>1549</v>
      </c>
      <c r="K46" s="75" t="s">
        <v>1544</v>
      </c>
      <c r="L46" s="152" t="b">
        <v>1</v>
      </c>
      <c r="M46" s="152" t="b">
        <v>0</v>
      </c>
      <c r="N46" s="212" t="s">
        <v>1779</v>
      </c>
      <c r="O46" s="213" t="s">
        <v>1554</v>
      </c>
      <c r="P46" s="47" t="b">
        <v>1</v>
      </c>
      <c r="Q46" s="47" t="b">
        <v>0</v>
      </c>
      <c r="R46" s="214"/>
      <c r="S46" s="77">
        <v>0.0</v>
      </c>
      <c r="T46" s="76" t="s">
        <v>1179</v>
      </c>
      <c r="U46" s="78">
        <v>1.0752661E7</v>
      </c>
      <c r="V46" s="215"/>
      <c r="W46" s="77">
        <v>1.0E7</v>
      </c>
      <c r="X46" s="77">
        <v>100000.0</v>
      </c>
      <c r="Y46" s="77">
        <v>40000.0</v>
      </c>
      <c r="Z46" s="77"/>
    </row>
    <row r="47">
      <c r="A47" s="145" t="s">
        <v>754</v>
      </c>
      <c r="B47" s="145" t="s">
        <v>754</v>
      </c>
      <c r="C47" s="145" t="s">
        <v>1600</v>
      </c>
      <c r="D47" s="75" t="s">
        <v>1544</v>
      </c>
      <c r="E47" s="75" t="s">
        <v>1544</v>
      </c>
      <c r="F47" s="211" t="s">
        <v>1602</v>
      </c>
      <c r="G47" s="145" t="s">
        <v>755</v>
      </c>
      <c r="H47" s="211" t="s">
        <v>87</v>
      </c>
      <c r="I47" s="145" t="s">
        <v>267</v>
      </c>
      <c r="J47" s="211" t="s">
        <v>1603</v>
      </c>
      <c r="K47" s="75" t="s">
        <v>1544</v>
      </c>
      <c r="L47" s="152" t="b">
        <v>0</v>
      </c>
      <c r="M47" s="152" t="b">
        <v>0</v>
      </c>
      <c r="N47" s="217"/>
      <c r="O47" s="213" t="s">
        <v>1554</v>
      </c>
      <c r="P47" s="47" t="b">
        <v>0</v>
      </c>
      <c r="Q47" s="47" t="b">
        <v>0</v>
      </c>
      <c r="R47" s="214"/>
      <c r="S47" s="77">
        <v>0.0</v>
      </c>
      <c r="T47" s="76" t="s">
        <v>1156</v>
      </c>
      <c r="U47" s="215"/>
      <c r="V47" s="215"/>
      <c r="W47" s="214"/>
      <c r="X47" s="214"/>
      <c r="Y47" s="77">
        <v>1.0</v>
      </c>
      <c r="Z47" s="77"/>
    </row>
    <row r="48">
      <c r="A48" s="145" t="s">
        <v>419</v>
      </c>
      <c r="B48" s="145" t="s">
        <v>419</v>
      </c>
      <c r="C48" s="145" t="s">
        <v>1600</v>
      </c>
      <c r="D48" s="75" t="s">
        <v>1544</v>
      </c>
      <c r="E48" s="75" t="s">
        <v>1544</v>
      </c>
      <c r="F48" s="211" t="s">
        <v>1602</v>
      </c>
      <c r="G48" s="145" t="s">
        <v>420</v>
      </c>
      <c r="H48" s="211" t="s">
        <v>87</v>
      </c>
      <c r="I48" s="145" t="s">
        <v>267</v>
      </c>
      <c r="J48" s="211" t="s">
        <v>1603</v>
      </c>
      <c r="K48" s="75" t="s">
        <v>1544</v>
      </c>
      <c r="L48" s="152" t="b">
        <v>0</v>
      </c>
      <c r="M48" s="152" t="b">
        <v>0</v>
      </c>
      <c r="N48" s="217"/>
      <c r="O48" s="213" t="s">
        <v>1554</v>
      </c>
      <c r="P48" s="47" t="b">
        <v>0</v>
      </c>
      <c r="Q48" s="47" t="b">
        <v>0</v>
      </c>
      <c r="R48" s="214"/>
      <c r="S48" s="77">
        <v>0.0</v>
      </c>
      <c r="T48" s="76" t="s">
        <v>1179</v>
      </c>
      <c r="U48" s="215"/>
      <c r="V48" s="215"/>
      <c r="W48" s="214"/>
      <c r="X48" s="214"/>
      <c r="Y48" s="77">
        <v>1.0</v>
      </c>
      <c r="Z48" s="77"/>
    </row>
    <row r="49">
      <c r="A49" s="145" t="s">
        <v>416</v>
      </c>
      <c r="B49" s="145" t="s">
        <v>1623</v>
      </c>
      <c r="C49" s="145" t="s">
        <v>1543</v>
      </c>
      <c r="D49" s="75" t="s">
        <v>1544</v>
      </c>
      <c r="E49" s="75" t="s">
        <v>1544</v>
      </c>
      <c r="F49" s="211" t="s">
        <v>1575</v>
      </c>
      <c r="G49" s="145" t="s">
        <v>1785</v>
      </c>
      <c r="H49" s="211" t="s">
        <v>77</v>
      </c>
      <c r="I49" s="145" t="s">
        <v>325</v>
      </c>
      <c r="J49" s="211" t="s">
        <v>1577</v>
      </c>
      <c r="K49" s="75" t="s">
        <v>1544</v>
      </c>
      <c r="L49" s="152" t="b">
        <v>1</v>
      </c>
      <c r="M49" s="152" t="b">
        <v>0</v>
      </c>
      <c r="N49" s="212" t="s">
        <v>1786</v>
      </c>
      <c r="O49" s="213" t="s">
        <v>1554</v>
      </c>
      <c r="P49" s="47" t="b">
        <v>1</v>
      </c>
      <c r="Q49" s="47" t="b">
        <v>0</v>
      </c>
      <c r="R49" s="214"/>
      <c r="S49" s="77">
        <v>0.0</v>
      </c>
      <c r="T49" s="76" t="s">
        <v>1179</v>
      </c>
      <c r="U49" s="78">
        <v>7430095.0</v>
      </c>
      <c r="V49" s="215"/>
      <c r="W49" s="77">
        <v>8000000.0</v>
      </c>
      <c r="X49" s="77">
        <v>80000.0</v>
      </c>
      <c r="Y49" s="77">
        <v>20000.0</v>
      </c>
      <c r="Z49" s="77"/>
    </row>
    <row r="50">
      <c r="A50" s="145" t="s">
        <v>1380</v>
      </c>
      <c r="B50" s="145" t="s">
        <v>1788</v>
      </c>
      <c r="C50" s="145" t="s">
        <v>1543</v>
      </c>
      <c r="D50" s="75" t="s">
        <v>1544</v>
      </c>
      <c r="E50" s="75" t="s">
        <v>1544</v>
      </c>
      <c r="F50" s="211" t="s">
        <v>1645</v>
      </c>
      <c r="G50" s="145" t="s">
        <v>1789</v>
      </c>
      <c r="H50" s="211" t="s">
        <v>907</v>
      </c>
      <c r="I50" s="145" t="s">
        <v>25</v>
      </c>
      <c r="J50" s="211" t="s">
        <v>1609</v>
      </c>
      <c r="K50" s="75" t="s">
        <v>1544</v>
      </c>
      <c r="L50" s="152" t="b">
        <v>1</v>
      </c>
      <c r="M50" s="152" t="b">
        <v>0</v>
      </c>
      <c r="N50" s="212" t="s">
        <v>1792</v>
      </c>
      <c r="O50" s="213" t="s">
        <v>1554</v>
      </c>
      <c r="P50" s="47" t="b">
        <v>1</v>
      </c>
      <c r="Q50" s="47" t="b">
        <v>0</v>
      </c>
      <c r="R50" s="214"/>
      <c r="S50" s="77">
        <v>0.0</v>
      </c>
      <c r="T50" s="76" t="s">
        <v>1176</v>
      </c>
      <c r="U50" s="78">
        <v>2.1720223E7</v>
      </c>
      <c r="V50" s="215"/>
      <c r="W50" s="77">
        <v>2.2E7</v>
      </c>
      <c r="X50" s="77">
        <v>220000.0</v>
      </c>
      <c r="Y50" s="77">
        <v>80000.0</v>
      </c>
      <c r="Z50" s="77"/>
    </row>
    <row r="51">
      <c r="A51" s="145" t="s">
        <v>346</v>
      </c>
      <c r="B51" s="145" t="s">
        <v>346</v>
      </c>
      <c r="C51" s="145" t="s">
        <v>1266</v>
      </c>
      <c r="D51" s="75" t="s">
        <v>1544</v>
      </c>
      <c r="E51" s="75" t="s">
        <v>1601</v>
      </c>
      <c r="F51" s="211" t="s">
        <v>87</v>
      </c>
      <c r="G51" s="145" t="s">
        <v>347</v>
      </c>
      <c r="H51" s="211" t="s">
        <v>87</v>
      </c>
      <c r="I51" s="145" t="s">
        <v>267</v>
      </c>
      <c r="J51" s="211" t="s">
        <v>87</v>
      </c>
      <c r="K51" s="75" t="s">
        <v>1544</v>
      </c>
      <c r="L51" s="152" t="b">
        <v>0</v>
      </c>
      <c r="M51" s="152" t="b">
        <v>0</v>
      </c>
      <c r="N51" s="217"/>
      <c r="O51" s="213" t="s">
        <v>1554</v>
      </c>
      <c r="P51" s="47" t="b">
        <v>0</v>
      </c>
      <c r="Q51" s="47" t="b">
        <v>0</v>
      </c>
      <c r="R51" s="214"/>
      <c r="S51" s="77">
        <v>0.0</v>
      </c>
      <c r="T51" s="214"/>
      <c r="U51" s="215"/>
      <c r="V51" s="215"/>
      <c r="W51" s="214"/>
      <c r="X51" s="214"/>
      <c r="Y51" s="77">
        <v>0.0</v>
      </c>
      <c r="Z51" s="77"/>
    </row>
    <row r="52">
      <c r="A52" s="145" t="s">
        <v>1293</v>
      </c>
      <c r="B52" s="145" t="s">
        <v>1293</v>
      </c>
      <c r="C52" s="145" t="s">
        <v>1266</v>
      </c>
      <c r="D52" s="75" t="s">
        <v>1601</v>
      </c>
      <c r="E52" s="75" t="s">
        <v>1601</v>
      </c>
      <c r="F52" s="211" t="s">
        <v>1796</v>
      </c>
      <c r="G52" s="145" t="s">
        <v>1294</v>
      </c>
      <c r="H52" s="211" t="s">
        <v>1797</v>
      </c>
      <c r="I52" s="145" t="s">
        <v>140</v>
      </c>
      <c r="J52" s="211" t="s">
        <v>1798</v>
      </c>
      <c r="K52" s="75" t="s">
        <v>1544</v>
      </c>
      <c r="L52" s="152" t="b">
        <v>0</v>
      </c>
      <c r="M52" s="152" t="b">
        <v>0</v>
      </c>
      <c r="N52" s="217"/>
      <c r="O52" s="213" t="s">
        <v>1554</v>
      </c>
      <c r="P52" s="47" t="b">
        <v>0</v>
      </c>
      <c r="Q52" s="47" t="b">
        <v>0</v>
      </c>
      <c r="R52" s="214"/>
      <c r="S52" s="77">
        <v>0.0</v>
      </c>
      <c r="T52" s="214"/>
      <c r="U52" s="215"/>
      <c r="V52" s="215"/>
      <c r="W52" s="214"/>
      <c r="X52" s="214"/>
      <c r="Y52" s="77">
        <v>1000000.0</v>
      </c>
      <c r="Z52" s="77"/>
    </row>
    <row r="53">
      <c r="A53" s="145" t="s">
        <v>1494</v>
      </c>
      <c r="B53" s="145" t="s">
        <v>1494</v>
      </c>
      <c r="C53" s="145" t="s">
        <v>1600</v>
      </c>
      <c r="D53" s="75" t="s">
        <v>1544</v>
      </c>
      <c r="E53" s="75" t="s">
        <v>1601</v>
      </c>
      <c r="F53" s="211" t="s">
        <v>1602</v>
      </c>
      <c r="G53" s="145" t="s">
        <v>1495</v>
      </c>
      <c r="H53" s="211" t="s">
        <v>87</v>
      </c>
      <c r="I53" s="145" t="s">
        <v>267</v>
      </c>
      <c r="J53" s="211" t="s">
        <v>1603</v>
      </c>
      <c r="K53" s="75" t="s">
        <v>1544</v>
      </c>
      <c r="L53" s="152" t="b">
        <v>0</v>
      </c>
      <c r="M53" s="152" t="b">
        <v>0</v>
      </c>
      <c r="N53" s="217"/>
      <c r="O53" s="213" t="s">
        <v>1554</v>
      </c>
      <c r="P53" s="47" t="b">
        <v>0</v>
      </c>
      <c r="Q53" s="47" t="b">
        <v>0</v>
      </c>
      <c r="R53" s="214"/>
      <c r="S53" s="77">
        <v>0.0</v>
      </c>
      <c r="T53" s="214"/>
      <c r="U53" s="215"/>
      <c r="V53" s="215"/>
      <c r="W53" s="214"/>
      <c r="X53" s="214"/>
      <c r="Y53" s="77">
        <v>1.0</v>
      </c>
      <c r="Z53" s="77"/>
    </row>
    <row r="54">
      <c r="A54" s="145" t="s">
        <v>345</v>
      </c>
      <c r="B54" s="145" t="s">
        <v>1605</v>
      </c>
      <c r="C54" s="145" t="s">
        <v>1543</v>
      </c>
      <c r="D54" s="75" t="s">
        <v>1544</v>
      </c>
      <c r="E54" s="75" t="s">
        <v>1544</v>
      </c>
      <c r="F54" s="211" t="s">
        <v>1547</v>
      </c>
      <c r="G54" s="145" t="s">
        <v>1802</v>
      </c>
      <c r="H54" s="211" t="s">
        <v>77</v>
      </c>
      <c r="I54" s="145" t="s">
        <v>329</v>
      </c>
      <c r="J54" s="211" t="s">
        <v>1549</v>
      </c>
      <c r="K54" s="75" t="s">
        <v>1544</v>
      </c>
      <c r="L54" s="152" t="b">
        <v>1</v>
      </c>
      <c r="M54" s="152" t="b">
        <v>0</v>
      </c>
      <c r="N54" s="212" t="s">
        <v>1805</v>
      </c>
      <c r="O54" s="213" t="s">
        <v>1554</v>
      </c>
      <c r="P54" s="47" t="b">
        <v>1</v>
      </c>
      <c r="Q54" s="47" t="b">
        <v>0</v>
      </c>
      <c r="R54" s="214"/>
      <c r="S54" s="77">
        <v>0.0</v>
      </c>
      <c r="T54" s="76" t="s">
        <v>1162</v>
      </c>
      <c r="U54" s="78">
        <v>7519878.0</v>
      </c>
      <c r="V54" s="215"/>
      <c r="W54" s="77">
        <v>8000000.0</v>
      </c>
      <c r="X54" s="216">
        <v>80000.0</v>
      </c>
      <c r="Y54" s="77">
        <v>40000.0</v>
      </c>
      <c r="Z54" s="77"/>
    </row>
    <row r="55">
      <c r="A55" s="145" t="s">
        <v>367</v>
      </c>
      <c r="B55" s="145" t="s">
        <v>1679</v>
      </c>
      <c r="C55" s="145" t="s">
        <v>1543</v>
      </c>
      <c r="D55" s="75" t="s">
        <v>1544</v>
      </c>
      <c r="E55" s="75" t="s">
        <v>1544</v>
      </c>
      <c r="F55" s="211" t="s">
        <v>1575</v>
      </c>
      <c r="G55" s="145" t="s">
        <v>1808</v>
      </c>
      <c r="H55" s="211" t="s">
        <v>77</v>
      </c>
      <c r="I55" s="145" t="s">
        <v>174</v>
      </c>
      <c r="J55" s="211" t="s">
        <v>1577</v>
      </c>
      <c r="K55" s="75" t="s">
        <v>1544</v>
      </c>
      <c r="L55" s="152" t="b">
        <v>1</v>
      </c>
      <c r="M55" s="152" t="b">
        <v>0</v>
      </c>
      <c r="N55" s="212" t="s">
        <v>1809</v>
      </c>
      <c r="O55" s="213" t="s">
        <v>1554</v>
      </c>
      <c r="P55" s="47" t="b">
        <v>1</v>
      </c>
      <c r="Q55" s="47" t="b">
        <v>0</v>
      </c>
      <c r="R55" s="214"/>
      <c r="S55" s="77">
        <v>0.0</v>
      </c>
      <c r="T55" s="76" t="s">
        <v>1179</v>
      </c>
      <c r="U55" s="78">
        <v>6898913.0</v>
      </c>
      <c r="V55" s="215"/>
      <c r="W55" s="77">
        <v>6000000.0</v>
      </c>
      <c r="X55" s="216">
        <v>60000.0</v>
      </c>
      <c r="Y55" s="77">
        <v>20000.0</v>
      </c>
      <c r="Z55" s="77"/>
    </row>
    <row r="56">
      <c r="A56" s="145" t="s">
        <v>561</v>
      </c>
      <c r="B56" s="145" t="s">
        <v>1811</v>
      </c>
      <c r="C56" s="145" t="s">
        <v>1543</v>
      </c>
      <c r="D56" s="75" t="s">
        <v>1544</v>
      </c>
      <c r="E56" s="75" t="s">
        <v>1544</v>
      </c>
      <c r="F56" s="211" t="s">
        <v>1557</v>
      </c>
      <c r="G56" s="145" t="s">
        <v>1220</v>
      </c>
      <c r="H56" s="211" t="s">
        <v>625</v>
      </c>
      <c r="I56" s="145" t="s">
        <v>667</v>
      </c>
      <c r="J56" s="211" t="s">
        <v>1561</v>
      </c>
      <c r="K56" s="75" t="s">
        <v>1544</v>
      </c>
      <c r="L56" s="152" t="b">
        <v>1</v>
      </c>
      <c r="M56" s="152" t="b">
        <v>0</v>
      </c>
      <c r="N56" s="212" t="s">
        <v>1813</v>
      </c>
      <c r="O56" s="213" t="s">
        <v>1554</v>
      </c>
      <c r="P56" s="47" t="b">
        <v>1</v>
      </c>
      <c r="Q56" s="47" t="b">
        <v>0</v>
      </c>
      <c r="R56" s="214"/>
      <c r="S56" s="77">
        <v>0.0</v>
      </c>
      <c r="T56" s="76" t="s">
        <v>1162</v>
      </c>
      <c r="U56" s="78">
        <v>2.215473E7</v>
      </c>
      <c r="V56" s="215"/>
      <c r="W56" s="77">
        <v>2.2E7</v>
      </c>
      <c r="X56" s="216">
        <v>2.2E9</v>
      </c>
      <c r="Y56" s="216">
        <v>6000000.0</v>
      </c>
      <c r="Z56" s="77"/>
    </row>
    <row r="57">
      <c r="A57" s="145" t="s">
        <v>370</v>
      </c>
      <c r="B57" s="145" t="s">
        <v>1679</v>
      </c>
      <c r="C57" s="145" t="s">
        <v>1543</v>
      </c>
      <c r="D57" s="75" t="s">
        <v>1544</v>
      </c>
      <c r="E57" s="75" t="s">
        <v>1544</v>
      </c>
      <c r="F57" s="211" t="s">
        <v>1547</v>
      </c>
      <c r="G57" s="145" t="s">
        <v>1816</v>
      </c>
      <c r="H57" s="211" t="s">
        <v>77</v>
      </c>
      <c r="I57" s="145" t="s">
        <v>174</v>
      </c>
      <c r="J57" s="211" t="s">
        <v>1549</v>
      </c>
      <c r="K57" s="75" t="s">
        <v>1544</v>
      </c>
      <c r="L57" s="152" t="b">
        <v>1</v>
      </c>
      <c r="M57" s="152" t="b">
        <v>0</v>
      </c>
      <c r="N57" s="212" t="s">
        <v>1817</v>
      </c>
      <c r="O57" s="213" t="s">
        <v>1554</v>
      </c>
      <c r="P57" s="47" t="b">
        <v>1</v>
      </c>
      <c r="Q57" s="47" t="b">
        <v>0</v>
      </c>
      <c r="R57" s="214"/>
      <c r="S57" s="77">
        <v>0.0</v>
      </c>
      <c r="T57" s="76" t="s">
        <v>1179</v>
      </c>
      <c r="U57" s="78">
        <v>7780876.0</v>
      </c>
      <c r="V57" s="215"/>
      <c r="W57" s="77">
        <v>8000000.0</v>
      </c>
      <c r="X57" s="77">
        <v>80000.0</v>
      </c>
      <c r="Y57" s="77">
        <v>40000.0</v>
      </c>
      <c r="Z57" s="77"/>
    </row>
    <row r="58">
      <c r="A58" s="145" t="s">
        <v>961</v>
      </c>
      <c r="B58" s="145" t="s">
        <v>1760</v>
      </c>
      <c r="C58" s="145" t="s">
        <v>1543</v>
      </c>
      <c r="D58" s="75" t="s">
        <v>1544</v>
      </c>
      <c r="E58" s="75" t="s">
        <v>1544</v>
      </c>
      <c r="F58" s="211" t="s">
        <v>1602</v>
      </c>
      <c r="G58" s="145" t="s">
        <v>962</v>
      </c>
      <c r="H58" s="211" t="s">
        <v>87</v>
      </c>
      <c r="I58" s="145" t="s">
        <v>267</v>
      </c>
      <c r="J58" s="211" t="s">
        <v>1603</v>
      </c>
      <c r="K58" s="75" t="s">
        <v>1544</v>
      </c>
      <c r="L58" s="152" t="b">
        <v>1</v>
      </c>
      <c r="M58" s="152" t="b">
        <v>0</v>
      </c>
      <c r="N58" s="212" t="s">
        <v>1821</v>
      </c>
      <c r="O58" s="213" t="s">
        <v>1554</v>
      </c>
      <c r="P58" s="47" t="b">
        <v>1</v>
      </c>
      <c r="Q58" s="47" t="b">
        <v>0</v>
      </c>
      <c r="R58" s="214"/>
      <c r="S58" s="77">
        <v>0.0</v>
      </c>
      <c r="T58" s="76" t="s">
        <v>1179</v>
      </c>
      <c r="U58" s="215"/>
      <c r="V58" s="215"/>
      <c r="W58" s="214"/>
      <c r="X58" s="214"/>
      <c r="Y58" s="77">
        <v>1.0</v>
      </c>
      <c r="Z58" s="77"/>
    </row>
    <row r="59">
      <c r="A59" s="145" t="s">
        <v>424</v>
      </c>
      <c r="B59" s="145" t="s">
        <v>1720</v>
      </c>
      <c r="C59" s="145" t="s">
        <v>1543</v>
      </c>
      <c r="D59" s="75" t="s">
        <v>1544</v>
      </c>
      <c r="E59" s="75" t="s">
        <v>1544</v>
      </c>
      <c r="F59" s="211" t="s">
        <v>1721</v>
      </c>
      <c r="G59" s="145" t="s">
        <v>1326</v>
      </c>
      <c r="H59" s="211" t="s">
        <v>1018</v>
      </c>
      <c r="I59" s="145" t="s">
        <v>83</v>
      </c>
      <c r="J59" s="211" t="s">
        <v>1609</v>
      </c>
      <c r="K59" s="75" t="s">
        <v>1544</v>
      </c>
      <c r="L59" s="152" t="b">
        <v>1</v>
      </c>
      <c r="M59" s="152" t="b">
        <v>0</v>
      </c>
      <c r="N59" s="212" t="s">
        <v>1824</v>
      </c>
      <c r="O59" s="213" t="s">
        <v>1554</v>
      </c>
      <c r="P59" s="47" t="b">
        <v>1</v>
      </c>
      <c r="Q59" s="47" t="b">
        <v>0</v>
      </c>
      <c r="R59" s="214"/>
      <c r="S59" s="77">
        <v>0.0</v>
      </c>
      <c r="T59" s="76" t="s">
        <v>1179</v>
      </c>
      <c r="U59" s="78">
        <v>2.1097801E7</v>
      </c>
      <c r="V59" s="215"/>
      <c r="W59" s="77">
        <v>2.2E7</v>
      </c>
      <c r="X59" s="77">
        <v>176000.0</v>
      </c>
      <c r="Y59" s="77">
        <v>64000.0</v>
      </c>
      <c r="Z59" s="77"/>
    </row>
    <row r="60">
      <c r="A60" s="145" t="s">
        <v>368</v>
      </c>
      <c r="B60" s="145" t="s">
        <v>1574</v>
      </c>
      <c r="C60" s="145" t="s">
        <v>1543</v>
      </c>
      <c r="D60" s="75" t="s">
        <v>1544</v>
      </c>
      <c r="E60" s="75" t="s">
        <v>1544</v>
      </c>
      <c r="F60" s="211" t="s">
        <v>87</v>
      </c>
      <c r="G60" s="145" t="s">
        <v>930</v>
      </c>
      <c r="H60" s="211" t="s">
        <v>77</v>
      </c>
      <c r="I60" s="145" t="s">
        <v>267</v>
      </c>
      <c r="J60" s="211" t="s">
        <v>87</v>
      </c>
      <c r="K60" s="75" t="s">
        <v>1544</v>
      </c>
      <c r="L60" s="152" t="b">
        <v>1</v>
      </c>
      <c r="M60" s="152" t="b">
        <v>0</v>
      </c>
      <c r="N60" s="212" t="s">
        <v>1826</v>
      </c>
      <c r="O60" s="213" t="s">
        <v>1554</v>
      </c>
      <c r="P60" s="47" t="b">
        <v>0</v>
      </c>
      <c r="Q60" s="47" t="b">
        <v>0</v>
      </c>
      <c r="R60" s="214"/>
      <c r="S60" s="77">
        <v>0.0</v>
      </c>
      <c r="T60" s="76" t="s">
        <v>1179</v>
      </c>
      <c r="U60" s="215"/>
      <c r="V60" s="215"/>
      <c r="W60" s="214"/>
      <c r="X60" s="214"/>
      <c r="Y60" s="77">
        <v>0.0</v>
      </c>
      <c r="Z60" s="77"/>
    </row>
    <row r="61">
      <c r="A61" s="145" t="s">
        <v>1537</v>
      </c>
      <c r="B61" s="145" t="s">
        <v>1542</v>
      </c>
      <c r="C61" s="145" t="s">
        <v>1543</v>
      </c>
      <c r="D61" s="75" t="s">
        <v>1544</v>
      </c>
      <c r="E61" s="75" t="s">
        <v>1544</v>
      </c>
      <c r="F61" s="211" t="s">
        <v>1547</v>
      </c>
      <c r="G61" s="145" t="s">
        <v>1830</v>
      </c>
      <c r="H61" s="211" t="s">
        <v>77</v>
      </c>
      <c r="I61" s="145" t="s">
        <v>340</v>
      </c>
      <c r="J61" s="211" t="s">
        <v>1549</v>
      </c>
      <c r="K61" s="75" t="s">
        <v>1544</v>
      </c>
      <c r="L61" s="152" t="b">
        <v>1</v>
      </c>
      <c r="M61" s="152" t="b">
        <v>0</v>
      </c>
      <c r="N61" s="212" t="s">
        <v>1831</v>
      </c>
      <c r="O61" s="213" t="s">
        <v>1554</v>
      </c>
      <c r="P61" s="47" t="b">
        <v>1</v>
      </c>
      <c r="Q61" s="47" t="b">
        <v>0</v>
      </c>
      <c r="R61" s="214"/>
      <c r="S61" s="77">
        <v>0.0</v>
      </c>
      <c r="T61" s="76" t="s">
        <v>1179</v>
      </c>
      <c r="U61" s="78">
        <v>8729123.0</v>
      </c>
      <c r="V61" s="215"/>
      <c r="W61" s="77">
        <v>8000000.0</v>
      </c>
      <c r="X61" s="77">
        <v>80000.0</v>
      </c>
      <c r="Y61" s="77">
        <v>40000.0</v>
      </c>
      <c r="Z61" s="77"/>
    </row>
    <row r="62">
      <c r="A62" s="145" t="s">
        <v>391</v>
      </c>
      <c r="B62" s="145" t="s">
        <v>1595</v>
      </c>
      <c r="C62" s="145" t="s">
        <v>1543</v>
      </c>
      <c r="D62" s="75" t="s">
        <v>1544</v>
      </c>
      <c r="E62" s="75" t="s">
        <v>1544</v>
      </c>
      <c r="F62" s="211" t="s">
        <v>1607</v>
      </c>
      <c r="G62" s="145" t="s">
        <v>743</v>
      </c>
      <c r="H62" s="211" t="s">
        <v>1018</v>
      </c>
      <c r="I62" s="145" t="s">
        <v>113</v>
      </c>
      <c r="J62" s="211" t="s">
        <v>1609</v>
      </c>
      <c r="K62" s="75" t="s">
        <v>1544</v>
      </c>
      <c r="L62" s="152" t="b">
        <v>1</v>
      </c>
      <c r="M62" s="152" t="b">
        <v>0</v>
      </c>
      <c r="N62" s="212" t="s">
        <v>1835</v>
      </c>
      <c r="O62" s="213" t="s">
        <v>1554</v>
      </c>
      <c r="P62" s="47" t="b">
        <v>1</v>
      </c>
      <c r="Q62" s="47" t="b">
        <v>0</v>
      </c>
      <c r="R62" s="214"/>
      <c r="S62" s="77">
        <v>0.0</v>
      </c>
      <c r="T62" s="76" t="s">
        <v>1156</v>
      </c>
      <c r="U62" s="78">
        <v>8532470.0</v>
      </c>
      <c r="V62" s="215"/>
      <c r="W62" s="77">
        <v>8000000.0</v>
      </c>
      <c r="X62" s="77">
        <v>64000.0</v>
      </c>
      <c r="Y62" s="77">
        <v>2400000.0</v>
      </c>
      <c r="Z62" s="77"/>
    </row>
    <row r="63">
      <c r="A63" s="145" t="s">
        <v>1832</v>
      </c>
      <c r="B63" s="145" t="s">
        <v>1542</v>
      </c>
      <c r="C63" s="145" t="s">
        <v>1543</v>
      </c>
      <c r="D63" s="75" t="s">
        <v>1544</v>
      </c>
      <c r="E63" s="75" t="s">
        <v>1544</v>
      </c>
      <c r="F63" s="211" t="s">
        <v>1575</v>
      </c>
      <c r="G63" s="145" t="s">
        <v>1837</v>
      </c>
      <c r="H63" s="211" t="s">
        <v>77</v>
      </c>
      <c r="I63" s="145" t="s">
        <v>340</v>
      </c>
      <c r="J63" s="211" t="s">
        <v>1577</v>
      </c>
      <c r="K63" s="75" t="s">
        <v>1544</v>
      </c>
      <c r="L63" s="152" t="b">
        <v>1</v>
      </c>
      <c r="M63" s="152" t="b">
        <v>0</v>
      </c>
      <c r="N63" s="212" t="s">
        <v>1839</v>
      </c>
      <c r="O63" s="213" t="s">
        <v>1554</v>
      </c>
      <c r="P63" s="47" t="b">
        <v>1</v>
      </c>
      <c r="Q63" s="47" t="b">
        <v>0</v>
      </c>
      <c r="R63" s="214"/>
      <c r="S63" s="77">
        <v>0.0</v>
      </c>
      <c r="T63" s="76" t="s">
        <v>1179</v>
      </c>
      <c r="U63" s="78">
        <v>3693034.0</v>
      </c>
      <c r="V63" s="215"/>
      <c r="W63" s="77">
        <v>4000000.0</v>
      </c>
      <c r="X63" s="77">
        <v>40000.0</v>
      </c>
      <c r="Y63" s="77">
        <v>20000.0</v>
      </c>
      <c r="Z63" s="77"/>
    </row>
    <row r="64">
      <c r="A64" s="145" t="s">
        <v>496</v>
      </c>
      <c r="B64" s="145" t="s">
        <v>1623</v>
      </c>
      <c r="C64" s="145" t="s">
        <v>1543</v>
      </c>
      <c r="D64" s="75" t="s">
        <v>1544</v>
      </c>
      <c r="E64" s="75" t="s">
        <v>1544</v>
      </c>
      <c r="F64" s="211" t="s">
        <v>1637</v>
      </c>
      <c r="G64" s="145" t="s">
        <v>1841</v>
      </c>
      <c r="H64" s="211" t="s">
        <v>77</v>
      </c>
      <c r="I64" s="145" t="s">
        <v>325</v>
      </c>
      <c r="J64" s="211" t="s">
        <v>1639</v>
      </c>
      <c r="K64" s="75" t="s">
        <v>1544</v>
      </c>
      <c r="L64" s="152" t="b">
        <v>1</v>
      </c>
      <c r="M64" s="152" t="b">
        <v>0</v>
      </c>
      <c r="N64" s="212" t="s">
        <v>1842</v>
      </c>
      <c r="O64" s="213" t="s">
        <v>1554</v>
      </c>
      <c r="P64" s="47" t="b">
        <v>1</v>
      </c>
      <c r="Q64" s="47" t="b">
        <v>0</v>
      </c>
      <c r="R64" s="214"/>
      <c r="S64" s="77">
        <v>0.0</v>
      </c>
      <c r="T64" s="76" t="s">
        <v>1176</v>
      </c>
      <c r="U64" s="78">
        <v>1.5281007E7</v>
      </c>
      <c r="V64" s="215"/>
      <c r="W64" s="77">
        <v>1.6E7</v>
      </c>
      <c r="X64" s="77">
        <v>160000.0</v>
      </c>
      <c r="Y64" s="77">
        <v>60000.0</v>
      </c>
      <c r="Z64" s="77"/>
    </row>
    <row r="65">
      <c r="A65" s="145" t="s">
        <v>479</v>
      </c>
      <c r="B65" s="145" t="s">
        <v>1564</v>
      </c>
      <c r="C65" s="145" t="s">
        <v>1543</v>
      </c>
      <c r="D65" s="75" t="s">
        <v>1544</v>
      </c>
      <c r="E65" s="75" t="s">
        <v>1544</v>
      </c>
      <c r="F65" s="211" t="s">
        <v>1547</v>
      </c>
      <c r="G65" s="145" t="s">
        <v>1845</v>
      </c>
      <c r="H65" s="211" t="s">
        <v>77</v>
      </c>
      <c r="I65" s="145" t="s">
        <v>338</v>
      </c>
      <c r="J65" s="211" t="s">
        <v>1549</v>
      </c>
      <c r="K65" s="75" t="s">
        <v>1544</v>
      </c>
      <c r="L65" s="152" t="b">
        <v>1</v>
      </c>
      <c r="M65" s="152" t="b">
        <v>0</v>
      </c>
      <c r="N65" s="212" t="s">
        <v>1848</v>
      </c>
      <c r="O65" s="213" t="s">
        <v>1554</v>
      </c>
      <c r="P65" s="47" t="b">
        <v>1</v>
      </c>
      <c r="Q65" s="47" t="b">
        <v>0</v>
      </c>
      <c r="R65" s="214"/>
      <c r="S65" s="77">
        <v>0.0</v>
      </c>
      <c r="T65" s="76" t="s">
        <v>1179</v>
      </c>
      <c r="U65" s="78">
        <v>9612201.0</v>
      </c>
      <c r="V65" s="215"/>
      <c r="W65" s="77">
        <v>1.0E7</v>
      </c>
      <c r="X65" s="77">
        <v>100000.0</v>
      </c>
      <c r="Y65" s="77">
        <v>40000.0</v>
      </c>
      <c r="Z65" s="77"/>
    </row>
    <row r="66">
      <c r="A66" s="145" t="s">
        <v>1818</v>
      </c>
      <c r="B66" s="145" t="s">
        <v>1849</v>
      </c>
      <c r="C66" s="145" t="s">
        <v>1543</v>
      </c>
      <c r="D66" s="75" t="s">
        <v>1544</v>
      </c>
      <c r="E66" s="75" t="s">
        <v>1544</v>
      </c>
      <c r="F66" s="211" t="s">
        <v>1851</v>
      </c>
      <c r="G66" s="145" t="s">
        <v>1852</v>
      </c>
      <c r="H66" s="211" t="s">
        <v>1018</v>
      </c>
      <c r="I66" s="145" t="s">
        <v>75</v>
      </c>
      <c r="J66" s="211" t="s">
        <v>1639</v>
      </c>
      <c r="K66" s="75" t="s">
        <v>1544</v>
      </c>
      <c r="L66" s="152" t="b">
        <v>1</v>
      </c>
      <c r="M66" s="152" t="b">
        <v>0</v>
      </c>
      <c r="N66" s="212" t="s">
        <v>1853</v>
      </c>
      <c r="O66" s="213" t="s">
        <v>1554</v>
      </c>
      <c r="P66" s="47" t="b">
        <v>1</v>
      </c>
      <c r="Q66" s="47" t="b">
        <v>0</v>
      </c>
      <c r="R66" s="214"/>
      <c r="S66" s="77">
        <v>0.0</v>
      </c>
      <c r="T66" s="76" t="s">
        <v>1179</v>
      </c>
      <c r="U66" s="78">
        <v>1.4697854E7</v>
      </c>
      <c r="V66" s="215"/>
      <c r="W66" s="77">
        <v>1.4E7</v>
      </c>
      <c r="X66" s="77">
        <v>112000.0</v>
      </c>
      <c r="Y66" s="77">
        <v>48000.0</v>
      </c>
      <c r="Z66" s="77"/>
    </row>
    <row r="67">
      <c r="A67" s="145" t="s">
        <v>357</v>
      </c>
      <c r="B67" s="145" t="s">
        <v>1623</v>
      </c>
      <c r="C67" s="145" t="s">
        <v>1543</v>
      </c>
      <c r="D67" s="75" t="s">
        <v>1544</v>
      </c>
      <c r="E67" s="75" t="s">
        <v>1544</v>
      </c>
      <c r="F67" s="211" t="s">
        <v>1637</v>
      </c>
      <c r="G67" s="145" t="s">
        <v>1855</v>
      </c>
      <c r="H67" s="211" t="s">
        <v>77</v>
      </c>
      <c r="I67" s="145" t="s">
        <v>325</v>
      </c>
      <c r="J67" s="211" t="s">
        <v>1639</v>
      </c>
      <c r="K67" s="75" t="s">
        <v>1544</v>
      </c>
      <c r="L67" s="152" t="b">
        <v>1</v>
      </c>
      <c r="M67" s="152" t="b">
        <v>0</v>
      </c>
      <c r="N67" s="212" t="s">
        <v>1857</v>
      </c>
      <c r="O67" s="213" t="s">
        <v>1554</v>
      </c>
      <c r="P67" s="47" t="b">
        <v>1</v>
      </c>
      <c r="Q67" s="47" t="b">
        <v>0</v>
      </c>
      <c r="R67" s="214"/>
      <c r="S67" s="77">
        <v>0.0</v>
      </c>
      <c r="T67" s="76" t="s">
        <v>1179</v>
      </c>
      <c r="U67" s="78">
        <v>1.6437478E7</v>
      </c>
      <c r="V67" s="215"/>
      <c r="W67" s="77">
        <v>1.6E7</v>
      </c>
      <c r="X67" s="77">
        <v>160000.0</v>
      </c>
      <c r="Y67" s="77">
        <v>60000.0</v>
      </c>
      <c r="Z67" s="77"/>
    </row>
    <row r="68">
      <c r="A68" s="145" t="s">
        <v>882</v>
      </c>
      <c r="B68" s="145" t="s">
        <v>1605</v>
      </c>
      <c r="C68" s="145" t="s">
        <v>1543</v>
      </c>
      <c r="D68" s="75" t="s">
        <v>1544</v>
      </c>
      <c r="E68" s="75" t="s">
        <v>1544</v>
      </c>
      <c r="F68" s="211" t="s">
        <v>1765</v>
      </c>
      <c r="G68" s="145" t="s">
        <v>883</v>
      </c>
      <c r="H68" s="211" t="s">
        <v>77</v>
      </c>
      <c r="I68" s="145" t="s">
        <v>329</v>
      </c>
      <c r="J68" s="211" t="s">
        <v>1639</v>
      </c>
      <c r="K68" s="75" t="s">
        <v>1544</v>
      </c>
      <c r="L68" s="152" t="b">
        <v>1</v>
      </c>
      <c r="M68" s="152" t="b">
        <v>0</v>
      </c>
      <c r="N68" s="212" t="s">
        <v>1859</v>
      </c>
      <c r="O68" s="213" t="s">
        <v>1554</v>
      </c>
      <c r="P68" s="47" t="b">
        <v>1</v>
      </c>
      <c r="Q68" s="47" t="b">
        <v>0</v>
      </c>
      <c r="R68" s="214"/>
      <c r="S68" s="77">
        <v>0.0</v>
      </c>
      <c r="T68" s="76" t="s">
        <v>1156</v>
      </c>
      <c r="U68" s="78">
        <v>6796056.0</v>
      </c>
      <c r="V68" s="215"/>
      <c r="W68" s="77">
        <v>6000000.0</v>
      </c>
      <c r="X68" s="77">
        <v>60000.0</v>
      </c>
      <c r="Y68" s="77">
        <v>1800000.0</v>
      </c>
      <c r="Z68" s="77"/>
    </row>
    <row r="69">
      <c r="A69" s="145" t="s">
        <v>1512</v>
      </c>
      <c r="B69" s="145" t="s">
        <v>1512</v>
      </c>
      <c r="C69" s="145" t="s">
        <v>1266</v>
      </c>
      <c r="D69" s="75" t="s">
        <v>1544</v>
      </c>
      <c r="E69" s="75" t="s">
        <v>1601</v>
      </c>
      <c r="F69" s="211" t="s">
        <v>87</v>
      </c>
      <c r="G69" s="145" t="s">
        <v>1513</v>
      </c>
      <c r="H69" s="211" t="s">
        <v>77</v>
      </c>
      <c r="I69" s="145" t="s">
        <v>327</v>
      </c>
      <c r="J69" s="211" t="s">
        <v>87</v>
      </c>
      <c r="K69" s="75" t="s">
        <v>1544</v>
      </c>
      <c r="L69" s="152" t="b">
        <v>0</v>
      </c>
      <c r="M69" s="152" t="b">
        <v>0</v>
      </c>
      <c r="N69" s="217"/>
      <c r="O69" s="213" t="s">
        <v>1554</v>
      </c>
      <c r="P69" s="47" t="b">
        <v>0</v>
      </c>
      <c r="Q69" s="47" t="b">
        <v>0</v>
      </c>
      <c r="R69" s="214"/>
      <c r="S69" s="77">
        <v>0.0</v>
      </c>
      <c r="T69" s="214"/>
      <c r="U69" s="215"/>
      <c r="V69" s="215"/>
      <c r="W69" s="214"/>
      <c r="X69" s="214"/>
      <c r="Y69" s="77">
        <v>0.0</v>
      </c>
      <c r="Z69" s="77"/>
    </row>
    <row r="70">
      <c r="A70" s="145" t="s">
        <v>436</v>
      </c>
      <c r="B70" s="145" t="s">
        <v>1636</v>
      </c>
      <c r="C70" s="145" t="s">
        <v>1543</v>
      </c>
      <c r="D70" s="75" t="s">
        <v>1544</v>
      </c>
      <c r="E70" s="75" t="s">
        <v>1544</v>
      </c>
      <c r="F70" s="211" t="s">
        <v>1575</v>
      </c>
      <c r="G70" s="145" t="s">
        <v>1862</v>
      </c>
      <c r="H70" s="211" t="s">
        <v>77</v>
      </c>
      <c r="I70" s="145" t="s">
        <v>413</v>
      </c>
      <c r="J70" s="211" t="s">
        <v>1577</v>
      </c>
      <c r="K70" s="75" t="s">
        <v>1544</v>
      </c>
      <c r="L70" s="152" t="b">
        <v>1</v>
      </c>
      <c r="M70" s="152" t="b">
        <v>0</v>
      </c>
      <c r="N70" s="212" t="s">
        <v>1865</v>
      </c>
      <c r="O70" s="213" t="s">
        <v>1554</v>
      </c>
      <c r="P70" s="47" t="b">
        <v>1</v>
      </c>
      <c r="Q70" s="47" t="b">
        <v>0</v>
      </c>
      <c r="R70" s="214"/>
      <c r="S70" s="77">
        <v>0.0</v>
      </c>
      <c r="T70" s="76" t="s">
        <v>1176</v>
      </c>
      <c r="U70" s="78">
        <v>6344891.0</v>
      </c>
      <c r="V70" s="215"/>
      <c r="W70" s="77">
        <v>6000000.0</v>
      </c>
      <c r="X70" s="77">
        <v>60000.0</v>
      </c>
      <c r="Y70" s="77">
        <v>20000.0</v>
      </c>
      <c r="Z70" s="77"/>
    </row>
    <row r="71">
      <c r="A71" s="145" t="s">
        <v>1392</v>
      </c>
      <c r="B71" s="145" t="s">
        <v>1707</v>
      </c>
      <c r="C71" s="145" t="s">
        <v>1543</v>
      </c>
      <c r="D71" s="75" t="s">
        <v>1544</v>
      </c>
      <c r="E71" s="75" t="s">
        <v>1544</v>
      </c>
      <c r="F71" s="211" t="s">
        <v>1575</v>
      </c>
      <c r="G71" s="145" t="s">
        <v>1867</v>
      </c>
      <c r="H71" s="211" t="s">
        <v>77</v>
      </c>
      <c r="I71" s="145" t="s">
        <v>327</v>
      </c>
      <c r="J71" s="211" t="s">
        <v>1577</v>
      </c>
      <c r="K71" s="75" t="s">
        <v>1544</v>
      </c>
      <c r="L71" s="152" t="b">
        <v>1</v>
      </c>
      <c r="M71" s="152" t="b">
        <v>0</v>
      </c>
      <c r="N71" s="212" t="s">
        <v>1868</v>
      </c>
      <c r="O71" s="213" t="s">
        <v>1554</v>
      </c>
      <c r="P71" s="47" t="b">
        <v>1</v>
      </c>
      <c r="Q71" s="47" t="b">
        <v>0</v>
      </c>
      <c r="R71" s="214"/>
      <c r="S71" s="77">
        <v>0.0</v>
      </c>
      <c r="T71" s="76" t="s">
        <v>1176</v>
      </c>
      <c r="U71" s="78">
        <v>5616198.0</v>
      </c>
      <c r="V71" s="215"/>
      <c r="W71" s="77">
        <v>6000000.0</v>
      </c>
      <c r="X71" s="77">
        <v>60000.0</v>
      </c>
      <c r="Y71" s="77">
        <v>20000.0</v>
      </c>
      <c r="Z71" s="77"/>
    </row>
    <row r="72">
      <c r="A72" s="145" t="s">
        <v>1299</v>
      </c>
      <c r="B72" s="145" t="s">
        <v>1585</v>
      </c>
      <c r="C72" s="145" t="s">
        <v>1543</v>
      </c>
      <c r="D72" s="75" t="s">
        <v>1544</v>
      </c>
      <c r="E72" s="75" t="s">
        <v>1544</v>
      </c>
      <c r="F72" s="211" t="s">
        <v>1575</v>
      </c>
      <c r="G72" s="145" t="s">
        <v>1870</v>
      </c>
      <c r="H72" s="211" t="s">
        <v>77</v>
      </c>
      <c r="I72" s="145" t="s">
        <v>140</v>
      </c>
      <c r="J72" s="211" t="s">
        <v>1577</v>
      </c>
      <c r="K72" s="75" t="s">
        <v>1544</v>
      </c>
      <c r="L72" s="152" t="b">
        <v>1</v>
      </c>
      <c r="M72" s="152" t="b">
        <v>0</v>
      </c>
      <c r="N72" s="212" t="s">
        <v>1872</v>
      </c>
      <c r="O72" s="213" t="s">
        <v>1554</v>
      </c>
      <c r="P72" s="47" t="b">
        <v>1</v>
      </c>
      <c r="Q72" s="47" t="b">
        <v>0</v>
      </c>
      <c r="R72" s="214"/>
      <c r="S72" s="77">
        <v>0.0</v>
      </c>
      <c r="T72" s="76" t="s">
        <v>1162</v>
      </c>
      <c r="U72" s="78">
        <v>4704712.0</v>
      </c>
      <c r="V72" s="215"/>
      <c r="W72" s="77">
        <v>4000000.0</v>
      </c>
      <c r="X72" s="77">
        <v>40000.0</v>
      </c>
      <c r="Y72" s="77">
        <v>20000.0</v>
      </c>
      <c r="Z72" s="77"/>
    </row>
    <row r="73">
      <c r="A73" s="145" t="s">
        <v>1523</v>
      </c>
      <c r="B73" s="145" t="s">
        <v>1542</v>
      </c>
      <c r="C73" s="145" t="s">
        <v>1543</v>
      </c>
      <c r="D73" s="75" t="s">
        <v>1544</v>
      </c>
      <c r="E73" s="75" t="s">
        <v>1544</v>
      </c>
      <c r="F73" s="211" t="s">
        <v>1575</v>
      </c>
      <c r="G73" s="145" t="s">
        <v>1874</v>
      </c>
      <c r="H73" s="211" t="s">
        <v>77</v>
      </c>
      <c r="I73" s="145" t="s">
        <v>340</v>
      </c>
      <c r="J73" s="211" t="s">
        <v>1577</v>
      </c>
      <c r="K73" s="75" t="s">
        <v>1544</v>
      </c>
      <c r="L73" s="152" t="b">
        <v>1</v>
      </c>
      <c r="M73" s="152" t="b">
        <v>0</v>
      </c>
      <c r="N73" s="212" t="s">
        <v>1875</v>
      </c>
      <c r="O73" s="213" t="s">
        <v>1554</v>
      </c>
      <c r="P73" s="47" t="b">
        <v>1</v>
      </c>
      <c r="Q73" s="47" t="b">
        <v>0</v>
      </c>
      <c r="R73" s="214"/>
      <c r="S73" s="77">
        <v>0.0</v>
      </c>
      <c r="T73" s="76" t="s">
        <v>1179</v>
      </c>
      <c r="U73" s="78">
        <v>5633980.0</v>
      </c>
      <c r="V73" s="215"/>
      <c r="W73" s="77">
        <v>6000000.0</v>
      </c>
      <c r="X73" s="77">
        <v>60000.0</v>
      </c>
      <c r="Y73" s="77">
        <v>20000.0</v>
      </c>
      <c r="Z73" s="77"/>
    </row>
    <row r="74">
      <c r="A74" s="145" t="s">
        <v>587</v>
      </c>
      <c r="B74" s="145" t="s">
        <v>587</v>
      </c>
      <c r="C74" s="145" t="s">
        <v>1266</v>
      </c>
      <c r="D74" s="75" t="s">
        <v>1544</v>
      </c>
      <c r="E74" s="75" t="s">
        <v>1544</v>
      </c>
      <c r="F74" s="211" t="s">
        <v>1602</v>
      </c>
      <c r="G74" s="145" t="s">
        <v>588</v>
      </c>
      <c r="H74" s="211" t="s">
        <v>87</v>
      </c>
      <c r="I74" s="145" t="s">
        <v>267</v>
      </c>
      <c r="J74" s="211" t="s">
        <v>1603</v>
      </c>
      <c r="K74" s="75" t="s">
        <v>1544</v>
      </c>
      <c r="L74" s="152" t="b">
        <v>0</v>
      </c>
      <c r="M74" s="152" t="b">
        <v>0</v>
      </c>
      <c r="N74" s="217"/>
      <c r="O74" s="213" t="s">
        <v>1554</v>
      </c>
      <c r="P74" s="47" t="b">
        <v>0</v>
      </c>
      <c r="Q74" s="47" t="b">
        <v>0</v>
      </c>
      <c r="R74" s="214"/>
      <c r="S74" s="77">
        <v>0.0</v>
      </c>
      <c r="T74" s="76" t="s">
        <v>1162</v>
      </c>
      <c r="U74" s="215"/>
      <c r="V74" s="215"/>
      <c r="W74" s="214"/>
      <c r="X74" s="214"/>
      <c r="Y74" s="77">
        <v>1.0</v>
      </c>
      <c r="Z74" s="77"/>
    </row>
    <row r="75">
      <c r="A75" s="145" t="s">
        <v>521</v>
      </c>
      <c r="B75" s="145" t="s">
        <v>1632</v>
      </c>
      <c r="C75" s="145" t="s">
        <v>1543</v>
      </c>
      <c r="D75" s="75" t="s">
        <v>1544</v>
      </c>
      <c r="E75" s="75" t="s">
        <v>1544</v>
      </c>
      <c r="F75" s="211" t="s">
        <v>1547</v>
      </c>
      <c r="G75" s="145" t="s">
        <v>1881</v>
      </c>
      <c r="H75" s="211" t="s">
        <v>77</v>
      </c>
      <c r="I75" s="145" t="s">
        <v>325</v>
      </c>
      <c r="J75" s="211" t="s">
        <v>1549</v>
      </c>
      <c r="K75" s="75" t="s">
        <v>1544</v>
      </c>
      <c r="L75" s="152" t="b">
        <v>1</v>
      </c>
      <c r="M75" s="152" t="b">
        <v>0</v>
      </c>
      <c r="N75" s="212" t="s">
        <v>1883</v>
      </c>
      <c r="O75" s="213" t="s">
        <v>1554</v>
      </c>
      <c r="P75" s="47" t="b">
        <v>1</v>
      </c>
      <c r="Q75" s="47" t="b">
        <v>0</v>
      </c>
      <c r="R75" s="214"/>
      <c r="S75" s="77">
        <v>0.0</v>
      </c>
      <c r="T75" s="76" t="s">
        <v>1176</v>
      </c>
      <c r="U75" s="78">
        <v>1.0008457E7</v>
      </c>
      <c r="V75" s="215"/>
      <c r="W75" s="77">
        <v>1.0E7</v>
      </c>
      <c r="X75" s="77">
        <v>100000.0</v>
      </c>
      <c r="Y75" s="77">
        <v>40000.0</v>
      </c>
      <c r="Z75" s="77"/>
    </row>
    <row r="76">
      <c r="A76" s="145" t="s">
        <v>461</v>
      </c>
      <c r="B76" s="145" t="s">
        <v>1636</v>
      </c>
      <c r="C76" s="145" t="s">
        <v>1543</v>
      </c>
      <c r="D76" s="75" t="s">
        <v>1544</v>
      </c>
      <c r="E76" s="75" t="s">
        <v>1544</v>
      </c>
      <c r="F76" s="211" t="s">
        <v>1547</v>
      </c>
      <c r="G76" s="145" t="s">
        <v>1886</v>
      </c>
      <c r="H76" s="211" t="s">
        <v>77</v>
      </c>
      <c r="I76" s="145" t="s">
        <v>413</v>
      </c>
      <c r="J76" s="211" t="s">
        <v>1549</v>
      </c>
      <c r="K76" s="75" t="s">
        <v>1544</v>
      </c>
      <c r="L76" s="152" t="b">
        <v>1</v>
      </c>
      <c r="M76" s="152" t="b">
        <v>0</v>
      </c>
      <c r="N76" s="212" t="s">
        <v>1887</v>
      </c>
      <c r="O76" s="213" t="s">
        <v>1554</v>
      </c>
      <c r="P76" s="47" t="b">
        <v>1</v>
      </c>
      <c r="Q76" s="47" t="b">
        <v>0</v>
      </c>
      <c r="R76" s="214"/>
      <c r="S76" s="77">
        <v>0.0</v>
      </c>
      <c r="T76" s="76" t="s">
        <v>1179</v>
      </c>
      <c r="U76" s="78">
        <v>1.1334813E7</v>
      </c>
      <c r="V76" s="215"/>
      <c r="W76" s="77">
        <v>1.2E7</v>
      </c>
      <c r="X76" s="77">
        <v>120000.0</v>
      </c>
      <c r="Y76" s="77">
        <v>40000.0</v>
      </c>
      <c r="Z76" s="77"/>
    </row>
    <row r="77">
      <c r="A77" s="145" t="s">
        <v>466</v>
      </c>
      <c r="B77" s="145" t="s">
        <v>1595</v>
      </c>
      <c r="C77" s="145" t="s">
        <v>1543</v>
      </c>
      <c r="D77" s="75" t="s">
        <v>1544</v>
      </c>
      <c r="E77" s="75" t="s">
        <v>1544</v>
      </c>
      <c r="F77" s="211" t="s">
        <v>1607</v>
      </c>
      <c r="G77" s="145" t="s">
        <v>748</v>
      </c>
      <c r="H77" s="211" t="s">
        <v>1018</v>
      </c>
      <c r="I77" s="145" t="s">
        <v>113</v>
      </c>
      <c r="J77" s="211" t="s">
        <v>1609</v>
      </c>
      <c r="K77" s="75" t="s">
        <v>1544</v>
      </c>
      <c r="L77" s="152" t="b">
        <v>1</v>
      </c>
      <c r="M77" s="152" t="b">
        <v>0</v>
      </c>
      <c r="N77" s="212" t="s">
        <v>1890</v>
      </c>
      <c r="O77" s="213" t="s">
        <v>1554</v>
      </c>
      <c r="P77" s="47" t="b">
        <v>1</v>
      </c>
      <c r="Q77" s="47" t="b">
        <v>0</v>
      </c>
      <c r="R77" s="214"/>
      <c r="S77" s="77">
        <v>0.0</v>
      </c>
      <c r="T77" s="76" t="s">
        <v>1156</v>
      </c>
      <c r="U77" s="78">
        <v>7476733.0</v>
      </c>
      <c r="V77" s="215"/>
      <c r="W77" s="77">
        <v>8000000.0</v>
      </c>
      <c r="X77" s="77">
        <v>64000.0</v>
      </c>
      <c r="Y77" s="77">
        <v>2400000.0</v>
      </c>
      <c r="Z77" s="77"/>
    </row>
    <row r="78">
      <c r="A78" s="145" t="s">
        <v>467</v>
      </c>
      <c r="B78" s="145" t="s">
        <v>1585</v>
      </c>
      <c r="C78" s="145" t="s">
        <v>1543</v>
      </c>
      <c r="D78" s="75" t="s">
        <v>1544</v>
      </c>
      <c r="E78" s="75" t="s">
        <v>1544</v>
      </c>
      <c r="F78" s="211" t="s">
        <v>1765</v>
      </c>
      <c r="G78" s="145" t="s">
        <v>823</v>
      </c>
      <c r="H78" s="211" t="s">
        <v>77</v>
      </c>
      <c r="I78" s="145" t="s">
        <v>140</v>
      </c>
      <c r="J78" s="211" t="s">
        <v>1639</v>
      </c>
      <c r="K78" s="75" t="s">
        <v>1544</v>
      </c>
      <c r="L78" s="152" t="b">
        <v>1</v>
      </c>
      <c r="M78" s="152" t="b">
        <v>0</v>
      </c>
      <c r="N78" s="212" t="s">
        <v>1895</v>
      </c>
      <c r="O78" s="213" t="s">
        <v>1554</v>
      </c>
      <c r="P78" s="47" t="b">
        <v>1</v>
      </c>
      <c r="Q78" s="47" t="b">
        <v>0</v>
      </c>
      <c r="R78" s="214"/>
      <c r="S78" s="77">
        <v>0.0</v>
      </c>
      <c r="T78" s="76" t="s">
        <v>1156</v>
      </c>
      <c r="U78" s="78">
        <v>5922655.0</v>
      </c>
      <c r="V78" s="215"/>
      <c r="W78" s="77">
        <v>6000000.0</v>
      </c>
      <c r="X78" s="77">
        <v>60000.0</v>
      </c>
      <c r="Y78" s="77">
        <v>1800000.0</v>
      </c>
      <c r="Z78" s="77"/>
    </row>
    <row r="79">
      <c r="A79" s="145" t="s">
        <v>50</v>
      </c>
      <c r="B79" s="145" t="s">
        <v>1595</v>
      </c>
      <c r="C79" s="145" t="s">
        <v>1543</v>
      </c>
      <c r="D79" s="75" t="s">
        <v>1544</v>
      </c>
      <c r="E79" s="75" t="s">
        <v>1544</v>
      </c>
      <c r="F79" s="211" t="s">
        <v>1897</v>
      </c>
      <c r="G79" s="145" t="s">
        <v>765</v>
      </c>
      <c r="H79" s="211" t="s">
        <v>1018</v>
      </c>
      <c r="I79" s="145" t="s">
        <v>113</v>
      </c>
      <c r="J79" s="211" t="s">
        <v>1899</v>
      </c>
      <c r="K79" s="75" t="s">
        <v>1544</v>
      </c>
      <c r="L79" s="152" t="b">
        <v>1</v>
      </c>
      <c r="M79" s="152" t="b">
        <v>0</v>
      </c>
      <c r="N79" s="212" t="s">
        <v>1900</v>
      </c>
      <c r="O79" s="213" t="s">
        <v>1554</v>
      </c>
      <c r="P79" s="47" t="b">
        <v>1</v>
      </c>
      <c r="Q79" s="47" t="b">
        <v>0</v>
      </c>
      <c r="R79" s="214"/>
      <c r="S79" s="77">
        <v>0.0</v>
      </c>
      <c r="T79" s="76" t="s">
        <v>1156</v>
      </c>
      <c r="U79" s="78">
        <v>4.1553152E7</v>
      </c>
      <c r="V79" s="215"/>
      <c r="W79" s="77">
        <v>4.2E7</v>
      </c>
      <c r="X79" s="77">
        <v>336000.0</v>
      </c>
      <c r="Y79" s="77">
        <v>1.26E7</v>
      </c>
      <c r="Z79" s="77"/>
    </row>
    <row r="80">
      <c r="A80" s="145" t="s">
        <v>547</v>
      </c>
      <c r="B80" s="145" t="s">
        <v>1564</v>
      </c>
      <c r="C80" s="145" t="s">
        <v>1543</v>
      </c>
      <c r="D80" s="75" t="s">
        <v>1544</v>
      </c>
      <c r="E80" s="75" t="s">
        <v>1544</v>
      </c>
      <c r="F80" s="211" t="s">
        <v>1547</v>
      </c>
      <c r="G80" s="145" t="s">
        <v>1902</v>
      </c>
      <c r="H80" s="211" t="s">
        <v>77</v>
      </c>
      <c r="I80" s="145" t="s">
        <v>338</v>
      </c>
      <c r="J80" s="211" t="s">
        <v>1549</v>
      </c>
      <c r="K80" s="75" t="s">
        <v>1544</v>
      </c>
      <c r="L80" s="152" t="b">
        <v>1</v>
      </c>
      <c r="M80" s="152" t="b">
        <v>0</v>
      </c>
      <c r="N80" s="212" t="s">
        <v>1904</v>
      </c>
      <c r="O80" s="213" t="s">
        <v>1554</v>
      </c>
      <c r="P80" s="47" t="b">
        <v>1</v>
      </c>
      <c r="Q80" s="47" t="b">
        <v>0</v>
      </c>
      <c r="R80" s="214"/>
      <c r="S80" s="77">
        <v>0.0</v>
      </c>
      <c r="T80" s="76" t="s">
        <v>1179</v>
      </c>
      <c r="U80" s="78">
        <v>1.1501263E7</v>
      </c>
      <c r="V80" s="215"/>
      <c r="W80" s="77">
        <v>1.2E7</v>
      </c>
      <c r="X80" s="77">
        <v>120000.0</v>
      </c>
      <c r="Y80" s="77">
        <v>40000.0</v>
      </c>
      <c r="Z80" s="77"/>
    </row>
    <row r="81">
      <c r="A81" s="145" t="s">
        <v>604</v>
      </c>
      <c r="B81" s="145" t="s">
        <v>1689</v>
      </c>
      <c r="C81" s="145" t="s">
        <v>1543</v>
      </c>
      <c r="D81" s="75" t="s">
        <v>1544</v>
      </c>
      <c r="E81" s="75" t="s">
        <v>1544</v>
      </c>
      <c r="F81" s="211" t="s">
        <v>1690</v>
      </c>
      <c r="G81" s="145" t="s">
        <v>1566</v>
      </c>
      <c r="H81" s="211" t="s">
        <v>586</v>
      </c>
      <c r="I81" s="145" t="s">
        <v>162</v>
      </c>
      <c r="J81" s="211" t="s">
        <v>1597</v>
      </c>
      <c r="K81" s="75" t="s">
        <v>1544</v>
      </c>
      <c r="L81" s="152" t="b">
        <v>1</v>
      </c>
      <c r="M81" s="152" t="b">
        <v>0</v>
      </c>
      <c r="N81" s="212" t="s">
        <v>1906</v>
      </c>
      <c r="O81" s="213" t="s">
        <v>1554</v>
      </c>
      <c r="P81" s="47" t="b">
        <v>1</v>
      </c>
      <c r="Q81" s="47" t="b">
        <v>0</v>
      </c>
      <c r="R81" s="214"/>
      <c r="S81" s="77">
        <v>0.0</v>
      </c>
      <c r="T81" s="76" t="s">
        <v>1179</v>
      </c>
      <c r="U81" s="78">
        <v>2.0943098E7</v>
      </c>
      <c r="V81" s="215"/>
      <c r="W81" s="77">
        <v>2.0E7</v>
      </c>
      <c r="X81" s="77">
        <v>140000.0</v>
      </c>
      <c r="Y81" s="77">
        <v>100000.0</v>
      </c>
      <c r="Z81" s="77"/>
    </row>
    <row r="82">
      <c r="A82" s="145" t="s">
        <v>498</v>
      </c>
      <c r="B82" s="145" t="s">
        <v>1595</v>
      </c>
      <c r="C82" s="145" t="s">
        <v>1543</v>
      </c>
      <c r="D82" s="75" t="s">
        <v>1544</v>
      </c>
      <c r="E82" s="75" t="s">
        <v>1544</v>
      </c>
      <c r="F82" s="211" t="s">
        <v>1666</v>
      </c>
      <c r="G82" s="145" t="s">
        <v>784</v>
      </c>
      <c r="H82" s="211" t="s">
        <v>1018</v>
      </c>
      <c r="I82" s="145" t="s">
        <v>113</v>
      </c>
      <c r="J82" s="211" t="s">
        <v>1667</v>
      </c>
      <c r="K82" s="75" t="s">
        <v>1544</v>
      </c>
      <c r="L82" s="152" t="b">
        <v>1</v>
      </c>
      <c r="M82" s="152" t="b">
        <v>0</v>
      </c>
      <c r="N82" s="212" t="s">
        <v>1910</v>
      </c>
      <c r="O82" s="213" t="s">
        <v>1554</v>
      </c>
      <c r="P82" s="47" t="b">
        <v>1</v>
      </c>
      <c r="Q82" s="47" t="b">
        <v>0</v>
      </c>
      <c r="R82" s="214"/>
      <c r="S82" s="77">
        <v>0.0</v>
      </c>
      <c r="T82" s="76" t="s">
        <v>1156</v>
      </c>
      <c r="U82" s="78">
        <v>1.1757806E7</v>
      </c>
      <c r="V82" s="215"/>
      <c r="W82" s="77">
        <v>1.2E7</v>
      </c>
      <c r="X82" s="77">
        <v>96000.0</v>
      </c>
      <c r="Y82" s="77">
        <v>3600000.0</v>
      </c>
      <c r="Z82" s="77"/>
    </row>
    <row r="83">
      <c r="A83" s="145" t="s">
        <v>1913</v>
      </c>
      <c r="B83" s="145" t="s">
        <v>1913</v>
      </c>
      <c r="C83" s="145" t="s">
        <v>1266</v>
      </c>
      <c r="D83" s="75" t="s">
        <v>1544</v>
      </c>
      <c r="E83" s="75" t="s">
        <v>1601</v>
      </c>
      <c r="F83" s="211" t="s">
        <v>1591</v>
      </c>
      <c r="G83" s="145" t="s">
        <v>1592</v>
      </c>
      <c r="H83" s="211" t="s">
        <v>87</v>
      </c>
      <c r="I83" s="145" t="s">
        <v>267</v>
      </c>
      <c r="J83" s="211" t="s">
        <v>87</v>
      </c>
      <c r="K83" s="75" t="s">
        <v>1544</v>
      </c>
      <c r="L83" s="152" t="b">
        <v>0</v>
      </c>
      <c r="M83" s="152" t="b">
        <v>0</v>
      </c>
      <c r="N83" s="217"/>
      <c r="O83" s="213" t="s">
        <v>1554</v>
      </c>
      <c r="P83" s="47" t="b">
        <v>0</v>
      </c>
      <c r="Q83" s="47" t="b">
        <v>0</v>
      </c>
      <c r="R83" s="214"/>
      <c r="S83" s="77">
        <v>0.0</v>
      </c>
      <c r="T83" s="214"/>
      <c r="U83" s="215"/>
      <c r="V83" s="215"/>
      <c r="W83" s="214"/>
      <c r="X83" s="214"/>
      <c r="Y83" s="77">
        <v>1.0E7</v>
      </c>
      <c r="Z83" s="77"/>
    </row>
    <row r="84">
      <c r="A84" s="145" t="s">
        <v>425</v>
      </c>
      <c r="B84" s="145" t="s">
        <v>1636</v>
      </c>
      <c r="C84" s="145" t="s">
        <v>1543</v>
      </c>
      <c r="D84" s="75" t="s">
        <v>1544</v>
      </c>
      <c r="E84" s="75" t="s">
        <v>1544</v>
      </c>
      <c r="F84" s="211" t="s">
        <v>1547</v>
      </c>
      <c r="G84" s="145" t="s">
        <v>1917</v>
      </c>
      <c r="H84" s="211" t="s">
        <v>77</v>
      </c>
      <c r="I84" s="145" t="s">
        <v>413</v>
      </c>
      <c r="J84" s="211" t="s">
        <v>1549</v>
      </c>
      <c r="K84" s="75" t="s">
        <v>1544</v>
      </c>
      <c r="L84" s="152" t="b">
        <v>1</v>
      </c>
      <c r="M84" s="152" t="b">
        <v>0</v>
      </c>
      <c r="N84" s="212" t="s">
        <v>1918</v>
      </c>
      <c r="O84" s="213" t="s">
        <v>1554</v>
      </c>
      <c r="P84" s="47" t="b">
        <v>1</v>
      </c>
      <c r="Q84" s="47" t="b">
        <v>0</v>
      </c>
      <c r="R84" s="214"/>
      <c r="S84" s="77">
        <v>0.0</v>
      </c>
      <c r="T84" s="76" t="s">
        <v>1176</v>
      </c>
      <c r="U84" s="78">
        <v>1.0095122E7</v>
      </c>
      <c r="V84" s="215"/>
      <c r="W84" s="77">
        <v>1.0E7</v>
      </c>
      <c r="X84" s="77">
        <v>100000.0</v>
      </c>
      <c r="Y84" s="77">
        <v>40000.0</v>
      </c>
      <c r="Z84" s="77"/>
    </row>
    <row r="85">
      <c r="A85" s="145" t="s">
        <v>289</v>
      </c>
      <c r="B85" s="145" t="s">
        <v>1605</v>
      </c>
      <c r="C85" s="145" t="s">
        <v>1543</v>
      </c>
      <c r="D85" s="75" t="s">
        <v>1544</v>
      </c>
      <c r="E85" s="75" t="s">
        <v>1544</v>
      </c>
      <c r="F85" s="211" t="s">
        <v>1920</v>
      </c>
      <c r="G85" s="145" t="s">
        <v>893</v>
      </c>
      <c r="H85" s="211" t="s">
        <v>77</v>
      </c>
      <c r="I85" s="145" t="s">
        <v>329</v>
      </c>
      <c r="J85" s="211" t="s">
        <v>1609</v>
      </c>
      <c r="K85" s="75" t="s">
        <v>1544</v>
      </c>
      <c r="L85" s="152" t="b">
        <v>1</v>
      </c>
      <c r="M85" s="152" t="b">
        <v>0</v>
      </c>
      <c r="N85" s="212" t="s">
        <v>1922</v>
      </c>
      <c r="O85" s="213" t="s">
        <v>1554</v>
      </c>
      <c r="P85" s="47" t="b">
        <v>1</v>
      </c>
      <c r="Q85" s="47" t="b">
        <v>0</v>
      </c>
      <c r="R85" s="214"/>
      <c r="S85" s="77">
        <v>0.0</v>
      </c>
      <c r="T85" s="76" t="s">
        <v>1162</v>
      </c>
      <c r="U85" s="78">
        <v>1.4944111E7</v>
      </c>
      <c r="V85" s="215"/>
      <c r="W85" s="77">
        <v>1.4E7</v>
      </c>
      <c r="X85" s="77">
        <v>140000.0</v>
      </c>
      <c r="Y85" s="77">
        <v>163080.0</v>
      </c>
      <c r="Z85" s="77"/>
    </row>
    <row r="86">
      <c r="A86" s="145" t="s">
        <v>324</v>
      </c>
      <c r="B86" s="145" t="s">
        <v>1605</v>
      </c>
      <c r="C86" s="145" t="s">
        <v>1543</v>
      </c>
      <c r="D86" s="75" t="s">
        <v>1544</v>
      </c>
      <c r="E86" s="75" t="s">
        <v>1544</v>
      </c>
      <c r="F86" s="211" t="s">
        <v>1607</v>
      </c>
      <c r="G86" s="145" t="s">
        <v>861</v>
      </c>
      <c r="H86" s="211" t="s">
        <v>77</v>
      </c>
      <c r="I86" s="145" t="s">
        <v>329</v>
      </c>
      <c r="J86" s="211" t="s">
        <v>1609</v>
      </c>
      <c r="K86" s="75" t="s">
        <v>1544</v>
      </c>
      <c r="L86" s="152" t="b">
        <v>1</v>
      </c>
      <c r="M86" s="152" t="b">
        <v>0</v>
      </c>
      <c r="N86" s="212" t="s">
        <v>1924</v>
      </c>
      <c r="O86" s="213" t="s">
        <v>1554</v>
      </c>
      <c r="P86" s="47" t="b">
        <v>1</v>
      </c>
      <c r="Q86" s="47" t="b">
        <v>0</v>
      </c>
      <c r="R86" s="214"/>
      <c r="S86" s="77">
        <v>0.0</v>
      </c>
      <c r="T86" s="76" t="s">
        <v>1156</v>
      </c>
      <c r="U86" s="78">
        <v>8763358.0</v>
      </c>
      <c r="V86" s="215"/>
      <c r="W86" s="77">
        <v>8000000.0</v>
      </c>
      <c r="X86" s="77">
        <v>80000.0</v>
      </c>
      <c r="Y86" s="77">
        <v>2400000.0</v>
      </c>
      <c r="Z86" s="77"/>
    </row>
    <row r="87">
      <c r="A87" s="145" t="s">
        <v>444</v>
      </c>
      <c r="B87" s="145" t="s">
        <v>1595</v>
      </c>
      <c r="C87" s="145" t="s">
        <v>1543</v>
      </c>
      <c r="D87" s="75" t="s">
        <v>1544</v>
      </c>
      <c r="E87" s="75" t="s">
        <v>1544</v>
      </c>
      <c r="F87" s="211" t="s">
        <v>1666</v>
      </c>
      <c r="G87" s="145" t="s">
        <v>764</v>
      </c>
      <c r="H87" s="211" t="s">
        <v>1018</v>
      </c>
      <c r="I87" s="145" t="s">
        <v>113</v>
      </c>
      <c r="J87" s="211" t="s">
        <v>1667</v>
      </c>
      <c r="K87" s="75" t="s">
        <v>1544</v>
      </c>
      <c r="L87" s="152" t="b">
        <v>1</v>
      </c>
      <c r="M87" s="152" t="b">
        <v>0</v>
      </c>
      <c r="N87" s="212" t="s">
        <v>1928</v>
      </c>
      <c r="O87" s="213" t="s">
        <v>1554</v>
      </c>
      <c r="P87" s="47" t="b">
        <v>1</v>
      </c>
      <c r="Q87" s="47" t="b">
        <v>0</v>
      </c>
      <c r="R87" s="214"/>
      <c r="S87" s="77">
        <v>0.0</v>
      </c>
      <c r="T87" s="76" t="s">
        <v>1156</v>
      </c>
      <c r="U87" s="78">
        <v>1.2675262E7</v>
      </c>
      <c r="V87" s="215"/>
      <c r="W87" s="77">
        <v>1.2E7</v>
      </c>
      <c r="X87" s="77">
        <v>96000.0</v>
      </c>
      <c r="Y87" s="77">
        <v>3600000.0</v>
      </c>
      <c r="Z87" s="77"/>
    </row>
    <row r="88">
      <c r="A88" s="145" t="s">
        <v>1877</v>
      </c>
      <c r="B88" s="145" t="s">
        <v>1658</v>
      </c>
      <c r="C88" s="145" t="s">
        <v>1543</v>
      </c>
      <c r="D88" s="75" t="s">
        <v>1544</v>
      </c>
      <c r="E88" s="75" t="s">
        <v>1544</v>
      </c>
      <c r="F88" s="211" t="s">
        <v>1851</v>
      </c>
      <c r="G88" s="145" t="s">
        <v>1930</v>
      </c>
      <c r="H88" s="211" t="s">
        <v>1018</v>
      </c>
      <c r="I88" s="145" t="s">
        <v>92</v>
      </c>
      <c r="J88" s="211" t="s">
        <v>1639</v>
      </c>
      <c r="K88" s="75" t="s">
        <v>1544</v>
      </c>
      <c r="L88" s="152" t="b">
        <v>1</v>
      </c>
      <c r="M88" s="152" t="b">
        <v>0</v>
      </c>
      <c r="N88" s="212" t="s">
        <v>1933</v>
      </c>
      <c r="O88" s="213" t="s">
        <v>1554</v>
      </c>
      <c r="P88" s="47" t="b">
        <v>1</v>
      </c>
      <c r="Q88" s="47" t="b">
        <v>0</v>
      </c>
      <c r="R88" s="214"/>
      <c r="S88" s="77">
        <v>0.0</v>
      </c>
      <c r="T88" s="76" t="s">
        <v>1179</v>
      </c>
      <c r="U88" s="78">
        <v>1.5963145E7</v>
      </c>
      <c r="V88" s="215"/>
      <c r="W88" s="77">
        <v>1.6E7</v>
      </c>
      <c r="X88" s="77">
        <v>128000.0</v>
      </c>
      <c r="Y88" s="77">
        <v>48000.0</v>
      </c>
      <c r="Z88" s="77"/>
    </row>
    <row r="89">
      <c r="A89" s="145" t="s">
        <v>1234</v>
      </c>
      <c r="B89" s="145" t="s">
        <v>1234</v>
      </c>
      <c r="C89" s="145" t="s">
        <v>1266</v>
      </c>
      <c r="D89" s="75" t="s">
        <v>1544</v>
      </c>
      <c r="E89" s="75" t="s">
        <v>1601</v>
      </c>
      <c r="F89" s="211" t="s">
        <v>1602</v>
      </c>
      <c r="G89" s="145" t="s">
        <v>1235</v>
      </c>
      <c r="H89" s="211" t="s">
        <v>87</v>
      </c>
      <c r="I89" s="145" t="s">
        <v>267</v>
      </c>
      <c r="J89" s="211" t="s">
        <v>1603</v>
      </c>
      <c r="K89" s="75" t="s">
        <v>1544</v>
      </c>
      <c r="L89" s="152" t="b">
        <v>0</v>
      </c>
      <c r="M89" s="152" t="b">
        <v>0</v>
      </c>
      <c r="N89" s="217"/>
      <c r="O89" s="213" t="s">
        <v>1554</v>
      </c>
      <c r="P89" s="47" t="b">
        <v>0</v>
      </c>
      <c r="Q89" s="47" t="b">
        <v>0</v>
      </c>
      <c r="R89" s="214"/>
      <c r="S89" s="77">
        <v>0.0</v>
      </c>
      <c r="T89" s="214"/>
      <c r="U89" s="215"/>
      <c r="V89" s="215"/>
      <c r="W89" s="214"/>
      <c r="X89" s="214"/>
      <c r="Y89" s="77">
        <v>1.0</v>
      </c>
      <c r="Z89" s="77"/>
    </row>
    <row r="90">
      <c r="A90" s="145" t="s">
        <v>1843</v>
      </c>
      <c r="B90" s="145" t="s">
        <v>1542</v>
      </c>
      <c r="C90" s="145" t="s">
        <v>1543</v>
      </c>
      <c r="D90" s="75" t="s">
        <v>1544</v>
      </c>
      <c r="E90" s="75" t="s">
        <v>1544</v>
      </c>
      <c r="F90" s="211" t="s">
        <v>1575</v>
      </c>
      <c r="G90" s="145" t="s">
        <v>1939</v>
      </c>
      <c r="H90" s="211" t="s">
        <v>77</v>
      </c>
      <c r="I90" s="145" t="s">
        <v>340</v>
      </c>
      <c r="J90" s="211" t="s">
        <v>1577</v>
      </c>
      <c r="K90" s="75" t="s">
        <v>1544</v>
      </c>
      <c r="L90" s="152" t="b">
        <v>1</v>
      </c>
      <c r="M90" s="152" t="b">
        <v>0</v>
      </c>
      <c r="N90" s="212" t="s">
        <v>1940</v>
      </c>
      <c r="O90" s="213" t="s">
        <v>1554</v>
      </c>
      <c r="P90" s="47" t="b">
        <v>1</v>
      </c>
      <c r="Q90" s="47" t="b">
        <v>0</v>
      </c>
      <c r="R90" s="214"/>
      <c r="S90" s="77">
        <v>0.0</v>
      </c>
      <c r="T90" s="76" t="s">
        <v>1179</v>
      </c>
      <c r="U90" s="78">
        <v>6134690.0</v>
      </c>
      <c r="V90" s="215"/>
      <c r="W90" s="77">
        <v>6000000.0</v>
      </c>
      <c r="X90" s="77">
        <v>60000.0</v>
      </c>
      <c r="Y90" s="77">
        <v>20000.0</v>
      </c>
      <c r="Z90" s="77"/>
    </row>
    <row r="91">
      <c r="A91" s="145" t="s">
        <v>1587</v>
      </c>
      <c r="B91" s="145" t="s">
        <v>1587</v>
      </c>
      <c r="C91" s="145" t="s">
        <v>1266</v>
      </c>
      <c r="D91" s="75" t="s">
        <v>1601</v>
      </c>
      <c r="E91" s="75" t="s">
        <v>1601</v>
      </c>
      <c r="F91" s="211" t="s">
        <v>1942</v>
      </c>
      <c r="G91" s="145" t="s">
        <v>1588</v>
      </c>
      <c r="H91" s="211" t="s">
        <v>77</v>
      </c>
      <c r="I91" s="145" t="s">
        <v>218</v>
      </c>
      <c r="J91" s="211" t="s">
        <v>1609</v>
      </c>
      <c r="K91" s="75" t="s">
        <v>1544</v>
      </c>
      <c r="L91" s="152" t="b">
        <v>0</v>
      </c>
      <c r="M91" s="152" t="b">
        <v>0</v>
      </c>
      <c r="N91" s="217"/>
      <c r="O91" s="213" t="s">
        <v>1554</v>
      </c>
      <c r="P91" s="47" t="b">
        <v>0</v>
      </c>
      <c r="Q91" s="47" t="b">
        <v>0</v>
      </c>
      <c r="R91" s="214"/>
      <c r="S91" s="77">
        <v>0.0</v>
      </c>
      <c r="T91" s="214"/>
      <c r="U91" s="215"/>
      <c r="V91" s="215"/>
      <c r="W91" s="214"/>
      <c r="X91" s="218"/>
      <c r="Y91" s="77">
        <v>56000.0</v>
      </c>
      <c r="Z91" s="77"/>
    </row>
    <row r="92">
      <c r="A92" s="145" t="s">
        <v>459</v>
      </c>
      <c r="B92" s="145" t="s">
        <v>1636</v>
      </c>
      <c r="C92" s="145" t="s">
        <v>1543</v>
      </c>
      <c r="D92" s="75" t="s">
        <v>1544</v>
      </c>
      <c r="E92" s="75" t="s">
        <v>1544</v>
      </c>
      <c r="F92" s="211" t="s">
        <v>1575</v>
      </c>
      <c r="G92" s="145" t="s">
        <v>1945</v>
      </c>
      <c r="H92" s="211" t="s">
        <v>77</v>
      </c>
      <c r="I92" s="145" t="s">
        <v>413</v>
      </c>
      <c r="J92" s="211" t="s">
        <v>1577</v>
      </c>
      <c r="K92" s="75" t="s">
        <v>1544</v>
      </c>
      <c r="L92" s="152" t="b">
        <v>1</v>
      </c>
      <c r="M92" s="152" t="b">
        <v>0</v>
      </c>
      <c r="N92" s="212" t="s">
        <v>1947</v>
      </c>
      <c r="O92" s="213" t="s">
        <v>1554</v>
      </c>
      <c r="P92" s="47" t="b">
        <v>1</v>
      </c>
      <c r="Q92" s="47" t="b">
        <v>0</v>
      </c>
      <c r="R92" s="214"/>
      <c r="S92" s="77">
        <v>0.0</v>
      </c>
      <c r="T92" s="76" t="s">
        <v>1184</v>
      </c>
      <c r="U92" s="78">
        <v>6750993.0</v>
      </c>
      <c r="V92" s="215"/>
      <c r="W92" s="77">
        <v>6000000.0</v>
      </c>
      <c r="X92" s="216">
        <v>60000.0</v>
      </c>
      <c r="Y92" s="77">
        <v>20000.0</v>
      </c>
      <c r="Z92" s="77"/>
    </row>
    <row r="93">
      <c r="A93" s="145" t="s">
        <v>535</v>
      </c>
      <c r="B93" s="145" t="s">
        <v>1595</v>
      </c>
      <c r="C93" s="145" t="s">
        <v>1543</v>
      </c>
      <c r="D93" s="75" t="s">
        <v>1544</v>
      </c>
      <c r="E93" s="75" t="s">
        <v>1544</v>
      </c>
      <c r="F93" s="211" t="s">
        <v>1649</v>
      </c>
      <c r="G93" s="145" t="s">
        <v>1950</v>
      </c>
      <c r="H93" s="211" t="s">
        <v>1018</v>
      </c>
      <c r="I93" s="145" t="s">
        <v>113</v>
      </c>
      <c r="J93" s="211" t="s">
        <v>1549</v>
      </c>
      <c r="K93" s="75" t="s">
        <v>1544</v>
      </c>
      <c r="L93" s="152" t="b">
        <v>1</v>
      </c>
      <c r="M93" s="152" t="b">
        <v>0</v>
      </c>
      <c r="N93" s="212" t="s">
        <v>1951</v>
      </c>
      <c r="O93" s="213" t="s">
        <v>1554</v>
      </c>
      <c r="P93" s="47" t="b">
        <v>1</v>
      </c>
      <c r="Q93" s="47" t="b">
        <v>0</v>
      </c>
      <c r="R93" s="214"/>
      <c r="S93" s="77">
        <v>0.0</v>
      </c>
      <c r="T93" s="76" t="s">
        <v>1162</v>
      </c>
      <c r="U93" s="78">
        <v>7643837.0</v>
      </c>
      <c r="V93" s="215"/>
      <c r="W93" s="77">
        <v>8000000.0</v>
      </c>
      <c r="X93" s="77">
        <v>64000.0</v>
      </c>
      <c r="Y93" s="77">
        <v>32000.0</v>
      </c>
      <c r="Z93" s="77"/>
    </row>
    <row r="94">
      <c r="A94" s="145" t="s">
        <v>334</v>
      </c>
      <c r="B94" s="145" t="s">
        <v>1605</v>
      </c>
      <c r="C94" s="145" t="s">
        <v>1543</v>
      </c>
      <c r="D94" s="75" t="s">
        <v>1544</v>
      </c>
      <c r="E94" s="75" t="s">
        <v>1544</v>
      </c>
      <c r="F94" s="211" t="s">
        <v>1607</v>
      </c>
      <c r="G94" s="145" t="s">
        <v>862</v>
      </c>
      <c r="H94" s="211" t="s">
        <v>77</v>
      </c>
      <c r="I94" s="145" t="s">
        <v>329</v>
      </c>
      <c r="J94" s="211" t="s">
        <v>1609</v>
      </c>
      <c r="K94" s="75" t="s">
        <v>1544</v>
      </c>
      <c r="L94" s="152" t="b">
        <v>1</v>
      </c>
      <c r="M94" s="152" t="b">
        <v>0</v>
      </c>
      <c r="N94" s="212" t="s">
        <v>1954</v>
      </c>
      <c r="O94" s="213" t="s">
        <v>1554</v>
      </c>
      <c r="P94" s="47" t="b">
        <v>1</v>
      </c>
      <c r="Q94" s="47" t="b">
        <v>0</v>
      </c>
      <c r="R94" s="214"/>
      <c r="S94" s="77">
        <v>0.0</v>
      </c>
      <c r="T94" s="76" t="s">
        <v>1156</v>
      </c>
      <c r="U94" s="78">
        <v>7269677.0</v>
      </c>
      <c r="V94" s="215"/>
      <c r="W94" s="77">
        <v>8000000.0</v>
      </c>
      <c r="X94" s="77">
        <v>80000.0</v>
      </c>
      <c r="Y94" s="77">
        <v>2400000.0</v>
      </c>
      <c r="Z94" s="77"/>
    </row>
    <row r="95">
      <c r="A95" s="145" t="s">
        <v>569</v>
      </c>
      <c r="B95" s="145" t="s">
        <v>1595</v>
      </c>
      <c r="C95" s="145" t="s">
        <v>1543</v>
      </c>
      <c r="D95" s="75" t="s">
        <v>1544</v>
      </c>
      <c r="E95" s="75" t="s">
        <v>1544</v>
      </c>
      <c r="F95" s="211" t="s">
        <v>1957</v>
      </c>
      <c r="G95" s="145" t="s">
        <v>188</v>
      </c>
      <c r="H95" s="211" t="s">
        <v>1018</v>
      </c>
      <c r="I95" s="145" t="s">
        <v>113</v>
      </c>
      <c r="J95" s="211" t="s">
        <v>1958</v>
      </c>
      <c r="K95" s="75" t="s">
        <v>1544</v>
      </c>
      <c r="L95" s="152" t="b">
        <v>1</v>
      </c>
      <c r="M95" s="152" t="b">
        <v>0</v>
      </c>
      <c r="N95" s="212" t="s">
        <v>1959</v>
      </c>
      <c r="O95" s="213" t="s">
        <v>1554</v>
      </c>
      <c r="P95" s="47" t="b">
        <v>1</v>
      </c>
      <c r="Q95" s="47" t="b">
        <v>0</v>
      </c>
      <c r="R95" s="214"/>
      <c r="S95" s="77">
        <v>0.0</v>
      </c>
      <c r="T95" s="76" t="s">
        <v>1156</v>
      </c>
      <c r="U95" s="78">
        <v>1.5030094E7</v>
      </c>
      <c r="V95" s="215"/>
      <c r="W95" s="77">
        <v>1.6E7</v>
      </c>
      <c r="X95" s="77">
        <v>128000.0</v>
      </c>
      <c r="Y95" s="77">
        <v>4800000.0</v>
      </c>
      <c r="Z95" s="77"/>
    </row>
    <row r="96">
      <c r="A96" s="145" t="s">
        <v>1490</v>
      </c>
      <c r="B96" s="145" t="s">
        <v>1490</v>
      </c>
      <c r="C96" s="145" t="s">
        <v>1266</v>
      </c>
      <c r="D96" s="75" t="s">
        <v>1544</v>
      </c>
      <c r="E96" s="75" t="s">
        <v>1601</v>
      </c>
      <c r="F96" s="211" t="s">
        <v>87</v>
      </c>
      <c r="G96" s="145" t="s">
        <v>1491</v>
      </c>
      <c r="H96" s="211" t="s">
        <v>77</v>
      </c>
      <c r="I96" s="145" t="s">
        <v>218</v>
      </c>
      <c r="J96" s="211" t="s">
        <v>87</v>
      </c>
      <c r="K96" s="75" t="s">
        <v>1544</v>
      </c>
      <c r="L96" s="152" t="b">
        <v>0</v>
      </c>
      <c r="M96" s="152" t="b">
        <v>0</v>
      </c>
      <c r="N96" s="217"/>
      <c r="O96" s="213" t="s">
        <v>1554</v>
      </c>
      <c r="P96" s="47" t="b">
        <v>0</v>
      </c>
      <c r="Q96" s="47" t="b">
        <v>0</v>
      </c>
      <c r="R96" s="214"/>
      <c r="S96" s="77">
        <v>0.0</v>
      </c>
      <c r="T96" s="214"/>
      <c r="U96" s="215"/>
      <c r="V96" s="215"/>
      <c r="W96" s="214"/>
      <c r="X96" s="214"/>
      <c r="Y96" s="77">
        <v>0.0</v>
      </c>
      <c r="Z96" s="77"/>
    </row>
    <row r="97">
      <c r="A97" s="145" t="s">
        <v>805</v>
      </c>
      <c r="B97" s="145" t="s">
        <v>1585</v>
      </c>
      <c r="C97" s="145" t="s">
        <v>1543</v>
      </c>
      <c r="D97" s="75" t="s">
        <v>1544</v>
      </c>
      <c r="E97" s="75" t="s">
        <v>1544</v>
      </c>
      <c r="F97" s="211" t="s">
        <v>1586</v>
      </c>
      <c r="G97" s="145" t="s">
        <v>807</v>
      </c>
      <c r="H97" s="211" t="s">
        <v>77</v>
      </c>
      <c r="I97" s="145" t="s">
        <v>140</v>
      </c>
      <c r="J97" s="211" t="s">
        <v>1549</v>
      </c>
      <c r="K97" s="75" t="s">
        <v>1544</v>
      </c>
      <c r="L97" s="152" t="b">
        <v>1</v>
      </c>
      <c r="M97" s="152" t="b">
        <v>0</v>
      </c>
      <c r="N97" s="212" t="s">
        <v>1965</v>
      </c>
      <c r="O97" s="213" t="s">
        <v>1554</v>
      </c>
      <c r="P97" s="47" t="b">
        <v>1</v>
      </c>
      <c r="Q97" s="47" t="b">
        <v>0</v>
      </c>
      <c r="R97" s="214"/>
      <c r="S97" s="77">
        <v>0.0</v>
      </c>
      <c r="T97" s="76" t="s">
        <v>1156</v>
      </c>
      <c r="U97" s="78">
        <v>3980138.0</v>
      </c>
      <c r="V97" s="215"/>
      <c r="W97" s="77">
        <v>4000000.0</v>
      </c>
      <c r="X97" s="77">
        <v>40000.0</v>
      </c>
      <c r="Y97" s="77">
        <v>1200000.0</v>
      </c>
      <c r="Z97" s="77"/>
    </row>
    <row r="98">
      <c r="A98" s="145" t="s">
        <v>1590</v>
      </c>
      <c r="B98" s="145" t="s">
        <v>1968</v>
      </c>
      <c r="C98" s="145" t="s">
        <v>1543</v>
      </c>
      <c r="D98" s="75" t="s">
        <v>1544</v>
      </c>
      <c r="E98" s="75" t="s">
        <v>1544</v>
      </c>
      <c r="F98" s="211" t="s">
        <v>1547</v>
      </c>
      <c r="G98" s="145" t="s">
        <v>1969</v>
      </c>
      <c r="H98" s="211" t="s">
        <v>77</v>
      </c>
      <c r="I98" s="145" t="s">
        <v>340</v>
      </c>
      <c r="J98" s="211" t="s">
        <v>1549</v>
      </c>
      <c r="K98" s="75" t="s">
        <v>1544</v>
      </c>
      <c r="L98" s="152" t="b">
        <v>1</v>
      </c>
      <c r="M98" s="152" t="b">
        <v>0</v>
      </c>
      <c r="N98" s="212" t="s">
        <v>1971</v>
      </c>
      <c r="O98" s="213" t="s">
        <v>1554</v>
      </c>
      <c r="P98" s="47" t="b">
        <v>1</v>
      </c>
      <c r="Q98" s="47" t="b">
        <v>0</v>
      </c>
      <c r="R98" s="214"/>
      <c r="S98" s="77">
        <v>0.0</v>
      </c>
      <c r="T98" s="76" t="s">
        <v>1179</v>
      </c>
      <c r="U98" s="78">
        <v>1.0469928E7</v>
      </c>
      <c r="V98" s="215"/>
      <c r="W98" s="77">
        <v>1.0E7</v>
      </c>
      <c r="X98" s="77">
        <v>100000.0</v>
      </c>
      <c r="Y98" s="77">
        <v>40000.0</v>
      </c>
      <c r="Z98" s="77"/>
    </row>
    <row r="99">
      <c r="A99" s="145" t="s">
        <v>1402</v>
      </c>
      <c r="B99" s="145" t="s">
        <v>1402</v>
      </c>
      <c r="C99" s="145" t="s">
        <v>1266</v>
      </c>
      <c r="D99" s="75" t="s">
        <v>1544</v>
      </c>
      <c r="E99" s="75" t="s">
        <v>1601</v>
      </c>
      <c r="F99" s="211" t="s">
        <v>1973</v>
      </c>
      <c r="G99" s="145" t="s">
        <v>1403</v>
      </c>
      <c r="H99" s="211" t="s">
        <v>77</v>
      </c>
      <c r="I99" s="145" t="s">
        <v>327</v>
      </c>
      <c r="J99" s="211" t="s">
        <v>1639</v>
      </c>
      <c r="K99" s="75" t="s">
        <v>1544</v>
      </c>
      <c r="L99" s="152" t="b">
        <v>0</v>
      </c>
      <c r="M99" s="152" t="b">
        <v>0</v>
      </c>
      <c r="N99" s="217"/>
      <c r="O99" s="213" t="s">
        <v>1554</v>
      </c>
      <c r="P99" s="47" t="b">
        <v>0</v>
      </c>
      <c r="Q99" s="47" t="b">
        <v>0</v>
      </c>
      <c r="R99" s="214"/>
      <c r="S99" s="77">
        <v>0.0</v>
      </c>
      <c r="T99" s="214"/>
      <c r="U99" s="215"/>
      <c r="V99" s="215"/>
      <c r="W99" s="214"/>
      <c r="X99" s="218"/>
      <c r="Y99" s="77">
        <v>42000.0</v>
      </c>
      <c r="Z99" s="77"/>
    </row>
    <row r="100">
      <c r="A100" s="145" t="s">
        <v>560</v>
      </c>
      <c r="B100" s="145" t="s">
        <v>1746</v>
      </c>
      <c r="C100" s="145" t="s">
        <v>1543</v>
      </c>
      <c r="D100" s="75" t="s">
        <v>1544</v>
      </c>
      <c r="E100" s="75" t="s">
        <v>1544</v>
      </c>
      <c r="F100" s="211" t="s">
        <v>1547</v>
      </c>
      <c r="G100" s="145" t="s">
        <v>1975</v>
      </c>
      <c r="H100" s="211" t="s">
        <v>77</v>
      </c>
      <c r="I100" s="145" t="s">
        <v>338</v>
      </c>
      <c r="J100" s="211" t="s">
        <v>1549</v>
      </c>
      <c r="K100" s="75" t="s">
        <v>1544</v>
      </c>
      <c r="L100" s="152" t="b">
        <v>1</v>
      </c>
      <c r="M100" s="152" t="b">
        <v>0</v>
      </c>
      <c r="N100" s="212" t="s">
        <v>1976</v>
      </c>
      <c r="O100" s="213" t="s">
        <v>1554</v>
      </c>
      <c r="P100" s="47" t="b">
        <v>1</v>
      </c>
      <c r="Q100" s="47" t="b">
        <v>0</v>
      </c>
      <c r="R100" s="214"/>
      <c r="S100" s="77">
        <v>0.0</v>
      </c>
      <c r="T100" s="76" t="s">
        <v>1176</v>
      </c>
      <c r="U100" s="78">
        <v>8578032.0</v>
      </c>
      <c r="V100" s="215"/>
      <c r="W100" s="77">
        <v>8000000.0</v>
      </c>
      <c r="X100" s="216">
        <v>80000.0</v>
      </c>
      <c r="Y100" s="77">
        <v>40000.0</v>
      </c>
      <c r="Z100" s="77"/>
    </row>
    <row r="101">
      <c r="A101" s="145" t="s">
        <v>399</v>
      </c>
      <c r="B101" s="145" t="s">
        <v>1595</v>
      </c>
      <c r="C101" s="145" t="s">
        <v>1543</v>
      </c>
      <c r="D101" s="75" t="s">
        <v>1544</v>
      </c>
      <c r="E101" s="75" t="s">
        <v>1544</v>
      </c>
      <c r="F101" s="211" t="s">
        <v>1666</v>
      </c>
      <c r="G101" s="145" t="s">
        <v>779</v>
      </c>
      <c r="H101" s="211" t="s">
        <v>1018</v>
      </c>
      <c r="I101" s="145" t="s">
        <v>113</v>
      </c>
      <c r="J101" s="211" t="s">
        <v>1667</v>
      </c>
      <c r="K101" s="75" t="s">
        <v>1544</v>
      </c>
      <c r="L101" s="152" t="b">
        <v>1</v>
      </c>
      <c r="M101" s="152" t="b">
        <v>0</v>
      </c>
      <c r="N101" s="212" t="s">
        <v>1979</v>
      </c>
      <c r="O101" s="213" t="s">
        <v>1554</v>
      </c>
      <c r="P101" s="47" t="b">
        <v>1</v>
      </c>
      <c r="Q101" s="47" t="b">
        <v>0</v>
      </c>
      <c r="R101" s="214"/>
      <c r="S101" s="77">
        <v>0.0</v>
      </c>
      <c r="T101" s="76" t="s">
        <v>1156</v>
      </c>
      <c r="U101" s="78">
        <v>1.2252214E7</v>
      </c>
      <c r="V101" s="215"/>
      <c r="W101" s="77">
        <v>1.2E7</v>
      </c>
      <c r="X101" s="77">
        <v>96000.0</v>
      </c>
      <c r="Y101" s="77">
        <v>3600000.0</v>
      </c>
      <c r="Z101" s="77"/>
    </row>
    <row r="102">
      <c r="A102" s="145" t="s">
        <v>519</v>
      </c>
      <c r="B102" s="145" t="s">
        <v>1595</v>
      </c>
      <c r="C102" s="145" t="s">
        <v>1543</v>
      </c>
      <c r="D102" s="75" t="s">
        <v>1544</v>
      </c>
      <c r="E102" s="75" t="s">
        <v>1544</v>
      </c>
      <c r="F102" s="211" t="s">
        <v>1649</v>
      </c>
      <c r="G102" s="145" t="s">
        <v>1981</v>
      </c>
      <c r="H102" s="211" t="s">
        <v>1018</v>
      </c>
      <c r="I102" s="145" t="s">
        <v>113</v>
      </c>
      <c r="J102" s="211" t="s">
        <v>1549</v>
      </c>
      <c r="K102" s="75" t="s">
        <v>1544</v>
      </c>
      <c r="L102" s="152" t="b">
        <v>1</v>
      </c>
      <c r="M102" s="152" t="b">
        <v>0</v>
      </c>
      <c r="N102" s="212" t="s">
        <v>1983</v>
      </c>
      <c r="O102" s="213" t="s">
        <v>1554</v>
      </c>
      <c r="P102" s="47" t="b">
        <v>1</v>
      </c>
      <c r="Q102" s="47" t="b">
        <v>0</v>
      </c>
      <c r="R102" s="214"/>
      <c r="S102" s="77">
        <v>0.0</v>
      </c>
      <c r="T102" s="76" t="s">
        <v>1162</v>
      </c>
      <c r="U102" s="78">
        <v>7282323.0</v>
      </c>
      <c r="V102" s="215"/>
      <c r="W102" s="77">
        <v>8000000.0</v>
      </c>
      <c r="X102" s="77">
        <v>64000.0</v>
      </c>
      <c r="Y102" s="77">
        <v>32000.0</v>
      </c>
      <c r="Z102" s="77"/>
    </row>
    <row r="103">
      <c r="A103" s="145" t="s">
        <v>274</v>
      </c>
      <c r="B103" s="145" t="s">
        <v>1984</v>
      </c>
      <c r="C103" s="145" t="s">
        <v>1543</v>
      </c>
      <c r="D103" s="75" t="s">
        <v>1544</v>
      </c>
      <c r="E103" s="75" t="s">
        <v>1544</v>
      </c>
      <c r="F103" s="211" t="s">
        <v>1985</v>
      </c>
      <c r="G103" s="145" t="s">
        <v>831</v>
      </c>
      <c r="H103" s="211" t="s">
        <v>77</v>
      </c>
      <c r="I103" s="145" t="s">
        <v>140</v>
      </c>
      <c r="J103" s="211" t="s">
        <v>1609</v>
      </c>
      <c r="K103" s="75" t="s">
        <v>1544</v>
      </c>
      <c r="L103" s="152" t="b">
        <v>1</v>
      </c>
      <c r="M103" s="152" t="b">
        <v>0</v>
      </c>
      <c r="N103" s="212" t="s">
        <v>1988</v>
      </c>
      <c r="O103" s="213" t="s">
        <v>1554</v>
      </c>
      <c r="P103" s="47" t="b">
        <v>1</v>
      </c>
      <c r="Q103" s="47" t="b">
        <v>0</v>
      </c>
      <c r="R103" s="214"/>
      <c r="S103" s="77">
        <v>0.0</v>
      </c>
      <c r="T103" s="76" t="s">
        <v>1162</v>
      </c>
      <c r="U103" s="78">
        <v>1.4085085E7</v>
      </c>
      <c r="V103" s="215"/>
      <c r="W103" s="77">
        <v>1.4E7</v>
      </c>
      <c r="X103" s="77">
        <v>140000.0</v>
      </c>
      <c r="Y103" s="77">
        <v>163126.0</v>
      </c>
      <c r="Z103" s="77"/>
    </row>
    <row r="104">
      <c r="A104" s="145" t="s">
        <v>469</v>
      </c>
      <c r="B104" s="145" t="s">
        <v>1720</v>
      </c>
      <c r="C104" s="145" t="s">
        <v>1543</v>
      </c>
      <c r="D104" s="75" t="s">
        <v>1544</v>
      </c>
      <c r="E104" s="75" t="s">
        <v>1544</v>
      </c>
      <c r="F104" s="211" t="s">
        <v>1649</v>
      </c>
      <c r="G104" s="145" t="s">
        <v>1372</v>
      </c>
      <c r="H104" s="211" t="s">
        <v>1018</v>
      </c>
      <c r="I104" s="145" t="s">
        <v>83</v>
      </c>
      <c r="J104" s="211" t="s">
        <v>1549</v>
      </c>
      <c r="K104" s="75" t="s">
        <v>1544</v>
      </c>
      <c r="L104" s="152" t="b">
        <v>1</v>
      </c>
      <c r="M104" s="152" t="b">
        <v>0</v>
      </c>
      <c r="N104" s="212" t="s">
        <v>1990</v>
      </c>
      <c r="O104" s="213" t="s">
        <v>1554</v>
      </c>
      <c r="P104" s="47" t="b">
        <v>1</v>
      </c>
      <c r="Q104" s="47" t="b">
        <v>0</v>
      </c>
      <c r="R104" s="214"/>
      <c r="S104" s="77">
        <v>0.0</v>
      </c>
      <c r="T104" s="76" t="s">
        <v>1179</v>
      </c>
      <c r="U104" s="78">
        <v>1.0233909E7</v>
      </c>
      <c r="V104" s="215"/>
      <c r="W104" s="77">
        <v>1.0E7</v>
      </c>
      <c r="X104" s="77">
        <v>80000.0</v>
      </c>
      <c r="Y104" s="77">
        <v>32000.0</v>
      </c>
      <c r="Z104" s="77"/>
    </row>
    <row r="105">
      <c r="A105" s="145" t="s">
        <v>1241</v>
      </c>
      <c r="B105" s="145" t="s">
        <v>1241</v>
      </c>
      <c r="C105" s="145" t="s">
        <v>1266</v>
      </c>
      <c r="D105" s="75" t="s">
        <v>1601</v>
      </c>
      <c r="E105" s="75" t="s">
        <v>1601</v>
      </c>
      <c r="F105" s="211" t="s">
        <v>1851</v>
      </c>
      <c r="G105" s="145" t="s">
        <v>1242</v>
      </c>
      <c r="H105" s="211" t="s">
        <v>1018</v>
      </c>
      <c r="I105" s="145" t="s">
        <v>92</v>
      </c>
      <c r="J105" s="211" t="s">
        <v>1639</v>
      </c>
      <c r="K105" s="75" t="s">
        <v>1544</v>
      </c>
      <c r="L105" s="152" t="b">
        <v>0</v>
      </c>
      <c r="M105" s="152" t="b">
        <v>0</v>
      </c>
      <c r="N105" s="217"/>
      <c r="O105" s="213" t="s">
        <v>1554</v>
      </c>
      <c r="P105" s="47" t="b">
        <v>0</v>
      </c>
      <c r="Q105" s="47" t="b">
        <v>0</v>
      </c>
      <c r="R105" s="214"/>
      <c r="S105" s="77">
        <v>0.0</v>
      </c>
      <c r="T105" s="214"/>
      <c r="U105" s="215"/>
      <c r="V105" s="215"/>
      <c r="W105" s="214"/>
      <c r="X105" s="214"/>
      <c r="Y105" s="77">
        <v>48000.0</v>
      </c>
      <c r="Z105" s="77"/>
    </row>
    <row r="106">
      <c r="A106" s="145" t="s">
        <v>476</v>
      </c>
      <c r="B106" s="145" t="s">
        <v>1623</v>
      </c>
      <c r="C106" s="145" t="s">
        <v>1543</v>
      </c>
      <c r="D106" s="75" t="s">
        <v>1544</v>
      </c>
      <c r="E106" s="75" t="s">
        <v>1544</v>
      </c>
      <c r="F106" s="211" t="s">
        <v>1637</v>
      </c>
      <c r="G106" s="145" t="s">
        <v>1996</v>
      </c>
      <c r="H106" s="211" t="s">
        <v>77</v>
      </c>
      <c r="I106" s="145" t="s">
        <v>325</v>
      </c>
      <c r="J106" s="211" t="s">
        <v>1639</v>
      </c>
      <c r="K106" s="75" t="s">
        <v>1544</v>
      </c>
      <c r="L106" s="152" t="b">
        <v>1</v>
      </c>
      <c r="M106" s="152" t="b">
        <v>0</v>
      </c>
      <c r="N106" s="212" t="s">
        <v>1997</v>
      </c>
      <c r="O106" s="213" t="s">
        <v>1554</v>
      </c>
      <c r="P106" s="47" t="b">
        <v>1</v>
      </c>
      <c r="Q106" s="47" t="b">
        <v>0</v>
      </c>
      <c r="R106" s="214"/>
      <c r="S106" s="77">
        <v>0.0</v>
      </c>
      <c r="T106" s="76" t="s">
        <v>1176</v>
      </c>
      <c r="U106" s="78">
        <v>1.5404285E7</v>
      </c>
      <c r="V106" s="215"/>
      <c r="W106" s="77">
        <v>1.6E7</v>
      </c>
      <c r="X106" s="77">
        <v>160000.0</v>
      </c>
      <c r="Y106" s="77">
        <v>60000.0</v>
      </c>
      <c r="Z106" s="77"/>
    </row>
    <row r="107">
      <c r="A107" s="145" t="s">
        <v>390</v>
      </c>
      <c r="B107" s="145" t="s">
        <v>1574</v>
      </c>
      <c r="C107" s="145" t="s">
        <v>1543</v>
      </c>
      <c r="D107" s="75" t="s">
        <v>1544</v>
      </c>
      <c r="E107" s="75" t="s">
        <v>1544</v>
      </c>
      <c r="F107" s="211" t="s">
        <v>1645</v>
      </c>
      <c r="G107" s="145" t="s">
        <v>1999</v>
      </c>
      <c r="H107" s="211" t="s">
        <v>77</v>
      </c>
      <c r="I107" s="145" t="s">
        <v>413</v>
      </c>
      <c r="J107" s="211" t="s">
        <v>1609</v>
      </c>
      <c r="K107" s="75" t="s">
        <v>1544</v>
      </c>
      <c r="L107" s="152" t="b">
        <v>1</v>
      </c>
      <c r="M107" s="152" t="b">
        <v>0</v>
      </c>
      <c r="N107" s="212" t="s">
        <v>2003</v>
      </c>
      <c r="O107" s="213" t="s">
        <v>1554</v>
      </c>
      <c r="P107" s="47" t="b">
        <v>1</v>
      </c>
      <c r="Q107" s="47" t="b">
        <v>0</v>
      </c>
      <c r="R107" s="214"/>
      <c r="S107" s="77">
        <v>0.0</v>
      </c>
      <c r="T107" s="76" t="s">
        <v>1179</v>
      </c>
      <c r="U107" s="78">
        <v>2.1551181E7</v>
      </c>
      <c r="V107" s="215"/>
      <c r="W107" s="77">
        <v>2.2E7</v>
      </c>
      <c r="X107" s="77">
        <v>220000.0</v>
      </c>
      <c r="Y107" s="77">
        <v>80000.0</v>
      </c>
      <c r="Z107" s="77"/>
    </row>
    <row r="108">
      <c r="A108" s="145" t="s">
        <v>582</v>
      </c>
      <c r="B108" s="145" t="s">
        <v>1751</v>
      </c>
      <c r="C108" s="145" t="s">
        <v>1543</v>
      </c>
      <c r="D108" s="75" t="s">
        <v>1544</v>
      </c>
      <c r="E108" s="75" t="s">
        <v>1544</v>
      </c>
      <c r="F108" s="211" t="s">
        <v>1721</v>
      </c>
      <c r="G108" s="145" t="s">
        <v>1487</v>
      </c>
      <c r="H108" s="211" t="s">
        <v>1018</v>
      </c>
      <c r="I108" s="145" t="s">
        <v>83</v>
      </c>
      <c r="J108" s="211" t="s">
        <v>1609</v>
      </c>
      <c r="K108" s="75" t="s">
        <v>1544</v>
      </c>
      <c r="L108" s="152" t="b">
        <v>1</v>
      </c>
      <c r="M108" s="152" t="b">
        <v>0</v>
      </c>
      <c r="N108" s="212" t="s">
        <v>2005</v>
      </c>
      <c r="O108" s="213" t="s">
        <v>1554</v>
      </c>
      <c r="P108" s="47" t="b">
        <v>1</v>
      </c>
      <c r="Q108" s="47" t="b">
        <v>0</v>
      </c>
      <c r="R108" s="214"/>
      <c r="S108" s="77">
        <v>0.0</v>
      </c>
      <c r="T108" s="76" t="s">
        <v>1179</v>
      </c>
      <c r="U108" s="78">
        <v>1.7932941E7</v>
      </c>
      <c r="V108" s="215"/>
      <c r="W108" s="77">
        <v>1.8E7</v>
      </c>
      <c r="X108" s="77">
        <v>144000.0</v>
      </c>
      <c r="Y108" s="77">
        <v>64000.0</v>
      </c>
      <c r="Z108" s="77"/>
    </row>
    <row r="109">
      <c r="A109" s="145" t="s">
        <v>377</v>
      </c>
      <c r="B109" s="145" t="s">
        <v>1605</v>
      </c>
      <c r="C109" s="145" t="s">
        <v>1543</v>
      </c>
      <c r="D109" s="75" t="s">
        <v>1544</v>
      </c>
      <c r="E109" s="75" t="s">
        <v>1544</v>
      </c>
      <c r="F109" s="211" t="s">
        <v>1596</v>
      </c>
      <c r="G109" s="145" t="s">
        <v>894</v>
      </c>
      <c r="H109" s="211" t="s">
        <v>77</v>
      </c>
      <c r="I109" s="145" t="s">
        <v>329</v>
      </c>
      <c r="J109" s="211" t="s">
        <v>1597</v>
      </c>
      <c r="K109" s="75" t="s">
        <v>1544</v>
      </c>
      <c r="L109" s="152" t="b">
        <v>1</v>
      </c>
      <c r="M109" s="152" t="b">
        <v>0</v>
      </c>
      <c r="N109" s="212" t="s">
        <v>2008</v>
      </c>
      <c r="O109" s="213" t="s">
        <v>1554</v>
      </c>
      <c r="P109" s="47" t="b">
        <v>1</v>
      </c>
      <c r="Q109" s="47" t="b">
        <v>0</v>
      </c>
      <c r="R109" s="214"/>
      <c r="S109" s="77">
        <v>0.0</v>
      </c>
      <c r="T109" s="76" t="s">
        <v>1156</v>
      </c>
      <c r="U109" s="78">
        <v>1.0578566E7</v>
      </c>
      <c r="V109" s="215"/>
      <c r="W109" s="77">
        <v>1.0E7</v>
      </c>
      <c r="X109" s="77">
        <v>100000.0</v>
      </c>
      <c r="Y109" s="77">
        <v>3000000.0</v>
      </c>
      <c r="Z109" s="77"/>
    </row>
    <row r="110">
      <c r="A110" s="145" t="s">
        <v>397</v>
      </c>
      <c r="B110" s="145" t="s">
        <v>1788</v>
      </c>
      <c r="C110" s="145" t="s">
        <v>1543</v>
      </c>
      <c r="D110" s="75" t="s">
        <v>1544</v>
      </c>
      <c r="E110" s="75" t="s">
        <v>1544</v>
      </c>
      <c r="F110" s="211" t="s">
        <v>1645</v>
      </c>
      <c r="G110" s="145" t="s">
        <v>2010</v>
      </c>
      <c r="H110" s="211" t="s">
        <v>907</v>
      </c>
      <c r="I110" s="145" t="s">
        <v>25</v>
      </c>
      <c r="J110" s="211" t="s">
        <v>1609</v>
      </c>
      <c r="K110" s="75" t="s">
        <v>1544</v>
      </c>
      <c r="L110" s="152" t="b">
        <v>1</v>
      </c>
      <c r="M110" s="152" t="b">
        <v>0</v>
      </c>
      <c r="N110" s="212" t="s">
        <v>2011</v>
      </c>
      <c r="O110" s="213" t="s">
        <v>1554</v>
      </c>
      <c r="P110" s="47" t="b">
        <v>1</v>
      </c>
      <c r="Q110" s="47" t="b">
        <v>0</v>
      </c>
      <c r="R110" s="214"/>
      <c r="S110" s="77">
        <v>0.0</v>
      </c>
      <c r="T110" s="76" t="s">
        <v>1179</v>
      </c>
      <c r="U110" s="78">
        <v>1.9935225E7</v>
      </c>
      <c r="V110" s="215"/>
      <c r="W110" s="77">
        <v>2.0E7</v>
      </c>
      <c r="X110" s="77">
        <v>200000.0</v>
      </c>
      <c r="Y110" s="77">
        <v>80000.0</v>
      </c>
      <c r="Z110" s="77"/>
    </row>
    <row r="111">
      <c r="A111" s="145" t="s">
        <v>1409</v>
      </c>
      <c r="B111" s="145" t="s">
        <v>1409</v>
      </c>
      <c r="C111" s="145" t="s">
        <v>1600</v>
      </c>
      <c r="D111" s="75" t="s">
        <v>1544</v>
      </c>
      <c r="E111" s="75" t="s">
        <v>1601</v>
      </c>
      <c r="F111" s="211" t="s">
        <v>1602</v>
      </c>
      <c r="G111" s="145" t="s">
        <v>1410</v>
      </c>
      <c r="H111" s="211" t="s">
        <v>77</v>
      </c>
      <c r="I111" s="145" t="s">
        <v>267</v>
      </c>
      <c r="J111" s="211" t="s">
        <v>1603</v>
      </c>
      <c r="K111" s="75" t="s">
        <v>1544</v>
      </c>
      <c r="L111" s="152" t="b">
        <v>0</v>
      </c>
      <c r="M111" s="152" t="b">
        <v>0</v>
      </c>
      <c r="N111" s="217"/>
      <c r="O111" s="213" t="s">
        <v>1554</v>
      </c>
      <c r="P111" s="47" t="b">
        <v>0</v>
      </c>
      <c r="Q111" s="47" t="b">
        <v>0</v>
      </c>
      <c r="R111" s="214"/>
      <c r="S111" s="77">
        <v>0.0</v>
      </c>
      <c r="T111" s="214"/>
      <c r="U111" s="215"/>
      <c r="V111" s="215"/>
      <c r="W111" s="214"/>
      <c r="X111" s="214"/>
      <c r="Y111" s="77">
        <v>1.0</v>
      </c>
      <c r="Z111" s="77"/>
    </row>
    <row r="112">
      <c r="A112" s="145" t="s">
        <v>398</v>
      </c>
      <c r="B112" s="145" t="s">
        <v>1720</v>
      </c>
      <c r="C112" s="145" t="s">
        <v>1543</v>
      </c>
      <c r="D112" s="75" t="s">
        <v>1544</v>
      </c>
      <c r="E112" s="75" t="s">
        <v>1544</v>
      </c>
      <c r="F112" s="211" t="s">
        <v>1721</v>
      </c>
      <c r="G112" s="145" t="s">
        <v>1248</v>
      </c>
      <c r="H112" s="211" t="s">
        <v>1018</v>
      </c>
      <c r="I112" s="145" t="s">
        <v>83</v>
      </c>
      <c r="J112" s="211" t="s">
        <v>1609</v>
      </c>
      <c r="K112" s="75" t="s">
        <v>1544</v>
      </c>
      <c r="L112" s="152" t="b">
        <v>1</v>
      </c>
      <c r="M112" s="152" t="b">
        <v>0</v>
      </c>
      <c r="N112" s="212" t="s">
        <v>2017</v>
      </c>
      <c r="O112" s="213" t="s">
        <v>1554</v>
      </c>
      <c r="P112" s="47" t="b">
        <v>1</v>
      </c>
      <c r="Q112" s="47" t="b">
        <v>0</v>
      </c>
      <c r="R112" s="214"/>
      <c r="S112" s="77">
        <v>0.0</v>
      </c>
      <c r="T112" s="76" t="s">
        <v>1179</v>
      </c>
      <c r="U112" s="78">
        <v>1.8808055E7</v>
      </c>
      <c r="V112" s="215"/>
      <c r="W112" s="77">
        <v>1.8E7</v>
      </c>
      <c r="X112" s="77">
        <v>144000.0</v>
      </c>
      <c r="Y112" s="77">
        <v>64000.0</v>
      </c>
      <c r="Z112" s="77"/>
    </row>
    <row r="113">
      <c r="A113" s="145" t="s">
        <v>510</v>
      </c>
      <c r="B113" s="145" t="s">
        <v>510</v>
      </c>
      <c r="C113" s="145" t="s">
        <v>1600</v>
      </c>
      <c r="D113" s="75" t="s">
        <v>1544</v>
      </c>
      <c r="E113" s="75" t="s">
        <v>1601</v>
      </c>
      <c r="F113" s="211" t="s">
        <v>87</v>
      </c>
      <c r="G113" s="145" t="s">
        <v>512</v>
      </c>
      <c r="H113" s="211" t="s">
        <v>87</v>
      </c>
      <c r="I113" s="145" t="s">
        <v>267</v>
      </c>
      <c r="J113" s="211" t="s">
        <v>1603</v>
      </c>
      <c r="K113" s="75" t="s">
        <v>1544</v>
      </c>
      <c r="L113" s="152" t="b">
        <v>0</v>
      </c>
      <c r="M113" s="152" t="b">
        <v>0</v>
      </c>
      <c r="N113" s="217"/>
      <c r="O113" s="213" t="s">
        <v>1554</v>
      </c>
      <c r="P113" s="47" t="b">
        <v>0</v>
      </c>
      <c r="Q113" s="47" t="b">
        <v>0</v>
      </c>
      <c r="R113" s="214"/>
      <c r="S113" s="77">
        <v>0.0</v>
      </c>
      <c r="T113" s="214"/>
      <c r="U113" s="215"/>
      <c r="V113" s="215"/>
      <c r="W113" s="214"/>
      <c r="X113" s="214"/>
      <c r="Y113" s="77">
        <v>0.0</v>
      </c>
      <c r="Z113" s="77"/>
    </row>
    <row r="114">
      <c r="A114" s="145" t="s">
        <v>1411</v>
      </c>
      <c r="B114" s="145" t="s">
        <v>1411</v>
      </c>
      <c r="C114" s="145" t="s">
        <v>1266</v>
      </c>
      <c r="D114" s="75" t="s">
        <v>1601</v>
      </c>
      <c r="E114" s="75" t="s">
        <v>1601</v>
      </c>
      <c r="F114" s="211" t="s">
        <v>1973</v>
      </c>
      <c r="G114" s="145" t="s">
        <v>1412</v>
      </c>
      <c r="H114" s="211" t="s">
        <v>77</v>
      </c>
      <c r="I114" s="145" t="s">
        <v>113</v>
      </c>
      <c r="J114" s="211" t="s">
        <v>1639</v>
      </c>
      <c r="K114" s="75" t="s">
        <v>1544</v>
      </c>
      <c r="L114" s="152" t="b">
        <v>0</v>
      </c>
      <c r="M114" s="152" t="b">
        <v>0</v>
      </c>
      <c r="N114" s="217"/>
      <c r="O114" s="213" t="s">
        <v>1554</v>
      </c>
      <c r="P114" s="47" t="b">
        <v>0</v>
      </c>
      <c r="Q114" s="47" t="b">
        <v>0</v>
      </c>
      <c r="R114" s="214"/>
      <c r="S114" s="77">
        <v>0.0</v>
      </c>
      <c r="T114" s="214"/>
      <c r="U114" s="215"/>
      <c r="V114" s="215"/>
      <c r="W114" s="214"/>
      <c r="X114" s="214"/>
      <c r="Y114" s="77">
        <v>42000.0</v>
      </c>
      <c r="Z114" s="77"/>
    </row>
    <row r="115">
      <c r="A115" s="145" t="s">
        <v>1443</v>
      </c>
      <c r="B115" s="145" t="s">
        <v>1580</v>
      </c>
      <c r="C115" s="145" t="s">
        <v>1543</v>
      </c>
      <c r="D115" s="75" t="s">
        <v>1544</v>
      </c>
      <c r="E115" s="75" t="s">
        <v>1544</v>
      </c>
      <c r="F115" s="211" t="s">
        <v>1575</v>
      </c>
      <c r="G115" s="145" t="s">
        <v>1856</v>
      </c>
      <c r="H115" s="211" t="s">
        <v>77</v>
      </c>
      <c r="I115" s="145" t="s">
        <v>327</v>
      </c>
      <c r="J115" s="211" t="s">
        <v>1577</v>
      </c>
      <c r="K115" s="75" t="s">
        <v>1544</v>
      </c>
      <c r="L115" s="152" t="b">
        <v>1</v>
      </c>
      <c r="M115" s="152" t="b">
        <v>0</v>
      </c>
      <c r="N115" s="212" t="s">
        <v>2026</v>
      </c>
      <c r="O115" s="213" t="s">
        <v>1554</v>
      </c>
      <c r="P115" s="47" t="b">
        <v>1</v>
      </c>
      <c r="Q115" s="47" t="b">
        <v>0</v>
      </c>
      <c r="R115" s="214"/>
      <c r="S115" s="77">
        <v>0.0</v>
      </c>
      <c r="T115" s="76" t="s">
        <v>1176</v>
      </c>
      <c r="U115" s="78">
        <v>6541291.0</v>
      </c>
      <c r="V115" s="215"/>
      <c r="W115" s="77">
        <v>6000000.0</v>
      </c>
      <c r="X115" s="77">
        <v>60000.0</v>
      </c>
      <c r="Y115" s="77">
        <v>20000.0</v>
      </c>
      <c r="Z115" s="77"/>
    </row>
    <row r="116">
      <c r="A116" s="145" t="s">
        <v>1245</v>
      </c>
      <c r="B116" s="145" t="s">
        <v>1585</v>
      </c>
      <c r="C116" s="145" t="s">
        <v>1543</v>
      </c>
      <c r="D116" s="75" t="s">
        <v>1544</v>
      </c>
      <c r="E116" s="75" t="s">
        <v>1544</v>
      </c>
      <c r="F116" s="211" t="s">
        <v>1547</v>
      </c>
      <c r="G116" s="145" t="s">
        <v>2028</v>
      </c>
      <c r="H116" s="211" t="s">
        <v>77</v>
      </c>
      <c r="I116" s="145" t="s">
        <v>140</v>
      </c>
      <c r="J116" s="211" t="s">
        <v>1549</v>
      </c>
      <c r="K116" s="75" t="s">
        <v>1544</v>
      </c>
      <c r="L116" s="152" t="b">
        <v>1</v>
      </c>
      <c r="M116" s="152" t="b">
        <v>0</v>
      </c>
      <c r="N116" s="212" t="s">
        <v>2029</v>
      </c>
      <c r="O116" s="213" t="s">
        <v>1554</v>
      </c>
      <c r="P116" s="47" t="b">
        <v>1</v>
      </c>
      <c r="Q116" s="47" t="b">
        <v>0</v>
      </c>
      <c r="R116" s="214"/>
      <c r="S116" s="77">
        <v>0.0</v>
      </c>
      <c r="T116" s="76" t="s">
        <v>1156</v>
      </c>
      <c r="U116" s="78">
        <v>4087852.0</v>
      </c>
      <c r="V116" s="215"/>
      <c r="W116" s="216">
        <v>4000000.0</v>
      </c>
      <c r="X116" s="77">
        <v>40000.0</v>
      </c>
      <c r="Y116" s="77">
        <v>40000.0</v>
      </c>
      <c r="Z116" s="77"/>
    </row>
    <row r="117">
      <c r="A117" s="145" t="s">
        <v>1413</v>
      </c>
      <c r="B117" s="145" t="s">
        <v>1413</v>
      </c>
      <c r="C117" s="145" t="s">
        <v>1266</v>
      </c>
      <c r="D117" s="75" t="s">
        <v>1601</v>
      </c>
      <c r="E117" s="75" t="s">
        <v>1601</v>
      </c>
      <c r="F117" s="211" t="s">
        <v>1591</v>
      </c>
      <c r="G117" s="211" t="s">
        <v>87</v>
      </c>
      <c r="H117" s="211" t="s">
        <v>87</v>
      </c>
      <c r="I117" s="211" t="s">
        <v>87</v>
      </c>
      <c r="J117" s="211" t="s">
        <v>87</v>
      </c>
      <c r="K117" s="75" t="s">
        <v>1544</v>
      </c>
      <c r="L117" s="152" t="b">
        <v>0</v>
      </c>
      <c r="M117" s="152" t="b">
        <v>0</v>
      </c>
      <c r="N117" s="217"/>
      <c r="O117" s="213" t="s">
        <v>1554</v>
      </c>
      <c r="P117" s="47" t="b">
        <v>0</v>
      </c>
      <c r="Q117" s="47" t="b">
        <v>0</v>
      </c>
      <c r="R117" s="214"/>
      <c r="S117" s="77">
        <v>0.0</v>
      </c>
      <c r="T117" s="214"/>
      <c r="U117" s="215"/>
      <c r="V117" s="215"/>
      <c r="W117" s="214"/>
      <c r="X117" s="214"/>
      <c r="Y117" s="77">
        <v>1.0E7</v>
      </c>
      <c r="Z117" s="77"/>
    </row>
    <row r="118">
      <c r="A118" s="145" t="s">
        <v>1884</v>
      </c>
      <c r="B118" s="145" t="s">
        <v>1884</v>
      </c>
      <c r="C118" s="145" t="s">
        <v>1266</v>
      </c>
      <c r="D118" s="75" t="s">
        <v>1601</v>
      </c>
      <c r="E118" s="75" t="s">
        <v>1601</v>
      </c>
      <c r="F118" s="211" t="s">
        <v>87</v>
      </c>
      <c r="G118" s="145" t="s">
        <v>1885</v>
      </c>
      <c r="H118" s="211" t="s">
        <v>77</v>
      </c>
      <c r="I118" s="145" t="s">
        <v>174</v>
      </c>
      <c r="J118" s="211" t="s">
        <v>87</v>
      </c>
      <c r="K118" s="75" t="s">
        <v>1544</v>
      </c>
      <c r="L118" s="152" t="b">
        <v>0</v>
      </c>
      <c r="M118" s="152" t="b">
        <v>0</v>
      </c>
      <c r="N118" s="217"/>
      <c r="O118" s="213" t="s">
        <v>1554</v>
      </c>
      <c r="P118" s="47" t="b">
        <v>0</v>
      </c>
      <c r="Q118" s="47" t="b">
        <v>0</v>
      </c>
      <c r="R118" s="214"/>
      <c r="S118" s="77">
        <v>0.0</v>
      </c>
      <c r="T118" s="214"/>
      <c r="U118" s="215"/>
      <c r="V118" s="215"/>
      <c r="W118" s="214"/>
      <c r="X118" s="214"/>
      <c r="Y118" s="77">
        <v>0.0</v>
      </c>
      <c r="Z118" s="77"/>
    </row>
    <row r="119">
      <c r="A119" s="145" t="s">
        <v>1662</v>
      </c>
      <c r="B119" s="145" t="s">
        <v>1580</v>
      </c>
      <c r="C119" s="145" t="s">
        <v>1543</v>
      </c>
      <c r="D119" s="75" t="s">
        <v>1544</v>
      </c>
      <c r="E119" s="75" t="s">
        <v>1544</v>
      </c>
      <c r="F119" s="211" t="s">
        <v>1575</v>
      </c>
      <c r="G119" s="145" t="s">
        <v>1754</v>
      </c>
      <c r="H119" s="211" t="s">
        <v>77</v>
      </c>
      <c r="I119" s="145" t="s">
        <v>327</v>
      </c>
      <c r="J119" s="211" t="s">
        <v>1577</v>
      </c>
      <c r="K119" s="75" t="s">
        <v>1544</v>
      </c>
      <c r="L119" s="152" t="b">
        <v>1</v>
      </c>
      <c r="M119" s="152" t="b">
        <v>0</v>
      </c>
      <c r="N119" s="212" t="s">
        <v>2036</v>
      </c>
      <c r="O119" s="213" t="s">
        <v>1554</v>
      </c>
      <c r="P119" s="47" t="b">
        <v>1</v>
      </c>
      <c r="Q119" s="47" t="b">
        <v>0</v>
      </c>
      <c r="R119" s="214"/>
      <c r="S119" s="77">
        <v>0.0</v>
      </c>
      <c r="T119" s="76" t="s">
        <v>1179</v>
      </c>
      <c r="U119" s="78">
        <v>3746377.0</v>
      </c>
      <c r="V119" s="215"/>
      <c r="W119" s="77">
        <v>4000000.0</v>
      </c>
      <c r="X119" s="77">
        <v>40000.0</v>
      </c>
      <c r="Y119" s="77">
        <v>20000.0</v>
      </c>
      <c r="Z119" s="77"/>
    </row>
    <row r="120">
      <c r="A120" s="145" t="s">
        <v>1305</v>
      </c>
      <c r="B120" s="145" t="s">
        <v>1305</v>
      </c>
      <c r="C120" s="145" t="s">
        <v>1266</v>
      </c>
      <c r="D120" s="75" t="s">
        <v>1601</v>
      </c>
      <c r="E120" s="75" t="s">
        <v>1601</v>
      </c>
      <c r="F120" s="211" t="s">
        <v>1851</v>
      </c>
      <c r="G120" s="145" t="s">
        <v>1306</v>
      </c>
      <c r="H120" s="211" t="s">
        <v>1018</v>
      </c>
      <c r="I120" s="145" t="s">
        <v>92</v>
      </c>
      <c r="J120" s="211" t="s">
        <v>1639</v>
      </c>
      <c r="K120" s="75" t="s">
        <v>1544</v>
      </c>
      <c r="L120" s="152" t="b">
        <v>0</v>
      </c>
      <c r="M120" s="152" t="b">
        <v>0</v>
      </c>
      <c r="N120" s="217"/>
      <c r="O120" s="213" t="s">
        <v>1554</v>
      </c>
      <c r="P120" s="47" t="b">
        <v>0</v>
      </c>
      <c r="Q120" s="47" t="b">
        <v>0</v>
      </c>
      <c r="R120" s="214"/>
      <c r="S120" s="77">
        <v>0.0</v>
      </c>
      <c r="T120" s="214"/>
      <c r="U120" s="215"/>
      <c r="V120" s="215"/>
      <c r="W120" s="214"/>
      <c r="X120" s="214"/>
      <c r="Y120" s="77">
        <v>48000.0</v>
      </c>
      <c r="Z120" s="77"/>
    </row>
    <row r="121">
      <c r="A121" s="145" t="s">
        <v>1417</v>
      </c>
      <c r="B121" s="145" t="s">
        <v>1417</v>
      </c>
      <c r="C121" s="145" t="s">
        <v>1266</v>
      </c>
      <c r="D121" s="75" t="s">
        <v>1544</v>
      </c>
      <c r="E121" s="75" t="s">
        <v>1601</v>
      </c>
      <c r="F121" s="211" t="s">
        <v>1602</v>
      </c>
      <c r="G121" s="145" t="s">
        <v>1418</v>
      </c>
      <c r="H121" s="211" t="s">
        <v>87</v>
      </c>
      <c r="I121" s="145" t="s">
        <v>267</v>
      </c>
      <c r="J121" s="211" t="s">
        <v>1603</v>
      </c>
      <c r="K121" s="75" t="s">
        <v>1544</v>
      </c>
      <c r="L121" s="152" t="b">
        <v>0</v>
      </c>
      <c r="M121" s="152" t="b">
        <v>0</v>
      </c>
      <c r="N121" s="217"/>
      <c r="O121" s="213" t="s">
        <v>1554</v>
      </c>
      <c r="P121" s="47" t="b">
        <v>0</v>
      </c>
      <c r="Q121" s="47" t="b">
        <v>0</v>
      </c>
      <c r="R121" s="214"/>
      <c r="S121" s="77">
        <v>0.0</v>
      </c>
      <c r="T121" s="214"/>
      <c r="U121" s="215"/>
      <c r="V121" s="215"/>
      <c r="W121" s="214"/>
      <c r="X121" s="214"/>
      <c r="Y121" s="77">
        <v>1.0</v>
      </c>
      <c r="Z121" s="77"/>
    </row>
    <row r="122">
      <c r="A122" s="145" t="s">
        <v>810</v>
      </c>
      <c r="B122" s="145" t="s">
        <v>1585</v>
      </c>
      <c r="C122" s="145" t="s">
        <v>1543</v>
      </c>
      <c r="D122" s="75" t="s">
        <v>1544</v>
      </c>
      <c r="E122" s="75" t="s">
        <v>1544</v>
      </c>
      <c r="F122" s="211" t="s">
        <v>1765</v>
      </c>
      <c r="G122" s="145" t="s">
        <v>811</v>
      </c>
      <c r="H122" s="211" t="s">
        <v>77</v>
      </c>
      <c r="I122" s="145" t="s">
        <v>140</v>
      </c>
      <c r="J122" s="211" t="s">
        <v>1639</v>
      </c>
      <c r="K122" s="75" t="s">
        <v>1544</v>
      </c>
      <c r="L122" s="152" t="b">
        <v>1</v>
      </c>
      <c r="M122" s="152" t="b">
        <v>0</v>
      </c>
      <c r="N122" s="212" t="s">
        <v>2044</v>
      </c>
      <c r="O122" s="213" t="s">
        <v>1554</v>
      </c>
      <c r="P122" s="47" t="b">
        <v>1</v>
      </c>
      <c r="Q122" s="47" t="b">
        <v>0</v>
      </c>
      <c r="R122" s="214"/>
      <c r="S122" s="77">
        <v>0.0</v>
      </c>
      <c r="T122" s="76" t="s">
        <v>1156</v>
      </c>
      <c r="U122" s="78">
        <v>5247103.0</v>
      </c>
      <c r="V122" s="215"/>
      <c r="W122" s="77">
        <v>6000000.0</v>
      </c>
      <c r="X122" s="216">
        <v>60000.0</v>
      </c>
      <c r="Y122" s="77">
        <v>1800000.0</v>
      </c>
      <c r="Z122" s="77"/>
    </row>
    <row r="123">
      <c r="A123" s="145" t="s">
        <v>820</v>
      </c>
      <c r="B123" s="145" t="s">
        <v>1968</v>
      </c>
      <c r="C123" s="145" t="s">
        <v>1543</v>
      </c>
      <c r="D123" s="75" t="s">
        <v>1544</v>
      </c>
      <c r="E123" s="75" t="s">
        <v>1601</v>
      </c>
      <c r="F123" s="211" t="s">
        <v>87</v>
      </c>
      <c r="G123" s="145" t="s">
        <v>821</v>
      </c>
      <c r="H123" s="211" t="s">
        <v>87</v>
      </c>
      <c r="I123" s="145" t="s">
        <v>267</v>
      </c>
      <c r="J123" s="211" t="s">
        <v>87</v>
      </c>
      <c r="K123" s="75" t="s">
        <v>1544</v>
      </c>
      <c r="L123" s="152" t="b">
        <v>1</v>
      </c>
      <c r="M123" s="152" t="b">
        <v>0</v>
      </c>
      <c r="N123" s="212" t="s">
        <v>2046</v>
      </c>
      <c r="O123" s="213" t="s">
        <v>1554</v>
      </c>
      <c r="P123" s="47" t="b">
        <v>0</v>
      </c>
      <c r="Q123" s="47" t="b">
        <v>0</v>
      </c>
      <c r="R123" s="214"/>
      <c r="S123" s="77">
        <v>0.0</v>
      </c>
      <c r="T123" s="214"/>
      <c r="U123" s="215"/>
      <c r="V123" s="215"/>
      <c r="W123" s="214"/>
      <c r="X123" s="218"/>
      <c r="Y123" s="77">
        <v>0.0</v>
      </c>
      <c r="Z123" s="77"/>
    </row>
    <row r="124">
      <c r="A124" s="145" t="s">
        <v>1893</v>
      </c>
      <c r="B124" s="145" t="s">
        <v>1893</v>
      </c>
      <c r="C124" s="145" t="s">
        <v>1266</v>
      </c>
      <c r="D124" s="75" t="s">
        <v>1544</v>
      </c>
      <c r="E124" s="75" t="s">
        <v>1601</v>
      </c>
      <c r="F124" s="211" t="s">
        <v>1591</v>
      </c>
      <c r="G124" s="145" t="s">
        <v>1592</v>
      </c>
      <c r="H124" s="211" t="s">
        <v>87</v>
      </c>
      <c r="I124" s="145" t="s">
        <v>267</v>
      </c>
      <c r="J124" s="211" t="s">
        <v>87</v>
      </c>
      <c r="K124" s="75" t="s">
        <v>1544</v>
      </c>
      <c r="L124" s="152" t="b">
        <v>0</v>
      </c>
      <c r="M124" s="152" t="b">
        <v>0</v>
      </c>
      <c r="N124" s="217"/>
      <c r="O124" s="213" t="s">
        <v>1554</v>
      </c>
      <c r="P124" s="47" t="b">
        <v>0</v>
      </c>
      <c r="Q124" s="47" t="b">
        <v>0</v>
      </c>
      <c r="R124" s="214"/>
      <c r="S124" s="77">
        <v>0.0</v>
      </c>
      <c r="T124" s="214"/>
      <c r="U124" s="215"/>
      <c r="V124" s="215"/>
      <c r="W124" s="214"/>
      <c r="X124" s="218"/>
      <c r="Y124" s="77">
        <v>1.0E7</v>
      </c>
      <c r="Z124" s="77"/>
    </row>
    <row r="125">
      <c r="A125" s="145" t="s">
        <v>640</v>
      </c>
      <c r="B125" s="145" t="s">
        <v>1653</v>
      </c>
      <c r="C125" s="145" t="s">
        <v>1543</v>
      </c>
      <c r="D125" s="75" t="s">
        <v>1544</v>
      </c>
      <c r="E125" s="75" t="s">
        <v>1544</v>
      </c>
      <c r="F125" s="211" t="s">
        <v>1557</v>
      </c>
      <c r="G125" s="145" t="s">
        <v>2053</v>
      </c>
      <c r="H125" s="211" t="s">
        <v>625</v>
      </c>
      <c r="I125" s="145" t="s">
        <v>624</v>
      </c>
      <c r="J125" s="211" t="s">
        <v>1561</v>
      </c>
      <c r="K125" s="75" t="s">
        <v>1544</v>
      </c>
      <c r="L125" s="152" t="b">
        <v>1</v>
      </c>
      <c r="M125" s="152" t="b">
        <v>0</v>
      </c>
      <c r="N125" s="212" t="s">
        <v>2056</v>
      </c>
      <c r="O125" s="213" t="s">
        <v>1554</v>
      </c>
      <c r="P125" s="47" t="b">
        <v>1</v>
      </c>
      <c r="Q125" s="47" t="b">
        <v>0</v>
      </c>
      <c r="R125" s="214"/>
      <c r="S125" s="77">
        <v>0.0</v>
      </c>
      <c r="T125" s="76" t="s">
        <v>1176</v>
      </c>
      <c r="U125" s="78">
        <v>4.619954E7</v>
      </c>
      <c r="V125" s="215"/>
      <c r="W125" s="77">
        <v>4.6E7</v>
      </c>
      <c r="X125" s="216">
        <v>4.6E9</v>
      </c>
      <c r="Y125" s="216">
        <v>6000000.0</v>
      </c>
      <c r="Z125" s="77"/>
    </row>
    <row r="126">
      <c r="A126" s="145" t="s">
        <v>351</v>
      </c>
      <c r="B126" s="145" t="s">
        <v>1689</v>
      </c>
      <c r="C126" s="145" t="s">
        <v>1543</v>
      </c>
      <c r="D126" s="75" t="s">
        <v>1544</v>
      </c>
      <c r="E126" s="75" t="s">
        <v>1544</v>
      </c>
      <c r="F126" s="211" t="s">
        <v>1690</v>
      </c>
      <c r="G126" s="145" t="s">
        <v>2058</v>
      </c>
      <c r="H126" s="211" t="s">
        <v>586</v>
      </c>
      <c r="I126" s="145" t="s">
        <v>162</v>
      </c>
      <c r="J126" s="211" t="s">
        <v>1597</v>
      </c>
      <c r="K126" s="75" t="s">
        <v>1544</v>
      </c>
      <c r="L126" s="152" t="b">
        <v>1</v>
      </c>
      <c r="M126" s="152" t="b">
        <v>0</v>
      </c>
      <c r="N126" s="212" t="s">
        <v>2059</v>
      </c>
      <c r="O126" s="213" t="s">
        <v>1554</v>
      </c>
      <c r="P126" s="47" t="b">
        <v>1</v>
      </c>
      <c r="Q126" s="47" t="b">
        <v>0</v>
      </c>
      <c r="R126" s="214"/>
      <c r="S126" s="77">
        <v>0.0</v>
      </c>
      <c r="T126" s="76" t="s">
        <v>1179</v>
      </c>
      <c r="U126" s="78">
        <v>2.2649101E7</v>
      </c>
      <c r="V126" s="215"/>
      <c r="W126" s="77">
        <v>2.2E7</v>
      </c>
      <c r="X126" s="77">
        <v>154000.0</v>
      </c>
      <c r="Y126" s="77">
        <v>100000.0</v>
      </c>
      <c r="Z126" s="77"/>
    </row>
    <row r="127">
      <c r="A127" s="145" t="s">
        <v>388</v>
      </c>
      <c r="B127" s="145" t="s">
        <v>1574</v>
      </c>
      <c r="C127" s="145" t="s">
        <v>1543</v>
      </c>
      <c r="D127" s="75" t="s">
        <v>1544</v>
      </c>
      <c r="E127" s="75" t="s">
        <v>1544</v>
      </c>
      <c r="F127" s="211" t="s">
        <v>1547</v>
      </c>
      <c r="G127" s="145" t="s">
        <v>2061</v>
      </c>
      <c r="H127" s="211" t="s">
        <v>77</v>
      </c>
      <c r="I127" s="145" t="s">
        <v>413</v>
      </c>
      <c r="J127" s="211" t="s">
        <v>1549</v>
      </c>
      <c r="K127" s="75" t="s">
        <v>1544</v>
      </c>
      <c r="L127" s="152" t="b">
        <v>1</v>
      </c>
      <c r="M127" s="152" t="b">
        <v>0</v>
      </c>
      <c r="N127" s="212" t="s">
        <v>2063</v>
      </c>
      <c r="O127" s="213" t="s">
        <v>1554</v>
      </c>
      <c r="P127" s="47" t="b">
        <v>1</v>
      </c>
      <c r="Q127" s="47" t="b">
        <v>0</v>
      </c>
      <c r="R127" s="214"/>
      <c r="S127" s="77">
        <v>0.0</v>
      </c>
      <c r="T127" s="76" t="s">
        <v>1176</v>
      </c>
      <c r="U127" s="78">
        <v>1.2206118E7</v>
      </c>
      <c r="V127" s="215"/>
      <c r="W127" s="77">
        <v>1.2E7</v>
      </c>
      <c r="X127" s="216">
        <v>120000.0</v>
      </c>
      <c r="Y127" s="77">
        <v>40000.0</v>
      </c>
      <c r="Z127" s="77"/>
    </row>
    <row r="128">
      <c r="A128" s="145" t="s">
        <v>2067</v>
      </c>
      <c r="B128" s="145" t="s">
        <v>2067</v>
      </c>
      <c r="C128" s="145" t="s">
        <v>1266</v>
      </c>
      <c r="D128" s="75" t="s">
        <v>1544</v>
      </c>
      <c r="E128" s="75" t="s">
        <v>1601</v>
      </c>
      <c r="F128" s="211" t="s">
        <v>1591</v>
      </c>
      <c r="G128" s="145" t="s">
        <v>1592</v>
      </c>
      <c r="H128" s="211" t="s">
        <v>87</v>
      </c>
      <c r="I128" s="145" t="s">
        <v>267</v>
      </c>
      <c r="J128" s="211" t="s">
        <v>87</v>
      </c>
      <c r="K128" s="75" t="s">
        <v>1544</v>
      </c>
      <c r="L128" s="152" t="b">
        <v>0</v>
      </c>
      <c r="M128" s="152" t="b">
        <v>0</v>
      </c>
      <c r="N128" s="217"/>
      <c r="O128" s="213" t="s">
        <v>1554</v>
      </c>
      <c r="P128" s="47" t="b">
        <v>0</v>
      </c>
      <c r="Q128" s="47" t="b">
        <v>0</v>
      </c>
      <c r="R128" s="214"/>
      <c r="S128" s="77">
        <v>0.0</v>
      </c>
      <c r="T128" s="214"/>
      <c r="U128" s="215"/>
      <c r="V128" s="215"/>
      <c r="W128" s="218"/>
      <c r="X128" s="218"/>
      <c r="Y128" s="77">
        <v>1.0E7</v>
      </c>
      <c r="Z128" s="77"/>
    </row>
    <row r="129">
      <c r="A129" s="145" t="s">
        <v>418</v>
      </c>
      <c r="B129" s="145" t="s">
        <v>1605</v>
      </c>
      <c r="C129" s="145" t="s">
        <v>1543</v>
      </c>
      <c r="D129" s="75" t="s">
        <v>1544</v>
      </c>
      <c r="E129" s="75" t="s">
        <v>1544</v>
      </c>
      <c r="F129" s="211" t="s">
        <v>1666</v>
      </c>
      <c r="G129" s="145" t="s">
        <v>887</v>
      </c>
      <c r="H129" s="211" t="s">
        <v>77</v>
      </c>
      <c r="I129" s="145" t="s">
        <v>329</v>
      </c>
      <c r="J129" s="211" t="s">
        <v>1667</v>
      </c>
      <c r="K129" s="75" t="s">
        <v>1544</v>
      </c>
      <c r="L129" s="152" t="b">
        <v>1</v>
      </c>
      <c r="M129" s="152" t="b">
        <v>0</v>
      </c>
      <c r="N129" s="212" t="s">
        <v>2070</v>
      </c>
      <c r="O129" s="213" t="s">
        <v>1554</v>
      </c>
      <c r="P129" s="47" t="b">
        <v>1</v>
      </c>
      <c r="Q129" s="47" t="b">
        <v>0</v>
      </c>
      <c r="R129" s="214"/>
      <c r="S129" s="77">
        <v>0.0</v>
      </c>
      <c r="T129" s="76" t="s">
        <v>1156</v>
      </c>
      <c r="U129" s="78">
        <v>1.2653061E7</v>
      </c>
      <c r="V129" s="215"/>
      <c r="W129" s="77">
        <v>1.2E7</v>
      </c>
      <c r="X129" s="77">
        <v>120000.0</v>
      </c>
      <c r="Y129" s="77">
        <v>3600000.0</v>
      </c>
      <c r="Z129" s="77"/>
    </row>
    <row r="130">
      <c r="A130" s="145" t="s">
        <v>429</v>
      </c>
      <c r="B130" s="145" t="s">
        <v>1595</v>
      </c>
      <c r="C130" s="145" t="s">
        <v>1543</v>
      </c>
      <c r="D130" s="75" t="s">
        <v>1544</v>
      </c>
      <c r="E130" s="75" t="s">
        <v>1544</v>
      </c>
      <c r="F130" s="211" t="s">
        <v>1596</v>
      </c>
      <c r="G130" s="145" t="s">
        <v>747</v>
      </c>
      <c r="H130" s="211" t="s">
        <v>1018</v>
      </c>
      <c r="I130" s="145" t="s">
        <v>113</v>
      </c>
      <c r="J130" s="211" t="s">
        <v>1597</v>
      </c>
      <c r="K130" s="75" t="s">
        <v>1544</v>
      </c>
      <c r="L130" s="152" t="b">
        <v>1</v>
      </c>
      <c r="M130" s="152" t="b">
        <v>0</v>
      </c>
      <c r="N130" s="212" t="s">
        <v>2074</v>
      </c>
      <c r="O130" s="213" t="s">
        <v>1554</v>
      </c>
      <c r="P130" s="47" t="b">
        <v>1</v>
      </c>
      <c r="Q130" s="47" t="b">
        <v>0</v>
      </c>
      <c r="R130" s="214"/>
      <c r="S130" s="77">
        <v>0.0</v>
      </c>
      <c r="T130" s="76" t="s">
        <v>1156</v>
      </c>
      <c r="U130" s="78">
        <v>9843198.0</v>
      </c>
      <c r="V130" s="215"/>
      <c r="W130" s="77">
        <v>1.0E7</v>
      </c>
      <c r="X130" s="77">
        <v>80000.0</v>
      </c>
      <c r="Y130" s="77">
        <v>3000000.0</v>
      </c>
      <c r="Z130" s="77"/>
    </row>
    <row r="131">
      <c r="A131" s="145" t="s">
        <v>1888</v>
      </c>
      <c r="B131" s="145" t="s">
        <v>1760</v>
      </c>
      <c r="C131" s="145" t="s">
        <v>1543</v>
      </c>
      <c r="D131" s="75" t="s">
        <v>1544</v>
      </c>
      <c r="E131" s="75" t="s">
        <v>1544</v>
      </c>
      <c r="F131" s="211" t="s">
        <v>1547</v>
      </c>
      <c r="G131" s="145" t="s">
        <v>2076</v>
      </c>
      <c r="H131" s="211" t="s">
        <v>77</v>
      </c>
      <c r="I131" s="145" t="s">
        <v>143</v>
      </c>
      <c r="J131" s="211" t="s">
        <v>1549</v>
      </c>
      <c r="K131" s="75" t="s">
        <v>1544</v>
      </c>
      <c r="L131" s="152" t="b">
        <v>1</v>
      </c>
      <c r="M131" s="152" t="b">
        <v>0</v>
      </c>
      <c r="N131" s="212" t="s">
        <v>2078</v>
      </c>
      <c r="O131" s="213" t="s">
        <v>1554</v>
      </c>
      <c r="P131" s="47" t="b">
        <v>1</v>
      </c>
      <c r="Q131" s="47" t="b">
        <v>0</v>
      </c>
      <c r="R131" s="214"/>
      <c r="S131" s="77">
        <v>0.0</v>
      </c>
      <c r="T131" s="76" t="s">
        <v>1179</v>
      </c>
      <c r="U131" s="78">
        <v>1.0073576E7</v>
      </c>
      <c r="V131" s="215"/>
      <c r="W131" s="77">
        <v>1.0E7</v>
      </c>
      <c r="X131" s="77">
        <v>100000.0</v>
      </c>
      <c r="Y131" s="77">
        <v>40000.0</v>
      </c>
      <c r="Z131" s="77"/>
    </row>
    <row r="132">
      <c r="A132" s="145" t="s">
        <v>452</v>
      </c>
      <c r="B132" s="145" t="s">
        <v>1595</v>
      </c>
      <c r="C132" s="145" t="s">
        <v>1543</v>
      </c>
      <c r="D132" s="75" t="s">
        <v>1544</v>
      </c>
      <c r="E132" s="75" t="s">
        <v>1544</v>
      </c>
      <c r="F132" s="211" t="s">
        <v>1607</v>
      </c>
      <c r="G132" s="145" t="s">
        <v>744</v>
      </c>
      <c r="H132" s="211" t="s">
        <v>1018</v>
      </c>
      <c r="I132" s="145" t="s">
        <v>113</v>
      </c>
      <c r="J132" s="211" t="s">
        <v>1609</v>
      </c>
      <c r="K132" s="75" t="s">
        <v>1544</v>
      </c>
      <c r="L132" s="152" t="b">
        <v>1</v>
      </c>
      <c r="M132" s="152" t="b">
        <v>0</v>
      </c>
      <c r="N132" s="212" t="s">
        <v>2081</v>
      </c>
      <c r="O132" s="213" t="s">
        <v>1554</v>
      </c>
      <c r="P132" s="47" t="b">
        <v>1</v>
      </c>
      <c r="Q132" s="47" t="b">
        <v>0</v>
      </c>
      <c r="R132" s="214"/>
      <c r="S132" s="77">
        <v>0.0</v>
      </c>
      <c r="T132" s="76" t="s">
        <v>1156</v>
      </c>
      <c r="U132" s="78">
        <v>7999439.0</v>
      </c>
      <c r="V132" s="215"/>
      <c r="W132" s="77">
        <v>8000000.0</v>
      </c>
      <c r="X132" s="77">
        <v>64000.0</v>
      </c>
      <c r="Y132" s="77">
        <v>2400000.0</v>
      </c>
      <c r="Z132" s="77"/>
    </row>
    <row r="133">
      <c r="A133" s="145" t="s">
        <v>558</v>
      </c>
      <c r="B133" s="145" t="s">
        <v>1720</v>
      </c>
      <c r="C133" s="145" t="s">
        <v>1543</v>
      </c>
      <c r="D133" s="75" t="s">
        <v>1544</v>
      </c>
      <c r="E133" s="75" t="s">
        <v>1544</v>
      </c>
      <c r="F133" s="211" t="s">
        <v>1721</v>
      </c>
      <c r="G133" s="145" t="s">
        <v>1338</v>
      </c>
      <c r="H133" s="211" t="s">
        <v>1018</v>
      </c>
      <c r="I133" s="145" t="s">
        <v>83</v>
      </c>
      <c r="J133" s="211" t="s">
        <v>1609</v>
      </c>
      <c r="K133" s="75" t="s">
        <v>1544</v>
      </c>
      <c r="L133" s="152" t="b">
        <v>1</v>
      </c>
      <c r="M133" s="152" t="b">
        <v>0</v>
      </c>
      <c r="N133" s="212" t="s">
        <v>2084</v>
      </c>
      <c r="O133" s="213" t="s">
        <v>1554</v>
      </c>
      <c r="P133" s="47" t="b">
        <v>1</v>
      </c>
      <c r="Q133" s="47" t="b">
        <v>0</v>
      </c>
      <c r="R133" s="214"/>
      <c r="S133" s="77">
        <v>0.0</v>
      </c>
      <c r="T133" s="76" t="s">
        <v>1179</v>
      </c>
      <c r="U133" s="78">
        <v>1.7974092E7</v>
      </c>
      <c r="V133" s="215"/>
      <c r="W133" s="77">
        <v>1.8E7</v>
      </c>
      <c r="X133" s="77">
        <v>144000.0</v>
      </c>
      <c r="Y133" s="77">
        <v>64000.0</v>
      </c>
      <c r="Z133" s="77"/>
    </row>
    <row r="134">
      <c r="A134" s="145" t="s">
        <v>306</v>
      </c>
      <c r="B134" s="145" t="s">
        <v>1605</v>
      </c>
      <c r="C134" s="145" t="s">
        <v>1543</v>
      </c>
      <c r="D134" s="75" t="s">
        <v>1544</v>
      </c>
      <c r="E134" s="75" t="s">
        <v>1544</v>
      </c>
      <c r="F134" s="211" t="s">
        <v>2086</v>
      </c>
      <c r="G134" s="145" t="s">
        <v>899</v>
      </c>
      <c r="H134" s="211" t="s">
        <v>77</v>
      </c>
      <c r="I134" s="145" t="s">
        <v>329</v>
      </c>
      <c r="J134" s="211" t="s">
        <v>2087</v>
      </c>
      <c r="K134" s="75" t="s">
        <v>1544</v>
      </c>
      <c r="L134" s="152" t="b">
        <v>1</v>
      </c>
      <c r="M134" s="152" t="b">
        <v>0</v>
      </c>
      <c r="N134" s="212" t="s">
        <v>2089</v>
      </c>
      <c r="O134" s="213" t="s">
        <v>1554</v>
      </c>
      <c r="P134" s="47" t="b">
        <v>1</v>
      </c>
      <c r="Q134" s="47" t="b">
        <v>0</v>
      </c>
      <c r="R134" s="214"/>
      <c r="S134" s="77">
        <v>0.0</v>
      </c>
      <c r="T134" s="76" t="s">
        <v>1156</v>
      </c>
      <c r="U134" s="78">
        <v>1.4122933E7</v>
      </c>
      <c r="V134" s="215"/>
      <c r="W134" s="77">
        <v>1.4E7</v>
      </c>
      <c r="X134" s="216">
        <v>140000.0</v>
      </c>
      <c r="Y134" s="77">
        <v>4200000.0</v>
      </c>
      <c r="Z134" s="77"/>
    </row>
    <row r="135">
      <c r="A135" s="145" t="s">
        <v>395</v>
      </c>
      <c r="B135" s="145" t="s">
        <v>395</v>
      </c>
      <c r="C135" s="145" t="s">
        <v>1600</v>
      </c>
      <c r="D135" s="75" t="s">
        <v>1544</v>
      </c>
      <c r="E135" s="75" t="s">
        <v>1544</v>
      </c>
      <c r="F135" s="211" t="s">
        <v>1602</v>
      </c>
      <c r="G135" s="145" t="s">
        <v>396</v>
      </c>
      <c r="H135" s="211" t="s">
        <v>87</v>
      </c>
      <c r="I135" s="145" t="s">
        <v>267</v>
      </c>
      <c r="J135" s="211" t="s">
        <v>1603</v>
      </c>
      <c r="K135" s="75" t="s">
        <v>1544</v>
      </c>
      <c r="L135" s="152" t="b">
        <v>0</v>
      </c>
      <c r="M135" s="152" t="b">
        <v>0</v>
      </c>
      <c r="N135" s="217"/>
      <c r="O135" s="213" t="s">
        <v>1554</v>
      </c>
      <c r="P135" s="47" t="b">
        <v>0</v>
      </c>
      <c r="Q135" s="47" t="b">
        <v>0</v>
      </c>
      <c r="R135" s="214"/>
      <c r="S135" s="77">
        <v>0.0</v>
      </c>
      <c r="T135" s="76" t="s">
        <v>1176</v>
      </c>
      <c r="U135" s="215"/>
      <c r="V135" s="215"/>
      <c r="W135" s="214"/>
      <c r="X135" s="218"/>
      <c r="Y135" s="77">
        <v>1.0</v>
      </c>
      <c r="Z135" s="77"/>
    </row>
    <row r="136">
      <c r="A136" s="145" t="s">
        <v>488</v>
      </c>
      <c r="B136" s="145" t="s">
        <v>1647</v>
      </c>
      <c r="C136" s="145" t="s">
        <v>1543</v>
      </c>
      <c r="D136" s="75" t="s">
        <v>1544</v>
      </c>
      <c r="E136" s="75" t="s">
        <v>1544</v>
      </c>
      <c r="F136" s="211" t="s">
        <v>1649</v>
      </c>
      <c r="G136" s="145" t="s">
        <v>2097</v>
      </c>
      <c r="H136" s="211" t="s">
        <v>1018</v>
      </c>
      <c r="I136" s="145" t="s">
        <v>132</v>
      </c>
      <c r="J136" s="211" t="s">
        <v>1549</v>
      </c>
      <c r="K136" s="75" t="s">
        <v>1544</v>
      </c>
      <c r="L136" s="152" t="b">
        <v>1</v>
      </c>
      <c r="M136" s="152" t="b">
        <v>0</v>
      </c>
      <c r="N136" s="212" t="s">
        <v>2098</v>
      </c>
      <c r="O136" s="213" t="s">
        <v>1554</v>
      </c>
      <c r="P136" s="47" t="b">
        <v>1</v>
      </c>
      <c r="Q136" s="47" t="b">
        <v>0</v>
      </c>
      <c r="R136" s="214"/>
      <c r="S136" s="77">
        <v>0.0</v>
      </c>
      <c r="T136" s="76" t="s">
        <v>1176</v>
      </c>
      <c r="U136" s="78">
        <v>9279886.0</v>
      </c>
      <c r="V136" s="215"/>
      <c r="W136" s="77">
        <v>1.0E7</v>
      </c>
      <c r="X136" s="216">
        <v>80000.0</v>
      </c>
      <c r="Y136" s="77">
        <v>32000.0</v>
      </c>
      <c r="Z136" s="77"/>
    </row>
    <row r="137">
      <c r="A137" s="145" t="s">
        <v>639</v>
      </c>
      <c r="B137" s="145" t="s">
        <v>1556</v>
      </c>
      <c r="C137" s="145" t="s">
        <v>1543</v>
      </c>
      <c r="D137" s="75" t="s">
        <v>1544</v>
      </c>
      <c r="E137" s="75" t="s">
        <v>1544</v>
      </c>
      <c r="F137" s="211" t="s">
        <v>1557</v>
      </c>
      <c r="G137" s="145" t="s">
        <v>1270</v>
      </c>
      <c r="H137" s="211" t="s">
        <v>625</v>
      </c>
      <c r="I137" s="145" t="s">
        <v>624</v>
      </c>
      <c r="J137" s="211" t="s">
        <v>1561</v>
      </c>
      <c r="K137" s="75" t="s">
        <v>1544</v>
      </c>
      <c r="L137" s="152" t="b">
        <v>1</v>
      </c>
      <c r="M137" s="152" t="b">
        <v>0</v>
      </c>
      <c r="N137" s="212" t="s">
        <v>2102</v>
      </c>
      <c r="O137" s="213" t="s">
        <v>1554</v>
      </c>
      <c r="P137" s="47" t="b">
        <v>1</v>
      </c>
      <c r="Q137" s="47" t="b">
        <v>0</v>
      </c>
      <c r="R137" s="214"/>
      <c r="S137" s="77">
        <v>0.0</v>
      </c>
      <c r="T137" s="76" t="s">
        <v>1156</v>
      </c>
      <c r="U137" s="78">
        <v>2.3304828E7</v>
      </c>
      <c r="V137" s="215"/>
      <c r="W137" s="77">
        <v>2.4E7</v>
      </c>
      <c r="X137" s="216">
        <v>2.4E9</v>
      </c>
      <c r="Y137" s="216">
        <v>6000000.0</v>
      </c>
      <c r="Z137" s="77"/>
    </row>
    <row r="138">
      <c r="A138" s="145" t="s">
        <v>1262</v>
      </c>
      <c r="B138" s="145" t="s">
        <v>1262</v>
      </c>
      <c r="C138" s="145" t="s">
        <v>1600</v>
      </c>
      <c r="D138" s="75" t="s">
        <v>1544</v>
      </c>
      <c r="E138" s="75" t="s">
        <v>1601</v>
      </c>
      <c r="F138" s="211" t="s">
        <v>1575</v>
      </c>
      <c r="G138" s="145" t="s">
        <v>1263</v>
      </c>
      <c r="H138" s="211" t="s">
        <v>2106</v>
      </c>
      <c r="I138" s="145" t="s">
        <v>174</v>
      </c>
      <c r="J138" s="211" t="s">
        <v>1549</v>
      </c>
      <c r="K138" s="75" t="s">
        <v>1544</v>
      </c>
      <c r="L138" s="152" t="b">
        <v>0</v>
      </c>
      <c r="M138" s="152" t="b">
        <v>0</v>
      </c>
      <c r="N138" s="217"/>
      <c r="O138" s="213" t="s">
        <v>1554</v>
      </c>
      <c r="P138" s="47" t="b">
        <v>0</v>
      </c>
      <c r="Q138" s="47" t="b">
        <v>0</v>
      </c>
      <c r="R138" s="214"/>
      <c r="S138" s="77">
        <v>0.0</v>
      </c>
      <c r="T138" s="214"/>
      <c r="U138" s="215"/>
      <c r="V138" s="215"/>
      <c r="W138" s="214"/>
      <c r="X138" s="214"/>
      <c r="Y138" s="77">
        <v>20000.0</v>
      </c>
      <c r="Z138" s="77"/>
    </row>
    <row r="139">
      <c r="A139" s="145" t="s">
        <v>1419</v>
      </c>
      <c r="B139" s="145" t="s">
        <v>1419</v>
      </c>
      <c r="C139" s="145" t="s">
        <v>1600</v>
      </c>
      <c r="D139" s="75" t="s">
        <v>1544</v>
      </c>
      <c r="E139" s="75" t="s">
        <v>1601</v>
      </c>
      <c r="F139" s="211" t="s">
        <v>1602</v>
      </c>
      <c r="G139" s="145" t="s">
        <v>1420</v>
      </c>
      <c r="H139" s="211" t="s">
        <v>87</v>
      </c>
      <c r="I139" s="145" t="s">
        <v>267</v>
      </c>
      <c r="J139" s="211" t="s">
        <v>1603</v>
      </c>
      <c r="K139" s="75" t="s">
        <v>1544</v>
      </c>
      <c r="L139" s="152" t="b">
        <v>0</v>
      </c>
      <c r="M139" s="152" t="b">
        <v>0</v>
      </c>
      <c r="N139" s="217"/>
      <c r="O139" s="213" t="s">
        <v>1554</v>
      </c>
      <c r="P139" s="47" t="b">
        <v>0</v>
      </c>
      <c r="Q139" s="47" t="b">
        <v>0</v>
      </c>
      <c r="R139" s="214"/>
      <c r="S139" s="77">
        <v>0.0</v>
      </c>
      <c r="T139" s="214"/>
      <c r="U139" s="215"/>
      <c r="V139" s="215"/>
      <c r="W139" s="214"/>
      <c r="X139" s="218"/>
      <c r="Y139" s="77">
        <v>1.0</v>
      </c>
      <c r="Z139" s="77"/>
    </row>
    <row r="140">
      <c r="A140" s="145" t="s">
        <v>386</v>
      </c>
      <c r="B140" s="145" t="s">
        <v>1679</v>
      </c>
      <c r="C140" s="145" t="s">
        <v>1543</v>
      </c>
      <c r="D140" s="75" t="s">
        <v>1544</v>
      </c>
      <c r="E140" s="75" t="s">
        <v>1544</v>
      </c>
      <c r="F140" s="211" t="s">
        <v>1575</v>
      </c>
      <c r="G140" s="145" t="s">
        <v>2109</v>
      </c>
      <c r="H140" s="211" t="s">
        <v>77</v>
      </c>
      <c r="I140" s="145" t="s">
        <v>174</v>
      </c>
      <c r="J140" s="211" t="s">
        <v>1577</v>
      </c>
      <c r="K140" s="75" t="s">
        <v>1544</v>
      </c>
      <c r="L140" s="152" t="b">
        <v>1</v>
      </c>
      <c r="M140" s="152" t="b">
        <v>0</v>
      </c>
      <c r="N140" s="212" t="s">
        <v>2111</v>
      </c>
      <c r="O140" s="213" t="s">
        <v>1554</v>
      </c>
      <c r="P140" s="47" t="b">
        <v>1</v>
      </c>
      <c r="Q140" s="47" t="b">
        <v>0</v>
      </c>
      <c r="R140" s="214"/>
      <c r="S140" s="77">
        <v>0.0</v>
      </c>
      <c r="T140" s="76" t="s">
        <v>1176</v>
      </c>
      <c r="U140" s="78">
        <v>6337247.0</v>
      </c>
      <c r="V140" s="215"/>
      <c r="W140" s="77">
        <v>6000000.0</v>
      </c>
      <c r="X140" s="216">
        <v>60000.0</v>
      </c>
      <c r="Y140" s="77">
        <v>20000.0</v>
      </c>
      <c r="Z140" s="77"/>
    </row>
    <row r="141">
      <c r="A141" s="145" t="s">
        <v>1267</v>
      </c>
      <c r="B141" s="145" t="s">
        <v>1267</v>
      </c>
      <c r="C141" s="145" t="s">
        <v>1266</v>
      </c>
      <c r="D141" s="75" t="s">
        <v>1544</v>
      </c>
      <c r="E141" s="75" t="s">
        <v>1601</v>
      </c>
      <c r="F141" s="211" t="s">
        <v>1591</v>
      </c>
      <c r="G141" s="145" t="s">
        <v>1592</v>
      </c>
      <c r="H141" s="211" t="s">
        <v>87</v>
      </c>
      <c r="I141" s="145" t="s">
        <v>267</v>
      </c>
      <c r="J141" s="211" t="s">
        <v>87</v>
      </c>
      <c r="K141" s="75" t="s">
        <v>1544</v>
      </c>
      <c r="L141" s="152" t="b">
        <v>0</v>
      </c>
      <c r="M141" s="152" t="b">
        <v>0</v>
      </c>
      <c r="N141" s="217"/>
      <c r="O141" s="213" t="s">
        <v>1554</v>
      </c>
      <c r="P141" s="47" t="b">
        <v>0</v>
      </c>
      <c r="Q141" s="47" t="b">
        <v>0</v>
      </c>
      <c r="R141" s="214"/>
      <c r="S141" s="77">
        <v>0.0</v>
      </c>
      <c r="T141" s="214"/>
      <c r="U141" s="215"/>
      <c r="V141" s="215"/>
      <c r="W141" s="214"/>
      <c r="X141" s="214"/>
      <c r="Y141" s="77">
        <v>1.0E7</v>
      </c>
      <c r="Z141" s="77"/>
    </row>
    <row r="142">
      <c r="A142" s="145" t="s">
        <v>1700</v>
      </c>
      <c r="B142" s="145" t="s">
        <v>1700</v>
      </c>
      <c r="C142" s="145" t="s">
        <v>1266</v>
      </c>
      <c r="D142" s="75" t="s">
        <v>1544</v>
      </c>
      <c r="E142" s="75" t="s">
        <v>1601</v>
      </c>
      <c r="F142" s="211" t="s">
        <v>1591</v>
      </c>
      <c r="G142" s="145" t="s">
        <v>1592</v>
      </c>
      <c r="H142" s="211" t="s">
        <v>87</v>
      </c>
      <c r="I142" s="145" t="s">
        <v>267</v>
      </c>
      <c r="J142" s="211" t="s">
        <v>87</v>
      </c>
      <c r="K142" s="75" t="s">
        <v>1544</v>
      </c>
      <c r="L142" s="152" t="b">
        <v>0</v>
      </c>
      <c r="M142" s="152" t="b">
        <v>0</v>
      </c>
      <c r="N142" s="217"/>
      <c r="O142" s="213" t="s">
        <v>1554</v>
      </c>
      <c r="P142" s="47" t="b">
        <v>0</v>
      </c>
      <c r="Q142" s="47" t="b">
        <v>0</v>
      </c>
      <c r="R142" s="214"/>
      <c r="S142" s="77">
        <v>0.0</v>
      </c>
      <c r="T142" s="214"/>
      <c r="U142" s="215"/>
      <c r="V142" s="215"/>
      <c r="W142" s="214"/>
      <c r="X142" s="214"/>
      <c r="Y142" s="77">
        <v>1.0E7</v>
      </c>
      <c r="Z142" s="77"/>
    </row>
    <row r="143">
      <c r="A143" s="145" t="s">
        <v>1268</v>
      </c>
      <c r="B143" s="145" t="s">
        <v>1268</v>
      </c>
      <c r="C143" s="145" t="s">
        <v>1600</v>
      </c>
      <c r="D143" s="75" t="s">
        <v>1544</v>
      </c>
      <c r="E143" s="75" t="s">
        <v>1601</v>
      </c>
      <c r="F143" s="211" t="s">
        <v>1796</v>
      </c>
      <c r="G143" s="145" t="s">
        <v>1269</v>
      </c>
      <c r="H143" s="211" t="s">
        <v>1797</v>
      </c>
      <c r="I143" s="145" t="s">
        <v>140</v>
      </c>
      <c r="J143" s="211" t="s">
        <v>1798</v>
      </c>
      <c r="K143" s="75" t="s">
        <v>1544</v>
      </c>
      <c r="L143" s="152" t="b">
        <v>0</v>
      </c>
      <c r="M143" s="152" t="b">
        <v>0</v>
      </c>
      <c r="N143" s="217"/>
      <c r="O143" s="213" t="s">
        <v>1554</v>
      </c>
      <c r="P143" s="47" t="b">
        <v>0</v>
      </c>
      <c r="Q143" s="47" t="b">
        <v>0</v>
      </c>
      <c r="R143" s="214"/>
      <c r="S143" s="77">
        <v>0.0</v>
      </c>
      <c r="T143" s="214"/>
      <c r="U143" s="215"/>
      <c r="V143" s="215"/>
      <c r="W143" s="214"/>
      <c r="X143" s="214"/>
      <c r="Y143" s="77">
        <v>1000000.0</v>
      </c>
      <c r="Z143" s="77"/>
    </row>
    <row r="144">
      <c r="A144" s="145" t="s">
        <v>615</v>
      </c>
      <c r="B144" s="145" t="s">
        <v>1694</v>
      </c>
      <c r="C144" s="145" t="s">
        <v>1543</v>
      </c>
      <c r="D144" s="75" t="s">
        <v>1544</v>
      </c>
      <c r="E144" s="75" t="s">
        <v>1544</v>
      </c>
      <c r="F144" s="211" t="s">
        <v>1690</v>
      </c>
      <c r="G144" s="145" t="s">
        <v>2125</v>
      </c>
      <c r="H144" s="211" t="s">
        <v>586</v>
      </c>
      <c r="I144" s="145" t="s">
        <v>936</v>
      </c>
      <c r="J144" s="211" t="s">
        <v>1597</v>
      </c>
      <c r="K144" s="75" t="s">
        <v>1544</v>
      </c>
      <c r="L144" s="152" t="b">
        <v>1</v>
      </c>
      <c r="M144" s="152" t="b">
        <v>0</v>
      </c>
      <c r="N144" s="212" t="s">
        <v>2126</v>
      </c>
      <c r="O144" s="213" t="s">
        <v>1554</v>
      </c>
      <c r="P144" s="47" t="b">
        <v>1</v>
      </c>
      <c r="Q144" s="47" t="b">
        <v>0</v>
      </c>
      <c r="R144" s="214"/>
      <c r="S144" s="77">
        <v>0.0</v>
      </c>
      <c r="T144" s="76" t="s">
        <v>1179</v>
      </c>
      <c r="U144" s="78">
        <v>2.2419044E7</v>
      </c>
      <c r="V144" s="215"/>
      <c r="W144" s="77">
        <v>2.2E7</v>
      </c>
      <c r="X144" s="77">
        <v>154000.0</v>
      </c>
      <c r="Y144" s="77">
        <v>100000.0</v>
      </c>
      <c r="Z144" s="77"/>
    </row>
    <row r="145">
      <c r="A145" s="145" t="s">
        <v>494</v>
      </c>
      <c r="B145" s="145" t="s">
        <v>1595</v>
      </c>
      <c r="C145" s="145" t="s">
        <v>1543</v>
      </c>
      <c r="D145" s="75" t="s">
        <v>1544</v>
      </c>
      <c r="E145" s="75" t="s">
        <v>1544</v>
      </c>
      <c r="F145" s="211" t="s">
        <v>1649</v>
      </c>
      <c r="G145" s="145" t="s">
        <v>2127</v>
      </c>
      <c r="H145" s="211" t="s">
        <v>1018</v>
      </c>
      <c r="I145" s="145" t="s">
        <v>113</v>
      </c>
      <c r="J145" s="211" t="s">
        <v>1549</v>
      </c>
      <c r="K145" s="75" t="s">
        <v>1544</v>
      </c>
      <c r="L145" s="152" t="b">
        <v>1</v>
      </c>
      <c r="M145" s="152" t="b">
        <v>0</v>
      </c>
      <c r="N145" s="212" t="s">
        <v>2128</v>
      </c>
      <c r="O145" s="213" t="s">
        <v>1554</v>
      </c>
      <c r="P145" s="47" t="b">
        <v>1</v>
      </c>
      <c r="Q145" s="47" t="b">
        <v>0</v>
      </c>
      <c r="R145" s="214"/>
      <c r="S145" s="77">
        <v>0.0</v>
      </c>
      <c r="T145" s="76" t="s">
        <v>1162</v>
      </c>
      <c r="U145" s="78">
        <v>6988619.0</v>
      </c>
      <c r="V145" s="215"/>
      <c r="W145" s="77">
        <v>6000000.0</v>
      </c>
      <c r="X145" s="77">
        <v>48000.0</v>
      </c>
      <c r="Y145" s="77">
        <v>32000.0</v>
      </c>
      <c r="Z145" s="77"/>
    </row>
    <row r="146">
      <c r="A146" s="145" t="s">
        <v>1725</v>
      </c>
      <c r="B146" s="145" t="s">
        <v>1725</v>
      </c>
      <c r="C146" s="145" t="s">
        <v>1266</v>
      </c>
      <c r="D146" s="75" t="s">
        <v>1544</v>
      </c>
      <c r="E146" s="75" t="s">
        <v>1601</v>
      </c>
      <c r="F146" s="211" t="s">
        <v>1591</v>
      </c>
      <c r="G146" s="145" t="s">
        <v>1592</v>
      </c>
      <c r="H146" s="211" t="s">
        <v>87</v>
      </c>
      <c r="I146" s="145" t="s">
        <v>267</v>
      </c>
      <c r="J146" s="211" t="s">
        <v>87</v>
      </c>
      <c r="K146" s="75" t="s">
        <v>1544</v>
      </c>
      <c r="L146" s="152" t="b">
        <v>0</v>
      </c>
      <c r="M146" s="152" t="b">
        <v>0</v>
      </c>
      <c r="N146" s="217"/>
      <c r="O146" s="213" t="s">
        <v>1554</v>
      </c>
      <c r="P146" s="47" t="b">
        <v>0</v>
      </c>
      <c r="Q146" s="47" t="b">
        <v>0</v>
      </c>
      <c r="R146" s="214"/>
      <c r="S146" s="77">
        <v>0.0</v>
      </c>
      <c r="T146" s="214"/>
      <c r="U146" s="215"/>
      <c r="V146" s="215"/>
      <c r="W146" s="214"/>
      <c r="X146" s="214"/>
      <c r="Y146" s="77">
        <v>1.0E7</v>
      </c>
      <c r="Z146" s="77"/>
    </row>
    <row r="147">
      <c r="A147" s="145" t="s">
        <v>1685</v>
      </c>
      <c r="B147" s="145" t="s">
        <v>1580</v>
      </c>
      <c r="C147" s="145" t="s">
        <v>1543</v>
      </c>
      <c r="D147" s="75" t="s">
        <v>1544</v>
      </c>
      <c r="E147" s="75" t="s">
        <v>1544</v>
      </c>
      <c r="F147" s="211" t="s">
        <v>1575</v>
      </c>
      <c r="G147" s="145" t="s">
        <v>1687</v>
      </c>
      <c r="H147" s="211" t="s">
        <v>77</v>
      </c>
      <c r="I147" s="145" t="s">
        <v>327</v>
      </c>
      <c r="J147" s="211" t="s">
        <v>1577</v>
      </c>
      <c r="K147" s="75" t="s">
        <v>1544</v>
      </c>
      <c r="L147" s="152" t="b">
        <v>1</v>
      </c>
      <c r="M147" s="152" t="b">
        <v>0</v>
      </c>
      <c r="N147" s="212" t="s">
        <v>2136</v>
      </c>
      <c r="O147" s="213" t="s">
        <v>1554</v>
      </c>
      <c r="P147" s="47" t="b">
        <v>1</v>
      </c>
      <c r="Q147" s="47" t="b">
        <v>0</v>
      </c>
      <c r="R147" s="214"/>
      <c r="S147" s="77">
        <v>0.0</v>
      </c>
      <c r="T147" s="76" t="s">
        <v>1179</v>
      </c>
      <c r="U147" s="78">
        <v>2781566.0</v>
      </c>
      <c r="V147" s="215"/>
      <c r="W147" s="77">
        <v>2000000.0</v>
      </c>
      <c r="X147" s="77">
        <v>20000.0</v>
      </c>
      <c r="Y147" s="77">
        <v>20000.0</v>
      </c>
      <c r="Z147" s="77"/>
    </row>
    <row r="148">
      <c r="A148" s="145" t="s">
        <v>1424</v>
      </c>
      <c r="B148" s="145" t="s">
        <v>1424</v>
      </c>
      <c r="C148" s="145" t="s">
        <v>1266</v>
      </c>
      <c r="D148" s="75" t="s">
        <v>1544</v>
      </c>
      <c r="E148" s="75" t="s">
        <v>1601</v>
      </c>
      <c r="F148" s="211" t="s">
        <v>1602</v>
      </c>
      <c r="G148" s="145" t="s">
        <v>1425</v>
      </c>
      <c r="H148" s="211" t="s">
        <v>87</v>
      </c>
      <c r="I148" s="145" t="s">
        <v>267</v>
      </c>
      <c r="J148" s="211" t="s">
        <v>1603</v>
      </c>
      <c r="K148" s="75" t="s">
        <v>1544</v>
      </c>
      <c r="L148" s="152" t="b">
        <v>0</v>
      </c>
      <c r="M148" s="152" t="b">
        <v>0</v>
      </c>
      <c r="N148" s="217"/>
      <c r="O148" s="213" t="s">
        <v>1554</v>
      </c>
      <c r="P148" s="47" t="b">
        <v>0</v>
      </c>
      <c r="Q148" s="47" t="b">
        <v>0</v>
      </c>
      <c r="R148" s="214"/>
      <c r="S148" s="77">
        <v>0.0</v>
      </c>
      <c r="T148" s="214"/>
      <c r="U148" s="215"/>
      <c r="V148" s="215"/>
      <c r="W148" s="214"/>
      <c r="X148" s="214"/>
      <c r="Y148" s="77">
        <v>1.0</v>
      </c>
      <c r="Z148" s="77"/>
    </row>
    <row r="149">
      <c r="A149" s="145" t="s">
        <v>1272</v>
      </c>
      <c r="B149" s="145" t="s">
        <v>1272</v>
      </c>
      <c r="C149" s="145" t="s">
        <v>1600</v>
      </c>
      <c r="D149" s="75" t="s">
        <v>1544</v>
      </c>
      <c r="E149" s="75" t="s">
        <v>1601</v>
      </c>
      <c r="F149" s="211" t="s">
        <v>87</v>
      </c>
      <c r="G149" s="145" t="s">
        <v>1273</v>
      </c>
      <c r="H149" s="211" t="s">
        <v>87</v>
      </c>
      <c r="I149" s="145" t="s">
        <v>267</v>
      </c>
      <c r="J149" s="211" t="s">
        <v>1603</v>
      </c>
      <c r="K149" s="75" t="s">
        <v>1544</v>
      </c>
      <c r="L149" s="152" t="b">
        <v>0</v>
      </c>
      <c r="M149" s="152" t="b">
        <v>0</v>
      </c>
      <c r="N149" s="217"/>
      <c r="O149" s="213" t="s">
        <v>1554</v>
      </c>
      <c r="P149" s="47" t="b">
        <v>0</v>
      </c>
      <c r="Q149" s="47" t="b">
        <v>0</v>
      </c>
      <c r="R149" s="214"/>
      <c r="S149" s="77">
        <v>0.0</v>
      </c>
      <c r="T149" s="214"/>
      <c r="U149" s="215"/>
      <c r="V149" s="215"/>
      <c r="W149" s="214"/>
      <c r="X149" s="214"/>
      <c r="Y149" s="77">
        <v>0.0</v>
      </c>
      <c r="Z149" s="77"/>
    </row>
    <row r="150">
      <c r="A150" s="145" t="s">
        <v>1863</v>
      </c>
      <c r="B150" s="145" t="s">
        <v>1542</v>
      </c>
      <c r="C150" s="145" t="s">
        <v>1543</v>
      </c>
      <c r="D150" s="75" t="s">
        <v>1544</v>
      </c>
      <c r="E150" s="75" t="s">
        <v>1544</v>
      </c>
      <c r="F150" s="211" t="s">
        <v>1547</v>
      </c>
      <c r="G150" s="145" t="s">
        <v>2141</v>
      </c>
      <c r="H150" s="211" t="s">
        <v>77</v>
      </c>
      <c r="I150" s="145" t="s">
        <v>340</v>
      </c>
      <c r="J150" s="211" t="s">
        <v>1549</v>
      </c>
      <c r="K150" s="75" t="s">
        <v>1544</v>
      </c>
      <c r="L150" s="152" t="b">
        <v>1</v>
      </c>
      <c r="M150" s="152" t="b">
        <v>0</v>
      </c>
      <c r="N150" s="212" t="s">
        <v>2142</v>
      </c>
      <c r="O150" s="213" t="s">
        <v>1554</v>
      </c>
      <c r="P150" s="47" t="b">
        <v>1</v>
      </c>
      <c r="Q150" s="47" t="b">
        <v>0</v>
      </c>
      <c r="R150" s="214"/>
      <c r="S150" s="77">
        <v>0.0</v>
      </c>
      <c r="T150" s="76" t="s">
        <v>1179</v>
      </c>
      <c r="U150" s="78">
        <v>1.0477337E7</v>
      </c>
      <c r="V150" s="215"/>
      <c r="W150" s="77">
        <v>1.0E7</v>
      </c>
      <c r="X150" s="77">
        <v>100000.0</v>
      </c>
      <c r="Y150" s="77">
        <v>40000.0</v>
      </c>
      <c r="Z150" s="77"/>
    </row>
    <row r="151">
      <c r="A151" s="145" t="s">
        <v>348</v>
      </c>
      <c r="B151" s="145" t="s">
        <v>1605</v>
      </c>
      <c r="C151" s="145" t="s">
        <v>1543</v>
      </c>
      <c r="D151" s="75" t="s">
        <v>1544</v>
      </c>
      <c r="E151" s="75" t="s">
        <v>1544</v>
      </c>
      <c r="F151" s="211" t="s">
        <v>1607</v>
      </c>
      <c r="G151" s="145" t="s">
        <v>877</v>
      </c>
      <c r="H151" s="211" t="s">
        <v>77</v>
      </c>
      <c r="I151" s="145" t="s">
        <v>329</v>
      </c>
      <c r="J151" s="211" t="s">
        <v>1609</v>
      </c>
      <c r="K151" s="75" t="s">
        <v>1544</v>
      </c>
      <c r="L151" s="152" t="b">
        <v>1</v>
      </c>
      <c r="M151" s="152" t="b">
        <v>0</v>
      </c>
      <c r="N151" s="212" t="s">
        <v>2145</v>
      </c>
      <c r="O151" s="213" t="s">
        <v>1554</v>
      </c>
      <c r="P151" s="47" t="b">
        <v>1</v>
      </c>
      <c r="Q151" s="47" t="b">
        <v>0</v>
      </c>
      <c r="R151" s="214"/>
      <c r="S151" s="77">
        <v>0.0</v>
      </c>
      <c r="T151" s="76" t="s">
        <v>1156</v>
      </c>
      <c r="U151" s="78">
        <v>7690749.0</v>
      </c>
      <c r="V151" s="215"/>
      <c r="W151" s="77">
        <v>8000000.0</v>
      </c>
      <c r="X151" s="77">
        <v>80000.0</v>
      </c>
      <c r="Y151" s="77">
        <v>2400000.0</v>
      </c>
      <c r="Z151" s="77"/>
    </row>
    <row r="152">
      <c r="A152" s="145" t="s">
        <v>489</v>
      </c>
      <c r="B152" s="145" t="s">
        <v>1632</v>
      </c>
      <c r="C152" s="145" t="s">
        <v>1543</v>
      </c>
      <c r="D152" s="75" t="s">
        <v>1544</v>
      </c>
      <c r="E152" s="75" t="s">
        <v>1544</v>
      </c>
      <c r="F152" s="211" t="s">
        <v>1547</v>
      </c>
      <c r="G152" s="145" t="s">
        <v>2149</v>
      </c>
      <c r="H152" s="211" t="s">
        <v>77</v>
      </c>
      <c r="I152" s="145" t="s">
        <v>325</v>
      </c>
      <c r="J152" s="211" t="s">
        <v>1549</v>
      </c>
      <c r="K152" s="75" t="s">
        <v>1544</v>
      </c>
      <c r="L152" s="152" t="b">
        <v>1</v>
      </c>
      <c r="M152" s="152" t="b">
        <v>0</v>
      </c>
      <c r="N152" s="212" t="s">
        <v>2150</v>
      </c>
      <c r="O152" s="213" t="s">
        <v>1554</v>
      </c>
      <c r="P152" s="47" t="b">
        <v>1</v>
      </c>
      <c r="Q152" s="47" t="b">
        <v>0</v>
      </c>
      <c r="R152" s="214"/>
      <c r="S152" s="77">
        <v>0.0</v>
      </c>
      <c r="T152" s="76" t="s">
        <v>1176</v>
      </c>
      <c r="U152" s="78">
        <v>9270154.0</v>
      </c>
      <c r="V152" s="215"/>
      <c r="W152" s="77">
        <v>1.0E7</v>
      </c>
      <c r="X152" s="77">
        <v>100000.0</v>
      </c>
      <c r="Y152" s="77">
        <v>40000.0</v>
      </c>
      <c r="Z152" s="77"/>
    </row>
    <row r="153">
      <c r="A153" s="145" t="s">
        <v>1758</v>
      </c>
      <c r="B153" s="145" t="s">
        <v>1542</v>
      </c>
      <c r="C153" s="145" t="s">
        <v>1543</v>
      </c>
      <c r="D153" s="75" t="s">
        <v>1544</v>
      </c>
      <c r="E153" s="75" t="s">
        <v>1544</v>
      </c>
      <c r="F153" s="211" t="s">
        <v>1547</v>
      </c>
      <c r="G153" s="145" t="s">
        <v>2159</v>
      </c>
      <c r="H153" s="211" t="s">
        <v>77</v>
      </c>
      <c r="I153" s="145" t="s">
        <v>340</v>
      </c>
      <c r="J153" s="211" t="s">
        <v>1549</v>
      </c>
      <c r="K153" s="75" t="s">
        <v>1544</v>
      </c>
      <c r="L153" s="152" t="b">
        <v>1</v>
      </c>
      <c r="M153" s="152" t="b">
        <v>0</v>
      </c>
      <c r="N153" s="212" t="s">
        <v>2161</v>
      </c>
      <c r="O153" s="213" t="s">
        <v>1554</v>
      </c>
      <c r="P153" s="47" t="b">
        <v>1</v>
      </c>
      <c r="Q153" s="47" t="b">
        <v>0</v>
      </c>
      <c r="R153" s="214"/>
      <c r="S153" s="77">
        <v>0.0</v>
      </c>
      <c r="T153" s="76" t="s">
        <v>1179</v>
      </c>
      <c r="U153" s="78">
        <v>1.2372111E7</v>
      </c>
      <c r="V153" s="215"/>
      <c r="W153" s="77">
        <v>1.2E7</v>
      </c>
      <c r="X153" s="77">
        <v>120000.0</v>
      </c>
      <c r="Y153" s="77">
        <v>40000.0</v>
      </c>
      <c r="Z153" s="77"/>
    </row>
    <row r="154">
      <c r="A154" s="145" t="s">
        <v>428</v>
      </c>
      <c r="B154" s="145" t="s">
        <v>1595</v>
      </c>
      <c r="C154" s="145" t="s">
        <v>1543</v>
      </c>
      <c r="D154" s="75" t="s">
        <v>1544</v>
      </c>
      <c r="E154" s="75" t="s">
        <v>1544</v>
      </c>
      <c r="F154" s="211" t="s">
        <v>2086</v>
      </c>
      <c r="G154" s="145" t="s">
        <v>775</v>
      </c>
      <c r="H154" s="211" t="s">
        <v>1018</v>
      </c>
      <c r="I154" s="145" t="s">
        <v>113</v>
      </c>
      <c r="J154" s="211" t="s">
        <v>2087</v>
      </c>
      <c r="K154" s="75" t="s">
        <v>1544</v>
      </c>
      <c r="L154" s="152" t="b">
        <v>1</v>
      </c>
      <c r="M154" s="152" t="b">
        <v>0</v>
      </c>
      <c r="N154" s="212" t="s">
        <v>2163</v>
      </c>
      <c r="O154" s="213" t="s">
        <v>1554</v>
      </c>
      <c r="P154" s="47" t="b">
        <v>1</v>
      </c>
      <c r="Q154" s="47" t="b">
        <v>0</v>
      </c>
      <c r="R154" s="214"/>
      <c r="S154" s="77">
        <v>0.0</v>
      </c>
      <c r="T154" s="76" t="s">
        <v>1156</v>
      </c>
      <c r="U154" s="78">
        <v>1.4936747E7</v>
      </c>
      <c r="V154" s="215"/>
      <c r="W154" s="77">
        <v>1.4E7</v>
      </c>
      <c r="X154" s="77">
        <v>112000.0</v>
      </c>
      <c r="Y154" s="77">
        <v>4200000.0</v>
      </c>
      <c r="Z154" s="77"/>
    </row>
    <row r="155">
      <c r="A155" s="145" t="s">
        <v>1358</v>
      </c>
      <c r="B155" s="145" t="s">
        <v>1358</v>
      </c>
      <c r="C155" s="145" t="s">
        <v>1266</v>
      </c>
      <c r="D155" s="75" t="s">
        <v>1544</v>
      </c>
      <c r="E155" s="75" t="s">
        <v>1601</v>
      </c>
      <c r="F155" s="211" t="s">
        <v>1591</v>
      </c>
      <c r="G155" s="145" t="s">
        <v>1592</v>
      </c>
      <c r="H155" s="211" t="s">
        <v>87</v>
      </c>
      <c r="I155" s="145" t="s">
        <v>267</v>
      </c>
      <c r="J155" s="211" t="s">
        <v>87</v>
      </c>
      <c r="K155" s="75" t="s">
        <v>1544</v>
      </c>
      <c r="L155" s="152" t="b">
        <v>0</v>
      </c>
      <c r="M155" s="152" t="b">
        <v>0</v>
      </c>
      <c r="N155" s="217"/>
      <c r="O155" s="213" t="s">
        <v>1554</v>
      </c>
      <c r="P155" s="47" t="b">
        <v>0</v>
      </c>
      <c r="Q155" s="47" t="b">
        <v>0</v>
      </c>
      <c r="R155" s="214"/>
      <c r="S155" s="77">
        <v>0.0</v>
      </c>
      <c r="T155" s="214"/>
      <c r="U155" s="215"/>
      <c r="V155" s="215"/>
      <c r="W155" s="214"/>
      <c r="X155" s="214"/>
      <c r="Y155" s="77">
        <v>1.0E7</v>
      </c>
      <c r="Z155" s="77"/>
    </row>
    <row r="156">
      <c r="A156" s="145" t="s">
        <v>1846</v>
      </c>
      <c r="B156" s="145" t="s">
        <v>1542</v>
      </c>
      <c r="C156" s="145" t="s">
        <v>1543</v>
      </c>
      <c r="D156" s="75" t="s">
        <v>1544</v>
      </c>
      <c r="E156" s="75" t="s">
        <v>1544</v>
      </c>
      <c r="F156" s="211" t="s">
        <v>1547</v>
      </c>
      <c r="G156" s="145" t="s">
        <v>2169</v>
      </c>
      <c r="H156" s="211" t="s">
        <v>77</v>
      </c>
      <c r="I156" s="145" t="s">
        <v>340</v>
      </c>
      <c r="J156" s="211" t="s">
        <v>1549</v>
      </c>
      <c r="K156" s="75" t="s">
        <v>1544</v>
      </c>
      <c r="L156" s="152" t="b">
        <v>1</v>
      </c>
      <c r="M156" s="152" t="b">
        <v>0</v>
      </c>
      <c r="N156" s="212" t="s">
        <v>2170</v>
      </c>
      <c r="O156" s="213" t="s">
        <v>1554</v>
      </c>
      <c r="P156" s="47" t="b">
        <v>1</v>
      </c>
      <c r="Q156" s="47" t="b">
        <v>0</v>
      </c>
      <c r="R156" s="214"/>
      <c r="S156" s="77">
        <v>0.0</v>
      </c>
      <c r="T156" s="76" t="s">
        <v>1179</v>
      </c>
      <c r="U156" s="78">
        <v>1.2304249E7</v>
      </c>
      <c r="V156" s="215"/>
      <c r="W156" s="77">
        <v>1.2E7</v>
      </c>
      <c r="X156" s="77">
        <v>120000.0</v>
      </c>
      <c r="Y156" s="77">
        <v>40000.0</v>
      </c>
      <c r="Z156" s="77"/>
    </row>
    <row r="157">
      <c r="A157" s="145" t="s">
        <v>1756</v>
      </c>
      <c r="B157" s="145" t="s">
        <v>1756</v>
      </c>
      <c r="C157" s="145" t="s">
        <v>1266</v>
      </c>
      <c r="D157" s="75" t="s">
        <v>1544</v>
      </c>
      <c r="E157" s="75" t="s">
        <v>1601</v>
      </c>
      <c r="F157" s="211" t="s">
        <v>87</v>
      </c>
      <c r="G157" s="145" t="s">
        <v>1757</v>
      </c>
      <c r="H157" s="211" t="s">
        <v>77</v>
      </c>
      <c r="I157" s="145" t="s">
        <v>174</v>
      </c>
      <c r="J157" s="211" t="s">
        <v>87</v>
      </c>
      <c r="K157" s="75" t="s">
        <v>1544</v>
      </c>
      <c r="L157" s="152" t="b">
        <v>0</v>
      </c>
      <c r="M157" s="152" t="b">
        <v>0</v>
      </c>
      <c r="N157" s="217"/>
      <c r="O157" s="213" t="s">
        <v>1554</v>
      </c>
      <c r="P157" s="47" t="b">
        <v>0</v>
      </c>
      <c r="Q157" s="47" t="b">
        <v>0</v>
      </c>
      <c r="R157" s="214"/>
      <c r="S157" s="77">
        <v>0.0</v>
      </c>
      <c r="T157" s="214"/>
      <c r="U157" s="215"/>
      <c r="V157" s="215"/>
      <c r="W157" s="214"/>
      <c r="X157" s="214"/>
      <c r="Y157" s="77">
        <v>0.0</v>
      </c>
      <c r="Z157" s="77"/>
    </row>
    <row r="158">
      <c r="A158" s="145" t="s">
        <v>1302</v>
      </c>
      <c r="B158" s="145" t="s">
        <v>1302</v>
      </c>
      <c r="C158" s="145" t="s">
        <v>1266</v>
      </c>
      <c r="D158" s="75" t="s">
        <v>1601</v>
      </c>
      <c r="E158" s="75" t="s">
        <v>1601</v>
      </c>
      <c r="F158" s="211" t="s">
        <v>2175</v>
      </c>
      <c r="G158" s="145" t="s">
        <v>1303</v>
      </c>
      <c r="H158" s="211" t="s">
        <v>77</v>
      </c>
      <c r="I158" s="145" t="s">
        <v>83</v>
      </c>
      <c r="J158" s="211" t="s">
        <v>1549</v>
      </c>
      <c r="K158" s="75" t="s">
        <v>1544</v>
      </c>
      <c r="L158" s="152" t="b">
        <v>0</v>
      </c>
      <c r="M158" s="152" t="b">
        <v>0</v>
      </c>
      <c r="N158" s="217"/>
      <c r="O158" s="213" t="s">
        <v>1554</v>
      </c>
      <c r="P158" s="47" t="b">
        <v>0</v>
      </c>
      <c r="Q158" s="47" t="b">
        <v>0</v>
      </c>
      <c r="R158" s="214"/>
      <c r="S158" s="77">
        <v>0.0</v>
      </c>
      <c r="T158" s="214"/>
      <c r="U158" s="215"/>
      <c r="V158" s="215"/>
      <c r="W158" s="214"/>
      <c r="X158" s="214"/>
      <c r="Y158" s="77">
        <v>28000.0</v>
      </c>
      <c r="Z158" s="77"/>
    </row>
    <row r="159">
      <c r="A159" s="145" t="s">
        <v>439</v>
      </c>
      <c r="B159" s="145" t="s">
        <v>1574</v>
      </c>
      <c r="C159" s="145" t="s">
        <v>1543</v>
      </c>
      <c r="D159" s="75" t="s">
        <v>1544</v>
      </c>
      <c r="E159" s="75" t="s">
        <v>1544</v>
      </c>
      <c r="F159" s="211" t="s">
        <v>1637</v>
      </c>
      <c r="G159" s="145" t="s">
        <v>2178</v>
      </c>
      <c r="H159" s="211" t="s">
        <v>77</v>
      </c>
      <c r="I159" s="145" t="s">
        <v>413</v>
      </c>
      <c r="J159" s="211" t="s">
        <v>1639</v>
      </c>
      <c r="K159" s="75" t="s">
        <v>1544</v>
      </c>
      <c r="L159" s="152" t="b">
        <v>1</v>
      </c>
      <c r="M159" s="152" t="b">
        <v>0</v>
      </c>
      <c r="N159" s="212" t="s">
        <v>2180</v>
      </c>
      <c r="O159" s="213" t="s">
        <v>1554</v>
      </c>
      <c r="P159" s="47" t="b">
        <v>1</v>
      </c>
      <c r="Q159" s="47" t="b">
        <v>0</v>
      </c>
      <c r="R159" s="214"/>
      <c r="S159" s="77">
        <v>0.0</v>
      </c>
      <c r="T159" s="76" t="s">
        <v>1179</v>
      </c>
      <c r="U159" s="78">
        <v>1.3430791E7</v>
      </c>
      <c r="V159" s="215"/>
      <c r="W159" s="77">
        <v>1.4E7</v>
      </c>
      <c r="X159" s="77">
        <v>140000.0</v>
      </c>
      <c r="Y159" s="77">
        <v>60000.0</v>
      </c>
      <c r="Z159" s="77"/>
    </row>
    <row r="160">
      <c r="A160" s="145" t="s">
        <v>126</v>
      </c>
      <c r="B160" s="145" t="s">
        <v>1751</v>
      </c>
      <c r="C160" s="145" t="s">
        <v>1543</v>
      </c>
      <c r="D160" s="75" t="s">
        <v>1544</v>
      </c>
      <c r="E160" s="75" t="s">
        <v>1544</v>
      </c>
      <c r="F160" s="211" t="s">
        <v>1649</v>
      </c>
      <c r="G160" s="145" t="s">
        <v>1206</v>
      </c>
      <c r="H160" s="211" t="s">
        <v>1018</v>
      </c>
      <c r="I160" s="145" t="s">
        <v>83</v>
      </c>
      <c r="J160" s="211" t="s">
        <v>1549</v>
      </c>
      <c r="K160" s="75" t="s">
        <v>1544</v>
      </c>
      <c r="L160" s="152" t="b">
        <v>1</v>
      </c>
      <c r="M160" s="152" t="b">
        <v>0</v>
      </c>
      <c r="N160" s="212" t="s">
        <v>2184</v>
      </c>
      <c r="O160" s="213" t="s">
        <v>1554</v>
      </c>
      <c r="P160" s="47" t="b">
        <v>1</v>
      </c>
      <c r="Q160" s="47" t="b">
        <v>0</v>
      </c>
      <c r="R160" s="214"/>
      <c r="S160" s="77">
        <v>0.0</v>
      </c>
      <c r="T160" s="76" t="s">
        <v>1179</v>
      </c>
      <c r="U160" s="78">
        <v>1.1586225E7</v>
      </c>
      <c r="V160" s="215"/>
      <c r="W160" s="77">
        <v>1.2E7</v>
      </c>
      <c r="X160" s="77">
        <v>96000.0</v>
      </c>
      <c r="Y160" s="77">
        <v>32000.0</v>
      </c>
      <c r="Z160" s="77"/>
    </row>
    <row r="161">
      <c r="A161" s="145" t="s">
        <v>1763</v>
      </c>
      <c r="B161" s="145" t="s">
        <v>1968</v>
      </c>
      <c r="C161" s="145" t="s">
        <v>1543</v>
      </c>
      <c r="D161" s="75" t="s">
        <v>1544</v>
      </c>
      <c r="E161" s="75" t="s">
        <v>1544</v>
      </c>
      <c r="F161" s="211" t="s">
        <v>1637</v>
      </c>
      <c r="G161" s="145" t="s">
        <v>2186</v>
      </c>
      <c r="H161" s="211" t="s">
        <v>77</v>
      </c>
      <c r="I161" s="145" t="s">
        <v>340</v>
      </c>
      <c r="J161" s="211" t="s">
        <v>1639</v>
      </c>
      <c r="K161" s="75" t="s">
        <v>1544</v>
      </c>
      <c r="L161" s="152" t="b">
        <v>1</v>
      </c>
      <c r="M161" s="152" t="b">
        <v>0</v>
      </c>
      <c r="N161" s="212" t="s">
        <v>2187</v>
      </c>
      <c r="O161" s="213" t="s">
        <v>1554</v>
      </c>
      <c r="P161" s="47" t="b">
        <v>1</v>
      </c>
      <c r="Q161" s="47" t="b">
        <v>0</v>
      </c>
      <c r="R161" s="214"/>
      <c r="S161" s="77">
        <v>0.0</v>
      </c>
      <c r="T161" s="76" t="s">
        <v>1179</v>
      </c>
      <c r="U161" s="78">
        <v>1.4521031E7</v>
      </c>
      <c r="V161" s="215"/>
      <c r="W161" s="216">
        <v>1.4E7</v>
      </c>
      <c r="X161" s="77">
        <v>140000.0</v>
      </c>
      <c r="Y161" s="77">
        <v>60000.0</v>
      </c>
      <c r="Z161" s="77"/>
    </row>
    <row r="162">
      <c r="A162" s="145" t="s">
        <v>679</v>
      </c>
      <c r="B162" s="145" t="s">
        <v>2189</v>
      </c>
      <c r="C162" s="145" t="s">
        <v>1543</v>
      </c>
      <c r="D162" s="75" t="s">
        <v>1544</v>
      </c>
      <c r="E162" s="75" t="s">
        <v>1544</v>
      </c>
      <c r="F162" s="211" t="s">
        <v>1690</v>
      </c>
      <c r="G162" s="145" t="s">
        <v>2191</v>
      </c>
      <c r="H162" s="211" t="s">
        <v>586</v>
      </c>
      <c r="I162" s="145" t="s">
        <v>162</v>
      </c>
      <c r="J162" s="211" t="s">
        <v>1597</v>
      </c>
      <c r="K162" s="75" t="s">
        <v>1544</v>
      </c>
      <c r="L162" s="152" t="b">
        <v>1</v>
      </c>
      <c r="M162" s="152" t="b">
        <v>0</v>
      </c>
      <c r="N162" s="212" t="s">
        <v>2192</v>
      </c>
      <c r="O162" s="213" t="s">
        <v>1554</v>
      </c>
      <c r="P162" s="47" t="b">
        <v>1</v>
      </c>
      <c r="Q162" s="47" t="b">
        <v>0</v>
      </c>
      <c r="R162" s="214"/>
      <c r="S162" s="77">
        <v>0.0</v>
      </c>
      <c r="T162" s="76" t="s">
        <v>1179</v>
      </c>
      <c r="U162" s="78">
        <v>2.7897169E7</v>
      </c>
      <c r="V162" s="215"/>
      <c r="W162" s="77">
        <v>2.8E7</v>
      </c>
      <c r="X162" s="77">
        <v>196000.0</v>
      </c>
      <c r="Y162" s="77">
        <v>100000.0</v>
      </c>
      <c r="Z162" s="77"/>
    </row>
    <row r="163">
      <c r="A163" s="145" t="s">
        <v>1142</v>
      </c>
      <c r="B163" s="145" t="s">
        <v>2195</v>
      </c>
      <c r="C163" s="145" t="s">
        <v>1543</v>
      </c>
      <c r="D163" s="75" t="s">
        <v>1544</v>
      </c>
      <c r="E163" s="75" t="s">
        <v>1544</v>
      </c>
      <c r="F163" s="211" t="s">
        <v>1575</v>
      </c>
      <c r="G163" s="145" t="s">
        <v>1143</v>
      </c>
      <c r="H163" s="211" t="s">
        <v>77</v>
      </c>
      <c r="I163" s="145" t="s">
        <v>218</v>
      </c>
      <c r="J163" s="211" t="s">
        <v>1577</v>
      </c>
      <c r="K163" s="75" t="s">
        <v>1544</v>
      </c>
      <c r="L163" s="152" t="b">
        <v>1</v>
      </c>
      <c r="M163" s="152" t="b">
        <v>0</v>
      </c>
      <c r="N163" s="212" t="s">
        <v>2197</v>
      </c>
      <c r="O163" s="213" t="s">
        <v>1554</v>
      </c>
      <c r="P163" s="47" t="b">
        <v>1</v>
      </c>
      <c r="Q163" s="47" t="b">
        <v>0</v>
      </c>
      <c r="R163" s="214"/>
      <c r="S163" s="77">
        <v>0.0</v>
      </c>
      <c r="T163" s="76" t="s">
        <v>1179</v>
      </c>
      <c r="U163" s="78">
        <v>7231361.0</v>
      </c>
      <c r="V163" s="215"/>
      <c r="W163" s="77">
        <v>8000000.0</v>
      </c>
      <c r="X163" s="77">
        <v>80000.0</v>
      </c>
      <c r="Y163" s="77">
        <v>20000.0</v>
      </c>
      <c r="Z163" s="77"/>
    </row>
    <row r="164">
      <c r="A164" s="145" t="s">
        <v>343</v>
      </c>
      <c r="B164" s="145" t="s">
        <v>1564</v>
      </c>
      <c r="C164" s="145" t="s">
        <v>1543</v>
      </c>
      <c r="D164" s="75" t="s">
        <v>1544</v>
      </c>
      <c r="E164" s="75" t="s">
        <v>1544</v>
      </c>
      <c r="F164" s="211" t="s">
        <v>1547</v>
      </c>
      <c r="G164" s="145" t="s">
        <v>2199</v>
      </c>
      <c r="H164" s="211" t="s">
        <v>77</v>
      </c>
      <c r="I164" s="145" t="s">
        <v>338</v>
      </c>
      <c r="J164" s="211" t="s">
        <v>1549</v>
      </c>
      <c r="K164" s="75" t="s">
        <v>1544</v>
      </c>
      <c r="L164" s="152" t="b">
        <v>1</v>
      </c>
      <c r="M164" s="152" t="b">
        <v>0</v>
      </c>
      <c r="N164" s="212" t="s">
        <v>2200</v>
      </c>
      <c r="O164" s="213" t="s">
        <v>1554</v>
      </c>
      <c r="P164" s="47" t="b">
        <v>1</v>
      </c>
      <c r="Q164" s="47" t="b">
        <v>0</v>
      </c>
      <c r="R164" s="214"/>
      <c r="S164" s="77">
        <v>0.0</v>
      </c>
      <c r="T164" s="76" t="s">
        <v>1176</v>
      </c>
      <c r="U164" s="78">
        <v>1.005403E7</v>
      </c>
      <c r="V164" s="215"/>
      <c r="W164" s="77">
        <v>1.0E7</v>
      </c>
      <c r="X164" s="77">
        <v>100000.0</v>
      </c>
      <c r="Y164" s="77">
        <v>40000.0</v>
      </c>
      <c r="Z164" s="77"/>
    </row>
    <row r="165">
      <c r="A165" s="145" t="s">
        <v>606</v>
      </c>
      <c r="B165" s="145" t="s">
        <v>1694</v>
      </c>
      <c r="C165" s="145" t="s">
        <v>1543</v>
      </c>
      <c r="D165" s="75" t="s">
        <v>1544</v>
      </c>
      <c r="E165" s="75" t="s">
        <v>1544</v>
      </c>
      <c r="F165" s="211" t="s">
        <v>2202</v>
      </c>
      <c r="G165" s="145" t="s">
        <v>944</v>
      </c>
      <c r="H165" s="211" t="s">
        <v>586</v>
      </c>
      <c r="I165" s="145" t="s">
        <v>936</v>
      </c>
      <c r="J165" s="211" t="s">
        <v>1561</v>
      </c>
      <c r="K165" s="75" t="s">
        <v>1601</v>
      </c>
      <c r="L165" s="152" t="b">
        <v>1</v>
      </c>
      <c r="M165" s="152" t="b">
        <v>0</v>
      </c>
      <c r="N165" s="212" t="s">
        <v>2204</v>
      </c>
      <c r="O165" s="213" t="s">
        <v>1554</v>
      </c>
      <c r="P165" s="47" t="b">
        <v>1</v>
      </c>
      <c r="Q165" s="47" t="b">
        <v>0</v>
      </c>
      <c r="R165" s="214"/>
      <c r="S165" s="77">
        <v>0.0</v>
      </c>
      <c r="T165" s="76" t="s">
        <v>1193</v>
      </c>
      <c r="U165" s="78">
        <v>7.7643187E7</v>
      </c>
      <c r="V165" s="215"/>
      <c r="W165" s="77">
        <v>7.8E7</v>
      </c>
      <c r="X165" s="77">
        <v>546000.0</v>
      </c>
      <c r="Y165" s="77">
        <v>187838.0</v>
      </c>
      <c r="Z165" s="77"/>
    </row>
    <row r="166">
      <c r="A166" s="145" t="s">
        <v>685</v>
      </c>
      <c r="B166" s="145" t="s">
        <v>2206</v>
      </c>
      <c r="C166" s="145" t="s">
        <v>1543</v>
      </c>
      <c r="D166" s="75" t="s">
        <v>1544</v>
      </c>
      <c r="E166" s="75" t="s">
        <v>1544</v>
      </c>
      <c r="F166" s="211" t="s">
        <v>1690</v>
      </c>
      <c r="G166" s="145" t="s">
        <v>2207</v>
      </c>
      <c r="H166" s="211" t="s">
        <v>586</v>
      </c>
      <c r="I166" s="145" t="s">
        <v>674</v>
      </c>
      <c r="J166" s="211" t="s">
        <v>1597</v>
      </c>
      <c r="K166" s="75" t="s">
        <v>1544</v>
      </c>
      <c r="L166" s="152" t="b">
        <v>1</v>
      </c>
      <c r="M166" s="152" t="b">
        <v>0</v>
      </c>
      <c r="N166" s="212" t="s">
        <v>2208</v>
      </c>
      <c r="O166" s="213" t="s">
        <v>1554</v>
      </c>
      <c r="P166" s="47" t="b">
        <v>1</v>
      </c>
      <c r="Q166" s="47" t="b">
        <v>0</v>
      </c>
      <c r="R166" s="214"/>
      <c r="S166" s="77">
        <v>0.0</v>
      </c>
      <c r="T166" s="76" t="s">
        <v>1176</v>
      </c>
      <c r="U166" s="78">
        <v>2.4198292E7</v>
      </c>
      <c r="V166" s="215"/>
      <c r="W166" s="77">
        <v>2.4E7</v>
      </c>
      <c r="X166" s="77">
        <v>168000.0</v>
      </c>
      <c r="Y166" s="77">
        <v>100000.0</v>
      </c>
      <c r="Z166" s="77"/>
    </row>
    <row r="167">
      <c r="A167" s="145" t="s">
        <v>451</v>
      </c>
      <c r="B167" s="145" t="s">
        <v>1564</v>
      </c>
      <c r="C167" s="145" t="s">
        <v>1543</v>
      </c>
      <c r="D167" s="75" t="s">
        <v>1544</v>
      </c>
      <c r="E167" s="75" t="s">
        <v>1544</v>
      </c>
      <c r="F167" s="211" t="s">
        <v>1547</v>
      </c>
      <c r="G167" s="145" t="s">
        <v>2210</v>
      </c>
      <c r="H167" s="211" t="s">
        <v>77</v>
      </c>
      <c r="I167" s="145" t="s">
        <v>338</v>
      </c>
      <c r="J167" s="211" t="s">
        <v>1549</v>
      </c>
      <c r="K167" s="75" t="s">
        <v>1544</v>
      </c>
      <c r="L167" s="152" t="b">
        <v>1</v>
      </c>
      <c r="M167" s="152" t="b">
        <v>0</v>
      </c>
      <c r="N167" s="212" t="s">
        <v>2211</v>
      </c>
      <c r="O167" s="213" t="s">
        <v>1554</v>
      </c>
      <c r="P167" s="47" t="b">
        <v>1</v>
      </c>
      <c r="Q167" s="47" t="b">
        <v>0</v>
      </c>
      <c r="R167" s="214"/>
      <c r="S167" s="77">
        <v>0.0</v>
      </c>
      <c r="T167" s="76" t="s">
        <v>1179</v>
      </c>
      <c r="U167" s="78">
        <v>1.1977231E7</v>
      </c>
      <c r="V167" s="215"/>
      <c r="W167" s="77">
        <v>1.2E7</v>
      </c>
      <c r="X167" s="216">
        <v>120000.0</v>
      </c>
      <c r="Y167" s="77">
        <v>40000.0</v>
      </c>
      <c r="Z167" s="77"/>
    </row>
    <row r="168">
      <c r="A168" s="145" t="s">
        <v>1429</v>
      </c>
      <c r="B168" s="145" t="s">
        <v>1429</v>
      </c>
      <c r="C168" s="145" t="s">
        <v>1266</v>
      </c>
      <c r="D168" s="75" t="s">
        <v>1544</v>
      </c>
      <c r="E168" s="75" t="s">
        <v>1601</v>
      </c>
      <c r="F168" s="211" t="s">
        <v>1602</v>
      </c>
      <c r="G168" s="145" t="s">
        <v>1430</v>
      </c>
      <c r="H168" s="211" t="s">
        <v>87</v>
      </c>
      <c r="I168" s="145" t="s">
        <v>267</v>
      </c>
      <c r="J168" s="211" t="s">
        <v>1603</v>
      </c>
      <c r="K168" s="75" t="s">
        <v>1544</v>
      </c>
      <c r="L168" s="152" t="b">
        <v>0</v>
      </c>
      <c r="M168" s="152" t="b">
        <v>0</v>
      </c>
      <c r="N168" s="217"/>
      <c r="O168" s="213" t="s">
        <v>1554</v>
      </c>
      <c r="P168" s="47" t="b">
        <v>0</v>
      </c>
      <c r="Q168" s="47" t="b">
        <v>0</v>
      </c>
      <c r="R168" s="214"/>
      <c r="S168" s="77">
        <v>0.0</v>
      </c>
      <c r="T168" s="214"/>
      <c r="U168" s="215"/>
      <c r="V168" s="215"/>
      <c r="W168" s="214"/>
      <c r="X168" s="218"/>
      <c r="Y168" s="77">
        <v>1.0</v>
      </c>
      <c r="Z168" s="77"/>
    </row>
    <row r="169">
      <c r="A169" s="145" t="s">
        <v>410</v>
      </c>
      <c r="B169" s="145" t="s">
        <v>1595</v>
      </c>
      <c r="C169" s="145" t="s">
        <v>1543</v>
      </c>
      <c r="D169" s="75" t="s">
        <v>1544</v>
      </c>
      <c r="E169" s="75" t="s">
        <v>1544</v>
      </c>
      <c r="F169" s="211" t="s">
        <v>2086</v>
      </c>
      <c r="G169" s="145" t="s">
        <v>780</v>
      </c>
      <c r="H169" s="211" t="s">
        <v>1018</v>
      </c>
      <c r="I169" s="145" t="s">
        <v>113</v>
      </c>
      <c r="J169" s="211" t="s">
        <v>2087</v>
      </c>
      <c r="K169" s="75" t="s">
        <v>1544</v>
      </c>
      <c r="L169" s="152" t="b">
        <v>1</v>
      </c>
      <c r="M169" s="152" t="b">
        <v>0</v>
      </c>
      <c r="N169" s="212" t="s">
        <v>2217</v>
      </c>
      <c r="O169" s="213" t="s">
        <v>1554</v>
      </c>
      <c r="P169" s="47" t="b">
        <v>1</v>
      </c>
      <c r="Q169" s="47" t="b">
        <v>0</v>
      </c>
      <c r="R169" s="214"/>
      <c r="S169" s="77">
        <v>0.0</v>
      </c>
      <c r="T169" s="76" t="s">
        <v>1156</v>
      </c>
      <c r="U169" s="78">
        <v>1.5001167E7</v>
      </c>
      <c r="V169" s="215"/>
      <c r="W169" s="77">
        <v>1.6E7</v>
      </c>
      <c r="X169" s="216">
        <v>128000.0</v>
      </c>
      <c r="Y169" s="77">
        <v>4200000.0</v>
      </c>
      <c r="Z169" s="77"/>
    </row>
    <row r="170">
      <c r="A170" s="145" t="s">
        <v>641</v>
      </c>
      <c r="B170" s="145" t="s">
        <v>1653</v>
      </c>
      <c r="C170" s="145" t="s">
        <v>1543</v>
      </c>
      <c r="D170" s="75" t="s">
        <v>1544</v>
      </c>
      <c r="E170" s="75" t="s">
        <v>1544</v>
      </c>
      <c r="F170" s="211" t="s">
        <v>1557</v>
      </c>
      <c r="G170" s="145" t="s">
        <v>2219</v>
      </c>
      <c r="H170" s="211" t="s">
        <v>625</v>
      </c>
      <c r="I170" s="145" t="s">
        <v>624</v>
      </c>
      <c r="J170" s="211" t="s">
        <v>1561</v>
      </c>
      <c r="K170" s="75" t="s">
        <v>1544</v>
      </c>
      <c r="L170" s="152" t="b">
        <v>1</v>
      </c>
      <c r="M170" s="152" t="b">
        <v>0</v>
      </c>
      <c r="N170" s="212" t="s">
        <v>2221</v>
      </c>
      <c r="O170" s="213" t="s">
        <v>1554</v>
      </c>
      <c r="P170" s="47" t="b">
        <v>1</v>
      </c>
      <c r="Q170" s="47" t="b">
        <v>0</v>
      </c>
      <c r="R170" s="214"/>
      <c r="S170" s="77">
        <v>0.0</v>
      </c>
      <c r="T170" s="76" t="s">
        <v>1176</v>
      </c>
      <c r="U170" s="78">
        <v>3.2649395E7</v>
      </c>
      <c r="V170" s="215"/>
      <c r="W170" s="77">
        <v>3.2E7</v>
      </c>
      <c r="X170" s="216">
        <v>3.2E9</v>
      </c>
      <c r="Y170" s="216">
        <v>6000000.0</v>
      </c>
      <c r="Z170" s="77"/>
    </row>
    <row r="171">
      <c r="A171" s="145" t="s">
        <v>1723</v>
      </c>
      <c r="B171" s="145" t="s">
        <v>1580</v>
      </c>
      <c r="C171" s="145" t="s">
        <v>1543</v>
      </c>
      <c r="D171" s="75" t="s">
        <v>1544</v>
      </c>
      <c r="E171" s="75" t="s">
        <v>1544</v>
      </c>
      <c r="F171" s="211" t="s">
        <v>1575</v>
      </c>
      <c r="G171" s="145" t="s">
        <v>1724</v>
      </c>
      <c r="H171" s="211" t="s">
        <v>77</v>
      </c>
      <c r="I171" s="145" t="s">
        <v>327</v>
      </c>
      <c r="J171" s="211" t="s">
        <v>1577</v>
      </c>
      <c r="K171" s="75" t="s">
        <v>1544</v>
      </c>
      <c r="L171" s="152" t="b">
        <v>1</v>
      </c>
      <c r="M171" s="152" t="b">
        <v>0</v>
      </c>
      <c r="N171" s="212" t="s">
        <v>2224</v>
      </c>
      <c r="O171" s="213" t="s">
        <v>1554</v>
      </c>
      <c r="P171" s="47" t="b">
        <v>1</v>
      </c>
      <c r="Q171" s="47" t="b">
        <v>0</v>
      </c>
      <c r="R171" s="214"/>
      <c r="S171" s="77">
        <v>0.0</v>
      </c>
      <c r="T171" s="76" t="s">
        <v>1179</v>
      </c>
      <c r="U171" s="78">
        <v>6097093.0</v>
      </c>
      <c r="V171" s="215"/>
      <c r="W171" s="77">
        <v>6000000.0</v>
      </c>
      <c r="X171" s="77">
        <v>60000.0</v>
      </c>
      <c r="Y171" s="77">
        <v>20000.0</v>
      </c>
      <c r="Z171" s="77"/>
    </row>
    <row r="172">
      <c r="A172" s="145" t="s">
        <v>355</v>
      </c>
      <c r="B172" s="145" t="s">
        <v>1679</v>
      </c>
      <c r="C172" s="145" t="s">
        <v>1543</v>
      </c>
      <c r="D172" s="75" t="s">
        <v>1544</v>
      </c>
      <c r="E172" s="75" t="s">
        <v>1544</v>
      </c>
      <c r="F172" s="211" t="s">
        <v>1575</v>
      </c>
      <c r="G172" s="145" t="s">
        <v>2226</v>
      </c>
      <c r="H172" s="211" t="s">
        <v>77</v>
      </c>
      <c r="I172" s="145" t="s">
        <v>174</v>
      </c>
      <c r="J172" s="211" t="s">
        <v>1577</v>
      </c>
      <c r="K172" s="75" t="s">
        <v>1544</v>
      </c>
      <c r="L172" s="152" t="b">
        <v>1</v>
      </c>
      <c r="M172" s="152" t="b">
        <v>0</v>
      </c>
      <c r="N172" s="212" t="s">
        <v>2228</v>
      </c>
      <c r="O172" s="213" t="s">
        <v>1554</v>
      </c>
      <c r="P172" s="47" t="b">
        <v>1</v>
      </c>
      <c r="Q172" s="47" t="b">
        <v>0</v>
      </c>
      <c r="R172" s="214"/>
      <c r="S172" s="77">
        <v>0.0</v>
      </c>
      <c r="T172" s="76" t="s">
        <v>1176</v>
      </c>
      <c r="U172" s="78">
        <v>7168883.0</v>
      </c>
      <c r="V172" s="215"/>
      <c r="W172" s="77">
        <v>8000000.0</v>
      </c>
      <c r="X172" s="77">
        <v>80000.0</v>
      </c>
      <c r="Y172" s="77">
        <v>20000.0</v>
      </c>
      <c r="Z172" s="77"/>
    </row>
    <row r="173">
      <c r="A173" s="145" t="s">
        <v>522</v>
      </c>
      <c r="B173" s="145" t="s">
        <v>1746</v>
      </c>
      <c r="C173" s="145" t="s">
        <v>1543</v>
      </c>
      <c r="D173" s="75" t="s">
        <v>1544</v>
      </c>
      <c r="E173" s="75" t="s">
        <v>1544</v>
      </c>
      <c r="F173" s="211" t="s">
        <v>1547</v>
      </c>
      <c r="G173" s="145" t="s">
        <v>2231</v>
      </c>
      <c r="H173" s="211" t="s">
        <v>77</v>
      </c>
      <c r="I173" s="145" t="s">
        <v>338</v>
      </c>
      <c r="J173" s="211" t="s">
        <v>1549</v>
      </c>
      <c r="K173" s="75" t="s">
        <v>1544</v>
      </c>
      <c r="L173" s="152" t="b">
        <v>1</v>
      </c>
      <c r="M173" s="152" t="b">
        <v>0</v>
      </c>
      <c r="N173" s="212" t="s">
        <v>2234</v>
      </c>
      <c r="O173" s="213" t="s">
        <v>1554</v>
      </c>
      <c r="P173" s="47" t="b">
        <v>1</v>
      </c>
      <c r="Q173" s="47" t="b">
        <v>0</v>
      </c>
      <c r="R173" s="214"/>
      <c r="S173" s="77">
        <v>0.0</v>
      </c>
      <c r="T173" s="76" t="s">
        <v>1179</v>
      </c>
      <c r="U173" s="78">
        <v>9582812.0</v>
      </c>
      <c r="V173" s="215"/>
      <c r="W173" s="77">
        <v>1.0E7</v>
      </c>
      <c r="X173" s="77">
        <v>100000.0</v>
      </c>
      <c r="Y173" s="77">
        <v>40000.0</v>
      </c>
      <c r="Z173" s="77"/>
    </row>
    <row r="174">
      <c r="A174" s="145" t="s">
        <v>1432</v>
      </c>
      <c r="B174" s="145" t="s">
        <v>1432</v>
      </c>
      <c r="C174" s="145" t="s">
        <v>1266</v>
      </c>
      <c r="D174" s="75" t="s">
        <v>1544</v>
      </c>
      <c r="E174" s="75" t="s">
        <v>1601</v>
      </c>
      <c r="F174" s="211" t="s">
        <v>1602</v>
      </c>
      <c r="G174" s="145" t="s">
        <v>1433</v>
      </c>
      <c r="H174" s="211" t="s">
        <v>87</v>
      </c>
      <c r="I174" s="145" t="s">
        <v>267</v>
      </c>
      <c r="J174" s="211" t="s">
        <v>1603</v>
      </c>
      <c r="K174" s="75" t="s">
        <v>1544</v>
      </c>
      <c r="L174" s="152" t="b">
        <v>0</v>
      </c>
      <c r="M174" s="152" t="b">
        <v>0</v>
      </c>
      <c r="N174" s="217"/>
      <c r="O174" s="213" t="s">
        <v>1554</v>
      </c>
      <c r="P174" s="47" t="b">
        <v>0</v>
      </c>
      <c r="Q174" s="47" t="b">
        <v>0</v>
      </c>
      <c r="R174" s="214"/>
      <c r="S174" s="77">
        <v>0.0</v>
      </c>
      <c r="T174" s="214"/>
      <c r="U174" s="215"/>
      <c r="V174" s="215"/>
      <c r="W174" s="214"/>
      <c r="X174" s="214"/>
      <c r="Y174" s="77">
        <v>1.0</v>
      </c>
      <c r="Z174" s="77"/>
    </row>
    <row r="175">
      <c r="A175" s="145" t="s">
        <v>693</v>
      </c>
      <c r="B175" s="145" t="s">
        <v>2206</v>
      </c>
      <c r="C175" s="145" t="s">
        <v>1543</v>
      </c>
      <c r="D175" s="75" t="s">
        <v>1544</v>
      </c>
      <c r="E175" s="75" t="s">
        <v>1544</v>
      </c>
      <c r="F175" s="211" t="s">
        <v>1690</v>
      </c>
      <c r="G175" s="145" t="s">
        <v>2235</v>
      </c>
      <c r="H175" s="211" t="s">
        <v>586</v>
      </c>
      <c r="I175" s="145" t="s">
        <v>674</v>
      </c>
      <c r="J175" s="211" t="s">
        <v>1597</v>
      </c>
      <c r="K175" s="75" t="s">
        <v>1544</v>
      </c>
      <c r="L175" s="152" t="b">
        <v>1</v>
      </c>
      <c r="M175" s="152" t="b">
        <v>0</v>
      </c>
      <c r="N175" s="212" t="s">
        <v>2236</v>
      </c>
      <c r="O175" s="213" t="s">
        <v>1554</v>
      </c>
      <c r="P175" s="47" t="b">
        <v>1</v>
      </c>
      <c r="Q175" s="47" t="b">
        <v>0</v>
      </c>
      <c r="R175" s="214"/>
      <c r="S175" s="77">
        <v>0.0</v>
      </c>
      <c r="T175" s="76" t="s">
        <v>1179</v>
      </c>
      <c r="U175" s="78">
        <v>2.0570752E7</v>
      </c>
      <c r="V175" s="215"/>
      <c r="W175" s="77">
        <v>2.0E7</v>
      </c>
      <c r="X175" s="77">
        <v>140000.0</v>
      </c>
      <c r="Y175" s="77">
        <v>100000.0</v>
      </c>
      <c r="Z175" s="77"/>
    </row>
    <row r="176">
      <c r="A176" s="145" t="s">
        <v>514</v>
      </c>
      <c r="B176" s="145" t="s">
        <v>1564</v>
      </c>
      <c r="C176" s="145" t="s">
        <v>1543</v>
      </c>
      <c r="D176" s="75" t="s">
        <v>1544</v>
      </c>
      <c r="E176" s="75" t="s">
        <v>1544</v>
      </c>
      <c r="F176" s="211" t="s">
        <v>1575</v>
      </c>
      <c r="G176" s="145" t="s">
        <v>2241</v>
      </c>
      <c r="H176" s="211" t="s">
        <v>77</v>
      </c>
      <c r="I176" s="145" t="s">
        <v>338</v>
      </c>
      <c r="J176" s="211" t="s">
        <v>1577</v>
      </c>
      <c r="K176" s="75" t="s">
        <v>1544</v>
      </c>
      <c r="L176" s="152" t="b">
        <v>1</v>
      </c>
      <c r="M176" s="152" t="b">
        <v>0</v>
      </c>
      <c r="N176" s="212" t="s">
        <v>2242</v>
      </c>
      <c r="O176" s="213" t="s">
        <v>1554</v>
      </c>
      <c r="P176" s="47" t="b">
        <v>1</v>
      </c>
      <c r="Q176" s="47" t="b">
        <v>0</v>
      </c>
      <c r="R176" s="214"/>
      <c r="S176" s="77">
        <v>0.0</v>
      </c>
      <c r="T176" s="76" t="s">
        <v>1176</v>
      </c>
      <c r="U176" s="78">
        <v>5731779.0</v>
      </c>
      <c r="V176" s="215"/>
      <c r="W176" s="77">
        <v>6000000.0</v>
      </c>
      <c r="X176" s="77">
        <v>60000.0</v>
      </c>
      <c r="Y176" s="77">
        <v>20000.0</v>
      </c>
      <c r="Z176" s="77"/>
    </row>
    <row r="177">
      <c r="A177" s="145" t="s">
        <v>1289</v>
      </c>
      <c r="B177" s="145" t="s">
        <v>1289</v>
      </c>
      <c r="C177" s="145" t="s">
        <v>1266</v>
      </c>
      <c r="D177" s="75" t="s">
        <v>1544</v>
      </c>
      <c r="E177" s="75" t="s">
        <v>1601</v>
      </c>
      <c r="F177" s="211" t="s">
        <v>2244</v>
      </c>
      <c r="G177" s="145" t="s">
        <v>1288</v>
      </c>
      <c r="H177" s="211" t="s">
        <v>77</v>
      </c>
      <c r="I177" s="145" t="s">
        <v>83</v>
      </c>
      <c r="J177" s="211" t="s">
        <v>1577</v>
      </c>
      <c r="K177" s="75" t="s">
        <v>1544</v>
      </c>
      <c r="L177" s="152" t="b">
        <v>0</v>
      </c>
      <c r="M177" s="152" t="b">
        <v>0</v>
      </c>
      <c r="N177" s="217"/>
      <c r="O177" s="213" t="s">
        <v>1554</v>
      </c>
      <c r="P177" s="47" t="b">
        <v>0</v>
      </c>
      <c r="Q177" s="47" t="b">
        <v>0</v>
      </c>
      <c r="R177" s="214"/>
      <c r="S177" s="77">
        <v>0.0</v>
      </c>
      <c r="T177" s="214"/>
      <c r="U177" s="215"/>
      <c r="V177" s="215"/>
      <c r="W177" s="214"/>
      <c r="X177" s="214"/>
      <c r="Y177" s="77">
        <v>14000.0</v>
      </c>
      <c r="Z177" s="77"/>
    </row>
    <row r="178">
      <c r="A178" s="145" t="s">
        <v>475</v>
      </c>
      <c r="B178" s="145" t="s">
        <v>1605</v>
      </c>
      <c r="C178" s="145" t="s">
        <v>1543</v>
      </c>
      <c r="D178" s="75" t="s">
        <v>1544</v>
      </c>
      <c r="E178" s="75" t="s">
        <v>1544</v>
      </c>
      <c r="F178" s="211" t="s">
        <v>1596</v>
      </c>
      <c r="G178" s="145" t="s">
        <v>902</v>
      </c>
      <c r="H178" s="211" t="s">
        <v>77</v>
      </c>
      <c r="I178" s="145" t="s">
        <v>329</v>
      </c>
      <c r="J178" s="211" t="s">
        <v>1597</v>
      </c>
      <c r="K178" s="75" t="s">
        <v>1544</v>
      </c>
      <c r="L178" s="152" t="b">
        <v>1</v>
      </c>
      <c r="M178" s="152" t="b">
        <v>0</v>
      </c>
      <c r="N178" s="212" t="s">
        <v>2247</v>
      </c>
      <c r="O178" s="213" t="s">
        <v>1554</v>
      </c>
      <c r="P178" s="47" t="b">
        <v>1</v>
      </c>
      <c r="Q178" s="47" t="b">
        <v>0</v>
      </c>
      <c r="R178" s="214"/>
      <c r="S178" s="77">
        <v>0.0</v>
      </c>
      <c r="T178" s="76" t="s">
        <v>1156</v>
      </c>
      <c r="U178" s="78">
        <v>1.1072727E7</v>
      </c>
      <c r="V178" s="215"/>
      <c r="W178" s="77">
        <v>1.2E7</v>
      </c>
      <c r="X178" s="77">
        <v>120000.0</v>
      </c>
      <c r="Y178" s="77">
        <v>3000000.0</v>
      </c>
      <c r="Z178" s="77"/>
    </row>
    <row r="179">
      <c r="A179" s="145" t="s">
        <v>409</v>
      </c>
      <c r="B179" s="145" t="s">
        <v>1574</v>
      </c>
      <c r="C179" s="145" t="s">
        <v>1543</v>
      </c>
      <c r="D179" s="75" t="s">
        <v>1544</v>
      </c>
      <c r="E179" s="75" t="s">
        <v>1544</v>
      </c>
      <c r="F179" s="211" t="s">
        <v>1637</v>
      </c>
      <c r="G179" s="145" t="s">
        <v>2249</v>
      </c>
      <c r="H179" s="211" t="s">
        <v>77</v>
      </c>
      <c r="I179" s="145" t="s">
        <v>413</v>
      </c>
      <c r="J179" s="211" t="s">
        <v>1639</v>
      </c>
      <c r="K179" s="75" t="s">
        <v>1544</v>
      </c>
      <c r="L179" s="152" t="b">
        <v>1</v>
      </c>
      <c r="M179" s="152" t="b">
        <v>0</v>
      </c>
      <c r="N179" s="212" t="s">
        <v>2250</v>
      </c>
      <c r="O179" s="213" t="s">
        <v>1554</v>
      </c>
      <c r="P179" s="47" t="b">
        <v>1</v>
      </c>
      <c r="Q179" s="47" t="b">
        <v>0</v>
      </c>
      <c r="R179" s="214"/>
      <c r="S179" s="77">
        <v>0.0</v>
      </c>
      <c r="T179" s="76" t="s">
        <v>1179</v>
      </c>
      <c r="U179" s="78">
        <v>1.4565714E7</v>
      </c>
      <c r="V179" s="215"/>
      <c r="W179" s="77">
        <v>1.4E7</v>
      </c>
      <c r="X179" s="77">
        <v>140000.0</v>
      </c>
      <c r="Y179" s="77">
        <v>60000.0</v>
      </c>
      <c r="Z179" s="77"/>
    </row>
    <row r="180">
      <c r="A180" s="145" t="s">
        <v>487</v>
      </c>
      <c r="B180" s="145" t="s">
        <v>1564</v>
      </c>
      <c r="C180" s="145" t="s">
        <v>1543</v>
      </c>
      <c r="D180" s="75" t="s">
        <v>1544</v>
      </c>
      <c r="E180" s="75" t="s">
        <v>1544</v>
      </c>
      <c r="F180" s="211" t="s">
        <v>1547</v>
      </c>
      <c r="G180" s="145" t="s">
        <v>2254</v>
      </c>
      <c r="H180" s="211" t="s">
        <v>77</v>
      </c>
      <c r="I180" s="145" t="s">
        <v>338</v>
      </c>
      <c r="J180" s="211" t="s">
        <v>1549</v>
      </c>
      <c r="K180" s="75" t="s">
        <v>1544</v>
      </c>
      <c r="L180" s="152" t="b">
        <v>1</v>
      </c>
      <c r="M180" s="152" t="b">
        <v>0</v>
      </c>
      <c r="N180" s="212" t="s">
        <v>2255</v>
      </c>
      <c r="O180" s="213" t="s">
        <v>1554</v>
      </c>
      <c r="P180" s="47" t="b">
        <v>1</v>
      </c>
      <c r="Q180" s="47" t="b">
        <v>0</v>
      </c>
      <c r="R180" s="214"/>
      <c r="S180" s="77">
        <v>0.0</v>
      </c>
      <c r="T180" s="76" t="s">
        <v>1176</v>
      </c>
      <c r="U180" s="78">
        <v>8606231.0</v>
      </c>
      <c r="V180" s="215"/>
      <c r="W180" s="77">
        <v>8000000.0</v>
      </c>
      <c r="X180" s="216">
        <v>80000.0</v>
      </c>
      <c r="Y180" s="77">
        <v>40000.0</v>
      </c>
      <c r="Z180" s="77"/>
    </row>
    <row r="181">
      <c r="A181" s="145" t="s">
        <v>417</v>
      </c>
      <c r="B181" s="145" t="s">
        <v>1574</v>
      </c>
      <c r="C181" s="145" t="s">
        <v>1543</v>
      </c>
      <c r="D181" s="75" t="s">
        <v>1544</v>
      </c>
      <c r="E181" s="75" t="s">
        <v>1544</v>
      </c>
      <c r="F181" s="211" t="s">
        <v>1547</v>
      </c>
      <c r="G181" s="145" t="s">
        <v>2257</v>
      </c>
      <c r="H181" s="211" t="s">
        <v>77</v>
      </c>
      <c r="I181" s="145" t="s">
        <v>413</v>
      </c>
      <c r="J181" s="211" t="s">
        <v>1549</v>
      </c>
      <c r="K181" s="75" t="s">
        <v>1544</v>
      </c>
      <c r="L181" s="152" t="b">
        <v>1</v>
      </c>
      <c r="M181" s="152" t="b">
        <v>0</v>
      </c>
      <c r="N181" s="212" t="s">
        <v>2259</v>
      </c>
      <c r="O181" s="213" t="s">
        <v>1554</v>
      </c>
      <c r="P181" s="47" t="b">
        <v>1</v>
      </c>
      <c r="Q181" s="47" t="b">
        <v>0</v>
      </c>
      <c r="R181" s="214"/>
      <c r="S181" s="77">
        <v>0.0</v>
      </c>
      <c r="T181" s="76" t="s">
        <v>1176</v>
      </c>
      <c r="U181" s="78">
        <v>8909651.0</v>
      </c>
      <c r="V181" s="215"/>
      <c r="W181" s="216">
        <v>8000000.0</v>
      </c>
      <c r="X181" s="216">
        <v>80000.0</v>
      </c>
      <c r="Y181" s="77">
        <v>40000.0</v>
      </c>
      <c r="Z181" s="77"/>
    </row>
    <row r="182">
      <c r="A182" s="145" t="s">
        <v>523</v>
      </c>
      <c r="B182" s="145" t="s">
        <v>1636</v>
      </c>
      <c r="C182" s="145" t="s">
        <v>1543</v>
      </c>
      <c r="D182" s="75" t="s">
        <v>1544</v>
      </c>
      <c r="E182" s="75" t="s">
        <v>1544</v>
      </c>
      <c r="F182" s="211" t="s">
        <v>1547</v>
      </c>
      <c r="G182" s="145" t="s">
        <v>2262</v>
      </c>
      <c r="H182" s="211" t="s">
        <v>77</v>
      </c>
      <c r="I182" s="145" t="s">
        <v>413</v>
      </c>
      <c r="J182" s="211" t="s">
        <v>1549</v>
      </c>
      <c r="K182" s="75" t="s">
        <v>1544</v>
      </c>
      <c r="L182" s="152" t="b">
        <v>1</v>
      </c>
      <c r="M182" s="152" t="b">
        <v>0</v>
      </c>
      <c r="N182" s="212" t="s">
        <v>2265</v>
      </c>
      <c r="O182" s="213" t="s">
        <v>1554</v>
      </c>
      <c r="P182" s="47" t="b">
        <v>1</v>
      </c>
      <c r="Q182" s="47" t="b">
        <v>0</v>
      </c>
      <c r="R182" s="214"/>
      <c r="S182" s="77">
        <v>0.0</v>
      </c>
      <c r="T182" s="76" t="s">
        <v>1176</v>
      </c>
      <c r="U182" s="78">
        <v>1.1481205E7</v>
      </c>
      <c r="V182" s="215"/>
      <c r="W182" s="216">
        <v>1.2E7</v>
      </c>
      <c r="X182" s="216">
        <v>120000.0</v>
      </c>
      <c r="Y182" s="77">
        <v>40000.0</v>
      </c>
      <c r="Z182" s="77"/>
    </row>
    <row r="183">
      <c r="A183" s="145" t="s">
        <v>623</v>
      </c>
      <c r="B183" s="145" t="s">
        <v>1653</v>
      </c>
      <c r="C183" s="145" t="s">
        <v>1543</v>
      </c>
      <c r="D183" s="75" t="s">
        <v>1544</v>
      </c>
      <c r="E183" s="75" t="s">
        <v>1544</v>
      </c>
      <c r="F183" s="211" t="s">
        <v>1557</v>
      </c>
      <c r="G183" s="145" t="s">
        <v>2267</v>
      </c>
      <c r="H183" s="211" t="s">
        <v>625</v>
      </c>
      <c r="I183" s="145" t="s">
        <v>624</v>
      </c>
      <c r="J183" s="211" t="s">
        <v>1561</v>
      </c>
      <c r="K183" s="75" t="s">
        <v>1544</v>
      </c>
      <c r="L183" s="152" t="b">
        <v>1</v>
      </c>
      <c r="M183" s="152" t="b">
        <v>0</v>
      </c>
      <c r="N183" s="212" t="s">
        <v>2269</v>
      </c>
      <c r="O183" s="213" t="s">
        <v>1554</v>
      </c>
      <c r="P183" s="47" t="b">
        <v>1</v>
      </c>
      <c r="Q183" s="47" t="b">
        <v>0</v>
      </c>
      <c r="R183" s="214"/>
      <c r="S183" s="77">
        <v>0.0</v>
      </c>
      <c r="T183" s="76" t="s">
        <v>1179</v>
      </c>
      <c r="U183" s="78">
        <v>2.4625783E7</v>
      </c>
      <c r="V183" s="215"/>
      <c r="W183" s="77">
        <v>2.4E7</v>
      </c>
      <c r="X183" s="216">
        <v>2.4E9</v>
      </c>
      <c r="Y183" s="216">
        <v>6000000.0</v>
      </c>
      <c r="Z183" s="77"/>
    </row>
    <row r="184">
      <c r="A184" s="145" t="s">
        <v>691</v>
      </c>
      <c r="B184" s="145" t="s">
        <v>691</v>
      </c>
      <c r="C184" s="145" t="s">
        <v>1266</v>
      </c>
      <c r="D184" s="75" t="s">
        <v>1544</v>
      </c>
      <c r="E184" s="75" t="s">
        <v>1544</v>
      </c>
      <c r="F184" s="211" t="s">
        <v>1602</v>
      </c>
      <c r="G184" s="145" t="s">
        <v>692</v>
      </c>
      <c r="H184" s="211" t="s">
        <v>87</v>
      </c>
      <c r="I184" s="145" t="s">
        <v>267</v>
      </c>
      <c r="J184" s="211" t="s">
        <v>1603</v>
      </c>
      <c r="K184" s="75" t="s">
        <v>1544</v>
      </c>
      <c r="L184" s="152" t="b">
        <v>0</v>
      </c>
      <c r="M184" s="152" t="b">
        <v>0</v>
      </c>
      <c r="N184" s="217"/>
      <c r="O184" s="213" t="s">
        <v>1554</v>
      </c>
      <c r="P184" s="47" t="b">
        <v>0</v>
      </c>
      <c r="Q184" s="47" t="b">
        <v>0</v>
      </c>
      <c r="R184" s="214"/>
      <c r="S184" s="77">
        <v>0.0</v>
      </c>
      <c r="T184" s="76" t="s">
        <v>1179</v>
      </c>
      <c r="U184" s="215"/>
      <c r="V184" s="215"/>
      <c r="W184" s="214"/>
      <c r="X184" s="214"/>
      <c r="Y184" s="77">
        <v>1.0</v>
      </c>
      <c r="Z184" s="77"/>
    </row>
    <row r="185">
      <c r="A185" s="145" t="s">
        <v>516</v>
      </c>
      <c r="B185" s="145" t="s">
        <v>1585</v>
      </c>
      <c r="C185" s="145" t="s">
        <v>1543</v>
      </c>
      <c r="D185" s="75" t="s">
        <v>1544</v>
      </c>
      <c r="E185" s="75" t="s">
        <v>1544</v>
      </c>
      <c r="F185" s="211" t="s">
        <v>1765</v>
      </c>
      <c r="G185" s="145" t="s">
        <v>824</v>
      </c>
      <c r="H185" s="211" t="s">
        <v>77</v>
      </c>
      <c r="I185" s="145" t="s">
        <v>140</v>
      </c>
      <c r="J185" s="211" t="s">
        <v>1639</v>
      </c>
      <c r="K185" s="75" t="s">
        <v>1544</v>
      </c>
      <c r="L185" s="152" t="b">
        <v>1</v>
      </c>
      <c r="M185" s="152" t="b">
        <v>0</v>
      </c>
      <c r="N185" s="212" t="s">
        <v>2274</v>
      </c>
      <c r="O185" s="213" t="s">
        <v>1554</v>
      </c>
      <c r="P185" s="47" t="b">
        <v>1</v>
      </c>
      <c r="Q185" s="47" t="b">
        <v>0</v>
      </c>
      <c r="R185" s="214"/>
      <c r="S185" s="77">
        <v>0.0</v>
      </c>
      <c r="T185" s="76" t="s">
        <v>1156</v>
      </c>
      <c r="U185" s="78">
        <v>5563025.0</v>
      </c>
      <c r="V185" s="215"/>
      <c r="W185" s="77">
        <v>6000000.0</v>
      </c>
      <c r="X185" s="77">
        <v>60000.0</v>
      </c>
      <c r="Y185" s="77">
        <v>1800000.0</v>
      </c>
      <c r="Z185" s="77"/>
    </row>
    <row r="186">
      <c r="A186" s="145" t="s">
        <v>697</v>
      </c>
      <c r="B186" s="145" t="s">
        <v>1694</v>
      </c>
      <c r="C186" s="145" t="s">
        <v>1543</v>
      </c>
      <c r="D186" s="75" t="s">
        <v>1544</v>
      </c>
      <c r="E186" s="75" t="s">
        <v>1544</v>
      </c>
      <c r="F186" s="211" t="s">
        <v>1690</v>
      </c>
      <c r="G186" s="145" t="s">
        <v>2275</v>
      </c>
      <c r="H186" s="211" t="s">
        <v>586</v>
      </c>
      <c r="I186" s="145" t="s">
        <v>936</v>
      </c>
      <c r="J186" s="211" t="s">
        <v>1597</v>
      </c>
      <c r="K186" s="75" t="s">
        <v>1544</v>
      </c>
      <c r="L186" s="152" t="b">
        <v>1</v>
      </c>
      <c r="M186" s="152" t="b">
        <v>0</v>
      </c>
      <c r="N186" s="212" t="s">
        <v>2277</v>
      </c>
      <c r="O186" s="213" t="s">
        <v>1554</v>
      </c>
      <c r="P186" s="47" t="b">
        <v>1</v>
      </c>
      <c r="Q186" s="47" t="b">
        <v>0</v>
      </c>
      <c r="R186" s="214"/>
      <c r="S186" s="77">
        <v>0.0</v>
      </c>
      <c r="T186" s="76" t="s">
        <v>1179</v>
      </c>
      <c r="U186" s="78">
        <v>2.0778359E7</v>
      </c>
      <c r="V186" s="215"/>
      <c r="W186" s="77">
        <v>2.0E7</v>
      </c>
      <c r="X186" s="77">
        <v>140000.0</v>
      </c>
      <c r="Y186" s="77">
        <v>100000.0</v>
      </c>
      <c r="Z186" s="77"/>
    </row>
    <row r="187">
      <c r="A187" s="145" t="s">
        <v>703</v>
      </c>
      <c r="B187" s="145" t="s">
        <v>703</v>
      </c>
      <c r="C187" s="145" t="s">
        <v>1266</v>
      </c>
      <c r="D187" s="75" t="s">
        <v>1544</v>
      </c>
      <c r="E187" s="75" t="s">
        <v>1544</v>
      </c>
      <c r="F187" s="211" t="s">
        <v>1602</v>
      </c>
      <c r="G187" s="145" t="s">
        <v>704</v>
      </c>
      <c r="H187" s="211" t="s">
        <v>87</v>
      </c>
      <c r="I187" s="145" t="s">
        <v>267</v>
      </c>
      <c r="J187" s="211" t="s">
        <v>1603</v>
      </c>
      <c r="K187" s="75" t="s">
        <v>1544</v>
      </c>
      <c r="L187" s="152" t="b">
        <v>0</v>
      </c>
      <c r="M187" s="152" t="b">
        <v>0</v>
      </c>
      <c r="N187" s="217"/>
      <c r="O187" s="213" t="s">
        <v>1554</v>
      </c>
      <c r="P187" s="47" t="b">
        <v>0</v>
      </c>
      <c r="Q187" s="47" t="b">
        <v>0</v>
      </c>
      <c r="R187" s="214"/>
      <c r="S187" s="77">
        <v>0.0</v>
      </c>
      <c r="T187" s="76" t="s">
        <v>1179</v>
      </c>
      <c r="U187" s="215"/>
      <c r="V187" s="215"/>
      <c r="W187" s="214"/>
      <c r="X187" s="214"/>
      <c r="Y187" s="77">
        <v>1.0</v>
      </c>
      <c r="Z187" s="77"/>
    </row>
    <row r="188">
      <c r="A188" s="145" t="s">
        <v>690</v>
      </c>
      <c r="B188" s="145" t="s">
        <v>2206</v>
      </c>
      <c r="C188" s="145" t="s">
        <v>1543</v>
      </c>
      <c r="D188" s="75" t="s">
        <v>1544</v>
      </c>
      <c r="E188" s="75" t="s">
        <v>1544</v>
      </c>
      <c r="F188" s="211" t="s">
        <v>2282</v>
      </c>
      <c r="G188" s="145" t="s">
        <v>921</v>
      </c>
      <c r="H188" s="211" t="s">
        <v>586</v>
      </c>
      <c r="I188" s="145" t="s">
        <v>674</v>
      </c>
      <c r="J188" s="211" t="s">
        <v>1561</v>
      </c>
      <c r="K188" s="75" t="s">
        <v>1544</v>
      </c>
      <c r="L188" s="152" t="b">
        <v>1</v>
      </c>
      <c r="M188" s="152" t="b">
        <v>0</v>
      </c>
      <c r="N188" s="212" t="s">
        <v>2284</v>
      </c>
      <c r="O188" s="213" t="s">
        <v>1554</v>
      </c>
      <c r="P188" s="47" t="b">
        <v>1</v>
      </c>
      <c r="Q188" s="47" t="b">
        <v>0</v>
      </c>
      <c r="R188" s="214"/>
      <c r="S188" s="77">
        <v>0.0</v>
      </c>
      <c r="T188" s="76" t="s">
        <v>1179</v>
      </c>
      <c r="U188" s="78">
        <v>8.369402E7</v>
      </c>
      <c r="V188" s="215"/>
      <c r="W188" s="77">
        <v>8.4E7</v>
      </c>
      <c r="X188" s="77">
        <v>588000.0</v>
      </c>
      <c r="Y188" s="77">
        <v>166627.0</v>
      </c>
      <c r="Z188" s="77"/>
    </row>
    <row r="189">
      <c r="A189" s="145" t="s">
        <v>566</v>
      </c>
      <c r="B189" s="145" t="s">
        <v>566</v>
      </c>
      <c r="C189" s="145" t="s">
        <v>1266</v>
      </c>
      <c r="D189" s="75" t="s">
        <v>1544</v>
      </c>
      <c r="E189" s="75" t="s">
        <v>1544</v>
      </c>
      <c r="F189" s="211" t="s">
        <v>1602</v>
      </c>
      <c r="G189" s="145" t="s">
        <v>567</v>
      </c>
      <c r="H189" s="211" t="s">
        <v>87</v>
      </c>
      <c r="I189" s="145" t="s">
        <v>267</v>
      </c>
      <c r="J189" s="211" t="s">
        <v>1603</v>
      </c>
      <c r="K189" s="75" t="s">
        <v>1544</v>
      </c>
      <c r="L189" s="152" t="b">
        <v>0</v>
      </c>
      <c r="M189" s="152" t="b">
        <v>0</v>
      </c>
      <c r="N189" s="217"/>
      <c r="O189" s="213" t="s">
        <v>1554</v>
      </c>
      <c r="P189" s="47" t="b">
        <v>0</v>
      </c>
      <c r="Q189" s="47" t="b">
        <v>0</v>
      </c>
      <c r="R189" s="214"/>
      <c r="S189" s="77">
        <v>0.0</v>
      </c>
      <c r="T189" s="76" t="s">
        <v>1179</v>
      </c>
      <c r="U189" s="215"/>
      <c r="V189" s="215"/>
      <c r="W189" s="214"/>
      <c r="X189" s="214"/>
      <c r="Y189" s="77">
        <v>1.0</v>
      </c>
      <c r="Z189" s="77"/>
    </row>
    <row r="190">
      <c r="A190" s="145" t="s">
        <v>1911</v>
      </c>
      <c r="B190" s="145" t="s">
        <v>2287</v>
      </c>
      <c r="C190" s="145" t="s">
        <v>2288</v>
      </c>
      <c r="D190" s="75" t="s">
        <v>1544</v>
      </c>
      <c r="E190" s="75" t="s">
        <v>1544</v>
      </c>
      <c r="F190" s="211" t="s">
        <v>1649</v>
      </c>
      <c r="G190" s="145" t="s">
        <v>2289</v>
      </c>
      <c r="H190" s="211" t="s">
        <v>1018</v>
      </c>
      <c r="I190" s="145" t="s">
        <v>92</v>
      </c>
      <c r="J190" s="211" t="s">
        <v>1549</v>
      </c>
      <c r="K190" s="75" t="s">
        <v>1544</v>
      </c>
      <c r="L190" s="152" t="b">
        <v>1</v>
      </c>
      <c r="M190" s="152" t="b">
        <v>0</v>
      </c>
      <c r="N190" s="217"/>
      <c r="O190" s="213" t="s">
        <v>1554</v>
      </c>
      <c r="P190" s="47" t="b">
        <v>1</v>
      </c>
      <c r="Q190" s="47" t="b">
        <v>0</v>
      </c>
      <c r="R190" s="214"/>
      <c r="S190" s="77">
        <v>0.0</v>
      </c>
      <c r="T190" s="76" t="s">
        <v>1179</v>
      </c>
      <c r="U190" s="78">
        <v>1.1606159E7</v>
      </c>
      <c r="V190" s="215"/>
      <c r="W190" s="216">
        <v>1.2E7</v>
      </c>
      <c r="X190" s="77">
        <v>96000.0</v>
      </c>
      <c r="Y190" s="77">
        <v>32000.0</v>
      </c>
      <c r="Z190" s="77"/>
    </row>
    <row r="191">
      <c r="A191" s="145" t="s">
        <v>1545</v>
      </c>
      <c r="B191" s="145" t="s">
        <v>2287</v>
      </c>
      <c r="C191" s="145" t="s">
        <v>2288</v>
      </c>
      <c r="D191" s="75" t="s">
        <v>1544</v>
      </c>
      <c r="E191" s="75" t="s">
        <v>1544</v>
      </c>
      <c r="F191" s="211" t="s">
        <v>1645</v>
      </c>
      <c r="G191" s="145" t="s">
        <v>2292</v>
      </c>
      <c r="H191" s="211" t="s">
        <v>1018</v>
      </c>
      <c r="I191" s="145" t="s">
        <v>92</v>
      </c>
      <c r="J191" s="211" t="s">
        <v>1597</v>
      </c>
      <c r="K191" s="75" t="s">
        <v>1544</v>
      </c>
      <c r="L191" s="152" t="b">
        <v>1</v>
      </c>
      <c r="M191" s="152" t="b">
        <v>0</v>
      </c>
      <c r="N191" s="217"/>
      <c r="O191" s="213" t="s">
        <v>1554</v>
      </c>
      <c r="P191" s="47" t="b">
        <v>1</v>
      </c>
      <c r="Q191" s="47" t="b">
        <v>0</v>
      </c>
      <c r="R191" s="214"/>
      <c r="S191" s="77">
        <v>0.0</v>
      </c>
      <c r="T191" s="76" t="s">
        <v>1179</v>
      </c>
      <c r="U191" s="78">
        <v>2.581208E7</v>
      </c>
      <c r="V191" s="215"/>
      <c r="W191" s="77">
        <v>2.6E7</v>
      </c>
      <c r="X191" s="77">
        <v>208000.0</v>
      </c>
      <c r="Y191" s="77">
        <v>80000.0</v>
      </c>
      <c r="Z191" s="77"/>
    </row>
    <row r="192">
      <c r="A192" s="145" t="s">
        <v>710</v>
      </c>
      <c r="B192" s="145" t="s">
        <v>710</v>
      </c>
      <c r="C192" s="145" t="s">
        <v>2296</v>
      </c>
      <c r="D192" s="75" t="s">
        <v>1544</v>
      </c>
      <c r="E192" s="75" t="s">
        <v>1544</v>
      </c>
      <c r="F192" s="211" t="s">
        <v>1602</v>
      </c>
      <c r="G192" s="145" t="s">
        <v>711</v>
      </c>
      <c r="H192" s="211" t="s">
        <v>87</v>
      </c>
      <c r="I192" s="145" t="s">
        <v>267</v>
      </c>
      <c r="J192" s="211" t="s">
        <v>1603</v>
      </c>
      <c r="K192" s="75" t="s">
        <v>1544</v>
      </c>
      <c r="L192" s="152" t="b">
        <v>0</v>
      </c>
      <c r="M192" s="152" t="b">
        <v>0</v>
      </c>
      <c r="N192" s="217"/>
      <c r="O192" s="213" t="s">
        <v>1554</v>
      </c>
      <c r="P192" s="47" t="b">
        <v>0</v>
      </c>
      <c r="Q192" s="47" t="b">
        <v>0</v>
      </c>
      <c r="R192" s="214"/>
      <c r="S192" s="77">
        <v>0.0</v>
      </c>
      <c r="T192" s="76" t="s">
        <v>1179</v>
      </c>
      <c r="U192" s="215"/>
      <c r="V192" s="215"/>
      <c r="W192" s="214"/>
      <c r="X192" s="214"/>
      <c r="Y192" s="77">
        <v>1.0</v>
      </c>
      <c r="Z192" s="77"/>
    </row>
    <row r="193">
      <c r="A193" s="145" t="s">
        <v>555</v>
      </c>
      <c r="B193" s="145" t="s">
        <v>2300</v>
      </c>
      <c r="C193" s="145" t="s">
        <v>2288</v>
      </c>
      <c r="D193" s="75" t="s">
        <v>1544</v>
      </c>
      <c r="E193" s="75" t="s">
        <v>1544</v>
      </c>
      <c r="F193" s="211" t="s">
        <v>1547</v>
      </c>
      <c r="G193" s="145" t="s">
        <v>2301</v>
      </c>
      <c r="H193" s="211" t="s">
        <v>77</v>
      </c>
      <c r="I193" s="145" t="s">
        <v>174</v>
      </c>
      <c r="J193" s="211" t="s">
        <v>1549</v>
      </c>
      <c r="K193" s="75" t="s">
        <v>1544</v>
      </c>
      <c r="L193" s="152" t="b">
        <v>1</v>
      </c>
      <c r="M193" s="152" t="b">
        <v>0</v>
      </c>
      <c r="N193" s="217"/>
      <c r="O193" s="213" t="s">
        <v>1554</v>
      </c>
      <c r="P193" s="47" t="b">
        <v>1</v>
      </c>
      <c r="Q193" s="47" t="b">
        <v>0</v>
      </c>
      <c r="R193" s="214"/>
      <c r="S193" s="77">
        <v>0.0</v>
      </c>
      <c r="T193" s="76" t="s">
        <v>1179</v>
      </c>
      <c r="U193" s="78">
        <v>1.1083855E7</v>
      </c>
      <c r="V193" s="215"/>
      <c r="W193" s="77">
        <v>1.2E7</v>
      </c>
      <c r="X193" s="77">
        <v>120000.0</v>
      </c>
      <c r="Y193" s="77">
        <v>40000.0</v>
      </c>
      <c r="Z193" s="77"/>
    </row>
    <row r="194">
      <c r="A194" s="145" t="s">
        <v>88</v>
      </c>
      <c r="B194" s="145" t="s">
        <v>2300</v>
      </c>
      <c r="C194" s="145" t="s">
        <v>2288</v>
      </c>
      <c r="D194" s="75" t="s">
        <v>1544</v>
      </c>
      <c r="E194" s="75" t="s">
        <v>1544</v>
      </c>
      <c r="F194" s="211" t="s">
        <v>2305</v>
      </c>
      <c r="G194" s="145" t="s">
        <v>738</v>
      </c>
      <c r="H194" s="211" t="s">
        <v>77</v>
      </c>
      <c r="I194" s="145" t="s">
        <v>174</v>
      </c>
      <c r="J194" s="211" t="s">
        <v>1609</v>
      </c>
      <c r="K194" s="75" t="s">
        <v>1544</v>
      </c>
      <c r="L194" s="152" t="b">
        <v>1</v>
      </c>
      <c r="M194" s="152" t="b">
        <v>0</v>
      </c>
      <c r="N194" s="217"/>
      <c r="O194" s="213" t="s">
        <v>1554</v>
      </c>
      <c r="P194" s="47" t="b">
        <v>1</v>
      </c>
      <c r="Q194" s="47" t="b">
        <v>0</v>
      </c>
      <c r="R194" s="214"/>
      <c r="S194" s="77">
        <v>0.0</v>
      </c>
      <c r="T194" s="76" t="s">
        <v>1162</v>
      </c>
      <c r="U194" s="78">
        <v>1.405902E7</v>
      </c>
      <c r="V194" s="215"/>
      <c r="W194" s="77">
        <v>1.4E7</v>
      </c>
      <c r="X194" s="77">
        <v>140000.0</v>
      </c>
      <c r="Y194" s="77">
        <v>163246.0</v>
      </c>
      <c r="Z194" s="77"/>
    </row>
    <row r="195">
      <c r="A195" s="145" t="s">
        <v>219</v>
      </c>
      <c r="B195" s="145" t="s">
        <v>230</v>
      </c>
      <c r="C195" s="145" t="s">
        <v>2288</v>
      </c>
      <c r="D195" s="75" t="s">
        <v>1544</v>
      </c>
      <c r="E195" s="75" t="s">
        <v>1544</v>
      </c>
      <c r="F195" s="211" t="s">
        <v>2311</v>
      </c>
      <c r="G195" s="145" t="s">
        <v>1130</v>
      </c>
      <c r="H195" s="211" t="s">
        <v>77</v>
      </c>
      <c r="I195" s="145" t="s">
        <v>218</v>
      </c>
      <c r="J195" s="211" t="s">
        <v>1561</v>
      </c>
      <c r="K195" s="75" t="s">
        <v>1601</v>
      </c>
      <c r="L195" s="152" t="b">
        <v>1</v>
      </c>
      <c r="M195" s="152" t="b">
        <v>0</v>
      </c>
      <c r="N195" s="217"/>
      <c r="O195" s="213" t="s">
        <v>1554</v>
      </c>
      <c r="P195" s="47" t="b">
        <v>1</v>
      </c>
      <c r="Q195" s="47" t="b">
        <v>0</v>
      </c>
      <c r="R195" s="214"/>
      <c r="S195" s="77">
        <v>0.0</v>
      </c>
      <c r="T195" s="76" t="s">
        <v>1193</v>
      </c>
      <c r="U195" s="78">
        <v>2.9760382E7</v>
      </c>
      <c r="V195" s="215"/>
      <c r="W195" s="77">
        <v>3.0E7</v>
      </c>
      <c r="X195" s="77">
        <v>300000.0</v>
      </c>
      <c r="Y195" s="77">
        <v>200000.0</v>
      </c>
      <c r="Z195" s="77"/>
    </row>
    <row r="196">
      <c r="A196" s="145" t="s">
        <v>583</v>
      </c>
      <c r="B196" s="145" t="s">
        <v>147</v>
      </c>
      <c r="C196" s="145" t="s">
        <v>2288</v>
      </c>
      <c r="D196" s="75" t="s">
        <v>1544</v>
      </c>
      <c r="E196" s="75" t="s">
        <v>1544</v>
      </c>
      <c r="F196" s="211" t="s">
        <v>2312</v>
      </c>
      <c r="G196" s="145" t="s">
        <v>947</v>
      </c>
      <c r="H196" s="211" t="s">
        <v>586</v>
      </c>
      <c r="I196" s="145" t="s">
        <v>585</v>
      </c>
      <c r="J196" s="211" t="s">
        <v>1561</v>
      </c>
      <c r="K196" s="75" t="s">
        <v>1544</v>
      </c>
      <c r="L196" s="152" t="b">
        <v>1</v>
      </c>
      <c r="M196" s="152" t="b">
        <v>0</v>
      </c>
      <c r="N196" s="217"/>
      <c r="O196" s="213" t="s">
        <v>1554</v>
      </c>
      <c r="P196" s="47" t="b">
        <v>1</v>
      </c>
      <c r="Q196" s="47" t="b">
        <v>0</v>
      </c>
      <c r="R196" s="214"/>
      <c r="S196" s="77">
        <v>0.0</v>
      </c>
      <c r="T196" s="76" t="s">
        <v>1176</v>
      </c>
      <c r="U196" s="78">
        <v>7.6865308E7</v>
      </c>
      <c r="V196" s="215"/>
      <c r="W196" s="77">
        <v>7.6E7</v>
      </c>
      <c r="X196" s="77">
        <v>532000.0</v>
      </c>
      <c r="Y196" s="77">
        <v>166887.0</v>
      </c>
      <c r="Z196" s="77"/>
    </row>
    <row r="197">
      <c r="A197" s="145" t="s">
        <v>1132</v>
      </c>
      <c r="B197" s="145" t="s">
        <v>230</v>
      </c>
      <c r="C197" s="145" t="s">
        <v>2288</v>
      </c>
      <c r="D197" s="75" t="s">
        <v>1544</v>
      </c>
      <c r="E197" s="75" t="s">
        <v>1544</v>
      </c>
      <c r="F197" s="211" t="s">
        <v>1547</v>
      </c>
      <c r="G197" s="145" t="s">
        <v>1133</v>
      </c>
      <c r="H197" s="211" t="s">
        <v>77</v>
      </c>
      <c r="I197" s="145" t="s">
        <v>218</v>
      </c>
      <c r="J197" s="211" t="s">
        <v>1549</v>
      </c>
      <c r="K197" s="75" t="s">
        <v>1544</v>
      </c>
      <c r="L197" s="152" t="b">
        <v>1</v>
      </c>
      <c r="M197" s="152" t="b">
        <v>0</v>
      </c>
      <c r="N197" s="217"/>
      <c r="O197" s="213" t="s">
        <v>1554</v>
      </c>
      <c r="P197" s="47" t="b">
        <v>1</v>
      </c>
      <c r="Q197" s="47" t="b">
        <v>0</v>
      </c>
      <c r="R197" s="214"/>
      <c r="S197" s="77">
        <v>0.0</v>
      </c>
      <c r="T197" s="76" t="s">
        <v>1179</v>
      </c>
      <c r="U197" s="78">
        <v>7211814.0</v>
      </c>
      <c r="V197" s="215"/>
      <c r="W197" s="77">
        <v>8000000.0</v>
      </c>
      <c r="X197" s="77">
        <v>80000.0</v>
      </c>
      <c r="Y197" s="77">
        <v>40000.0</v>
      </c>
      <c r="Z197" s="77"/>
    </row>
    <row r="198">
      <c r="A198" s="145" t="s">
        <v>576</v>
      </c>
      <c r="B198" s="145" t="s">
        <v>147</v>
      </c>
      <c r="C198" s="145" t="s">
        <v>2288</v>
      </c>
      <c r="D198" s="75" t="s">
        <v>1544</v>
      </c>
      <c r="E198" s="75" t="s">
        <v>1544</v>
      </c>
      <c r="F198" s="211" t="s">
        <v>1690</v>
      </c>
      <c r="G198" s="145" t="s">
        <v>1082</v>
      </c>
      <c r="H198" s="211" t="s">
        <v>586</v>
      </c>
      <c r="I198" s="145" t="s">
        <v>585</v>
      </c>
      <c r="J198" s="211" t="s">
        <v>1597</v>
      </c>
      <c r="K198" s="75" t="s">
        <v>1544</v>
      </c>
      <c r="L198" s="152" t="b">
        <v>1</v>
      </c>
      <c r="M198" s="152" t="b">
        <v>0</v>
      </c>
      <c r="N198" s="217"/>
      <c r="O198" s="213" t="s">
        <v>1554</v>
      </c>
      <c r="P198" s="47" t="b">
        <v>1</v>
      </c>
      <c r="Q198" s="47" t="b">
        <v>0</v>
      </c>
      <c r="R198" s="214"/>
      <c r="S198" s="77">
        <v>0.0</v>
      </c>
      <c r="T198" s="76" t="s">
        <v>1179</v>
      </c>
      <c r="U198" s="78">
        <v>2.7256743E7</v>
      </c>
      <c r="V198" s="215"/>
      <c r="W198" s="77">
        <v>2.8E7</v>
      </c>
      <c r="X198" s="77">
        <v>196000.0</v>
      </c>
      <c r="Y198" s="77">
        <v>100000.0</v>
      </c>
      <c r="Z198" s="77"/>
    </row>
    <row r="199">
      <c r="A199" s="145" t="s">
        <v>592</v>
      </c>
      <c r="B199" s="145" t="s">
        <v>147</v>
      </c>
      <c r="C199" s="145" t="s">
        <v>2288</v>
      </c>
      <c r="D199" s="75" t="s">
        <v>1544</v>
      </c>
      <c r="E199" s="75" t="s">
        <v>1544</v>
      </c>
      <c r="F199" s="211" t="s">
        <v>1690</v>
      </c>
      <c r="G199" s="145" t="s">
        <v>1088</v>
      </c>
      <c r="H199" s="211" t="s">
        <v>586</v>
      </c>
      <c r="I199" s="145" t="s">
        <v>585</v>
      </c>
      <c r="J199" s="211" t="s">
        <v>1597</v>
      </c>
      <c r="K199" s="75" t="s">
        <v>1544</v>
      </c>
      <c r="L199" s="152" t="b">
        <v>1</v>
      </c>
      <c r="M199" s="152" t="b">
        <v>0</v>
      </c>
      <c r="N199" s="217"/>
      <c r="O199" s="213" t="s">
        <v>1554</v>
      </c>
      <c r="P199" s="47" t="b">
        <v>1</v>
      </c>
      <c r="Q199" s="47" t="b">
        <v>0</v>
      </c>
      <c r="R199" s="214"/>
      <c r="S199" s="77">
        <v>0.0</v>
      </c>
      <c r="T199" s="76" t="s">
        <v>1179</v>
      </c>
      <c r="U199" s="78">
        <v>2.0858658E7</v>
      </c>
      <c r="V199" s="215"/>
      <c r="W199" s="77">
        <v>2.0E7</v>
      </c>
      <c r="X199" s="77">
        <v>140000.0</v>
      </c>
      <c r="Y199" s="77">
        <v>100000.0</v>
      </c>
      <c r="Z199" s="77"/>
    </row>
    <row r="200">
      <c r="A200" s="145" t="s">
        <v>1140</v>
      </c>
      <c r="B200" s="145" t="s">
        <v>230</v>
      </c>
      <c r="C200" s="145" t="s">
        <v>2288</v>
      </c>
      <c r="D200" s="75" t="s">
        <v>1544</v>
      </c>
      <c r="E200" s="75" t="s">
        <v>1544</v>
      </c>
      <c r="F200" s="211" t="s">
        <v>1547</v>
      </c>
      <c r="G200" s="145" t="s">
        <v>1141</v>
      </c>
      <c r="H200" s="211" t="s">
        <v>77</v>
      </c>
      <c r="I200" s="145" t="s">
        <v>218</v>
      </c>
      <c r="J200" s="211" t="s">
        <v>1549</v>
      </c>
      <c r="K200" s="75" t="s">
        <v>1544</v>
      </c>
      <c r="L200" s="152" t="b">
        <v>1</v>
      </c>
      <c r="M200" s="152" t="b">
        <v>1</v>
      </c>
      <c r="N200" s="217"/>
      <c r="O200" s="213" t="s">
        <v>1554</v>
      </c>
      <c r="P200" s="47" t="b">
        <v>1</v>
      </c>
      <c r="Q200" s="47" t="b">
        <v>0</v>
      </c>
      <c r="R200" s="214"/>
      <c r="S200" s="77">
        <v>0.0</v>
      </c>
      <c r="T200" s="76" t="s">
        <v>1179</v>
      </c>
      <c r="U200" s="78">
        <v>7221157.0</v>
      </c>
      <c r="V200" s="215"/>
      <c r="W200" s="77">
        <v>8000000.0</v>
      </c>
      <c r="X200" s="77">
        <v>80000.0</v>
      </c>
      <c r="Y200" s="77">
        <v>40000.0</v>
      </c>
      <c r="Z200" s="77"/>
    </row>
    <row r="201">
      <c r="A201" s="145" t="s">
        <v>1110</v>
      </c>
      <c r="B201" s="145" t="s">
        <v>230</v>
      </c>
      <c r="C201" s="145" t="s">
        <v>2288</v>
      </c>
      <c r="D201" s="75" t="s">
        <v>1544</v>
      </c>
      <c r="E201" s="75" t="s">
        <v>1544</v>
      </c>
      <c r="F201" s="211" t="s">
        <v>1547</v>
      </c>
      <c r="G201" s="145" t="s">
        <v>1111</v>
      </c>
      <c r="H201" s="211" t="s">
        <v>77</v>
      </c>
      <c r="I201" s="145" t="s">
        <v>218</v>
      </c>
      <c r="J201" s="211" t="s">
        <v>1549</v>
      </c>
      <c r="K201" s="75" t="s">
        <v>1544</v>
      </c>
      <c r="L201" s="152" t="b">
        <v>1</v>
      </c>
      <c r="M201" s="152" t="b">
        <v>1</v>
      </c>
      <c r="N201" s="217"/>
      <c r="O201" s="213" t="s">
        <v>1554</v>
      </c>
      <c r="P201" s="47" t="b">
        <v>1</v>
      </c>
      <c r="Q201" s="47" t="b">
        <v>0</v>
      </c>
      <c r="R201" s="214"/>
      <c r="S201" s="77">
        <v>0.0</v>
      </c>
      <c r="T201" s="76" t="s">
        <v>1179</v>
      </c>
      <c r="U201" s="78">
        <v>1.0225245E7</v>
      </c>
      <c r="V201" s="215"/>
      <c r="W201" s="77">
        <v>1.0E7</v>
      </c>
      <c r="X201" s="77">
        <v>100000.0</v>
      </c>
      <c r="Y201" s="77">
        <v>40000.0</v>
      </c>
      <c r="Z201" s="77"/>
    </row>
    <row r="202">
      <c r="A202" s="145" t="s">
        <v>1931</v>
      </c>
      <c r="B202" s="145" t="s">
        <v>1931</v>
      </c>
      <c r="C202" s="145" t="s">
        <v>2296</v>
      </c>
      <c r="D202" s="75" t="s">
        <v>1544</v>
      </c>
      <c r="E202" s="75" t="s">
        <v>1601</v>
      </c>
      <c r="F202" s="211" t="s">
        <v>1591</v>
      </c>
      <c r="G202" s="145" t="s">
        <v>1592</v>
      </c>
      <c r="H202" s="211" t="s">
        <v>87</v>
      </c>
      <c r="I202" s="145" t="s">
        <v>267</v>
      </c>
      <c r="J202" s="211" t="s">
        <v>87</v>
      </c>
      <c r="K202" s="75" t="s">
        <v>1544</v>
      </c>
      <c r="L202" s="152" t="b">
        <v>0</v>
      </c>
      <c r="M202" s="152" t="b">
        <v>0</v>
      </c>
      <c r="N202" s="217"/>
      <c r="O202" s="213" t="s">
        <v>1554</v>
      </c>
      <c r="P202" s="47" t="b">
        <v>0</v>
      </c>
      <c r="Q202" s="47" t="b">
        <v>0</v>
      </c>
      <c r="R202" s="214"/>
      <c r="S202" s="77">
        <v>0.0</v>
      </c>
      <c r="T202" s="214"/>
      <c r="U202" s="215"/>
      <c r="V202" s="215"/>
      <c r="W202" s="214"/>
      <c r="X202" s="214"/>
      <c r="Y202" s="77">
        <v>1.0E7</v>
      </c>
      <c r="Z202" s="77"/>
    </row>
    <row r="203">
      <c r="A203" s="145" t="s">
        <v>1146</v>
      </c>
      <c r="B203" s="145" t="s">
        <v>230</v>
      </c>
      <c r="C203" s="145" t="s">
        <v>2288</v>
      </c>
      <c r="D203" s="75" t="s">
        <v>1544</v>
      </c>
      <c r="E203" s="75" t="s">
        <v>1544</v>
      </c>
      <c r="F203" s="211" t="s">
        <v>1708</v>
      </c>
      <c r="G203" s="145" t="s">
        <v>1147</v>
      </c>
      <c r="H203" s="211" t="s">
        <v>77</v>
      </c>
      <c r="I203" s="145" t="s">
        <v>218</v>
      </c>
      <c r="J203" s="211" t="s">
        <v>1667</v>
      </c>
      <c r="K203" s="75" t="s">
        <v>1544</v>
      </c>
      <c r="L203" s="152" t="b">
        <v>1</v>
      </c>
      <c r="M203" s="152" t="b">
        <v>0</v>
      </c>
      <c r="N203" s="217"/>
      <c r="O203" s="213" t="s">
        <v>1554</v>
      </c>
      <c r="P203" s="47" t="b">
        <v>1</v>
      </c>
      <c r="Q203" s="47" t="b">
        <v>0</v>
      </c>
      <c r="R203" s="214"/>
      <c r="S203" s="77">
        <v>0.0</v>
      </c>
      <c r="T203" s="76" t="s">
        <v>1179</v>
      </c>
      <c r="U203" s="78">
        <v>3.021553E7</v>
      </c>
      <c r="V203" s="215"/>
      <c r="W203" s="77">
        <v>3.0E7</v>
      </c>
      <c r="X203" s="77">
        <v>300000.0</v>
      </c>
      <c r="Y203" s="77">
        <v>120000.0</v>
      </c>
      <c r="Z203" s="77"/>
    </row>
    <row r="204">
      <c r="A204" s="145" t="s">
        <v>565</v>
      </c>
      <c r="B204" s="145" t="s">
        <v>2326</v>
      </c>
      <c r="C204" s="145" t="s">
        <v>2288</v>
      </c>
      <c r="D204" s="75" t="s">
        <v>1544</v>
      </c>
      <c r="E204" s="75" t="s">
        <v>1544</v>
      </c>
      <c r="F204" s="211" t="s">
        <v>1649</v>
      </c>
      <c r="G204" s="145" t="s">
        <v>2328</v>
      </c>
      <c r="H204" s="211" t="s">
        <v>1018</v>
      </c>
      <c r="I204" s="145" t="s">
        <v>66</v>
      </c>
      <c r="J204" s="211" t="s">
        <v>1549</v>
      </c>
      <c r="K204" s="75" t="s">
        <v>1544</v>
      </c>
      <c r="L204" s="152" t="b">
        <v>1</v>
      </c>
      <c r="M204" s="152" t="b">
        <v>0</v>
      </c>
      <c r="N204" s="217"/>
      <c r="O204" s="213" t="s">
        <v>1554</v>
      </c>
      <c r="P204" s="47" t="b">
        <v>1</v>
      </c>
      <c r="Q204" s="47" t="b">
        <v>0</v>
      </c>
      <c r="R204" s="214"/>
      <c r="S204" s="77">
        <v>0.0</v>
      </c>
      <c r="T204" s="76" t="s">
        <v>1179</v>
      </c>
      <c r="U204" s="78">
        <v>1.0370644E7</v>
      </c>
      <c r="V204" s="215"/>
      <c r="W204" s="77">
        <v>1.0E7</v>
      </c>
      <c r="X204" s="77">
        <v>80000.0</v>
      </c>
      <c r="Y204" s="77">
        <v>32000.0</v>
      </c>
      <c r="Z204" s="77"/>
    </row>
    <row r="205">
      <c r="A205" s="145" t="s">
        <v>365</v>
      </c>
      <c r="B205" s="145" t="s">
        <v>2326</v>
      </c>
      <c r="C205" s="145" t="s">
        <v>2288</v>
      </c>
      <c r="D205" s="75" t="s">
        <v>1544</v>
      </c>
      <c r="E205" s="75" t="s">
        <v>1544</v>
      </c>
      <c r="F205" s="211" t="s">
        <v>1721</v>
      </c>
      <c r="G205" s="145" t="s">
        <v>2330</v>
      </c>
      <c r="H205" s="211" t="s">
        <v>1018</v>
      </c>
      <c r="I205" s="145" t="s">
        <v>66</v>
      </c>
      <c r="J205" s="211" t="s">
        <v>1609</v>
      </c>
      <c r="K205" s="75" t="s">
        <v>1544</v>
      </c>
      <c r="L205" s="152" t="b">
        <v>1</v>
      </c>
      <c r="M205" s="152" t="b">
        <v>0</v>
      </c>
      <c r="N205" s="217"/>
      <c r="O205" s="213" t="s">
        <v>1554</v>
      </c>
      <c r="P205" s="47" t="b">
        <v>1</v>
      </c>
      <c r="Q205" s="47" t="b">
        <v>0</v>
      </c>
      <c r="R205" s="214"/>
      <c r="S205" s="77">
        <v>0.0</v>
      </c>
      <c r="T205" s="76" t="s">
        <v>1179</v>
      </c>
      <c r="U205" s="78">
        <v>1.7934469E7</v>
      </c>
      <c r="V205" s="215"/>
      <c r="W205" s="77">
        <v>1.8E7</v>
      </c>
      <c r="X205" s="77">
        <v>144000.0</v>
      </c>
      <c r="Y205" s="77">
        <v>64000.0</v>
      </c>
      <c r="Z205" s="77"/>
    </row>
    <row r="206">
      <c r="A206" s="145" t="s">
        <v>545</v>
      </c>
      <c r="B206" s="145" t="s">
        <v>2300</v>
      </c>
      <c r="C206" s="145" t="s">
        <v>2288</v>
      </c>
      <c r="D206" s="75" t="s">
        <v>1544</v>
      </c>
      <c r="E206" s="75" t="s">
        <v>1544</v>
      </c>
      <c r="F206" s="211" t="s">
        <v>1547</v>
      </c>
      <c r="G206" s="145" t="s">
        <v>2333</v>
      </c>
      <c r="H206" s="211" t="s">
        <v>77</v>
      </c>
      <c r="I206" s="145" t="s">
        <v>174</v>
      </c>
      <c r="J206" s="211" t="s">
        <v>1549</v>
      </c>
      <c r="K206" s="75" t="s">
        <v>1544</v>
      </c>
      <c r="L206" s="152" t="b">
        <v>1</v>
      </c>
      <c r="M206" s="152" t="b">
        <v>0</v>
      </c>
      <c r="N206" s="217"/>
      <c r="O206" s="213" t="s">
        <v>1554</v>
      </c>
      <c r="P206" s="47" t="b">
        <v>1</v>
      </c>
      <c r="Q206" s="47" t="b">
        <v>0</v>
      </c>
      <c r="R206" s="214"/>
      <c r="S206" s="77">
        <v>0.0</v>
      </c>
      <c r="T206" s="76" t="s">
        <v>1179</v>
      </c>
      <c r="U206" s="78">
        <v>1.0251042E7</v>
      </c>
      <c r="V206" s="215"/>
      <c r="W206" s="77">
        <v>1.0E7</v>
      </c>
      <c r="X206" s="77">
        <v>100000.0</v>
      </c>
      <c r="Y206" s="77">
        <v>40000.0</v>
      </c>
      <c r="Z206" s="77"/>
    </row>
    <row r="207">
      <c r="A207" s="145" t="s">
        <v>387</v>
      </c>
      <c r="B207" s="145" t="s">
        <v>2326</v>
      </c>
      <c r="C207" s="145" t="s">
        <v>2288</v>
      </c>
      <c r="D207" s="75" t="s">
        <v>1544</v>
      </c>
      <c r="E207" s="75" t="s">
        <v>1544</v>
      </c>
      <c r="F207" s="211" t="s">
        <v>1649</v>
      </c>
      <c r="G207" s="145" t="s">
        <v>2335</v>
      </c>
      <c r="H207" s="211" t="s">
        <v>1018</v>
      </c>
      <c r="I207" s="145" t="s">
        <v>66</v>
      </c>
      <c r="J207" s="211" t="s">
        <v>1549</v>
      </c>
      <c r="K207" s="75" t="s">
        <v>1544</v>
      </c>
      <c r="L207" s="152" t="b">
        <v>1</v>
      </c>
      <c r="M207" s="152" t="b">
        <v>0</v>
      </c>
      <c r="N207" s="217"/>
      <c r="O207" s="213" t="s">
        <v>1554</v>
      </c>
      <c r="P207" s="47" t="b">
        <v>1</v>
      </c>
      <c r="Q207" s="47" t="b">
        <v>0</v>
      </c>
      <c r="R207" s="214"/>
      <c r="S207" s="77">
        <v>0.0</v>
      </c>
      <c r="T207" s="76" t="s">
        <v>1179</v>
      </c>
      <c r="U207" s="78">
        <v>1.0501193E7</v>
      </c>
      <c r="V207" s="215"/>
      <c r="W207" s="77">
        <v>1.0E7</v>
      </c>
      <c r="X207" s="77">
        <v>80000.0</v>
      </c>
      <c r="Y207" s="77">
        <v>32000.0</v>
      </c>
      <c r="Z207" s="77"/>
    </row>
    <row r="208">
      <c r="A208" s="145" t="s">
        <v>577</v>
      </c>
      <c r="B208" s="145" t="s">
        <v>2300</v>
      </c>
      <c r="C208" s="145" t="s">
        <v>2288</v>
      </c>
      <c r="D208" s="75" t="s">
        <v>1544</v>
      </c>
      <c r="E208" s="75" t="s">
        <v>1544</v>
      </c>
      <c r="F208" s="211" t="s">
        <v>1575</v>
      </c>
      <c r="G208" s="145" t="s">
        <v>2338</v>
      </c>
      <c r="H208" s="211" t="s">
        <v>77</v>
      </c>
      <c r="I208" s="145" t="s">
        <v>174</v>
      </c>
      <c r="J208" s="211" t="s">
        <v>1577</v>
      </c>
      <c r="K208" s="75" t="s">
        <v>1544</v>
      </c>
      <c r="L208" s="152" t="b">
        <v>1</v>
      </c>
      <c r="M208" s="152" t="b">
        <v>0</v>
      </c>
      <c r="N208" s="217"/>
      <c r="O208" s="213" t="s">
        <v>1554</v>
      </c>
      <c r="P208" s="47" t="b">
        <v>1</v>
      </c>
      <c r="Q208" s="47" t="b">
        <v>0</v>
      </c>
      <c r="R208" s="214"/>
      <c r="S208" s="77">
        <v>0.0</v>
      </c>
      <c r="T208" s="76" t="s">
        <v>1179</v>
      </c>
      <c r="U208" s="78">
        <v>5550691.0</v>
      </c>
      <c r="V208" s="215"/>
      <c r="W208" s="77">
        <v>6000000.0</v>
      </c>
      <c r="X208" s="77">
        <v>60000.0</v>
      </c>
      <c r="Y208" s="77">
        <v>20000.0</v>
      </c>
      <c r="Z208" s="77"/>
    </row>
    <row r="209">
      <c r="A209" s="145" t="s">
        <v>664</v>
      </c>
      <c r="B209" s="145" t="s">
        <v>664</v>
      </c>
      <c r="C209" s="145" t="s">
        <v>2296</v>
      </c>
      <c r="D209" s="75" t="s">
        <v>1544</v>
      </c>
      <c r="E209" s="75" t="s">
        <v>1544</v>
      </c>
      <c r="F209" s="211" t="s">
        <v>1602</v>
      </c>
      <c r="G209" s="145" t="s">
        <v>665</v>
      </c>
      <c r="H209" s="211" t="s">
        <v>87</v>
      </c>
      <c r="I209" s="145" t="s">
        <v>267</v>
      </c>
      <c r="J209" s="211" t="s">
        <v>1603</v>
      </c>
      <c r="K209" s="75" t="s">
        <v>1544</v>
      </c>
      <c r="L209" s="152" t="b">
        <v>0</v>
      </c>
      <c r="M209" s="152" t="b">
        <v>1</v>
      </c>
      <c r="N209" s="217"/>
      <c r="O209" s="213" t="s">
        <v>1554</v>
      </c>
      <c r="P209" s="47" t="b">
        <v>0</v>
      </c>
      <c r="Q209" s="47" t="b">
        <v>0</v>
      </c>
      <c r="R209" s="214"/>
      <c r="S209" s="77">
        <v>0.0</v>
      </c>
      <c r="T209" s="76" t="s">
        <v>1179</v>
      </c>
      <c r="U209" s="215"/>
      <c r="V209" s="215"/>
      <c r="W209" s="214"/>
      <c r="X209" s="214"/>
      <c r="Y209" s="77">
        <v>1.0</v>
      </c>
      <c r="Z209" s="77"/>
    </row>
    <row r="210">
      <c r="A210" s="145" t="s">
        <v>1952</v>
      </c>
      <c r="B210" s="145" t="s">
        <v>1952</v>
      </c>
      <c r="C210" s="145" t="s">
        <v>2296</v>
      </c>
      <c r="D210" s="75" t="s">
        <v>1544</v>
      </c>
      <c r="E210" s="75" t="s">
        <v>1601</v>
      </c>
      <c r="F210" s="211" t="s">
        <v>1591</v>
      </c>
      <c r="G210" s="145" t="s">
        <v>1592</v>
      </c>
      <c r="H210" s="211" t="s">
        <v>87</v>
      </c>
      <c r="I210" s="145" t="s">
        <v>267</v>
      </c>
      <c r="J210" s="211" t="s">
        <v>87</v>
      </c>
      <c r="K210" s="75" t="s">
        <v>1544</v>
      </c>
      <c r="L210" s="152" t="b">
        <v>0</v>
      </c>
      <c r="M210" s="152" t="b">
        <v>0</v>
      </c>
      <c r="N210" s="217"/>
      <c r="O210" s="213" t="s">
        <v>1554</v>
      </c>
      <c r="P210" s="47" t="b">
        <v>0</v>
      </c>
      <c r="Q210" s="47" t="b">
        <v>0</v>
      </c>
      <c r="R210" s="214"/>
      <c r="S210" s="77">
        <v>0.0</v>
      </c>
      <c r="T210" s="214"/>
      <c r="U210" s="215"/>
      <c r="V210" s="215"/>
      <c r="W210" s="214"/>
      <c r="X210" s="214"/>
      <c r="Y210" s="77">
        <v>1.0E7</v>
      </c>
      <c r="Z210" s="77"/>
    </row>
    <row r="211">
      <c r="A211" s="145" t="s">
        <v>1112</v>
      </c>
      <c r="B211" s="145" t="s">
        <v>230</v>
      </c>
      <c r="C211" s="145" t="s">
        <v>2288</v>
      </c>
      <c r="D211" s="75" t="s">
        <v>1544</v>
      </c>
      <c r="E211" s="75" t="s">
        <v>1544</v>
      </c>
      <c r="F211" s="211" t="s">
        <v>1575</v>
      </c>
      <c r="G211" s="145" t="s">
        <v>1113</v>
      </c>
      <c r="H211" s="211" t="s">
        <v>77</v>
      </c>
      <c r="I211" s="145" t="s">
        <v>218</v>
      </c>
      <c r="J211" s="211" t="s">
        <v>1577</v>
      </c>
      <c r="K211" s="75" t="s">
        <v>1544</v>
      </c>
      <c r="L211" s="152" t="b">
        <v>1</v>
      </c>
      <c r="M211" s="152" t="b">
        <v>0</v>
      </c>
      <c r="N211" s="217"/>
      <c r="O211" s="213" t="s">
        <v>1554</v>
      </c>
      <c r="P211" s="47" t="b">
        <v>1</v>
      </c>
      <c r="Q211" s="47" t="b">
        <v>0</v>
      </c>
      <c r="R211" s="214"/>
      <c r="S211" s="77">
        <v>0.0</v>
      </c>
      <c r="T211" s="76" t="s">
        <v>1179</v>
      </c>
      <c r="U211" s="78">
        <v>5409797.0</v>
      </c>
      <c r="V211" s="215"/>
      <c r="W211" s="77">
        <v>6000000.0</v>
      </c>
      <c r="X211" s="77">
        <v>60000.0</v>
      </c>
      <c r="Y211" s="77">
        <v>20000.0</v>
      </c>
      <c r="Z211" s="77"/>
    </row>
    <row r="212">
      <c r="A212" s="145" t="s">
        <v>1470</v>
      </c>
      <c r="B212" s="145" t="s">
        <v>2287</v>
      </c>
      <c r="C212" s="145" t="s">
        <v>2288</v>
      </c>
      <c r="D212" s="75" t="s">
        <v>1544</v>
      </c>
      <c r="E212" s="75" t="s">
        <v>1544</v>
      </c>
      <c r="F212" s="211" t="s">
        <v>2345</v>
      </c>
      <c r="G212" s="145" t="s">
        <v>2346</v>
      </c>
      <c r="H212" s="211" t="s">
        <v>1018</v>
      </c>
      <c r="I212" s="145" t="s">
        <v>92</v>
      </c>
      <c r="J212" s="211" t="s">
        <v>2347</v>
      </c>
      <c r="K212" s="75" t="s">
        <v>1544</v>
      </c>
      <c r="L212" s="152" t="b">
        <v>1</v>
      </c>
      <c r="M212" s="152" t="b">
        <v>0</v>
      </c>
      <c r="N212" s="217"/>
      <c r="O212" s="213" t="s">
        <v>1554</v>
      </c>
      <c r="P212" s="47" t="b">
        <v>1</v>
      </c>
      <c r="Q212" s="47" t="b">
        <v>0</v>
      </c>
      <c r="R212" s="214"/>
      <c r="S212" s="77">
        <v>0.0</v>
      </c>
      <c r="T212" s="76" t="s">
        <v>1179</v>
      </c>
      <c r="U212" s="78">
        <v>5.9380312E7</v>
      </c>
      <c r="V212" s="215"/>
      <c r="W212" s="77">
        <v>6.0E7</v>
      </c>
      <c r="X212" s="77">
        <v>480000.0</v>
      </c>
      <c r="Y212" s="77">
        <v>192000.0</v>
      </c>
      <c r="Z212" s="77"/>
    </row>
    <row r="213">
      <c r="A213" s="145" t="s">
        <v>520</v>
      </c>
      <c r="B213" s="145" t="s">
        <v>2300</v>
      </c>
      <c r="C213" s="145" t="s">
        <v>2288</v>
      </c>
      <c r="D213" s="75" t="s">
        <v>1544</v>
      </c>
      <c r="E213" s="75" t="s">
        <v>1544</v>
      </c>
      <c r="F213" s="211" t="s">
        <v>1637</v>
      </c>
      <c r="G213" s="145" t="s">
        <v>2349</v>
      </c>
      <c r="H213" s="211" t="s">
        <v>77</v>
      </c>
      <c r="I213" s="145" t="s">
        <v>174</v>
      </c>
      <c r="J213" s="211" t="s">
        <v>1639</v>
      </c>
      <c r="K213" s="75" t="s">
        <v>1544</v>
      </c>
      <c r="L213" s="152" t="b">
        <v>1</v>
      </c>
      <c r="M213" s="152" t="b">
        <v>0</v>
      </c>
      <c r="N213" s="217"/>
      <c r="O213" s="213" t="s">
        <v>1554</v>
      </c>
      <c r="P213" s="47" t="b">
        <v>1</v>
      </c>
      <c r="Q213" s="47" t="b">
        <v>0</v>
      </c>
      <c r="R213" s="214"/>
      <c r="S213" s="77">
        <v>0.0</v>
      </c>
      <c r="T213" s="76" t="s">
        <v>1179</v>
      </c>
      <c r="U213" s="78">
        <v>1.4541266E7</v>
      </c>
      <c r="V213" s="215"/>
      <c r="W213" s="77">
        <v>1.4E7</v>
      </c>
      <c r="X213" s="77">
        <v>140000.0</v>
      </c>
      <c r="Y213" s="77">
        <v>60000.0</v>
      </c>
      <c r="Z213" s="77"/>
    </row>
    <row r="214">
      <c r="A214" s="145" t="s">
        <v>635</v>
      </c>
      <c r="B214" s="145" t="s">
        <v>147</v>
      </c>
      <c r="C214" s="145" t="s">
        <v>2288</v>
      </c>
      <c r="D214" s="75" t="s">
        <v>1544</v>
      </c>
      <c r="E214" s="75" t="s">
        <v>1544</v>
      </c>
      <c r="F214" s="211" t="s">
        <v>1690</v>
      </c>
      <c r="G214" s="145" t="s">
        <v>1093</v>
      </c>
      <c r="H214" s="211" t="s">
        <v>586</v>
      </c>
      <c r="I214" s="145" t="s">
        <v>585</v>
      </c>
      <c r="J214" s="211" t="s">
        <v>1597</v>
      </c>
      <c r="K214" s="75" t="s">
        <v>1544</v>
      </c>
      <c r="L214" s="152" t="b">
        <v>1</v>
      </c>
      <c r="M214" s="152" t="b">
        <v>0</v>
      </c>
      <c r="N214" s="217"/>
      <c r="O214" s="213" t="s">
        <v>1554</v>
      </c>
      <c r="P214" s="47" t="b">
        <v>1</v>
      </c>
      <c r="Q214" s="47" t="b">
        <v>0</v>
      </c>
      <c r="R214" s="214"/>
      <c r="S214" s="77">
        <v>0.0</v>
      </c>
      <c r="T214" s="76" t="s">
        <v>1179</v>
      </c>
      <c r="U214" s="78">
        <v>2.7634036E7</v>
      </c>
      <c r="V214" s="215"/>
      <c r="W214" s="77">
        <v>2.8E7</v>
      </c>
      <c r="X214" s="77">
        <v>196000.0</v>
      </c>
      <c r="Y214" s="77">
        <v>100000.0</v>
      </c>
      <c r="Z214" s="77"/>
    </row>
    <row r="215">
      <c r="A215" s="145" t="s">
        <v>1571</v>
      </c>
      <c r="B215" s="145" t="s">
        <v>158</v>
      </c>
      <c r="C215" s="145" t="s">
        <v>2288</v>
      </c>
      <c r="D215" s="75" t="s">
        <v>1544</v>
      </c>
      <c r="E215" s="75" t="s">
        <v>1544</v>
      </c>
      <c r="F215" s="211" t="s">
        <v>1557</v>
      </c>
      <c r="G215" s="145" t="s">
        <v>2353</v>
      </c>
      <c r="H215" s="211" t="s">
        <v>625</v>
      </c>
      <c r="I215" s="145" t="s">
        <v>624</v>
      </c>
      <c r="J215" s="211" t="s">
        <v>1561</v>
      </c>
      <c r="K215" s="75" t="s">
        <v>1544</v>
      </c>
      <c r="L215" s="152" t="b">
        <v>1</v>
      </c>
      <c r="M215" s="152" t="b">
        <v>0</v>
      </c>
      <c r="N215" s="217"/>
      <c r="O215" s="213" t="s">
        <v>1554</v>
      </c>
      <c r="P215" s="47" t="b">
        <v>1</v>
      </c>
      <c r="Q215" s="47" t="b">
        <v>0</v>
      </c>
      <c r="R215" s="214"/>
      <c r="S215" s="77">
        <v>0.0</v>
      </c>
      <c r="T215" s="76" t="s">
        <v>1179</v>
      </c>
      <c r="U215" s="78">
        <v>4.0033751E7</v>
      </c>
      <c r="V215" s="215"/>
      <c r="W215" s="77">
        <v>4.0E7</v>
      </c>
      <c r="X215" s="216">
        <v>4.0E9</v>
      </c>
      <c r="Y215" s="216">
        <v>6000000.0</v>
      </c>
      <c r="Z215" s="77"/>
    </row>
    <row r="216">
      <c r="A216" s="145" t="s">
        <v>456</v>
      </c>
      <c r="B216" s="145" t="s">
        <v>2326</v>
      </c>
      <c r="C216" s="145" t="s">
        <v>2288</v>
      </c>
      <c r="D216" s="75" t="s">
        <v>1544</v>
      </c>
      <c r="E216" s="75" t="s">
        <v>1544</v>
      </c>
      <c r="F216" s="211" t="s">
        <v>1851</v>
      </c>
      <c r="G216" s="145" t="s">
        <v>2356</v>
      </c>
      <c r="H216" s="211" t="s">
        <v>1018</v>
      </c>
      <c r="I216" s="145" t="s">
        <v>66</v>
      </c>
      <c r="J216" s="211" t="s">
        <v>1639</v>
      </c>
      <c r="K216" s="75" t="s">
        <v>1544</v>
      </c>
      <c r="L216" s="152" t="b">
        <v>1</v>
      </c>
      <c r="M216" s="152" t="b">
        <v>0</v>
      </c>
      <c r="N216" s="217"/>
      <c r="O216" s="213" t="s">
        <v>1554</v>
      </c>
      <c r="P216" s="47" t="b">
        <v>1</v>
      </c>
      <c r="Q216" s="47" t="b">
        <v>0</v>
      </c>
      <c r="R216" s="214"/>
      <c r="S216" s="77">
        <v>0.0</v>
      </c>
      <c r="T216" s="76" t="s">
        <v>1179</v>
      </c>
      <c r="U216" s="78">
        <v>1.412371E7</v>
      </c>
      <c r="V216" s="215"/>
      <c r="W216" s="77">
        <v>1.4E7</v>
      </c>
      <c r="X216" s="77">
        <v>112000.0</v>
      </c>
      <c r="Y216" s="77">
        <v>48000.0</v>
      </c>
      <c r="Z216" s="77"/>
    </row>
    <row r="217">
      <c r="A217" s="145" t="s">
        <v>542</v>
      </c>
      <c r="B217" s="145" t="s">
        <v>147</v>
      </c>
      <c r="C217" s="145" t="s">
        <v>2288</v>
      </c>
      <c r="D217" s="75" t="s">
        <v>1544</v>
      </c>
      <c r="E217" s="75" t="s">
        <v>1544</v>
      </c>
      <c r="F217" s="211" t="s">
        <v>1690</v>
      </c>
      <c r="G217" s="145" t="s">
        <v>1084</v>
      </c>
      <c r="H217" s="211" t="s">
        <v>586</v>
      </c>
      <c r="I217" s="145" t="s">
        <v>585</v>
      </c>
      <c r="J217" s="211" t="s">
        <v>1597</v>
      </c>
      <c r="K217" s="75" t="s">
        <v>1544</v>
      </c>
      <c r="L217" s="152" t="b">
        <v>1</v>
      </c>
      <c r="M217" s="152" t="b">
        <v>0</v>
      </c>
      <c r="N217" s="217"/>
      <c r="O217" s="213" t="s">
        <v>1554</v>
      </c>
      <c r="P217" s="47" t="b">
        <v>1</v>
      </c>
      <c r="Q217" s="47" t="b">
        <v>0</v>
      </c>
      <c r="R217" s="214"/>
      <c r="S217" s="77">
        <v>0.0</v>
      </c>
      <c r="T217" s="76" t="s">
        <v>1179</v>
      </c>
      <c r="U217" s="78">
        <v>3.1467822E7</v>
      </c>
      <c r="V217" s="215"/>
      <c r="W217" s="77">
        <v>3.2E7</v>
      </c>
      <c r="X217" s="77">
        <v>224000.0</v>
      </c>
      <c r="Y217" s="77">
        <v>100000.0</v>
      </c>
      <c r="Z217" s="77"/>
    </row>
    <row r="218">
      <c r="A218" s="145" t="s">
        <v>570</v>
      </c>
      <c r="B218" s="145" t="s">
        <v>147</v>
      </c>
      <c r="C218" s="145" t="s">
        <v>2288</v>
      </c>
      <c r="D218" s="75" t="s">
        <v>1544</v>
      </c>
      <c r="E218" s="75" t="s">
        <v>1544</v>
      </c>
      <c r="F218" s="211" t="s">
        <v>2311</v>
      </c>
      <c r="G218" s="145" t="s">
        <v>1081</v>
      </c>
      <c r="H218" s="211" t="s">
        <v>586</v>
      </c>
      <c r="I218" s="145" t="s">
        <v>585</v>
      </c>
      <c r="J218" s="211" t="s">
        <v>1561</v>
      </c>
      <c r="K218" s="75" t="s">
        <v>1544</v>
      </c>
      <c r="L218" s="152" t="b">
        <v>1</v>
      </c>
      <c r="M218" s="152" t="b">
        <v>0</v>
      </c>
      <c r="N218" s="217"/>
      <c r="O218" s="213" t="s">
        <v>1554</v>
      </c>
      <c r="P218" s="47" t="b">
        <v>1</v>
      </c>
      <c r="Q218" s="47" t="b">
        <v>0</v>
      </c>
      <c r="R218" s="214"/>
      <c r="S218" s="77">
        <v>0.0</v>
      </c>
      <c r="T218" s="76" t="s">
        <v>1179</v>
      </c>
      <c r="U218" s="78">
        <v>4.1061657E7</v>
      </c>
      <c r="V218" s="215"/>
      <c r="W218" s="77">
        <v>4.2E7</v>
      </c>
      <c r="X218" s="77">
        <v>294000.0</v>
      </c>
      <c r="Y218" s="77">
        <v>200000.0</v>
      </c>
      <c r="Z218" s="77"/>
    </row>
    <row r="219">
      <c r="A219" s="145" t="s">
        <v>1822</v>
      </c>
      <c r="B219" s="145" t="s">
        <v>1822</v>
      </c>
      <c r="C219" s="145" t="s">
        <v>2296</v>
      </c>
      <c r="D219" s="75" t="s">
        <v>1544</v>
      </c>
      <c r="E219" s="75" t="s">
        <v>1601</v>
      </c>
      <c r="F219" s="211" t="s">
        <v>1602</v>
      </c>
      <c r="G219" s="145" t="s">
        <v>1823</v>
      </c>
      <c r="H219" s="211" t="s">
        <v>87</v>
      </c>
      <c r="I219" s="145" t="s">
        <v>267</v>
      </c>
      <c r="J219" s="211" t="s">
        <v>1603</v>
      </c>
      <c r="K219" s="75" t="s">
        <v>1544</v>
      </c>
      <c r="L219" s="152" t="b">
        <v>0</v>
      </c>
      <c r="M219" s="152" t="b">
        <v>0</v>
      </c>
      <c r="N219" s="217"/>
      <c r="O219" s="213" t="s">
        <v>1554</v>
      </c>
      <c r="P219" s="47" t="b">
        <v>0</v>
      </c>
      <c r="Q219" s="47" t="b">
        <v>0</v>
      </c>
      <c r="R219" s="214"/>
      <c r="S219" s="77">
        <v>0.0</v>
      </c>
      <c r="T219" s="214"/>
      <c r="U219" s="215"/>
      <c r="V219" s="215"/>
      <c r="W219" s="214"/>
      <c r="X219" s="214"/>
      <c r="Y219" s="77">
        <v>1.0</v>
      </c>
      <c r="Z219" s="77"/>
    </row>
    <row r="220">
      <c r="A220" s="145" t="s">
        <v>1644</v>
      </c>
      <c r="B220" s="145" t="s">
        <v>1644</v>
      </c>
      <c r="C220" s="145" t="s">
        <v>2296</v>
      </c>
      <c r="D220" s="75" t="s">
        <v>1544</v>
      </c>
      <c r="E220" s="75" t="s">
        <v>1601</v>
      </c>
      <c r="F220" s="211" t="s">
        <v>87</v>
      </c>
      <c r="G220" s="145" t="s">
        <v>1646</v>
      </c>
      <c r="H220" s="211" t="s">
        <v>77</v>
      </c>
      <c r="I220" s="145" t="s">
        <v>249</v>
      </c>
      <c r="J220" s="211" t="s">
        <v>87</v>
      </c>
      <c r="K220" s="75" t="s">
        <v>1544</v>
      </c>
      <c r="L220" s="152" t="b">
        <v>0</v>
      </c>
      <c r="M220" s="152" t="b">
        <v>0</v>
      </c>
      <c r="N220" s="217"/>
      <c r="O220" s="213" t="s">
        <v>1554</v>
      </c>
      <c r="P220" s="47" t="b">
        <v>0</v>
      </c>
      <c r="Q220" s="47" t="b">
        <v>0</v>
      </c>
      <c r="R220" s="214"/>
      <c r="S220" s="77">
        <v>0.0</v>
      </c>
      <c r="T220" s="214"/>
      <c r="U220" s="215"/>
      <c r="V220" s="215"/>
      <c r="W220" s="214"/>
      <c r="X220" s="214"/>
      <c r="Y220" s="77">
        <v>0.0</v>
      </c>
      <c r="Z220" s="77"/>
    </row>
    <row r="221">
      <c r="A221" s="145" t="s">
        <v>2362</v>
      </c>
      <c r="B221" s="145" t="s">
        <v>2362</v>
      </c>
      <c r="C221" s="145" t="s">
        <v>2296</v>
      </c>
      <c r="D221" s="75" t="s">
        <v>1544</v>
      </c>
      <c r="E221" s="75" t="s">
        <v>1601</v>
      </c>
      <c r="F221" s="211" t="s">
        <v>1591</v>
      </c>
      <c r="G221" s="145" t="s">
        <v>1592</v>
      </c>
      <c r="H221" s="211" t="s">
        <v>87</v>
      </c>
      <c r="I221" s="145" t="s">
        <v>267</v>
      </c>
      <c r="J221" s="211" t="s">
        <v>87</v>
      </c>
      <c r="K221" s="75" t="s">
        <v>1544</v>
      </c>
      <c r="L221" s="152" t="b">
        <v>0</v>
      </c>
      <c r="M221" s="152" t="b">
        <v>0</v>
      </c>
      <c r="N221" s="217"/>
      <c r="O221" s="213" t="s">
        <v>1554</v>
      </c>
      <c r="P221" s="47" t="b">
        <v>0</v>
      </c>
      <c r="Q221" s="47" t="b">
        <v>0</v>
      </c>
      <c r="R221" s="214"/>
      <c r="S221" s="77">
        <v>0.0</v>
      </c>
      <c r="T221" s="214"/>
      <c r="U221" s="215"/>
      <c r="V221" s="215"/>
      <c r="W221" s="214"/>
      <c r="X221" s="214"/>
      <c r="Y221" s="77">
        <v>1.0E7</v>
      </c>
      <c r="Z221" s="77"/>
    </row>
    <row r="222">
      <c r="A222" s="145" t="s">
        <v>1879</v>
      </c>
      <c r="B222" s="145" t="s">
        <v>2287</v>
      </c>
      <c r="C222" s="145" t="s">
        <v>2288</v>
      </c>
      <c r="D222" s="75" t="s">
        <v>1544</v>
      </c>
      <c r="E222" s="75" t="s">
        <v>1544</v>
      </c>
      <c r="F222" s="211" t="s">
        <v>1649</v>
      </c>
      <c r="G222" s="145" t="s">
        <v>2364</v>
      </c>
      <c r="H222" s="211" t="s">
        <v>1018</v>
      </c>
      <c r="I222" s="145" t="s">
        <v>92</v>
      </c>
      <c r="J222" s="211" t="s">
        <v>1549</v>
      </c>
      <c r="K222" s="75" t="s">
        <v>1544</v>
      </c>
      <c r="L222" s="152" t="b">
        <v>1</v>
      </c>
      <c r="M222" s="152" t="b">
        <v>0</v>
      </c>
      <c r="N222" s="217"/>
      <c r="O222" s="213" t="s">
        <v>1554</v>
      </c>
      <c r="P222" s="47" t="b">
        <v>1</v>
      </c>
      <c r="Q222" s="47" t="b">
        <v>0</v>
      </c>
      <c r="R222" s="214"/>
      <c r="S222" s="77">
        <v>0.0</v>
      </c>
      <c r="T222" s="76" t="s">
        <v>1179</v>
      </c>
      <c r="U222" s="78">
        <v>1.0845889E7</v>
      </c>
      <c r="V222" s="215"/>
      <c r="W222" s="77">
        <v>1.0E7</v>
      </c>
      <c r="X222" s="77">
        <v>80000.0</v>
      </c>
      <c r="Y222" s="77">
        <v>32000.0</v>
      </c>
      <c r="Z222" s="77"/>
    </row>
    <row r="223">
      <c r="A223" s="145" t="s">
        <v>1794</v>
      </c>
      <c r="B223" s="145" t="s">
        <v>1794</v>
      </c>
      <c r="C223" s="145" t="s">
        <v>2296</v>
      </c>
      <c r="D223" s="75" t="s">
        <v>1544</v>
      </c>
      <c r="E223" s="75" t="s">
        <v>1601</v>
      </c>
      <c r="F223" s="211" t="s">
        <v>1591</v>
      </c>
      <c r="G223" s="145" t="s">
        <v>1592</v>
      </c>
      <c r="H223" s="211" t="s">
        <v>87</v>
      </c>
      <c r="I223" s="145" t="s">
        <v>267</v>
      </c>
      <c r="J223" s="211" t="s">
        <v>87</v>
      </c>
      <c r="K223" s="75" t="s">
        <v>1544</v>
      </c>
      <c r="L223" s="152" t="b">
        <v>0</v>
      </c>
      <c r="M223" s="152" t="b">
        <v>0</v>
      </c>
      <c r="N223" s="217"/>
      <c r="O223" s="213" t="s">
        <v>1554</v>
      </c>
      <c r="P223" s="47" t="b">
        <v>0</v>
      </c>
      <c r="Q223" s="47" t="b">
        <v>0</v>
      </c>
      <c r="R223" s="214"/>
      <c r="S223" s="77">
        <v>0.0</v>
      </c>
      <c r="T223" s="214"/>
      <c r="U223" s="215"/>
      <c r="V223" s="215"/>
      <c r="W223" s="214"/>
      <c r="X223" s="214"/>
      <c r="Y223" s="77">
        <v>1.0E7</v>
      </c>
      <c r="Z223" s="77"/>
    </row>
    <row r="224">
      <c r="A224" s="145" t="s">
        <v>96</v>
      </c>
      <c r="B224" s="145" t="s">
        <v>2366</v>
      </c>
      <c r="C224" s="145" t="s">
        <v>2288</v>
      </c>
      <c r="D224" s="75" t="s">
        <v>1544</v>
      </c>
      <c r="E224" s="75" t="s">
        <v>1544</v>
      </c>
      <c r="F224" s="211" t="s">
        <v>1637</v>
      </c>
      <c r="G224" s="145" t="s">
        <v>2367</v>
      </c>
      <c r="H224" s="211" t="s">
        <v>907</v>
      </c>
      <c r="I224" s="145" t="s">
        <v>54</v>
      </c>
      <c r="J224" s="211" t="s">
        <v>1639</v>
      </c>
      <c r="K224" s="75" t="s">
        <v>1544</v>
      </c>
      <c r="L224" s="152" t="b">
        <v>1</v>
      </c>
      <c r="M224" s="152" t="b">
        <v>1</v>
      </c>
      <c r="N224" s="217"/>
      <c r="O224" s="213" t="s">
        <v>1554</v>
      </c>
      <c r="P224" s="47" t="b">
        <v>1</v>
      </c>
      <c r="Q224" s="47" t="b">
        <v>0</v>
      </c>
      <c r="R224" s="214"/>
      <c r="S224" s="77">
        <v>0.0</v>
      </c>
      <c r="T224" s="76" t="s">
        <v>1179</v>
      </c>
      <c r="U224" s="78">
        <v>1.5708008E7</v>
      </c>
      <c r="V224" s="215"/>
      <c r="W224" s="216">
        <v>1.6E7</v>
      </c>
      <c r="X224" s="77">
        <v>160000.0</v>
      </c>
      <c r="Y224" s="77">
        <v>60000.0</v>
      </c>
      <c r="Z224" s="77"/>
    </row>
    <row r="225">
      <c r="A225" s="145" t="s">
        <v>1790</v>
      </c>
      <c r="B225" s="145" t="s">
        <v>1790</v>
      </c>
      <c r="C225" s="145" t="s">
        <v>2296</v>
      </c>
      <c r="D225" s="75" t="s">
        <v>1601</v>
      </c>
      <c r="E225" s="75" t="s">
        <v>1601</v>
      </c>
      <c r="F225" s="211" t="s">
        <v>1591</v>
      </c>
      <c r="G225" s="145" t="s">
        <v>1592</v>
      </c>
      <c r="H225" s="211" t="s">
        <v>87</v>
      </c>
      <c r="I225" s="145" t="s">
        <v>267</v>
      </c>
      <c r="J225" s="211" t="s">
        <v>87</v>
      </c>
      <c r="K225" s="75" t="s">
        <v>1544</v>
      </c>
      <c r="L225" s="152" t="b">
        <v>0</v>
      </c>
      <c r="M225" s="152" t="b">
        <v>0</v>
      </c>
      <c r="N225" s="217"/>
      <c r="O225" s="213" t="s">
        <v>1554</v>
      </c>
      <c r="P225" s="47" t="b">
        <v>0</v>
      </c>
      <c r="Q225" s="47" t="b">
        <v>0</v>
      </c>
      <c r="R225" s="214"/>
      <c r="S225" s="77">
        <v>0.0</v>
      </c>
      <c r="T225" s="214"/>
      <c r="U225" s="215"/>
      <c r="V225" s="215"/>
      <c r="W225" s="218"/>
      <c r="X225" s="214"/>
      <c r="Y225" s="77">
        <v>1.0E7</v>
      </c>
      <c r="Z225" s="77"/>
    </row>
    <row r="226">
      <c r="A226" s="145" t="s">
        <v>115</v>
      </c>
      <c r="B226" s="145" t="s">
        <v>2326</v>
      </c>
      <c r="C226" s="145" t="s">
        <v>2288</v>
      </c>
      <c r="D226" s="75" t="s">
        <v>1544</v>
      </c>
      <c r="E226" s="75" t="s">
        <v>1544</v>
      </c>
      <c r="F226" s="211" t="s">
        <v>2375</v>
      </c>
      <c r="G226" s="145" t="s">
        <v>2376</v>
      </c>
      <c r="H226" s="211" t="s">
        <v>1018</v>
      </c>
      <c r="I226" s="145" t="s">
        <v>66</v>
      </c>
      <c r="J226" s="211" t="s">
        <v>2377</v>
      </c>
      <c r="K226" s="75" t="s">
        <v>1601</v>
      </c>
      <c r="L226" s="152" t="b">
        <v>1</v>
      </c>
      <c r="M226" s="152" t="b">
        <v>0</v>
      </c>
      <c r="N226" s="217"/>
      <c r="O226" s="213" t="s">
        <v>1554</v>
      </c>
      <c r="P226" s="47" t="b">
        <v>1</v>
      </c>
      <c r="Q226" s="47" t="b">
        <v>0</v>
      </c>
      <c r="R226" s="214"/>
      <c r="S226" s="77">
        <v>0.0</v>
      </c>
      <c r="T226" s="76" t="s">
        <v>1193</v>
      </c>
      <c r="U226" s="78">
        <v>4.5404694E7</v>
      </c>
      <c r="V226" s="215"/>
      <c r="W226" s="216">
        <v>4.6E7</v>
      </c>
      <c r="X226" s="216">
        <v>368000.0</v>
      </c>
      <c r="Y226" s="77">
        <v>320000.0</v>
      </c>
      <c r="Z226" s="77"/>
    </row>
    <row r="227">
      <c r="A227" s="145" t="s">
        <v>1803</v>
      </c>
      <c r="B227" s="145" t="s">
        <v>2366</v>
      </c>
      <c r="C227" s="145" t="s">
        <v>2288</v>
      </c>
      <c r="D227" s="75" t="s">
        <v>1544</v>
      </c>
      <c r="E227" s="75" t="s">
        <v>1544</v>
      </c>
      <c r="F227" s="211" t="s">
        <v>1547</v>
      </c>
      <c r="G227" s="145" t="s">
        <v>2380</v>
      </c>
      <c r="H227" s="211" t="s">
        <v>907</v>
      </c>
      <c r="I227" s="145" t="s">
        <v>54</v>
      </c>
      <c r="J227" s="211" t="s">
        <v>1549</v>
      </c>
      <c r="K227" s="75" t="s">
        <v>1544</v>
      </c>
      <c r="L227" s="152" t="b">
        <v>1</v>
      </c>
      <c r="M227" s="152" t="b">
        <v>1</v>
      </c>
      <c r="N227" s="217"/>
      <c r="O227" s="213" t="s">
        <v>1554</v>
      </c>
      <c r="P227" s="47" t="b">
        <v>1</v>
      </c>
      <c r="Q227" s="47" t="b">
        <v>0</v>
      </c>
      <c r="R227" s="214"/>
      <c r="S227" s="77">
        <v>0.0</v>
      </c>
      <c r="T227" s="76" t="s">
        <v>1179</v>
      </c>
      <c r="U227" s="78">
        <v>1.0406158E7</v>
      </c>
      <c r="V227" s="215"/>
      <c r="W227" s="77">
        <v>1.0E7</v>
      </c>
      <c r="X227" s="77">
        <v>100000.0</v>
      </c>
      <c r="Y227" s="77">
        <v>40000.0</v>
      </c>
      <c r="Z227" s="77"/>
    </row>
    <row r="228">
      <c r="A228" s="145" t="s">
        <v>1780</v>
      </c>
      <c r="B228" s="145" t="s">
        <v>1780</v>
      </c>
      <c r="C228" s="145" t="s">
        <v>2296</v>
      </c>
      <c r="D228" s="75" t="s">
        <v>1601</v>
      </c>
      <c r="E228" s="75" t="s">
        <v>1601</v>
      </c>
      <c r="F228" s="211" t="s">
        <v>87</v>
      </c>
      <c r="G228" s="145" t="s">
        <v>1781</v>
      </c>
      <c r="H228" s="211" t="s">
        <v>77</v>
      </c>
      <c r="I228" s="145" t="s">
        <v>2296</v>
      </c>
      <c r="J228" s="211" t="s">
        <v>1639</v>
      </c>
      <c r="K228" s="75" t="s">
        <v>1544</v>
      </c>
      <c r="L228" s="152" t="b">
        <v>0</v>
      </c>
      <c r="M228" s="152" t="b">
        <v>0</v>
      </c>
      <c r="N228" s="217"/>
      <c r="O228" s="213" t="s">
        <v>1554</v>
      </c>
      <c r="P228" s="47" t="b">
        <v>0</v>
      </c>
      <c r="Q228" s="47" t="b">
        <v>0</v>
      </c>
      <c r="R228" s="214"/>
      <c r="S228" s="77">
        <v>0.0</v>
      </c>
      <c r="T228" s="214"/>
      <c r="U228" s="215"/>
      <c r="V228" s="215"/>
      <c r="W228" s="214"/>
      <c r="X228" s="214"/>
      <c r="Y228" s="77">
        <v>0.0</v>
      </c>
      <c r="Z228" s="77"/>
    </row>
    <row r="229">
      <c r="A229" s="145" t="s">
        <v>495</v>
      </c>
      <c r="B229" s="145" t="s">
        <v>147</v>
      </c>
      <c r="C229" s="145" t="s">
        <v>2288</v>
      </c>
      <c r="D229" s="75" t="s">
        <v>1544</v>
      </c>
      <c r="E229" s="75" t="s">
        <v>1544</v>
      </c>
      <c r="F229" s="211" t="s">
        <v>1690</v>
      </c>
      <c r="G229" s="145" t="s">
        <v>1094</v>
      </c>
      <c r="H229" s="211" t="s">
        <v>586</v>
      </c>
      <c r="I229" s="145" t="s">
        <v>585</v>
      </c>
      <c r="J229" s="211" t="s">
        <v>1597</v>
      </c>
      <c r="K229" s="75" t="s">
        <v>1544</v>
      </c>
      <c r="L229" s="152" t="b">
        <v>1</v>
      </c>
      <c r="M229" s="152" t="b">
        <v>0</v>
      </c>
      <c r="N229" s="217"/>
      <c r="O229" s="213" t="s">
        <v>1554</v>
      </c>
      <c r="P229" s="47" t="b">
        <v>1</v>
      </c>
      <c r="Q229" s="47" t="b">
        <v>0</v>
      </c>
      <c r="R229" s="214"/>
      <c r="S229" s="77">
        <v>0.0</v>
      </c>
      <c r="T229" s="76" t="s">
        <v>1179</v>
      </c>
      <c r="U229" s="78">
        <v>2.1548414E7</v>
      </c>
      <c r="V229" s="215"/>
      <c r="W229" s="77">
        <v>2.2E7</v>
      </c>
      <c r="X229" s="77">
        <v>154000.0</v>
      </c>
      <c r="Y229" s="77">
        <v>100000.0</v>
      </c>
      <c r="Z229" s="77"/>
    </row>
    <row r="230">
      <c r="A230" s="145" t="s">
        <v>776</v>
      </c>
      <c r="B230" s="145" t="s">
        <v>147</v>
      </c>
      <c r="C230" s="145" t="s">
        <v>2288</v>
      </c>
      <c r="D230" s="75" t="s">
        <v>1544</v>
      </c>
      <c r="E230" s="75" t="s">
        <v>1601</v>
      </c>
      <c r="F230" s="211" t="s">
        <v>1708</v>
      </c>
      <c r="G230" s="145" t="s">
        <v>777</v>
      </c>
      <c r="H230" s="211" t="s">
        <v>77</v>
      </c>
      <c r="I230" s="145" t="s">
        <v>218</v>
      </c>
      <c r="J230" s="211" t="s">
        <v>1667</v>
      </c>
      <c r="K230" s="75" t="s">
        <v>1544</v>
      </c>
      <c r="L230" s="152" t="b">
        <v>1</v>
      </c>
      <c r="M230" s="152" t="b">
        <v>0</v>
      </c>
      <c r="N230" s="217"/>
      <c r="O230" s="213" t="s">
        <v>1554</v>
      </c>
      <c r="P230" s="47" t="b">
        <v>0</v>
      </c>
      <c r="Q230" s="47" t="b">
        <v>0</v>
      </c>
      <c r="R230" s="214"/>
      <c r="S230" s="77">
        <v>0.0</v>
      </c>
      <c r="T230" s="214"/>
      <c r="U230" s="215"/>
      <c r="V230" s="215"/>
      <c r="W230" s="214"/>
      <c r="X230" s="214"/>
      <c r="Y230" s="77">
        <v>120000.0</v>
      </c>
      <c r="Z230" s="77"/>
    </row>
    <row r="231">
      <c r="A231" s="145" t="s">
        <v>1914</v>
      </c>
      <c r="B231" s="145" t="s">
        <v>1914</v>
      </c>
      <c r="C231" s="145" t="s">
        <v>2390</v>
      </c>
      <c r="D231" s="75" t="s">
        <v>1601</v>
      </c>
      <c r="E231" s="75" t="s">
        <v>1601</v>
      </c>
      <c r="F231" s="211" t="s">
        <v>87</v>
      </c>
      <c r="G231" s="145" t="s">
        <v>1915</v>
      </c>
      <c r="H231" s="211" t="s">
        <v>77</v>
      </c>
      <c r="I231" s="145" t="s">
        <v>54</v>
      </c>
      <c r="J231" s="211" t="s">
        <v>87</v>
      </c>
      <c r="K231" s="75" t="s">
        <v>1544</v>
      </c>
      <c r="L231" s="152" t="b">
        <v>1</v>
      </c>
      <c r="M231" s="152" t="b">
        <v>0</v>
      </c>
      <c r="N231" s="217"/>
      <c r="O231" s="213" t="s">
        <v>1554</v>
      </c>
      <c r="P231" s="47" t="b">
        <v>0</v>
      </c>
      <c r="Q231" s="47" t="b">
        <v>0</v>
      </c>
      <c r="R231" s="214"/>
      <c r="S231" s="77">
        <v>0.0</v>
      </c>
      <c r="T231" s="214"/>
      <c r="U231" s="215"/>
      <c r="V231" s="215"/>
      <c r="W231" s="214"/>
      <c r="X231" s="214"/>
      <c r="Y231" s="77">
        <v>0.0</v>
      </c>
      <c r="Z231" s="77"/>
    </row>
    <row r="232">
      <c r="A232" s="145" t="s">
        <v>1361</v>
      </c>
      <c r="B232" s="145" t="s">
        <v>1361</v>
      </c>
      <c r="C232" s="145" t="s">
        <v>2390</v>
      </c>
      <c r="D232" s="75" t="s">
        <v>1601</v>
      </c>
      <c r="E232" s="75" t="s">
        <v>1601</v>
      </c>
      <c r="F232" s="211" t="s">
        <v>87</v>
      </c>
      <c r="G232" s="145" t="s">
        <v>2394</v>
      </c>
      <c r="H232" s="211" t="s">
        <v>77</v>
      </c>
      <c r="I232" s="145" t="s">
        <v>54</v>
      </c>
      <c r="J232" s="211" t="s">
        <v>87</v>
      </c>
      <c r="K232" s="75" t="s">
        <v>1544</v>
      </c>
      <c r="L232" s="152" t="b">
        <v>1</v>
      </c>
      <c r="M232" s="152" t="b">
        <v>0</v>
      </c>
      <c r="N232" s="217"/>
      <c r="O232" s="213" t="s">
        <v>1554</v>
      </c>
      <c r="P232" s="47" t="b">
        <v>0</v>
      </c>
      <c r="Q232" s="47" t="b">
        <v>0</v>
      </c>
      <c r="R232" s="214"/>
      <c r="S232" s="77">
        <v>0.0</v>
      </c>
      <c r="T232" s="214"/>
      <c r="U232" s="215"/>
      <c r="V232" s="215"/>
      <c r="W232" s="214"/>
      <c r="X232" s="214"/>
      <c r="Y232" s="77">
        <v>0.0</v>
      </c>
      <c r="Z232" s="77"/>
    </row>
    <row r="233">
      <c r="A233" s="145" t="s">
        <v>1178</v>
      </c>
      <c r="B233" s="145" t="s">
        <v>1178</v>
      </c>
      <c r="C233" s="145" t="s">
        <v>2398</v>
      </c>
      <c r="D233" s="75" t="s">
        <v>1544</v>
      </c>
      <c r="E233" s="75" t="s">
        <v>1601</v>
      </c>
      <c r="F233" s="211" t="s">
        <v>2400</v>
      </c>
      <c r="G233" s="145" t="s">
        <v>1175</v>
      </c>
      <c r="H233" s="211" t="s">
        <v>77</v>
      </c>
      <c r="I233" s="145" t="s">
        <v>113</v>
      </c>
      <c r="J233" s="211" t="s">
        <v>2403</v>
      </c>
      <c r="K233" s="75" t="s">
        <v>1601</v>
      </c>
      <c r="L233" s="152" t="b">
        <v>1</v>
      </c>
      <c r="M233" s="152" t="b">
        <v>1</v>
      </c>
      <c r="N233" s="217"/>
      <c r="O233" s="213" t="s">
        <v>1554</v>
      </c>
      <c r="P233" s="47" t="b">
        <v>0</v>
      </c>
      <c r="Q233" s="47" t="b">
        <v>0</v>
      </c>
      <c r="R233" s="214"/>
      <c r="S233" s="77">
        <v>0.0</v>
      </c>
      <c r="T233" s="214"/>
      <c r="U233" s="215"/>
      <c r="V233" s="215"/>
      <c r="W233" s="214"/>
      <c r="X233" s="214"/>
      <c r="Y233" s="77">
        <v>1400000.0</v>
      </c>
      <c r="Z233" s="77"/>
    </row>
    <row r="234">
      <c r="A234" s="145" t="s">
        <v>721</v>
      </c>
      <c r="B234" s="145" t="s">
        <v>721</v>
      </c>
      <c r="C234" s="145" t="s">
        <v>2404</v>
      </c>
      <c r="D234" s="75" t="s">
        <v>1544</v>
      </c>
      <c r="E234" s="75" t="s">
        <v>1544</v>
      </c>
      <c r="F234" s="211" t="s">
        <v>1602</v>
      </c>
      <c r="G234" s="145" t="s">
        <v>722</v>
      </c>
      <c r="H234" s="211" t="s">
        <v>87</v>
      </c>
      <c r="I234" s="145" t="s">
        <v>267</v>
      </c>
      <c r="J234" s="211" t="s">
        <v>1603</v>
      </c>
      <c r="K234" s="75" t="s">
        <v>1601</v>
      </c>
      <c r="L234" s="152" t="b">
        <v>1</v>
      </c>
      <c r="M234" s="152" t="b">
        <v>1</v>
      </c>
      <c r="N234" s="212" t="s">
        <v>2406</v>
      </c>
      <c r="O234" s="213" t="s">
        <v>1554</v>
      </c>
      <c r="P234" s="47" t="b">
        <v>0</v>
      </c>
      <c r="Q234" s="47" t="b">
        <v>0</v>
      </c>
      <c r="R234" s="214"/>
      <c r="S234" s="77">
        <v>0.0</v>
      </c>
      <c r="T234" s="76" t="s">
        <v>1161</v>
      </c>
      <c r="U234" s="215"/>
      <c r="V234" s="215"/>
      <c r="W234" s="214"/>
      <c r="X234" s="214"/>
      <c r="Y234" s="77">
        <v>1.0</v>
      </c>
      <c r="Z234" s="77"/>
    </row>
    <row r="235">
      <c r="A235" s="145" t="s">
        <v>2409</v>
      </c>
      <c r="B235" s="145" t="s">
        <v>2409</v>
      </c>
      <c r="C235" s="145" t="s">
        <v>2404</v>
      </c>
      <c r="D235" s="75" t="s">
        <v>1601</v>
      </c>
      <c r="E235" s="75" t="s">
        <v>1601</v>
      </c>
      <c r="F235" s="211" t="s">
        <v>1591</v>
      </c>
      <c r="G235" s="145" t="s">
        <v>1592</v>
      </c>
      <c r="H235" s="211" t="s">
        <v>87</v>
      </c>
      <c r="I235" s="145" t="s">
        <v>267</v>
      </c>
      <c r="J235" s="211" t="s">
        <v>87</v>
      </c>
      <c r="K235" s="75" t="s">
        <v>1601</v>
      </c>
      <c r="L235" s="152" t="b">
        <v>1</v>
      </c>
      <c r="M235" s="152" t="b">
        <v>1</v>
      </c>
      <c r="N235" s="217"/>
      <c r="O235" s="213" t="s">
        <v>1554</v>
      </c>
      <c r="P235" s="47" t="b">
        <v>0</v>
      </c>
      <c r="Q235" s="47" t="b">
        <v>0</v>
      </c>
      <c r="R235" s="214"/>
      <c r="S235" s="77">
        <v>0.0</v>
      </c>
      <c r="T235" s="214"/>
      <c r="U235" s="215"/>
      <c r="V235" s="215"/>
      <c r="W235" s="218"/>
      <c r="X235" s="218"/>
      <c r="Y235" s="77">
        <v>1.0E7</v>
      </c>
      <c r="Z235" s="77"/>
    </row>
    <row r="236">
      <c r="A236" s="145" t="s">
        <v>2412</v>
      </c>
      <c r="B236" s="145" t="s">
        <v>2412</v>
      </c>
      <c r="C236" s="145" t="s">
        <v>2404</v>
      </c>
      <c r="D236" s="75" t="s">
        <v>1601</v>
      </c>
      <c r="E236" s="75" t="s">
        <v>1601</v>
      </c>
      <c r="F236" s="211" t="s">
        <v>1591</v>
      </c>
      <c r="G236" s="145" t="s">
        <v>1592</v>
      </c>
      <c r="H236" s="211" t="s">
        <v>87</v>
      </c>
      <c r="I236" s="145" t="s">
        <v>267</v>
      </c>
      <c r="J236" s="211" t="s">
        <v>87</v>
      </c>
      <c r="K236" s="75" t="s">
        <v>1601</v>
      </c>
      <c r="L236" s="152" t="b">
        <v>1</v>
      </c>
      <c r="M236" s="152" t="b">
        <v>1</v>
      </c>
      <c r="N236" s="217"/>
      <c r="O236" s="213" t="s">
        <v>1554</v>
      </c>
      <c r="P236" s="47" t="b">
        <v>0</v>
      </c>
      <c r="Q236" s="47" t="b">
        <v>0</v>
      </c>
      <c r="R236" s="214"/>
      <c r="S236" s="77">
        <v>0.0</v>
      </c>
      <c r="T236" s="214"/>
      <c r="U236" s="215"/>
      <c r="V236" s="215"/>
      <c r="W236" s="214"/>
      <c r="X236" s="218"/>
      <c r="Y236" s="77">
        <v>1.0E7</v>
      </c>
      <c r="Z236" s="77"/>
    </row>
    <row r="237">
      <c r="A237" s="145" t="s">
        <v>264</v>
      </c>
      <c r="B237" s="145" t="s">
        <v>264</v>
      </c>
      <c r="C237" s="145" t="s">
        <v>2398</v>
      </c>
      <c r="D237" s="75" t="s">
        <v>1544</v>
      </c>
      <c r="E237" s="75" t="s">
        <v>1601</v>
      </c>
      <c r="F237" s="211" t="s">
        <v>87</v>
      </c>
      <c r="G237" s="145" t="s">
        <v>265</v>
      </c>
      <c r="H237" s="211" t="s">
        <v>87</v>
      </c>
      <c r="I237" s="145" t="s">
        <v>267</v>
      </c>
      <c r="J237" s="211" t="s">
        <v>1603</v>
      </c>
      <c r="K237" s="75" t="s">
        <v>1601</v>
      </c>
      <c r="L237" s="152" t="b">
        <v>1</v>
      </c>
      <c r="M237" s="152" t="b">
        <v>1</v>
      </c>
      <c r="N237" s="212" t="s">
        <v>2415</v>
      </c>
      <c r="O237" s="213" t="s">
        <v>1554</v>
      </c>
      <c r="P237" s="47" t="b">
        <v>0</v>
      </c>
      <c r="Q237" s="47" t="b">
        <v>0</v>
      </c>
      <c r="R237" s="214"/>
      <c r="S237" s="77">
        <v>0.0</v>
      </c>
      <c r="T237" s="214"/>
      <c r="U237" s="215"/>
      <c r="V237" s="215"/>
      <c r="W237" s="214"/>
      <c r="X237" s="214"/>
      <c r="Y237" s="77">
        <v>0.0</v>
      </c>
      <c r="Z237" s="77"/>
    </row>
    <row r="238">
      <c r="A238" s="145" t="s">
        <v>1202</v>
      </c>
      <c r="B238" s="145" t="s">
        <v>1202</v>
      </c>
      <c r="C238" s="145" t="s">
        <v>2404</v>
      </c>
      <c r="D238" s="75" t="s">
        <v>1544</v>
      </c>
      <c r="E238" s="75" t="s">
        <v>1601</v>
      </c>
      <c r="F238" s="211" t="s">
        <v>2416</v>
      </c>
      <c r="G238" s="145" t="s">
        <v>291</v>
      </c>
      <c r="H238" s="211" t="s">
        <v>1018</v>
      </c>
      <c r="I238" s="145" t="s">
        <v>267</v>
      </c>
      <c r="J238" s="211" t="s">
        <v>2417</v>
      </c>
      <c r="K238" s="75" t="s">
        <v>1601</v>
      </c>
      <c r="L238" s="152" t="b">
        <v>1</v>
      </c>
      <c r="M238" s="152" t="b">
        <v>1</v>
      </c>
      <c r="N238" s="212" t="s">
        <v>2418</v>
      </c>
      <c r="O238" s="213" t="s">
        <v>1554</v>
      </c>
      <c r="P238" s="47" t="b">
        <v>0</v>
      </c>
      <c r="Q238" s="47" t="b">
        <v>0</v>
      </c>
      <c r="R238" s="214"/>
      <c r="S238" s="77">
        <v>0.0</v>
      </c>
      <c r="T238" s="214"/>
      <c r="U238" s="215"/>
      <c r="V238" s="215"/>
      <c r="W238" s="214"/>
      <c r="X238" s="214"/>
      <c r="Y238" s="77">
        <v>1440000.0</v>
      </c>
      <c r="Z238" s="77"/>
    </row>
    <row r="239">
      <c r="A239" s="145" t="s">
        <v>1166</v>
      </c>
      <c r="B239" s="145" t="s">
        <v>1166</v>
      </c>
      <c r="C239" s="145" t="s">
        <v>2398</v>
      </c>
      <c r="D239" s="75" t="s">
        <v>1544</v>
      </c>
      <c r="E239" s="75" t="s">
        <v>1601</v>
      </c>
      <c r="F239" s="211" t="s">
        <v>1602</v>
      </c>
      <c r="G239" s="145" t="s">
        <v>2419</v>
      </c>
      <c r="H239" s="211" t="s">
        <v>87</v>
      </c>
      <c r="I239" s="145" t="s">
        <v>267</v>
      </c>
      <c r="J239" s="211" t="s">
        <v>1603</v>
      </c>
      <c r="K239" s="75" t="s">
        <v>1601</v>
      </c>
      <c r="L239" s="152" t="b">
        <v>1</v>
      </c>
      <c r="M239" s="152" t="b">
        <v>1</v>
      </c>
      <c r="N239" s="212" t="s">
        <v>2420</v>
      </c>
      <c r="O239" s="213" t="s">
        <v>1554</v>
      </c>
      <c r="P239" s="47" t="b">
        <v>0</v>
      </c>
      <c r="Q239" s="47" t="b">
        <v>0</v>
      </c>
      <c r="R239" s="214"/>
      <c r="S239" s="77">
        <v>0.0</v>
      </c>
      <c r="T239" s="214"/>
      <c r="U239" s="215"/>
      <c r="V239" s="215"/>
      <c r="W239" s="214"/>
      <c r="X239" s="214"/>
      <c r="Y239" s="77">
        <v>1.0</v>
      </c>
      <c r="Z239" s="77"/>
    </row>
    <row r="240">
      <c r="A240" s="145" t="s">
        <v>280</v>
      </c>
      <c r="B240" s="145" t="s">
        <v>280</v>
      </c>
      <c r="C240" s="145" t="s">
        <v>2398</v>
      </c>
      <c r="D240" s="75" t="s">
        <v>1544</v>
      </c>
      <c r="E240" s="75" t="s">
        <v>1601</v>
      </c>
      <c r="F240" s="211" t="s">
        <v>87</v>
      </c>
      <c r="G240" s="145" t="s">
        <v>281</v>
      </c>
      <c r="H240" s="211" t="s">
        <v>87</v>
      </c>
      <c r="I240" s="145" t="s">
        <v>267</v>
      </c>
      <c r="J240" s="211" t="s">
        <v>1603</v>
      </c>
      <c r="K240" s="75" t="s">
        <v>1601</v>
      </c>
      <c r="L240" s="152" t="b">
        <v>1</v>
      </c>
      <c r="M240" s="152" t="b">
        <v>1</v>
      </c>
      <c r="N240" s="217"/>
      <c r="O240" s="213" t="s">
        <v>1554</v>
      </c>
      <c r="P240" s="47" t="b">
        <v>0</v>
      </c>
      <c r="Q240" s="47" t="b">
        <v>0</v>
      </c>
      <c r="R240" s="214"/>
      <c r="S240" s="77">
        <v>0.0</v>
      </c>
      <c r="T240" s="214"/>
      <c r="U240" s="215"/>
      <c r="V240" s="215"/>
      <c r="W240" s="214"/>
      <c r="X240" s="218"/>
      <c r="Y240" s="77">
        <v>0.0</v>
      </c>
      <c r="Z240" s="77"/>
    </row>
    <row r="241">
      <c r="A241" s="145" t="s">
        <v>1312</v>
      </c>
      <c r="B241" s="145" t="s">
        <v>1312</v>
      </c>
      <c r="C241" s="145" t="s">
        <v>2423</v>
      </c>
      <c r="D241" s="75" t="s">
        <v>1544</v>
      </c>
      <c r="E241" s="75" t="s">
        <v>1601</v>
      </c>
      <c r="F241" s="211" t="s">
        <v>1591</v>
      </c>
      <c r="G241" s="145" t="s">
        <v>1592</v>
      </c>
      <c r="H241" s="211" t="s">
        <v>87</v>
      </c>
      <c r="I241" s="145" t="s">
        <v>267</v>
      </c>
      <c r="J241" s="211" t="s">
        <v>87</v>
      </c>
      <c r="K241" s="75" t="s">
        <v>1544</v>
      </c>
      <c r="L241" s="152" t="b">
        <v>1</v>
      </c>
      <c r="M241" s="152" t="b">
        <v>0</v>
      </c>
      <c r="N241" s="217"/>
      <c r="O241" s="213" t="s">
        <v>1554</v>
      </c>
      <c r="P241" s="47" t="b">
        <v>0</v>
      </c>
      <c r="Q241" s="47" t="b">
        <v>0</v>
      </c>
      <c r="R241" s="214"/>
      <c r="S241" s="77">
        <v>0.0</v>
      </c>
      <c r="T241" s="214"/>
      <c r="U241" s="215"/>
      <c r="V241" s="215"/>
      <c r="W241" s="214"/>
      <c r="X241" s="218"/>
      <c r="Y241" s="77">
        <v>1.0E7</v>
      </c>
      <c r="Z241" s="77"/>
    </row>
    <row r="242">
      <c r="A242" s="145" t="s">
        <v>1485</v>
      </c>
      <c r="B242" s="145" t="s">
        <v>1788</v>
      </c>
      <c r="C242" s="145" t="s">
        <v>1543</v>
      </c>
      <c r="D242" s="75" t="s">
        <v>1544</v>
      </c>
      <c r="E242" s="75" t="s">
        <v>1544</v>
      </c>
      <c r="F242" s="211" t="s">
        <v>1645</v>
      </c>
      <c r="G242" s="145" t="s">
        <v>2426</v>
      </c>
      <c r="H242" s="211" t="s">
        <v>907</v>
      </c>
      <c r="I242" s="145" t="s">
        <v>25</v>
      </c>
      <c r="J242" s="211" t="s">
        <v>1609</v>
      </c>
      <c r="K242" s="75" t="s">
        <v>1601</v>
      </c>
      <c r="L242" s="152" t="b">
        <v>1</v>
      </c>
      <c r="M242" s="152" t="b">
        <v>0</v>
      </c>
      <c r="N242" s="212" t="s">
        <v>2427</v>
      </c>
      <c r="O242" s="213" t="s">
        <v>1554</v>
      </c>
      <c r="P242" s="47" t="b">
        <v>1</v>
      </c>
      <c r="Q242" s="47" t="b">
        <v>0</v>
      </c>
      <c r="R242" s="214"/>
      <c r="S242" s="77">
        <v>0.0</v>
      </c>
      <c r="T242" s="76" t="s">
        <v>1193</v>
      </c>
      <c r="U242" s="78">
        <v>1.9980785E7</v>
      </c>
      <c r="V242" s="215"/>
      <c r="W242" s="77">
        <v>2.0E7</v>
      </c>
      <c r="X242" s="77">
        <v>200000.0</v>
      </c>
      <c r="Y242" s="77">
        <v>80000.0</v>
      </c>
      <c r="Z242" s="77"/>
    </row>
    <row r="243">
      <c r="A243" s="145" t="s">
        <v>411</v>
      </c>
      <c r="B243" s="145" t="s">
        <v>1623</v>
      </c>
      <c r="C243" s="145" t="s">
        <v>1543</v>
      </c>
      <c r="D243" s="75" t="s">
        <v>1544</v>
      </c>
      <c r="E243" s="75" t="s">
        <v>1544</v>
      </c>
      <c r="F243" s="211" t="s">
        <v>1547</v>
      </c>
      <c r="G243" s="145" t="s">
        <v>2429</v>
      </c>
      <c r="H243" s="211" t="s">
        <v>77</v>
      </c>
      <c r="I243" s="145" t="s">
        <v>325</v>
      </c>
      <c r="J243" s="211" t="s">
        <v>1549</v>
      </c>
      <c r="K243" s="75" t="s">
        <v>1544</v>
      </c>
      <c r="L243" s="152" t="b">
        <v>1</v>
      </c>
      <c r="M243" s="152" t="b">
        <v>0</v>
      </c>
      <c r="N243" s="212" t="s">
        <v>2431</v>
      </c>
      <c r="O243" s="213" t="s">
        <v>1554</v>
      </c>
      <c r="P243" s="47" t="b">
        <v>1</v>
      </c>
      <c r="Q243" s="47" t="b">
        <v>0</v>
      </c>
      <c r="R243" s="214"/>
      <c r="S243" s="77">
        <v>0.0</v>
      </c>
      <c r="T243" s="76" t="s">
        <v>1176</v>
      </c>
      <c r="U243" s="78">
        <v>1.2757446E7</v>
      </c>
      <c r="V243" s="215"/>
      <c r="W243" s="77">
        <v>1.2E7</v>
      </c>
      <c r="X243" s="77">
        <v>120000.0</v>
      </c>
      <c r="Y243" s="77">
        <v>40000.0</v>
      </c>
      <c r="Z243" s="77"/>
    </row>
    <row r="244">
      <c r="A244" s="145" t="s">
        <v>464</v>
      </c>
      <c r="B244" s="145" t="s">
        <v>1595</v>
      </c>
      <c r="C244" s="145" t="s">
        <v>1543</v>
      </c>
      <c r="D244" s="75" t="s">
        <v>1544</v>
      </c>
      <c r="E244" s="75" t="s">
        <v>1544</v>
      </c>
      <c r="F244" s="211" t="s">
        <v>2433</v>
      </c>
      <c r="G244" s="145" t="s">
        <v>785</v>
      </c>
      <c r="H244" s="211" t="s">
        <v>1018</v>
      </c>
      <c r="I244" s="145" t="s">
        <v>113</v>
      </c>
      <c r="J244" s="211" t="s">
        <v>2434</v>
      </c>
      <c r="K244" s="75" t="s">
        <v>1544</v>
      </c>
      <c r="L244" s="152" t="b">
        <v>1</v>
      </c>
      <c r="M244" s="152" t="b">
        <v>0</v>
      </c>
      <c r="N244" s="212" t="s">
        <v>2435</v>
      </c>
      <c r="O244" s="213" t="s">
        <v>1554</v>
      </c>
      <c r="P244" s="47" t="b">
        <v>1</v>
      </c>
      <c r="Q244" s="47" t="b">
        <v>0</v>
      </c>
      <c r="R244" s="214"/>
      <c r="S244" s="77">
        <v>0.0</v>
      </c>
      <c r="T244" s="76" t="s">
        <v>1156</v>
      </c>
      <c r="U244" s="78">
        <v>1.8232716E7</v>
      </c>
      <c r="V244" s="215"/>
      <c r="W244" s="77">
        <v>1.8E7</v>
      </c>
      <c r="X244" s="77">
        <v>144000.0</v>
      </c>
      <c r="Y244" s="77">
        <v>5400000.0</v>
      </c>
      <c r="Z244" s="77"/>
    </row>
    <row r="245">
      <c r="A245" s="145" t="s">
        <v>400</v>
      </c>
      <c r="B245" s="145" t="s">
        <v>1605</v>
      </c>
      <c r="C245" s="145" t="s">
        <v>1543</v>
      </c>
      <c r="D245" s="75" t="s">
        <v>1544</v>
      </c>
      <c r="E245" s="75" t="s">
        <v>1544</v>
      </c>
      <c r="F245" s="211" t="s">
        <v>1765</v>
      </c>
      <c r="G245" s="145" t="s">
        <v>876</v>
      </c>
      <c r="H245" s="211" t="s">
        <v>77</v>
      </c>
      <c r="I245" s="145" t="s">
        <v>329</v>
      </c>
      <c r="J245" s="211" t="s">
        <v>1639</v>
      </c>
      <c r="K245" s="75" t="s">
        <v>1544</v>
      </c>
      <c r="L245" s="152" t="b">
        <v>1</v>
      </c>
      <c r="M245" s="152" t="b">
        <v>0</v>
      </c>
      <c r="N245" s="212" t="s">
        <v>2439</v>
      </c>
      <c r="O245" s="213" t="s">
        <v>1554</v>
      </c>
      <c r="P245" s="47" t="b">
        <v>1</v>
      </c>
      <c r="Q245" s="47" t="b">
        <v>0</v>
      </c>
      <c r="R245" s="214"/>
      <c r="S245" s="77">
        <v>0.0</v>
      </c>
      <c r="T245" s="76" t="s">
        <v>1156</v>
      </c>
      <c r="U245" s="78">
        <v>5612265.0</v>
      </c>
      <c r="V245" s="215"/>
      <c r="W245" s="77">
        <v>6000000.0</v>
      </c>
      <c r="X245" s="216">
        <v>60000.0</v>
      </c>
      <c r="Y245" s="77">
        <v>1800000.0</v>
      </c>
      <c r="Z245" s="77"/>
    </row>
    <row r="246">
      <c r="A246" s="145" t="s">
        <v>312</v>
      </c>
      <c r="B246" s="145" t="s">
        <v>312</v>
      </c>
      <c r="C246" s="145" t="s">
        <v>1266</v>
      </c>
      <c r="D246" s="75" t="s">
        <v>1544</v>
      </c>
      <c r="E246" s="75" t="s">
        <v>1601</v>
      </c>
      <c r="F246" s="211" t="s">
        <v>1547</v>
      </c>
      <c r="G246" s="145" t="s">
        <v>313</v>
      </c>
      <c r="H246" s="211" t="s">
        <v>77</v>
      </c>
      <c r="I246" s="145" t="s">
        <v>218</v>
      </c>
      <c r="J246" s="211" t="s">
        <v>1549</v>
      </c>
      <c r="K246" s="75" t="s">
        <v>1544</v>
      </c>
      <c r="L246" s="152" t="b">
        <v>0</v>
      </c>
      <c r="M246" s="152" t="b">
        <v>0</v>
      </c>
      <c r="N246" s="217"/>
      <c r="O246" s="213" t="s">
        <v>1554</v>
      </c>
      <c r="P246" s="47" t="b">
        <v>0</v>
      </c>
      <c r="Q246" s="47" t="b">
        <v>0</v>
      </c>
      <c r="R246" s="214"/>
      <c r="S246" s="77">
        <v>0.0</v>
      </c>
      <c r="T246" s="214"/>
      <c r="U246" s="215"/>
      <c r="V246" s="215"/>
      <c r="W246" s="214"/>
      <c r="X246" s="218"/>
      <c r="Y246" s="77">
        <v>40000.0</v>
      </c>
      <c r="Z246" s="77"/>
    </row>
    <row r="247">
      <c r="A247" s="145" t="s">
        <v>478</v>
      </c>
      <c r="B247" s="145" t="s">
        <v>1595</v>
      </c>
      <c r="C247" s="145" t="s">
        <v>1543</v>
      </c>
      <c r="D247" s="75" t="s">
        <v>1544</v>
      </c>
      <c r="E247" s="75" t="s">
        <v>1544</v>
      </c>
      <c r="F247" s="211" t="s">
        <v>1666</v>
      </c>
      <c r="G247" s="145" t="s">
        <v>753</v>
      </c>
      <c r="H247" s="211" t="s">
        <v>1018</v>
      </c>
      <c r="I247" s="145" t="s">
        <v>113</v>
      </c>
      <c r="J247" s="211" t="s">
        <v>1667</v>
      </c>
      <c r="K247" s="75" t="s">
        <v>1544</v>
      </c>
      <c r="L247" s="152" t="b">
        <v>1</v>
      </c>
      <c r="M247" s="152" t="b">
        <v>0</v>
      </c>
      <c r="N247" s="212" t="s">
        <v>2443</v>
      </c>
      <c r="O247" s="213" t="s">
        <v>1554</v>
      </c>
      <c r="P247" s="47" t="b">
        <v>1</v>
      </c>
      <c r="Q247" s="47" t="b">
        <v>0</v>
      </c>
      <c r="R247" s="214"/>
      <c r="S247" s="77">
        <v>0.0</v>
      </c>
      <c r="T247" s="76" t="s">
        <v>1196</v>
      </c>
      <c r="U247" s="78">
        <v>1.1773517E7</v>
      </c>
      <c r="V247" s="215"/>
      <c r="W247" s="77">
        <v>1.2E7</v>
      </c>
      <c r="X247" s="77">
        <v>96000.0</v>
      </c>
      <c r="Y247" s="77">
        <v>3600000.0</v>
      </c>
      <c r="Z247" s="77"/>
    </row>
    <row r="248">
      <c r="A248" s="145" t="s">
        <v>808</v>
      </c>
      <c r="B248" s="145" t="s">
        <v>1585</v>
      </c>
      <c r="C248" s="145" t="s">
        <v>1543</v>
      </c>
      <c r="D248" s="75" t="s">
        <v>1544</v>
      </c>
      <c r="E248" s="75" t="s">
        <v>1544</v>
      </c>
      <c r="F248" s="211" t="s">
        <v>1586</v>
      </c>
      <c r="G248" s="145" t="s">
        <v>809</v>
      </c>
      <c r="H248" s="211" t="s">
        <v>77</v>
      </c>
      <c r="I248" s="145" t="s">
        <v>140</v>
      </c>
      <c r="J248" s="211" t="s">
        <v>1549</v>
      </c>
      <c r="K248" s="75" t="s">
        <v>1544</v>
      </c>
      <c r="L248" s="152" t="b">
        <v>1</v>
      </c>
      <c r="M248" s="152" t="b">
        <v>0</v>
      </c>
      <c r="N248" s="212" t="s">
        <v>2445</v>
      </c>
      <c r="O248" s="213" t="s">
        <v>1554</v>
      </c>
      <c r="P248" s="47" t="b">
        <v>1</v>
      </c>
      <c r="Q248" s="47" t="b">
        <v>0</v>
      </c>
      <c r="R248" s="214"/>
      <c r="S248" s="77">
        <v>0.0</v>
      </c>
      <c r="T248" s="76" t="s">
        <v>1156</v>
      </c>
      <c r="U248" s="78">
        <v>4424678.0</v>
      </c>
      <c r="V248" s="215"/>
      <c r="W248" s="77">
        <v>4000000.0</v>
      </c>
      <c r="X248" s="77">
        <v>40000.0</v>
      </c>
      <c r="Y248" s="77">
        <v>1200000.0</v>
      </c>
      <c r="Z248" s="77"/>
    </row>
    <row r="249">
      <c r="A249" s="145" t="s">
        <v>661</v>
      </c>
      <c r="B249" s="145" t="s">
        <v>1689</v>
      </c>
      <c r="C249" s="145" t="s">
        <v>1543</v>
      </c>
      <c r="D249" s="75" t="s">
        <v>1544</v>
      </c>
      <c r="E249" s="75" t="s">
        <v>1544</v>
      </c>
      <c r="F249" s="211" t="s">
        <v>1690</v>
      </c>
      <c r="G249" s="145" t="s">
        <v>1469</v>
      </c>
      <c r="H249" s="211" t="s">
        <v>586</v>
      </c>
      <c r="I249" s="145" t="s">
        <v>162</v>
      </c>
      <c r="J249" s="211" t="s">
        <v>1597</v>
      </c>
      <c r="K249" s="75" t="s">
        <v>1544</v>
      </c>
      <c r="L249" s="152" t="b">
        <v>1</v>
      </c>
      <c r="M249" s="152" t="b">
        <v>0</v>
      </c>
      <c r="N249" s="212" t="s">
        <v>2448</v>
      </c>
      <c r="O249" s="213" t="s">
        <v>1554</v>
      </c>
      <c r="P249" s="47" t="b">
        <v>1</v>
      </c>
      <c r="Q249" s="47" t="b">
        <v>0</v>
      </c>
      <c r="R249" s="214"/>
      <c r="S249" s="77">
        <v>0.0</v>
      </c>
      <c r="T249" s="76" t="s">
        <v>1179</v>
      </c>
      <c r="U249" s="78">
        <v>2.4394884E7</v>
      </c>
      <c r="V249" s="215"/>
      <c r="W249" s="77">
        <v>2.4E7</v>
      </c>
      <c r="X249" s="77">
        <v>168000.0</v>
      </c>
      <c r="Y249" s="77">
        <v>100000.0</v>
      </c>
      <c r="Z249" s="77"/>
    </row>
    <row r="250">
      <c r="A250" s="145" t="s">
        <v>1606</v>
      </c>
      <c r="B250" s="145" t="s">
        <v>1606</v>
      </c>
      <c r="C250" s="145" t="s">
        <v>1266</v>
      </c>
      <c r="D250" s="75" t="s">
        <v>1601</v>
      </c>
      <c r="E250" s="75" t="s">
        <v>1601</v>
      </c>
      <c r="F250" s="211" t="s">
        <v>2451</v>
      </c>
      <c r="G250" s="145" t="s">
        <v>1608</v>
      </c>
      <c r="H250" s="211" t="s">
        <v>1018</v>
      </c>
      <c r="I250" s="230"/>
      <c r="J250" s="211" t="s">
        <v>1577</v>
      </c>
      <c r="K250" s="75" t="s">
        <v>1544</v>
      </c>
      <c r="L250" s="152" t="b">
        <v>0</v>
      </c>
      <c r="M250" s="152" t="b">
        <v>0</v>
      </c>
      <c r="N250" s="217"/>
      <c r="O250" s="213" t="s">
        <v>1554</v>
      </c>
      <c r="P250" s="47" t="b">
        <v>0</v>
      </c>
      <c r="Q250" s="47" t="b">
        <v>0</v>
      </c>
      <c r="R250" s="214"/>
      <c r="S250" s="77">
        <v>0.0</v>
      </c>
      <c r="T250" s="214"/>
      <c r="U250" s="215"/>
      <c r="V250" s="215"/>
      <c r="W250" s="214"/>
      <c r="X250" s="214"/>
      <c r="Y250" s="77">
        <v>1088.0</v>
      </c>
      <c r="Z250" s="77"/>
    </row>
    <row r="251">
      <c r="A251" s="145" t="s">
        <v>724</v>
      </c>
      <c r="B251" s="145" t="s">
        <v>724</v>
      </c>
      <c r="C251" s="145" t="s">
        <v>2091</v>
      </c>
      <c r="D251" s="75" t="s">
        <v>1544</v>
      </c>
      <c r="E251" s="75" t="s">
        <v>1544</v>
      </c>
      <c r="F251" s="211" t="s">
        <v>1602</v>
      </c>
      <c r="G251" s="145" t="s">
        <v>725</v>
      </c>
      <c r="H251" s="211" t="s">
        <v>87</v>
      </c>
      <c r="I251" s="145" t="s">
        <v>267</v>
      </c>
      <c r="J251" s="211" t="s">
        <v>1603</v>
      </c>
      <c r="K251" s="75" t="s">
        <v>1601</v>
      </c>
      <c r="L251" s="152" t="b">
        <v>1</v>
      </c>
      <c r="M251" s="152" t="b">
        <v>1</v>
      </c>
      <c r="N251" s="217"/>
      <c r="O251" s="213" t="s">
        <v>1554</v>
      </c>
      <c r="P251" s="47" t="b">
        <v>0</v>
      </c>
      <c r="Q251" s="47" t="b">
        <v>0</v>
      </c>
      <c r="R251" s="214"/>
      <c r="S251" s="77">
        <v>0.0</v>
      </c>
      <c r="T251" s="76" t="s">
        <v>1161</v>
      </c>
      <c r="U251" s="215"/>
      <c r="V251" s="215"/>
      <c r="W251" s="214"/>
      <c r="X251" s="214"/>
      <c r="Y251" s="77">
        <v>1.0</v>
      </c>
      <c r="Z251" s="77"/>
    </row>
    <row r="252">
      <c r="A252" s="145" t="s">
        <v>532</v>
      </c>
      <c r="B252" s="145" t="s">
        <v>532</v>
      </c>
      <c r="C252" s="145" t="s">
        <v>2457</v>
      </c>
      <c r="D252" s="75" t="s">
        <v>1544</v>
      </c>
      <c r="E252" s="75" t="s">
        <v>1544</v>
      </c>
      <c r="F252" s="211" t="s">
        <v>2345</v>
      </c>
      <c r="G252" s="145" t="s">
        <v>2458</v>
      </c>
      <c r="H252" s="211" t="s">
        <v>1018</v>
      </c>
      <c r="I252" s="145" t="s">
        <v>75</v>
      </c>
      <c r="J252" s="211" t="s">
        <v>2347</v>
      </c>
      <c r="K252" s="75" t="s">
        <v>1544</v>
      </c>
      <c r="L252" s="152" t="b">
        <v>1</v>
      </c>
      <c r="M252" s="152" t="b">
        <v>1</v>
      </c>
      <c r="N252" s="212" t="s">
        <v>2459</v>
      </c>
      <c r="O252" s="213" t="s">
        <v>1554</v>
      </c>
      <c r="P252" s="47" t="b">
        <v>1</v>
      </c>
      <c r="Q252" s="47" t="b">
        <v>0</v>
      </c>
      <c r="R252" s="214"/>
      <c r="S252" s="77">
        <v>0.0</v>
      </c>
      <c r="T252" s="76" t="s">
        <v>1162</v>
      </c>
      <c r="U252" s="78">
        <v>5.1E7</v>
      </c>
      <c r="V252" s="78">
        <v>0.0</v>
      </c>
      <c r="W252" s="77">
        <v>5.2E7</v>
      </c>
      <c r="X252" s="77">
        <v>416000.0</v>
      </c>
      <c r="Y252" s="77">
        <v>192000.0</v>
      </c>
      <c r="Z252" s="77"/>
    </row>
    <row r="253">
      <c r="A253" s="145" t="s">
        <v>643</v>
      </c>
      <c r="B253" s="145" t="s">
        <v>643</v>
      </c>
      <c r="C253" s="145" t="s">
        <v>2461</v>
      </c>
      <c r="D253" s="75" t="s">
        <v>1544</v>
      </c>
      <c r="E253" s="75" t="s">
        <v>1544</v>
      </c>
      <c r="F253" s="211" t="s">
        <v>1602</v>
      </c>
      <c r="G253" s="145" t="s">
        <v>644</v>
      </c>
      <c r="H253" s="211" t="s">
        <v>87</v>
      </c>
      <c r="I253" s="145" t="s">
        <v>267</v>
      </c>
      <c r="J253" s="211" t="s">
        <v>1603</v>
      </c>
      <c r="K253" s="75" t="s">
        <v>1601</v>
      </c>
      <c r="L253" s="152" t="b">
        <v>1</v>
      </c>
      <c r="M253" s="152" t="b">
        <v>1</v>
      </c>
      <c r="N253" s="217"/>
      <c r="O253" s="213" t="s">
        <v>1554</v>
      </c>
      <c r="P253" s="47" t="b">
        <v>0</v>
      </c>
      <c r="Q253" s="47" t="b">
        <v>0</v>
      </c>
      <c r="R253" s="214"/>
      <c r="S253" s="77">
        <v>0.0</v>
      </c>
      <c r="T253" s="76" t="s">
        <v>1161</v>
      </c>
      <c r="U253" s="215"/>
      <c r="V253" s="215"/>
      <c r="W253" s="214"/>
      <c r="X253" s="214"/>
      <c r="Y253" s="77">
        <v>1.0</v>
      </c>
      <c r="Z253" s="77"/>
    </row>
    <row r="254">
      <c r="A254" s="145" t="s">
        <v>1375</v>
      </c>
      <c r="B254" s="145" t="s">
        <v>1375</v>
      </c>
      <c r="C254" s="145" t="s">
        <v>1266</v>
      </c>
      <c r="D254" s="75" t="s">
        <v>1601</v>
      </c>
      <c r="E254" s="75" t="s">
        <v>1601</v>
      </c>
      <c r="F254" s="211" t="s">
        <v>1973</v>
      </c>
      <c r="G254" s="145" t="s">
        <v>1376</v>
      </c>
      <c r="H254" s="211" t="s">
        <v>77</v>
      </c>
      <c r="I254" s="145" t="s">
        <v>249</v>
      </c>
      <c r="J254" s="211" t="s">
        <v>1639</v>
      </c>
      <c r="K254" s="75" t="s">
        <v>1544</v>
      </c>
      <c r="L254" s="152" t="b">
        <v>0</v>
      </c>
      <c r="M254" s="152" t="b">
        <v>0</v>
      </c>
      <c r="N254" s="217"/>
      <c r="O254" s="213" t="s">
        <v>1554</v>
      </c>
      <c r="P254" s="47" t="b">
        <v>0</v>
      </c>
      <c r="Q254" s="47" t="b">
        <v>0</v>
      </c>
      <c r="R254" s="214"/>
      <c r="S254" s="77">
        <v>0.0</v>
      </c>
      <c r="T254" s="214"/>
      <c r="U254" s="215"/>
      <c r="V254" s="215"/>
      <c r="W254" s="214"/>
      <c r="X254" s="218"/>
      <c r="Y254" s="77">
        <v>42000.0</v>
      </c>
      <c r="Z254" s="77"/>
    </row>
    <row r="255">
      <c r="A255" s="145" t="s">
        <v>688</v>
      </c>
      <c r="B255" s="145" t="s">
        <v>2465</v>
      </c>
      <c r="C255" s="145" t="s">
        <v>1543</v>
      </c>
      <c r="D255" s="75" t="s">
        <v>1544</v>
      </c>
      <c r="E255" s="75" t="s">
        <v>1544</v>
      </c>
      <c r="F255" s="211" t="s">
        <v>1690</v>
      </c>
      <c r="G255" s="145" t="s">
        <v>2467</v>
      </c>
      <c r="H255" s="211" t="s">
        <v>586</v>
      </c>
      <c r="I255" s="145" t="s">
        <v>674</v>
      </c>
      <c r="J255" s="211" t="s">
        <v>1597</v>
      </c>
      <c r="K255" s="75" t="s">
        <v>1544</v>
      </c>
      <c r="L255" s="152" t="b">
        <v>1</v>
      </c>
      <c r="M255" s="152" t="b">
        <v>0</v>
      </c>
      <c r="N255" s="212" t="s">
        <v>2468</v>
      </c>
      <c r="O255" s="213" t="s">
        <v>1554</v>
      </c>
      <c r="P255" s="47" t="b">
        <v>1</v>
      </c>
      <c r="Q255" s="47" t="b">
        <v>0</v>
      </c>
      <c r="R255" s="214"/>
      <c r="S255" s="77">
        <v>0.0</v>
      </c>
      <c r="T255" s="76" t="s">
        <v>1179</v>
      </c>
      <c r="U255" s="78">
        <v>2.5890219E7</v>
      </c>
      <c r="V255" s="215"/>
      <c r="W255" s="77">
        <v>2.6E7</v>
      </c>
      <c r="X255" s="216">
        <v>182000.0</v>
      </c>
      <c r="Y255" s="77">
        <v>100000.0</v>
      </c>
      <c r="Z255" s="77"/>
    </row>
    <row r="256">
      <c r="A256" s="145" t="s">
        <v>465</v>
      </c>
      <c r="B256" s="145" t="s">
        <v>1751</v>
      </c>
      <c r="C256" s="145" t="s">
        <v>1543</v>
      </c>
      <c r="D256" s="75" t="s">
        <v>1544</v>
      </c>
      <c r="E256" s="75" t="s">
        <v>1544</v>
      </c>
      <c r="F256" s="211" t="s">
        <v>1851</v>
      </c>
      <c r="G256" s="145" t="s">
        <v>1458</v>
      </c>
      <c r="H256" s="211" t="s">
        <v>1018</v>
      </c>
      <c r="I256" s="145" t="s">
        <v>83</v>
      </c>
      <c r="J256" s="211" t="s">
        <v>1639</v>
      </c>
      <c r="K256" s="75" t="s">
        <v>1544</v>
      </c>
      <c r="L256" s="152" t="b">
        <v>1</v>
      </c>
      <c r="M256" s="152" t="b">
        <v>0</v>
      </c>
      <c r="N256" s="212" t="s">
        <v>2471</v>
      </c>
      <c r="O256" s="213" t="s">
        <v>1554</v>
      </c>
      <c r="P256" s="47" t="b">
        <v>1</v>
      </c>
      <c r="Q256" s="47" t="b">
        <v>0</v>
      </c>
      <c r="R256" s="214"/>
      <c r="S256" s="77">
        <v>0.0</v>
      </c>
      <c r="T256" s="76" t="s">
        <v>1179</v>
      </c>
      <c r="U256" s="78">
        <v>1.4514938E7</v>
      </c>
      <c r="V256" s="215"/>
      <c r="W256" s="77">
        <v>1.4E7</v>
      </c>
      <c r="X256" s="77">
        <v>112000.0</v>
      </c>
      <c r="Y256" s="77">
        <v>48000.0</v>
      </c>
      <c r="Z256" s="77"/>
    </row>
    <row r="257">
      <c r="A257" s="145" t="s">
        <v>350</v>
      </c>
      <c r="B257" s="145" t="s">
        <v>1707</v>
      </c>
      <c r="C257" s="145" t="s">
        <v>1543</v>
      </c>
      <c r="D257" s="75" t="s">
        <v>1544</v>
      </c>
      <c r="E257" s="75" t="s">
        <v>1544</v>
      </c>
      <c r="F257" s="211" t="s">
        <v>1547</v>
      </c>
      <c r="G257" s="145" t="s">
        <v>1926</v>
      </c>
      <c r="H257" s="211" t="s">
        <v>77</v>
      </c>
      <c r="I257" s="145" t="s">
        <v>327</v>
      </c>
      <c r="J257" s="211" t="s">
        <v>1549</v>
      </c>
      <c r="K257" s="75" t="s">
        <v>1544</v>
      </c>
      <c r="L257" s="152" t="b">
        <v>1</v>
      </c>
      <c r="M257" s="152" t="b">
        <v>0</v>
      </c>
      <c r="N257" s="212" t="s">
        <v>2477</v>
      </c>
      <c r="O257" s="213" t="s">
        <v>1554</v>
      </c>
      <c r="P257" s="47" t="b">
        <v>1</v>
      </c>
      <c r="Q257" s="47" t="b">
        <v>0</v>
      </c>
      <c r="R257" s="214"/>
      <c r="S257" s="77">
        <v>0.0</v>
      </c>
      <c r="T257" s="76" t="s">
        <v>1179</v>
      </c>
      <c r="U257" s="78">
        <v>8639414.0</v>
      </c>
      <c r="V257" s="215"/>
      <c r="W257" s="216">
        <v>8000000.0</v>
      </c>
      <c r="X257" s="77">
        <v>80000.0</v>
      </c>
      <c r="Y257" s="77">
        <v>40000.0</v>
      </c>
      <c r="Z257" s="77"/>
    </row>
    <row r="258">
      <c r="A258" s="145" t="s">
        <v>700</v>
      </c>
      <c r="B258" s="145" t="s">
        <v>2206</v>
      </c>
      <c r="C258" s="145" t="s">
        <v>1543</v>
      </c>
      <c r="D258" s="75" t="s">
        <v>1544</v>
      </c>
      <c r="E258" s="75" t="s">
        <v>1544</v>
      </c>
      <c r="F258" s="211" t="s">
        <v>1690</v>
      </c>
      <c r="G258" s="145" t="s">
        <v>1683</v>
      </c>
      <c r="H258" s="211" t="s">
        <v>586</v>
      </c>
      <c r="I258" s="145" t="s">
        <v>674</v>
      </c>
      <c r="J258" s="211" t="s">
        <v>1597</v>
      </c>
      <c r="K258" s="75" t="s">
        <v>1544</v>
      </c>
      <c r="L258" s="152" t="b">
        <v>1</v>
      </c>
      <c r="M258" s="152" t="b">
        <v>0</v>
      </c>
      <c r="N258" s="212" t="s">
        <v>2481</v>
      </c>
      <c r="O258" s="213" t="s">
        <v>1554</v>
      </c>
      <c r="P258" s="47" t="b">
        <v>1</v>
      </c>
      <c r="Q258" s="47" t="b">
        <v>0</v>
      </c>
      <c r="R258" s="214"/>
      <c r="S258" s="77">
        <v>0.0</v>
      </c>
      <c r="T258" s="76" t="s">
        <v>1179</v>
      </c>
      <c r="U258" s="78">
        <v>2.5065292E7</v>
      </c>
      <c r="V258" s="215"/>
      <c r="W258" s="216">
        <v>2.6E7</v>
      </c>
      <c r="X258" s="77">
        <v>182000.0</v>
      </c>
      <c r="Y258" s="77">
        <v>100000.0</v>
      </c>
      <c r="Z258" s="77"/>
    </row>
    <row r="259">
      <c r="A259" s="145" t="s">
        <v>1349</v>
      </c>
      <c r="B259" s="145" t="s">
        <v>1788</v>
      </c>
      <c r="C259" s="145" t="s">
        <v>1543</v>
      </c>
      <c r="D259" s="75" t="s">
        <v>1544</v>
      </c>
      <c r="E259" s="75" t="s">
        <v>1544</v>
      </c>
      <c r="F259" s="211" t="s">
        <v>1547</v>
      </c>
      <c r="G259" s="145" t="s">
        <v>2482</v>
      </c>
      <c r="H259" s="211" t="s">
        <v>907</v>
      </c>
      <c r="I259" s="145" t="s">
        <v>25</v>
      </c>
      <c r="J259" s="211" t="s">
        <v>1549</v>
      </c>
      <c r="K259" s="75" t="s">
        <v>1544</v>
      </c>
      <c r="L259" s="152" t="b">
        <v>1</v>
      </c>
      <c r="M259" s="152" t="b">
        <v>0</v>
      </c>
      <c r="N259" s="212" t="s">
        <v>2483</v>
      </c>
      <c r="O259" s="213" t="s">
        <v>1554</v>
      </c>
      <c r="P259" s="47" t="b">
        <v>1</v>
      </c>
      <c r="Q259" s="47" t="b">
        <v>0</v>
      </c>
      <c r="R259" s="214"/>
      <c r="S259" s="77">
        <v>0.0</v>
      </c>
      <c r="T259" s="76" t="s">
        <v>1179</v>
      </c>
      <c r="U259" s="78">
        <v>1.2269692E7</v>
      </c>
      <c r="V259" s="215"/>
      <c r="W259" s="77">
        <v>1.2E7</v>
      </c>
      <c r="X259" s="77">
        <v>120000.0</v>
      </c>
      <c r="Y259" s="77">
        <v>40000.0</v>
      </c>
      <c r="Z259" s="77"/>
    </row>
    <row r="260">
      <c r="A260" s="145" t="s">
        <v>1352</v>
      </c>
      <c r="B260" s="145" t="s">
        <v>2300</v>
      </c>
      <c r="C260" s="145" t="s">
        <v>2288</v>
      </c>
      <c r="D260" s="75" t="s">
        <v>1544</v>
      </c>
      <c r="E260" s="75" t="s">
        <v>1544</v>
      </c>
      <c r="F260" s="211" t="s">
        <v>1547</v>
      </c>
      <c r="G260" s="145" t="s">
        <v>2485</v>
      </c>
      <c r="H260" s="211" t="s">
        <v>77</v>
      </c>
      <c r="I260" s="145" t="s">
        <v>174</v>
      </c>
      <c r="J260" s="211" t="s">
        <v>1549</v>
      </c>
      <c r="K260" s="75" t="s">
        <v>1544</v>
      </c>
      <c r="L260" s="152" t="b">
        <v>1</v>
      </c>
      <c r="M260" s="152" t="b">
        <v>0</v>
      </c>
      <c r="N260" s="217"/>
      <c r="O260" s="213" t="s">
        <v>1554</v>
      </c>
      <c r="P260" s="47" t="b">
        <v>1</v>
      </c>
      <c r="Q260" s="47" t="b">
        <v>0</v>
      </c>
      <c r="R260" s="214"/>
      <c r="S260" s="77">
        <v>0.0</v>
      </c>
      <c r="T260" s="76" t="s">
        <v>1179</v>
      </c>
      <c r="U260" s="78">
        <v>1.1398398E7</v>
      </c>
      <c r="V260" s="215"/>
      <c r="W260" s="77">
        <v>1.2E7</v>
      </c>
      <c r="X260" s="77">
        <v>120000.0</v>
      </c>
      <c r="Y260" s="77">
        <v>40000.0</v>
      </c>
      <c r="Z260" s="77"/>
    </row>
    <row r="261">
      <c r="A261" s="145" t="s">
        <v>318</v>
      </c>
      <c r="B261" s="145" t="s">
        <v>318</v>
      </c>
      <c r="C261" s="145" t="s">
        <v>2296</v>
      </c>
      <c r="D261" s="75" t="s">
        <v>1544</v>
      </c>
      <c r="E261" s="75" t="s">
        <v>1601</v>
      </c>
      <c r="F261" s="211" t="s">
        <v>1645</v>
      </c>
      <c r="G261" s="145" t="s">
        <v>319</v>
      </c>
      <c r="H261" s="211" t="s">
        <v>87</v>
      </c>
      <c r="I261" s="145" t="s">
        <v>2487</v>
      </c>
      <c r="J261" s="211" t="s">
        <v>1609</v>
      </c>
      <c r="K261" s="75" t="s">
        <v>1544</v>
      </c>
      <c r="L261" s="152" t="b">
        <v>0</v>
      </c>
      <c r="M261" s="152" t="b">
        <v>0</v>
      </c>
      <c r="N261" s="217"/>
      <c r="O261" s="213" t="s">
        <v>1554</v>
      </c>
      <c r="P261" s="47" t="b">
        <v>0</v>
      </c>
      <c r="Q261" s="47" t="b">
        <v>0</v>
      </c>
      <c r="R261" s="214"/>
      <c r="S261" s="77">
        <v>0.0</v>
      </c>
      <c r="T261" s="214"/>
      <c r="U261" s="215"/>
      <c r="V261" s="215"/>
      <c r="W261" s="214"/>
      <c r="X261" s="214"/>
      <c r="Y261" s="77">
        <v>80000.0</v>
      </c>
      <c r="Z261" s="77"/>
    </row>
    <row r="262">
      <c r="A262" s="145" t="s">
        <v>562</v>
      </c>
      <c r="B262" s="145" t="s">
        <v>562</v>
      </c>
      <c r="C262" s="145" t="s">
        <v>317</v>
      </c>
      <c r="D262" s="75" t="s">
        <v>1544</v>
      </c>
      <c r="E262" s="75" t="s">
        <v>1544</v>
      </c>
      <c r="F262" s="211" t="s">
        <v>1547</v>
      </c>
      <c r="G262" s="145" t="s">
        <v>2489</v>
      </c>
      <c r="H262" s="211" t="s">
        <v>77</v>
      </c>
      <c r="I262" s="145" t="s">
        <v>329</v>
      </c>
      <c r="J262" s="211" t="s">
        <v>1549</v>
      </c>
      <c r="K262" s="75" t="s">
        <v>1544</v>
      </c>
      <c r="L262" s="152" t="b">
        <v>1</v>
      </c>
      <c r="M262" s="152" t="b">
        <v>0</v>
      </c>
      <c r="N262" s="212" t="s">
        <v>2490</v>
      </c>
      <c r="O262" s="213" t="s">
        <v>1554</v>
      </c>
      <c r="P262" s="47" t="b">
        <v>1</v>
      </c>
      <c r="Q262" s="47" t="b">
        <v>0</v>
      </c>
      <c r="R262" s="214"/>
      <c r="S262" s="77">
        <v>0.0</v>
      </c>
      <c r="T262" s="76" t="s">
        <v>1162</v>
      </c>
      <c r="U262" s="78">
        <v>7423098.0</v>
      </c>
      <c r="V262" s="78">
        <v>0.0</v>
      </c>
      <c r="W262" s="77">
        <v>8000000.0</v>
      </c>
      <c r="X262" s="77">
        <v>80000.0</v>
      </c>
      <c r="Y262" s="77">
        <v>40000.0</v>
      </c>
      <c r="Z262" s="77"/>
    </row>
    <row r="263">
      <c r="A263" s="145" t="s">
        <v>1307</v>
      </c>
      <c r="B263" s="145" t="s">
        <v>1307</v>
      </c>
      <c r="C263" s="145" t="s">
        <v>2491</v>
      </c>
      <c r="D263" s="75" t="s">
        <v>1544</v>
      </c>
      <c r="E263" s="75" t="s">
        <v>1544</v>
      </c>
      <c r="F263" s="211" t="s">
        <v>2493</v>
      </c>
      <c r="G263" s="145" t="s">
        <v>2494</v>
      </c>
      <c r="H263" s="211" t="s">
        <v>1018</v>
      </c>
      <c r="I263" s="145" t="s">
        <v>75</v>
      </c>
      <c r="J263" s="211" t="s">
        <v>2495</v>
      </c>
      <c r="K263" s="75" t="s">
        <v>1544</v>
      </c>
      <c r="L263" s="152" t="b">
        <v>1</v>
      </c>
      <c r="M263" s="152" t="b">
        <v>1</v>
      </c>
      <c r="N263" s="212" t="s">
        <v>2497</v>
      </c>
      <c r="O263" s="213" t="s">
        <v>1554</v>
      </c>
      <c r="P263" s="47" t="b">
        <v>1</v>
      </c>
      <c r="Q263" s="47" t="b">
        <v>0</v>
      </c>
      <c r="R263" s="214"/>
      <c r="S263" s="77">
        <v>0.0</v>
      </c>
      <c r="T263" s="76" t="s">
        <v>1162</v>
      </c>
      <c r="U263" s="78">
        <v>5.0E7</v>
      </c>
      <c r="V263" s="78">
        <v>0.0</v>
      </c>
      <c r="W263" s="216">
        <v>5.0E7</v>
      </c>
      <c r="X263" s="77">
        <v>400000.0</v>
      </c>
      <c r="Y263" s="77">
        <v>240000.0</v>
      </c>
      <c r="Z263" s="77"/>
    </row>
    <row r="264">
      <c r="A264" s="145" t="s">
        <v>1327</v>
      </c>
      <c r="B264" s="145" t="s">
        <v>1327</v>
      </c>
      <c r="C264" s="145" t="s">
        <v>2500</v>
      </c>
      <c r="D264" s="75" t="s">
        <v>1544</v>
      </c>
      <c r="E264" s="75" t="s">
        <v>1544</v>
      </c>
      <c r="F264" s="211" t="s">
        <v>2311</v>
      </c>
      <c r="G264" s="145" t="s">
        <v>2501</v>
      </c>
      <c r="H264" s="211" t="s">
        <v>77</v>
      </c>
      <c r="I264" s="145" t="s">
        <v>140</v>
      </c>
      <c r="J264" s="211" t="s">
        <v>1561</v>
      </c>
      <c r="K264" s="75" t="s">
        <v>1544</v>
      </c>
      <c r="L264" s="152" t="b">
        <v>1</v>
      </c>
      <c r="M264" s="152" t="b">
        <v>0</v>
      </c>
      <c r="N264" s="212" t="s">
        <v>2504</v>
      </c>
      <c r="O264" s="213" t="s">
        <v>1554</v>
      </c>
      <c r="P264" s="47" t="b">
        <v>1</v>
      </c>
      <c r="Q264" s="47" t="b">
        <v>0</v>
      </c>
      <c r="R264" s="214"/>
      <c r="S264" s="77">
        <v>0.0</v>
      </c>
      <c r="T264" s="76" t="s">
        <v>1156</v>
      </c>
      <c r="U264" s="78">
        <v>2.0E7</v>
      </c>
      <c r="V264" s="78">
        <v>0.0</v>
      </c>
      <c r="W264" s="77">
        <v>2.0E7</v>
      </c>
      <c r="X264" s="77">
        <v>200000.0</v>
      </c>
      <c r="Y264" s="77">
        <v>200000.0</v>
      </c>
      <c r="Z264" s="77"/>
    </row>
    <row r="265">
      <c r="A265" s="145" t="s">
        <v>1323</v>
      </c>
      <c r="B265" s="145" t="s">
        <v>1323</v>
      </c>
      <c r="C265" s="145" t="s">
        <v>2500</v>
      </c>
      <c r="D265" s="75" t="s">
        <v>1544</v>
      </c>
      <c r="E265" s="75" t="s">
        <v>1601</v>
      </c>
      <c r="F265" s="211" t="s">
        <v>1547</v>
      </c>
      <c r="G265" s="145" t="s">
        <v>1324</v>
      </c>
      <c r="H265" s="211" t="s">
        <v>77</v>
      </c>
      <c r="I265" s="145" t="s">
        <v>327</v>
      </c>
      <c r="J265" s="211" t="s">
        <v>1549</v>
      </c>
      <c r="K265" s="75" t="s">
        <v>1544</v>
      </c>
      <c r="L265" s="152" t="b">
        <v>1</v>
      </c>
      <c r="M265" s="152" t="b">
        <v>0</v>
      </c>
      <c r="N265" s="217"/>
      <c r="O265" s="213" t="s">
        <v>1554</v>
      </c>
      <c r="P265" s="47" t="b">
        <v>0</v>
      </c>
      <c r="Q265" s="47" t="b">
        <v>0</v>
      </c>
      <c r="R265" s="214"/>
      <c r="S265" s="77">
        <v>0.0</v>
      </c>
      <c r="T265" s="214"/>
      <c r="U265" s="215"/>
      <c r="V265" s="215"/>
      <c r="W265" s="214"/>
      <c r="X265" s="214"/>
      <c r="Y265" s="77">
        <v>40000.0</v>
      </c>
      <c r="Z265" s="77"/>
    </row>
    <row r="266">
      <c r="A266" s="145" t="s">
        <v>1503</v>
      </c>
      <c r="B266" s="145" t="s">
        <v>1788</v>
      </c>
      <c r="C266" s="145" t="s">
        <v>1543</v>
      </c>
      <c r="D266" s="75" t="s">
        <v>1544</v>
      </c>
      <c r="E266" s="75" t="s">
        <v>1544</v>
      </c>
      <c r="F266" s="211" t="s">
        <v>1547</v>
      </c>
      <c r="G266" s="145" t="s">
        <v>2507</v>
      </c>
      <c r="H266" s="211" t="s">
        <v>907</v>
      </c>
      <c r="I266" s="145" t="s">
        <v>25</v>
      </c>
      <c r="J266" s="211" t="s">
        <v>1549</v>
      </c>
      <c r="K266" s="75" t="s">
        <v>1544</v>
      </c>
      <c r="L266" s="152" t="b">
        <v>1</v>
      </c>
      <c r="M266" s="152" t="b">
        <v>0</v>
      </c>
      <c r="N266" s="212" t="s">
        <v>2508</v>
      </c>
      <c r="O266" s="213" t="s">
        <v>1554</v>
      </c>
      <c r="P266" s="47" t="b">
        <v>1</v>
      </c>
      <c r="Q266" s="47" t="b">
        <v>0</v>
      </c>
      <c r="R266" s="214"/>
      <c r="S266" s="77">
        <v>0.0</v>
      </c>
      <c r="T266" s="76" t="s">
        <v>1179</v>
      </c>
      <c r="U266" s="78">
        <v>1.1308447E7</v>
      </c>
      <c r="V266" s="215"/>
      <c r="W266" s="77">
        <v>1.2E7</v>
      </c>
      <c r="X266" s="77">
        <v>120000.0</v>
      </c>
      <c r="Y266" s="77">
        <v>40000.0</v>
      </c>
      <c r="Z266" s="77"/>
    </row>
    <row r="267">
      <c r="A267" s="145" t="s">
        <v>1508</v>
      </c>
      <c r="B267" s="145" t="s">
        <v>1542</v>
      </c>
      <c r="C267" s="145" t="s">
        <v>1543</v>
      </c>
      <c r="D267" s="75" t="s">
        <v>1544</v>
      </c>
      <c r="E267" s="75" t="s">
        <v>1544</v>
      </c>
      <c r="F267" s="211" t="s">
        <v>1547</v>
      </c>
      <c r="G267" s="145" t="s">
        <v>2382</v>
      </c>
      <c r="H267" s="211" t="s">
        <v>77</v>
      </c>
      <c r="I267" s="145" t="s">
        <v>340</v>
      </c>
      <c r="J267" s="211" t="s">
        <v>1549</v>
      </c>
      <c r="K267" s="75" t="s">
        <v>1544</v>
      </c>
      <c r="L267" s="152" t="b">
        <v>1</v>
      </c>
      <c r="M267" s="152" t="b">
        <v>0</v>
      </c>
      <c r="N267" s="212" t="s">
        <v>2510</v>
      </c>
      <c r="O267" s="213" t="s">
        <v>1554</v>
      </c>
      <c r="P267" s="47" t="b">
        <v>1</v>
      </c>
      <c r="Q267" s="47" t="b">
        <v>0</v>
      </c>
      <c r="R267" s="214"/>
      <c r="S267" s="77">
        <v>0.0</v>
      </c>
      <c r="T267" s="76" t="s">
        <v>1179</v>
      </c>
      <c r="U267" s="78">
        <v>1.1554522E7</v>
      </c>
      <c r="V267" s="215"/>
      <c r="W267" s="77">
        <v>1.2E7</v>
      </c>
      <c r="X267" s="77">
        <v>120000.0</v>
      </c>
      <c r="Y267" s="77">
        <v>40000.0</v>
      </c>
      <c r="Z267" s="77"/>
    </row>
    <row r="268">
      <c r="A268" s="145" t="s">
        <v>684</v>
      </c>
      <c r="B268" s="145" t="s">
        <v>2465</v>
      </c>
      <c r="C268" s="145" t="s">
        <v>1543</v>
      </c>
      <c r="D268" s="75" t="s">
        <v>1544</v>
      </c>
      <c r="E268" s="75" t="s">
        <v>1544</v>
      </c>
      <c r="F268" s="211" t="s">
        <v>2513</v>
      </c>
      <c r="G268" s="145" t="s">
        <v>918</v>
      </c>
      <c r="H268" s="211" t="s">
        <v>586</v>
      </c>
      <c r="I268" s="145" t="s">
        <v>674</v>
      </c>
      <c r="J268" s="211" t="s">
        <v>1561</v>
      </c>
      <c r="K268" s="75" t="s">
        <v>1601</v>
      </c>
      <c r="L268" s="152" t="b">
        <v>1</v>
      </c>
      <c r="M268" s="152" t="b">
        <v>0</v>
      </c>
      <c r="N268" s="212" t="s">
        <v>2514</v>
      </c>
      <c r="O268" s="213" t="s">
        <v>1554</v>
      </c>
      <c r="P268" s="47" t="b">
        <v>1</v>
      </c>
      <c r="Q268" s="47" t="b">
        <v>0</v>
      </c>
      <c r="R268" s="214"/>
      <c r="S268" s="77">
        <v>0.0</v>
      </c>
      <c r="T268" s="76" t="s">
        <v>1193</v>
      </c>
      <c r="U268" s="78">
        <v>7.7559796E7</v>
      </c>
      <c r="V268" s="215"/>
      <c r="W268" s="77">
        <v>7.8E7</v>
      </c>
      <c r="X268" s="77">
        <v>546000.0</v>
      </c>
      <c r="Y268" s="77">
        <v>166765.0</v>
      </c>
      <c r="Z268" s="77"/>
    </row>
    <row r="269">
      <c r="A269" s="145" t="s">
        <v>431</v>
      </c>
      <c r="B269" s="145" t="s">
        <v>431</v>
      </c>
      <c r="C269" s="145" t="s">
        <v>1266</v>
      </c>
      <c r="D269" s="75" t="s">
        <v>1544</v>
      </c>
      <c r="E269" s="75" t="s">
        <v>1601</v>
      </c>
      <c r="F269" s="211" t="s">
        <v>87</v>
      </c>
      <c r="G269" s="145" t="s">
        <v>432</v>
      </c>
      <c r="H269" s="211" t="s">
        <v>87</v>
      </c>
      <c r="I269" s="145" t="s">
        <v>267</v>
      </c>
      <c r="J269" s="211" t="s">
        <v>87</v>
      </c>
      <c r="K269" s="75" t="s">
        <v>1544</v>
      </c>
      <c r="L269" s="152" t="b">
        <v>0</v>
      </c>
      <c r="M269" s="152" t="b">
        <v>0</v>
      </c>
      <c r="N269" s="217"/>
      <c r="O269" s="213" t="s">
        <v>1554</v>
      </c>
      <c r="P269" s="47" t="b">
        <v>0</v>
      </c>
      <c r="Q269" s="47" t="b">
        <v>0</v>
      </c>
      <c r="R269" s="214"/>
      <c r="S269" s="77">
        <v>0.0</v>
      </c>
      <c r="T269" s="214"/>
      <c r="U269" s="215"/>
      <c r="V269" s="215"/>
      <c r="W269" s="214"/>
      <c r="X269" s="214"/>
      <c r="Y269" s="77">
        <v>0.0</v>
      </c>
      <c r="Z269" s="77"/>
    </row>
    <row r="270">
      <c r="A270" s="145" t="s">
        <v>1514</v>
      </c>
      <c r="B270" s="145" t="s">
        <v>1788</v>
      </c>
      <c r="C270" s="145" t="s">
        <v>1543</v>
      </c>
      <c r="D270" s="75" t="s">
        <v>1544</v>
      </c>
      <c r="E270" s="75" t="s">
        <v>1544</v>
      </c>
      <c r="F270" s="211" t="s">
        <v>1547</v>
      </c>
      <c r="G270" s="145" t="s">
        <v>2517</v>
      </c>
      <c r="H270" s="211" t="s">
        <v>907</v>
      </c>
      <c r="I270" s="145" t="s">
        <v>25</v>
      </c>
      <c r="J270" s="211" t="s">
        <v>1549</v>
      </c>
      <c r="K270" s="75" t="s">
        <v>1544</v>
      </c>
      <c r="L270" s="152" t="b">
        <v>1</v>
      </c>
      <c r="M270" s="152" t="b">
        <v>0</v>
      </c>
      <c r="N270" s="212" t="s">
        <v>2518</v>
      </c>
      <c r="O270" s="213" t="s">
        <v>1554</v>
      </c>
      <c r="P270" s="47" t="b">
        <v>1</v>
      </c>
      <c r="Q270" s="47" t="b">
        <v>0</v>
      </c>
      <c r="R270" s="214"/>
      <c r="S270" s="77">
        <v>0.0</v>
      </c>
      <c r="T270" s="76" t="s">
        <v>1179</v>
      </c>
      <c r="U270" s="78">
        <v>1.2073741E7</v>
      </c>
      <c r="V270" s="215"/>
      <c r="W270" s="77">
        <v>1.2E7</v>
      </c>
      <c r="X270" s="77">
        <v>120000.0</v>
      </c>
      <c r="Y270" s="77">
        <v>40000.0</v>
      </c>
      <c r="Z270" s="77"/>
    </row>
    <row r="271">
      <c r="A271" s="145" t="s">
        <v>448</v>
      </c>
      <c r="B271" s="145" t="s">
        <v>1623</v>
      </c>
      <c r="C271" s="145" t="s">
        <v>1543</v>
      </c>
      <c r="D271" s="75" t="s">
        <v>1544</v>
      </c>
      <c r="E271" s="75" t="s">
        <v>1544</v>
      </c>
      <c r="F271" s="211" t="s">
        <v>1547</v>
      </c>
      <c r="G271" s="145" t="s">
        <v>2520</v>
      </c>
      <c r="H271" s="211" t="s">
        <v>77</v>
      </c>
      <c r="I271" s="145" t="s">
        <v>325</v>
      </c>
      <c r="J271" s="211" t="s">
        <v>1549</v>
      </c>
      <c r="K271" s="75" t="s">
        <v>1544</v>
      </c>
      <c r="L271" s="152" t="b">
        <v>1</v>
      </c>
      <c r="M271" s="152" t="b">
        <v>0</v>
      </c>
      <c r="N271" s="212" t="s">
        <v>2522</v>
      </c>
      <c r="O271" s="213" t="s">
        <v>1554</v>
      </c>
      <c r="P271" s="47" t="b">
        <v>1</v>
      </c>
      <c r="Q271" s="47" t="b">
        <v>0</v>
      </c>
      <c r="R271" s="214"/>
      <c r="S271" s="77">
        <v>0.0</v>
      </c>
      <c r="T271" s="76" t="s">
        <v>1179</v>
      </c>
      <c r="U271" s="78">
        <v>7891619.0</v>
      </c>
      <c r="V271" s="215"/>
      <c r="W271" s="77">
        <v>8000000.0</v>
      </c>
      <c r="X271" s="77">
        <v>80000.0</v>
      </c>
      <c r="Y271" s="77">
        <v>40000.0</v>
      </c>
      <c r="Z271" s="77"/>
    </row>
    <row r="272">
      <c r="A272" s="145" t="s">
        <v>300</v>
      </c>
      <c r="B272" s="145" t="s">
        <v>300</v>
      </c>
      <c r="C272" s="145" t="s">
        <v>2524</v>
      </c>
      <c r="D272" s="75" t="s">
        <v>1544</v>
      </c>
      <c r="E272" s="75" t="s">
        <v>1544</v>
      </c>
      <c r="F272" s="211" t="s">
        <v>1602</v>
      </c>
      <c r="G272" s="145" t="s">
        <v>301</v>
      </c>
      <c r="H272" s="211" t="s">
        <v>87</v>
      </c>
      <c r="I272" s="145" t="s">
        <v>267</v>
      </c>
      <c r="J272" s="211" t="s">
        <v>1603</v>
      </c>
      <c r="K272" s="75" t="s">
        <v>1544</v>
      </c>
      <c r="L272" s="152" t="b">
        <v>1</v>
      </c>
      <c r="M272" s="152" t="b">
        <v>0</v>
      </c>
      <c r="N272" s="217"/>
      <c r="O272" s="213" t="s">
        <v>1554</v>
      </c>
      <c r="P272" s="47" t="b">
        <v>0</v>
      </c>
      <c r="Q272" s="47" t="b">
        <v>0</v>
      </c>
      <c r="R272" s="214"/>
      <c r="S272" s="77">
        <v>0.0</v>
      </c>
      <c r="T272" s="76" t="s">
        <v>1152</v>
      </c>
      <c r="U272" s="215"/>
      <c r="V272" s="215"/>
      <c r="W272" s="214"/>
      <c r="X272" s="214"/>
      <c r="Y272" s="77">
        <v>1.0</v>
      </c>
      <c r="Z272" s="77"/>
    </row>
    <row r="273">
      <c r="A273" s="145" t="s">
        <v>303</v>
      </c>
      <c r="B273" s="145" t="s">
        <v>303</v>
      </c>
      <c r="C273" s="145" t="s">
        <v>2524</v>
      </c>
      <c r="D273" s="75" t="s">
        <v>1544</v>
      </c>
      <c r="E273" s="75" t="s">
        <v>1601</v>
      </c>
      <c r="F273" s="211" t="s">
        <v>87</v>
      </c>
      <c r="G273" s="145" t="s">
        <v>304</v>
      </c>
      <c r="H273" s="211" t="s">
        <v>87</v>
      </c>
      <c r="I273" s="145" t="s">
        <v>267</v>
      </c>
      <c r="J273" s="211" t="s">
        <v>1603</v>
      </c>
      <c r="K273" s="75" t="s">
        <v>1544</v>
      </c>
      <c r="L273" s="152" t="b">
        <v>1</v>
      </c>
      <c r="M273" s="152" t="b">
        <v>1</v>
      </c>
      <c r="N273" s="217"/>
      <c r="O273" s="213" t="s">
        <v>1554</v>
      </c>
      <c r="P273" s="47" t="b">
        <v>0</v>
      </c>
      <c r="Q273" s="47" t="b">
        <v>0</v>
      </c>
      <c r="R273" s="214"/>
      <c r="S273" s="77">
        <v>0.0</v>
      </c>
      <c r="T273" s="214"/>
      <c r="U273" s="215"/>
      <c r="V273" s="215"/>
      <c r="W273" s="214"/>
      <c r="X273" s="214"/>
      <c r="Y273" s="77">
        <v>0.0</v>
      </c>
      <c r="Z273" s="77"/>
    </row>
    <row r="274">
      <c r="A274" s="145" t="s">
        <v>1346</v>
      </c>
      <c r="B274" s="145" t="s">
        <v>1968</v>
      </c>
      <c r="C274" s="145" t="s">
        <v>1543</v>
      </c>
      <c r="D274" s="75" t="s">
        <v>1544</v>
      </c>
      <c r="E274" s="75" t="s">
        <v>1544</v>
      </c>
      <c r="F274" s="211" t="s">
        <v>1637</v>
      </c>
      <c r="G274" s="145" t="s">
        <v>2194</v>
      </c>
      <c r="H274" s="211" t="s">
        <v>77</v>
      </c>
      <c r="I274" s="145" t="s">
        <v>340</v>
      </c>
      <c r="J274" s="211" t="s">
        <v>1639</v>
      </c>
      <c r="K274" s="75" t="s">
        <v>1544</v>
      </c>
      <c r="L274" s="152" t="b">
        <v>1</v>
      </c>
      <c r="M274" s="152" t="b">
        <v>0</v>
      </c>
      <c r="N274" s="212" t="s">
        <v>2529</v>
      </c>
      <c r="O274" s="213" t="s">
        <v>1554</v>
      </c>
      <c r="P274" s="47" t="b">
        <v>1</v>
      </c>
      <c r="Q274" s="47" t="b">
        <v>0</v>
      </c>
      <c r="R274" s="214"/>
      <c r="S274" s="77">
        <v>0.0</v>
      </c>
      <c r="T274" s="76" t="s">
        <v>1179</v>
      </c>
      <c r="U274" s="78">
        <v>1.3445809E7</v>
      </c>
      <c r="V274" s="215"/>
      <c r="W274" s="77">
        <v>1.4E7</v>
      </c>
      <c r="X274" s="77">
        <v>140000.0</v>
      </c>
      <c r="Y274" s="77">
        <v>60000.0</v>
      </c>
      <c r="Z274" s="77"/>
    </row>
    <row r="275">
      <c r="A275" s="145" t="s">
        <v>503</v>
      </c>
      <c r="B275" s="145" t="s">
        <v>1564</v>
      </c>
      <c r="C275" s="145" t="s">
        <v>1543</v>
      </c>
      <c r="D275" s="75" t="s">
        <v>1544</v>
      </c>
      <c r="E275" s="75" t="s">
        <v>1544</v>
      </c>
      <c r="F275" s="211" t="s">
        <v>1547</v>
      </c>
      <c r="G275" s="145" t="s">
        <v>2532</v>
      </c>
      <c r="H275" s="211" t="s">
        <v>77</v>
      </c>
      <c r="I275" s="145" t="s">
        <v>338</v>
      </c>
      <c r="J275" s="211" t="s">
        <v>1549</v>
      </c>
      <c r="K275" s="75" t="s">
        <v>1544</v>
      </c>
      <c r="L275" s="152" t="b">
        <v>1</v>
      </c>
      <c r="M275" s="152" t="b">
        <v>0</v>
      </c>
      <c r="N275" s="212" t="s">
        <v>2535</v>
      </c>
      <c r="O275" s="213" t="s">
        <v>1554</v>
      </c>
      <c r="P275" s="47" t="b">
        <v>1</v>
      </c>
      <c r="Q275" s="47" t="b">
        <v>0</v>
      </c>
      <c r="R275" s="214"/>
      <c r="S275" s="77">
        <v>0.0</v>
      </c>
      <c r="T275" s="76" t="s">
        <v>1179</v>
      </c>
      <c r="U275" s="78">
        <v>1.0154618E7</v>
      </c>
      <c r="V275" s="215"/>
      <c r="W275" s="77">
        <v>1.0E7</v>
      </c>
      <c r="X275" s="77">
        <v>100000.0</v>
      </c>
      <c r="Y275" s="77">
        <v>40000.0</v>
      </c>
      <c r="Z275" s="77"/>
    </row>
    <row r="276">
      <c r="A276" s="145" t="s">
        <v>225</v>
      </c>
      <c r="B276" s="145" t="s">
        <v>225</v>
      </c>
      <c r="C276" s="145" t="s">
        <v>317</v>
      </c>
      <c r="D276" s="75" t="s">
        <v>1544</v>
      </c>
      <c r="E276" s="75" t="s">
        <v>1544</v>
      </c>
      <c r="F276" s="211" t="s">
        <v>2540</v>
      </c>
      <c r="G276" s="145" t="s">
        <v>788</v>
      </c>
      <c r="H276" s="211" t="s">
        <v>1018</v>
      </c>
      <c r="I276" s="145" t="s">
        <v>113</v>
      </c>
      <c r="J276" s="211" t="s">
        <v>1609</v>
      </c>
      <c r="K276" s="75" t="s">
        <v>1544</v>
      </c>
      <c r="L276" s="152" t="b">
        <v>1</v>
      </c>
      <c r="M276" s="152" t="b">
        <v>0</v>
      </c>
      <c r="N276" s="212" t="s">
        <v>2541</v>
      </c>
      <c r="O276" s="213" t="s">
        <v>1554</v>
      </c>
      <c r="P276" s="47" t="b">
        <v>1</v>
      </c>
      <c r="Q276" s="47" t="b">
        <v>0</v>
      </c>
      <c r="R276" s="214"/>
      <c r="S276" s="77">
        <v>0.0</v>
      </c>
      <c r="T276" s="76" t="s">
        <v>1162</v>
      </c>
      <c r="U276" s="78">
        <v>1.5216818E7</v>
      </c>
      <c r="V276" s="78">
        <v>18.0</v>
      </c>
      <c r="W276" s="77">
        <v>1.6E7</v>
      </c>
      <c r="X276" s="77">
        <v>128000.0</v>
      </c>
      <c r="Y276" s="77">
        <v>147125.0</v>
      </c>
      <c r="Z276" s="77"/>
    </row>
    <row r="277">
      <c r="A277" s="145" t="s">
        <v>537</v>
      </c>
      <c r="B277" s="145" t="s">
        <v>537</v>
      </c>
      <c r="C277" s="145" t="s">
        <v>1266</v>
      </c>
      <c r="D277" s="75" t="s">
        <v>1544</v>
      </c>
      <c r="E277" s="75" t="s">
        <v>1601</v>
      </c>
      <c r="F277" s="211" t="s">
        <v>87</v>
      </c>
      <c r="G277" s="145" t="s">
        <v>538</v>
      </c>
      <c r="H277" s="211" t="s">
        <v>87</v>
      </c>
      <c r="I277" s="145" t="s">
        <v>267</v>
      </c>
      <c r="J277" s="211" t="s">
        <v>1603</v>
      </c>
      <c r="K277" s="75" t="s">
        <v>1544</v>
      </c>
      <c r="L277" s="152" t="b">
        <v>0</v>
      </c>
      <c r="M277" s="152" t="b">
        <v>0</v>
      </c>
      <c r="N277" s="217"/>
      <c r="O277" s="213" t="s">
        <v>1554</v>
      </c>
      <c r="P277" s="47" t="b">
        <v>0</v>
      </c>
      <c r="Q277" s="47" t="b">
        <v>0</v>
      </c>
      <c r="R277" s="214"/>
      <c r="S277" s="77">
        <v>0.0</v>
      </c>
      <c r="T277" s="214"/>
      <c r="U277" s="215"/>
      <c r="V277" s="215"/>
      <c r="W277" s="214"/>
      <c r="X277" s="214"/>
      <c r="Y277" s="77">
        <v>0.0</v>
      </c>
      <c r="Z277" s="77"/>
    </row>
    <row r="278">
      <c r="A278" s="145" t="s">
        <v>330</v>
      </c>
      <c r="B278" s="145" t="s">
        <v>330</v>
      </c>
      <c r="C278" s="145" t="s">
        <v>1266</v>
      </c>
      <c r="D278" s="75" t="s">
        <v>1544</v>
      </c>
      <c r="E278" s="75" t="s">
        <v>1544</v>
      </c>
      <c r="F278" s="211" t="s">
        <v>1602</v>
      </c>
      <c r="G278" s="145" t="s">
        <v>331</v>
      </c>
      <c r="H278" s="211" t="s">
        <v>87</v>
      </c>
      <c r="I278" s="145" t="s">
        <v>267</v>
      </c>
      <c r="J278" s="211" t="s">
        <v>1603</v>
      </c>
      <c r="K278" s="75" t="s">
        <v>1544</v>
      </c>
      <c r="L278" s="152" t="b">
        <v>0</v>
      </c>
      <c r="M278" s="152" t="b">
        <v>0</v>
      </c>
      <c r="N278" s="217"/>
      <c r="O278" s="213" t="s">
        <v>1554</v>
      </c>
      <c r="P278" s="47" t="b">
        <v>0</v>
      </c>
      <c r="Q278" s="47" t="b">
        <v>0</v>
      </c>
      <c r="R278" s="214"/>
      <c r="S278" s="77">
        <v>0.0</v>
      </c>
      <c r="T278" s="76" t="s">
        <v>1156</v>
      </c>
      <c r="U278" s="215"/>
      <c r="V278" s="215"/>
      <c r="W278" s="214"/>
      <c r="X278" s="214"/>
      <c r="Y278" s="77">
        <v>1.0</v>
      </c>
      <c r="Z278" s="77"/>
    </row>
    <row r="279">
      <c r="A279" s="145" t="s">
        <v>1325</v>
      </c>
      <c r="B279" s="145" t="s">
        <v>1325</v>
      </c>
      <c r="C279" s="145" t="s">
        <v>2500</v>
      </c>
      <c r="D279" s="75" t="s">
        <v>1601</v>
      </c>
      <c r="E279" s="75" t="s">
        <v>1601</v>
      </c>
      <c r="F279" s="211" t="s">
        <v>2547</v>
      </c>
      <c r="G279" s="145" t="s">
        <v>2548</v>
      </c>
      <c r="H279" s="211" t="s">
        <v>77</v>
      </c>
      <c r="I279" s="145" t="s">
        <v>83</v>
      </c>
      <c r="J279" s="211" t="s">
        <v>1597</v>
      </c>
      <c r="K279" s="75" t="s">
        <v>1544</v>
      </c>
      <c r="L279" s="152" t="b">
        <v>1</v>
      </c>
      <c r="M279" s="152" t="b">
        <v>0</v>
      </c>
      <c r="N279" s="217"/>
      <c r="O279" s="213" t="s">
        <v>1554</v>
      </c>
      <c r="P279" s="47" t="b">
        <v>0</v>
      </c>
      <c r="Q279" s="47" t="b">
        <v>0</v>
      </c>
      <c r="R279" s="214"/>
      <c r="S279" s="77">
        <v>0.0</v>
      </c>
      <c r="T279" s="214"/>
      <c r="U279" s="215"/>
      <c r="V279" s="215"/>
      <c r="W279" s="214"/>
      <c r="X279" s="214"/>
      <c r="Y279" s="77">
        <v>70000.0</v>
      </c>
      <c r="Z279" s="77"/>
    </row>
    <row r="280">
      <c r="A280" s="145" t="s">
        <v>2550</v>
      </c>
      <c r="B280" s="145" t="s">
        <v>2550</v>
      </c>
      <c r="C280" s="145" t="s">
        <v>2296</v>
      </c>
      <c r="D280" s="75" t="s">
        <v>1601</v>
      </c>
      <c r="E280" s="75" t="s">
        <v>1544</v>
      </c>
      <c r="F280" s="211" t="s">
        <v>1796</v>
      </c>
      <c r="G280" s="145" t="s">
        <v>1369</v>
      </c>
      <c r="H280" s="211" t="s">
        <v>1797</v>
      </c>
      <c r="I280" s="145" t="s">
        <v>2552</v>
      </c>
      <c r="J280" s="211" t="s">
        <v>1798</v>
      </c>
      <c r="K280" s="75" t="s">
        <v>1544</v>
      </c>
      <c r="L280" s="152" t="b">
        <v>0</v>
      </c>
      <c r="M280" s="152" t="b">
        <v>0</v>
      </c>
      <c r="N280" s="217"/>
      <c r="O280" s="213" t="s">
        <v>1554</v>
      </c>
      <c r="P280" s="47" t="b">
        <v>0</v>
      </c>
      <c r="Q280" s="47" t="b">
        <v>0</v>
      </c>
      <c r="R280" s="214"/>
      <c r="S280" s="77">
        <v>0.0</v>
      </c>
      <c r="T280" s="214"/>
      <c r="U280" s="215"/>
      <c r="V280" s="215"/>
      <c r="W280" s="214"/>
      <c r="X280" s="218"/>
      <c r="Y280" s="77">
        <v>1000000.0</v>
      </c>
      <c r="Z280" s="77"/>
    </row>
    <row r="281">
      <c r="A281" s="145" t="s">
        <v>354</v>
      </c>
      <c r="B281" s="145" t="s">
        <v>147</v>
      </c>
      <c r="C281" s="145" t="s">
        <v>2288</v>
      </c>
      <c r="D281" s="75" t="s">
        <v>1544</v>
      </c>
      <c r="E281" s="75" t="s">
        <v>1544</v>
      </c>
      <c r="F281" s="211" t="s">
        <v>1690</v>
      </c>
      <c r="G281" s="145" t="s">
        <v>968</v>
      </c>
      <c r="H281" s="211" t="s">
        <v>586</v>
      </c>
      <c r="I281" s="145" t="s">
        <v>585</v>
      </c>
      <c r="J281" s="211" t="s">
        <v>1597</v>
      </c>
      <c r="K281" s="75" t="s">
        <v>1544</v>
      </c>
      <c r="L281" s="152" t="b">
        <v>1</v>
      </c>
      <c r="M281" s="152" t="b">
        <v>0</v>
      </c>
      <c r="N281" s="217"/>
      <c r="O281" s="213" t="s">
        <v>1554</v>
      </c>
      <c r="P281" s="47" t="b">
        <v>1</v>
      </c>
      <c r="Q281" s="47" t="b">
        <v>0</v>
      </c>
      <c r="R281" s="214"/>
      <c r="S281" s="77">
        <v>0.0</v>
      </c>
      <c r="T281" s="76" t="s">
        <v>1179</v>
      </c>
      <c r="U281" s="78">
        <v>2.1841023E7</v>
      </c>
      <c r="V281" s="215"/>
      <c r="W281" s="77">
        <v>2.2E7</v>
      </c>
      <c r="X281" s="216">
        <v>154000.0</v>
      </c>
      <c r="Y281" s="77">
        <v>100000.0</v>
      </c>
      <c r="Z281" s="77"/>
    </row>
    <row r="282">
      <c r="A282" s="145" t="s">
        <v>1449</v>
      </c>
      <c r="B282" s="145" t="s">
        <v>1788</v>
      </c>
      <c r="C282" s="145" t="s">
        <v>1543</v>
      </c>
      <c r="D282" s="75" t="s">
        <v>1544</v>
      </c>
      <c r="E282" s="75" t="s">
        <v>1544</v>
      </c>
      <c r="F282" s="211" t="s">
        <v>1637</v>
      </c>
      <c r="G282" s="145" t="s">
        <v>2560</v>
      </c>
      <c r="H282" s="211" t="s">
        <v>907</v>
      </c>
      <c r="I282" s="145" t="s">
        <v>25</v>
      </c>
      <c r="J282" s="211" t="s">
        <v>1639</v>
      </c>
      <c r="K282" s="75" t="s">
        <v>1544</v>
      </c>
      <c r="L282" s="152" t="b">
        <v>1</v>
      </c>
      <c r="M282" s="152" t="b">
        <v>0</v>
      </c>
      <c r="N282" s="212" t="s">
        <v>2561</v>
      </c>
      <c r="O282" s="213" t="s">
        <v>1554</v>
      </c>
      <c r="P282" s="47" t="b">
        <v>1</v>
      </c>
      <c r="Q282" s="47" t="b">
        <v>0</v>
      </c>
      <c r="R282" s="214"/>
      <c r="S282" s="77">
        <v>0.0</v>
      </c>
      <c r="T282" s="76" t="s">
        <v>1179</v>
      </c>
      <c r="U282" s="78">
        <v>1.4658653E7</v>
      </c>
      <c r="V282" s="215"/>
      <c r="W282" s="77">
        <v>1.4E7</v>
      </c>
      <c r="X282" s="77">
        <v>140000.0</v>
      </c>
      <c r="Y282" s="77">
        <v>60000.0</v>
      </c>
      <c r="Z282" s="77"/>
    </row>
    <row r="283">
      <c r="A283" s="145" t="s">
        <v>534</v>
      </c>
      <c r="B283" s="145" t="s">
        <v>1746</v>
      </c>
      <c r="C283" s="145" t="s">
        <v>1543</v>
      </c>
      <c r="D283" s="75" t="s">
        <v>1544</v>
      </c>
      <c r="E283" s="75" t="s">
        <v>1544</v>
      </c>
      <c r="F283" s="211" t="s">
        <v>1575</v>
      </c>
      <c r="G283" s="145" t="s">
        <v>2564</v>
      </c>
      <c r="H283" s="211" t="s">
        <v>77</v>
      </c>
      <c r="I283" s="145" t="s">
        <v>338</v>
      </c>
      <c r="J283" s="211" t="s">
        <v>1577</v>
      </c>
      <c r="K283" s="75" t="s">
        <v>1544</v>
      </c>
      <c r="L283" s="152" t="b">
        <v>1</v>
      </c>
      <c r="M283" s="152" t="b">
        <v>0</v>
      </c>
      <c r="N283" s="212" t="s">
        <v>2565</v>
      </c>
      <c r="O283" s="213" t="s">
        <v>1554</v>
      </c>
      <c r="P283" s="47" t="b">
        <v>1</v>
      </c>
      <c r="Q283" s="47" t="b">
        <v>0</v>
      </c>
      <c r="R283" s="214"/>
      <c r="S283" s="77">
        <v>0.0</v>
      </c>
      <c r="T283" s="76" t="s">
        <v>1179</v>
      </c>
      <c r="U283" s="78">
        <v>6236791.0</v>
      </c>
      <c r="V283" s="215"/>
      <c r="W283" s="216">
        <v>6000000.0</v>
      </c>
      <c r="X283" s="77">
        <v>60000.0</v>
      </c>
      <c r="Y283" s="77">
        <v>20000.0</v>
      </c>
      <c r="Z283" s="77"/>
    </row>
    <row r="284">
      <c r="A284" s="145" t="s">
        <v>433</v>
      </c>
      <c r="B284" s="145" t="s">
        <v>2287</v>
      </c>
      <c r="C284" s="145" t="s">
        <v>2288</v>
      </c>
      <c r="D284" s="75" t="s">
        <v>1544</v>
      </c>
      <c r="E284" s="75" t="s">
        <v>1544</v>
      </c>
      <c r="F284" s="211" t="s">
        <v>1649</v>
      </c>
      <c r="G284" s="145" t="s">
        <v>2566</v>
      </c>
      <c r="H284" s="211" t="s">
        <v>1018</v>
      </c>
      <c r="I284" s="145" t="s">
        <v>92</v>
      </c>
      <c r="J284" s="211" t="s">
        <v>1549</v>
      </c>
      <c r="K284" s="75" t="s">
        <v>1544</v>
      </c>
      <c r="L284" s="152" t="b">
        <v>1</v>
      </c>
      <c r="M284" s="152" t="b">
        <v>0</v>
      </c>
      <c r="N284" s="217"/>
      <c r="O284" s="213" t="s">
        <v>1554</v>
      </c>
      <c r="P284" s="47" t="b">
        <v>1</v>
      </c>
      <c r="Q284" s="47" t="b">
        <v>0</v>
      </c>
      <c r="R284" s="214"/>
      <c r="S284" s="77">
        <v>0.0</v>
      </c>
      <c r="T284" s="76" t="s">
        <v>1179</v>
      </c>
      <c r="U284" s="78">
        <v>1.0331594E7</v>
      </c>
      <c r="V284" s="215"/>
      <c r="W284" s="77">
        <v>1.0E7</v>
      </c>
      <c r="X284" s="77">
        <v>80000.0</v>
      </c>
      <c r="Y284" s="77">
        <v>32000.0</v>
      </c>
      <c r="Z284" s="77"/>
    </row>
    <row r="285">
      <c r="A285" s="145" t="s">
        <v>1568</v>
      </c>
      <c r="B285" s="145" t="s">
        <v>1968</v>
      </c>
      <c r="C285" s="145" t="s">
        <v>1543</v>
      </c>
      <c r="D285" s="75" t="s">
        <v>1544</v>
      </c>
      <c r="E285" s="75" t="s">
        <v>1544</v>
      </c>
      <c r="F285" s="211" t="s">
        <v>1547</v>
      </c>
      <c r="G285" s="145" t="s">
        <v>2230</v>
      </c>
      <c r="H285" s="211" t="s">
        <v>77</v>
      </c>
      <c r="I285" s="145" t="s">
        <v>340</v>
      </c>
      <c r="J285" s="211" t="s">
        <v>1549</v>
      </c>
      <c r="K285" s="75" t="s">
        <v>1544</v>
      </c>
      <c r="L285" s="152" t="b">
        <v>1</v>
      </c>
      <c r="M285" s="152" t="b">
        <v>0</v>
      </c>
      <c r="N285" s="212" t="s">
        <v>2568</v>
      </c>
      <c r="O285" s="213" t="s">
        <v>1554</v>
      </c>
      <c r="P285" s="47" t="b">
        <v>1</v>
      </c>
      <c r="Q285" s="47" t="b">
        <v>0</v>
      </c>
      <c r="R285" s="214"/>
      <c r="S285" s="77">
        <v>0.0</v>
      </c>
      <c r="T285" s="76" t="s">
        <v>1179</v>
      </c>
      <c r="U285" s="78">
        <v>1.1680157E7</v>
      </c>
      <c r="V285" s="215"/>
      <c r="W285" s="77">
        <v>1.2E7</v>
      </c>
      <c r="X285" s="216">
        <v>120000.0</v>
      </c>
      <c r="Y285" s="77">
        <v>40000.0</v>
      </c>
      <c r="Z285" s="77"/>
    </row>
    <row r="286">
      <c r="A286" s="145" t="s">
        <v>571</v>
      </c>
      <c r="B286" s="145" t="s">
        <v>1636</v>
      </c>
      <c r="C286" s="145" t="s">
        <v>1543</v>
      </c>
      <c r="D286" s="75" t="s">
        <v>1544</v>
      </c>
      <c r="E286" s="75" t="s">
        <v>1544</v>
      </c>
      <c r="F286" s="211" t="s">
        <v>1547</v>
      </c>
      <c r="G286" s="145" t="s">
        <v>2572</v>
      </c>
      <c r="H286" s="211" t="s">
        <v>77</v>
      </c>
      <c r="I286" s="145" t="s">
        <v>413</v>
      </c>
      <c r="J286" s="211" t="s">
        <v>1549</v>
      </c>
      <c r="K286" s="75" t="s">
        <v>1544</v>
      </c>
      <c r="L286" s="152" t="b">
        <v>1</v>
      </c>
      <c r="M286" s="152" t="b">
        <v>0</v>
      </c>
      <c r="N286" s="212" t="s">
        <v>2573</v>
      </c>
      <c r="O286" s="213" t="s">
        <v>1554</v>
      </c>
      <c r="P286" s="47" t="b">
        <v>1</v>
      </c>
      <c r="Q286" s="47" t="b">
        <v>0</v>
      </c>
      <c r="R286" s="214"/>
      <c r="S286" s="77">
        <v>0.0</v>
      </c>
      <c r="T286" s="76" t="s">
        <v>1179</v>
      </c>
      <c r="U286" s="78">
        <v>8455654.0</v>
      </c>
      <c r="V286" s="215"/>
      <c r="W286" s="216">
        <v>8000000.0</v>
      </c>
      <c r="X286" s="216">
        <v>80000.0</v>
      </c>
      <c r="Y286" s="77">
        <v>40000.0</v>
      </c>
      <c r="Z286" s="77"/>
    </row>
    <row r="287">
      <c r="A287" s="145" t="s">
        <v>1948</v>
      </c>
      <c r="B287" s="145" t="s">
        <v>2287</v>
      </c>
      <c r="C287" s="145" t="s">
        <v>2288</v>
      </c>
      <c r="D287" s="75" t="s">
        <v>1544</v>
      </c>
      <c r="E287" s="75" t="s">
        <v>1544</v>
      </c>
      <c r="F287" s="211" t="s">
        <v>1851</v>
      </c>
      <c r="G287" s="145" t="s">
        <v>2576</v>
      </c>
      <c r="H287" s="211" t="s">
        <v>1018</v>
      </c>
      <c r="I287" s="145" t="s">
        <v>92</v>
      </c>
      <c r="J287" s="211" t="s">
        <v>1639</v>
      </c>
      <c r="K287" s="75" t="s">
        <v>1544</v>
      </c>
      <c r="L287" s="152" t="b">
        <v>1</v>
      </c>
      <c r="M287" s="152" t="b">
        <v>0</v>
      </c>
      <c r="N287" s="217"/>
      <c r="O287" s="213" t="s">
        <v>1554</v>
      </c>
      <c r="P287" s="47" t="b">
        <v>1</v>
      </c>
      <c r="Q287" s="47" t="b">
        <v>0</v>
      </c>
      <c r="R287" s="214"/>
      <c r="S287" s="77">
        <v>0.0</v>
      </c>
      <c r="T287" s="76" t="s">
        <v>1184</v>
      </c>
      <c r="U287" s="78">
        <v>1.2665821E7</v>
      </c>
      <c r="V287" s="215"/>
      <c r="W287" s="77">
        <v>1.2E7</v>
      </c>
      <c r="X287" s="216">
        <v>96000.0</v>
      </c>
      <c r="Y287" s="77">
        <v>48000.0</v>
      </c>
      <c r="Z287" s="77"/>
    </row>
    <row r="288">
      <c r="A288" s="145" t="s">
        <v>380</v>
      </c>
      <c r="B288" s="145" t="s">
        <v>1647</v>
      </c>
      <c r="C288" s="145" t="s">
        <v>1543</v>
      </c>
      <c r="D288" s="75" t="s">
        <v>1544</v>
      </c>
      <c r="E288" s="75" t="s">
        <v>1544</v>
      </c>
      <c r="F288" s="211" t="s">
        <v>1607</v>
      </c>
      <c r="G288" s="145" t="s">
        <v>796</v>
      </c>
      <c r="H288" s="211" t="s">
        <v>1018</v>
      </c>
      <c r="I288" s="145" t="s">
        <v>132</v>
      </c>
      <c r="J288" s="211" t="s">
        <v>1609</v>
      </c>
      <c r="K288" s="75" t="s">
        <v>1544</v>
      </c>
      <c r="L288" s="152" t="b">
        <v>1</v>
      </c>
      <c r="M288" s="152" t="b">
        <v>0</v>
      </c>
      <c r="N288" s="212" t="s">
        <v>2581</v>
      </c>
      <c r="O288" s="213" t="s">
        <v>1554</v>
      </c>
      <c r="P288" s="47" t="b">
        <v>1</v>
      </c>
      <c r="Q288" s="47" t="b">
        <v>0</v>
      </c>
      <c r="R288" s="214"/>
      <c r="S288" s="77">
        <v>0.0</v>
      </c>
      <c r="T288" s="76" t="s">
        <v>1190</v>
      </c>
      <c r="U288" s="78">
        <v>8471501.0</v>
      </c>
      <c r="V288" s="215"/>
      <c r="W288" s="77">
        <v>8000000.0</v>
      </c>
      <c r="X288" s="216">
        <v>64000.0</v>
      </c>
      <c r="Y288" s="77">
        <v>2400000.0</v>
      </c>
      <c r="Z288" s="77"/>
    </row>
    <row r="289">
      <c r="A289" s="145" t="s">
        <v>332</v>
      </c>
      <c r="B289" s="145" t="s">
        <v>2584</v>
      </c>
      <c r="C289" s="145" t="s">
        <v>1543</v>
      </c>
      <c r="D289" s="75" t="s">
        <v>1544</v>
      </c>
      <c r="E289" s="75" t="s">
        <v>1544</v>
      </c>
      <c r="F289" s="211" t="s">
        <v>1557</v>
      </c>
      <c r="G289" s="145" t="s">
        <v>2585</v>
      </c>
      <c r="H289" s="211" t="s">
        <v>625</v>
      </c>
      <c r="I289" s="145" t="s">
        <v>667</v>
      </c>
      <c r="J289" s="211" t="s">
        <v>1561</v>
      </c>
      <c r="K289" s="75" t="s">
        <v>1544</v>
      </c>
      <c r="L289" s="152" t="b">
        <v>1</v>
      </c>
      <c r="M289" s="152" t="b">
        <v>0</v>
      </c>
      <c r="N289" s="212" t="s">
        <v>2586</v>
      </c>
      <c r="O289" s="213" t="s">
        <v>1554</v>
      </c>
      <c r="P289" s="47" t="b">
        <v>1</v>
      </c>
      <c r="Q289" s="47" t="b">
        <v>0</v>
      </c>
      <c r="R289" s="214"/>
      <c r="S289" s="77">
        <v>0.0</v>
      </c>
      <c r="T289" s="76" t="s">
        <v>1179</v>
      </c>
      <c r="U289" s="78">
        <v>2.2342507E7</v>
      </c>
      <c r="V289" s="215"/>
      <c r="W289" s="77">
        <v>2.2E7</v>
      </c>
      <c r="X289" s="216">
        <v>2.2E9</v>
      </c>
      <c r="Y289" s="216">
        <v>6000000.0</v>
      </c>
      <c r="Z289" s="77"/>
    </row>
    <row r="290">
      <c r="A290" s="145" t="s">
        <v>1356</v>
      </c>
      <c r="B290" s="145" t="s">
        <v>1542</v>
      </c>
      <c r="C290" s="145" t="s">
        <v>1543</v>
      </c>
      <c r="D290" s="75" t="s">
        <v>1544</v>
      </c>
      <c r="E290" s="75" t="s">
        <v>1544</v>
      </c>
      <c r="F290" s="211" t="s">
        <v>1547</v>
      </c>
      <c r="G290" s="145" t="s">
        <v>2509</v>
      </c>
      <c r="H290" s="211" t="s">
        <v>77</v>
      </c>
      <c r="I290" s="145" t="s">
        <v>340</v>
      </c>
      <c r="J290" s="211" t="s">
        <v>1549</v>
      </c>
      <c r="K290" s="75" t="s">
        <v>1544</v>
      </c>
      <c r="L290" s="152" t="b">
        <v>1</v>
      </c>
      <c r="M290" s="152" t="b">
        <v>0</v>
      </c>
      <c r="N290" s="212" t="s">
        <v>2588</v>
      </c>
      <c r="O290" s="213" t="s">
        <v>1554</v>
      </c>
      <c r="P290" s="47" t="b">
        <v>1</v>
      </c>
      <c r="Q290" s="47" t="b">
        <v>0</v>
      </c>
      <c r="R290" s="214"/>
      <c r="S290" s="77">
        <v>0.0</v>
      </c>
      <c r="T290" s="76" t="s">
        <v>1179</v>
      </c>
      <c r="U290" s="78">
        <v>1.1457275E7</v>
      </c>
      <c r="V290" s="215"/>
      <c r="W290" s="77">
        <v>1.2E7</v>
      </c>
      <c r="X290" s="77">
        <v>120000.0</v>
      </c>
      <c r="Y290" s="77">
        <v>40000.0</v>
      </c>
      <c r="Z290" s="77"/>
    </row>
    <row r="291">
      <c r="A291" s="145" t="s">
        <v>1774</v>
      </c>
      <c r="B291" s="145" t="s">
        <v>1774</v>
      </c>
      <c r="C291" s="145" t="s">
        <v>1266</v>
      </c>
      <c r="D291" s="75" t="s">
        <v>1544</v>
      </c>
      <c r="E291" s="75" t="s">
        <v>1601</v>
      </c>
      <c r="F291" s="211" t="s">
        <v>87</v>
      </c>
      <c r="G291" s="145" t="s">
        <v>1775</v>
      </c>
      <c r="H291" s="211" t="s">
        <v>1018</v>
      </c>
      <c r="I291" s="145" t="s">
        <v>329</v>
      </c>
      <c r="J291" s="211" t="s">
        <v>87</v>
      </c>
      <c r="K291" s="75" t="s">
        <v>1544</v>
      </c>
      <c r="L291" s="152" t="b">
        <v>0</v>
      </c>
      <c r="M291" s="152" t="b">
        <v>0</v>
      </c>
      <c r="N291" s="217"/>
      <c r="O291" s="213" t="s">
        <v>1554</v>
      </c>
      <c r="P291" s="47" t="b">
        <v>0</v>
      </c>
      <c r="Q291" s="47" t="b">
        <v>0</v>
      </c>
      <c r="R291" s="214"/>
      <c r="S291" s="77">
        <v>0.0</v>
      </c>
      <c r="T291" s="214"/>
      <c r="U291" s="215"/>
      <c r="V291" s="215"/>
      <c r="W291" s="214"/>
      <c r="X291" s="214"/>
      <c r="Y291" s="77">
        <v>0.0</v>
      </c>
      <c r="Z291" s="77"/>
    </row>
    <row r="292">
      <c r="A292" s="145" t="s">
        <v>1558</v>
      </c>
      <c r="B292" s="145" t="s">
        <v>1558</v>
      </c>
      <c r="C292" s="145" t="s">
        <v>1266</v>
      </c>
      <c r="D292" s="75" t="s">
        <v>1544</v>
      </c>
      <c r="E292" s="75" t="s">
        <v>1601</v>
      </c>
      <c r="F292" s="211" t="s">
        <v>1645</v>
      </c>
      <c r="G292" s="145" t="s">
        <v>1560</v>
      </c>
      <c r="H292" s="211" t="s">
        <v>1018</v>
      </c>
      <c r="I292" s="145" t="s">
        <v>325</v>
      </c>
      <c r="J292" s="211" t="s">
        <v>1597</v>
      </c>
      <c r="K292" s="75" t="s">
        <v>1544</v>
      </c>
      <c r="L292" s="152" t="b">
        <v>0</v>
      </c>
      <c r="M292" s="152" t="b">
        <v>0</v>
      </c>
      <c r="N292" s="217"/>
      <c r="O292" s="213" t="s">
        <v>1554</v>
      </c>
      <c r="P292" s="47" t="b">
        <v>0</v>
      </c>
      <c r="Q292" s="47" t="b">
        <v>0</v>
      </c>
      <c r="R292" s="214"/>
      <c r="S292" s="77">
        <v>0.0</v>
      </c>
      <c r="T292" s="214"/>
      <c r="U292" s="215"/>
      <c r="V292" s="215"/>
      <c r="W292" s="214"/>
      <c r="X292" s="218"/>
      <c r="Y292" s="77">
        <v>80000.0</v>
      </c>
      <c r="Z292" s="77"/>
    </row>
    <row r="293">
      <c r="A293" s="145" t="s">
        <v>1353</v>
      </c>
      <c r="B293" s="145" t="s">
        <v>1353</v>
      </c>
      <c r="C293" s="145" t="s">
        <v>1266</v>
      </c>
      <c r="D293" s="75" t="s">
        <v>1601</v>
      </c>
      <c r="E293" s="75" t="s">
        <v>1601</v>
      </c>
      <c r="F293" s="211" t="s">
        <v>87</v>
      </c>
      <c r="G293" s="145" t="s">
        <v>1354</v>
      </c>
      <c r="H293" s="211" t="s">
        <v>1018</v>
      </c>
      <c r="I293" s="145" t="s">
        <v>325</v>
      </c>
      <c r="J293" s="211" t="s">
        <v>1639</v>
      </c>
      <c r="K293" s="75" t="s">
        <v>1544</v>
      </c>
      <c r="L293" s="152" t="b">
        <v>0</v>
      </c>
      <c r="M293" s="152" t="b">
        <v>0</v>
      </c>
      <c r="N293" s="217"/>
      <c r="O293" s="213" t="s">
        <v>1554</v>
      </c>
      <c r="P293" s="47" t="b">
        <v>0</v>
      </c>
      <c r="Q293" s="47" t="b">
        <v>0</v>
      </c>
      <c r="R293" s="214"/>
      <c r="S293" s="77">
        <v>0.0</v>
      </c>
      <c r="T293" s="214"/>
      <c r="U293" s="215"/>
      <c r="V293" s="215"/>
      <c r="W293" s="214"/>
      <c r="X293" s="218"/>
      <c r="Y293" s="77">
        <v>0.0</v>
      </c>
      <c r="Z293" s="77"/>
    </row>
    <row r="294">
      <c r="A294" s="145" t="s">
        <v>1570</v>
      </c>
      <c r="B294" s="145" t="s">
        <v>1580</v>
      </c>
      <c r="C294" s="145" t="s">
        <v>1543</v>
      </c>
      <c r="D294" s="75" t="s">
        <v>1544</v>
      </c>
      <c r="E294" s="75" t="s">
        <v>1544</v>
      </c>
      <c r="F294" s="211" t="s">
        <v>1575</v>
      </c>
      <c r="G294" s="145" t="s">
        <v>1572</v>
      </c>
      <c r="H294" s="211" t="s">
        <v>77</v>
      </c>
      <c r="I294" s="145" t="s">
        <v>327</v>
      </c>
      <c r="J294" s="211" t="s">
        <v>1577</v>
      </c>
      <c r="K294" s="75" t="s">
        <v>1544</v>
      </c>
      <c r="L294" s="152" t="b">
        <v>1</v>
      </c>
      <c r="M294" s="152" t="b">
        <v>0</v>
      </c>
      <c r="N294" s="212" t="s">
        <v>2592</v>
      </c>
      <c r="O294" s="213" t="s">
        <v>1554</v>
      </c>
      <c r="P294" s="47" t="b">
        <v>1</v>
      </c>
      <c r="Q294" s="47" t="b">
        <v>0</v>
      </c>
      <c r="R294" s="214"/>
      <c r="S294" s="77">
        <v>0.0</v>
      </c>
      <c r="T294" s="76" t="s">
        <v>1179</v>
      </c>
      <c r="U294" s="78">
        <v>5910825.0</v>
      </c>
      <c r="V294" s="215"/>
      <c r="W294" s="77">
        <v>6000000.0</v>
      </c>
      <c r="X294" s="216">
        <v>60000.0</v>
      </c>
      <c r="Y294" s="77">
        <v>20000.0</v>
      </c>
      <c r="Z294" s="77"/>
    </row>
    <row r="295">
      <c r="A295" s="145" t="s">
        <v>647</v>
      </c>
      <c r="B295" s="145" t="s">
        <v>1653</v>
      </c>
      <c r="C295" s="145" t="s">
        <v>1543</v>
      </c>
      <c r="D295" s="75" t="s">
        <v>1544</v>
      </c>
      <c r="E295" s="75" t="s">
        <v>1544</v>
      </c>
      <c r="F295" s="211" t="s">
        <v>1557</v>
      </c>
      <c r="G295" s="145" t="s">
        <v>2593</v>
      </c>
      <c r="H295" s="211" t="s">
        <v>625</v>
      </c>
      <c r="I295" s="145" t="s">
        <v>624</v>
      </c>
      <c r="J295" s="211" t="s">
        <v>1561</v>
      </c>
      <c r="K295" s="75" t="s">
        <v>1544</v>
      </c>
      <c r="L295" s="152" t="b">
        <v>1</v>
      </c>
      <c r="M295" s="152" t="b">
        <v>0</v>
      </c>
      <c r="N295" s="212" t="s">
        <v>2594</v>
      </c>
      <c r="O295" s="213" t="s">
        <v>1554</v>
      </c>
      <c r="P295" s="47" t="b">
        <v>1</v>
      </c>
      <c r="Q295" s="47" t="b">
        <v>0</v>
      </c>
      <c r="R295" s="214"/>
      <c r="S295" s="77">
        <v>0.0</v>
      </c>
      <c r="T295" s="235" t="s">
        <v>1179</v>
      </c>
      <c r="U295" s="78">
        <v>5.2283921E7</v>
      </c>
      <c r="V295" s="215"/>
      <c r="W295" s="216">
        <v>5.2E7</v>
      </c>
      <c r="X295" s="216">
        <v>5.2E9</v>
      </c>
      <c r="Y295" s="216">
        <v>6000000.0</v>
      </c>
      <c r="Z295" s="77"/>
    </row>
    <row r="296">
      <c r="A296" s="145" t="s">
        <v>1510</v>
      </c>
      <c r="B296" s="145" t="s">
        <v>1968</v>
      </c>
      <c r="C296" s="145" t="s">
        <v>1543</v>
      </c>
      <c r="D296" s="75" t="s">
        <v>1544</v>
      </c>
      <c r="E296" s="75" t="s">
        <v>1544</v>
      </c>
      <c r="F296" s="211" t="s">
        <v>1547</v>
      </c>
      <c r="G296" s="145" t="s">
        <v>2176</v>
      </c>
      <c r="H296" s="211" t="s">
        <v>77</v>
      </c>
      <c r="I296" s="145" t="s">
        <v>340</v>
      </c>
      <c r="J296" s="211" t="s">
        <v>1549</v>
      </c>
      <c r="K296" s="75" t="s">
        <v>1544</v>
      </c>
      <c r="L296" s="152" t="b">
        <v>1</v>
      </c>
      <c r="M296" s="152" t="b">
        <v>0</v>
      </c>
      <c r="N296" s="212" t="s">
        <v>2596</v>
      </c>
      <c r="O296" s="213" t="s">
        <v>1554</v>
      </c>
      <c r="P296" s="47" t="b">
        <v>1</v>
      </c>
      <c r="Q296" s="47" t="b">
        <v>0</v>
      </c>
      <c r="R296" s="214"/>
      <c r="S296" s="77">
        <v>0.0</v>
      </c>
      <c r="T296" s="76" t="s">
        <v>1179</v>
      </c>
      <c r="U296" s="78">
        <v>9457061.0</v>
      </c>
      <c r="V296" s="215"/>
      <c r="W296" s="216">
        <v>1.0E7</v>
      </c>
      <c r="X296" s="216">
        <v>100000.0</v>
      </c>
      <c r="Y296" s="77">
        <v>40000.0</v>
      </c>
      <c r="Z296" s="77"/>
    </row>
    <row r="297">
      <c r="A297" s="145" t="s">
        <v>1120</v>
      </c>
      <c r="B297" s="145" t="s">
        <v>2195</v>
      </c>
      <c r="C297" s="145" t="s">
        <v>1543</v>
      </c>
      <c r="D297" s="75" t="s">
        <v>1544</v>
      </c>
      <c r="E297" s="75" t="s">
        <v>1544</v>
      </c>
      <c r="F297" s="211" t="s">
        <v>1547</v>
      </c>
      <c r="G297" s="145" t="s">
        <v>1121</v>
      </c>
      <c r="H297" s="211" t="s">
        <v>77</v>
      </c>
      <c r="I297" s="145" t="s">
        <v>218</v>
      </c>
      <c r="J297" s="211" t="s">
        <v>1549</v>
      </c>
      <c r="K297" s="75" t="s">
        <v>1544</v>
      </c>
      <c r="L297" s="152" t="b">
        <v>1</v>
      </c>
      <c r="M297" s="152" t="b">
        <v>0</v>
      </c>
      <c r="N297" s="212" t="s">
        <v>2597</v>
      </c>
      <c r="O297" s="213" t="s">
        <v>1554</v>
      </c>
      <c r="P297" s="47" t="b">
        <v>1</v>
      </c>
      <c r="Q297" s="47" t="b">
        <v>0</v>
      </c>
      <c r="R297" s="214"/>
      <c r="S297" s="77">
        <v>0.0</v>
      </c>
      <c r="T297" s="76" t="s">
        <v>1179</v>
      </c>
      <c r="U297" s="78">
        <v>1.0645185E7</v>
      </c>
      <c r="V297" s="215"/>
      <c r="W297" s="77">
        <v>1.0E7</v>
      </c>
      <c r="X297" s="216">
        <v>100000.0</v>
      </c>
      <c r="Y297" s="77">
        <v>40000.0</v>
      </c>
      <c r="Z297" s="77"/>
    </row>
    <row r="298">
      <c r="A298" s="145" t="s">
        <v>1673</v>
      </c>
      <c r="B298" s="145" t="s">
        <v>1788</v>
      </c>
      <c r="C298" s="145" t="s">
        <v>1543</v>
      </c>
      <c r="D298" s="75" t="s">
        <v>1544</v>
      </c>
      <c r="E298" s="75" t="s">
        <v>1544</v>
      </c>
      <c r="F298" s="211" t="s">
        <v>1547</v>
      </c>
      <c r="G298" s="145" t="s">
        <v>2599</v>
      </c>
      <c r="H298" s="211" t="s">
        <v>907</v>
      </c>
      <c r="I298" s="145" t="s">
        <v>25</v>
      </c>
      <c r="J298" s="211" t="s">
        <v>1549</v>
      </c>
      <c r="K298" s="75" t="s">
        <v>1544</v>
      </c>
      <c r="L298" s="152" t="b">
        <v>1</v>
      </c>
      <c r="M298" s="152" t="b">
        <v>0</v>
      </c>
      <c r="N298" s="212" t="s">
        <v>2600</v>
      </c>
      <c r="O298" s="213" t="s">
        <v>1554</v>
      </c>
      <c r="P298" s="47" t="b">
        <v>1</v>
      </c>
      <c r="Q298" s="47" t="b">
        <v>0</v>
      </c>
      <c r="R298" s="214"/>
      <c r="S298" s="77">
        <v>0.0</v>
      </c>
      <c r="T298" s="76" t="s">
        <v>1179</v>
      </c>
      <c r="U298" s="78">
        <v>1.0488444E7</v>
      </c>
      <c r="V298" s="215"/>
      <c r="W298" s="77">
        <v>1.0E7</v>
      </c>
      <c r="X298" s="216">
        <v>100000.0</v>
      </c>
      <c r="Y298" s="77">
        <v>40000.0</v>
      </c>
      <c r="Z298" s="77"/>
    </row>
    <row r="299">
      <c r="A299" s="145" t="s">
        <v>486</v>
      </c>
      <c r="B299" s="145" t="s">
        <v>1720</v>
      </c>
      <c r="C299" s="145" t="s">
        <v>1543</v>
      </c>
      <c r="D299" s="75" t="s">
        <v>1544</v>
      </c>
      <c r="E299" s="75" t="s">
        <v>1544</v>
      </c>
      <c r="F299" s="211" t="s">
        <v>1721</v>
      </c>
      <c r="G299" s="145" t="s">
        <v>1364</v>
      </c>
      <c r="H299" s="211" t="s">
        <v>1018</v>
      </c>
      <c r="I299" s="145" t="s">
        <v>83</v>
      </c>
      <c r="J299" s="211" t="s">
        <v>1609</v>
      </c>
      <c r="K299" s="75" t="s">
        <v>1544</v>
      </c>
      <c r="L299" s="152" t="b">
        <v>1</v>
      </c>
      <c r="M299" s="152" t="b">
        <v>0</v>
      </c>
      <c r="N299" s="212" t="s">
        <v>2601</v>
      </c>
      <c r="O299" s="213" t="s">
        <v>1554</v>
      </c>
      <c r="P299" s="47" t="b">
        <v>1</v>
      </c>
      <c r="Q299" s="47" t="b">
        <v>0</v>
      </c>
      <c r="R299" s="214"/>
      <c r="S299" s="77">
        <v>0.0</v>
      </c>
      <c r="T299" s="76" t="s">
        <v>1179</v>
      </c>
      <c r="U299" s="78">
        <v>1.9560111E7</v>
      </c>
      <c r="V299" s="215"/>
      <c r="W299" s="77">
        <v>2.0E7</v>
      </c>
      <c r="X299" s="216">
        <v>160000.0</v>
      </c>
      <c r="Y299" s="77">
        <v>64000.0</v>
      </c>
      <c r="Z299" s="77"/>
    </row>
    <row r="300">
      <c r="A300" s="145" t="s">
        <v>1955</v>
      </c>
      <c r="B300" s="145" t="s">
        <v>2584</v>
      </c>
      <c r="C300" s="145" t="s">
        <v>1543</v>
      </c>
      <c r="D300" s="75" t="s">
        <v>1544</v>
      </c>
      <c r="E300" s="75" t="s">
        <v>1544</v>
      </c>
      <c r="F300" s="211" t="s">
        <v>1557</v>
      </c>
      <c r="G300" s="145" t="s">
        <v>1956</v>
      </c>
      <c r="H300" s="211" t="s">
        <v>625</v>
      </c>
      <c r="I300" s="145" t="s">
        <v>667</v>
      </c>
      <c r="J300" s="211" t="s">
        <v>1561</v>
      </c>
      <c r="K300" s="75" t="s">
        <v>1544</v>
      </c>
      <c r="L300" s="152" t="b">
        <v>1</v>
      </c>
      <c r="M300" s="152" t="b">
        <v>0</v>
      </c>
      <c r="N300" s="212" t="s">
        <v>2616</v>
      </c>
      <c r="O300" s="213" t="s">
        <v>1554</v>
      </c>
      <c r="P300" s="47" t="b">
        <v>1</v>
      </c>
      <c r="Q300" s="47" t="b">
        <v>0</v>
      </c>
      <c r="R300" s="214"/>
      <c r="S300" s="77">
        <v>0.0</v>
      </c>
      <c r="T300" s="76" t="s">
        <v>1190</v>
      </c>
      <c r="U300" s="78">
        <v>2.3121433E7</v>
      </c>
      <c r="V300" s="215"/>
      <c r="W300" s="77">
        <v>2.4E7</v>
      </c>
      <c r="X300" s="216">
        <v>2.4E9</v>
      </c>
      <c r="Y300" s="216">
        <v>6000000.0</v>
      </c>
      <c r="Z300" s="77"/>
    </row>
    <row r="301">
      <c r="A301" s="145" t="s">
        <v>1344</v>
      </c>
      <c r="B301" s="145" t="s">
        <v>1344</v>
      </c>
      <c r="C301" s="145" t="s">
        <v>2296</v>
      </c>
      <c r="D301" s="75" t="s">
        <v>1544</v>
      </c>
      <c r="E301" s="75" t="s">
        <v>1601</v>
      </c>
      <c r="F301" s="211" t="s">
        <v>1591</v>
      </c>
      <c r="G301" s="145" t="s">
        <v>1345</v>
      </c>
      <c r="H301" s="211" t="s">
        <v>87</v>
      </c>
      <c r="I301" s="211" t="s">
        <v>87</v>
      </c>
      <c r="J301" s="211" t="s">
        <v>87</v>
      </c>
      <c r="K301" s="75" t="s">
        <v>1544</v>
      </c>
      <c r="L301" s="152" t="b">
        <v>0</v>
      </c>
      <c r="M301" s="152" t="b">
        <v>0</v>
      </c>
      <c r="N301" s="217"/>
      <c r="O301" s="213" t="s">
        <v>1554</v>
      </c>
      <c r="P301" s="47" t="b">
        <v>0</v>
      </c>
      <c r="Q301" s="47" t="b">
        <v>0</v>
      </c>
      <c r="R301" s="214"/>
      <c r="S301" s="77">
        <v>0.0</v>
      </c>
      <c r="T301" s="214"/>
      <c r="U301" s="215"/>
      <c r="V301" s="215"/>
      <c r="W301" s="214"/>
      <c r="X301" s="214"/>
      <c r="Y301" s="77">
        <v>1.0E7</v>
      </c>
      <c r="Z301" s="77"/>
    </row>
    <row r="302">
      <c r="A302" s="145" t="s">
        <v>472</v>
      </c>
      <c r="B302" s="145" t="s">
        <v>2326</v>
      </c>
      <c r="C302" s="145" t="s">
        <v>2288</v>
      </c>
      <c r="D302" s="75" t="s">
        <v>1544</v>
      </c>
      <c r="E302" s="75" t="s">
        <v>1544</v>
      </c>
      <c r="F302" s="211" t="s">
        <v>1649</v>
      </c>
      <c r="G302" s="145" t="s">
        <v>2620</v>
      </c>
      <c r="H302" s="211" t="s">
        <v>1018</v>
      </c>
      <c r="I302" s="145" t="s">
        <v>66</v>
      </c>
      <c r="J302" s="211" t="s">
        <v>1549</v>
      </c>
      <c r="K302" s="75" t="s">
        <v>1544</v>
      </c>
      <c r="L302" s="152" t="b">
        <v>1</v>
      </c>
      <c r="M302" s="152" t="b">
        <v>0</v>
      </c>
      <c r="N302" s="217"/>
      <c r="O302" s="213" t="s">
        <v>1554</v>
      </c>
      <c r="P302" s="47" t="b">
        <v>1</v>
      </c>
      <c r="Q302" s="47" t="b">
        <v>0</v>
      </c>
      <c r="R302" s="214"/>
      <c r="S302" s="77">
        <v>0.0</v>
      </c>
      <c r="T302" s="76" t="s">
        <v>1179</v>
      </c>
      <c r="U302" s="78">
        <v>9164449.0</v>
      </c>
      <c r="V302" s="215"/>
      <c r="W302" s="77">
        <v>1.0E7</v>
      </c>
      <c r="X302" s="77">
        <v>80000.0</v>
      </c>
      <c r="Y302" s="77">
        <v>32000.0</v>
      </c>
      <c r="Z302" s="77"/>
    </row>
    <row r="303">
      <c r="A303" s="145" t="s">
        <v>1340</v>
      </c>
      <c r="B303" s="145" t="s">
        <v>1658</v>
      </c>
      <c r="C303" s="145" t="s">
        <v>1543</v>
      </c>
      <c r="D303" s="75" t="s">
        <v>1544</v>
      </c>
      <c r="E303" s="75" t="s">
        <v>1544</v>
      </c>
      <c r="F303" s="211" t="s">
        <v>1851</v>
      </c>
      <c r="G303" s="145" t="s">
        <v>2623</v>
      </c>
      <c r="H303" s="211" t="s">
        <v>1018</v>
      </c>
      <c r="I303" s="145" t="s">
        <v>92</v>
      </c>
      <c r="J303" s="211" t="s">
        <v>1639</v>
      </c>
      <c r="K303" s="75" t="s">
        <v>1544</v>
      </c>
      <c r="L303" s="152" t="b">
        <v>1</v>
      </c>
      <c r="M303" s="152" t="b">
        <v>0</v>
      </c>
      <c r="N303" s="212" t="s">
        <v>2624</v>
      </c>
      <c r="O303" s="213" t="s">
        <v>1554</v>
      </c>
      <c r="P303" s="47" t="b">
        <v>1</v>
      </c>
      <c r="Q303" s="47" t="b">
        <v>0</v>
      </c>
      <c r="R303" s="214"/>
      <c r="S303" s="77">
        <v>0.0</v>
      </c>
      <c r="T303" s="76" t="s">
        <v>1179</v>
      </c>
      <c r="U303" s="78">
        <v>1.7038736E7</v>
      </c>
      <c r="V303" s="215"/>
      <c r="W303" s="77">
        <v>1.8E7</v>
      </c>
      <c r="X303" s="77">
        <v>144000.0</v>
      </c>
      <c r="Y303" s="77">
        <v>48000.0</v>
      </c>
      <c r="Z303" s="77"/>
    </row>
    <row r="304">
      <c r="A304" s="145" t="s">
        <v>99</v>
      </c>
      <c r="B304" s="145" t="s">
        <v>2366</v>
      </c>
      <c r="C304" s="145" t="s">
        <v>2288</v>
      </c>
      <c r="D304" s="75" t="s">
        <v>1544</v>
      </c>
      <c r="E304" s="75" t="s">
        <v>1544</v>
      </c>
      <c r="F304" s="211" t="s">
        <v>1645</v>
      </c>
      <c r="G304" s="145" t="s">
        <v>2625</v>
      </c>
      <c r="H304" s="211" t="s">
        <v>907</v>
      </c>
      <c r="I304" s="145" t="s">
        <v>54</v>
      </c>
      <c r="J304" s="211" t="s">
        <v>1609</v>
      </c>
      <c r="K304" s="75" t="s">
        <v>1544</v>
      </c>
      <c r="L304" s="152" t="b">
        <v>1</v>
      </c>
      <c r="M304" s="152" t="b">
        <v>1</v>
      </c>
      <c r="N304" s="217"/>
      <c r="O304" s="213" t="s">
        <v>1554</v>
      </c>
      <c r="P304" s="47" t="b">
        <v>1</v>
      </c>
      <c r="Q304" s="47" t="b">
        <v>0</v>
      </c>
      <c r="R304" s="214"/>
      <c r="S304" s="77">
        <v>0.0</v>
      </c>
      <c r="T304" s="76" t="s">
        <v>1179</v>
      </c>
      <c r="U304" s="78">
        <v>1.9743264E7</v>
      </c>
      <c r="V304" s="215"/>
      <c r="W304" s="77">
        <v>2.0E7</v>
      </c>
      <c r="X304" s="77">
        <v>200000.0</v>
      </c>
      <c r="Y304" s="77">
        <v>80000.0</v>
      </c>
      <c r="Z304" s="77"/>
    </row>
    <row r="305">
      <c r="A305" s="145" t="s">
        <v>449</v>
      </c>
      <c r="B305" s="145" t="s">
        <v>449</v>
      </c>
      <c r="C305" s="145" t="s">
        <v>1266</v>
      </c>
      <c r="D305" s="75" t="s">
        <v>1544</v>
      </c>
      <c r="E305" s="75" t="s">
        <v>1544</v>
      </c>
      <c r="F305" s="211" t="s">
        <v>1602</v>
      </c>
      <c r="G305" s="145" t="s">
        <v>450</v>
      </c>
      <c r="H305" s="211" t="s">
        <v>87</v>
      </c>
      <c r="I305" s="145" t="s">
        <v>267</v>
      </c>
      <c r="J305" s="211" t="s">
        <v>1603</v>
      </c>
      <c r="K305" s="75" t="s">
        <v>1544</v>
      </c>
      <c r="L305" s="152" t="b">
        <v>0</v>
      </c>
      <c r="M305" s="152" t="b">
        <v>0</v>
      </c>
      <c r="N305" s="217"/>
      <c r="O305" s="213" t="s">
        <v>1554</v>
      </c>
      <c r="P305" s="47" t="b">
        <v>0</v>
      </c>
      <c r="Q305" s="47" t="b">
        <v>0</v>
      </c>
      <c r="R305" s="214"/>
      <c r="S305" s="77">
        <v>0.0</v>
      </c>
      <c r="T305" s="76" t="s">
        <v>1179</v>
      </c>
      <c r="U305" s="215"/>
      <c r="V305" s="215"/>
      <c r="W305" s="214"/>
      <c r="X305" s="214"/>
      <c r="Y305" s="77">
        <v>1.0</v>
      </c>
      <c r="Z305" s="77"/>
    </row>
    <row r="306">
      <c r="A306" s="145" t="s">
        <v>1621</v>
      </c>
      <c r="B306" s="145" t="s">
        <v>1621</v>
      </c>
      <c r="C306" s="145" t="s">
        <v>1266</v>
      </c>
      <c r="D306" s="75" t="s">
        <v>1544</v>
      </c>
      <c r="E306" s="75" t="s">
        <v>1601</v>
      </c>
      <c r="F306" s="211" t="s">
        <v>1547</v>
      </c>
      <c r="G306" s="145" t="s">
        <v>2631</v>
      </c>
      <c r="H306" s="211" t="s">
        <v>907</v>
      </c>
      <c r="I306" s="145" t="s">
        <v>267</v>
      </c>
      <c r="J306" s="211" t="s">
        <v>1549</v>
      </c>
      <c r="K306" s="75" t="s">
        <v>1544</v>
      </c>
      <c r="L306" s="152" t="b">
        <v>0</v>
      </c>
      <c r="M306" s="152" t="b">
        <v>0</v>
      </c>
      <c r="N306" s="217"/>
      <c r="O306" s="213" t="s">
        <v>1554</v>
      </c>
      <c r="P306" s="47" t="b">
        <v>0</v>
      </c>
      <c r="Q306" s="47" t="b">
        <v>0</v>
      </c>
      <c r="R306" s="214"/>
      <c r="S306" s="77">
        <v>0.0</v>
      </c>
      <c r="T306" s="214"/>
      <c r="U306" s="215"/>
      <c r="V306" s="215"/>
      <c r="W306" s="214"/>
      <c r="X306" s="214"/>
      <c r="Y306" s="77">
        <v>40000.0</v>
      </c>
      <c r="Z306" s="77"/>
    </row>
    <row r="307">
      <c r="A307" s="145" t="s">
        <v>462</v>
      </c>
      <c r="B307" s="145" t="s">
        <v>462</v>
      </c>
      <c r="C307" s="145" t="s">
        <v>1266</v>
      </c>
      <c r="D307" s="75" t="s">
        <v>1544</v>
      </c>
      <c r="E307" s="75" t="s">
        <v>1601</v>
      </c>
      <c r="F307" s="211" t="s">
        <v>87</v>
      </c>
      <c r="G307" s="145" t="s">
        <v>463</v>
      </c>
      <c r="H307" s="211" t="s">
        <v>87</v>
      </c>
      <c r="I307" s="145" t="s">
        <v>267</v>
      </c>
      <c r="J307" s="211" t="s">
        <v>1603</v>
      </c>
      <c r="K307" s="75" t="s">
        <v>1544</v>
      </c>
      <c r="L307" s="152" t="b">
        <v>0</v>
      </c>
      <c r="M307" s="152" t="b">
        <v>0</v>
      </c>
      <c r="N307" s="217"/>
      <c r="O307" s="213" t="s">
        <v>1554</v>
      </c>
      <c r="P307" s="47" t="b">
        <v>0</v>
      </c>
      <c r="Q307" s="47" t="b">
        <v>0</v>
      </c>
      <c r="R307" s="214"/>
      <c r="S307" s="77">
        <v>0.0</v>
      </c>
      <c r="T307" s="214"/>
      <c r="U307" s="215"/>
      <c r="V307" s="215"/>
      <c r="W307" s="214"/>
      <c r="X307" s="218"/>
      <c r="Y307" s="77">
        <v>0.0</v>
      </c>
      <c r="Z307" s="77"/>
    </row>
    <row r="308">
      <c r="A308" s="145" t="s">
        <v>601</v>
      </c>
      <c r="B308" s="145" t="s">
        <v>1689</v>
      </c>
      <c r="C308" s="145" t="s">
        <v>1543</v>
      </c>
      <c r="D308" s="75" t="s">
        <v>1544</v>
      </c>
      <c r="E308" s="75" t="s">
        <v>1544</v>
      </c>
      <c r="F308" s="211" t="s">
        <v>1690</v>
      </c>
      <c r="G308" s="145" t="s">
        <v>2637</v>
      </c>
      <c r="H308" s="211" t="s">
        <v>586</v>
      </c>
      <c r="I308" s="145" t="s">
        <v>162</v>
      </c>
      <c r="J308" s="211" t="s">
        <v>1597</v>
      </c>
      <c r="K308" s="75" t="s">
        <v>1544</v>
      </c>
      <c r="L308" s="152" t="b">
        <v>1</v>
      </c>
      <c r="M308" s="152" t="b">
        <v>0</v>
      </c>
      <c r="N308" s="212" t="s">
        <v>2639</v>
      </c>
      <c r="O308" s="213" t="s">
        <v>1554</v>
      </c>
      <c r="P308" s="47" t="b">
        <v>1</v>
      </c>
      <c r="Q308" s="47" t="b">
        <v>0</v>
      </c>
      <c r="R308" s="214"/>
      <c r="S308" s="77">
        <v>0.0</v>
      </c>
      <c r="T308" s="76" t="s">
        <v>1179</v>
      </c>
      <c r="U308" s="78">
        <v>2.0760565E7</v>
      </c>
      <c r="V308" s="215"/>
      <c r="W308" s="77">
        <v>2.0E7</v>
      </c>
      <c r="X308" s="216">
        <v>140000.0</v>
      </c>
      <c r="Y308" s="77">
        <v>100000.0</v>
      </c>
      <c r="Z308" s="77"/>
    </row>
    <row r="309">
      <c r="A309" s="145" t="s">
        <v>1329</v>
      </c>
      <c r="B309" s="145" t="s">
        <v>2584</v>
      </c>
      <c r="C309" s="145" t="s">
        <v>1543</v>
      </c>
      <c r="D309" s="75" t="s">
        <v>1544</v>
      </c>
      <c r="E309" s="75" t="s">
        <v>1544</v>
      </c>
      <c r="F309" s="211" t="s">
        <v>1557</v>
      </c>
      <c r="G309" s="145" t="s">
        <v>2641</v>
      </c>
      <c r="H309" s="211" t="s">
        <v>625</v>
      </c>
      <c r="I309" s="145" t="s">
        <v>667</v>
      </c>
      <c r="J309" s="211" t="s">
        <v>1561</v>
      </c>
      <c r="K309" s="75" t="s">
        <v>1544</v>
      </c>
      <c r="L309" s="152" t="b">
        <v>1</v>
      </c>
      <c r="M309" s="152" t="b">
        <v>0</v>
      </c>
      <c r="N309" s="212" t="s">
        <v>2643</v>
      </c>
      <c r="O309" s="213" t="s">
        <v>1554</v>
      </c>
      <c r="P309" s="47" t="b">
        <v>1</v>
      </c>
      <c r="Q309" s="47" t="b">
        <v>0</v>
      </c>
      <c r="R309" s="214"/>
      <c r="S309" s="77">
        <v>0.0</v>
      </c>
      <c r="T309" s="76" t="s">
        <v>1179</v>
      </c>
      <c r="U309" s="78">
        <v>2.4473876E7</v>
      </c>
      <c r="V309" s="215"/>
      <c r="W309" s="77">
        <v>2.4E7</v>
      </c>
      <c r="X309" s="216">
        <v>2.4E9</v>
      </c>
      <c r="Y309" s="216">
        <v>6000000.0</v>
      </c>
      <c r="Z309" s="77"/>
    </row>
    <row r="310">
      <c r="A310" s="145" t="s">
        <v>761</v>
      </c>
      <c r="B310" s="145" t="s">
        <v>761</v>
      </c>
      <c r="C310" s="145" t="s">
        <v>1266</v>
      </c>
      <c r="D310" s="75" t="s">
        <v>1544</v>
      </c>
      <c r="E310" s="75" t="s">
        <v>1544</v>
      </c>
      <c r="F310" s="211" t="s">
        <v>1602</v>
      </c>
      <c r="G310" s="145" t="s">
        <v>762</v>
      </c>
      <c r="H310" s="211" t="s">
        <v>87</v>
      </c>
      <c r="I310" s="145" t="s">
        <v>267</v>
      </c>
      <c r="J310" s="211" t="s">
        <v>1603</v>
      </c>
      <c r="K310" s="75" t="s">
        <v>1544</v>
      </c>
      <c r="L310" s="152" t="b">
        <v>0</v>
      </c>
      <c r="M310" s="152" t="b">
        <v>0</v>
      </c>
      <c r="N310" s="217"/>
      <c r="O310" s="213" t="s">
        <v>1554</v>
      </c>
      <c r="P310" s="47" t="b">
        <v>0</v>
      </c>
      <c r="Q310" s="47" t="b">
        <v>0</v>
      </c>
      <c r="R310" s="214"/>
      <c r="S310" s="77">
        <v>0.0</v>
      </c>
      <c r="T310" s="76" t="s">
        <v>1156</v>
      </c>
      <c r="U310" s="215"/>
      <c r="V310" s="215"/>
      <c r="W310" s="214"/>
      <c r="X310" s="214"/>
      <c r="Y310" s="77">
        <v>1.0</v>
      </c>
      <c r="Z310" s="77"/>
    </row>
    <row r="311">
      <c r="A311" s="145" t="s">
        <v>344</v>
      </c>
      <c r="B311" s="145" t="s">
        <v>1605</v>
      </c>
      <c r="C311" s="145" t="s">
        <v>1543</v>
      </c>
      <c r="D311" s="75" t="s">
        <v>1544</v>
      </c>
      <c r="E311" s="75" t="s">
        <v>1544</v>
      </c>
      <c r="F311" s="211" t="s">
        <v>1765</v>
      </c>
      <c r="G311" s="145" t="s">
        <v>866</v>
      </c>
      <c r="H311" s="211" t="s">
        <v>77</v>
      </c>
      <c r="I311" s="145" t="s">
        <v>329</v>
      </c>
      <c r="J311" s="211" t="s">
        <v>1639</v>
      </c>
      <c r="K311" s="75" t="s">
        <v>1544</v>
      </c>
      <c r="L311" s="152" t="b">
        <v>1</v>
      </c>
      <c r="M311" s="152" t="b">
        <v>0</v>
      </c>
      <c r="N311" s="212" t="s">
        <v>2645</v>
      </c>
      <c r="O311" s="213" t="s">
        <v>1554</v>
      </c>
      <c r="P311" s="47" t="b">
        <v>1</v>
      </c>
      <c r="Q311" s="47" t="b">
        <v>0</v>
      </c>
      <c r="R311" s="214"/>
      <c r="S311" s="77">
        <v>0.0</v>
      </c>
      <c r="T311" s="76" t="s">
        <v>1156</v>
      </c>
      <c r="U311" s="78">
        <v>6858369.0</v>
      </c>
      <c r="V311" s="215"/>
      <c r="W311" s="216">
        <v>6000000.0</v>
      </c>
      <c r="X311" s="77">
        <v>60000.0</v>
      </c>
      <c r="Y311" s="77">
        <v>1800000.0</v>
      </c>
      <c r="Z311" s="77"/>
    </row>
    <row r="312">
      <c r="A312" s="145" t="s">
        <v>287</v>
      </c>
      <c r="B312" s="145" t="s">
        <v>287</v>
      </c>
      <c r="C312" s="145" t="s">
        <v>1058</v>
      </c>
      <c r="D312" s="75" t="s">
        <v>1544</v>
      </c>
      <c r="E312" s="75" t="s">
        <v>1544</v>
      </c>
      <c r="F312" s="211" t="s">
        <v>1602</v>
      </c>
      <c r="G312" s="145" t="s">
        <v>288</v>
      </c>
      <c r="H312" s="211" t="s">
        <v>87</v>
      </c>
      <c r="I312" s="145" t="s">
        <v>267</v>
      </c>
      <c r="J312" s="211" t="s">
        <v>1603</v>
      </c>
      <c r="K312" s="75" t="s">
        <v>1544</v>
      </c>
      <c r="L312" s="152" t="b">
        <v>1</v>
      </c>
      <c r="M312" s="152" t="b">
        <v>1</v>
      </c>
      <c r="N312" s="217"/>
      <c r="O312" s="213" t="s">
        <v>1554</v>
      </c>
      <c r="P312" s="47" t="b">
        <v>0</v>
      </c>
      <c r="Q312" s="47" t="b">
        <v>0</v>
      </c>
      <c r="R312" s="214"/>
      <c r="S312" s="77">
        <v>0.0</v>
      </c>
      <c r="T312" s="235" t="s">
        <v>1161</v>
      </c>
      <c r="U312" s="215"/>
      <c r="V312" s="215"/>
      <c r="W312" s="218"/>
      <c r="X312" s="214"/>
      <c r="Y312" s="77">
        <v>1.0</v>
      </c>
      <c r="Z312" s="77"/>
    </row>
    <row r="313">
      <c r="A313" s="145" t="s">
        <v>663</v>
      </c>
      <c r="B313" s="145" t="s">
        <v>663</v>
      </c>
      <c r="C313" s="145" t="s">
        <v>1058</v>
      </c>
      <c r="D313" s="75" t="s">
        <v>1544</v>
      </c>
      <c r="E313" s="75" t="s">
        <v>1544</v>
      </c>
      <c r="F313" s="211" t="s">
        <v>2648</v>
      </c>
      <c r="G313" s="145" t="s">
        <v>912</v>
      </c>
      <c r="H313" s="211" t="s">
        <v>586</v>
      </c>
      <c r="I313" s="145" t="s">
        <v>674</v>
      </c>
      <c r="J313" s="211" t="s">
        <v>2377</v>
      </c>
      <c r="K313" s="75" t="s">
        <v>1544</v>
      </c>
      <c r="L313" s="152" t="b">
        <v>1</v>
      </c>
      <c r="M313" s="152" t="b">
        <v>1</v>
      </c>
      <c r="N313" s="217"/>
      <c r="O313" s="213" t="s">
        <v>1554</v>
      </c>
      <c r="P313" s="47" t="b">
        <v>1</v>
      </c>
      <c r="Q313" s="47" t="b">
        <v>0</v>
      </c>
      <c r="R313" s="214"/>
      <c r="S313" s="77">
        <v>0.0</v>
      </c>
      <c r="T313" s="76" t="s">
        <v>1161</v>
      </c>
      <c r="U313" s="78">
        <v>4.0E7</v>
      </c>
      <c r="V313" s="78">
        <v>40.0</v>
      </c>
      <c r="W313" s="216">
        <v>4.0E7</v>
      </c>
      <c r="X313" s="216">
        <v>280000.0</v>
      </c>
      <c r="Y313" s="77">
        <v>373145.0</v>
      </c>
      <c r="Z313" s="77"/>
    </row>
    <row r="314">
      <c r="A314" s="145" t="s">
        <v>1200</v>
      </c>
      <c r="B314" s="145" t="s">
        <v>1200</v>
      </c>
      <c r="C314" s="145" t="s">
        <v>2404</v>
      </c>
      <c r="D314" s="75" t="s">
        <v>1544</v>
      </c>
      <c r="E314" s="75" t="s">
        <v>1601</v>
      </c>
      <c r="F314" s="211" t="s">
        <v>1607</v>
      </c>
      <c r="G314" s="145" t="s">
        <v>633</v>
      </c>
      <c r="H314" s="211" t="s">
        <v>907</v>
      </c>
      <c r="I314" s="145" t="s">
        <v>174</v>
      </c>
      <c r="J314" s="211" t="s">
        <v>2650</v>
      </c>
      <c r="K314" s="75" t="s">
        <v>1601</v>
      </c>
      <c r="L314" s="152" t="b">
        <v>1</v>
      </c>
      <c r="M314" s="152" t="b">
        <v>1</v>
      </c>
      <c r="N314" s="212" t="s">
        <v>2652</v>
      </c>
      <c r="O314" s="213" t="s">
        <v>1554</v>
      </c>
      <c r="P314" s="47" t="b">
        <v>0</v>
      </c>
      <c r="Q314" s="47" t="b">
        <v>0</v>
      </c>
      <c r="R314" s="214"/>
      <c r="S314" s="77">
        <v>0.0</v>
      </c>
      <c r="T314" s="214"/>
      <c r="U314" s="215"/>
      <c r="V314" s="215"/>
      <c r="W314" s="214"/>
      <c r="X314" s="214"/>
      <c r="Y314" s="77">
        <v>2400000.0</v>
      </c>
      <c r="Z314" s="77"/>
    </row>
    <row r="315">
      <c r="A315" s="145" t="s">
        <v>1479</v>
      </c>
      <c r="B315" s="145" t="s">
        <v>1788</v>
      </c>
      <c r="C315" s="145" t="s">
        <v>1543</v>
      </c>
      <c r="D315" s="75" t="s">
        <v>1544</v>
      </c>
      <c r="E315" s="75" t="s">
        <v>1544</v>
      </c>
      <c r="F315" s="211" t="s">
        <v>1637</v>
      </c>
      <c r="G315" s="145" t="s">
        <v>2657</v>
      </c>
      <c r="H315" s="211" t="s">
        <v>907</v>
      </c>
      <c r="I315" s="145" t="s">
        <v>25</v>
      </c>
      <c r="J315" s="211" t="s">
        <v>1639</v>
      </c>
      <c r="K315" s="75" t="s">
        <v>1544</v>
      </c>
      <c r="L315" s="152" t="b">
        <v>1</v>
      </c>
      <c r="M315" s="152" t="b">
        <v>0</v>
      </c>
      <c r="N315" s="212" t="s">
        <v>2660</v>
      </c>
      <c r="O315" s="213" t="s">
        <v>1554</v>
      </c>
      <c r="P315" s="47" t="b">
        <v>1</v>
      </c>
      <c r="Q315" s="47" t="b">
        <v>0</v>
      </c>
      <c r="R315" s="214"/>
      <c r="S315" s="77">
        <v>0.0</v>
      </c>
      <c r="T315" s="76" t="s">
        <v>1179</v>
      </c>
      <c r="U315" s="78">
        <v>1.4142467E7</v>
      </c>
      <c r="V315" s="215"/>
      <c r="W315" s="77">
        <v>1.4E7</v>
      </c>
      <c r="X315" s="77">
        <v>140000.0</v>
      </c>
      <c r="Y315" s="77">
        <v>60000.0</v>
      </c>
      <c r="Z315" s="77"/>
    </row>
    <row r="316">
      <c r="A316" s="145" t="s">
        <v>1467</v>
      </c>
      <c r="B316" s="145" t="s">
        <v>1467</v>
      </c>
      <c r="C316" s="145" t="s">
        <v>1600</v>
      </c>
      <c r="D316" s="75" t="s">
        <v>1544</v>
      </c>
      <c r="E316" s="75" t="s">
        <v>1601</v>
      </c>
      <c r="F316" s="211" t="s">
        <v>2662</v>
      </c>
      <c r="G316" s="145" t="s">
        <v>1468</v>
      </c>
      <c r="H316" s="211" t="s">
        <v>1018</v>
      </c>
      <c r="I316" s="145" t="s">
        <v>413</v>
      </c>
      <c r="J316" s="211" t="s">
        <v>2087</v>
      </c>
      <c r="K316" s="75" t="s">
        <v>1544</v>
      </c>
      <c r="L316" s="152" t="b">
        <v>0</v>
      </c>
      <c r="M316" s="152" t="b">
        <v>0</v>
      </c>
      <c r="N316" s="217"/>
      <c r="O316" s="213" t="s">
        <v>1554</v>
      </c>
      <c r="P316" s="47" t="b">
        <v>0</v>
      </c>
      <c r="Q316" s="47" t="b">
        <v>0</v>
      </c>
      <c r="R316" s="214"/>
      <c r="S316" s="77">
        <v>0.0</v>
      </c>
      <c r="T316" s="214"/>
      <c r="U316" s="215"/>
      <c r="V316" s="215"/>
      <c r="W316" s="214"/>
      <c r="X316" s="214"/>
      <c r="Y316" s="77">
        <v>112000.0</v>
      </c>
      <c r="Z316" s="77"/>
    </row>
    <row r="317">
      <c r="A317" s="145" t="s">
        <v>1625</v>
      </c>
      <c r="B317" s="145" t="s">
        <v>1625</v>
      </c>
      <c r="C317" s="145" t="s">
        <v>1266</v>
      </c>
      <c r="D317" s="75" t="s">
        <v>1601</v>
      </c>
      <c r="E317" s="75" t="s">
        <v>1601</v>
      </c>
      <c r="F317" s="211" t="s">
        <v>1973</v>
      </c>
      <c r="G317" s="145" t="s">
        <v>1627</v>
      </c>
      <c r="H317" s="211" t="s">
        <v>77</v>
      </c>
      <c r="I317" s="145" t="s">
        <v>218</v>
      </c>
      <c r="J317" s="211" t="s">
        <v>1639</v>
      </c>
      <c r="K317" s="75" t="s">
        <v>1544</v>
      </c>
      <c r="L317" s="152" t="b">
        <v>0</v>
      </c>
      <c r="M317" s="152" t="b">
        <v>0</v>
      </c>
      <c r="N317" s="217"/>
      <c r="O317" s="213" t="s">
        <v>1554</v>
      </c>
      <c r="P317" s="47" t="b">
        <v>0</v>
      </c>
      <c r="Q317" s="47" t="b">
        <v>0</v>
      </c>
      <c r="R317" s="214"/>
      <c r="S317" s="77">
        <v>0.0</v>
      </c>
      <c r="T317" s="214"/>
      <c r="U317" s="215"/>
      <c r="V317" s="215"/>
      <c r="W317" s="214"/>
      <c r="X317" s="214"/>
      <c r="Y317" s="77">
        <v>42000.0</v>
      </c>
      <c r="Z317" s="77"/>
    </row>
    <row r="318">
      <c r="A318" s="145" t="s">
        <v>533</v>
      </c>
      <c r="B318" s="145" t="s">
        <v>147</v>
      </c>
      <c r="C318" s="145" t="s">
        <v>2288</v>
      </c>
      <c r="D318" s="75" t="s">
        <v>1544</v>
      </c>
      <c r="E318" s="75" t="s">
        <v>1544</v>
      </c>
      <c r="F318" s="211" t="s">
        <v>1690</v>
      </c>
      <c r="G318" s="145" t="s">
        <v>1085</v>
      </c>
      <c r="H318" s="211" t="s">
        <v>586</v>
      </c>
      <c r="I318" s="145" t="s">
        <v>585</v>
      </c>
      <c r="J318" s="211" t="s">
        <v>1597</v>
      </c>
      <c r="K318" s="75" t="s">
        <v>1544</v>
      </c>
      <c r="L318" s="152" t="b">
        <v>1</v>
      </c>
      <c r="M318" s="152" t="b">
        <v>0</v>
      </c>
      <c r="N318" s="217"/>
      <c r="O318" s="213" t="s">
        <v>1554</v>
      </c>
      <c r="P318" s="47" t="b">
        <v>1</v>
      </c>
      <c r="Q318" s="47" t="b">
        <v>0</v>
      </c>
      <c r="R318" s="214"/>
      <c r="S318" s="77">
        <v>0.0</v>
      </c>
      <c r="T318" s="76" t="s">
        <v>1179</v>
      </c>
      <c r="U318" s="78">
        <v>2.3321411E7</v>
      </c>
      <c r="V318" s="215"/>
      <c r="W318" s="77">
        <v>2.4E7</v>
      </c>
      <c r="X318" s="77">
        <v>168000.0</v>
      </c>
      <c r="Y318" s="77">
        <v>100000.0</v>
      </c>
      <c r="Z318" s="77"/>
    </row>
    <row r="319">
      <c r="A319" s="145" t="s">
        <v>771</v>
      </c>
      <c r="B319" s="145" t="s">
        <v>147</v>
      </c>
      <c r="C319" s="145" t="s">
        <v>2288</v>
      </c>
      <c r="D319" s="75" t="s">
        <v>1544</v>
      </c>
      <c r="E319" s="75" t="s">
        <v>1601</v>
      </c>
      <c r="F319" s="211" t="s">
        <v>1690</v>
      </c>
      <c r="G319" s="145" t="s">
        <v>772</v>
      </c>
      <c r="H319" s="211" t="s">
        <v>77</v>
      </c>
      <c r="I319" s="145" t="s">
        <v>218</v>
      </c>
      <c r="J319" s="211" t="s">
        <v>1597</v>
      </c>
      <c r="K319" s="75" t="s">
        <v>1544</v>
      </c>
      <c r="L319" s="152" t="b">
        <v>1</v>
      </c>
      <c r="M319" s="152" t="b">
        <v>0</v>
      </c>
      <c r="N319" s="217"/>
      <c r="O319" s="213" t="s">
        <v>1554</v>
      </c>
      <c r="P319" s="47" t="b">
        <v>0</v>
      </c>
      <c r="Q319" s="47" t="b">
        <v>0</v>
      </c>
      <c r="R319" s="214"/>
      <c r="S319" s="77">
        <v>0.0</v>
      </c>
      <c r="T319" s="214"/>
      <c r="U319" s="215"/>
      <c r="V319" s="215"/>
      <c r="W319" s="214"/>
      <c r="X319" s="214"/>
      <c r="Y319" s="77">
        <v>100000.0</v>
      </c>
      <c r="Z319" s="77"/>
    </row>
    <row r="320">
      <c r="A320" s="145" t="s">
        <v>621</v>
      </c>
      <c r="B320" s="145" t="s">
        <v>621</v>
      </c>
      <c r="C320" s="145" t="s">
        <v>2398</v>
      </c>
      <c r="D320" s="75" t="s">
        <v>1544</v>
      </c>
      <c r="E320" s="75" t="s">
        <v>1544</v>
      </c>
      <c r="F320" s="211" t="s">
        <v>1602</v>
      </c>
      <c r="G320" s="145" t="s">
        <v>622</v>
      </c>
      <c r="H320" s="211" t="s">
        <v>87</v>
      </c>
      <c r="I320" s="145" t="s">
        <v>267</v>
      </c>
      <c r="J320" s="211" t="s">
        <v>1603</v>
      </c>
      <c r="K320" s="75" t="s">
        <v>1601</v>
      </c>
      <c r="L320" s="152" t="b">
        <v>1</v>
      </c>
      <c r="M320" s="152" t="b">
        <v>1</v>
      </c>
      <c r="N320" s="217"/>
      <c r="O320" s="213" t="s">
        <v>1554</v>
      </c>
      <c r="P320" s="47" t="b">
        <v>0</v>
      </c>
      <c r="Q320" s="47" t="b">
        <v>0</v>
      </c>
      <c r="R320" s="214"/>
      <c r="S320" s="77">
        <v>0.0</v>
      </c>
      <c r="T320" s="76" t="s">
        <v>1161</v>
      </c>
      <c r="U320" s="215"/>
      <c r="V320" s="215"/>
      <c r="W320" s="214"/>
      <c r="X320" s="214"/>
      <c r="Y320" s="77">
        <v>1.0</v>
      </c>
      <c r="Z320" s="77"/>
    </row>
    <row r="321">
      <c r="A321" s="145" t="s">
        <v>508</v>
      </c>
      <c r="B321" s="145" t="s">
        <v>1720</v>
      </c>
      <c r="C321" s="145" t="s">
        <v>1543</v>
      </c>
      <c r="D321" s="75" t="s">
        <v>1544</v>
      </c>
      <c r="E321" s="75" t="s">
        <v>1544</v>
      </c>
      <c r="F321" s="211" t="s">
        <v>1851</v>
      </c>
      <c r="G321" s="145" t="s">
        <v>1382</v>
      </c>
      <c r="H321" s="211" t="s">
        <v>1018</v>
      </c>
      <c r="I321" s="145" t="s">
        <v>83</v>
      </c>
      <c r="J321" s="211" t="s">
        <v>1639</v>
      </c>
      <c r="K321" s="75" t="s">
        <v>1544</v>
      </c>
      <c r="L321" s="152" t="b">
        <v>1</v>
      </c>
      <c r="M321" s="152" t="b">
        <v>0</v>
      </c>
      <c r="N321" s="212" t="s">
        <v>2681</v>
      </c>
      <c r="O321" s="213" t="s">
        <v>1554</v>
      </c>
      <c r="P321" s="47" t="b">
        <v>1</v>
      </c>
      <c r="Q321" s="47" t="b">
        <v>0</v>
      </c>
      <c r="R321" s="214"/>
      <c r="S321" s="77">
        <v>0.0</v>
      </c>
      <c r="T321" s="76" t="s">
        <v>1179</v>
      </c>
      <c r="U321" s="78">
        <v>1.2602651E7</v>
      </c>
      <c r="V321" s="215"/>
      <c r="W321" s="216">
        <v>1.2E7</v>
      </c>
      <c r="X321" s="77">
        <v>96000.0</v>
      </c>
      <c r="Y321" s="77">
        <v>48000.0</v>
      </c>
      <c r="Z321" s="77"/>
    </row>
    <row r="322">
      <c r="A322" s="145" t="s">
        <v>415</v>
      </c>
      <c r="B322" s="145" t="s">
        <v>1632</v>
      </c>
      <c r="C322" s="145" t="s">
        <v>1543</v>
      </c>
      <c r="D322" s="75" t="s">
        <v>1544</v>
      </c>
      <c r="E322" s="75" t="s">
        <v>1544</v>
      </c>
      <c r="F322" s="211" t="s">
        <v>1547</v>
      </c>
      <c r="G322" s="145" t="s">
        <v>2684</v>
      </c>
      <c r="H322" s="211" t="s">
        <v>77</v>
      </c>
      <c r="I322" s="145" t="s">
        <v>325</v>
      </c>
      <c r="J322" s="211" t="s">
        <v>1549</v>
      </c>
      <c r="K322" s="75" t="s">
        <v>1544</v>
      </c>
      <c r="L322" s="152" t="b">
        <v>1</v>
      </c>
      <c r="M322" s="152" t="b">
        <v>0</v>
      </c>
      <c r="N322" s="212" t="s">
        <v>2685</v>
      </c>
      <c r="O322" s="213" t="s">
        <v>1554</v>
      </c>
      <c r="P322" s="47" t="b">
        <v>1</v>
      </c>
      <c r="Q322" s="47" t="b">
        <v>0</v>
      </c>
      <c r="R322" s="214"/>
      <c r="S322" s="77">
        <v>0.0</v>
      </c>
      <c r="T322" s="76" t="s">
        <v>1179</v>
      </c>
      <c r="U322" s="78">
        <v>1.1213986E7</v>
      </c>
      <c r="V322" s="215"/>
      <c r="W322" s="77">
        <v>1.2E7</v>
      </c>
      <c r="X322" s="77">
        <v>120000.0</v>
      </c>
      <c r="Y322" s="77">
        <v>40000.0</v>
      </c>
      <c r="Z322" s="77"/>
    </row>
    <row r="323">
      <c r="A323" s="145" t="s">
        <v>683</v>
      </c>
      <c r="B323" s="145" t="s">
        <v>2465</v>
      </c>
      <c r="C323" s="145" t="s">
        <v>1543</v>
      </c>
      <c r="D323" s="75" t="s">
        <v>1544</v>
      </c>
      <c r="E323" s="75" t="s">
        <v>1544</v>
      </c>
      <c r="F323" s="211" t="s">
        <v>1690</v>
      </c>
      <c r="G323" s="145" t="s">
        <v>2689</v>
      </c>
      <c r="H323" s="211" t="s">
        <v>586</v>
      </c>
      <c r="I323" s="145" t="s">
        <v>674</v>
      </c>
      <c r="J323" s="211" t="s">
        <v>1597</v>
      </c>
      <c r="K323" s="75" t="s">
        <v>1544</v>
      </c>
      <c r="L323" s="152" t="b">
        <v>1</v>
      </c>
      <c r="M323" s="152" t="b">
        <v>0</v>
      </c>
      <c r="N323" s="212" t="s">
        <v>2690</v>
      </c>
      <c r="O323" s="213" t="s">
        <v>1554</v>
      </c>
      <c r="P323" s="47" t="b">
        <v>1</v>
      </c>
      <c r="Q323" s="47" t="b">
        <v>0</v>
      </c>
      <c r="R323" s="214"/>
      <c r="S323" s="77">
        <v>0.0</v>
      </c>
      <c r="T323" s="76" t="s">
        <v>1179</v>
      </c>
      <c r="U323" s="78">
        <v>3.6436224E7</v>
      </c>
      <c r="V323" s="215"/>
      <c r="W323" s="216">
        <v>3.6E7</v>
      </c>
      <c r="X323" s="77">
        <v>252000.0</v>
      </c>
      <c r="Y323" s="77">
        <v>100000.0</v>
      </c>
      <c r="Z323" s="77"/>
    </row>
    <row r="324">
      <c r="A324" s="145" t="s">
        <v>696</v>
      </c>
      <c r="B324" s="145" t="s">
        <v>2206</v>
      </c>
      <c r="C324" s="145" t="s">
        <v>1543</v>
      </c>
      <c r="D324" s="75" t="s">
        <v>1544</v>
      </c>
      <c r="E324" s="75" t="s">
        <v>1544</v>
      </c>
      <c r="F324" s="211" t="s">
        <v>1690</v>
      </c>
      <c r="G324" s="145" t="s">
        <v>2692</v>
      </c>
      <c r="H324" s="211" t="s">
        <v>586</v>
      </c>
      <c r="I324" s="145" t="s">
        <v>674</v>
      </c>
      <c r="J324" s="211" t="s">
        <v>1597</v>
      </c>
      <c r="K324" s="75" t="s">
        <v>1544</v>
      </c>
      <c r="L324" s="152" t="b">
        <v>1</v>
      </c>
      <c r="M324" s="152" t="b">
        <v>0</v>
      </c>
      <c r="N324" s="212" t="s">
        <v>2694</v>
      </c>
      <c r="O324" s="213" t="s">
        <v>1554</v>
      </c>
      <c r="P324" s="47" t="b">
        <v>1</v>
      </c>
      <c r="Q324" s="47" t="b">
        <v>0</v>
      </c>
      <c r="R324" s="214"/>
      <c r="S324" s="77">
        <v>0.0</v>
      </c>
      <c r="T324" s="76" t="s">
        <v>1179</v>
      </c>
      <c r="U324" s="78">
        <v>2.4220776E7</v>
      </c>
      <c r="V324" s="215"/>
      <c r="W324" s="216">
        <v>2.4E7</v>
      </c>
      <c r="X324" s="77">
        <v>168000.0</v>
      </c>
      <c r="Y324" s="77">
        <v>100000.0</v>
      </c>
      <c r="Z324" s="77"/>
    </row>
    <row r="325">
      <c r="A325" s="145" t="s">
        <v>423</v>
      </c>
      <c r="B325" s="145" t="s">
        <v>1636</v>
      </c>
      <c r="C325" s="145" t="s">
        <v>1543</v>
      </c>
      <c r="D325" s="75" t="s">
        <v>1544</v>
      </c>
      <c r="E325" s="75" t="s">
        <v>1544</v>
      </c>
      <c r="F325" s="211" t="s">
        <v>1575</v>
      </c>
      <c r="G325" s="145" t="s">
        <v>2697</v>
      </c>
      <c r="H325" s="211" t="s">
        <v>77</v>
      </c>
      <c r="I325" s="145" t="s">
        <v>413</v>
      </c>
      <c r="J325" s="211" t="s">
        <v>1577</v>
      </c>
      <c r="K325" s="75" t="s">
        <v>1544</v>
      </c>
      <c r="L325" s="152" t="b">
        <v>1</v>
      </c>
      <c r="M325" s="152" t="b">
        <v>0</v>
      </c>
      <c r="N325" s="212" t="s">
        <v>2698</v>
      </c>
      <c r="O325" s="213" t="s">
        <v>1554</v>
      </c>
      <c r="P325" s="47" t="b">
        <v>1</v>
      </c>
      <c r="Q325" s="47" t="b">
        <v>0</v>
      </c>
      <c r="R325" s="214"/>
      <c r="S325" s="77">
        <v>0.0</v>
      </c>
      <c r="T325" s="76" t="s">
        <v>1179</v>
      </c>
      <c r="U325" s="78">
        <v>7002226.0</v>
      </c>
      <c r="V325" s="215"/>
      <c r="W325" s="216">
        <v>8000000.0</v>
      </c>
      <c r="X325" s="77">
        <v>80000.0</v>
      </c>
      <c r="Y325" s="77">
        <v>20000.0</v>
      </c>
      <c r="Z325" s="77"/>
    </row>
    <row r="326">
      <c r="A326" s="145" t="s">
        <v>1333</v>
      </c>
      <c r="B326" s="145" t="s">
        <v>1333</v>
      </c>
      <c r="C326" s="145" t="s">
        <v>1266</v>
      </c>
      <c r="D326" s="75" t="s">
        <v>1601</v>
      </c>
      <c r="E326" s="75" t="s">
        <v>1601</v>
      </c>
      <c r="F326" s="211" t="s">
        <v>87</v>
      </c>
      <c r="G326" s="145" t="s">
        <v>1334</v>
      </c>
      <c r="H326" s="211" t="s">
        <v>77</v>
      </c>
      <c r="I326" s="145" t="s">
        <v>674</v>
      </c>
      <c r="J326" s="211" t="s">
        <v>87</v>
      </c>
      <c r="K326" s="75" t="s">
        <v>1544</v>
      </c>
      <c r="L326" s="152" t="b">
        <v>0</v>
      </c>
      <c r="M326" s="152" t="b">
        <v>0</v>
      </c>
      <c r="N326" s="217"/>
      <c r="O326" s="213" t="s">
        <v>1554</v>
      </c>
      <c r="P326" s="47" t="b">
        <v>0</v>
      </c>
      <c r="Q326" s="47" t="b">
        <v>0</v>
      </c>
      <c r="R326" s="214"/>
      <c r="S326" s="77">
        <v>0.0</v>
      </c>
      <c r="T326" s="214"/>
      <c r="U326" s="215"/>
      <c r="V326" s="215"/>
      <c r="W326" s="218"/>
      <c r="X326" s="218"/>
      <c r="Y326" s="216">
        <v>0.0</v>
      </c>
      <c r="Z326" s="216"/>
    </row>
    <row r="327">
      <c r="A327" s="145" t="s">
        <v>491</v>
      </c>
      <c r="B327" s="145" t="s">
        <v>491</v>
      </c>
      <c r="C327" s="145" t="s">
        <v>1600</v>
      </c>
      <c r="D327" s="75" t="s">
        <v>1544</v>
      </c>
      <c r="E327" s="75" t="s">
        <v>1544</v>
      </c>
      <c r="F327" s="211" t="s">
        <v>1602</v>
      </c>
      <c r="G327" s="145" t="s">
        <v>492</v>
      </c>
      <c r="H327" s="211" t="s">
        <v>87</v>
      </c>
      <c r="I327" s="145" t="s">
        <v>267</v>
      </c>
      <c r="J327" s="211" t="s">
        <v>1603</v>
      </c>
      <c r="K327" s="75" t="s">
        <v>1544</v>
      </c>
      <c r="L327" s="152" t="b">
        <v>0</v>
      </c>
      <c r="M327" s="152" t="b">
        <v>0</v>
      </c>
      <c r="N327" s="217"/>
      <c r="O327" s="213" t="s">
        <v>1554</v>
      </c>
      <c r="P327" s="47" t="b">
        <v>0</v>
      </c>
      <c r="Q327" s="47" t="b">
        <v>0</v>
      </c>
      <c r="R327" s="214"/>
      <c r="S327" s="77">
        <v>0.0</v>
      </c>
      <c r="T327" s="76" t="s">
        <v>1179</v>
      </c>
      <c r="U327" s="215"/>
      <c r="V327" s="215"/>
      <c r="W327" s="214"/>
      <c r="X327" s="214"/>
      <c r="Y327" s="77">
        <v>1.0</v>
      </c>
      <c r="Z327" s="77"/>
    </row>
    <row r="328">
      <c r="A328" s="145" t="s">
        <v>235</v>
      </c>
      <c r="B328" s="145" t="s">
        <v>1658</v>
      </c>
      <c r="C328" s="145" t="s">
        <v>1543</v>
      </c>
      <c r="D328" s="75" t="s">
        <v>1544</v>
      </c>
      <c r="E328" s="75" t="s">
        <v>1544</v>
      </c>
      <c r="F328" s="211" t="s">
        <v>1649</v>
      </c>
      <c r="G328" s="145" t="s">
        <v>2707</v>
      </c>
      <c r="H328" s="211" t="s">
        <v>1018</v>
      </c>
      <c r="I328" s="145" t="s">
        <v>92</v>
      </c>
      <c r="J328" s="211" t="s">
        <v>1549</v>
      </c>
      <c r="K328" s="75" t="s">
        <v>1544</v>
      </c>
      <c r="L328" s="152" t="b">
        <v>1</v>
      </c>
      <c r="M328" s="152" t="b">
        <v>0</v>
      </c>
      <c r="N328" s="212" t="s">
        <v>2710</v>
      </c>
      <c r="O328" s="213" t="s">
        <v>1554</v>
      </c>
      <c r="P328" s="47" t="b">
        <v>1</v>
      </c>
      <c r="Q328" s="47" t="b">
        <v>0</v>
      </c>
      <c r="R328" s="214"/>
      <c r="S328" s="77">
        <v>0.0</v>
      </c>
      <c r="T328" s="76" t="s">
        <v>1179</v>
      </c>
      <c r="U328" s="78">
        <v>1.2084047E7</v>
      </c>
      <c r="V328" s="215"/>
      <c r="W328" s="216">
        <v>1.2E7</v>
      </c>
      <c r="X328" s="77">
        <v>96000.0</v>
      </c>
      <c r="Y328" s="77">
        <v>32000.0</v>
      </c>
      <c r="Z328" s="77"/>
    </row>
    <row r="329">
      <c r="A329" s="145" t="s">
        <v>1698</v>
      </c>
      <c r="B329" s="145" t="s">
        <v>1698</v>
      </c>
      <c r="C329" s="145" t="s">
        <v>1600</v>
      </c>
      <c r="D329" s="75" t="s">
        <v>1544</v>
      </c>
      <c r="E329" s="75" t="s">
        <v>1601</v>
      </c>
      <c r="F329" s="211" t="s">
        <v>1602</v>
      </c>
      <c r="G329" s="145" t="s">
        <v>1699</v>
      </c>
      <c r="H329" s="211" t="s">
        <v>87</v>
      </c>
      <c r="I329" s="145" t="s">
        <v>267</v>
      </c>
      <c r="J329" s="211" t="s">
        <v>1603</v>
      </c>
      <c r="K329" s="75" t="s">
        <v>1544</v>
      </c>
      <c r="L329" s="152" t="b">
        <v>0</v>
      </c>
      <c r="M329" s="152" t="b">
        <v>0</v>
      </c>
      <c r="N329" s="217"/>
      <c r="O329" s="213" t="s">
        <v>1554</v>
      </c>
      <c r="P329" s="47" t="b">
        <v>0</v>
      </c>
      <c r="Q329" s="47" t="b">
        <v>0</v>
      </c>
      <c r="R329" s="214"/>
      <c r="S329" s="77">
        <v>0.0</v>
      </c>
      <c r="T329" s="218"/>
      <c r="U329" s="215"/>
      <c r="V329" s="215"/>
      <c r="W329" s="218"/>
      <c r="X329" s="214"/>
      <c r="Y329" s="77">
        <v>1.0</v>
      </c>
      <c r="Z329" s="77"/>
    </row>
    <row r="330">
      <c r="A330" s="145" t="s">
        <v>440</v>
      </c>
      <c r="B330" s="145" t="s">
        <v>440</v>
      </c>
      <c r="C330" s="145" t="s">
        <v>1600</v>
      </c>
      <c r="D330" s="75" t="s">
        <v>1544</v>
      </c>
      <c r="E330" s="75" t="s">
        <v>1601</v>
      </c>
      <c r="F330" s="211" t="s">
        <v>1547</v>
      </c>
      <c r="G330" s="145" t="s">
        <v>441</v>
      </c>
      <c r="H330" s="211" t="s">
        <v>77</v>
      </c>
      <c r="I330" s="145" t="s">
        <v>54</v>
      </c>
      <c r="J330" s="211" t="s">
        <v>1549</v>
      </c>
      <c r="K330" s="75" t="s">
        <v>1544</v>
      </c>
      <c r="L330" s="152" t="b">
        <v>0</v>
      </c>
      <c r="M330" s="152" t="b">
        <v>0</v>
      </c>
      <c r="N330" s="217"/>
      <c r="O330" s="213" t="s">
        <v>1554</v>
      </c>
      <c r="P330" s="47" t="b">
        <v>0</v>
      </c>
      <c r="Q330" s="47" t="b">
        <v>0</v>
      </c>
      <c r="R330" s="214"/>
      <c r="S330" s="77">
        <v>0.0</v>
      </c>
      <c r="T330" s="214"/>
      <c r="U330" s="215"/>
      <c r="V330" s="215"/>
      <c r="W330" s="218"/>
      <c r="X330" s="214"/>
      <c r="Y330" s="77">
        <v>40000.0</v>
      </c>
      <c r="Z330" s="77"/>
    </row>
    <row r="331">
      <c r="A331" s="145" t="s">
        <v>403</v>
      </c>
      <c r="B331" s="145" t="s">
        <v>1788</v>
      </c>
      <c r="C331" s="145" t="s">
        <v>1543</v>
      </c>
      <c r="D331" s="75" t="s">
        <v>1544</v>
      </c>
      <c r="E331" s="75" t="s">
        <v>1544</v>
      </c>
      <c r="F331" s="211" t="s">
        <v>1547</v>
      </c>
      <c r="G331" s="145" t="s">
        <v>2716</v>
      </c>
      <c r="H331" s="211" t="s">
        <v>907</v>
      </c>
      <c r="I331" s="145" t="s">
        <v>25</v>
      </c>
      <c r="J331" s="211" t="s">
        <v>1549</v>
      </c>
      <c r="K331" s="75" t="s">
        <v>1544</v>
      </c>
      <c r="L331" s="152" t="b">
        <v>1</v>
      </c>
      <c r="M331" s="152" t="b">
        <v>0</v>
      </c>
      <c r="N331" s="212" t="s">
        <v>2717</v>
      </c>
      <c r="O331" s="213" t="s">
        <v>1554</v>
      </c>
      <c r="P331" s="47" t="b">
        <v>1</v>
      </c>
      <c r="Q331" s="47" t="b">
        <v>0</v>
      </c>
      <c r="R331" s="214"/>
      <c r="S331" s="77">
        <v>0.0</v>
      </c>
      <c r="T331" s="76" t="s">
        <v>1179</v>
      </c>
      <c r="U331" s="78">
        <v>1.1572216E7</v>
      </c>
      <c r="V331" s="215"/>
      <c r="W331" s="77">
        <v>1.2E7</v>
      </c>
      <c r="X331" s="77">
        <v>120000.0</v>
      </c>
      <c r="Y331" s="77">
        <v>40000.0</v>
      </c>
      <c r="Z331" s="77"/>
    </row>
    <row r="332">
      <c r="A332" s="145" t="s">
        <v>1731</v>
      </c>
      <c r="B332" s="145" t="s">
        <v>1968</v>
      </c>
      <c r="C332" s="145" t="s">
        <v>1543</v>
      </c>
      <c r="D332" s="75" t="s">
        <v>1544</v>
      </c>
      <c r="E332" s="75" t="s">
        <v>1544</v>
      </c>
      <c r="F332" s="211" t="s">
        <v>1637</v>
      </c>
      <c r="G332" s="145" t="s">
        <v>2213</v>
      </c>
      <c r="H332" s="211" t="s">
        <v>77</v>
      </c>
      <c r="I332" s="145" t="s">
        <v>340</v>
      </c>
      <c r="J332" s="211" t="s">
        <v>1639</v>
      </c>
      <c r="K332" s="75" t="s">
        <v>1544</v>
      </c>
      <c r="L332" s="152" t="b">
        <v>1</v>
      </c>
      <c r="M332" s="152" t="b">
        <v>0</v>
      </c>
      <c r="N332" s="212" t="s">
        <v>2721</v>
      </c>
      <c r="O332" s="213" t="s">
        <v>1554</v>
      </c>
      <c r="P332" s="47" t="b">
        <v>1</v>
      </c>
      <c r="Q332" s="47" t="b">
        <v>0</v>
      </c>
      <c r="R332" s="214"/>
      <c r="S332" s="77">
        <v>0.0</v>
      </c>
      <c r="T332" s="76" t="s">
        <v>1179</v>
      </c>
      <c r="U332" s="78">
        <v>1.4301776E7</v>
      </c>
      <c r="V332" s="215"/>
      <c r="W332" s="77">
        <v>1.4E7</v>
      </c>
      <c r="X332" s="77">
        <v>140000.0</v>
      </c>
      <c r="Y332" s="77">
        <v>60000.0</v>
      </c>
      <c r="Z332" s="77"/>
    </row>
    <row r="333">
      <c r="A333" s="145" t="s">
        <v>1530</v>
      </c>
      <c r="B333" s="145" t="s">
        <v>1658</v>
      </c>
      <c r="C333" s="145" t="s">
        <v>1543</v>
      </c>
      <c r="D333" s="75" t="s">
        <v>1544</v>
      </c>
      <c r="E333" s="75" t="s">
        <v>1544</v>
      </c>
      <c r="F333" s="211" t="s">
        <v>1721</v>
      </c>
      <c r="G333" s="145" t="s">
        <v>2725</v>
      </c>
      <c r="H333" s="211" t="s">
        <v>1018</v>
      </c>
      <c r="I333" s="145" t="s">
        <v>92</v>
      </c>
      <c r="J333" s="211" t="s">
        <v>1609</v>
      </c>
      <c r="K333" s="75" t="s">
        <v>1544</v>
      </c>
      <c r="L333" s="152" t="b">
        <v>1</v>
      </c>
      <c r="M333" s="152" t="b">
        <v>0</v>
      </c>
      <c r="N333" s="212" t="s">
        <v>2726</v>
      </c>
      <c r="O333" s="213" t="s">
        <v>1554</v>
      </c>
      <c r="P333" s="47" t="b">
        <v>1</v>
      </c>
      <c r="Q333" s="47" t="b">
        <v>0</v>
      </c>
      <c r="R333" s="214"/>
      <c r="S333" s="77">
        <v>0.0</v>
      </c>
      <c r="T333" s="76" t="s">
        <v>1179</v>
      </c>
      <c r="U333" s="78">
        <v>1.9337383E7</v>
      </c>
      <c r="V333" s="215"/>
      <c r="W333" s="216">
        <v>2.0E7</v>
      </c>
      <c r="X333" s="77">
        <v>160000.0</v>
      </c>
      <c r="Y333" s="77">
        <v>64000.0</v>
      </c>
      <c r="Z333" s="77"/>
    </row>
    <row r="334">
      <c r="A334" s="145" t="s">
        <v>426</v>
      </c>
      <c r="B334" s="145" t="s">
        <v>1679</v>
      </c>
      <c r="C334" s="145" t="s">
        <v>1543</v>
      </c>
      <c r="D334" s="75" t="s">
        <v>1544</v>
      </c>
      <c r="E334" s="75" t="s">
        <v>1544</v>
      </c>
      <c r="F334" s="211" t="s">
        <v>1575</v>
      </c>
      <c r="G334" s="145" t="s">
        <v>2729</v>
      </c>
      <c r="H334" s="211" t="s">
        <v>77</v>
      </c>
      <c r="I334" s="145" t="s">
        <v>174</v>
      </c>
      <c r="J334" s="211" t="s">
        <v>1577</v>
      </c>
      <c r="K334" s="75" t="s">
        <v>1544</v>
      </c>
      <c r="L334" s="152" t="b">
        <v>1</v>
      </c>
      <c r="M334" s="152" t="b">
        <v>0</v>
      </c>
      <c r="N334" s="212" t="s">
        <v>2732</v>
      </c>
      <c r="O334" s="213" t="s">
        <v>1554</v>
      </c>
      <c r="P334" s="47" t="b">
        <v>1</v>
      </c>
      <c r="Q334" s="47" t="b">
        <v>0</v>
      </c>
      <c r="R334" s="214"/>
      <c r="S334" s="77">
        <v>0.0</v>
      </c>
      <c r="T334" s="76" t="s">
        <v>1179</v>
      </c>
      <c r="U334" s="78">
        <v>6728099.0</v>
      </c>
      <c r="V334" s="215"/>
      <c r="W334" s="77">
        <v>6000000.0</v>
      </c>
      <c r="X334" s="216">
        <v>60000.0</v>
      </c>
      <c r="Y334" s="77">
        <v>20000.0</v>
      </c>
      <c r="Z334" s="77"/>
    </row>
    <row r="335">
      <c r="A335" s="145" t="s">
        <v>1718</v>
      </c>
      <c r="B335" s="145" t="s">
        <v>1718</v>
      </c>
      <c r="C335" s="145" t="s">
        <v>1600</v>
      </c>
      <c r="D335" s="75" t="s">
        <v>1544</v>
      </c>
      <c r="E335" s="75" t="s">
        <v>1601</v>
      </c>
      <c r="F335" s="211" t="s">
        <v>1547</v>
      </c>
      <c r="G335" s="145" t="s">
        <v>1719</v>
      </c>
      <c r="H335" s="211" t="s">
        <v>77</v>
      </c>
      <c r="I335" s="145" t="s">
        <v>340</v>
      </c>
      <c r="J335" s="211" t="s">
        <v>1549</v>
      </c>
      <c r="K335" s="75" t="s">
        <v>1544</v>
      </c>
      <c r="L335" s="152" t="b">
        <v>0</v>
      </c>
      <c r="M335" s="152" t="b">
        <v>0</v>
      </c>
      <c r="N335" s="217"/>
      <c r="O335" s="213" t="s">
        <v>1554</v>
      </c>
      <c r="P335" s="47" t="b">
        <v>0</v>
      </c>
      <c r="Q335" s="47" t="b">
        <v>0</v>
      </c>
      <c r="R335" s="214"/>
      <c r="S335" s="77">
        <v>0.0</v>
      </c>
      <c r="T335" s="214"/>
      <c r="U335" s="215"/>
      <c r="V335" s="215"/>
      <c r="W335" s="214"/>
      <c r="X335" s="218"/>
      <c r="Y335" s="77">
        <v>40000.0</v>
      </c>
      <c r="Z335" s="77"/>
    </row>
    <row r="336">
      <c r="A336" s="145" t="s">
        <v>642</v>
      </c>
      <c r="B336" s="145" t="s">
        <v>1653</v>
      </c>
      <c r="C336" s="145" t="s">
        <v>1543</v>
      </c>
      <c r="D336" s="75" t="s">
        <v>1544</v>
      </c>
      <c r="E336" s="75" t="s">
        <v>1544</v>
      </c>
      <c r="F336" s="211" t="s">
        <v>1557</v>
      </c>
      <c r="G336" s="145" t="s">
        <v>2737</v>
      </c>
      <c r="H336" s="211" t="s">
        <v>625</v>
      </c>
      <c r="I336" s="145" t="s">
        <v>624</v>
      </c>
      <c r="J336" s="211" t="s">
        <v>1561</v>
      </c>
      <c r="K336" s="75" t="s">
        <v>1544</v>
      </c>
      <c r="L336" s="152" t="b">
        <v>1</v>
      </c>
      <c r="M336" s="152" t="b">
        <v>0</v>
      </c>
      <c r="N336" s="212" t="s">
        <v>2738</v>
      </c>
      <c r="O336" s="213" t="s">
        <v>1554</v>
      </c>
      <c r="P336" s="47" t="b">
        <v>1</v>
      </c>
      <c r="Q336" s="47" t="b">
        <v>0</v>
      </c>
      <c r="R336" s="214"/>
      <c r="S336" s="77">
        <v>0.0</v>
      </c>
      <c r="T336" s="76" t="s">
        <v>1179</v>
      </c>
      <c r="U336" s="78">
        <v>2.3226026E7</v>
      </c>
      <c r="V336" s="215"/>
      <c r="W336" s="216">
        <v>2.4E7</v>
      </c>
      <c r="X336" s="216">
        <v>2.4E9</v>
      </c>
      <c r="Y336" s="216">
        <v>6000000.0</v>
      </c>
      <c r="Z336" s="77"/>
    </row>
    <row r="337">
      <c r="A337" s="145" t="s">
        <v>698</v>
      </c>
      <c r="B337" s="145" t="s">
        <v>2206</v>
      </c>
      <c r="C337" s="145" t="s">
        <v>1543</v>
      </c>
      <c r="D337" s="75" t="s">
        <v>1544</v>
      </c>
      <c r="E337" s="75" t="s">
        <v>1544</v>
      </c>
      <c r="F337" s="211" t="s">
        <v>2743</v>
      </c>
      <c r="G337" s="145" t="s">
        <v>920</v>
      </c>
      <c r="H337" s="211" t="s">
        <v>586</v>
      </c>
      <c r="I337" s="145" t="s">
        <v>674</v>
      </c>
      <c r="J337" s="211" t="s">
        <v>1561</v>
      </c>
      <c r="K337" s="75" t="s">
        <v>1544</v>
      </c>
      <c r="L337" s="152" t="b">
        <v>1</v>
      </c>
      <c r="M337" s="152" t="b">
        <v>0</v>
      </c>
      <c r="N337" s="212" t="s">
        <v>2745</v>
      </c>
      <c r="O337" s="213" t="s">
        <v>1554</v>
      </c>
      <c r="P337" s="47" t="b">
        <v>1</v>
      </c>
      <c r="Q337" s="47" t="b">
        <v>0</v>
      </c>
      <c r="R337" s="214"/>
      <c r="S337" s="77">
        <v>0.0</v>
      </c>
      <c r="T337" s="76" t="s">
        <v>1179</v>
      </c>
      <c r="U337" s="78">
        <v>8.0449887E7</v>
      </c>
      <c r="V337" s="215"/>
      <c r="W337" s="216">
        <v>8.0E7</v>
      </c>
      <c r="X337" s="77">
        <v>560000.0</v>
      </c>
      <c r="Y337" s="77">
        <v>166777.0</v>
      </c>
      <c r="Z337" s="77"/>
    </row>
    <row r="338">
      <c r="A338" s="145" t="s">
        <v>1676</v>
      </c>
      <c r="B338" s="145" t="s">
        <v>1707</v>
      </c>
      <c r="C338" s="145" t="s">
        <v>1543</v>
      </c>
      <c r="D338" s="75" t="s">
        <v>1544</v>
      </c>
      <c r="E338" s="75" t="s">
        <v>1544</v>
      </c>
      <c r="F338" s="211" t="s">
        <v>1547</v>
      </c>
      <c r="G338" s="145" t="s">
        <v>1814</v>
      </c>
      <c r="H338" s="211" t="s">
        <v>77</v>
      </c>
      <c r="I338" s="145" t="s">
        <v>327</v>
      </c>
      <c r="J338" s="211" t="s">
        <v>1549</v>
      </c>
      <c r="K338" s="75" t="s">
        <v>1544</v>
      </c>
      <c r="L338" s="152" t="b">
        <v>1</v>
      </c>
      <c r="M338" s="152" t="b">
        <v>0</v>
      </c>
      <c r="N338" s="212" t="s">
        <v>2749</v>
      </c>
      <c r="O338" s="213" t="s">
        <v>1554</v>
      </c>
      <c r="P338" s="47" t="b">
        <v>1</v>
      </c>
      <c r="Q338" s="47" t="b">
        <v>0</v>
      </c>
      <c r="R338" s="214"/>
      <c r="S338" s="77">
        <v>0.0</v>
      </c>
      <c r="T338" s="76" t="s">
        <v>1179</v>
      </c>
      <c r="U338" s="78">
        <v>8792614.0</v>
      </c>
      <c r="V338" s="215"/>
      <c r="W338" s="216">
        <v>8000000.0</v>
      </c>
      <c r="X338" s="77">
        <v>80000.0</v>
      </c>
      <c r="Y338" s="77">
        <v>40000.0</v>
      </c>
      <c r="Z338" s="77"/>
    </row>
    <row r="339">
      <c r="A339" s="145" t="s">
        <v>1615</v>
      </c>
      <c r="B339" s="145" t="s">
        <v>1615</v>
      </c>
      <c r="C339" s="145" t="s">
        <v>1266</v>
      </c>
      <c r="D339" s="75" t="s">
        <v>1544</v>
      </c>
      <c r="E339" s="75" t="s">
        <v>1601</v>
      </c>
      <c r="F339" s="211" t="s">
        <v>2244</v>
      </c>
      <c r="G339" s="145" t="s">
        <v>1616</v>
      </c>
      <c r="H339" s="211" t="s">
        <v>77</v>
      </c>
      <c r="I339" s="145" t="s">
        <v>674</v>
      </c>
      <c r="J339" s="211" t="s">
        <v>1577</v>
      </c>
      <c r="K339" s="75" t="s">
        <v>1544</v>
      </c>
      <c r="L339" s="152" t="b">
        <v>0</v>
      </c>
      <c r="M339" s="152" t="b">
        <v>0</v>
      </c>
      <c r="N339" s="217"/>
      <c r="O339" s="213" t="s">
        <v>1554</v>
      </c>
      <c r="P339" s="47" t="b">
        <v>0</v>
      </c>
      <c r="Q339" s="47" t="b">
        <v>0</v>
      </c>
      <c r="R339" s="214"/>
      <c r="S339" s="77">
        <v>0.0</v>
      </c>
      <c r="T339" s="214"/>
      <c r="U339" s="215"/>
      <c r="V339" s="215"/>
      <c r="W339" s="218"/>
      <c r="X339" s="218"/>
      <c r="Y339" s="77">
        <v>14000.0</v>
      </c>
      <c r="Z339" s="77"/>
    </row>
    <row r="340">
      <c r="A340" s="145" t="s">
        <v>1124</v>
      </c>
      <c r="B340" s="145" t="s">
        <v>2195</v>
      </c>
      <c r="C340" s="145" t="s">
        <v>1543</v>
      </c>
      <c r="D340" s="75" t="s">
        <v>1544</v>
      </c>
      <c r="E340" s="75" t="s">
        <v>1544</v>
      </c>
      <c r="F340" s="211" t="s">
        <v>1575</v>
      </c>
      <c r="G340" s="145" t="s">
        <v>1125</v>
      </c>
      <c r="H340" s="211" t="s">
        <v>77</v>
      </c>
      <c r="I340" s="145" t="s">
        <v>218</v>
      </c>
      <c r="J340" s="211" t="s">
        <v>1577</v>
      </c>
      <c r="K340" s="75" t="s">
        <v>1544</v>
      </c>
      <c r="L340" s="152" t="b">
        <v>1</v>
      </c>
      <c r="M340" s="152" t="b">
        <v>0</v>
      </c>
      <c r="N340" s="212" t="s">
        <v>2755</v>
      </c>
      <c r="O340" s="213" t="s">
        <v>1554</v>
      </c>
      <c r="P340" s="47" t="b">
        <v>1</v>
      </c>
      <c r="Q340" s="47" t="b">
        <v>0</v>
      </c>
      <c r="R340" s="214"/>
      <c r="S340" s="77">
        <v>0.0</v>
      </c>
      <c r="T340" s="76" t="s">
        <v>1179</v>
      </c>
      <c r="U340" s="78">
        <v>3871404.0</v>
      </c>
      <c r="V340" s="215"/>
      <c r="W340" s="77">
        <v>4000000.0</v>
      </c>
      <c r="X340" s="216">
        <v>40000.0</v>
      </c>
      <c r="Y340" s="77">
        <v>20000.0</v>
      </c>
      <c r="Z340" s="77"/>
    </row>
    <row r="341">
      <c r="A341" s="145" t="s">
        <v>650</v>
      </c>
      <c r="B341" s="145" t="s">
        <v>1653</v>
      </c>
      <c r="C341" s="145" t="s">
        <v>1543</v>
      </c>
      <c r="D341" s="75" t="s">
        <v>1544</v>
      </c>
      <c r="E341" s="75" t="s">
        <v>1544</v>
      </c>
      <c r="F341" s="211" t="s">
        <v>1557</v>
      </c>
      <c r="G341" s="145" t="s">
        <v>1599</v>
      </c>
      <c r="H341" s="211" t="s">
        <v>625</v>
      </c>
      <c r="I341" s="145" t="s">
        <v>624</v>
      </c>
      <c r="J341" s="211" t="s">
        <v>1561</v>
      </c>
      <c r="K341" s="75" t="s">
        <v>1544</v>
      </c>
      <c r="L341" s="152" t="b">
        <v>1</v>
      </c>
      <c r="M341" s="152" t="b">
        <v>0</v>
      </c>
      <c r="N341" s="212" t="s">
        <v>2758</v>
      </c>
      <c r="O341" s="213" t="s">
        <v>1554</v>
      </c>
      <c r="P341" s="47" t="b">
        <v>1</v>
      </c>
      <c r="Q341" s="47" t="b">
        <v>0</v>
      </c>
      <c r="R341" s="214"/>
      <c r="S341" s="77">
        <v>0.0</v>
      </c>
      <c r="T341" s="76" t="s">
        <v>1160</v>
      </c>
      <c r="U341" s="78">
        <v>1.9658001E7</v>
      </c>
      <c r="V341" s="215"/>
      <c r="W341" s="216">
        <v>2.0E7</v>
      </c>
      <c r="X341" s="216">
        <v>2.0E9</v>
      </c>
      <c r="Y341" s="216">
        <v>6000000.0</v>
      </c>
      <c r="Z341" s="77"/>
    </row>
    <row r="342">
      <c r="A342" s="145" t="s">
        <v>1749</v>
      </c>
      <c r="B342" s="145" t="s">
        <v>1580</v>
      </c>
      <c r="C342" s="145" t="s">
        <v>1543</v>
      </c>
      <c r="D342" s="75" t="s">
        <v>1544</v>
      </c>
      <c r="E342" s="75" t="s">
        <v>1544</v>
      </c>
      <c r="F342" s="211" t="s">
        <v>1575</v>
      </c>
      <c r="G342" s="145" t="s">
        <v>1834</v>
      </c>
      <c r="H342" s="211" t="s">
        <v>77</v>
      </c>
      <c r="I342" s="145" t="s">
        <v>327</v>
      </c>
      <c r="J342" s="211" t="s">
        <v>1577</v>
      </c>
      <c r="K342" s="75" t="s">
        <v>1544</v>
      </c>
      <c r="L342" s="152" t="b">
        <v>1</v>
      </c>
      <c r="M342" s="152" t="b">
        <v>0</v>
      </c>
      <c r="N342" s="212" t="s">
        <v>2760</v>
      </c>
      <c r="O342" s="213" t="s">
        <v>1554</v>
      </c>
      <c r="P342" s="47" t="b">
        <v>1</v>
      </c>
      <c r="Q342" s="47" t="b">
        <v>0</v>
      </c>
      <c r="R342" s="214"/>
      <c r="S342" s="77">
        <v>0.0</v>
      </c>
      <c r="T342" s="76" t="s">
        <v>1179</v>
      </c>
      <c r="U342" s="78">
        <v>7010580.0</v>
      </c>
      <c r="V342" s="215"/>
      <c r="W342" s="77">
        <v>8000000.0</v>
      </c>
      <c r="X342" s="77">
        <v>80000.0</v>
      </c>
      <c r="Y342" s="77">
        <v>20000.0</v>
      </c>
      <c r="Z342" s="77"/>
    </row>
    <row r="343">
      <c r="A343" s="145" t="s">
        <v>1741</v>
      </c>
      <c r="B343" s="145" t="s">
        <v>1741</v>
      </c>
      <c r="C343" s="145" t="s">
        <v>1600</v>
      </c>
      <c r="D343" s="75" t="s">
        <v>1544</v>
      </c>
      <c r="E343" s="75" t="s">
        <v>1601</v>
      </c>
      <c r="F343" s="211" t="s">
        <v>1602</v>
      </c>
      <c r="G343" s="145" t="s">
        <v>2762</v>
      </c>
      <c r="H343" s="211" t="s">
        <v>87</v>
      </c>
      <c r="I343" s="145" t="s">
        <v>267</v>
      </c>
      <c r="J343" s="211" t="s">
        <v>1603</v>
      </c>
      <c r="K343" s="75" t="s">
        <v>1544</v>
      </c>
      <c r="L343" s="152" t="b">
        <v>0</v>
      </c>
      <c r="M343" s="152" t="b">
        <v>0</v>
      </c>
      <c r="N343" s="217"/>
      <c r="O343" s="213" t="s">
        <v>1554</v>
      </c>
      <c r="P343" s="47" t="b">
        <v>0</v>
      </c>
      <c r="Q343" s="47" t="b">
        <v>0</v>
      </c>
      <c r="R343" s="214"/>
      <c r="S343" s="77">
        <v>0.0</v>
      </c>
      <c r="T343" s="214"/>
      <c r="U343" s="215"/>
      <c r="V343" s="215"/>
      <c r="W343" s="214"/>
      <c r="X343" s="214"/>
      <c r="Y343" s="77">
        <v>1.0</v>
      </c>
      <c r="Z343" s="77"/>
    </row>
    <row r="344">
      <c r="A344" s="145" t="s">
        <v>358</v>
      </c>
      <c r="B344" s="145" t="s">
        <v>358</v>
      </c>
      <c r="C344" s="145" t="s">
        <v>1600</v>
      </c>
      <c r="D344" s="75" t="s">
        <v>1544</v>
      </c>
      <c r="E344" s="75" t="s">
        <v>1601</v>
      </c>
      <c r="F344" s="211" t="s">
        <v>1575</v>
      </c>
      <c r="G344" s="145" t="s">
        <v>359</v>
      </c>
      <c r="H344" s="211" t="s">
        <v>77</v>
      </c>
      <c r="I344" s="145" t="s">
        <v>249</v>
      </c>
      <c r="J344" s="211" t="s">
        <v>1577</v>
      </c>
      <c r="K344" s="75" t="s">
        <v>1544</v>
      </c>
      <c r="L344" s="152" t="b">
        <v>0</v>
      </c>
      <c r="M344" s="152" t="b">
        <v>0</v>
      </c>
      <c r="N344" s="217"/>
      <c r="O344" s="213" t="s">
        <v>1554</v>
      </c>
      <c r="P344" s="47" t="b">
        <v>0</v>
      </c>
      <c r="Q344" s="47" t="b">
        <v>0</v>
      </c>
      <c r="R344" s="214"/>
      <c r="S344" s="77">
        <v>0.0</v>
      </c>
      <c r="T344" s="214"/>
      <c r="U344" s="215"/>
      <c r="V344" s="215"/>
      <c r="W344" s="218"/>
      <c r="X344" s="214"/>
      <c r="Y344" s="77">
        <v>20000.0</v>
      </c>
      <c r="Z344" s="77"/>
    </row>
    <row r="345">
      <c r="A345" s="145" t="s">
        <v>1473</v>
      </c>
      <c r="B345" s="145" t="s">
        <v>2287</v>
      </c>
      <c r="C345" s="145" t="s">
        <v>2288</v>
      </c>
      <c r="D345" s="75" t="s">
        <v>1544</v>
      </c>
      <c r="E345" s="75" t="s">
        <v>1544</v>
      </c>
      <c r="F345" s="211" t="s">
        <v>1851</v>
      </c>
      <c r="G345" s="145" t="s">
        <v>2770</v>
      </c>
      <c r="H345" s="211" t="s">
        <v>1018</v>
      </c>
      <c r="I345" s="145" t="s">
        <v>92</v>
      </c>
      <c r="J345" s="211" t="s">
        <v>1639</v>
      </c>
      <c r="K345" s="75" t="s">
        <v>1544</v>
      </c>
      <c r="L345" s="152" t="b">
        <v>1</v>
      </c>
      <c r="M345" s="152" t="b">
        <v>0</v>
      </c>
      <c r="N345" s="217"/>
      <c r="O345" s="213" t="s">
        <v>1554</v>
      </c>
      <c r="P345" s="47" t="b">
        <v>1</v>
      </c>
      <c r="Q345" s="47" t="b">
        <v>0</v>
      </c>
      <c r="R345" s="214"/>
      <c r="S345" s="77">
        <v>0.0</v>
      </c>
      <c r="T345" s="76" t="s">
        <v>1179</v>
      </c>
      <c r="U345" s="78">
        <v>1.2959415E7</v>
      </c>
      <c r="V345" s="215"/>
      <c r="W345" s="216">
        <v>1.2E7</v>
      </c>
      <c r="X345" s="77">
        <v>96000.0</v>
      </c>
      <c r="Y345" s="77">
        <v>48000.0</v>
      </c>
      <c r="Z345" s="77"/>
    </row>
    <row r="346">
      <c r="A346" s="145" t="s">
        <v>104</v>
      </c>
      <c r="B346" s="145" t="s">
        <v>2366</v>
      </c>
      <c r="C346" s="145" t="s">
        <v>2288</v>
      </c>
      <c r="D346" s="75" t="s">
        <v>1544</v>
      </c>
      <c r="E346" s="75" t="s">
        <v>1544</v>
      </c>
      <c r="F346" s="211" t="s">
        <v>1637</v>
      </c>
      <c r="G346" s="145" t="s">
        <v>2772</v>
      </c>
      <c r="H346" s="211" t="s">
        <v>907</v>
      </c>
      <c r="I346" s="145" t="s">
        <v>54</v>
      </c>
      <c r="J346" s="211" t="s">
        <v>1639</v>
      </c>
      <c r="K346" s="75" t="s">
        <v>1544</v>
      </c>
      <c r="L346" s="152" t="b">
        <v>1</v>
      </c>
      <c r="M346" s="152" t="b">
        <v>1</v>
      </c>
      <c r="N346" s="217"/>
      <c r="O346" s="213" t="s">
        <v>1554</v>
      </c>
      <c r="P346" s="47" t="b">
        <v>1</v>
      </c>
      <c r="Q346" s="47" t="b">
        <v>0</v>
      </c>
      <c r="R346" s="214"/>
      <c r="S346" s="77">
        <v>0.0</v>
      </c>
      <c r="T346" s="76" t="s">
        <v>1179</v>
      </c>
      <c r="U346" s="78">
        <v>1.2267652E7</v>
      </c>
      <c r="V346" s="215"/>
      <c r="W346" s="216">
        <v>1.2E7</v>
      </c>
      <c r="X346" s="77">
        <v>120000.0</v>
      </c>
      <c r="Y346" s="77">
        <v>60000.0</v>
      </c>
      <c r="Z346" s="77"/>
    </row>
    <row r="347">
      <c r="A347" s="145" t="s">
        <v>1991</v>
      </c>
      <c r="B347" s="145" t="s">
        <v>1991</v>
      </c>
      <c r="C347" s="145" t="s">
        <v>1600</v>
      </c>
      <c r="D347" s="75" t="s">
        <v>1544</v>
      </c>
      <c r="E347" s="75" t="s">
        <v>1601</v>
      </c>
      <c r="F347" s="211" t="s">
        <v>1547</v>
      </c>
      <c r="G347" s="145" t="s">
        <v>2775</v>
      </c>
      <c r="H347" s="211" t="s">
        <v>2776</v>
      </c>
      <c r="I347" s="145" t="s">
        <v>267</v>
      </c>
      <c r="J347" s="211" t="s">
        <v>1549</v>
      </c>
      <c r="K347" s="75" t="s">
        <v>1544</v>
      </c>
      <c r="L347" s="152" t="b">
        <v>0</v>
      </c>
      <c r="M347" s="152" t="b">
        <v>0</v>
      </c>
      <c r="N347" s="217"/>
      <c r="O347" s="213" t="s">
        <v>1554</v>
      </c>
      <c r="P347" s="47" t="b">
        <v>0</v>
      </c>
      <c r="Q347" s="47" t="b">
        <v>0</v>
      </c>
      <c r="R347" s="214"/>
      <c r="S347" s="77">
        <v>0.0</v>
      </c>
      <c r="T347" s="214"/>
      <c r="U347" s="215"/>
      <c r="V347" s="215"/>
      <c r="W347" s="218"/>
      <c r="X347" s="214"/>
      <c r="Y347" s="77">
        <v>40000.0</v>
      </c>
      <c r="Z347" s="77"/>
    </row>
    <row r="348">
      <c r="A348" s="145" t="s">
        <v>554</v>
      </c>
      <c r="B348" s="145" t="s">
        <v>1746</v>
      </c>
      <c r="C348" s="145" t="s">
        <v>1543</v>
      </c>
      <c r="D348" s="75" t="s">
        <v>1544</v>
      </c>
      <c r="E348" s="75" t="s">
        <v>1544</v>
      </c>
      <c r="F348" s="211" t="s">
        <v>1575</v>
      </c>
      <c r="G348" s="145" t="s">
        <v>2778</v>
      </c>
      <c r="H348" s="211" t="s">
        <v>77</v>
      </c>
      <c r="I348" s="145" t="s">
        <v>338</v>
      </c>
      <c r="J348" s="211" t="s">
        <v>1577</v>
      </c>
      <c r="K348" s="75" t="s">
        <v>1544</v>
      </c>
      <c r="L348" s="152" t="b">
        <v>1</v>
      </c>
      <c r="M348" s="152" t="b">
        <v>0</v>
      </c>
      <c r="N348" s="212" t="s">
        <v>2780</v>
      </c>
      <c r="O348" s="213" t="s">
        <v>1554</v>
      </c>
      <c r="P348" s="47" t="b">
        <v>1</v>
      </c>
      <c r="Q348" s="47" t="b">
        <v>0</v>
      </c>
      <c r="R348" s="214"/>
      <c r="S348" s="77">
        <v>0.0</v>
      </c>
      <c r="T348" s="76" t="s">
        <v>1179</v>
      </c>
      <c r="U348" s="78">
        <v>7159448.0</v>
      </c>
      <c r="V348" s="215"/>
      <c r="W348" s="216">
        <v>8000000.0</v>
      </c>
      <c r="X348" s="77">
        <v>80000.0</v>
      </c>
      <c r="Y348" s="77">
        <v>20000.0</v>
      </c>
      <c r="Z348" s="77"/>
    </row>
    <row r="349">
      <c r="A349" s="145" t="s">
        <v>1128</v>
      </c>
      <c r="B349" s="145" t="s">
        <v>2195</v>
      </c>
      <c r="C349" s="145" t="s">
        <v>1543</v>
      </c>
      <c r="D349" s="75" t="s">
        <v>1544</v>
      </c>
      <c r="E349" s="75" t="s">
        <v>1544</v>
      </c>
      <c r="F349" s="211" t="s">
        <v>1575</v>
      </c>
      <c r="G349" s="145" t="s">
        <v>1129</v>
      </c>
      <c r="H349" s="211" t="s">
        <v>77</v>
      </c>
      <c r="I349" s="145" t="s">
        <v>218</v>
      </c>
      <c r="J349" s="211" t="s">
        <v>1577</v>
      </c>
      <c r="K349" s="75" t="s">
        <v>1544</v>
      </c>
      <c r="L349" s="152" t="b">
        <v>1</v>
      </c>
      <c r="M349" s="152" t="b">
        <v>0</v>
      </c>
      <c r="N349" s="212" t="s">
        <v>2782</v>
      </c>
      <c r="O349" s="213" t="s">
        <v>1554</v>
      </c>
      <c r="P349" s="47" t="b">
        <v>1</v>
      </c>
      <c r="Q349" s="47" t="b">
        <v>0</v>
      </c>
      <c r="R349" s="214"/>
      <c r="S349" s="77">
        <v>0.0</v>
      </c>
      <c r="T349" s="235" t="s">
        <v>1179</v>
      </c>
      <c r="U349" s="78">
        <v>6160218.0</v>
      </c>
      <c r="V349" s="215"/>
      <c r="W349" s="216">
        <v>6000000.0</v>
      </c>
      <c r="X349" s="77">
        <v>60000.0</v>
      </c>
      <c r="Y349" s="77">
        <v>20000.0</v>
      </c>
      <c r="Z349" s="77"/>
    </row>
    <row r="350">
      <c r="A350" s="145" t="s">
        <v>1158</v>
      </c>
      <c r="B350" s="145" t="s">
        <v>1158</v>
      </c>
      <c r="C350" s="145" t="s">
        <v>2404</v>
      </c>
      <c r="D350" s="75" t="s">
        <v>1601</v>
      </c>
      <c r="E350" s="75" t="s">
        <v>1601</v>
      </c>
      <c r="F350" s="211" t="s">
        <v>87</v>
      </c>
      <c r="G350" s="145" t="s">
        <v>2787</v>
      </c>
      <c r="H350" s="211" t="s">
        <v>2788</v>
      </c>
      <c r="I350" s="145" t="s">
        <v>2487</v>
      </c>
      <c r="J350" s="211" t="s">
        <v>87</v>
      </c>
      <c r="K350" s="75" t="s">
        <v>1601</v>
      </c>
      <c r="L350" s="152" t="b">
        <v>1</v>
      </c>
      <c r="M350" s="152" t="b">
        <v>1</v>
      </c>
      <c r="N350" s="212" t="s">
        <v>2791</v>
      </c>
      <c r="O350" s="213" t="s">
        <v>1554</v>
      </c>
      <c r="P350" s="47" t="b">
        <v>0</v>
      </c>
      <c r="Q350" s="47" t="b">
        <v>0</v>
      </c>
      <c r="R350" s="214"/>
      <c r="S350" s="77">
        <v>0.0</v>
      </c>
      <c r="T350" s="214"/>
      <c r="U350" s="215"/>
      <c r="V350" s="215"/>
      <c r="W350" s="218"/>
      <c r="X350" s="218"/>
      <c r="Y350" s="77">
        <v>0.0</v>
      </c>
      <c r="Z350" s="77"/>
    </row>
    <row r="351">
      <c r="A351" s="145" t="s">
        <v>609</v>
      </c>
      <c r="B351" s="145" t="s">
        <v>2189</v>
      </c>
      <c r="C351" s="145" t="s">
        <v>1543</v>
      </c>
      <c r="D351" s="75" t="s">
        <v>1544</v>
      </c>
      <c r="E351" s="75" t="s">
        <v>1544</v>
      </c>
      <c r="F351" s="211" t="s">
        <v>2794</v>
      </c>
      <c r="G351" s="145" t="s">
        <v>932</v>
      </c>
      <c r="H351" s="211" t="s">
        <v>586</v>
      </c>
      <c r="I351" s="145" t="s">
        <v>162</v>
      </c>
      <c r="J351" s="211" t="s">
        <v>1561</v>
      </c>
      <c r="K351" s="75" t="s">
        <v>1544</v>
      </c>
      <c r="L351" s="152" t="b">
        <v>1</v>
      </c>
      <c r="M351" s="152" t="b">
        <v>0</v>
      </c>
      <c r="N351" s="212" t="s">
        <v>2796</v>
      </c>
      <c r="O351" s="213" t="s">
        <v>1554</v>
      </c>
      <c r="P351" s="47" t="b">
        <v>1</v>
      </c>
      <c r="Q351" s="47" t="b">
        <v>0</v>
      </c>
      <c r="R351" s="214"/>
      <c r="S351" s="77">
        <v>0.0</v>
      </c>
      <c r="T351" s="76" t="s">
        <v>1179</v>
      </c>
      <c r="U351" s="78">
        <v>1.61E8</v>
      </c>
      <c r="V351" s="215"/>
      <c r="W351" s="216">
        <v>1.6E8</v>
      </c>
      <c r="X351" s="216">
        <v>1120000.0</v>
      </c>
      <c r="Y351" s="77">
        <v>167043.0</v>
      </c>
      <c r="Z351" s="77"/>
    </row>
    <row r="352">
      <c r="A352" s="145" t="s">
        <v>634</v>
      </c>
      <c r="B352" s="145" t="s">
        <v>1653</v>
      </c>
      <c r="C352" s="145" t="s">
        <v>1543</v>
      </c>
      <c r="D352" s="75" t="s">
        <v>1544</v>
      </c>
      <c r="E352" s="75" t="s">
        <v>1544</v>
      </c>
      <c r="F352" s="211" t="s">
        <v>1557</v>
      </c>
      <c r="G352" s="145" t="s">
        <v>2800</v>
      </c>
      <c r="H352" s="211" t="s">
        <v>625</v>
      </c>
      <c r="I352" s="145" t="s">
        <v>624</v>
      </c>
      <c r="J352" s="211" t="s">
        <v>1561</v>
      </c>
      <c r="K352" s="75" t="s">
        <v>1544</v>
      </c>
      <c r="L352" s="152" t="b">
        <v>1</v>
      </c>
      <c r="M352" s="152" t="b">
        <v>0</v>
      </c>
      <c r="N352" s="212" t="s">
        <v>2801</v>
      </c>
      <c r="O352" s="213" t="s">
        <v>1554</v>
      </c>
      <c r="P352" s="47" t="b">
        <v>1</v>
      </c>
      <c r="Q352" s="47" t="b">
        <v>0</v>
      </c>
      <c r="R352" s="214"/>
      <c r="S352" s="77">
        <v>0.0</v>
      </c>
      <c r="T352" s="76" t="s">
        <v>1179</v>
      </c>
      <c r="U352" s="78">
        <v>2.483095E7</v>
      </c>
      <c r="V352" s="215"/>
      <c r="W352" s="77">
        <v>2.4E7</v>
      </c>
      <c r="X352" s="216">
        <v>2.4E9</v>
      </c>
      <c r="Y352" s="216">
        <v>6000000.0</v>
      </c>
      <c r="Z352" s="77"/>
    </row>
    <row r="353">
      <c r="A353" s="145" t="s">
        <v>382</v>
      </c>
      <c r="B353" s="145" t="s">
        <v>1720</v>
      </c>
      <c r="C353" s="145" t="s">
        <v>1543</v>
      </c>
      <c r="D353" s="75" t="s">
        <v>1544</v>
      </c>
      <c r="E353" s="75" t="s">
        <v>1544</v>
      </c>
      <c r="F353" s="211" t="s">
        <v>1851</v>
      </c>
      <c r="G353" s="145" t="s">
        <v>1275</v>
      </c>
      <c r="H353" s="211" t="s">
        <v>1018</v>
      </c>
      <c r="I353" s="145" t="s">
        <v>83</v>
      </c>
      <c r="J353" s="211" t="s">
        <v>1639</v>
      </c>
      <c r="K353" s="75" t="s">
        <v>1544</v>
      </c>
      <c r="L353" s="152" t="b">
        <v>1</v>
      </c>
      <c r="M353" s="152" t="b">
        <v>0</v>
      </c>
      <c r="N353" s="212" t="s">
        <v>2805</v>
      </c>
      <c r="O353" s="213" t="s">
        <v>1554</v>
      </c>
      <c r="P353" s="47" t="b">
        <v>1</v>
      </c>
      <c r="Q353" s="47" t="b">
        <v>0</v>
      </c>
      <c r="R353" s="214"/>
      <c r="S353" s="77">
        <v>0.0</v>
      </c>
      <c r="T353" s="76" t="s">
        <v>1179</v>
      </c>
      <c r="U353" s="78">
        <v>1.3647457E7</v>
      </c>
      <c r="V353" s="215"/>
      <c r="W353" s="77">
        <v>1.4E7</v>
      </c>
      <c r="X353" s="77">
        <v>112000.0</v>
      </c>
      <c r="Y353" s="77">
        <v>48000.0</v>
      </c>
      <c r="Z353" s="77"/>
    </row>
    <row r="354">
      <c r="A354" s="145" t="s">
        <v>682</v>
      </c>
      <c r="B354" s="145" t="s">
        <v>2465</v>
      </c>
      <c r="C354" s="145" t="s">
        <v>1543</v>
      </c>
      <c r="D354" s="75" t="s">
        <v>1544</v>
      </c>
      <c r="E354" s="75" t="s">
        <v>1544</v>
      </c>
      <c r="F354" s="211" t="s">
        <v>1690</v>
      </c>
      <c r="G354" s="145" t="s">
        <v>2808</v>
      </c>
      <c r="H354" s="211" t="s">
        <v>586</v>
      </c>
      <c r="I354" s="145" t="s">
        <v>674</v>
      </c>
      <c r="J354" s="211" t="s">
        <v>1597</v>
      </c>
      <c r="K354" s="75" t="s">
        <v>1544</v>
      </c>
      <c r="L354" s="152" t="b">
        <v>1</v>
      </c>
      <c r="M354" s="152" t="b">
        <v>0</v>
      </c>
      <c r="N354" s="212" t="s">
        <v>2809</v>
      </c>
      <c r="O354" s="213" t="s">
        <v>1554</v>
      </c>
      <c r="P354" s="47" t="b">
        <v>1</v>
      </c>
      <c r="Q354" s="47" t="b">
        <v>0</v>
      </c>
      <c r="R354" s="214"/>
      <c r="S354" s="77">
        <v>0.0</v>
      </c>
      <c r="T354" s="76" t="s">
        <v>1179</v>
      </c>
      <c r="U354" s="78">
        <v>2.0237418E7</v>
      </c>
      <c r="V354" s="215"/>
      <c r="W354" s="77">
        <v>2.0E7</v>
      </c>
      <c r="X354" s="77">
        <v>140000.0</v>
      </c>
      <c r="Y354" s="77">
        <v>100000.0</v>
      </c>
      <c r="Z354" s="77"/>
    </row>
    <row r="355">
      <c r="A355" s="145" t="s">
        <v>1138</v>
      </c>
      <c r="B355" s="145" t="s">
        <v>230</v>
      </c>
      <c r="C355" s="145" t="s">
        <v>2288</v>
      </c>
      <c r="D355" s="75" t="s">
        <v>1544</v>
      </c>
      <c r="E355" s="75" t="s">
        <v>1544</v>
      </c>
      <c r="F355" s="211" t="s">
        <v>1547</v>
      </c>
      <c r="G355" s="145" t="s">
        <v>1139</v>
      </c>
      <c r="H355" s="211" t="s">
        <v>77</v>
      </c>
      <c r="I355" s="145" t="s">
        <v>218</v>
      </c>
      <c r="J355" s="211" t="s">
        <v>1549</v>
      </c>
      <c r="K355" s="75" t="s">
        <v>1544</v>
      </c>
      <c r="L355" s="152" t="b">
        <v>1</v>
      </c>
      <c r="M355" s="152" t="b">
        <v>0</v>
      </c>
      <c r="N355" s="217"/>
      <c r="O355" s="213" t="s">
        <v>1554</v>
      </c>
      <c r="P355" s="47" t="b">
        <v>1</v>
      </c>
      <c r="Q355" s="47" t="b">
        <v>0</v>
      </c>
      <c r="R355" s="214"/>
      <c r="S355" s="77">
        <v>0.0</v>
      </c>
      <c r="T355" s="76" t="s">
        <v>1179</v>
      </c>
      <c r="U355" s="78">
        <v>1.1868821E7</v>
      </c>
      <c r="V355" s="215"/>
      <c r="W355" s="77">
        <v>1.2E7</v>
      </c>
      <c r="X355" s="77">
        <v>120000.0</v>
      </c>
      <c r="Y355" s="77">
        <v>40000.0</v>
      </c>
      <c r="Z355" s="77"/>
    </row>
    <row r="356">
      <c r="A356" s="145" t="s">
        <v>607</v>
      </c>
      <c r="B356" s="145" t="s">
        <v>1694</v>
      </c>
      <c r="C356" s="145" t="s">
        <v>1543</v>
      </c>
      <c r="D356" s="75" t="s">
        <v>1544</v>
      </c>
      <c r="E356" s="75" t="s">
        <v>1544</v>
      </c>
      <c r="F356" s="211" t="s">
        <v>2812</v>
      </c>
      <c r="G356" s="145" t="s">
        <v>941</v>
      </c>
      <c r="H356" s="211" t="s">
        <v>586</v>
      </c>
      <c r="I356" s="145" t="s">
        <v>936</v>
      </c>
      <c r="J356" s="211" t="s">
        <v>1561</v>
      </c>
      <c r="K356" s="75" t="s">
        <v>1544</v>
      </c>
      <c r="L356" s="152" t="b">
        <v>1</v>
      </c>
      <c r="M356" s="152" t="b">
        <v>0</v>
      </c>
      <c r="N356" s="212" t="s">
        <v>2813</v>
      </c>
      <c r="O356" s="213" t="s">
        <v>1554</v>
      </c>
      <c r="P356" s="47" t="b">
        <v>1</v>
      </c>
      <c r="Q356" s="47" t="b">
        <v>0</v>
      </c>
      <c r="R356" s="214"/>
      <c r="S356" s="77">
        <v>0.0</v>
      </c>
      <c r="T356" s="76" t="s">
        <v>1179</v>
      </c>
      <c r="U356" s="78">
        <v>6.7964145E7</v>
      </c>
      <c r="V356" s="215"/>
      <c r="W356" s="77">
        <v>6.8E7</v>
      </c>
      <c r="X356" s="77">
        <v>476000.0</v>
      </c>
      <c r="Y356" s="77">
        <v>166848.0</v>
      </c>
      <c r="Z356" s="77"/>
    </row>
    <row r="357">
      <c r="A357" s="145" t="s">
        <v>528</v>
      </c>
      <c r="B357" s="145" t="s">
        <v>2300</v>
      </c>
      <c r="C357" s="145" t="s">
        <v>2288</v>
      </c>
      <c r="D357" s="75" t="s">
        <v>1544</v>
      </c>
      <c r="E357" s="75" t="s">
        <v>1544</v>
      </c>
      <c r="F357" s="211" t="s">
        <v>1547</v>
      </c>
      <c r="G357" s="145" t="s">
        <v>2818</v>
      </c>
      <c r="H357" s="211" t="s">
        <v>77</v>
      </c>
      <c r="I357" s="145" t="s">
        <v>174</v>
      </c>
      <c r="J357" s="211" t="s">
        <v>1549</v>
      </c>
      <c r="K357" s="75" t="s">
        <v>1544</v>
      </c>
      <c r="L357" s="152" t="b">
        <v>1</v>
      </c>
      <c r="M357" s="152" t="b">
        <v>0</v>
      </c>
      <c r="N357" s="217"/>
      <c r="O357" s="213" t="s">
        <v>1554</v>
      </c>
      <c r="P357" s="47" t="b">
        <v>1</v>
      </c>
      <c r="Q357" s="47" t="b">
        <v>0</v>
      </c>
      <c r="R357" s="214"/>
      <c r="S357" s="77">
        <v>0.0</v>
      </c>
      <c r="T357" s="76" t="s">
        <v>1179</v>
      </c>
      <c r="U357" s="78">
        <v>1.0797893E7</v>
      </c>
      <c r="V357" s="215"/>
      <c r="W357" s="77">
        <v>1.0E7</v>
      </c>
      <c r="X357" s="77">
        <v>100000.0</v>
      </c>
      <c r="Y357" s="77">
        <v>40000.0</v>
      </c>
      <c r="Z357" s="77"/>
    </row>
    <row r="358">
      <c r="A358" s="145" t="s">
        <v>1986</v>
      </c>
      <c r="B358" s="145" t="s">
        <v>1986</v>
      </c>
      <c r="C358" s="145" t="s">
        <v>1600</v>
      </c>
      <c r="D358" s="75" t="s">
        <v>1544</v>
      </c>
      <c r="E358" s="75" t="s">
        <v>1601</v>
      </c>
      <c r="F358" s="211" t="s">
        <v>1547</v>
      </c>
      <c r="G358" s="145" t="s">
        <v>2825</v>
      </c>
      <c r="H358" s="211" t="s">
        <v>2776</v>
      </c>
      <c r="I358" s="145" t="s">
        <v>113</v>
      </c>
      <c r="J358" s="211" t="s">
        <v>1549</v>
      </c>
      <c r="K358" s="75" t="s">
        <v>1544</v>
      </c>
      <c r="L358" s="152" t="b">
        <v>0</v>
      </c>
      <c r="M358" s="152" t="b">
        <v>0</v>
      </c>
      <c r="N358" s="217"/>
      <c r="O358" s="213" t="s">
        <v>1554</v>
      </c>
      <c r="P358" s="47" t="b">
        <v>0</v>
      </c>
      <c r="Q358" s="47" t="b">
        <v>0</v>
      </c>
      <c r="R358" s="214"/>
      <c r="S358" s="77">
        <v>0.0</v>
      </c>
      <c r="T358" s="214"/>
      <c r="U358" s="215"/>
      <c r="V358" s="215"/>
      <c r="W358" s="214"/>
      <c r="X358" s="214"/>
      <c r="Y358" s="77">
        <v>40000.0</v>
      </c>
      <c r="Z358" s="77"/>
    </row>
    <row r="359">
      <c r="A359" s="145" t="s">
        <v>342</v>
      </c>
      <c r="B359" s="145" t="s">
        <v>1720</v>
      </c>
      <c r="C359" s="145" t="s">
        <v>1543</v>
      </c>
      <c r="D359" s="75" t="s">
        <v>1544</v>
      </c>
      <c r="E359" s="75" t="s">
        <v>1544</v>
      </c>
      <c r="F359" s="211" t="s">
        <v>1645</v>
      </c>
      <c r="G359" s="145" t="s">
        <v>1228</v>
      </c>
      <c r="H359" s="211" t="s">
        <v>1018</v>
      </c>
      <c r="I359" s="145" t="s">
        <v>83</v>
      </c>
      <c r="J359" s="211" t="s">
        <v>1597</v>
      </c>
      <c r="K359" s="75" t="s">
        <v>1544</v>
      </c>
      <c r="L359" s="152" t="b">
        <v>1</v>
      </c>
      <c r="M359" s="152" t="b">
        <v>0</v>
      </c>
      <c r="N359" s="212" t="s">
        <v>2831</v>
      </c>
      <c r="O359" s="213" t="s">
        <v>1554</v>
      </c>
      <c r="P359" s="47" t="b">
        <v>1</v>
      </c>
      <c r="Q359" s="47" t="b">
        <v>0</v>
      </c>
      <c r="R359" s="214"/>
      <c r="S359" s="77">
        <v>0.0</v>
      </c>
      <c r="T359" s="76" t="s">
        <v>1179</v>
      </c>
      <c r="U359" s="78">
        <v>2.5225432E7</v>
      </c>
      <c r="V359" s="215"/>
      <c r="W359" s="77">
        <v>2.6E7</v>
      </c>
      <c r="X359" s="77">
        <v>208000.0</v>
      </c>
      <c r="Y359" s="77">
        <v>80000.0</v>
      </c>
      <c r="Z359" s="77"/>
    </row>
    <row r="360">
      <c r="A360" s="145" t="s">
        <v>102</v>
      </c>
      <c r="B360" s="145" t="s">
        <v>2366</v>
      </c>
      <c r="C360" s="145" t="s">
        <v>2288</v>
      </c>
      <c r="D360" s="75" t="s">
        <v>1544</v>
      </c>
      <c r="E360" s="75" t="s">
        <v>1544</v>
      </c>
      <c r="F360" s="211" t="s">
        <v>1637</v>
      </c>
      <c r="G360" s="145" t="s">
        <v>2834</v>
      </c>
      <c r="H360" s="211" t="s">
        <v>907</v>
      </c>
      <c r="I360" s="145" t="s">
        <v>54</v>
      </c>
      <c r="J360" s="211" t="s">
        <v>1639</v>
      </c>
      <c r="K360" s="75" t="s">
        <v>1544</v>
      </c>
      <c r="L360" s="152" t="b">
        <v>1</v>
      </c>
      <c r="M360" s="152" t="b">
        <v>0</v>
      </c>
      <c r="N360" s="217"/>
      <c r="O360" s="213" t="s">
        <v>1554</v>
      </c>
      <c r="P360" s="47" t="b">
        <v>1</v>
      </c>
      <c r="Q360" s="47" t="b">
        <v>0</v>
      </c>
      <c r="R360" s="214"/>
      <c r="S360" s="77">
        <v>0.0</v>
      </c>
      <c r="T360" s="76" t="s">
        <v>1179</v>
      </c>
      <c r="U360" s="78">
        <v>1.5871155E7</v>
      </c>
      <c r="V360" s="215"/>
      <c r="W360" s="77">
        <v>1.6E7</v>
      </c>
      <c r="X360" s="77">
        <v>160000.0</v>
      </c>
      <c r="Y360" s="77">
        <v>60000.0</v>
      </c>
      <c r="Z360" s="77"/>
    </row>
    <row r="361">
      <c r="A361" s="145" t="s">
        <v>1994</v>
      </c>
      <c r="B361" s="145" t="s">
        <v>1994</v>
      </c>
      <c r="C361" s="145" t="s">
        <v>1600</v>
      </c>
      <c r="D361" s="75" t="s">
        <v>1544</v>
      </c>
      <c r="E361" s="75" t="s">
        <v>1601</v>
      </c>
      <c r="F361" s="211" t="s">
        <v>1547</v>
      </c>
      <c r="G361" s="145" t="s">
        <v>1995</v>
      </c>
      <c r="H361" s="211" t="s">
        <v>2106</v>
      </c>
      <c r="I361" s="145" t="s">
        <v>113</v>
      </c>
      <c r="J361" s="211" t="s">
        <v>1609</v>
      </c>
      <c r="K361" s="75" t="s">
        <v>1544</v>
      </c>
      <c r="L361" s="152" t="b">
        <v>0</v>
      </c>
      <c r="M361" s="152" t="b">
        <v>0</v>
      </c>
      <c r="N361" s="217"/>
      <c r="O361" s="213" t="s">
        <v>1554</v>
      </c>
      <c r="P361" s="47" t="b">
        <v>0</v>
      </c>
      <c r="Q361" s="47" t="b">
        <v>0</v>
      </c>
      <c r="R361" s="214"/>
      <c r="S361" s="77">
        <v>0.0</v>
      </c>
      <c r="T361" s="214"/>
      <c r="U361" s="215"/>
      <c r="V361" s="215"/>
      <c r="W361" s="214"/>
      <c r="X361" s="214"/>
      <c r="Y361" s="77">
        <v>40000.0</v>
      </c>
      <c r="Z361" s="77"/>
    </row>
    <row r="362">
      <c r="A362" s="145" t="s">
        <v>556</v>
      </c>
      <c r="B362" s="145" t="s">
        <v>556</v>
      </c>
      <c r="C362" s="145" t="s">
        <v>1600</v>
      </c>
      <c r="D362" s="75" t="s">
        <v>1544</v>
      </c>
      <c r="E362" s="75" t="s">
        <v>1601</v>
      </c>
      <c r="F362" s="211" t="s">
        <v>87</v>
      </c>
      <c r="G362" s="145" t="s">
        <v>557</v>
      </c>
      <c r="H362" s="211" t="s">
        <v>87</v>
      </c>
      <c r="I362" s="145" t="s">
        <v>267</v>
      </c>
      <c r="J362" s="211" t="s">
        <v>1603</v>
      </c>
      <c r="K362" s="75" t="s">
        <v>1544</v>
      </c>
      <c r="L362" s="152" t="b">
        <v>0</v>
      </c>
      <c r="M362" s="152" t="b">
        <v>0</v>
      </c>
      <c r="N362" s="217"/>
      <c r="O362" s="213" t="s">
        <v>1554</v>
      </c>
      <c r="P362" s="47" t="b">
        <v>0</v>
      </c>
      <c r="Q362" s="47" t="b">
        <v>0</v>
      </c>
      <c r="R362" s="214"/>
      <c r="S362" s="77">
        <v>0.0</v>
      </c>
      <c r="T362" s="214"/>
      <c r="U362" s="215"/>
      <c r="V362" s="215"/>
      <c r="W362" s="214"/>
      <c r="X362" s="214"/>
      <c r="Y362" s="77">
        <v>0.0</v>
      </c>
      <c r="Z362" s="77"/>
    </row>
    <row r="363">
      <c r="A363" s="145" t="s">
        <v>407</v>
      </c>
      <c r="B363" s="145" t="s">
        <v>407</v>
      </c>
      <c r="C363" s="145" t="s">
        <v>1266</v>
      </c>
      <c r="D363" s="75" t="s">
        <v>1544</v>
      </c>
      <c r="E363" s="75" t="s">
        <v>1544</v>
      </c>
      <c r="F363" s="211" t="s">
        <v>1602</v>
      </c>
      <c r="G363" s="145" t="s">
        <v>408</v>
      </c>
      <c r="H363" s="211" t="s">
        <v>87</v>
      </c>
      <c r="I363" s="145" t="s">
        <v>267</v>
      </c>
      <c r="J363" s="211" t="s">
        <v>1603</v>
      </c>
      <c r="K363" s="75" t="s">
        <v>1544</v>
      </c>
      <c r="L363" s="152" t="b">
        <v>0</v>
      </c>
      <c r="M363" s="152" t="b">
        <v>0</v>
      </c>
      <c r="N363" s="217"/>
      <c r="O363" s="213" t="s">
        <v>1554</v>
      </c>
      <c r="P363" s="47" t="b">
        <v>0</v>
      </c>
      <c r="Q363" s="47" t="b">
        <v>0</v>
      </c>
      <c r="R363" s="214"/>
      <c r="S363" s="77">
        <v>0.0</v>
      </c>
      <c r="T363" s="76" t="s">
        <v>1179</v>
      </c>
      <c r="U363" s="215"/>
      <c r="V363" s="215"/>
      <c r="W363" s="214"/>
      <c r="X363" s="214"/>
      <c r="Y363" s="77">
        <v>1.0</v>
      </c>
      <c r="Z363" s="77"/>
    </row>
    <row r="364">
      <c r="A364" s="145" t="s">
        <v>687</v>
      </c>
      <c r="B364" s="145" t="s">
        <v>2465</v>
      </c>
      <c r="C364" s="145" t="s">
        <v>1543</v>
      </c>
      <c r="D364" s="75" t="s">
        <v>1544</v>
      </c>
      <c r="E364" s="75" t="s">
        <v>1544</v>
      </c>
      <c r="F364" s="211" t="s">
        <v>2849</v>
      </c>
      <c r="G364" s="145" t="s">
        <v>925</v>
      </c>
      <c r="H364" s="211" t="s">
        <v>586</v>
      </c>
      <c r="I364" s="145" t="s">
        <v>674</v>
      </c>
      <c r="J364" s="211" t="s">
        <v>1561</v>
      </c>
      <c r="K364" s="75" t="s">
        <v>1544</v>
      </c>
      <c r="L364" s="152" t="b">
        <v>1</v>
      </c>
      <c r="M364" s="152" t="b">
        <v>0</v>
      </c>
      <c r="N364" s="212" t="s">
        <v>2851</v>
      </c>
      <c r="O364" s="213" t="s">
        <v>1554</v>
      </c>
      <c r="P364" s="47" t="b">
        <v>1</v>
      </c>
      <c r="Q364" s="47" t="b">
        <v>0</v>
      </c>
      <c r="R364" s="214"/>
      <c r="S364" s="77">
        <v>0.0</v>
      </c>
      <c r="T364" s="76" t="s">
        <v>1179</v>
      </c>
      <c r="U364" s="78">
        <v>8.967647E7</v>
      </c>
      <c r="V364" s="215"/>
      <c r="W364" s="77">
        <v>9.0E7</v>
      </c>
      <c r="X364" s="77">
        <v>630000.0</v>
      </c>
      <c r="Y364" s="77">
        <v>166747.0</v>
      </c>
      <c r="Z364" s="77"/>
    </row>
    <row r="365">
      <c r="A365" s="145" t="s">
        <v>172</v>
      </c>
      <c r="B365" s="145" t="s">
        <v>172</v>
      </c>
      <c r="C365" s="145" t="s">
        <v>1261</v>
      </c>
      <c r="D365" s="75" t="s">
        <v>1544</v>
      </c>
      <c r="E365" s="75" t="s">
        <v>1544</v>
      </c>
      <c r="F365" s="211" t="s">
        <v>1649</v>
      </c>
      <c r="G365" s="145" t="s">
        <v>1260</v>
      </c>
      <c r="H365" s="211" t="s">
        <v>1018</v>
      </c>
      <c r="I365" s="145" t="s">
        <v>83</v>
      </c>
      <c r="J365" s="211" t="s">
        <v>1549</v>
      </c>
      <c r="K365" s="75" t="s">
        <v>1544</v>
      </c>
      <c r="L365" s="152" t="b">
        <v>1</v>
      </c>
      <c r="M365" s="152" t="b">
        <v>0</v>
      </c>
      <c r="N365" s="212" t="s">
        <v>2854</v>
      </c>
      <c r="O365" s="213" t="s">
        <v>1554</v>
      </c>
      <c r="P365" s="47" t="b">
        <v>1</v>
      </c>
      <c r="Q365" s="47" t="b">
        <v>0</v>
      </c>
      <c r="R365" s="214"/>
      <c r="S365" s="77">
        <v>0.0</v>
      </c>
      <c r="T365" s="76" t="s">
        <v>1176</v>
      </c>
      <c r="U365" s="78">
        <v>1.0E7</v>
      </c>
      <c r="V365" s="78">
        <v>0.0</v>
      </c>
      <c r="W365" s="77">
        <v>1.0E7</v>
      </c>
      <c r="X365" s="77">
        <v>80000.0</v>
      </c>
      <c r="Y365" s="77">
        <v>32000.0</v>
      </c>
      <c r="Z365" s="77"/>
    </row>
    <row r="366">
      <c r="A366" s="145" t="s">
        <v>717</v>
      </c>
      <c r="B366" s="145" t="s">
        <v>717</v>
      </c>
      <c r="C366" s="145" t="s">
        <v>1266</v>
      </c>
      <c r="D366" s="75" t="s">
        <v>1544</v>
      </c>
      <c r="E366" s="75" t="s">
        <v>1544</v>
      </c>
      <c r="F366" s="211" t="s">
        <v>1602</v>
      </c>
      <c r="G366" s="145" t="s">
        <v>718</v>
      </c>
      <c r="H366" s="211" t="s">
        <v>87</v>
      </c>
      <c r="I366" s="145" t="s">
        <v>267</v>
      </c>
      <c r="J366" s="211" t="s">
        <v>1603</v>
      </c>
      <c r="K366" s="75" t="s">
        <v>1544</v>
      </c>
      <c r="L366" s="152" t="b">
        <v>0</v>
      </c>
      <c r="M366" s="152" t="b">
        <v>0</v>
      </c>
      <c r="N366" s="217"/>
      <c r="O366" s="213" t="s">
        <v>1554</v>
      </c>
      <c r="P366" s="47" t="b">
        <v>0</v>
      </c>
      <c r="Q366" s="47" t="b">
        <v>0</v>
      </c>
      <c r="R366" s="214"/>
      <c r="S366" s="77">
        <v>0.0</v>
      </c>
      <c r="T366" s="76" t="s">
        <v>1179</v>
      </c>
      <c r="U366" s="215"/>
      <c r="V366" s="215"/>
      <c r="W366" s="214"/>
      <c r="X366" s="214"/>
      <c r="Y366" s="77">
        <v>1.0</v>
      </c>
      <c r="Z366" s="77"/>
    </row>
    <row r="367">
      <c r="A367" s="145" t="s">
        <v>2007</v>
      </c>
      <c r="B367" s="145" t="s">
        <v>2007</v>
      </c>
      <c r="C367" s="145" t="s">
        <v>2404</v>
      </c>
      <c r="D367" s="75" t="s">
        <v>1601</v>
      </c>
      <c r="E367" s="75" t="s">
        <v>1601</v>
      </c>
      <c r="F367" s="211" t="s">
        <v>2858</v>
      </c>
      <c r="G367" s="145" t="s">
        <v>2859</v>
      </c>
      <c r="H367" s="211" t="s">
        <v>77</v>
      </c>
      <c r="I367" s="145" t="s">
        <v>327</v>
      </c>
      <c r="J367" s="211" t="s">
        <v>2495</v>
      </c>
      <c r="K367" s="75" t="s">
        <v>1601</v>
      </c>
      <c r="L367" s="152" t="b">
        <v>1</v>
      </c>
      <c r="M367" s="152" t="b">
        <v>1</v>
      </c>
      <c r="N367" s="212" t="s">
        <v>2861</v>
      </c>
      <c r="O367" s="213" t="s">
        <v>1554</v>
      </c>
      <c r="P367" s="47" t="b">
        <v>0</v>
      </c>
      <c r="Q367" s="47" t="b">
        <v>0</v>
      </c>
      <c r="R367" s="214"/>
      <c r="S367" s="77">
        <v>0.0</v>
      </c>
      <c r="T367" s="214"/>
      <c r="U367" s="215"/>
      <c r="V367" s="215"/>
      <c r="W367" s="214"/>
      <c r="X367" s="214"/>
      <c r="Y367" s="77">
        <v>204000.0</v>
      </c>
      <c r="Z367" s="77"/>
    </row>
    <row r="368">
      <c r="A368" s="145" t="s">
        <v>2012</v>
      </c>
      <c r="B368" s="145" t="s">
        <v>2012</v>
      </c>
      <c r="C368" s="145" t="s">
        <v>2500</v>
      </c>
      <c r="D368" s="75" t="s">
        <v>1544</v>
      </c>
      <c r="E368" s="75" t="s">
        <v>1544</v>
      </c>
      <c r="F368" s="211" t="s">
        <v>2864</v>
      </c>
      <c r="G368" s="145" t="s">
        <v>2865</v>
      </c>
      <c r="H368" s="211" t="s">
        <v>1018</v>
      </c>
      <c r="I368" s="145" t="s">
        <v>75</v>
      </c>
      <c r="J368" s="211" t="s">
        <v>1561</v>
      </c>
      <c r="K368" s="75" t="s">
        <v>1544</v>
      </c>
      <c r="L368" s="152" t="b">
        <v>1</v>
      </c>
      <c r="M368" s="152" t="b">
        <v>1</v>
      </c>
      <c r="N368" s="212" t="s">
        <v>2867</v>
      </c>
      <c r="O368" s="213" t="s">
        <v>1554</v>
      </c>
      <c r="P368" s="47" t="b">
        <v>1</v>
      </c>
      <c r="Q368" s="47" t="b">
        <v>0</v>
      </c>
      <c r="R368" s="214"/>
      <c r="S368" s="77">
        <v>0.0</v>
      </c>
      <c r="T368" s="76" t="s">
        <v>1156</v>
      </c>
      <c r="U368" s="78">
        <v>2.0E7</v>
      </c>
      <c r="V368" s="78">
        <v>0.0</v>
      </c>
      <c r="W368" s="77">
        <v>2.0E7</v>
      </c>
      <c r="X368" s="77">
        <v>160000.0</v>
      </c>
      <c r="Y368" s="77">
        <v>160000.0</v>
      </c>
      <c r="Z368" s="77"/>
    </row>
    <row r="369">
      <c r="A369" s="145" t="s">
        <v>352</v>
      </c>
      <c r="B369" s="145" t="s">
        <v>1679</v>
      </c>
      <c r="C369" s="145" t="s">
        <v>1543</v>
      </c>
      <c r="D369" s="75" t="s">
        <v>1544</v>
      </c>
      <c r="E369" s="75" t="s">
        <v>1544</v>
      </c>
      <c r="F369" s="211" t="s">
        <v>1547</v>
      </c>
      <c r="G369" s="145" t="s">
        <v>2870</v>
      </c>
      <c r="H369" s="211" t="s">
        <v>77</v>
      </c>
      <c r="I369" s="145" t="s">
        <v>174</v>
      </c>
      <c r="J369" s="211" t="s">
        <v>1549</v>
      </c>
      <c r="K369" s="75" t="s">
        <v>1544</v>
      </c>
      <c r="L369" s="152" t="b">
        <v>1</v>
      </c>
      <c r="M369" s="152" t="b">
        <v>0</v>
      </c>
      <c r="N369" s="212" t="s">
        <v>2872</v>
      </c>
      <c r="O369" s="213" t="s">
        <v>1554</v>
      </c>
      <c r="P369" s="47" t="b">
        <v>1</v>
      </c>
      <c r="Q369" s="47" t="b">
        <v>0</v>
      </c>
      <c r="R369" s="214"/>
      <c r="S369" s="77">
        <v>0.0</v>
      </c>
      <c r="T369" s="76" t="s">
        <v>1179</v>
      </c>
      <c r="U369" s="78">
        <v>1.1680877E7</v>
      </c>
      <c r="V369" s="215"/>
      <c r="W369" s="77">
        <v>1.2E7</v>
      </c>
      <c r="X369" s="77">
        <v>120000.0</v>
      </c>
      <c r="Y369" s="77">
        <v>40000.0</v>
      </c>
      <c r="Z369" s="77"/>
    </row>
    <row r="370">
      <c r="A370" s="145" t="s">
        <v>2006</v>
      </c>
      <c r="B370" s="145" t="s">
        <v>2006</v>
      </c>
      <c r="C370" s="145" t="s">
        <v>2404</v>
      </c>
      <c r="D370" s="75" t="s">
        <v>1601</v>
      </c>
      <c r="E370" s="75" t="s">
        <v>1601</v>
      </c>
      <c r="F370" s="211" t="s">
        <v>87</v>
      </c>
      <c r="G370" s="145" t="s">
        <v>2877</v>
      </c>
      <c r="H370" s="211" t="s">
        <v>87</v>
      </c>
      <c r="I370" s="145" t="s">
        <v>267</v>
      </c>
      <c r="J370" s="211" t="s">
        <v>1603</v>
      </c>
      <c r="K370" s="75" t="s">
        <v>1601</v>
      </c>
      <c r="L370" s="152" t="b">
        <v>1</v>
      </c>
      <c r="M370" s="152" t="b">
        <v>0</v>
      </c>
      <c r="N370" s="212" t="s">
        <v>2879</v>
      </c>
      <c r="O370" s="213" t="s">
        <v>1554</v>
      </c>
      <c r="P370" s="47" t="b">
        <v>0</v>
      </c>
      <c r="Q370" s="47" t="b">
        <v>0</v>
      </c>
      <c r="R370" s="214"/>
      <c r="S370" s="77">
        <v>0.0</v>
      </c>
      <c r="T370" s="214"/>
      <c r="U370" s="215"/>
      <c r="V370" s="215"/>
      <c r="W370" s="214"/>
      <c r="X370" s="214"/>
      <c r="Y370" s="77">
        <v>0.0</v>
      </c>
      <c r="Z370" s="77"/>
    </row>
    <row r="371">
      <c r="A371" s="145" t="s">
        <v>216</v>
      </c>
      <c r="B371" s="145" t="s">
        <v>1585</v>
      </c>
      <c r="C371" s="145" t="s">
        <v>1543</v>
      </c>
      <c r="D371" s="75" t="s">
        <v>1544</v>
      </c>
      <c r="E371" s="75" t="s">
        <v>1544</v>
      </c>
      <c r="F371" s="211" t="s">
        <v>1596</v>
      </c>
      <c r="G371" s="145" t="s">
        <v>843</v>
      </c>
      <c r="H371" s="211" t="s">
        <v>77</v>
      </c>
      <c r="I371" s="145" t="s">
        <v>140</v>
      </c>
      <c r="J371" s="211" t="s">
        <v>1597</v>
      </c>
      <c r="K371" s="75" t="s">
        <v>1544</v>
      </c>
      <c r="L371" s="152" t="b">
        <v>1</v>
      </c>
      <c r="M371" s="152" t="b">
        <v>0</v>
      </c>
      <c r="N371" s="212" t="s">
        <v>2886</v>
      </c>
      <c r="O371" s="213" t="s">
        <v>1554</v>
      </c>
      <c r="P371" s="47" t="b">
        <v>1</v>
      </c>
      <c r="Q371" s="47" t="b">
        <v>0</v>
      </c>
      <c r="R371" s="214"/>
      <c r="S371" s="77">
        <v>0.0</v>
      </c>
      <c r="T371" s="76" t="s">
        <v>1190</v>
      </c>
      <c r="U371" s="78">
        <v>1.1401879E7</v>
      </c>
      <c r="V371" s="215"/>
      <c r="W371" s="77">
        <v>1.2E7</v>
      </c>
      <c r="X371" s="77">
        <v>120000.0</v>
      </c>
      <c r="Y371" s="77">
        <v>3000000.0</v>
      </c>
      <c r="Z371" s="77"/>
    </row>
    <row r="372">
      <c r="A372" s="145" t="s">
        <v>2015</v>
      </c>
      <c r="B372" s="145" t="s">
        <v>1542</v>
      </c>
      <c r="C372" s="145" t="s">
        <v>1543</v>
      </c>
      <c r="D372" s="75" t="s">
        <v>1544</v>
      </c>
      <c r="E372" s="75" t="s">
        <v>1544</v>
      </c>
      <c r="F372" s="211" t="s">
        <v>1547</v>
      </c>
      <c r="G372" s="145" t="s">
        <v>2120</v>
      </c>
      <c r="H372" s="211" t="s">
        <v>77</v>
      </c>
      <c r="I372" s="145" t="s">
        <v>340</v>
      </c>
      <c r="J372" s="211" t="s">
        <v>1549</v>
      </c>
      <c r="K372" s="75" t="s">
        <v>1544</v>
      </c>
      <c r="L372" s="152" t="b">
        <v>1</v>
      </c>
      <c r="M372" s="152" t="b">
        <v>0</v>
      </c>
      <c r="N372" s="212" t="s">
        <v>2888</v>
      </c>
      <c r="O372" s="213" t="s">
        <v>1554</v>
      </c>
      <c r="P372" s="47" t="b">
        <v>1</v>
      </c>
      <c r="Q372" s="47" t="b">
        <v>0</v>
      </c>
      <c r="R372" s="214"/>
      <c r="S372" s="77">
        <v>0.0</v>
      </c>
      <c r="T372" s="76" t="s">
        <v>1179</v>
      </c>
      <c r="U372" s="78">
        <v>1.0547654E7</v>
      </c>
      <c r="V372" s="215"/>
      <c r="W372" s="77">
        <v>1.0E7</v>
      </c>
      <c r="X372" s="77">
        <v>100000.0</v>
      </c>
      <c r="Y372" s="77">
        <v>40000.0</v>
      </c>
      <c r="Z372" s="77"/>
    </row>
    <row r="373">
      <c r="A373" s="145" t="s">
        <v>222</v>
      </c>
      <c r="B373" s="145" t="s">
        <v>1984</v>
      </c>
      <c r="C373" s="145" t="s">
        <v>1543</v>
      </c>
      <c r="D373" s="75" t="s">
        <v>1544</v>
      </c>
      <c r="E373" s="75" t="s">
        <v>1544</v>
      </c>
      <c r="F373" s="211" t="s">
        <v>2891</v>
      </c>
      <c r="G373" s="145" t="s">
        <v>836</v>
      </c>
      <c r="H373" s="211" t="s">
        <v>77</v>
      </c>
      <c r="I373" s="145" t="s">
        <v>140</v>
      </c>
      <c r="J373" s="211" t="s">
        <v>1609</v>
      </c>
      <c r="K373" s="75" t="s">
        <v>1544</v>
      </c>
      <c r="L373" s="152" t="b">
        <v>1</v>
      </c>
      <c r="M373" s="152" t="b">
        <v>0</v>
      </c>
      <c r="N373" s="212" t="s">
        <v>2892</v>
      </c>
      <c r="O373" s="213" t="s">
        <v>1554</v>
      </c>
      <c r="P373" s="47" t="b">
        <v>1</v>
      </c>
      <c r="Q373" s="47" t="b">
        <v>0</v>
      </c>
      <c r="R373" s="214"/>
      <c r="S373" s="77">
        <v>0.0</v>
      </c>
      <c r="T373" s="76" t="s">
        <v>1162</v>
      </c>
      <c r="U373" s="78">
        <v>1.2132739E7</v>
      </c>
      <c r="V373" s="215"/>
      <c r="W373" s="216">
        <v>1.2E7</v>
      </c>
      <c r="X373" s="77">
        <v>120000.0</v>
      </c>
      <c r="Y373" s="77">
        <v>163139.0</v>
      </c>
      <c r="Z373" s="77"/>
    </row>
    <row r="374">
      <c r="A374" s="145" t="s">
        <v>2019</v>
      </c>
      <c r="B374" s="145" t="s">
        <v>2019</v>
      </c>
      <c r="C374" s="145" t="s">
        <v>1266</v>
      </c>
      <c r="D374" s="75" t="s">
        <v>1544</v>
      </c>
      <c r="E374" s="75" t="s">
        <v>1601</v>
      </c>
      <c r="F374" s="211" t="s">
        <v>1602</v>
      </c>
      <c r="G374" s="145" t="s">
        <v>2020</v>
      </c>
      <c r="H374" s="211" t="s">
        <v>87</v>
      </c>
      <c r="I374" s="145" t="s">
        <v>267</v>
      </c>
      <c r="J374" s="211" t="s">
        <v>1603</v>
      </c>
      <c r="K374" s="75" t="s">
        <v>1544</v>
      </c>
      <c r="L374" s="152" t="b">
        <v>0</v>
      </c>
      <c r="M374" s="152" t="b">
        <v>0</v>
      </c>
      <c r="N374" s="217"/>
      <c r="O374" s="213" t="s">
        <v>1554</v>
      </c>
      <c r="P374" s="47" t="b">
        <v>0</v>
      </c>
      <c r="Q374" s="47" t="b">
        <v>0</v>
      </c>
      <c r="R374" s="214"/>
      <c r="S374" s="77">
        <v>0.0</v>
      </c>
      <c r="T374" s="214"/>
      <c r="U374" s="215"/>
      <c r="V374" s="215"/>
      <c r="W374" s="214"/>
      <c r="X374" s="214"/>
      <c r="Y374" s="77">
        <v>1.0</v>
      </c>
      <c r="Z374" s="77"/>
    </row>
    <row r="375">
      <c r="A375" s="145" t="s">
        <v>2033</v>
      </c>
      <c r="B375" s="145" t="s">
        <v>2033</v>
      </c>
      <c r="C375" s="145" t="s">
        <v>2398</v>
      </c>
      <c r="D375" s="75" t="s">
        <v>1544</v>
      </c>
      <c r="E375" s="75" t="s">
        <v>1601</v>
      </c>
      <c r="F375" s="211" t="s">
        <v>1602</v>
      </c>
      <c r="G375" s="145" t="s">
        <v>2896</v>
      </c>
      <c r="H375" s="211" t="s">
        <v>2897</v>
      </c>
      <c r="I375" s="145" t="s">
        <v>2487</v>
      </c>
      <c r="J375" s="211" t="s">
        <v>1603</v>
      </c>
      <c r="K375" s="75" t="s">
        <v>1601</v>
      </c>
      <c r="L375" s="152" t="b">
        <v>1</v>
      </c>
      <c r="M375" s="152" t="b">
        <v>0</v>
      </c>
      <c r="N375" s="212" t="s">
        <v>2899</v>
      </c>
      <c r="O375" s="213" t="s">
        <v>1554</v>
      </c>
      <c r="P375" s="47" t="b">
        <v>0</v>
      </c>
      <c r="Q375" s="47" t="b">
        <v>0</v>
      </c>
      <c r="R375" s="214"/>
      <c r="S375" s="77">
        <v>0.0</v>
      </c>
      <c r="T375" s="214"/>
      <c r="U375" s="215"/>
      <c r="V375" s="215"/>
      <c r="W375" s="214"/>
      <c r="X375" s="214"/>
      <c r="Y375" s="77">
        <v>1.0</v>
      </c>
      <c r="Z375" s="77"/>
    </row>
    <row r="376">
      <c r="A376" s="145" t="s">
        <v>675</v>
      </c>
      <c r="B376" s="145" t="s">
        <v>675</v>
      </c>
      <c r="C376" s="145" t="s">
        <v>2398</v>
      </c>
      <c r="D376" s="75" t="s">
        <v>1544</v>
      </c>
      <c r="E376" s="75" t="s">
        <v>1544</v>
      </c>
      <c r="F376" s="211" t="s">
        <v>1602</v>
      </c>
      <c r="G376" s="145" t="s">
        <v>676</v>
      </c>
      <c r="H376" s="211" t="s">
        <v>87</v>
      </c>
      <c r="I376" s="145" t="s">
        <v>267</v>
      </c>
      <c r="J376" s="211" t="s">
        <v>1603</v>
      </c>
      <c r="K376" s="75" t="s">
        <v>1601</v>
      </c>
      <c r="L376" s="152" t="b">
        <v>1</v>
      </c>
      <c r="M376" s="152" t="b">
        <v>0</v>
      </c>
      <c r="N376" s="217"/>
      <c r="O376" s="213" t="s">
        <v>1554</v>
      </c>
      <c r="P376" s="47" t="b">
        <v>0</v>
      </c>
      <c r="Q376" s="47" t="b">
        <v>0</v>
      </c>
      <c r="R376" s="214"/>
      <c r="S376" s="77">
        <v>0.0</v>
      </c>
      <c r="T376" s="76" t="s">
        <v>1161</v>
      </c>
      <c r="U376" s="215"/>
      <c r="V376" s="215"/>
      <c r="W376" s="214"/>
      <c r="X376" s="214"/>
      <c r="Y376" s="77">
        <v>1.0</v>
      </c>
      <c r="Z376" s="77"/>
    </row>
    <row r="377">
      <c r="A377" s="145" t="s">
        <v>401</v>
      </c>
      <c r="B377" s="145" t="s">
        <v>2300</v>
      </c>
      <c r="C377" s="145" t="s">
        <v>2288</v>
      </c>
      <c r="D377" s="75" t="s">
        <v>1544</v>
      </c>
      <c r="E377" s="75" t="s">
        <v>1544</v>
      </c>
      <c r="F377" s="211" t="s">
        <v>1575</v>
      </c>
      <c r="G377" s="145" t="s">
        <v>2628</v>
      </c>
      <c r="H377" s="211" t="s">
        <v>77</v>
      </c>
      <c r="I377" s="145" t="s">
        <v>174</v>
      </c>
      <c r="J377" s="211" t="s">
        <v>1577</v>
      </c>
      <c r="K377" s="75" t="s">
        <v>1544</v>
      </c>
      <c r="L377" s="152" t="b">
        <v>1</v>
      </c>
      <c r="M377" s="152" t="b">
        <v>1</v>
      </c>
      <c r="N377" s="217"/>
      <c r="O377" s="213" t="s">
        <v>1554</v>
      </c>
      <c r="P377" s="47" t="b">
        <v>1</v>
      </c>
      <c r="Q377" s="47" t="b">
        <v>0</v>
      </c>
      <c r="R377" s="214"/>
      <c r="S377" s="77">
        <v>0.0</v>
      </c>
      <c r="T377" s="76" t="s">
        <v>1176</v>
      </c>
      <c r="U377" s="78">
        <v>6329829.0</v>
      </c>
      <c r="V377" s="215"/>
      <c r="W377" s="77">
        <v>6000000.0</v>
      </c>
      <c r="X377" s="77">
        <v>60000.0</v>
      </c>
      <c r="Y377" s="77">
        <v>20000.0</v>
      </c>
      <c r="Z377" s="77"/>
    </row>
    <row r="378">
      <c r="A378" s="145" t="s">
        <v>2909</v>
      </c>
      <c r="B378" s="145" t="s">
        <v>2909</v>
      </c>
      <c r="C378" s="145" t="s">
        <v>2296</v>
      </c>
      <c r="D378" s="75" t="s">
        <v>1601</v>
      </c>
      <c r="E378" s="75" t="s">
        <v>1544</v>
      </c>
      <c r="F378" s="211" t="s">
        <v>2910</v>
      </c>
      <c r="G378" s="145" t="s">
        <v>2912</v>
      </c>
      <c r="H378" s="211" t="s">
        <v>87</v>
      </c>
      <c r="I378" s="145" t="s">
        <v>2913</v>
      </c>
      <c r="J378" s="211" t="s">
        <v>2914</v>
      </c>
      <c r="K378" s="75" t="s">
        <v>1544</v>
      </c>
      <c r="L378" s="152" t="b">
        <v>0</v>
      </c>
      <c r="M378" s="152" t="b">
        <v>0</v>
      </c>
      <c r="N378" s="217"/>
      <c r="O378" s="213" t="s">
        <v>1554</v>
      </c>
      <c r="P378" s="47" t="b">
        <v>1</v>
      </c>
      <c r="Q378" s="47" t="b">
        <v>0</v>
      </c>
      <c r="R378" s="214"/>
      <c r="S378" s="77">
        <v>0.0</v>
      </c>
      <c r="T378" s="214"/>
      <c r="U378" s="215"/>
      <c r="V378" s="215"/>
      <c r="W378" s="214"/>
      <c r="X378" s="214"/>
      <c r="Y378" s="77">
        <v>50000.0</v>
      </c>
      <c r="Z378" s="77"/>
    </row>
    <row r="379">
      <c r="A379" s="145" t="s">
        <v>422</v>
      </c>
      <c r="B379" s="145" t="s">
        <v>1605</v>
      </c>
      <c r="C379" s="145" t="s">
        <v>1543</v>
      </c>
      <c r="D379" s="75" t="s">
        <v>1544</v>
      </c>
      <c r="E379" s="75" t="s">
        <v>1544</v>
      </c>
      <c r="F379" s="211" t="s">
        <v>1637</v>
      </c>
      <c r="G379" s="145" t="s">
        <v>2917</v>
      </c>
      <c r="H379" s="211" t="s">
        <v>77</v>
      </c>
      <c r="I379" s="145" t="s">
        <v>329</v>
      </c>
      <c r="J379" s="211" t="s">
        <v>1639</v>
      </c>
      <c r="K379" s="75" t="s">
        <v>1544</v>
      </c>
      <c r="L379" s="152" t="b">
        <v>1</v>
      </c>
      <c r="M379" s="152" t="b">
        <v>0</v>
      </c>
      <c r="N379" s="212" t="s">
        <v>2919</v>
      </c>
      <c r="O379" s="213" t="s">
        <v>1554</v>
      </c>
      <c r="P379" s="47" t="b">
        <v>1</v>
      </c>
      <c r="Q379" s="47" t="b">
        <v>0</v>
      </c>
      <c r="R379" s="214"/>
      <c r="S379" s="77">
        <v>0.0</v>
      </c>
      <c r="T379" s="76" t="s">
        <v>1162</v>
      </c>
      <c r="U379" s="78">
        <v>8864894.0</v>
      </c>
      <c r="V379" s="215"/>
      <c r="W379" s="77">
        <v>8000000.0</v>
      </c>
      <c r="X379" s="77">
        <v>80000.0</v>
      </c>
      <c r="Y379" s="77">
        <v>60000.0</v>
      </c>
      <c r="Z379" s="77"/>
    </row>
    <row r="380">
      <c r="A380" s="145" t="s">
        <v>2923</v>
      </c>
      <c r="B380" s="145" t="s">
        <v>2923</v>
      </c>
      <c r="C380" s="145" t="s">
        <v>1600</v>
      </c>
      <c r="D380" s="75" t="s">
        <v>1601</v>
      </c>
      <c r="E380" s="75" t="s">
        <v>1544</v>
      </c>
      <c r="F380" s="211" t="s">
        <v>2910</v>
      </c>
      <c r="G380" s="145" t="s">
        <v>2923</v>
      </c>
      <c r="H380" s="211" t="s">
        <v>77</v>
      </c>
      <c r="I380" s="145" t="s">
        <v>267</v>
      </c>
      <c r="J380" s="211" t="s">
        <v>2914</v>
      </c>
      <c r="K380" s="75" t="s">
        <v>1544</v>
      </c>
      <c r="L380" s="152" t="b">
        <v>0</v>
      </c>
      <c r="M380" s="152" t="b">
        <v>0</v>
      </c>
      <c r="N380" s="217"/>
      <c r="O380" s="213" t="s">
        <v>1554</v>
      </c>
      <c r="P380" s="47" t="b">
        <v>0</v>
      </c>
      <c r="Q380" s="47" t="b">
        <v>0</v>
      </c>
      <c r="R380" s="214"/>
      <c r="S380" s="77">
        <v>0.0</v>
      </c>
      <c r="T380" s="214"/>
      <c r="U380" s="215"/>
      <c r="V380" s="215"/>
      <c r="W380" s="214"/>
      <c r="X380" s="214"/>
      <c r="Y380" s="77">
        <v>50000.0</v>
      </c>
      <c r="Z380" s="77"/>
    </row>
    <row r="381">
      <c r="A381" s="145" t="s">
        <v>2024</v>
      </c>
      <c r="B381" s="145" t="s">
        <v>2024</v>
      </c>
      <c r="C381" s="145" t="s">
        <v>1266</v>
      </c>
      <c r="D381" s="75" t="s">
        <v>1601</v>
      </c>
      <c r="E381" s="75" t="s">
        <v>1601</v>
      </c>
      <c r="F381" s="211" t="s">
        <v>2925</v>
      </c>
      <c r="G381" s="145" t="s">
        <v>2025</v>
      </c>
      <c r="H381" s="211" t="s">
        <v>77</v>
      </c>
      <c r="I381" s="145" t="s">
        <v>218</v>
      </c>
      <c r="J381" s="211" t="s">
        <v>2927</v>
      </c>
      <c r="K381" s="75" t="s">
        <v>1544</v>
      </c>
      <c r="L381" s="152" t="b">
        <v>0</v>
      </c>
      <c r="M381" s="152" t="b">
        <v>0</v>
      </c>
      <c r="N381" s="217"/>
      <c r="O381" s="213" t="s">
        <v>1554</v>
      </c>
      <c r="P381" s="47" t="b">
        <v>0</v>
      </c>
      <c r="Q381" s="47" t="b">
        <v>0</v>
      </c>
      <c r="R381" s="214"/>
      <c r="S381" s="77">
        <v>0.0</v>
      </c>
      <c r="T381" s="214"/>
      <c r="U381" s="215"/>
      <c r="V381" s="215"/>
      <c r="W381" s="214"/>
      <c r="X381" s="214"/>
      <c r="Y381" s="77">
        <v>154000.0</v>
      </c>
      <c r="Z381" s="77"/>
    </row>
    <row r="382">
      <c r="A382" s="145" t="s">
        <v>594</v>
      </c>
      <c r="B382" s="145" t="s">
        <v>594</v>
      </c>
      <c r="C382" s="145" t="s">
        <v>2398</v>
      </c>
      <c r="D382" s="75" t="s">
        <v>1544</v>
      </c>
      <c r="E382" s="75" t="s">
        <v>1544</v>
      </c>
      <c r="F382" s="211" t="s">
        <v>1602</v>
      </c>
      <c r="G382" s="145" t="s">
        <v>594</v>
      </c>
      <c r="H382" s="211" t="s">
        <v>87</v>
      </c>
      <c r="I382" s="145" t="s">
        <v>267</v>
      </c>
      <c r="J382" s="211" t="s">
        <v>1603</v>
      </c>
      <c r="K382" s="75" t="s">
        <v>1601</v>
      </c>
      <c r="L382" s="152" t="b">
        <v>1</v>
      </c>
      <c r="M382" s="152" t="b">
        <v>1</v>
      </c>
      <c r="N382" s="212" t="s">
        <v>2931</v>
      </c>
      <c r="O382" s="213" t="s">
        <v>1554</v>
      </c>
      <c r="P382" s="47" t="b">
        <v>0</v>
      </c>
      <c r="Q382" s="47" t="b">
        <v>0</v>
      </c>
      <c r="R382" s="214"/>
      <c r="S382" s="77">
        <v>0.0</v>
      </c>
      <c r="T382" s="76" t="s">
        <v>1161</v>
      </c>
      <c r="U382" s="215"/>
      <c r="V382" s="215"/>
      <c r="W382" s="214"/>
      <c r="X382" s="214"/>
      <c r="Y382" s="77">
        <v>1.0</v>
      </c>
      <c r="Z382" s="77"/>
    </row>
    <row r="383">
      <c r="A383" s="145" t="s">
        <v>2037</v>
      </c>
      <c r="B383" s="145" t="s">
        <v>2037</v>
      </c>
      <c r="C383" s="145" t="s">
        <v>1266</v>
      </c>
      <c r="D383" s="75" t="s">
        <v>1601</v>
      </c>
      <c r="E383" s="75" t="s">
        <v>1601</v>
      </c>
      <c r="F383" s="211" t="s">
        <v>2175</v>
      </c>
      <c r="G383" s="145" t="s">
        <v>2038</v>
      </c>
      <c r="H383" s="211" t="s">
        <v>77</v>
      </c>
      <c r="I383" s="145" t="s">
        <v>249</v>
      </c>
      <c r="J383" s="211" t="s">
        <v>1549</v>
      </c>
      <c r="K383" s="75" t="s">
        <v>1544</v>
      </c>
      <c r="L383" s="152" t="b">
        <v>0</v>
      </c>
      <c r="M383" s="152" t="b">
        <v>0</v>
      </c>
      <c r="N383" s="217"/>
      <c r="O383" s="213" t="s">
        <v>1554</v>
      </c>
      <c r="P383" s="47" t="b">
        <v>0</v>
      </c>
      <c r="Q383" s="47" t="b">
        <v>0</v>
      </c>
      <c r="R383" s="214"/>
      <c r="S383" s="77">
        <v>0.0</v>
      </c>
      <c r="T383" s="214"/>
      <c r="U383" s="215"/>
      <c r="V383" s="215"/>
      <c r="W383" s="214"/>
      <c r="X383" s="214"/>
      <c r="Y383" s="77">
        <v>28000.0</v>
      </c>
      <c r="Z383" s="77"/>
    </row>
    <row r="384">
      <c r="A384" s="145" t="s">
        <v>435</v>
      </c>
      <c r="B384" s="145" t="s">
        <v>1720</v>
      </c>
      <c r="C384" s="145" t="s">
        <v>1543</v>
      </c>
      <c r="D384" s="75" t="s">
        <v>1544</v>
      </c>
      <c r="E384" s="75" t="s">
        <v>1544</v>
      </c>
      <c r="F384" s="211" t="s">
        <v>1721</v>
      </c>
      <c r="G384" s="145" t="s">
        <v>1351</v>
      </c>
      <c r="H384" s="211" t="s">
        <v>1018</v>
      </c>
      <c r="I384" s="145" t="s">
        <v>83</v>
      </c>
      <c r="J384" s="211" t="s">
        <v>1609</v>
      </c>
      <c r="K384" s="75" t="s">
        <v>1544</v>
      </c>
      <c r="L384" s="152" t="b">
        <v>1</v>
      </c>
      <c r="M384" s="152" t="b">
        <v>0</v>
      </c>
      <c r="N384" s="212" t="s">
        <v>2939</v>
      </c>
      <c r="O384" s="213" t="s">
        <v>1554</v>
      </c>
      <c r="P384" s="47" t="b">
        <v>1</v>
      </c>
      <c r="Q384" s="47" t="b">
        <v>0</v>
      </c>
      <c r="R384" s="214"/>
      <c r="S384" s="77">
        <v>0.0</v>
      </c>
      <c r="T384" s="76" t="s">
        <v>1179</v>
      </c>
      <c r="U384" s="78">
        <v>1.7812493E7</v>
      </c>
      <c r="V384" s="215"/>
      <c r="W384" s="77">
        <v>1.8E7</v>
      </c>
      <c r="X384" s="77">
        <v>144000.0</v>
      </c>
      <c r="Y384" s="77">
        <v>64000.0</v>
      </c>
      <c r="Z384" s="77"/>
    </row>
    <row r="385">
      <c r="A385" s="145" t="s">
        <v>2049</v>
      </c>
      <c r="B385" s="145" t="s">
        <v>1658</v>
      </c>
      <c r="C385" s="145" t="s">
        <v>1543</v>
      </c>
      <c r="D385" s="75" t="s">
        <v>1544</v>
      </c>
      <c r="E385" s="75" t="s">
        <v>1544</v>
      </c>
      <c r="F385" s="211" t="s">
        <v>1851</v>
      </c>
      <c r="G385" s="145" t="s">
        <v>2942</v>
      </c>
      <c r="H385" s="211" t="s">
        <v>1018</v>
      </c>
      <c r="I385" s="145" t="s">
        <v>92</v>
      </c>
      <c r="J385" s="211" t="s">
        <v>1639</v>
      </c>
      <c r="K385" s="75" t="s">
        <v>1544</v>
      </c>
      <c r="L385" s="152" t="b">
        <v>1</v>
      </c>
      <c r="M385" s="152" t="b">
        <v>0</v>
      </c>
      <c r="N385" s="212" t="s">
        <v>2943</v>
      </c>
      <c r="O385" s="213" t="s">
        <v>1554</v>
      </c>
      <c r="P385" s="47" t="b">
        <v>1</v>
      </c>
      <c r="Q385" s="47" t="b">
        <v>0</v>
      </c>
      <c r="R385" s="214"/>
      <c r="S385" s="77">
        <v>0.0</v>
      </c>
      <c r="T385" s="76" t="s">
        <v>1179</v>
      </c>
      <c r="U385" s="78">
        <v>1.5251357E7</v>
      </c>
      <c r="V385" s="215"/>
      <c r="W385" s="77">
        <v>1.6E7</v>
      </c>
      <c r="X385" s="77">
        <v>128000.0</v>
      </c>
      <c r="Y385" s="77">
        <v>48000.0</v>
      </c>
      <c r="Z385" s="77"/>
    </row>
    <row r="386">
      <c r="A386" s="145" t="s">
        <v>559</v>
      </c>
      <c r="B386" s="145" t="s">
        <v>147</v>
      </c>
      <c r="C386" s="145" t="s">
        <v>2288</v>
      </c>
      <c r="D386" s="75" t="s">
        <v>1544</v>
      </c>
      <c r="E386" s="75" t="s">
        <v>1544</v>
      </c>
      <c r="F386" s="211" t="s">
        <v>1690</v>
      </c>
      <c r="G386" s="145" t="s">
        <v>1083</v>
      </c>
      <c r="H386" s="211" t="s">
        <v>586</v>
      </c>
      <c r="I386" s="145" t="s">
        <v>585</v>
      </c>
      <c r="J386" s="211" t="s">
        <v>1597</v>
      </c>
      <c r="K386" s="75" t="s">
        <v>1544</v>
      </c>
      <c r="L386" s="152" t="b">
        <v>1</v>
      </c>
      <c r="M386" s="152" t="b">
        <v>0</v>
      </c>
      <c r="N386" s="217"/>
      <c r="O386" s="213" t="s">
        <v>1554</v>
      </c>
      <c r="P386" s="47" t="b">
        <v>1</v>
      </c>
      <c r="Q386" s="47" t="b">
        <v>0</v>
      </c>
      <c r="R386" s="214"/>
      <c r="S386" s="77">
        <v>0.0</v>
      </c>
      <c r="T386" s="76" t="s">
        <v>1179</v>
      </c>
      <c r="U386" s="78">
        <v>2.7780163E7</v>
      </c>
      <c r="V386" s="215"/>
      <c r="W386" s="77">
        <v>2.8E7</v>
      </c>
      <c r="X386" s="77">
        <v>196000.0</v>
      </c>
      <c r="Y386" s="77">
        <v>100000.0</v>
      </c>
      <c r="Z386" s="77"/>
    </row>
    <row r="387">
      <c r="A387" s="145" t="s">
        <v>2051</v>
      </c>
      <c r="B387" s="145" t="s">
        <v>2287</v>
      </c>
      <c r="C387" s="145" t="s">
        <v>2288</v>
      </c>
      <c r="D387" s="75" t="s">
        <v>1544</v>
      </c>
      <c r="E387" s="75" t="s">
        <v>1544</v>
      </c>
      <c r="F387" s="211" t="s">
        <v>1851</v>
      </c>
      <c r="G387" s="145" t="s">
        <v>2952</v>
      </c>
      <c r="H387" s="211" t="s">
        <v>1018</v>
      </c>
      <c r="I387" s="145" t="s">
        <v>92</v>
      </c>
      <c r="J387" s="211" t="s">
        <v>1639</v>
      </c>
      <c r="K387" s="75" t="s">
        <v>1544</v>
      </c>
      <c r="L387" s="152" t="b">
        <v>1</v>
      </c>
      <c r="M387" s="152" t="b">
        <v>0</v>
      </c>
      <c r="N387" s="217"/>
      <c r="O387" s="213" t="s">
        <v>1554</v>
      </c>
      <c r="P387" s="47" t="b">
        <v>1</v>
      </c>
      <c r="Q387" s="47" t="b">
        <v>0</v>
      </c>
      <c r="R387" s="214"/>
      <c r="S387" s="77">
        <v>0.0</v>
      </c>
      <c r="T387" s="76" t="s">
        <v>1179</v>
      </c>
      <c r="U387" s="78">
        <v>1.3208189E7</v>
      </c>
      <c r="V387" s="215"/>
      <c r="W387" s="77">
        <v>1.4E7</v>
      </c>
      <c r="X387" s="77">
        <v>112000.0</v>
      </c>
      <c r="Y387" s="77">
        <v>48000.0</v>
      </c>
      <c r="Z387" s="77"/>
    </row>
    <row r="388">
      <c r="A388" s="145" t="s">
        <v>2047</v>
      </c>
      <c r="B388" s="145" t="s">
        <v>2047</v>
      </c>
      <c r="C388" s="145" t="s">
        <v>1600</v>
      </c>
      <c r="D388" s="75" t="s">
        <v>1544</v>
      </c>
      <c r="E388" s="75" t="s">
        <v>1601</v>
      </c>
      <c r="F388" s="211" t="s">
        <v>1602</v>
      </c>
      <c r="G388" s="145" t="s">
        <v>2048</v>
      </c>
      <c r="H388" s="211" t="s">
        <v>2106</v>
      </c>
      <c r="I388" s="145" t="s">
        <v>674</v>
      </c>
      <c r="J388" s="211" t="s">
        <v>1603</v>
      </c>
      <c r="K388" s="75" t="s">
        <v>1544</v>
      </c>
      <c r="L388" s="152" t="b">
        <v>0</v>
      </c>
      <c r="M388" s="152" t="b">
        <v>0</v>
      </c>
      <c r="N388" s="217"/>
      <c r="O388" s="213" t="s">
        <v>1554</v>
      </c>
      <c r="P388" s="47" t="b">
        <v>0</v>
      </c>
      <c r="Q388" s="47" t="b">
        <v>0</v>
      </c>
      <c r="R388" s="214"/>
      <c r="S388" s="77">
        <v>0.0</v>
      </c>
      <c r="T388" s="214"/>
      <c r="U388" s="215"/>
      <c r="V388" s="215"/>
      <c r="W388" s="218"/>
      <c r="X388" s="214"/>
      <c r="Y388" s="77">
        <v>1.0</v>
      </c>
      <c r="Z388" s="77"/>
    </row>
    <row r="389">
      <c r="A389" s="145" t="s">
        <v>128</v>
      </c>
      <c r="B389" s="145" t="s">
        <v>128</v>
      </c>
      <c r="C389" s="145" t="s">
        <v>1058</v>
      </c>
      <c r="D389" s="75" t="s">
        <v>1544</v>
      </c>
      <c r="E389" s="75" t="s">
        <v>1544</v>
      </c>
      <c r="F389" s="211" t="s">
        <v>2961</v>
      </c>
      <c r="G389" s="145" t="s">
        <v>2962</v>
      </c>
      <c r="H389" s="211" t="s">
        <v>87</v>
      </c>
      <c r="I389" s="145" t="s">
        <v>267</v>
      </c>
      <c r="J389" s="211" t="s">
        <v>2963</v>
      </c>
      <c r="K389" s="75" t="s">
        <v>1544</v>
      </c>
      <c r="L389" s="152" t="b">
        <v>1</v>
      </c>
      <c r="M389" s="152" t="b">
        <v>1</v>
      </c>
      <c r="N389" s="217"/>
      <c r="O389" s="213" t="s">
        <v>1554</v>
      </c>
      <c r="P389" s="47" t="b">
        <v>0</v>
      </c>
      <c r="Q389" s="47" t="b">
        <v>0</v>
      </c>
      <c r="R389" s="214"/>
      <c r="S389" s="77">
        <v>0.0</v>
      </c>
      <c r="T389" s="76" t="s">
        <v>1161</v>
      </c>
      <c r="U389" s="215"/>
      <c r="V389" s="78">
        <v>-1.0</v>
      </c>
      <c r="W389" s="218"/>
      <c r="X389" s="218"/>
      <c r="Y389" s="77">
        <v>880000.0</v>
      </c>
      <c r="Z389" s="77"/>
    </row>
    <row r="390">
      <c r="A390" s="145" t="s">
        <v>181</v>
      </c>
      <c r="B390" s="145" t="s">
        <v>181</v>
      </c>
      <c r="C390" s="145" t="s">
        <v>1058</v>
      </c>
      <c r="D390" s="75" t="s">
        <v>1544</v>
      </c>
      <c r="E390" s="75" t="s">
        <v>1544</v>
      </c>
      <c r="F390" s="211" t="s">
        <v>1602</v>
      </c>
      <c r="G390" s="145" t="s">
        <v>2967</v>
      </c>
      <c r="H390" s="211" t="s">
        <v>87</v>
      </c>
      <c r="I390" s="145" t="s">
        <v>267</v>
      </c>
      <c r="J390" s="211" t="s">
        <v>1603</v>
      </c>
      <c r="K390" s="75" t="s">
        <v>1544</v>
      </c>
      <c r="L390" s="152" t="b">
        <v>1</v>
      </c>
      <c r="M390" s="152" t="b">
        <v>1</v>
      </c>
      <c r="N390" s="217"/>
      <c r="O390" s="213" t="s">
        <v>1554</v>
      </c>
      <c r="P390" s="47" t="b">
        <v>0</v>
      </c>
      <c r="Q390" s="47" t="b">
        <v>0</v>
      </c>
      <c r="R390" s="214"/>
      <c r="S390" s="77">
        <v>0.0</v>
      </c>
      <c r="T390" s="76" t="s">
        <v>1161</v>
      </c>
      <c r="U390" s="215"/>
      <c r="V390" s="78">
        <v>-1.0</v>
      </c>
      <c r="W390" s="218"/>
      <c r="X390" s="218"/>
      <c r="Y390" s="77">
        <v>1.0</v>
      </c>
      <c r="Z390" s="77"/>
    </row>
    <row r="391">
      <c r="A391" s="145" t="s">
        <v>2035</v>
      </c>
      <c r="B391" s="145" t="s">
        <v>2035</v>
      </c>
      <c r="C391" s="145" t="s">
        <v>2404</v>
      </c>
      <c r="D391" s="75" t="s">
        <v>1544</v>
      </c>
      <c r="E391" s="75" t="s">
        <v>1601</v>
      </c>
      <c r="F391" s="211" t="s">
        <v>1602</v>
      </c>
      <c r="G391" s="145" t="s">
        <v>2971</v>
      </c>
      <c r="H391" s="211" t="s">
        <v>87</v>
      </c>
      <c r="I391" s="145" t="s">
        <v>267</v>
      </c>
      <c r="J391" s="211" t="s">
        <v>1603</v>
      </c>
      <c r="K391" s="75" t="s">
        <v>1601</v>
      </c>
      <c r="L391" s="152" t="b">
        <v>1</v>
      </c>
      <c r="M391" s="152" t="b">
        <v>1</v>
      </c>
      <c r="N391" s="212" t="s">
        <v>2972</v>
      </c>
      <c r="O391" s="213" t="s">
        <v>1554</v>
      </c>
      <c r="P391" s="47" t="b">
        <v>0</v>
      </c>
      <c r="Q391" s="47" t="b">
        <v>0</v>
      </c>
      <c r="R391" s="214"/>
      <c r="S391" s="77">
        <v>0.0</v>
      </c>
      <c r="T391" s="214"/>
      <c r="U391" s="215"/>
      <c r="V391" s="215"/>
      <c r="W391" s="214"/>
      <c r="X391" s="193"/>
      <c r="Y391" s="77">
        <v>1.0</v>
      </c>
      <c r="Z391" s="77"/>
    </row>
    <row r="392">
      <c r="A392" s="145" t="s">
        <v>2054</v>
      </c>
      <c r="B392" s="145" t="s">
        <v>2054</v>
      </c>
      <c r="C392" s="145" t="s">
        <v>1600</v>
      </c>
      <c r="D392" s="75" t="s">
        <v>1601</v>
      </c>
      <c r="E392" s="75" t="s">
        <v>1601</v>
      </c>
      <c r="F392" s="211" t="s">
        <v>2175</v>
      </c>
      <c r="G392" s="145" t="s">
        <v>2055</v>
      </c>
      <c r="H392" s="211" t="s">
        <v>77</v>
      </c>
      <c r="I392" s="145" t="s">
        <v>674</v>
      </c>
      <c r="J392" s="211" t="s">
        <v>1549</v>
      </c>
      <c r="K392" s="75" t="s">
        <v>1544</v>
      </c>
      <c r="L392" s="152" t="b">
        <v>0</v>
      </c>
      <c r="M392" s="152" t="b">
        <v>0</v>
      </c>
      <c r="N392" s="217"/>
      <c r="O392" s="213" t="s">
        <v>1554</v>
      </c>
      <c r="P392" s="47" t="b">
        <v>0</v>
      </c>
      <c r="Q392" s="47" t="b">
        <v>0</v>
      </c>
      <c r="R392" s="214"/>
      <c r="S392" s="77">
        <v>0.0</v>
      </c>
      <c r="T392" s="214"/>
      <c r="U392" s="215"/>
      <c r="V392" s="215"/>
      <c r="W392" s="214"/>
      <c r="X392" s="214"/>
      <c r="Y392" s="77">
        <v>28000.0</v>
      </c>
      <c r="Z392" s="77"/>
    </row>
    <row r="393">
      <c r="A393" s="145" t="s">
        <v>384</v>
      </c>
      <c r="B393" s="145" t="s">
        <v>384</v>
      </c>
      <c r="C393" s="145" t="s">
        <v>1600</v>
      </c>
      <c r="D393" s="75" t="s">
        <v>1544</v>
      </c>
      <c r="E393" s="75" t="s">
        <v>1544</v>
      </c>
      <c r="F393" s="211" t="s">
        <v>1602</v>
      </c>
      <c r="G393" s="145" t="s">
        <v>385</v>
      </c>
      <c r="H393" s="211" t="s">
        <v>87</v>
      </c>
      <c r="I393" s="145" t="s">
        <v>267</v>
      </c>
      <c r="J393" s="211" t="s">
        <v>1603</v>
      </c>
      <c r="K393" s="75" t="s">
        <v>1544</v>
      </c>
      <c r="L393" s="152" t="b">
        <v>0</v>
      </c>
      <c r="M393" s="152" t="b">
        <v>0</v>
      </c>
      <c r="N393" s="217"/>
      <c r="O393" s="213" t="s">
        <v>1554</v>
      </c>
      <c r="P393" s="47" t="b">
        <v>0</v>
      </c>
      <c r="Q393" s="47" t="b">
        <v>0</v>
      </c>
      <c r="R393" s="214"/>
      <c r="S393" s="77">
        <v>0.0</v>
      </c>
      <c r="T393" s="76" t="s">
        <v>1179</v>
      </c>
      <c r="U393" s="215"/>
      <c r="V393" s="215"/>
      <c r="W393" s="214"/>
      <c r="X393" s="214"/>
      <c r="Y393" s="77">
        <v>1.0</v>
      </c>
      <c r="Z393" s="77"/>
    </row>
    <row r="394">
      <c r="A394" s="145" t="s">
        <v>1776</v>
      </c>
      <c r="B394" s="145" t="s">
        <v>1580</v>
      </c>
      <c r="C394" s="145" t="s">
        <v>1543</v>
      </c>
      <c r="D394" s="75" t="s">
        <v>1544</v>
      </c>
      <c r="E394" s="75" t="s">
        <v>1544</v>
      </c>
      <c r="F394" s="211" t="s">
        <v>1547</v>
      </c>
      <c r="G394" s="145" t="s">
        <v>1777</v>
      </c>
      <c r="H394" s="211" t="s">
        <v>77</v>
      </c>
      <c r="I394" s="145" t="s">
        <v>327</v>
      </c>
      <c r="J394" s="211" t="s">
        <v>1549</v>
      </c>
      <c r="K394" s="75" t="s">
        <v>1544</v>
      </c>
      <c r="L394" s="152" t="b">
        <v>1</v>
      </c>
      <c r="M394" s="152" t="b">
        <v>0</v>
      </c>
      <c r="N394" s="212" t="s">
        <v>2977</v>
      </c>
      <c r="O394" s="213" t="s">
        <v>1554</v>
      </c>
      <c r="P394" s="47" t="b">
        <v>1</v>
      </c>
      <c r="Q394" s="47" t="b">
        <v>0</v>
      </c>
      <c r="R394" s="214"/>
      <c r="S394" s="77">
        <v>0.0</v>
      </c>
      <c r="T394" s="76" t="s">
        <v>1184</v>
      </c>
      <c r="U394" s="78">
        <v>1.097329E7</v>
      </c>
      <c r="V394" s="215"/>
      <c r="W394" s="77">
        <v>1.0E7</v>
      </c>
      <c r="X394" s="77">
        <v>100000.0</v>
      </c>
      <c r="Y394" s="77">
        <v>40000.0</v>
      </c>
      <c r="Z394" s="77"/>
    </row>
    <row r="395">
      <c r="A395" s="145" t="s">
        <v>412</v>
      </c>
      <c r="B395" s="145" t="s">
        <v>1746</v>
      </c>
      <c r="C395" s="145" t="s">
        <v>1543</v>
      </c>
      <c r="D395" s="75" t="s">
        <v>1544</v>
      </c>
      <c r="E395" s="75" t="s">
        <v>1544</v>
      </c>
      <c r="F395" s="211" t="s">
        <v>1575</v>
      </c>
      <c r="G395" s="145" t="s">
        <v>2980</v>
      </c>
      <c r="H395" s="211" t="s">
        <v>77</v>
      </c>
      <c r="I395" s="145" t="s">
        <v>338</v>
      </c>
      <c r="J395" s="211" t="s">
        <v>1577</v>
      </c>
      <c r="K395" s="75" t="s">
        <v>1544</v>
      </c>
      <c r="L395" s="152" t="b">
        <v>1</v>
      </c>
      <c r="M395" s="152" t="b">
        <v>0</v>
      </c>
      <c r="N395" s="212" t="s">
        <v>2983</v>
      </c>
      <c r="O395" s="213" t="s">
        <v>1554</v>
      </c>
      <c r="P395" s="47" t="b">
        <v>1</v>
      </c>
      <c r="Q395" s="47" t="b">
        <v>0</v>
      </c>
      <c r="R395" s="214"/>
      <c r="S395" s="77">
        <v>0.0</v>
      </c>
      <c r="T395" s="76" t="s">
        <v>1179</v>
      </c>
      <c r="U395" s="78">
        <v>5163504.0</v>
      </c>
      <c r="V395" s="215"/>
      <c r="W395" s="77">
        <v>6000000.0</v>
      </c>
      <c r="X395" s="77">
        <v>60000.0</v>
      </c>
      <c r="Y395" s="77">
        <v>20000.0</v>
      </c>
      <c r="Z395" s="77"/>
    </row>
    <row r="396">
      <c r="A396" s="145" t="s">
        <v>414</v>
      </c>
      <c r="B396" s="145" t="s">
        <v>1636</v>
      </c>
      <c r="C396" s="145" t="s">
        <v>1543</v>
      </c>
      <c r="D396" s="75" t="s">
        <v>1544</v>
      </c>
      <c r="E396" s="75" t="s">
        <v>1544</v>
      </c>
      <c r="F396" s="211" t="s">
        <v>1575</v>
      </c>
      <c r="G396" s="145" t="s">
        <v>2984</v>
      </c>
      <c r="H396" s="211" t="s">
        <v>77</v>
      </c>
      <c r="I396" s="145" t="s">
        <v>413</v>
      </c>
      <c r="J396" s="211" t="s">
        <v>1577</v>
      </c>
      <c r="K396" s="75" t="s">
        <v>1544</v>
      </c>
      <c r="L396" s="152" t="b">
        <v>1</v>
      </c>
      <c r="M396" s="152" t="b">
        <v>0</v>
      </c>
      <c r="N396" s="212" t="s">
        <v>2985</v>
      </c>
      <c r="O396" s="213" t="s">
        <v>1554</v>
      </c>
      <c r="P396" s="47" t="b">
        <v>1</v>
      </c>
      <c r="Q396" s="47" t="b">
        <v>0</v>
      </c>
      <c r="R396" s="214"/>
      <c r="S396" s="77">
        <v>0.0</v>
      </c>
      <c r="T396" s="76" t="s">
        <v>1179</v>
      </c>
      <c r="U396" s="78">
        <v>7088859.0</v>
      </c>
      <c r="V396" s="215"/>
      <c r="W396" s="77">
        <v>8000000.0</v>
      </c>
      <c r="X396" s="77">
        <v>80000.0</v>
      </c>
      <c r="Y396" s="77">
        <v>20000.0</v>
      </c>
      <c r="Z396" s="77"/>
    </row>
    <row r="397">
      <c r="A397" s="145" t="s">
        <v>1126</v>
      </c>
      <c r="B397" s="145" t="s">
        <v>2195</v>
      </c>
      <c r="C397" s="145" t="s">
        <v>1543</v>
      </c>
      <c r="D397" s="75" t="s">
        <v>1544</v>
      </c>
      <c r="E397" s="75" t="s">
        <v>1544</v>
      </c>
      <c r="F397" s="211" t="s">
        <v>1575</v>
      </c>
      <c r="G397" s="145" t="s">
        <v>1127</v>
      </c>
      <c r="H397" s="211" t="s">
        <v>77</v>
      </c>
      <c r="I397" s="145" t="s">
        <v>218</v>
      </c>
      <c r="J397" s="211" t="s">
        <v>1577</v>
      </c>
      <c r="K397" s="75" t="s">
        <v>1544</v>
      </c>
      <c r="L397" s="152" t="b">
        <v>1</v>
      </c>
      <c r="M397" s="152" t="b">
        <v>0</v>
      </c>
      <c r="N397" s="212" t="s">
        <v>2986</v>
      </c>
      <c r="O397" s="213" t="s">
        <v>1554</v>
      </c>
      <c r="P397" s="47" t="b">
        <v>1</v>
      </c>
      <c r="Q397" s="47" t="b">
        <v>0</v>
      </c>
      <c r="R397" s="214"/>
      <c r="S397" s="77">
        <v>0.0</v>
      </c>
      <c r="T397" s="76" t="s">
        <v>1179</v>
      </c>
      <c r="U397" s="78">
        <v>5908725.0</v>
      </c>
      <c r="V397" s="215"/>
      <c r="W397" s="77">
        <v>6000000.0</v>
      </c>
      <c r="X397" s="77">
        <v>60000.0</v>
      </c>
      <c r="Y397" s="77">
        <v>20000.0</v>
      </c>
      <c r="Z397" s="77"/>
    </row>
    <row r="398">
      <c r="A398" s="145" t="s">
        <v>686</v>
      </c>
      <c r="B398" s="145" t="s">
        <v>2465</v>
      </c>
      <c r="C398" s="145" t="s">
        <v>1543</v>
      </c>
      <c r="D398" s="75" t="s">
        <v>1544</v>
      </c>
      <c r="E398" s="75" t="s">
        <v>1544</v>
      </c>
      <c r="F398" s="211" t="s">
        <v>1690</v>
      </c>
      <c r="G398" s="145" t="s">
        <v>2987</v>
      </c>
      <c r="H398" s="211" t="s">
        <v>586</v>
      </c>
      <c r="I398" s="145" t="s">
        <v>674</v>
      </c>
      <c r="J398" s="211" t="s">
        <v>1597</v>
      </c>
      <c r="K398" s="75" t="s">
        <v>1544</v>
      </c>
      <c r="L398" s="152" t="b">
        <v>1</v>
      </c>
      <c r="M398" s="152" t="b">
        <v>0</v>
      </c>
      <c r="N398" s="212" t="s">
        <v>2988</v>
      </c>
      <c r="O398" s="213" t="s">
        <v>1554</v>
      </c>
      <c r="P398" s="47" t="b">
        <v>1</v>
      </c>
      <c r="Q398" s="47" t="b">
        <v>0</v>
      </c>
      <c r="R398" s="214"/>
      <c r="S398" s="77">
        <v>0.0</v>
      </c>
      <c r="T398" s="76" t="s">
        <v>1179</v>
      </c>
      <c r="U398" s="78">
        <v>2.466248E7</v>
      </c>
      <c r="V398" s="215"/>
      <c r="W398" s="77">
        <v>2.4E7</v>
      </c>
      <c r="X398" s="77">
        <v>168000.0</v>
      </c>
      <c r="Y398" s="77">
        <v>100000.0</v>
      </c>
      <c r="Z398" s="77"/>
    </row>
    <row r="399">
      <c r="A399" s="145" t="s">
        <v>2090</v>
      </c>
      <c r="B399" s="145" t="s">
        <v>2090</v>
      </c>
      <c r="C399" s="145" t="s">
        <v>2091</v>
      </c>
      <c r="D399" s="75" t="s">
        <v>1544</v>
      </c>
      <c r="E399" s="75" t="s">
        <v>1601</v>
      </c>
      <c r="F399" s="211" t="s">
        <v>2989</v>
      </c>
      <c r="G399" s="145" t="s">
        <v>2090</v>
      </c>
      <c r="H399" s="211" t="s">
        <v>2788</v>
      </c>
      <c r="I399" s="145" t="s">
        <v>2487</v>
      </c>
      <c r="J399" s="211" t="s">
        <v>2495</v>
      </c>
      <c r="K399" s="75" t="s">
        <v>1601</v>
      </c>
      <c r="L399" s="152" t="b">
        <v>1</v>
      </c>
      <c r="M399" s="152" t="b">
        <v>1</v>
      </c>
      <c r="N399" s="217"/>
      <c r="O399" s="213" t="s">
        <v>1554</v>
      </c>
      <c r="P399" s="47" t="b">
        <v>0</v>
      </c>
      <c r="Q399" s="47" t="b">
        <v>0</v>
      </c>
      <c r="R399" s="214"/>
      <c r="S399" s="77">
        <v>0.0</v>
      </c>
      <c r="T399" s="214"/>
      <c r="U399" s="215"/>
      <c r="V399" s="215"/>
      <c r="W399" s="214"/>
      <c r="X399" s="214"/>
      <c r="Y399" s="77">
        <v>300000.0</v>
      </c>
      <c r="Z399" s="77"/>
    </row>
    <row r="400">
      <c r="A400" s="145" t="s">
        <v>1642</v>
      </c>
      <c r="B400" s="145" t="s">
        <v>1707</v>
      </c>
      <c r="C400" s="145" t="s">
        <v>1543</v>
      </c>
      <c r="D400" s="75" t="s">
        <v>1544</v>
      </c>
      <c r="E400" s="75" t="s">
        <v>1544</v>
      </c>
      <c r="F400" s="211" t="s">
        <v>1547</v>
      </c>
      <c r="G400" s="145" t="s">
        <v>1643</v>
      </c>
      <c r="H400" s="211" t="s">
        <v>77</v>
      </c>
      <c r="I400" s="145" t="s">
        <v>327</v>
      </c>
      <c r="J400" s="211" t="s">
        <v>1549</v>
      </c>
      <c r="K400" s="75" t="s">
        <v>1544</v>
      </c>
      <c r="L400" s="152" t="b">
        <v>1</v>
      </c>
      <c r="M400" s="152" t="b">
        <v>0</v>
      </c>
      <c r="N400" s="212" t="s">
        <v>2990</v>
      </c>
      <c r="O400" s="213" t="s">
        <v>1554</v>
      </c>
      <c r="P400" s="47" t="b">
        <v>1</v>
      </c>
      <c r="Q400" s="47" t="b">
        <v>0</v>
      </c>
      <c r="R400" s="214"/>
      <c r="S400" s="77">
        <v>0.0</v>
      </c>
      <c r="T400" s="76" t="s">
        <v>1179</v>
      </c>
      <c r="U400" s="78">
        <v>7873981.0</v>
      </c>
      <c r="V400" s="215"/>
      <c r="W400" s="77">
        <v>8000000.0</v>
      </c>
      <c r="X400" s="77">
        <v>80000.0</v>
      </c>
      <c r="Y400" s="77">
        <v>40000.0</v>
      </c>
      <c r="Z400" s="77"/>
    </row>
    <row r="401">
      <c r="A401" s="145" t="s">
        <v>2071</v>
      </c>
      <c r="B401" s="145" t="s">
        <v>2071</v>
      </c>
      <c r="C401" s="145" t="s">
        <v>1266</v>
      </c>
      <c r="D401" s="75" t="s">
        <v>1601</v>
      </c>
      <c r="E401" s="75" t="s">
        <v>1601</v>
      </c>
      <c r="F401" s="211" t="s">
        <v>1973</v>
      </c>
      <c r="G401" s="145" t="s">
        <v>2072</v>
      </c>
      <c r="H401" s="211" t="s">
        <v>77</v>
      </c>
      <c r="I401" s="145" t="s">
        <v>54</v>
      </c>
      <c r="J401" s="211" t="s">
        <v>1639</v>
      </c>
      <c r="K401" s="75" t="s">
        <v>1544</v>
      </c>
      <c r="L401" s="152" t="b">
        <v>0</v>
      </c>
      <c r="M401" s="152" t="b">
        <v>0</v>
      </c>
      <c r="N401" s="217"/>
      <c r="O401" s="213" t="s">
        <v>1554</v>
      </c>
      <c r="P401" s="47" t="b">
        <v>0</v>
      </c>
      <c r="Q401" s="47" t="b">
        <v>0</v>
      </c>
      <c r="R401" s="214"/>
      <c r="S401" s="77">
        <v>0.0</v>
      </c>
      <c r="T401" s="214"/>
      <c r="U401" s="215"/>
      <c r="V401" s="215"/>
      <c r="W401" s="214"/>
      <c r="X401" s="214"/>
      <c r="Y401" s="77">
        <v>42000.0</v>
      </c>
      <c r="Z401" s="77"/>
    </row>
    <row r="402">
      <c r="A402" s="145" t="s">
        <v>1122</v>
      </c>
      <c r="B402" s="145" t="s">
        <v>2195</v>
      </c>
      <c r="C402" s="145" t="s">
        <v>1543</v>
      </c>
      <c r="D402" s="75" t="s">
        <v>1544</v>
      </c>
      <c r="E402" s="75" t="s">
        <v>1544</v>
      </c>
      <c r="F402" s="211" t="s">
        <v>1575</v>
      </c>
      <c r="G402" s="145" t="s">
        <v>1123</v>
      </c>
      <c r="H402" s="211" t="s">
        <v>77</v>
      </c>
      <c r="I402" s="145" t="s">
        <v>218</v>
      </c>
      <c r="J402" s="211" t="s">
        <v>1577</v>
      </c>
      <c r="K402" s="75" t="s">
        <v>1544</v>
      </c>
      <c r="L402" s="152" t="b">
        <v>1</v>
      </c>
      <c r="M402" s="152" t="b">
        <v>0</v>
      </c>
      <c r="N402" s="212" t="s">
        <v>2991</v>
      </c>
      <c r="O402" s="213" t="s">
        <v>1554</v>
      </c>
      <c r="P402" s="47" t="b">
        <v>1</v>
      </c>
      <c r="Q402" s="47" t="b">
        <v>0</v>
      </c>
      <c r="R402" s="214"/>
      <c r="S402" s="77">
        <v>0.0</v>
      </c>
      <c r="T402" s="76" t="s">
        <v>1179</v>
      </c>
      <c r="U402" s="78">
        <v>5510666.0</v>
      </c>
      <c r="V402" s="215"/>
      <c r="W402" s="77">
        <v>6000000.0</v>
      </c>
      <c r="X402" s="77">
        <v>60000.0</v>
      </c>
      <c r="Y402" s="77">
        <v>20000.0</v>
      </c>
      <c r="Z402" s="77"/>
    </row>
    <row r="403">
      <c r="A403" s="145" t="s">
        <v>656</v>
      </c>
      <c r="B403" s="145" t="s">
        <v>656</v>
      </c>
      <c r="C403" s="145" t="s">
        <v>2398</v>
      </c>
      <c r="D403" s="75" t="s">
        <v>1601</v>
      </c>
      <c r="E403" s="75" t="s">
        <v>1544</v>
      </c>
      <c r="F403" s="211" t="s">
        <v>1602</v>
      </c>
      <c r="G403" s="145" t="s">
        <v>276</v>
      </c>
      <c r="H403" s="211" t="s">
        <v>87</v>
      </c>
      <c r="I403" s="145" t="s">
        <v>267</v>
      </c>
      <c r="J403" s="211" t="s">
        <v>1603</v>
      </c>
      <c r="K403" s="75" t="s">
        <v>1601</v>
      </c>
      <c r="L403" s="152" t="b">
        <v>1</v>
      </c>
      <c r="M403" s="152" t="b">
        <v>1</v>
      </c>
      <c r="N403" s="212" t="s">
        <v>2992</v>
      </c>
      <c r="O403" s="213" t="s">
        <v>1554</v>
      </c>
      <c r="P403" s="47" t="b">
        <v>0</v>
      </c>
      <c r="Q403" s="47" t="b">
        <v>0</v>
      </c>
      <c r="R403" s="214"/>
      <c r="S403" s="77">
        <v>0.0</v>
      </c>
      <c r="T403" s="76" t="s">
        <v>1161</v>
      </c>
      <c r="U403" s="215"/>
      <c r="V403" s="215"/>
      <c r="W403" s="214"/>
      <c r="X403" s="214"/>
      <c r="Y403" s="77">
        <v>1.0</v>
      </c>
      <c r="Z403" s="77"/>
    </row>
    <row r="404">
      <c r="A404" s="145" t="s">
        <v>2077</v>
      </c>
      <c r="B404" s="145" t="s">
        <v>2077</v>
      </c>
      <c r="C404" s="145" t="s">
        <v>2993</v>
      </c>
      <c r="D404" s="75" t="s">
        <v>1601</v>
      </c>
      <c r="E404" s="75" t="s">
        <v>1601</v>
      </c>
      <c r="F404" s="211" t="s">
        <v>2994</v>
      </c>
      <c r="G404" s="145" t="s">
        <v>2220</v>
      </c>
      <c r="H404" s="211" t="s">
        <v>77</v>
      </c>
      <c r="I404" s="145" t="s">
        <v>327</v>
      </c>
      <c r="J404" s="211" t="s">
        <v>2377</v>
      </c>
      <c r="K404" s="75" t="s">
        <v>1601</v>
      </c>
      <c r="L404" s="152" t="b">
        <v>1</v>
      </c>
      <c r="M404" s="152" t="b">
        <v>1</v>
      </c>
      <c r="N404" s="217"/>
      <c r="O404" s="213" t="s">
        <v>1554</v>
      </c>
      <c r="P404" s="47" t="b">
        <v>0</v>
      </c>
      <c r="Q404" s="47" t="b">
        <v>0</v>
      </c>
      <c r="R404" s="214"/>
      <c r="S404" s="77">
        <v>0.0</v>
      </c>
      <c r="T404" s="214"/>
      <c r="U404" s="215"/>
      <c r="V404" s="215"/>
      <c r="W404" s="214"/>
      <c r="X404" s="214"/>
      <c r="Y404" s="77">
        <v>400000.0</v>
      </c>
      <c r="Z404" s="77"/>
    </row>
    <row r="405">
      <c r="A405" s="145" t="s">
        <v>447</v>
      </c>
      <c r="B405" s="145" t="s">
        <v>1574</v>
      </c>
      <c r="C405" s="145" t="s">
        <v>1543</v>
      </c>
      <c r="D405" s="75" t="s">
        <v>1544</v>
      </c>
      <c r="E405" s="75" t="s">
        <v>1544</v>
      </c>
      <c r="F405" s="211" t="s">
        <v>1547</v>
      </c>
      <c r="G405" s="145" t="s">
        <v>2995</v>
      </c>
      <c r="H405" s="211" t="s">
        <v>77</v>
      </c>
      <c r="I405" s="145" t="s">
        <v>413</v>
      </c>
      <c r="J405" s="211" t="s">
        <v>1549</v>
      </c>
      <c r="K405" s="75" t="s">
        <v>1544</v>
      </c>
      <c r="L405" s="152" t="b">
        <v>1</v>
      </c>
      <c r="M405" s="152" t="b">
        <v>0</v>
      </c>
      <c r="N405" s="212" t="s">
        <v>2996</v>
      </c>
      <c r="O405" s="213" t="s">
        <v>1554</v>
      </c>
      <c r="P405" s="47" t="b">
        <v>1</v>
      </c>
      <c r="Q405" s="47" t="b">
        <v>0</v>
      </c>
      <c r="R405" s="214"/>
      <c r="S405" s="77">
        <v>0.0</v>
      </c>
      <c r="T405" s="76" t="s">
        <v>1179</v>
      </c>
      <c r="U405" s="78">
        <v>1.1344951E7</v>
      </c>
      <c r="V405" s="215"/>
      <c r="W405" s="77">
        <v>1.2E7</v>
      </c>
      <c r="X405" s="77">
        <v>120000.0</v>
      </c>
      <c r="Y405" s="77">
        <v>40000.0</v>
      </c>
      <c r="Z405" s="77"/>
    </row>
    <row r="406">
      <c r="A406" s="145" t="s">
        <v>543</v>
      </c>
      <c r="B406" s="145" t="s">
        <v>1564</v>
      </c>
      <c r="C406" s="145" t="s">
        <v>1543</v>
      </c>
      <c r="D406" s="75" t="s">
        <v>1544</v>
      </c>
      <c r="E406" s="75" t="s">
        <v>1544</v>
      </c>
      <c r="F406" s="211" t="s">
        <v>1547</v>
      </c>
      <c r="G406" s="145" t="s">
        <v>2997</v>
      </c>
      <c r="H406" s="211" t="s">
        <v>77</v>
      </c>
      <c r="I406" s="145" t="s">
        <v>338</v>
      </c>
      <c r="J406" s="211" t="s">
        <v>1549</v>
      </c>
      <c r="K406" s="75" t="s">
        <v>1544</v>
      </c>
      <c r="L406" s="152" t="b">
        <v>1</v>
      </c>
      <c r="M406" s="152" t="b">
        <v>0</v>
      </c>
      <c r="N406" s="212" t="s">
        <v>2998</v>
      </c>
      <c r="O406" s="213" t="s">
        <v>1554</v>
      </c>
      <c r="P406" s="47" t="b">
        <v>1</v>
      </c>
      <c r="Q406" s="47" t="b">
        <v>0</v>
      </c>
      <c r="R406" s="214"/>
      <c r="S406" s="77">
        <v>0.0</v>
      </c>
      <c r="T406" s="76" t="s">
        <v>1179</v>
      </c>
      <c r="U406" s="78">
        <v>1.1341845E7</v>
      </c>
      <c r="V406" s="215"/>
      <c r="W406" s="77">
        <v>1.2E7</v>
      </c>
      <c r="X406" s="77">
        <v>120000.0</v>
      </c>
      <c r="Y406" s="77">
        <v>40000.0</v>
      </c>
      <c r="Z406" s="77"/>
    </row>
    <row r="407">
      <c r="A407" s="145" t="s">
        <v>517</v>
      </c>
      <c r="B407" s="145" t="s">
        <v>147</v>
      </c>
      <c r="C407" s="145" t="s">
        <v>2288</v>
      </c>
      <c r="D407" s="75" t="s">
        <v>1544</v>
      </c>
      <c r="E407" s="75" t="s">
        <v>1544</v>
      </c>
      <c r="F407" s="211" t="s">
        <v>1690</v>
      </c>
      <c r="G407" s="145" t="s">
        <v>1078</v>
      </c>
      <c r="H407" s="211" t="s">
        <v>586</v>
      </c>
      <c r="I407" s="145" t="s">
        <v>585</v>
      </c>
      <c r="J407" s="211" t="s">
        <v>1597</v>
      </c>
      <c r="K407" s="75" t="s">
        <v>1544</v>
      </c>
      <c r="L407" s="152" t="b">
        <v>1</v>
      </c>
      <c r="M407" s="152" t="b">
        <v>0</v>
      </c>
      <c r="N407" s="217"/>
      <c r="O407" s="213" t="s">
        <v>1554</v>
      </c>
      <c r="P407" s="47" t="b">
        <v>1</v>
      </c>
      <c r="Q407" s="47" t="b">
        <v>0</v>
      </c>
      <c r="R407" s="214"/>
      <c r="S407" s="77">
        <v>0.0</v>
      </c>
      <c r="T407" s="76" t="s">
        <v>1179</v>
      </c>
      <c r="U407" s="78">
        <v>2.6865397E7</v>
      </c>
      <c r="V407" s="215"/>
      <c r="W407" s="77">
        <v>2.6E7</v>
      </c>
      <c r="X407" s="77">
        <v>182000.0</v>
      </c>
      <c r="Y407" s="77">
        <v>100000.0</v>
      </c>
      <c r="Z407" s="77"/>
    </row>
    <row r="408">
      <c r="A408" s="145" t="s">
        <v>552</v>
      </c>
      <c r="B408" s="145" t="s">
        <v>147</v>
      </c>
      <c r="C408" s="145" t="s">
        <v>2288</v>
      </c>
      <c r="D408" s="75" t="s">
        <v>1544</v>
      </c>
      <c r="E408" s="75" t="s">
        <v>1544</v>
      </c>
      <c r="F408" s="211" t="s">
        <v>1690</v>
      </c>
      <c r="G408" s="145" t="s">
        <v>1079</v>
      </c>
      <c r="H408" s="211" t="s">
        <v>586</v>
      </c>
      <c r="I408" s="145" t="s">
        <v>585</v>
      </c>
      <c r="J408" s="211" t="s">
        <v>1597</v>
      </c>
      <c r="K408" s="75" t="s">
        <v>1544</v>
      </c>
      <c r="L408" s="152" t="b">
        <v>1</v>
      </c>
      <c r="M408" s="152" t="b">
        <v>0</v>
      </c>
      <c r="N408" s="217"/>
      <c r="O408" s="213" t="s">
        <v>1554</v>
      </c>
      <c r="P408" s="47" t="b">
        <v>1</v>
      </c>
      <c r="Q408" s="47" t="b">
        <v>0</v>
      </c>
      <c r="R408" s="214"/>
      <c r="S408" s="77">
        <v>0.0</v>
      </c>
      <c r="T408" s="76" t="s">
        <v>1179</v>
      </c>
      <c r="U408" s="78">
        <v>3.4283436E7</v>
      </c>
      <c r="V408" s="215"/>
      <c r="W408" s="77">
        <v>3.4E7</v>
      </c>
      <c r="X408" s="77">
        <v>238000.0</v>
      </c>
      <c r="Y408" s="77">
        <v>100000.0</v>
      </c>
      <c r="Z408" s="77"/>
    </row>
    <row r="409">
      <c r="A409" s="145" t="s">
        <v>2092</v>
      </c>
      <c r="B409" s="145" t="s">
        <v>2092</v>
      </c>
      <c r="C409" s="145" t="s">
        <v>1600</v>
      </c>
      <c r="D409" s="75" t="s">
        <v>1544</v>
      </c>
      <c r="E409" s="75" t="s">
        <v>1601</v>
      </c>
      <c r="F409" s="211" t="s">
        <v>87</v>
      </c>
      <c r="G409" s="145" t="s">
        <v>3000</v>
      </c>
      <c r="H409" s="211" t="s">
        <v>87</v>
      </c>
      <c r="I409" s="145" t="s">
        <v>267</v>
      </c>
      <c r="J409" s="211" t="s">
        <v>1603</v>
      </c>
      <c r="K409" s="75" t="s">
        <v>1544</v>
      </c>
      <c r="L409" s="152" t="b">
        <v>0</v>
      </c>
      <c r="M409" s="152" t="b">
        <v>0</v>
      </c>
      <c r="N409" s="217"/>
      <c r="O409" s="213" t="s">
        <v>1554</v>
      </c>
      <c r="P409" s="47" t="b">
        <v>0</v>
      </c>
      <c r="Q409" s="47" t="b">
        <v>0</v>
      </c>
      <c r="R409" s="214"/>
      <c r="S409" s="77">
        <v>0.0</v>
      </c>
      <c r="T409" s="214"/>
      <c r="U409" s="215"/>
      <c r="V409" s="215"/>
      <c r="W409" s="214"/>
      <c r="X409" s="214"/>
      <c r="Y409" s="77">
        <v>0.0</v>
      </c>
      <c r="Z409" s="77"/>
    </row>
    <row r="410">
      <c r="A410" s="145" t="s">
        <v>2094</v>
      </c>
      <c r="B410" s="145" t="s">
        <v>2094</v>
      </c>
      <c r="C410" s="145" t="s">
        <v>1266</v>
      </c>
      <c r="D410" s="75" t="s">
        <v>1544</v>
      </c>
      <c r="E410" s="75" t="s">
        <v>1601</v>
      </c>
      <c r="F410" s="211" t="s">
        <v>1602</v>
      </c>
      <c r="G410" s="145" t="s">
        <v>2095</v>
      </c>
      <c r="H410" s="211" t="s">
        <v>87</v>
      </c>
      <c r="I410" s="145" t="s">
        <v>267</v>
      </c>
      <c r="J410" s="211" t="s">
        <v>1603</v>
      </c>
      <c r="K410" s="75" t="s">
        <v>1544</v>
      </c>
      <c r="L410" s="152" t="b">
        <v>0</v>
      </c>
      <c r="M410" s="152" t="b">
        <v>0</v>
      </c>
      <c r="N410" s="217"/>
      <c r="O410" s="213" t="s">
        <v>1554</v>
      </c>
      <c r="P410" s="47" t="b">
        <v>0</v>
      </c>
      <c r="Q410" s="47" t="b">
        <v>0</v>
      </c>
      <c r="R410" s="214"/>
      <c r="S410" s="77">
        <v>0.0</v>
      </c>
      <c r="T410" s="214"/>
      <c r="U410" s="215"/>
      <c r="V410" s="215"/>
      <c r="W410" s="214"/>
      <c r="X410" s="214"/>
      <c r="Y410" s="77">
        <v>1.0</v>
      </c>
      <c r="Z410" s="77"/>
    </row>
    <row r="411">
      <c r="A411" s="145" t="s">
        <v>482</v>
      </c>
      <c r="B411" s="145" t="s">
        <v>2326</v>
      </c>
      <c r="C411" s="145" t="s">
        <v>2288</v>
      </c>
      <c r="D411" s="75" t="s">
        <v>1544</v>
      </c>
      <c r="E411" s="75" t="s">
        <v>1544</v>
      </c>
      <c r="F411" s="211" t="s">
        <v>1721</v>
      </c>
      <c r="G411" s="145" t="s">
        <v>3001</v>
      </c>
      <c r="H411" s="211" t="s">
        <v>1018</v>
      </c>
      <c r="I411" s="145" t="s">
        <v>66</v>
      </c>
      <c r="J411" s="211" t="s">
        <v>1609</v>
      </c>
      <c r="K411" s="75" t="s">
        <v>1544</v>
      </c>
      <c r="L411" s="152" t="b">
        <v>1</v>
      </c>
      <c r="M411" s="152" t="b">
        <v>0</v>
      </c>
      <c r="N411" s="217"/>
      <c r="O411" s="213" t="s">
        <v>1554</v>
      </c>
      <c r="P411" s="47" t="b">
        <v>1</v>
      </c>
      <c r="Q411" s="47" t="b">
        <v>0</v>
      </c>
      <c r="R411" s="214"/>
      <c r="S411" s="77">
        <v>0.0</v>
      </c>
      <c r="T411" s="76" t="s">
        <v>1179</v>
      </c>
      <c r="U411" s="78">
        <v>1.9241458E7</v>
      </c>
      <c r="V411" s="215"/>
      <c r="W411" s="77">
        <v>2.0E7</v>
      </c>
      <c r="X411" s="77">
        <v>160000.0</v>
      </c>
      <c r="Y411" s="77">
        <v>64000.0</v>
      </c>
      <c r="Z411" s="77"/>
    </row>
    <row r="412">
      <c r="A412" s="145" t="s">
        <v>2099</v>
      </c>
      <c r="B412" s="145" t="s">
        <v>2099</v>
      </c>
      <c r="C412" s="145" t="s">
        <v>1600</v>
      </c>
      <c r="D412" s="75" t="s">
        <v>1544</v>
      </c>
      <c r="E412" s="75" t="s">
        <v>1601</v>
      </c>
      <c r="F412" s="211" t="s">
        <v>1602</v>
      </c>
      <c r="G412" s="145" t="s">
        <v>3002</v>
      </c>
      <c r="H412" s="211" t="s">
        <v>87</v>
      </c>
      <c r="I412" s="145" t="s">
        <v>267</v>
      </c>
      <c r="J412" s="211" t="s">
        <v>1603</v>
      </c>
      <c r="K412" s="75" t="s">
        <v>1544</v>
      </c>
      <c r="L412" s="152" t="b">
        <v>0</v>
      </c>
      <c r="M412" s="152" t="b">
        <v>0</v>
      </c>
      <c r="N412" s="217"/>
      <c r="O412" s="213" t="s">
        <v>1554</v>
      </c>
      <c r="P412" s="47" t="b">
        <v>0</v>
      </c>
      <c r="Q412" s="47" t="b">
        <v>0</v>
      </c>
      <c r="R412" s="214"/>
      <c r="S412" s="77">
        <v>0.0</v>
      </c>
      <c r="T412" s="214"/>
      <c r="U412" s="215"/>
      <c r="V412" s="215"/>
      <c r="W412" s="214"/>
      <c r="X412" s="214"/>
      <c r="Y412" s="77">
        <v>1.0</v>
      </c>
      <c r="Z412" s="77"/>
    </row>
    <row r="413">
      <c r="A413" s="145" t="s">
        <v>695</v>
      </c>
      <c r="B413" s="145" t="s">
        <v>2206</v>
      </c>
      <c r="C413" s="145" t="s">
        <v>1543</v>
      </c>
      <c r="D413" s="75" t="s">
        <v>1544</v>
      </c>
      <c r="E413" s="75" t="s">
        <v>1544</v>
      </c>
      <c r="F413" s="211" t="s">
        <v>1690</v>
      </c>
      <c r="G413" s="145" t="s">
        <v>2101</v>
      </c>
      <c r="H413" s="211" t="s">
        <v>586</v>
      </c>
      <c r="I413" s="145" t="s">
        <v>674</v>
      </c>
      <c r="J413" s="211" t="s">
        <v>1597</v>
      </c>
      <c r="K413" s="75" t="s">
        <v>1544</v>
      </c>
      <c r="L413" s="152" t="b">
        <v>1</v>
      </c>
      <c r="M413" s="152" t="b">
        <v>0</v>
      </c>
      <c r="N413" s="212" t="s">
        <v>3003</v>
      </c>
      <c r="O413" s="213" t="s">
        <v>1554</v>
      </c>
      <c r="P413" s="47" t="b">
        <v>1</v>
      </c>
      <c r="Q413" s="47" t="b">
        <v>0</v>
      </c>
      <c r="R413" s="214"/>
      <c r="S413" s="77">
        <v>0.0</v>
      </c>
      <c r="T413" s="76" t="s">
        <v>1179</v>
      </c>
      <c r="U413" s="78">
        <v>2.7516162E7</v>
      </c>
      <c r="V413" s="215"/>
      <c r="W413" s="77">
        <v>2.8E7</v>
      </c>
      <c r="X413" s="77">
        <v>196000.0</v>
      </c>
      <c r="Y413" s="77">
        <v>100000.0</v>
      </c>
      <c r="Z413" s="77"/>
    </row>
    <row r="414">
      <c r="A414" s="145" t="s">
        <v>589</v>
      </c>
      <c r="B414" s="145" t="s">
        <v>147</v>
      </c>
      <c r="C414" s="145" t="s">
        <v>2288</v>
      </c>
      <c r="D414" s="75" t="s">
        <v>1544</v>
      </c>
      <c r="E414" s="75" t="s">
        <v>1544</v>
      </c>
      <c r="F414" s="211" t="s">
        <v>1690</v>
      </c>
      <c r="G414" s="145" t="s">
        <v>1087</v>
      </c>
      <c r="H414" s="211" t="s">
        <v>586</v>
      </c>
      <c r="I414" s="145" t="s">
        <v>585</v>
      </c>
      <c r="J414" s="211" t="s">
        <v>1597</v>
      </c>
      <c r="K414" s="75" t="s">
        <v>1544</v>
      </c>
      <c r="L414" s="152" t="b">
        <v>1</v>
      </c>
      <c r="M414" s="152" t="b">
        <v>0</v>
      </c>
      <c r="N414" s="217"/>
      <c r="O414" s="213" t="s">
        <v>1554</v>
      </c>
      <c r="P414" s="47" t="b">
        <v>1</v>
      </c>
      <c r="Q414" s="47" t="b">
        <v>0</v>
      </c>
      <c r="R414" s="214"/>
      <c r="S414" s="77">
        <v>0.0</v>
      </c>
      <c r="T414" s="76" t="s">
        <v>1179</v>
      </c>
      <c r="U414" s="78">
        <v>2.1330635E7</v>
      </c>
      <c r="V414" s="215"/>
      <c r="W414" s="77">
        <v>2.2E7</v>
      </c>
      <c r="X414" s="77">
        <v>154000.0</v>
      </c>
      <c r="Y414" s="77">
        <v>100000.0</v>
      </c>
      <c r="Z414" s="77"/>
    </row>
    <row r="415">
      <c r="A415" s="145" t="s">
        <v>293</v>
      </c>
      <c r="B415" s="145" t="s">
        <v>293</v>
      </c>
      <c r="C415" s="145" t="s">
        <v>2398</v>
      </c>
      <c r="D415" s="75" t="s">
        <v>1544</v>
      </c>
      <c r="E415" s="75" t="s">
        <v>1544</v>
      </c>
      <c r="F415" s="211" t="s">
        <v>1602</v>
      </c>
      <c r="G415" s="145" t="s">
        <v>294</v>
      </c>
      <c r="H415" s="211" t="s">
        <v>87</v>
      </c>
      <c r="I415" s="145" t="s">
        <v>267</v>
      </c>
      <c r="J415" s="211" t="s">
        <v>1603</v>
      </c>
      <c r="K415" s="75" t="s">
        <v>1601</v>
      </c>
      <c r="L415" s="152" t="b">
        <v>1</v>
      </c>
      <c r="M415" s="152" t="b">
        <v>1</v>
      </c>
      <c r="N415" s="212" t="s">
        <v>3004</v>
      </c>
      <c r="O415" s="213" t="s">
        <v>1554</v>
      </c>
      <c r="P415" s="47" t="b">
        <v>0</v>
      </c>
      <c r="Q415" s="47" t="b">
        <v>0</v>
      </c>
      <c r="R415" s="214"/>
      <c r="S415" s="77">
        <v>0.0</v>
      </c>
      <c r="T415" s="76" t="s">
        <v>1161</v>
      </c>
      <c r="U415" s="215"/>
      <c r="V415" s="215"/>
      <c r="W415" s="218"/>
      <c r="X415" s="214"/>
      <c r="Y415" s="77">
        <v>1.0</v>
      </c>
      <c r="Z415" s="77"/>
    </row>
    <row r="416">
      <c r="A416" s="145" t="s">
        <v>393</v>
      </c>
      <c r="B416" s="145" t="s">
        <v>1632</v>
      </c>
      <c r="C416" s="145" t="s">
        <v>1543</v>
      </c>
      <c r="D416" s="75" t="s">
        <v>1544</v>
      </c>
      <c r="E416" s="75" t="s">
        <v>1544</v>
      </c>
      <c r="F416" s="211" t="s">
        <v>1637</v>
      </c>
      <c r="G416" s="145" t="s">
        <v>3005</v>
      </c>
      <c r="H416" s="211" t="s">
        <v>77</v>
      </c>
      <c r="I416" s="145" t="s">
        <v>325</v>
      </c>
      <c r="J416" s="211" t="s">
        <v>1639</v>
      </c>
      <c r="K416" s="75" t="s">
        <v>1544</v>
      </c>
      <c r="L416" s="152" t="b">
        <v>1</v>
      </c>
      <c r="M416" s="152" t="b">
        <v>0</v>
      </c>
      <c r="N416" s="212" t="s">
        <v>3006</v>
      </c>
      <c r="O416" s="213" t="s">
        <v>1554</v>
      </c>
      <c r="P416" s="47" t="b">
        <v>1</v>
      </c>
      <c r="Q416" s="47" t="b">
        <v>0</v>
      </c>
      <c r="R416" s="214"/>
      <c r="S416" s="77">
        <v>0.0</v>
      </c>
      <c r="T416" s="76" t="s">
        <v>1179</v>
      </c>
      <c r="U416" s="78">
        <v>1.4764722E7</v>
      </c>
      <c r="V416" s="215"/>
      <c r="W416" s="77">
        <v>1.4E7</v>
      </c>
      <c r="X416" s="77">
        <v>140000.0</v>
      </c>
      <c r="Y416" s="77">
        <v>60000.0</v>
      </c>
      <c r="Z416" s="77"/>
    </row>
    <row r="417">
      <c r="A417" s="145" t="s">
        <v>540</v>
      </c>
      <c r="B417" s="145" t="s">
        <v>1746</v>
      </c>
      <c r="C417" s="145" t="s">
        <v>1543</v>
      </c>
      <c r="D417" s="75" t="s">
        <v>1544</v>
      </c>
      <c r="E417" s="75" t="s">
        <v>1544</v>
      </c>
      <c r="F417" s="211" t="s">
        <v>1547</v>
      </c>
      <c r="G417" s="145" t="s">
        <v>3007</v>
      </c>
      <c r="H417" s="211" t="s">
        <v>77</v>
      </c>
      <c r="I417" s="145" t="s">
        <v>338</v>
      </c>
      <c r="J417" s="211" t="s">
        <v>1549</v>
      </c>
      <c r="K417" s="75" t="s">
        <v>1544</v>
      </c>
      <c r="L417" s="152" t="b">
        <v>1</v>
      </c>
      <c r="M417" s="152" t="b">
        <v>0</v>
      </c>
      <c r="N417" s="212" t="s">
        <v>3008</v>
      </c>
      <c r="O417" s="213" t="s">
        <v>1554</v>
      </c>
      <c r="P417" s="47" t="b">
        <v>1</v>
      </c>
      <c r="Q417" s="47" t="b">
        <v>0</v>
      </c>
      <c r="R417" s="214"/>
      <c r="S417" s="77">
        <v>0.0</v>
      </c>
      <c r="T417" s="76" t="s">
        <v>1179</v>
      </c>
      <c r="U417" s="78">
        <v>1.1559605E7</v>
      </c>
      <c r="V417" s="215"/>
      <c r="W417" s="77">
        <v>1.2E7</v>
      </c>
      <c r="X417" s="216">
        <v>120000.0</v>
      </c>
      <c r="Y417" s="77">
        <v>40000.0</v>
      </c>
      <c r="Z417" s="77"/>
    </row>
    <row r="418">
      <c r="A418" s="145" t="s">
        <v>605</v>
      </c>
      <c r="B418" s="145" t="s">
        <v>1694</v>
      </c>
      <c r="C418" s="145" t="s">
        <v>1543</v>
      </c>
      <c r="D418" s="75" t="s">
        <v>1544</v>
      </c>
      <c r="E418" s="75" t="s">
        <v>1544</v>
      </c>
      <c r="F418" s="211" t="s">
        <v>3009</v>
      </c>
      <c r="G418" s="145" t="s">
        <v>938</v>
      </c>
      <c r="H418" s="211" t="s">
        <v>586</v>
      </c>
      <c r="I418" s="145" t="s">
        <v>936</v>
      </c>
      <c r="J418" s="211" t="s">
        <v>1561</v>
      </c>
      <c r="K418" s="75" t="s">
        <v>1544</v>
      </c>
      <c r="L418" s="152" t="b">
        <v>1</v>
      </c>
      <c r="M418" s="152" t="b">
        <v>0</v>
      </c>
      <c r="N418" s="212" t="s">
        <v>3010</v>
      </c>
      <c r="O418" s="213" t="s">
        <v>1554</v>
      </c>
      <c r="P418" s="47" t="b">
        <v>1</v>
      </c>
      <c r="Q418" s="47" t="b">
        <v>0</v>
      </c>
      <c r="R418" s="214"/>
      <c r="S418" s="77">
        <v>0.0</v>
      </c>
      <c r="T418" s="76" t="s">
        <v>1179</v>
      </c>
      <c r="U418" s="78">
        <v>8.969178E7</v>
      </c>
      <c r="V418" s="215"/>
      <c r="W418" s="77">
        <v>9.0E7</v>
      </c>
      <c r="X418" s="77">
        <v>630000.0</v>
      </c>
      <c r="Y418" s="77">
        <v>166846.0</v>
      </c>
      <c r="Z418" s="77"/>
    </row>
    <row r="419">
      <c r="A419" s="145" t="s">
        <v>454</v>
      </c>
      <c r="B419" s="145" t="s">
        <v>1746</v>
      </c>
      <c r="C419" s="145" t="s">
        <v>1543</v>
      </c>
      <c r="D419" s="75" t="s">
        <v>1544</v>
      </c>
      <c r="E419" s="75" t="s">
        <v>1544</v>
      </c>
      <c r="F419" s="211" t="s">
        <v>1637</v>
      </c>
      <c r="G419" s="145" t="s">
        <v>3011</v>
      </c>
      <c r="H419" s="211" t="s">
        <v>77</v>
      </c>
      <c r="I419" s="145" t="s">
        <v>338</v>
      </c>
      <c r="J419" s="211" t="s">
        <v>1639</v>
      </c>
      <c r="K419" s="75" t="s">
        <v>1544</v>
      </c>
      <c r="L419" s="152" t="b">
        <v>1</v>
      </c>
      <c r="M419" s="152" t="b">
        <v>0</v>
      </c>
      <c r="N419" s="212" t="s">
        <v>3012</v>
      </c>
      <c r="O419" s="213" t="s">
        <v>1554</v>
      </c>
      <c r="P419" s="47" t="b">
        <v>1</v>
      </c>
      <c r="Q419" s="47" t="b">
        <v>0</v>
      </c>
      <c r="R419" s="214"/>
      <c r="S419" s="77">
        <v>0.0</v>
      </c>
      <c r="T419" s="76" t="s">
        <v>1179</v>
      </c>
      <c r="U419" s="78">
        <v>1.3697504E7</v>
      </c>
      <c r="V419" s="215"/>
      <c r="W419" s="77">
        <v>1.4E7</v>
      </c>
      <c r="X419" s="216">
        <v>140000.0</v>
      </c>
      <c r="Y419" s="77">
        <v>60000.0</v>
      </c>
      <c r="Z419" s="77"/>
    </row>
    <row r="420">
      <c r="A420" s="145" t="s">
        <v>1618</v>
      </c>
      <c r="B420" s="145" t="s">
        <v>1707</v>
      </c>
      <c r="C420" s="145" t="s">
        <v>1543</v>
      </c>
      <c r="D420" s="75" t="s">
        <v>1544</v>
      </c>
      <c r="E420" s="75" t="s">
        <v>1544</v>
      </c>
      <c r="F420" s="211" t="s">
        <v>1645</v>
      </c>
      <c r="G420" s="145" t="s">
        <v>1620</v>
      </c>
      <c r="H420" s="211" t="s">
        <v>77</v>
      </c>
      <c r="I420" s="145" t="s">
        <v>327</v>
      </c>
      <c r="J420" s="211" t="s">
        <v>1609</v>
      </c>
      <c r="K420" s="75" t="s">
        <v>1544</v>
      </c>
      <c r="L420" s="152" t="b">
        <v>1</v>
      </c>
      <c r="M420" s="152" t="b">
        <v>0</v>
      </c>
      <c r="N420" s="212" t="s">
        <v>3013</v>
      </c>
      <c r="O420" s="213" t="s">
        <v>1554</v>
      </c>
      <c r="P420" s="47" t="b">
        <v>1</v>
      </c>
      <c r="Q420" s="47" t="b">
        <v>0</v>
      </c>
      <c r="R420" s="214"/>
      <c r="S420" s="77">
        <v>0.0</v>
      </c>
      <c r="T420" s="76" t="s">
        <v>1179</v>
      </c>
      <c r="U420" s="78">
        <v>2.0077278E7</v>
      </c>
      <c r="V420" s="215"/>
      <c r="W420" s="77">
        <v>2.0E7</v>
      </c>
      <c r="X420" s="77">
        <v>200000.0</v>
      </c>
      <c r="Y420" s="77">
        <v>80000.0</v>
      </c>
      <c r="Z420" s="77"/>
    </row>
    <row r="421">
      <c r="A421" s="145" t="s">
        <v>437</v>
      </c>
      <c r="B421" s="145" t="s">
        <v>1623</v>
      </c>
      <c r="C421" s="145" t="s">
        <v>1543</v>
      </c>
      <c r="D421" s="75" t="s">
        <v>1544</v>
      </c>
      <c r="E421" s="75" t="s">
        <v>1544</v>
      </c>
      <c r="F421" s="211" t="s">
        <v>1547</v>
      </c>
      <c r="G421" s="145" t="s">
        <v>3014</v>
      </c>
      <c r="H421" s="211" t="s">
        <v>77</v>
      </c>
      <c r="I421" s="145" t="s">
        <v>325</v>
      </c>
      <c r="J421" s="211" t="s">
        <v>1549</v>
      </c>
      <c r="K421" s="75" t="s">
        <v>1544</v>
      </c>
      <c r="L421" s="152" t="b">
        <v>1</v>
      </c>
      <c r="M421" s="152" t="b">
        <v>0</v>
      </c>
      <c r="N421" s="212" t="s">
        <v>3015</v>
      </c>
      <c r="O421" s="213" t="s">
        <v>1554</v>
      </c>
      <c r="P421" s="47" t="b">
        <v>1</v>
      </c>
      <c r="Q421" s="47" t="b">
        <v>0</v>
      </c>
      <c r="R421" s="214"/>
      <c r="S421" s="77">
        <v>0.0</v>
      </c>
      <c r="T421" s="76" t="s">
        <v>1179</v>
      </c>
      <c r="U421" s="78">
        <v>9763738.0</v>
      </c>
      <c r="V421" s="215"/>
      <c r="W421" s="77">
        <v>1.0E7</v>
      </c>
      <c r="X421" s="77">
        <v>100000.0</v>
      </c>
      <c r="Y421" s="77">
        <v>40000.0</v>
      </c>
      <c r="Z421" s="77"/>
    </row>
    <row r="422">
      <c r="A422" s="145" t="s">
        <v>277</v>
      </c>
      <c r="B422" s="145" t="s">
        <v>277</v>
      </c>
      <c r="C422" s="145" t="s">
        <v>2398</v>
      </c>
      <c r="D422" s="75" t="s">
        <v>1544</v>
      </c>
      <c r="E422" s="75" t="s">
        <v>1601</v>
      </c>
      <c r="F422" s="211" t="s">
        <v>87</v>
      </c>
      <c r="G422" s="145" t="s">
        <v>278</v>
      </c>
      <c r="H422" s="211" t="s">
        <v>87</v>
      </c>
      <c r="I422" s="145" t="s">
        <v>267</v>
      </c>
      <c r="J422" s="211" t="s">
        <v>1603</v>
      </c>
      <c r="K422" s="75" t="s">
        <v>1601</v>
      </c>
      <c r="L422" s="152" t="b">
        <v>1</v>
      </c>
      <c r="M422" s="152" t="b">
        <v>1</v>
      </c>
      <c r="N422" s="217"/>
      <c r="O422" s="213" t="s">
        <v>1554</v>
      </c>
      <c r="P422" s="47" t="b">
        <v>0</v>
      </c>
      <c r="Q422" s="47" t="b">
        <v>0</v>
      </c>
      <c r="R422" s="214"/>
      <c r="S422" s="77">
        <v>0.0</v>
      </c>
      <c r="T422" s="214"/>
      <c r="U422" s="215"/>
      <c r="V422" s="215"/>
      <c r="W422" s="214"/>
      <c r="X422" s="214"/>
      <c r="Y422" s="77">
        <v>0.0</v>
      </c>
      <c r="Z422" s="77"/>
    </row>
    <row r="423">
      <c r="A423" s="145" t="s">
        <v>712</v>
      </c>
      <c r="B423" s="145" t="s">
        <v>712</v>
      </c>
      <c r="C423" s="145" t="s">
        <v>2398</v>
      </c>
      <c r="D423" s="75" t="s">
        <v>1601</v>
      </c>
      <c r="E423" s="75" t="s">
        <v>1544</v>
      </c>
      <c r="F423" s="211" t="s">
        <v>1602</v>
      </c>
      <c r="G423" s="145" t="s">
        <v>713</v>
      </c>
      <c r="H423" s="211" t="s">
        <v>87</v>
      </c>
      <c r="I423" s="145" t="s">
        <v>267</v>
      </c>
      <c r="J423" s="211" t="s">
        <v>1603</v>
      </c>
      <c r="K423" s="75" t="s">
        <v>1601</v>
      </c>
      <c r="L423" s="152" t="b">
        <v>1</v>
      </c>
      <c r="M423" s="152" t="b">
        <v>0</v>
      </c>
      <c r="N423" s="217"/>
      <c r="O423" s="213" t="s">
        <v>1554</v>
      </c>
      <c r="P423" s="47" t="b">
        <v>0</v>
      </c>
      <c r="Q423" s="47" t="b">
        <v>0</v>
      </c>
      <c r="R423" s="214"/>
      <c r="S423" s="77">
        <v>0.0</v>
      </c>
      <c r="T423" s="76" t="s">
        <v>1161</v>
      </c>
      <c r="U423" s="215"/>
      <c r="V423" s="215"/>
      <c r="W423" s="214"/>
      <c r="X423" s="214"/>
      <c r="Y423" s="77">
        <v>1.0</v>
      </c>
      <c r="Z423" s="77"/>
    </row>
    <row r="424">
      <c r="A424" s="145" t="s">
        <v>378</v>
      </c>
      <c r="B424" s="145" t="s">
        <v>2326</v>
      </c>
      <c r="C424" s="145" t="s">
        <v>2288</v>
      </c>
      <c r="D424" s="75" t="s">
        <v>1544</v>
      </c>
      <c r="E424" s="75" t="s">
        <v>1544</v>
      </c>
      <c r="F424" s="211" t="s">
        <v>1649</v>
      </c>
      <c r="G424" s="145" t="s">
        <v>3016</v>
      </c>
      <c r="H424" s="211" t="s">
        <v>1018</v>
      </c>
      <c r="I424" s="145" t="s">
        <v>66</v>
      </c>
      <c r="J424" s="211" t="s">
        <v>1549</v>
      </c>
      <c r="K424" s="75" t="s">
        <v>1544</v>
      </c>
      <c r="L424" s="152" t="b">
        <v>1</v>
      </c>
      <c r="M424" s="152" t="b">
        <v>0</v>
      </c>
      <c r="N424" s="217"/>
      <c r="O424" s="213" t="s">
        <v>1554</v>
      </c>
      <c r="P424" s="47" t="b">
        <v>1</v>
      </c>
      <c r="Q424" s="47" t="b">
        <v>0</v>
      </c>
      <c r="R424" s="214"/>
      <c r="S424" s="77">
        <v>0.0</v>
      </c>
      <c r="T424" s="76" t="s">
        <v>1179</v>
      </c>
      <c r="U424" s="78">
        <v>9066265.0</v>
      </c>
      <c r="V424" s="215"/>
      <c r="W424" s="77">
        <v>1.0E7</v>
      </c>
      <c r="X424" s="77">
        <v>80000.0</v>
      </c>
      <c r="Y424" s="77">
        <v>32000.0</v>
      </c>
      <c r="Z424" s="77"/>
    </row>
    <row r="425">
      <c r="A425" s="145" t="s">
        <v>2117</v>
      </c>
      <c r="B425" s="145" t="s">
        <v>2117</v>
      </c>
      <c r="C425" s="145" t="s">
        <v>1600</v>
      </c>
      <c r="D425" s="75" t="s">
        <v>1544</v>
      </c>
      <c r="E425" s="75" t="s">
        <v>1601</v>
      </c>
      <c r="F425" s="211" t="s">
        <v>1547</v>
      </c>
      <c r="G425" s="145" t="s">
        <v>3017</v>
      </c>
      <c r="H425" s="211" t="s">
        <v>77</v>
      </c>
      <c r="I425" s="145" t="s">
        <v>340</v>
      </c>
      <c r="J425" s="211" t="s">
        <v>1549</v>
      </c>
      <c r="K425" s="75" t="s">
        <v>1544</v>
      </c>
      <c r="L425" s="152" t="b">
        <v>0</v>
      </c>
      <c r="M425" s="152" t="b">
        <v>0</v>
      </c>
      <c r="N425" s="217"/>
      <c r="O425" s="213" t="s">
        <v>1554</v>
      </c>
      <c r="P425" s="47" t="b">
        <v>0</v>
      </c>
      <c r="Q425" s="47" t="b">
        <v>0</v>
      </c>
      <c r="R425" s="214"/>
      <c r="S425" s="77">
        <v>0.0</v>
      </c>
      <c r="T425" s="214"/>
      <c r="U425" s="215"/>
      <c r="V425" s="215"/>
      <c r="W425" s="214"/>
      <c r="X425" s="214"/>
      <c r="Y425" s="77">
        <v>40000.0</v>
      </c>
      <c r="Z425" s="77"/>
    </row>
    <row r="426">
      <c r="A426" s="145" t="s">
        <v>2119</v>
      </c>
      <c r="B426" s="145" t="s">
        <v>1542</v>
      </c>
      <c r="C426" s="145" t="s">
        <v>1543</v>
      </c>
      <c r="D426" s="75" t="s">
        <v>1544</v>
      </c>
      <c r="E426" s="75" t="s">
        <v>1544</v>
      </c>
      <c r="F426" s="211" t="s">
        <v>1547</v>
      </c>
      <c r="G426" s="145" t="s">
        <v>2334</v>
      </c>
      <c r="H426" s="211" t="s">
        <v>77</v>
      </c>
      <c r="I426" s="145" t="s">
        <v>340</v>
      </c>
      <c r="J426" s="211" t="s">
        <v>1549</v>
      </c>
      <c r="K426" s="75" t="s">
        <v>1544</v>
      </c>
      <c r="L426" s="152" t="b">
        <v>1</v>
      </c>
      <c r="M426" s="152" t="b">
        <v>0</v>
      </c>
      <c r="N426" s="212" t="s">
        <v>3018</v>
      </c>
      <c r="O426" s="213" t="s">
        <v>1554</v>
      </c>
      <c r="P426" s="47" t="b">
        <v>1</v>
      </c>
      <c r="Q426" s="47" t="b">
        <v>0</v>
      </c>
      <c r="R426" s="214"/>
      <c r="S426" s="77">
        <v>0.0</v>
      </c>
      <c r="T426" s="76" t="s">
        <v>1179</v>
      </c>
      <c r="U426" s="78">
        <v>1.1313854E7</v>
      </c>
      <c r="V426" s="215"/>
      <c r="W426" s="77">
        <v>1.2E7</v>
      </c>
      <c r="X426" s="216">
        <v>120000.0</v>
      </c>
      <c r="Y426" s="77">
        <v>40000.0</v>
      </c>
      <c r="Z426" s="77"/>
    </row>
    <row r="427">
      <c r="A427" s="145" t="s">
        <v>680</v>
      </c>
      <c r="B427" s="145" t="s">
        <v>2465</v>
      </c>
      <c r="C427" s="145" t="s">
        <v>1543</v>
      </c>
      <c r="D427" s="75" t="s">
        <v>1544</v>
      </c>
      <c r="E427" s="75" t="s">
        <v>1544</v>
      </c>
      <c r="F427" s="211" t="s">
        <v>1690</v>
      </c>
      <c r="G427" s="145" t="s">
        <v>3019</v>
      </c>
      <c r="H427" s="211" t="s">
        <v>586</v>
      </c>
      <c r="I427" s="145" t="s">
        <v>674</v>
      </c>
      <c r="J427" s="211" t="s">
        <v>1597</v>
      </c>
      <c r="K427" s="75" t="s">
        <v>1544</v>
      </c>
      <c r="L427" s="152" t="b">
        <v>1</v>
      </c>
      <c r="M427" s="152" t="b">
        <v>0</v>
      </c>
      <c r="N427" s="212" t="s">
        <v>3020</v>
      </c>
      <c r="O427" s="213" t="s">
        <v>1554</v>
      </c>
      <c r="P427" s="47" t="b">
        <v>1</v>
      </c>
      <c r="Q427" s="47" t="b">
        <v>0</v>
      </c>
      <c r="R427" s="214"/>
      <c r="S427" s="77">
        <v>0.0</v>
      </c>
      <c r="T427" s="76" t="s">
        <v>1179</v>
      </c>
      <c r="U427" s="78">
        <v>3.7474005E7</v>
      </c>
      <c r="V427" s="215"/>
      <c r="W427" s="77">
        <v>3.8E7</v>
      </c>
      <c r="X427" s="77">
        <v>266000.0</v>
      </c>
      <c r="Y427" s="77">
        <v>100000.0</v>
      </c>
      <c r="Z427" s="77"/>
    </row>
    <row r="428">
      <c r="A428" s="145" t="s">
        <v>2134</v>
      </c>
      <c r="B428" s="145" t="s">
        <v>2134</v>
      </c>
      <c r="C428" s="145" t="s">
        <v>1058</v>
      </c>
      <c r="D428" s="75" t="s">
        <v>1544</v>
      </c>
      <c r="E428" s="75" t="s">
        <v>1601</v>
      </c>
      <c r="F428" s="211" t="s">
        <v>1796</v>
      </c>
      <c r="G428" s="145" t="s">
        <v>2135</v>
      </c>
      <c r="H428" s="211" t="s">
        <v>2788</v>
      </c>
      <c r="I428" s="145" t="s">
        <v>2487</v>
      </c>
      <c r="J428" s="211" t="s">
        <v>3021</v>
      </c>
      <c r="K428" s="75" t="s">
        <v>1544</v>
      </c>
      <c r="L428" s="152" t="b">
        <v>1</v>
      </c>
      <c r="M428" s="152" t="b">
        <v>1</v>
      </c>
      <c r="N428" s="217"/>
      <c r="O428" s="213" t="s">
        <v>1554</v>
      </c>
      <c r="P428" s="47" t="b">
        <v>0</v>
      </c>
      <c r="Q428" s="47" t="b">
        <v>0</v>
      </c>
      <c r="R428" s="214"/>
      <c r="S428" s="77">
        <v>0.0</v>
      </c>
      <c r="T428" s="214"/>
      <c r="U428" s="215"/>
      <c r="V428" s="215"/>
      <c r="W428" s="214"/>
      <c r="X428" s="218"/>
      <c r="Y428" s="77">
        <v>1000000.0</v>
      </c>
      <c r="Z428" s="77"/>
    </row>
    <row r="429">
      <c r="A429" s="145" t="s">
        <v>610</v>
      </c>
      <c r="B429" s="145" t="s">
        <v>610</v>
      </c>
      <c r="C429" s="145" t="s">
        <v>2404</v>
      </c>
      <c r="D429" s="75" t="s">
        <v>1544</v>
      </c>
      <c r="E429" s="75" t="s">
        <v>1544</v>
      </c>
      <c r="F429" s="211" t="s">
        <v>1602</v>
      </c>
      <c r="G429" s="145" t="s">
        <v>611</v>
      </c>
      <c r="H429" s="211" t="s">
        <v>87</v>
      </c>
      <c r="I429" s="145" t="s">
        <v>267</v>
      </c>
      <c r="J429" s="211" t="s">
        <v>1603</v>
      </c>
      <c r="K429" s="75" t="s">
        <v>1601</v>
      </c>
      <c r="L429" s="152" t="b">
        <v>1</v>
      </c>
      <c r="M429" s="152" t="b">
        <v>1</v>
      </c>
      <c r="N429" s="217"/>
      <c r="O429" s="213" t="s">
        <v>1554</v>
      </c>
      <c r="P429" s="47" t="b">
        <v>0</v>
      </c>
      <c r="Q429" s="47" t="b">
        <v>0</v>
      </c>
      <c r="R429" s="214"/>
      <c r="S429" s="77">
        <v>0.0</v>
      </c>
      <c r="T429" s="76" t="s">
        <v>1161</v>
      </c>
      <c r="U429" s="215"/>
      <c r="V429" s="215"/>
      <c r="W429" s="214"/>
      <c r="X429" s="214"/>
      <c r="Y429" s="77">
        <v>1.0</v>
      </c>
      <c r="Z429" s="77"/>
    </row>
    <row r="430">
      <c r="A430" s="145" t="s">
        <v>381</v>
      </c>
      <c r="B430" s="145" t="s">
        <v>2195</v>
      </c>
      <c r="C430" s="145" t="s">
        <v>1543</v>
      </c>
      <c r="D430" s="75" t="s">
        <v>1544</v>
      </c>
      <c r="E430" s="75" t="s">
        <v>1544</v>
      </c>
      <c r="F430" s="211" t="s">
        <v>1637</v>
      </c>
      <c r="G430" s="145" t="s">
        <v>1153</v>
      </c>
      <c r="H430" s="211" t="s">
        <v>77</v>
      </c>
      <c r="I430" s="145" t="s">
        <v>218</v>
      </c>
      <c r="J430" s="211" t="s">
        <v>1639</v>
      </c>
      <c r="K430" s="75" t="s">
        <v>1544</v>
      </c>
      <c r="L430" s="152" t="b">
        <v>1</v>
      </c>
      <c r="M430" s="152" t="b">
        <v>0</v>
      </c>
      <c r="N430" s="212" t="s">
        <v>3022</v>
      </c>
      <c r="O430" s="213" t="s">
        <v>1554</v>
      </c>
      <c r="P430" s="47" t="b">
        <v>1</v>
      </c>
      <c r="Q430" s="47" t="b">
        <v>0</v>
      </c>
      <c r="R430" s="214"/>
      <c r="S430" s="77">
        <v>0.0</v>
      </c>
      <c r="T430" s="76" t="s">
        <v>1179</v>
      </c>
      <c r="U430" s="78">
        <v>1.4390547E7</v>
      </c>
      <c r="V430" s="215"/>
      <c r="W430" s="77">
        <v>1.4E7</v>
      </c>
      <c r="X430" s="216">
        <v>140000.0</v>
      </c>
      <c r="Y430" s="77">
        <v>60000.0</v>
      </c>
      <c r="Z430" s="77"/>
    </row>
    <row r="431">
      <c r="A431" s="145" t="s">
        <v>275</v>
      </c>
      <c r="B431" s="145" t="s">
        <v>275</v>
      </c>
      <c r="C431" s="145" t="s">
        <v>2404</v>
      </c>
      <c r="D431" s="75" t="s">
        <v>1601</v>
      </c>
      <c r="E431" s="75" t="s">
        <v>1601</v>
      </c>
      <c r="F431" s="211" t="s">
        <v>2311</v>
      </c>
      <c r="G431" s="145" t="s">
        <v>276</v>
      </c>
      <c r="H431" s="211" t="s">
        <v>2788</v>
      </c>
      <c r="I431" s="145" t="s">
        <v>2487</v>
      </c>
      <c r="J431" s="211" t="s">
        <v>1561</v>
      </c>
      <c r="K431" s="75" t="s">
        <v>1601</v>
      </c>
      <c r="L431" s="152" t="b">
        <v>1</v>
      </c>
      <c r="M431" s="152" t="b">
        <v>1</v>
      </c>
      <c r="N431" s="212" t="s">
        <v>3024</v>
      </c>
      <c r="O431" s="213" t="s">
        <v>1554</v>
      </c>
      <c r="P431" s="47" t="b">
        <v>0</v>
      </c>
      <c r="Q431" s="47" t="b">
        <v>0</v>
      </c>
      <c r="R431" s="214"/>
      <c r="S431" s="77">
        <v>0.0</v>
      </c>
      <c r="T431" s="214"/>
      <c r="U431" s="215"/>
      <c r="V431" s="215"/>
      <c r="W431" s="214"/>
      <c r="X431" s="214"/>
      <c r="Y431" s="77">
        <v>200000.0</v>
      </c>
      <c r="Z431" s="77"/>
    </row>
    <row r="432">
      <c r="A432" s="145" t="s">
        <v>575</v>
      </c>
      <c r="B432" s="145" t="s">
        <v>1849</v>
      </c>
      <c r="C432" s="145" t="s">
        <v>1543</v>
      </c>
      <c r="D432" s="75" t="s">
        <v>1544</v>
      </c>
      <c r="E432" s="75" t="s">
        <v>1544</v>
      </c>
      <c r="F432" s="211" t="s">
        <v>1649</v>
      </c>
      <c r="G432" s="145" t="s">
        <v>3025</v>
      </c>
      <c r="H432" s="211" t="s">
        <v>1018</v>
      </c>
      <c r="I432" s="145" t="s">
        <v>75</v>
      </c>
      <c r="J432" s="211" t="s">
        <v>1549</v>
      </c>
      <c r="K432" s="75" t="s">
        <v>1544</v>
      </c>
      <c r="L432" s="152" t="b">
        <v>1</v>
      </c>
      <c r="M432" s="152" t="b">
        <v>0</v>
      </c>
      <c r="N432" s="212" t="s">
        <v>3026</v>
      </c>
      <c r="O432" s="213" t="s">
        <v>1554</v>
      </c>
      <c r="P432" s="47" t="b">
        <v>1</v>
      </c>
      <c r="Q432" s="47" t="b">
        <v>0</v>
      </c>
      <c r="R432" s="214"/>
      <c r="S432" s="77">
        <v>0.0</v>
      </c>
      <c r="T432" s="76" t="s">
        <v>1179</v>
      </c>
      <c r="U432" s="78">
        <v>1.0176737E7</v>
      </c>
      <c r="V432" s="215"/>
      <c r="W432" s="216">
        <v>1.0E7</v>
      </c>
      <c r="X432" s="216">
        <v>80000.0</v>
      </c>
      <c r="Y432" s="77">
        <v>32000.0</v>
      </c>
      <c r="Z432" s="77"/>
    </row>
    <row r="433">
      <c r="A433" s="145" t="s">
        <v>1104</v>
      </c>
      <c r="B433" s="145" t="s">
        <v>230</v>
      </c>
      <c r="C433" s="145" t="s">
        <v>2288</v>
      </c>
      <c r="D433" s="75" t="s">
        <v>1544</v>
      </c>
      <c r="E433" s="75" t="s">
        <v>1544</v>
      </c>
      <c r="F433" s="211" t="s">
        <v>3027</v>
      </c>
      <c r="G433" s="145" t="s">
        <v>1105</v>
      </c>
      <c r="H433" s="211" t="s">
        <v>77</v>
      </c>
      <c r="I433" s="145" t="s">
        <v>218</v>
      </c>
      <c r="J433" s="211" t="s">
        <v>3028</v>
      </c>
      <c r="K433" s="75" t="s">
        <v>1544</v>
      </c>
      <c r="L433" s="152" t="b">
        <v>1</v>
      </c>
      <c r="M433" s="152" t="b">
        <v>1</v>
      </c>
      <c r="N433" s="217"/>
      <c r="O433" s="213" t="s">
        <v>1554</v>
      </c>
      <c r="P433" s="47" t="b">
        <v>1</v>
      </c>
      <c r="Q433" s="47" t="b">
        <v>0</v>
      </c>
      <c r="R433" s="214"/>
      <c r="S433" s="77">
        <v>0.0</v>
      </c>
      <c r="T433" s="76" t="s">
        <v>1179</v>
      </c>
      <c r="U433" s="78">
        <v>1.52E8</v>
      </c>
      <c r="V433" s="215"/>
      <c r="W433" s="216">
        <v>1.52E8</v>
      </c>
      <c r="X433" s="216">
        <v>1520000.0</v>
      </c>
      <c r="Y433" s="77">
        <v>620000.0</v>
      </c>
      <c r="Z433" s="77"/>
    </row>
    <row r="434">
      <c r="A434" s="145" t="s">
        <v>446</v>
      </c>
      <c r="B434" s="145" t="s">
        <v>1564</v>
      </c>
      <c r="C434" s="145" t="s">
        <v>1543</v>
      </c>
      <c r="D434" s="75" t="s">
        <v>1544</v>
      </c>
      <c r="E434" s="75" t="s">
        <v>1544</v>
      </c>
      <c r="F434" s="211" t="s">
        <v>1575</v>
      </c>
      <c r="G434" s="145" t="s">
        <v>3029</v>
      </c>
      <c r="H434" s="211" t="s">
        <v>77</v>
      </c>
      <c r="I434" s="145" t="s">
        <v>338</v>
      </c>
      <c r="J434" s="211" t="s">
        <v>1577</v>
      </c>
      <c r="K434" s="75" t="s">
        <v>1544</v>
      </c>
      <c r="L434" s="152" t="b">
        <v>1</v>
      </c>
      <c r="M434" s="152" t="b">
        <v>0</v>
      </c>
      <c r="N434" s="212" t="s">
        <v>3030</v>
      </c>
      <c r="O434" s="213" t="s">
        <v>1554</v>
      </c>
      <c r="P434" s="47" t="b">
        <v>1</v>
      </c>
      <c r="Q434" s="47" t="b">
        <v>0</v>
      </c>
      <c r="R434" s="214"/>
      <c r="S434" s="77">
        <v>0.0</v>
      </c>
      <c r="T434" s="76" t="s">
        <v>1179</v>
      </c>
      <c r="U434" s="78">
        <v>6978201.0</v>
      </c>
      <c r="V434" s="215"/>
      <c r="W434" s="216">
        <v>6000000.0</v>
      </c>
      <c r="X434" s="216">
        <v>60000.0</v>
      </c>
      <c r="Y434" s="77">
        <v>20000.0</v>
      </c>
      <c r="Z434" s="77"/>
    </row>
    <row r="435">
      <c r="A435" s="145" t="s">
        <v>2152</v>
      </c>
      <c r="B435" s="145" t="s">
        <v>2152</v>
      </c>
      <c r="C435" s="145" t="s">
        <v>2993</v>
      </c>
      <c r="D435" s="75" t="s">
        <v>1601</v>
      </c>
      <c r="E435" s="75" t="s">
        <v>1601</v>
      </c>
      <c r="F435" s="211" t="s">
        <v>2311</v>
      </c>
      <c r="G435" s="145" t="s">
        <v>2152</v>
      </c>
      <c r="H435" s="211" t="s">
        <v>2788</v>
      </c>
      <c r="I435" s="145" t="s">
        <v>2487</v>
      </c>
      <c r="J435" s="211" t="s">
        <v>1561</v>
      </c>
      <c r="K435" s="75" t="s">
        <v>1601</v>
      </c>
      <c r="L435" s="152" t="b">
        <v>1</v>
      </c>
      <c r="M435" s="152" t="b">
        <v>1</v>
      </c>
      <c r="N435" s="217"/>
      <c r="O435" s="213" t="s">
        <v>1554</v>
      </c>
      <c r="P435" s="47" t="b">
        <v>0</v>
      </c>
      <c r="Q435" s="47" t="b">
        <v>0</v>
      </c>
      <c r="R435" s="214"/>
      <c r="S435" s="77">
        <v>0.0</v>
      </c>
      <c r="T435" s="214"/>
      <c r="U435" s="215"/>
      <c r="V435" s="215"/>
      <c r="W435" s="214"/>
      <c r="X435" s="214"/>
      <c r="Y435" s="77">
        <v>200000.0</v>
      </c>
      <c r="Z435" s="77"/>
    </row>
    <row r="436">
      <c r="A436" s="145" t="s">
        <v>270</v>
      </c>
      <c r="B436" s="145" t="s">
        <v>270</v>
      </c>
      <c r="C436" s="145" t="s">
        <v>2404</v>
      </c>
      <c r="D436" s="75" t="s">
        <v>1544</v>
      </c>
      <c r="E436" s="75" t="s">
        <v>1544</v>
      </c>
      <c r="F436" s="211" t="s">
        <v>1602</v>
      </c>
      <c r="G436" s="145" t="s">
        <v>271</v>
      </c>
      <c r="H436" s="211" t="s">
        <v>87</v>
      </c>
      <c r="I436" s="145" t="s">
        <v>267</v>
      </c>
      <c r="J436" s="211" t="s">
        <v>1603</v>
      </c>
      <c r="K436" s="75" t="s">
        <v>1601</v>
      </c>
      <c r="L436" s="152" t="b">
        <v>1</v>
      </c>
      <c r="M436" s="152" t="b">
        <v>1</v>
      </c>
      <c r="N436" s="212" t="s">
        <v>3031</v>
      </c>
      <c r="O436" s="213" t="s">
        <v>1554</v>
      </c>
      <c r="P436" s="47" t="b">
        <v>0</v>
      </c>
      <c r="Q436" s="47" t="b">
        <v>0</v>
      </c>
      <c r="R436" s="214"/>
      <c r="S436" s="77">
        <v>0.0</v>
      </c>
      <c r="T436" s="76" t="s">
        <v>1161</v>
      </c>
      <c r="U436" s="215"/>
      <c r="V436" s="215"/>
      <c r="W436" s="214"/>
      <c r="X436" s="218"/>
      <c r="Y436" s="77">
        <v>1.0</v>
      </c>
      <c r="Z436" s="77"/>
    </row>
    <row r="437">
      <c r="A437" s="145" t="s">
        <v>362</v>
      </c>
      <c r="B437" s="145" t="s">
        <v>1788</v>
      </c>
      <c r="C437" s="145" t="s">
        <v>1543</v>
      </c>
      <c r="D437" s="75" t="s">
        <v>1544</v>
      </c>
      <c r="E437" s="75" t="s">
        <v>1544</v>
      </c>
      <c r="F437" s="211" t="s">
        <v>1637</v>
      </c>
      <c r="G437" s="145" t="s">
        <v>3032</v>
      </c>
      <c r="H437" s="211" t="s">
        <v>907</v>
      </c>
      <c r="I437" s="145" t="s">
        <v>25</v>
      </c>
      <c r="J437" s="211" t="s">
        <v>1639</v>
      </c>
      <c r="K437" s="75" t="s">
        <v>1544</v>
      </c>
      <c r="L437" s="152" t="b">
        <v>1</v>
      </c>
      <c r="M437" s="152" t="b">
        <v>0</v>
      </c>
      <c r="N437" s="212" t="s">
        <v>3033</v>
      </c>
      <c r="O437" s="213" t="s">
        <v>1554</v>
      </c>
      <c r="P437" s="47" t="b">
        <v>1</v>
      </c>
      <c r="Q437" s="47" t="b">
        <v>0</v>
      </c>
      <c r="R437" s="214"/>
      <c r="S437" s="77">
        <v>0.0</v>
      </c>
      <c r="T437" s="76" t="s">
        <v>1179</v>
      </c>
      <c r="U437" s="78">
        <v>1.2994752E7</v>
      </c>
      <c r="V437" s="215"/>
      <c r="W437" s="77">
        <v>1.2E7</v>
      </c>
      <c r="X437" s="216">
        <v>120000.0</v>
      </c>
      <c r="Y437" s="77">
        <v>60000.0</v>
      </c>
      <c r="Z437" s="77"/>
    </row>
    <row r="438">
      <c r="A438" s="145" t="s">
        <v>602</v>
      </c>
      <c r="B438" s="145" t="s">
        <v>602</v>
      </c>
      <c r="C438" s="145" t="s">
        <v>2404</v>
      </c>
      <c r="D438" s="75" t="s">
        <v>1544</v>
      </c>
      <c r="E438" s="75" t="s">
        <v>1544</v>
      </c>
      <c r="F438" s="211" t="s">
        <v>1602</v>
      </c>
      <c r="G438" s="145" t="s">
        <v>603</v>
      </c>
      <c r="H438" s="211" t="s">
        <v>87</v>
      </c>
      <c r="I438" s="145" t="s">
        <v>267</v>
      </c>
      <c r="J438" s="211" t="s">
        <v>1603</v>
      </c>
      <c r="K438" s="75" t="s">
        <v>1601</v>
      </c>
      <c r="L438" s="152" t="b">
        <v>1</v>
      </c>
      <c r="M438" s="152" t="b">
        <v>1</v>
      </c>
      <c r="N438" s="212" t="s">
        <v>3034</v>
      </c>
      <c r="O438" s="213" t="s">
        <v>1554</v>
      </c>
      <c r="P438" s="47" t="b">
        <v>0</v>
      </c>
      <c r="Q438" s="47" t="b">
        <v>0</v>
      </c>
      <c r="R438" s="214"/>
      <c r="S438" s="77">
        <v>0.0</v>
      </c>
      <c r="T438" s="76" t="s">
        <v>1161</v>
      </c>
      <c r="U438" s="215"/>
      <c r="V438" s="215"/>
      <c r="W438" s="214"/>
      <c r="X438" s="214"/>
      <c r="Y438" s="77">
        <v>1.0</v>
      </c>
      <c r="Z438" s="77"/>
    </row>
    <row r="439">
      <c r="A439" s="145" t="s">
        <v>442</v>
      </c>
      <c r="B439" s="145" t="s">
        <v>1595</v>
      </c>
      <c r="C439" s="145" t="s">
        <v>1543</v>
      </c>
      <c r="D439" s="75" t="s">
        <v>1544</v>
      </c>
      <c r="E439" s="75" t="s">
        <v>1544</v>
      </c>
      <c r="F439" s="211" t="s">
        <v>1666</v>
      </c>
      <c r="G439" s="145" t="s">
        <v>190</v>
      </c>
      <c r="H439" s="211" t="s">
        <v>1018</v>
      </c>
      <c r="I439" s="145" t="s">
        <v>113</v>
      </c>
      <c r="J439" s="211" t="s">
        <v>1667</v>
      </c>
      <c r="K439" s="75" t="s">
        <v>1544</v>
      </c>
      <c r="L439" s="152" t="b">
        <v>1</v>
      </c>
      <c r="M439" s="152" t="b">
        <v>0</v>
      </c>
      <c r="N439" s="212" t="s">
        <v>3035</v>
      </c>
      <c r="O439" s="213" t="s">
        <v>1554</v>
      </c>
      <c r="P439" s="47" t="b">
        <v>1</v>
      </c>
      <c r="Q439" s="47" t="b">
        <v>0</v>
      </c>
      <c r="R439" s="214"/>
      <c r="S439" s="77">
        <v>0.0</v>
      </c>
      <c r="T439" s="76" t="s">
        <v>1156</v>
      </c>
      <c r="U439" s="78">
        <v>1.3121449E7</v>
      </c>
      <c r="V439" s="215"/>
      <c r="W439" s="216">
        <v>1.4E7</v>
      </c>
      <c r="X439" s="216">
        <v>112000.0</v>
      </c>
      <c r="Y439" s="77">
        <v>3600000.0</v>
      </c>
      <c r="Z439" s="77"/>
    </row>
    <row r="440">
      <c r="A440" s="145" t="s">
        <v>2131</v>
      </c>
      <c r="B440" s="145" t="s">
        <v>2131</v>
      </c>
      <c r="C440" s="145" t="s">
        <v>1058</v>
      </c>
      <c r="D440" s="75" t="s">
        <v>1544</v>
      </c>
      <c r="E440" s="75" t="s">
        <v>1601</v>
      </c>
      <c r="F440" s="211" t="s">
        <v>1796</v>
      </c>
      <c r="G440" s="145" t="s">
        <v>2317</v>
      </c>
      <c r="H440" s="211" t="s">
        <v>907</v>
      </c>
      <c r="I440" s="145" t="s">
        <v>674</v>
      </c>
      <c r="J440" s="211" t="s">
        <v>3021</v>
      </c>
      <c r="K440" s="75" t="s">
        <v>1544</v>
      </c>
      <c r="L440" s="152" t="b">
        <v>1</v>
      </c>
      <c r="M440" s="152" t="b">
        <v>1</v>
      </c>
      <c r="N440" s="217"/>
      <c r="O440" s="213" t="s">
        <v>1554</v>
      </c>
      <c r="P440" s="47" t="b">
        <v>0</v>
      </c>
      <c r="Q440" s="47" t="b">
        <v>0</v>
      </c>
      <c r="R440" s="214"/>
      <c r="S440" s="77">
        <v>0.0</v>
      </c>
      <c r="T440" s="214"/>
      <c r="U440" s="215"/>
      <c r="V440" s="215"/>
      <c r="W440" s="214"/>
      <c r="X440" s="214"/>
      <c r="Y440" s="77">
        <v>1000000.0</v>
      </c>
      <c r="Z440" s="77"/>
    </row>
    <row r="441">
      <c r="A441" s="145" t="s">
        <v>1891</v>
      </c>
      <c r="B441" s="145" t="s">
        <v>1580</v>
      </c>
      <c r="C441" s="145" t="s">
        <v>1543</v>
      </c>
      <c r="D441" s="75" t="s">
        <v>1544</v>
      </c>
      <c r="E441" s="75" t="s">
        <v>1544</v>
      </c>
      <c r="F441" s="211" t="s">
        <v>1575</v>
      </c>
      <c r="G441" s="145" t="s">
        <v>1892</v>
      </c>
      <c r="H441" s="211" t="s">
        <v>77</v>
      </c>
      <c r="I441" s="145" t="s">
        <v>327</v>
      </c>
      <c r="J441" s="211" t="s">
        <v>1577</v>
      </c>
      <c r="K441" s="75" t="s">
        <v>1544</v>
      </c>
      <c r="L441" s="152" t="b">
        <v>1</v>
      </c>
      <c r="M441" s="152" t="b">
        <v>0</v>
      </c>
      <c r="N441" s="212" t="s">
        <v>3037</v>
      </c>
      <c r="O441" s="213" t="s">
        <v>1554</v>
      </c>
      <c r="P441" s="47" t="b">
        <v>1</v>
      </c>
      <c r="Q441" s="47" t="b">
        <v>0</v>
      </c>
      <c r="R441" s="214"/>
      <c r="S441" s="77">
        <v>0.0</v>
      </c>
      <c r="T441" s="76" t="s">
        <v>1179</v>
      </c>
      <c r="U441" s="78">
        <v>6048855.0</v>
      </c>
      <c r="V441" s="215"/>
      <c r="W441" s="216">
        <v>6000000.0</v>
      </c>
      <c r="X441" s="216">
        <v>60000.0</v>
      </c>
      <c r="Y441" s="77">
        <v>20000.0</v>
      </c>
      <c r="Z441" s="77"/>
    </row>
    <row r="442">
      <c r="A442" s="145" t="s">
        <v>581</v>
      </c>
      <c r="B442" s="145" t="s">
        <v>1623</v>
      </c>
      <c r="C442" s="145" t="s">
        <v>1543</v>
      </c>
      <c r="D442" s="75" t="s">
        <v>1544</v>
      </c>
      <c r="E442" s="75" t="s">
        <v>1544</v>
      </c>
      <c r="F442" s="211" t="s">
        <v>1547</v>
      </c>
      <c r="G442" s="145" t="s">
        <v>2999</v>
      </c>
      <c r="H442" s="211" t="s">
        <v>77</v>
      </c>
      <c r="I442" s="145" t="s">
        <v>325</v>
      </c>
      <c r="J442" s="211" t="s">
        <v>1549</v>
      </c>
      <c r="K442" s="75" t="s">
        <v>1544</v>
      </c>
      <c r="L442" s="152" t="b">
        <v>1</v>
      </c>
      <c r="M442" s="152" t="b">
        <v>0</v>
      </c>
      <c r="N442" s="212" t="s">
        <v>3038</v>
      </c>
      <c r="O442" s="213" t="s">
        <v>1554</v>
      </c>
      <c r="P442" s="47" t="b">
        <v>1</v>
      </c>
      <c r="Q442" s="47" t="b">
        <v>0</v>
      </c>
      <c r="R442" s="214"/>
      <c r="S442" s="77">
        <v>0.0</v>
      </c>
      <c r="T442" s="76" t="s">
        <v>1179</v>
      </c>
      <c r="U442" s="78">
        <v>9680212.0</v>
      </c>
      <c r="V442" s="215"/>
      <c r="W442" s="216">
        <v>1.0E7</v>
      </c>
      <c r="X442" s="216">
        <v>100000.0</v>
      </c>
      <c r="Y442" s="77">
        <v>40000.0</v>
      </c>
      <c r="Z442" s="77"/>
    </row>
    <row r="443">
      <c r="A443" s="145" t="s">
        <v>372</v>
      </c>
      <c r="B443" s="145" t="s">
        <v>372</v>
      </c>
      <c r="C443" s="145" t="s">
        <v>2296</v>
      </c>
      <c r="D443" s="75" t="s">
        <v>1544</v>
      </c>
      <c r="E443" s="75" t="s">
        <v>1601</v>
      </c>
      <c r="F443" s="211" t="s">
        <v>1708</v>
      </c>
      <c r="G443" s="145" t="s">
        <v>374</v>
      </c>
      <c r="H443" s="211" t="s">
        <v>77</v>
      </c>
      <c r="I443" s="145" t="s">
        <v>54</v>
      </c>
      <c r="J443" s="211" t="s">
        <v>1667</v>
      </c>
      <c r="K443" s="75" t="s">
        <v>1544</v>
      </c>
      <c r="L443" s="152" t="b">
        <v>0</v>
      </c>
      <c r="M443" s="152" t="b">
        <v>0</v>
      </c>
      <c r="N443" s="217"/>
      <c r="O443" s="213" t="s">
        <v>1554</v>
      </c>
      <c r="P443" s="47" t="b">
        <v>0</v>
      </c>
      <c r="Q443" s="47" t="b">
        <v>0</v>
      </c>
      <c r="R443" s="214"/>
      <c r="S443" s="77">
        <v>0.0</v>
      </c>
      <c r="T443" s="214"/>
      <c r="U443" s="215"/>
      <c r="V443" s="215"/>
      <c r="W443" s="214"/>
      <c r="X443" s="214"/>
      <c r="Y443" s="77">
        <v>120000.0</v>
      </c>
      <c r="Z443" s="77"/>
    </row>
    <row r="444">
      <c r="A444" s="145" t="s">
        <v>364</v>
      </c>
      <c r="B444" s="145" t="s">
        <v>1623</v>
      </c>
      <c r="C444" s="145" t="s">
        <v>1543</v>
      </c>
      <c r="D444" s="75" t="s">
        <v>1544</v>
      </c>
      <c r="E444" s="75" t="s">
        <v>1544</v>
      </c>
      <c r="F444" s="211" t="s">
        <v>1575</v>
      </c>
      <c r="G444" s="145" t="s">
        <v>3023</v>
      </c>
      <c r="H444" s="211" t="s">
        <v>77</v>
      </c>
      <c r="I444" s="145" t="s">
        <v>325</v>
      </c>
      <c r="J444" s="211" t="s">
        <v>1577</v>
      </c>
      <c r="K444" s="75" t="s">
        <v>1544</v>
      </c>
      <c r="L444" s="152" t="b">
        <v>1</v>
      </c>
      <c r="M444" s="152" t="b">
        <v>0</v>
      </c>
      <c r="N444" s="212" t="s">
        <v>3039</v>
      </c>
      <c r="O444" s="213" t="s">
        <v>1554</v>
      </c>
      <c r="P444" s="47" t="b">
        <v>1</v>
      </c>
      <c r="Q444" s="47" t="b">
        <v>0</v>
      </c>
      <c r="R444" s="214"/>
      <c r="S444" s="77">
        <v>0.0</v>
      </c>
      <c r="T444" s="76" t="s">
        <v>1179</v>
      </c>
      <c r="U444" s="78">
        <v>6782885.0</v>
      </c>
      <c r="V444" s="215"/>
      <c r="W444" s="77">
        <v>6000000.0</v>
      </c>
      <c r="X444" s="77">
        <v>60000.0</v>
      </c>
      <c r="Y444" s="77">
        <v>20000.0</v>
      </c>
      <c r="Z444" s="77"/>
    </row>
    <row r="445">
      <c r="A445" s="145" t="s">
        <v>392</v>
      </c>
      <c r="B445" s="145" t="s">
        <v>1623</v>
      </c>
      <c r="C445" s="145" t="s">
        <v>1543</v>
      </c>
      <c r="D445" s="75" t="s">
        <v>1544</v>
      </c>
      <c r="E445" s="75" t="s">
        <v>1544</v>
      </c>
      <c r="F445" s="211" t="s">
        <v>1547</v>
      </c>
      <c r="G445" s="145" t="s">
        <v>3040</v>
      </c>
      <c r="H445" s="211" t="s">
        <v>77</v>
      </c>
      <c r="I445" s="145" t="s">
        <v>325</v>
      </c>
      <c r="J445" s="211" t="s">
        <v>1549</v>
      </c>
      <c r="K445" s="75" t="s">
        <v>1544</v>
      </c>
      <c r="L445" s="152" t="b">
        <v>1</v>
      </c>
      <c r="M445" s="152" t="b">
        <v>0</v>
      </c>
      <c r="N445" s="212" t="s">
        <v>3041</v>
      </c>
      <c r="O445" s="213" t="s">
        <v>1554</v>
      </c>
      <c r="P445" s="47" t="b">
        <v>1</v>
      </c>
      <c r="Q445" s="47" t="b">
        <v>0</v>
      </c>
      <c r="R445" s="214"/>
      <c r="S445" s="77">
        <v>0.0</v>
      </c>
      <c r="T445" s="76" t="s">
        <v>1179</v>
      </c>
      <c r="U445" s="78">
        <v>1.1642741E7</v>
      </c>
      <c r="V445" s="215"/>
      <c r="W445" s="77">
        <v>1.2E7</v>
      </c>
      <c r="X445" s="77">
        <v>120000.0</v>
      </c>
      <c r="Y445" s="77">
        <v>40000.0</v>
      </c>
      <c r="Z445" s="77"/>
    </row>
    <row r="446">
      <c r="A446" s="145" t="s">
        <v>405</v>
      </c>
      <c r="B446" s="145" t="s">
        <v>1679</v>
      </c>
      <c r="C446" s="145" t="s">
        <v>1543</v>
      </c>
      <c r="D446" s="75" t="s">
        <v>1544</v>
      </c>
      <c r="E446" s="75" t="s">
        <v>1544</v>
      </c>
      <c r="F446" s="211" t="s">
        <v>1575</v>
      </c>
      <c r="G446" s="145" t="s">
        <v>2821</v>
      </c>
      <c r="H446" s="211" t="s">
        <v>77</v>
      </c>
      <c r="I446" s="145" t="s">
        <v>174</v>
      </c>
      <c r="J446" s="211" t="s">
        <v>1577</v>
      </c>
      <c r="K446" s="75" t="s">
        <v>1544</v>
      </c>
      <c r="L446" s="152" t="b">
        <v>1</v>
      </c>
      <c r="M446" s="152" t="b">
        <v>0</v>
      </c>
      <c r="N446" s="212" t="s">
        <v>3043</v>
      </c>
      <c r="O446" s="213" t="s">
        <v>1554</v>
      </c>
      <c r="P446" s="47" t="b">
        <v>1</v>
      </c>
      <c r="Q446" s="47" t="b">
        <v>0</v>
      </c>
      <c r="R446" s="214"/>
      <c r="S446" s="77">
        <v>0.0</v>
      </c>
      <c r="T446" s="76" t="s">
        <v>1179</v>
      </c>
      <c r="U446" s="78">
        <v>6987700.0</v>
      </c>
      <c r="V446" s="215"/>
      <c r="W446" s="77">
        <v>6000000.0</v>
      </c>
      <c r="X446" s="77">
        <v>60000.0</v>
      </c>
      <c r="Y446" s="77">
        <v>20000.0</v>
      </c>
      <c r="Z446" s="77"/>
    </row>
    <row r="447">
      <c r="A447" s="145" t="s">
        <v>333</v>
      </c>
      <c r="B447" s="145" t="s">
        <v>1788</v>
      </c>
      <c r="C447" s="145" t="s">
        <v>1543</v>
      </c>
      <c r="D447" s="75" t="s">
        <v>1544</v>
      </c>
      <c r="E447" s="75" t="s">
        <v>1544</v>
      </c>
      <c r="F447" s="211" t="s">
        <v>1547</v>
      </c>
      <c r="G447" s="145" t="s">
        <v>3044</v>
      </c>
      <c r="H447" s="211" t="s">
        <v>907</v>
      </c>
      <c r="I447" s="145" t="s">
        <v>25</v>
      </c>
      <c r="J447" s="211" t="s">
        <v>1549</v>
      </c>
      <c r="K447" s="75" t="s">
        <v>1544</v>
      </c>
      <c r="L447" s="152" t="b">
        <v>1</v>
      </c>
      <c r="M447" s="152" t="b">
        <v>0</v>
      </c>
      <c r="N447" s="212" t="s">
        <v>3045</v>
      </c>
      <c r="O447" s="213" t="s">
        <v>1554</v>
      </c>
      <c r="P447" s="47" t="b">
        <v>1</v>
      </c>
      <c r="Q447" s="47" t="b">
        <v>0</v>
      </c>
      <c r="R447" s="214"/>
      <c r="S447" s="77">
        <v>0.0</v>
      </c>
      <c r="T447" s="76" t="s">
        <v>1179</v>
      </c>
      <c r="U447" s="78">
        <v>1.1800926E7</v>
      </c>
      <c r="V447" s="215"/>
      <c r="W447" s="77">
        <v>1.2E7</v>
      </c>
      <c r="X447" s="77">
        <v>120000.0</v>
      </c>
      <c r="Y447" s="77">
        <v>40000.0</v>
      </c>
      <c r="Z447" s="77"/>
    </row>
    <row r="448">
      <c r="A448" s="145" t="s">
        <v>568</v>
      </c>
      <c r="B448" s="145" t="s">
        <v>2326</v>
      </c>
      <c r="C448" s="145" t="s">
        <v>2288</v>
      </c>
      <c r="D448" s="75" t="s">
        <v>1544</v>
      </c>
      <c r="E448" s="75" t="s">
        <v>1544</v>
      </c>
      <c r="F448" s="211" t="s">
        <v>1721</v>
      </c>
      <c r="G448" s="145" t="s">
        <v>3046</v>
      </c>
      <c r="H448" s="211" t="s">
        <v>1018</v>
      </c>
      <c r="I448" s="145" t="s">
        <v>66</v>
      </c>
      <c r="J448" s="211" t="s">
        <v>1609</v>
      </c>
      <c r="K448" s="75" t="s">
        <v>1544</v>
      </c>
      <c r="L448" s="152" t="b">
        <v>1</v>
      </c>
      <c r="M448" s="152" t="b">
        <v>0</v>
      </c>
      <c r="N448" s="217"/>
      <c r="O448" s="213" t="s">
        <v>1554</v>
      </c>
      <c r="P448" s="47" t="b">
        <v>1</v>
      </c>
      <c r="Q448" s="47" t="b">
        <v>0</v>
      </c>
      <c r="R448" s="214"/>
      <c r="S448" s="77">
        <v>0.0</v>
      </c>
      <c r="T448" s="76" t="s">
        <v>1179</v>
      </c>
      <c r="U448" s="78">
        <v>1.7505474E7</v>
      </c>
      <c r="V448" s="215"/>
      <c r="W448" s="77">
        <v>1.8E7</v>
      </c>
      <c r="X448" s="77">
        <v>144000.0</v>
      </c>
      <c r="Y448" s="77">
        <v>64000.0</v>
      </c>
      <c r="Z448" s="77"/>
    </row>
    <row r="449">
      <c r="A449" s="145" t="s">
        <v>539</v>
      </c>
      <c r="B449" s="145" t="s">
        <v>1679</v>
      </c>
      <c r="C449" s="145" t="s">
        <v>1543</v>
      </c>
      <c r="D449" s="75" t="s">
        <v>1544</v>
      </c>
      <c r="E449" s="75" t="s">
        <v>1544</v>
      </c>
      <c r="F449" s="211" t="s">
        <v>1637</v>
      </c>
      <c r="G449" s="145" t="s">
        <v>2577</v>
      </c>
      <c r="H449" s="211" t="s">
        <v>77</v>
      </c>
      <c r="I449" s="145" t="s">
        <v>174</v>
      </c>
      <c r="J449" s="211" t="s">
        <v>1639</v>
      </c>
      <c r="K449" s="75" t="s">
        <v>1544</v>
      </c>
      <c r="L449" s="152" t="b">
        <v>1</v>
      </c>
      <c r="M449" s="152" t="b">
        <v>0</v>
      </c>
      <c r="N449" s="212" t="s">
        <v>3047</v>
      </c>
      <c r="O449" s="213" t="s">
        <v>1554</v>
      </c>
      <c r="P449" s="47" t="b">
        <v>1</v>
      </c>
      <c r="Q449" s="47" t="b">
        <v>0</v>
      </c>
      <c r="R449" s="214"/>
      <c r="S449" s="77">
        <v>0.0</v>
      </c>
      <c r="T449" s="76" t="s">
        <v>1179</v>
      </c>
      <c r="U449" s="78">
        <v>1.3296463E7</v>
      </c>
      <c r="V449" s="215"/>
      <c r="W449" s="77">
        <v>1.4E7</v>
      </c>
      <c r="X449" s="216">
        <v>140000.0</v>
      </c>
      <c r="Y449" s="77">
        <v>60000.0</v>
      </c>
      <c r="Z449" s="77"/>
    </row>
    <row r="450">
      <c r="A450" s="145" t="s">
        <v>337</v>
      </c>
      <c r="B450" s="145" t="s">
        <v>1679</v>
      </c>
      <c r="C450" s="145" t="s">
        <v>1543</v>
      </c>
      <c r="D450" s="75" t="s">
        <v>1544</v>
      </c>
      <c r="E450" s="75" t="s">
        <v>1544</v>
      </c>
      <c r="F450" s="211" t="s">
        <v>1575</v>
      </c>
      <c r="G450" s="145" t="s">
        <v>2691</v>
      </c>
      <c r="H450" s="211" t="s">
        <v>77</v>
      </c>
      <c r="I450" s="145" t="s">
        <v>174</v>
      </c>
      <c r="J450" s="211" t="s">
        <v>1577</v>
      </c>
      <c r="K450" s="75" t="s">
        <v>1544</v>
      </c>
      <c r="L450" s="152" t="b">
        <v>1</v>
      </c>
      <c r="M450" s="152" t="b">
        <v>0</v>
      </c>
      <c r="N450" s="212" t="s">
        <v>3049</v>
      </c>
      <c r="O450" s="213" t="s">
        <v>1554</v>
      </c>
      <c r="P450" s="47" t="b">
        <v>1</v>
      </c>
      <c r="Q450" s="47" t="b">
        <v>0</v>
      </c>
      <c r="R450" s="214"/>
      <c r="S450" s="77">
        <v>0.0</v>
      </c>
      <c r="T450" s="76" t="s">
        <v>1176</v>
      </c>
      <c r="U450" s="78">
        <v>6590472.0</v>
      </c>
      <c r="V450" s="215"/>
      <c r="W450" s="77">
        <v>6000000.0</v>
      </c>
      <c r="X450" s="77">
        <v>60000.0</v>
      </c>
      <c r="Y450" s="77">
        <v>20000.0</v>
      </c>
      <c r="Z450" s="77"/>
    </row>
    <row r="451">
      <c r="A451" s="145" t="s">
        <v>363</v>
      </c>
      <c r="B451" s="145" t="s">
        <v>1564</v>
      </c>
      <c r="C451" s="145" t="s">
        <v>1543</v>
      </c>
      <c r="D451" s="75" t="s">
        <v>1544</v>
      </c>
      <c r="E451" s="75" t="s">
        <v>1544</v>
      </c>
      <c r="F451" s="211" t="s">
        <v>1547</v>
      </c>
      <c r="G451" s="145" t="s">
        <v>3050</v>
      </c>
      <c r="H451" s="211" t="s">
        <v>77</v>
      </c>
      <c r="I451" s="145" t="s">
        <v>338</v>
      </c>
      <c r="J451" s="211" t="s">
        <v>1549</v>
      </c>
      <c r="K451" s="75" t="s">
        <v>1544</v>
      </c>
      <c r="L451" s="152" t="b">
        <v>1</v>
      </c>
      <c r="M451" s="152" t="b">
        <v>0</v>
      </c>
      <c r="N451" s="212" t="s">
        <v>3051</v>
      </c>
      <c r="O451" s="213" t="s">
        <v>1554</v>
      </c>
      <c r="P451" s="47" t="b">
        <v>1</v>
      </c>
      <c r="Q451" s="47" t="b">
        <v>0</v>
      </c>
      <c r="R451" s="214"/>
      <c r="S451" s="77">
        <v>0.0</v>
      </c>
      <c r="T451" s="76" t="s">
        <v>1179</v>
      </c>
      <c r="U451" s="78">
        <v>8401645.0</v>
      </c>
      <c r="V451" s="215"/>
      <c r="W451" s="77">
        <v>8000000.0</v>
      </c>
      <c r="X451" s="216">
        <v>80000.0</v>
      </c>
      <c r="Y451" s="77">
        <v>40000.0</v>
      </c>
      <c r="Z451" s="77"/>
    </row>
    <row r="452">
      <c r="A452" s="145" t="s">
        <v>2167</v>
      </c>
      <c r="B452" s="145" t="s">
        <v>2167</v>
      </c>
      <c r="C452" s="145" t="s">
        <v>2524</v>
      </c>
      <c r="D452" s="75" t="s">
        <v>1544</v>
      </c>
      <c r="E452" s="75" t="s">
        <v>1601</v>
      </c>
      <c r="F452" s="211" t="s">
        <v>2311</v>
      </c>
      <c r="G452" s="145" t="s">
        <v>3052</v>
      </c>
      <c r="H452" s="211" t="s">
        <v>907</v>
      </c>
      <c r="I452" s="145" t="s">
        <v>25</v>
      </c>
      <c r="J452" s="211" t="s">
        <v>1561</v>
      </c>
      <c r="K452" s="75" t="s">
        <v>1544</v>
      </c>
      <c r="L452" s="152" t="b">
        <v>1</v>
      </c>
      <c r="M452" s="152" t="b">
        <v>1</v>
      </c>
      <c r="N452" s="217"/>
      <c r="O452" s="213" t="s">
        <v>1554</v>
      </c>
      <c r="P452" s="47" t="b">
        <v>0</v>
      </c>
      <c r="Q452" s="47" t="b">
        <v>0</v>
      </c>
      <c r="R452" s="214"/>
      <c r="S452" s="77">
        <v>0.0</v>
      </c>
      <c r="T452" s="214"/>
      <c r="U452" s="215"/>
      <c r="V452" s="215"/>
      <c r="W452" s="214"/>
      <c r="X452" s="214"/>
      <c r="Y452" s="77">
        <v>200000.0</v>
      </c>
      <c r="Z452" s="77"/>
    </row>
    <row r="453">
      <c r="A453" s="145" t="s">
        <v>2172</v>
      </c>
      <c r="B453" s="145" t="s">
        <v>2172</v>
      </c>
      <c r="C453" s="145" t="s">
        <v>2524</v>
      </c>
      <c r="D453" s="75" t="s">
        <v>1544</v>
      </c>
      <c r="E453" s="75" t="s">
        <v>1601</v>
      </c>
      <c r="F453" s="211" t="s">
        <v>2311</v>
      </c>
      <c r="G453" s="145" t="s">
        <v>3053</v>
      </c>
      <c r="H453" s="211" t="s">
        <v>907</v>
      </c>
      <c r="I453" s="145" t="s">
        <v>174</v>
      </c>
      <c r="J453" s="211" t="s">
        <v>1561</v>
      </c>
      <c r="K453" s="75" t="s">
        <v>1544</v>
      </c>
      <c r="L453" s="152" t="b">
        <v>1</v>
      </c>
      <c r="M453" s="152" t="b">
        <v>1</v>
      </c>
      <c r="N453" s="217"/>
      <c r="O453" s="213" t="s">
        <v>1554</v>
      </c>
      <c r="P453" s="47" t="b">
        <v>0</v>
      </c>
      <c r="Q453" s="47" t="b">
        <v>0</v>
      </c>
      <c r="R453" s="214"/>
      <c r="S453" s="77">
        <v>0.0</v>
      </c>
      <c r="T453" s="214"/>
      <c r="U453" s="215"/>
      <c r="V453" s="215"/>
      <c r="W453" s="214"/>
      <c r="X453" s="214"/>
      <c r="Y453" s="77">
        <v>200000.0</v>
      </c>
      <c r="Z453" s="77"/>
    </row>
    <row r="454">
      <c r="A454" s="145" t="s">
        <v>295</v>
      </c>
      <c r="B454" s="145" t="s">
        <v>295</v>
      </c>
      <c r="C454" s="145" t="s">
        <v>2500</v>
      </c>
      <c r="D454" s="75" t="s">
        <v>1544</v>
      </c>
      <c r="E454" s="75" t="s">
        <v>1544</v>
      </c>
      <c r="F454" s="211" t="s">
        <v>1602</v>
      </c>
      <c r="G454" s="145" t="s">
        <v>296</v>
      </c>
      <c r="H454" s="211" t="s">
        <v>87</v>
      </c>
      <c r="I454" s="145" t="s">
        <v>267</v>
      </c>
      <c r="J454" s="211" t="s">
        <v>1603</v>
      </c>
      <c r="K454" s="75" t="s">
        <v>1544</v>
      </c>
      <c r="L454" s="152" t="b">
        <v>1</v>
      </c>
      <c r="M454" s="152" t="b">
        <v>0</v>
      </c>
      <c r="N454" s="217"/>
      <c r="O454" s="213" t="s">
        <v>1554</v>
      </c>
      <c r="P454" s="47" t="b">
        <v>0</v>
      </c>
      <c r="Q454" s="47" t="b">
        <v>0</v>
      </c>
      <c r="R454" s="214"/>
      <c r="S454" s="77">
        <v>0.0</v>
      </c>
      <c r="T454" s="235" t="s">
        <v>1156</v>
      </c>
      <c r="U454" s="215"/>
      <c r="V454" s="215"/>
      <c r="W454" s="218"/>
      <c r="X454" s="214"/>
      <c r="Y454" s="77">
        <v>1.0</v>
      </c>
      <c r="Z454" s="77"/>
    </row>
    <row r="455">
      <c r="A455" s="145" t="s">
        <v>2165</v>
      </c>
      <c r="B455" s="145" t="s">
        <v>2165</v>
      </c>
      <c r="C455" s="145" t="s">
        <v>2500</v>
      </c>
      <c r="D455" s="75" t="s">
        <v>1544</v>
      </c>
      <c r="E455" s="75" t="s">
        <v>1544</v>
      </c>
      <c r="F455" s="211" t="s">
        <v>2311</v>
      </c>
      <c r="G455" s="145" t="s">
        <v>3055</v>
      </c>
      <c r="H455" s="211" t="s">
        <v>907</v>
      </c>
      <c r="I455" s="145" t="s">
        <v>54</v>
      </c>
      <c r="J455" s="211" t="s">
        <v>1561</v>
      </c>
      <c r="K455" s="75" t="s">
        <v>1544</v>
      </c>
      <c r="L455" s="152" t="b">
        <v>1</v>
      </c>
      <c r="M455" s="152" t="b">
        <v>0</v>
      </c>
      <c r="N455" s="212" t="s">
        <v>3056</v>
      </c>
      <c r="O455" s="213" t="s">
        <v>1554</v>
      </c>
      <c r="P455" s="47" t="b">
        <v>1</v>
      </c>
      <c r="Q455" s="47" t="b">
        <v>0</v>
      </c>
      <c r="R455" s="214"/>
      <c r="S455" s="77">
        <v>0.0</v>
      </c>
      <c r="T455" s="76" t="s">
        <v>1156</v>
      </c>
      <c r="U455" s="78">
        <v>2.0E7</v>
      </c>
      <c r="V455" s="78">
        <v>0.0</v>
      </c>
      <c r="W455" s="216">
        <v>2.0E7</v>
      </c>
      <c r="X455" s="77">
        <v>200000.0</v>
      </c>
      <c r="Y455" s="77">
        <v>200000.0</v>
      </c>
      <c r="Z455" s="77"/>
    </row>
    <row r="456">
      <c r="A456" s="145" t="s">
        <v>373</v>
      </c>
      <c r="B456" s="145" t="s">
        <v>1679</v>
      </c>
      <c r="C456" s="145" t="s">
        <v>1543</v>
      </c>
      <c r="D456" s="75" t="s">
        <v>1544</v>
      </c>
      <c r="E456" s="75" t="s">
        <v>1544</v>
      </c>
      <c r="F456" s="211" t="s">
        <v>1645</v>
      </c>
      <c r="G456" s="145" t="s">
        <v>2562</v>
      </c>
      <c r="H456" s="211" t="s">
        <v>77</v>
      </c>
      <c r="I456" s="145" t="s">
        <v>174</v>
      </c>
      <c r="J456" s="211" t="s">
        <v>1609</v>
      </c>
      <c r="K456" s="75" t="s">
        <v>1544</v>
      </c>
      <c r="L456" s="152" t="b">
        <v>1</v>
      </c>
      <c r="M456" s="152" t="b">
        <v>0</v>
      </c>
      <c r="N456" s="212" t="s">
        <v>3057</v>
      </c>
      <c r="O456" s="213" t="s">
        <v>1554</v>
      </c>
      <c r="P456" s="47" t="b">
        <v>1</v>
      </c>
      <c r="Q456" s="47" t="b">
        <v>0</v>
      </c>
      <c r="R456" s="214"/>
      <c r="S456" s="77">
        <v>0.0</v>
      </c>
      <c r="T456" s="76" t="s">
        <v>1172</v>
      </c>
      <c r="U456" s="78">
        <v>1.758763E7</v>
      </c>
      <c r="V456" s="215"/>
      <c r="W456" s="77">
        <v>1.8E7</v>
      </c>
      <c r="X456" s="77">
        <v>180000.0</v>
      </c>
      <c r="Y456" s="77">
        <v>80000.0</v>
      </c>
      <c r="Z456" s="77"/>
    </row>
    <row r="457">
      <c r="A457" s="145" t="s">
        <v>455</v>
      </c>
      <c r="B457" s="145" t="s">
        <v>1605</v>
      </c>
      <c r="C457" s="145" t="s">
        <v>1543</v>
      </c>
      <c r="D457" s="75" t="s">
        <v>1544</v>
      </c>
      <c r="E457" s="75" t="s">
        <v>1544</v>
      </c>
      <c r="F457" s="211" t="s">
        <v>1596</v>
      </c>
      <c r="G457" s="145" t="s">
        <v>881</v>
      </c>
      <c r="H457" s="211" t="s">
        <v>77</v>
      </c>
      <c r="I457" s="145" t="s">
        <v>329</v>
      </c>
      <c r="J457" s="211" t="s">
        <v>1597</v>
      </c>
      <c r="K457" s="75" t="s">
        <v>1544</v>
      </c>
      <c r="L457" s="152" t="b">
        <v>1</v>
      </c>
      <c r="M457" s="152" t="b">
        <v>0</v>
      </c>
      <c r="N457" s="212" t="s">
        <v>3058</v>
      </c>
      <c r="O457" s="213" t="s">
        <v>1554</v>
      </c>
      <c r="P457" s="47" t="b">
        <v>1</v>
      </c>
      <c r="Q457" s="47" t="b">
        <v>0</v>
      </c>
      <c r="R457" s="214"/>
      <c r="S457" s="77">
        <v>0.0</v>
      </c>
      <c r="T457" s="76" t="s">
        <v>1156</v>
      </c>
      <c r="U457" s="78">
        <v>9401647.0</v>
      </c>
      <c r="V457" s="215"/>
      <c r="W457" s="77">
        <v>1.0E7</v>
      </c>
      <c r="X457" s="77">
        <v>100000.0</v>
      </c>
      <c r="Y457" s="77">
        <v>3000000.0</v>
      </c>
      <c r="Z457" s="77"/>
    </row>
    <row r="458">
      <c r="A458" s="145" t="s">
        <v>2181</v>
      </c>
      <c r="B458" s="145" t="s">
        <v>1542</v>
      </c>
      <c r="C458" s="145" t="s">
        <v>1543</v>
      </c>
      <c r="D458" s="75" t="s">
        <v>1544</v>
      </c>
      <c r="E458" s="75" t="s">
        <v>1544</v>
      </c>
      <c r="F458" s="211" t="s">
        <v>1547</v>
      </c>
      <c r="G458" s="145" t="s">
        <v>2526</v>
      </c>
      <c r="H458" s="211" t="s">
        <v>77</v>
      </c>
      <c r="I458" s="145" t="s">
        <v>340</v>
      </c>
      <c r="J458" s="211" t="s">
        <v>1549</v>
      </c>
      <c r="K458" s="75" t="s">
        <v>1544</v>
      </c>
      <c r="L458" s="152" t="b">
        <v>1</v>
      </c>
      <c r="M458" s="152" t="b">
        <v>0</v>
      </c>
      <c r="N458" s="212" t="s">
        <v>3059</v>
      </c>
      <c r="O458" s="213" t="s">
        <v>1554</v>
      </c>
      <c r="P458" s="47" t="b">
        <v>1</v>
      </c>
      <c r="Q458" s="47" t="b">
        <v>0</v>
      </c>
      <c r="R458" s="214"/>
      <c r="S458" s="77">
        <v>0.0</v>
      </c>
      <c r="T458" s="76" t="s">
        <v>1179</v>
      </c>
      <c r="U458" s="78">
        <v>1.2012589E7</v>
      </c>
      <c r="V458" s="215"/>
      <c r="W458" s="77">
        <v>1.2E7</v>
      </c>
      <c r="X458" s="77">
        <v>120000.0</v>
      </c>
      <c r="Y458" s="77">
        <v>40000.0</v>
      </c>
      <c r="Z458" s="77"/>
    </row>
    <row r="459">
      <c r="A459" s="145" t="s">
        <v>458</v>
      </c>
      <c r="B459" s="145" t="s">
        <v>1636</v>
      </c>
      <c r="C459" s="145" t="s">
        <v>1543</v>
      </c>
      <c r="D459" s="75" t="s">
        <v>1544</v>
      </c>
      <c r="E459" s="75" t="s">
        <v>1544</v>
      </c>
      <c r="F459" s="211" t="s">
        <v>1547</v>
      </c>
      <c r="G459" s="145" t="s">
        <v>3060</v>
      </c>
      <c r="H459" s="211" t="s">
        <v>77</v>
      </c>
      <c r="I459" s="145" t="s">
        <v>413</v>
      </c>
      <c r="J459" s="211" t="s">
        <v>1549</v>
      </c>
      <c r="K459" s="75" t="s">
        <v>1544</v>
      </c>
      <c r="L459" s="152" t="b">
        <v>1</v>
      </c>
      <c r="M459" s="152" t="b">
        <v>0</v>
      </c>
      <c r="N459" s="212" t="s">
        <v>3061</v>
      </c>
      <c r="O459" s="213" t="s">
        <v>1554</v>
      </c>
      <c r="P459" s="47" t="b">
        <v>1</v>
      </c>
      <c r="Q459" s="47" t="b">
        <v>0</v>
      </c>
      <c r="R459" s="214"/>
      <c r="S459" s="77">
        <v>0.0</v>
      </c>
      <c r="T459" s="76" t="s">
        <v>1172</v>
      </c>
      <c r="U459" s="78">
        <v>9809549.0</v>
      </c>
      <c r="V459" s="215"/>
      <c r="W459" s="77">
        <v>1.0E7</v>
      </c>
      <c r="X459" s="77">
        <v>100000.0</v>
      </c>
      <c r="Y459" s="77">
        <v>40000.0</v>
      </c>
      <c r="Z459" s="77"/>
    </row>
    <row r="460">
      <c r="A460" s="145" t="s">
        <v>383</v>
      </c>
      <c r="B460" s="145" t="s">
        <v>1632</v>
      </c>
      <c r="C460" s="145" t="s">
        <v>1543</v>
      </c>
      <c r="D460" s="75" t="s">
        <v>1544</v>
      </c>
      <c r="E460" s="75" t="s">
        <v>1544</v>
      </c>
      <c r="F460" s="211" t="s">
        <v>1547</v>
      </c>
      <c r="G460" s="145" t="s">
        <v>3062</v>
      </c>
      <c r="H460" s="211" t="s">
        <v>77</v>
      </c>
      <c r="I460" s="145" t="s">
        <v>325</v>
      </c>
      <c r="J460" s="211" t="s">
        <v>1549</v>
      </c>
      <c r="K460" s="75" t="s">
        <v>1544</v>
      </c>
      <c r="L460" s="152" t="b">
        <v>1</v>
      </c>
      <c r="M460" s="152" t="b">
        <v>0</v>
      </c>
      <c r="N460" s="212" t="s">
        <v>3063</v>
      </c>
      <c r="O460" s="213" t="s">
        <v>1554</v>
      </c>
      <c r="P460" s="47" t="b">
        <v>1</v>
      </c>
      <c r="Q460" s="47" t="b">
        <v>0</v>
      </c>
      <c r="R460" s="214"/>
      <c r="S460" s="77">
        <v>0.0</v>
      </c>
      <c r="T460" s="76" t="s">
        <v>1172</v>
      </c>
      <c r="U460" s="78">
        <v>1.0581037E7</v>
      </c>
      <c r="V460" s="215"/>
      <c r="W460" s="77">
        <v>1.0E7</v>
      </c>
      <c r="X460" s="77">
        <v>100000.0</v>
      </c>
      <c r="Y460" s="77">
        <v>40000.0</v>
      </c>
      <c r="Z460" s="77"/>
    </row>
    <row r="461">
      <c r="A461" s="145" t="s">
        <v>371</v>
      </c>
      <c r="B461" s="145" t="s">
        <v>1788</v>
      </c>
      <c r="C461" s="145" t="s">
        <v>1543</v>
      </c>
      <c r="D461" s="75" t="s">
        <v>1544</v>
      </c>
      <c r="E461" s="75" t="s">
        <v>1544</v>
      </c>
      <c r="F461" s="211" t="s">
        <v>1645</v>
      </c>
      <c r="G461" s="145" t="s">
        <v>3064</v>
      </c>
      <c r="H461" s="211" t="s">
        <v>907</v>
      </c>
      <c r="I461" s="145" t="s">
        <v>25</v>
      </c>
      <c r="J461" s="211" t="s">
        <v>1609</v>
      </c>
      <c r="K461" s="75" t="s">
        <v>1544</v>
      </c>
      <c r="L461" s="152" t="b">
        <v>1</v>
      </c>
      <c r="M461" s="152" t="b">
        <v>0</v>
      </c>
      <c r="N461" s="212" t="s">
        <v>3065</v>
      </c>
      <c r="O461" s="213" t="s">
        <v>1554</v>
      </c>
      <c r="P461" s="47" t="b">
        <v>1</v>
      </c>
      <c r="Q461" s="47" t="b">
        <v>0</v>
      </c>
      <c r="R461" s="214"/>
      <c r="S461" s="77">
        <v>0.0</v>
      </c>
      <c r="T461" s="76" t="s">
        <v>1172</v>
      </c>
      <c r="U461" s="78">
        <v>2.0102857E7</v>
      </c>
      <c r="V461" s="215"/>
      <c r="W461" s="77">
        <v>2.0E7</v>
      </c>
      <c r="X461" s="77">
        <v>200000.0</v>
      </c>
      <c r="Y461" s="77">
        <v>80000.0</v>
      </c>
      <c r="Z461" s="77"/>
    </row>
    <row r="462">
      <c r="A462" s="145" t="s">
        <v>404</v>
      </c>
      <c r="B462" s="145" t="s">
        <v>1632</v>
      </c>
      <c r="C462" s="145" t="s">
        <v>1543</v>
      </c>
      <c r="D462" s="75" t="s">
        <v>1544</v>
      </c>
      <c r="E462" s="75" t="s">
        <v>1544</v>
      </c>
      <c r="F462" s="211" t="s">
        <v>1547</v>
      </c>
      <c r="G462" s="145" t="s">
        <v>3066</v>
      </c>
      <c r="H462" s="211" t="s">
        <v>77</v>
      </c>
      <c r="I462" s="145" t="s">
        <v>325</v>
      </c>
      <c r="J462" s="211" t="s">
        <v>1549</v>
      </c>
      <c r="K462" s="75" t="s">
        <v>1544</v>
      </c>
      <c r="L462" s="152" t="b">
        <v>1</v>
      </c>
      <c r="M462" s="152" t="b">
        <v>0</v>
      </c>
      <c r="N462" s="212" t="s">
        <v>3067</v>
      </c>
      <c r="O462" s="213" t="s">
        <v>1554</v>
      </c>
      <c r="P462" s="47" t="b">
        <v>1</v>
      </c>
      <c r="Q462" s="47" t="b">
        <v>0</v>
      </c>
      <c r="R462" s="214"/>
      <c r="S462" s="77">
        <v>0.0</v>
      </c>
      <c r="T462" s="76" t="s">
        <v>1172</v>
      </c>
      <c r="U462" s="78">
        <v>1.1796382E7</v>
      </c>
      <c r="V462" s="215"/>
      <c r="W462" s="77">
        <v>1.2E7</v>
      </c>
      <c r="X462" s="77">
        <v>120000.0</v>
      </c>
      <c r="Y462" s="77">
        <v>40000.0</v>
      </c>
      <c r="Z462" s="77"/>
    </row>
    <row r="463">
      <c r="A463" s="145" t="s">
        <v>349</v>
      </c>
      <c r="B463" s="145" t="s">
        <v>1564</v>
      </c>
      <c r="C463" s="145" t="s">
        <v>1543</v>
      </c>
      <c r="D463" s="75" t="s">
        <v>1544</v>
      </c>
      <c r="E463" s="75" t="s">
        <v>1544</v>
      </c>
      <c r="F463" s="211" t="s">
        <v>1637</v>
      </c>
      <c r="G463" s="145" t="s">
        <v>3068</v>
      </c>
      <c r="H463" s="211" t="s">
        <v>77</v>
      </c>
      <c r="I463" s="145" t="s">
        <v>338</v>
      </c>
      <c r="J463" s="211" t="s">
        <v>1639</v>
      </c>
      <c r="K463" s="75" t="s">
        <v>1544</v>
      </c>
      <c r="L463" s="152" t="b">
        <v>1</v>
      </c>
      <c r="M463" s="152" t="b">
        <v>0</v>
      </c>
      <c r="N463" s="212" t="s">
        <v>3069</v>
      </c>
      <c r="O463" s="213" t="s">
        <v>1554</v>
      </c>
      <c r="P463" s="47" t="b">
        <v>1</v>
      </c>
      <c r="Q463" s="47" t="b">
        <v>0</v>
      </c>
      <c r="R463" s="214"/>
      <c r="S463" s="77">
        <v>0.0</v>
      </c>
      <c r="T463" s="76" t="s">
        <v>1172</v>
      </c>
      <c r="U463" s="78">
        <v>1.4113016E7</v>
      </c>
      <c r="V463" s="215"/>
      <c r="W463" s="77">
        <v>1.4E7</v>
      </c>
      <c r="X463" s="77">
        <v>140000.0</v>
      </c>
      <c r="Y463" s="77">
        <v>60000.0</v>
      </c>
      <c r="Z463" s="77"/>
    </row>
    <row r="464">
      <c r="A464" s="145" t="s">
        <v>541</v>
      </c>
      <c r="B464" s="145" t="s">
        <v>1636</v>
      </c>
      <c r="C464" s="145" t="s">
        <v>1543</v>
      </c>
      <c r="D464" s="75" t="s">
        <v>1544</v>
      </c>
      <c r="E464" s="75" t="s">
        <v>1544</v>
      </c>
      <c r="F464" s="211" t="s">
        <v>1547</v>
      </c>
      <c r="G464" s="145" t="s">
        <v>3070</v>
      </c>
      <c r="H464" s="211" t="s">
        <v>77</v>
      </c>
      <c r="I464" s="145" t="s">
        <v>413</v>
      </c>
      <c r="J464" s="211" t="s">
        <v>1549</v>
      </c>
      <c r="K464" s="75" t="s">
        <v>1544</v>
      </c>
      <c r="L464" s="152" t="b">
        <v>1</v>
      </c>
      <c r="M464" s="152" t="b">
        <v>0</v>
      </c>
      <c r="N464" s="212" t="s">
        <v>3071</v>
      </c>
      <c r="O464" s="213" t="s">
        <v>1554</v>
      </c>
      <c r="P464" s="47" t="b">
        <v>1</v>
      </c>
      <c r="Q464" s="47" t="b">
        <v>0</v>
      </c>
      <c r="R464" s="214"/>
      <c r="S464" s="77">
        <v>0.0</v>
      </c>
      <c r="T464" s="76" t="s">
        <v>1172</v>
      </c>
      <c r="U464" s="78">
        <v>1.2162182E7</v>
      </c>
      <c r="V464" s="215"/>
      <c r="W464" s="77">
        <v>1.2E7</v>
      </c>
      <c r="X464" s="216">
        <v>120000.0</v>
      </c>
      <c r="Y464" s="77">
        <v>40000.0</v>
      </c>
      <c r="Z464" s="77"/>
    </row>
    <row r="465">
      <c r="A465" s="145" t="s">
        <v>923</v>
      </c>
      <c r="B465" s="145" t="s">
        <v>1707</v>
      </c>
      <c r="C465" s="145" t="s">
        <v>1543</v>
      </c>
      <c r="D465" s="75" t="s">
        <v>1544</v>
      </c>
      <c r="E465" s="75" t="s">
        <v>1544</v>
      </c>
      <c r="F465" s="211" t="s">
        <v>1602</v>
      </c>
      <c r="G465" s="145" t="s">
        <v>924</v>
      </c>
      <c r="H465" s="211" t="s">
        <v>87</v>
      </c>
      <c r="I465" s="145" t="s">
        <v>267</v>
      </c>
      <c r="J465" s="211" t="s">
        <v>1603</v>
      </c>
      <c r="K465" s="75" t="s">
        <v>1544</v>
      </c>
      <c r="L465" s="152" t="b">
        <v>1</v>
      </c>
      <c r="M465" s="152" t="b">
        <v>0</v>
      </c>
      <c r="N465" s="212" t="s">
        <v>3072</v>
      </c>
      <c r="O465" s="213" t="s">
        <v>1554</v>
      </c>
      <c r="P465" s="47" t="b">
        <v>0</v>
      </c>
      <c r="Q465" s="47" t="b">
        <v>0</v>
      </c>
      <c r="R465" s="214"/>
      <c r="S465" s="77">
        <v>0.0</v>
      </c>
      <c r="T465" s="76" t="s">
        <v>1172</v>
      </c>
      <c r="U465" s="215"/>
      <c r="V465" s="215"/>
      <c r="W465" s="214"/>
      <c r="X465" s="218"/>
      <c r="Y465" s="77">
        <v>1.0</v>
      </c>
      <c r="Z465" s="77"/>
    </row>
    <row r="466">
      <c r="A466" s="145" t="s">
        <v>394</v>
      </c>
      <c r="B466" s="145" t="s">
        <v>1636</v>
      </c>
      <c r="C466" s="145" t="s">
        <v>1543</v>
      </c>
      <c r="D466" s="75" t="s">
        <v>1544</v>
      </c>
      <c r="E466" s="75" t="s">
        <v>1544</v>
      </c>
      <c r="F466" s="211" t="s">
        <v>1575</v>
      </c>
      <c r="G466" s="145" t="s">
        <v>3073</v>
      </c>
      <c r="H466" s="211" t="s">
        <v>77</v>
      </c>
      <c r="I466" s="145" t="s">
        <v>413</v>
      </c>
      <c r="J466" s="211" t="s">
        <v>1577</v>
      </c>
      <c r="K466" s="75" t="s">
        <v>1544</v>
      </c>
      <c r="L466" s="152" t="b">
        <v>1</v>
      </c>
      <c r="M466" s="152" t="b">
        <v>0</v>
      </c>
      <c r="N466" s="212" t="s">
        <v>3074</v>
      </c>
      <c r="O466" s="213" t="s">
        <v>1554</v>
      </c>
      <c r="P466" s="47" t="b">
        <v>1</v>
      </c>
      <c r="Q466" s="47" t="b">
        <v>0</v>
      </c>
      <c r="R466" s="214"/>
      <c r="S466" s="77">
        <v>0.0</v>
      </c>
      <c r="T466" s="76" t="s">
        <v>1172</v>
      </c>
      <c r="U466" s="78">
        <v>6283910.0</v>
      </c>
      <c r="V466" s="215"/>
      <c r="W466" s="77">
        <v>6000000.0</v>
      </c>
      <c r="X466" s="77">
        <v>60000.0</v>
      </c>
      <c r="Y466" s="77">
        <v>20000.0</v>
      </c>
      <c r="Z466" s="77"/>
    </row>
    <row r="467">
      <c r="A467" s="145" t="s">
        <v>536</v>
      </c>
      <c r="B467" s="145" t="s">
        <v>1636</v>
      </c>
      <c r="C467" s="145" t="s">
        <v>1543</v>
      </c>
      <c r="D467" s="75" t="s">
        <v>1544</v>
      </c>
      <c r="E467" s="75" t="s">
        <v>1544</v>
      </c>
      <c r="F467" s="211" t="s">
        <v>1575</v>
      </c>
      <c r="G467" s="145" t="s">
        <v>3075</v>
      </c>
      <c r="H467" s="211" t="s">
        <v>77</v>
      </c>
      <c r="I467" s="145" t="s">
        <v>413</v>
      </c>
      <c r="J467" s="211" t="s">
        <v>1577</v>
      </c>
      <c r="K467" s="75" t="s">
        <v>1544</v>
      </c>
      <c r="L467" s="152" t="b">
        <v>1</v>
      </c>
      <c r="M467" s="152" t="b">
        <v>0</v>
      </c>
      <c r="N467" s="212" t="s">
        <v>3076</v>
      </c>
      <c r="O467" s="213" t="s">
        <v>1554</v>
      </c>
      <c r="P467" s="47" t="b">
        <v>1</v>
      </c>
      <c r="Q467" s="47" t="b">
        <v>0</v>
      </c>
      <c r="R467" s="214"/>
      <c r="S467" s="77">
        <v>0.0</v>
      </c>
      <c r="T467" s="76" t="s">
        <v>1179</v>
      </c>
      <c r="U467" s="78">
        <v>6453961.0</v>
      </c>
      <c r="V467" s="215"/>
      <c r="W467" s="77">
        <v>6000000.0</v>
      </c>
      <c r="X467" s="77">
        <v>60000.0</v>
      </c>
      <c r="Y467" s="77">
        <v>20000.0</v>
      </c>
      <c r="Z467" s="77"/>
    </row>
    <row r="468">
      <c r="A468" s="145" t="s">
        <v>737</v>
      </c>
      <c r="B468" s="145" t="s">
        <v>737</v>
      </c>
      <c r="C468" s="145" t="s">
        <v>2398</v>
      </c>
      <c r="D468" s="75" t="s">
        <v>1544</v>
      </c>
      <c r="E468" s="75" t="s">
        <v>1544</v>
      </c>
      <c r="F468" s="211" t="s">
        <v>1602</v>
      </c>
      <c r="G468" s="145" t="s">
        <v>739</v>
      </c>
      <c r="H468" s="211" t="s">
        <v>87</v>
      </c>
      <c r="I468" s="145" t="s">
        <v>267</v>
      </c>
      <c r="J468" s="211" t="s">
        <v>1603</v>
      </c>
      <c r="K468" s="75" t="s">
        <v>1601</v>
      </c>
      <c r="L468" s="152" t="b">
        <v>1</v>
      </c>
      <c r="M468" s="152" t="b">
        <v>1</v>
      </c>
      <c r="N468" s="217"/>
      <c r="O468" s="213" t="s">
        <v>1554</v>
      </c>
      <c r="P468" s="47" t="b">
        <v>0</v>
      </c>
      <c r="Q468" s="47" t="b">
        <v>0</v>
      </c>
      <c r="R468" s="214"/>
      <c r="S468" s="77">
        <v>0.0</v>
      </c>
      <c r="T468" s="76" t="s">
        <v>1161</v>
      </c>
      <c r="U468" s="215"/>
      <c r="V468" s="215"/>
      <c r="W468" s="214"/>
      <c r="X468" s="214"/>
      <c r="Y468" s="77">
        <v>1.0</v>
      </c>
      <c r="Z468" s="77"/>
    </row>
    <row r="469">
      <c r="A469" s="145" t="s">
        <v>290</v>
      </c>
      <c r="B469" s="145" t="s">
        <v>290</v>
      </c>
      <c r="C469" s="145" t="s">
        <v>2398</v>
      </c>
      <c r="D469" s="75" t="s">
        <v>1601</v>
      </c>
      <c r="E469" s="75" t="s">
        <v>1601</v>
      </c>
      <c r="F469" s="211" t="s">
        <v>3077</v>
      </c>
      <c r="G469" s="145" t="s">
        <v>291</v>
      </c>
      <c r="H469" s="211" t="s">
        <v>3078</v>
      </c>
      <c r="I469" s="145" t="s">
        <v>267</v>
      </c>
      <c r="J469" s="211" t="s">
        <v>3079</v>
      </c>
      <c r="K469" s="75" t="s">
        <v>1601</v>
      </c>
      <c r="L469" s="152" t="b">
        <v>1</v>
      </c>
      <c r="M469" s="152" t="b">
        <v>1</v>
      </c>
      <c r="N469" s="217"/>
      <c r="O469" s="213" t="s">
        <v>1554</v>
      </c>
      <c r="P469" s="47" t="b">
        <v>0</v>
      </c>
      <c r="Q469" s="47" t="b">
        <v>0</v>
      </c>
      <c r="R469" s="214"/>
      <c r="S469" s="77">
        <v>0.0</v>
      </c>
      <c r="T469" s="214"/>
      <c r="U469" s="215"/>
      <c r="V469" s="215"/>
      <c r="W469" s="214"/>
      <c r="X469" s="214"/>
      <c r="Y469" s="77">
        <v>15000.0</v>
      </c>
      <c r="Z469" s="77"/>
    </row>
    <row r="470">
      <c r="A470" s="145" t="s">
        <v>335</v>
      </c>
      <c r="B470" s="145" t="s">
        <v>1585</v>
      </c>
      <c r="C470" s="145" t="s">
        <v>1543</v>
      </c>
      <c r="D470" s="75" t="s">
        <v>1544</v>
      </c>
      <c r="E470" s="75" t="s">
        <v>1544</v>
      </c>
      <c r="F470" s="211" t="s">
        <v>3080</v>
      </c>
      <c r="G470" s="145" t="s">
        <v>837</v>
      </c>
      <c r="H470" s="211" t="s">
        <v>77</v>
      </c>
      <c r="I470" s="145" t="s">
        <v>140</v>
      </c>
      <c r="J470" s="211" t="s">
        <v>1609</v>
      </c>
      <c r="K470" s="75" t="s">
        <v>1544</v>
      </c>
      <c r="L470" s="152" t="b">
        <v>1</v>
      </c>
      <c r="M470" s="152" t="b">
        <v>0</v>
      </c>
      <c r="N470" s="212" t="s">
        <v>3081</v>
      </c>
      <c r="O470" s="213" t="s">
        <v>1554</v>
      </c>
      <c r="P470" s="47" t="b">
        <v>1</v>
      </c>
      <c r="Q470" s="47" t="b">
        <v>0</v>
      </c>
      <c r="R470" s="214"/>
      <c r="S470" s="77">
        <v>0.0</v>
      </c>
      <c r="T470" s="76" t="s">
        <v>1162</v>
      </c>
      <c r="U470" s="78">
        <v>1.4920272E7</v>
      </c>
      <c r="V470" s="215"/>
      <c r="W470" s="77">
        <v>1.4E7</v>
      </c>
      <c r="X470" s="77">
        <v>140000.0</v>
      </c>
      <c r="Y470" s="77">
        <v>163155.0</v>
      </c>
      <c r="Z470" s="77"/>
    </row>
    <row r="471">
      <c r="A471" s="145" t="s">
        <v>548</v>
      </c>
      <c r="B471" s="145" t="s">
        <v>548</v>
      </c>
      <c r="C471" s="145" t="s">
        <v>2296</v>
      </c>
      <c r="D471" s="75" t="s">
        <v>1544</v>
      </c>
      <c r="E471" s="75" t="s">
        <v>1544</v>
      </c>
      <c r="F471" s="211" t="s">
        <v>1602</v>
      </c>
      <c r="G471" s="145" t="s">
        <v>549</v>
      </c>
      <c r="H471" s="211" t="s">
        <v>87</v>
      </c>
      <c r="I471" s="145" t="s">
        <v>267</v>
      </c>
      <c r="J471" s="211" t="s">
        <v>1603</v>
      </c>
      <c r="K471" s="75" t="s">
        <v>1544</v>
      </c>
      <c r="L471" s="152" t="b">
        <v>0</v>
      </c>
      <c r="M471" s="152" t="b">
        <v>0</v>
      </c>
      <c r="N471" s="217"/>
      <c r="O471" s="213" t="s">
        <v>1554</v>
      </c>
      <c r="P471" s="47" t="b">
        <v>0</v>
      </c>
      <c r="Q471" s="47" t="b">
        <v>0</v>
      </c>
      <c r="R471" s="214"/>
      <c r="S471" s="77">
        <v>0.0</v>
      </c>
      <c r="T471" s="76" t="s">
        <v>1179</v>
      </c>
      <c r="U471" s="215"/>
      <c r="V471" s="215"/>
      <c r="W471" s="214"/>
      <c r="X471" s="214"/>
      <c r="Y471" s="77">
        <v>1.0</v>
      </c>
      <c r="Z471" s="77"/>
    </row>
    <row r="472">
      <c r="A472" s="145" t="s">
        <v>445</v>
      </c>
      <c r="B472" s="145" t="s">
        <v>1720</v>
      </c>
      <c r="C472" s="145" t="s">
        <v>1543</v>
      </c>
      <c r="D472" s="75" t="s">
        <v>1544</v>
      </c>
      <c r="E472" s="75" t="s">
        <v>1544</v>
      </c>
      <c r="F472" s="211" t="s">
        <v>1851</v>
      </c>
      <c r="G472" s="145" t="s">
        <v>1309</v>
      </c>
      <c r="H472" s="211" t="s">
        <v>1018</v>
      </c>
      <c r="I472" s="145" t="s">
        <v>83</v>
      </c>
      <c r="J472" s="211" t="s">
        <v>1639</v>
      </c>
      <c r="K472" s="75" t="s">
        <v>1544</v>
      </c>
      <c r="L472" s="152" t="b">
        <v>1</v>
      </c>
      <c r="M472" s="152" t="b">
        <v>0</v>
      </c>
      <c r="N472" s="212" t="s">
        <v>3082</v>
      </c>
      <c r="O472" s="213" t="s">
        <v>1554</v>
      </c>
      <c r="P472" s="47" t="b">
        <v>1</v>
      </c>
      <c r="Q472" s="47" t="b">
        <v>0</v>
      </c>
      <c r="R472" s="214"/>
      <c r="S472" s="77">
        <v>0.0</v>
      </c>
      <c r="T472" s="76" t="s">
        <v>1176</v>
      </c>
      <c r="U472" s="78">
        <v>1.3441689E7</v>
      </c>
      <c r="V472" s="215"/>
      <c r="W472" s="77">
        <v>1.4E7</v>
      </c>
      <c r="X472" s="77">
        <v>112000.0</v>
      </c>
      <c r="Y472" s="77">
        <v>48000.0</v>
      </c>
      <c r="Z472" s="77"/>
    </row>
    <row r="473">
      <c r="A473" s="145" t="s">
        <v>632</v>
      </c>
      <c r="B473" s="145" t="s">
        <v>632</v>
      </c>
      <c r="C473" s="145" t="s">
        <v>2404</v>
      </c>
      <c r="D473" s="75" t="s">
        <v>1544</v>
      </c>
      <c r="E473" s="75" t="s">
        <v>1544</v>
      </c>
      <c r="F473" s="211" t="s">
        <v>1602</v>
      </c>
      <c r="G473" s="145" t="s">
        <v>633</v>
      </c>
      <c r="H473" s="211" t="s">
        <v>87</v>
      </c>
      <c r="I473" s="145" t="s">
        <v>267</v>
      </c>
      <c r="J473" s="211" t="s">
        <v>1603</v>
      </c>
      <c r="K473" s="75" t="s">
        <v>1601</v>
      </c>
      <c r="L473" s="152" t="b">
        <v>1</v>
      </c>
      <c r="M473" s="152" t="b">
        <v>1</v>
      </c>
      <c r="N473" s="212" t="s">
        <v>3083</v>
      </c>
      <c r="O473" s="213" t="s">
        <v>1554</v>
      </c>
      <c r="P473" s="47" t="b">
        <v>0</v>
      </c>
      <c r="Q473" s="47" t="b">
        <v>0</v>
      </c>
      <c r="R473" s="214"/>
      <c r="S473" s="77">
        <v>0.0</v>
      </c>
      <c r="T473" s="76" t="s">
        <v>1161</v>
      </c>
      <c r="U473" s="215"/>
      <c r="V473" s="215"/>
      <c r="W473" s="214"/>
      <c r="X473" s="214"/>
      <c r="Y473" s="77">
        <v>1.0</v>
      </c>
      <c r="Z473" s="77"/>
    </row>
    <row r="474">
      <c r="A474" s="145" t="s">
        <v>307</v>
      </c>
      <c r="B474" s="145" t="s">
        <v>307</v>
      </c>
      <c r="C474" s="145" t="s">
        <v>2524</v>
      </c>
      <c r="D474" s="75" t="s">
        <v>1544</v>
      </c>
      <c r="E474" s="75" t="s">
        <v>1601</v>
      </c>
      <c r="F474" s="211" t="s">
        <v>3084</v>
      </c>
      <c r="G474" s="145" t="s">
        <v>308</v>
      </c>
      <c r="H474" s="211" t="s">
        <v>586</v>
      </c>
      <c r="I474" s="145" t="s">
        <v>585</v>
      </c>
      <c r="J474" s="211" t="s">
        <v>1597</v>
      </c>
      <c r="K474" s="75" t="s">
        <v>1544</v>
      </c>
      <c r="L474" s="152" t="b">
        <v>1</v>
      </c>
      <c r="M474" s="152" t="b">
        <v>0</v>
      </c>
      <c r="N474" s="217"/>
      <c r="O474" s="213" t="s">
        <v>1554</v>
      </c>
      <c r="P474" s="47" t="b">
        <v>0</v>
      </c>
      <c r="Q474" s="47" t="b">
        <v>0</v>
      </c>
      <c r="R474" s="214"/>
      <c r="S474" s="77">
        <v>0.0</v>
      </c>
      <c r="T474" s="214"/>
      <c r="U474" s="215"/>
      <c r="V474" s="215"/>
      <c r="W474" s="214"/>
      <c r="X474" s="214"/>
      <c r="Y474" s="77">
        <v>140000.0</v>
      </c>
      <c r="Z474" s="77"/>
    </row>
    <row r="475">
      <c r="A475" s="145" t="s">
        <v>483</v>
      </c>
      <c r="B475" s="145" t="s">
        <v>1623</v>
      </c>
      <c r="C475" s="145" t="s">
        <v>1543</v>
      </c>
      <c r="D475" s="75" t="s">
        <v>1544</v>
      </c>
      <c r="E475" s="75" t="s">
        <v>1544</v>
      </c>
      <c r="F475" s="211" t="s">
        <v>1547</v>
      </c>
      <c r="G475" s="145" t="s">
        <v>3036</v>
      </c>
      <c r="H475" s="211" t="s">
        <v>77</v>
      </c>
      <c r="I475" s="145" t="s">
        <v>325</v>
      </c>
      <c r="J475" s="211" t="s">
        <v>1549</v>
      </c>
      <c r="K475" s="75" t="s">
        <v>1544</v>
      </c>
      <c r="L475" s="152" t="b">
        <v>1</v>
      </c>
      <c r="M475" s="152" t="b">
        <v>0</v>
      </c>
      <c r="N475" s="212" t="s">
        <v>3085</v>
      </c>
      <c r="O475" s="213" t="s">
        <v>1554</v>
      </c>
      <c r="P475" s="47" t="b">
        <v>1</v>
      </c>
      <c r="Q475" s="47" t="b">
        <v>0</v>
      </c>
      <c r="R475" s="214"/>
      <c r="S475" s="77">
        <v>0.0</v>
      </c>
      <c r="T475" s="76" t="s">
        <v>1172</v>
      </c>
      <c r="U475" s="78">
        <v>1.0204074E7</v>
      </c>
      <c r="V475" s="215"/>
      <c r="W475" s="77">
        <v>1.0E7</v>
      </c>
      <c r="X475" s="77">
        <v>100000.0</v>
      </c>
      <c r="Y475" s="77">
        <v>40000.0</v>
      </c>
      <c r="Z475" s="77"/>
    </row>
    <row r="476">
      <c r="A476" s="145" t="s">
        <v>1368</v>
      </c>
      <c r="B476" s="145" t="s">
        <v>147</v>
      </c>
      <c r="C476" s="145" t="s">
        <v>2288</v>
      </c>
      <c r="D476" s="75" t="s">
        <v>1601</v>
      </c>
      <c r="E476" s="75" t="s">
        <v>1601</v>
      </c>
      <c r="F476" s="211" t="s">
        <v>1796</v>
      </c>
      <c r="G476" s="145" t="s">
        <v>1369</v>
      </c>
      <c r="H476" s="211" t="s">
        <v>1797</v>
      </c>
      <c r="I476" s="145" t="s">
        <v>2487</v>
      </c>
      <c r="J476" s="211" t="s">
        <v>1798</v>
      </c>
      <c r="K476" s="75" t="s">
        <v>1544</v>
      </c>
      <c r="L476" s="152" t="b">
        <v>1</v>
      </c>
      <c r="M476" s="152" t="b">
        <v>0</v>
      </c>
      <c r="N476" s="217"/>
      <c r="O476" s="213" t="s">
        <v>1554</v>
      </c>
      <c r="P476" s="47" t="b">
        <v>0</v>
      </c>
      <c r="Q476" s="47" t="b">
        <v>0</v>
      </c>
      <c r="R476" s="214"/>
      <c r="S476" s="77">
        <v>0.0</v>
      </c>
      <c r="T476" s="214"/>
      <c r="U476" s="215"/>
      <c r="V476" s="215"/>
      <c r="W476" s="214"/>
      <c r="X476" s="214"/>
      <c r="Y476" s="77">
        <v>1000000.0</v>
      </c>
      <c r="Z476" s="77"/>
    </row>
    <row r="477">
      <c r="A477" s="145" t="s">
        <v>201</v>
      </c>
      <c r="B477" s="145" t="s">
        <v>1751</v>
      </c>
      <c r="C477" s="145" t="s">
        <v>1543</v>
      </c>
      <c r="D477" s="75" t="s">
        <v>1544</v>
      </c>
      <c r="E477" s="75" t="s">
        <v>1544</v>
      </c>
      <c r="F477" s="211" t="s">
        <v>1596</v>
      </c>
      <c r="G477" s="145" t="s">
        <v>793</v>
      </c>
      <c r="H477" s="211" t="s">
        <v>1018</v>
      </c>
      <c r="I477" s="145" t="s">
        <v>83</v>
      </c>
      <c r="J477" s="211" t="s">
        <v>1597</v>
      </c>
      <c r="K477" s="75" t="s">
        <v>1544</v>
      </c>
      <c r="L477" s="152" t="b">
        <v>1</v>
      </c>
      <c r="M477" s="152" t="b">
        <v>0</v>
      </c>
      <c r="N477" s="212" t="s">
        <v>3086</v>
      </c>
      <c r="O477" s="213" t="s">
        <v>1554</v>
      </c>
      <c r="P477" s="47" t="b">
        <v>1</v>
      </c>
      <c r="Q477" s="47" t="b">
        <v>0</v>
      </c>
      <c r="R477" s="214"/>
      <c r="S477" s="77">
        <v>0.0</v>
      </c>
      <c r="T477" s="76" t="s">
        <v>1190</v>
      </c>
      <c r="U477" s="78">
        <v>3.3589267E7</v>
      </c>
      <c r="V477" s="215"/>
      <c r="W477" s="77">
        <v>3.4E7</v>
      </c>
      <c r="X477" s="77">
        <v>272000.0</v>
      </c>
      <c r="Y477" s="77">
        <v>3000000.0</v>
      </c>
      <c r="Z477" s="77"/>
    </row>
    <row r="478">
      <c r="A478" s="145" t="s">
        <v>175</v>
      </c>
      <c r="B478" s="145" t="s">
        <v>2300</v>
      </c>
      <c r="C478" s="145" t="s">
        <v>2288</v>
      </c>
      <c r="D478" s="75" t="s">
        <v>1544</v>
      </c>
      <c r="E478" s="75" t="s">
        <v>1544</v>
      </c>
      <c r="F478" s="211" t="s">
        <v>1575</v>
      </c>
      <c r="G478" s="145" t="s">
        <v>176</v>
      </c>
      <c r="H478" s="211" t="s">
        <v>77</v>
      </c>
      <c r="I478" s="145" t="s">
        <v>174</v>
      </c>
      <c r="J478" s="211" t="s">
        <v>1577</v>
      </c>
      <c r="K478" s="75" t="s">
        <v>1544</v>
      </c>
      <c r="L478" s="152" t="b">
        <v>1</v>
      </c>
      <c r="M478" s="152" t="b">
        <v>1</v>
      </c>
      <c r="N478" s="217"/>
      <c r="O478" s="213" t="s">
        <v>1554</v>
      </c>
      <c r="P478" s="47" t="b">
        <v>1</v>
      </c>
      <c r="Q478" s="47" t="b">
        <v>0</v>
      </c>
      <c r="R478" s="214"/>
      <c r="S478" s="77">
        <v>0.0</v>
      </c>
      <c r="T478" s="76" t="s">
        <v>1179</v>
      </c>
      <c r="U478" s="78">
        <v>5105215.0</v>
      </c>
      <c r="V478" s="215"/>
      <c r="W478" s="216">
        <v>6000000.0</v>
      </c>
      <c r="X478" s="77">
        <v>60000.0</v>
      </c>
      <c r="Y478" s="77">
        <v>20000.0</v>
      </c>
      <c r="Z478" s="77"/>
    </row>
    <row r="479">
      <c r="A479" s="145" t="s">
        <v>971</v>
      </c>
      <c r="B479" s="145" t="s">
        <v>971</v>
      </c>
      <c r="C479" s="145" t="s">
        <v>2993</v>
      </c>
      <c r="D479" s="75" t="s">
        <v>1544</v>
      </c>
      <c r="E479" s="75" t="s">
        <v>1544</v>
      </c>
      <c r="F479" s="211" t="s">
        <v>87</v>
      </c>
      <c r="G479" s="145" t="s">
        <v>972</v>
      </c>
      <c r="H479" s="211" t="s">
        <v>87</v>
      </c>
      <c r="I479" s="145" t="s">
        <v>267</v>
      </c>
      <c r="J479" s="211" t="s">
        <v>87</v>
      </c>
      <c r="K479" s="75" t="s">
        <v>1601</v>
      </c>
      <c r="L479" s="152" t="b">
        <v>1</v>
      </c>
      <c r="M479" s="152" t="b">
        <v>1</v>
      </c>
      <c r="N479" s="212" t="s">
        <v>3087</v>
      </c>
      <c r="O479" s="213" t="s">
        <v>1554</v>
      </c>
      <c r="P479" s="47" t="b">
        <v>0</v>
      </c>
      <c r="Q479" s="47" t="b">
        <v>0</v>
      </c>
      <c r="R479" s="214"/>
      <c r="S479" s="77">
        <v>0.0</v>
      </c>
      <c r="T479" s="235" t="s">
        <v>1182</v>
      </c>
      <c r="U479" s="215"/>
      <c r="V479" s="215"/>
      <c r="W479" s="218"/>
      <c r="X479" s="218"/>
      <c r="Y479" s="77">
        <v>0.0</v>
      </c>
      <c r="Z479" s="77"/>
    </row>
    <row r="480">
      <c r="A480" s="145" t="s">
        <v>790</v>
      </c>
      <c r="B480" s="145" t="s">
        <v>790</v>
      </c>
      <c r="C480" s="145" t="s">
        <v>1058</v>
      </c>
      <c r="D480" s="75" t="s">
        <v>1544</v>
      </c>
      <c r="E480" s="75" t="s">
        <v>1544</v>
      </c>
      <c r="F480" s="211" t="s">
        <v>1602</v>
      </c>
      <c r="G480" s="145" t="s">
        <v>791</v>
      </c>
      <c r="H480" s="211" t="s">
        <v>87</v>
      </c>
      <c r="I480" s="145" t="s">
        <v>267</v>
      </c>
      <c r="J480" s="211" t="s">
        <v>1603</v>
      </c>
      <c r="K480" s="75" t="s">
        <v>1544</v>
      </c>
      <c r="L480" s="152" t="b">
        <v>1</v>
      </c>
      <c r="M480" s="152" t="b">
        <v>1</v>
      </c>
      <c r="N480" s="217"/>
      <c r="O480" s="213" t="s">
        <v>1554</v>
      </c>
      <c r="P480" s="47" t="b">
        <v>0</v>
      </c>
      <c r="Q480" s="47" t="b">
        <v>0</v>
      </c>
      <c r="R480" s="214"/>
      <c r="S480" s="77">
        <v>0.0</v>
      </c>
      <c r="T480" s="235" t="s">
        <v>1161</v>
      </c>
      <c r="U480" s="215"/>
      <c r="V480" s="215"/>
      <c r="W480" s="218"/>
      <c r="X480" s="214"/>
      <c r="Y480" s="77">
        <v>1.0</v>
      </c>
      <c r="Z480" s="77"/>
    </row>
    <row r="481">
      <c r="A481" s="145" t="s">
        <v>2298</v>
      </c>
      <c r="B481" s="145" t="s">
        <v>2298</v>
      </c>
      <c r="C481" s="145" t="s">
        <v>317</v>
      </c>
      <c r="D481" s="75" t="s">
        <v>1544</v>
      </c>
      <c r="E481" s="75" t="s">
        <v>1601</v>
      </c>
      <c r="F481" s="211" t="s">
        <v>87</v>
      </c>
      <c r="G481" s="145" t="s">
        <v>2299</v>
      </c>
      <c r="H481" s="211" t="s">
        <v>87</v>
      </c>
      <c r="I481" s="145" t="s">
        <v>267</v>
      </c>
      <c r="J481" s="211" t="s">
        <v>1603</v>
      </c>
      <c r="K481" s="75" t="s">
        <v>1544</v>
      </c>
      <c r="L481" s="152" t="b">
        <v>1</v>
      </c>
      <c r="M481" s="152" t="b">
        <v>0</v>
      </c>
      <c r="N481" s="217"/>
      <c r="O481" s="213" t="s">
        <v>1554</v>
      </c>
      <c r="P481" s="47" t="b">
        <v>0</v>
      </c>
      <c r="Q481" s="47" t="b">
        <v>0</v>
      </c>
      <c r="R481" s="214"/>
      <c r="S481" s="77">
        <v>0.0</v>
      </c>
      <c r="T481" s="214"/>
      <c r="U481" s="215"/>
      <c r="V481" s="215"/>
      <c r="W481" s="214"/>
      <c r="X481" s="218"/>
      <c r="Y481" s="77">
        <v>0.0</v>
      </c>
      <c r="Z481" s="77"/>
    </row>
    <row r="482">
      <c r="A482" s="145" t="s">
        <v>530</v>
      </c>
      <c r="B482" s="145" t="s">
        <v>2300</v>
      </c>
      <c r="C482" s="145" t="s">
        <v>2288</v>
      </c>
      <c r="D482" s="75" t="s">
        <v>1544</v>
      </c>
      <c r="E482" s="75" t="s">
        <v>1544</v>
      </c>
      <c r="F482" s="211" t="s">
        <v>1575</v>
      </c>
      <c r="G482" s="145" t="s">
        <v>2612</v>
      </c>
      <c r="H482" s="211" t="s">
        <v>77</v>
      </c>
      <c r="I482" s="145" t="s">
        <v>174</v>
      </c>
      <c r="J482" s="211" t="s">
        <v>1577</v>
      </c>
      <c r="K482" s="75" t="s">
        <v>1544</v>
      </c>
      <c r="L482" s="152" t="b">
        <v>1</v>
      </c>
      <c r="M482" s="152" t="b">
        <v>0</v>
      </c>
      <c r="N482" s="217"/>
      <c r="O482" s="213" t="s">
        <v>1554</v>
      </c>
      <c r="P482" s="47" t="b">
        <v>1</v>
      </c>
      <c r="Q482" s="47" t="b">
        <v>0</v>
      </c>
      <c r="R482" s="214"/>
      <c r="S482" s="77">
        <v>0.0</v>
      </c>
      <c r="T482" s="76" t="s">
        <v>1179</v>
      </c>
      <c r="U482" s="78">
        <v>6436696.0</v>
      </c>
      <c r="V482" s="215"/>
      <c r="W482" s="77">
        <v>6000000.0</v>
      </c>
      <c r="X482" s="216">
        <v>60000.0</v>
      </c>
      <c r="Y482" s="77">
        <v>20000.0</v>
      </c>
      <c r="Z482" s="77"/>
    </row>
    <row r="483">
      <c r="A483" s="145" t="s">
        <v>709</v>
      </c>
      <c r="B483" s="145" t="s">
        <v>158</v>
      </c>
      <c r="C483" s="145" t="s">
        <v>2288</v>
      </c>
      <c r="D483" s="75" t="s">
        <v>1544</v>
      </c>
      <c r="E483" s="75" t="s">
        <v>1544</v>
      </c>
      <c r="F483" s="211" t="s">
        <v>1557</v>
      </c>
      <c r="G483" s="145" t="s">
        <v>3088</v>
      </c>
      <c r="H483" s="211" t="s">
        <v>625</v>
      </c>
      <c r="I483" s="145" t="s">
        <v>624</v>
      </c>
      <c r="J483" s="211" t="s">
        <v>1561</v>
      </c>
      <c r="K483" s="75" t="s">
        <v>1544</v>
      </c>
      <c r="L483" s="152" t="b">
        <v>1</v>
      </c>
      <c r="M483" s="152" t="b">
        <v>0</v>
      </c>
      <c r="N483" s="217"/>
      <c r="O483" s="213" t="s">
        <v>1554</v>
      </c>
      <c r="P483" s="47" t="b">
        <v>1</v>
      </c>
      <c r="Q483" s="47" t="b">
        <v>0</v>
      </c>
      <c r="R483" s="214"/>
      <c r="S483" s="77">
        <v>0.0</v>
      </c>
      <c r="T483" s="76" t="s">
        <v>1196</v>
      </c>
      <c r="U483" s="78">
        <v>2.3757215E7</v>
      </c>
      <c r="V483" s="215"/>
      <c r="W483" s="77">
        <v>2.4E7</v>
      </c>
      <c r="X483" s="216">
        <v>2.4E9</v>
      </c>
      <c r="Y483" s="216">
        <v>6000000.0</v>
      </c>
      <c r="Z483" s="77"/>
    </row>
    <row r="484">
      <c r="A484" s="145" t="s">
        <v>315</v>
      </c>
      <c r="B484" s="145" t="s">
        <v>315</v>
      </c>
      <c r="C484" s="145" t="s">
        <v>317</v>
      </c>
      <c r="D484" s="75" t="s">
        <v>1544</v>
      </c>
      <c r="E484" s="75" t="s">
        <v>1601</v>
      </c>
      <c r="F484" s="211" t="s">
        <v>87</v>
      </c>
      <c r="G484" s="145" t="s">
        <v>316</v>
      </c>
      <c r="H484" s="211" t="s">
        <v>87</v>
      </c>
      <c r="I484" s="145" t="s">
        <v>267</v>
      </c>
      <c r="J484" s="211" t="s">
        <v>1603</v>
      </c>
      <c r="K484" s="75" t="s">
        <v>1544</v>
      </c>
      <c r="L484" s="152" t="b">
        <v>1</v>
      </c>
      <c r="M484" s="152" t="b">
        <v>0</v>
      </c>
      <c r="N484" s="217"/>
      <c r="O484" s="213" t="s">
        <v>1554</v>
      </c>
      <c r="P484" s="47" t="b">
        <v>0</v>
      </c>
      <c r="Q484" s="47" t="b">
        <v>0</v>
      </c>
      <c r="R484" s="214"/>
      <c r="S484" s="77">
        <v>0.0</v>
      </c>
      <c r="T484" s="214"/>
      <c r="U484" s="215"/>
      <c r="V484" s="215"/>
      <c r="W484" s="214"/>
      <c r="X484" s="218"/>
      <c r="Y484" s="77">
        <v>0.0</v>
      </c>
      <c r="Z484" s="77"/>
    </row>
    <row r="485">
      <c r="A485" s="145" t="s">
        <v>3089</v>
      </c>
      <c r="B485" s="145" t="s">
        <v>3089</v>
      </c>
      <c r="C485" s="145" t="s">
        <v>1058</v>
      </c>
      <c r="D485" s="75" t="s">
        <v>1544</v>
      </c>
      <c r="E485" s="75" t="s">
        <v>1601</v>
      </c>
      <c r="F485" s="211" t="s">
        <v>3090</v>
      </c>
      <c r="G485" s="145" t="s">
        <v>3091</v>
      </c>
      <c r="H485" s="211" t="s">
        <v>907</v>
      </c>
      <c r="I485" s="145" t="s">
        <v>267</v>
      </c>
      <c r="J485" s="211" t="s">
        <v>3092</v>
      </c>
      <c r="K485" s="75" t="s">
        <v>1544</v>
      </c>
      <c r="L485" s="152" t="b">
        <v>1</v>
      </c>
      <c r="M485" s="152" t="b">
        <v>1</v>
      </c>
      <c r="N485" s="217"/>
      <c r="O485" s="213" t="s">
        <v>1554</v>
      </c>
      <c r="P485" s="47" t="b">
        <v>0</v>
      </c>
      <c r="Q485" s="47" t="b">
        <v>0</v>
      </c>
      <c r="R485" s="214"/>
      <c r="S485" s="77">
        <v>0.0</v>
      </c>
      <c r="T485" s="214"/>
      <c r="U485" s="215"/>
      <c r="V485" s="215"/>
      <c r="W485" s="214"/>
      <c r="X485" s="214"/>
      <c r="Y485" s="77">
        <v>600000.0</v>
      </c>
      <c r="Z485" s="77"/>
    </row>
    <row r="486">
      <c r="A486" s="145" t="s">
        <v>526</v>
      </c>
      <c r="B486" s="145" t="s">
        <v>1585</v>
      </c>
      <c r="C486" s="145" t="s">
        <v>1543</v>
      </c>
      <c r="D486" s="75" t="s">
        <v>1544</v>
      </c>
      <c r="E486" s="75" t="s">
        <v>1544</v>
      </c>
      <c r="F486" s="211" t="s">
        <v>1765</v>
      </c>
      <c r="G486" s="145" t="s">
        <v>803</v>
      </c>
      <c r="H486" s="211" t="s">
        <v>77</v>
      </c>
      <c r="I486" s="145" t="s">
        <v>140</v>
      </c>
      <c r="J486" s="211" t="s">
        <v>1639</v>
      </c>
      <c r="K486" s="75" t="s">
        <v>1544</v>
      </c>
      <c r="L486" s="152" t="b">
        <v>1</v>
      </c>
      <c r="M486" s="152" t="b">
        <v>0</v>
      </c>
      <c r="N486" s="212" t="s">
        <v>3093</v>
      </c>
      <c r="O486" s="213" t="s">
        <v>1554</v>
      </c>
      <c r="P486" s="47" t="b">
        <v>1</v>
      </c>
      <c r="Q486" s="47" t="b">
        <v>0</v>
      </c>
      <c r="R486" s="214"/>
      <c r="S486" s="77">
        <v>0.0</v>
      </c>
      <c r="T486" s="76" t="s">
        <v>1156</v>
      </c>
      <c r="U486" s="78">
        <v>6731682.0</v>
      </c>
      <c r="V486" s="215"/>
      <c r="W486" s="77">
        <v>6000000.0</v>
      </c>
      <c r="X486" s="77">
        <v>60000.0</v>
      </c>
      <c r="Y486" s="77">
        <v>1800000.0</v>
      </c>
      <c r="Z486" s="77"/>
    </row>
    <row r="487">
      <c r="A487" s="145" t="s">
        <v>563</v>
      </c>
      <c r="B487" s="145" t="s">
        <v>563</v>
      </c>
      <c r="C487" s="145" t="s">
        <v>3094</v>
      </c>
      <c r="D487" s="75" t="s">
        <v>1544</v>
      </c>
      <c r="E487" s="75" t="s">
        <v>1544</v>
      </c>
      <c r="F487" s="211" t="s">
        <v>2493</v>
      </c>
      <c r="G487" s="145" t="s">
        <v>3095</v>
      </c>
      <c r="H487" s="211" t="s">
        <v>77</v>
      </c>
      <c r="I487" s="145" t="s">
        <v>140</v>
      </c>
      <c r="J487" s="211" t="s">
        <v>2347</v>
      </c>
      <c r="K487" s="75" t="s">
        <v>1544</v>
      </c>
      <c r="L487" s="152" t="b">
        <v>1</v>
      </c>
      <c r="M487" s="152" t="b">
        <v>1</v>
      </c>
      <c r="N487" s="212" t="s">
        <v>3096</v>
      </c>
      <c r="O487" s="213" t="s">
        <v>1554</v>
      </c>
      <c r="P487" s="47" t="b">
        <v>1</v>
      </c>
      <c r="Q487" s="47" t="b">
        <v>0</v>
      </c>
      <c r="R487" s="214"/>
      <c r="S487" s="77">
        <v>0.0</v>
      </c>
      <c r="T487" s="76" t="s">
        <v>1162</v>
      </c>
      <c r="U487" s="78">
        <v>4.0E7</v>
      </c>
      <c r="V487" s="78">
        <v>0.0</v>
      </c>
      <c r="W487" s="77">
        <v>4.0E7</v>
      </c>
      <c r="X487" s="77">
        <v>400000.0</v>
      </c>
      <c r="Y487" s="77">
        <v>240000.0</v>
      </c>
      <c r="Z487" s="77"/>
    </row>
    <row r="488">
      <c r="A488" s="145" t="s">
        <v>473</v>
      </c>
      <c r="B488" s="145" t="s">
        <v>1632</v>
      </c>
      <c r="C488" s="145" t="s">
        <v>1543</v>
      </c>
      <c r="D488" s="75" t="s">
        <v>1544</v>
      </c>
      <c r="E488" s="75" t="s">
        <v>1544</v>
      </c>
      <c r="F488" s="211" t="s">
        <v>1547</v>
      </c>
      <c r="G488" s="145" t="s">
        <v>3097</v>
      </c>
      <c r="H488" s="211" t="s">
        <v>77</v>
      </c>
      <c r="I488" s="145" t="s">
        <v>325</v>
      </c>
      <c r="J488" s="211" t="s">
        <v>1549</v>
      </c>
      <c r="K488" s="75" t="s">
        <v>1544</v>
      </c>
      <c r="L488" s="152" t="b">
        <v>1</v>
      </c>
      <c r="M488" s="152" t="b">
        <v>0</v>
      </c>
      <c r="N488" s="212" t="s">
        <v>3098</v>
      </c>
      <c r="O488" s="213" t="s">
        <v>1554</v>
      </c>
      <c r="P488" s="47" t="b">
        <v>1</v>
      </c>
      <c r="Q488" s="47" t="b">
        <v>0</v>
      </c>
      <c r="R488" s="214"/>
      <c r="S488" s="77">
        <v>0.0</v>
      </c>
      <c r="T488" s="76" t="s">
        <v>1176</v>
      </c>
      <c r="U488" s="78">
        <v>1.2202424E7</v>
      </c>
      <c r="V488" s="215"/>
      <c r="W488" s="216">
        <v>1.2E7</v>
      </c>
      <c r="X488" s="77">
        <v>120000.0</v>
      </c>
      <c r="Y488" s="77">
        <v>40000.0</v>
      </c>
      <c r="Z488" s="77"/>
    </row>
    <row r="489">
      <c r="A489" s="145" t="s">
        <v>2222</v>
      </c>
      <c r="B489" s="145" t="s">
        <v>2222</v>
      </c>
      <c r="C489" s="145" t="s">
        <v>317</v>
      </c>
      <c r="D489" s="75" t="s">
        <v>1601</v>
      </c>
      <c r="E489" s="75" t="s">
        <v>1601</v>
      </c>
      <c r="F489" s="211" t="s">
        <v>1690</v>
      </c>
      <c r="G489" s="145" t="s">
        <v>2285</v>
      </c>
      <c r="H489" s="211" t="s">
        <v>907</v>
      </c>
      <c r="I489" s="145" t="s">
        <v>674</v>
      </c>
      <c r="J489" s="211" t="s">
        <v>1597</v>
      </c>
      <c r="K489" s="75" t="s">
        <v>1544</v>
      </c>
      <c r="L489" s="152" t="b">
        <v>1</v>
      </c>
      <c r="M489" s="152" t="b">
        <v>0</v>
      </c>
      <c r="N489" s="217"/>
      <c r="O489" s="213" t="s">
        <v>1554</v>
      </c>
      <c r="P489" s="47" t="b">
        <v>0</v>
      </c>
      <c r="Q489" s="47" t="b">
        <v>0</v>
      </c>
      <c r="R489" s="214"/>
      <c r="S489" s="77">
        <v>0.0</v>
      </c>
      <c r="T489" s="214"/>
      <c r="U489" s="215"/>
      <c r="V489" s="215"/>
      <c r="W489" s="214"/>
      <c r="X489" s="218"/>
      <c r="Y489" s="77">
        <v>100000.0</v>
      </c>
      <c r="Z489" s="77"/>
    </row>
    <row r="490">
      <c r="A490" s="145" t="s">
        <v>2225</v>
      </c>
      <c r="B490" s="145" t="s">
        <v>2225</v>
      </c>
      <c r="C490" s="145" t="s">
        <v>1058</v>
      </c>
      <c r="D490" s="75" t="s">
        <v>1601</v>
      </c>
      <c r="E490" s="75" t="s">
        <v>1601</v>
      </c>
      <c r="F490" s="211" t="s">
        <v>3099</v>
      </c>
      <c r="G490" s="145" t="s">
        <v>284</v>
      </c>
      <c r="H490" s="211" t="s">
        <v>320</v>
      </c>
      <c r="I490" s="145" t="s">
        <v>340</v>
      </c>
      <c r="J490" s="211" t="s">
        <v>3100</v>
      </c>
      <c r="K490" s="75" t="s">
        <v>1544</v>
      </c>
      <c r="L490" s="152" t="b">
        <v>1</v>
      </c>
      <c r="M490" s="152" t="b">
        <v>1</v>
      </c>
      <c r="N490" s="217"/>
      <c r="O490" s="213" t="s">
        <v>1554</v>
      </c>
      <c r="P490" s="47" t="b">
        <v>0</v>
      </c>
      <c r="Q490" s="47" t="b">
        <v>0</v>
      </c>
      <c r="R490" s="214"/>
      <c r="S490" s="77">
        <v>0.0</v>
      </c>
      <c r="T490" s="214"/>
      <c r="U490" s="215"/>
      <c r="V490" s="215"/>
      <c r="W490" s="214"/>
      <c r="X490" s="218"/>
      <c r="Y490" s="77">
        <v>2040000.0</v>
      </c>
      <c r="Z490" s="77"/>
    </row>
    <row r="491">
      <c r="A491" s="145" t="s">
        <v>564</v>
      </c>
      <c r="B491" s="145" t="s">
        <v>147</v>
      </c>
      <c r="C491" s="145" t="s">
        <v>2288</v>
      </c>
      <c r="D491" s="75" t="s">
        <v>1544</v>
      </c>
      <c r="E491" s="75" t="s">
        <v>1544</v>
      </c>
      <c r="F491" s="211" t="s">
        <v>1690</v>
      </c>
      <c r="G491" s="145" t="s">
        <v>1080</v>
      </c>
      <c r="H491" s="211" t="s">
        <v>586</v>
      </c>
      <c r="I491" s="145" t="s">
        <v>585</v>
      </c>
      <c r="J491" s="211" t="s">
        <v>1597</v>
      </c>
      <c r="K491" s="75" t="s">
        <v>1544</v>
      </c>
      <c r="L491" s="152" t="b">
        <v>1</v>
      </c>
      <c r="M491" s="152" t="b">
        <v>0</v>
      </c>
      <c r="N491" s="217"/>
      <c r="O491" s="213" t="s">
        <v>1554</v>
      </c>
      <c r="P491" s="47" t="b">
        <v>1</v>
      </c>
      <c r="Q491" s="47" t="b">
        <v>0</v>
      </c>
      <c r="R491" s="214"/>
      <c r="S491" s="77">
        <v>0.0</v>
      </c>
      <c r="T491" s="76" t="s">
        <v>1179</v>
      </c>
      <c r="U491" s="78">
        <v>2.6143908E7</v>
      </c>
      <c r="V491" s="215"/>
      <c r="W491" s="77">
        <v>2.6E7</v>
      </c>
      <c r="X491" s="216">
        <v>182000.0</v>
      </c>
      <c r="Y491" s="77">
        <v>100000.0</v>
      </c>
      <c r="Z491" s="77"/>
    </row>
    <row r="492">
      <c r="A492" s="145" t="s">
        <v>321</v>
      </c>
      <c r="B492" s="145" t="s">
        <v>1585</v>
      </c>
      <c r="C492" s="145" t="s">
        <v>1543</v>
      </c>
      <c r="D492" s="75" t="s">
        <v>1544</v>
      </c>
      <c r="E492" s="75" t="s">
        <v>1544</v>
      </c>
      <c r="F492" s="211" t="s">
        <v>1765</v>
      </c>
      <c r="G492" s="145" t="s">
        <v>802</v>
      </c>
      <c r="H492" s="211" t="s">
        <v>77</v>
      </c>
      <c r="I492" s="145" t="s">
        <v>140</v>
      </c>
      <c r="J492" s="211" t="s">
        <v>1639</v>
      </c>
      <c r="K492" s="75" t="s">
        <v>1544</v>
      </c>
      <c r="L492" s="152" t="b">
        <v>1</v>
      </c>
      <c r="M492" s="152" t="b">
        <v>0</v>
      </c>
      <c r="N492" s="212" t="s">
        <v>3101</v>
      </c>
      <c r="O492" s="213" t="s">
        <v>1554</v>
      </c>
      <c r="P492" s="47" t="b">
        <v>1</v>
      </c>
      <c r="Q492" s="47" t="b">
        <v>0</v>
      </c>
      <c r="R492" s="214"/>
      <c r="S492" s="77">
        <v>0.0</v>
      </c>
      <c r="T492" s="76" t="s">
        <v>1156</v>
      </c>
      <c r="U492" s="78">
        <v>6895543.0</v>
      </c>
      <c r="V492" s="215"/>
      <c r="W492" s="216">
        <v>6000000.0</v>
      </c>
      <c r="X492" s="216">
        <v>60000.0</v>
      </c>
      <c r="Y492" s="77">
        <v>1800000.0</v>
      </c>
      <c r="Z492" s="77"/>
    </row>
    <row r="493">
      <c r="A493" s="145" t="s">
        <v>2252</v>
      </c>
      <c r="B493" s="145" t="s">
        <v>2287</v>
      </c>
      <c r="C493" s="145" t="s">
        <v>2288</v>
      </c>
      <c r="D493" s="75" t="s">
        <v>1544</v>
      </c>
      <c r="E493" s="75" t="s">
        <v>1544</v>
      </c>
      <c r="F493" s="211" t="s">
        <v>2375</v>
      </c>
      <c r="G493" s="145" t="s">
        <v>3102</v>
      </c>
      <c r="H493" s="211" t="s">
        <v>1018</v>
      </c>
      <c r="I493" s="145" t="s">
        <v>92</v>
      </c>
      <c r="J493" s="211" t="s">
        <v>2377</v>
      </c>
      <c r="K493" s="75" t="s">
        <v>1544</v>
      </c>
      <c r="L493" s="152" t="b">
        <v>1</v>
      </c>
      <c r="M493" s="152" t="b">
        <v>0</v>
      </c>
      <c r="N493" s="217"/>
      <c r="O493" s="213" t="s">
        <v>1554</v>
      </c>
      <c r="P493" s="47" t="b">
        <v>1</v>
      </c>
      <c r="Q493" s="47" t="b">
        <v>0</v>
      </c>
      <c r="R493" s="214"/>
      <c r="S493" s="77">
        <v>0.0</v>
      </c>
      <c r="T493" s="76" t="s">
        <v>1179</v>
      </c>
      <c r="U493" s="78">
        <v>9.8585679E7</v>
      </c>
      <c r="V493" s="215"/>
      <c r="W493" s="77">
        <v>9.8E7</v>
      </c>
      <c r="X493" s="216">
        <v>784000.0</v>
      </c>
      <c r="Y493" s="77">
        <v>320000.0</v>
      </c>
      <c r="Z493" s="77"/>
    </row>
    <row r="494">
      <c r="A494" s="145" t="s">
        <v>1101</v>
      </c>
      <c r="B494" s="145" t="s">
        <v>230</v>
      </c>
      <c r="C494" s="145" t="s">
        <v>2288</v>
      </c>
      <c r="D494" s="75" t="s">
        <v>1544</v>
      </c>
      <c r="E494" s="75" t="s">
        <v>1544</v>
      </c>
      <c r="F494" s="211" t="s">
        <v>2864</v>
      </c>
      <c r="G494" s="145" t="s">
        <v>1102</v>
      </c>
      <c r="H494" s="211" t="s">
        <v>77</v>
      </c>
      <c r="I494" s="145" t="s">
        <v>218</v>
      </c>
      <c r="J494" s="211" t="s">
        <v>1958</v>
      </c>
      <c r="K494" s="75" t="s">
        <v>1544</v>
      </c>
      <c r="L494" s="152" t="b">
        <v>1</v>
      </c>
      <c r="M494" s="152" t="b">
        <v>0</v>
      </c>
      <c r="N494" s="217"/>
      <c r="O494" s="213" t="s">
        <v>1554</v>
      </c>
      <c r="P494" s="47" t="b">
        <v>1</v>
      </c>
      <c r="Q494" s="47" t="b">
        <v>0</v>
      </c>
      <c r="R494" s="214"/>
      <c r="S494" s="77">
        <v>0.0</v>
      </c>
      <c r="T494" s="76" t="s">
        <v>1179</v>
      </c>
      <c r="U494" s="78">
        <v>3.7838368E7</v>
      </c>
      <c r="V494" s="215"/>
      <c r="W494" s="77">
        <v>3.8E7</v>
      </c>
      <c r="X494" s="216">
        <v>380000.0</v>
      </c>
      <c r="Y494" s="77">
        <v>160000.0</v>
      </c>
      <c r="Z494" s="77"/>
    </row>
    <row r="495">
      <c r="A495" s="145" t="s">
        <v>629</v>
      </c>
      <c r="B495" s="145" t="s">
        <v>158</v>
      </c>
      <c r="C495" s="145" t="s">
        <v>2288</v>
      </c>
      <c r="D495" s="75" t="s">
        <v>1544</v>
      </c>
      <c r="E495" s="75" t="s">
        <v>1544</v>
      </c>
      <c r="F495" s="211" t="s">
        <v>1557</v>
      </c>
      <c r="G495" s="145" t="s">
        <v>3103</v>
      </c>
      <c r="H495" s="211" t="s">
        <v>625</v>
      </c>
      <c r="I495" s="145" t="s">
        <v>624</v>
      </c>
      <c r="J495" s="211" t="s">
        <v>1561</v>
      </c>
      <c r="K495" s="75" t="s">
        <v>1544</v>
      </c>
      <c r="L495" s="152" t="b">
        <v>1</v>
      </c>
      <c r="M495" s="152" t="b">
        <v>0</v>
      </c>
      <c r="N495" s="217"/>
      <c r="O495" s="213" t="s">
        <v>1554</v>
      </c>
      <c r="P495" s="47" t="b">
        <v>1</v>
      </c>
      <c r="Q495" s="47" t="b">
        <v>0</v>
      </c>
      <c r="R495" s="214"/>
      <c r="S495" s="77">
        <v>0.0</v>
      </c>
      <c r="T495" s="76" t="s">
        <v>1179</v>
      </c>
      <c r="U495" s="78">
        <v>2.982505E7</v>
      </c>
      <c r="V495" s="215"/>
      <c r="W495" s="216">
        <v>3.0E7</v>
      </c>
      <c r="X495" s="216">
        <v>3.0E9</v>
      </c>
      <c r="Y495" s="216">
        <v>6000000.0</v>
      </c>
      <c r="Z495" s="77"/>
    </row>
    <row r="496">
      <c r="A496" s="145" t="s">
        <v>493</v>
      </c>
      <c r="B496" s="145" t="s">
        <v>1574</v>
      </c>
      <c r="C496" s="145" t="s">
        <v>1543</v>
      </c>
      <c r="D496" s="75" t="s">
        <v>1544</v>
      </c>
      <c r="E496" s="75" t="s">
        <v>1544</v>
      </c>
      <c r="F496" s="211" t="s">
        <v>1547</v>
      </c>
      <c r="G496" s="145" t="s">
        <v>3104</v>
      </c>
      <c r="H496" s="211" t="s">
        <v>77</v>
      </c>
      <c r="I496" s="145" t="s">
        <v>413</v>
      </c>
      <c r="J496" s="211" t="s">
        <v>1549</v>
      </c>
      <c r="K496" s="75" t="s">
        <v>1544</v>
      </c>
      <c r="L496" s="152" t="b">
        <v>1</v>
      </c>
      <c r="M496" s="152" t="b">
        <v>0</v>
      </c>
      <c r="N496" s="212" t="s">
        <v>3105</v>
      </c>
      <c r="O496" s="213" t="s">
        <v>1554</v>
      </c>
      <c r="P496" s="47" t="b">
        <v>1</v>
      </c>
      <c r="Q496" s="47" t="b">
        <v>0</v>
      </c>
      <c r="R496" s="214"/>
      <c r="S496" s="77">
        <v>0.0</v>
      </c>
      <c r="T496" s="76" t="s">
        <v>1179</v>
      </c>
      <c r="U496" s="78">
        <v>1.0292307E7</v>
      </c>
      <c r="V496" s="215"/>
      <c r="W496" s="77">
        <v>1.0E7</v>
      </c>
      <c r="X496" s="216">
        <v>100000.0</v>
      </c>
      <c r="Y496" s="77">
        <v>40000.0</v>
      </c>
      <c r="Z496" s="77"/>
    </row>
    <row r="497">
      <c r="A497" s="145" t="s">
        <v>427</v>
      </c>
      <c r="B497" s="145" t="s">
        <v>1574</v>
      </c>
      <c r="C497" s="145" t="s">
        <v>1543</v>
      </c>
      <c r="D497" s="75" t="s">
        <v>1544</v>
      </c>
      <c r="E497" s="75" t="s">
        <v>1544</v>
      </c>
      <c r="F497" s="211" t="s">
        <v>1547</v>
      </c>
      <c r="G497" s="145" t="s">
        <v>3106</v>
      </c>
      <c r="H497" s="211" t="s">
        <v>77</v>
      </c>
      <c r="I497" s="145" t="s">
        <v>413</v>
      </c>
      <c r="J497" s="211" t="s">
        <v>1549</v>
      </c>
      <c r="K497" s="75" t="s">
        <v>1544</v>
      </c>
      <c r="L497" s="152" t="b">
        <v>1</v>
      </c>
      <c r="M497" s="152" t="b">
        <v>0</v>
      </c>
      <c r="N497" s="212" t="s">
        <v>3107</v>
      </c>
      <c r="O497" s="213" t="s">
        <v>1554</v>
      </c>
      <c r="P497" s="47" t="b">
        <v>1</v>
      </c>
      <c r="Q497" s="47" t="b">
        <v>0</v>
      </c>
      <c r="R497" s="214"/>
      <c r="S497" s="77">
        <v>0.0</v>
      </c>
      <c r="T497" s="76" t="s">
        <v>1179</v>
      </c>
      <c r="U497" s="78">
        <v>1.1622185E7</v>
      </c>
      <c r="V497" s="215"/>
      <c r="W497" s="216">
        <v>1.2E7</v>
      </c>
      <c r="X497" s="216">
        <v>120000.0</v>
      </c>
      <c r="Y497" s="77">
        <v>40000.0</v>
      </c>
      <c r="Z497" s="77"/>
    </row>
    <row r="498">
      <c r="A498" s="145" t="s">
        <v>2239</v>
      </c>
      <c r="B498" s="145" t="s">
        <v>1788</v>
      </c>
      <c r="C498" s="145" t="s">
        <v>1543</v>
      </c>
      <c r="D498" s="75" t="s">
        <v>1544</v>
      </c>
      <c r="E498" s="75" t="s">
        <v>1544</v>
      </c>
      <c r="F498" s="211" t="s">
        <v>1637</v>
      </c>
      <c r="G498" s="145" t="s">
        <v>3108</v>
      </c>
      <c r="H498" s="211" t="s">
        <v>907</v>
      </c>
      <c r="I498" s="145" t="s">
        <v>25</v>
      </c>
      <c r="J498" s="211" t="s">
        <v>1639</v>
      </c>
      <c r="K498" s="75" t="s">
        <v>1544</v>
      </c>
      <c r="L498" s="152" t="b">
        <v>1</v>
      </c>
      <c r="M498" s="152" t="b">
        <v>0</v>
      </c>
      <c r="N498" s="212" t="s">
        <v>3109</v>
      </c>
      <c r="O498" s="213" t="s">
        <v>1554</v>
      </c>
      <c r="P498" s="47" t="b">
        <v>1</v>
      </c>
      <c r="Q498" s="47" t="b">
        <v>0</v>
      </c>
      <c r="R498" s="214"/>
      <c r="S498" s="77">
        <v>0.0</v>
      </c>
      <c r="T498" s="76" t="s">
        <v>1179</v>
      </c>
      <c r="U498" s="78">
        <v>1.406915E7</v>
      </c>
      <c r="V498" s="215"/>
      <c r="W498" s="77">
        <v>1.4E7</v>
      </c>
      <c r="X498" s="216">
        <v>140000.0</v>
      </c>
      <c r="Y498" s="77">
        <v>60000.0</v>
      </c>
      <c r="Z498" s="77"/>
    </row>
    <row r="499">
      <c r="A499" s="145" t="s">
        <v>631</v>
      </c>
      <c r="B499" s="145" t="s">
        <v>1653</v>
      </c>
      <c r="C499" s="145" t="s">
        <v>1543</v>
      </c>
      <c r="D499" s="75" t="s">
        <v>1544</v>
      </c>
      <c r="E499" s="75" t="s">
        <v>1544</v>
      </c>
      <c r="F499" s="211" t="s">
        <v>1557</v>
      </c>
      <c r="G499" s="145" t="s">
        <v>2325</v>
      </c>
      <c r="H499" s="211" t="s">
        <v>625</v>
      </c>
      <c r="I499" s="145" t="s">
        <v>624</v>
      </c>
      <c r="J499" s="211" t="s">
        <v>1561</v>
      </c>
      <c r="K499" s="75" t="s">
        <v>1544</v>
      </c>
      <c r="L499" s="152" t="b">
        <v>1</v>
      </c>
      <c r="M499" s="152" t="b">
        <v>0</v>
      </c>
      <c r="N499" s="212" t="s">
        <v>3111</v>
      </c>
      <c r="O499" s="213" t="s">
        <v>1554</v>
      </c>
      <c r="P499" s="47" t="b">
        <v>1</v>
      </c>
      <c r="Q499" s="47" t="b">
        <v>0</v>
      </c>
      <c r="R499" s="214"/>
      <c r="S499" s="77">
        <v>0.0</v>
      </c>
      <c r="T499" s="76" t="s">
        <v>1179</v>
      </c>
      <c r="U499" s="78">
        <v>4.3320417E7</v>
      </c>
      <c r="V499" s="215"/>
      <c r="W499" s="77">
        <v>4.4E7</v>
      </c>
      <c r="X499" s="216">
        <v>4.4E9</v>
      </c>
      <c r="Y499" s="216">
        <v>6000000.0</v>
      </c>
      <c r="Z499" s="77"/>
    </row>
    <row r="500">
      <c r="A500" s="145" t="s">
        <v>694</v>
      </c>
      <c r="B500" s="145" t="s">
        <v>2206</v>
      </c>
      <c r="C500" s="145" t="s">
        <v>1543</v>
      </c>
      <c r="D500" s="75" t="s">
        <v>1544</v>
      </c>
      <c r="E500" s="75" t="s">
        <v>1544</v>
      </c>
      <c r="F500" s="211" t="s">
        <v>3112</v>
      </c>
      <c r="G500" s="145" t="s">
        <v>922</v>
      </c>
      <c r="H500" s="211" t="s">
        <v>586</v>
      </c>
      <c r="I500" s="145" t="s">
        <v>674</v>
      </c>
      <c r="J500" s="211" t="s">
        <v>1561</v>
      </c>
      <c r="K500" s="75" t="s">
        <v>1544</v>
      </c>
      <c r="L500" s="152" t="b">
        <v>1</v>
      </c>
      <c r="M500" s="152" t="b">
        <v>0</v>
      </c>
      <c r="N500" s="212" t="s">
        <v>3113</v>
      </c>
      <c r="O500" s="213" t="s">
        <v>1554</v>
      </c>
      <c r="P500" s="47" t="b">
        <v>1</v>
      </c>
      <c r="Q500" s="47" t="b">
        <v>0</v>
      </c>
      <c r="R500" s="214"/>
      <c r="S500" s="77">
        <v>0.0</v>
      </c>
      <c r="T500" s="76" t="s">
        <v>1179</v>
      </c>
      <c r="U500" s="78">
        <v>9.6293704E7</v>
      </c>
      <c r="V500" s="215"/>
      <c r="W500" s="77">
        <v>9.6E7</v>
      </c>
      <c r="X500" s="216">
        <v>672000.0</v>
      </c>
      <c r="Y500" s="77">
        <v>166762.0</v>
      </c>
      <c r="Z500" s="77"/>
    </row>
    <row r="501">
      <c r="A501" s="145" t="s">
        <v>299</v>
      </c>
      <c r="B501" s="145" t="s">
        <v>299</v>
      </c>
      <c r="C501" s="145" t="s">
        <v>317</v>
      </c>
      <c r="D501" s="75" t="s">
        <v>1544</v>
      </c>
      <c r="E501" s="75" t="s">
        <v>1544</v>
      </c>
      <c r="F501" s="211" t="s">
        <v>3114</v>
      </c>
      <c r="G501" s="145" t="s">
        <v>853</v>
      </c>
      <c r="H501" s="211" t="s">
        <v>77</v>
      </c>
      <c r="I501" s="145" t="s">
        <v>329</v>
      </c>
      <c r="J501" s="211" t="s">
        <v>1639</v>
      </c>
      <c r="K501" s="75" t="s">
        <v>1544</v>
      </c>
      <c r="L501" s="152" t="b">
        <v>1</v>
      </c>
      <c r="M501" s="152" t="b">
        <v>0</v>
      </c>
      <c r="N501" s="212" t="s">
        <v>3115</v>
      </c>
      <c r="O501" s="213" t="s">
        <v>1554</v>
      </c>
      <c r="P501" s="47" t="b">
        <v>1</v>
      </c>
      <c r="Q501" s="47" t="b">
        <v>0</v>
      </c>
      <c r="R501" s="214"/>
      <c r="S501" s="77">
        <v>0.0</v>
      </c>
      <c r="T501" s="76" t="s">
        <v>1162</v>
      </c>
      <c r="U501" s="78">
        <v>9920380.0</v>
      </c>
      <c r="V501" s="78">
        <v>23.0</v>
      </c>
      <c r="W501" s="77">
        <v>1.0E7</v>
      </c>
      <c r="X501" s="216">
        <v>100000.0</v>
      </c>
      <c r="Y501" s="77">
        <v>122990.0</v>
      </c>
      <c r="Z501" s="77"/>
    </row>
    <row r="502">
      <c r="A502" s="145" t="s">
        <v>669</v>
      </c>
      <c r="B502" s="145" t="s">
        <v>1811</v>
      </c>
      <c r="C502" s="145" t="s">
        <v>1543</v>
      </c>
      <c r="D502" s="75" t="s">
        <v>1544</v>
      </c>
      <c r="E502" s="75" t="s">
        <v>1544</v>
      </c>
      <c r="F502" s="211" t="s">
        <v>1557</v>
      </c>
      <c r="G502" s="145" t="s">
        <v>3116</v>
      </c>
      <c r="H502" s="211" t="s">
        <v>625</v>
      </c>
      <c r="I502" s="145" t="s">
        <v>667</v>
      </c>
      <c r="J502" s="211" t="s">
        <v>1561</v>
      </c>
      <c r="K502" s="75" t="s">
        <v>1544</v>
      </c>
      <c r="L502" s="152" t="b">
        <v>1</v>
      </c>
      <c r="M502" s="152" t="b">
        <v>0</v>
      </c>
      <c r="N502" s="212" t="s">
        <v>3117</v>
      </c>
      <c r="O502" s="213" t="s">
        <v>1554</v>
      </c>
      <c r="P502" s="47" t="b">
        <v>1</v>
      </c>
      <c r="Q502" s="47" t="b">
        <v>0</v>
      </c>
      <c r="R502" s="214"/>
      <c r="S502" s="77">
        <v>0.0</v>
      </c>
      <c r="T502" s="76" t="s">
        <v>1196</v>
      </c>
      <c r="U502" s="78">
        <v>2.5919836E7</v>
      </c>
      <c r="V502" s="215"/>
      <c r="W502" s="77">
        <v>2.6E7</v>
      </c>
      <c r="X502" s="216">
        <v>2.6E9</v>
      </c>
      <c r="Y502" s="216">
        <v>6000000.0</v>
      </c>
      <c r="Z502" s="77"/>
    </row>
    <row r="503">
      <c r="A503" s="145" t="s">
        <v>389</v>
      </c>
      <c r="B503" s="145" t="s">
        <v>2326</v>
      </c>
      <c r="C503" s="145" t="s">
        <v>2288</v>
      </c>
      <c r="D503" s="75" t="s">
        <v>1544</v>
      </c>
      <c r="E503" s="75" t="s">
        <v>1544</v>
      </c>
      <c r="F503" s="211" t="s">
        <v>1649</v>
      </c>
      <c r="G503" s="145" t="s">
        <v>3118</v>
      </c>
      <c r="H503" s="211" t="s">
        <v>1018</v>
      </c>
      <c r="I503" s="145" t="s">
        <v>66</v>
      </c>
      <c r="J503" s="211" t="s">
        <v>1549</v>
      </c>
      <c r="K503" s="75" t="s">
        <v>1544</v>
      </c>
      <c r="L503" s="152" t="b">
        <v>1</v>
      </c>
      <c r="M503" s="152" t="b">
        <v>0</v>
      </c>
      <c r="N503" s="217"/>
      <c r="O503" s="213" t="s">
        <v>1554</v>
      </c>
      <c r="P503" s="47" t="b">
        <v>1</v>
      </c>
      <c r="Q503" s="47" t="b">
        <v>0</v>
      </c>
      <c r="R503" s="214"/>
      <c r="S503" s="77">
        <v>0.0</v>
      </c>
      <c r="T503" s="76" t="s">
        <v>1179</v>
      </c>
      <c r="U503" s="78">
        <v>1.1195639E7</v>
      </c>
      <c r="V503" s="215"/>
      <c r="W503" s="216">
        <v>1.2E7</v>
      </c>
      <c r="X503" s="216">
        <v>96000.0</v>
      </c>
      <c r="Y503" s="77">
        <v>32000.0</v>
      </c>
      <c r="Z503" s="77"/>
    </row>
    <row r="504">
      <c r="A504" s="145" t="s">
        <v>1055</v>
      </c>
      <c r="B504" s="145" t="s">
        <v>3119</v>
      </c>
      <c r="C504" s="145" t="s">
        <v>3120</v>
      </c>
      <c r="D504" s="75" t="s">
        <v>1544</v>
      </c>
      <c r="E504" s="75" t="s">
        <v>1544</v>
      </c>
      <c r="F504" s="211" t="s">
        <v>1645</v>
      </c>
      <c r="G504" s="145" t="s">
        <v>1056</v>
      </c>
      <c r="H504" s="211" t="s">
        <v>77</v>
      </c>
      <c r="I504" s="145" t="s">
        <v>252</v>
      </c>
      <c r="J504" s="211" t="s">
        <v>1609</v>
      </c>
      <c r="K504" s="75" t="s">
        <v>1544</v>
      </c>
      <c r="L504" s="152" t="b">
        <v>1</v>
      </c>
      <c r="M504" s="152" t="b">
        <v>1</v>
      </c>
      <c r="N504" s="212" t="s">
        <v>3121</v>
      </c>
      <c r="O504" s="213" t="s">
        <v>1554</v>
      </c>
      <c r="P504" s="47" t="b">
        <v>1</v>
      </c>
      <c r="Q504" s="47" t="b">
        <v>0</v>
      </c>
      <c r="R504" s="214"/>
      <c r="S504" s="77">
        <v>0.0</v>
      </c>
      <c r="T504" s="76" t="s">
        <v>1179</v>
      </c>
      <c r="U504" s="78">
        <v>3.0E7</v>
      </c>
      <c r="V504" s="215"/>
      <c r="W504" s="77">
        <v>3.0E7</v>
      </c>
      <c r="X504" s="216">
        <v>300000.0</v>
      </c>
      <c r="Y504" s="77">
        <v>80000.0</v>
      </c>
      <c r="Z504" s="77"/>
    </row>
    <row r="505">
      <c r="A505" s="145" t="s">
        <v>662</v>
      </c>
      <c r="B505" s="145" t="s">
        <v>1653</v>
      </c>
      <c r="C505" s="145" t="s">
        <v>1543</v>
      </c>
      <c r="D505" s="75" t="s">
        <v>1544</v>
      </c>
      <c r="E505" s="75" t="s">
        <v>1544</v>
      </c>
      <c r="F505" s="211" t="s">
        <v>1557</v>
      </c>
      <c r="G505" s="145" t="s">
        <v>2263</v>
      </c>
      <c r="H505" s="211" t="s">
        <v>625</v>
      </c>
      <c r="I505" s="145" t="s">
        <v>624</v>
      </c>
      <c r="J505" s="211" t="s">
        <v>1561</v>
      </c>
      <c r="K505" s="75" t="s">
        <v>1544</v>
      </c>
      <c r="L505" s="152" t="b">
        <v>1</v>
      </c>
      <c r="M505" s="152" t="b">
        <v>0</v>
      </c>
      <c r="N505" s="212" t="s">
        <v>3122</v>
      </c>
      <c r="O505" s="213" t="s">
        <v>1554</v>
      </c>
      <c r="P505" s="47" t="b">
        <v>1</v>
      </c>
      <c r="Q505" s="47" t="b">
        <v>0</v>
      </c>
      <c r="R505" s="214"/>
      <c r="S505" s="77">
        <v>0.0</v>
      </c>
      <c r="T505" s="235" t="s">
        <v>1179</v>
      </c>
      <c r="U505" s="78">
        <v>2.1650241E7</v>
      </c>
      <c r="V505" s="215"/>
      <c r="W505" s="216">
        <v>2.2E7</v>
      </c>
      <c r="X505" s="216">
        <v>2.2E9</v>
      </c>
      <c r="Y505" s="216">
        <v>6000000.0</v>
      </c>
      <c r="Z505" s="77"/>
    </row>
    <row r="506">
      <c r="A506" s="145" t="s">
        <v>147</v>
      </c>
      <c r="B506" s="230"/>
      <c r="C506" s="145" t="s">
        <v>2288</v>
      </c>
      <c r="D506" s="75" t="s">
        <v>1601</v>
      </c>
      <c r="E506" s="75" t="s">
        <v>1544</v>
      </c>
      <c r="F506" s="211" t="s">
        <v>1602</v>
      </c>
      <c r="G506" s="145" t="s">
        <v>148</v>
      </c>
      <c r="H506" s="211" t="s">
        <v>87</v>
      </c>
      <c r="I506" s="145" t="s">
        <v>86</v>
      </c>
      <c r="J506" s="211" t="s">
        <v>1603</v>
      </c>
      <c r="K506" s="75" t="s">
        <v>1544</v>
      </c>
      <c r="L506" s="152" t="b">
        <v>1</v>
      </c>
      <c r="M506" s="152" t="b">
        <v>1</v>
      </c>
      <c r="N506" s="217"/>
      <c r="O506" s="213" t="s">
        <v>1554</v>
      </c>
      <c r="P506" s="47" t="b">
        <v>1</v>
      </c>
      <c r="Q506" s="47" t="b">
        <v>0</v>
      </c>
      <c r="R506" s="214"/>
      <c r="S506" s="77">
        <v>0.0</v>
      </c>
      <c r="T506" s="235" t="s">
        <v>1160</v>
      </c>
      <c r="U506" s="215"/>
      <c r="V506" s="215"/>
      <c r="W506" s="218"/>
      <c r="X506" s="218"/>
      <c r="Y506" s="77">
        <v>1.0</v>
      </c>
      <c r="Z506" s="77"/>
    </row>
    <row r="507">
      <c r="A507" s="145" t="s">
        <v>1663</v>
      </c>
      <c r="B507" s="145" t="s">
        <v>1580</v>
      </c>
      <c r="C507" s="145" t="s">
        <v>1543</v>
      </c>
      <c r="D507" s="75" t="s">
        <v>1544</v>
      </c>
      <c r="E507" s="75" t="s">
        <v>1544</v>
      </c>
      <c r="F507" s="211" t="s">
        <v>1575</v>
      </c>
      <c r="G507" s="145" t="s">
        <v>1664</v>
      </c>
      <c r="H507" s="211" t="s">
        <v>77</v>
      </c>
      <c r="I507" s="145" t="s">
        <v>327</v>
      </c>
      <c r="J507" s="211" t="s">
        <v>1577</v>
      </c>
      <c r="K507" s="75" t="s">
        <v>1544</v>
      </c>
      <c r="L507" s="152" t="b">
        <v>1</v>
      </c>
      <c r="M507" s="152" t="b">
        <v>0</v>
      </c>
      <c r="N507" s="212" t="s">
        <v>3123</v>
      </c>
      <c r="O507" s="213" t="s">
        <v>1554</v>
      </c>
      <c r="P507" s="47" t="b">
        <v>1</v>
      </c>
      <c r="Q507" s="47" t="b">
        <v>0</v>
      </c>
      <c r="R507" s="214"/>
      <c r="S507" s="77">
        <v>0.0</v>
      </c>
      <c r="T507" s="235" t="s">
        <v>1179</v>
      </c>
      <c r="U507" s="78">
        <v>4124082.0</v>
      </c>
      <c r="V507" s="215"/>
      <c r="W507" s="216">
        <v>4000000.0</v>
      </c>
      <c r="X507" s="77">
        <v>40000.0</v>
      </c>
      <c r="Y507" s="77">
        <v>20000.0</v>
      </c>
      <c r="Z507" s="77"/>
    </row>
    <row r="508">
      <c r="A508" s="145" t="s">
        <v>1003</v>
      </c>
      <c r="B508" s="145" t="s">
        <v>1003</v>
      </c>
      <c r="C508" s="145" t="s">
        <v>317</v>
      </c>
      <c r="D508" s="75" t="s">
        <v>1544</v>
      </c>
      <c r="E508" s="75" t="s">
        <v>1544</v>
      </c>
      <c r="F508" s="211" t="s">
        <v>1602</v>
      </c>
      <c r="G508" s="145" t="s">
        <v>1004</v>
      </c>
      <c r="H508" s="211" t="s">
        <v>87</v>
      </c>
      <c r="I508" s="145" t="s">
        <v>267</v>
      </c>
      <c r="J508" s="211" t="s">
        <v>1603</v>
      </c>
      <c r="K508" s="75" t="s">
        <v>1544</v>
      </c>
      <c r="L508" s="152" t="b">
        <v>1</v>
      </c>
      <c r="M508" s="152" t="b">
        <v>0</v>
      </c>
      <c r="N508" s="217"/>
      <c r="O508" s="213" t="s">
        <v>1554</v>
      </c>
      <c r="P508" s="47" t="b">
        <v>0</v>
      </c>
      <c r="Q508" s="47" t="b">
        <v>0</v>
      </c>
      <c r="R508" s="214"/>
      <c r="S508" s="77">
        <v>0.0</v>
      </c>
      <c r="T508" s="235" t="s">
        <v>1162</v>
      </c>
      <c r="U508" s="215"/>
      <c r="V508" s="215"/>
      <c r="W508" s="218"/>
      <c r="X508" s="218"/>
      <c r="Y508" s="77">
        <v>1.0</v>
      </c>
      <c r="Z508" s="77"/>
    </row>
    <row r="509">
      <c r="A509" s="145" t="s">
        <v>1135</v>
      </c>
      <c r="B509" s="145" t="s">
        <v>230</v>
      </c>
      <c r="C509" s="145" t="s">
        <v>2288</v>
      </c>
      <c r="D509" s="75" t="s">
        <v>1544</v>
      </c>
      <c r="E509" s="75" t="s">
        <v>1544</v>
      </c>
      <c r="F509" s="211" t="s">
        <v>3124</v>
      </c>
      <c r="G509" s="145" t="s">
        <v>1136</v>
      </c>
      <c r="H509" s="211" t="s">
        <v>77</v>
      </c>
      <c r="I509" s="145" t="s">
        <v>218</v>
      </c>
      <c r="J509" s="211" t="s">
        <v>2434</v>
      </c>
      <c r="K509" s="75" t="s">
        <v>1544</v>
      </c>
      <c r="L509" s="152" t="b">
        <v>1</v>
      </c>
      <c r="M509" s="152" t="b">
        <v>0</v>
      </c>
      <c r="N509" s="217"/>
      <c r="O509" s="213" t="s">
        <v>1554</v>
      </c>
      <c r="P509" s="47" t="b">
        <v>1</v>
      </c>
      <c r="Q509" s="47" t="b">
        <v>0</v>
      </c>
      <c r="R509" s="214"/>
      <c r="S509" s="77">
        <v>0.0</v>
      </c>
      <c r="T509" s="235" t="s">
        <v>1179</v>
      </c>
      <c r="U509" s="78">
        <v>4.3201575E7</v>
      </c>
      <c r="V509" s="215"/>
      <c r="W509" s="216">
        <v>4.4E7</v>
      </c>
      <c r="X509" s="216">
        <v>440000.0</v>
      </c>
      <c r="Y509" s="77">
        <v>180000.0</v>
      </c>
      <c r="Z509" s="77"/>
    </row>
    <row r="510">
      <c r="A510" s="145" t="s">
        <v>668</v>
      </c>
      <c r="B510" s="145" t="s">
        <v>668</v>
      </c>
      <c r="C510" s="145" t="s">
        <v>1058</v>
      </c>
      <c r="D510" s="75" t="s">
        <v>1544</v>
      </c>
      <c r="E510" s="75" t="s">
        <v>1544</v>
      </c>
      <c r="F510" s="211" t="s">
        <v>3125</v>
      </c>
      <c r="G510" s="145" t="s">
        <v>1057</v>
      </c>
      <c r="H510" s="211" t="s">
        <v>87</v>
      </c>
      <c r="I510" s="145" t="s">
        <v>267</v>
      </c>
      <c r="J510" s="211" t="s">
        <v>3092</v>
      </c>
      <c r="K510" s="75" t="s">
        <v>1544</v>
      </c>
      <c r="L510" s="152" t="b">
        <v>1</v>
      </c>
      <c r="M510" s="152" t="b">
        <v>1</v>
      </c>
      <c r="N510" s="217"/>
      <c r="O510" s="213" t="s">
        <v>1554</v>
      </c>
      <c r="P510" s="47" t="b">
        <v>0</v>
      </c>
      <c r="Q510" s="47" t="b">
        <v>0</v>
      </c>
      <c r="R510" s="214"/>
      <c r="S510" s="77">
        <v>0.0</v>
      </c>
      <c r="T510" s="235" t="s">
        <v>1161</v>
      </c>
      <c r="U510" s="215"/>
      <c r="V510" s="215"/>
      <c r="W510" s="218"/>
      <c r="X510" s="218"/>
      <c r="Y510" s="216">
        <v>1.8E7</v>
      </c>
      <c r="Z510" s="77"/>
    </row>
    <row r="511">
      <c r="A511" s="145" t="s">
        <v>257</v>
      </c>
      <c r="B511" s="230"/>
      <c r="C511" s="145" t="s">
        <v>2288</v>
      </c>
      <c r="D511" s="75" t="s">
        <v>1601</v>
      </c>
      <c r="E511" s="75" t="s">
        <v>1544</v>
      </c>
      <c r="F511" s="211" t="s">
        <v>1602</v>
      </c>
      <c r="G511" s="145" t="s">
        <v>258</v>
      </c>
      <c r="H511" s="211" t="s">
        <v>87</v>
      </c>
      <c r="I511" s="145" t="s">
        <v>86</v>
      </c>
      <c r="J511" s="211" t="s">
        <v>1603</v>
      </c>
      <c r="K511" s="75" t="s">
        <v>1544</v>
      </c>
      <c r="L511" s="152" t="b">
        <v>1</v>
      </c>
      <c r="M511" s="152" t="b">
        <v>1</v>
      </c>
      <c r="N511" s="217"/>
      <c r="O511" s="213" t="s">
        <v>1554</v>
      </c>
      <c r="P511" s="47" t="b">
        <v>1</v>
      </c>
      <c r="Q511" s="47" t="b">
        <v>0</v>
      </c>
      <c r="R511" s="214"/>
      <c r="S511" s="77">
        <v>0.0</v>
      </c>
      <c r="T511" s="235" t="s">
        <v>1152</v>
      </c>
      <c r="U511" s="215"/>
      <c r="V511" s="215"/>
      <c r="W511" s="218"/>
      <c r="X511" s="218"/>
      <c r="Y511" s="77">
        <v>1.0</v>
      </c>
      <c r="Z511" s="77"/>
    </row>
    <row r="512">
      <c r="A512" s="145" t="s">
        <v>2286</v>
      </c>
      <c r="B512" s="145" t="s">
        <v>257</v>
      </c>
      <c r="C512" s="145" t="s">
        <v>2288</v>
      </c>
      <c r="D512" s="75" t="s">
        <v>1544</v>
      </c>
      <c r="E512" s="75" t="s">
        <v>1544</v>
      </c>
      <c r="F512" s="211" t="s">
        <v>2493</v>
      </c>
      <c r="G512" s="145" t="s">
        <v>3126</v>
      </c>
      <c r="H512" s="211" t="s">
        <v>1018</v>
      </c>
      <c r="I512" s="145" t="s">
        <v>75</v>
      </c>
      <c r="J512" s="211" t="s">
        <v>2495</v>
      </c>
      <c r="K512" s="75" t="s">
        <v>1544</v>
      </c>
      <c r="L512" s="152" t="b">
        <v>1</v>
      </c>
      <c r="M512" s="152" t="b">
        <v>0</v>
      </c>
      <c r="N512" s="217"/>
      <c r="O512" s="213" t="s">
        <v>1554</v>
      </c>
      <c r="P512" s="47" t="b">
        <v>1</v>
      </c>
      <c r="Q512" s="47" t="b">
        <v>0</v>
      </c>
      <c r="R512" s="214"/>
      <c r="S512" s="77">
        <v>0.0</v>
      </c>
      <c r="T512" s="76" t="s">
        <v>1152</v>
      </c>
      <c r="U512" s="78">
        <v>3.0E7</v>
      </c>
      <c r="V512" s="215"/>
      <c r="W512" s="77">
        <v>3.0E7</v>
      </c>
      <c r="X512" s="77">
        <v>240000.0</v>
      </c>
      <c r="Y512" s="77">
        <v>240000.0</v>
      </c>
      <c r="Z512" s="77"/>
    </row>
    <row r="513">
      <c r="A513" s="145" t="s">
        <v>3127</v>
      </c>
      <c r="C513" s="145" t="s">
        <v>1543</v>
      </c>
      <c r="D513" s="75" t="s">
        <v>1601</v>
      </c>
      <c r="E513" s="75" t="s">
        <v>1544</v>
      </c>
      <c r="F513" s="211" t="s">
        <v>1602</v>
      </c>
      <c r="G513" s="145" t="s">
        <v>213</v>
      </c>
      <c r="H513" s="211" t="s">
        <v>87</v>
      </c>
      <c r="I513" s="145" t="s">
        <v>3128</v>
      </c>
      <c r="J513" s="211" t="s">
        <v>1603</v>
      </c>
      <c r="K513" s="75" t="s">
        <v>1544</v>
      </c>
      <c r="L513" s="152" t="b">
        <v>1</v>
      </c>
      <c r="M513" s="152" t="b">
        <v>1</v>
      </c>
      <c r="N513" s="212" t="s">
        <v>3129</v>
      </c>
      <c r="O513" s="213" t="s">
        <v>1554</v>
      </c>
      <c r="P513" s="47" t="b">
        <v>0</v>
      </c>
      <c r="Q513" s="47" t="b">
        <v>0</v>
      </c>
      <c r="R513" s="214"/>
      <c r="S513" s="77">
        <v>0.0</v>
      </c>
      <c r="T513" s="214"/>
      <c r="U513" s="215"/>
      <c r="V513" s="215"/>
      <c r="W513" s="218"/>
      <c r="X513" s="214"/>
      <c r="Y513" s="77">
        <v>1.0</v>
      </c>
      <c r="Z513" s="77"/>
    </row>
    <row r="514">
      <c r="A514" s="145" t="s">
        <v>584</v>
      </c>
      <c r="B514" s="145" t="s">
        <v>1760</v>
      </c>
      <c r="C514" s="145" t="s">
        <v>1543</v>
      </c>
      <c r="D514" s="75" t="s">
        <v>1544</v>
      </c>
      <c r="E514" s="75" t="s">
        <v>1544</v>
      </c>
      <c r="F514" s="211" t="s">
        <v>1547</v>
      </c>
      <c r="G514" s="145" t="s">
        <v>3130</v>
      </c>
      <c r="H514" s="211" t="s">
        <v>77</v>
      </c>
      <c r="I514" s="145" t="s">
        <v>143</v>
      </c>
      <c r="J514" s="211" t="s">
        <v>1549</v>
      </c>
      <c r="K514" s="75" t="s">
        <v>1544</v>
      </c>
      <c r="L514" s="152" t="b">
        <v>1</v>
      </c>
      <c r="M514" s="152" t="b">
        <v>0</v>
      </c>
      <c r="N514" s="212" t="s">
        <v>3131</v>
      </c>
      <c r="O514" s="213" t="s">
        <v>1554</v>
      </c>
      <c r="P514" s="47" t="b">
        <v>1</v>
      </c>
      <c r="Q514" s="47" t="b">
        <v>0</v>
      </c>
      <c r="R514" s="214"/>
      <c r="S514" s="77">
        <v>0.0</v>
      </c>
      <c r="T514" s="76" t="s">
        <v>1172</v>
      </c>
      <c r="U514" s="78">
        <v>1.0797801E7</v>
      </c>
      <c r="V514" s="215"/>
      <c r="W514" s="77">
        <v>1.0E7</v>
      </c>
      <c r="X514" s="77">
        <v>100000.0</v>
      </c>
      <c r="Y514" s="77">
        <v>40000.0</v>
      </c>
      <c r="Z514" s="77"/>
    </row>
    <row r="515">
      <c r="A515" s="145" t="s">
        <v>1963</v>
      </c>
      <c r="B515" s="145" t="s">
        <v>1707</v>
      </c>
      <c r="C515" s="145" t="s">
        <v>1543</v>
      </c>
      <c r="D515" s="75" t="s">
        <v>1544</v>
      </c>
      <c r="E515" s="75" t="s">
        <v>1544</v>
      </c>
      <c r="F515" s="211" t="s">
        <v>1547</v>
      </c>
      <c r="G515" s="145" t="s">
        <v>1964</v>
      </c>
      <c r="H515" s="211" t="s">
        <v>77</v>
      </c>
      <c r="I515" s="145" t="s">
        <v>327</v>
      </c>
      <c r="J515" s="211" t="s">
        <v>1549</v>
      </c>
      <c r="K515" s="75" t="s">
        <v>1544</v>
      </c>
      <c r="L515" s="152" t="b">
        <v>1</v>
      </c>
      <c r="M515" s="152" t="b">
        <v>0</v>
      </c>
      <c r="N515" s="212" t="s">
        <v>3132</v>
      </c>
      <c r="O515" s="213" t="s">
        <v>1554</v>
      </c>
      <c r="P515" s="47" t="b">
        <v>1</v>
      </c>
      <c r="Q515" s="47" t="b">
        <v>0</v>
      </c>
      <c r="R515" s="214"/>
      <c r="S515" s="77">
        <v>0.0</v>
      </c>
      <c r="T515" s="76" t="s">
        <v>1172</v>
      </c>
      <c r="U515" s="78">
        <v>1.0165628E7</v>
      </c>
      <c r="V515" s="215"/>
      <c r="W515" s="77">
        <v>1.0E7</v>
      </c>
      <c r="X515" s="77">
        <v>100000.0</v>
      </c>
      <c r="Y515" s="77">
        <v>40000.0</v>
      </c>
      <c r="Z515" s="77"/>
    </row>
    <row r="516">
      <c r="A516" s="145" t="s">
        <v>658</v>
      </c>
      <c r="B516" s="145" t="s">
        <v>658</v>
      </c>
      <c r="C516" s="145" t="s">
        <v>2500</v>
      </c>
      <c r="D516" s="75" t="s">
        <v>1544</v>
      </c>
      <c r="E516" s="75" t="s">
        <v>1544</v>
      </c>
      <c r="F516" s="211" t="s">
        <v>3133</v>
      </c>
      <c r="G516" s="145" t="s">
        <v>929</v>
      </c>
      <c r="H516" s="211" t="s">
        <v>586</v>
      </c>
      <c r="I516" s="145" t="s">
        <v>162</v>
      </c>
      <c r="J516" s="211" t="s">
        <v>3092</v>
      </c>
      <c r="K516" s="75" t="s">
        <v>1544</v>
      </c>
      <c r="L516" s="152" t="b">
        <v>1</v>
      </c>
      <c r="M516" s="152" t="b">
        <v>1</v>
      </c>
      <c r="N516" s="212" t="s">
        <v>3134</v>
      </c>
      <c r="O516" s="213" t="s">
        <v>1554</v>
      </c>
      <c r="P516" s="47" t="b">
        <v>1</v>
      </c>
      <c r="Q516" s="47" t="b">
        <v>0</v>
      </c>
      <c r="R516" s="214"/>
      <c r="S516" s="77">
        <v>0.0</v>
      </c>
      <c r="T516" s="76" t="s">
        <v>1156</v>
      </c>
      <c r="U516" s="78">
        <v>6.0E7</v>
      </c>
      <c r="V516" s="78">
        <v>45.0</v>
      </c>
      <c r="W516" s="216">
        <v>6.0E7</v>
      </c>
      <c r="X516" s="216">
        <v>420000.0</v>
      </c>
      <c r="Y516" s="77">
        <v>560923.0</v>
      </c>
      <c r="Z516" s="77"/>
    </row>
    <row r="517">
      <c r="A517" s="145" t="s">
        <v>3135</v>
      </c>
      <c r="B517" s="145" t="s">
        <v>3135</v>
      </c>
      <c r="C517" s="145" t="s">
        <v>2296</v>
      </c>
      <c r="D517" s="75" t="s">
        <v>1601</v>
      </c>
      <c r="E517" s="75" t="s">
        <v>1601</v>
      </c>
      <c r="F517" s="211" t="s">
        <v>1602</v>
      </c>
      <c r="G517" s="145" t="s">
        <v>3136</v>
      </c>
      <c r="H517" s="211" t="s">
        <v>87</v>
      </c>
      <c r="I517" s="145" t="s">
        <v>2487</v>
      </c>
      <c r="J517" s="211" t="s">
        <v>1603</v>
      </c>
      <c r="K517" s="75" t="s">
        <v>1544</v>
      </c>
      <c r="L517" s="152" t="b">
        <v>0</v>
      </c>
      <c r="M517" s="152" t="b">
        <v>0</v>
      </c>
      <c r="N517" s="217"/>
      <c r="O517" s="213" t="s">
        <v>1554</v>
      </c>
      <c r="P517" s="47" t="b">
        <v>0</v>
      </c>
      <c r="Q517" s="47" t="b">
        <v>0</v>
      </c>
      <c r="R517" s="214"/>
      <c r="S517" s="77">
        <v>0.0</v>
      </c>
      <c r="T517" s="214"/>
      <c r="U517" s="215"/>
      <c r="V517" s="215"/>
      <c r="W517" s="214"/>
      <c r="X517" s="218"/>
      <c r="Y517" s="77">
        <v>1.0</v>
      </c>
      <c r="Z517" s="77"/>
    </row>
    <row r="518">
      <c r="A518" s="145" t="s">
        <v>689</v>
      </c>
      <c r="B518" s="145" t="s">
        <v>2465</v>
      </c>
      <c r="C518" s="145" t="s">
        <v>1543</v>
      </c>
      <c r="D518" s="75" t="s">
        <v>1544</v>
      </c>
      <c r="E518" s="75" t="s">
        <v>1601</v>
      </c>
      <c r="F518" s="211" t="s">
        <v>1602</v>
      </c>
      <c r="G518" s="145" t="s">
        <v>963</v>
      </c>
      <c r="H518" s="211" t="s">
        <v>87</v>
      </c>
      <c r="I518" s="145" t="s">
        <v>267</v>
      </c>
      <c r="J518" s="211" t="s">
        <v>1603</v>
      </c>
      <c r="K518" s="75" t="s">
        <v>1544</v>
      </c>
      <c r="L518" s="152" t="b">
        <v>1</v>
      </c>
      <c r="M518" s="152" t="b">
        <v>0</v>
      </c>
      <c r="N518" s="212" t="s">
        <v>3137</v>
      </c>
      <c r="O518" s="213" t="s">
        <v>1554</v>
      </c>
      <c r="P518" s="47" t="b">
        <v>0</v>
      </c>
      <c r="Q518" s="47" t="b">
        <v>0</v>
      </c>
      <c r="R518" s="214"/>
      <c r="S518" s="77">
        <v>0.0</v>
      </c>
      <c r="T518" s="214"/>
      <c r="U518" s="215"/>
      <c r="V518" s="215"/>
      <c r="W518" s="218"/>
      <c r="X518" s="218"/>
      <c r="Y518" s="77">
        <v>1.0</v>
      </c>
      <c r="Z518" s="77"/>
    </row>
    <row r="519">
      <c r="A519" s="145" t="s">
        <v>2320</v>
      </c>
      <c r="B519" s="145" t="s">
        <v>2320</v>
      </c>
      <c r="C519" s="145" t="s">
        <v>3138</v>
      </c>
      <c r="D519" s="75" t="s">
        <v>1544</v>
      </c>
      <c r="E519" s="75" t="s">
        <v>1544</v>
      </c>
      <c r="F519" s="211" t="s">
        <v>1645</v>
      </c>
      <c r="G519" s="145" t="s">
        <v>3139</v>
      </c>
      <c r="H519" s="211" t="s">
        <v>77</v>
      </c>
      <c r="I519" s="145" t="s">
        <v>249</v>
      </c>
      <c r="J519" s="211" t="s">
        <v>1609</v>
      </c>
      <c r="K519" s="75" t="s">
        <v>1544</v>
      </c>
      <c r="L519" s="152" t="b">
        <v>1</v>
      </c>
      <c r="M519" s="152" t="b">
        <v>1</v>
      </c>
      <c r="N519" s="212" t="s">
        <v>3140</v>
      </c>
      <c r="O519" s="213" t="s">
        <v>1554</v>
      </c>
      <c r="P519" s="47" t="b">
        <v>1</v>
      </c>
      <c r="Q519" s="47" t="b">
        <v>0</v>
      </c>
      <c r="R519" s="214"/>
      <c r="S519" s="77">
        <v>0.0</v>
      </c>
      <c r="T519" s="235" t="s">
        <v>1184</v>
      </c>
      <c r="U519" s="78">
        <v>2.0E7</v>
      </c>
      <c r="V519" s="78">
        <v>0.0</v>
      </c>
      <c r="W519" s="216">
        <v>2.0E7</v>
      </c>
      <c r="X519" s="216">
        <v>200000.0</v>
      </c>
      <c r="Y519" s="77">
        <v>80000.0</v>
      </c>
      <c r="Z519" s="77"/>
    </row>
    <row r="520">
      <c r="A520" s="145" t="s">
        <v>651</v>
      </c>
      <c r="B520" s="145" t="s">
        <v>651</v>
      </c>
      <c r="C520" s="145" t="s">
        <v>2091</v>
      </c>
      <c r="D520" s="75" t="s">
        <v>1544</v>
      </c>
      <c r="E520" s="75" t="s">
        <v>1544</v>
      </c>
      <c r="F520" s="211" t="s">
        <v>3141</v>
      </c>
      <c r="G520" s="145" t="s">
        <v>948</v>
      </c>
      <c r="H520" s="211" t="s">
        <v>87</v>
      </c>
      <c r="I520" s="145" t="s">
        <v>267</v>
      </c>
      <c r="J520" s="211" t="s">
        <v>2377</v>
      </c>
      <c r="K520" s="75" t="s">
        <v>1544</v>
      </c>
      <c r="L520" s="152" t="b">
        <v>1</v>
      </c>
      <c r="M520" s="152" t="b">
        <v>1</v>
      </c>
      <c r="N520" s="212" t="s">
        <v>3142</v>
      </c>
      <c r="O520" s="213" t="s">
        <v>1554</v>
      </c>
      <c r="P520" s="47" t="b">
        <v>0</v>
      </c>
      <c r="Q520" s="47" t="b">
        <v>0</v>
      </c>
      <c r="R520" s="214"/>
      <c r="S520" s="77">
        <v>0.0</v>
      </c>
      <c r="T520" s="76" t="s">
        <v>1162</v>
      </c>
      <c r="U520" s="215"/>
      <c r="V520" s="215"/>
      <c r="W520" s="218"/>
      <c r="X520" s="218"/>
      <c r="Y520" s="77">
        <v>1.2E7</v>
      </c>
      <c r="Z520" s="77"/>
    </row>
    <row r="521">
      <c r="A521" s="145" t="s">
        <v>485</v>
      </c>
      <c r="B521" s="145" t="s">
        <v>1679</v>
      </c>
      <c r="C521" s="145" t="s">
        <v>1543</v>
      </c>
      <c r="D521" s="75" t="s">
        <v>1544</v>
      </c>
      <c r="E521" s="75" t="s">
        <v>1544</v>
      </c>
      <c r="F521" s="211" t="s">
        <v>1547</v>
      </c>
      <c r="G521" s="145" t="s">
        <v>2878</v>
      </c>
      <c r="H521" s="211" t="s">
        <v>77</v>
      </c>
      <c r="I521" s="145" t="s">
        <v>174</v>
      </c>
      <c r="J521" s="211" t="s">
        <v>1549</v>
      </c>
      <c r="K521" s="75" t="s">
        <v>1544</v>
      </c>
      <c r="L521" s="152" t="b">
        <v>1</v>
      </c>
      <c r="M521" s="152" t="b">
        <v>0</v>
      </c>
      <c r="N521" s="212" t="s">
        <v>3143</v>
      </c>
      <c r="O521" s="213" t="s">
        <v>1554</v>
      </c>
      <c r="P521" s="47" t="b">
        <v>1</v>
      </c>
      <c r="Q521" s="47" t="b">
        <v>0</v>
      </c>
      <c r="R521" s="214"/>
      <c r="S521" s="77">
        <v>0.0</v>
      </c>
      <c r="T521" s="76" t="s">
        <v>1176</v>
      </c>
      <c r="U521" s="78">
        <v>1.058211E7</v>
      </c>
      <c r="V521" s="215"/>
      <c r="W521" s="216">
        <v>1.0E7</v>
      </c>
      <c r="X521" s="216">
        <v>100000.0</v>
      </c>
      <c r="Y521" s="77">
        <v>40000.0</v>
      </c>
      <c r="Z521" s="77"/>
    </row>
    <row r="522">
      <c r="A522" s="145" t="s">
        <v>659</v>
      </c>
      <c r="B522" s="145" t="s">
        <v>659</v>
      </c>
      <c r="C522" s="145" t="s">
        <v>317</v>
      </c>
      <c r="D522" s="75" t="s">
        <v>1544</v>
      </c>
      <c r="E522" s="75" t="s">
        <v>1544</v>
      </c>
      <c r="F522" s="211" t="s">
        <v>3144</v>
      </c>
      <c r="G522" s="145" t="s">
        <v>316</v>
      </c>
      <c r="H522" s="211" t="s">
        <v>586</v>
      </c>
      <c r="I522" s="145" t="s">
        <v>162</v>
      </c>
      <c r="J522" s="211" t="s">
        <v>1561</v>
      </c>
      <c r="K522" s="75" t="s">
        <v>1544</v>
      </c>
      <c r="L522" s="152" t="b">
        <v>1</v>
      </c>
      <c r="M522" s="152" t="b">
        <v>0</v>
      </c>
      <c r="N522" s="212" t="s">
        <v>3145</v>
      </c>
      <c r="O522" s="213" t="s">
        <v>1554</v>
      </c>
      <c r="P522" s="47" t="b">
        <v>1</v>
      </c>
      <c r="Q522" s="47" t="b">
        <v>0</v>
      </c>
      <c r="R522" s="214"/>
      <c r="S522" s="77">
        <v>0.0</v>
      </c>
      <c r="T522" s="76" t="s">
        <v>1162</v>
      </c>
      <c r="U522" s="78">
        <v>2.0E7</v>
      </c>
      <c r="V522" s="78">
        <v>0.0</v>
      </c>
      <c r="W522" s="216">
        <v>2.0E7</v>
      </c>
      <c r="X522" s="216">
        <v>140000.0</v>
      </c>
      <c r="Y522" s="77">
        <v>187210.0</v>
      </c>
      <c r="Z522" s="77"/>
    </row>
    <row r="523">
      <c r="A523" s="145" t="s">
        <v>146</v>
      </c>
      <c r="B523" s="145" t="s">
        <v>146</v>
      </c>
      <c r="C523" s="145" t="s">
        <v>1058</v>
      </c>
      <c r="D523" s="75" t="s">
        <v>1544</v>
      </c>
      <c r="E523" s="75" t="s">
        <v>1544</v>
      </c>
      <c r="F523" s="211" t="s">
        <v>1796</v>
      </c>
      <c r="G523" s="145" t="s">
        <v>3146</v>
      </c>
      <c r="H523" s="211" t="s">
        <v>907</v>
      </c>
      <c r="I523" s="145" t="s">
        <v>54</v>
      </c>
      <c r="J523" s="211" t="s">
        <v>3021</v>
      </c>
      <c r="K523" s="75" t="s">
        <v>1544</v>
      </c>
      <c r="L523" s="152" t="b">
        <v>1</v>
      </c>
      <c r="M523" s="152" t="b">
        <v>1</v>
      </c>
      <c r="N523" s="217"/>
      <c r="O523" s="213" t="s">
        <v>1554</v>
      </c>
      <c r="P523" s="47" t="b">
        <v>1</v>
      </c>
      <c r="Q523" s="47" t="b">
        <v>0</v>
      </c>
      <c r="R523" s="214"/>
      <c r="S523" s="77">
        <v>0.0</v>
      </c>
      <c r="T523" s="76" t="s">
        <v>1161</v>
      </c>
      <c r="U523" s="215"/>
      <c r="V523" s="78">
        <v>-1.0</v>
      </c>
      <c r="W523" s="218"/>
      <c r="X523" s="218"/>
      <c r="Y523" s="77">
        <v>1000000.0</v>
      </c>
      <c r="Z523" s="77"/>
    </row>
    <row r="524">
      <c r="A524" s="145" t="s">
        <v>2295</v>
      </c>
      <c r="B524" s="145" t="s">
        <v>243</v>
      </c>
      <c r="C524" s="145" t="s">
        <v>2288</v>
      </c>
      <c r="D524" s="75" t="s">
        <v>1544</v>
      </c>
      <c r="E524" s="75" t="s">
        <v>1544</v>
      </c>
      <c r="F524" s="211" t="s">
        <v>2989</v>
      </c>
      <c r="G524" s="145" t="s">
        <v>3147</v>
      </c>
      <c r="H524" s="211" t="s">
        <v>77</v>
      </c>
      <c r="I524" s="145" t="s">
        <v>140</v>
      </c>
      <c r="J524" s="211" t="s">
        <v>2495</v>
      </c>
      <c r="K524" s="75" t="s">
        <v>1544</v>
      </c>
      <c r="L524" s="152" t="b">
        <v>1</v>
      </c>
      <c r="M524" s="152" t="b">
        <v>0</v>
      </c>
      <c r="N524" s="217"/>
      <c r="O524" s="213" t="s">
        <v>1554</v>
      </c>
      <c r="P524" s="47" t="b">
        <v>1</v>
      </c>
      <c r="Q524" s="47" t="b">
        <v>0</v>
      </c>
      <c r="R524" s="214"/>
      <c r="S524" s="77">
        <v>0.0</v>
      </c>
      <c r="T524" s="235" t="s">
        <v>1152</v>
      </c>
      <c r="U524" s="78">
        <v>3.0E7</v>
      </c>
      <c r="V524" s="215"/>
      <c r="W524" s="216">
        <v>3.0E7</v>
      </c>
      <c r="X524" s="77">
        <v>300000.0</v>
      </c>
      <c r="Y524" s="77">
        <v>300000.0</v>
      </c>
      <c r="Z524" s="77"/>
    </row>
    <row r="525">
      <c r="A525" s="145" t="s">
        <v>243</v>
      </c>
      <c r="B525" s="230"/>
      <c r="C525" s="145" t="s">
        <v>2288</v>
      </c>
      <c r="D525" s="75" t="s">
        <v>1601</v>
      </c>
      <c r="E525" s="75" t="s">
        <v>1544</v>
      </c>
      <c r="F525" s="211" t="s">
        <v>1602</v>
      </c>
      <c r="G525" s="145" t="s">
        <v>244</v>
      </c>
      <c r="H525" s="211" t="s">
        <v>87</v>
      </c>
      <c r="I525" s="145" t="s">
        <v>86</v>
      </c>
      <c r="J525" s="211" t="s">
        <v>1603</v>
      </c>
      <c r="K525" s="75" t="s">
        <v>1544</v>
      </c>
      <c r="L525" s="152" t="b">
        <v>1</v>
      </c>
      <c r="M525" s="152" t="b">
        <v>1</v>
      </c>
      <c r="N525" s="217"/>
      <c r="O525" s="213" t="s">
        <v>1554</v>
      </c>
      <c r="P525" s="47" t="b">
        <v>1</v>
      </c>
      <c r="Q525" s="47" t="b">
        <v>0</v>
      </c>
      <c r="R525" s="214"/>
      <c r="S525" s="77">
        <v>0.0</v>
      </c>
      <c r="T525" s="76" t="s">
        <v>1152</v>
      </c>
      <c r="U525" s="215"/>
      <c r="V525" s="215"/>
      <c r="W525" s="218"/>
      <c r="X525" s="214"/>
      <c r="Y525" s="77">
        <v>1.0</v>
      </c>
      <c r="Z525" s="77"/>
    </row>
    <row r="526">
      <c r="A526" s="145" t="s">
        <v>2453</v>
      </c>
      <c r="B526" s="145" t="s">
        <v>98</v>
      </c>
      <c r="C526" s="145" t="s">
        <v>2288</v>
      </c>
      <c r="D526" s="75" t="s">
        <v>1544</v>
      </c>
      <c r="E526" s="75" t="s">
        <v>1544</v>
      </c>
      <c r="F526" s="211" t="s">
        <v>2989</v>
      </c>
      <c r="G526" s="145" t="s">
        <v>2454</v>
      </c>
      <c r="H526" s="211" t="s">
        <v>907</v>
      </c>
      <c r="I526" s="145" t="s">
        <v>54</v>
      </c>
      <c r="J526" s="211" t="s">
        <v>2495</v>
      </c>
      <c r="K526" s="75" t="s">
        <v>1544</v>
      </c>
      <c r="L526" s="152" t="b">
        <v>1</v>
      </c>
      <c r="M526" s="152" t="b">
        <v>0</v>
      </c>
      <c r="N526" s="217"/>
      <c r="O526" s="213" t="s">
        <v>1554</v>
      </c>
      <c r="P526" s="47" t="b">
        <v>1</v>
      </c>
      <c r="Q526" s="47" t="b">
        <v>0</v>
      </c>
      <c r="R526" s="214"/>
      <c r="S526" s="77">
        <v>0.0</v>
      </c>
      <c r="T526" s="235" t="s">
        <v>1152</v>
      </c>
      <c r="U526" s="78">
        <v>3.0E7</v>
      </c>
      <c r="V526" s="215"/>
      <c r="W526" s="216">
        <v>3.0E7</v>
      </c>
      <c r="X526" s="77">
        <v>300000.0</v>
      </c>
      <c r="Y526" s="77">
        <v>300000.0</v>
      </c>
      <c r="Z526" s="77"/>
    </row>
    <row r="527">
      <c r="A527" s="145" t="s">
        <v>98</v>
      </c>
      <c r="B527" s="230"/>
      <c r="C527" s="145" t="s">
        <v>2288</v>
      </c>
      <c r="D527" s="75" t="s">
        <v>1601</v>
      </c>
      <c r="E527" s="75" t="s">
        <v>1544</v>
      </c>
      <c r="F527" s="211" t="s">
        <v>1602</v>
      </c>
      <c r="G527" s="145" t="s">
        <v>178</v>
      </c>
      <c r="H527" s="211" t="s">
        <v>87</v>
      </c>
      <c r="I527" s="145" t="s">
        <v>86</v>
      </c>
      <c r="J527" s="211" t="s">
        <v>1603</v>
      </c>
      <c r="K527" s="75" t="s">
        <v>1544</v>
      </c>
      <c r="L527" s="152" t="b">
        <v>1</v>
      </c>
      <c r="M527" s="152" t="b">
        <v>1</v>
      </c>
      <c r="N527" s="217"/>
      <c r="O527" s="213" t="s">
        <v>1554</v>
      </c>
      <c r="P527" s="47" t="b">
        <v>1</v>
      </c>
      <c r="Q527" s="47" t="b">
        <v>0</v>
      </c>
      <c r="R527" s="214"/>
      <c r="S527" s="77">
        <v>0.0</v>
      </c>
      <c r="T527" s="235" t="s">
        <v>1152</v>
      </c>
      <c r="U527" s="215"/>
      <c r="V527" s="215"/>
      <c r="W527" s="218"/>
      <c r="X527" s="214"/>
      <c r="Y527" s="77">
        <v>1.0</v>
      </c>
      <c r="Z527" s="77"/>
    </row>
    <row r="528">
      <c r="A528" s="145" t="s">
        <v>572</v>
      </c>
      <c r="B528" s="145" t="s">
        <v>572</v>
      </c>
      <c r="C528" s="145" t="s">
        <v>3148</v>
      </c>
      <c r="D528" s="75" t="s">
        <v>1544</v>
      </c>
      <c r="E528" s="75" t="s">
        <v>1544</v>
      </c>
      <c r="F528" s="211" t="s">
        <v>1602</v>
      </c>
      <c r="G528" s="145" t="s">
        <v>573</v>
      </c>
      <c r="H528" s="211" t="s">
        <v>87</v>
      </c>
      <c r="I528" s="145" t="s">
        <v>267</v>
      </c>
      <c r="J528" s="211" t="s">
        <v>1603</v>
      </c>
      <c r="K528" s="75" t="s">
        <v>1544</v>
      </c>
      <c r="L528" s="152" t="b">
        <v>1</v>
      </c>
      <c r="M528" s="152" t="b">
        <v>0</v>
      </c>
      <c r="N528" s="217"/>
      <c r="O528" s="213" t="s">
        <v>1554</v>
      </c>
      <c r="P528" s="47" t="b">
        <v>0</v>
      </c>
      <c r="Q528" s="47" t="b">
        <v>0</v>
      </c>
      <c r="R528" s="214"/>
      <c r="S528" s="77">
        <v>0.0</v>
      </c>
      <c r="T528" s="76" t="s">
        <v>1184</v>
      </c>
      <c r="U528" s="215"/>
      <c r="V528" s="215"/>
      <c r="W528" s="218"/>
      <c r="X528" s="214"/>
      <c r="Y528" s="77">
        <v>1.0</v>
      </c>
      <c r="Z528" s="77"/>
    </row>
    <row r="529">
      <c r="A529" s="145" t="s">
        <v>141</v>
      </c>
      <c r="B529" s="145" t="s">
        <v>141</v>
      </c>
      <c r="C529" s="145" t="s">
        <v>3149</v>
      </c>
      <c r="D529" s="75" t="s">
        <v>1544</v>
      </c>
      <c r="E529" s="75" t="s">
        <v>1544</v>
      </c>
      <c r="F529" s="211" t="s">
        <v>1645</v>
      </c>
      <c r="G529" s="145" t="s">
        <v>3150</v>
      </c>
      <c r="H529" s="211" t="s">
        <v>77</v>
      </c>
      <c r="I529" s="145" t="s">
        <v>140</v>
      </c>
      <c r="J529" s="211" t="s">
        <v>1609</v>
      </c>
      <c r="K529" s="75" t="s">
        <v>1544</v>
      </c>
      <c r="L529" s="152" t="b">
        <v>1</v>
      </c>
      <c r="M529" s="152" t="b">
        <v>1</v>
      </c>
      <c r="N529" s="212" t="s">
        <v>3151</v>
      </c>
      <c r="O529" s="213" t="s">
        <v>1554</v>
      </c>
      <c r="P529" s="47" t="b">
        <v>1</v>
      </c>
      <c r="Q529" s="47" t="b">
        <v>0</v>
      </c>
      <c r="R529" s="214"/>
      <c r="S529" s="77">
        <v>0.0</v>
      </c>
      <c r="T529" s="76" t="s">
        <v>1162</v>
      </c>
      <c r="U529" s="78">
        <v>1.26E7</v>
      </c>
      <c r="V529" s="78">
        <v>0.0</v>
      </c>
      <c r="W529" s="216">
        <v>1.2E7</v>
      </c>
      <c r="X529" s="77">
        <v>120000.0</v>
      </c>
      <c r="Y529" s="77">
        <v>80000.0</v>
      </c>
      <c r="Z529" s="77"/>
    </row>
    <row r="530">
      <c r="A530" s="145" t="s">
        <v>678</v>
      </c>
      <c r="B530" s="145" t="s">
        <v>2206</v>
      </c>
      <c r="C530" s="145" t="s">
        <v>1543</v>
      </c>
      <c r="D530" s="75" t="s">
        <v>1544</v>
      </c>
      <c r="E530" s="75" t="s">
        <v>1544</v>
      </c>
      <c r="F530" s="211" t="s">
        <v>1690</v>
      </c>
      <c r="G530" s="145" t="s">
        <v>2290</v>
      </c>
      <c r="H530" s="211" t="s">
        <v>586</v>
      </c>
      <c r="I530" s="145" t="s">
        <v>674</v>
      </c>
      <c r="J530" s="211" t="s">
        <v>1597</v>
      </c>
      <c r="K530" s="75" t="s">
        <v>1544</v>
      </c>
      <c r="L530" s="152" t="b">
        <v>1</v>
      </c>
      <c r="M530" s="152" t="b">
        <v>0</v>
      </c>
      <c r="N530" s="212" t="s">
        <v>3152</v>
      </c>
      <c r="O530" s="213" t="s">
        <v>1554</v>
      </c>
      <c r="P530" s="47" t="b">
        <v>1</v>
      </c>
      <c r="Q530" s="47" t="b">
        <v>0</v>
      </c>
      <c r="R530" s="214"/>
      <c r="S530" s="77">
        <v>0.0</v>
      </c>
      <c r="T530" s="76" t="s">
        <v>1179</v>
      </c>
      <c r="U530" s="78">
        <v>2.700447E7</v>
      </c>
      <c r="V530" s="215"/>
      <c r="W530" s="216">
        <v>2.8E7</v>
      </c>
      <c r="X530" s="77">
        <v>196000.0</v>
      </c>
      <c r="Y530" s="77">
        <v>100000.0</v>
      </c>
      <c r="Z530" s="77"/>
    </row>
    <row r="531">
      <c r="A531" s="145" t="s">
        <v>170</v>
      </c>
      <c r="B531" s="145" t="s">
        <v>170</v>
      </c>
      <c r="C531" s="145" t="s">
        <v>1261</v>
      </c>
      <c r="D531" s="75" t="s">
        <v>1544</v>
      </c>
      <c r="E531" s="75" t="s">
        <v>1544</v>
      </c>
      <c r="F531" s="211" t="s">
        <v>1547</v>
      </c>
      <c r="G531" s="145" t="s">
        <v>3153</v>
      </c>
      <c r="H531" s="211" t="s">
        <v>77</v>
      </c>
      <c r="I531" s="145" t="s">
        <v>143</v>
      </c>
      <c r="J531" s="211" t="s">
        <v>1549</v>
      </c>
      <c r="K531" s="75" t="s">
        <v>1544</v>
      </c>
      <c r="L531" s="152" t="b">
        <v>1</v>
      </c>
      <c r="M531" s="152" t="b">
        <v>0</v>
      </c>
      <c r="N531" s="212" t="s">
        <v>3154</v>
      </c>
      <c r="O531" s="213" t="s">
        <v>1554</v>
      </c>
      <c r="P531" s="47" t="b">
        <v>1</v>
      </c>
      <c r="Q531" s="47" t="b">
        <v>0</v>
      </c>
      <c r="R531" s="214"/>
      <c r="S531" s="77">
        <v>0.0</v>
      </c>
      <c r="T531" s="76" t="s">
        <v>1184</v>
      </c>
      <c r="U531" s="78">
        <v>1.0E7</v>
      </c>
      <c r="V531" s="78">
        <v>0.0</v>
      </c>
      <c r="W531" s="216">
        <v>1.0E7</v>
      </c>
      <c r="X531" s="216">
        <v>100000.0</v>
      </c>
      <c r="Y531" s="77">
        <v>40000.0</v>
      </c>
      <c r="Z531" s="77"/>
    </row>
    <row r="532">
      <c r="A532" s="145" t="s">
        <v>818</v>
      </c>
      <c r="B532" s="145" t="s">
        <v>1585</v>
      </c>
      <c r="C532" s="145" t="s">
        <v>1543</v>
      </c>
      <c r="D532" s="75" t="s">
        <v>1544</v>
      </c>
      <c r="E532" s="75" t="s">
        <v>1544</v>
      </c>
      <c r="F532" s="211" t="s">
        <v>3090</v>
      </c>
      <c r="G532" s="145" t="s">
        <v>819</v>
      </c>
      <c r="H532" s="211" t="s">
        <v>77</v>
      </c>
      <c r="I532" s="145" t="s">
        <v>140</v>
      </c>
      <c r="J532" s="211" t="s">
        <v>1577</v>
      </c>
      <c r="K532" s="75" t="s">
        <v>1544</v>
      </c>
      <c r="L532" s="152" t="b">
        <v>1</v>
      </c>
      <c r="M532" s="152" t="b">
        <v>0</v>
      </c>
      <c r="N532" s="212" t="s">
        <v>3155</v>
      </c>
      <c r="O532" s="213" t="s">
        <v>1554</v>
      </c>
      <c r="P532" s="47" t="b">
        <v>1</v>
      </c>
      <c r="Q532" s="47" t="b">
        <v>0</v>
      </c>
      <c r="R532" s="214"/>
      <c r="S532" s="77">
        <v>0.0</v>
      </c>
      <c r="T532" s="76" t="s">
        <v>1156</v>
      </c>
      <c r="U532" s="78">
        <v>2987559.0</v>
      </c>
      <c r="V532" s="215"/>
      <c r="W532" s="216">
        <v>2000000.0</v>
      </c>
      <c r="X532" s="216">
        <v>20000.0</v>
      </c>
      <c r="Y532" s="77">
        <v>600000.0</v>
      </c>
      <c r="Z532" s="77"/>
    </row>
    <row r="533">
      <c r="A533" s="145" t="s">
        <v>578</v>
      </c>
      <c r="B533" s="145" t="s">
        <v>578</v>
      </c>
      <c r="C533" s="145" t="s">
        <v>3148</v>
      </c>
      <c r="D533" s="75" t="s">
        <v>1544</v>
      </c>
      <c r="E533" s="75" t="s">
        <v>1544</v>
      </c>
      <c r="F533" s="211" t="s">
        <v>1602</v>
      </c>
      <c r="G533" s="145" t="s">
        <v>579</v>
      </c>
      <c r="H533" s="211" t="s">
        <v>87</v>
      </c>
      <c r="I533" s="145" t="s">
        <v>267</v>
      </c>
      <c r="J533" s="211" t="s">
        <v>1603</v>
      </c>
      <c r="K533" s="75" t="s">
        <v>1544</v>
      </c>
      <c r="L533" s="152" t="b">
        <v>1</v>
      </c>
      <c r="M533" s="152" t="b">
        <v>0</v>
      </c>
      <c r="N533" s="217"/>
      <c r="O533" s="213" t="s">
        <v>1554</v>
      </c>
      <c r="P533" s="47" t="b">
        <v>0</v>
      </c>
      <c r="Q533" s="47" t="b">
        <v>0</v>
      </c>
      <c r="R533" s="214"/>
      <c r="S533" s="77">
        <v>0.0</v>
      </c>
      <c r="T533" s="76" t="s">
        <v>1184</v>
      </c>
      <c r="U533" s="215"/>
      <c r="V533" s="215"/>
      <c r="W533" s="218"/>
      <c r="X533" s="218"/>
      <c r="Y533" s="77">
        <v>1.0</v>
      </c>
      <c r="Z533" s="77"/>
    </row>
    <row r="534">
      <c r="A534" s="145" t="s">
        <v>460</v>
      </c>
      <c r="B534" s="145" t="s">
        <v>1632</v>
      </c>
      <c r="C534" s="145" t="s">
        <v>1543</v>
      </c>
      <c r="D534" s="75" t="s">
        <v>1544</v>
      </c>
      <c r="E534" s="75" t="s">
        <v>1544</v>
      </c>
      <c r="F534" s="211" t="s">
        <v>1547</v>
      </c>
      <c r="G534" s="145" t="s">
        <v>3110</v>
      </c>
      <c r="H534" s="211" t="s">
        <v>77</v>
      </c>
      <c r="I534" s="145" t="s">
        <v>325</v>
      </c>
      <c r="J534" s="211" t="s">
        <v>1549</v>
      </c>
      <c r="K534" s="75" t="s">
        <v>1544</v>
      </c>
      <c r="L534" s="152" t="b">
        <v>1</v>
      </c>
      <c r="M534" s="152" t="b">
        <v>0</v>
      </c>
      <c r="N534" s="212" t="s">
        <v>3156</v>
      </c>
      <c r="O534" s="213" t="s">
        <v>1554</v>
      </c>
      <c r="P534" s="47" t="b">
        <v>1</v>
      </c>
      <c r="Q534" s="47" t="b">
        <v>0</v>
      </c>
      <c r="R534" s="214"/>
      <c r="S534" s="77">
        <v>0.0</v>
      </c>
      <c r="T534" s="76" t="s">
        <v>1176</v>
      </c>
      <c r="U534" s="78">
        <v>1.2196093E7</v>
      </c>
      <c r="V534" s="215"/>
      <c r="W534" s="77">
        <v>1.2E7</v>
      </c>
      <c r="X534" s="77">
        <v>120000.0</v>
      </c>
      <c r="Y534" s="77">
        <v>40000.0</v>
      </c>
      <c r="Z534" s="77"/>
    </row>
    <row r="535">
      <c r="A535" s="145" t="s">
        <v>360</v>
      </c>
      <c r="B535" s="145" t="s">
        <v>1720</v>
      </c>
      <c r="C535" s="145" t="s">
        <v>1543</v>
      </c>
      <c r="D535" s="75" t="s">
        <v>1544</v>
      </c>
      <c r="E535" s="75" t="s">
        <v>1544</v>
      </c>
      <c r="F535" s="211" t="s">
        <v>1851</v>
      </c>
      <c r="G535" s="145" t="s">
        <v>1238</v>
      </c>
      <c r="H535" s="211" t="s">
        <v>1018</v>
      </c>
      <c r="I535" s="145" t="s">
        <v>83</v>
      </c>
      <c r="J535" s="211" t="s">
        <v>1639</v>
      </c>
      <c r="K535" s="75" t="s">
        <v>1544</v>
      </c>
      <c r="L535" s="152" t="b">
        <v>1</v>
      </c>
      <c r="M535" s="152" t="b">
        <v>0</v>
      </c>
      <c r="N535" s="212" t="s">
        <v>3157</v>
      </c>
      <c r="O535" s="213" t="s">
        <v>1554</v>
      </c>
      <c r="P535" s="47" t="b">
        <v>1</v>
      </c>
      <c r="Q535" s="47" t="b">
        <v>0</v>
      </c>
      <c r="R535" s="214"/>
      <c r="S535" s="77">
        <v>0.0</v>
      </c>
      <c r="T535" s="76" t="s">
        <v>1176</v>
      </c>
      <c r="U535" s="78">
        <v>1.312659E7</v>
      </c>
      <c r="V535" s="215"/>
      <c r="W535" s="77">
        <v>1.4E7</v>
      </c>
      <c r="X535" s="77">
        <v>112000.0</v>
      </c>
      <c r="Y535" s="77">
        <v>48000.0</v>
      </c>
      <c r="Z535" s="77"/>
    </row>
    <row r="536">
      <c r="A536" s="145" t="s">
        <v>283</v>
      </c>
      <c r="B536" s="145" t="s">
        <v>283</v>
      </c>
      <c r="C536" s="145" t="s">
        <v>1058</v>
      </c>
      <c r="D536" s="75" t="s">
        <v>1544</v>
      </c>
      <c r="E536" s="75" t="s">
        <v>1544</v>
      </c>
      <c r="F536" s="211" t="s">
        <v>1602</v>
      </c>
      <c r="G536" s="145" t="s">
        <v>284</v>
      </c>
      <c r="H536" s="211" t="s">
        <v>87</v>
      </c>
      <c r="I536" s="145" t="s">
        <v>267</v>
      </c>
      <c r="J536" s="211" t="s">
        <v>1603</v>
      </c>
      <c r="K536" s="75" t="s">
        <v>1544</v>
      </c>
      <c r="L536" s="152" t="b">
        <v>1</v>
      </c>
      <c r="M536" s="152" t="b">
        <v>0</v>
      </c>
      <c r="N536" s="217"/>
      <c r="O536" s="213" t="s">
        <v>1554</v>
      </c>
      <c r="P536" s="47" t="b">
        <v>0</v>
      </c>
      <c r="Q536" s="47" t="b">
        <v>0</v>
      </c>
      <c r="R536" s="214"/>
      <c r="S536" s="77">
        <v>0.0</v>
      </c>
      <c r="T536" s="76" t="s">
        <v>1161</v>
      </c>
      <c r="U536" s="215"/>
      <c r="V536" s="215"/>
      <c r="W536" s="214"/>
      <c r="X536" s="214"/>
      <c r="Y536" s="77">
        <v>1.0</v>
      </c>
      <c r="Z536" s="77"/>
    </row>
    <row r="537">
      <c r="A537" s="145" t="s">
        <v>590</v>
      </c>
      <c r="B537" s="145" t="s">
        <v>590</v>
      </c>
      <c r="C537" s="145" t="s">
        <v>2398</v>
      </c>
      <c r="D537" s="75" t="s">
        <v>1601</v>
      </c>
      <c r="E537" s="75" t="s">
        <v>1601</v>
      </c>
      <c r="F537" s="211" t="s">
        <v>3158</v>
      </c>
      <c r="G537" s="145" t="s">
        <v>591</v>
      </c>
      <c r="H537" s="211" t="s">
        <v>3159</v>
      </c>
      <c r="I537" s="145" t="s">
        <v>2913</v>
      </c>
      <c r="J537" s="211" t="s">
        <v>3079</v>
      </c>
      <c r="K537" s="75" t="s">
        <v>1601</v>
      </c>
      <c r="L537" s="152" t="b">
        <v>1</v>
      </c>
      <c r="M537" s="152" t="b">
        <v>0</v>
      </c>
      <c r="N537" s="217"/>
      <c r="O537" s="213" t="s">
        <v>1554</v>
      </c>
      <c r="P537" s="47" t="b">
        <v>0</v>
      </c>
      <c r="Q537" s="47" t="b">
        <v>0</v>
      </c>
      <c r="R537" s="214"/>
      <c r="S537" s="77">
        <v>0.0</v>
      </c>
      <c r="T537" s="214"/>
      <c r="U537" s="215"/>
      <c r="V537" s="215"/>
      <c r="W537" s="214"/>
      <c r="X537" s="214"/>
      <c r="Y537" s="77">
        <v>1500000.0</v>
      </c>
      <c r="Z537" s="77"/>
    </row>
    <row r="538">
      <c r="A538" s="145" t="s">
        <v>3160</v>
      </c>
      <c r="B538" s="145" t="s">
        <v>3160</v>
      </c>
      <c r="C538" s="145" t="s">
        <v>2288</v>
      </c>
      <c r="D538" s="75" t="s">
        <v>1601</v>
      </c>
      <c r="E538" s="75" t="s">
        <v>1601</v>
      </c>
      <c r="F538" s="211" t="s">
        <v>2910</v>
      </c>
      <c r="G538" s="145" t="s">
        <v>2788</v>
      </c>
      <c r="H538" s="211" t="s">
        <v>77</v>
      </c>
      <c r="I538" s="145" t="s">
        <v>3161</v>
      </c>
      <c r="J538" s="211" t="s">
        <v>3162</v>
      </c>
      <c r="K538" s="75" t="s">
        <v>1544</v>
      </c>
      <c r="L538" s="152" t="b">
        <v>0</v>
      </c>
      <c r="M538" s="152" t="b">
        <v>1</v>
      </c>
      <c r="N538" s="217"/>
      <c r="O538" s="213" t="s">
        <v>1554</v>
      </c>
      <c r="P538" s="47" t="b">
        <v>0</v>
      </c>
      <c r="Q538" s="47" t="b">
        <v>0</v>
      </c>
      <c r="R538" s="214"/>
      <c r="S538" s="77">
        <v>0.0</v>
      </c>
      <c r="T538" s="214"/>
      <c r="U538" s="215"/>
      <c r="V538" s="215"/>
      <c r="W538" s="214"/>
      <c r="X538" s="193"/>
      <c r="Y538" s="77">
        <v>50000.0</v>
      </c>
      <c r="Z538" s="77"/>
    </row>
    <row r="539">
      <c r="A539" s="145" t="s">
        <v>3163</v>
      </c>
      <c r="B539" s="145" t="s">
        <v>3163</v>
      </c>
      <c r="C539" s="145" t="s">
        <v>2288</v>
      </c>
      <c r="D539" s="75" t="s">
        <v>1601</v>
      </c>
      <c r="E539" s="75" t="s">
        <v>1601</v>
      </c>
      <c r="F539" s="211" t="s">
        <v>2910</v>
      </c>
      <c r="G539" s="145" t="s">
        <v>2788</v>
      </c>
      <c r="H539" s="211" t="s">
        <v>77</v>
      </c>
      <c r="I539" s="145" t="s">
        <v>3161</v>
      </c>
      <c r="J539" s="211" t="s">
        <v>3162</v>
      </c>
      <c r="K539" s="75" t="s">
        <v>1544</v>
      </c>
      <c r="L539" s="152" t="b">
        <v>0</v>
      </c>
      <c r="M539" s="152" t="b">
        <v>1</v>
      </c>
      <c r="N539" s="217"/>
      <c r="O539" s="213" t="s">
        <v>1554</v>
      </c>
      <c r="P539" s="47" t="b">
        <v>0</v>
      </c>
      <c r="Q539" s="47" t="b">
        <v>0</v>
      </c>
      <c r="R539" s="214"/>
      <c r="S539" s="77">
        <v>0.0</v>
      </c>
      <c r="T539" s="214"/>
      <c r="U539" s="215"/>
      <c r="V539" s="215"/>
      <c r="W539" s="214"/>
      <c r="X539" s="214"/>
      <c r="Y539" s="77">
        <v>50000.0</v>
      </c>
      <c r="Z539" s="77"/>
    </row>
    <row r="540">
      <c r="A540" s="145" t="s">
        <v>3164</v>
      </c>
      <c r="B540" s="145" t="s">
        <v>3164</v>
      </c>
      <c r="C540" s="145" t="s">
        <v>3148</v>
      </c>
      <c r="D540" s="75" t="s">
        <v>1601</v>
      </c>
      <c r="E540" s="75" t="s">
        <v>1601</v>
      </c>
      <c r="F540" s="211" t="s">
        <v>2910</v>
      </c>
      <c r="G540" s="145" t="s">
        <v>2788</v>
      </c>
      <c r="H540" s="211" t="s">
        <v>77</v>
      </c>
      <c r="I540" s="145" t="s">
        <v>3161</v>
      </c>
      <c r="J540" s="211" t="s">
        <v>3162</v>
      </c>
      <c r="K540" s="75" t="s">
        <v>1544</v>
      </c>
      <c r="L540" s="152" t="b">
        <v>1</v>
      </c>
      <c r="M540" s="152" t="b">
        <v>0</v>
      </c>
      <c r="N540" s="217"/>
      <c r="O540" s="213" t="s">
        <v>1554</v>
      </c>
      <c r="P540" s="47" t="b">
        <v>0</v>
      </c>
      <c r="Q540" s="47" t="b">
        <v>0</v>
      </c>
      <c r="R540" s="214"/>
      <c r="S540" s="77">
        <v>0.0</v>
      </c>
      <c r="T540" s="214"/>
      <c r="U540" s="215"/>
      <c r="V540" s="215"/>
      <c r="W540" s="214"/>
      <c r="X540" s="214"/>
      <c r="Y540" s="77">
        <v>50000.0</v>
      </c>
      <c r="Z540" s="77"/>
    </row>
    <row r="541">
      <c r="A541" s="145" t="s">
        <v>3165</v>
      </c>
      <c r="B541" s="145" t="s">
        <v>3165</v>
      </c>
      <c r="C541" s="145" t="s">
        <v>1543</v>
      </c>
      <c r="D541" s="75" t="s">
        <v>1601</v>
      </c>
      <c r="E541" s="75" t="s">
        <v>1601</v>
      </c>
      <c r="F541" s="211" t="s">
        <v>2910</v>
      </c>
      <c r="G541" s="145" t="s">
        <v>2788</v>
      </c>
      <c r="H541" s="211" t="s">
        <v>77</v>
      </c>
      <c r="I541" s="145" t="s">
        <v>3161</v>
      </c>
      <c r="J541" s="211" t="s">
        <v>3162</v>
      </c>
      <c r="K541" s="75" t="s">
        <v>1544</v>
      </c>
      <c r="L541" s="152" t="b">
        <v>0</v>
      </c>
      <c r="M541" s="152" t="b">
        <v>1</v>
      </c>
      <c r="N541" s="217"/>
      <c r="O541" s="213" t="s">
        <v>1554</v>
      </c>
      <c r="P541" s="47" t="b">
        <v>0</v>
      </c>
      <c r="Q541" s="47" t="b">
        <v>0</v>
      </c>
      <c r="R541" s="214"/>
      <c r="S541" s="77">
        <v>0.0</v>
      </c>
      <c r="T541" s="214"/>
      <c r="U541" s="215"/>
      <c r="V541" s="215"/>
      <c r="W541" s="214"/>
      <c r="X541" s="214"/>
      <c r="Y541" s="77">
        <v>50000.0</v>
      </c>
      <c r="Z541" s="77"/>
    </row>
    <row r="542">
      <c r="A542" s="145" t="s">
        <v>3166</v>
      </c>
      <c r="B542" s="145" t="s">
        <v>3166</v>
      </c>
      <c r="C542" s="145" t="s">
        <v>1543</v>
      </c>
      <c r="D542" s="75" t="s">
        <v>1601</v>
      </c>
      <c r="E542" s="75" t="s">
        <v>1601</v>
      </c>
      <c r="F542" s="211" t="s">
        <v>2910</v>
      </c>
      <c r="G542" s="145" t="s">
        <v>2788</v>
      </c>
      <c r="H542" s="211" t="s">
        <v>77</v>
      </c>
      <c r="I542" s="145" t="s">
        <v>3161</v>
      </c>
      <c r="J542" s="211" t="s">
        <v>3162</v>
      </c>
      <c r="K542" s="75" t="s">
        <v>1544</v>
      </c>
      <c r="L542" s="152" t="b">
        <v>0</v>
      </c>
      <c r="M542" s="152" t="b">
        <v>0</v>
      </c>
      <c r="N542" s="217"/>
      <c r="O542" s="213" t="s">
        <v>1554</v>
      </c>
      <c r="P542" s="47" t="b">
        <v>0</v>
      </c>
      <c r="Q542" s="47" t="b">
        <v>0</v>
      </c>
      <c r="R542" s="214"/>
      <c r="S542" s="77">
        <v>0.0</v>
      </c>
      <c r="T542" s="214"/>
      <c r="U542" s="215"/>
      <c r="V542" s="215"/>
      <c r="W542" s="214"/>
      <c r="X542" s="193"/>
      <c r="Y542" s="77">
        <v>50000.0</v>
      </c>
      <c r="Z542" s="77"/>
    </row>
    <row r="543">
      <c r="A543" s="145" t="s">
        <v>3167</v>
      </c>
      <c r="B543" s="145" t="s">
        <v>3167</v>
      </c>
      <c r="C543" s="145" t="s">
        <v>2288</v>
      </c>
      <c r="D543" s="75" t="s">
        <v>1601</v>
      </c>
      <c r="E543" s="75" t="s">
        <v>1601</v>
      </c>
      <c r="F543" s="211" t="s">
        <v>2910</v>
      </c>
      <c r="G543" s="145" t="s">
        <v>2788</v>
      </c>
      <c r="H543" s="211" t="s">
        <v>77</v>
      </c>
      <c r="I543" s="145" t="s">
        <v>3161</v>
      </c>
      <c r="J543" s="211" t="s">
        <v>3162</v>
      </c>
      <c r="K543" s="75" t="s">
        <v>1544</v>
      </c>
      <c r="L543" s="152" t="b">
        <v>0</v>
      </c>
      <c r="M543" s="152" t="b">
        <v>1</v>
      </c>
      <c r="N543" s="217"/>
      <c r="O543" s="213" t="s">
        <v>1554</v>
      </c>
      <c r="P543" s="47" t="b">
        <v>0</v>
      </c>
      <c r="Q543" s="47" t="b">
        <v>0</v>
      </c>
      <c r="R543" s="214"/>
      <c r="S543" s="77">
        <v>0.0</v>
      </c>
      <c r="T543" s="214"/>
      <c r="U543" s="215"/>
      <c r="V543" s="215"/>
      <c r="W543" s="214"/>
      <c r="X543" s="193"/>
      <c r="Y543" s="77">
        <v>50000.0</v>
      </c>
      <c r="Z543" s="77"/>
    </row>
    <row r="544">
      <c r="A544" s="145" t="s">
        <v>3168</v>
      </c>
      <c r="B544" s="145" t="s">
        <v>3168</v>
      </c>
      <c r="C544" s="145" t="s">
        <v>2288</v>
      </c>
      <c r="D544" s="75" t="s">
        <v>1601</v>
      </c>
      <c r="E544" s="75" t="s">
        <v>1601</v>
      </c>
      <c r="F544" s="211" t="s">
        <v>2910</v>
      </c>
      <c r="G544" s="145" t="s">
        <v>2788</v>
      </c>
      <c r="H544" s="211" t="s">
        <v>77</v>
      </c>
      <c r="I544" s="145" t="s">
        <v>3161</v>
      </c>
      <c r="J544" s="211" t="s">
        <v>3162</v>
      </c>
      <c r="K544" s="75" t="s">
        <v>1544</v>
      </c>
      <c r="L544" s="152" t="b">
        <v>0</v>
      </c>
      <c r="M544" s="152" t="b">
        <v>1</v>
      </c>
      <c r="N544" s="217"/>
      <c r="O544" s="213" t="s">
        <v>1554</v>
      </c>
      <c r="P544" s="47" t="b">
        <v>0</v>
      </c>
      <c r="Q544" s="47" t="b">
        <v>0</v>
      </c>
      <c r="R544" s="214"/>
      <c r="S544" s="77">
        <v>0.0</v>
      </c>
      <c r="T544" s="214"/>
      <c r="U544" s="215"/>
      <c r="V544" s="215"/>
      <c r="W544" s="214"/>
      <c r="X544" s="193"/>
      <c r="Y544" s="77">
        <v>50000.0</v>
      </c>
      <c r="Z544" s="77"/>
    </row>
    <row r="545">
      <c r="A545" s="145" t="s">
        <v>70</v>
      </c>
      <c r="B545" s="230"/>
      <c r="C545" s="145" t="s">
        <v>2288</v>
      </c>
      <c r="D545" s="75" t="s">
        <v>1601</v>
      </c>
      <c r="E545" s="75" t="s">
        <v>1544</v>
      </c>
      <c r="F545" s="211" t="s">
        <v>1602</v>
      </c>
      <c r="G545" s="145" t="s">
        <v>72</v>
      </c>
      <c r="H545" s="211" t="s">
        <v>87</v>
      </c>
      <c r="I545" s="145" t="s">
        <v>86</v>
      </c>
      <c r="J545" s="211" t="s">
        <v>1603</v>
      </c>
      <c r="K545" s="75" t="s">
        <v>1544</v>
      </c>
      <c r="L545" s="152" t="b">
        <v>1</v>
      </c>
      <c r="M545" s="152" t="b">
        <v>1</v>
      </c>
      <c r="N545" s="217"/>
      <c r="O545" s="213" t="s">
        <v>1554</v>
      </c>
      <c r="P545" s="47" t="b">
        <v>1</v>
      </c>
      <c r="Q545" s="47" t="b">
        <v>0</v>
      </c>
      <c r="R545" s="214"/>
      <c r="S545" s="77">
        <v>0.0</v>
      </c>
      <c r="T545" s="76" t="s">
        <v>1152</v>
      </c>
      <c r="U545" s="215"/>
      <c r="V545" s="215"/>
      <c r="W545" s="214"/>
      <c r="X545" s="214"/>
      <c r="Y545" s="77">
        <v>1.0</v>
      </c>
      <c r="Z545" s="77"/>
    </row>
    <row r="546">
      <c r="A546" s="145" t="s">
        <v>672</v>
      </c>
      <c r="B546" s="145" t="s">
        <v>70</v>
      </c>
      <c r="C546" s="145" t="s">
        <v>2288</v>
      </c>
      <c r="D546" s="75" t="s">
        <v>1544</v>
      </c>
      <c r="E546" s="75" t="s">
        <v>1544</v>
      </c>
      <c r="F546" s="211" t="s">
        <v>3169</v>
      </c>
      <c r="G546" s="145" t="s">
        <v>916</v>
      </c>
      <c r="H546" s="211" t="s">
        <v>586</v>
      </c>
      <c r="I546" s="145" t="s">
        <v>674</v>
      </c>
      <c r="J546" s="211" t="s">
        <v>2377</v>
      </c>
      <c r="K546" s="75" t="s">
        <v>1544</v>
      </c>
      <c r="L546" s="152" t="b">
        <v>1</v>
      </c>
      <c r="M546" s="152" t="b">
        <v>0</v>
      </c>
      <c r="N546" s="217"/>
      <c r="O546" s="213" t="s">
        <v>1554</v>
      </c>
      <c r="P546" s="47" t="b">
        <v>1</v>
      </c>
      <c r="Q546" s="47" t="b">
        <v>0</v>
      </c>
      <c r="R546" s="214"/>
      <c r="S546" s="77">
        <v>0.0</v>
      </c>
      <c r="T546" s="76" t="s">
        <v>1152</v>
      </c>
      <c r="U546" s="78">
        <v>4.0E7</v>
      </c>
      <c r="V546" s="215"/>
      <c r="W546" s="77">
        <v>4.0E7</v>
      </c>
      <c r="X546" s="77">
        <v>280000.0</v>
      </c>
      <c r="Y546" s="77">
        <v>373638.0</v>
      </c>
      <c r="Z546" s="77"/>
    </row>
    <row r="547">
      <c r="A547" s="145" t="s">
        <v>208</v>
      </c>
      <c r="B547" s="145" t="s">
        <v>1647</v>
      </c>
      <c r="C547" s="145" t="s">
        <v>1543</v>
      </c>
      <c r="D547" s="75" t="s">
        <v>1544</v>
      </c>
      <c r="E547" s="75" t="s">
        <v>1544</v>
      </c>
      <c r="F547" s="211" t="s">
        <v>1649</v>
      </c>
      <c r="G547" s="145" t="s">
        <v>3170</v>
      </c>
      <c r="H547" s="211" t="s">
        <v>1018</v>
      </c>
      <c r="I547" s="145" t="s">
        <v>132</v>
      </c>
      <c r="J547" s="211" t="s">
        <v>1549</v>
      </c>
      <c r="K547" s="75" t="s">
        <v>1544</v>
      </c>
      <c r="L547" s="152" t="b">
        <v>1</v>
      </c>
      <c r="M547" s="152" t="b">
        <v>0</v>
      </c>
      <c r="N547" s="212" t="s">
        <v>3171</v>
      </c>
      <c r="O547" s="213" t="s">
        <v>1554</v>
      </c>
      <c r="P547" s="47" t="b">
        <v>1</v>
      </c>
      <c r="Q547" s="47" t="b">
        <v>0</v>
      </c>
      <c r="R547" s="214"/>
      <c r="S547" s="77">
        <v>0.0</v>
      </c>
      <c r="T547" s="76" t="s">
        <v>1179</v>
      </c>
      <c r="U547" s="78">
        <v>1.150295E7</v>
      </c>
      <c r="V547" s="215"/>
      <c r="W547" s="77">
        <v>1.2E7</v>
      </c>
      <c r="X547" s="77">
        <v>96000.0</v>
      </c>
      <c r="Y547" s="77">
        <v>32000.0</v>
      </c>
      <c r="Z547" s="77"/>
    </row>
    <row r="548">
      <c r="A548" s="145" t="s">
        <v>477</v>
      </c>
      <c r="B548" s="145" t="s">
        <v>1585</v>
      </c>
      <c r="C548" s="145" t="s">
        <v>1543</v>
      </c>
      <c r="D548" s="75" t="s">
        <v>1544</v>
      </c>
      <c r="E548" s="75" t="s">
        <v>1544</v>
      </c>
      <c r="F548" s="211" t="s">
        <v>1666</v>
      </c>
      <c r="G548" s="145" t="s">
        <v>842</v>
      </c>
      <c r="H548" s="211" t="s">
        <v>77</v>
      </c>
      <c r="I548" s="145" t="s">
        <v>140</v>
      </c>
      <c r="J548" s="211" t="s">
        <v>1667</v>
      </c>
      <c r="K548" s="75" t="s">
        <v>1544</v>
      </c>
      <c r="L548" s="152" t="b">
        <v>1</v>
      </c>
      <c r="M548" s="152" t="b">
        <v>0</v>
      </c>
      <c r="N548" s="212" t="s">
        <v>3172</v>
      </c>
      <c r="O548" s="213" t="s">
        <v>1554</v>
      </c>
      <c r="P548" s="47" t="b">
        <v>1</v>
      </c>
      <c r="Q548" s="47" t="b">
        <v>0</v>
      </c>
      <c r="R548" s="214"/>
      <c r="S548" s="77">
        <v>0.0</v>
      </c>
      <c r="T548" s="76" t="s">
        <v>1156</v>
      </c>
      <c r="U548" s="78">
        <v>1.2516893E7</v>
      </c>
      <c r="V548" s="215"/>
      <c r="W548" s="216">
        <v>1.2E7</v>
      </c>
      <c r="X548" s="77">
        <v>120000.0</v>
      </c>
      <c r="Y548" s="77">
        <v>3600000.0</v>
      </c>
      <c r="Z548" s="77"/>
    </row>
    <row r="549">
      <c r="A549" s="145" t="s">
        <v>137</v>
      </c>
      <c r="B549" s="230"/>
      <c r="C549" s="145" t="s">
        <v>3173</v>
      </c>
      <c r="D549" s="75" t="s">
        <v>1601</v>
      </c>
      <c r="E549" s="75" t="s">
        <v>1544</v>
      </c>
      <c r="F549" s="211" t="s">
        <v>1602</v>
      </c>
      <c r="G549" s="145" t="s">
        <v>138</v>
      </c>
      <c r="H549" s="211" t="s">
        <v>87</v>
      </c>
      <c r="I549" s="145" t="s">
        <v>86</v>
      </c>
      <c r="J549" s="211" t="s">
        <v>1603</v>
      </c>
      <c r="K549" s="75" t="s">
        <v>1544</v>
      </c>
      <c r="L549" s="152" t="b">
        <v>1</v>
      </c>
      <c r="M549" s="152" t="b">
        <v>1</v>
      </c>
      <c r="N549" s="217"/>
      <c r="O549" s="213" t="s">
        <v>1554</v>
      </c>
      <c r="P549" s="47" t="b">
        <v>0</v>
      </c>
      <c r="Q549" s="47" t="b">
        <v>0</v>
      </c>
      <c r="R549" s="214"/>
      <c r="S549" s="77">
        <v>0.0</v>
      </c>
      <c r="T549" s="76" t="s">
        <v>1179</v>
      </c>
      <c r="U549" s="215"/>
      <c r="V549" s="215"/>
      <c r="W549" s="214"/>
      <c r="X549" s="218"/>
      <c r="Y549" s="77">
        <v>1.0</v>
      </c>
      <c r="Z549" s="77"/>
    </row>
    <row r="550">
      <c r="A550" s="145" t="s">
        <v>361</v>
      </c>
      <c r="B550" s="145" t="s">
        <v>1595</v>
      </c>
      <c r="C550" s="145" t="s">
        <v>1543</v>
      </c>
      <c r="D550" s="75" t="s">
        <v>1544</v>
      </c>
      <c r="E550" s="75" t="s">
        <v>1544</v>
      </c>
      <c r="F550" s="211" t="s">
        <v>2433</v>
      </c>
      <c r="G550" s="145" t="s">
        <v>757</v>
      </c>
      <c r="H550" s="211" t="s">
        <v>1018</v>
      </c>
      <c r="I550" s="145" t="s">
        <v>113</v>
      </c>
      <c r="J550" s="211" t="s">
        <v>2434</v>
      </c>
      <c r="K550" s="75" t="s">
        <v>1544</v>
      </c>
      <c r="L550" s="152" t="b">
        <v>1</v>
      </c>
      <c r="M550" s="152" t="b">
        <v>0</v>
      </c>
      <c r="N550" s="212" t="s">
        <v>3174</v>
      </c>
      <c r="O550" s="213" t="s">
        <v>1554</v>
      </c>
      <c r="P550" s="47" t="b">
        <v>1</v>
      </c>
      <c r="Q550" s="47" t="b">
        <v>0</v>
      </c>
      <c r="R550" s="214"/>
      <c r="S550" s="77">
        <v>0.0</v>
      </c>
      <c r="T550" s="76" t="s">
        <v>1156</v>
      </c>
      <c r="U550" s="78">
        <v>1.7248483E7</v>
      </c>
      <c r="V550" s="215"/>
      <c r="W550" s="77">
        <v>1.8E7</v>
      </c>
      <c r="X550" s="216">
        <v>144000.0</v>
      </c>
      <c r="Y550" s="77">
        <v>5400000.0</v>
      </c>
      <c r="Z550" s="77"/>
    </row>
    <row r="551">
      <c r="A551" s="145" t="s">
        <v>812</v>
      </c>
      <c r="B551" s="145" t="s">
        <v>137</v>
      </c>
      <c r="C551" s="145" t="s">
        <v>3173</v>
      </c>
      <c r="D551" s="75" t="s">
        <v>1544</v>
      </c>
      <c r="E551" s="75" t="s">
        <v>1544</v>
      </c>
      <c r="F551" s="211" t="s">
        <v>1602</v>
      </c>
      <c r="G551" s="145" t="s">
        <v>813</v>
      </c>
      <c r="H551" s="211" t="s">
        <v>87</v>
      </c>
      <c r="I551" s="145" t="s">
        <v>267</v>
      </c>
      <c r="J551" s="211" t="s">
        <v>1603</v>
      </c>
      <c r="K551" s="75" t="s">
        <v>1544</v>
      </c>
      <c r="L551" s="152" t="b">
        <v>1</v>
      </c>
      <c r="M551" s="152" t="b">
        <v>1</v>
      </c>
      <c r="N551" s="217"/>
      <c r="O551" s="213" t="s">
        <v>1554</v>
      </c>
      <c r="P551" s="47" t="b">
        <v>0</v>
      </c>
      <c r="Q551" s="47" t="b">
        <v>0</v>
      </c>
      <c r="R551" s="214"/>
      <c r="S551" s="77">
        <v>0.0</v>
      </c>
      <c r="T551" s="76" t="s">
        <v>1179</v>
      </c>
      <c r="U551" s="215"/>
      <c r="V551" s="215"/>
      <c r="W551" s="214"/>
      <c r="X551" s="218"/>
      <c r="Y551" s="77">
        <v>1.0</v>
      </c>
      <c r="Z551" s="77"/>
    </row>
    <row r="552">
      <c r="A552" s="145" t="s">
        <v>197</v>
      </c>
      <c r="B552" s="230"/>
      <c r="C552" s="145" t="s">
        <v>3173</v>
      </c>
      <c r="D552" s="75" t="s">
        <v>1601</v>
      </c>
      <c r="E552" s="75" t="s">
        <v>1544</v>
      </c>
      <c r="F552" s="211" t="s">
        <v>1602</v>
      </c>
      <c r="G552" s="145" t="s">
        <v>198</v>
      </c>
      <c r="H552" s="211" t="s">
        <v>87</v>
      </c>
      <c r="I552" s="145" t="s">
        <v>86</v>
      </c>
      <c r="J552" s="211" t="s">
        <v>1603</v>
      </c>
      <c r="K552" s="75" t="s">
        <v>1544</v>
      </c>
      <c r="L552" s="152" t="b">
        <v>1</v>
      </c>
      <c r="M552" s="152" t="b">
        <v>1</v>
      </c>
      <c r="N552" s="217"/>
      <c r="O552" s="213" t="s">
        <v>1554</v>
      </c>
      <c r="P552" s="47" t="b">
        <v>0</v>
      </c>
      <c r="Q552" s="47" t="b">
        <v>0</v>
      </c>
      <c r="R552" s="214"/>
      <c r="S552" s="77">
        <v>0.0</v>
      </c>
      <c r="T552" s="76" t="s">
        <v>1179</v>
      </c>
      <c r="U552" s="215"/>
      <c r="V552" s="215"/>
      <c r="W552" s="214"/>
      <c r="X552" s="193"/>
      <c r="Y552" s="77">
        <v>1.0</v>
      </c>
      <c r="Z552" s="77"/>
    </row>
    <row r="553">
      <c r="A553" s="145" t="s">
        <v>799</v>
      </c>
      <c r="B553" s="145" t="s">
        <v>197</v>
      </c>
      <c r="C553" s="145" t="s">
        <v>3173</v>
      </c>
      <c r="D553" s="75" t="s">
        <v>1544</v>
      </c>
      <c r="E553" s="75" t="s">
        <v>1544</v>
      </c>
      <c r="F553" s="211" t="s">
        <v>1602</v>
      </c>
      <c r="G553" s="145" t="s">
        <v>800</v>
      </c>
      <c r="H553" s="211" t="s">
        <v>87</v>
      </c>
      <c r="I553" s="145" t="s">
        <v>267</v>
      </c>
      <c r="J553" s="211" t="s">
        <v>1603</v>
      </c>
      <c r="K553" s="75" t="s">
        <v>1544</v>
      </c>
      <c r="L553" s="152" t="b">
        <v>1</v>
      </c>
      <c r="M553" s="152" t="b">
        <v>1</v>
      </c>
      <c r="N553" s="217"/>
      <c r="O553" s="213" t="s">
        <v>1554</v>
      </c>
      <c r="P553" s="47" t="b">
        <v>0</v>
      </c>
      <c r="Q553" s="47" t="b">
        <v>0</v>
      </c>
      <c r="R553" s="214"/>
      <c r="S553" s="77">
        <v>0.0</v>
      </c>
      <c r="T553" s="235" t="s">
        <v>1179</v>
      </c>
      <c r="U553" s="215"/>
      <c r="V553" s="215"/>
      <c r="W553" s="218"/>
      <c r="X553" s="218"/>
      <c r="Y553" s="77">
        <v>1.0</v>
      </c>
      <c r="Z553" s="77"/>
    </row>
    <row r="554">
      <c r="A554" s="145" t="s">
        <v>122</v>
      </c>
      <c r="B554" s="230"/>
      <c r="C554" s="145" t="s">
        <v>2288</v>
      </c>
      <c r="D554" s="75" t="s">
        <v>1601</v>
      </c>
      <c r="E554" s="75" t="s">
        <v>1544</v>
      </c>
      <c r="F554" s="211" t="s">
        <v>1602</v>
      </c>
      <c r="G554" s="145" t="s">
        <v>123</v>
      </c>
      <c r="H554" s="211" t="s">
        <v>87</v>
      </c>
      <c r="I554" s="145" t="s">
        <v>86</v>
      </c>
      <c r="J554" s="211" t="s">
        <v>1603</v>
      </c>
      <c r="K554" s="75" t="s">
        <v>1544</v>
      </c>
      <c r="L554" s="152" t="b">
        <v>1</v>
      </c>
      <c r="M554" s="152" t="b">
        <v>1</v>
      </c>
      <c r="N554" s="217"/>
      <c r="O554" s="213" t="s">
        <v>1554</v>
      </c>
      <c r="P554" s="47" t="b">
        <v>1</v>
      </c>
      <c r="Q554" s="47" t="b">
        <v>0</v>
      </c>
      <c r="R554" s="214"/>
      <c r="S554" s="77">
        <v>0.0</v>
      </c>
      <c r="T554" s="76" t="s">
        <v>1152</v>
      </c>
      <c r="U554" s="215"/>
      <c r="V554" s="215"/>
      <c r="W554" s="214"/>
      <c r="X554" s="218"/>
      <c r="Y554" s="77">
        <v>1.0</v>
      </c>
      <c r="Z554" s="77"/>
    </row>
    <row r="555">
      <c r="A555" s="145" t="s">
        <v>627</v>
      </c>
      <c r="B555" s="145" t="s">
        <v>122</v>
      </c>
      <c r="C555" s="145" t="s">
        <v>2288</v>
      </c>
      <c r="D555" s="75" t="s">
        <v>1544</v>
      </c>
      <c r="E555" s="75" t="s">
        <v>1544</v>
      </c>
      <c r="F555" s="211" t="s">
        <v>3141</v>
      </c>
      <c r="G555" s="145" t="s">
        <v>2332</v>
      </c>
      <c r="H555" s="211" t="s">
        <v>625</v>
      </c>
      <c r="I555" s="145" t="s">
        <v>624</v>
      </c>
      <c r="J555" s="211" t="s">
        <v>2377</v>
      </c>
      <c r="K555" s="75" t="s">
        <v>1544</v>
      </c>
      <c r="L555" s="152" t="b">
        <v>1</v>
      </c>
      <c r="M555" s="152" t="b">
        <v>1</v>
      </c>
      <c r="N555" s="217"/>
      <c r="O555" s="213" t="s">
        <v>1554</v>
      </c>
      <c r="P555" s="47" t="b">
        <v>1</v>
      </c>
      <c r="Q555" s="47" t="b">
        <v>0</v>
      </c>
      <c r="R555" s="214"/>
      <c r="S555" s="77">
        <v>0.0</v>
      </c>
      <c r="T555" s="76" t="s">
        <v>1152</v>
      </c>
      <c r="U555" s="78">
        <v>4.0E7</v>
      </c>
      <c r="V555" s="215"/>
      <c r="W555" s="77">
        <v>4.0E7</v>
      </c>
      <c r="X555" s="216">
        <v>4.0E9</v>
      </c>
      <c r="Y555" s="216">
        <v>1.2E7</v>
      </c>
      <c r="Z555" s="77"/>
    </row>
    <row r="556">
      <c r="A556" s="145" t="s">
        <v>782</v>
      </c>
      <c r="B556" s="145" t="s">
        <v>782</v>
      </c>
      <c r="C556" s="145" t="s">
        <v>3175</v>
      </c>
      <c r="D556" s="75" t="s">
        <v>1544</v>
      </c>
      <c r="E556" s="75" t="s">
        <v>1544</v>
      </c>
      <c r="F556" s="211" t="s">
        <v>1602</v>
      </c>
      <c r="G556" s="145" t="s">
        <v>783</v>
      </c>
      <c r="H556" s="211" t="s">
        <v>87</v>
      </c>
      <c r="I556" s="145" t="s">
        <v>267</v>
      </c>
      <c r="J556" s="211" t="s">
        <v>1603</v>
      </c>
      <c r="K556" s="75" t="s">
        <v>1544</v>
      </c>
      <c r="L556" s="152" t="b">
        <v>1</v>
      </c>
      <c r="M556" s="152" t="b">
        <v>0</v>
      </c>
      <c r="N556" s="212" t="s">
        <v>3176</v>
      </c>
      <c r="O556" s="213" t="s">
        <v>1554</v>
      </c>
      <c r="P556" s="47" t="b">
        <v>0</v>
      </c>
      <c r="Q556" s="47" t="b">
        <v>0</v>
      </c>
      <c r="R556" s="214"/>
      <c r="S556" s="77">
        <v>0.0</v>
      </c>
      <c r="T556" s="76" t="s">
        <v>1179</v>
      </c>
      <c r="U556" s="215"/>
      <c r="V556" s="215"/>
      <c r="W556" s="214"/>
      <c r="X556" s="218"/>
      <c r="Y556" s="77">
        <v>1.0</v>
      </c>
      <c r="Z556" s="77"/>
    </row>
    <row r="557">
      <c r="A557" s="145" t="s">
        <v>553</v>
      </c>
      <c r="B557" s="145" t="s">
        <v>1564</v>
      </c>
      <c r="C557" s="145" t="s">
        <v>1543</v>
      </c>
      <c r="D557" s="75" t="s">
        <v>1544</v>
      </c>
      <c r="E557" s="75" t="s">
        <v>1544</v>
      </c>
      <c r="F557" s="211" t="s">
        <v>1637</v>
      </c>
      <c r="G557" s="145" t="s">
        <v>3177</v>
      </c>
      <c r="H557" s="211" t="s">
        <v>77</v>
      </c>
      <c r="I557" s="145" t="s">
        <v>338</v>
      </c>
      <c r="J557" s="211" t="s">
        <v>1639</v>
      </c>
      <c r="K557" s="75" t="s">
        <v>1544</v>
      </c>
      <c r="L557" s="152" t="b">
        <v>1</v>
      </c>
      <c r="M557" s="152" t="b">
        <v>0</v>
      </c>
      <c r="N557" s="212" t="s">
        <v>3178</v>
      </c>
      <c r="O557" s="213" t="s">
        <v>1554</v>
      </c>
      <c r="P557" s="47" t="b">
        <v>1</v>
      </c>
      <c r="Q557" s="47" t="b">
        <v>0</v>
      </c>
      <c r="R557" s="214"/>
      <c r="S557" s="77">
        <v>0.0</v>
      </c>
      <c r="T557" s="76" t="s">
        <v>1179</v>
      </c>
      <c r="U557" s="78">
        <v>1.3932486E7</v>
      </c>
      <c r="V557" s="215"/>
      <c r="W557" s="77">
        <v>1.4E7</v>
      </c>
      <c r="X557" s="77">
        <v>140000.0</v>
      </c>
      <c r="Y557" s="77">
        <v>60000.0</v>
      </c>
      <c r="Z557" s="77"/>
    </row>
    <row r="558">
      <c r="A558" s="145" t="s">
        <v>913</v>
      </c>
      <c r="B558" s="145" t="s">
        <v>913</v>
      </c>
      <c r="C558" s="145" t="s">
        <v>3179</v>
      </c>
      <c r="D558" s="75" t="s">
        <v>1544</v>
      </c>
      <c r="E558" s="75" t="s">
        <v>1544</v>
      </c>
      <c r="F558" s="211" t="s">
        <v>1645</v>
      </c>
      <c r="G558" s="145" t="s">
        <v>3180</v>
      </c>
      <c r="H558" s="211" t="s">
        <v>77</v>
      </c>
      <c r="I558" s="145" t="s">
        <v>249</v>
      </c>
      <c r="J558" s="211" t="s">
        <v>1609</v>
      </c>
      <c r="K558" s="75" t="s">
        <v>1544</v>
      </c>
      <c r="L558" s="152" t="b">
        <v>1</v>
      </c>
      <c r="M558" s="152" t="b">
        <v>0</v>
      </c>
      <c r="N558" s="212" t="s">
        <v>3181</v>
      </c>
      <c r="O558" s="213" t="s">
        <v>1554</v>
      </c>
      <c r="P558" s="47" t="b">
        <v>1</v>
      </c>
      <c r="Q558" s="47" t="b">
        <v>0</v>
      </c>
      <c r="R558" s="214"/>
      <c r="S558" s="77">
        <v>0.0</v>
      </c>
      <c r="T558" s="76" t="s">
        <v>1179</v>
      </c>
      <c r="U558" s="78">
        <v>2.0E7</v>
      </c>
      <c r="V558" s="78">
        <v>0.0</v>
      </c>
      <c r="W558" s="77">
        <v>2.0E7</v>
      </c>
      <c r="X558" s="216">
        <v>200000.0</v>
      </c>
      <c r="Y558" s="77">
        <v>80000.0</v>
      </c>
      <c r="Z558" s="77"/>
    </row>
    <row r="559">
      <c r="A559" s="145" t="s">
        <v>745</v>
      </c>
      <c r="B559" s="145" t="s">
        <v>745</v>
      </c>
      <c r="C559" s="145" t="s">
        <v>1058</v>
      </c>
      <c r="D559" s="75" t="s">
        <v>1544</v>
      </c>
      <c r="E559" s="75" t="s">
        <v>1544</v>
      </c>
      <c r="F559" s="211" t="s">
        <v>1602</v>
      </c>
      <c r="G559" s="145" t="s">
        <v>746</v>
      </c>
      <c r="H559" s="211" t="s">
        <v>87</v>
      </c>
      <c r="I559" s="145" t="s">
        <v>267</v>
      </c>
      <c r="J559" s="211" t="s">
        <v>1603</v>
      </c>
      <c r="K559" s="75" t="s">
        <v>1544</v>
      </c>
      <c r="L559" s="152" t="b">
        <v>1</v>
      </c>
      <c r="M559" s="152" t="b">
        <v>0</v>
      </c>
      <c r="N559" s="217"/>
      <c r="O559" s="213" t="s">
        <v>1554</v>
      </c>
      <c r="P559" s="47" t="b">
        <v>0</v>
      </c>
      <c r="Q559" s="47" t="b">
        <v>0</v>
      </c>
      <c r="R559" s="214"/>
      <c r="S559" s="77">
        <v>0.0</v>
      </c>
      <c r="T559" s="76" t="s">
        <v>1161</v>
      </c>
      <c r="U559" s="215"/>
      <c r="V559" s="215"/>
      <c r="W559" s="214"/>
      <c r="X559" s="214"/>
      <c r="Y559" s="77">
        <v>1.0</v>
      </c>
      <c r="Z559" s="77"/>
    </row>
    <row r="560">
      <c r="A560" s="145" t="s">
        <v>369</v>
      </c>
      <c r="B560" s="145" t="s">
        <v>1632</v>
      </c>
      <c r="C560" s="145" t="s">
        <v>1543</v>
      </c>
      <c r="D560" s="75" t="s">
        <v>1544</v>
      </c>
      <c r="E560" s="75" t="s">
        <v>1544</v>
      </c>
      <c r="F560" s="211" t="s">
        <v>1547</v>
      </c>
      <c r="G560" s="145" t="s">
        <v>3048</v>
      </c>
      <c r="H560" s="211" t="s">
        <v>77</v>
      </c>
      <c r="I560" s="145" t="s">
        <v>325</v>
      </c>
      <c r="J560" s="211" t="s">
        <v>1549</v>
      </c>
      <c r="K560" s="75" t="s">
        <v>1544</v>
      </c>
      <c r="L560" s="152" t="b">
        <v>1</v>
      </c>
      <c r="M560" s="152" t="b">
        <v>0</v>
      </c>
      <c r="N560" s="212" t="s">
        <v>3182</v>
      </c>
      <c r="O560" s="213" t="s">
        <v>1554</v>
      </c>
      <c r="P560" s="47" t="b">
        <v>1</v>
      </c>
      <c r="Q560" s="47" t="b">
        <v>0</v>
      </c>
      <c r="R560" s="214"/>
      <c r="S560" s="77">
        <v>0.0</v>
      </c>
      <c r="T560" s="76" t="s">
        <v>1179</v>
      </c>
      <c r="U560" s="78">
        <v>8525067.0</v>
      </c>
      <c r="V560" s="215"/>
      <c r="W560" s="216">
        <v>8000000.0</v>
      </c>
      <c r="X560" s="77">
        <v>80000.0</v>
      </c>
      <c r="Y560" s="77">
        <v>40000.0</v>
      </c>
      <c r="Z560" s="77"/>
    </row>
    <row r="561">
      <c r="A561" s="145" t="s">
        <v>786</v>
      </c>
      <c r="B561" s="145" t="s">
        <v>786</v>
      </c>
      <c r="C561" s="145" t="s">
        <v>3175</v>
      </c>
      <c r="D561" s="75" t="s">
        <v>1544</v>
      </c>
      <c r="E561" s="75" t="s">
        <v>1544</v>
      </c>
      <c r="F561" s="211" t="s">
        <v>1602</v>
      </c>
      <c r="G561" s="145" t="s">
        <v>787</v>
      </c>
      <c r="H561" s="211" t="s">
        <v>87</v>
      </c>
      <c r="I561" s="145" t="s">
        <v>267</v>
      </c>
      <c r="J561" s="211" t="s">
        <v>1603</v>
      </c>
      <c r="K561" s="75" t="s">
        <v>1544</v>
      </c>
      <c r="L561" s="152" t="b">
        <v>1</v>
      </c>
      <c r="M561" s="152" t="b">
        <v>0</v>
      </c>
      <c r="N561" s="212" t="s">
        <v>3183</v>
      </c>
      <c r="O561" s="213" t="s">
        <v>1554</v>
      </c>
      <c r="P561" s="47" t="b">
        <v>0</v>
      </c>
      <c r="Q561" s="47" t="b">
        <v>0</v>
      </c>
      <c r="R561" s="214"/>
      <c r="S561" s="77">
        <v>0.0</v>
      </c>
      <c r="T561" s="76" t="s">
        <v>1179</v>
      </c>
      <c r="U561" s="215"/>
      <c r="V561" s="215"/>
      <c r="W561" s="218"/>
      <c r="X561" s="214"/>
      <c r="Y561" s="77">
        <v>1.0</v>
      </c>
      <c r="Z561" s="77"/>
    </row>
    <row r="562">
      <c r="A562" s="145" t="s">
        <v>766</v>
      </c>
      <c r="B562" s="145" t="s">
        <v>766</v>
      </c>
      <c r="C562" s="145" t="s">
        <v>3175</v>
      </c>
      <c r="D562" s="75" t="s">
        <v>1544</v>
      </c>
      <c r="E562" s="75" t="s">
        <v>1544</v>
      </c>
      <c r="F562" s="211" t="s">
        <v>1602</v>
      </c>
      <c r="G562" s="145" t="s">
        <v>767</v>
      </c>
      <c r="H562" s="211" t="s">
        <v>87</v>
      </c>
      <c r="I562" s="145" t="s">
        <v>267</v>
      </c>
      <c r="J562" s="211" t="s">
        <v>1603</v>
      </c>
      <c r="K562" s="75" t="s">
        <v>1544</v>
      </c>
      <c r="L562" s="152" t="b">
        <v>1</v>
      </c>
      <c r="M562" s="152" t="b">
        <v>0</v>
      </c>
      <c r="N562" s="212" t="s">
        <v>3184</v>
      </c>
      <c r="O562" s="213" t="s">
        <v>1554</v>
      </c>
      <c r="P562" s="47" t="b">
        <v>0</v>
      </c>
      <c r="Q562" s="47" t="b">
        <v>0</v>
      </c>
      <c r="R562" s="214"/>
      <c r="S562" s="77">
        <v>0.0</v>
      </c>
      <c r="T562" s="76" t="s">
        <v>1179</v>
      </c>
      <c r="U562" s="215"/>
      <c r="V562" s="215"/>
      <c r="W562" s="218"/>
      <c r="X562" s="214"/>
      <c r="Y562" s="77">
        <v>1.0</v>
      </c>
      <c r="Z562" s="77"/>
    </row>
    <row r="563">
      <c r="A563" s="145" t="s">
        <v>804</v>
      </c>
      <c r="B563" s="145" t="s">
        <v>804</v>
      </c>
      <c r="C563" s="145" t="s">
        <v>3175</v>
      </c>
      <c r="D563" s="75" t="s">
        <v>1544</v>
      </c>
      <c r="E563" s="75" t="s">
        <v>1544</v>
      </c>
      <c r="F563" s="211" t="s">
        <v>1602</v>
      </c>
      <c r="G563" s="145" t="s">
        <v>806</v>
      </c>
      <c r="H563" s="211" t="s">
        <v>87</v>
      </c>
      <c r="I563" s="145" t="s">
        <v>267</v>
      </c>
      <c r="J563" s="211" t="s">
        <v>1603</v>
      </c>
      <c r="K563" s="75" t="s">
        <v>1544</v>
      </c>
      <c r="L563" s="152" t="b">
        <v>1</v>
      </c>
      <c r="M563" s="152" t="b">
        <v>0</v>
      </c>
      <c r="N563" s="212" t="s">
        <v>3185</v>
      </c>
      <c r="O563" s="213" t="s">
        <v>1554</v>
      </c>
      <c r="P563" s="47" t="b">
        <v>0</v>
      </c>
      <c r="Q563" s="47" t="b">
        <v>0</v>
      </c>
      <c r="R563" s="214"/>
      <c r="S563" s="77">
        <v>0.0</v>
      </c>
      <c r="T563" s="76" t="s">
        <v>1179</v>
      </c>
      <c r="U563" s="215"/>
      <c r="V563" s="215"/>
      <c r="W563" s="214"/>
      <c r="X563" s="193"/>
      <c r="Y563" s="77">
        <v>1.0</v>
      </c>
      <c r="Z563" s="77"/>
    </row>
    <row r="564">
      <c r="A564" s="145" t="s">
        <v>794</v>
      </c>
      <c r="B564" s="145" t="s">
        <v>794</v>
      </c>
      <c r="C564" s="145" t="s">
        <v>3175</v>
      </c>
      <c r="D564" s="75" t="s">
        <v>1544</v>
      </c>
      <c r="E564" s="75" t="s">
        <v>1544</v>
      </c>
      <c r="F564" s="211" t="s">
        <v>1602</v>
      </c>
      <c r="G564" s="145" t="s">
        <v>795</v>
      </c>
      <c r="H564" s="211" t="s">
        <v>87</v>
      </c>
      <c r="I564" s="145" t="s">
        <v>267</v>
      </c>
      <c r="J564" s="211" t="s">
        <v>1603</v>
      </c>
      <c r="K564" s="75" t="s">
        <v>1544</v>
      </c>
      <c r="L564" s="152" t="b">
        <v>1</v>
      </c>
      <c r="M564" s="152" t="b">
        <v>0</v>
      </c>
      <c r="N564" s="212" t="s">
        <v>3186</v>
      </c>
      <c r="O564" s="213" t="s">
        <v>1554</v>
      </c>
      <c r="P564" s="47" t="b">
        <v>0</v>
      </c>
      <c r="Q564" s="47" t="b">
        <v>0</v>
      </c>
      <c r="R564" s="214"/>
      <c r="S564" s="77">
        <v>0.0</v>
      </c>
      <c r="T564" s="76" t="s">
        <v>1179</v>
      </c>
      <c r="U564" s="215"/>
      <c r="V564" s="215"/>
      <c r="W564" s="214"/>
      <c r="X564" s="214"/>
      <c r="Y564" s="77">
        <v>1.0</v>
      </c>
      <c r="Z564" s="77"/>
    </row>
    <row r="565">
      <c r="A565" s="145" t="s">
        <v>227</v>
      </c>
      <c r="B565" s="145" t="s">
        <v>227</v>
      </c>
      <c r="C565" s="145" t="s">
        <v>317</v>
      </c>
      <c r="D565" s="75" t="s">
        <v>1544</v>
      </c>
      <c r="E565" s="75" t="s">
        <v>1544</v>
      </c>
      <c r="F565" s="211" t="s">
        <v>1649</v>
      </c>
      <c r="G565" s="145" t="s">
        <v>3190</v>
      </c>
      <c r="H565" s="211" t="s">
        <v>1018</v>
      </c>
      <c r="I565" s="145" t="s">
        <v>113</v>
      </c>
      <c r="J565" s="211" t="s">
        <v>1549</v>
      </c>
      <c r="K565" s="75" t="s">
        <v>1544</v>
      </c>
      <c r="L565" s="152" t="b">
        <v>1</v>
      </c>
      <c r="M565" s="152" t="b">
        <v>0</v>
      </c>
      <c r="N565" s="212" t="s">
        <v>3193</v>
      </c>
      <c r="O565" s="213" t="s">
        <v>1554</v>
      </c>
      <c r="P565" s="47" t="b">
        <v>1</v>
      </c>
      <c r="Q565" s="47" t="b">
        <v>0</v>
      </c>
      <c r="R565" s="214"/>
      <c r="S565" s="77">
        <v>0.0</v>
      </c>
      <c r="T565" s="76" t="s">
        <v>1162</v>
      </c>
      <c r="U565" s="78">
        <v>7938883.0</v>
      </c>
      <c r="V565" s="78">
        <v>0.0</v>
      </c>
      <c r="W565" s="216">
        <v>8000000.0</v>
      </c>
      <c r="X565" s="216">
        <v>64000.0</v>
      </c>
      <c r="Y565" s="77">
        <v>32000.0</v>
      </c>
      <c r="Z565" s="77"/>
    </row>
    <row r="566">
      <c r="A566" s="145" t="s">
        <v>630</v>
      </c>
      <c r="B566" s="145" t="s">
        <v>158</v>
      </c>
      <c r="C566" s="145" t="s">
        <v>2288</v>
      </c>
      <c r="D566" s="75" t="s">
        <v>1544</v>
      </c>
      <c r="E566" s="75" t="s">
        <v>1544</v>
      </c>
      <c r="F566" s="211" t="s">
        <v>1557</v>
      </c>
      <c r="G566" s="145" t="s">
        <v>2344</v>
      </c>
      <c r="H566" s="211" t="s">
        <v>625</v>
      </c>
      <c r="I566" s="145" t="s">
        <v>624</v>
      </c>
      <c r="J566" s="211" t="s">
        <v>1561</v>
      </c>
      <c r="K566" s="75" t="s">
        <v>1544</v>
      </c>
      <c r="L566" s="152" t="b">
        <v>1</v>
      </c>
      <c r="M566" s="152" t="b">
        <v>0</v>
      </c>
      <c r="N566" s="217"/>
      <c r="O566" s="213" t="s">
        <v>1554</v>
      </c>
      <c r="P566" s="47" t="b">
        <v>1</v>
      </c>
      <c r="Q566" s="47" t="b">
        <v>0</v>
      </c>
      <c r="R566" s="214"/>
      <c r="S566" s="77">
        <v>0.0</v>
      </c>
      <c r="T566" s="76" t="s">
        <v>1179</v>
      </c>
      <c r="U566" s="78">
        <v>2.6402047E7</v>
      </c>
      <c r="V566" s="215"/>
      <c r="W566" s="77">
        <v>2.6E7</v>
      </c>
      <c r="X566" s="216">
        <v>2.6E9</v>
      </c>
      <c r="Y566" s="216">
        <v>6000000.0</v>
      </c>
      <c r="Z566" s="77"/>
    </row>
    <row r="567">
      <c r="A567" s="145" t="s">
        <v>628</v>
      </c>
      <c r="B567" s="145" t="s">
        <v>2366</v>
      </c>
      <c r="C567" s="145" t="s">
        <v>2288</v>
      </c>
      <c r="D567" s="75" t="s">
        <v>1544</v>
      </c>
      <c r="E567" s="75" t="s">
        <v>1544</v>
      </c>
      <c r="F567" s="211" t="s">
        <v>1645</v>
      </c>
      <c r="G567" s="145" t="s">
        <v>3203</v>
      </c>
      <c r="H567" s="211" t="s">
        <v>907</v>
      </c>
      <c r="I567" s="145" t="s">
        <v>54</v>
      </c>
      <c r="J567" s="211" t="s">
        <v>1609</v>
      </c>
      <c r="K567" s="75" t="s">
        <v>1544</v>
      </c>
      <c r="L567" s="152" t="b">
        <v>1</v>
      </c>
      <c r="M567" s="152" t="b">
        <v>0</v>
      </c>
      <c r="N567" s="217"/>
      <c r="O567" s="213" t="s">
        <v>1554</v>
      </c>
      <c r="P567" s="47" t="b">
        <v>1</v>
      </c>
      <c r="Q567" s="47" t="b">
        <v>0</v>
      </c>
      <c r="R567" s="214"/>
      <c r="S567" s="77">
        <v>0.0</v>
      </c>
      <c r="T567" s="76" t="s">
        <v>1193</v>
      </c>
      <c r="U567" s="78">
        <v>1.9329932E7</v>
      </c>
      <c r="V567" s="215"/>
      <c r="W567" s="77">
        <v>2.0E7</v>
      </c>
      <c r="X567" s="216">
        <v>200000.0</v>
      </c>
      <c r="Y567" s="77">
        <v>80000.0</v>
      </c>
      <c r="Z567" s="77"/>
    </row>
    <row r="568">
      <c r="A568" s="145" t="s">
        <v>637</v>
      </c>
      <c r="B568" s="145" t="s">
        <v>637</v>
      </c>
      <c r="C568" s="145" t="s">
        <v>2500</v>
      </c>
      <c r="D568" s="75" t="s">
        <v>1544</v>
      </c>
      <c r="E568" s="75" t="s">
        <v>1544</v>
      </c>
      <c r="F568" s="211" t="s">
        <v>3125</v>
      </c>
      <c r="G568" s="145" t="s">
        <v>3204</v>
      </c>
      <c r="H568" s="211" t="s">
        <v>625</v>
      </c>
      <c r="I568" s="145" t="s">
        <v>624</v>
      </c>
      <c r="J568" s="211" t="s">
        <v>3092</v>
      </c>
      <c r="K568" s="75" t="s">
        <v>1544</v>
      </c>
      <c r="L568" s="152" t="b">
        <v>1</v>
      </c>
      <c r="M568" s="152" t="b">
        <v>0</v>
      </c>
      <c r="N568" s="212" t="s">
        <v>3205</v>
      </c>
      <c r="O568" s="213" t="s">
        <v>1554</v>
      </c>
      <c r="P568" s="47" t="b">
        <v>1</v>
      </c>
      <c r="Q568" s="47" t="b">
        <v>0</v>
      </c>
      <c r="R568" s="214"/>
      <c r="S568" s="77">
        <v>0.0</v>
      </c>
      <c r="T568" s="76" t="s">
        <v>1156</v>
      </c>
      <c r="U568" s="78">
        <v>6.0E7</v>
      </c>
      <c r="V568" s="78">
        <v>82.0</v>
      </c>
      <c r="W568" s="77">
        <v>6.0E7</v>
      </c>
      <c r="X568" s="216">
        <v>6.0E9</v>
      </c>
      <c r="Y568" s="216">
        <v>1.8E7</v>
      </c>
      <c r="Z568" s="77"/>
    </row>
    <row r="569">
      <c r="A569" s="145" t="s">
        <v>406</v>
      </c>
      <c r="B569" s="145" t="s">
        <v>1632</v>
      </c>
      <c r="C569" s="145" t="s">
        <v>1543</v>
      </c>
      <c r="D569" s="75" t="s">
        <v>1544</v>
      </c>
      <c r="E569" s="75" t="s">
        <v>1544</v>
      </c>
      <c r="F569" s="211" t="s">
        <v>1547</v>
      </c>
      <c r="G569" s="145" t="s">
        <v>3042</v>
      </c>
      <c r="H569" s="211" t="s">
        <v>77</v>
      </c>
      <c r="I569" s="145" t="s">
        <v>325</v>
      </c>
      <c r="J569" s="211" t="s">
        <v>1549</v>
      </c>
      <c r="K569" s="75" t="s">
        <v>1544</v>
      </c>
      <c r="L569" s="152" t="b">
        <v>1</v>
      </c>
      <c r="M569" s="152" t="b">
        <v>0</v>
      </c>
      <c r="N569" s="212" t="s">
        <v>3206</v>
      </c>
      <c r="O569" s="213" t="s">
        <v>1554</v>
      </c>
      <c r="P569" s="47" t="b">
        <v>1</v>
      </c>
      <c r="Q569" s="47" t="b">
        <v>0</v>
      </c>
      <c r="R569" s="214"/>
      <c r="S569" s="77">
        <v>0.0</v>
      </c>
      <c r="T569" s="76" t="s">
        <v>1179</v>
      </c>
      <c r="U569" s="78">
        <v>1.0337121E7</v>
      </c>
      <c r="V569" s="215"/>
      <c r="W569" s="77">
        <v>1.0E7</v>
      </c>
      <c r="X569" s="216">
        <v>100000.0</v>
      </c>
      <c r="Y569" s="77">
        <v>40000.0</v>
      </c>
      <c r="Z569" s="77"/>
    </row>
    <row r="570">
      <c r="A570" s="145" t="s">
        <v>109</v>
      </c>
      <c r="B570" s="230"/>
      <c r="C570" s="145" t="s">
        <v>2288</v>
      </c>
      <c r="D570" s="75" t="s">
        <v>1601</v>
      </c>
      <c r="E570" s="75" t="s">
        <v>1544</v>
      </c>
      <c r="F570" s="211" t="s">
        <v>1602</v>
      </c>
      <c r="G570" s="145" t="s">
        <v>110</v>
      </c>
      <c r="H570" s="211" t="s">
        <v>87</v>
      </c>
      <c r="I570" s="145" t="s">
        <v>86</v>
      </c>
      <c r="J570" s="211" t="s">
        <v>1603</v>
      </c>
      <c r="K570" s="75" t="s">
        <v>1544</v>
      </c>
      <c r="L570" s="152" t="b">
        <v>1</v>
      </c>
      <c r="M570" s="152" t="b">
        <v>1</v>
      </c>
      <c r="N570" s="217"/>
      <c r="O570" s="213" t="s">
        <v>1554</v>
      </c>
      <c r="P570" s="47" t="b">
        <v>1</v>
      </c>
      <c r="Q570" s="47" t="b">
        <v>0</v>
      </c>
      <c r="R570" s="214"/>
      <c r="S570" s="77">
        <v>0.0</v>
      </c>
      <c r="T570" s="76" t="s">
        <v>1152</v>
      </c>
      <c r="U570" s="215"/>
      <c r="V570" s="215"/>
      <c r="W570" s="214"/>
      <c r="X570" s="218"/>
      <c r="Y570" s="77">
        <v>1.0</v>
      </c>
      <c r="Z570" s="77"/>
    </row>
    <row r="571">
      <c r="A571" s="145" t="s">
        <v>666</v>
      </c>
      <c r="B571" s="145" t="s">
        <v>109</v>
      </c>
      <c r="C571" s="145" t="s">
        <v>2288</v>
      </c>
      <c r="D571" s="75" t="s">
        <v>1544</v>
      </c>
      <c r="E571" s="75" t="s">
        <v>1544</v>
      </c>
      <c r="F571" s="211" t="s">
        <v>1557</v>
      </c>
      <c r="G571" s="145" t="s">
        <v>2408</v>
      </c>
      <c r="H571" s="211" t="s">
        <v>625</v>
      </c>
      <c r="I571" s="145" t="s">
        <v>667</v>
      </c>
      <c r="J571" s="211" t="s">
        <v>1561</v>
      </c>
      <c r="K571" s="75" t="s">
        <v>1544</v>
      </c>
      <c r="L571" s="152" t="b">
        <v>1</v>
      </c>
      <c r="M571" s="152" t="b">
        <v>1</v>
      </c>
      <c r="N571" s="217"/>
      <c r="O571" s="213" t="s">
        <v>1554</v>
      </c>
      <c r="P571" s="47" t="b">
        <v>1</v>
      </c>
      <c r="Q571" s="47" t="b">
        <v>0</v>
      </c>
      <c r="R571" s="214"/>
      <c r="S571" s="77">
        <v>0.0</v>
      </c>
      <c r="T571" s="76" t="s">
        <v>1152</v>
      </c>
      <c r="U571" s="78">
        <v>2.0E7</v>
      </c>
      <c r="V571" s="215"/>
      <c r="W571" s="216">
        <v>2.0E7</v>
      </c>
      <c r="X571" s="216">
        <v>2.0E9</v>
      </c>
      <c r="Y571" s="216">
        <v>6000000.0</v>
      </c>
      <c r="Z571" s="77"/>
    </row>
    <row r="572">
      <c r="A572" s="145" t="s">
        <v>677</v>
      </c>
      <c r="B572" s="145" t="s">
        <v>3207</v>
      </c>
      <c r="C572" s="145" t="s">
        <v>3120</v>
      </c>
      <c r="D572" s="75" t="s">
        <v>1544</v>
      </c>
      <c r="E572" s="75" t="s">
        <v>1544</v>
      </c>
      <c r="F572" s="211" t="s">
        <v>3208</v>
      </c>
      <c r="G572" s="145" t="s">
        <v>3209</v>
      </c>
      <c r="H572" s="211" t="s">
        <v>586</v>
      </c>
      <c r="I572" s="145" t="s">
        <v>674</v>
      </c>
      <c r="J572" s="211" t="s">
        <v>1561</v>
      </c>
      <c r="K572" s="75" t="s">
        <v>1544</v>
      </c>
      <c r="L572" s="152" t="b">
        <v>1</v>
      </c>
      <c r="M572" s="152" t="b">
        <v>1</v>
      </c>
      <c r="N572" s="212" t="s">
        <v>3210</v>
      </c>
      <c r="O572" s="213" t="s">
        <v>1554</v>
      </c>
      <c r="P572" s="47" t="b">
        <v>1</v>
      </c>
      <c r="Q572" s="47" t="b">
        <v>0</v>
      </c>
      <c r="R572" s="214"/>
      <c r="S572" s="77">
        <v>0.0</v>
      </c>
      <c r="T572" s="76" t="s">
        <v>1179</v>
      </c>
      <c r="U572" s="78">
        <v>6.0E7</v>
      </c>
      <c r="V572" s="215"/>
      <c r="W572" s="216">
        <v>6.0E7</v>
      </c>
      <c r="X572" s="216">
        <v>420000.0</v>
      </c>
      <c r="Y572" s="77">
        <v>166673.0</v>
      </c>
      <c r="Z572" s="77"/>
    </row>
    <row r="573">
      <c r="A573" s="145" t="s">
        <v>1107</v>
      </c>
      <c r="B573" s="145" t="s">
        <v>230</v>
      </c>
      <c r="C573" s="145" t="s">
        <v>2288</v>
      </c>
      <c r="D573" s="75" t="s">
        <v>1544</v>
      </c>
      <c r="E573" s="75" t="s">
        <v>1544</v>
      </c>
      <c r="F573" s="211" t="s">
        <v>1708</v>
      </c>
      <c r="G573" s="145" t="s">
        <v>1108</v>
      </c>
      <c r="H573" s="211" t="s">
        <v>77</v>
      </c>
      <c r="I573" s="145" t="s">
        <v>218</v>
      </c>
      <c r="J573" s="211" t="s">
        <v>1667</v>
      </c>
      <c r="K573" s="75" t="s">
        <v>1544</v>
      </c>
      <c r="L573" s="152" t="b">
        <v>1</v>
      </c>
      <c r="M573" s="152" t="b">
        <v>0</v>
      </c>
      <c r="N573" s="217"/>
      <c r="O573" s="213" t="s">
        <v>1554</v>
      </c>
      <c r="P573" s="47" t="b">
        <v>1</v>
      </c>
      <c r="Q573" s="47" t="b">
        <v>0</v>
      </c>
      <c r="R573" s="214"/>
      <c r="S573" s="77">
        <v>0.0</v>
      </c>
      <c r="T573" s="76" t="s">
        <v>1179</v>
      </c>
      <c r="U573" s="78">
        <v>3.0618236E7</v>
      </c>
      <c r="V573" s="215"/>
      <c r="W573" s="216">
        <v>3.0E7</v>
      </c>
      <c r="X573" s="216">
        <v>300000.0</v>
      </c>
      <c r="Y573" s="77">
        <v>120000.0</v>
      </c>
      <c r="Z573" s="77"/>
    </row>
    <row r="574">
      <c r="A574" s="145" t="s">
        <v>457</v>
      </c>
      <c r="B574" s="145" t="s">
        <v>1679</v>
      </c>
      <c r="C574" s="145" t="s">
        <v>1543</v>
      </c>
      <c r="D574" s="75" t="s">
        <v>1544</v>
      </c>
      <c r="E574" s="75" t="s">
        <v>1544</v>
      </c>
      <c r="F574" s="211" t="s">
        <v>1575</v>
      </c>
      <c r="G574" s="145" t="s">
        <v>2898</v>
      </c>
      <c r="H574" s="211" t="s">
        <v>77</v>
      </c>
      <c r="I574" s="145" t="s">
        <v>174</v>
      </c>
      <c r="J574" s="211" t="s">
        <v>1577</v>
      </c>
      <c r="K574" s="75" t="s">
        <v>1544</v>
      </c>
      <c r="L574" s="152" t="b">
        <v>1</v>
      </c>
      <c r="M574" s="152" t="b">
        <v>0</v>
      </c>
      <c r="N574" s="212" t="s">
        <v>3213</v>
      </c>
      <c r="O574" s="213" t="s">
        <v>1554</v>
      </c>
      <c r="P574" s="47" t="b">
        <v>1</v>
      </c>
      <c r="Q574" s="47" t="b">
        <v>0</v>
      </c>
      <c r="R574" s="214"/>
      <c r="S574" s="77">
        <v>0.0</v>
      </c>
      <c r="T574" s="76" t="s">
        <v>1179</v>
      </c>
      <c r="U574" s="78">
        <v>7386242.0</v>
      </c>
      <c r="V574" s="215"/>
      <c r="W574" s="77">
        <v>8000000.0</v>
      </c>
      <c r="X574" s="216">
        <v>80000.0</v>
      </c>
      <c r="Y574" s="77">
        <v>20000.0</v>
      </c>
      <c r="Z574" s="77"/>
    </row>
    <row r="575">
      <c r="A575" s="145" t="s">
        <v>490</v>
      </c>
      <c r="B575" s="145" t="s">
        <v>1746</v>
      </c>
      <c r="C575" s="145" t="s">
        <v>1543</v>
      </c>
      <c r="D575" s="75" t="s">
        <v>1544</v>
      </c>
      <c r="E575" s="75" t="s">
        <v>1544</v>
      </c>
      <c r="F575" s="211" t="s">
        <v>1547</v>
      </c>
      <c r="G575" s="145" t="s">
        <v>3214</v>
      </c>
      <c r="H575" s="211" t="s">
        <v>77</v>
      </c>
      <c r="I575" s="145" t="s">
        <v>338</v>
      </c>
      <c r="J575" s="211" t="s">
        <v>1549</v>
      </c>
      <c r="K575" s="75" t="s">
        <v>1544</v>
      </c>
      <c r="L575" s="152" t="b">
        <v>1</v>
      </c>
      <c r="M575" s="152" t="b">
        <v>0</v>
      </c>
      <c r="N575" s="212" t="s">
        <v>3215</v>
      </c>
      <c r="O575" s="213" t="s">
        <v>1554</v>
      </c>
      <c r="P575" s="47" t="b">
        <v>1</v>
      </c>
      <c r="Q575" s="47" t="b">
        <v>0</v>
      </c>
      <c r="R575" s="214"/>
      <c r="S575" s="77">
        <v>0.0</v>
      </c>
      <c r="T575" s="76" t="s">
        <v>1179</v>
      </c>
      <c r="U575" s="78">
        <v>9047835.0</v>
      </c>
      <c r="V575" s="215"/>
      <c r="W575" s="77">
        <v>1.0E7</v>
      </c>
      <c r="X575" s="77">
        <v>100000.0</v>
      </c>
      <c r="Y575" s="77">
        <v>40000.0</v>
      </c>
      <c r="Z575" s="77"/>
    </row>
    <row r="576">
      <c r="A576" s="145" t="s">
        <v>2378</v>
      </c>
      <c r="B576" s="145" t="s">
        <v>2378</v>
      </c>
      <c r="C576" s="145" t="s">
        <v>2404</v>
      </c>
      <c r="D576" s="75" t="s">
        <v>1544</v>
      </c>
      <c r="E576" s="75" t="s">
        <v>1544</v>
      </c>
      <c r="F576" s="211" t="s">
        <v>2989</v>
      </c>
      <c r="G576" s="145" t="s">
        <v>3216</v>
      </c>
      <c r="H576" s="211" t="s">
        <v>77</v>
      </c>
      <c r="I576" s="145" t="s">
        <v>249</v>
      </c>
      <c r="J576" s="211" t="s">
        <v>2495</v>
      </c>
      <c r="K576" s="75" t="s">
        <v>1601</v>
      </c>
      <c r="L576" s="152" t="b">
        <v>1</v>
      </c>
      <c r="M576" s="152" t="b">
        <v>1</v>
      </c>
      <c r="N576" s="212" t="s">
        <v>3217</v>
      </c>
      <c r="O576" s="213" t="s">
        <v>1554</v>
      </c>
      <c r="P576" s="47" t="b">
        <v>1</v>
      </c>
      <c r="Q576" s="47" t="b">
        <v>0</v>
      </c>
      <c r="R576" s="214"/>
      <c r="S576" s="77">
        <v>0.0</v>
      </c>
      <c r="T576" s="76" t="s">
        <v>1161</v>
      </c>
      <c r="U576" s="78">
        <v>3.0E7</v>
      </c>
      <c r="V576" s="78">
        <v>0.0</v>
      </c>
      <c r="W576" s="216">
        <v>3.0E7</v>
      </c>
      <c r="X576" s="77">
        <v>300000.0</v>
      </c>
      <c r="Y576" s="77">
        <v>300000.0</v>
      </c>
      <c r="Z576" s="77"/>
    </row>
    <row r="577">
      <c r="A577" s="145" t="s">
        <v>158</v>
      </c>
      <c r="B577" s="230"/>
      <c r="C577" s="145" t="s">
        <v>2288</v>
      </c>
      <c r="D577" s="75" t="s">
        <v>1601</v>
      </c>
      <c r="E577" s="75" t="s">
        <v>1544</v>
      </c>
      <c r="F577" s="211" t="s">
        <v>1602</v>
      </c>
      <c r="G577" s="145" t="s">
        <v>159</v>
      </c>
      <c r="H577" s="211" t="s">
        <v>87</v>
      </c>
      <c r="I577" s="145" t="s">
        <v>86</v>
      </c>
      <c r="J577" s="211" t="s">
        <v>1603</v>
      </c>
      <c r="K577" s="75" t="s">
        <v>1544</v>
      </c>
      <c r="L577" s="152" t="b">
        <v>1</v>
      </c>
      <c r="M577" s="152" t="b">
        <v>1</v>
      </c>
      <c r="N577" s="217"/>
      <c r="O577" s="213" t="s">
        <v>1554</v>
      </c>
      <c r="P577" s="47" t="b">
        <v>1</v>
      </c>
      <c r="Q577" s="47" t="b">
        <v>0</v>
      </c>
      <c r="R577" s="214"/>
      <c r="S577" s="77">
        <v>0.0</v>
      </c>
      <c r="T577" s="76" t="s">
        <v>1160</v>
      </c>
      <c r="U577" s="215"/>
      <c r="V577" s="215"/>
      <c r="W577" s="218"/>
      <c r="X577" s="214"/>
      <c r="Y577" s="77">
        <v>1.0</v>
      </c>
      <c r="Z577" s="77"/>
    </row>
    <row r="578">
      <c r="A578" s="145" t="s">
        <v>336</v>
      </c>
      <c r="B578" s="145" t="s">
        <v>2326</v>
      </c>
      <c r="C578" s="145" t="s">
        <v>2288</v>
      </c>
      <c r="D578" s="75" t="s">
        <v>1544</v>
      </c>
      <c r="E578" s="75" t="s">
        <v>1544</v>
      </c>
      <c r="F578" s="211" t="s">
        <v>1721</v>
      </c>
      <c r="G578" s="145" t="s">
        <v>3219</v>
      </c>
      <c r="H578" s="211" t="s">
        <v>1018</v>
      </c>
      <c r="I578" s="145" t="s">
        <v>66</v>
      </c>
      <c r="J578" s="211" t="s">
        <v>1609</v>
      </c>
      <c r="K578" s="75" t="s">
        <v>1544</v>
      </c>
      <c r="L578" s="152" t="b">
        <v>1</v>
      </c>
      <c r="M578" s="152" t="b">
        <v>0</v>
      </c>
      <c r="N578" s="217"/>
      <c r="O578" s="213" t="s">
        <v>1554</v>
      </c>
      <c r="P578" s="47" t="b">
        <v>1</v>
      </c>
      <c r="Q578" s="47" t="b">
        <v>0</v>
      </c>
      <c r="R578" s="214"/>
      <c r="S578" s="77">
        <v>0.0</v>
      </c>
      <c r="T578" s="76" t="s">
        <v>1179</v>
      </c>
      <c r="U578" s="78">
        <v>1.7659122E7</v>
      </c>
      <c r="V578" s="215"/>
      <c r="W578" s="216">
        <v>1.8E7</v>
      </c>
      <c r="X578" s="77">
        <v>144000.0</v>
      </c>
      <c r="Y578" s="77">
        <v>64000.0</v>
      </c>
      <c r="Z578" s="77"/>
    </row>
    <row r="579">
      <c r="A579" s="145" t="s">
        <v>480</v>
      </c>
      <c r="B579" s="145" t="s">
        <v>480</v>
      </c>
      <c r="C579" s="145" t="s">
        <v>1266</v>
      </c>
      <c r="D579" s="75" t="s">
        <v>1544</v>
      </c>
      <c r="E579" s="75" t="s">
        <v>1544</v>
      </c>
      <c r="F579" s="211" t="s">
        <v>1602</v>
      </c>
      <c r="G579" s="145" t="s">
        <v>481</v>
      </c>
      <c r="H579" s="211" t="s">
        <v>87</v>
      </c>
      <c r="I579" s="145" t="s">
        <v>267</v>
      </c>
      <c r="J579" s="211" t="s">
        <v>1603</v>
      </c>
      <c r="K579" s="75" t="s">
        <v>1544</v>
      </c>
      <c r="L579" s="152" t="b">
        <v>0</v>
      </c>
      <c r="M579" s="152" t="b">
        <v>0</v>
      </c>
      <c r="N579" s="217"/>
      <c r="O579" s="213" t="s">
        <v>1554</v>
      </c>
      <c r="P579" s="47" t="b">
        <v>0</v>
      </c>
      <c r="Q579" s="47" t="b">
        <v>0</v>
      </c>
      <c r="R579" s="214"/>
      <c r="S579" s="77">
        <v>0.0</v>
      </c>
      <c r="T579" s="235" t="s">
        <v>1179</v>
      </c>
      <c r="U579" s="215"/>
      <c r="V579" s="215"/>
      <c r="W579" s="218"/>
      <c r="X579" s="214"/>
      <c r="Y579" s="77">
        <v>1.0</v>
      </c>
      <c r="Z579" s="77"/>
    </row>
    <row r="580">
      <c r="A580" s="145" t="s">
        <v>2384</v>
      </c>
      <c r="B580" s="145" t="s">
        <v>2384</v>
      </c>
      <c r="C580" s="145" t="s">
        <v>2404</v>
      </c>
      <c r="D580" s="75" t="s">
        <v>1544</v>
      </c>
      <c r="E580" s="75" t="s">
        <v>1544</v>
      </c>
      <c r="F580" s="211" t="s">
        <v>3221</v>
      </c>
      <c r="G580" s="145" t="s">
        <v>3222</v>
      </c>
      <c r="H580" s="211" t="s">
        <v>1018</v>
      </c>
      <c r="I580" s="145" t="s">
        <v>75</v>
      </c>
      <c r="J580" s="211" t="s">
        <v>3223</v>
      </c>
      <c r="K580" s="75" t="s">
        <v>1601</v>
      </c>
      <c r="L580" s="152" t="b">
        <v>1</v>
      </c>
      <c r="M580" s="152" t="b">
        <v>0</v>
      </c>
      <c r="N580" s="212" t="s">
        <v>3224</v>
      </c>
      <c r="O580" s="213" t="s">
        <v>1554</v>
      </c>
      <c r="P580" s="47" t="b">
        <v>1</v>
      </c>
      <c r="Q580" s="47" t="b">
        <v>0</v>
      </c>
      <c r="R580" s="214"/>
      <c r="S580" s="77">
        <v>0.0</v>
      </c>
      <c r="T580" s="235" t="s">
        <v>1161</v>
      </c>
      <c r="U580" s="78">
        <v>1.0E9</v>
      </c>
      <c r="V580" s="78">
        <v>0.0</v>
      </c>
      <c r="W580" s="216">
        <v>1.0E9</v>
      </c>
      <c r="X580" s="216">
        <v>8000000.0</v>
      </c>
      <c r="Y580" s="77">
        <v>640000.0</v>
      </c>
      <c r="Z580" s="77"/>
    </row>
    <row r="581">
      <c r="A581" s="145" t="s">
        <v>2373</v>
      </c>
      <c r="B581" s="145" t="s">
        <v>2373</v>
      </c>
      <c r="C581" s="145" t="s">
        <v>2404</v>
      </c>
      <c r="D581" s="75" t="s">
        <v>1544</v>
      </c>
      <c r="E581" s="75" t="s">
        <v>1544</v>
      </c>
      <c r="F581" s="211" t="s">
        <v>3226</v>
      </c>
      <c r="G581" s="145" t="s">
        <v>3227</v>
      </c>
      <c r="H581" s="211" t="s">
        <v>907</v>
      </c>
      <c r="I581" s="145" t="s">
        <v>54</v>
      </c>
      <c r="J581" s="211" t="s">
        <v>3228</v>
      </c>
      <c r="K581" s="75" t="s">
        <v>1601</v>
      </c>
      <c r="L581" s="152" t="b">
        <v>1</v>
      </c>
      <c r="M581" s="152" t="b">
        <v>0</v>
      </c>
      <c r="N581" s="217"/>
      <c r="O581" s="213" t="s">
        <v>1554</v>
      </c>
      <c r="P581" s="47" t="b">
        <v>1</v>
      </c>
      <c r="Q581" s="47" t="b">
        <v>0</v>
      </c>
      <c r="R581" s="214"/>
      <c r="S581" s="77">
        <v>0.0</v>
      </c>
      <c r="T581" s="76" t="s">
        <v>1161</v>
      </c>
      <c r="U581" s="78">
        <v>1.0E9</v>
      </c>
      <c r="V581" s="78">
        <v>0.0</v>
      </c>
      <c r="W581" s="216">
        <v>1.0E9</v>
      </c>
      <c r="X581" s="216">
        <v>1.0E7</v>
      </c>
      <c r="Y581" s="77">
        <v>700000.0</v>
      </c>
      <c r="Z581" s="77"/>
    </row>
    <row r="582">
      <c r="A582" s="145" t="s">
        <v>681</v>
      </c>
      <c r="B582" s="145" t="s">
        <v>681</v>
      </c>
      <c r="C582" s="145" t="s">
        <v>2404</v>
      </c>
      <c r="D582" s="75" t="s">
        <v>1544</v>
      </c>
      <c r="E582" s="75" t="s">
        <v>1544</v>
      </c>
      <c r="F582" s="211" t="s">
        <v>3229</v>
      </c>
      <c r="G582" s="145" t="s">
        <v>919</v>
      </c>
      <c r="H582" s="211" t="s">
        <v>586</v>
      </c>
      <c r="I582" s="145" t="s">
        <v>674</v>
      </c>
      <c r="J582" s="211" t="s">
        <v>3092</v>
      </c>
      <c r="K582" s="75" t="s">
        <v>1601</v>
      </c>
      <c r="L582" s="152" t="b">
        <v>1</v>
      </c>
      <c r="M582" s="152" t="b">
        <v>0</v>
      </c>
      <c r="N582" s="212" t="s">
        <v>3230</v>
      </c>
      <c r="O582" s="213" t="s">
        <v>1554</v>
      </c>
      <c r="P582" s="47" t="b">
        <v>1</v>
      </c>
      <c r="Q582" s="47" t="b">
        <v>0</v>
      </c>
      <c r="R582" s="214"/>
      <c r="S582" s="77">
        <v>0.0</v>
      </c>
      <c r="T582" s="76" t="s">
        <v>1161</v>
      </c>
      <c r="U582" s="78">
        <v>1.0E9</v>
      </c>
      <c r="V582" s="215"/>
      <c r="W582" s="216">
        <v>1.0E9</v>
      </c>
      <c r="X582" s="216">
        <v>7000000.0</v>
      </c>
      <c r="Y582" s="77">
        <v>559713.0</v>
      </c>
      <c r="Z582" s="77"/>
    </row>
    <row r="583">
      <c r="A583" s="145" t="s">
        <v>638</v>
      </c>
      <c r="B583" s="145" t="s">
        <v>638</v>
      </c>
      <c r="C583" s="145" t="s">
        <v>2404</v>
      </c>
      <c r="D583" s="75" t="s">
        <v>1544</v>
      </c>
      <c r="E583" s="75" t="s">
        <v>1544</v>
      </c>
      <c r="F583" s="211" t="s">
        <v>3125</v>
      </c>
      <c r="G583" s="145" t="s">
        <v>3231</v>
      </c>
      <c r="H583" s="211" t="s">
        <v>625</v>
      </c>
      <c r="I583" s="145" t="s">
        <v>624</v>
      </c>
      <c r="J583" s="211" t="s">
        <v>3092</v>
      </c>
      <c r="K583" s="75" t="s">
        <v>1544</v>
      </c>
      <c r="L583" s="152" t="b">
        <v>1</v>
      </c>
      <c r="M583" s="152" t="b">
        <v>0</v>
      </c>
      <c r="N583" s="212" t="s">
        <v>3232</v>
      </c>
      <c r="O583" s="213" t="s">
        <v>1554</v>
      </c>
      <c r="P583" s="47" t="b">
        <v>1</v>
      </c>
      <c r="Q583" s="47" t="b">
        <v>0</v>
      </c>
      <c r="R583" s="214"/>
      <c r="S583" s="77">
        <v>0.0</v>
      </c>
      <c r="T583" s="235" t="s">
        <v>1161</v>
      </c>
      <c r="U583" s="78">
        <v>1.0E9</v>
      </c>
      <c r="V583" s="78">
        <v>61.0</v>
      </c>
      <c r="W583" s="216">
        <v>1.0E9</v>
      </c>
      <c r="X583" s="216">
        <v>1.0E11</v>
      </c>
      <c r="Y583" s="216">
        <v>1.8E7</v>
      </c>
      <c r="Z583" s="77"/>
    </row>
    <row r="584">
      <c r="A584" s="145" t="s">
        <v>2368</v>
      </c>
      <c r="B584" s="145" t="s">
        <v>2368</v>
      </c>
      <c r="C584" s="145" t="s">
        <v>3148</v>
      </c>
      <c r="D584" s="75" t="s">
        <v>1544</v>
      </c>
      <c r="E584" s="75" t="s">
        <v>1544</v>
      </c>
      <c r="F584" s="211" t="s">
        <v>1547</v>
      </c>
      <c r="G584" s="145" t="s">
        <v>3234</v>
      </c>
      <c r="H584" s="211" t="s">
        <v>77</v>
      </c>
      <c r="I584" s="145" t="s">
        <v>249</v>
      </c>
      <c r="J584" s="211" t="s">
        <v>1549</v>
      </c>
      <c r="K584" s="75" t="s">
        <v>1544</v>
      </c>
      <c r="L584" s="152" t="b">
        <v>1</v>
      </c>
      <c r="M584" s="152" t="b">
        <v>0</v>
      </c>
      <c r="N584" s="212" t="s">
        <v>3235</v>
      </c>
      <c r="O584" s="213" t="s">
        <v>1554</v>
      </c>
      <c r="P584" s="47" t="b">
        <v>1</v>
      </c>
      <c r="Q584" s="47" t="b">
        <v>0</v>
      </c>
      <c r="R584" s="214"/>
      <c r="S584" s="77">
        <v>0.0</v>
      </c>
      <c r="T584" s="235" t="s">
        <v>1184</v>
      </c>
      <c r="U584" s="78">
        <v>1.2442757E7</v>
      </c>
      <c r="V584" s="78">
        <v>0.0</v>
      </c>
      <c r="W584" s="216">
        <v>1.2E7</v>
      </c>
      <c r="X584" s="216">
        <v>120000.0</v>
      </c>
      <c r="Y584" s="77">
        <v>40000.0</v>
      </c>
      <c r="Z584" s="77"/>
    </row>
    <row r="585">
      <c r="A585" s="145" t="s">
        <v>1096</v>
      </c>
      <c r="B585" s="145" t="s">
        <v>230</v>
      </c>
      <c r="C585" s="145" t="s">
        <v>2288</v>
      </c>
      <c r="D585" s="75" t="s">
        <v>1544</v>
      </c>
      <c r="E585" s="75" t="s">
        <v>1544</v>
      </c>
      <c r="F585" s="211" t="s">
        <v>1575</v>
      </c>
      <c r="G585" s="145" t="s">
        <v>1097</v>
      </c>
      <c r="H585" s="211" t="s">
        <v>77</v>
      </c>
      <c r="I585" s="145" t="s">
        <v>218</v>
      </c>
      <c r="J585" s="211" t="s">
        <v>1577</v>
      </c>
      <c r="K585" s="75" t="s">
        <v>1544</v>
      </c>
      <c r="L585" s="152" t="b">
        <v>1</v>
      </c>
      <c r="M585" s="152" t="b">
        <v>0</v>
      </c>
      <c r="N585" s="217"/>
      <c r="O585" s="213" t="s">
        <v>1554</v>
      </c>
      <c r="P585" s="47" t="b">
        <v>1</v>
      </c>
      <c r="Q585" s="47" t="b">
        <v>0</v>
      </c>
      <c r="R585" s="214"/>
      <c r="S585" s="77">
        <v>0.0</v>
      </c>
      <c r="T585" s="76" t="s">
        <v>1179</v>
      </c>
      <c r="U585" s="78">
        <v>4470475.0</v>
      </c>
      <c r="V585" s="215"/>
      <c r="W585" s="216">
        <v>4000000.0</v>
      </c>
      <c r="X585" s="77">
        <v>40000.0</v>
      </c>
      <c r="Y585" s="77">
        <v>20000.0</v>
      </c>
      <c r="Z585" s="77"/>
    </row>
    <row r="586">
      <c r="A586" s="145" t="s">
        <v>742</v>
      </c>
      <c r="B586" s="145" t="s">
        <v>742</v>
      </c>
      <c r="C586" s="145" t="s">
        <v>2398</v>
      </c>
      <c r="D586" s="75" t="s">
        <v>1544</v>
      </c>
      <c r="E586" s="75" t="s">
        <v>1544</v>
      </c>
      <c r="F586" s="211" t="s">
        <v>1602</v>
      </c>
      <c r="G586" s="145" t="s">
        <v>281</v>
      </c>
      <c r="H586" s="211" t="s">
        <v>87</v>
      </c>
      <c r="I586" s="145" t="s">
        <v>267</v>
      </c>
      <c r="J586" s="211" t="s">
        <v>1603</v>
      </c>
      <c r="K586" s="75" t="s">
        <v>1601</v>
      </c>
      <c r="L586" s="152" t="b">
        <v>1</v>
      </c>
      <c r="M586" s="152" t="b">
        <v>0</v>
      </c>
      <c r="N586" s="217"/>
      <c r="O586" s="213" t="s">
        <v>1554</v>
      </c>
      <c r="P586" s="47" t="b">
        <v>0</v>
      </c>
      <c r="Q586" s="47" t="b">
        <v>0</v>
      </c>
      <c r="R586" s="214"/>
      <c r="S586" s="77">
        <v>0.0</v>
      </c>
      <c r="T586" s="76" t="s">
        <v>1161</v>
      </c>
      <c r="U586" s="215"/>
      <c r="V586" s="215"/>
      <c r="W586" s="214"/>
      <c r="X586" s="214"/>
      <c r="Y586" s="77">
        <v>1.0</v>
      </c>
      <c r="Z586" s="77"/>
    </row>
    <row r="587">
      <c r="A587" s="145" t="s">
        <v>612</v>
      </c>
      <c r="B587" s="145" t="s">
        <v>1694</v>
      </c>
      <c r="C587" s="145" t="s">
        <v>1543</v>
      </c>
      <c r="D587" s="75" t="s">
        <v>1544</v>
      </c>
      <c r="E587" s="75" t="s">
        <v>1544</v>
      </c>
      <c r="F587" s="211" t="s">
        <v>1690</v>
      </c>
      <c r="G587" s="145" t="s">
        <v>2381</v>
      </c>
      <c r="H587" s="211" t="s">
        <v>586</v>
      </c>
      <c r="I587" s="145" t="s">
        <v>936</v>
      </c>
      <c r="J587" s="211" t="s">
        <v>1597</v>
      </c>
      <c r="K587" s="75" t="s">
        <v>1544</v>
      </c>
      <c r="L587" s="152" t="b">
        <v>1</v>
      </c>
      <c r="M587" s="152" t="b">
        <v>0</v>
      </c>
      <c r="N587" s="212" t="s">
        <v>3237</v>
      </c>
      <c r="O587" s="213" t="s">
        <v>1554</v>
      </c>
      <c r="P587" s="47" t="b">
        <v>1</v>
      </c>
      <c r="Q587" s="47" t="b">
        <v>0</v>
      </c>
      <c r="R587" s="214"/>
      <c r="S587" s="77">
        <v>0.0</v>
      </c>
      <c r="T587" s="76" t="s">
        <v>1179</v>
      </c>
      <c r="U587" s="78">
        <v>2.3565296E7</v>
      </c>
      <c r="V587" s="215"/>
      <c r="W587" s="77">
        <v>2.4E7</v>
      </c>
      <c r="X587" s="77">
        <v>168000.0</v>
      </c>
      <c r="Y587" s="77">
        <v>100000.0</v>
      </c>
      <c r="Z587" s="77"/>
    </row>
    <row r="588">
      <c r="A588" s="145" t="s">
        <v>2388</v>
      </c>
      <c r="B588" s="145" t="s">
        <v>2388</v>
      </c>
      <c r="C588" s="145" t="s">
        <v>3148</v>
      </c>
      <c r="D588" s="75" t="s">
        <v>1544</v>
      </c>
      <c r="E588" s="75" t="s">
        <v>1544</v>
      </c>
      <c r="F588" s="211" t="s">
        <v>1649</v>
      </c>
      <c r="G588" s="145" t="s">
        <v>3238</v>
      </c>
      <c r="H588" s="211" t="s">
        <v>1018</v>
      </c>
      <c r="I588" s="145" t="s">
        <v>75</v>
      </c>
      <c r="J588" s="211" t="s">
        <v>1549</v>
      </c>
      <c r="K588" s="75" t="s">
        <v>1544</v>
      </c>
      <c r="L588" s="152" t="b">
        <v>1</v>
      </c>
      <c r="M588" s="152" t="b">
        <v>0</v>
      </c>
      <c r="N588" s="212" t="s">
        <v>3239</v>
      </c>
      <c r="O588" s="213" t="s">
        <v>1554</v>
      </c>
      <c r="P588" s="47" t="b">
        <v>1</v>
      </c>
      <c r="Q588" s="47" t="b">
        <v>0</v>
      </c>
      <c r="R588" s="214"/>
      <c r="S588" s="77">
        <v>0.0</v>
      </c>
      <c r="T588" s="76" t="s">
        <v>1184</v>
      </c>
      <c r="U588" s="78">
        <v>9999999.0</v>
      </c>
      <c r="V588" s="78">
        <v>0.0</v>
      </c>
      <c r="W588" s="77">
        <v>1.0E7</v>
      </c>
      <c r="X588" s="77">
        <v>80000.0</v>
      </c>
      <c r="Y588" s="77">
        <v>32000.0</v>
      </c>
      <c r="Z588" s="77"/>
    </row>
    <row r="589">
      <c r="A589" s="145" t="s">
        <v>2386</v>
      </c>
      <c r="B589" s="145" t="s">
        <v>2386</v>
      </c>
      <c r="C589" s="145" t="s">
        <v>3094</v>
      </c>
      <c r="D589" s="75" t="s">
        <v>1544</v>
      </c>
      <c r="E589" s="75" t="s">
        <v>1544</v>
      </c>
      <c r="F589" s="211" t="s">
        <v>1721</v>
      </c>
      <c r="G589" s="145" t="s">
        <v>3240</v>
      </c>
      <c r="H589" s="211" t="s">
        <v>1018</v>
      </c>
      <c r="I589" s="145" t="s">
        <v>75</v>
      </c>
      <c r="J589" s="211" t="s">
        <v>1609</v>
      </c>
      <c r="K589" s="75" t="s">
        <v>1544</v>
      </c>
      <c r="L589" s="152" t="b">
        <v>1</v>
      </c>
      <c r="M589" s="152" t="b">
        <v>0</v>
      </c>
      <c r="N589" s="212" t="s">
        <v>3241</v>
      </c>
      <c r="O589" s="213" t="s">
        <v>1554</v>
      </c>
      <c r="P589" s="47" t="b">
        <v>1</v>
      </c>
      <c r="Q589" s="47" t="b">
        <v>0</v>
      </c>
      <c r="R589" s="214"/>
      <c r="S589" s="77">
        <v>0.0</v>
      </c>
      <c r="T589" s="76" t="s">
        <v>1184</v>
      </c>
      <c r="U589" s="78">
        <v>2.0E7</v>
      </c>
      <c r="V589" s="78">
        <v>0.0</v>
      </c>
      <c r="W589" s="216">
        <v>2.0E7</v>
      </c>
      <c r="X589" s="216">
        <v>160000.0</v>
      </c>
      <c r="Y589" s="77">
        <v>64000.0</v>
      </c>
      <c r="Z589" s="77"/>
    </row>
    <row r="590">
      <c r="A590" s="145" t="s">
        <v>2399</v>
      </c>
      <c r="B590" s="145" t="s">
        <v>2399</v>
      </c>
      <c r="C590" s="145" t="s">
        <v>3242</v>
      </c>
      <c r="D590" s="75" t="s">
        <v>1544</v>
      </c>
      <c r="E590" s="75" t="s">
        <v>1544</v>
      </c>
      <c r="F590" s="211" t="s">
        <v>2375</v>
      </c>
      <c r="G590" s="145" t="s">
        <v>3243</v>
      </c>
      <c r="H590" s="211" t="s">
        <v>77</v>
      </c>
      <c r="I590" s="145" t="s">
        <v>249</v>
      </c>
      <c r="J590" s="211" t="s">
        <v>3244</v>
      </c>
      <c r="K590" s="75" t="s">
        <v>1544</v>
      </c>
      <c r="L590" s="152" t="b">
        <v>1</v>
      </c>
      <c r="M590" s="152" t="b">
        <v>0</v>
      </c>
      <c r="N590" s="212" t="s">
        <v>3245</v>
      </c>
      <c r="O590" s="213" t="s">
        <v>1554</v>
      </c>
      <c r="P590" s="47" t="b">
        <v>1</v>
      </c>
      <c r="Q590" s="47" t="b">
        <v>0</v>
      </c>
      <c r="R590" s="214"/>
      <c r="S590" s="77">
        <v>0.0</v>
      </c>
      <c r="T590" s="76" t="s">
        <v>1179</v>
      </c>
      <c r="U590" s="78">
        <v>1.0E10</v>
      </c>
      <c r="V590" s="78">
        <v>0.0</v>
      </c>
      <c r="W590" s="216">
        <v>1.0E10</v>
      </c>
      <c r="X590" s="216">
        <v>1.0E8</v>
      </c>
      <c r="Y590" s="216">
        <v>320000.0</v>
      </c>
      <c r="Z590" s="77"/>
    </row>
    <row r="591">
      <c r="A591" s="145" t="s">
        <v>593</v>
      </c>
      <c r="B591" s="145" t="s">
        <v>147</v>
      </c>
      <c r="C591" s="145" t="s">
        <v>2288</v>
      </c>
      <c r="D591" s="75" t="s">
        <v>1544</v>
      </c>
      <c r="E591" s="75" t="s">
        <v>1544</v>
      </c>
      <c r="F591" s="211" t="s">
        <v>1690</v>
      </c>
      <c r="G591" s="145" t="s">
        <v>1086</v>
      </c>
      <c r="H591" s="211" t="s">
        <v>586</v>
      </c>
      <c r="I591" s="145" t="s">
        <v>585</v>
      </c>
      <c r="J591" s="211" t="s">
        <v>1597</v>
      </c>
      <c r="K591" s="75" t="s">
        <v>1544</v>
      </c>
      <c r="L591" s="152" t="b">
        <v>1</v>
      </c>
      <c r="M591" s="152" t="b">
        <v>0</v>
      </c>
      <c r="N591" s="217"/>
      <c r="O591" s="213" t="s">
        <v>1554</v>
      </c>
      <c r="P591" s="47" t="b">
        <v>1</v>
      </c>
      <c r="Q591" s="47" t="b">
        <v>0</v>
      </c>
      <c r="R591" s="214"/>
      <c r="S591" s="77">
        <v>0.0</v>
      </c>
      <c r="T591" s="76" t="s">
        <v>1179</v>
      </c>
      <c r="U591" s="78">
        <v>2.2485678E7</v>
      </c>
      <c r="V591" s="215"/>
      <c r="W591" s="216">
        <v>2.2E7</v>
      </c>
      <c r="X591" s="216">
        <v>154000.0</v>
      </c>
      <c r="Y591" s="77">
        <v>100000.0</v>
      </c>
      <c r="Z591" s="77"/>
    </row>
    <row r="592">
      <c r="A592" s="145" t="s">
        <v>474</v>
      </c>
      <c r="B592" s="145" t="s">
        <v>1746</v>
      </c>
      <c r="C592" s="145" t="s">
        <v>1543</v>
      </c>
      <c r="D592" s="75" t="s">
        <v>1544</v>
      </c>
      <c r="E592" s="75" t="s">
        <v>1544</v>
      </c>
      <c r="F592" s="211" t="s">
        <v>1547</v>
      </c>
      <c r="G592" s="145" t="s">
        <v>3247</v>
      </c>
      <c r="H592" s="211" t="s">
        <v>77</v>
      </c>
      <c r="I592" s="145" t="s">
        <v>338</v>
      </c>
      <c r="J592" s="211" t="s">
        <v>1549</v>
      </c>
      <c r="K592" s="75" t="s">
        <v>1544</v>
      </c>
      <c r="L592" s="152" t="b">
        <v>1</v>
      </c>
      <c r="M592" s="152" t="b">
        <v>0</v>
      </c>
      <c r="N592" s="212" t="s">
        <v>3248</v>
      </c>
      <c r="O592" s="213" t="s">
        <v>1554</v>
      </c>
      <c r="P592" s="47" t="b">
        <v>1</v>
      </c>
      <c r="Q592" s="47" t="b">
        <v>0</v>
      </c>
      <c r="R592" s="214"/>
      <c r="S592" s="77">
        <v>0.0</v>
      </c>
      <c r="T592" s="76" t="s">
        <v>1184</v>
      </c>
      <c r="U592" s="78">
        <v>1.6372296E7</v>
      </c>
      <c r="V592" s="215"/>
      <c r="W592" s="216">
        <v>1.6E7</v>
      </c>
      <c r="X592" s="216">
        <v>160000.0</v>
      </c>
      <c r="Y592" s="77">
        <v>40000.0</v>
      </c>
      <c r="Z592" s="77"/>
    </row>
    <row r="593">
      <c r="A593" s="145" t="s">
        <v>719</v>
      </c>
      <c r="B593" s="145" t="s">
        <v>719</v>
      </c>
      <c r="C593" s="145" t="s">
        <v>2404</v>
      </c>
      <c r="D593" s="75" t="s">
        <v>1544</v>
      </c>
      <c r="E593" s="75" t="s">
        <v>1544</v>
      </c>
      <c r="F593" s="211" t="s">
        <v>1602</v>
      </c>
      <c r="G593" s="145" t="s">
        <v>720</v>
      </c>
      <c r="H593" s="211" t="s">
        <v>87</v>
      </c>
      <c r="I593" s="145" t="s">
        <v>267</v>
      </c>
      <c r="J593" s="211" t="s">
        <v>1603</v>
      </c>
      <c r="K593" s="75" t="s">
        <v>1601</v>
      </c>
      <c r="L593" s="152" t="b">
        <v>1</v>
      </c>
      <c r="M593" s="152" t="b">
        <v>0</v>
      </c>
      <c r="N593" s="217"/>
      <c r="O593" s="213" t="s">
        <v>1554</v>
      </c>
      <c r="P593" s="47" t="b">
        <v>0</v>
      </c>
      <c r="Q593" s="47" t="b">
        <v>0</v>
      </c>
      <c r="R593" s="214"/>
      <c r="S593" s="77">
        <v>0.0</v>
      </c>
      <c r="T593" s="235" t="s">
        <v>1161</v>
      </c>
      <c r="U593" s="215"/>
      <c r="V593" s="215"/>
      <c r="W593" s="218"/>
      <c r="X593" s="218"/>
      <c r="Y593" s="77">
        <v>1.0</v>
      </c>
      <c r="Z593" s="77"/>
    </row>
    <row r="594">
      <c r="A594" s="145" t="s">
        <v>648</v>
      </c>
      <c r="B594" s="145" t="s">
        <v>648</v>
      </c>
      <c r="C594" s="145" t="s">
        <v>3242</v>
      </c>
      <c r="D594" s="75" t="s">
        <v>1544</v>
      </c>
      <c r="E594" s="75" t="s">
        <v>1544</v>
      </c>
      <c r="F594" s="211" t="s">
        <v>1557</v>
      </c>
      <c r="G594" s="145" t="s">
        <v>3249</v>
      </c>
      <c r="H594" s="211" t="s">
        <v>625</v>
      </c>
      <c r="I594" s="145" t="s">
        <v>624</v>
      </c>
      <c r="J594" s="211" t="s">
        <v>1561</v>
      </c>
      <c r="K594" s="75" t="s">
        <v>1544</v>
      </c>
      <c r="L594" s="152" t="b">
        <v>1</v>
      </c>
      <c r="M594" s="152" t="b">
        <v>0</v>
      </c>
      <c r="N594" s="212" t="s">
        <v>3250</v>
      </c>
      <c r="O594" s="213" t="s">
        <v>1554</v>
      </c>
      <c r="P594" s="47" t="b">
        <v>1</v>
      </c>
      <c r="Q594" s="47" t="b">
        <v>0</v>
      </c>
      <c r="R594" s="214"/>
      <c r="S594" s="77">
        <v>0.0</v>
      </c>
      <c r="T594" s="76" t="s">
        <v>1179</v>
      </c>
      <c r="U594" s="78">
        <v>1.0E11</v>
      </c>
      <c r="V594" s="78">
        <v>67.0</v>
      </c>
      <c r="W594" s="216">
        <v>1.0E11</v>
      </c>
      <c r="X594" s="216">
        <v>1.0E13</v>
      </c>
      <c r="Y594" s="216">
        <v>6000000.0</v>
      </c>
      <c r="Z594" s="77"/>
    </row>
    <row r="595">
      <c r="A595" s="145" t="s">
        <v>660</v>
      </c>
      <c r="B595" s="145" t="s">
        <v>660</v>
      </c>
      <c r="C595" s="145" t="s">
        <v>3242</v>
      </c>
      <c r="D595" s="75" t="s">
        <v>1544</v>
      </c>
      <c r="E595" s="75" t="s">
        <v>1544</v>
      </c>
      <c r="F595" s="211" t="s">
        <v>2311</v>
      </c>
      <c r="G595" s="145" t="s">
        <v>3252</v>
      </c>
      <c r="H595" s="211" t="s">
        <v>586</v>
      </c>
      <c r="I595" s="145" t="s">
        <v>162</v>
      </c>
      <c r="J595" s="211" t="s">
        <v>1561</v>
      </c>
      <c r="K595" s="75" t="s">
        <v>1544</v>
      </c>
      <c r="L595" s="152" t="b">
        <v>1</v>
      </c>
      <c r="M595" s="152" t="b">
        <v>0</v>
      </c>
      <c r="N595" s="212" t="s">
        <v>3253</v>
      </c>
      <c r="O595" s="213" t="s">
        <v>1554</v>
      </c>
      <c r="P595" s="47" t="b">
        <v>1</v>
      </c>
      <c r="Q595" s="47" t="b">
        <v>0</v>
      </c>
      <c r="R595" s="214"/>
      <c r="S595" s="77">
        <v>0.0</v>
      </c>
      <c r="T595" s="76" t="s">
        <v>1179</v>
      </c>
      <c r="U595" s="78">
        <v>1.0E10</v>
      </c>
      <c r="V595" s="78">
        <v>0.0</v>
      </c>
      <c r="W595" s="216">
        <v>1.0E10</v>
      </c>
      <c r="X595" s="216">
        <v>7.0E7</v>
      </c>
      <c r="Y595" s="77">
        <v>200000.0</v>
      </c>
      <c r="Z595" s="77"/>
    </row>
    <row r="596">
      <c r="A596" s="145" t="s">
        <v>2395</v>
      </c>
      <c r="B596" s="145" t="s">
        <v>2395</v>
      </c>
      <c r="C596" s="145" t="s">
        <v>3242</v>
      </c>
      <c r="D596" s="75" t="s">
        <v>1544</v>
      </c>
      <c r="E596" s="75" t="s">
        <v>1544</v>
      </c>
      <c r="F596" s="211" t="s">
        <v>2375</v>
      </c>
      <c r="G596" s="145" t="s">
        <v>3254</v>
      </c>
      <c r="H596" s="211" t="s">
        <v>907</v>
      </c>
      <c r="I596" s="145" t="s">
        <v>25</v>
      </c>
      <c r="J596" s="211" t="s">
        <v>3244</v>
      </c>
      <c r="K596" s="75" t="s">
        <v>1544</v>
      </c>
      <c r="L596" s="152" t="b">
        <v>1</v>
      </c>
      <c r="M596" s="152" t="b">
        <v>0</v>
      </c>
      <c r="N596" s="212" t="s">
        <v>3255</v>
      </c>
      <c r="O596" s="213" t="s">
        <v>1554</v>
      </c>
      <c r="P596" s="47" t="b">
        <v>1</v>
      </c>
      <c r="Q596" s="47" t="b">
        <v>0</v>
      </c>
      <c r="R596" s="214"/>
      <c r="S596" s="77">
        <v>0.0</v>
      </c>
      <c r="T596" s="235" t="s">
        <v>1179</v>
      </c>
      <c r="U596" s="78">
        <v>1.0E10</v>
      </c>
      <c r="V596" s="78">
        <v>0.0</v>
      </c>
      <c r="W596" s="216">
        <v>1.0E10</v>
      </c>
      <c r="X596" s="216">
        <v>1.0E8</v>
      </c>
      <c r="Y596" s="216">
        <v>320000.0</v>
      </c>
      <c r="Z596" s="77"/>
    </row>
    <row r="597">
      <c r="A597" s="145" t="s">
        <v>2413</v>
      </c>
      <c r="B597" s="145" t="s">
        <v>2413</v>
      </c>
      <c r="C597" s="145" t="s">
        <v>3242</v>
      </c>
      <c r="D597" s="75" t="s">
        <v>1544</v>
      </c>
      <c r="E597" s="75" t="s">
        <v>1544</v>
      </c>
      <c r="F597" s="211" t="s">
        <v>3256</v>
      </c>
      <c r="G597" s="145" t="s">
        <v>3257</v>
      </c>
      <c r="H597" s="211" t="s">
        <v>1018</v>
      </c>
      <c r="I597" s="145" t="s">
        <v>75</v>
      </c>
      <c r="J597" s="211" t="s">
        <v>3244</v>
      </c>
      <c r="K597" s="75" t="s">
        <v>1544</v>
      </c>
      <c r="L597" s="152" t="b">
        <v>1</v>
      </c>
      <c r="M597" s="152" t="b">
        <v>0</v>
      </c>
      <c r="N597" s="212" t="s">
        <v>3258</v>
      </c>
      <c r="O597" s="213" t="s">
        <v>1554</v>
      </c>
      <c r="P597" s="47" t="b">
        <v>1</v>
      </c>
      <c r="Q597" s="47" t="b">
        <v>0</v>
      </c>
      <c r="R597" s="214"/>
      <c r="S597" s="77">
        <v>0.0</v>
      </c>
      <c r="T597" s="235" t="s">
        <v>1179</v>
      </c>
      <c r="U597" s="78">
        <v>1.0E10</v>
      </c>
      <c r="V597" s="78">
        <v>0.0</v>
      </c>
      <c r="W597" s="216">
        <v>1.0E10</v>
      </c>
      <c r="X597" s="216">
        <v>8.0E7</v>
      </c>
      <c r="Y597" s="77">
        <v>256000.0</v>
      </c>
      <c r="Z597" s="77"/>
    </row>
    <row r="598">
      <c r="A598" s="145" t="s">
        <v>2391</v>
      </c>
      <c r="B598" s="145" t="s">
        <v>2287</v>
      </c>
      <c r="C598" s="145" t="s">
        <v>2288</v>
      </c>
      <c r="D598" s="75" t="s">
        <v>1544</v>
      </c>
      <c r="E598" s="75" t="s">
        <v>1544</v>
      </c>
      <c r="F598" s="211" t="s">
        <v>1649</v>
      </c>
      <c r="G598" s="145" t="s">
        <v>3260</v>
      </c>
      <c r="H598" s="211" t="s">
        <v>1018</v>
      </c>
      <c r="I598" s="145" t="s">
        <v>92</v>
      </c>
      <c r="J598" s="211" t="s">
        <v>1549</v>
      </c>
      <c r="K598" s="75" t="s">
        <v>1544</v>
      </c>
      <c r="L598" s="152" t="b">
        <v>1</v>
      </c>
      <c r="M598" s="152" t="b">
        <v>0</v>
      </c>
      <c r="N598" s="217"/>
      <c r="O598" s="213" t="s">
        <v>1554</v>
      </c>
      <c r="P598" s="47" t="b">
        <v>1</v>
      </c>
      <c r="Q598" s="47" t="b">
        <v>0</v>
      </c>
      <c r="R598" s="214"/>
      <c r="S598" s="77">
        <v>0.0</v>
      </c>
      <c r="T598" s="235" t="s">
        <v>1179</v>
      </c>
      <c r="U598" s="78">
        <v>1.0659881E7</v>
      </c>
      <c r="V598" s="215"/>
      <c r="W598" s="216">
        <v>1.0E7</v>
      </c>
      <c r="X598" s="216">
        <v>80000.0</v>
      </c>
      <c r="Y598" s="77">
        <v>32000.0</v>
      </c>
      <c r="Z598" s="77"/>
    </row>
    <row r="599">
      <c r="A599" s="145" t="s">
        <v>826</v>
      </c>
      <c r="B599" s="145" t="s">
        <v>1720</v>
      </c>
      <c r="C599" s="145" t="s">
        <v>1543</v>
      </c>
      <c r="D599" s="75" t="s">
        <v>1544</v>
      </c>
      <c r="E599" s="75" t="s">
        <v>1544</v>
      </c>
      <c r="F599" s="211" t="s">
        <v>1602</v>
      </c>
      <c r="G599" s="145" t="s">
        <v>827</v>
      </c>
      <c r="H599" s="211" t="s">
        <v>87</v>
      </c>
      <c r="I599" s="145" t="s">
        <v>267</v>
      </c>
      <c r="J599" s="211" t="s">
        <v>1603</v>
      </c>
      <c r="K599" s="75" t="s">
        <v>1544</v>
      </c>
      <c r="L599" s="152" t="b">
        <v>0</v>
      </c>
      <c r="M599" s="152" t="b">
        <v>0</v>
      </c>
      <c r="N599" s="212" t="s">
        <v>3262</v>
      </c>
      <c r="O599" s="213" t="s">
        <v>1554</v>
      </c>
      <c r="P599" s="47" t="b">
        <v>0</v>
      </c>
      <c r="Q599" s="47" t="b">
        <v>0</v>
      </c>
      <c r="R599" s="214"/>
      <c r="S599" s="77">
        <v>0.0</v>
      </c>
      <c r="T599" s="235" t="s">
        <v>1156</v>
      </c>
      <c r="U599" s="215"/>
      <c r="V599" s="215"/>
      <c r="W599" s="218"/>
      <c r="X599" s="218"/>
      <c r="Y599" s="77">
        <v>1.0</v>
      </c>
      <c r="Z599" s="77"/>
    </row>
    <row r="600">
      <c r="A600" s="145" t="s">
        <v>714</v>
      </c>
      <c r="B600" s="145" t="s">
        <v>714</v>
      </c>
      <c r="C600" s="145" t="s">
        <v>3148</v>
      </c>
      <c r="D600" s="75" t="s">
        <v>1601</v>
      </c>
      <c r="E600" s="75" t="s">
        <v>1601</v>
      </c>
      <c r="F600" s="211" t="s">
        <v>1690</v>
      </c>
      <c r="G600" s="145" t="s">
        <v>715</v>
      </c>
      <c r="H600" s="211" t="s">
        <v>77</v>
      </c>
      <c r="I600" s="145" t="s">
        <v>140</v>
      </c>
      <c r="J600" s="211" t="s">
        <v>1597</v>
      </c>
      <c r="K600" s="75" t="s">
        <v>1544</v>
      </c>
      <c r="L600" s="152" t="b">
        <v>1</v>
      </c>
      <c r="M600" s="152" t="b">
        <v>0</v>
      </c>
      <c r="N600" s="217"/>
      <c r="O600" s="213" t="s">
        <v>1554</v>
      </c>
      <c r="P600" s="47" t="b">
        <v>0</v>
      </c>
      <c r="Q600" s="47" t="b">
        <v>0</v>
      </c>
      <c r="R600" s="214"/>
      <c r="S600" s="77">
        <v>0.0</v>
      </c>
      <c r="T600" s="214"/>
      <c r="U600" s="215"/>
      <c r="V600" s="215"/>
      <c r="W600" s="218"/>
      <c r="X600" s="218"/>
      <c r="Y600" s="77">
        <v>100000.0</v>
      </c>
      <c r="Z600" s="77"/>
    </row>
    <row r="601">
      <c r="A601" s="145" t="s">
        <v>149</v>
      </c>
      <c r="B601" s="145" t="s">
        <v>149</v>
      </c>
      <c r="C601" s="145" t="s">
        <v>2404</v>
      </c>
      <c r="D601" s="75" t="s">
        <v>1544</v>
      </c>
      <c r="E601" s="75" t="s">
        <v>1544</v>
      </c>
      <c r="F601" s="211" t="s">
        <v>2864</v>
      </c>
      <c r="G601" s="145" t="s">
        <v>3264</v>
      </c>
      <c r="H601" s="211" t="s">
        <v>87</v>
      </c>
      <c r="I601" s="145" t="s">
        <v>267</v>
      </c>
      <c r="J601" s="211" t="s">
        <v>1561</v>
      </c>
      <c r="K601" s="75" t="s">
        <v>1601</v>
      </c>
      <c r="L601" s="152" t="b">
        <v>1</v>
      </c>
      <c r="M601" s="152" t="b">
        <v>0</v>
      </c>
      <c r="N601" s="212" t="s">
        <v>3265</v>
      </c>
      <c r="O601" s="213" t="s">
        <v>1554</v>
      </c>
      <c r="P601" s="47" t="b">
        <v>0</v>
      </c>
      <c r="Q601" s="47" t="b">
        <v>0</v>
      </c>
      <c r="R601" s="214"/>
      <c r="S601" s="77">
        <v>0.0</v>
      </c>
      <c r="T601" s="76" t="s">
        <v>1161</v>
      </c>
      <c r="U601" s="78">
        <v>1.0E9</v>
      </c>
      <c r="V601" s="78">
        <v>0.0</v>
      </c>
      <c r="W601" s="216">
        <v>1.0E9</v>
      </c>
      <c r="X601" s="216">
        <v>1.0E11</v>
      </c>
      <c r="Y601" s="77">
        <v>160000.0</v>
      </c>
      <c r="Z601" s="77"/>
    </row>
    <row r="602">
      <c r="A602" s="145" t="s">
        <v>550</v>
      </c>
      <c r="B602" s="145" t="s">
        <v>1574</v>
      </c>
      <c r="C602" s="145" t="s">
        <v>1543</v>
      </c>
      <c r="D602" s="75" t="s">
        <v>1544</v>
      </c>
      <c r="E602" s="75" t="s">
        <v>1544</v>
      </c>
      <c r="F602" s="211" t="s">
        <v>1547</v>
      </c>
      <c r="G602" s="145" t="s">
        <v>3266</v>
      </c>
      <c r="H602" s="211" t="s">
        <v>77</v>
      </c>
      <c r="I602" s="145" t="s">
        <v>413</v>
      </c>
      <c r="J602" s="211" t="s">
        <v>1549</v>
      </c>
      <c r="K602" s="75" t="s">
        <v>1544</v>
      </c>
      <c r="L602" s="152" t="b">
        <v>1</v>
      </c>
      <c r="M602" s="152" t="b">
        <v>0</v>
      </c>
      <c r="N602" s="212" t="s">
        <v>3267</v>
      </c>
      <c r="O602" s="213" t="s">
        <v>1554</v>
      </c>
      <c r="P602" s="47" t="b">
        <v>1</v>
      </c>
      <c r="Q602" s="47" t="b">
        <v>0</v>
      </c>
      <c r="R602" s="214"/>
      <c r="S602" s="77">
        <v>0.0</v>
      </c>
      <c r="T602" s="76" t="s">
        <v>1179</v>
      </c>
      <c r="U602" s="78">
        <v>1.1959743E7</v>
      </c>
      <c r="V602" s="215"/>
      <c r="W602" s="216">
        <v>1.2E7</v>
      </c>
      <c r="X602" s="77">
        <v>120000.0</v>
      </c>
      <c r="Y602" s="77">
        <v>40000.0</v>
      </c>
      <c r="Z602" s="77"/>
    </row>
    <row r="603">
      <c r="A603" s="145" t="s">
        <v>3268</v>
      </c>
      <c r="B603" s="145" t="s">
        <v>3268</v>
      </c>
      <c r="C603" s="145" t="s">
        <v>1600</v>
      </c>
      <c r="D603" s="75" t="s">
        <v>1544</v>
      </c>
      <c r="E603" s="75" t="s">
        <v>1544</v>
      </c>
      <c r="F603" s="211" t="s">
        <v>1596</v>
      </c>
      <c r="G603" s="145" t="s">
        <v>3268</v>
      </c>
      <c r="H603" s="211" t="s">
        <v>1018</v>
      </c>
      <c r="I603" s="145" t="s">
        <v>113</v>
      </c>
      <c r="J603" s="211" t="s">
        <v>1597</v>
      </c>
      <c r="K603" s="75" t="s">
        <v>1544</v>
      </c>
      <c r="L603" s="152" t="b">
        <v>0</v>
      </c>
      <c r="M603" s="152" t="b">
        <v>0</v>
      </c>
      <c r="N603" s="217"/>
      <c r="O603" s="213" t="s">
        <v>1554</v>
      </c>
      <c r="P603" s="47" t="b">
        <v>0</v>
      </c>
      <c r="Q603" s="47" t="b">
        <v>0</v>
      </c>
      <c r="R603" s="214"/>
      <c r="S603" s="77">
        <v>0.0</v>
      </c>
      <c r="T603" s="218"/>
      <c r="U603" s="215"/>
      <c r="V603" s="215"/>
      <c r="W603" s="218"/>
      <c r="X603" s="214"/>
      <c r="Y603" s="77">
        <v>3000000.0</v>
      </c>
      <c r="Z603" s="77"/>
    </row>
    <row r="604">
      <c r="A604" s="145" t="s">
        <v>699</v>
      </c>
      <c r="B604" s="145" t="s">
        <v>699</v>
      </c>
      <c r="C604" s="145" t="s">
        <v>3270</v>
      </c>
      <c r="D604" s="75" t="s">
        <v>1544</v>
      </c>
      <c r="E604" s="75" t="s">
        <v>1544</v>
      </c>
      <c r="F604" s="211" t="s">
        <v>1602</v>
      </c>
      <c r="G604" s="145" t="s">
        <v>895</v>
      </c>
      <c r="H604" s="211" t="s">
        <v>87</v>
      </c>
      <c r="I604" s="145" t="s">
        <v>267</v>
      </c>
      <c r="J604" s="211" t="s">
        <v>1603</v>
      </c>
      <c r="K604" s="75" t="s">
        <v>1544</v>
      </c>
      <c r="L604" s="152" t="b">
        <v>1</v>
      </c>
      <c r="M604" s="152" t="b">
        <v>1</v>
      </c>
      <c r="N604" s="212" t="s">
        <v>3271</v>
      </c>
      <c r="O604" s="213" t="s">
        <v>1554</v>
      </c>
      <c r="P604" s="47" t="b">
        <v>0</v>
      </c>
      <c r="Q604" s="47" t="b">
        <v>0</v>
      </c>
      <c r="R604" s="214"/>
      <c r="S604" s="77">
        <v>0.0</v>
      </c>
      <c r="T604" s="76" t="s">
        <v>1179</v>
      </c>
      <c r="U604" s="215"/>
      <c r="V604" s="215"/>
      <c r="W604" s="218"/>
      <c r="X604" s="218"/>
      <c r="Y604" s="77">
        <v>1.0</v>
      </c>
      <c r="Z604" s="77"/>
    </row>
    <row r="605">
      <c r="A605" s="145" t="s">
        <v>129</v>
      </c>
      <c r="B605" s="145" t="s">
        <v>129</v>
      </c>
      <c r="C605" s="145" t="s">
        <v>2398</v>
      </c>
      <c r="D605" s="75" t="s">
        <v>1544</v>
      </c>
      <c r="E605" s="75" t="s">
        <v>1544</v>
      </c>
      <c r="F605" s="211" t="s">
        <v>2311</v>
      </c>
      <c r="G605" s="145" t="s">
        <v>3272</v>
      </c>
      <c r="H605" s="211" t="s">
        <v>907</v>
      </c>
      <c r="I605" s="145" t="s">
        <v>54</v>
      </c>
      <c r="J605" s="211" t="s">
        <v>1561</v>
      </c>
      <c r="K605" s="75" t="s">
        <v>1601</v>
      </c>
      <c r="L605" s="152" t="b">
        <v>1</v>
      </c>
      <c r="M605" s="152" t="b">
        <v>0</v>
      </c>
      <c r="N605" s="212" t="s">
        <v>3273</v>
      </c>
      <c r="O605" s="213" t="s">
        <v>1554</v>
      </c>
      <c r="P605" s="47" t="b">
        <v>1</v>
      </c>
      <c r="Q605" s="47" t="b">
        <v>0</v>
      </c>
      <c r="R605" s="214"/>
      <c r="S605" s="77">
        <v>0.0</v>
      </c>
      <c r="T605" s="76" t="s">
        <v>1161</v>
      </c>
      <c r="U605" s="78">
        <v>1.0E9</v>
      </c>
      <c r="V605" s="78">
        <v>0.0</v>
      </c>
      <c r="W605" s="216">
        <v>1.0E9</v>
      </c>
      <c r="X605" s="216">
        <v>1.0E7</v>
      </c>
      <c r="Y605" s="77">
        <v>200000.0</v>
      </c>
      <c r="Z605" s="77"/>
    </row>
    <row r="606">
      <c r="A606" s="145" t="s">
        <v>120</v>
      </c>
      <c r="B606" s="145" t="s">
        <v>120</v>
      </c>
      <c r="C606" s="145" t="s">
        <v>2398</v>
      </c>
      <c r="D606" s="75" t="s">
        <v>1544</v>
      </c>
      <c r="E606" s="75" t="s">
        <v>1544</v>
      </c>
      <c r="F606" s="211" t="s">
        <v>3275</v>
      </c>
      <c r="G606" s="145" t="s">
        <v>792</v>
      </c>
      <c r="H606" s="211" t="s">
        <v>1018</v>
      </c>
      <c r="I606" s="145" t="s">
        <v>83</v>
      </c>
      <c r="J606" s="211" t="s">
        <v>1597</v>
      </c>
      <c r="K606" s="75" t="s">
        <v>1601</v>
      </c>
      <c r="L606" s="152" t="b">
        <v>1</v>
      </c>
      <c r="M606" s="152" t="b">
        <v>0</v>
      </c>
      <c r="N606" s="212" t="s">
        <v>3276</v>
      </c>
      <c r="O606" s="213" t="s">
        <v>1554</v>
      </c>
      <c r="P606" s="47" t="b">
        <v>1</v>
      </c>
      <c r="Q606" s="47" t="b">
        <v>0</v>
      </c>
      <c r="R606" s="214"/>
      <c r="S606" s="77">
        <v>0.0</v>
      </c>
      <c r="T606" s="76" t="s">
        <v>1161</v>
      </c>
      <c r="U606" s="78">
        <v>1.0E9</v>
      </c>
      <c r="V606" s="78">
        <v>12.0</v>
      </c>
      <c r="W606" s="216">
        <v>1.0E9</v>
      </c>
      <c r="X606" s="216">
        <v>8000000.0</v>
      </c>
      <c r="Y606" s="77">
        <v>139828.0</v>
      </c>
      <c r="Z606" s="77"/>
    </row>
    <row r="607">
      <c r="A607" s="145" t="s">
        <v>107</v>
      </c>
      <c r="B607" s="145" t="s">
        <v>107</v>
      </c>
      <c r="C607" s="145" t="s">
        <v>2398</v>
      </c>
      <c r="D607" s="75" t="s">
        <v>1544</v>
      </c>
      <c r="E607" s="75" t="s">
        <v>1544</v>
      </c>
      <c r="F607" s="211" t="s">
        <v>3277</v>
      </c>
      <c r="G607" s="145" t="s">
        <v>852</v>
      </c>
      <c r="H607" s="211" t="s">
        <v>77</v>
      </c>
      <c r="I607" s="145" t="s">
        <v>143</v>
      </c>
      <c r="J607" s="211" t="s">
        <v>1597</v>
      </c>
      <c r="K607" s="75" t="s">
        <v>1601</v>
      </c>
      <c r="L607" s="152" t="b">
        <v>1</v>
      </c>
      <c r="M607" s="152" t="b">
        <v>0</v>
      </c>
      <c r="N607" s="212" t="s">
        <v>3278</v>
      </c>
      <c r="O607" s="213" t="s">
        <v>1554</v>
      </c>
      <c r="P607" s="47" t="b">
        <v>1</v>
      </c>
      <c r="Q607" s="47" t="b">
        <v>0</v>
      </c>
      <c r="R607" s="214"/>
      <c r="S607" s="77">
        <v>0.0</v>
      </c>
      <c r="T607" s="76" t="s">
        <v>1161</v>
      </c>
      <c r="U607" s="78">
        <v>1.0E9</v>
      </c>
      <c r="V607" s="78">
        <v>13.0</v>
      </c>
      <c r="W607" s="216">
        <v>1.0E9</v>
      </c>
      <c r="X607" s="216">
        <v>1.0E7</v>
      </c>
      <c r="Y607" s="77">
        <v>163133.0</v>
      </c>
      <c r="Z607" s="77"/>
    </row>
    <row r="608">
      <c r="A608" s="145" t="s">
        <v>618</v>
      </c>
      <c r="B608" s="145" t="s">
        <v>618</v>
      </c>
      <c r="C608" s="145" t="s">
        <v>2398</v>
      </c>
      <c r="D608" s="75" t="s">
        <v>1544</v>
      </c>
      <c r="E608" s="75" t="s">
        <v>1601</v>
      </c>
      <c r="F608" s="211" t="s">
        <v>3280</v>
      </c>
      <c r="G608" s="145" t="s">
        <v>989</v>
      </c>
      <c r="H608" s="211" t="s">
        <v>586</v>
      </c>
      <c r="I608" s="145" t="s">
        <v>585</v>
      </c>
      <c r="J608" s="211" t="s">
        <v>3092</v>
      </c>
      <c r="K608" s="75" t="s">
        <v>1601</v>
      </c>
      <c r="L608" s="152" t="b">
        <v>1</v>
      </c>
      <c r="M608" s="152" t="b">
        <v>0</v>
      </c>
      <c r="N608" s="212" t="s">
        <v>3281</v>
      </c>
      <c r="O608" s="213" t="s">
        <v>1554</v>
      </c>
      <c r="P608" s="47" t="b">
        <v>0</v>
      </c>
      <c r="Q608" s="47" t="b">
        <v>0</v>
      </c>
      <c r="R608" s="214"/>
      <c r="S608" s="77">
        <v>0.0</v>
      </c>
      <c r="T608" s="218"/>
      <c r="U608" s="215"/>
      <c r="V608" s="215"/>
      <c r="W608" s="218"/>
      <c r="X608" s="218"/>
      <c r="Y608" s="77">
        <v>362206.0</v>
      </c>
      <c r="Z608" s="77"/>
    </row>
    <row r="609">
      <c r="A609" s="145" t="s">
        <v>1051</v>
      </c>
      <c r="B609" s="145" t="s">
        <v>1051</v>
      </c>
      <c r="C609" s="145" t="s">
        <v>2398</v>
      </c>
      <c r="D609" s="75" t="s">
        <v>1544</v>
      </c>
      <c r="E609" s="75" t="s">
        <v>1544</v>
      </c>
      <c r="F609" s="211" t="s">
        <v>3141</v>
      </c>
      <c r="G609" s="145" t="s">
        <v>1052</v>
      </c>
      <c r="H609" s="211" t="s">
        <v>87</v>
      </c>
      <c r="I609" s="145" t="s">
        <v>267</v>
      </c>
      <c r="J609" s="211" t="s">
        <v>2377</v>
      </c>
      <c r="K609" s="75" t="s">
        <v>1601</v>
      </c>
      <c r="L609" s="152" t="b">
        <v>1</v>
      </c>
      <c r="M609" s="152" t="b">
        <v>0</v>
      </c>
      <c r="N609" s="212" t="s">
        <v>3282</v>
      </c>
      <c r="O609" s="213" t="s">
        <v>1554</v>
      </c>
      <c r="P609" s="47" t="b">
        <v>0</v>
      </c>
      <c r="Q609" s="47" t="b">
        <v>0</v>
      </c>
      <c r="R609" s="214"/>
      <c r="S609" s="77">
        <v>0.0</v>
      </c>
      <c r="T609" s="235" t="s">
        <v>1161</v>
      </c>
      <c r="U609" s="215"/>
      <c r="V609" s="215"/>
      <c r="W609" s="218"/>
      <c r="X609" s="218"/>
      <c r="Y609" s="216">
        <v>1.2E7</v>
      </c>
      <c r="Z609" s="77"/>
    </row>
    <row r="610">
      <c r="A610" s="145" t="s">
        <v>3284</v>
      </c>
      <c r="B610" s="145" t="s">
        <v>3284</v>
      </c>
      <c r="C610" s="145" t="s">
        <v>1266</v>
      </c>
      <c r="D610" s="75" t="s">
        <v>1544</v>
      </c>
      <c r="E610" s="75" t="s">
        <v>1544</v>
      </c>
      <c r="F610" s="211" t="s">
        <v>1690</v>
      </c>
      <c r="G610" s="145" t="s">
        <v>3286</v>
      </c>
      <c r="H610" s="211" t="s">
        <v>77</v>
      </c>
      <c r="I610" s="145" t="s">
        <v>140</v>
      </c>
      <c r="J610" s="211" t="s">
        <v>1597</v>
      </c>
      <c r="K610" s="75" t="s">
        <v>1544</v>
      </c>
      <c r="L610" s="152" t="b">
        <v>0</v>
      </c>
      <c r="M610" s="152" t="b">
        <v>0</v>
      </c>
      <c r="N610" s="217"/>
      <c r="O610" s="213" t="s">
        <v>1554</v>
      </c>
      <c r="P610" s="47" t="b">
        <v>0</v>
      </c>
      <c r="Q610" s="47" t="b">
        <v>0</v>
      </c>
      <c r="R610" s="214"/>
      <c r="S610" s="77">
        <v>0.0</v>
      </c>
      <c r="T610" s="214"/>
      <c r="U610" s="215"/>
      <c r="V610" s="215"/>
      <c r="W610" s="218"/>
      <c r="X610" s="218"/>
      <c r="Y610" s="77">
        <v>100000.0</v>
      </c>
      <c r="Z610" s="77"/>
    </row>
    <row r="611">
      <c r="A611" s="145" t="s">
        <v>518</v>
      </c>
      <c r="B611" s="145" t="s">
        <v>1720</v>
      </c>
      <c r="C611" s="145" t="s">
        <v>1543</v>
      </c>
      <c r="D611" s="75" t="s">
        <v>1544</v>
      </c>
      <c r="E611" s="75" t="s">
        <v>1544</v>
      </c>
      <c r="F611" s="211" t="s">
        <v>1649</v>
      </c>
      <c r="G611" s="145" t="s">
        <v>1407</v>
      </c>
      <c r="H611" s="211" t="s">
        <v>1018</v>
      </c>
      <c r="I611" s="145" t="s">
        <v>83</v>
      </c>
      <c r="J611" s="211" t="s">
        <v>1549</v>
      </c>
      <c r="K611" s="75" t="s">
        <v>1544</v>
      </c>
      <c r="L611" s="152" t="b">
        <v>1</v>
      </c>
      <c r="M611" s="152" t="b">
        <v>0</v>
      </c>
      <c r="N611" s="212" t="s">
        <v>3287</v>
      </c>
      <c r="O611" s="213" t="s">
        <v>1554</v>
      </c>
      <c r="P611" s="47" t="b">
        <v>1</v>
      </c>
      <c r="Q611" s="47" t="b">
        <v>0</v>
      </c>
      <c r="R611" s="214"/>
      <c r="S611" s="77">
        <v>0.0</v>
      </c>
      <c r="T611" s="76" t="s">
        <v>1179</v>
      </c>
      <c r="U611" s="78">
        <v>1.1661821E7</v>
      </c>
      <c r="V611" s="215"/>
      <c r="W611" s="216">
        <v>1.2E7</v>
      </c>
      <c r="X611" s="216">
        <v>96000.0</v>
      </c>
      <c r="Y611" s="77">
        <v>32000.0</v>
      </c>
      <c r="Z611" s="77"/>
    </row>
    <row r="612">
      <c r="A612" s="145" t="s">
        <v>3288</v>
      </c>
      <c r="B612" s="145" t="s">
        <v>3288</v>
      </c>
      <c r="C612" s="145" t="s">
        <v>1266</v>
      </c>
      <c r="D612" s="75" t="s">
        <v>1544</v>
      </c>
      <c r="E612" s="75" t="s">
        <v>1601</v>
      </c>
      <c r="F612" s="211" t="s">
        <v>1690</v>
      </c>
      <c r="G612" s="145" t="s">
        <v>3289</v>
      </c>
      <c r="H612" s="211" t="s">
        <v>907</v>
      </c>
      <c r="I612" s="145" t="s">
        <v>25</v>
      </c>
      <c r="J612" s="211" t="s">
        <v>1597</v>
      </c>
      <c r="K612" s="75" t="s">
        <v>1544</v>
      </c>
      <c r="L612" s="152" t="b">
        <v>0</v>
      </c>
      <c r="M612" s="152" t="b">
        <v>0</v>
      </c>
      <c r="N612" s="217"/>
      <c r="O612" s="213" t="s">
        <v>1554</v>
      </c>
      <c r="P612" s="47" t="b">
        <v>0</v>
      </c>
      <c r="Q612" s="47" t="b">
        <v>0</v>
      </c>
      <c r="R612" s="214"/>
      <c r="S612" s="77">
        <v>0.0</v>
      </c>
      <c r="T612" s="214"/>
      <c r="U612" s="215"/>
      <c r="V612" s="215"/>
      <c r="W612" s="218"/>
      <c r="X612" s="218"/>
      <c r="Y612" s="77">
        <v>100000.0</v>
      </c>
      <c r="Z612" s="77"/>
    </row>
    <row r="613">
      <c r="A613" s="145" t="s">
        <v>282</v>
      </c>
      <c r="B613" s="145" t="s">
        <v>1984</v>
      </c>
      <c r="C613" s="145" t="s">
        <v>1543</v>
      </c>
      <c r="D613" s="75" t="s">
        <v>1544</v>
      </c>
      <c r="E613" s="75" t="s">
        <v>1544</v>
      </c>
      <c r="F613" s="211" t="s">
        <v>1666</v>
      </c>
      <c r="G613" s="145" t="s">
        <v>828</v>
      </c>
      <c r="H613" s="211" t="s">
        <v>77</v>
      </c>
      <c r="I613" s="145" t="s">
        <v>140</v>
      </c>
      <c r="J613" s="211" t="s">
        <v>1667</v>
      </c>
      <c r="K613" s="75" t="s">
        <v>1544</v>
      </c>
      <c r="L613" s="152" t="b">
        <v>1</v>
      </c>
      <c r="M613" s="152" t="b">
        <v>0</v>
      </c>
      <c r="N613" s="212" t="s">
        <v>3291</v>
      </c>
      <c r="O613" s="213" t="s">
        <v>1554</v>
      </c>
      <c r="P613" s="47" t="b">
        <v>1</v>
      </c>
      <c r="Q613" s="47" t="b">
        <v>0</v>
      </c>
      <c r="R613" s="214"/>
      <c r="S613" s="77">
        <v>0.0</v>
      </c>
      <c r="T613" s="76" t="s">
        <v>1190</v>
      </c>
      <c r="U613" s="78">
        <v>1.2660317E7</v>
      </c>
      <c r="V613" s="215"/>
      <c r="W613" s="77">
        <v>1.2E7</v>
      </c>
      <c r="X613" s="77">
        <v>120000.0</v>
      </c>
      <c r="Y613" s="77">
        <v>3600000.0</v>
      </c>
      <c r="Z613" s="77"/>
    </row>
    <row r="614">
      <c r="A614" s="145" t="s">
        <v>524</v>
      </c>
      <c r="B614" s="145" t="s">
        <v>524</v>
      </c>
      <c r="C614" s="145" t="s">
        <v>1600</v>
      </c>
      <c r="D614" s="75" t="s">
        <v>1544</v>
      </c>
      <c r="E614" s="75" t="s">
        <v>1601</v>
      </c>
      <c r="F614" s="211" t="s">
        <v>3292</v>
      </c>
      <c r="G614" s="145" t="s">
        <v>525</v>
      </c>
      <c r="H614" s="211" t="s">
        <v>87</v>
      </c>
      <c r="I614" s="145" t="s">
        <v>267</v>
      </c>
      <c r="J614" s="211" t="s">
        <v>1667</v>
      </c>
      <c r="K614" s="75" t="s">
        <v>1544</v>
      </c>
      <c r="L614" s="152" t="b">
        <v>0</v>
      </c>
      <c r="M614" s="152" t="b">
        <v>0</v>
      </c>
      <c r="N614" s="217"/>
      <c r="O614" s="213" t="s">
        <v>1554</v>
      </c>
      <c r="P614" s="47" t="b">
        <v>0</v>
      </c>
      <c r="Q614" s="47" t="b">
        <v>0</v>
      </c>
      <c r="R614" s="214"/>
      <c r="S614" s="77">
        <v>0.0</v>
      </c>
      <c r="T614" s="214"/>
      <c r="U614" s="215"/>
      <c r="V614" s="215"/>
      <c r="W614" s="214"/>
      <c r="X614" s="214"/>
      <c r="Y614" s="77">
        <v>96000.0</v>
      </c>
      <c r="Z614" s="77"/>
    </row>
    <row r="615">
      <c r="A615" s="145" t="s">
        <v>599</v>
      </c>
      <c r="B615" s="145" t="s">
        <v>1694</v>
      </c>
      <c r="C615" s="145" t="s">
        <v>1543</v>
      </c>
      <c r="D615" s="75" t="s">
        <v>1544</v>
      </c>
      <c r="E615" s="75" t="s">
        <v>1544</v>
      </c>
      <c r="F615" s="211" t="s">
        <v>3294</v>
      </c>
      <c r="G615" s="145" t="s">
        <v>943</v>
      </c>
      <c r="H615" s="211" t="s">
        <v>586</v>
      </c>
      <c r="I615" s="145" t="s">
        <v>936</v>
      </c>
      <c r="J615" s="211" t="s">
        <v>1561</v>
      </c>
      <c r="K615" s="75" t="s">
        <v>1544</v>
      </c>
      <c r="L615" s="152" t="b">
        <v>1</v>
      </c>
      <c r="M615" s="152" t="b">
        <v>0</v>
      </c>
      <c r="N615" s="212" t="s">
        <v>3295</v>
      </c>
      <c r="O615" s="213" t="s">
        <v>1554</v>
      </c>
      <c r="P615" s="47" t="b">
        <v>1</v>
      </c>
      <c r="Q615" s="47" t="b">
        <v>0</v>
      </c>
      <c r="R615" s="214"/>
      <c r="S615" s="77">
        <v>0.0</v>
      </c>
      <c r="T615" s="76" t="s">
        <v>1179</v>
      </c>
      <c r="U615" s="78">
        <v>6.1888991E7</v>
      </c>
      <c r="V615" s="215"/>
      <c r="W615" s="77">
        <v>6.2E7</v>
      </c>
      <c r="X615" s="77">
        <v>434000.0</v>
      </c>
      <c r="Y615" s="77">
        <v>166796.0</v>
      </c>
      <c r="Z615" s="77"/>
    </row>
    <row r="616">
      <c r="A616" s="145" t="s">
        <v>3296</v>
      </c>
      <c r="B616" s="145" t="s">
        <v>3296</v>
      </c>
      <c r="C616" s="145" t="s">
        <v>1266</v>
      </c>
      <c r="D616" s="75" t="s">
        <v>1544</v>
      </c>
      <c r="E616" s="75" t="s">
        <v>1544</v>
      </c>
      <c r="F616" s="211" t="s">
        <v>1645</v>
      </c>
      <c r="G616" s="145" t="s">
        <v>3297</v>
      </c>
      <c r="H616" s="211" t="s">
        <v>1018</v>
      </c>
      <c r="I616" s="145" t="s">
        <v>92</v>
      </c>
      <c r="J616" s="211" t="s">
        <v>1597</v>
      </c>
      <c r="K616" s="75" t="s">
        <v>1544</v>
      </c>
      <c r="L616" s="152" t="b">
        <v>0</v>
      </c>
      <c r="M616" s="152" t="b">
        <v>0</v>
      </c>
      <c r="N616" s="217"/>
      <c r="O616" s="213" t="s">
        <v>1554</v>
      </c>
      <c r="P616" s="47" t="b">
        <v>0</v>
      </c>
      <c r="Q616" s="47" t="b">
        <v>0</v>
      </c>
      <c r="R616" s="214"/>
      <c r="S616" s="77">
        <v>0.0</v>
      </c>
      <c r="T616" s="214"/>
      <c r="U616" s="215"/>
      <c r="V616" s="215"/>
      <c r="W616" s="214"/>
      <c r="X616" s="214"/>
      <c r="Y616" s="77">
        <v>80000.0</v>
      </c>
      <c r="Z616" s="77"/>
    </row>
    <row r="617">
      <c r="A617" s="145" t="s">
        <v>749</v>
      </c>
      <c r="B617" s="145" t="s">
        <v>749</v>
      </c>
      <c r="C617" s="145" t="s">
        <v>3299</v>
      </c>
      <c r="D617" s="75" t="s">
        <v>1544</v>
      </c>
      <c r="E617" s="75" t="s">
        <v>1544</v>
      </c>
      <c r="F617" s="211" t="s">
        <v>1602</v>
      </c>
      <c r="G617" s="145" t="s">
        <v>750</v>
      </c>
      <c r="H617" s="211" t="s">
        <v>87</v>
      </c>
      <c r="I617" s="145" t="s">
        <v>267</v>
      </c>
      <c r="J617" s="211" t="s">
        <v>1603</v>
      </c>
      <c r="K617" s="75" t="s">
        <v>1544</v>
      </c>
      <c r="L617" s="152" t="b">
        <v>1</v>
      </c>
      <c r="M617" s="152" t="b">
        <v>0</v>
      </c>
      <c r="N617" s="217"/>
      <c r="O617" s="213" t="s">
        <v>1554</v>
      </c>
      <c r="P617" s="47" t="b">
        <v>0</v>
      </c>
      <c r="Q617" s="47" t="b">
        <v>0</v>
      </c>
      <c r="R617" s="214"/>
      <c r="S617" s="77">
        <v>0.0</v>
      </c>
      <c r="T617" s="76" t="s">
        <v>1179</v>
      </c>
      <c r="U617" s="215"/>
      <c r="V617" s="215"/>
      <c r="W617" s="214"/>
      <c r="X617" s="214"/>
      <c r="Y617" s="77">
        <v>1.0</v>
      </c>
      <c r="Z617" s="77"/>
    </row>
    <row r="618">
      <c r="A618" s="145" t="s">
        <v>2437</v>
      </c>
      <c r="B618" s="145" t="s">
        <v>2437</v>
      </c>
      <c r="C618" s="145" t="s">
        <v>3148</v>
      </c>
      <c r="D618" s="75" t="s">
        <v>1544</v>
      </c>
      <c r="E618" s="75" t="s">
        <v>1544</v>
      </c>
      <c r="F618" s="211" t="s">
        <v>1645</v>
      </c>
      <c r="G618" s="145" t="s">
        <v>3300</v>
      </c>
      <c r="H618" s="211" t="s">
        <v>77</v>
      </c>
      <c r="I618" s="145" t="s">
        <v>249</v>
      </c>
      <c r="J618" s="211" t="s">
        <v>1609</v>
      </c>
      <c r="K618" s="75" t="s">
        <v>1544</v>
      </c>
      <c r="L618" s="152" t="b">
        <v>1</v>
      </c>
      <c r="M618" s="152" t="b">
        <v>0</v>
      </c>
      <c r="N618" s="212" t="s">
        <v>3301</v>
      </c>
      <c r="O618" s="213" t="s">
        <v>1554</v>
      </c>
      <c r="P618" s="47" t="b">
        <v>1</v>
      </c>
      <c r="Q618" s="47" t="b">
        <v>0</v>
      </c>
      <c r="R618" s="214"/>
      <c r="S618" s="77">
        <v>0.0</v>
      </c>
      <c r="T618" s="76" t="s">
        <v>1184</v>
      </c>
      <c r="U618" s="78">
        <v>185771.0</v>
      </c>
      <c r="V618" s="78">
        <v>0.0</v>
      </c>
      <c r="W618" s="77">
        <v>0.0</v>
      </c>
      <c r="X618" s="77">
        <v>0.0</v>
      </c>
      <c r="Y618" s="77">
        <v>80000.0</v>
      </c>
      <c r="Z618" s="77"/>
    </row>
    <row r="619">
      <c r="A619" s="145" t="s">
        <v>341</v>
      </c>
      <c r="B619" s="145" t="s">
        <v>1751</v>
      </c>
      <c r="C619" s="145" t="s">
        <v>1543</v>
      </c>
      <c r="D619" s="75" t="s">
        <v>1544</v>
      </c>
      <c r="E619" s="75" t="s">
        <v>1544</v>
      </c>
      <c r="F619" s="211" t="s">
        <v>1851</v>
      </c>
      <c r="G619" s="145" t="s">
        <v>1447</v>
      </c>
      <c r="H619" s="211" t="s">
        <v>1018</v>
      </c>
      <c r="I619" s="145" t="s">
        <v>83</v>
      </c>
      <c r="J619" s="211" t="s">
        <v>1639</v>
      </c>
      <c r="K619" s="75" t="s">
        <v>1544</v>
      </c>
      <c r="L619" s="152" t="b">
        <v>1</v>
      </c>
      <c r="M619" s="152" t="b">
        <v>0</v>
      </c>
      <c r="N619" s="212" t="s">
        <v>3303</v>
      </c>
      <c r="O619" s="213" t="s">
        <v>1554</v>
      </c>
      <c r="P619" s="47" t="b">
        <v>1</v>
      </c>
      <c r="Q619" s="47" t="b">
        <v>0</v>
      </c>
      <c r="R619" s="214"/>
      <c r="S619" s="77">
        <v>0.0</v>
      </c>
      <c r="T619" s="76" t="s">
        <v>1179</v>
      </c>
      <c r="U619" s="78">
        <v>1.5046917E7</v>
      </c>
      <c r="V619" s="215"/>
      <c r="W619" s="77">
        <v>1.6E7</v>
      </c>
      <c r="X619" s="77">
        <v>128000.0</v>
      </c>
      <c r="Y619" s="77">
        <v>48000.0</v>
      </c>
      <c r="Z619" s="77"/>
    </row>
    <row r="620">
      <c r="A620" s="145" t="s">
        <v>3304</v>
      </c>
      <c r="B620" s="145" t="s">
        <v>3304</v>
      </c>
      <c r="C620" s="145" t="s">
        <v>1600</v>
      </c>
      <c r="D620" s="75" t="s">
        <v>1544</v>
      </c>
      <c r="E620" s="75" t="s">
        <v>1544</v>
      </c>
      <c r="F620" s="211" t="s">
        <v>2864</v>
      </c>
      <c r="G620" s="145" t="s">
        <v>3305</v>
      </c>
      <c r="H620" s="211" t="s">
        <v>1018</v>
      </c>
      <c r="I620" s="145" t="s">
        <v>75</v>
      </c>
      <c r="J620" s="211" t="s">
        <v>1561</v>
      </c>
      <c r="K620" s="75" t="s">
        <v>1544</v>
      </c>
      <c r="L620" s="152" t="b">
        <v>0</v>
      </c>
      <c r="M620" s="152" t="b">
        <v>0</v>
      </c>
      <c r="N620" s="217"/>
      <c r="O620" s="213" t="s">
        <v>1554</v>
      </c>
      <c r="P620" s="47" t="b">
        <v>0</v>
      </c>
      <c r="Q620" s="47" t="b">
        <v>0</v>
      </c>
      <c r="R620" s="214"/>
      <c r="S620" s="77">
        <v>0.0</v>
      </c>
      <c r="T620" s="214"/>
      <c r="U620" s="215"/>
      <c r="V620" s="215"/>
      <c r="W620" s="214"/>
      <c r="X620" s="214"/>
      <c r="Y620" s="77">
        <v>160000.0</v>
      </c>
      <c r="Z620" s="77"/>
    </row>
    <row r="621">
      <c r="A621" s="145" t="s">
        <v>3307</v>
      </c>
      <c r="B621" s="145" t="s">
        <v>3307</v>
      </c>
      <c r="C621" s="145" t="s">
        <v>1266</v>
      </c>
      <c r="D621" s="75" t="s">
        <v>1544</v>
      </c>
      <c r="E621" s="75" t="s">
        <v>1601</v>
      </c>
      <c r="F621" s="211" t="s">
        <v>1645</v>
      </c>
      <c r="G621" s="145" t="s">
        <v>1461</v>
      </c>
      <c r="H621" s="211" t="s">
        <v>77</v>
      </c>
      <c r="I621" s="145" t="s">
        <v>340</v>
      </c>
      <c r="J621" s="211" t="s">
        <v>1609</v>
      </c>
      <c r="K621" s="75" t="s">
        <v>1544</v>
      </c>
      <c r="L621" s="152" t="b">
        <v>0</v>
      </c>
      <c r="M621" s="152" t="b">
        <v>0</v>
      </c>
      <c r="N621" s="217"/>
      <c r="O621" s="213" t="s">
        <v>1554</v>
      </c>
      <c r="P621" s="47" t="b">
        <v>0</v>
      </c>
      <c r="Q621" s="47" t="b">
        <v>0</v>
      </c>
      <c r="R621" s="214"/>
      <c r="S621" s="77">
        <v>0.0</v>
      </c>
      <c r="T621" s="214"/>
      <c r="U621" s="215"/>
      <c r="V621" s="215"/>
      <c r="W621" s="214"/>
      <c r="X621" s="214"/>
      <c r="Y621" s="77">
        <v>80000.0</v>
      </c>
      <c r="Z621" s="77"/>
    </row>
    <row r="622">
      <c r="A622" s="145" t="s">
        <v>3308</v>
      </c>
      <c r="B622" s="145" t="s">
        <v>3308</v>
      </c>
      <c r="C622" s="145" t="s">
        <v>1266</v>
      </c>
      <c r="D622" s="75" t="s">
        <v>1544</v>
      </c>
      <c r="E622" s="75" t="s">
        <v>1601</v>
      </c>
      <c r="F622" s="211" t="s">
        <v>1645</v>
      </c>
      <c r="G622" s="145" t="s">
        <v>3309</v>
      </c>
      <c r="H622" s="211" t="s">
        <v>77</v>
      </c>
      <c r="I622" s="145" t="s">
        <v>413</v>
      </c>
      <c r="J622" s="211" t="s">
        <v>1609</v>
      </c>
      <c r="K622" s="75" t="s">
        <v>1544</v>
      </c>
      <c r="L622" s="152" t="b">
        <v>0</v>
      </c>
      <c r="M622" s="152" t="b">
        <v>0</v>
      </c>
      <c r="N622" s="217"/>
      <c r="O622" s="213" t="s">
        <v>1554</v>
      </c>
      <c r="P622" s="47" t="b">
        <v>0</v>
      </c>
      <c r="Q622" s="47" t="b">
        <v>0</v>
      </c>
      <c r="R622" s="214"/>
      <c r="S622" s="77">
        <v>0.0</v>
      </c>
      <c r="T622" s="214"/>
      <c r="U622" s="215"/>
      <c r="V622" s="215"/>
      <c r="W622" s="214"/>
      <c r="X622" s="214"/>
      <c r="Y622" s="77">
        <v>80000.0</v>
      </c>
      <c r="Z622" s="77"/>
    </row>
    <row r="623">
      <c r="A623" s="145" t="s">
        <v>3310</v>
      </c>
      <c r="B623" s="145" t="s">
        <v>3310</v>
      </c>
      <c r="C623" s="145" t="s">
        <v>1266</v>
      </c>
      <c r="D623" s="75" t="s">
        <v>1544</v>
      </c>
      <c r="E623" s="75" t="s">
        <v>1544</v>
      </c>
      <c r="F623" s="211" t="s">
        <v>1690</v>
      </c>
      <c r="G623" s="145" t="s">
        <v>2268</v>
      </c>
      <c r="H623" s="211" t="s">
        <v>77</v>
      </c>
      <c r="I623" s="145" t="s">
        <v>340</v>
      </c>
      <c r="J623" s="211" t="s">
        <v>1597</v>
      </c>
      <c r="K623" s="75" t="s">
        <v>1544</v>
      </c>
      <c r="L623" s="152" t="b">
        <v>0</v>
      </c>
      <c r="M623" s="152" t="b">
        <v>0</v>
      </c>
      <c r="N623" s="217"/>
      <c r="O623" s="213" t="s">
        <v>1554</v>
      </c>
      <c r="P623" s="47" t="b">
        <v>0</v>
      </c>
      <c r="Q623" s="47" t="b">
        <v>0</v>
      </c>
      <c r="R623" s="214"/>
      <c r="S623" s="77">
        <v>0.0</v>
      </c>
      <c r="T623" s="214"/>
      <c r="U623" s="215"/>
      <c r="V623" s="215"/>
      <c r="W623" s="214"/>
      <c r="X623" s="193"/>
      <c r="Y623" s="77">
        <v>100000.0</v>
      </c>
      <c r="Z623" s="77"/>
    </row>
    <row r="624">
      <c r="A624" s="145" t="s">
        <v>3312</v>
      </c>
      <c r="B624" s="145" t="s">
        <v>3312</v>
      </c>
      <c r="C624" s="145" t="s">
        <v>1600</v>
      </c>
      <c r="D624" s="75" t="s">
        <v>1544</v>
      </c>
      <c r="E624" s="75" t="s">
        <v>1544</v>
      </c>
      <c r="F624" s="211" t="s">
        <v>2662</v>
      </c>
      <c r="G624" s="145" t="s">
        <v>3313</v>
      </c>
      <c r="H624" s="211" t="s">
        <v>1018</v>
      </c>
      <c r="I624" s="145" t="s">
        <v>83</v>
      </c>
      <c r="J624" s="211" t="s">
        <v>2087</v>
      </c>
      <c r="K624" s="75" t="s">
        <v>1544</v>
      </c>
      <c r="L624" s="152" t="b">
        <v>0</v>
      </c>
      <c r="M624" s="152" t="b">
        <v>0</v>
      </c>
      <c r="N624" s="217"/>
      <c r="O624" s="213" t="s">
        <v>1554</v>
      </c>
      <c r="P624" s="47" t="b">
        <v>0</v>
      </c>
      <c r="Q624" s="47" t="b">
        <v>0</v>
      </c>
      <c r="R624" s="214"/>
      <c r="S624" s="77">
        <v>0.0</v>
      </c>
      <c r="T624" s="214"/>
      <c r="U624" s="215"/>
      <c r="V624" s="215"/>
      <c r="W624" s="214"/>
      <c r="X624" s="193"/>
      <c r="Y624" s="77">
        <v>112000.0</v>
      </c>
      <c r="Z624" s="77"/>
    </row>
    <row r="625">
      <c r="A625" s="145" t="s">
        <v>3314</v>
      </c>
      <c r="B625" s="145" t="s">
        <v>3314</v>
      </c>
      <c r="C625" s="145" t="s">
        <v>1600</v>
      </c>
      <c r="D625" s="75" t="s">
        <v>1544</v>
      </c>
      <c r="E625" s="75" t="s">
        <v>1544</v>
      </c>
      <c r="F625" s="211" t="s">
        <v>2662</v>
      </c>
      <c r="G625" s="145" t="s">
        <v>2058</v>
      </c>
      <c r="H625" s="211" t="s">
        <v>1018</v>
      </c>
      <c r="I625" s="145" t="s">
        <v>92</v>
      </c>
      <c r="J625" s="211" t="s">
        <v>2087</v>
      </c>
      <c r="K625" s="75" t="s">
        <v>1544</v>
      </c>
      <c r="L625" s="152" t="b">
        <v>0</v>
      </c>
      <c r="M625" s="152" t="b">
        <v>0</v>
      </c>
      <c r="N625" s="217"/>
      <c r="O625" s="213" t="s">
        <v>1554</v>
      </c>
      <c r="P625" s="47" t="b">
        <v>0</v>
      </c>
      <c r="Q625" s="47" t="b">
        <v>0</v>
      </c>
      <c r="R625" s="214"/>
      <c r="S625" s="77">
        <v>0.0</v>
      </c>
      <c r="T625" s="214"/>
      <c r="U625" s="215"/>
      <c r="V625" s="215"/>
      <c r="W625" s="214"/>
      <c r="X625" s="193"/>
      <c r="Y625" s="77">
        <v>112000.0</v>
      </c>
      <c r="Z625" s="77"/>
    </row>
    <row r="626">
      <c r="A626" s="145" t="s">
        <v>3315</v>
      </c>
      <c r="B626" s="145" t="s">
        <v>3315</v>
      </c>
      <c r="C626" s="145" t="s">
        <v>1266</v>
      </c>
      <c r="D626" s="75" t="s">
        <v>1544</v>
      </c>
      <c r="E626" s="75" t="s">
        <v>1544</v>
      </c>
      <c r="F626" s="211" t="s">
        <v>2864</v>
      </c>
      <c r="G626" s="145" t="s">
        <v>2440</v>
      </c>
      <c r="H626" s="211" t="s">
        <v>1018</v>
      </c>
      <c r="I626" s="145" t="s">
        <v>75</v>
      </c>
      <c r="J626" s="211" t="s">
        <v>1561</v>
      </c>
      <c r="K626" s="75" t="s">
        <v>1544</v>
      </c>
      <c r="L626" s="152" t="b">
        <v>1</v>
      </c>
      <c r="M626" s="152" t="b">
        <v>0</v>
      </c>
      <c r="N626" s="217"/>
      <c r="O626" s="213" t="s">
        <v>1554</v>
      </c>
      <c r="P626" s="47" t="b">
        <v>0</v>
      </c>
      <c r="Q626" s="47" t="b">
        <v>0</v>
      </c>
      <c r="R626" s="214"/>
      <c r="S626" s="77">
        <v>0.0</v>
      </c>
      <c r="T626" s="214"/>
      <c r="U626" s="215"/>
      <c r="V626" s="215"/>
      <c r="W626" s="214"/>
      <c r="X626" s="214"/>
      <c r="Y626" s="77">
        <v>160000.0</v>
      </c>
      <c r="Z626" s="77"/>
    </row>
    <row r="627">
      <c r="A627" s="145" t="s">
        <v>1098</v>
      </c>
      <c r="B627" s="145" t="s">
        <v>230</v>
      </c>
      <c r="C627" s="145" t="s">
        <v>2288</v>
      </c>
      <c r="D627" s="75" t="s">
        <v>1544</v>
      </c>
      <c r="E627" s="75" t="s">
        <v>1544</v>
      </c>
      <c r="F627" s="211" t="s">
        <v>1547</v>
      </c>
      <c r="G627" s="145" t="s">
        <v>1099</v>
      </c>
      <c r="H627" s="211" t="s">
        <v>77</v>
      </c>
      <c r="I627" s="145" t="s">
        <v>218</v>
      </c>
      <c r="J627" s="211" t="s">
        <v>1549</v>
      </c>
      <c r="K627" s="75" t="s">
        <v>1601</v>
      </c>
      <c r="L627" s="152" t="b">
        <v>1</v>
      </c>
      <c r="M627" s="152" t="b">
        <v>0</v>
      </c>
      <c r="N627" s="217"/>
      <c r="O627" s="213" t="s">
        <v>1554</v>
      </c>
      <c r="P627" s="47" t="b">
        <v>1</v>
      </c>
      <c r="Q627" s="47" t="b">
        <v>0</v>
      </c>
      <c r="R627" s="214"/>
      <c r="S627" s="77">
        <v>0.0</v>
      </c>
      <c r="T627" s="76" t="s">
        <v>1179</v>
      </c>
      <c r="U627" s="78">
        <v>1.0118491E7</v>
      </c>
      <c r="V627" s="215"/>
      <c r="W627" s="77">
        <v>1.0E7</v>
      </c>
      <c r="X627" s="77">
        <v>100000.0</v>
      </c>
      <c r="Y627" s="77">
        <v>40000.0</v>
      </c>
      <c r="Z627" s="77"/>
    </row>
    <row r="628">
      <c r="A628" s="145" t="s">
        <v>3316</v>
      </c>
      <c r="C628" s="145" t="s">
        <v>3120</v>
      </c>
      <c r="D628" s="75" t="s">
        <v>1601</v>
      </c>
      <c r="E628" s="75" t="s">
        <v>1544</v>
      </c>
      <c r="F628" s="211" t="s">
        <v>2910</v>
      </c>
      <c r="G628" s="145" t="s">
        <v>3317</v>
      </c>
      <c r="H628" s="211" t="s">
        <v>87</v>
      </c>
      <c r="I628" s="145" t="s">
        <v>2913</v>
      </c>
      <c r="J628" s="211" t="s">
        <v>3162</v>
      </c>
      <c r="K628" s="75" t="s">
        <v>1544</v>
      </c>
      <c r="L628" s="152" t="b">
        <v>1</v>
      </c>
      <c r="M628" s="152" t="b">
        <v>1</v>
      </c>
      <c r="N628" s="212" t="s">
        <v>3318</v>
      </c>
      <c r="O628" s="213" t="s">
        <v>1554</v>
      </c>
      <c r="P628" s="47" t="b">
        <v>1</v>
      </c>
      <c r="Q628" s="47" t="b">
        <v>0</v>
      </c>
      <c r="R628" s="214"/>
      <c r="S628" s="77">
        <v>0.0</v>
      </c>
      <c r="T628" s="214"/>
      <c r="U628" s="215"/>
      <c r="V628" s="215"/>
      <c r="W628" s="214"/>
      <c r="X628" s="218"/>
      <c r="Y628" s="77">
        <v>50000.0</v>
      </c>
      <c r="Z628" s="77"/>
    </row>
    <row r="629">
      <c r="A629" s="145" t="s">
        <v>652</v>
      </c>
      <c r="B629" s="145" t="s">
        <v>3316</v>
      </c>
      <c r="C629" s="145" t="s">
        <v>3120</v>
      </c>
      <c r="D629" s="75" t="s">
        <v>1544</v>
      </c>
      <c r="E629" s="75" t="s">
        <v>1544</v>
      </c>
      <c r="F629" s="211" t="s">
        <v>1557</v>
      </c>
      <c r="G629" s="145" t="s">
        <v>3320</v>
      </c>
      <c r="H629" s="211" t="s">
        <v>625</v>
      </c>
      <c r="I629" s="145" t="s">
        <v>624</v>
      </c>
      <c r="J629" s="211" t="s">
        <v>1561</v>
      </c>
      <c r="K629" s="75" t="s">
        <v>1544</v>
      </c>
      <c r="L629" s="152" t="b">
        <v>1</v>
      </c>
      <c r="M629" s="152" t="b">
        <v>1</v>
      </c>
      <c r="N629" s="212" t="s">
        <v>3321</v>
      </c>
      <c r="O629" s="213" t="s">
        <v>1554</v>
      </c>
      <c r="P629" s="47" t="b">
        <v>1</v>
      </c>
      <c r="Q629" s="47" t="b">
        <v>0</v>
      </c>
      <c r="R629" s="214"/>
      <c r="S629" s="77">
        <v>0.0</v>
      </c>
      <c r="T629" s="76" t="s">
        <v>1179</v>
      </c>
      <c r="U629" s="78">
        <v>6.0E7</v>
      </c>
      <c r="V629" s="215"/>
      <c r="W629" s="216">
        <v>6.0E7</v>
      </c>
      <c r="X629" s="216">
        <v>6.0E9</v>
      </c>
      <c r="Y629" s="216">
        <v>6000000.0</v>
      </c>
      <c r="Z629" s="77"/>
    </row>
    <row r="630">
      <c r="A630" s="145" t="s">
        <v>3322</v>
      </c>
      <c r="B630" s="145" t="s">
        <v>3322</v>
      </c>
      <c r="C630" s="145" t="s">
        <v>1266</v>
      </c>
      <c r="D630" s="75" t="s">
        <v>1544</v>
      </c>
      <c r="E630" s="75" t="s">
        <v>1544</v>
      </c>
      <c r="F630" s="211" t="s">
        <v>1645</v>
      </c>
      <c r="G630" s="145" t="s">
        <v>1737</v>
      </c>
      <c r="H630" s="211" t="s">
        <v>77</v>
      </c>
      <c r="I630" s="145" t="s">
        <v>174</v>
      </c>
      <c r="J630" s="211" t="s">
        <v>1609</v>
      </c>
      <c r="K630" s="75" t="s">
        <v>1544</v>
      </c>
      <c r="L630" s="152" t="b">
        <v>0</v>
      </c>
      <c r="M630" s="152" t="b">
        <v>0</v>
      </c>
      <c r="N630" s="217"/>
      <c r="O630" s="213" t="s">
        <v>1554</v>
      </c>
      <c r="P630" s="47" t="b">
        <v>0</v>
      </c>
      <c r="Q630" s="47" t="b">
        <v>0</v>
      </c>
      <c r="R630" s="214"/>
      <c r="S630" s="77">
        <v>0.0</v>
      </c>
      <c r="T630" s="214"/>
      <c r="U630" s="215"/>
      <c r="V630" s="215"/>
      <c r="W630" s="214"/>
      <c r="X630" s="218"/>
      <c r="Y630" s="77">
        <v>80000.0</v>
      </c>
      <c r="Z630" s="77"/>
    </row>
    <row r="631">
      <c r="A631" s="145" t="s">
        <v>3323</v>
      </c>
      <c r="B631" s="145" t="s">
        <v>3323</v>
      </c>
      <c r="C631" s="145" t="s">
        <v>1600</v>
      </c>
      <c r="D631" s="75" t="s">
        <v>1544</v>
      </c>
      <c r="E631" s="75" t="s">
        <v>1544</v>
      </c>
      <c r="F631" s="211" t="s">
        <v>1690</v>
      </c>
      <c r="G631" s="145" t="s">
        <v>2210</v>
      </c>
      <c r="H631" s="211" t="s">
        <v>77</v>
      </c>
      <c r="I631" s="145" t="s">
        <v>340</v>
      </c>
      <c r="J631" s="211" t="s">
        <v>1597</v>
      </c>
      <c r="K631" s="75" t="s">
        <v>1544</v>
      </c>
      <c r="L631" s="152" t="b">
        <v>0</v>
      </c>
      <c r="M631" s="152" t="b">
        <v>0</v>
      </c>
      <c r="N631" s="217"/>
      <c r="O631" s="213" t="s">
        <v>1554</v>
      </c>
      <c r="P631" s="47" t="b">
        <v>0</v>
      </c>
      <c r="Q631" s="47" t="b">
        <v>0</v>
      </c>
      <c r="R631" s="214"/>
      <c r="S631" s="77">
        <v>0.0</v>
      </c>
      <c r="T631" s="214"/>
      <c r="U631" s="215"/>
      <c r="V631" s="215"/>
      <c r="W631" s="214"/>
      <c r="X631" s="218"/>
      <c r="Y631" s="77">
        <v>100000.0</v>
      </c>
      <c r="Z631" s="77"/>
    </row>
    <row r="632">
      <c r="A632" s="145" t="s">
        <v>3324</v>
      </c>
      <c r="C632" s="145" t="s">
        <v>1543</v>
      </c>
      <c r="D632" s="75" t="s">
        <v>1601</v>
      </c>
      <c r="E632" s="75" t="s">
        <v>1544</v>
      </c>
      <c r="F632" s="211" t="s">
        <v>1602</v>
      </c>
      <c r="G632" s="145" t="s">
        <v>213</v>
      </c>
      <c r="H632" s="211" t="s">
        <v>87</v>
      </c>
      <c r="I632" s="145" t="s">
        <v>3128</v>
      </c>
      <c r="J632" s="211" t="s">
        <v>1603</v>
      </c>
      <c r="K632" s="75" t="s">
        <v>1544</v>
      </c>
      <c r="L632" s="152" t="b">
        <v>1</v>
      </c>
      <c r="M632" s="152" t="b">
        <v>1</v>
      </c>
      <c r="N632" s="212" t="s">
        <v>3326</v>
      </c>
      <c r="O632" s="213" t="s">
        <v>1554</v>
      </c>
      <c r="P632" s="47" t="b">
        <v>0</v>
      </c>
      <c r="Q632" s="47" t="b">
        <v>0</v>
      </c>
      <c r="R632" s="214"/>
      <c r="S632" s="77">
        <v>0.0</v>
      </c>
      <c r="T632" s="214"/>
      <c r="U632" s="215"/>
      <c r="V632" s="215"/>
      <c r="W632" s="214"/>
      <c r="X632" s="218"/>
      <c r="Y632" s="77">
        <v>1.0</v>
      </c>
      <c r="Z632" s="77"/>
    </row>
    <row r="633">
      <c r="A633" s="145" t="s">
        <v>3327</v>
      </c>
      <c r="C633" s="145" t="s">
        <v>1543</v>
      </c>
      <c r="D633" s="75" t="s">
        <v>1601</v>
      </c>
      <c r="E633" s="75" t="s">
        <v>1544</v>
      </c>
      <c r="F633" s="211" t="s">
        <v>1602</v>
      </c>
      <c r="G633" s="145" t="s">
        <v>213</v>
      </c>
      <c r="H633" s="211" t="s">
        <v>87</v>
      </c>
      <c r="I633" s="145" t="s">
        <v>3128</v>
      </c>
      <c r="J633" s="211" t="s">
        <v>1603</v>
      </c>
      <c r="K633" s="75" t="s">
        <v>1544</v>
      </c>
      <c r="L633" s="152" t="b">
        <v>1</v>
      </c>
      <c r="M633" s="152" t="b">
        <v>1</v>
      </c>
      <c r="N633" s="212" t="s">
        <v>3328</v>
      </c>
      <c r="O633" s="213" t="s">
        <v>1554</v>
      </c>
      <c r="P633" s="47" t="b">
        <v>0</v>
      </c>
      <c r="Q633" s="47" t="b">
        <v>0</v>
      </c>
      <c r="R633" s="214"/>
      <c r="S633" s="77">
        <v>0.0</v>
      </c>
      <c r="T633" s="214"/>
      <c r="U633" s="215"/>
      <c r="V633" s="215"/>
      <c r="W633" s="214"/>
      <c r="X633" s="218"/>
      <c r="Y633" s="77">
        <v>1.0</v>
      </c>
      <c r="Z633" s="77"/>
    </row>
    <row r="634">
      <c r="A634" s="145" t="s">
        <v>1788</v>
      </c>
      <c r="C634" s="145" t="s">
        <v>1543</v>
      </c>
      <c r="D634" s="75" t="s">
        <v>1601</v>
      </c>
      <c r="E634" s="75" t="s">
        <v>1544</v>
      </c>
      <c r="F634" s="211" t="s">
        <v>1602</v>
      </c>
      <c r="G634" s="145" t="s">
        <v>213</v>
      </c>
      <c r="H634" s="211" t="s">
        <v>87</v>
      </c>
      <c r="I634" s="145" t="s">
        <v>3128</v>
      </c>
      <c r="J634" s="211" t="s">
        <v>1603</v>
      </c>
      <c r="K634" s="75" t="s">
        <v>1544</v>
      </c>
      <c r="L634" s="152" t="b">
        <v>1</v>
      </c>
      <c r="M634" s="152" t="b">
        <v>1</v>
      </c>
      <c r="N634" s="212" t="s">
        <v>3329</v>
      </c>
      <c r="O634" s="213" t="s">
        <v>1554</v>
      </c>
      <c r="P634" s="47" t="b">
        <v>1</v>
      </c>
      <c r="Q634" s="47" t="b">
        <v>0</v>
      </c>
      <c r="R634" s="214"/>
      <c r="S634" s="77">
        <v>0.0</v>
      </c>
      <c r="T634" s="214"/>
      <c r="U634" s="215"/>
      <c r="V634" s="215"/>
      <c r="W634" s="214"/>
      <c r="X634" s="214"/>
      <c r="Y634" s="77">
        <v>1.0</v>
      </c>
      <c r="Z634" s="77"/>
    </row>
    <row r="635">
      <c r="A635" s="145" t="s">
        <v>2465</v>
      </c>
      <c r="C635" s="145" t="s">
        <v>1543</v>
      </c>
      <c r="D635" s="75" t="s">
        <v>1601</v>
      </c>
      <c r="E635" s="75" t="s">
        <v>1544</v>
      </c>
      <c r="F635" s="211" t="s">
        <v>1602</v>
      </c>
      <c r="G635" s="145" t="s">
        <v>213</v>
      </c>
      <c r="H635" s="211" t="s">
        <v>87</v>
      </c>
      <c r="I635" s="145" t="s">
        <v>3128</v>
      </c>
      <c r="J635" s="211" t="s">
        <v>1603</v>
      </c>
      <c r="K635" s="75" t="s">
        <v>1544</v>
      </c>
      <c r="L635" s="152" t="b">
        <v>1</v>
      </c>
      <c r="M635" s="152" t="b">
        <v>1</v>
      </c>
      <c r="N635" s="212" t="s">
        <v>3330</v>
      </c>
      <c r="O635" s="213" t="s">
        <v>1554</v>
      </c>
      <c r="P635" s="47" t="b">
        <v>1</v>
      </c>
      <c r="Q635" s="47" t="b">
        <v>0</v>
      </c>
      <c r="R635" s="214"/>
      <c r="S635" s="77">
        <v>0.0</v>
      </c>
      <c r="T635" s="214"/>
      <c r="U635" s="215"/>
      <c r="V635" s="215"/>
      <c r="W635" s="218"/>
      <c r="X635" s="214"/>
      <c r="Y635" s="77">
        <v>1.0</v>
      </c>
      <c r="Z635" s="77"/>
    </row>
    <row r="636">
      <c r="A636" s="145" t="s">
        <v>1694</v>
      </c>
      <c r="C636" s="145" t="s">
        <v>1543</v>
      </c>
      <c r="D636" s="75" t="s">
        <v>1601</v>
      </c>
      <c r="E636" s="75" t="s">
        <v>1544</v>
      </c>
      <c r="F636" s="211" t="s">
        <v>1602</v>
      </c>
      <c r="G636" s="145" t="s">
        <v>213</v>
      </c>
      <c r="H636" s="211" t="s">
        <v>87</v>
      </c>
      <c r="I636" s="145" t="s">
        <v>3128</v>
      </c>
      <c r="J636" s="211" t="s">
        <v>1603</v>
      </c>
      <c r="K636" s="75" t="s">
        <v>1544</v>
      </c>
      <c r="L636" s="152" t="b">
        <v>1</v>
      </c>
      <c r="M636" s="152" t="b">
        <v>1</v>
      </c>
      <c r="N636" s="212" t="s">
        <v>3332</v>
      </c>
      <c r="O636" s="213" t="s">
        <v>1554</v>
      </c>
      <c r="P636" s="47" t="b">
        <v>1</v>
      </c>
      <c r="Q636" s="47" t="b">
        <v>0</v>
      </c>
      <c r="R636" s="214"/>
      <c r="S636" s="77">
        <v>0.0</v>
      </c>
      <c r="T636" s="218"/>
      <c r="U636" s="215"/>
      <c r="V636" s="215"/>
      <c r="W636" s="218"/>
      <c r="X636" s="214"/>
      <c r="Y636" s="77">
        <v>1.0</v>
      </c>
      <c r="Z636" s="77"/>
    </row>
    <row r="637">
      <c r="A637" s="145" t="s">
        <v>3333</v>
      </c>
      <c r="C637" s="145" t="s">
        <v>1543</v>
      </c>
      <c r="D637" s="75" t="s">
        <v>1601</v>
      </c>
      <c r="E637" s="75" t="s">
        <v>1544</v>
      </c>
      <c r="F637" s="211" t="s">
        <v>1602</v>
      </c>
      <c r="G637" s="145" t="s">
        <v>213</v>
      </c>
      <c r="H637" s="211" t="s">
        <v>87</v>
      </c>
      <c r="I637" s="145" t="s">
        <v>3128</v>
      </c>
      <c r="J637" s="211" t="s">
        <v>1603</v>
      </c>
      <c r="K637" s="75" t="s">
        <v>1544</v>
      </c>
      <c r="L637" s="152" t="b">
        <v>1</v>
      </c>
      <c r="M637" s="152" t="b">
        <v>1</v>
      </c>
      <c r="N637" s="212" t="s">
        <v>3334</v>
      </c>
      <c r="O637" s="213" t="s">
        <v>1554</v>
      </c>
      <c r="P637" s="47" t="b">
        <v>0</v>
      </c>
      <c r="Q637" s="47" t="b">
        <v>0</v>
      </c>
      <c r="R637" s="214"/>
      <c r="S637" s="77">
        <v>0.0</v>
      </c>
      <c r="T637" s="214"/>
      <c r="U637" s="215"/>
      <c r="V637" s="215"/>
      <c r="W637" s="218"/>
      <c r="X637" s="214"/>
      <c r="Y637" s="77">
        <v>1.0</v>
      </c>
      <c r="Z637" s="77"/>
    </row>
    <row r="638">
      <c r="A638" s="145" t="s">
        <v>1623</v>
      </c>
      <c r="C638" s="145" t="s">
        <v>1543</v>
      </c>
      <c r="D638" s="75" t="s">
        <v>1601</v>
      </c>
      <c r="E638" s="75" t="s">
        <v>1544</v>
      </c>
      <c r="F638" s="211" t="s">
        <v>1602</v>
      </c>
      <c r="G638" s="145" t="s">
        <v>213</v>
      </c>
      <c r="H638" s="211" t="s">
        <v>87</v>
      </c>
      <c r="I638" s="145" t="s">
        <v>3128</v>
      </c>
      <c r="J638" s="211" t="s">
        <v>1603</v>
      </c>
      <c r="K638" s="75" t="s">
        <v>1544</v>
      </c>
      <c r="L638" s="152" t="b">
        <v>1</v>
      </c>
      <c r="M638" s="152" t="b">
        <v>1</v>
      </c>
      <c r="N638" s="212" t="s">
        <v>3335</v>
      </c>
      <c r="O638" s="213" t="s">
        <v>1554</v>
      </c>
      <c r="P638" s="47" t="b">
        <v>1</v>
      </c>
      <c r="Q638" s="47" t="b">
        <v>0</v>
      </c>
      <c r="R638" s="214"/>
      <c r="S638" s="77">
        <v>0.0</v>
      </c>
      <c r="T638" s="214"/>
      <c r="U638" s="215"/>
      <c r="V638" s="215"/>
      <c r="W638" s="218"/>
      <c r="X638" s="214"/>
      <c r="Y638" s="77">
        <v>1.0</v>
      </c>
      <c r="Z638" s="77"/>
    </row>
    <row r="639">
      <c r="A639" s="145" t="s">
        <v>1636</v>
      </c>
      <c r="C639" s="145" t="s">
        <v>1543</v>
      </c>
      <c r="D639" s="75" t="s">
        <v>1601</v>
      </c>
      <c r="E639" s="75" t="s">
        <v>1544</v>
      </c>
      <c r="F639" s="211" t="s">
        <v>1602</v>
      </c>
      <c r="G639" s="145" t="s">
        <v>213</v>
      </c>
      <c r="H639" s="211" t="s">
        <v>87</v>
      </c>
      <c r="I639" s="145" t="s">
        <v>3128</v>
      </c>
      <c r="J639" s="211" t="s">
        <v>1603</v>
      </c>
      <c r="K639" s="75" t="s">
        <v>1544</v>
      </c>
      <c r="L639" s="152" t="b">
        <v>1</v>
      </c>
      <c r="M639" s="152" t="b">
        <v>1</v>
      </c>
      <c r="N639" s="212" t="s">
        <v>3337</v>
      </c>
      <c r="O639" s="213" t="s">
        <v>1554</v>
      </c>
      <c r="P639" s="47" t="b">
        <v>1</v>
      </c>
      <c r="Q639" s="47" t="b">
        <v>0</v>
      </c>
      <c r="R639" s="214"/>
      <c r="S639" s="77">
        <v>0.0</v>
      </c>
      <c r="T639" s="218"/>
      <c r="U639" s="215"/>
      <c r="V639" s="215"/>
      <c r="W639" s="218"/>
      <c r="X639" s="218"/>
      <c r="Y639" s="77">
        <v>1.0</v>
      </c>
      <c r="Z639" s="77"/>
    </row>
    <row r="640">
      <c r="A640" s="145" t="s">
        <v>1574</v>
      </c>
      <c r="C640" s="145" t="s">
        <v>1543</v>
      </c>
      <c r="D640" s="75" t="s">
        <v>1601</v>
      </c>
      <c r="E640" s="75" t="s">
        <v>1544</v>
      </c>
      <c r="F640" s="211" t="s">
        <v>1602</v>
      </c>
      <c r="G640" s="145" t="s">
        <v>213</v>
      </c>
      <c r="H640" s="211" t="s">
        <v>87</v>
      </c>
      <c r="I640" s="145" t="s">
        <v>3128</v>
      </c>
      <c r="J640" s="211" t="s">
        <v>1603</v>
      </c>
      <c r="K640" s="75" t="s">
        <v>1544</v>
      </c>
      <c r="L640" s="152" t="b">
        <v>1</v>
      </c>
      <c r="M640" s="152" t="b">
        <v>1</v>
      </c>
      <c r="N640" s="212" t="s">
        <v>3338</v>
      </c>
      <c r="O640" s="213" t="s">
        <v>1554</v>
      </c>
      <c r="P640" s="47" t="b">
        <v>1</v>
      </c>
      <c r="Q640" s="47" t="b">
        <v>0</v>
      </c>
      <c r="R640" s="214"/>
      <c r="S640" s="77">
        <v>0.0</v>
      </c>
      <c r="T640" s="218"/>
      <c r="U640" s="215"/>
      <c r="V640" s="215"/>
      <c r="W640" s="218"/>
      <c r="X640" s="214"/>
      <c r="Y640" s="77">
        <v>1.0</v>
      </c>
      <c r="Z640" s="77"/>
    </row>
    <row r="641">
      <c r="A641" s="145" t="s">
        <v>2206</v>
      </c>
      <c r="C641" s="145" t="s">
        <v>1543</v>
      </c>
      <c r="D641" s="75" t="s">
        <v>1601</v>
      </c>
      <c r="E641" s="75" t="s">
        <v>1544</v>
      </c>
      <c r="F641" s="211" t="s">
        <v>1602</v>
      </c>
      <c r="G641" s="145" t="s">
        <v>213</v>
      </c>
      <c r="H641" s="211" t="s">
        <v>87</v>
      </c>
      <c r="I641" s="145" t="s">
        <v>3128</v>
      </c>
      <c r="J641" s="211" t="s">
        <v>1603</v>
      </c>
      <c r="K641" s="75" t="s">
        <v>1544</v>
      </c>
      <c r="L641" s="152" t="b">
        <v>1</v>
      </c>
      <c r="M641" s="152" t="b">
        <v>1</v>
      </c>
      <c r="N641" s="212" t="s">
        <v>3340</v>
      </c>
      <c r="O641" s="213" t="s">
        <v>1554</v>
      </c>
      <c r="P641" s="47" t="b">
        <v>1</v>
      </c>
      <c r="Q641" s="47" t="b">
        <v>0</v>
      </c>
      <c r="R641" s="214"/>
      <c r="S641" s="77">
        <v>0.0</v>
      </c>
      <c r="T641" s="214"/>
      <c r="U641" s="215"/>
      <c r="V641" s="215"/>
      <c r="W641" s="214"/>
      <c r="X641" s="218"/>
      <c r="Y641" s="77">
        <v>1.0</v>
      </c>
      <c r="Z641" s="77"/>
    </row>
    <row r="642">
      <c r="A642" s="145" t="s">
        <v>2195</v>
      </c>
      <c r="C642" s="145" t="s">
        <v>1543</v>
      </c>
      <c r="D642" s="75" t="s">
        <v>1601</v>
      </c>
      <c r="E642" s="75" t="s">
        <v>1544</v>
      </c>
      <c r="F642" s="211" t="s">
        <v>1602</v>
      </c>
      <c r="G642" s="145" t="s">
        <v>213</v>
      </c>
      <c r="H642" s="211" t="s">
        <v>87</v>
      </c>
      <c r="I642" s="145" t="s">
        <v>3128</v>
      </c>
      <c r="J642" s="211" t="s">
        <v>1603</v>
      </c>
      <c r="K642" s="75" t="s">
        <v>1544</v>
      </c>
      <c r="L642" s="152" t="b">
        <v>1</v>
      </c>
      <c r="M642" s="152" t="b">
        <v>1</v>
      </c>
      <c r="N642" s="212" t="s">
        <v>3341</v>
      </c>
      <c r="O642" s="213" t="s">
        <v>1554</v>
      </c>
      <c r="P642" s="47" t="b">
        <v>1</v>
      </c>
      <c r="Q642" s="47" t="b">
        <v>0</v>
      </c>
      <c r="R642" s="214"/>
      <c r="S642" s="77">
        <v>0.0</v>
      </c>
      <c r="T642" s="214"/>
      <c r="U642" s="215"/>
      <c r="V642" s="215"/>
      <c r="W642" s="214"/>
      <c r="X642" s="214"/>
      <c r="Y642" s="77">
        <v>1.0</v>
      </c>
      <c r="Z642" s="77"/>
    </row>
    <row r="643">
      <c r="A643" s="145" t="s">
        <v>1720</v>
      </c>
      <c r="C643" s="145" t="s">
        <v>1543</v>
      </c>
      <c r="D643" s="75" t="s">
        <v>1601</v>
      </c>
      <c r="E643" s="75" t="s">
        <v>1544</v>
      </c>
      <c r="F643" s="211" t="s">
        <v>1602</v>
      </c>
      <c r="G643" s="145" t="s">
        <v>213</v>
      </c>
      <c r="H643" s="211" t="s">
        <v>87</v>
      </c>
      <c r="I643" s="145" t="s">
        <v>3128</v>
      </c>
      <c r="J643" s="211" t="s">
        <v>1603</v>
      </c>
      <c r="K643" s="75" t="s">
        <v>1544</v>
      </c>
      <c r="L643" s="152" t="b">
        <v>1</v>
      </c>
      <c r="M643" s="152" t="b">
        <v>1</v>
      </c>
      <c r="N643" s="212" t="s">
        <v>3342</v>
      </c>
      <c r="O643" s="213" t="s">
        <v>1554</v>
      </c>
      <c r="P643" s="47" t="b">
        <v>1</v>
      </c>
      <c r="Q643" s="47" t="b">
        <v>0</v>
      </c>
      <c r="R643" s="214"/>
      <c r="S643" s="77">
        <v>0.0</v>
      </c>
      <c r="T643" s="214"/>
      <c r="U643" s="215"/>
      <c r="V643" s="215"/>
      <c r="W643" s="214"/>
      <c r="X643" s="218"/>
      <c r="Y643" s="77">
        <v>1.0</v>
      </c>
      <c r="Z643" s="77"/>
    </row>
    <row r="644">
      <c r="A644" s="145" t="s">
        <v>1580</v>
      </c>
      <c r="C644" s="145" t="s">
        <v>1543</v>
      </c>
      <c r="D644" s="75" t="s">
        <v>1601</v>
      </c>
      <c r="E644" s="75" t="s">
        <v>1544</v>
      </c>
      <c r="F644" s="211" t="s">
        <v>1602</v>
      </c>
      <c r="G644" s="145" t="s">
        <v>213</v>
      </c>
      <c r="H644" s="211" t="s">
        <v>87</v>
      </c>
      <c r="I644" s="145" t="s">
        <v>3128</v>
      </c>
      <c r="J644" s="211" t="s">
        <v>1603</v>
      </c>
      <c r="K644" s="75" t="s">
        <v>1544</v>
      </c>
      <c r="L644" s="152" t="b">
        <v>1</v>
      </c>
      <c r="M644" s="152" t="b">
        <v>1</v>
      </c>
      <c r="N644" s="212" t="s">
        <v>3343</v>
      </c>
      <c r="O644" s="213" t="s">
        <v>1554</v>
      </c>
      <c r="P644" s="47" t="b">
        <v>1</v>
      </c>
      <c r="Q644" s="47" t="b">
        <v>0</v>
      </c>
      <c r="R644" s="214"/>
      <c r="S644" s="77">
        <v>0.0</v>
      </c>
      <c r="T644" s="214"/>
      <c r="U644" s="215"/>
      <c r="V644" s="215"/>
      <c r="W644" s="214"/>
      <c r="X644" s="218"/>
      <c r="Y644" s="77">
        <v>1.0</v>
      </c>
      <c r="Z644" s="77"/>
    </row>
    <row r="645">
      <c r="A645" s="145" t="s">
        <v>1707</v>
      </c>
      <c r="C645" s="145" t="s">
        <v>1543</v>
      </c>
      <c r="D645" s="75" t="s">
        <v>1601</v>
      </c>
      <c r="E645" s="75" t="s">
        <v>1544</v>
      </c>
      <c r="F645" s="211" t="s">
        <v>1602</v>
      </c>
      <c r="G645" s="145" t="s">
        <v>213</v>
      </c>
      <c r="H645" s="211" t="s">
        <v>87</v>
      </c>
      <c r="I645" s="145" t="s">
        <v>3128</v>
      </c>
      <c r="J645" s="211" t="s">
        <v>1603</v>
      </c>
      <c r="K645" s="75" t="s">
        <v>1544</v>
      </c>
      <c r="L645" s="152" t="b">
        <v>1</v>
      </c>
      <c r="M645" s="152" t="b">
        <v>1</v>
      </c>
      <c r="N645" s="212" t="s">
        <v>3344</v>
      </c>
      <c r="O645" s="213" t="s">
        <v>1554</v>
      </c>
      <c r="P645" s="47" t="b">
        <v>1</v>
      </c>
      <c r="Q645" s="47" t="b">
        <v>0</v>
      </c>
      <c r="R645" s="214"/>
      <c r="S645" s="77">
        <v>0.0</v>
      </c>
      <c r="T645" s="214"/>
      <c r="U645" s="215"/>
      <c r="V645" s="215"/>
      <c r="W645" s="214"/>
      <c r="X645" s="214"/>
      <c r="Y645" s="77">
        <v>1.0</v>
      </c>
      <c r="Z645" s="77"/>
    </row>
    <row r="646">
      <c r="A646" s="145" t="s">
        <v>1968</v>
      </c>
      <c r="C646" s="145" t="s">
        <v>1543</v>
      </c>
      <c r="D646" s="75" t="s">
        <v>1601</v>
      </c>
      <c r="E646" s="75" t="s">
        <v>1544</v>
      </c>
      <c r="F646" s="211" t="s">
        <v>1602</v>
      </c>
      <c r="G646" s="145" t="s">
        <v>213</v>
      </c>
      <c r="H646" s="211" t="s">
        <v>87</v>
      </c>
      <c r="I646" s="145" t="s">
        <v>3128</v>
      </c>
      <c r="J646" s="211" t="s">
        <v>1603</v>
      </c>
      <c r="K646" s="75" t="s">
        <v>1544</v>
      </c>
      <c r="L646" s="152" t="b">
        <v>1</v>
      </c>
      <c r="M646" s="152" t="b">
        <v>1</v>
      </c>
      <c r="N646" s="212" t="s">
        <v>3345</v>
      </c>
      <c r="O646" s="213" t="s">
        <v>1554</v>
      </c>
      <c r="P646" s="47" t="b">
        <v>1</v>
      </c>
      <c r="Q646" s="47" t="b">
        <v>0</v>
      </c>
      <c r="R646" s="214"/>
      <c r="S646" s="77">
        <v>0.0</v>
      </c>
      <c r="T646" s="214"/>
      <c r="U646" s="215"/>
      <c r="V646" s="215"/>
      <c r="W646" s="214"/>
      <c r="X646" s="218"/>
      <c r="Y646" s="77">
        <v>1.0</v>
      </c>
      <c r="Z646" s="77"/>
    </row>
    <row r="647">
      <c r="A647" s="145" t="s">
        <v>1542</v>
      </c>
      <c r="C647" s="145" t="s">
        <v>1543</v>
      </c>
      <c r="D647" s="75" t="s">
        <v>1601</v>
      </c>
      <c r="E647" s="75" t="s">
        <v>1544</v>
      </c>
      <c r="F647" s="211" t="s">
        <v>1602</v>
      </c>
      <c r="G647" s="145" t="s">
        <v>213</v>
      </c>
      <c r="H647" s="211" t="s">
        <v>87</v>
      </c>
      <c r="I647" s="145" t="s">
        <v>3128</v>
      </c>
      <c r="J647" s="211" t="s">
        <v>1603</v>
      </c>
      <c r="K647" s="75" t="s">
        <v>1544</v>
      </c>
      <c r="L647" s="152" t="b">
        <v>1</v>
      </c>
      <c r="M647" s="152" t="b">
        <v>1</v>
      </c>
      <c r="N647" s="212" t="s">
        <v>3346</v>
      </c>
      <c r="O647" s="213" t="s">
        <v>1554</v>
      </c>
      <c r="P647" s="47" t="b">
        <v>1</v>
      </c>
      <c r="Q647" s="47" t="b">
        <v>0</v>
      </c>
      <c r="R647" s="214"/>
      <c r="S647" s="77">
        <v>0.0</v>
      </c>
      <c r="T647" s="214"/>
      <c r="U647" s="215"/>
      <c r="V647" s="215"/>
      <c r="W647" s="218"/>
      <c r="X647" s="214"/>
      <c r="Y647" s="77">
        <v>1.0</v>
      </c>
      <c r="Z647" s="77"/>
    </row>
    <row r="648">
      <c r="A648" s="145" t="s">
        <v>1679</v>
      </c>
      <c r="C648" s="145" t="s">
        <v>1543</v>
      </c>
      <c r="D648" s="75" t="s">
        <v>1601</v>
      </c>
      <c r="E648" s="75" t="s">
        <v>1544</v>
      </c>
      <c r="F648" s="211" t="s">
        <v>1602</v>
      </c>
      <c r="G648" s="145" t="s">
        <v>213</v>
      </c>
      <c r="H648" s="211" t="s">
        <v>87</v>
      </c>
      <c r="I648" s="145" t="s">
        <v>3128</v>
      </c>
      <c r="J648" s="211" t="s">
        <v>1603</v>
      </c>
      <c r="K648" s="75" t="s">
        <v>1544</v>
      </c>
      <c r="L648" s="152" t="b">
        <v>1</v>
      </c>
      <c r="M648" s="152" t="b">
        <v>1</v>
      </c>
      <c r="N648" s="212" t="s">
        <v>3347</v>
      </c>
      <c r="O648" s="213" t="s">
        <v>1554</v>
      </c>
      <c r="P648" s="47" t="b">
        <v>1</v>
      </c>
      <c r="Q648" s="47" t="b">
        <v>0</v>
      </c>
      <c r="R648" s="214"/>
      <c r="S648" s="77">
        <v>0.0</v>
      </c>
      <c r="T648" s="214"/>
      <c r="U648" s="215"/>
      <c r="V648" s="215"/>
      <c r="W648" s="214"/>
      <c r="X648" s="214"/>
      <c r="Y648" s="77">
        <v>1.0</v>
      </c>
      <c r="Z648" s="77"/>
    </row>
    <row r="649">
      <c r="A649" s="145" t="s">
        <v>1632</v>
      </c>
      <c r="C649" s="145" t="s">
        <v>1543</v>
      </c>
      <c r="D649" s="75" t="s">
        <v>1601</v>
      </c>
      <c r="E649" s="75" t="s">
        <v>1544</v>
      </c>
      <c r="F649" s="211" t="s">
        <v>1602</v>
      </c>
      <c r="G649" s="145" t="s">
        <v>213</v>
      </c>
      <c r="H649" s="211" t="s">
        <v>87</v>
      </c>
      <c r="I649" s="145" t="s">
        <v>3128</v>
      </c>
      <c r="J649" s="211" t="s">
        <v>1603</v>
      </c>
      <c r="K649" s="75" t="s">
        <v>1544</v>
      </c>
      <c r="L649" s="152" t="b">
        <v>1</v>
      </c>
      <c r="M649" s="152" t="b">
        <v>1</v>
      </c>
      <c r="N649" s="212" t="s">
        <v>3348</v>
      </c>
      <c r="O649" s="213" t="s">
        <v>1554</v>
      </c>
      <c r="P649" s="47" t="b">
        <v>1</v>
      </c>
      <c r="Q649" s="47" t="b">
        <v>0</v>
      </c>
      <c r="R649" s="214"/>
      <c r="S649" s="77">
        <v>0.0</v>
      </c>
      <c r="T649" s="218"/>
      <c r="U649" s="215"/>
      <c r="V649" s="215"/>
      <c r="W649" s="218"/>
      <c r="X649" s="214"/>
      <c r="Y649" s="77">
        <v>1.0</v>
      </c>
      <c r="Z649" s="77"/>
    </row>
    <row r="650">
      <c r="A650" s="145" t="s">
        <v>3349</v>
      </c>
      <c r="C650" s="145" t="s">
        <v>2288</v>
      </c>
      <c r="D650" s="75" t="s">
        <v>1601</v>
      </c>
      <c r="E650" s="75" t="s">
        <v>1544</v>
      </c>
      <c r="F650" s="211" t="s">
        <v>2910</v>
      </c>
      <c r="G650" s="145" t="s">
        <v>3350</v>
      </c>
      <c r="H650" s="211" t="s">
        <v>87</v>
      </c>
      <c r="I650" s="145" t="s">
        <v>2913</v>
      </c>
      <c r="J650" s="211" t="s">
        <v>3162</v>
      </c>
      <c r="K650" s="75" t="s">
        <v>1544</v>
      </c>
      <c r="L650" s="152" t="b">
        <v>1</v>
      </c>
      <c r="M650" s="152" t="b">
        <v>1</v>
      </c>
      <c r="N650" s="217"/>
      <c r="O650" s="213" t="s">
        <v>1554</v>
      </c>
      <c r="P650" s="47" t="b">
        <v>0</v>
      </c>
      <c r="Q650" s="47" t="b">
        <v>0</v>
      </c>
      <c r="R650" s="214"/>
      <c r="S650" s="77">
        <v>0.0</v>
      </c>
      <c r="T650" s="214"/>
      <c r="U650" s="215"/>
      <c r="V650" s="215"/>
      <c r="W650" s="214"/>
      <c r="X650" s="214"/>
      <c r="Y650" s="77">
        <v>50000.0</v>
      </c>
      <c r="Z650" s="77"/>
    </row>
    <row r="651">
      <c r="A651" s="145" t="s">
        <v>230</v>
      </c>
      <c r="B651" s="230"/>
      <c r="C651" s="145" t="s">
        <v>2288</v>
      </c>
      <c r="D651" s="75" t="s">
        <v>1601</v>
      </c>
      <c r="E651" s="75" t="s">
        <v>1544</v>
      </c>
      <c r="F651" s="211" t="s">
        <v>1602</v>
      </c>
      <c r="G651" s="145" t="s">
        <v>231</v>
      </c>
      <c r="H651" s="211" t="s">
        <v>87</v>
      </c>
      <c r="I651" s="145" t="s">
        <v>86</v>
      </c>
      <c r="J651" s="211" t="s">
        <v>1603</v>
      </c>
      <c r="K651" s="75" t="s">
        <v>1544</v>
      </c>
      <c r="L651" s="152" t="b">
        <v>1</v>
      </c>
      <c r="M651" s="152" t="b">
        <v>1</v>
      </c>
      <c r="N651" s="217"/>
      <c r="O651" s="213" t="s">
        <v>1554</v>
      </c>
      <c r="P651" s="47" t="b">
        <v>1</v>
      </c>
      <c r="Q651" s="47" t="b">
        <v>0</v>
      </c>
      <c r="R651" s="214"/>
      <c r="S651" s="77">
        <v>0.0</v>
      </c>
      <c r="T651" s="235" t="s">
        <v>1160</v>
      </c>
      <c r="U651" s="215"/>
      <c r="V651" s="215"/>
      <c r="W651" s="218"/>
      <c r="X651" s="214"/>
      <c r="Y651" s="77">
        <v>1.0</v>
      </c>
      <c r="Z651" s="77"/>
    </row>
    <row r="652">
      <c r="A652" s="145" t="s">
        <v>2300</v>
      </c>
      <c r="B652" s="230"/>
      <c r="C652" s="145" t="s">
        <v>2288</v>
      </c>
      <c r="D652" s="75" t="s">
        <v>1601</v>
      </c>
      <c r="E652" s="75" t="s">
        <v>1544</v>
      </c>
      <c r="F652" s="211" t="s">
        <v>2910</v>
      </c>
      <c r="G652" s="145" t="s">
        <v>3353</v>
      </c>
      <c r="H652" s="211" t="s">
        <v>87</v>
      </c>
      <c r="I652" s="145" t="s">
        <v>2913</v>
      </c>
      <c r="J652" s="211" t="s">
        <v>3162</v>
      </c>
      <c r="K652" s="75" t="s">
        <v>1544</v>
      </c>
      <c r="L652" s="152" t="b">
        <v>1</v>
      </c>
      <c r="M652" s="152" t="b">
        <v>1</v>
      </c>
      <c r="N652" s="217"/>
      <c r="O652" s="213" t="s">
        <v>1554</v>
      </c>
      <c r="P652" s="47" t="b">
        <v>1</v>
      </c>
      <c r="Q652" s="47" t="b">
        <v>0</v>
      </c>
      <c r="R652" s="214"/>
      <c r="S652" s="77">
        <v>0.0</v>
      </c>
      <c r="T652" s="214"/>
      <c r="U652" s="215"/>
      <c r="V652" s="215"/>
      <c r="W652" s="214"/>
      <c r="X652" s="214"/>
      <c r="Y652" s="77">
        <v>50000.0</v>
      </c>
      <c r="Z652" s="77"/>
    </row>
    <row r="653">
      <c r="A653" s="145" t="s">
        <v>3354</v>
      </c>
      <c r="B653" s="145" t="s">
        <v>3354</v>
      </c>
      <c r="C653" s="145" t="s">
        <v>1266</v>
      </c>
      <c r="D653" s="75" t="s">
        <v>1601</v>
      </c>
      <c r="E653" s="75" t="s">
        <v>1544</v>
      </c>
      <c r="F653" s="211" t="s">
        <v>2910</v>
      </c>
      <c r="G653" s="145" t="s">
        <v>3354</v>
      </c>
      <c r="H653" s="211" t="s">
        <v>87</v>
      </c>
      <c r="I653" s="145" t="s">
        <v>2913</v>
      </c>
      <c r="J653" s="211" t="s">
        <v>3162</v>
      </c>
      <c r="K653" s="75" t="s">
        <v>1544</v>
      </c>
      <c r="L653" s="152" t="b">
        <v>0</v>
      </c>
      <c r="M653" s="152" t="b">
        <v>0</v>
      </c>
      <c r="N653" s="217"/>
      <c r="O653" s="213" t="s">
        <v>1554</v>
      </c>
      <c r="P653" s="47" t="b">
        <v>1</v>
      </c>
      <c r="Q653" s="47" t="b">
        <v>0</v>
      </c>
      <c r="R653" s="214"/>
      <c r="S653" s="77">
        <v>0.0</v>
      </c>
      <c r="T653" s="214"/>
      <c r="U653" s="215"/>
      <c r="V653" s="78">
        <v>0.0</v>
      </c>
      <c r="W653" s="214"/>
      <c r="X653" s="214"/>
      <c r="Y653" s="77">
        <v>50000.0</v>
      </c>
      <c r="Z653" s="77"/>
    </row>
    <row r="654">
      <c r="A654" s="145" t="s">
        <v>3207</v>
      </c>
      <c r="B654" s="230"/>
      <c r="C654" s="145" t="s">
        <v>3120</v>
      </c>
      <c r="D654" s="75" t="s">
        <v>1601</v>
      </c>
      <c r="E654" s="75" t="s">
        <v>1544</v>
      </c>
      <c r="F654" s="211" t="s">
        <v>2910</v>
      </c>
      <c r="G654" s="145" t="s">
        <v>3355</v>
      </c>
      <c r="H654" s="211" t="s">
        <v>87</v>
      </c>
      <c r="I654" s="145" t="s">
        <v>2913</v>
      </c>
      <c r="J654" s="211" t="s">
        <v>3162</v>
      </c>
      <c r="K654" s="75" t="s">
        <v>1544</v>
      </c>
      <c r="L654" s="152" t="b">
        <v>1</v>
      </c>
      <c r="M654" s="152" t="b">
        <v>1</v>
      </c>
      <c r="N654" s="212" t="s">
        <v>3356</v>
      </c>
      <c r="O654" s="213" t="s">
        <v>1554</v>
      </c>
      <c r="P654" s="47" t="b">
        <v>1</v>
      </c>
      <c r="Q654" s="47" t="b">
        <v>0</v>
      </c>
      <c r="R654" s="214"/>
      <c r="S654" s="77">
        <v>0.0</v>
      </c>
      <c r="T654" s="214"/>
      <c r="U654" s="215"/>
      <c r="V654" s="215"/>
      <c r="W654" s="214"/>
      <c r="X654" s="214"/>
      <c r="Y654" s="77">
        <v>50000.0</v>
      </c>
      <c r="Z654" s="77"/>
    </row>
    <row r="655">
      <c r="A655" s="145" t="s">
        <v>3357</v>
      </c>
      <c r="B655" s="230"/>
      <c r="C655" s="145" t="s">
        <v>3120</v>
      </c>
      <c r="D655" s="75" t="s">
        <v>1544</v>
      </c>
      <c r="E655" s="75" t="s">
        <v>1544</v>
      </c>
      <c r="F655" s="211" t="s">
        <v>2910</v>
      </c>
      <c r="G655" s="145" t="s">
        <v>3358</v>
      </c>
      <c r="H655" s="211" t="s">
        <v>87</v>
      </c>
      <c r="I655" s="145" t="s">
        <v>2913</v>
      </c>
      <c r="J655" s="211" t="s">
        <v>3162</v>
      </c>
      <c r="K655" s="75" t="s">
        <v>1544</v>
      </c>
      <c r="L655" s="152" t="b">
        <v>1</v>
      </c>
      <c r="M655" s="152" t="b">
        <v>1</v>
      </c>
      <c r="N655" s="217"/>
      <c r="O655" s="213" t="s">
        <v>1554</v>
      </c>
      <c r="P655" s="47" t="b">
        <v>0</v>
      </c>
      <c r="Q655" s="47" t="b">
        <v>0</v>
      </c>
      <c r="R655" s="214"/>
      <c r="S655" s="77">
        <v>0.0</v>
      </c>
      <c r="T655" s="214"/>
      <c r="U655" s="215"/>
      <c r="V655" s="215"/>
      <c r="W655" s="214"/>
      <c r="X655" s="214"/>
      <c r="Y655" s="77">
        <v>50000.0</v>
      </c>
      <c r="Z655" s="77"/>
    </row>
    <row r="656">
      <c r="A656" s="145" t="s">
        <v>3119</v>
      </c>
      <c r="B656" s="230"/>
      <c r="C656" s="145" t="s">
        <v>3120</v>
      </c>
      <c r="D656" s="75" t="s">
        <v>1544</v>
      </c>
      <c r="E656" s="75" t="s">
        <v>1544</v>
      </c>
      <c r="F656" s="211" t="s">
        <v>2910</v>
      </c>
      <c r="G656" s="145" t="s">
        <v>3359</v>
      </c>
      <c r="H656" s="211" t="s">
        <v>87</v>
      </c>
      <c r="I656" s="145" t="s">
        <v>2913</v>
      </c>
      <c r="J656" s="211" t="s">
        <v>3162</v>
      </c>
      <c r="K656" s="75" t="s">
        <v>1544</v>
      </c>
      <c r="L656" s="152" t="b">
        <v>1</v>
      </c>
      <c r="M656" s="152" t="b">
        <v>1</v>
      </c>
      <c r="N656" s="212" t="s">
        <v>3360</v>
      </c>
      <c r="O656" s="213" t="s">
        <v>1554</v>
      </c>
      <c r="P656" s="47" t="b">
        <v>1</v>
      </c>
      <c r="Q656" s="47" t="b">
        <v>0</v>
      </c>
      <c r="R656" s="214"/>
      <c r="S656" s="77">
        <v>0.0</v>
      </c>
      <c r="T656" s="214"/>
      <c r="U656" s="215"/>
      <c r="V656" s="215"/>
      <c r="W656" s="214"/>
      <c r="X656" s="214"/>
      <c r="Y656" s="77">
        <v>50000.0</v>
      </c>
      <c r="Z656" s="77"/>
    </row>
    <row r="657">
      <c r="A657" s="145" t="s">
        <v>702</v>
      </c>
      <c r="B657" s="145" t="s">
        <v>702</v>
      </c>
      <c r="C657" s="145" t="s">
        <v>3299</v>
      </c>
      <c r="D657" s="75" t="s">
        <v>1544</v>
      </c>
      <c r="E657" s="75" t="s">
        <v>1601</v>
      </c>
      <c r="F657" s="211" t="s">
        <v>3361</v>
      </c>
      <c r="G657" s="145" t="s">
        <v>967</v>
      </c>
      <c r="H657" s="211" t="s">
        <v>586</v>
      </c>
      <c r="I657" s="145" t="s">
        <v>267</v>
      </c>
      <c r="J657" s="211" t="s">
        <v>3223</v>
      </c>
      <c r="K657" s="75" t="s">
        <v>1544</v>
      </c>
      <c r="L657" s="152" t="b">
        <v>1</v>
      </c>
      <c r="M657" s="152" t="b">
        <v>1</v>
      </c>
      <c r="N657" s="212" t="s">
        <v>3362</v>
      </c>
      <c r="O657" s="213" t="s">
        <v>1554</v>
      </c>
      <c r="P657" s="47" t="b">
        <v>0</v>
      </c>
      <c r="Q657" s="47" t="b">
        <v>0</v>
      </c>
      <c r="R657" s="214"/>
      <c r="S657" s="77">
        <v>0.0</v>
      </c>
      <c r="T657" s="214"/>
      <c r="U657" s="215"/>
      <c r="V657" s="215"/>
      <c r="W657" s="218"/>
      <c r="X657" s="218"/>
      <c r="Y657" s="77">
        <v>560000.0</v>
      </c>
      <c r="Z657" s="77"/>
    </row>
    <row r="658">
      <c r="A658" s="145" t="s">
        <v>2464</v>
      </c>
      <c r="B658" s="145" t="s">
        <v>2464</v>
      </c>
      <c r="C658" s="145" t="s">
        <v>2398</v>
      </c>
      <c r="D658" s="75" t="s">
        <v>1544</v>
      </c>
      <c r="E658" s="75" t="s">
        <v>1544</v>
      </c>
      <c r="F658" s="211" t="s">
        <v>2311</v>
      </c>
      <c r="G658" s="145" t="s">
        <v>2466</v>
      </c>
      <c r="H658" s="211" t="s">
        <v>3363</v>
      </c>
      <c r="I658" s="145" t="s">
        <v>619</v>
      </c>
      <c r="J658" s="211" t="s">
        <v>1561</v>
      </c>
      <c r="K658" s="75" t="s">
        <v>1601</v>
      </c>
      <c r="L658" s="152" t="b">
        <v>1</v>
      </c>
      <c r="M658" s="152" t="b">
        <v>0</v>
      </c>
      <c r="N658" s="212" t="s">
        <v>3364</v>
      </c>
      <c r="O658" s="213" t="s">
        <v>1554</v>
      </c>
      <c r="P658" s="47" t="b">
        <v>1</v>
      </c>
      <c r="Q658" s="47" t="b">
        <v>0</v>
      </c>
      <c r="R658" s="214"/>
      <c r="S658" s="77">
        <v>0.0</v>
      </c>
      <c r="T658" s="235" t="s">
        <v>1161</v>
      </c>
      <c r="U658" s="78">
        <v>1.0E9</v>
      </c>
      <c r="V658" s="78">
        <v>0.0</v>
      </c>
      <c r="W658" s="216">
        <v>1.0E9</v>
      </c>
      <c r="X658" s="216">
        <v>1.0E11</v>
      </c>
      <c r="Y658" s="216">
        <v>200000.0</v>
      </c>
      <c r="Z658" s="77"/>
    </row>
    <row r="659">
      <c r="A659" s="145" t="s">
        <v>701</v>
      </c>
      <c r="B659" s="145" t="s">
        <v>701</v>
      </c>
      <c r="C659" s="145" t="s">
        <v>2398</v>
      </c>
      <c r="D659" s="75" t="s">
        <v>1544</v>
      </c>
      <c r="E659" s="75" t="s">
        <v>1601</v>
      </c>
      <c r="F659" s="211" t="s">
        <v>1602</v>
      </c>
      <c r="G659" s="145" t="s">
        <v>1032</v>
      </c>
      <c r="H659" s="211" t="s">
        <v>87</v>
      </c>
      <c r="I659" s="145" t="s">
        <v>267</v>
      </c>
      <c r="J659" s="211" t="s">
        <v>1603</v>
      </c>
      <c r="K659" s="75" t="s">
        <v>1601</v>
      </c>
      <c r="L659" s="152" t="b">
        <v>1</v>
      </c>
      <c r="M659" s="152" t="b">
        <v>0</v>
      </c>
      <c r="N659" s="212" t="s">
        <v>3365</v>
      </c>
      <c r="O659" s="213" t="s">
        <v>1554</v>
      </c>
      <c r="P659" s="47" t="b">
        <v>0</v>
      </c>
      <c r="Q659" s="47" t="b">
        <v>0</v>
      </c>
      <c r="R659" s="214"/>
      <c r="S659" s="77">
        <v>0.0</v>
      </c>
      <c r="T659" s="218"/>
      <c r="U659" s="215"/>
      <c r="V659" s="215"/>
      <c r="W659" s="218"/>
      <c r="X659" s="218"/>
      <c r="Y659" s="77">
        <v>1.0</v>
      </c>
      <c r="Z659" s="77"/>
    </row>
    <row r="660">
      <c r="A660" s="145" t="s">
        <v>653</v>
      </c>
      <c r="B660" s="145" t="s">
        <v>653</v>
      </c>
      <c r="C660" s="145" t="s">
        <v>2398</v>
      </c>
      <c r="D660" s="75" t="s">
        <v>1544</v>
      </c>
      <c r="E660" s="75" t="s">
        <v>1544</v>
      </c>
      <c r="F660" s="211" t="s">
        <v>3125</v>
      </c>
      <c r="G660" s="145" t="s">
        <v>3366</v>
      </c>
      <c r="H660" s="211" t="s">
        <v>625</v>
      </c>
      <c r="I660" s="145" t="s">
        <v>624</v>
      </c>
      <c r="J660" s="211" t="s">
        <v>3092</v>
      </c>
      <c r="K660" s="75" t="s">
        <v>1601</v>
      </c>
      <c r="L660" s="152" t="b">
        <v>1</v>
      </c>
      <c r="M660" s="152" t="b">
        <v>0</v>
      </c>
      <c r="N660" s="212" t="s">
        <v>3367</v>
      </c>
      <c r="O660" s="213" t="s">
        <v>1554</v>
      </c>
      <c r="P660" s="47" t="b">
        <v>1</v>
      </c>
      <c r="Q660" s="47" t="b">
        <v>0</v>
      </c>
      <c r="R660" s="214"/>
      <c r="S660" s="77">
        <v>0.0</v>
      </c>
      <c r="T660" s="76" t="s">
        <v>1161</v>
      </c>
      <c r="U660" s="78">
        <v>1.0E9</v>
      </c>
      <c r="V660" s="78">
        <v>82.0</v>
      </c>
      <c r="W660" s="216">
        <v>1.0E9</v>
      </c>
      <c r="X660" s="216">
        <v>1.0E11</v>
      </c>
      <c r="Y660" s="216">
        <v>1.8E7</v>
      </c>
      <c r="Z660" s="77"/>
    </row>
    <row r="661">
      <c r="A661" s="145" t="s">
        <v>144</v>
      </c>
      <c r="B661" s="145" t="s">
        <v>144</v>
      </c>
      <c r="C661" s="145" t="s">
        <v>2398</v>
      </c>
      <c r="D661" s="75" t="s">
        <v>1544</v>
      </c>
      <c r="E661" s="75" t="s">
        <v>1544</v>
      </c>
      <c r="F661" s="211" t="s">
        <v>1602</v>
      </c>
      <c r="G661" s="145" t="s">
        <v>3368</v>
      </c>
      <c r="H661" s="211" t="s">
        <v>87</v>
      </c>
      <c r="I661" s="145" t="s">
        <v>267</v>
      </c>
      <c r="J661" s="211" t="s">
        <v>1603</v>
      </c>
      <c r="K661" s="75" t="s">
        <v>1601</v>
      </c>
      <c r="L661" s="152" t="b">
        <v>1</v>
      </c>
      <c r="M661" s="152" t="b">
        <v>0</v>
      </c>
      <c r="N661" s="212" t="s">
        <v>3369</v>
      </c>
      <c r="O661" s="213" t="s">
        <v>1554</v>
      </c>
      <c r="P661" s="47" t="b">
        <v>0</v>
      </c>
      <c r="Q661" s="47" t="b">
        <v>0</v>
      </c>
      <c r="R661" s="214"/>
      <c r="S661" s="77">
        <v>0.0</v>
      </c>
      <c r="T661" s="76" t="s">
        <v>1161</v>
      </c>
      <c r="U661" s="78">
        <v>1.0E9</v>
      </c>
      <c r="V661" s="78">
        <v>0.0</v>
      </c>
      <c r="W661" s="216">
        <v>1.0E9</v>
      </c>
      <c r="X661" s="216">
        <v>1.0E11</v>
      </c>
      <c r="Y661" s="77">
        <v>1.0</v>
      </c>
      <c r="Z661" s="77"/>
    </row>
    <row r="662">
      <c r="A662" s="145" t="s">
        <v>1006</v>
      </c>
      <c r="B662" s="145" t="s">
        <v>1006</v>
      </c>
      <c r="C662" s="145" t="s">
        <v>2398</v>
      </c>
      <c r="D662" s="75" t="s">
        <v>1544</v>
      </c>
      <c r="E662" s="75" t="s">
        <v>1544</v>
      </c>
      <c r="F662" s="211" t="s">
        <v>1602</v>
      </c>
      <c r="G662" s="145" t="s">
        <v>1007</v>
      </c>
      <c r="H662" s="211" t="s">
        <v>87</v>
      </c>
      <c r="I662" s="145" t="s">
        <v>267</v>
      </c>
      <c r="J662" s="211" t="s">
        <v>1603</v>
      </c>
      <c r="K662" s="75" t="s">
        <v>1601</v>
      </c>
      <c r="L662" s="152" t="b">
        <v>1</v>
      </c>
      <c r="M662" s="152" t="b">
        <v>0</v>
      </c>
      <c r="N662" s="212" t="s">
        <v>3370</v>
      </c>
      <c r="O662" s="213" t="s">
        <v>1554</v>
      </c>
      <c r="P662" s="47" t="b">
        <v>0</v>
      </c>
      <c r="Q662" s="47" t="b">
        <v>0</v>
      </c>
      <c r="R662" s="214"/>
      <c r="S662" s="77">
        <v>0.0</v>
      </c>
      <c r="T662" s="235" t="s">
        <v>1161</v>
      </c>
      <c r="U662" s="215"/>
      <c r="V662" s="215"/>
      <c r="W662" s="218"/>
      <c r="X662" s="218"/>
      <c r="Y662" s="77">
        <v>1.0</v>
      </c>
      <c r="Z662" s="77"/>
    </row>
    <row r="663">
      <c r="A663" s="145" t="s">
        <v>3371</v>
      </c>
      <c r="B663" s="145" t="s">
        <v>3371</v>
      </c>
      <c r="C663" s="145" t="s">
        <v>1266</v>
      </c>
      <c r="D663" s="75" t="s">
        <v>1601</v>
      </c>
      <c r="E663" s="75" t="s">
        <v>1601</v>
      </c>
      <c r="F663" s="211" t="s">
        <v>2910</v>
      </c>
      <c r="G663" s="145" t="s">
        <v>3371</v>
      </c>
      <c r="H663" s="211" t="s">
        <v>77</v>
      </c>
      <c r="I663" s="145" t="s">
        <v>2913</v>
      </c>
      <c r="J663" s="211" t="s">
        <v>3162</v>
      </c>
      <c r="K663" s="75" t="s">
        <v>1544</v>
      </c>
      <c r="L663" s="152" t="b">
        <v>0</v>
      </c>
      <c r="M663" s="152" t="b">
        <v>0</v>
      </c>
      <c r="N663" s="217"/>
      <c r="O663" s="213" t="s">
        <v>1554</v>
      </c>
      <c r="P663" s="47" t="b">
        <v>0</v>
      </c>
      <c r="Q663" s="47" t="b">
        <v>0</v>
      </c>
      <c r="R663" s="214"/>
      <c r="S663" s="77">
        <v>0.0</v>
      </c>
      <c r="T663" s="218"/>
      <c r="U663" s="215"/>
      <c r="V663" s="215"/>
      <c r="W663" s="218"/>
      <c r="X663" s="218"/>
      <c r="Y663" s="77">
        <v>50000.0</v>
      </c>
      <c r="Z663" s="77"/>
    </row>
    <row r="664">
      <c r="A664" s="145" t="s">
        <v>2475</v>
      </c>
      <c r="B664" s="145" t="s">
        <v>2475</v>
      </c>
      <c r="C664" s="145" t="s">
        <v>3372</v>
      </c>
      <c r="D664" s="75" t="s">
        <v>1544</v>
      </c>
      <c r="E664" s="75" t="s">
        <v>1544</v>
      </c>
      <c r="F664" s="211" t="s">
        <v>1690</v>
      </c>
      <c r="G664" s="145" t="s">
        <v>3373</v>
      </c>
      <c r="H664" s="211" t="s">
        <v>77</v>
      </c>
      <c r="I664" s="145" t="s">
        <v>249</v>
      </c>
      <c r="J664" s="211" t="s">
        <v>1597</v>
      </c>
      <c r="K664" s="75" t="s">
        <v>1544</v>
      </c>
      <c r="L664" s="152" t="b">
        <v>1</v>
      </c>
      <c r="M664" s="152" t="b">
        <v>0</v>
      </c>
      <c r="N664" s="212" t="s">
        <v>3374</v>
      </c>
      <c r="O664" s="213" t="s">
        <v>1554</v>
      </c>
      <c r="P664" s="47" t="b">
        <v>1</v>
      </c>
      <c r="Q664" s="47" t="b">
        <v>0</v>
      </c>
      <c r="R664" s="214"/>
      <c r="S664" s="77">
        <v>0.0</v>
      </c>
      <c r="T664" s="76" t="s">
        <v>1162</v>
      </c>
      <c r="U664" s="78">
        <v>2.0E7</v>
      </c>
      <c r="V664" s="78">
        <v>0.0</v>
      </c>
      <c r="W664" s="216">
        <v>2.0E7</v>
      </c>
      <c r="X664" s="216">
        <v>200000.0</v>
      </c>
      <c r="Y664" s="77">
        <v>100000.0</v>
      </c>
      <c r="Z664" s="77"/>
    </row>
    <row r="665">
      <c r="A665" s="145" t="s">
        <v>154</v>
      </c>
      <c r="B665" s="145" t="s">
        <v>154</v>
      </c>
      <c r="C665" s="145" t="s">
        <v>3375</v>
      </c>
      <c r="D665" s="75" t="s">
        <v>1544</v>
      </c>
      <c r="E665" s="75" t="s">
        <v>1544</v>
      </c>
      <c r="F665" s="211" t="s">
        <v>2989</v>
      </c>
      <c r="G665" s="145" t="s">
        <v>3376</v>
      </c>
      <c r="H665" s="211" t="s">
        <v>77</v>
      </c>
      <c r="I665" s="145" t="s">
        <v>143</v>
      </c>
      <c r="J665" s="211" t="s">
        <v>2495</v>
      </c>
      <c r="K665" s="75" t="s">
        <v>1544</v>
      </c>
      <c r="L665" s="152" t="b">
        <v>1</v>
      </c>
      <c r="M665" s="152" t="b">
        <v>0</v>
      </c>
      <c r="N665" s="212" t="s">
        <v>3377</v>
      </c>
      <c r="O665" s="213" t="s">
        <v>1554</v>
      </c>
      <c r="P665" s="47" t="b">
        <v>1</v>
      </c>
      <c r="Q665" s="47" t="b">
        <v>0</v>
      </c>
      <c r="R665" s="214"/>
      <c r="S665" s="77">
        <v>0.0</v>
      </c>
      <c r="T665" s="76" t="s">
        <v>1184</v>
      </c>
      <c r="U665" s="78">
        <v>7.637967E7</v>
      </c>
      <c r="V665" s="78">
        <v>0.0</v>
      </c>
      <c r="W665" s="216">
        <v>7.6E7</v>
      </c>
      <c r="X665" s="216">
        <v>760000.0</v>
      </c>
      <c r="Y665" s="77">
        <v>300000.0</v>
      </c>
      <c r="Z665" s="77"/>
    </row>
    <row r="666">
      <c r="A666" s="145" t="s">
        <v>2366</v>
      </c>
      <c r="B666" s="230"/>
      <c r="C666" s="145" t="s">
        <v>2288</v>
      </c>
      <c r="D666" s="75" t="s">
        <v>1601</v>
      </c>
      <c r="E666" s="75" t="s">
        <v>1544</v>
      </c>
      <c r="F666" s="211" t="s">
        <v>2910</v>
      </c>
      <c r="G666" s="145" t="s">
        <v>3378</v>
      </c>
      <c r="H666" s="211" t="s">
        <v>87</v>
      </c>
      <c r="I666" s="145" t="s">
        <v>2913</v>
      </c>
      <c r="J666" s="211" t="s">
        <v>3162</v>
      </c>
      <c r="K666" s="75" t="s">
        <v>1544</v>
      </c>
      <c r="L666" s="152" t="b">
        <v>1</v>
      </c>
      <c r="M666" s="152" t="b">
        <v>1</v>
      </c>
      <c r="N666" s="217"/>
      <c r="O666" s="213" t="s">
        <v>1554</v>
      </c>
      <c r="P666" s="47" t="b">
        <v>1</v>
      </c>
      <c r="Q666" s="47" t="b">
        <v>0</v>
      </c>
      <c r="R666" s="214"/>
      <c r="S666" s="77">
        <v>0.0</v>
      </c>
      <c r="T666" s="214"/>
      <c r="U666" s="215"/>
      <c r="V666" s="215"/>
      <c r="W666" s="214"/>
      <c r="X666" s="218"/>
      <c r="Y666" s="77">
        <v>50000.0</v>
      </c>
      <c r="Z666" s="77"/>
    </row>
    <row r="667">
      <c r="A667" s="145" t="s">
        <v>3379</v>
      </c>
      <c r="B667" s="230"/>
      <c r="C667" s="145" t="s">
        <v>2288</v>
      </c>
      <c r="D667" s="75" t="s">
        <v>1601</v>
      </c>
      <c r="E667" s="75" t="s">
        <v>1544</v>
      </c>
      <c r="F667" s="211" t="s">
        <v>2910</v>
      </c>
      <c r="G667" s="145" t="s">
        <v>3380</v>
      </c>
      <c r="H667" s="211" t="s">
        <v>87</v>
      </c>
      <c r="I667" s="145" t="s">
        <v>2913</v>
      </c>
      <c r="J667" s="211" t="s">
        <v>3162</v>
      </c>
      <c r="K667" s="75" t="s">
        <v>1544</v>
      </c>
      <c r="L667" s="152" t="b">
        <v>1</v>
      </c>
      <c r="M667" s="152" t="b">
        <v>1</v>
      </c>
      <c r="N667" s="217"/>
      <c r="O667" s="213" t="s">
        <v>1554</v>
      </c>
      <c r="P667" s="47" t="b">
        <v>0</v>
      </c>
      <c r="Q667" s="47" t="b">
        <v>0</v>
      </c>
      <c r="R667" s="214"/>
      <c r="S667" s="77">
        <v>0.0</v>
      </c>
      <c r="T667" s="214"/>
      <c r="U667" s="215"/>
      <c r="V667" s="215"/>
      <c r="W667" s="214"/>
      <c r="X667" s="218"/>
      <c r="Y667" s="77">
        <v>50000.0</v>
      </c>
      <c r="Z667" s="77"/>
    </row>
    <row r="668">
      <c r="A668" s="145" t="s">
        <v>2326</v>
      </c>
      <c r="B668" s="230"/>
      <c r="C668" s="145" t="s">
        <v>2288</v>
      </c>
      <c r="D668" s="75" t="s">
        <v>1601</v>
      </c>
      <c r="E668" s="75" t="s">
        <v>1544</v>
      </c>
      <c r="F668" s="211" t="s">
        <v>2910</v>
      </c>
      <c r="G668" s="145" t="s">
        <v>3381</v>
      </c>
      <c r="H668" s="211" t="s">
        <v>87</v>
      </c>
      <c r="I668" s="145" t="s">
        <v>2913</v>
      </c>
      <c r="J668" s="211" t="s">
        <v>3162</v>
      </c>
      <c r="K668" s="75" t="s">
        <v>1544</v>
      </c>
      <c r="L668" s="152" t="b">
        <v>1</v>
      </c>
      <c r="M668" s="152" t="b">
        <v>1</v>
      </c>
      <c r="N668" s="217"/>
      <c r="O668" s="213" t="s">
        <v>1554</v>
      </c>
      <c r="P668" s="47" t="b">
        <v>1</v>
      </c>
      <c r="Q668" s="47" t="b">
        <v>0</v>
      </c>
      <c r="R668" s="214"/>
      <c r="S668" s="77">
        <v>0.0</v>
      </c>
      <c r="T668" s="214"/>
      <c r="U668" s="215"/>
      <c r="V668" s="215"/>
      <c r="W668" s="214"/>
      <c r="X668" s="218"/>
      <c r="Y668" s="77">
        <v>50000.0</v>
      </c>
      <c r="Z668" s="77"/>
    </row>
    <row r="669">
      <c r="A669" s="145" t="s">
        <v>2449</v>
      </c>
      <c r="B669" s="145" t="s">
        <v>2449</v>
      </c>
      <c r="C669" s="145" t="s">
        <v>3372</v>
      </c>
      <c r="D669" s="75" t="s">
        <v>1544</v>
      </c>
      <c r="E669" s="75" t="s">
        <v>1544</v>
      </c>
      <c r="F669" s="211" t="s">
        <v>3292</v>
      </c>
      <c r="G669" s="145" t="s">
        <v>3382</v>
      </c>
      <c r="H669" s="211" t="s">
        <v>1018</v>
      </c>
      <c r="I669" s="145" t="s">
        <v>75</v>
      </c>
      <c r="J669" s="211" t="s">
        <v>1667</v>
      </c>
      <c r="K669" s="75" t="s">
        <v>1544</v>
      </c>
      <c r="L669" s="152" t="b">
        <v>1</v>
      </c>
      <c r="M669" s="152" t="b">
        <v>0</v>
      </c>
      <c r="N669" s="212" t="s">
        <v>3383</v>
      </c>
      <c r="O669" s="213" t="s">
        <v>1554</v>
      </c>
      <c r="P669" s="47" t="b">
        <v>1</v>
      </c>
      <c r="Q669" s="47" t="b">
        <v>0</v>
      </c>
      <c r="R669" s="214"/>
      <c r="S669" s="77">
        <v>0.0</v>
      </c>
      <c r="T669" s="76" t="s">
        <v>1162</v>
      </c>
      <c r="U669" s="78">
        <v>2.0E7</v>
      </c>
      <c r="V669" s="78">
        <v>0.0</v>
      </c>
      <c r="W669" s="77">
        <v>2.0E7</v>
      </c>
      <c r="X669" s="77">
        <v>160000.0</v>
      </c>
      <c r="Y669" s="77">
        <v>96000.0</v>
      </c>
      <c r="Z669" s="77"/>
    </row>
    <row r="670">
      <c r="A670" s="145" t="s">
        <v>2455</v>
      </c>
      <c r="B670" s="145" t="s">
        <v>2455</v>
      </c>
      <c r="C670" s="145" t="s">
        <v>3372</v>
      </c>
      <c r="D670" s="75" t="s">
        <v>1544</v>
      </c>
      <c r="E670" s="75" t="s">
        <v>1544</v>
      </c>
      <c r="F670" s="211" t="s">
        <v>1708</v>
      </c>
      <c r="G670" s="145" t="s">
        <v>3384</v>
      </c>
      <c r="H670" s="211" t="s">
        <v>907</v>
      </c>
      <c r="I670" s="145" t="s">
        <v>54</v>
      </c>
      <c r="J670" s="211" t="s">
        <v>1667</v>
      </c>
      <c r="K670" s="75" t="s">
        <v>1544</v>
      </c>
      <c r="L670" s="152" t="b">
        <v>1</v>
      </c>
      <c r="M670" s="152" t="b">
        <v>0</v>
      </c>
      <c r="N670" s="212" t="s">
        <v>3385</v>
      </c>
      <c r="O670" s="213" t="s">
        <v>1554</v>
      </c>
      <c r="P670" s="47" t="b">
        <v>1</v>
      </c>
      <c r="Q670" s="47" t="b">
        <v>0</v>
      </c>
      <c r="R670" s="214"/>
      <c r="S670" s="77">
        <v>0.0</v>
      </c>
      <c r="T670" s="76" t="s">
        <v>1162</v>
      </c>
      <c r="U670" s="78">
        <v>2.0E7</v>
      </c>
      <c r="V670" s="78">
        <v>0.0</v>
      </c>
      <c r="W670" s="77">
        <v>2.0E7</v>
      </c>
      <c r="X670" s="216">
        <v>200000.0</v>
      </c>
      <c r="Y670" s="77">
        <v>120000.0</v>
      </c>
      <c r="Z670" s="77"/>
    </row>
    <row r="671">
      <c r="A671" s="145" t="s">
        <v>617</v>
      </c>
      <c r="B671" s="145" t="s">
        <v>617</v>
      </c>
      <c r="C671" s="145" t="s">
        <v>3372</v>
      </c>
      <c r="D671" s="75" t="s">
        <v>1544</v>
      </c>
      <c r="E671" s="75" t="s">
        <v>1544</v>
      </c>
      <c r="F671" s="211" t="s">
        <v>3386</v>
      </c>
      <c r="G671" s="145" t="s">
        <v>3387</v>
      </c>
      <c r="H671" s="211" t="s">
        <v>586</v>
      </c>
      <c r="I671" s="145" t="s">
        <v>936</v>
      </c>
      <c r="J671" s="211" t="s">
        <v>1561</v>
      </c>
      <c r="K671" s="75" t="s">
        <v>1544</v>
      </c>
      <c r="L671" s="152" t="b">
        <v>1</v>
      </c>
      <c r="M671" s="152" t="b">
        <v>0</v>
      </c>
      <c r="N671" s="212" t="s">
        <v>3388</v>
      </c>
      <c r="O671" s="213" t="s">
        <v>1554</v>
      </c>
      <c r="P671" s="47" t="b">
        <v>1</v>
      </c>
      <c r="Q671" s="47" t="b">
        <v>0</v>
      </c>
      <c r="R671" s="214"/>
      <c r="S671" s="77">
        <v>0.0</v>
      </c>
      <c r="T671" s="76" t="s">
        <v>1162</v>
      </c>
      <c r="U671" s="78">
        <v>2.0E7</v>
      </c>
      <c r="V671" s="78">
        <v>45.0</v>
      </c>
      <c r="W671" s="77">
        <v>2.0E7</v>
      </c>
      <c r="X671" s="216">
        <v>140000.0</v>
      </c>
      <c r="Y671" s="77">
        <v>186880.0</v>
      </c>
      <c r="Z671" s="77"/>
    </row>
    <row r="672">
      <c r="A672" s="145" t="s">
        <v>670</v>
      </c>
      <c r="B672" s="145" t="s">
        <v>670</v>
      </c>
      <c r="C672" s="145" t="s">
        <v>3372</v>
      </c>
      <c r="D672" s="75" t="s">
        <v>1544</v>
      </c>
      <c r="E672" s="75" t="s">
        <v>1544</v>
      </c>
      <c r="F672" s="211" t="s">
        <v>1557</v>
      </c>
      <c r="G672" s="145" t="s">
        <v>3389</v>
      </c>
      <c r="H672" s="211" t="s">
        <v>625</v>
      </c>
      <c r="I672" s="145" t="s">
        <v>667</v>
      </c>
      <c r="J672" s="211" t="s">
        <v>1561</v>
      </c>
      <c r="K672" s="75" t="s">
        <v>1601</v>
      </c>
      <c r="L672" s="152" t="b">
        <v>1</v>
      </c>
      <c r="M672" s="152" t="b">
        <v>0</v>
      </c>
      <c r="N672" s="212" t="s">
        <v>3390</v>
      </c>
      <c r="O672" s="213" t="s">
        <v>1554</v>
      </c>
      <c r="P672" s="47" t="b">
        <v>1</v>
      </c>
      <c r="Q672" s="47" t="b">
        <v>0</v>
      </c>
      <c r="R672" s="214"/>
      <c r="S672" s="77">
        <v>0.0</v>
      </c>
      <c r="T672" s="76" t="s">
        <v>1162</v>
      </c>
      <c r="U672" s="78">
        <v>2.0E7</v>
      </c>
      <c r="V672" s="215"/>
      <c r="W672" s="77">
        <v>2.0E7</v>
      </c>
      <c r="X672" s="216">
        <v>2.0E9</v>
      </c>
      <c r="Y672" s="216">
        <v>6000000.0</v>
      </c>
      <c r="Z672" s="77"/>
    </row>
    <row r="673">
      <c r="A673" s="145" t="s">
        <v>974</v>
      </c>
      <c r="B673" s="145" t="s">
        <v>974</v>
      </c>
      <c r="C673" s="145" t="s">
        <v>3299</v>
      </c>
      <c r="D673" s="75" t="s">
        <v>1544</v>
      </c>
      <c r="E673" s="75" t="s">
        <v>1544</v>
      </c>
      <c r="F673" s="211" t="s">
        <v>87</v>
      </c>
      <c r="G673" s="145" t="s">
        <v>975</v>
      </c>
      <c r="H673" s="211" t="s">
        <v>87</v>
      </c>
      <c r="I673" s="145" t="s">
        <v>267</v>
      </c>
      <c r="J673" s="211" t="s">
        <v>87</v>
      </c>
      <c r="K673" s="75" t="s">
        <v>1544</v>
      </c>
      <c r="L673" s="152" t="b">
        <v>1</v>
      </c>
      <c r="M673" s="152" t="b">
        <v>1</v>
      </c>
      <c r="N673" s="212" t="s">
        <v>3391</v>
      </c>
      <c r="O673" s="213" t="s">
        <v>1554</v>
      </c>
      <c r="P673" s="47" t="b">
        <v>0</v>
      </c>
      <c r="Q673" s="47" t="b">
        <v>0</v>
      </c>
      <c r="R673" s="214"/>
      <c r="S673" s="77">
        <v>0.0</v>
      </c>
      <c r="T673" s="76" t="s">
        <v>1179</v>
      </c>
      <c r="U673" s="215"/>
      <c r="V673" s="215"/>
      <c r="W673" s="214"/>
      <c r="X673" s="218"/>
      <c r="Y673" s="77">
        <v>0.0</v>
      </c>
      <c r="Z673" s="77"/>
    </row>
    <row r="674">
      <c r="A674" s="145" t="s">
        <v>2261</v>
      </c>
      <c r="B674" s="145" t="s">
        <v>1968</v>
      </c>
      <c r="C674" s="145" t="s">
        <v>1543</v>
      </c>
      <c r="D674" s="75" t="s">
        <v>1544</v>
      </c>
      <c r="E674" s="75" t="s">
        <v>1544</v>
      </c>
      <c r="F674" s="211" t="s">
        <v>1637</v>
      </c>
      <c r="G674" s="145" t="s">
        <v>2264</v>
      </c>
      <c r="H674" s="211" t="s">
        <v>77</v>
      </c>
      <c r="I674" s="145" t="s">
        <v>340</v>
      </c>
      <c r="J674" s="211" t="s">
        <v>1639</v>
      </c>
      <c r="K674" s="75" t="s">
        <v>1544</v>
      </c>
      <c r="L674" s="152" t="b">
        <v>1</v>
      </c>
      <c r="M674" s="152" t="b">
        <v>1</v>
      </c>
      <c r="N674" s="212" t="s">
        <v>3392</v>
      </c>
      <c r="O674" s="213" t="s">
        <v>1554</v>
      </c>
      <c r="P674" s="47" t="b">
        <v>1</v>
      </c>
      <c r="Q674" s="47" t="b">
        <v>0</v>
      </c>
      <c r="R674" s="214"/>
      <c r="S674" s="77">
        <v>0.0</v>
      </c>
      <c r="T674" s="76" t="s">
        <v>1179</v>
      </c>
      <c r="U674" s="78">
        <v>1.5246935E7</v>
      </c>
      <c r="V674" s="215"/>
      <c r="W674" s="77">
        <v>1.6E7</v>
      </c>
      <c r="X674" s="216">
        <v>160000.0</v>
      </c>
      <c r="Y674" s="77">
        <v>60000.0</v>
      </c>
      <c r="Z674" s="77"/>
    </row>
    <row r="675">
      <c r="A675" s="145" t="s">
        <v>1033</v>
      </c>
      <c r="B675" s="145" t="s">
        <v>243</v>
      </c>
      <c r="C675" s="145" t="s">
        <v>2288</v>
      </c>
      <c r="D675" s="75" t="s">
        <v>1544</v>
      </c>
      <c r="E675" s="75" t="s">
        <v>1601</v>
      </c>
      <c r="F675" s="211" t="s">
        <v>87</v>
      </c>
      <c r="G675" s="145" t="s">
        <v>1034</v>
      </c>
      <c r="H675" s="211" t="s">
        <v>77</v>
      </c>
      <c r="I675" s="145" t="s">
        <v>267</v>
      </c>
      <c r="J675" s="211" t="s">
        <v>87</v>
      </c>
      <c r="K675" s="75" t="s">
        <v>1544</v>
      </c>
      <c r="L675" s="152" t="b">
        <v>1</v>
      </c>
      <c r="M675" s="152" t="b">
        <v>0</v>
      </c>
      <c r="N675" s="217"/>
      <c r="O675" s="213" t="s">
        <v>1554</v>
      </c>
      <c r="P675" s="47" t="b">
        <v>0</v>
      </c>
      <c r="Q675" s="47" t="b">
        <v>0</v>
      </c>
      <c r="R675" s="214"/>
      <c r="S675" s="77">
        <v>0.0</v>
      </c>
      <c r="T675" s="214"/>
      <c r="U675" s="215"/>
      <c r="V675" s="215"/>
      <c r="W675" s="214"/>
      <c r="X675" s="218"/>
      <c r="Y675" s="77">
        <v>0.0</v>
      </c>
      <c r="Z675" s="77"/>
    </row>
    <row r="676">
      <c r="A676" s="145" t="s">
        <v>706</v>
      </c>
      <c r="B676" s="145" t="s">
        <v>2465</v>
      </c>
      <c r="C676" s="145" t="s">
        <v>1543</v>
      </c>
      <c r="D676" s="75" t="s">
        <v>1544</v>
      </c>
      <c r="E676" s="75" t="s">
        <v>1544</v>
      </c>
      <c r="F676" s="211" t="s">
        <v>1690</v>
      </c>
      <c r="G676" s="145" t="s">
        <v>3393</v>
      </c>
      <c r="H676" s="211" t="s">
        <v>586</v>
      </c>
      <c r="I676" s="145" t="s">
        <v>674</v>
      </c>
      <c r="J676" s="211" t="s">
        <v>1597</v>
      </c>
      <c r="K676" s="75" t="s">
        <v>1544</v>
      </c>
      <c r="L676" s="152" t="b">
        <v>1</v>
      </c>
      <c r="M676" s="152" t="b">
        <v>1</v>
      </c>
      <c r="N676" s="212" t="s">
        <v>3394</v>
      </c>
      <c r="O676" s="213" t="s">
        <v>1554</v>
      </c>
      <c r="P676" s="47" t="b">
        <v>1</v>
      </c>
      <c r="Q676" s="47" t="b">
        <v>0</v>
      </c>
      <c r="R676" s="214"/>
      <c r="S676" s="77">
        <v>0.0</v>
      </c>
      <c r="T676" s="76" t="s">
        <v>1172</v>
      </c>
      <c r="U676" s="78">
        <v>3.6124793E7</v>
      </c>
      <c r="V676" s="215"/>
      <c r="W676" s="77">
        <v>3.6E7</v>
      </c>
      <c r="X676" s="216">
        <v>252000.0</v>
      </c>
      <c r="Y676" s="77">
        <v>100000.0</v>
      </c>
      <c r="Z676" s="77"/>
    </row>
    <row r="677">
      <c r="A677" s="145" t="s">
        <v>3395</v>
      </c>
      <c r="C677" s="145" t="s">
        <v>3120</v>
      </c>
      <c r="D677" s="75" t="s">
        <v>1544</v>
      </c>
      <c r="E677" s="75" t="s">
        <v>1544</v>
      </c>
      <c r="F677" s="211" t="s">
        <v>2910</v>
      </c>
      <c r="G677" s="145" t="s">
        <v>3395</v>
      </c>
      <c r="H677" s="211" t="s">
        <v>87</v>
      </c>
      <c r="I677" s="145" t="s">
        <v>2913</v>
      </c>
      <c r="J677" s="211" t="s">
        <v>3162</v>
      </c>
      <c r="K677" s="75" t="s">
        <v>1544</v>
      </c>
      <c r="L677" s="152" t="b">
        <v>1</v>
      </c>
      <c r="M677" s="152" t="b">
        <v>1</v>
      </c>
      <c r="N677" s="212" t="s">
        <v>3396</v>
      </c>
      <c r="O677" s="213" t="s">
        <v>1554</v>
      </c>
      <c r="P677" s="47" t="b">
        <v>1</v>
      </c>
      <c r="Q677" s="47" t="b">
        <v>0</v>
      </c>
      <c r="R677" s="214"/>
      <c r="S677" s="77">
        <v>0.0</v>
      </c>
      <c r="T677" s="214"/>
      <c r="U677" s="215"/>
      <c r="V677" s="215"/>
      <c r="W677" s="214"/>
      <c r="X677" s="214"/>
      <c r="Y677" s="77">
        <v>50000.0</v>
      </c>
      <c r="Z677" s="77"/>
    </row>
    <row r="678">
      <c r="A678" s="145" t="s">
        <v>3397</v>
      </c>
      <c r="C678" s="145" t="s">
        <v>3120</v>
      </c>
      <c r="D678" s="75" t="s">
        <v>1544</v>
      </c>
      <c r="E678" s="75" t="s">
        <v>1544</v>
      </c>
      <c r="F678" s="211" t="s">
        <v>2910</v>
      </c>
      <c r="G678" s="145" t="s">
        <v>3398</v>
      </c>
      <c r="H678" s="211" t="s">
        <v>87</v>
      </c>
      <c r="I678" s="145" t="s">
        <v>2913</v>
      </c>
      <c r="J678" s="211" t="s">
        <v>3162</v>
      </c>
      <c r="K678" s="75" t="s">
        <v>1544</v>
      </c>
      <c r="L678" s="152" t="b">
        <v>1</v>
      </c>
      <c r="M678" s="152" t="b">
        <v>1</v>
      </c>
      <c r="N678" s="212" t="s">
        <v>3399</v>
      </c>
      <c r="O678" s="213" t="s">
        <v>1554</v>
      </c>
      <c r="P678" s="47" t="b">
        <v>1</v>
      </c>
      <c r="Q678" s="47" t="b">
        <v>0</v>
      </c>
      <c r="R678" s="214"/>
      <c r="S678" s="77">
        <v>0.0</v>
      </c>
      <c r="T678" s="214"/>
      <c r="U678" s="215"/>
      <c r="V678" s="215"/>
      <c r="W678" s="214"/>
      <c r="X678" s="218"/>
      <c r="Y678" s="77">
        <v>50000.0</v>
      </c>
      <c r="Z678" s="77"/>
    </row>
    <row r="679">
      <c r="A679" s="145" t="s">
        <v>3400</v>
      </c>
      <c r="C679" s="145" t="s">
        <v>3120</v>
      </c>
      <c r="D679" s="75" t="s">
        <v>1544</v>
      </c>
      <c r="E679" s="75" t="s">
        <v>1544</v>
      </c>
      <c r="F679" s="211" t="s">
        <v>2910</v>
      </c>
      <c r="G679" s="145" t="s">
        <v>3401</v>
      </c>
      <c r="H679" s="211" t="s">
        <v>87</v>
      </c>
      <c r="I679" s="145" t="s">
        <v>2913</v>
      </c>
      <c r="J679" s="211" t="s">
        <v>3162</v>
      </c>
      <c r="K679" s="75" t="s">
        <v>1544</v>
      </c>
      <c r="L679" s="152" t="b">
        <v>1</v>
      </c>
      <c r="M679" s="152" t="b">
        <v>1</v>
      </c>
      <c r="N679" s="212" t="s">
        <v>3402</v>
      </c>
      <c r="O679" s="213" t="s">
        <v>1554</v>
      </c>
      <c r="P679" s="47" t="b">
        <v>1</v>
      </c>
      <c r="Q679" s="47" t="b">
        <v>0</v>
      </c>
      <c r="R679" s="214"/>
      <c r="S679" s="77">
        <v>0.0</v>
      </c>
      <c r="T679" s="214"/>
      <c r="U679" s="215"/>
      <c r="V679" s="215"/>
      <c r="W679" s="214"/>
      <c r="X679" s="218"/>
      <c r="Y679" s="77">
        <v>50000.0</v>
      </c>
      <c r="Z679" s="77"/>
    </row>
    <row r="680">
      <c r="A680" s="145" t="s">
        <v>3403</v>
      </c>
      <c r="C680" s="145" t="s">
        <v>3120</v>
      </c>
      <c r="D680" s="75" t="s">
        <v>1601</v>
      </c>
      <c r="E680" s="75" t="s">
        <v>1544</v>
      </c>
      <c r="F680" s="211" t="s">
        <v>2910</v>
      </c>
      <c r="G680" s="145" t="s">
        <v>3404</v>
      </c>
      <c r="H680" s="211" t="s">
        <v>87</v>
      </c>
      <c r="I680" s="145" t="s">
        <v>2913</v>
      </c>
      <c r="J680" s="211" t="s">
        <v>3162</v>
      </c>
      <c r="K680" s="75" t="s">
        <v>1544</v>
      </c>
      <c r="L680" s="152" t="b">
        <v>1</v>
      </c>
      <c r="M680" s="152" t="b">
        <v>1</v>
      </c>
      <c r="N680" s="212" t="s">
        <v>3405</v>
      </c>
      <c r="O680" s="213" t="s">
        <v>1554</v>
      </c>
      <c r="P680" s="47" t="b">
        <v>1</v>
      </c>
      <c r="Q680" s="47" t="b">
        <v>0</v>
      </c>
      <c r="R680" s="214"/>
      <c r="S680" s="77">
        <v>0.0</v>
      </c>
      <c r="T680" s="214"/>
      <c r="U680" s="215"/>
      <c r="V680" s="215"/>
      <c r="W680" s="214"/>
      <c r="X680" s="214"/>
      <c r="Y680" s="77">
        <v>50000.0</v>
      </c>
      <c r="Z680" s="77"/>
    </row>
    <row r="681">
      <c r="A681" s="145" t="s">
        <v>705</v>
      </c>
      <c r="B681" s="145" t="s">
        <v>3395</v>
      </c>
      <c r="C681" s="145" t="s">
        <v>3120</v>
      </c>
      <c r="D681" s="75" t="s">
        <v>1544</v>
      </c>
      <c r="E681" s="75" t="s">
        <v>1601</v>
      </c>
      <c r="F681" s="211" t="s">
        <v>1602</v>
      </c>
      <c r="G681" s="145" t="s">
        <v>856</v>
      </c>
      <c r="H681" s="211" t="s">
        <v>87</v>
      </c>
      <c r="I681" s="145" t="s">
        <v>267</v>
      </c>
      <c r="J681" s="211" t="s">
        <v>1603</v>
      </c>
      <c r="K681" s="75" t="s">
        <v>1544</v>
      </c>
      <c r="L681" s="152" t="b">
        <v>1</v>
      </c>
      <c r="M681" s="152" t="b">
        <v>1</v>
      </c>
      <c r="N681" s="212" t="s">
        <v>3406</v>
      </c>
      <c r="O681" s="213" t="s">
        <v>1554</v>
      </c>
      <c r="P681" s="47" t="b">
        <v>0</v>
      </c>
      <c r="Q681" s="47" t="b">
        <v>0</v>
      </c>
      <c r="R681" s="214"/>
      <c r="S681" s="77">
        <v>0.0</v>
      </c>
      <c r="T681" s="214"/>
      <c r="U681" s="215"/>
      <c r="V681" s="215"/>
      <c r="W681" s="214"/>
      <c r="X681" s="214"/>
      <c r="Y681" s="77">
        <v>1.0</v>
      </c>
      <c r="Z681" s="77"/>
    </row>
    <row r="682">
      <c r="A682" s="145" t="s">
        <v>673</v>
      </c>
      <c r="B682" s="145" t="s">
        <v>3397</v>
      </c>
      <c r="C682" s="145" t="s">
        <v>3120</v>
      </c>
      <c r="D682" s="75" t="s">
        <v>1544</v>
      </c>
      <c r="E682" s="75" t="s">
        <v>1544</v>
      </c>
      <c r="F682" s="211" t="s">
        <v>2864</v>
      </c>
      <c r="G682" s="145" t="s">
        <v>1022</v>
      </c>
      <c r="H682" s="211" t="s">
        <v>1018</v>
      </c>
      <c r="I682" s="145" t="s">
        <v>1017</v>
      </c>
      <c r="J682" s="211" t="s">
        <v>1561</v>
      </c>
      <c r="K682" s="75" t="s">
        <v>1544</v>
      </c>
      <c r="L682" s="152" t="b">
        <v>1</v>
      </c>
      <c r="M682" s="152" t="b">
        <v>1</v>
      </c>
      <c r="N682" s="212" t="s">
        <v>3407</v>
      </c>
      <c r="O682" s="213" t="s">
        <v>1554</v>
      </c>
      <c r="P682" s="47" t="b">
        <v>1</v>
      </c>
      <c r="Q682" s="47" t="b">
        <v>0</v>
      </c>
      <c r="R682" s="214"/>
      <c r="S682" s="77">
        <v>0.0</v>
      </c>
      <c r="T682" s="76" t="s">
        <v>1179</v>
      </c>
      <c r="U682" s="78">
        <v>2.0E7</v>
      </c>
      <c r="V682" s="215"/>
      <c r="W682" s="77">
        <v>2.0E7</v>
      </c>
      <c r="X682" s="77">
        <v>160000.0</v>
      </c>
      <c r="Y682" s="77">
        <v>160000.0</v>
      </c>
      <c r="Z682" s="77"/>
    </row>
    <row r="683">
      <c r="A683" s="145" t="s">
        <v>160</v>
      </c>
      <c r="B683" s="145" t="s">
        <v>3400</v>
      </c>
      <c r="C683" s="145" t="s">
        <v>3120</v>
      </c>
      <c r="D683" s="75" t="s">
        <v>1544</v>
      </c>
      <c r="E683" s="75" t="s">
        <v>1544</v>
      </c>
      <c r="F683" s="211" t="s">
        <v>2311</v>
      </c>
      <c r="G683" s="145" t="s">
        <v>1005</v>
      </c>
      <c r="H683" s="211" t="s">
        <v>907</v>
      </c>
      <c r="I683" s="145" t="s">
        <v>54</v>
      </c>
      <c r="J683" s="211" t="s">
        <v>1561</v>
      </c>
      <c r="K683" s="75" t="s">
        <v>1544</v>
      </c>
      <c r="L683" s="152" t="b">
        <v>1</v>
      </c>
      <c r="M683" s="152" t="b">
        <v>1</v>
      </c>
      <c r="N683" s="212" t="s">
        <v>3408</v>
      </c>
      <c r="O683" s="213" t="s">
        <v>1554</v>
      </c>
      <c r="P683" s="47" t="b">
        <v>1</v>
      </c>
      <c r="Q683" s="47" t="b">
        <v>0</v>
      </c>
      <c r="R683" s="214"/>
      <c r="S683" s="77">
        <v>0.0</v>
      </c>
      <c r="T683" s="76" t="s">
        <v>1179</v>
      </c>
      <c r="U683" s="78">
        <v>2.0E7</v>
      </c>
      <c r="V683" s="215"/>
      <c r="W683" s="77">
        <v>2.0E7</v>
      </c>
      <c r="X683" s="216">
        <v>200000.0</v>
      </c>
      <c r="Y683" s="77">
        <v>200000.0</v>
      </c>
      <c r="Z683" s="77"/>
    </row>
    <row r="684">
      <c r="A684" s="145" t="s">
        <v>1025</v>
      </c>
      <c r="B684" s="145" t="s">
        <v>3403</v>
      </c>
      <c r="C684" s="145" t="s">
        <v>3120</v>
      </c>
      <c r="D684" s="75" t="s">
        <v>1544</v>
      </c>
      <c r="E684" s="75" t="s">
        <v>1544</v>
      </c>
      <c r="F684" s="211" t="s">
        <v>2311</v>
      </c>
      <c r="G684" s="145" t="s">
        <v>1026</v>
      </c>
      <c r="H684" s="211" t="s">
        <v>907</v>
      </c>
      <c r="I684" s="145" t="s">
        <v>25</v>
      </c>
      <c r="J684" s="211" t="s">
        <v>1561</v>
      </c>
      <c r="K684" s="75" t="s">
        <v>1544</v>
      </c>
      <c r="L684" s="152" t="b">
        <v>1</v>
      </c>
      <c r="M684" s="152" t="b">
        <v>1</v>
      </c>
      <c r="N684" s="212" t="s">
        <v>3409</v>
      </c>
      <c r="O684" s="213" t="s">
        <v>1554</v>
      </c>
      <c r="P684" s="47" t="b">
        <v>1</v>
      </c>
      <c r="Q684" s="47" t="b">
        <v>0</v>
      </c>
      <c r="R684" s="214"/>
      <c r="S684" s="77">
        <v>0.0</v>
      </c>
      <c r="T684" s="76" t="s">
        <v>1179</v>
      </c>
      <c r="U684" s="78">
        <v>2.0E7</v>
      </c>
      <c r="V684" s="215"/>
      <c r="W684" s="77">
        <v>2.0E7</v>
      </c>
      <c r="X684" s="216">
        <v>200000.0</v>
      </c>
      <c r="Y684" s="77">
        <v>200000.0</v>
      </c>
      <c r="Z684" s="77"/>
    </row>
    <row r="685">
      <c r="A685" s="145" t="s">
        <v>655</v>
      </c>
      <c r="B685" s="145" t="s">
        <v>158</v>
      </c>
      <c r="C685" s="145" t="s">
        <v>2288</v>
      </c>
      <c r="D685" s="75" t="s">
        <v>1544</v>
      </c>
      <c r="E685" s="75" t="s">
        <v>1544</v>
      </c>
      <c r="F685" s="211" t="s">
        <v>1557</v>
      </c>
      <c r="G685" s="145" t="s">
        <v>2488</v>
      </c>
      <c r="H685" s="211" t="s">
        <v>625</v>
      </c>
      <c r="I685" s="145" t="s">
        <v>624</v>
      </c>
      <c r="J685" s="211" t="s">
        <v>1561</v>
      </c>
      <c r="K685" s="75" t="s">
        <v>1544</v>
      </c>
      <c r="L685" s="152" t="b">
        <v>1</v>
      </c>
      <c r="M685" s="152" t="b">
        <v>1</v>
      </c>
      <c r="N685" s="217"/>
      <c r="O685" s="213" t="s">
        <v>1554</v>
      </c>
      <c r="P685" s="47" t="b">
        <v>1</v>
      </c>
      <c r="Q685" s="47" t="b">
        <v>0</v>
      </c>
      <c r="R685" s="214"/>
      <c r="S685" s="77">
        <v>0.0</v>
      </c>
      <c r="T685" s="76" t="s">
        <v>1196</v>
      </c>
      <c r="U685" s="78">
        <v>2.3983547E7</v>
      </c>
      <c r="V685" s="215"/>
      <c r="W685" s="77">
        <v>2.4E7</v>
      </c>
      <c r="X685" s="216">
        <v>2.4E9</v>
      </c>
      <c r="Y685" s="216">
        <v>6000000.0</v>
      </c>
      <c r="Z685" s="77"/>
    </row>
    <row r="686">
      <c r="A686" s="145" t="s">
        <v>2498</v>
      </c>
      <c r="B686" s="145" t="s">
        <v>2498</v>
      </c>
      <c r="C686" s="145" t="s">
        <v>3148</v>
      </c>
      <c r="D686" s="75" t="s">
        <v>1544</v>
      </c>
      <c r="E686" s="75" t="s">
        <v>1544</v>
      </c>
      <c r="F686" s="211" t="s">
        <v>1649</v>
      </c>
      <c r="G686" s="145" t="s">
        <v>3410</v>
      </c>
      <c r="H686" s="211" t="s">
        <v>1018</v>
      </c>
      <c r="I686" s="145" t="s">
        <v>75</v>
      </c>
      <c r="J686" s="211" t="s">
        <v>1549</v>
      </c>
      <c r="K686" s="75" t="s">
        <v>1544</v>
      </c>
      <c r="L686" s="152" t="b">
        <v>1</v>
      </c>
      <c r="M686" s="152" t="b">
        <v>0</v>
      </c>
      <c r="N686" s="212" t="s">
        <v>3411</v>
      </c>
      <c r="O686" s="213" t="s">
        <v>1554</v>
      </c>
      <c r="P686" s="47" t="b">
        <v>1</v>
      </c>
      <c r="Q686" s="47" t="b">
        <v>0</v>
      </c>
      <c r="R686" s="214"/>
      <c r="S686" s="77">
        <v>0.0</v>
      </c>
      <c r="T686" s="76" t="s">
        <v>1184</v>
      </c>
      <c r="U686" s="78">
        <v>1.0E7</v>
      </c>
      <c r="V686" s="78">
        <v>0.0</v>
      </c>
      <c r="W686" s="77">
        <v>1.0E7</v>
      </c>
      <c r="X686" s="216">
        <v>80000.0</v>
      </c>
      <c r="Y686" s="77">
        <v>32000.0</v>
      </c>
      <c r="Z686" s="77"/>
    </row>
    <row r="687">
      <c r="A687" s="145" t="s">
        <v>2502</v>
      </c>
      <c r="B687" s="145" t="s">
        <v>2502</v>
      </c>
      <c r="C687" s="145" t="s">
        <v>3148</v>
      </c>
      <c r="D687" s="75" t="s">
        <v>1544</v>
      </c>
      <c r="E687" s="75" t="s">
        <v>1544</v>
      </c>
      <c r="F687" s="211" t="s">
        <v>1547</v>
      </c>
      <c r="G687" s="145" t="s">
        <v>3412</v>
      </c>
      <c r="H687" s="211" t="s">
        <v>77</v>
      </c>
      <c r="I687" s="145" t="s">
        <v>249</v>
      </c>
      <c r="J687" s="211" t="s">
        <v>1549</v>
      </c>
      <c r="K687" s="75" t="s">
        <v>1601</v>
      </c>
      <c r="L687" s="152" t="b">
        <v>1</v>
      </c>
      <c r="M687" s="152" t="b">
        <v>0</v>
      </c>
      <c r="N687" s="212" t="s">
        <v>3413</v>
      </c>
      <c r="O687" s="213" t="s">
        <v>1554</v>
      </c>
      <c r="P687" s="47" t="b">
        <v>1</v>
      </c>
      <c r="Q687" s="47" t="b">
        <v>0</v>
      </c>
      <c r="R687" s="214"/>
      <c r="S687" s="77">
        <v>0.0</v>
      </c>
      <c r="T687" s="76" t="s">
        <v>1184</v>
      </c>
      <c r="U687" s="78">
        <v>1.0</v>
      </c>
      <c r="V687" s="78">
        <v>0.0</v>
      </c>
      <c r="W687" s="77">
        <v>0.0</v>
      </c>
      <c r="X687" s="216">
        <v>0.0</v>
      </c>
      <c r="Y687" s="77">
        <v>40000.0</v>
      </c>
      <c r="Z687" s="77"/>
    </row>
    <row r="688">
      <c r="A688" s="145" t="s">
        <v>1040</v>
      </c>
      <c r="B688" s="145" t="s">
        <v>1040</v>
      </c>
      <c r="C688" s="145" t="s">
        <v>3148</v>
      </c>
      <c r="D688" s="75" t="s">
        <v>1544</v>
      </c>
      <c r="E688" s="75" t="s">
        <v>1544</v>
      </c>
      <c r="F688" s="211" t="s">
        <v>1690</v>
      </c>
      <c r="G688" s="145" t="s">
        <v>1041</v>
      </c>
      <c r="H688" s="211" t="s">
        <v>87</v>
      </c>
      <c r="I688" s="145" t="s">
        <v>267</v>
      </c>
      <c r="J688" s="211" t="s">
        <v>1597</v>
      </c>
      <c r="K688" s="75" t="s">
        <v>1544</v>
      </c>
      <c r="L688" s="152" t="b">
        <v>1</v>
      </c>
      <c r="M688" s="152" t="b">
        <v>0</v>
      </c>
      <c r="N688" s="212" t="s">
        <v>3414</v>
      </c>
      <c r="O688" s="213" t="s">
        <v>1554</v>
      </c>
      <c r="P688" s="47" t="b">
        <v>0</v>
      </c>
      <c r="Q688" s="47" t="b">
        <v>0</v>
      </c>
      <c r="R688" s="214"/>
      <c r="S688" s="77">
        <v>0.0</v>
      </c>
      <c r="T688" s="76" t="s">
        <v>1184</v>
      </c>
      <c r="U688" s="215"/>
      <c r="V688" s="215"/>
      <c r="W688" s="214"/>
      <c r="X688" s="218"/>
      <c r="Y688" s="77">
        <v>100000.0</v>
      </c>
      <c r="Z688" s="77"/>
    </row>
    <row r="689">
      <c r="A689" s="145" t="s">
        <v>2545</v>
      </c>
      <c r="B689" s="145" t="s">
        <v>2545</v>
      </c>
      <c r="C689" s="145" t="s">
        <v>3148</v>
      </c>
      <c r="D689" s="75" t="s">
        <v>1544</v>
      </c>
      <c r="E689" s="75" t="s">
        <v>1544</v>
      </c>
      <c r="F689" s="211" t="s">
        <v>1649</v>
      </c>
      <c r="G689" s="145" t="s">
        <v>3415</v>
      </c>
      <c r="H689" s="211" t="s">
        <v>1018</v>
      </c>
      <c r="I689" s="145" t="s">
        <v>75</v>
      </c>
      <c r="J689" s="211" t="s">
        <v>1549</v>
      </c>
      <c r="K689" s="75" t="s">
        <v>1544</v>
      </c>
      <c r="L689" s="152" t="b">
        <v>1</v>
      </c>
      <c r="M689" s="152" t="b">
        <v>0</v>
      </c>
      <c r="N689" s="212" t="s">
        <v>3416</v>
      </c>
      <c r="O689" s="213" t="s">
        <v>1554</v>
      </c>
      <c r="P689" s="47" t="b">
        <v>1</v>
      </c>
      <c r="Q689" s="47" t="b">
        <v>0</v>
      </c>
      <c r="R689" s="214"/>
      <c r="S689" s="77">
        <v>0.0</v>
      </c>
      <c r="T689" s="76" t="s">
        <v>1184</v>
      </c>
      <c r="U689" s="78">
        <v>9999231.0</v>
      </c>
      <c r="V689" s="78">
        <v>0.0</v>
      </c>
      <c r="W689" s="77">
        <v>1.0E7</v>
      </c>
      <c r="X689" s="216">
        <v>80000.0</v>
      </c>
      <c r="Y689" s="77">
        <v>32000.0</v>
      </c>
      <c r="Z689" s="77"/>
    </row>
    <row r="690">
      <c r="A690" s="145" t="s">
        <v>1653</v>
      </c>
      <c r="C690" s="145" t="s">
        <v>1543</v>
      </c>
      <c r="D690" s="75" t="s">
        <v>1601</v>
      </c>
      <c r="E690" s="75" t="s">
        <v>1544</v>
      </c>
      <c r="F690" s="211" t="s">
        <v>1602</v>
      </c>
      <c r="G690" s="145" t="s">
        <v>213</v>
      </c>
      <c r="H690" s="211" t="s">
        <v>87</v>
      </c>
      <c r="I690" s="145" t="s">
        <v>3128</v>
      </c>
      <c r="J690" s="211" t="s">
        <v>1603</v>
      </c>
      <c r="K690" s="75" t="s">
        <v>1544</v>
      </c>
      <c r="L690" s="152" t="b">
        <v>1</v>
      </c>
      <c r="M690" s="152" t="b">
        <v>1</v>
      </c>
      <c r="N690" s="212" t="s">
        <v>3417</v>
      </c>
      <c r="O690" s="213" t="s">
        <v>1554</v>
      </c>
      <c r="P690" s="47" t="b">
        <v>1</v>
      </c>
      <c r="Q690" s="47" t="b">
        <v>0</v>
      </c>
      <c r="R690" s="214"/>
      <c r="S690" s="77">
        <v>0.0</v>
      </c>
      <c r="T690" s="214"/>
      <c r="U690" s="215"/>
      <c r="V690" s="215"/>
      <c r="W690" s="214"/>
      <c r="X690" s="214"/>
      <c r="Y690" s="77">
        <v>1.0</v>
      </c>
      <c r="Z690" s="77"/>
    </row>
    <row r="691">
      <c r="A691" s="145" t="s">
        <v>2584</v>
      </c>
      <c r="C691" s="145" t="s">
        <v>1543</v>
      </c>
      <c r="D691" s="75" t="s">
        <v>1601</v>
      </c>
      <c r="E691" s="75" t="s">
        <v>1544</v>
      </c>
      <c r="F691" s="211" t="s">
        <v>1602</v>
      </c>
      <c r="G691" s="145" t="s">
        <v>213</v>
      </c>
      <c r="H691" s="211" t="s">
        <v>87</v>
      </c>
      <c r="I691" s="145" t="s">
        <v>3128</v>
      </c>
      <c r="J691" s="211" t="s">
        <v>1603</v>
      </c>
      <c r="K691" s="75" t="s">
        <v>1544</v>
      </c>
      <c r="L691" s="152" t="b">
        <v>1</v>
      </c>
      <c r="M691" s="152" t="b">
        <v>1</v>
      </c>
      <c r="N691" s="212" t="s">
        <v>3418</v>
      </c>
      <c r="O691" s="213" t="s">
        <v>1554</v>
      </c>
      <c r="P691" s="47" t="b">
        <v>1</v>
      </c>
      <c r="Q691" s="47" t="b">
        <v>0</v>
      </c>
      <c r="R691" s="214"/>
      <c r="S691" s="77">
        <v>0.0</v>
      </c>
      <c r="T691" s="214"/>
      <c r="U691" s="215"/>
      <c r="V691" s="215"/>
      <c r="W691" s="214"/>
      <c r="X691" s="214"/>
      <c r="Y691" s="77">
        <v>1.0</v>
      </c>
      <c r="Z691" s="77"/>
    </row>
    <row r="692">
      <c r="A692" s="145" t="s">
        <v>1760</v>
      </c>
      <c r="C692" s="145" t="s">
        <v>1543</v>
      </c>
      <c r="D692" s="75" t="s">
        <v>1601</v>
      </c>
      <c r="E692" s="75" t="s">
        <v>1544</v>
      </c>
      <c r="F692" s="211" t="s">
        <v>1602</v>
      </c>
      <c r="G692" s="145" t="s">
        <v>213</v>
      </c>
      <c r="H692" s="211" t="s">
        <v>87</v>
      </c>
      <c r="I692" s="145" t="s">
        <v>3128</v>
      </c>
      <c r="J692" s="211" t="s">
        <v>1603</v>
      </c>
      <c r="K692" s="75" t="s">
        <v>1544</v>
      </c>
      <c r="L692" s="152" t="b">
        <v>1</v>
      </c>
      <c r="M692" s="152" t="b">
        <v>1</v>
      </c>
      <c r="N692" s="212" t="s">
        <v>3419</v>
      </c>
      <c r="O692" s="213" t="s">
        <v>1554</v>
      </c>
      <c r="P692" s="47" t="b">
        <v>1</v>
      </c>
      <c r="Q692" s="47" t="b">
        <v>0</v>
      </c>
      <c r="R692" s="214"/>
      <c r="S692" s="77">
        <v>0.0</v>
      </c>
      <c r="T692" s="214"/>
      <c r="U692" s="215"/>
      <c r="V692" s="215"/>
      <c r="W692" s="214"/>
      <c r="X692" s="214"/>
      <c r="Y692" s="77">
        <v>1.0</v>
      </c>
      <c r="Z692" s="77"/>
    </row>
    <row r="693">
      <c r="A693" s="145" t="s">
        <v>1564</v>
      </c>
      <c r="C693" s="145" t="s">
        <v>1543</v>
      </c>
      <c r="D693" s="75" t="s">
        <v>1601</v>
      </c>
      <c r="E693" s="75" t="s">
        <v>1544</v>
      </c>
      <c r="F693" s="211" t="s">
        <v>1602</v>
      </c>
      <c r="G693" s="145" t="s">
        <v>213</v>
      </c>
      <c r="H693" s="211" t="s">
        <v>87</v>
      </c>
      <c r="I693" s="145" t="s">
        <v>3128</v>
      </c>
      <c r="J693" s="211" t="s">
        <v>1603</v>
      </c>
      <c r="K693" s="75" t="s">
        <v>1544</v>
      </c>
      <c r="L693" s="152" t="b">
        <v>1</v>
      </c>
      <c r="M693" s="152" t="b">
        <v>1</v>
      </c>
      <c r="N693" s="212" t="s">
        <v>3420</v>
      </c>
      <c r="O693" s="213" t="s">
        <v>1554</v>
      </c>
      <c r="P693" s="47" t="b">
        <v>1</v>
      </c>
      <c r="Q693" s="47" t="b">
        <v>0</v>
      </c>
      <c r="R693" s="214"/>
      <c r="S693" s="77">
        <v>0.0</v>
      </c>
      <c r="T693" s="214"/>
      <c r="U693" s="215"/>
      <c r="V693" s="215"/>
      <c r="W693" s="214"/>
      <c r="X693" s="214"/>
      <c r="Y693" s="77">
        <v>1.0</v>
      </c>
      <c r="Z693" s="77"/>
    </row>
    <row r="694">
      <c r="A694" s="145" t="s">
        <v>1746</v>
      </c>
      <c r="C694" s="145" t="s">
        <v>1543</v>
      </c>
      <c r="D694" s="75" t="s">
        <v>1601</v>
      </c>
      <c r="E694" s="75" t="s">
        <v>1544</v>
      </c>
      <c r="F694" s="211" t="s">
        <v>1602</v>
      </c>
      <c r="G694" s="145" t="s">
        <v>213</v>
      </c>
      <c r="H694" s="211" t="s">
        <v>87</v>
      </c>
      <c r="I694" s="145" t="s">
        <v>3128</v>
      </c>
      <c r="J694" s="211" t="s">
        <v>1603</v>
      </c>
      <c r="K694" s="75" t="s">
        <v>1544</v>
      </c>
      <c r="L694" s="152" t="b">
        <v>1</v>
      </c>
      <c r="M694" s="152" t="b">
        <v>1</v>
      </c>
      <c r="N694" s="212" t="s">
        <v>3421</v>
      </c>
      <c r="O694" s="213" t="s">
        <v>1554</v>
      </c>
      <c r="P694" s="47" t="b">
        <v>1</v>
      </c>
      <c r="Q694" s="47" t="b">
        <v>0</v>
      </c>
      <c r="R694" s="214"/>
      <c r="S694" s="77">
        <v>0.0</v>
      </c>
      <c r="T694" s="214"/>
      <c r="U694" s="215"/>
      <c r="V694" s="215"/>
      <c r="W694" s="214"/>
      <c r="X694" s="214"/>
      <c r="Y694" s="77">
        <v>1.0</v>
      </c>
      <c r="Z694" s="77"/>
    </row>
    <row r="695">
      <c r="A695" s="145" t="s">
        <v>2189</v>
      </c>
      <c r="C695" s="145" t="s">
        <v>1543</v>
      </c>
      <c r="D695" s="75" t="s">
        <v>1601</v>
      </c>
      <c r="E695" s="75" t="s">
        <v>1544</v>
      </c>
      <c r="F695" s="211" t="s">
        <v>1602</v>
      </c>
      <c r="G695" s="145" t="s">
        <v>213</v>
      </c>
      <c r="H695" s="211" t="s">
        <v>87</v>
      </c>
      <c r="I695" s="145" t="s">
        <v>3128</v>
      </c>
      <c r="J695" s="211" t="s">
        <v>1603</v>
      </c>
      <c r="K695" s="75" t="s">
        <v>1544</v>
      </c>
      <c r="L695" s="152" t="b">
        <v>1</v>
      </c>
      <c r="M695" s="152" t="b">
        <v>1</v>
      </c>
      <c r="N695" s="212" t="s">
        <v>3422</v>
      </c>
      <c r="O695" s="213" t="s">
        <v>1554</v>
      </c>
      <c r="P695" s="47" t="b">
        <v>1</v>
      </c>
      <c r="Q695" s="47" t="b">
        <v>0</v>
      </c>
      <c r="R695" s="214"/>
      <c r="S695" s="77">
        <v>0.0</v>
      </c>
      <c r="T695" s="214"/>
      <c r="U695" s="215"/>
      <c r="V695" s="215"/>
      <c r="W695" s="214"/>
      <c r="X695" s="214"/>
      <c r="Y695" s="77">
        <v>1.0</v>
      </c>
      <c r="Z695" s="77"/>
    </row>
    <row r="696">
      <c r="A696" s="145" t="s">
        <v>1984</v>
      </c>
      <c r="C696" s="145" t="s">
        <v>1543</v>
      </c>
      <c r="D696" s="75" t="s">
        <v>1601</v>
      </c>
      <c r="E696" s="75" t="s">
        <v>1544</v>
      </c>
      <c r="F696" s="211" t="s">
        <v>1602</v>
      </c>
      <c r="G696" s="145" t="s">
        <v>213</v>
      </c>
      <c r="H696" s="211" t="s">
        <v>87</v>
      </c>
      <c r="I696" s="145" t="s">
        <v>3128</v>
      </c>
      <c r="J696" s="211" t="s">
        <v>1603</v>
      </c>
      <c r="K696" s="75" t="s">
        <v>1544</v>
      </c>
      <c r="L696" s="152" t="b">
        <v>1</v>
      </c>
      <c r="M696" s="152" t="b">
        <v>1</v>
      </c>
      <c r="N696" s="212" t="s">
        <v>3423</v>
      </c>
      <c r="O696" s="213" t="s">
        <v>1554</v>
      </c>
      <c r="P696" s="47" t="b">
        <v>1</v>
      </c>
      <c r="Q696" s="47" t="b">
        <v>0</v>
      </c>
      <c r="R696" s="214"/>
      <c r="S696" s="77">
        <v>0.0</v>
      </c>
      <c r="T696" s="214"/>
      <c r="U696" s="215"/>
      <c r="V696" s="215"/>
      <c r="W696" s="214"/>
      <c r="X696" s="214"/>
      <c r="Y696" s="77">
        <v>1.0</v>
      </c>
      <c r="Z696" s="77"/>
    </row>
    <row r="697">
      <c r="A697" s="145" t="s">
        <v>1849</v>
      </c>
      <c r="C697" s="145" t="s">
        <v>1543</v>
      </c>
      <c r="D697" s="75" t="s">
        <v>1601</v>
      </c>
      <c r="E697" s="75" t="s">
        <v>1544</v>
      </c>
      <c r="F697" s="211" t="s">
        <v>1602</v>
      </c>
      <c r="G697" s="145" t="s">
        <v>213</v>
      </c>
      <c r="H697" s="211" t="s">
        <v>87</v>
      </c>
      <c r="I697" s="145" t="s">
        <v>3128</v>
      </c>
      <c r="J697" s="211" t="s">
        <v>1603</v>
      </c>
      <c r="K697" s="75" t="s">
        <v>1544</v>
      </c>
      <c r="L697" s="152" t="b">
        <v>1</v>
      </c>
      <c r="M697" s="152" t="b">
        <v>1</v>
      </c>
      <c r="N697" s="212" t="s">
        <v>3424</v>
      </c>
      <c r="O697" s="213" t="s">
        <v>1554</v>
      </c>
      <c r="P697" s="47" t="b">
        <v>1</v>
      </c>
      <c r="Q697" s="47" t="b">
        <v>0</v>
      </c>
      <c r="R697" s="214"/>
      <c r="S697" s="77">
        <v>0.0</v>
      </c>
      <c r="T697" s="214"/>
      <c r="U697" s="215"/>
      <c r="V697" s="215"/>
      <c r="W697" s="214"/>
      <c r="X697" s="214"/>
      <c r="Y697" s="77">
        <v>1.0</v>
      </c>
      <c r="Z697" s="77"/>
    </row>
    <row r="698">
      <c r="A698" s="145" t="s">
        <v>1658</v>
      </c>
      <c r="C698" s="145" t="s">
        <v>1543</v>
      </c>
      <c r="D698" s="75" t="s">
        <v>1601</v>
      </c>
      <c r="E698" s="75" t="s">
        <v>1544</v>
      </c>
      <c r="F698" s="211" t="s">
        <v>1602</v>
      </c>
      <c r="G698" s="145" t="s">
        <v>213</v>
      </c>
      <c r="H698" s="211" t="s">
        <v>87</v>
      </c>
      <c r="I698" s="145" t="s">
        <v>3128</v>
      </c>
      <c r="J698" s="211" t="s">
        <v>1603</v>
      </c>
      <c r="K698" s="75" t="s">
        <v>1544</v>
      </c>
      <c r="L698" s="152" t="b">
        <v>1</v>
      </c>
      <c r="M698" s="152" t="b">
        <v>1</v>
      </c>
      <c r="N698" s="212" t="s">
        <v>3425</v>
      </c>
      <c r="O698" s="213" t="s">
        <v>1554</v>
      </c>
      <c r="P698" s="47" t="b">
        <v>1</v>
      </c>
      <c r="Q698" s="47" t="b">
        <v>0</v>
      </c>
      <c r="R698" s="214"/>
      <c r="S698" s="77">
        <v>0.0</v>
      </c>
      <c r="T698" s="214"/>
      <c r="U698" s="215"/>
      <c r="V698" s="215"/>
      <c r="W698" s="214"/>
      <c r="X698" s="214"/>
      <c r="Y698" s="77">
        <v>1.0</v>
      </c>
      <c r="Z698" s="77"/>
    </row>
    <row r="699">
      <c r="A699" s="145" t="s">
        <v>3426</v>
      </c>
      <c r="C699" s="145" t="s">
        <v>1543</v>
      </c>
      <c r="D699" s="75" t="s">
        <v>1601</v>
      </c>
      <c r="E699" s="75" t="s">
        <v>1544</v>
      </c>
      <c r="F699" s="211" t="s">
        <v>1602</v>
      </c>
      <c r="G699" s="145" t="s">
        <v>213</v>
      </c>
      <c r="H699" s="211" t="s">
        <v>87</v>
      </c>
      <c r="I699" s="145" t="s">
        <v>3128</v>
      </c>
      <c r="J699" s="211" t="s">
        <v>1603</v>
      </c>
      <c r="K699" s="75" t="s">
        <v>1544</v>
      </c>
      <c r="L699" s="152" t="b">
        <v>1</v>
      </c>
      <c r="M699" s="152" t="b">
        <v>1</v>
      </c>
      <c r="N699" s="212" t="s">
        <v>3427</v>
      </c>
      <c r="O699" s="213" t="s">
        <v>1554</v>
      </c>
      <c r="P699" s="47" t="b">
        <v>1</v>
      </c>
      <c r="Q699" s="47" t="b">
        <v>0</v>
      </c>
      <c r="R699" s="214"/>
      <c r="S699" s="77">
        <v>0.0</v>
      </c>
      <c r="T699" s="214"/>
      <c r="U699" s="215"/>
      <c r="V699" s="215"/>
      <c r="W699" s="214"/>
      <c r="X699" s="214"/>
      <c r="Y699" s="77">
        <v>1.0</v>
      </c>
      <c r="Z699" s="77"/>
    </row>
    <row r="700">
      <c r="A700" s="145" t="s">
        <v>1751</v>
      </c>
      <c r="C700" s="145" t="s">
        <v>1543</v>
      </c>
      <c r="D700" s="75" t="s">
        <v>1601</v>
      </c>
      <c r="E700" s="75" t="s">
        <v>1544</v>
      </c>
      <c r="F700" s="211" t="s">
        <v>1602</v>
      </c>
      <c r="G700" s="145" t="s">
        <v>213</v>
      </c>
      <c r="H700" s="211" t="s">
        <v>87</v>
      </c>
      <c r="I700" s="145" t="s">
        <v>3128</v>
      </c>
      <c r="J700" s="211" t="s">
        <v>1603</v>
      </c>
      <c r="K700" s="75" t="s">
        <v>1544</v>
      </c>
      <c r="L700" s="152" t="b">
        <v>1</v>
      </c>
      <c r="M700" s="152" t="b">
        <v>1</v>
      </c>
      <c r="N700" s="212" t="s">
        <v>3428</v>
      </c>
      <c r="O700" s="213" t="s">
        <v>1554</v>
      </c>
      <c r="P700" s="47" t="b">
        <v>1</v>
      </c>
      <c r="Q700" s="47" t="b">
        <v>0</v>
      </c>
      <c r="R700" s="214"/>
      <c r="S700" s="77">
        <v>0.0</v>
      </c>
      <c r="T700" s="214"/>
      <c r="U700" s="215"/>
      <c r="V700" s="215"/>
      <c r="W700" s="214"/>
      <c r="X700" s="214"/>
      <c r="Y700" s="77">
        <v>1.0</v>
      </c>
      <c r="Z700" s="77"/>
    </row>
    <row r="701">
      <c r="A701" s="145" t="s">
        <v>1647</v>
      </c>
      <c r="C701" s="145" t="s">
        <v>1543</v>
      </c>
      <c r="D701" s="75" t="s">
        <v>1601</v>
      </c>
      <c r="E701" s="75" t="s">
        <v>1544</v>
      </c>
      <c r="F701" s="211" t="s">
        <v>1602</v>
      </c>
      <c r="G701" s="145" t="s">
        <v>213</v>
      </c>
      <c r="H701" s="211" t="s">
        <v>87</v>
      </c>
      <c r="I701" s="145" t="s">
        <v>3128</v>
      </c>
      <c r="J701" s="211" t="s">
        <v>1603</v>
      </c>
      <c r="K701" s="75" t="s">
        <v>1544</v>
      </c>
      <c r="L701" s="152" t="b">
        <v>1</v>
      </c>
      <c r="M701" s="152" t="b">
        <v>1</v>
      </c>
      <c r="N701" s="212" t="s">
        <v>3429</v>
      </c>
      <c r="O701" s="213" t="s">
        <v>1554</v>
      </c>
      <c r="P701" s="47" t="b">
        <v>1</v>
      </c>
      <c r="Q701" s="47" t="b">
        <v>0</v>
      </c>
      <c r="R701" s="214"/>
      <c r="S701" s="77">
        <v>0.0</v>
      </c>
      <c r="T701" s="214"/>
      <c r="U701" s="215"/>
      <c r="V701" s="215"/>
      <c r="W701" s="214"/>
      <c r="X701" s="214"/>
      <c r="Y701" s="77">
        <v>1.0</v>
      </c>
      <c r="Z701" s="77"/>
    </row>
    <row r="702">
      <c r="A702" s="145" t="s">
        <v>3430</v>
      </c>
      <c r="C702" s="145" t="s">
        <v>1543</v>
      </c>
      <c r="D702" s="75" t="s">
        <v>1601</v>
      </c>
      <c r="E702" s="75" t="s">
        <v>1544</v>
      </c>
      <c r="F702" s="211" t="s">
        <v>1602</v>
      </c>
      <c r="G702" s="145" t="s">
        <v>213</v>
      </c>
      <c r="H702" s="211" t="s">
        <v>87</v>
      </c>
      <c r="I702" s="145" t="s">
        <v>3128</v>
      </c>
      <c r="J702" s="211" t="s">
        <v>1603</v>
      </c>
      <c r="K702" s="75" t="s">
        <v>1544</v>
      </c>
      <c r="L702" s="152" t="b">
        <v>1</v>
      </c>
      <c r="M702" s="152" t="b">
        <v>1</v>
      </c>
      <c r="N702" s="212" t="s">
        <v>3431</v>
      </c>
      <c r="O702" s="213" t="s">
        <v>1554</v>
      </c>
      <c r="P702" s="47" t="b">
        <v>1</v>
      </c>
      <c r="Q702" s="47" t="b">
        <v>0</v>
      </c>
      <c r="R702" s="214"/>
      <c r="S702" s="77">
        <v>0.0</v>
      </c>
      <c r="T702" s="214"/>
      <c r="U702" s="215"/>
      <c r="V702" s="215"/>
      <c r="W702" s="214"/>
      <c r="X702" s="218"/>
      <c r="Y702" s="77">
        <v>1.0</v>
      </c>
      <c r="Z702" s="77"/>
    </row>
    <row r="703">
      <c r="A703" s="145" t="s">
        <v>3432</v>
      </c>
      <c r="C703" s="145" t="s">
        <v>1543</v>
      </c>
      <c r="D703" s="75" t="s">
        <v>1601</v>
      </c>
      <c r="E703" s="75" t="s">
        <v>1544</v>
      </c>
      <c r="F703" s="211" t="s">
        <v>1602</v>
      </c>
      <c r="G703" s="145" t="s">
        <v>213</v>
      </c>
      <c r="H703" s="211" t="s">
        <v>87</v>
      </c>
      <c r="I703" s="145" t="s">
        <v>3128</v>
      </c>
      <c r="J703" s="211" t="s">
        <v>1603</v>
      </c>
      <c r="K703" s="75" t="s">
        <v>1544</v>
      </c>
      <c r="L703" s="152" t="b">
        <v>1</v>
      </c>
      <c r="M703" s="152" t="b">
        <v>1</v>
      </c>
      <c r="N703" s="212" t="s">
        <v>3433</v>
      </c>
      <c r="O703" s="213" t="s">
        <v>1554</v>
      </c>
      <c r="P703" s="47" t="b">
        <v>0</v>
      </c>
      <c r="Q703" s="47" t="b">
        <v>0</v>
      </c>
      <c r="R703" s="214"/>
      <c r="S703" s="77">
        <v>0.0</v>
      </c>
      <c r="T703" s="214"/>
      <c r="U703" s="215"/>
      <c r="V703" s="215"/>
      <c r="W703" s="214"/>
      <c r="X703" s="218"/>
      <c r="Y703" s="77">
        <v>1.0</v>
      </c>
      <c r="Z703" s="77"/>
    </row>
    <row r="704">
      <c r="A704" s="145" t="s">
        <v>3434</v>
      </c>
      <c r="C704" s="145" t="s">
        <v>1543</v>
      </c>
      <c r="D704" s="75" t="s">
        <v>1601</v>
      </c>
      <c r="E704" s="75" t="s">
        <v>1544</v>
      </c>
      <c r="F704" s="211" t="s">
        <v>1602</v>
      </c>
      <c r="G704" s="145" t="s">
        <v>213</v>
      </c>
      <c r="H704" s="211" t="s">
        <v>87</v>
      </c>
      <c r="I704" s="145" t="s">
        <v>3128</v>
      </c>
      <c r="J704" s="211" t="s">
        <v>1603</v>
      </c>
      <c r="K704" s="75" t="s">
        <v>1544</v>
      </c>
      <c r="L704" s="152" t="b">
        <v>1</v>
      </c>
      <c r="M704" s="152" t="b">
        <v>1</v>
      </c>
      <c r="N704" s="212" t="s">
        <v>3435</v>
      </c>
      <c r="O704" s="213" t="s">
        <v>1554</v>
      </c>
      <c r="P704" s="47" t="b">
        <v>0</v>
      </c>
      <c r="Q704" s="47" t="b">
        <v>0</v>
      </c>
      <c r="R704" s="214"/>
      <c r="S704" s="77">
        <v>0.0</v>
      </c>
      <c r="T704" s="214"/>
      <c r="U704" s="215"/>
      <c r="V704" s="215"/>
      <c r="W704" s="214"/>
      <c r="X704" s="218"/>
      <c r="Y704" s="77">
        <v>1.0</v>
      </c>
      <c r="Z704" s="77"/>
    </row>
    <row r="705">
      <c r="A705" s="145" t="s">
        <v>1144</v>
      </c>
      <c r="B705" s="145" t="s">
        <v>2195</v>
      </c>
      <c r="C705" s="145" t="s">
        <v>1543</v>
      </c>
      <c r="D705" s="75" t="s">
        <v>1544</v>
      </c>
      <c r="E705" s="75" t="s">
        <v>1544</v>
      </c>
      <c r="F705" s="211" t="s">
        <v>2989</v>
      </c>
      <c r="G705" s="145" t="s">
        <v>1145</v>
      </c>
      <c r="H705" s="211" t="s">
        <v>77</v>
      </c>
      <c r="I705" s="145" t="s">
        <v>218</v>
      </c>
      <c r="J705" s="211" t="s">
        <v>2495</v>
      </c>
      <c r="K705" s="75" t="s">
        <v>1544</v>
      </c>
      <c r="L705" s="152" t="b">
        <v>1</v>
      </c>
      <c r="M705" s="152" t="b">
        <v>0</v>
      </c>
      <c r="N705" s="212" t="s">
        <v>3436</v>
      </c>
      <c r="O705" s="213" t="s">
        <v>1554</v>
      </c>
      <c r="P705" s="47" t="b">
        <v>1</v>
      </c>
      <c r="Q705" s="47" t="b">
        <v>0</v>
      </c>
      <c r="R705" s="214"/>
      <c r="S705" s="77">
        <v>0.0</v>
      </c>
      <c r="T705" s="76" t="s">
        <v>1179</v>
      </c>
      <c r="U705" s="78">
        <v>7.7293065E7</v>
      </c>
      <c r="V705" s="215"/>
      <c r="W705" s="77">
        <v>7.8E7</v>
      </c>
      <c r="X705" s="77">
        <v>780000.0</v>
      </c>
      <c r="Y705" s="77">
        <v>300000.0</v>
      </c>
      <c r="Z705" s="77"/>
    </row>
    <row r="706">
      <c r="A706" s="145" t="s">
        <v>859</v>
      </c>
      <c r="B706" s="145" t="s">
        <v>859</v>
      </c>
      <c r="C706" s="145" t="s">
        <v>3148</v>
      </c>
      <c r="D706" s="75" t="s">
        <v>1544</v>
      </c>
      <c r="E706" s="75" t="s">
        <v>1544</v>
      </c>
      <c r="F706" s="211" t="s">
        <v>1602</v>
      </c>
      <c r="G706" s="145" t="s">
        <v>860</v>
      </c>
      <c r="H706" s="211" t="s">
        <v>87</v>
      </c>
      <c r="I706" s="145" t="s">
        <v>267</v>
      </c>
      <c r="J706" s="211" t="s">
        <v>1603</v>
      </c>
      <c r="K706" s="75" t="s">
        <v>1544</v>
      </c>
      <c r="L706" s="152" t="b">
        <v>1</v>
      </c>
      <c r="M706" s="152" t="b">
        <v>0</v>
      </c>
      <c r="N706" s="212" t="s">
        <v>3437</v>
      </c>
      <c r="O706" s="213" t="s">
        <v>1554</v>
      </c>
      <c r="P706" s="47" t="b">
        <v>0</v>
      </c>
      <c r="Q706" s="47" t="b">
        <v>0</v>
      </c>
      <c r="R706" s="214"/>
      <c r="S706" s="77">
        <v>0.0</v>
      </c>
      <c r="T706" s="76" t="s">
        <v>1184</v>
      </c>
      <c r="U706" s="215"/>
      <c r="V706" s="215"/>
      <c r="W706" s="214"/>
      <c r="X706" s="218"/>
      <c r="Y706" s="77">
        <v>1.0</v>
      </c>
      <c r="Z706" s="77"/>
    </row>
    <row r="707">
      <c r="A707" s="145" t="s">
        <v>2538</v>
      </c>
      <c r="B707" s="145" t="s">
        <v>2538</v>
      </c>
      <c r="C707" s="145" t="s">
        <v>3148</v>
      </c>
      <c r="D707" s="75" t="s">
        <v>1544</v>
      </c>
      <c r="E707" s="75" t="s">
        <v>1544</v>
      </c>
      <c r="F707" s="211" t="s">
        <v>1547</v>
      </c>
      <c r="G707" s="145" t="s">
        <v>3438</v>
      </c>
      <c r="H707" s="211" t="s">
        <v>77</v>
      </c>
      <c r="I707" s="145" t="s">
        <v>249</v>
      </c>
      <c r="J707" s="211" t="s">
        <v>1549</v>
      </c>
      <c r="K707" s="75" t="s">
        <v>1544</v>
      </c>
      <c r="L707" s="152" t="b">
        <v>1</v>
      </c>
      <c r="M707" s="152" t="b">
        <v>0</v>
      </c>
      <c r="N707" s="212" t="s">
        <v>3439</v>
      </c>
      <c r="O707" s="213" t="s">
        <v>1554</v>
      </c>
      <c r="P707" s="47" t="b">
        <v>1</v>
      </c>
      <c r="Q707" s="47" t="b">
        <v>0</v>
      </c>
      <c r="R707" s="214"/>
      <c r="S707" s="77">
        <v>0.0</v>
      </c>
      <c r="T707" s="76" t="s">
        <v>1184</v>
      </c>
      <c r="U707" s="78">
        <v>1.0332781E7</v>
      </c>
      <c r="V707" s="78">
        <v>0.0</v>
      </c>
      <c r="W707" s="77">
        <v>1.0E7</v>
      </c>
      <c r="X707" s="77">
        <v>100000.0</v>
      </c>
      <c r="Y707" s="77">
        <v>40000.0</v>
      </c>
      <c r="Z707" s="77"/>
    </row>
    <row r="708">
      <c r="A708" s="145" t="s">
        <v>228</v>
      </c>
      <c r="B708" s="145" t="s">
        <v>228</v>
      </c>
      <c r="C708" s="145" t="s">
        <v>317</v>
      </c>
      <c r="D708" s="75" t="s">
        <v>1544</v>
      </c>
      <c r="E708" s="75" t="s">
        <v>1544</v>
      </c>
      <c r="F708" s="211" t="s">
        <v>3440</v>
      </c>
      <c r="G708" s="145" t="s">
        <v>752</v>
      </c>
      <c r="H708" s="211" t="s">
        <v>1018</v>
      </c>
      <c r="I708" s="145" t="s">
        <v>113</v>
      </c>
      <c r="J708" s="211" t="s">
        <v>1639</v>
      </c>
      <c r="K708" s="75" t="s">
        <v>1544</v>
      </c>
      <c r="L708" s="152" t="b">
        <v>1</v>
      </c>
      <c r="M708" s="152" t="b">
        <v>0</v>
      </c>
      <c r="N708" s="212" t="s">
        <v>3441</v>
      </c>
      <c r="O708" s="213" t="s">
        <v>1554</v>
      </c>
      <c r="P708" s="47" t="b">
        <v>1</v>
      </c>
      <c r="Q708" s="47" t="b">
        <v>0</v>
      </c>
      <c r="R708" s="214"/>
      <c r="S708" s="77">
        <v>0.0</v>
      </c>
      <c r="T708" s="76" t="s">
        <v>1162</v>
      </c>
      <c r="U708" s="78">
        <v>8418931.0</v>
      </c>
      <c r="V708" s="78">
        <v>23.0</v>
      </c>
      <c r="W708" s="77">
        <v>8000000.0</v>
      </c>
      <c r="X708" s="77">
        <v>64000.0</v>
      </c>
      <c r="Y708" s="77">
        <v>111064.0</v>
      </c>
      <c r="Z708" s="77"/>
    </row>
    <row r="709">
      <c r="A709" s="145" t="s">
        <v>3442</v>
      </c>
      <c r="B709" s="230"/>
      <c r="C709" s="145" t="s">
        <v>3120</v>
      </c>
      <c r="D709" s="75" t="s">
        <v>1544</v>
      </c>
      <c r="E709" s="75" t="s">
        <v>1544</v>
      </c>
      <c r="F709" s="211" t="s">
        <v>2910</v>
      </c>
      <c r="G709" s="145" t="s">
        <v>3443</v>
      </c>
      <c r="H709" s="211" t="s">
        <v>87</v>
      </c>
      <c r="I709" s="145" t="s">
        <v>2913</v>
      </c>
      <c r="J709" s="211" t="s">
        <v>3162</v>
      </c>
      <c r="K709" s="75" t="s">
        <v>1544</v>
      </c>
      <c r="L709" s="152" t="b">
        <v>1</v>
      </c>
      <c r="M709" s="152" t="b">
        <v>1</v>
      </c>
      <c r="N709" s="212" t="s">
        <v>3444</v>
      </c>
      <c r="O709" s="213" t="s">
        <v>1554</v>
      </c>
      <c r="P709" s="47" t="b">
        <v>1</v>
      </c>
      <c r="Q709" s="47" t="b">
        <v>0</v>
      </c>
      <c r="R709" s="214"/>
      <c r="S709" s="77">
        <v>0.0</v>
      </c>
      <c r="T709" s="214"/>
      <c r="U709" s="215"/>
      <c r="V709" s="215"/>
      <c r="W709" s="214"/>
      <c r="X709" s="214"/>
      <c r="Y709" s="77">
        <v>50000.0</v>
      </c>
      <c r="Z709" s="77"/>
    </row>
    <row r="710">
      <c r="A710" s="145" t="s">
        <v>2557</v>
      </c>
      <c r="B710" s="145" t="s">
        <v>3442</v>
      </c>
      <c r="C710" s="145" t="s">
        <v>3120</v>
      </c>
      <c r="D710" s="75" t="s">
        <v>1544</v>
      </c>
      <c r="E710" s="75" t="s">
        <v>1601</v>
      </c>
      <c r="F710" s="211" t="s">
        <v>2864</v>
      </c>
      <c r="G710" s="145" t="s">
        <v>2558</v>
      </c>
      <c r="H710" s="211" t="s">
        <v>1018</v>
      </c>
      <c r="I710" s="145" t="s">
        <v>75</v>
      </c>
      <c r="J710" s="211" t="s">
        <v>1561</v>
      </c>
      <c r="K710" s="75" t="s">
        <v>1544</v>
      </c>
      <c r="L710" s="152" t="b">
        <v>1</v>
      </c>
      <c r="M710" s="152" t="b">
        <v>1</v>
      </c>
      <c r="N710" s="212" t="s">
        <v>3445</v>
      </c>
      <c r="O710" s="213" t="s">
        <v>1554</v>
      </c>
      <c r="P710" s="47" t="b">
        <v>0</v>
      </c>
      <c r="Q710" s="47" t="b">
        <v>0</v>
      </c>
      <c r="R710" s="214"/>
      <c r="S710" s="77">
        <v>0.0</v>
      </c>
      <c r="T710" s="214"/>
      <c r="U710" s="215"/>
      <c r="V710" s="215"/>
      <c r="W710" s="214"/>
      <c r="X710" s="214"/>
      <c r="Y710" s="77">
        <v>160000.0</v>
      </c>
      <c r="Z710" s="77"/>
    </row>
    <row r="711">
      <c r="A711" s="145" t="s">
        <v>1689</v>
      </c>
      <c r="C711" s="145" t="s">
        <v>1543</v>
      </c>
      <c r="D711" s="75" t="s">
        <v>1601</v>
      </c>
      <c r="E711" s="75" t="s">
        <v>1544</v>
      </c>
      <c r="F711" s="211" t="s">
        <v>2910</v>
      </c>
      <c r="G711" s="145" t="s">
        <v>3446</v>
      </c>
      <c r="H711" s="211" t="s">
        <v>87</v>
      </c>
      <c r="I711" s="145" t="s">
        <v>2913</v>
      </c>
      <c r="J711" s="211" t="s">
        <v>3162</v>
      </c>
      <c r="K711" s="75" t="s">
        <v>1544</v>
      </c>
      <c r="L711" s="152" t="b">
        <v>1</v>
      </c>
      <c r="M711" s="152" t="b">
        <v>1</v>
      </c>
      <c r="N711" s="212" t="s">
        <v>3447</v>
      </c>
      <c r="O711" s="213" t="s">
        <v>1554</v>
      </c>
      <c r="P711" s="47" t="b">
        <v>1</v>
      </c>
      <c r="Q711" s="47" t="b">
        <v>0</v>
      </c>
      <c r="R711" s="214"/>
      <c r="S711" s="77">
        <v>0.0</v>
      </c>
      <c r="T711" s="214"/>
      <c r="U711" s="215"/>
      <c r="V711" s="215"/>
      <c r="W711" s="214"/>
      <c r="X711" s="218"/>
      <c r="Y711" s="77">
        <v>50000.0</v>
      </c>
      <c r="Z711" s="77"/>
    </row>
    <row r="712">
      <c r="A712" s="145" t="s">
        <v>657</v>
      </c>
      <c r="B712" s="145" t="s">
        <v>657</v>
      </c>
      <c r="C712" s="145" t="s">
        <v>3148</v>
      </c>
      <c r="D712" s="75" t="s">
        <v>1544</v>
      </c>
      <c r="E712" s="75" t="s">
        <v>1544</v>
      </c>
      <c r="F712" s="211" t="s">
        <v>1557</v>
      </c>
      <c r="G712" s="145" t="s">
        <v>2543</v>
      </c>
      <c r="H712" s="211" t="s">
        <v>625</v>
      </c>
      <c r="I712" s="145" t="s">
        <v>624</v>
      </c>
      <c r="J712" s="211" t="s">
        <v>1561</v>
      </c>
      <c r="K712" s="75" t="s">
        <v>1544</v>
      </c>
      <c r="L712" s="152" t="b">
        <v>1</v>
      </c>
      <c r="M712" s="152" t="b">
        <v>0</v>
      </c>
      <c r="N712" s="212" t="s">
        <v>3448</v>
      </c>
      <c r="O712" s="213" t="s">
        <v>1554</v>
      </c>
      <c r="P712" s="47" t="b">
        <v>1</v>
      </c>
      <c r="Q712" s="47" t="b">
        <v>0</v>
      </c>
      <c r="R712" s="214"/>
      <c r="S712" s="77">
        <v>0.0</v>
      </c>
      <c r="T712" s="76" t="s">
        <v>1184</v>
      </c>
      <c r="U712" s="78">
        <v>4.9734401E7</v>
      </c>
      <c r="V712" s="78">
        <v>86.0</v>
      </c>
      <c r="W712" s="77">
        <v>5.0E7</v>
      </c>
      <c r="X712" s="216">
        <v>5.0E9</v>
      </c>
      <c r="Y712" s="216">
        <v>6000000.0</v>
      </c>
      <c r="Z712" s="77"/>
    </row>
    <row r="713">
      <c r="A713" s="145" t="s">
        <v>259</v>
      </c>
      <c r="B713" s="145" t="s">
        <v>1679</v>
      </c>
      <c r="C713" s="145" t="s">
        <v>1543</v>
      </c>
      <c r="D713" s="75" t="s">
        <v>1544</v>
      </c>
      <c r="E713" s="75" t="s">
        <v>1544</v>
      </c>
      <c r="F713" s="211" t="s">
        <v>3449</v>
      </c>
      <c r="G713" s="145" t="s">
        <v>849</v>
      </c>
      <c r="H713" s="211" t="s">
        <v>77</v>
      </c>
      <c r="I713" s="145" t="s">
        <v>174</v>
      </c>
      <c r="J713" s="211" t="s">
        <v>1597</v>
      </c>
      <c r="K713" s="75" t="s">
        <v>1544</v>
      </c>
      <c r="L713" s="152" t="b">
        <v>1</v>
      </c>
      <c r="M713" s="152" t="b">
        <v>0</v>
      </c>
      <c r="N713" s="212" t="s">
        <v>3450</v>
      </c>
      <c r="O713" s="213" t="s">
        <v>1554</v>
      </c>
      <c r="P713" s="47" t="b">
        <v>1</v>
      </c>
      <c r="Q713" s="47" t="b">
        <v>0</v>
      </c>
      <c r="R713" s="214"/>
      <c r="S713" s="77">
        <v>0.0</v>
      </c>
      <c r="T713" s="76" t="s">
        <v>1187</v>
      </c>
      <c r="U713" s="78">
        <v>1.0866789E7</v>
      </c>
      <c r="V713" s="215"/>
      <c r="W713" s="77">
        <v>1.0E7</v>
      </c>
      <c r="X713" s="216">
        <v>100000.0</v>
      </c>
      <c r="Y713" s="77">
        <v>243454.0</v>
      </c>
      <c r="Z713" s="77"/>
    </row>
    <row r="714">
      <c r="A714" s="145" t="s">
        <v>863</v>
      </c>
      <c r="B714" s="145" t="s">
        <v>863</v>
      </c>
      <c r="C714" s="145" t="s">
        <v>3148</v>
      </c>
      <c r="D714" s="75" t="s">
        <v>1544</v>
      </c>
      <c r="E714" s="75" t="s">
        <v>1544</v>
      </c>
      <c r="F714" s="211" t="s">
        <v>1602</v>
      </c>
      <c r="G714" s="145" t="s">
        <v>864</v>
      </c>
      <c r="H714" s="211" t="s">
        <v>87</v>
      </c>
      <c r="I714" s="145" t="s">
        <v>267</v>
      </c>
      <c r="J714" s="211" t="s">
        <v>1603</v>
      </c>
      <c r="K714" s="75" t="s">
        <v>1544</v>
      </c>
      <c r="L714" s="152" t="b">
        <v>1</v>
      </c>
      <c r="M714" s="152" t="b">
        <v>0</v>
      </c>
      <c r="N714" s="212" t="s">
        <v>3451</v>
      </c>
      <c r="O714" s="213" t="s">
        <v>1554</v>
      </c>
      <c r="P714" s="47" t="b">
        <v>0</v>
      </c>
      <c r="Q714" s="47" t="b">
        <v>0</v>
      </c>
      <c r="R714" s="214"/>
      <c r="S714" s="77">
        <v>0.0</v>
      </c>
      <c r="T714" s="76" t="s">
        <v>1184</v>
      </c>
      <c r="U714" s="215"/>
      <c r="V714" s="215"/>
      <c r="W714" s="218"/>
      <c r="X714" s="218"/>
      <c r="Y714" s="77">
        <v>1.0</v>
      </c>
      <c r="Z714" s="77"/>
    </row>
    <row r="715">
      <c r="A715" s="145" t="s">
        <v>234</v>
      </c>
      <c r="B715" s="145" t="s">
        <v>234</v>
      </c>
      <c r="C715" s="145" t="s">
        <v>3452</v>
      </c>
      <c r="D715" s="75" t="s">
        <v>1544</v>
      </c>
      <c r="E715" s="75" t="s">
        <v>1544</v>
      </c>
      <c r="F715" s="211" t="s">
        <v>3453</v>
      </c>
      <c r="G715" s="145" t="s">
        <v>985</v>
      </c>
      <c r="H715" s="211" t="s">
        <v>1018</v>
      </c>
      <c r="I715" s="145" t="s">
        <v>113</v>
      </c>
      <c r="J715" s="211" t="s">
        <v>2377</v>
      </c>
      <c r="K715" s="75" t="s">
        <v>1544</v>
      </c>
      <c r="L715" s="152" t="b">
        <v>1</v>
      </c>
      <c r="M715" s="152" t="b">
        <v>0</v>
      </c>
      <c r="N715" s="212" t="s">
        <v>3454</v>
      </c>
      <c r="O715" s="213" t="s">
        <v>1554</v>
      </c>
      <c r="P715" s="47" t="b">
        <v>1</v>
      </c>
      <c r="Q715" s="47" t="b">
        <v>0</v>
      </c>
      <c r="R715" s="214"/>
      <c r="S715" s="77">
        <v>0.0</v>
      </c>
      <c r="T715" s="76" t="s">
        <v>1161</v>
      </c>
      <c r="U715" s="78">
        <v>1.0E9</v>
      </c>
      <c r="V715" s="78">
        <v>9.0</v>
      </c>
      <c r="W715" s="216">
        <v>1.0E9</v>
      </c>
      <c r="X715" s="216">
        <v>8000000.0</v>
      </c>
      <c r="Y715" s="77">
        <v>438989.0</v>
      </c>
      <c r="Z715" s="77"/>
    </row>
    <row r="716">
      <c r="A716" s="145" t="s">
        <v>708</v>
      </c>
      <c r="B716" s="145" t="s">
        <v>708</v>
      </c>
      <c r="C716" s="145" t="s">
        <v>3452</v>
      </c>
      <c r="D716" s="75" t="s">
        <v>1544</v>
      </c>
      <c r="E716" s="75" t="s">
        <v>1544</v>
      </c>
      <c r="F716" s="211" t="s">
        <v>1602</v>
      </c>
      <c r="G716" s="145" t="s">
        <v>873</v>
      </c>
      <c r="H716" s="211" t="s">
        <v>87</v>
      </c>
      <c r="I716" s="145" t="s">
        <v>267</v>
      </c>
      <c r="J716" s="211" t="s">
        <v>1603</v>
      </c>
      <c r="K716" s="75" t="s">
        <v>1544</v>
      </c>
      <c r="L716" s="152" t="b">
        <v>1</v>
      </c>
      <c r="M716" s="152" t="b">
        <v>0</v>
      </c>
      <c r="N716" s="217"/>
      <c r="O716" s="213" t="s">
        <v>1554</v>
      </c>
      <c r="P716" s="47" t="b">
        <v>0</v>
      </c>
      <c r="Q716" s="47" t="b">
        <v>0</v>
      </c>
      <c r="R716" s="214"/>
      <c r="S716" s="77">
        <v>0.0</v>
      </c>
      <c r="T716" s="235" t="s">
        <v>1161</v>
      </c>
      <c r="U716" s="215"/>
      <c r="V716" s="215"/>
      <c r="W716" s="218"/>
      <c r="X716" s="218"/>
      <c r="Y716" s="77">
        <v>1.0</v>
      </c>
      <c r="Z716" s="77"/>
    </row>
    <row r="717">
      <c r="A717" s="145" t="s">
        <v>224</v>
      </c>
      <c r="B717" s="145" t="s">
        <v>224</v>
      </c>
      <c r="C717" s="145" t="s">
        <v>3452</v>
      </c>
      <c r="D717" s="75" t="s">
        <v>1544</v>
      </c>
      <c r="E717" s="75" t="s">
        <v>1544</v>
      </c>
      <c r="F717" s="211" t="s">
        <v>3455</v>
      </c>
      <c r="G717" s="145" t="s">
        <v>847</v>
      </c>
      <c r="H717" s="211" t="s">
        <v>77</v>
      </c>
      <c r="I717" s="145" t="s">
        <v>249</v>
      </c>
      <c r="J717" s="211" t="s">
        <v>2377</v>
      </c>
      <c r="K717" s="75" t="s">
        <v>1601</v>
      </c>
      <c r="L717" s="152" t="b">
        <v>1</v>
      </c>
      <c r="M717" s="152" t="b">
        <v>0</v>
      </c>
      <c r="N717" s="212" t="s">
        <v>3456</v>
      </c>
      <c r="O717" s="213" t="s">
        <v>1554</v>
      </c>
      <c r="P717" s="47" t="b">
        <v>1</v>
      </c>
      <c r="Q717" s="47" t="b">
        <v>0</v>
      </c>
      <c r="R717" s="214"/>
      <c r="S717" s="77">
        <v>0.0</v>
      </c>
      <c r="T717" s="235" t="s">
        <v>1161</v>
      </c>
      <c r="U717" s="78">
        <v>1.0E9</v>
      </c>
      <c r="V717" s="78">
        <v>14.0</v>
      </c>
      <c r="W717" s="216">
        <v>1.0E9</v>
      </c>
      <c r="X717" s="216">
        <v>1.0E7</v>
      </c>
      <c r="Y717" s="77">
        <v>526178.0</v>
      </c>
      <c r="Z717" s="77"/>
    </row>
    <row r="718">
      <c r="A718" s="145" t="s">
        <v>27</v>
      </c>
      <c r="B718" s="145" t="s">
        <v>27</v>
      </c>
      <c r="C718" s="145" t="s">
        <v>3452</v>
      </c>
      <c r="D718" s="75" t="s">
        <v>1544</v>
      </c>
      <c r="E718" s="75" t="s">
        <v>1544</v>
      </c>
      <c r="F718" s="211" t="s">
        <v>1796</v>
      </c>
      <c r="G718" s="145" t="s">
        <v>3457</v>
      </c>
      <c r="H718" s="211" t="s">
        <v>907</v>
      </c>
      <c r="I718" s="145" t="s">
        <v>25</v>
      </c>
      <c r="J718" s="211" t="s">
        <v>3021</v>
      </c>
      <c r="K718" s="75" t="s">
        <v>1544</v>
      </c>
      <c r="L718" s="152" t="b">
        <v>1</v>
      </c>
      <c r="M718" s="152" t="b">
        <v>0</v>
      </c>
      <c r="N718" s="212" t="s">
        <v>3458</v>
      </c>
      <c r="O718" s="213" t="s">
        <v>1554</v>
      </c>
      <c r="P718" s="47" t="b">
        <v>1</v>
      </c>
      <c r="Q718" s="47" t="b">
        <v>0</v>
      </c>
      <c r="R718" s="214"/>
      <c r="S718" s="77">
        <v>0.0</v>
      </c>
      <c r="T718" s="76" t="s">
        <v>1161</v>
      </c>
      <c r="U718" s="78">
        <v>1.0E9</v>
      </c>
      <c r="V718" s="78">
        <v>0.0</v>
      </c>
      <c r="W718" s="216">
        <v>1.0E9</v>
      </c>
      <c r="X718" s="216">
        <v>1.0E7</v>
      </c>
      <c r="Y718" s="77">
        <v>1000000.0</v>
      </c>
      <c r="Z718" s="77"/>
    </row>
    <row r="719">
      <c r="A719" s="145" t="s">
        <v>758</v>
      </c>
      <c r="B719" s="145" t="s">
        <v>758</v>
      </c>
      <c r="C719" s="145" t="s">
        <v>3459</v>
      </c>
      <c r="D719" s="75" t="s">
        <v>1544</v>
      </c>
      <c r="E719" s="75" t="s">
        <v>1544</v>
      </c>
      <c r="F719" s="211" t="s">
        <v>2311</v>
      </c>
      <c r="G719" s="145" t="s">
        <v>3460</v>
      </c>
      <c r="H719" s="211" t="s">
        <v>586</v>
      </c>
      <c r="I719" s="145" t="s">
        <v>674</v>
      </c>
      <c r="J719" s="211" t="s">
        <v>1561</v>
      </c>
      <c r="K719" s="75" t="s">
        <v>1544</v>
      </c>
      <c r="L719" s="152" t="b">
        <v>1</v>
      </c>
      <c r="M719" s="152" t="b">
        <v>1</v>
      </c>
      <c r="N719" s="212" t="s">
        <v>3461</v>
      </c>
      <c r="O719" s="213" t="s">
        <v>1554</v>
      </c>
      <c r="P719" s="47" t="b">
        <v>1</v>
      </c>
      <c r="Q719" s="47" t="b">
        <v>0</v>
      </c>
      <c r="R719" s="214"/>
      <c r="S719" s="77">
        <v>0.0</v>
      </c>
      <c r="T719" s="76" t="s">
        <v>1179</v>
      </c>
      <c r="U719" s="78">
        <v>4.0E7</v>
      </c>
      <c r="V719" s="215"/>
      <c r="W719" s="216">
        <v>4.0E7</v>
      </c>
      <c r="X719" s="216">
        <v>280000.0</v>
      </c>
      <c r="Y719" s="77">
        <v>200000.0</v>
      </c>
      <c r="Z719" s="77"/>
    </row>
    <row r="720">
      <c r="A720" s="145" t="s">
        <v>239</v>
      </c>
      <c r="B720" s="145" t="s">
        <v>239</v>
      </c>
      <c r="C720" s="145" t="s">
        <v>3459</v>
      </c>
      <c r="D720" s="75" t="s">
        <v>1544</v>
      </c>
      <c r="E720" s="75" t="s">
        <v>1544</v>
      </c>
      <c r="F720" s="211" t="s">
        <v>1721</v>
      </c>
      <c r="G720" s="145" t="s">
        <v>3462</v>
      </c>
      <c r="H720" s="211" t="s">
        <v>1018</v>
      </c>
      <c r="I720" s="145" t="s">
        <v>66</v>
      </c>
      <c r="J720" s="211" t="s">
        <v>1609</v>
      </c>
      <c r="K720" s="75" t="s">
        <v>1544</v>
      </c>
      <c r="L720" s="152" t="b">
        <v>1</v>
      </c>
      <c r="M720" s="152" t="b">
        <v>1</v>
      </c>
      <c r="N720" s="212" t="s">
        <v>3463</v>
      </c>
      <c r="O720" s="213" t="s">
        <v>1554</v>
      </c>
      <c r="P720" s="47" t="b">
        <v>1</v>
      </c>
      <c r="Q720" s="47" t="b">
        <v>0</v>
      </c>
      <c r="R720" s="214"/>
      <c r="S720" s="77">
        <v>0.0</v>
      </c>
      <c r="T720" s="76" t="s">
        <v>1179</v>
      </c>
      <c r="U720" s="78">
        <v>2.0E7</v>
      </c>
      <c r="V720" s="215"/>
      <c r="W720" s="216">
        <v>2.0E7</v>
      </c>
      <c r="X720" s="216">
        <v>160000.0</v>
      </c>
      <c r="Y720" s="77">
        <v>64000.0</v>
      </c>
      <c r="Z720" s="77"/>
    </row>
    <row r="721">
      <c r="A721" s="145" t="s">
        <v>2530</v>
      </c>
      <c r="B721" s="145" t="s">
        <v>2530</v>
      </c>
      <c r="C721" s="145" t="s">
        <v>3459</v>
      </c>
      <c r="D721" s="75" t="s">
        <v>1544</v>
      </c>
      <c r="E721" s="75" t="s">
        <v>1544</v>
      </c>
      <c r="F721" s="211" t="s">
        <v>1557</v>
      </c>
      <c r="G721" s="145" t="s">
        <v>3464</v>
      </c>
      <c r="H721" s="211" t="s">
        <v>625</v>
      </c>
      <c r="I721" s="145" t="s">
        <v>624</v>
      </c>
      <c r="J721" s="211" t="s">
        <v>1561</v>
      </c>
      <c r="K721" s="75" t="s">
        <v>1544</v>
      </c>
      <c r="L721" s="152" t="b">
        <v>1</v>
      </c>
      <c r="M721" s="152" t="b">
        <v>1</v>
      </c>
      <c r="N721" s="212" t="s">
        <v>3465</v>
      </c>
      <c r="O721" s="213" t="s">
        <v>1554</v>
      </c>
      <c r="P721" s="47" t="b">
        <v>1</v>
      </c>
      <c r="Q721" s="47" t="b">
        <v>0</v>
      </c>
      <c r="R721" s="214"/>
      <c r="S721" s="77">
        <v>0.0</v>
      </c>
      <c r="T721" s="235" t="s">
        <v>1179</v>
      </c>
      <c r="U721" s="78">
        <v>2.0E7</v>
      </c>
      <c r="V721" s="215"/>
      <c r="W721" s="216">
        <v>2.0E7</v>
      </c>
      <c r="X721" s="216">
        <v>2.0E9</v>
      </c>
      <c r="Y721" s="216">
        <v>6000000.0</v>
      </c>
      <c r="Z721" s="77"/>
    </row>
    <row r="722">
      <c r="A722" s="145" t="s">
        <v>2533</v>
      </c>
      <c r="B722" s="145" t="s">
        <v>2533</v>
      </c>
      <c r="C722" s="145" t="s">
        <v>3459</v>
      </c>
      <c r="D722" s="75" t="s">
        <v>1544</v>
      </c>
      <c r="E722" s="75" t="s">
        <v>1544</v>
      </c>
      <c r="F722" s="211" t="s">
        <v>1645</v>
      </c>
      <c r="G722" s="145" t="s">
        <v>3466</v>
      </c>
      <c r="H722" s="211" t="s">
        <v>907</v>
      </c>
      <c r="I722" s="145" t="s">
        <v>54</v>
      </c>
      <c r="J722" s="211" t="s">
        <v>1609</v>
      </c>
      <c r="K722" s="75" t="s">
        <v>1544</v>
      </c>
      <c r="L722" s="152" t="b">
        <v>1</v>
      </c>
      <c r="M722" s="152" t="b">
        <v>1</v>
      </c>
      <c r="N722" s="212" t="s">
        <v>3467</v>
      </c>
      <c r="O722" s="213" t="s">
        <v>1554</v>
      </c>
      <c r="P722" s="47" t="b">
        <v>1</v>
      </c>
      <c r="Q722" s="47" t="b">
        <v>0</v>
      </c>
      <c r="R722" s="214"/>
      <c r="S722" s="77">
        <v>0.0</v>
      </c>
      <c r="T722" s="76" t="s">
        <v>1179</v>
      </c>
      <c r="U722" s="78">
        <v>2.0E7</v>
      </c>
      <c r="V722" s="215"/>
      <c r="W722" s="216">
        <v>2.0E7</v>
      </c>
      <c r="X722" s="216">
        <v>200000.0</v>
      </c>
      <c r="Y722" s="77">
        <v>80000.0</v>
      </c>
      <c r="Z722" s="77"/>
    </row>
    <row r="723">
      <c r="A723" s="145" t="s">
        <v>2536</v>
      </c>
      <c r="B723" s="145" t="s">
        <v>2536</v>
      </c>
      <c r="C723" s="145" t="s">
        <v>3459</v>
      </c>
      <c r="D723" s="75" t="s">
        <v>1544</v>
      </c>
      <c r="E723" s="75" t="s">
        <v>1544</v>
      </c>
      <c r="F723" s="211" t="s">
        <v>1547</v>
      </c>
      <c r="G723" s="145" t="s">
        <v>3468</v>
      </c>
      <c r="H723" s="211" t="s">
        <v>77</v>
      </c>
      <c r="I723" s="145" t="s">
        <v>249</v>
      </c>
      <c r="J723" s="211" t="s">
        <v>1549</v>
      </c>
      <c r="K723" s="75" t="s">
        <v>1544</v>
      </c>
      <c r="L723" s="152" t="b">
        <v>1</v>
      </c>
      <c r="M723" s="152" t="b">
        <v>1</v>
      </c>
      <c r="N723" s="212" t="s">
        <v>3469</v>
      </c>
      <c r="O723" s="213" t="s">
        <v>1554</v>
      </c>
      <c r="P723" s="47" t="b">
        <v>1</v>
      </c>
      <c r="Q723" s="47" t="b">
        <v>0</v>
      </c>
      <c r="R723" s="214"/>
      <c r="S723" s="77">
        <v>0.0</v>
      </c>
      <c r="T723" s="235" t="s">
        <v>1179</v>
      </c>
      <c r="U723" s="78">
        <v>2.0E7</v>
      </c>
      <c r="V723" s="215"/>
      <c r="W723" s="216">
        <v>2.0E7</v>
      </c>
      <c r="X723" s="216">
        <v>200000.0</v>
      </c>
      <c r="Y723" s="77">
        <v>40000.0</v>
      </c>
      <c r="Z723" s="77"/>
    </row>
    <row r="724">
      <c r="A724" s="145" t="s">
        <v>833</v>
      </c>
      <c r="B724" s="145" t="s">
        <v>833</v>
      </c>
      <c r="C724" s="145" t="s">
        <v>3470</v>
      </c>
      <c r="D724" s="75" t="s">
        <v>1544</v>
      </c>
      <c r="E724" s="75" t="s">
        <v>1544</v>
      </c>
      <c r="F724" s="211" t="s">
        <v>1602</v>
      </c>
      <c r="G724" s="145" t="s">
        <v>834</v>
      </c>
      <c r="H724" s="211" t="s">
        <v>87</v>
      </c>
      <c r="I724" s="145" t="s">
        <v>267</v>
      </c>
      <c r="J724" s="211" t="s">
        <v>1603</v>
      </c>
      <c r="K724" s="75" t="s">
        <v>1544</v>
      </c>
      <c r="L724" s="152" t="b">
        <v>1</v>
      </c>
      <c r="M724" s="152" t="b">
        <v>1</v>
      </c>
      <c r="N724" s="217"/>
      <c r="O724" s="213" t="s">
        <v>1554</v>
      </c>
      <c r="P724" s="47" t="b">
        <v>0</v>
      </c>
      <c r="Q724" s="47" t="b">
        <v>0</v>
      </c>
      <c r="R724" s="214"/>
      <c r="S724" s="77">
        <v>0.0</v>
      </c>
      <c r="T724" s="76" t="s">
        <v>1179</v>
      </c>
      <c r="U724" s="215"/>
      <c r="V724" s="215"/>
      <c r="W724" s="214"/>
      <c r="X724" s="218"/>
      <c r="Y724" s="77">
        <v>1.0</v>
      </c>
      <c r="Z724" s="77"/>
    </row>
    <row r="725">
      <c r="A725" s="145" t="s">
        <v>1035</v>
      </c>
      <c r="B725" s="145" t="s">
        <v>1035</v>
      </c>
      <c r="C725" s="145" t="s">
        <v>3179</v>
      </c>
      <c r="D725" s="75" t="s">
        <v>1544</v>
      </c>
      <c r="E725" s="75" t="s">
        <v>1544</v>
      </c>
      <c r="F725" s="211" t="s">
        <v>1721</v>
      </c>
      <c r="G725" s="145" t="s">
        <v>1036</v>
      </c>
      <c r="H725" s="211" t="s">
        <v>1018</v>
      </c>
      <c r="I725" s="145" t="s">
        <v>75</v>
      </c>
      <c r="J725" s="211" t="s">
        <v>1609</v>
      </c>
      <c r="K725" s="75" t="s">
        <v>1544</v>
      </c>
      <c r="L725" s="152" t="b">
        <v>1</v>
      </c>
      <c r="M725" s="152" t="b">
        <v>0</v>
      </c>
      <c r="N725" s="212" t="s">
        <v>3471</v>
      </c>
      <c r="O725" s="213" t="s">
        <v>1554</v>
      </c>
      <c r="P725" s="47" t="b">
        <v>1</v>
      </c>
      <c r="Q725" s="47" t="b">
        <v>0</v>
      </c>
      <c r="R725" s="214"/>
      <c r="S725" s="77">
        <v>0.0</v>
      </c>
      <c r="T725" s="76" t="s">
        <v>1179</v>
      </c>
      <c r="U725" s="78">
        <v>2.0E7</v>
      </c>
      <c r="V725" s="78">
        <v>0.0</v>
      </c>
      <c r="W725" s="77">
        <v>2.0E7</v>
      </c>
      <c r="X725" s="216">
        <v>160000.0</v>
      </c>
      <c r="Y725" s="77">
        <v>64000.0</v>
      </c>
      <c r="Z725" s="77"/>
    </row>
    <row r="726">
      <c r="A726" s="145" t="s">
        <v>1061</v>
      </c>
      <c r="B726" s="145" t="s">
        <v>1061</v>
      </c>
      <c r="C726" s="145" t="s">
        <v>3148</v>
      </c>
      <c r="D726" s="75" t="s">
        <v>1544</v>
      </c>
      <c r="E726" s="75" t="s">
        <v>1544</v>
      </c>
      <c r="F726" s="211" t="s">
        <v>3472</v>
      </c>
      <c r="G726" s="145" t="s">
        <v>1062</v>
      </c>
      <c r="H726" s="211" t="s">
        <v>87</v>
      </c>
      <c r="I726" s="145" t="s">
        <v>267</v>
      </c>
      <c r="J726" s="211" t="s">
        <v>3473</v>
      </c>
      <c r="K726" s="75" t="s">
        <v>1544</v>
      </c>
      <c r="L726" s="152" t="b">
        <v>1</v>
      </c>
      <c r="M726" s="152" t="b">
        <v>0</v>
      </c>
      <c r="N726" s="212" t="s">
        <v>3474</v>
      </c>
      <c r="O726" s="213" t="s">
        <v>1554</v>
      </c>
      <c r="P726" s="47" t="b">
        <v>0</v>
      </c>
      <c r="Q726" s="47" t="b">
        <v>0</v>
      </c>
      <c r="R726" s="214"/>
      <c r="S726" s="77">
        <v>0.0</v>
      </c>
      <c r="T726" s="76" t="s">
        <v>1184</v>
      </c>
      <c r="U726" s="215"/>
      <c r="V726" s="215"/>
      <c r="W726" s="214"/>
      <c r="X726" s="218"/>
      <c r="Y726" s="216">
        <v>1.5E7</v>
      </c>
      <c r="Z726" s="77"/>
    </row>
    <row r="727">
      <c r="A727" s="145" t="s">
        <v>2711</v>
      </c>
      <c r="B727" s="145" t="s">
        <v>2711</v>
      </c>
      <c r="C727" s="145" t="s">
        <v>317</v>
      </c>
      <c r="D727" s="75" t="s">
        <v>1544</v>
      </c>
      <c r="E727" s="75" t="s">
        <v>1544</v>
      </c>
      <c r="F727" s="211" t="s">
        <v>1637</v>
      </c>
      <c r="G727" s="145" t="s">
        <v>3475</v>
      </c>
      <c r="H727" s="211" t="s">
        <v>77</v>
      </c>
      <c r="I727" s="145" t="s">
        <v>140</v>
      </c>
      <c r="J727" s="211" t="s">
        <v>1639</v>
      </c>
      <c r="K727" s="75" t="s">
        <v>1544</v>
      </c>
      <c r="L727" s="152" t="b">
        <v>1</v>
      </c>
      <c r="M727" s="152" t="b">
        <v>0</v>
      </c>
      <c r="N727" s="212" t="s">
        <v>3476</v>
      </c>
      <c r="O727" s="213" t="s">
        <v>1554</v>
      </c>
      <c r="P727" s="47" t="b">
        <v>1</v>
      </c>
      <c r="Q727" s="47" t="b">
        <v>0</v>
      </c>
      <c r="R727" s="214"/>
      <c r="S727" s="77">
        <v>0.0</v>
      </c>
      <c r="T727" s="76" t="s">
        <v>1162</v>
      </c>
      <c r="U727" s="78">
        <v>1.0E7</v>
      </c>
      <c r="V727" s="78">
        <v>0.0</v>
      </c>
      <c r="W727" s="216">
        <v>1.0E7</v>
      </c>
      <c r="X727" s="77">
        <v>100000.0</v>
      </c>
      <c r="Y727" s="77">
        <v>60000.0</v>
      </c>
      <c r="Z727" s="77"/>
    </row>
    <row r="728">
      <c r="A728" s="145" t="s">
        <v>2682</v>
      </c>
      <c r="B728" s="145" t="s">
        <v>2682</v>
      </c>
      <c r="C728" s="145" t="s">
        <v>317</v>
      </c>
      <c r="D728" s="75" t="s">
        <v>1544</v>
      </c>
      <c r="E728" s="75" t="s">
        <v>1544</v>
      </c>
      <c r="F728" s="211" t="s">
        <v>1851</v>
      </c>
      <c r="G728" s="145" t="s">
        <v>3477</v>
      </c>
      <c r="H728" s="211" t="s">
        <v>1018</v>
      </c>
      <c r="I728" s="145" t="s">
        <v>75</v>
      </c>
      <c r="J728" s="211" t="s">
        <v>1639</v>
      </c>
      <c r="K728" s="75" t="s">
        <v>1544</v>
      </c>
      <c r="L728" s="152" t="b">
        <v>1</v>
      </c>
      <c r="M728" s="152" t="b">
        <v>0</v>
      </c>
      <c r="N728" s="212" t="s">
        <v>3478</v>
      </c>
      <c r="O728" s="213" t="s">
        <v>1554</v>
      </c>
      <c r="P728" s="47" t="b">
        <v>1</v>
      </c>
      <c r="Q728" s="47" t="b">
        <v>0</v>
      </c>
      <c r="R728" s="214"/>
      <c r="S728" s="77">
        <v>0.0</v>
      </c>
      <c r="T728" s="76" t="s">
        <v>1162</v>
      </c>
      <c r="U728" s="78">
        <v>1.0E7</v>
      </c>
      <c r="V728" s="78">
        <v>0.0</v>
      </c>
      <c r="W728" s="216">
        <v>1.0E7</v>
      </c>
      <c r="X728" s="77">
        <v>80000.0</v>
      </c>
      <c r="Y728" s="77">
        <v>48000.0</v>
      </c>
      <c r="Z728" s="77"/>
    </row>
    <row r="729">
      <c r="A729" s="145" t="s">
        <v>976</v>
      </c>
      <c r="B729" s="145" t="s">
        <v>976</v>
      </c>
      <c r="C729" s="145" t="s">
        <v>3148</v>
      </c>
      <c r="D729" s="75" t="s">
        <v>1544</v>
      </c>
      <c r="E729" s="75" t="s">
        <v>1544</v>
      </c>
      <c r="F729" s="211" t="s">
        <v>87</v>
      </c>
      <c r="G729" s="145" t="s">
        <v>977</v>
      </c>
      <c r="H729" s="211" t="s">
        <v>87</v>
      </c>
      <c r="I729" s="145" t="s">
        <v>267</v>
      </c>
      <c r="J729" s="211" t="s">
        <v>87</v>
      </c>
      <c r="K729" s="75" t="s">
        <v>1544</v>
      </c>
      <c r="L729" s="152" t="b">
        <v>1</v>
      </c>
      <c r="M729" s="152" t="b">
        <v>0</v>
      </c>
      <c r="N729" s="212" t="s">
        <v>3479</v>
      </c>
      <c r="O729" s="213" t="s">
        <v>1554</v>
      </c>
      <c r="P729" s="47" t="b">
        <v>0</v>
      </c>
      <c r="Q729" s="47" t="b">
        <v>0</v>
      </c>
      <c r="R729" s="214"/>
      <c r="S729" s="77">
        <v>0.0</v>
      </c>
      <c r="T729" s="76" t="s">
        <v>1184</v>
      </c>
      <c r="U729" s="215"/>
      <c r="V729" s="215"/>
      <c r="W729" s="218"/>
      <c r="X729" s="218"/>
      <c r="Y729" s="77">
        <v>0.0</v>
      </c>
      <c r="Z729" s="77"/>
    </row>
    <row r="730">
      <c r="A730" s="145" t="s">
        <v>838</v>
      </c>
      <c r="B730" s="145" t="s">
        <v>838</v>
      </c>
      <c r="C730" s="145" t="s">
        <v>3470</v>
      </c>
      <c r="D730" s="75" t="s">
        <v>1544</v>
      </c>
      <c r="E730" s="75" t="s">
        <v>1544</v>
      </c>
      <c r="F730" s="211" t="s">
        <v>3480</v>
      </c>
      <c r="G730" s="145" t="s">
        <v>931</v>
      </c>
      <c r="H730" s="211" t="s">
        <v>586</v>
      </c>
      <c r="I730" s="145" t="s">
        <v>162</v>
      </c>
      <c r="J730" s="211" t="s">
        <v>3092</v>
      </c>
      <c r="K730" s="75" t="s">
        <v>1544</v>
      </c>
      <c r="L730" s="152" t="b">
        <v>1</v>
      </c>
      <c r="M730" s="152" t="b">
        <v>1</v>
      </c>
      <c r="N730" s="212" t="s">
        <v>3481</v>
      </c>
      <c r="O730" s="213" t="s">
        <v>1554</v>
      </c>
      <c r="P730" s="47" t="b">
        <v>1</v>
      </c>
      <c r="Q730" s="47" t="b">
        <v>0</v>
      </c>
      <c r="R730" s="214"/>
      <c r="S730" s="77">
        <v>0.0</v>
      </c>
      <c r="T730" s="76" t="s">
        <v>1179</v>
      </c>
      <c r="U730" s="78">
        <v>3.15E8</v>
      </c>
      <c r="V730" s="215"/>
      <c r="W730" s="216">
        <v>3.16E8</v>
      </c>
      <c r="X730" s="216">
        <v>2212000.0</v>
      </c>
      <c r="Y730" s="77">
        <v>420000.0</v>
      </c>
      <c r="Z730" s="77"/>
    </row>
    <row r="731">
      <c r="A731" s="145" t="s">
        <v>2523</v>
      </c>
      <c r="B731" s="145" t="s">
        <v>1788</v>
      </c>
      <c r="C731" s="145" t="s">
        <v>1543</v>
      </c>
      <c r="D731" s="75" t="s">
        <v>1544</v>
      </c>
      <c r="E731" s="75" t="s">
        <v>1544</v>
      </c>
      <c r="F731" s="211" t="s">
        <v>1547</v>
      </c>
      <c r="G731" s="145" t="s">
        <v>2525</v>
      </c>
      <c r="H731" s="211" t="s">
        <v>907</v>
      </c>
      <c r="I731" s="145" t="s">
        <v>25</v>
      </c>
      <c r="J731" s="211" t="s">
        <v>1549</v>
      </c>
      <c r="K731" s="75" t="s">
        <v>1544</v>
      </c>
      <c r="L731" s="152" t="b">
        <v>1</v>
      </c>
      <c r="M731" s="152" t="b">
        <v>0</v>
      </c>
      <c r="N731" s="212" t="s">
        <v>3482</v>
      </c>
      <c r="O731" s="213" t="s">
        <v>1554</v>
      </c>
      <c r="P731" s="47" t="b">
        <v>1</v>
      </c>
      <c r="Q731" s="47" t="b">
        <v>0</v>
      </c>
      <c r="R731" s="214"/>
      <c r="S731" s="77">
        <v>0.0</v>
      </c>
      <c r="T731" s="76" t="s">
        <v>1179</v>
      </c>
      <c r="U731" s="78">
        <v>1.1886652E7</v>
      </c>
      <c r="V731" s="215"/>
      <c r="W731" s="216">
        <v>1.2E7</v>
      </c>
      <c r="X731" s="216">
        <v>120000.0</v>
      </c>
      <c r="Y731" s="77">
        <v>40000.0</v>
      </c>
      <c r="Z731" s="77"/>
    </row>
    <row r="732">
      <c r="A732" s="145" t="s">
        <v>759</v>
      </c>
      <c r="B732" s="145" t="s">
        <v>1595</v>
      </c>
      <c r="C732" s="145" t="s">
        <v>1543</v>
      </c>
      <c r="D732" s="75" t="s">
        <v>1544</v>
      </c>
      <c r="E732" s="75" t="s">
        <v>1544</v>
      </c>
      <c r="F732" s="211" t="s">
        <v>1666</v>
      </c>
      <c r="G732" s="145" t="s">
        <v>760</v>
      </c>
      <c r="H732" s="211" t="s">
        <v>1018</v>
      </c>
      <c r="I732" s="145" t="s">
        <v>113</v>
      </c>
      <c r="J732" s="211" t="s">
        <v>1667</v>
      </c>
      <c r="K732" s="75" t="s">
        <v>1544</v>
      </c>
      <c r="L732" s="152" t="b">
        <v>1</v>
      </c>
      <c r="M732" s="152" t="b">
        <v>1</v>
      </c>
      <c r="N732" s="212" t="s">
        <v>3483</v>
      </c>
      <c r="O732" s="213" t="s">
        <v>1554</v>
      </c>
      <c r="P732" s="47" t="b">
        <v>1</v>
      </c>
      <c r="Q732" s="47" t="b">
        <v>0</v>
      </c>
      <c r="R732" s="214"/>
      <c r="S732" s="77">
        <v>0.0</v>
      </c>
      <c r="T732" s="76" t="s">
        <v>1156</v>
      </c>
      <c r="U732" s="78">
        <v>1.1819829E7</v>
      </c>
      <c r="V732" s="215"/>
      <c r="W732" s="216">
        <v>1.2E7</v>
      </c>
      <c r="X732" s="77">
        <v>96000.0</v>
      </c>
      <c r="Y732" s="77">
        <v>3600000.0</v>
      </c>
      <c r="Z732" s="77"/>
    </row>
    <row r="733">
      <c r="A733" s="145" t="s">
        <v>155</v>
      </c>
      <c r="B733" s="145" t="s">
        <v>1647</v>
      </c>
      <c r="C733" s="145" t="s">
        <v>1543</v>
      </c>
      <c r="D733" s="75" t="s">
        <v>1544</v>
      </c>
      <c r="E733" s="75" t="s">
        <v>1544</v>
      </c>
      <c r="F733" s="211" t="s">
        <v>1721</v>
      </c>
      <c r="G733" s="145" t="s">
        <v>2521</v>
      </c>
      <c r="H733" s="211" t="s">
        <v>1018</v>
      </c>
      <c r="I733" s="145" t="s">
        <v>132</v>
      </c>
      <c r="J733" s="211" t="s">
        <v>1609</v>
      </c>
      <c r="K733" s="75" t="s">
        <v>1544</v>
      </c>
      <c r="L733" s="152" t="b">
        <v>1</v>
      </c>
      <c r="M733" s="152" t="b">
        <v>1</v>
      </c>
      <c r="N733" s="212" t="s">
        <v>3484</v>
      </c>
      <c r="O733" s="213" t="s">
        <v>1554</v>
      </c>
      <c r="P733" s="47" t="b">
        <v>1</v>
      </c>
      <c r="Q733" s="47" t="b">
        <v>0</v>
      </c>
      <c r="R733" s="214"/>
      <c r="S733" s="77">
        <v>0.0</v>
      </c>
      <c r="T733" s="76" t="s">
        <v>1179</v>
      </c>
      <c r="U733" s="78">
        <v>1.9089999E7</v>
      </c>
      <c r="V733" s="215"/>
      <c r="W733" s="216">
        <v>2.0E7</v>
      </c>
      <c r="X733" s="216">
        <v>160000.0</v>
      </c>
      <c r="Y733" s="77">
        <v>64000.0</v>
      </c>
      <c r="Z733" s="77"/>
    </row>
    <row r="734">
      <c r="A734" s="145" t="s">
        <v>2000</v>
      </c>
      <c r="B734" s="145" t="s">
        <v>1707</v>
      </c>
      <c r="C734" s="145" t="s">
        <v>1543</v>
      </c>
      <c r="D734" s="75" t="s">
        <v>1544</v>
      </c>
      <c r="E734" s="75" t="s">
        <v>1544</v>
      </c>
      <c r="F734" s="211" t="s">
        <v>1637</v>
      </c>
      <c r="G734" s="145" t="s">
        <v>2002</v>
      </c>
      <c r="H734" s="211" t="s">
        <v>77</v>
      </c>
      <c r="I734" s="145" t="s">
        <v>327</v>
      </c>
      <c r="J734" s="211" t="s">
        <v>1639</v>
      </c>
      <c r="K734" s="75" t="s">
        <v>1544</v>
      </c>
      <c r="L734" s="152" t="b">
        <v>1</v>
      </c>
      <c r="M734" s="152" t="b">
        <v>0</v>
      </c>
      <c r="N734" s="212" t="s">
        <v>3485</v>
      </c>
      <c r="O734" s="213" t="s">
        <v>1554</v>
      </c>
      <c r="P734" s="47" t="b">
        <v>1</v>
      </c>
      <c r="Q734" s="47" t="b">
        <v>0</v>
      </c>
      <c r="R734" s="214"/>
      <c r="S734" s="77">
        <v>0.0</v>
      </c>
      <c r="T734" s="76" t="s">
        <v>1179</v>
      </c>
      <c r="U734" s="78">
        <v>1.3857254E7</v>
      </c>
      <c r="V734" s="215"/>
      <c r="W734" s="216">
        <v>1.4E7</v>
      </c>
      <c r="X734" s="77">
        <v>140000.0</v>
      </c>
      <c r="Y734" s="77">
        <v>60000.0</v>
      </c>
      <c r="Z734" s="77"/>
    </row>
    <row r="735">
      <c r="A735" s="145" t="s">
        <v>2555</v>
      </c>
      <c r="B735" s="145" t="s">
        <v>1746</v>
      </c>
      <c r="C735" s="145" t="s">
        <v>1543</v>
      </c>
      <c r="D735" s="75" t="s">
        <v>1544</v>
      </c>
      <c r="E735" s="75" t="s">
        <v>1544</v>
      </c>
      <c r="F735" s="211" t="s">
        <v>1547</v>
      </c>
      <c r="G735" s="145" t="s">
        <v>2556</v>
      </c>
      <c r="H735" s="211" t="s">
        <v>77</v>
      </c>
      <c r="I735" s="145" t="s">
        <v>338</v>
      </c>
      <c r="J735" s="211" t="s">
        <v>1549</v>
      </c>
      <c r="K735" s="75" t="s">
        <v>1544</v>
      </c>
      <c r="L735" s="152" t="b">
        <v>1</v>
      </c>
      <c r="M735" s="152" t="b">
        <v>0</v>
      </c>
      <c r="N735" s="212" t="s">
        <v>3486</v>
      </c>
      <c r="O735" s="213" t="s">
        <v>1554</v>
      </c>
      <c r="P735" s="47" t="b">
        <v>1</v>
      </c>
      <c r="Q735" s="47" t="b">
        <v>0</v>
      </c>
      <c r="R735" s="214"/>
      <c r="S735" s="77">
        <v>0.0</v>
      </c>
      <c r="T735" s="76" t="s">
        <v>1172</v>
      </c>
      <c r="U735" s="78">
        <v>1.1441778E7</v>
      </c>
      <c r="V735" s="215"/>
      <c r="W735" s="216">
        <v>1.2E7</v>
      </c>
      <c r="X735" s="216">
        <v>120000.0</v>
      </c>
      <c r="Y735" s="77">
        <v>40000.0</v>
      </c>
      <c r="Z735" s="77"/>
    </row>
    <row r="736">
      <c r="A736" s="145" t="s">
        <v>2553</v>
      </c>
      <c r="B736" s="145" t="s">
        <v>1679</v>
      </c>
      <c r="C736" s="145" t="s">
        <v>1543</v>
      </c>
      <c r="D736" s="75" t="s">
        <v>1544</v>
      </c>
      <c r="E736" s="75" t="s">
        <v>1544</v>
      </c>
      <c r="F736" s="211" t="s">
        <v>1575</v>
      </c>
      <c r="G736" s="145" t="s">
        <v>2554</v>
      </c>
      <c r="H736" s="211" t="s">
        <v>77</v>
      </c>
      <c r="I736" s="145" t="s">
        <v>174</v>
      </c>
      <c r="J736" s="211" t="s">
        <v>1577</v>
      </c>
      <c r="K736" s="75" t="s">
        <v>1544</v>
      </c>
      <c r="L736" s="152" t="b">
        <v>1</v>
      </c>
      <c r="M736" s="152" t="b">
        <v>0</v>
      </c>
      <c r="N736" s="212" t="s">
        <v>3487</v>
      </c>
      <c r="O736" s="213" t="s">
        <v>1554</v>
      </c>
      <c r="P736" s="47" t="b">
        <v>1</v>
      </c>
      <c r="Q736" s="47" t="b">
        <v>0</v>
      </c>
      <c r="R736" s="214"/>
      <c r="S736" s="77">
        <v>0.0</v>
      </c>
      <c r="T736" s="76" t="s">
        <v>1176</v>
      </c>
      <c r="U736" s="78">
        <v>6361932.0</v>
      </c>
      <c r="V736" s="215"/>
      <c r="W736" s="216">
        <v>6000000.0</v>
      </c>
      <c r="X736" s="77">
        <v>60000.0</v>
      </c>
      <c r="Y736" s="77">
        <v>20000.0</v>
      </c>
      <c r="Z736" s="77"/>
    </row>
    <row r="737">
      <c r="A737" s="145" t="s">
        <v>121</v>
      </c>
      <c r="B737" s="145" t="s">
        <v>1751</v>
      </c>
      <c r="C737" s="145" t="s">
        <v>1543</v>
      </c>
      <c r="D737" s="75" t="s">
        <v>1544</v>
      </c>
      <c r="E737" s="75" t="s">
        <v>1544</v>
      </c>
      <c r="F737" s="211" t="s">
        <v>1649</v>
      </c>
      <c r="G737" s="145" t="s">
        <v>1421</v>
      </c>
      <c r="H737" s="211" t="s">
        <v>1018</v>
      </c>
      <c r="I737" s="145" t="s">
        <v>83</v>
      </c>
      <c r="J737" s="211" t="s">
        <v>1549</v>
      </c>
      <c r="K737" s="75" t="s">
        <v>1544</v>
      </c>
      <c r="L737" s="152" t="b">
        <v>1</v>
      </c>
      <c r="M737" s="152" t="b">
        <v>0</v>
      </c>
      <c r="N737" s="212" t="s">
        <v>3488</v>
      </c>
      <c r="O737" s="213" t="s">
        <v>1554</v>
      </c>
      <c r="P737" s="47" t="b">
        <v>1</v>
      </c>
      <c r="Q737" s="47" t="b">
        <v>0</v>
      </c>
      <c r="R737" s="214"/>
      <c r="S737" s="77">
        <v>0.0</v>
      </c>
      <c r="T737" s="76" t="s">
        <v>1179</v>
      </c>
      <c r="U737" s="78">
        <v>1.0771598E7</v>
      </c>
      <c r="V737" s="215"/>
      <c r="W737" s="216">
        <v>1.0E7</v>
      </c>
      <c r="X737" s="216">
        <v>80000.0</v>
      </c>
      <c r="Y737" s="77">
        <v>32000.0</v>
      </c>
      <c r="Z737" s="77"/>
    </row>
    <row r="738">
      <c r="A738" s="145" t="s">
        <v>781</v>
      </c>
      <c r="B738" s="145" t="s">
        <v>2189</v>
      </c>
      <c r="C738" s="145" t="s">
        <v>1543</v>
      </c>
      <c r="D738" s="75" t="s">
        <v>1544</v>
      </c>
      <c r="E738" s="75" t="s">
        <v>1544</v>
      </c>
      <c r="F738" s="211" t="s">
        <v>1690</v>
      </c>
      <c r="G738" s="145" t="s">
        <v>2563</v>
      </c>
      <c r="H738" s="211" t="s">
        <v>586</v>
      </c>
      <c r="I738" s="145" t="s">
        <v>162</v>
      </c>
      <c r="J738" s="211" t="s">
        <v>1597</v>
      </c>
      <c r="K738" s="75" t="s">
        <v>1544</v>
      </c>
      <c r="L738" s="152" t="b">
        <v>1</v>
      </c>
      <c r="M738" s="152" t="b">
        <v>0</v>
      </c>
      <c r="N738" s="212" t="s">
        <v>3489</v>
      </c>
      <c r="O738" s="213" t="s">
        <v>1554</v>
      </c>
      <c r="P738" s="47" t="b">
        <v>1</v>
      </c>
      <c r="Q738" s="47" t="b">
        <v>0</v>
      </c>
      <c r="R738" s="214"/>
      <c r="S738" s="77">
        <v>0.0</v>
      </c>
      <c r="T738" s="76" t="s">
        <v>1172</v>
      </c>
      <c r="U738" s="78">
        <v>2.2753979E7</v>
      </c>
      <c r="V738" s="215"/>
      <c r="W738" s="216">
        <v>2.2E7</v>
      </c>
      <c r="X738" s="77">
        <v>154000.0</v>
      </c>
      <c r="Y738" s="77">
        <v>100000.0</v>
      </c>
      <c r="Z738" s="77"/>
    </row>
    <row r="739">
      <c r="A739" s="145" t="s">
        <v>1593</v>
      </c>
      <c r="B739" s="145" t="s">
        <v>1580</v>
      </c>
      <c r="C739" s="145" t="s">
        <v>1543</v>
      </c>
      <c r="D739" s="75" t="s">
        <v>1544</v>
      </c>
      <c r="E739" s="75" t="s">
        <v>1544</v>
      </c>
      <c r="F739" s="211" t="s">
        <v>1547</v>
      </c>
      <c r="G739" s="145" t="s">
        <v>1594</v>
      </c>
      <c r="H739" s="211" t="s">
        <v>77</v>
      </c>
      <c r="I739" s="145" t="s">
        <v>327</v>
      </c>
      <c r="J739" s="211" t="s">
        <v>1549</v>
      </c>
      <c r="K739" s="75" t="s">
        <v>1544</v>
      </c>
      <c r="L739" s="152" t="b">
        <v>1</v>
      </c>
      <c r="M739" s="152" t="b">
        <v>0</v>
      </c>
      <c r="N739" s="212" t="s">
        <v>3490</v>
      </c>
      <c r="O739" s="213" t="s">
        <v>1554</v>
      </c>
      <c r="P739" s="47" t="b">
        <v>1</v>
      </c>
      <c r="Q739" s="47" t="b">
        <v>0</v>
      </c>
      <c r="R739" s="214"/>
      <c r="S739" s="77">
        <v>0.0</v>
      </c>
      <c r="T739" s="76" t="s">
        <v>1179</v>
      </c>
      <c r="U739" s="78">
        <v>1.0277141E7</v>
      </c>
      <c r="V739" s="215"/>
      <c r="W739" s="77">
        <v>1.0E7</v>
      </c>
      <c r="X739" s="77">
        <v>100000.0</v>
      </c>
      <c r="Y739" s="77">
        <v>40000.0</v>
      </c>
      <c r="Z739" s="77"/>
    </row>
    <row r="740">
      <c r="A740" s="145" t="s">
        <v>1118</v>
      </c>
      <c r="B740" s="145" t="s">
        <v>2195</v>
      </c>
      <c r="C740" s="145" t="s">
        <v>1543</v>
      </c>
      <c r="D740" s="75" t="s">
        <v>1544</v>
      </c>
      <c r="E740" s="75" t="s">
        <v>1544</v>
      </c>
      <c r="F740" s="211" t="s">
        <v>1575</v>
      </c>
      <c r="G740" s="145" t="s">
        <v>1119</v>
      </c>
      <c r="H740" s="211" t="s">
        <v>77</v>
      </c>
      <c r="I740" s="145" t="s">
        <v>218</v>
      </c>
      <c r="J740" s="211" t="s">
        <v>1577</v>
      </c>
      <c r="K740" s="75" t="s">
        <v>1544</v>
      </c>
      <c r="L740" s="152" t="b">
        <v>1</v>
      </c>
      <c r="M740" s="152" t="b">
        <v>0</v>
      </c>
      <c r="N740" s="212" t="s">
        <v>3491</v>
      </c>
      <c r="O740" s="213" t="s">
        <v>1554</v>
      </c>
      <c r="P740" s="47" t="b">
        <v>1</v>
      </c>
      <c r="Q740" s="47" t="b">
        <v>0</v>
      </c>
      <c r="R740" s="214"/>
      <c r="S740" s="77">
        <v>0.0</v>
      </c>
      <c r="T740" s="76" t="s">
        <v>1179</v>
      </c>
      <c r="U740" s="78">
        <v>5183648.0</v>
      </c>
      <c r="V740" s="215"/>
      <c r="W740" s="77">
        <v>6000000.0</v>
      </c>
      <c r="X740" s="77">
        <v>60000.0</v>
      </c>
      <c r="Y740" s="77">
        <v>20000.0</v>
      </c>
      <c r="Z740" s="77"/>
    </row>
    <row r="741">
      <c r="A741" s="145" t="s">
        <v>1284</v>
      </c>
      <c r="B741" s="145" t="s">
        <v>1720</v>
      </c>
      <c r="C741" s="145" t="s">
        <v>1543</v>
      </c>
      <c r="D741" s="75" t="s">
        <v>1544</v>
      </c>
      <c r="E741" s="75" t="s">
        <v>1544</v>
      </c>
      <c r="F741" s="211" t="s">
        <v>1851</v>
      </c>
      <c r="G741" s="145" t="s">
        <v>1285</v>
      </c>
      <c r="H741" s="211" t="s">
        <v>1018</v>
      </c>
      <c r="I741" s="145" t="s">
        <v>83</v>
      </c>
      <c r="J741" s="211" t="s">
        <v>1639</v>
      </c>
      <c r="K741" s="75" t="s">
        <v>1544</v>
      </c>
      <c r="L741" s="152" t="b">
        <v>1</v>
      </c>
      <c r="M741" s="152" t="b">
        <v>0</v>
      </c>
      <c r="N741" s="212" t="s">
        <v>3492</v>
      </c>
      <c r="O741" s="213" t="s">
        <v>1554</v>
      </c>
      <c r="P741" s="47" t="b">
        <v>1</v>
      </c>
      <c r="Q741" s="47" t="b">
        <v>0</v>
      </c>
      <c r="R741" s="214"/>
      <c r="S741" s="77">
        <v>0.0</v>
      </c>
      <c r="T741" s="76" t="s">
        <v>1172</v>
      </c>
      <c r="U741" s="78">
        <v>1.2536828E7</v>
      </c>
      <c r="V741" s="215"/>
      <c r="W741" s="77">
        <v>1.2E7</v>
      </c>
      <c r="X741" s="216">
        <v>96000.0</v>
      </c>
      <c r="Y741" s="77">
        <v>48000.0</v>
      </c>
      <c r="Z741" s="77"/>
    </row>
    <row r="742">
      <c r="A742" s="145" t="s">
        <v>1944</v>
      </c>
      <c r="B742" s="145" t="s">
        <v>1707</v>
      </c>
      <c r="C742" s="145" t="s">
        <v>1543</v>
      </c>
      <c r="D742" s="75" t="s">
        <v>1544</v>
      </c>
      <c r="E742" s="75" t="s">
        <v>1544</v>
      </c>
      <c r="F742" s="211" t="s">
        <v>1637</v>
      </c>
      <c r="G742" s="145" t="s">
        <v>1946</v>
      </c>
      <c r="H742" s="211" t="s">
        <v>77</v>
      </c>
      <c r="I742" s="145" t="s">
        <v>327</v>
      </c>
      <c r="J742" s="211" t="s">
        <v>1639</v>
      </c>
      <c r="K742" s="75" t="s">
        <v>1544</v>
      </c>
      <c r="L742" s="152" t="b">
        <v>1</v>
      </c>
      <c r="M742" s="152" t="b">
        <v>0</v>
      </c>
      <c r="N742" s="212" t="s">
        <v>3493</v>
      </c>
      <c r="O742" s="213" t="s">
        <v>1554</v>
      </c>
      <c r="P742" s="47" t="b">
        <v>1</v>
      </c>
      <c r="Q742" s="47" t="b">
        <v>0</v>
      </c>
      <c r="R742" s="214"/>
      <c r="S742" s="77">
        <v>0.0</v>
      </c>
      <c r="T742" s="76" t="s">
        <v>1172</v>
      </c>
      <c r="U742" s="78">
        <v>1.4983386E7</v>
      </c>
      <c r="V742" s="215"/>
      <c r="W742" s="77">
        <v>1.4E7</v>
      </c>
      <c r="X742" s="77">
        <v>140000.0</v>
      </c>
      <c r="Y742" s="77">
        <v>60000.0</v>
      </c>
      <c r="Z742" s="77"/>
    </row>
    <row r="743">
      <c r="A743" s="145" t="s">
        <v>253</v>
      </c>
      <c r="B743" s="145" t="s">
        <v>3494</v>
      </c>
      <c r="C743" s="145" t="s">
        <v>3495</v>
      </c>
      <c r="D743" s="75" t="s">
        <v>1544</v>
      </c>
      <c r="E743" s="75" t="s">
        <v>1544</v>
      </c>
      <c r="F743" s="211" t="s">
        <v>1547</v>
      </c>
      <c r="G743" s="145" t="s">
        <v>2589</v>
      </c>
      <c r="H743" s="211" t="s">
        <v>77</v>
      </c>
      <c r="I743" s="145" t="s">
        <v>252</v>
      </c>
      <c r="J743" s="211" t="s">
        <v>1549</v>
      </c>
      <c r="K743" s="75" t="s">
        <v>1544</v>
      </c>
      <c r="L743" s="152" t="b">
        <v>1</v>
      </c>
      <c r="M743" s="152" t="b">
        <v>0</v>
      </c>
      <c r="N743" s="212" t="s">
        <v>3496</v>
      </c>
      <c r="O743" s="213" t="s">
        <v>1554</v>
      </c>
      <c r="P743" s="47" t="b">
        <v>1</v>
      </c>
      <c r="Q743" s="47" t="b">
        <v>0</v>
      </c>
      <c r="R743" s="214"/>
      <c r="S743" s="77">
        <v>0.0</v>
      </c>
      <c r="T743" s="76" t="s">
        <v>1172</v>
      </c>
      <c r="U743" s="78">
        <v>1.0379796E7</v>
      </c>
      <c r="V743" s="215"/>
      <c r="W743" s="77">
        <v>1.0E7</v>
      </c>
      <c r="X743" s="216">
        <v>100000.0</v>
      </c>
      <c r="Y743" s="77">
        <v>40000.0</v>
      </c>
      <c r="Z743" s="77"/>
    </row>
    <row r="744">
      <c r="A744" s="145" t="s">
        <v>2570</v>
      </c>
      <c r="B744" s="145" t="s">
        <v>1658</v>
      </c>
      <c r="C744" s="145" t="s">
        <v>1543</v>
      </c>
      <c r="D744" s="75" t="s">
        <v>1544</v>
      </c>
      <c r="E744" s="75" t="s">
        <v>1544</v>
      </c>
      <c r="F744" s="211" t="s">
        <v>1649</v>
      </c>
      <c r="G744" s="145" t="s">
        <v>2571</v>
      </c>
      <c r="H744" s="211" t="s">
        <v>1018</v>
      </c>
      <c r="I744" s="145" t="s">
        <v>92</v>
      </c>
      <c r="J744" s="211" t="s">
        <v>1549</v>
      </c>
      <c r="K744" s="75" t="s">
        <v>1544</v>
      </c>
      <c r="L744" s="152" t="b">
        <v>1</v>
      </c>
      <c r="M744" s="152" t="b">
        <v>0</v>
      </c>
      <c r="N744" s="212" t="s">
        <v>3497</v>
      </c>
      <c r="O744" s="213" t="s">
        <v>1554</v>
      </c>
      <c r="P744" s="47" t="b">
        <v>1</v>
      </c>
      <c r="Q744" s="47" t="b">
        <v>0</v>
      </c>
      <c r="R744" s="214"/>
      <c r="S744" s="77">
        <v>0.0</v>
      </c>
      <c r="T744" s="76" t="s">
        <v>1179</v>
      </c>
      <c r="U744" s="78">
        <v>1.1928465E7</v>
      </c>
      <c r="V744" s="215"/>
      <c r="W744" s="77">
        <v>1.2E7</v>
      </c>
      <c r="X744" s="77">
        <v>96000.0</v>
      </c>
      <c r="Y744" s="77">
        <v>32000.0</v>
      </c>
      <c r="Z744" s="77"/>
    </row>
    <row r="745">
      <c r="A745" s="145" t="s">
        <v>2473</v>
      </c>
      <c r="B745" s="145" t="s">
        <v>1968</v>
      </c>
      <c r="C745" s="145" t="s">
        <v>1543</v>
      </c>
      <c r="D745" s="75" t="s">
        <v>1544</v>
      </c>
      <c r="E745" s="75" t="s">
        <v>1544</v>
      </c>
      <c r="F745" s="211" t="s">
        <v>1575</v>
      </c>
      <c r="G745" s="145" t="s">
        <v>3498</v>
      </c>
      <c r="H745" s="211" t="s">
        <v>77</v>
      </c>
      <c r="I745" s="145" t="s">
        <v>340</v>
      </c>
      <c r="J745" s="211" t="s">
        <v>1577</v>
      </c>
      <c r="K745" s="75" t="s">
        <v>1544</v>
      </c>
      <c r="L745" s="152" t="b">
        <v>1</v>
      </c>
      <c r="M745" s="152" t="b">
        <v>0</v>
      </c>
      <c r="N745" s="212" t="s">
        <v>3499</v>
      </c>
      <c r="O745" s="213" t="s">
        <v>1554</v>
      </c>
      <c r="P745" s="47" t="b">
        <v>1</v>
      </c>
      <c r="Q745" s="47" t="b">
        <v>0</v>
      </c>
      <c r="R745" s="214"/>
      <c r="S745" s="77">
        <v>0.0</v>
      </c>
      <c r="T745" s="76" t="s">
        <v>1179</v>
      </c>
      <c r="U745" s="78">
        <v>6562986.0</v>
      </c>
      <c r="V745" s="215"/>
      <c r="W745" s="77">
        <v>6000000.0</v>
      </c>
      <c r="X745" s="77">
        <v>60000.0</v>
      </c>
      <c r="Y745" s="77">
        <v>20000.0</v>
      </c>
      <c r="Z745" s="77"/>
    </row>
    <row r="746">
      <c r="A746" s="145" t="s">
        <v>822</v>
      </c>
      <c r="B746" s="145" t="s">
        <v>1689</v>
      </c>
      <c r="C746" s="145" t="s">
        <v>1543</v>
      </c>
      <c r="D746" s="75" t="s">
        <v>1544</v>
      </c>
      <c r="E746" s="75" t="s">
        <v>1544</v>
      </c>
      <c r="F746" s="211" t="s">
        <v>1690</v>
      </c>
      <c r="G746" s="145" t="s">
        <v>2605</v>
      </c>
      <c r="H746" s="211" t="s">
        <v>586</v>
      </c>
      <c r="I746" s="145" t="s">
        <v>162</v>
      </c>
      <c r="J746" s="211" t="s">
        <v>1597</v>
      </c>
      <c r="K746" s="75" t="s">
        <v>1544</v>
      </c>
      <c r="L746" s="152" t="b">
        <v>1</v>
      </c>
      <c r="M746" s="152" t="b">
        <v>0</v>
      </c>
      <c r="N746" s="212" t="s">
        <v>3500</v>
      </c>
      <c r="O746" s="213" t="s">
        <v>1554</v>
      </c>
      <c r="P746" s="47" t="b">
        <v>1</v>
      </c>
      <c r="Q746" s="47" t="b">
        <v>0</v>
      </c>
      <c r="R746" s="214"/>
      <c r="S746" s="77">
        <v>0.0</v>
      </c>
      <c r="T746" s="76" t="s">
        <v>1179</v>
      </c>
      <c r="U746" s="78">
        <v>3.3464704E7</v>
      </c>
      <c r="V746" s="215"/>
      <c r="W746" s="77">
        <v>3.4E7</v>
      </c>
      <c r="X746" s="77">
        <v>238000.0</v>
      </c>
      <c r="Y746" s="77">
        <v>100000.0</v>
      </c>
      <c r="Z746" s="77"/>
    </row>
    <row r="747">
      <c r="A747" s="145" t="s">
        <v>1907</v>
      </c>
      <c r="B747" s="145" t="s">
        <v>1580</v>
      </c>
      <c r="C747" s="145" t="s">
        <v>1543</v>
      </c>
      <c r="D747" s="75" t="s">
        <v>1544</v>
      </c>
      <c r="E747" s="75" t="s">
        <v>1544</v>
      </c>
      <c r="F747" s="211" t="s">
        <v>1547</v>
      </c>
      <c r="G747" s="145" t="s">
        <v>1908</v>
      </c>
      <c r="H747" s="211" t="s">
        <v>77</v>
      </c>
      <c r="I747" s="145" t="s">
        <v>327</v>
      </c>
      <c r="J747" s="211" t="s">
        <v>1549</v>
      </c>
      <c r="K747" s="75" t="s">
        <v>1544</v>
      </c>
      <c r="L747" s="152" t="b">
        <v>1</v>
      </c>
      <c r="M747" s="152" t="b">
        <v>0</v>
      </c>
      <c r="N747" s="212" t="s">
        <v>3501</v>
      </c>
      <c r="O747" s="213" t="s">
        <v>1554</v>
      </c>
      <c r="P747" s="47" t="b">
        <v>1</v>
      </c>
      <c r="Q747" s="47" t="b">
        <v>0</v>
      </c>
      <c r="R747" s="214"/>
      <c r="S747" s="77">
        <v>0.0</v>
      </c>
      <c r="T747" s="76" t="s">
        <v>1179</v>
      </c>
      <c r="U747" s="78">
        <v>7553901.0</v>
      </c>
      <c r="V747" s="215"/>
      <c r="W747" s="77">
        <v>8000000.0</v>
      </c>
      <c r="X747" s="77">
        <v>80000.0</v>
      </c>
      <c r="Y747" s="77">
        <v>40000.0</v>
      </c>
      <c r="Z747" s="77"/>
    </row>
    <row r="748">
      <c r="A748" s="145" t="s">
        <v>817</v>
      </c>
      <c r="B748" s="145" t="s">
        <v>2189</v>
      </c>
      <c r="C748" s="145" t="s">
        <v>1543</v>
      </c>
      <c r="D748" s="75" t="s">
        <v>1544</v>
      </c>
      <c r="E748" s="75" t="s">
        <v>1544</v>
      </c>
      <c r="F748" s="211" t="s">
        <v>2311</v>
      </c>
      <c r="G748" s="145" t="s">
        <v>3502</v>
      </c>
      <c r="H748" s="211" t="s">
        <v>586</v>
      </c>
      <c r="I748" s="145" t="s">
        <v>162</v>
      </c>
      <c r="J748" s="211" t="s">
        <v>1561</v>
      </c>
      <c r="K748" s="75" t="s">
        <v>1544</v>
      </c>
      <c r="L748" s="152" t="b">
        <v>1</v>
      </c>
      <c r="M748" s="152" t="b">
        <v>0</v>
      </c>
      <c r="N748" s="212" t="s">
        <v>3503</v>
      </c>
      <c r="O748" s="213" t="s">
        <v>1554</v>
      </c>
      <c r="P748" s="47" t="b">
        <v>1</v>
      </c>
      <c r="Q748" s="47" t="b">
        <v>0</v>
      </c>
      <c r="R748" s="214"/>
      <c r="S748" s="77">
        <v>0.0</v>
      </c>
      <c r="T748" s="76" t="s">
        <v>1179</v>
      </c>
      <c r="U748" s="78">
        <v>3.9464937E7</v>
      </c>
      <c r="V748" s="215"/>
      <c r="W748" s="77">
        <v>4.0E7</v>
      </c>
      <c r="X748" s="77">
        <v>280000.0</v>
      </c>
      <c r="Y748" s="77">
        <v>200000.0</v>
      </c>
      <c r="Z748" s="77"/>
    </row>
    <row r="749">
      <c r="A749" s="145" t="s">
        <v>2602</v>
      </c>
      <c r="B749" s="145" t="s">
        <v>1658</v>
      </c>
      <c r="C749" s="145" t="s">
        <v>1543</v>
      </c>
      <c r="D749" s="75" t="s">
        <v>1544</v>
      </c>
      <c r="E749" s="75" t="s">
        <v>1544</v>
      </c>
      <c r="F749" s="211" t="s">
        <v>1851</v>
      </c>
      <c r="G749" s="145" t="s">
        <v>2603</v>
      </c>
      <c r="H749" s="211" t="s">
        <v>1018</v>
      </c>
      <c r="I749" s="145" t="s">
        <v>92</v>
      </c>
      <c r="J749" s="211" t="s">
        <v>1639</v>
      </c>
      <c r="K749" s="75" t="s">
        <v>1544</v>
      </c>
      <c r="L749" s="152" t="b">
        <v>1</v>
      </c>
      <c r="M749" s="152" t="b">
        <v>0</v>
      </c>
      <c r="N749" s="212" t="s">
        <v>3504</v>
      </c>
      <c r="O749" s="213" t="s">
        <v>1554</v>
      </c>
      <c r="P749" s="47" t="b">
        <v>1</v>
      </c>
      <c r="Q749" s="47" t="b">
        <v>0</v>
      </c>
      <c r="R749" s="214"/>
      <c r="S749" s="77">
        <v>0.0</v>
      </c>
      <c r="T749" s="76" t="s">
        <v>1179</v>
      </c>
      <c r="U749" s="78">
        <v>1.4356531E7</v>
      </c>
      <c r="V749" s="215"/>
      <c r="W749" s="77">
        <v>1.4E7</v>
      </c>
      <c r="X749" s="77">
        <v>112000.0</v>
      </c>
      <c r="Y749" s="77">
        <v>48000.0</v>
      </c>
      <c r="Z749" s="77"/>
    </row>
    <row r="750">
      <c r="A750" s="145" t="s">
        <v>2279</v>
      </c>
      <c r="B750" s="145" t="s">
        <v>1968</v>
      </c>
      <c r="C750" s="145" t="s">
        <v>1543</v>
      </c>
      <c r="D750" s="75" t="s">
        <v>1544</v>
      </c>
      <c r="E750" s="75" t="s">
        <v>1544</v>
      </c>
      <c r="F750" s="211" t="s">
        <v>1575</v>
      </c>
      <c r="G750" s="145" t="s">
        <v>2280</v>
      </c>
      <c r="H750" s="211" t="s">
        <v>77</v>
      </c>
      <c r="I750" s="145" t="s">
        <v>340</v>
      </c>
      <c r="J750" s="211" t="s">
        <v>1577</v>
      </c>
      <c r="K750" s="75" t="s">
        <v>1544</v>
      </c>
      <c r="L750" s="152" t="b">
        <v>1</v>
      </c>
      <c r="M750" s="152" t="b">
        <v>0</v>
      </c>
      <c r="N750" s="212" t="s">
        <v>3505</v>
      </c>
      <c r="O750" s="213" t="s">
        <v>1554</v>
      </c>
      <c r="P750" s="47" t="b">
        <v>1</v>
      </c>
      <c r="Q750" s="47" t="b">
        <v>0</v>
      </c>
      <c r="R750" s="214"/>
      <c r="S750" s="77">
        <v>0.0</v>
      </c>
      <c r="T750" s="76" t="s">
        <v>1176</v>
      </c>
      <c r="U750" s="78">
        <v>5577878.0</v>
      </c>
      <c r="V750" s="215"/>
      <c r="W750" s="77">
        <v>6000000.0</v>
      </c>
      <c r="X750" s="77">
        <v>60000.0</v>
      </c>
      <c r="Y750" s="77">
        <v>20000.0</v>
      </c>
      <c r="Z750" s="77"/>
    </row>
    <row r="751">
      <c r="A751" s="145" t="s">
        <v>2653</v>
      </c>
      <c r="B751" s="145" t="s">
        <v>1849</v>
      </c>
      <c r="C751" s="145" t="s">
        <v>1543</v>
      </c>
      <c r="D751" s="75" t="s">
        <v>1544</v>
      </c>
      <c r="E751" s="75" t="s">
        <v>1544</v>
      </c>
      <c r="F751" s="211" t="s">
        <v>1851</v>
      </c>
      <c r="G751" s="145" t="s">
        <v>2654</v>
      </c>
      <c r="H751" s="211" t="s">
        <v>1018</v>
      </c>
      <c r="I751" s="145" t="s">
        <v>75</v>
      </c>
      <c r="J751" s="211" t="s">
        <v>1639</v>
      </c>
      <c r="K751" s="75" t="s">
        <v>1544</v>
      </c>
      <c r="L751" s="152" t="b">
        <v>1</v>
      </c>
      <c r="M751" s="152" t="b">
        <v>0</v>
      </c>
      <c r="N751" s="212" t="s">
        <v>3506</v>
      </c>
      <c r="O751" s="213" t="s">
        <v>1554</v>
      </c>
      <c r="P751" s="47" t="b">
        <v>1</v>
      </c>
      <c r="Q751" s="47" t="b">
        <v>0</v>
      </c>
      <c r="R751" s="214"/>
      <c r="S751" s="77">
        <v>0.0</v>
      </c>
      <c r="T751" s="76" t="s">
        <v>1172</v>
      </c>
      <c r="U751" s="78">
        <v>1.3797209E7</v>
      </c>
      <c r="V751" s="215"/>
      <c r="W751" s="77">
        <v>1.4E7</v>
      </c>
      <c r="X751" s="216">
        <v>112000.0</v>
      </c>
      <c r="Y751" s="77">
        <v>48000.0</v>
      </c>
      <c r="Z751" s="77"/>
    </row>
    <row r="752">
      <c r="A752" s="145" t="s">
        <v>2663</v>
      </c>
      <c r="B752" s="145" t="s">
        <v>2584</v>
      </c>
      <c r="C752" s="145" t="s">
        <v>1543</v>
      </c>
      <c r="D752" s="75" t="s">
        <v>1544</v>
      </c>
      <c r="E752" s="75" t="s">
        <v>1544</v>
      </c>
      <c r="F752" s="211" t="s">
        <v>1557</v>
      </c>
      <c r="G752" s="145" t="s">
        <v>3507</v>
      </c>
      <c r="H752" s="211" t="s">
        <v>625</v>
      </c>
      <c r="I752" s="145" t="s">
        <v>667</v>
      </c>
      <c r="J752" s="211" t="s">
        <v>1561</v>
      </c>
      <c r="K752" s="75" t="s">
        <v>1544</v>
      </c>
      <c r="L752" s="152" t="b">
        <v>1</v>
      </c>
      <c r="M752" s="152" t="b">
        <v>0</v>
      </c>
      <c r="N752" s="212" t="s">
        <v>3508</v>
      </c>
      <c r="O752" s="213" t="s">
        <v>1554</v>
      </c>
      <c r="P752" s="47" t="b">
        <v>1</v>
      </c>
      <c r="Q752" s="47" t="b">
        <v>0</v>
      </c>
      <c r="R752" s="214"/>
      <c r="S752" s="77">
        <v>0.0</v>
      </c>
      <c r="T752" s="235" t="s">
        <v>1179</v>
      </c>
      <c r="U752" s="78">
        <v>2.1386088E7</v>
      </c>
      <c r="V752" s="215"/>
      <c r="W752" s="216">
        <v>2.2E7</v>
      </c>
      <c r="X752" s="216">
        <v>2.2E9</v>
      </c>
      <c r="Y752" s="216">
        <v>6000000.0</v>
      </c>
      <c r="Z752" s="77"/>
    </row>
    <row r="753">
      <c r="A753" s="145" t="s">
        <v>797</v>
      </c>
      <c r="B753" s="145" t="s">
        <v>1585</v>
      </c>
      <c r="C753" s="145" t="s">
        <v>1543</v>
      </c>
      <c r="D753" s="75" t="s">
        <v>1544</v>
      </c>
      <c r="E753" s="75" t="s">
        <v>1544</v>
      </c>
      <c r="F753" s="211" t="s">
        <v>1596</v>
      </c>
      <c r="G753" s="145" t="s">
        <v>798</v>
      </c>
      <c r="H753" s="211" t="s">
        <v>77</v>
      </c>
      <c r="I753" s="145" t="s">
        <v>140</v>
      </c>
      <c r="J753" s="211" t="s">
        <v>1597</v>
      </c>
      <c r="K753" s="75" t="s">
        <v>1544</v>
      </c>
      <c r="L753" s="152" t="b">
        <v>1</v>
      </c>
      <c r="M753" s="152" t="b">
        <v>0</v>
      </c>
      <c r="N753" s="212" t="s">
        <v>3509</v>
      </c>
      <c r="O753" s="213" t="s">
        <v>1554</v>
      </c>
      <c r="P753" s="47" t="b">
        <v>1</v>
      </c>
      <c r="Q753" s="47" t="b">
        <v>0</v>
      </c>
      <c r="R753" s="214"/>
      <c r="S753" s="77">
        <v>0.0</v>
      </c>
      <c r="T753" s="76" t="s">
        <v>1190</v>
      </c>
      <c r="U753" s="78">
        <v>9760407.0</v>
      </c>
      <c r="V753" s="215"/>
      <c r="W753" s="77">
        <v>1.0E7</v>
      </c>
      <c r="X753" s="216">
        <v>100000.0</v>
      </c>
      <c r="Y753" s="77">
        <v>3000000.0</v>
      </c>
      <c r="Z753" s="77"/>
    </row>
    <row r="754">
      <c r="A754" s="145" t="s">
        <v>1216</v>
      </c>
      <c r="B754" s="145" t="s">
        <v>1720</v>
      </c>
      <c r="C754" s="145" t="s">
        <v>1543</v>
      </c>
      <c r="D754" s="75" t="s">
        <v>1544</v>
      </c>
      <c r="E754" s="75" t="s">
        <v>1544</v>
      </c>
      <c r="F754" s="211" t="s">
        <v>1851</v>
      </c>
      <c r="G754" s="145" t="s">
        <v>1217</v>
      </c>
      <c r="H754" s="211" t="s">
        <v>1018</v>
      </c>
      <c r="I754" s="145" t="s">
        <v>83</v>
      </c>
      <c r="J754" s="211" t="s">
        <v>1639</v>
      </c>
      <c r="K754" s="75" t="s">
        <v>1544</v>
      </c>
      <c r="L754" s="152" t="b">
        <v>1</v>
      </c>
      <c r="M754" s="152" t="b">
        <v>0</v>
      </c>
      <c r="N754" s="212" t="s">
        <v>3510</v>
      </c>
      <c r="O754" s="213" t="s">
        <v>1554</v>
      </c>
      <c r="P754" s="47" t="b">
        <v>1</v>
      </c>
      <c r="Q754" s="47" t="b">
        <v>0</v>
      </c>
      <c r="R754" s="214"/>
      <c r="S754" s="77">
        <v>0.0</v>
      </c>
      <c r="T754" s="76" t="s">
        <v>1172</v>
      </c>
      <c r="U754" s="78">
        <v>1.2973641E7</v>
      </c>
      <c r="V754" s="215"/>
      <c r="W754" s="77">
        <v>1.2E7</v>
      </c>
      <c r="X754" s="216">
        <v>96000.0</v>
      </c>
      <c r="Y754" s="77">
        <v>48000.0</v>
      </c>
      <c r="Z754" s="77"/>
    </row>
    <row r="755">
      <c r="A755" s="145" t="s">
        <v>2610</v>
      </c>
      <c r="B755" s="145" t="s">
        <v>1564</v>
      </c>
      <c r="C755" s="145" t="s">
        <v>1543</v>
      </c>
      <c r="D755" s="75" t="s">
        <v>1544</v>
      </c>
      <c r="E755" s="75" t="s">
        <v>1544</v>
      </c>
      <c r="F755" s="211" t="s">
        <v>1547</v>
      </c>
      <c r="G755" s="145" t="s">
        <v>2611</v>
      </c>
      <c r="H755" s="211" t="s">
        <v>77</v>
      </c>
      <c r="I755" s="145" t="s">
        <v>338</v>
      </c>
      <c r="J755" s="211" t="s">
        <v>1549</v>
      </c>
      <c r="K755" s="75" t="s">
        <v>1544</v>
      </c>
      <c r="L755" s="152" t="b">
        <v>1</v>
      </c>
      <c r="M755" s="152" t="b">
        <v>0</v>
      </c>
      <c r="N755" s="212" t="s">
        <v>3512</v>
      </c>
      <c r="O755" s="213" t="s">
        <v>1554</v>
      </c>
      <c r="P755" s="47" t="b">
        <v>1</v>
      </c>
      <c r="Q755" s="47" t="b">
        <v>0</v>
      </c>
      <c r="R755" s="214"/>
      <c r="S755" s="77">
        <v>0.0</v>
      </c>
      <c r="T755" s="76" t="s">
        <v>1176</v>
      </c>
      <c r="U755" s="78">
        <v>9222927.0</v>
      </c>
      <c r="V755" s="215"/>
      <c r="W755" s="77">
        <v>1.0E7</v>
      </c>
      <c r="X755" s="216">
        <v>100000.0</v>
      </c>
      <c r="Y755" s="77">
        <v>40000.0</v>
      </c>
      <c r="Z755" s="77"/>
    </row>
    <row r="756">
      <c r="A756" s="145" t="s">
        <v>2649</v>
      </c>
      <c r="B756" s="145" t="s">
        <v>1760</v>
      </c>
      <c r="C756" s="145" t="s">
        <v>1543</v>
      </c>
      <c r="D756" s="75" t="s">
        <v>1544</v>
      </c>
      <c r="E756" s="75" t="s">
        <v>1544</v>
      </c>
      <c r="F756" s="211" t="s">
        <v>1575</v>
      </c>
      <c r="G756" s="145" t="s">
        <v>3513</v>
      </c>
      <c r="H756" s="211" t="s">
        <v>77</v>
      </c>
      <c r="I756" s="145" t="s">
        <v>143</v>
      </c>
      <c r="J756" s="211" t="s">
        <v>1577</v>
      </c>
      <c r="K756" s="75" t="s">
        <v>1544</v>
      </c>
      <c r="L756" s="152" t="b">
        <v>1</v>
      </c>
      <c r="M756" s="152" t="b">
        <v>0</v>
      </c>
      <c r="N756" s="212" t="s">
        <v>3514</v>
      </c>
      <c r="O756" s="213" t="s">
        <v>1554</v>
      </c>
      <c r="P756" s="47" t="b">
        <v>1</v>
      </c>
      <c r="Q756" s="47" t="b">
        <v>0</v>
      </c>
      <c r="R756" s="214"/>
      <c r="S756" s="77">
        <v>0.0</v>
      </c>
      <c r="T756" s="76" t="s">
        <v>1179</v>
      </c>
      <c r="U756" s="78">
        <v>6530041.0</v>
      </c>
      <c r="V756" s="215"/>
      <c r="W756" s="77">
        <v>6000000.0</v>
      </c>
      <c r="X756" s="77">
        <v>60000.0</v>
      </c>
      <c r="Y756" s="77">
        <v>20000.0</v>
      </c>
      <c r="Z756" s="77"/>
    </row>
    <row r="757">
      <c r="A757" s="145" t="s">
        <v>825</v>
      </c>
      <c r="B757" s="145" t="s">
        <v>2189</v>
      </c>
      <c r="C757" s="145" t="s">
        <v>1543</v>
      </c>
      <c r="D757" s="75" t="s">
        <v>1544</v>
      </c>
      <c r="E757" s="75" t="s">
        <v>1544</v>
      </c>
      <c r="F757" s="211" t="s">
        <v>1690</v>
      </c>
      <c r="G757" s="145" t="s">
        <v>2647</v>
      </c>
      <c r="H757" s="211" t="s">
        <v>586</v>
      </c>
      <c r="I757" s="145" t="s">
        <v>162</v>
      </c>
      <c r="J757" s="211" t="s">
        <v>1597</v>
      </c>
      <c r="K757" s="75" t="s">
        <v>1544</v>
      </c>
      <c r="L757" s="152" t="b">
        <v>1</v>
      </c>
      <c r="M757" s="152" t="b">
        <v>0</v>
      </c>
      <c r="N757" s="212" t="s">
        <v>3515</v>
      </c>
      <c r="O757" s="213" t="s">
        <v>1554</v>
      </c>
      <c r="P757" s="47" t="b">
        <v>1</v>
      </c>
      <c r="Q757" s="47" t="b">
        <v>0</v>
      </c>
      <c r="R757" s="214"/>
      <c r="S757" s="77">
        <v>0.0</v>
      </c>
      <c r="T757" s="76" t="s">
        <v>1179</v>
      </c>
      <c r="U757" s="78">
        <v>2.170144E7</v>
      </c>
      <c r="V757" s="215"/>
      <c r="W757" s="77">
        <v>2.2E7</v>
      </c>
      <c r="X757" s="77">
        <v>154000.0</v>
      </c>
      <c r="Y757" s="77">
        <v>100000.0</v>
      </c>
      <c r="Z757" s="77"/>
    </row>
    <row r="758">
      <c r="A758" s="145" t="s">
        <v>2658</v>
      </c>
      <c r="B758" s="145" t="s">
        <v>1760</v>
      </c>
      <c r="C758" s="145" t="s">
        <v>1543</v>
      </c>
      <c r="D758" s="75" t="s">
        <v>1544</v>
      </c>
      <c r="E758" s="75" t="s">
        <v>1544</v>
      </c>
      <c r="F758" s="211" t="s">
        <v>1547</v>
      </c>
      <c r="G758" s="145" t="s">
        <v>2659</v>
      </c>
      <c r="H758" s="211" t="s">
        <v>77</v>
      </c>
      <c r="I758" s="145" t="s">
        <v>143</v>
      </c>
      <c r="J758" s="211" t="s">
        <v>1549</v>
      </c>
      <c r="K758" s="75" t="s">
        <v>1544</v>
      </c>
      <c r="L758" s="152" t="b">
        <v>1</v>
      </c>
      <c r="M758" s="152" t="b">
        <v>0</v>
      </c>
      <c r="N758" s="212" t="s">
        <v>3516</v>
      </c>
      <c r="O758" s="213" t="s">
        <v>1554</v>
      </c>
      <c r="P758" s="47" t="b">
        <v>1</v>
      </c>
      <c r="Q758" s="47" t="b">
        <v>0</v>
      </c>
      <c r="R758" s="214"/>
      <c r="S758" s="77">
        <v>0.0</v>
      </c>
      <c r="T758" s="76" t="s">
        <v>1172</v>
      </c>
      <c r="U758" s="78">
        <v>1.0601371E7</v>
      </c>
      <c r="V758" s="215"/>
      <c r="W758" s="77">
        <v>1.0E7</v>
      </c>
      <c r="X758" s="77">
        <v>100000.0</v>
      </c>
      <c r="Y758" s="77">
        <v>40000.0</v>
      </c>
      <c r="Z758" s="77"/>
    </row>
    <row r="759">
      <c r="A759" s="145" t="s">
        <v>950</v>
      </c>
      <c r="B759" s="145" t="s">
        <v>2584</v>
      </c>
      <c r="C759" s="145" t="s">
        <v>1543</v>
      </c>
      <c r="D759" s="75" t="s">
        <v>1544</v>
      </c>
      <c r="E759" s="75" t="s">
        <v>1544</v>
      </c>
      <c r="F759" s="211" t="s">
        <v>1557</v>
      </c>
      <c r="G759" s="145" t="s">
        <v>951</v>
      </c>
      <c r="H759" s="211" t="s">
        <v>87</v>
      </c>
      <c r="I759" s="145" t="s">
        <v>267</v>
      </c>
      <c r="J759" s="211" t="s">
        <v>1603</v>
      </c>
      <c r="K759" s="75" t="s">
        <v>1544</v>
      </c>
      <c r="L759" s="152" t="b">
        <v>1</v>
      </c>
      <c r="M759" s="152" t="b">
        <v>0</v>
      </c>
      <c r="N759" s="212" t="s">
        <v>3518</v>
      </c>
      <c r="O759" s="213" t="s">
        <v>1554</v>
      </c>
      <c r="P759" s="47" t="b">
        <v>0</v>
      </c>
      <c r="Q759" s="47" t="b">
        <v>0</v>
      </c>
      <c r="R759" s="214"/>
      <c r="S759" s="77">
        <v>0.0</v>
      </c>
      <c r="T759" s="76" t="s">
        <v>1179</v>
      </c>
      <c r="U759" s="215"/>
      <c r="V759" s="215"/>
      <c r="W759" s="214"/>
      <c r="X759" s="214"/>
      <c r="Y759" s="77">
        <v>6000000.0</v>
      </c>
      <c r="Z759" s="77"/>
    </row>
    <row r="760">
      <c r="A760" s="145" t="s">
        <v>2655</v>
      </c>
      <c r="B760" s="145" t="s">
        <v>1647</v>
      </c>
      <c r="C760" s="145" t="s">
        <v>1543</v>
      </c>
      <c r="D760" s="75" t="s">
        <v>1544</v>
      </c>
      <c r="E760" s="75" t="s">
        <v>1544</v>
      </c>
      <c r="F760" s="211" t="s">
        <v>3519</v>
      </c>
      <c r="G760" s="145" t="s">
        <v>2656</v>
      </c>
      <c r="H760" s="211" t="s">
        <v>1018</v>
      </c>
      <c r="I760" s="145" t="s">
        <v>132</v>
      </c>
      <c r="J760" s="211" t="s">
        <v>1577</v>
      </c>
      <c r="K760" s="75" t="s">
        <v>1544</v>
      </c>
      <c r="L760" s="152" t="b">
        <v>1</v>
      </c>
      <c r="M760" s="152" t="b">
        <v>0</v>
      </c>
      <c r="N760" s="212" t="s">
        <v>3520</v>
      </c>
      <c r="O760" s="213" t="s">
        <v>1554</v>
      </c>
      <c r="P760" s="47" t="b">
        <v>1</v>
      </c>
      <c r="Q760" s="47" t="b">
        <v>0</v>
      </c>
      <c r="R760" s="214"/>
      <c r="S760" s="77">
        <v>0.0</v>
      </c>
      <c r="T760" s="76" t="s">
        <v>1179</v>
      </c>
      <c r="U760" s="78">
        <v>6377247.0</v>
      </c>
      <c r="V760" s="215"/>
      <c r="W760" s="77">
        <v>6000000.0</v>
      </c>
      <c r="X760" s="216">
        <v>48000.0</v>
      </c>
      <c r="Y760" s="77">
        <v>16000.0</v>
      </c>
      <c r="Z760" s="77"/>
    </row>
    <row r="761">
      <c r="A761" s="145" t="s">
        <v>2667</v>
      </c>
      <c r="B761" s="145" t="s">
        <v>1760</v>
      </c>
      <c r="C761" s="145" t="s">
        <v>1543</v>
      </c>
      <c r="D761" s="75" t="s">
        <v>1544</v>
      </c>
      <c r="E761" s="75" t="s">
        <v>1544</v>
      </c>
      <c r="F761" s="211" t="s">
        <v>1637</v>
      </c>
      <c r="G761" s="145" t="s">
        <v>2668</v>
      </c>
      <c r="H761" s="211" t="s">
        <v>77</v>
      </c>
      <c r="I761" s="145" t="s">
        <v>143</v>
      </c>
      <c r="J761" s="211" t="s">
        <v>1639</v>
      </c>
      <c r="K761" s="75" t="s">
        <v>1544</v>
      </c>
      <c r="L761" s="152" t="b">
        <v>1</v>
      </c>
      <c r="M761" s="152" t="b">
        <v>0</v>
      </c>
      <c r="N761" s="212" t="s">
        <v>3521</v>
      </c>
      <c r="O761" s="213" t="s">
        <v>1554</v>
      </c>
      <c r="P761" s="47" t="b">
        <v>1</v>
      </c>
      <c r="Q761" s="47" t="b">
        <v>0</v>
      </c>
      <c r="R761" s="214"/>
      <c r="S761" s="77">
        <v>0.0</v>
      </c>
      <c r="T761" s="76" t="s">
        <v>1184</v>
      </c>
      <c r="U761" s="78">
        <v>1.2849393E7</v>
      </c>
      <c r="V761" s="215"/>
      <c r="W761" s="77">
        <v>1.2E7</v>
      </c>
      <c r="X761" s="216">
        <v>120000.0</v>
      </c>
      <c r="Y761" s="77">
        <v>60000.0</v>
      </c>
      <c r="Z761" s="77"/>
    </row>
    <row r="762">
      <c r="A762" s="145" t="s">
        <v>2665</v>
      </c>
      <c r="B762" s="145" t="s">
        <v>1760</v>
      </c>
      <c r="C762" s="145" t="s">
        <v>1543</v>
      </c>
      <c r="D762" s="75" t="s">
        <v>1544</v>
      </c>
      <c r="E762" s="75" t="s">
        <v>1544</v>
      </c>
      <c r="F762" s="211" t="s">
        <v>1637</v>
      </c>
      <c r="G762" s="145" t="s">
        <v>2666</v>
      </c>
      <c r="H762" s="211" t="s">
        <v>77</v>
      </c>
      <c r="I762" s="145" t="s">
        <v>143</v>
      </c>
      <c r="J762" s="211" t="s">
        <v>1639</v>
      </c>
      <c r="K762" s="75" t="s">
        <v>1544</v>
      </c>
      <c r="L762" s="152" t="b">
        <v>1</v>
      </c>
      <c r="M762" s="152" t="b">
        <v>0</v>
      </c>
      <c r="N762" s="212" t="s">
        <v>3522</v>
      </c>
      <c r="O762" s="213" t="s">
        <v>1554</v>
      </c>
      <c r="P762" s="47" t="b">
        <v>1</v>
      </c>
      <c r="Q762" s="47" t="b">
        <v>0</v>
      </c>
      <c r="R762" s="214"/>
      <c r="S762" s="77">
        <v>0.0</v>
      </c>
      <c r="T762" s="76" t="s">
        <v>1179</v>
      </c>
      <c r="U762" s="78">
        <v>1.2837405E7</v>
      </c>
      <c r="V762" s="215"/>
      <c r="W762" s="77">
        <v>1.2E7</v>
      </c>
      <c r="X762" s="216">
        <v>120000.0</v>
      </c>
      <c r="Y762" s="77">
        <v>60000.0</v>
      </c>
      <c r="Z762" s="77"/>
    </row>
    <row r="763">
      <c r="A763" s="145" t="s">
        <v>2669</v>
      </c>
      <c r="B763" s="145" t="s">
        <v>1760</v>
      </c>
      <c r="C763" s="145" t="s">
        <v>1543</v>
      </c>
      <c r="D763" s="75" t="s">
        <v>1544</v>
      </c>
      <c r="E763" s="75" t="s">
        <v>1544</v>
      </c>
      <c r="F763" s="211" t="s">
        <v>1637</v>
      </c>
      <c r="G763" s="145" t="s">
        <v>2670</v>
      </c>
      <c r="H763" s="211" t="s">
        <v>77</v>
      </c>
      <c r="I763" s="145" t="s">
        <v>143</v>
      </c>
      <c r="J763" s="211" t="s">
        <v>1639</v>
      </c>
      <c r="K763" s="75" t="s">
        <v>1544</v>
      </c>
      <c r="L763" s="152" t="b">
        <v>1</v>
      </c>
      <c r="M763" s="152" t="b">
        <v>0</v>
      </c>
      <c r="N763" s="212" t="s">
        <v>3523</v>
      </c>
      <c r="O763" s="213" t="s">
        <v>1554</v>
      </c>
      <c r="P763" s="47" t="b">
        <v>1</v>
      </c>
      <c r="Q763" s="47" t="b">
        <v>0</v>
      </c>
      <c r="R763" s="214"/>
      <c r="S763" s="77">
        <v>0.0</v>
      </c>
      <c r="T763" s="76" t="s">
        <v>1179</v>
      </c>
      <c r="U763" s="78">
        <v>1.3340097E7</v>
      </c>
      <c r="V763" s="215"/>
      <c r="W763" s="77">
        <v>1.4E7</v>
      </c>
      <c r="X763" s="216">
        <v>140000.0</v>
      </c>
      <c r="Y763" s="77">
        <v>60000.0</v>
      </c>
      <c r="Z763" s="77"/>
    </row>
    <row r="764">
      <c r="A764" s="145" t="s">
        <v>844</v>
      </c>
      <c r="B764" s="145" t="s">
        <v>2189</v>
      </c>
      <c r="C764" s="145" t="s">
        <v>1543</v>
      </c>
      <c r="D764" s="75" t="s">
        <v>1544</v>
      </c>
      <c r="E764" s="75" t="s">
        <v>1544</v>
      </c>
      <c r="F764" s="211" t="s">
        <v>1690</v>
      </c>
      <c r="G764" s="145" t="s">
        <v>2701</v>
      </c>
      <c r="H764" s="211" t="s">
        <v>586</v>
      </c>
      <c r="I764" s="145" t="s">
        <v>162</v>
      </c>
      <c r="J764" s="211" t="s">
        <v>1597</v>
      </c>
      <c r="K764" s="75" t="s">
        <v>1544</v>
      </c>
      <c r="L764" s="152" t="b">
        <v>1</v>
      </c>
      <c r="M764" s="152" t="b">
        <v>0</v>
      </c>
      <c r="N764" s="212" t="s">
        <v>3524</v>
      </c>
      <c r="O764" s="213" t="s">
        <v>1554</v>
      </c>
      <c r="P764" s="47" t="b">
        <v>1</v>
      </c>
      <c r="Q764" s="47" t="b">
        <v>0</v>
      </c>
      <c r="R764" s="214"/>
      <c r="S764" s="77">
        <v>0.0</v>
      </c>
      <c r="T764" s="76" t="s">
        <v>1179</v>
      </c>
      <c r="U764" s="78">
        <v>1.9823386E7</v>
      </c>
      <c r="V764" s="215"/>
      <c r="W764" s="77">
        <v>2.0E7</v>
      </c>
      <c r="X764" s="77">
        <v>140000.0</v>
      </c>
      <c r="Y764" s="77">
        <v>100000.0</v>
      </c>
      <c r="Z764" s="77"/>
    </row>
    <row r="765">
      <c r="A765" s="145" t="s">
        <v>2306</v>
      </c>
      <c r="B765" s="145" t="s">
        <v>1968</v>
      </c>
      <c r="C765" s="145" t="s">
        <v>1543</v>
      </c>
      <c r="D765" s="75" t="s">
        <v>1544</v>
      </c>
      <c r="E765" s="75" t="s">
        <v>1544</v>
      </c>
      <c r="F765" s="211" t="s">
        <v>1637</v>
      </c>
      <c r="G765" s="145" t="s">
        <v>2307</v>
      </c>
      <c r="H765" s="211" t="s">
        <v>77</v>
      </c>
      <c r="I765" s="145" t="s">
        <v>340</v>
      </c>
      <c r="J765" s="211" t="s">
        <v>1639</v>
      </c>
      <c r="K765" s="75" t="s">
        <v>1544</v>
      </c>
      <c r="L765" s="152" t="b">
        <v>1</v>
      </c>
      <c r="M765" s="152" t="b">
        <v>0</v>
      </c>
      <c r="N765" s="212" t="s">
        <v>3525</v>
      </c>
      <c r="O765" s="213" t="s">
        <v>1554</v>
      </c>
      <c r="P765" s="47" t="b">
        <v>1</v>
      </c>
      <c r="Q765" s="47" t="b">
        <v>0</v>
      </c>
      <c r="R765" s="214"/>
      <c r="S765" s="77">
        <v>0.0</v>
      </c>
      <c r="T765" s="76" t="s">
        <v>1172</v>
      </c>
      <c r="U765" s="78">
        <v>1.5054198E7</v>
      </c>
      <c r="V765" s="215"/>
      <c r="W765" s="77">
        <v>1.6E7</v>
      </c>
      <c r="X765" s="77">
        <v>160000.0</v>
      </c>
      <c r="Y765" s="77">
        <v>60000.0</v>
      </c>
      <c r="Z765" s="77"/>
    </row>
    <row r="766">
      <c r="A766" s="145" t="s">
        <v>2322</v>
      </c>
      <c r="B766" s="145" t="s">
        <v>1968</v>
      </c>
      <c r="C766" s="145" t="s">
        <v>1543</v>
      </c>
      <c r="D766" s="75" t="s">
        <v>1544</v>
      </c>
      <c r="E766" s="75" t="s">
        <v>1544</v>
      </c>
      <c r="F766" s="211" t="s">
        <v>1547</v>
      </c>
      <c r="G766" s="145" t="s">
        <v>2323</v>
      </c>
      <c r="H766" s="211" t="s">
        <v>77</v>
      </c>
      <c r="I766" s="145" t="s">
        <v>340</v>
      </c>
      <c r="J766" s="211" t="s">
        <v>1549</v>
      </c>
      <c r="K766" s="75" t="s">
        <v>1544</v>
      </c>
      <c r="L766" s="152" t="b">
        <v>1</v>
      </c>
      <c r="M766" s="152" t="b">
        <v>0</v>
      </c>
      <c r="N766" s="212" t="s">
        <v>3526</v>
      </c>
      <c r="O766" s="213" t="s">
        <v>1554</v>
      </c>
      <c r="P766" s="47" t="b">
        <v>1</v>
      </c>
      <c r="Q766" s="47" t="b">
        <v>0</v>
      </c>
      <c r="R766" s="214"/>
      <c r="S766" s="77">
        <v>0.0</v>
      </c>
      <c r="T766" s="76" t="s">
        <v>1179</v>
      </c>
      <c r="U766" s="78">
        <v>9884530.0</v>
      </c>
      <c r="V766" s="215"/>
      <c r="W766" s="77">
        <v>1.0E7</v>
      </c>
      <c r="X766" s="77">
        <v>100000.0</v>
      </c>
      <c r="Y766" s="77">
        <v>40000.0</v>
      </c>
      <c r="Z766" s="77"/>
    </row>
    <row r="767">
      <c r="A767" s="145" t="s">
        <v>878</v>
      </c>
      <c r="B767" s="145" t="s">
        <v>1580</v>
      </c>
      <c r="C767" s="145" t="s">
        <v>1543</v>
      </c>
      <c r="D767" s="75" t="s">
        <v>1544</v>
      </c>
      <c r="E767" s="75" t="s">
        <v>1544</v>
      </c>
      <c r="F767" s="211" t="s">
        <v>1602</v>
      </c>
      <c r="G767" s="145" t="s">
        <v>879</v>
      </c>
      <c r="H767" s="211" t="s">
        <v>87</v>
      </c>
      <c r="I767" s="145" t="s">
        <v>267</v>
      </c>
      <c r="J767" s="211" t="s">
        <v>1603</v>
      </c>
      <c r="K767" s="75" t="s">
        <v>1544</v>
      </c>
      <c r="L767" s="152" t="b">
        <v>1</v>
      </c>
      <c r="M767" s="152" t="b">
        <v>0</v>
      </c>
      <c r="N767" s="212" t="s">
        <v>3527</v>
      </c>
      <c r="O767" s="213" t="s">
        <v>1554</v>
      </c>
      <c r="P767" s="47" t="b">
        <v>0</v>
      </c>
      <c r="Q767" s="47" t="b">
        <v>0</v>
      </c>
      <c r="R767" s="214"/>
      <c r="S767" s="77">
        <v>0.0</v>
      </c>
      <c r="T767" s="76" t="s">
        <v>1179</v>
      </c>
      <c r="U767" s="215"/>
      <c r="V767" s="215"/>
      <c r="W767" s="214"/>
      <c r="X767" s="214"/>
      <c r="Y767" s="77">
        <v>1.0</v>
      </c>
      <c r="Z767" s="77"/>
    </row>
    <row r="768">
      <c r="A768" s="145" t="s">
        <v>2705</v>
      </c>
      <c r="B768" s="145" t="s">
        <v>1760</v>
      </c>
      <c r="C768" s="145" t="s">
        <v>1543</v>
      </c>
      <c r="D768" s="75" t="s">
        <v>1544</v>
      </c>
      <c r="E768" s="75" t="s">
        <v>1544</v>
      </c>
      <c r="F768" s="211" t="s">
        <v>1637</v>
      </c>
      <c r="G768" s="145" t="s">
        <v>3528</v>
      </c>
      <c r="H768" s="211" t="s">
        <v>77</v>
      </c>
      <c r="I768" s="145" t="s">
        <v>143</v>
      </c>
      <c r="J768" s="211" t="s">
        <v>1639</v>
      </c>
      <c r="K768" s="75" t="s">
        <v>1544</v>
      </c>
      <c r="L768" s="152" t="b">
        <v>1</v>
      </c>
      <c r="M768" s="152" t="b">
        <v>0</v>
      </c>
      <c r="N768" s="212" t="s">
        <v>3529</v>
      </c>
      <c r="O768" s="213" t="s">
        <v>1554</v>
      </c>
      <c r="P768" s="47" t="b">
        <v>1</v>
      </c>
      <c r="Q768" s="47" t="b">
        <v>0</v>
      </c>
      <c r="R768" s="214"/>
      <c r="S768" s="77">
        <v>0.0</v>
      </c>
      <c r="T768" s="76" t="s">
        <v>1187</v>
      </c>
      <c r="U768" s="78">
        <v>7002202.0</v>
      </c>
      <c r="V768" s="215"/>
      <c r="W768" s="77">
        <v>8000000.0</v>
      </c>
      <c r="X768" s="77">
        <v>80000.0</v>
      </c>
      <c r="Y768" s="77">
        <v>60000.0</v>
      </c>
      <c r="Z768" s="77"/>
    </row>
    <row r="769">
      <c r="A769" s="145" t="s">
        <v>2699</v>
      </c>
      <c r="B769" s="145" t="s">
        <v>1760</v>
      </c>
      <c r="C769" s="145" t="s">
        <v>1543</v>
      </c>
      <c r="D769" s="75" t="s">
        <v>1544</v>
      </c>
      <c r="E769" s="75" t="s">
        <v>1544</v>
      </c>
      <c r="F769" s="211" t="s">
        <v>1645</v>
      </c>
      <c r="G769" s="145" t="s">
        <v>2700</v>
      </c>
      <c r="H769" s="211" t="s">
        <v>77</v>
      </c>
      <c r="I769" s="145" t="s">
        <v>143</v>
      </c>
      <c r="J769" s="211" t="s">
        <v>1609</v>
      </c>
      <c r="K769" s="75" t="s">
        <v>1544</v>
      </c>
      <c r="L769" s="152" t="b">
        <v>1</v>
      </c>
      <c r="M769" s="152" t="b">
        <v>0</v>
      </c>
      <c r="N769" s="212" t="s">
        <v>3531</v>
      </c>
      <c r="O769" s="213" t="s">
        <v>1554</v>
      </c>
      <c r="P769" s="47" t="b">
        <v>1</v>
      </c>
      <c r="Q769" s="47" t="b">
        <v>0</v>
      </c>
      <c r="R769" s="214"/>
      <c r="S769" s="77">
        <v>0.0</v>
      </c>
      <c r="T769" s="76" t="s">
        <v>1172</v>
      </c>
      <c r="U769" s="78">
        <v>1.9170952E7</v>
      </c>
      <c r="V769" s="215"/>
      <c r="W769" s="77">
        <v>2.0E7</v>
      </c>
      <c r="X769" s="77">
        <v>200000.0</v>
      </c>
      <c r="Y769" s="77">
        <v>80000.0</v>
      </c>
      <c r="Z769" s="77"/>
    </row>
    <row r="770">
      <c r="A770" s="145" t="s">
        <v>127</v>
      </c>
      <c r="B770" s="145" t="s">
        <v>1788</v>
      </c>
      <c r="C770" s="145" t="s">
        <v>1543</v>
      </c>
      <c r="D770" s="75" t="s">
        <v>1544</v>
      </c>
      <c r="E770" s="75" t="s">
        <v>1544</v>
      </c>
      <c r="F770" s="211" t="s">
        <v>1637</v>
      </c>
      <c r="G770" s="145" t="s">
        <v>3517</v>
      </c>
      <c r="H770" s="211" t="s">
        <v>907</v>
      </c>
      <c r="I770" s="145" t="s">
        <v>25</v>
      </c>
      <c r="J770" s="211" t="s">
        <v>1639</v>
      </c>
      <c r="K770" s="75" t="s">
        <v>1544</v>
      </c>
      <c r="L770" s="152" t="b">
        <v>1</v>
      </c>
      <c r="M770" s="152" t="b">
        <v>0</v>
      </c>
      <c r="N770" s="212" t="s">
        <v>3532</v>
      </c>
      <c r="O770" s="213" t="s">
        <v>1554</v>
      </c>
      <c r="P770" s="47" t="b">
        <v>1</v>
      </c>
      <c r="Q770" s="47" t="b">
        <v>0</v>
      </c>
      <c r="R770" s="214"/>
      <c r="S770" s="77">
        <v>0.0</v>
      </c>
      <c r="T770" s="76" t="s">
        <v>1172</v>
      </c>
      <c r="U770" s="78">
        <v>1.7099547E7</v>
      </c>
      <c r="V770" s="215"/>
      <c r="W770" s="77">
        <v>1.8E7</v>
      </c>
      <c r="X770" s="77">
        <v>180000.0</v>
      </c>
      <c r="Y770" s="77">
        <v>60000.0</v>
      </c>
      <c r="Z770" s="77"/>
    </row>
    <row r="771">
      <c r="A771" s="145" t="s">
        <v>2695</v>
      </c>
      <c r="B771" s="145" t="s">
        <v>1849</v>
      </c>
      <c r="C771" s="145" t="s">
        <v>1543</v>
      </c>
      <c r="D771" s="75" t="s">
        <v>1544</v>
      </c>
      <c r="E771" s="75" t="s">
        <v>1544</v>
      </c>
      <c r="F771" s="211" t="s">
        <v>1851</v>
      </c>
      <c r="G771" s="145" t="s">
        <v>2696</v>
      </c>
      <c r="H771" s="211" t="s">
        <v>1018</v>
      </c>
      <c r="I771" s="145" t="s">
        <v>75</v>
      </c>
      <c r="J771" s="211" t="s">
        <v>1639</v>
      </c>
      <c r="K771" s="75" t="s">
        <v>1544</v>
      </c>
      <c r="L771" s="152" t="b">
        <v>1</v>
      </c>
      <c r="M771" s="152" t="b">
        <v>0</v>
      </c>
      <c r="N771" s="212" t="s">
        <v>3533</v>
      </c>
      <c r="O771" s="213" t="s">
        <v>1554</v>
      </c>
      <c r="P771" s="47" t="b">
        <v>1</v>
      </c>
      <c r="Q771" s="47" t="b">
        <v>0</v>
      </c>
      <c r="R771" s="214"/>
      <c r="S771" s="77">
        <v>0.0</v>
      </c>
      <c r="T771" s="76" t="s">
        <v>1172</v>
      </c>
      <c r="U771" s="78">
        <v>1.3751622E7</v>
      </c>
      <c r="V771" s="215"/>
      <c r="W771" s="77">
        <v>1.4E7</v>
      </c>
      <c r="X771" s="216">
        <v>112000.0</v>
      </c>
      <c r="Y771" s="77">
        <v>48000.0</v>
      </c>
      <c r="Z771" s="77"/>
    </row>
    <row r="772">
      <c r="A772" s="145" t="s">
        <v>2146</v>
      </c>
      <c r="B772" s="145" t="s">
        <v>1968</v>
      </c>
      <c r="C772" s="145" t="s">
        <v>1543</v>
      </c>
      <c r="D772" s="75" t="s">
        <v>1544</v>
      </c>
      <c r="E772" s="75" t="s">
        <v>1544</v>
      </c>
      <c r="F772" s="211" t="s">
        <v>1575</v>
      </c>
      <c r="G772" s="145" t="s">
        <v>2147</v>
      </c>
      <c r="H772" s="211" t="s">
        <v>77</v>
      </c>
      <c r="I772" s="145" t="s">
        <v>340</v>
      </c>
      <c r="J772" s="211" t="s">
        <v>1577</v>
      </c>
      <c r="K772" s="75" t="s">
        <v>1544</v>
      </c>
      <c r="L772" s="152" t="b">
        <v>1</v>
      </c>
      <c r="M772" s="152" t="b">
        <v>0</v>
      </c>
      <c r="N772" s="212" t="s">
        <v>3534</v>
      </c>
      <c r="O772" s="213" t="s">
        <v>1554</v>
      </c>
      <c r="P772" s="47" t="b">
        <v>1</v>
      </c>
      <c r="Q772" s="47" t="b">
        <v>0</v>
      </c>
      <c r="R772" s="214"/>
      <c r="S772" s="77">
        <v>0.0</v>
      </c>
      <c r="T772" s="76" t="s">
        <v>1179</v>
      </c>
      <c r="U772" s="78">
        <v>6609956.0</v>
      </c>
      <c r="V772" s="215"/>
      <c r="W772" s="77">
        <v>6000000.0</v>
      </c>
      <c r="X772" s="216">
        <v>60000.0</v>
      </c>
      <c r="Y772" s="77">
        <v>20000.0</v>
      </c>
      <c r="Z772" s="77"/>
    </row>
    <row r="773">
      <c r="A773" s="145" t="s">
        <v>2157</v>
      </c>
      <c r="B773" s="145" t="s">
        <v>1968</v>
      </c>
      <c r="C773" s="145" t="s">
        <v>1543</v>
      </c>
      <c r="D773" s="75" t="s">
        <v>1544</v>
      </c>
      <c r="E773" s="75" t="s">
        <v>1544</v>
      </c>
      <c r="F773" s="211" t="s">
        <v>1575</v>
      </c>
      <c r="G773" s="145" t="s">
        <v>2158</v>
      </c>
      <c r="H773" s="211" t="s">
        <v>77</v>
      </c>
      <c r="I773" s="145" t="s">
        <v>340</v>
      </c>
      <c r="J773" s="211" t="s">
        <v>1577</v>
      </c>
      <c r="K773" s="75" t="s">
        <v>1544</v>
      </c>
      <c r="L773" s="152" t="b">
        <v>1</v>
      </c>
      <c r="M773" s="152" t="b">
        <v>0</v>
      </c>
      <c r="N773" s="212" t="s">
        <v>3535</v>
      </c>
      <c r="O773" s="213" t="s">
        <v>1554</v>
      </c>
      <c r="P773" s="47" t="b">
        <v>1</v>
      </c>
      <c r="Q773" s="47" t="b">
        <v>0</v>
      </c>
      <c r="R773" s="214"/>
      <c r="S773" s="77">
        <v>0.0</v>
      </c>
      <c r="T773" s="76" t="s">
        <v>1176</v>
      </c>
      <c r="U773" s="78">
        <v>5576565.0</v>
      </c>
      <c r="V773" s="215"/>
      <c r="W773" s="77">
        <v>6000000.0</v>
      </c>
      <c r="X773" s="77">
        <v>60000.0</v>
      </c>
      <c r="Y773" s="77">
        <v>20000.0</v>
      </c>
      <c r="Z773" s="77"/>
    </row>
    <row r="774">
      <c r="A774" s="145" t="s">
        <v>2733</v>
      </c>
      <c r="B774" s="145" t="s">
        <v>1788</v>
      </c>
      <c r="C774" s="145" t="s">
        <v>1543</v>
      </c>
      <c r="D774" s="75" t="s">
        <v>1544</v>
      </c>
      <c r="E774" s="75" t="s">
        <v>1544</v>
      </c>
      <c r="F774" s="211" t="s">
        <v>1547</v>
      </c>
      <c r="G774" s="145" t="s">
        <v>3537</v>
      </c>
      <c r="H774" s="211" t="s">
        <v>907</v>
      </c>
      <c r="I774" s="145" t="s">
        <v>25</v>
      </c>
      <c r="J774" s="211" t="s">
        <v>1549</v>
      </c>
      <c r="K774" s="75" t="s">
        <v>1544</v>
      </c>
      <c r="L774" s="152" t="b">
        <v>1</v>
      </c>
      <c r="M774" s="152" t="b">
        <v>0</v>
      </c>
      <c r="N774" s="212" t="s">
        <v>3538</v>
      </c>
      <c r="O774" s="213" t="s">
        <v>1554</v>
      </c>
      <c r="P774" s="47" t="b">
        <v>1</v>
      </c>
      <c r="Q774" s="47" t="b">
        <v>0</v>
      </c>
      <c r="R774" s="214"/>
      <c r="S774" s="77">
        <v>0.0</v>
      </c>
      <c r="T774" s="76" t="s">
        <v>1172</v>
      </c>
      <c r="U774" s="78">
        <v>1.1270483E7</v>
      </c>
      <c r="V774" s="215"/>
      <c r="W774" s="77">
        <v>1.2E7</v>
      </c>
      <c r="X774" s="77">
        <v>120000.0</v>
      </c>
      <c r="Y774" s="77">
        <v>40000.0</v>
      </c>
      <c r="Z774" s="77"/>
    </row>
    <row r="775">
      <c r="A775" s="145" t="s">
        <v>2730</v>
      </c>
      <c r="B775" s="145" t="s">
        <v>1984</v>
      </c>
      <c r="C775" s="145" t="s">
        <v>1543</v>
      </c>
      <c r="D775" s="75" t="s">
        <v>1544</v>
      </c>
      <c r="E775" s="75" t="s">
        <v>1544</v>
      </c>
      <c r="F775" s="211" t="s">
        <v>1547</v>
      </c>
      <c r="G775" s="145" t="s">
        <v>2731</v>
      </c>
      <c r="H775" s="211" t="s">
        <v>77</v>
      </c>
      <c r="I775" s="145" t="s">
        <v>140</v>
      </c>
      <c r="J775" s="211" t="s">
        <v>1549</v>
      </c>
      <c r="K775" s="75" t="s">
        <v>1544</v>
      </c>
      <c r="L775" s="152" t="b">
        <v>1</v>
      </c>
      <c r="M775" s="152" t="b">
        <v>0</v>
      </c>
      <c r="N775" s="212" t="s">
        <v>3539</v>
      </c>
      <c r="O775" s="213" t="s">
        <v>1554</v>
      </c>
      <c r="P775" s="47" t="b">
        <v>1</v>
      </c>
      <c r="Q775" s="47" t="b">
        <v>0</v>
      </c>
      <c r="R775" s="214"/>
      <c r="S775" s="77">
        <v>0.0</v>
      </c>
      <c r="T775" s="76" t="s">
        <v>1162</v>
      </c>
      <c r="U775" s="78">
        <v>6498066.0</v>
      </c>
      <c r="V775" s="215"/>
      <c r="W775" s="77">
        <v>6000000.0</v>
      </c>
      <c r="X775" s="77">
        <v>60000.0</v>
      </c>
      <c r="Y775" s="77">
        <v>40000.0</v>
      </c>
      <c r="Z775" s="77"/>
    </row>
    <row r="776">
      <c r="A776" s="145" t="s">
        <v>1498</v>
      </c>
      <c r="B776" s="145" t="s">
        <v>1751</v>
      </c>
      <c r="C776" s="145" t="s">
        <v>1543</v>
      </c>
      <c r="D776" s="75" t="s">
        <v>1544</v>
      </c>
      <c r="E776" s="75" t="s">
        <v>1544</v>
      </c>
      <c r="F776" s="211" t="s">
        <v>1645</v>
      </c>
      <c r="G776" s="145" t="s">
        <v>1499</v>
      </c>
      <c r="H776" s="211" t="s">
        <v>1018</v>
      </c>
      <c r="I776" s="145" t="s">
        <v>83</v>
      </c>
      <c r="J776" s="211" t="s">
        <v>1597</v>
      </c>
      <c r="K776" s="75" t="s">
        <v>1544</v>
      </c>
      <c r="L776" s="152" t="b">
        <v>1</v>
      </c>
      <c r="M776" s="152" t="b">
        <v>0</v>
      </c>
      <c r="N776" s="212" t="s">
        <v>3540</v>
      </c>
      <c r="O776" s="213" t="s">
        <v>1554</v>
      </c>
      <c r="P776" s="47" t="b">
        <v>1</v>
      </c>
      <c r="Q776" s="47" t="b">
        <v>0</v>
      </c>
      <c r="R776" s="214"/>
      <c r="S776" s="77">
        <v>0.0</v>
      </c>
      <c r="T776" s="76" t="s">
        <v>1187</v>
      </c>
      <c r="U776" s="78">
        <v>1.0181785E7</v>
      </c>
      <c r="V776" s="215"/>
      <c r="W776" s="77">
        <v>1.0E7</v>
      </c>
      <c r="X776" s="77">
        <v>80000.0</v>
      </c>
      <c r="Y776" s="77">
        <v>80000.0</v>
      </c>
      <c r="Z776" s="77"/>
    </row>
    <row r="777">
      <c r="A777" s="145" t="s">
        <v>2739</v>
      </c>
      <c r="B777" s="145" t="s">
        <v>1760</v>
      </c>
      <c r="C777" s="145" t="s">
        <v>1543</v>
      </c>
      <c r="D777" s="75" t="s">
        <v>1544</v>
      </c>
      <c r="E777" s="75" t="s">
        <v>1544</v>
      </c>
      <c r="F777" s="211" t="s">
        <v>1547</v>
      </c>
      <c r="G777" s="145" t="s">
        <v>2740</v>
      </c>
      <c r="H777" s="211" t="s">
        <v>77</v>
      </c>
      <c r="I777" s="145" t="s">
        <v>143</v>
      </c>
      <c r="J777" s="211" t="s">
        <v>1549</v>
      </c>
      <c r="K777" s="75" t="s">
        <v>1544</v>
      </c>
      <c r="L777" s="152" t="b">
        <v>1</v>
      </c>
      <c r="M777" s="152" t="b">
        <v>0</v>
      </c>
      <c r="N777" s="212" t="s">
        <v>3541</v>
      </c>
      <c r="O777" s="213" t="s">
        <v>1554</v>
      </c>
      <c r="P777" s="47" t="b">
        <v>1</v>
      </c>
      <c r="Q777" s="47" t="b">
        <v>0</v>
      </c>
      <c r="R777" s="214"/>
      <c r="S777" s="77">
        <v>0.0</v>
      </c>
      <c r="T777" s="76" t="s">
        <v>1179</v>
      </c>
      <c r="U777" s="78">
        <v>1.1746004E7</v>
      </c>
      <c r="V777" s="215"/>
      <c r="W777" s="77">
        <v>1.2E7</v>
      </c>
      <c r="X777" s="216">
        <v>120000.0</v>
      </c>
      <c r="Y777" s="77">
        <v>40000.0</v>
      </c>
      <c r="Z777" s="77"/>
    </row>
    <row r="778">
      <c r="A778" s="145" t="s">
        <v>608</v>
      </c>
      <c r="B778" s="145" t="s">
        <v>147</v>
      </c>
      <c r="C778" s="145" t="s">
        <v>2288</v>
      </c>
      <c r="D778" s="75" t="s">
        <v>1544</v>
      </c>
      <c r="E778" s="75" t="s">
        <v>1544</v>
      </c>
      <c r="F778" s="211" t="s">
        <v>1690</v>
      </c>
      <c r="G778" s="145" t="s">
        <v>1089</v>
      </c>
      <c r="H778" s="211" t="s">
        <v>586</v>
      </c>
      <c r="I778" s="145" t="s">
        <v>585</v>
      </c>
      <c r="J778" s="211" t="s">
        <v>1597</v>
      </c>
      <c r="K778" s="75" t="s">
        <v>1601</v>
      </c>
      <c r="L778" s="152" t="b">
        <v>1</v>
      </c>
      <c r="M778" s="152" t="b">
        <v>0</v>
      </c>
      <c r="N778" s="217"/>
      <c r="O778" s="213" t="s">
        <v>1554</v>
      </c>
      <c r="P778" s="47" t="b">
        <v>1</v>
      </c>
      <c r="Q778" s="47" t="b">
        <v>0</v>
      </c>
      <c r="R778" s="214"/>
      <c r="S778" s="77">
        <v>0.0</v>
      </c>
      <c r="T778" s="76" t="s">
        <v>1179</v>
      </c>
      <c r="U778" s="78">
        <v>2.0921383E7</v>
      </c>
      <c r="V778" s="215"/>
      <c r="W778" s="77">
        <v>2.0E7</v>
      </c>
      <c r="X778" s="77">
        <v>140000.0</v>
      </c>
      <c r="Y778" s="77">
        <v>100000.0</v>
      </c>
      <c r="Z778" s="77"/>
    </row>
    <row r="779">
      <c r="A779" s="145" t="s">
        <v>135</v>
      </c>
      <c r="B779" s="145" t="s">
        <v>2326</v>
      </c>
      <c r="C779" s="145" t="s">
        <v>2288</v>
      </c>
      <c r="D779" s="75" t="s">
        <v>1544</v>
      </c>
      <c r="E779" s="75" t="s">
        <v>1544</v>
      </c>
      <c r="F779" s="211" t="s">
        <v>3542</v>
      </c>
      <c r="G779" s="145" t="s">
        <v>735</v>
      </c>
      <c r="H779" s="211" t="s">
        <v>1018</v>
      </c>
      <c r="I779" s="145" t="s">
        <v>66</v>
      </c>
      <c r="J779" s="211" t="s">
        <v>1667</v>
      </c>
      <c r="K779" s="75" t="s">
        <v>1544</v>
      </c>
      <c r="L779" s="152" t="b">
        <v>1</v>
      </c>
      <c r="M779" s="152" t="b">
        <v>0</v>
      </c>
      <c r="N779" s="217"/>
      <c r="O779" s="213" t="s">
        <v>1554</v>
      </c>
      <c r="P779" s="47" t="b">
        <v>1</v>
      </c>
      <c r="Q779" s="47" t="b">
        <v>0</v>
      </c>
      <c r="R779" s="214"/>
      <c r="S779" s="77">
        <v>0.0</v>
      </c>
      <c r="T779" s="76" t="s">
        <v>1187</v>
      </c>
      <c r="U779" s="78">
        <v>1.1864855E7</v>
      </c>
      <c r="V779" s="215"/>
      <c r="W779" s="77">
        <v>1.2E7</v>
      </c>
      <c r="X779" s="77">
        <v>96000.0</v>
      </c>
      <c r="Y779" s="77">
        <v>221915.0</v>
      </c>
      <c r="Z779" s="77"/>
    </row>
    <row r="780">
      <c r="A780" s="145" t="s">
        <v>2606</v>
      </c>
      <c r="B780" s="145" t="s">
        <v>2287</v>
      </c>
      <c r="C780" s="145" t="s">
        <v>2288</v>
      </c>
      <c r="D780" s="75" t="s">
        <v>1544</v>
      </c>
      <c r="E780" s="75" t="s">
        <v>1544</v>
      </c>
      <c r="F780" s="211" t="s">
        <v>3519</v>
      </c>
      <c r="G780" s="145" t="s">
        <v>2607</v>
      </c>
      <c r="H780" s="211" t="s">
        <v>1018</v>
      </c>
      <c r="I780" s="145" t="s">
        <v>92</v>
      </c>
      <c r="J780" s="211" t="s">
        <v>1577</v>
      </c>
      <c r="K780" s="75" t="s">
        <v>1544</v>
      </c>
      <c r="L780" s="152" t="b">
        <v>1</v>
      </c>
      <c r="M780" s="152" t="b">
        <v>0</v>
      </c>
      <c r="N780" s="217"/>
      <c r="O780" s="213" t="s">
        <v>1554</v>
      </c>
      <c r="P780" s="47" t="b">
        <v>1</v>
      </c>
      <c r="Q780" s="47" t="b">
        <v>0</v>
      </c>
      <c r="R780" s="214"/>
      <c r="S780" s="77">
        <v>0.0</v>
      </c>
      <c r="T780" s="76" t="s">
        <v>1179</v>
      </c>
      <c r="U780" s="78">
        <v>1.0124433E7</v>
      </c>
      <c r="V780" s="215"/>
      <c r="W780" s="77">
        <v>1.0E7</v>
      </c>
      <c r="X780" s="77">
        <v>80000.0</v>
      </c>
      <c r="Y780" s="77">
        <v>16000.0</v>
      </c>
      <c r="Z780" s="77"/>
    </row>
    <row r="781">
      <c r="A781" s="145" t="s">
        <v>2608</v>
      </c>
      <c r="B781" s="145" t="s">
        <v>2287</v>
      </c>
      <c r="C781" s="145" t="s">
        <v>2288</v>
      </c>
      <c r="D781" s="75" t="s">
        <v>1544</v>
      </c>
      <c r="E781" s="75" t="s">
        <v>1544</v>
      </c>
      <c r="F781" s="211" t="s">
        <v>3292</v>
      </c>
      <c r="G781" s="145" t="s">
        <v>1716</v>
      </c>
      <c r="H781" s="211" t="s">
        <v>1018</v>
      </c>
      <c r="I781" s="145" t="s">
        <v>92</v>
      </c>
      <c r="J781" s="211" t="s">
        <v>1667</v>
      </c>
      <c r="K781" s="75" t="s">
        <v>1544</v>
      </c>
      <c r="L781" s="152" t="b">
        <v>1</v>
      </c>
      <c r="M781" s="152" t="b">
        <v>0</v>
      </c>
      <c r="N781" s="217"/>
      <c r="O781" s="213" t="s">
        <v>1554</v>
      </c>
      <c r="P781" s="47" t="b">
        <v>1</v>
      </c>
      <c r="Q781" s="47" t="b">
        <v>0</v>
      </c>
      <c r="R781" s="214"/>
      <c r="S781" s="77">
        <v>0.0</v>
      </c>
      <c r="T781" s="76" t="s">
        <v>1176</v>
      </c>
      <c r="U781" s="78">
        <v>2.9699057E7</v>
      </c>
      <c r="V781" s="215"/>
      <c r="W781" s="77">
        <v>3.0E7</v>
      </c>
      <c r="X781" s="216">
        <v>240000.0</v>
      </c>
      <c r="Y781" s="77">
        <v>96000.0</v>
      </c>
      <c r="Z781" s="77"/>
    </row>
    <row r="782">
      <c r="A782" s="145" t="s">
        <v>1114</v>
      </c>
      <c r="B782" s="145" t="s">
        <v>230</v>
      </c>
      <c r="C782" s="145" t="s">
        <v>2288</v>
      </c>
      <c r="D782" s="75" t="s">
        <v>1544</v>
      </c>
      <c r="E782" s="75" t="s">
        <v>1544</v>
      </c>
      <c r="F782" s="211" t="s">
        <v>1708</v>
      </c>
      <c r="G782" s="145" t="s">
        <v>1115</v>
      </c>
      <c r="H782" s="211" t="s">
        <v>77</v>
      </c>
      <c r="I782" s="145" t="s">
        <v>218</v>
      </c>
      <c r="J782" s="211" t="s">
        <v>1667</v>
      </c>
      <c r="K782" s="75" t="s">
        <v>1544</v>
      </c>
      <c r="L782" s="152" t="b">
        <v>1</v>
      </c>
      <c r="M782" s="152" t="b">
        <v>0</v>
      </c>
      <c r="N782" s="217"/>
      <c r="O782" s="213" t="s">
        <v>1554</v>
      </c>
      <c r="P782" s="47" t="b">
        <v>1</v>
      </c>
      <c r="Q782" s="47" t="b">
        <v>0</v>
      </c>
      <c r="R782" s="214"/>
      <c r="S782" s="77">
        <v>0.0</v>
      </c>
      <c r="T782" s="76" t="s">
        <v>1176</v>
      </c>
      <c r="U782" s="78">
        <v>2.9655501E7</v>
      </c>
      <c r="V782" s="215"/>
      <c r="W782" s="216">
        <v>3.0E7</v>
      </c>
      <c r="X782" s="216">
        <v>300000.0</v>
      </c>
      <c r="Y782" s="77">
        <v>120000.0</v>
      </c>
      <c r="Z782" s="77"/>
    </row>
    <row r="783">
      <c r="A783" s="145" t="s">
        <v>1116</v>
      </c>
      <c r="B783" s="145" t="s">
        <v>230</v>
      </c>
      <c r="C783" s="145" t="s">
        <v>2288</v>
      </c>
      <c r="D783" s="75" t="s">
        <v>1544</v>
      </c>
      <c r="E783" s="75" t="s">
        <v>1544</v>
      </c>
      <c r="F783" s="211" t="s">
        <v>1547</v>
      </c>
      <c r="G783" s="145" t="s">
        <v>1117</v>
      </c>
      <c r="H783" s="211" t="s">
        <v>77</v>
      </c>
      <c r="I783" s="145" t="s">
        <v>218</v>
      </c>
      <c r="J783" s="211" t="s">
        <v>1549</v>
      </c>
      <c r="K783" s="75" t="s">
        <v>1544</v>
      </c>
      <c r="L783" s="152" t="b">
        <v>1</v>
      </c>
      <c r="M783" s="152" t="b">
        <v>0</v>
      </c>
      <c r="N783" s="217"/>
      <c r="O783" s="213" t="s">
        <v>1554</v>
      </c>
      <c r="P783" s="47" t="b">
        <v>1</v>
      </c>
      <c r="Q783" s="47" t="b">
        <v>0</v>
      </c>
      <c r="R783" s="214"/>
      <c r="S783" s="77">
        <v>0.0</v>
      </c>
      <c r="T783" s="76" t="s">
        <v>1179</v>
      </c>
      <c r="U783" s="78">
        <v>1.0093305E7</v>
      </c>
      <c r="V783" s="215"/>
      <c r="W783" s="77">
        <v>1.0E7</v>
      </c>
      <c r="X783" s="216">
        <v>100000.0</v>
      </c>
      <c r="Y783" s="77">
        <v>40000.0</v>
      </c>
      <c r="Z783" s="77"/>
    </row>
    <row r="784">
      <c r="A784" s="145" t="s">
        <v>978</v>
      </c>
      <c r="B784" s="145" t="s">
        <v>2287</v>
      </c>
      <c r="C784" s="145" t="s">
        <v>2288</v>
      </c>
      <c r="D784" s="75" t="s">
        <v>1544</v>
      </c>
      <c r="E784" s="75" t="s">
        <v>1544</v>
      </c>
      <c r="F784" s="211" t="s">
        <v>3543</v>
      </c>
      <c r="G784" s="145" t="s">
        <v>979</v>
      </c>
      <c r="H784" s="211" t="s">
        <v>87</v>
      </c>
      <c r="I784" s="145" t="s">
        <v>267</v>
      </c>
      <c r="J784" s="211" t="s">
        <v>2927</v>
      </c>
      <c r="K784" s="75" t="s">
        <v>1544</v>
      </c>
      <c r="L784" s="152" t="b">
        <v>1</v>
      </c>
      <c r="M784" s="152" t="b">
        <v>0</v>
      </c>
      <c r="N784" s="217"/>
      <c r="O784" s="213" t="s">
        <v>1554</v>
      </c>
      <c r="P784" s="47" t="b">
        <v>0</v>
      </c>
      <c r="Q784" s="47" t="b">
        <v>0</v>
      </c>
      <c r="R784" s="214"/>
      <c r="S784" s="77">
        <v>0.0</v>
      </c>
      <c r="T784" s="76" t="s">
        <v>1179</v>
      </c>
      <c r="U784" s="215"/>
      <c r="V784" s="215"/>
      <c r="W784" s="214"/>
      <c r="X784" s="218"/>
      <c r="Y784" s="77">
        <v>176000.0</v>
      </c>
      <c r="Z784" s="77"/>
    </row>
    <row r="785">
      <c r="A785" s="145" t="s">
        <v>616</v>
      </c>
      <c r="B785" s="145" t="s">
        <v>147</v>
      </c>
      <c r="C785" s="145" t="s">
        <v>2288</v>
      </c>
      <c r="D785" s="75" t="s">
        <v>1544</v>
      </c>
      <c r="E785" s="75" t="s">
        <v>1544</v>
      </c>
      <c r="F785" s="211" t="s">
        <v>1690</v>
      </c>
      <c r="G785" s="145" t="s">
        <v>3544</v>
      </c>
      <c r="H785" s="211" t="s">
        <v>586</v>
      </c>
      <c r="I785" s="145" t="s">
        <v>585</v>
      </c>
      <c r="J785" s="211" t="s">
        <v>1597</v>
      </c>
      <c r="K785" s="75" t="s">
        <v>1544</v>
      </c>
      <c r="L785" s="152" t="b">
        <v>1</v>
      </c>
      <c r="M785" s="152" t="b">
        <v>0</v>
      </c>
      <c r="N785" s="217"/>
      <c r="O785" s="213" t="s">
        <v>1554</v>
      </c>
      <c r="P785" s="47" t="b">
        <v>1</v>
      </c>
      <c r="Q785" s="47" t="b">
        <v>0</v>
      </c>
      <c r="R785" s="214"/>
      <c r="S785" s="77">
        <v>0.0</v>
      </c>
      <c r="T785" s="76" t="s">
        <v>1179</v>
      </c>
      <c r="U785" s="78">
        <v>2.2056701E7</v>
      </c>
      <c r="V785" s="215"/>
      <c r="W785" s="77">
        <v>2.2E7</v>
      </c>
      <c r="X785" s="216">
        <v>154000.0</v>
      </c>
      <c r="Y785" s="77">
        <v>100000.0</v>
      </c>
      <c r="Z785" s="77"/>
    </row>
    <row r="786">
      <c r="A786" s="145" t="s">
        <v>2686</v>
      </c>
      <c r="B786" s="145" t="s">
        <v>2287</v>
      </c>
      <c r="C786" s="145" t="s">
        <v>2288</v>
      </c>
      <c r="D786" s="75" t="s">
        <v>1544</v>
      </c>
      <c r="E786" s="75" t="s">
        <v>1544</v>
      </c>
      <c r="F786" s="211" t="s">
        <v>1851</v>
      </c>
      <c r="G786" s="145" t="s">
        <v>2687</v>
      </c>
      <c r="H786" s="211" t="s">
        <v>1018</v>
      </c>
      <c r="I786" s="145" t="s">
        <v>92</v>
      </c>
      <c r="J786" s="211" t="s">
        <v>1639</v>
      </c>
      <c r="K786" s="75" t="s">
        <v>1544</v>
      </c>
      <c r="L786" s="152" t="b">
        <v>1</v>
      </c>
      <c r="M786" s="152" t="b">
        <v>0</v>
      </c>
      <c r="N786" s="217"/>
      <c r="O786" s="213" t="s">
        <v>1554</v>
      </c>
      <c r="P786" s="47" t="b">
        <v>1</v>
      </c>
      <c r="Q786" s="47" t="b">
        <v>0</v>
      </c>
      <c r="R786" s="214"/>
      <c r="S786" s="77">
        <v>0.0</v>
      </c>
      <c r="T786" s="76" t="s">
        <v>1179</v>
      </c>
      <c r="U786" s="78">
        <v>1.4155355E7</v>
      </c>
      <c r="V786" s="215"/>
      <c r="W786" s="77">
        <v>1.4E7</v>
      </c>
      <c r="X786" s="216">
        <v>112000.0</v>
      </c>
      <c r="Y786" s="77">
        <v>48000.0</v>
      </c>
      <c r="Z786" s="77"/>
    </row>
    <row r="787">
      <c r="A787" s="145" t="s">
        <v>2708</v>
      </c>
      <c r="B787" s="145" t="s">
        <v>158</v>
      </c>
      <c r="C787" s="145" t="s">
        <v>2288</v>
      </c>
      <c r="D787" s="75" t="s">
        <v>1544</v>
      </c>
      <c r="E787" s="75" t="s">
        <v>1544</v>
      </c>
      <c r="F787" s="211" t="s">
        <v>1557</v>
      </c>
      <c r="G787" s="145" t="s">
        <v>3545</v>
      </c>
      <c r="H787" s="211" t="s">
        <v>625</v>
      </c>
      <c r="I787" s="145" t="s">
        <v>624</v>
      </c>
      <c r="J787" s="211" t="s">
        <v>1561</v>
      </c>
      <c r="K787" s="75" t="s">
        <v>1544</v>
      </c>
      <c r="L787" s="152" t="b">
        <v>1</v>
      </c>
      <c r="M787" s="152" t="b">
        <v>0</v>
      </c>
      <c r="N787" s="217"/>
      <c r="O787" s="213" t="s">
        <v>1554</v>
      </c>
      <c r="P787" s="47" t="b">
        <v>1</v>
      </c>
      <c r="Q787" s="47" t="b">
        <v>0</v>
      </c>
      <c r="R787" s="214"/>
      <c r="S787" s="77">
        <v>0.0</v>
      </c>
      <c r="T787" s="76" t="s">
        <v>1179</v>
      </c>
      <c r="U787" s="78">
        <v>4.7023787E7</v>
      </c>
      <c r="V787" s="215"/>
      <c r="W787" s="77">
        <v>4.8E7</v>
      </c>
      <c r="X787" s="216">
        <v>4.8E9</v>
      </c>
      <c r="Y787" s="216">
        <v>6000000.0</v>
      </c>
      <c r="Z787" s="77"/>
    </row>
    <row r="788">
      <c r="A788" s="145" t="s">
        <v>600</v>
      </c>
      <c r="B788" s="145" t="s">
        <v>147</v>
      </c>
      <c r="C788" s="145" t="s">
        <v>2288</v>
      </c>
      <c r="D788" s="75" t="s">
        <v>1544</v>
      </c>
      <c r="E788" s="75" t="s">
        <v>1544</v>
      </c>
      <c r="F788" s="211" t="s">
        <v>1690</v>
      </c>
      <c r="G788" s="145" t="s">
        <v>1091</v>
      </c>
      <c r="H788" s="211" t="s">
        <v>586</v>
      </c>
      <c r="I788" s="145" t="s">
        <v>585</v>
      </c>
      <c r="J788" s="211" t="s">
        <v>1597</v>
      </c>
      <c r="K788" s="75" t="s">
        <v>1544</v>
      </c>
      <c r="L788" s="152" t="b">
        <v>1</v>
      </c>
      <c r="M788" s="152" t="b">
        <v>0</v>
      </c>
      <c r="N788" s="217"/>
      <c r="O788" s="213" t="s">
        <v>1554</v>
      </c>
      <c r="P788" s="47" t="b">
        <v>1</v>
      </c>
      <c r="Q788" s="47" t="b">
        <v>0</v>
      </c>
      <c r="R788" s="214"/>
      <c r="S788" s="77">
        <v>0.0</v>
      </c>
      <c r="T788" s="76" t="s">
        <v>1179</v>
      </c>
      <c r="U788" s="78">
        <v>2.0513973E7</v>
      </c>
      <c r="V788" s="215"/>
      <c r="W788" s="216">
        <v>2.0E7</v>
      </c>
      <c r="X788" s="216">
        <v>140000.0</v>
      </c>
      <c r="Y788" s="77">
        <v>100000.0</v>
      </c>
      <c r="Z788" s="77"/>
    </row>
    <row r="789">
      <c r="A789" s="145" t="s">
        <v>654</v>
      </c>
      <c r="B789" s="145" t="s">
        <v>147</v>
      </c>
      <c r="C789" s="145" t="s">
        <v>2288</v>
      </c>
      <c r="D789" s="75" t="s">
        <v>1544</v>
      </c>
      <c r="E789" s="75" t="s">
        <v>1544</v>
      </c>
      <c r="F789" s="211" t="s">
        <v>1690</v>
      </c>
      <c r="G789" s="145" t="s">
        <v>1095</v>
      </c>
      <c r="H789" s="211" t="s">
        <v>586</v>
      </c>
      <c r="I789" s="145" t="s">
        <v>585</v>
      </c>
      <c r="J789" s="211" t="s">
        <v>1597</v>
      </c>
      <c r="K789" s="75" t="s">
        <v>1544</v>
      </c>
      <c r="L789" s="152" t="b">
        <v>1</v>
      </c>
      <c r="M789" s="152" t="b">
        <v>0</v>
      </c>
      <c r="N789" s="217"/>
      <c r="O789" s="213" t="s">
        <v>1554</v>
      </c>
      <c r="P789" s="47" t="b">
        <v>1</v>
      </c>
      <c r="Q789" s="47" t="b">
        <v>0</v>
      </c>
      <c r="R789" s="214"/>
      <c r="S789" s="77">
        <v>0.0</v>
      </c>
      <c r="T789" s="76" t="s">
        <v>1179</v>
      </c>
      <c r="U789" s="78">
        <v>2.0125861E7</v>
      </c>
      <c r="V789" s="215"/>
      <c r="W789" s="77">
        <v>2.0E7</v>
      </c>
      <c r="X789" s="216">
        <v>140000.0</v>
      </c>
      <c r="Y789" s="77">
        <v>100000.0</v>
      </c>
      <c r="Z789" s="77"/>
    </row>
    <row r="790">
      <c r="A790" s="145" t="s">
        <v>990</v>
      </c>
      <c r="B790" s="145" t="s">
        <v>2287</v>
      </c>
      <c r="C790" s="145" t="s">
        <v>2288</v>
      </c>
      <c r="D790" s="75" t="s">
        <v>1544</v>
      </c>
      <c r="E790" s="75" t="s">
        <v>1544</v>
      </c>
      <c r="F790" s="211" t="s">
        <v>1602</v>
      </c>
      <c r="G790" s="145" t="s">
        <v>991</v>
      </c>
      <c r="H790" s="211" t="s">
        <v>87</v>
      </c>
      <c r="I790" s="145" t="s">
        <v>267</v>
      </c>
      <c r="J790" s="211" t="s">
        <v>1603</v>
      </c>
      <c r="K790" s="75" t="s">
        <v>1544</v>
      </c>
      <c r="L790" s="152" t="b">
        <v>1</v>
      </c>
      <c r="M790" s="152" t="b">
        <v>0</v>
      </c>
      <c r="N790" s="217"/>
      <c r="O790" s="213" t="s">
        <v>1554</v>
      </c>
      <c r="P790" s="47" t="b">
        <v>0</v>
      </c>
      <c r="Q790" s="47" t="b">
        <v>0</v>
      </c>
      <c r="R790" s="214"/>
      <c r="S790" s="77">
        <v>0.0</v>
      </c>
      <c r="T790" s="76" t="s">
        <v>1179</v>
      </c>
      <c r="U790" s="215"/>
      <c r="V790" s="215"/>
      <c r="W790" s="214"/>
      <c r="X790" s="218"/>
      <c r="Y790" s="77">
        <v>1.0</v>
      </c>
      <c r="Z790" s="77"/>
    </row>
    <row r="791">
      <c r="A791" s="145" t="s">
        <v>626</v>
      </c>
      <c r="B791" s="145" t="s">
        <v>147</v>
      </c>
      <c r="C791" s="145" t="s">
        <v>2288</v>
      </c>
      <c r="D791" s="75" t="s">
        <v>1544</v>
      </c>
      <c r="E791" s="75" t="s">
        <v>1544</v>
      </c>
      <c r="F791" s="211" t="s">
        <v>2311</v>
      </c>
      <c r="G791" s="145" t="s">
        <v>3546</v>
      </c>
      <c r="H791" s="211" t="s">
        <v>586</v>
      </c>
      <c r="I791" s="145" t="s">
        <v>585</v>
      </c>
      <c r="J791" s="211" t="s">
        <v>1561</v>
      </c>
      <c r="K791" s="75" t="s">
        <v>1544</v>
      </c>
      <c r="L791" s="152" t="b">
        <v>1</v>
      </c>
      <c r="M791" s="152" t="b">
        <v>0</v>
      </c>
      <c r="N791" s="217"/>
      <c r="O791" s="213" t="s">
        <v>1554</v>
      </c>
      <c r="P791" s="47" t="b">
        <v>1</v>
      </c>
      <c r="Q791" s="47" t="b">
        <v>0</v>
      </c>
      <c r="R791" s="214"/>
      <c r="S791" s="77">
        <v>0.0</v>
      </c>
      <c r="T791" s="76" t="s">
        <v>1179</v>
      </c>
      <c r="U791" s="78">
        <v>4.7095576E7</v>
      </c>
      <c r="V791" s="215"/>
      <c r="W791" s="77">
        <v>4.8E7</v>
      </c>
      <c r="X791" s="216">
        <v>336000.0</v>
      </c>
      <c r="Y791" s="77">
        <v>200000.0</v>
      </c>
      <c r="Z791" s="77"/>
    </row>
    <row r="792">
      <c r="A792" s="145" t="s">
        <v>869</v>
      </c>
      <c r="B792" s="145" t="s">
        <v>869</v>
      </c>
      <c r="C792" s="145" t="s">
        <v>3148</v>
      </c>
      <c r="D792" s="75" t="s">
        <v>1544</v>
      </c>
      <c r="E792" s="75" t="s">
        <v>1544</v>
      </c>
      <c r="F792" s="211" t="s">
        <v>1602</v>
      </c>
      <c r="G792" s="145" t="s">
        <v>870</v>
      </c>
      <c r="H792" s="211" t="s">
        <v>87</v>
      </c>
      <c r="I792" s="145" t="s">
        <v>267</v>
      </c>
      <c r="J792" s="211" t="s">
        <v>1603</v>
      </c>
      <c r="K792" s="75" t="s">
        <v>1544</v>
      </c>
      <c r="L792" s="152" t="b">
        <v>1</v>
      </c>
      <c r="M792" s="152" t="b">
        <v>0</v>
      </c>
      <c r="N792" s="212" t="s">
        <v>3547</v>
      </c>
      <c r="O792" s="213" t="s">
        <v>1554</v>
      </c>
      <c r="P792" s="47" t="b">
        <v>0</v>
      </c>
      <c r="Q792" s="47" t="b">
        <v>0</v>
      </c>
      <c r="R792" s="214"/>
      <c r="S792" s="77">
        <v>0.0</v>
      </c>
      <c r="T792" s="76" t="s">
        <v>1184</v>
      </c>
      <c r="U792" s="215"/>
      <c r="V792" s="215"/>
      <c r="W792" s="214"/>
      <c r="X792" s="214"/>
      <c r="Y792" s="77">
        <v>1.0</v>
      </c>
      <c r="Z792" s="77"/>
    </row>
    <row r="793">
      <c r="A793" s="145" t="s">
        <v>850</v>
      </c>
      <c r="B793" s="145" t="s">
        <v>850</v>
      </c>
      <c r="C793" s="145" t="s">
        <v>3148</v>
      </c>
      <c r="D793" s="75" t="s">
        <v>1544</v>
      </c>
      <c r="E793" s="75" t="s">
        <v>1544</v>
      </c>
      <c r="F793" s="211" t="s">
        <v>1602</v>
      </c>
      <c r="G793" s="145" t="s">
        <v>851</v>
      </c>
      <c r="H793" s="211" t="s">
        <v>87</v>
      </c>
      <c r="I793" s="145" t="s">
        <v>267</v>
      </c>
      <c r="J793" s="211" t="s">
        <v>1603</v>
      </c>
      <c r="K793" s="75" t="s">
        <v>1544</v>
      </c>
      <c r="L793" s="152" t="b">
        <v>1</v>
      </c>
      <c r="M793" s="152" t="b">
        <v>0</v>
      </c>
      <c r="N793" s="212" t="s">
        <v>3548</v>
      </c>
      <c r="O793" s="213" t="s">
        <v>1554</v>
      </c>
      <c r="P793" s="47" t="b">
        <v>0</v>
      </c>
      <c r="Q793" s="47" t="b">
        <v>0</v>
      </c>
      <c r="R793" s="214"/>
      <c r="S793" s="77">
        <v>0.0</v>
      </c>
      <c r="T793" s="76" t="s">
        <v>1184</v>
      </c>
      <c r="U793" s="215"/>
      <c r="V793" s="215"/>
      <c r="W793" s="218"/>
      <c r="X793" s="218"/>
      <c r="Y793" s="77">
        <v>1.0</v>
      </c>
      <c r="Z793" s="77"/>
    </row>
    <row r="794">
      <c r="A794" s="145" t="s">
        <v>183</v>
      </c>
      <c r="B794" s="145" t="s">
        <v>183</v>
      </c>
      <c r="C794" s="145" t="s">
        <v>3148</v>
      </c>
      <c r="D794" s="75" t="s">
        <v>1544</v>
      </c>
      <c r="E794" s="75" t="s">
        <v>1544</v>
      </c>
      <c r="F794" s="211" t="s">
        <v>1690</v>
      </c>
      <c r="G794" s="145" t="s">
        <v>3549</v>
      </c>
      <c r="H794" s="211" t="s">
        <v>586</v>
      </c>
      <c r="I794" s="145" t="s">
        <v>936</v>
      </c>
      <c r="J794" s="211" t="s">
        <v>1597</v>
      </c>
      <c r="K794" s="75" t="s">
        <v>1544</v>
      </c>
      <c r="L794" s="152" t="b">
        <v>1</v>
      </c>
      <c r="M794" s="152" t="b">
        <v>0</v>
      </c>
      <c r="N794" s="212" t="s">
        <v>3550</v>
      </c>
      <c r="O794" s="213" t="s">
        <v>1554</v>
      </c>
      <c r="P794" s="47" t="b">
        <v>1</v>
      </c>
      <c r="Q794" s="47" t="b">
        <v>0</v>
      </c>
      <c r="R794" s="214"/>
      <c r="S794" s="77">
        <v>0.0</v>
      </c>
      <c r="T794" s="76" t="s">
        <v>1184</v>
      </c>
      <c r="U794" s="78">
        <v>2.2630534E7</v>
      </c>
      <c r="V794" s="78">
        <v>0.0</v>
      </c>
      <c r="W794" s="77">
        <v>2.2E7</v>
      </c>
      <c r="X794" s="216">
        <v>154000.0</v>
      </c>
      <c r="Y794" s="77">
        <v>100000.0</v>
      </c>
      <c r="Z794" s="77"/>
    </row>
    <row r="795">
      <c r="A795" s="145" t="s">
        <v>1044</v>
      </c>
      <c r="B795" s="145" t="s">
        <v>1044</v>
      </c>
      <c r="C795" s="145" t="s">
        <v>3148</v>
      </c>
      <c r="D795" s="75" t="s">
        <v>1544</v>
      </c>
      <c r="E795" s="75" t="s">
        <v>1544</v>
      </c>
      <c r="F795" s="211" t="s">
        <v>87</v>
      </c>
      <c r="G795" s="145" t="s">
        <v>1045</v>
      </c>
      <c r="H795" s="211" t="s">
        <v>87</v>
      </c>
      <c r="I795" s="145" t="s">
        <v>267</v>
      </c>
      <c r="J795" s="211" t="s">
        <v>87</v>
      </c>
      <c r="K795" s="75" t="s">
        <v>1544</v>
      </c>
      <c r="L795" s="152" t="b">
        <v>1</v>
      </c>
      <c r="M795" s="152" t="b">
        <v>0</v>
      </c>
      <c r="N795" s="212" t="s">
        <v>3551</v>
      </c>
      <c r="O795" s="213" t="s">
        <v>1554</v>
      </c>
      <c r="P795" s="47" t="b">
        <v>0</v>
      </c>
      <c r="Q795" s="47" t="b">
        <v>0</v>
      </c>
      <c r="R795" s="214"/>
      <c r="S795" s="77">
        <v>0.0</v>
      </c>
      <c r="T795" s="76" t="s">
        <v>1184</v>
      </c>
      <c r="U795" s="215"/>
      <c r="V795" s="215"/>
      <c r="W795" s="214"/>
      <c r="X795" s="218"/>
      <c r="Y795" s="77">
        <v>0.0</v>
      </c>
      <c r="Z795" s="77"/>
    </row>
    <row r="796">
      <c r="A796" s="145" t="s">
        <v>2590</v>
      </c>
      <c r="B796" s="145" t="s">
        <v>2590</v>
      </c>
      <c r="C796" s="145" t="s">
        <v>3148</v>
      </c>
      <c r="D796" s="75" t="s">
        <v>1544</v>
      </c>
      <c r="E796" s="75" t="s">
        <v>1544</v>
      </c>
      <c r="F796" s="211" t="s">
        <v>1649</v>
      </c>
      <c r="G796" s="145" t="s">
        <v>3552</v>
      </c>
      <c r="H796" s="211" t="s">
        <v>1018</v>
      </c>
      <c r="I796" s="145" t="s">
        <v>75</v>
      </c>
      <c r="J796" s="211" t="s">
        <v>1549</v>
      </c>
      <c r="K796" s="75" t="s">
        <v>1544</v>
      </c>
      <c r="L796" s="152" t="b">
        <v>1</v>
      </c>
      <c r="M796" s="152" t="b">
        <v>0</v>
      </c>
      <c r="N796" s="212" t="s">
        <v>3553</v>
      </c>
      <c r="O796" s="213" t="s">
        <v>1554</v>
      </c>
      <c r="P796" s="47" t="b">
        <v>1</v>
      </c>
      <c r="Q796" s="47" t="b">
        <v>0</v>
      </c>
      <c r="R796" s="214"/>
      <c r="S796" s="77">
        <v>0.0</v>
      </c>
      <c r="T796" s="76" t="s">
        <v>1184</v>
      </c>
      <c r="U796" s="78">
        <v>9291238.0</v>
      </c>
      <c r="V796" s="78">
        <v>0.0</v>
      </c>
      <c r="W796" s="77">
        <v>1.0E7</v>
      </c>
      <c r="X796" s="216">
        <v>80000.0</v>
      </c>
      <c r="Y796" s="77">
        <v>32000.0</v>
      </c>
      <c r="Z796" s="77"/>
    </row>
    <row r="797">
      <c r="A797" s="145" t="s">
        <v>845</v>
      </c>
      <c r="B797" s="145" t="s">
        <v>845</v>
      </c>
      <c r="C797" s="145" t="s">
        <v>3148</v>
      </c>
      <c r="D797" s="75" t="s">
        <v>1544</v>
      </c>
      <c r="E797" s="75" t="s">
        <v>1544</v>
      </c>
      <c r="F797" s="211" t="s">
        <v>1602</v>
      </c>
      <c r="G797" s="145" t="s">
        <v>846</v>
      </c>
      <c r="H797" s="211" t="s">
        <v>87</v>
      </c>
      <c r="I797" s="145" t="s">
        <v>267</v>
      </c>
      <c r="J797" s="211" t="s">
        <v>1603</v>
      </c>
      <c r="K797" s="75" t="s">
        <v>1544</v>
      </c>
      <c r="L797" s="152" t="b">
        <v>1</v>
      </c>
      <c r="M797" s="152" t="b">
        <v>0</v>
      </c>
      <c r="N797" s="212" t="s">
        <v>3554</v>
      </c>
      <c r="O797" s="213" t="s">
        <v>1554</v>
      </c>
      <c r="P797" s="47" t="b">
        <v>0</v>
      </c>
      <c r="Q797" s="47" t="b">
        <v>0</v>
      </c>
      <c r="R797" s="214"/>
      <c r="S797" s="77">
        <v>0.0</v>
      </c>
      <c r="T797" s="76" t="s">
        <v>1184</v>
      </c>
      <c r="U797" s="215"/>
      <c r="V797" s="215"/>
      <c r="W797" s="218"/>
      <c r="X797" s="218"/>
      <c r="Y797" s="77">
        <v>1.0</v>
      </c>
      <c r="Z797" s="77"/>
    </row>
    <row r="798">
      <c r="A798" s="145" t="s">
        <v>2613</v>
      </c>
      <c r="B798" s="145" t="s">
        <v>2613</v>
      </c>
      <c r="C798" s="145" t="s">
        <v>3148</v>
      </c>
      <c r="D798" s="75" t="s">
        <v>1544</v>
      </c>
      <c r="E798" s="75" t="s">
        <v>1544</v>
      </c>
      <c r="F798" s="211" t="s">
        <v>1547</v>
      </c>
      <c r="G798" s="145" t="s">
        <v>3555</v>
      </c>
      <c r="H798" s="211" t="s">
        <v>77</v>
      </c>
      <c r="I798" s="145" t="s">
        <v>249</v>
      </c>
      <c r="J798" s="211" t="s">
        <v>1549</v>
      </c>
      <c r="K798" s="75" t="s">
        <v>1544</v>
      </c>
      <c r="L798" s="152" t="b">
        <v>1</v>
      </c>
      <c r="M798" s="152" t="b">
        <v>0</v>
      </c>
      <c r="N798" s="212" t="s">
        <v>3556</v>
      </c>
      <c r="O798" s="213" t="s">
        <v>1554</v>
      </c>
      <c r="P798" s="47" t="b">
        <v>1</v>
      </c>
      <c r="Q798" s="47" t="b">
        <v>0</v>
      </c>
      <c r="R798" s="214"/>
      <c r="S798" s="77">
        <v>0.0</v>
      </c>
      <c r="T798" s="76" t="s">
        <v>1184</v>
      </c>
      <c r="U798" s="78">
        <v>1.5394458E7</v>
      </c>
      <c r="V798" s="78">
        <v>0.0</v>
      </c>
      <c r="W798" s="77">
        <v>1.6E7</v>
      </c>
      <c r="X798" s="216">
        <v>160000.0</v>
      </c>
      <c r="Y798" s="77">
        <v>40000.0</v>
      </c>
      <c r="Z798" s="77"/>
    </row>
    <row r="799">
      <c r="A799" s="145" t="s">
        <v>960</v>
      </c>
      <c r="B799" s="145" t="s">
        <v>960</v>
      </c>
      <c r="C799" s="145" t="s">
        <v>3148</v>
      </c>
      <c r="D799" s="75" t="s">
        <v>1544</v>
      </c>
      <c r="E799" s="75" t="s">
        <v>1544</v>
      </c>
      <c r="F799" s="211" t="s">
        <v>3084</v>
      </c>
      <c r="G799" s="145" t="s">
        <v>1075</v>
      </c>
      <c r="H799" s="211" t="s">
        <v>87</v>
      </c>
      <c r="I799" s="145" t="s">
        <v>267</v>
      </c>
      <c r="J799" s="211" t="s">
        <v>1561</v>
      </c>
      <c r="K799" s="75" t="s">
        <v>1544</v>
      </c>
      <c r="L799" s="152" t="b">
        <v>1</v>
      </c>
      <c r="M799" s="152" t="b">
        <v>0</v>
      </c>
      <c r="N799" s="212" t="s">
        <v>3557</v>
      </c>
      <c r="O799" s="213" t="s">
        <v>1554</v>
      </c>
      <c r="P799" s="47" t="b">
        <v>0</v>
      </c>
      <c r="Q799" s="47" t="b">
        <v>0</v>
      </c>
      <c r="R799" s="214"/>
      <c r="S799" s="77">
        <v>0.0</v>
      </c>
      <c r="T799" s="76" t="s">
        <v>1184</v>
      </c>
      <c r="U799" s="215"/>
      <c r="V799" s="215"/>
      <c r="W799" s="218"/>
      <c r="X799" s="218"/>
      <c r="Y799" s="77">
        <v>140000.0</v>
      </c>
      <c r="Z799" s="77"/>
    </row>
    <row r="800">
      <c r="A800" s="145" t="s">
        <v>2617</v>
      </c>
      <c r="B800" s="145" t="s">
        <v>2617</v>
      </c>
      <c r="C800" s="145" t="s">
        <v>3148</v>
      </c>
      <c r="D800" s="75" t="s">
        <v>1544</v>
      </c>
      <c r="E800" s="75" t="s">
        <v>1544</v>
      </c>
      <c r="F800" s="211" t="s">
        <v>1649</v>
      </c>
      <c r="G800" s="145" t="s">
        <v>3558</v>
      </c>
      <c r="H800" s="211" t="s">
        <v>87</v>
      </c>
      <c r="I800" s="145" t="s">
        <v>267</v>
      </c>
      <c r="J800" s="211" t="s">
        <v>1549</v>
      </c>
      <c r="K800" s="75" t="s">
        <v>1544</v>
      </c>
      <c r="L800" s="152" t="b">
        <v>1</v>
      </c>
      <c r="M800" s="152" t="b">
        <v>0</v>
      </c>
      <c r="N800" s="212" t="s">
        <v>3559</v>
      </c>
      <c r="O800" s="213" t="s">
        <v>1554</v>
      </c>
      <c r="P800" s="47" t="b">
        <v>0</v>
      </c>
      <c r="Q800" s="47" t="b">
        <v>0</v>
      </c>
      <c r="R800" s="214"/>
      <c r="S800" s="77">
        <v>0.0</v>
      </c>
      <c r="T800" s="76" t="s">
        <v>1184</v>
      </c>
      <c r="U800" s="215"/>
      <c r="V800" s="215"/>
      <c r="W800" s="214"/>
      <c r="X800" s="218"/>
      <c r="Y800" s="77">
        <v>32000.0</v>
      </c>
      <c r="Z800" s="77"/>
    </row>
    <row r="801">
      <c r="A801" s="145" t="s">
        <v>900</v>
      </c>
      <c r="B801" s="145" t="s">
        <v>900</v>
      </c>
      <c r="C801" s="145" t="s">
        <v>3148</v>
      </c>
      <c r="D801" s="75" t="s">
        <v>1544</v>
      </c>
      <c r="E801" s="75" t="s">
        <v>1544</v>
      </c>
      <c r="F801" s="211" t="s">
        <v>1690</v>
      </c>
      <c r="G801" s="145" t="s">
        <v>901</v>
      </c>
      <c r="H801" s="211" t="s">
        <v>77</v>
      </c>
      <c r="I801" s="145" t="s">
        <v>267</v>
      </c>
      <c r="J801" s="211" t="s">
        <v>1597</v>
      </c>
      <c r="K801" s="75" t="s">
        <v>1544</v>
      </c>
      <c r="L801" s="152" t="b">
        <v>1</v>
      </c>
      <c r="M801" s="152" t="b">
        <v>0</v>
      </c>
      <c r="N801" s="212" t="s">
        <v>3560</v>
      </c>
      <c r="O801" s="213" t="s">
        <v>1554</v>
      </c>
      <c r="P801" s="47" t="b">
        <v>0</v>
      </c>
      <c r="Q801" s="47" t="b">
        <v>0</v>
      </c>
      <c r="R801" s="214"/>
      <c r="S801" s="77">
        <v>0.0</v>
      </c>
      <c r="T801" s="76" t="s">
        <v>1184</v>
      </c>
      <c r="U801" s="215"/>
      <c r="V801" s="215"/>
      <c r="W801" s="214"/>
      <c r="X801" s="214"/>
      <c r="Y801" s="77">
        <v>100000.0</v>
      </c>
      <c r="Z801" s="77"/>
    </row>
    <row r="802">
      <c r="A802" s="145" t="s">
        <v>884</v>
      </c>
      <c r="B802" s="145" t="s">
        <v>884</v>
      </c>
      <c r="C802" s="145" t="s">
        <v>3148</v>
      </c>
      <c r="D802" s="75" t="s">
        <v>1544</v>
      </c>
      <c r="E802" s="75" t="s">
        <v>1544</v>
      </c>
      <c r="F802" s="211" t="s">
        <v>1602</v>
      </c>
      <c r="G802" s="145" t="s">
        <v>885</v>
      </c>
      <c r="H802" s="211" t="s">
        <v>87</v>
      </c>
      <c r="I802" s="145" t="s">
        <v>267</v>
      </c>
      <c r="J802" s="211" t="s">
        <v>1603</v>
      </c>
      <c r="K802" s="75" t="s">
        <v>1544</v>
      </c>
      <c r="L802" s="152" t="b">
        <v>1</v>
      </c>
      <c r="M802" s="152" t="b">
        <v>0</v>
      </c>
      <c r="N802" s="212" t="s">
        <v>3561</v>
      </c>
      <c r="O802" s="213" t="s">
        <v>1554</v>
      </c>
      <c r="P802" s="47" t="b">
        <v>0</v>
      </c>
      <c r="Q802" s="47" t="b">
        <v>0</v>
      </c>
      <c r="R802" s="214"/>
      <c r="S802" s="77">
        <v>0.0</v>
      </c>
      <c r="T802" s="76" t="s">
        <v>1184</v>
      </c>
      <c r="U802" s="215"/>
      <c r="V802" s="215"/>
      <c r="W802" s="214"/>
      <c r="X802" s="214"/>
      <c r="Y802" s="77">
        <v>1.0</v>
      </c>
      <c r="Z802" s="77"/>
    </row>
    <row r="803">
      <c r="A803" s="145" t="s">
        <v>992</v>
      </c>
      <c r="B803" s="145" t="s">
        <v>992</v>
      </c>
      <c r="C803" s="145" t="s">
        <v>3148</v>
      </c>
      <c r="D803" s="75" t="s">
        <v>1544</v>
      </c>
      <c r="E803" s="75" t="s">
        <v>1544</v>
      </c>
      <c r="F803" s="211" t="s">
        <v>1690</v>
      </c>
      <c r="G803" s="145" t="s">
        <v>993</v>
      </c>
      <c r="H803" s="211" t="s">
        <v>77</v>
      </c>
      <c r="I803" s="145" t="s">
        <v>267</v>
      </c>
      <c r="J803" s="211" t="s">
        <v>1597</v>
      </c>
      <c r="K803" s="75" t="s">
        <v>1544</v>
      </c>
      <c r="L803" s="152" t="b">
        <v>1</v>
      </c>
      <c r="M803" s="152" t="b">
        <v>0</v>
      </c>
      <c r="N803" s="212" t="s">
        <v>3562</v>
      </c>
      <c r="O803" s="213" t="s">
        <v>1554</v>
      </c>
      <c r="P803" s="47" t="b">
        <v>0</v>
      </c>
      <c r="Q803" s="47" t="b">
        <v>0</v>
      </c>
      <c r="R803" s="214"/>
      <c r="S803" s="77">
        <v>0.0</v>
      </c>
      <c r="T803" s="76" t="s">
        <v>1184</v>
      </c>
      <c r="U803" s="215"/>
      <c r="V803" s="215"/>
      <c r="W803" s="214"/>
      <c r="X803" s="214"/>
      <c r="Y803" s="77">
        <v>100000.0</v>
      </c>
      <c r="Z803" s="77"/>
    </row>
    <row r="804">
      <c r="A804" s="145" t="s">
        <v>889</v>
      </c>
      <c r="B804" s="145" t="s">
        <v>889</v>
      </c>
      <c r="C804" s="145" t="s">
        <v>3148</v>
      </c>
      <c r="D804" s="75" t="s">
        <v>1544</v>
      </c>
      <c r="E804" s="75" t="s">
        <v>1544</v>
      </c>
      <c r="F804" s="211" t="s">
        <v>1602</v>
      </c>
      <c r="G804" s="145" t="s">
        <v>891</v>
      </c>
      <c r="H804" s="211" t="s">
        <v>87</v>
      </c>
      <c r="I804" s="145" t="s">
        <v>267</v>
      </c>
      <c r="J804" s="211" t="s">
        <v>1603</v>
      </c>
      <c r="K804" s="75" t="s">
        <v>1544</v>
      </c>
      <c r="L804" s="152" t="b">
        <v>1</v>
      </c>
      <c r="M804" s="152" t="b">
        <v>0</v>
      </c>
      <c r="N804" s="212" t="s">
        <v>3563</v>
      </c>
      <c r="O804" s="213" t="s">
        <v>1554</v>
      </c>
      <c r="P804" s="47" t="b">
        <v>0</v>
      </c>
      <c r="Q804" s="47" t="b">
        <v>0</v>
      </c>
      <c r="R804" s="214"/>
      <c r="S804" s="77">
        <v>0.0</v>
      </c>
      <c r="T804" s="235" t="s">
        <v>1184</v>
      </c>
      <c r="U804" s="215"/>
      <c r="V804" s="215"/>
      <c r="W804" s="218"/>
      <c r="X804" s="214"/>
      <c r="Y804" s="77">
        <v>1.0</v>
      </c>
      <c r="Z804" s="77"/>
    </row>
    <row r="805">
      <c r="A805" s="145" t="s">
        <v>2632</v>
      </c>
      <c r="B805" s="145" t="s">
        <v>2632</v>
      </c>
      <c r="C805" s="145" t="s">
        <v>3148</v>
      </c>
      <c r="D805" s="75" t="s">
        <v>1544</v>
      </c>
      <c r="E805" s="75" t="s">
        <v>1544</v>
      </c>
      <c r="F805" s="211" t="s">
        <v>1649</v>
      </c>
      <c r="G805" s="145" t="s">
        <v>3564</v>
      </c>
      <c r="H805" s="211" t="s">
        <v>1018</v>
      </c>
      <c r="I805" s="145" t="s">
        <v>132</v>
      </c>
      <c r="J805" s="211" t="s">
        <v>1549</v>
      </c>
      <c r="K805" s="75" t="s">
        <v>1544</v>
      </c>
      <c r="L805" s="152" t="b">
        <v>1</v>
      </c>
      <c r="M805" s="152" t="b">
        <v>0</v>
      </c>
      <c r="N805" s="212" t="s">
        <v>3565</v>
      </c>
      <c r="O805" s="213" t="s">
        <v>1554</v>
      </c>
      <c r="P805" s="47" t="b">
        <v>1</v>
      </c>
      <c r="Q805" s="47" t="b">
        <v>0</v>
      </c>
      <c r="R805" s="214"/>
      <c r="S805" s="77">
        <v>0.0</v>
      </c>
      <c r="T805" s="76" t="s">
        <v>1184</v>
      </c>
      <c r="U805" s="78">
        <v>9804768.0</v>
      </c>
      <c r="V805" s="78">
        <v>0.0</v>
      </c>
      <c r="W805" s="77">
        <v>1.0E7</v>
      </c>
      <c r="X805" s="77">
        <v>80000.0</v>
      </c>
      <c r="Y805" s="77">
        <v>32000.0</v>
      </c>
      <c r="Z805" s="77"/>
    </row>
    <row r="806">
      <c r="A806" s="145" t="s">
        <v>2626</v>
      </c>
      <c r="B806" s="145" t="s">
        <v>2626</v>
      </c>
      <c r="C806" s="145" t="s">
        <v>3148</v>
      </c>
      <c r="D806" s="75" t="s">
        <v>1544</v>
      </c>
      <c r="E806" s="75" t="s">
        <v>1544</v>
      </c>
      <c r="F806" s="211" t="s">
        <v>1649</v>
      </c>
      <c r="G806" s="145" t="s">
        <v>3552</v>
      </c>
      <c r="H806" s="211" t="s">
        <v>1018</v>
      </c>
      <c r="I806" s="145" t="s">
        <v>132</v>
      </c>
      <c r="J806" s="211" t="s">
        <v>1549</v>
      </c>
      <c r="K806" s="75" t="s">
        <v>1544</v>
      </c>
      <c r="L806" s="152" t="b">
        <v>1</v>
      </c>
      <c r="M806" s="152" t="b">
        <v>0</v>
      </c>
      <c r="N806" s="212" t="s">
        <v>3566</v>
      </c>
      <c r="O806" s="213" t="s">
        <v>1554</v>
      </c>
      <c r="P806" s="47" t="b">
        <v>1</v>
      </c>
      <c r="Q806" s="47" t="b">
        <v>0</v>
      </c>
      <c r="R806" s="214"/>
      <c r="S806" s="77">
        <v>0.0</v>
      </c>
      <c r="T806" s="76" t="s">
        <v>1184</v>
      </c>
      <c r="U806" s="78">
        <v>1.0636513E7</v>
      </c>
      <c r="V806" s="78">
        <v>0.0</v>
      </c>
      <c r="W806" s="77">
        <v>1.0E7</v>
      </c>
      <c r="X806" s="77">
        <v>80000.0</v>
      </c>
      <c r="Y806" s="77">
        <v>32000.0</v>
      </c>
      <c r="Z806" s="77"/>
    </row>
    <row r="807">
      <c r="A807" s="145" t="s">
        <v>2723</v>
      </c>
      <c r="B807" s="145" t="s">
        <v>2723</v>
      </c>
      <c r="C807" s="145" t="s">
        <v>3148</v>
      </c>
      <c r="D807" s="75" t="s">
        <v>1544</v>
      </c>
      <c r="E807" s="75" t="s">
        <v>1544</v>
      </c>
      <c r="F807" s="211" t="s">
        <v>1649</v>
      </c>
      <c r="G807" s="145" t="s">
        <v>3567</v>
      </c>
      <c r="H807" s="211" t="s">
        <v>1018</v>
      </c>
      <c r="I807" s="145" t="s">
        <v>1017</v>
      </c>
      <c r="J807" s="211" t="s">
        <v>1549</v>
      </c>
      <c r="K807" s="75" t="s">
        <v>1544</v>
      </c>
      <c r="L807" s="152" t="b">
        <v>1</v>
      </c>
      <c r="M807" s="152" t="b">
        <v>0</v>
      </c>
      <c r="N807" s="212" t="s">
        <v>3568</v>
      </c>
      <c r="O807" s="213" t="s">
        <v>1554</v>
      </c>
      <c r="P807" s="47" t="b">
        <v>1</v>
      </c>
      <c r="Q807" s="47" t="b">
        <v>0</v>
      </c>
      <c r="R807" s="214"/>
      <c r="S807" s="77">
        <v>0.0</v>
      </c>
      <c r="T807" s="76" t="s">
        <v>1184</v>
      </c>
      <c r="U807" s="78">
        <v>9999999.0</v>
      </c>
      <c r="V807" s="78">
        <v>0.0</v>
      </c>
      <c r="W807" s="77">
        <v>1.0E7</v>
      </c>
      <c r="X807" s="77">
        <v>80000.0</v>
      </c>
      <c r="Y807" s="77">
        <v>32000.0</v>
      </c>
      <c r="Z807" s="77"/>
    </row>
    <row r="808">
      <c r="A808" s="145" t="s">
        <v>2718</v>
      </c>
      <c r="B808" s="145" t="s">
        <v>2718</v>
      </c>
      <c r="C808" s="145" t="s">
        <v>3148</v>
      </c>
      <c r="D808" s="75" t="s">
        <v>1544</v>
      </c>
      <c r="E808" s="75" t="s">
        <v>1544</v>
      </c>
      <c r="F808" s="211" t="s">
        <v>1547</v>
      </c>
      <c r="G808" s="145" t="s">
        <v>3569</v>
      </c>
      <c r="H808" s="211" t="s">
        <v>77</v>
      </c>
      <c r="I808" s="145" t="s">
        <v>249</v>
      </c>
      <c r="J808" s="211" t="s">
        <v>1549</v>
      </c>
      <c r="K808" s="75" t="s">
        <v>1544</v>
      </c>
      <c r="L808" s="152" t="b">
        <v>1</v>
      </c>
      <c r="M808" s="152" t="b">
        <v>0</v>
      </c>
      <c r="N808" s="212" t="s">
        <v>3570</v>
      </c>
      <c r="O808" s="213" t="s">
        <v>1554</v>
      </c>
      <c r="P808" s="47" t="b">
        <v>1</v>
      </c>
      <c r="Q808" s="47" t="b">
        <v>0</v>
      </c>
      <c r="R808" s="214"/>
      <c r="S808" s="77">
        <v>0.0</v>
      </c>
      <c r="T808" s="76" t="s">
        <v>1184</v>
      </c>
      <c r="U808" s="78">
        <v>1.0E7</v>
      </c>
      <c r="V808" s="78">
        <v>0.0</v>
      </c>
      <c r="W808" s="77">
        <v>1.0E7</v>
      </c>
      <c r="X808" s="77">
        <v>100000.0</v>
      </c>
      <c r="Y808" s="77">
        <v>40000.0</v>
      </c>
      <c r="Z808" s="77"/>
    </row>
    <row r="809">
      <c r="A809" s="145" t="s">
        <v>1046</v>
      </c>
      <c r="B809" s="145" t="s">
        <v>1046</v>
      </c>
      <c r="C809" s="145" t="s">
        <v>3148</v>
      </c>
      <c r="D809" s="75" t="s">
        <v>1544</v>
      </c>
      <c r="E809" s="75" t="s">
        <v>1544</v>
      </c>
      <c r="F809" s="211" t="s">
        <v>87</v>
      </c>
      <c r="G809" s="145" t="s">
        <v>1047</v>
      </c>
      <c r="H809" s="211" t="s">
        <v>87</v>
      </c>
      <c r="I809" s="145" t="s">
        <v>267</v>
      </c>
      <c r="J809" s="211" t="s">
        <v>87</v>
      </c>
      <c r="K809" s="75" t="s">
        <v>1544</v>
      </c>
      <c r="L809" s="152" t="b">
        <v>1</v>
      </c>
      <c r="M809" s="152" t="b">
        <v>0</v>
      </c>
      <c r="N809" s="212" t="s">
        <v>3571</v>
      </c>
      <c r="O809" s="213" t="s">
        <v>1554</v>
      </c>
      <c r="P809" s="47" t="b">
        <v>0</v>
      </c>
      <c r="Q809" s="47" t="b">
        <v>0</v>
      </c>
      <c r="R809" s="214"/>
      <c r="S809" s="77">
        <v>0.0</v>
      </c>
      <c r="T809" s="76" t="s">
        <v>1184</v>
      </c>
      <c r="U809" s="215"/>
      <c r="V809" s="215"/>
      <c r="W809" s="214"/>
      <c r="X809" s="218"/>
      <c r="Y809" s="77">
        <v>0.0</v>
      </c>
      <c r="Z809" s="77"/>
    </row>
    <row r="810">
      <c r="A810" s="145" t="s">
        <v>2713</v>
      </c>
      <c r="B810" s="145" t="s">
        <v>2713</v>
      </c>
      <c r="C810" s="145" t="s">
        <v>3148</v>
      </c>
      <c r="D810" s="75" t="s">
        <v>1544</v>
      </c>
      <c r="E810" s="75" t="s">
        <v>1544</v>
      </c>
      <c r="F810" s="211" t="s">
        <v>1547</v>
      </c>
      <c r="G810" s="145" t="s">
        <v>3572</v>
      </c>
      <c r="H810" s="211" t="s">
        <v>77</v>
      </c>
      <c r="I810" s="145" t="s">
        <v>143</v>
      </c>
      <c r="J810" s="211" t="s">
        <v>1549</v>
      </c>
      <c r="K810" s="75" t="s">
        <v>1544</v>
      </c>
      <c r="L810" s="152" t="b">
        <v>1</v>
      </c>
      <c r="M810" s="152" t="b">
        <v>0</v>
      </c>
      <c r="N810" s="212" t="s">
        <v>3573</v>
      </c>
      <c r="O810" s="213" t="s">
        <v>1554</v>
      </c>
      <c r="P810" s="47" t="b">
        <v>1</v>
      </c>
      <c r="Q810" s="47" t="b">
        <v>0</v>
      </c>
      <c r="R810" s="214"/>
      <c r="S810" s="77">
        <v>0.0</v>
      </c>
      <c r="T810" s="76" t="s">
        <v>1184</v>
      </c>
      <c r="U810" s="78">
        <v>1.1709756E7</v>
      </c>
      <c r="V810" s="78">
        <v>0.0</v>
      </c>
      <c r="W810" s="77">
        <v>1.2E7</v>
      </c>
      <c r="X810" s="77">
        <v>120000.0</v>
      </c>
      <c r="Y810" s="77">
        <v>40000.0</v>
      </c>
      <c r="Z810" s="77"/>
    </row>
    <row r="811">
      <c r="A811" s="145" t="s">
        <v>1042</v>
      </c>
      <c r="B811" s="145" t="s">
        <v>1042</v>
      </c>
      <c r="C811" s="145" t="s">
        <v>3148</v>
      </c>
      <c r="D811" s="75" t="s">
        <v>1544</v>
      </c>
      <c r="E811" s="75" t="s">
        <v>1544</v>
      </c>
      <c r="F811" s="211" t="s">
        <v>87</v>
      </c>
      <c r="G811" s="145" t="s">
        <v>1043</v>
      </c>
      <c r="H811" s="211" t="s">
        <v>87</v>
      </c>
      <c r="I811" s="145" t="s">
        <v>267</v>
      </c>
      <c r="J811" s="211" t="s">
        <v>87</v>
      </c>
      <c r="K811" s="75" t="s">
        <v>1544</v>
      </c>
      <c r="L811" s="152" t="b">
        <v>1</v>
      </c>
      <c r="M811" s="152" t="b">
        <v>0</v>
      </c>
      <c r="N811" s="212" t="s">
        <v>3574</v>
      </c>
      <c r="O811" s="213" t="s">
        <v>1554</v>
      </c>
      <c r="P811" s="47" t="b">
        <v>0</v>
      </c>
      <c r="Q811" s="47" t="b">
        <v>0</v>
      </c>
      <c r="R811" s="214"/>
      <c r="S811" s="77">
        <v>0.0</v>
      </c>
      <c r="T811" s="76" t="s">
        <v>1184</v>
      </c>
      <c r="U811" s="215"/>
      <c r="V811" s="215"/>
      <c r="W811" s="218"/>
      <c r="X811" s="218"/>
      <c r="Y811" s="77">
        <v>0.0</v>
      </c>
      <c r="Z811" s="77"/>
    </row>
    <row r="812">
      <c r="A812" s="145" t="s">
        <v>2574</v>
      </c>
      <c r="B812" s="145" t="s">
        <v>2574</v>
      </c>
      <c r="C812" s="145" t="s">
        <v>3575</v>
      </c>
      <c r="D812" s="75" t="s">
        <v>1544</v>
      </c>
      <c r="E812" s="75" t="s">
        <v>1544</v>
      </c>
      <c r="F812" s="211" t="s">
        <v>2994</v>
      </c>
      <c r="G812" s="145" t="s">
        <v>3576</v>
      </c>
      <c r="H812" s="211" t="s">
        <v>77</v>
      </c>
      <c r="I812" s="145" t="s">
        <v>249</v>
      </c>
      <c r="J812" s="211" t="s">
        <v>2377</v>
      </c>
      <c r="K812" s="75" t="s">
        <v>1544</v>
      </c>
      <c r="L812" s="152" t="b">
        <v>1</v>
      </c>
      <c r="M812" s="152" t="b">
        <v>1</v>
      </c>
      <c r="N812" s="212" t="s">
        <v>3577</v>
      </c>
      <c r="O812" s="213" t="s">
        <v>1554</v>
      </c>
      <c r="P812" s="47" t="b">
        <v>1</v>
      </c>
      <c r="Q812" s="47" t="b">
        <v>0</v>
      </c>
      <c r="R812" s="214"/>
      <c r="S812" s="77">
        <v>0.0</v>
      </c>
      <c r="T812" s="76" t="s">
        <v>1179</v>
      </c>
      <c r="U812" s="78">
        <v>1.0E8</v>
      </c>
      <c r="V812" s="78">
        <v>0.0</v>
      </c>
      <c r="W812" s="216">
        <v>1.0E8</v>
      </c>
      <c r="X812" s="216">
        <v>1000000.0</v>
      </c>
      <c r="Y812" s="77">
        <v>400000.0</v>
      </c>
      <c r="Z812" s="77"/>
    </row>
    <row r="813">
      <c r="A813" s="145" t="s">
        <v>2634</v>
      </c>
      <c r="B813" s="145" t="s">
        <v>2634</v>
      </c>
      <c r="C813" s="145" t="s">
        <v>3575</v>
      </c>
      <c r="D813" s="75" t="s">
        <v>1544</v>
      </c>
      <c r="E813" s="75" t="s">
        <v>1544</v>
      </c>
      <c r="F813" s="211" t="s">
        <v>2864</v>
      </c>
      <c r="G813" s="145" t="s">
        <v>3578</v>
      </c>
      <c r="H813" s="211" t="s">
        <v>1018</v>
      </c>
      <c r="I813" s="145" t="s">
        <v>92</v>
      </c>
      <c r="J813" s="211" t="s">
        <v>1561</v>
      </c>
      <c r="K813" s="75" t="s">
        <v>1544</v>
      </c>
      <c r="L813" s="152" t="b">
        <v>1</v>
      </c>
      <c r="M813" s="152" t="b">
        <v>1</v>
      </c>
      <c r="N813" s="212" t="s">
        <v>3579</v>
      </c>
      <c r="O813" s="213" t="s">
        <v>1554</v>
      </c>
      <c r="P813" s="47" t="b">
        <v>1</v>
      </c>
      <c r="Q813" s="47" t="b">
        <v>0</v>
      </c>
      <c r="R813" s="214"/>
      <c r="S813" s="77">
        <v>0.0</v>
      </c>
      <c r="T813" s="76" t="s">
        <v>1179</v>
      </c>
      <c r="U813" s="78">
        <v>5.0E7</v>
      </c>
      <c r="V813" s="78">
        <v>0.0</v>
      </c>
      <c r="W813" s="216">
        <v>5.0E7</v>
      </c>
      <c r="X813" s="216">
        <v>400000.0</v>
      </c>
      <c r="Y813" s="77">
        <v>160000.0</v>
      </c>
      <c r="Z813" s="77"/>
    </row>
    <row r="814">
      <c r="A814" s="145" t="s">
        <v>2679</v>
      </c>
      <c r="B814" s="145" t="s">
        <v>2679</v>
      </c>
      <c r="C814" s="145" t="s">
        <v>317</v>
      </c>
      <c r="D814" s="75" t="s">
        <v>1544</v>
      </c>
      <c r="E814" s="75" t="s">
        <v>1544</v>
      </c>
      <c r="F814" s="211" t="s">
        <v>1557</v>
      </c>
      <c r="G814" s="145" t="s">
        <v>2680</v>
      </c>
      <c r="H814" s="211" t="s">
        <v>625</v>
      </c>
      <c r="I814" s="145" t="s">
        <v>667</v>
      </c>
      <c r="J814" s="211" t="s">
        <v>1561</v>
      </c>
      <c r="K814" s="75" t="s">
        <v>1544</v>
      </c>
      <c r="L814" s="152" t="b">
        <v>1</v>
      </c>
      <c r="M814" s="152" t="b">
        <v>0</v>
      </c>
      <c r="N814" s="212" t="s">
        <v>3580</v>
      </c>
      <c r="O814" s="213" t="s">
        <v>1554</v>
      </c>
      <c r="P814" s="47" t="b">
        <v>1</v>
      </c>
      <c r="Q814" s="47" t="b">
        <v>0</v>
      </c>
      <c r="R814" s="214"/>
      <c r="S814" s="77">
        <v>0.0</v>
      </c>
      <c r="T814" s="76" t="s">
        <v>1162</v>
      </c>
      <c r="U814" s="78">
        <v>2.0E7</v>
      </c>
      <c r="V814" s="215"/>
      <c r="W814" s="216">
        <v>2.0E7</v>
      </c>
      <c r="X814" s="216">
        <v>2.0E9</v>
      </c>
      <c r="Y814" s="216">
        <v>6000000.0</v>
      </c>
      <c r="Z814" s="77"/>
    </row>
    <row r="815">
      <c r="A815" s="145" t="s">
        <v>2703</v>
      </c>
      <c r="B815" s="145" t="s">
        <v>2703</v>
      </c>
      <c r="C815" s="145" t="s">
        <v>3148</v>
      </c>
      <c r="D815" s="75" t="s">
        <v>1544</v>
      </c>
      <c r="E815" s="75" t="s">
        <v>1544</v>
      </c>
      <c r="F815" s="211" t="s">
        <v>1547</v>
      </c>
      <c r="G815" s="145" t="s">
        <v>3581</v>
      </c>
      <c r="H815" s="211" t="s">
        <v>77</v>
      </c>
      <c r="I815" s="145" t="s">
        <v>143</v>
      </c>
      <c r="J815" s="211" t="s">
        <v>1549</v>
      </c>
      <c r="K815" s="75" t="s">
        <v>1544</v>
      </c>
      <c r="L815" s="152" t="b">
        <v>1</v>
      </c>
      <c r="M815" s="152" t="b">
        <v>0</v>
      </c>
      <c r="N815" s="212" t="s">
        <v>3582</v>
      </c>
      <c r="O815" s="213" t="s">
        <v>1554</v>
      </c>
      <c r="P815" s="47" t="b">
        <v>1</v>
      </c>
      <c r="Q815" s="47" t="b">
        <v>0</v>
      </c>
      <c r="R815" s="214"/>
      <c r="S815" s="77">
        <v>0.0</v>
      </c>
      <c r="T815" s="235" t="s">
        <v>1184</v>
      </c>
      <c r="U815" s="78">
        <v>9580732.0</v>
      </c>
      <c r="V815" s="78">
        <v>0.0</v>
      </c>
      <c r="W815" s="216">
        <v>1.0E7</v>
      </c>
      <c r="X815" s="216">
        <v>100000.0</v>
      </c>
      <c r="Y815" s="77">
        <v>40000.0</v>
      </c>
      <c r="Z815" s="77"/>
    </row>
    <row r="816">
      <c r="A816" s="145" t="s">
        <v>2744</v>
      </c>
      <c r="B816" s="145" t="s">
        <v>2744</v>
      </c>
      <c r="C816" s="145" t="s">
        <v>3148</v>
      </c>
      <c r="D816" s="75" t="s">
        <v>1544</v>
      </c>
      <c r="E816" s="75" t="s">
        <v>1544</v>
      </c>
      <c r="F816" s="211" t="s">
        <v>1649</v>
      </c>
      <c r="G816" s="145" t="s">
        <v>3583</v>
      </c>
      <c r="H816" s="211" t="s">
        <v>1018</v>
      </c>
      <c r="I816" s="145" t="s">
        <v>75</v>
      </c>
      <c r="J816" s="211" t="s">
        <v>1549</v>
      </c>
      <c r="K816" s="75" t="s">
        <v>1544</v>
      </c>
      <c r="L816" s="152" t="b">
        <v>1</v>
      </c>
      <c r="M816" s="152" t="b">
        <v>0</v>
      </c>
      <c r="N816" s="212" t="s">
        <v>3584</v>
      </c>
      <c r="O816" s="213" t="s">
        <v>1554</v>
      </c>
      <c r="P816" s="47" t="b">
        <v>1</v>
      </c>
      <c r="Q816" s="47" t="b">
        <v>0</v>
      </c>
      <c r="R816" s="214"/>
      <c r="S816" s="77">
        <v>0.0</v>
      </c>
      <c r="T816" s="235" t="s">
        <v>1184</v>
      </c>
      <c r="U816" s="78">
        <v>9999999.0</v>
      </c>
      <c r="V816" s="78">
        <v>0.0</v>
      </c>
      <c r="W816" s="216">
        <v>1.0E7</v>
      </c>
      <c r="X816" s="216">
        <v>80000.0</v>
      </c>
      <c r="Y816" s="77">
        <v>32000.0</v>
      </c>
      <c r="Z816" s="77"/>
    </row>
    <row r="817">
      <c r="A817" s="145" t="s">
        <v>2675</v>
      </c>
      <c r="B817" s="145" t="s">
        <v>2675</v>
      </c>
      <c r="C817" s="145" t="s">
        <v>2404</v>
      </c>
      <c r="D817" s="75" t="s">
        <v>1544</v>
      </c>
      <c r="E817" s="75" t="s">
        <v>1544</v>
      </c>
      <c r="F817" s="211" t="s">
        <v>3472</v>
      </c>
      <c r="G817" s="145" t="s">
        <v>3585</v>
      </c>
      <c r="H817" s="211" t="s">
        <v>1067</v>
      </c>
      <c r="I817" s="145" t="s">
        <v>1066</v>
      </c>
      <c r="J817" s="211" t="s">
        <v>3473</v>
      </c>
      <c r="K817" s="75" t="s">
        <v>1601</v>
      </c>
      <c r="L817" s="152" t="b">
        <v>1</v>
      </c>
      <c r="M817" s="152" t="b">
        <v>0</v>
      </c>
      <c r="N817" s="217"/>
      <c r="O817" s="213" t="s">
        <v>1554</v>
      </c>
      <c r="P817" s="47" t="b">
        <v>1</v>
      </c>
      <c r="Q817" s="47" t="b">
        <v>0</v>
      </c>
      <c r="R817" s="214"/>
      <c r="S817" s="77">
        <v>0.0</v>
      </c>
      <c r="T817" s="235" t="s">
        <v>1161</v>
      </c>
      <c r="U817" s="78">
        <v>1.0E9</v>
      </c>
      <c r="V817" s="78">
        <v>49.0</v>
      </c>
      <c r="W817" s="216">
        <v>1.0E9</v>
      </c>
      <c r="X817" s="216">
        <v>1.0E11</v>
      </c>
      <c r="Y817" s="216">
        <v>1.5E7</v>
      </c>
      <c r="Z817" s="77"/>
    </row>
    <row r="818">
      <c r="A818" s="145" t="s">
        <v>2677</v>
      </c>
      <c r="B818" s="145" t="s">
        <v>2677</v>
      </c>
      <c r="C818" s="145" t="s">
        <v>2404</v>
      </c>
      <c r="D818" s="75" t="s">
        <v>1544</v>
      </c>
      <c r="E818" s="75" t="s">
        <v>1544</v>
      </c>
      <c r="F818" s="211" t="s">
        <v>1602</v>
      </c>
      <c r="G818" s="145" t="s">
        <v>3586</v>
      </c>
      <c r="H818" s="211" t="s">
        <v>87</v>
      </c>
      <c r="I818" s="145" t="s">
        <v>267</v>
      </c>
      <c r="J818" s="211" t="s">
        <v>1603</v>
      </c>
      <c r="K818" s="75" t="s">
        <v>1544</v>
      </c>
      <c r="L818" s="152" t="b">
        <v>1</v>
      </c>
      <c r="M818" s="152" t="b">
        <v>0</v>
      </c>
      <c r="N818" s="212" t="s">
        <v>3587</v>
      </c>
      <c r="O818" s="213" t="s">
        <v>1554</v>
      </c>
      <c r="P818" s="47" t="b">
        <v>0</v>
      </c>
      <c r="Q818" s="47" t="b">
        <v>0</v>
      </c>
      <c r="R818" s="214"/>
      <c r="S818" s="77">
        <v>0.0</v>
      </c>
      <c r="T818" s="76" t="s">
        <v>1161</v>
      </c>
      <c r="U818" s="215"/>
      <c r="V818" s="215"/>
      <c r="W818" s="218"/>
      <c r="X818" s="218"/>
      <c r="Y818" s="77">
        <v>1.0</v>
      </c>
      <c r="Z818" s="77"/>
    </row>
    <row r="819">
      <c r="A819" s="145" t="s">
        <v>954</v>
      </c>
      <c r="B819" s="145" t="s">
        <v>954</v>
      </c>
      <c r="C819" s="145" t="s">
        <v>1058</v>
      </c>
      <c r="D819" s="75" t="s">
        <v>1544</v>
      </c>
      <c r="E819" s="75" t="s">
        <v>1544</v>
      </c>
      <c r="F819" s="211" t="s">
        <v>2864</v>
      </c>
      <c r="G819" s="145" t="s">
        <v>955</v>
      </c>
      <c r="H819" s="211" t="s">
        <v>87</v>
      </c>
      <c r="I819" s="145" t="s">
        <v>267</v>
      </c>
      <c r="J819" s="211" t="s">
        <v>1561</v>
      </c>
      <c r="K819" s="75" t="s">
        <v>1601</v>
      </c>
      <c r="L819" s="152" t="b">
        <v>1</v>
      </c>
      <c r="M819" s="152" t="b">
        <v>0</v>
      </c>
      <c r="N819" s="217"/>
      <c r="O819" s="213" t="s">
        <v>1554</v>
      </c>
      <c r="P819" s="47" t="b">
        <v>0</v>
      </c>
      <c r="Q819" s="47" t="b">
        <v>0</v>
      </c>
      <c r="R819" s="214"/>
      <c r="S819" s="77">
        <v>0.0</v>
      </c>
      <c r="T819" s="76" t="s">
        <v>1161</v>
      </c>
      <c r="U819" s="215"/>
      <c r="V819" s="215"/>
      <c r="W819" s="218"/>
      <c r="X819" s="218"/>
      <c r="Y819" s="77">
        <v>160000.0</v>
      </c>
      <c r="Z819" s="77"/>
    </row>
    <row r="820">
      <c r="A820" s="145" t="s">
        <v>939</v>
      </c>
      <c r="B820" s="145" t="s">
        <v>939</v>
      </c>
      <c r="C820" s="145" t="s">
        <v>1058</v>
      </c>
      <c r="D820" s="75" t="s">
        <v>1544</v>
      </c>
      <c r="E820" s="75" t="s">
        <v>1544</v>
      </c>
      <c r="F820" s="211" t="s">
        <v>1602</v>
      </c>
      <c r="G820" s="145" t="s">
        <v>940</v>
      </c>
      <c r="H820" s="211" t="s">
        <v>87</v>
      </c>
      <c r="I820" s="145" t="s">
        <v>267</v>
      </c>
      <c r="J820" s="211" t="s">
        <v>1603</v>
      </c>
      <c r="K820" s="75" t="s">
        <v>1601</v>
      </c>
      <c r="L820" s="152" t="b">
        <v>1</v>
      </c>
      <c r="M820" s="152" t="b">
        <v>0</v>
      </c>
      <c r="N820" s="217"/>
      <c r="O820" s="213" t="s">
        <v>1554</v>
      </c>
      <c r="P820" s="47" t="b">
        <v>0</v>
      </c>
      <c r="Q820" s="47" t="b">
        <v>0</v>
      </c>
      <c r="R820" s="214"/>
      <c r="S820" s="77">
        <v>0.0</v>
      </c>
      <c r="T820" s="76" t="s">
        <v>1161</v>
      </c>
      <c r="U820" s="215"/>
      <c r="V820" s="215"/>
      <c r="W820" s="218"/>
      <c r="X820" s="218"/>
      <c r="Y820" s="77">
        <v>1.0</v>
      </c>
      <c r="Z820" s="77"/>
    </row>
    <row r="821">
      <c r="A821" s="145" t="s">
        <v>969</v>
      </c>
      <c r="B821" s="145" t="s">
        <v>969</v>
      </c>
      <c r="C821" s="145" t="s">
        <v>1058</v>
      </c>
      <c r="D821" s="75" t="s">
        <v>1544</v>
      </c>
      <c r="E821" s="75" t="s">
        <v>1544</v>
      </c>
      <c r="F821" s="211" t="s">
        <v>1602</v>
      </c>
      <c r="G821" s="145" t="s">
        <v>970</v>
      </c>
      <c r="H821" s="211" t="s">
        <v>87</v>
      </c>
      <c r="I821" s="145" t="s">
        <v>267</v>
      </c>
      <c r="J821" s="211" t="s">
        <v>1603</v>
      </c>
      <c r="K821" s="75" t="s">
        <v>1601</v>
      </c>
      <c r="L821" s="152" t="b">
        <v>1</v>
      </c>
      <c r="M821" s="152" t="b">
        <v>0</v>
      </c>
      <c r="N821" s="217"/>
      <c r="O821" s="213" t="s">
        <v>1554</v>
      </c>
      <c r="P821" s="47" t="b">
        <v>0</v>
      </c>
      <c r="Q821" s="47" t="b">
        <v>0</v>
      </c>
      <c r="R821" s="214"/>
      <c r="S821" s="77">
        <v>0.0</v>
      </c>
      <c r="T821" s="235" t="s">
        <v>1161</v>
      </c>
      <c r="U821" s="215"/>
      <c r="V821" s="215"/>
      <c r="W821" s="218"/>
      <c r="X821" s="218"/>
      <c r="Y821" s="77">
        <v>1.0</v>
      </c>
      <c r="Z821" s="77"/>
    </row>
    <row r="822">
      <c r="A822" s="145" t="s">
        <v>952</v>
      </c>
      <c r="B822" s="145" t="s">
        <v>952</v>
      </c>
      <c r="C822" s="145" t="s">
        <v>1058</v>
      </c>
      <c r="D822" s="75" t="s">
        <v>1544</v>
      </c>
      <c r="E822" s="75" t="s">
        <v>1544</v>
      </c>
      <c r="F822" s="211" t="s">
        <v>1602</v>
      </c>
      <c r="G822" s="145" t="s">
        <v>953</v>
      </c>
      <c r="H822" s="211" t="s">
        <v>87</v>
      </c>
      <c r="I822" s="145" t="s">
        <v>267</v>
      </c>
      <c r="J822" s="211" t="s">
        <v>1603</v>
      </c>
      <c r="K822" s="75" t="s">
        <v>1601</v>
      </c>
      <c r="L822" s="152" t="b">
        <v>1</v>
      </c>
      <c r="M822" s="152" t="b">
        <v>0</v>
      </c>
      <c r="N822" s="217"/>
      <c r="O822" s="213" t="s">
        <v>1554</v>
      </c>
      <c r="P822" s="47" t="b">
        <v>0</v>
      </c>
      <c r="Q822" s="47" t="b">
        <v>0</v>
      </c>
      <c r="R822" s="214"/>
      <c r="S822" s="77">
        <v>0.0</v>
      </c>
      <c r="T822" s="235" t="s">
        <v>1161</v>
      </c>
      <c r="U822" s="215"/>
      <c r="V822" s="215"/>
      <c r="W822" s="218"/>
      <c r="X822" s="218"/>
      <c r="Y822" s="77">
        <v>1.0</v>
      </c>
      <c r="Z822" s="77"/>
    </row>
    <row r="823">
      <c r="A823" s="145" t="s">
        <v>1015</v>
      </c>
      <c r="B823" s="145" t="s">
        <v>3588</v>
      </c>
      <c r="C823" s="145" t="s">
        <v>3120</v>
      </c>
      <c r="D823" s="75" t="s">
        <v>1544</v>
      </c>
      <c r="E823" s="75" t="s">
        <v>1544</v>
      </c>
      <c r="F823" s="211" t="s">
        <v>2493</v>
      </c>
      <c r="G823" s="145" t="s">
        <v>1016</v>
      </c>
      <c r="H823" s="211" t="s">
        <v>1018</v>
      </c>
      <c r="I823" s="145" t="s">
        <v>1017</v>
      </c>
      <c r="J823" s="211" t="s">
        <v>2495</v>
      </c>
      <c r="K823" s="75" t="s">
        <v>1544</v>
      </c>
      <c r="L823" s="152" t="b">
        <v>1</v>
      </c>
      <c r="M823" s="152" t="b">
        <v>1</v>
      </c>
      <c r="N823" s="212" t="s">
        <v>3589</v>
      </c>
      <c r="O823" s="213" t="s">
        <v>1554</v>
      </c>
      <c r="P823" s="47" t="b">
        <v>1</v>
      </c>
      <c r="Q823" s="47" t="b">
        <v>0</v>
      </c>
      <c r="R823" s="214"/>
      <c r="S823" s="77">
        <v>0.0</v>
      </c>
      <c r="T823" s="235" t="s">
        <v>1179</v>
      </c>
      <c r="U823" s="78">
        <v>3.0E7</v>
      </c>
      <c r="V823" s="215"/>
      <c r="W823" s="216">
        <v>3.0E7</v>
      </c>
      <c r="X823" s="216">
        <v>240000.0</v>
      </c>
      <c r="Y823" s="77">
        <v>240000.0</v>
      </c>
      <c r="Z823" s="77"/>
    </row>
    <row r="824">
      <c r="A824" s="145" t="s">
        <v>3588</v>
      </c>
      <c r="C824" s="145" t="s">
        <v>3120</v>
      </c>
      <c r="D824" s="75" t="s">
        <v>1601</v>
      </c>
      <c r="E824" s="75" t="s">
        <v>1544</v>
      </c>
      <c r="F824" s="211" t="s">
        <v>2910</v>
      </c>
      <c r="G824" s="145" t="s">
        <v>3590</v>
      </c>
      <c r="H824" s="211" t="s">
        <v>87</v>
      </c>
      <c r="I824" s="145" t="s">
        <v>2913</v>
      </c>
      <c r="J824" s="211" t="s">
        <v>3162</v>
      </c>
      <c r="K824" s="75" t="s">
        <v>1544</v>
      </c>
      <c r="L824" s="152" t="b">
        <v>1</v>
      </c>
      <c r="M824" s="152" t="b">
        <v>1</v>
      </c>
      <c r="N824" s="212" t="s">
        <v>3591</v>
      </c>
      <c r="O824" s="213" t="s">
        <v>1554</v>
      </c>
      <c r="P824" s="47" t="b">
        <v>1</v>
      </c>
      <c r="Q824" s="47" t="b">
        <v>0</v>
      </c>
      <c r="R824" s="214"/>
      <c r="S824" s="77">
        <v>0.0</v>
      </c>
      <c r="T824" s="218"/>
      <c r="U824" s="215"/>
      <c r="V824" s="215"/>
      <c r="W824" s="218"/>
      <c r="X824" s="218"/>
      <c r="Y824" s="77">
        <v>50000.0</v>
      </c>
      <c r="Z824" s="77"/>
    </row>
    <row r="825">
      <c r="A825" s="145" t="s">
        <v>1048</v>
      </c>
      <c r="B825" s="145" t="s">
        <v>3592</v>
      </c>
      <c r="C825" s="145" t="s">
        <v>3120</v>
      </c>
      <c r="D825" s="75" t="s">
        <v>1544</v>
      </c>
      <c r="E825" s="75" t="s">
        <v>1544</v>
      </c>
      <c r="F825" s="211" t="s">
        <v>1645</v>
      </c>
      <c r="G825" s="145" t="s">
        <v>1049</v>
      </c>
      <c r="H825" s="211" t="s">
        <v>77</v>
      </c>
      <c r="I825" s="145" t="s">
        <v>249</v>
      </c>
      <c r="J825" s="211" t="s">
        <v>1609</v>
      </c>
      <c r="K825" s="75" t="s">
        <v>1544</v>
      </c>
      <c r="L825" s="152" t="b">
        <v>1</v>
      </c>
      <c r="M825" s="152" t="b">
        <v>1</v>
      </c>
      <c r="N825" s="212" t="s">
        <v>3593</v>
      </c>
      <c r="O825" s="213" t="s">
        <v>1554</v>
      </c>
      <c r="P825" s="47" t="b">
        <v>1</v>
      </c>
      <c r="Q825" s="47" t="b">
        <v>0</v>
      </c>
      <c r="R825" s="214"/>
      <c r="S825" s="77">
        <v>0.0</v>
      </c>
      <c r="T825" s="76" t="s">
        <v>1179</v>
      </c>
      <c r="U825" s="78">
        <v>3.0E7</v>
      </c>
      <c r="V825" s="215"/>
      <c r="W825" s="77">
        <v>3.0E7</v>
      </c>
      <c r="X825" s="216">
        <v>300000.0</v>
      </c>
      <c r="Y825" s="77">
        <v>80000.0</v>
      </c>
      <c r="Z825" s="77"/>
    </row>
    <row r="826">
      <c r="A826" s="145" t="s">
        <v>3592</v>
      </c>
      <c r="C826" s="145" t="s">
        <v>3120</v>
      </c>
      <c r="D826" s="75" t="s">
        <v>1601</v>
      </c>
      <c r="E826" s="75" t="s">
        <v>1544</v>
      </c>
      <c r="F826" s="211" t="s">
        <v>2910</v>
      </c>
      <c r="G826" s="145" t="s">
        <v>3594</v>
      </c>
      <c r="H826" s="211" t="s">
        <v>87</v>
      </c>
      <c r="I826" s="145" t="s">
        <v>2913</v>
      </c>
      <c r="J826" s="211" t="s">
        <v>3162</v>
      </c>
      <c r="K826" s="75" t="s">
        <v>1544</v>
      </c>
      <c r="L826" s="152" t="b">
        <v>1</v>
      </c>
      <c r="M826" s="152" t="b">
        <v>1</v>
      </c>
      <c r="N826" s="212" t="s">
        <v>3595</v>
      </c>
      <c r="O826" s="213" t="s">
        <v>1554</v>
      </c>
      <c r="P826" s="47" t="b">
        <v>1</v>
      </c>
      <c r="Q826" s="47" t="b">
        <v>0</v>
      </c>
      <c r="R826" s="214"/>
      <c r="S826" s="77">
        <v>0.0</v>
      </c>
      <c r="T826" s="218"/>
      <c r="U826" s="215"/>
      <c r="V826" s="215"/>
      <c r="W826" s="218"/>
      <c r="X826" s="218"/>
      <c r="Y826" s="77">
        <v>50000.0</v>
      </c>
      <c r="Z826" s="77"/>
    </row>
    <row r="827">
      <c r="A827" s="145" t="s">
        <v>832</v>
      </c>
      <c r="B827" s="145" t="s">
        <v>3395</v>
      </c>
      <c r="C827" s="145" t="s">
        <v>3120</v>
      </c>
      <c r="D827" s="75" t="s">
        <v>1544</v>
      </c>
      <c r="E827" s="75" t="s">
        <v>1544</v>
      </c>
      <c r="F827" s="211" t="s">
        <v>3596</v>
      </c>
      <c r="G827" s="145" t="s">
        <v>934</v>
      </c>
      <c r="H827" s="211" t="s">
        <v>586</v>
      </c>
      <c r="I827" s="145" t="s">
        <v>162</v>
      </c>
      <c r="J827" s="211" t="s">
        <v>1561</v>
      </c>
      <c r="K827" s="75" t="s">
        <v>1544</v>
      </c>
      <c r="L827" s="152" t="b">
        <v>1</v>
      </c>
      <c r="M827" s="152" t="b">
        <v>1</v>
      </c>
      <c r="N827" s="212" t="s">
        <v>3597</v>
      </c>
      <c r="O827" s="213" t="s">
        <v>1554</v>
      </c>
      <c r="P827" s="47" t="b">
        <v>1</v>
      </c>
      <c r="Q827" s="47" t="b">
        <v>0</v>
      </c>
      <c r="R827" s="214"/>
      <c r="S827" s="77">
        <v>0.0</v>
      </c>
      <c r="T827" s="76" t="s">
        <v>1179</v>
      </c>
      <c r="U827" s="78">
        <v>4.0E7</v>
      </c>
      <c r="V827" s="215"/>
      <c r="W827" s="77">
        <v>4.0E7</v>
      </c>
      <c r="X827" s="216">
        <v>280000.0</v>
      </c>
      <c r="Y827" s="77">
        <v>166802.0</v>
      </c>
      <c r="Z827" s="77"/>
    </row>
    <row r="828">
      <c r="A828" s="145" t="s">
        <v>1037</v>
      </c>
      <c r="B828" s="145" t="s">
        <v>3442</v>
      </c>
      <c r="C828" s="145" t="s">
        <v>3120</v>
      </c>
      <c r="D828" s="75" t="s">
        <v>1544</v>
      </c>
      <c r="E828" s="75" t="s">
        <v>1544</v>
      </c>
      <c r="F828" s="211" t="s">
        <v>1649</v>
      </c>
      <c r="G828" s="145" t="s">
        <v>1038</v>
      </c>
      <c r="H828" s="211" t="s">
        <v>1018</v>
      </c>
      <c r="I828" s="145" t="s">
        <v>132</v>
      </c>
      <c r="J828" s="211" t="s">
        <v>1549</v>
      </c>
      <c r="K828" s="75" t="s">
        <v>1544</v>
      </c>
      <c r="L828" s="152" t="b">
        <v>1</v>
      </c>
      <c r="M828" s="152" t="b">
        <v>1</v>
      </c>
      <c r="N828" s="212" t="s">
        <v>3598</v>
      </c>
      <c r="O828" s="213" t="s">
        <v>1554</v>
      </c>
      <c r="P828" s="47" t="b">
        <v>1</v>
      </c>
      <c r="Q828" s="47" t="b">
        <v>0</v>
      </c>
      <c r="R828" s="214"/>
      <c r="S828" s="77">
        <v>0.0</v>
      </c>
      <c r="T828" s="76" t="s">
        <v>1179</v>
      </c>
      <c r="U828" s="78">
        <v>2.0E7</v>
      </c>
      <c r="V828" s="215"/>
      <c r="W828" s="77">
        <v>2.0E7</v>
      </c>
      <c r="X828" s="216">
        <v>160000.0</v>
      </c>
      <c r="Y828" s="77">
        <v>32000.0</v>
      </c>
      <c r="Z828" s="77"/>
    </row>
    <row r="829">
      <c r="A829" s="145" t="s">
        <v>1012</v>
      </c>
      <c r="B829" s="145" t="s">
        <v>1012</v>
      </c>
      <c r="C829" s="145" t="s">
        <v>2993</v>
      </c>
      <c r="D829" s="75" t="s">
        <v>1544</v>
      </c>
      <c r="E829" s="75" t="s">
        <v>1544</v>
      </c>
      <c r="F829" s="211" t="s">
        <v>1602</v>
      </c>
      <c r="G829" s="145" t="s">
        <v>1013</v>
      </c>
      <c r="H829" s="211" t="s">
        <v>87</v>
      </c>
      <c r="I829" s="145" t="s">
        <v>267</v>
      </c>
      <c r="J829" s="211" t="s">
        <v>1603</v>
      </c>
      <c r="K829" s="75" t="s">
        <v>1544</v>
      </c>
      <c r="L829" s="152" t="b">
        <v>1</v>
      </c>
      <c r="M829" s="152" t="b">
        <v>0</v>
      </c>
      <c r="N829" s="217"/>
      <c r="O829" s="213" t="s">
        <v>1554</v>
      </c>
      <c r="P829" s="47" t="b">
        <v>0</v>
      </c>
      <c r="Q829" s="47" t="b">
        <v>0</v>
      </c>
      <c r="R829" s="214"/>
      <c r="S829" s="77">
        <v>0.0</v>
      </c>
      <c r="T829" s="76" t="s">
        <v>1179</v>
      </c>
      <c r="U829" s="215"/>
      <c r="V829" s="215"/>
      <c r="W829" s="218"/>
      <c r="X829" s="218"/>
      <c r="Y829" s="77">
        <v>1.0</v>
      </c>
      <c r="Z829" s="77"/>
    </row>
    <row r="830">
      <c r="A830" s="145" t="s">
        <v>163</v>
      </c>
      <c r="B830" s="145" t="s">
        <v>163</v>
      </c>
      <c r="C830" s="145" t="s">
        <v>2993</v>
      </c>
      <c r="D830" s="75" t="s">
        <v>1544</v>
      </c>
      <c r="E830" s="75" t="s">
        <v>1544</v>
      </c>
      <c r="F830" s="211" t="s">
        <v>1602</v>
      </c>
      <c r="G830" s="145" t="s">
        <v>1008</v>
      </c>
      <c r="H830" s="211" t="s">
        <v>87</v>
      </c>
      <c r="I830" s="145" t="s">
        <v>267</v>
      </c>
      <c r="J830" s="211" t="s">
        <v>1603</v>
      </c>
      <c r="K830" s="75" t="s">
        <v>1544</v>
      </c>
      <c r="L830" s="152" t="b">
        <v>1</v>
      </c>
      <c r="M830" s="152" t="b">
        <v>0</v>
      </c>
      <c r="N830" s="217"/>
      <c r="O830" s="213" t="s">
        <v>1554</v>
      </c>
      <c r="P830" s="47" t="b">
        <v>0</v>
      </c>
      <c r="Q830" s="47" t="b">
        <v>0</v>
      </c>
      <c r="R830" s="214"/>
      <c r="S830" s="77">
        <v>0.0</v>
      </c>
      <c r="T830" s="76" t="s">
        <v>1179</v>
      </c>
      <c r="U830" s="215"/>
      <c r="V830" s="215"/>
      <c r="W830" s="214"/>
      <c r="X830" s="218"/>
      <c r="Y830" s="77">
        <v>1.0</v>
      </c>
      <c r="Z830" s="77"/>
    </row>
    <row r="831">
      <c r="A831" s="145" t="s">
        <v>2287</v>
      </c>
      <c r="B831" s="230"/>
      <c r="C831" s="145" t="s">
        <v>2288</v>
      </c>
      <c r="D831" s="75" t="s">
        <v>1601</v>
      </c>
      <c r="E831" s="75" t="s">
        <v>1544</v>
      </c>
      <c r="F831" s="211" t="s">
        <v>2910</v>
      </c>
      <c r="G831" s="145" t="s">
        <v>3599</v>
      </c>
      <c r="H831" s="211" t="s">
        <v>87</v>
      </c>
      <c r="I831" s="145" t="s">
        <v>2913</v>
      </c>
      <c r="J831" s="211" t="s">
        <v>3162</v>
      </c>
      <c r="K831" s="75" t="s">
        <v>1544</v>
      </c>
      <c r="L831" s="152" t="b">
        <v>1</v>
      </c>
      <c r="M831" s="152" t="b">
        <v>1</v>
      </c>
      <c r="N831" s="217"/>
      <c r="O831" s="213" t="s">
        <v>1554</v>
      </c>
      <c r="P831" s="47" t="b">
        <v>1</v>
      </c>
      <c r="Q831" s="47" t="b">
        <v>0</v>
      </c>
      <c r="R831" s="214"/>
      <c r="S831" s="77">
        <v>0.0</v>
      </c>
      <c r="T831" s="214"/>
      <c r="U831" s="215"/>
      <c r="V831" s="215"/>
      <c r="W831" s="218"/>
      <c r="X831" s="218"/>
      <c r="Y831" s="77">
        <v>50000.0</v>
      </c>
      <c r="Z831" s="77"/>
    </row>
    <row r="832">
      <c r="A832" s="145" t="s">
        <v>3494</v>
      </c>
      <c r="C832" s="145" t="s">
        <v>3495</v>
      </c>
      <c r="D832" s="75" t="s">
        <v>1601</v>
      </c>
      <c r="E832" s="75" t="s">
        <v>1544</v>
      </c>
      <c r="F832" s="211" t="s">
        <v>1602</v>
      </c>
      <c r="G832" s="145" t="s">
        <v>213</v>
      </c>
      <c r="H832" s="211" t="s">
        <v>87</v>
      </c>
      <c r="I832" s="145" t="s">
        <v>3128</v>
      </c>
      <c r="J832" s="211" t="s">
        <v>1603</v>
      </c>
      <c r="K832" s="75" t="s">
        <v>1544</v>
      </c>
      <c r="L832" s="152" t="b">
        <v>1</v>
      </c>
      <c r="M832" s="152" t="b">
        <v>1</v>
      </c>
      <c r="N832" s="212" t="s">
        <v>3600</v>
      </c>
      <c r="O832" s="213" t="s">
        <v>1554</v>
      </c>
      <c r="P832" s="47" t="b">
        <v>1</v>
      </c>
      <c r="Q832" s="47" t="b">
        <v>0</v>
      </c>
      <c r="R832" s="214"/>
      <c r="S832" s="77">
        <v>0.0</v>
      </c>
      <c r="T832" s="214"/>
      <c r="U832" s="215"/>
      <c r="V832" s="215"/>
      <c r="W832" s="214"/>
      <c r="X832" s="218"/>
      <c r="Y832" s="77">
        <v>1.0</v>
      </c>
      <c r="Z832" s="77"/>
    </row>
    <row r="833">
      <c r="A833" s="145" t="s">
        <v>903</v>
      </c>
      <c r="B833" s="145" t="s">
        <v>903</v>
      </c>
      <c r="C833" s="145" t="s">
        <v>3179</v>
      </c>
      <c r="D833" s="75" t="s">
        <v>1544</v>
      </c>
      <c r="E833" s="75" t="s">
        <v>1544</v>
      </c>
      <c r="F833" s="211" t="s">
        <v>1645</v>
      </c>
      <c r="G833" s="145" t="s">
        <v>904</v>
      </c>
      <c r="H833" s="211" t="s">
        <v>907</v>
      </c>
      <c r="I833" s="145" t="s">
        <v>54</v>
      </c>
      <c r="J833" s="211" t="s">
        <v>1609</v>
      </c>
      <c r="K833" s="75" t="s">
        <v>1544</v>
      </c>
      <c r="L833" s="152" t="b">
        <v>1</v>
      </c>
      <c r="M833" s="152" t="b">
        <v>0</v>
      </c>
      <c r="N833" s="212" t="s">
        <v>3601</v>
      </c>
      <c r="O833" s="213" t="s">
        <v>1554</v>
      </c>
      <c r="P833" s="47" t="b">
        <v>1</v>
      </c>
      <c r="Q833" s="47" t="b">
        <v>0</v>
      </c>
      <c r="R833" s="214"/>
      <c r="S833" s="77">
        <v>0.0</v>
      </c>
      <c r="T833" s="76" t="s">
        <v>1179</v>
      </c>
      <c r="U833" s="78">
        <v>2.0E7</v>
      </c>
      <c r="V833" s="78">
        <v>0.0</v>
      </c>
      <c r="W833" s="77">
        <v>2.0E7</v>
      </c>
      <c r="X833" s="216">
        <v>200000.0</v>
      </c>
      <c r="Y833" s="77">
        <v>80000.0</v>
      </c>
      <c r="Z833" s="77"/>
    </row>
    <row r="834">
      <c r="A834" s="145" t="s">
        <v>2582</v>
      </c>
      <c r="B834" s="145" t="s">
        <v>2582</v>
      </c>
      <c r="C834" s="145" t="s">
        <v>3602</v>
      </c>
      <c r="D834" s="75" t="s">
        <v>1544</v>
      </c>
      <c r="E834" s="75" t="s">
        <v>1544</v>
      </c>
      <c r="F834" s="211" t="s">
        <v>1547</v>
      </c>
      <c r="G834" s="145" t="s">
        <v>3603</v>
      </c>
      <c r="H834" s="211" t="s">
        <v>87</v>
      </c>
      <c r="I834" s="145" t="s">
        <v>267</v>
      </c>
      <c r="J834" s="211" t="s">
        <v>1549</v>
      </c>
      <c r="K834" s="75" t="s">
        <v>1544</v>
      </c>
      <c r="L834" s="152" t="b">
        <v>1</v>
      </c>
      <c r="M834" s="152" t="b">
        <v>0</v>
      </c>
      <c r="N834" s="212" t="s">
        <v>3604</v>
      </c>
      <c r="O834" s="213" t="s">
        <v>1554</v>
      </c>
      <c r="P834" s="47" t="b">
        <v>0</v>
      </c>
      <c r="Q834" s="47" t="b">
        <v>0</v>
      </c>
      <c r="R834" s="214"/>
      <c r="S834" s="77">
        <v>0.0</v>
      </c>
      <c r="T834" s="76" t="s">
        <v>1179</v>
      </c>
      <c r="U834" s="215"/>
      <c r="V834" s="215"/>
      <c r="W834" s="214"/>
      <c r="X834" s="218"/>
      <c r="Y834" s="216">
        <v>40000.0</v>
      </c>
      <c r="Z834" s="77"/>
    </row>
    <row r="835">
      <c r="A835" s="145" t="s">
        <v>2578</v>
      </c>
      <c r="B835" s="145" t="s">
        <v>2578</v>
      </c>
      <c r="C835" s="145" t="s">
        <v>3602</v>
      </c>
      <c r="D835" s="75" t="s">
        <v>1544</v>
      </c>
      <c r="E835" s="75" t="s">
        <v>1544</v>
      </c>
      <c r="F835" s="211" t="s">
        <v>1649</v>
      </c>
      <c r="G835" s="145" t="s">
        <v>3605</v>
      </c>
      <c r="H835" s="211" t="s">
        <v>1018</v>
      </c>
      <c r="I835" s="145" t="s">
        <v>267</v>
      </c>
      <c r="J835" s="211" t="s">
        <v>1549</v>
      </c>
      <c r="K835" s="75" t="s">
        <v>1544</v>
      </c>
      <c r="L835" s="152" t="b">
        <v>1</v>
      </c>
      <c r="M835" s="152" t="b">
        <v>0</v>
      </c>
      <c r="N835" s="212" t="s">
        <v>3606</v>
      </c>
      <c r="O835" s="213" t="s">
        <v>1554</v>
      </c>
      <c r="P835" s="47" t="b">
        <v>0</v>
      </c>
      <c r="Q835" s="47" t="b">
        <v>0</v>
      </c>
      <c r="R835" s="214"/>
      <c r="S835" s="77">
        <v>0.0</v>
      </c>
      <c r="T835" s="76" t="s">
        <v>1179</v>
      </c>
      <c r="U835" s="215"/>
      <c r="V835" s="215"/>
      <c r="W835" s="214"/>
      <c r="X835" s="214"/>
      <c r="Y835" s="77">
        <v>32000.0</v>
      </c>
      <c r="Z835" s="77"/>
    </row>
    <row r="836">
      <c r="A836" s="145" t="s">
        <v>2752</v>
      </c>
      <c r="B836" s="145" t="s">
        <v>2752</v>
      </c>
      <c r="C836" s="145" t="s">
        <v>3148</v>
      </c>
      <c r="D836" s="75" t="s">
        <v>1544</v>
      </c>
      <c r="E836" s="75" t="s">
        <v>1544</v>
      </c>
      <c r="F836" s="211" t="s">
        <v>1649</v>
      </c>
      <c r="G836" s="145" t="s">
        <v>3607</v>
      </c>
      <c r="H836" s="211" t="s">
        <v>1018</v>
      </c>
      <c r="I836" s="145" t="s">
        <v>66</v>
      </c>
      <c r="J836" s="211" t="s">
        <v>1549</v>
      </c>
      <c r="K836" s="75" t="s">
        <v>1544</v>
      </c>
      <c r="L836" s="152" t="b">
        <v>1</v>
      </c>
      <c r="M836" s="152" t="b">
        <v>0</v>
      </c>
      <c r="N836" s="212" t="s">
        <v>3608</v>
      </c>
      <c r="O836" s="213" t="s">
        <v>1554</v>
      </c>
      <c r="P836" s="47" t="b">
        <v>1</v>
      </c>
      <c r="Q836" s="47" t="b">
        <v>0</v>
      </c>
      <c r="R836" s="214"/>
      <c r="S836" s="77">
        <v>0.0</v>
      </c>
      <c r="T836" s="76" t="s">
        <v>1184</v>
      </c>
      <c r="U836" s="78">
        <v>9999999.0</v>
      </c>
      <c r="V836" s="78">
        <v>0.0</v>
      </c>
      <c r="W836" s="77">
        <v>1.0E7</v>
      </c>
      <c r="X836" s="216">
        <v>80000.0</v>
      </c>
      <c r="Y836" s="77">
        <v>32000.0</v>
      </c>
      <c r="Z836" s="77"/>
    </row>
    <row r="837">
      <c r="A837" s="145" t="s">
        <v>2747</v>
      </c>
      <c r="B837" s="145" t="s">
        <v>1760</v>
      </c>
      <c r="C837" s="145" t="s">
        <v>1543</v>
      </c>
      <c r="D837" s="75" t="s">
        <v>1544</v>
      </c>
      <c r="E837" s="75" t="s">
        <v>1544</v>
      </c>
      <c r="F837" s="211" t="s">
        <v>1547</v>
      </c>
      <c r="G837" s="145" t="s">
        <v>2748</v>
      </c>
      <c r="H837" s="211" t="s">
        <v>77</v>
      </c>
      <c r="I837" s="145" t="s">
        <v>143</v>
      </c>
      <c r="J837" s="211" t="s">
        <v>1549</v>
      </c>
      <c r="K837" s="75" t="s">
        <v>1544</v>
      </c>
      <c r="L837" s="152" t="b">
        <v>1</v>
      </c>
      <c r="M837" s="152" t="b">
        <v>0</v>
      </c>
      <c r="N837" s="212" t="s">
        <v>3609</v>
      </c>
      <c r="O837" s="213" t="s">
        <v>1554</v>
      </c>
      <c r="P837" s="47" t="b">
        <v>1</v>
      </c>
      <c r="Q837" s="47" t="b">
        <v>0</v>
      </c>
      <c r="R837" s="214"/>
      <c r="S837" s="77">
        <v>0.0</v>
      </c>
      <c r="T837" s="76" t="s">
        <v>1179</v>
      </c>
      <c r="U837" s="78">
        <v>1.1133934E7</v>
      </c>
      <c r="V837" s="215"/>
      <c r="W837" s="77">
        <v>1.2E7</v>
      </c>
      <c r="X837" s="77">
        <v>120000.0</v>
      </c>
      <c r="Y837" s="77">
        <v>40000.0</v>
      </c>
      <c r="Z837" s="77"/>
    </row>
    <row r="838">
      <c r="A838" s="145" t="s">
        <v>1539</v>
      </c>
      <c r="B838" s="145" t="s">
        <v>1707</v>
      </c>
      <c r="C838" s="145" t="s">
        <v>1543</v>
      </c>
      <c r="D838" s="75" t="s">
        <v>1544</v>
      </c>
      <c r="E838" s="75" t="s">
        <v>1544</v>
      </c>
      <c r="F838" s="211" t="s">
        <v>1637</v>
      </c>
      <c r="G838" s="145" t="s">
        <v>1540</v>
      </c>
      <c r="H838" s="211" t="s">
        <v>77</v>
      </c>
      <c r="I838" s="145" t="s">
        <v>327</v>
      </c>
      <c r="J838" s="211" t="s">
        <v>1639</v>
      </c>
      <c r="K838" s="75" t="s">
        <v>1544</v>
      </c>
      <c r="L838" s="152" t="b">
        <v>1</v>
      </c>
      <c r="M838" s="152" t="b">
        <v>0</v>
      </c>
      <c r="N838" s="212" t="s">
        <v>3610</v>
      </c>
      <c r="O838" s="213" t="s">
        <v>1554</v>
      </c>
      <c r="P838" s="47" t="b">
        <v>1</v>
      </c>
      <c r="Q838" s="47" t="b">
        <v>0</v>
      </c>
      <c r="R838" s="214"/>
      <c r="S838" s="77">
        <v>0.0</v>
      </c>
      <c r="T838" s="76" t="s">
        <v>1179</v>
      </c>
      <c r="U838" s="78">
        <v>1.4748143E7</v>
      </c>
      <c r="V838" s="215"/>
      <c r="W838" s="77">
        <v>1.4E7</v>
      </c>
      <c r="X838" s="216">
        <v>140000.0</v>
      </c>
      <c r="Y838" s="77">
        <v>60000.0</v>
      </c>
      <c r="Z838" s="77"/>
    </row>
    <row r="839">
      <c r="A839" s="145" t="s">
        <v>2750</v>
      </c>
      <c r="B839" s="145" t="s">
        <v>1849</v>
      </c>
      <c r="C839" s="145" t="s">
        <v>1543</v>
      </c>
      <c r="D839" s="75" t="s">
        <v>1544</v>
      </c>
      <c r="E839" s="75" t="s">
        <v>1544</v>
      </c>
      <c r="F839" s="211" t="s">
        <v>1649</v>
      </c>
      <c r="G839" s="145" t="s">
        <v>2751</v>
      </c>
      <c r="H839" s="211" t="s">
        <v>1018</v>
      </c>
      <c r="I839" s="145" t="s">
        <v>75</v>
      </c>
      <c r="J839" s="211" t="s">
        <v>1549</v>
      </c>
      <c r="K839" s="75" t="s">
        <v>1544</v>
      </c>
      <c r="L839" s="152" t="b">
        <v>1</v>
      </c>
      <c r="M839" s="152" t="b">
        <v>0</v>
      </c>
      <c r="N839" s="212" t="s">
        <v>3611</v>
      </c>
      <c r="O839" s="213" t="s">
        <v>1554</v>
      </c>
      <c r="P839" s="47" t="b">
        <v>1</v>
      </c>
      <c r="Q839" s="47" t="b">
        <v>0</v>
      </c>
      <c r="R839" s="214"/>
      <c r="S839" s="77">
        <v>0.0</v>
      </c>
      <c r="T839" s="76" t="s">
        <v>1179</v>
      </c>
      <c r="U839" s="78">
        <v>1.0692482E7</v>
      </c>
      <c r="V839" s="215"/>
      <c r="W839" s="77">
        <v>1.0E7</v>
      </c>
      <c r="X839" s="216">
        <v>80000.0</v>
      </c>
      <c r="Y839" s="77">
        <v>32000.0</v>
      </c>
      <c r="Z839" s="77"/>
    </row>
    <row r="840">
      <c r="A840" s="145" t="s">
        <v>958</v>
      </c>
      <c r="B840" s="145" t="s">
        <v>958</v>
      </c>
      <c r="C840" s="145" t="s">
        <v>3148</v>
      </c>
      <c r="D840" s="75" t="s">
        <v>1544</v>
      </c>
      <c r="E840" s="75" t="s">
        <v>1544</v>
      </c>
      <c r="F840" s="211" t="s">
        <v>1645</v>
      </c>
      <c r="G840" s="145" t="s">
        <v>959</v>
      </c>
      <c r="H840" s="211" t="s">
        <v>87</v>
      </c>
      <c r="I840" s="145" t="s">
        <v>267</v>
      </c>
      <c r="J840" s="211" t="s">
        <v>1597</v>
      </c>
      <c r="K840" s="75" t="s">
        <v>1544</v>
      </c>
      <c r="L840" s="152" t="b">
        <v>1</v>
      </c>
      <c r="M840" s="152" t="b">
        <v>0</v>
      </c>
      <c r="N840" s="212" t="s">
        <v>3612</v>
      </c>
      <c r="O840" s="213" t="s">
        <v>1554</v>
      </c>
      <c r="P840" s="47" t="b">
        <v>0</v>
      </c>
      <c r="Q840" s="47" t="b">
        <v>0</v>
      </c>
      <c r="R840" s="214"/>
      <c r="S840" s="77">
        <v>0.0</v>
      </c>
      <c r="T840" s="76" t="s">
        <v>1184</v>
      </c>
      <c r="U840" s="215"/>
      <c r="V840" s="215"/>
      <c r="W840" s="214"/>
      <c r="X840" s="218"/>
      <c r="Y840" s="77">
        <v>80000.0</v>
      </c>
      <c r="Z840" s="77"/>
    </row>
    <row r="841">
      <c r="A841" s="145" t="s">
        <v>2754</v>
      </c>
      <c r="B841" s="145" t="s">
        <v>2754</v>
      </c>
      <c r="C841" s="145" t="s">
        <v>3148</v>
      </c>
      <c r="D841" s="75" t="s">
        <v>1544</v>
      </c>
      <c r="E841" s="75" t="s">
        <v>1544</v>
      </c>
      <c r="F841" s="211" t="s">
        <v>1649</v>
      </c>
      <c r="G841" s="145" t="s">
        <v>3613</v>
      </c>
      <c r="H841" s="211" t="s">
        <v>1018</v>
      </c>
      <c r="I841" s="145" t="s">
        <v>1017</v>
      </c>
      <c r="J841" s="211" t="s">
        <v>1549</v>
      </c>
      <c r="K841" s="75" t="s">
        <v>1544</v>
      </c>
      <c r="L841" s="152" t="b">
        <v>1</v>
      </c>
      <c r="M841" s="152" t="b">
        <v>0</v>
      </c>
      <c r="N841" s="212" t="s">
        <v>3614</v>
      </c>
      <c r="O841" s="213" t="s">
        <v>1554</v>
      </c>
      <c r="P841" s="47" t="b">
        <v>1</v>
      </c>
      <c r="Q841" s="47" t="b">
        <v>0</v>
      </c>
      <c r="R841" s="214"/>
      <c r="S841" s="77">
        <v>0.0</v>
      </c>
      <c r="T841" s="76" t="s">
        <v>1184</v>
      </c>
      <c r="U841" s="78">
        <v>9195189.0</v>
      </c>
      <c r="V841" s="78">
        <v>0.0</v>
      </c>
      <c r="W841" s="77">
        <v>1.0E7</v>
      </c>
      <c r="X841" s="77">
        <v>80000.0</v>
      </c>
      <c r="Y841" s="77">
        <v>32000.0</v>
      </c>
      <c r="Z841" s="77"/>
    </row>
    <row r="842">
      <c r="A842" s="145" t="s">
        <v>867</v>
      </c>
      <c r="B842" s="145" t="s">
        <v>1689</v>
      </c>
      <c r="C842" s="145" t="s">
        <v>1543</v>
      </c>
      <c r="D842" s="75" t="s">
        <v>1544</v>
      </c>
      <c r="E842" s="75" t="s">
        <v>1544</v>
      </c>
      <c r="F842" s="211" t="s">
        <v>1690</v>
      </c>
      <c r="G842" s="145" t="s">
        <v>2757</v>
      </c>
      <c r="H842" s="211" t="s">
        <v>586</v>
      </c>
      <c r="I842" s="145" t="s">
        <v>162</v>
      </c>
      <c r="J842" s="211" t="s">
        <v>1597</v>
      </c>
      <c r="K842" s="75" t="s">
        <v>1544</v>
      </c>
      <c r="L842" s="152" t="b">
        <v>1</v>
      </c>
      <c r="M842" s="152" t="b">
        <v>0</v>
      </c>
      <c r="N842" s="212" t="s">
        <v>3615</v>
      </c>
      <c r="O842" s="213" t="s">
        <v>1554</v>
      </c>
      <c r="P842" s="47" t="b">
        <v>1</v>
      </c>
      <c r="Q842" s="47" t="b">
        <v>0</v>
      </c>
      <c r="R842" s="214"/>
      <c r="S842" s="77">
        <v>0.0</v>
      </c>
      <c r="T842" s="76" t="s">
        <v>1179</v>
      </c>
      <c r="U842" s="78">
        <v>2.0911533E7</v>
      </c>
      <c r="V842" s="215"/>
      <c r="W842" s="77">
        <v>2.0E7</v>
      </c>
      <c r="X842" s="77">
        <v>140000.0</v>
      </c>
      <c r="Y842" s="77">
        <v>100000.0</v>
      </c>
      <c r="Z842" s="77"/>
    </row>
    <row r="843">
      <c r="A843" s="145" t="s">
        <v>871</v>
      </c>
      <c r="B843" s="145" t="s">
        <v>1689</v>
      </c>
      <c r="C843" s="145" t="s">
        <v>1543</v>
      </c>
      <c r="D843" s="75" t="s">
        <v>1544</v>
      </c>
      <c r="E843" s="75" t="s">
        <v>1544</v>
      </c>
      <c r="F843" s="211" t="s">
        <v>1690</v>
      </c>
      <c r="G843" s="145" t="s">
        <v>3616</v>
      </c>
      <c r="H843" s="211" t="s">
        <v>586</v>
      </c>
      <c r="I843" s="145" t="s">
        <v>162</v>
      </c>
      <c r="J843" s="211" t="s">
        <v>1597</v>
      </c>
      <c r="K843" s="75" t="s">
        <v>1544</v>
      </c>
      <c r="L843" s="152" t="b">
        <v>1</v>
      </c>
      <c r="M843" s="152" t="b">
        <v>0</v>
      </c>
      <c r="N843" s="212" t="s">
        <v>3617</v>
      </c>
      <c r="O843" s="213" t="s">
        <v>1554</v>
      </c>
      <c r="P843" s="47" t="b">
        <v>1</v>
      </c>
      <c r="Q843" s="47" t="b">
        <v>0</v>
      </c>
      <c r="R843" s="214"/>
      <c r="S843" s="77">
        <v>0.0</v>
      </c>
      <c r="T843" s="76" t="s">
        <v>1179</v>
      </c>
      <c r="U843" s="78">
        <v>2.0657758E7</v>
      </c>
      <c r="V843" s="215"/>
      <c r="W843" s="77">
        <v>2.0E7</v>
      </c>
      <c r="X843" s="77">
        <v>140000.0</v>
      </c>
      <c r="Y843" s="77">
        <v>100000.0</v>
      </c>
      <c r="Z843" s="77"/>
    </row>
    <row r="844">
      <c r="A844" s="145" t="s">
        <v>854</v>
      </c>
      <c r="B844" s="145" t="s">
        <v>854</v>
      </c>
      <c r="C844" s="145" t="s">
        <v>317</v>
      </c>
      <c r="D844" s="75" t="s">
        <v>1544</v>
      </c>
      <c r="E844" s="75" t="s">
        <v>1544</v>
      </c>
      <c r="F844" s="211" t="s">
        <v>3619</v>
      </c>
      <c r="G844" s="145" t="s">
        <v>855</v>
      </c>
      <c r="H844" s="211" t="s">
        <v>77</v>
      </c>
      <c r="I844" s="145" t="s">
        <v>329</v>
      </c>
      <c r="J844" s="211" t="s">
        <v>1639</v>
      </c>
      <c r="K844" s="75" t="s">
        <v>1544</v>
      </c>
      <c r="L844" s="152" t="b">
        <v>1</v>
      </c>
      <c r="M844" s="152" t="b">
        <v>0</v>
      </c>
      <c r="N844" s="212" t="s">
        <v>3620</v>
      </c>
      <c r="O844" s="213" t="s">
        <v>1554</v>
      </c>
      <c r="P844" s="47" t="b">
        <v>1</v>
      </c>
      <c r="Q844" s="47" t="b">
        <v>0</v>
      </c>
      <c r="R844" s="214"/>
      <c r="S844" s="77">
        <v>0.0</v>
      </c>
      <c r="T844" s="76" t="s">
        <v>1162</v>
      </c>
      <c r="U844" s="78">
        <v>1.0873735E7</v>
      </c>
      <c r="V844" s="78">
        <v>23.0</v>
      </c>
      <c r="W844" s="77">
        <v>1.0E7</v>
      </c>
      <c r="X844" s="216">
        <v>100000.0</v>
      </c>
      <c r="Y844" s="77">
        <v>123047.0</v>
      </c>
      <c r="Z844" s="77"/>
    </row>
    <row r="845">
      <c r="A845" s="145" t="s">
        <v>2358</v>
      </c>
      <c r="B845" s="145" t="s">
        <v>2358</v>
      </c>
      <c r="C845" s="145" t="s">
        <v>3602</v>
      </c>
      <c r="D845" s="75" t="s">
        <v>1544</v>
      </c>
      <c r="E845" s="75" t="s">
        <v>1544</v>
      </c>
      <c r="F845" s="211" t="s">
        <v>1547</v>
      </c>
      <c r="G845" s="145" t="s">
        <v>3622</v>
      </c>
      <c r="H845" s="211" t="s">
        <v>87</v>
      </c>
      <c r="I845" s="145" t="s">
        <v>267</v>
      </c>
      <c r="J845" s="211" t="s">
        <v>1549</v>
      </c>
      <c r="K845" s="75" t="s">
        <v>1544</v>
      </c>
      <c r="L845" s="152" t="b">
        <v>1</v>
      </c>
      <c r="M845" s="152" t="b">
        <v>0</v>
      </c>
      <c r="N845" s="212" t="s">
        <v>3623</v>
      </c>
      <c r="O845" s="213" t="s">
        <v>1554</v>
      </c>
      <c r="P845" s="47" t="b">
        <v>0</v>
      </c>
      <c r="Q845" s="47" t="b">
        <v>0</v>
      </c>
      <c r="R845" s="214"/>
      <c r="S845" s="77">
        <v>0.0</v>
      </c>
      <c r="T845" s="76" t="s">
        <v>1179</v>
      </c>
      <c r="U845" s="215"/>
      <c r="V845" s="215"/>
      <c r="W845" s="214"/>
      <c r="X845" s="218"/>
      <c r="Y845" s="77">
        <v>40000.0</v>
      </c>
      <c r="Z845" s="77"/>
    </row>
    <row r="846">
      <c r="A846" s="145" t="s">
        <v>2122</v>
      </c>
      <c r="B846" s="145" t="s">
        <v>1605</v>
      </c>
      <c r="C846" s="145" t="s">
        <v>1543</v>
      </c>
      <c r="D846" s="75" t="s">
        <v>1544</v>
      </c>
      <c r="E846" s="75" t="s">
        <v>1544</v>
      </c>
      <c r="F846" s="211" t="s">
        <v>1547</v>
      </c>
      <c r="G846" s="145" t="s">
        <v>3624</v>
      </c>
      <c r="H846" s="211" t="s">
        <v>77</v>
      </c>
      <c r="I846" s="145" t="s">
        <v>329</v>
      </c>
      <c r="J846" s="211" t="s">
        <v>1549</v>
      </c>
      <c r="K846" s="75" t="s">
        <v>1544</v>
      </c>
      <c r="L846" s="152" t="b">
        <v>1</v>
      </c>
      <c r="M846" s="152" t="b">
        <v>0</v>
      </c>
      <c r="N846" s="212" t="s">
        <v>3625</v>
      </c>
      <c r="O846" s="213" t="s">
        <v>1554</v>
      </c>
      <c r="P846" s="47" t="b">
        <v>1</v>
      </c>
      <c r="Q846" s="47" t="b">
        <v>0</v>
      </c>
      <c r="R846" s="214"/>
      <c r="S846" s="77">
        <v>0.0</v>
      </c>
      <c r="T846" s="76" t="s">
        <v>1172</v>
      </c>
      <c r="U846" s="78">
        <v>1.1461472E7</v>
      </c>
      <c r="V846" s="215"/>
      <c r="W846" s="77">
        <v>1.2E7</v>
      </c>
      <c r="X846" s="77">
        <v>120000.0</v>
      </c>
      <c r="Y846" s="77">
        <v>40000.0</v>
      </c>
      <c r="Z846" s="77"/>
    </row>
    <row r="847">
      <c r="A847" s="145" t="s">
        <v>2768</v>
      </c>
      <c r="B847" s="145" t="s">
        <v>2768</v>
      </c>
      <c r="C847" s="145" t="s">
        <v>3148</v>
      </c>
      <c r="D847" s="75" t="s">
        <v>1544</v>
      </c>
      <c r="E847" s="75" t="s">
        <v>1544</v>
      </c>
      <c r="F847" s="211" t="s">
        <v>1649</v>
      </c>
      <c r="G847" s="145" t="s">
        <v>3626</v>
      </c>
      <c r="H847" s="211" t="s">
        <v>1018</v>
      </c>
      <c r="I847" s="145" t="s">
        <v>75</v>
      </c>
      <c r="J847" s="211" t="s">
        <v>1549</v>
      </c>
      <c r="K847" s="75" t="s">
        <v>1544</v>
      </c>
      <c r="L847" s="152" t="b">
        <v>1</v>
      </c>
      <c r="M847" s="152" t="b">
        <v>0</v>
      </c>
      <c r="N847" s="212" t="s">
        <v>3627</v>
      </c>
      <c r="O847" s="213" t="s">
        <v>1554</v>
      </c>
      <c r="P847" s="47" t="b">
        <v>1</v>
      </c>
      <c r="Q847" s="47" t="b">
        <v>0</v>
      </c>
      <c r="R847" s="214"/>
      <c r="S847" s="77">
        <v>0.0</v>
      </c>
      <c r="T847" s="76" t="s">
        <v>1184</v>
      </c>
      <c r="U847" s="78">
        <v>9839134.0</v>
      </c>
      <c r="V847" s="78">
        <v>0.0</v>
      </c>
      <c r="W847" s="77">
        <v>1.0E7</v>
      </c>
      <c r="X847" s="216">
        <v>80000.0</v>
      </c>
      <c r="Y847" s="77">
        <v>32000.0</v>
      </c>
      <c r="Z847" s="77"/>
    </row>
    <row r="848">
      <c r="A848" s="145" t="s">
        <v>2766</v>
      </c>
      <c r="B848" s="145" t="s">
        <v>2766</v>
      </c>
      <c r="C848" s="145" t="s">
        <v>3148</v>
      </c>
      <c r="D848" s="75" t="s">
        <v>1544</v>
      </c>
      <c r="E848" s="75" t="s">
        <v>1544</v>
      </c>
      <c r="F848" s="211" t="s">
        <v>1649</v>
      </c>
      <c r="G848" s="145" t="s">
        <v>3628</v>
      </c>
      <c r="H848" s="211" t="s">
        <v>1018</v>
      </c>
      <c r="I848" s="145" t="s">
        <v>75</v>
      </c>
      <c r="J848" s="211" t="s">
        <v>1549</v>
      </c>
      <c r="K848" s="75" t="s">
        <v>1544</v>
      </c>
      <c r="L848" s="152" t="b">
        <v>1</v>
      </c>
      <c r="M848" s="152" t="b">
        <v>0</v>
      </c>
      <c r="N848" s="212" t="s">
        <v>3629</v>
      </c>
      <c r="O848" s="213" t="s">
        <v>1554</v>
      </c>
      <c r="P848" s="47" t="b">
        <v>1</v>
      </c>
      <c r="Q848" s="47" t="b">
        <v>0</v>
      </c>
      <c r="R848" s="214"/>
      <c r="S848" s="77">
        <v>0.0</v>
      </c>
      <c r="T848" s="76" t="s">
        <v>1184</v>
      </c>
      <c r="U848" s="78">
        <v>9999999.0</v>
      </c>
      <c r="V848" s="78">
        <v>0.0</v>
      </c>
      <c r="W848" s="77">
        <v>1.0E7</v>
      </c>
      <c r="X848" s="216">
        <v>80000.0</v>
      </c>
      <c r="Y848" s="77">
        <v>32000.0</v>
      </c>
      <c r="Z848" s="77"/>
    </row>
    <row r="849">
      <c r="A849" s="145" t="s">
        <v>1465</v>
      </c>
      <c r="B849" s="145" t="s">
        <v>1465</v>
      </c>
      <c r="C849" s="145" t="s">
        <v>3148</v>
      </c>
      <c r="D849" s="75" t="s">
        <v>1544</v>
      </c>
      <c r="E849" s="75" t="s">
        <v>1544</v>
      </c>
      <c r="F849" s="211" t="s">
        <v>1649</v>
      </c>
      <c r="G849" s="145" t="s">
        <v>1466</v>
      </c>
      <c r="H849" s="211" t="s">
        <v>1018</v>
      </c>
      <c r="I849" s="145" t="s">
        <v>83</v>
      </c>
      <c r="J849" s="211" t="s">
        <v>1549</v>
      </c>
      <c r="K849" s="75" t="s">
        <v>1544</v>
      </c>
      <c r="L849" s="152" t="b">
        <v>1</v>
      </c>
      <c r="M849" s="152" t="b">
        <v>0</v>
      </c>
      <c r="N849" s="212" t="s">
        <v>3630</v>
      </c>
      <c r="O849" s="213" t="s">
        <v>1554</v>
      </c>
      <c r="P849" s="47" t="b">
        <v>1</v>
      </c>
      <c r="Q849" s="47" t="b">
        <v>0</v>
      </c>
      <c r="R849" s="214"/>
      <c r="S849" s="77">
        <v>0.0</v>
      </c>
      <c r="T849" s="76" t="s">
        <v>1184</v>
      </c>
      <c r="U849" s="78">
        <v>1.0E7</v>
      </c>
      <c r="V849" s="78">
        <v>0.0</v>
      </c>
      <c r="W849" s="77">
        <v>1.0E7</v>
      </c>
      <c r="X849" s="77">
        <v>80000.0</v>
      </c>
      <c r="Y849" s="77">
        <v>32000.0</v>
      </c>
      <c r="Z849" s="77"/>
    </row>
    <row r="850">
      <c r="A850" s="145" t="s">
        <v>880</v>
      </c>
      <c r="B850" s="145" t="s">
        <v>880</v>
      </c>
      <c r="C850" s="145" t="s">
        <v>3148</v>
      </c>
      <c r="D850" s="75" t="s">
        <v>1544</v>
      </c>
      <c r="E850" s="75" t="s">
        <v>1544</v>
      </c>
      <c r="F850" s="211" t="s">
        <v>1690</v>
      </c>
      <c r="G850" s="145" t="s">
        <v>3631</v>
      </c>
      <c r="H850" s="211" t="s">
        <v>586</v>
      </c>
      <c r="I850" s="145" t="s">
        <v>162</v>
      </c>
      <c r="J850" s="211" t="s">
        <v>1597</v>
      </c>
      <c r="K850" s="75" t="s">
        <v>1544</v>
      </c>
      <c r="L850" s="152" t="b">
        <v>1</v>
      </c>
      <c r="M850" s="152" t="b">
        <v>0</v>
      </c>
      <c r="N850" s="212" t="s">
        <v>3632</v>
      </c>
      <c r="O850" s="213" t="s">
        <v>1554</v>
      </c>
      <c r="P850" s="47" t="b">
        <v>1</v>
      </c>
      <c r="Q850" s="47" t="b">
        <v>0</v>
      </c>
      <c r="R850" s="214"/>
      <c r="S850" s="77">
        <v>0.0</v>
      </c>
      <c r="T850" s="76" t="s">
        <v>1184</v>
      </c>
      <c r="U850" s="215"/>
      <c r="V850" s="78">
        <v>-1.0</v>
      </c>
      <c r="W850" s="214"/>
      <c r="X850" s="218"/>
      <c r="Y850" s="77">
        <v>100000.0</v>
      </c>
      <c r="Z850" s="77"/>
    </row>
    <row r="851">
      <c r="A851" s="145" t="s">
        <v>68</v>
      </c>
      <c r="B851" s="145" t="s">
        <v>68</v>
      </c>
      <c r="C851" s="145" t="s">
        <v>3148</v>
      </c>
      <c r="D851" s="75" t="s">
        <v>1544</v>
      </c>
      <c r="E851" s="75" t="s">
        <v>1544</v>
      </c>
      <c r="F851" s="211" t="s">
        <v>1649</v>
      </c>
      <c r="G851" s="145" t="s">
        <v>3633</v>
      </c>
      <c r="H851" s="211" t="s">
        <v>1018</v>
      </c>
      <c r="I851" s="145" t="s">
        <v>66</v>
      </c>
      <c r="J851" s="211" t="s">
        <v>1549</v>
      </c>
      <c r="K851" s="75" t="s">
        <v>1544</v>
      </c>
      <c r="L851" s="152" t="b">
        <v>1</v>
      </c>
      <c r="M851" s="152" t="b">
        <v>0</v>
      </c>
      <c r="N851" s="212" t="s">
        <v>3634</v>
      </c>
      <c r="O851" s="213" t="s">
        <v>1554</v>
      </c>
      <c r="P851" s="47" t="b">
        <v>1</v>
      </c>
      <c r="Q851" s="47" t="b">
        <v>0</v>
      </c>
      <c r="R851" s="214"/>
      <c r="S851" s="77">
        <v>0.0</v>
      </c>
      <c r="T851" s="76" t="s">
        <v>1184</v>
      </c>
      <c r="U851" s="78">
        <v>1.0E7</v>
      </c>
      <c r="V851" s="78">
        <v>0.0</v>
      </c>
      <c r="W851" s="77">
        <v>1.0E7</v>
      </c>
      <c r="X851" s="77">
        <v>80000.0</v>
      </c>
      <c r="Y851" s="77">
        <v>32000.0</v>
      </c>
      <c r="Z851" s="77"/>
    </row>
    <row r="852">
      <c r="A852" s="145" t="s">
        <v>1019</v>
      </c>
      <c r="B852" s="145" t="s">
        <v>1019</v>
      </c>
      <c r="C852" s="145" t="s">
        <v>3148</v>
      </c>
      <c r="D852" s="75" t="s">
        <v>1544</v>
      </c>
      <c r="E852" s="75" t="s">
        <v>1544</v>
      </c>
      <c r="F852" s="211" t="s">
        <v>87</v>
      </c>
      <c r="G852" s="145" t="s">
        <v>1020</v>
      </c>
      <c r="H852" s="211" t="s">
        <v>87</v>
      </c>
      <c r="I852" s="145" t="s">
        <v>267</v>
      </c>
      <c r="J852" s="211" t="s">
        <v>87</v>
      </c>
      <c r="K852" s="75" t="s">
        <v>1544</v>
      </c>
      <c r="L852" s="152" t="b">
        <v>1</v>
      </c>
      <c r="M852" s="152" t="b">
        <v>0</v>
      </c>
      <c r="N852" s="212" t="s">
        <v>3635</v>
      </c>
      <c r="O852" s="213" t="s">
        <v>1554</v>
      </c>
      <c r="P852" s="47" t="b">
        <v>0</v>
      </c>
      <c r="Q852" s="47" t="b">
        <v>0</v>
      </c>
      <c r="R852" s="214"/>
      <c r="S852" s="77">
        <v>0.0</v>
      </c>
      <c r="T852" s="76" t="s">
        <v>1184</v>
      </c>
      <c r="U852" s="215"/>
      <c r="V852" s="215"/>
      <c r="W852" s="214"/>
      <c r="X852" s="214"/>
      <c r="Y852" s="77">
        <v>0.0</v>
      </c>
      <c r="Z852" s="77"/>
    </row>
    <row r="853">
      <c r="A853" s="145" t="s">
        <v>2771</v>
      </c>
      <c r="B853" s="145" t="s">
        <v>2771</v>
      </c>
      <c r="C853" s="145" t="s">
        <v>3375</v>
      </c>
      <c r="D853" s="75" t="s">
        <v>1544</v>
      </c>
      <c r="E853" s="75" t="s">
        <v>1544</v>
      </c>
      <c r="F853" s="211" t="s">
        <v>1649</v>
      </c>
      <c r="G853" s="145" t="s">
        <v>3636</v>
      </c>
      <c r="H853" s="211" t="s">
        <v>1018</v>
      </c>
      <c r="I853" s="145" t="s">
        <v>92</v>
      </c>
      <c r="J853" s="211" t="s">
        <v>1549</v>
      </c>
      <c r="K853" s="75" t="s">
        <v>1544</v>
      </c>
      <c r="L853" s="152" t="b">
        <v>1</v>
      </c>
      <c r="M853" s="152" t="b">
        <v>0</v>
      </c>
      <c r="N853" s="212" t="s">
        <v>3637</v>
      </c>
      <c r="O853" s="213" t="s">
        <v>1554</v>
      </c>
      <c r="P853" s="47" t="b">
        <v>1</v>
      </c>
      <c r="Q853" s="47" t="b">
        <v>0</v>
      </c>
      <c r="R853" s="214"/>
      <c r="S853" s="77">
        <v>0.0</v>
      </c>
      <c r="T853" s="76" t="s">
        <v>1184</v>
      </c>
      <c r="U853" s="78">
        <v>9058178.0</v>
      </c>
      <c r="V853" s="78">
        <v>0.0</v>
      </c>
      <c r="W853" s="77">
        <v>1.0E7</v>
      </c>
      <c r="X853" s="216">
        <v>80000.0</v>
      </c>
      <c r="Y853" s="77">
        <v>32000.0</v>
      </c>
      <c r="Z853" s="77"/>
    </row>
    <row r="854">
      <c r="A854" s="145" t="s">
        <v>2773</v>
      </c>
      <c r="B854" s="145" t="s">
        <v>1849</v>
      </c>
      <c r="C854" s="145" t="s">
        <v>1543</v>
      </c>
      <c r="D854" s="75" t="s">
        <v>1544</v>
      </c>
      <c r="E854" s="75" t="s">
        <v>1544</v>
      </c>
      <c r="F854" s="211" t="s">
        <v>3292</v>
      </c>
      <c r="G854" s="145" t="s">
        <v>2774</v>
      </c>
      <c r="H854" s="211" t="s">
        <v>1018</v>
      </c>
      <c r="I854" s="145" t="s">
        <v>75</v>
      </c>
      <c r="J854" s="211" t="s">
        <v>1667</v>
      </c>
      <c r="K854" s="75" t="s">
        <v>1544</v>
      </c>
      <c r="L854" s="152" t="b">
        <v>1</v>
      </c>
      <c r="M854" s="152" t="b">
        <v>0</v>
      </c>
      <c r="N854" s="212" t="s">
        <v>3638</v>
      </c>
      <c r="O854" s="213" t="s">
        <v>1554</v>
      </c>
      <c r="P854" s="47" t="b">
        <v>1</v>
      </c>
      <c r="Q854" s="47" t="b">
        <v>0</v>
      </c>
      <c r="R854" s="214"/>
      <c r="S854" s="77">
        <v>0.0</v>
      </c>
      <c r="T854" s="76" t="s">
        <v>1179</v>
      </c>
      <c r="U854" s="78">
        <v>1.88763E7</v>
      </c>
      <c r="V854" s="215"/>
      <c r="W854" s="77">
        <v>1.8E7</v>
      </c>
      <c r="X854" s="216">
        <v>144000.0</v>
      </c>
      <c r="Y854" s="77">
        <v>96000.0</v>
      </c>
      <c r="Z854" s="77"/>
    </row>
    <row r="855">
      <c r="A855" s="145" t="s">
        <v>105</v>
      </c>
      <c r="B855" s="145" t="s">
        <v>2366</v>
      </c>
      <c r="C855" s="145" t="s">
        <v>2288</v>
      </c>
      <c r="D855" s="75" t="s">
        <v>1544</v>
      </c>
      <c r="E855" s="75" t="s">
        <v>1544</v>
      </c>
      <c r="F855" s="211" t="s">
        <v>1547</v>
      </c>
      <c r="G855" s="145" t="s">
        <v>3639</v>
      </c>
      <c r="H855" s="211" t="s">
        <v>907</v>
      </c>
      <c r="I855" s="145" t="s">
        <v>54</v>
      </c>
      <c r="J855" s="211" t="s">
        <v>1549</v>
      </c>
      <c r="K855" s="75" t="s">
        <v>1544</v>
      </c>
      <c r="L855" s="152" t="b">
        <v>1</v>
      </c>
      <c r="M855" s="152" t="b">
        <v>0</v>
      </c>
      <c r="N855" s="217"/>
      <c r="O855" s="213" t="s">
        <v>1554</v>
      </c>
      <c r="P855" s="47" t="b">
        <v>1</v>
      </c>
      <c r="Q855" s="47" t="b">
        <v>0</v>
      </c>
      <c r="R855" s="214"/>
      <c r="S855" s="77">
        <v>0.0</v>
      </c>
      <c r="T855" s="76" t="s">
        <v>1179</v>
      </c>
      <c r="U855" s="78">
        <v>8594148.0</v>
      </c>
      <c r="V855" s="215"/>
      <c r="W855" s="77">
        <v>8000000.0</v>
      </c>
      <c r="X855" s="77">
        <v>80000.0</v>
      </c>
      <c r="Y855" s="77">
        <v>40000.0</v>
      </c>
      <c r="Z855" s="77"/>
    </row>
    <row r="856">
      <c r="A856" s="145" t="s">
        <v>994</v>
      </c>
      <c r="B856" s="145" t="s">
        <v>994</v>
      </c>
      <c r="C856" s="145" t="s">
        <v>3148</v>
      </c>
      <c r="D856" s="75" t="s">
        <v>1544</v>
      </c>
      <c r="E856" s="75" t="s">
        <v>1544</v>
      </c>
      <c r="F856" s="211" t="s">
        <v>1602</v>
      </c>
      <c r="G856" s="145" t="s">
        <v>995</v>
      </c>
      <c r="H856" s="211" t="s">
        <v>87</v>
      </c>
      <c r="I856" s="145" t="s">
        <v>267</v>
      </c>
      <c r="J856" s="211" t="s">
        <v>1603</v>
      </c>
      <c r="K856" s="75" t="s">
        <v>1544</v>
      </c>
      <c r="L856" s="152" t="b">
        <v>1</v>
      </c>
      <c r="M856" s="152" t="b">
        <v>0</v>
      </c>
      <c r="N856" s="212" t="s">
        <v>3640</v>
      </c>
      <c r="O856" s="213" t="s">
        <v>1554</v>
      </c>
      <c r="P856" s="47" t="b">
        <v>0</v>
      </c>
      <c r="Q856" s="47" t="b">
        <v>0</v>
      </c>
      <c r="R856" s="214"/>
      <c r="S856" s="77">
        <v>0.0</v>
      </c>
      <c r="T856" s="76" t="s">
        <v>1184</v>
      </c>
      <c r="U856" s="215"/>
      <c r="V856" s="215"/>
      <c r="W856" s="214"/>
      <c r="X856" s="214"/>
      <c r="Y856" s="77">
        <v>1.0</v>
      </c>
      <c r="Z856" s="77"/>
    </row>
    <row r="857">
      <c r="A857" s="145" t="s">
        <v>130</v>
      </c>
      <c r="B857" s="145" t="s">
        <v>130</v>
      </c>
      <c r="C857" s="145" t="s">
        <v>3148</v>
      </c>
      <c r="D857" s="75" t="s">
        <v>1544</v>
      </c>
      <c r="E857" s="75" t="s">
        <v>1544</v>
      </c>
      <c r="F857" s="211" t="s">
        <v>1645</v>
      </c>
      <c r="G857" s="145" t="s">
        <v>984</v>
      </c>
      <c r="H857" s="211" t="s">
        <v>87</v>
      </c>
      <c r="I857" s="145" t="s">
        <v>267</v>
      </c>
      <c r="J857" s="211" t="s">
        <v>1597</v>
      </c>
      <c r="K857" s="75" t="s">
        <v>1544</v>
      </c>
      <c r="L857" s="152" t="b">
        <v>1</v>
      </c>
      <c r="M857" s="152" t="b">
        <v>0</v>
      </c>
      <c r="N857" s="212" t="s">
        <v>3641</v>
      </c>
      <c r="O857" s="213" t="s">
        <v>1554</v>
      </c>
      <c r="P857" s="47" t="b">
        <v>0</v>
      </c>
      <c r="Q857" s="47" t="b">
        <v>0</v>
      </c>
      <c r="R857" s="214"/>
      <c r="S857" s="77">
        <v>0.0</v>
      </c>
      <c r="T857" s="76" t="s">
        <v>1184</v>
      </c>
      <c r="U857" s="215"/>
      <c r="V857" s="215"/>
      <c r="W857" s="214"/>
      <c r="X857" s="214"/>
      <c r="Y857" s="77">
        <v>80000.0</v>
      </c>
      <c r="Z857" s="77"/>
    </row>
    <row r="858">
      <c r="A858" s="145" t="s">
        <v>3642</v>
      </c>
      <c r="B858" s="145" t="s">
        <v>3642</v>
      </c>
      <c r="C858" s="145" t="s">
        <v>3643</v>
      </c>
      <c r="D858" s="75" t="s">
        <v>1544</v>
      </c>
      <c r="E858" s="75" t="s">
        <v>1601</v>
      </c>
      <c r="F858" s="211" t="s">
        <v>87</v>
      </c>
      <c r="G858" s="145" t="s">
        <v>2299</v>
      </c>
      <c r="H858" s="211" t="s">
        <v>87</v>
      </c>
      <c r="I858" s="145" t="s">
        <v>267</v>
      </c>
      <c r="J858" s="211" t="s">
        <v>1603</v>
      </c>
      <c r="K858" s="75" t="s">
        <v>1544</v>
      </c>
      <c r="L858" s="152" t="b">
        <v>1</v>
      </c>
      <c r="M858" s="152" t="b">
        <v>0</v>
      </c>
      <c r="N858" s="217"/>
      <c r="O858" s="213" t="s">
        <v>1554</v>
      </c>
      <c r="P858" s="47" t="b">
        <v>0</v>
      </c>
      <c r="Q858" s="47" t="b">
        <v>0</v>
      </c>
      <c r="R858" s="214"/>
      <c r="S858" s="77">
        <v>0.0</v>
      </c>
      <c r="T858" s="214"/>
      <c r="U858" s="215"/>
      <c r="V858" s="215"/>
      <c r="W858" s="218"/>
      <c r="X858" s="218"/>
      <c r="Y858" s="77">
        <v>0.0</v>
      </c>
      <c r="Z858" s="77"/>
    </row>
    <row r="859">
      <c r="A859" s="145" t="s">
        <v>982</v>
      </c>
      <c r="B859" s="145" t="s">
        <v>147</v>
      </c>
      <c r="C859" s="145" t="s">
        <v>2288</v>
      </c>
      <c r="D859" s="75" t="s">
        <v>1544</v>
      </c>
      <c r="E859" s="75" t="s">
        <v>1601</v>
      </c>
      <c r="F859" s="211" t="s">
        <v>1602</v>
      </c>
      <c r="G859" s="145" t="s">
        <v>983</v>
      </c>
      <c r="H859" s="211" t="s">
        <v>87</v>
      </c>
      <c r="I859" s="145" t="s">
        <v>267</v>
      </c>
      <c r="J859" s="211" t="s">
        <v>1603</v>
      </c>
      <c r="K859" s="75" t="s">
        <v>1544</v>
      </c>
      <c r="L859" s="152" t="b">
        <v>1</v>
      </c>
      <c r="M859" s="152" t="b">
        <v>0</v>
      </c>
      <c r="N859" s="217"/>
      <c r="O859" s="213" t="s">
        <v>1554</v>
      </c>
      <c r="P859" s="47" t="b">
        <v>0</v>
      </c>
      <c r="Q859" s="47" t="b">
        <v>0</v>
      </c>
      <c r="R859" s="214"/>
      <c r="S859" s="77">
        <v>0.0</v>
      </c>
      <c r="T859" s="214"/>
      <c r="U859" s="215"/>
      <c r="V859" s="215"/>
      <c r="W859" s="214"/>
      <c r="X859" s="214"/>
      <c r="Y859" s="77">
        <v>1.0</v>
      </c>
      <c r="Z859" s="77"/>
    </row>
    <row r="860">
      <c r="A860" s="145" t="s">
        <v>980</v>
      </c>
      <c r="B860" s="145" t="s">
        <v>2584</v>
      </c>
      <c r="C860" s="145" t="s">
        <v>1543</v>
      </c>
      <c r="D860" s="75" t="s">
        <v>1544</v>
      </c>
      <c r="E860" s="75" t="s">
        <v>1544</v>
      </c>
      <c r="F860" s="211" t="s">
        <v>1557</v>
      </c>
      <c r="G860" s="145" t="s">
        <v>981</v>
      </c>
      <c r="H860" s="211" t="s">
        <v>87</v>
      </c>
      <c r="I860" s="145" t="s">
        <v>267</v>
      </c>
      <c r="J860" s="211" t="s">
        <v>1561</v>
      </c>
      <c r="K860" s="75" t="s">
        <v>1544</v>
      </c>
      <c r="L860" s="152" t="b">
        <v>1</v>
      </c>
      <c r="M860" s="152" t="b">
        <v>0</v>
      </c>
      <c r="N860" s="212" t="s">
        <v>3644</v>
      </c>
      <c r="O860" s="213" t="s">
        <v>1554</v>
      </c>
      <c r="P860" s="47" t="b">
        <v>0</v>
      </c>
      <c r="Q860" s="47" t="b">
        <v>0</v>
      </c>
      <c r="R860" s="214"/>
      <c r="S860" s="77">
        <v>0.0</v>
      </c>
      <c r="T860" s="76" t="s">
        <v>1179</v>
      </c>
      <c r="U860" s="215"/>
      <c r="V860" s="215"/>
      <c r="W860" s="214"/>
      <c r="X860" s="218"/>
      <c r="Y860" s="77">
        <v>6000000.0</v>
      </c>
      <c r="Z860" s="77"/>
    </row>
    <row r="861">
      <c r="A861" s="145" t="s">
        <v>986</v>
      </c>
      <c r="B861" s="145" t="s">
        <v>986</v>
      </c>
      <c r="C861" s="145" t="s">
        <v>2993</v>
      </c>
      <c r="D861" s="75" t="s">
        <v>1544</v>
      </c>
      <c r="E861" s="75" t="s">
        <v>1544</v>
      </c>
      <c r="F861" s="211" t="s">
        <v>1602</v>
      </c>
      <c r="G861" s="145" t="s">
        <v>987</v>
      </c>
      <c r="H861" s="211" t="s">
        <v>87</v>
      </c>
      <c r="I861" s="145" t="s">
        <v>267</v>
      </c>
      <c r="J861" s="211" t="s">
        <v>1603</v>
      </c>
      <c r="K861" s="75" t="s">
        <v>1601</v>
      </c>
      <c r="L861" s="152" t="b">
        <v>1</v>
      </c>
      <c r="M861" s="152" t="b">
        <v>1</v>
      </c>
      <c r="N861" s="217"/>
      <c r="O861" s="213" t="s">
        <v>1554</v>
      </c>
      <c r="P861" s="47" t="b">
        <v>0</v>
      </c>
      <c r="Q861" s="47" t="b">
        <v>0</v>
      </c>
      <c r="R861" s="214"/>
      <c r="S861" s="77">
        <v>0.0</v>
      </c>
      <c r="T861" s="76" t="s">
        <v>1179</v>
      </c>
      <c r="U861" s="215"/>
      <c r="V861" s="215"/>
      <c r="W861" s="214"/>
      <c r="X861" s="218"/>
      <c r="Y861" s="77">
        <v>1.0</v>
      </c>
      <c r="Z861" s="77"/>
    </row>
    <row r="862">
      <c r="A862" s="145" t="s">
        <v>2022</v>
      </c>
      <c r="B862" s="145" t="s">
        <v>1580</v>
      </c>
      <c r="C862" s="145" t="s">
        <v>1543</v>
      </c>
      <c r="D862" s="75" t="s">
        <v>1544</v>
      </c>
      <c r="E862" s="75" t="s">
        <v>1544</v>
      </c>
      <c r="F862" s="211" t="s">
        <v>1575</v>
      </c>
      <c r="G862" s="145" t="s">
        <v>2023</v>
      </c>
      <c r="H862" s="211" t="s">
        <v>77</v>
      </c>
      <c r="I862" s="145" t="s">
        <v>327</v>
      </c>
      <c r="J862" s="211" t="s">
        <v>1577</v>
      </c>
      <c r="K862" s="75" t="s">
        <v>1544</v>
      </c>
      <c r="L862" s="152" t="b">
        <v>1</v>
      </c>
      <c r="M862" s="152" t="b">
        <v>0</v>
      </c>
      <c r="N862" s="212" t="s">
        <v>3645</v>
      </c>
      <c r="O862" s="213" t="s">
        <v>1554</v>
      </c>
      <c r="P862" s="47" t="b">
        <v>1</v>
      </c>
      <c r="Q862" s="47" t="b">
        <v>0</v>
      </c>
      <c r="R862" s="214"/>
      <c r="S862" s="77">
        <v>0.0</v>
      </c>
      <c r="T862" s="76" t="s">
        <v>1176</v>
      </c>
      <c r="U862" s="78">
        <v>5027430.0</v>
      </c>
      <c r="V862" s="215"/>
      <c r="W862" s="77">
        <v>6000000.0</v>
      </c>
      <c r="X862" s="77">
        <v>60000.0</v>
      </c>
      <c r="Y862" s="77">
        <v>20000.0</v>
      </c>
      <c r="Z862" s="77"/>
    </row>
    <row r="863">
      <c r="A863" s="145" t="s">
        <v>106</v>
      </c>
      <c r="B863" s="145" t="s">
        <v>2366</v>
      </c>
      <c r="C863" s="145" t="s">
        <v>2288</v>
      </c>
      <c r="D863" s="75" t="s">
        <v>1544</v>
      </c>
      <c r="E863" s="75" t="s">
        <v>1544</v>
      </c>
      <c r="F863" s="211" t="s">
        <v>1547</v>
      </c>
      <c r="G863" s="145" t="s">
        <v>3646</v>
      </c>
      <c r="H863" s="211" t="s">
        <v>907</v>
      </c>
      <c r="I863" s="145" t="s">
        <v>54</v>
      </c>
      <c r="J863" s="211" t="s">
        <v>1549</v>
      </c>
      <c r="K863" s="75" t="s">
        <v>1544</v>
      </c>
      <c r="L863" s="152" t="b">
        <v>1</v>
      </c>
      <c r="M863" s="152" t="b">
        <v>0</v>
      </c>
      <c r="N863" s="217"/>
      <c r="O863" s="213" t="s">
        <v>1554</v>
      </c>
      <c r="P863" s="47" t="b">
        <v>1</v>
      </c>
      <c r="Q863" s="47" t="b">
        <v>0</v>
      </c>
      <c r="R863" s="214"/>
      <c r="S863" s="77">
        <v>0.0</v>
      </c>
      <c r="T863" s="76" t="s">
        <v>1179</v>
      </c>
      <c r="U863" s="78">
        <v>9413199.0</v>
      </c>
      <c r="V863" s="215"/>
      <c r="W863" s="77">
        <v>1.0E7</v>
      </c>
      <c r="X863" s="77">
        <v>100000.0</v>
      </c>
      <c r="Y863" s="77">
        <v>40000.0</v>
      </c>
      <c r="Z863" s="77"/>
    </row>
    <row r="864">
      <c r="A864" s="145" t="s">
        <v>2783</v>
      </c>
      <c r="B864" s="145" t="s">
        <v>2783</v>
      </c>
      <c r="C864" s="145" t="s">
        <v>3148</v>
      </c>
      <c r="D864" s="75" t="s">
        <v>1544</v>
      </c>
      <c r="E864" s="75" t="s">
        <v>1544</v>
      </c>
      <c r="F864" s="211" t="s">
        <v>1649</v>
      </c>
      <c r="G864" s="145" t="s">
        <v>3647</v>
      </c>
      <c r="H864" s="211" t="s">
        <v>1018</v>
      </c>
      <c r="I864" s="145" t="s">
        <v>75</v>
      </c>
      <c r="J864" s="211" t="s">
        <v>1549</v>
      </c>
      <c r="K864" s="75" t="s">
        <v>1544</v>
      </c>
      <c r="L864" s="152" t="b">
        <v>1</v>
      </c>
      <c r="M864" s="152" t="b">
        <v>0</v>
      </c>
      <c r="N864" s="212" t="s">
        <v>3648</v>
      </c>
      <c r="O864" s="213" t="s">
        <v>1554</v>
      </c>
      <c r="P864" s="47" t="b">
        <v>1</v>
      </c>
      <c r="Q864" s="47" t="b">
        <v>0</v>
      </c>
      <c r="R864" s="214"/>
      <c r="S864" s="77">
        <v>0.0</v>
      </c>
      <c r="T864" s="76" t="s">
        <v>1184</v>
      </c>
      <c r="U864" s="78">
        <v>1.0E7</v>
      </c>
      <c r="V864" s="78">
        <v>0.0</v>
      </c>
      <c r="W864" s="77">
        <v>1.0E7</v>
      </c>
      <c r="X864" s="216">
        <v>80000.0</v>
      </c>
      <c r="Y864" s="77">
        <v>32000.0</v>
      </c>
      <c r="Z864" s="77"/>
    </row>
    <row r="865">
      <c r="A865" s="145" t="s">
        <v>2792</v>
      </c>
      <c r="B865" s="145" t="s">
        <v>3426</v>
      </c>
      <c r="C865" s="145" t="s">
        <v>1543</v>
      </c>
      <c r="D865" s="75" t="s">
        <v>1544</v>
      </c>
      <c r="E865" s="75" t="s">
        <v>1544</v>
      </c>
      <c r="F865" s="211" t="s">
        <v>3472</v>
      </c>
      <c r="G865" s="145" t="s">
        <v>2793</v>
      </c>
      <c r="H865" s="211" t="s">
        <v>1067</v>
      </c>
      <c r="I865" s="145" t="s">
        <v>1066</v>
      </c>
      <c r="J865" s="211" t="s">
        <v>3473</v>
      </c>
      <c r="K865" s="75" t="s">
        <v>1544</v>
      </c>
      <c r="L865" s="152" t="b">
        <v>1</v>
      </c>
      <c r="M865" s="152" t="b">
        <v>0</v>
      </c>
      <c r="N865" s="212" t="s">
        <v>3649</v>
      </c>
      <c r="O865" s="213" t="s">
        <v>1554</v>
      </c>
      <c r="P865" s="47" t="b">
        <v>1</v>
      </c>
      <c r="Q865" s="47" t="b">
        <v>0</v>
      </c>
      <c r="R865" s="214"/>
      <c r="S865" s="77">
        <v>0.0</v>
      </c>
      <c r="T865" s="76" t="s">
        <v>1172</v>
      </c>
      <c r="U865" s="78">
        <v>5.2460233E7</v>
      </c>
      <c r="V865" s="215"/>
      <c r="W865" s="216">
        <v>5.2E7</v>
      </c>
      <c r="X865" s="216">
        <v>5.2E9</v>
      </c>
      <c r="Y865" s="77">
        <v>1.5E7</v>
      </c>
      <c r="Z865" s="77"/>
    </row>
    <row r="866">
      <c r="A866" s="145" t="s">
        <v>2789</v>
      </c>
      <c r="B866" s="145" t="s">
        <v>1623</v>
      </c>
      <c r="C866" s="145" t="s">
        <v>1543</v>
      </c>
      <c r="D866" s="75" t="s">
        <v>1544</v>
      </c>
      <c r="E866" s="75" t="s">
        <v>1544</v>
      </c>
      <c r="F866" s="211" t="s">
        <v>1547</v>
      </c>
      <c r="G866" s="145" t="s">
        <v>2790</v>
      </c>
      <c r="H866" s="211" t="s">
        <v>77</v>
      </c>
      <c r="I866" s="145" t="s">
        <v>325</v>
      </c>
      <c r="J866" s="211" t="s">
        <v>1549</v>
      </c>
      <c r="K866" s="75" t="s">
        <v>1544</v>
      </c>
      <c r="L866" s="152" t="b">
        <v>1</v>
      </c>
      <c r="M866" s="152" t="b">
        <v>0</v>
      </c>
      <c r="N866" s="212" t="s">
        <v>3650</v>
      </c>
      <c r="O866" s="213" t="s">
        <v>1554</v>
      </c>
      <c r="P866" s="47" t="b">
        <v>1</v>
      </c>
      <c r="Q866" s="47" t="b">
        <v>0</v>
      </c>
      <c r="R866" s="214"/>
      <c r="S866" s="77">
        <v>0.0</v>
      </c>
      <c r="T866" s="76" t="s">
        <v>1179</v>
      </c>
      <c r="U866" s="78">
        <v>1.1629203E7</v>
      </c>
      <c r="V866" s="215"/>
      <c r="W866" s="216">
        <v>1.2E7</v>
      </c>
      <c r="X866" s="216">
        <v>120000.0</v>
      </c>
      <c r="Y866" s="216">
        <v>40000.0</v>
      </c>
      <c r="Z866" s="77"/>
    </row>
    <row r="867">
      <c r="A867" s="145" t="s">
        <v>2785</v>
      </c>
      <c r="B867" s="145" t="s">
        <v>2785</v>
      </c>
      <c r="C867" s="145" t="s">
        <v>3148</v>
      </c>
      <c r="D867" s="75" t="s">
        <v>1544</v>
      </c>
      <c r="E867" s="75" t="s">
        <v>1544</v>
      </c>
      <c r="F867" s="211" t="s">
        <v>1547</v>
      </c>
      <c r="G867" s="145" t="s">
        <v>3651</v>
      </c>
      <c r="H867" s="211" t="s">
        <v>77</v>
      </c>
      <c r="I867" s="145" t="s">
        <v>252</v>
      </c>
      <c r="J867" s="211" t="s">
        <v>1549</v>
      </c>
      <c r="K867" s="75" t="s">
        <v>1544</v>
      </c>
      <c r="L867" s="152" t="b">
        <v>1</v>
      </c>
      <c r="M867" s="152" t="b">
        <v>0</v>
      </c>
      <c r="N867" s="212" t="s">
        <v>3652</v>
      </c>
      <c r="O867" s="213" t="s">
        <v>1554</v>
      </c>
      <c r="P867" s="47" t="b">
        <v>1</v>
      </c>
      <c r="Q867" s="47" t="b">
        <v>0</v>
      </c>
      <c r="R867" s="214"/>
      <c r="S867" s="77">
        <v>0.0</v>
      </c>
      <c r="T867" s="76" t="s">
        <v>1184</v>
      </c>
      <c r="U867" s="78">
        <v>1.0E7</v>
      </c>
      <c r="V867" s="78">
        <v>0.0</v>
      </c>
      <c r="W867" s="216">
        <v>1.0E7</v>
      </c>
      <c r="X867" s="216">
        <v>100000.0</v>
      </c>
      <c r="Y867" s="77">
        <v>40000.0</v>
      </c>
      <c r="Z867" s="77"/>
    </row>
    <row r="868">
      <c r="A868" s="145" t="s">
        <v>2795</v>
      </c>
      <c r="B868" s="145" t="s">
        <v>2326</v>
      </c>
      <c r="C868" s="145" t="s">
        <v>2288</v>
      </c>
      <c r="D868" s="75" t="s">
        <v>1544</v>
      </c>
      <c r="E868" s="75" t="s">
        <v>1544</v>
      </c>
      <c r="F868" s="211" t="s">
        <v>1649</v>
      </c>
      <c r="G868" s="145" t="s">
        <v>2797</v>
      </c>
      <c r="H868" s="211" t="s">
        <v>1018</v>
      </c>
      <c r="I868" s="145" t="s">
        <v>66</v>
      </c>
      <c r="J868" s="211" t="s">
        <v>1549</v>
      </c>
      <c r="K868" s="75" t="s">
        <v>1544</v>
      </c>
      <c r="L868" s="152" t="b">
        <v>1</v>
      </c>
      <c r="M868" s="152" t="b">
        <v>0</v>
      </c>
      <c r="N868" s="217"/>
      <c r="O868" s="213" t="s">
        <v>1554</v>
      </c>
      <c r="P868" s="47" t="b">
        <v>1</v>
      </c>
      <c r="Q868" s="47" t="b">
        <v>0</v>
      </c>
      <c r="R868" s="214"/>
      <c r="S868" s="77">
        <v>0.0</v>
      </c>
      <c r="T868" s="76" t="s">
        <v>1179</v>
      </c>
      <c r="U868" s="78">
        <v>1.1908268E7</v>
      </c>
      <c r="V868" s="215"/>
      <c r="W868" s="77">
        <v>1.2E7</v>
      </c>
      <c r="X868" s="216">
        <v>96000.0</v>
      </c>
      <c r="Y868" s="77">
        <v>32000.0</v>
      </c>
      <c r="Z868" s="77"/>
    </row>
    <row r="869">
      <c r="A869" s="145" t="s">
        <v>2798</v>
      </c>
      <c r="B869" s="145" t="s">
        <v>1760</v>
      </c>
      <c r="C869" s="145" t="s">
        <v>1543</v>
      </c>
      <c r="D869" s="75" t="s">
        <v>1544</v>
      </c>
      <c r="E869" s="75" t="s">
        <v>1544</v>
      </c>
      <c r="F869" s="211" t="s">
        <v>1547</v>
      </c>
      <c r="G869" s="145" t="s">
        <v>2799</v>
      </c>
      <c r="H869" s="211" t="s">
        <v>77</v>
      </c>
      <c r="I869" s="145" t="s">
        <v>143</v>
      </c>
      <c r="J869" s="211" t="s">
        <v>1549</v>
      </c>
      <c r="K869" s="75" t="s">
        <v>1544</v>
      </c>
      <c r="L869" s="152" t="b">
        <v>1</v>
      </c>
      <c r="M869" s="152" t="b">
        <v>1</v>
      </c>
      <c r="N869" s="212" t="s">
        <v>3653</v>
      </c>
      <c r="O869" s="213" t="s">
        <v>1554</v>
      </c>
      <c r="P869" s="47" t="b">
        <v>1</v>
      </c>
      <c r="Q869" s="47" t="b">
        <v>0</v>
      </c>
      <c r="R869" s="214"/>
      <c r="S869" s="77">
        <v>0.0</v>
      </c>
      <c r="T869" s="76" t="s">
        <v>1179</v>
      </c>
      <c r="U869" s="78">
        <v>7989973.0</v>
      </c>
      <c r="V869" s="215"/>
      <c r="W869" s="77">
        <v>8000000.0</v>
      </c>
      <c r="X869" s="216">
        <v>80000.0</v>
      </c>
      <c r="Y869" s="77">
        <v>40000.0</v>
      </c>
      <c r="Z869" s="77"/>
    </row>
    <row r="870">
      <c r="A870" s="145" t="s">
        <v>2802</v>
      </c>
      <c r="B870" s="145" t="s">
        <v>2802</v>
      </c>
      <c r="C870" s="145" t="s">
        <v>2500</v>
      </c>
      <c r="D870" s="75" t="s">
        <v>1544</v>
      </c>
      <c r="E870" s="75" t="s">
        <v>1544</v>
      </c>
      <c r="F870" s="211" t="s">
        <v>3472</v>
      </c>
      <c r="G870" s="145" t="s">
        <v>2803</v>
      </c>
      <c r="H870" s="211" t="s">
        <v>1067</v>
      </c>
      <c r="I870" s="145" t="s">
        <v>1066</v>
      </c>
      <c r="J870" s="211" t="s">
        <v>3473</v>
      </c>
      <c r="K870" s="75" t="s">
        <v>1544</v>
      </c>
      <c r="L870" s="152" t="b">
        <v>1</v>
      </c>
      <c r="M870" s="152" t="b">
        <v>0</v>
      </c>
      <c r="N870" s="212" t="s">
        <v>3654</v>
      </c>
      <c r="O870" s="213" t="s">
        <v>1554</v>
      </c>
      <c r="P870" s="47" t="b">
        <v>1</v>
      </c>
      <c r="Q870" s="47" t="b">
        <v>0</v>
      </c>
      <c r="R870" s="214"/>
      <c r="S870" s="77">
        <v>0.0</v>
      </c>
      <c r="T870" s="76" t="s">
        <v>1156</v>
      </c>
      <c r="U870" s="78">
        <v>5.0E7</v>
      </c>
      <c r="V870" s="78">
        <v>50.0</v>
      </c>
      <c r="W870" s="216">
        <v>5.0E7</v>
      </c>
      <c r="X870" s="216">
        <v>5.0E9</v>
      </c>
      <c r="Y870" s="77">
        <v>1.5E7</v>
      </c>
      <c r="Z870" s="77"/>
    </row>
    <row r="871">
      <c r="A871" s="145" t="s">
        <v>3655</v>
      </c>
      <c r="B871" s="230"/>
      <c r="C871" s="145" t="s">
        <v>2288</v>
      </c>
      <c r="D871" s="75" t="s">
        <v>1601</v>
      </c>
      <c r="E871" s="75" t="s">
        <v>1544</v>
      </c>
      <c r="F871" s="211" t="s">
        <v>3472</v>
      </c>
      <c r="G871" s="145" t="s">
        <v>2806</v>
      </c>
      <c r="H871" s="211" t="s">
        <v>87</v>
      </c>
      <c r="I871" s="145" t="s">
        <v>1066</v>
      </c>
      <c r="J871" s="211" t="s">
        <v>87</v>
      </c>
      <c r="K871" s="75" t="s">
        <v>1544</v>
      </c>
      <c r="L871" s="152" t="b">
        <v>1</v>
      </c>
      <c r="M871" s="152" t="b">
        <v>1</v>
      </c>
      <c r="N871" s="217"/>
      <c r="O871" s="213" t="s">
        <v>1554</v>
      </c>
      <c r="P871" s="47" t="b">
        <v>1</v>
      </c>
      <c r="Q871" s="47" t="b">
        <v>0</v>
      </c>
      <c r="R871" s="214"/>
      <c r="S871" s="77">
        <v>0.0</v>
      </c>
      <c r="T871" s="214"/>
      <c r="U871" s="215"/>
      <c r="V871" s="215"/>
      <c r="W871" s="218"/>
      <c r="X871" s="218"/>
      <c r="Y871" s="216">
        <v>1.5E7</v>
      </c>
      <c r="Z871" s="77"/>
    </row>
    <row r="872">
      <c r="A872" s="145" t="s">
        <v>2804</v>
      </c>
      <c r="B872" s="145" t="s">
        <v>3655</v>
      </c>
      <c r="C872" s="145" t="s">
        <v>2288</v>
      </c>
      <c r="D872" s="75" t="s">
        <v>1544</v>
      </c>
      <c r="E872" s="75" t="s">
        <v>1544</v>
      </c>
      <c r="F872" s="211" t="s">
        <v>3472</v>
      </c>
      <c r="G872" s="145" t="s">
        <v>2806</v>
      </c>
      <c r="H872" s="211" t="s">
        <v>1067</v>
      </c>
      <c r="I872" s="145" t="s">
        <v>1066</v>
      </c>
      <c r="J872" s="211" t="s">
        <v>3473</v>
      </c>
      <c r="K872" s="75" t="s">
        <v>1544</v>
      </c>
      <c r="L872" s="152" t="b">
        <v>1</v>
      </c>
      <c r="M872" s="152" t="b">
        <v>0</v>
      </c>
      <c r="N872" s="217"/>
      <c r="O872" s="213" t="s">
        <v>1554</v>
      </c>
      <c r="P872" s="47" t="b">
        <v>1</v>
      </c>
      <c r="Q872" s="47" t="b">
        <v>0</v>
      </c>
      <c r="R872" s="214"/>
      <c r="S872" s="77">
        <v>0.0</v>
      </c>
      <c r="T872" s="76" t="s">
        <v>1152</v>
      </c>
      <c r="U872" s="78">
        <v>5.0E7</v>
      </c>
      <c r="V872" s="215"/>
      <c r="W872" s="216">
        <v>5.0E7</v>
      </c>
      <c r="X872" s="216">
        <v>5.0E9</v>
      </c>
      <c r="Y872" s="77">
        <v>1.5E7</v>
      </c>
      <c r="Z872" s="77"/>
    </row>
    <row r="873">
      <c r="A873" s="145" t="s">
        <v>2810</v>
      </c>
      <c r="B873" s="145" t="s">
        <v>2810</v>
      </c>
      <c r="C873" s="145" t="s">
        <v>3148</v>
      </c>
      <c r="D873" s="75" t="s">
        <v>1544</v>
      </c>
      <c r="E873" s="75" t="s">
        <v>1544</v>
      </c>
      <c r="F873" s="211" t="s">
        <v>1649</v>
      </c>
      <c r="G873" s="145" t="s">
        <v>3656</v>
      </c>
      <c r="H873" s="211" t="s">
        <v>1018</v>
      </c>
      <c r="I873" s="145" t="s">
        <v>132</v>
      </c>
      <c r="J873" s="211" t="s">
        <v>1549</v>
      </c>
      <c r="K873" s="75" t="s">
        <v>1544</v>
      </c>
      <c r="L873" s="152" t="b">
        <v>1</v>
      </c>
      <c r="M873" s="152" t="b">
        <v>0</v>
      </c>
      <c r="N873" s="212" t="s">
        <v>3657</v>
      </c>
      <c r="O873" s="213" t="s">
        <v>1554</v>
      </c>
      <c r="P873" s="47" t="b">
        <v>1</v>
      </c>
      <c r="Q873" s="47" t="b">
        <v>0</v>
      </c>
      <c r="R873" s="214"/>
      <c r="S873" s="77">
        <v>0.0</v>
      </c>
      <c r="T873" s="76" t="s">
        <v>1184</v>
      </c>
      <c r="U873" s="78">
        <v>1.3352615E7</v>
      </c>
      <c r="V873" s="78">
        <v>0.0</v>
      </c>
      <c r="W873" s="77">
        <v>1.4E7</v>
      </c>
      <c r="X873" s="216">
        <v>112000.0</v>
      </c>
      <c r="Y873" s="216">
        <v>32000.0</v>
      </c>
      <c r="Z873" s="77"/>
    </row>
    <row r="874">
      <c r="A874" s="145" t="s">
        <v>56</v>
      </c>
      <c r="B874" s="145" t="s">
        <v>56</v>
      </c>
      <c r="C874" s="145" t="s">
        <v>3148</v>
      </c>
      <c r="D874" s="75" t="s">
        <v>1544</v>
      </c>
      <c r="E874" s="75" t="s">
        <v>1544</v>
      </c>
      <c r="F874" s="211" t="s">
        <v>1690</v>
      </c>
      <c r="G874" s="145" t="s">
        <v>988</v>
      </c>
      <c r="H874" s="211" t="s">
        <v>907</v>
      </c>
      <c r="I874" s="145" t="s">
        <v>267</v>
      </c>
      <c r="J874" s="211" t="s">
        <v>1597</v>
      </c>
      <c r="K874" s="75" t="s">
        <v>1544</v>
      </c>
      <c r="L874" s="152" t="b">
        <v>1</v>
      </c>
      <c r="M874" s="152" t="b">
        <v>0</v>
      </c>
      <c r="N874" s="212" t="s">
        <v>3658</v>
      </c>
      <c r="O874" s="213" t="s">
        <v>1554</v>
      </c>
      <c r="P874" s="47" t="b">
        <v>0</v>
      </c>
      <c r="Q874" s="47" t="b">
        <v>0</v>
      </c>
      <c r="R874" s="214"/>
      <c r="S874" s="77">
        <v>0.0</v>
      </c>
      <c r="T874" s="76" t="s">
        <v>1184</v>
      </c>
      <c r="U874" s="215"/>
      <c r="V874" s="215"/>
      <c r="W874" s="214"/>
      <c r="X874" s="218"/>
      <c r="Y874" s="77">
        <v>100000.0</v>
      </c>
      <c r="Z874" s="77"/>
    </row>
    <row r="875">
      <c r="A875" s="145" t="s">
        <v>125</v>
      </c>
      <c r="B875" s="145" t="s">
        <v>1647</v>
      </c>
      <c r="C875" s="145" t="s">
        <v>1543</v>
      </c>
      <c r="D875" s="75" t="s">
        <v>1544</v>
      </c>
      <c r="E875" s="75" t="s">
        <v>1544</v>
      </c>
      <c r="F875" s="211" t="s">
        <v>2864</v>
      </c>
      <c r="G875" s="145" t="s">
        <v>3659</v>
      </c>
      <c r="H875" s="211" t="s">
        <v>1018</v>
      </c>
      <c r="I875" s="145" t="s">
        <v>132</v>
      </c>
      <c r="J875" s="211" t="s">
        <v>1561</v>
      </c>
      <c r="K875" s="75" t="s">
        <v>1544</v>
      </c>
      <c r="L875" s="152" t="b">
        <v>1</v>
      </c>
      <c r="M875" s="152" t="b">
        <v>0</v>
      </c>
      <c r="N875" s="212" t="s">
        <v>3660</v>
      </c>
      <c r="O875" s="213" t="s">
        <v>1554</v>
      </c>
      <c r="P875" s="47" t="b">
        <v>1</v>
      </c>
      <c r="Q875" s="47" t="b">
        <v>0</v>
      </c>
      <c r="R875" s="214"/>
      <c r="S875" s="77">
        <v>0.0</v>
      </c>
      <c r="T875" s="76" t="s">
        <v>1172</v>
      </c>
      <c r="U875" s="78">
        <v>4.7435972E7</v>
      </c>
      <c r="V875" s="215"/>
      <c r="W875" s="77">
        <v>4.8E7</v>
      </c>
      <c r="X875" s="216">
        <v>384000.0</v>
      </c>
      <c r="Y875" s="77">
        <v>160000.0</v>
      </c>
      <c r="Z875" s="77"/>
    </row>
    <row r="876">
      <c r="A876" s="145" t="s">
        <v>1744</v>
      </c>
      <c r="B876" s="145" t="s">
        <v>1746</v>
      </c>
      <c r="C876" s="145" t="s">
        <v>1543</v>
      </c>
      <c r="D876" s="75" t="s">
        <v>1544</v>
      </c>
      <c r="E876" s="75" t="s">
        <v>1544</v>
      </c>
      <c r="F876" s="211" t="s">
        <v>1547</v>
      </c>
      <c r="G876" s="145" t="s">
        <v>3511</v>
      </c>
      <c r="H876" s="211" t="s">
        <v>77</v>
      </c>
      <c r="I876" s="145" t="s">
        <v>338</v>
      </c>
      <c r="J876" s="211" t="s">
        <v>1549</v>
      </c>
      <c r="K876" s="75" t="s">
        <v>1544</v>
      </c>
      <c r="L876" s="152" t="b">
        <v>1</v>
      </c>
      <c r="M876" s="152" t="b">
        <v>0</v>
      </c>
      <c r="N876" s="212" t="s">
        <v>3661</v>
      </c>
      <c r="O876" s="213" t="s">
        <v>1554</v>
      </c>
      <c r="P876" s="47" t="b">
        <v>1</v>
      </c>
      <c r="Q876" s="47" t="b">
        <v>0</v>
      </c>
      <c r="R876" s="214"/>
      <c r="S876" s="77">
        <v>0.0</v>
      </c>
      <c r="T876" s="76" t="s">
        <v>1179</v>
      </c>
      <c r="U876" s="78">
        <v>9630775.0</v>
      </c>
      <c r="V876" s="215"/>
      <c r="W876" s="216">
        <v>1.0E7</v>
      </c>
      <c r="X876" s="216">
        <v>100000.0</v>
      </c>
      <c r="Y876" s="77">
        <v>40000.0</v>
      </c>
      <c r="Z876" s="77"/>
    </row>
    <row r="877">
      <c r="A877" s="145" t="s">
        <v>2040</v>
      </c>
      <c r="B877" s="145" t="s">
        <v>1580</v>
      </c>
      <c r="C877" s="145" t="s">
        <v>1543</v>
      </c>
      <c r="D877" s="75" t="s">
        <v>1544</v>
      </c>
      <c r="E877" s="75" t="s">
        <v>1544</v>
      </c>
      <c r="F877" s="211" t="s">
        <v>1575</v>
      </c>
      <c r="G877" s="145" t="s">
        <v>2041</v>
      </c>
      <c r="H877" s="211" t="s">
        <v>77</v>
      </c>
      <c r="I877" s="145" t="s">
        <v>327</v>
      </c>
      <c r="J877" s="211" t="s">
        <v>1577</v>
      </c>
      <c r="K877" s="75" t="s">
        <v>1544</v>
      </c>
      <c r="L877" s="152" t="b">
        <v>1</v>
      </c>
      <c r="M877" s="152" t="b">
        <v>0</v>
      </c>
      <c r="N877" s="212" t="s">
        <v>3662</v>
      </c>
      <c r="O877" s="213" t="s">
        <v>1554</v>
      </c>
      <c r="P877" s="47" t="b">
        <v>1</v>
      </c>
      <c r="Q877" s="47" t="b">
        <v>0</v>
      </c>
      <c r="R877" s="214"/>
      <c r="S877" s="77">
        <v>0.0</v>
      </c>
      <c r="T877" s="76" t="s">
        <v>1176</v>
      </c>
      <c r="U877" s="78">
        <v>5597508.0</v>
      </c>
      <c r="V877" s="215"/>
      <c r="W877" s="77">
        <v>6000000.0</v>
      </c>
      <c r="X877" s="216">
        <v>60000.0</v>
      </c>
      <c r="Y877" s="77">
        <v>20000.0</v>
      </c>
      <c r="Z877" s="77"/>
    </row>
    <row r="878">
      <c r="A878" s="145" t="s">
        <v>1027</v>
      </c>
      <c r="B878" s="145" t="s">
        <v>1027</v>
      </c>
      <c r="C878" s="145" t="s">
        <v>3375</v>
      </c>
      <c r="D878" s="75" t="s">
        <v>1544</v>
      </c>
      <c r="E878" s="75" t="s">
        <v>1544</v>
      </c>
      <c r="F878" s="211" t="s">
        <v>1602</v>
      </c>
      <c r="G878" s="145" t="s">
        <v>1028</v>
      </c>
      <c r="H878" s="211" t="s">
        <v>907</v>
      </c>
      <c r="I878" s="145" t="s">
        <v>267</v>
      </c>
      <c r="J878" s="211" t="s">
        <v>1603</v>
      </c>
      <c r="K878" s="75" t="s">
        <v>1544</v>
      </c>
      <c r="L878" s="152" t="b">
        <v>1</v>
      </c>
      <c r="M878" s="152" t="b">
        <v>0</v>
      </c>
      <c r="N878" s="212" t="s">
        <v>3663</v>
      </c>
      <c r="O878" s="213" t="s">
        <v>1554</v>
      </c>
      <c r="P878" s="47" t="b">
        <v>0</v>
      </c>
      <c r="Q878" s="47" t="b">
        <v>0</v>
      </c>
      <c r="R878" s="214"/>
      <c r="S878" s="77">
        <v>0.0</v>
      </c>
      <c r="T878" s="76" t="s">
        <v>1179</v>
      </c>
      <c r="U878" s="215"/>
      <c r="V878" s="215"/>
      <c r="W878" s="214"/>
      <c r="X878" s="214"/>
      <c r="Y878" s="77">
        <v>1.0</v>
      </c>
      <c r="Z878" s="77"/>
    </row>
    <row r="879">
      <c r="A879" s="145" t="s">
        <v>1477</v>
      </c>
      <c r="B879" s="145" t="s">
        <v>1477</v>
      </c>
      <c r="C879" s="145" t="s">
        <v>3148</v>
      </c>
      <c r="D879" s="75" t="s">
        <v>1544</v>
      </c>
      <c r="E879" s="75" t="s">
        <v>1544</v>
      </c>
      <c r="F879" s="211" t="s">
        <v>1649</v>
      </c>
      <c r="G879" s="145" t="s">
        <v>1478</v>
      </c>
      <c r="H879" s="211" t="s">
        <v>1018</v>
      </c>
      <c r="I879" s="145" t="s">
        <v>83</v>
      </c>
      <c r="J879" s="211" t="s">
        <v>1549</v>
      </c>
      <c r="K879" s="75" t="s">
        <v>1544</v>
      </c>
      <c r="L879" s="152" t="b">
        <v>1</v>
      </c>
      <c r="M879" s="152" t="b">
        <v>0</v>
      </c>
      <c r="N879" s="212" t="s">
        <v>3664</v>
      </c>
      <c r="O879" s="213" t="s">
        <v>1554</v>
      </c>
      <c r="P879" s="47" t="b">
        <v>1</v>
      </c>
      <c r="Q879" s="47" t="b">
        <v>0</v>
      </c>
      <c r="R879" s="214"/>
      <c r="S879" s="77">
        <v>0.0</v>
      </c>
      <c r="T879" s="76" t="s">
        <v>1184</v>
      </c>
      <c r="U879" s="78">
        <v>9139936.0</v>
      </c>
      <c r="V879" s="78">
        <v>0.0</v>
      </c>
      <c r="W879" s="77">
        <v>1.0E7</v>
      </c>
      <c r="X879" s="77">
        <v>80000.0</v>
      </c>
      <c r="Y879" s="77">
        <v>32000.0</v>
      </c>
      <c r="Z879" s="77"/>
    </row>
    <row r="880">
      <c r="A880" s="145" t="s">
        <v>3665</v>
      </c>
      <c r="B880" s="230"/>
      <c r="C880" s="145" t="s">
        <v>2091</v>
      </c>
      <c r="D880" s="75" t="s">
        <v>1544</v>
      </c>
      <c r="E880" s="75" t="s">
        <v>1544</v>
      </c>
      <c r="F880" s="211" t="s">
        <v>2910</v>
      </c>
      <c r="G880" s="145" t="s">
        <v>3665</v>
      </c>
      <c r="H880" s="211" t="s">
        <v>87</v>
      </c>
      <c r="I880" s="145" t="s">
        <v>86</v>
      </c>
      <c r="J880" s="211" t="s">
        <v>3162</v>
      </c>
      <c r="K880" s="75" t="s">
        <v>1544</v>
      </c>
      <c r="L880" s="152" t="b">
        <v>1</v>
      </c>
      <c r="M880" s="152" t="b">
        <v>1</v>
      </c>
      <c r="N880" s="212" t="s">
        <v>3666</v>
      </c>
      <c r="O880" s="213" t="s">
        <v>1554</v>
      </c>
      <c r="P880" s="47" t="b">
        <v>0</v>
      </c>
      <c r="Q880" s="47" t="b">
        <v>0</v>
      </c>
      <c r="R880" s="214"/>
      <c r="S880" s="77">
        <v>0.0</v>
      </c>
      <c r="T880" s="214"/>
      <c r="U880" s="215"/>
      <c r="V880" s="215"/>
      <c r="W880" s="214"/>
      <c r="X880" s="214"/>
      <c r="Y880" s="77">
        <v>50000.0</v>
      </c>
      <c r="Z880" s="77"/>
    </row>
    <row r="881">
      <c r="A881" s="145" t="s">
        <v>1009</v>
      </c>
      <c r="B881" s="145" t="s">
        <v>3665</v>
      </c>
      <c r="C881" s="145" t="s">
        <v>2091</v>
      </c>
      <c r="D881" s="75" t="s">
        <v>1544</v>
      </c>
      <c r="E881" s="75" t="s">
        <v>1544</v>
      </c>
      <c r="F881" s="211" t="s">
        <v>3141</v>
      </c>
      <c r="G881" s="145" t="s">
        <v>1010</v>
      </c>
      <c r="H881" s="211" t="s">
        <v>87</v>
      </c>
      <c r="I881" s="145" t="s">
        <v>267</v>
      </c>
      <c r="J881" s="211" t="s">
        <v>2377</v>
      </c>
      <c r="K881" s="75" t="s">
        <v>1544</v>
      </c>
      <c r="L881" s="152" t="b">
        <v>1</v>
      </c>
      <c r="M881" s="152" t="b">
        <v>1</v>
      </c>
      <c r="N881" s="212" t="s">
        <v>3667</v>
      </c>
      <c r="O881" s="213" t="s">
        <v>1554</v>
      </c>
      <c r="P881" s="47" t="b">
        <v>0</v>
      </c>
      <c r="Q881" s="47" t="b">
        <v>0</v>
      </c>
      <c r="R881" s="214"/>
      <c r="S881" s="77">
        <v>0.0</v>
      </c>
      <c r="T881" s="76" t="s">
        <v>1162</v>
      </c>
      <c r="U881" s="215"/>
      <c r="V881" s="215"/>
      <c r="W881" s="214"/>
      <c r="X881" s="218"/>
      <c r="Y881" s="77">
        <v>1.2E7</v>
      </c>
      <c r="Z881" s="77"/>
    </row>
    <row r="882">
      <c r="A882" s="145" t="s">
        <v>2814</v>
      </c>
      <c r="B882" s="145" t="s">
        <v>2584</v>
      </c>
      <c r="C882" s="145" t="s">
        <v>1543</v>
      </c>
      <c r="D882" s="75" t="s">
        <v>1544</v>
      </c>
      <c r="E882" s="75" t="s">
        <v>1544</v>
      </c>
      <c r="F882" s="211" t="s">
        <v>1557</v>
      </c>
      <c r="G882" s="145" t="s">
        <v>2815</v>
      </c>
      <c r="H882" s="211" t="s">
        <v>625</v>
      </c>
      <c r="I882" s="145" t="s">
        <v>667</v>
      </c>
      <c r="J882" s="211" t="s">
        <v>1561</v>
      </c>
      <c r="K882" s="75" t="s">
        <v>1544</v>
      </c>
      <c r="L882" s="152" t="b">
        <v>1</v>
      </c>
      <c r="M882" s="152" t="b">
        <v>0</v>
      </c>
      <c r="N882" s="212" t="s">
        <v>3668</v>
      </c>
      <c r="O882" s="213" t="s">
        <v>1554</v>
      </c>
      <c r="P882" s="47" t="b">
        <v>1</v>
      </c>
      <c r="Q882" s="47" t="b">
        <v>0</v>
      </c>
      <c r="R882" s="214"/>
      <c r="S882" s="77">
        <v>0.0</v>
      </c>
      <c r="T882" s="76" t="s">
        <v>1172</v>
      </c>
      <c r="U882" s="78">
        <v>2.1260609E7</v>
      </c>
      <c r="V882" s="215"/>
      <c r="W882" s="77">
        <v>2.2E7</v>
      </c>
      <c r="X882" s="216">
        <v>2.2E9</v>
      </c>
      <c r="Y882" s="77">
        <v>6000000.0</v>
      </c>
      <c r="Z882" s="77"/>
    </row>
    <row r="883">
      <c r="A883" s="145" t="s">
        <v>2826</v>
      </c>
      <c r="B883" s="145" t="s">
        <v>1849</v>
      </c>
      <c r="C883" s="145" t="s">
        <v>1543</v>
      </c>
      <c r="D883" s="75" t="s">
        <v>1544</v>
      </c>
      <c r="E883" s="75" t="s">
        <v>1544</v>
      </c>
      <c r="F883" s="211" t="s">
        <v>1649</v>
      </c>
      <c r="G883" s="145" t="s">
        <v>2827</v>
      </c>
      <c r="H883" s="211" t="s">
        <v>1018</v>
      </c>
      <c r="I883" s="145" t="s">
        <v>75</v>
      </c>
      <c r="J883" s="211" t="s">
        <v>1549</v>
      </c>
      <c r="K883" s="75" t="s">
        <v>1544</v>
      </c>
      <c r="L883" s="152" t="b">
        <v>1</v>
      </c>
      <c r="M883" s="152" t="b">
        <v>0</v>
      </c>
      <c r="N883" s="212" t="s">
        <v>3669</v>
      </c>
      <c r="O883" s="213" t="s">
        <v>1554</v>
      </c>
      <c r="P883" s="47" t="b">
        <v>1</v>
      </c>
      <c r="Q883" s="47" t="b">
        <v>0</v>
      </c>
      <c r="R883" s="214"/>
      <c r="S883" s="77">
        <v>0.0</v>
      </c>
      <c r="T883" s="76" t="s">
        <v>1172</v>
      </c>
      <c r="U883" s="78">
        <v>1.122928E7</v>
      </c>
      <c r="V883" s="215"/>
      <c r="W883" s="216">
        <v>1.2E7</v>
      </c>
      <c r="X883" s="216">
        <v>96000.0</v>
      </c>
      <c r="Y883" s="216">
        <v>32000.0</v>
      </c>
      <c r="Z883" s="77"/>
    </row>
    <row r="884">
      <c r="A884" s="145" t="s">
        <v>2064</v>
      </c>
      <c r="B884" s="145" t="s">
        <v>1707</v>
      </c>
      <c r="C884" s="145" t="s">
        <v>1543</v>
      </c>
      <c r="D884" s="75" t="s">
        <v>1544</v>
      </c>
      <c r="E884" s="75" t="s">
        <v>1544</v>
      </c>
      <c r="F884" s="211" t="s">
        <v>1547</v>
      </c>
      <c r="G884" s="145" t="s">
        <v>2065</v>
      </c>
      <c r="H884" s="211" t="s">
        <v>77</v>
      </c>
      <c r="I884" s="145" t="s">
        <v>327</v>
      </c>
      <c r="J884" s="211" t="s">
        <v>1549</v>
      </c>
      <c r="K884" s="75" t="s">
        <v>1544</v>
      </c>
      <c r="L884" s="152" t="b">
        <v>1</v>
      </c>
      <c r="M884" s="152" t="b">
        <v>0</v>
      </c>
      <c r="N884" s="212" t="s">
        <v>3670</v>
      </c>
      <c r="O884" s="213" t="s">
        <v>1554</v>
      </c>
      <c r="P884" s="47" t="b">
        <v>1</v>
      </c>
      <c r="Q884" s="47" t="b">
        <v>0</v>
      </c>
      <c r="R884" s="214"/>
      <c r="S884" s="77">
        <v>0.0</v>
      </c>
      <c r="T884" s="76" t="s">
        <v>1172</v>
      </c>
      <c r="U884" s="78">
        <v>1.0252636E7</v>
      </c>
      <c r="V884" s="215"/>
      <c r="W884" s="216">
        <v>1.0E7</v>
      </c>
      <c r="X884" s="216">
        <v>100000.0</v>
      </c>
      <c r="Y884" s="77">
        <v>40000.0</v>
      </c>
      <c r="Z884" s="77"/>
    </row>
    <row r="885">
      <c r="A885" s="145" t="s">
        <v>2816</v>
      </c>
      <c r="B885" s="145" t="s">
        <v>1679</v>
      </c>
      <c r="C885" s="145" t="s">
        <v>1543</v>
      </c>
      <c r="D885" s="75" t="s">
        <v>1544</v>
      </c>
      <c r="E885" s="75" t="s">
        <v>1544</v>
      </c>
      <c r="F885" s="211" t="s">
        <v>1547</v>
      </c>
      <c r="G885" s="145" t="s">
        <v>2817</v>
      </c>
      <c r="H885" s="211" t="s">
        <v>77</v>
      </c>
      <c r="I885" s="145" t="s">
        <v>174</v>
      </c>
      <c r="J885" s="211" t="s">
        <v>1549</v>
      </c>
      <c r="K885" s="75" t="s">
        <v>1601</v>
      </c>
      <c r="L885" s="152" t="b">
        <v>1</v>
      </c>
      <c r="M885" s="152" t="b">
        <v>0</v>
      </c>
      <c r="N885" s="212" t="s">
        <v>3671</v>
      </c>
      <c r="O885" s="213" t="s">
        <v>1554</v>
      </c>
      <c r="P885" s="47" t="b">
        <v>1</v>
      </c>
      <c r="Q885" s="47" t="b">
        <v>0</v>
      </c>
      <c r="R885" s="214"/>
      <c r="S885" s="77">
        <v>0.0</v>
      </c>
      <c r="T885" s="76" t="s">
        <v>1176</v>
      </c>
      <c r="U885" s="78">
        <v>7695920.0</v>
      </c>
      <c r="V885" s="215"/>
      <c r="W885" s="216">
        <v>8000000.0</v>
      </c>
      <c r="X885" s="216">
        <v>80000.0</v>
      </c>
      <c r="Y885" s="77">
        <v>40000.0</v>
      </c>
      <c r="Z885" s="77"/>
    </row>
    <row r="886">
      <c r="A886" s="145" t="s">
        <v>2824</v>
      </c>
      <c r="B886" s="145" t="s">
        <v>2824</v>
      </c>
      <c r="C886" s="145" t="s">
        <v>3148</v>
      </c>
      <c r="D886" s="75" t="s">
        <v>1544</v>
      </c>
      <c r="E886" s="75" t="s">
        <v>1544</v>
      </c>
      <c r="F886" s="211" t="s">
        <v>1547</v>
      </c>
      <c r="G886" s="145" t="s">
        <v>3672</v>
      </c>
      <c r="H886" s="211" t="s">
        <v>77</v>
      </c>
      <c r="I886" s="145" t="s">
        <v>267</v>
      </c>
      <c r="J886" s="211" t="s">
        <v>1549</v>
      </c>
      <c r="K886" s="75" t="s">
        <v>1544</v>
      </c>
      <c r="L886" s="152" t="b">
        <v>1</v>
      </c>
      <c r="M886" s="152" t="b">
        <v>0</v>
      </c>
      <c r="N886" s="212" t="s">
        <v>3673</v>
      </c>
      <c r="O886" s="213" t="s">
        <v>1554</v>
      </c>
      <c r="P886" s="47" t="b">
        <v>0</v>
      </c>
      <c r="Q886" s="47" t="b">
        <v>0</v>
      </c>
      <c r="R886" s="214"/>
      <c r="S886" s="77">
        <v>0.0</v>
      </c>
      <c r="T886" s="76" t="s">
        <v>1184</v>
      </c>
      <c r="U886" s="215"/>
      <c r="V886" s="215"/>
      <c r="W886" s="218"/>
      <c r="X886" s="218"/>
      <c r="Y886" s="77">
        <v>40000.0</v>
      </c>
      <c r="Z886" s="77"/>
    </row>
    <row r="887">
      <c r="A887" s="145" t="s">
        <v>2839</v>
      </c>
      <c r="B887" s="145" t="s">
        <v>2839</v>
      </c>
      <c r="C887" s="145" t="s">
        <v>3148</v>
      </c>
      <c r="D887" s="75" t="s">
        <v>1544</v>
      </c>
      <c r="E887" s="75" t="s">
        <v>1544</v>
      </c>
      <c r="F887" s="211" t="s">
        <v>1547</v>
      </c>
      <c r="G887" s="145" t="s">
        <v>2840</v>
      </c>
      <c r="H887" s="211" t="s">
        <v>77</v>
      </c>
      <c r="I887" s="145" t="s">
        <v>249</v>
      </c>
      <c r="J887" s="211" t="s">
        <v>1549</v>
      </c>
      <c r="K887" s="75" t="s">
        <v>1544</v>
      </c>
      <c r="L887" s="152" t="b">
        <v>1</v>
      </c>
      <c r="M887" s="152" t="b">
        <v>0</v>
      </c>
      <c r="N887" s="212" t="s">
        <v>3674</v>
      </c>
      <c r="O887" s="213" t="s">
        <v>1554</v>
      </c>
      <c r="P887" s="47" t="b">
        <v>1</v>
      </c>
      <c r="Q887" s="47" t="b">
        <v>0</v>
      </c>
      <c r="R887" s="214"/>
      <c r="S887" s="77">
        <v>0.0</v>
      </c>
      <c r="T887" s="76" t="s">
        <v>1184</v>
      </c>
      <c r="U887" s="78">
        <v>1.0E7</v>
      </c>
      <c r="V887" s="78">
        <v>0.0</v>
      </c>
      <c r="W887" s="77">
        <v>1.0E7</v>
      </c>
      <c r="X887" s="216">
        <v>100000.0</v>
      </c>
      <c r="Y887" s="77">
        <v>40000.0</v>
      </c>
      <c r="Z887" s="77"/>
    </row>
    <row r="888">
      <c r="A888" s="145" t="s">
        <v>2828</v>
      </c>
      <c r="B888" s="145" t="s">
        <v>2828</v>
      </c>
      <c r="C888" s="145" t="s">
        <v>3148</v>
      </c>
      <c r="D888" s="75" t="s">
        <v>1544</v>
      </c>
      <c r="E888" s="75" t="s">
        <v>1544</v>
      </c>
      <c r="F888" s="211" t="s">
        <v>1649</v>
      </c>
      <c r="G888" s="145" t="s">
        <v>2829</v>
      </c>
      <c r="H888" s="211" t="s">
        <v>1018</v>
      </c>
      <c r="I888" s="145" t="s">
        <v>66</v>
      </c>
      <c r="J888" s="211" t="s">
        <v>1549</v>
      </c>
      <c r="K888" s="75" t="s">
        <v>1544</v>
      </c>
      <c r="L888" s="152" t="b">
        <v>1</v>
      </c>
      <c r="M888" s="152" t="b">
        <v>0</v>
      </c>
      <c r="N888" s="212" t="s">
        <v>3675</v>
      </c>
      <c r="O888" s="213" t="s">
        <v>1554</v>
      </c>
      <c r="P888" s="47" t="b">
        <v>1</v>
      </c>
      <c r="Q888" s="47" t="b">
        <v>0</v>
      </c>
      <c r="R888" s="214"/>
      <c r="S888" s="77">
        <v>0.0</v>
      </c>
      <c r="T888" s="76" t="s">
        <v>1184</v>
      </c>
      <c r="U888" s="78">
        <v>9470759.0</v>
      </c>
      <c r="V888" s="78">
        <v>0.0</v>
      </c>
      <c r="W888" s="77">
        <v>1.0E7</v>
      </c>
      <c r="X888" s="216">
        <v>80000.0</v>
      </c>
      <c r="Y888" s="77">
        <v>32000.0</v>
      </c>
      <c r="Z888" s="77"/>
    </row>
    <row r="889">
      <c r="A889" s="145" t="s">
        <v>2830</v>
      </c>
      <c r="B889" s="145" t="s">
        <v>2830</v>
      </c>
      <c r="C889" s="145" t="s">
        <v>3676</v>
      </c>
      <c r="D889" s="75" t="s">
        <v>1544</v>
      </c>
      <c r="E889" s="75" t="s">
        <v>1544</v>
      </c>
      <c r="F889" s="211" t="s">
        <v>3090</v>
      </c>
      <c r="G889" s="145" t="s">
        <v>972</v>
      </c>
      <c r="H889" s="211" t="s">
        <v>77</v>
      </c>
      <c r="I889" s="145" t="s">
        <v>249</v>
      </c>
      <c r="J889" s="211" t="s">
        <v>3092</v>
      </c>
      <c r="K889" s="75" t="s">
        <v>1544</v>
      </c>
      <c r="L889" s="152" t="b">
        <v>1</v>
      </c>
      <c r="M889" s="152" t="b">
        <v>1</v>
      </c>
      <c r="N889" s="212" t="s">
        <v>3677</v>
      </c>
      <c r="O889" s="213" t="s">
        <v>1554</v>
      </c>
      <c r="P889" s="47" t="b">
        <v>1</v>
      </c>
      <c r="Q889" s="47" t="b">
        <v>0</v>
      </c>
      <c r="R889" s="76" t="s">
        <v>2855</v>
      </c>
      <c r="S889" s="77">
        <v>0.0</v>
      </c>
      <c r="T889" s="76" t="s">
        <v>1179</v>
      </c>
      <c r="U889" s="78">
        <v>6.0E7</v>
      </c>
      <c r="V889" s="215"/>
      <c r="W889" s="77">
        <v>6.0E7</v>
      </c>
      <c r="X889" s="77">
        <v>600000.0</v>
      </c>
      <c r="Y889" s="77">
        <v>600000.0</v>
      </c>
      <c r="Z889" s="77"/>
    </row>
    <row r="890">
      <c r="A890" s="145" t="s">
        <v>2819</v>
      </c>
      <c r="B890" s="145" t="s">
        <v>2819</v>
      </c>
      <c r="C890" s="145" t="s">
        <v>317</v>
      </c>
      <c r="D890" s="75" t="s">
        <v>1544</v>
      </c>
      <c r="E890" s="75" t="s">
        <v>1544</v>
      </c>
      <c r="F890" s="211" t="s">
        <v>1649</v>
      </c>
      <c r="G890" s="145" t="s">
        <v>2820</v>
      </c>
      <c r="H890" s="211" t="s">
        <v>1018</v>
      </c>
      <c r="I890" s="145" t="s">
        <v>113</v>
      </c>
      <c r="J890" s="211" t="s">
        <v>1549</v>
      </c>
      <c r="K890" s="75" t="s">
        <v>1544</v>
      </c>
      <c r="L890" s="152" t="b">
        <v>1</v>
      </c>
      <c r="M890" s="152" t="b">
        <v>0</v>
      </c>
      <c r="N890" s="212" t="s">
        <v>3678</v>
      </c>
      <c r="O890" s="213" t="s">
        <v>1554</v>
      </c>
      <c r="P890" s="47" t="b">
        <v>1</v>
      </c>
      <c r="Q890" s="47" t="b">
        <v>0</v>
      </c>
      <c r="R890" s="214"/>
      <c r="S890" s="77">
        <v>0.0</v>
      </c>
      <c r="T890" s="76" t="s">
        <v>1162</v>
      </c>
      <c r="U890" s="78">
        <v>7335409.0</v>
      </c>
      <c r="V890" s="78">
        <v>0.0</v>
      </c>
      <c r="W890" s="77">
        <v>8000000.0</v>
      </c>
      <c r="X890" s="77">
        <v>64000.0</v>
      </c>
      <c r="Y890" s="77">
        <v>32000.0</v>
      </c>
      <c r="Z890" s="77"/>
    </row>
    <row r="891">
      <c r="A891" s="145" t="s">
        <v>3679</v>
      </c>
      <c r="B891" s="230"/>
      <c r="C891" s="145" t="s">
        <v>3680</v>
      </c>
      <c r="D891" s="75" t="s">
        <v>1601</v>
      </c>
      <c r="E891" s="75" t="s">
        <v>1544</v>
      </c>
      <c r="F891" s="211" t="s">
        <v>3472</v>
      </c>
      <c r="G891" s="145" t="s">
        <v>2843</v>
      </c>
      <c r="H891" s="211" t="s">
        <v>87</v>
      </c>
      <c r="I891" s="145" t="s">
        <v>267</v>
      </c>
      <c r="J891" s="211" t="s">
        <v>3473</v>
      </c>
      <c r="K891" s="75" t="s">
        <v>1544</v>
      </c>
      <c r="L891" s="152" t="b">
        <v>1</v>
      </c>
      <c r="M891" s="152" t="b">
        <v>1</v>
      </c>
      <c r="N891" s="212" t="s">
        <v>3681</v>
      </c>
      <c r="O891" s="213" t="s">
        <v>1554</v>
      </c>
      <c r="P891" s="47" t="b">
        <v>1</v>
      </c>
      <c r="Q891" s="47" t="b">
        <v>0</v>
      </c>
      <c r="R891" s="214"/>
      <c r="S891" s="77">
        <v>0.0</v>
      </c>
      <c r="T891" s="214"/>
      <c r="U891" s="215"/>
      <c r="V891" s="215"/>
      <c r="W891" s="214"/>
      <c r="X891" s="214"/>
      <c r="Y891" s="77">
        <v>1.5E7</v>
      </c>
      <c r="Z891" s="77"/>
    </row>
    <row r="892">
      <c r="A892" s="145" t="s">
        <v>2832</v>
      </c>
      <c r="B892" s="145" t="s">
        <v>3679</v>
      </c>
      <c r="C892" s="145" t="s">
        <v>3680</v>
      </c>
      <c r="D892" s="75" t="s">
        <v>1544</v>
      </c>
      <c r="E892" s="75" t="s">
        <v>1544</v>
      </c>
      <c r="F892" s="211" t="s">
        <v>1645</v>
      </c>
      <c r="G892" s="145" t="s">
        <v>3682</v>
      </c>
      <c r="H892" s="211" t="s">
        <v>77</v>
      </c>
      <c r="I892" s="145" t="s">
        <v>252</v>
      </c>
      <c r="J892" s="211" t="s">
        <v>1609</v>
      </c>
      <c r="K892" s="75" t="s">
        <v>1544</v>
      </c>
      <c r="L892" s="152" t="b">
        <v>1</v>
      </c>
      <c r="M892" s="152" t="b">
        <v>1</v>
      </c>
      <c r="N892" s="212" t="s">
        <v>3683</v>
      </c>
      <c r="O892" s="213" t="s">
        <v>1554</v>
      </c>
      <c r="P892" s="47" t="b">
        <v>1</v>
      </c>
      <c r="Q892" s="47" t="b">
        <v>0</v>
      </c>
      <c r="R892" s="214"/>
      <c r="S892" s="77">
        <v>0.0</v>
      </c>
      <c r="T892" s="76" t="s">
        <v>1179</v>
      </c>
      <c r="U892" s="78">
        <v>2.0E7</v>
      </c>
      <c r="V892" s="215"/>
      <c r="W892" s="77">
        <v>2.0E7</v>
      </c>
      <c r="X892" s="77">
        <v>200000.0</v>
      </c>
      <c r="Y892" s="77">
        <v>80000.0</v>
      </c>
      <c r="Z892" s="77"/>
    </row>
    <row r="893">
      <c r="A893" s="145" t="s">
        <v>3684</v>
      </c>
      <c r="B893" s="230"/>
      <c r="C893" s="145" t="s">
        <v>3680</v>
      </c>
      <c r="D893" s="75" t="s">
        <v>1601</v>
      </c>
      <c r="E893" s="75" t="s">
        <v>1544</v>
      </c>
      <c r="F893" s="211" t="s">
        <v>2910</v>
      </c>
      <c r="G893" s="145" t="s">
        <v>3684</v>
      </c>
      <c r="H893" s="211" t="s">
        <v>87</v>
      </c>
      <c r="I893" s="145" t="s">
        <v>2913</v>
      </c>
      <c r="J893" s="211" t="s">
        <v>3162</v>
      </c>
      <c r="K893" s="75" t="s">
        <v>1544</v>
      </c>
      <c r="L893" s="152" t="b">
        <v>1</v>
      </c>
      <c r="M893" s="152" t="b">
        <v>1</v>
      </c>
      <c r="N893" s="217"/>
      <c r="O893" s="213" t="s">
        <v>1554</v>
      </c>
      <c r="P893" s="47" t="b">
        <v>1</v>
      </c>
      <c r="Q893" s="47" t="b">
        <v>0</v>
      </c>
      <c r="R893" s="214"/>
      <c r="S893" s="77">
        <v>0.0</v>
      </c>
      <c r="T893" s="214"/>
      <c r="U893" s="215"/>
      <c r="V893" s="215"/>
      <c r="W893" s="214"/>
      <c r="X893" s="214"/>
      <c r="Y893" s="77">
        <v>50000.0</v>
      </c>
      <c r="Z893" s="77"/>
    </row>
    <row r="894">
      <c r="A894" s="145" t="s">
        <v>241</v>
      </c>
      <c r="B894" s="145" t="s">
        <v>3684</v>
      </c>
      <c r="C894" s="145" t="s">
        <v>3680</v>
      </c>
      <c r="D894" s="75" t="s">
        <v>1544</v>
      </c>
      <c r="E894" s="75" t="s">
        <v>1544</v>
      </c>
      <c r="F894" s="211" t="s">
        <v>1721</v>
      </c>
      <c r="G894" s="145" t="s">
        <v>3685</v>
      </c>
      <c r="H894" s="211" t="s">
        <v>1018</v>
      </c>
      <c r="I894" s="145" t="s">
        <v>66</v>
      </c>
      <c r="J894" s="211" t="s">
        <v>1609</v>
      </c>
      <c r="K894" s="75" t="s">
        <v>1544</v>
      </c>
      <c r="L894" s="152" t="b">
        <v>1</v>
      </c>
      <c r="M894" s="152" t="b">
        <v>1</v>
      </c>
      <c r="N894" s="212" t="s">
        <v>3686</v>
      </c>
      <c r="O894" s="213" t="s">
        <v>1554</v>
      </c>
      <c r="P894" s="47" t="b">
        <v>1</v>
      </c>
      <c r="Q894" s="47" t="b">
        <v>0</v>
      </c>
      <c r="R894" s="214"/>
      <c r="S894" s="77">
        <v>0.0</v>
      </c>
      <c r="T894" s="76" t="s">
        <v>1179</v>
      </c>
      <c r="U894" s="78">
        <v>2.0E7</v>
      </c>
      <c r="V894" s="215"/>
      <c r="W894" s="77">
        <v>2.0E7</v>
      </c>
      <c r="X894" s="77">
        <v>160000.0</v>
      </c>
      <c r="Y894" s="77">
        <v>64000.0</v>
      </c>
      <c r="Z894" s="77"/>
    </row>
    <row r="895">
      <c r="A895" s="145" t="s">
        <v>3687</v>
      </c>
      <c r="B895" s="230"/>
      <c r="C895" s="145" t="s">
        <v>3680</v>
      </c>
      <c r="D895" s="75" t="s">
        <v>1601</v>
      </c>
      <c r="E895" s="75" t="s">
        <v>1544</v>
      </c>
      <c r="F895" s="211" t="s">
        <v>2910</v>
      </c>
      <c r="G895" s="145" t="s">
        <v>3687</v>
      </c>
      <c r="H895" s="211" t="s">
        <v>87</v>
      </c>
      <c r="I895" s="145" t="s">
        <v>2913</v>
      </c>
      <c r="J895" s="211" t="s">
        <v>3162</v>
      </c>
      <c r="K895" s="75" t="s">
        <v>1544</v>
      </c>
      <c r="L895" s="152" t="b">
        <v>1</v>
      </c>
      <c r="M895" s="152" t="b">
        <v>1</v>
      </c>
      <c r="N895" s="217"/>
      <c r="O895" s="213" t="s">
        <v>1554</v>
      </c>
      <c r="P895" s="47" t="b">
        <v>1</v>
      </c>
      <c r="Q895" s="47" t="b">
        <v>0</v>
      </c>
      <c r="R895" s="214"/>
      <c r="S895" s="77">
        <v>0.0</v>
      </c>
      <c r="T895" s="214"/>
      <c r="U895" s="215"/>
      <c r="V895" s="215"/>
      <c r="W895" s="214"/>
      <c r="X895" s="214"/>
      <c r="Y895" s="77">
        <v>50000.0</v>
      </c>
      <c r="Z895" s="77"/>
    </row>
    <row r="896">
      <c r="A896" s="145" t="s">
        <v>2835</v>
      </c>
      <c r="B896" s="145" t="s">
        <v>3687</v>
      </c>
      <c r="C896" s="145" t="s">
        <v>3680</v>
      </c>
      <c r="D896" s="75" t="s">
        <v>1544</v>
      </c>
      <c r="E896" s="75" t="s">
        <v>1544</v>
      </c>
      <c r="F896" s="211" t="s">
        <v>1645</v>
      </c>
      <c r="G896" s="145" t="s">
        <v>3688</v>
      </c>
      <c r="H896" s="211" t="s">
        <v>907</v>
      </c>
      <c r="I896" s="145" t="s">
        <v>54</v>
      </c>
      <c r="J896" s="211" t="s">
        <v>1609</v>
      </c>
      <c r="K896" s="75" t="s">
        <v>1544</v>
      </c>
      <c r="L896" s="152" t="b">
        <v>1</v>
      </c>
      <c r="M896" s="152" t="b">
        <v>1</v>
      </c>
      <c r="N896" s="212" t="s">
        <v>3689</v>
      </c>
      <c r="O896" s="213" t="s">
        <v>1554</v>
      </c>
      <c r="P896" s="47" t="b">
        <v>1</v>
      </c>
      <c r="Q896" s="47" t="b">
        <v>0</v>
      </c>
      <c r="R896" s="214"/>
      <c r="S896" s="77">
        <v>0.0</v>
      </c>
      <c r="T896" s="76" t="s">
        <v>1179</v>
      </c>
      <c r="U896" s="78">
        <v>2.0E7</v>
      </c>
      <c r="V896" s="215"/>
      <c r="W896" s="77">
        <v>2.0E7</v>
      </c>
      <c r="X896" s="77">
        <v>200000.0</v>
      </c>
      <c r="Y896" s="77">
        <v>80000.0</v>
      </c>
      <c r="Z896" s="77"/>
    </row>
    <row r="897">
      <c r="A897" s="145" t="s">
        <v>892</v>
      </c>
      <c r="B897" s="145" t="s">
        <v>3690</v>
      </c>
      <c r="C897" s="145" t="s">
        <v>3680</v>
      </c>
      <c r="D897" s="75" t="s">
        <v>1544</v>
      </c>
      <c r="E897" s="75" t="s">
        <v>1544</v>
      </c>
      <c r="F897" s="211" t="s">
        <v>1690</v>
      </c>
      <c r="G897" s="145" t="s">
        <v>2841</v>
      </c>
      <c r="H897" s="211" t="s">
        <v>586</v>
      </c>
      <c r="I897" s="145" t="s">
        <v>162</v>
      </c>
      <c r="J897" s="211" t="s">
        <v>1597</v>
      </c>
      <c r="K897" s="75" t="s">
        <v>1544</v>
      </c>
      <c r="L897" s="152" t="b">
        <v>1</v>
      </c>
      <c r="M897" s="152" t="b">
        <v>1</v>
      </c>
      <c r="N897" s="212" t="s">
        <v>3691</v>
      </c>
      <c r="O897" s="213" t="s">
        <v>1554</v>
      </c>
      <c r="P897" s="47" t="b">
        <v>1</v>
      </c>
      <c r="Q897" s="47" t="b">
        <v>0</v>
      </c>
      <c r="R897" s="214"/>
      <c r="S897" s="77">
        <v>0.0</v>
      </c>
      <c r="T897" s="76" t="s">
        <v>1179</v>
      </c>
      <c r="U897" s="78">
        <v>2.0E7</v>
      </c>
      <c r="V897" s="215"/>
      <c r="W897" s="77">
        <v>2.0E7</v>
      </c>
      <c r="X897" s="77">
        <v>140000.0</v>
      </c>
      <c r="Y897" s="77">
        <v>100000.0</v>
      </c>
      <c r="Z897" s="77"/>
    </row>
    <row r="898">
      <c r="A898" s="145" t="s">
        <v>3690</v>
      </c>
      <c r="B898" s="230"/>
      <c r="C898" s="145" t="s">
        <v>3680</v>
      </c>
      <c r="D898" s="75" t="s">
        <v>1601</v>
      </c>
      <c r="E898" s="75" t="s">
        <v>1544</v>
      </c>
      <c r="F898" s="211" t="s">
        <v>2910</v>
      </c>
      <c r="G898" s="145" t="s">
        <v>3690</v>
      </c>
      <c r="H898" s="211" t="s">
        <v>87</v>
      </c>
      <c r="I898" s="145" t="s">
        <v>2913</v>
      </c>
      <c r="J898" s="211" t="s">
        <v>3162</v>
      </c>
      <c r="K898" s="75" t="s">
        <v>1544</v>
      </c>
      <c r="L898" s="152" t="b">
        <v>1</v>
      </c>
      <c r="M898" s="152" t="b">
        <v>1</v>
      </c>
      <c r="N898" s="217"/>
      <c r="O898" s="213" t="s">
        <v>1554</v>
      </c>
      <c r="P898" s="47" t="b">
        <v>1</v>
      </c>
      <c r="Q898" s="47" t="b">
        <v>0</v>
      </c>
      <c r="R898" s="214"/>
      <c r="S898" s="77">
        <v>0.0</v>
      </c>
      <c r="T898" s="214"/>
      <c r="U898" s="215"/>
      <c r="V898" s="215"/>
      <c r="W898" s="214"/>
      <c r="X898" s="218"/>
      <c r="Y898" s="77">
        <v>50000.0</v>
      </c>
      <c r="Z898" s="77"/>
    </row>
    <row r="899">
      <c r="A899" s="145" t="s">
        <v>2844</v>
      </c>
      <c r="B899" s="145" t="s">
        <v>3692</v>
      </c>
      <c r="C899" s="145" t="s">
        <v>3680</v>
      </c>
      <c r="D899" s="75" t="s">
        <v>1544</v>
      </c>
      <c r="E899" s="75" t="s">
        <v>1544</v>
      </c>
      <c r="F899" s="211" t="s">
        <v>1557</v>
      </c>
      <c r="G899" s="145" t="s">
        <v>2845</v>
      </c>
      <c r="H899" s="211" t="s">
        <v>625</v>
      </c>
      <c r="I899" s="145" t="s">
        <v>667</v>
      </c>
      <c r="J899" s="211" t="s">
        <v>1561</v>
      </c>
      <c r="K899" s="75" t="s">
        <v>1544</v>
      </c>
      <c r="L899" s="152" t="b">
        <v>1</v>
      </c>
      <c r="M899" s="152" t="b">
        <v>1</v>
      </c>
      <c r="N899" s="212" t="s">
        <v>3693</v>
      </c>
      <c r="O899" s="213" t="s">
        <v>1554</v>
      </c>
      <c r="P899" s="47" t="b">
        <v>1</v>
      </c>
      <c r="Q899" s="47" t="b">
        <v>0</v>
      </c>
      <c r="R899" s="214"/>
      <c r="S899" s="77">
        <v>0.0</v>
      </c>
      <c r="T899" s="76" t="s">
        <v>1179</v>
      </c>
      <c r="U899" s="78">
        <v>2.0E7</v>
      </c>
      <c r="V899" s="215"/>
      <c r="W899" s="77">
        <v>2.0E7</v>
      </c>
      <c r="X899" s="216">
        <v>2.0E9</v>
      </c>
      <c r="Y899" s="77">
        <v>6000000.0</v>
      </c>
      <c r="Z899" s="77"/>
    </row>
    <row r="900">
      <c r="A900" s="145" t="s">
        <v>3692</v>
      </c>
      <c r="B900" s="230"/>
      <c r="C900" s="145" t="s">
        <v>3680</v>
      </c>
      <c r="D900" s="75" t="s">
        <v>1601</v>
      </c>
      <c r="E900" s="75" t="s">
        <v>1544</v>
      </c>
      <c r="F900" s="211" t="s">
        <v>2910</v>
      </c>
      <c r="G900" s="145" t="s">
        <v>3692</v>
      </c>
      <c r="H900" s="211" t="s">
        <v>87</v>
      </c>
      <c r="I900" s="145" t="s">
        <v>2913</v>
      </c>
      <c r="J900" s="211" t="s">
        <v>3162</v>
      </c>
      <c r="K900" s="75" t="s">
        <v>1544</v>
      </c>
      <c r="L900" s="152" t="b">
        <v>1</v>
      </c>
      <c r="M900" s="152" t="b">
        <v>1</v>
      </c>
      <c r="N900" s="212" t="s">
        <v>3694</v>
      </c>
      <c r="O900" s="213" t="s">
        <v>1554</v>
      </c>
      <c r="P900" s="47" t="b">
        <v>1</v>
      </c>
      <c r="Q900" s="47" t="b">
        <v>0</v>
      </c>
      <c r="R900" s="214"/>
      <c r="S900" s="77">
        <v>0.0</v>
      </c>
      <c r="T900" s="214"/>
      <c r="U900" s="215"/>
      <c r="V900" s="215"/>
      <c r="W900" s="214"/>
      <c r="X900" s="218"/>
      <c r="Y900" s="216">
        <v>50000.0</v>
      </c>
      <c r="Z900" s="77"/>
    </row>
    <row r="901">
      <c r="A901" s="145" t="s">
        <v>2842</v>
      </c>
      <c r="B901" s="145" t="s">
        <v>3695</v>
      </c>
      <c r="C901" s="145" t="s">
        <v>3680</v>
      </c>
      <c r="D901" s="75" t="s">
        <v>1544</v>
      </c>
      <c r="E901" s="75" t="s">
        <v>1544</v>
      </c>
      <c r="F901" s="211" t="s">
        <v>3472</v>
      </c>
      <c r="G901" s="145" t="s">
        <v>2843</v>
      </c>
      <c r="H901" s="211" t="s">
        <v>1067</v>
      </c>
      <c r="I901" s="145" t="s">
        <v>1066</v>
      </c>
      <c r="J901" s="211" t="s">
        <v>3473</v>
      </c>
      <c r="K901" s="75" t="s">
        <v>1544</v>
      </c>
      <c r="L901" s="152" t="b">
        <v>1</v>
      </c>
      <c r="M901" s="152" t="b">
        <v>1</v>
      </c>
      <c r="N901" s="212" t="s">
        <v>3696</v>
      </c>
      <c r="O901" s="213" t="s">
        <v>1554</v>
      </c>
      <c r="P901" s="47" t="b">
        <v>1</v>
      </c>
      <c r="Q901" s="47" t="b">
        <v>0</v>
      </c>
      <c r="R901" s="214"/>
      <c r="S901" s="77">
        <v>0.0</v>
      </c>
      <c r="T901" s="76" t="s">
        <v>1179</v>
      </c>
      <c r="U901" s="78">
        <v>5.0E7</v>
      </c>
      <c r="V901" s="215"/>
      <c r="W901" s="77">
        <v>5.0E7</v>
      </c>
      <c r="X901" s="216">
        <v>5.0E9</v>
      </c>
      <c r="Y901" s="77">
        <v>1.5E7</v>
      </c>
      <c r="Z901" s="77"/>
    </row>
    <row r="902">
      <c r="A902" s="145" t="s">
        <v>3695</v>
      </c>
      <c r="B902" s="230"/>
      <c r="C902" s="145" t="s">
        <v>3680</v>
      </c>
      <c r="D902" s="75" t="s">
        <v>1601</v>
      </c>
      <c r="E902" s="75" t="s">
        <v>1544</v>
      </c>
      <c r="F902" s="211" t="s">
        <v>2910</v>
      </c>
      <c r="G902" s="145" t="s">
        <v>3695</v>
      </c>
      <c r="H902" s="211" t="s">
        <v>87</v>
      </c>
      <c r="I902" s="145" t="s">
        <v>2913</v>
      </c>
      <c r="J902" s="211" t="s">
        <v>3162</v>
      </c>
      <c r="K902" s="75" t="s">
        <v>1544</v>
      </c>
      <c r="L902" s="152" t="b">
        <v>1</v>
      </c>
      <c r="M902" s="152" t="b">
        <v>1</v>
      </c>
      <c r="N902" s="212" t="s">
        <v>3697</v>
      </c>
      <c r="O902" s="213" t="s">
        <v>1554</v>
      </c>
      <c r="P902" s="47" t="b">
        <v>1</v>
      </c>
      <c r="Q902" s="47" t="b">
        <v>0</v>
      </c>
      <c r="R902" s="214"/>
      <c r="S902" s="77">
        <v>0.0</v>
      </c>
      <c r="T902" s="214"/>
      <c r="U902" s="215"/>
      <c r="V902" s="215"/>
      <c r="W902" s="214"/>
      <c r="X902" s="218"/>
      <c r="Y902" s="216">
        <v>50000.0</v>
      </c>
      <c r="Z902" s="77"/>
    </row>
    <row r="903">
      <c r="A903" s="145" t="s">
        <v>1053</v>
      </c>
      <c r="B903" s="145" t="s">
        <v>3698</v>
      </c>
      <c r="C903" s="145" t="s">
        <v>3120</v>
      </c>
      <c r="D903" s="75" t="s">
        <v>1544</v>
      </c>
      <c r="E903" s="75" t="s">
        <v>1544</v>
      </c>
      <c r="F903" s="211" t="s">
        <v>2864</v>
      </c>
      <c r="G903" s="145" t="s">
        <v>1054</v>
      </c>
      <c r="H903" s="211" t="s">
        <v>77</v>
      </c>
      <c r="I903" s="145" t="s">
        <v>252</v>
      </c>
      <c r="J903" s="211" t="s">
        <v>1958</v>
      </c>
      <c r="K903" s="75" t="s">
        <v>1544</v>
      </c>
      <c r="L903" s="152" t="b">
        <v>1</v>
      </c>
      <c r="M903" s="152" t="b">
        <v>1</v>
      </c>
      <c r="N903" s="212" t="s">
        <v>3699</v>
      </c>
      <c r="O903" s="213" t="s">
        <v>1554</v>
      </c>
      <c r="P903" s="47" t="b">
        <v>1</v>
      </c>
      <c r="Q903" s="47" t="b">
        <v>0</v>
      </c>
      <c r="R903" s="214"/>
      <c r="S903" s="77">
        <v>0.0</v>
      </c>
      <c r="T903" s="76" t="s">
        <v>1179</v>
      </c>
      <c r="U903" s="78">
        <v>6.0E7</v>
      </c>
      <c r="V903" s="215"/>
      <c r="W903" s="77">
        <v>6.0E7</v>
      </c>
      <c r="X903" s="216">
        <v>600000.0</v>
      </c>
      <c r="Y903" s="77">
        <v>160000.0</v>
      </c>
      <c r="Z903" s="77"/>
    </row>
    <row r="904">
      <c r="A904" s="145" t="s">
        <v>1023</v>
      </c>
      <c r="B904" s="145" t="s">
        <v>3700</v>
      </c>
      <c r="C904" s="145" t="s">
        <v>3120</v>
      </c>
      <c r="D904" s="75" t="s">
        <v>1544</v>
      </c>
      <c r="E904" s="75" t="s">
        <v>1544</v>
      </c>
      <c r="F904" s="211" t="s">
        <v>2375</v>
      </c>
      <c r="G904" s="145" t="s">
        <v>1024</v>
      </c>
      <c r="H904" s="211" t="s">
        <v>1018</v>
      </c>
      <c r="I904" s="145" t="s">
        <v>1017</v>
      </c>
      <c r="J904" s="211" t="s">
        <v>2377</v>
      </c>
      <c r="K904" s="75" t="s">
        <v>1544</v>
      </c>
      <c r="L904" s="152" t="b">
        <v>1</v>
      </c>
      <c r="M904" s="152" t="b">
        <v>1</v>
      </c>
      <c r="N904" s="212" t="s">
        <v>3701</v>
      </c>
      <c r="O904" s="213" t="s">
        <v>1554</v>
      </c>
      <c r="P904" s="47" t="b">
        <v>1</v>
      </c>
      <c r="Q904" s="47" t="b">
        <v>0</v>
      </c>
      <c r="R904" s="214"/>
      <c r="S904" s="77">
        <v>0.0</v>
      </c>
      <c r="T904" s="76" t="s">
        <v>1179</v>
      </c>
      <c r="U904" s="78">
        <v>4.0E7</v>
      </c>
      <c r="V904" s="215"/>
      <c r="W904" s="77">
        <v>4.0E7</v>
      </c>
      <c r="X904" s="216">
        <v>320000.0</v>
      </c>
      <c r="Y904" s="77">
        <v>320000.0</v>
      </c>
      <c r="Z904" s="77"/>
    </row>
    <row r="905">
      <c r="A905" s="145" t="s">
        <v>2822</v>
      </c>
      <c r="B905" s="145" t="s">
        <v>2822</v>
      </c>
      <c r="C905" s="145" t="s">
        <v>317</v>
      </c>
      <c r="D905" s="75" t="s">
        <v>1544</v>
      </c>
      <c r="E905" s="75" t="s">
        <v>1544</v>
      </c>
      <c r="F905" s="211" t="s">
        <v>1649</v>
      </c>
      <c r="G905" s="145" t="s">
        <v>2823</v>
      </c>
      <c r="H905" s="211" t="s">
        <v>1018</v>
      </c>
      <c r="I905" s="145" t="s">
        <v>113</v>
      </c>
      <c r="J905" s="211" t="s">
        <v>1549</v>
      </c>
      <c r="K905" s="75" t="s">
        <v>1544</v>
      </c>
      <c r="L905" s="152" t="b">
        <v>1</v>
      </c>
      <c r="M905" s="152" t="b">
        <v>0</v>
      </c>
      <c r="N905" s="212" t="s">
        <v>3702</v>
      </c>
      <c r="O905" s="213" t="s">
        <v>1554</v>
      </c>
      <c r="P905" s="47" t="b">
        <v>1</v>
      </c>
      <c r="Q905" s="47" t="b">
        <v>0</v>
      </c>
      <c r="R905" s="214"/>
      <c r="S905" s="77">
        <v>0.0</v>
      </c>
      <c r="T905" s="76" t="s">
        <v>1162</v>
      </c>
      <c r="U905" s="78">
        <v>7639225.0</v>
      </c>
      <c r="V905" s="78">
        <v>0.0</v>
      </c>
      <c r="W905" s="77">
        <v>8000000.0</v>
      </c>
      <c r="X905" s="216">
        <v>64000.0</v>
      </c>
      <c r="Y905" s="77">
        <v>32000.0</v>
      </c>
      <c r="Z905" s="77"/>
    </row>
    <row r="906">
      <c r="A906" s="145" t="s">
        <v>229</v>
      </c>
      <c r="B906" s="145" t="s">
        <v>1658</v>
      </c>
      <c r="C906" s="145" t="s">
        <v>1543</v>
      </c>
      <c r="D906" s="75" t="s">
        <v>1544</v>
      </c>
      <c r="E906" s="75" t="s">
        <v>1544</v>
      </c>
      <c r="F906" s="211" t="s">
        <v>1649</v>
      </c>
      <c r="G906" s="145" t="s">
        <v>2846</v>
      </c>
      <c r="H906" s="211" t="s">
        <v>1018</v>
      </c>
      <c r="I906" s="145" t="s">
        <v>92</v>
      </c>
      <c r="J906" s="211" t="s">
        <v>1549</v>
      </c>
      <c r="K906" s="75" t="s">
        <v>1544</v>
      </c>
      <c r="L906" s="152" t="b">
        <v>1</v>
      </c>
      <c r="M906" s="152" t="b">
        <v>0</v>
      </c>
      <c r="N906" s="212" t="s">
        <v>3703</v>
      </c>
      <c r="O906" s="213" t="s">
        <v>1554</v>
      </c>
      <c r="P906" s="47" t="b">
        <v>1</v>
      </c>
      <c r="Q906" s="47" t="b">
        <v>0</v>
      </c>
      <c r="R906" s="214"/>
      <c r="S906" s="77">
        <v>0.0</v>
      </c>
      <c r="T906" s="76" t="s">
        <v>1179</v>
      </c>
      <c r="U906" s="78">
        <v>1.0041092E7</v>
      </c>
      <c r="V906" s="215"/>
      <c r="W906" s="77">
        <v>1.0E7</v>
      </c>
      <c r="X906" s="77">
        <v>80000.0</v>
      </c>
      <c r="Y906" s="77">
        <v>32000.0</v>
      </c>
      <c r="Z906" s="77"/>
    </row>
    <row r="907">
      <c r="A907" s="145" t="s">
        <v>133</v>
      </c>
      <c r="B907" s="145" t="s">
        <v>1647</v>
      </c>
      <c r="C907" s="145" t="s">
        <v>1543</v>
      </c>
      <c r="D907" s="75" t="s">
        <v>1544</v>
      </c>
      <c r="E907" s="75" t="s">
        <v>1544</v>
      </c>
      <c r="F907" s="211" t="s">
        <v>1851</v>
      </c>
      <c r="G907" s="145" t="s">
        <v>3704</v>
      </c>
      <c r="H907" s="211" t="s">
        <v>1018</v>
      </c>
      <c r="I907" s="145" t="s">
        <v>132</v>
      </c>
      <c r="J907" s="211" t="s">
        <v>1639</v>
      </c>
      <c r="K907" s="75" t="s">
        <v>1544</v>
      </c>
      <c r="L907" s="152" t="b">
        <v>1</v>
      </c>
      <c r="M907" s="152" t="b">
        <v>0</v>
      </c>
      <c r="N907" s="212" t="s">
        <v>3705</v>
      </c>
      <c r="O907" s="213" t="s">
        <v>1554</v>
      </c>
      <c r="P907" s="47" t="b">
        <v>1</v>
      </c>
      <c r="Q907" s="47" t="b">
        <v>0</v>
      </c>
      <c r="R907" s="214"/>
      <c r="S907" s="77">
        <v>0.0</v>
      </c>
      <c r="T907" s="76" t="s">
        <v>1176</v>
      </c>
      <c r="U907" s="78">
        <v>1.257858E7</v>
      </c>
      <c r="V907" s="215"/>
      <c r="W907" s="77">
        <v>1.2E7</v>
      </c>
      <c r="X907" s="216">
        <v>96000.0</v>
      </c>
      <c r="Y907" s="77">
        <v>48000.0</v>
      </c>
      <c r="Z907" s="77"/>
    </row>
    <row r="908">
      <c r="A908" s="145" t="s">
        <v>157</v>
      </c>
      <c r="B908" s="145" t="s">
        <v>2326</v>
      </c>
      <c r="C908" s="145" t="s">
        <v>2288</v>
      </c>
      <c r="D908" s="75" t="s">
        <v>1544</v>
      </c>
      <c r="E908" s="75" t="s">
        <v>1544</v>
      </c>
      <c r="F908" s="211" t="s">
        <v>1649</v>
      </c>
      <c r="G908" s="145" t="s">
        <v>2850</v>
      </c>
      <c r="H908" s="211" t="s">
        <v>1018</v>
      </c>
      <c r="I908" s="145" t="s">
        <v>66</v>
      </c>
      <c r="J908" s="211" t="s">
        <v>1549</v>
      </c>
      <c r="K908" s="75" t="s">
        <v>1544</v>
      </c>
      <c r="L908" s="152" t="b">
        <v>1</v>
      </c>
      <c r="M908" s="152" t="b">
        <v>0</v>
      </c>
      <c r="N908" s="217"/>
      <c r="O908" s="213" t="s">
        <v>1554</v>
      </c>
      <c r="P908" s="47" t="b">
        <v>1</v>
      </c>
      <c r="Q908" s="47" t="b">
        <v>0</v>
      </c>
      <c r="R908" s="214"/>
      <c r="S908" s="77">
        <v>0.0</v>
      </c>
      <c r="T908" s="76" t="s">
        <v>1179</v>
      </c>
      <c r="U908" s="78">
        <v>1.0185491E7</v>
      </c>
      <c r="V908" s="215"/>
      <c r="W908" s="77">
        <v>1.0E7</v>
      </c>
      <c r="X908" s="77">
        <v>80000.0</v>
      </c>
      <c r="Y908" s="77">
        <v>32000.0</v>
      </c>
      <c r="Z908" s="77"/>
    </row>
    <row r="909">
      <c r="A909" s="145" t="s">
        <v>2853</v>
      </c>
      <c r="B909" s="145" t="s">
        <v>2853</v>
      </c>
      <c r="C909" s="145" t="s">
        <v>3676</v>
      </c>
      <c r="D909" s="75" t="s">
        <v>1544</v>
      </c>
      <c r="E909" s="75" t="s">
        <v>1544</v>
      </c>
      <c r="F909" s="211" t="s">
        <v>1645</v>
      </c>
      <c r="G909" s="145" t="s">
        <v>3706</v>
      </c>
      <c r="H909" s="211" t="s">
        <v>1018</v>
      </c>
      <c r="I909" s="145" t="s">
        <v>132</v>
      </c>
      <c r="J909" s="211" t="s">
        <v>1597</v>
      </c>
      <c r="K909" s="75" t="s">
        <v>1544</v>
      </c>
      <c r="L909" s="152" t="b">
        <v>1</v>
      </c>
      <c r="M909" s="152" t="b">
        <v>1</v>
      </c>
      <c r="N909" s="212" t="s">
        <v>3707</v>
      </c>
      <c r="O909" s="213" t="s">
        <v>1554</v>
      </c>
      <c r="P909" s="47" t="b">
        <v>1</v>
      </c>
      <c r="Q909" s="47" t="b">
        <v>0</v>
      </c>
      <c r="R909" s="76" t="s">
        <v>2855</v>
      </c>
      <c r="S909" s="77">
        <v>0.0</v>
      </c>
      <c r="T909" s="76" t="s">
        <v>1179</v>
      </c>
      <c r="U909" s="78">
        <v>1.0E7</v>
      </c>
      <c r="V909" s="215"/>
      <c r="W909" s="77">
        <v>1.0E7</v>
      </c>
      <c r="X909" s="77">
        <v>80000.0</v>
      </c>
      <c r="Y909" s="77">
        <v>80000.0</v>
      </c>
      <c r="Z909" s="77"/>
    </row>
    <row r="910">
      <c r="A910" s="145" t="s">
        <v>2847</v>
      </c>
      <c r="B910" s="145" t="s">
        <v>2847</v>
      </c>
      <c r="C910" s="145" t="s">
        <v>3148</v>
      </c>
      <c r="D910" s="75" t="s">
        <v>1544</v>
      </c>
      <c r="E910" s="75" t="s">
        <v>1544</v>
      </c>
      <c r="F910" s="211" t="s">
        <v>1547</v>
      </c>
      <c r="G910" s="145" t="s">
        <v>2848</v>
      </c>
      <c r="H910" s="211" t="s">
        <v>77</v>
      </c>
      <c r="I910" s="145" t="s">
        <v>143</v>
      </c>
      <c r="J910" s="211" t="s">
        <v>1549</v>
      </c>
      <c r="K910" s="75" t="s">
        <v>1544</v>
      </c>
      <c r="L910" s="152" t="b">
        <v>1</v>
      </c>
      <c r="M910" s="152" t="b">
        <v>0</v>
      </c>
      <c r="N910" s="212" t="s">
        <v>3708</v>
      </c>
      <c r="O910" s="213" t="s">
        <v>1554</v>
      </c>
      <c r="P910" s="47" t="b">
        <v>1</v>
      </c>
      <c r="Q910" s="47" t="b">
        <v>0</v>
      </c>
      <c r="R910" s="214"/>
      <c r="S910" s="77">
        <v>0.0</v>
      </c>
      <c r="T910" s="76" t="s">
        <v>1184</v>
      </c>
      <c r="U910" s="78">
        <v>1.0E7</v>
      </c>
      <c r="V910" s="78">
        <v>0.0</v>
      </c>
      <c r="W910" s="77">
        <v>1.0E7</v>
      </c>
      <c r="X910" s="77">
        <v>100000.0</v>
      </c>
      <c r="Y910" s="77">
        <v>40000.0</v>
      </c>
      <c r="Z910" s="77"/>
    </row>
    <row r="911">
      <c r="A911" s="145" t="s">
        <v>151</v>
      </c>
      <c r="B911" s="145" t="s">
        <v>151</v>
      </c>
      <c r="C911" s="145" t="s">
        <v>3148</v>
      </c>
      <c r="D911" s="75" t="s">
        <v>1544</v>
      </c>
      <c r="E911" s="75" t="s">
        <v>1544</v>
      </c>
      <c r="F911" s="211" t="s">
        <v>87</v>
      </c>
      <c r="G911" s="145" t="s">
        <v>1021</v>
      </c>
      <c r="H911" s="211" t="s">
        <v>87</v>
      </c>
      <c r="I911" s="145" t="s">
        <v>267</v>
      </c>
      <c r="J911" s="211" t="s">
        <v>87</v>
      </c>
      <c r="K911" s="75" t="s">
        <v>1544</v>
      </c>
      <c r="L911" s="152" t="b">
        <v>1</v>
      </c>
      <c r="M911" s="152" t="b">
        <v>0</v>
      </c>
      <c r="N911" s="212" t="s">
        <v>3709</v>
      </c>
      <c r="O911" s="213" t="s">
        <v>1554</v>
      </c>
      <c r="P911" s="47" t="b">
        <v>0</v>
      </c>
      <c r="Q911" s="47" t="b">
        <v>0</v>
      </c>
      <c r="R911" s="214"/>
      <c r="S911" s="77">
        <v>0.0</v>
      </c>
      <c r="T911" s="76" t="s">
        <v>1184</v>
      </c>
      <c r="U911" s="215"/>
      <c r="V911" s="215"/>
      <c r="W911" s="214"/>
      <c r="X911" s="218"/>
      <c r="Y911" s="77">
        <v>0.0</v>
      </c>
      <c r="Z911" s="77"/>
    </row>
    <row r="912">
      <c r="A912" s="145" t="s">
        <v>3710</v>
      </c>
      <c r="C912" s="145" t="s">
        <v>3120</v>
      </c>
      <c r="D912" s="75" t="s">
        <v>1601</v>
      </c>
      <c r="E912" s="75" t="s">
        <v>1544</v>
      </c>
      <c r="F912" s="211" t="s">
        <v>2910</v>
      </c>
      <c r="G912" s="145" t="s">
        <v>3711</v>
      </c>
      <c r="H912" s="211" t="s">
        <v>87</v>
      </c>
      <c r="I912" s="145" t="s">
        <v>2913</v>
      </c>
      <c r="J912" s="211" t="s">
        <v>3162</v>
      </c>
      <c r="K912" s="75" t="s">
        <v>1544</v>
      </c>
      <c r="L912" s="152" t="b">
        <v>1</v>
      </c>
      <c r="M912" s="152" t="b">
        <v>1</v>
      </c>
      <c r="N912" s="212" t="s">
        <v>3712</v>
      </c>
      <c r="O912" s="213" t="s">
        <v>1554</v>
      </c>
      <c r="P912" s="47" t="b">
        <v>1</v>
      </c>
      <c r="Q912" s="47" t="b">
        <v>0</v>
      </c>
      <c r="R912" s="214"/>
      <c r="S912" s="77">
        <v>0.0</v>
      </c>
      <c r="T912" s="214"/>
      <c r="U912" s="215"/>
      <c r="V912" s="215"/>
      <c r="W912" s="214"/>
      <c r="X912" s="214"/>
      <c r="Y912" s="77">
        <v>50000.0</v>
      </c>
      <c r="Z912" s="77"/>
    </row>
    <row r="913">
      <c r="A913" s="145" t="s">
        <v>1071</v>
      </c>
      <c r="B913" s="145" t="s">
        <v>3710</v>
      </c>
      <c r="C913" s="145" t="s">
        <v>3120</v>
      </c>
      <c r="D913" s="75" t="s">
        <v>1544</v>
      </c>
      <c r="E913" s="75" t="s">
        <v>1544</v>
      </c>
      <c r="F913" s="211" t="s">
        <v>3713</v>
      </c>
      <c r="G913" s="145" t="s">
        <v>1072</v>
      </c>
      <c r="H913" s="211" t="s">
        <v>1067</v>
      </c>
      <c r="I913" s="145" t="s">
        <v>1066</v>
      </c>
      <c r="J913" s="211" t="s">
        <v>3021</v>
      </c>
      <c r="K913" s="75" t="s">
        <v>1544</v>
      </c>
      <c r="L913" s="152" t="b">
        <v>1</v>
      </c>
      <c r="M913" s="152" t="b">
        <v>1</v>
      </c>
      <c r="N913" s="212" t="s">
        <v>3714</v>
      </c>
      <c r="O913" s="213" t="s">
        <v>1554</v>
      </c>
      <c r="P913" s="47" t="b">
        <v>1</v>
      </c>
      <c r="Q913" s="47" t="b">
        <v>0</v>
      </c>
      <c r="R913" s="214"/>
      <c r="S913" s="77">
        <v>0.0</v>
      </c>
      <c r="T913" s="76" t="s">
        <v>1179</v>
      </c>
      <c r="U913" s="78">
        <v>1.0E8</v>
      </c>
      <c r="V913" s="215"/>
      <c r="W913" s="216">
        <v>1.0E8</v>
      </c>
      <c r="X913" s="216">
        <v>1.0E10</v>
      </c>
      <c r="Y913" s="77">
        <v>3.0E7</v>
      </c>
      <c r="Z913" s="77"/>
    </row>
    <row r="914">
      <c r="A914" s="145" t="s">
        <v>2869</v>
      </c>
      <c r="B914" s="145" t="s">
        <v>158</v>
      </c>
      <c r="C914" s="145" t="s">
        <v>2288</v>
      </c>
      <c r="D914" s="75" t="s">
        <v>1544</v>
      </c>
      <c r="E914" s="75" t="s">
        <v>1544</v>
      </c>
      <c r="F914" s="211" t="s">
        <v>1557</v>
      </c>
      <c r="G914" s="145" t="s">
        <v>2871</v>
      </c>
      <c r="H914" s="211" t="s">
        <v>625</v>
      </c>
      <c r="I914" s="145" t="s">
        <v>624</v>
      </c>
      <c r="J914" s="211" t="s">
        <v>1561</v>
      </c>
      <c r="K914" s="75" t="s">
        <v>1544</v>
      </c>
      <c r="L914" s="152" t="b">
        <v>1</v>
      </c>
      <c r="M914" s="152" t="b">
        <v>0</v>
      </c>
      <c r="N914" s="217"/>
      <c r="O914" s="213" t="s">
        <v>1554</v>
      </c>
      <c r="P914" s="47" t="b">
        <v>1</v>
      </c>
      <c r="Q914" s="47" t="b">
        <v>0</v>
      </c>
      <c r="R914" s="214"/>
      <c r="S914" s="77">
        <v>0.0</v>
      </c>
      <c r="T914" s="76" t="s">
        <v>1179</v>
      </c>
      <c r="U914" s="78">
        <v>2.2888565E7</v>
      </c>
      <c r="V914" s="215"/>
      <c r="W914" s="216">
        <v>2.2E7</v>
      </c>
      <c r="X914" s="216">
        <v>2.2E9</v>
      </c>
      <c r="Y914" s="216">
        <v>6000000.0</v>
      </c>
      <c r="Z914" s="77"/>
    </row>
    <row r="915">
      <c r="A915" s="145" t="s">
        <v>636</v>
      </c>
      <c r="B915" s="145" t="s">
        <v>636</v>
      </c>
      <c r="C915" s="145" t="s">
        <v>3716</v>
      </c>
      <c r="D915" s="75" t="s">
        <v>1544</v>
      </c>
      <c r="E915" s="75" t="s">
        <v>1544</v>
      </c>
      <c r="F915" s="211" t="s">
        <v>1557</v>
      </c>
      <c r="G915" s="145" t="s">
        <v>3717</v>
      </c>
      <c r="H915" s="211" t="s">
        <v>625</v>
      </c>
      <c r="I915" s="145" t="s">
        <v>624</v>
      </c>
      <c r="J915" s="211" t="s">
        <v>1561</v>
      </c>
      <c r="K915" s="75" t="s">
        <v>1544</v>
      </c>
      <c r="L915" s="152" t="b">
        <v>1</v>
      </c>
      <c r="M915" s="152" t="b">
        <v>0</v>
      </c>
      <c r="N915" s="212" t="s">
        <v>3718</v>
      </c>
      <c r="O915" s="213" t="s">
        <v>1554</v>
      </c>
      <c r="P915" s="47" t="b">
        <v>1</v>
      </c>
      <c r="Q915" s="47" t="b">
        <v>0</v>
      </c>
      <c r="R915" s="214"/>
      <c r="S915" s="77">
        <v>0.0</v>
      </c>
      <c r="T915" s="76" t="s">
        <v>1193</v>
      </c>
      <c r="U915" s="78">
        <v>4.3402255E7</v>
      </c>
      <c r="V915" s="78">
        <v>234.0</v>
      </c>
      <c r="W915" s="77">
        <v>4.4E7</v>
      </c>
      <c r="X915" s="216">
        <v>4.4E9</v>
      </c>
      <c r="Y915" s="216">
        <v>6000000.0</v>
      </c>
      <c r="Z915" s="77"/>
    </row>
    <row r="916">
      <c r="A916" s="145" t="s">
        <v>671</v>
      </c>
      <c r="B916" s="145" t="s">
        <v>671</v>
      </c>
      <c r="C916" s="145" t="s">
        <v>3716</v>
      </c>
      <c r="D916" s="75" t="s">
        <v>1544</v>
      </c>
      <c r="E916" s="75" t="s">
        <v>1544</v>
      </c>
      <c r="F916" s="211" t="s">
        <v>3719</v>
      </c>
      <c r="G916" s="145" t="s">
        <v>1060</v>
      </c>
      <c r="H916" s="211" t="s">
        <v>87</v>
      </c>
      <c r="I916" s="145" t="s">
        <v>267</v>
      </c>
      <c r="J916" s="211" t="s">
        <v>3223</v>
      </c>
      <c r="K916" s="75" t="s">
        <v>1544</v>
      </c>
      <c r="L916" s="152" t="b">
        <v>1</v>
      </c>
      <c r="M916" s="152" t="b">
        <v>0</v>
      </c>
      <c r="N916" s="212" t="s">
        <v>3720</v>
      </c>
      <c r="O916" s="213" t="s">
        <v>1554</v>
      </c>
      <c r="P916" s="47" t="b">
        <v>0</v>
      </c>
      <c r="Q916" s="47" t="b">
        <v>0</v>
      </c>
      <c r="R916" s="214"/>
      <c r="S916" s="77">
        <v>0.0</v>
      </c>
      <c r="T916" s="76" t="s">
        <v>1193</v>
      </c>
      <c r="U916" s="215"/>
      <c r="V916" s="215"/>
      <c r="W916" s="214"/>
      <c r="X916" s="218"/>
      <c r="Y916" s="216">
        <v>2.4E7</v>
      </c>
      <c r="Z916" s="77"/>
    </row>
    <row r="917">
      <c r="A917" s="145" t="s">
        <v>770</v>
      </c>
      <c r="B917" s="145" t="s">
        <v>3721</v>
      </c>
      <c r="C917" s="145" t="s">
        <v>3120</v>
      </c>
      <c r="D917" s="75" t="s">
        <v>1544</v>
      </c>
      <c r="E917" s="75" t="s">
        <v>1544</v>
      </c>
      <c r="F917" s="211" t="s">
        <v>3722</v>
      </c>
      <c r="G917" s="145" t="s">
        <v>3723</v>
      </c>
      <c r="H917" s="211" t="s">
        <v>586</v>
      </c>
      <c r="I917" s="145" t="s">
        <v>674</v>
      </c>
      <c r="J917" s="211" t="s">
        <v>1561</v>
      </c>
      <c r="K917" s="75" t="s">
        <v>1544</v>
      </c>
      <c r="L917" s="152" t="b">
        <v>1</v>
      </c>
      <c r="M917" s="152" t="b">
        <v>1</v>
      </c>
      <c r="N917" s="212" t="s">
        <v>3724</v>
      </c>
      <c r="O917" s="213" t="s">
        <v>1554</v>
      </c>
      <c r="P917" s="47" t="b">
        <v>1</v>
      </c>
      <c r="Q917" s="47" t="b">
        <v>0</v>
      </c>
      <c r="R917" s="214"/>
      <c r="S917" s="77">
        <v>0.0</v>
      </c>
      <c r="T917" s="76" t="s">
        <v>1179</v>
      </c>
      <c r="U917" s="78">
        <v>4.0E7</v>
      </c>
      <c r="V917" s="215"/>
      <c r="W917" s="216">
        <v>4.0E7</v>
      </c>
      <c r="X917" s="216">
        <v>280000.0</v>
      </c>
      <c r="Y917" s="216">
        <v>166726.0</v>
      </c>
      <c r="Z917" s="77"/>
    </row>
    <row r="918">
      <c r="A918" s="145" t="s">
        <v>3721</v>
      </c>
      <c r="C918" s="145" t="s">
        <v>3120</v>
      </c>
      <c r="D918" s="75" t="s">
        <v>1601</v>
      </c>
      <c r="E918" s="75" t="s">
        <v>1544</v>
      </c>
      <c r="F918" s="211" t="s">
        <v>2910</v>
      </c>
      <c r="G918" s="145" t="s">
        <v>3725</v>
      </c>
      <c r="H918" s="211" t="s">
        <v>87</v>
      </c>
      <c r="I918" s="145" t="s">
        <v>2913</v>
      </c>
      <c r="J918" s="211" t="s">
        <v>3162</v>
      </c>
      <c r="K918" s="75" t="s">
        <v>1544</v>
      </c>
      <c r="L918" s="152" t="b">
        <v>1</v>
      </c>
      <c r="M918" s="152" t="b">
        <v>1</v>
      </c>
      <c r="N918" s="212" t="s">
        <v>3726</v>
      </c>
      <c r="O918" s="213" t="s">
        <v>1554</v>
      </c>
      <c r="P918" s="47" t="b">
        <v>1</v>
      </c>
      <c r="Q918" s="47" t="b">
        <v>0</v>
      </c>
      <c r="R918" s="214"/>
      <c r="S918" s="77">
        <v>0.0</v>
      </c>
      <c r="T918" s="214"/>
      <c r="U918" s="215"/>
      <c r="V918" s="215"/>
      <c r="W918" s="218"/>
      <c r="X918" s="218"/>
      <c r="Y918" s="77">
        <v>50000.0</v>
      </c>
      <c r="Z918" s="77"/>
    </row>
    <row r="919">
      <c r="A919" s="145" t="s">
        <v>3727</v>
      </c>
      <c r="C919" s="145" t="s">
        <v>3120</v>
      </c>
      <c r="D919" s="75" t="s">
        <v>1601</v>
      </c>
      <c r="E919" s="75" t="s">
        <v>1544</v>
      </c>
      <c r="F919" s="211" t="s">
        <v>2910</v>
      </c>
      <c r="G919" s="145" t="s">
        <v>3728</v>
      </c>
      <c r="H919" s="211" t="s">
        <v>87</v>
      </c>
      <c r="I919" s="145" t="s">
        <v>2913</v>
      </c>
      <c r="J919" s="211" t="s">
        <v>3162</v>
      </c>
      <c r="K919" s="75" t="s">
        <v>1544</v>
      </c>
      <c r="L919" s="152" t="b">
        <v>1</v>
      </c>
      <c r="M919" s="152" t="b">
        <v>1</v>
      </c>
      <c r="N919" s="212" t="s">
        <v>3729</v>
      </c>
      <c r="O919" s="213" t="s">
        <v>1554</v>
      </c>
      <c r="P919" s="47" t="b">
        <v>1</v>
      </c>
      <c r="Q919" s="47" t="b">
        <v>0</v>
      </c>
      <c r="R919" s="214"/>
      <c r="S919" s="77">
        <v>0.0</v>
      </c>
      <c r="T919" s="214"/>
      <c r="U919" s="215"/>
      <c r="V919" s="215"/>
      <c r="W919" s="214"/>
      <c r="X919" s="218"/>
      <c r="Y919" s="77">
        <v>50000.0</v>
      </c>
      <c r="Z919" s="77"/>
    </row>
    <row r="920">
      <c r="A920" s="145" t="s">
        <v>2885</v>
      </c>
      <c r="B920" s="145" t="s">
        <v>3727</v>
      </c>
      <c r="C920" s="145" t="s">
        <v>3120</v>
      </c>
      <c r="D920" s="75" t="s">
        <v>1544</v>
      </c>
      <c r="E920" s="75" t="s">
        <v>1544</v>
      </c>
      <c r="F920" s="211" t="s">
        <v>1557</v>
      </c>
      <c r="G920" s="145" t="s">
        <v>3730</v>
      </c>
      <c r="H920" s="211" t="s">
        <v>625</v>
      </c>
      <c r="I920" s="145" t="s">
        <v>667</v>
      </c>
      <c r="J920" s="211" t="s">
        <v>1561</v>
      </c>
      <c r="K920" s="75" t="s">
        <v>1544</v>
      </c>
      <c r="L920" s="152" t="b">
        <v>1</v>
      </c>
      <c r="M920" s="152" t="b">
        <v>1</v>
      </c>
      <c r="N920" s="212" t="s">
        <v>3731</v>
      </c>
      <c r="O920" s="213" t="s">
        <v>1554</v>
      </c>
      <c r="P920" s="47" t="b">
        <v>1</v>
      </c>
      <c r="Q920" s="47" t="b">
        <v>0</v>
      </c>
      <c r="R920" s="214"/>
      <c r="S920" s="77">
        <v>0.0</v>
      </c>
      <c r="T920" s="76" t="s">
        <v>1179</v>
      </c>
      <c r="U920" s="78">
        <v>4.0E7</v>
      </c>
      <c r="V920" s="215"/>
      <c r="W920" s="216">
        <v>4.0E7</v>
      </c>
      <c r="X920" s="216">
        <v>4.0E9</v>
      </c>
      <c r="Y920" s="77">
        <v>6000000.0</v>
      </c>
      <c r="Z920" s="77"/>
    </row>
    <row r="921">
      <c r="A921" s="145" t="s">
        <v>3732</v>
      </c>
      <c r="C921" s="145" t="s">
        <v>3120</v>
      </c>
      <c r="D921" s="75" t="s">
        <v>1601</v>
      </c>
      <c r="E921" s="75" t="s">
        <v>1544</v>
      </c>
      <c r="F921" s="211" t="s">
        <v>2910</v>
      </c>
      <c r="G921" s="145" t="s">
        <v>3733</v>
      </c>
      <c r="H921" s="211" t="s">
        <v>87</v>
      </c>
      <c r="I921" s="145" t="s">
        <v>2913</v>
      </c>
      <c r="J921" s="211" t="s">
        <v>3162</v>
      </c>
      <c r="K921" s="75" t="s">
        <v>1544</v>
      </c>
      <c r="L921" s="152" t="b">
        <v>1</v>
      </c>
      <c r="M921" s="152" t="b">
        <v>1</v>
      </c>
      <c r="N921" s="212" t="s">
        <v>3734</v>
      </c>
      <c r="O921" s="213" t="s">
        <v>1554</v>
      </c>
      <c r="P921" s="47" t="b">
        <v>1</v>
      </c>
      <c r="Q921" s="47" t="b">
        <v>0</v>
      </c>
      <c r="R921" s="214"/>
      <c r="S921" s="77">
        <v>0.0</v>
      </c>
      <c r="T921" s="214"/>
      <c r="U921" s="215"/>
      <c r="V921" s="215"/>
      <c r="W921" s="214"/>
      <c r="X921" s="218"/>
      <c r="Y921" s="216">
        <v>50000.0</v>
      </c>
      <c r="Z921" s="77"/>
    </row>
    <row r="922">
      <c r="A922" s="145" t="s">
        <v>1064</v>
      </c>
      <c r="B922" s="145" t="s">
        <v>3732</v>
      </c>
      <c r="C922" s="145" t="s">
        <v>3120</v>
      </c>
      <c r="D922" s="75" t="s">
        <v>1544</v>
      </c>
      <c r="E922" s="75" t="s">
        <v>1544</v>
      </c>
      <c r="F922" s="211" t="s">
        <v>3472</v>
      </c>
      <c r="G922" s="145" t="s">
        <v>1065</v>
      </c>
      <c r="H922" s="211" t="s">
        <v>1067</v>
      </c>
      <c r="I922" s="145" t="s">
        <v>1066</v>
      </c>
      <c r="J922" s="211" t="s">
        <v>3473</v>
      </c>
      <c r="K922" s="75" t="s">
        <v>1544</v>
      </c>
      <c r="L922" s="152" t="b">
        <v>1</v>
      </c>
      <c r="M922" s="152" t="b">
        <v>1</v>
      </c>
      <c r="N922" s="212" t="s">
        <v>3735</v>
      </c>
      <c r="O922" s="213" t="s">
        <v>1554</v>
      </c>
      <c r="P922" s="47" t="b">
        <v>1</v>
      </c>
      <c r="Q922" s="47" t="b">
        <v>0</v>
      </c>
      <c r="R922" s="214"/>
      <c r="S922" s="77">
        <v>0.0</v>
      </c>
      <c r="T922" s="76" t="s">
        <v>1179</v>
      </c>
      <c r="U922" s="78">
        <v>5.0E7</v>
      </c>
      <c r="V922" s="215"/>
      <c r="W922" s="77">
        <v>5.0E7</v>
      </c>
      <c r="X922" s="216">
        <v>5.0E9</v>
      </c>
      <c r="Y922" s="77">
        <v>1.5E7</v>
      </c>
      <c r="Z922" s="77"/>
    </row>
    <row r="923">
      <c r="A923" s="145" t="s">
        <v>3698</v>
      </c>
      <c r="B923" s="230"/>
      <c r="C923" s="145" t="s">
        <v>3120</v>
      </c>
      <c r="D923" s="75" t="s">
        <v>1544</v>
      </c>
      <c r="E923" s="75" t="s">
        <v>1544</v>
      </c>
      <c r="F923" s="211" t="s">
        <v>2910</v>
      </c>
      <c r="G923" s="145" t="s">
        <v>3736</v>
      </c>
      <c r="H923" s="211" t="s">
        <v>87</v>
      </c>
      <c r="I923" s="145" t="s">
        <v>2913</v>
      </c>
      <c r="J923" s="211" t="s">
        <v>3162</v>
      </c>
      <c r="K923" s="75" t="s">
        <v>1544</v>
      </c>
      <c r="L923" s="152" t="b">
        <v>1</v>
      </c>
      <c r="M923" s="152" t="b">
        <v>1</v>
      </c>
      <c r="N923" s="212" t="s">
        <v>3737</v>
      </c>
      <c r="O923" s="213" t="s">
        <v>1554</v>
      </c>
      <c r="P923" s="47" t="b">
        <v>1</v>
      </c>
      <c r="Q923" s="47" t="b">
        <v>0</v>
      </c>
      <c r="R923" s="214"/>
      <c r="S923" s="77">
        <v>0.0</v>
      </c>
      <c r="T923" s="214"/>
      <c r="U923" s="215"/>
      <c r="V923" s="215"/>
      <c r="W923" s="214"/>
      <c r="X923" s="218"/>
      <c r="Y923" s="216">
        <v>50000.0</v>
      </c>
      <c r="Z923" s="77"/>
    </row>
    <row r="924">
      <c r="A924" s="145" t="s">
        <v>3700</v>
      </c>
      <c r="C924" s="145" t="s">
        <v>3120</v>
      </c>
      <c r="D924" s="75" t="s">
        <v>1601</v>
      </c>
      <c r="E924" s="75" t="s">
        <v>1544</v>
      </c>
      <c r="F924" s="211" t="s">
        <v>2910</v>
      </c>
      <c r="G924" s="145" t="s">
        <v>3738</v>
      </c>
      <c r="H924" s="211" t="s">
        <v>87</v>
      </c>
      <c r="I924" s="145" t="s">
        <v>2913</v>
      </c>
      <c r="J924" s="211" t="s">
        <v>3162</v>
      </c>
      <c r="K924" s="75" t="s">
        <v>1544</v>
      </c>
      <c r="L924" s="152" t="b">
        <v>1</v>
      </c>
      <c r="M924" s="152" t="b">
        <v>1</v>
      </c>
      <c r="N924" s="212" t="s">
        <v>3739</v>
      </c>
      <c r="O924" s="213" t="s">
        <v>1554</v>
      </c>
      <c r="P924" s="47" t="b">
        <v>1</v>
      </c>
      <c r="Q924" s="47" t="b">
        <v>0</v>
      </c>
      <c r="R924" s="214"/>
      <c r="S924" s="77">
        <v>0.0</v>
      </c>
      <c r="T924" s="214"/>
      <c r="U924" s="215"/>
      <c r="V924" s="215"/>
      <c r="W924" s="214"/>
      <c r="X924" s="218"/>
      <c r="Y924" s="77">
        <v>50000.0</v>
      </c>
      <c r="Z924" s="77"/>
    </row>
    <row r="925">
      <c r="A925" s="145" t="s">
        <v>3740</v>
      </c>
      <c r="C925" s="145" t="s">
        <v>3120</v>
      </c>
      <c r="D925" s="75" t="s">
        <v>1601</v>
      </c>
      <c r="E925" s="75" t="s">
        <v>1544</v>
      </c>
      <c r="F925" s="211" t="s">
        <v>2910</v>
      </c>
      <c r="G925" s="145" t="s">
        <v>3741</v>
      </c>
      <c r="H925" s="211" t="s">
        <v>87</v>
      </c>
      <c r="I925" s="145" t="s">
        <v>2913</v>
      </c>
      <c r="J925" s="211" t="s">
        <v>3162</v>
      </c>
      <c r="K925" s="75" t="s">
        <v>1544</v>
      </c>
      <c r="L925" s="152" t="b">
        <v>1</v>
      </c>
      <c r="M925" s="152" t="b">
        <v>1</v>
      </c>
      <c r="N925" s="212" t="s">
        <v>3742</v>
      </c>
      <c r="O925" s="213" t="s">
        <v>1554</v>
      </c>
      <c r="P925" s="47" t="b">
        <v>1</v>
      </c>
      <c r="Q925" s="47" t="b">
        <v>0</v>
      </c>
      <c r="R925" s="214"/>
      <c r="S925" s="77">
        <v>0.0</v>
      </c>
      <c r="T925" s="214"/>
      <c r="U925" s="215"/>
      <c r="V925" s="215"/>
      <c r="W925" s="214"/>
      <c r="X925" s="218"/>
      <c r="Y925" s="77">
        <v>50000.0</v>
      </c>
      <c r="Z925" s="77"/>
    </row>
    <row r="926">
      <c r="A926" s="145" t="s">
        <v>1030</v>
      </c>
      <c r="B926" s="145" t="s">
        <v>3740</v>
      </c>
      <c r="C926" s="145" t="s">
        <v>3120</v>
      </c>
      <c r="D926" s="75" t="s">
        <v>1544</v>
      </c>
      <c r="E926" s="75" t="s">
        <v>1544</v>
      </c>
      <c r="F926" s="211" t="s">
        <v>2994</v>
      </c>
      <c r="G926" s="145" t="s">
        <v>1031</v>
      </c>
      <c r="H926" s="211" t="s">
        <v>907</v>
      </c>
      <c r="I926" s="145" t="s">
        <v>25</v>
      </c>
      <c r="J926" s="211" t="s">
        <v>2377</v>
      </c>
      <c r="K926" s="75" t="s">
        <v>1544</v>
      </c>
      <c r="L926" s="152" t="b">
        <v>1</v>
      </c>
      <c r="M926" s="152" t="b">
        <v>1</v>
      </c>
      <c r="N926" s="212" t="s">
        <v>3743</v>
      </c>
      <c r="O926" s="213" t="s">
        <v>1554</v>
      </c>
      <c r="P926" s="47" t="b">
        <v>1</v>
      </c>
      <c r="Q926" s="47" t="b">
        <v>0</v>
      </c>
      <c r="R926" s="214"/>
      <c r="S926" s="77">
        <v>0.0</v>
      </c>
      <c r="T926" s="76" t="s">
        <v>1179</v>
      </c>
      <c r="U926" s="78">
        <v>4.0E7</v>
      </c>
      <c r="V926" s="215"/>
      <c r="W926" s="77">
        <v>4.0E7</v>
      </c>
      <c r="X926" s="216">
        <v>400000.0</v>
      </c>
      <c r="Y926" s="77">
        <v>400000.0</v>
      </c>
      <c r="Z926" s="77"/>
    </row>
    <row r="927">
      <c r="A927" s="145" t="s">
        <v>763</v>
      </c>
      <c r="B927" s="145" t="s">
        <v>3744</v>
      </c>
      <c r="C927" s="145" t="s">
        <v>3120</v>
      </c>
      <c r="D927" s="75" t="s">
        <v>1544</v>
      </c>
      <c r="E927" s="75" t="s">
        <v>1544</v>
      </c>
      <c r="F927" s="211" t="s">
        <v>3745</v>
      </c>
      <c r="G927" s="145" t="s">
        <v>3746</v>
      </c>
      <c r="H927" s="211" t="s">
        <v>586</v>
      </c>
      <c r="I927" s="145" t="s">
        <v>674</v>
      </c>
      <c r="J927" s="211" t="s">
        <v>1561</v>
      </c>
      <c r="K927" s="75" t="s">
        <v>1544</v>
      </c>
      <c r="L927" s="152" t="b">
        <v>1</v>
      </c>
      <c r="M927" s="152" t="b">
        <v>1</v>
      </c>
      <c r="N927" s="212" t="s">
        <v>3747</v>
      </c>
      <c r="O927" s="213" t="s">
        <v>1554</v>
      </c>
      <c r="P927" s="47" t="b">
        <v>1</v>
      </c>
      <c r="Q927" s="47" t="b">
        <v>0</v>
      </c>
      <c r="R927" s="214"/>
      <c r="S927" s="77">
        <v>0.0</v>
      </c>
      <c r="T927" s="76" t="s">
        <v>1179</v>
      </c>
      <c r="U927" s="78">
        <v>8.0E7</v>
      </c>
      <c r="V927" s="215"/>
      <c r="W927" s="77">
        <v>8.0E7</v>
      </c>
      <c r="X927" s="216">
        <v>560000.0</v>
      </c>
      <c r="Y927" s="77">
        <v>166607.0</v>
      </c>
      <c r="Z927" s="77"/>
    </row>
    <row r="928">
      <c r="A928" s="145" t="s">
        <v>2887</v>
      </c>
      <c r="B928" s="145" t="s">
        <v>3748</v>
      </c>
      <c r="C928" s="145" t="s">
        <v>3120</v>
      </c>
      <c r="D928" s="75" t="s">
        <v>1544</v>
      </c>
      <c r="E928" s="75" t="s">
        <v>1544</v>
      </c>
      <c r="F928" s="211" t="s">
        <v>1557</v>
      </c>
      <c r="G928" s="145" t="s">
        <v>3749</v>
      </c>
      <c r="H928" s="211" t="s">
        <v>625</v>
      </c>
      <c r="I928" s="145" t="s">
        <v>667</v>
      </c>
      <c r="J928" s="211" t="s">
        <v>1561</v>
      </c>
      <c r="K928" s="75" t="s">
        <v>1544</v>
      </c>
      <c r="L928" s="152" t="b">
        <v>1</v>
      </c>
      <c r="M928" s="152" t="b">
        <v>1</v>
      </c>
      <c r="N928" s="212" t="s">
        <v>3750</v>
      </c>
      <c r="O928" s="213" t="s">
        <v>1554</v>
      </c>
      <c r="P928" s="47" t="b">
        <v>1</v>
      </c>
      <c r="Q928" s="47" t="b">
        <v>0</v>
      </c>
      <c r="R928" s="214"/>
      <c r="S928" s="77">
        <v>0.0</v>
      </c>
      <c r="T928" s="76" t="s">
        <v>1179</v>
      </c>
      <c r="U928" s="78">
        <v>8.0E7</v>
      </c>
      <c r="V928" s="215"/>
      <c r="W928" s="77">
        <v>8.0E7</v>
      </c>
      <c r="X928" s="216">
        <v>8.0E9</v>
      </c>
      <c r="Y928" s="77">
        <v>6000000.0</v>
      </c>
      <c r="Z928" s="77"/>
    </row>
    <row r="929">
      <c r="A929" s="145" t="s">
        <v>1069</v>
      </c>
      <c r="B929" s="145" t="s">
        <v>3751</v>
      </c>
      <c r="C929" s="145" t="s">
        <v>3120</v>
      </c>
      <c r="D929" s="75" t="s">
        <v>1544</v>
      </c>
      <c r="E929" s="75" t="s">
        <v>1544</v>
      </c>
      <c r="F929" s="211" t="s">
        <v>3713</v>
      </c>
      <c r="G929" s="145" t="s">
        <v>1070</v>
      </c>
      <c r="H929" s="211" t="s">
        <v>1067</v>
      </c>
      <c r="I929" s="145" t="s">
        <v>1066</v>
      </c>
      <c r="J929" s="211" t="s">
        <v>3021</v>
      </c>
      <c r="K929" s="75" t="s">
        <v>1544</v>
      </c>
      <c r="L929" s="152" t="b">
        <v>1</v>
      </c>
      <c r="M929" s="152" t="b">
        <v>1</v>
      </c>
      <c r="N929" s="212" t="s">
        <v>3752</v>
      </c>
      <c r="O929" s="213" t="s">
        <v>1554</v>
      </c>
      <c r="P929" s="47" t="b">
        <v>1</v>
      </c>
      <c r="Q929" s="47" t="b">
        <v>0</v>
      </c>
      <c r="R929" s="214"/>
      <c r="S929" s="77">
        <v>0.0</v>
      </c>
      <c r="T929" s="76" t="s">
        <v>1179</v>
      </c>
      <c r="U929" s="78">
        <v>1.0E8</v>
      </c>
      <c r="V929" s="215"/>
      <c r="W929" s="216">
        <v>1.0E8</v>
      </c>
      <c r="X929" s="216">
        <v>1.0E10</v>
      </c>
      <c r="Y929" s="216">
        <v>3.0E7</v>
      </c>
      <c r="Z929" s="77"/>
    </row>
    <row r="930">
      <c r="A930" s="145" t="s">
        <v>998</v>
      </c>
      <c r="B930" s="145" t="s">
        <v>998</v>
      </c>
      <c r="C930" s="145" t="s">
        <v>3148</v>
      </c>
      <c r="D930" s="75" t="s">
        <v>1544</v>
      </c>
      <c r="E930" s="75" t="s">
        <v>1544</v>
      </c>
      <c r="F930" s="211" t="s">
        <v>1690</v>
      </c>
      <c r="G930" s="145" t="s">
        <v>999</v>
      </c>
      <c r="H930" s="211" t="s">
        <v>907</v>
      </c>
      <c r="I930" s="145" t="s">
        <v>267</v>
      </c>
      <c r="J930" s="211" t="s">
        <v>1597</v>
      </c>
      <c r="K930" s="75" t="s">
        <v>1544</v>
      </c>
      <c r="L930" s="152" t="b">
        <v>1</v>
      </c>
      <c r="M930" s="152" t="b">
        <v>0</v>
      </c>
      <c r="N930" s="212" t="s">
        <v>3753</v>
      </c>
      <c r="O930" s="213" t="s">
        <v>1554</v>
      </c>
      <c r="P930" s="47" t="b">
        <v>0</v>
      </c>
      <c r="Q930" s="47" t="b">
        <v>0</v>
      </c>
      <c r="R930" s="214"/>
      <c r="S930" s="77">
        <v>0.0</v>
      </c>
      <c r="T930" s="76" t="s">
        <v>1184</v>
      </c>
      <c r="U930" s="215"/>
      <c r="V930" s="215"/>
      <c r="W930" s="218"/>
      <c r="X930" s="218"/>
      <c r="Y930" s="216">
        <v>100000.0</v>
      </c>
      <c r="Z930" s="77"/>
    </row>
    <row r="931">
      <c r="A931" s="145" t="s">
        <v>2889</v>
      </c>
      <c r="B931" s="145" t="s">
        <v>2889</v>
      </c>
      <c r="C931" s="145" t="s">
        <v>3148</v>
      </c>
      <c r="D931" s="75" t="s">
        <v>1544</v>
      </c>
      <c r="E931" s="75" t="s">
        <v>1544</v>
      </c>
      <c r="F931" s="211" t="s">
        <v>1649</v>
      </c>
      <c r="G931" s="145" t="s">
        <v>2890</v>
      </c>
      <c r="H931" s="211" t="s">
        <v>1018</v>
      </c>
      <c r="I931" s="145" t="s">
        <v>132</v>
      </c>
      <c r="J931" s="211" t="s">
        <v>1549</v>
      </c>
      <c r="K931" s="75" t="s">
        <v>1544</v>
      </c>
      <c r="L931" s="152" t="b">
        <v>1</v>
      </c>
      <c r="M931" s="152" t="b">
        <v>0</v>
      </c>
      <c r="N931" s="212" t="s">
        <v>3754</v>
      </c>
      <c r="O931" s="213" t="s">
        <v>1554</v>
      </c>
      <c r="P931" s="47" t="b">
        <v>1</v>
      </c>
      <c r="Q931" s="47" t="b">
        <v>0</v>
      </c>
      <c r="R931" s="214"/>
      <c r="S931" s="77">
        <v>0.0</v>
      </c>
      <c r="T931" s="76" t="s">
        <v>1184</v>
      </c>
      <c r="U931" s="78">
        <v>1.0E7</v>
      </c>
      <c r="V931" s="78">
        <v>0.0</v>
      </c>
      <c r="W931" s="77">
        <v>1.0E7</v>
      </c>
      <c r="X931" s="77">
        <v>80000.0</v>
      </c>
      <c r="Y931" s="77">
        <v>32000.0</v>
      </c>
      <c r="Z931" s="77"/>
    </row>
    <row r="932">
      <c r="A932" s="145" t="s">
        <v>2894</v>
      </c>
      <c r="B932" s="145" t="s">
        <v>2894</v>
      </c>
      <c r="C932" s="145" t="s">
        <v>3148</v>
      </c>
      <c r="D932" s="75" t="s">
        <v>1544</v>
      </c>
      <c r="E932" s="75" t="s">
        <v>1544</v>
      </c>
      <c r="F932" s="211" t="s">
        <v>1649</v>
      </c>
      <c r="G932" s="145" t="s">
        <v>2895</v>
      </c>
      <c r="H932" s="211" t="s">
        <v>1018</v>
      </c>
      <c r="I932" s="145" t="s">
        <v>132</v>
      </c>
      <c r="J932" s="211" t="s">
        <v>1549</v>
      </c>
      <c r="K932" s="75" t="s">
        <v>1544</v>
      </c>
      <c r="L932" s="152" t="b">
        <v>1</v>
      </c>
      <c r="M932" s="152" t="b">
        <v>0</v>
      </c>
      <c r="N932" s="212" t="s">
        <v>3755</v>
      </c>
      <c r="O932" s="213" t="s">
        <v>1554</v>
      </c>
      <c r="P932" s="47" t="b">
        <v>1</v>
      </c>
      <c r="Q932" s="47" t="b">
        <v>0</v>
      </c>
      <c r="R932" s="214"/>
      <c r="S932" s="77">
        <v>0.0</v>
      </c>
      <c r="T932" s="76" t="s">
        <v>1184</v>
      </c>
      <c r="U932" s="78">
        <v>7.5772745E7</v>
      </c>
      <c r="V932" s="78">
        <v>0.0</v>
      </c>
      <c r="W932" s="77">
        <v>7.6E7</v>
      </c>
      <c r="X932" s="77">
        <v>608000.0</v>
      </c>
      <c r="Y932" s="77">
        <v>32000.0</v>
      </c>
      <c r="Z932" s="77"/>
    </row>
    <row r="933">
      <c r="A933" s="145" t="s">
        <v>774</v>
      </c>
      <c r="B933" s="145" t="s">
        <v>3756</v>
      </c>
      <c r="C933" s="145" t="s">
        <v>3757</v>
      </c>
      <c r="D933" s="75" t="s">
        <v>1544</v>
      </c>
      <c r="E933" s="75" t="s">
        <v>1544</v>
      </c>
      <c r="F933" s="211" t="s">
        <v>1690</v>
      </c>
      <c r="G933" s="145" t="s">
        <v>2911</v>
      </c>
      <c r="H933" s="211" t="s">
        <v>586</v>
      </c>
      <c r="I933" s="145" t="s">
        <v>674</v>
      </c>
      <c r="J933" s="211" t="s">
        <v>1597</v>
      </c>
      <c r="K933" s="75" t="s">
        <v>1544</v>
      </c>
      <c r="L933" s="152" t="b">
        <v>1</v>
      </c>
      <c r="M933" s="152" t="b">
        <v>1</v>
      </c>
      <c r="N933" s="212" t="s">
        <v>3758</v>
      </c>
      <c r="O933" s="213" t="s">
        <v>1554</v>
      </c>
      <c r="P933" s="47" t="b">
        <v>1</v>
      </c>
      <c r="Q933" s="47" t="b">
        <v>0</v>
      </c>
      <c r="R933" s="214"/>
      <c r="S933" s="77">
        <v>0.0</v>
      </c>
      <c r="T933" s="76" t="s">
        <v>1184</v>
      </c>
      <c r="U933" s="78">
        <v>4.0E7</v>
      </c>
      <c r="V933" s="215"/>
      <c r="W933" s="77">
        <v>4.0E7</v>
      </c>
      <c r="X933" s="216">
        <v>280000.0</v>
      </c>
      <c r="Y933" s="77">
        <v>100000.0</v>
      </c>
      <c r="Z933" s="77"/>
    </row>
    <row r="934">
      <c r="A934" s="145" t="s">
        <v>2915</v>
      </c>
      <c r="B934" s="145" t="s">
        <v>1658</v>
      </c>
      <c r="C934" s="145" t="s">
        <v>1543</v>
      </c>
      <c r="D934" s="75" t="s">
        <v>1544</v>
      </c>
      <c r="E934" s="75" t="s">
        <v>1544</v>
      </c>
      <c r="F934" s="211" t="s">
        <v>1851</v>
      </c>
      <c r="G934" s="145" t="s">
        <v>2916</v>
      </c>
      <c r="H934" s="211" t="s">
        <v>1018</v>
      </c>
      <c r="I934" s="145" t="s">
        <v>92</v>
      </c>
      <c r="J934" s="211" t="s">
        <v>1639</v>
      </c>
      <c r="K934" s="75" t="s">
        <v>1544</v>
      </c>
      <c r="L934" s="152" t="b">
        <v>1</v>
      </c>
      <c r="M934" s="152" t="b">
        <v>0</v>
      </c>
      <c r="N934" s="212" t="s">
        <v>3759</v>
      </c>
      <c r="O934" s="213" t="s">
        <v>1554</v>
      </c>
      <c r="P934" s="47" t="b">
        <v>1</v>
      </c>
      <c r="Q934" s="47" t="b">
        <v>0</v>
      </c>
      <c r="R934" s="214"/>
      <c r="S934" s="77">
        <v>0.0</v>
      </c>
      <c r="T934" s="76" t="s">
        <v>1176</v>
      </c>
      <c r="U934" s="78">
        <v>1.2709642E7</v>
      </c>
      <c r="V934" s="215"/>
      <c r="W934" s="77">
        <v>1.2E7</v>
      </c>
      <c r="X934" s="216">
        <v>96000.0</v>
      </c>
      <c r="Y934" s="77">
        <v>48000.0</v>
      </c>
      <c r="Z934" s="77"/>
    </row>
    <row r="935">
      <c r="A935" s="145" t="s">
        <v>2860</v>
      </c>
      <c r="B935" s="145" t="s">
        <v>1636</v>
      </c>
      <c r="C935" s="145" t="s">
        <v>1543</v>
      </c>
      <c r="D935" s="75" t="s">
        <v>1544</v>
      </c>
      <c r="E935" s="75" t="s">
        <v>1544</v>
      </c>
      <c r="F935" s="211" t="s">
        <v>1547</v>
      </c>
      <c r="G935" s="145" t="s">
        <v>2862</v>
      </c>
      <c r="H935" s="211" t="s">
        <v>77</v>
      </c>
      <c r="I935" s="145" t="s">
        <v>413</v>
      </c>
      <c r="J935" s="211" t="s">
        <v>1549</v>
      </c>
      <c r="K935" s="75" t="s">
        <v>1544</v>
      </c>
      <c r="L935" s="152" t="b">
        <v>1</v>
      </c>
      <c r="M935" s="152" t="b">
        <v>0</v>
      </c>
      <c r="N935" s="212" t="s">
        <v>3760</v>
      </c>
      <c r="O935" s="213" t="s">
        <v>1554</v>
      </c>
      <c r="P935" s="47" t="b">
        <v>1</v>
      </c>
      <c r="Q935" s="47" t="b">
        <v>0</v>
      </c>
      <c r="R935" s="214"/>
      <c r="S935" s="77">
        <v>0.0</v>
      </c>
      <c r="T935" s="76" t="s">
        <v>1172</v>
      </c>
      <c r="U935" s="78">
        <v>1.0318183E7</v>
      </c>
      <c r="V935" s="215"/>
      <c r="W935" s="77">
        <v>1.0E7</v>
      </c>
      <c r="X935" s="77">
        <v>100000.0</v>
      </c>
      <c r="Y935" s="77">
        <v>40000.0</v>
      </c>
      <c r="Z935" s="77"/>
    </row>
    <row r="936">
      <c r="A936" s="145" t="s">
        <v>2873</v>
      </c>
      <c r="B936" s="145" t="s">
        <v>3430</v>
      </c>
      <c r="C936" s="145" t="s">
        <v>1543</v>
      </c>
      <c r="D936" s="75" t="s">
        <v>1544</v>
      </c>
      <c r="E936" s="75" t="s">
        <v>1544</v>
      </c>
      <c r="F936" s="211" t="s">
        <v>1575</v>
      </c>
      <c r="G936" s="145" t="s">
        <v>2874</v>
      </c>
      <c r="H936" s="211" t="s">
        <v>77</v>
      </c>
      <c r="I936" s="145" t="s">
        <v>252</v>
      </c>
      <c r="J936" s="211" t="s">
        <v>1577</v>
      </c>
      <c r="K936" s="75" t="s">
        <v>1544</v>
      </c>
      <c r="L936" s="152" t="b">
        <v>1</v>
      </c>
      <c r="M936" s="152" t="b">
        <v>0</v>
      </c>
      <c r="N936" s="212" t="s">
        <v>3761</v>
      </c>
      <c r="O936" s="213" t="s">
        <v>1554</v>
      </c>
      <c r="P936" s="47" t="b">
        <v>1</v>
      </c>
      <c r="Q936" s="47" t="b">
        <v>0</v>
      </c>
      <c r="R936" s="214"/>
      <c r="S936" s="77">
        <v>0.0</v>
      </c>
      <c r="T936" s="76" t="s">
        <v>1176</v>
      </c>
      <c r="U936" s="78">
        <v>4540665.0</v>
      </c>
      <c r="V936" s="215"/>
      <c r="W936" s="216">
        <v>4000000.0</v>
      </c>
      <c r="X936" s="216">
        <v>40000.0</v>
      </c>
      <c r="Y936" s="77">
        <v>20000.0</v>
      </c>
      <c r="Z936" s="77"/>
    </row>
    <row r="937">
      <c r="A937" s="145" t="s">
        <v>1073</v>
      </c>
      <c r="B937" s="145" t="s">
        <v>3762</v>
      </c>
      <c r="C937" s="145" t="s">
        <v>3763</v>
      </c>
      <c r="D937" s="75" t="s">
        <v>1544</v>
      </c>
      <c r="E937" s="75" t="s">
        <v>1544</v>
      </c>
      <c r="F937" s="211" t="s">
        <v>3472</v>
      </c>
      <c r="G937" s="145" t="s">
        <v>1074</v>
      </c>
      <c r="H937" s="211" t="s">
        <v>87</v>
      </c>
      <c r="I937" s="145" t="s">
        <v>267</v>
      </c>
      <c r="J937" s="211" t="s">
        <v>3473</v>
      </c>
      <c r="K937" s="75" t="s">
        <v>1544</v>
      </c>
      <c r="L937" s="152" t="b">
        <v>1</v>
      </c>
      <c r="M937" s="152" t="b">
        <v>1</v>
      </c>
      <c r="N937" s="217"/>
      <c r="O937" s="213" t="s">
        <v>1554</v>
      </c>
      <c r="P937" s="47" t="b">
        <v>0</v>
      </c>
      <c r="Q937" s="47" t="b">
        <v>0</v>
      </c>
      <c r="R937" s="214"/>
      <c r="S937" s="77">
        <v>0.0</v>
      </c>
      <c r="T937" s="76" t="s">
        <v>1179</v>
      </c>
      <c r="U937" s="215"/>
      <c r="V937" s="215"/>
      <c r="W937" s="218"/>
      <c r="X937" s="218"/>
      <c r="Y937" s="77">
        <v>1.5E7</v>
      </c>
      <c r="Z937" s="77"/>
    </row>
    <row r="938">
      <c r="A938" s="145" t="s">
        <v>3762</v>
      </c>
      <c r="C938" s="145" t="s">
        <v>3763</v>
      </c>
      <c r="D938" s="75" t="s">
        <v>1601</v>
      </c>
      <c r="E938" s="75" t="s">
        <v>1544</v>
      </c>
      <c r="F938" s="211" t="s">
        <v>3764</v>
      </c>
      <c r="G938" s="145" t="s">
        <v>3765</v>
      </c>
      <c r="H938" s="211" t="s">
        <v>87</v>
      </c>
      <c r="I938" s="145" t="s">
        <v>2913</v>
      </c>
      <c r="J938" s="211" t="s">
        <v>3162</v>
      </c>
      <c r="K938" s="75" t="s">
        <v>1544</v>
      </c>
      <c r="L938" s="152" t="b">
        <v>1</v>
      </c>
      <c r="M938" s="152" t="b">
        <v>1</v>
      </c>
      <c r="N938" s="217"/>
      <c r="O938" s="213" t="s">
        <v>1554</v>
      </c>
      <c r="P938" s="47" t="b">
        <v>0</v>
      </c>
      <c r="Q938" s="47" t="b">
        <v>0</v>
      </c>
      <c r="R938" s="214"/>
      <c r="S938" s="77">
        <v>0.0</v>
      </c>
      <c r="T938" s="214"/>
      <c r="U938" s="215"/>
      <c r="V938" s="215"/>
      <c r="W938" s="218"/>
      <c r="X938" s="218"/>
      <c r="Y938" s="216">
        <v>5.0E7</v>
      </c>
      <c r="Z938" s="77"/>
    </row>
    <row r="939">
      <c r="A939" s="145" t="s">
        <v>207</v>
      </c>
      <c r="B939" s="145" t="s">
        <v>2366</v>
      </c>
      <c r="C939" s="145" t="s">
        <v>2288</v>
      </c>
      <c r="D939" s="75" t="s">
        <v>1544</v>
      </c>
      <c r="E939" s="75" t="s">
        <v>1544</v>
      </c>
      <c r="F939" s="211" t="s">
        <v>1596</v>
      </c>
      <c r="G939" s="145" t="s">
        <v>2868</v>
      </c>
      <c r="H939" s="211" t="s">
        <v>907</v>
      </c>
      <c r="I939" s="145" t="s">
        <v>54</v>
      </c>
      <c r="J939" s="211" t="s">
        <v>1597</v>
      </c>
      <c r="K939" s="75" t="s">
        <v>1544</v>
      </c>
      <c r="L939" s="152" t="b">
        <v>1</v>
      </c>
      <c r="M939" s="152" t="b">
        <v>0</v>
      </c>
      <c r="N939" s="217"/>
      <c r="O939" s="213" t="s">
        <v>1554</v>
      </c>
      <c r="P939" s="47" t="b">
        <v>1</v>
      </c>
      <c r="Q939" s="47" t="b">
        <v>0</v>
      </c>
      <c r="R939" s="214"/>
      <c r="S939" s="77">
        <v>0.0</v>
      </c>
      <c r="T939" s="76" t="s">
        <v>1190</v>
      </c>
      <c r="U939" s="78">
        <v>1.2430001E7</v>
      </c>
      <c r="V939" s="215"/>
      <c r="W939" s="77">
        <v>1.2E7</v>
      </c>
      <c r="X939" s="77">
        <v>120000.0</v>
      </c>
      <c r="Y939" s="77">
        <v>3000000.0</v>
      </c>
      <c r="Z939" s="77"/>
    </row>
    <row r="940">
      <c r="A940" s="145" t="s">
        <v>996</v>
      </c>
      <c r="B940" s="145" t="s">
        <v>996</v>
      </c>
      <c r="C940" s="145" t="s">
        <v>3148</v>
      </c>
      <c r="D940" s="75" t="s">
        <v>1544</v>
      </c>
      <c r="E940" s="75" t="s">
        <v>1544</v>
      </c>
      <c r="F940" s="211" t="s">
        <v>1645</v>
      </c>
      <c r="G940" s="145" t="s">
        <v>997</v>
      </c>
      <c r="H940" s="211" t="s">
        <v>87</v>
      </c>
      <c r="I940" s="145" t="s">
        <v>267</v>
      </c>
      <c r="J940" s="211" t="s">
        <v>1597</v>
      </c>
      <c r="K940" s="75" t="s">
        <v>1544</v>
      </c>
      <c r="L940" s="152" t="b">
        <v>1</v>
      </c>
      <c r="M940" s="152" t="b">
        <v>0</v>
      </c>
      <c r="N940" s="212" t="s">
        <v>3767</v>
      </c>
      <c r="O940" s="213" t="s">
        <v>1554</v>
      </c>
      <c r="P940" s="47" t="b">
        <v>0</v>
      </c>
      <c r="Q940" s="47" t="b">
        <v>0</v>
      </c>
      <c r="R940" s="214"/>
      <c r="S940" s="77">
        <v>0.0</v>
      </c>
      <c r="T940" s="76" t="s">
        <v>1184</v>
      </c>
      <c r="U940" s="215"/>
      <c r="V940" s="215"/>
      <c r="W940" s="214"/>
      <c r="X940" s="214"/>
      <c r="Y940" s="77">
        <v>80000.0</v>
      </c>
      <c r="Z940" s="77"/>
    </row>
    <row r="941">
      <c r="A941" s="145" t="s">
        <v>2905</v>
      </c>
      <c r="B941" s="145" t="s">
        <v>2905</v>
      </c>
      <c r="C941" s="145" t="s">
        <v>3148</v>
      </c>
      <c r="D941" s="75" t="s">
        <v>1544</v>
      </c>
      <c r="E941" s="75" t="s">
        <v>1544</v>
      </c>
      <c r="F941" s="211" t="s">
        <v>1649</v>
      </c>
      <c r="G941" s="145" t="s">
        <v>2906</v>
      </c>
      <c r="H941" s="211" t="s">
        <v>1018</v>
      </c>
      <c r="I941" s="145" t="s">
        <v>132</v>
      </c>
      <c r="J941" s="211" t="s">
        <v>1549</v>
      </c>
      <c r="K941" s="75" t="s">
        <v>1544</v>
      </c>
      <c r="L941" s="152" t="b">
        <v>1</v>
      </c>
      <c r="M941" s="152" t="b">
        <v>0</v>
      </c>
      <c r="N941" s="212" t="s">
        <v>3768</v>
      </c>
      <c r="O941" s="213" t="s">
        <v>1554</v>
      </c>
      <c r="P941" s="47" t="b">
        <v>1</v>
      </c>
      <c r="Q941" s="47" t="b">
        <v>0</v>
      </c>
      <c r="R941" s="214"/>
      <c r="S941" s="77">
        <v>0.0</v>
      </c>
      <c r="T941" s="76" t="s">
        <v>1184</v>
      </c>
      <c r="U941" s="78">
        <v>1.0E7</v>
      </c>
      <c r="V941" s="78">
        <v>0.0</v>
      </c>
      <c r="W941" s="77">
        <v>1.0E7</v>
      </c>
      <c r="X941" s="77">
        <v>80000.0</v>
      </c>
      <c r="Y941" s="77">
        <v>32000.0</v>
      </c>
      <c r="Z941" s="77"/>
    </row>
    <row r="942">
      <c r="A942" s="145" t="s">
        <v>2875</v>
      </c>
      <c r="B942" s="145" t="s">
        <v>3430</v>
      </c>
      <c r="C942" s="145" t="s">
        <v>1543</v>
      </c>
      <c r="D942" s="75" t="s">
        <v>1544</v>
      </c>
      <c r="E942" s="75" t="s">
        <v>1544</v>
      </c>
      <c r="F942" s="211" t="s">
        <v>1547</v>
      </c>
      <c r="G942" s="145" t="s">
        <v>2876</v>
      </c>
      <c r="H942" s="211" t="s">
        <v>77</v>
      </c>
      <c r="I942" s="145" t="s">
        <v>252</v>
      </c>
      <c r="J942" s="211" t="s">
        <v>1549</v>
      </c>
      <c r="K942" s="75" t="s">
        <v>1544</v>
      </c>
      <c r="L942" s="152" t="b">
        <v>1</v>
      </c>
      <c r="M942" s="152" t="b">
        <v>0</v>
      </c>
      <c r="N942" s="212" t="s">
        <v>3769</v>
      </c>
      <c r="O942" s="213" t="s">
        <v>1554</v>
      </c>
      <c r="P942" s="47" t="b">
        <v>1</v>
      </c>
      <c r="Q942" s="47" t="b">
        <v>0</v>
      </c>
      <c r="R942" s="214"/>
      <c r="S942" s="77">
        <v>0.0</v>
      </c>
      <c r="T942" s="76" t="s">
        <v>1179</v>
      </c>
      <c r="U942" s="78">
        <v>1.0010799E7</v>
      </c>
      <c r="V942" s="215"/>
      <c r="W942" s="77">
        <v>1.0E7</v>
      </c>
      <c r="X942" s="77">
        <v>100000.0</v>
      </c>
      <c r="Y942" s="77">
        <v>40000.0</v>
      </c>
      <c r="Z942" s="77"/>
    </row>
    <row r="943">
      <c r="A943" s="145" t="s">
        <v>2880</v>
      </c>
      <c r="B943" s="145" t="s">
        <v>3430</v>
      </c>
      <c r="C943" s="145" t="s">
        <v>1543</v>
      </c>
      <c r="D943" s="75" t="s">
        <v>1544</v>
      </c>
      <c r="E943" s="75" t="s">
        <v>1544</v>
      </c>
      <c r="F943" s="211" t="s">
        <v>1575</v>
      </c>
      <c r="G943" s="145" t="s">
        <v>2881</v>
      </c>
      <c r="H943" s="211" t="s">
        <v>77</v>
      </c>
      <c r="I943" s="145" t="s">
        <v>252</v>
      </c>
      <c r="J943" s="211" t="s">
        <v>1577</v>
      </c>
      <c r="K943" s="75" t="s">
        <v>1544</v>
      </c>
      <c r="L943" s="152" t="b">
        <v>1</v>
      </c>
      <c r="M943" s="152" t="b">
        <v>0</v>
      </c>
      <c r="N943" s="212" t="s">
        <v>3770</v>
      </c>
      <c r="O943" s="213" t="s">
        <v>1554</v>
      </c>
      <c r="P943" s="47" t="b">
        <v>1</v>
      </c>
      <c r="Q943" s="47" t="b">
        <v>0</v>
      </c>
      <c r="R943" s="214"/>
      <c r="S943" s="77">
        <v>0.0</v>
      </c>
      <c r="T943" s="76" t="s">
        <v>1176</v>
      </c>
      <c r="U943" s="78">
        <v>4727453.0</v>
      </c>
      <c r="V943" s="215"/>
      <c r="W943" s="77">
        <v>4000000.0</v>
      </c>
      <c r="X943" s="77">
        <v>40000.0</v>
      </c>
      <c r="Y943" s="77">
        <v>20000.0</v>
      </c>
      <c r="Z943" s="77"/>
    </row>
    <row r="944">
      <c r="A944" s="145" t="s">
        <v>2903</v>
      </c>
      <c r="B944" s="145" t="s">
        <v>1647</v>
      </c>
      <c r="C944" s="145" t="s">
        <v>1543</v>
      </c>
      <c r="D944" s="75" t="s">
        <v>1544</v>
      </c>
      <c r="E944" s="75" t="s">
        <v>1544</v>
      </c>
      <c r="F944" s="211" t="s">
        <v>1649</v>
      </c>
      <c r="G944" s="145" t="s">
        <v>2904</v>
      </c>
      <c r="H944" s="211" t="s">
        <v>1018</v>
      </c>
      <c r="I944" s="145" t="s">
        <v>132</v>
      </c>
      <c r="J944" s="211" t="s">
        <v>1549</v>
      </c>
      <c r="K944" s="75" t="s">
        <v>1544</v>
      </c>
      <c r="L944" s="152" t="b">
        <v>1</v>
      </c>
      <c r="M944" s="152" t="b">
        <v>0</v>
      </c>
      <c r="N944" s="212" t="s">
        <v>3771</v>
      </c>
      <c r="O944" s="213" t="s">
        <v>1554</v>
      </c>
      <c r="P944" s="47" t="b">
        <v>1</v>
      </c>
      <c r="Q944" s="47" t="b">
        <v>0</v>
      </c>
      <c r="R944" s="214"/>
      <c r="S944" s="77">
        <v>0.0</v>
      </c>
      <c r="T944" s="76" t="s">
        <v>1179</v>
      </c>
      <c r="U944" s="78">
        <v>1.2001367E7</v>
      </c>
      <c r="V944" s="215"/>
      <c r="W944" s="77">
        <v>1.2E7</v>
      </c>
      <c r="X944" s="77">
        <v>96000.0</v>
      </c>
      <c r="Y944" s="77">
        <v>32000.0</v>
      </c>
      <c r="Z944" s="77"/>
    </row>
    <row r="945">
      <c r="A945" s="145" t="s">
        <v>1000</v>
      </c>
      <c r="B945" s="145" t="s">
        <v>1000</v>
      </c>
      <c r="C945" s="145" t="s">
        <v>3148</v>
      </c>
      <c r="D945" s="75" t="s">
        <v>1544</v>
      </c>
      <c r="E945" s="75" t="s">
        <v>1544</v>
      </c>
      <c r="F945" s="211" t="s">
        <v>1602</v>
      </c>
      <c r="G945" s="145" t="s">
        <v>1001</v>
      </c>
      <c r="H945" s="211" t="s">
        <v>87</v>
      </c>
      <c r="I945" s="145" t="s">
        <v>267</v>
      </c>
      <c r="J945" s="211" t="s">
        <v>1603</v>
      </c>
      <c r="K945" s="75" t="s">
        <v>1544</v>
      </c>
      <c r="L945" s="152" t="b">
        <v>1</v>
      </c>
      <c r="M945" s="152" t="b">
        <v>0</v>
      </c>
      <c r="N945" s="212" t="s">
        <v>3772</v>
      </c>
      <c r="O945" s="213" t="s">
        <v>1554</v>
      </c>
      <c r="P945" s="47" t="b">
        <v>0</v>
      </c>
      <c r="Q945" s="47" t="b">
        <v>0</v>
      </c>
      <c r="R945" s="214"/>
      <c r="S945" s="77">
        <v>0.0</v>
      </c>
      <c r="T945" s="76" t="s">
        <v>1184</v>
      </c>
      <c r="U945" s="215"/>
      <c r="V945" s="215"/>
      <c r="W945" s="218"/>
      <c r="X945" s="218"/>
      <c r="Y945" s="77">
        <v>1.0</v>
      </c>
      <c r="Z945" s="77"/>
    </row>
    <row r="946">
      <c r="A946" s="145" t="s">
        <v>2882</v>
      </c>
      <c r="B946" s="145" t="s">
        <v>3773</v>
      </c>
      <c r="C946" s="145" t="s">
        <v>3757</v>
      </c>
      <c r="D946" s="75" t="s">
        <v>1544</v>
      </c>
      <c r="E946" s="75" t="s">
        <v>1544</v>
      </c>
      <c r="F946" s="211" t="s">
        <v>1547</v>
      </c>
      <c r="G946" s="145" t="s">
        <v>3774</v>
      </c>
      <c r="H946" s="211" t="s">
        <v>77</v>
      </c>
      <c r="I946" s="145" t="s">
        <v>252</v>
      </c>
      <c r="J946" s="211" t="s">
        <v>1549</v>
      </c>
      <c r="K946" s="75" t="s">
        <v>1544</v>
      </c>
      <c r="L946" s="152" t="b">
        <v>1</v>
      </c>
      <c r="M946" s="152" t="b">
        <v>1</v>
      </c>
      <c r="N946" s="212" t="s">
        <v>3775</v>
      </c>
      <c r="O946" s="213" t="s">
        <v>1554</v>
      </c>
      <c r="P946" s="47" t="b">
        <v>1</v>
      </c>
      <c r="Q946" s="47" t="b">
        <v>0</v>
      </c>
      <c r="R946" s="214"/>
      <c r="S946" s="77">
        <v>0.0</v>
      </c>
      <c r="T946" s="76" t="s">
        <v>1184</v>
      </c>
      <c r="U946" s="78">
        <v>1.0E7</v>
      </c>
      <c r="V946" s="215"/>
      <c r="W946" s="216">
        <v>1.0E7</v>
      </c>
      <c r="X946" s="216">
        <v>100000.0</v>
      </c>
      <c r="Y946" s="77">
        <v>40000.0</v>
      </c>
      <c r="Z946" s="77"/>
    </row>
    <row r="947">
      <c r="A947" s="145" t="s">
        <v>2900</v>
      </c>
      <c r="B947" s="145" t="s">
        <v>3776</v>
      </c>
      <c r="C947" s="145" t="s">
        <v>3757</v>
      </c>
      <c r="D947" s="75" t="s">
        <v>1544</v>
      </c>
      <c r="E947" s="75" t="s">
        <v>1544</v>
      </c>
      <c r="F947" s="211" t="s">
        <v>1649</v>
      </c>
      <c r="G947" s="145" t="s">
        <v>3777</v>
      </c>
      <c r="H947" s="211" t="s">
        <v>1018</v>
      </c>
      <c r="I947" s="145" t="s">
        <v>132</v>
      </c>
      <c r="J947" s="211" t="s">
        <v>1549</v>
      </c>
      <c r="K947" s="75" t="s">
        <v>1544</v>
      </c>
      <c r="L947" s="152" t="b">
        <v>1</v>
      </c>
      <c r="M947" s="152" t="b">
        <v>1</v>
      </c>
      <c r="N947" s="212" t="s">
        <v>3778</v>
      </c>
      <c r="O947" s="213" t="s">
        <v>1554</v>
      </c>
      <c r="P947" s="47" t="b">
        <v>1</v>
      </c>
      <c r="Q947" s="47" t="b">
        <v>0</v>
      </c>
      <c r="R947" s="214"/>
      <c r="S947" s="77">
        <v>0.0</v>
      </c>
      <c r="T947" s="76" t="s">
        <v>1184</v>
      </c>
      <c r="U947" s="78">
        <v>1.0E7</v>
      </c>
      <c r="V947" s="215"/>
      <c r="W947" s="77">
        <v>1.0E7</v>
      </c>
      <c r="X947" s="216">
        <v>80000.0</v>
      </c>
      <c r="Y947" s="77">
        <v>32000.0</v>
      </c>
      <c r="Z947" s="77"/>
    </row>
    <row r="948">
      <c r="A948" s="145" t="s">
        <v>778</v>
      </c>
      <c r="B948" s="145" t="s">
        <v>778</v>
      </c>
      <c r="C948" s="145" t="s">
        <v>2993</v>
      </c>
      <c r="D948" s="75" t="s">
        <v>1544</v>
      </c>
      <c r="E948" s="75" t="s">
        <v>1544</v>
      </c>
      <c r="F948" s="211" t="s">
        <v>1690</v>
      </c>
      <c r="G948" s="145" t="s">
        <v>3780</v>
      </c>
      <c r="H948" s="211" t="s">
        <v>586</v>
      </c>
      <c r="I948" s="145" t="s">
        <v>674</v>
      </c>
      <c r="J948" s="211" t="s">
        <v>1597</v>
      </c>
      <c r="K948" s="75" t="s">
        <v>1544</v>
      </c>
      <c r="L948" s="152" t="b">
        <v>1</v>
      </c>
      <c r="M948" s="152" t="b">
        <v>1</v>
      </c>
      <c r="N948" s="212" t="s">
        <v>3781</v>
      </c>
      <c r="O948" s="213" t="s">
        <v>1554</v>
      </c>
      <c r="P948" s="47" t="b">
        <v>1</v>
      </c>
      <c r="Q948" s="47" t="b">
        <v>0</v>
      </c>
      <c r="R948" s="76" t="s">
        <v>3782</v>
      </c>
      <c r="S948" s="77">
        <v>0.0</v>
      </c>
      <c r="T948" s="76" t="s">
        <v>1179</v>
      </c>
      <c r="U948" s="78">
        <v>2.0E7</v>
      </c>
      <c r="V948" s="215"/>
      <c r="W948" s="77">
        <v>2.0E7</v>
      </c>
      <c r="X948" s="77">
        <v>140000.0</v>
      </c>
      <c r="Y948" s="77">
        <v>100000.0</v>
      </c>
      <c r="Z948" s="77"/>
    </row>
    <row r="949">
      <c r="A949" s="145" t="s">
        <v>242</v>
      </c>
      <c r="B949" s="145" t="s">
        <v>242</v>
      </c>
      <c r="C949" s="145" t="s">
        <v>2993</v>
      </c>
      <c r="D949" s="75" t="s">
        <v>1544</v>
      </c>
      <c r="E949" s="75" t="s">
        <v>1544</v>
      </c>
      <c r="F949" s="211" t="s">
        <v>1649</v>
      </c>
      <c r="G949" s="145" t="s">
        <v>3783</v>
      </c>
      <c r="H949" s="211" t="s">
        <v>1018</v>
      </c>
      <c r="I949" s="145" t="s">
        <v>66</v>
      </c>
      <c r="J949" s="211" t="s">
        <v>1549</v>
      </c>
      <c r="K949" s="75" t="s">
        <v>1544</v>
      </c>
      <c r="L949" s="152" t="b">
        <v>1</v>
      </c>
      <c r="M949" s="152" t="b">
        <v>1</v>
      </c>
      <c r="N949" s="212" t="s">
        <v>3784</v>
      </c>
      <c r="O949" s="213" t="s">
        <v>1554</v>
      </c>
      <c r="P949" s="47" t="b">
        <v>1</v>
      </c>
      <c r="Q949" s="47" t="b">
        <v>0</v>
      </c>
      <c r="R949" s="76" t="s">
        <v>3782</v>
      </c>
      <c r="S949" s="77">
        <v>0.0</v>
      </c>
      <c r="T949" s="76" t="s">
        <v>1179</v>
      </c>
      <c r="U949" s="78">
        <v>1.0E7</v>
      </c>
      <c r="V949" s="215"/>
      <c r="W949" s="77">
        <v>1.0E7</v>
      </c>
      <c r="X949" s="77">
        <v>80000.0</v>
      </c>
      <c r="Y949" s="77">
        <v>32000.0</v>
      </c>
      <c r="Z949" s="77"/>
    </row>
    <row r="950">
      <c r="A950" s="145" t="s">
        <v>2918</v>
      </c>
      <c r="B950" s="145" t="s">
        <v>2918</v>
      </c>
      <c r="C950" s="145" t="s">
        <v>3148</v>
      </c>
      <c r="D950" s="75" t="s">
        <v>1544</v>
      </c>
      <c r="E950" s="75" t="s">
        <v>1544</v>
      </c>
      <c r="F950" s="211" t="s">
        <v>1547</v>
      </c>
      <c r="G950" s="145" t="s">
        <v>3785</v>
      </c>
      <c r="H950" s="211" t="s">
        <v>77</v>
      </c>
      <c r="I950" s="145" t="s">
        <v>252</v>
      </c>
      <c r="J950" s="211" t="s">
        <v>1549</v>
      </c>
      <c r="K950" s="75" t="s">
        <v>1544</v>
      </c>
      <c r="L950" s="152" t="b">
        <v>1</v>
      </c>
      <c r="M950" s="152" t="b">
        <v>0</v>
      </c>
      <c r="N950" s="212" t="s">
        <v>3786</v>
      </c>
      <c r="O950" s="213" t="s">
        <v>1554</v>
      </c>
      <c r="P950" s="47" t="b">
        <v>1</v>
      </c>
      <c r="Q950" s="47" t="b">
        <v>0</v>
      </c>
      <c r="R950" s="214"/>
      <c r="S950" s="77">
        <v>0.0</v>
      </c>
      <c r="T950" s="76" t="s">
        <v>1184</v>
      </c>
      <c r="U950" s="78">
        <v>9999999.0</v>
      </c>
      <c r="V950" s="78">
        <v>0.0</v>
      </c>
      <c r="W950" s="77">
        <v>1.0E7</v>
      </c>
      <c r="X950" s="77">
        <v>100000.0</v>
      </c>
      <c r="Y950" s="77">
        <v>40000.0</v>
      </c>
      <c r="Z950" s="77"/>
    </row>
    <row r="951">
      <c r="A951" s="145" t="s">
        <v>2921</v>
      </c>
      <c r="B951" s="145" t="s">
        <v>2921</v>
      </c>
      <c r="C951" s="145" t="s">
        <v>3148</v>
      </c>
      <c r="D951" s="75" t="s">
        <v>1544</v>
      </c>
      <c r="E951" s="75" t="s">
        <v>1544</v>
      </c>
      <c r="F951" s="211" t="s">
        <v>1649</v>
      </c>
      <c r="G951" s="145" t="s">
        <v>3787</v>
      </c>
      <c r="H951" s="211" t="s">
        <v>1018</v>
      </c>
      <c r="I951" s="145" t="s">
        <v>132</v>
      </c>
      <c r="J951" s="211" t="s">
        <v>1549</v>
      </c>
      <c r="K951" s="75" t="s">
        <v>1544</v>
      </c>
      <c r="L951" s="152" t="b">
        <v>1</v>
      </c>
      <c r="M951" s="152" t="b">
        <v>0</v>
      </c>
      <c r="N951" s="212" t="s">
        <v>3788</v>
      </c>
      <c r="O951" s="213" t="s">
        <v>1554</v>
      </c>
      <c r="P951" s="47" t="b">
        <v>1</v>
      </c>
      <c r="Q951" s="47" t="b">
        <v>0</v>
      </c>
      <c r="R951" s="214"/>
      <c r="S951" s="77">
        <v>0.0</v>
      </c>
      <c r="T951" s="76" t="s">
        <v>1184</v>
      </c>
      <c r="U951" s="78">
        <v>1.3490772E7</v>
      </c>
      <c r="V951" s="78">
        <v>0.0</v>
      </c>
      <c r="W951" s="77">
        <v>1.4E7</v>
      </c>
      <c r="X951" s="77">
        <v>112000.0</v>
      </c>
      <c r="Y951" s="77">
        <v>32000.0</v>
      </c>
      <c r="Z951" s="77"/>
    </row>
    <row r="952">
      <c r="A952" s="145" t="s">
        <v>2924</v>
      </c>
      <c r="B952" s="145" t="s">
        <v>1647</v>
      </c>
      <c r="C952" s="145" t="s">
        <v>1543</v>
      </c>
      <c r="D952" s="75" t="s">
        <v>1544</v>
      </c>
      <c r="E952" s="75" t="s">
        <v>1544</v>
      </c>
      <c r="F952" s="211" t="s">
        <v>1649</v>
      </c>
      <c r="G952" s="145" t="s">
        <v>180</v>
      </c>
      <c r="H952" s="211" t="s">
        <v>1018</v>
      </c>
      <c r="I952" s="145" t="s">
        <v>132</v>
      </c>
      <c r="J952" s="211" t="s">
        <v>1549</v>
      </c>
      <c r="K952" s="75" t="s">
        <v>1544</v>
      </c>
      <c r="L952" s="152" t="b">
        <v>1</v>
      </c>
      <c r="M952" s="152" t="b">
        <v>0</v>
      </c>
      <c r="N952" s="212" t="s">
        <v>3789</v>
      </c>
      <c r="O952" s="213" t="s">
        <v>1554</v>
      </c>
      <c r="P952" s="47" t="b">
        <v>1</v>
      </c>
      <c r="Q952" s="47" t="b">
        <v>0</v>
      </c>
      <c r="R952" s="214"/>
      <c r="S952" s="77">
        <v>0.0</v>
      </c>
      <c r="T952" s="76" t="s">
        <v>1179</v>
      </c>
      <c r="U952" s="78">
        <v>1.1455129E7</v>
      </c>
      <c r="V952" s="215"/>
      <c r="W952" s="77">
        <v>1.2E7</v>
      </c>
      <c r="X952" s="77">
        <v>96000.0</v>
      </c>
      <c r="Y952" s="77">
        <v>32000.0</v>
      </c>
      <c r="Z952" s="77"/>
    </row>
    <row r="953">
      <c r="A953" s="145" t="s">
        <v>2926</v>
      </c>
      <c r="B953" s="145" t="s">
        <v>1658</v>
      </c>
      <c r="C953" s="145" t="s">
        <v>1543</v>
      </c>
      <c r="D953" s="75" t="s">
        <v>1544</v>
      </c>
      <c r="E953" s="75" t="s">
        <v>1544</v>
      </c>
      <c r="F953" s="211" t="s">
        <v>1649</v>
      </c>
      <c r="G953" s="145" t="s">
        <v>2928</v>
      </c>
      <c r="H953" s="211" t="s">
        <v>1018</v>
      </c>
      <c r="I953" s="145" t="s">
        <v>92</v>
      </c>
      <c r="J953" s="211" t="s">
        <v>1549</v>
      </c>
      <c r="K953" s="75" t="s">
        <v>1544</v>
      </c>
      <c r="L953" s="152" t="b">
        <v>1</v>
      </c>
      <c r="M953" s="152" t="b">
        <v>0</v>
      </c>
      <c r="N953" s="212" t="s">
        <v>3790</v>
      </c>
      <c r="O953" s="213" t="s">
        <v>1554</v>
      </c>
      <c r="P953" s="47" t="b">
        <v>1</v>
      </c>
      <c r="Q953" s="47" t="b">
        <v>0</v>
      </c>
      <c r="R953" s="214"/>
      <c r="S953" s="77">
        <v>0.0</v>
      </c>
      <c r="T953" s="76" t="s">
        <v>1172</v>
      </c>
      <c r="U953" s="78">
        <v>1.1580588E7</v>
      </c>
      <c r="V953" s="215"/>
      <c r="W953" s="216">
        <v>1.2E7</v>
      </c>
      <c r="X953" s="77">
        <v>96000.0</v>
      </c>
      <c r="Y953" s="77">
        <v>32000.0</v>
      </c>
      <c r="Z953" s="77"/>
    </row>
    <row r="954">
      <c r="A954" s="145" t="s">
        <v>898</v>
      </c>
      <c r="B954" s="145" t="s">
        <v>898</v>
      </c>
      <c r="C954" s="145" t="s">
        <v>3452</v>
      </c>
      <c r="D954" s="75" t="s">
        <v>1544</v>
      </c>
      <c r="E954" s="75" t="s">
        <v>1544</v>
      </c>
      <c r="F954" s="211" t="s">
        <v>3791</v>
      </c>
      <c r="G954" s="145" t="s">
        <v>933</v>
      </c>
      <c r="H954" s="211" t="s">
        <v>586</v>
      </c>
      <c r="I954" s="145" t="s">
        <v>162</v>
      </c>
      <c r="J954" s="211" t="s">
        <v>2377</v>
      </c>
      <c r="K954" s="75" t="s">
        <v>1544</v>
      </c>
      <c r="L954" s="152" t="b">
        <v>1</v>
      </c>
      <c r="M954" s="152" t="b">
        <v>0</v>
      </c>
      <c r="N954" s="212" t="s">
        <v>3792</v>
      </c>
      <c r="O954" s="213" t="s">
        <v>1554</v>
      </c>
      <c r="P954" s="47" t="b">
        <v>1</v>
      </c>
      <c r="Q954" s="47" t="b">
        <v>0</v>
      </c>
      <c r="R954" s="214"/>
      <c r="S954" s="77">
        <v>0.0</v>
      </c>
      <c r="T954" s="76" t="s">
        <v>1161</v>
      </c>
      <c r="U954" s="78">
        <v>1.0E9</v>
      </c>
      <c r="V954" s="78">
        <v>45.0</v>
      </c>
      <c r="W954" s="216">
        <v>1.0E9</v>
      </c>
      <c r="X954" s="216">
        <v>7000000.0</v>
      </c>
      <c r="Y954" s="77">
        <v>374575.0</v>
      </c>
      <c r="Z954" s="77"/>
    </row>
    <row r="955">
      <c r="A955" s="145" t="s">
        <v>707</v>
      </c>
      <c r="B955" s="145" t="s">
        <v>707</v>
      </c>
      <c r="C955" s="145" t="s">
        <v>3452</v>
      </c>
      <c r="D955" s="75" t="s">
        <v>1544</v>
      </c>
      <c r="E955" s="75" t="s">
        <v>1544</v>
      </c>
      <c r="F955" s="211" t="s">
        <v>3141</v>
      </c>
      <c r="G955" s="145" t="s">
        <v>3793</v>
      </c>
      <c r="H955" s="211" t="s">
        <v>625</v>
      </c>
      <c r="I955" s="145" t="s">
        <v>667</v>
      </c>
      <c r="J955" s="211" t="s">
        <v>2377</v>
      </c>
      <c r="K955" s="75" t="s">
        <v>1544</v>
      </c>
      <c r="L955" s="152" t="b">
        <v>1</v>
      </c>
      <c r="M955" s="152" t="b">
        <v>0</v>
      </c>
      <c r="N955" s="212" t="s">
        <v>3794</v>
      </c>
      <c r="O955" s="213" t="s">
        <v>1554</v>
      </c>
      <c r="P955" s="47" t="b">
        <v>1</v>
      </c>
      <c r="Q955" s="47" t="b">
        <v>0</v>
      </c>
      <c r="R955" s="214"/>
      <c r="S955" s="77">
        <v>0.0</v>
      </c>
      <c r="T955" s="76" t="s">
        <v>1161</v>
      </c>
      <c r="U955" s="78">
        <v>1.0E9</v>
      </c>
      <c r="V955" s="215"/>
      <c r="W955" s="216">
        <v>1.0E9</v>
      </c>
      <c r="X955" s="216">
        <v>1.0E11</v>
      </c>
      <c r="Y955" s="77">
        <v>1.2E7</v>
      </c>
      <c r="Z955" s="77"/>
    </row>
    <row r="956">
      <c r="A956" s="145" t="s">
        <v>909</v>
      </c>
      <c r="B956" s="145" t="s">
        <v>909</v>
      </c>
      <c r="C956" s="145" t="s">
        <v>3452</v>
      </c>
      <c r="D956" s="75" t="s">
        <v>1544</v>
      </c>
      <c r="E956" s="75" t="s">
        <v>1544</v>
      </c>
      <c r="F956" s="211" t="s">
        <v>3795</v>
      </c>
      <c r="G956" s="145" t="s">
        <v>935</v>
      </c>
      <c r="H956" s="211" t="s">
        <v>586</v>
      </c>
      <c r="I956" s="145" t="s">
        <v>936</v>
      </c>
      <c r="J956" s="211" t="s">
        <v>1561</v>
      </c>
      <c r="K956" s="75" t="s">
        <v>1544</v>
      </c>
      <c r="L956" s="152" t="b">
        <v>1</v>
      </c>
      <c r="M956" s="152" t="b">
        <v>0</v>
      </c>
      <c r="N956" s="212" t="s">
        <v>3796</v>
      </c>
      <c r="O956" s="213" t="s">
        <v>1554</v>
      </c>
      <c r="P956" s="47" t="b">
        <v>1</v>
      </c>
      <c r="Q956" s="47" t="b">
        <v>0</v>
      </c>
      <c r="R956" s="214"/>
      <c r="S956" s="77">
        <v>0.0</v>
      </c>
      <c r="T956" s="76" t="s">
        <v>1161</v>
      </c>
      <c r="U956" s="78">
        <v>1.0E9</v>
      </c>
      <c r="V956" s="78">
        <v>43.0</v>
      </c>
      <c r="W956" s="216">
        <v>1.0E9</v>
      </c>
      <c r="X956" s="216">
        <v>7000000.0</v>
      </c>
      <c r="Y956" s="216">
        <v>186579.0</v>
      </c>
      <c r="Z956" s="77"/>
    </row>
    <row r="957">
      <c r="A957" s="145" t="s">
        <v>2932</v>
      </c>
      <c r="B957" s="145" t="s">
        <v>2932</v>
      </c>
      <c r="C957" s="145" t="s">
        <v>3148</v>
      </c>
      <c r="D957" s="75" t="s">
        <v>1544</v>
      </c>
      <c r="E957" s="75" t="s">
        <v>1544</v>
      </c>
      <c r="F957" s="211" t="s">
        <v>1649</v>
      </c>
      <c r="G957" s="145" t="s">
        <v>2933</v>
      </c>
      <c r="H957" s="211" t="s">
        <v>1018</v>
      </c>
      <c r="I957" s="145" t="s">
        <v>132</v>
      </c>
      <c r="J957" s="211" t="s">
        <v>1549</v>
      </c>
      <c r="K957" s="75" t="s">
        <v>1544</v>
      </c>
      <c r="L957" s="152" t="b">
        <v>1</v>
      </c>
      <c r="M957" s="152" t="b">
        <v>0</v>
      </c>
      <c r="N957" s="212" t="s">
        <v>3797</v>
      </c>
      <c r="O957" s="213" t="s">
        <v>1554</v>
      </c>
      <c r="P957" s="47" t="b">
        <v>1</v>
      </c>
      <c r="Q957" s="47" t="b">
        <v>0</v>
      </c>
      <c r="R957" s="214"/>
      <c r="S957" s="77">
        <v>0.0</v>
      </c>
      <c r="T957" s="76" t="s">
        <v>1184</v>
      </c>
      <c r="U957" s="78">
        <v>1.0E7</v>
      </c>
      <c r="V957" s="78">
        <v>0.0</v>
      </c>
      <c r="W957" s="216">
        <v>1.0E7</v>
      </c>
      <c r="X957" s="216">
        <v>80000.0</v>
      </c>
      <c r="Y957" s="77">
        <v>32000.0</v>
      </c>
      <c r="Z957" s="77"/>
    </row>
    <row r="958">
      <c r="A958" s="145" t="s">
        <v>3776</v>
      </c>
      <c r="B958" s="230"/>
      <c r="C958" s="145" t="s">
        <v>3757</v>
      </c>
      <c r="D958" s="75" t="s">
        <v>1601</v>
      </c>
      <c r="E958" s="75" t="s">
        <v>1544</v>
      </c>
      <c r="F958" s="211" t="s">
        <v>3764</v>
      </c>
      <c r="G958" s="145" t="s">
        <v>3776</v>
      </c>
      <c r="H958" s="211" t="s">
        <v>87</v>
      </c>
      <c r="I958" s="145" t="s">
        <v>2913</v>
      </c>
      <c r="J958" s="211" t="s">
        <v>3162</v>
      </c>
      <c r="K958" s="75" t="s">
        <v>1544</v>
      </c>
      <c r="L958" s="152" t="b">
        <v>1</v>
      </c>
      <c r="M958" s="152" t="b">
        <v>1</v>
      </c>
      <c r="N958" s="212" t="s">
        <v>3798</v>
      </c>
      <c r="O958" s="213" t="s">
        <v>1554</v>
      </c>
      <c r="P958" s="47" t="b">
        <v>1</v>
      </c>
      <c r="Q958" s="47" t="b">
        <v>0</v>
      </c>
      <c r="R958" s="214"/>
      <c r="S958" s="77">
        <v>0.0</v>
      </c>
      <c r="T958" s="214"/>
      <c r="U958" s="215"/>
      <c r="V958" s="215"/>
      <c r="W958" s="214"/>
      <c r="X958" s="214"/>
      <c r="Y958" s="77">
        <v>5.0E7</v>
      </c>
      <c r="Z958" s="77"/>
    </row>
    <row r="959">
      <c r="A959" s="145" t="s">
        <v>3773</v>
      </c>
      <c r="B959" s="230"/>
      <c r="C959" s="145" t="s">
        <v>3757</v>
      </c>
      <c r="D959" s="75" t="s">
        <v>1601</v>
      </c>
      <c r="E959" s="75" t="s">
        <v>1544</v>
      </c>
      <c r="F959" s="211" t="s">
        <v>3764</v>
      </c>
      <c r="G959" s="145" t="s">
        <v>3773</v>
      </c>
      <c r="H959" s="211" t="s">
        <v>87</v>
      </c>
      <c r="I959" s="145" t="s">
        <v>2913</v>
      </c>
      <c r="J959" s="211" t="s">
        <v>3162</v>
      </c>
      <c r="K959" s="75" t="s">
        <v>1544</v>
      </c>
      <c r="L959" s="152" t="b">
        <v>1</v>
      </c>
      <c r="M959" s="152" t="b">
        <v>1</v>
      </c>
      <c r="N959" s="212" t="s">
        <v>3799</v>
      </c>
      <c r="O959" s="213" t="s">
        <v>1554</v>
      </c>
      <c r="P959" s="47" t="b">
        <v>1</v>
      </c>
      <c r="Q959" s="47" t="b">
        <v>0</v>
      </c>
      <c r="R959" s="214"/>
      <c r="S959" s="77">
        <v>0.0</v>
      </c>
      <c r="T959" s="214"/>
      <c r="U959" s="215"/>
      <c r="V959" s="215"/>
      <c r="W959" s="214"/>
      <c r="X959" s="214"/>
      <c r="Y959" s="77">
        <v>5.0E7</v>
      </c>
      <c r="Z959" s="77"/>
    </row>
    <row r="960">
      <c r="A960" s="145" t="s">
        <v>1168</v>
      </c>
      <c r="B960" s="145" t="s">
        <v>230</v>
      </c>
      <c r="C960" s="145" t="s">
        <v>2288</v>
      </c>
      <c r="D960" s="75" t="s">
        <v>1544</v>
      </c>
      <c r="E960" s="75" t="s">
        <v>1544</v>
      </c>
      <c r="F960" s="211" t="s">
        <v>1547</v>
      </c>
      <c r="G960" s="145" t="s">
        <v>1169</v>
      </c>
      <c r="H960" s="211" t="s">
        <v>77</v>
      </c>
      <c r="I960" s="145" t="s">
        <v>218</v>
      </c>
      <c r="J960" s="211" t="s">
        <v>1549</v>
      </c>
      <c r="K960" s="75" t="s">
        <v>1544</v>
      </c>
      <c r="L960" s="152" t="b">
        <v>1</v>
      </c>
      <c r="M960" s="152" t="b">
        <v>0</v>
      </c>
      <c r="N960" s="217"/>
      <c r="O960" s="213" t="s">
        <v>1554</v>
      </c>
      <c r="P960" s="47" t="b">
        <v>1</v>
      </c>
      <c r="Q960" s="47" t="b">
        <v>0</v>
      </c>
      <c r="R960" s="214"/>
      <c r="S960" s="77">
        <v>0.0</v>
      </c>
      <c r="T960" s="76" t="s">
        <v>1160</v>
      </c>
      <c r="U960" s="78">
        <v>3647464.0</v>
      </c>
      <c r="V960" s="215"/>
      <c r="W960" s="77">
        <v>4000000.0</v>
      </c>
      <c r="X960" s="77">
        <v>40000.0</v>
      </c>
      <c r="Y960" s="77">
        <v>40000.0</v>
      </c>
      <c r="Z960" s="77"/>
    </row>
    <row r="961">
      <c r="A961" s="145" t="s">
        <v>3756</v>
      </c>
      <c r="B961" s="230"/>
      <c r="C961" s="145" t="s">
        <v>3757</v>
      </c>
      <c r="D961" s="75" t="s">
        <v>1601</v>
      </c>
      <c r="E961" s="75" t="s">
        <v>1544</v>
      </c>
      <c r="F961" s="211" t="s">
        <v>3764</v>
      </c>
      <c r="G961" s="145" t="s">
        <v>3800</v>
      </c>
      <c r="H961" s="211" t="s">
        <v>87</v>
      </c>
      <c r="I961" s="145" t="s">
        <v>2913</v>
      </c>
      <c r="J961" s="211" t="s">
        <v>3162</v>
      </c>
      <c r="K961" s="75" t="s">
        <v>1544</v>
      </c>
      <c r="L961" s="152" t="b">
        <v>1</v>
      </c>
      <c r="M961" s="152" t="b">
        <v>1</v>
      </c>
      <c r="N961" s="212" t="s">
        <v>3801</v>
      </c>
      <c r="O961" s="213" t="s">
        <v>1554</v>
      </c>
      <c r="P961" s="47" t="b">
        <v>1</v>
      </c>
      <c r="Q961" s="47" t="b">
        <v>0</v>
      </c>
      <c r="R961" s="214"/>
      <c r="S961" s="77">
        <v>0.0</v>
      </c>
      <c r="T961" s="214"/>
      <c r="U961" s="215"/>
      <c r="V961" s="215"/>
      <c r="W961" s="214"/>
      <c r="X961" s="214"/>
      <c r="Y961" s="77">
        <v>5.0E7</v>
      </c>
      <c r="Z961" s="77"/>
    </row>
    <row r="962">
      <c r="A962" s="145" t="s">
        <v>2937</v>
      </c>
      <c r="B962" s="145" t="s">
        <v>2937</v>
      </c>
      <c r="C962" s="145" t="s">
        <v>3148</v>
      </c>
      <c r="D962" s="75" t="s">
        <v>1544</v>
      </c>
      <c r="E962" s="75" t="s">
        <v>1544</v>
      </c>
      <c r="F962" s="211" t="s">
        <v>1547</v>
      </c>
      <c r="G962" s="145" t="s">
        <v>2938</v>
      </c>
      <c r="H962" s="211" t="s">
        <v>77</v>
      </c>
      <c r="I962" s="145" t="s">
        <v>143</v>
      </c>
      <c r="J962" s="211" t="s">
        <v>1549</v>
      </c>
      <c r="K962" s="75" t="s">
        <v>1544</v>
      </c>
      <c r="L962" s="152" t="b">
        <v>1</v>
      </c>
      <c r="M962" s="152" t="b">
        <v>0</v>
      </c>
      <c r="N962" s="212" t="s">
        <v>3802</v>
      </c>
      <c r="O962" s="213" t="s">
        <v>1554</v>
      </c>
      <c r="P962" s="47" t="b">
        <v>1</v>
      </c>
      <c r="Q962" s="47" t="b">
        <v>0</v>
      </c>
      <c r="R962" s="214"/>
      <c r="S962" s="77">
        <v>0.0</v>
      </c>
      <c r="T962" s="76" t="s">
        <v>1184</v>
      </c>
      <c r="U962" s="78">
        <v>1.5484995E7</v>
      </c>
      <c r="V962" s="78">
        <v>0.0</v>
      </c>
      <c r="W962" s="77">
        <v>1.6E7</v>
      </c>
      <c r="X962" s="77">
        <v>160000.0</v>
      </c>
      <c r="Y962" s="77">
        <v>40000.0</v>
      </c>
      <c r="Z962" s="77"/>
    </row>
    <row r="963">
      <c r="A963" s="145" t="s">
        <v>945</v>
      </c>
      <c r="B963" s="145" t="s">
        <v>945</v>
      </c>
      <c r="C963" s="145" t="s">
        <v>3803</v>
      </c>
      <c r="D963" s="75" t="s">
        <v>1544</v>
      </c>
      <c r="E963" s="75" t="s">
        <v>1544</v>
      </c>
      <c r="F963" s="211" t="s">
        <v>3804</v>
      </c>
      <c r="G963" s="145" t="s">
        <v>946</v>
      </c>
      <c r="H963" s="211" t="s">
        <v>586</v>
      </c>
      <c r="I963" s="145" t="s">
        <v>936</v>
      </c>
      <c r="J963" s="211" t="s">
        <v>1561</v>
      </c>
      <c r="K963" s="75" t="s">
        <v>1544</v>
      </c>
      <c r="L963" s="152" t="b">
        <v>1</v>
      </c>
      <c r="M963" s="152" t="b">
        <v>0</v>
      </c>
      <c r="N963" s="212" t="s">
        <v>3805</v>
      </c>
      <c r="O963" s="213" t="s">
        <v>1554</v>
      </c>
      <c r="P963" s="47" t="b">
        <v>1</v>
      </c>
      <c r="Q963" s="47" t="b">
        <v>0</v>
      </c>
      <c r="R963" s="214"/>
      <c r="S963" s="77">
        <v>0.0</v>
      </c>
      <c r="T963" s="76" t="s">
        <v>1179</v>
      </c>
      <c r="U963" s="78">
        <v>2.0E7</v>
      </c>
      <c r="V963" s="78">
        <v>32.0</v>
      </c>
      <c r="W963" s="216">
        <v>2.0E7</v>
      </c>
      <c r="X963" s="77">
        <v>140000.0</v>
      </c>
      <c r="Y963" s="77">
        <v>166863.0</v>
      </c>
      <c r="Z963" s="77"/>
    </row>
    <row r="964">
      <c r="A964" s="145" t="s">
        <v>3744</v>
      </c>
      <c r="C964" s="145" t="s">
        <v>3120</v>
      </c>
      <c r="D964" s="75" t="s">
        <v>1601</v>
      </c>
      <c r="E964" s="75" t="s">
        <v>1544</v>
      </c>
      <c r="F964" s="211" t="s">
        <v>3764</v>
      </c>
      <c r="G964" s="145" t="s">
        <v>3744</v>
      </c>
      <c r="H964" s="211" t="s">
        <v>87</v>
      </c>
      <c r="I964" s="145" t="s">
        <v>2913</v>
      </c>
      <c r="J964" s="211" t="s">
        <v>3162</v>
      </c>
      <c r="K964" s="75" t="s">
        <v>1544</v>
      </c>
      <c r="L964" s="152" t="b">
        <v>1</v>
      </c>
      <c r="M964" s="152" t="b">
        <v>1</v>
      </c>
      <c r="N964" s="212" t="s">
        <v>3806</v>
      </c>
      <c r="O964" s="213" t="s">
        <v>1554</v>
      </c>
      <c r="P964" s="47" t="b">
        <v>1</v>
      </c>
      <c r="Q964" s="47" t="b">
        <v>0</v>
      </c>
      <c r="R964" s="214"/>
      <c r="S964" s="77">
        <v>0.0</v>
      </c>
      <c r="T964" s="214"/>
      <c r="U964" s="215"/>
      <c r="V964" s="215"/>
      <c r="W964" s="218"/>
      <c r="X964" s="218"/>
      <c r="Y964" s="77">
        <v>5.0E7</v>
      </c>
      <c r="Z964" s="77"/>
    </row>
    <row r="965">
      <c r="A965" s="145" t="s">
        <v>3748</v>
      </c>
      <c r="C965" s="145" t="s">
        <v>3120</v>
      </c>
      <c r="D965" s="75" t="s">
        <v>1601</v>
      </c>
      <c r="E965" s="75" t="s">
        <v>1544</v>
      </c>
      <c r="F965" s="211" t="s">
        <v>3764</v>
      </c>
      <c r="G965" s="145" t="s">
        <v>3748</v>
      </c>
      <c r="H965" s="211" t="s">
        <v>87</v>
      </c>
      <c r="I965" s="145" t="s">
        <v>2913</v>
      </c>
      <c r="J965" s="211" t="s">
        <v>3162</v>
      </c>
      <c r="K965" s="75" t="s">
        <v>1544</v>
      </c>
      <c r="L965" s="152" t="b">
        <v>1</v>
      </c>
      <c r="M965" s="152" t="b">
        <v>1</v>
      </c>
      <c r="N965" s="212" t="s">
        <v>3807</v>
      </c>
      <c r="O965" s="213" t="s">
        <v>1554</v>
      </c>
      <c r="P965" s="47" t="b">
        <v>1</v>
      </c>
      <c r="Q965" s="47" t="b">
        <v>0</v>
      </c>
      <c r="R965" s="214"/>
      <c r="S965" s="77">
        <v>0.0</v>
      </c>
      <c r="T965" s="214"/>
      <c r="U965" s="215"/>
      <c r="V965" s="215"/>
      <c r="W965" s="218"/>
      <c r="X965" s="218"/>
      <c r="Y965" s="77">
        <v>5.0E7</v>
      </c>
      <c r="Z965" s="77"/>
    </row>
    <row r="966">
      <c r="A966" s="145" t="s">
        <v>3751</v>
      </c>
      <c r="C966" s="145" t="s">
        <v>3120</v>
      </c>
      <c r="D966" s="75" t="s">
        <v>1601</v>
      </c>
      <c r="E966" s="75" t="s">
        <v>1544</v>
      </c>
      <c r="F966" s="211" t="s">
        <v>3764</v>
      </c>
      <c r="G966" s="145" t="s">
        <v>3751</v>
      </c>
      <c r="H966" s="211" t="s">
        <v>87</v>
      </c>
      <c r="I966" s="145" t="s">
        <v>2913</v>
      </c>
      <c r="J966" s="211" t="s">
        <v>3162</v>
      </c>
      <c r="K966" s="75" t="s">
        <v>1544</v>
      </c>
      <c r="L966" s="152" t="b">
        <v>1</v>
      </c>
      <c r="M966" s="152" t="b">
        <v>1</v>
      </c>
      <c r="N966" s="212" t="s">
        <v>3808</v>
      </c>
      <c r="O966" s="213" t="s">
        <v>1554</v>
      </c>
      <c r="P966" s="47" t="b">
        <v>1</v>
      </c>
      <c r="Q966" s="47" t="b">
        <v>0</v>
      </c>
      <c r="R966" s="214"/>
      <c r="S966" s="77">
        <v>0.0</v>
      </c>
      <c r="T966" s="214"/>
      <c r="U966" s="215"/>
      <c r="V966" s="215"/>
      <c r="W966" s="218"/>
      <c r="X966" s="218"/>
      <c r="Y966" s="77">
        <v>5.0E7</v>
      </c>
      <c r="Z966" s="77"/>
    </row>
    <row r="967">
      <c r="A967" s="145" t="s">
        <v>2940</v>
      </c>
      <c r="B967" s="145" t="s">
        <v>2940</v>
      </c>
      <c r="C967" s="145" t="s">
        <v>3148</v>
      </c>
      <c r="D967" s="75" t="s">
        <v>1544</v>
      </c>
      <c r="E967" s="75" t="s">
        <v>1544</v>
      </c>
      <c r="F967" s="211" t="s">
        <v>1547</v>
      </c>
      <c r="G967" s="145" t="s">
        <v>2941</v>
      </c>
      <c r="H967" s="211" t="s">
        <v>77</v>
      </c>
      <c r="I967" s="145" t="s">
        <v>143</v>
      </c>
      <c r="J967" s="211" t="s">
        <v>1549</v>
      </c>
      <c r="K967" s="75" t="s">
        <v>1544</v>
      </c>
      <c r="L967" s="152" t="b">
        <v>1</v>
      </c>
      <c r="M967" s="152" t="b">
        <v>0</v>
      </c>
      <c r="N967" s="212" t="s">
        <v>3809</v>
      </c>
      <c r="O967" s="213" t="s">
        <v>1554</v>
      </c>
      <c r="P967" s="47" t="b">
        <v>1</v>
      </c>
      <c r="Q967" s="47" t="b">
        <v>0</v>
      </c>
      <c r="R967" s="214"/>
      <c r="S967" s="77">
        <v>0.0</v>
      </c>
      <c r="T967" s="76" t="s">
        <v>1184</v>
      </c>
      <c r="U967" s="78">
        <v>9999999.0</v>
      </c>
      <c r="V967" s="78">
        <v>0.0</v>
      </c>
      <c r="W967" s="216">
        <v>1.0E7</v>
      </c>
      <c r="X967" s="77">
        <v>100000.0</v>
      </c>
      <c r="Y967" s="77">
        <v>40000.0</v>
      </c>
      <c r="Z967" s="77"/>
    </row>
    <row r="968">
      <c r="A968" s="145" t="s">
        <v>2935</v>
      </c>
      <c r="B968" s="145" t="s">
        <v>2935</v>
      </c>
      <c r="C968" s="145" t="s">
        <v>3148</v>
      </c>
      <c r="D968" s="75" t="s">
        <v>1544</v>
      </c>
      <c r="E968" s="75" t="s">
        <v>1544</v>
      </c>
      <c r="F968" s="211" t="s">
        <v>1547</v>
      </c>
      <c r="G968" s="145" t="s">
        <v>2936</v>
      </c>
      <c r="H968" s="211" t="s">
        <v>77</v>
      </c>
      <c r="I968" s="145" t="s">
        <v>143</v>
      </c>
      <c r="J968" s="211" t="s">
        <v>1549</v>
      </c>
      <c r="K968" s="75" t="s">
        <v>1544</v>
      </c>
      <c r="L968" s="152" t="b">
        <v>1</v>
      </c>
      <c r="M968" s="152" t="b">
        <v>0</v>
      </c>
      <c r="N968" s="212" t="s">
        <v>3810</v>
      </c>
      <c r="O968" s="213" t="s">
        <v>1554</v>
      </c>
      <c r="P968" s="47" t="b">
        <v>1</v>
      </c>
      <c r="Q968" s="47" t="b">
        <v>0</v>
      </c>
      <c r="R968" s="214"/>
      <c r="S968" s="77">
        <v>0.0</v>
      </c>
      <c r="T968" s="76" t="s">
        <v>1184</v>
      </c>
      <c r="U968" s="78">
        <v>6357761.0</v>
      </c>
      <c r="V968" s="78">
        <v>0.0</v>
      </c>
      <c r="W968" s="77">
        <v>6000000.0</v>
      </c>
      <c r="X968" s="77">
        <v>60000.0</v>
      </c>
      <c r="Y968" s="77">
        <v>40000.0</v>
      </c>
      <c r="Z968" s="77"/>
    </row>
    <row r="969">
      <c r="A969" s="145" t="s">
        <v>2944</v>
      </c>
      <c r="B969" s="145" t="s">
        <v>2944</v>
      </c>
      <c r="C969" s="145" t="s">
        <v>3148</v>
      </c>
      <c r="D969" s="75" t="s">
        <v>1544</v>
      </c>
      <c r="E969" s="75" t="s">
        <v>1544</v>
      </c>
      <c r="F969" s="211" t="s">
        <v>1547</v>
      </c>
      <c r="G969" s="145" t="s">
        <v>3811</v>
      </c>
      <c r="H969" s="211" t="s">
        <v>77</v>
      </c>
      <c r="I969" s="145" t="s">
        <v>252</v>
      </c>
      <c r="J969" s="211" t="s">
        <v>1549</v>
      </c>
      <c r="K969" s="75" t="s">
        <v>1544</v>
      </c>
      <c r="L969" s="152" t="b">
        <v>1</v>
      </c>
      <c r="M969" s="152" t="b">
        <v>0</v>
      </c>
      <c r="N969" s="212" t="s">
        <v>3812</v>
      </c>
      <c r="O969" s="213" t="s">
        <v>1554</v>
      </c>
      <c r="P969" s="47" t="b">
        <v>1</v>
      </c>
      <c r="Q969" s="47" t="b">
        <v>0</v>
      </c>
      <c r="R969" s="214"/>
      <c r="S969" s="77">
        <v>0.0</v>
      </c>
      <c r="T969" s="76" t="s">
        <v>1184</v>
      </c>
      <c r="U969" s="78">
        <v>1.0287211E7</v>
      </c>
      <c r="V969" s="78">
        <v>0.0</v>
      </c>
      <c r="W969" s="77">
        <v>1.0E7</v>
      </c>
      <c r="X969" s="77">
        <v>100000.0</v>
      </c>
      <c r="Y969" s="77">
        <v>40000.0</v>
      </c>
      <c r="Z969" s="77"/>
    </row>
    <row r="970">
      <c r="A970" s="145" t="s">
        <v>2970</v>
      </c>
      <c r="B970" s="145" t="s">
        <v>1585</v>
      </c>
      <c r="C970" s="145" t="s">
        <v>1543</v>
      </c>
      <c r="D970" s="75" t="s">
        <v>1544</v>
      </c>
      <c r="E970" s="75" t="s">
        <v>1544</v>
      </c>
      <c r="F970" s="211" t="s">
        <v>1575</v>
      </c>
      <c r="G970" s="145" t="s">
        <v>2728</v>
      </c>
      <c r="H970" s="211" t="s">
        <v>77</v>
      </c>
      <c r="I970" s="145" t="s">
        <v>140</v>
      </c>
      <c r="J970" s="211" t="s">
        <v>1577</v>
      </c>
      <c r="K970" s="75" t="s">
        <v>1544</v>
      </c>
      <c r="L970" s="152" t="b">
        <v>1</v>
      </c>
      <c r="M970" s="152" t="b">
        <v>0</v>
      </c>
      <c r="N970" s="212" t="s">
        <v>3813</v>
      </c>
      <c r="O970" s="213" t="s">
        <v>1554</v>
      </c>
      <c r="P970" s="47" t="b">
        <v>1</v>
      </c>
      <c r="Q970" s="47" t="b">
        <v>0</v>
      </c>
      <c r="R970" s="214"/>
      <c r="S970" s="77">
        <v>0.0</v>
      </c>
      <c r="T970" s="76" t="s">
        <v>1162</v>
      </c>
      <c r="U970" s="78">
        <v>2625573.0</v>
      </c>
      <c r="V970" s="215"/>
      <c r="W970" s="77">
        <v>2000000.0</v>
      </c>
      <c r="X970" s="77">
        <v>20000.0</v>
      </c>
      <c r="Y970" s="77">
        <v>20000.0</v>
      </c>
      <c r="Z970" s="77"/>
    </row>
    <row r="971">
      <c r="A971" s="145" t="s">
        <v>2946</v>
      </c>
      <c r="B971" s="145" t="s">
        <v>3430</v>
      </c>
      <c r="C971" s="145" t="s">
        <v>1543</v>
      </c>
      <c r="D971" s="75" t="s">
        <v>1544</v>
      </c>
      <c r="E971" s="75" t="s">
        <v>1544</v>
      </c>
      <c r="F971" s="211" t="s">
        <v>1575</v>
      </c>
      <c r="G971" s="145" t="s">
        <v>2947</v>
      </c>
      <c r="H971" s="211" t="s">
        <v>77</v>
      </c>
      <c r="I971" s="145" t="s">
        <v>252</v>
      </c>
      <c r="J971" s="211" t="s">
        <v>1577</v>
      </c>
      <c r="K971" s="75" t="s">
        <v>1544</v>
      </c>
      <c r="L971" s="152" t="b">
        <v>1</v>
      </c>
      <c r="M971" s="152" t="b">
        <v>0</v>
      </c>
      <c r="N971" s="212" t="s">
        <v>3814</v>
      </c>
      <c r="O971" s="213" t="s">
        <v>1554</v>
      </c>
      <c r="P971" s="47" t="b">
        <v>1</v>
      </c>
      <c r="Q971" s="47" t="b">
        <v>0</v>
      </c>
      <c r="R971" s="214"/>
      <c r="S971" s="77">
        <v>0.0</v>
      </c>
      <c r="T971" s="76" t="s">
        <v>1176</v>
      </c>
      <c r="U971" s="78">
        <v>7447488.0</v>
      </c>
      <c r="V971" s="215"/>
      <c r="W971" s="77">
        <v>8000000.0</v>
      </c>
      <c r="X971" s="77">
        <v>80000.0</v>
      </c>
      <c r="Y971" s="77">
        <v>20000.0</v>
      </c>
      <c r="Z971" s="77"/>
    </row>
    <row r="972">
      <c r="A972" s="145" t="s">
        <v>2950</v>
      </c>
      <c r="B972" s="145" t="s">
        <v>1788</v>
      </c>
      <c r="C972" s="145" t="s">
        <v>1543</v>
      </c>
      <c r="D972" s="75" t="s">
        <v>1544</v>
      </c>
      <c r="E972" s="75" t="s">
        <v>1544</v>
      </c>
      <c r="F972" s="211" t="s">
        <v>1547</v>
      </c>
      <c r="G972" s="145" t="s">
        <v>2951</v>
      </c>
      <c r="H972" s="211" t="s">
        <v>907</v>
      </c>
      <c r="I972" s="145" t="s">
        <v>25</v>
      </c>
      <c r="J972" s="211" t="s">
        <v>1549</v>
      </c>
      <c r="K972" s="75" t="s">
        <v>1544</v>
      </c>
      <c r="L972" s="152" t="b">
        <v>1</v>
      </c>
      <c r="M972" s="152" t="b">
        <v>0</v>
      </c>
      <c r="N972" s="212" t="s">
        <v>3815</v>
      </c>
      <c r="O972" s="213" t="s">
        <v>1554</v>
      </c>
      <c r="P972" s="47" t="b">
        <v>1</v>
      </c>
      <c r="Q972" s="47" t="b">
        <v>0</v>
      </c>
      <c r="R972" s="214"/>
      <c r="S972" s="77">
        <v>0.0</v>
      </c>
      <c r="T972" s="76" t="s">
        <v>1179</v>
      </c>
      <c r="U972" s="78">
        <v>9879719.0</v>
      </c>
      <c r="V972" s="215"/>
      <c r="W972" s="77">
        <v>1.0E7</v>
      </c>
      <c r="X972" s="77">
        <v>100000.0</v>
      </c>
      <c r="Y972" s="77">
        <v>40000.0</v>
      </c>
      <c r="Z972" s="77"/>
    </row>
    <row r="973">
      <c r="A973" s="145" t="s">
        <v>191</v>
      </c>
      <c r="B973" s="145" t="s">
        <v>2326</v>
      </c>
      <c r="C973" s="145" t="s">
        <v>2288</v>
      </c>
      <c r="D973" s="75" t="s">
        <v>1544</v>
      </c>
      <c r="E973" s="75" t="s">
        <v>1544</v>
      </c>
      <c r="F973" s="211" t="s">
        <v>1649</v>
      </c>
      <c r="G973" s="145" t="s">
        <v>192</v>
      </c>
      <c r="H973" s="211" t="s">
        <v>1018</v>
      </c>
      <c r="I973" s="145" t="s">
        <v>66</v>
      </c>
      <c r="J973" s="211" t="s">
        <v>1549</v>
      </c>
      <c r="K973" s="75" t="s">
        <v>1544</v>
      </c>
      <c r="L973" s="152" t="b">
        <v>1</v>
      </c>
      <c r="M973" s="152" t="b">
        <v>0</v>
      </c>
      <c r="N973" s="217"/>
      <c r="O973" s="213" t="s">
        <v>1554</v>
      </c>
      <c r="P973" s="47" t="b">
        <v>1</v>
      </c>
      <c r="Q973" s="47" t="b">
        <v>0</v>
      </c>
      <c r="R973" s="214"/>
      <c r="S973" s="77">
        <v>0.0</v>
      </c>
      <c r="T973" s="76" t="s">
        <v>1162</v>
      </c>
      <c r="U973" s="78">
        <v>6663077.0</v>
      </c>
      <c r="V973" s="215"/>
      <c r="W973" s="77">
        <v>6000000.0</v>
      </c>
      <c r="X973" s="77">
        <v>48000.0</v>
      </c>
      <c r="Y973" s="77">
        <v>32000.0</v>
      </c>
      <c r="Z973" s="77"/>
    </row>
    <row r="974">
      <c r="A974" s="145" t="s">
        <v>2741</v>
      </c>
      <c r="B974" s="145" t="s">
        <v>2741</v>
      </c>
      <c r="C974" s="145" t="s">
        <v>3148</v>
      </c>
      <c r="D974" s="75" t="s">
        <v>1544</v>
      </c>
      <c r="E974" s="75" t="s">
        <v>1544</v>
      </c>
      <c r="F974" s="211" t="s">
        <v>1649</v>
      </c>
      <c r="G974" s="145" t="s">
        <v>3816</v>
      </c>
      <c r="H974" s="211" t="s">
        <v>1018</v>
      </c>
      <c r="I974" s="145" t="s">
        <v>132</v>
      </c>
      <c r="J974" s="211" t="s">
        <v>1549</v>
      </c>
      <c r="K974" s="75" t="s">
        <v>1544</v>
      </c>
      <c r="L974" s="152" t="b">
        <v>1</v>
      </c>
      <c r="M974" s="152" t="b">
        <v>0</v>
      </c>
      <c r="N974" s="212" t="s">
        <v>3817</v>
      </c>
      <c r="O974" s="213" t="s">
        <v>1554</v>
      </c>
      <c r="P974" s="47" t="b">
        <v>1</v>
      </c>
      <c r="Q974" s="47" t="b">
        <v>0</v>
      </c>
      <c r="R974" s="214"/>
      <c r="S974" s="77">
        <v>0.0</v>
      </c>
      <c r="T974" s="76" t="s">
        <v>1184</v>
      </c>
      <c r="U974" s="78">
        <v>9999999.0</v>
      </c>
      <c r="V974" s="78">
        <v>0.0</v>
      </c>
      <c r="W974" s="77">
        <v>1.0E7</v>
      </c>
      <c r="X974" s="77">
        <v>80000.0</v>
      </c>
      <c r="Y974" s="77">
        <v>32000.0</v>
      </c>
      <c r="Z974" s="77"/>
    </row>
    <row r="975">
      <c r="A975" s="145" t="s">
        <v>2948</v>
      </c>
      <c r="B975" s="145" t="s">
        <v>1647</v>
      </c>
      <c r="C975" s="145" t="s">
        <v>1543</v>
      </c>
      <c r="D975" s="75" t="s">
        <v>1544</v>
      </c>
      <c r="E975" s="75" t="s">
        <v>1544</v>
      </c>
      <c r="F975" s="211" t="s">
        <v>1649</v>
      </c>
      <c r="G975" s="145" t="s">
        <v>3818</v>
      </c>
      <c r="H975" s="211" t="s">
        <v>1018</v>
      </c>
      <c r="I975" s="145" t="s">
        <v>132</v>
      </c>
      <c r="J975" s="211" t="s">
        <v>1549</v>
      </c>
      <c r="K975" s="75" t="s">
        <v>1544</v>
      </c>
      <c r="L975" s="152" t="b">
        <v>1</v>
      </c>
      <c r="M975" s="152" t="b">
        <v>0</v>
      </c>
      <c r="N975" s="212" t="s">
        <v>3819</v>
      </c>
      <c r="O975" s="213" t="s">
        <v>1554</v>
      </c>
      <c r="P975" s="47" t="b">
        <v>1</v>
      </c>
      <c r="Q975" s="47" t="b">
        <v>0</v>
      </c>
      <c r="R975" s="214"/>
      <c r="S975" s="77">
        <v>0.0</v>
      </c>
      <c r="T975" s="76" t="s">
        <v>1179</v>
      </c>
      <c r="U975" s="78">
        <v>1.0429622E7</v>
      </c>
      <c r="V975" s="215"/>
      <c r="W975" s="77">
        <v>1.0E7</v>
      </c>
      <c r="X975" s="77">
        <v>80000.0</v>
      </c>
      <c r="Y975" s="77">
        <v>32000.0</v>
      </c>
      <c r="Z975" s="77"/>
    </row>
    <row r="976">
      <c r="A976" s="145" t="s">
        <v>237</v>
      </c>
      <c r="B976" s="145" t="s">
        <v>237</v>
      </c>
      <c r="C976" s="145" t="s">
        <v>317</v>
      </c>
      <c r="D976" s="75" t="s">
        <v>1544</v>
      </c>
      <c r="E976" s="75" t="s">
        <v>1544</v>
      </c>
      <c r="F976" s="211" t="s">
        <v>1637</v>
      </c>
      <c r="G976" s="145" t="s">
        <v>3766</v>
      </c>
      <c r="H976" s="211" t="s">
        <v>907</v>
      </c>
      <c r="I976" s="145" t="s">
        <v>54</v>
      </c>
      <c r="J976" s="211" t="s">
        <v>1639</v>
      </c>
      <c r="K976" s="75" t="s">
        <v>1544</v>
      </c>
      <c r="L976" s="152" t="b">
        <v>1</v>
      </c>
      <c r="M976" s="152" t="b">
        <v>0</v>
      </c>
      <c r="N976" s="212" t="s">
        <v>3820</v>
      </c>
      <c r="O976" s="213" t="s">
        <v>1554</v>
      </c>
      <c r="P976" s="47" t="b">
        <v>1</v>
      </c>
      <c r="Q976" s="47" t="b">
        <v>0</v>
      </c>
      <c r="R976" s="214"/>
      <c r="S976" s="77">
        <v>0.0</v>
      </c>
      <c r="T976" s="76" t="s">
        <v>1162</v>
      </c>
      <c r="U976" s="78">
        <v>1.0E7</v>
      </c>
      <c r="V976" s="78">
        <v>0.0</v>
      </c>
      <c r="W976" s="77">
        <v>1.0E7</v>
      </c>
      <c r="X976" s="77">
        <v>100000.0</v>
      </c>
      <c r="Y976" s="77">
        <v>60000.0</v>
      </c>
      <c r="Z976" s="77"/>
    </row>
    <row r="977">
      <c r="A977" s="145" t="s">
        <v>1585</v>
      </c>
      <c r="C977" s="145" t="s">
        <v>1543</v>
      </c>
      <c r="D977" s="75" t="s">
        <v>1601</v>
      </c>
      <c r="E977" s="75" t="s">
        <v>1544</v>
      </c>
      <c r="F977" s="211" t="s">
        <v>3764</v>
      </c>
      <c r="G977" s="145" t="s">
        <v>1585</v>
      </c>
      <c r="H977" s="211" t="s">
        <v>87</v>
      </c>
      <c r="I977" s="145" t="s">
        <v>2913</v>
      </c>
      <c r="J977" s="211" t="s">
        <v>3162</v>
      </c>
      <c r="K977" s="75" t="s">
        <v>1544</v>
      </c>
      <c r="L977" s="152" t="b">
        <v>1</v>
      </c>
      <c r="M977" s="152" t="b">
        <v>1</v>
      </c>
      <c r="N977" s="212" t="s">
        <v>3821</v>
      </c>
      <c r="O977" s="213" t="s">
        <v>1554</v>
      </c>
      <c r="P977" s="47" t="b">
        <v>1</v>
      </c>
      <c r="Q977" s="47" t="b">
        <v>0</v>
      </c>
      <c r="R977" s="214"/>
      <c r="S977" s="77">
        <v>0.0</v>
      </c>
      <c r="T977" s="214"/>
      <c r="U977" s="215"/>
      <c r="V977" s="215"/>
      <c r="W977" s="214"/>
      <c r="X977" s="214"/>
      <c r="Y977" s="77">
        <v>5.0E7</v>
      </c>
      <c r="Z977" s="193"/>
    </row>
    <row r="978">
      <c r="A978" s="145" t="s">
        <v>1605</v>
      </c>
      <c r="C978" s="145" t="s">
        <v>1543</v>
      </c>
      <c r="D978" s="75" t="s">
        <v>1601</v>
      </c>
      <c r="E978" s="75" t="s">
        <v>1544</v>
      </c>
      <c r="F978" s="211" t="s">
        <v>3764</v>
      </c>
      <c r="G978" s="145" t="s">
        <v>1605</v>
      </c>
      <c r="H978" s="211" t="s">
        <v>87</v>
      </c>
      <c r="I978" s="145" t="s">
        <v>2913</v>
      </c>
      <c r="J978" s="211" t="s">
        <v>3162</v>
      </c>
      <c r="K978" s="75" t="s">
        <v>1544</v>
      </c>
      <c r="L978" s="152" t="b">
        <v>1</v>
      </c>
      <c r="M978" s="152" t="b">
        <v>1</v>
      </c>
      <c r="N978" s="212" t="s">
        <v>3822</v>
      </c>
      <c r="O978" s="213" t="s">
        <v>1554</v>
      </c>
      <c r="P978" s="47" t="b">
        <v>1</v>
      </c>
      <c r="Q978" s="47" t="b">
        <v>0</v>
      </c>
      <c r="R978" s="214"/>
      <c r="S978" s="77">
        <v>0.0</v>
      </c>
      <c r="T978" s="214"/>
      <c r="U978" s="215"/>
      <c r="V978" s="215"/>
      <c r="W978" s="214"/>
      <c r="X978" s="214"/>
      <c r="Y978" s="77">
        <v>5.0E7</v>
      </c>
      <c r="Z978" s="193"/>
    </row>
    <row r="979">
      <c r="A979" s="145" t="s">
        <v>1595</v>
      </c>
      <c r="C979" s="145" t="s">
        <v>1543</v>
      </c>
      <c r="D979" s="75" t="s">
        <v>1601</v>
      </c>
      <c r="E979" s="75" t="s">
        <v>1544</v>
      </c>
      <c r="F979" s="211" t="s">
        <v>3764</v>
      </c>
      <c r="G979" s="145" t="s">
        <v>1595</v>
      </c>
      <c r="H979" s="211" t="s">
        <v>87</v>
      </c>
      <c r="I979" s="145" t="s">
        <v>2913</v>
      </c>
      <c r="J979" s="211" t="s">
        <v>3162</v>
      </c>
      <c r="K979" s="75" t="s">
        <v>1544</v>
      </c>
      <c r="L979" s="152" t="b">
        <v>1</v>
      </c>
      <c r="M979" s="152" t="b">
        <v>1</v>
      </c>
      <c r="N979" s="212" t="s">
        <v>3823</v>
      </c>
      <c r="O979" s="213" t="s">
        <v>1554</v>
      </c>
      <c r="P979" s="47" t="b">
        <v>1</v>
      </c>
      <c r="Q979" s="47" t="b">
        <v>0</v>
      </c>
      <c r="R979" s="214"/>
      <c r="S979" s="77">
        <v>0.0</v>
      </c>
      <c r="T979" s="214"/>
      <c r="U979" s="215"/>
      <c r="V979" s="215"/>
      <c r="W979" s="214"/>
      <c r="X979" s="193"/>
      <c r="Y979" s="77">
        <v>5.0E7</v>
      </c>
    </row>
    <row r="980">
      <c r="A980" s="145" t="s">
        <v>1612</v>
      </c>
      <c r="C980" s="145" t="s">
        <v>1543</v>
      </c>
      <c r="D980" s="75" t="s">
        <v>1601</v>
      </c>
      <c r="E980" s="75" t="s">
        <v>1544</v>
      </c>
      <c r="F980" s="211" t="s">
        <v>3764</v>
      </c>
      <c r="G980" s="145" t="s">
        <v>1612</v>
      </c>
      <c r="H980" s="211" t="s">
        <v>87</v>
      </c>
      <c r="I980" s="145" t="s">
        <v>2913</v>
      </c>
      <c r="J980" s="211" t="s">
        <v>3162</v>
      </c>
      <c r="K980" s="75" t="s">
        <v>1544</v>
      </c>
      <c r="L980" s="152" t="b">
        <v>1</v>
      </c>
      <c r="M980" s="152" t="b">
        <v>1</v>
      </c>
      <c r="N980" s="212" t="s">
        <v>3824</v>
      </c>
      <c r="O980" s="213" t="s">
        <v>1554</v>
      </c>
      <c r="P980" s="47" t="b">
        <v>1</v>
      </c>
      <c r="Q980" s="47" t="b">
        <v>0</v>
      </c>
      <c r="R980" s="214"/>
      <c r="S980" s="77">
        <v>0.0</v>
      </c>
      <c r="T980" s="214"/>
      <c r="U980" s="215"/>
      <c r="V980" s="215"/>
      <c r="W980" s="214"/>
      <c r="X980" s="193"/>
      <c r="Y980" s="77">
        <v>5.0E7</v>
      </c>
    </row>
    <row r="981">
      <c r="A981" s="145" t="s">
        <v>1556</v>
      </c>
      <c r="C981" s="145" t="s">
        <v>1543</v>
      </c>
      <c r="D981" s="75" t="s">
        <v>1601</v>
      </c>
      <c r="E981" s="75" t="s">
        <v>1544</v>
      </c>
      <c r="F981" s="211" t="s">
        <v>3764</v>
      </c>
      <c r="G981" s="145" t="s">
        <v>1556</v>
      </c>
      <c r="H981" s="211" t="s">
        <v>87</v>
      </c>
      <c r="I981" s="145" t="s">
        <v>2913</v>
      </c>
      <c r="J981" s="211" t="s">
        <v>3162</v>
      </c>
      <c r="K981" s="75" t="s">
        <v>1544</v>
      </c>
      <c r="L981" s="152" t="b">
        <v>1</v>
      </c>
      <c r="M981" s="152" t="b">
        <v>1</v>
      </c>
      <c r="N981" s="212" t="s">
        <v>3825</v>
      </c>
      <c r="O981" s="213" t="s">
        <v>1554</v>
      </c>
      <c r="P981" s="47" t="b">
        <v>1</v>
      </c>
      <c r="Q981" s="47" t="b">
        <v>0</v>
      </c>
      <c r="R981" s="214"/>
      <c r="S981" s="77">
        <v>0.0</v>
      </c>
      <c r="T981" s="214"/>
      <c r="U981" s="215"/>
      <c r="V981" s="215"/>
      <c r="W981" s="214"/>
      <c r="X981" s="193"/>
      <c r="Y981" s="77">
        <v>5.0E7</v>
      </c>
    </row>
    <row r="982">
      <c r="A982" s="145" t="s">
        <v>1811</v>
      </c>
      <c r="C982" s="145" t="s">
        <v>1543</v>
      </c>
      <c r="D982" s="75" t="s">
        <v>1601</v>
      </c>
      <c r="E982" s="75" t="s">
        <v>1544</v>
      </c>
      <c r="F982" s="211" t="s">
        <v>3764</v>
      </c>
      <c r="G982" s="145" t="s">
        <v>1811</v>
      </c>
      <c r="H982" s="211" t="s">
        <v>87</v>
      </c>
      <c r="I982" s="145" t="s">
        <v>2913</v>
      </c>
      <c r="J982" s="211" t="s">
        <v>3162</v>
      </c>
      <c r="K982" s="75" t="s">
        <v>1544</v>
      </c>
      <c r="L982" s="152" t="b">
        <v>1</v>
      </c>
      <c r="M982" s="152" t="b">
        <v>1</v>
      </c>
      <c r="N982" s="212" t="s">
        <v>3826</v>
      </c>
      <c r="O982" s="213" t="s">
        <v>1554</v>
      </c>
      <c r="P982" s="47" t="b">
        <v>1</v>
      </c>
      <c r="Q982" s="47" t="b">
        <v>0</v>
      </c>
      <c r="R982" s="214"/>
      <c r="S982" s="77">
        <v>0.0</v>
      </c>
      <c r="T982" s="214"/>
      <c r="U982" s="215"/>
      <c r="V982" s="215"/>
      <c r="W982" s="214"/>
      <c r="X982" s="193"/>
      <c r="Y982" s="77">
        <v>5.0E7</v>
      </c>
    </row>
    <row r="983">
      <c r="A983" s="145" t="s">
        <v>3827</v>
      </c>
      <c r="C983" s="145" t="s">
        <v>1543</v>
      </c>
      <c r="D983" s="75" t="s">
        <v>1601</v>
      </c>
      <c r="E983" s="75" t="s">
        <v>1544</v>
      </c>
      <c r="F983" s="211" t="s">
        <v>3764</v>
      </c>
      <c r="G983" s="145" t="s">
        <v>3827</v>
      </c>
      <c r="H983" s="211" t="s">
        <v>77</v>
      </c>
      <c r="I983" s="145" t="s">
        <v>2913</v>
      </c>
      <c r="J983" s="211" t="s">
        <v>3162</v>
      </c>
      <c r="K983" s="75" t="s">
        <v>1544</v>
      </c>
      <c r="L983" s="152" t="b">
        <v>1</v>
      </c>
      <c r="M983" s="152" t="b">
        <v>1</v>
      </c>
      <c r="N983" s="212" t="s">
        <v>3828</v>
      </c>
      <c r="O983" s="213" t="s">
        <v>1554</v>
      </c>
      <c r="P983" s="47" t="b">
        <v>0</v>
      </c>
      <c r="Q983" s="47" t="b">
        <v>0</v>
      </c>
      <c r="R983" s="214"/>
      <c r="S983" s="77">
        <v>0.0</v>
      </c>
      <c r="T983" s="214"/>
      <c r="U983" s="215"/>
      <c r="V983" s="215"/>
      <c r="W983" s="214"/>
      <c r="X983" s="193"/>
      <c r="Y983" s="77">
        <v>5.0E7</v>
      </c>
    </row>
    <row r="984">
      <c r="A984" s="145" t="s">
        <v>3829</v>
      </c>
      <c r="C984" s="145" t="s">
        <v>1543</v>
      </c>
      <c r="D984" s="75" t="s">
        <v>1601</v>
      </c>
      <c r="E984" s="75" t="s">
        <v>1544</v>
      </c>
      <c r="F984" s="211" t="s">
        <v>3764</v>
      </c>
      <c r="G984" s="145" t="s">
        <v>3829</v>
      </c>
      <c r="H984" s="211" t="s">
        <v>77</v>
      </c>
      <c r="I984" s="145" t="s">
        <v>2913</v>
      </c>
      <c r="J984" s="211" t="s">
        <v>3162</v>
      </c>
      <c r="K984" s="75" t="s">
        <v>1544</v>
      </c>
      <c r="L984" s="152" t="b">
        <v>1</v>
      </c>
      <c r="M984" s="152" t="b">
        <v>1</v>
      </c>
      <c r="N984" s="212" t="s">
        <v>3830</v>
      </c>
      <c r="O984" s="213" t="s">
        <v>1554</v>
      </c>
      <c r="P984" s="47" t="b">
        <v>0</v>
      </c>
      <c r="Q984" s="47" t="b">
        <v>0</v>
      </c>
      <c r="R984" s="214"/>
      <c r="S984" s="77">
        <v>0.0</v>
      </c>
      <c r="T984" s="214"/>
      <c r="U984" s="215"/>
      <c r="V984" s="215"/>
      <c r="W984" s="214"/>
      <c r="X984" s="214"/>
      <c r="Y984" s="77">
        <v>5.0E7</v>
      </c>
    </row>
    <row r="985">
      <c r="A985" s="145" t="s">
        <v>957</v>
      </c>
      <c r="B985" s="145" t="s">
        <v>957</v>
      </c>
      <c r="C985" s="145" t="s">
        <v>3148</v>
      </c>
      <c r="D985" s="75" t="s">
        <v>1544</v>
      </c>
      <c r="E985" s="75" t="s">
        <v>1544</v>
      </c>
      <c r="F985" s="211" t="s">
        <v>1690</v>
      </c>
      <c r="G985" s="145" t="s">
        <v>2959</v>
      </c>
      <c r="H985" s="211" t="s">
        <v>586</v>
      </c>
      <c r="I985" s="145" t="s">
        <v>936</v>
      </c>
      <c r="J985" s="211" t="s">
        <v>1597</v>
      </c>
      <c r="K985" s="75" t="s">
        <v>1544</v>
      </c>
      <c r="L985" s="152" t="b">
        <v>1</v>
      </c>
      <c r="M985" s="152" t="b">
        <v>0</v>
      </c>
      <c r="N985" s="212" t="s">
        <v>3831</v>
      </c>
      <c r="O985" s="213" t="s">
        <v>1554</v>
      </c>
      <c r="P985" s="47" t="b">
        <v>1</v>
      </c>
      <c r="Q985" s="47" t="b">
        <v>0</v>
      </c>
      <c r="R985" s="214"/>
      <c r="S985" s="77">
        <v>0.0</v>
      </c>
      <c r="T985" s="76" t="s">
        <v>1184</v>
      </c>
      <c r="U985" s="78">
        <v>3.8713338E7</v>
      </c>
      <c r="V985" s="78">
        <v>0.0</v>
      </c>
      <c r="W985" s="77">
        <v>3.8E7</v>
      </c>
      <c r="X985" s="77">
        <v>266000.0</v>
      </c>
      <c r="Y985" s="77">
        <v>100000.0</v>
      </c>
    </row>
    <row r="986">
      <c r="A986" s="145" t="s">
        <v>2957</v>
      </c>
      <c r="B986" s="145" t="s">
        <v>2957</v>
      </c>
      <c r="C986" s="145" t="s">
        <v>3148</v>
      </c>
      <c r="D986" s="75" t="s">
        <v>1544</v>
      </c>
      <c r="E986" s="75" t="s">
        <v>1544</v>
      </c>
      <c r="F986" s="211" t="s">
        <v>1547</v>
      </c>
      <c r="G986" s="145" t="s">
        <v>2958</v>
      </c>
      <c r="H986" s="211" t="s">
        <v>77</v>
      </c>
      <c r="I986" s="145" t="s">
        <v>143</v>
      </c>
      <c r="J986" s="211" t="s">
        <v>1549</v>
      </c>
      <c r="K986" s="75" t="s">
        <v>1544</v>
      </c>
      <c r="L986" s="152" t="b">
        <v>1</v>
      </c>
      <c r="M986" s="152" t="b">
        <v>0</v>
      </c>
      <c r="N986" s="212" t="s">
        <v>3832</v>
      </c>
      <c r="O986" s="213" t="s">
        <v>1554</v>
      </c>
      <c r="P986" s="47" t="b">
        <v>1</v>
      </c>
      <c r="Q986" s="47" t="b">
        <v>0</v>
      </c>
      <c r="R986" s="214"/>
      <c r="S986" s="77">
        <v>0.0</v>
      </c>
      <c r="T986" s="76" t="s">
        <v>1184</v>
      </c>
      <c r="U986" s="78">
        <v>9999999.0</v>
      </c>
      <c r="V986" s="78">
        <v>0.0</v>
      </c>
      <c r="W986" s="77">
        <v>1.0E7</v>
      </c>
      <c r="X986" s="77">
        <v>100000.0</v>
      </c>
      <c r="Y986" s="77">
        <v>40000.0</v>
      </c>
    </row>
    <row r="987">
      <c r="A987" s="145" t="s">
        <v>2955</v>
      </c>
      <c r="B987" s="145" t="s">
        <v>2955</v>
      </c>
      <c r="C987" s="145" t="s">
        <v>3148</v>
      </c>
      <c r="D987" s="75" t="s">
        <v>1544</v>
      </c>
      <c r="E987" s="75" t="s">
        <v>1544</v>
      </c>
      <c r="F987" s="211" t="s">
        <v>1547</v>
      </c>
      <c r="G987" s="145" t="s">
        <v>2956</v>
      </c>
      <c r="H987" s="211" t="s">
        <v>77</v>
      </c>
      <c r="I987" s="145" t="s">
        <v>143</v>
      </c>
      <c r="J987" s="211" t="s">
        <v>1549</v>
      </c>
      <c r="K987" s="75" t="s">
        <v>1544</v>
      </c>
      <c r="L987" s="152" t="b">
        <v>1</v>
      </c>
      <c r="M987" s="152" t="b">
        <v>0</v>
      </c>
      <c r="N987" s="212" t="s">
        <v>3833</v>
      </c>
      <c r="O987" s="213" t="s">
        <v>1554</v>
      </c>
      <c r="P987" s="47" t="b">
        <v>1</v>
      </c>
      <c r="Q987" s="47" t="b">
        <v>0</v>
      </c>
      <c r="R987" s="214"/>
      <c r="S987" s="77">
        <v>0.0</v>
      </c>
      <c r="T987" s="76" t="s">
        <v>1184</v>
      </c>
      <c r="U987" s="78">
        <v>9995938.0</v>
      </c>
      <c r="V987" s="78">
        <v>0.0</v>
      </c>
      <c r="W987" s="77">
        <v>1.0E7</v>
      </c>
      <c r="X987" s="77">
        <v>100000.0</v>
      </c>
      <c r="Y987" s="77">
        <v>40000.0</v>
      </c>
    </row>
    <row r="988">
      <c r="A988" s="145" t="s">
        <v>2953</v>
      </c>
      <c r="B988" s="145" t="s">
        <v>2953</v>
      </c>
      <c r="C988" s="145" t="s">
        <v>3148</v>
      </c>
      <c r="D988" s="75" t="s">
        <v>1544</v>
      </c>
      <c r="E988" s="75" t="s">
        <v>1544</v>
      </c>
      <c r="F988" s="211" t="s">
        <v>1547</v>
      </c>
      <c r="G988" s="145" t="s">
        <v>2954</v>
      </c>
      <c r="H988" s="211" t="s">
        <v>77</v>
      </c>
      <c r="I988" s="145" t="s">
        <v>252</v>
      </c>
      <c r="J988" s="211" t="s">
        <v>1549</v>
      </c>
      <c r="K988" s="75" t="s">
        <v>1544</v>
      </c>
      <c r="L988" s="152" t="b">
        <v>1</v>
      </c>
      <c r="M988" s="152" t="b">
        <v>0</v>
      </c>
      <c r="N988" s="212" t="s">
        <v>3834</v>
      </c>
      <c r="O988" s="213" t="s">
        <v>1554</v>
      </c>
      <c r="P988" s="47" t="b">
        <v>1</v>
      </c>
      <c r="Q988" s="47" t="b">
        <v>0</v>
      </c>
      <c r="R988" s="214"/>
      <c r="S988" s="77">
        <v>0.0</v>
      </c>
      <c r="T988" s="76" t="s">
        <v>1184</v>
      </c>
      <c r="U988" s="78">
        <v>9999999.0</v>
      </c>
      <c r="V988" s="78">
        <v>0.0</v>
      </c>
      <c r="W988" s="77">
        <v>1.0E7</v>
      </c>
      <c r="X988" s="77">
        <v>100000.0</v>
      </c>
      <c r="Y988" s="77">
        <v>40000.0</v>
      </c>
    </row>
    <row r="989">
      <c r="A989" s="145" t="s">
        <v>2964</v>
      </c>
      <c r="B989" s="145" t="s">
        <v>243</v>
      </c>
      <c r="C989" s="145" t="s">
        <v>2288</v>
      </c>
      <c r="D989" s="75" t="s">
        <v>1544</v>
      </c>
      <c r="E989" s="75" t="s">
        <v>1544</v>
      </c>
      <c r="F989" s="211" t="s">
        <v>1690</v>
      </c>
      <c r="G989" s="145" t="s">
        <v>1034</v>
      </c>
      <c r="H989" s="211" t="s">
        <v>77</v>
      </c>
      <c r="I989" s="145" t="s">
        <v>140</v>
      </c>
      <c r="J989" s="211" t="s">
        <v>1597</v>
      </c>
      <c r="K989" s="75" t="s">
        <v>1544</v>
      </c>
      <c r="L989" s="152" t="b">
        <v>1</v>
      </c>
      <c r="M989" s="152" t="b">
        <v>1</v>
      </c>
      <c r="N989" s="217"/>
      <c r="O989" s="213" t="s">
        <v>1554</v>
      </c>
      <c r="P989" s="47" t="b">
        <v>1</v>
      </c>
      <c r="Q989" s="47" t="b">
        <v>0</v>
      </c>
      <c r="R989" s="214"/>
      <c r="S989" s="77">
        <v>0.0</v>
      </c>
      <c r="T989" s="76" t="s">
        <v>1152</v>
      </c>
      <c r="U989" s="78">
        <v>1.0E7</v>
      </c>
      <c r="V989" s="215"/>
      <c r="W989" s="77">
        <v>1.0E7</v>
      </c>
      <c r="X989" s="77">
        <v>100000.0</v>
      </c>
      <c r="Y989" s="77">
        <v>100000.0</v>
      </c>
    </row>
    <row r="990">
      <c r="A990" s="145" t="s">
        <v>2104</v>
      </c>
      <c r="B990" s="145" t="s">
        <v>1707</v>
      </c>
      <c r="C990" s="145" t="s">
        <v>1543</v>
      </c>
      <c r="D990" s="75" t="s">
        <v>1544</v>
      </c>
      <c r="E990" s="75" t="s">
        <v>1544</v>
      </c>
      <c r="F990" s="211" t="s">
        <v>1575</v>
      </c>
      <c r="G990" s="145" t="s">
        <v>2105</v>
      </c>
      <c r="H990" s="211" t="s">
        <v>77</v>
      </c>
      <c r="I990" s="145" t="s">
        <v>327</v>
      </c>
      <c r="J990" s="211" t="s">
        <v>1577</v>
      </c>
      <c r="K990" s="75" t="s">
        <v>1544</v>
      </c>
      <c r="L990" s="152" t="b">
        <v>1</v>
      </c>
      <c r="M990" s="152" t="b">
        <v>0</v>
      </c>
      <c r="N990" s="212" t="s">
        <v>3835</v>
      </c>
      <c r="O990" s="213" t="s">
        <v>1554</v>
      </c>
      <c r="P990" s="47" t="b">
        <v>1</v>
      </c>
      <c r="Q990" s="47" t="b">
        <v>0</v>
      </c>
      <c r="R990" s="214"/>
      <c r="S990" s="77">
        <v>0.0</v>
      </c>
      <c r="T990" s="76" t="s">
        <v>1179</v>
      </c>
      <c r="U990" s="78">
        <v>4164442.0</v>
      </c>
      <c r="V990" s="215"/>
      <c r="W990" s="77">
        <v>4000000.0</v>
      </c>
      <c r="X990" s="77">
        <v>40000.0</v>
      </c>
      <c r="Y990" s="77">
        <v>20000.0</v>
      </c>
    </row>
    <row r="991">
      <c r="A991" s="145" t="s">
        <v>966</v>
      </c>
      <c r="B991" s="145" t="s">
        <v>966</v>
      </c>
      <c r="C991" s="145" t="s">
        <v>3148</v>
      </c>
      <c r="D991" s="75" t="s">
        <v>1544</v>
      </c>
      <c r="E991" s="75" t="s">
        <v>1544</v>
      </c>
      <c r="F991" s="211" t="s">
        <v>1690</v>
      </c>
      <c r="G991" s="145" t="s">
        <v>2960</v>
      </c>
      <c r="H991" s="211" t="s">
        <v>586</v>
      </c>
      <c r="I991" s="145" t="s">
        <v>936</v>
      </c>
      <c r="J991" s="211" t="s">
        <v>1597</v>
      </c>
      <c r="K991" s="75" t="s">
        <v>1544</v>
      </c>
      <c r="L991" s="152" t="b">
        <v>1</v>
      </c>
      <c r="M991" s="152" t="b">
        <v>0</v>
      </c>
      <c r="N991" s="212" t="s">
        <v>3836</v>
      </c>
      <c r="O991" s="213" t="s">
        <v>1554</v>
      </c>
      <c r="P991" s="47" t="b">
        <v>1</v>
      </c>
      <c r="Q991" s="47" t="b">
        <v>0</v>
      </c>
      <c r="R991" s="214"/>
      <c r="S991" s="77">
        <v>0.0</v>
      </c>
      <c r="T991" s="76" t="s">
        <v>1184</v>
      </c>
      <c r="U991" s="78">
        <v>2.5191277E7</v>
      </c>
      <c r="V991" s="78">
        <v>0.0</v>
      </c>
      <c r="W991" s="216">
        <v>2.6E7</v>
      </c>
      <c r="X991" s="216">
        <v>182000.0</v>
      </c>
      <c r="Y991" s="77">
        <v>100000.0</v>
      </c>
    </row>
    <row r="992">
      <c r="A992" s="145" t="s">
        <v>2640</v>
      </c>
      <c r="B992" s="145" t="s">
        <v>2640</v>
      </c>
      <c r="C992" s="145" t="s">
        <v>1058</v>
      </c>
      <c r="D992" s="75" t="s">
        <v>1544</v>
      </c>
      <c r="E992" s="75" t="s">
        <v>1544</v>
      </c>
      <c r="F992" s="211" t="s">
        <v>3472</v>
      </c>
      <c r="G992" s="145" t="s">
        <v>3319</v>
      </c>
      <c r="H992" s="211" t="s">
        <v>1067</v>
      </c>
      <c r="I992" s="145" t="s">
        <v>1066</v>
      </c>
      <c r="J992" s="211" t="s">
        <v>3473</v>
      </c>
      <c r="K992" s="75" t="s">
        <v>1544</v>
      </c>
      <c r="L992" s="152" t="b">
        <v>1</v>
      </c>
      <c r="M992" s="152" t="b">
        <v>0</v>
      </c>
      <c r="N992" s="217"/>
      <c r="O992" s="213" t="s">
        <v>1554</v>
      </c>
      <c r="P992" s="47" t="b">
        <v>1</v>
      </c>
      <c r="Q992" s="47" t="b">
        <v>0</v>
      </c>
      <c r="R992" s="214"/>
      <c r="S992" s="77">
        <v>0.0</v>
      </c>
      <c r="T992" s="76" t="s">
        <v>1161</v>
      </c>
      <c r="U992" s="78">
        <v>5.0E7</v>
      </c>
      <c r="V992" s="78">
        <v>10.0</v>
      </c>
      <c r="W992" s="216">
        <v>5.0E7</v>
      </c>
      <c r="X992" s="216">
        <v>5.0E9</v>
      </c>
      <c r="Y992" s="77">
        <v>1.5E7</v>
      </c>
    </row>
    <row r="993">
      <c r="A993" s="145" t="s">
        <v>2968</v>
      </c>
      <c r="B993" s="145" t="s">
        <v>2326</v>
      </c>
      <c r="C993" s="145" t="s">
        <v>2288</v>
      </c>
      <c r="D993" s="75" t="s">
        <v>1544</v>
      </c>
      <c r="E993" s="75" t="s">
        <v>1544</v>
      </c>
      <c r="F993" s="211" t="s">
        <v>1649</v>
      </c>
      <c r="G993" s="145" t="s">
        <v>2969</v>
      </c>
      <c r="H993" s="211" t="s">
        <v>1018</v>
      </c>
      <c r="I993" s="145" t="s">
        <v>66</v>
      </c>
      <c r="J993" s="211" t="s">
        <v>1549</v>
      </c>
      <c r="K993" s="75" t="s">
        <v>1544</v>
      </c>
      <c r="L993" s="152" t="b">
        <v>1</v>
      </c>
      <c r="M993" s="152" t="b">
        <v>0</v>
      </c>
      <c r="N993" s="217"/>
      <c r="O993" s="213" t="s">
        <v>1554</v>
      </c>
      <c r="P993" s="47" t="b">
        <v>1</v>
      </c>
      <c r="Q993" s="47" t="b">
        <v>0</v>
      </c>
      <c r="R993" s="214"/>
      <c r="S993" s="77">
        <v>0.0</v>
      </c>
      <c r="T993" s="76" t="s">
        <v>1179</v>
      </c>
      <c r="U993" s="78">
        <v>1.0E7</v>
      </c>
      <c r="V993" s="215"/>
      <c r="W993" s="77">
        <v>1.0E7</v>
      </c>
      <c r="X993" s="77">
        <v>80000.0</v>
      </c>
      <c r="Y993" s="77">
        <v>32000.0</v>
      </c>
    </row>
    <row r="994">
      <c r="A994" s="145" t="s">
        <v>2965</v>
      </c>
      <c r="B994" s="145" t="s">
        <v>2965</v>
      </c>
      <c r="C994" s="145" t="s">
        <v>3148</v>
      </c>
      <c r="D994" s="75" t="s">
        <v>1544</v>
      </c>
      <c r="E994" s="75" t="s">
        <v>1544</v>
      </c>
      <c r="F994" s="211" t="s">
        <v>1547</v>
      </c>
      <c r="G994" s="145" t="s">
        <v>3837</v>
      </c>
      <c r="H994" s="211" t="s">
        <v>77</v>
      </c>
      <c r="I994" s="145" t="s">
        <v>249</v>
      </c>
      <c r="J994" s="211" t="s">
        <v>1549</v>
      </c>
      <c r="K994" s="75" t="s">
        <v>1544</v>
      </c>
      <c r="L994" s="152" t="b">
        <v>1</v>
      </c>
      <c r="M994" s="152" t="b">
        <v>0</v>
      </c>
      <c r="N994" s="212" t="s">
        <v>3838</v>
      </c>
      <c r="O994" s="213" t="s">
        <v>1554</v>
      </c>
      <c r="P994" s="47" t="b">
        <v>1</v>
      </c>
      <c r="Q994" s="47" t="b">
        <v>0</v>
      </c>
      <c r="R994" s="214"/>
      <c r="S994" s="77">
        <v>0.0</v>
      </c>
      <c r="T994" s="76" t="s">
        <v>1184</v>
      </c>
      <c r="U994" s="78">
        <v>1.492509E7</v>
      </c>
      <c r="V994" s="78">
        <v>0.0</v>
      </c>
      <c r="W994" s="77">
        <v>1.4E7</v>
      </c>
      <c r="X994" s="77">
        <v>140000.0</v>
      </c>
      <c r="Y994" s="77">
        <v>40000.0</v>
      </c>
    </row>
    <row r="995">
      <c r="A995" s="145" t="s">
        <v>2973</v>
      </c>
      <c r="B995" s="145" t="s">
        <v>2973</v>
      </c>
      <c r="C995" s="145" t="s">
        <v>3148</v>
      </c>
      <c r="D995" s="75" t="s">
        <v>1544</v>
      </c>
      <c r="E995" s="75" t="s">
        <v>1544</v>
      </c>
      <c r="F995" s="211" t="s">
        <v>1547</v>
      </c>
      <c r="G995" s="145" t="s">
        <v>2974</v>
      </c>
      <c r="H995" s="211" t="s">
        <v>77</v>
      </c>
      <c r="I995" s="145" t="s">
        <v>252</v>
      </c>
      <c r="J995" s="211" t="s">
        <v>1549</v>
      </c>
      <c r="K995" s="75" t="s">
        <v>1544</v>
      </c>
      <c r="L995" s="152" t="b">
        <v>1</v>
      </c>
      <c r="M995" s="152" t="b">
        <v>0</v>
      </c>
      <c r="N995" s="212" t="s">
        <v>3839</v>
      </c>
      <c r="O995" s="213" t="s">
        <v>1554</v>
      </c>
      <c r="P995" s="47" t="b">
        <v>1</v>
      </c>
      <c r="Q995" s="47" t="b">
        <v>0</v>
      </c>
      <c r="R995" s="214"/>
      <c r="S995" s="77">
        <v>0.0</v>
      </c>
      <c r="T995" s="76" t="s">
        <v>1184</v>
      </c>
      <c r="U995" s="78">
        <v>8083977.0</v>
      </c>
      <c r="V995" s="78">
        <v>0.0</v>
      </c>
      <c r="W995" s="77">
        <v>8000000.0</v>
      </c>
      <c r="X995" s="77">
        <v>80000.0</v>
      </c>
      <c r="Y995" s="77">
        <v>40000.0</v>
      </c>
    </row>
    <row r="996">
      <c r="A996" s="145" t="s">
        <v>2975</v>
      </c>
      <c r="B996" s="145" t="s">
        <v>3430</v>
      </c>
      <c r="C996" s="145" t="s">
        <v>1543</v>
      </c>
      <c r="D996" s="75" t="s">
        <v>1544</v>
      </c>
      <c r="E996" s="75" t="s">
        <v>1544</v>
      </c>
      <c r="F996" s="211" t="s">
        <v>1575</v>
      </c>
      <c r="G996" s="145" t="s">
        <v>3840</v>
      </c>
      <c r="H996" s="211" t="s">
        <v>77</v>
      </c>
      <c r="I996" s="145" t="s">
        <v>252</v>
      </c>
      <c r="J996" s="211" t="s">
        <v>1577</v>
      </c>
      <c r="K996" s="75" t="s">
        <v>1544</v>
      </c>
      <c r="L996" s="152" t="b">
        <v>1</v>
      </c>
      <c r="M996" s="152" t="b">
        <v>0</v>
      </c>
      <c r="N996" s="212" t="s">
        <v>3841</v>
      </c>
      <c r="O996" s="213" t="s">
        <v>1554</v>
      </c>
      <c r="P996" s="47" t="b">
        <v>1</v>
      </c>
      <c r="Q996" s="47" t="b">
        <v>0</v>
      </c>
      <c r="R996" s="214"/>
      <c r="S996" s="77">
        <v>0.0</v>
      </c>
      <c r="T996" s="76" t="s">
        <v>1172</v>
      </c>
      <c r="U996" s="78">
        <v>4647983.0</v>
      </c>
      <c r="V996" s="215"/>
      <c r="W996" s="77">
        <v>4000000.0</v>
      </c>
      <c r="X996" s="77">
        <v>40000.0</v>
      </c>
      <c r="Y996" s="77">
        <v>20000.0</v>
      </c>
    </row>
    <row r="997">
      <c r="A997" s="145" t="s">
        <v>2976</v>
      </c>
      <c r="B997" s="145" t="s">
        <v>3430</v>
      </c>
      <c r="C997" s="145" t="s">
        <v>1543</v>
      </c>
      <c r="D997" s="75" t="s">
        <v>1544</v>
      </c>
      <c r="E997" s="75" t="s">
        <v>1544</v>
      </c>
      <c r="F997" s="211" t="s">
        <v>1575</v>
      </c>
      <c r="G997" s="145" t="s">
        <v>3842</v>
      </c>
      <c r="H997" s="211" t="s">
        <v>77</v>
      </c>
      <c r="I997" s="145" t="s">
        <v>252</v>
      </c>
      <c r="J997" s="211" t="s">
        <v>1577</v>
      </c>
      <c r="K997" s="75" t="s">
        <v>1544</v>
      </c>
      <c r="L997" s="152" t="b">
        <v>1</v>
      </c>
      <c r="M997" s="152" t="b">
        <v>0</v>
      </c>
      <c r="N997" s="212" t="s">
        <v>3843</v>
      </c>
      <c r="O997" s="213" t="s">
        <v>1554</v>
      </c>
      <c r="P997" s="47" t="b">
        <v>1</v>
      </c>
      <c r="Q997" s="47" t="b">
        <v>0</v>
      </c>
      <c r="R997" s="214"/>
      <c r="S997" s="77">
        <v>0.0</v>
      </c>
      <c r="T997" s="76" t="s">
        <v>1179</v>
      </c>
      <c r="U997" s="78">
        <v>6060240.0</v>
      </c>
      <c r="V997" s="215"/>
      <c r="W997" s="77">
        <v>6000000.0</v>
      </c>
      <c r="X997" s="77">
        <v>60000.0</v>
      </c>
      <c r="Y997" s="77">
        <v>20000.0</v>
      </c>
    </row>
    <row r="998">
      <c r="A998" s="145" t="s">
        <v>2981</v>
      </c>
      <c r="B998" s="145" t="s">
        <v>1647</v>
      </c>
      <c r="C998" s="145" t="s">
        <v>1543</v>
      </c>
      <c r="D998" s="75" t="s">
        <v>1544</v>
      </c>
      <c r="E998" s="75" t="s">
        <v>1544</v>
      </c>
      <c r="F998" s="211" t="s">
        <v>1721</v>
      </c>
      <c r="G998" s="145" t="s">
        <v>2982</v>
      </c>
      <c r="H998" s="211" t="s">
        <v>1018</v>
      </c>
      <c r="I998" s="145" t="s">
        <v>132</v>
      </c>
      <c r="J998" s="211" t="s">
        <v>1609</v>
      </c>
      <c r="K998" s="75" t="s">
        <v>1544</v>
      </c>
      <c r="L998" s="152" t="b">
        <v>1</v>
      </c>
      <c r="M998" s="152" t="b">
        <v>0</v>
      </c>
      <c r="N998" s="212" t="s">
        <v>3844</v>
      </c>
      <c r="O998" s="213" t="s">
        <v>1554</v>
      </c>
      <c r="P998" s="47" t="b">
        <v>1</v>
      </c>
      <c r="Q998" s="47" t="b">
        <v>0</v>
      </c>
      <c r="R998" s="214"/>
      <c r="S998" s="77">
        <v>0.0</v>
      </c>
      <c r="T998" s="214"/>
      <c r="U998" s="78">
        <v>1.86482E7</v>
      </c>
      <c r="V998" s="215"/>
      <c r="W998" s="77">
        <v>1.8E7</v>
      </c>
      <c r="X998" s="77">
        <v>144000.0</v>
      </c>
      <c r="Y998" s="77">
        <v>64000.0</v>
      </c>
    </row>
    <row r="999">
      <c r="A999" s="145" t="s">
        <v>2978</v>
      </c>
      <c r="B999" s="145" t="s">
        <v>2300</v>
      </c>
      <c r="C999" s="145" t="s">
        <v>2288</v>
      </c>
      <c r="D999" s="75" t="s">
        <v>1544</v>
      </c>
      <c r="E999" s="75" t="s">
        <v>1544</v>
      </c>
      <c r="F999" s="211" t="s">
        <v>1575</v>
      </c>
      <c r="G999" s="145" t="s">
        <v>3845</v>
      </c>
      <c r="H999" s="211" t="s">
        <v>77</v>
      </c>
      <c r="I999" s="145" t="s">
        <v>174</v>
      </c>
      <c r="J999" s="211" t="s">
        <v>1577</v>
      </c>
      <c r="K999" s="75" t="s">
        <v>1544</v>
      </c>
      <c r="L999" s="152" t="b">
        <v>1</v>
      </c>
      <c r="M999" s="152" t="b">
        <v>0</v>
      </c>
      <c r="N999" s="217"/>
      <c r="O999" s="213" t="s">
        <v>1554</v>
      </c>
      <c r="P999" s="47" t="b">
        <v>1</v>
      </c>
      <c r="Q999" s="47" t="b">
        <v>0</v>
      </c>
      <c r="R999" s="214"/>
      <c r="S999" s="77">
        <v>0.0</v>
      </c>
      <c r="T999" s="76" t="s">
        <v>1162</v>
      </c>
      <c r="U999" s="78">
        <v>3747413.0</v>
      </c>
      <c r="V999" s="215"/>
      <c r="W999" s="77">
        <v>4000000.0</v>
      </c>
      <c r="X999" s="77">
        <v>40000.0</v>
      </c>
      <c r="Y999" s="77">
        <v>20000.0</v>
      </c>
    </row>
    <row r="1000">
      <c r="A1000" s="145"/>
      <c r="B1000" s="145"/>
      <c r="C1000" s="145"/>
      <c r="D1000" s="75"/>
      <c r="E1000" s="75"/>
      <c r="F1000" s="211"/>
      <c r="G1000" s="145"/>
      <c r="H1000" s="211"/>
      <c r="I1000" s="145"/>
      <c r="J1000" s="211"/>
      <c r="K1000" s="75"/>
      <c r="L1000" s="152"/>
      <c r="M1000" s="152"/>
      <c r="N1000" s="296"/>
      <c r="O1000" s="213"/>
      <c r="P1000" s="47"/>
      <c r="Q1000" s="47"/>
      <c r="R1000" s="47"/>
      <c r="S1000" s="193"/>
      <c r="T1000" s="77"/>
      <c r="U1000" s="78"/>
      <c r="V1000" s="78"/>
      <c r="W1000" s="77"/>
    </row>
    <row r="1001">
      <c r="A1001" s="145"/>
      <c r="B1001" s="145"/>
      <c r="C1001" s="145"/>
      <c r="D1001" s="75"/>
      <c r="E1001" s="75"/>
      <c r="F1001" s="211"/>
      <c r="G1001" s="145"/>
      <c r="H1001" s="211"/>
      <c r="I1001" s="145"/>
      <c r="J1001" s="211"/>
      <c r="K1001" s="75"/>
      <c r="L1001" s="152"/>
      <c r="M1001" s="152"/>
      <c r="N1001" s="296"/>
      <c r="O1001" s="213"/>
      <c r="P1001" s="47"/>
      <c r="Q1001" s="47"/>
      <c r="R1001" s="47"/>
      <c r="S1001" s="193"/>
      <c r="T1001" s="77"/>
      <c r="U1001" s="78"/>
      <c r="V1001" s="78"/>
      <c r="W1001" s="77"/>
    </row>
    <row r="1002">
      <c r="A1002" s="145"/>
      <c r="B1002" s="145"/>
      <c r="C1002" s="145"/>
      <c r="D1002" s="75"/>
      <c r="E1002" s="75"/>
      <c r="F1002" s="211"/>
      <c r="G1002" s="145"/>
      <c r="H1002" s="211"/>
      <c r="I1002" s="145"/>
      <c r="J1002" s="211"/>
      <c r="K1002" s="75"/>
      <c r="L1002" s="152"/>
      <c r="M1002" s="152"/>
      <c r="N1002" s="296"/>
      <c r="O1002" s="213"/>
      <c r="P1002" s="47"/>
      <c r="Q1002" s="47"/>
      <c r="R1002" s="47"/>
      <c r="S1002" s="193"/>
      <c r="T1002" s="77"/>
      <c r="U1002" s="78"/>
      <c r="V1002" s="78"/>
      <c r="W1002" s="77"/>
    </row>
    <row r="1003">
      <c r="A1003" s="145"/>
      <c r="B1003" s="145"/>
      <c r="C1003" s="145"/>
      <c r="D1003" s="75"/>
      <c r="E1003" s="75"/>
      <c r="F1003" s="211"/>
      <c r="G1003" s="145"/>
      <c r="H1003" s="211"/>
      <c r="I1003" s="145"/>
      <c r="J1003" s="211"/>
      <c r="K1003" s="75"/>
      <c r="L1003" s="152"/>
      <c r="M1003" s="152"/>
      <c r="N1003" s="296"/>
      <c r="O1003" s="213"/>
      <c r="P1003" s="47"/>
      <c r="Q1003" s="47"/>
      <c r="R1003" s="47"/>
      <c r="S1003" s="193"/>
      <c r="T1003" s="77"/>
      <c r="U1003" s="78"/>
      <c r="V1003" s="78"/>
      <c r="W1003" s="77"/>
    </row>
    <row r="1004">
      <c r="A1004" s="145"/>
      <c r="B1004" s="145"/>
      <c r="C1004" s="145"/>
      <c r="D1004" s="75"/>
      <c r="E1004" s="75"/>
      <c r="F1004" s="211"/>
      <c r="G1004" s="145"/>
      <c r="H1004" s="211"/>
      <c r="I1004" s="145"/>
      <c r="J1004" s="211"/>
      <c r="K1004" s="75"/>
      <c r="L1004" s="152"/>
      <c r="M1004" s="152"/>
      <c r="N1004" s="296"/>
      <c r="O1004" s="213"/>
      <c r="P1004" s="47"/>
      <c r="Q1004" s="47"/>
      <c r="R1004" s="47"/>
      <c r="S1004" s="193"/>
      <c r="T1004" s="77"/>
      <c r="U1004" s="78"/>
      <c r="V1004" s="78"/>
      <c r="W1004" s="77"/>
    </row>
    <row r="1005">
      <c r="A1005" s="145"/>
      <c r="B1005" s="145"/>
      <c r="C1005" s="145"/>
      <c r="D1005" s="75"/>
      <c r="E1005" s="75"/>
      <c r="F1005" s="211"/>
      <c r="G1005" s="145"/>
      <c r="H1005" s="211"/>
      <c r="I1005" s="145"/>
      <c r="J1005" s="211"/>
      <c r="K1005" s="75"/>
      <c r="L1005" s="152"/>
      <c r="M1005" s="152"/>
      <c r="N1005" s="296"/>
      <c r="O1005" s="213"/>
      <c r="P1005" s="47"/>
      <c r="Q1005" s="47"/>
      <c r="R1005" s="47"/>
      <c r="S1005" s="193"/>
      <c r="T1005" s="77"/>
      <c r="U1005" s="78"/>
      <c r="V1005" s="78"/>
      <c r="W1005" s="77"/>
    </row>
    <row r="1006">
      <c r="A1006" s="145"/>
      <c r="B1006" s="145"/>
      <c r="C1006" s="145"/>
      <c r="D1006" s="75"/>
      <c r="E1006" s="75"/>
      <c r="F1006" s="211"/>
      <c r="G1006" s="145"/>
      <c r="H1006" s="211"/>
      <c r="I1006" s="145"/>
      <c r="J1006" s="211"/>
      <c r="K1006" s="75"/>
      <c r="L1006" s="152"/>
      <c r="M1006" s="152"/>
      <c r="N1006" s="296"/>
      <c r="O1006" s="213"/>
      <c r="P1006" s="47"/>
      <c r="Q1006" s="47"/>
      <c r="R1006" s="47"/>
      <c r="S1006" s="193"/>
      <c r="T1006" s="77"/>
      <c r="U1006" s="78"/>
      <c r="V1006" s="78"/>
      <c r="W1006" s="77"/>
    </row>
    <row r="1007">
      <c r="A1007" s="145"/>
      <c r="B1007" s="145"/>
      <c r="C1007" s="145"/>
      <c r="D1007" s="75"/>
      <c r="E1007" s="75"/>
      <c r="F1007" s="211"/>
      <c r="G1007" s="145"/>
      <c r="H1007" s="211"/>
      <c r="I1007" s="145"/>
      <c r="J1007" s="211"/>
      <c r="K1007" s="75"/>
      <c r="L1007" s="152"/>
      <c r="M1007" s="152"/>
      <c r="N1007" s="296"/>
      <c r="O1007" s="213"/>
      <c r="P1007" s="47"/>
      <c r="Q1007" s="47"/>
      <c r="R1007" s="47"/>
      <c r="S1007" s="193"/>
      <c r="T1007" s="77"/>
      <c r="U1007" s="78"/>
      <c r="V1007" s="78"/>
      <c r="W1007" s="77"/>
    </row>
    <row r="1008">
      <c r="A1008" s="145"/>
      <c r="B1008" s="145"/>
      <c r="C1008" s="145"/>
      <c r="D1008" s="75"/>
      <c r="E1008" s="75"/>
      <c r="F1008" s="211"/>
      <c r="G1008" s="145"/>
      <c r="H1008" s="211"/>
      <c r="I1008" s="145"/>
      <c r="J1008" s="211"/>
      <c r="K1008" s="75"/>
      <c r="L1008" s="152"/>
      <c r="M1008" s="152"/>
      <c r="N1008" s="296"/>
      <c r="O1008" s="213"/>
      <c r="P1008" s="47"/>
      <c r="Q1008" s="47"/>
      <c r="R1008" s="47"/>
      <c r="S1008" s="193"/>
      <c r="T1008" s="77"/>
      <c r="U1008" s="78"/>
      <c r="V1008" s="78"/>
      <c r="W1008" s="77"/>
    </row>
    <row r="1009">
      <c r="A1009" s="145"/>
      <c r="B1009" s="145"/>
      <c r="C1009" s="145"/>
      <c r="D1009" s="75"/>
      <c r="E1009" s="75"/>
      <c r="F1009" s="211"/>
      <c r="G1009" s="145"/>
      <c r="H1009" s="211"/>
      <c r="I1009" s="145"/>
      <c r="J1009" s="211"/>
      <c r="K1009" s="75"/>
      <c r="L1009" s="152"/>
      <c r="M1009" s="152"/>
      <c r="N1009" s="296"/>
      <c r="O1009" s="213"/>
      <c r="P1009" s="47"/>
      <c r="Q1009" s="47"/>
      <c r="R1009" s="47"/>
      <c r="S1009" s="193"/>
      <c r="T1009" s="77"/>
      <c r="U1009" s="78"/>
      <c r="V1009" s="78"/>
      <c r="W1009" s="77"/>
    </row>
    <row r="1010">
      <c r="A1010" s="145"/>
      <c r="B1010" s="145"/>
      <c r="C1010" s="145"/>
      <c r="D1010" s="75"/>
      <c r="E1010" s="75"/>
      <c r="F1010" s="211"/>
      <c r="G1010" s="145"/>
      <c r="H1010" s="211"/>
      <c r="I1010" s="145"/>
      <c r="J1010" s="211"/>
      <c r="K1010" s="75"/>
      <c r="L1010" s="152"/>
      <c r="M1010" s="152"/>
      <c r="N1010" s="296"/>
      <c r="O1010" s="213"/>
      <c r="P1010" s="47"/>
      <c r="Q1010" s="47"/>
      <c r="R1010" s="47"/>
      <c r="S1010" s="193"/>
      <c r="T1010" s="77"/>
      <c r="U1010" s="78"/>
      <c r="V1010" s="78"/>
      <c r="W1010" s="77"/>
    </row>
    <row r="1011">
      <c r="A1011" s="145"/>
      <c r="B1011" s="145"/>
      <c r="C1011" s="145"/>
      <c r="D1011" s="75"/>
      <c r="E1011" s="75"/>
      <c r="F1011" s="211"/>
      <c r="G1011" s="145"/>
      <c r="H1011" s="211"/>
      <c r="I1011" s="145"/>
      <c r="J1011" s="211"/>
      <c r="K1011" s="75"/>
      <c r="L1011" s="152"/>
      <c r="M1011" s="152"/>
      <c r="N1011" s="296"/>
      <c r="O1011" s="213"/>
      <c r="P1011" s="47"/>
      <c r="Q1011" s="47"/>
      <c r="R1011" s="47"/>
      <c r="S1011" s="193"/>
      <c r="T1011" s="77"/>
      <c r="U1011" s="78"/>
      <c r="V1011" s="78"/>
      <c r="W1011" s="77"/>
    </row>
    <row r="1012">
      <c r="A1012" s="145"/>
      <c r="B1012" s="145"/>
      <c r="C1012" s="145"/>
      <c r="D1012" s="75"/>
      <c r="E1012" s="75"/>
      <c r="F1012" s="211"/>
      <c r="G1012" s="145"/>
      <c r="H1012" s="211"/>
      <c r="I1012" s="145"/>
      <c r="J1012" s="211"/>
      <c r="K1012" s="75"/>
      <c r="L1012" s="152"/>
      <c r="M1012" s="152"/>
      <c r="N1012" s="296"/>
      <c r="O1012" s="213"/>
      <c r="P1012" s="47"/>
      <c r="Q1012" s="47"/>
      <c r="R1012" s="47"/>
      <c r="S1012" s="193"/>
      <c r="T1012" s="77"/>
      <c r="U1012" s="78"/>
      <c r="V1012" s="78"/>
      <c r="W1012" s="77"/>
    </row>
    <row r="1013">
      <c r="A1013" s="145"/>
      <c r="B1013" s="145"/>
      <c r="C1013" s="145"/>
      <c r="D1013" s="75"/>
      <c r="E1013" s="75"/>
      <c r="F1013" s="211"/>
      <c r="G1013" s="145"/>
      <c r="H1013" s="211"/>
      <c r="I1013" s="145"/>
      <c r="J1013" s="211"/>
      <c r="K1013" s="75"/>
      <c r="L1013" s="152"/>
      <c r="M1013" s="152"/>
      <c r="N1013" s="296"/>
      <c r="O1013" s="213"/>
      <c r="P1013" s="47"/>
      <c r="Q1013" s="47"/>
      <c r="R1013" s="47"/>
      <c r="S1013" s="193"/>
      <c r="T1013" s="77"/>
      <c r="U1013" s="78"/>
      <c r="V1013" s="78"/>
      <c r="W1013" s="77"/>
    </row>
    <row r="1014">
      <c r="A1014" s="145"/>
      <c r="B1014" s="145"/>
      <c r="C1014" s="145"/>
      <c r="D1014" s="75"/>
      <c r="E1014" s="75"/>
      <c r="F1014" s="211"/>
      <c r="G1014" s="145"/>
      <c r="H1014" s="211"/>
      <c r="I1014" s="145"/>
      <c r="J1014" s="211"/>
      <c r="K1014" s="75"/>
      <c r="L1014" s="152"/>
      <c r="M1014" s="152"/>
      <c r="N1014" s="296"/>
      <c r="O1014" s="213"/>
      <c r="P1014" s="47"/>
      <c r="Q1014" s="47"/>
      <c r="R1014" s="47"/>
      <c r="S1014" s="193"/>
      <c r="T1014" s="77"/>
      <c r="U1014" s="78"/>
      <c r="V1014" s="78"/>
      <c r="W1014" s="77"/>
    </row>
    <row r="1015">
      <c r="A1015" s="145"/>
      <c r="B1015" s="145"/>
      <c r="C1015" s="145"/>
      <c r="D1015" s="75"/>
      <c r="E1015" s="75"/>
      <c r="F1015" s="211"/>
      <c r="G1015" s="145"/>
      <c r="H1015" s="211"/>
      <c r="I1015" s="145"/>
      <c r="J1015" s="211"/>
      <c r="K1015" s="75"/>
      <c r="L1015" s="152"/>
      <c r="M1015" s="152"/>
      <c r="N1015" s="296"/>
      <c r="O1015" s="213"/>
      <c r="P1015" s="47"/>
      <c r="Q1015" s="47"/>
      <c r="R1015" s="47"/>
      <c r="S1015" s="193"/>
      <c r="T1015" s="77"/>
      <c r="U1015" s="78"/>
      <c r="V1015" s="78"/>
      <c r="W1015" s="77"/>
    </row>
    <row r="1016">
      <c r="A1016" s="145"/>
      <c r="B1016" s="145"/>
      <c r="C1016" s="145"/>
      <c r="D1016" s="75"/>
      <c r="E1016" s="75"/>
      <c r="F1016" s="211"/>
      <c r="G1016" s="145"/>
      <c r="H1016" s="211"/>
      <c r="I1016" s="145"/>
      <c r="J1016" s="211"/>
      <c r="K1016" s="75"/>
      <c r="L1016" s="152"/>
      <c r="M1016" s="152"/>
      <c r="N1016" s="296"/>
      <c r="O1016" s="213"/>
      <c r="P1016" s="47"/>
      <c r="Q1016" s="47"/>
      <c r="R1016" s="47"/>
      <c r="S1016" s="193"/>
      <c r="T1016" s="77"/>
      <c r="U1016" s="78"/>
      <c r="V1016" s="78"/>
      <c r="W1016" s="77"/>
    </row>
    <row r="1017">
      <c r="A1017" s="145"/>
      <c r="B1017" s="145"/>
      <c r="C1017" s="145"/>
      <c r="D1017" s="75"/>
      <c r="E1017" s="75"/>
      <c r="F1017" s="211"/>
      <c r="G1017" s="145"/>
      <c r="H1017" s="211"/>
      <c r="I1017" s="145"/>
      <c r="J1017" s="211"/>
      <c r="K1017" s="75"/>
      <c r="L1017" s="152"/>
      <c r="M1017" s="152"/>
      <c r="N1017" s="296"/>
      <c r="O1017" s="213"/>
      <c r="P1017" s="47"/>
      <c r="Q1017" s="47"/>
      <c r="R1017" s="47"/>
      <c r="S1017" s="193"/>
      <c r="T1017" s="77"/>
      <c r="U1017" s="78"/>
      <c r="V1017" s="78"/>
      <c r="W1017" s="77"/>
    </row>
    <row r="1018">
      <c r="A1018" s="145"/>
      <c r="B1018" s="145"/>
      <c r="C1018" s="145"/>
      <c r="D1018" s="75"/>
      <c r="E1018" s="75"/>
      <c r="F1018" s="211"/>
      <c r="G1018" s="145"/>
      <c r="H1018" s="211"/>
      <c r="I1018" s="145"/>
      <c r="J1018" s="211"/>
      <c r="K1018" s="75"/>
      <c r="L1018" s="152"/>
      <c r="M1018" s="152"/>
      <c r="N1018" s="296"/>
      <c r="O1018" s="213"/>
      <c r="P1018" s="47"/>
      <c r="Q1018" s="47"/>
      <c r="R1018" s="47"/>
      <c r="S1018" s="193"/>
      <c r="T1018" s="77"/>
      <c r="U1018" s="78"/>
      <c r="V1018" s="78"/>
      <c r="W1018" s="77"/>
    </row>
    <row r="1019">
      <c r="A1019" s="145"/>
      <c r="B1019" s="145"/>
      <c r="C1019" s="145"/>
      <c r="D1019" s="75"/>
      <c r="E1019" s="75"/>
      <c r="F1019" s="211"/>
      <c r="G1019" s="145"/>
      <c r="H1019" s="211"/>
      <c r="I1019" s="145"/>
      <c r="J1019" s="211"/>
      <c r="K1019" s="75"/>
      <c r="L1019" s="152"/>
      <c r="M1019" s="152"/>
      <c r="N1019" s="296"/>
      <c r="O1019" s="213"/>
      <c r="P1019" s="47"/>
      <c r="Q1019" s="47"/>
      <c r="R1019" s="47"/>
      <c r="S1019" s="193"/>
      <c r="T1019" s="77"/>
      <c r="U1019" s="78"/>
      <c r="V1019" s="78"/>
      <c r="W1019" s="77"/>
    </row>
    <row r="1020">
      <c r="A1020" s="145"/>
      <c r="B1020" s="145"/>
      <c r="C1020" s="145"/>
      <c r="D1020" s="75"/>
      <c r="E1020" s="75"/>
      <c r="F1020" s="211"/>
      <c r="G1020" s="145"/>
      <c r="H1020" s="211"/>
      <c r="I1020" s="145"/>
      <c r="J1020" s="211"/>
      <c r="K1020" s="75"/>
      <c r="L1020" s="152"/>
      <c r="M1020" s="152"/>
      <c r="N1020" s="296"/>
      <c r="O1020" s="213"/>
      <c r="P1020" s="47"/>
      <c r="Q1020" s="47"/>
      <c r="R1020" s="47"/>
      <c r="S1020" s="193"/>
      <c r="T1020" s="77"/>
      <c r="U1020" s="78"/>
      <c r="V1020" s="78"/>
      <c r="W1020" s="77"/>
    </row>
    <row r="1021">
      <c r="A1021" s="145"/>
      <c r="B1021" s="145"/>
      <c r="C1021" s="145"/>
      <c r="D1021" s="75"/>
      <c r="E1021" s="75"/>
      <c r="F1021" s="211"/>
      <c r="G1021" s="145"/>
      <c r="H1021" s="211"/>
      <c r="I1021" s="145"/>
      <c r="J1021" s="211"/>
      <c r="K1021" s="75"/>
      <c r="L1021" s="152"/>
      <c r="M1021" s="152"/>
      <c r="N1021" s="296"/>
      <c r="O1021" s="213"/>
      <c r="P1021" s="47"/>
      <c r="Q1021" s="47"/>
      <c r="R1021" s="47"/>
      <c r="S1021" s="193"/>
      <c r="T1021" s="77"/>
      <c r="U1021" s="78"/>
      <c r="V1021" s="78"/>
      <c r="W1021" s="77"/>
    </row>
    <row r="1022">
      <c r="A1022" s="145"/>
      <c r="B1022" s="145"/>
      <c r="C1022" s="145"/>
      <c r="D1022" s="75"/>
      <c r="E1022" s="75"/>
      <c r="F1022" s="211"/>
      <c r="G1022" s="145"/>
      <c r="H1022" s="211"/>
      <c r="I1022" s="145"/>
      <c r="J1022" s="211"/>
      <c r="K1022" s="75"/>
      <c r="L1022" s="152"/>
      <c r="M1022" s="152"/>
      <c r="N1022" s="296"/>
      <c r="O1022" s="213"/>
      <c r="P1022" s="47"/>
      <c r="Q1022" s="47"/>
      <c r="R1022" s="47"/>
      <c r="S1022" s="193"/>
      <c r="T1022" s="77"/>
      <c r="U1022" s="78"/>
      <c r="V1022" s="78"/>
      <c r="W1022" s="77"/>
    </row>
    <row r="1023">
      <c r="A1023" s="145"/>
      <c r="B1023" s="145"/>
      <c r="C1023" s="145"/>
      <c r="D1023" s="75"/>
      <c r="E1023" s="75"/>
      <c r="F1023" s="211"/>
      <c r="G1023" s="145"/>
      <c r="H1023" s="211"/>
      <c r="I1023" s="145"/>
      <c r="J1023" s="211"/>
      <c r="K1023" s="75"/>
      <c r="L1023" s="152"/>
      <c r="M1023" s="152"/>
      <c r="N1023" s="296"/>
      <c r="O1023" s="213"/>
      <c r="P1023" s="47"/>
      <c r="Q1023" s="47"/>
      <c r="R1023" s="47"/>
      <c r="S1023" s="193"/>
      <c r="T1023" s="77"/>
      <c r="U1023" s="78"/>
      <c r="V1023" s="78"/>
      <c r="W1023" s="77"/>
    </row>
    <row r="1024">
      <c r="A1024" s="145"/>
      <c r="B1024" s="145"/>
      <c r="C1024" s="145"/>
      <c r="D1024" s="75"/>
      <c r="E1024" s="75"/>
      <c r="F1024" s="211"/>
      <c r="G1024" s="145"/>
      <c r="H1024" s="211"/>
      <c r="I1024" s="145"/>
      <c r="J1024" s="211"/>
      <c r="K1024" s="75"/>
      <c r="L1024" s="152"/>
      <c r="M1024" s="152"/>
      <c r="N1024" s="296"/>
      <c r="O1024" s="213"/>
      <c r="P1024" s="47"/>
      <c r="Q1024" s="47"/>
      <c r="R1024" s="47"/>
      <c r="S1024" s="193"/>
      <c r="T1024" s="77"/>
      <c r="U1024" s="78"/>
      <c r="V1024" s="78"/>
      <c r="W1024" s="77"/>
    </row>
    <row r="1025">
      <c r="A1025" s="145"/>
      <c r="B1025" s="145"/>
      <c r="C1025" s="145"/>
      <c r="D1025" s="75"/>
      <c r="E1025" s="75"/>
      <c r="F1025" s="211"/>
      <c r="G1025" s="145"/>
      <c r="H1025" s="211"/>
      <c r="I1025" s="145"/>
      <c r="J1025" s="211"/>
      <c r="K1025" s="75"/>
      <c r="L1025" s="152"/>
      <c r="M1025" s="152"/>
      <c r="N1025" s="296"/>
      <c r="O1025" s="213"/>
      <c r="P1025" s="47"/>
      <c r="Q1025" s="47"/>
      <c r="R1025" s="47"/>
      <c r="S1025" s="193"/>
      <c r="T1025" s="77"/>
      <c r="U1025" s="78"/>
      <c r="V1025" s="78"/>
      <c r="W1025" s="77"/>
    </row>
    <row r="1026">
      <c r="A1026" s="145"/>
      <c r="B1026" s="145"/>
      <c r="C1026" s="145"/>
      <c r="D1026" s="75"/>
      <c r="E1026" s="75"/>
      <c r="F1026" s="211"/>
      <c r="G1026" s="145"/>
      <c r="H1026" s="211"/>
      <c r="I1026" s="145"/>
      <c r="J1026" s="211"/>
      <c r="K1026" s="75"/>
      <c r="L1026" s="152"/>
      <c r="M1026" s="152"/>
      <c r="N1026" s="296"/>
      <c r="O1026" s="213"/>
      <c r="P1026" s="47"/>
      <c r="Q1026" s="47"/>
      <c r="R1026" s="47"/>
      <c r="S1026" s="193"/>
      <c r="T1026" s="77"/>
      <c r="U1026" s="78"/>
      <c r="V1026" s="78"/>
      <c r="W1026" s="77"/>
    </row>
    <row r="1027">
      <c r="A1027" s="145"/>
      <c r="B1027" s="145"/>
      <c r="C1027" s="145"/>
      <c r="D1027" s="75"/>
      <c r="E1027" s="75"/>
      <c r="F1027" s="211"/>
      <c r="G1027" s="145"/>
      <c r="H1027" s="211"/>
      <c r="I1027" s="145"/>
      <c r="J1027" s="211"/>
      <c r="K1027" s="75"/>
      <c r="L1027" s="152"/>
      <c r="M1027" s="152"/>
      <c r="N1027" s="296"/>
      <c r="O1027" s="213"/>
      <c r="P1027" s="47"/>
      <c r="Q1027" s="47"/>
      <c r="R1027" s="47"/>
      <c r="S1027" s="193"/>
      <c r="T1027" s="77"/>
      <c r="U1027" s="78"/>
      <c r="V1027" s="78"/>
      <c r="W1027" s="77"/>
    </row>
    <row r="1028">
      <c r="A1028" s="145"/>
      <c r="B1028" s="145"/>
      <c r="C1028" s="145"/>
      <c r="D1028" s="75"/>
      <c r="E1028" s="75"/>
      <c r="F1028" s="211"/>
      <c r="G1028" s="145"/>
      <c r="H1028" s="211"/>
      <c r="I1028" s="145"/>
      <c r="J1028" s="211"/>
      <c r="K1028" s="75"/>
      <c r="L1028" s="152"/>
      <c r="M1028" s="152"/>
      <c r="N1028" s="296"/>
      <c r="O1028" s="213"/>
      <c r="P1028" s="47"/>
      <c r="Q1028" s="47"/>
      <c r="R1028" s="47"/>
      <c r="S1028" s="193"/>
      <c r="T1028" s="77"/>
      <c r="U1028" s="78"/>
      <c r="V1028" s="78"/>
      <c r="W1028" s="77"/>
    </row>
    <row r="1029">
      <c r="A1029" s="145"/>
      <c r="B1029" s="145"/>
      <c r="C1029" s="145"/>
      <c r="D1029" s="75"/>
      <c r="E1029" s="75"/>
      <c r="F1029" s="211"/>
      <c r="G1029" s="145"/>
      <c r="H1029" s="211"/>
      <c r="I1029" s="145"/>
      <c r="J1029" s="211"/>
      <c r="K1029" s="75"/>
      <c r="L1029" s="152"/>
      <c r="M1029" s="152"/>
      <c r="N1029" s="296"/>
      <c r="O1029" s="213"/>
      <c r="P1029" s="47"/>
      <c r="Q1029" s="47"/>
      <c r="R1029" s="47"/>
      <c r="S1029" s="193"/>
      <c r="T1029" s="77"/>
      <c r="U1029" s="78"/>
      <c r="V1029" s="78"/>
      <c r="W1029" s="77"/>
    </row>
    <row r="1030">
      <c r="A1030" s="145"/>
      <c r="B1030" s="145"/>
      <c r="C1030" s="145"/>
      <c r="D1030" s="75"/>
      <c r="E1030" s="75"/>
      <c r="F1030" s="211"/>
      <c r="G1030" s="145"/>
      <c r="H1030" s="211"/>
      <c r="I1030" s="145"/>
      <c r="J1030" s="211"/>
      <c r="K1030" s="75"/>
      <c r="L1030" s="152"/>
      <c r="M1030" s="152"/>
      <c r="N1030" s="296"/>
      <c r="O1030" s="213"/>
      <c r="P1030" s="47"/>
      <c r="Q1030" s="47"/>
      <c r="R1030" s="47"/>
      <c r="S1030" s="193"/>
      <c r="T1030" s="77"/>
      <c r="U1030" s="78"/>
      <c r="V1030" s="78"/>
      <c r="W1030" s="77"/>
    </row>
    <row r="1031">
      <c r="A1031" s="145"/>
      <c r="B1031" s="145"/>
      <c r="C1031" s="145"/>
      <c r="D1031" s="75"/>
      <c r="E1031" s="75"/>
      <c r="F1031" s="211"/>
      <c r="G1031" s="145"/>
      <c r="H1031" s="211"/>
      <c r="I1031" s="145"/>
      <c r="J1031" s="211"/>
      <c r="K1031" s="75"/>
      <c r="L1031" s="152"/>
      <c r="M1031" s="152"/>
      <c r="N1031" s="296"/>
      <c r="O1031" s="213"/>
      <c r="P1031" s="47"/>
      <c r="Q1031" s="47"/>
      <c r="R1031" s="47"/>
      <c r="S1031" s="193"/>
      <c r="T1031" s="77"/>
      <c r="U1031" s="78"/>
      <c r="V1031" s="78"/>
      <c r="W1031" s="77"/>
    </row>
    <row r="1032">
      <c r="A1032" s="145"/>
      <c r="B1032" s="145"/>
      <c r="C1032" s="145"/>
      <c r="D1032" s="75"/>
      <c r="E1032" s="75"/>
      <c r="F1032" s="211"/>
      <c r="G1032" s="145"/>
      <c r="H1032" s="211"/>
      <c r="I1032" s="145"/>
      <c r="J1032" s="211"/>
      <c r="K1032" s="75"/>
      <c r="L1032" s="152"/>
      <c r="M1032" s="152"/>
      <c r="N1032" s="296"/>
      <c r="O1032" s="213"/>
      <c r="P1032" s="47"/>
      <c r="Q1032" s="47"/>
      <c r="R1032" s="47"/>
      <c r="S1032" s="193"/>
      <c r="T1032" s="77"/>
      <c r="U1032" s="78"/>
      <c r="V1032" s="78"/>
      <c r="W1032" s="77"/>
    </row>
    <row r="1033">
      <c r="A1033" s="145"/>
      <c r="B1033" s="145"/>
      <c r="C1033" s="145"/>
      <c r="D1033" s="75"/>
      <c r="E1033" s="75"/>
      <c r="F1033" s="211"/>
      <c r="G1033" s="145"/>
      <c r="H1033" s="211"/>
      <c r="I1033" s="145"/>
      <c r="J1033" s="211"/>
      <c r="K1033" s="75"/>
      <c r="L1033" s="152"/>
      <c r="M1033" s="152"/>
      <c r="N1033" s="296"/>
      <c r="O1033" s="213"/>
      <c r="P1033" s="47"/>
      <c r="Q1033" s="47"/>
      <c r="R1033" s="47"/>
      <c r="S1033" s="193"/>
      <c r="T1033" s="77"/>
      <c r="U1033" s="78"/>
      <c r="V1033" s="78"/>
      <c r="W1033" s="77"/>
    </row>
    <row r="1034">
      <c r="A1034" s="145"/>
      <c r="B1034" s="145"/>
      <c r="C1034" s="145"/>
      <c r="D1034" s="75"/>
      <c r="E1034" s="75"/>
      <c r="F1034" s="211"/>
      <c r="G1034" s="145"/>
      <c r="H1034" s="211"/>
      <c r="I1034" s="145"/>
      <c r="J1034" s="211"/>
      <c r="K1034" s="75"/>
      <c r="L1034" s="152"/>
      <c r="M1034" s="152"/>
      <c r="N1034" s="296"/>
      <c r="O1034" s="213"/>
      <c r="P1034" s="47"/>
      <c r="Q1034" s="47"/>
      <c r="R1034" s="47"/>
      <c r="S1034" s="193"/>
      <c r="T1034" s="77"/>
      <c r="U1034" s="78"/>
      <c r="V1034" s="78"/>
      <c r="W1034" s="77"/>
    </row>
    <row r="1035">
      <c r="A1035" s="145"/>
      <c r="B1035" s="145"/>
      <c r="C1035" s="145"/>
      <c r="D1035" s="75"/>
      <c r="E1035" s="75"/>
      <c r="F1035" s="211"/>
      <c r="G1035" s="145"/>
      <c r="H1035" s="211"/>
      <c r="I1035" s="145"/>
      <c r="J1035" s="211"/>
      <c r="K1035" s="75"/>
      <c r="L1035" s="152"/>
      <c r="M1035" s="152"/>
      <c r="N1035" s="296"/>
      <c r="O1035" s="213"/>
      <c r="P1035" s="47"/>
      <c r="Q1035" s="47"/>
      <c r="R1035" s="47"/>
      <c r="S1035" s="193"/>
      <c r="T1035" s="77"/>
      <c r="U1035" s="78"/>
      <c r="V1035" s="78"/>
      <c r="W1035" s="77"/>
    </row>
    <row r="1036">
      <c r="A1036" s="145"/>
      <c r="B1036" s="145"/>
      <c r="C1036" s="145"/>
      <c r="D1036" s="75"/>
      <c r="E1036" s="75"/>
      <c r="F1036" s="211"/>
      <c r="G1036" s="145"/>
      <c r="H1036" s="211"/>
      <c r="I1036" s="145"/>
      <c r="J1036" s="211"/>
      <c r="K1036" s="75"/>
      <c r="L1036" s="152"/>
      <c r="M1036" s="152"/>
      <c r="N1036" s="296"/>
      <c r="O1036" s="213"/>
      <c r="P1036" s="47"/>
      <c r="Q1036" s="47"/>
      <c r="R1036" s="47"/>
      <c r="S1036" s="193"/>
      <c r="T1036" s="77"/>
      <c r="U1036" s="78"/>
      <c r="V1036" s="78"/>
      <c r="W1036" s="77"/>
    </row>
    <row r="1037">
      <c r="A1037" s="145"/>
      <c r="B1037" s="145"/>
      <c r="C1037" s="145"/>
      <c r="D1037" s="75"/>
      <c r="E1037" s="75"/>
      <c r="F1037" s="211"/>
      <c r="G1037" s="145"/>
      <c r="H1037" s="211"/>
      <c r="I1037" s="145"/>
      <c r="J1037" s="211"/>
      <c r="K1037" s="75"/>
      <c r="L1037" s="152"/>
      <c r="M1037" s="152"/>
      <c r="N1037" s="296"/>
      <c r="O1037" s="213"/>
      <c r="P1037" s="47"/>
      <c r="Q1037" s="47"/>
      <c r="R1037" s="47"/>
      <c r="S1037" s="193"/>
      <c r="T1037" s="77"/>
      <c r="U1037" s="78"/>
      <c r="V1037" s="78"/>
      <c r="W1037" s="77"/>
    </row>
    <row r="1038">
      <c r="A1038" s="145"/>
      <c r="B1038" s="145"/>
      <c r="C1038" s="145"/>
      <c r="D1038" s="75"/>
      <c r="E1038" s="75"/>
      <c r="F1038" s="211"/>
      <c r="G1038" s="145"/>
      <c r="H1038" s="211"/>
      <c r="I1038" s="145"/>
      <c r="J1038" s="211"/>
      <c r="K1038" s="75"/>
      <c r="L1038" s="152"/>
      <c r="M1038" s="152"/>
      <c r="N1038" s="296"/>
      <c r="O1038" s="213"/>
      <c r="P1038" s="47"/>
      <c r="Q1038" s="47"/>
      <c r="R1038" s="47"/>
      <c r="S1038" s="193"/>
      <c r="T1038" s="77"/>
      <c r="U1038" s="78"/>
      <c r="V1038" s="78"/>
      <c r="W1038" s="77"/>
    </row>
    <row r="1039">
      <c r="A1039" s="145"/>
      <c r="B1039" s="145"/>
      <c r="C1039" s="145"/>
      <c r="D1039" s="75"/>
      <c r="E1039" s="75"/>
      <c r="F1039" s="211"/>
      <c r="G1039" s="145"/>
      <c r="H1039" s="211"/>
      <c r="I1039" s="145"/>
      <c r="J1039" s="211"/>
      <c r="K1039" s="75"/>
      <c r="L1039" s="152"/>
      <c r="M1039" s="152"/>
      <c r="N1039" s="296"/>
      <c r="O1039" s="213"/>
      <c r="P1039" s="47"/>
      <c r="Q1039" s="47"/>
      <c r="R1039" s="47"/>
      <c r="S1039" s="193"/>
      <c r="T1039" s="77"/>
      <c r="U1039" s="78"/>
      <c r="V1039" s="78"/>
      <c r="W1039" s="77"/>
    </row>
    <row r="1040">
      <c r="A1040" s="145"/>
      <c r="B1040" s="145"/>
      <c r="C1040" s="145"/>
      <c r="D1040" s="75"/>
      <c r="E1040" s="75"/>
      <c r="F1040" s="211"/>
      <c r="G1040" s="145"/>
      <c r="H1040" s="211"/>
      <c r="I1040" s="145"/>
      <c r="J1040" s="211"/>
      <c r="K1040" s="75"/>
      <c r="L1040" s="152"/>
      <c r="M1040" s="152"/>
      <c r="N1040" s="296"/>
      <c r="O1040" s="213"/>
      <c r="P1040" s="47"/>
      <c r="Q1040" s="47"/>
      <c r="R1040" s="47"/>
      <c r="S1040" s="193"/>
      <c r="T1040" s="77"/>
      <c r="U1040" s="78"/>
      <c r="V1040" s="78"/>
      <c r="W1040" s="77"/>
    </row>
    <row r="1041">
      <c r="A1041" s="145"/>
      <c r="B1041" s="145"/>
      <c r="C1041" s="145"/>
      <c r="D1041" s="75"/>
      <c r="E1041" s="75"/>
      <c r="F1041" s="211"/>
      <c r="G1041" s="145"/>
      <c r="H1041" s="211"/>
      <c r="I1041" s="145"/>
      <c r="J1041" s="211"/>
      <c r="K1041" s="75"/>
      <c r="L1041" s="152"/>
      <c r="M1041" s="152"/>
      <c r="N1041" s="296"/>
      <c r="O1041" s="213"/>
      <c r="P1041" s="47"/>
      <c r="Q1041" s="47"/>
      <c r="R1041" s="47"/>
      <c r="S1041" s="193"/>
      <c r="T1041" s="77"/>
      <c r="U1041" s="78"/>
      <c r="V1041" s="78"/>
      <c r="W1041" s="77"/>
    </row>
    <row r="1042">
      <c r="A1042" s="145"/>
      <c r="B1042" s="145"/>
      <c r="C1042" s="145"/>
      <c r="D1042" s="75"/>
      <c r="E1042" s="75"/>
      <c r="F1042" s="211"/>
      <c r="G1042" s="145"/>
      <c r="H1042" s="211"/>
      <c r="I1042" s="145"/>
      <c r="J1042" s="211"/>
      <c r="K1042" s="75"/>
      <c r="L1042" s="152"/>
      <c r="M1042" s="152"/>
      <c r="N1042" s="296"/>
      <c r="O1042" s="213"/>
      <c r="P1042" s="47"/>
      <c r="Q1042" s="47"/>
      <c r="R1042" s="47"/>
      <c r="S1042" s="193"/>
      <c r="T1042" s="77"/>
      <c r="U1042" s="78"/>
      <c r="V1042" s="78"/>
      <c r="W1042" s="77"/>
    </row>
    <row r="1043">
      <c r="A1043" s="145"/>
      <c r="B1043" s="145"/>
      <c r="C1043" s="145"/>
      <c r="D1043" s="75"/>
      <c r="E1043" s="75"/>
      <c r="F1043" s="211"/>
      <c r="G1043" s="145"/>
      <c r="H1043" s="211"/>
      <c r="I1043" s="145"/>
      <c r="J1043" s="211"/>
      <c r="K1043" s="75"/>
      <c r="L1043" s="152"/>
      <c r="M1043" s="152"/>
      <c r="N1043" s="296"/>
      <c r="O1043" s="213"/>
      <c r="P1043" s="47"/>
      <c r="Q1043" s="47"/>
      <c r="R1043" s="47"/>
      <c r="S1043" s="193"/>
      <c r="T1043" s="77"/>
      <c r="U1043" s="78"/>
      <c r="V1043" s="78"/>
      <c r="W1043" s="77"/>
    </row>
    <row r="1044">
      <c r="A1044" s="145"/>
      <c r="B1044" s="145"/>
      <c r="C1044" s="145"/>
      <c r="D1044" s="75"/>
      <c r="E1044" s="75"/>
      <c r="F1044" s="211"/>
      <c r="G1044" s="145"/>
      <c r="H1044" s="211"/>
      <c r="I1044" s="145"/>
      <c r="J1044" s="211"/>
      <c r="K1044" s="75"/>
      <c r="L1044" s="152"/>
      <c r="M1044" s="152"/>
      <c r="N1044" s="296"/>
      <c r="O1044" s="213"/>
      <c r="P1044" s="47"/>
      <c r="Q1044" s="47"/>
      <c r="R1044" s="47"/>
      <c r="S1044" s="193"/>
      <c r="T1044" s="77"/>
      <c r="U1044" s="78"/>
      <c r="V1044" s="78"/>
      <c r="W1044" s="77"/>
    </row>
    <row r="1045">
      <c r="A1045" s="145"/>
      <c r="B1045" s="145"/>
      <c r="C1045" s="145"/>
      <c r="D1045" s="75"/>
      <c r="E1045" s="75"/>
      <c r="F1045" s="211"/>
      <c r="G1045" s="145"/>
      <c r="H1045" s="211"/>
      <c r="I1045" s="145"/>
      <c r="J1045" s="211"/>
      <c r="K1045" s="75"/>
      <c r="L1045" s="152"/>
      <c r="M1045" s="152"/>
      <c r="N1045" s="296"/>
      <c r="O1045" s="213"/>
      <c r="P1045" s="47"/>
      <c r="Q1045" s="47"/>
      <c r="R1045" s="47"/>
      <c r="S1045" s="193"/>
      <c r="T1045" s="77"/>
      <c r="U1045" s="78"/>
      <c r="V1045" s="78"/>
      <c r="W1045" s="77"/>
    </row>
    <row r="1046">
      <c r="A1046" s="145"/>
      <c r="B1046" s="145"/>
      <c r="C1046" s="145"/>
      <c r="D1046" s="75"/>
      <c r="E1046" s="75"/>
      <c r="F1046" s="211"/>
      <c r="G1046" s="145"/>
      <c r="H1046" s="211"/>
      <c r="I1046" s="145"/>
      <c r="J1046" s="211"/>
      <c r="K1046" s="75"/>
      <c r="L1046" s="152"/>
      <c r="M1046" s="152"/>
      <c r="N1046" s="296"/>
      <c r="O1046" s="213"/>
      <c r="P1046" s="47"/>
      <c r="Q1046" s="47"/>
      <c r="R1046" s="47"/>
      <c r="S1046" s="193"/>
      <c r="T1046" s="77"/>
      <c r="U1046" s="78"/>
      <c r="V1046" s="78"/>
      <c r="W1046" s="77"/>
    </row>
    <row r="1047">
      <c r="A1047" s="145"/>
      <c r="B1047" s="145"/>
      <c r="C1047" s="145"/>
      <c r="D1047" s="75"/>
      <c r="E1047" s="75"/>
      <c r="F1047" s="211"/>
      <c r="G1047" s="145"/>
      <c r="H1047" s="211"/>
      <c r="I1047" s="145"/>
      <c r="J1047" s="211"/>
      <c r="K1047" s="75"/>
      <c r="L1047" s="152"/>
      <c r="M1047" s="152"/>
      <c r="N1047" s="296"/>
      <c r="O1047" s="213"/>
      <c r="P1047" s="47"/>
      <c r="Q1047" s="47"/>
      <c r="R1047" s="47"/>
      <c r="S1047" s="193"/>
      <c r="T1047" s="77"/>
      <c r="U1047" s="78"/>
      <c r="V1047" s="78"/>
      <c r="W1047" s="77"/>
    </row>
    <row r="1048">
      <c r="A1048" s="145"/>
      <c r="B1048" s="145"/>
      <c r="C1048" s="145"/>
      <c r="D1048" s="75"/>
      <c r="E1048" s="75"/>
      <c r="F1048" s="211"/>
      <c r="G1048" s="145"/>
      <c r="H1048" s="211"/>
      <c r="I1048" s="145"/>
      <c r="J1048" s="211"/>
      <c r="K1048" s="75"/>
      <c r="L1048" s="152"/>
      <c r="M1048" s="152"/>
      <c r="N1048" s="296"/>
      <c r="O1048" s="213"/>
      <c r="P1048" s="47"/>
      <c r="Q1048" s="47"/>
      <c r="R1048" s="47"/>
      <c r="S1048" s="193"/>
      <c r="T1048" s="77"/>
      <c r="U1048" s="78"/>
      <c r="V1048" s="78"/>
      <c r="W1048" s="77"/>
    </row>
    <row r="1049">
      <c r="A1049" s="145"/>
      <c r="B1049" s="145"/>
      <c r="C1049" s="145"/>
      <c r="D1049" s="75"/>
      <c r="E1049" s="75"/>
      <c r="F1049" s="211"/>
      <c r="G1049" s="145"/>
      <c r="H1049" s="211"/>
      <c r="I1049" s="145"/>
      <c r="J1049" s="211"/>
      <c r="K1049" s="75"/>
      <c r="L1049" s="152"/>
      <c r="M1049" s="152"/>
      <c r="N1049" s="296"/>
      <c r="O1049" s="213"/>
      <c r="P1049" s="47"/>
      <c r="Q1049" s="47"/>
      <c r="R1049" s="47"/>
      <c r="S1049" s="193"/>
      <c r="T1049" s="77"/>
      <c r="U1049" s="78"/>
      <c r="V1049" s="78"/>
      <c r="W1049" s="77"/>
    </row>
    <row r="1050">
      <c r="A1050" s="145"/>
      <c r="B1050" s="145"/>
      <c r="C1050" s="145"/>
      <c r="D1050" s="75"/>
      <c r="E1050" s="75"/>
      <c r="F1050" s="211"/>
      <c r="G1050" s="145"/>
      <c r="H1050" s="211"/>
      <c r="I1050" s="145"/>
      <c r="J1050" s="211"/>
      <c r="K1050" s="75"/>
      <c r="L1050" s="152"/>
      <c r="M1050" s="152"/>
      <c r="N1050" s="296"/>
      <c r="O1050" s="213"/>
      <c r="P1050" s="47"/>
      <c r="Q1050" s="47"/>
      <c r="R1050" s="47"/>
      <c r="S1050" s="193"/>
      <c r="T1050" s="77"/>
      <c r="U1050" s="78"/>
      <c r="V1050" s="78"/>
      <c r="W1050" s="77"/>
    </row>
    <row r="1051">
      <c r="A1051" s="145"/>
      <c r="B1051" s="145"/>
      <c r="C1051" s="145"/>
      <c r="D1051" s="75"/>
      <c r="E1051" s="75"/>
      <c r="F1051" s="211"/>
      <c r="G1051" s="145"/>
      <c r="H1051" s="211"/>
      <c r="I1051" s="145"/>
      <c r="J1051" s="211"/>
      <c r="K1051" s="75"/>
      <c r="L1051" s="152"/>
      <c r="M1051" s="152"/>
      <c r="N1051" s="296"/>
      <c r="O1051" s="213"/>
      <c r="P1051" s="47"/>
      <c r="Q1051" s="47"/>
      <c r="R1051" s="47"/>
      <c r="S1051" s="193"/>
      <c r="T1051" s="77"/>
      <c r="U1051" s="78"/>
      <c r="V1051" s="78"/>
      <c r="W1051" s="77"/>
    </row>
    <row r="1052">
      <c r="A1052" s="145"/>
      <c r="B1052" s="145"/>
      <c r="C1052" s="145"/>
      <c r="D1052" s="75"/>
      <c r="E1052" s="75"/>
      <c r="F1052" s="211"/>
      <c r="G1052" s="145"/>
      <c r="H1052" s="211"/>
      <c r="I1052" s="145"/>
      <c r="J1052" s="211"/>
      <c r="K1052" s="75"/>
      <c r="L1052" s="152"/>
      <c r="M1052" s="152"/>
      <c r="N1052" s="296"/>
      <c r="O1052" s="213"/>
      <c r="P1052" s="47"/>
      <c r="Q1052" s="47"/>
      <c r="R1052" s="47"/>
      <c r="S1052" s="193"/>
      <c r="T1052" s="77"/>
      <c r="U1052" s="78"/>
      <c r="V1052" s="78"/>
      <c r="W1052" s="77"/>
    </row>
    <row r="1053">
      <c r="A1053" s="145"/>
      <c r="B1053" s="145"/>
      <c r="C1053" s="145"/>
      <c r="D1053" s="75"/>
      <c r="E1053" s="75"/>
      <c r="F1053" s="211"/>
      <c r="G1053" s="145"/>
      <c r="H1053" s="211"/>
      <c r="I1053" s="145"/>
      <c r="J1053" s="211"/>
      <c r="K1053" s="75"/>
      <c r="L1053" s="152"/>
      <c r="M1053" s="152"/>
      <c r="N1053" s="296"/>
      <c r="O1053" s="213"/>
      <c r="P1053" s="47"/>
      <c r="Q1053" s="47"/>
      <c r="R1053" s="47"/>
      <c r="S1053" s="193"/>
      <c r="T1053" s="77"/>
      <c r="U1053" s="78"/>
      <c r="V1053" s="78"/>
      <c r="W1053" s="77"/>
    </row>
    <row r="1054">
      <c r="A1054" s="145"/>
      <c r="B1054" s="145"/>
      <c r="C1054" s="145"/>
      <c r="D1054" s="75"/>
      <c r="E1054" s="75"/>
      <c r="F1054" s="211"/>
      <c r="G1054" s="145"/>
      <c r="H1054" s="211"/>
      <c r="I1054" s="145"/>
      <c r="J1054" s="211"/>
      <c r="K1054" s="75"/>
      <c r="L1054" s="152"/>
      <c r="M1054" s="152"/>
      <c r="N1054" s="296"/>
      <c r="O1054" s="213"/>
      <c r="P1054" s="47"/>
      <c r="Q1054" s="47"/>
      <c r="R1054" s="47"/>
      <c r="S1054" s="193"/>
      <c r="T1054" s="77"/>
      <c r="U1054" s="78"/>
      <c r="V1054" s="78"/>
      <c r="W1054" s="77"/>
    </row>
    <row r="1055">
      <c r="A1055" s="145"/>
      <c r="B1055" s="145"/>
      <c r="C1055" s="145"/>
      <c r="D1055" s="75"/>
      <c r="E1055" s="75"/>
      <c r="F1055" s="211"/>
      <c r="G1055" s="145"/>
      <c r="H1055" s="211"/>
      <c r="I1055" s="145"/>
      <c r="J1055" s="211"/>
      <c r="K1055" s="75"/>
      <c r="L1055" s="152"/>
      <c r="M1055" s="152"/>
      <c r="N1055" s="296"/>
      <c r="O1055" s="213"/>
      <c r="P1055" s="47"/>
      <c r="Q1055" s="47"/>
      <c r="R1055" s="47"/>
      <c r="S1055" s="193"/>
      <c r="T1055" s="77"/>
      <c r="U1055" s="78"/>
      <c r="V1055" s="78"/>
      <c r="W1055" s="77"/>
    </row>
    <row r="1056">
      <c r="A1056" s="145"/>
      <c r="B1056" s="145"/>
      <c r="C1056" s="145"/>
      <c r="D1056" s="75"/>
      <c r="E1056" s="75"/>
      <c r="F1056" s="211"/>
      <c r="G1056" s="145"/>
      <c r="H1056" s="211"/>
      <c r="I1056" s="145"/>
      <c r="J1056" s="211"/>
      <c r="K1056" s="75"/>
      <c r="L1056" s="152"/>
      <c r="M1056" s="152"/>
      <c r="N1056" s="296"/>
      <c r="O1056" s="213"/>
      <c r="P1056" s="47"/>
      <c r="Q1056" s="47"/>
      <c r="R1056" s="47"/>
      <c r="S1056" s="193"/>
      <c r="T1056" s="77"/>
      <c r="U1056" s="78"/>
      <c r="V1056" s="78"/>
      <c r="W1056" s="77"/>
    </row>
    <row r="1057">
      <c r="A1057" s="145"/>
      <c r="B1057" s="145"/>
      <c r="C1057" s="145"/>
      <c r="D1057" s="75"/>
      <c r="E1057" s="75"/>
      <c r="F1057" s="211"/>
      <c r="G1057" s="145"/>
      <c r="H1057" s="211"/>
      <c r="I1057" s="145"/>
      <c r="J1057" s="211"/>
      <c r="K1057" s="75"/>
      <c r="L1057" s="152"/>
      <c r="M1057" s="152"/>
      <c r="N1057" s="296"/>
      <c r="O1057" s="213"/>
      <c r="P1057" s="47"/>
      <c r="Q1057" s="47"/>
      <c r="R1057" s="47"/>
      <c r="S1057" s="193"/>
      <c r="T1057" s="77"/>
      <c r="U1057" s="78"/>
      <c r="V1057" s="78"/>
      <c r="W1057" s="77"/>
    </row>
    <row r="1058">
      <c r="A1058" s="145"/>
      <c r="B1058" s="145"/>
      <c r="C1058" s="145"/>
      <c r="D1058" s="75"/>
      <c r="E1058" s="75"/>
      <c r="F1058" s="211"/>
      <c r="G1058" s="145"/>
      <c r="H1058" s="211"/>
      <c r="I1058" s="145"/>
      <c r="J1058" s="211"/>
      <c r="K1058" s="75"/>
      <c r="L1058" s="152"/>
      <c r="M1058" s="152"/>
      <c r="N1058" s="296"/>
      <c r="O1058" s="213"/>
      <c r="P1058" s="47"/>
      <c r="Q1058" s="47"/>
      <c r="R1058" s="47"/>
      <c r="S1058" s="193"/>
      <c r="T1058" s="77"/>
      <c r="U1058" s="78"/>
      <c r="V1058" s="78"/>
      <c r="W1058" s="77"/>
    </row>
    <row r="1059">
      <c r="A1059" s="145"/>
      <c r="B1059" s="145"/>
      <c r="C1059" s="145"/>
      <c r="D1059" s="75"/>
      <c r="E1059" s="75"/>
      <c r="F1059" s="211"/>
      <c r="G1059" s="145"/>
      <c r="H1059" s="211"/>
      <c r="I1059" s="145"/>
      <c r="J1059" s="211"/>
      <c r="K1059" s="75"/>
      <c r="L1059" s="152"/>
      <c r="M1059" s="152"/>
      <c r="N1059" s="296"/>
      <c r="O1059" s="213"/>
      <c r="P1059" s="47"/>
      <c r="Q1059" s="47"/>
      <c r="R1059" s="47"/>
      <c r="S1059" s="193"/>
      <c r="T1059" s="77"/>
      <c r="U1059" s="78"/>
      <c r="V1059" s="78"/>
      <c r="W1059" s="77"/>
    </row>
    <row r="1060">
      <c r="A1060" s="145"/>
      <c r="B1060" s="145"/>
      <c r="C1060" s="145"/>
      <c r="D1060" s="75"/>
      <c r="E1060" s="75"/>
      <c r="F1060" s="211"/>
      <c r="G1060" s="145"/>
      <c r="H1060" s="211"/>
      <c r="I1060" s="145"/>
      <c r="J1060" s="211"/>
      <c r="K1060" s="75"/>
      <c r="L1060" s="152"/>
      <c r="M1060" s="152"/>
      <c r="N1060" s="296"/>
      <c r="O1060" s="213"/>
      <c r="P1060" s="47"/>
      <c r="Q1060" s="47"/>
      <c r="R1060" s="47"/>
      <c r="S1060" s="193"/>
      <c r="T1060" s="77"/>
      <c r="U1060" s="78"/>
      <c r="V1060" s="78"/>
      <c r="W1060" s="77"/>
    </row>
    <row r="1061">
      <c r="A1061" s="145"/>
      <c r="B1061" s="145"/>
      <c r="C1061" s="145"/>
      <c r="D1061" s="75"/>
      <c r="E1061" s="75"/>
      <c r="F1061" s="211"/>
      <c r="G1061" s="145"/>
      <c r="H1061" s="211"/>
      <c r="I1061" s="145"/>
      <c r="J1061" s="211"/>
      <c r="K1061" s="75"/>
      <c r="L1061" s="152"/>
      <c r="M1061" s="152"/>
      <c r="N1061" s="296"/>
      <c r="O1061" s="213"/>
      <c r="P1061" s="47"/>
      <c r="Q1061" s="47"/>
      <c r="R1061" s="47"/>
      <c r="S1061" s="193"/>
      <c r="T1061" s="77"/>
      <c r="U1061" s="78"/>
      <c r="V1061" s="78"/>
      <c r="W1061" s="77"/>
    </row>
    <row r="1062">
      <c r="A1062" s="145"/>
      <c r="B1062" s="145"/>
      <c r="C1062" s="145"/>
      <c r="D1062" s="75"/>
      <c r="E1062" s="75"/>
      <c r="F1062" s="211"/>
      <c r="G1062" s="145"/>
      <c r="H1062" s="211"/>
      <c r="I1062" s="145"/>
      <c r="J1062" s="211"/>
      <c r="K1062" s="75"/>
      <c r="L1062" s="152"/>
      <c r="M1062" s="152"/>
      <c r="N1062" s="296"/>
      <c r="O1062" s="213"/>
      <c r="P1062" s="47"/>
      <c r="Q1062" s="47"/>
      <c r="R1062" s="47"/>
      <c r="S1062" s="193"/>
      <c r="T1062" s="77"/>
      <c r="U1062" s="78"/>
      <c r="V1062" s="78"/>
      <c r="W1062" s="77"/>
    </row>
    <row r="1063">
      <c r="A1063" s="145"/>
      <c r="B1063" s="145"/>
      <c r="C1063" s="145"/>
      <c r="D1063" s="75"/>
      <c r="E1063" s="75"/>
      <c r="F1063" s="211"/>
      <c r="G1063" s="145"/>
      <c r="H1063" s="211"/>
      <c r="I1063" s="145"/>
      <c r="J1063" s="211"/>
      <c r="K1063" s="75"/>
      <c r="L1063" s="152"/>
      <c r="M1063" s="152"/>
      <c r="N1063" s="296"/>
      <c r="O1063" s="213"/>
      <c r="P1063" s="47"/>
      <c r="Q1063" s="47"/>
      <c r="R1063" s="47"/>
      <c r="S1063" s="193"/>
      <c r="T1063" s="77"/>
      <c r="U1063" s="78"/>
      <c r="V1063" s="78"/>
      <c r="W1063" s="77"/>
    </row>
    <row r="1064">
      <c r="A1064" s="145"/>
      <c r="B1064" s="145"/>
      <c r="C1064" s="145"/>
      <c r="D1064" s="75"/>
      <c r="E1064" s="75"/>
      <c r="F1064" s="211"/>
      <c r="G1064" s="145"/>
      <c r="H1064" s="211"/>
      <c r="I1064" s="145"/>
      <c r="J1064" s="211"/>
      <c r="K1064" s="75"/>
      <c r="L1064" s="152"/>
      <c r="M1064" s="152"/>
      <c r="N1064" s="296"/>
      <c r="O1064" s="213"/>
      <c r="P1064" s="47"/>
      <c r="Q1064" s="47"/>
      <c r="R1064" s="47"/>
      <c r="S1064" s="193"/>
      <c r="T1064" s="77"/>
      <c r="U1064" s="78"/>
      <c r="V1064" s="78"/>
      <c r="W1064" s="77"/>
    </row>
    <row r="1065">
      <c r="A1065" s="145"/>
      <c r="B1065" s="145"/>
      <c r="C1065" s="145"/>
      <c r="D1065" s="75"/>
      <c r="E1065" s="75"/>
      <c r="F1065" s="211"/>
      <c r="G1065" s="145"/>
      <c r="H1065" s="211"/>
      <c r="I1065" s="145"/>
      <c r="J1065" s="211"/>
      <c r="K1065" s="75"/>
      <c r="L1065" s="152"/>
      <c r="M1065" s="152"/>
      <c r="N1065" s="296"/>
      <c r="O1065" s="213"/>
      <c r="P1065" s="47"/>
      <c r="Q1065" s="47"/>
      <c r="R1065" s="47"/>
      <c r="S1065" s="193"/>
      <c r="T1065" s="77"/>
      <c r="U1065" s="78"/>
      <c r="V1065" s="78"/>
      <c r="W1065" s="77"/>
    </row>
    <row r="1066">
      <c r="A1066" s="145"/>
      <c r="B1066" s="145"/>
      <c r="C1066" s="145"/>
      <c r="D1066" s="75"/>
      <c r="E1066" s="75"/>
      <c r="F1066" s="211"/>
      <c r="G1066" s="145"/>
      <c r="H1066" s="211"/>
      <c r="I1066" s="145"/>
      <c r="J1066" s="211"/>
      <c r="K1066" s="75"/>
      <c r="L1066" s="152"/>
      <c r="M1066" s="152"/>
      <c r="N1066" s="296"/>
      <c r="O1066" s="213"/>
      <c r="P1066" s="47"/>
      <c r="Q1066" s="47"/>
      <c r="R1066" s="47"/>
      <c r="S1066" s="193"/>
      <c r="T1066" s="77"/>
      <c r="U1066" s="78"/>
      <c r="V1066" s="78"/>
      <c r="W1066" s="77"/>
    </row>
    <row r="1067">
      <c r="A1067" s="145"/>
      <c r="B1067" s="145"/>
      <c r="C1067" s="145"/>
      <c r="D1067" s="75"/>
      <c r="E1067" s="75"/>
      <c r="F1067" s="211"/>
      <c r="G1067" s="145"/>
      <c r="H1067" s="211"/>
      <c r="I1067" s="145"/>
      <c r="J1067" s="211"/>
      <c r="K1067" s="75"/>
      <c r="L1067" s="152"/>
      <c r="M1067" s="152"/>
      <c r="N1067" s="296"/>
      <c r="O1067" s="213"/>
      <c r="P1067" s="47"/>
      <c r="Q1067" s="47"/>
      <c r="R1067" s="47"/>
      <c r="S1067" s="193"/>
      <c r="T1067" s="77"/>
      <c r="U1067" s="78"/>
      <c r="V1067" s="78"/>
      <c r="W1067" s="77"/>
    </row>
    <row r="1068">
      <c r="A1068" s="145"/>
      <c r="B1068" s="145"/>
      <c r="C1068" s="145"/>
      <c r="D1068" s="75"/>
      <c r="E1068" s="75"/>
      <c r="F1068" s="211"/>
      <c r="G1068" s="145"/>
      <c r="H1068" s="211"/>
      <c r="I1068" s="145"/>
      <c r="J1068" s="211"/>
      <c r="K1068" s="75"/>
      <c r="L1068" s="152"/>
      <c r="M1068" s="152"/>
      <c r="N1068" s="296"/>
      <c r="O1068" s="213"/>
      <c r="P1068" s="47"/>
      <c r="Q1068" s="47"/>
      <c r="R1068" s="47"/>
      <c r="S1068" s="193"/>
      <c r="T1068" s="77"/>
      <c r="U1068" s="78"/>
      <c r="V1068" s="78"/>
      <c r="W1068" s="77"/>
    </row>
    <row r="1069">
      <c r="A1069" s="145"/>
      <c r="B1069" s="145"/>
      <c r="C1069" s="145"/>
      <c r="D1069" s="75"/>
      <c r="E1069" s="75"/>
      <c r="F1069" s="211"/>
      <c r="G1069" s="145"/>
      <c r="H1069" s="211"/>
      <c r="I1069" s="145"/>
      <c r="J1069" s="211"/>
      <c r="K1069" s="75"/>
      <c r="L1069" s="152"/>
      <c r="M1069" s="152"/>
      <c r="N1069" s="296"/>
      <c r="O1069" s="213"/>
      <c r="P1069" s="47"/>
      <c r="Q1069" s="47"/>
      <c r="R1069" s="47"/>
      <c r="S1069" s="193"/>
      <c r="T1069" s="77"/>
      <c r="U1069" s="78"/>
      <c r="V1069" s="78"/>
      <c r="W1069" s="77"/>
    </row>
    <row r="1070">
      <c r="A1070" s="145"/>
      <c r="B1070" s="145"/>
      <c r="C1070" s="145"/>
      <c r="D1070" s="75"/>
      <c r="E1070" s="75"/>
      <c r="F1070" s="211"/>
      <c r="G1070" s="145"/>
      <c r="H1070" s="211"/>
      <c r="I1070" s="145"/>
      <c r="J1070" s="211"/>
      <c r="K1070" s="75"/>
      <c r="L1070" s="152"/>
      <c r="M1070" s="152"/>
      <c r="N1070" s="296"/>
      <c r="O1070" s="213"/>
      <c r="P1070" s="47"/>
      <c r="Q1070" s="47"/>
      <c r="R1070" s="47"/>
      <c r="S1070" s="193"/>
      <c r="T1070" s="77"/>
      <c r="U1070" s="78"/>
      <c r="V1070" s="78"/>
      <c r="W1070" s="77"/>
    </row>
    <row r="1071">
      <c r="A1071" s="145"/>
      <c r="B1071" s="145"/>
      <c r="C1071" s="145"/>
      <c r="D1071" s="75"/>
      <c r="E1071" s="75"/>
      <c r="F1071" s="211"/>
      <c r="G1071" s="145"/>
      <c r="H1071" s="211"/>
      <c r="I1071" s="145"/>
      <c r="J1071" s="211"/>
      <c r="K1071" s="75"/>
      <c r="L1071" s="152"/>
      <c r="M1071" s="152"/>
      <c r="N1071" s="296"/>
      <c r="O1071" s="213"/>
      <c r="P1071" s="47"/>
      <c r="Q1071" s="47"/>
      <c r="R1071" s="47"/>
      <c r="S1071" s="193"/>
      <c r="T1071" s="77"/>
      <c r="U1071" s="78"/>
      <c r="V1071" s="78"/>
      <c r="W1071" s="77"/>
    </row>
    <row r="1072">
      <c r="A1072" s="145"/>
      <c r="B1072" s="145"/>
      <c r="C1072" s="145"/>
      <c r="D1072" s="75"/>
      <c r="E1072" s="75"/>
      <c r="F1072" s="211"/>
      <c r="G1072" s="145"/>
      <c r="H1072" s="211"/>
      <c r="I1072" s="145"/>
      <c r="J1072" s="211"/>
      <c r="K1072" s="75"/>
      <c r="L1072" s="152"/>
      <c r="M1072" s="152"/>
      <c r="N1072" s="296"/>
      <c r="O1072" s="213"/>
      <c r="P1072" s="47"/>
      <c r="Q1072" s="47"/>
      <c r="R1072" s="47"/>
      <c r="S1072" s="193"/>
      <c r="T1072" s="77"/>
      <c r="U1072" s="78"/>
      <c r="V1072" s="78"/>
      <c r="W1072" s="77"/>
    </row>
    <row r="1073">
      <c r="A1073" s="145"/>
      <c r="B1073" s="145"/>
      <c r="C1073" s="145"/>
      <c r="D1073" s="75"/>
      <c r="E1073" s="75"/>
      <c r="F1073" s="211"/>
      <c r="G1073" s="145"/>
      <c r="H1073" s="211"/>
      <c r="I1073" s="145"/>
      <c r="J1073" s="211"/>
      <c r="K1073" s="75"/>
      <c r="L1073" s="152"/>
      <c r="M1073" s="152"/>
      <c r="N1073" s="296"/>
      <c r="O1073" s="213"/>
      <c r="P1073" s="47"/>
      <c r="Q1073" s="47"/>
      <c r="R1073" s="47"/>
      <c r="S1073" s="193"/>
      <c r="T1073" s="77"/>
      <c r="U1073" s="78"/>
      <c r="V1073" s="78"/>
      <c r="W1073" s="77"/>
    </row>
    <row r="1074">
      <c r="A1074" s="145"/>
      <c r="B1074" s="145"/>
      <c r="C1074" s="145"/>
      <c r="D1074" s="75"/>
      <c r="E1074" s="75"/>
      <c r="F1074" s="211"/>
      <c r="G1074" s="145"/>
      <c r="H1074" s="211"/>
      <c r="I1074" s="145"/>
      <c r="J1074" s="211"/>
      <c r="K1074" s="75"/>
      <c r="L1074" s="152"/>
      <c r="M1074" s="152"/>
      <c r="N1074" s="296"/>
      <c r="O1074" s="213"/>
      <c r="P1074" s="47"/>
      <c r="Q1074" s="47"/>
      <c r="R1074" s="47"/>
      <c r="S1074" s="193"/>
      <c r="T1074" s="77"/>
      <c r="U1074" s="78"/>
      <c r="V1074" s="78"/>
      <c r="W1074" s="77"/>
    </row>
    <row r="1075">
      <c r="A1075" s="145"/>
      <c r="B1075" s="145"/>
      <c r="C1075" s="145"/>
      <c r="D1075" s="75"/>
      <c r="E1075" s="75"/>
      <c r="F1075" s="211"/>
      <c r="G1075" s="145"/>
      <c r="H1075" s="211"/>
      <c r="I1075" s="145"/>
      <c r="J1075" s="211"/>
      <c r="K1075" s="75"/>
      <c r="L1075" s="152"/>
      <c r="M1075" s="152"/>
      <c r="N1075" s="296"/>
      <c r="O1075" s="213"/>
      <c r="P1075" s="47"/>
      <c r="Q1075" s="47"/>
      <c r="R1075" s="47"/>
      <c r="S1075" s="193"/>
      <c r="T1075" s="77"/>
      <c r="U1075" s="78"/>
      <c r="V1075" s="78"/>
      <c r="W1075" s="77"/>
    </row>
    <row r="1076">
      <c r="A1076" s="145"/>
      <c r="B1076" s="145"/>
      <c r="C1076" s="145"/>
      <c r="D1076" s="75"/>
      <c r="E1076" s="75"/>
      <c r="F1076" s="211"/>
      <c r="G1076" s="145"/>
      <c r="H1076" s="211"/>
      <c r="I1076" s="145"/>
      <c r="J1076" s="211"/>
      <c r="K1076" s="75"/>
      <c r="L1076" s="152"/>
      <c r="M1076" s="152"/>
      <c r="N1076" s="296"/>
      <c r="O1076" s="213"/>
      <c r="P1076" s="47"/>
      <c r="Q1076" s="47"/>
      <c r="R1076" s="47"/>
      <c r="S1076" s="193"/>
      <c r="T1076" s="77"/>
      <c r="U1076" s="78"/>
      <c r="V1076" s="78"/>
      <c r="W1076" s="77"/>
    </row>
    <row r="1077">
      <c r="A1077" s="145"/>
      <c r="B1077" s="145"/>
      <c r="C1077" s="145"/>
      <c r="D1077" s="75"/>
      <c r="E1077" s="75"/>
      <c r="F1077" s="211"/>
      <c r="G1077" s="145"/>
      <c r="H1077" s="211"/>
      <c r="I1077" s="145"/>
      <c r="J1077" s="211"/>
      <c r="K1077" s="75"/>
      <c r="L1077" s="152"/>
      <c r="M1077" s="152"/>
      <c r="N1077" s="296"/>
      <c r="O1077" s="213"/>
      <c r="P1077" s="47"/>
      <c r="Q1077" s="47"/>
      <c r="R1077" s="47"/>
      <c r="S1077" s="193"/>
      <c r="T1077" s="77"/>
      <c r="U1077" s="78"/>
      <c r="V1077" s="78"/>
      <c r="W1077" s="77"/>
    </row>
    <row r="1078">
      <c r="A1078" s="145"/>
      <c r="B1078" s="145"/>
      <c r="C1078" s="145"/>
      <c r="D1078" s="75"/>
      <c r="E1078" s="75"/>
      <c r="F1078" s="211"/>
      <c r="G1078" s="145"/>
      <c r="H1078" s="211"/>
      <c r="I1078" s="145"/>
      <c r="J1078" s="211"/>
      <c r="K1078" s="75"/>
      <c r="L1078" s="152"/>
      <c r="M1078" s="152"/>
      <c r="N1078" s="296"/>
      <c r="O1078" s="213"/>
      <c r="P1078" s="47"/>
      <c r="Q1078" s="47"/>
      <c r="R1078" s="47"/>
      <c r="S1078" s="193"/>
      <c r="T1078" s="77"/>
      <c r="U1078" s="78"/>
      <c r="V1078" s="78"/>
      <c r="W1078" s="77"/>
    </row>
    <row r="1079">
      <c r="A1079" s="145"/>
      <c r="B1079" s="145"/>
      <c r="C1079" s="145"/>
      <c r="D1079" s="75"/>
      <c r="E1079" s="75"/>
      <c r="F1079" s="211"/>
      <c r="G1079" s="145"/>
      <c r="H1079" s="211"/>
      <c r="I1079" s="145"/>
      <c r="J1079" s="211"/>
      <c r="K1079" s="75"/>
      <c r="L1079" s="152"/>
      <c r="M1079" s="152"/>
      <c r="N1079" s="296"/>
      <c r="O1079" s="213"/>
      <c r="P1079" s="47"/>
      <c r="Q1079" s="47"/>
      <c r="R1079" s="47"/>
      <c r="S1079" s="193"/>
      <c r="T1079" s="77"/>
      <c r="U1079" s="78"/>
      <c r="V1079" s="78"/>
      <c r="W1079" s="77"/>
    </row>
    <row r="1080">
      <c r="A1080" s="145"/>
      <c r="B1080" s="145"/>
      <c r="C1080" s="145"/>
      <c r="D1080" s="75"/>
      <c r="E1080" s="75"/>
      <c r="F1080" s="211"/>
      <c r="G1080" s="145"/>
      <c r="H1080" s="211"/>
      <c r="I1080" s="145"/>
      <c r="J1080" s="211"/>
      <c r="K1080" s="75"/>
      <c r="L1080" s="152"/>
      <c r="M1080" s="152"/>
      <c r="N1080" s="296"/>
      <c r="O1080" s="213"/>
      <c r="P1080" s="47"/>
      <c r="Q1080" s="47"/>
      <c r="R1080" s="47"/>
      <c r="S1080" s="193"/>
      <c r="T1080" s="77"/>
      <c r="U1080" s="78"/>
      <c r="V1080" s="78"/>
      <c r="W1080" s="77"/>
    </row>
    <row r="1081">
      <c r="A1081" s="145"/>
      <c r="B1081" s="145"/>
      <c r="C1081" s="145"/>
      <c r="D1081" s="75"/>
      <c r="E1081" s="75"/>
      <c r="F1081" s="211"/>
      <c r="G1081" s="145"/>
      <c r="H1081" s="211"/>
      <c r="I1081" s="145"/>
      <c r="J1081" s="211"/>
      <c r="K1081" s="75"/>
      <c r="L1081" s="152"/>
      <c r="M1081" s="152"/>
      <c r="N1081" s="296"/>
      <c r="O1081" s="213"/>
      <c r="P1081" s="47"/>
      <c r="Q1081" s="47"/>
      <c r="R1081" s="47"/>
      <c r="S1081" s="193"/>
      <c r="T1081" s="77"/>
      <c r="U1081" s="78"/>
      <c r="V1081" s="78"/>
      <c r="W1081" s="77"/>
    </row>
    <row r="1082">
      <c r="A1082" s="145"/>
      <c r="B1082" s="145"/>
      <c r="C1082" s="145"/>
      <c r="D1082" s="75"/>
      <c r="E1082" s="75"/>
      <c r="F1082" s="211"/>
      <c r="G1082" s="145"/>
      <c r="H1082" s="211"/>
      <c r="I1082" s="145"/>
      <c r="J1082" s="211"/>
      <c r="K1082" s="75"/>
      <c r="L1082" s="152"/>
      <c r="M1082" s="152"/>
      <c r="N1082" s="296"/>
      <c r="O1082" s="213"/>
      <c r="P1082" s="47"/>
      <c r="Q1082" s="47"/>
      <c r="R1082" s="47"/>
      <c r="S1082" s="193"/>
      <c r="T1082" s="77"/>
      <c r="U1082" s="78"/>
      <c r="V1082" s="78"/>
      <c r="W1082" s="77"/>
    </row>
    <row r="1083">
      <c r="A1083" s="145"/>
      <c r="B1083" s="145"/>
      <c r="C1083" s="145"/>
      <c r="D1083" s="75"/>
      <c r="E1083" s="75"/>
      <c r="F1083" s="211"/>
      <c r="G1083" s="145"/>
      <c r="H1083" s="211"/>
      <c r="I1083" s="145"/>
      <c r="J1083" s="211"/>
      <c r="K1083" s="75"/>
      <c r="L1083" s="152"/>
      <c r="M1083" s="152"/>
      <c r="N1083" s="296"/>
      <c r="O1083" s="213"/>
      <c r="P1083" s="47"/>
      <c r="Q1083" s="47"/>
      <c r="R1083" s="47"/>
      <c r="S1083" s="193"/>
      <c r="T1083" s="77"/>
      <c r="U1083" s="78"/>
      <c r="V1083" s="78"/>
      <c r="W1083" s="77"/>
    </row>
    <row r="1084">
      <c r="A1084" s="145"/>
      <c r="B1084" s="145"/>
      <c r="C1084" s="145"/>
      <c r="D1084" s="75"/>
      <c r="E1084" s="75"/>
      <c r="F1084" s="211"/>
      <c r="G1084" s="145"/>
      <c r="H1084" s="211"/>
      <c r="I1084" s="145"/>
      <c r="J1084" s="211"/>
      <c r="K1084" s="75"/>
      <c r="L1084" s="152"/>
      <c r="M1084" s="152"/>
      <c r="N1084" s="296"/>
      <c r="O1084" s="213"/>
      <c r="P1084" s="47"/>
      <c r="Q1084" s="47"/>
      <c r="R1084" s="47"/>
      <c r="S1084" s="193"/>
      <c r="T1084" s="77"/>
      <c r="U1084" s="78"/>
      <c r="V1084" s="78"/>
      <c r="W1084" s="77"/>
    </row>
    <row r="1085">
      <c r="A1085" s="145"/>
      <c r="B1085" s="145"/>
      <c r="C1085" s="145"/>
      <c r="D1085" s="75"/>
      <c r="E1085" s="75"/>
      <c r="F1085" s="211"/>
      <c r="G1085" s="145"/>
      <c r="H1085" s="211"/>
      <c r="I1085" s="145"/>
      <c r="J1085" s="211"/>
      <c r="K1085" s="75"/>
      <c r="L1085" s="152"/>
      <c r="M1085" s="152"/>
      <c r="N1085" s="296"/>
      <c r="O1085" s="213"/>
      <c r="P1085" s="47"/>
      <c r="Q1085" s="47"/>
      <c r="R1085" s="47"/>
      <c r="S1085" s="193"/>
      <c r="T1085" s="77"/>
      <c r="U1085" s="78"/>
      <c r="V1085" s="78"/>
      <c r="W1085" s="77"/>
    </row>
    <row r="1086">
      <c r="A1086" s="145"/>
      <c r="B1086" s="145"/>
      <c r="C1086" s="145"/>
      <c r="D1086" s="75"/>
      <c r="E1086" s="75"/>
      <c r="F1086" s="211"/>
      <c r="G1086" s="145"/>
      <c r="H1086" s="211"/>
      <c r="I1086" s="145"/>
      <c r="J1086" s="211"/>
      <c r="K1086" s="75"/>
      <c r="L1086" s="152"/>
      <c r="M1086" s="152"/>
      <c r="N1086" s="296"/>
      <c r="O1086" s="213"/>
      <c r="P1086" s="47"/>
      <c r="Q1086" s="47"/>
      <c r="R1086" s="47"/>
      <c r="S1086" s="193"/>
      <c r="T1086" s="77"/>
      <c r="U1086" s="78"/>
      <c r="V1086" s="78"/>
      <c r="W1086" s="77"/>
    </row>
    <row r="1087">
      <c r="A1087" s="145"/>
      <c r="B1087" s="145"/>
      <c r="C1087" s="145"/>
      <c r="D1087" s="75"/>
      <c r="E1087" s="75"/>
      <c r="F1087" s="211"/>
      <c r="G1087" s="145"/>
      <c r="H1087" s="211"/>
      <c r="I1087" s="145"/>
      <c r="J1087" s="211"/>
      <c r="K1087" s="75"/>
      <c r="L1087" s="152"/>
      <c r="M1087" s="152"/>
      <c r="N1087" s="296"/>
      <c r="O1087" s="213"/>
      <c r="P1087" s="47"/>
      <c r="Q1087" s="47"/>
      <c r="R1087" s="47"/>
      <c r="S1087" s="193"/>
      <c r="T1087" s="77"/>
      <c r="U1087" s="78"/>
      <c r="V1087" s="78"/>
      <c r="W1087" s="77"/>
    </row>
    <row r="1088">
      <c r="A1088" s="145"/>
      <c r="B1088" s="145"/>
      <c r="C1088" s="145"/>
      <c r="D1088" s="75"/>
      <c r="E1088" s="75"/>
      <c r="F1088" s="211"/>
      <c r="G1088" s="145"/>
      <c r="H1088" s="211"/>
      <c r="I1088" s="145"/>
      <c r="J1088" s="211"/>
      <c r="K1088" s="75"/>
      <c r="L1088" s="152"/>
      <c r="M1088" s="152"/>
      <c r="N1088" s="296"/>
      <c r="O1088" s="213"/>
      <c r="P1088" s="47"/>
      <c r="Q1088" s="47"/>
      <c r="R1088" s="47"/>
      <c r="S1088" s="193"/>
      <c r="T1088" s="77"/>
      <c r="U1088" s="78"/>
      <c r="V1088" s="78"/>
      <c r="W1088" s="77"/>
    </row>
    <row r="1089">
      <c r="A1089" s="145"/>
      <c r="B1089" s="145"/>
      <c r="C1089" s="145"/>
      <c r="D1089" s="75"/>
      <c r="E1089" s="75"/>
      <c r="F1089" s="211"/>
      <c r="G1089" s="145"/>
      <c r="H1089" s="211"/>
      <c r="I1089" s="145"/>
      <c r="J1089" s="211"/>
      <c r="K1089" s="75"/>
      <c r="L1089" s="152"/>
      <c r="M1089" s="152"/>
      <c r="N1089" s="296"/>
      <c r="O1089" s="213"/>
      <c r="P1089" s="47"/>
      <c r="Q1089" s="47"/>
      <c r="R1089" s="47"/>
      <c r="S1089" s="193"/>
      <c r="T1089" s="77"/>
      <c r="U1089" s="78"/>
      <c r="V1089" s="78"/>
      <c r="W1089" s="77"/>
    </row>
    <row r="1090">
      <c r="A1090" s="145"/>
      <c r="B1090" s="145"/>
      <c r="C1090" s="145"/>
      <c r="D1090" s="75"/>
      <c r="E1090" s="75"/>
      <c r="F1090" s="211"/>
      <c r="G1090" s="145"/>
      <c r="H1090" s="211"/>
      <c r="I1090" s="145"/>
      <c r="J1090" s="211"/>
      <c r="K1090" s="75"/>
      <c r="L1090" s="152"/>
      <c r="M1090" s="152"/>
      <c r="N1090" s="296"/>
      <c r="O1090" s="213"/>
      <c r="P1090" s="47"/>
      <c r="Q1090" s="47"/>
      <c r="R1090" s="47"/>
      <c r="S1090" s="193"/>
      <c r="T1090" s="77"/>
      <c r="U1090" s="78"/>
      <c r="V1090" s="78"/>
      <c r="W1090" s="77"/>
    </row>
    <row r="1091">
      <c r="A1091" s="145"/>
      <c r="B1091" s="145"/>
      <c r="C1091" s="145"/>
      <c r="D1091" s="75"/>
      <c r="E1091" s="75"/>
      <c r="F1091" s="211"/>
      <c r="G1091" s="145"/>
      <c r="H1091" s="211"/>
      <c r="I1091" s="145"/>
      <c r="J1091" s="211"/>
      <c r="K1091" s="75"/>
      <c r="L1091" s="152"/>
      <c r="M1091" s="152"/>
      <c r="N1091" s="296"/>
      <c r="O1091" s="213"/>
      <c r="P1091" s="47"/>
      <c r="Q1091" s="47"/>
      <c r="R1091" s="47"/>
      <c r="S1091" s="193"/>
      <c r="T1091" s="77"/>
      <c r="U1091" s="78"/>
      <c r="V1091" s="78"/>
      <c r="W1091" s="77"/>
    </row>
    <row r="1092">
      <c r="A1092" s="145"/>
      <c r="B1092" s="145"/>
      <c r="C1092" s="145"/>
      <c r="D1092" s="75"/>
      <c r="E1092" s="75"/>
      <c r="F1092" s="211"/>
      <c r="G1092" s="145"/>
      <c r="H1092" s="211"/>
      <c r="I1092" s="145"/>
      <c r="J1092" s="211"/>
      <c r="K1092" s="75"/>
      <c r="L1092" s="152"/>
      <c r="M1092" s="152"/>
      <c r="N1092" s="296"/>
      <c r="O1092" s="213"/>
      <c r="P1092" s="47"/>
      <c r="Q1092" s="47"/>
      <c r="R1092" s="47"/>
      <c r="S1092" s="193"/>
      <c r="T1092" s="77"/>
      <c r="U1092" s="78"/>
      <c r="V1092" s="78"/>
      <c r="W1092" s="77"/>
    </row>
    <row r="1093">
      <c r="A1093" s="145"/>
      <c r="B1093" s="145"/>
      <c r="C1093" s="145"/>
      <c r="D1093" s="75"/>
      <c r="E1093" s="75"/>
      <c r="F1093" s="211"/>
      <c r="G1093" s="145"/>
      <c r="H1093" s="211"/>
      <c r="I1093" s="145"/>
      <c r="J1093" s="211"/>
      <c r="K1093" s="75"/>
      <c r="L1093" s="152"/>
      <c r="M1093" s="152"/>
      <c r="N1093" s="296"/>
      <c r="O1093" s="213"/>
      <c r="P1093" s="47"/>
      <c r="Q1093" s="47"/>
      <c r="R1093" s="47"/>
      <c r="S1093" s="193"/>
      <c r="T1093" s="77"/>
      <c r="U1093" s="78"/>
      <c r="V1093" s="78"/>
      <c r="W1093" s="77"/>
    </row>
    <row r="1094">
      <c r="A1094" s="145"/>
      <c r="B1094" s="145"/>
      <c r="C1094" s="145"/>
      <c r="D1094" s="75"/>
      <c r="E1094" s="75"/>
      <c r="F1094" s="211"/>
      <c r="G1094" s="145"/>
      <c r="H1094" s="211"/>
      <c r="I1094" s="145"/>
      <c r="J1094" s="211"/>
      <c r="K1094" s="75"/>
      <c r="L1094" s="152"/>
      <c r="M1094" s="152"/>
      <c r="N1094" s="296"/>
      <c r="O1094" s="213"/>
      <c r="P1094" s="47"/>
      <c r="Q1094" s="47"/>
      <c r="R1094" s="47"/>
      <c r="S1094" s="193"/>
      <c r="T1094" s="77"/>
      <c r="U1094" s="78"/>
      <c r="V1094" s="78"/>
      <c r="W1094" s="77"/>
    </row>
    <row r="1095">
      <c r="A1095" s="145"/>
      <c r="B1095" s="145"/>
      <c r="C1095" s="145"/>
      <c r="D1095" s="75"/>
      <c r="E1095" s="75"/>
      <c r="F1095" s="211"/>
      <c r="G1095" s="145"/>
      <c r="H1095" s="211"/>
      <c r="I1095" s="145"/>
      <c r="J1095" s="211"/>
      <c r="K1095" s="75"/>
      <c r="L1095" s="152"/>
      <c r="M1095" s="152"/>
      <c r="N1095" s="296"/>
      <c r="O1095" s="213"/>
      <c r="P1095" s="47"/>
      <c r="Q1095" s="47"/>
      <c r="R1095" s="47"/>
      <c r="S1095" s="193"/>
      <c r="T1095" s="77"/>
      <c r="U1095" s="78"/>
      <c r="V1095" s="78"/>
      <c r="W1095" s="77"/>
    </row>
    <row r="1096">
      <c r="A1096" s="145"/>
      <c r="B1096" s="145"/>
      <c r="C1096" s="145"/>
      <c r="D1096" s="75"/>
      <c r="E1096" s="75"/>
      <c r="F1096" s="211"/>
      <c r="G1096" s="145"/>
      <c r="H1096" s="211"/>
      <c r="I1096" s="145"/>
      <c r="J1096" s="211"/>
      <c r="K1096" s="75"/>
      <c r="L1096" s="152"/>
      <c r="M1096" s="152"/>
      <c r="N1096" s="296"/>
      <c r="O1096" s="213"/>
      <c r="P1096" s="47"/>
      <c r="Q1096" s="47"/>
      <c r="R1096" s="47"/>
      <c r="S1096" s="193"/>
      <c r="T1096" s="77"/>
      <c r="U1096" s="78"/>
      <c r="V1096" s="78"/>
      <c r="W1096" s="77"/>
    </row>
    <row r="1097">
      <c r="A1097" s="145"/>
      <c r="B1097" s="145"/>
      <c r="C1097" s="145"/>
      <c r="D1097" s="75"/>
      <c r="E1097" s="75"/>
      <c r="F1097" s="211"/>
      <c r="G1097" s="145"/>
      <c r="H1097" s="211"/>
      <c r="I1097" s="145"/>
      <c r="J1097" s="211"/>
      <c r="K1097" s="75"/>
      <c r="L1097" s="152"/>
      <c r="M1097" s="152"/>
      <c r="N1097" s="296"/>
      <c r="O1097" s="213"/>
      <c r="P1097" s="47"/>
      <c r="Q1097" s="47"/>
      <c r="R1097" s="47"/>
      <c r="S1097" s="193"/>
      <c r="T1097" s="77"/>
      <c r="U1097" s="78"/>
      <c r="V1097" s="78"/>
      <c r="W1097" s="77"/>
    </row>
    <row r="1098">
      <c r="A1098" s="145"/>
      <c r="B1098" s="145"/>
      <c r="C1098" s="145"/>
      <c r="D1098" s="75"/>
      <c r="E1098" s="75"/>
      <c r="F1098" s="211"/>
      <c r="G1098" s="145"/>
      <c r="H1098" s="211"/>
      <c r="I1098" s="145"/>
      <c r="J1098" s="211"/>
      <c r="K1098" s="75"/>
      <c r="L1098" s="152"/>
      <c r="M1098" s="152"/>
      <c r="N1098" s="296"/>
      <c r="O1098" s="213"/>
      <c r="P1098" s="47"/>
      <c r="Q1098" s="47"/>
      <c r="R1098" s="47"/>
      <c r="S1098" s="193"/>
      <c r="T1098" s="77"/>
      <c r="U1098" s="78"/>
      <c r="V1098" s="78"/>
      <c r="W1098" s="77"/>
    </row>
    <row r="1099">
      <c r="A1099" s="145"/>
      <c r="B1099" s="145"/>
      <c r="C1099" s="145"/>
      <c r="D1099" s="75"/>
      <c r="E1099" s="75"/>
      <c r="F1099" s="211"/>
      <c r="G1099" s="145"/>
      <c r="H1099" s="211"/>
      <c r="I1099" s="145"/>
      <c r="J1099" s="211"/>
      <c r="K1099" s="75"/>
      <c r="L1099" s="152"/>
      <c r="M1099" s="152"/>
      <c r="N1099" s="296"/>
      <c r="O1099" s="213"/>
      <c r="P1099" s="47"/>
      <c r="Q1099" s="47"/>
      <c r="R1099" s="47"/>
      <c r="S1099" s="193"/>
      <c r="T1099" s="77"/>
      <c r="U1099" s="78"/>
      <c r="V1099" s="78"/>
      <c r="W1099" s="77"/>
    </row>
    <row r="1100">
      <c r="A1100" s="145"/>
      <c r="B1100" s="145"/>
      <c r="C1100" s="145"/>
      <c r="D1100" s="75"/>
      <c r="E1100" s="75"/>
      <c r="F1100" s="211"/>
      <c r="G1100" s="145"/>
      <c r="H1100" s="211"/>
      <c r="I1100" s="145"/>
      <c r="J1100" s="211"/>
      <c r="K1100" s="75"/>
      <c r="L1100" s="152"/>
      <c r="M1100" s="152"/>
      <c r="N1100" s="296"/>
      <c r="O1100" s="213"/>
      <c r="P1100" s="47"/>
      <c r="Q1100" s="47"/>
      <c r="R1100" s="47"/>
      <c r="S1100" s="193"/>
      <c r="T1100" s="77"/>
      <c r="U1100" s="78"/>
      <c r="V1100" s="78"/>
      <c r="W1100" s="77"/>
    </row>
    <row r="1101">
      <c r="A1101" s="145"/>
      <c r="B1101" s="145"/>
      <c r="C1101" s="145"/>
      <c r="D1101" s="75"/>
      <c r="E1101" s="75"/>
      <c r="F1101" s="211"/>
      <c r="G1101" s="145"/>
      <c r="H1101" s="211"/>
      <c r="I1101" s="145"/>
      <c r="J1101" s="211"/>
      <c r="K1101" s="75"/>
      <c r="L1101" s="152"/>
      <c r="M1101" s="152"/>
      <c r="N1101" s="296"/>
      <c r="O1101" s="213"/>
      <c r="P1101" s="47"/>
      <c r="Q1101" s="47"/>
      <c r="R1101" s="47"/>
      <c r="S1101" s="193"/>
      <c r="T1101" s="77"/>
      <c r="U1101" s="78"/>
      <c r="V1101" s="78"/>
      <c r="W1101" s="77"/>
    </row>
    <row r="1102">
      <c r="A1102" s="145"/>
      <c r="B1102" s="145"/>
      <c r="C1102" s="145"/>
      <c r="D1102" s="75"/>
      <c r="E1102" s="75"/>
      <c r="F1102" s="211"/>
      <c r="G1102" s="145"/>
      <c r="H1102" s="211"/>
      <c r="I1102" s="145"/>
      <c r="J1102" s="211"/>
      <c r="K1102" s="75"/>
      <c r="L1102" s="152"/>
      <c r="M1102" s="152"/>
      <c r="N1102" s="296"/>
      <c r="O1102" s="213"/>
      <c r="P1102" s="47"/>
      <c r="Q1102" s="47"/>
      <c r="R1102" s="47"/>
      <c r="S1102" s="193"/>
      <c r="T1102" s="77"/>
      <c r="U1102" s="78"/>
      <c r="V1102" s="78"/>
      <c r="W1102" s="77"/>
    </row>
    <row r="1103">
      <c r="A1103" s="145"/>
      <c r="B1103" s="145"/>
      <c r="C1103" s="145"/>
      <c r="D1103" s="75"/>
      <c r="E1103" s="75"/>
      <c r="F1103" s="211"/>
      <c r="G1103" s="145"/>
      <c r="H1103" s="211"/>
      <c r="I1103" s="145"/>
      <c r="J1103" s="211"/>
      <c r="K1103" s="75"/>
      <c r="L1103" s="152"/>
      <c r="M1103" s="152"/>
      <c r="N1103" s="296"/>
      <c r="O1103" s="213"/>
      <c r="P1103" s="47"/>
      <c r="Q1103" s="47"/>
      <c r="R1103" s="47"/>
      <c r="S1103" s="193"/>
      <c r="T1103" s="77"/>
      <c r="U1103" s="78"/>
      <c r="V1103" s="78"/>
      <c r="W1103" s="77"/>
    </row>
    <row r="1104">
      <c r="A1104" s="145"/>
      <c r="B1104" s="145"/>
      <c r="C1104" s="145"/>
      <c r="D1104" s="75"/>
      <c r="E1104" s="75"/>
      <c r="F1104" s="211"/>
      <c r="G1104" s="145"/>
      <c r="H1104" s="211"/>
      <c r="I1104" s="145"/>
      <c r="J1104" s="211"/>
      <c r="K1104" s="75"/>
      <c r="L1104" s="152"/>
      <c r="M1104" s="152"/>
      <c r="N1104" s="296"/>
      <c r="O1104" s="213"/>
      <c r="P1104" s="47"/>
      <c r="Q1104" s="47"/>
      <c r="R1104" s="47"/>
      <c r="S1104" s="193"/>
      <c r="T1104" s="77"/>
      <c r="U1104" s="78"/>
      <c r="V1104" s="78"/>
      <c r="W1104" s="77"/>
    </row>
    <row r="1105">
      <c r="A1105" s="145"/>
      <c r="B1105" s="145"/>
      <c r="C1105" s="145"/>
      <c r="D1105" s="75"/>
      <c r="E1105" s="75"/>
      <c r="F1105" s="211"/>
      <c r="G1105" s="145"/>
      <c r="H1105" s="211"/>
      <c r="I1105" s="145"/>
      <c r="J1105" s="211"/>
      <c r="K1105" s="75"/>
      <c r="L1105" s="152"/>
      <c r="M1105" s="152"/>
      <c r="N1105" s="296"/>
      <c r="O1105" s="213"/>
      <c r="P1105" s="47"/>
      <c r="Q1105" s="47"/>
      <c r="R1105" s="47"/>
      <c r="S1105" s="193"/>
      <c r="T1105" s="77"/>
      <c r="U1105" s="78"/>
      <c r="V1105" s="78"/>
      <c r="W1105" s="77"/>
    </row>
    <row r="1106">
      <c r="A1106" s="145"/>
      <c r="B1106" s="145"/>
      <c r="C1106" s="145"/>
      <c r="D1106" s="75"/>
      <c r="E1106" s="75"/>
      <c r="F1106" s="211"/>
      <c r="G1106" s="145"/>
      <c r="H1106" s="211"/>
      <c r="I1106" s="145"/>
      <c r="J1106" s="211"/>
      <c r="K1106" s="75"/>
      <c r="L1106" s="152"/>
      <c r="M1106" s="152"/>
      <c r="N1106" s="296"/>
      <c r="O1106" s="213"/>
      <c r="P1106" s="47"/>
      <c r="Q1106" s="47"/>
      <c r="R1106" s="47"/>
      <c r="S1106" s="193"/>
      <c r="T1106" s="77"/>
      <c r="U1106" s="78"/>
      <c r="V1106" s="78"/>
      <c r="W1106" s="77"/>
    </row>
    <row r="1107">
      <c r="A1107" s="145"/>
      <c r="B1107" s="145"/>
      <c r="C1107" s="145"/>
      <c r="D1107" s="75"/>
      <c r="E1107" s="75"/>
      <c r="F1107" s="211"/>
      <c r="G1107" s="145"/>
      <c r="H1107" s="211"/>
      <c r="I1107" s="145"/>
      <c r="J1107" s="211"/>
      <c r="K1107" s="75"/>
      <c r="L1107" s="152"/>
      <c r="M1107" s="152"/>
      <c r="N1107" s="296"/>
      <c r="O1107" s="213"/>
      <c r="P1107" s="47"/>
      <c r="Q1107" s="47"/>
      <c r="R1107" s="47"/>
      <c r="S1107" s="193"/>
      <c r="T1107" s="77"/>
      <c r="U1107" s="78"/>
      <c r="V1107" s="78"/>
      <c r="W1107" s="77"/>
    </row>
    <row r="1108">
      <c r="A1108" s="145"/>
      <c r="B1108" s="145"/>
      <c r="C1108" s="145"/>
      <c r="D1108" s="75"/>
      <c r="E1108" s="75"/>
      <c r="F1108" s="211"/>
      <c r="G1108" s="145"/>
      <c r="H1108" s="211"/>
      <c r="I1108" s="145"/>
      <c r="J1108" s="211"/>
      <c r="K1108" s="75"/>
      <c r="L1108" s="152"/>
      <c r="M1108" s="152"/>
      <c r="N1108" s="296"/>
      <c r="O1108" s="213"/>
      <c r="P1108" s="47"/>
      <c r="Q1108" s="47"/>
      <c r="R1108" s="47"/>
      <c r="S1108" s="193"/>
      <c r="T1108" s="77"/>
      <c r="U1108" s="78"/>
      <c r="V1108" s="78"/>
      <c r="W1108" s="77"/>
    </row>
    <row r="1109">
      <c r="A1109" s="145"/>
      <c r="B1109" s="145"/>
      <c r="C1109" s="145"/>
      <c r="D1109" s="75"/>
      <c r="E1109" s="75"/>
      <c r="F1109" s="211"/>
      <c r="G1109" s="145"/>
      <c r="H1109" s="211"/>
      <c r="I1109" s="145"/>
      <c r="J1109" s="211"/>
      <c r="K1109" s="75"/>
      <c r="L1109" s="152"/>
      <c r="M1109" s="152"/>
      <c r="N1109" s="296"/>
      <c r="O1109" s="213"/>
      <c r="P1109" s="47"/>
      <c r="Q1109" s="47"/>
      <c r="R1109" s="47"/>
      <c r="S1109" s="193"/>
      <c r="T1109" s="77"/>
      <c r="U1109" s="78"/>
      <c r="V1109" s="78"/>
      <c r="W1109" s="77"/>
    </row>
    <row r="1110">
      <c r="A1110" s="145"/>
      <c r="B1110" s="145"/>
      <c r="C1110" s="145"/>
      <c r="D1110" s="75"/>
      <c r="E1110" s="75"/>
      <c r="F1110" s="211"/>
      <c r="G1110" s="145"/>
      <c r="H1110" s="211"/>
      <c r="I1110" s="145"/>
      <c r="J1110" s="211"/>
      <c r="K1110" s="75"/>
      <c r="L1110" s="152"/>
      <c r="M1110" s="152"/>
      <c r="N1110" s="296"/>
      <c r="O1110" s="213"/>
      <c r="P1110" s="47"/>
      <c r="Q1110" s="47"/>
      <c r="R1110" s="47"/>
      <c r="S1110" s="193"/>
      <c r="T1110" s="77"/>
      <c r="U1110" s="78"/>
      <c r="V1110" s="78"/>
      <c r="W1110" s="77"/>
    </row>
    <row r="1111">
      <c r="A1111" s="145"/>
      <c r="B1111" s="145"/>
      <c r="C1111" s="145"/>
      <c r="D1111" s="75"/>
      <c r="E1111" s="75"/>
      <c r="F1111" s="211"/>
      <c r="G1111" s="145"/>
      <c r="H1111" s="211"/>
      <c r="I1111" s="145"/>
      <c r="J1111" s="211"/>
      <c r="K1111" s="75"/>
      <c r="L1111" s="152"/>
      <c r="M1111" s="152"/>
      <c r="N1111" s="296"/>
      <c r="O1111" s="213"/>
      <c r="P1111" s="47"/>
      <c r="Q1111" s="47"/>
      <c r="R1111" s="47"/>
      <c r="S1111" s="193"/>
      <c r="T1111" s="77"/>
      <c r="U1111" s="78"/>
      <c r="V1111" s="78"/>
      <c r="W1111" s="77"/>
    </row>
    <row r="1112">
      <c r="A1112" s="145"/>
      <c r="B1112" s="145"/>
      <c r="C1112" s="145"/>
      <c r="D1112" s="75"/>
      <c r="E1112" s="75"/>
      <c r="F1112" s="211"/>
      <c r="G1112" s="145"/>
      <c r="H1112" s="211"/>
      <c r="I1112" s="145"/>
      <c r="J1112" s="211"/>
      <c r="K1112" s="75"/>
      <c r="L1112" s="152"/>
      <c r="M1112" s="152"/>
      <c r="N1112" s="296"/>
      <c r="O1112" s="213"/>
      <c r="P1112" s="47"/>
      <c r="Q1112" s="47"/>
      <c r="R1112" s="47"/>
      <c r="S1112" s="193"/>
      <c r="T1112" s="77"/>
      <c r="U1112" s="78"/>
      <c r="V1112" s="78"/>
      <c r="W1112" s="77"/>
    </row>
    <row r="1113">
      <c r="A1113" s="145"/>
      <c r="B1113" s="145"/>
      <c r="C1113" s="145"/>
      <c r="D1113" s="75"/>
      <c r="E1113" s="75"/>
      <c r="F1113" s="211"/>
      <c r="G1113" s="145"/>
      <c r="H1113" s="211"/>
      <c r="I1113" s="145"/>
      <c r="J1113" s="211"/>
      <c r="K1113" s="75"/>
      <c r="L1113" s="152"/>
      <c r="M1113" s="152"/>
      <c r="N1113" s="296"/>
      <c r="O1113" s="213"/>
      <c r="P1113" s="47"/>
      <c r="Q1113" s="47"/>
      <c r="R1113" s="47"/>
      <c r="S1113" s="193"/>
      <c r="T1113" s="77"/>
      <c r="U1113" s="78"/>
      <c r="V1113" s="78"/>
      <c r="W1113" s="77"/>
    </row>
    <row r="1114">
      <c r="A1114" s="145"/>
      <c r="B1114" s="145"/>
      <c r="C1114" s="145"/>
      <c r="D1114" s="75"/>
      <c r="E1114" s="75"/>
      <c r="F1114" s="211"/>
      <c r="G1114" s="145"/>
      <c r="H1114" s="211"/>
      <c r="I1114" s="145"/>
      <c r="J1114" s="211"/>
      <c r="K1114" s="75"/>
      <c r="L1114" s="152"/>
      <c r="M1114" s="152"/>
      <c r="N1114" s="296"/>
      <c r="O1114" s="213"/>
      <c r="P1114" s="47"/>
      <c r="Q1114" s="47"/>
      <c r="R1114" s="47"/>
      <c r="S1114" s="193"/>
      <c r="T1114" s="77"/>
      <c r="U1114" s="78"/>
      <c r="V1114" s="78"/>
      <c r="W1114" s="77"/>
    </row>
    <row r="1115">
      <c r="A1115" s="145"/>
      <c r="B1115" s="145"/>
      <c r="C1115" s="145"/>
      <c r="D1115" s="75"/>
      <c r="E1115" s="75"/>
      <c r="F1115" s="211"/>
      <c r="G1115" s="145"/>
      <c r="H1115" s="211"/>
      <c r="I1115" s="145"/>
      <c r="J1115" s="211"/>
      <c r="K1115" s="75"/>
      <c r="L1115" s="152"/>
      <c r="M1115" s="152"/>
      <c r="N1115" s="296"/>
      <c r="O1115" s="213"/>
      <c r="P1115" s="47"/>
      <c r="Q1115" s="47"/>
      <c r="R1115" s="47"/>
      <c r="S1115" s="193"/>
      <c r="T1115" s="77"/>
      <c r="U1115" s="78"/>
      <c r="V1115" s="78"/>
      <c r="W1115" s="77"/>
    </row>
    <row r="1116">
      <c r="A1116" s="145"/>
      <c r="B1116" s="145"/>
      <c r="C1116" s="145"/>
      <c r="D1116" s="75"/>
      <c r="E1116" s="75"/>
      <c r="F1116" s="211"/>
      <c r="G1116" s="145"/>
      <c r="H1116" s="211"/>
      <c r="I1116" s="145"/>
      <c r="J1116" s="211"/>
      <c r="K1116" s="75"/>
      <c r="L1116" s="152"/>
      <c r="M1116" s="152"/>
      <c r="N1116" s="296"/>
      <c r="O1116" s="213"/>
      <c r="P1116" s="47"/>
      <c r="Q1116" s="47"/>
      <c r="R1116" s="47"/>
      <c r="S1116" s="193"/>
      <c r="T1116" s="77"/>
      <c r="U1116" s="78"/>
      <c r="V1116" s="78"/>
      <c r="W1116" s="77"/>
    </row>
    <row r="1117">
      <c r="A1117" s="145"/>
      <c r="B1117" s="145"/>
      <c r="C1117" s="145"/>
      <c r="D1117" s="75"/>
      <c r="E1117" s="75"/>
      <c r="F1117" s="211"/>
      <c r="G1117" s="145"/>
      <c r="H1117" s="211"/>
      <c r="I1117" s="145"/>
      <c r="J1117" s="211"/>
      <c r="K1117" s="75"/>
      <c r="L1117" s="152"/>
      <c r="M1117" s="152"/>
      <c r="N1117" s="296"/>
      <c r="O1117" s="213"/>
      <c r="P1117" s="47"/>
      <c r="Q1117" s="47"/>
      <c r="R1117" s="47"/>
      <c r="S1117" s="193"/>
      <c r="T1117" s="77"/>
      <c r="U1117" s="78"/>
      <c r="V1117" s="78"/>
      <c r="W1117" s="77"/>
    </row>
    <row r="1118">
      <c r="A1118" s="145"/>
      <c r="B1118" s="145"/>
      <c r="C1118" s="145"/>
      <c r="D1118" s="75"/>
      <c r="E1118" s="75"/>
      <c r="F1118" s="211"/>
      <c r="G1118" s="145"/>
      <c r="H1118" s="211"/>
      <c r="I1118" s="145"/>
      <c r="J1118" s="211"/>
      <c r="K1118" s="75"/>
      <c r="L1118" s="152"/>
      <c r="M1118" s="152"/>
      <c r="N1118" s="296"/>
      <c r="O1118" s="213"/>
      <c r="P1118" s="47"/>
      <c r="Q1118" s="47"/>
      <c r="R1118" s="47"/>
      <c r="S1118" s="193"/>
      <c r="T1118" s="77"/>
      <c r="U1118" s="78"/>
      <c r="V1118" s="78"/>
      <c r="W1118" s="77"/>
    </row>
    <row r="1119">
      <c r="A1119" s="145"/>
      <c r="B1119" s="145"/>
      <c r="C1119" s="145"/>
      <c r="D1119" s="75"/>
      <c r="E1119" s="75"/>
      <c r="F1119" s="211"/>
      <c r="G1119" s="145"/>
      <c r="H1119" s="211"/>
      <c r="I1119" s="145"/>
      <c r="J1119" s="211"/>
      <c r="K1119" s="75"/>
      <c r="L1119" s="152"/>
      <c r="M1119" s="152"/>
      <c r="N1119" s="296"/>
      <c r="O1119" s="213"/>
      <c r="P1119" s="47"/>
      <c r="Q1119" s="47"/>
      <c r="R1119" s="47"/>
      <c r="S1119" s="193"/>
      <c r="T1119" s="77"/>
      <c r="U1119" s="78"/>
      <c r="V1119" s="78"/>
      <c r="W1119" s="77"/>
    </row>
    <row r="1120">
      <c r="A1120" s="145"/>
      <c r="B1120" s="145"/>
      <c r="C1120" s="145"/>
      <c r="D1120" s="75"/>
      <c r="E1120" s="75"/>
      <c r="F1120" s="211"/>
      <c r="G1120" s="145"/>
      <c r="H1120" s="211"/>
      <c r="I1120" s="145"/>
      <c r="J1120" s="211"/>
      <c r="K1120" s="75"/>
      <c r="L1120" s="152"/>
      <c r="M1120" s="152"/>
      <c r="N1120" s="296"/>
      <c r="O1120" s="213"/>
      <c r="P1120" s="47"/>
      <c r="Q1120" s="47"/>
      <c r="R1120" s="47"/>
      <c r="S1120" s="193"/>
      <c r="T1120" s="77"/>
      <c r="U1120" s="78"/>
      <c r="V1120" s="78"/>
      <c r="W1120" s="77"/>
    </row>
    <row r="1121">
      <c r="A1121" s="145"/>
      <c r="B1121" s="145"/>
      <c r="C1121" s="145"/>
      <c r="D1121" s="75"/>
      <c r="E1121" s="75"/>
      <c r="F1121" s="211"/>
      <c r="G1121" s="145"/>
      <c r="H1121" s="211"/>
      <c r="I1121" s="145"/>
      <c r="J1121" s="211"/>
      <c r="K1121" s="75"/>
      <c r="L1121" s="152"/>
      <c r="M1121" s="152"/>
      <c r="N1121" s="296"/>
      <c r="O1121" s="213"/>
      <c r="P1121" s="47"/>
      <c r="Q1121" s="47"/>
      <c r="R1121" s="47"/>
      <c r="S1121" s="193"/>
      <c r="T1121" s="77"/>
      <c r="U1121" s="78"/>
      <c r="V1121" s="78"/>
      <c r="W1121" s="77"/>
    </row>
    <row r="1122">
      <c r="A1122" s="145"/>
      <c r="B1122" s="145"/>
      <c r="C1122" s="145"/>
      <c r="D1122" s="75"/>
      <c r="E1122" s="75"/>
      <c r="F1122" s="211"/>
      <c r="G1122" s="145"/>
      <c r="H1122" s="211"/>
      <c r="I1122" s="145"/>
      <c r="J1122" s="211"/>
      <c r="K1122" s="75"/>
      <c r="L1122" s="152"/>
      <c r="M1122" s="152"/>
      <c r="N1122" s="296"/>
      <c r="O1122" s="213"/>
      <c r="P1122" s="47"/>
      <c r="Q1122" s="47"/>
      <c r="R1122" s="47"/>
      <c r="S1122" s="193"/>
      <c r="T1122" s="77"/>
      <c r="U1122" s="78"/>
      <c r="V1122" s="78"/>
      <c r="W1122" s="77"/>
    </row>
    <row r="1123">
      <c r="A1123" s="145"/>
      <c r="B1123" s="145"/>
      <c r="C1123" s="145"/>
      <c r="D1123" s="75"/>
      <c r="E1123" s="75"/>
      <c r="F1123" s="211"/>
      <c r="G1123" s="145"/>
      <c r="H1123" s="211"/>
      <c r="I1123" s="145"/>
      <c r="J1123" s="211"/>
      <c r="K1123" s="75"/>
      <c r="L1123" s="152"/>
      <c r="M1123" s="152"/>
      <c r="N1123" s="296"/>
      <c r="O1123" s="213"/>
      <c r="P1123" s="47"/>
      <c r="Q1123" s="47"/>
      <c r="R1123" s="47"/>
      <c r="S1123" s="193"/>
      <c r="T1123" s="77"/>
      <c r="U1123" s="78"/>
      <c r="V1123" s="78"/>
      <c r="W1123" s="77"/>
    </row>
    <row r="1124">
      <c r="A1124" s="145"/>
      <c r="B1124" s="145"/>
      <c r="C1124" s="145"/>
      <c r="D1124" s="75"/>
      <c r="E1124" s="75"/>
      <c r="F1124" s="211"/>
      <c r="G1124" s="145"/>
      <c r="H1124" s="211"/>
      <c r="I1124" s="145"/>
      <c r="J1124" s="211"/>
      <c r="K1124" s="75"/>
      <c r="L1124" s="152"/>
      <c r="M1124" s="152"/>
      <c r="N1124" s="296"/>
      <c r="O1124" s="213"/>
      <c r="P1124" s="47"/>
      <c r="Q1124" s="47"/>
      <c r="R1124" s="47"/>
      <c r="S1124" s="193"/>
      <c r="T1124" s="77"/>
      <c r="U1124" s="78"/>
      <c r="V1124" s="78"/>
      <c r="W1124" s="77"/>
    </row>
    <row r="1125">
      <c r="A1125" s="145"/>
      <c r="B1125" s="145"/>
      <c r="C1125" s="145"/>
      <c r="D1125" s="75"/>
      <c r="E1125" s="75"/>
      <c r="F1125" s="211"/>
      <c r="G1125" s="145"/>
      <c r="H1125" s="211"/>
      <c r="I1125" s="145"/>
      <c r="J1125" s="211"/>
      <c r="K1125" s="75"/>
      <c r="L1125" s="152"/>
      <c r="M1125" s="152"/>
      <c r="N1125" s="296"/>
      <c r="O1125" s="213"/>
      <c r="P1125" s="47"/>
      <c r="Q1125" s="47"/>
      <c r="R1125" s="47"/>
      <c r="S1125" s="193"/>
      <c r="T1125" s="77"/>
      <c r="U1125" s="78"/>
      <c r="V1125" s="78"/>
      <c r="W1125" s="77"/>
    </row>
    <row r="1126">
      <c r="A1126" s="145"/>
      <c r="B1126" s="145"/>
      <c r="C1126" s="145"/>
      <c r="D1126" s="75"/>
      <c r="E1126" s="75"/>
      <c r="F1126" s="211"/>
      <c r="G1126" s="145"/>
      <c r="H1126" s="211"/>
      <c r="I1126" s="145"/>
      <c r="J1126" s="211"/>
      <c r="K1126" s="75"/>
      <c r="L1126" s="152"/>
      <c r="M1126" s="152"/>
      <c r="N1126" s="296"/>
      <c r="O1126" s="213"/>
      <c r="P1126" s="47"/>
      <c r="Q1126" s="47"/>
      <c r="R1126" s="47"/>
      <c r="S1126" s="193"/>
      <c r="T1126" s="77"/>
      <c r="U1126" s="78"/>
      <c r="V1126" s="78"/>
      <c r="W1126" s="77"/>
    </row>
    <row r="1127">
      <c r="A1127" s="145"/>
      <c r="B1127" s="145"/>
      <c r="C1127" s="145"/>
      <c r="D1127" s="75"/>
      <c r="E1127" s="75"/>
      <c r="F1127" s="211"/>
      <c r="G1127" s="145"/>
      <c r="H1127" s="211"/>
      <c r="I1127" s="145"/>
      <c r="J1127" s="211"/>
      <c r="K1127" s="75"/>
      <c r="L1127" s="152"/>
      <c r="M1127" s="152"/>
      <c r="N1127" s="296"/>
      <c r="O1127" s="213"/>
      <c r="P1127" s="47"/>
      <c r="Q1127" s="47"/>
      <c r="R1127" s="47"/>
      <c r="S1127" s="193"/>
      <c r="T1127" s="77"/>
      <c r="U1127" s="78"/>
      <c r="V1127" s="78"/>
      <c r="W1127" s="77"/>
    </row>
    <row r="1128">
      <c r="A1128" s="145"/>
      <c r="B1128" s="145"/>
      <c r="C1128" s="145"/>
      <c r="D1128" s="75"/>
      <c r="E1128" s="75"/>
      <c r="F1128" s="211"/>
      <c r="G1128" s="145"/>
      <c r="H1128" s="211"/>
      <c r="I1128" s="145"/>
      <c r="J1128" s="211"/>
      <c r="K1128" s="75"/>
      <c r="L1128" s="152"/>
      <c r="M1128" s="152"/>
      <c r="N1128" s="296"/>
      <c r="O1128" s="213"/>
      <c r="P1128" s="47"/>
      <c r="Q1128" s="47"/>
      <c r="R1128" s="47"/>
      <c r="S1128" s="193"/>
      <c r="T1128" s="77"/>
      <c r="U1128" s="78"/>
      <c r="V1128" s="78"/>
      <c r="W1128" s="77"/>
    </row>
    <row r="1129">
      <c r="A1129" s="145"/>
      <c r="B1129" s="145"/>
      <c r="C1129" s="145"/>
      <c r="D1129" s="75"/>
      <c r="E1129" s="75"/>
      <c r="F1129" s="211"/>
      <c r="G1129" s="145"/>
      <c r="H1129" s="211"/>
      <c r="I1129" s="145"/>
      <c r="J1129" s="211"/>
      <c r="K1129" s="75"/>
      <c r="L1129" s="152"/>
      <c r="M1129" s="152"/>
      <c r="N1129" s="296"/>
      <c r="O1129" s="213"/>
      <c r="P1129" s="47"/>
      <c r="Q1129" s="47"/>
      <c r="R1129" s="47"/>
      <c r="S1129" s="193"/>
      <c r="T1129" s="77"/>
      <c r="U1129" s="78"/>
      <c r="V1129" s="78"/>
      <c r="W1129" s="77"/>
    </row>
    <row r="1130">
      <c r="A1130" s="145"/>
      <c r="B1130" s="145"/>
      <c r="C1130" s="145"/>
      <c r="D1130" s="75"/>
      <c r="E1130" s="75"/>
      <c r="F1130" s="211"/>
      <c r="G1130" s="145"/>
      <c r="H1130" s="211"/>
      <c r="I1130" s="145"/>
      <c r="J1130" s="211"/>
      <c r="K1130" s="75"/>
      <c r="L1130" s="152"/>
      <c r="M1130" s="152"/>
      <c r="N1130" s="296"/>
      <c r="O1130" s="213"/>
      <c r="P1130" s="47"/>
      <c r="Q1130" s="47"/>
      <c r="R1130" s="47"/>
      <c r="S1130" s="193"/>
      <c r="T1130" s="77"/>
      <c r="U1130" s="78"/>
      <c r="V1130" s="78"/>
      <c r="W1130" s="77"/>
    </row>
    <row r="1131">
      <c r="A1131" s="145"/>
      <c r="B1131" s="145"/>
      <c r="C1131" s="145"/>
      <c r="D1131" s="75"/>
      <c r="E1131" s="75"/>
      <c r="F1131" s="211"/>
      <c r="G1131" s="145"/>
      <c r="H1131" s="211"/>
      <c r="I1131" s="145"/>
      <c r="J1131" s="211"/>
      <c r="K1131" s="75"/>
      <c r="L1131" s="152"/>
      <c r="M1131" s="152"/>
      <c r="N1131" s="296"/>
      <c r="O1131" s="213"/>
      <c r="P1131" s="47"/>
      <c r="Q1131" s="47"/>
      <c r="R1131" s="47"/>
      <c r="S1131" s="193"/>
      <c r="T1131" s="77"/>
      <c r="U1131" s="78"/>
      <c r="V1131" s="78"/>
      <c r="W1131" s="77"/>
    </row>
    <row r="1132">
      <c r="A1132" s="145"/>
      <c r="B1132" s="145"/>
      <c r="C1132" s="145"/>
      <c r="D1132" s="75"/>
      <c r="E1132" s="75"/>
      <c r="F1132" s="211"/>
      <c r="G1132" s="145"/>
      <c r="H1132" s="211"/>
      <c r="I1132" s="145"/>
      <c r="J1132" s="211"/>
      <c r="K1132" s="75"/>
      <c r="L1132" s="152"/>
      <c r="M1132" s="152"/>
      <c r="N1132" s="296"/>
      <c r="O1132" s="213"/>
      <c r="P1132" s="47"/>
      <c r="Q1132" s="47"/>
      <c r="R1132" s="47"/>
      <c r="S1132" s="193"/>
      <c r="T1132" s="77"/>
      <c r="U1132" s="78"/>
      <c r="V1132" s="78"/>
      <c r="W1132" s="77"/>
    </row>
    <row r="1133">
      <c r="A1133" s="145"/>
      <c r="B1133" s="145"/>
      <c r="C1133" s="145"/>
      <c r="D1133" s="75"/>
      <c r="E1133" s="75"/>
      <c r="F1133" s="211"/>
      <c r="G1133" s="145"/>
      <c r="H1133" s="211"/>
      <c r="I1133" s="145"/>
      <c r="J1133" s="211"/>
      <c r="K1133" s="75"/>
      <c r="L1133" s="152"/>
      <c r="M1133" s="152"/>
      <c r="N1133" s="296"/>
      <c r="O1133" s="213"/>
      <c r="P1133" s="47"/>
      <c r="Q1133" s="47"/>
      <c r="R1133" s="47"/>
      <c r="S1133" s="193"/>
      <c r="T1133" s="77"/>
      <c r="U1133" s="78"/>
      <c r="V1133" s="78"/>
      <c r="W1133" s="77"/>
    </row>
    <row r="1134">
      <c r="A1134" s="145"/>
      <c r="B1134" s="145"/>
      <c r="C1134" s="145"/>
      <c r="D1134" s="75"/>
      <c r="E1134" s="75"/>
      <c r="F1134" s="211"/>
      <c r="G1134" s="145"/>
      <c r="H1134" s="211"/>
      <c r="I1134" s="145"/>
      <c r="J1134" s="211"/>
      <c r="K1134" s="75"/>
      <c r="L1134" s="152"/>
      <c r="M1134" s="152"/>
      <c r="N1134" s="296"/>
      <c r="O1134" s="213"/>
      <c r="P1134" s="47"/>
      <c r="Q1134" s="47"/>
      <c r="R1134" s="47"/>
      <c r="S1134" s="193"/>
      <c r="T1134" s="77"/>
      <c r="U1134" s="78"/>
      <c r="V1134" s="78"/>
      <c r="W1134" s="77"/>
    </row>
    <row r="1135">
      <c r="A1135" s="145"/>
      <c r="B1135" s="145"/>
      <c r="C1135" s="145"/>
      <c r="D1135" s="75"/>
      <c r="E1135" s="75"/>
      <c r="F1135" s="211"/>
      <c r="G1135" s="145"/>
      <c r="H1135" s="211"/>
      <c r="I1135" s="145"/>
      <c r="J1135" s="211"/>
      <c r="K1135" s="75"/>
      <c r="L1135" s="152"/>
      <c r="M1135" s="152"/>
      <c r="N1135" s="296"/>
      <c r="O1135" s="213"/>
      <c r="P1135" s="47"/>
      <c r="Q1135" s="47"/>
      <c r="R1135" s="47"/>
      <c r="S1135" s="193"/>
      <c r="T1135" s="77"/>
      <c r="U1135" s="78"/>
      <c r="V1135" s="78"/>
      <c r="W1135" s="77"/>
    </row>
    <row r="1136">
      <c r="A1136" s="145"/>
      <c r="B1136" s="145"/>
      <c r="C1136" s="145"/>
      <c r="D1136" s="75"/>
      <c r="E1136" s="75"/>
      <c r="F1136" s="211"/>
      <c r="G1136" s="145"/>
      <c r="H1136" s="211"/>
      <c r="I1136" s="145"/>
      <c r="J1136" s="211"/>
      <c r="K1136" s="75"/>
      <c r="L1136" s="152"/>
      <c r="M1136" s="152"/>
      <c r="N1136" s="296"/>
      <c r="O1136" s="213"/>
      <c r="P1136" s="47"/>
      <c r="Q1136" s="47"/>
      <c r="R1136" s="47"/>
      <c r="S1136" s="193"/>
      <c r="T1136" s="77"/>
      <c r="U1136" s="78"/>
      <c r="V1136" s="78"/>
      <c r="W1136" s="77"/>
    </row>
    <row r="1137">
      <c r="A1137" s="145"/>
      <c r="B1137" s="145"/>
      <c r="C1137" s="145"/>
      <c r="D1137" s="75"/>
      <c r="E1137" s="75"/>
      <c r="F1137" s="211"/>
      <c r="G1137" s="145"/>
      <c r="H1137" s="211"/>
      <c r="I1137" s="145"/>
      <c r="J1137" s="211"/>
      <c r="K1137" s="75"/>
      <c r="L1137" s="152"/>
      <c r="M1137" s="152"/>
      <c r="N1137" s="296"/>
      <c r="O1137" s="213"/>
      <c r="P1137" s="47"/>
      <c r="Q1137" s="47"/>
      <c r="R1137" s="47"/>
      <c r="S1137" s="193"/>
      <c r="T1137" s="77"/>
      <c r="U1137" s="78"/>
      <c r="V1137" s="78"/>
      <c r="W1137" s="77"/>
    </row>
    <row r="1138">
      <c r="A1138" s="145"/>
      <c r="B1138" s="145"/>
      <c r="C1138" s="145"/>
      <c r="D1138" s="75"/>
      <c r="E1138" s="75"/>
      <c r="F1138" s="211"/>
      <c r="G1138" s="145"/>
      <c r="H1138" s="211"/>
      <c r="I1138" s="145"/>
      <c r="J1138" s="211"/>
      <c r="K1138" s="75"/>
      <c r="L1138" s="152"/>
      <c r="M1138" s="152"/>
      <c r="N1138" s="296"/>
      <c r="O1138" s="213"/>
      <c r="P1138" s="47"/>
      <c r="Q1138" s="47"/>
      <c r="R1138" s="47"/>
      <c r="S1138" s="193"/>
      <c r="T1138" s="77"/>
      <c r="U1138" s="78"/>
      <c r="V1138" s="78"/>
      <c r="W1138" s="77"/>
    </row>
    <row r="1139">
      <c r="A1139" s="145"/>
      <c r="B1139" s="145"/>
      <c r="C1139" s="145"/>
      <c r="D1139" s="75"/>
      <c r="E1139" s="75"/>
      <c r="F1139" s="211"/>
      <c r="G1139" s="145"/>
      <c r="H1139" s="211"/>
      <c r="I1139" s="145"/>
      <c r="J1139" s="211"/>
      <c r="K1139" s="75"/>
      <c r="L1139" s="152"/>
      <c r="M1139" s="152"/>
      <c r="N1139" s="296"/>
      <c r="O1139" s="213"/>
      <c r="P1139" s="47"/>
      <c r="Q1139" s="47"/>
      <c r="R1139" s="47"/>
      <c r="S1139" s="193"/>
      <c r="T1139" s="77"/>
      <c r="U1139" s="78"/>
      <c r="V1139" s="78"/>
      <c r="W1139" s="77"/>
    </row>
    <row r="1140">
      <c r="A1140" s="145"/>
      <c r="B1140" s="145"/>
      <c r="C1140" s="145"/>
      <c r="D1140" s="75"/>
      <c r="E1140" s="75"/>
      <c r="F1140" s="211"/>
      <c r="G1140" s="145"/>
      <c r="H1140" s="211"/>
      <c r="I1140" s="145"/>
      <c r="J1140" s="211"/>
      <c r="K1140" s="75"/>
      <c r="L1140" s="152"/>
      <c r="M1140" s="152"/>
      <c r="N1140" s="296"/>
      <c r="O1140" s="213"/>
      <c r="P1140" s="47"/>
      <c r="Q1140" s="47"/>
      <c r="R1140" s="47"/>
      <c r="S1140" s="193"/>
      <c r="T1140" s="77"/>
      <c r="U1140" s="78"/>
      <c r="V1140" s="78"/>
      <c r="W1140" s="77"/>
    </row>
    <row r="1141">
      <c r="A1141" s="145"/>
      <c r="B1141" s="145"/>
      <c r="C1141" s="145"/>
      <c r="D1141" s="75"/>
      <c r="E1141" s="75"/>
      <c r="F1141" s="211"/>
      <c r="G1141" s="145"/>
      <c r="H1141" s="211"/>
      <c r="I1141" s="145"/>
      <c r="J1141" s="211"/>
      <c r="K1141" s="75"/>
      <c r="L1141" s="152"/>
      <c r="M1141" s="152"/>
      <c r="N1141" s="296"/>
      <c r="O1141" s="213"/>
      <c r="P1141" s="47"/>
      <c r="Q1141" s="47"/>
      <c r="R1141" s="47"/>
      <c r="S1141" s="193"/>
      <c r="T1141" s="77"/>
      <c r="U1141" s="78"/>
      <c r="V1141" s="78"/>
      <c r="W1141" s="77"/>
    </row>
    <row r="1142">
      <c r="A1142" s="145"/>
      <c r="B1142" s="145"/>
      <c r="C1142" s="145"/>
      <c r="D1142" s="75"/>
      <c r="E1142" s="75"/>
      <c r="F1142" s="211"/>
      <c r="G1142" s="145"/>
      <c r="H1142" s="211"/>
      <c r="I1142" s="145"/>
      <c r="J1142" s="211"/>
      <c r="K1142" s="75"/>
      <c r="L1142" s="152"/>
      <c r="M1142" s="152"/>
      <c r="N1142" s="296"/>
      <c r="O1142" s="213"/>
      <c r="P1142" s="47"/>
      <c r="Q1142" s="47"/>
      <c r="R1142" s="47"/>
      <c r="S1142" s="193"/>
      <c r="T1142" s="77"/>
      <c r="U1142" s="78"/>
      <c r="V1142" s="78"/>
      <c r="W1142" s="77"/>
    </row>
    <row r="1143">
      <c r="A1143" s="145"/>
      <c r="B1143" s="145"/>
      <c r="C1143" s="145"/>
      <c r="D1143" s="75"/>
      <c r="E1143" s="75"/>
      <c r="F1143" s="211"/>
      <c r="G1143" s="145"/>
      <c r="H1143" s="211"/>
      <c r="I1143" s="145"/>
      <c r="J1143" s="211"/>
      <c r="K1143" s="75"/>
      <c r="L1143" s="152"/>
      <c r="M1143" s="152"/>
      <c r="N1143" s="296"/>
      <c r="O1143" s="213"/>
      <c r="P1143" s="47"/>
      <c r="Q1143" s="47"/>
      <c r="R1143" s="47"/>
      <c r="S1143" s="193"/>
      <c r="T1143" s="77"/>
      <c r="U1143" s="78"/>
      <c r="V1143" s="78"/>
      <c r="W1143" s="77"/>
    </row>
    <row r="1144">
      <c r="A1144" s="145"/>
      <c r="B1144" s="145"/>
      <c r="C1144" s="145"/>
      <c r="D1144" s="75"/>
      <c r="E1144" s="75"/>
      <c r="F1144" s="211"/>
      <c r="G1144" s="145"/>
      <c r="H1144" s="211"/>
      <c r="I1144" s="145"/>
      <c r="J1144" s="211"/>
      <c r="K1144" s="75"/>
      <c r="L1144" s="152"/>
      <c r="M1144" s="152"/>
      <c r="N1144" s="296"/>
      <c r="O1144" s="213"/>
      <c r="P1144" s="47"/>
      <c r="Q1144" s="47"/>
      <c r="R1144" s="47"/>
      <c r="S1144" s="193"/>
      <c r="T1144" s="77"/>
      <c r="U1144" s="78"/>
      <c r="V1144" s="78"/>
      <c r="W1144" s="77"/>
    </row>
    <row r="1145">
      <c r="A1145" s="145"/>
      <c r="B1145" s="145"/>
      <c r="C1145" s="145"/>
      <c r="D1145" s="75"/>
      <c r="E1145" s="75"/>
      <c r="F1145" s="211"/>
      <c r="G1145" s="145"/>
      <c r="H1145" s="211"/>
      <c r="I1145" s="145"/>
      <c r="J1145" s="211"/>
      <c r="K1145" s="75"/>
      <c r="L1145" s="152"/>
      <c r="M1145" s="152"/>
      <c r="N1145" s="296"/>
      <c r="O1145" s="213"/>
      <c r="P1145" s="47"/>
      <c r="Q1145" s="47"/>
      <c r="R1145" s="47"/>
      <c r="S1145" s="193"/>
      <c r="T1145" s="77"/>
      <c r="U1145" s="78"/>
      <c r="V1145" s="78"/>
      <c r="W1145" s="77"/>
    </row>
    <row r="1146">
      <c r="A1146" s="145"/>
      <c r="B1146" s="145"/>
      <c r="C1146" s="145"/>
      <c r="D1146" s="75"/>
      <c r="E1146" s="75"/>
      <c r="F1146" s="211"/>
      <c r="G1146" s="145"/>
      <c r="H1146" s="211"/>
      <c r="I1146" s="145"/>
      <c r="J1146" s="211"/>
      <c r="K1146" s="75"/>
      <c r="L1146" s="152"/>
      <c r="M1146" s="152"/>
      <c r="N1146" s="296"/>
      <c r="O1146" s="213"/>
      <c r="P1146" s="47"/>
      <c r="Q1146" s="47"/>
      <c r="R1146" s="47"/>
      <c r="S1146" s="193"/>
      <c r="T1146" s="77"/>
      <c r="U1146" s="78"/>
      <c r="V1146" s="78"/>
      <c r="W1146" s="77"/>
    </row>
    <row r="1147">
      <c r="A1147" s="145"/>
      <c r="B1147" s="145"/>
      <c r="C1147" s="145"/>
      <c r="D1147" s="75"/>
      <c r="E1147" s="75"/>
      <c r="F1147" s="211"/>
      <c r="G1147" s="145"/>
      <c r="H1147" s="211"/>
      <c r="I1147" s="145"/>
      <c r="J1147" s="211"/>
      <c r="K1147" s="75"/>
      <c r="L1147" s="152"/>
      <c r="M1147" s="152"/>
      <c r="N1147" s="296"/>
      <c r="O1147" s="213"/>
      <c r="P1147" s="47"/>
      <c r="Q1147" s="47"/>
      <c r="R1147" s="47"/>
      <c r="S1147" s="193"/>
      <c r="T1147" s="77"/>
      <c r="U1147" s="78"/>
      <c r="V1147" s="78"/>
      <c r="W1147" s="77"/>
    </row>
    <row r="1148">
      <c r="A1148" s="145"/>
      <c r="B1148" s="145"/>
      <c r="C1148" s="145"/>
      <c r="D1148" s="75"/>
      <c r="E1148" s="75"/>
      <c r="F1148" s="211"/>
      <c r="G1148" s="145"/>
      <c r="H1148" s="211"/>
      <c r="I1148" s="145"/>
      <c r="J1148" s="211"/>
      <c r="K1148" s="75"/>
      <c r="L1148" s="152"/>
      <c r="M1148" s="152"/>
      <c r="N1148" s="296"/>
      <c r="O1148" s="213"/>
      <c r="P1148" s="47"/>
      <c r="Q1148" s="47"/>
      <c r="R1148" s="47"/>
      <c r="S1148" s="193"/>
      <c r="T1148" s="77"/>
      <c r="U1148" s="78"/>
      <c r="V1148" s="78"/>
      <c r="W1148" s="77"/>
    </row>
    <row r="1149">
      <c r="A1149" s="145"/>
      <c r="B1149" s="145"/>
      <c r="C1149" s="145"/>
      <c r="D1149" s="75"/>
      <c r="E1149" s="75"/>
      <c r="F1149" s="211"/>
      <c r="G1149" s="145"/>
      <c r="H1149" s="211"/>
      <c r="I1149" s="145"/>
      <c r="J1149" s="211"/>
      <c r="K1149" s="75"/>
      <c r="L1149" s="152"/>
      <c r="M1149" s="152"/>
      <c r="N1149" s="296"/>
      <c r="O1149" s="213"/>
      <c r="P1149" s="47"/>
      <c r="Q1149" s="47"/>
      <c r="R1149" s="47"/>
      <c r="S1149" s="193"/>
      <c r="T1149" s="77"/>
      <c r="U1149" s="78"/>
      <c r="V1149" s="78"/>
      <c r="W1149" s="77"/>
    </row>
    <row r="1150">
      <c r="A1150" s="145"/>
      <c r="B1150" s="145"/>
      <c r="C1150" s="145"/>
      <c r="D1150" s="75"/>
      <c r="E1150" s="75"/>
      <c r="F1150" s="211"/>
      <c r="G1150" s="145"/>
      <c r="H1150" s="211"/>
      <c r="I1150" s="145"/>
      <c r="J1150" s="211"/>
      <c r="K1150" s="75"/>
      <c r="L1150" s="152"/>
      <c r="M1150" s="152"/>
      <c r="N1150" s="296"/>
      <c r="O1150" s="213"/>
      <c r="P1150" s="47"/>
      <c r="Q1150" s="47"/>
      <c r="R1150" s="47"/>
      <c r="S1150" s="193"/>
      <c r="T1150" s="77"/>
      <c r="U1150" s="78"/>
      <c r="V1150" s="78"/>
      <c r="W1150" s="77"/>
    </row>
    <row r="1151">
      <c r="A1151" s="145"/>
      <c r="B1151" s="145"/>
      <c r="C1151" s="145"/>
      <c r="D1151" s="75"/>
      <c r="E1151" s="75"/>
      <c r="F1151" s="211"/>
      <c r="G1151" s="145"/>
      <c r="H1151" s="211"/>
      <c r="I1151" s="145"/>
      <c r="J1151" s="211"/>
      <c r="K1151" s="75"/>
      <c r="L1151" s="152"/>
      <c r="M1151" s="152"/>
      <c r="N1151" s="296"/>
      <c r="O1151" s="213"/>
      <c r="P1151" s="47"/>
      <c r="Q1151" s="47"/>
      <c r="R1151" s="47"/>
      <c r="S1151" s="193"/>
      <c r="T1151" s="77"/>
      <c r="U1151" s="78"/>
      <c r="V1151" s="78"/>
      <c r="W1151" s="77"/>
    </row>
    <row r="1152">
      <c r="A1152" s="145"/>
      <c r="B1152" s="145"/>
      <c r="C1152" s="145"/>
      <c r="D1152" s="75"/>
      <c r="E1152" s="75"/>
      <c r="F1152" s="211"/>
      <c r="G1152" s="145"/>
      <c r="H1152" s="211"/>
      <c r="I1152" s="145"/>
      <c r="J1152" s="211"/>
      <c r="K1152" s="75"/>
      <c r="L1152" s="152"/>
      <c r="M1152" s="152"/>
      <c r="N1152" s="296"/>
      <c r="O1152" s="213"/>
      <c r="P1152" s="47"/>
      <c r="Q1152" s="47"/>
      <c r="R1152" s="47"/>
      <c r="S1152" s="193"/>
      <c r="T1152" s="77"/>
      <c r="U1152" s="78"/>
      <c r="V1152" s="78"/>
      <c r="W1152" s="77"/>
    </row>
    <row r="1153">
      <c r="A1153" s="145"/>
      <c r="B1153" s="145"/>
      <c r="C1153" s="145"/>
      <c r="D1153" s="75"/>
      <c r="E1153" s="75"/>
      <c r="F1153" s="211"/>
      <c r="G1153" s="145"/>
      <c r="H1153" s="211"/>
      <c r="I1153" s="145"/>
      <c r="J1153" s="211"/>
      <c r="K1153" s="75"/>
      <c r="L1153" s="152"/>
      <c r="M1153" s="152"/>
      <c r="N1153" s="296"/>
      <c r="O1153" s="213"/>
      <c r="P1153" s="47"/>
      <c r="Q1153" s="47"/>
      <c r="R1153" s="47"/>
      <c r="S1153" s="193"/>
      <c r="T1153" s="77"/>
      <c r="U1153" s="78"/>
      <c r="V1153" s="78"/>
      <c r="W1153" s="77"/>
    </row>
    <row r="1154">
      <c r="A1154" s="145"/>
      <c r="B1154" s="145"/>
      <c r="C1154" s="145"/>
      <c r="D1154" s="75"/>
      <c r="E1154" s="75"/>
      <c r="F1154" s="211"/>
      <c r="G1154" s="145"/>
      <c r="H1154" s="211"/>
      <c r="I1154" s="145"/>
      <c r="J1154" s="211"/>
      <c r="K1154" s="75"/>
      <c r="L1154" s="152"/>
      <c r="M1154" s="152"/>
      <c r="N1154" s="296"/>
      <c r="O1154" s="213"/>
      <c r="P1154" s="47"/>
      <c r="Q1154" s="47"/>
      <c r="R1154" s="47"/>
      <c r="S1154" s="193"/>
      <c r="T1154" s="77"/>
      <c r="U1154" s="78"/>
      <c r="V1154" s="78"/>
      <c r="W1154" s="77"/>
    </row>
    <row r="1155">
      <c r="A1155" s="145"/>
      <c r="B1155" s="145"/>
      <c r="C1155" s="145"/>
      <c r="D1155" s="75"/>
      <c r="E1155" s="75"/>
      <c r="F1155" s="211"/>
      <c r="G1155" s="145"/>
      <c r="H1155" s="211"/>
      <c r="I1155" s="145"/>
      <c r="J1155" s="211"/>
      <c r="K1155" s="75"/>
      <c r="L1155" s="152"/>
      <c r="M1155" s="152"/>
      <c r="N1155" s="296"/>
      <c r="O1155" s="213"/>
      <c r="P1155" s="47"/>
      <c r="Q1155" s="47"/>
      <c r="R1155" s="47"/>
      <c r="S1155" s="193"/>
      <c r="T1155" s="77"/>
      <c r="U1155" s="78"/>
      <c r="V1155" s="78"/>
      <c r="W1155" s="77"/>
    </row>
    <row r="1156">
      <c r="A1156" s="145"/>
      <c r="B1156" s="145"/>
      <c r="C1156" s="145"/>
      <c r="D1156" s="75"/>
      <c r="E1156" s="75"/>
      <c r="F1156" s="211"/>
      <c r="G1156" s="145"/>
      <c r="H1156" s="211"/>
      <c r="I1156" s="145"/>
      <c r="J1156" s="211"/>
      <c r="K1156" s="75"/>
      <c r="L1156" s="152"/>
      <c r="M1156" s="152"/>
      <c r="N1156" s="296"/>
      <c r="O1156" s="213"/>
      <c r="P1156" s="47"/>
      <c r="Q1156" s="47"/>
      <c r="R1156" s="47"/>
      <c r="S1156" s="193"/>
      <c r="T1156" s="77"/>
      <c r="U1156" s="78"/>
      <c r="V1156" s="78"/>
      <c r="W1156" s="77"/>
    </row>
    <row r="1157">
      <c r="A1157" s="145"/>
      <c r="B1157" s="145"/>
      <c r="C1157" s="145"/>
      <c r="D1157" s="75"/>
      <c r="E1157" s="75"/>
      <c r="F1157" s="211"/>
      <c r="G1157" s="145"/>
      <c r="H1157" s="211"/>
      <c r="I1157" s="145"/>
      <c r="J1157" s="211"/>
      <c r="K1157" s="75"/>
      <c r="L1157" s="152"/>
      <c r="M1157" s="152"/>
      <c r="N1157" s="296"/>
      <c r="O1157" s="213"/>
      <c r="P1157" s="47"/>
      <c r="Q1157" s="47"/>
      <c r="R1157" s="47"/>
      <c r="S1157" s="193"/>
      <c r="T1157" s="77"/>
      <c r="U1157" s="78"/>
      <c r="V1157" s="78"/>
      <c r="W1157" s="77"/>
    </row>
    <row r="1158">
      <c r="A1158" s="145"/>
      <c r="B1158" s="145"/>
      <c r="C1158" s="145"/>
      <c r="D1158" s="75"/>
      <c r="E1158" s="75"/>
      <c r="F1158" s="211"/>
      <c r="G1158" s="145"/>
      <c r="H1158" s="211"/>
      <c r="I1158" s="145"/>
      <c r="J1158" s="211"/>
      <c r="K1158" s="75"/>
      <c r="L1158" s="152"/>
      <c r="M1158" s="152"/>
      <c r="N1158" s="296"/>
      <c r="O1158" s="213"/>
      <c r="P1158" s="47"/>
      <c r="Q1158" s="47"/>
      <c r="R1158" s="47"/>
      <c r="S1158" s="193"/>
      <c r="T1158" s="77"/>
      <c r="U1158" s="78"/>
      <c r="V1158" s="78"/>
      <c r="W1158" s="77"/>
    </row>
    <row r="1159">
      <c r="A1159" s="145"/>
      <c r="B1159" s="145"/>
      <c r="C1159" s="145"/>
      <c r="D1159" s="75"/>
      <c r="E1159" s="75"/>
      <c r="F1159" s="211"/>
      <c r="G1159" s="145"/>
      <c r="H1159" s="211"/>
      <c r="I1159" s="145"/>
      <c r="J1159" s="211"/>
      <c r="K1159" s="75"/>
      <c r="L1159" s="152"/>
      <c r="M1159" s="152"/>
      <c r="N1159" s="296"/>
      <c r="O1159" s="213"/>
      <c r="P1159" s="47"/>
      <c r="Q1159" s="47"/>
      <c r="R1159" s="47"/>
      <c r="S1159" s="193"/>
      <c r="T1159" s="77"/>
      <c r="U1159" s="78"/>
      <c r="V1159" s="78"/>
      <c r="W1159" s="77"/>
    </row>
    <row r="1160">
      <c r="A1160" s="145"/>
      <c r="B1160" s="145"/>
      <c r="C1160" s="145"/>
      <c r="D1160" s="75"/>
      <c r="E1160" s="75"/>
      <c r="F1160" s="211"/>
      <c r="G1160" s="145"/>
      <c r="H1160" s="211"/>
      <c r="I1160" s="145"/>
      <c r="J1160" s="211"/>
      <c r="K1160" s="75"/>
      <c r="L1160" s="152"/>
      <c r="M1160" s="152"/>
      <c r="N1160" s="296"/>
      <c r="O1160" s="213"/>
      <c r="P1160" s="47"/>
      <c r="Q1160" s="47"/>
      <c r="R1160" s="47"/>
      <c r="S1160" s="193"/>
      <c r="T1160" s="77"/>
      <c r="U1160" s="78"/>
      <c r="V1160" s="78"/>
      <c r="W1160" s="77"/>
    </row>
    <row r="1161">
      <c r="A1161" s="145"/>
      <c r="B1161" s="145"/>
      <c r="C1161" s="145"/>
      <c r="D1161" s="75"/>
      <c r="E1161" s="75"/>
      <c r="F1161" s="211"/>
      <c r="G1161" s="145"/>
      <c r="H1161" s="211"/>
      <c r="I1161" s="145"/>
      <c r="J1161" s="211"/>
      <c r="K1161" s="75"/>
      <c r="L1161" s="152"/>
      <c r="M1161" s="152"/>
      <c r="N1161" s="296"/>
      <c r="O1161" s="213"/>
      <c r="P1161" s="47"/>
      <c r="Q1161" s="47"/>
      <c r="R1161" s="47"/>
      <c r="S1161" s="193"/>
      <c r="T1161" s="77"/>
      <c r="U1161" s="78"/>
      <c r="V1161" s="78"/>
      <c r="W1161" s="77"/>
    </row>
    <row r="1162">
      <c r="A1162" s="145"/>
      <c r="B1162" s="145"/>
      <c r="C1162" s="145"/>
      <c r="D1162" s="75"/>
      <c r="E1162" s="75"/>
      <c r="F1162" s="211"/>
      <c r="G1162" s="145"/>
      <c r="H1162" s="211"/>
      <c r="I1162" s="145"/>
      <c r="J1162" s="211"/>
      <c r="K1162" s="75"/>
      <c r="L1162" s="152"/>
      <c r="M1162" s="152"/>
      <c r="N1162" s="296"/>
      <c r="O1162" s="213"/>
      <c r="P1162" s="47"/>
      <c r="Q1162" s="47"/>
      <c r="R1162" s="47"/>
      <c r="S1162" s="193"/>
      <c r="T1162" s="77"/>
      <c r="U1162" s="78"/>
      <c r="V1162" s="78"/>
      <c r="W1162" s="77"/>
    </row>
    <row r="1163">
      <c r="A1163" s="145"/>
      <c r="B1163" s="145"/>
      <c r="C1163" s="145"/>
      <c r="D1163" s="75"/>
      <c r="E1163" s="75"/>
      <c r="F1163" s="211"/>
      <c r="G1163" s="145"/>
      <c r="H1163" s="211"/>
      <c r="I1163" s="145"/>
      <c r="J1163" s="211"/>
      <c r="K1163" s="75"/>
      <c r="L1163" s="152"/>
      <c r="M1163" s="152"/>
      <c r="N1163" s="296"/>
      <c r="O1163" s="213"/>
      <c r="P1163" s="47"/>
      <c r="Q1163" s="47"/>
      <c r="R1163" s="47"/>
      <c r="S1163" s="193"/>
      <c r="T1163" s="77"/>
      <c r="U1163" s="78"/>
      <c r="V1163" s="78"/>
      <c r="W1163" s="77"/>
    </row>
    <row r="1164">
      <c r="A1164" s="145"/>
      <c r="B1164" s="145"/>
      <c r="C1164" s="145"/>
      <c r="D1164" s="75"/>
      <c r="E1164" s="75"/>
      <c r="F1164" s="211"/>
      <c r="G1164" s="145"/>
      <c r="H1164" s="211"/>
      <c r="I1164" s="145"/>
      <c r="J1164" s="211"/>
      <c r="K1164" s="75"/>
      <c r="L1164" s="152"/>
      <c r="M1164" s="152"/>
      <c r="N1164" s="296"/>
      <c r="O1164" s="213"/>
      <c r="P1164" s="47"/>
      <c r="Q1164" s="47"/>
      <c r="R1164" s="47"/>
      <c r="S1164" s="193"/>
      <c r="T1164" s="77"/>
      <c r="U1164" s="78"/>
      <c r="V1164" s="78"/>
      <c r="W1164" s="77"/>
    </row>
    <row r="1165">
      <c r="A1165" s="145"/>
      <c r="B1165" s="145"/>
      <c r="C1165" s="145"/>
      <c r="D1165" s="75"/>
      <c r="E1165" s="75"/>
      <c r="F1165" s="211"/>
      <c r="G1165" s="145"/>
      <c r="H1165" s="211"/>
      <c r="I1165" s="145"/>
      <c r="J1165" s="211"/>
      <c r="K1165" s="75"/>
      <c r="L1165" s="152"/>
      <c r="M1165" s="152"/>
      <c r="N1165" s="296"/>
      <c r="O1165" s="213"/>
      <c r="P1165" s="47"/>
      <c r="Q1165" s="47"/>
      <c r="R1165" s="47"/>
      <c r="S1165" s="193"/>
      <c r="T1165" s="77"/>
      <c r="U1165" s="78"/>
      <c r="V1165" s="78"/>
      <c r="W1165" s="77"/>
    </row>
    <row r="1166">
      <c r="A1166" s="145"/>
      <c r="B1166" s="145"/>
      <c r="C1166" s="145"/>
      <c r="D1166" s="75"/>
      <c r="E1166" s="75"/>
      <c r="F1166" s="211"/>
      <c r="G1166" s="145"/>
      <c r="H1166" s="211"/>
      <c r="I1166" s="145"/>
      <c r="J1166" s="211"/>
      <c r="K1166" s="75"/>
      <c r="L1166" s="152"/>
      <c r="M1166" s="152"/>
      <c r="N1166" s="296"/>
      <c r="O1166" s="213"/>
      <c r="P1166" s="47"/>
      <c r="Q1166" s="47"/>
      <c r="R1166" s="47"/>
      <c r="S1166" s="193"/>
      <c r="T1166" s="77"/>
      <c r="U1166" s="78"/>
      <c r="V1166" s="78"/>
      <c r="W1166" s="77"/>
    </row>
    <row r="1167">
      <c r="A1167" s="145"/>
      <c r="B1167" s="145"/>
      <c r="C1167" s="145"/>
      <c r="D1167" s="75"/>
      <c r="E1167" s="75"/>
      <c r="F1167" s="211"/>
      <c r="G1167" s="145"/>
      <c r="H1167" s="211"/>
      <c r="I1167" s="145"/>
      <c r="J1167" s="211"/>
      <c r="K1167" s="75"/>
      <c r="L1167" s="152"/>
      <c r="M1167" s="152"/>
      <c r="N1167" s="296"/>
      <c r="O1167" s="213"/>
      <c r="P1167" s="47"/>
      <c r="Q1167" s="47"/>
      <c r="R1167" s="47"/>
      <c r="S1167" s="193"/>
      <c r="T1167" s="77"/>
      <c r="U1167" s="78"/>
      <c r="V1167" s="78"/>
      <c r="W1167" s="77"/>
    </row>
    <row r="1168">
      <c r="A1168" s="145"/>
      <c r="B1168" s="145"/>
      <c r="C1168" s="145"/>
      <c r="D1168" s="75"/>
      <c r="E1168" s="75"/>
      <c r="F1168" s="211"/>
      <c r="G1168" s="145"/>
      <c r="H1168" s="211"/>
      <c r="I1168" s="145"/>
      <c r="J1168" s="211"/>
      <c r="K1168" s="75"/>
      <c r="L1168" s="152"/>
      <c r="M1168" s="152"/>
      <c r="N1168" s="296"/>
      <c r="O1168" s="213"/>
      <c r="P1168" s="47"/>
      <c r="Q1168" s="47"/>
      <c r="R1168" s="47"/>
      <c r="S1168" s="193"/>
      <c r="T1168" s="77"/>
      <c r="U1168" s="78"/>
      <c r="V1168" s="78"/>
      <c r="W1168" s="77"/>
    </row>
    <row r="1169">
      <c r="A1169" s="145"/>
      <c r="B1169" s="145"/>
      <c r="C1169" s="145"/>
      <c r="D1169" s="75"/>
      <c r="E1169" s="75"/>
      <c r="F1169" s="211"/>
      <c r="G1169" s="145"/>
      <c r="H1169" s="211"/>
      <c r="I1169" s="145"/>
      <c r="J1169" s="211"/>
      <c r="K1169" s="75"/>
      <c r="L1169" s="152"/>
      <c r="M1169" s="152"/>
      <c r="N1169" s="296"/>
      <c r="O1169" s="213"/>
      <c r="P1169" s="47"/>
      <c r="Q1169" s="47"/>
      <c r="R1169" s="47"/>
      <c r="S1169" s="193"/>
      <c r="T1169" s="77"/>
      <c r="U1169" s="78"/>
      <c r="V1169" s="78"/>
      <c r="W1169" s="77"/>
    </row>
    <row r="1170">
      <c r="A1170" s="145"/>
      <c r="B1170" s="145"/>
      <c r="C1170" s="145"/>
      <c r="D1170" s="75"/>
      <c r="E1170" s="75"/>
      <c r="F1170" s="211"/>
      <c r="G1170" s="145"/>
      <c r="H1170" s="211"/>
      <c r="I1170" s="145"/>
      <c r="J1170" s="211"/>
      <c r="K1170" s="75"/>
      <c r="L1170" s="152"/>
      <c r="M1170" s="152"/>
      <c r="N1170" s="296"/>
      <c r="O1170" s="213"/>
      <c r="P1170" s="47"/>
      <c r="Q1170" s="47"/>
      <c r="R1170" s="47"/>
      <c r="S1170" s="193"/>
      <c r="T1170" s="77"/>
      <c r="U1170" s="78"/>
      <c r="V1170" s="78"/>
      <c r="W1170" s="77"/>
    </row>
    <row r="1171">
      <c r="A1171" s="145"/>
      <c r="B1171" s="145"/>
      <c r="C1171" s="145"/>
      <c r="D1171" s="75"/>
      <c r="E1171" s="75"/>
      <c r="F1171" s="211"/>
      <c r="G1171" s="145"/>
      <c r="H1171" s="211"/>
      <c r="I1171" s="145"/>
      <c r="J1171" s="211"/>
      <c r="K1171" s="75"/>
      <c r="L1171" s="152"/>
      <c r="M1171" s="152"/>
      <c r="N1171" s="296"/>
      <c r="O1171" s="213"/>
      <c r="P1171" s="47"/>
      <c r="Q1171" s="47"/>
      <c r="R1171" s="47"/>
      <c r="S1171" s="193"/>
      <c r="T1171" s="77"/>
      <c r="U1171" s="78"/>
      <c r="V1171" s="78"/>
      <c r="W1171" s="77"/>
    </row>
    <row r="1172">
      <c r="A1172" s="145"/>
      <c r="B1172" s="145"/>
      <c r="C1172" s="145"/>
      <c r="D1172" s="75"/>
      <c r="E1172" s="75"/>
      <c r="F1172" s="211"/>
      <c r="G1172" s="145"/>
      <c r="H1172" s="211"/>
      <c r="I1172" s="145"/>
      <c r="J1172" s="211"/>
      <c r="K1172" s="75"/>
      <c r="L1172" s="152"/>
      <c r="M1172" s="152"/>
      <c r="N1172" s="296"/>
      <c r="O1172" s="213"/>
      <c r="P1172" s="47"/>
      <c r="Q1172" s="47"/>
      <c r="R1172" s="47"/>
      <c r="S1172" s="193"/>
      <c r="T1172" s="77"/>
      <c r="U1172" s="78"/>
      <c r="V1172" s="78"/>
      <c r="W1172" s="77"/>
    </row>
    <row r="1173">
      <c r="A1173" s="145"/>
      <c r="B1173" s="145"/>
      <c r="C1173" s="145"/>
      <c r="D1173" s="75"/>
      <c r="E1173" s="75"/>
      <c r="F1173" s="211"/>
      <c r="G1173" s="145"/>
      <c r="H1173" s="211"/>
      <c r="I1173" s="145"/>
      <c r="J1173" s="211"/>
      <c r="K1173" s="75"/>
      <c r="L1173" s="152"/>
      <c r="M1173" s="152"/>
      <c r="N1173" s="296"/>
      <c r="O1173" s="213"/>
      <c r="P1173" s="47"/>
      <c r="Q1173" s="47"/>
      <c r="R1173" s="47"/>
      <c r="S1173" s="193"/>
      <c r="T1173" s="77"/>
      <c r="U1173" s="78"/>
      <c r="V1173" s="78"/>
      <c r="W1173" s="77"/>
    </row>
    <row r="1174">
      <c r="A1174" s="145"/>
      <c r="B1174" s="145"/>
      <c r="C1174" s="145"/>
      <c r="D1174" s="75"/>
      <c r="E1174" s="75"/>
      <c r="F1174" s="211"/>
      <c r="G1174" s="145"/>
      <c r="H1174" s="211"/>
      <c r="I1174" s="145"/>
      <c r="J1174" s="211"/>
      <c r="K1174" s="75"/>
      <c r="L1174" s="152"/>
      <c r="M1174" s="152"/>
      <c r="N1174" s="296"/>
      <c r="O1174" s="213"/>
      <c r="P1174" s="47"/>
      <c r="Q1174" s="47"/>
      <c r="R1174" s="47"/>
      <c r="S1174" s="193"/>
      <c r="T1174" s="77"/>
      <c r="U1174" s="78"/>
      <c r="V1174" s="78"/>
      <c r="W1174" s="77"/>
    </row>
    <row r="1175">
      <c r="A1175" s="145"/>
      <c r="B1175" s="145"/>
      <c r="C1175" s="145"/>
      <c r="D1175" s="75"/>
      <c r="E1175" s="75"/>
      <c r="F1175" s="211"/>
      <c r="G1175" s="145"/>
      <c r="H1175" s="211"/>
      <c r="I1175" s="145"/>
      <c r="J1175" s="211"/>
      <c r="K1175" s="75"/>
      <c r="L1175" s="152"/>
      <c r="M1175" s="152"/>
      <c r="N1175" s="296"/>
      <c r="O1175" s="213"/>
      <c r="P1175" s="47"/>
      <c r="Q1175" s="47"/>
      <c r="R1175" s="47"/>
      <c r="S1175" s="193"/>
      <c r="T1175" s="77"/>
      <c r="U1175" s="78"/>
      <c r="V1175" s="78"/>
      <c r="W1175" s="77"/>
    </row>
    <row r="1176">
      <c r="A1176" s="145"/>
      <c r="B1176" s="145"/>
      <c r="C1176" s="145"/>
      <c r="D1176" s="75"/>
      <c r="E1176" s="75"/>
      <c r="F1176" s="211"/>
      <c r="G1176" s="145"/>
      <c r="H1176" s="211"/>
      <c r="I1176" s="145"/>
      <c r="J1176" s="211"/>
      <c r="K1176" s="75"/>
      <c r="L1176" s="152"/>
      <c r="M1176" s="152"/>
      <c r="N1176" s="296"/>
      <c r="O1176" s="213"/>
      <c r="P1176" s="47"/>
      <c r="Q1176" s="47"/>
      <c r="R1176" s="47"/>
      <c r="S1176" s="193"/>
      <c r="T1176" s="77"/>
      <c r="U1176" s="78"/>
      <c r="V1176" s="78"/>
      <c r="W1176" s="77"/>
    </row>
    <row r="1177">
      <c r="A1177" s="145"/>
      <c r="B1177" s="145"/>
      <c r="C1177" s="145"/>
      <c r="D1177" s="75"/>
      <c r="E1177" s="75"/>
      <c r="F1177" s="211"/>
      <c r="G1177" s="145"/>
      <c r="H1177" s="211"/>
      <c r="I1177" s="145"/>
      <c r="J1177" s="211"/>
      <c r="K1177" s="75"/>
      <c r="L1177" s="152"/>
      <c r="M1177" s="152"/>
      <c r="N1177" s="296"/>
      <c r="O1177" s="213"/>
      <c r="P1177" s="47"/>
      <c r="Q1177" s="47"/>
      <c r="R1177" s="47"/>
      <c r="S1177" s="193"/>
      <c r="T1177" s="77"/>
      <c r="U1177" s="78"/>
      <c r="V1177" s="78"/>
      <c r="W1177" s="77"/>
    </row>
    <row r="1178">
      <c r="A1178" s="145"/>
      <c r="B1178" s="145"/>
      <c r="C1178" s="145"/>
      <c r="D1178" s="75"/>
      <c r="E1178" s="75"/>
      <c r="F1178" s="211"/>
      <c r="G1178" s="145"/>
      <c r="H1178" s="211"/>
      <c r="I1178" s="145"/>
      <c r="J1178" s="211"/>
      <c r="K1178" s="75"/>
      <c r="L1178" s="152"/>
      <c r="M1178" s="152"/>
      <c r="N1178" s="296"/>
      <c r="O1178" s="213"/>
      <c r="P1178" s="47"/>
      <c r="Q1178" s="47"/>
      <c r="R1178" s="47"/>
      <c r="S1178" s="193"/>
      <c r="T1178" s="77"/>
      <c r="U1178" s="78"/>
      <c r="V1178" s="78"/>
      <c r="W1178" s="77"/>
    </row>
    <row r="1179">
      <c r="A1179" s="145"/>
      <c r="B1179" s="145"/>
      <c r="C1179" s="145"/>
      <c r="D1179" s="75"/>
      <c r="E1179" s="75"/>
      <c r="F1179" s="211"/>
      <c r="G1179" s="145"/>
      <c r="H1179" s="211"/>
      <c r="I1179" s="145"/>
      <c r="J1179" s="211"/>
      <c r="K1179" s="75"/>
      <c r="L1179" s="152"/>
      <c r="M1179" s="152"/>
      <c r="N1179" s="296"/>
      <c r="O1179" s="213"/>
      <c r="P1179" s="47"/>
      <c r="Q1179" s="47"/>
      <c r="R1179" s="47"/>
      <c r="S1179" s="193"/>
      <c r="T1179" s="77"/>
      <c r="U1179" s="78"/>
      <c r="V1179" s="78"/>
      <c r="W1179" s="77"/>
    </row>
    <row r="1180">
      <c r="A1180" s="145"/>
      <c r="B1180" s="145"/>
      <c r="C1180" s="145"/>
      <c r="D1180" s="75"/>
      <c r="E1180" s="75"/>
      <c r="F1180" s="211"/>
      <c r="G1180" s="145"/>
      <c r="H1180" s="211"/>
      <c r="I1180" s="145"/>
      <c r="J1180" s="211"/>
      <c r="K1180" s="75"/>
      <c r="L1180" s="152"/>
      <c r="M1180" s="152"/>
      <c r="N1180" s="296"/>
      <c r="O1180" s="213"/>
      <c r="P1180" s="47"/>
      <c r="Q1180" s="47"/>
      <c r="R1180" s="47"/>
      <c r="S1180" s="193"/>
      <c r="T1180" s="77"/>
      <c r="U1180" s="78"/>
      <c r="V1180" s="78"/>
      <c r="W1180" s="77"/>
    </row>
    <row r="1181">
      <c r="A1181" s="145"/>
      <c r="B1181" s="145"/>
      <c r="C1181" s="145"/>
      <c r="D1181" s="75"/>
      <c r="E1181" s="75"/>
      <c r="F1181" s="211"/>
      <c r="G1181" s="145"/>
      <c r="H1181" s="211"/>
      <c r="I1181" s="145"/>
      <c r="J1181" s="211"/>
      <c r="K1181" s="75"/>
      <c r="L1181" s="152"/>
      <c r="M1181" s="152"/>
      <c r="N1181" s="296"/>
      <c r="O1181" s="213"/>
      <c r="P1181" s="47"/>
      <c r="Q1181" s="47"/>
      <c r="R1181" s="47"/>
      <c r="S1181" s="193"/>
      <c r="T1181" s="77"/>
      <c r="U1181" s="78"/>
      <c r="V1181" s="78"/>
      <c r="W1181" s="77"/>
    </row>
    <row r="1182">
      <c r="A1182" s="145"/>
      <c r="B1182" s="145"/>
      <c r="C1182" s="145"/>
      <c r="D1182" s="75"/>
      <c r="E1182" s="75"/>
      <c r="F1182" s="211"/>
      <c r="G1182" s="145"/>
      <c r="H1182" s="211"/>
      <c r="I1182" s="145"/>
      <c r="J1182" s="211"/>
      <c r="K1182" s="75"/>
      <c r="L1182" s="152"/>
      <c r="M1182" s="152"/>
      <c r="N1182" s="296"/>
      <c r="O1182" s="213"/>
      <c r="P1182" s="47"/>
      <c r="Q1182" s="47"/>
      <c r="R1182" s="47"/>
      <c r="S1182" s="193"/>
      <c r="T1182" s="77"/>
      <c r="U1182" s="78"/>
      <c r="V1182" s="78"/>
      <c r="W1182" s="77"/>
    </row>
    <row r="1183">
      <c r="A1183" s="145"/>
      <c r="B1183" s="145"/>
      <c r="C1183" s="145"/>
      <c r="D1183" s="75"/>
      <c r="E1183" s="75"/>
      <c r="F1183" s="211"/>
      <c r="G1183" s="145"/>
      <c r="H1183" s="211"/>
      <c r="I1183" s="145"/>
      <c r="J1183" s="211"/>
      <c r="K1183" s="75"/>
      <c r="L1183" s="152"/>
      <c r="M1183" s="152"/>
      <c r="N1183" s="296"/>
      <c r="O1183" s="213"/>
      <c r="P1183" s="47"/>
      <c r="Q1183" s="47"/>
      <c r="R1183" s="47"/>
      <c r="S1183" s="193"/>
      <c r="T1183" s="77"/>
      <c r="U1183" s="78"/>
      <c r="V1183" s="78"/>
      <c r="W1183" s="77"/>
    </row>
    <row r="1184">
      <c r="A1184" s="145"/>
      <c r="B1184" s="145"/>
      <c r="C1184" s="145"/>
      <c r="D1184" s="75"/>
      <c r="E1184" s="75"/>
      <c r="F1184" s="211"/>
      <c r="G1184" s="145"/>
      <c r="H1184" s="211"/>
      <c r="I1184" s="145"/>
      <c r="J1184" s="211"/>
      <c r="K1184" s="75"/>
      <c r="L1184" s="152"/>
      <c r="M1184" s="152"/>
      <c r="N1184" s="296"/>
      <c r="O1184" s="213"/>
      <c r="P1184" s="47"/>
      <c r="Q1184" s="47"/>
      <c r="R1184" s="47"/>
      <c r="S1184" s="193"/>
      <c r="T1184" s="77"/>
      <c r="U1184" s="78"/>
      <c r="V1184" s="78"/>
      <c r="W1184" s="77"/>
    </row>
    <row r="1185">
      <c r="A1185" s="145"/>
      <c r="B1185" s="145"/>
      <c r="C1185" s="145"/>
      <c r="D1185" s="75"/>
      <c r="E1185" s="75"/>
      <c r="F1185" s="211"/>
      <c r="G1185" s="145"/>
      <c r="H1185" s="211"/>
      <c r="I1185" s="145"/>
      <c r="J1185" s="211"/>
      <c r="K1185" s="75"/>
      <c r="L1185" s="152"/>
      <c r="M1185" s="152"/>
      <c r="N1185" s="296"/>
      <c r="O1185" s="213"/>
      <c r="P1185" s="47"/>
      <c r="Q1185" s="47"/>
      <c r="R1185" s="47"/>
      <c r="S1185" s="193"/>
      <c r="T1185" s="77"/>
      <c r="U1185" s="78"/>
      <c r="V1185" s="78"/>
      <c r="W1185" s="77"/>
    </row>
    <row r="1186">
      <c r="A1186" s="145"/>
      <c r="B1186" s="145"/>
      <c r="C1186" s="145"/>
      <c r="D1186" s="75"/>
      <c r="E1186" s="75"/>
      <c r="F1186" s="211"/>
      <c r="G1186" s="145"/>
      <c r="H1186" s="211"/>
      <c r="I1186" s="145"/>
      <c r="J1186" s="211"/>
      <c r="K1186" s="75"/>
      <c r="L1186" s="152"/>
      <c r="M1186" s="152"/>
      <c r="N1186" s="296"/>
      <c r="O1186" s="213"/>
      <c r="P1186" s="47"/>
      <c r="Q1186" s="47"/>
      <c r="R1186" s="47"/>
      <c r="S1186" s="193"/>
      <c r="T1186" s="77"/>
      <c r="U1186" s="78"/>
      <c r="V1186" s="78"/>
      <c r="W1186" s="77"/>
    </row>
    <row r="1187">
      <c r="A1187" s="145"/>
      <c r="B1187" s="145"/>
      <c r="C1187" s="145"/>
      <c r="D1187" s="75"/>
      <c r="E1187" s="75"/>
      <c r="F1187" s="211"/>
      <c r="G1187" s="145"/>
      <c r="H1187" s="211"/>
      <c r="I1187" s="145"/>
      <c r="J1187" s="211"/>
      <c r="K1187" s="75"/>
      <c r="L1187" s="152"/>
      <c r="M1187" s="152"/>
      <c r="N1187" s="296"/>
      <c r="O1187" s="213"/>
      <c r="P1187" s="47"/>
      <c r="Q1187" s="47"/>
      <c r="R1187" s="47"/>
      <c r="S1187" s="193"/>
      <c r="T1187" s="77"/>
      <c r="U1187" s="78"/>
      <c r="V1187" s="78"/>
      <c r="W1187" s="77"/>
    </row>
    <row r="1188">
      <c r="A1188" s="145"/>
      <c r="B1188" s="145"/>
      <c r="C1188" s="145"/>
      <c r="D1188" s="75"/>
      <c r="E1188" s="75"/>
      <c r="F1188" s="211"/>
      <c r="G1188" s="145"/>
      <c r="H1188" s="211"/>
      <c r="I1188" s="145"/>
      <c r="J1188" s="211"/>
      <c r="K1188" s="75"/>
      <c r="L1188" s="152"/>
      <c r="M1188" s="152"/>
      <c r="N1188" s="296"/>
      <c r="O1188" s="213"/>
      <c r="P1188" s="47"/>
      <c r="Q1188" s="47"/>
      <c r="R1188" s="47"/>
      <c r="S1188" s="193"/>
      <c r="T1188" s="77"/>
      <c r="U1188" s="78"/>
      <c r="V1188" s="78"/>
      <c r="W1188" s="77"/>
    </row>
    <row r="1189">
      <c r="A1189" s="145"/>
      <c r="B1189" s="145"/>
      <c r="C1189" s="145"/>
      <c r="D1189" s="75"/>
      <c r="E1189" s="75"/>
      <c r="F1189" s="211"/>
      <c r="G1189" s="145"/>
      <c r="H1189" s="211"/>
      <c r="I1189" s="145"/>
      <c r="J1189" s="211"/>
      <c r="K1189" s="75"/>
      <c r="L1189" s="152"/>
      <c r="M1189" s="152"/>
      <c r="N1189" s="296"/>
      <c r="O1189" s="213"/>
      <c r="P1189" s="47"/>
      <c r="Q1189" s="47"/>
      <c r="R1189" s="47"/>
      <c r="S1189" s="193"/>
      <c r="T1189" s="77"/>
      <c r="U1189" s="78"/>
      <c r="V1189" s="78"/>
      <c r="W1189" s="77"/>
    </row>
    <row r="1190">
      <c r="A1190" s="145"/>
      <c r="B1190" s="145"/>
      <c r="C1190" s="145"/>
      <c r="D1190" s="75"/>
      <c r="E1190" s="75"/>
      <c r="F1190" s="211"/>
      <c r="G1190" s="145"/>
      <c r="H1190" s="211"/>
      <c r="I1190" s="145"/>
      <c r="J1190" s="211"/>
      <c r="K1190" s="75"/>
      <c r="L1190" s="152"/>
      <c r="M1190" s="152"/>
      <c r="N1190" s="296"/>
      <c r="O1190" s="213"/>
      <c r="P1190" s="47"/>
      <c r="Q1190" s="47"/>
      <c r="R1190" s="47"/>
      <c r="S1190" s="193"/>
      <c r="T1190" s="77"/>
      <c r="U1190" s="78"/>
      <c r="V1190" s="78"/>
      <c r="W1190" s="77"/>
    </row>
    <row r="1191">
      <c r="A1191" s="145"/>
      <c r="B1191" s="145"/>
      <c r="C1191" s="145"/>
      <c r="D1191" s="75"/>
      <c r="E1191" s="75"/>
      <c r="F1191" s="211"/>
      <c r="G1191" s="145"/>
      <c r="H1191" s="211"/>
      <c r="I1191" s="145"/>
      <c r="J1191" s="211"/>
      <c r="K1191" s="75"/>
      <c r="L1191" s="152"/>
      <c r="M1191" s="152"/>
      <c r="N1191" s="296"/>
      <c r="O1191" s="213"/>
      <c r="P1191" s="47"/>
      <c r="Q1191" s="47"/>
      <c r="R1191" s="47"/>
      <c r="S1191" s="193"/>
      <c r="T1191" s="77"/>
      <c r="U1191" s="78"/>
      <c r="V1191" s="78"/>
      <c r="W1191" s="77"/>
    </row>
    <row r="1192">
      <c r="A1192" s="145"/>
      <c r="B1192" s="145"/>
      <c r="C1192" s="145"/>
      <c r="D1192" s="75"/>
      <c r="E1192" s="75"/>
      <c r="F1192" s="211"/>
      <c r="G1192" s="145"/>
      <c r="H1192" s="211"/>
      <c r="I1192" s="145"/>
      <c r="J1192" s="211"/>
      <c r="K1192" s="75"/>
      <c r="L1192" s="152"/>
      <c r="M1192" s="152"/>
      <c r="N1192" s="296"/>
      <c r="O1192" s="213"/>
      <c r="P1192" s="47"/>
      <c r="Q1192" s="47"/>
      <c r="R1192" s="47"/>
      <c r="S1192" s="193"/>
      <c r="T1192" s="77"/>
      <c r="U1192" s="78"/>
      <c r="V1192" s="78"/>
      <c r="W1192" s="77"/>
    </row>
    <row r="1193">
      <c r="A1193" s="145"/>
      <c r="B1193" s="145"/>
      <c r="C1193" s="145"/>
      <c r="D1193" s="75"/>
      <c r="E1193" s="75"/>
      <c r="F1193" s="211"/>
      <c r="G1193" s="145"/>
      <c r="H1193" s="211"/>
      <c r="I1193" s="145"/>
      <c r="J1193" s="211"/>
      <c r="K1193" s="75"/>
      <c r="L1193" s="152"/>
      <c r="M1193" s="152"/>
      <c r="N1193" s="296"/>
      <c r="O1193" s="213"/>
      <c r="P1193" s="47"/>
      <c r="Q1193" s="47"/>
      <c r="R1193" s="47"/>
      <c r="S1193" s="193"/>
      <c r="T1193" s="77"/>
      <c r="U1193" s="78"/>
      <c r="V1193" s="78"/>
      <c r="W1193" s="77"/>
    </row>
    <row r="1194">
      <c r="A1194" s="145"/>
      <c r="B1194" s="145"/>
      <c r="C1194" s="145"/>
      <c r="D1194" s="75"/>
      <c r="E1194" s="75"/>
      <c r="F1194" s="211"/>
      <c r="G1194" s="145"/>
      <c r="H1194" s="211"/>
      <c r="I1194" s="145"/>
      <c r="J1194" s="211"/>
      <c r="K1194" s="75"/>
      <c r="L1194" s="152"/>
      <c r="M1194" s="152"/>
      <c r="N1194" s="296"/>
      <c r="O1194" s="213"/>
      <c r="P1194" s="47"/>
      <c r="Q1194" s="47"/>
      <c r="R1194" s="47"/>
      <c r="S1194" s="193"/>
      <c r="T1194" s="77"/>
      <c r="U1194" s="78"/>
      <c r="V1194" s="78"/>
      <c r="W1194" s="77"/>
    </row>
    <row r="1195">
      <c r="A1195" s="145"/>
      <c r="B1195" s="145"/>
      <c r="C1195" s="145"/>
      <c r="D1195" s="75"/>
      <c r="E1195" s="75"/>
      <c r="F1195" s="211"/>
      <c r="G1195" s="145"/>
      <c r="H1195" s="211"/>
      <c r="I1195" s="145"/>
      <c r="J1195" s="211"/>
      <c r="K1195" s="75"/>
      <c r="L1195" s="152"/>
      <c r="M1195" s="152"/>
      <c r="N1195" s="296"/>
      <c r="O1195" s="213"/>
      <c r="P1195" s="47"/>
      <c r="Q1195" s="47"/>
      <c r="R1195" s="47"/>
      <c r="S1195" s="193"/>
      <c r="T1195" s="77"/>
      <c r="U1195" s="78"/>
      <c r="V1195" s="78"/>
      <c r="W1195" s="77"/>
    </row>
    <row r="1196">
      <c r="A1196" s="145"/>
      <c r="B1196" s="145"/>
      <c r="C1196" s="145"/>
      <c r="D1196" s="75"/>
      <c r="E1196" s="75"/>
      <c r="F1196" s="211"/>
      <c r="G1196" s="145"/>
      <c r="H1196" s="211"/>
      <c r="I1196" s="145"/>
      <c r="J1196" s="211"/>
      <c r="K1196" s="75"/>
      <c r="L1196" s="152"/>
      <c r="M1196" s="152"/>
      <c r="N1196" s="296"/>
      <c r="O1196" s="213"/>
      <c r="P1196" s="47"/>
      <c r="Q1196" s="47"/>
      <c r="R1196" s="47"/>
      <c r="S1196" s="193"/>
      <c r="T1196" s="77"/>
      <c r="U1196" s="78"/>
      <c r="V1196" s="78"/>
      <c r="W1196" s="77"/>
    </row>
    <row r="1197">
      <c r="A1197" s="145"/>
      <c r="B1197" s="145"/>
      <c r="C1197" s="145"/>
      <c r="D1197" s="75"/>
      <c r="E1197" s="75"/>
      <c r="F1197" s="211"/>
      <c r="G1197" s="145"/>
      <c r="H1197" s="211"/>
      <c r="I1197" s="145"/>
      <c r="J1197" s="211"/>
      <c r="K1197" s="75"/>
      <c r="L1197" s="152"/>
      <c r="M1197" s="152"/>
      <c r="N1197" s="296"/>
      <c r="O1197" s="213"/>
      <c r="P1197" s="47"/>
      <c r="Q1197" s="47"/>
      <c r="R1197" s="47"/>
      <c r="S1197" s="193"/>
      <c r="T1197" s="77"/>
      <c r="U1197" s="78"/>
      <c r="V1197" s="78"/>
      <c r="W1197" s="77"/>
    </row>
    <row r="1198">
      <c r="A1198" s="145"/>
      <c r="B1198" s="145"/>
      <c r="C1198" s="145"/>
      <c r="D1198" s="75"/>
      <c r="E1198" s="75"/>
      <c r="F1198" s="211"/>
      <c r="G1198" s="145"/>
      <c r="H1198" s="211"/>
      <c r="I1198" s="145"/>
      <c r="J1198" s="211"/>
      <c r="K1198" s="75"/>
      <c r="L1198" s="152"/>
      <c r="M1198" s="152"/>
      <c r="N1198" s="296"/>
      <c r="O1198" s="213"/>
      <c r="P1198" s="47"/>
      <c r="Q1198" s="47"/>
      <c r="R1198" s="47"/>
      <c r="S1198" s="193"/>
      <c r="T1198" s="77"/>
      <c r="U1198" s="78"/>
      <c r="V1198" s="78"/>
      <c r="W1198" s="77"/>
    </row>
    <row r="1199">
      <c r="A1199" s="145"/>
      <c r="B1199" s="145"/>
      <c r="C1199" s="145"/>
      <c r="D1199" s="75"/>
      <c r="E1199" s="75"/>
      <c r="F1199" s="211"/>
      <c r="G1199" s="145"/>
      <c r="H1199" s="211"/>
      <c r="I1199" s="145"/>
      <c r="J1199" s="211"/>
      <c r="K1199" s="75"/>
      <c r="L1199" s="152"/>
      <c r="M1199" s="152"/>
      <c r="N1199" s="296"/>
      <c r="O1199" s="213"/>
      <c r="P1199" s="47"/>
      <c r="Q1199" s="47"/>
      <c r="R1199" s="47"/>
      <c r="S1199" s="193"/>
      <c r="T1199" s="77"/>
      <c r="U1199" s="78"/>
      <c r="V1199" s="78"/>
      <c r="W1199" s="77"/>
    </row>
    <row r="1200">
      <c r="A1200" s="145"/>
      <c r="B1200" s="145"/>
      <c r="C1200" s="145"/>
      <c r="D1200" s="75"/>
      <c r="E1200" s="75"/>
      <c r="F1200" s="211"/>
      <c r="G1200" s="145"/>
      <c r="H1200" s="211"/>
      <c r="I1200" s="145"/>
      <c r="J1200" s="211"/>
      <c r="K1200" s="75"/>
      <c r="L1200" s="152"/>
      <c r="M1200" s="152"/>
      <c r="N1200" s="296"/>
      <c r="O1200" s="213"/>
      <c r="P1200" s="47"/>
      <c r="Q1200" s="47"/>
      <c r="R1200" s="47"/>
      <c r="S1200" s="193"/>
      <c r="T1200" s="77"/>
      <c r="U1200" s="78"/>
      <c r="V1200" s="78"/>
      <c r="W1200" s="77"/>
    </row>
    <row r="1201">
      <c r="A1201" s="145"/>
      <c r="B1201" s="145"/>
      <c r="C1201" s="145"/>
      <c r="D1201" s="75"/>
      <c r="E1201" s="75"/>
      <c r="F1201" s="211"/>
      <c r="G1201" s="145"/>
      <c r="H1201" s="211"/>
      <c r="I1201" s="145"/>
      <c r="J1201" s="211"/>
      <c r="K1201" s="75"/>
      <c r="L1201" s="152"/>
      <c r="M1201" s="152"/>
      <c r="N1201" s="296"/>
      <c r="O1201" s="213"/>
      <c r="P1201" s="47"/>
      <c r="Q1201" s="47"/>
      <c r="R1201" s="47"/>
      <c r="S1201" s="193"/>
      <c r="T1201" s="77"/>
      <c r="U1201" s="78"/>
      <c r="V1201" s="78"/>
      <c r="W1201" s="77"/>
    </row>
    <row r="1202">
      <c r="A1202" s="145"/>
      <c r="B1202" s="145"/>
      <c r="C1202" s="145"/>
      <c r="D1202" s="75"/>
      <c r="E1202" s="75"/>
      <c r="F1202" s="211"/>
      <c r="G1202" s="145"/>
      <c r="H1202" s="211"/>
      <c r="I1202" s="145"/>
      <c r="J1202" s="211"/>
      <c r="K1202" s="75"/>
      <c r="L1202" s="152"/>
      <c r="M1202" s="152"/>
      <c r="N1202" s="296"/>
      <c r="O1202" s="213"/>
      <c r="P1202" s="47"/>
      <c r="Q1202" s="47"/>
      <c r="R1202" s="47"/>
      <c r="S1202" s="193"/>
      <c r="T1202" s="77"/>
      <c r="U1202" s="78"/>
      <c r="V1202" s="78"/>
      <c r="W1202" s="77"/>
    </row>
    <row r="1203">
      <c r="A1203" s="145"/>
      <c r="B1203" s="145"/>
      <c r="C1203" s="145"/>
      <c r="D1203" s="75"/>
      <c r="E1203" s="75"/>
      <c r="F1203" s="211"/>
      <c r="G1203" s="145"/>
      <c r="H1203" s="211"/>
      <c r="I1203" s="145"/>
      <c r="J1203" s="211"/>
      <c r="K1203" s="75"/>
      <c r="L1203" s="152"/>
      <c r="M1203" s="152"/>
      <c r="N1203" s="296"/>
      <c r="O1203" s="213"/>
      <c r="P1203" s="47"/>
      <c r="Q1203" s="47"/>
      <c r="R1203" s="47"/>
      <c r="S1203" s="193"/>
      <c r="T1203" s="77"/>
      <c r="U1203" s="78"/>
      <c r="V1203" s="78"/>
      <c r="W1203" s="77"/>
    </row>
    <row r="1204">
      <c r="A1204" s="145"/>
      <c r="B1204" s="145"/>
      <c r="C1204" s="145"/>
      <c r="D1204" s="75"/>
      <c r="E1204" s="75"/>
      <c r="F1204" s="211"/>
      <c r="G1204" s="145"/>
      <c r="H1204" s="211"/>
      <c r="I1204" s="145"/>
      <c r="J1204" s="211"/>
      <c r="K1204" s="75"/>
      <c r="L1204" s="152"/>
      <c r="M1204" s="152"/>
      <c r="N1204" s="296"/>
      <c r="O1204" s="213"/>
      <c r="P1204" s="47"/>
      <c r="Q1204" s="47"/>
      <c r="R1204" s="47"/>
      <c r="S1204" s="193"/>
      <c r="T1204" s="77"/>
      <c r="U1204" s="78"/>
      <c r="V1204" s="78"/>
      <c r="W1204" s="77"/>
    </row>
    <row r="1205">
      <c r="A1205" s="145"/>
      <c r="B1205" s="145"/>
      <c r="C1205" s="145"/>
      <c r="D1205" s="75"/>
      <c r="E1205" s="75"/>
      <c r="F1205" s="211"/>
      <c r="G1205" s="145"/>
      <c r="H1205" s="211"/>
      <c r="I1205" s="145"/>
      <c r="J1205" s="211"/>
      <c r="K1205" s="75"/>
      <c r="L1205" s="152"/>
      <c r="M1205" s="152"/>
      <c r="N1205" s="296"/>
      <c r="O1205" s="213"/>
      <c r="P1205" s="47"/>
      <c r="Q1205" s="47"/>
      <c r="R1205" s="47"/>
      <c r="S1205" s="193"/>
      <c r="T1205" s="77"/>
      <c r="U1205" s="78"/>
      <c r="V1205" s="78"/>
      <c r="W1205" s="77"/>
    </row>
    <row r="1206">
      <c r="A1206" s="145"/>
      <c r="B1206" s="145"/>
      <c r="C1206" s="145"/>
      <c r="D1206" s="75"/>
      <c r="E1206" s="75"/>
      <c r="F1206" s="211"/>
      <c r="G1206" s="145"/>
      <c r="H1206" s="211"/>
      <c r="I1206" s="145"/>
      <c r="J1206" s="211"/>
      <c r="K1206" s="75"/>
      <c r="L1206" s="152"/>
      <c r="M1206" s="152"/>
      <c r="N1206" s="296"/>
      <c r="O1206" s="213"/>
      <c r="P1206" s="47"/>
      <c r="Q1206" s="47"/>
      <c r="R1206" s="47"/>
      <c r="S1206" s="193"/>
      <c r="T1206" s="77"/>
      <c r="U1206" s="78"/>
      <c r="V1206" s="78"/>
      <c r="W1206" s="77"/>
    </row>
    <row r="1207">
      <c r="A1207" s="145"/>
      <c r="B1207" s="145"/>
      <c r="C1207" s="145"/>
      <c r="D1207" s="75"/>
      <c r="E1207" s="75"/>
      <c r="F1207" s="211"/>
      <c r="G1207" s="145"/>
      <c r="H1207" s="211"/>
      <c r="I1207" s="145"/>
      <c r="J1207" s="211"/>
      <c r="K1207" s="75"/>
      <c r="L1207" s="152"/>
      <c r="M1207" s="152"/>
      <c r="N1207" s="296"/>
      <c r="O1207" s="213"/>
      <c r="P1207" s="47"/>
      <c r="Q1207" s="47"/>
      <c r="R1207" s="47"/>
      <c r="S1207" s="193"/>
      <c r="T1207" s="77"/>
      <c r="U1207" s="78"/>
      <c r="V1207" s="78"/>
      <c r="W1207" s="77"/>
    </row>
    <row r="1208">
      <c r="A1208" s="145"/>
      <c r="B1208" s="145"/>
      <c r="C1208" s="145"/>
      <c r="D1208" s="75"/>
      <c r="E1208" s="75"/>
      <c r="F1208" s="211"/>
      <c r="G1208" s="145"/>
      <c r="H1208" s="211"/>
      <c r="I1208" s="145"/>
      <c r="J1208" s="211"/>
      <c r="K1208" s="75"/>
      <c r="L1208" s="152"/>
      <c r="M1208" s="152"/>
      <c r="N1208" s="296"/>
      <c r="O1208" s="213"/>
      <c r="P1208" s="47"/>
      <c r="Q1208" s="47"/>
      <c r="R1208" s="47"/>
      <c r="S1208" s="193"/>
      <c r="T1208" s="77"/>
      <c r="U1208" s="78"/>
      <c r="V1208" s="78"/>
      <c r="W1208" s="77"/>
    </row>
    <row r="1209">
      <c r="A1209" s="145"/>
      <c r="B1209" s="145"/>
      <c r="C1209" s="145"/>
      <c r="D1209" s="75"/>
      <c r="E1209" s="75"/>
      <c r="F1209" s="211"/>
      <c r="G1209" s="145"/>
      <c r="H1209" s="211"/>
      <c r="I1209" s="145"/>
      <c r="J1209" s="211"/>
      <c r="K1209" s="75"/>
      <c r="L1209" s="152"/>
      <c r="M1209" s="152"/>
      <c r="N1209" s="296"/>
      <c r="O1209" s="213"/>
      <c r="P1209" s="47"/>
      <c r="Q1209" s="47"/>
      <c r="R1209" s="47"/>
      <c r="S1209" s="193"/>
      <c r="T1209" s="77"/>
      <c r="U1209" s="78"/>
      <c r="V1209" s="78"/>
      <c r="W1209" s="77"/>
    </row>
    <row r="1210">
      <c r="A1210" s="145"/>
      <c r="B1210" s="145"/>
      <c r="C1210" s="145"/>
      <c r="D1210" s="75"/>
      <c r="E1210" s="75"/>
      <c r="F1210" s="211"/>
      <c r="G1210" s="145"/>
      <c r="H1210" s="211"/>
      <c r="I1210" s="145"/>
      <c r="J1210" s="211"/>
      <c r="K1210" s="75"/>
      <c r="L1210" s="152"/>
      <c r="M1210" s="152"/>
      <c r="N1210" s="296"/>
      <c r="O1210" s="213"/>
      <c r="P1210" s="47"/>
      <c r="Q1210" s="47"/>
      <c r="R1210" s="47"/>
      <c r="S1210" s="193"/>
      <c r="T1210" s="77"/>
      <c r="U1210" s="78"/>
      <c r="V1210" s="78"/>
      <c r="W1210" s="77"/>
    </row>
    <row r="1211">
      <c r="A1211" s="145"/>
      <c r="B1211" s="145"/>
      <c r="C1211" s="145"/>
      <c r="D1211" s="75"/>
      <c r="E1211" s="75"/>
      <c r="F1211" s="211"/>
      <c r="G1211" s="145"/>
      <c r="H1211" s="211"/>
      <c r="I1211" s="145"/>
      <c r="J1211" s="211"/>
      <c r="K1211" s="75"/>
      <c r="L1211" s="152"/>
      <c r="M1211" s="152"/>
      <c r="N1211" s="296"/>
      <c r="O1211" s="213"/>
      <c r="P1211" s="47"/>
      <c r="Q1211" s="47"/>
      <c r="R1211" s="47"/>
      <c r="S1211" s="193"/>
      <c r="T1211" s="77"/>
      <c r="U1211" s="78"/>
      <c r="V1211" s="78"/>
      <c r="W1211" s="77"/>
    </row>
    <row r="1212">
      <c r="A1212" s="145"/>
      <c r="B1212" s="145"/>
      <c r="C1212" s="145"/>
      <c r="D1212" s="75"/>
      <c r="E1212" s="75"/>
      <c r="F1212" s="211"/>
      <c r="G1212" s="145"/>
      <c r="H1212" s="211"/>
      <c r="I1212" s="145"/>
      <c r="J1212" s="211"/>
      <c r="K1212" s="75"/>
      <c r="L1212" s="152"/>
      <c r="M1212" s="152"/>
      <c r="N1212" s="296"/>
      <c r="O1212" s="213"/>
      <c r="P1212" s="47"/>
      <c r="Q1212" s="47"/>
      <c r="R1212" s="47"/>
      <c r="S1212" s="193"/>
      <c r="T1212" s="77"/>
      <c r="U1212" s="78"/>
      <c r="V1212" s="78"/>
      <c r="W1212" s="77"/>
    </row>
    <row r="1213">
      <c r="A1213" s="145"/>
      <c r="B1213" s="145"/>
      <c r="C1213" s="145"/>
      <c r="D1213" s="75"/>
      <c r="E1213" s="75"/>
      <c r="F1213" s="211"/>
      <c r="G1213" s="145"/>
      <c r="H1213" s="211"/>
      <c r="I1213" s="145"/>
      <c r="J1213" s="211"/>
      <c r="K1213" s="75"/>
      <c r="L1213" s="152"/>
      <c r="M1213" s="152"/>
      <c r="N1213" s="296"/>
      <c r="O1213" s="213"/>
      <c r="P1213" s="47"/>
      <c r="Q1213" s="47"/>
      <c r="R1213" s="47"/>
      <c r="S1213" s="193"/>
      <c r="T1213" s="77"/>
      <c r="U1213" s="78"/>
      <c r="V1213" s="78"/>
      <c r="W1213" s="77"/>
    </row>
    <row r="1214">
      <c r="A1214" s="145"/>
      <c r="B1214" s="145"/>
      <c r="C1214" s="145"/>
      <c r="D1214" s="75"/>
      <c r="E1214" s="75"/>
      <c r="F1214" s="211"/>
      <c r="G1214" s="145"/>
      <c r="H1214" s="211"/>
      <c r="I1214" s="145"/>
      <c r="J1214" s="211"/>
      <c r="K1214" s="75"/>
      <c r="L1214" s="152"/>
      <c r="M1214" s="152"/>
      <c r="N1214" s="296"/>
      <c r="O1214" s="213"/>
      <c r="P1214" s="47"/>
      <c r="Q1214" s="47"/>
      <c r="R1214" s="47"/>
      <c r="S1214" s="193"/>
      <c r="T1214" s="77"/>
      <c r="U1214" s="78"/>
      <c r="V1214" s="78"/>
      <c r="W1214" s="77"/>
    </row>
    <row r="1215">
      <c r="A1215" s="145"/>
      <c r="B1215" s="145"/>
      <c r="C1215" s="145"/>
      <c r="D1215" s="75"/>
      <c r="E1215" s="75"/>
      <c r="F1215" s="211"/>
      <c r="G1215" s="145"/>
      <c r="H1215" s="211"/>
      <c r="I1215" s="145"/>
      <c r="J1215" s="211"/>
      <c r="K1215" s="75"/>
      <c r="L1215" s="152"/>
      <c r="M1215" s="152"/>
      <c r="N1215" s="296"/>
      <c r="O1215" s="213"/>
      <c r="P1215" s="47"/>
      <c r="Q1215" s="47"/>
      <c r="R1215" s="47"/>
      <c r="S1215" s="193"/>
      <c r="T1215" s="77"/>
      <c r="U1215" s="78"/>
      <c r="V1215" s="78"/>
      <c r="W1215" s="77"/>
    </row>
    <row r="1216">
      <c r="A1216" s="145"/>
      <c r="B1216" s="145"/>
      <c r="C1216" s="145"/>
      <c r="D1216" s="75"/>
      <c r="E1216" s="75"/>
      <c r="F1216" s="211"/>
      <c r="G1216" s="145"/>
      <c r="H1216" s="211"/>
      <c r="I1216" s="145"/>
      <c r="J1216" s="211"/>
      <c r="K1216" s="75"/>
      <c r="L1216" s="152"/>
      <c r="M1216" s="152"/>
      <c r="N1216" s="296"/>
      <c r="O1216" s="213"/>
      <c r="P1216" s="47"/>
      <c r="Q1216" s="47"/>
      <c r="R1216" s="47"/>
      <c r="S1216" s="193"/>
      <c r="T1216" s="77"/>
      <c r="U1216" s="78"/>
      <c r="V1216" s="78"/>
      <c r="W1216" s="77"/>
    </row>
    <row r="1217">
      <c r="A1217" s="145"/>
      <c r="B1217" s="145"/>
      <c r="C1217" s="145"/>
      <c r="D1217" s="75"/>
      <c r="E1217" s="75"/>
      <c r="F1217" s="211"/>
      <c r="G1217" s="145"/>
      <c r="H1217" s="211"/>
      <c r="I1217" s="145"/>
      <c r="J1217" s="211"/>
      <c r="K1217" s="75"/>
      <c r="L1217" s="152"/>
      <c r="M1217" s="152"/>
      <c r="N1217" s="296"/>
      <c r="O1217" s="213"/>
      <c r="P1217" s="47"/>
      <c r="Q1217" s="47"/>
      <c r="R1217" s="47"/>
      <c r="S1217" s="193"/>
      <c r="T1217" s="77"/>
      <c r="U1217" s="78"/>
      <c r="V1217" s="78"/>
      <c r="W1217" s="77"/>
    </row>
    <row r="1218">
      <c r="A1218" s="145"/>
      <c r="B1218" s="145"/>
      <c r="C1218" s="145"/>
      <c r="D1218" s="75"/>
      <c r="E1218" s="75"/>
      <c r="F1218" s="211"/>
      <c r="G1218" s="145"/>
      <c r="H1218" s="211"/>
      <c r="I1218" s="145"/>
      <c r="J1218" s="211"/>
      <c r="K1218" s="75"/>
      <c r="L1218" s="152"/>
      <c r="M1218" s="152"/>
      <c r="N1218" s="296"/>
      <c r="O1218" s="213"/>
      <c r="P1218" s="47"/>
      <c r="Q1218" s="47"/>
      <c r="R1218" s="47"/>
      <c r="S1218" s="193"/>
      <c r="T1218" s="77"/>
      <c r="U1218" s="78"/>
      <c r="V1218" s="78"/>
      <c r="W1218" s="77"/>
    </row>
    <row r="1219">
      <c r="A1219" s="145"/>
      <c r="B1219" s="145"/>
      <c r="C1219" s="145"/>
      <c r="D1219" s="75"/>
      <c r="E1219" s="75"/>
      <c r="F1219" s="211"/>
      <c r="G1219" s="145"/>
      <c r="H1219" s="211"/>
      <c r="I1219" s="145"/>
      <c r="J1219" s="211"/>
      <c r="K1219" s="75"/>
      <c r="L1219" s="152"/>
      <c r="M1219" s="152"/>
      <c r="N1219" s="296"/>
      <c r="O1219" s="213"/>
      <c r="P1219" s="47"/>
      <c r="Q1219" s="47"/>
      <c r="R1219" s="47"/>
      <c r="S1219" s="193"/>
      <c r="T1219" s="77"/>
      <c r="U1219" s="78"/>
      <c r="V1219" s="78"/>
      <c r="W1219" s="77"/>
    </row>
    <row r="1220">
      <c r="A1220" s="145"/>
      <c r="B1220" s="145"/>
      <c r="C1220" s="145"/>
      <c r="D1220" s="75"/>
      <c r="E1220" s="75"/>
      <c r="F1220" s="211"/>
      <c r="G1220" s="145"/>
      <c r="H1220" s="211"/>
      <c r="I1220" s="145"/>
      <c r="J1220" s="211"/>
      <c r="K1220" s="75"/>
      <c r="L1220" s="152"/>
      <c r="M1220" s="152"/>
      <c r="N1220" s="296"/>
      <c r="O1220" s="213"/>
      <c r="P1220" s="47"/>
      <c r="Q1220" s="47"/>
      <c r="R1220" s="47"/>
      <c r="S1220" s="193"/>
      <c r="T1220" s="77"/>
      <c r="U1220" s="78"/>
      <c r="V1220" s="78"/>
      <c r="W1220" s="77"/>
    </row>
    <row r="1221">
      <c r="A1221" s="145"/>
      <c r="B1221" s="145"/>
      <c r="C1221" s="145"/>
      <c r="D1221" s="75"/>
      <c r="E1221" s="75"/>
      <c r="F1221" s="211"/>
      <c r="G1221" s="145"/>
      <c r="H1221" s="211"/>
      <c r="I1221" s="145"/>
      <c r="J1221" s="211"/>
      <c r="K1221" s="75"/>
      <c r="L1221" s="152"/>
      <c r="M1221" s="152"/>
      <c r="N1221" s="296"/>
      <c r="O1221" s="213"/>
      <c r="P1221" s="47"/>
      <c r="Q1221" s="47"/>
      <c r="R1221" s="47"/>
      <c r="S1221" s="193"/>
      <c r="T1221" s="77"/>
      <c r="U1221" s="78"/>
      <c r="V1221" s="78"/>
      <c r="W1221" s="77"/>
    </row>
    <row r="1222">
      <c r="A1222" s="145"/>
      <c r="B1222" s="145"/>
      <c r="C1222" s="145"/>
      <c r="D1222" s="75"/>
      <c r="E1222" s="75"/>
      <c r="F1222" s="211"/>
      <c r="G1222" s="145"/>
      <c r="H1222" s="211"/>
      <c r="I1222" s="145"/>
      <c r="J1222" s="211"/>
      <c r="K1222" s="75"/>
      <c r="L1222" s="152"/>
      <c r="M1222" s="152"/>
      <c r="N1222" s="296"/>
      <c r="O1222" s="213"/>
      <c r="P1222" s="47"/>
      <c r="Q1222" s="47"/>
      <c r="R1222" s="47"/>
      <c r="S1222" s="193"/>
      <c r="T1222" s="77"/>
      <c r="U1222" s="78"/>
      <c r="V1222" s="78"/>
      <c r="W1222" s="77"/>
    </row>
    <row r="1223">
      <c r="A1223" s="145"/>
      <c r="B1223" s="145"/>
      <c r="C1223" s="145"/>
      <c r="D1223" s="75"/>
      <c r="E1223" s="75"/>
      <c r="F1223" s="211"/>
      <c r="G1223" s="145"/>
      <c r="H1223" s="211"/>
      <c r="I1223" s="145"/>
      <c r="J1223" s="211"/>
      <c r="K1223" s="75"/>
      <c r="L1223" s="152"/>
      <c r="M1223" s="152"/>
      <c r="N1223" s="296"/>
      <c r="O1223" s="213"/>
      <c r="P1223" s="47"/>
      <c r="Q1223" s="47"/>
      <c r="R1223" s="47"/>
      <c r="S1223" s="193"/>
      <c r="T1223" s="77"/>
      <c r="U1223" s="78"/>
      <c r="V1223" s="78"/>
      <c r="W1223" s="77"/>
    </row>
    <row r="1224">
      <c r="A1224" s="145"/>
      <c r="B1224" s="145"/>
      <c r="C1224" s="145"/>
      <c r="D1224" s="75"/>
      <c r="E1224" s="75"/>
      <c r="F1224" s="211"/>
      <c r="G1224" s="145"/>
      <c r="H1224" s="211"/>
      <c r="I1224" s="145"/>
      <c r="J1224" s="211"/>
      <c r="K1224" s="75"/>
      <c r="L1224" s="152"/>
      <c r="M1224" s="152"/>
      <c r="N1224" s="296"/>
      <c r="O1224" s="213"/>
      <c r="P1224" s="47"/>
      <c r="Q1224" s="47"/>
      <c r="R1224" s="47"/>
      <c r="S1224" s="193"/>
      <c r="T1224" s="77"/>
      <c r="U1224" s="78"/>
      <c r="V1224" s="78"/>
      <c r="W1224" s="77"/>
    </row>
    <row r="1225">
      <c r="A1225" s="145"/>
      <c r="B1225" s="145"/>
      <c r="C1225" s="145"/>
      <c r="D1225" s="75"/>
      <c r="E1225" s="75"/>
      <c r="F1225" s="211"/>
      <c r="G1225" s="145"/>
      <c r="H1225" s="211"/>
      <c r="I1225" s="145"/>
      <c r="J1225" s="211"/>
      <c r="K1225" s="75"/>
      <c r="L1225" s="152"/>
      <c r="M1225" s="152"/>
      <c r="N1225" s="296"/>
      <c r="O1225" s="213"/>
      <c r="P1225" s="47"/>
      <c r="Q1225" s="47"/>
      <c r="R1225" s="47"/>
      <c r="S1225" s="193"/>
      <c r="T1225" s="77"/>
      <c r="U1225" s="78"/>
      <c r="V1225" s="78"/>
      <c r="W1225" s="77"/>
    </row>
    <row r="1226">
      <c r="A1226" s="145"/>
      <c r="B1226" s="145"/>
      <c r="C1226" s="145"/>
      <c r="D1226" s="75"/>
      <c r="E1226" s="75"/>
      <c r="F1226" s="211"/>
      <c r="G1226" s="145"/>
      <c r="H1226" s="211"/>
      <c r="I1226" s="145"/>
      <c r="J1226" s="211"/>
      <c r="K1226" s="75"/>
      <c r="L1226" s="152"/>
      <c r="M1226" s="152"/>
      <c r="N1226" s="296"/>
      <c r="O1226" s="213"/>
      <c r="P1226" s="47"/>
      <c r="Q1226" s="47"/>
      <c r="R1226" s="47"/>
      <c r="S1226" s="193"/>
      <c r="T1226" s="77"/>
      <c r="U1226" s="78"/>
      <c r="V1226" s="78"/>
      <c r="W1226" s="77"/>
    </row>
    <row r="1227">
      <c r="A1227" s="145"/>
      <c r="B1227" s="145"/>
      <c r="C1227" s="145"/>
      <c r="D1227" s="75"/>
      <c r="E1227" s="75"/>
      <c r="F1227" s="211"/>
      <c r="G1227" s="145"/>
      <c r="H1227" s="211"/>
      <c r="I1227" s="145"/>
      <c r="J1227" s="211"/>
      <c r="K1227" s="75"/>
      <c r="L1227" s="152"/>
      <c r="M1227" s="152"/>
      <c r="N1227" s="296"/>
      <c r="O1227" s="213"/>
      <c r="P1227" s="47"/>
      <c r="Q1227" s="47"/>
      <c r="R1227" s="47"/>
      <c r="S1227" s="193"/>
      <c r="T1227" s="77"/>
      <c r="U1227" s="78"/>
      <c r="V1227" s="78"/>
      <c r="W1227" s="77"/>
    </row>
    <row r="1228">
      <c r="A1228" s="145"/>
      <c r="B1228" s="145"/>
      <c r="C1228" s="145"/>
      <c r="D1228" s="75"/>
      <c r="E1228" s="75"/>
      <c r="F1228" s="211"/>
      <c r="G1228" s="145"/>
      <c r="H1228" s="211"/>
      <c r="I1228" s="145"/>
      <c r="J1228" s="211"/>
      <c r="K1228" s="75"/>
      <c r="L1228" s="152"/>
      <c r="M1228" s="152"/>
      <c r="N1228" s="296"/>
      <c r="O1228" s="213"/>
      <c r="P1228" s="47"/>
      <c r="Q1228" s="47"/>
      <c r="R1228" s="47"/>
      <c r="S1228" s="193"/>
      <c r="T1228" s="77"/>
      <c r="U1228" s="78"/>
      <c r="V1228" s="78"/>
      <c r="W1228" s="77"/>
    </row>
    <row r="1229">
      <c r="A1229" s="145"/>
      <c r="B1229" s="145"/>
      <c r="C1229" s="145"/>
      <c r="D1229" s="75"/>
      <c r="E1229" s="75"/>
      <c r="F1229" s="211"/>
      <c r="G1229" s="145"/>
      <c r="H1229" s="211"/>
      <c r="I1229" s="145"/>
      <c r="J1229" s="211"/>
      <c r="K1229" s="75"/>
      <c r="L1229" s="152"/>
      <c r="M1229" s="152"/>
      <c r="N1229" s="296"/>
      <c r="O1229" s="213"/>
      <c r="P1229" s="47"/>
      <c r="Q1229" s="47"/>
      <c r="R1229" s="47"/>
      <c r="S1229" s="193"/>
      <c r="T1229" s="77"/>
      <c r="U1229" s="78"/>
      <c r="V1229" s="78"/>
      <c r="W1229" s="77"/>
    </row>
    <row r="1230">
      <c r="A1230" s="145"/>
      <c r="B1230" s="145"/>
      <c r="C1230" s="145"/>
      <c r="D1230" s="75"/>
      <c r="E1230" s="75"/>
      <c r="F1230" s="211"/>
      <c r="G1230" s="145"/>
      <c r="H1230" s="211"/>
      <c r="I1230" s="145"/>
      <c r="J1230" s="211"/>
      <c r="K1230" s="75"/>
      <c r="L1230" s="152"/>
      <c r="M1230" s="152"/>
      <c r="N1230" s="296"/>
      <c r="O1230" s="213"/>
      <c r="P1230" s="47"/>
      <c r="Q1230" s="47"/>
      <c r="R1230" s="47"/>
      <c r="S1230" s="193"/>
      <c r="T1230" s="77"/>
      <c r="U1230" s="78"/>
      <c r="V1230" s="78"/>
      <c r="W1230" s="77"/>
    </row>
    <row r="1231">
      <c r="A1231" s="145"/>
      <c r="B1231" s="145"/>
      <c r="C1231" s="145"/>
      <c r="D1231" s="75"/>
      <c r="E1231" s="75"/>
      <c r="F1231" s="211"/>
      <c r="G1231" s="145"/>
      <c r="H1231" s="211"/>
      <c r="I1231" s="145"/>
      <c r="J1231" s="211"/>
      <c r="K1231" s="75"/>
      <c r="L1231" s="152"/>
      <c r="M1231" s="152"/>
      <c r="N1231" s="296"/>
      <c r="O1231" s="213"/>
      <c r="P1231" s="47"/>
      <c r="Q1231" s="47"/>
      <c r="R1231" s="47"/>
      <c r="S1231" s="193"/>
      <c r="T1231" s="77"/>
      <c r="U1231" s="78"/>
      <c r="V1231" s="78"/>
      <c r="W1231" s="77"/>
    </row>
    <row r="1232">
      <c r="A1232" s="145"/>
      <c r="B1232" s="145"/>
      <c r="C1232" s="145"/>
      <c r="D1232" s="75"/>
      <c r="E1232" s="75"/>
      <c r="F1232" s="211"/>
      <c r="G1232" s="145"/>
      <c r="H1232" s="211"/>
      <c r="I1232" s="145"/>
      <c r="J1232" s="211"/>
      <c r="K1232" s="75"/>
      <c r="L1232" s="152"/>
      <c r="M1232" s="152"/>
      <c r="N1232" s="296"/>
      <c r="O1232" s="213"/>
      <c r="P1232" s="47"/>
      <c r="Q1232" s="47"/>
      <c r="R1232" s="47"/>
      <c r="S1232" s="193"/>
      <c r="T1232" s="77"/>
      <c r="U1232" s="78"/>
      <c r="V1232" s="78"/>
      <c r="W1232" s="77"/>
    </row>
    <row r="1233">
      <c r="A1233" s="145"/>
      <c r="B1233" s="145"/>
      <c r="C1233" s="145"/>
      <c r="D1233" s="75"/>
      <c r="E1233" s="75"/>
      <c r="F1233" s="211"/>
      <c r="G1233" s="145"/>
      <c r="H1233" s="211"/>
      <c r="I1233" s="145"/>
      <c r="J1233" s="211"/>
      <c r="K1233" s="75"/>
      <c r="L1233" s="152"/>
      <c r="M1233" s="152"/>
      <c r="N1233" s="296"/>
      <c r="O1233" s="213"/>
      <c r="P1233" s="47"/>
      <c r="Q1233" s="47"/>
      <c r="R1233" s="47"/>
      <c r="S1233" s="193"/>
      <c r="T1233" s="77"/>
      <c r="U1233" s="78"/>
      <c r="V1233" s="78"/>
      <c r="W1233" s="77"/>
    </row>
    <row r="1234">
      <c r="A1234" s="145"/>
      <c r="B1234" s="145"/>
      <c r="C1234" s="145"/>
      <c r="D1234" s="75"/>
      <c r="E1234" s="75"/>
      <c r="F1234" s="211"/>
      <c r="G1234" s="145"/>
      <c r="H1234" s="211"/>
      <c r="I1234" s="145"/>
      <c r="J1234" s="211"/>
      <c r="K1234" s="75"/>
      <c r="L1234" s="152"/>
      <c r="M1234" s="152"/>
      <c r="N1234" s="296"/>
      <c r="O1234" s="213"/>
      <c r="P1234" s="47"/>
      <c r="Q1234" s="47"/>
      <c r="R1234" s="47"/>
      <c r="S1234" s="193"/>
      <c r="T1234" s="77"/>
      <c r="U1234" s="78"/>
      <c r="V1234" s="78"/>
      <c r="W1234" s="77"/>
    </row>
    <row r="1235">
      <c r="A1235" s="145"/>
      <c r="B1235" s="145"/>
      <c r="C1235" s="145"/>
      <c r="D1235" s="75"/>
      <c r="E1235" s="75"/>
      <c r="F1235" s="211"/>
      <c r="G1235" s="145"/>
      <c r="H1235" s="211"/>
      <c r="I1235" s="145"/>
      <c r="J1235" s="211"/>
      <c r="K1235" s="75"/>
      <c r="L1235" s="152"/>
      <c r="M1235" s="152"/>
      <c r="N1235" s="296"/>
      <c r="O1235" s="213"/>
      <c r="P1235" s="47"/>
      <c r="Q1235" s="47"/>
      <c r="R1235" s="47"/>
      <c r="S1235" s="193"/>
      <c r="T1235" s="77"/>
      <c r="U1235" s="78"/>
      <c r="V1235" s="78"/>
      <c r="W1235" s="77"/>
    </row>
    <row r="1236">
      <c r="A1236" s="145"/>
      <c r="B1236" s="145"/>
      <c r="C1236" s="145"/>
      <c r="D1236" s="75"/>
      <c r="E1236" s="75"/>
      <c r="F1236" s="211"/>
      <c r="G1236" s="145"/>
      <c r="H1236" s="211"/>
      <c r="I1236" s="145"/>
      <c r="J1236" s="211"/>
      <c r="K1236" s="75"/>
      <c r="L1236" s="152"/>
      <c r="M1236" s="152"/>
      <c r="N1236" s="296"/>
      <c r="O1236" s="213"/>
      <c r="P1236" s="47"/>
      <c r="Q1236" s="47"/>
      <c r="R1236" s="47"/>
      <c r="S1236" s="193"/>
      <c r="T1236" s="77"/>
      <c r="U1236" s="78"/>
      <c r="V1236" s="78"/>
      <c r="W1236" s="77"/>
    </row>
    <row r="1237">
      <c r="A1237" s="145"/>
      <c r="B1237" s="145"/>
      <c r="C1237" s="145"/>
      <c r="D1237" s="75"/>
      <c r="E1237" s="75"/>
      <c r="F1237" s="211"/>
      <c r="G1237" s="145"/>
      <c r="H1237" s="211"/>
      <c r="I1237" s="145"/>
      <c r="J1237" s="211"/>
      <c r="K1237" s="75"/>
      <c r="L1237" s="152"/>
      <c r="M1237" s="152"/>
      <c r="N1237" s="296"/>
      <c r="O1237" s="213"/>
      <c r="P1237" s="47"/>
      <c r="Q1237" s="47"/>
      <c r="R1237" s="47"/>
      <c r="S1237" s="193"/>
      <c r="T1237" s="77"/>
      <c r="U1237" s="78"/>
      <c r="V1237" s="78"/>
      <c r="W1237" s="77"/>
    </row>
    <row r="1238">
      <c r="A1238" s="145"/>
      <c r="B1238" s="145"/>
      <c r="C1238" s="145"/>
      <c r="D1238" s="75"/>
      <c r="E1238" s="75"/>
      <c r="F1238" s="211"/>
      <c r="G1238" s="145"/>
      <c r="H1238" s="211"/>
      <c r="I1238" s="145"/>
      <c r="J1238" s="211"/>
      <c r="K1238" s="75"/>
      <c r="L1238" s="152"/>
      <c r="M1238" s="152"/>
      <c r="N1238" s="296"/>
      <c r="O1238" s="213"/>
      <c r="P1238" s="47"/>
      <c r="Q1238" s="47"/>
      <c r="R1238" s="47"/>
      <c r="S1238" s="193"/>
      <c r="T1238" s="77"/>
      <c r="U1238" s="78"/>
      <c r="V1238" s="78"/>
      <c r="W1238" s="77"/>
    </row>
    <row r="1239">
      <c r="A1239" s="145"/>
      <c r="B1239" s="145"/>
      <c r="C1239" s="145"/>
      <c r="D1239" s="75"/>
      <c r="E1239" s="75"/>
      <c r="F1239" s="211"/>
      <c r="G1239" s="145"/>
      <c r="H1239" s="211"/>
      <c r="I1239" s="145"/>
      <c r="J1239" s="211"/>
      <c r="K1239" s="75"/>
      <c r="L1239" s="152"/>
      <c r="M1239" s="152"/>
      <c r="N1239" s="296"/>
      <c r="O1239" s="213"/>
      <c r="P1239" s="47"/>
      <c r="Q1239" s="47"/>
      <c r="R1239" s="47"/>
      <c r="S1239" s="193"/>
      <c r="T1239" s="77"/>
      <c r="U1239" s="78"/>
      <c r="V1239" s="78"/>
      <c r="W1239" s="77"/>
    </row>
    <row r="1240">
      <c r="A1240" s="145"/>
      <c r="B1240" s="145"/>
      <c r="C1240" s="145"/>
      <c r="D1240" s="75"/>
      <c r="E1240" s="75"/>
      <c r="F1240" s="211"/>
      <c r="G1240" s="145"/>
      <c r="H1240" s="211"/>
      <c r="I1240" s="145"/>
      <c r="J1240" s="211"/>
      <c r="K1240" s="75"/>
      <c r="L1240" s="152"/>
      <c r="M1240" s="152"/>
      <c r="N1240" s="296"/>
      <c r="O1240" s="213"/>
      <c r="P1240" s="47"/>
      <c r="Q1240" s="47"/>
      <c r="R1240" s="47"/>
      <c r="S1240" s="193"/>
      <c r="T1240" s="77"/>
      <c r="U1240" s="78"/>
      <c r="V1240" s="78"/>
      <c r="W1240" s="77"/>
    </row>
    <row r="1241">
      <c r="A1241" s="145"/>
      <c r="B1241" s="145"/>
      <c r="C1241" s="145"/>
      <c r="D1241" s="75"/>
      <c r="E1241" s="75"/>
      <c r="F1241" s="211"/>
      <c r="G1241" s="145"/>
      <c r="H1241" s="211"/>
      <c r="I1241" s="145"/>
      <c r="J1241" s="211"/>
      <c r="K1241" s="75"/>
      <c r="L1241" s="152"/>
      <c r="M1241" s="152"/>
      <c r="N1241" s="296"/>
      <c r="O1241" s="213"/>
      <c r="P1241" s="47"/>
      <c r="Q1241" s="47"/>
      <c r="R1241" s="47"/>
      <c r="S1241" s="193"/>
      <c r="T1241" s="77"/>
      <c r="U1241" s="78"/>
      <c r="V1241" s="78"/>
      <c r="W1241" s="77"/>
    </row>
    <row r="1242">
      <c r="A1242" s="145"/>
      <c r="B1242" s="145"/>
      <c r="C1242" s="145"/>
      <c r="D1242" s="75"/>
      <c r="E1242" s="75"/>
      <c r="F1242" s="211"/>
      <c r="G1242" s="145"/>
      <c r="H1242" s="211"/>
      <c r="I1242" s="145"/>
      <c r="J1242" s="211"/>
      <c r="K1242" s="75"/>
      <c r="L1242" s="152"/>
      <c r="M1242" s="152"/>
      <c r="N1242" s="296"/>
      <c r="O1242" s="213"/>
      <c r="P1242" s="47"/>
      <c r="Q1242" s="47"/>
      <c r="R1242" s="47"/>
      <c r="S1242" s="193"/>
      <c r="T1242" s="77"/>
      <c r="U1242" s="78"/>
      <c r="V1242" s="78"/>
      <c r="W1242" s="77"/>
    </row>
    <row r="1243">
      <c r="A1243" s="145"/>
      <c r="B1243" s="145"/>
      <c r="C1243" s="145"/>
      <c r="D1243" s="75"/>
      <c r="E1243" s="75"/>
      <c r="F1243" s="211"/>
      <c r="G1243" s="145"/>
      <c r="H1243" s="211"/>
      <c r="I1243" s="145"/>
      <c r="J1243" s="211"/>
      <c r="K1243" s="75"/>
      <c r="L1243" s="152"/>
      <c r="M1243" s="152"/>
      <c r="N1243" s="296"/>
      <c r="O1243" s="213"/>
      <c r="P1243" s="47"/>
      <c r="Q1243" s="47"/>
      <c r="R1243" s="47"/>
      <c r="S1243" s="193"/>
      <c r="T1243" s="77"/>
      <c r="U1243" s="78"/>
      <c r="V1243" s="78"/>
      <c r="W1243" s="77"/>
    </row>
    <row r="1244">
      <c r="A1244" s="145"/>
      <c r="B1244" s="145"/>
      <c r="C1244" s="145"/>
      <c r="D1244" s="75"/>
      <c r="E1244" s="75"/>
      <c r="F1244" s="211"/>
      <c r="G1244" s="145"/>
      <c r="H1244" s="211"/>
      <c r="I1244" s="145"/>
      <c r="J1244" s="211"/>
      <c r="K1244" s="75"/>
      <c r="L1244" s="152"/>
      <c r="M1244" s="152"/>
      <c r="N1244" s="296"/>
      <c r="O1244" s="213"/>
      <c r="P1244" s="47"/>
      <c r="Q1244" s="47"/>
      <c r="R1244" s="47"/>
      <c r="S1244" s="193"/>
      <c r="T1244" s="77"/>
      <c r="U1244" s="78"/>
      <c r="V1244" s="78"/>
      <c r="W1244" s="77"/>
    </row>
    <row r="1245">
      <c r="A1245" s="145"/>
      <c r="B1245" s="145"/>
      <c r="C1245" s="145"/>
      <c r="D1245" s="75"/>
      <c r="E1245" s="75"/>
      <c r="F1245" s="211"/>
      <c r="G1245" s="145"/>
      <c r="H1245" s="211"/>
      <c r="I1245" s="145"/>
      <c r="J1245" s="211"/>
      <c r="K1245" s="75"/>
      <c r="L1245" s="152"/>
      <c r="M1245" s="152"/>
      <c r="N1245" s="296"/>
      <c r="O1245" s="213"/>
      <c r="P1245" s="47"/>
      <c r="Q1245" s="47"/>
      <c r="R1245" s="47"/>
      <c r="S1245" s="193"/>
      <c r="T1245" s="77"/>
      <c r="U1245" s="78"/>
      <c r="V1245" s="78"/>
      <c r="W1245" s="77"/>
    </row>
    <row r="1246">
      <c r="A1246" s="145"/>
      <c r="B1246" s="145"/>
      <c r="C1246" s="145"/>
      <c r="D1246" s="75"/>
      <c r="E1246" s="75"/>
      <c r="F1246" s="211"/>
      <c r="G1246" s="145"/>
      <c r="H1246" s="211"/>
      <c r="I1246" s="145"/>
      <c r="J1246" s="211"/>
      <c r="K1246" s="75"/>
      <c r="L1246" s="152"/>
      <c r="M1246" s="152"/>
      <c r="N1246" s="296"/>
      <c r="O1246" s="213"/>
      <c r="P1246" s="47"/>
      <c r="Q1246" s="47"/>
      <c r="R1246" s="47"/>
      <c r="S1246" s="193"/>
      <c r="T1246" s="77"/>
      <c r="U1246" s="78"/>
      <c r="V1246" s="78"/>
      <c r="W1246" s="77"/>
    </row>
    <row r="1247">
      <c r="A1247" s="145"/>
      <c r="B1247" s="145"/>
      <c r="C1247" s="145"/>
      <c r="D1247" s="75"/>
      <c r="E1247" s="75"/>
      <c r="F1247" s="211"/>
      <c r="G1247" s="145"/>
      <c r="H1247" s="211"/>
      <c r="I1247" s="145"/>
      <c r="J1247" s="211"/>
      <c r="K1247" s="75"/>
      <c r="L1247" s="152"/>
      <c r="M1247" s="152"/>
      <c r="N1247" s="296"/>
      <c r="O1247" s="213"/>
      <c r="P1247" s="47"/>
      <c r="Q1247" s="47"/>
      <c r="R1247" s="47"/>
      <c r="S1247" s="193"/>
      <c r="T1247" s="77"/>
      <c r="U1247" s="78"/>
      <c r="V1247" s="78"/>
      <c r="W1247" s="77"/>
    </row>
    <row r="1248">
      <c r="A1248" s="145"/>
      <c r="B1248" s="145"/>
      <c r="C1248" s="145"/>
      <c r="D1248" s="75"/>
      <c r="E1248" s="75"/>
      <c r="F1248" s="211"/>
      <c r="G1248" s="145"/>
      <c r="H1248" s="211"/>
      <c r="I1248" s="145"/>
      <c r="J1248" s="211"/>
      <c r="K1248" s="75"/>
      <c r="L1248" s="152"/>
      <c r="M1248" s="152"/>
      <c r="N1248" s="296"/>
      <c r="O1248" s="213"/>
      <c r="P1248" s="47"/>
      <c r="Q1248" s="47"/>
      <c r="R1248" s="47"/>
      <c r="S1248" s="193"/>
      <c r="T1248" s="77"/>
      <c r="U1248" s="78"/>
      <c r="V1248" s="78"/>
      <c r="W1248" s="77"/>
    </row>
    <row r="1249">
      <c r="A1249" s="145"/>
      <c r="B1249" s="145"/>
      <c r="C1249" s="145"/>
      <c r="D1249" s="75"/>
      <c r="E1249" s="75"/>
      <c r="F1249" s="211"/>
      <c r="G1249" s="145"/>
      <c r="H1249" s="211"/>
      <c r="I1249" s="145"/>
      <c r="J1249" s="211"/>
      <c r="K1249" s="75"/>
      <c r="L1249" s="152"/>
      <c r="M1249" s="152"/>
      <c r="N1249" s="296"/>
      <c r="O1249" s="213"/>
      <c r="P1249" s="47"/>
      <c r="Q1249" s="47"/>
      <c r="R1249" s="47"/>
      <c r="S1249" s="193"/>
      <c r="T1249" s="77"/>
      <c r="U1249" s="78"/>
      <c r="V1249" s="78"/>
      <c r="W1249" s="77"/>
    </row>
    <row r="1250">
      <c r="A1250" s="145"/>
      <c r="B1250" s="145"/>
      <c r="C1250" s="145"/>
      <c r="D1250" s="75"/>
      <c r="E1250" s="75"/>
      <c r="F1250" s="211"/>
      <c r="G1250" s="145"/>
      <c r="H1250" s="211"/>
      <c r="I1250" s="145"/>
      <c r="J1250" s="211"/>
      <c r="K1250" s="75"/>
      <c r="L1250" s="152"/>
      <c r="M1250" s="152"/>
      <c r="N1250" s="296"/>
      <c r="O1250" s="213"/>
      <c r="P1250" s="47"/>
      <c r="Q1250" s="47"/>
      <c r="R1250" s="47"/>
      <c r="S1250" s="193"/>
      <c r="T1250" s="77"/>
      <c r="U1250" s="78"/>
      <c r="V1250" s="78"/>
      <c r="W1250" s="77"/>
    </row>
    <row r="1251">
      <c r="A1251" s="145"/>
      <c r="B1251" s="145"/>
      <c r="C1251" s="145"/>
      <c r="D1251" s="75"/>
      <c r="E1251" s="75"/>
      <c r="F1251" s="211"/>
      <c r="G1251" s="145"/>
      <c r="H1251" s="211"/>
      <c r="I1251" s="145"/>
      <c r="J1251" s="211"/>
      <c r="K1251" s="75"/>
      <c r="L1251" s="152"/>
      <c r="M1251" s="152"/>
      <c r="N1251" s="296"/>
      <c r="O1251" s="213"/>
      <c r="P1251" s="47"/>
      <c r="Q1251" s="47"/>
      <c r="R1251" s="47"/>
      <c r="S1251" s="193"/>
      <c r="T1251" s="77"/>
      <c r="U1251" s="78"/>
      <c r="V1251" s="78"/>
      <c r="W1251" s="77"/>
    </row>
    <row r="1252">
      <c r="A1252" s="145"/>
      <c r="B1252" s="145"/>
      <c r="C1252" s="145"/>
      <c r="D1252" s="75"/>
      <c r="E1252" s="75"/>
      <c r="F1252" s="211"/>
      <c r="G1252" s="145"/>
      <c r="H1252" s="211"/>
      <c r="I1252" s="145"/>
      <c r="J1252" s="211"/>
      <c r="K1252" s="75"/>
      <c r="L1252" s="152"/>
      <c r="M1252" s="152"/>
      <c r="N1252" s="296"/>
      <c r="O1252" s="213"/>
      <c r="P1252" s="47"/>
      <c r="Q1252" s="47"/>
      <c r="R1252" s="47"/>
      <c r="S1252" s="193"/>
      <c r="T1252" s="77"/>
      <c r="U1252" s="78"/>
      <c r="V1252" s="78"/>
      <c r="W1252" s="77"/>
    </row>
    <row r="1253">
      <c r="A1253" s="145"/>
      <c r="B1253" s="145"/>
      <c r="C1253" s="145"/>
      <c r="D1253" s="75"/>
      <c r="E1253" s="75"/>
      <c r="F1253" s="211"/>
      <c r="G1253" s="145"/>
      <c r="H1253" s="211"/>
      <c r="I1253" s="145"/>
      <c r="J1253" s="211"/>
      <c r="K1253" s="75"/>
      <c r="L1253" s="152"/>
      <c r="M1253" s="152"/>
      <c r="N1253" s="296"/>
      <c r="O1253" s="213"/>
      <c r="P1253" s="47"/>
      <c r="Q1253" s="47"/>
      <c r="R1253" s="47"/>
      <c r="S1253" s="193"/>
      <c r="T1253" s="77"/>
      <c r="U1253" s="78"/>
      <c r="V1253" s="78"/>
      <c r="W1253" s="77"/>
    </row>
    <row r="1254">
      <c r="A1254" s="145"/>
      <c r="B1254" s="145"/>
      <c r="C1254" s="145"/>
      <c r="D1254" s="75"/>
      <c r="E1254" s="75"/>
      <c r="F1254" s="211"/>
      <c r="G1254" s="145"/>
      <c r="H1254" s="211"/>
      <c r="I1254" s="145"/>
      <c r="J1254" s="211"/>
      <c r="K1254" s="75"/>
      <c r="L1254" s="152"/>
      <c r="M1254" s="152"/>
      <c r="N1254" s="296"/>
      <c r="O1254" s="213"/>
      <c r="P1254" s="47"/>
      <c r="Q1254" s="47"/>
      <c r="R1254" s="47"/>
      <c r="S1254" s="193"/>
      <c r="T1254" s="77"/>
      <c r="U1254" s="78"/>
      <c r="V1254" s="78"/>
      <c r="W1254" s="77"/>
    </row>
    <row r="1255">
      <c r="A1255" s="145"/>
      <c r="B1255" s="145"/>
      <c r="C1255" s="145"/>
      <c r="D1255" s="75"/>
      <c r="E1255" s="75"/>
      <c r="F1255" s="211"/>
      <c r="G1255" s="145"/>
      <c r="H1255" s="211"/>
      <c r="I1255" s="145"/>
      <c r="J1255" s="211"/>
      <c r="K1255" s="75"/>
      <c r="L1255" s="152"/>
      <c r="M1255" s="152"/>
      <c r="N1255" s="296"/>
      <c r="O1255" s="213"/>
      <c r="P1255" s="47"/>
      <c r="Q1255" s="47"/>
      <c r="R1255" s="47"/>
      <c r="S1255" s="193"/>
      <c r="T1255" s="77"/>
      <c r="U1255" s="78"/>
      <c r="V1255" s="78"/>
      <c r="W1255" s="77"/>
    </row>
    <row r="1256">
      <c r="A1256" s="145"/>
      <c r="B1256" s="145"/>
      <c r="C1256" s="145"/>
      <c r="D1256" s="75"/>
      <c r="E1256" s="75"/>
      <c r="F1256" s="211"/>
      <c r="G1256" s="145"/>
      <c r="H1256" s="211"/>
      <c r="I1256" s="145"/>
      <c r="J1256" s="211"/>
      <c r="K1256" s="75"/>
      <c r="L1256" s="152"/>
      <c r="M1256" s="152"/>
      <c r="N1256" s="296"/>
      <c r="O1256" s="213"/>
      <c r="P1256" s="47"/>
      <c r="Q1256" s="47"/>
      <c r="R1256" s="47"/>
      <c r="S1256" s="193"/>
      <c r="T1256" s="77"/>
      <c r="U1256" s="78"/>
      <c r="V1256" s="78"/>
      <c r="W1256" s="77"/>
    </row>
    <row r="1257">
      <c r="A1257" s="145"/>
      <c r="B1257" s="145"/>
      <c r="C1257" s="145"/>
      <c r="D1257" s="75"/>
      <c r="E1257" s="75"/>
      <c r="F1257" s="211"/>
      <c r="G1257" s="145"/>
      <c r="H1257" s="211"/>
      <c r="I1257" s="145"/>
      <c r="J1257" s="211"/>
      <c r="K1257" s="75"/>
      <c r="L1257" s="152"/>
      <c r="M1257" s="152"/>
      <c r="N1257" s="296"/>
      <c r="O1257" s="213"/>
      <c r="P1257" s="47"/>
      <c r="Q1257" s="47"/>
      <c r="R1257" s="47"/>
      <c r="S1257" s="193"/>
      <c r="T1257" s="77"/>
      <c r="U1257" s="78"/>
      <c r="V1257" s="78"/>
      <c r="W1257" s="77"/>
    </row>
    <row r="1258">
      <c r="A1258" s="145"/>
      <c r="B1258" s="145"/>
      <c r="C1258" s="145"/>
      <c r="D1258" s="75"/>
      <c r="E1258" s="75"/>
      <c r="F1258" s="211"/>
      <c r="G1258" s="145"/>
      <c r="H1258" s="211"/>
      <c r="I1258" s="145"/>
      <c r="J1258" s="211"/>
      <c r="K1258" s="75"/>
      <c r="L1258" s="152"/>
      <c r="M1258" s="152"/>
      <c r="N1258" s="296"/>
      <c r="O1258" s="213"/>
      <c r="P1258" s="47"/>
      <c r="Q1258" s="47"/>
      <c r="R1258" s="47"/>
      <c r="S1258" s="193"/>
      <c r="T1258" s="77"/>
      <c r="U1258" s="78"/>
      <c r="V1258" s="78"/>
      <c r="W1258" s="77"/>
    </row>
    <row r="1259">
      <c r="A1259" s="145"/>
      <c r="B1259" s="145"/>
      <c r="C1259" s="145"/>
      <c r="D1259" s="75"/>
      <c r="E1259" s="75"/>
      <c r="F1259" s="211"/>
      <c r="G1259" s="145"/>
      <c r="H1259" s="211"/>
      <c r="I1259" s="145"/>
      <c r="J1259" s="211"/>
      <c r="K1259" s="75"/>
      <c r="L1259" s="152"/>
      <c r="M1259" s="152"/>
      <c r="N1259" s="296"/>
      <c r="O1259" s="213"/>
      <c r="P1259" s="47"/>
      <c r="Q1259" s="47"/>
      <c r="R1259" s="47"/>
      <c r="S1259" s="193"/>
      <c r="T1259" s="77"/>
      <c r="U1259" s="78"/>
      <c r="V1259" s="78"/>
      <c r="W1259" s="77"/>
    </row>
    <row r="1260">
      <c r="A1260" s="145"/>
      <c r="B1260" s="145"/>
      <c r="C1260" s="145"/>
      <c r="D1260" s="75"/>
      <c r="E1260" s="75"/>
      <c r="F1260" s="211"/>
      <c r="G1260" s="145"/>
      <c r="H1260" s="211"/>
      <c r="I1260" s="145"/>
      <c r="J1260" s="211"/>
      <c r="K1260" s="75"/>
      <c r="L1260" s="152"/>
      <c r="M1260" s="152"/>
      <c r="N1260" s="296"/>
      <c r="O1260" s="213"/>
      <c r="P1260" s="47"/>
      <c r="Q1260" s="47"/>
      <c r="R1260" s="47"/>
      <c r="S1260" s="193"/>
      <c r="T1260" s="77"/>
      <c r="U1260" s="78"/>
      <c r="V1260" s="78"/>
      <c r="W1260" s="77"/>
    </row>
    <row r="1261">
      <c r="A1261" s="145"/>
      <c r="B1261" s="145"/>
      <c r="C1261" s="145"/>
      <c r="D1261" s="75"/>
      <c r="E1261" s="75"/>
      <c r="F1261" s="211"/>
      <c r="G1261" s="145"/>
      <c r="H1261" s="211"/>
      <c r="I1261" s="145"/>
      <c r="J1261" s="211"/>
      <c r="K1261" s="75"/>
      <c r="L1261" s="152"/>
      <c r="M1261" s="152"/>
      <c r="N1261" s="296"/>
      <c r="O1261" s="213"/>
      <c r="P1261" s="47"/>
      <c r="Q1261" s="47"/>
      <c r="R1261" s="47"/>
      <c r="S1261" s="193"/>
      <c r="T1261" s="77"/>
      <c r="U1261" s="78"/>
      <c r="V1261" s="78"/>
      <c r="W1261" s="77"/>
    </row>
    <row r="1262">
      <c r="A1262" s="145"/>
      <c r="B1262" s="145"/>
      <c r="C1262" s="145"/>
      <c r="D1262" s="75"/>
      <c r="E1262" s="75"/>
      <c r="F1262" s="211"/>
      <c r="G1262" s="145"/>
      <c r="H1262" s="211"/>
      <c r="I1262" s="145"/>
      <c r="J1262" s="211"/>
      <c r="K1262" s="75"/>
      <c r="L1262" s="152"/>
      <c r="M1262" s="152"/>
      <c r="N1262" s="296"/>
      <c r="O1262" s="213"/>
      <c r="P1262" s="47"/>
      <c r="Q1262" s="47"/>
      <c r="R1262" s="47"/>
      <c r="S1262" s="193"/>
      <c r="T1262" s="77"/>
      <c r="U1262" s="78"/>
      <c r="V1262" s="78"/>
      <c r="W1262" s="77"/>
    </row>
    <row r="1263">
      <c r="A1263" s="145"/>
      <c r="B1263" s="145"/>
      <c r="C1263" s="145"/>
      <c r="D1263" s="75"/>
      <c r="E1263" s="75"/>
      <c r="F1263" s="211"/>
      <c r="G1263" s="145"/>
      <c r="H1263" s="211"/>
      <c r="I1263" s="145"/>
      <c r="J1263" s="211"/>
      <c r="K1263" s="75"/>
      <c r="L1263" s="152"/>
      <c r="M1263" s="152"/>
      <c r="N1263" s="296"/>
      <c r="O1263" s="213"/>
      <c r="P1263" s="47"/>
      <c r="Q1263" s="47"/>
      <c r="R1263" s="47"/>
      <c r="S1263" s="193"/>
      <c r="T1263" s="77"/>
      <c r="U1263" s="78"/>
      <c r="V1263" s="78"/>
      <c r="W1263" s="77"/>
    </row>
    <row r="1264">
      <c r="A1264" s="145"/>
      <c r="B1264" s="145"/>
      <c r="C1264" s="145"/>
      <c r="D1264" s="75"/>
      <c r="E1264" s="75"/>
      <c r="F1264" s="211"/>
      <c r="G1264" s="145"/>
      <c r="H1264" s="211"/>
      <c r="I1264" s="145"/>
      <c r="J1264" s="211"/>
      <c r="K1264" s="75"/>
      <c r="L1264" s="152"/>
      <c r="M1264" s="152"/>
      <c r="N1264" s="296"/>
      <c r="O1264" s="213"/>
      <c r="P1264" s="47"/>
      <c r="Q1264" s="47"/>
      <c r="R1264" s="47"/>
      <c r="S1264" s="193"/>
      <c r="T1264" s="77"/>
      <c r="U1264" s="78"/>
      <c r="V1264" s="78"/>
      <c r="W1264" s="77"/>
    </row>
    <row r="1265">
      <c r="A1265" s="145"/>
      <c r="B1265" s="145"/>
      <c r="C1265" s="145"/>
      <c r="D1265" s="75"/>
      <c r="E1265" s="75"/>
      <c r="F1265" s="211"/>
      <c r="G1265" s="145"/>
      <c r="H1265" s="211"/>
      <c r="I1265" s="145"/>
      <c r="J1265" s="211"/>
      <c r="K1265" s="75"/>
      <c r="L1265" s="152"/>
      <c r="M1265" s="152"/>
      <c r="N1265" s="296"/>
      <c r="O1265" s="213"/>
      <c r="P1265" s="47"/>
      <c r="Q1265" s="47"/>
      <c r="R1265" s="47"/>
      <c r="S1265" s="193"/>
      <c r="T1265" s="77"/>
      <c r="U1265" s="78"/>
      <c r="V1265" s="78"/>
      <c r="W1265" s="77"/>
    </row>
    <row r="1266">
      <c r="A1266" s="145"/>
      <c r="B1266" s="145"/>
      <c r="C1266" s="145"/>
      <c r="D1266" s="75"/>
      <c r="E1266" s="75"/>
      <c r="F1266" s="211"/>
      <c r="G1266" s="145"/>
      <c r="H1266" s="211"/>
      <c r="I1266" s="145"/>
      <c r="J1266" s="211"/>
      <c r="K1266" s="75"/>
      <c r="L1266" s="152"/>
      <c r="M1266" s="152"/>
      <c r="N1266" s="296"/>
      <c r="O1266" s="213"/>
      <c r="P1266" s="47"/>
      <c r="Q1266" s="47"/>
      <c r="R1266" s="47"/>
      <c r="S1266" s="193"/>
      <c r="T1266" s="77"/>
      <c r="U1266" s="78"/>
      <c r="V1266" s="78"/>
      <c r="W1266" s="77"/>
    </row>
    <row r="1267">
      <c r="A1267" s="145"/>
      <c r="B1267" s="145"/>
      <c r="C1267" s="145"/>
      <c r="D1267" s="75"/>
      <c r="E1267" s="75"/>
      <c r="F1267" s="211"/>
      <c r="G1267" s="145"/>
      <c r="H1267" s="211"/>
      <c r="I1267" s="145"/>
      <c r="J1267" s="211"/>
      <c r="K1267" s="75"/>
      <c r="L1267" s="152"/>
      <c r="M1267" s="152"/>
      <c r="N1267" s="296"/>
      <c r="O1267" s="213"/>
      <c r="P1267" s="47"/>
      <c r="Q1267" s="47"/>
      <c r="R1267" s="47"/>
      <c r="S1267" s="193"/>
      <c r="T1267" s="77"/>
      <c r="U1267" s="78"/>
      <c r="V1267" s="78"/>
      <c r="W1267" s="77"/>
    </row>
    <row r="1268">
      <c r="A1268" s="145"/>
      <c r="B1268" s="145"/>
      <c r="C1268" s="145"/>
      <c r="D1268" s="75"/>
      <c r="E1268" s="75"/>
      <c r="F1268" s="211"/>
      <c r="G1268" s="145"/>
      <c r="H1268" s="211"/>
      <c r="I1268" s="145"/>
      <c r="J1268" s="211"/>
      <c r="K1268" s="75"/>
      <c r="L1268" s="152"/>
      <c r="M1268" s="152"/>
      <c r="N1268" s="296"/>
      <c r="O1268" s="213"/>
      <c r="P1268" s="47"/>
      <c r="Q1268" s="47"/>
      <c r="R1268" s="47"/>
      <c r="S1268" s="193"/>
      <c r="T1268" s="77"/>
      <c r="U1268" s="78"/>
      <c r="V1268" s="78"/>
      <c r="W1268" s="77"/>
    </row>
    <row r="1269">
      <c r="A1269" s="145"/>
      <c r="B1269" s="145"/>
      <c r="C1269" s="145"/>
      <c r="D1269" s="75"/>
      <c r="E1269" s="75"/>
      <c r="F1269" s="211"/>
      <c r="G1269" s="145"/>
      <c r="H1269" s="211"/>
      <c r="I1269" s="145"/>
      <c r="J1269" s="211"/>
      <c r="K1269" s="75"/>
      <c r="L1269" s="152"/>
      <c r="M1269" s="152"/>
      <c r="N1269" s="296"/>
      <c r="O1269" s="213"/>
      <c r="P1269" s="47"/>
      <c r="Q1269" s="47"/>
      <c r="R1269" s="47"/>
      <c r="S1269" s="193"/>
      <c r="T1269" s="77"/>
      <c r="U1269" s="78"/>
      <c r="V1269" s="78"/>
      <c r="W1269" s="77"/>
    </row>
    <row r="1270">
      <c r="A1270" s="145"/>
      <c r="B1270" s="145"/>
      <c r="C1270" s="145"/>
      <c r="D1270" s="75"/>
      <c r="E1270" s="75"/>
      <c r="F1270" s="211"/>
      <c r="G1270" s="145"/>
      <c r="H1270" s="211"/>
      <c r="I1270" s="145"/>
      <c r="J1270" s="211"/>
      <c r="K1270" s="75"/>
      <c r="L1270" s="152"/>
      <c r="M1270" s="152"/>
      <c r="N1270" s="296"/>
      <c r="O1270" s="213"/>
      <c r="P1270" s="47"/>
      <c r="Q1270" s="47"/>
      <c r="R1270" s="47"/>
      <c r="S1270" s="193"/>
      <c r="T1270" s="77"/>
      <c r="U1270" s="78"/>
      <c r="V1270" s="78"/>
      <c r="W1270" s="77"/>
    </row>
    <row r="1271">
      <c r="A1271" s="145"/>
      <c r="B1271" s="145"/>
      <c r="C1271" s="145"/>
      <c r="D1271" s="75"/>
      <c r="E1271" s="75"/>
      <c r="F1271" s="211"/>
      <c r="G1271" s="145"/>
      <c r="H1271" s="211"/>
      <c r="I1271" s="145"/>
      <c r="J1271" s="211"/>
      <c r="K1271" s="75"/>
      <c r="L1271" s="152"/>
      <c r="M1271" s="152"/>
      <c r="N1271" s="296"/>
      <c r="O1271" s="213"/>
      <c r="P1271" s="47"/>
      <c r="Q1271" s="47"/>
      <c r="R1271" s="47"/>
      <c r="S1271" s="193"/>
      <c r="T1271" s="77"/>
      <c r="U1271" s="78"/>
      <c r="V1271" s="78"/>
      <c r="W1271" s="77"/>
    </row>
    <row r="1272">
      <c r="A1272" s="145"/>
      <c r="B1272" s="145"/>
      <c r="C1272" s="145"/>
      <c r="D1272" s="75"/>
      <c r="E1272" s="75"/>
      <c r="F1272" s="211"/>
      <c r="G1272" s="145"/>
      <c r="H1272" s="211"/>
      <c r="I1272" s="145"/>
      <c r="J1272" s="211"/>
      <c r="K1272" s="75"/>
      <c r="L1272" s="152"/>
      <c r="M1272" s="152"/>
      <c r="N1272" s="296"/>
      <c r="O1272" s="213"/>
      <c r="P1272" s="47"/>
      <c r="Q1272" s="47"/>
      <c r="R1272" s="47"/>
      <c r="S1272" s="193"/>
      <c r="T1272" s="77"/>
      <c r="U1272" s="78"/>
      <c r="V1272" s="78"/>
      <c r="W1272" s="77"/>
    </row>
    <row r="1273">
      <c r="A1273" s="145"/>
      <c r="B1273" s="145"/>
      <c r="C1273" s="145"/>
      <c r="D1273" s="75"/>
      <c r="E1273" s="75"/>
      <c r="F1273" s="211"/>
      <c r="G1273" s="145"/>
      <c r="H1273" s="211"/>
      <c r="I1273" s="145"/>
      <c r="J1273" s="211"/>
      <c r="K1273" s="75"/>
      <c r="L1273" s="152"/>
      <c r="M1273" s="152"/>
      <c r="N1273" s="296"/>
      <c r="O1273" s="213"/>
      <c r="P1273" s="47"/>
      <c r="Q1273" s="47"/>
      <c r="R1273" s="47"/>
      <c r="S1273" s="193"/>
      <c r="T1273" s="77"/>
      <c r="U1273" s="78"/>
      <c r="V1273" s="78"/>
      <c r="W1273" s="77"/>
    </row>
    <row r="1274">
      <c r="A1274" s="145"/>
      <c r="B1274" s="145"/>
      <c r="C1274" s="145"/>
      <c r="D1274" s="75"/>
      <c r="E1274" s="75"/>
      <c r="F1274" s="211"/>
      <c r="G1274" s="145"/>
      <c r="H1274" s="211"/>
      <c r="I1274" s="145"/>
      <c r="J1274" s="211"/>
      <c r="K1274" s="75"/>
      <c r="L1274" s="152"/>
      <c r="M1274" s="152"/>
      <c r="N1274" s="296"/>
      <c r="O1274" s="213"/>
      <c r="P1274" s="47"/>
      <c r="Q1274" s="47"/>
      <c r="R1274" s="47"/>
      <c r="S1274" s="193"/>
      <c r="T1274" s="77"/>
      <c r="U1274" s="78"/>
      <c r="V1274" s="78"/>
      <c r="W1274" s="77"/>
    </row>
    <row r="1275">
      <c r="A1275" s="145"/>
      <c r="B1275" s="145"/>
      <c r="C1275" s="145"/>
      <c r="D1275" s="75"/>
      <c r="E1275" s="75"/>
      <c r="F1275" s="211"/>
      <c r="G1275" s="145"/>
      <c r="H1275" s="211"/>
      <c r="I1275" s="145"/>
      <c r="J1275" s="211"/>
      <c r="K1275" s="75"/>
      <c r="L1275" s="152"/>
      <c r="M1275" s="152"/>
      <c r="N1275" s="296"/>
      <c r="O1275" s="213"/>
      <c r="P1275" s="47"/>
      <c r="Q1275" s="47"/>
      <c r="R1275" s="47"/>
      <c r="S1275" s="193"/>
      <c r="T1275" s="77"/>
      <c r="U1275" s="78"/>
      <c r="V1275" s="78"/>
      <c r="W1275" s="77"/>
    </row>
    <row r="1276">
      <c r="A1276" s="145"/>
      <c r="B1276" s="145"/>
      <c r="C1276" s="145"/>
      <c r="D1276" s="75"/>
      <c r="E1276" s="75"/>
      <c r="F1276" s="211"/>
      <c r="G1276" s="145"/>
      <c r="H1276" s="211"/>
      <c r="I1276" s="145"/>
      <c r="J1276" s="211"/>
      <c r="K1276" s="75"/>
      <c r="L1276" s="152"/>
      <c r="M1276" s="152"/>
      <c r="N1276" s="296"/>
      <c r="O1276" s="213"/>
      <c r="P1276" s="47"/>
      <c r="Q1276" s="47"/>
      <c r="R1276" s="47"/>
      <c r="S1276" s="193"/>
      <c r="T1276" s="77"/>
      <c r="U1276" s="78"/>
      <c r="V1276" s="78"/>
      <c r="W1276" s="77"/>
    </row>
    <row r="1277">
      <c r="A1277" s="145"/>
      <c r="B1277" s="145"/>
      <c r="C1277" s="145"/>
      <c r="D1277" s="75"/>
      <c r="E1277" s="75"/>
      <c r="F1277" s="211"/>
      <c r="G1277" s="145"/>
      <c r="H1277" s="211"/>
      <c r="I1277" s="145"/>
      <c r="J1277" s="211"/>
      <c r="K1277" s="75"/>
      <c r="L1277" s="152"/>
      <c r="M1277" s="152"/>
      <c r="N1277" s="296"/>
      <c r="O1277" s="213"/>
      <c r="P1277" s="47"/>
      <c r="Q1277" s="47"/>
      <c r="R1277" s="47"/>
      <c r="S1277" s="193"/>
      <c r="T1277" s="77"/>
      <c r="U1277" s="78"/>
      <c r="V1277" s="78"/>
      <c r="W1277" s="77"/>
    </row>
    <row r="1278">
      <c r="A1278" s="145"/>
      <c r="B1278" s="145"/>
      <c r="C1278" s="145"/>
      <c r="D1278" s="75"/>
      <c r="E1278" s="75"/>
      <c r="F1278" s="211"/>
      <c r="G1278" s="145"/>
      <c r="H1278" s="211"/>
      <c r="I1278" s="145"/>
      <c r="J1278" s="211"/>
      <c r="K1278" s="75"/>
      <c r="L1278" s="152"/>
      <c r="M1278" s="152"/>
      <c r="N1278" s="296"/>
      <c r="O1278" s="213"/>
      <c r="P1278" s="47"/>
      <c r="Q1278" s="47"/>
      <c r="R1278" s="47"/>
      <c r="S1278" s="193"/>
      <c r="T1278" s="77"/>
      <c r="U1278" s="78"/>
      <c r="V1278" s="78"/>
      <c r="W1278" s="77"/>
    </row>
    <row r="1279">
      <c r="A1279" s="145"/>
      <c r="B1279" s="145"/>
      <c r="C1279" s="145"/>
      <c r="D1279" s="75"/>
      <c r="E1279" s="75"/>
      <c r="F1279" s="211"/>
      <c r="G1279" s="145"/>
      <c r="H1279" s="211"/>
      <c r="I1279" s="145"/>
      <c r="J1279" s="211"/>
      <c r="K1279" s="75"/>
      <c r="L1279" s="152"/>
      <c r="M1279" s="152"/>
      <c r="N1279" s="296"/>
      <c r="O1279" s="213"/>
      <c r="P1279" s="47"/>
      <c r="Q1279" s="47"/>
      <c r="R1279" s="47"/>
      <c r="S1279" s="193"/>
      <c r="T1279" s="77"/>
      <c r="U1279" s="78"/>
      <c r="V1279" s="78"/>
      <c r="W1279" s="77"/>
    </row>
    <row r="1280">
      <c r="A1280" s="145"/>
      <c r="B1280" s="145"/>
      <c r="C1280" s="145"/>
      <c r="D1280" s="75"/>
      <c r="E1280" s="75"/>
      <c r="F1280" s="211"/>
      <c r="G1280" s="145"/>
      <c r="H1280" s="211"/>
      <c r="I1280" s="145"/>
      <c r="J1280" s="211"/>
      <c r="K1280" s="75"/>
      <c r="L1280" s="152"/>
      <c r="M1280" s="152"/>
      <c r="N1280" s="296"/>
      <c r="O1280" s="213"/>
      <c r="P1280" s="47"/>
      <c r="Q1280" s="47"/>
      <c r="R1280" s="47"/>
      <c r="S1280" s="193"/>
      <c r="T1280" s="77"/>
      <c r="U1280" s="78"/>
      <c r="V1280" s="78"/>
      <c r="W1280" s="77"/>
    </row>
    <row r="1281">
      <c r="A1281" s="145"/>
      <c r="B1281" s="145"/>
      <c r="C1281" s="145"/>
      <c r="D1281" s="75"/>
      <c r="E1281" s="75"/>
      <c r="F1281" s="211"/>
      <c r="G1281" s="145"/>
      <c r="H1281" s="211"/>
      <c r="I1281" s="145"/>
      <c r="J1281" s="211"/>
      <c r="K1281" s="75"/>
      <c r="L1281" s="152"/>
      <c r="M1281" s="152"/>
      <c r="N1281" s="296"/>
      <c r="O1281" s="213"/>
      <c r="P1281" s="47"/>
      <c r="Q1281" s="47"/>
      <c r="R1281" s="47"/>
      <c r="S1281" s="193"/>
      <c r="T1281" s="77"/>
      <c r="U1281" s="78"/>
      <c r="V1281" s="78"/>
      <c r="W1281" s="77"/>
    </row>
    <row r="1282">
      <c r="A1282" s="145"/>
      <c r="B1282" s="145"/>
      <c r="C1282" s="145"/>
      <c r="D1282" s="75"/>
      <c r="E1282" s="75"/>
      <c r="F1282" s="211"/>
      <c r="G1282" s="145"/>
      <c r="H1282" s="211"/>
      <c r="I1282" s="145"/>
      <c r="J1282" s="211"/>
      <c r="K1282" s="75"/>
      <c r="L1282" s="152"/>
      <c r="M1282" s="152"/>
      <c r="N1282" s="296"/>
      <c r="O1282" s="213"/>
      <c r="P1282" s="47"/>
      <c r="Q1282" s="47"/>
      <c r="R1282" s="47"/>
      <c r="S1282" s="193"/>
      <c r="T1282" s="77"/>
      <c r="U1282" s="78"/>
      <c r="V1282" s="78"/>
      <c r="W1282" s="77"/>
    </row>
    <row r="1283">
      <c r="A1283" s="145"/>
      <c r="B1283" s="145"/>
      <c r="C1283" s="145"/>
      <c r="D1283" s="75"/>
      <c r="E1283" s="75"/>
      <c r="F1283" s="211"/>
      <c r="G1283" s="145"/>
      <c r="H1283" s="211"/>
      <c r="I1283" s="145"/>
      <c r="J1283" s="211"/>
      <c r="K1283" s="75"/>
      <c r="L1283" s="152"/>
      <c r="M1283" s="152"/>
      <c r="N1283" s="296"/>
      <c r="O1283" s="213"/>
      <c r="P1283" s="47"/>
      <c r="Q1283" s="47"/>
      <c r="R1283" s="47"/>
      <c r="S1283" s="193"/>
      <c r="T1283" s="77"/>
      <c r="U1283" s="78"/>
      <c r="V1283" s="78"/>
      <c r="W1283" s="77"/>
    </row>
    <row r="1284">
      <c r="A1284" s="145"/>
      <c r="B1284" s="145"/>
      <c r="C1284" s="145"/>
      <c r="D1284" s="75"/>
      <c r="E1284" s="75"/>
      <c r="F1284" s="211"/>
      <c r="G1284" s="145"/>
      <c r="H1284" s="211"/>
      <c r="I1284" s="145"/>
      <c r="J1284" s="211"/>
      <c r="K1284" s="75"/>
      <c r="L1284" s="152"/>
      <c r="M1284" s="152"/>
      <c r="N1284" s="296"/>
      <c r="O1284" s="213"/>
      <c r="P1284" s="47"/>
      <c r="Q1284" s="47"/>
      <c r="R1284" s="47"/>
      <c r="S1284" s="193"/>
      <c r="T1284" s="77"/>
      <c r="U1284" s="78"/>
      <c r="V1284" s="78"/>
      <c r="W1284" s="77"/>
    </row>
    <row r="1285">
      <c r="A1285" s="145"/>
      <c r="B1285" s="145"/>
      <c r="C1285" s="145"/>
      <c r="D1285" s="75"/>
      <c r="E1285" s="75"/>
      <c r="F1285" s="211"/>
      <c r="G1285" s="145"/>
      <c r="H1285" s="211"/>
      <c r="I1285" s="145"/>
      <c r="J1285" s="211"/>
      <c r="K1285" s="75"/>
      <c r="L1285" s="152"/>
      <c r="M1285" s="152"/>
      <c r="N1285" s="296"/>
      <c r="O1285" s="213"/>
      <c r="P1285" s="47"/>
      <c r="Q1285" s="47"/>
      <c r="R1285" s="47"/>
      <c r="S1285" s="193"/>
      <c r="T1285" s="77"/>
      <c r="U1285" s="78"/>
      <c r="V1285" s="78"/>
      <c r="W1285" s="77"/>
    </row>
    <row r="1286">
      <c r="A1286" s="145"/>
      <c r="B1286" s="145"/>
      <c r="C1286" s="145"/>
      <c r="D1286" s="75"/>
      <c r="E1286" s="75"/>
      <c r="F1286" s="211"/>
      <c r="G1286" s="145"/>
      <c r="H1286" s="211"/>
      <c r="I1286" s="145"/>
      <c r="J1286" s="211"/>
      <c r="K1286" s="75"/>
      <c r="L1286" s="152"/>
      <c r="M1286" s="152"/>
      <c r="N1286" s="296"/>
      <c r="O1286" s="213"/>
      <c r="P1286" s="47"/>
      <c r="Q1286" s="47"/>
      <c r="R1286" s="47"/>
      <c r="S1286" s="193"/>
      <c r="T1286" s="77"/>
      <c r="U1286" s="78"/>
      <c r="V1286" s="78"/>
      <c r="W1286" s="77"/>
    </row>
    <row r="1287">
      <c r="A1287" s="145"/>
      <c r="B1287" s="145"/>
      <c r="C1287" s="145"/>
      <c r="D1287" s="75"/>
      <c r="E1287" s="75"/>
      <c r="F1287" s="211"/>
      <c r="G1287" s="145"/>
      <c r="H1287" s="211"/>
      <c r="I1287" s="145"/>
      <c r="J1287" s="211"/>
      <c r="K1287" s="75"/>
      <c r="L1287" s="152"/>
      <c r="M1287" s="152"/>
      <c r="N1287" s="296"/>
      <c r="O1287" s="213"/>
      <c r="P1287" s="47"/>
      <c r="Q1287" s="47"/>
      <c r="R1287" s="47"/>
      <c r="S1287" s="193"/>
      <c r="T1287" s="77"/>
      <c r="U1287" s="78"/>
      <c r="V1287" s="78"/>
      <c r="W1287" s="77"/>
    </row>
    <row r="1288">
      <c r="A1288" s="145"/>
      <c r="B1288" s="145"/>
      <c r="C1288" s="145"/>
      <c r="D1288" s="75"/>
      <c r="E1288" s="75"/>
      <c r="F1288" s="211"/>
      <c r="G1288" s="145"/>
      <c r="H1288" s="211"/>
      <c r="I1288" s="145"/>
      <c r="J1288" s="211"/>
      <c r="K1288" s="75"/>
      <c r="L1288" s="152"/>
      <c r="M1288" s="152"/>
      <c r="N1288" s="296"/>
      <c r="O1288" s="213"/>
      <c r="P1288" s="47"/>
      <c r="Q1288" s="47"/>
      <c r="R1288" s="47"/>
      <c r="S1288" s="193"/>
      <c r="T1288" s="77"/>
      <c r="U1288" s="78"/>
      <c r="V1288" s="78"/>
      <c r="W1288" s="77"/>
    </row>
    <row r="1289">
      <c r="A1289" s="145"/>
      <c r="B1289" s="145"/>
      <c r="C1289" s="145"/>
      <c r="D1289" s="75"/>
      <c r="E1289" s="75"/>
      <c r="F1289" s="211"/>
      <c r="G1289" s="145"/>
      <c r="H1289" s="211"/>
      <c r="I1289" s="145"/>
      <c r="J1289" s="211"/>
      <c r="K1289" s="75"/>
      <c r="L1289" s="152"/>
      <c r="M1289" s="152"/>
      <c r="N1289" s="296"/>
      <c r="O1289" s="213"/>
      <c r="P1289" s="47"/>
      <c r="Q1289" s="47"/>
      <c r="R1289" s="47"/>
      <c r="S1289" s="193"/>
      <c r="T1289" s="77"/>
      <c r="U1289" s="78"/>
      <c r="V1289" s="78"/>
      <c r="W1289" s="77"/>
    </row>
    <row r="1290">
      <c r="A1290" s="145"/>
      <c r="B1290" s="145"/>
      <c r="C1290" s="145"/>
      <c r="D1290" s="75"/>
      <c r="E1290" s="75"/>
      <c r="F1290" s="211"/>
      <c r="G1290" s="145"/>
      <c r="H1290" s="211"/>
      <c r="I1290" s="145"/>
      <c r="J1290" s="211"/>
      <c r="K1290" s="75"/>
      <c r="L1290" s="152"/>
      <c r="M1290" s="152"/>
      <c r="N1290" s="296"/>
      <c r="O1290" s="213"/>
      <c r="P1290" s="47"/>
      <c r="Q1290" s="47"/>
      <c r="R1290" s="47"/>
      <c r="S1290" s="193"/>
      <c r="T1290" s="77"/>
      <c r="U1290" s="78"/>
      <c r="V1290" s="78"/>
      <c r="W1290" s="77"/>
    </row>
    <row r="1291">
      <c r="A1291" s="145"/>
      <c r="B1291" s="145"/>
      <c r="C1291" s="145"/>
      <c r="D1291" s="75"/>
      <c r="E1291" s="75"/>
      <c r="F1291" s="211"/>
      <c r="G1291" s="145"/>
      <c r="H1291" s="211"/>
      <c r="I1291" s="145"/>
      <c r="J1291" s="211"/>
      <c r="K1291" s="75"/>
      <c r="L1291" s="152"/>
      <c r="M1291" s="152"/>
      <c r="N1291" s="296"/>
      <c r="O1291" s="213"/>
      <c r="P1291" s="47"/>
      <c r="Q1291" s="47"/>
      <c r="R1291" s="47"/>
      <c r="S1291" s="193"/>
      <c r="T1291" s="77"/>
      <c r="U1291" s="78"/>
      <c r="V1291" s="78"/>
      <c r="W1291" s="77"/>
    </row>
    <row r="1292">
      <c r="A1292" s="145"/>
      <c r="B1292" s="145"/>
      <c r="C1292" s="145"/>
      <c r="D1292" s="75"/>
      <c r="E1292" s="75"/>
      <c r="F1292" s="211"/>
      <c r="G1292" s="145"/>
      <c r="H1292" s="211"/>
      <c r="I1292" s="145"/>
      <c r="J1292" s="211"/>
      <c r="K1292" s="75"/>
      <c r="L1292" s="152"/>
      <c r="M1292" s="152"/>
      <c r="N1292" s="296"/>
      <c r="O1292" s="213"/>
      <c r="P1292" s="47"/>
      <c r="Q1292" s="47"/>
      <c r="R1292" s="47"/>
      <c r="S1292" s="193"/>
      <c r="T1292" s="77"/>
      <c r="U1292" s="78"/>
      <c r="V1292" s="78"/>
      <c r="W1292" s="77"/>
    </row>
    <row r="1293">
      <c r="A1293" s="145"/>
      <c r="B1293" s="145"/>
      <c r="C1293" s="145"/>
      <c r="D1293" s="75"/>
      <c r="E1293" s="75"/>
      <c r="F1293" s="211"/>
      <c r="G1293" s="145"/>
      <c r="H1293" s="211"/>
      <c r="I1293" s="145"/>
      <c r="J1293" s="211"/>
      <c r="K1293" s="75"/>
      <c r="L1293" s="152"/>
      <c r="M1293" s="152"/>
      <c r="N1293" s="296"/>
      <c r="O1293" s="213"/>
      <c r="P1293" s="47"/>
      <c r="Q1293" s="47"/>
      <c r="R1293" s="47"/>
      <c r="S1293" s="193"/>
      <c r="T1293" s="77"/>
      <c r="U1293" s="78"/>
      <c r="V1293" s="78"/>
      <c r="W1293" s="77"/>
    </row>
    <row r="1294">
      <c r="A1294" s="145"/>
      <c r="B1294" s="145"/>
      <c r="C1294" s="145"/>
      <c r="D1294" s="75"/>
      <c r="E1294" s="75"/>
      <c r="F1294" s="211"/>
      <c r="G1294" s="145"/>
      <c r="H1294" s="211"/>
      <c r="I1294" s="145"/>
      <c r="J1294" s="211"/>
      <c r="K1294" s="75"/>
      <c r="L1294" s="152"/>
      <c r="M1294" s="152"/>
      <c r="N1294" s="296"/>
      <c r="O1294" s="213"/>
      <c r="P1294" s="47"/>
      <c r="Q1294" s="47"/>
      <c r="R1294" s="47"/>
      <c r="S1294" s="193"/>
      <c r="T1294" s="77"/>
      <c r="U1294" s="78"/>
      <c r="V1294" s="78"/>
      <c r="W1294" s="77"/>
    </row>
    <row r="1295">
      <c r="A1295" s="145"/>
      <c r="B1295" s="145"/>
      <c r="C1295" s="145"/>
      <c r="D1295" s="75"/>
      <c r="E1295" s="75"/>
      <c r="F1295" s="211"/>
      <c r="G1295" s="145"/>
      <c r="H1295" s="211"/>
      <c r="I1295" s="145"/>
      <c r="J1295" s="211"/>
      <c r="K1295" s="75"/>
      <c r="L1295" s="152"/>
      <c r="M1295" s="152"/>
      <c r="N1295" s="296"/>
      <c r="O1295" s="213"/>
      <c r="P1295" s="47"/>
      <c r="Q1295" s="47"/>
      <c r="R1295" s="47"/>
      <c r="S1295" s="193"/>
      <c r="T1295" s="77"/>
      <c r="U1295" s="78"/>
      <c r="V1295" s="78"/>
      <c r="W1295" s="77"/>
    </row>
    <row r="1296">
      <c r="A1296" s="145"/>
      <c r="B1296" s="145"/>
      <c r="C1296" s="145"/>
      <c r="D1296" s="75"/>
      <c r="E1296" s="75"/>
      <c r="F1296" s="211"/>
      <c r="G1296" s="145"/>
      <c r="H1296" s="211"/>
      <c r="I1296" s="145"/>
      <c r="J1296" s="211"/>
      <c r="K1296" s="75"/>
      <c r="L1296" s="152"/>
      <c r="M1296" s="152"/>
      <c r="N1296" s="296"/>
      <c r="O1296" s="213"/>
      <c r="P1296" s="47"/>
      <c r="Q1296" s="47"/>
      <c r="R1296" s="47"/>
      <c r="S1296" s="193"/>
      <c r="T1296" s="77"/>
      <c r="U1296" s="78"/>
      <c r="V1296" s="78"/>
      <c r="W1296" s="77"/>
    </row>
    <row r="1297">
      <c r="A1297" s="145"/>
      <c r="B1297" s="145"/>
      <c r="C1297" s="145"/>
      <c r="D1297" s="75"/>
      <c r="E1297" s="75"/>
      <c r="F1297" s="211"/>
      <c r="G1297" s="145"/>
      <c r="H1297" s="211"/>
      <c r="I1297" s="145"/>
      <c r="J1297" s="211"/>
      <c r="K1297" s="75"/>
      <c r="L1297" s="152"/>
      <c r="M1297" s="152"/>
      <c r="N1297" s="296"/>
      <c r="O1297" s="213"/>
      <c r="P1297" s="47"/>
      <c r="Q1297" s="47"/>
      <c r="R1297" s="47"/>
      <c r="S1297" s="193"/>
      <c r="T1297" s="77"/>
      <c r="U1297" s="78"/>
      <c r="V1297" s="78"/>
      <c r="W1297" s="77"/>
    </row>
    <row r="1298">
      <c r="A1298" s="145"/>
      <c r="B1298" s="145"/>
      <c r="C1298" s="145"/>
      <c r="D1298" s="75"/>
      <c r="E1298" s="75"/>
      <c r="F1298" s="211"/>
      <c r="G1298" s="145"/>
      <c r="H1298" s="211"/>
      <c r="I1298" s="145"/>
      <c r="J1298" s="211"/>
      <c r="K1298" s="75"/>
      <c r="L1298" s="152"/>
      <c r="M1298" s="152"/>
      <c r="N1298" s="296"/>
      <c r="O1298" s="213"/>
      <c r="P1298" s="47"/>
      <c r="Q1298" s="47"/>
      <c r="R1298" s="47"/>
      <c r="S1298" s="193"/>
      <c r="T1298" s="77"/>
      <c r="U1298" s="78"/>
      <c r="V1298" s="78"/>
      <c r="W1298" s="77"/>
    </row>
    <row r="1299">
      <c r="A1299" s="145"/>
      <c r="B1299" s="145"/>
      <c r="C1299" s="145"/>
      <c r="D1299" s="75"/>
      <c r="E1299" s="75"/>
      <c r="F1299" s="211"/>
      <c r="G1299" s="145"/>
      <c r="H1299" s="211"/>
      <c r="I1299" s="145"/>
      <c r="J1299" s="211"/>
      <c r="K1299" s="75"/>
      <c r="L1299" s="152"/>
      <c r="M1299" s="152"/>
      <c r="N1299" s="296"/>
      <c r="O1299" s="213"/>
      <c r="P1299" s="47"/>
      <c r="Q1299" s="47"/>
      <c r="R1299" s="47"/>
      <c r="S1299" s="193"/>
      <c r="T1299" s="77"/>
      <c r="U1299" s="78"/>
      <c r="V1299" s="78"/>
      <c r="W1299" s="77"/>
    </row>
    <row r="1300">
      <c r="A1300" s="145"/>
      <c r="B1300" s="145"/>
      <c r="C1300" s="145"/>
      <c r="D1300" s="75"/>
      <c r="E1300" s="75"/>
      <c r="F1300" s="211"/>
      <c r="G1300" s="145"/>
      <c r="H1300" s="211"/>
      <c r="I1300" s="145"/>
      <c r="J1300" s="211"/>
      <c r="K1300" s="75"/>
      <c r="L1300" s="152"/>
      <c r="M1300" s="152"/>
      <c r="N1300" s="296"/>
      <c r="O1300" s="213"/>
      <c r="P1300" s="47"/>
      <c r="Q1300" s="47"/>
      <c r="R1300" s="47"/>
      <c r="S1300" s="193"/>
      <c r="T1300" s="77"/>
      <c r="U1300" s="78"/>
      <c r="V1300" s="78"/>
      <c r="W1300" s="77"/>
    </row>
    <row r="1301">
      <c r="A1301" s="145"/>
      <c r="B1301" s="145"/>
      <c r="C1301" s="145"/>
      <c r="D1301" s="75"/>
      <c r="E1301" s="75"/>
      <c r="F1301" s="211"/>
      <c r="G1301" s="145"/>
      <c r="H1301" s="211"/>
      <c r="I1301" s="145"/>
      <c r="J1301" s="211"/>
      <c r="K1301" s="75"/>
      <c r="L1301" s="152"/>
      <c r="M1301" s="152"/>
      <c r="N1301" s="296"/>
      <c r="O1301" s="213"/>
      <c r="P1301" s="47"/>
      <c r="Q1301" s="47"/>
      <c r="R1301" s="47"/>
      <c r="S1301" s="193"/>
      <c r="T1301" s="77"/>
      <c r="U1301" s="78"/>
      <c r="V1301" s="78"/>
      <c r="W1301" s="77"/>
    </row>
    <row r="1302">
      <c r="A1302" s="145"/>
      <c r="B1302" s="145"/>
      <c r="C1302" s="145"/>
      <c r="D1302" s="75"/>
      <c r="E1302" s="75"/>
      <c r="F1302" s="211"/>
      <c r="G1302" s="145"/>
      <c r="H1302" s="211"/>
      <c r="I1302" s="145"/>
      <c r="J1302" s="211"/>
      <c r="K1302" s="75"/>
      <c r="L1302" s="152"/>
      <c r="M1302" s="152"/>
      <c r="N1302" s="296"/>
      <c r="O1302" s="213"/>
      <c r="P1302" s="47"/>
      <c r="Q1302" s="47"/>
      <c r="R1302" s="47"/>
      <c r="S1302" s="193"/>
      <c r="T1302" s="77"/>
      <c r="U1302" s="78"/>
      <c r="V1302" s="78"/>
      <c r="W1302" s="77"/>
    </row>
    <row r="1303">
      <c r="A1303" s="145"/>
      <c r="B1303" s="145"/>
      <c r="C1303" s="145"/>
      <c r="D1303" s="75"/>
      <c r="E1303" s="75"/>
      <c r="F1303" s="211"/>
      <c r="G1303" s="145"/>
      <c r="H1303" s="211"/>
      <c r="I1303" s="145"/>
      <c r="J1303" s="211"/>
      <c r="K1303" s="75"/>
      <c r="L1303" s="152"/>
      <c r="M1303" s="152"/>
      <c r="N1303" s="296"/>
      <c r="O1303" s="213"/>
      <c r="P1303" s="47"/>
      <c r="Q1303" s="47"/>
      <c r="R1303" s="47"/>
      <c r="S1303" s="193"/>
      <c r="T1303" s="77"/>
      <c r="U1303" s="78"/>
      <c r="V1303" s="78"/>
      <c r="W1303" s="77"/>
    </row>
    <row r="1304">
      <c r="A1304" s="145"/>
      <c r="B1304" s="145"/>
      <c r="C1304" s="145"/>
      <c r="D1304" s="75"/>
      <c r="E1304" s="75"/>
      <c r="F1304" s="211"/>
      <c r="G1304" s="145"/>
      <c r="H1304" s="211"/>
      <c r="I1304" s="145"/>
      <c r="J1304" s="211"/>
      <c r="K1304" s="75"/>
      <c r="L1304" s="152"/>
      <c r="M1304" s="152"/>
      <c r="N1304" s="296"/>
      <c r="O1304" s="213"/>
      <c r="P1304" s="47"/>
      <c r="Q1304" s="47"/>
      <c r="R1304" s="47"/>
      <c r="S1304" s="193"/>
      <c r="T1304" s="77"/>
      <c r="U1304" s="78"/>
      <c r="V1304" s="78"/>
      <c r="W1304" s="77"/>
    </row>
    <row r="1305">
      <c r="A1305" s="145"/>
      <c r="B1305" s="145"/>
      <c r="C1305" s="145"/>
      <c r="D1305" s="75"/>
      <c r="E1305" s="75"/>
      <c r="F1305" s="211"/>
      <c r="G1305" s="145"/>
      <c r="H1305" s="211"/>
      <c r="I1305" s="145"/>
      <c r="J1305" s="211"/>
      <c r="K1305" s="75"/>
      <c r="L1305" s="152"/>
      <c r="M1305" s="152"/>
      <c r="N1305" s="296"/>
      <c r="O1305" s="213"/>
      <c r="P1305" s="47"/>
      <c r="Q1305" s="47"/>
      <c r="R1305" s="47"/>
      <c r="S1305" s="193"/>
      <c r="T1305" s="77"/>
      <c r="U1305" s="78"/>
      <c r="V1305" s="78"/>
      <c r="W1305" s="77"/>
    </row>
    <row r="1306">
      <c r="A1306" s="145"/>
      <c r="B1306" s="145"/>
      <c r="C1306" s="145"/>
      <c r="D1306" s="75"/>
      <c r="E1306" s="75"/>
      <c r="F1306" s="211"/>
      <c r="G1306" s="145"/>
      <c r="H1306" s="211"/>
      <c r="I1306" s="145"/>
      <c r="J1306" s="211"/>
      <c r="K1306" s="75"/>
      <c r="L1306" s="152"/>
      <c r="M1306" s="152"/>
      <c r="N1306" s="296"/>
      <c r="O1306" s="213"/>
      <c r="P1306" s="47"/>
      <c r="Q1306" s="47"/>
      <c r="R1306" s="47"/>
      <c r="S1306" s="193"/>
      <c r="T1306" s="77"/>
      <c r="U1306" s="78"/>
      <c r="V1306" s="78"/>
      <c r="W1306" s="77"/>
    </row>
    <row r="1307">
      <c r="A1307" s="145"/>
      <c r="B1307" s="145"/>
      <c r="C1307" s="145"/>
      <c r="D1307" s="75"/>
      <c r="E1307" s="75"/>
      <c r="F1307" s="211"/>
      <c r="G1307" s="145"/>
      <c r="H1307" s="211"/>
      <c r="I1307" s="145"/>
      <c r="J1307" s="211"/>
      <c r="K1307" s="75"/>
      <c r="L1307" s="152"/>
      <c r="M1307" s="152"/>
      <c r="N1307" s="296"/>
      <c r="O1307" s="213"/>
      <c r="P1307" s="47"/>
      <c r="Q1307" s="47"/>
      <c r="R1307" s="47"/>
      <c r="S1307" s="193"/>
      <c r="T1307" s="77"/>
      <c r="U1307" s="78"/>
      <c r="V1307" s="78"/>
      <c r="W1307" s="77"/>
    </row>
    <row r="1308">
      <c r="A1308" s="145"/>
      <c r="B1308" s="145"/>
      <c r="C1308" s="145"/>
      <c r="D1308" s="75"/>
      <c r="E1308" s="75"/>
      <c r="F1308" s="211"/>
      <c r="G1308" s="145"/>
      <c r="H1308" s="211"/>
      <c r="I1308" s="145"/>
      <c r="J1308" s="211"/>
      <c r="K1308" s="75"/>
      <c r="L1308" s="152"/>
      <c r="M1308" s="152"/>
      <c r="N1308" s="296"/>
      <c r="O1308" s="213"/>
      <c r="P1308" s="47"/>
      <c r="Q1308" s="47"/>
      <c r="R1308" s="47"/>
      <c r="S1308" s="193"/>
      <c r="T1308" s="77"/>
      <c r="U1308" s="78"/>
      <c r="V1308" s="78"/>
      <c r="W1308" s="77"/>
    </row>
    <row r="1309">
      <c r="A1309" s="145"/>
      <c r="B1309" s="145"/>
      <c r="C1309" s="145"/>
      <c r="D1309" s="75"/>
      <c r="E1309" s="75"/>
      <c r="F1309" s="211"/>
      <c r="G1309" s="145"/>
      <c r="H1309" s="211"/>
      <c r="I1309" s="145"/>
      <c r="J1309" s="211"/>
      <c r="K1309" s="75"/>
      <c r="L1309" s="152"/>
      <c r="M1309" s="152"/>
      <c r="N1309" s="296"/>
      <c r="O1309" s="213"/>
      <c r="P1309" s="47"/>
      <c r="Q1309" s="47"/>
      <c r="R1309" s="47"/>
      <c r="S1309" s="193"/>
      <c r="T1309" s="77"/>
      <c r="U1309" s="78"/>
      <c r="V1309" s="78"/>
      <c r="W1309" s="77"/>
    </row>
    <row r="1310">
      <c r="A1310" s="145"/>
      <c r="B1310" s="145"/>
      <c r="C1310" s="145"/>
      <c r="D1310" s="75"/>
      <c r="E1310" s="75"/>
      <c r="F1310" s="211"/>
      <c r="G1310" s="145"/>
      <c r="H1310" s="211"/>
      <c r="I1310" s="145"/>
      <c r="J1310" s="211"/>
      <c r="K1310" s="75"/>
      <c r="L1310" s="152"/>
      <c r="M1310" s="152"/>
      <c r="N1310" s="296"/>
      <c r="O1310" s="213"/>
      <c r="P1310" s="47"/>
      <c r="Q1310" s="47"/>
      <c r="R1310" s="47"/>
      <c r="S1310" s="193"/>
      <c r="T1310" s="77"/>
      <c r="U1310" s="78"/>
      <c r="V1310" s="78"/>
      <c r="W1310" s="77"/>
    </row>
    <row r="1311">
      <c r="A1311" s="145"/>
      <c r="B1311" s="145"/>
      <c r="C1311" s="145"/>
      <c r="D1311" s="75"/>
      <c r="E1311" s="75"/>
      <c r="F1311" s="211"/>
      <c r="G1311" s="145"/>
      <c r="H1311" s="211"/>
      <c r="I1311" s="145"/>
      <c r="J1311" s="211"/>
      <c r="K1311" s="75"/>
      <c r="L1311" s="152"/>
      <c r="M1311" s="152"/>
      <c r="N1311" s="296"/>
      <c r="O1311" s="213"/>
      <c r="P1311" s="47"/>
      <c r="Q1311" s="47"/>
      <c r="R1311" s="47"/>
      <c r="S1311" s="193"/>
      <c r="T1311" s="77"/>
      <c r="U1311" s="78"/>
      <c r="V1311" s="78"/>
      <c r="W1311" s="77"/>
    </row>
    <row r="1312">
      <c r="A1312" s="145"/>
      <c r="B1312" s="145"/>
      <c r="C1312" s="145"/>
      <c r="D1312" s="75"/>
      <c r="E1312" s="75"/>
      <c r="F1312" s="211"/>
      <c r="G1312" s="145"/>
      <c r="H1312" s="211"/>
      <c r="I1312" s="145"/>
      <c r="J1312" s="211"/>
      <c r="K1312" s="75"/>
      <c r="L1312" s="152"/>
      <c r="M1312" s="152"/>
      <c r="N1312" s="296"/>
      <c r="O1312" s="213"/>
      <c r="P1312" s="47"/>
      <c r="Q1312" s="47"/>
      <c r="R1312" s="47"/>
      <c r="S1312" s="193"/>
      <c r="T1312" s="77"/>
      <c r="U1312" s="78"/>
      <c r="V1312" s="78"/>
      <c r="W1312" s="77"/>
    </row>
    <row r="1313">
      <c r="A1313" s="145"/>
      <c r="B1313" s="145"/>
      <c r="C1313" s="145"/>
      <c r="D1313" s="75"/>
      <c r="E1313" s="75"/>
      <c r="F1313" s="211"/>
      <c r="G1313" s="145"/>
      <c r="H1313" s="211"/>
      <c r="I1313" s="145"/>
      <c r="J1313" s="211"/>
      <c r="K1313" s="75"/>
      <c r="L1313" s="152"/>
      <c r="M1313" s="152"/>
      <c r="N1313" s="296"/>
      <c r="O1313" s="213"/>
      <c r="P1313" s="47"/>
      <c r="Q1313" s="47"/>
      <c r="R1313" s="47"/>
      <c r="S1313" s="193"/>
      <c r="T1313" s="77"/>
      <c r="U1313" s="78"/>
      <c r="V1313" s="78"/>
      <c r="W1313" s="77"/>
    </row>
    <row r="1314">
      <c r="A1314" s="145"/>
      <c r="B1314" s="145"/>
      <c r="C1314" s="145"/>
      <c r="D1314" s="75"/>
      <c r="E1314" s="75"/>
      <c r="F1314" s="211"/>
      <c r="G1314" s="145"/>
      <c r="H1314" s="211"/>
      <c r="I1314" s="145"/>
      <c r="J1314" s="211"/>
      <c r="K1314" s="75"/>
      <c r="L1314" s="152"/>
      <c r="M1314" s="152"/>
      <c r="N1314" s="296"/>
      <c r="O1314" s="213"/>
      <c r="P1314" s="47"/>
      <c r="Q1314" s="47"/>
      <c r="R1314" s="47"/>
      <c r="S1314" s="193"/>
      <c r="T1314" s="77"/>
      <c r="U1314" s="78"/>
      <c r="V1314" s="78"/>
      <c r="W1314" s="77"/>
    </row>
    <row r="1315">
      <c r="A1315" s="145"/>
      <c r="B1315" s="145"/>
      <c r="C1315" s="145"/>
      <c r="D1315" s="75"/>
      <c r="E1315" s="75"/>
      <c r="F1315" s="211"/>
      <c r="G1315" s="145"/>
      <c r="H1315" s="211"/>
      <c r="I1315" s="145"/>
      <c r="J1315" s="211"/>
      <c r="K1315" s="75"/>
      <c r="L1315" s="152"/>
      <c r="M1315" s="152"/>
      <c r="N1315" s="296"/>
      <c r="O1315" s="213"/>
      <c r="P1315" s="47"/>
      <c r="Q1315" s="47"/>
      <c r="R1315" s="47"/>
      <c r="S1315" s="193"/>
      <c r="T1315" s="77"/>
      <c r="U1315" s="78"/>
      <c r="V1315" s="78"/>
      <c r="W1315" s="77"/>
    </row>
    <row r="1316">
      <c r="A1316" s="145"/>
      <c r="B1316" s="145"/>
      <c r="C1316" s="145"/>
      <c r="D1316" s="75"/>
      <c r="E1316" s="75"/>
      <c r="F1316" s="211"/>
      <c r="G1316" s="145"/>
      <c r="H1316" s="211"/>
      <c r="I1316" s="145"/>
      <c r="J1316" s="211"/>
      <c r="K1316" s="75"/>
      <c r="L1316" s="152"/>
      <c r="M1316" s="152"/>
      <c r="N1316" s="296"/>
      <c r="O1316" s="213"/>
      <c r="P1316" s="47"/>
      <c r="Q1316" s="47"/>
      <c r="R1316" s="47"/>
      <c r="S1316" s="193"/>
      <c r="T1316" s="77"/>
      <c r="U1316" s="78"/>
      <c r="V1316" s="78"/>
      <c r="W1316" s="77"/>
    </row>
    <row r="1317">
      <c r="A1317" s="145"/>
      <c r="B1317" s="145"/>
      <c r="C1317" s="145"/>
      <c r="D1317" s="75"/>
      <c r="E1317" s="75"/>
      <c r="F1317" s="211"/>
      <c r="G1317" s="145"/>
      <c r="H1317" s="211"/>
      <c r="I1317" s="145"/>
      <c r="J1317" s="211"/>
      <c r="K1317" s="75"/>
      <c r="L1317" s="152"/>
      <c r="M1317" s="152"/>
      <c r="N1317" s="296"/>
      <c r="O1317" s="213"/>
      <c r="P1317" s="47"/>
      <c r="Q1317" s="47"/>
      <c r="R1317" s="47"/>
      <c r="S1317" s="193"/>
      <c r="T1317" s="77"/>
      <c r="U1317" s="78"/>
      <c r="V1317" s="78"/>
      <c r="W1317" s="77"/>
    </row>
    <row r="1318">
      <c r="A1318" s="145"/>
      <c r="B1318" s="145"/>
      <c r="C1318" s="145"/>
      <c r="D1318" s="75"/>
      <c r="E1318" s="75"/>
      <c r="F1318" s="211"/>
      <c r="G1318" s="145"/>
      <c r="H1318" s="211"/>
      <c r="I1318" s="145"/>
      <c r="J1318" s="211"/>
      <c r="K1318" s="75"/>
      <c r="L1318" s="152"/>
      <c r="M1318" s="152"/>
      <c r="N1318" s="296"/>
      <c r="O1318" s="213"/>
      <c r="P1318" s="47"/>
      <c r="Q1318" s="47"/>
      <c r="R1318" s="47"/>
      <c r="S1318" s="193"/>
      <c r="T1318" s="77"/>
      <c r="U1318" s="78"/>
      <c r="V1318" s="78"/>
      <c r="W1318" s="77"/>
    </row>
    <row r="1319">
      <c r="A1319" s="145"/>
      <c r="B1319" s="145"/>
      <c r="C1319" s="145"/>
      <c r="D1319" s="75"/>
      <c r="E1319" s="75"/>
      <c r="F1319" s="211"/>
      <c r="G1319" s="145"/>
      <c r="H1319" s="211"/>
      <c r="I1319" s="145"/>
      <c r="J1319" s="211"/>
      <c r="K1319" s="75"/>
      <c r="L1319" s="152"/>
      <c r="M1319" s="152"/>
      <c r="N1319" s="296"/>
      <c r="O1319" s="213"/>
      <c r="P1319" s="47"/>
      <c r="Q1319" s="47"/>
      <c r="R1319" s="47"/>
      <c r="S1319" s="193"/>
      <c r="T1319" s="77"/>
      <c r="U1319" s="78"/>
      <c r="V1319" s="78"/>
      <c r="W1319" s="77"/>
    </row>
    <row r="1320">
      <c r="A1320" s="145"/>
      <c r="B1320" s="145"/>
      <c r="C1320" s="145"/>
      <c r="D1320" s="75"/>
      <c r="E1320" s="75"/>
      <c r="F1320" s="211"/>
      <c r="G1320" s="145"/>
      <c r="H1320" s="211"/>
      <c r="I1320" s="145"/>
      <c r="J1320" s="211"/>
      <c r="K1320" s="75"/>
      <c r="L1320" s="152"/>
      <c r="M1320" s="152"/>
      <c r="N1320" s="296"/>
      <c r="O1320" s="213"/>
      <c r="P1320" s="47"/>
      <c r="Q1320" s="47"/>
      <c r="R1320" s="47"/>
      <c r="S1320" s="193"/>
      <c r="T1320" s="77"/>
      <c r="U1320" s="78"/>
      <c r="V1320" s="78"/>
      <c r="W1320" s="77"/>
    </row>
    <row r="1321">
      <c r="A1321" s="145"/>
      <c r="B1321" s="145"/>
      <c r="C1321" s="145"/>
      <c r="D1321" s="75"/>
      <c r="E1321" s="75"/>
      <c r="F1321" s="211"/>
      <c r="G1321" s="145"/>
      <c r="H1321" s="211"/>
      <c r="I1321" s="145"/>
      <c r="J1321" s="211"/>
      <c r="K1321" s="75"/>
      <c r="L1321" s="152"/>
      <c r="M1321" s="152"/>
      <c r="N1321" s="296"/>
      <c r="O1321" s="213"/>
      <c r="P1321" s="47"/>
      <c r="Q1321" s="47"/>
      <c r="R1321" s="47"/>
      <c r="S1321" s="193"/>
      <c r="T1321" s="77"/>
      <c r="U1321" s="78"/>
      <c r="V1321" s="78"/>
      <c r="W1321" s="77"/>
    </row>
    <row r="1322">
      <c r="A1322" s="145"/>
      <c r="B1322" s="145"/>
      <c r="C1322" s="145"/>
      <c r="D1322" s="75"/>
      <c r="E1322" s="75"/>
      <c r="F1322" s="211"/>
      <c r="G1322" s="145"/>
      <c r="H1322" s="211"/>
      <c r="I1322" s="145"/>
      <c r="J1322" s="211"/>
      <c r="K1322" s="75"/>
      <c r="L1322" s="152"/>
      <c r="M1322" s="152"/>
      <c r="N1322" s="296"/>
      <c r="O1322" s="213"/>
      <c r="P1322" s="47"/>
      <c r="Q1322" s="47"/>
      <c r="R1322" s="47"/>
      <c r="S1322" s="193"/>
      <c r="T1322" s="77"/>
      <c r="U1322" s="78"/>
      <c r="V1322" s="78"/>
      <c r="W1322" s="77"/>
    </row>
    <row r="1323">
      <c r="A1323" s="145"/>
      <c r="B1323" s="145"/>
      <c r="C1323" s="145"/>
      <c r="D1323" s="75"/>
      <c r="E1323" s="75"/>
      <c r="F1323" s="211"/>
      <c r="G1323" s="145"/>
      <c r="H1323" s="211"/>
      <c r="I1323" s="145"/>
      <c r="J1323" s="211"/>
      <c r="K1323" s="75"/>
      <c r="L1323" s="152"/>
      <c r="M1323" s="152"/>
      <c r="N1323" s="296"/>
      <c r="O1323" s="213"/>
      <c r="P1323" s="47"/>
      <c r="Q1323" s="47"/>
      <c r="R1323" s="47"/>
      <c r="S1323" s="193"/>
      <c r="T1323" s="77"/>
      <c r="U1323" s="78"/>
      <c r="V1323" s="78"/>
      <c r="W1323" s="77"/>
    </row>
    <row r="1324">
      <c r="A1324" s="145"/>
      <c r="B1324" s="145"/>
      <c r="C1324" s="145"/>
      <c r="D1324" s="75"/>
      <c r="E1324" s="75"/>
      <c r="F1324" s="211"/>
      <c r="G1324" s="145"/>
      <c r="H1324" s="211"/>
      <c r="I1324" s="145"/>
      <c r="J1324" s="211"/>
      <c r="K1324" s="75"/>
      <c r="L1324" s="152"/>
      <c r="M1324" s="152"/>
      <c r="N1324" s="296"/>
      <c r="O1324" s="213"/>
      <c r="P1324" s="47"/>
      <c r="Q1324" s="47"/>
      <c r="R1324" s="47"/>
      <c r="S1324" s="193"/>
      <c r="T1324" s="77"/>
      <c r="U1324" s="78"/>
      <c r="V1324" s="78"/>
      <c r="W1324" s="77"/>
    </row>
    <row r="1325">
      <c r="A1325" s="145"/>
      <c r="B1325" s="145"/>
      <c r="C1325" s="145"/>
      <c r="D1325" s="75"/>
      <c r="E1325" s="75"/>
      <c r="F1325" s="211"/>
      <c r="G1325" s="145"/>
      <c r="H1325" s="211"/>
      <c r="I1325" s="145"/>
      <c r="J1325" s="211"/>
      <c r="K1325" s="75"/>
      <c r="L1325" s="152"/>
      <c r="M1325" s="152"/>
      <c r="N1325" s="296"/>
      <c r="O1325" s="213"/>
      <c r="P1325" s="47"/>
      <c r="Q1325" s="47"/>
      <c r="R1325" s="47"/>
      <c r="S1325" s="193"/>
      <c r="T1325" s="77"/>
      <c r="U1325" s="78"/>
      <c r="V1325" s="78"/>
      <c r="W1325" s="77"/>
    </row>
    <row r="1326">
      <c r="A1326" s="145"/>
      <c r="B1326" s="145"/>
      <c r="C1326" s="145"/>
      <c r="D1326" s="75"/>
      <c r="E1326" s="75"/>
      <c r="F1326" s="211"/>
      <c r="G1326" s="145"/>
      <c r="H1326" s="211"/>
      <c r="I1326" s="145"/>
      <c r="J1326" s="211"/>
      <c r="K1326" s="75"/>
      <c r="L1326" s="152"/>
      <c r="M1326" s="152"/>
      <c r="N1326" s="296"/>
      <c r="O1326" s="213"/>
      <c r="P1326" s="47"/>
      <c r="Q1326" s="47"/>
      <c r="R1326" s="47"/>
      <c r="S1326" s="193"/>
      <c r="T1326" s="77"/>
      <c r="U1326" s="78"/>
      <c r="V1326" s="78"/>
      <c r="W1326" s="77"/>
    </row>
    <row r="1327">
      <c r="A1327" s="145"/>
      <c r="B1327" s="145"/>
      <c r="C1327" s="145"/>
      <c r="D1327" s="75"/>
      <c r="E1327" s="75"/>
      <c r="F1327" s="211"/>
      <c r="G1327" s="145"/>
      <c r="H1327" s="211"/>
      <c r="I1327" s="145"/>
      <c r="J1327" s="211"/>
      <c r="K1327" s="75"/>
      <c r="L1327" s="152"/>
      <c r="M1327" s="152"/>
      <c r="N1327" s="296"/>
      <c r="O1327" s="213"/>
      <c r="P1327" s="47"/>
      <c r="Q1327" s="47"/>
      <c r="R1327" s="47"/>
      <c r="S1327" s="193"/>
      <c r="T1327" s="77"/>
      <c r="U1327" s="78"/>
      <c r="V1327" s="78"/>
      <c r="W1327" s="77"/>
    </row>
    <row r="1328">
      <c r="A1328" s="145"/>
      <c r="B1328" s="145"/>
      <c r="C1328" s="145"/>
      <c r="D1328" s="75"/>
      <c r="E1328" s="75"/>
      <c r="F1328" s="211"/>
      <c r="G1328" s="145"/>
      <c r="H1328" s="211"/>
      <c r="I1328" s="145"/>
      <c r="J1328" s="211"/>
      <c r="K1328" s="75"/>
      <c r="L1328" s="152"/>
      <c r="M1328" s="152"/>
      <c r="N1328" s="296"/>
      <c r="O1328" s="213"/>
      <c r="P1328" s="47"/>
      <c r="Q1328" s="47"/>
      <c r="R1328" s="47"/>
      <c r="S1328" s="193"/>
      <c r="T1328" s="77"/>
      <c r="U1328" s="78"/>
      <c r="V1328" s="78"/>
      <c r="W1328" s="77"/>
    </row>
    <row r="1329">
      <c r="A1329" s="145"/>
      <c r="B1329" s="145"/>
      <c r="C1329" s="145"/>
      <c r="D1329" s="75"/>
      <c r="E1329" s="75"/>
      <c r="F1329" s="211"/>
      <c r="G1329" s="145"/>
      <c r="H1329" s="211"/>
      <c r="I1329" s="145"/>
      <c r="J1329" s="211"/>
      <c r="K1329" s="75"/>
      <c r="L1329" s="152"/>
      <c r="M1329" s="152"/>
      <c r="N1329" s="296"/>
      <c r="O1329" s="213"/>
      <c r="P1329" s="47"/>
      <c r="Q1329" s="47"/>
      <c r="R1329" s="47"/>
      <c r="S1329" s="193"/>
      <c r="T1329" s="77"/>
      <c r="U1329" s="78"/>
      <c r="V1329" s="78"/>
      <c r="W1329" s="77"/>
    </row>
    <row r="1330">
      <c r="A1330" s="145"/>
      <c r="B1330" s="145"/>
      <c r="C1330" s="145"/>
      <c r="D1330" s="75"/>
      <c r="E1330" s="75"/>
      <c r="F1330" s="211"/>
      <c r="G1330" s="145"/>
      <c r="H1330" s="211"/>
      <c r="I1330" s="145"/>
      <c r="J1330" s="211"/>
      <c r="K1330" s="75"/>
      <c r="L1330" s="152"/>
      <c r="M1330" s="152"/>
      <c r="N1330" s="296"/>
      <c r="O1330" s="213"/>
      <c r="P1330" s="47"/>
      <c r="Q1330" s="47"/>
      <c r="R1330" s="47"/>
      <c r="S1330" s="193"/>
      <c r="T1330" s="77"/>
      <c r="U1330" s="78"/>
      <c r="V1330" s="78"/>
      <c r="W1330" s="77"/>
    </row>
    <row r="1331">
      <c r="A1331" s="145"/>
      <c r="B1331" s="145"/>
      <c r="C1331" s="145"/>
      <c r="D1331" s="75"/>
      <c r="E1331" s="75"/>
      <c r="F1331" s="211"/>
      <c r="G1331" s="145"/>
      <c r="H1331" s="211"/>
      <c r="I1331" s="145"/>
      <c r="J1331" s="211"/>
      <c r="K1331" s="75"/>
      <c r="L1331" s="152"/>
      <c r="M1331" s="152"/>
      <c r="N1331" s="296"/>
      <c r="O1331" s="213"/>
      <c r="P1331" s="47"/>
      <c r="Q1331" s="47"/>
      <c r="R1331" s="47"/>
      <c r="S1331" s="193"/>
      <c r="T1331" s="77"/>
      <c r="U1331" s="78"/>
      <c r="V1331" s="78"/>
      <c r="W1331" s="77"/>
    </row>
    <row r="1332">
      <c r="A1332" s="145"/>
      <c r="B1332" s="145"/>
      <c r="C1332" s="145"/>
      <c r="D1332" s="75"/>
      <c r="E1332" s="75"/>
      <c r="F1332" s="211"/>
      <c r="G1332" s="145"/>
      <c r="H1332" s="211"/>
      <c r="I1332" s="145"/>
      <c r="J1332" s="211"/>
      <c r="K1332" s="75"/>
      <c r="L1332" s="152"/>
      <c r="M1332" s="152"/>
      <c r="N1332" s="296"/>
      <c r="O1332" s="213"/>
      <c r="P1332" s="47"/>
      <c r="Q1332" s="47"/>
      <c r="R1332" s="47"/>
      <c r="S1332" s="193"/>
      <c r="T1332" s="77"/>
      <c r="U1332" s="78"/>
      <c r="V1332" s="78"/>
      <c r="W1332" s="77"/>
    </row>
    <row r="1333">
      <c r="A1333" s="145"/>
      <c r="B1333" s="145"/>
      <c r="C1333" s="145"/>
      <c r="D1333" s="75"/>
      <c r="E1333" s="75"/>
      <c r="F1333" s="211"/>
      <c r="G1333" s="145"/>
      <c r="H1333" s="211"/>
      <c r="I1333" s="145"/>
      <c r="J1333" s="211"/>
      <c r="K1333" s="75"/>
      <c r="L1333" s="152"/>
      <c r="M1333" s="152"/>
      <c r="N1333" s="296"/>
      <c r="O1333" s="213"/>
      <c r="P1333" s="47"/>
      <c r="Q1333" s="47"/>
      <c r="R1333" s="47"/>
      <c r="S1333" s="193"/>
      <c r="T1333" s="77"/>
      <c r="U1333" s="78"/>
      <c r="V1333" s="78"/>
      <c r="W1333" s="77"/>
    </row>
    <row r="1334">
      <c r="A1334" s="145"/>
      <c r="B1334" s="145"/>
      <c r="C1334" s="145"/>
      <c r="D1334" s="75"/>
      <c r="E1334" s="75"/>
      <c r="F1334" s="211"/>
      <c r="G1334" s="145"/>
      <c r="H1334" s="211"/>
      <c r="I1334" s="145"/>
      <c r="J1334" s="211"/>
      <c r="K1334" s="75"/>
      <c r="L1334" s="152"/>
      <c r="M1334" s="152"/>
      <c r="N1334" s="296"/>
      <c r="O1334" s="213"/>
      <c r="P1334" s="47"/>
      <c r="Q1334" s="47"/>
      <c r="R1334" s="47"/>
      <c r="S1334" s="193"/>
      <c r="T1334" s="77"/>
      <c r="U1334" s="78"/>
      <c r="V1334" s="78"/>
      <c r="W1334" s="77"/>
    </row>
    <row r="1335">
      <c r="A1335" s="145"/>
      <c r="B1335" s="145"/>
      <c r="C1335" s="145"/>
      <c r="D1335" s="75"/>
      <c r="E1335" s="75"/>
      <c r="F1335" s="211"/>
      <c r="G1335" s="145"/>
      <c r="H1335" s="211"/>
      <c r="I1335" s="145"/>
      <c r="J1335" s="211"/>
      <c r="K1335" s="75"/>
      <c r="L1335" s="152"/>
      <c r="M1335" s="152"/>
      <c r="N1335" s="296"/>
      <c r="O1335" s="213"/>
      <c r="P1335" s="47"/>
      <c r="Q1335" s="47"/>
      <c r="R1335" s="47"/>
      <c r="S1335" s="193"/>
      <c r="T1335" s="77"/>
      <c r="U1335" s="78"/>
      <c r="V1335" s="78"/>
      <c r="W1335" s="77"/>
    </row>
    <row r="1336">
      <c r="A1336" s="145"/>
      <c r="B1336" s="145"/>
      <c r="C1336" s="145"/>
      <c r="D1336" s="75"/>
      <c r="E1336" s="75"/>
      <c r="F1336" s="211"/>
      <c r="G1336" s="145"/>
      <c r="H1336" s="211"/>
      <c r="I1336" s="145"/>
      <c r="J1336" s="211"/>
      <c r="K1336" s="75"/>
      <c r="L1336" s="152"/>
      <c r="M1336" s="152"/>
      <c r="N1336" s="296"/>
      <c r="O1336" s="213"/>
      <c r="P1336" s="47"/>
      <c r="Q1336" s="47"/>
      <c r="R1336" s="47"/>
      <c r="S1336" s="193"/>
      <c r="T1336" s="77"/>
      <c r="U1336" s="78"/>
      <c r="V1336" s="78"/>
      <c r="W1336" s="77"/>
    </row>
    <row r="1337">
      <c r="A1337" s="145"/>
      <c r="B1337" s="145"/>
      <c r="C1337" s="145"/>
      <c r="D1337" s="75"/>
      <c r="E1337" s="75"/>
      <c r="F1337" s="211"/>
      <c r="G1337" s="145"/>
      <c r="H1337" s="211"/>
      <c r="I1337" s="145"/>
      <c r="J1337" s="211"/>
      <c r="K1337" s="75"/>
      <c r="L1337" s="152"/>
      <c r="M1337" s="152"/>
      <c r="N1337" s="296"/>
      <c r="O1337" s="213"/>
      <c r="P1337" s="47"/>
      <c r="Q1337" s="47"/>
      <c r="R1337" s="47"/>
      <c r="S1337" s="193"/>
      <c r="T1337" s="77"/>
      <c r="U1337" s="78"/>
      <c r="V1337" s="78"/>
      <c r="W1337" s="77"/>
    </row>
    <row r="1338">
      <c r="A1338" s="145"/>
      <c r="B1338" s="145"/>
      <c r="C1338" s="145"/>
      <c r="D1338" s="75"/>
      <c r="E1338" s="75"/>
      <c r="F1338" s="211"/>
      <c r="G1338" s="145"/>
      <c r="H1338" s="211"/>
      <c r="I1338" s="145"/>
      <c r="J1338" s="211"/>
      <c r="K1338" s="75"/>
      <c r="L1338" s="152"/>
      <c r="M1338" s="152"/>
      <c r="N1338" s="296"/>
      <c r="O1338" s="213"/>
      <c r="P1338" s="47"/>
      <c r="Q1338" s="47"/>
      <c r="R1338" s="47"/>
      <c r="S1338" s="193"/>
      <c r="T1338" s="77"/>
      <c r="U1338" s="78"/>
      <c r="V1338" s="78"/>
      <c r="W1338" s="77"/>
    </row>
    <row r="1339">
      <c r="A1339" s="145"/>
      <c r="B1339" s="145"/>
      <c r="C1339" s="145"/>
      <c r="D1339" s="75"/>
      <c r="E1339" s="75"/>
      <c r="F1339" s="211"/>
      <c r="G1339" s="145"/>
      <c r="H1339" s="211"/>
      <c r="I1339" s="145"/>
      <c r="J1339" s="211"/>
      <c r="K1339" s="75"/>
      <c r="L1339" s="152"/>
      <c r="M1339" s="152"/>
      <c r="N1339" s="296"/>
      <c r="O1339" s="213"/>
      <c r="P1339" s="47"/>
      <c r="Q1339" s="47"/>
      <c r="R1339" s="47"/>
      <c r="S1339" s="193"/>
      <c r="T1339" s="77"/>
      <c r="U1339" s="78"/>
      <c r="V1339" s="78"/>
      <c r="W1339" s="77"/>
    </row>
    <row r="1340">
      <c r="A1340" s="145"/>
      <c r="B1340" s="145"/>
      <c r="C1340" s="145"/>
      <c r="D1340" s="75"/>
      <c r="E1340" s="75"/>
      <c r="F1340" s="211"/>
      <c r="G1340" s="145"/>
      <c r="H1340" s="211"/>
      <c r="I1340" s="145"/>
      <c r="J1340" s="211"/>
      <c r="K1340" s="75"/>
      <c r="L1340" s="152"/>
      <c r="M1340" s="152"/>
      <c r="N1340" s="296"/>
      <c r="O1340" s="213"/>
      <c r="P1340" s="47"/>
      <c r="Q1340" s="47"/>
      <c r="R1340" s="47"/>
      <c r="S1340" s="193"/>
      <c r="T1340" s="77"/>
      <c r="U1340" s="78"/>
      <c r="V1340" s="78"/>
      <c r="W1340" s="77"/>
    </row>
    <row r="1341">
      <c r="A1341" s="145"/>
      <c r="B1341" s="145"/>
      <c r="C1341" s="145"/>
      <c r="D1341" s="75"/>
      <c r="E1341" s="75"/>
      <c r="F1341" s="211"/>
      <c r="G1341" s="145"/>
      <c r="H1341" s="211"/>
      <c r="I1341" s="145"/>
      <c r="J1341" s="211"/>
      <c r="K1341" s="75"/>
      <c r="L1341" s="152"/>
      <c r="M1341" s="152"/>
      <c r="N1341" s="296"/>
      <c r="O1341" s="213"/>
      <c r="P1341" s="47"/>
      <c r="Q1341" s="47"/>
      <c r="R1341" s="47"/>
      <c r="S1341" s="193"/>
      <c r="T1341" s="77"/>
      <c r="U1341" s="78"/>
      <c r="V1341" s="78"/>
      <c r="W1341" s="77"/>
    </row>
    <row r="1342">
      <c r="A1342" s="145"/>
      <c r="B1342" s="145"/>
      <c r="C1342" s="145"/>
      <c r="D1342" s="75"/>
      <c r="E1342" s="75"/>
      <c r="F1342" s="211"/>
      <c r="G1342" s="145"/>
      <c r="H1342" s="211"/>
      <c r="I1342" s="145"/>
      <c r="J1342" s="211"/>
      <c r="K1342" s="75"/>
      <c r="L1342" s="152"/>
      <c r="M1342" s="152"/>
      <c r="N1342" s="296"/>
      <c r="O1342" s="213"/>
      <c r="P1342" s="47"/>
      <c r="Q1342" s="47"/>
      <c r="R1342" s="47"/>
      <c r="S1342" s="193"/>
      <c r="T1342" s="77"/>
      <c r="U1342" s="78"/>
      <c r="V1342" s="78"/>
      <c r="W1342" s="77"/>
    </row>
    <row r="1343">
      <c r="A1343" s="145"/>
      <c r="B1343" s="145"/>
      <c r="C1343" s="145"/>
      <c r="D1343" s="75"/>
      <c r="E1343" s="75"/>
      <c r="F1343" s="211"/>
      <c r="G1343" s="145"/>
      <c r="H1343" s="211"/>
      <c r="I1343" s="145"/>
      <c r="J1343" s="211"/>
      <c r="K1343" s="75"/>
      <c r="L1343" s="152"/>
      <c r="M1343" s="152"/>
      <c r="N1343" s="296"/>
      <c r="O1343" s="213"/>
      <c r="P1343" s="47"/>
      <c r="Q1343" s="47"/>
      <c r="R1343" s="47"/>
      <c r="S1343" s="193"/>
      <c r="T1343" s="77"/>
      <c r="U1343" s="78"/>
      <c r="V1343" s="78"/>
      <c r="W1343" s="77"/>
    </row>
    <row r="1344">
      <c r="A1344" s="145"/>
      <c r="B1344" s="145"/>
      <c r="C1344" s="145"/>
      <c r="D1344" s="75"/>
      <c r="E1344" s="75"/>
      <c r="F1344" s="211"/>
      <c r="G1344" s="145"/>
      <c r="H1344" s="211"/>
      <c r="I1344" s="145"/>
      <c r="J1344" s="211"/>
      <c r="K1344" s="75"/>
      <c r="L1344" s="152"/>
      <c r="M1344" s="152"/>
      <c r="N1344" s="296"/>
      <c r="O1344" s="213"/>
      <c r="P1344" s="47"/>
      <c r="Q1344" s="47"/>
      <c r="R1344" s="47"/>
      <c r="S1344" s="193"/>
      <c r="T1344" s="77"/>
      <c r="U1344" s="78"/>
      <c r="V1344" s="78"/>
      <c r="W1344" s="77"/>
    </row>
    <row r="1345">
      <c r="A1345" s="145"/>
      <c r="B1345" s="145"/>
      <c r="C1345" s="145"/>
      <c r="D1345" s="75"/>
      <c r="E1345" s="75"/>
      <c r="F1345" s="211"/>
      <c r="G1345" s="145"/>
      <c r="H1345" s="211"/>
      <c r="I1345" s="145"/>
      <c r="J1345" s="211"/>
      <c r="K1345" s="75"/>
      <c r="L1345" s="152"/>
      <c r="M1345" s="152"/>
      <c r="N1345" s="296"/>
      <c r="O1345" s="213"/>
      <c r="P1345" s="47"/>
      <c r="Q1345" s="47"/>
      <c r="R1345" s="47"/>
      <c r="S1345" s="193"/>
      <c r="T1345" s="77"/>
      <c r="U1345" s="78"/>
      <c r="V1345" s="78"/>
      <c r="W1345" s="77"/>
    </row>
    <row r="1346">
      <c r="A1346" s="145"/>
      <c r="B1346" s="145"/>
      <c r="C1346" s="145"/>
      <c r="D1346" s="75"/>
      <c r="E1346" s="75"/>
      <c r="F1346" s="211"/>
      <c r="G1346" s="145"/>
      <c r="H1346" s="211"/>
      <c r="I1346" s="145"/>
      <c r="J1346" s="211"/>
      <c r="K1346" s="75"/>
      <c r="L1346" s="152"/>
      <c r="M1346" s="152"/>
      <c r="N1346" s="296"/>
      <c r="O1346" s="213"/>
      <c r="P1346" s="47"/>
      <c r="Q1346" s="47"/>
      <c r="R1346" s="47"/>
      <c r="S1346" s="193"/>
      <c r="T1346" s="77"/>
      <c r="U1346" s="78"/>
      <c r="V1346" s="78"/>
      <c r="W1346" s="77"/>
    </row>
    <row r="1347">
      <c r="A1347" s="145"/>
      <c r="B1347" s="145"/>
      <c r="C1347" s="145"/>
      <c r="D1347" s="75"/>
      <c r="E1347" s="75"/>
      <c r="F1347" s="211"/>
      <c r="G1347" s="145"/>
      <c r="H1347" s="211"/>
      <c r="I1347" s="145"/>
      <c r="J1347" s="211"/>
      <c r="K1347" s="75"/>
      <c r="L1347" s="152"/>
      <c r="M1347" s="152"/>
      <c r="N1347" s="296"/>
      <c r="O1347" s="213"/>
      <c r="P1347" s="47"/>
      <c r="Q1347" s="47"/>
      <c r="R1347" s="47"/>
      <c r="S1347" s="193"/>
      <c r="T1347" s="77"/>
      <c r="U1347" s="78"/>
      <c r="V1347" s="78"/>
      <c r="W1347" s="77"/>
    </row>
    <row r="1348">
      <c r="A1348" s="145"/>
      <c r="B1348" s="145"/>
      <c r="C1348" s="145"/>
      <c r="D1348" s="75"/>
      <c r="E1348" s="75"/>
      <c r="F1348" s="211"/>
      <c r="G1348" s="145"/>
      <c r="H1348" s="211"/>
      <c r="I1348" s="145"/>
      <c r="J1348" s="211"/>
      <c r="K1348" s="75"/>
      <c r="L1348" s="152"/>
      <c r="M1348" s="152"/>
      <c r="N1348" s="296"/>
      <c r="O1348" s="213"/>
      <c r="P1348" s="47"/>
      <c r="Q1348" s="47"/>
      <c r="R1348" s="47"/>
      <c r="S1348" s="193"/>
      <c r="T1348" s="77"/>
      <c r="U1348" s="78"/>
      <c r="V1348" s="78"/>
      <c r="W1348" s="77"/>
    </row>
    <row r="1349">
      <c r="A1349" s="145"/>
      <c r="B1349" s="145"/>
      <c r="C1349" s="145"/>
      <c r="D1349" s="75"/>
      <c r="E1349" s="75"/>
      <c r="F1349" s="211"/>
      <c r="G1349" s="145"/>
      <c r="H1349" s="211"/>
      <c r="I1349" s="145"/>
      <c r="J1349" s="211"/>
      <c r="K1349" s="75"/>
      <c r="L1349" s="152"/>
      <c r="M1349" s="152"/>
      <c r="N1349" s="296"/>
      <c r="O1349" s="213"/>
      <c r="P1349" s="47"/>
      <c r="Q1349" s="47"/>
      <c r="R1349" s="47"/>
      <c r="S1349" s="193"/>
      <c r="T1349" s="77"/>
      <c r="U1349" s="78"/>
      <c r="V1349" s="78"/>
      <c r="W1349" s="77"/>
    </row>
    <row r="1350">
      <c r="A1350" s="145"/>
      <c r="B1350" s="145"/>
      <c r="C1350" s="145"/>
      <c r="D1350" s="75"/>
      <c r="E1350" s="75"/>
      <c r="F1350" s="211"/>
      <c r="G1350" s="145"/>
      <c r="H1350" s="211"/>
      <c r="I1350" s="145"/>
      <c r="J1350" s="211"/>
      <c r="K1350" s="75"/>
      <c r="L1350" s="152"/>
      <c r="M1350" s="152"/>
      <c r="N1350" s="296"/>
      <c r="O1350" s="213"/>
      <c r="P1350" s="47"/>
      <c r="Q1350" s="47"/>
      <c r="R1350" s="47"/>
      <c r="S1350" s="193"/>
      <c r="T1350" s="77"/>
      <c r="U1350" s="78"/>
      <c r="V1350" s="78"/>
      <c r="W1350" s="77"/>
    </row>
    <row r="1351">
      <c r="A1351" s="145"/>
      <c r="B1351" s="145"/>
      <c r="C1351" s="145"/>
      <c r="D1351" s="75"/>
      <c r="E1351" s="75"/>
      <c r="F1351" s="211"/>
      <c r="G1351" s="145"/>
      <c r="H1351" s="211"/>
      <c r="I1351" s="145"/>
      <c r="J1351" s="211"/>
      <c r="K1351" s="75"/>
      <c r="L1351" s="152"/>
      <c r="M1351" s="152"/>
      <c r="N1351" s="296"/>
      <c r="O1351" s="213"/>
      <c r="P1351" s="47"/>
      <c r="Q1351" s="47"/>
      <c r="R1351" s="47"/>
      <c r="S1351" s="193"/>
      <c r="T1351" s="77"/>
      <c r="U1351" s="78"/>
      <c r="V1351" s="78"/>
      <c r="W1351" s="77"/>
    </row>
    <row r="1352">
      <c r="A1352" s="145"/>
      <c r="B1352" s="145"/>
      <c r="C1352" s="145"/>
      <c r="D1352" s="75"/>
      <c r="E1352" s="75"/>
      <c r="F1352" s="211"/>
      <c r="G1352" s="145"/>
      <c r="H1352" s="211"/>
      <c r="I1352" s="145"/>
      <c r="J1352" s="211"/>
      <c r="K1352" s="75"/>
      <c r="L1352" s="152"/>
      <c r="M1352" s="152"/>
      <c r="N1352" s="296"/>
      <c r="O1352" s="213"/>
      <c r="P1352" s="47"/>
      <c r="Q1352" s="47"/>
      <c r="R1352" s="47"/>
      <c r="S1352" s="193"/>
      <c r="T1352" s="77"/>
      <c r="U1352" s="78"/>
      <c r="V1352" s="78"/>
      <c r="W1352" s="77"/>
    </row>
    <row r="1353">
      <c r="A1353" s="145"/>
      <c r="B1353" s="145"/>
      <c r="C1353" s="145"/>
      <c r="D1353" s="75"/>
      <c r="E1353" s="75"/>
      <c r="F1353" s="211"/>
      <c r="G1353" s="145"/>
      <c r="H1353" s="211"/>
      <c r="I1353" s="145"/>
      <c r="J1353" s="211"/>
      <c r="K1353" s="75"/>
      <c r="L1353" s="152"/>
      <c r="M1353" s="152"/>
      <c r="N1353" s="296"/>
      <c r="O1353" s="213"/>
      <c r="P1353" s="47"/>
      <c r="Q1353" s="47"/>
      <c r="R1353" s="47"/>
      <c r="S1353" s="193"/>
      <c r="T1353" s="77"/>
      <c r="U1353" s="78"/>
      <c r="V1353" s="78"/>
      <c r="W1353" s="77"/>
    </row>
    <row r="1354">
      <c r="A1354" s="145"/>
      <c r="B1354" s="145"/>
      <c r="C1354" s="145"/>
      <c r="D1354" s="75"/>
      <c r="E1354" s="75"/>
      <c r="F1354" s="211"/>
      <c r="G1354" s="145"/>
      <c r="H1354" s="211"/>
      <c r="I1354" s="145"/>
      <c r="J1354" s="211"/>
      <c r="K1354" s="75"/>
      <c r="L1354" s="152"/>
      <c r="M1354" s="152"/>
      <c r="N1354" s="296"/>
      <c r="O1354" s="213"/>
      <c r="P1354" s="47"/>
      <c r="Q1354" s="47"/>
      <c r="R1354" s="47"/>
      <c r="S1354" s="193"/>
      <c r="T1354" s="77"/>
      <c r="U1354" s="78"/>
      <c r="V1354" s="78"/>
      <c r="W1354" s="77"/>
    </row>
    <row r="1355">
      <c r="A1355" s="145"/>
      <c r="B1355" s="145"/>
      <c r="C1355" s="145"/>
      <c r="D1355" s="75"/>
      <c r="E1355" s="75"/>
      <c r="F1355" s="211"/>
      <c r="G1355" s="145"/>
      <c r="H1355" s="211"/>
      <c r="I1355" s="145"/>
      <c r="J1355" s="211"/>
      <c r="K1355" s="75"/>
      <c r="L1355" s="152"/>
      <c r="M1355" s="152"/>
      <c r="N1355" s="296"/>
      <c r="O1355" s="213"/>
      <c r="P1355" s="47"/>
      <c r="Q1355" s="47"/>
      <c r="R1355" s="47"/>
      <c r="S1355" s="193"/>
      <c r="T1355" s="77"/>
      <c r="U1355" s="78"/>
      <c r="V1355" s="78"/>
      <c r="W1355" s="77"/>
    </row>
    <row r="1356">
      <c r="A1356" s="145"/>
      <c r="B1356" s="145"/>
      <c r="C1356" s="145"/>
      <c r="D1356" s="75"/>
      <c r="E1356" s="75"/>
      <c r="F1356" s="211"/>
      <c r="G1356" s="145"/>
      <c r="H1356" s="211"/>
      <c r="I1356" s="145"/>
      <c r="J1356" s="211"/>
      <c r="K1356" s="75"/>
      <c r="L1356" s="152"/>
      <c r="M1356" s="152"/>
      <c r="N1356" s="296"/>
      <c r="O1356" s="213"/>
      <c r="P1356" s="47"/>
      <c r="Q1356" s="47"/>
      <c r="R1356" s="47"/>
      <c r="S1356" s="193"/>
      <c r="T1356" s="77"/>
      <c r="U1356" s="78"/>
      <c r="V1356" s="78"/>
      <c r="W1356" s="77"/>
    </row>
    <row r="1357">
      <c r="A1357" s="145"/>
      <c r="B1357" s="145"/>
      <c r="C1357" s="145"/>
      <c r="D1357" s="75"/>
      <c r="E1357" s="75"/>
      <c r="F1357" s="211"/>
      <c r="G1357" s="145"/>
      <c r="H1357" s="211"/>
      <c r="I1357" s="145"/>
      <c r="J1357" s="211"/>
      <c r="K1357" s="75"/>
      <c r="L1357" s="152"/>
      <c r="M1357" s="152"/>
      <c r="N1357" s="296"/>
      <c r="O1357" s="213"/>
      <c r="P1357" s="47"/>
      <c r="Q1357" s="47"/>
      <c r="R1357" s="47"/>
      <c r="S1357" s="193"/>
      <c r="T1357" s="77"/>
      <c r="U1357" s="78"/>
      <c r="V1357" s="78"/>
      <c r="W1357" s="77"/>
    </row>
    <row r="1358">
      <c r="A1358" s="145"/>
      <c r="B1358" s="145"/>
      <c r="C1358" s="145"/>
      <c r="D1358" s="75"/>
      <c r="E1358" s="75"/>
      <c r="F1358" s="211"/>
      <c r="G1358" s="145"/>
      <c r="H1358" s="211"/>
      <c r="I1358" s="145"/>
      <c r="J1358" s="211"/>
      <c r="K1358" s="75"/>
      <c r="L1358" s="152"/>
      <c r="M1358" s="152"/>
      <c r="N1358" s="296"/>
      <c r="O1358" s="213"/>
      <c r="P1358" s="47"/>
      <c r="Q1358" s="47"/>
      <c r="R1358" s="47"/>
      <c r="S1358" s="193"/>
      <c r="T1358" s="77"/>
      <c r="U1358" s="78"/>
      <c r="V1358" s="78"/>
      <c r="W1358" s="77"/>
    </row>
    <row r="1359">
      <c r="A1359" s="145"/>
      <c r="B1359" s="145"/>
      <c r="C1359" s="145"/>
      <c r="D1359" s="75"/>
      <c r="E1359" s="75"/>
      <c r="F1359" s="211"/>
      <c r="G1359" s="145"/>
      <c r="H1359" s="211"/>
      <c r="I1359" s="145"/>
      <c r="J1359" s="211"/>
      <c r="K1359" s="75"/>
      <c r="L1359" s="152"/>
      <c r="M1359" s="152"/>
      <c r="N1359" s="296"/>
      <c r="O1359" s="213"/>
      <c r="P1359" s="47"/>
      <c r="Q1359" s="47"/>
      <c r="R1359" s="47"/>
      <c r="S1359" s="193"/>
      <c r="T1359" s="77"/>
      <c r="U1359" s="78"/>
      <c r="V1359" s="78"/>
      <c r="W1359" s="77"/>
    </row>
    <row r="1360">
      <c r="A1360" s="145"/>
      <c r="B1360" s="145"/>
      <c r="C1360" s="145"/>
      <c r="D1360" s="75"/>
      <c r="E1360" s="75"/>
      <c r="F1360" s="211"/>
      <c r="G1360" s="145"/>
      <c r="H1360" s="211"/>
      <c r="I1360" s="145"/>
      <c r="J1360" s="211"/>
      <c r="K1360" s="75"/>
      <c r="L1360" s="152"/>
      <c r="M1360" s="152"/>
      <c r="N1360" s="296"/>
      <c r="O1360" s="213"/>
      <c r="P1360" s="47"/>
      <c r="Q1360" s="47"/>
      <c r="R1360" s="47"/>
      <c r="S1360" s="193"/>
      <c r="T1360" s="77"/>
      <c r="U1360" s="78"/>
      <c r="V1360" s="78"/>
      <c r="W1360" s="77"/>
    </row>
    <row r="1361">
      <c r="A1361" s="145"/>
      <c r="B1361" s="145"/>
      <c r="C1361" s="145"/>
      <c r="D1361" s="75"/>
      <c r="E1361" s="75"/>
      <c r="F1361" s="211"/>
      <c r="G1361" s="145"/>
      <c r="H1361" s="211"/>
      <c r="I1361" s="145"/>
      <c r="J1361" s="211"/>
      <c r="K1361" s="75"/>
      <c r="L1361" s="152"/>
      <c r="M1361" s="152"/>
      <c r="N1361" s="296"/>
      <c r="O1361" s="213"/>
      <c r="P1361" s="47"/>
      <c r="Q1361" s="47"/>
      <c r="R1361" s="47"/>
      <c r="S1361" s="193"/>
      <c r="T1361" s="77"/>
      <c r="U1361" s="78"/>
      <c r="V1361" s="78"/>
      <c r="W1361" s="77"/>
    </row>
    <row r="1362">
      <c r="A1362" s="145"/>
      <c r="B1362" s="145"/>
      <c r="C1362" s="145"/>
      <c r="D1362" s="75"/>
      <c r="E1362" s="75"/>
      <c r="F1362" s="211"/>
      <c r="G1362" s="145"/>
      <c r="H1362" s="211"/>
      <c r="I1362" s="145"/>
      <c r="J1362" s="211"/>
      <c r="K1362" s="75"/>
      <c r="L1362" s="152"/>
      <c r="M1362" s="152"/>
      <c r="N1362" s="296"/>
      <c r="O1362" s="213"/>
      <c r="P1362" s="47"/>
      <c r="Q1362" s="47"/>
      <c r="R1362" s="47"/>
      <c r="S1362" s="193"/>
      <c r="T1362" s="77"/>
      <c r="U1362" s="78"/>
      <c r="V1362" s="78"/>
      <c r="W1362" s="77"/>
    </row>
    <row r="1363">
      <c r="A1363" s="145"/>
      <c r="B1363" s="145"/>
      <c r="C1363" s="145"/>
      <c r="D1363" s="75"/>
      <c r="E1363" s="75"/>
      <c r="F1363" s="211"/>
      <c r="G1363" s="145"/>
      <c r="H1363" s="211"/>
      <c r="I1363" s="145"/>
      <c r="J1363" s="211"/>
      <c r="K1363" s="75"/>
      <c r="L1363" s="152"/>
      <c r="M1363" s="152"/>
      <c r="N1363" s="296"/>
      <c r="O1363" s="213"/>
      <c r="P1363" s="47"/>
      <c r="Q1363" s="47"/>
      <c r="R1363" s="47"/>
      <c r="S1363" s="193"/>
      <c r="T1363" s="77"/>
      <c r="U1363" s="78"/>
      <c r="V1363" s="78"/>
      <c r="W1363" s="77"/>
    </row>
    <row r="1364">
      <c r="A1364" s="145"/>
      <c r="B1364" s="145"/>
      <c r="C1364" s="145"/>
      <c r="D1364" s="75"/>
      <c r="E1364" s="75"/>
      <c r="F1364" s="211"/>
      <c r="G1364" s="145"/>
      <c r="H1364" s="211"/>
      <c r="I1364" s="145"/>
      <c r="J1364" s="211"/>
      <c r="K1364" s="75"/>
      <c r="L1364" s="152"/>
      <c r="M1364" s="152"/>
      <c r="N1364" s="296"/>
      <c r="O1364" s="213"/>
      <c r="P1364" s="47"/>
      <c r="Q1364" s="47"/>
      <c r="R1364" s="47"/>
      <c r="S1364" s="193"/>
      <c r="T1364" s="77"/>
      <c r="U1364" s="78"/>
      <c r="V1364" s="78"/>
      <c r="W1364" s="77"/>
    </row>
    <row r="1365">
      <c r="A1365" s="145"/>
      <c r="B1365" s="145"/>
      <c r="C1365" s="145"/>
      <c r="D1365" s="75"/>
      <c r="E1365" s="75"/>
      <c r="F1365" s="211"/>
      <c r="G1365" s="145"/>
      <c r="H1365" s="211"/>
      <c r="I1365" s="145"/>
      <c r="J1365" s="211"/>
      <c r="K1365" s="75"/>
      <c r="L1365" s="152"/>
      <c r="M1365" s="152"/>
      <c r="N1365" s="296"/>
      <c r="O1365" s="213"/>
      <c r="P1365" s="47"/>
      <c r="Q1365" s="47"/>
      <c r="R1365" s="47"/>
      <c r="S1365" s="193"/>
      <c r="T1365" s="77"/>
      <c r="U1365" s="78"/>
      <c r="V1365" s="78"/>
      <c r="W1365" s="77"/>
    </row>
    <row r="1366">
      <c r="A1366" s="145"/>
      <c r="B1366" s="145"/>
      <c r="C1366" s="145"/>
      <c r="D1366" s="75"/>
      <c r="E1366" s="75"/>
      <c r="F1366" s="211"/>
      <c r="G1366" s="145"/>
      <c r="H1366" s="211"/>
      <c r="I1366" s="145"/>
      <c r="J1366" s="211"/>
      <c r="K1366" s="75"/>
      <c r="L1366" s="152"/>
      <c r="M1366" s="152"/>
      <c r="N1366" s="296"/>
      <c r="O1366" s="213"/>
      <c r="P1366" s="47"/>
      <c r="Q1366" s="47"/>
      <c r="R1366" s="47"/>
      <c r="S1366" s="193"/>
      <c r="T1366" s="77"/>
      <c r="U1366" s="78"/>
      <c r="V1366" s="78"/>
      <c r="W1366" s="77"/>
    </row>
    <row r="1367">
      <c r="A1367" s="145"/>
      <c r="B1367" s="145"/>
      <c r="C1367" s="145"/>
      <c r="D1367" s="75"/>
      <c r="E1367" s="75"/>
      <c r="F1367" s="211"/>
      <c r="G1367" s="145"/>
      <c r="H1367" s="211"/>
      <c r="I1367" s="145"/>
      <c r="J1367" s="211"/>
      <c r="K1367" s="75"/>
      <c r="L1367" s="152"/>
      <c r="M1367" s="152"/>
      <c r="N1367" s="296"/>
      <c r="O1367" s="213"/>
      <c r="P1367" s="47"/>
      <c r="Q1367" s="47"/>
      <c r="R1367" s="47"/>
      <c r="S1367" s="193"/>
      <c r="T1367" s="77"/>
      <c r="U1367" s="78"/>
      <c r="V1367" s="78"/>
      <c r="W1367" s="77"/>
    </row>
    <row r="1368">
      <c r="A1368" s="145"/>
      <c r="B1368" s="145"/>
      <c r="C1368" s="145"/>
      <c r="D1368" s="75"/>
      <c r="E1368" s="75"/>
      <c r="F1368" s="211"/>
      <c r="G1368" s="145"/>
      <c r="H1368" s="211"/>
      <c r="I1368" s="145"/>
      <c r="J1368" s="211"/>
      <c r="K1368" s="75"/>
      <c r="L1368" s="152"/>
      <c r="M1368" s="152"/>
      <c r="N1368" s="296"/>
      <c r="O1368" s="213"/>
      <c r="P1368" s="47"/>
      <c r="Q1368" s="47"/>
      <c r="R1368" s="47"/>
      <c r="S1368" s="193"/>
      <c r="T1368" s="77"/>
      <c r="U1368" s="78"/>
      <c r="V1368" s="78"/>
      <c r="W1368" s="77"/>
    </row>
    <row r="1369">
      <c r="A1369" s="145"/>
      <c r="B1369" s="145"/>
      <c r="C1369" s="145"/>
      <c r="D1369" s="75"/>
      <c r="E1369" s="75"/>
      <c r="F1369" s="211"/>
      <c r="G1369" s="145"/>
      <c r="H1369" s="211"/>
      <c r="I1369" s="145"/>
      <c r="J1369" s="211"/>
      <c r="K1369" s="75"/>
      <c r="L1369" s="152"/>
      <c r="M1369" s="152"/>
      <c r="N1369" s="296"/>
      <c r="O1369" s="213"/>
      <c r="P1369" s="47"/>
      <c r="Q1369" s="47"/>
      <c r="R1369" s="47"/>
      <c r="S1369" s="193"/>
      <c r="T1369" s="77"/>
      <c r="U1369" s="78"/>
      <c r="V1369" s="78"/>
      <c r="W1369" s="77"/>
    </row>
    <row r="1370">
      <c r="A1370" s="145"/>
      <c r="B1370" s="145"/>
      <c r="C1370" s="145"/>
      <c r="D1370" s="75"/>
      <c r="E1370" s="75"/>
      <c r="F1370" s="211"/>
      <c r="G1370" s="145"/>
      <c r="H1370" s="211"/>
      <c r="I1370" s="145"/>
      <c r="J1370" s="211"/>
      <c r="K1370" s="75"/>
      <c r="L1370" s="152"/>
      <c r="M1370" s="152"/>
      <c r="N1370" s="296"/>
      <c r="O1370" s="213"/>
      <c r="P1370" s="47"/>
      <c r="Q1370" s="47"/>
      <c r="R1370" s="47"/>
      <c r="S1370" s="193"/>
      <c r="T1370" s="77"/>
      <c r="U1370" s="78"/>
      <c r="V1370" s="78"/>
      <c r="W1370" s="77"/>
    </row>
    <row r="1371">
      <c r="A1371" s="145"/>
      <c r="B1371" s="145"/>
      <c r="C1371" s="145"/>
      <c r="D1371" s="75"/>
      <c r="E1371" s="75"/>
      <c r="F1371" s="211"/>
      <c r="G1371" s="145"/>
      <c r="H1371" s="211"/>
      <c r="I1371" s="145"/>
      <c r="J1371" s="211"/>
      <c r="K1371" s="75"/>
      <c r="L1371" s="152"/>
      <c r="M1371" s="152"/>
      <c r="N1371" s="296"/>
      <c r="O1371" s="213"/>
      <c r="P1371" s="47"/>
      <c r="Q1371" s="47"/>
      <c r="R1371" s="47"/>
      <c r="S1371" s="193"/>
      <c r="T1371" s="77"/>
      <c r="U1371" s="78"/>
      <c r="V1371" s="78"/>
      <c r="W1371" s="77"/>
    </row>
    <row r="1372">
      <c r="A1372" s="145"/>
      <c r="B1372" s="145"/>
      <c r="C1372" s="145"/>
      <c r="D1372" s="75"/>
      <c r="E1372" s="75"/>
      <c r="F1372" s="211"/>
      <c r="G1372" s="145"/>
      <c r="H1372" s="211"/>
      <c r="I1372" s="145"/>
      <c r="J1372" s="211"/>
      <c r="K1372" s="75"/>
      <c r="L1372" s="152"/>
      <c r="M1372" s="152"/>
      <c r="N1372" s="296"/>
      <c r="O1372" s="213"/>
      <c r="P1372" s="47"/>
      <c r="Q1372" s="47"/>
      <c r="R1372" s="47"/>
      <c r="S1372" s="193"/>
      <c r="T1372" s="77"/>
      <c r="U1372" s="78"/>
      <c r="V1372" s="78"/>
      <c r="W1372" s="77"/>
    </row>
    <row r="1373">
      <c r="A1373" s="145"/>
      <c r="B1373" s="145"/>
      <c r="C1373" s="145"/>
      <c r="D1373" s="75"/>
      <c r="E1373" s="75"/>
      <c r="F1373" s="211"/>
      <c r="G1373" s="145"/>
      <c r="H1373" s="211"/>
      <c r="I1373" s="145"/>
      <c r="J1373" s="211"/>
      <c r="K1373" s="75"/>
      <c r="L1373" s="152"/>
      <c r="M1373" s="152"/>
      <c r="N1373" s="296"/>
      <c r="O1373" s="213"/>
      <c r="P1373" s="47"/>
      <c r="Q1373" s="47"/>
      <c r="R1373" s="47"/>
      <c r="S1373" s="193"/>
      <c r="T1373" s="77"/>
      <c r="U1373" s="78"/>
      <c r="V1373" s="78"/>
      <c r="W1373" s="77"/>
    </row>
    <row r="1374">
      <c r="A1374" s="145"/>
      <c r="B1374" s="145"/>
      <c r="C1374" s="145"/>
      <c r="D1374" s="75"/>
      <c r="E1374" s="75"/>
      <c r="F1374" s="211"/>
      <c r="G1374" s="145"/>
      <c r="H1374" s="211"/>
      <c r="I1374" s="145"/>
      <c r="J1374" s="211"/>
      <c r="K1374" s="75"/>
      <c r="L1374" s="152"/>
      <c r="M1374" s="152"/>
      <c r="N1374" s="296"/>
      <c r="O1374" s="213"/>
      <c r="P1374" s="47"/>
      <c r="Q1374" s="47"/>
      <c r="R1374" s="47"/>
      <c r="S1374" s="193"/>
      <c r="T1374" s="77"/>
      <c r="U1374" s="78"/>
      <c r="V1374" s="78"/>
      <c r="W1374" s="77"/>
    </row>
    <row r="1375">
      <c r="A1375" s="145"/>
      <c r="B1375" s="145"/>
      <c r="C1375" s="145"/>
      <c r="D1375" s="75"/>
      <c r="E1375" s="75"/>
      <c r="F1375" s="211"/>
      <c r="G1375" s="145"/>
      <c r="H1375" s="211"/>
      <c r="I1375" s="145"/>
      <c r="J1375" s="211"/>
      <c r="K1375" s="75"/>
      <c r="L1375" s="152"/>
      <c r="M1375" s="152"/>
      <c r="N1375" s="296"/>
      <c r="O1375" s="213"/>
      <c r="P1375" s="47"/>
      <c r="Q1375" s="47"/>
      <c r="R1375" s="47"/>
      <c r="S1375" s="193"/>
      <c r="T1375" s="77"/>
      <c r="U1375" s="78"/>
      <c r="V1375" s="78"/>
      <c r="W1375" s="77"/>
    </row>
    <row r="1376">
      <c r="A1376" s="145"/>
      <c r="B1376" s="145"/>
      <c r="C1376" s="145"/>
      <c r="D1376" s="75"/>
      <c r="E1376" s="75"/>
      <c r="F1376" s="211"/>
      <c r="G1376" s="145"/>
      <c r="H1376" s="211"/>
      <c r="I1376" s="145"/>
      <c r="J1376" s="211"/>
      <c r="K1376" s="75"/>
      <c r="L1376" s="152"/>
      <c r="M1376" s="152"/>
      <c r="N1376" s="296"/>
      <c r="O1376" s="213"/>
      <c r="P1376" s="47"/>
      <c r="Q1376" s="47"/>
      <c r="R1376" s="47"/>
      <c r="S1376" s="193"/>
      <c r="T1376" s="77"/>
      <c r="U1376" s="78"/>
      <c r="V1376" s="78"/>
      <c r="W1376" s="77"/>
    </row>
    <row r="1377">
      <c r="A1377" s="145"/>
      <c r="B1377" s="145"/>
      <c r="C1377" s="145"/>
      <c r="D1377" s="75"/>
      <c r="E1377" s="75"/>
      <c r="F1377" s="211"/>
      <c r="G1377" s="145"/>
      <c r="H1377" s="211"/>
      <c r="I1377" s="145"/>
      <c r="J1377" s="211"/>
      <c r="K1377" s="75"/>
      <c r="L1377" s="152"/>
      <c r="M1377" s="152"/>
      <c r="N1377" s="296"/>
      <c r="O1377" s="213"/>
      <c r="P1377" s="47"/>
      <c r="Q1377" s="47"/>
      <c r="R1377" s="47"/>
      <c r="S1377" s="193"/>
      <c r="T1377" s="77"/>
      <c r="U1377" s="78"/>
      <c r="V1377" s="78"/>
      <c r="W1377" s="77"/>
    </row>
    <row r="1378">
      <c r="A1378" s="145"/>
      <c r="B1378" s="145"/>
      <c r="C1378" s="145"/>
      <c r="D1378" s="75"/>
      <c r="E1378" s="75"/>
      <c r="F1378" s="211"/>
      <c r="G1378" s="145"/>
      <c r="H1378" s="211"/>
      <c r="I1378" s="145"/>
      <c r="J1378" s="211"/>
      <c r="K1378" s="75"/>
      <c r="L1378" s="152"/>
      <c r="M1378" s="152"/>
      <c r="N1378" s="296"/>
      <c r="O1378" s="213"/>
      <c r="P1378" s="47"/>
      <c r="Q1378" s="47"/>
      <c r="R1378" s="47"/>
      <c r="S1378" s="193"/>
      <c r="T1378" s="77"/>
      <c r="U1378" s="78"/>
      <c r="V1378" s="78"/>
      <c r="W1378" s="77"/>
    </row>
    <row r="1379">
      <c r="A1379" s="145"/>
      <c r="B1379" s="145"/>
      <c r="C1379" s="145"/>
      <c r="D1379" s="75"/>
      <c r="E1379" s="75"/>
      <c r="F1379" s="211"/>
      <c r="G1379" s="145"/>
      <c r="H1379" s="211"/>
      <c r="I1379" s="145"/>
      <c r="J1379" s="211"/>
      <c r="K1379" s="75"/>
      <c r="L1379" s="152"/>
      <c r="M1379" s="152"/>
      <c r="N1379" s="296"/>
      <c r="O1379" s="213"/>
      <c r="P1379" s="47"/>
      <c r="Q1379" s="47"/>
      <c r="R1379" s="47"/>
      <c r="S1379" s="193"/>
      <c r="T1379" s="77"/>
      <c r="U1379" s="78"/>
      <c r="V1379" s="78"/>
      <c r="W1379" s="77"/>
    </row>
    <row r="1380">
      <c r="A1380" s="145"/>
      <c r="B1380" s="145"/>
      <c r="C1380" s="145"/>
      <c r="D1380" s="75"/>
      <c r="E1380" s="75"/>
      <c r="F1380" s="211"/>
      <c r="G1380" s="145"/>
      <c r="H1380" s="211"/>
      <c r="I1380" s="145"/>
      <c r="J1380" s="211"/>
      <c r="K1380" s="75"/>
      <c r="L1380" s="152"/>
      <c r="M1380" s="152"/>
      <c r="N1380" s="296"/>
      <c r="O1380" s="213"/>
      <c r="P1380" s="47"/>
      <c r="Q1380" s="47"/>
      <c r="R1380" s="47"/>
      <c r="S1380" s="193"/>
      <c r="T1380" s="77"/>
      <c r="U1380" s="78"/>
      <c r="V1380" s="78"/>
      <c r="W1380" s="77"/>
    </row>
    <row r="1381">
      <c r="A1381" s="145"/>
      <c r="B1381" s="145"/>
      <c r="C1381" s="145"/>
      <c r="D1381" s="75"/>
      <c r="E1381" s="75"/>
      <c r="F1381" s="211"/>
      <c r="G1381" s="145"/>
      <c r="H1381" s="211"/>
      <c r="I1381" s="145"/>
      <c r="J1381" s="211"/>
      <c r="K1381" s="75"/>
      <c r="L1381" s="152"/>
      <c r="M1381" s="152"/>
      <c r="N1381" s="296"/>
      <c r="O1381" s="213"/>
      <c r="P1381" s="47"/>
      <c r="Q1381" s="47"/>
      <c r="R1381" s="47"/>
      <c r="S1381" s="193"/>
      <c r="T1381" s="77"/>
      <c r="U1381" s="78"/>
      <c r="V1381" s="78"/>
      <c r="W1381" s="77"/>
    </row>
    <row r="1382">
      <c r="A1382" s="145"/>
      <c r="B1382" s="145"/>
      <c r="C1382" s="145"/>
      <c r="D1382" s="75"/>
      <c r="E1382" s="75"/>
      <c r="F1382" s="211"/>
      <c r="G1382" s="145"/>
      <c r="H1382" s="211"/>
      <c r="I1382" s="145"/>
      <c r="J1382" s="211"/>
      <c r="K1382" s="75"/>
      <c r="L1382" s="152"/>
      <c r="M1382" s="152"/>
      <c r="N1382" s="296"/>
      <c r="O1382" s="213"/>
      <c r="P1382" s="47"/>
      <c r="Q1382" s="47"/>
      <c r="R1382" s="47"/>
      <c r="S1382" s="193"/>
      <c r="T1382" s="77"/>
      <c r="U1382" s="78"/>
      <c r="V1382" s="78"/>
      <c r="W1382" s="77"/>
    </row>
    <row r="1383">
      <c r="A1383" s="145"/>
      <c r="B1383" s="145"/>
      <c r="C1383" s="145"/>
      <c r="D1383" s="75"/>
      <c r="E1383" s="75"/>
      <c r="F1383" s="211"/>
      <c r="G1383" s="145"/>
      <c r="H1383" s="211"/>
      <c r="I1383" s="145"/>
      <c r="J1383" s="211"/>
      <c r="K1383" s="75"/>
      <c r="L1383" s="152"/>
      <c r="M1383" s="152"/>
      <c r="N1383" s="296"/>
      <c r="O1383" s="213"/>
      <c r="P1383" s="47"/>
      <c r="Q1383" s="47"/>
      <c r="R1383" s="47"/>
      <c r="S1383" s="193"/>
      <c r="T1383" s="77"/>
      <c r="U1383" s="78"/>
      <c r="V1383" s="78"/>
      <c r="W1383" s="77"/>
    </row>
    <row r="1384">
      <c r="A1384" s="145"/>
      <c r="B1384" s="145"/>
      <c r="C1384" s="145"/>
      <c r="D1384" s="75"/>
      <c r="E1384" s="75"/>
      <c r="F1384" s="211"/>
      <c r="G1384" s="145"/>
      <c r="H1384" s="211"/>
      <c r="I1384" s="145"/>
      <c r="J1384" s="211"/>
      <c r="K1384" s="75"/>
      <c r="L1384" s="152"/>
      <c r="M1384" s="152"/>
      <c r="N1384" s="296"/>
      <c r="O1384" s="213"/>
      <c r="P1384" s="47"/>
      <c r="Q1384" s="47"/>
      <c r="R1384" s="47"/>
      <c r="S1384" s="193"/>
      <c r="T1384" s="77"/>
      <c r="U1384" s="78"/>
      <c r="V1384" s="78"/>
      <c r="W1384" s="77"/>
    </row>
    <row r="1385">
      <c r="A1385" s="145"/>
      <c r="B1385" s="145"/>
      <c r="C1385" s="145"/>
      <c r="D1385" s="75"/>
      <c r="E1385" s="75"/>
      <c r="F1385" s="211"/>
      <c r="G1385" s="145"/>
      <c r="H1385" s="211"/>
      <c r="I1385" s="145"/>
      <c r="J1385" s="211"/>
      <c r="K1385" s="75"/>
      <c r="L1385" s="152"/>
      <c r="M1385" s="152"/>
      <c r="N1385" s="296"/>
      <c r="O1385" s="213"/>
      <c r="P1385" s="47"/>
      <c r="Q1385" s="47"/>
      <c r="R1385" s="47"/>
      <c r="S1385" s="193"/>
      <c r="T1385" s="77"/>
      <c r="U1385" s="78"/>
      <c r="V1385" s="78"/>
      <c r="W1385" s="77"/>
    </row>
    <row r="1386">
      <c r="A1386" s="145"/>
      <c r="B1386" s="145"/>
      <c r="C1386" s="145"/>
      <c r="D1386" s="75"/>
      <c r="E1386" s="75"/>
      <c r="F1386" s="211"/>
      <c r="G1386" s="145"/>
      <c r="H1386" s="211"/>
      <c r="I1386" s="145"/>
      <c r="J1386" s="211"/>
      <c r="K1386" s="75"/>
      <c r="L1386" s="152"/>
      <c r="M1386" s="152"/>
      <c r="N1386" s="296"/>
      <c r="O1386" s="213"/>
      <c r="P1386" s="47"/>
      <c r="Q1386" s="47"/>
      <c r="R1386" s="47"/>
      <c r="S1386" s="193"/>
      <c r="T1386" s="77"/>
      <c r="U1386" s="78"/>
      <c r="V1386" s="78"/>
      <c r="W1386" s="77"/>
    </row>
    <row r="1387">
      <c r="A1387" s="145"/>
      <c r="B1387" s="145"/>
      <c r="C1387" s="145"/>
      <c r="D1387" s="75"/>
      <c r="E1387" s="75"/>
      <c r="F1387" s="211"/>
      <c r="G1387" s="145"/>
      <c r="H1387" s="211"/>
      <c r="I1387" s="145"/>
      <c r="J1387" s="211"/>
      <c r="K1387" s="75"/>
      <c r="L1387" s="152"/>
      <c r="M1387" s="152"/>
      <c r="N1387" s="296"/>
      <c r="O1387" s="213"/>
      <c r="P1387" s="47"/>
      <c r="Q1387" s="47"/>
      <c r="R1387" s="47"/>
      <c r="S1387" s="193"/>
      <c r="T1387" s="77"/>
      <c r="U1387" s="78"/>
      <c r="V1387" s="78"/>
      <c r="W1387" s="77"/>
    </row>
    <row r="1388">
      <c r="A1388" s="145"/>
      <c r="B1388" s="145"/>
      <c r="C1388" s="145"/>
      <c r="D1388" s="75"/>
      <c r="E1388" s="75"/>
      <c r="F1388" s="211"/>
      <c r="G1388" s="145"/>
      <c r="H1388" s="211"/>
      <c r="I1388" s="145"/>
      <c r="J1388" s="211"/>
      <c r="K1388" s="75"/>
      <c r="L1388" s="152"/>
      <c r="M1388" s="152"/>
      <c r="N1388" s="296"/>
      <c r="O1388" s="213"/>
      <c r="P1388" s="47"/>
      <c r="Q1388" s="47"/>
      <c r="R1388" s="47"/>
      <c r="S1388" s="193"/>
      <c r="T1388" s="77"/>
      <c r="U1388" s="78"/>
      <c r="V1388" s="78"/>
      <c r="W1388" s="77"/>
    </row>
    <row r="1389">
      <c r="A1389" s="145"/>
      <c r="B1389" s="145"/>
      <c r="C1389" s="145"/>
      <c r="D1389" s="75"/>
      <c r="E1389" s="75"/>
      <c r="F1389" s="211"/>
      <c r="G1389" s="145"/>
      <c r="H1389" s="211"/>
      <c r="I1389" s="145"/>
      <c r="J1389" s="211"/>
      <c r="K1389" s="75"/>
      <c r="L1389" s="152"/>
      <c r="M1389" s="152"/>
      <c r="N1389" s="296"/>
      <c r="O1389" s="213"/>
      <c r="P1389" s="47"/>
      <c r="Q1389" s="47"/>
      <c r="R1389" s="47"/>
      <c r="S1389" s="193"/>
      <c r="T1389" s="77"/>
      <c r="U1389" s="78"/>
      <c r="V1389" s="78"/>
      <c r="W1389" s="77"/>
    </row>
    <row r="1390">
      <c r="A1390" s="145"/>
      <c r="B1390" s="145"/>
      <c r="C1390" s="145"/>
      <c r="D1390" s="75"/>
      <c r="E1390" s="75"/>
      <c r="F1390" s="211"/>
      <c r="G1390" s="145"/>
      <c r="H1390" s="211"/>
      <c r="I1390" s="145"/>
      <c r="J1390" s="211"/>
      <c r="K1390" s="75"/>
      <c r="L1390" s="152"/>
      <c r="M1390" s="152"/>
      <c r="N1390" s="296"/>
      <c r="O1390" s="213"/>
      <c r="P1390" s="47"/>
      <c r="Q1390" s="47"/>
      <c r="R1390" s="47"/>
      <c r="S1390" s="193"/>
      <c r="T1390" s="77"/>
      <c r="U1390" s="78"/>
      <c r="V1390" s="78"/>
      <c r="W1390" s="77"/>
    </row>
    <row r="1391">
      <c r="A1391" s="145"/>
      <c r="B1391" s="145"/>
      <c r="C1391" s="145"/>
      <c r="D1391" s="75"/>
      <c r="E1391" s="75"/>
      <c r="F1391" s="211"/>
      <c r="G1391" s="145"/>
      <c r="H1391" s="211"/>
      <c r="I1391" s="145"/>
      <c r="J1391" s="211"/>
      <c r="K1391" s="75"/>
      <c r="L1391" s="152"/>
      <c r="M1391" s="152"/>
      <c r="N1391" s="296"/>
      <c r="O1391" s="213"/>
      <c r="P1391" s="47"/>
      <c r="Q1391" s="47"/>
      <c r="R1391" s="47"/>
      <c r="S1391" s="193"/>
      <c r="T1391" s="77"/>
      <c r="U1391" s="78"/>
      <c r="V1391" s="78"/>
      <c r="W1391" s="77"/>
    </row>
    <row r="1392">
      <c r="A1392" s="145"/>
      <c r="B1392" s="145"/>
      <c r="C1392" s="145"/>
      <c r="D1392" s="75"/>
      <c r="E1392" s="75"/>
      <c r="F1392" s="211"/>
      <c r="G1392" s="145"/>
      <c r="H1392" s="211"/>
      <c r="I1392" s="145"/>
      <c r="J1392" s="211"/>
      <c r="K1392" s="75"/>
      <c r="L1392" s="152"/>
      <c r="M1392" s="152"/>
      <c r="N1392" s="296"/>
      <c r="O1392" s="213"/>
      <c r="P1392" s="47"/>
      <c r="Q1392" s="47"/>
      <c r="R1392" s="47"/>
      <c r="S1392" s="193"/>
      <c r="T1392" s="77"/>
      <c r="U1392" s="78"/>
      <c r="V1392" s="78"/>
      <c r="W1392" s="77"/>
    </row>
    <row r="1393">
      <c r="A1393" s="145"/>
      <c r="B1393" s="145"/>
      <c r="C1393" s="145"/>
      <c r="D1393" s="75"/>
      <c r="E1393" s="75"/>
      <c r="F1393" s="211"/>
      <c r="G1393" s="145"/>
      <c r="H1393" s="211"/>
      <c r="I1393" s="145"/>
      <c r="J1393" s="211"/>
      <c r="K1393" s="75"/>
      <c r="L1393" s="152"/>
      <c r="M1393" s="152"/>
      <c r="N1393" s="296"/>
      <c r="O1393" s="213"/>
      <c r="P1393" s="47"/>
      <c r="Q1393" s="47"/>
      <c r="R1393" s="47"/>
      <c r="S1393" s="193"/>
      <c r="T1393" s="77"/>
      <c r="U1393" s="78"/>
      <c r="V1393" s="78"/>
      <c r="W1393" s="77"/>
    </row>
    <row r="1394">
      <c r="A1394" s="145"/>
      <c r="B1394" s="145"/>
      <c r="C1394" s="145"/>
      <c r="D1394" s="75"/>
      <c r="E1394" s="75"/>
      <c r="F1394" s="211"/>
      <c r="G1394" s="145"/>
      <c r="H1394" s="211"/>
      <c r="I1394" s="145"/>
      <c r="J1394" s="211"/>
      <c r="K1394" s="75"/>
      <c r="L1394" s="152"/>
      <c r="M1394" s="152"/>
      <c r="N1394" s="296"/>
      <c r="O1394" s="213"/>
      <c r="P1394" s="47"/>
      <c r="Q1394" s="47"/>
      <c r="R1394" s="47"/>
      <c r="S1394" s="193"/>
      <c r="T1394" s="77"/>
      <c r="U1394" s="78"/>
      <c r="V1394" s="78"/>
      <c r="W1394" s="77"/>
    </row>
    <row r="1395">
      <c r="A1395" s="145"/>
      <c r="B1395" s="145"/>
      <c r="C1395" s="145"/>
      <c r="D1395" s="75"/>
      <c r="E1395" s="75"/>
      <c r="F1395" s="211"/>
      <c r="G1395" s="145"/>
      <c r="H1395" s="211"/>
      <c r="I1395" s="145"/>
      <c r="J1395" s="211"/>
      <c r="K1395" s="75"/>
      <c r="L1395" s="152"/>
      <c r="M1395" s="152"/>
      <c r="N1395" s="296"/>
      <c r="O1395" s="213"/>
      <c r="P1395" s="47"/>
      <c r="Q1395" s="47"/>
      <c r="R1395" s="47"/>
      <c r="S1395" s="193"/>
      <c r="T1395" s="77"/>
      <c r="U1395" s="78"/>
      <c r="V1395" s="78"/>
      <c r="W1395" s="77"/>
    </row>
    <row r="1396">
      <c r="A1396" s="145"/>
      <c r="B1396" s="145"/>
      <c r="C1396" s="145"/>
      <c r="D1396" s="75"/>
      <c r="E1396" s="75"/>
      <c r="F1396" s="211"/>
      <c r="G1396" s="145"/>
      <c r="H1396" s="211"/>
      <c r="I1396" s="145"/>
      <c r="J1396" s="211"/>
      <c r="K1396" s="75"/>
      <c r="L1396" s="152"/>
      <c r="M1396" s="152"/>
      <c r="N1396" s="296"/>
      <c r="O1396" s="213"/>
      <c r="P1396" s="47"/>
      <c r="Q1396" s="47"/>
      <c r="R1396" s="47"/>
      <c r="S1396" s="193"/>
      <c r="T1396" s="77"/>
      <c r="U1396" s="78"/>
      <c r="V1396" s="78"/>
      <c r="W1396" s="77"/>
    </row>
    <row r="1397">
      <c r="A1397" s="145"/>
      <c r="B1397" s="145"/>
      <c r="C1397" s="145"/>
      <c r="D1397" s="75"/>
      <c r="E1397" s="75"/>
      <c r="F1397" s="211"/>
      <c r="G1397" s="145"/>
      <c r="H1397" s="211"/>
      <c r="I1397" s="145"/>
      <c r="J1397" s="211"/>
      <c r="K1397" s="75"/>
      <c r="L1397" s="152"/>
      <c r="M1397" s="152"/>
      <c r="N1397" s="296"/>
      <c r="O1397" s="213"/>
      <c r="P1397" s="47"/>
      <c r="Q1397" s="47"/>
      <c r="R1397" s="47"/>
      <c r="S1397" s="193"/>
      <c r="T1397" s="77"/>
      <c r="U1397" s="78"/>
      <c r="V1397" s="78"/>
      <c r="W1397" s="77"/>
    </row>
    <row r="1398">
      <c r="A1398" s="145"/>
      <c r="B1398" s="145"/>
      <c r="C1398" s="145"/>
      <c r="D1398" s="75"/>
      <c r="E1398" s="75"/>
      <c r="F1398" s="211"/>
      <c r="G1398" s="145"/>
      <c r="H1398" s="211"/>
      <c r="I1398" s="145"/>
      <c r="J1398" s="211"/>
      <c r="K1398" s="75"/>
      <c r="L1398" s="152"/>
      <c r="M1398" s="152"/>
      <c r="N1398" s="296"/>
      <c r="O1398" s="213"/>
      <c r="P1398" s="47"/>
      <c r="Q1398" s="47"/>
      <c r="R1398" s="47"/>
      <c r="S1398" s="193"/>
      <c r="T1398" s="77"/>
      <c r="U1398" s="78"/>
      <c r="V1398" s="78"/>
      <c r="W1398" s="77"/>
    </row>
    <row r="1399">
      <c r="A1399" s="145"/>
      <c r="B1399" s="145"/>
      <c r="C1399" s="145"/>
      <c r="D1399" s="75"/>
      <c r="E1399" s="75"/>
      <c r="F1399" s="211"/>
      <c r="G1399" s="145"/>
      <c r="H1399" s="211"/>
      <c r="I1399" s="145"/>
      <c r="J1399" s="211"/>
      <c r="K1399" s="75"/>
      <c r="L1399" s="152"/>
      <c r="M1399" s="152"/>
      <c r="N1399" s="296"/>
      <c r="O1399" s="213"/>
      <c r="P1399" s="47"/>
      <c r="Q1399" s="47"/>
      <c r="R1399" s="47"/>
      <c r="S1399" s="193"/>
      <c r="T1399" s="77"/>
      <c r="U1399" s="78"/>
      <c r="V1399" s="78"/>
      <c r="W1399" s="77"/>
    </row>
    <row r="1400">
      <c r="A1400" s="145"/>
      <c r="B1400" s="145"/>
      <c r="C1400" s="145"/>
      <c r="D1400" s="75"/>
      <c r="E1400" s="75"/>
      <c r="F1400" s="211"/>
      <c r="G1400" s="145"/>
      <c r="H1400" s="211"/>
      <c r="I1400" s="145"/>
      <c r="J1400" s="211"/>
      <c r="K1400" s="75"/>
      <c r="L1400" s="152"/>
      <c r="M1400" s="152"/>
      <c r="N1400" s="296"/>
      <c r="O1400" s="213"/>
      <c r="P1400" s="47"/>
      <c r="Q1400" s="47"/>
      <c r="R1400" s="47"/>
      <c r="S1400" s="193"/>
      <c r="T1400" s="77"/>
      <c r="U1400" s="78"/>
      <c r="V1400" s="78"/>
      <c r="W1400" s="77"/>
    </row>
    <row r="1401">
      <c r="A1401" s="145"/>
      <c r="B1401" s="145"/>
      <c r="C1401" s="145"/>
      <c r="D1401" s="75"/>
      <c r="E1401" s="75"/>
      <c r="F1401" s="211"/>
      <c r="G1401" s="145"/>
      <c r="H1401" s="211"/>
      <c r="I1401" s="145"/>
      <c r="J1401" s="211"/>
      <c r="K1401" s="75"/>
      <c r="L1401" s="152"/>
      <c r="M1401" s="152"/>
      <c r="N1401" s="296"/>
      <c r="O1401" s="213"/>
      <c r="P1401" s="47"/>
      <c r="Q1401" s="47"/>
      <c r="R1401" s="47"/>
      <c r="S1401" s="193"/>
      <c r="T1401" s="77"/>
      <c r="U1401" s="78"/>
      <c r="V1401" s="78"/>
      <c r="W1401" s="77"/>
    </row>
    <row r="1402">
      <c r="A1402" s="145"/>
      <c r="B1402" s="145"/>
      <c r="C1402" s="145"/>
      <c r="D1402" s="75"/>
      <c r="E1402" s="75"/>
      <c r="F1402" s="211"/>
      <c r="G1402" s="145"/>
      <c r="H1402" s="211"/>
      <c r="I1402" s="145"/>
      <c r="J1402" s="211"/>
      <c r="K1402" s="75"/>
      <c r="L1402" s="152"/>
      <c r="M1402" s="152"/>
      <c r="N1402" s="296"/>
      <c r="O1402" s="213"/>
      <c r="P1402" s="47"/>
      <c r="Q1402" s="47"/>
      <c r="R1402" s="47"/>
      <c r="S1402" s="193"/>
      <c r="T1402" s="77"/>
      <c r="U1402" s="78"/>
      <c r="V1402" s="78"/>
      <c r="W1402" s="77"/>
    </row>
    <row r="1403">
      <c r="A1403" s="145"/>
      <c r="B1403" s="145"/>
      <c r="C1403" s="145"/>
      <c r="D1403" s="75"/>
      <c r="E1403" s="75"/>
      <c r="F1403" s="211"/>
      <c r="G1403" s="145"/>
      <c r="H1403" s="211"/>
      <c r="I1403" s="145"/>
      <c r="J1403" s="211"/>
      <c r="K1403" s="75"/>
      <c r="L1403" s="152"/>
      <c r="M1403" s="152"/>
      <c r="N1403" s="296"/>
      <c r="O1403" s="213"/>
      <c r="P1403" s="47"/>
      <c r="Q1403" s="47"/>
      <c r="R1403" s="47"/>
      <c r="S1403" s="193"/>
      <c r="T1403" s="77"/>
      <c r="U1403" s="78"/>
      <c r="V1403" s="78"/>
      <c r="W1403" s="77"/>
    </row>
    <row r="1404">
      <c r="A1404" s="145"/>
      <c r="B1404" s="145"/>
      <c r="C1404" s="145"/>
      <c r="D1404" s="75"/>
      <c r="E1404" s="75"/>
      <c r="F1404" s="211"/>
      <c r="G1404" s="145"/>
      <c r="H1404" s="211"/>
      <c r="I1404" s="145"/>
      <c r="J1404" s="211"/>
      <c r="K1404" s="75"/>
      <c r="L1404" s="152"/>
      <c r="M1404" s="152"/>
      <c r="N1404" s="296"/>
      <c r="O1404" s="213"/>
      <c r="P1404" s="47"/>
      <c r="Q1404" s="47"/>
      <c r="R1404" s="47"/>
      <c r="S1404" s="193"/>
      <c r="T1404" s="77"/>
      <c r="U1404" s="78"/>
      <c r="V1404" s="78"/>
      <c r="W1404" s="77"/>
    </row>
    <row r="1405">
      <c r="A1405" s="145"/>
      <c r="B1405" s="145"/>
      <c r="C1405" s="145"/>
      <c r="D1405" s="75"/>
      <c r="E1405" s="75"/>
      <c r="F1405" s="211"/>
      <c r="G1405" s="145"/>
      <c r="H1405" s="211"/>
      <c r="I1405" s="145"/>
      <c r="J1405" s="211"/>
      <c r="K1405" s="75"/>
      <c r="L1405" s="152"/>
      <c r="M1405" s="152"/>
      <c r="N1405" s="296"/>
      <c r="O1405" s="213"/>
      <c r="P1405" s="47"/>
      <c r="Q1405" s="47"/>
      <c r="R1405" s="47"/>
      <c r="S1405" s="193"/>
      <c r="T1405" s="77"/>
      <c r="U1405" s="78"/>
      <c r="V1405" s="78"/>
      <c r="W1405" s="77"/>
    </row>
    <row r="1406">
      <c r="A1406" s="145"/>
      <c r="B1406" s="145"/>
      <c r="C1406" s="145"/>
      <c r="D1406" s="75"/>
      <c r="E1406" s="75"/>
      <c r="F1406" s="211"/>
      <c r="G1406" s="145"/>
      <c r="H1406" s="211"/>
      <c r="I1406" s="145"/>
      <c r="J1406" s="211"/>
      <c r="K1406" s="75"/>
      <c r="L1406" s="152"/>
      <c r="M1406" s="152"/>
      <c r="N1406" s="296"/>
      <c r="O1406" s="213"/>
      <c r="P1406" s="47"/>
      <c r="Q1406" s="47"/>
      <c r="R1406" s="47"/>
      <c r="S1406" s="193"/>
      <c r="T1406" s="77"/>
      <c r="U1406" s="78"/>
      <c r="V1406" s="78"/>
      <c r="W1406" s="77"/>
    </row>
    <row r="1407">
      <c r="A1407" s="145"/>
      <c r="B1407" s="145"/>
      <c r="C1407" s="145"/>
      <c r="D1407" s="75"/>
      <c r="E1407" s="75"/>
      <c r="F1407" s="211"/>
      <c r="G1407" s="145"/>
      <c r="H1407" s="211"/>
      <c r="I1407" s="145"/>
      <c r="J1407" s="211"/>
      <c r="K1407" s="75"/>
      <c r="L1407" s="152"/>
      <c r="M1407" s="152"/>
      <c r="N1407" s="296"/>
      <c r="O1407" s="213"/>
      <c r="P1407" s="47"/>
      <c r="Q1407" s="47"/>
      <c r="R1407" s="47"/>
      <c r="S1407" s="193"/>
      <c r="T1407" s="77"/>
      <c r="U1407" s="78"/>
      <c r="V1407" s="78"/>
      <c r="W1407" s="77"/>
    </row>
    <row r="1408">
      <c r="A1408" s="145"/>
      <c r="B1408" s="145"/>
      <c r="C1408" s="145"/>
      <c r="D1408" s="75"/>
      <c r="E1408" s="75"/>
      <c r="F1408" s="211"/>
      <c r="G1408" s="145"/>
      <c r="H1408" s="211"/>
      <c r="I1408" s="145"/>
      <c r="J1408" s="211"/>
      <c r="K1408" s="75"/>
      <c r="L1408" s="152"/>
      <c r="M1408" s="152"/>
      <c r="N1408" s="296"/>
      <c r="O1408" s="213"/>
      <c r="P1408" s="47"/>
      <c r="Q1408" s="47"/>
      <c r="R1408" s="47"/>
      <c r="S1408" s="193"/>
      <c r="T1408" s="77"/>
      <c r="U1408" s="78"/>
      <c r="V1408" s="78"/>
      <c r="W1408" s="77"/>
    </row>
    <row r="1409">
      <c r="A1409" s="145"/>
      <c r="B1409" s="145"/>
      <c r="C1409" s="145"/>
      <c r="D1409" s="75"/>
      <c r="E1409" s="75"/>
      <c r="F1409" s="211"/>
      <c r="G1409" s="145"/>
      <c r="H1409" s="211"/>
      <c r="I1409" s="145"/>
      <c r="J1409" s="211"/>
      <c r="K1409" s="75"/>
      <c r="L1409" s="152"/>
      <c r="M1409" s="152"/>
      <c r="N1409" s="296"/>
      <c r="O1409" s="213"/>
      <c r="P1409" s="47"/>
      <c r="Q1409" s="47"/>
      <c r="R1409" s="47"/>
      <c r="S1409" s="193"/>
      <c r="T1409" s="77"/>
      <c r="U1409" s="78"/>
      <c r="V1409" s="78"/>
      <c r="W1409" s="77"/>
    </row>
    <row r="1410">
      <c r="A1410" s="145"/>
      <c r="B1410" s="145"/>
      <c r="C1410" s="145"/>
      <c r="D1410" s="75"/>
      <c r="E1410" s="75"/>
      <c r="F1410" s="211"/>
      <c r="G1410" s="145"/>
      <c r="H1410" s="211"/>
      <c r="I1410" s="145"/>
      <c r="J1410" s="211"/>
      <c r="K1410" s="75"/>
      <c r="L1410" s="152"/>
      <c r="M1410" s="152"/>
      <c r="N1410" s="296"/>
      <c r="O1410" s="213"/>
      <c r="P1410" s="47"/>
      <c r="Q1410" s="47"/>
      <c r="R1410" s="47"/>
      <c r="S1410" s="193"/>
      <c r="T1410" s="77"/>
      <c r="U1410" s="78"/>
      <c r="V1410" s="78"/>
      <c r="W1410" s="77"/>
    </row>
    <row r="1411">
      <c r="A1411" s="145"/>
      <c r="B1411" s="145"/>
      <c r="C1411" s="145"/>
      <c r="D1411" s="75"/>
      <c r="E1411" s="75"/>
      <c r="F1411" s="211"/>
      <c r="G1411" s="145"/>
      <c r="H1411" s="211"/>
      <c r="I1411" s="145"/>
      <c r="J1411" s="211"/>
      <c r="K1411" s="75"/>
      <c r="L1411" s="152"/>
      <c r="M1411" s="152"/>
      <c r="N1411" s="296"/>
      <c r="O1411" s="213"/>
      <c r="P1411" s="47"/>
      <c r="Q1411" s="47"/>
      <c r="R1411" s="47"/>
      <c r="S1411" s="193"/>
      <c r="T1411" s="77"/>
      <c r="U1411" s="78"/>
      <c r="V1411" s="78"/>
      <c r="W1411" s="77"/>
    </row>
    <row r="1412">
      <c r="A1412" s="145"/>
      <c r="B1412" s="145"/>
      <c r="C1412" s="145"/>
      <c r="D1412" s="75"/>
      <c r="E1412" s="75"/>
      <c r="F1412" s="211"/>
      <c r="G1412" s="145"/>
      <c r="H1412" s="211"/>
      <c r="I1412" s="145"/>
      <c r="J1412" s="211"/>
      <c r="K1412" s="75"/>
      <c r="L1412" s="152"/>
      <c r="M1412" s="152"/>
      <c r="N1412" s="296"/>
      <c r="O1412" s="213"/>
      <c r="P1412" s="47"/>
      <c r="Q1412" s="47"/>
      <c r="R1412" s="47"/>
      <c r="S1412" s="193"/>
      <c r="T1412" s="77"/>
      <c r="U1412" s="78"/>
      <c r="V1412" s="78"/>
      <c r="W1412" s="77"/>
    </row>
    <row r="1413">
      <c r="A1413" s="145"/>
      <c r="B1413" s="145"/>
      <c r="C1413" s="145"/>
      <c r="D1413" s="75"/>
      <c r="E1413" s="75"/>
      <c r="F1413" s="211"/>
      <c r="G1413" s="145"/>
      <c r="H1413" s="211"/>
      <c r="I1413" s="145"/>
      <c r="J1413" s="211"/>
      <c r="K1413" s="75"/>
      <c r="L1413" s="152"/>
      <c r="M1413" s="152"/>
      <c r="N1413" s="296"/>
      <c r="O1413" s="213"/>
      <c r="P1413" s="47"/>
      <c r="Q1413" s="47"/>
      <c r="R1413" s="47"/>
      <c r="S1413" s="193"/>
      <c r="T1413" s="77"/>
      <c r="U1413" s="78"/>
      <c r="V1413" s="78"/>
      <c r="W1413" s="77"/>
    </row>
    <row r="1414">
      <c r="A1414" s="145"/>
      <c r="B1414" s="145"/>
      <c r="C1414" s="145"/>
      <c r="D1414" s="75"/>
      <c r="E1414" s="75"/>
      <c r="F1414" s="211"/>
      <c r="G1414" s="145"/>
      <c r="H1414" s="211"/>
      <c r="I1414" s="145"/>
      <c r="J1414" s="211"/>
      <c r="K1414" s="75"/>
      <c r="L1414" s="152"/>
      <c r="M1414" s="152"/>
      <c r="N1414" s="296"/>
      <c r="O1414" s="213"/>
      <c r="P1414" s="47"/>
      <c r="Q1414" s="47"/>
      <c r="R1414" s="47"/>
      <c r="S1414" s="193"/>
      <c r="T1414" s="77"/>
      <c r="U1414" s="78"/>
      <c r="V1414" s="78"/>
      <c r="W1414" s="77"/>
    </row>
    <row r="1415">
      <c r="A1415" s="145"/>
      <c r="B1415" s="145"/>
      <c r="C1415" s="145"/>
      <c r="D1415" s="75"/>
      <c r="E1415" s="75"/>
      <c r="F1415" s="211"/>
      <c r="G1415" s="145"/>
      <c r="H1415" s="211"/>
      <c r="I1415" s="145"/>
      <c r="J1415" s="211"/>
      <c r="K1415" s="75"/>
      <c r="L1415" s="152"/>
      <c r="M1415" s="152"/>
      <c r="N1415" s="296"/>
      <c r="O1415" s="213"/>
      <c r="P1415" s="47"/>
      <c r="Q1415" s="47"/>
      <c r="R1415" s="47"/>
      <c r="S1415" s="193"/>
      <c r="T1415" s="77"/>
      <c r="U1415" s="78"/>
      <c r="V1415" s="78"/>
      <c r="W1415" s="77"/>
    </row>
    <row r="1416">
      <c r="A1416" s="145"/>
      <c r="B1416" s="145"/>
      <c r="C1416" s="145"/>
      <c r="D1416" s="75"/>
      <c r="E1416" s="75"/>
      <c r="F1416" s="211"/>
      <c r="G1416" s="145"/>
      <c r="H1416" s="211"/>
      <c r="I1416" s="145"/>
      <c r="J1416" s="211"/>
      <c r="K1416" s="75"/>
      <c r="L1416" s="152"/>
      <c r="M1416" s="152"/>
      <c r="N1416" s="296"/>
      <c r="O1416" s="213"/>
      <c r="P1416" s="47"/>
      <c r="Q1416" s="47"/>
      <c r="R1416" s="47"/>
      <c r="S1416" s="193"/>
      <c r="T1416" s="77"/>
      <c r="U1416" s="78"/>
      <c r="V1416" s="78"/>
      <c r="W1416" s="77"/>
    </row>
    <row r="1417">
      <c r="A1417" s="145"/>
      <c r="B1417" s="145"/>
      <c r="C1417" s="145"/>
      <c r="D1417" s="75"/>
      <c r="E1417" s="75"/>
      <c r="F1417" s="211"/>
      <c r="G1417" s="145"/>
      <c r="H1417" s="211"/>
      <c r="I1417" s="145"/>
      <c r="J1417" s="211"/>
      <c r="K1417" s="75"/>
      <c r="L1417" s="152"/>
      <c r="M1417" s="152"/>
      <c r="N1417" s="296"/>
      <c r="O1417" s="213"/>
      <c r="P1417" s="47"/>
      <c r="Q1417" s="47"/>
      <c r="R1417" s="47"/>
      <c r="S1417" s="193"/>
      <c r="T1417" s="77"/>
      <c r="U1417" s="78"/>
      <c r="V1417" s="78"/>
      <c r="W1417" s="77"/>
    </row>
    <row r="1418">
      <c r="A1418" s="145"/>
      <c r="B1418" s="145"/>
      <c r="C1418" s="145"/>
      <c r="D1418" s="75"/>
      <c r="E1418" s="75"/>
      <c r="F1418" s="211"/>
      <c r="G1418" s="145"/>
      <c r="H1418" s="211"/>
      <c r="I1418" s="145"/>
      <c r="J1418" s="211"/>
      <c r="K1418" s="75"/>
      <c r="L1418" s="152"/>
      <c r="M1418" s="152"/>
      <c r="N1418" s="296"/>
      <c r="O1418" s="213"/>
      <c r="P1418" s="47"/>
      <c r="Q1418" s="47"/>
      <c r="R1418" s="47"/>
      <c r="S1418" s="193"/>
      <c r="T1418" s="77"/>
      <c r="U1418" s="78"/>
      <c r="V1418" s="78"/>
      <c r="W1418" s="77"/>
    </row>
    <row r="1419">
      <c r="A1419" s="145"/>
      <c r="B1419" s="145"/>
      <c r="C1419" s="145"/>
      <c r="D1419" s="75"/>
      <c r="E1419" s="75"/>
      <c r="F1419" s="211"/>
      <c r="G1419" s="145"/>
      <c r="H1419" s="211"/>
      <c r="I1419" s="145"/>
      <c r="J1419" s="211"/>
      <c r="K1419" s="75"/>
      <c r="L1419" s="152"/>
      <c r="M1419" s="152"/>
      <c r="N1419" s="296"/>
      <c r="O1419" s="213"/>
      <c r="P1419" s="47"/>
      <c r="Q1419" s="47"/>
      <c r="R1419" s="47"/>
      <c r="S1419" s="193"/>
      <c r="T1419" s="77"/>
      <c r="U1419" s="78"/>
      <c r="V1419" s="78"/>
      <c r="W1419" s="77"/>
    </row>
    <row r="1420">
      <c r="A1420" s="145"/>
      <c r="B1420" s="145"/>
      <c r="C1420" s="145"/>
      <c r="D1420" s="75"/>
      <c r="E1420" s="75"/>
      <c r="F1420" s="211"/>
      <c r="G1420" s="145"/>
      <c r="H1420" s="211"/>
      <c r="I1420" s="145"/>
      <c r="J1420" s="211"/>
      <c r="K1420" s="75"/>
      <c r="L1420" s="152"/>
      <c r="M1420" s="152"/>
      <c r="N1420" s="296"/>
      <c r="O1420" s="213"/>
      <c r="P1420" s="47"/>
      <c r="Q1420" s="47"/>
      <c r="R1420" s="47"/>
      <c r="S1420" s="193"/>
      <c r="T1420" s="77"/>
      <c r="U1420" s="78"/>
      <c r="V1420" s="78"/>
      <c r="W1420" s="77"/>
    </row>
    <row r="1421">
      <c r="A1421" s="145"/>
      <c r="B1421" s="145"/>
      <c r="C1421" s="145"/>
      <c r="D1421" s="75"/>
      <c r="E1421" s="75"/>
      <c r="F1421" s="211"/>
      <c r="G1421" s="145"/>
      <c r="H1421" s="211"/>
      <c r="I1421" s="145"/>
      <c r="J1421" s="211"/>
      <c r="K1421" s="75"/>
      <c r="L1421" s="152"/>
      <c r="M1421" s="152"/>
      <c r="N1421" s="296"/>
      <c r="O1421" s="213"/>
      <c r="P1421" s="47"/>
      <c r="Q1421" s="47"/>
      <c r="R1421" s="47"/>
      <c r="S1421" s="193"/>
      <c r="T1421" s="77"/>
      <c r="U1421" s="78"/>
      <c r="V1421" s="78"/>
      <c r="W1421" s="77"/>
    </row>
    <row r="1422">
      <c r="A1422" s="145"/>
      <c r="B1422" s="145"/>
      <c r="C1422" s="145"/>
      <c r="D1422" s="75"/>
      <c r="E1422" s="75"/>
      <c r="F1422" s="211"/>
      <c r="G1422" s="145"/>
      <c r="H1422" s="211"/>
      <c r="I1422" s="145"/>
      <c r="J1422" s="211"/>
      <c r="K1422" s="75"/>
      <c r="L1422" s="152"/>
      <c r="M1422" s="152"/>
      <c r="N1422" s="296"/>
      <c r="O1422" s="213"/>
      <c r="P1422" s="47"/>
      <c r="Q1422" s="47"/>
      <c r="R1422" s="47"/>
      <c r="S1422" s="193"/>
      <c r="T1422" s="77"/>
      <c r="U1422" s="78"/>
      <c r="V1422" s="78"/>
      <c r="W1422" s="77"/>
    </row>
    <row r="1423">
      <c r="A1423" s="145"/>
      <c r="B1423" s="145"/>
      <c r="C1423" s="145"/>
      <c r="D1423" s="75"/>
      <c r="E1423" s="75"/>
      <c r="F1423" s="211"/>
      <c r="G1423" s="145"/>
      <c r="H1423" s="211"/>
      <c r="I1423" s="145"/>
      <c r="J1423" s="211"/>
      <c r="K1423" s="75"/>
      <c r="L1423" s="152"/>
      <c r="M1423" s="152"/>
      <c r="N1423" s="296"/>
      <c r="O1423" s="213"/>
      <c r="P1423" s="47"/>
      <c r="Q1423" s="47"/>
      <c r="R1423" s="47"/>
      <c r="S1423" s="193"/>
      <c r="T1423" s="77"/>
      <c r="U1423" s="78"/>
      <c r="V1423" s="78"/>
      <c r="W1423" s="77"/>
    </row>
    <row r="1424">
      <c r="A1424" s="145"/>
      <c r="B1424" s="145"/>
      <c r="C1424" s="145"/>
      <c r="D1424" s="75"/>
      <c r="E1424" s="75"/>
      <c r="F1424" s="211"/>
      <c r="G1424" s="145"/>
      <c r="H1424" s="211"/>
      <c r="I1424" s="145"/>
      <c r="J1424" s="211"/>
      <c r="K1424" s="75"/>
      <c r="L1424" s="152"/>
      <c r="M1424" s="152"/>
      <c r="N1424" s="296"/>
      <c r="O1424" s="213"/>
      <c r="P1424" s="47"/>
      <c r="Q1424" s="47"/>
      <c r="R1424" s="47"/>
      <c r="S1424" s="193"/>
      <c r="T1424" s="77"/>
      <c r="U1424" s="78"/>
      <c r="V1424" s="78"/>
      <c r="W1424" s="77"/>
    </row>
    <row r="1425">
      <c r="A1425" s="145"/>
      <c r="B1425" s="145"/>
      <c r="C1425" s="145"/>
      <c r="D1425" s="75"/>
      <c r="E1425" s="75"/>
      <c r="F1425" s="211"/>
      <c r="G1425" s="145"/>
      <c r="H1425" s="211"/>
      <c r="I1425" s="145"/>
      <c r="J1425" s="211"/>
      <c r="K1425" s="75"/>
      <c r="L1425" s="152"/>
      <c r="M1425" s="152"/>
      <c r="N1425" s="296"/>
      <c r="O1425" s="213"/>
      <c r="P1425" s="47"/>
      <c r="Q1425" s="47"/>
      <c r="R1425" s="47"/>
      <c r="S1425" s="193"/>
      <c r="T1425" s="77"/>
      <c r="U1425" s="78"/>
      <c r="V1425" s="78"/>
      <c r="W1425" s="77"/>
    </row>
    <row r="1426">
      <c r="A1426" s="145"/>
      <c r="B1426" s="145"/>
      <c r="C1426" s="145"/>
      <c r="D1426" s="75"/>
      <c r="E1426" s="75"/>
      <c r="F1426" s="211"/>
      <c r="G1426" s="145"/>
      <c r="H1426" s="211"/>
      <c r="I1426" s="145"/>
      <c r="J1426" s="211"/>
      <c r="K1426" s="75"/>
      <c r="L1426" s="152"/>
      <c r="M1426" s="152"/>
      <c r="N1426" s="296"/>
      <c r="O1426" s="213"/>
      <c r="P1426" s="47"/>
      <c r="Q1426" s="47"/>
      <c r="R1426" s="47"/>
      <c r="S1426" s="193"/>
      <c r="T1426" s="77"/>
      <c r="U1426" s="78"/>
      <c r="V1426" s="78"/>
      <c r="W1426" s="77"/>
    </row>
    <row r="1427">
      <c r="A1427" s="145"/>
      <c r="B1427" s="145"/>
      <c r="C1427" s="145"/>
      <c r="D1427" s="75"/>
      <c r="E1427" s="75"/>
      <c r="F1427" s="211"/>
      <c r="G1427" s="145"/>
      <c r="H1427" s="211"/>
      <c r="I1427" s="145"/>
      <c r="J1427" s="211"/>
      <c r="K1427" s="75"/>
      <c r="L1427" s="152"/>
      <c r="M1427" s="152"/>
      <c r="N1427" s="296"/>
      <c r="O1427" s="213"/>
      <c r="P1427" s="47"/>
      <c r="Q1427" s="47"/>
      <c r="R1427" s="47"/>
      <c r="S1427" s="193"/>
      <c r="T1427" s="77"/>
      <c r="U1427" s="78"/>
      <c r="V1427" s="78"/>
      <c r="W1427" s="77"/>
    </row>
    <row r="1428">
      <c r="A1428" s="145"/>
      <c r="B1428" s="145"/>
      <c r="C1428" s="145"/>
      <c r="D1428" s="75"/>
      <c r="E1428" s="75"/>
      <c r="F1428" s="211"/>
      <c r="G1428" s="145"/>
      <c r="H1428" s="211"/>
      <c r="I1428" s="145"/>
      <c r="J1428" s="211"/>
      <c r="K1428" s="75"/>
      <c r="L1428" s="152"/>
      <c r="M1428" s="152"/>
      <c r="N1428" s="296"/>
      <c r="O1428" s="213"/>
      <c r="P1428" s="47"/>
      <c r="Q1428" s="47"/>
      <c r="R1428" s="47"/>
      <c r="S1428" s="193"/>
      <c r="T1428" s="77"/>
      <c r="U1428" s="78"/>
      <c r="V1428" s="78"/>
      <c r="W1428" s="77"/>
    </row>
    <row r="1429">
      <c r="A1429" s="145"/>
      <c r="B1429" s="145"/>
      <c r="C1429" s="145"/>
      <c r="D1429" s="75"/>
      <c r="E1429" s="75"/>
      <c r="F1429" s="211"/>
      <c r="G1429" s="145"/>
      <c r="H1429" s="211"/>
      <c r="I1429" s="145"/>
      <c r="J1429" s="211"/>
      <c r="K1429" s="75"/>
      <c r="L1429" s="152"/>
      <c r="M1429" s="152"/>
      <c r="N1429" s="296"/>
      <c r="O1429" s="213"/>
      <c r="P1429" s="47"/>
      <c r="Q1429" s="47"/>
      <c r="R1429" s="47"/>
      <c r="S1429" s="193"/>
      <c r="T1429" s="77"/>
      <c r="U1429" s="78"/>
      <c r="V1429" s="78"/>
      <c r="W1429" s="77"/>
    </row>
    <row r="1430">
      <c r="A1430" s="145"/>
      <c r="B1430" s="145"/>
      <c r="C1430" s="145"/>
      <c r="D1430" s="75"/>
      <c r="E1430" s="75"/>
      <c r="F1430" s="211"/>
      <c r="G1430" s="145"/>
      <c r="H1430" s="211"/>
      <c r="I1430" s="145"/>
      <c r="J1430" s="211"/>
      <c r="K1430" s="75"/>
      <c r="L1430" s="152"/>
      <c r="M1430" s="152"/>
      <c r="N1430" s="296"/>
      <c r="O1430" s="213"/>
      <c r="P1430" s="47"/>
      <c r="Q1430" s="47"/>
      <c r="R1430" s="47"/>
      <c r="S1430" s="193"/>
      <c r="T1430" s="77"/>
      <c r="U1430" s="78"/>
      <c r="V1430" s="78"/>
      <c r="W1430" s="77"/>
    </row>
    <row r="1431">
      <c r="A1431" s="145"/>
      <c r="B1431" s="145"/>
      <c r="C1431" s="145"/>
      <c r="D1431" s="75"/>
      <c r="E1431" s="75"/>
      <c r="F1431" s="211"/>
      <c r="G1431" s="145"/>
      <c r="H1431" s="211"/>
      <c r="I1431" s="145"/>
      <c r="J1431" s="211"/>
      <c r="K1431" s="75"/>
      <c r="L1431" s="152"/>
      <c r="M1431" s="152"/>
      <c r="N1431" s="296"/>
      <c r="O1431" s="213"/>
      <c r="P1431" s="47"/>
      <c r="Q1431" s="47"/>
      <c r="R1431" s="47"/>
      <c r="S1431" s="193"/>
      <c r="T1431" s="77"/>
      <c r="U1431" s="78"/>
      <c r="V1431" s="78"/>
      <c r="W1431" s="77"/>
    </row>
    <row r="1432">
      <c r="A1432" s="145"/>
      <c r="B1432" s="145"/>
      <c r="C1432" s="145"/>
      <c r="D1432" s="75"/>
      <c r="E1432" s="75"/>
      <c r="F1432" s="211"/>
      <c r="G1432" s="145"/>
      <c r="H1432" s="211"/>
      <c r="I1432" s="145"/>
      <c r="J1432" s="211"/>
      <c r="K1432" s="75"/>
      <c r="L1432" s="152"/>
      <c r="M1432" s="152"/>
      <c r="N1432" s="296"/>
      <c r="O1432" s="213"/>
      <c r="P1432" s="47"/>
      <c r="Q1432" s="47"/>
      <c r="R1432" s="47"/>
      <c r="S1432" s="193"/>
      <c r="T1432" s="77"/>
      <c r="U1432" s="78"/>
      <c r="V1432" s="78"/>
      <c r="W1432" s="77"/>
    </row>
    <row r="1433">
      <c r="A1433" s="145"/>
      <c r="B1433" s="145"/>
      <c r="C1433" s="145"/>
      <c r="D1433" s="75"/>
      <c r="E1433" s="75"/>
      <c r="F1433" s="211"/>
      <c r="G1433" s="145"/>
      <c r="H1433" s="211"/>
      <c r="I1433" s="145"/>
      <c r="J1433" s="211"/>
      <c r="K1433" s="75"/>
      <c r="L1433" s="152"/>
      <c r="M1433" s="152"/>
      <c r="N1433" s="296"/>
      <c r="O1433" s="213"/>
      <c r="P1433" s="47"/>
      <c r="Q1433" s="47"/>
      <c r="R1433" s="47"/>
      <c r="S1433" s="193"/>
      <c r="T1433" s="77"/>
      <c r="U1433" s="78"/>
      <c r="V1433" s="78"/>
      <c r="W1433" s="77"/>
    </row>
    <row r="1434">
      <c r="A1434" s="145"/>
      <c r="B1434" s="145"/>
      <c r="C1434" s="145"/>
      <c r="D1434" s="75"/>
      <c r="E1434" s="75"/>
      <c r="F1434" s="211"/>
      <c r="G1434" s="145"/>
      <c r="H1434" s="211"/>
      <c r="I1434" s="145"/>
      <c r="J1434" s="211"/>
      <c r="K1434" s="75"/>
      <c r="L1434" s="152"/>
      <c r="M1434" s="152"/>
      <c r="N1434" s="296"/>
      <c r="O1434" s="213"/>
      <c r="P1434" s="47"/>
      <c r="Q1434" s="47"/>
      <c r="R1434" s="47"/>
      <c r="S1434" s="193"/>
      <c r="T1434" s="77"/>
      <c r="U1434" s="78"/>
      <c r="V1434" s="78"/>
      <c r="W1434" s="77"/>
    </row>
    <row r="1435">
      <c r="A1435" s="145"/>
      <c r="B1435" s="145"/>
      <c r="C1435" s="145"/>
      <c r="D1435" s="75"/>
      <c r="E1435" s="75"/>
      <c r="F1435" s="211"/>
      <c r="G1435" s="145"/>
      <c r="H1435" s="211"/>
      <c r="I1435" s="145"/>
      <c r="J1435" s="211"/>
      <c r="K1435" s="75"/>
      <c r="L1435" s="152"/>
      <c r="M1435" s="152"/>
      <c r="N1435" s="296"/>
      <c r="O1435" s="213"/>
      <c r="P1435" s="47"/>
      <c r="Q1435" s="47"/>
      <c r="R1435" s="47"/>
      <c r="S1435" s="193"/>
      <c r="T1435" s="77"/>
      <c r="U1435" s="78"/>
      <c r="V1435" s="78"/>
      <c r="W1435" s="77"/>
    </row>
    <row r="1436">
      <c r="A1436" s="145"/>
      <c r="B1436" s="145"/>
      <c r="C1436" s="145"/>
      <c r="D1436" s="75"/>
      <c r="E1436" s="75"/>
      <c r="F1436" s="211"/>
      <c r="G1436" s="145"/>
      <c r="H1436" s="211"/>
      <c r="I1436" s="145"/>
      <c r="J1436" s="211"/>
      <c r="K1436" s="75"/>
      <c r="L1436" s="152"/>
      <c r="M1436" s="152"/>
      <c r="N1436" s="296"/>
      <c r="O1436" s="213"/>
      <c r="P1436" s="47"/>
      <c r="Q1436" s="47"/>
      <c r="R1436" s="47"/>
      <c r="S1436" s="193"/>
      <c r="T1436" s="77"/>
      <c r="U1436" s="78"/>
      <c r="V1436" s="78"/>
      <c r="W1436" s="77"/>
    </row>
    <row r="1437">
      <c r="A1437" s="145"/>
      <c r="B1437" s="145"/>
      <c r="C1437" s="145"/>
      <c r="D1437" s="75"/>
      <c r="E1437" s="75"/>
      <c r="F1437" s="211"/>
      <c r="G1437" s="145"/>
      <c r="H1437" s="211"/>
      <c r="I1437" s="145"/>
      <c r="J1437" s="211"/>
      <c r="K1437" s="75"/>
      <c r="L1437" s="152"/>
      <c r="M1437" s="152"/>
      <c r="N1437" s="296"/>
      <c r="O1437" s="213"/>
      <c r="P1437" s="47"/>
      <c r="Q1437" s="47"/>
      <c r="R1437" s="47"/>
      <c r="S1437" s="193"/>
      <c r="T1437" s="77"/>
      <c r="U1437" s="78"/>
      <c r="V1437" s="78"/>
      <c r="W1437" s="77"/>
    </row>
    <row r="1438">
      <c r="A1438" s="145"/>
      <c r="B1438" s="145"/>
      <c r="C1438" s="145"/>
      <c r="D1438" s="75"/>
      <c r="E1438" s="75"/>
      <c r="F1438" s="211"/>
      <c r="G1438" s="145"/>
      <c r="H1438" s="211"/>
      <c r="I1438" s="145"/>
      <c r="J1438" s="211"/>
      <c r="K1438" s="75"/>
      <c r="L1438" s="152"/>
      <c r="M1438" s="152"/>
      <c r="N1438" s="296"/>
      <c r="O1438" s="213"/>
      <c r="P1438" s="47"/>
      <c r="Q1438" s="47"/>
      <c r="R1438" s="47"/>
      <c r="S1438" s="193"/>
      <c r="T1438" s="77"/>
      <c r="U1438" s="78"/>
      <c r="V1438" s="78"/>
      <c r="W1438" s="77"/>
    </row>
    <row r="1439">
      <c r="A1439" s="145"/>
      <c r="B1439" s="145"/>
      <c r="C1439" s="145"/>
      <c r="D1439" s="75"/>
      <c r="E1439" s="75"/>
      <c r="F1439" s="211"/>
      <c r="G1439" s="145"/>
      <c r="H1439" s="211"/>
      <c r="I1439" s="145"/>
      <c r="J1439" s="211"/>
      <c r="K1439" s="75"/>
      <c r="L1439" s="152"/>
      <c r="M1439" s="152"/>
      <c r="N1439" s="296"/>
      <c r="O1439" s="213"/>
      <c r="P1439" s="47"/>
      <c r="Q1439" s="47"/>
      <c r="R1439" s="47"/>
      <c r="S1439" s="193"/>
      <c r="T1439" s="77"/>
      <c r="U1439" s="78"/>
      <c r="V1439" s="78"/>
      <c r="W1439" s="77"/>
    </row>
    <row r="1440">
      <c r="A1440" s="145"/>
      <c r="B1440" s="145"/>
      <c r="C1440" s="145"/>
      <c r="D1440" s="75"/>
      <c r="E1440" s="75"/>
      <c r="F1440" s="211"/>
      <c r="G1440" s="145"/>
      <c r="H1440" s="211"/>
      <c r="I1440" s="145"/>
      <c r="J1440" s="211"/>
      <c r="K1440" s="75"/>
      <c r="L1440" s="152"/>
      <c r="M1440" s="152"/>
      <c r="N1440" s="296"/>
      <c r="O1440" s="213"/>
      <c r="P1440" s="47"/>
      <c r="Q1440" s="47"/>
      <c r="R1440" s="47"/>
      <c r="S1440" s="193"/>
      <c r="T1440" s="77"/>
      <c r="U1440" s="78"/>
      <c r="V1440" s="78"/>
      <c r="W1440" s="77"/>
    </row>
    <row r="1441">
      <c r="A1441" s="145"/>
      <c r="B1441" s="145"/>
      <c r="C1441" s="145"/>
      <c r="D1441" s="75"/>
      <c r="E1441" s="75"/>
      <c r="F1441" s="211"/>
      <c r="G1441" s="145"/>
      <c r="H1441" s="211"/>
      <c r="I1441" s="145"/>
      <c r="J1441" s="211"/>
      <c r="K1441" s="75"/>
      <c r="L1441" s="152"/>
      <c r="M1441" s="152"/>
      <c r="N1441" s="296"/>
      <c r="O1441" s="213"/>
      <c r="P1441" s="47"/>
      <c r="Q1441" s="47"/>
      <c r="R1441" s="47"/>
      <c r="S1441" s="193"/>
      <c r="T1441" s="77"/>
      <c r="U1441" s="78"/>
      <c r="V1441" s="78"/>
      <c r="W1441" s="77"/>
    </row>
    <row r="1442">
      <c r="A1442" s="145"/>
      <c r="B1442" s="145"/>
      <c r="C1442" s="145"/>
      <c r="D1442" s="75"/>
      <c r="E1442" s="75"/>
      <c r="F1442" s="211"/>
      <c r="G1442" s="145"/>
      <c r="H1442" s="211"/>
      <c r="I1442" s="145"/>
      <c r="J1442" s="211"/>
      <c r="K1442" s="75"/>
      <c r="L1442" s="152"/>
      <c r="M1442" s="152"/>
      <c r="N1442" s="296"/>
      <c r="O1442" s="213"/>
      <c r="P1442" s="47"/>
      <c r="Q1442" s="47"/>
      <c r="R1442" s="47"/>
      <c r="S1442" s="193"/>
      <c r="T1442" s="77"/>
      <c r="U1442" s="78"/>
      <c r="V1442" s="78"/>
      <c r="W1442" s="77"/>
    </row>
    <row r="1443">
      <c r="A1443" s="145"/>
      <c r="B1443" s="145"/>
      <c r="C1443" s="145"/>
      <c r="D1443" s="75"/>
      <c r="E1443" s="75"/>
      <c r="F1443" s="211"/>
      <c r="G1443" s="145"/>
      <c r="H1443" s="211"/>
      <c r="I1443" s="145"/>
      <c r="J1443" s="211"/>
      <c r="K1443" s="75"/>
      <c r="L1443" s="152"/>
      <c r="M1443" s="152"/>
      <c r="N1443" s="296"/>
      <c r="O1443" s="213"/>
      <c r="P1443" s="47"/>
      <c r="Q1443" s="47"/>
      <c r="R1443" s="47"/>
      <c r="S1443" s="193"/>
      <c r="T1443" s="77"/>
      <c r="U1443" s="78"/>
      <c r="V1443" s="78"/>
      <c r="W1443" s="77"/>
    </row>
    <row r="1444">
      <c r="A1444" s="145"/>
      <c r="B1444" s="145"/>
      <c r="C1444" s="145"/>
      <c r="D1444" s="75"/>
      <c r="E1444" s="75"/>
      <c r="F1444" s="211"/>
      <c r="G1444" s="145"/>
      <c r="H1444" s="211"/>
      <c r="I1444" s="145"/>
      <c r="J1444" s="211"/>
      <c r="K1444" s="75"/>
      <c r="L1444" s="152"/>
      <c r="M1444" s="152"/>
      <c r="N1444" s="296"/>
      <c r="O1444" s="213"/>
      <c r="P1444" s="47"/>
      <c r="Q1444" s="47"/>
      <c r="R1444" s="47"/>
      <c r="S1444" s="193"/>
      <c r="T1444" s="77"/>
      <c r="U1444" s="78"/>
      <c r="V1444" s="78"/>
      <c r="W1444" s="77"/>
    </row>
    <row r="1445">
      <c r="A1445" s="145"/>
      <c r="B1445" s="145"/>
      <c r="C1445" s="145"/>
      <c r="D1445" s="75"/>
      <c r="E1445" s="75"/>
      <c r="F1445" s="211"/>
      <c r="G1445" s="145"/>
      <c r="H1445" s="211"/>
      <c r="I1445" s="145"/>
      <c r="J1445" s="211"/>
      <c r="K1445" s="75"/>
      <c r="L1445" s="152"/>
      <c r="M1445" s="152"/>
      <c r="N1445" s="296"/>
      <c r="O1445" s="213"/>
      <c r="P1445" s="47"/>
      <c r="Q1445" s="47"/>
      <c r="R1445" s="47"/>
      <c r="S1445" s="193"/>
      <c r="T1445" s="77"/>
      <c r="U1445" s="78"/>
      <c r="V1445" s="78"/>
      <c r="W1445" s="77"/>
    </row>
    <row r="1446">
      <c r="A1446" s="145"/>
      <c r="B1446" s="145"/>
      <c r="C1446" s="145"/>
      <c r="D1446" s="75"/>
      <c r="E1446" s="75"/>
      <c r="F1446" s="211"/>
      <c r="G1446" s="145"/>
      <c r="H1446" s="211"/>
      <c r="I1446" s="145"/>
      <c r="J1446" s="211"/>
      <c r="K1446" s="75"/>
      <c r="L1446" s="152"/>
      <c r="M1446" s="152"/>
      <c r="N1446" s="296"/>
      <c r="O1446" s="213"/>
      <c r="P1446" s="47"/>
      <c r="Q1446" s="47"/>
      <c r="R1446" s="47"/>
      <c r="S1446" s="193"/>
      <c r="T1446" s="77"/>
      <c r="U1446" s="78"/>
      <c r="V1446" s="78"/>
      <c r="W1446" s="77"/>
    </row>
    <row r="1447">
      <c r="A1447" s="145"/>
      <c r="B1447" s="145"/>
      <c r="C1447" s="145"/>
      <c r="D1447" s="75"/>
      <c r="E1447" s="75"/>
      <c r="F1447" s="211"/>
      <c r="G1447" s="145"/>
      <c r="H1447" s="211"/>
      <c r="I1447" s="145"/>
      <c r="J1447" s="211"/>
      <c r="K1447" s="75"/>
      <c r="L1447" s="152"/>
      <c r="M1447" s="152"/>
      <c r="N1447" s="296"/>
      <c r="O1447" s="213"/>
      <c r="P1447" s="47"/>
      <c r="Q1447" s="47"/>
      <c r="R1447" s="47"/>
      <c r="S1447" s="193"/>
      <c r="T1447" s="77"/>
      <c r="U1447" s="78"/>
      <c r="V1447" s="78"/>
      <c r="W1447" s="77"/>
    </row>
    <row r="1448">
      <c r="A1448" s="145"/>
      <c r="B1448" s="145"/>
      <c r="C1448" s="145"/>
      <c r="D1448" s="75"/>
      <c r="E1448" s="75"/>
      <c r="F1448" s="211"/>
      <c r="G1448" s="145"/>
      <c r="H1448" s="211"/>
      <c r="I1448" s="145"/>
      <c r="J1448" s="211"/>
      <c r="K1448" s="75"/>
      <c r="L1448" s="152"/>
      <c r="M1448" s="152"/>
      <c r="N1448" s="296"/>
      <c r="O1448" s="213"/>
      <c r="P1448" s="47"/>
      <c r="Q1448" s="47"/>
      <c r="R1448" s="47"/>
      <c r="S1448" s="193"/>
      <c r="T1448" s="77"/>
      <c r="U1448" s="78"/>
      <c r="V1448" s="78"/>
      <c r="W1448" s="77"/>
    </row>
    <row r="1449">
      <c r="A1449" s="145"/>
      <c r="B1449" s="145"/>
      <c r="C1449" s="145"/>
      <c r="D1449" s="75"/>
      <c r="E1449" s="75"/>
      <c r="F1449" s="211"/>
      <c r="G1449" s="145"/>
      <c r="H1449" s="211"/>
      <c r="I1449" s="145"/>
      <c r="J1449" s="211"/>
      <c r="K1449" s="75"/>
      <c r="L1449" s="152"/>
      <c r="M1449" s="152"/>
      <c r="N1449" s="296"/>
      <c r="O1449" s="213"/>
      <c r="P1449" s="47"/>
      <c r="Q1449" s="47"/>
      <c r="R1449" s="47"/>
      <c r="S1449" s="193"/>
      <c r="T1449" s="77"/>
      <c r="U1449" s="78"/>
      <c r="V1449" s="78"/>
      <c r="W1449" s="77"/>
    </row>
    <row r="1450">
      <c r="A1450" s="145"/>
      <c r="B1450" s="145"/>
      <c r="C1450" s="145"/>
      <c r="D1450" s="75"/>
      <c r="E1450" s="75"/>
      <c r="F1450" s="211"/>
      <c r="G1450" s="145"/>
      <c r="H1450" s="211"/>
      <c r="I1450" s="145"/>
      <c r="J1450" s="211"/>
      <c r="K1450" s="75"/>
      <c r="L1450" s="152"/>
      <c r="M1450" s="152"/>
      <c r="N1450" s="296"/>
      <c r="O1450" s="213"/>
      <c r="P1450" s="47"/>
      <c r="Q1450" s="47"/>
      <c r="R1450" s="47"/>
      <c r="S1450" s="193"/>
      <c r="T1450" s="77"/>
      <c r="U1450" s="78"/>
      <c r="V1450" s="78"/>
      <c r="W1450" s="77"/>
    </row>
    <row r="1451">
      <c r="A1451" s="145"/>
      <c r="B1451" s="145"/>
      <c r="C1451" s="145"/>
      <c r="D1451" s="75"/>
      <c r="E1451" s="75"/>
      <c r="F1451" s="211"/>
      <c r="G1451" s="145"/>
      <c r="H1451" s="211"/>
      <c r="I1451" s="145"/>
      <c r="J1451" s="211"/>
      <c r="K1451" s="75"/>
      <c r="L1451" s="152"/>
      <c r="M1451" s="152"/>
      <c r="N1451" s="296"/>
      <c r="O1451" s="213"/>
      <c r="P1451" s="47"/>
      <c r="Q1451" s="47"/>
      <c r="R1451" s="47"/>
      <c r="S1451" s="193"/>
      <c r="T1451" s="77"/>
      <c r="U1451" s="78"/>
      <c r="V1451" s="78"/>
      <c r="W1451" s="77"/>
    </row>
    <row r="1452">
      <c r="A1452" s="145"/>
      <c r="B1452" s="145"/>
      <c r="C1452" s="145"/>
      <c r="D1452" s="75"/>
      <c r="E1452" s="75"/>
      <c r="F1452" s="211"/>
      <c r="G1452" s="145"/>
      <c r="H1452" s="211"/>
      <c r="I1452" s="145"/>
      <c r="J1452" s="211"/>
      <c r="K1452" s="75"/>
      <c r="L1452" s="152"/>
      <c r="M1452" s="152"/>
      <c r="N1452" s="296"/>
      <c r="O1452" s="213"/>
      <c r="P1452" s="47"/>
      <c r="Q1452" s="47"/>
      <c r="R1452" s="47"/>
      <c r="S1452" s="193"/>
      <c r="T1452" s="77"/>
      <c r="U1452" s="78"/>
      <c r="V1452" s="78"/>
      <c r="W1452" s="77"/>
    </row>
    <row r="1453">
      <c r="A1453" s="145"/>
      <c r="B1453" s="145"/>
      <c r="C1453" s="145"/>
      <c r="D1453" s="75"/>
      <c r="E1453" s="75"/>
      <c r="F1453" s="211"/>
      <c r="G1453" s="145"/>
      <c r="H1453" s="211"/>
      <c r="I1453" s="145"/>
      <c r="J1453" s="211"/>
      <c r="K1453" s="75"/>
      <c r="L1453" s="152"/>
      <c r="M1453" s="152"/>
      <c r="N1453" s="296"/>
      <c r="O1453" s="213"/>
      <c r="P1453" s="47"/>
      <c r="Q1453" s="47"/>
      <c r="R1453" s="47"/>
      <c r="S1453" s="193"/>
      <c r="T1453" s="77"/>
      <c r="U1453" s="78"/>
      <c r="V1453" s="78"/>
      <c r="W1453" s="77"/>
    </row>
    <row r="1454">
      <c r="A1454" s="145"/>
      <c r="B1454" s="145"/>
      <c r="C1454" s="145"/>
      <c r="D1454" s="75"/>
      <c r="E1454" s="75"/>
      <c r="F1454" s="211"/>
      <c r="G1454" s="145"/>
      <c r="H1454" s="211"/>
      <c r="I1454" s="145"/>
      <c r="J1454" s="211"/>
      <c r="K1454" s="75"/>
      <c r="L1454" s="152"/>
      <c r="M1454" s="152"/>
      <c r="N1454" s="296"/>
      <c r="O1454" s="213"/>
      <c r="P1454" s="47"/>
      <c r="Q1454" s="47"/>
      <c r="R1454" s="47"/>
      <c r="S1454" s="193"/>
      <c r="T1454" s="77"/>
      <c r="U1454" s="78"/>
      <c r="V1454" s="78"/>
      <c r="W1454" s="77"/>
    </row>
    <row r="1455">
      <c r="A1455" s="145"/>
      <c r="B1455" s="145"/>
      <c r="C1455" s="145"/>
      <c r="D1455" s="75"/>
      <c r="E1455" s="75"/>
      <c r="F1455" s="211"/>
      <c r="G1455" s="145"/>
      <c r="H1455" s="211"/>
      <c r="I1455" s="145"/>
      <c r="J1455" s="211"/>
      <c r="K1455" s="75"/>
      <c r="L1455" s="152"/>
      <c r="M1455" s="152"/>
      <c r="N1455" s="296"/>
      <c r="O1455" s="213"/>
      <c r="P1455" s="47"/>
      <c r="Q1455" s="47"/>
      <c r="R1455" s="47"/>
      <c r="S1455" s="193"/>
      <c r="T1455" s="77"/>
      <c r="U1455" s="78"/>
      <c r="V1455" s="78"/>
      <c r="W1455" s="77"/>
    </row>
    <row r="1456">
      <c r="A1456" s="145"/>
      <c r="B1456" s="145"/>
      <c r="C1456" s="145"/>
      <c r="D1456" s="75"/>
      <c r="E1456" s="75"/>
      <c r="F1456" s="211"/>
      <c r="G1456" s="145"/>
      <c r="H1456" s="211"/>
      <c r="I1456" s="145"/>
      <c r="J1456" s="211"/>
      <c r="K1456" s="75"/>
      <c r="L1456" s="152"/>
      <c r="M1456" s="152"/>
      <c r="N1456" s="296"/>
      <c r="O1456" s="213"/>
      <c r="P1456" s="47"/>
      <c r="Q1456" s="47"/>
      <c r="R1456" s="47"/>
      <c r="S1456" s="193"/>
      <c r="T1456" s="77"/>
      <c r="U1456" s="78"/>
      <c r="V1456" s="78"/>
      <c r="W1456" s="77"/>
    </row>
    <row r="1457">
      <c r="A1457" s="145"/>
      <c r="B1457" s="145"/>
      <c r="C1457" s="145"/>
      <c r="D1457" s="75"/>
      <c r="E1457" s="75"/>
      <c r="F1457" s="211"/>
      <c r="G1457" s="145"/>
      <c r="H1457" s="211"/>
      <c r="I1457" s="145"/>
      <c r="J1457" s="211"/>
      <c r="K1457" s="75"/>
      <c r="L1457" s="152"/>
      <c r="M1457" s="152"/>
      <c r="N1457" s="296"/>
      <c r="O1457" s="213"/>
      <c r="P1457" s="47"/>
      <c r="Q1457" s="47"/>
      <c r="R1457" s="47"/>
      <c r="S1457" s="193"/>
      <c r="T1457" s="77"/>
      <c r="U1457" s="78"/>
      <c r="V1457" s="78"/>
      <c r="W1457" s="77"/>
    </row>
    <row r="1458">
      <c r="A1458" s="145"/>
      <c r="B1458" s="145"/>
      <c r="C1458" s="145"/>
      <c r="D1458" s="75"/>
      <c r="E1458" s="75"/>
      <c r="F1458" s="211"/>
      <c r="G1458" s="145"/>
      <c r="H1458" s="211"/>
      <c r="I1458" s="145"/>
      <c r="J1458" s="211"/>
      <c r="K1458" s="75"/>
      <c r="L1458" s="152"/>
      <c r="M1458" s="152"/>
      <c r="N1458" s="296"/>
      <c r="O1458" s="213"/>
      <c r="P1458" s="47"/>
      <c r="Q1458" s="47"/>
      <c r="R1458" s="47"/>
      <c r="S1458" s="193"/>
      <c r="T1458" s="77"/>
      <c r="U1458" s="78"/>
      <c r="V1458" s="78"/>
      <c r="W1458" s="77"/>
    </row>
    <row r="1459">
      <c r="A1459" s="145"/>
      <c r="B1459" s="145"/>
      <c r="C1459" s="145"/>
      <c r="D1459" s="75"/>
      <c r="E1459" s="75"/>
      <c r="F1459" s="211"/>
      <c r="G1459" s="145"/>
      <c r="H1459" s="211"/>
      <c r="I1459" s="145"/>
      <c r="J1459" s="211"/>
      <c r="K1459" s="75"/>
      <c r="L1459" s="152"/>
      <c r="M1459" s="152"/>
      <c r="N1459" s="296"/>
      <c r="O1459" s="213"/>
      <c r="P1459" s="47"/>
      <c r="Q1459" s="47"/>
      <c r="R1459" s="47"/>
      <c r="S1459" s="193"/>
      <c r="T1459" s="77"/>
      <c r="U1459" s="78"/>
      <c r="V1459" s="78"/>
      <c r="W1459" s="77"/>
    </row>
    <row r="1460">
      <c r="A1460" s="145"/>
      <c r="B1460" s="145"/>
      <c r="C1460" s="145"/>
      <c r="D1460" s="75"/>
      <c r="E1460" s="75"/>
      <c r="F1460" s="211"/>
      <c r="G1460" s="145"/>
      <c r="H1460" s="211"/>
      <c r="I1460" s="145"/>
      <c r="J1460" s="211"/>
      <c r="K1460" s="75"/>
      <c r="L1460" s="152"/>
      <c r="M1460" s="152"/>
      <c r="N1460" s="296"/>
      <c r="O1460" s="213"/>
      <c r="P1460" s="47"/>
      <c r="Q1460" s="47"/>
      <c r="R1460" s="47"/>
      <c r="S1460" s="193"/>
      <c r="T1460" s="77"/>
      <c r="U1460" s="78"/>
      <c r="V1460" s="78"/>
      <c r="W1460" s="77"/>
    </row>
    <row r="1461">
      <c r="A1461" s="145"/>
      <c r="B1461" s="145"/>
      <c r="C1461" s="145"/>
      <c r="D1461" s="75"/>
      <c r="E1461" s="75"/>
      <c r="F1461" s="211"/>
      <c r="G1461" s="145"/>
      <c r="H1461" s="211"/>
      <c r="I1461" s="145"/>
      <c r="J1461" s="211"/>
      <c r="K1461" s="75"/>
      <c r="L1461" s="152"/>
      <c r="M1461" s="152"/>
      <c r="N1461" s="296"/>
      <c r="O1461" s="213"/>
      <c r="P1461" s="47"/>
      <c r="Q1461" s="47"/>
      <c r="R1461" s="47"/>
      <c r="S1461" s="193"/>
      <c r="T1461" s="77"/>
      <c r="U1461" s="78"/>
      <c r="V1461" s="78"/>
      <c r="W1461" s="77"/>
    </row>
    <row r="1462">
      <c r="A1462" s="145"/>
      <c r="B1462" s="145"/>
      <c r="C1462" s="145"/>
      <c r="D1462" s="75"/>
      <c r="E1462" s="75"/>
      <c r="F1462" s="211"/>
      <c r="G1462" s="145"/>
      <c r="H1462" s="211"/>
      <c r="I1462" s="145"/>
      <c r="J1462" s="211"/>
      <c r="K1462" s="75"/>
      <c r="L1462" s="152"/>
      <c r="M1462" s="152"/>
      <c r="N1462" s="296"/>
      <c r="O1462" s="213"/>
      <c r="P1462" s="47"/>
      <c r="Q1462" s="47"/>
      <c r="R1462" s="47"/>
      <c r="S1462" s="193"/>
      <c r="T1462" s="77"/>
      <c r="U1462" s="78"/>
      <c r="V1462" s="78"/>
      <c r="W1462" s="77"/>
    </row>
    <row r="1463">
      <c r="A1463" s="145"/>
      <c r="B1463" s="145"/>
      <c r="C1463" s="145"/>
      <c r="D1463" s="75"/>
      <c r="E1463" s="75"/>
      <c r="F1463" s="211"/>
      <c r="G1463" s="145"/>
      <c r="H1463" s="211"/>
      <c r="I1463" s="145"/>
      <c r="J1463" s="211"/>
      <c r="K1463" s="75"/>
      <c r="L1463" s="152"/>
      <c r="M1463" s="152"/>
      <c r="N1463" s="296"/>
      <c r="O1463" s="213"/>
      <c r="P1463" s="47"/>
      <c r="Q1463" s="47"/>
      <c r="R1463" s="47"/>
      <c r="S1463" s="193"/>
      <c r="T1463" s="77"/>
      <c r="U1463" s="78"/>
      <c r="V1463" s="78"/>
      <c r="W1463" s="77"/>
    </row>
    <row r="1464">
      <c r="A1464" s="145"/>
      <c r="B1464" s="145"/>
      <c r="C1464" s="145"/>
      <c r="D1464" s="75"/>
      <c r="E1464" s="75"/>
      <c r="F1464" s="211"/>
      <c r="G1464" s="145"/>
      <c r="H1464" s="211"/>
      <c r="I1464" s="145"/>
      <c r="J1464" s="211"/>
      <c r="K1464" s="75"/>
      <c r="L1464" s="152"/>
      <c r="M1464" s="152"/>
      <c r="N1464" s="296"/>
      <c r="O1464" s="213"/>
      <c r="P1464" s="47"/>
      <c r="Q1464" s="47"/>
      <c r="R1464" s="47"/>
      <c r="S1464" s="193"/>
      <c r="T1464" s="77"/>
      <c r="U1464" s="78"/>
      <c r="V1464" s="78"/>
      <c r="W1464" s="77"/>
    </row>
    <row r="1465">
      <c r="A1465" s="145"/>
      <c r="B1465" s="145"/>
      <c r="C1465" s="145"/>
      <c r="D1465" s="75"/>
      <c r="E1465" s="75"/>
      <c r="F1465" s="211"/>
      <c r="G1465" s="145"/>
      <c r="H1465" s="211"/>
      <c r="I1465" s="145"/>
      <c r="J1465" s="211"/>
      <c r="K1465" s="75"/>
      <c r="L1465" s="152"/>
      <c r="M1465" s="152"/>
      <c r="N1465" s="296"/>
      <c r="O1465" s="213"/>
      <c r="P1465" s="47"/>
      <c r="Q1465" s="47"/>
      <c r="R1465" s="47"/>
      <c r="S1465" s="193"/>
      <c r="T1465" s="77"/>
      <c r="U1465" s="78"/>
      <c r="V1465" s="78"/>
      <c r="W1465" s="77"/>
    </row>
    <row r="1466">
      <c r="A1466" s="145"/>
      <c r="B1466" s="145"/>
      <c r="C1466" s="145"/>
      <c r="D1466" s="75"/>
      <c r="E1466" s="75"/>
      <c r="F1466" s="211"/>
      <c r="G1466" s="145"/>
      <c r="H1466" s="211"/>
      <c r="I1466" s="145"/>
      <c r="J1466" s="211"/>
      <c r="K1466" s="75"/>
      <c r="L1466" s="152"/>
      <c r="M1466" s="152"/>
      <c r="N1466" s="296"/>
      <c r="O1466" s="213"/>
      <c r="P1466" s="47"/>
      <c r="Q1466" s="47"/>
      <c r="R1466" s="47"/>
      <c r="S1466" s="193"/>
      <c r="T1466" s="77"/>
      <c r="U1466" s="78"/>
      <c r="V1466" s="78"/>
      <c r="W1466" s="77"/>
    </row>
    <row r="1467">
      <c r="A1467" s="145"/>
      <c r="B1467" s="145"/>
      <c r="C1467" s="145"/>
      <c r="D1467" s="75"/>
      <c r="E1467" s="75"/>
      <c r="F1467" s="211"/>
      <c r="G1467" s="145"/>
      <c r="H1467" s="211"/>
      <c r="I1467" s="145"/>
      <c r="J1467" s="211"/>
      <c r="K1467" s="75"/>
      <c r="L1467" s="152"/>
      <c r="M1467" s="152"/>
      <c r="N1467" s="296"/>
      <c r="O1467" s="213"/>
      <c r="P1467" s="47"/>
      <c r="Q1467" s="47"/>
      <c r="R1467" s="47"/>
      <c r="S1467" s="193"/>
      <c r="T1467" s="77"/>
      <c r="U1467" s="78"/>
      <c r="V1467" s="78"/>
      <c r="W1467" s="77"/>
    </row>
    <row r="1468">
      <c r="A1468" s="145"/>
      <c r="B1468" s="145"/>
      <c r="C1468" s="145"/>
      <c r="D1468" s="75"/>
      <c r="E1468" s="75"/>
      <c r="F1468" s="211"/>
      <c r="G1468" s="145"/>
      <c r="H1468" s="211"/>
      <c r="I1468" s="145"/>
      <c r="J1468" s="211"/>
      <c r="K1468" s="75"/>
      <c r="L1468" s="152"/>
      <c r="M1468" s="152"/>
      <c r="N1468" s="296"/>
      <c r="O1468" s="213"/>
      <c r="P1468" s="47"/>
      <c r="Q1468" s="47"/>
      <c r="R1468" s="47"/>
      <c r="S1468" s="193"/>
      <c r="T1468" s="77"/>
      <c r="U1468" s="78"/>
      <c r="V1468" s="78"/>
      <c r="W1468" s="77"/>
    </row>
    <row r="1469">
      <c r="A1469" s="145"/>
      <c r="B1469" s="145"/>
      <c r="C1469" s="145"/>
      <c r="D1469" s="75"/>
      <c r="E1469" s="75"/>
      <c r="F1469" s="211"/>
      <c r="G1469" s="145"/>
      <c r="H1469" s="211"/>
      <c r="I1469" s="145"/>
      <c r="J1469" s="211"/>
      <c r="K1469" s="75"/>
      <c r="L1469" s="152"/>
      <c r="M1469" s="152"/>
      <c r="N1469" s="296"/>
      <c r="O1469" s="213"/>
      <c r="P1469" s="47"/>
      <c r="Q1469" s="47"/>
      <c r="R1469" s="47"/>
      <c r="S1469" s="193"/>
      <c r="T1469" s="77"/>
      <c r="U1469" s="78"/>
      <c r="V1469" s="78"/>
      <c r="W1469" s="77"/>
    </row>
    <row r="1470">
      <c r="A1470" s="145"/>
      <c r="B1470" s="145"/>
      <c r="C1470" s="145"/>
      <c r="D1470" s="75"/>
      <c r="E1470" s="75"/>
      <c r="F1470" s="211"/>
      <c r="G1470" s="145"/>
      <c r="H1470" s="211"/>
      <c r="I1470" s="145"/>
      <c r="J1470" s="211"/>
      <c r="K1470" s="75"/>
      <c r="L1470" s="152"/>
      <c r="M1470" s="152"/>
      <c r="N1470" s="296"/>
      <c r="O1470" s="213"/>
      <c r="P1470" s="47"/>
      <c r="Q1470" s="47"/>
      <c r="R1470" s="47"/>
      <c r="S1470" s="193"/>
      <c r="T1470" s="77"/>
      <c r="U1470" s="78"/>
      <c r="V1470" s="78"/>
      <c r="W1470" s="77"/>
    </row>
    <row r="1471">
      <c r="A1471" s="145"/>
      <c r="B1471" s="145"/>
      <c r="C1471" s="145"/>
      <c r="D1471" s="75"/>
      <c r="E1471" s="75"/>
      <c r="F1471" s="211"/>
      <c r="G1471" s="145"/>
      <c r="H1471" s="211"/>
      <c r="I1471" s="145"/>
      <c r="J1471" s="211"/>
      <c r="K1471" s="75"/>
      <c r="L1471" s="152"/>
      <c r="M1471" s="152"/>
      <c r="N1471" s="296"/>
      <c r="O1471" s="213"/>
      <c r="P1471" s="47"/>
      <c r="Q1471" s="47"/>
      <c r="R1471" s="47"/>
      <c r="S1471" s="193"/>
      <c r="T1471" s="77"/>
      <c r="U1471" s="78"/>
      <c r="V1471" s="78"/>
      <c r="W1471" s="77"/>
    </row>
    <row r="1472">
      <c r="A1472" s="145"/>
      <c r="B1472" s="145"/>
      <c r="C1472" s="145"/>
      <c r="D1472" s="75"/>
      <c r="E1472" s="75"/>
      <c r="F1472" s="211"/>
      <c r="G1472" s="145"/>
      <c r="H1472" s="211"/>
      <c r="I1472" s="145"/>
      <c r="J1472" s="211"/>
      <c r="K1472" s="75"/>
      <c r="L1472" s="152"/>
      <c r="M1472" s="152"/>
      <c r="N1472" s="296"/>
      <c r="O1472" s="213"/>
      <c r="P1472" s="47"/>
      <c r="Q1472" s="47"/>
      <c r="R1472" s="47"/>
      <c r="S1472" s="193"/>
      <c r="T1472" s="77"/>
      <c r="U1472" s="78"/>
      <c r="V1472" s="78"/>
      <c r="W1472" s="77"/>
    </row>
    <row r="1473">
      <c r="A1473" s="145"/>
      <c r="B1473" s="145"/>
      <c r="C1473" s="145"/>
      <c r="D1473" s="75"/>
      <c r="E1473" s="75"/>
      <c r="F1473" s="211"/>
      <c r="G1473" s="145"/>
      <c r="H1473" s="211"/>
      <c r="I1473" s="145"/>
      <c r="J1473" s="211"/>
      <c r="K1473" s="75"/>
      <c r="L1473" s="152"/>
      <c r="M1473" s="152"/>
      <c r="N1473" s="296"/>
      <c r="O1473" s="213"/>
      <c r="P1473" s="47"/>
      <c r="Q1473" s="47"/>
      <c r="R1473" s="47"/>
      <c r="S1473" s="193"/>
      <c r="T1473" s="77"/>
      <c r="U1473" s="78"/>
      <c r="V1473" s="78"/>
      <c r="W1473" s="77"/>
    </row>
    <row r="1474">
      <c r="A1474" s="145"/>
      <c r="B1474" s="145"/>
      <c r="C1474" s="145"/>
      <c r="D1474" s="75"/>
      <c r="E1474" s="75"/>
      <c r="F1474" s="211"/>
      <c r="G1474" s="145"/>
      <c r="H1474" s="211"/>
      <c r="I1474" s="145"/>
      <c r="J1474" s="211"/>
      <c r="K1474" s="75"/>
      <c r="L1474" s="152"/>
      <c r="M1474" s="152"/>
      <c r="N1474" s="296"/>
      <c r="O1474" s="213"/>
      <c r="P1474" s="47"/>
      <c r="Q1474" s="47"/>
      <c r="R1474" s="47"/>
      <c r="S1474" s="193"/>
      <c r="T1474" s="77"/>
      <c r="U1474" s="78"/>
      <c r="V1474" s="78"/>
      <c r="W1474" s="77"/>
    </row>
    <row r="1475">
      <c r="A1475" s="145"/>
      <c r="B1475" s="145"/>
      <c r="C1475" s="145"/>
      <c r="D1475" s="75"/>
      <c r="E1475" s="75"/>
      <c r="F1475" s="211"/>
      <c r="G1475" s="145"/>
      <c r="H1475" s="211"/>
      <c r="I1475" s="145"/>
      <c r="J1475" s="211"/>
      <c r="K1475" s="75"/>
      <c r="L1475" s="152"/>
      <c r="M1475" s="152"/>
      <c r="N1475" s="296"/>
      <c r="O1475" s="213"/>
      <c r="P1475" s="47"/>
      <c r="Q1475" s="47"/>
      <c r="R1475" s="47"/>
      <c r="S1475" s="193"/>
      <c r="T1475" s="77"/>
      <c r="U1475" s="78"/>
      <c r="V1475" s="78"/>
      <c r="W1475" s="77"/>
    </row>
    <row r="1476">
      <c r="A1476" s="145"/>
      <c r="B1476" s="145"/>
      <c r="C1476" s="145"/>
      <c r="D1476" s="75"/>
      <c r="E1476" s="75"/>
      <c r="F1476" s="211"/>
      <c r="G1476" s="145"/>
      <c r="H1476" s="211"/>
      <c r="I1476" s="145"/>
      <c r="J1476" s="211"/>
      <c r="K1476" s="75"/>
      <c r="L1476" s="152"/>
      <c r="M1476" s="152"/>
      <c r="N1476" s="296"/>
      <c r="O1476" s="213"/>
      <c r="P1476" s="47"/>
      <c r="Q1476" s="47"/>
      <c r="R1476" s="47"/>
      <c r="S1476" s="193"/>
      <c r="T1476" s="77"/>
      <c r="U1476" s="78"/>
      <c r="V1476" s="78"/>
      <c r="W1476" s="77"/>
    </row>
    <row r="1477">
      <c r="A1477" s="145"/>
      <c r="B1477" s="145"/>
      <c r="C1477" s="145"/>
      <c r="D1477" s="75"/>
      <c r="E1477" s="75"/>
      <c r="F1477" s="211"/>
      <c r="G1477" s="145"/>
      <c r="H1477" s="211"/>
      <c r="I1477" s="145"/>
      <c r="J1477" s="211"/>
      <c r="K1477" s="75"/>
      <c r="L1477" s="152"/>
      <c r="M1477" s="152"/>
      <c r="N1477" s="296"/>
      <c r="O1477" s="213"/>
      <c r="P1477" s="47"/>
      <c r="Q1477" s="47"/>
      <c r="R1477" s="47"/>
      <c r="S1477" s="193"/>
      <c r="T1477" s="77"/>
      <c r="U1477" s="78"/>
      <c r="V1477" s="78"/>
      <c r="W1477" s="77"/>
    </row>
    <row r="1478">
      <c r="A1478" s="145"/>
      <c r="B1478" s="145"/>
      <c r="C1478" s="145"/>
      <c r="D1478" s="75"/>
      <c r="E1478" s="75"/>
      <c r="F1478" s="211"/>
      <c r="G1478" s="145"/>
      <c r="H1478" s="211"/>
      <c r="I1478" s="145"/>
      <c r="J1478" s="211"/>
      <c r="K1478" s="75"/>
      <c r="L1478" s="152"/>
      <c r="M1478" s="152"/>
      <c r="N1478" s="296"/>
      <c r="O1478" s="213"/>
      <c r="P1478" s="47"/>
      <c r="Q1478" s="47"/>
      <c r="R1478" s="47"/>
      <c r="S1478" s="193"/>
      <c r="T1478" s="77"/>
      <c r="U1478" s="78"/>
      <c r="V1478" s="78"/>
      <c r="W1478" s="77"/>
    </row>
    <row r="1479">
      <c r="A1479" s="145"/>
      <c r="B1479" s="145"/>
      <c r="C1479" s="145"/>
      <c r="D1479" s="75"/>
      <c r="E1479" s="75"/>
      <c r="F1479" s="211"/>
      <c r="G1479" s="145"/>
      <c r="H1479" s="211"/>
      <c r="I1479" s="145"/>
      <c r="J1479" s="211"/>
      <c r="K1479" s="75"/>
      <c r="L1479" s="152"/>
      <c r="M1479" s="152"/>
      <c r="N1479" s="296"/>
      <c r="O1479" s="213"/>
      <c r="P1479" s="47"/>
      <c r="Q1479" s="47"/>
      <c r="R1479" s="47"/>
      <c r="S1479" s="193"/>
      <c r="T1479" s="77"/>
      <c r="U1479" s="78"/>
      <c r="V1479" s="78"/>
      <c r="W1479" s="77"/>
    </row>
    <row r="1480">
      <c r="A1480" s="145"/>
      <c r="B1480" s="145"/>
      <c r="C1480" s="145"/>
      <c r="D1480" s="75"/>
      <c r="E1480" s="75"/>
      <c r="F1480" s="211"/>
      <c r="G1480" s="145"/>
      <c r="H1480" s="211"/>
      <c r="I1480" s="145"/>
      <c r="J1480" s="211"/>
      <c r="K1480" s="75"/>
      <c r="L1480" s="152"/>
      <c r="M1480" s="152"/>
      <c r="N1480" s="296"/>
      <c r="O1480" s="213"/>
      <c r="P1480" s="47"/>
      <c r="Q1480" s="47"/>
      <c r="R1480" s="47"/>
      <c r="S1480" s="193"/>
      <c r="T1480" s="77"/>
      <c r="U1480" s="78"/>
      <c r="V1480" s="78"/>
      <c r="W1480" s="77"/>
    </row>
    <row r="1481">
      <c r="A1481" s="145"/>
      <c r="B1481" s="145"/>
      <c r="C1481" s="145"/>
      <c r="D1481" s="75"/>
      <c r="E1481" s="75"/>
      <c r="F1481" s="211"/>
      <c r="G1481" s="145"/>
      <c r="H1481" s="211"/>
      <c r="I1481" s="145"/>
      <c r="J1481" s="211"/>
      <c r="K1481" s="75"/>
      <c r="L1481" s="152"/>
      <c r="M1481" s="152"/>
      <c r="N1481" s="296"/>
      <c r="O1481" s="213"/>
      <c r="P1481" s="47"/>
      <c r="Q1481" s="47"/>
      <c r="R1481" s="47"/>
      <c r="S1481" s="193"/>
      <c r="T1481" s="77"/>
      <c r="U1481" s="78"/>
      <c r="V1481" s="78"/>
      <c r="W1481" s="77"/>
    </row>
    <row r="1482">
      <c r="A1482" s="145"/>
      <c r="B1482" s="145"/>
      <c r="C1482" s="145"/>
      <c r="D1482" s="75"/>
      <c r="E1482" s="75"/>
      <c r="F1482" s="211"/>
      <c r="G1482" s="145"/>
      <c r="H1482" s="211"/>
      <c r="I1482" s="145"/>
      <c r="J1482" s="211"/>
      <c r="K1482" s="75"/>
      <c r="L1482" s="152"/>
      <c r="M1482" s="152"/>
      <c r="N1482" s="296"/>
      <c r="O1482" s="213"/>
      <c r="P1482" s="47"/>
      <c r="Q1482" s="47"/>
      <c r="R1482" s="47"/>
      <c r="S1482" s="193"/>
      <c r="T1482" s="77"/>
      <c r="U1482" s="78"/>
      <c r="V1482" s="78"/>
      <c r="W1482" s="77"/>
    </row>
    <row r="1483">
      <c r="A1483" s="145"/>
      <c r="B1483" s="145"/>
      <c r="C1483" s="145"/>
      <c r="D1483" s="75"/>
      <c r="E1483" s="75"/>
      <c r="F1483" s="211"/>
      <c r="G1483" s="145"/>
      <c r="H1483" s="211"/>
      <c r="I1483" s="145"/>
      <c r="J1483" s="211"/>
      <c r="K1483" s="75"/>
      <c r="L1483" s="152"/>
      <c r="M1483" s="152"/>
      <c r="N1483" s="296"/>
      <c r="O1483" s="213"/>
      <c r="P1483" s="47"/>
      <c r="Q1483" s="47"/>
      <c r="R1483" s="47"/>
      <c r="S1483" s="193"/>
      <c r="T1483" s="77"/>
      <c r="U1483" s="78"/>
      <c r="V1483" s="78"/>
      <c r="W1483" s="77"/>
    </row>
    <row r="1484">
      <c r="A1484" s="145"/>
      <c r="B1484" s="145"/>
      <c r="C1484" s="145"/>
      <c r="D1484" s="75"/>
      <c r="E1484" s="75"/>
      <c r="F1484" s="211"/>
      <c r="G1484" s="145"/>
      <c r="H1484" s="211"/>
      <c r="I1484" s="145"/>
      <c r="J1484" s="211"/>
      <c r="K1484" s="75"/>
      <c r="L1484" s="152"/>
      <c r="M1484" s="152"/>
      <c r="N1484" s="296"/>
      <c r="O1484" s="213"/>
      <c r="P1484" s="47"/>
      <c r="Q1484" s="47"/>
      <c r="R1484" s="47"/>
      <c r="S1484" s="193"/>
      <c r="T1484" s="77"/>
      <c r="U1484" s="78"/>
      <c r="V1484" s="78"/>
      <c r="W1484" s="77"/>
    </row>
    <row r="1485">
      <c r="A1485" s="145"/>
      <c r="B1485" s="145"/>
      <c r="C1485" s="145"/>
      <c r="D1485" s="75"/>
      <c r="E1485" s="75"/>
      <c r="F1485" s="211"/>
      <c r="G1485" s="145"/>
      <c r="H1485" s="211"/>
      <c r="I1485" s="145"/>
      <c r="J1485" s="211"/>
      <c r="K1485" s="75"/>
      <c r="L1485" s="152"/>
      <c r="M1485" s="152"/>
      <c r="N1485" s="296"/>
      <c r="O1485" s="213"/>
      <c r="P1485" s="47"/>
      <c r="Q1485" s="47"/>
      <c r="R1485" s="47"/>
      <c r="S1485" s="193"/>
      <c r="T1485" s="77"/>
      <c r="U1485" s="78"/>
      <c r="V1485" s="78"/>
      <c r="W1485" s="77"/>
    </row>
    <row r="1486">
      <c r="A1486" s="145"/>
      <c r="B1486" s="145"/>
      <c r="C1486" s="145"/>
      <c r="D1486" s="75"/>
      <c r="E1486" s="75"/>
      <c r="F1486" s="211"/>
      <c r="G1486" s="145"/>
      <c r="H1486" s="211"/>
      <c r="I1486" s="145"/>
      <c r="J1486" s="211"/>
      <c r="K1486" s="75"/>
      <c r="L1486" s="152"/>
      <c r="M1486" s="152"/>
      <c r="N1486" s="296"/>
      <c r="O1486" s="213"/>
      <c r="P1486" s="47"/>
      <c r="Q1486" s="47"/>
      <c r="R1486" s="47"/>
      <c r="S1486" s="193"/>
      <c r="T1486" s="77"/>
      <c r="U1486" s="78"/>
      <c r="V1486" s="78"/>
      <c r="W1486" s="77"/>
    </row>
    <row r="1487">
      <c r="A1487" s="145"/>
      <c r="B1487" s="145"/>
      <c r="C1487" s="145"/>
      <c r="D1487" s="75"/>
      <c r="E1487" s="75"/>
      <c r="F1487" s="211"/>
      <c r="G1487" s="145"/>
      <c r="H1487" s="211"/>
      <c r="I1487" s="145"/>
      <c r="J1487" s="211"/>
      <c r="K1487" s="75"/>
      <c r="L1487" s="152"/>
      <c r="M1487" s="152"/>
      <c r="N1487" s="296"/>
      <c r="O1487" s="213"/>
      <c r="P1487" s="47"/>
      <c r="Q1487" s="47"/>
      <c r="R1487" s="47"/>
      <c r="S1487" s="193"/>
      <c r="T1487" s="77"/>
      <c r="U1487" s="78"/>
      <c r="V1487" s="78"/>
      <c r="W1487" s="77"/>
    </row>
    <row r="1488">
      <c r="A1488" s="145"/>
      <c r="B1488" s="145"/>
      <c r="C1488" s="145"/>
      <c r="D1488" s="75"/>
      <c r="E1488" s="75"/>
      <c r="F1488" s="211"/>
      <c r="G1488" s="145"/>
      <c r="H1488" s="211"/>
      <c r="I1488" s="145"/>
      <c r="J1488" s="211"/>
      <c r="K1488" s="75"/>
      <c r="L1488" s="152"/>
      <c r="M1488" s="152"/>
      <c r="N1488" s="296"/>
      <c r="O1488" s="213"/>
      <c r="P1488" s="47"/>
      <c r="Q1488" s="47"/>
      <c r="R1488" s="47"/>
      <c r="S1488" s="193"/>
      <c r="T1488" s="77"/>
      <c r="U1488" s="78"/>
      <c r="V1488" s="78"/>
      <c r="W1488" s="77"/>
    </row>
    <row r="1489">
      <c r="A1489" s="145"/>
      <c r="B1489" s="145"/>
      <c r="C1489" s="145"/>
      <c r="D1489" s="75"/>
      <c r="E1489" s="75"/>
      <c r="F1489" s="211"/>
      <c r="G1489" s="145"/>
      <c r="H1489" s="211"/>
      <c r="I1489" s="145"/>
      <c r="J1489" s="211"/>
      <c r="K1489" s="75"/>
      <c r="L1489" s="152"/>
      <c r="M1489" s="152"/>
      <c r="N1489" s="296"/>
      <c r="O1489" s="213"/>
      <c r="P1489" s="47"/>
      <c r="Q1489" s="47"/>
      <c r="R1489" s="47"/>
      <c r="S1489" s="193"/>
      <c r="T1489" s="77"/>
      <c r="U1489" s="78"/>
      <c r="V1489" s="78"/>
      <c r="W1489" s="77"/>
    </row>
    <row r="1490">
      <c r="A1490" s="145"/>
      <c r="B1490" s="145"/>
      <c r="C1490" s="145"/>
      <c r="D1490" s="75"/>
      <c r="E1490" s="75"/>
      <c r="F1490" s="211"/>
      <c r="G1490" s="145"/>
      <c r="H1490" s="211"/>
      <c r="I1490" s="145"/>
      <c r="J1490" s="211"/>
      <c r="K1490" s="75"/>
      <c r="L1490" s="152"/>
      <c r="M1490" s="152"/>
      <c r="N1490" s="296"/>
      <c r="O1490" s="213"/>
      <c r="P1490" s="47"/>
      <c r="Q1490" s="47"/>
      <c r="R1490" s="47"/>
      <c r="S1490" s="193"/>
      <c r="T1490" s="77"/>
      <c r="U1490" s="78"/>
      <c r="V1490" s="78"/>
      <c r="W1490" s="77"/>
    </row>
    <row r="1491">
      <c r="A1491" s="145"/>
      <c r="B1491" s="145"/>
      <c r="C1491" s="145"/>
      <c r="D1491" s="75"/>
      <c r="E1491" s="75"/>
      <c r="F1491" s="211"/>
      <c r="G1491" s="145"/>
      <c r="H1491" s="211"/>
      <c r="I1491" s="145"/>
      <c r="J1491" s="211"/>
      <c r="K1491" s="75"/>
      <c r="L1491" s="152"/>
      <c r="M1491" s="152"/>
      <c r="N1491" s="296"/>
      <c r="O1491" s="213"/>
      <c r="P1491" s="47"/>
      <c r="Q1491" s="47"/>
      <c r="R1491" s="47"/>
      <c r="S1491" s="193"/>
      <c r="T1491" s="77"/>
      <c r="U1491" s="78"/>
      <c r="V1491" s="78"/>
      <c r="W1491" s="77"/>
    </row>
    <row r="1492">
      <c r="A1492" s="145"/>
      <c r="B1492" s="145"/>
      <c r="C1492" s="145"/>
      <c r="D1492" s="75"/>
      <c r="E1492" s="75"/>
      <c r="F1492" s="211"/>
      <c r="G1492" s="145"/>
      <c r="H1492" s="211"/>
      <c r="I1492" s="145"/>
      <c r="J1492" s="211"/>
      <c r="K1492" s="75"/>
      <c r="L1492" s="152"/>
      <c r="M1492" s="152"/>
      <c r="N1492" s="296"/>
      <c r="O1492" s="213"/>
      <c r="P1492" s="47"/>
      <c r="Q1492" s="47"/>
      <c r="R1492" s="47"/>
      <c r="S1492" s="193"/>
      <c r="T1492" s="77"/>
      <c r="U1492" s="78"/>
      <c r="V1492" s="78"/>
      <c r="W1492" s="77"/>
    </row>
    <row r="1493">
      <c r="A1493" s="145"/>
      <c r="B1493" s="145"/>
      <c r="C1493" s="145"/>
      <c r="D1493" s="75"/>
      <c r="E1493" s="75"/>
      <c r="F1493" s="211"/>
      <c r="G1493" s="145"/>
      <c r="H1493" s="211"/>
      <c r="I1493" s="145"/>
      <c r="J1493" s="211"/>
      <c r="K1493" s="75"/>
      <c r="L1493" s="152"/>
      <c r="M1493" s="152"/>
      <c r="N1493" s="296"/>
      <c r="O1493" s="213"/>
      <c r="P1493" s="47"/>
      <c r="Q1493" s="47"/>
      <c r="R1493" s="47"/>
      <c r="S1493" s="193"/>
      <c r="T1493" s="77"/>
      <c r="U1493" s="78"/>
      <c r="V1493" s="78"/>
      <c r="W1493" s="77"/>
    </row>
    <row r="1494">
      <c r="A1494" s="145"/>
      <c r="B1494" s="145"/>
      <c r="C1494" s="145"/>
      <c r="D1494" s="75"/>
      <c r="E1494" s="75"/>
      <c r="F1494" s="211"/>
      <c r="G1494" s="145"/>
      <c r="H1494" s="211"/>
      <c r="I1494" s="145"/>
      <c r="J1494" s="211"/>
      <c r="K1494" s="75"/>
      <c r="L1494" s="152"/>
      <c r="M1494" s="152"/>
      <c r="N1494" s="296"/>
      <c r="O1494" s="213"/>
      <c r="P1494" s="47"/>
      <c r="Q1494" s="47"/>
      <c r="R1494" s="47"/>
      <c r="S1494" s="193"/>
      <c r="T1494" s="77"/>
      <c r="U1494" s="78"/>
      <c r="V1494" s="78"/>
      <c r="W1494" s="77"/>
    </row>
    <row r="1495">
      <c r="A1495" s="145"/>
      <c r="B1495" s="145"/>
      <c r="C1495" s="145"/>
      <c r="D1495" s="75"/>
      <c r="E1495" s="75"/>
      <c r="F1495" s="211"/>
      <c r="G1495" s="145"/>
      <c r="H1495" s="211"/>
      <c r="I1495" s="145"/>
      <c r="J1495" s="211"/>
      <c r="K1495" s="75"/>
      <c r="L1495" s="152"/>
      <c r="M1495" s="152"/>
      <c r="N1495" s="296"/>
      <c r="O1495" s="213"/>
      <c r="P1495" s="47"/>
      <c r="Q1495" s="47"/>
      <c r="R1495" s="47"/>
      <c r="S1495" s="193"/>
      <c r="T1495" s="77"/>
      <c r="U1495" s="78"/>
      <c r="V1495" s="78"/>
      <c r="W1495" s="77"/>
    </row>
    <row r="1496">
      <c r="A1496" s="145"/>
      <c r="B1496" s="145"/>
      <c r="C1496" s="145"/>
      <c r="D1496" s="75"/>
      <c r="E1496" s="75"/>
      <c r="F1496" s="211"/>
      <c r="G1496" s="145"/>
      <c r="H1496" s="211"/>
      <c r="I1496" s="145"/>
      <c r="J1496" s="211"/>
      <c r="K1496" s="75"/>
      <c r="L1496" s="152"/>
      <c r="M1496" s="152"/>
      <c r="N1496" s="296"/>
      <c r="O1496" s="213"/>
      <c r="P1496" s="47"/>
      <c r="Q1496" s="47"/>
      <c r="R1496" s="47"/>
      <c r="S1496" s="193"/>
      <c r="T1496" s="77"/>
      <c r="U1496" s="78"/>
      <c r="V1496" s="78"/>
      <c r="W1496" s="77"/>
    </row>
    <row r="1497">
      <c r="A1497" s="145"/>
      <c r="B1497" s="145"/>
      <c r="C1497" s="145"/>
      <c r="D1497" s="75"/>
      <c r="E1497" s="75"/>
      <c r="F1497" s="211"/>
      <c r="G1497" s="145"/>
      <c r="H1497" s="211"/>
      <c r="I1497" s="145"/>
      <c r="J1497" s="211"/>
      <c r="K1497" s="75"/>
      <c r="L1497" s="152"/>
      <c r="M1497" s="152"/>
      <c r="N1497" s="296"/>
      <c r="O1497" s="213"/>
      <c r="P1497" s="47"/>
      <c r="Q1497" s="47"/>
      <c r="R1497" s="47"/>
      <c r="S1497" s="193"/>
      <c r="T1497" s="77"/>
      <c r="U1497" s="78"/>
      <c r="V1497" s="78"/>
      <c r="W1497" s="77"/>
    </row>
    <row r="1498">
      <c r="A1498" s="145"/>
      <c r="B1498" s="145"/>
      <c r="C1498" s="145"/>
      <c r="D1498" s="75"/>
      <c r="E1498" s="75"/>
      <c r="F1498" s="211"/>
      <c r="G1498" s="145"/>
      <c r="H1498" s="211"/>
      <c r="I1498" s="145"/>
      <c r="J1498" s="211"/>
      <c r="K1498" s="75"/>
      <c r="L1498" s="152"/>
      <c r="M1498" s="152"/>
      <c r="N1498" s="296"/>
      <c r="O1498" s="213"/>
      <c r="P1498" s="47"/>
      <c r="Q1498" s="47"/>
      <c r="R1498" s="47"/>
      <c r="S1498" s="193"/>
      <c r="T1498" s="77"/>
      <c r="U1498" s="78"/>
      <c r="V1498" s="78"/>
      <c r="W1498" s="77"/>
    </row>
    <row r="1499">
      <c r="A1499" s="145"/>
      <c r="B1499" s="145"/>
      <c r="C1499" s="145"/>
      <c r="D1499" s="75"/>
      <c r="E1499" s="75"/>
      <c r="F1499" s="211"/>
      <c r="G1499" s="145"/>
      <c r="H1499" s="211"/>
      <c r="I1499" s="145"/>
      <c r="J1499" s="211"/>
      <c r="K1499" s="75"/>
      <c r="L1499" s="152"/>
      <c r="M1499" s="152"/>
      <c r="N1499" s="296"/>
      <c r="O1499" s="213"/>
      <c r="P1499" s="47"/>
      <c r="Q1499" s="47"/>
      <c r="R1499" s="47"/>
      <c r="S1499" s="193"/>
      <c r="T1499" s="77"/>
      <c r="U1499" s="78"/>
      <c r="V1499" s="78"/>
      <c r="W1499" s="77"/>
    </row>
    <row r="1500">
      <c r="A1500" s="145"/>
      <c r="B1500" s="145"/>
      <c r="C1500" s="145"/>
      <c r="D1500" s="75"/>
      <c r="E1500" s="75"/>
      <c r="F1500" s="211"/>
      <c r="G1500" s="145"/>
      <c r="H1500" s="211"/>
      <c r="I1500" s="145"/>
      <c r="J1500" s="211"/>
      <c r="K1500" s="75"/>
      <c r="L1500" s="152"/>
      <c r="M1500" s="152"/>
      <c r="N1500" s="296"/>
      <c r="O1500" s="213"/>
      <c r="P1500" s="47"/>
      <c r="Q1500" s="47"/>
      <c r="R1500" s="47"/>
      <c r="S1500" s="193"/>
      <c r="T1500" s="77"/>
      <c r="U1500" s="78"/>
      <c r="V1500" s="78"/>
      <c r="W1500" s="77"/>
    </row>
    <row r="1501">
      <c r="A1501" s="145"/>
      <c r="B1501" s="145"/>
      <c r="C1501" s="145"/>
      <c r="D1501" s="75"/>
      <c r="E1501" s="75"/>
      <c r="F1501" s="211"/>
      <c r="G1501" s="145"/>
      <c r="H1501" s="211"/>
      <c r="I1501" s="145"/>
      <c r="J1501" s="211"/>
      <c r="K1501" s="75"/>
      <c r="L1501" s="152"/>
      <c r="M1501" s="152"/>
      <c r="N1501" s="296"/>
      <c r="O1501" s="213"/>
      <c r="P1501" s="47"/>
      <c r="Q1501" s="47"/>
      <c r="R1501" s="47"/>
      <c r="S1501" s="193"/>
      <c r="T1501" s="77"/>
      <c r="U1501" s="78"/>
      <c r="V1501" s="78"/>
      <c r="W1501" s="77"/>
    </row>
    <row r="1502">
      <c r="A1502" s="145"/>
      <c r="B1502" s="145"/>
      <c r="C1502" s="145"/>
      <c r="D1502" s="75"/>
      <c r="E1502" s="75"/>
      <c r="F1502" s="211"/>
      <c r="G1502" s="145"/>
      <c r="H1502" s="211"/>
      <c r="I1502" s="145"/>
      <c r="J1502" s="211"/>
      <c r="K1502" s="75"/>
      <c r="L1502" s="152"/>
      <c r="M1502" s="152"/>
      <c r="N1502" s="296"/>
      <c r="O1502" s="213"/>
      <c r="P1502" s="47"/>
      <c r="Q1502" s="47"/>
      <c r="R1502" s="47"/>
      <c r="S1502" s="193"/>
      <c r="T1502" s="77"/>
      <c r="U1502" s="78"/>
      <c r="V1502" s="78"/>
      <c r="W1502" s="77"/>
    </row>
    <row r="1503">
      <c r="A1503" s="145"/>
      <c r="B1503" s="145"/>
      <c r="C1503" s="145"/>
      <c r="D1503" s="75"/>
      <c r="E1503" s="75"/>
      <c r="F1503" s="211"/>
      <c r="G1503" s="145"/>
      <c r="H1503" s="211"/>
      <c r="I1503" s="145"/>
      <c r="J1503" s="211"/>
      <c r="K1503" s="75"/>
      <c r="L1503" s="152"/>
      <c r="M1503" s="152"/>
      <c r="N1503" s="296"/>
      <c r="O1503" s="213"/>
      <c r="P1503" s="47"/>
      <c r="Q1503" s="47"/>
      <c r="R1503" s="47"/>
      <c r="S1503" s="193"/>
      <c r="T1503" s="77"/>
      <c r="U1503" s="78"/>
      <c r="V1503" s="78"/>
      <c r="W1503" s="77"/>
    </row>
    <row r="1504">
      <c r="A1504" s="145"/>
      <c r="B1504" s="145"/>
      <c r="C1504" s="145"/>
      <c r="D1504" s="75"/>
      <c r="E1504" s="75"/>
      <c r="F1504" s="211"/>
      <c r="G1504" s="145"/>
      <c r="H1504" s="211"/>
      <c r="I1504" s="145"/>
      <c r="J1504" s="211"/>
      <c r="K1504" s="75"/>
      <c r="L1504" s="152"/>
      <c r="M1504" s="152"/>
      <c r="N1504" s="296"/>
      <c r="O1504" s="213"/>
      <c r="P1504" s="47"/>
      <c r="Q1504" s="47"/>
      <c r="R1504" s="47"/>
      <c r="S1504" s="193"/>
      <c r="T1504" s="77"/>
      <c r="U1504" s="78"/>
      <c r="V1504" s="78"/>
      <c r="W1504" s="77"/>
    </row>
    <row r="1505">
      <c r="A1505" s="145"/>
      <c r="B1505" s="145"/>
      <c r="C1505" s="145"/>
      <c r="D1505" s="75"/>
      <c r="E1505" s="75"/>
      <c r="F1505" s="211"/>
      <c r="G1505" s="145"/>
      <c r="H1505" s="211"/>
      <c r="I1505" s="145"/>
      <c r="J1505" s="211"/>
      <c r="K1505" s="75"/>
      <c r="L1505" s="152"/>
      <c r="M1505" s="152"/>
      <c r="N1505" s="296"/>
      <c r="O1505" s="213"/>
      <c r="P1505" s="47"/>
      <c r="Q1505" s="47"/>
      <c r="R1505" s="47"/>
      <c r="S1505" s="193"/>
      <c r="T1505" s="77"/>
      <c r="U1505" s="78"/>
      <c r="V1505" s="78"/>
      <c r="W1505" s="77"/>
    </row>
    <row r="1506">
      <c r="A1506" s="145"/>
      <c r="B1506" s="145"/>
      <c r="C1506" s="145"/>
      <c r="D1506" s="75"/>
      <c r="E1506" s="75"/>
      <c r="F1506" s="211"/>
      <c r="G1506" s="145"/>
      <c r="H1506" s="211"/>
      <c r="I1506" s="145"/>
      <c r="J1506" s="211"/>
      <c r="K1506" s="75"/>
      <c r="L1506" s="152"/>
      <c r="M1506" s="152"/>
      <c r="N1506" s="296"/>
      <c r="O1506" s="213"/>
      <c r="P1506" s="47"/>
      <c r="Q1506" s="47"/>
      <c r="R1506" s="47"/>
      <c r="S1506" s="193"/>
      <c r="T1506" s="77"/>
      <c r="U1506" s="78"/>
      <c r="V1506" s="78"/>
      <c r="W1506" s="77"/>
    </row>
    <row r="1507">
      <c r="A1507" s="145"/>
      <c r="B1507" s="145"/>
      <c r="C1507" s="145"/>
      <c r="D1507" s="75"/>
      <c r="E1507" s="75"/>
      <c r="F1507" s="211"/>
      <c r="G1507" s="145"/>
      <c r="H1507" s="211"/>
      <c r="I1507" s="145"/>
      <c r="J1507" s="211"/>
      <c r="K1507" s="75"/>
      <c r="L1507" s="152"/>
      <c r="M1507" s="152"/>
      <c r="N1507" s="296"/>
      <c r="O1507" s="213"/>
      <c r="P1507" s="47"/>
      <c r="Q1507" s="47"/>
      <c r="R1507" s="47"/>
      <c r="S1507" s="193"/>
      <c r="T1507" s="77"/>
      <c r="U1507" s="78"/>
      <c r="V1507" s="78"/>
      <c r="W1507" s="77"/>
    </row>
    <row r="1508">
      <c r="A1508" s="145"/>
      <c r="B1508" s="145"/>
      <c r="C1508" s="145"/>
      <c r="D1508" s="75"/>
      <c r="E1508" s="75"/>
      <c r="F1508" s="211"/>
      <c r="G1508" s="145"/>
      <c r="H1508" s="211"/>
      <c r="I1508" s="145"/>
      <c r="J1508" s="211"/>
      <c r="K1508" s="75"/>
      <c r="L1508" s="152"/>
      <c r="M1508" s="152"/>
      <c r="N1508" s="296"/>
      <c r="O1508" s="213"/>
      <c r="P1508" s="47"/>
      <c r="Q1508" s="47"/>
      <c r="R1508" s="47"/>
      <c r="S1508" s="193"/>
      <c r="T1508" s="77"/>
      <c r="U1508" s="78"/>
      <c r="V1508" s="78"/>
      <c r="W1508" s="77"/>
    </row>
    <row r="1509">
      <c r="A1509" s="145"/>
      <c r="B1509" s="145"/>
      <c r="C1509" s="145"/>
      <c r="D1509" s="75"/>
      <c r="E1509" s="75"/>
      <c r="F1509" s="211"/>
      <c r="G1509" s="145"/>
      <c r="H1509" s="211"/>
      <c r="I1509" s="145"/>
      <c r="J1509" s="211"/>
      <c r="K1509" s="75"/>
      <c r="L1509" s="152"/>
      <c r="M1509" s="152"/>
      <c r="N1509" s="296"/>
      <c r="O1509" s="213"/>
      <c r="P1509" s="47"/>
      <c r="Q1509" s="47"/>
      <c r="R1509" s="47"/>
      <c r="S1509" s="193"/>
      <c r="T1509" s="77"/>
      <c r="U1509" s="78"/>
      <c r="V1509" s="78"/>
      <c r="W1509" s="77"/>
    </row>
    <row r="1510">
      <c r="A1510" s="145"/>
      <c r="B1510" s="145"/>
      <c r="C1510" s="145"/>
      <c r="D1510" s="75"/>
      <c r="E1510" s="75"/>
      <c r="F1510" s="211"/>
      <c r="G1510" s="145"/>
      <c r="H1510" s="211"/>
      <c r="I1510" s="145"/>
      <c r="J1510" s="211"/>
      <c r="K1510" s="75"/>
      <c r="L1510" s="152"/>
      <c r="M1510" s="152"/>
      <c r="N1510" s="296"/>
      <c r="O1510" s="213"/>
      <c r="P1510" s="47"/>
      <c r="Q1510" s="47"/>
      <c r="R1510" s="47"/>
      <c r="S1510" s="193"/>
      <c r="T1510" s="77"/>
      <c r="U1510" s="78"/>
      <c r="V1510" s="78"/>
      <c r="W1510" s="77"/>
    </row>
    <row r="1511">
      <c r="A1511" s="145"/>
      <c r="B1511" s="145"/>
      <c r="C1511" s="145"/>
      <c r="D1511" s="75"/>
      <c r="E1511" s="75"/>
      <c r="F1511" s="211"/>
      <c r="G1511" s="145"/>
      <c r="H1511" s="211"/>
      <c r="I1511" s="145"/>
      <c r="J1511" s="211"/>
      <c r="K1511" s="75"/>
      <c r="L1511" s="152"/>
      <c r="M1511" s="152"/>
      <c r="N1511" s="296"/>
      <c r="O1511" s="213"/>
      <c r="P1511" s="47"/>
      <c r="Q1511" s="47"/>
      <c r="R1511" s="47"/>
      <c r="S1511" s="193"/>
      <c r="T1511" s="77"/>
      <c r="U1511" s="78"/>
      <c r="V1511" s="78"/>
      <c r="W1511" s="77"/>
    </row>
    <row r="1512">
      <c r="A1512" s="145"/>
      <c r="B1512" s="145"/>
      <c r="C1512" s="145"/>
      <c r="D1512" s="75"/>
      <c r="E1512" s="75"/>
      <c r="F1512" s="211"/>
      <c r="G1512" s="145"/>
      <c r="H1512" s="211"/>
      <c r="I1512" s="145"/>
      <c r="J1512" s="211"/>
      <c r="K1512" s="75"/>
      <c r="L1512" s="152"/>
      <c r="M1512" s="152"/>
      <c r="N1512" s="296"/>
      <c r="O1512" s="213"/>
      <c r="P1512" s="47"/>
      <c r="Q1512" s="47"/>
      <c r="R1512" s="47"/>
      <c r="S1512" s="193"/>
      <c r="T1512" s="77"/>
      <c r="U1512" s="78"/>
      <c r="V1512" s="78"/>
      <c r="W1512" s="77"/>
    </row>
    <row r="1513">
      <c r="A1513" s="145"/>
      <c r="B1513" s="145"/>
      <c r="C1513" s="145"/>
      <c r="D1513" s="75"/>
      <c r="E1513" s="75"/>
      <c r="F1513" s="211"/>
      <c r="G1513" s="145"/>
      <c r="H1513" s="211"/>
      <c r="I1513" s="145"/>
      <c r="J1513" s="211"/>
      <c r="K1513" s="75"/>
      <c r="L1513" s="152"/>
      <c r="M1513" s="152"/>
      <c r="N1513" s="296"/>
      <c r="O1513" s="213"/>
      <c r="P1513" s="47"/>
      <c r="Q1513" s="47"/>
      <c r="R1513" s="47"/>
      <c r="S1513" s="193"/>
      <c r="T1513" s="77"/>
      <c r="U1513" s="78"/>
      <c r="V1513" s="78"/>
      <c r="W1513" s="77"/>
    </row>
    <row r="1514">
      <c r="A1514" s="145"/>
      <c r="B1514" s="145"/>
      <c r="C1514" s="145"/>
      <c r="D1514" s="75"/>
      <c r="E1514" s="75"/>
      <c r="F1514" s="211"/>
      <c r="G1514" s="145"/>
      <c r="H1514" s="211"/>
      <c r="I1514" s="145"/>
      <c r="J1514" s="211"/>
      <c r="K1514" s="75"/>
      <c r="L1514" s="152"/>
      <c r="M1514" s="152"/>
      <c r="N1514" s="296"/>
      <c r="O1514" s="213"/>
      <c r="P1514" s="47"/>
      <c r="Q1514" s="47"/>
      <c r="R1514" s="47"/>
      <c r="S1514" s="193"/>
      <c r="T1514" s="77"/>
      <c r="U1514" s="78"/>
      <c r="V1514" s="78"/>
      <c r="W1514" s="77"/>
    </row>
    <row r="1515">
      <c r="A1515" s="145"/>
      <c r="B1515" s="145"/>
      <c r="C1515" s="145"/>
      <c r="D1515" s="75"/>
      <c r="E1515" s="75"/>
      <c r="F1515" s="211"/>
      <c r="G1515" s="145"/>
      <c r="H1515" s="211"/>
      <c r="I1515" s="145"/>
      <c r="J1515" s="211"/>
      <c r="K1515" s="75"/>
      <c r="L1515" s="152"/>
      <c r="M1515" s="152"/>
      <c r="N1515" s="296"/>
      <c r="O1515" s="213"/>
      <c r="P1515" s="47"/>
      <c r="Q1515" s="47"/>
      <c r="R1515" s="47"/>
      <c r="S1515" s="193"/>
      <c r="T1515" s="77"/>
      <c r="U1515" s="78"/>
      <c r="V1515" s="78"/>
      <c r="W1515" s="77"/>
    </row>
    <row r="1516">
      <c r="A1516" s="145"/>
      <c r="B1516" s="145"/>
      <c r="C1516" s="145"/>
      <c r="D1516" s="75"/>
      <c r="E1516" s="75"/>
      <c r="F1516" s="211"/>
      <c r="G1516" s="145"/>
      <c r="H1516" s="211"/>
      <c r="I1516" s="145"/>
      <c r="J1516" s="211"/>
      <c r="K1516" s="75"/>
      <c r="L1516" s="152"/>
      <c r="M1516" s="152"/>
      <c r="N1516" s="296"/>
      <c r="O1516" s="213"/>
      <c r="P1516" s="47"/>
      <c r="Q1516" s="47"/>
      <c r="R1516" s="47"/>
      <c r="S1516" s="193"/>
      <c r="T1516" s="77"/>
      <c r="U1516" s="78"/>
      <c r="V1516" s="78"/>
      <c r="W1516" s="77"/>
    </row>
    <row r="1517">
      <c r="A1517" s="145"/>
      <c r="B1517" s="145"/>
      <c r="C1517" s="145"/>
      <c r="D1517" s="75"/>
      <c r="E1517" s="75"/>
      <c r="F1517" s="211"/>
      <c r="G1517" s="145"/>
      <c r="H1517" s="211"/>
      <c r="I1517" s="145"/>
      <c r="J1517" s="211"/>
      <c r="K1517" s="75"/>
      <c r="L1517" s="152"/>
      <c r="M1517" s="152"/>
      <c r="N1517" s="296"/>
      <c r="O1517" s="213"/>
      <c r="P1517" s="47"/>
      <c r="Q1517" s="47"/>
      <c r="R1517" s="47"/>
      <c r="S1517" s="193"/>
      <c r="T1517" s="77"/>
      <c r="U1517" s="78"/>
      <c r="V1517" s="78"/>
      <c r="W1517" s="77"/>
    </row>
    <row r="1518">
      <c r="A1518" s="145"/>
      <c r="B1518" s="145"/>
      <c r="C1518" s="145"/>
      <c r="D1518" s="75"/>
      <c r="E1518" s="75"/>
      <c r="F1518" s="211"/>
      <c r="G1518" s="145"/>
      <c r="H1518" s="211"/>
      <c r="I1518" s="145"/>
      <c r="J1518" s="211"/>
      <c r="K1518" s="75"/>
      <c r="L1518" s="152"/>
      <c r="M1518" s="152"/>
      <c r="N1518" s="296"/>
      <c r="O1518" s="213"/>
      <c r="P1518" s="47"/>
      <c r="Q1518" s="47"/>
      <c r="R1518" s="47"/>
      <c r="S1518" s="193"/>
      <c r="T1518" s="77"/>
      <c r="U1518" s="78"/>
      <c r="V1518" s="78"/>
      <c r="W1518" s="77"/>
    </row>
    <row r="1519">
      <c r="A1519" s="145"/>
      <c r="B1519" s="145"/>
      <c r="C1519" s="145"/>
      <c r="D1519" s="75"/>
      <c r="E1519" s="75"/>
      <c r="F1519" s="211"/>
      <c r="G1519" s="145"/>
      <c r="H1519" s="211"/>
      <c r="I1519" s="145"/>
      <c r="J1519" s="211"/>
      <c r="K1519" s="75"/>
      <c r="L1519" s="152"/>
      <c r="M1519" s="152"/>
      <c r="N1519" s="296"/>
      <c r="O1519" s="213"/>
      <c r="P1519" s="47"/>
      <c r="Q1519" s="47"/>
      <c r="R1519" s="47"/>
      <c r="S1519" s="193"/>
      <c r="T1519" s="77"/>
      <c r="U1519" s="78"/>
      <c r="V1519" s="78"/>
      <c r="W1519" s="77"/>
    </row>
    <row r="1520">
      <c r="A1520" s="145"/>
      <c r="B1520" s="145"/>
      <c r="C1520" s="145"/>
      <c r="D1520" s="75"/>
      <c r="E1520" s="75"/>
      <c r="F1520" s="211"/>
      <c r="G1520" s="145"/>
      <c r="H1520" s="211"/>
      <c r="I1520" s="145"/>
      <c r="J1520" s="211"/>
      <c r="K1520" s="75"/>
      <c r="L1520" s="152"/>
      <c r="M1520" s="152"/>
      <c r="N1520" s="296"/>
      <c r="O1520" s="213"/>
      <c r="P1520" s="47"/>
      <c r="Q1520" s="47"/>
      <c r="R1520" s="47"/>
      <c r="S1520" s="193"/>
      <c r="T1520" s="77"/>
      <c r="U1520" s="78"/>
      <c r="V1520" s="78"/>
      <c r="W1520" s="77"/>
    </row>
    <row r="1521">
      <c r="A1521" s="145"/>
      <c r="B1521" s="145"/>
      <c r="C1521" s="145"/>
      <c r="D1521" s="75"/>
      <c r="E1521" s="75"/>
      <c r="F1521" s="211"/>
      <c r="G1521" s="145"/>
      <c r="H1521" s="211"/>
      <c r="I1521" s="145"/>
      <c r="J1521" s="211"/>
      <c r="K1521" s="75"/>
      <c r="L1521" s="152"/>
      <c r="M1521" s="152"/>
      <c r="N1521" s="296"/>
      <c r="O1521" s="213"/>
      <c r="P1521" s="47"/>
      <c r="Q1521" s="47"/>
      <c r="R1521" s="47"/>
      <c r="S1521" s="193"/>
      <c r="T1521" s="77"/>
      <c r="U1521" s="78"/>
      <c r="V1521" s="78"/>
      <c r="W1521" s="77"/>
    </row>
    <row r="1522">
      <c r="A1522" s="145"/>
      <c r="B1522" s="145"/>
      <c r="C1522" s="145"/>
      <c r="D1522" s="75"/>
      <c r="E1522" s="75"/>
      <c r="F1522" s="211"/>
      <c r="G1522" s="145"/>
      <c r="H1522" s="211"/>
      <c r="I1522" s="145"/>
      <c r="J1522" s="211"/>
      <c r="K1522" s="75"/>
      <c r="L1522" s="152"/>
      <c r="M1522" s="152"/>
      <c r="N1522" s="296"/>
      <c r="O1522" s="213"/>
      <c r="P1522" s="47"/>
      <c r="Q1522" s="47"/>
      <c r="R1522" s="47"/>
      <c r="S1522" s="193"/>
      <c r="T1522" s="77"/>
      <c r="U1522" s="78"/>
      <c r="V1522" s="78"/>
      <c r="W1522" s="77"/>
    </row>
    <row r="1523">
      <c r="A1523" s="145"/>
      <c r="B1523" s="145"/>
      <c r="C1523" s="145"/>
      <c r="D1523" s="75"/>
      <c r="E1523" s="75"/>
      <c r="F1523" s="211"/>
      <c r="G1523" s="145"/>
      <c r="H1523" s="211"/>
      <c r="I1523" s="145"/>
      <c r="J1523" s="211"/>
      <c r="K1523" s="75"/>
      <c r="L1523" s="152"/>
      <c r="M1523" s="152"/>
      <c r="N1523" s="296"/>
      <c r="O1523" s="213"/>
      <c r="P1523" s="47"/>
      <c r="Q1523" s="47"/>
      <c r="R1523" s="47"/>
      <c r="S1523" s="193"/>
      <c r="T1523" s="77"/>
      <c r="U1523" s="78"/>
      <c r="V1523" s="78"/>
      <c r="W1523" s="77"/>
    </row>
    <row r="1524">
      <c r="A1524" s="145"/>
      <c r="B1524" s="145"/>
      <c r="C1524" s="145"/>
      <c r="D1524" s="75"/>
      <c r="E1524" s="75"/>
      <c r="F1524" s="211"/>
      <c r="G1524" s="145"/>
      <c r="H1524" s="211"/>
      <c r="I1524" s="145"/>
      <c r="J1524" s="211"/>
      <c r="K1524" s="75"/>
      <c r="L1524" s="152"/>
      <c r="M1524" s="152"/>
      <c r="N1524" s="296"/>
      <c r="O1524" s="213"/>
      <c r="P1524" s="47"/>
      <c r="Q1524" s="47"/>
      <c r="R1524" s="47"/>
      <c r="S1524" s="193"/>
      <c r="T1524" s="77"/>
      <c r="U1524" s="78"/>
      <c r="V1524" s="78"/>
      <c r="W1524" s="77"/>
    </row>
    <row r="1525">
      <c r="A1525" s="145"/>
      <c r="B1525" s="145"/>
      <c r="C1525" s="145"/>
      <c r="D1525" s="75"/>
      <c r="E1525" s="75"/>
      <c r="F1525" s="211"/>
      <c r="G1525" s="145"/>
      <c r="H1525" s="211"/>
      <c r="I1525" s="145"/>
      <c r="J1525" s="211"/>
      <c r="K1525" s="75"/>
      <c r="L1525" s="152"/>
      <c r="M1525" s="152"/>
      <c r="N1525" s="296"/>
      <c r="O1525" s="213"/>
      <c r="P1525" s="47"/>
      <c r="Q1525" s="47"/>
      <c r="R1525" s="47"/>
      <c r="S1525" s="193"/>
      <c r="T1525" s="77"/>
      <c r="U1525" s="78"/>
      <c r="V1525" s="78"/>
      <c r="W1525" s="77"/>
    </row>
    <row r="1526">
      <c r="A1526" s="145"/>
      <c r="B1526" s="145"/>
      <c r="C1526" s="145"/>
      <c r="D1526" s="75"/>
      <c r="E1526" s="75"/>
      <c r="F1526" s="211"/>
      <c r="G1526" s="145"/>
      <c r="H1526" s="211"/>
      <c r="I1526" s="145"/>
      <c r="J1526" s="211"/>
      <c r="K1526" s="75"/>
      <c r="L1526" s="152"/>
      <c r="M1526" s="152"/>
      <c r="N1526" s="296"/>
      <c r="O1526" s="213"/>
      <c r="P1526" s="47"/>
      <c r="Q1526" s="47"/>
      <c r="R1526" s="47"/>
      <c r="S1526" s="193"/>
      <c r="T1526" s="77"/>
      <c r="U1526" s="78"/>
      <c r="V1526" s="78"/>
      <c r="W1526" s="77"/>
    </row>
    <row r="1527">
      <c r="A1527" s="145"/>
      <c r="B1527" s="145"/>
      <c r="C1527" s="145"/>
      <c r="D1527" s="75"/>
      <c r="E1527" s="75"/>
      <c r="F1527" s="211"/>
      <c r="G1527" s="145"/>
      <c r="H1527" s="211"/>
      <c r="I1527" s="145"/>
      <c r="J1527" s="211"/>
      <c r="K1527" s="75"/>
      <c r="L1527" s="152"/>
      <c r="M1527" s="152"/>
      <c r="N1527" s="296"/>
      <c r="O1527" s="213"/>
      <c r="P1527" s="47"/>
      <c r="Q1527" s="47"/>
      <c r="R1527" s="47"/>
      <c r="S1527" s="193"/>
      <c r="T1527" s="77"/>
      <c r="U1527" s="78"/>
      <c r="V1527" s="78"/>
      <c r="W1527" s="77"/>
    </row>
    <row r="1528">
      <c r="A1528" s="145"/>
      <c r="B1528" s="145"/>
      <c r="C1528" s="145"/>
      <c r="D1528" s="75"/>
      <c r="E1528" s="75"/>
      <c r="F1528" s="211"/>
      <c r="G1528" s="145"/>
      <c r="H1528" s="211"/>
      <c r="I1528" s="145"/>
      <c r="J1528" s="211"/>
      <c r="K1528" s="75"/>
      <c r="L1528" s="152"/>
      <c r="M1528" s="152"/>
      <c r="N1528" s="296"/>
      <c r="O1528" s="213"/>
      <c r="P1528" s="47"/>
      <c r="Q1528" s="47"/>
      <c r="R1528" s="47"/>
      <c r="S1528" s="193"/>
      <c r="T1528" s="77"/>
      <c r="U1528" s="78"/>
      <c r="V1528" s="78"/>
      <c r="W1528" s="77"/>
    </row>
    <row r="1529">
      <c r="A1529" s="145"/>
      <c r="B1529" s="145"/>
      <c r="C1529" s="145"/>
      <c r="D1529" s="75"/>
      <c r="E1529" s="75"/>
      <c r="F1529" s="211"/>
      <c r="G1529" s="145"/>
      <c r="H1529" s="211"/>
      <c r="I1529" s="145"/>
      <c r="J1529" s="211"/>
      <c r="K1529" s="75"/>
      <c r="L1529" s="152"/>
      <c r="M1529" s="152"/>
      <c r="N1529" s="296"/>
      <c r="O1529" s="213"/>
      <c r="P1529" s="47"/>
      <c r="Q1529" s="47"/>
      <c r="R1529" s="47"/>
      <c r="S1529" s="193"/>
      <c r="T1529" s="77"/>
      <c r="U1529" s="78"/>
      <c r="V1529" s="78"/>
      <c r="W1529" s="77"/>
    </row>
    <row r="1530">
      <c r="A1530" s="145"/>
      <c r="B1530" s="145"/>
      <c r="C1530" s="145"/>
      <c r="D1530" s="75"/>
      <c r="E1530" s="75"/>
      <c r="F1530" s="211"/>
      <c r="G1530" s="145"/>
      <c r="H1530" s="211"/>
      <c r="I1530" s="145"/>
      <c r="J1530" s="211"/>
      <c r="K1530" s="75"/>
      <c r="L1530" s="152"/>
      <c r="M1530" s="152"/>
      <c r="N1530" s="296"/>
      <c r="O1530" s="213"/>
      <c r="P1530" s="47"/>
      <c r="Q1530" s="47"/>
      <c r="R1530" s="47"/>
      <c r="S1530" s="193"/>
      <c r="T1530" s="77"/>
      <c r="U1530" s="78"/>
      <c r="V1530" s="78"/>
      <c r="W1530" s="77"/>
    </row>
    <row r="1531">
      <c r="A1531" s="145"/>
      <c r="B1531" s="145"/>
      <c r="C1531" s="145"/>
      <c r="D1531" s="75"/>
      <c r="E1531" s="75"/>
      <c r="F1531" s="211"/>
      <c r="G1531" s="145"/>
      <c r="H1531" s="211"/>
      <c r="I1531" s="145"/>
      <c r="J1531" s="211"/>
      <c r="K1531" s="75"/>
      <c r="L1531" s="152"/>
      <c r="M1531" s="152"/>
      <c r="N1531" s="296"/>
      <c r="O1531" s="213"/>
      <c r="P1531" s="47"/>
      <c r="Q1531" s="47"/>
      <c r="R1531" s="47"/>
      <c r="S1531" s="193"/>
      <c r="T1531" s="77"/>
      <c r="U1531" s="78"/>
      <c r="V1531" s="78"/>
      <c r="W1531" s="77"/>
    </row>
    <row r="1532">
      <c r="A1532" s="145"/>
      <c r="B1532" s="145"/>
      <c r="C1532" s="145"/>
      <c r="D1532" s="75"/>
      <c r="E1532" s="75"/>
      <c r="F1532" s="211"/>
      <c r="G1532" s="145"/>
      <c r="H1532" s="211"/>
      <c r="I1532" s="145"/>
      <c r="J1532" s="211"/>
      <c r="K1532" s="75"/>
      <c r="L1532" s="152"/>
      <c r="M1532" s="152"/>
      <c r="N1532" s="296"/>
      <c r="O1532" s="213"/>
      <c r="P1532" s="47"/>
      <c r="Q1532" s="47"/>
      <c r="R1532" s="47"/>
      <c r="S1532" s="193"/>
      <c r="T1532" s="77"/>
      <c r="U1532" s="78"/>
      <c r="V1532" s="78"/>
      <c r="W1532" s="77"/>
    </row>
    <row r="1533">
      <c r="A1533" s="145"/>
      <c r="B1533" s="145"/>
      <c r="C1533" s="145"/>
      <c r="D1533" s="75"/>
      <c r="E1533" s="75"/>
      <c r="F1533" s="211"/>
      <c r="G1533" s="145"/>
      <c r="H1533" s="211"/>
      <c r="I1533" s="145"/>
      <c r="J1533" s="211"/>
      <c r="K1533" s="75"/>
      <c r="L1533" s="152"/>
      <c r="M1533" s="152"/>
      <c r="N1533" s="296"/>
      <c r="O1533" s="213"/>
      <c r="P1533" s="47"/>
      <c r="Q1533" s="47"/>
      <c r="R1533" s="47"/>
      <c r="S1533" s="193"/>
      <c r="T1533" s="77"/>
      <c r="U1533" s="78"/>
      <c r="V1533" s="78"/>
      <c r="W1533" s="77"/>
    </row>
    <row r="1534">
      <c r="A1534" s="145"/>
      <c r="B1534" s="145"/>
      <c r="C1534" s="145"/>
      <c r="D1534" s="75"/>
      <c r="E1534" s="75"/>
      <c r="F1534" s="211"/>
      <c r="G1534" s="145"/>
      <c r="H1534" s="211"/>
      <c r="I1534" s="145"/>
      <c r="J1534" s="211"/>
      <c r="K1534" s="75"/>
      <c r="L1534" s="152"/>
      <c r="M1534" s="152"/>
      <c r="N1534" s="296"/>
      <c r="O1534" s="213"/>
      <c r="P1534" s="47"/>
      <c r="Q1534" s="47"/>
      <c r="R1534" s="47"/>
      <c r="S1534" s="193"/>
      <c r="T1534" s="77"/>
      <c r="U1534" s="78"/>
      <c r="V1534" s="78"/>
      <c r="W1534" s="77"/>
    </row>
    <row r="1535">
      <c r="A1535" s="145"/>
      <c r="B1535" s="145"/>
      <c r="C1535" s="145"/>
      <c r="D1535" s="75"/>
      <c r="E1535" s="75"/>
      <c r="F1535" s="211"/>
      <c r="G1535" s="145"/>
      <c r="H1535" s="211"/>
      <c r="I1535" s="145"/>
      <c r="J1535" s="211"/>
      <c r="K1535" s="75"/>
      <c r="L1535" s="152"/>
      <c r="M1535" s="152"/>
      <c r="N1535" s="296"/>
      <c r="O1535" s="213"/>
      <c r="P1535" s="47"/>
      <c r="Q1535" s="47"/>
      <c r="R1535" s="47"/>
      <c r="S1535" s="193"/>
      <c r="T1535" s="77"/>
      <c r="U1535" s="78"/>
      <c r="V1535" s="78"/>
      <c r="W1535" s="77"/>
    </row>
    <row r="1536">
      <c r="A1536" s="145"/>
      <c r="B1536" s="145"/>
      <c r="C1536" s="145"/>
      <c r="D1536" s="75"/>
      <c r="E1536" s="75"/>
      <c r="F1536" s="211"/>
      <c r="G1536" s="145"/>
      <c r="H1536" s="211"/>
      <c r="I1536" s="145"/>
      <c r="J1536" s="211"/>
      <c r="K1536" s="75"/>
      <c r="L1536" s="152"/>
      <c r="M1536" s="152"/>
      <c r="N1536" s="296"/>
      <c r="O1536" s="213"/>
      <c r="P1536" s="47"/>
      <c r="Q1536" s="47"/>
      <c r="R1536" s="47"/>
      <c r="S1536" s="193"/>
      <c r="T1536" s="77"/>
      <c r="U1536" s="78"/>
      <c r="V1536" s="78"/>
      <c r="W1536" s="77"/>
    </row>
    <row r="1537">
      <c r="A1537" s="145"/>
      <c r="B1537" s="145"/>
      <c r="C1537" s="145"/>
      <c r="D1537" s="75"/>
      <c r="E1537" s="75"/>
      <c r="F1537" s="211"/>
      <c r="G1537" s="145"/>
      <c r="H1537" s="211"/>
      <c r="I1537" s="145"/>
      <c r="J1537" s="211"/>
      <c r="K1537" s="75"/>
      <c r="L1537" s="152"/>
      <c r="M1537" s="152"/>
      <c r="N1537" s="296"/>
      <c r="O1537" s="213"/>
      <c r="P1537" s="47"/>
      <c r="Q1537" s="47"/>
      <c r="R1537" s="47"/>
      <c r="S1537" s="193"/>
      <c r="T1537" s="77"/>
      <c r="U1537" s="78"/>
      <c r="V1537" s="78"/>
      <c r="W1537" s="77"/>
    </row>
    <row r="1538">
      <c r="A1538" s="145"/>
      <c r="B1538" s="145"/>
      <c r="C1538" s="145"/>
      <c r="D1538" s="75"/>
      <c r="E1538" s="75"/>
      <c r="F1538" s="211"/>
      <c r="G1538" s="145"/>
      <c r="H1538" s="211"/>
      <c r="I1538" s="145"/>
      <c r="J1538" s="211"/>
      <c r="K1538" s="75"/>
      <c r="L1538" s="152"/>
      <c r="M1538" s="152"/>
      <c r="N1538" s="296"/>
      <c r="O1538" s="213"/>
      <c r="P1538" s="47"/>
      <c r="Q1538" s="47"/>
      <c r="R1538" s="47"/>
      <c r="S1538" s="193"/>
      <c r="T1538" s="77"/>
      <c r="U1538" s="78"/>
      <c r="V1538" s="78"/>
      <c r="W1538" s="77"/>
    </row>
    <row r="1539">
      <c r="A1539" s="145"/>
      <c r="B1539" s="145"/>
      <c r="C1539" s="145"/>
      <c r="D1539" s="75"/>
      <c r="E1539" s="75"/>
      <c r="F1539" s="211"/>
      <c r="G1539" s="145"/>
      <c r="H1539" s="211"/>
      <c r="I1539" s="145"/>
      <c r="J1539" s="211"/>
      <c r="K1539" s="75"/>
      <c r="L1539" s="152"/>
      <c r="M1539" s="152"/>
      <c r="N1539" s="296"/>
      <c r="O1539" s="213"/>
      <c r="P1539" s="47"/>
      <c r="Q1539" s="47"/>
      <c r="R1539" s="47"/>
      <c r="S1539" s="193"/>
      <c r="T1539" s="77"/>
      <c r="U1539" s="78"/>
      <c r="V1539" s="78"/>
      <c r="W1539" s="77"/>
    </row>
    <row r="1540">
      <c r="A1540" s="145"/>
      <c r="B1540" s="145"/>
      <c r="C1540" s="145"/>
      <c r="D1540" s="75"/>
      <c r="E1540" s="75"/>
      <c r="F1540" s="211"/>
      <c r="G1540" s="145"/>
      <c r="H1540" s="211"/>
      <c r="I1540" s="145"/>
      <c r="J1540" s="211"/>
      <c r="K1540" s="75"/>
      <c r="L1540" s="152"/>
      <c r="M1540" s="152"/>
      <c r="N1540" s="296"/>
      <c r="O1540" s="213"/>
      <c r="P1540" s="47"/>
      <c r="Q1540" s="47"/>
      <c r="R1540" s="47"/>
      <c r="S1540" s="193"/>
      <c r="T1540" s="77"/>
      <c r="U1540" s="78"/>
      <c r="V1540" s="78"/>
      <c r="W1540" s="77"/>
    </row>
    <row r="1541">
      <c r="A1541" s="145"/>
      <c r="B1541" s="145"/>
      <c r="C1541" s="145"/>
      <c r="D1541" s="75"/>
      <c r="E1541" s="75"/>
      <c r="F1541" s="211"/>
      <c r="G1541" s="145"/>
      <c r="H1541" s="211"/>
      <c r="I1541" s="145"/>
      <c r="J1541" s="211"/>
      <c r="K1541" s="75"/>
      <c r="L1541" s="152"/>
      <c r="M1541" s="152"/>
      <c r="N1541" s="296"/>
      <c r="O1541" s="213"/>
      <c r="P1541" s="47"/>
      <c r="Q1541" s="47"/>
      <c r="R1541" s="47"/>
      <c r="S1541" s="193"/>
      <c r="T1541" s="77"/>
      <c r="U1541" s="78"/>
      <c r="V1541" s="78"/>
      <c r="W1541" s="77"/>
    </row>
    <row r="1542">
      <c r="A1542" s="145"/>
      <c r="B1542" s="145"/>
      <c r="C1542" s="145"/>
      <c r="D1542" s="75"/>
      <c r="E1542" s="75"/>
      <c r="F1542" s="211"/>
      <c r="G1542" s="145"/>
      <c r="H1542" s="211"/>
      <c r="I1542" s="145"/>
      <c r="J1542" s="211"/>
      <c r="K1542" s="75"/>
      <c r="L1542" s="152"/>
      <c r="M1542" s="152"/>
      <c r="N1542" s="296"/>
      <c r="O1542" s="213"/>
      <c r="P1542" s="47"/>
      <c r="Q1542" s="47"/>
      <c r="R1542" s="47"/>
      <c r="S1542" s="193"/>
      <c r="T1542" s="77"/>
      <c r="U1542" s="78"/>
      <c r="V1542" s="78"/>
      <c r="W1542" s="77"/>
    </row>
    <row r="1543">
      <c r="A1543" s="145"/>
      <c r="B1543" s="145"/>
      <c r="C1543" s="145"/>
      <c r="D1543" s="75"/>
      <c r="E1543" s="75"/>
      <c r="F1543" s="211"/>
      <c r="G1543" s="145"/>
      <c r="H1543" s="211"/>
      <c r="I1543" s="145"/>
      <c r="J1543" s="211"/>
      <c r="K1543" s="75"/>
      <c r="L1543" s="152"/>
      <c r="M1543" s="152"/>
      <c r="N1543" s="296"/>
      <c r="O1543" s="213"/>
      <c r="P1543" s="47"/>
      <c r="Q1543" s="47"/>
      <c r="R1543" s="47"/>
      <c r="S1543" s="193"/>
      <c r="T1543" s="77"/>
      <c r="U1543" s="78"/>
      <c r="V1543" s="78"/>
      <c r="W1543" s="77"/>
    </row>
    <row r="1544">
      <c r="A1544" s="145"/>
      <c r="B1544" s="145"/>
      <c r="C1544" s="145"/>
      <c r="D1544" s="75"/>
      <c r="E1544" s="75"/>
      <c r="F1544" s="211"/>
      <c r="G1544" s="145"/>
      <c r="H1544" s="211"/>
      <c r="I1544" s="145"/>
      <c r="J1544" s="211"/>
      <c r="K1544" s="75"/>
      <c r="L1544" s="152"/>
      <c r="M1544" s="152"/>
      <c r="N1544" s="296"/>
      <c r="O1544" s="213"/>
      <c r="P1544" s="47"/>
      <c r="Q1544" s="47"/>
      <c r="R1544" s="47"/>
      <c r="S1544" s="193"/>
      <c r="T1544" s="77"/>
      <c r="U1544" s="78"/>
      <c r="V1544" s="78"/>
      <c r="W1544" s="77"/>
    </row>
    <row r="1545">
      <c r="A1545" s="145"/>
      <c r="B1545" s="145"/>
      <c r="C1545" s="145"/>
      <c r="D1545" s="75"/>
      <c r="E1545" s="75"/>
      <c r="F1545" s="211"/>
      <c r="G1545" s="145"/>
      <c r="H1545" s="211"/>
      <c r="I1545" s="145"/>
      <c r="J1545" s="211"/>
      <c r="K1545" s="75"/>
      <c r="L1545" s="152"/>
      <c r="M1545" s="152"/>
      <c r="N1545" s="296"/>
      <c r="O1545" s="213"/>
      <c r="P1545" s="47"/>
      <c r="Q1545" s="47"/>
      <c r="R1545" s="47"/>
      <c r="S1545" s="193"/>
      <c r="T1545" s="77"/>
      <c r="U1545" s="78"/>
      <c r="V1545" s="78"/>
      <c r="W1545" s="77"/>
    </row>
    <row r="1546">
      <c r="A1546" s="145"/>
      <c r="B1546" s="145"/>
      <c r="C1546" s="145"/>
      <c r="D1546" s="75"/>
      <c r="E1546" s="75"/>
      <c r="F1546" s="211"/>
      <c r="G1546" s="145"/>
      <c r="H1546" s="211"/>
      <c r="I1546" s="145"/>
      <c r="J1546" s="211"/>
      <c r="K1546" s="75"/>
      <c r="L1546" s="152"/>
      <c r="M1546" s="152"/>
      <c r="N1546" s="296"/>
      <c r="O1546" s="213"/>
      <c r="P1546" s="47"/>
      <c r="Q1546" s="47"/>
      <c r="R1546" s="47"/>
      <c r="S1546" s="193"/>
      <c r="T1546" s="77"/>
      <c r="U1546" s="78"/>
      <c r="V1546" s="78"/>
      <c r="W1546" s="77"/>
    </row>
    <row r="1547">
      <c r="A1547" s="145"/>
      <c r="B1547" s="145"/>
      <c r="C1547" s="145"/>
      <c r="D1547" s="75"/>
      <c r="E1547" s="75"/>
      <c r="F1547" s="211"/>
      <c r="G1547" s="145"/>
      <c r="H1547" s="211"/>
      <c r="I1547" s="145"/>
      <c r="J1547" s="211"/>
      <c r="K1547" s="75"/>
      <c r="L1547" s="152"/>
      <c r="M1547" s="152"/>
      <c r="N1547" s="296"/>
      <c r="O1547" s="213"/>
      <c r="P1547" s="47"/>
      <c r="Q1547" s="47"/>
      <c r="R1547" s="47"/>
      <c r="S1547" s="193"/>
      <c r="T1547" s="77"/>
      <c r="U1547" s="78"/>
      <c r="V1547" s="78"/>
      <c r="W1547" s="77"/>
    </row>
    <row r="1548">
      <c r="A1548" s="145"/>
      <c r="B1548" s="145"/>
      <c r="C1548" s="145"/>
      <c r="D1548" s="75"/>
      <c r="E1548" s="75"/>
      <c r="F1548" s="211"/>
      <c r="G1548" s="145"/>
      <c r="H1548" s="211"/>
      <c r="I1548" s="145"/>
      <c r="J1548" s="211"/>
      <c r="K1548" s="75"/>
      <c r="L1548" s="152"/>
      <c r="M1548" s="152"/>
      <c r="N1548" s="296"/>
      <c r="O1548" s="213"/>
      <c r="P1548" s="47"/>
      <c r="Q1548" s="47"/>
      <c r="R1548" s="47"/>
      <c r="S1548" s="193"/>
      <c r="T1548" s="77"/>
      <c r="U1548" s="78"/>
      <c r="V1548" s="78"/>
      <c r="W1548" s="77"/>
    </row>
    <row r="1549">
      <c r="A1549" s="145"/>
      <c r="B1549" s="145"/>
      <c r="C1549" s="145"/>
      <c r="D1549" s="75"/>
      <c r="E1549" s="75"/>
      <c r="F1549" s="211"/>
      <c r="G1549" s="145"/>
      <c r="H1549" s="211"/>
      <c r="I1549" s="145"/>
      <c r="J1549" s="211"/>
      <c r="K1549" s="75"/>
      <c r="L1549" s="152"/>
      <c r="M1549" s="152"/>
      <c r="N1549" s="296"/>
      <c r="O1549" s="213"/>
      <c r="P1549" s="47"/>
      <c r="Q1549" s="47"/>
      <c r="R1549" s="47"/>
      <c r="S1549" s="193"/>
      <c r="T1549" s="77"/>
      <c r="U1549" s="78"/>
      <c r="V1549" s="78"/>
      <c r="W1549" s="77"/>
    </row>
    <row r="1550">
      <c r="A1550" s="145"/>
      <c r="B1550" s="145"/>
      <c r="C1550" s="145"/>
      <c r="D1550" s="75"/>
      <c r="E1550" s="75"/>
      <c r="F1550" s="211"/>
      <c r="G1550" s="145"/>
      <c r="H1550" s="211"/>
      <c r="I1550" s="145"/>
      <c r="J1550" s="211"/>
      <c r="K1550" s="75"/>
      <c r="L1550" s="152"/>
      <c r="M1550" s="152"/>
      <c r="N1550" s="296"/>
      <c r="O1550" s="213"/>
      <c r="P1550" s="47"/>
      <c r="Q1550" s="47"/>
      <c r="R1550" s="47"/>
      <c r="S1550" s="193"/>
      <c r="T1550" s="77"/>
      <c r="U1550" s="78"/>
      <c r="V1550" s="78"/>
      <c r="W1550" s="77"/>
    </row>
    <row r="1551">
      <c r="A1551" s="145"/>
      <c r="B1551" s="145"/>
      <c r="C1551" s="145"/>
      <c r="D1551" s="75"/>
      <c r="E1551" s="75"/>
      <c r="F1551" s="211"/>
      <c r="G1551" s="145"/>
      <c r="H1551" s="211"/>
      <c r="I1551" s="145"/>
      <c r="J1551" s="211"/>
      <c r="K1551" s="75"/>
      <c r="L1551" s="152"/>
      <c r="M1551" s="152"/>
      <c r="N1551" s="296"/>
      <c r="O1551" s="213"/>
      <c r="P1551" s="47"/>
      <c r="Q1551" s="47"/>
      <c r="R1551" s="47"/>
      <c r="S1551" s="193"/>
      <c r="T1551" s="77"/>
      <c r="U1551" s="78"/>
      <c r="V1551" s="78"/>
      <c r="W1551" s="77"/>
    </row>
    <row r="1552">
      <c r="A1552" s="145"/>
      <c r="B1552" s="145"/>
      <c r="C1552" s="145"/>
      <c r="D1552" s="75"/>
      <c r="E1552" s="75"/>
      <c r="F1552" s="211"/>
      <c r="G1552" s="145"/>
      <c r="H1552" s="211"/>
      <c r="I1552" s="145"/>
      <c r="J1552" s="211"/>
      <c r="K1552" s="75"/>
      <c r="L1552" s="152"/>
      <c r="M1552" s="152"/>
      <c r="N1552" s="296"/>
      <c r="O1552" s="213"/>
      <c r="P1552" s="47"/>
      <c r="Q1552" s="47"/>
      <c r="R1552" s="47"/>
      <c r="S1552" s="193"/>
      <c r="T1552" s="77"/>
      <c r="U1552" s="78"/>
      <c r="V1552" s="78"/>
      <c r="W1552" s="77"/>
    </row>
    <row r="1553">
      <c r="A1553" s="145"/>
      <c r="B1553" s="145"/>
      <c r="C1553" s="145"/>
      <c r="D1553" s="75"/>
      <c r="E1553" s="75"/>
      <c r="F1553" s="211"/>
      <c r="G1553" s="145"/>
      <c r="H1553" s="211"/>
      <c r="I1553" s="145"/>
      <c r="J1553" s="211"/>
      <c r="K1553" s="75"/>
      <c r="L1553" s="152"/>
      <c r="M1553" s="152"/>
      <c r="N1553" s="296"/>
      <c r="O1553" s="213"/>
      <c r="P1553" s="47"/>
      <c r="Q1553" s="47"/>
      <c r="R1553" s="47"/>
      <c r="S1553" s="193"/>
      <c r="T1553" s="77"/>
      <c r="U1553" s="78"/>
      <c r="V1553" s="78"/>
      <c r="W1553" s="77"/>
    </row>
    <row r="1554">
      <c r="A1554" s="145"/>
      <c r="B1554" s="145"/>
      <c r="C1554" s="145"/>
      <c r="D1554" s="75"/>
      <c r="E1554" s="75"/>
      <c r="F1554" s="211"/>
      <c r="G1554" s="145"/>
      <c r="H1554" s="211"/>
      <c r="I1554" s="145"/>
      <c r="J1554" s="211"/>
      <c r="K1554" s="75"/>
      <c r="L1554" s="152"/>
      <c r="M1554" s="152"/>
      <c r="N1554" s="296"/>
      <c r="O1554" s="213"/>
      <c r="P1554" s="47"/>
      <c r="Q1554" s="47"/>
      <c r="R1554" s="47"/>
      <c r="S1554" s="193"/>
      <c r="T1554" s="77"/>
      <c r="U1554" s="78"/>
      <c r="V1554" s="78"/>
      <c r="W1554" s="77"/>
    </row>
    <row r="1555">
      <c r="A1555" s="145"/>
      <c r="B1555" s="145"/>
      <c r="C1555" s="145"/>
      <c r="D1555" s="75"/>
      <c r="E1555" s="75"/>
      <c r="F1555" s="211"/>
      <c r="G1555" s="145"/>
      <c r="H1555" s="211"/>
      <c r="I1555" s="145"/>
      <c r="J1555" s="211"/>
      <c r="K1555" s="75"/>
      <c r="L1555" s="152"/>
      <c r="M1555" s="152"/>
      <c r="N1555" s="296"/>
      <c r="O1555" s="213"/>
      <c r="P1555" s="47"/>
      <c r="Q1555" s="47"/>
      <c r="R1555" s="47"/>
      <c r="S1555" s="193"/>
      <c r="T1555" s="77"/>
      <c r="U1555" s="78"/>
      <c r="V1555" s="78"/>
      <c r="W1555" s="77"/>
    </row>
    <row r="1556">
      <c r="A1556" s="145"/>
      <c r="B1556" s="145"/>
      <c r="C1556" s="145"/>
      <c r="D1556" s="75"/>
      <c r="E1556" s="75"/>
      <c r="F1556" s="211"/>
      <c r="G1556" s="145"/>
      <c r="H1556" s="211"/>
      <c r="I1556" s="145"/>
      <c r="J1556" s="211"/>
      <c r="K1556" s="75"/>
      <c r="L1556" s="152"/>
      <c r="M1556" s="152"/>
      <c r="N1556" s="296"/>
      <c r="O1556" s="213"/>
      <c r="P1556" s="47"/>
      <c r="Q1556" s="47"/>
      <c r="R1556" s="47"/>
      <c r="S1556" s="193"/>
      <c r="T1556" s="77"/>
      <c r="U1556" s="78"/>
      <c r="V1556" s="78"/>
      <c r="W1556" s="77"/>
    </row>
    <row r="1557">
      <c r="A1557" s="145"/>
      <c r="B1557" s="145"/>
      <c r="C1557" s="145"/>
      <c r="D1557" s="75"/>
      <c r="E1557" s="75"/>
      <c r="F1557" s="211"/>
      <c r="G1557" s="145"/>
      <c r="H1557" s="211"/>
      <c r="I1557" s="145"/>
      <c r="J1557" s="211"/>
      <c r="K1557" s="75"/>
      <c r="L1557" s="152"/>
      <c r="M1557" s="152"/>
      <c r="N1557" s="296"/>
      <c r="O1557" s="213"/>
      <c r="P1557" s="47"/>
      <c r="Q1557" s="47"/>
      <c r="R1557" s="47"/>
      <c r="S1557" s="193"/>
      <c r="T1557" s="77"/>
      <c r="U1557" s="78"/>
      <c r="V1557" s="78"/>
      <c r="W1557" s="77"/>
    </row>
    <row r="1558">
      <c r="A1558" s="145"/>
      <c r="B1558" s="145"/>
      <c r="C1558" s="145"/>
      <c r="D1558" s="75"/>
      <c r="E1558" s="75"/>
      <c r="F1558" s="211"/>
      <c r="G1558" s="145"/>
      <c r="H1558" s="211"/>
      <c r="I1558" s="145"/>
      <c r="J1558" s="211"/>
      <c r="K1558" s="75"/>
      <c r="L1558" s="152"/>
      <c r="M1558" s="152"/>
      <c r="N1558" s="296"/>
      <c r="O1558" s="213"/>
      <c r="P1558" s="47"/>
      <c r="Q1558" s="47"/>
      <c r="R1558" s="47"/>
      <c r="S1558" s="193"/>
      <c r="T1558" s="77"/>
      <c r="U1558" s="78"/>
      <c r="V1558" s="78"/>
      <c r="W1558" s="77"/>
    </row>
    <row r="1559">
      <c r="A1559" s="145"/>
      <c r="B1559" s="145"/>
      <c r="C1559" s="145"/>
      <c r="D1559" s="75"/>
      <c r="E1559" s="75"/>
      <c r="F1559" s="211"/>
      <c r="G1559" s="145"/>
      <c r="H1559" s="211"/>
      <c r="I1559" s="145"/>
      <c r="J1559" s="211"/>
      <c r="K1559" s="75"/>
      <c r="L1559" s="152"/>
      <c r="M1559" s="152"/>
      <c r="N1559" s="296"/>
      <c r="O1559" s="213"/>
      <c r="P1559" s="47"/>
      <c r="Q1559" s="47"/>
      <c r="R1559" s="47"/>
      <c r="S1559" s="193"/>
      <c r="T1559" s="77"/>
      <c r="U1559" s="78"/>
      <c r="V1559" s="78"/>
      <c r="W1559" s="77"/>
    </row>
    <row r="1560">
      <c r="A1560" s="145"/>
      <c r="B1560" s="145"/>
      <c r="C1560" s="145"/>
      <c r="D1560" s="75"/>
      <c r="E1560" s="75"/>
      <c r="F1560" s="211"/>
      <c r="G1560" s="145"/>
      <c r="H1560" s="211"/>
      <c r="I1560" s="145"/>
      <c r="J1560" s="211"/>
      <c r="K1560" s="75"/>
      <c r="L1560" s="152"/>
      <c r="M1560" s="152"/>
      <c r="N1560" s="296"/>
      <c r="O1560" s="213"/>
      <c r="P1560" s="47"/>
      <c r="Q1560" s="47"/>
      <c r="R1560" s="47"/>
      <c r="S1560" s="193"/>
      <c r="T1560" s="77"/>
      <c r="U1560" s="78"/>
      <c r="V1560" s="78"/>
      <c r="W1560" s="77"/>
    </row>
    <row r="1561">
      <c r="A1561" s="145"/>
      <c r="B1561" s="145"/>
      <c r="C1561" s="145"/>
      <c r="D1561" s="75"/>
      <c r="E1561" s="75"/>
      <c r="F1561" s="211"/>
      <c r="G1561" s="145"/>
      <c r="H1561" s="211"/>
      <c r="I1561" s="145"/>
      <c r="J1561" s="211"/>
      <c r="K1561" s="75"/>
      <c r="L1561" s="152"/>
      <c r="M1561" s="152"/>
      <c r="N1561" s="296"/>
      <c r="O1561" s="213"/>
      <c r="P1561" s="47"/>
      <c r="Q1561" s="47"/>
      <c r="R1561" s="47"/>
      <c r="S1561" s="193"/>
      <c r="T1561" s="77"/>
      <c r="U1561" s="78"/>
      <c r="V1561" s="78"/>
      <c r="W1561" s="77"/>
    </row>
    <row r="1562">
      <c r="A1562" s="145"/>
      <c r="B1562" s="145"/>
      <c r="C1562" s="145"/>
      <c r="D1562" s="75"/>
      <c r="E1562" s="75"/>
      <c r="F1562" s="211"/>
      <c r="G1562" s="145"/>
      <c r="H1562" s="211"/>
      <c r="I1562" s="145"/>
      <c r="J1562" s="211"/>
      <c r="K1562" s="75"/>
      <c r="L1562" s="152"/>
      <c r="M1562" s="152"/>
      <c r="N1562" s="296"/>
      <c r="O1562" s="213"/>
      <c r="P1562" s="47"/>
      <c r="Q1562" s="47"/>
      <c r="R1562" s="47"/>
      <c r="S1562" s="193"/>
      <c r="T1562" s="77"/>
      <c r="U1562" s="78"/>
      <c r="V1562" s="78"/>
      <c r="W1562" s="77"/>
    </row>
    <row r="1563">
      <c r="A1563" s="145"/>
      <c r="B1563" s="145"/>
      <c r="C1563" s="145"/>
      <c r="D1563" s="75"/>
      <c r="E1563" s="75"/>
      <c r="F1563" s="211"/>
      <c r="G1563" s="145"/>
      <c r="H1563" s="211"/>
      <c r="I1563" s="145"/>
      <c r="J1563" s="211"/>
      <c r="K1563" s="75"/>
      <c r="L1563" s="152"/>
      <c r="M1563" s="152"/>
      <c r="N1563" s="296"/>
      <c r="O1563" s="213"/>
      <c r="P1563" s="47"/>
      <c r="Q1563" s="47"/>
      <c r="R1563" s="47"/>
      <c r="S1563" s="193"/>
      <c r="T1563" s="77"/>
      <c r="U1563" s="78"/>
      <c r="V1563" s="78"/>
      <c r="W1563" s="77"/>
    </row>
    <row r="1564">
      <c r="A1564" s="145"/>
      <c r="B1564" s="145"/>
      <c r="C1564" s="145"/>
      <c r="D1564" s="75"/>
      <c r="E1564" s="75"/>
      <c r="F1564" s="211"/>
      <c r="G1564" s="145"/>
      <c r="H1564" s="211"/>
      <c r="I1564" s="145"/>
      <c r="J1564" s="211"/>
      <c r="K1564" s="75"/>
      <c r="L1564" s="152"/>
      <c r="M1564" s="152"/>
      <c r="N1564" s="296"/>
      <c r="O1564" s="213"/>
      <c r="P1564" s="47"/>
      <c r="Q1564" s="47"/>
      <c r="R1564" s="47"/>
      <c r="S1564" s="193"/>
      <c r="T1564" s="77"/>
      <c r="U1564" s="78"/>
      <c r="V1564" s="78"/>
      <c r="W1564" s="77"/>
    </row>
    <row r="1565">
      <c r="A1565" s="145"/>
      <c r="B1565" s="145"/>
      <c r="C1565" s="145"/>
      <c r="D1565" s="75"/>
      <c r="E1565" s="75"/>
      <c r="F1565" s="211"/>
      <c r="G1565" s="145"/>
      <c r="H1565" s="211"/>
      <c r="I1565" s="145"/>
      <c r="J1565" s="211"/>
      <c r="K1565" s="75"/>
      <c r="L1565" s="152"/>
      <c r="M1565" s="152"/>
      <c r="N1565" s="296"/>
      <c r="O1565" s="213"/>
      <c r="P1565" s="47"/>
      <c r="Q1565" s="47"/>
      <c r="R1565" s="47"/>
      <c r="S1565" s="193"/>
      <c r="T1565" s="77"/>
      <c r="U1565" s="78"/>
      <c r="V1565" s="78"/>
      <c r="W1565" s="77"/>
    </row>
    <row r="1566">
      <c r="A1566" s="145"/>
      <c r="B1566" s="145"/>
      <c r="C1566" s="145"/>
      <c r="D1566" s="75"/>
      <c r="E1566" s="75"/>
      <c r="F1566" s="211"/>
      <c r="G1566" s="145"/>
      <c r="H1566" s="211"/>
      <c r="I1566" s="145"/>
      <c r="J1566" s="211"/>
      <c r="K1566" s="75"/>
      <c r="L1566" s="152"/>
      <c r="M1566" s="152"/>
      <c r="N1566" s="296"/>
      <c r="O1566" s="213"/>
      <c r="P1566" s="47"/>
      <c r="Q1566" s="47"/>
      <c r="R1566" s="47"/>
      <c r="S1566" s="193"/>
      <c r="T1566" s="77"/>
      <c r="U1566" s="78"/>
      <c r="V1566" s="78"/>
      <c r="W1566" s="77"/>
    </row>
    <row r="1567">
      <c r="A1567" s="145"/>
      <c r="B1567" s="145"/>
      <c r="C1567" s="145"/>
      <c r="D1567" s="75"/>
      <c r="E1567" s="75"/>
      <c r="F1567" s="211"/>
      <c r="G1567" s="145"/>
      <c r="H1567" s="211"/>
      <c r="I1567" s="145"/>
      <c r="J1567" s="211"/>
      <c r="K1567" s="75"/>
      <c r="L1567" s="152"/>
      <c r="M1567" s="152"/>
      <c r="N1567" s="296"/>
      <c r="O1567" s="213"/>
      <c r="P1567" s="47"/>
      <c r="Q1567" s="47"/>
      <c r="R1567" s="47"/>
      <c r="S1567" s="193"/>
      <c r="T1567" s="77"/>
      <c r="U1567" s="78"/>
      <c r="V1567" s="78"/>
      <c r="W1567" s="77"/>
    </row>
    <row r="1568">
      <c r="A1568" s="145"/>
      <c r="B1568" s="145"/>
      <c r="C1568" s="145"/>
      <c r="D1568" s="75"/>
      <c r="E1568" s="75"/>
      <c r="F1568" s="211"/>
      <c r="G1568" s="145"/>
      <c r="H1568" s="211"/>
      <c r="I1568" s="145"/>
      <c r="J1568" s="211"/>
      <c r="K1568" s="75"/>
      <c r="L1568" s="152"/>
      <c r="M1568" s="152"/>
      <c r="N1568" s="296"/>
      <c r="O1568" s="213"/>
      <c r="P1568" s="47"/>
      <c r="Q1568" s="47"/>
      <c r="R1568" s="47"/>
      <c r="S1568" s="193"/>
      <c r="T1568" s="77"/>
      <c r="U1568" s="78"/>
      <c r="V1568" s="78"/>
      <c r="W1568" s="77"/>
    </row>
    <row r="1569">
      <c r="A1569" s="145"/>
      <c r="B1569" s="145"/>
      <c r="C1569" s="145"/>
      <c r="D1569" s="75"/>
      <c r="E1569" s="75"/>
      <c r="F1569" s="211"/>
      <c r="G1569" s="145"/>
      <c r="H1569" s="211"/>
      <c r="I1569" s="145"/>
      <c r="J1569" s="211"/>
      <c r="K1569" s="75"/>
      <c r="L1569" s="152"/>
      <c r="M1569" s="152"/>
      <c r="N1569" s="296"/>
      <c r="O1569" s="213"/>
      <c r="P1569" s="47"/>
      <c r="Q1569" s="47"/>
      <c r="R1569" s="47"/>
      <c r="S1569" s="193"/>
      <c r="T1569" s="77"/>
      <c r="U1569" s="78"/>
      <c r="V1569" s="78"/>
      <c r="W1569" s="77"/>
    </row>
    <row r="1570">
      <c r="A1570" s="145"/>
      <c r="B1570" s="145"/>
      <c r="C1570" s="145"/>
      <c r="D1570" s="75"/>
      <c r="E1570" s="75"/>
      <c r="F1570" s="211"/>
      <c r="G1570" s="145"/>
      <c r="H1570" s="211"/>
      <c r="I1570" s="145"/>
      <c r="J1570" s="211"/>
      <c r="K1570" s="75"/>
      <c r="L1570" s="152"/>
      <c r="M1570" s="152"/>
      <c r="N1570" s="296"/>
      <c r="O1570" s="213"/>
      <c r="P1570" s="47"/>
      <c r="Q1570" s="47"/>
      <c r="R1570" s="47"/>
      <c r="S1570" s="193"/>
      <c r="T1570" s="77"/>
      <c r="U1570" s="78"/>
      <c r="V1570" s="78"/>
      <c r="W1570" s="77"/>
    </row>
    <row r="1571">
      <c r="A1571" s="145"/>
      <c r="B1571" s="145"/>
      <c r="C1571" s="145"/>
      <c r="D1571" s="75"/>
      <c r="E1571" s="75"/>
      <c r="F1571" s="211"/>
      <c r="G1571" s="145"/>
      <c r="H1571" s="211"/>
      <c r="I1571" s="145"/>
      <c r="J1571" s="211"/>
      <c r="K1571" s="75"/>
      <c r="L1571" s="152"/>
      <c r="M1571" s="152"/>
      <c r="N1571" s="296"/>
      <c r="O1571" s="213"/>
      <c r="P1571" s="47"/>
      <c r="Q1571" s="47"/>
      <c r="R1571" s="47"/>
      <c r="S1571" s="193"/>
      <c r="T1571" s="77"/>
      <c r="U1571" s="78"/>
      <c r="V1571" s="78"/>
      <c r="W1571" s="77"/>
    </row>
    <row r="1572">
      <c r="A1572" s="145"/>
      <c r="B1572" s="145"/>
      <c r="C1572" s="145"/>
      <c r="D1572" s="75"/>
      <c r="E1572" s="75"/>
      <c r="F1572" s="211"/>
      <c r="G1572" s="145"/>
      <c r="H1572" s="211"/>
      <c r="I1572" s="145"/>
      <c r="J1572" s="211"/>
      <c r="K1572" s="75"/>
      <c r="L1572" s="152"/>
      <c r="M1572" s="152"/>
      <c r="N1572" s="296"/>
      <c r="O1572" s="213"/>
      <c r="P1572" s="47"/>
      <c r="Q1572" s="47"/>
      <c r="R1572" s="47"/>
      <c r="S1572" s="193"/>
      <c r="T1572" s="77"/>
      <c r="U1572" s="78"/>
      <c r="V1572" s="78"/>
      <c r="W1572" s="77"/>
    </row>
    <row r="1573">
      <c r="A1573" s="145"/>
      <c r="B1573" s="145"/>
      <c r="C1573" s="145"/>
      <c r="D1573" s="75"/>
      <c r="E1573" s="75"/>
      <c r="F1573" s="211"/>
      <c r="G1573" s="145"/>
      <c r="H1573" s="211"/>
      <c r="I1573" s="145"/>
      <c r="J1573" s="211"/>
      <c r="K1573" s="75"/>
      <c r="L1573" s="152"/>
      <c r="M1573" s="152"/>
      <c r="N1573" s="296"/>
      <c r="O1573" s="213"/>
      <c r="P1573" s="47"/>
      <c r="Q1573" s="47"/>
      <c r="R1573" s="47"/>
      <c r="S1573" s="193"/>
      <c r="T1573" s="77"/>
      <c r="U1573" s="78"/>
      <c r="V1573" s="78"/>
      <c r="W1573" s="77"/>
    </row>
    <row r="1574">
      <c r="A1574" s="145"/>
      <c r="B1574" s="145"/>
      <c r="C1574" s="145"/>
      <c r="D1574" s="75"/>
      <c r="E1574" s="75"/>
      <c r="F1574" s="211"/>
      <c r="G1574" s="145"/>
      <c r="H1574" s="211"/>
      <c r="I1574" s="145"/>
      <c r="J1574" s="211"/>
      <c r="K1574" s="75"/>
      <c r="L1574" s="152"/>
      <c r="M1574" s="152"/>
      <c r="N1574" s="296"/>
      <c r="O1574" s="213"/>
      <c r="P1574" s="47"/>
      <c r="Q1574" s="47"/>
      <c r="R1574" s="47"/>
      <c r="S1574" s="193"/>
      <c r="T1574" s="77"/>
      <c r="U1574" s="78"/>
      <c r="V1574" s="78"/>
      <c r="W1574" s="77"/>
    </row>
    <row r="1575">
      <c r="A1575" s="145"/>
      <c r="B1575" s="145"/>
      <c r="C1575" s="145"/>
      <c r="D1575" s="75"/>
      <c r="E1575" s="75"/>
      <c r="F1575" s="211"/>
      <c r="G1575" s="145"/>
      <c r="H1575" s="211"/>
      <c r="I1575" s="145"/>
      <c r="J1575" s="211"/>
      <c r="K1575" s="75"/>
      <c r="L1575" s="152"/>
      <c r="M1575" s="152"/>
      <c r="N1575" s="296"/>
      <c r="O1575" s="213"/>
      <c r="P1575" s="47"/>
      <c r="Q1575" s="47"/>
      <c r="R1575" s="47"/>
      <c r="S1575" s="193"/>
      <c r="T1575" s="77"/>
      <c r="U1575" s="78"/>
      <c r="V1575" s="78"/>
      <c r="W1575" s="77"/>
    </row>
    <row r="1576">
      <c r="A1576" s="145"/>
      <c r="B1576" s="145"/>
      <c r="C1576" s="145"/>
      <c r="D1576" s="75"/>
      <c r="E1576" s="75"/>
      <c r="F1576" s="211"/>
      <c r="G1576" s="145"/>
      <c r="H1576" s="211"/>
      <c r="I1576" s="145"/>
      <c r="J1576" s="211"/>
      <c r="K1576" s="75"/>
      <c r="L1576" s="152"/>
      <c r="M1576" s="152"/>
      <c r="N1576" s="296"/>
      <c r="O1576" s="213"/>
      <c r="P1576" s="47"/>
      <c r="Q1576" s="47"/>
      <c r="R1576" s="47"/>
      <c r="S1576" s="193"/>
      <c r="T1576" s="77"/>
      <c r="U1576" s="78"/>
      <c r="V1576" s="78"/>
      <c r="W1576" s="77"/>
    </row>
    <row r="1577">
      <c r="A1577" s="145"/>
      <c r="B1577" s="145"/>
      <c r="C1577" s="145"/>
      <c r="D1577" s="75"/>
      <c r="E1577" s="75"/>
      <c r="F1577" s="211"/>
      <c r="G1577" s="145"/>
      <c r="H1577" s="211"/>
      <c r="I1577" s="145"/>
      <c r="J1577" s="211"/>
      <c r="K1577" s="75"/>
      <c r="L1577" s="152"/>
      <c r="M1577" s="152"/>
      <c r="N1577" s="296"/>
      <c r="O1577" s="213"/>
      <c r="P1577" s="47"/>
      <c r="Q1577" s="47"/>
      <c r="R1577" s="47"/>
      <c r="S1577" s="193"/>
      <c r="T1577" s="77"/>
      <c r="U1577" s="78"/>
      <c r="V1577" s="78"/>
      <c r="W1577" s="77"/>
    </row>
    <row r="1578">
      <c r="A1578" s="145"/>
      <c r="B1578" s="145"/>
      <c r="C1578" s="145"/>
      <c r="D1578" s="75"/>
      <c r="E1578" s="75"/>
      <c r="F1578" s="211"/>
      <c r="G1578" s="145"/>
      <c r="H1578" s="211"/>
      <c r="I1578" s="145"/>
      <c r="J1578" s="211"/>
      <c r="K1578" s="75"/>
      <c r="L1578" s="152"/>
      <c r="M1578" s="152"/>
      <c r="N1578" s="296"/>
      <c r="O1578" s="213"/>
      <c r="P1578" s="47"/>
      <c r="Q1578" s="47"/>
      <c r="R1578" s="47"/>
      <c r="S1578" s="193"/>
      <c r="T1578" s="77"/>
      <c r="U1578" s="78"/>
      <c r="V1578" s="78"/>
      <c r="W1578" s="77"/>
    </row>
    <row r="1579">
      <c r="A1579" s="145"/>
      <c r="B1579" s="145"/>
      <c r="C1579" s="145"/>
      <c r="D1579" s="75"/>
      <c r="E1579" s="75"/>
      <c r="F1579" s="211"/>
      <c r="G1579" s="145"/>
      <c r="H1579" s="211"/>
      <c r="I1579" s="145"/>
      <c r="J1579" s="211"/>
      <c r="K1579" s="75"/>
      <c r="L1579" s="152"/>
      <c r="M1579" s="152"/>
      <c r="N1579" s="296"/>
      <c r="O1579" s="213"/>
      <c r="P1579" s="47"/>
      <c r="Q1579" s="47"/>
      <c r="R1579" s="47"/>
      <c r="S1579" s="193"/>
      <c r="T1579" s="77"/>
      <c r="U1579" s="78"/>
      <c r="V1579" s="78"/>
      <c r="W1579" s="77"/>
    </row>
    <row r="1580">
      <c r="A1580" s="145"/>
      <c r="B1580" s="145"/>
      <c r="C1580" s="145"/>
      <c r="D1580" s="75"/>
      <c r="E1580" s="75"/>
      <c r="F1580" s="211"/>
      <c r="G1580" s="145"/>
      <c r="H1580" s="211"/>
      <c r="I1580" s="145"/>
      <c r="J1580" s="211"/>
      <c r="K1580" s="75"/>
      <c r="L1580" s="152"/>
      <c r="M1580" s="152"/>
      <c r="N1580" s="296"/>
      <c r="O1580" s="213"/>
      <c r="P1580" s="47"/>
      <c r="Q1580" s="47"/>
      <c r="R1580" s="47"/>
      <c r="S1580" s="193"/>
      <c r="T1580" s="77"/>
      <c r="U1580" s="78"/>
      <c r="V1580" s="78"/>
      <c r="W1580" s="77"/>
    </row>
    <row r="1581">
      <c r="A1581" s="145"/>
      <c r="B1581" s="145"/>
      <c r="C1581" s="145"/>
      <c r="D1581" s="75"/>
      <c r="E1581" s="75"/>
      <c r="F1581" s="211"/>
      <c r="G1581" s="145"/>
      <c r="H1581" s="211"/>
      <c r="I1581" s="145"/>
      <c r="J1581" s="211"/>
      <c r="K1581" s="75"/>
      <c r="L1581" s="152"/>
      <c r="M1581" s="152"/>
      <c r="N1581" s="296"/>
      <c r="O1581" s="213"/>
      <c r="P1581" s="47"/>
      <c r="Q1581" s="47"/>
      <c r="R1581" s="47"/>
      <c r="S1581" s="193"/>
      <c r="T1581" s="77"/>
      <c r="U1581" s="78"/>
      <c r="V1581" s="78"/>
      <c r="W1581" s="77"/>
    </row>
    <row r="1582">
      <c r="A1582" s="145"/>
      <c r="B1582" s="145"/>
      <c r="C1582" s="145"/>
      <c r="D1582" s="75"/>
      <c r="E1582" s="75"/>
      <c r="F1582" s="211"/>
      <c r="G1582" s="145"/>
      <c r="H1582" s="211"/>
      <c r="I1582" s="145"/>
      <c r="J1582" s="211"/>
      <c r="K1582" s="75"/>
      <c r="L1582" s="152"/>
      <c r="M1582" s="152"/>
      <c r="N1582" s="296"/>
      <c r="O1582" s="213"/>
      <c r="P1582" s="47"/>
      <c r="Q1582" s="47"/>
      <c r="R1582" s="47"/>
      <c r="S1582" s="193"/>
      <c r="T1582" s="77"/>
      <c r="U1582" s="78"/>
      <c r="V1582" s="78"/>
      <c r="W1582" s="77"/>
    </row>
    <row r="1583">
      <c r="A1583" s="145"/>
      <c r="B1583" s="145"/>
      <c r="C1583" s="145"/>
      <c r="D1583" s="75"/>
      <c r="E1583" s="75"/>
      <c r="F1583" s="211"/>
      <c r="G1583" s="145"/>
      <c r="H1583" s="211"/>
      <c r="I1583" s="145"/>
      <c r="J1583" s="211"/>
      <c r="K1583" s="75"/>
      <c r="L1583" s="152"/>
      <c r="M1583" s="152"/>
      <c r="N1583" s="296"/>
      <c r="O1583" s="213"/>
      <c r="P1583" s="47"/>
      <c r="Q1583" s="47"/>
      <c r="R1583" s="47"/>
      <c r="S1583" s="193"/>
      <c r="T1583" s="77"/>
      <c r="U1583" s="78"/>
      <c r="V1583" s="78"/>
      <c r="W1583" s="77"/>
    </row>
    <row r="1584">
      <c r="A1584" s="145"/>
      <c r="B1584" s="145"/>
      <c r="C1584" s="145"/>
      <c r="D1584" s="75"/>
      <c r="E1584" s="75"/>
      <c r="F1584" s="211"/>
      <c r="G1584" s="145"/>
      <c r="H1584" s="211"/>
      <c r="I1584" s="145"/>
      <c r="J1584" s="211"/>
      <c r="K1584" s="75"/>
      <c r="L1584" s="152"/>
      <c r="M1584" s="152"/>
      <c r="N1584" s="296"/>
      <c r="O1584" s="213"/>
      <c r="P1584" s="47"/>
      <c r="Q1584" s="47"/>
      <c r="R1584" s="47"/>
      <c r="S1584" s="193"/>
      <c r="T1584" s="77"/>
      <c r="U1584" s="78"/>
      <c r="V1584" s="78"/>
      <c r="W1584" s="77"/>
    </row>
    <row r="1585">
      <c r="A1585" s="145"/>
      <c r="B1585" s="145"/>
      <c r="C1585" s="145"/>
      <c r="D1585" s="75"/>
      <c r="E1585" s="75"/>
      <c r="F1585" s="211"/>
      <c r="G1585" s="145"/>
      <c r="H1585" s="211"/>
      <c r="I1585" s="145"/>
      <c r="J1585" s="211"/>
      <c r="K1585" s="75"/>
      <c r="L1585" s="152"/>
      <c r="M1585" s="152"/>
      <c r="N1585" s="296"/>
      <c r="O1585" s="213"/>
      <c r="P1585" s="47"/>
      <c r="Q1585" s="47"/>
      <c r="R1585" s="47"/>
      <c r="S1585" s="193"/>
      <c r="T1585" s="77"/>
      <c r="U1585" s="78"/>
      <c r="V1585" s="78"/>
      <c r="W1585" s="77"/>
    </row>
    <row r="1586">
      <c r="A1586" s="145"/>
      <c r="B1586" s="145"/>
      <c r="C1586" s="145"/>
      <c r="D1586" s="75"/>
      <c r="E1586" s="75"/>
      <c r="F1586" s="211"/>
      <c r="G1586" s="145"/>
      <c r="H1586" s="211"/>
      <c r="I1586" s="145"/>
      <c r="J1586" s="211"/>
      <c r="K1586" s="75"/>
      <c r="L1586" s="152"/>
      <c r="M1586" s="152"/>
      <c r="N1586" s="296"/>
      <c r="O1586" s="213"/>
      <c r="P1586" s="47"/>
      <c r="Q1586" s="47"/>
      <c r="R1586" s="47"/>
      <c r="S1586" s="193"/>
      <c r="T1586" s="77"/>
      <c r="U1586" s="78"/>
      <c r="V1586" s="78"/>
      <c r="W1586" s="77"/>
    </row>
    <row r="1587">
      <c r="A1587" s="145"/>
      <c r="B1587" s="145"/>
      <c r="C1587" s="145"/>
      <c r="D1587" s="75"/>
      <c r="E1587" s="75"/>
      <c r="F1587" s="211"/>
      <c r="G1587" s="145"/>
      <c r="H1587" s="211"/>
      <c r="I1587" s="145"/>
      <c r="J1587" s="211"/>
      <c r="K1587" s="75"/>
      <c r="L1587" s="152"/>
      <c r="M1587" s="152"/>
      <c r="N1587" s="296"/>
      <c r="O1587" s="213"/>
      <c r="P1587" s="47"/>
      <c r="Q1587" s="47"/>
      <c r="R1587" s="47"/>
      <c r="S1587" s="193"/>
      <c r="T1587" s="77"/>
      <c r="U1587" s="78"/>
      <c r="V1587" s="78"/>
      <c r="W1587" s="77"/>
    </row>
    <row r="1588">
      <c r="A1588" s="145"/>
      <c r="B1588" s="145"/>
      <c r="C1588" s="145"/>
      <c r="D1588" s="75"/>
      <c r="E1588" s="75"/>
      <c r="F1588" s="211"/>
      <c r="G1588" s="145"/>
      <c r="H1588" s="211"/>
      <c r="I1588" s="145"/>
      <c r="J1588" s="211"/>
      <c r="K1588" s="75"/>
      <c r="L1588" s="152"/>
      <c r="M1588" s="152"/>
      <c r="N1588" s="296"/>
      <c r="O1588" s="213"/>
      <c r="P1588" s="47"/>
      <c r="Q1588" s="47"/>
      <c r="R1588" s="47"/>
      <c r="S1588" s="193"/>
      <c r="T1588" s="77"/>
      <c r="U1588" s="78"/>
      <c r="V1588" s="78"/>
      <c r="W1588" s="77"/>
    </row>
    <row r="1589">
      <c r="A1589" s="145"/>
      <c r="B1589" s="145"/>
      <c r="C1589" s="145"/>
      <c r="D1589" s="75"/>
      <c r="E1589" s="75"/>
      <c r="F1589" s="211"/>
      <c r="G1589" s="145"/>
      <c r="H1589" s="211"/>
      <c r="I1589" s="145"/>
      <c r="J1589" s="211"/>
      <c r="K1589" s="75"/>
      <c r="L1589" s="152"/>
      <c r="M1589" s="152"/>
      <c r="N1589" s="296"/>
      <c r="O1589" s="213"/>
      <c r="P1589" s="47"/>
      <c r="Q1589" s="47"/>
      <c r="R1589" s="47"/>
      <c r="S1589" s="193"/>
      <c r="T1589" s="77"/>
      <c r="U1589" s="78"/>
      <c r="V1589" s="78"/>
      <c r="W1589" s="77"/>
    </row>
    <row r="1590">
      <c r="A1590" s="145"/>
      <c r="B1590" s="145"/>
      <c r="C1590" s="145"/>
      <c r="D1590" s="75"/>
      <c r="E1590" s="75"/>
      <c r="F1590" s="211"/>
      <c r="G1590" s="145"/>
      <c r="H1590" s="211"/>
      <c r="I1590" s="145"/>
      <c r="J1590" s="211"/>
      <c r="K1590" s="75"/>
      <c r="L1590" s="152"/>
      <c r="M1590" s="152"/>
      <c r="N1590" s="296"/>
      <c r="O1590" s="213"/>
      <c r="P1590" s="47"/>
      <c r="Q1590" s="47"/>
      <c r="R1590" s="47"/>
      <c r="S1590" s="193"/>
      <c r="T1590" s="77"/>
      <c r="U1590" s="78"/>
      <c r="V1590" s="78"/>
      <c r="W1590" s="77"/>
    </row>
    <row r="1591">
      <c r="A1591" s="145"/>
      <c r="B1591" s="145"/>
      <c r="C1591" s="145"/>
      <c r="D1591" s="75"/>
      <c r="E1591" s="75"/>
      <c r="F1591" s="211"/>
      <c r="G1591" s="145"/>
      <c r="H1591" s="211"/>
      <c r="I1591" s="145"/>
      <c r="J1591" s="211"/>
      <c r="K1591" s="75"/>
      <c r="L1591" s="152"/>
      <c r="M1591" s="152"/>
      <c r="N1591" s="296"/>
      <c r="O1591" s="213"/>
      <c r="P1591" s="47"/>
      <c r="Q1591" s="47"/>
      <c r="R1591" s="47"/>
      <c r="S1591" s="193"/>
      <c r="T1591" s="77"/>
      <c r="U1591" s="78"/>
      <c r="V1591" s="78"/>
      <c r="W1591" s="77"/>
    </row>
    <row r="1592">
      <c r="A1592" s="145"/>
      <c r="B1592" s="145"/>
      <c r="C1592" s="145"/>
      <c r="D1592" s="75"/>
      <c r="E1592" s="75"/>
      <c r="F1592" s="211"/>
      <c r="G1592" s="145"/>
      <c r="H1592" s="211"/>
      <c r="I1592" s="145"/>
      <c r="J1592" s="211"/>
      <c r="K1592" s="75"/>
      <c r="L1592" s="152"/>
      <c r="M1592" s="152"/>
      <c r="N1592" s="296"/>
      <c r="O1592" s="213"/>
      <c r="P1592" s="47"/>
      <c r="Q1592" s="47"/>
      <c r="R1592" s="47"/>
      <c r="S1592" s="193"/>
      <c r="T1592" s="77"/>
      <c r="U1592" s="78"/>
      <c r="V1592" s="78"/>
      <c r="W1592" s="77"/>
    </row>
    <row r="1593">
      <c r="A1593" s="145"/>
      <c r="B1593" s="145"/>
      <c r="C1593" s="145"/>
      <c r="D1593" s="75"/>
      <c r="E1593" s="75"/>
      <c r="F1593" s="211"/>
      <c r="G1593" s="145"/>
      <c r="H1593" s="211"/>
      <c r="I1593" s="145"/>
      <c r="J1593" s="211"/>
      <c r="K1593" s="75"/>
      <c r="L1593" s="152"/>
      <c r="M1593" s="152"/>
      <c r="N1593" s="296"/>
      <c r="O1593" s="213"/>
      <c r="P1593" s="47"/>
      <c r="Q1593" s="47"/>
      <c r="R1593" s="47"/>
      <c r="S1593" s="193"/>
      <c r="T1593" s="77"/>
      <c r="U1593" s="78"/>
      <c r="V1593" s="78"/>
      <c r="W1593" s="77"/>
    </row>
    <row r="1594">
      <c r="A1594" s="145"/>
      <c r="B1594" s="145"/>
      <c r="C1594" s="145"/>
      <c r="D1594" s="75"/>
      <c r="E1594" s="75"/>
      <c r="F1594" s="211"/>
      <c r="G1594" s="145"/>
      <c r="H1594" s="211"/>
      <c r="I1594" s="145"/>
      <c r="J1594" s="211"/>
      <c r="K1594" s="75"/>
      <c r="L1594" s="152"/>
      <c r="M1594" s="152"/>
      <c r="N1594" s="296"/>
      <c r="O1594" s="213"/>
      <c r="P1594" s="47"/>
      <c r="Q1594" s="47"/>
      <c r="R1594" s="47"/>
      <c r="S1594" s="193"/>
      <c r="T1594" s="77"/>
      <c r="U1594" s="78"/>
      <c r="V1594" s="78"/>
      <c r="W1594" s="77"/>
    </row>
    <row r="1595">
      <c r="A1595" s="145"/>
      <c r="B1595" s="145"/>
      <c r="C1595" s="145"/>
      <c r="D1595" s="75"/>
      <c r="E1595" s="75"/>
      <c r="F1595" s="211"/>
      <c r="G1595" s="145"/>
      <c r="H1595" s="211"/>
      <c r="I1595" s="145"/>
      <c r="J1595" s="211"/>
      <c r="K1595" s="75"/>
      <c r="L1595" s="152"/>
      <c r="M1595" s="152"/>
      <c r="N1595" s="296"/>
      <c r="O1595" s="213"/>
      <c r="P1595" s="47"/>
      <c r="Q1595" s="47"/>
      <c r="R1595" s="47"/>
      <c r="S1595" s="193"/>
      <c r="T1595" s="77"/>
      <c r="U1595" s="78"/>
      <c r="V1595" s="78"/>
      <c r="W1595" s="77"/>
    </row>
    <row r="1596">
      <c r="A1596" s="145"/>
      <c r="B1596" s="145"/>
      <c r="C1596" s="145"/>
      <c r="D1596" s="75"/>
      <c r="E1596" s="75"/>
      <c r="F1596" s="211"/>
      <c r="G1596" s="145"/>
      <c r="H1596" s="211"/>
      <c r="I1596" s="145"/>
      <c r="J1596" s="211"/>
      <c r="K1596" s="75"/>
      <c r="L1596" s="152"/>
      <c r="M1596" s="152"/>
      <c r="N1596" s="296"/>
      <c r="O1596" s="213"/>
      <c r="P1596" s="47"/>
      <c r="Q1596" s="47"/>
      <c r="R1596" s="47"/>
      <c r="S1596" s="193"/>
      <c r="T1596" s="77"/>
      <c r="U1596" s="78"/>
      <c r="V1596" s="78"/>
      <c r="W1596" s="77"/>
    </row>
    <row r="1597">
      <c r="A1597" s="145"/>
      <c r="B1597" s="145"/>
      <c r="C1597" s="145"/>
      <c r="D1597" s="75"/>
      <c r="E1597" s="75"/>
      <c r="F1597" s="211"/>
      <c r="G1597" s="145"/>
      <c r="H1597" s="211"/>
      <c r="I1597" s="145"/>
      <c r="J1597" s="211"/>
      <c r="K1597" s="75"/>
      <c r="L1597" s="152"/>
      <c r="M1597" s="152"/>
      <c r="N1597" s="296"/>
      <c r="O1597" s="213"/>
      <c r="P1597" s="47"/>
      <c r="Q1597" s="47"/>
      <c r="R1597" s="47"/>
      <c r="S1597" s="193"/>
      <c r="T1597" s="77"/>
      <c r="U1597" s="78"/>
      <c r="V1597" s="78"/>
      <c r="W1597" s="77"/>
    </row>
    <row r="1598">
      <c r="A1598" s="145"/>
      <c r="B1598" s="145"/>
      <c r="C1598" s="145"/>
      <c r="D1598" s="75"/>
      <c r="E1598" s="75"/>
      <c r="F1598" s="211"/>
      <c r="G1598" s="145"/>
      <c r="H1598" s="211"/>
      <c r="I1598" s="145"/>
      <c r="J1598" s="211"/>
      <c r="K1598" s="75"/>
      <c r="L1598" s="152"/>
      <c r="M1598" s="152"/>
      <c r="N1598" s="296"/>
      <c r="O1598" s="213"/>
      <c r="P1598" s="47"/>
      <c r="Q1598" s="47"/>
      <c r="R1598" s="47"/>
      <c r="S1598" s="193"/>
      <c r="T1598" s="77"/>
      <c r="U1598" s="78"/>
      <c r="V1598" s="78"/>
      <c r="W1598" s="77"/>
    </row>
    <row r="1599">
      <c r="A1599" s="145"/>
      <c r="B1599" s="145"/>
      <c r="C1599" s="145"/>
      <c r="D1599" s="75"/>
      <c r="E1599" s="75"/>
      <c r="F1599" s="211"/>
      <c r="G1599" s="145"/>
      <c r="H1599" s="211"/>
      <c r="I1599" s="145"/>
      <c r="J1599" s="211"/>
      <c r="K1599" s="75"/>
      <c r="L1599" s="152"/>
      <c r="M1599" s="152"/>
      <c r="N1599" s="296"/>
      <c r="O1599" s="213"/>
      <c r="P1599" s="47"/>
      <c r="Q1599" s="47"/>
      <c r="R1599" s="47"/>
      <c r="S1599" s="193"/>
      <c r="T1599" s="77"/>
      <c r="U1599" s="78"/>
      <c r="V1599" s="78"/>
      <c r="W1599" s="77"/>
    </row>
    <row r="1600">
      <c r="A1600" s="145"/>
      <c r="B1600" s="145"/>
      <c r="C1600" s="145"/>
      <c r="D1600" s="75"/>
      <c r="E1600" s="75"/>
      <c r="F1600" s="211"/>
      <c r="G1600" s="145"/>
      <c r="H1600" s="211"/>
      <c r="I1600" s="145"/>
      <c r="J1600" s="211"/>
      <c r="K1600" s="75"/>
      <c r="L1600" s="152"/>
      <c r="M1600" s="152"/>
      <c r="N1600" s="296"/>
      <c r="O1600" s="213"/>
      <c r="P1600" s="47"/>
      <c r="Q1600" s="47"/>
      <c r="R1600" s="47"/>
      <c r="S1600" s="193"/>
      <c r="T1600" s="77"/>
      <c r="U1600" s="78"/>
      <c r="V1600" s="78"/>
      <c r="W1600" s="77"/>
    </row>
    <row r="1601">
      <c r="A1601" s="145"/>
      <c r="B1601" s="145"/>
      <c r="C1601" s="145"/>
      <c r="D1601" s="75"/>
      <c r="E1601" s="75"/>
      <c r="F1601" s="211"/>
      <c r="G1601" s="145"/>
      <c r="H1601" s="211"/>
      <c r="I1601" s="145"/>
      <c r="J1601" s="211"/>
      <c r="K1601" s="75"/>
      <c r="L1601" s="152"/>
      <c r="M1601" s="152"/>
      <c r="N1601" s="296"/>
      <c r="O1601" s="213"/>
      <c r="P1601" s="47"/>
      <c r="Q1601" s="47"/>
      <c r="R1601" s="47"/>
      <c r="S1601" s="193"/>
      <c r="T1601" s="77"/>
      <c r="U1601" s="78"/>
      <c r="V1601" s="78"/>
      <c r="W1601" s="77"/>
    </row>
    <row r="1602">
      <c r="A1602" s="145"/>
      <c r="B1602" s="145"/>
      <c r="C1602" s="145"/>
      <c r="D1602" s="75"/>
      <c r="E1602" s="75"/>
      <c r="F1602" s="211"/>
      <c r="G1602" s="145"/>
      <c r="H1602" s="211"/>
      <c r="I1602" s="145"/>
      <c r="J1602" s="211"/>
      <c r="K1602" s="75"/>
      <c r="L1602" s="152"/>
      <c r="M1602" s="152"/>
      <c r="N1602" s="296"/>
      <c r="O1602" s="213"/>
      <c r="P1602" s="47"/>
      <c r="Q1602" s="47"/>
      <c r="R1602" s="47"/>
      <c r="S1602" s="193"/>
      <c r="T1602" s="77"/>
      <c r="U1602" s="78"/>
      <c r="V1602" s="78"/>
      <c r="W1602" s="77"/>
    </row>
    <row r="1603">
      <c r="A1603" s="145"/>
      <c r="B1603" s="145"/>
      <c r="C1603" s="145"/>
      <c r="D1603" s="75"/>
      <c r="E1603" s="75"/>
      <c r="F1603" s="211"/>
      <c r="G1603" s="145"/>
      <c r="H1603" s="211"/>
      <c r="I1603" s="145"/>
      <c r="J1603" s="211"/>
      <c r="K1603" s="75"/>
      <c r="L1603" s="152"/>
      <c r="M1603" s="152"/>
      <c r="N1603" s="296"/>
      <c r="O1603" s="213"/>
      <c r="P1603" s="47"/>
      <c r="Q1603" s="47"/>
      <c r="R1603" s="47"/>
      <c r="S1603" s="193"/>
      <c r="T1603" s="77"/>
      <c r="U1603" s="78"/>
      <c r="V1603" s="78"/>
      <c r="W1603" s="77"/>
    </row>
    <row r="1604">
      <c r="A1604" s="145"/>
      <c r="B1604" s="145"/>
      <c r="C1604" s="145"/>
      <c r="D1604" s="75"/>
      <c r="E1604" s="75"/>
      <c r="F1604" s="211"/>
      <c r="G1604" s="145"/>
      <c r="H1604" s="211"/>
      <c r="I1604" s="145"/>
      <c r="J1604" s="211"/>
      <c r="K1604" s="75"/>
      <c r="L1604" s="152"/>
      <c r="M1604" s="152"/>
      <c r="N1604" s="296"/>
      <c r="O1604" s="213"/>
      <c r="P1604" s="47"/>
      <c r="Q1604" s="47"/>
      <c r="R1604" s="47"/>
      <c r="S1604" s="193"/>
      <c r="T1604" s="77"/>
      <c r="U1604" s="78"/>
      <c r="V1604" s="78"/>
      <c r="W1604" s="77"/>
    </row>
    <row r="1605">
      <c r="A1605" s="145"/>
      <c r="B1605" s="145"/>
      <c r="C1605" s="145"/>
      <c r="D1605" s="75"/>
      <c r="E1605" s="75"/>
      <c r="F1605" s="211"/>
      <c r="G1605" s="145"/>
      <c r="H1605" s="211"/>
      <c r="I1605" s="145"/>
      <c r="J1605" s="211"/>
      <c r="K1605" s="75"/>
      <c r="L1605" s="152"/>
      <c r="M1605" s="152"/>
      <c r="N1605" s="296"/>
      <c r="O1605" s="213"/>
      <c r="P1605" s="47"/>
      <c r="Q1605" s="47"/>
      <c r="R1605" s="47"/>
      <c r="S1605" s="193"/>
      <c r="T1605" s="77"/>
      <c r="U1605" s="78"/>
      <c r="V1605" s="78"/>
      <c r="W1605" s="77"/>
    </row>
    <row r="1606">
      <c r="A1606" s="145"/>
      <c r="B1606" s="145"/>
      <c r="C1606" s="145"/>
      <c r="D1606" s="75"/>
      <c r="E1606" s="75"/>
      <c r="F1606" s="211"/>
      <c r="G1606" s="145"/>
      <c r="H1606" s="211"/>
      <c r="I1606" s="145"/>
      <c r="J1606" s="211"/>
      <c r="K1606" s="75"/>
      <c r="L1606" s="152"/>
      <c r="M1606" s="152"/>
      <c r="N1606" s="296"/>
      <c r="O1606" s="213"/>
      <c r="P1606" s="47"/>
      <c r="Q1606" s="47"/>
      <c r="R1606" s="47"/>
      <c r="S1606" s="193"/>
      <c r="T1606" s="77"/>
      <c r="U1606" s="78"/>
      <c r="V1606" s="78"/>
      <c r="W1606" s="77"/>
    </row>
    <row r="1607">
      <c r="A1607" s="145"/>
      <c r="B1607" s="145"/>
      <c r="C1607" s="145"/>
      <c r="D1607" s="75"/>
      <c r="E1607" s="75"/>
      <c r="F1607" s="211"/>
      <c r="G1607" s="145"/>
      <c r="H1607" s="211"/>
      <c r="I1607" s="145"/>
      <c r="J1607" s="211"/>
      <c r="K1607" s="75"/>
      <c r="L1607" s="152"/>
      <c r="M1607" s="152"/>
      <c r="N1607" s="296"/>
      <c r="O1607" s="213"/>
      <c r="P1607" s="47"/>
      <c r="Q1607" s="47"/>
      <c r="R1607" s="47"/>
      <c r="S1607" s="193"/>
      <c r="T1607" s="77"/>
      <c r="U1607" s="78"/>
      <c r="V1607" s="78"/>
      <c r="W1607" s="77"/>
    </row>
    <row r="1608">
      <c r="A1608" s="145"/>
      <c r="B1608" s="145"/>
      <c r="C1608" s="145"/>
      <c r="D1608" s="75"/>
      <c r="E1608" s="75"/>
      <c r="F1608" s="211"/>
      <c r="G1608" s="145"/>
      <c r="H1608" s="211"/>
      <c r="I1608" s="145"/>
      <c r="J1608" s="211"/>
      <c r="K1608" s="75"/>
      <c r="L1608" s="152"/>
      <c r="M1608" s="152"/>
      <c r="N1608" s="296"/>
      <c r="O1608" s="213"/>
      <c r="P1608" s="47"/>
      <c r="Q1608" s="47"/>
      <c r="R1608" s="47"/>
      <c r="S1608" s="193"/>
      <c r="T1608" s="77"/>
      <c r="U1608" s="78"/>
      <c r="V1608" s="78"/>
      <c r="W1608" s="77"/>
    </row>
    <row r="1609">
      <c r="A1609" s="145"/>
      <c r="B1609" s="145"/>
      <c r="C1609" s="145"/>
      <c r="D1609" s="75"/>
      <c r="E1609" s="75"/>
      <c r="F1609" s="211"/>
      <c r="G1609" s="145"/>
      <c r="H1609" s="211"/>
      <c r="I1609" s="145"/>
      <c r="J1609" s="211"/>
      <c r="K1609" s="75"/>
      <c r="L1609" s="152"/>
      <c r="M1609" s="152"/>
      <c r="N1609" s="296"/>
      <c r="O1609" s="213"/>
      <c r="P1609" s="47"/>
      <c r="Q1609" s="47"/>
      <c r="R1609" s="47"/>
      <c r="S1609" s="193"/>
      <c r="T1609" s="77"/>
      <c r="U1609" s="78"/>
      <c r="V1609" s="78"/>
      <c r="W1609" s="77"/>
    </row>
    <row r="1610">
      <c r="A1610" s="145"/>
      <c r="B1610" s="145"/>
      <c r="C1610" s="145"/>
      <c r="D1610" s="75"/>
      <c r="E1610" s="75"/>
      <c r="F1610" s="211"/>
      <c r="G1610" s="145"/>
      <c r="H1610" s="211"/>
      <c r="I1610" s="145"/>
      <c r="J1610" s="211"/>
      <c r="K1610" s="75"/>
      <c r="L1610" s="152"/>
      <c r="M1610" s="152"/>
      <c r="N1610" s="296"/>
      <c r="O1610" s="213"/>
      <c r="P1610" s="47"/>
      <c r="Q1610" s="47"/>
      <c r="R1610" s="47"/>
      <c r="S1610" s="193"/>
      <c r="T1610" s="77"/>
      <c r="U1610" s="78"/>
      <c r="V1610" s="78"/>
      <c r="W1610" s="77"/>
    </row>
    <row r="1611">
      <c r="A1611" s="145"/>
      <c r="B1611" s="145"/>
      <c r="C1611" s="145"/>
      <c r="D1611" s="75"/>
      <c r="E1611" s="75"/>
      <c r="F1611" s="211"/>
      <c r="G1611" s="145"/>
      <c r="H1611" s="211"/>
      <c r="I1611" s="145"/>
      <c r="J1611" s="211"/>
      <c r="K1611" s="75"/>
      <c r="L1611" s="152"/>
      <c r="M1611" s="152"/>
      <c r="N1611" s="296"/>
      <c r="O1611" s="213"/>
      <c r="P1611" s="47"/>
      <c r="Q1611" s="47"/>
      <c r="R1611" s="47"/>
      <c r="S1611" s="193"/>
      <c r="T1611" s="77"/>
      <c r="U1611" s="78"/>
      <c r="V1611" s="78"/>
      <c r="W1611" s="77"/>
    </row>
    <row r="1612">
      <c r="A1612" s="145"/>
      <c r="B1612" s="145"/>
      <c r="C1612" s="145"/>
      <c r="D1612" s="75"/>
      <c r="E1612" s="75"/>
      <c r="F1612" s="211"/>
      <c r="G1612" s="145"/>
      <c r="H1612" s="211"/>
      <c r="I1612" s="145"/>
      <c r="J1612" s="211"/>
      <c r="K1612" s="75"/>
      <c r="L1612" s="152"/>
      <c r="M1612" s="152"/>
      <c r="N1612" s="296"/>
      <c r="O1612" s="213"/>
      <c r="P1612" s="47"/>
      <c r="Q1612" s="47"/>
      <c r="R1612" s="47"/>
      <c r="S1612" s="193"/>
      <c r="T1612" s="77"/>
      <c r="U1612" s="78"/>
      <c r="V1612" s="78"/>
      <c r="W1612" s="77"/>
    </row>
    <row r="1613">
      <c r="A1613" s="145"/>
      <c r="B1613" s="145"/>
      <c r="C1613" s="145"/>
      <c r="D1613" s="75"/>
      <c r="E1613" s="75"/>
      <c r="F1613" s="211"/>
      <c r="G1613" s="145"/>
      <c r="H1613" s="211"/>
      <c r="I1613" s="145"/>
      <c r="J1613" s="211"/>
      <c r="K1613" s="75"/>
      <c r="L1613" s="152"/>
      <c r="M1613" s="152"/>
      <c r="N1613" s="296"/>
      <c r="O1613" s="213"/>
      <c r="P1613" s="47"/>
      <c r="Q1613" s="47"/>
      <c r="R1613" s="47"/>
      <c r="S1613" s="193"/>
      <c r="T1613" s="77"/>
      <c r="U1613" s="78"/>
      <c r="V1613" s="78"/>
      <c r="W1613" s="77"/>
    </row>
    <row r="1614">
      <c r="A1614" s="145"/>
      <c r="B1614" s="145"/>
      <c r="C1614" s="145"/>
      <c r="D1614" s="75"/>
      <c r="E1614" s="75"/>
      <c r="F1614" s="211"/>
      <c r="G1614" s="145"/>
      <c r="H1614" s="211"/>
      <c r="I1614" s="145"/>
      <c r="J1614" s="211"/>
      <c r="K1614" s="75"/>
      <c r="L1614" s="152"/>
      <c r="M1614" s="152"/>
      <c r="N1614" s="296"/>
      <c r="O1614" s="213"/>
      <c r="P1614" s="47"/>
      <c r="Q1614" s="47"/>
      <c r="R1614" s="47"/>
      <c r="S1614" s="193"/>
      <c r="T1614" s="77"/>
      <c r="U1614" s="78"/>
      <c r="V1614" s="78"/>
      <c r="W1614" s="77"/>
    </row>
    <row r="1615">
      <c r="A1615" s="145"/>
      <c r="B1615" s="145"/>
      <c r="C1615" s="145"/>
      <c r="D1615" s="75"/>
      <c r="E1615" s="75"/>
      <c r="F1615" s="211"/>
      <c r="G1615" s="145"/>
      <c r="H1615" s="211"/>
      <c r="I1615" s="145"/>
      <c r="J1615" s="211"/>
      <c r="K1615" s="75"/>
      <c r="L1615" s="152"/>
      <c r="M1615" s="152"/>
      <c r="N1615" s="296"/>
      <c r="O1615" s="213"/>
      <c r="P1615" s="47"/>
      <c r="Q1615" s="47"/>
      <c r="R1615" s="47"/>
      <c r="S1615" s="193"/>
      <c r="T1615" s="77"/>
      <c r="U1615" s="78"/>
      <c r="V1615" s="78"/>
      <c r="W1615" s="77"/>
    </row>
    <row r="1616">
      <c r="A1616" s="145"/>
      <c r="B1616" s="145"/>
      <c r="C1616" s="145"/>
      <c r="D1616" s="75"/>
      <c r="E1616" s="75"/>
      <c r="F1616" s="211"/>
      <c r="G1616" s="145"/>
      <c r="H1616" s="211"/>
      <c r="I1616" s="145"/>
      <c r="J1616" s="211"/>
      <c r="K1616" s="75"/>
      <c r="L1616" s="152"/>
      <c r="M1616" s="152"/>
      <c r="N1616" s="296"/>
      <c r="O1616" s="213"/>
      <c r="P1616" s="47"/>
      <c r="Q1616" s="47"/>
      <c r="R1616" s="47"/>
      <c r="S1616" s="193"/>
      <c r="T1616" s="77"/>
      <c r="U1616" s="78"/>
      <c r="V1616" s="78"/>
      <c r="W1616" s="77"/>
    </row>
    <row r="1617">
      <c r="A1617" s="145"/>
      <c r="B1617" s="145"/>
      <c r="C1617" s="145"/>
      <c r="D1617" s="75"/>
      <c r="E1617" s="75"/>
      <c r="F1617" s="211"/>
      <c r="G1617" s="145"/>
      <c r="H1617" s="211"/>
      <c r="I1617" s="145"/>
      <c r="J1617" s="211"/>
      <c r="K1617" s="75"/>
      <c r="L1617" s="152"/>
      <c r="M1617" s="152"/>
      <c r="N1617" s="296"/>
      <c r="O1617" s="213"/>
      <c r="P1617" s="47"/>
      <c r="Q1617" s="47"/>
      <c r="R1617" s="47"/>
      <c r="S1617" s="193"/>
      <c r="T1617" s="77"/>
      <c r="U1617" s="78"/>
      <c r="V1617" s="78"/>
      <c r="W1617" s="77"/>
    </row>
    <row r="1618">
      <c r="A1618" s="145"/>
      <c r="B1618" s="145"/>
      <c r="C1618" s="145"/>
      <c r="D1618" s="75"/>
      <c r="E1618" s="75"/>
      <c r="F1618" s="211"/>
      <c r="G1618" s="145"/>
      <c r="H1618" s="211"/>
      <c r="I1618" s="145"/>
      <c r="J1618" s="211"/>
      <c r="K1618" s="75"/>
      <c r="L1618" s="152"/>
      <c r="M1618" s="152"/>
      <c r="N1618" s="296"/>
      <c r="O1618" s="213"/>
      <c r="P1618" s="47"/>
      <c r="Q1618" s="47"/>
      <c r="R1618" s="47"/>
      <c r="S1618" s="193"/>
      <c r="T1618" s="77"/>
      <c r="U1618" s="78"/>
      <c r="V1618" s="78"/>
      <c r="W1618" s="77"/>
    </row>
    <row r="1619">
      <c r="A1619" s="145"/>
      <c r="B1619" s="145"/>
      <c r="C1619" s="145"/>
      <c r="D1619" s="75"/>
      <c r="E1619" s="75"/>
      <c r="F1619" s="211"/>
      <c r="G1619" s="145"/>
      <c r="H1619" s="211"/>
      <c r="I1619" s="145"/>
      <c r="J1619" s="211"/>
      <c r="K1619" s="75"/>
      <c r="L1619" s="152"/>
      <c r="M1619" s="152"/>
      <c r="N1619" s="296"/>
      <c r="O1619" s="213"/>
      <c r="P1619" s="47"/>
      <c r="Q1619" s="47"/>
      <c r="R1619" s="47"/>
      <c r="S1619" s="193"/>
      <c r="T1619" s="77"/>
      <c r="U1619" s="78"/>
      <c r="V1619" s="78"/>
      <c r="W1619" s="77"/>
    </row>
    <row r="1620">
      <c r="A1620" s="145"/>
      <c r="B1620" s="145"/>
      <c r="C1620" s="145"/>
      <c r="D1620" s="75"/>
      <c r="E1620" s="75"/>
      <c r="F1620" s="211"/>
      <c r="G1620" s="145"/>
      <c r="H1620" s="211"/>
      <c r="I1620" s="145"/>
      <c r="J1620" s="211"/>
      <c r="K1620" s="75"/>
      <c r="L1620" s="152"/>
      <c r="M1620" s="152"/>
      <c r="N1620" s="296"/>
      <c r="O1620" s="213"/>
      <c r="P1620" s="47"/>
      <c r="Q1620" s="47"/>
      <c r="R1620" s="47"/>
      <c r="S1620" s="193"/>
      <c r="T1620" s="77"/>
      <c r="U1620" s="78"/>
      <c r="V1620" s="78"/>
      <c r="W1620" s="77"/>
    </row>
    <row r="1621">
      <c r="A1621" s="145"/>
      <c r="B1621" s="145"/>
      <c r="C1621" s="145"/>
      <c r="D1621" s="75"/>
      <c r="E1621" s="75"/>
      <c r="F1621" s="211"/>
      <c r="G1621" s="145"/>
      <c r="H1621" s="211"/>
      <c r="I1621" s="145"/>
      <c r="J1621" s="211"/>
      <c r="K1621" s="75"/>
      <c r="L1621" s="152"/>
      <c r="M1621" s="152"/>
      <c r="N1621" s="296"/>
      <c r="O1621" s="213"/>
      <c r="P1621" s="47"/>
      <c r="Q1621" s="47"/>
      <c r="R1621" s="47"/>
      <c r="S1621" s="193"/>
      <c r="T1621" s="77"/>
      <c r="U1621" s="78"/>
      <c r="V1621" s="78"/>
      <c r="W1621" s="77"/>
    </row>
    <row r="1622">
      <c r="A1622" s="145"/>
      <c r="B1622" s="145"/>
      <c r="C1622" s="145"/>
      <c r="D1622" s="75"/>
      <c r="E1622" s="75"/>
      <c r="F1622" s="211"/>
      <c r="G1622" s="145"/>
      <c r="H1622" s="211"/>
      <c r="I1622" s="145"/>
      <c r="J1622" s="211"/>
      <c r="K1622" s="75"/>
      <c r="L1622" s="152"/>
      <c r="M1622" s="152"/>
      <c r="N1622" s="296"/>
      <c r="O1622" s="213"/>
      <c r="P1622" s="47"/>
      <c r="Q1622" s="47"/>
      <c r="R1622" s="47"/>
      <c r="S1622" s="193"/>
      <c r="T1622" s="77"/>
      <c r="U1622" s="78"/>
      <c r="V1622" s="78"/>
      <c r="W1622" s="77"/>
    </row>
    <row r="1623">
      <c r="A1623" s="145"/>
      <c r="B1623" s="145"/>
      <c r="C1623" s="145"/>
      <c r="D1623" s="75"/>
      <c r="E1623" s="75"/>
      <c r="F1623" s="211"/>
      <c r="G1623" s="145"/>
      <c r="H1623" s="211"/>
      <c r="I1623" s="145"/>
      <c r="J1623" s="211"/>
      <c r="K1623" s="75"/>
      <c r="L1623" s="152"/>
      <c r="M1623" s="152"/>
      <c r="N1623" s="296"/>
      <c r="O1623" s="213"/>
      <c r="P1623" s="47"/>
      <c r="Q1623" s="47"/>
      <c r="R1623" s="47"/>
      <c r="S1623" s="193"/>
      <c r="T1623" s="77"/>
      <c r="U1623" s="78"/>
      <c r="V1623" s="78"/>
      <c r="W1623" s="77"/>
    </row>
    <row r="1624">
      <c r="A1624" s="145"/>
      <c r="B1624" s="145"/>
      <c r="C1624" s="145"/>
      <c r="D1624" s="75"/>
      <c r="E1624" s="75"/>
      <c r="F1624" s="211"/>
      <c r="G1624" s="145"/>
      <c r="H1624" s="211"/>
      <c r="I1624" s="145"/>
      <c r="J1624" s="211"/>
      <c r="K1624" s="75"/>
      <c r="L1624" s="152"/>
      <c r="M1624" s="152"/>
      <c r="N1624" s="296"/>
      <c r="O1624" s="213"/>
      <c r="P1624" s="47"/>
      <c r="Q1624" s="47"/>
      <c r="R1624" s="47"/>
      <c r="S1624" s="193"/>
      <c r="T1624" s="77"/>
      <c r="U1624" s="78"/>
      <c r="V1624" s="78"/>
      <c r="W1624" s="77"/>
    </row>
    <row r="1625">
      <c r="A1625" s="145"/>
      <c r="B1625" s="145"/>
      <c r="C1625" s="145"/>
      <c r="D1625" s="75"/>
      <c r="E1625" s="75"/>
      <c r="F1625" s="211"/>
      <c r="G1625" s="145"/>
      <c r="H1625" s="211"/>
      <c r="I1625" s="145"/>
      <c r="J1625" s="211"/>
      <c r="K1625" s="75"/>
      <c r="L1625" s="152"/>
      <c r="M1625" s="152"/>
      <c r="N1625" s="296"/>
      <c r="O1625" s="213"/>
      <c r="P1625" s="47"/>
      <c r="Q1625" s="47"/>
      <c r="R1625" s="47"/>
      <c r="S1625" s="193"/>
      <c r="T1625" s="77"/>
      <c r="U1625" s="78"/>
      <c r="V1625" s="78"/>
      <c r="W1625" s="77"/>
    </row>
    <row r="1626">
      <c r="A1626" s="145"/>
      <c r="B1626" s="145"/>
      <c r="C1626" s="145"/>
      <c r="D1626" s="75"/>
      <c r="E1626" s="75"/>
      <c r="F1626" s="211"/>
      <c r="G1626" s="145"/>
      <c r="H1626" s="211"/>
      <c r="I1626" s="145"/>
      <c r="J1626" s="211"/>
      <c r="K1626" s="75"/>
      <c r="L1626" s="152"/>
      <c r="M1626" s="152"/>
      <c r="N1626" s="296"/>
      <c r="O1626" s="213"/>
      <c r="P1626" s="47"/>
      <c r="Q1626" s="47"/>
      <c r="R1626" s="47"/>
      <c r="S1626" s="193"/>
      <c r="T1626" s="77"/>
      <c r="U1626" s="78"/>
      <c r="V1626" s="78"/>
      <c r="W1626" s="77"/>
    </row>
    <row r="1627">
      <c r="A1627" s="145"/>
      <c r="B1627" s="145"/>
      <c r="C1627" s="145"/>
      <c r="D1627" s="75"/>
      <c r="E1627" s="75"/>
      <c r="F1627" s="211"/>
      <c r="G1627" s="145"/>
      <c r="H1627" s="211"/>
      <c r="I1627" s="145"/>
      <c r="J1627" s="211"/>
      <c r="K1627" s="75"/>
      <c r="L1627" s="152"/>
      <c r="M1627" s="152"/>
      <c r="N1627" s="296"/>
      <c r="O1627" s="213"/>
      <c r="P1627" s="47"/>
      <c r="Q1627" s="47"/>
      <c r="R1627" s="47"/>
      <c r="S1627" s="193"/>
      <c r="T1627" s="77"/>
      <c r="U1627" s="78"/>
      <c r="V1627" s="78"/>
      <c r="W1627" s="77"/>
    </row>
    <row r="1628">
      <c r="A1628" s="145"/>
      <c r="B1628" s="145"/>
      <c r="C1628" s="145"/>
      <c r="D1628" s="75"/>
      <c r="E1628" s="75"/>
      <c r="F1628" s="211"/>
      <c r="G1628" s="145"/>
      <c r="H1628" s="211"/>
      <c r="I1628" s="145"/>
      <c r="J1628" s="211"/>
      <c r="K1628" s="75"/>
      <c r="L1628" s="152"/>
      <c r="M1628" s="152"/>
      <c r="N1628" s="296"/>
      <c r="O1628" s="213"/>
      <c r="P1628" s="47"/>
      <c r="Q1628" s="47"/>
      <c r="R1628" s="47"/>
      <c r="S1628" s="193"/>
      <c r="T1628" s="77"/>
      <c r="U1628" s="78"/>
      <c r="V1628" s="78"/>
      <c r="W1628" s="77"/>
    </row>
    <row r="1629">
      <c r="A1629" s="145"/>
      <c r="B1629" s="145"/>
      <c r="C1629" s="145"/>
      <c r="D1629" s="75"/>
      <c r="E1629" s="75"/>
      <c r="F1629" s="211"/>
      <c r="G1629" s="145"/>
      <c r="H1629" s="211"/>
      <c r="I1629" s="145"/>
      <c r="J1629" s="211"/>
      <c r="K1629" s="75"/>
      <c r="L1629" s="152"/>
      <c r="M1629" s="152"/>
      <c r="N1629" s="296"/>
      <c r="O1629" s="213"/>
      <c r="P1629" s="47"/>
      <c r="Q1629" s="47"/>
      <c r="R1629" s="47"/>
      <c r="S1629" s="193"/>
      <c r="T1629" s="77"/>
      <c r="U1629" s="78"/>
      <c r="V1629" s="78"/>
      <c r="W1629" s="77"/>
    </row>
    <row r="1630">
      <c r="A1630" s="145"/>
      <c r="B1630" s="145"/>
      <c r="C1630" s="145"/>
      <c r="D1630" s="75"/>
      <c r="E1630" s="75"/>
      <c r="F1630" s="211"/>
      <c r="G1630" s="145"/>
      <c r="H1630" s="211"/>
      <c r="I1630" s="145"/>
      <c r="J1630" s="211"/>
      <c r="K1630" s="75"/>
      <c r="L1630" s="152"/>
      <c r="M1630" s="152"/>
      <c r="N1630" s="296"/>
      <c r="O1630" s="213"/>
      <c r="P1630" s="47"/>
      <c r="Q1630" s="47"/>
      <c r="R1630" s="47"/>
      <c r="S1630" s="193"/>
      <c r="T1630" s="77"/>
      <c r="U1630" s="78"/>
      <c r="V1630" s="78"/>
      <c r="W1630" s="77"/>
    </row>
    <row r="1631">
      <c r="A1631" s="145"/>
      <c r="B1631" s="145"/>
      <c r="C1631" s="145"/>
      <c r="D1631" s="75"/>
      <c r="E1631" s="75"/>
      <c r="F1631" s="211"/>
      <c r="G1631" s="145"/>
      <c r="H1631" s="211"/>
      <c r="I1631" s="145"/>
      <c r="J1631" s="211"/>
      <c r="K1631" s="75"/>
      <c r="L1631" s="152"/>
      <c r="M1631" s="152"/>
      <c r="N1631" s="296"/>
      <c r="O1631" s="213"/>
      <c r="P1631" s="47"/>
      <c r="Q1631" s="47"/>
      <c r="R1631" s="47"/>
      <c r="S1631" s="193"/>
      <c r="T1631" s="77"/>
      <c r="U1631" s="78"/>
      <c r="V1631" s="78"/>
      <c r="W1631" s="77"/>
    </row>
    <row r="1632">
      <c r="A1632" s="145"/>
      <c r="B1632" s="145"/>
      <c r="C1632" s="145"/>
      <c r="D1632" s="75"/>
      <c r="E1632" s="75"/>
      <c r="F1632" s="211"/>
      <c r="G1632" s="145"/>
      <c r="H1632" s="211"/>
      <c r="I1632" s="145"/>
      <c r="J1632" s="211"/>
      <c r="K1632" s="75"/>
      <c r="L1632" s="152"/>
      <c r="M1632" s="152"/>
      <c r="N1632" s="296"/>
      <c r="O1632" s="213"/>
      <c r="P1632" s="47"/>
      <c r="Q1632" s="47"/>
      <c r="R1632" s="47"/>
      <c r="S1632" s="193"/>
      <c r="T1632" s="77"/>
      <c r="U1632" s="78"/>
      <c r="V1632" s="78"/>
      <c r="W1632" s="77"/>
    </row>
    <row r="1633">
      <c r="A1633" s="145"/>
      <c r="B1633" s="145"/>
      <c r="C1633" s="145"/>
      <c r="D1633" s="75"/>
      <c r="E1633" s="75"/>
      <c r="F1633" s="211"/>
      <c r="G1633" s="145"/>
      <c r="H1633" s="211"/>
      <c r="I1633" s="145"/>
      <c r="J1633" s="211"/>
      <c r="K1633" s="75"/>
      <c r="L1633" s="152"/>
      <c r="M1633" s="152"/>
      <c r="N1633" s="296"/>
      <c r="O1633" s="213"/>
      <c r="P1633" s="47"/>
      <c r="Q1633" s="47"/>
      <c r="R1633" s="47"/>
      <c r="S1633" s="193"/>
      <c r="T1633" s="77"/>
      <c r="U1633" s="78"/>
      <c r="V1633" s="78"/>
      <c r="W1633" s="77"/>
    </row>
    <row r="1634">
      <c r="A1634" s="145"/>
      <c r="B1634" s="145"/>
      <c r="C1634" s="145"/>
      <c r="D1634" s="75"/>
      <c r="E1634" s="75"/>
      <c r="F1634" s="211"/>
      <c r="G1634" s="145"/>
      <c r="H1634" s="211"/>
      <c r="I1634" s="145"/>
      <c r="J1634" s="211"/>
      <c r="K1634" s="75"/>
      <c r="L1634" s="152"/>
      <c r="M1634" s="152"/>
      <c r="N1634" s="296"/>
      <c r="O1634" s="213"/>
      <c r="P1634" s="47"/>
      <c r="Q1634" s="47"/>
      <c r="R1634" s="47"/>
      <c r="S1634" s="193"/>
      <c r="T1634" s="77"/>
      <c r="U1634" s="78"/>
      <c r="V1634" s="78"/>
      <c r="W1634" s="77"/>
    </row>
    <row r="1635">
      <c r="A1635" s="145"/>
      <c r="B1635" s="145"/>
      <c r="C1635" s="145"/>
      <c r="D1635" s="75"/>
      <c r="E1635" s="75"/>
      <c r="F1635" s="211"/>
      <c r="G1635" s="145"/>
      <c r="H1635" s="211"/>
      <c r="I1635" s="145"/>
      <c r="J1635" s="211"/>
      <c r="K1635" s="75"/>
      <c r="L1635" s="152"/>
      <c r="M1635" s="152"/>
      <c r="N1635" s="296"/>
      <c r="O1635" s="213"/>
      <c r="P1635" s="47"/>
      <c r="Q1635" s="47"/>
      <c r="R1635" s="47"/>
      <c r="S1635" s="193"/>
      <c r="T1635" s="77"/>
      <c r="U1635" s="78"/>
      <c r="V1635" s="78"/>
      <c r="W1635" s="77"/>
    </row>
    <row r="1636">
      <c r="A1636" s="145"/>
      <c r="B1636" s="145"/>
      <c r="C1636" s="145"/>
      <c r="D1636" s="75"/>
      <c r="E1636" s="75"/>
      <c r="F1636" s="211"/>
      <c r="G1636" s="145"/>
      <c r="H1636" s="211"/>
      <c r="I1636" s="145"/>
      <c r="J1636" s="211"/>
      <c r="K1636" s="75"/>
      <c r="L1636" s="152"/>
      <c r="M1636" s="152"/>
      <c r="N1636" s="296"/>
      <c r="O1636" s="213"/>
      <c r="P1636" s="47"/>
      <c r="Q1636" s="47"/>
      <c r="R1636" s="47"/>
      <c r="S1636" s="193"/>
      <c r="T1636" s="77"/>
      <c r="U1636" s="78"/>
      <c r="V1636" s="78"/>
      <c r="W1636" s="77"/>
    </row>
    <row r="1637">
      <c r="A1637" s="145"/>
      <c r="B1637" s="145"/>
      <c r="C1637" s="145"/>
      <c r="D1637" s="75"/>
      <c r="E1637" s="75"/>
      <c r="F1637" s="211"/>
      <c r="G1637" s="145"/>
      <c r="H1637" s="211"/>
      <c r="I1637" s="145"/>
      <c r="J1637" s="211"/>
      <c r="K1637" s="75"/>
      <c r="L1637" s="152"/>
      <c r="M1637" s="152"/>
      <c r="N1637" s="296"/>
      <c r="O1637" s="213"/>
      <c r="P1637" s="47"/>
      <c r="Q1637" s="47"/>
      <c r="R1637" s="47"/>
      <c r="S1637" s="193"/>
      <c r="T1637" s="77"/>
      <c r="U1637" s="78"/>
      <c r="V1637" s="78"/>
      <c r="W1637" s="77"/>
    </row>
    <row r="1638">
      <c r="A1638" s="145"/>
      <c r="B1638" s="145"/>
      <c r="C1638" s="145"/>
      <c r="D1638" s="75"/>
      <c r="E1638" s="75"/>
      <c r="F1638" s="211"/>
      <c r="G1638" s="145"/>
      <c r="H1638" s="211"/>
      <c r="I1638" s="145"/>
      <c r="J1638" s="211"/>
      <c r="K1638" s="75"/>
      <c r="L1638" s="152"/>
      <c r="M1638" s="152"/>
      <c r="N1638" s="296"/>
      <c r="O1638" s="213"/>
      <c r="P1638" s="47"/>
      <c r="Q1638" s="47"/>
      <c r="R1638" s="47"/>
      <c r="S1638" s="193"/>
      <c r="T1638" s="77"/>
      <c r="U1638" s="78"/>
      <c r="V1638" s="78"/>
      <c r="W1638" s="77"/>
    </row>
    <row r="1639">
      <c r="A1639" s="145"/>
      <c r="B1639" s="145"/>
      <c r="C1639" s="145"/>
      <c r="D1639" s="75"/>
      <c r="E1639" s="75"/>
      <c r="F1639" s="211"/>
      <c r="G1639" s="145"/>
      <c r="H1639" s="211"/>
      <c r="I1639" s="145"/>
      <c r="J1639" s="211"/>
      <c r="K1639" s="75"/>
      <c r="L1639" s="152"/>
      <c r="M1639" s="152"/>
      <c r="N1639" s="296"/>
      <c r="O1639" s="213"/>
      <c r="P1639" s="47"/>
      <c r="Q1639" s="47"/>
      <c r="R1639" s="47"/>
      <c r="S1639" s="193"/>
      <c r="T1639" s="77"/>
      <c r="U1639" s="78"/>
      <c r="V1639" s="78"/>
      <c r="W1639" s="77"/>
    </row>
    <row r="1640">
      <c r="A1640" s="145"/>
      <c r="B1640" s="145"/>
      <c r="C1640" s="145"/>
      <c r="D1640" s="75"/>
      <c r="E1640" s="75"/>
      <c r="F1640" s="211"/>
      <c r="G1640" s="145"/>
      <c r="H1640" s="211"/>
      <c r="I1640" s="145"/>
      <c r="J1640" s="211"/>
      <c r="K1640" s="75"/>
      <c r="L1640" s="152"/>
      <c r="M1640" s="152"/>
      <c r="N1640" s="296"/>
      <c r="O1640" s="213"/>
      <c r="P1640" s="47"/>
      <c r="Q1640" s="47"/>
      <c r="R1640" s="47"/>
      <c r="S1640" s="193"/>
      <c r="T1640" s="77"/>
      <c r="U1640" s="78"/>
      <c r="V1640" s="78"/>
      <c r="W1640" s="77"/>
    </row>
    <row r="1641">
      <c r="A1641" s="145"/>
      <c r="B1641" s="145"/>
      <c r="C1641" s="145"/>
      <c r="D1641" s="75"/>
      <c r="E1641" s="75"/>
      <c r="F1641" s="211"/>
      <c r="G1641" s="145"/>
      <c r="H1641" s="211"/>
      <c r="I1641" s="145"/>
      <c r="J1641" s="211"/>
      <c r="K1641" s="75"/>
      <c r="L1641" s="152"/>
      <c r="M1641" s="152"/>
      <c r="N1641" s="296"/>
      <c r="O1641" s="213"/>
      <c r="P1641" s="47"/>
      <c r="Q1641" s="47"/>
      <c r="R1641" s="47"/>
      <c r="S1641" s="193"/>
      <c r="T1641" s="77"/>
      <c r="U1641" s="78"/>
      <c r="V1641" s="78"/>
      <c r="W1641" s="77"/>
    </row>
    <row r="1642">
      <c r="A1642" s="145"/>
      <c r="B1642" s="145"/>
      <c r="C1642" s="145"/>
      <c r="D1642" s="75"/>
      <c r="E1642" s="75"/>
      <c r="F1642" s="211"/>
      <c r="G1642" s="145"/>
      <c r="H1642" s="211"/>
      <c r="I1642" s="145"/>
      <c r="J1642" s="211"/>
      <c r="K1642" s="75"/>
      <c r="L1642" s="152"/>
      <c r="M1642" s="152"/>
      <c r="N1642" s="296"/>
      <c r="O1642" s="213"/>
      <c r="P1642" s="47"/>
      <c r="Q1642" s="47"/>
      <c r="R1642" s="47"/>
      <c r="S1642" s="193"/>
      <c r="T1642" s="77"/>
      <c r="U1642" s="78"/>
      <c r="V1642" s="78"/>
      <c r="W1642" s="77"/>
    </row>
    <row r="1643">
      <c r="A1643" s="145"/>
      <c r="B1643" s="145"/>
      <c r="C1643" s="145"/>
      <c r="D1643" s="75"/>
      <c r="E1643" s="75"/>
      <c r="F1643" s="211"/>
      <c r="G1643" s="145"/>
      <c r="H1643" s="211"/>
      <c r="I1643" s="145"/>
      <c r="J1643" s="211"/>
      <c r="K1643" s="75"/>
      <c r="L1643" s="152"/>
      <c r="M1643" s="152"/>
      <c r="N1643" s="296"/>
      <c r="O1643" s="213"/>
      <c r="P1643" s="47"/>
      <c r="Q1643" s="47"/>
      <c r="R1643" s="47"/>
      <c r="S1643" s="193"/>
      <c r="T1643" s="77"/>
      <c r="U1643" s="78"/>
      <c r="V1643" s="78"/>
      <c r="W1643" s="77"/>
    </row>
    <row r="1644">
      <c r="A1644" s="145"/>
      <c r="B1644" s="145"/>
      <c r="C1644" s="145"/>
      <c r="D1644" s="75"/>
      <c r="E1644" s="75"/>
      <c r="F1644" s="211"/>
      <c r="G1644" s="145"/>
      <c r="H1644" s="211"/>
      <c r="I1644" s="145"/>
      <c r="J1644" s="211"/>
      <c r="K1644" s="75"/>
      <c r="L1644" s="152"/>
      <c r="M1644" s="152"/>
      <c r="N1644" s="296"/>
      <c r="O1644" s="213"/>
      <c r="P1644" s="47"/>
      <c r="Q1644" s="47"/>
      <c r="R1644" s="47"/>
      <c r="S1644" s="193"/>
      <c r="T1644" s="77"/>
      <c r="U1644" s="78"/>
      <c r="V1644" s="78"/>
      <c r="W1644" s="77"/>
    </row>
    <row r="1645">
      <c r="A1645" s="145"/>
      <c r="B1645" s="145"/>
      <c r="C1645" s="145"/>
      <c r="D1645" s="75"/>
      <c r="E1645" s="75"/>
      <c r="F1645" s="211"/>
      <c r="G1645" s="145"/>
      <c r="H1645" s="211"/>
      <c r="I1645" s="145"/>
      <c r="J1645" s="211"/>
      <c r="K1645" s="75"/>
      <c r="L1645" s="152"/>
      <c r="M1645" s="152"/>
      <c r="N1645" s="296"/>
      <c r="O1645" s="213"/>
      <c r="P1645" s="47"/>
      <c r="Q1645" s="47"/>
      <c r="R1645" s="47"/>
      <c r="S1645" s="193"/>
      <c r="T1645" s="77"/>
      <c r="U1645" s="78"/>
      <c r="V1645" s="78"/>
      <c r="W1645" s="77"/>
    </row>
    <row r="1646">
      <c r="A1646" s="145"/>
      <c r="B1646" s="145"/>
      <c r="C1646" s="145"/>
      <c r="D1646" s="75"/>
      <c r="E1646" s="75"/>
      <c r="F1646" s="211"/>
      <c r="G1646" s="145"/>
      <c r="H1646" s="211"/>
      <c r="I1646" s="145"/>
      <c r="J1646" s="211"/>
      <c r="K1646" s="75"/>
      <c r="L1646" s="152"/>
      <c r="M1646" s="152"/>
      <c r="N1646" s="296"/>
      <c r="O1646" s="213"/>
      <c r="P1646" s="47"/>
      <c r="Q1646" s="47"/>
      <c r="R1646" s="47"/>
      <c r="S1646" s="193"/>
      <c r="T1646" s="77"/>
      <c r="U1646" s="78"/>
      <c r="V1646" s="78"/>
      <c r="W1646" s="77"/>
    </row>
    <row r="1647">
      <c r="A1647" s="145"/>
      <c r="B1647" s="145"/>
      <c r="C1647" s="145"/>
      <c r="D1647" s="75"/>
      <c r="E1647" s="75"/>
      <c r="F1647" s="211"/>
      <c r="G1647" s="145"/>
      <c r="H1647" s="211"/>
      <c r="I1647" s="145"/>
      <c r="J1647" s="211"/>
      <c r="K1647" s="75"/>
      <c r="L1647" s="152"/>
      <c r="M1647" s="152"/>
      <c r="N1647" s="296"/>
      <c r="O1647" s="213"/>
      <c r="P1647" s="47"/>
      <c r="Q1647" s="47"/>
      <c r="R1647" s="47"/>
      <c r="S1647" s="193"/>
      <c r="T1647" s="77"/>
      <c r="U1647" s="78"/>
      <c r="V1647" s="78"/>
      <c r="W1647" s="77"/>
    </row>
    <row r="1648">
      <c r="A1648" s="145"/>
      <c r="B1648" s="145"/>
      <c r="C1648" s="145"/>
      <c r="D1648" s="75"/>
      <c r="E1648" s="75"/>
      <c r="F1648" s="211"/>
      <c r="G1648" s="145"/>
      <c r="H1648" s="211"/>
      <c r="I1648" s="145"/>
      <c r="J1648" s="211"/>
      <c r="K1648" s="75"/>
      <c r="L1648" s="152"/>
      <c r="M1648" s="152"/>
      <c r="N1648" s="296"/>
      <c r="O1648" s="213"/>
      <c r="P1648" s="47"/>
      <c r="Q1648" s="47"/>
      <c r="R1648" s="47"/>
      <c r="S1648" s="193"/>
      <c r="T1648" s="77"/>
      <c r="U1648" s="78"/>
      <c r="V1648" s="78"/>
      <c r="W1648" s="77"/>
    </row>
    <row r="1649">
      <c r="A1649" s="145"/>
      <c r="B1649" s="145"/>
      <c r="C1649" s="145"/>
      <c r="D1649" s="75"/>
      <c r="E1649" s="75"/>
      <c r="F1649" s="211"/>
      <c r="G1649" s="145"/>
      <c r="H1649" s="211"/>
      <c r="I1649" s="145"/>
      <c r="J1649" s="211"/>
      <c r="K1649" s="75"/>
      <c r="L1649" s="152"/>
      <c r="M1649" s="152"/>
      <c r="N1649" s="296"/>
      <c r="O1649" s="213"/>
      <c r="P1649" s="47"/>
      <c r="Q1649" s="47"/>
      <c r="R1649" s="47"/>
      <c r="S1649" s="193"/>
      <c r="T1649" s="77"/>
      <c r="U1649" s="78"/>
      <c r="V1649" s="78"/>
      <c r="W1649" s="77"/>
    </row>
    <row r="1650">
      <c r="A1650" s="145"/>
      <c r="B1650" s="145"/>
      <c r="C1650" s="145"/>
      <c r="D1650" s="75"/>
      <c r="E1650" s="75"/>
      <c r="F1650" s="211"/>
      <c r="G1650" s="145"/>
      <c r="H1650" s="211"/>
      <c r="I1650" s="145"/>
      <c r="J1650" s="211"/>
      <c r="K1650" s="75"/>
      <c r="L1650" s="152"/>
      <c r="M1650" s="152"/>
      <c r="N1650" s="296"/>
      <c r="O1650" s="213"/>
      <c r="P1650" s="47"/>
      <c r="Q1650" s="47"/>
      <c r="R1650" s="47"/>
      <c r="S1650" s="193"/>
      <c r="T1650" s="77"/>
      <c r="U1650" s="78"/>
      <c r="V1650" s="78"/>
      <c r="W1650" s="77"/>
    </row>
    <row r="1651">
      <c r="A1651" s="145"/>
      <c r="B1651" s="145"/>
      <c r="C1651" s="145"/>
      <c r="D1651" s="75"/>
      <c r="E1651" s="75"/>
      <c r="F1651" s="211"/>
      <c r="G1651" s="145"/>
      <c r="H1651" s="211"/>
      <c r="I1651" s="145"/>
      <c r="J1651" s="211"/>
      <c r="K1651" s="75"/>
      <c r="L1651" s="152"/>
      <c r="M1651" s="152"/>
      <c r="N1651" s="296"/>
      <c r="O1651" s="213"/>
      <c r="P1651" s="47"/>
      <c r="Q1651" s="47"/>
      <c r="R1651" s="47"/>
      <c r="S1651" s="193"/>
      <c r="T1651" s="77"/>
      <c r="U1651" s="78"/>
      <c r="V1651" s="78"/>
      <c r="W1651" s="77"/>
    </row>
    <row r="1652">
      <c r="A1652" s="145"/>
      <c r="B1652" s="145"/>
      <c r="C1652" s="145"/>
      <c r="D1652" s="75"/>
      <c r="E1652" s="75"/>
      <c r="F1652" s="211"/>
      <c r="G1652" s="145"/>
      <c r="H1652" s="211"/>
      <c r="I1652" s="145"/>
      <c r="J1652" s="211"/>
      <c r="K1652" s="75"/>
      <c r="L1652" s="152"/>
      <c r="M1652" s="152"/>
      <c r="N1652" s="296"/>
      <c r="O1652" s="213"/>
      <c r="P1652" s="47"/>
      <c r="Q1652" s="47"/>
      <c r="R1652" s="47"/>
      <c r="S1652" s="193"/>
      <c r="T1652" s="77"/>
      <c r="U1652" s="78"/>
      <c r="V1652" s="78"/>
      <c r="W1652" s="77"/>
    </row>
    <row r="1653">
      <c r="A1653" s="145"/>
      <c r="B1653" s="145"/>
      <c r="C1653" s="145"/>
      <c r="D1653" s="75"/>
      <c r="E1653" s="75"/>
      <c r="F1653" s="211"/>
      <c r="G1653" s="145"/>
      <c r="H1653" s="211"/>
      <c r="I1653" s="145"/>
      <c r="J1653" s="211"/>
      <c r="K1653" s="75"/>
      <c r="L1653" s="152"/>
      <c r="M1653" s="152"/>
      <c r="N1653" s="296"/>
      <c r="O1653" s="213"/>
      <c r="P1653" s="47"/>
      <c r="Q1653" s="47"/>
      <c r="R1653" s="47"/>
      <c r="S1653" s="193"/>
      <c r="T1653" s="77"/>
      <c r="U1653" s="78"/>
      <c r="V1653" s="78"/>
      <c r="W1653" s="77"/>
    </row>
    <row r="1654">
      <c r="A1654" s="145"/>
      <c r="B1654" s="145"/>
      <c r="C1654" s="145"/>
      <c r="D1654" s="75"/>
      <c r="E1654" s="75"/>
      <c r="F1654" s="211"/>
      <c r="G1654" s="145"/>
      <c r="H1654" s="211"/>
      <c r="I1654" s="145"/>
      <c r="J1654" s="211"/>
      <c r="K1654" s="75"/>
      <c r="L1654" s="152"/>
      <c r="M1654" s="152"/>
      <c r="N1654" s="296"/>
      <c r="O1654" s="213"/>
      <c r="P1654" s="47"/>
      <c r="Q1654" s="47"/>
      <c r="R1654" s="47"/>
      <c r="S1654" s="193"/>
      <c r="T1654" s="77"/>
      <c r="U1654" s="78"/>
      <c r="V1654" s="78"/>
      <c r="W1654" s="77"/>
    </row>
    <row r="1655">
      <c r="A1655" s="145"/>
      <c r="B1655" s="145"/>
      <c r="C1655" s="145"/>
      <c r="D1655" s="75"/>
      <c r="E1655" s="75"/>
      <c r="F1655" s="211"/>
      <c r="G1655" s="145"/>
      <c r="H1655" s="211"/>
      <c r="I1655" s="145"/>
      <c r="J1655" s="211"/>
      <c r="K1655" s="75"/>
      <c r="L1655" s="152"/>
      <c r="M1655" s="152"/>
      <c r="N1655" s="296"/>
      <c r="O1655" s="213"/>
      <c r="P1655" s="47"/>
      <c r="Q1655" s="47"/>
      <c r="R1655" s="47"/>
      <c r="S1655" s="193"/>
      <c r="T1655" s="77"/>
      <c r="U1655" s="78"/>
      <c r="V1655" s="78"/>
      <c r="W1655" s="77"/>
    </row>
    <row r="1656">
      <c r="A1656" s="145"/>
      <c r="B1656" s="145"/>
      <c r="C1656" s="145"/>
      <c r="D1656" s="75"/>
      <c r="E1656" s="75"/>
      <c r="F1656" s="211"/>
      <c r="G1656" s="145"/>
      <c r="H1656" s="211"/>
      <c r="I1656" s="145"/>
      <c r="J1656" s="211"/>
      <c r="K1656" s="75"/>
      <c r="L1656" s="152"/>
      <c r="M1656" s="152"/>
      <c r="N1656" s="296"/>
      <c r="O1656" s="213"/>
      <c r="P1656" s="47"/>
      <c r="Q1656" s="47"/>
      <c r="R1656" s="47"/>
      <c r="S1656" s="193"/>
      <c r="T1656" s="77"/>
      <c r="U1656" s="78"/>
      <c r="V1656" s="78"/>
      <c r="W1656" s="77"/>
    </row>
    <row r="1657">
      <c r="A1657" s="145"/>
      <c r="B1657" s="145"/>
      <c r="C1657" s="145"/>
      <c r="D1657" s="75"/>
      <c r="E1657" s="75"/>
      <c r="F1657" s="211"/>
      <c r="G1657" s="145"/>
      <c r="H1657" s="211"/>
      <c r="I1657" s="145"/>
      <c r="J1657" s="211"/>
      <c r="K1657" s="75"/>
      <c r="L1657" s="152"/>
      <c r="M1657" s="152"/>
      <c r="N1657" s="296"/>
      <c r="O1657" s="213"/>
      <c r="P1657" s="47"/>
      <c r="Q1657" s="47"/>
      <c r="R1657" s="47"/>
      <c r="S1657" s="193"/>
      <c r="T1657" s="77"/>
      <c r="U1657" s="78"/>
      <c r="V1657" s="78"/>
      <c r="W1657" s="77"/>
    </row>
    <row r="1658">
      <c r="A1658" s="145"/>
      <c r="B1658" s="145"/>
      <c r="C1658" s="145"/>
      <c r="D1658" s="75"/>
      <c r="E1658" s="75"/>
      <c r="F1658" s="211"/>
      <c r="G1658" s="145"/>
      <c r="H1658" s="211"/>
      <c r="I1658" s="145"/>
      <c r="J1658" s="211"/>
      <c r="K1658" s="75"/>
      <c r="L1658" s="152"/>
      <c r="M1658" s="152"/>
      <c r="N1658" s="296"/>
      <c r="O1658" s="213"/>
      <c r="P1658" s="47"/>
      <c r="Q1658" s="47"/>
      <c r="R1658" s="47"/>
      <c r="S1658" s="193"/>
      <c r="T1658" s="77"/>
      <c r="U1658" s="78"/>
      <c r="V1658" s="78"/>
      <c r="W1658" s="77"/>
    </row>
    <row r="1659">
      <c r="A1659" s="145"/>
      <c r="B1659" s="145"/>
      <c r="C1659" s="145"/>
      <c r="D1659" s="75"/>
      <c r="E1659" s="75"/>
      <c r="F1659" s="211"/>
      <c r="G1659" s="145"/>
      <c r="H1659" s="211"/>
      <c r="I1659" s="145"/>
      <c r="J1659" s="211"/>
      <c r="K1659" s="75"/>
      <c r="L1659" s="152"/>
      <c r="M1659" s="152"/>
      <c r="N1659" s="296"/>
      <c r="O1659" s="213"/>
      <c r="P1659" s="47"/>
      <c r="Q1659" s="47"/>
      <c r="R1659" s="47"/>
      <c r="S1659" s="193"/>
      <c r="T1659" s="77"/>
      <c r="U1659" s="78"/>
      <c r="V1659" s="78"/>
      <c r="W1659" s="77"/>
    </row>
    <row r="1660">
      <c r="A1660" s="145"/>
      <c r="B1660" s="145"/>
      <c r="C1660" s="145"/>
      <c r="D1660" s="75"/>
      <c r="E1660" s="75"/>
      <c r="F1660" s="211"/>
      <c r="G1660" s="145"/>
      <c r="H1660" s="211"/>
      <c r="I1660" s="145"/>
      <c r="J1660" s="211"/>
      <c r="K1660" s="75"/>
      <c r="L1660" s="152"/>
      <c r="M1660" s="152"/>
      <c r="N1660" s="296"/>
      <c r="O1660" s="213"/>
      <c r="P1660" s="47"/>
      <c r="Q1660" s="47"/>
      <c r="R1660" s="47"/>
      <c r="S1660" s="193"/>
      <c r="T1660" s="77"/>
      <c r="U1660" s="78"/>
      <c r="V1660" s="78"/>
      <c r="W1660" s="77"/>
    </row>
    <row r="1661">
      <c r="A1661" s="145"/>
      <c r="B1661" s="145"/>
      <c r="C1661" s="145"/>
      <c r="D1661" s="75"/>
      <c r="E1661" s="75"/>
      <c r="F1661" s="211"/>
      <c r="G1661" s="145"/>
      <c r="H1661" s="211"/>
      <c r="I1661" s="145"/>
      <c r="J1661" s="211"/>
      <c r="K1661" s="75"/>
      <c r="L1661" s="152"/>
      <c r="M1661" s="152"/>
      <c r="N1661" s="296"/>
      <c r="O1661" s="213"/>
      <c r="P1661" s="47"/>
      <c r="Q1661" s="47"/>
      <c r="R1661" s="47"/>
      <c r="S1661" s="193"/>
      <c r="T1661" s="77"/>
      <c r="U1661" s="78"/>
      <c r="V1661" s="78"/>
      <c r="W1661" s="77"/>
    </row>
    <row r="1662">
      <c r="A1662" s="145"/>
      <c r="B1662" s="145"/>
      <c r="C1662" s="145"/>
      <c r="D1662" s="75"/>
      <c r="E1662" s="75"/>
      <c r="F1662" s="211"/>
      <c r="G1662" s="145"/>
      <c r="H1662" s="211"/>
      <c r="I1662" s="145"/>
      <c r="J1662" s="211"/>
      <c r="K1662" s="75"/>
      <c r="L1662" s="152"/>
      <c r="M1662" s="152"/>
      <c r="N1662" s="296"/>
      <c r="O1662" s="213"/>
      <c r="P1662" s="47"/>
      <c r="Q1662" s="47"/>
      <c r="R1662" s="47"/>
      <c r="S1662" s="193"/>
      <c r="T1662" s="77"/>
      <c r="U1662" s="78"/>
      <c r="V1662" s="78"/>
      <c r="W1662" s="77"/>
    </row>
    <row r="1663">
      <c r="A1663" s="145"/>
      <c r="B1663" s="145"/>
      <c r="C1663" s="145"/>
      <c r="D1663" s="75"/>
      <c r="E1663" s="75"/>
      <c r="F1663" s="211"/>
      <c r="G1663" s="145"/>
      <c r="H1663" s="211"/>
      <c r="I1663" s="145"/>
      <c r="J1663" s="211"/>
      <c r="K1663" s="75"/>
      <c r="L1663" s="152"/>
      <c r="M1663" s="152"/>
      <c r="N1663" s="296"/>
      <c r="O1663" s="213"/>
      <c r="P1663" s="47"/>
      <c r="Q1663" s="47"/>
      <c r="R1663" s="47"/>
      <c r="S1663" s="193"/>
      <c r="T1663" s="77"/>
      <c r="U1663" s="78"/>
      <c r="V1663" s="78"/>
      <c r="W1663" s="77"/>
    </row>
    <row r="1664">
      <c r="A1664" s="145"/>
      <c r="B1664" s="145"/>
      <c r="C1664" s="145"/>
      <c r="D1664" s="75"/>
      <c r="E1664" s="75"/>
      <c r="F1664" s="211"/>
      <c r="G1664" s="145"/>
      <c r="H1664" s="211"/>
      <c r="I1664" s="145"/>
      <c r="J1664" s="211"/>
      <c r="K1664" s="75"/>
      <c r="L1664" s="152"/>
      <c r="M1664" s="152"/>
      <c r="N1664" s="296"/>
      <c r="O1664" s="213"/>
      <c r="P1664" s="47"/>
      <c r="Q1664" s="47"/>
      <c r="R1664" s="47"/>
      <c r="S1664" s="193"/>
      <c r="T1664" s="77"/>
      <c r="U1664" s="78"/>
      <c r="V1664" s="78"/>
      <c r="W1664" s="77"/>
    </row>
    <row r="1665">
      <c r="A1665" s="145"/>
      <c r="B1665" s="145"/>
      <c r="C1665" s="145"/>
      <c r="D1665" s="75"/>
      <c r="E1665" s="75"/>
      <c r="F1665" s="211"/>
      <c r="G1665" s="145"/>
      <c r="H1665" s="211"/>
      <c r="I1665" s="145"/>
      <c r="J1665" s="211"/>
      <c r="K1665" s="75"/>
      <c r="L1665" s="152"/>
      <c r="M1665" s="152"/>
      <c r="N1665" s="296"/>
      <c r="O1665" s="213"/>
      <c r="P1665" s="47"/>
      <c r="Q1665" s="47"/>
      <c r="R1665" s="47"/>
      <c r="S1665" s="193"/>
      <c r="T1665" s="77"/>
      <c r="U1665" s="78"/>
      <c r="V1665" s="78"/>
      <c r="W1665" s="77"/>
    </row>
    <row r="1666">
      <c r="A1666" s="145"/>
      <c r="B1666" s="145"/>
      <c r="C1666" s="145"/>
      <c r="D1666" s="75"/>
      <c r="E1666" s="75"/>
      <c r="F1666" s="211"/>
      <c r="G1666" s="145"/>
      <c r="H1666" s="211"/>
      <c r="I1666" s="145"/>
      <c r="J1666" s="211"/>
      <c r="K1666" s="75"/>
      <c r="L1666" s="152"/>
      <c r="M1666" s="152"/>
      <c r="N1666" s="296"/>
      <c r="O1666" s="213"/>
      <c r="P1666" s="47"/>
      <c r="Q1666" s="47"/>
      <c r="R1666" s="47"/>
      <c r="S1666" s="193"/>
      <c r="T1666" s="77"/>
      <c r="U1666" s="78"/>
      <c r="V1666" s="78"/>
      <c r="W1666" s="77"/>
    </row>
    <row r="1667">
      <c r="A1667" s="145"/>
      <c r="B1667" s="145"/>
      <c r="C1667" s="145"/>
      <c r="D1667" s="75"/>
      <c r="E1667" s="75"/>
      <c r="F1667" s="211"/>
      <c r="G1667" s="145"/>
      <c r="H1667" s="211"/>
      <c r="I1667" s="145"/>
      <c r="J1667" s="211"/>
      <c r="K1667" s="75"/>
      <c r="L1667" s="152"/>
      <c r="M1667" s="152"/>
      <c r="N1667" s="296"/>
      <c r="O1667" s="213"/>
      <c r="P1667" s="47"/>
      <c r="Q1667" s="47"/>
      <c r="R1667" s="47"/>
      <c r="S1667" s="193"/>
      <c r="T1667" s="77"/>
      <c r="U1667" s="78"/>
      <c r="V1667" s="78"/>
      <c r="W1667" s="77"/>
    </row>
    <row r="1668">
      <c r="A1668" s="145"/>
      <c r="B1668" s="145"/>
      <c r="C1668" s="145"/>
      <c r="D1668" s="75"/>
      <c r="E1668" s="75"/>
      <c r="F1668" s="211"/>
      <c r="G1668" s="145"/>
      <c r="H1668" s="211"/>
      <c r="I1668" s="145"/>
      <c r="J1668" s="211"/>
      <c r="K1668" s="75"/>
      <c r="L1668" s="152"/>
      <c r="M1668" s="152"/>
      <c r="N1668" s="296"/>
      <c r="O1668" s="213"/>
      <c r="P1668" s="47"/>
      <c r="Q1668" s="47"/>
      <c r="R1668" s="47"/>
      <c r="S1668" s="193"/>
      <c r="T1668" s="77"/>
      <c r="U1668" s="78"/>
      <c r="V1668" s="78"/>
      <c r="W1668" s="77"/>
    </row>
    <row r="1669">
      <c r="A1669" s="145"/>
      <c r="B1669" s="145"/>
      <c r="C1669" s="145"/>
      <c r="D1669" s="75"/>
      <c r="E1669" s="75"/>
      <c r="F1669" s="211"/>
      <c r="G1669" s="145"/>
      <c r="H1669" s="211"/>
      <c r="I1669" s="145"/>
      <c r="J1669" s="211"/>
      <c r="K1669" s="75"/>
      <c r="L1669" s="152"/>
      <c r="M1669" s="152"/>
      <c r="N1669" s="296"/>
      <c r="O1669" s="213"/>
      <c r="P1669" s="47"/>
      <c r="Q1669" s="47"/>
      <c r="R1669" s="47"/>
      <c r="S1669" s="193"/>
      <c r="T1669" s="77"/>
      <c r="U1669" s="78"/>
      <c r="V1669" s="78"/>
      <c r="W1669" s="77"/>
    </row>
    <row r="1670">
      <c r="A1670" s="145"/>
      <c r="B1670" s="145"/>
      <c r="C1670" s="145"/>
      <c r="D1670" s="75"/>
      <c r="E1670" s="75"/>
      <c r="F1670" s="211"/>
      <c r="G1670" s="145"/>
      <c r="H1670" s="211"/>
      <c r="I1670" s="145"/>
      <c r="J1670" s="211"/>
      <c r="K1670" s="75"/>
      <c r="L1670" s="152"/>
      <c r="M1670" s="152"/>
      <c r="N1670" s="296"/>
      <c r="O1670" s="213"/>
      <c r="P1670" s="47"/>
      <c r="Q1670" s="47"/>
      <c r="R1670" s="47"/>
      <c r="S1670" s="193"/>
      <c r="T1670" s="77"/>
      <c r="U1670" s="78"/>
      <c r="V1670" s="78"/>
      <c r="W1670" s="77"/>
    </row>
    <row r="1671">
      <c r="A1671" s="145"/>
      <c r="B1671" s="145"/>
      <c r="C1671" s="145"/>
      <c r="D1671" s="75"/>
      <c r="E1671" s="75"/>
      <c r="F1671" s="211"/>
      <c r="G1671" s="145"/>
      <c r="H1671" s="211"/>
      <c r="I1671" s="145"/>
      <c r="J1671" s="211"/>
      <c r="K1671" s="75"/>
      <c r="L1671" s="152"/>
      <c r="M1671" s="152"/>
      <c r="N1671" s="296"/>
      <c r="O1671" s="213"/>
      <c r="P1671" s="47"/>
      <c r="Q1671" s="47"/>
      <c r="R1671" s="47"/>
      <c r="S1671" s="193"/>
      <c r="T1671" s="77"/>
      <c r="U1671" s="78"/>
      <c r="V1671" s="78"/>
      <c r="W1671" s="77"/>
    </row>
    <row r="1672">
      <c r="A1672" s="145"/>
      <c r="B1672" s="145"/>
      <c r="C1672" s="145"/>
      <c r="D1672" s="75"/>
      <c r="E1672" s="75"/>
      <c r="F1672" s="211"/>
      <c r="G1672" s="145"/>
      <c r="H1672" s="211"/>
      <c r="I1672" s="145"/>
      <c r="J1672" s="211"/>
      <c r="K1672" s="75"/>
      <c r="L1672" s="152"/>
      <c r="M1672" s="152"/>
      <c r="N1672" s="296"/>
      <c r="O1672" s="213"/>
      <c r="P1672" s="47"/>
      <c r="Q1672" s="47"/>
      <c r="R1672" s="47"/>
      <c r="S1672" s="193"/>
      <c r="T1672" s="77"/>
      <c r="U1672" s="78"/>
      <c r="V1672" s="78"/>
      <c r="W1672" s="77"/>
    </row>
    <row r="1673">
      <c r="A1673" s="145"/>
      <c r="B1673" s="145"/>
      <c r="C1673" s="145"/>
      <c r="D1673" s="75"/>
      <c r="E1673" s="75"/>
      <c r="F1673" s="211"/>
      <c r="G1673" s="145"/>
      <c r="H1673" s="211"/>
      <c r="I1673" s="145"/>
      <c r="J1673" s="211"/>
      <c r="K1673" s="75"/>
      <c r="L1673" s="152"/>
      <c r="M1673" s="152"/>
      <c r="N1673" s="296"/>
      <c r="O1673" s="213"/>
      <c r="P1673" s="47"/>
      <c r="Q1673" s="47"/>
      <c r="R1673" s="47"/>
      <c r="S1673" s="193"/>
      <c r="T1673" s="77"/>
      <c r="U1673" s="78"/>
      <c r="V1673" s="78"/>
      <c r="W1673" s="77"/>
    </row>
    <row r="1674">
      <c r="A1674" s="145"/>
      <c r="B1674" s="145"/>
      <c r="C1674" s="145"/>
      <c r="D1674" s="75"/>
      <c r="E1674" s="75"/>
      <c r="F1674" s="211"/>
      <c r="G1674" s="145"/>
      <c r="H1674" s="211"/>
      <c r="I1674" s="145"/>
      <c r="J1674" s="211"/>
      <c r="K1674" s="75"/>
      <c r="L1674" s="152"/>
      <c r="M1674" s="152"/>
      <c r="N1674" s="296"/>
      <c r="O1674" s="213"/>
      <c r="P1674" s="47"/>
      <c r="Q1674" s="47"/>
      <c r="R1674" s="47"/>
      <c r="S1674" s="193"/>
      <c r="T1674" s="77"/>
      <c r="U1674" s="78"/>
      <c r="V1674" s="78"/>
      <c r="W1674" s="77"/>
    </row>
    <row r="1675">
      <c r="A1675" s="145"/>
      <c r="B1675" s="145"/>
      <c r="C1675" s="145"/>
      <c r="D1675" s="75"/>
      <c r="E1675" s="75"/>
      <c r="F1675" s="211"/>
      <c r="G1675" s="145"/>
      <c r="H1675" s="211"/>
      <c r="I1675" s="145"/>
      <c r="J1675" s="211"/>
      <c r="K1675" s="75"/>
      <c r="L1675" s="152"/>
      <c r="M1675" s="152"/>
      <c r="N1675" s="296"/>
      <c r="O1675" s="213"/>
      <c r="P1675" s="47"/>
      <c r="Q1675" s="47"/>
      <c r="R1675" s="47"/>
      <c r="S1675" s="193"/>
      <c r="T1675" s="77"/>
      <c r="U1675" s="78"/>
      <c r="V1675" s="78"/>
      <c r="W1675" s="77"/>
    </row>
    <row r="1676">
      <c r="A1676" s="145"/>
      <c r="B1676" s="145"/>
      <c r="C1676" s="145"/>
      <c r="D1676" s="75"/>
      <c r="E1676" s="75"/>
      <c r="F1676" s="211"/>
      <c r="G1676" s="145"/>
      <c r="H1676" s="211"/>
      <c r="I1676" s="145"/>
      <c r="J1676" s="211"/>
      <c r="K1676" s="75"/>
      <c r="L1676" s="152"/>
      <c r="M1676" s="152"/>
      <c r="N1676" s="296"/>
      <c r="O1676" s="213"/>
      <c r="P1676" s="47"/>
      <c r="Q1676" s="47"/>
      <c r="R1676" s="47"/>
      <c r="S1676" s="193"/>
      <c r="T1676" s="77"/>
      <c r="U1676" s="78"/>
      <c r="V1676" s="78"/>
      <c r="W1676" s="77"/>
    </row>
    <row r="1677">
      <c r="A1677" s="145"/>
      <c r="B1677" s="145"/>
      <c r="C1677" s="145"/>
      <c r="D1677" s="75"/>
      <c r="E1677" s="75"/>
      <c r="F1677" s="211"/>
      <c r="G1677" s="145"/>
      <c r="H1677" s="211"/>
      <c r="I1677" s="145"/>
      <c r="J1677" s="211"/>
      <c r="K1677" s="75"/>
      <c r="L1677" s="152"/>
      <c r="M1677" s="152"/>
      <c r="N1677" s="296"/>
      <c r="O1677" s="213"/>
      <c r="P1677" s="47"/>
      <c r="Q1677" s="47"/>
      <c r="R1677" s="47"/>
      <c r="S1677" s="193"/>
      <c r="T1677" s="77"/>
      <c r="U1677" s="78"/>
      <c r="V1677" s="78"/>
      <c r="W1677" s="77"/>
    </row>
    <row r="1678">
      <c r="A1678" s="145"/>
      <c r="B1678" s="145"/>
      <c r="C1678" s="145"/>
      <c r="D1678" s="75"/>
      <c r="E1678" s="75"/>
      <c r="F1678" s="211"/>
      <c r="G1678" s="145"/>
      <c r="H1678" s="211"/>
      <c r="I1678" s="145"/>
      <c r="J1678" s="211"/>
      <c r="K1678" s="75"/>
      <c r="L1678" s="152"/>
      <c r="M1678" s="152"/>
      <c r="N1678" s="296"/>
      <c r="O1678" s="213"/>
      <c r="P1678" s="47"/>
      <c r="Q1678" s="47"/>
      <c r="R1678" s="47"/>
      <c r="S1678" s="193"/>
      <c r="T1678" s="77"/>
      <c r="U1678" s="78"/>
      <c r="V1678" s="78"/>
      <c r="W1678" s="77"/>
    </row>
    <row r="1679">
      <c r="A1679" s="145"/>
      <c r="B1679" s="145"/>
      <c r="C1679" s="145"/>
      <c r="D1679" s="75"/>
      <c r="E1679" s="75"/>
      <c r="F1679" s="211"/>
      <c r="G1679" s="145"/>
      <c r="H1679" s="211"/>
      <c r="I1679" s="145"/>
      <c r="J1679" s="211"/>
      <c r="K1679" s="75"/>
      <c r="L1679" s="152"/>
      <c r="M1679" s="152"/>
      <c r="N1679" s="296"/>
      <c r="O1679" s="213"/>
      <c r="P1679" s="47"/>
      <c r="Q1679" s="47"/>
      <c r="R1679" s="47"/>
      <c r="S1679" s="193"/>
      <c r="T1679" s="77"/>
      <c r="U1679" s="78"/>
      <c r="V1679" s="78"/>
      <c r="W1679" s="77"/>
    </row>
    <row r="1680">
      <c r="A1680" s="145"/>
      <c r="B1680" s="145"/>
      <c r="C1680" s="145"/>
      <c r="D1680" s="75"/>
      <c r="E1680" s="75"/>
      <c r="F1680" s="211"/>
      <c r="G1680" s="145"/>
      <c r="H1680" s="211"/>
      <c r="I1680" s="145"/>
      <c r="J1680" s="211"/>
      <c r="K1680" s="75"/>
      <c r="L1680" s="152"/>
      <c r="M1680" s="152"/>
      <c r="N1680" s="296"/>
      <c r="O1680" s="213"/>
      <c r="P1680" s="47"/>
      <c r="Q1680" s="47"/>
      <c r="R1680" s="47"/>
      <c r="S1680" s="193"/>
      <c r="T1680" s="77"/>
      <c r="U1680" s="78"/>
      <c r="V1680" s="78"/>
      <c r="W1680" s="77"/>
    </row>
    <row r="1681">
      <c r="A1681" s="145"/>
      <c r="B1681" s="145"/>
      <c r="C1681" s="145"/>
      <c r="D1681" s="75"/>
      <c r="E1681" s="75"/>
      <c r="F1681" s="211"/>
      <c r="G1681" s="145"/>
      <c r="H1681" s="211"/>
      <c r="I1681" s="145"/>
      <c r="J1681" s="211"/>
      <c r="K1681" s="75"/>
      <c r="L1681" s="152"/>
      <c r="M1681" s="152"/>
      <c r="N1681" s="296"/>
      <c r="O1681" s="213"/>
      <c r="P1681" s="47"/>
      <c r="Q1681" s="47"/>
      <c r="R1681" s="47"/>
      <c r="S1681" s="193"/>
      <c r="T1681" s="77"/>
      <c r="U1681" s="78"/>
      <c r="V1681" s="78"/>
      <c r="W1681" s="77"/>
    </row>
    <row r="1682">
      <c r="A1682" s="145"/>
      <c r="B1682" s="145"/>
      <c r="C1682" s="145"/>
      <c r="D1682" s="75"/>
      <c r="E1682" s="75"/>
      <c r="F1682" s="211"/>
      <c r="G1682" s="145"/>
      <c r="H1682" s="211"/>
      <c r="I1682" s="145"/>
      <c r="J1682" s="211"/>
      <c r="K1682" s="75"/>
      <c r="L1682" s="152"/>
      <c r="M1682" s="152"/>
      <c r="N1682" s="296"/>
      <c r="O1682" s="213"/>
      <c r="P1682" s="47"/>
      <c r="Q1682" s="47"/>
      <c r="R1682" s="47"/>
      <c r="S1682" s="193"/>
      <c r="T1682" s="77"/>
      <c r="U1682" s="78"/>
      <c r="V1682" s="78"/>
      <c r="W1682" s="77"/>
    </row>
    <row r="1683">
      <c r="A1683" s="145"/>
      <c r="B1683" s="145"/>
      <c r="C1683" s="145"/>
      <c r="D1683" s="75"/>
      <c r="E1683" s="75"/>
      <c r="F1683" s="211"/>
      <c r="G1683" s="145"/>
      <c r="H1683" s="211"/>
      <c r="I1683" s="145"/>
      <c r="J1683" s="211"/>
      <c r="K1683" s="75"/>
      <c r="L1683" s="152"/>
      <c r="M1683" s="152"/>
      <c r="N1683" s="296"/>
      <c r="O1683" s="213"/>
      <c r="P1683" s="47"/>
      <c r="Q1683" s="47"/>
      <c r="R1683" s="47"/>
      <c r="S1683" s="193"/>
      <c r="T1683" s="77"/>
      <c r="U1683" s="78"/>
      <c r="V1683" s="78"/>
      <c r="W1683" s="77"/>
    </row>
    <row r="1684">
      <c r="A1684" s="145"/>
      <c r="B1684" s="145"/>
      <c r="C1684" s="145"/>
      <c r="D1684" s="75"/>
      <c r="E1684" s="75"/>
      <c r="F1684" s="211"/>
      <c r="G1684" s="145"/>
      <c r="H1684" s="211"/>
      <c r="I1684" s="145"/>
      <c r="J1684" s="211"/>
      <c r="K1684" s="75"/>
      <c r="L1684" s="152"/>
      <c r="M1684" s="152"/>
      <c r="N1684" s="296"/>
      <c r="O1684" s="213"/>
      <c r="P1684" s="47"/>
      <c r="Q1684" s="47"/>
      <c r="R1684" s="47"/>
      <c r="S1684" s="193"/>
      <c r="T1684" s="77"/>
      <c r="U1684" s="78"/>
      <c r="V1684" s="78"/>
      <c r="W1684" s="77"/>
    </row>
    <row r="1685">
      <c r="A1685" s="145"/>
      <c r="B1685" s="145"/>
      <c r="C1685" s="145"/>
      <c r="D1685" s="75"/>
      <c r="E1685" s="75"/>
      <c r="F1685" s="211"/>
      <c r="G1685" s="145"/>
      <c r="H1685" s="211"/>
      <c r="I1685" s="145"/>
      <c r="J1685" s="211"/>
      <c r="K1685" s="75"/>
      <c r="L1685" s="152"/>
      <c r="M1685" s="152"/>
      <c r="N1685" s="296"/>
      <c r="O1685" s="213"/>
      <c r="P1685" s="47"/>
      <c r="Q1685" s="47"/>
      <c r="R1685" s="47"/>
      <c r="S1685" s="193"/>
      <c r="T1685" s="77"/>
      <c r="U1685" s="78"/>
      <c r="V1685" s="78"/>
      <c r="W1685" s="77"/>
    </row>
    <row r="1686">
      <c r="A1686" s="145"/>
      <c r="B1686" s="145"/>
      <c r="C1686" s="145"/>
      <c r="D1686" s="75"/>
      <c r="E1686" s="75"/>
      <c r="F1686" s="211"/>
      <c r="G1686" s="145"/>
      <c r="H1686" s="211"/>
      <c r="I1686" s="145"/>
      <c r="J1686" s="211"/>
      <c r="K1686" s="75"/>
      <c r="L1686" s="152"/>
      <c r="M1686" s="152"/>
      <c r="N1686" s="296"/>
      <c r="O1686" s="213"/>
      <c r="P1686" s="47"/>
      <c r="Q1686" s="47"/>
      <c r="R1686" s="47"/>
      <c r="S1686" s="193"/>
      <c r="T1686" s="77"/>
      <c r="U1686" s="78"/>
      <c r="V1686" s="78"/>
      <c r="W1686" s="77"/>
    </row>
    <row r="1687">
      <c r="A1687" s="145"/>
      <c r="B1687" s="145"/>
      <c r="C1687" s="145"/>
      <c r="D1687" s="75"/>
      <c r="E1687" s="75"/>
      <c r="F1687" s="211"/>
      <c r="G1687" s="145"/>
      <c r="H1687" s="211"/>
      <c r="I1687" s="145"/>
      <c r="J1687" s="211"/>
      <c r="K1687" s="75"/>
      <c r="L1687" s="152"/>
      <c r="M1687" s="152"/>
      <c r="N1687" s="296"/>
      <c r="O1687" s="213"/>
      <c r="P1687" s="47"/>
      <c r="Q1687" s="47"/>
      <c r="R1687" s="47"/>
      <c r="S1687" s="193"/>
      <c r="T1687" s="77"/>
      <c r="U1687" s="78"/>
      <c r="V1687" s="78"/>
      <c r="W1687" s="77"/>
    </row>
    <row r="1688">
      <c r="A1688" s="145"/>
      <c r="B1688" s="145"/>
      <c r="C1688" s="145"/>
      <c r="D1688" s="75"/>
      <c r="E1688" s="75"/>
      <c r="F1688" s="211"/>
      <c r="G1688" s="145"/>
      <c r="H1688" s="211"/>
      <c r="I1688" s="145"/>
      <c r="J1688" s="211"/>
      <c r="K1688" s="75"/>
      <c r="L1688" s="152"/>
      <c r="M1688" s="152"/>
      <c r="N1688" s="296"/>
      <c r="O1688" s="213"/>
      <c r="P1688" s="47"/>
      <c r="Q1688" s="47"/>
      <c r="R1688" s="47"/>
      <c r="S1688" s="193"/>
      <c r="T1688" s="77"/>
      <c r="U1688" s="78"/>
      <c r="V1688" s="78"/>
      <c r="W1688" s="77"/>
    </row>
    <row r="1689">
      <c r="A1689" s="145"/>
      <c r="B1689" s="145"/>
      <c r="C1689" s="145"/>
      <c r="D1689" s="75"/>
      <c r="E1689" s="75"/>
      <c r="F1689" s="211"/>
      <c r="G1689" s="145"/>
      <c r="H1689" s="211"/>
      <c r="I1689" s="145"/>
      <c r="J1689" s="211"/>
      <c r="K1689" s="75"/>
      <c r="L1689" s="152"/>
      <c r="M1689" s="152"/>
      <c r="N1689" s="296"/>
      <c r="O1689" s="213"/>
      <c r="P1689" s="47"/>
      <c r="Q1689" s="47"/>
      <c r="R1689" s="47"/>
      <c r="S1689" s="193"/>
      <c r="T1689" s="77"/>
      <c r="U1689" s="78"/>
      <c r="V1689" s="78"/>
      <c r="W1689" s="77"/>
    </row>
    <row r="1690">
      <c r="A1690" s="145"/>
      <c r="B1690" s="145"/>
      <c r="C1690" s="145"/>
      <c r="D1690" s="75"/>
      <c r="E1690" s="75"/>
      <c r="F1690" s="211"/>
      <c r="G1690" s="145"/>
      <c r="H1690" s="211"/>
      <c r="I1690" s="145"/>
      <c r="J1690" s="211"/>
      <c r="K1690" s="75"/>
      <c r="L1690" s="152"/>
      <c r="M1690" s="152"/>
      <c r="N1690" s="296"/>
      <c r="O1690" s="213"/>
      <c r="P1690" s="47"/>
      <c r="Q1690" s="47"/>
      <c r="R1690" s="47"/>
      <c r="S1690" s="193"/>
      <c r="T1690" s="77"/>
      <c r="U1690" s="78"/>
      <c r="V1690" s="78"/>
      <c r="W1690" s="77"/>
    </row>
    <row r="1691">
      <c r="A1691" s="145"/>
      <c r="B1691" s="145"/>
      <c r="C1691" s="145"/>
      <c r="D1691" s="75"/>
      <c r="E1691" s="75"/>
      <c r="F1691" s="211"/>
      <c r="G1691" s="145"/>
      <c r="H1691" s="211"/>
      <c r="I1691" s="145"/>
      <c r="J1691" s="211"/>
      <c r="K1691" s="75"/>
      <c r="L1691" s="152"/>
      <c r="M1691" s="152"/>
      <c r="N1691" s="296"/>
      <c r="O1691" s="213"/>
      <c r="P1691" s="47"/>
      <c r="Q1691" s="47"/>
      <c r="R1691" s="47"/>
      <c r="S1691" s="193"/>
      <c r="T1691" s="77"/>
      <c r="U1691" s="78"/>
      <c r="V1691" s="78"/>
      <c r="W1691" s="77"/>
    </row>
    <row r="1692">
      <c r="A1692" s="145"/>
      <c r="B1692" s="145"/>
      <c r="C1692" s="145"/>
      <c r="D1692" s="75"/>
      <c r="E1692" s="75"/>
      <c r="F1692" s="211"/>
      <c r="G1692" s="145"/>
      <c r="H1692" s="211"/>
      <c r="I1692" s="145"/>
      <c r="J1692" s="211"/>
      <c r="K1692" s="75"/>
      <c r="L1692" s="152"/>
      <c r="M1692" s="152"/>
      <c r="N1692" s="296"/>
      <c r="O1692" s="213"/>
      <c r="P1692" s="47"/>
      <c r="Q1692" s="47"/>
      <c r="R1692" s="47"/>
      <c r="S1692" s="193"/>
      <c r="T1692" s="77"/>
      <c r="U1692" s="78"/>
      <c r="V1692" s="78"/>
      <c r="W1692" s="77"/>
    </row>
    <row r="1693">
      <c r="A1693" s="145"/>
      <c r="B1693" s="145"/>
      <c r="C1693" s="145"/>
      <c r="D1693" s="75"/>
      <c r="E1693" s="75"/>
      <c r="F1693" s="211"/>
      <c r="G1693" s="145"/>
      <c r="H1693" s="211"/>
      <c r="I1693" s="145"/>
      <c r="J1693" s="211"/>
      <c r="K1693" s="75"/>
      <c r="L1693" s="152"/>
      <c r="M1693" s="152"/>
      <c r="N1693" s="296"/>
      <c r="O1693" s="213"/>
      <c r="P1693" s="47"/>
      <c r="Q1693" s="47"/>
      <c r="R1693" s="47"/>
      <c r="S1693" s="193"/>
      <c r="T1693" s="77"/>
      <c r="U1693" s="78"/>
      <c r="V1693" s="78"/>
      <c r="W1693" s="77"/>
    </row>
    <row r="1694">
      <c r="A1694" s="145"/>
      <c r="B1694" s="145"/>
      <c r="C1694" s="145"/>
      <c r="D1694" s="75"/>
      <c r="E1694" s="75"/>
      <c r="F1694" s="211"/>
      <c r="G1694" s="145"/>
      <c r="H1694" s="211"/>
      <c r="I1694" s="145"/>
      <c r="J1694" s="211"/>
      <c r="K1694" s="75"/>
      <c r="L1694" s="152"/>
      <c r="M1694" s="152"/>
      <c r="N1694" s="296"/>
      <c r="O1694" s="213"/>
      <c r="P1694" s="47"/>
      <c r="Q1694" s="47"/>
      <c r="R1694" s="47"/>
      <c r="S1694" s="193"/>
      <c r="T1694" s="77"/>
      <c r="U1694" s="78"/>
      <c r="V1694" s="78"/>
      <c r="W1694" s="77"/>
    </row>
    <row r="1695">
      <c r="A1695" s="145"/>
      <c r="B1695" s="145"/>
      <c r="C1695" s="145"/>
      <c r="D1695" s="75"/>
      <c r="E1695" s="75"/>
      <c r="F1695" s="211"/>
      <c r="G1695" s="145"/>
      <c r="H1695" s="211"/>
      <c r="I1695" s="145"/>
      <c r="J1695" s="211"/>
      <c r="K1695" s="75"/>
      <c r="L1695" s="152"/>
      <c r="M1695" s="152"/>
      <c r="N1695" s="296"/>
      <c r="O1695" s="213"/>
      <c r="P1695" s="47"/>
      <c r="Q1695" s="47"/>
      <c r="R1695" s="47"/>
      <c r="S1695" s="193"/>
      <c r="T1695" s="77"/>
      <c r="U1695" s="78"/>
      <c r="V1695" s="78"/>
      <c r="W1695" s="77"/>
    </row>
    <row r="1696">
      <c r="A1696" s="145"/>
      <c r="B1696" s="145"/>
      <c r="C1696" s="145"/>
      <c r="D1696" s="75"/>
      <c r="E1696" s="75"/>
      <c r="F1696" s="211"/>
      <c r="G1696" s="145"/>
      <c r="H1696" s="211"/>
      <c r="I1696" s="145"/>
      <c r="J1696" s="211"/>
      <c r="K1696" s="75"/>
      <c r="L1696" s="152"/>
      <c r="M1696" s="152"/>
      <c r="N1696" s="296"/>
      <c r="O1696" s="213"/>
      <c r="P1696" s="47"/>
      <c r="Q1696" s="47"/>
      <c r="R1696" s="47"/>
      <c r="S1696" s="193"/>
      <c r="T1696" s="77"/>
      <c r="U1696" s="78"/>
      <c r="V1696" s="78"/>
      <c r="W1696" s="77"/>
    </row>
    <row r="1697">
      <c r="A1697" s="145"/>
      <c r="B1697" s="145"/>
      <c r="C1697" s="145"/>
      <c r="D1697" s="75"/>
      <c r="E1697" s="75"/>
      <c r="F1697" s="211"/>
      <c r="G1697" s="145"/>
      <c r="H1697" s="211"/>
      <c r="I1697" s="145"/>
      <c r="J1697" s="211"/>
      <c r="K1697" s="75"/>
      <c r="L1697" s="152"/>
      <c r="M1697" s="152"/>
      <c r="N1697" s="296"/>
      <c r="O1697" s="213"/>
      <c r="P1697" s="47"/>
      <c r="Q1697" s="47"/>
      <c r="R1697" s="47"/>
      <c r="S1697" s="193"/>
      <c r="T1697" s="77"/>
      <c r="U1697" s="78"/>
      <c r="V1697" s="78"/>
      <c r="W1697" s="77"/>
    </row>
    <row r="1698">
      <c r="A1698" s="145"/>
      <c r="B1698" s="145"/>
      <c r="C1698" s="145"/>
      <c r="D1698" s="75"/>
      <c r="E1698" s="75"/>
      <c r="F1698" s="211"/>
      <c r="G1698" s="145"/>
      <c r="H1698" s="211"/>
      <c r="I1698" s="145"/>
      <c r="J1698" s="211"/>
      <c r="K1698" s="75"/>
      <c r="L1698" s="152"/>
      <c r="M1698" s="152"/>
      <c r="N1698" s="296"/>
      <c r="O1698" s="213"/>
      <c r="P1698" s="47"/>
      <c r="Q1698" s="47"/>
      <c r="R1698" s="47"/>
      <c r="S1698" s="193"/>
      <c r="T1698" s="77"/>
      <c r="U1698" s="78"/>
      <c r="V1698" s="78"/>
      <c r="W1698" s="77"/>
    </row>
    <row r="1699">
      <c r="A1699" s="145"/>
      <c r="B1699" s="145"/>
      <c r="C1699" s="145"/>
      <c r="D1699" s="75"/>
      <c r="E1699" s="75"/>
      <c r="F1699" s="211"/>
      <c r="G1699" s="145"/>
      <c r="H1699" s="211"/>
      <c r="I1699" s="145"/>
      <c r="J1699" s="211"/>
      <c r="K1699" s="75"/>
      <c r="L1699" s="152"/>
      <c r="M1699" s="152"/>
      <c r="N1699" s="296"/>
      <c r="O1699" s="213"/>
      <c r="P1699" s="47"/>
      <c r="Q1699" s="47"/>
      <c r="R1699" s="47"/>
      <c r="S1699" s="193"/>
      <c r="T1699" s="77"/>
      <c r="U1699" s="78"/>
      <c r="V1699" s="78"/>
      <c r="W1699" s="77"/>
    </row>
    <row r="1700">
      <c r="A1700" s="145"/>
      <c r="B1700" s="145"/>
      <c r="C1700" s="145"/>
      <c r="D1700" s="75"/>
      <c r="E1700" s="75"/>
      <c r="F1700" s="211"/>
      <c r="G1700" s="145"/>
      <c r="H1700" s="211"/>
      <c r="I1700" s="145"/>
      <c r="J1700" s="211"/>
      <c r="K1700" s="75"/>
      <c r="L1700" s="152"/>
      <c r="M1700" s="152"/>
      <c r="N1700" s="296"/>
      <c r="O1700" s="213"/>
      <c r="P1700" s="47"/>
      <c r="Q1700" s="47"/>
      <c r="R1700" s="47"/>
      <c r="S1700" s="193"/>
      <c r="T1700" s="77"/>
      <c r="U1700" s="78"/>
      <c r="V1700" s="78"/>
      <c r="W1700" s="77"/>
    </row>
    <row r="1701">
      <c r="A1701" s="145"/>
      <c r="B1701" s="145"/>
      <c r="C1701" s="145"/>
      <c r="D1701" s="75"/>
      <c r="E1701" s="75"/>
      <c r="F1701" s="211"/>
      <c r="G1701" s="145"/>
      <c r="H1701" s="211"/>
      <c r="I1701" s="145"/>
      <c r="J1701" s="211"/>
      <c r="K1701" s="75"/>
      <c r="L1701" s="152"/>
      <c r="M1701" s="152"/>
      <c r="N1701" s="296"/>
      <c r="O1701" s="213"/>
      <c r="P1701" s="47"/>
      <c r="Q1701" s="47"/>
      <c r="R1701" s="47"/>
      <c r="S1701" s="193"/>
      <c r="T1701" s="77"/>
      <c r="U1701" s="78"/>
      <c r="V1701" s="78"/>
      <c r="W1701" s="77"/>
    </row>
    <row r="1702">
      <c r="A1702" s="145"/>
      <c r="B1702" s="145"/>
      <c r="C1702" s="145"/>
      <c r="D1702" s="75"/>
      <c r="E1702" s="75"/>
      <c r="F1702" s="211"/>
      <c r="G1702" s="145"/>
      <c r="H1702" s="211"/>
      <c r="I1702" s="145"/>
      <c r="J1702" s="211"/>
      <c r="K1702" s="75"/>
      <c r="L1702" s="152"/>
      <c r="M1702" s="152"/>
      <c r="N1702" s="296"/>
      <c r="O1702" s="213"/>
      <c r="P1702" s="47"/>
      <c r="Q1702" s="47"/>
      <c r="R1702" s="47"/>
      <c r="S1702" s="193"/>
      <c r="T1702" s="77"/>
      <c r="U1702" s="78"/>
      <c r="V1702" s="78"/>
      <c r="W1702" s="77"/>
    </row>
    <row r="1703">
      <c r="A1703" s="145"/>
      <c r="B1703" s="145"/>
      <c r="C1703" s="145"/>
      <c r="D1703" s="75"/>
      <c r="E1703" s="75"/>
      <c r="F1703" s="211"/>
      <c r="G1703" s="145"/>
      <c r="H1703" s="211"/>
      <c r="I1703" s="145"/>
      <c r="J1703" s="211"/>
      <c r="K1703" s="75"/>
      <c r="L1703" s="152"/>
      <c r="M1703" s="152"/>
      <c r="N1703" s="296"/>
      <c r="O1703" s="213"/>
      <c r="P1703" s="47"/>
      <c r="Q1703" s="47"/>
      <c r="R1703" s="47"/>
      <c r="S1703" s="193"/>
      <c r="T1703" s="77"/>
      <c r="U1703" s="78"/>
      <c r="V1703" s="78"/>
      <c r="W1703" s="77"/>
    </row>
    <row r="1704">
      <c r="A1704" s="145"/>
      <c r="B1704" s="145"/>
      <c r="C1704" s="145"/>
      <c r="D1704" s="75"/>
      <c r="E1704" s="75"/>
      <c r="F1704" s="211"/>
      <c r="G1704" s="145"/>
      <c r="H1704" s="211"/>
      <c r="I1704" s="145"/>
      <c r="J1704" s="211"/>
      <c r="K1704" s="75"/>
      <c r="L1704" s="152"/>
      <c r="M1704" s="152"/>
      <c r="N1704" s="296"/>
      <c r="O1704" s="213"/>
      <c r="P1704" s="47"/>
      <c r="Q1704" s="47"/>
      <c r="R1704" s="47"/>
      <c r="S1704" s="193"/>
      <c r="T1704" s="77"/>
      <c r="U1704" s="78"/>
      <c r="V1704" s="78"/>
      <c r="W1704" s="77"/>
    </row>
    <row r="1705">
      <c r="A1705" s="145"/>
      <c r="B1705" s="145"/>
      <c r="C1705" s="145"/>
      <c r="D1705" s="75"/>
      <c r="E1705" s="75"/>
      <c r="F1705" s="211"/>
      <c r="G1705" s="145"/>
      <c r="H1705" s="211"/>
      <c r="I1705" s="145"/>
      <c r="J1705" s="211"/>
      <c r="K1705" s="75"/>
      <c r="L1705" s="152"/>
      <c r="M1705" s="152"/>
      <c r="N1705" s="296"/>
      <c r="O1705" s="213"/>
      <c r="P1705" s="47"/>
      <c r="Q1705" s="47"/>
      <c r="R1705" s="47"/>
      <c r="S1705" s="193"/>
      <c r="T1705" s="77"/>
      <c r="U1705" s="78"/>
      <c r="V1705" s="78"/>
      <c r="W1705" s="77"/>
    </row>
    <row r="1706">
      <c r="A1706" s="145"/>
      <c r="B1706" s="145"/>
      <c r="C1706" s="145"/>
      <c r="D1706" s="75"/>
      <c r="E1706" s="75"/>
      <c r="F1706" s="211"/>
      <c r="G1706" s="145"/>
      <c r="H1706" s="211"/>
      <c r="I1706" s="145"/>
      <c r="J1706" s="211"/>
      <c r="K1706" s="75"/>
      <c r="L1706" s="152"/>
      <c r="M1706" s="152"/>
      <c r="N1706" s="296"/>
      <c r="O1706" s="213"/>
      <c r="P1706" s="47"/>
      <c r="Q1706" s="47"/>
      <c r="R1706" s="47"/>
      <c r="S1706" s="193"/>
      <c r="T1706" s="77"/>
      <c r="U1706" s="78"/>
      <c r="V1706" s="78"/>
      <c r="W1706" s="77"/>
    </row>
    <row r="1707">
      <c r="A1707" s="145"/>
      <c r="B1707" s="145"/>
      <c r="C1707" s="145"/>
      <c r="D1707" s="75"/>
      <c r="E1707" s="75"/>
      <c r="F1707" s="211"/>
      <c r="G1707" s="145"/>
      <c r="H1707" s="211"/>
      <c r="I1707" s="145"/>
      <c r="J1707" s="211"/>
      <c r="K1707" s="75"/>
      <c r="L1707" s="152"/>
      <c r="M1707" s="152"/>
      <c r="N1707" s="296"/>
      <c r="O1707" s="213"/>
      <c r="P1707" s="47"/>
      <c r="Q1707" s="47"/>
      <c r="R1707" s="47"/>
      <c r="S1707" s="193"/>
      <c r="T1707" s="77"/>
      <c r="U1707" s="78"/>
      <c r="V1707" s="78"/>
      <c r="W1707" s="77"/>
    </row>
    <row r="1708">
      <c r="A1708" s="145"/>
      <c r="B1708" s="145"/>
      <c r="C1708" s="145"/>
      <c r="D1708" s="75"/>
      <c r="E1708" s="75"/>
      <c r="F1708" s="211"/>
      <c r="G1708" s="145"/>
      <c r="H1708" s="211"/>
      <c r="I1708" s="145"/>
      <c r="J1708" s="211"/>
      <c r="K1708" s="75"/>
      <c r="L1708" s="152"/>
      <c r="M1708" s="152"/>
      <c r="N1708" s="296"/>
      <c r="O1708" s="213"/>
      <c r="P1708" s="47"/>
      <c r="Q1708" s="47"/>
      <c r="R1708" s="47"/>
      <c r="S1708" s="193"/>
      <c r="T1708" s="77"/>
      <c r="U1708" s="78"/>
      <c r="V1708" s="78"/>
      <c r="W1708" s="77"/>
    </row>
    <row r="1709">
      <c r="A1709" s="145"/>
      <c r="B1709" s="145"/>
      <c r="C1709" s="145"/>
      <c r="D1709" s="75"/>
      <c r="E1709" s="75"/>
      <c r="F1709" s="211"/>
      <c r="G1709" s="145"/>
      <c r="H1709" s="211"/>
      <c r="I1709" s="145"/>
      <c r="J1709" s="211"/>
      <c r="K1709" s="75"/>
      <c r="L1709" s="152"/>
      <c r="M1709" s="152"/>
      <c r="N1709" s="296"/>
      <c r="O1709" s="213"/>
      <c r="P1709" s="47"/>
      <c r="Q1709" s="47"/>
      <c r="R1709" s="47"/>
      <c r="S1709" s="193"/>
      <c r="T1709" s="77"/>
      <c r="U1709" s="78"/>
      <c r="V1709" s="78"/>
      <c r="W1709" s="77"/>
    </row>
    <row r="1710">
      <c r="A1710" s="145"/>
      <c r="B1710" s="145"/>
      <c r="C1710" s="145"/>
      <c r="D1710" s="75"/>
      <c r="E1710" s="75"/>
      <c r="F1710" s="211"/>
      <c r="G1710" s="145"/>
      <c r="H1710" s="211"/>
      <c r="I1710" s="145"/>
      <c r="J1710" s="211"/>
      <c r="K1710" s="75"/>
      <c r="L1710" s="152"/>
      <c r="M1710" s="152"/>
      <c r="N1710" s="296"/>
      <c r="O1710" s="213"/>
      <c r="P1710" s="47"/>
      <c r="Q1710" s="47"/>
      <c r="R1710" s="47"/>
      <c r="S1710" s="193"/>
      <c r="T1710" s="77"/>
      <c r="U1710" s="78"/>
      <c r="V1710" s="78"/>
      <c r="W1710" s="77"/>
    </row>
    <row r="1711">
      <c r="A1711" s="145"/>
      <c r="B1711" s="145"/>
      <c r="C1711" s="145"/>
      <c r="D1711" s="75"/>
      <c r="E1711" s="75"/>
      <c r="F1711" s="211"/>
      <c r="G1711" s="145"/>
      <c r="H1711" s="211"/>
      <c r="I1711" s="145"/>
      <c r="J1711" s="211"/>
      <c r="K1711" s="75"/>
      <c r="L1711" s="152"/>
      <c r="M1711" s="152"/>
      <c r="N1711" s="296"/>
      <c r="O1711" s="213"/>
      <c r="P1711" s="47"/>
      <c r="Q1711" s="47"/>
      <c r="R1711" s="47"/>
      <c r="S1711" s="193"/>
      <c r="T1711" s="77"/>
      <c r="U1711" s="78"/>
      <c r="V1711" s="78"/>
      <c r="W1711" s="77"/>
    </row>
    <row r="1712">
      <c r="A1712" s="145"/>
      <c r="B1712" s="145"/>
      <c r="C1712" s="145"/>
      <c r="D1712" s="75"/>
      <c r="E1712" s="75"/>
      <c r="F1712" s="211"/>
      <c r="G1712" s="145"/>
      <c r="H1712" s="211"/>
      <c r="I1712" s="145"/>
      <c r="J1712" s="211"/>
      <c r="K1712" s="75"/>
      <c r="L1712" s="152"/>
      <c r="M1712" s="152"/>
      <c r="N1712" s="296"/>
      <c r="O1712" s="213"/>
      <c r="P1712" s="47"/>
      <c r="Q1712" s="47"/>
      <c r="R1712" s="47"/>
      <c r="S1712" s="193"/>
      <c r="T1712" s="77"/>
      <c r="U1712" s="78"/>
      <c r="V1712" s="78"/>
      <c r="W1712" s="77"/>
    </row>
  </sheetData>
  <mergeCells count="62">
    <mergeCell ref="A979:B979"/>
    <mergeCell ref="A980:B980"/>
    <mergeCell ref="A981:B981"/>
    <mergeCell ref="A982:B982"/>
    <mergeCell ref="A983:B983"/>
    <mergeCell ref="A984:B984"/>
    <mergeCell ref="A925:B925"/>
    <mergeCell ref="A938:B938"/>
    <mergeCell ref="A964:B964"/>
    <mergeCell ref="A965:B965"/>
    <mergeCell ref="A966:B966"/>
    <mergeCell ref="A977:B977"/>
    <mergeCell ref="A978:B978"/>
    <mergeCell ref="A513:B513"/>
    <mergeCell ref="A628:B628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644:B644"/>
    <mergeCell ref="A645:B645"/>
    <mergeCell ref="A646:B646"/>
    <mergeCell ref="A647:B647"/>
    <mergeCell ref="A648:B648"/>
    <mergeCell ref="A649:B649"/>
    <mergeCell ref="A650:B650"/>
    <mergeCell ref="A677:B677"/>
    <mergeCell ref="A678:B678"/>
    <mergeCell ref="A679:B679"/>
    <mergeCell ref="A680:B680"/>
    <mergeCell ref="A690:B690"/>
    <mergeCell ref="A691:B691"/>
    <mergeCell ref="A692:B692"/>
    <mergeCell ref="A693:B693"/>
    <mergeCell ref="A694:B694"/>
    <mergeCell ref="A695:B695"/>
    <mergeCell ref="A696:B696"/>
    <mergeCell ref="A697:B697"/>
    <mergeCell ref="A698:B698"/>
    <mergeCell ref="A699:B699"/>
    <mergeCell ref="A700:B700"/>
    <mergeCell ref="A701:B701"/>
    <mergeCell ref="A702:B702"/>
    <mergeCell ref="A703:B703"/>
    <mergeCell ref="A704:B704"/>
    <mergeCell ref="A711:B711"/>
    <mergeCell ref="A824:B824"/>
    <mergeCell ref="A826:B826"/>
    <mergeCell ref="A832:B832"/>
    <mergeCell ref="A912:B912"/>
    <mergeCell ref="A918:B918"/>
    <mergeCell ref="A919:B919"/>
    <mergeCell ref="A921:B921"/>
    <mergeCell ref="A924:B924"/>
  </mergeCells>
  <conditionalFormatting sqref="A1:A48 A50:A1712">
    <cfRule type="expression" dxfId="6" priority="1">
      <formula>COUNTIF(A:A, A1) &gt; 1</formula>
    </cfRule>
  </conditionalFormatting>
  <hyperlinks>
    <hyperlink r:id="rId1" ref="N2"/>
    <hyperlink r:id="rId2" ref="N3"/>
    <hyperlink r:id="rId3" ref="N4"/>
    <hyperlink r:id="rId4" ref="N5"/>
    <hyperlink r:id="rId5" ref="N6"/>
    <hyperlink r:id="rId6" ref="N7"/>
    <hyperlink r:id="rId7" ref="N9"/>
    <hyperlink r:id="rId8" ref="N11"/>
    <hyperlink r:id="rId9" ref="N12"/>
    <hyperlink r:id="rId10" ref="N13"/>
    <hyperlink r:id="rId11" ref="N14"/>
    <hyperlink r:id="rId12" ref="N15"/>
    <hyperlink r:id="rId13" ref="N17"/>
    <hyperlink r:id="rId14" ref="N18"/>
    <hyperlink r:id="rId15" ref="N20"/>
    <hyperlink r:id="rId16" ref="N21"/>
    <hyperlink r:id="rId17" ref="N22"/>
    <hyperlink r:id="rId18" ref="N23"/>
    <hyperlink r:id="rId19" ref="N24"/>
    <hyperlink r:id="rId20" ref="N25"/>
    <hyperlink r:id="rId21" ref="N26"/>
    <hyperlink r:id="rId22" ref="N27"/>
    <hyperlink r:id="rId23" ref="N28"/>
    <hyperlink r:id="rId24" ref="N29"/>
    <hyperlink r:id="rId25" ref="N30"/>
    <hyperlink r:id="rId26" ref="N31"/>
    <hyperlink r:id="rId27" ref="N33"/>
    <hyperlink r:id="rId28" ref="N34"/>
    <hyperlink r:id="rId29" ref="N35"/>
    <hyperlink r:id="rId30" ref="N36"/>
    <hyperlink r:id="rId31" ref="N37"/>
    <hyperlink r:id="rId32" ref="N38"/>
    <hyperlink r:id="rId33" ref="N39"/>
    <hyperlink r:id="rId34" ref="N40"/>
    <hyperlink r:id="rId35" ref="N42"/>
    <hyperlink r:id="rId36" ref="N43"/>
    <hyperlink r:id="rId37" ref="N44"/>
    <hyperlink r:id="rId38" ref="N45"/>
    <hyperlink r:id="rId39" ref="N46"/>
    <hyperlink r:id="rId40" ref="N49"/>
    <hyperlink r:id="rId41" ref="N50"/>
    <hyperlink r:id="rId42" ref="N54"/>
    <hyperlink r:id="rId43" ref="N55"/>
    <hyperlink r:id="rId44" ref="N56"/>
    <hyperlink r:id="rId45" ref="N57"/>
    <hyperlink r:id="rId46" ref="N58"/>
    <hyperlink r:id="rId47" ref="N59"/>
    <hyperlink r:id="rId48" ref="N60"/>
    <hyperlink r:id="rId49" ref="N61"/>
    <hyperlink r:id="rId50" ref="N62"/>
    <hyperlink r:id="rId51" ref="N63"/>
    <hyperlink r:id="rId52" ref="N64"/>
    <hyperlink r:id="rId53" ref="N65"/>
    <hyperlink r:id="rId54" ref="N66"/>
    <hyperlink r:id="rId55" ref="N67"/>
    <hyperlink r:id="rId56" ref="N68"/>
    <hyperlink r:id="rId57" ref="N70"/>
    <hyperlink r:id="rId58" ref="N71"/>
    <hyperlink r:id="rId59" ref="N72"/>
    <hyperlink r:id="rId60" ref="N73"/>
    <hyperlink r:id="rId61" ref="N75"/>
    <hyperlink r:id="rId62" ref="N76"/>
    <hyperlink r:id="rId63" ref="N77"/>
    <hyperlink r:id="rId64" ref="N78"/>
    <hyperlink r:id="rId65" ref="N79"/>
    <hyperlink r:id="rId66" ref="N80"/>
    <hyperlink r:id="rId67" ref="N81"/>
    <hyperlink r:id="rId68" ref="N82"/>
    <hyperlink r:id="rId69" ref="N84"/>
    <hyperlink r:id="rId70" ref="N85"/>
    <hyperlink r:id="rId71" ref="N86"/>
    <hyperlink r:id="rId72" ref="N87"/>
    <hyperlink r:id="rId73" ref="N88"/>
    <hyperlink r:id="rId74" ref="N90"/>
    <hyperlink r:id="rId75" ref="N92"/>
    <hyperlink r:id="rId76" ref="N93"/>
    <hyperlink r:id="rId77" ref="N94"/>
    <hyperlink r:id="rId78" ref="N95"/>
    <hyperlink r:id="rId79" ref="N97"/>
    <hyperlink r:id="rId80" ref="N98"/>
    <hyperlink r:id="rId81" ref="N100"/>
    <hyperlink r:id="rId82" ref="N101"/>
    <hyperlink r:id="rId83" ref="N102"/>
    <hyperlink r:id="rId84" ref="N103"/>
    <hyperlink r:id="rId85" ref="N104"/>
    <hyperlink r:id="rId86" ref="N106"/>
    <hyperlink r:id="rId87" ref="N107"/>
    <hyperlink r:id="rId88" ref="N108"/>
    <hyperlink r:id="rId89" ref="N109"/>
    <hyperlink r:id="rId90" ref="N110"/>
    <hyperlink r:id="rId91" ref="N112"/>
    <hyperlink r:id="rId92" ref="N115"/>
    <hyperlink r:id="rId93" ref="N116"/>
    <hyperlink r:id="rId94" ref="N119"/>
    <hyperlink r:id="rId95" ref="N122"/>
    <hyperlink r:id="rId96" ref="N123"/>
    <hyperlink r:id="rId97" ref="N125"/>
    <hyperlink r:id="rId98" ref="N126"/>
    <hyperlink r:id="rId99" ref="N127"/>
    <hyperlink r:id="rId100" ref="N129"/>
    <hyperlink r:id="rId101" ref="N130"/>
    <hyperlink r:id="rId102" ref="N131"/>
    <hyperlink r:id="rId103" ref="N132"/>
    <hyperlink r:id="rId104" ref="N133"/>
    <hyperlink r:id="rId105" ref="N134"/>
    <hyperlink r:id="rId106" ref="N136"/>
    <hyperlink r:id="rId107" ref="N137"/>
    <hyperlink r:id="rId108" ref="N140"/>
    <hyperlink r:id="rId109" ref="N144"/>
    <hyperlink r:id="rId110" ref="N145"/>
    <hyperlink r:id="rId111" ref="N147"/>
    <hyperlink r:id="rId112" ref="N150"/>
    <hyperlink r:id="rId113" ref="N151"/>
    <hyperlink r:id="rId114" ref="N152"/>
    <hyperlink r:id="rId115" ref="N153"/>
    <hyperlink r:id="rId116" ref="N154"/>
    <hyperlink r:id="rId117" ref="N156"/>
    <hyperlink r:id="rId118" ref="N159"/>
    <hyperlink r:id="rId119" ref="N160"/>
    <hyperlink r:id="rId120" ref="N161"/>
    <hyperlink r:id="rId121" ref="N162"/>
    <hyperlink r:id="rId122" ref="N163"/>
    <hyperlink r:id="rId123" ref="N164"/>
    <hyperlink r:id="rId124" ref="N165"/>
    <hyperlink r:id="rId125" ref="N166"/>
    <hyperlink r:id="rId126" ref="N167"/>
    <hyperlink r:id="rId127" ref="N169"/>
    <hyperlink r:id="rId128" ref="N170"/>
    <hyperlink r:id="rId129" ref="N171"/>
    <hyperlink r:id="rId130" ref="N172"/>
    <hyperlink r:id="rId131" ref="N173"/>
    <hyperlink r:id="rId132" ref="N175"/>
    <hyperlink r:id="rId133" ref="N176"/>
    <hyperlink r:id="rId134" ref="N178"/>
    <hyperlink r:id="rId135" ref="N179"/>
    <hyperlink r:id="rId136" ref="N180"/>
    <hyperlink r:id="rId137" ref="N181"/>
    <hyperlink r:id="rId138" ref="N182"/>
    <hyperlink r:id="rId139" ref="N183"/>
    <hyperlink r:id="rId140" ref="N185"/>
    <hyperlink r:id="rId141" ref="N186"/>
    <hyperlink r:id="rId142" ref="N188"/>
    <hyperlink r:id="rId143" ref="N234"/>
    <hyperlink r:id="rId144" ref="N237"/>
    <hyperlink r:id="rId145" ref="N238"/>
    <hyperlink r:id="rId146" ref="N239"/>
    <hyperlink r:id="rId147" ref="N242"/>
    <hyperlink r:id="rId148" ref="N243"/>
    <hyperlink r:id="rId149" ref="N244"/>
    <hyperlink r:id="rId150" ref="N245"/>
    <hyperlink r:id="rId151" ref="N247"/>
    <hyperlink r:id="rId152" ref="N248"/>
    <hyperlink r:id="rId153" ref="N249"/>
    <hyperlink r:id="rId154" ref="N252"/>
    <hyperlink r:id="rId155" ref="N255"/>
    <hyperlink r:id="rId156" ref="N256"/>
    <hyperlink r:id="rId157" ref="N257"/>
    <hyperlink r:id="rId158" ref="N258"/>
    <hyperlink r:id="rId159" ref="N259"/>
    <hyperlink r:id="rId160" ref="N262"/>
    <hyperlink r:id="rId161" ref="N263"/>
    <hyperlink r:id="rId162" ref="N264"/>
    <hyperlink r:id="rId163" ref="N266"/>
    <hyperlink r:id="rId164" ref="N267"/>
    <hyperlink r:id="rId165" ref="N268"/>
    <hyperlink r:id="rId166" ref="N270"/>
    <hyperlink r:id="rId167" ref="N271"/>
    <hyperlink r:id="rId168" ref="N274"/>
    <hyperlink r:id="rId169" ref="N275"/>
    <hyperlink r:id="rId170" ref="N276"/>
    <hyperlink r:id="rId171" ref="N282"/>
    <hyperlink r:id="rId172" ref="N283"/>
    <hyperlink r:id="rId173" ref="N285"/>
    <hyperlink r:id="rId174" ref="N286"/>
    <hyperlink r:id="rId175" ref="N288"/>
    <hyperlink r:id="rId176" ref="N289"/>
    <hyperlink r:id="rId177" ref="N290"/>
    <hyperlink r:id="rId178" ref="N294"/>
    <hyperlink r:id="rId179" ref="N295"/>
    <hyperlink r:id="rId180" ref="N296"/>
    <hyperlink r:id="rId181" ref="N297"/>
    <hyperlink r:id="rId182" ref="N298"/>
    <hyperlink r:id="rId183" ref="N299"/>
    <hyperlink r:id="rId184" ref="N300"/>
    <hyperlink r:id="rId185" ref="N303"/>
    <hyperlink r:id="rId186" ref="N308"/>
    <hyperlink r:id="rId187" ref="N309"/>
    <hyperlink r:id="rId188" ref="N311"/>
    <hyperlink r:id="rId189" ref="N314"/>
    <hyperlink r:id="rId190" ref="N315"/>
    <hyperlink r:id="rId191" ref="N321"/>
    <hyperlink r:id="rId192" ref="N322"/>
    <hyperlink r:id="rId193" ref="N323"/>
    <hyperlink r:id="rId194" ref="N324"/>
    <hyperlink r:id="rId195" ref="N325"/>
    <hyperlink r:id="rId196" ref="N328"/>
    <hyperlink r:id="rId197" ref="N331"/>
    <hyperlink r:id="rId198" ref="N332"/>
    <hyperlink r:id="rId199" ref="N333"/>
    <hyperlink r:id="rId200" ref="N334"/>
    <hyperlink r:id="rId201" ref="N336"/>
    <hyperlink r:id="rId202" ref="N337"/>
    <hyperlink r:id="rId203" ref="N338"/>
    <hyperlink r:id="rId204" ref="N340"/>
    <hyperlink r:id="rId205" ref="N341"/>
    <hyperlink r:id="rId206" ref="N342"/>
    <hyperlink r:id="rId207" ref="N348"/>
    <hyperlink r:id="rId208" ref="N349"/>
    <hyperlink r:id="rId209" ref="N350"/>
    <hyperlink r:id="rId210" ref="N351"/>
    <hyperlink r:id="rId211" ref="N352"/>
    <hyperlink r:id="rId212" ref="N353"/>
    <hyperlink r:id="rId213" ref="N354"/>
    <hyperlink r:id="rId214" ref="N356"/>
    <hyperlink r:id="rId215" ref="N359"/>
    <hyperlink r:id="rId216" ref="N364"/>
    <hyperlink r:id="rId217" ref="N365"/>
    <hyperlink r:id="rId218" ref="N367"/>
    <hyperlink r:id="rId219" ref="N368"/>
    <hyperlink r:id="rId220" ref="N369"/>
    <hyperlink r:id="rId221" ref="N370"/>
    <hyperlink r:id="rId222" ref="N371"/>
    <hyperlink r:id="rId223" ref="N372"/>
    <hyperlink r:id="rId224" ref="N373"/>
    <hyperlink r:id="rId225" ref="N375"/>
    <hyperlink r:id="rId226" ref="N379"/>
    <hyperlink r:id="rId227" ref="N382"/>
    <hyperlink r:id="rId228" ref="N384"/>
    <hyperlink r:id="rId229" ref="N385"/>
    <hyperlink r:id="rId230" ref="N391"/>
    <hyperlink r:id="rId231" ref="N394"/>
    <hyperlink r:id="rId232" ref="N395"/>
    <hyperlink r:id="rId233" ref="N396"/>
    <hyperlink r:id="rId234" ref="N397"/>
    <hyperlink r:id="rId235" ref="N398"/>
    <hyperlink r:id="rId236" ref="N400"/>
    <hyperlink r:id="rId237" ref="N402"/>
    <hyperlink r:id="rId238" ref="N403"/>
    <hyperlink r:id="rId239" ref="N405"/>
    <hyperlink r:id="rId240" ref="N406"/>
    <hyperlink r:id="rId241" ref="N413"/>
    <hyperlink r:id="rId242" ref="N415"/>
    <hyperlink r:id="rId243" ref="N416"/>
    <hyperlink r:id="rId244" ref="N417"/>
    <hyperlink r:id="rId245" ref="N418"/>
    <hyperlink r:id="rId246" ref="N419"/>
    <hyperlink r:id="rId247" ref="N420"/>
    <hyperlink r:id="rId248" ref="N421"/>
    <hyperlink r:id="rId249" ref="N426"/>
    <hyperlink r:id="rId250" ref="N427"/>
    <hyperlink r:id="rId251" ref="N430"/>
    <hyperlink r:id="rId252" ref="N431"/>
    <hyperlink r:id="rId253" ref="N432"/>
    <hyperlink r:id="rId254" ref="N434"/>
    <hyperlink r:id="rId255" ref="N436"/>
    <hyperlink r:id="rId256" ref="N437"/>
    <hyperlink r:id="rId257" ref="N438"/>
    <hyperlink r:id="rId258" ref="N439"/>
    <hyperlink r:id="rId259" ref="N441"/>
    <hyperlink r:id="rId260" ref="N442"/>
    <hyperlink r:id="rId261" ref="N444"/>
    <hyperlink r:id="rId262" ref="N445"/>
    <hyperlink r:id="rId263" ref="N446"/>
    <hyperlink r:id="rId264" ref="N447"/>
    <hyperlink r:id="rId265" ref="N449"/>
    <hyperlink r:id="rId266" ref="N450"/>
    <hyperlink r:id="rId267" ref="N451"/>
    <hyperlink r:id="rId268" ref="N455"/>
    <hyperlink r:id="rId269" ref="N456"/>
    <hyperlink r:id="rId270" ref="N457"/>
    <hyperlink r:id="rId271" ref="N458"/>
    <hyperlink r:id="rId272" ref="N459"/>
    <hyperlink r:id="rId273" ref="N460"/>
    <hyperlink r:id="rId274" ref="N461"/>
    <hyperlink r:id="rId275" ref="N462"/>
    <hyperlink r:id="rId276" ref="N463"/>
    <hyperlink r:id="rId277" ref="N464"/>
    <hyperlink r:id="rId278" ref="N465"/>
    <hyperlink r:id="rId279" ref="N466"/>
    <hyperlink r:id="rId280" ref="N467"/>
    <hyperlink r:id="rId281" ref="N470"/>
    <hyperlink r:id="rId282" ref="N472"/>
    <hyperlink r:id="rId283" ref="N473"/>
    <hyperlink r:id="rId284" ref="N475"/>
    <hyperlink r:id="rId285" ref="N477"/>
    <hyperlink r:id="rId286" ref="N479"/>
    <hyperlink r:id="rId287" ref="N486"/>
    <hyperlink r:id="rId288" ref="N487"/>
    <hyperlink r:id="rId289" ref="N488"/>
    <hyperlink r:id="rId290" ref="N492"/>
    <hyperlink r:id="rId291" ref="N496"/>
    <hyperlink r:id="rId292" ref="N497"/>
    <hyperlink r:id="rId293" ref="N498"/>
    <hyperlink r:id="rId294" ref="N499"/>
    <hyperlink r:id="rId295" ref="N500"/>
    <hyperlink r:id="rId296" ref="N501"/>
    <hyperlink r:id="rId297" ref="N502"/>
    <hyperlink r:id="rId298" ref="N504"/>
    <hyperlink r:id="rId299" ref="N505"/>
    <hyperlink r:id="rId300" ref="N507"/>
    <hyperlink r:id="rId301" ref="N513"/>
    <hyperlink r:id="rId302" ref="N514"/>
    <hyperlink r:id="rId303" ref="N515"/>
    <hyperlink r:id="rId304" ref="N516"/>
    <hyperlink r:id="rId305" ref="N518"/>
    <hyperlink r:id="rId306" ref="N519"/>
    <hyperlink r:id="rId307" ref="N520"/>
    <hyperlink r:id="rId308" ref="N521"/>
    <hyperlink r:id="rId309" ref="N522"/>
    <hyperlink r:id="rId310" ref="N529"/>
    <hyperlink r:id="rId311" ref="N530"/>
    <hyperlink r:id="rId312" ref="N531"/>
    <hyperlink r:id="rId313" ref="N532"/>
    <hyperlink r:id="rId314" ref="N534"/>
    <hyperlink r:id="rId315" ref="N535"/>
    <hyperlink r:id="rId316" ref="N547"/>
    <hyperlink r:id="rId317" ref="N548"/>
    <hyperlink r:id="rId318" ref="N550"/>
    <hyperlink r:id="rId319" ref="N556"/>
    <hyperlink r:id="rId320" ref="N557"/>
    <hyperlink r:id="rId321" ref="N558"/>
    <hyperlink r:id="rId322" ref="N560"/>
    <hyperlink r:id="rId323" ref="N561"/>
    <hyperlink r:id="rId324" ref="N562"/>
    <hyperlink r:id="rId325" ref="N563"/>
    <hyperlink r:id="rId326" ref="N564"/>
    <hyperlink r:id="rId327" ref="N565"/>
    <hyperlink r:id="rId328" ref="N568"/>
    <hyperlink r:id="rId329" ref="N569"/>
    <hyperlink r:id="rId330" ref="N572"/>
    <hyperlink r:id="rId331" ref="N574"/>
    <hyperlink r:id="rId332" ref="N575"/>
    <hyperlink r:id="rId333" ref="N576"/>
    <hyperlink r:id="rId334" ref="N580"/>
    <hyperlink r:id="rId335" ref="N582"/>
    <hyperlink r:id="rId336" ref="N583"/>
    <hyperlink r:id="rId337" ref="N584"/>
    <hyperlink r:id="rId338" ref="N587"/>
    <hyperlink r:id="rId339" ref="N588"/>
    <hyperlink r:id="rId340" ref="N589"/>
    <hyperlink r:id="rId341" ref="N590"/>
    <hyperlink r:id="rId342" ref="N592"/>
    <hyperlink r:id="rId343" ref="N594"/>
    <hyperlink r:id="rId344" ref="N595"/>
    <hyperlink r:id="rId345" ref="N596"/>
    <hyperlink r:id="rId346" ref="N597"/>
    <hyperlink r:id="rId347" ref="N599"/>
    <hyperlink r:id="rId348" ref="N601"/>
    <hyperlink r:id="rId349" ref="N602"/>
    <hyperlink r:id="rId350" ref="N604"/>
    <hyperlink r:id="rId351" ref="N605"/>
    <hyperlink r:id="rId352" ref="N606"/>
    <hyperlink r:id="rId353" ref="N607"/>
    <hyperlink r:id="rId354" ref="N608"/>
    <hyperlink r:id="rId355" ref="N609"/>
    <hyperlink r:id="rId356" ref="N611"/>
    <hyperlink r:id="rId357" ref="N613"/>
    <hyperlink r:id="rId358" ref="N615"/>
    <hyperlink r:id="rId359" ref="N618"/>
    <hyperlink r:id="rId360" ref="N619"/>
    <hyperlink r:id="rId361" ref="N628"/>
    <hyperlink r:id="rId362" ref="N629"/>
    <hyperlink r:id="rId363" ref="N632"/>
    <hyperlink r:id="rId364" ref="N633"/>
    <hyperlink r:id="rId365" ref="N634"/>
    <hyperlink r:id="rId366" ref="N635"/>
    <hyperlink r:id="rId367" ref="N636"/>
    <hyperlink r:id="rId368" ref="N637"/>
    <hyperlink r:id="rId369" ref="N638"/>
    <hyperlink r:id="rId370" ref="N639"/>
    <hyperlink r:id="rId371" ref="N640"/>
    <hyperlink r:id="rId372" ref="N641"/>
    <hyperlink r:id="rId373" ref="N642"/>
    <hyperlink r:id="rId374" ref="N643"/>
    <hyperlink r:id="rId375" ref="N644"/>
    <hyperlink r:id="rId376" ref="N645"/>
    <hyperlink r:id="rId377" ref="N646"/>
    <hyperlink r:id="rId378" ref="N647"/>
    <hyperlink r:id="rId379" ref="N648"/>
    <hyperlink r:id="rId380" ref="N649"/>
    <hyperlink r:id="rId381" ref="N654"/>
    <hyperlink r:id="rId382" ref="N656"/>
    <hyperlink r:id="rId383" ref="N657"/>
    <hyperlink r:id="rId384" ref="N658"/>
    <hyperlink r:id="rId385" ref="N659"/>
    <hyperlink r:id="rId386" ref="N660"/>
    <hyperlink r:id="rId387" ref="N661"/>
    <hyperlink r:id="rId388" ref="N662"/>
    <hyperlink r:id="rId389" ref="N664"/>
    <hyperlink r:id="rId390" ref="N665"/>
    <hyperlink r:id="rId391" ref="N669"/>
    <hyperlink r:id="rId392" ref="N670"/>
    <hyperlink r:id="rId393" ref="N671"/>
    <hyperlink r:id="rId394" ref="N672"/>
    <hyperlink r:id="rId395" ref="N673"/>
    <hyperlink r:id="rId396" ref="N674"/>
    <hyperlink r:id="rId397" ref="N676"/>
    <hyperlink r:id="rId398" ref="N677"/>
    <hyperlink r:id="rId399" ref="N678"/>
    <hyperlink r:id="rId400" ref="N679"/>
    <hyperlink r:id="rId401" ref="N680"/>
    <hyperlink r:id="rId402" ref="N681"/>
    <hyperlink r:id="rId403" ref="N682"/>
    <hyperlink r:id="rId404" ref="N683"/>
    <hyperlink r:id="rId405" ref="N684"/>
    <hyperlink r:id="rId406" ref="N686"/>
    <hyperlink r:id="rId407" ref="N687"/>
    <hyperlink r:id="rId408" ref="N688"/>
    <hyperlink r:id="rId409" ref="N689"/>
    <hyperlink r:id="rId410" ref="N690"/>
    <hyperlink r:id="rId411" ref="N691"/>
    <hyperlink r:id="rId412" ref="N692"/>
    <hyperlink r:id="rId413" ref="N693"/>
    <hyperlink r:id="rId414" ref="N694"/>
    <hyperlink r:id="rId415" ref="N695"/>
    <hyperlink r:id="rId416" ref="N696"/>
    <hyperlink r:id="rId417" ref="N697"/>
    <hyperlink r:id="rId418" ref="N698"/>
    <hyperlink r:id="rId419" ref="N699"/>
    <hyperlink r:id="rId420" ref="N700"/>
    <hyperlink r:id="rId421" ref="N701"/>
    <hyperlink r:id="rId422" ref="N702"/>
    <hyperlink r:id="rId423" ref="N703"/>
    <hyperlink r:id="rId424" ref="N704"/>
    <hyperlink r:id="rId425" ref="N705"/>
    <hyperlink r:id="rId426" ref="N706"/>
    <hyperlink r:id="rId427" ref="N707"/>
    <hyperlink r:id="rId428" ref="N708"/>
    <hyperlink r:id="rId429" ref="N709"/>
    <hyperlink r:id="rId430" ref="N710"/>
    <hyperlink r:id="rId431" ref="N711"/>
    <hyperlink r:id="rId432" ref="N712"/>
    <hyperlink r:id="rId433" ref="N713"/>
    <hyperlink r:id="rId434" ref="N714"/>
    <hyperlink r:id="rId435" ref="N715"/>
    <hyperlink r:id="rId436" ref="N717"/>
    <hyperlink r:id="rId437" ref="N718"/>
    <hyperlink r:id="rId438" ref="N719"/>
    <hyperlink r:id="rId439" ref="N720"/>
    <hyperlink r:id="rId440" ref="N721"/>
    <hyperlink r:id="rId441" ref="N722"/>
    <hyperlink r:id="rId442" ref="N723"/>
    <hyperlink r:id="rId443" ref="N725"/>
    <hyperlink r:id="rId444" ref="N726"/>
    <hyperlink r:id="rId445" ref="N727"/>
    <hyperlink r:id="rId446" ref="N728"/>
    <hyperlink r:id="rId447" ref="N729"/>
    <hyperlink r:id="rId448" ref="N730"/>
    <hyperlink r:id="rId449" ref="N731"/>
    <hyperlink r:id="rId450" ref="N732"/>
    <hyperlink r:id="rId451" ref="N733"/>
    <hyperlink r:id="rId452" ref="N734"/>
    <hyperlink r:id="rId453" ref="N735"/>
    <hyperlink r:id="rId454" ref="N736"/>
    <hyperlink r:id="rId455" ref="N737"/>
    <hyperlink r:id="rId456" ref="N738"/>
    <hyperlink r:id="rId457" ref="N739"/>
    <hyperlink r:id="rId458" ref="N740"/>
    <hyperlink r:id="rId459" ref="N741"/>
    <hyperlink r:id="rId460" ref="N742"/>
    <hyperlink r:id="rId461" ref="N743"/>
    <hyperlink r:id="rId462" ref="N744"/>
    <hyperlink r:id="rId463" ref="N745"/>
    <hyperlink r:id="rId464" ref="N746"/>
    <hyperlink r:id="rId465" ref="N747"/>
    <hyperlink r:id="rId466" ref="N748"/>
    <hyperlink r:id="rId467" ref="N749"/>
    <hyperlink r:id="rId468" ref="N750"/>
    <hyperlink r:id="rId469" ref="N751"/>
    <hyperlink r:id="rId470" ref="N752"/>
    <hyperlink r:id="rId471" ref="N753"/>
    <hyperlink r:id="rId472" ref="N754"/>
    <hyperlink r:id="rId473" ref="N755"/>
    <hyperlink r:id="rId474" ref="N756"/>
    <hyperlink r:id="rId475" ref="N757"/>
    <hyperlink r:id="rId476" ref="N758"/>
    <hyperlink r:id="rId477" ref="N759"/>
    <hyperlink r:id="rId478" ref="N760"/>
    <hyperlink r:id="rId479" ref="N761"/>
    <hyperlink r:id="rId480" ref="N762"/>
    <hyperlink r:id="rId481" ref="N763"/>
    <hyperlink r:id="rId482" ref="N764"/>
    <hyperlink r:id="rId483" ref="N765"/>
    <hyperlink r:id="rId484" ref="N766"/>
    <hyperlink r:id="rId485" ref="N767"/>
    <hyperlink r:id="rId486" ref="N768"/>
    <hyperlink r:id="rId487" ref="N769"/>
    <hyperlink r:id="rId488" ref="N770"/>
    <hyperlink r:id="rId489" ref="N771"/>
    <hyperlink r:id="rId490" ref="N772"/>
    <hyperlink r:id="rId491" ref="N773"/>
    <hyperlink r:id="rId492" ref="N774"/>
    <hyperlink r:id="rId493" ref="N775"/>
    <hyperlink r:id="rId494" ref="N776"/>
    <hyperlink r:id="rId495" ref="N777"/>
    <hyperlink r:id="rId496" ref="N792"/>
    <hyperlink r:id="rId497" ref="N793"/>
    <hyperlink r:id="rId498" ref="N794"/>
    <hyperlink r:id="rId499" ref="N795"/>
    <hyperlink r:id="rId500" ref="N796"/>
    <hyperlink r:id="rId501" ref="N797"/>
    <hyperlink r:id="rId502" ref="N798"/>
    <hyperlink r:id="rId503" ref="N799"/>
    <hyperlink r:id="rId504" ref="N800"/>
    <hyperlink r:id="rId505" ref="N801"/>
    <hyperlink r:id="rId506" ref="N802"/>
    <hyperlink r:id="rId507" ref="N803"/>
    <hyperlink r:id="rId508" ref="N804"/>
    <hyperlink r:id="rId509" ref="N805"/>
    <hyperlink r:id="rId510" ref="N806"/>
    <hyperlink r:id="rId511" ref="N807"/>
    <hyperlink r:id="rId512" ref="N808"/>
    <hyperlink r:id="rId513" ref="N809"/>
    <hyperlink r:id="rId514" ref="N810"/>
    <hyperlink r:id="rId515" ref="N811"/>
    <hyperlink r:id="rId516" ref="N812"/>
    <hyperlink r:id="rId517" ref="N813"/>
    <hyperlink r:id="rId518" ref="N814"/>
    <hyperlink r:id="rId519" ref="N815"/>
    <hyperlink r:id="rId520" ref="N816"/>
    <hyperlink r:id="rId521" ref="N818"/>
    <hyperlink r:id="rId522" ref="N823"/>
    <hyperlink r:id="rId523" ref="N824"/>
    <hyperlink r:id="rId524" ref="N825"/>
    <hyperlink r:id="rId525" ref="N826"/>
    <hyperlink r:id="rId526" ref="N827"/>
    <hyperlink r:id="rId527" ref="N828"/>
    <hyperlink r:id="rId528" ref="N832"/>
    <hyperlink r:id="rId529" ref="N833"/>
    <hyperlink r:id="rId530" ref="N834"/>
    <hyperlink r:id="rId531" ref="N835"/>
    <hyperlink r:id="rId532" ref="N836"/>
    <hyperlink r:id="rId533" ref="N837"/>
    <hyperlink r:id="rId534" ref="N838"/>
    <hyperlink r:id="rId535" ref="N839"/>
    <hyperlink r:id="rId536" ref="N840"/>
    <hyperlink r:id="rId537" ref="N841"/>
    <hyperlink r:id="rId538" ref="N842"/>
    <hyperlink r:id="rId539" ref="N843"/>
    <hyperlink r:id="rId540" ref="N844"/>
    <hyperlink r:id="rId541" ref="N845"/>
    <hyperlink r:id="rId542" ref="N846"/>
    <hyperlink r:id="rId543" ref="N847"/>
    <hyperlink r:id="rId544" ref="N848"/>
    <hyperlink r:id="rId545" ref="N849"/>
    <hyperlink r:id="rId546" ref="N850"/>
    <hyperlink r:id="rId547" ref="N851"/>
    <hyperlink r:id="rId548" ref="N852"/>
    <hyperlink r:id="rId549" ref="N853"/>
    <hyperlink r:id="rId550" ref="N854"/>
    <hyperlink r:id="rId551" ref="N856"/>
    <hyperlink r:id="rId552" ref="N857"/>
    <hyperlink r:id="rId553" ref="N860"/>
    <hyperlink r:id="rId554" ref="N862"/>
    <hyperlink r:id="rId555" ref="N864"/>
    <hyperlink r:id="rId556" ref="N865"/>
    <hyperlink r:id="rId557" ref="N866"/>
    <hyperlink r:id="rId558" ref="N867"/>
    <hyperlink r:id="rId559" ref="N869"/>
    <hyperlink r:id="rId560" ref="N870"/>
    <hyperlink r:id="rId561" ref="N873"/>
    <hyperlink r:id="rId562" ref="N874"/>
    <hyperlink r:id="rId563" ref="N875"/>
    <hyperlink r:id="rId564" ref="N876"/>
    <hyperlink r:id="rId565" ref="N877"/>
    <hyperlink r:id="rId566" ref="N878"/>
    <hyperlink r:id="rId567" ref="N879"/>
    <hyperlink r:id="rId568" ref="N880"/>
    <hyperlink r:id="rId569" ref="N881"/>
    <hyperlink r:id="rId570" ref="N882"/>
    <hyperlink r:id="rId571" ref="N883"/>
    <hyperlink r:id="rId572" ref="N884"/>
    <hyperlink r:id="rId573" ref="N885"/>
    <hyperlink r:id="rId574" ref="N886"/>
    <hyperlink r:id="rId575" ref="N887"/>
    <hyperlink r:id="rId576" ref="N888"/>
    <hyperlink r:id="rId577" ref="N889"/>
    <hyperlink r:id="rId578" ref="N890"/>
    <hyperlink r:id="rId579" ref="N891"/>
    <hyperlink r:id="rId580" ref="N892"/>
    <hyperlink r:id="rId581" ref="N894"/>
    <hyperlink r:id="rId582" ref="N896"/>
    <hyperlink r:id="rId583" ref="N897"/>
    <hyperlink r:id="rId584" ref="N899"/>
    <hyperlink r:id="rId585" ref="N900"/>
    <hyperlink r:id="rId586" ref="N901"/>
    <hyperlink r:id="rId587" ref="N902"/>
    <hyperlink r:id="rId588" ref="N903"/>
    <hyperlink r:id="rId589" ref="N904"/>
    <hyperlink r:id="rId590" ref="N905"/>
    <hyperlink r:id="rId591" ref="N906"/>
    <hyperlink r:id="rId592" ref="N907"/>
    <hyperlink r:id="rId593" ref="N909"/>
    <hyperlink r:id="rId594" ref="N910"/>
    <hyperlink r:id="rId595" ref="N911"/>
    <hyperlink r:id="rId596" ref="N912"/>
    <hyperlink r:id="rId597" ref="N913"/>
    <hyperlink r:id="rId598" ref="N915"/>
    <hyperlink r:id="rId599" ref="N916"/>
    <hyperlink r:id="rId600" ref="N917"/>
    <hyperlink r:id="rId601" ref="N918"/>
    <hyperlink r:id="rId602" ref="N919"/>
    <hyperlink r:id="rId603" ref="N920"/>
    <hyperlink r:id="rId604" ref="N921"/>
    <hyperlink r:id="rId605" ref="N922"/>
    <hyperlink r:id="rId606" ref="N923"/>
    <hyperlink r:id="rId607" ref="N924"/>
    <hyperlink r:id="rId608" ref="N925"/>
    <hyperlink r:id="rId609" ref="N926"/>
    <hyperlink r:id="rId610" ref="N927"/>
    <hyperlink r:id="rId611" ref="N928"/>
    <hyperlink r:id="rId612" ref="N929"/>
    <hyperlink r:id="rId613" ref="N930"/>
    <hyperlink r:id="rId614" ref="N931"/>
    <hyperlink r:id="rId615" ref="N932"/>
    <hyperlink r:id="rId616" ref="N933"/>
    <hyperlink r:id="rId617" ref="N934"/>
    <hyperlink r:id="rId618" ref="N935"/>
    <hyperlink r:id="rId619" ref="N936"/>
    <hyperlink r:id="rId620" ref="N940"/>
    <hyperlink r:id="rId621" ref="N941"/>
    <hyperlink r:id="rId622" ref="N942"/>
    <hyperlink r:id="rId623" ref="N943"/>
    <hyperlink r:id="rId624" ref="N944"/>
    <hyperlink r:id="rId625" ref="N945"/>
    <hyperlink r:id="rId626" ref="N946"/>
    <hyperlink r:id="rId627" ref="N947"/>
    <hyperlink r:id="rId628" ref="N948"/>
    <hyperlink r:id="rId629" ref="N949"/>
    <hyperlink r:id="rId630" ref="N950"/>
    <hyperlink r:id="rId631" ref="N951"/>
    <hyperlink r:id="rId632" ref="N952"/>
    <hyperlink r:id="rId633" ref="N953"/>
    <hyperlink r:id="rId634" ref="N954"/>
    <hyperlink r:id="rId635" ref="N955"/>
    <hyperlink r:id="rId636" ref="N956"/>
    <hyperlink r:id="rId637" ref="N957"/>
    <hyperlink r:id="rId638" ref="N958"/>
    <hyperlink r:id="rId639" ref="N959"/>
    <hyperlink r:id="rId640" ref="N961"/>
    <hyperlink r:id="rId641" ref="N962"/>
    <hyperlink r:id="rId642" ref="N963"/>
    <hyperlink r:id="rId643" ref="N964"/>
    <hyperlink r:id="rId644" ref="N965"/>
    <hyperlink r:id="rId645" ref="N966"/>
    <hyperlink r:id="rId646" ref="N967"/>
    <hyperlink r:id="rId647" ref="N968"/>
    <hyperlink r:id="rId648" ref="N969"/>
    <hyperlink r:id="rId649" ref="N970"/>
    <hyperlink r:id="rId650" ref="N971"/>
    <hyperlink r:id="rId651" ref="N972"/>
    <hyperlink r:id="rId652" ref="N974"/>
    <hyperlink r:id="rId653" ref="N975"/>
    <hyperlink r:id="rId654" ref="N976"/>
    <hyperlink r:id="rId655" ref="N977"/>
    <hyperlink r:id="rId656" ref="N978"/>
    <hyperlink r:id="rId657" ref="N979"/>
    <hyperlink r:id="rId658" ref="N980"/>
    <hyperlink r:id="rId659" ref="N981"/>
    <hyperlink r:id="rId660" ref="N982"/>
    <hyperlink r:id="rId661" ref="N983"/>
    <hyperlink r:id="rId662" ref="N984"/>
    <hyperlink r:id="rId663" ref="N985"/>
    <hyperlink r:id="rId664" ref="N986"/>
    <hyperlink r:id="rId665" ref="N987"/>
    <hyperlink r:id="rId666" ref="N988"/>
    <hyperlink r:id="rId667" ref="N990"/>
    <hyperlink r:id="rId668" ref="N991"/>
    <hyperlink r:id="rId669" ref="N994"/>
    <hyperlink r:id="rId670" ref="N995"/>
    <hyperlink r:id="rId671" ref="N996"/>
    <hyperlink r:id="rId672" ref="N997"/>
    <hyperlink r:id="rId673" ref="N998"/>
  </hyperlinks>
  <drawing r:id="rId674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2" max="2" width="21.86"/>
    <col customWidth="1" min="3" max="3" width="21.57"/>
    <col customWidth="1" min="4" max="4" width="13.14"/>
    <col customWidth="1" min="5" max="5" width="10.29"/>
    <col customWidth="1" min="6" max="6" width="8.57"/>
    <col customWidth="1" min="7" max="7" width="7.29"/>
    <col customWidth="1" min="8" max="8" width="8.86"/>
    <col customWidth="1" min="9" max="9" width="9.57"/>
    <col customWidth="1" min="12" max="12" width="20.43"/>
    <col customWidth="1" min="15" max="15" width="20.0"/>
    <col customWidth="1" min="19" max="19" width="18.43"/>
  </cols>
  <sheetData>
    <row r="1">
      <c r="A1" s="244" t="s">
        <v>1</v>
      </c>
      <c r="B1" s="244" t="s">
        <v>1148</v>
      </c>
      <c r="C1" s="245" t="s">
        <v>22</v>
      </c>
      <c r="D1" s="245" t="s">
        <v>5</v>
      </c>
      <c r="E1" s="244" t="s">
        <v>3187</v>
      </c>
      <c r="F1" s="244" t="s">
        <v>3188</v>
      </c>
      <c r="G1" s="244" t="s">
        <v>3189</v>
      </c>
      <c r="H1" s="244" t="s">
        <v>3191</v>
      </c>
      <c r="I1" s="244" t="s">
        <v>3192</v>
      </c>
      <c r="J1" s="244" t="s">
        <v>3194</v>
      </c>
      <c r="K1" s="244" t="s">
        <v>3195</v>
      </c>
      <c r="L1" s="244" t="s">
        <v>3196</v>
      </c>
      <c r="M1" s="244" t="s">
        <v>3197</v>
      </c>
      <c r="N1" s="246" t="s">
        <v>3198</v>
      </c>
      <c r="O1" s="246" t="s">
        <v>3199</v>
      </c>
      <c r="P1" s="246" t="s">
        <v>3200</v>
      </c>
      <c r="Q1" s="246" t="s">
        <v>3201</v>
      </c>
      <c r="R1" s="247" t="s">
        <v>3202</v>
      </c>
      <c r="S1" s="248"/>
      <c r="T1" s="249"/>
      <c r="U1" s="249"/>
      <c r="V1" s="249"/>
      <c r="W1" s="42"/>
      <c r="X1" s="42"/>
      <c r="Y1" s="42"/>
      <c r="Z1" s="42"/>
      <c r="AA1" s="42"/>
      <c r="AB1" s="42"/>
      <c r="AC1" s="42"/>
      <c r="AD1" s="42"/>
    </row>
    <row r="2">
      <c r="A2" s="250">
        <v>46245.0</v>
      </c>
      <c r="B2" s="251" t="s">
        <v>107</v>
      </c>
      <c r="C2" s="252" t="s">
        <v>2140</v>
      </c>
      <c r="D2" s="252">
        <v>1.0</v>
      </c>
      <c r="E2" s="253"/>
      <c r="F2" s="253"/>
      <c r="G2" s="254">
        <v>1.0</v>
      </c>
      <c r="H2" s="253"/>
      <c r="I2" s="253"/>
      <c r="J2" s="255">
        <f t="shared" ref="J2:J28" si="1">sum(E2:I2)</f>
        <v>1</v>
      </c>
      <c r="K2" s="256">
        <f t="shared" ref="K2:K28" si="2">IF(
    AND(
        M2="0 DTE",
        OR(
            B2="ZZJ17221",B2="ZZJ17084",
            B2="ZZJ17223",B2="ZZJ17416",
            B2="ZZJ17218",B2="AJ008AI",
            B2="AJ008DI",B2="AM005",B2="AM006",
            B2="AJ008HY",B2="AM008"
        )
    ),
    J2*1.6,
    IF(
        AND(
            OR(M2="1 DTE",M2="2 DTE"),
            OR(
                B2="ZZJ17221",B2="ZZJ17084",
                B2="ZZJ17223",B2="ZZJ17416",
                B2="ZZJ17218",B2="AJ008AI",
                B2="AJ008DI",
                B2="AJ008HY"
            )
        ),
        J2*0.6,
        IFERROR(
            IFS(
                OR(D2=101,D2=1,D2=12,D2=15,D2=18), J2*1,
                D2=27, J2*10,
                D2=7, J2*0.8,
                D2=2, J2*1.2,
                D2=5, J2*10,
                D2=25, J2*1,
                D2=127, J2*10,
                J2=0, 0,
                D2=8, J2*0.7,
                D2=19, J2*10,
                D2=21, J2*10
            ),
            "Calculate"
        )
    )
)</f>
        <v>1.6</v>
      </c>
      <c r="L2" s="257" t="s">
        <v>3211</v>
      </c>
      <c r="M2" s="258" t="s">
        <v>3212</v>
      </c>
      <c r="N2" s="259">
        <f>IF(J2=0,0, VLOOKUP(B2,Main!$A:$H,8,0))</f>
        <v>100000</v>
      </c>
      <c r="O2" s="260" t="b">
        <f t="shared" ref="O2:O28" si="3">N2=J2*100000</f>
        <v>1</v>
      </c>
      <c r="P2" s="259">
        <f>IF(K2=0,0, VLOOKUP(B2,Main!$A:$H,7,0))</f>
        <v>163133</v>
      </c>
      <c r="Q2" s="260" t="str">
        <f t="shared" ref="Q2:Q28" si="4">IFERROR(IF((P2=K2*100000)=TRUE,"TRUE", L2+1000=P2),"FALSE")</f>
        <v>FALSE</v>
      </c>
      <c r="R2" s="261" t="str">
        <f>iferror(VLOOKUP(B2,Main!A:L,12,0),"Not Positional")</f>
        <v>POS</v>
      </c>
      <c r="S2" s="262"/>
      <c r="T2" s="263"/>
      <c r="U2" s="263"/>
      <c r="V2" s="263"/>
      <c r="W2" s="42"/>
      <c r="X2" s="42"/>
      <c r="Y2" s="42"/>
      <c r="Z2" s="42"/>
      <c r="AA2" s="42"/>
      <c r="AB2" s="42"/>
      <c r="AC2" s="42"/>
      <c r="AD2" s="42"/>
    </row>
    <row r="3">
      <c r="A3" s="250">
        <v>46245.0</v>
      </c>
      <c r="B3" s="251" t="s">
        <v>2378</v>
      </c>
      <c r="C3" s="252" t="s">
        <v>3218</v>
      </c>
      <c r="D3" s="252">
        <v>1.0</v>
      </c>
      <c r="E3" s="254">
        <v>3.0</v>
      </c>
      <c r="F3" s="264"/>
      <c r="G3" s="253"/>
      <c r="H3" s="265"/>
      <c r="I3" s="253"/>
      <c r="J3" s="255">
        <f t="shared" si="1"/>
        <v>3</v>
      </c>
      <c r="K3" s="256">
        <f t="shared" si="2"/>
        <v>3</v>
      </c>
      <c r="L3" s="257" t="s">
        <v>3211</v>
      </c>
      <c r="M3" s="258" t="s">
        <v>3212</v>
      </c>
      <c r="N3" s="259">
        <f>IF(J3=0,0, VLOOKUP(B3,Main!$A:$H,8,0))</f>
        <v>300000</v>
      </c>
      <c r="O3" s="260" t="b">
        <f t="shared" si="3"/>
        <v>1</v>
      </c>
      <c r="P3" s="259" t="str">
        <f>IF(K3=0,0, VLOOKUP(B3,Main!$A:$H,7,0))</f>
        <v>300000</v>
      </c>
      <c r="Q3" s="260" t="str">
        <f t="shared" si="4"/>
        <v>FALSE</v>
      </c>
      <c r="R3" s="261" t="str">
        <f>iferror(VLOOKUP(B3,Main!A:L,12,0),"Not Positional")</f>
        <v>INT</v>
      </c>
      <c r="S3" s="263"/>
      <c r="T3" s="263"/>
      <c r="U3" s="263"/>
      <c r="V3" s="266"/>
      <c r="W3" s="42"/>
      <c r="X3" s="42"/>
      <c r="Y3" s="42"/>
      <c r="Z3" s="42"/>
      <c r="AA3" s="42"/>
      <c r="AB3" s="42"/>
      <c r="AC3" s="42"/>
      <c r="AD3" s="42"/>
    </row>
    <row r="4">
      <c r="A4" s="250">
        <v>46245.0</v>
      </c>
      <c r="B4" s="251" t="s">
        <v>181</v>
      </c>
      <c r="C4" s="267" t="s">
        <v>3220</v>
      </c>
      <c r="D4" s="252">
        <v>1.0</v>
      </c>
      <c r="E4" s="265"/>
      <c r="F4" s="265"/>
      <c r="G4" s="253"/>
      <c r="H4" s="265"/>
      <c r="I4" s="268"/>
      <c r="J4" s="255">
        <f t="shared" si="1"/>
        <v>0</v>
      </c>
      <c r="K4" s="256">
        <f t="shared" si="2"/>
        <v>0</v>
      </c>
      <c r="L4" s="257" t="s">
        <v>3225</v>
      </c>
      <c r="M4" s="258" t="s">
        <v>3212</v>
      </c>
      <c r="N4" s="259">
        <f>IF(J4=0,0, VLOOKUP(B4,Main!$A:$H,8,0))</f>
        <v>0</v>
      </c>
      <c r="O4" s="260" t="b">
        <f t="shared" si="3"/>
        <v>1</v>
      </c>
      <c r="P4" s="259">
        <f>IF(K4=0,0, VLOOKUP(B4,Main!$A:$H,7,0))</f>
        <v>0</v>
      </c>
      <c r="Q4" s="260" t="str">
        <f t="shared" si="4"/>
        <v>TRUE</v>
      </c>
      <c r="R4" s="261" t="str">
        <f>iferror(VLOOKUP(B4,Main!A:L,12,0),"Not Positional")</f>
        <v>Not Running</v>
      </c>
      <c r="S4" s="263"/>
      <c r="T4" s="263"/>
      <c r="U4" s="263"/>
      <c r="V4" s="263"/>
      <c r="W4" s="42"/>
      <c r="X4" s="42"/>
      <c r="Y4" s="42"/>
      <c r="Z4" s="42"/>
      <c r="AA4" s="42"/>
      <c r="AB4" s="42"/>
      <c r="AC4" s="42"/>
      <c r="AD4" s="42"/>
    </row>
    <row r="5">
      <c r="A5" s="250">
        <v>46245.0</v>
      </c>
      <c r="B5" s="251" t="s">
        <v>144</v>
      </c>
      <c r="C5" s="252" t="s">
        <v>3233</v>
      </c>
      <c r="D5" s="252">
        <v>1.0</v>
      </c>
      <c r="E5" s="269"/>
      <c r="F5" s="269"/>
      <c r="G5" s="269"/>
      <c r="H5" s="253"/>
      <c r="I5" s="253"/>
      <c r="J5" s="255">
        <f t="shared" si="1"/>
        <v>0</v>
      </c>
      <c r="K5" s="256">
        <f t="shared" si="2"/>
        <v>0</v>
      </c>
      <c r="L5" s="257" t="s">
        <v>3211</v>
      </c>
      <c r="M5" s="258" t="s">
        <v>3212</v>
      </c>
      <c r="N5" s="259">
        <f>IF(J5=0,0, VLOOKUP(B5,Main!$A:$H,8,0))</f>
        <v>0</v>
      </c>
      <c r="O5" s="260" t="b">
        <f t="shared" si="3"/>
        <v>1</v>
      </c>
      <c r="P5" s="259">
        <f>IF(K5=0,0, VLOOKUP(B5,Main!$A:$H,7,0))</f>
        <v>0</v>
      </c>
      <c r="Q5" s="260" t="str">
        <f t="shared" si="4"/>
        <v>TRUE</v>
      </c>
      <c r="R5" s="261" t="str">
        <f>iferror(VLOOKUP(B5,Main!A:L,12,0),"Not Positional")</f>
        <v>Not Running</v>
      </c>
      <c r="S5" s="263"/>
      <c r="T5" s="263"/>
      <c r="U5" s="266"/>
      <c r="V5" s="263"/>
      <c r="W5" s="42"/>
      <c r="X5" s="42"/>
      <c r="Y5" s="42"/>
      <c r="Z5" s="42"/>
      <c r="AA5" s="42"/>
      <c r="AB5" s="42"/>
      <c r="AC5" s="42"/>
      <c r="AD5" s="42"/>
    </row>
    <row r="6">
      <c r="A6" s="250">
        <v>46245.0</v>
      </c>
      <c r="B6" s="251" t="s">
        <v>2384</v>
      </c>
      <c r="C6" s="252" t="s">
        <v>3236</v>
      </c>
      <c r="D6" s="252">
        <v>7.0</v>
      </c>
      <c r="E6" s="254">
        <v>3.0</v>
      </c>
      <c r="F6" s="254">
        <v>5.0</v>
      </c>
      <c r="G6" s="253"/>
      <c r="H6" s="253"/>
      <c r="I6" s="253"/>
      <c r="J6" s="255">
        <f t="shared" si="1"/>
        <v>8</v>
      </c>
      <c r="K6" s="256">
        <f t="shared" si="2"/>
        <v>6.4</v>
      </c>
      <c r="L6" s="257" t="s">
        <v>3211</v>
      </c>
      <c r="M6" s="258" t="s">
        <v>3212</v>
      </c>
      <c r="N6" s="259">
        <f>IF(J6=0,0, VLOOKUP(B6,Main!$A:$H,8,0))</f>
        <v>800000</v>
      </c>
      <c r="O6" s="260" t="b">
        <f t="shared" si="3"/>
        <v>1</v>
      </c>
      <c r="P6" s="259">
        <f>IF(K6=0,0, VLOOKUP(B6,Main!$A:$H,7,0))</f>
        <v>640000</v>
      </c>
      <c r="Q6" s="260" t="str">
        <f t="shared" si="4"/>
        <v>TRUE</v>
      </c>
      <c r="R6" s="261" t="str">
        <f>iferror(VLOOKUP(B6,Main!A:L,12,0),"Not Positional")</f>
        <v>INT</v>
      </c>
      <c r="S6" s="263"/>
      <c r="T6" s="263"/>
      <c r="U6" s="263"/>
      <c r="V6" s="263"/>
      <c r="W6" s="42"/>
      <c r="X6" s="42"/>
      <c r="Y6" s="42"/>
      <c r="Z6" s="42"/>
      <c r="AA6" s="42"/>
      <c r="AB6" s="42"/>
      <c r="AC6" s="42"/>
      <c r="AD6" s="42"/>
    </row>
    <row r="7">
      <c r="A7" s="250">
        <v>46245.0</v>
      </c>
      <c r="B7" s="251" t="s">
        <v>120</v>
      </c>
      <c r="C7" s="267" t="s">
        <v>2130</v>
      </c>
      <c r="D7" s="252">
        <v>7.0</v>
      </c>
      <c r="E7" s="253"/>
      <c r="F7" s="253"/>
      <c r="G7" s="254">
        <v>1.0</v>
      </c>
      <c r="H7" s="253"/>
      <c r="I7" s="253"/>
      <c r="J7" s="255">
        <f t="shared" si="1"/>
        <v>1</v>
      </c>
      <c r="K7" s="256">
        <f t="shared" si="2"/>
        <v>1.6</v>
      </c>
      <c r="L7" s="257" t="s">
        <v>3211</v>
      </c>
      <c r="M7" s="258" t="s">
        <v>3212</v>
      </c>
      <c r="N7" s="259">
        <f>IF(J7=0,0, VLOOKUP(B7,Main!$A:$H,8,0))</f>
        <v>100000</v>
      </c>
      <c r="O7" s="260" t="b">
        <f t="shared" si="3"/>
        <v>1</v>
      </c>
      <c r="P7" s="259">
        <f>IF(K7=0,0, VLOOKUP(B7,Main!$A:$H,7,0))</f>
        <v>139828.4</v>
      </c>
      <c r="Q7" s="260" t="str">
        <f t="shared" si="4"/>
        <v>FALSE</v>
      </c>
      <c r="R7" s="261" t="str">
        <f>iferror(VLOOKUP(B7,Main!A:L,12,0),"Not Positional")</f>
        <v>POS</v>
      </c>
      <c r="S7" s="263"/>
      <c r="T7" s="263"/>
      <c r="U7" s="263"/>
      <c r="V7" s="263"/>
      <c r="W7" s="42"/>
      <c r="X7" s="42"/>
      <c r="Y7" s="42"/>
      <c r="Z7" s="42"/>
      <c r="AA7" s="42"/>
      <c r="AB7" s="42"/>
      <c r="AC7" s="42"/>
      <c r="AD7" s="42"/>
    </row>
    <row r="8">
      <c r="A8" s="250">
        <v>46245.0</v>
      </c>
      <c r="B8" s="251" t="s">
        <v>128</v>
      </c>
      <c r="C8" s="252" t="s">
        <v>3246</v>
      </c>
      <c r="D8" s="252">
        <v>7.0</v>
      </c>
      <c r="E8" s="265"/>
      <c r="F8" s="265"/>
      <c r="G8" s="253"/>
      <c r="H8" s="265"/>
      <c r="I8" s="253"/>
      <c r="J8" s="255">
        <f t="shared" si="1"/>
        <v>0</v>
      </c>
      <c r="K8" s="256">
        <f t="shared" si="2"/>
        <v>0</v>
      </c>
      <c r="L8" s="257" t="s">
        <v>3225</v>
      </c>
      <c r="M8" s="258" t="s">
        <v>3212</v>
      </c>
      <c r="N8" s="259">
        <f>IF(J8=0,0, VLOOKUP(B8,Main!$A:$H,8,0))</f>
        <v>0</v>
      </c>
      <c r="O8" s="260" t="b">
        <f t="shared" si="3"/>
        <v>1</v>
      </c>
      <c r="P8" s="259">
        <f>IF(K8=0,0, VLOOKUP(B8,Main!$A:$H,7,0))</f>
        <v>0</v>
      </c>
      <c r="Q8" s="260" t="str">
        <f t="shared" si="4"/>
        <v>TRUE</v>
      </c>
      <c r="R8" s="261" t="str">
        <f>iferror(VLOOKUP(B8,Main!A:L,12,0),"Not Positional")</f>
        <v>Not Running</v>
      </c>
      <c r="S8" s="263"/>
      <c r="T8" s="263"/>
      <c r="U8" s="263"/>
      <c r="V8" s="263"/>
      <c r="W8" s="42"/>
      <c r="X8" s="42"/>
      <c r="Y8" s="42"/>
      <c r="Z8" s="42"/>
      <c r="AA8" s="42"/>
      <c r="AB8" s="42"/>
      <c r="AC8" s="42"/>
      <c r="AD8" s="42"/>
    </row>
    <row r="9">
      <c r="A9" s="250">
        <v>46245.0</v>
      </c>
      <c r="B9" s="251" t="s">
        <v>149</v>
      </c>
      <c r="C9" s="252" t="s">
        <v>3251</v>
      </c>
      <c r="D9" s="252">
        <v>7.0</v>
      </c>
      <c r="E9" s="253"/>
      <c r="F9" s="253"/>
      <c r="G9" s="253"/>
      <c r="H9" s="253"/>
      <c r="I9" s="253"/>
      <c r="J9" s="255">
        <f t="shared" si="1"/>
        <v>0</v>
      </c>
      <c r="K9" s="256">
        <f t="shared" si="2"/>
        <v>0</v>
      </c>
      <c r="L9" s="257" t="s">
        <v>3211</v>
      </c>
      <c r="M9" s="258" t="s">
        <v>3212</v>
      </c>
      <c r="N9" s="259">
        <f>IF(J9=0,0, VLOOKUP(B9,Main!$A:$H,8,0))</f>
        <v>0</v>
      </c>
      <c r="O9" s="260" t="b">
        <f t="shared" si="3"/>
        <v>1</v>
      </c>
      <c r="P9" s="259">
        <f>IF(K9=0,0, VLOOKUP(B9,Main!$A:$H,7,0))</f>
        <v>0</v>
      </c>
      <c r="Q9" s="260" t="str">
        <f t="shared" si="4"/>
        <v>TRUE</v>
      </c>
      <c r="R9" s="261" t="str">
        <f>iferror(VLOOKUP(B9,Main!A:L,12,0),"Not Positional")</f>
        <v>Not Running</v>
      </c>
      <c r="S9" s="263"/>
      <c r="T9" s="263"/>
      <c r="U9" s="263"/>
      <c r="V9" s="263"/>
      <c r="W9" s="42"/>
      <c r="X9" s="42"/>
      <c r="Y9" s="42"/>
      <c r="Z9" s="42"/>
      <c r="AA9" s="42"/>
      <c r="AB9" s="42"/>
      <c r="AC9" s="42"/>
      <c r="AD9" s="42"/>
    </row>
    <row r="10">
      <c r="A10" s="250">
        <v>46245.0</v>
      </c>
      <c r="B10" s="251" t="s">
        <v>909</v>
      </c>
      <c r="C10" s="252" t="s">
        <v>3259</v>
      </c>
      <c r="D10" s="252">
        <v>8.0</v>
      </c>
      <c r="E10" s="253"/>
      <c r="F10" s="253"/>
      <c r="G10" s="254">
        <v>2.0</v>
      </c>
      <c r="H10" s="253"/>
      <c r="I10" s="253"/>
      <c r="J10" s="255">
        <f t="shared" si="1"/>
        <v>2</v>
      </c>
      <c r="K10" s="256">
        <f t="shared" si="2"/>
        <v>1.4</v>
      </c>
      <c r="L10" s="257" t="s">
        <v>3261</v>
      </c>
      <c r="M10" s="258" t="s">
        <v>3212</v>
      </c>
      <c r="N10" s="259">
        <f>IF(J10=0,0, VLOOKUP(B10,Main!$A:$H,8,0))</f>
        <v>200000</v>
      </c>
      <c r="O10" s="260" t="b">
        <f t="shared" si="3"/>
        <v>1</v>
      </c>
      <c r="P10" s="259">
        <f>IF(K10=0,0, VLOOKUP(B10,Main!$A:$H,7,0))</f>
        <v>186579</v>
      </c>
      <c r="Q10" s="260" t="str">
        <f t="shared" si="4"/>
        <v>FALSE</v>
      </c>
      <c r="R10" s="261" t="str">
        <f>iferror(VLOOKUP(B10,Main!A:L,12,0),"Not Positional")</f>
        <v>POS</v>
      </c>
      <c r="S10" s="248"/>
      <c r="T10" s="270"/>
      <c r="U10" s="263"/>
      <c r="V10" s="263"/>
      <c r="W10" s="42"/>
      <c r="X10" s="42"/>
      <c r="Y10" s="42"/>
      <c r="Z10" s="42"/>
      <c r="AA10" s="42"/>
      <c r="AB10" s="42"/>
      <c r="AC10" s="42"/>
      <c r="AD10" s="42"/>
    </row>
    <row r="11">
      <c r="A11" s="250">
        <v>46245.0</v>
      </c>
      <c r="B11" s="251" t="s">
        <v>898</v>
      </c>
      <c r="C11" s="267" t="s">
        <v>3263</v>
      </c>
      <c r="D11" s="252">
        <v>8.0</v>
      </c>
      <c r="E11" s="254">
        <v>4.0</v>
      </c>
      <c r="F11" s="253"/>
      <c r="G11" s="253"/>
      <c r="H11" s="253"/>
      <c r="I11" s="253"/>
      <c r="J11" s="255">
        <f t="shared" si="1"/>
        <v>4</v>
      </c>
      <c r="K11" s="256">
        <f t="shared" si="2"/>
        <v>2.8</v>
      </c>
      <c r="L11" s="257" t="s">
        <v>3261</v>
      </c>
      <c r="M11" s="258" t="s">
        <v>3212</v>
      </c>
      <c r="N11" s="259">
        <f>IF(J11=0,0, VLOOKUP(B11,Main!$A:$H,8,0))</f>
        <v>400000</v>
      </c>
      <c r="O11" s="260" t="b">
        <f t="shared" si="3"/>
        <v>1</v>
      </c>
      <c r="P11" s="259">
        <f>IF(K11=0,0, VLOOKUP(B11,Main!$A:$H,7,0))</f>
        <v>374575</v>
      </c>
      <c r="Q11" s="260" t="str">
        <f t="shared" si="4"/>
        <v>FALSE</v>
      </c>
      <c r="R11" s="261" t="str">
        <f>iferror(VLOOKUP(B11,Main!A:L,12,0),"Not Positional")</f>
        <v>POS</v>
      </c>
      <c r="S11" s="248"/>
      <c r="T11" s="263"/>
      <c r="U11" s="263"/>
      <c r="V11" s="263"/>
      <c r="W11" s="42"/>
      <c r="X11" s="42"/>
      <c r="Y11" s="42"/>
      <c r="Z11" s="42"/>
      <c r="AA11" s="42"/>
      <c r="AB11" s="42"/>
      <c r="AC11" s="42"/>
      <c r="AD11" s="42"/>
    </row>
    <row r="12">
      <c r="A12" s="250">
        <v>46245.0</v>
      </c>
      <c r="B12" s="251" t="s">
        <v>681</v>
      </c>
      <c r="C12" s="252" t="s">
        <v>3269</v>
      </c>
      <c r="D12" s="252">
        <v>8.0</v>
      </c>
      <c r="E12" s="271"/>
      <c r="F12" s="254">
        <v>6.0</v>
      </c>
      <c r="G12" s="253"/>
      <c r="H12" s="253"/>
      <c r="I12" s="253"/>
      <c r="J12" s="255">
        <f t="shared" si="1"/>
        <v>6</v>
      </c>
      <c r="K12" s="256">
        <f t="shared" si="2"/>
        <v>4.2</v>
      </c>
      <c r="L12" s="257" t="s">
        <v>3211</v>
      </c>
      <c r="M12" s="258" t="s">
        <v>3212</v>
      </c>
      <c r="N12" s="259">
        <f>IF(J12=0,0, VLOOKUP(B12,Main!$A:$H,8,0))</f>
        <v>600000</v>
      </c>
      <c r="O12" s="260" t="b">
        <f t="shared" si="3"/>
        <v>1</v>
      </c>
      <c r="P12" s="259">
        <f>IF(K12=0,0, VLOOKUP(B12,Main!$A:$H,7,0))</f>
        <v>559713</v>
      </c>
      <c r="Q12" s="260" t="str">
        <f t="shared" si="4"/>
        <v>FALSE</v>
      </c>
      <c r="R12" s="261" t="str">
        <f>iferror(VLOOKUP(B12,Main!A:L,12,0),"Not Positional")</f>
        <v>POS</v>
      </c>
      <c r="S12" s="248"/>
      <c r="T12" s="263"/>
      <c r="U12" s="263"/>
      <c r="V12" s="263"/>
      <c r="W12" s="42"/>
      <c r="X12" s="42"/>
      <c r="Y12" s="42"/>
      <c r="Z12" s="42"/>
      <c r="AA12" s="42"/>
      <c r="AB12" s="42"/>
      <c r="AC12" s="42"/>
      <c r="AD12" s="42"/>
    </row>
    <row r="13">
      <c r="A13" s="250">
        <v>46245.0</v>
      </c>
      <c r="B13" s="251" t="s">
        <v>663</v>
      </c>
      <c r="C13" s="267" t="s">
        <v>3274</v>
      </c>
      <c r="D13" s="252">
        <v>8.0</v>
      </c>
      <c r="E13" s="253"/>
      <c r="F13" s="253"/>
      <c r="G13" s="253"/>
      <c r="H13" s="253"/>
      <c r="I13" s="254">
        <v>4.0</v>
      </c>
      <c r="J13" s="255">
        <f t="shared" si="1"/>
        <v>4</v>
      </c>
      <c r="K13" s="256">
        <f t="shared" si="2"/>
        <v>2.8</v>
      </c>
      <c r="L13" s="257" t="s">
        <v>3225</v>
      </c>
      <c r="M13" s="258" t="s">
        <v>3212</v>
      </c>
      <c r="N13" s="259">
        <f>IF(J13=0,0, VLOOKUP(B13,Main!$A:$H,8,0))</f>
        <v>400000</v>
      </c>
      <c r="O13" s="260" t="b">
        <f t="shared" si="3"/>
        <v>1</v>
      </c>
      <c r="P13" s="259">
        <f>IF(K13=0,0, VLOOKUP(B13,Main!$A:$H,7,0))</f>
        <v>373145</v>
      </c>
      <c r="Q13" s="260" t="str">
        <f t="shared" si="4"/>
        <v>FALSE</v>
      </c>
      <c r="R13" s="261" t="str">
        <f>iferror(VLOOKUP(B13,Main!A:L,12,0),"Not Positional")</f>
        <v>POS</v>
      </c>
      <c r="S13" s="248"/>
      <c r="T13" s="263"/>
      <c r="U13" s="263"/>
      <c r="V13" s="263"/>
      <c r="W13" s="42"/>
      <c r="X13" s="42"/>
      <c r="Y13" s="42"/>
      <c r="Z13" s="42"/>
      <c r="AA13" s="42"/>
      <c r="AB13" s="42"/>
      <c r="AC13" s="42"/>
      <c r="AD13" s="42"/>
    </row>
    <row r="14">
      <c r="A14" s="250">
        <v>46245.0</v>
      </c>
      <c r="B14" s="251" t="s">
        <v>2677</v>
      </c>
      <c r="C14" s="267" t="s">
        <v>3279</v>
      </c>
      <c r="D14" s="252">
        <v>8.0</v>
      </c>
      <c r="E14" s="253"/>
      <c r="F14" s="253"/>
      <c r="G14" s="272"/>
      <c r="H14" s="272"/>
      <c r="I14" s="272"/>
      <c r="J14" s="255">
        <f t="shared" si="1"/>
        <v>0</v>
      </c>
      <c r="K14" s="256">
        <f t="shared" si="2"/>
        <v>0</v>
      </c>
      <c r="L14" s="257" t="s">
        <v>3211</v>
      </c>
      <c r="M14" s="258" t="s">
        <v>3212</v>
      </c>
      <c r="N14" s="259">
        <f>IF(J14=0,0, VLOOKUP(B14,Main!$A:$H,8,0))</f>
        <v>0</v>
      </c>
      <c r="O14" s="260" t="b">
        <f t="shared" si="3"/>
        <v>1</v>
      </c>
      <c r="P14" s="259">
        <f>IF(K14=0,0, VLOOKUP(B14,Main!$A:$H,7,0))</f>
        <v>0</v>
      </c>
      <c r="Q14" s="260" t="str">
        <f t="shared" si="4"/>
        <v>TRUE</v>
      </c>
      <c r="R14" s="261" t="str">
        <f>iferror(VLOOKUP(B14,Main!A:L,12,0),"Not Positional")</f>
        <v>Not Running</v>
      </c>
      <c r="S14" s="248"/>
      <c r="T14" s="263"/>
      <c r="U14" s="263"/>
      <c r="V14" s="263"/>
      <c r="W14" s="42"/>
      <c r="X14" s="42"/>
      <c r="Y14" s="42"/>
      <c r="Z14" s="42"/>
      <c r="AA14" s="42"/>
      <c r="AB14" s="42"/>
      <c r="AC14" s="42"/>
      <c r="AD14" s="42"/>
    </row>
    <row r="15">
      <c r="A15" s="250">
        <v>46245.0</v>
      </c>
      <c r="B15" s="251" t="s">
        <v>129</v>
      </c>
      <c r="C15" s="267" t="s">
        <v>720</v>
      </c>
      <c r="D15" s="252">
        <v>15.0</v>
      </c>
      <c r="E15" s="272"/>
      <c r="F15" s="272"/>
      <c r="G15" s="273">
        <v>2.0</v>
      </c>
      <c r="H15" s="272"/>
      <c r="I15" s="272"/>
      <c r="J15" s="255">
        <f t="shared" si="1"/>
        <v>2</v>
      </c>
      <c r="K15" s="256">
        <f t="shared" si="2"/>
        <v>3.2</v>
      </c>
      <c r="L15" s="257" t="s">
        <v>3211</v>
      </c>
      <c r="M15" s="258" t="s">
        <v>3212</v>
      </c>
      <c r="N15" s="259">
        <f>IF(J15=0,0, VLOOKUP(B15,Main!$A:$H,8,0))</f>
        <v>200000</v>
      </c>
      <c r="O15" s="260" t="b">
        <f t="shared" si="3"/>
        <v>1</v>
      </c>
      <c r="P15" s="259">
        <f>IF(K15=0,0, VLOOKUP(B15,Main!$A:$H,7,0))</f>
        <v>200000</v>
      </c>
      <c r="Q15" s="260" t="str">
        <f t="shared" si="4"/>
        <v>FALSE</v>
      </c>
      <c r="R15" s="261" t="str">
        <f>iferror(VLOOKUP(B15,Main!A:L,12,0),"Not Positional")</f>
        <v>INT</v>
      </c>
      <c r="S15" s="263"/>
      <c r="T15" s="263"/>
      <c r="U15" s="263"/>
      <c r="V15" s="263"/>
      <c r="W15" s="42"/>
      <c r="X15" s="42"/>
      <c r="Y15" s="42"/>
      <c r="Z15" s="42"/>
      <c r="AA15" s="42"/>
      <c r="AB15" s="42"/>
      <c r="AC15" s="42"/>
      <c r="AD15" s="42"/>
    </row>
    <row r="16">
      <c r="A16" s="250">
        <v>46245.0</v>
      </c>
      <c r="B16" s="251" t="s">
        <v>146</v>
      </c>
      <c r="C16" s="267" t="s">
        <v>3283</v>
      </c>
      <c r="D16" s="252">
        <v>15.0</v>
      </c>
      <c r="E16" s="253"/>
      <c r="F16" s="265"/>
      <c r="G16" s="272"/>
      <c r="H16" s="272"/>
      <c r="I16" s="272"/>
      <c r="J16" s="255">
        <f t="shared" si="1"/>
        <v>0</v>
      </c>
      <c r="K16" s="256">
        <f t="shared" si="2"/>
        <v>0</v>
      </c>
      <c r="L16" s="257" t="s">
        <v>3225</v>
      </c>
      <c r="M16" s="258" t="s">
        <v>3212</v>
      </c>
      <c r="N16" s="259">
        <f>IF(J16=0,0, VLOOKUP(B16,Main!$A:$H,8,0))</f>
        <v>0</v>
      </c>
      <c r="O16" s="260" t="b">
        <f t="shared" si="3"/>
        <v>1</v>
      </c>
      <c r="P16" s="259">
        <f>IF(K16=0,0, VLOOKUP(B16,Main!$A:$H,7,0))</f>
        <v>0</v>
      </c>
      <c r="Q16" s="260" t="str">
        <f t="shared" si="4"/>
        <v>TRUE</v>
      </c>
      <c r="R16" s="261" t="str">
        <f>iferror(VLOOKUP(B16,Main!A:L,12,0),"Not Positional")</f>
        <v>Not Running</v>
      </c>
      <c r="S16" s="263"/>
      <c r="T16" s="263"/>
      <c r="U16" s="263"/>
      <c r="V16" s="263"/>
      <c r="W16" s="42"/>
      <c r="X16" s="42"/>
      <c r="Y16" s="42"/>
      <c r="Z16" s="42"/>
      <c r="AA16" s="42"/>
      <c r="AB16" s="42"/>
      <c r="AC16" s="42"/>
      <c r="AD16" s="42"/>
    </row>
    <row r="17">
      <c r="A17" s="250">
        <v>46245.0</v>
      </c>
      <c r="B17" s="251" t="s">
        <v>2373</v>
      </c>
      <c r="C17" s="267" t="s">
        <v>3285</v>
      </c>
      <c r="D17" s="252">
        <v>15.0</v>
      </c>
      <c r="E17" s="254">
        <v>2.0</v>
      </c>
      <c r="F17" s="254">
        <v>5.0</v>
      </c>
      <c r="G17" s="253"/>
      <c r="H17" s="274"/>
      <c r="I17" s="253"/>
      <c r="J17" s="255">
        <f t="shared" si="1"/>
        <v>7</v>
      </c>
      <c r="K17" s="256">
        <f t="shared" si="2"/>
        <v>7</v>
      </c>
      <c r="L17" s="257" t="s">
        <v>3211</v>
      </c>
      <c r="M17" s="258" t="s">
        <v>3212</v>
      </c>
      <c r="N17" s="259">
        <f>IF(J17=0,0, VLOOKUP(B17,Main!$A:$H,8,0))</f>
        <v>700000</v>
      </c>
      <c r="O17" s="260" t="b">
        <f t="shared" si="3"/>
        <v>1</v>
      </c>
      <c r="P17" s="259">
        <f>IF(K17=0,0, VLOOKUP(B17,Main!$A:$H,7,0))</f>
        <v>700000</v>
      </c>
      <c r="Q17" s="260" t="str">
        <f t="shared" si="4"/>
        <v>TRUE</v>
      </c>
      <c r="R17" s="261" t="str">
        <f>iferror(VLOOKUP(B17,Main!A:L,12,0),"Not Positional")</f>
        <v>INT</v>
      </c>
      <c r="S17" s="263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</row>
    <row r="18">
      <c r="A18" s="250">
        <v>46245.0</v>
      </c>
      <c r="B18" s="251" t="s">
        <v>668</v>
      </c>
      <c r="C18" s="267" t="s">
        <v>3290</v>
      </c>
      <c r="D18" s="252">
        <v>19.0</v>
      </c>
      <c r="E18" s="265"/>
      <c r="F18" s="265"/>
      <c r="G18" s="265"/>
      <c r="H18" s="265"/>
      <c r="I18" s="253"/>
      <c r="J18" s="255">
        <f t="shared" si="1"/>
        <v>0</v>
      </c>
      <c r="K18" s="256">
        <f t="shared" si="2"/>
        <v>0</v>
      </c>
      <c r="L18" s="257" t="s">
        <v>3225</v>
      </c>
      <c r="M18" s="258" t="s">
        <v>3212</v>
      </c>
      <c r="N18" s="259">
        <f>IF(J18=0,0, VLOOKUP(B18,Main!$A:$H,8,0))</f>
        <v>0</v>
      </c>
      <c r="O18" s="260" t="b">
        <f t="shared" si="3"/>
        <v>1</v>
      </c>
      <c r="P18" s="259">
        <f>IF(K18=0,0, VLOOKUP(B18,Main!$A:$H,7,0))</f>
        <v>0</v>
      </c>
      <c r="Q18" s="260" t="str">
        <f t="shared" si="4"/>
        <v>TRUE</v>
      </c>
      <c r="R18" s="261" t="str">
        <f>iferror(VLOOKUP(B18,Main!A:L,12,0),"Not Positional")</f>
        <v>Not Running</v>
      </c>
      <c r="S18" s="248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</row>
    <row r="19">
      <c r="A19" s="250">
        <v>46245.0</v>
      </c>
      <c r="B19" s="251" t="s">
        <v>653</v>
      </c>
      <c r="C19" s="267" t="s">
        <v>3293</v>
      </c>
      <c r="D19" s="252">
        <v>19.0</v>
      </c>
      <c r="E19" s="253"/>
      <c r="F19" s="254">
        <v>6.0</v>
      </c>
      <c r="G19" s="253"/>
      <c r="H19" s="274"/>
      <c r="I19" s="253"/>
      <c r="J19" s="255">
        <f t="shared" si="1"/>
        <v>6</v>
      </c>
      <c r="K19" s="256">
        <f t="shared" si="2"/>
        <v>60</v>
      </c>
      <c r="L19" s="257" t="s">
        <v>3211</v>
      </c>
      <c r="M19" s="258" t="s">
        <v>3212</v>
      </c>
      <c r="N19" s="259">
        <f>IF(J19=0,0, VLOOKUP(B19,Main!$A:$H,8,0))</f>
        <v>600000</v>
      </c>
      <c r="O19" s="260" t="b">
        <f t="shared" si="3"/>
        <v>1</v>
      </c>
      <c r="P19" s="259">
        <f>IF(K19=0,0, VLOOKUP(B19,Main!$A:$H,7,0))</f>
        <v>18000000</v>
      </c>
      <c r="Q19" s="260" t="str">
        <f t="shared" si="4"/>
        <v>FALSE</v>
      </c>
      <c r="R19" s="261" t="str">
        <f>iferror(VLOOKUP(B19,Main!A:L,12,0),"Not Positional")</f>
        <v>POS</v>
      </c>
      <c r="S19" s="248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</row>
    <row r="20">
      <c r="A20" s="250">
        <v>46245.0</v>
      </c>
      <c r="B20" s="251" t="s">
        <v>638</v>
      </c>
      <c r="C20" s="267" t="s">
        <v>3298</v>
      </c>
      <c r="D20" s="275">
        <v>19.0</v>
      </c>
      <c r="E20" s="269"/>
      <c r="F20" s="269"/>
      <c r="G20" s="269"/>
      <c r="H20" s="265"/>
      <c r="I20" s="254">
        <v>6.0</v>
      </c>
      <c r="J20" s="255">
        <f t="shared" si="1"/>
        <v>6</v>
      </c>
      <c r="K20" s="256">
        <f t="shared" si="2"/>
        <v>60</v>
      </c>
      <c r="L20" s="257" t="s">
        <v>3211</v>
      </c>
      <c r="M20" s="258" t="s">
        <v>3212</v>
      </c>
      <c r="N20" s="259">
        <f>IF(J20=0,0, VLOOKUP(B20,Main!$A:$H,8,0))</f>
        <v>600000</v>
      </c>
      <c r="O20" s="260" t="b">
        <f t="shared" si="3"/>
        <v>1</v>
      </c>
      <c r="P20" s="259">
        <f>IF(K20=0,0, VLOOKUP(B20,Main!$A:$H,7,0))</f>
        <v>18000000</v>
      </c>
      <c r="Q20" s="260" t="str">
        <f t="shared" si="4"/>
        <v>FALSE</v>
      </c>
      <c r="R20" s="261" t="str">
        <f>iferror(VLOOKUP(B20,Main!A:L,12,0),"Not Positional")</f>
        <v>POS</v>
      </c>
      <c r="S20" s="248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</row>
    <row r="21">
      <c r="A21" s="250">
        <v>46245.0</v>
      </c>
      <c r="B21" s="251" t="s">
        <v>1051</v>
      </c>
      <c r="C21" s="267" t="s">
        <v>3302</v>
      </c>
      <c r="D21" s="275">
        <v>19.0</v>
      </c>
      <c r="E21" s="269"/>
      <c r="F21" s="269"/>
      <c r="G21" s="269"/>
      <c r="H21" s="274"/>
      <c r="I21" s="253"/>
      <c r="J21" s="255">
        <f t="shared" si="1"/>
        <v>0</v>
      </c>
      <c r="K21" s="256">
        <f t="shared" si="2"/>
        <v>0</v>
      </c>
      <c r="L21" s="257" t="s">
        <v>3211</v>
      </c>
      <c r="M21" s="258" t="s">
        <v>3212</v>
      </c>
      <c r="N21" s="259">
        <f>IF(J21=0,0, VLOOKUP(B21,Main!$A:$H,8,0))</f>
        <v>0</v>
      </c>
      <c r="O21" s="260" t="b">
        <f t="shared" si="3"/>
        <v>1</v>
      </c>
      <c r="P21" s="259">
        <f>IF(K21=0,0, VLOOKUP(B21,Main!$A:$H,7,0))</f>
        <v>0</v>
      </c>
      <c r="Q21" s="260" t="str">
        <f t="shared" si="4"/>
        <v>TRUE</v>
      </c>
      <c r="R21" s="261" t="str">
        <f>iferror(VLOOKUP(B21,Main!A:L,12,0),"Not Positional")</f>
        <v>Not Running</v>
      </c>
      <c r="S21" s="248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</row>
    <row r="22">
      <c r="A22" s="250">
        <v>46245.0</v>
      </c>
      <c r="B22" s="251" t="s">
        <v>707</v>
      </c>
      <c r="C22" s="267" t="s">
        <v>3306</v>
      </c>
      <c r="D22" s="275">
        <v>19.0</v>
      </c>
      <c r="E22" s="276">
        <v>4.0</v>
      </c>
      <c r="F22" s="269"/>
      <c r="G22" s="269"/>
      <c r="H22" s="274"/>
      <c r="I22" s="265"/>
      <c r="J22" s="255">
        <f t="shared" si="1"/>
        <v>4</v>
      </c>
      <c r="K22" s="256">
        <f t="shared" si="2"/>
        <v>40</v>
      </c>
      <c r="L22" s="257" t="s">
        <v>3261</v>
      </c>
      <c r="M22" s="258" t="s">
        <v>3212</v>
      </c>
      <c r="N22" s="259">
        <f>IF(J22=0,0, VLOOKUP(B22,Main!$A:$H,8,0))</f>
        <v>400000</v>
      </c>
      <c r="O22" s="260" t="b">
        <f t="shared" si="3"/>
        <v>1</v>
      </c>
      <c r="P22" s="259">
        <f>IF(K22=0,0, VLOOKUP(B22,Main!$A:$H,7,0))</f>
        <v>12000000</v>
      </c>
      <c r="Q22" s="260" t="str">
        <f t="shared" si="4"/>
        <v>FALSE</v>
      </c>
      <c r="R22" s="261" t="str">
        <f>iferror(VLOOKUP(B22,Main!A:L,12,0),"Not Positional")</f>
        <v>POS</v>
      </c>
      <c r="S22" s="248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</row>
    <row r="23">
      <c r="A23" s="250">
        <v>46245.0</v>
      </c>
      <c r="B23" s="251" t="s">
        <v>2464</v>
      </c>
      <c r="C23" s="267" t="s">
        <v>3311</v>
      </c>
      <c r="D23" s="275">
        <v>25.0</v>
      </c>
      <c r="E23" s="276">
        <f t="shared" ref="E23:G23" si="5">1/3</f>
        <v>0.3333333333</v>
      </c>
      <c r="F23" s="276">
        <f t="shared" si="5"/>
        <v>0.3333333333</v>
      </c>
      <c r="G23" s="276">
        <f t="shared" si="5"/>
        <v>0.3333333333</v>
      </c>
      <c r="H23" s="265"/>
      <c r="I23" s="277">
        <v>1.0</v>
      </c>
      <c r="J23" s="255">
        <f t="shared" si="1"/>
        <v>2</v>
      </c>
      <c r="K23" s="256">
        <f t="shared" si="2"/>
        <v>2</v>
      </c>
      <c r="L23" s="257" t="s">
        <v>3211</v>
      </c>
      <c r="M23" s="258" t="s">
        <v>3212</v>
      </c>
      <c r="N23" s="259">
        <f>IF(J23=0,0, VLOOKUP(B23,Main!$A:$H,8,0))</f>
        <v>200000</v>
      </c>
      <c r="O23" s="260" t="b">
        <f t="shared" si="3"/>
        <v>1</v>
      </c>
      <c r="P23" s="259">
        <f>IF(K23=0,0, VLOOKUP(B23,Main!$A:$H,7,0))</f>
        <v>200000</v>
      </c>
      <c r="Q23" s="260" t="str">
        <f t="shared" si="4"/>
        <v>TRUE</v>
      </c>
      <c r="R23" s="261" t="str">
        <f>iferror(VLOOKUP(B23,Main!A:L,12,0),"Not Positional")</f>
        <v>INT</v>
      </c>
      <c r="S23" s="248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</row>
    <row r="24">
      <c r="A24" s="250">
        <v>46245.0</v>
      </c>
      <c r="B24" s="251" t="s">
        <v>2675</v>
      </c>
      <c r="C24" s="267" t="s">
        <v>2676</v>
      </c>
      <c r="D24" s="275">
        <v>27.0</v>
      </c>
      <c r="E24" s="276">
        <f t="shared" ref="E24:G24" si="6">2.5/3</f>
        <v>0.8333333333</v>
      </c>
      <c r="F24" s="276">
        <f t="shared" si="6"/>
        <v>0.8333333333</v>
      </c>
      <c r="G24" s="276">
        <f t="shared" si="6"/>
        <v>0.8333333333</v>
      </c>
      <c r="H24" s="265"/>
      <c r="I24" s="254">
        <v>2.5</v>
      </c>
      <c r="J24" s="255">
        <f t="shared" si="1"/>
        <v>5</v>
      </c>
      <c r="K24" s="256">
        <f t="shared" si="2"/>
        <v>50</v>
      </c>
      <c r="L24" s="257" t="s">
        <v>3211</v>
      </c>
      <c r="M24" s="258" t="s">
        <v>3212</v>
      </c>
      <c r="N24" s="259">
        <f>IF(J24=0,0, VLOOKUP(B24,Main!$A:$H,8,0))</f>
        <v>500000</v>
      </c>
      <c r="O24" s="260" t="b">
        <f t="shared" si="3"/>
        <v>1</v>
      </c>
      <c r="P24" s="259">
        <f>IF(K24=0,0, VLOOKUP(B24,Main!$A:$H,7,0))</f>
        <v>15000000</v>
      </c>
      <c r="Q24" s="260" t="str">
        <f t="shared" si="4"/>
        <v>FALSE</v>
      </c>
      <c r="R24" s="261" t="str">
        <f>iferror(VLOOKUP(B24,Main!A:L,12,0),"Not Positional")</f>
        <v>POS</v>
      </c>
      <c r="S24" s="248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</row>
    <row r="25">
      <c r="A25" s="250">
        <v>46245.0</v>
      </c>
      <c r="B25" s="251" t="s">
        <v>2640</v>
      </c>
      <c r="C25" s="267" t="s">
        <v>3319</v>
      </c>
      <c r="D25" s="275">
        <v>27.0</v>
      </c>
      <c r="E25" s="269"/>
      <c r="F25" s="269"/>
      <c r="G25" s="269"/>
      <c r="H25" s="265"/>
      <c r="I25" s="278">
        <v>5.0</v>
      </c>
      <c r="J25" s="255">
        <f t="shared" si="1"/>
        <v>5</v>
      </c>
      <c r="K25" s="256">
        <f t="shared" si="2"/>
        <v>50</v>
      </c>
      <c r="L25" s="257" t="s">
        <v>3225</v>
      </c>
      <c r="M25" s="258" t="s">
        <v>3212</v>
      </c>
      <c r="N25" s="259">
        <f>IF(J25=0,0, VLOOKUP(B25,Main!$A:$H,8,0))</f>
        <v>500000</v>
      </c>
      <c r="O25" s="260" t="b">
        <f t="shared" si="3"/>
        <v>1</v>
      </c>
      <c r="P25" s="259">
        <f>IF(K25=0,0, VLOOKUP(B25,Main!$A:$H,7,0))</f>
        <v>15000000</v>
      </c>
      <c r="Q25" s="260" t="str">
        <f t="shared" si="4"/>
        <v>FALSE</v>
      </c>
      <c r="R25" s="261" t="str">
        <f>iferror(VLOOKUP(B25,Main!A:L,12,0),"Not Positional")</f>
        <v>POS</v>
      </c>
      <c r="S25" s="248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</row>
    <row r="26">
      <c r="A26" s="250">
        <v>46245.0</v>
      </c>
      <c r="B26" s="279" t="s">
        <v>224</v>
      </c>
      <c r="C26" s="267" t="s">
        <v>3325</v>
      </c>
      <c r="D26" s="280">
        <v>1.0</v>
      </c>
      <c r="E26" s="269"/>
      <c r="F26" s="269"/>
      <c r="G26" s="269"/>
      <c r="H26" s="274"/>
      <c r="I26" s="281">
        <v>4.0</v>
      </c>
      <c r="J26" s="255">
        <f t="shared" si="1"/>
        <v>4</v>
      </c>
      <c r="K26" s="256">
        <f t="shared" si="2"/>
        <v>6.4</v>
      </c>
      <c r="L26" s="257" t="s">
        <v>3261</v>
      </c>
      <c r="M26" s="258" t="s">
        <v>3212</v>
      </c>
      <c r="N26" s="259">
        <f>IF(J26=0,0, VLOOKUP(B26,Main!$A:$H,8,0))</f>
        <v>400000</v>
      </c>
      <c r="O26" s="260" t="b">
        <f t="shared" si="3"/>
        <v>1</v>
      </c>
      <c r="P26" s="259">
        <f>IF(K26=0,0, VLOOKUP(B26,Main!$A:$H,7,0))</f>
        <v>526178</v>
      </c>
      <c r="Q26" s="260" t="str">
        <f t="shared" si="4"/>
        <v>FALSE</v>
      </c>
      <c r="R26" s="261" t="str">
        <f>iferror(VLOOKUP(B26,Main!A:L,12,0),"Not Positional")</f>
        <v>POS</v>
      </c>
      <c r="S26" s="263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</row>
    <row r="27">
      <c r="A27" s="250">
        <v>46245.0</v>
      </c>
      <c r="B27" s="279" t="s">
        <v>27</v>
      </c>
      <c r="C27" s="267" t="s">
        <v>3331</v>
      </c>
      <c r="D27" s="280">
        <v>15.0</v>
      </c>
      <c r="E27" s="269"/>
      <c r="F27" s="269"/>
      <c r="G27" s="269"/>
      <c r="H27" s="265"/>
      <c r="I27" s="281">
        <v>5.0</v>
      </c>
      <c r="J27" s="255">
        <f t="shared" si="1"/>
        <v>5</v>
      </c>
      <c r="K27" s="256">
        <f t="shared" si="2"/>
        <v>8</v>
      </c>
      <c r="L27" s="257" t="s">
        <v>3261</v>
      </c>
      <c r="M27" s="258" t="s">
        <v>3212</v>
      </c>
      <c r="N27" s="259">
        <f>IF(J27=0,0, VLOOKUP(B27,Main!$A:$H,8,0))</f>
        <v>500000</v>
      </c>
      <c r="O27" s="260" t="b">
        <f t="shared" si="3"/>
        <v>1</v>
      </c>
      <c r="P27" s="259" t="str">
        <f>IF(K27=0,0, VLOOKUP(B27,Main!$A:$H,7,0))</f>
        <v>500000</v>
      </c>
      <c r="Q27" s="260" t="str">
        <f t="shared" si="4"/>
        <v>FALSE</v>
      </c>
      <c r="R27" s="261" t="str">
        <f>iferror(VLOOKUP(B27,Main!A:L,12,0),"Not Positional")</f>
        <v>INT</v>
      </c>
      <c r="S27" s="263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</row>
    <row r="28">
      <c r="A28" s="250">
        <v>46245.0</v>
      </c>
      <c r="B28" s="279" t="s">
        <v>234</v>
      </c>
      <c r="C28" s="267" t="s">
        <v>3336</v>
      </c>
      <c r="D28" s="280">
        <v>7.0</v>
      </c>
      <c r="E28" s="269"/>
      <c r="F28" s="269"/>
      <c r="G28" s="269"/>
      <c r="H28" s="269"/>
      <c r="I28" s="281">
        <v>4.0</v>
      </c>
      <c r="J28" s="255">
        <f t="shared" si="1"/>
        <v>4</v>
      </c>
      <c r="K28" s="256">
        <f t="shared" si="2"/>
        <v>6.4</v>
      </c>
      <c r="L28" s="257" t="s">
        <v>3261</v>
      </c>
      <c r="M28" s="258" t="s">
        <v>3212</v>
      </c>
      <c r="N28" s="259">
        <f>IF(J28=0,0, VLOOKUP(B28,Main!$A:$H,8,0))</f>
        <v>400000</v>
      </c>
      <c r="O28" s="260" t="b">
        <f t="shared" si="3"/>
        <v>1</v>
      </c>
      <c r="P28" s="259">
        <f>IF(K28=0,0, VLOOKUP(B28,Main!$A:$H,7,0))</f>
        <v>438989</v>
      </c>
      <c r="Q28" s="260" t="str">
        <f t="shared" si="4"/>
        <v>FALSE</v>
      </c>
      <c r="R28" s="261" t="str">
        <f>iferror(VLOOKUP(B28,Main!A:L,12,0),"Not Positional")</f>
        <v>POS</v>
      </c>
      <c r="S28" s="263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</row>
    <row r="29">
      <c r="A29" s="250">
        <v>46245.0</v>
      </c>
      <c r="B29" s="282" t="s">
        <v>3339</v>
      </c>
      <c r="C29" s="283">
        <f>COUNTA(C2:C28)</f>
        <v>27</v>
      </c>
      <c r="D29" s="283" t="s">
        <v>100</v>
      </c>
      <c r="E29" s="284">
        <f t="shared" ref="E29:H29" si="7">sum(E2:E24)</f>
        <v>17.16666667</v>
      </c>
      <c r="F29" s="284">
        <f t="shared" si="7"/>
        <v>23.16666667</v>
      </c>
      <c r="G29" s="284">
        <f t="shared" si="7"/>
        <v>7.166666667</v>
      </c>
      <c r="H29" s="284">
        <f t="shared" si="7"/>
        <v>0</v>
      </c>
      <c r="I29" s="284">
        <f t="shared" ref="I29:J29" si="8">sum(I2:I28)</f>
        <v>31.5</v>
      </c>
      <c r="J29" s="284">
        <f t="shared" si="8"/>
        <v>79</v>
      </c>
      <c r="K29" s="283" t="str">
        <f>IF(SUM(E29:I29)=SUM(J2:J28),"TRUE","FALSE")</f>
        <v>TRUE</v>
      </c>
      <c r="L29" s="285" t="s">
        <v>100</v>
      </c>
      <c r="M29" s="283" t="s">
        <v>100</v>
      </c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</row>
    <row r="30">
      <c r="A30" s="286"/>
      <c r="B30" s="47"/>
      <c r="C30" s="286"/>
      <c r="D30" s="286"/>
      <c r="E30" s="47"/>
      <c r="F30" s="286"/>
      <c r="G30" s="286"/>
      <c r="H30" s="42"/>
      <c r="I30" s="42"/>
      <c r="J30" s="42"/>
      <c r="K30" s="42"/>
      <c r="L30" s="287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</row>
    <row r="31">
      <c r="A31" s="286"/>
      <c r="B31" s="47"/>
      <c r="C31" s="286"/>
      <c r="D31" s="286"/>
      <c r="E31" s="47"/>
      <c r="F31" s="286"/>
      <c r="G31" s="286"/>
      <c r="H31" s="42"/>
      <c r="I31" s="42"/>
      <c r="J31" s="42"/>
      <c r="K31" s="42"/>
      <c r="L31" s="287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</row>
    <row r="32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287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</row>
    <row r="33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287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</row>
    <row r="34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287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</row>
    <row r="3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287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</row>
    <row r="36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287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</row>
    <row r="37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287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</row>
    <row r="38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287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</row>
    <row r="39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287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</row>
    <row r="40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287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</row>
    <row r="4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287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</row>
    <row r="42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287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</row>
    <row r="43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287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</row>
    <row r="44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287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</row>
    <row r="45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287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</row>
    <row r="46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287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</row>
    <row r="47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287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</row>
    <row r="48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287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</row>
    <row r="49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287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</row>
    <row r="50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287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</row>
    <row r="51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287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</row>
    <row r="5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287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287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</row>
    <row r="54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287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287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287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287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</row>
    <row r="58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287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</row>
    <row r="59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287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</row>
    <row r="60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287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</row>
    <row r="61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287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</row>
    <row r="62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287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</row>
    <row r="63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287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</row>
    <row r="64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287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</row>
    <row r="65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287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</row>
    <row r="66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287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</row>
    <row r="67">
      <c r="A67" s="4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287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</row>
    <row r="68">
      <c r="A68" s="4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287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</row>
    <row r="69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287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</row>
    <row r="70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287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</row>
    <row r="71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287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</row>
    <row r="72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287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</row>
    <row r="73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287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</row>
    <row r="74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287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</row>
    <row r="75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287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</row>
    <row r="76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287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</row>
    <row r="77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287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</row>
    <row r="78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287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</row>
    <row r="79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287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</row>
    <row r="80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287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</row>
    <row r="81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287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</row>
    <row r="8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287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</row>
    <row r="83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287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</row>
    <row r="84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287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</row>
    <row r="85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287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</row>
    <row r="86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287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</row>
    <row r="87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287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</row>
    <row r="88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287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</row>
    <row r="89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287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</row>
    <row r="90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287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287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287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287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287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287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287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287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287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287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287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287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287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287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287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287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287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287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287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287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287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287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287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287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287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287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287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287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287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287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287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287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287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287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287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287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287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287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287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287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287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287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287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287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287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287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287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287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287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287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287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287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287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287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287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287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287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287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287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287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287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287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287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287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287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287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287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287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287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287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287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287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287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287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287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287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287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287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287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287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287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287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287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287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287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287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287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287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287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287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287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287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287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287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287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287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287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287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287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287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287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287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287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287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287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287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287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287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287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287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287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287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287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287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287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287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287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287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287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287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287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287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287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287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287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287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287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287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287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287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287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287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287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287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287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287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287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287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287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287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287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287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  <c r="AB231" s="42"/>
      <c r="AC231" s="42"/>
      <c r="AD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287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287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287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287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287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287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287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287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287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287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287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287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287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287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287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287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287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287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287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287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287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287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287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287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287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287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287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287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287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287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287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287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287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287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287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287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287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  <c r="AB268" s="42"/>
      <c r="AC268" s="42"/>
      <c r="AD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287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287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287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287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287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287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287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287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287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287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287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287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42"/>
      <c r="AD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287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287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287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287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287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287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287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287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287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287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  <c r="AB290" s="42"/>
      <c r="AC290" s="42"/>
      <c r="AD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287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287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287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287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287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287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287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287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287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287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287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287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287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287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287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287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287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287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  <c r="AB308" s="42"/>
      <c r="AC308" s="42"/>
      <c r="AD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287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287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287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287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287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287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287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287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287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287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287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287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287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287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287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287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287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287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287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287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287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  <c r="AB329" s="42"/>
      <c r="AC329" s="42"/>
      <c r="AD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287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287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287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287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287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287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287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287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287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287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  <c r="AB339" s="42"/>
      <c r="AC339" s="42"/>
      <c r="AD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287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287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287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287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287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287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287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  <c r="AB346" s="42"/>
      <c r="AC346" s="42"/>
      <c r="AD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287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  <c r="AB347" s="42"/>
      <c r="AC347" s="42"/>
      <c r="AD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287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  <c r="AB348" s="42"/>
      <c r="AC348" s="42"/>
      <c r="AD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287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287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  <c r="AC350" s="42"/>
      <c r="AD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287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  <c r="AB351" s="42"/>
      <c r="AC351" s="42"/>
      <c r="AD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287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287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  <c r="AB353" s="42"/>
      <c r="AC353" s="42"/>
      <c r="AD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287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  <c r="AB354" s="42"/>
      <c r="AC354" s="42"/>
      <c r="AD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287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287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  <c r="AB356" s="42"/>
      <c r="AC356" s="42"/>
      <c r="AD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287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287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  <c r="AB358" s="42"/>
      <c r="AC358" s="42"/>
      <c r="AD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287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  <c r="AB359" s="42"/>
      <c r="AC359" s="42"/>
      <c r="AD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287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287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  <c r="AB361" s="42"/>
      <c r="AC361" s="42"/>
      <c r="AD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287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  <c r="AB362" s="42"/>
      <c r="AC362" s="42"/>
      <c r="AD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287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287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  <c r="AB364" s="42"/>
      <c r="AC364" s="42"/>
      <c r="AD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287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  <c r="AC365" s="42"/>
      <c r="AD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287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  <c r="AB366" s="42"/>
      <c r="AC366" s="42"/>
      <c r="AD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287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287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  <c r="AB368" s="42"/>
      <c r="AC368" s="42"/>
      <c r="AD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287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287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  <c r="AB370" s="42"/>
      <c r="AC370" s="42"/>
      <c r="AD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287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287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287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  <c r="AC373" s="42"/>
      <c r="AD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287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  <c r="AB374" s="42"/>
      <c r="AC374" s="42"/>
      <c r="AD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287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  <c r="AB375" s="42"/>
      <c r="AC375" s="42"/>
      <c r="AD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287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  <c r="AB376" s="42"/>
      <c r="AC376" s="42"/>
      <c r="AD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287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287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  <c r="AB378" s="42"/>
      <c r="AC378" s="42"/>
      <c r="AD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287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287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  <c r="AB380" s="42"/>
      <c r="AC380" s="42"/>
      <c r="AD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287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  <c r="AB381" s="42"/>
      <c r="AC381" s="42"/>
      <c r="AD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287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287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  <c r="AB383" s="42"/>
      <c r="AC383" s="42"/>
      <c r="AD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287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  <c r="AB384" s="42"/>
      <c r="AC384" s="42"/>
      <c r="AD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287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287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  <c r="AB386" s="42"/>
      <c r="AC386" s="42"/>
      <c r="AD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287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  <c r="AB387" s="42"/>
      <c r="AC387" s="42"/>
      <c r="AD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287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287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  <c r="AB389" s="42"/>
      <c r="AC389" s="42"/>
      <c r="AD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287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  <c r="AB390" s="42"/>
      <c r="AC390" s="42"/>
      <c r="AD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287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  <c r="AB391" s="42"/>
      <c r="AC391" s="42"/>
      <c r="AD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287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  <c r="AB392" s="42"/>
      <c r="AC392" s="42"/>
      <c r="AD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287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  <c r="AB393" s="42"/>
      <c r="AC393" s="42"/>
      <c r="AD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287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287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  <c r="AB395" s="42"/>
      <c r="AC395" s="42"/>
      <c r="AD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287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  <c r="AB396" s="42"/>
      <c r="AC396" s="42"/>
      <c r="AD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287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287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  <c r="AB398" s="42"/>
      <c r="AC398" s="42"/>
      <c r="AD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287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  <c r="AB399" s="42"/>
      <c r="AC399" s="42"/>
      <c r="AD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287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  <c r="AB400" s="42"/>
      <c r="AC400" s="42"/>
      <c r="AD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287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287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  <c r="AB402" s="42"/>
      <c r="AC402" s="42"/>
      <c r="AD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287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  <c r="AB403" s="42"/>
      <c r="AC403" s="42"/>
      <c r="AD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287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287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  <c r="AB405" s="42"/>
      <c r="AC405" s="42"/>
      <c r="AD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287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  <c r="AB406" s="42"/>
      <c r="AC406" s="42"/>
      <c r="AD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287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287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  <c r="AB408" s="42"/>
      <c r="AC408" s="42"/>
      <c r="AD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287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  <c r="AB409" s="42"/>
      <c r="AC409" s="42"/>
      <c r="AD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287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287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  <c r="AB411" s="42"/>
      <c r="AC411" s="42"/>
      <c r="AD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287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  <c r="AB412" s="42"/>
      <c r="AC412" s="42"/>
      <c r="AD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287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287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  <c r="AB414" s="42"/>
      <c r="AC414" s="42"/>
      <c r="AD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287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  <c r="AB415" s="42"/>
      <c r="AC415" s="42"/>
      <c r="AD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287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  <c r="AB416" s="42"/>
      <c r="AC416" s="42"/>
      <c r="AD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287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  <c r="AB417" s="42"/>
      <c r="AC417" s="42"/>
      <c r="AD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287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287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  <c r="AB419" s="42"/>
      <c r="AC419" s="42"/>
      <c r="AD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287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  <c r="AB420" s="42"/>
      <c r="AC420" s="42"/>
      <c r="AD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287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  <c r="AB421" s="42"/>
      <c r="AC421" s="42"/>
      <c r="AD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287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  <c r="AB422" s="42"/>
      <c r="AC422" s="42"/>
      <c r="AD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287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  <c r="AB423" s="42"/>
      <c r="AC423" s="42"/>
      <c r="AD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287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  <c r="AB424" s="42"/>
      <c r="AC424" s="42"/>
      <c r="AD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287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  <c r="AB425" s="42"/>
      <c r="AC425" s="42"/>
      <c r="AD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287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287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  <c r="AB427" s="42"/>
      <c r="AC427" s="42"/>
      <c r="AD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287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  <c r="AB428" s="42"/>
      <c r="AC428" s="42"/>
      <c r="AD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287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  <c r="AB429" s="42"/>
      <c r="AC429" s="42"/>
      <c r="AD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287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  <c r="AB430" s="42"/>
      <c r="AC430" s="42"/>
      <c r="AD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287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287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  <c r="AB432" s="42"/>
      <c r="AC432" s="42"/>
      <c r="AD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287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  <c r="AB433" s="42"/>
      <c r="AC433" s="42"/>
      <c r="AD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287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  <c r="AB434" s="42"/>
      <c r="AC434" s="42"/>
      <c r="AD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287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287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  <c r="AB436" s="42"/>
      <c r="AC436" s="42"/>
      <c r="AD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287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287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  <c r="AB438" s="42"/>
      <c r="AC438" s="42"/>
      <c r="AD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287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  <c r="AB439" s="42"/>
      <c r="AC439" s="42"/>
      <c r="AD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287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  <c r="AB440" s="42"/>
      <c r="AC440" s="42"/>
      <c r="AD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287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287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  <c r="AB442" s="42"/>
      <c r="AC442" s="42"/>
      <c r="AD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287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  <c r="AB443" s="42"/>
      <c r="AC443" s="42"/>
      <c r="AD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287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  <c r="AB444" s="42"/>
      <c r="AC444" s="42"/>
      <c r="AD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287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287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  <c r="AB446" s="42"/>
      <c r="AC446" s="42"/>
      <c r="AD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287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  <c r="AB447" s="42"/>
      <c r="AC447" s="42"/>
      <c r="AD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287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  <c r="AB448" s="42"/>
      <c r="AC448" s="42"/>
      <c r="AD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287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  <c r="AB449" s="42"/>
      <c r="AC449" s="42"/>
      <c r="AD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287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  <c r="AB450" s="42"/>
      <c r="AC450" s="42"/>
      <c r="AD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287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287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  <c r="AB452" s="42"/>
      <c r="AC452" s="42"/>
      <c r="AD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287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  <c r="AB453" s="42"/>
      <c r="AC453" s="42"/>
      <c r="AD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287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  <c r="AB454" s="42"/>
      <c r="AC454" s="42"/>
      <c r="AD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287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287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  <c r="AB456" s="42"/>
      <c r="AC456" s="42"/>
      <c r="AD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287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  <c r="AB457" s="42"/>
      <c r="AC457" s="42"/>
      <c r="AD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287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  <c r="AB458" s="42"/>
      <c r="AC458" s="42"/>
      <c r="AD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287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  <c r="AB459" s="42"/>
      <c r="AC459" s="42"/>
      <c r="AD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287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287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  <c r="AB461" s="42"/>
      <c r="AC461" s="42"/>
      <c r="AD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287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  <c r="AB462" s="42"/>
      <c r="AC462" s="42"/>
      <c r="AD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287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  <c r="AB463" s="42"/>
      <c r="AC463" s="42"/>
      <c r="AD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287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287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  <c r="AB465" s="42"/>
      <c r="AC465" s="42"/>
      <c r="AD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287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287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  <c r="AB467" s="42"/>
      <c r="AC467" s="42"/>
      <c r="AD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287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  <c r="AB468" s="42"/>
      <c r="AC468" s="42"/>
      <c r="AD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287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  <c r="AB469" s="42"/>
      <c r="AC469" s="42"/>
      <c r="AD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287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287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  <c r="AB471" s="42"/>
      <c r="AC471" s="42"/>
      <c r="AD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287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  <c r="AB472" s="42"/>
      <c r="AC472" s="42"/>
      <c r="AD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287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287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  <c r="AB474" s="42"/>
      <c r="AC474" s="42"/>
      <c r="AD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287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  <c r="AC475" s="42"/>
      <c r="AD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287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  <c r="AB476" s="42"/>
      <c r="AC476" s="42"/>
      <c r="AD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287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287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  <c r="AB478" s="42"/>
      <c r="AC478" s="42"/>
      <c r="AD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287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287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  <c r="AB480" s="42"/>
      <c r="AC480" s="42"/>
      <c r="AD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287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287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  <c r="AB482" s="42"/>
      <c r="AC482" s="42"/>
      <c r="AD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287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  <c r="AB483" s="42"/>
      <c r="AC483" s="42"/>
      <c r="AD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287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287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  <c r="AB485" s="42"/>
      <c r="AC485" s="42"/>
      <c r="AD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287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  <c r="AB486" s="42"/>
      <c r="AC486" s="42"/>
      <c r="AD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287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287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  <c r="AB488" s="42"/>
      <c r="AC488" s="42"/>
      <c r="AD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287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287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  <c r="AB490" s="42"/>
      <c r="AC490" s="42"/>
      <c r="AD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287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  <c r="AB491" s="42"/>
      <c r="AC491" s="42"/>
      <c r="AD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287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  <c r="AB492" s="42"/>
      <c r="AC492" s="42"/>
      <c r="AD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287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  <c r="AB493" s="42"/>
      <c r="AC493" s="42"/>
      <c r="AD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287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287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  <c r="AB495" s="42"/>
      <c r="AC495" s="42"/>
      <c r="AD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287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  <c r="AB496" s="42"/>
      <c r="AC496" s="42"/>
      <c r="AD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287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  <c r="AB497" s="42"/>
      <c r="AC497" s="42"/>
      <c r="AD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287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287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  <c r="AB499" s="42"/>
      <c r="AC499" s="42"/>
      <c r="AD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287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287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  <c r="AB501" s="42"/>
      <c r="AC501" s="42"/>
      <c r="AD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287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287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  <c r="AB503" s="42"/>
      <c r="AC503" s="42"/>
      <c r="AD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287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  <c r="AB504" s="42"/>
      <c r="AC504" s="42"/>
      <c r="AD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287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  <c r="AB505" s="42"/>
      <c r="AC505" s="42"/>
      <c r="AD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287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  <c r="AB506" s="42"/>
      <c r="AC506" s="42"/>
      <c r="AD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287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287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  <c r="AB508" s="42"/>
      <c r="AC508" s="42"/>
      <c r="AD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287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  <c r="AB509" s="42"/>
      <c r="AC509" s="42"/>
      <c r="AD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287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287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  <c r="AB511" s="42"/>
      <c r="AC511" s="42"/>
      <c r="AD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287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  <c r="AB512" s="42"/>
      <c r="AC512" s="42"/>
      <c r="AD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287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  <c r="AB513" s="42"/>
      <c r="AC513" s="42"/>
      <c r="AD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287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287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  <c r="AB515" s="42"/>
      <c r="AC515" s="42"/>
      <c r="AD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287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  <c r="AB516" s="42"/>
      <c r="AC516" s="42"/>
      <c r="AD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287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  <c r="AB517" s="42"/>
      <c r="AC517" s="42"/>
      <c r="AD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287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287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  <c r="AB519" s="42"/>
      <c r="AC519" s="42"/>
      <c r="AD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287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  <c r="AB520" s="42"/>
      <c r="AC520" s="42"/>
      <c r="AD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287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  <c r="AB521" s="42"/>
      <c r="AC521" s="42"/>
      <c r="AD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287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287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  <c r="AB523" s="42"/>
      <c r="AC523" s="42"/>
      <c r="AD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287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  <c r="AB524" s="42"/>
      <c r="AC524" s="42"/>
      <c r="AD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287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287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  <c r="AB526" s="42"/>
      <c r="AC526" s="42"/>
      <c r="AD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287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  <c r="AB527" s="42"/>
      <c r="AC527" s="42"/>
      <c r="AD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287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287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  <c r="AB529" s="42"/>
      <c r="AC529" s="42"/>
      <c r="AD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287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287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  <c r="AB531" s="42"/>
      <c r="AC531" s="42"/>
      <c r="AD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287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  <c r="AB532" s="42"/>
      <c r="AC532" s="42"/>
      <c r="AD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287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  <c r="AB533" s="42"/>
      <c r="AC533" s="42"/>
      <c r="AD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287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287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  <c r="AB535" s="42"/>
      <c r="AC535" s="42"/>
      <c r="AD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287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  <c r="AB536" s="42"/>
      <c r="AC536" s="42"/>
      <c r="AD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287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287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  <c r="AB538" s="42"/>
      <c r="AC538" s="42"/>
      <c r="AD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287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  <c r="AB539" s="42"/>
      <c r="AC539" s="42"/>
      <c r="AD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287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  <c r="AB540" s="42"/>
      <c r="AC540" s="42"/>
      <c r="AD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287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  <c r="AB541" s="42"/>
      <c r="AC541" s="42"/>
      <c r="AD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287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  <c r="AB542" s="42"/>
      <c r="AC542" s="42"/>
      <c r="AD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287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  <c r="AB543" s="42"/>
      <c r="AC543" s="42"/>
      <c r="AD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287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  <c r="AB544" s="42"/>
      <c r="AC544" s="42"/>
      <c r="AD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287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  <c r="AB545" s="42"/>
      <c r="AC545" s="42"/>
      <c r="AD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287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  <c r="AB546" s="42"/>
      <c r="AC546" s="42"/>
      <c r="AD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287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  <c r="AB547" s="42"/>
      <c r="AC547" s="42"/>
      <c r="AD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287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  <c r="AB548" s="42"/>
      <c r="AC548" s="42"/>
      <c r="AD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287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  <c r="AB549" s="42"/>
      <c r="AC549" s="42"/>
      <c r="AD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287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  <c r="AB550" s="42"/>
      <c r="AC550" s="42"/>
      <c r="AD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287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  <c r="AB551" s="42"/>
      <c r="AC551" s="42"/>
      <c r="AD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287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  <c r="AB552" s="42"/>
      <c r="AC552" s="42"/>
      <c r="AD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287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  <c r="AB553" s="42"/>
      <c r="AC553" s="42"/>
      <c r="AD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287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  <c r="AB554" s="42"/>
      <c r="AC554" s="42"/>
      <c r="AD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287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  <c r="AB555" s="42"/>
      <c r="AC555" s="42"/>
      <c r="AD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287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  <c r="AB556" s="42"/>
      <c r="AC556" s="42"/>
      <c r="AD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287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  <c r="AB557" s="42"/>
      <c r="AC557" s="42"/>
      <c r="AD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287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  <c r="AB558" s="42"/>
      <c r="AC558" s="42"/>
      <c r="AD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287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  <c r="AB559" s="42"/>
      <c r="AC559" s="42"/>
      <c r="AD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287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  <c r="AB560" s="42"/>
      <c r="AC560" s="42"/>
      <c r="AD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287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  <c r="AB561" s="42"/>
      <c r="AC561" s="42"/>
      <c r="AD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287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  <c r="AB562" s="42"/>
      <c r="AC562" s="42"/>
      <c r="AD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287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  <c r="AB563" s="42"/>
      <c r="AC563" s="42"/>
      <c r="AD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287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  <c r="AB564" s="42"/>
      <c r="AC564" s="42"/>
      <c r="AD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287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  <c r="AB565" s="42"/>
      <c r="AC565" s="42"/>
      <c r="AD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287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  <c r="AB566" s="42"/>
      <c r="AC566" s="42"/>
      <c r="AD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287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  <c r="AB567" s="42"/>
      <c r="AC567" s="42"/>
      <c r="AD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287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  <c r="AB568" s="42"/>
      <c r="AC568" s="42"/>
      <c r="AD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287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  <c r="AB569" s="42"/>
      <c r="AC569" s="42"/>
      <c r="AD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287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  <c r="AB570" s="42"/>
      <c r="AC570" s="42"/>
      <c r="AD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287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  <c r="AB571" s="42"/>
      <c r="AC571" s="42"/>
      <c r="AD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287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  <c r="AB572" s="42"/>
      <c r="AC572" s="42"/>
      <c r="AD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287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  <c r="AB573" s="42"/>
      <c r="AC573" s="42"/>
      <c r="AD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287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  <c r="AB574" s="42"/>
      <c r="AC574" s="42"/>
      <c r="AD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287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  <c r="AB575" s="42"/>
      <c r="AC575" s="42"/>
      <c r="AD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287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  <c r="AB576" s="42"/>
      <c r="AC576" s="42"/>
      <c r="AD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287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  <c r="AB577" s="42"/>
      <c r="AC577" s="42"/>
      <c r="AD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287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  <c r="AB578" s="42"/>
      <c r="AC578" s="42"/>
      <c r="AD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287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  <c r="AB579" s="42"/>
      <c r="AC579" s="42"/>
      <c r="AD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287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  <c r="AB580" s="42"/>
      <c r="AC580" s="42"/>
      <c r="AD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287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  <c r="AB581" s="42"/>
      <c r="AC581" s="42"/>
      <c r="AD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287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  <c r="AB582" s="42"/>
      <c r="AC582" s="42"/>
      <c r="AD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287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  <c r="AB583" s="42"/>
      <c r="AC583" s="42"/>
      <c r="AD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287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  <c r="AB584" s="42"/>
      <c r="AC584" s="42"/>
      <c r="AD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287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  <c r="AB585" s="42"/>
      <c r="AC585" s="42"/>
      <c r="AD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287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287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  <c r="AB587" s="42"/>
      <c r="AC587" s="42"/>
      <c r="AD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287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  <c r="AB588" s="42"/>
      <c r="AC588" s="42"/>
      <c r="AD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287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  <c r="AB589" s="42"/>
      <c r="AC589" s="42"/>
      <c r="AD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287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287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  <c r="AB591" s="42"/>
      <c r="AC591" s="42"/>
      <c r="AD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287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  <c r="AB592" s="42"/>
      <c r="AC592" s="42"/>
      <c r="AD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287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  <c r="AB593" s="42"/>
      <c r="AC593" s="42"/>
      <c r="AD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287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  <c r="AB594" s="42"/>
      <c r="AC594" s="42"/>
      <c r="AD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287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  <c r="AB595" s="42"/>
      <c r="AC595" s="42"/>
      <c r="AD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287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  <c r="AB596" s="42"/>
      <c r="AC596" s="42"/>
      <c r="AD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287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  <c r="AB597" s="42"/>
      <c r="AC597" s="42"/>
      <c r="AD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287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  <c r="AB598" s="42"/>
      <c r="AC598" s="42"/>
      <c r="AD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287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  <c r="AB599" s="42"/>
      <c r="AC599" s="42"/>
      <c r="AD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287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  <c r="AB600" s="42"/>
      <c r="AC600" s="42"/>
      <c r="AD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287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  <c r="AB601" s="42"/>
      <c r="AC601" s="42"/>
      <c r="AD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287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  <c r="AB602" s="42"/>
      <c r="AC602" s="42"/>
      <c r="AD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287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  <c r="AB603" s="42"/>
      <c r="AC603" s="42"/>
      <c r="AD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287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  <c r="AB604" s="42"/>
      <c r="AC604" s="42"/>
      <c r="AD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287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  <c r="AB605" s="42"/>
      <c r="AC605" s="42"/>
      <c r="AD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287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  <c r="AB606" s="42"/>
      <c r="AC606" s="42"/>
      <c r="AD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287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  <c r="AB607" s="42"/>
      <c r="AC607" s="42"/>
      <c r="AD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287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  <c r="AB608" s="42"/>
      <c r="AC608" s="42"/>
      <c r="AD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287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  <c r="AB609" s="42"/>
      <c r="AC609" s="42"/>
      <c r="AD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287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  <c r="AB610" s="42"/>
      <c r="AC610" s="42"/>
      <c r="AD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287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  <c r="AB611" s="42"/>
      <c r="AC611" s="42"/>
      <c r="AD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287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  <c r="AB612" s="42"/>
      <c r="AC612" s="42"/>
      <c r="AD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287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  <c r="AB613" s="42"/>
      <c r="AC613" s="42"/>
      <c r="AD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287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  <c r="AB614" s="42"/>
      <c r="AC614" s="42"/>
      <c r="AD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287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  <c r="AB615" s="42"/>
      <c r="AC615" s="42"/>
      <c r="AD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287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  <c r="AB616" s="42"/>
      <c r="AC616" s="42"/>
      <c r="AD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287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  <c r="AB617" s="42"/>
      <c r="AC617" s="42"/>
      <c r="AD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287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  <c r="AB618" s="42"/>
      <c r="AC618" s="42"/>
      <c r="AD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287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  <c r="AB619" s="42"/>
      <c r="AC619" s="42"/>
      <c r="AD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287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  <c r="AB620" s="42"/>
      <c r="AC620" s="42"/>
      <c r="AD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287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  <c r="AB621" s="42"/>
      <c r="AC621" s="42"/>
      <c r="AD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287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  <c r="AB622" s="42"/>
      <c r="AC622" s="42"/>
      <c r="AD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287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  <c r="AB623" s="42"/>
      <c r="AC623" s="42"/>
      <c r="AD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287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  <c r="AB624" s="42"/>
      <c r="AC624" s="42"/>
      <c r="AD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287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  <c r="AB625" s="42"/>
      <c r="AC625" s="42"/>
      <c r="AD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287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  <c r="AB626" s="42"/>
      <c r="AC626" s="42"/>
      <c r="AD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287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  <c r="AB627" s="42"/>
      <c r="AC627" s="42"/>
      <c r="AD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287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  <c r="AB628" s="42"/>
      <c r="AC628" s="42"/>
      <c r="AD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287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  <c r="AB629" s="42"/>
      <c r="AC629" s="42"/>
      <c r="AD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287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  <c r="AB630" s="42"/>
      <c r="AC630" s="42"/>
      <c r="AD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287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  <c r="AB631" s="42"/>
      <c r="AC631" s="42"/>
      <c r="AD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287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  <c r="AB632" s="42"/>
      <c r="AC632" s="42"/>
      <c r="AD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287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  <c r="AB633" s="42"/>
      <c r="AC633" s="42"/>
      <c r="AD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287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  <c r="AB634" s="42"/>
      <c r="AC634" s="42"/>
      <c r="AD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287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  <c r="AB635" s="42"/>
      <c r="AC635" s="42"/>
      <c r="AD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287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  <c r="AB636" s="42"/>
      <c r="AC636" s="42"/>
      <c r="AD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287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  <c r="AB637" s="42"/>
      <c r="AC637" s="42"/>
      <c r="AD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287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  <c r="AB638" s="42"/>
      <c r="AC638" s="42"/>
      <c r="AD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287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  <c r="AB639" s="42"/>
      <c r="AC639" s="42"/>
      <c r="AD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287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  <c r="AB640" s="42"/>
      <c r="AC640" s="42"/>
      <c r="AD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287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  <c r="AB641" s="42"/>
      <c r="AC641" s="42"/>
      <c r="AD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287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  <c r="AB642" s="42"/>
      <c r="AC642" s="42"/>
      <c r="AD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287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  <c r="AB643" s="42"/>
      <c r="AC643" s="42"/>
      <c r="AD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287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  <c r="AB644" s="42"/>
      <c r="AC644" s="42"/>
      <c r="AD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287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  <c r="AB645" s="42"/>
      <c r="AC645" s="42"/>
      <c r="AD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287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  <c r="AB646" s="42"/>
      <c r="AC646" s="42"/>
      <c r="AD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287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  <c r="AB647" s="42"/>
      <c r="AC647" s="42"/>
      <c r="AD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287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  <c r="AB648" s="42"/>
      <c r="AC648" s="42"/>
      <c r="AD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287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  <c r="AB649" s="42"/>
      <c r="AC649" s="42"/>
      <c r="AD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287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  <c r="AB650" s="42"/>
      <c r="AC650" s="42"/>
      <c r="AD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287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  <c r="AB651" s="42"/>
      <c r="AC651" s="42"/>
      <c r="AD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287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  <c r="AB652" s="42"/>
      <c r="AC652" s="42"/>
      <c r="AD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287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  <c r="AB653" s="42"/>
      <c r="AC653" s="42"/>
      <c r="AD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287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  <c r="AB654" s="42"/>
      <c r="AC654" s="42"/>
      <c r="AD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287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  <c r="AB655" s="42"/>
      <c r="AC655" s="42"/>
      <c r="AD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287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  <c r="AB656" s="42"/>
      <c r="AC656" s="42"/>
      <c r="AD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287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  <c r="AB657" s="42"/>
      <c r="AC657" s="42"/>
      <c r="AD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287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  <c r="AB658" s="42"/>
      <c r="AC658" s="42"/>
      <c r="AD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287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  <c r="AB659" s="42"/>
      <c r="AC659" s="42"/>
      <c r="AD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287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  <c r="AB660" s="42"/>
      <c r="AC660" s="42"/>
      <c r="AD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287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  <c r="AB661" s="42"/>
      <c r="AC661" s="42"/>
      <c r="AD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287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  <c r="AB662" s="42"/>
      <c r="AC662" s="42"/>
      <c r="AD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287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  <c r="AB663" s="42"/>
      <c r="AC663" s="42"/>
      <c r="AD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287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  <c r="AB664" s="42"/>
      <c r="AC664" s="42"/>
      <c r="AD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287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  <c r="AB665" s="42"/>
      <c r="AC665" s="42"/>
      <c r="AD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287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  <c r="AB666" s="42"/>
      <c r="AC666" s="42"/>
      <c r="AD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287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  <c r="AB667" s="42"/>
      <c r="AC667" s="42"/>
      <c r="AD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287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  <c r="AB668" s="42"/>
      <c r="AC668" s="42"/>
      <c r="AD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287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  <c r="AB669" s="42"/>
      <c r="AC669" s="42"/>
      <c r="AD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287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  <c r="AB670" s="42"/>
      <c r="AC670" s="42"/>
      <c r="AD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287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  <c r="AB671" s="42"/>
      <c r="AC671" s="42"/>
      <c r="AD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287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  <c r="AB672" s="42"/>
      <c r="AC672" s="42"/>
      <c r="AD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287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  <c r="AB673" s="42"/>
      <c r="AC673" s="42"/>
      <c r="AD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287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  <c r="AB674" s="42"/>
      <c r="AC674" s="42"/>
      <c r="AD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287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  <c r="AB675" s="42"/>
      <c r="AC675" s="42"/>
      <c r="AD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287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  <c r="AB676" s="42"/>
      <c r="AC676" s="42"/>
      <c r="AD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287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  <c r="AB677" s="42"/>
      <c r="AC677" s="42"/>
      <c r="AD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287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  <c r="AB678" s="42"/>
      <c r="AC678" s="42"/>
      <c r="AD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287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  <c r="AB679" s="42"/>
      <c r="AC679" s="42"/>
      <c r="AD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287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  <c r="AB680" s="42"/>
      <c r="AC680" s="42"/>
      <c r="AD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287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  <c r="AB681" s="42"/>
      <c r="AC681" s="42"/>
      <c r="AD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287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  <c r="AB682" s="42"/>
      <c r="AC682" s="42"/>
      <c r="AD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287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  <c r="AB683" s="42"/>
      <c r="AC683" s="42"/>
      <c r="AD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287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  <c r="AB684" s="42"/>
      <c r="AC684" s="42"/>
      <c r="AD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287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  <c r="AB685" s="42"/>
      <c r="AC685" s="42"/>
      <c r="AD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287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  <c r="AB686" s="42"/>
      <c r="AC686" s="42"/>
      <c r="AD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287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  <c r="AB687" s="42"/>
      <c r="AC687" s="42"/>
      <c r="AD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287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  <c r="AB688" s="42"/>
      <c r="AC688" s="42"/>
      <c r="AD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287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  <c r="AB689" s="42"/>
      <c r="AC689" s="42"/>
      <c r="AD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287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  <c r="AB690" s="42"/>
      <c r="AC690" s="42"/>
      <c r="AD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287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  <c r="AB691" s="42"/>
      <c r="AC691" s="42"/>
      <c r="AD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287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  <c r="AB692" s="42"/>
      <c r="AC692" s="42"/>
      <c r="AD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287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  <c r="AB693" s="42"/>
      <c r="AC693" s="42"/>
      <c r="AD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287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  <c r="AB694" s="42"/>
      <c r="AC694" s="42"/>
      <c r="AD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287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  <c r="AB695" s="42"/>
      <c r="AC695" s="42"/>
      <c r="AD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287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  <c r="AB696" s="42"/>
      <c r="AC696" s="42"/>
      <c r="AD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287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  <c r="AB697" s="42"/>
      <c r="AC697" s="42"/>
      <c r="AD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287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  <c r="AB698" s="42"/>
      <c r="AC698" s="42"/>
      <c r="AD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287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  <c r="AB699" s="42"/>
      <c r="AC699" s="42"/>
      <c r="AD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287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  <c r="AB700" s="42"/>
      <c r="AC700" s="42"/>
      <c r="AD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287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  <c r="AB701" s="42"/>
      <c r="AC701" s="42"/>
      <c r="AD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287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  <c r="AB702" s="42"/>
      <c r="AC702" s="42"/>
      <c r="AD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287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  <c r="AB703" s="42"/>
      <c r="AC703" s="42"/>
      <c r="AD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287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  <c r="AB704" s="42"/>
      <c r="AC704" s="42"/>
      <c r="AD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287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  <c r="AB705" s="42"/>
      <c r="AC705" s="42"/>
      <c r="AD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287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  <c r="AB706" s="42"/>
      <c r="AC706" s="42"/>
      <c r="AD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287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  <c r="AB707" s="42"/>
      <c r="AC707" s="42"/>
      <c r="AD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287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  <c r="AB708" s="42"/>
      <c r="AC708" s="42"/>
      <c r="AD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287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  <c r="AB709" s="42"/>
      <c r="AC709" s="42"/>
      <c r="AD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287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  <c r="AB710" s="42"/>
      <c r="AC710" s="42"/>
      <c r="AD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287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  <c r="AB711" s="42"/>
      <c r="AC711" s="42"/>
      <c r="AD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287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  <c r="AB712" s="42"/>
      <c r="AC712" s="42"/>
      <c r="AD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287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  <c r="AB713" s="42"/>
      <c r="AC713" s="42"/>
      <c r="AD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287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  <c r="AB714" s="42"/>
      <c r="AC714" s="42"/>
      <c r="AD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287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  <c r="AB715" s="42"/>
      <c r="AC715" s="42"/>
      <c r="AD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287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  <c r="AB716" s="42"/>
      <c r="AC716" s="42"/>
      <c r="AD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287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  <c r="AB717" s="42"/>
      <c r="AC717" s="42"/>
      <c r="AD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287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  <c r="AB718" s="42"/>
      <c r="AC718" s="42"/>
      <c r="AD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287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  <c r="AB719" s="42"/>
      <c r="AC719" s="42"/>
      <c r="AD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287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  <c r="AB720" s="42"/>
      <c r="AC720" s="42"/>
      <c r="AD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287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  <c r="AB721" s="42"/>
      <c r="AC721" s="42"/>
      <c r="AD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287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  <c r="AB722" s="42"/>
      <c r="AC722" s="42"/>
      <c r="AD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287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  <c r="AB723" s="42"/>
      <c r="AC723" s="42"/>
      <c r="AD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287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  <c r="AB724" s="42"/>
      <c r="AC724" s="42"/>
      <c r="AD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287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  <c r="AB725" s="42"/>
      <c r="AC725" s="42"/>
      <c r="AD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287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  <c r="AB726" s="42"/>
      <c r="AC726" s="42"/>
      <c r="AD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287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  <c r="AB727" s="42"/>
      <c r="AC727" s="42"/>
      <c r="AD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287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  <c r="AB728" s="42"/>
      <c r="AC728" s="42"/>
      <c r="AD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287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  <c r="AB729" s="42"/>
      <c r="AC729" s="42"/>
      <c r="AD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287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  <c r="AB730" s="42"/>
      <c r="AC730" s="42"/>
      <c r="AD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287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  <c r="AB731" s="42"/>
      <c r="AC731" s="42"/>
      <c r="AD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287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  <c r="AB732" s="42"/>
      <c r="AC732" s="42"/>
      <c r="AD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287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  <c r="AB733" s="42"/>
      <c r="AC733" s="42"/>
      <c r="AD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287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  <c r="AB734" s="42"/>
      <c r="AC734" s="42"/>
      <c r="AD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287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  <c r="AB735" s="42"/>
      <c r="AC735" s="42"/>
      <c r="AD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287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  <c r="AB736" s="42"/>
      <c r="AC736" s="42"/>
      <c r="AD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287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  <c r="AB737" s="42"/>
      <c r="AC737" s="42"/>
      <c r="AD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287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  <c r="AB738" s="42"/>
      <c r="AC738" s="42"/>
      <c r="AD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287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  <c r="AB739" s="42"/>
      <c r="AC739" s="42"/>
      <c r="AD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287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  <c r="AB740" s="42"/>
      <c r="AC740" s="42"/>
      <c r="AD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287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  <c r="AB741" s="42"/>
      <c r="AC741" s="42"/>
      <c r="AD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287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  <c r="AB742" s="42"/>
      <c r="AC742" s="42"/>
      <c r="AD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287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  <c r="AB743" s="42"/>
      <c r="AC743" s="42"/>
      <c r="AD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287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  <c r="AB744" s="42"/>
      <c r="AC744" s="42"/>
      <c r="AD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287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  <c r="AB745" s="42"/>
      <c r="AC745" s="42"/>
      <c r="AD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287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  <c r="AB746" s="42"/>
      <c r="AC746" s="42"/>
      <c r="AD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287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  <c r="AB747" s="42"/>
      <c r="AC747" s="42"/>
      <c r="AD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287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  <c r="AB748" s="42"/>
      <c r="AC748" s="42"/>
      <c r="AD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287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  <c r="AB749" s="42"/>
      <c r="AC749" s="42"/>
      <c r="AD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287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  <c r="AB750" s="42"/>
      <c r="AC750" s="42"/>
      <c r="AD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287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  <c r="AB751" s="42"/>
      <c r="AC751" s="42"/>
      <c r="AD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287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  <c r="AB752" s="42"/>
      <c r="AC752" s="42"/>
      <c r="AD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287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  <c r="AB753" s="42"/>
      <c r="AC753" s="42"/>
      <c r="AD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287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  <c r="AB754" s="42"/>
      <c r="AC754" s="42"/>
      <c r="AD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287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  <c r="AB755" s="42"/>
      <c r="AC755" s="42"/>
      <c r="AD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287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  <c r="AB756" s="42"/>
      <c r="AC756" s="42"/>
      <c r="AD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287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  <c r="AB757" s="42"/>
      <c r="AC757" s="42"/>
      <c r="AD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287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  <c r="AB758" s="42"/>
      <c r="AC758" s="42"/>
      <c r="AD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287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  <c r="AB759" s="42"/>
      <c r="AC759" s="42"/>
      <c r="AD759" s="42"/>
    </row>
    <row r="760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287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  <c r="AB760" s="42"/>
      <c r="AC760" s="42"/>
      <c r="AD760" s="42"/>
    </row>
    <row r="76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287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  <c r="AB761" s="42"/>
      <c r="AC761" s="42"/>
      <c r="AD761" s="42"/>
    </row>
    <row r="762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287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  <c r="AB762" s="42"/>
      <c r="AC762" s="42"/>
      <c r="AD762" s="42"/>
    </row>
    <row r="763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287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  <c r="AB763" s="42"/>
      <c r="AC763" s="42"/>
      <c r="AD763" s="42"/>
    </row>
    <row r="764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287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  <c r="AB764" s="42"/>
      <c r="AC764" s="42"/>
      <c r="AD764" s="42"/>
    </row>
    <row r="765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287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  <c r="AB765" s="42"/>
      <c r="AC765" s="42"/>
      <c r="AD765" s="42"/>
    </row>
    <row r="766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287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  <c r="AB766" s="42"/>
      <c r="AC766" s="42"/>
      <c r="AD766" s="42"/>
    </row>
    <row r="767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287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  <c r="AB767" s="42"/>
      <c r="AC767" s="42"/>
      <c r="AD767" s="42"/>
    </row>
    <row r="768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287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  <c r="AB768" s="42"/>
      <c r="AC768" s="42"/>
      <c r="AD768" s="42"/>
    </row>
    <row r="769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287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  <c r="AB769" s="42"/>
      <c r="AC769" s="42"/>
      <c r="AD769" s="42"/>
    </row>
    <row r="770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287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  <c r="AB770" s="42"/>
      <c r="AC770" s="42"/>
      <c r="AD770" s="42"/>
    </row>
    <row r="77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287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  <c r="AB771" s="42"/>
      <c r="AC771" s="42"/>
      <c r="AD771" s="42"/>
    </row>
    <row r="772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287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  <c r="AB772" s="42"/>
      <c r="AC772" s="42"/>
      <c r="AD772" s="42"/>
    </row>
    <row r="773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287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  <c r="AB773" s="42"/>
      <c r="AC773" s="42"/>
      <c r="AD773" s="42"/>
    </row>
    <row r="774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287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  <c r="AB774" s="42"/>
      <c r="AC774" s="42"/>
      <c r="AD774" s="42"/>
    </row>
    <row r="775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287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  <c r="AB775" s="42"/>
      <c r="AC775" s="42"/>
      <c r="AD775" s="42"/>
    </row>
    <row r="776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287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  <c r="AB776" s="42"/>
      <c r="AC776" s="42"/>
      <c r="AD776" s="42"/>
    </row>
    <row r="777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287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  <c r="AB777" s="42"/>
      <c r="AC777" s="42"/>
      <c r="AD777" s="42"/>
    </row>
    <row r="778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287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  <c r="AB778" s="42"/>
      <c r="AC778" s="42"/>
      <c r="AD778" s="42"/>
    </row>
    <row r="779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287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  <c r="AB779" s="42"/>
      <c r="AC779" s="42"/>
      <c r="AD779" s="42"/>
    </row>
    <row r="780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287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  <c r="AB780" s="42"/>
      <c r="AC780" s="42"/>
      <c r="AD780" s="42"/>
    </row>
    <row r="78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287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  <c r="AB781" s="42"/>
      <c r="AC781" s="42"/>
      <c r="AD781" s="42"/>
    </row>
    <row r="782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287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  <c r="AB782" s="42"/>
      <c r="AC782" s="42"/>
      <c r="AD782" s="42"/>
    </row>
    <row r="783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287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  <c r="AB783" s="42"/>
      <c r="AC783" s="42"/>
      <c r="AD783" s="42"/>
    </row>
    <row r="784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287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  <c r="AC784" s="42"/>
      <c r="AD784" s="42"/>
    </row>
    <row r="785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287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  <c r="AB785" s="42"/>
      <c r="AC785" s="42"/>
      <c r="AD785" s="42"/>
    </row>
    <row r="786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287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  <c r="AB786" s="42"/>
      <c r="AC786" s="42"/>
      <c r="AD786" s="42"/>
    </row>
    <row r="787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287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  <c r="AB787" s="42"/>
      <c r="AC787" s="42"/>
      <c r="AD787" s="42"/>
    </row>
    <row r="788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287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  <c r="AB788" s="42"/>
      <c r="AC788" s="42"/>
      <c r="AD788" s="42"/>
    </row>
    <row r="789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287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  <c r="AB789" s="42"/>
      <c r="AC789" s="42"/>
      <c r="AD789" s="42"/>
    </row>
    <row r="790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287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  <c r="AB790" s="42"/>
      <c r="AC790" s="42"/>
      <c r="AD790" s="42"/>
    </row>
    <row r="79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287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  <c r="AB791" s="42"/>
      <c r="AC791" s="42"/>
      <c r="AD791" s="42"/>
    </row>
    <row r="792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287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  <c r="AB792" s="42"/>
      <c r="AC792" s="42"/>
      <c r="AD792" s="42"/>
    </row>
    <row r="793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287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  <c r="AB793" s="42"/>
      <c r="AC793" s="42"/>
      <c r="AD793" s="42"/>
    </row>
    <row r="794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287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  <c r="AB794" s="42"/>
      <c r="AC794" s="42"/>
      <c r="AD794" s="42"/>
    </row>
    <row r="795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287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  <c r="AB795" s="42"/>
      <c r="AC795" s="42"/>
      <c r="AD795" s="42"/>
    </row>
    <row r="796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287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</row>
    <row r="797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287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</row>
    <row r="798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287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  <c r="AB798" s="42"/>
      <c r="AC798" s="42"/>
      <c r="AD798" s="42"/>
    </row>
    <row r="799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287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  <c r="AB799" s="42"/>
      <c r="AC799" s="42"/>
      <c r="AD799" s="42"/>
    </row>
    <row r="800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287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  <c r="AB800" s="42"/>
      <c r="AC800" s="42"/>
      <c r="AD800" s="42"/>
    </row>
    <row r="80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287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  <c r="AB801" s="42"/>
      <c r="AC801" s="42"/>
      <c r="AD801" s="42"/>
    </row>
    <row r="802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287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  <c r="AB802" s="42"/>
      <c r="AC802" s="42"/>
      <c r="AD802" s="42"/>
    </row>
    <row r="803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287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</row>
    <row r="804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287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</row>
    <row r="805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287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  <c r="AB805" s="42"/>
      <c r="AC805" s="42"/>
      <c r="AD805" s="42"/>
    </row>
    <row r="806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287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  <c r="AB806" s="42"/>
      <c r="AC806" s="42"/>
      <c r="AD806" s="42"/>
    </row>
    <row r="807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287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  <c r="AB807" s="42"/>
      <c r="AC807" s="42"/>
      <c r="AD807" s="42"/>
    </row>
    <row r="808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287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  <c r="AB808" s="42"/>
      <c r="AC808" s="42"/>
      <c r="AD808" s="42"/>
    </row>
    <row r="809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287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  <c r="AB809" s="42"/>
      <c r="AC809" s="42"/>
      <c r="AD809" s="42"/>
    </row>
    <row r="810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287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  <c r="AB810" s="42"/>
      <c r="AC810" s="42"/>
      <c r="AD810" s="42"/>
    </row>
    <row r="81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287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  <c r="AB811" s="42"/>
      <c r="AC811" s="42"/>
      <c r="AD811" s="42"/>
    </row>
    <row r="812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287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  <c r="AB812" s="42"/>
      <c r="AC812" s="42"/>
      <c r="AD812" s="42"/>
    </row>
    <row r="813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287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  <c r="AB813" s="42"/>
      <c r="AC813" s="42"/>
      <c r="AD813" s="42"/>
    </row>
    <row r="814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287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  <c r="AB814" s="42"/>
      <c r="AC814" s="42"/>
      <c r="AD814" s="42"/>
    </row>
    <row r="815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287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  <c r="AB815" s="42"/>
      <c r="AC815" s="42"/>
      <c r="AD815" s="42"/>
    </row>
    <row r="816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287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  <c r="AB816" s="42"/>
      <c r="AC816" s="42"/>
      <c r="AD816" s="42"/>
    </row>
    <row r="817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287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  <c r="AB817" s="42"/>
      <c r="AC817" s="42"/>
      <c r="AD817" s="42"/>
    </row>
    <row r="818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287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  <c r="AB818" s="42"/>
      <c r="AC818" s="42"/>
      <c r="AD818" s="42"/>
    </row>
    <row r="819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287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  <c r="AB819" s="42"/>
      <c r="AC819" s="42"/>
      <c r="AD819" s="42"/>
    </row>
    <row r="820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287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  <c r="AB820" s="42"/>
      <c r="AC820" s="42"/>
      <c r="AD820" s="42"/>
    </row>
    <row r="82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287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  <c r="AB821" s="42"/>
      <c r="AC821" s="42"/>
      <c r="AD821" s="42"/>
    </row>
    <row r="822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287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  <c r="AB822" s="42"/>
      <c r="AC822" s="42"/>
      <c r="AD822" s="42"/>
    </row>
    <row r="823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287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  <c r="AB823" s="42"/>
      <c r="AC823" s="42"/>
      <c r="AD823" s="42"/>
    </row>
    <row r="824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287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  <c r="AB824" s="42"/>
      <c r="AC824" s="42"/>
      <c r="AD824" s="42"/>
    </row>
    <row r="825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287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  <c r="AB825" s="42"/>
      <c r="AC825" s="42"/>
      <c r="AD825" s="42"/>
    </row>
    <row r="826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287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  <c r="AB826" s="42"/>
      <c r="AC826" s="42"/>
      <c r="AD826" s="42"/>
    </row>
    <row r="827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287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  <c r="AB827" s="42"/>
      <c r="AC827" s="42"/>
      <c r="AD827" s="42"/>
    </row>
    <row r="828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287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  <c r="AB828" s="42"/>
      <c r="AC828" s="42"/>
      <c r="AD828" s="42"/>
    </row>
    <row r="829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287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  <c r="AB829" s="42"/>
      <c r="AC829" s="42"/>
      <c r="AD829" s="42"/>
    </row>
    <row r="830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287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  <c r="AB830" s="42"/>
      <c r="AC830" s="42"/>
      <c r="AD830" s="42"/>
    </row>
    <row r="83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287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  <c r="AB831" s="42"/>
      <c r="AC831" s="42"/>
      <c r="AD831" s="42"/>
    </row>
    <row r="832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287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  <c r="AB832" s="42"/>
      <c r="AC832" s="42"/>
      <c r="AD832" s="42"/>
    </row>
    <row r="833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287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  <c r="AB833" s="42"/>
      <c r="AC833" s="42"/>
      <c r="AD833" s="42"/>
    </row>
    <row r="834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287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  <c r="AB834" s="42"/>
      <c r="AC834" s="42"/>
      <c r="AD834" s="42"/>
    </row>
    <row r="835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287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  <c r="AB835" s="42"/>
      <c r="AC835" s="42"/>
      <c r="AD835" s="42"/>
    </row>
    <row r="836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287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  <c r="AB836" s="42"/>
      <c r="AC836" s="42"/>
      <c r="AD836" s="42"/>
    </row>
    <row r="837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287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  <c r="AB837" s="42"/>
      <c r="AC837" s="42"/>
      <c r="AD837" s="42"/>
    </row>
    <row r="838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287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  <c r="AB838" s="42"/>
      <c r="AC838" s="42"/>
      <c r="AD838" s="42"/>
    </row>
    <row r="839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287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  <c r="AB839" s="42"/>
      <c r="AC839" s="42"/>
      <c r="AD839" s="42"/>
    </row>
    <row r="840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287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  <c r="AB840" s="42"/>
      <c r="AC840" s="42"/>
      <c r="AD840" s="42"/>
    </row>
    <row r="84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287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  <c r="AB841" s="42"/>
      <c r="AC841" s="42"/>
      <c r="AD841" s="42"/>
    </row>
    <row r="842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287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  <c r="AB842" s="42"/>
      <c r="AC842" s="42"/>
      <c r="AD842" s="42"/>
    </row>
    <row r="843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287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  <c r="AB843" s="42"/>
      <c r="AC843" s="42"/>
      <c r="AD843" s="42"/>
    </row>
    <row r="844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287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  <c r="AB844" s="42"/>
      <c r="AC844" s="42"/>
      <c r="AD844" s="42"/>
    </row>
    <row r="845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287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  <c r="AB845" s="42"/>
      <c r="AC845" s="42"/>
      <c r="AD845" s="42"/>
    </row>
    <row r="846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287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  <c r="AB846" s="42"/>
      <c r="AC846" s="42"/>
      <c r="AD846" s="42"/>
    </row>
    <row r="847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287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  <c r="AB847" s="42"/>
      <c r="AC847" s="42"/>
      <c r="AD847" s="42"/>
    </row>
    <row r="848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287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  <c r="AB848" s="42"/>
      <c r="AC848" s="42"/>
      <c r="AD848" s="42"/>
    </row>
    <row r="849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287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  <c r="AB849" s="42"/>
      <c r="AC849" s="42"/>
      <c r="AD849" s="42"/>
    </row>
    <row r="850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287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  <c r="AB850" s="42"/>
      <c r="AC850" s="42"/>
      <c r="AD850" s="42"/>
    </row>
    <row r="85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287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  <c r="AB851" s="42"/>
      <c r="AC851" s="42"/>
      <c r="AD851" s="42"/>
    </row>
    <row r="852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287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  <c r="AB852" s="42"/>
      <c r="AC852" s="42"/>
      <c r="AD852" s="42"/>
    </row>
    <row r="853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287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  <c r="AB853" s="42"/>
      <c r="AC853" s="42"/>
      <c r="AD853" s="42"/>
    </row>
    <row r="854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287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  <c r="AB854" s="42"/>
      <c r="AC854" s="42"/>
      <c r="AD854" s="42"/>
    </row>
    <row r="855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287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  <c r="AB855" s="42"/>
      <c r="AC855" s="42"/>
      <c r="AD855" s="42"/>
    </row>
    <row r="856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287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  <c r="AB856" s="42"/>
      <c r="AC856" s="42"/>
      <c r="AD856" s="42"/>
    </row>
    <row r="857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287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  <c r="AB857" s="42"/>
      <c r="AC857" s="42"/>
      <c r="AD857" s="42"/>
    </row>
    <row r="858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287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  <c r="AB858" s="42"/>
      <c r="AC858" s="42"/>
      <c r="AD858" s="42"/>
    </row>
    <row r="859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287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  <c r="AB859" s="42"/>
      <c r="AC859" s="42"/>
      <c r="AD859" s="42"/>
    </row>
    <row r="860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287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  <c r="AB860" s="42"/>
      <c r="AC860" s="42"/>
      <c r="AD860" s="42"/>
    </row>
    <row r="86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287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  <c r="AB861" s="42"/>
      <c r="AC861" s="42"/>
      <c r="AD861" s="42"/>
    </row>
    <row r="862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287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  <c r="AB862" s="42"/>
      <c r="AC862" s="42"/>
      <c r="AD862" s="42"/>
    </row>
    <row r="863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287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  <c r="AB863" s="42"/>
      <c r="AC863" s="42"/>
      <c r="AD863" s="42"/>
    </row>
    <row r="864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287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  <c r="AB864" s="42"/>
      <c r="AC864" s="42"/>
      <c r="AD864" s="42"/>
    </row>
    <row r="865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287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  <c r="AB865" s="42"/>
      <c r="AC865" s="42"/>
      <c r="AD865" s="42"/>
    </row>
    <row r="866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287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  <c r="AB866" s="42"/>
      <c r="AC866" s="42"/>
      <c r="AD866" s="42"/>
    </row>
    <row r="867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287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  <c r="AB867" s="42"/>
      <c r="AC867" s="42"/>
      <c r="AD867" s="42"/>
    </row>
    <row r="868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287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  <c r="AB868" s="42"/>
      <c r="AC868" s="42"/>
      <c r="AD868" s="42"/>
    </row>
    <row r="869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287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  <c r="AB869" s="42"/>
      <c r="AC869" s="42"/>
      <c r="AD869" s="42"/>
    </row>
    <row r="870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287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  <c r="AB870" s="42"/>
      <c r="AC870" s="42"/>
      <c r="AD870" s="42"/>
    </row>
    <row r="87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287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  <c r="AB871" s="42"/>
      <c r="AC871" s="42"/>
      <c r="AD871" s="42"/>
    </row>
    <row r="872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287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  <c r="AB872" s="42"/>
      <c r="AC872" s="42"/>
      <c r="AD872" s="42"/>
    </row>
    <row r="873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287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  <c r="AB873" s="42"/>
      <c r="AC873" s="42"/>
      <c r="AD873" s="42"/>
    </row>
    <row r="874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287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  <c r="AB874" s="42"/>
      <c r="AC874" s="42"/>
      <c r="AD874" s="42"/>
    </row>
    <row r="875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287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  <c r="AB875" s="42"/>
      <c r="AC875" s="42"/>
      <c r="AD875" s="42"/>
    </row>
    <row r="876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287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  <c r="AB876" s="42"/>
      <c r="AC876" s="42"/>
      <c r="AD876" s="42"/>
    </row>
    <row r="877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287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  <c r="AB877" s="42"/>
      <c r="AC877" s="42"/>
      <c r="AD877" s="42"/>
    </row>
    <row r="878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287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  <c r="AB878" s="42"/>
      <c r="AC878" s="42"/>
      <c r="AD878" s="42"/>
    </row>
    <row r="879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287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  <c r="AB879" s="42"/>
      <c r="AC879" s="42"/>
      <c r="AD879" s="42"/>
    </row>
    <row r="880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287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  <c r="AB880" s="42"/>
      <c r="AC880" s="42"/>
      <c r="AD880" s="42"/>
    </row>
    <row r="88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287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  <c r="AB881" s="42"/>
      <c r="AC881" s="42"/>
      <c r="AD881" s="42"/>
    </row>
    <row r="882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287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  <c r="AB882" s="42"/>
      <c r="AC882" s="42"/>
      <c r="AD882" s="42"/>
    </row>
    <row r="883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287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  <c r="AB883" s="42"/>
      <c r="AC883" s="42"/>
      <c r="AD883" s="42"/>
    </row>
    <row r="884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287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  <c r="AB884" s="42"/>
      <c r="AC884" s="42"/>
      <c r="AD884" s="42"/>
    </row>
    <row r="885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287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  <c r="AB885" s="42"/>
      <c r="AC885" s="42"/>
      <c r="AD885" s="42"/>
    </row>
    <row r="886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287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  <c r="AB886" s="42"/>
      <c r="AC886" s="42"/>
      <c r="AD886" s="42"/>
    </row>
    <row r="887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287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  <c r="AB887" s="42"/>
      <c r="AC887" s="42"/>
      <c r="AD887" s="42"/>
    </row>
    <row r="888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287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  <c r="AB888" s="42"/>
      <c r="AC888" s="42"/>
      <c r="AD888" s="42"/>
    </row>
    <row r="889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287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  <c r="AB889" s="42"/>
      <c r="AC889" s="42"/>
      <c r="AD889" s="42"/>
    </row>
    <row r="890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287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  <c r="AB890" s="42"/>
      <c r="AC890" s="42"/>
      <c r="AD890" s="42"/>
    </row>
    <row r="89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287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  <c r="AB891" s="42"/>
      <c r="AC891" s="42"/>
      <c r="AD891" s="42"/>
    </row>
    <row r="892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287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  <c r="AB892" s="42"/>
      <c r="AC892" s="42"/>
      <c r="AD892" s="42"/>
    </row>
    <row r="893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287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  <c r="AB893" s="42"/>
      <c r="AC893" s="42"/>
      <c r="AD893" s="42"/>
    </row>
    <row r="894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287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  <c r="AB894" s="42"/>
      <c r="AC894" s="42"/>
      <c r="AD894" s="42"/>
    </row>
    <row r="895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287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  <c r="AB895" s="42"/>
      <c r="AC895" s="42"/>
      <c r="AD895" s="42"/>
    </row>
    <row r="896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287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  <c r="AB896" s="42"/>
      <c r="AC896" s="42"/>
      <c r="AD896" s="42"/>
    </row>
    <row r="897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287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  <c r="AB897" s="42"/>
      <c r="AC897" s="42"/>
      <c r="AD897" s="42"/>
    </row>
    <row r="898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287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  <c r="AB898" s="42"/>
      <c r="AC898" s="42"/>
      <c r="AD898" s="42"/>
    </row>
    <row r="899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287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  <c r="AB899" s="42"/>
      <c r="AC899" s="42"/>
      <c r="AD899" s="42"/>
    </row>
    <row r="900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287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  <c r="AB900" s="42"/>
      <c r="AC900" s="42"/>
      <c r="AD900" s="42"/>
    </row>
    <row r="90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287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  <c r="AB901" s="42"/>
      <c r="AC901" s="42"/>
      <c r="AD901" s="42"/>
    </row>
    <row r="902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287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  <c r="AB902" s="42"/>
      <c r="AC902" s="42"/>
      <c r="AD902" s="42"/>
    </row>
    <row r="903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287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  <c r="AB903" s="42"/>
      <c r="AC903" s="42"/>
      <c r="AD903" s="42"/>
    </row>
    <row r="904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287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  <c r="AB904" s="42"/>
      <c r="AC904" s="42"/>
      <c r="AD904" s="42"/>
    </row>
    <row r="905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287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  <c r="AB905" s="42"/>
      <c r="AC905" s="42"/>
      <c r="AD905" s="42"/>
    </row>
    <row r="906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287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  <c r="AB906" s="42"/>
      <c r="AC906" s="42"/>
      <c r="AD906" s="42"/>
    </row>
    <row r="907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287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  <c r="AB907" s="42"/>
      <c r="AC907" s="42"/>
      <c r="AD907" s="42"/>
    </row>
    <row r="908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287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  <c r="AB908" s="42"/>
      <c r="AC908" s="42"/>
      <c r="AD908" s="42"/>
    </row>
    <row r="909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287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  <c r="AB909" s="42"/>
      <c r="AC909" s="42"/>
      <c r="AD909" s="42"/>
    </row>
    <row r="910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287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  <c r="AB910" s="42"/>
      <c r="AC910" s="42"/>
      <c r="AD910" s="42"/>
    </row>
    <row r="91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287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  <c r="AB911" s="42"/>
      <c r="AC911" s="42"/>
      <c r="AD911" s="42"/>
    </row>
    <row r="912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287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  <c r="AB912" s="42"/>
      <c r="AC912" s="42"/>
      <c r="AD912" s="42"/>
    </row>
    <row r="913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287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  <c r="AB913" s="42"/>
      <c r="AC913" s="42"/>
      <c r="AD913" s="42"/>
    </row>
    <row r="914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287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  <c r="AB914" s="42"/>
      <c r="AC914" s="42"/>
      <c r="AD914" s="42"/>
    </row>
    <row r="915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287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  <c r="AB915" s="42"/>
      <c r="AC915" s="42"/>
      <c r="AD915" s="42"/>
    </row>
    <row r="916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287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  <c r="AB916" s="42"/>
      <c r="AC916" s="42"/>
      <c r="AD916" s="42"/>
    </row>
    <row r="917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287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  <c r="AB917" s="42"/>
      <c r="AC917" s="42"/>
      <c r="AD917" s="42"/>
    </row>
    <row r="918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287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  <c r="AB918" s="42"/>
      <c r="AC918" s="42"/>
      <c r="AD918" s="42"/>
    </row>
    <row r="919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287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  <c r="AB919" s="42"/>
      <c r="AC919" s="42"/>
      <c r="AD919" s="42"/>
    </row>
    <row r="920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287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  <c r="AB920" s="42"/>
      <c r="AC920" s="42"/>
      <c r="AD920" s="42"/>
    </row>
    <row r="92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287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  <c r="AB921" s="42"/>
      <c r="AC921" s="42"/>
      <c r="AD921" s="42"/>
    </row>
    <row r="922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287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  <c r="AB922" s="42"/>
      <c r="AC922" s="42"/>
      <c r="AD922" s="42"/>
    </row>
    <row r="923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287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  <c r="AB923" s="42"/>
      <c r="AC923" s="42"/>
      <c r="AD923" s="42"/>
    </row>
    <row r="924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287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  <c r="AB924" s="42"/>
      <c r="AC924" s="42"/>
      <c r="AD924" s="42"/>
    </row>
    <row r="925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287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  <c r="AB925" s="42"/>
      <c r="AC925" s="42"/>
      <c r="AD925" s="42"/>
    </row>
    <row r="926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287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  <c r="AB926" s="42"/>
      <c r="AC926" s="42"/>
      <c r="AD926" s="42"/>
    </row>
    <row r="927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287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  <c r="AB927" s="42"/>
      <c r="AC927" s="42"/>
      <c r="AD927" s="42"/>
    </row>
    <row r="928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287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  <c r="AB928" s="42"/>
      <c r="AC928" s="42"/>
      <c r="AD928" s="42"/>
    </row>
    <row r="929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287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  <c r="AB929" s="42"/>
      <c r="AC929" s="42"/>
      <c r="AD929" s="42"/>
    </row>
    <row r="930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287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  <c r="AB930" s="42"/>
      <c r="AC930" s="42"/>
      <c r="AD930" s="42"/>
    </row>
    <row r="93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287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  <c r="AB931" s="42"/>
      <c r="AC931" s="42"/>
      <c r="AD931" s="42"/>
    </row>
    <row r="932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287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  <c r="AB932" s="42"/>
      <c r="AC932" s="42"/>
      <c r="AD932" s="42"/>
    </row>
    <row r="933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287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  <c r="AB933" s="42"/>
      <c r="AC933" s="42"/>
      <c r="AD933" s="42"/>
    </row>
    <row r="934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287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  <c r="AB934" s="42"/>
      <c r="AC934" s="42"/>
      <c r="AD934" s="42"/>
    </row>
    <row r="935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287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  <c r="AB935" s="42"/>
      <c r="AC935" s="42"/>
      <c r="AD935" s="42"/>
    </row>
    <row r="936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287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  <c r="AB936" s="42"/>
      <c r="AC936" s="42"/>
      <c r="AD936" s="42"/>
    </row>
    <row r="937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287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  <c r="AB937" s="42"/>
      <c r="AC937" s="42"/>
      <c r="AD937" s="42"/>
    </row>
    <row r="938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287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  <c r="AB938" s="42"/>
      <c r="AC938" s="42"/>
      <c r="AD938" s="42"/>
    </row>
    <row r="939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287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  <c r="AB939" s="42"/>
      <c r="AC939" s="42"/>
      <c r="AD939" s="42"/>
    </row>
    <row r="940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287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  <c r="AB940" s="42"/>
      <c r="AC940" s="42"/>
      <c r="AD940" s="42"/>
    </row>
    <row r="94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287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  <c r="AB941" s="42"/>
      <c r="AC941" s="42"/>
      <c r="AD941" s="42"/>
    </row>
    <row r="942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287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  <c r="AB942" s="42"/>
      <c r="AC942" s="42"/>
      <c r="AD942" s="42"/>
    </row>
    <row r="943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287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  <c r="AB943" s="42"/>
      <c r="AC943" s="42"/>
      <c r="AD943" s="42"/>
    </row>
    <row r="944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287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  <c r="AB944" s="42"/>
      <c r="AC944" s="42"/>
      <c r="AD944" s="42"/>
    </row>
    <row r="945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287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  <c r="AB945" s="42"/>
      <c r="AC945" s="42"/>
      <c r="AD945" s="42"/>
    </row>
    <row r="946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287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  <c r="AB946" s="42"/>
      <c r="AC946" s="42"/>
      <c r="AD946" s="42"/>
    </row>
    <row r="947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287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  <c r="AB947" s="42"/>
      <c r="AC947" s="42"/>
      <c r="AD947" s="42"/>
    </row>
    <row r="948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287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  <c r="AB948" s="42"/>
      <c r="AC948" s="42"/>
      <c r="AD948" s="42"/>
    </row>
    <row r="949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287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  <c r="AB949" s="42"/>
      <c r="AC949" s="42"/>
      <c r="AD949" s="42"/>
    </row>
    <row r="950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287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  <c r="AB950" s="42"/>
      <c r="AC950" s="42"/>
      <c r="AD950" s="42"/>
    </row>
    <row r="95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287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  <c r="AB951" s="42"/>
      <c r="AC951" s="42"/>
      <c r="AD951" s="42"/>
    </row>
    <row r="952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287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  <c r="AB952" s="42"/>
      <c r="AC952" s="42"/>
      <c r="AD952" s="42"/>
    </row>
    <row r="953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287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  <c r="AB953" s="42"/>
      <c r="AC953" s="42"/>
      <c r="AD953" s="42"/>
    </row>
    <row r="954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287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  <c r="AB954" s="42"/>
      <c r="AC954" s="42"/>
      <c r="AD954" s="42"/>
    </row>
    <row r="955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287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  <c r="AB955" s="42"/>
      <c r="AC955" s="42"/>
      <c r="AD955" s="42"/>
    </row>
    <row r="956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287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  <c r="AB956" s="42"/>
      <c r="AC956" s="42"/>
      <c r="AD956" s="42"/>
    </row>
    <row r="957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287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  <c r="AB957" s="42"/>
      <c r="AC957" s="42"/>
      <c r="AD957" s="42"/>
    </row>
    <row r="958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287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  <c r="AB958" s="42"/>
      <c r="AC958" s="42"/>
      <c r="AD958" s="42"/>
    </row>
    <row r="959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287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  <c r="AB959" s="42"/>
      <c r="AC959" s="42"/>
      <c r="AD959" s="42"/>
    </row>
    <row r="960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287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  <c r="AB960" s="42"/>
      <c r="AC960" s="42"/>
      <c r="AD960" s="42"/>
    </row>
    <row r="96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287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  <c r="AB961" s="42"/>
      <c r="AC961" s="42"/>
      <c r="AD961" s="42"/>
    </row>
    <row r="962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287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  <c r="AB962" s="42"/>
      <c r="AC962" s="42"/>
      <c r="AD962" s="42"/>
    </row>
    <row r="963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287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  <c r="AB963" s="42"/>
      <c r="AC963" s="42"/>
      <c r="AD963" s="42"/>
    </row>
    <row r="964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287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  <c r="AB964" s="42"/>
      <c r="AC964" s="42"/>
      <c r="AD964" s="42"/>
    </row>
    <row r="965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287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  <c r="AB965" s="42"/>
      <c r="AC965" s="42"/>
      <c r="AD965" s="42"/>
    </row>
    <row r="966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287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  <c r="AB966" s="42"/>
      <c r="AC966" s="42"/>
      <c r="AD966" s="42"/>
    </row>
    <row r="967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287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  <c r="AB967" s="42"/>
      <c r="AC967" s="42"/>
      <c r="AD967" s="42"/>
    </row>
    <row r="968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287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  <c r="AB968" s="42"/>
      <c r="AC968" s="42"/>
      <c r="AD968" s="42"/>
    </row>
  </sheetData>
  <conditionalFormatting sqref="O2:O968 Q2:Q307">
    <cfRule type="containsText" dxfId="3" priority="1" operator="containsText" text="FALSE">
      <formula>NOT(ISERROR(SEARCH(("FALSE"),(O2))))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2.86"/>
    <col customWidth="1" min="8" max="8" width="15.14"/>
    <col customWidth="1" min="11" max="11" width="18.0"/>
  </cols>
  <sheetData>
    <row r="1">
      <c r="A1" s="298" t="s">
        <v>3</v>
      </c>
      <c r="B1" s="298" t="s">
        <v>4</v>
      </c>
      <c r="C1" s="298" t="s">
        <v>3849</v>
      </c>
      <c r="D1" s="298" t="s">
        <v>726</v>
      </c>
      <c r="E1" s="299" t="s">
        <v>9</v>
      </c>
      <c r="F1" s="298" t="s">
        <v>5</v>
      </c>
      <c r="G1" s="298" t="s">
        <v>35</v>
      </c>
      <c r="H1" s="298" t="s">
        <v>38</v>
      </c>
      <c r="I1" s="298" t="s">
        <v>3850</v>
      </c>
      <c r="J1" s="298" t="s">
        <v>3851</v>
      </c>
      <c r="K1" s="300" t="s">
        <v>3852</v>
      </c>
    </row>
    <row r="2">
      <c r="A2" s="301" t="s">
        <v>709</v>
      </c>
      <c r="B2" s="302" t="str">
        <f>VLOOKUP(A2,Main!$A:$B,2,0)</f>
        <v>CC_GOVINDAB2</v>
      </c>
      <c r="C2" s="303">
        <f>VLOOKUP(A2,Main!$A:$M,8,0)</f>
        <v>200000</v>
      </c>
      <c r="D2" s="302">
        <f>VLOOKUP(A2,Main!$A:$P,7,0)</f>
        <v>6000000</v>
      </c>
      <c r="E2" s="304" t="str">
        <f>VLOOKUP(A2,Main!$A:$Q,9,0)</f>
        <v>VS22</v>
      </c>
      <c r="F2" s="302" t="str">
        <f>VLOOKUP(A2,Main!$A:$R,10,0)</f>
        <v>19</v>
      </c>
      <c r="G2" s="305">
        <f t="shared" ref="G2:G27" si="1">D2/C2</f>
        <v>30</v>
      </c>
      <c r="H2" s="304" t="str">
        <f>VLOOKUP(A2,Main!$A:$R,12,0)</f>
        <v>POS</v>
      </c>
      <c r="I2" s="304" t="str">
        <f>VLOOKUP(A2,Main!$A:$R,13,0)</f>
        <v>DAILY</v>
      </c>
      <c r="J2" s="304" t="s">
        <v>3853</v>
      </c>
      <c r="K2" s="304" t="str">
        <f>VLOOKUP(A2,Main!A2:V749,22,0)</f>
        <v>DEEPAKT</v>
      </c>
    </row>
    <row r="3">
      <c r="A3" s="306" t="s">
        <v>103</v>
      </c>
      <c r="B3" s="302" t="str">
        <f>VLOOKUP(A3,Main!$A:$B,2,0)</f>
        <v>CC_BHADADAR_FIX_1CR_POS</v>
      </c>
      <c r="C3" s="303">
        <f>VLOOKUP(A3,Main!$A:$M,8,0)</f>
        <v>100000</v>
      </c>
      <c r="D3" s="302">
        <f>VLOOKUP(A3,Main!$A:$P,7,0)</f>
        <v>3000000</v>
      </c>
      <c r="E3" s="304" t="str">
        <f>VLOOKUP(A3,Main!$A:$Q,9,0)</f>
        <v>VS19</v>
      </c>
      <c r="F3" s="302" t="str">
        <f>VLOOKUP(A3,Main!$A:$R,10,0)</f>
        <v>15</v>
      </c>
      <c r="G3" s="305">
        <f t="shared" si="1"/>
        <v>30</v>
      </c>
      <c r="H3" s="304" t="str">
        <f>VLOOKUP(A3,Main!$A:$R,12,0)</f>
        <v>POS</v>
      </c>
      <c r="I3" s="304" t="str">
        <f>VLOOKUP(A3,Main!$A:$R,13,0)</f>
        <v>DAILY</v>
      </c>
      <c r="J3" s="304" t="s">
        <v>3853</v>
      </c>
      <c r="K3" s="304" t="str">
        <f>VLOOKUP(A3,Main!A3:V750,22,0)</f>
        <v>SAKSHIS</v>
      </c>
    </row>
    <row r="4">
      <c r="A4" s="306" t="s">
        <v>95</v>
      </c>
      <c r="B4" s="302" t="str">
        <f>VLOOKUP(A4,Main!$A:$B,2,0)</f>
        <v>CC_GAYATRIB_FIX_1CR_0SL_POS</v>
      </c>
      <c r="C4" s="303">
        <f>VLOOKUP(A4,Main!$A:$M,8,0)</f>
        <v>100000</v>
      </c>
      <c r="D4" s="302">
        <f>VLOOKUP(A4,Main!$A:$P,7,0)</f>
        <v>3000000</v>
      </c>
      <c r="E4" s="304" t="str">
        <f>VLOOKUP(A4,Main!$A:$Q,9,0)</f>
        <v>VS4</v>
      </c>
      <c r="F4" s="302" t="str">
        <f>VLOOKUP(A4,Main!$A:$R,10,0)</f>
        <v>7</v>
      </c>
      <c r="G4" s="305">
        <f t="shared" si="1"/>
        <v>30</v>
      </c>
      <c r="H4" s="304" t="str">
        <f>VLOOKUP(A4,Main!$A:$R,12,0)</f>
        <v>POS</v>
      </c>
      <c r="I4" s="304" t="str">
        <f>VLOOKUP(A4,Main!$A:$R,13,0)</f>
        <v>DAILY</v>
      </c>
      <c r="J4" s="304" t="s">
        <v>3853</v>
      </c>
      <c r="K4" s="304" t="str">
        <f>VLOOKUP(A4,Main!A4:V751,22,0)</f>
        <v>SHIVANSHU</v>
      </c>
    </row>
    <row r="5">
      <c r="A5" s="301" t="s">
        <v>655</v>
      </c>
      <c r="B5" s="302" t="str">
        <f>VLOOKUP(A5,Main!$A:$B,2,0)</f>
        <v>CC_GOVINDAB</v>
      </c>
      <c r="C5" s="303">
        <f>VLOOKUP(A5,Main!$A:$M,8,0)</f>
        <v>200000</v>
      </c>
      <c r="D5" s="302">
        <f>VLOOKUP(A5,Main!$A:$P,7,0)</f>
        <v>6000000</v>
      </c>
      <c r="E5" s="304" t="str">
        <f>VLOOKUP(A5,Main!$A:$Q,9,0)</f>
        <v>VS22</v>
      </c>
      <c r="F5" s="302" t="str">
        <f>VLOOKUP(A5,Main!$A:$R,10,0)</f>
        <v>19</v>
      </c>
      <c r="G5" s="305">
        <f t="shared" si="1"/>
        <v>30</v>
      </c>
      <c r="H5" s="304" t="str">
        <f>VLOOKUP(A5,Main!$A:$R,12,0)</f>
        <v>POS</v>
      </c>
      <c r="I5" s="304" t="str">
        <f>VLOOKUP(A5,Main!$A:$R,13,0)</f>
        <v>DAILY</v>
      </c>
      <c r="J5" s="304" t="s">
        <v>3853</v>
      </c>
      <c r="K5" s="304" t="str">
        <f>VLOOKUP(A5,Main!A5:V752,22,0)</f>
        <v>DEEPAKT</v>
      </c>
    </row>
    <row r="6">
      <c r="A6" s="307" t="s">
        <v>669</v>
      </c>
      <c r="B6" s="302" t="str">
        <f>VLOOKUP(A6,Main!$A:$B,2,0)</f>
        <v>CC_A19_GOVINDAB</v>
      </c>
      <c r="C6" s="303">
        <f>VLOOKUP(A6,Main!$A:$M,8,0)</f>
        <v>200000</v>
      </c>
      <c r="D6" s="302">
        <f>VLOOKUP(A6,Main!$A:$P,7,0)</f>
        <v>6000000</v>
      </c>
      <c r="E6" s="304" t="str">
        <f>VLOOKUP(A6,Main!$A:$Q,9,0)</f>
        <v>VS25</v>
      </c>
      <c r="F6" s="302" t="str">
        <f>VLOOKUP(A6,Main!$A:$R,10,0)</f>
        <v>19</v>
      </c>
      <c r="G6" s="305">
        <f t="shared" si="1"/>
        <v>30</v>
      </c>
      <c r="H6" s="304" t="str">
        <f>VLOOKUP(A6,Main!$A:$R,12,0)</f>
        <v>POS</v>
      </c>
      <c r="I6" s="304" t="str">
        <f>VLOOKUP(A6,Main!$A:$R,13,0)</f>
        <v>DAILY</v>
      </c>
      <c r="J6" s="304" t="s">
        <v>3853</v>
      </c>
      <c r="K6" s="304" t="str">
        <f>VLOOKUP(A6,Main!A6:V753,22,0)</f>
        <v>MEENAKSHI</v>
      </c>
    </row>
    <row r="7">
      <c r="A7" s="307" t="s">
        <v>478</v>
      </c>
      <c r="B7" s="302" t="str">
        <f>VLOOKUP(A7,Main!$A:$B,2,0)</f>
        <v>CC_CHARUB_POS</v>
      </c>
      <c r="C7" s="303">
        <f>VLOOKUP(A7,Main!$A:$M,8,0)</f>
        <v>120000</v>
      </c>
      <c r="D7" s="302">
        <f>VLOOKUP(A7,Main!$A:$P,7,0)</f>
        <v>3600000</v>
      </c>
      <c r="E7" s="304" t="str">
        <f>VLOOKUP(A7,Main!$A:$Q,9,0)</f>
        <v>VS4</v>
      </c>
      <c r="F7" s="302" t="str">
        <f>VLOOKUP(A7,Main!$A:$R,10,0)</f>
        <v>7</v>
      </c>
      <c r="G7" s="305">
        <f t="shared" si="1"/>
        <v>30</v>
      </c>
      <c r="H7" s="304" t="str">
        <f>VLOOKUP(A7,Main!$A:$R,12,0)</f>
        <v>POS</v>
      </c>
      <c r="I7" s="304" t="str">
        <f>VLOOKUP(A7,Main!$A:$R,13,0)</f>
        <v>DAILY</v>
      </c>
      <c r="J7" s="304" t="s">
        <v>3853</v>
      </c>
      <c r="K7" s="304" t="str">
        <f>VLOOKUP(A7,Main!A7:V754,22,0)</f>
        <v>SHIVANSHU</v>
      </c>
    </row>
    <row r="8">
      <c r="A8" s="308" t="s">
        <v>259</v>
      </c>
      <c r="B8" s="309" t="str">
        <f>VLOOKUP(A8,Main!$A:$B,2,0)</f>
        <v>MSS_RENU_POS</v>
      </c>
      <c r="C8" s="310">
        <f>VLOOKUP(A8,Main!$A:$M,8,0)</f>
        <v>100000</v>
      </c>
      <c r="D8" s="310">
        <f>VLOOKUP(A8,Main!$A:$P,7,0)</f>
        <v>243454</v>
      </c>
      <c r="E8" s="311" t="str">
        <f>VLOOKUP(A8,Main!$A:$Q,9,0)</f>
        <v>VS14</v>
      </c>
      <c r="F8" s="309" t="str">
        <f>VLOOKUP(A8,Main!$A:$R,10,0)</f>
        <v>1</v>
      </c>
      <c r="G8" s="312">
        <f t="shared" si="1"/>
        <v>2.43454</v>
      </c>
      <c r="H8" s="311" t="str">
        <f>VLOOKUP(A8,Main!$A:$R,12,0)</f>
        <v>POS</v>
      </c>
      <c r="I8" s="311" t="str">
        <f>VLOOKUP(A8,Main!$A:$R,13,0)</f>
        <v>DAILY</v>
      </c>
      <c r="J8" s="311" t="s">
        <v>3854</v>
      </c>
      <c r="K8" s="311" t="str">
        <f>VLOOKUP(A8,Main!A8:V755,22,0)</f>
        <v>AYUSHS</v>
      </c>
    </row>
    <row r="9">
      <c r="A9" s="308" t="s">
        <v>135</v>
      </c>
      <c r="B9" s="309" t="str">
        <f>VLOOKUP(A9,Main!$A:$B,2,0)</f>
        <v>MSS_RENU1_POS</v>
      </c>
      <c r="C9" s="310">
        <f>VLOOKUP(A9,Main!$A:$M,8,0)</f>
        <v>120000</v>
      </c>
      <c r="D9" s="310">
        <f>VLOOKUP(A9,Main!$A:$P,7,0)</f>
        <v>259618</v>
      </c>
      <c r="E9" s="311" t="str">
        <f>VLOOKUP(A9,Main!$A:$Q,9,0)</f>
        <v>VS26</v>
      </c>
      <c r="F9" s="309" t="str">
        <f>VLOOKUP(A9,Main!$A:$R,10,0)</f>
        <v>7</v>
      </c>
      <c r="G9" s="312">
        <f t="shared" si="1"/>
        <v>2.163483333</v>
      </c>
      <c r="H9" s="311" t="str">
        <f>VLOOKUP(A9,Main!$A:$R,12,0)</f>
        <v>POS</v>
      </c>
      <c r="I9" s="311" t="str">
        <f>VLOOKUP(A9,Main!$A:$R,13,0)</f>
        <v>DAILY</v>
      </c>
      <c r="J9" s="311" t="s">
        <v>3854</v>
      </c>
      <c r="K9" s="311" t="str">
        <f>VLOOKUP(A9,Main!A9:V756,22,0)</f>
        <v>ANIKETG</v>
      </c>
    </row>
    <row r="10">
      <c r="A10" s="308" t="s">
        <v>2705</v>
      </c>
      <c r="B10" s="311" t="str">
        <f>VLOOKUP(A10,Main!$A:$B,2,0)</f>
        <v>MSS_RENU3_POS</v>
      </c>
      <c r="C10" s="310">
        <f>VLOOKUP(A10,Main!$A:$M,8,0)</f>
        <v>80000</v>
      </c>
      <c r="D10" s="309" t="str">
        <f>VLOOKUP(A10,Main!$A:$P,7,0)</f>
        <v>80000</v>
      </c>
      <c r="E10" s="309" t="str">
        <f>VLOOKUP(A10,Main!$A:$Q,9,0)</f>
        <v>VS27</v>
      </c>
      <c r="F10" s="309" t="str">
        <f>VLOOKUP(A10,Main!$A:$R,10,0)</f>
        <v>1</v>
      </c>
      <c r="G10" s="312">
        <f t="shared" si="1"/>
        <v>1</v>
      </c>
      <c r="H10" s="311" t="str">
        <f>VLOOKUP(A10,Main!$A:$R,12,0)</f>
        <v>INT</v>
      </c>
      <c r="I10" s="311" t="str">
        <f>VLOOKUP(A10,Main!$A:$R,13,0)</f>
        <v>0DTE</v>
      </c>
      <c r="J10" s="311" t="s">
        <v>3854</v>
      </c>
      <c r="K10" s="311" t="str">
        <f>VLOOKUP(A10,Main!A10:V757,22,0)</f>
        <v>VIKASA</v>
      </c>
    </row>
    <row r="11">
      <c r="A11" s="308" t="s">
        <v>1498</v>
      </c>
      <c r="B11" s="309" t="str">
        <f>VLOOKUP(A11,Main!$A:$B,2,0)</f>
        <v>MSS_RENU2_POS</v>
      </c>
      <c r="C11" s="310">
        <f>VLOOKUP(A11,Main!$A:$M,8,0)</f>
        <v>100000</v>
      </c>
      <c r="D11" s="309" t="str">
        <f>VLOOKUP(A11,Main!$A:$P,7,0)</f>
        <v>80000</v>
      </c>
      <c r="E11" s="311" t="str">
        <f>VLOOKUP(A11,Main!$A:$Q,9,0)</f>
        <v>VS11</v>
      </c>
      <c r="F11" s="309" t="str">
        <f>VLOOKUP(A11,Main!$A:$R,10,0)</f>
        <v>7</v>
      </c>
      <c r="G11" s="312">
        <f t="shared" si="1"/>
        <v>0.8</v>
      </c>
      <c r="H11" s="311" t="str">
        <f>VLOOKUP(A11,Main!$A:$R,12,0)</f>
        <v>INT</v>
      </c>
      <c r="I11" s="311" t="str">
        <f>VLOOKUP(A11,Main!$A:$R,13,0)</f>
        <v>0DTE</v>
      </c>
      <c r="J11" s="311" t="s">
        <v>3854</v>
      </c>
      <c r="K11" s="311" t="str">
        <f>VLOOKUP(A11,Main!A11:V758,22,0)</f>
        <v>DUSHYANT</v>
      </c>
    </row>
    <row r="12">
      <c r="A12" s="313" t="s">
        <v>606</v>
      </c>
      <c r="B12" s="314" t="str">
        <f>VLOOKUP(A12,Main!$A:$B,2,0)</f>
        <v>MSR_RDANGAYACH3_2C</v>
      </c>
      <c r="C12" s="315">
        <f>VLOOKUP(A12,Main!$A:$M,8,0)</f>
        <v>200000</v>
      </c>
      <c r="D12" s="315">
        <f>VLOOKUP(A12,Main!$A:$P,7,0)</f>
        <v>187838</v>
      </c>
      <c r="E12" s="316" t="str">
        <f>VLOOKUP(A12,Main!$A:$Q,9,0)</f>
        <v>VS33</v>
      </c>
      <c r="F12" s="314" t="str">
        <f>VLOOKUP(A12,Main!$A:$R,10,0)</f>
        <v>8</v>
      </c>
      <c r="G12" s="317">
        <f t="shared" si="1"/>
        <v>0.93919</v>
      </c>
      <c r="H12" s="316" t="str">
        <f>VLOOKUP(A12,Main!$A:$R,12,0)</f>
        <v>POS</v>
      </c>
      <c r="I12" s="316" t="str">
        <f>VLOOKUP(A12,Main!$A:$R,13,0)</f>
        <v>1DTE/0DTE</v>
      </c>
      <c r="J12" s="316" t="s">
        <v>3855</v>
      </c>
      <c r="K12" s="316" t="str">
        <f>VLOOKUP(A12,Main!A12:V759,22,0)</f>
        <v>DHANANJAYS</v>
      </c>
    </row>
    <row r="13">
      <c r="A13" s="313" t="s">
        <v>1485</v>
      </c>
      <c r="B13" s="314" t="str">
        <f>VLOOKUP(A13,Main!$A:$B,2,0)</f>
        <v>MSR_RDANGAYACH1_INT</v>
      </c>
      <c r="C13" s="315">
        <f>VLOOKUP(A13,Main!$A:$M,8,0)</f>
        <v>100000</v>
      </c>
      <c r="D13" s="314" t="str">
        <f>VLOOKUP(A13,Main!$A:$P,7,0)</f>
        <v>100000</v>
      </c>
      <c r="E13" s="316" t="str">
        <f>VLOOKUP(A13,Main!$A:$Q,9,0)</f>
        <v>VS19</v>
      </c>
      <c r="F13" s="314" t="str">
        <f>VLOOKUP(A13,Main!$A:$R,10,0)</f>
        <v>15</v>
      </c>
      <c r="G13" s="317">
        <f t="shared" si="1"/>
        <v>1</v>
      </c>
      <c r="H13" s="316" t="str">
        <f>VLOOKUP(A13,Main!$A:$R,12,0)</f>
        <v>INT</v>
      </c>
      <c r="I13" s="316" t="str">
        <f>VLOOKUP(A13,Main!$A:$R,13,0)</f>
        <v>0DTE</v>
      </c>
      <c r="J13" s="316" t="s">
        <v>3855</v>
      </c>
      <c r="K13" s="316" t="str">
        <f>VLOOKUP(A13,Main!A13:V760,22,0)</f>
        <v>SAKSHIS</v>
      </c>
    </row>
    <row r="14">
      <c r="A14" s="313" t="s">
        <v>219</v>
      </c>
      <c r="B14" s="314" t="str">
        <f>VLOOKUP(A14,Main!$A:$B,2,0)</f>
        <v>MSR_RDANGAYACH4_INT</v>
      </c>
      <c r="C14" s="315">
        <f>VLOOKUP(A14,Main!$A:$M,8,0)</f>
        <v>300000</v>
      </c>
      <c r="D14" s="314" t="str">
        <f>VLOOKUP(A14,Main!$A:$P,7,0)</f>
        <v>300000</v>
      </c>
      <c r="E14" s="316" t="str">
        <f>VLOOKUP(A14,Main!$A:$Q,9,0)</f>
        <v>VS10</v>
      </c>
      <c r="F14" s="314" t="str">
        <f>VLOOKUP(A14,Main!$A:$R,10,0)</f>
        <v>1</v>
      </c>
      <c r="G14" s="317">
        <f t="shared" si="1"/>
        <v>1</v>
      </c>
      <c r="H14" s="316" t="str">
        <f>VLOOKUP(A14,Main!$A:$R,12,0)</f>
        <v>INT</v>
      </c>
      <c r="I14" s="316" t="str">
        <f>VLOOKUP(A14,Main!$A:$R,13,0)</f>
        <v>0DTE</v>
      </c>
      <c r="J14" s="316" t="s">
        <v>3855</v>
      </c>
      <c r="K14" s="316" t="str">
        <f>VLOOKUP(A14,Main!A14:V761,22,0)</f>
        <v>SAKSHAMG</v>
      </c>
    </row>
    <row r="15">
      <c r="A15" s="313" t="s">
        <v>684</v>
      </c>
      <c r="B15" s="314" t="str">
        <f>VLOOKUP(A15,Main!$A:$B,2,0)</f>
        <v>MSR_RDANGAYACH2_2C</v>
      </c>
      <c r="C15" s="315">
        <f>VLOOKUP(A15,Main!$A:$M,8,0)</f>
        <v>200000</v>
      </c>
      <c r="D15" s="315">
        <f>VLOOKUP(A15,Main!$A:$P,7,0)</f>
        <v>166765</v>
      </c>
      <c r="E15" s="316" t="str">
        <f>VLOOKUP(A15,Main!$A:$Q,9,0)</f>
        <v>VS5</v>
      </c>
      <c r="F15" s="314" t="str">
        <f>VLOOKUP(A15,Main!$A:$R,10,0)</f>
        <v>8</v>
      </c>
      <c r="G15" s="317">
        <f t="shared" si="1"/>
        <v>0.833825</v>
      </c>
      <c r="H15" s="316" t="str">
        <f>VLOOKUP(A15,Main!$A:$R,12,0)</f>
        <v>POS</v>
      </c>
      <c r="I15" s="316" t="str">
        <f>VLOOKUP(A15,Main!$A:$R,13,0)</f>
        <v>1DTE/0DTE</v>
      </c>
      <c r="J15" s="316" t="s">
        <v>3855</v>
      </c>
      <c r="K15" s="316" t="str">
        <f>VLOOKUP(A15,Main!A15:V762,22,0)</f>
        <v>GULSHANS</v>
      </c>
    </row>
    <row r="16">
      <c r="A16" s="318" t="s">
        <v>115</v>
      </c>
      <c r="B16" s="314" t="str">
        <f>VLOOKUP(A16,Main!$A:$B,2,0)</f>
        <v>MSR_RDANGAYACH5_FULL_POS10CR</v>
      </c>
      <c r="C16" s="315">
        <f>VLOOKUP(A16,Main!$A:$M,8,0)</f>
        <v>400000</v>
      </c>
      <c r="D16" s="314">
        <f>VLOOKUP(A16,Main!$A:$P,7,0)</f>
        <v>320000</v>
      </c>
      <c r="E16" s="316" t="str">
        <f>VLOOKUP(A16,Main!$A:$Q,9,0)</f>
        <v>VS26</v>
      </c>
      <c r="F16" s="314" t="str">
        <f>VLOOKUP(A16,Main!$A:$R,10,0)</f>
        <v>7</v>
      </c>
      <c r="G16" s="317">
        <f t="shared" si="1"/>
        <v>0.8</v>
      </c>
      <c r="H16" s="316" t="str">
        <f>VLOOKUP(A16,Main!$A:$R,12,0)</f>
        <v>INT</v>
      </c>
      <c r="I16" s="316" t="str">
        <f>VLOOKUP(A16,Main!$A:$R,13,0)</f>
        <v>0DTE</v>
      </c>
      <c r="J16" s="316" t="s">
        <v>3855</v>
      </c>
      <c r="K16" s="316" t="str">
        <f>VLOOKUP(A16,Main!A16:V763,22,0)</f>
        <v>ANIKETG</v>
      </c>
    </row>
    <row r="17">
      <c r="A17" s="319" t="s">
        <v>628</v>
      </c>
      <c r="B17" s="314" t="str">
        <f>VLOOKUP(A17,Main!$A:$B,2,0)</f>
        <v>MSR__RDANGAYACH6_INT</v>
      </c>
      <c r="C17" s="315">
        <f>VLOOKUP(A17,Main!$A:$M,8,0)</f>
        <v>100000</v>
      </c>
      <c r="D17" s="314" t="str">
        <f>VLOOKUP(A17,Main!$A:$P,7,0)</f>
        <v>100000</v>
      </c>
      <c r="E17" s="316" t="str">
        <f>VLOOKUP(A17,Main!$A:$Q,9,0)</f>
        <v>VS2</v>
      </c>
      <c r="F17" s="314" t="str">
        <f>VLOOKUP(A17,Main!$A:$R,10,0)</f>
        <v>15</v>
      </c>
      <c r="G17" s="317">
        <f t="shared" si="1"/>
        <v>1</v>
      </c>
      <c r="H17" s="316" t="str">
        <f>VLOOKUP(A17,Main!$A:$R,12,0)</f>
        <v>INT</v>
      </c>
      <c r="I17" s="316" t="str">
        <f>VLOOKUP(A17,Main!$A:$R,13,0)</f>
        <v>0DTE</v>
      </c>
      <c r="J17" s="316" t="s">
        <v>3855</v>
      </c>
      <c r="K17" s="316" t="str">
        <f>VLOOKUP(A17,Main!A17:V764,22,0)</f>
        <v>SAKSHIS</v>
      </c>
    </row>
    <row r="18">
      <c r="A18" s="320" t="s">
        <v>671</v>
      </c>
      <c r="B18" s="314" t="str">
        <f>VLOOKUP(A18,Main!$A:$B,2,0)</f>
        <v>MSR_RDANGAYACH8</v>
      </c>
      <c r="C18" s="315">
        <f>VLOOKUP(A18,Main!$A:$M,8,0)</f>
        <v>800000</v>
      </c>
      <c r="D18" s="314">
        <f>VLOOKUP(A18,Main!$A:$P,7,0)</f>
        <v>24000000</v>
      </c>
      <c r="E18" s="316" t="str">
        <f>VLOOKUP(A18,Main!$A:$Q,9,0)</f>
        <v>NOT RUNNING</v>
      </c>
      <c r="F18" s="314" t="str">
        <f>VLOOKUP(A18,Main!$A:$R,10,0)</f>
        <v>0</v>
      </c>
      <c r="G18" s="317">
        <f t="shared" si="1"/>
        <v>30</v>
      </c>
      <c r="H18" s="316" t="str">
        <f>VLOOKUP(A18,Main!$A:$R,12,0)</f>
        <v>Not Running</v>
      </c>
      <c r="I18" s="316" t="str">
        <f>VLOOKUP(A18,Main!$A:$R,13,0)</f>
        <v>DAILY</v>
      </c>
      <c r="J18" s="316" t="s">
        <v>3855</v>
      </c>
      <c r="K18" s="316" t="str">
        <f>VLOOKUP(A18,Main!A18:V765,22,0)</f>
        <v>Not Running</v>
      </c>
    </row>
    <row r="19">
      <c r="A19" s="320" t="s">
        <v>636</v>
      </c>
      <c r="B19" s="314" t="str">
        <f>VLOOKUP(A19,Main!$A:$B,2,0)</f>
        <v>MSR_RDANGAYACH_9</v>
      </c>
      <c r="C19" s="315">
        <f>VLOOKUP(A19,Main!$A:$M,8,0)</f>
        <v>200000</v>
      </c>
      <c r="D19" s="314">
        <f>VLOOKUP(A19,Main!$A:$P,7,0)</f>
        <v>6000000</v>
      </c>
      <c r="E19" s="316" t="str">
        <f>VLOOKUP(A19,Main!$A:$Q,9,0)</f>
        <v>VS22</v>
      </c>
      <c r="F19" s="314" t="str">
        <f>VLOOKUP(A19,Main!$A:$R,10,0)</f>
        <v>19</v>
      </c>
      <c r="G19" s="317">
        <f t="shared" si="1"/>
        <v>30</v>
      </c>
      <c r="H19" s="316" t="str">
        <f>VLOOKUP(A19,Main!$A:$R,12,0)</f>
        <v>POS</v>
      </c>
      <c r="I19" s="316" t="str">
        <f>VLOOKUP(A19,Main!$A:$R,13,0)</f>
        <v>DAILY</v>
      </c>
      <c r="J19" s="316" t="s">
        <v>3855</v>
      </c>
      <c r="K19" s="316" t="str">
        <f>VLOOKUP(A19,Main!A19:V766,22,0)</f>
        <v>DEEPAKT</v>
      </c>
    </row>
    <row r="20">
      <c r="A20" s="321" t="s">
        <v>797</v>
      </c>
      <c r="B20" s="322" t="str">
        <f>VLOOKUP(A20,Main!$A:$B,2,0)</f>
        <v>CCV_VAIBHAVT_POS</v>
      </c>
      <c r="C20" s="323">
        <f>VLOOKUP(A20,Main!$A:$M,8,0)</f>
        <v>100000</v>
      </c>
      <c r="D20" s="322">
        <f>VLOOKUP(A20,Main!$A:$P,7,0)</f>
        <v>3000000</v>
      </c>
      <c r="E20" s="324" t="str">
        <f>VLOOKUP(A20,Main!$A:$Q,9,0)</f>
        <v>VS6</v>
      </c>
      <c r="F20" s="322" t="str">
        <f>VLOOKUP(A20,Main!$A:$R,10,0)</f>
        <v>1</v>
      </c>
      <c r="G20" s="325">
        <f t="shared" si="1"/>
        <v>30</v>
      </c>
      <c r="H20" s="324" t="str">
        <f>VLOOKUP(A20,Main!$A:$R,12,0)</f>
        <v>POS</v>
      </c>
      <c r="I20" s="324" t="str">
        <f>VLOOKUP(A20,Main!$A:$R,13,0)</f>
        <v>1DTE/0DTE</v>
      </c>
      <c r="J20" s="324" t="s">
        <v>3856</v>
      </c>
      <c r="K20" s="324" t="str">
        <f>VLOOKUP(A20,Main!A20:V767,22,0)</f>
        <v>MOHITC</v>
      </c>
    </row>
    <row r="21">
      <c r="A21" s="326" t="s">
        <v>201</v>
      </c>
      <c r="B21" s="322" t="str">
        <f>VLOOKUP(A21,Main!$A:$B,2,0)</f>
        <v>MSV_VTPRATIM_0SL_FIX1CR_POS</v>
      </c>
      <c r="C21" s="323">
        <f>VLOOKUP(A21,Main!$A:$M,8,0)</f>
        <v>200000</v>
      </c>
      <c r="D21" s="322">
        <f>VLOOKUP(A21,Main!$A:$P,7,0)</f>
        <v>6000000</v>
      </c>
      <c r="E21" s="324" t="str">
        <f>VLOOKUP(A21,Main!$A:$Q,9,0)</f>
        <v>VS11</v>
      </c>
      <c r="F21" s="322" t="str">
        <f>VLOOKUP(A21,Main!$A:$R,10,0)</f>
        <v>7</v>
      </c>
      <c r="G21" s="325">
        <f t="shared" si="1"/>
        <v>30</v>
      </c>
      <c r="H21" s="324" t="str">
        <f>VLOOKUP(A21,Main!$A:$R,12,0)</f>
        <v>POS</v>
      </c>
      <c r="I21" s="324" t="str">
        <f>VLOOKUP(A21,Main!$A:$R,13,0)</f>
        <v>DAILY</v>
      </c>
      <c r="J21" s="324" t="s">
        <v>3857</v>
      </c>
      <c r="K21" s="324" t="str">
        <f>VLOOKUP(A21,Main!A21:V768,22,0)</f>
        <v>DUSHYANT</v>
      </c>
    </row>
    <row r="22">
      <c r="A22" s="321" t="s">
        <v>216</v>
      </c>
      <c r="B22" s="322" t="str">
        <f>VLOOKUP(A22,Main!$A:$B,2,0)</f>
        <v>CCV_VIVEK_THEBARIA_FIX_1CR_POS</v>
      </c>
      <c r="C22" s="323">
        <f>VLOOKUP(A22,Main!$A:$M,8,0)</f>
        <v>100000</v>
      </c>
      <c r="D22" s="322">
        <f>VLOOKUP(A22,Main!$A:$P,7,0)</f>
        <v>3000000</v>
      </c>
      <c r="E22" s="324" t="str">
        <f>VLOOKUP(A22,Main!$A:$Q,9,0)</f>
        <v>VS6</v>
      </c>
      <c r="F22" s="322" t="str">
        <f>VLOOKUP(A22,Main!$A:$R,10,0)</f>
        <v>1</v>
      </c>
      <c r="G22" s="325">
        <f t="shared" si="1"/>
        <v>30</v>
      </c>
      <c r="H22" s="324" t="str">
        <f>VLOOKUP(A22,Main!$A:$R,12,0)</f>
        <v>POS</v>
      </c>
      <c r="I22" s="324" t="str">
        <f>VLOOKUP(A22,Main!$A:$R,13,0)</f>
        <v>DAILY</v>
      </c>
      <c r="J22" s="324" t="s">
        <v>3857</v>
      </c>
      <c r="K22" s="324" t="str">
        <f>VLOOKUP(A22,Main!A22:V769,22,0)</f>
        <v>MOHITC</v>
      </c>
    </row>
    <row r="23">
      <c r="A23" s="321" t="s">
        <v>1955</v>
      </c>
      <c r="B23" s="322" t="str">
        <f>VLOOKUP(A23,Main!$A:$B,2,0)</f>
        <v>MSV_AJAYT</v>
      </c>
      <c r="C23" s="323">
        <f>VLOOKUP(A23,Main!$A:$M,8,0)</f>
        <v>200000</v>
      </c>
      <c r="D23" s="322">
        <f>VLOOKUP(A23,Main!$A:$P,7,0)</f>
        <v>6000000</v>
      </c>
      <c r="E23" s="324" t="str">
        <f>VLOOKUP(A23,Main!$A:$Q,9,0)</f>
        <v>VS25</v>
      </c>
      <c r="F23" s="322" t="str">
        <f>VLOOKUP(A23,Main!$A:$R,10,0)</f>
        <v>19</v>
      </c>
      <c r="G23" s="325">
        <f t="shared" si="1"/>
        <v>30</v>
      </c>
      <c r="H23" s="324" t="str">
        <f>VLOOKUP(A23,Main!$A:$R,12,0)</f>
        <v>POS</v>
      </c>
      <c r="I23" s="324" t="str">
        <f>VLOOKUP(A23,Main!$A:$R,13,0)</f>
        <v>DAILY</v>
      </c>
      <c r="J23" s="324" t="s">
        <v>3857</v>
      </c>
      <c r="K23" s="324" t="str">
        <f>VLOOKUP(A23,Main!A23:V770,22,0)</f>
        <v>MEENAKSHI</v>
      </c>
    </row>
    <row r="24">
      <c r="A24" s="321" t="s">
        <v>207</v>
      </c>
      <c r="B24" s="322" t="str">
        <f>VLOOKUP(A24,Main!$A:$B,2,0)</f>
        <v>MSV_VIVEK THEBARIA_POS</v>
      </c>
      <c r="C24" s="323">
        <f>VLOOKUP(A24,Main!$A:$M,8,0)</f>
        <v>100000</v>
      </c>
      <c r="D24" s="322">
        <f>VLOOKUP(A24,Main!$A:$P,7,0)</f>
        <v>3000000</v>
      </c>
      <c r="E24" s="322" t="str">
        <f>VLOOKUP(A24,Main!$A:$Q,9,0)</f>
        <v>VS2</v>
      </c>
      <c r="F24" s="322" t="str">
        <f>VLOOKUP(A24,Main!$A:$R,10,0)</f>
        <v>15</v>
      </c>
      <c r="G24" s="325">
        <f t="shared" si="1"/>
        <v>30</v>
      </c>
      <c r="H24" s="324" t="str">
        <f>VLOOKUP(A24,Main!$A:$R,12,0)</f>
        <v>POS</v>
      </c>
      <c r="I24" s="324" t="str">
        <f>VLOOKUP(A24,Main!$A:$R,13,0)</f>
        <v>DAILY</v>
      </c>
      <c r="J24" s="324" t="s">
        <v>3857</v>
      </c>
      <c r="K24" s="324" t="str">
        <f>VLOOKUP(A24,Main!A24:V771,22,0)</f>
        <v>SAKSHIS</v>
      </c>
    </row>
    <row r="25">
      <c r="A25" s="321" t="s">
        <v>282</v>
      </c>
      <c r="B25" s="322" t="str">
        <f>VLOOKUP(A25,Main!$A:$B,2,0)</f>
        <v>MSV_AMIT_POS</v>
      </c>
      <c r="C25" s="323">
        <f>VLOOKUP(A25,Main!$A:$M,8,0)</f>
        <v>120000</v>
      </c>
      <c r="D25" s="322">
        <f>VLOOKUP(A25,Main!$A:$P,7,0)</f>
        <v>3600000</v>
      </c>
      <c r="E25" s="324" t="str">
        <f>VLOOKUP(A25,Main!$A:$Q,9,0)</f>
        <v>VS6</v>
      </c>
      <c r="F25" s="322" t="str">
        <f>VLOOKUP(A25,Main!$A:$R,10,0)</f>
        <v>1</v>
      </c>
      <c r="G25" s="325">
        <f t="shared" si="1"/>
        <v>30</v>
      </c>
      <c r="H25" s="324" t="str">
        <f>VLOOKUP(A25,Main!$A:$R,12,0)</f>
        <v>POS</v>
      </c>
      <c r="I25" s="324" t="str">
        <f>VLOOKUP(A25,Main!$A:$R,13,0)</f>
        <v>DAILY</v>
      </c>
      <c r="J25" s="324" t="s">
        <v>3857</v>
      </c>
      <c r="K25" s="324" t="str">
        <f>VLOOKUP(A25,Main!A25:V772,22,0)</f>
        <v>MOHITC</v>
      </c>
    </row>
    <row r="26">
      <c r="A26" s="321" t="s">
        <v>380</v>
      </c>
      <c r="B26" s="322" t="str">
        <f>VLOOKUP(A26,Main!$A:$B,2,0)</f>
        <v>MSV_AKANSHA_POS</v>
      </c>
      <c r="C26" s="323">
        <f>VLOOKUP(A26,Main!$A:$M,8,0)</f>
        <v>80000</v>
      </c>
      <c r="D26" s="322">
        <f>VLOOKUP(A26,Main!$A:$P,7,0)</f>
        <v>2400000</v>
      </c>
      <c r="E26" s="324" t="str">
        <f>VLOOKUP(A26,Main!$A:$Q,9,0)</f>
        <v>VS29</v>
      </c>
      <c r="F26" s="322" t="str">
        <f>VLOOKUP(A26,Main!$A:$R,10,0)</f>
        <v>7</v>
      </c>
      <c r="G26" s="325">
        <f t="shared" si="1"/>
        <v>30</v>
      </c>
      <c r="H26" s="324" t="str">
        <f>VLOOKUP(A26,Main!$A:$R,12,0)</f>
        <v>POS</v>
      </c>
      <c r="I26" s="324" t="str">
        <f>VLOOKUP(A26,Main!$A:$R,13,0)</f>
        <v>1DTE/0DTE</v>
      </c>
      <c r="J26" s="324" t="s">
        <v>3857</v>
      </c>
      <c r="K26" s="324" t="str">
        <f>VLOOKUP(A26,Main!A26:V773,22,0)</f>
        <v>ANIKETG</v>
      </c>
    </row>
    <row r="27">
      <c r="A27" s="338" t="s">
        <v>650</v>
      </c>
      <c r="B27" s="338" t="str">
        <f>VLOOKUP(A27,Main!$A:$B,2,0)</f>
        <v>MSR_MEGASERV</v>
      </c>
      <c r="C27" s="339">
        <f>VLOOKUP(A27,Main!$A:$M,8,0)</f>
        <v>200000</v>
      </c>
      <c r="D27" s="338">
        <f>VLOOKUP(A27,Main!$A:$P,7,0)</f>
        <v>6000000</v>
      </c>
      <c r="E27" s="340" t="str">
        <f>VLOOKUP(A27,Main!$A:$Q,9,0)</f>
        <v>VS22</v>
      </c>
      <c r="F27" s="338" t="str">
        <f>VLOOKUP(A27,Main!$A:$R,10,0)</f>
        <v>19</v>
      </c>
      <c r="G27" s="341">
        <f t="shared" si="1"/>
        <v>30</v>
      </c>
      <c r="H27" s="340" t="str">
        <f>VLOOKUP(A27,Main!$A:$R,12,0)</f>
        <v>POS</v>
      </c>
      <c r="I27" s="340" t="str">
        <f>VLOOKUP(A27,Main!$A:$R,13,0)</f>
        <v>DAILY</v>
      </c>
      <c r="J27" s="342" t="s">
        <v>3863</v>
      </c>
      <c r="K27" s="342" t="str">
        <f>VLOOKUP(A27,Main!A27:V774,22,0)</f>
        <v>DEEPAKT</v>
      </c>
    </row>
    <row r="28">
      <c r="A28" s="76"/>
    </row>
    <row r="29">
      <c r="A29" s="76"/>
    </row>
    <row r="30">
      <c r="A30" s="76"/>
    </row>
    <row r="31">
      <c r="A31" s="76"/>
    </row>
    <row r="32">
      <c r="A32" s="76"/>
    </row>
    <row r="33">
      <c r="A33" s="76"/>
    </row>
    <row r="34">
      <c r="A34" s="76"/>
    </row>
    <row r="35">
      <c r="A35" s="76"/>
    </row>
    <row r="36">
      <c r="A36" s="76"/>
    </row>
    <row r="37">
      <c r="A37" s="76"/>
    </row>
    <row r="38">
      <c r="A38" s="76"/>
    </row>
    <row r="39">
      <c r="A39" s="77"/>
    </row>
    <row r="40">
      <c r="A40" s="76"/>
    </row>
    <row r="41">
      <c r="A41" s="76"/>
    </row>
    <row r="42">
      <c r="A42" s="76"/>
    </row>
    <row r="43">
      <c r="A43" s="77"/>
    </row>
    <row r="44">
      <c r="A44" s="76"/>
    </row>
    <row r="45">
      <c r="A45" s="76"/>
    </row>
    <row r="46">
      <c r="A46" s="76"/>
    </row>
    <row r="47">
      <c r="A47" s="76"/>
    </row>
    <row r="48">
      <c r="A48" s="76"/>
    </row>
    <row r="49">
      <c r="A49" s="76"/>
    </row>
    <row r="50">
      <c r="A50" s="76"/>
    </row>
    <row r="51">
      <c r="A51" s="76"/>
    </row>
    <row r="52">
      <c r="A52" s="76"/>
    </row>
    <row r="53">
      <c r="A53" s="76"/>
    </row>
    <row r="54">
      <c r="A54" s="76"/>
    </row>
    <row r="55">
      <c r="A55" s="76"/>
    </row>
  </sheetData>
  <conditionalFormatting sqref="A11 A13:A16 A18">
    <cfRule type="expression" dxfId="0" priority="1">
      <formula>COUNTIF(A:A, A11) &gt; 1</formula>
    </cfRule>
  </conditionalFormatting>
  <conditionalFormatting sqref="A10">
    <cfRule type="expression" dxfId="0" priority="2">
      <formula>COUNTIF(A:A, A10) &gt; 1</formula>
    </cfRule>
  </conditionalFormatting>
  <conditionalFormatting sqref="A9">
    <cfRule type="expression" dxfId="0" priority="3">
      <formula>COUNTIF(A:A, A9) &gt; 1</formula>
    </cfRule>
  </conditionalFormatting>
  <conditionalFormatting sqref="A8">
    <cfRule type="expression" dxfId="0" priority="4">
      <formula>COUNTIF(A:A, A8) &gt; 1</formula>
    </cfRule>
  </conditionalFormatting>
  <conditionalFormatting sqref="A27">
    <cfRule type="expression" dxfId="0" priority="5">
      <formula>COUNTIF(A:A, A27) &gt; 1</formula>
    </cfRule>
  </conditionalFormatting>
  <conditionalFormatting sqref="A7">
    <cfRule type="expression" dxfId="0" priority="6">
      <formula>COUNTIF(A:A, A7) &gt; 1</formula>
    </cfRule>
  </conditionalFormatting>
  <conditionalFormatting sqref="A6 A25">
    <cfRule type="expression" dxfId="0" priority="7">
      <formula>COUNTIF(A:A, A6) &gt; 1</formula>
    </cfRule>
  </conditionalFormatting>
  <conditionalFormatting sqref="A5">
    <cfRule type="expression" dxfId="0" priority="8">
      <formula>COUNTIF(A:A, A5) &gt; 1</formula>
    </cfRule>
  </conditionalFormatting>
  <conditionalFormatting sqref="A4">
    <cfRule type="expression" dxfId="0" priority="9">
      <formula>COUNTIF(A:A, A4) &gt; 1</formula>
    </cfRule>
  </conditionalFormatting>
  <conditionalFormatting sqref="A3">
    <cfRule type="expression" dxfId="0" priority="10">
      <formula>COUNTIF(A:A, A3) &gt; 1</formula>
    </cfRule>
  </conditionalFormatting>
  <conditionalFormatting sqref="A2">
    <cfRule type="expression" dxfId="0" priority="11">
      <formula>COUNTIF(A:A, A2) &gt; 1</formula>
    </cfRule>
  </conditionalFormatting>
  <conditionalFormatting sqref="A1:J1">
    <cfRule type="expression" dxfId="0" priority="12">
      <formula>COUNTIF(A:A, A1) &gt; 1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71"/>
    <col hidden="1" min="3" max="3" width="14.43"/>
    <col customWidth="1" min="4" max="4" width="17.71"/>
    <col hidden="1" min="6" max="6" width="14.43"/>
    <col customWidth="1" hidden="1" min="9" max="9" width="20.86"/>
    <col customWidth="1" hidden="1" min="10" max="10" width="21.71"/>
    <col customWidth="1" hidden="1" min="11" max="15" width="20.57"/>
    <col hidden="1" min="16" max="17" width="14.43"/>
    <col customWidth="1" min="18" max="18" width="20.14"/>
    <col customWidth="1" min="19" max="19" width="24.0"/>
  </cols>
  <sheetData>
    <row r="1">
      <c r="A1" s="327" t="s">
        <v>1148</v>
      </c>
      <c r="B1" s="328" t="s">
        <v>22</v>
      </c>
      <c r="C1" s="329" t="s">
        <v>12</v>
      </c>
      <c r="D1" s="329" t="s">
        <v>18</v>
      </c>
      <c r="E1" s="330" t="s">
        <v>726</v>
      </c>
      <c r="F1" s="329" t="s">
        <v>497</v>
      </c>
      <c r="G1" s="329" t="s">
        <v>28</v>
      </c>
      <c r="H1" s="329" t="s">
        <v>5</v>
      </c>
      <c r="I1" s="329" t="s">
        <v>35</v>
      </c>
      <c r="J1" s="329" t="s">
        <v>37</v>
      </c>
      <c r="K1" s="329" t="s">
        <v>3858</v>
      </c>
      <c r="L1" s="329" t="s">
        <v>55</v>
      </c>
      <c r="M1" s="329" t="s">
        <v>53</v>
      </c>
      <c r="N1" s="329" t="s">
        <v>52</v>
      </c>
      <c r="O1" s="329" t="s">
        <v>57</v>
      </c>
      <c r="P1" s="89" t="s">
        <v>3859</v>
      </c>
      <c r="Q1" s="162" t="s">
        <v>3860</v>
      </c>
      <c r="R1" s="331" t="s">
        <v>58</v>
      </c>
      <c r="S1" s="332" t="s">
        <v>59</v>
      </c>
    </row>
    <row r="2">
      <c r="A2" s="83" t="s">
        <v>1200</v>
      </c>
      <c r="B2" s="162" t="s">
        <v>1201</v>
      </c>
      <c r="C2" s="333"/>
      <c r="D2" s="333" t="s">
        <v>272</v>
      </c>
      <c r="E2" s="334">
        <v>1200000.0</v>
      </c>
      <c r="F2" s="335">
        <v>1500000.0</v>
      </c>
      <c r="G2" s="336" t="s">
        <v>585</v>
      </c>
      <c r="H2" s="220">
        <v>7.0</v>
      </c>
      <c r="I2" s="337">
        <f t="shared" ref="I2:I309" si="1">IFERROR(E2/F2,0)</f>
        <v>0.8</v>
      </c>
      <c r="J2" s="336" t="s">
        <v>273</v>
      </c>
      <c r="K2" s="336" t="b">
        <f t="shared" ref="K2:K308" si="2">IFERROR(E2=L2,0)</f>
        <v>0</v>
      </c>
      <c r="L2" s="219" t="b">
        <f>IFERROR(VLOOKUP($A2,AlgoUi!$A$1:$M$1779,13,0),"0")</f>
        <v>1</v>
      </c>
      <c r="M2" s="219" t="b">
        <f>IFERROR(VLOOKUP($A2,AlgoUi!$A$1:$M$1779,12,0),"0")</f>
        <v>1</v>
      </c>
      <c r="N2" s="219" t="str">
        <f>IFERROR(VLOOKUP($A2,AlgoUi!$A$1:$M$1779,11,0),"0")</f>
        <v>FALSE</v>
      </c>
      <c r="O2" s="220" t="str">
        <f t="shared" ref="O2:O309" si="3">VLOOKUP($G2,ServerMapping!$A:$B,2,0)</f>
        <v>#REF!</v>
      </c>
      <c r="Q2" s="89" t="s">
        <v>3861</v>
      </c>
      <c r="R2" s="42" t="str">
        <f>VLOOKUP($A2,Category!$A$1:$E$351,4,0)</f>
        <v>MS</v>
      </c>
      <c r="S2" s="42" t="str">
        <f>VLOOKUP($A2,Category!$A$1:$E$351,5,0)</f>
        <v>MSJ</v>
      </c>
      <c r="T2" s="89" t="s">
        <v>3862</v>
      </c>
    </row>
    <row r="3">
      <c r="A3" s="83" t="s">
        <v>527</v>
      </c>
      <c r="B3" s="89" t="s">
        <v>1211</v>
      </c>
      <c r="C3" s="333">
        <v>1.0</v>
      </c>
      <c r="D3" s="333" t="s">
        <v>311</v>
      </c>
      <c r="E3" s="334">
        <v>40000.0</v>
      </c>
      <c r="F3" s="335">
        <v>50000.0</v>
      </c>
      <c r="G3" s="220" t="s">
        <v>585</v>
      </c>
      <c r="H3" s="220">
        <v>7.0</v>
      </c>
      <c r="I3" s="337">
        <f t="shared" si="1"/>
        <v>0.8</v>
      </c>
      <c r="J3" s="220"/>
      <c r="K3" s="336" t="b">
        <f t="shared" si="2"/>
        <v>0</v>
      </c>
      <c r="L3" s="219" t="b">
        <f>IFERROR(VLOOKUP($A3,AlgoUi!$A$1:$M$1779,13,0),"0")</f>
        <v>0</v>
      </c>
      <c r="M3" s="219" t="b">
        <f>IFERROR(VLOOKUP($A3,AlgoUi!$A$1:$M$1779,12,0),"0")</f>
        <v>1</v>
      </c>
      <c r="N3" s="219" t="str">
        <f>IFERROR(VLOOKUP($A3,AlgoUi!$A$1:$M$1779,11,0),"0")</f>
        <v>TRUE</v>
      </c>
      <c r="O3" s="220" t="str">
        <f t="shared" si="3"/>
        <v>#REF!</v>
      </c>
      <c r="Q3" s="89" t="s">
        <v>3861</v>
      </c>
      <c r="R3" s="42" t="str">
        <f>VLOOKUP($A3,Category!$A$1:$E$351,4,0)</f>
        <v>CC</v>
      </c>
      <c r="S3" s="42" t="str">
        <f>VLOOKUP($A3,Category!$A$1:$E$351,5,0)</f>
        <v>CCG</v>
      </c>
    </row>
    <row r="4">
      <c r="A4" s="83" t="s">
        <v>544</v>
      </c>
      <c r="B4" s="343" t="s">
        <v>1212</v>
      </c>
      <c r="C4" s="333">
        <v>1.0</v>
      </c>
      <c r="D4" s="333" t="s">
        <v>311</v>
      </c>
      <c r="E4" s="334">
        <v>48000.0</v>
      </c>
      <c r="F4" s="335">
        <v>60000.0</v>
      </c>
      <c r="G4" s="220" t="s">
        <v>585</v>
      </c>
      <c r="H4" s="220">
        <v>7.0</v>
      </c>
      <c r="I4" s="337">
        <f t="shared" si="1"/>
        <v>0.8</v>
      </c>
      <c r="J4" s="220"/>
      <c r="K4" s="336" t="b">
        <f t="shared" si="2"/>
        <v>0</v>
      </c>
      <c r="L4" s="219" t="b">
        <f>IFERROR(VLOOKUP($A4,AlgoUi!$A$1:$M$1779,13,0),"0")</f>
        <v>0</v>
      </c>
      <c r="M4" s="219" t="b">
        <f>IFERROR(VLOOKUP($A4,AlgoUi!$A$1:$M$1779,12,0),"0")</f>
        <v>1</v>
      </c>
      <c r="N4" s="219" t="str">
        <f>IFERROR(VLOOKUP($A4,AlgoUi!$A$1:$M$1779,11,0),"0")</f>
        <v>TRUE</v>
      </c>
      <c r="O4" s="220" t="str">
        <f t="shared" si="3"/>
        <v>#REF!</v>
      </c>
      <c r="Q4" s="89" t="s">
        <v>3861</v>
      </c>
      <c r="R4" s="42" t="str">
        <f>VLOOKUP($A4,Category!$A$1:$E$351,4,0)</f>
        <v>CC</v>
      </c>
      <c r="S4" s="42" t="str">
        <f>VLOOKUP($A4,Category!$A$1:$E$351,5,0)</f>
        <v>CCG</v>
      </c>
    </row>
    <row r="5">
      <c r="A5" s="83" t="s">
        <v>478</v>
      </c>
      <c r="B5" s="343" t="s">
        <v>1221</v>
      </c>
      <c r="C5" s="333">
        <v>1.0</v>
      </c>
      <c r="D5" s="333" t="s">
        <v>311</v>
      </c>
      <c r="E5" s="344">
        <v>32000.0</v>
      </c>
      <c r="F5" s="219">
        <v>40000.0</v>
      </c>
      <c r="G5" s="220" t="s">
        <v>585</v>
      </c>
      <c r="H5" s="220">
        <v>7.0</v>
      </c>
      <c r="I5" s="337">
        <f t="shared" si="1"/>
        <v>0.8</v>
      </c>
      <c r="J5" s="220"/>
      <c r="K5" s="336" t="b">
        <f t="shared" si="2"/>
        <v>0</v>
      </c>
      <c r="L5" s="219" t="b">
        <f>IFERROR(VLOOKUP($A5,AlgoUi!$A$1:$M$1779,13,0),"0")</f>
        <v>0</v>
      </c>
      <c r="M5" s="219" t="b">
        <f>IFERROR(VLOOKUP($A5,AlgoUi!$A$1:$M$1779,12,0),"0")</f>
        <v>1</v>
      </c>
      <c r="N5" s="219" t="str">
        <f>IFERROR(VLOOKUP($A5,AlgoUi!$A$1:$M$1779,11,0),"0")</f>
        <v>TRUE</v>
      </c>
      <c r="O5" s="220" t="str">
        <f t="shared" si="3"/>
        <v>#REF!</v>
      </c>
      <c r="Q5" s="89" t="s">
        <v>3861</v>
      </c>
      <c r="R5" s="42" t="str">
        <f>VLOOKUP($A5,Category!$A$1:$E$351,4,0)</f>
        <v>CC</v>
      </c>
      <c r="S5" s="42" t="str">
        <f>VLOOKUP($A5,Category!$A$1:$E$351,5,0)</f>
        <v>PGB</v>
      </c>
    </row>
    <row r="6">
      <c r="A6" s="83" t="s">
        <v>391</v>
      </c>
      <c r="B6" s="343" t="s">
        <v>1222</v>
      </c>
      <c r="C6" s="333">
        <v>1.0</v>
      </c>
      <c r="D6" s="333" t="s">
        <v>311</v>
      </c>
      <c r="E6" s="334">
        <v>56000.0</v>
      </c>
      <c r="F6" s="335">
        <v>70000.0</v>
      </c>
      <c r="G6" s="220" t="s">
        <v>585</v>
      </c>
      <c r="H6" s="220">
        <v>7.0</v>
      </c>
      <c r="I6" s="337">
        <f t="shared" si="1"/>
        <v>0.8</v>
      </c>
      <c r="J6" s="220"/>
      <c r="K6" s="336" t="b">
        <f t="shared" si="2"/>
        <v>0</v>
      </c>
      <c r="L6" s="219" t="b">
        <f>IFERROR(VLOOKUP($A6,AlgoUi!$A$1:$M$1779,13,0),"0")</f>
        <v>0</v>
      </c>
      <c r="M6" s="219" t="b">
        <f>IFERROR(VLOOKUP($A6,AlgoUi!$A$1:$M$1779,12,0),"0")</f>
        <v>1</v>
      </c>
      <c r="N6" s="219" t="str">
        <f>IFERROR(VLOOKUP($A6,AlgoUi!$A$1:$M$1779,11,0),"0")</f>
        <v>TRUE</v>
      </c>
      <c r="O6" s="220" t="str">
        <f t="shared" si="3"/>
        <v>#REF!</v>
      </c>
      <c r="Q6" s="89" t="s">
        <v>3861</v>
      </c>
      <c r="R6" s="42" t="str">
        <f>VLOOKUP($A6,Category!$A$1:$E$351,4,0)</f>
        <v>CC</v>
      </c>
      <c r="S6" s="42" t="str">
        <f>VLOOKUP($A6,Category!$A$1:$E$351,5,0)</f>
        <v>CCG</v>
      </c>
    </row>
    <row r="7">
      <c r="A7" s="83" t="s">
        <v>467</v>
      </c>
      <c r="B7" s="343" t="s">
        <v>1226</v>
      </c>
      <c r="C7" s="333">
        <v>1.0</v>
      </c>
      <c r="D7" s="333" t="s">
        <v>311</v>
      </c>
      <c r="E7" s="344">
        <v>48000.0</v>
      </c>
      <c r="F7" s="219">
        <v>60000.0</v>
      </c>
      <c r="G7" s="220" t="s">
        <v>585</v>
      </c>
      <c r="H7" s="220">
        <v>7.0</v>
      </c>
      <c r="I7" s="337">
        <f t="shared" si="1"/>
        <v>0.8</v>
      </c>
      <c r="J7" s="220"/>
      <c r="K7" s="336" t="b">
        <f t="shared" si="2"/>
        <v>0</v>
      </c>
      <c r="L7" s="219" t="b">
        <f>IFERROR(VLOOKUP($A7,AlgoUi!$A$1:$M$1779,13,0),"0")</f>
        <v>0</v>
      </c>
      <c r="M7" s="219" t="b">
        <f>IFERROR(VLOOKUP($A7,AlgoUi!$A$1:$M$1779,12,0),"0")</f>
        <v>1</v>
      </c>
      <c r="N7" s="219" t="str">
        <f>IFERROR(VLOOKUP($A7,AlgoUi!$A$1:$M$1779,11,0),"0")</f>
        <v>TRUE</v>
      </c>
      <c r="O7" s="220" t="str">
        <f t="shared" si="3"/>
        <v>#REF!</v>
      </c>
      <c r="Q7" s="89" t="s">
        <v>3861</v>
      </c>
      <c r="R7" s="42" t="str">
        <f>VLOOKUP($A7,Category!$A$1:$E$351,4,0)</f>
        <v>CC</v>
      </c>
      <c r="S7" s="42" t="str">
        <f>VLOOKUP($A7,Category!$A$1:$E$351,5,0)</f>
        <v>CCG</v>
      </c>
    </row>
    <row r="8">
      <c r="A8" s="83" t="s">
        <v>498</v>
      </c>
      <c r="B8" s="343" t="s">
        <v>1227</v>
      </c>
      <c r="C8" s="333">
        <v>1.0</v>
      </c>
      <c r="D8" s="333" t="s">
        <v>311</v>
      </c>
      <c r="E8" s="334">
        <v>56000.0</v>
      </c>
      <c r="F8" s="335">
        <v>70000.0</v>
      </c>
      <c r="G8" s="220" t="s">
        <v>585</v>
      </c>
      <c r="H8" s="220">
        <v>7.0</v>
      </c>
      <c r="I8" s="337">
        <f t="shared" si="1"/>
        <v>0.8</v>
      </c>
      <c r="J8" s="220"/>
      <c r="K8" s="336" t="b">
        <f t="shared" si="2"/>
        <v>0</v>
      </c>
      <c r="L8" s="219" t="b">
        <f>IFERROR(VLOOKUP($A8,AlgoUi!$A$1:$M$1779,13,0),"0")</f>
        <v>0</v>
      </c>
      <c r="M8" s="219" t="b">
        <f>IFERROR(VLOOKUP($A8,AlgoUi!$A$1:$M$1779,12,0),"0")</f>
        <v>1</v>
      </c>
      <c r="N8" s="219" t="str">
        <f>IFERROR(VLOOKUP($A8,AlgoUi!$A$1:$M$1779,11,0),"0")</f>
        <v>TRUE</v>
      </c>
      <c r="O8" s="220" t="str">
        <f t="shared" si="3"/>
        <v>#REF!</v>
      </c>
      <c r="Q8" s="89" t="s">
        <v>3861</v>
      </c>
      <c r="R8" s="42" t="str">
        <f>VLOOKUP($A8,Category!$A$1:$E$351,4,0)</f>
        <v>CC</v>
      </c>
      <c r="S8" s="42" t="str">
        <f>VLOOKUP($A8,Category!$A$1:$E$351,5,0)</f>
        <v>CCG</v>
      </c>
    </row>
    <row r="9">
      <c r="A9" s="83" t="s">
        <v>324</v>
      </c>
      <c r="B9" s="343" t="s">
        <v>1229</v>
      </c>
      <c r="C9" s="333">
        <v>1.0</v>
      </c>
      <c r="D9" s="333" t="s">
        <v>311</v>
      </c>
      <c r="E9" s="344">
        <v>32000.0</v>
      </c>
      <c r="F9" s="219">
        <v>40000.0</v>
      </c>
      <c r="G9" s="220" t="s">
        <v>585</v>
      </c>
      <c r="H9" s="220">
        <v>7.0</v>
      </c>
      <c r="I9" s="337">
        <f t="shared" si="1"/>
        <v>0.8</v>
      </c>
      <c r="J9" s="220"/>
      <c r="K9" s="336" t="b">
        <f t="shared" si="2"/>
        <v>0</v>
      </c>
      <c r="L9" s="219" t="b">
        <f>IFERROR(VLOOKUP($A9,AlgoUi!$A$1:$M$1779,13,0),"0")</f>
        <v>0</v>
      </c>
      <c r="M9" s="219" t="b">
        <f>IFERROR(VLOOKUP($A9,AlgoUi!$A$1:$M$1779,12,0),"0")</f>
        <v>1</v>
      </c>
      <c r="N9" s="219" t="str">
        <f>IFERROR(VLOOKUP($A9,AlgoUi!$A$1:$M$1779,11,0),"0")</f>
        <v>TRUE</v>
      </c>
      <c r="O9" s="220" t="str">
        <f t="shared" si="3"/>
        <v>#REF!</v>
      </c>
      <c r="Q9" s="89" t="s">
        <v>3861</v>
      </c>
      <c r="R9" s="42" t="str">
        <f>VLOOKUP($A9,Category!$A$1:$E$351,4,0)</f>
        <v>CC</v>
      </c>
      <c r="S9" s="42" t="str">
        <f>VLOOKUP($A9,Category!$A$1:$E$351,5,0)</f>
        <v>CCG</v>
      </c>
    </row>
    <row r="10">
      <c r="A10" s="83" t="s">
        <v>805</v>
      </c>
      <c r="B10" s="343" t="s">
        <v>1239</v>
      </c>
      <c r="C10" s="333">
        <v>1.0</v>
      </c>
      <c r="D10" s="333" t="s">
        <v>311</v>
      </c>
      <c r="E10" s="334">
        <v>24000.0</v>
      </c>
      <c r="F10" s="335">
        <v>30000.0</v>
      </c>
      <c r="G10" s="220" t="s">
        <v>585</v>
      </c>
      <c r="H10" s="220">
        <v>7.0</v>
      </c>
      <c r="I10" s="337">
        <f t="shared" si="1"/>
        <v>0.8</v>
      </c>
      <c r="J10" s="220"/>
      <c r="K10" s="336" t="b">
        <f t="shared" si="2"/>
        <v>0</v>
      </c>
      <c r="L10" s="219" t="b">
        <f>IFERROR(VLOOKUP($A10,AlgoUi!$A$1:$M$1779,13,0),"0")</f>
        <v>0</v>
      </c>
      <c r="M10" s="219" t="b">
        <f>IFERROR(VLOOKUP($A10,AlgoUi!$A$1:$M$1779,12,0),"0")</f>
        <v>1</v>
      </c>
      <c r="N10" s="219" t="str">
        <f>IFERROR(VLOOKUP($A10,AlgoUi!$A$1:$M$1779,11,0),"0")</f>
        <v>TRUE</v>
      </c>
      <c r="O10" s="220" t="str">
        <f t="shared" si="3"/>
        <v>#REF!</v>
      </c>
      <c r="Q10" s="89" t="s">
        <v>3861</v>
      </c>
      <c r="R10" s="42" t="str">
        <f>VLOOKUP($A10,Category!$A$1:$E$351,4,0)</f>
        <v>CC</v>
      </c>
      <c r="S10" s="42" t="str">
        <f>VLOOKUP($A10,Category!$A$1:$E$351,5,0)</f>
        <v>CCG</v>
      </c>
    </row>
    <row r="11">
      <c r="A11" s="83" t="s">
        <v>399</v>
      </c>
      <c r="B11" s="343" t="s">
        <v>1240</v>
      </c>
      <c r="C11" s="333">
        <v>1.0</v>
      </c>
      <c r="D11" s="333" t="s">
        <v>311</v>
      </c>
      <c r="E11" s="334">
        <v>70000.0</v>
      </c>
      <c r="F11" s="335">
        <v>100000.0</v>
      </c>
      <c r="G11" s="336" t="s">
        <v>174</v>
      </c>
      <c r="H11" s="336">
        <v>1.0</v>
      </c>
      <c r="I11" s="337">
        <f t="shared" si="1"/>
        <v>0.7</v>
      </c>
      <c r="J11" s="220"/>
      <c r="K11" s="336" t="b">
        <f t="shared" si="2"/>
        <v>0</v>
      </c>
      <c r="L11" s="219" t="b">
        <f>IFERROR(VLOOKUP($A11,AlgoUi!$A$1:$M$1779,13,0),"0")</f>
        <v>0</v>
      </c>
      <c r="M11" s="219" t="b">
        <f>IFERROR(VLOOKUP($A11,AlgoUi!$A$1:$M$1779,12,0),"0")</f>
        <v>1</v>
      </c>
      <c r="N11" s="219" t="str">
        <f>IFERROR(VLOOKUP($A11,AlgoUi!$A$1:$M$1779,11,0),"0")</f>
        <v>TRUE</v>
      </c>
      <c r="O11" s="220" t="str">
        <f t="shared" si="3"/>
        <v>#REF!</v>
      </c>
      <c r="Q11" s="89" t="s">
        <v>3861</v>
      </c>
      <c r="R11" s="42" t="str">
        <f>VLOOKUP($A11,Category!$A$1:$E$351,4,0)</f>
        <v>CC</v>
      </c>
      <c r="S11" s="42" t="str">
        <f>VLOOKUP($A11,Category!$A$1:$E$351,5,0)</f>
        <v>CCG</v>
      </c>
    </row>
    <row r="12">
      <c r="A12" s="83" t="s">
        <v>808</v>
      </c>
      <c r="B12" s="343" t="s">
        <v>1243</v>
      </c>
      <c r="C12" s="333">
        <v>1.0</v>
      </c>
      <c r="D12" s="333" t="s">
        <v>311</v>
      </c>
      <c r="E12" s="344">
        <v>16000.0</v>
      </c>
      <c r="F12" s="219">
        <v>20000.0</v>
      </c>
      <c r="G12" s="220" t="s">
        <v>585</v>
      </c>
      <c r="H12" s="220">
        <v>7.0</v>
      </c>
      <c r="I12" s="337">
        <f t="shared" si="1"/>
        <v>0.8</v>
      </c>
      <c r="J12" s="220"/>
      <c r="K12" s="336" t="b">
        <f t="shared" si="2"/>
        <v>0</v>
      </c>
      <c r="L12" s="219" t="b">
        <f>IFERROR(VLOOKUP($A12,AlgoUi!$A$1:$M$1779,13,0),"0")</f>
        <v>0</v>
      </c>
      <c r="M12" s="219" t="b">
        <f>IFERROR(VLOOKUP($A12,AlgoUi!$A$1:$M$1779,12,0),"0")</f>
        <v>1</v>
      </c>
      <c r="N12" s="219" t="str">
        <f>IFERROR(VLOOKUP($A12,AlgoUi!$A$1:$M$1779,11,0),"0")</f>
        <v>TRUE</v>
      </c>
      <c r="O12" s="220" t="str">
        <f t="shared" si="3"/>
        <v>#REF!</v>
      </c>
      <c r="Q12" s="89" t="s">
        <v>3861</v>
      </c>
      <c r="R12" s="42" t="str">
        <f>VLOOKUP($A12,Category!$A$1:$E$351,4,0)</f>
        <v>CC</v>
      </c>
      <c r="S12" s="42" t="str">
        <f>VLOOKUP($A12,Category!$A$1:$E$351,5,0)</f>
        <v>CCG</v>
      </c>
    </row>
    <row r="13">
      <c r="A13" s="83" t="s">
        <v>464</v>
      </c>
      <c r="B13" s="162" t="s">
        <v>3871</v>
      </c>
      <c r="C13" s="333">
        <v>1.0</v>
      </c>
      <c r="D13" s="333" t="s">
        <v>311</v>
      </c>
      <c r="E13" s="344">
        <v>48000.0</v>
      </c>
      <c r="F13" s="219">
        <v>60000.0</v>
      </c>
      <c r="G13" s="220" t="s">
        <v>585</v>
      </c>
      <c r="H13" s="220">
        <v>7.0</v>
      </c>
      <c r="I13" s="337">
        <f t="shared" si="1"/>
        <v>0.8</v>
      </c>
      <c r="J13" s="336" t="s">
        <v>3872</v>
      </c>
      <c r="K13" s="336" t="b">
        <f t="shared" si="2"/>
        <v>0</v>
      </c>
      <c r="L13" s="219" t="b">
        <f>IFERROR(VLOOKUP($A13,AlgoUi!$A$1:$M$1779,13,0),"0")</f>
        <v>0</v>
      </c>
      <c r="M13" s="219" t="b">
        <f>IFERROR(VLOOKUP($A13,AlgoUi!$A$1:$M$1779,12,0),"0")</f>
        <v>1</v>
      </c>
      <c r="N13" s="219" t="str">
        <f>IFERROR(VLOOKUP($A13,AlgoUi!$A$1:$M$1779,11,0),"0")</f>
        <v>TRUE</v>
      </c>
      <c r="O13" s="220" t="str">
        <f t="shared" si="3"/>
        <v>#REF!</v>
      </c>
      <c r="Q13" s="89" t="s">
        <v>3861</v>
      </c>
      <c r="R13" s="42" t="str">
        <f>VLOOKUP($A13,Category!$A$1:$E$351,4,0)</f>
        <v>CC</v>
      </c>
      <c r="S13" s="42" t="str">
        <f>VLOOKUP($A13,Category!$A$1:$E$351,5,0)</f>
        <v>CCG</v>
      </c>
    </row>
    <row r="14">
      <c r="A14" s="83" t="s">
        <v>639</v>
      </c>
      <c r="B14" s="343" t="s">
        <v>1270</v>
      </c>
      <c r="C14" s="333">
        <v>1.0</v>
      </c>
      <c r="D14" s="333" t="s">
        <v>311</v>
      </c>
      <c r="E14" s="334">
        <v>136000.0</v>
      </c>
      <c r="F14" s="335">
        <v>170000.0</v>
      </c>
      <c r="G14" s="220" t="s">
        <v>585</v>
      </c>
      <c r="H14" s="220">
        <v>7.0</v>
      </c>
      <c r="I14" s="337">
        <f t="shared" si="1"/>
        <v>0.8</v>
      </c>
      <c r="J14" s="220"/>
      <c r="K14" s="336" t="b">
        <f t="shared" si="2"/>
        <v>0</v>
      </c>
      <c r="L14" s="219" t="b">
        <f>IFERROR(VLOOKUP($A14,AlgoUi!$A$1:$M$1779,13,0),"0")</f>
        <v>0</v>
      </c>
      <c r="M14" s="219" t="b">
        <f>IFERROR(VLOOKUP($A14,AlgoUi!$A$1:$M$1779,12,0),"0")</f>
        <v>1</v>
      </c>
      <c r="N14" s="219" t="str">
        <f>IFERROR(VLOOKUP($A14,AlgoUi!$A$1:$M$1779,11,0),"0")</f>
        <v>TRUE</v>
      </c>
      <c r="O14" s="220" t="str">
        <f t="shared" si="3"/>
        <v>#REF!</v>
      </c>
      <c r="Q14" s="89" t="s">
        <v>3861</v>
      </c>
      <c r="R14" s="42" t="str">
        <f>VLOOKUP($A14,Category!$A$1:$E$351,4,0)</f>
        <v>CC</v>
      </c>
      <c r="S14" s="42" t="str">
        <f>VLOOKUP($A14,Category!$A$1:$E$351,5,0)</f>
        <v>CCG</v>
      </c>
    </row>
    <row r="15">
      <c r="A15" s="83" t="s">
        <v>494</v>
      </c>
      <c r="B15" s="343" t="s">
        <v>1271</v>
      </c>
      <c r="C15" s="333">
        <v>1.0</v>
      </c>
      <c r="D15" s="333" t="s">
        <v>311</v>
      </c>
      <c r="E15" s="344">
        <v>32000.0</v>
      </c>
      <c r="F15" s="219">
        <v>40000.0</v>
      </c>
      <c r="G15" s="220" t="s">
        <v>585</v>
      </c>
      <c r="H15" s="220">
        <v>7.0</v>
      </c>
      <c r="I15" s="337">
        <f t="shared" si="1"/>
        <v>0.8</v>
      </c>
      <c r="J15" s="220"/>
      <c r="K15" s="336" t="b">
        <f t="shared" si="2"/>
        <v>0</v>
      </c>
      <c r="L15" s="219" t="b">
        <f>IFERROR(VLOOKUP($A15,AlgoUi!$A$1:$M$1779,13,0),"0")</f>
        <v>0</v>
      </c>
      <c r="M15" s="219" t="b">
        <f>IFERROR(VLOOKUP($A15,AlgoUi!$A$1:$M$1779,12,0),"0")</f>
        <v>1</v>
      </c>
      <c r="N15" s="219" t="str">
        <f>IFERROR(VLOOKUP($A15,AlgoUi!$A$1:$M$1779,11,0),"0")</f>
        <v>TRUE</v>
      </c>
      <c r="O15" s="220" t="str">
        <f t="shared" si="3"/>
        <v>#REF!</v>
      </c>
      <c r="Q15" s="89" t="s">
        <v>3861</v>
      </c>
      <c r="R15" s="42" t="str">
        <f>VLOOKUP($A15,Category!$A$1:$E$351,4,0)</f>
        <v>CC</v>
      </c>
      <c r="S15" s="42" t="str">
        <f>VLOOKUP($A15,Category!$A$1:$E$351,5,0)</f>
        <v>CCV</v>
      </c>
    </row>
    <row r="16">
      <c r="A16" s="83" t="s">
        <v>1272</v>
      </c>
      <c r="B16" s="343" t="s">
        <v>1273</v>
      </c>
      <c r="C16" s="333">
        <v>1.0</v>
      </c>
      <c r="D16" s="333" t="s">
        <v>311</v>
      </c>
      <c r="E16" s="344">
        <v>24000.0</v>
      </c>
      <c r="F16" s="335">
        <v>30000.0</v>
      </c>
      <c r="G16" s="220" t="s">
        <v>585</v>
      </c>
      <c r="H16" s="220">
        <v>7.0</v>
      </c>
      <c r="I16" s="337">
        <f t="shared" si="1"/>
        <v>0.8</v>
      </c>
      <c r="J16" s="220"/>
      <c r="K16" s="336" t="b">
        <f t="shared" si="2"/>
        <v>0</v>
      </c>
      <c r="L16" s="219" t="b">
        <f>IFERROR(VLOOKUP($A16,AlgoUi!$A$1:$M$1779,13,0),"0")</f>
        <v>0</v>
      </c>
      <c r="M16" s="219" t="b">
        <f>IFERROR(VLOOKUP($A16,AlgoUi!$A$1:$M$1779,12,0),"0")</f>
        <v>0</v>
      </c>
      <c r="N16" s="219" t="str">
        <f>IFERROR(VLOOKUP($A16,AlgoUi!$A$1:$M$1779,11,0),"0")</f>
        <v>TRUE</v>
      </c>
      <c r="O16" s="220" t="str">
        <f t="shared" si="3"/>
        <v>#REF!</v>
      </c>
      <c r="Q16" s="89" t="s">
        <v>3861</v>
      </c>
      <c r="R16" s="42" t="str">
        <f>VLOOKUP($A16,Category!$A$1:$E$351,4,0)</f>
        <v>CC</v>
      </c>
      <c r="S16" s="42" t="str">
        <f>VLOOKUP($A16,Category!$A$1:$E$351,5,0)</f>
        <v>CCG</v>
      </c>
    </row>
    <row r="17">
      <c r="A17" s="83" t="s">
        <v>287</v>
      </c>
      <c r="B17" s="162" t="s">
        <v>3874</v>
      </c>
      <c r="C17" s="333"/>
      <c r="D17" s="333" t="s">
        <v>285</v>
      </c>
      <c r="E17" s="334">
        <v>0.0</v>
      </c>
      <c r="F17" s="219">
        <v>0.0</v>
      </c>
      <c r="G17" s="220" t="s">
        <v>92</v>
      </c>
      <c r="H17" s="220">
        <v>2.0</v>
      </c>
      <c r="I17" s="337">
        <f t="shared" si="1"/>
        <v>0</v>
      </c>
      <c r="J17" s="336" t="s">
        <v>273</v>
      </c>
      <c r="K17" s="336" t="b">
        <f t="shared" si="2"/>
        <v>0</v>
      </c>
      <c r="L17" s="219" t="b">
        <f>IFERROR(VLOOKUP($A17,AlgoUi!$A$1:$M$1779,13,0),"0")</f>
        <v>1</v>
      </c>
      <c r="M17" s="219" t="b">
        <f>IFERROR(VLOOKUP($A17,AlgoUi!$A$1:$M$1779,12,0),"0")</f>
        <v>1</v>
      </c>
      <c r="N17" s="219" t="str">
        <f>IFERROR(VLOOKUP($A17,AlgoUi!$A$1:$M$1779,11,0),"0")</f>
        <v>TRUE</v>
      </c>
      <c r="O17" s="220" t="str">
        <f t="shared" si="3"/>
        <v>#REF!</v>
      </c>
      <c r="P17" s="89" t="s">
        <v>3875</v>
      </c>
      <c r="Q17" s="89" t="s">
        <v>3861</v>
      </c>
      <c r="R17" s="42" t="str">
        <f>VLOOKUP($A17,Category!$A$1:$E$351,4,0)</f>
        <v>MS</v>
      </c>
      <c r="S17" s="42" t="str">
        <f>VLOOKUP($A17,Category!$A$1:$E$351,5,0)</f>
        <v>MSJ</v>
      </c>
    </row>
    <row r="18">
      <c r="A18" s="83" t="s">
        <v>430</v>
      </c>
      <c r="B18" s="343" t="s">
        <v>1274</v>
      </c>
      <c r="C18" s="333">
        <v>1.0</v>
      </c>
      <c r="D18" s="333" t="s">
        <v>311</v>
      </c>
      <c r="E18" s="344">
        <v>48000.0</v>
      </c>
      <c r="F18" s="219">
        <v>60000.0</v>
      </c>
      <c r="G18" s="220" t="s">
        <v>585</v>
      </c>
      <c r="H18" s="220">
        <v>7.0</v>
      </c>
      <c r="I18" s="337">
        <f t="shared" si="1"/>
        <v>0.8</v>
      </c>
      <c r="J18" s="220"/>
      <c r="K18" s="336" t="b">
        <f t="shared" si="2"/>
        <v>0</v>
      </c>
      <c r="L18" s="219" t="b">
        <f>IFERROR(VLOOKUP($A18,AlgoUi!$A$1:$M$1779,13,0),"0")</f>
        <v>0</v>
      </c>
      <c r="M18" s="219" t="b">
        <f>IFERROR(VLOOKUP($A18,AlgoUi!$A$1:$M$1779,12,0),"0")</f>
        <v>1</v>
      </c>
      <c r="N18" s="219" t="str">
        <f>IFERROR(VLOOKUP($A18,AlgoUi!$A$1:$M$1779,11,0),"0")</f>
        <v>TRUE</v>
      </c>
      <c r="O18" s="220" t="str">
        <f t="shared" si="3"/>
        <v>#REF!</v>
      </c>
      <c r="Q18" s="89" t="s">
        <v>3861</v>
      </c>
      <c r="R18" s="42" t="str">
        <f>VLOOKUP($A18,Category!$A$1:$E$351,4,0)</f>
        <v>CC</v>
      </c>
      <c r="S18" s="42" t="str">
        <f>VLOOKUP($A18,Category!$A$1:$E$351,5,0)</f>
        <v>CCG</v>
      </c>
    </row>
    <row r="19">
      <c r="A19" s="83" t="s">
        <v>348</v>
      </c>
      <c r="B19" s="343" t="s">
        <v>1279</v>
      </c>
      <c r="C19" s="333">
        <v>1.0</v>
      </c>
      <c r="D19" s="333" t="s">
        <v>311</v>
      </c>
      <c r="E19" s="334">
        <v>40000.0</v>
      </c>
      <c r="F19" s="335">
        <v>50000.0</v>
      </c>
      <c r="G19" s="220" t="s">
        <v>585</v>
      </c>
      <c r="H19" s="220">
        <v>7.0</v>
      </c>
      <c r="I19" s="337">
        <f t="shared" si="1"/>
        <v>0.8</v>
      </c>
      <c r="J19" s="220"/>
      <c r="K19" s="336" t="b">
        <f t="shared" si="2"/>
        <v>0</v>
      </c>
      <c r="L19" s="219" t="b">
        <f>IFERROR(VLOOKUP($A19,AlgoUi!$A$1:$M$1779,13,0),"0")</f>
        <v>0</v>
      </c>
      <c r="M19" s="219" t="b">
        <f>IFERROR(VLOOKUP($A19,AlgoUi!$A$1:$M$1779,12,0),"0")</f>
        <v>1</v>
      </c>
      <c r="N19" s="219" t="str">
        <f>IFERROR(VLOOKUP($A19,AlgoUi!$A$1:$M$1779,11,0),"0")</f>
        <v>TRUE</v>
      </c>
      <c r="O19" s="220" t="str">
        <f t="shared" si="3"/>
        <v>#REF!</v>
      </c>
      <c r="Q19" s="89" t="s">
        <v>3861</v>
      </c>
      <c r="R19" s="42" t="str">
        <f>VLOOKUP($A19,Category!$A$1:$E$351,4,0)</f>
        <v>CC</v>
      </c>
      <c r="S19" s="42" t="str">
        <f>VLOOKUP($A19,Category!$A$1:$E$351,5,0)</f>
        <v>CCG</v>
      </c>
    </row>
    <row r="20">
      <c r="A20" s="83" t="s">
        <v>1230</v>
      </c>
      <c r="B20" s="343" t="s">
        <v>1231</v>
      </c>
      <c r="C20" s="333">
        <v>1.0</v>
      </c>
      <c r="D20" s="333" t="s">
        <v>311</v>
      </c>
      <c r="E20" s="344">
        <v>28000.0</v>
      </c>
      <c r="F20" s="219">
        <v>40000.0</v>
      </c>
      <c r="G20" s="336" t="s">
        <v>83</v>
      </c>
      <c r="H20" s="336">
        <v>1.0</v>
      </c>
      <c r="I20" s="337">
        <f t="shared" si="1"/>
        <v>0.7</v>
      </c>
      <c r="J20" s="220"/>
      <c r="K20" s="336" t="b">
        <f t="shared" si="2"/>
        <v>0</v>
      </c>
      <c r="L20" s="219" t="b">
        <f>IFERROR(VLOOKUP($A20,AlgoUi!$A$1:$M$1779,13,0),"0")</f>
        <v>0</v>
      </c>
      <c r="M20" s="219" t="b">
        <f>IFERROR(VLOOKUP($A20,AlgoUi!$A$1:$M$1779,12,0),"0")</f>
        <v>0</v>
      </c>
      <c r="N20" s="219" t="str">
        <f>IFERROR(VLOOKUP($A20,AlgoUi!$A$1:$M$1779,11,0),"0")</f>
        <v>TRUE</v>
      </c>
      <c r="O20" s="220" t="str">
        <f t="shared" si="3"/>
        <v>#REF!</v>
      </c>
      <c r="Q20" s="89" t="s">
        <v>3861</v>
      </c>
      <c r="R20" s="42" t="str">
        <f>VLOOKUP($A20,Category!$A$1:$E$351,4,0)</f>
        <v>CC</v>
      </c>
      <c r="S20" s="42" t="str">
        <f>VLOOKUP($A20,Category!$A$1:$E$351,5,0)</f>
        <v>CCG</v>
      </c>
    </row>
    <row r="21">
      <c r="A21" s="83" t="s">
        <v>312</v>
      </c>
      <c r="B21" s="343" t="s">
        <v>313</v>
      </c>
      <c r="C21" s="333">
        <v>1.0</v>
      </c>
      <c r="D21" s="333" t="s">
        <v>311</v>
      </c>
      <c r="E21" s="334">
        <v>32000.0</v>
      </c>
      <c r="F21" s="335">
        <v>40000.0</v>
      </c>
      <c r="G21" s="220" t="s">
        <v>585</v>
      </c>
      <c r="H21" s="220">
        <v>7.0</v>
      </c>
      <c r="I21" s="337">
        <f t="shared" si="1"/>
        <v>0.8</v>
      </c>
      <c r="J21" s="220"/>
      <c r="K21" s="336" t="b">
        <f t="shared" si="2"/>
        <v>0</v>
      </c>
      <c r="L21" s="219" t="b">
        <f>IFERROR(VLOOKUP($A21,AlgoUi!$A$1:$M$1779,13,0),"0")</f>
        <v>0</v>
      </c>
      <c r="M21" s="219" t="b">
        <f>IFERROR(VLOOKUP($A21,AlgoUi!$A$1:$M$1779,12,0),"0")</f>
        <v>0</v>
      </c>
      <c r="N21" s="219" t="str">
        <f>IFERROR(VLOOKUP($A21,AlgoUi!$A$1:$M$1779,11,0),"0")</f>
        <v>TRUE</v>
      </c>
      <c r="O21" s="220" t="str">
        <f t="shared" si="3"/>
        <v>#REF!</v>
      </c>
      <c r="Q21" s="89" t="s">
        <v>3861</v>
      </c>
      <c r="R21" s="42" t="str">
        <f>VLOOKUP($A21,Category!$A$1:$E$351,4,0)</f>
        <v>CC</v>
      </c>
      <c r="S21" s="42" t="str">
        <f>VLOOKUP($A21,Category!$A$1:$E$351,5,0)</f>
        <v>CCG</v>
      </c>
    </row>
    <row r="22">
      <c r="A22" s="83" t="s">
        <v>289</v>
      </c>
      <c r="B22" s="343" t="s">
        <v>1298</v>
      </c>
      <c r="C22" s="333">
        <v>1.0</v>
      </c>
      <c r="D22" s="333" t="s">
        <v>311</v>
      </c>
      <c r="E22" s="344">
        <v>40000.0</v>
      </c>
      <c r="F22" s="219">
        <v>50000.0</v>
      </c>
      <c r="G22" s="220" t="s">
        <v>585</v>
      </c>
      <c r="H22" s="220">
        <v>7.0</v>
      </c>
      <c r="I22" s="337">
        <f t="shared" si="1"/>
        <v>0.8</v>
      </c>
      <c r="J22" s="220"/>
      <c r="K22" s="336" t="b">
        <f t="shared" si="2"/>
        <v>0</v>
      </c>
      <c r="L22" s="219" t="b">
        <f>IFERROR(VLOOKUP($A22,AlgoUi!$A$1:$M$1779,13,0),"0")</f>
        <v>0</v>
      </c>
      <c r="M22" s="219" t="b">
        <f>IFERROR(VLOOKUP($A22,AlgoUi!$A$1:$M$1779,12,0),"0")</f>
        <v>1</v>
      </c>
      <c r="N22" s="219" t="str">
        <f>IFERROR(VLOOKUP($A22,AlgoUi!$A$1:$M$1779,11,0),"0")</f>
        <v>TRUE</v>
      </c>
      <c r="O22" s="220" t="str">
        <f t="shared" si="3"/>
        <v>#REF!</v>
      </c>
      <c r="Q22" s="89" t="s">
        <v>3861</v>
      </c>
      <c r="R22" s="42" t="str">
        <f>VLOOKUP($A22,Category!$A$1:$E$351,4,0)</f>
        <v>CC</v>
      </c>
      <c r="S22" s="42" t="str">
        <f>VLOOKUP($A22,Category!$A$1:$E$351,5,0)</f>
        <v>CCV</v>
      </c>
    </row>
    <row r="23">
      <c r="A23" s="83" t="s">
        <v>1302</v>
      </c>
      <c r="B23" s="343" t="s">
        <v>1303</v>
      </c>
      <c r="C23" s="333">
        <v>1.0</v>
      </c>
      <c r="D23" s="333" t="s">
        <v>311</v>
      </c>
      <c r="E23" s="344">
        <v>24000.0</v>
      </c>
      <c r="F23" s="219">
        <v>30000.0</v>
      </c>
      <c r="G23" s="220" t="s">
        <v>585</v>
      </c>
      <c r="H23" s="220">
        <v>7.0</v>
      </c>
      <c r="I23" s="337">
        <f t="shared" si="1"/>
        <v>0.8</v>
      </c>
      <c r="J23" s="220"/>
      <c r="K23" s="336" t="b">
        <f t="shared" si="2"/>
        <v>0</v>
      </c>
      <c r="L23" s="219" t="b">
        <f>IFERROR(VLOOKUP($A23,AlgoUi!$A$1:$M$1779,13,0),"0")</f>
        <v>0</v>
      </c>
      <c r="M23" s="219" t="b">
        <f>IFERROR(VLOOKUP($A23,AlgoUi!$A$1:$M$1779,12,0),"0")</f>
        <v>0</v>
      </c>
      <c r="N23" s="219" t="str">
        <f>IFERROR(VLOOKUP($A23,AlgoUi!$A$1:$M$1779,11,0),"0")</f>
        <v>TRUE</v>
      </c>
      <c r="O23" s="220" t="str">
        <f t="shared" si="3"/>
        <v>#REF!</v>
      </c>
      <c r="Q23" s="89" t="s">
        <v>3861</v>
      </c>
      <c r="R23" s="42" t="str">
        <f>VLOOKUP($A23,Category!$A$1:$E$351,4,0)</f>
        <v>CC</v>
      </c>
      <c r="S23" s="42" t="str">
        <f>VLOOKUP($A23,Category!$A$1:$E$351,5,0)</f>
        <v>CCV</v>
      </c>
    </row>
    <row r="24">
      <c r="A24" s="83" t="s">
        <v>280</v>
      </c>
      <c r="B24" s="162" t="s">
        <v>1186</v>
      </c>
      <c r="C24" s="333"/>
      <c r="D24" s="333" t="s">
        <v>266</v>
      </c>
      <c r="E24" s="334">
        <v>700000.0</v>
      </c>
      <c r="F24" s="219">
        <v>1000000.0</v>
      </c>
      <c r="G24" s="220" t="s">
        <v>218</v>
      </c>
      <c r="H24" s="220">
        <v>1.0</v>
      </c>
      <c r="I24" s="337">
        <f t="shared" si="1"/>
        <v>0.7</v>
      </c>
      <c r="J24" s="336" t="s">
        <v>3877</v>
      </c>
      <c r="K24" s="336" t="b">
        <f t="shared" si="2"/>
        <v>0</v>
      </c>
      <c r="L24" s="219" t="b">
        <f>IFERROR(VLOOKUP($A24,AlgoUi!$A$1:$M$1779,13,0),"0")</f>
        <v>1</v>
      </c>
      <c r="M24" s="219" t="b">
        <f>IFERROR(VLOOKUP($A24,AlgoUi!$A$1:$M$1779,12,0),"0")</f>
        <v>1</v>
      </c>
      <c r="N24" s="219" t="str">
        <f>IFERROR(VLOOKUP($A24,AlgoUi!$A$1:$M$1779,11,0),"0")</f>
        <v>FALSE</v>
      </c>
      <c r="O24" s="220" t="str">
        <f t="shared" si="3"/>
        <v>#REF!</v>
      </c>
      <c r="Q24" s="89" t="s">
        <v>3861</v>
      </c>
      <c r="R24" s="42" t="str">
        <f>VLOOKUP($A24,Category!$A$1:$E$351,4,0)</f>
        <v>MS</v>
      </c>
      <c r="S24" s="42" t="str">
        <f>VLOOKUP($A24,Category!$A$1:$E$351,5,0)</f>
        <v>MSJ</v>
      </c>
      <c r="T24" s="89" t="s">
        <v>3878</v>
      </c>
    </row>
    <row r="25">
      <c r="A25" s="83" t="s">
        <v>558</v>
      </c>
      <c r="B25" s="343" t="s">
        <v>1896</v>
      </c>
      <c r="C25" s="333">
        <v>2.0</v>
      </c>
      <c r="D25" s="333" t="s">
        <v>311</v>
      </c>
      <c r="E25" s="334">
        <v>91000.0</v>
      </c>
      <c r="F25" s="335">
        <v>130000.0</v>
      </c>
      <c r="G25" s="220" t="s">
        <v>218</v>
      </c>
      <c r="H25" s="220">
        <v>1.0</v>
      </c>
      <c r="I25" s="337">
        <f t="shared" si="1"/>
        <v>0.7</v>
      </c>
      <c r="J25" s="220"/>
      <c r="K25" s="336" t="b">
        <f t="shared" si="2"/>
        <v>0</v>
      </c>
      <c r="L25" s="219" t="b">
        <f>IFERROR(VLOOKUP($A25,AlgoUi!$A$1:$M$1779,13,0),"0")</f>
        <v>0</v>
      </c>
      <c r="M25" s="219" t="b">
        <f>IFERROR(VLOOKUP($A25,AlgoUi!$A$1:$M$1779,12,0),"0")</f>
        <v>1</v>
      </c>
      <c r="N25" s="219" t="str">
        <f>IFERROR(VLOOKUP($A25,AlgoUi!$A$1:$M$1779,11,0),"0")</f>
        <v>TRUE</v>
      </c>
      <c r="O25" s="220" t="str">
        <f t="shared" si="3"/>
        <v>#REF!</v>
      </c>
      <c r="R25" s="42" t="str">
        <f>VLOOKUP($A25,Category!$A$1:$E$351,4,0)</f>
        <v>MS</v>
      </c>
      <c r="S25" s="42" t="str">
        <f>VLOOKUP($A25,Category!$A$1:$E$351,5,0)</f>
        <v>MSR</v>
      </c>
    </row>
    <row r="26">
      <c r="A26" s="83" t="s">
        <v>1325</v>
      </c>
      <c r="B26" s="343" t="s">
        <v>1324</v>
      </c>
      <c r="C26" s="333"/>
      <c r="D26" s="333" t="s">
        <v>297</v>
      </c>
      <c r="E26" s="334">
        <v>0.0</v>
      </c>
      <c r="F26" s="335">
        <v>0.0</v>
      </c>
      <c r="G26" s="220" t="s">
        <v>218</v>
      </c>
      <c r="H26" s="220">
        <v>1.0</v>
      </c>
      <c r="I26" s="337">
        <f t="shared" si="1"/>
        <v>0</v>
      </c>
      <c r="J26" s="220"/>
      <c r="K26" s="336" t="b">
        <f t="shared" si="2"/>
        <v>0</v>
      </c>
      <c r="L26" s="219" t="b">
        <f>IFERROR(VLOOKUP($A26,AlgoUi!$A$1:$M$1779,13,0),"0")</f>
        <v>0</v>
      </c>
      <c r="M26" s="219" t="b">
        <f>IFERROR(VLOOKUP($A26,AlgoUi!$A$1:$M$1779,12,0),"0")</f>
        <v>1</v>
      </c>
      <c r="N26" s="219" t="str">
        <f>IFERROR(VLOOKUP($A26,AlgoUi!$A$1:$M$1779,11,0),"0")</f>
        <v>TRUE</v>
      </c>
      <c r="O26" s="220" t="str">
        <f t="shared" si="3"/>
        <v>#REF!</v>
      </c>
      <c r="P26" s="89" t="s">
        <v>3875</v>
      </c>
      <c r="R26" s="42" t="str">
        <f>VLOOKUP($A26,Category!$A$1:$E$351,4,0)</f>
        <v>CC</v>
      </c>
      <c r="S26" s="42" t="str">
        <f>VLOOKUP($A26,Category!$A$1:$E$351,5,0)</f>
        <v>CCG</v>
      </c>
      <c r="T26" s="89" t="s">
        <v>3879</v>
      </c>
    </row>
    <row r="27">
      <c r="A27" s="83" t="s">
        <v>488</v>
      </c>
      <c r="B27" s="343" t="s">
        <v>1423</v>
      </c>
      <c r="C27" s="333">
        <v>2.0</v>
      </c>
      <c r="D27" s="333" t="s">
        <v>311</v>
      </c>
      <c r="E27" s="334">
        <v>63000.0</v>
      </c>
      <c r="F27" s="335">
        <v>90000.0</v>
      </c>
      <c r="G27" s="220" t="s">
        <v>218</v>
      </c>
      <c r="H27" s="220">
        <v>1.0</v>
      </c>
      <c r="I27" s="337">
        <f t="shared" si="1"/>
        <v>0.7</v>
      </c>
      <c r="J27" s="220"/>
      <c r="K27" s="336" t="b">
        <f t="shared" si="2"/>
        <v>0</v>
      </c>
      <c r="L27" s="219" t="b">
        <f>IFERROR(VLOOKUP($A27,AlgoUi!$A$1:$M$1779,13,0),"0")</f>
        <v>0</v>
      </c>
      <c r="M27" s="219" t="b">
        <f>IFERROR(VLOOKUP($A27,AlgoUi!$A$1:$M$1779,12,0),"0")</f>
        <v>1</v>
      </c>
      <c r="N27" s="219" t="str">
        <f>IFERROR(VLOOKUP($A27,AlgoUi!$A$1:$M$1779,11,0),"0")</f>
        <v>TRUE</v>
      </c>
      <c r="O27" s="220" t="str">
        <f t="shared" si="3"/>
        <v>#REF!</v>
      </c>
      <c r="R27" s="42" t="str">
        <f>VLOOKUP($A27,Category!$A$1:$E$351,4,0)</f>
        <v>MS</v>
      </c>
      <c r="S27" s="42" t="str">
        <f>VLOOKUP($A27,Category!$A$1:$E$351,5,0)</f>
        <v>MSP</v>
      </c>
    </row>
    <row r="28">
      <c r="A28" s="83" t="s">
        <v>370</v>
      </c>
      <c r="B28" s="343" t="s">
        <v>1489</v>
      </c>
      <c r="C28" s="333">
        <v>2.0</v>
      </c>
      <c r="D28" s="333" t="s">
        <v>311</v>
      </c>
      <c r="E28" s="334">
        <v>49000.0</v>
      </c>
      <c r="F28" s="335">
        <v>70000.0</v>
      </c>
      <c r="G28" s="220" t="s">
        <v>218</v>
      </c>
      <c r="H28" s="220">
        <v>1.0</v>
      </c>
      <c r="I28" s="337">
        <f t="shared" si="1"/>
        <v>0.7</v>
      </c>
      <c r="J28" s="220"/>
      <c r="K28" s="336" t="b">
        <f t="shared" si="2"/>
        <v>0</v>
      </c>
      <c r="L28" s="219" t="b">
        <f>IFERROR(VLOOKUP($A28,AlgoUi!$A$1:$M$1779,13,0),"0")</f>
        <v>0</v>
      </c>
      <c r="M28" s="219" t="b">
        <f>IFERROR(VLOOKUP($A28,AlgoUi!$A$1:$M$1779,12,0),"0")</f>
        <v>1</v>
      </c>
      <c r="N28" s="219" t="str">
        <f>IFERROR(VLOOKUP($A28,AlgoUi!$A$1:$M$1779,11,0),"0")</f>
        <v>TRUE</v>
      </c>
      <c r="O28" s="220" t="str">
        <f t="shared" si="3"/>
        <v>#REF!</v>
      </c>
      <c r="R28" s="42" t="str">
        <f>VLOOKUP($A28,Category!$A$1:$E$351,4,0)</f>
        <v>MS</v>
      </c>
      <c r="S28" s="42" t="str">
        <f>VLOOKUP($A28,Category!$A$1:$E$351,5,0)</f>
        <v>MSR</v>
      </c>
    </row>
    <row r="29">
      <c r="A29" s="83" t="s">
        <v>417</v>
      </c>
      <c r="B29" s="343" t="s">
        <v>1438</v>
      </c>
      <c r="C29" s="333">
        <v>2.0</v>
      </c>
      <c r="D29" s="333" t="s">
        <v>311</v>
      </c>
      <c r="E29" s="334">
        <v>49000.0</v>
      </c>
      <c r="F29" s="335">
        <v>70000.0</v>
      </c>
      <c r="G29" s="220" t="s">
        <v>218</v>
      </c>
      <c r="H29" s="220">
        <v>1.0</v>
      </c>
      <c r="I29" s="337">
        <f t="shared" si="1"/>
        <v>0.7</v>
      </c>
      <c r="J29" s="220"/>
      <c r="K29" s="336" t="b">
        <f t="shared" si="2"/>
        <v>0</v>
      </c>
      <c r="L29" s="219" t="b">
        <f>IFERROR(VLOOKUP($A29,AlgoUi!$A$1:$M$1779,13,0),"0")</f>
        <v>0</v>
      </c>
      <c r="M29" s="219" t="b">
        <f>IFERROR(VLOOKUP($A29,AlgoUi!$A$1:$M$1779,12,0),"0")</f>
        <v>1</v>
      </c>
      <c r="N29" s="219" t="str">
        <f>IFERROR(VLOOKUP($A29,AlgoUi!$A$1:$M$1779,11,0),"0")</f>
        <v>TRUE</v>
      </c>
      <c r="O29" s="220" t="str">
        <f t="shared" si="3"/>
        <v>#REF!</v>
      </c>
      <c r="R29" s="42" t="str">
        <f>VLOOKUP($A29,Category!$A$1:$E$351,4,0)</f>
        <v>MS</v>
      </c>
      <c r="S29" s="42" t="str">
        <f>VLOOKUP($A29,Category!$A$1:$E$351,5,0)</f>
        <v>MSP</v>
      </c>
    </row>
    <row r="30">
      <c r="A30" s="83" t="s">
        <v>469</v>
      </c>
      <c r="B30" s="343" t="s">
        <v>1604</v>
      </c>
      <c r="C30" s="333">
        <v>2.0</v>
      </c>
      <c r="D30" s="333" t="s">
        <v>311</v>
      </c>
      <c r="E30" s="334">
        <v>49000.0</v>
      </c>
      <c r="F30" s="219">
        <v>70000.0</v>
      </c>
      <c r="G30" s="220" t="s">
        <v>218</v>
      </c>
      <c r="H30" s="220">
        <v>1.0</v>
      </c>
      <c r="I30" s="337">
        <f t="shared" si="1"/>
        <v>0.7</v>
      </c>
      <c r="J30" s="220"/>
      <c r="K30" s="336" t="b">
        <f t="shared" si="2"/>
        <v>0</v>
      </c>
      <c r="L30" s="219" t="b">
        <f>IFERROR(VLOOKUP($A30,AlgoUi!$A$1:$M$1779,13,0),"0")</f>
        <v>0</v>
      </c>
      <c r="M30" s="219" t="b">
        <f>IFERROR(VLOOKUP($A30,AlgoUi!$A$1:$M$1779,12,0),"0")</f>
        <v>1</v>
      </c>
      <c r="N30" s="219" t="str">
        <f>IFERROR(VLOOKUP($A30,AlgoUi!$A$1:$M$1779,11,0),"0")</f>
        <v>TRUE</v>
      </c>
      <c r="O30" s="220" t="str">
        <f t="shared" si="3"/>
        <v>#REF!</v>
      </c>
      <c r="R30" s="42" t="str">
        <f>VLOOKUP($A30,Category!$A$1:$E$351,4,0)</f>
        <v>MS</v>
      </c>
      <c r="S30" s="42" t="str">
        <f>VLOOKUP($A30,Category!$A$1:$E$351,5,0)</f>
        <v>MSR</v>
      </c>
    </row>
    <row r="31">
      <c r="A31" s="83" t="s">
        <v>1352</v>
      </c>
      <c r="B31" s="343" t="s">
        <v>1350</v>
      </c>
      <c r="C31" s="333">
        <v>2.0</v>
      </c>
      <c r="D31" s="333" t="s">
        <v>232</v>
      </c>
      <c r="E31" s="344">
        <v>42000.0</v>
      </c>
      <c r="F31" s="219">
        <v>60000.0</v>
      </c>
      <c r="G31" s="220" t="s">
        <v>218</v>
      </c>
      <c r="H31" s="220">
        <v>1.0</v>
      </c>
      <c r="I31" s="337">
        <f t="shared" si="1"/>
        <v>0.7</v>
      </c>
      <c r="J31" s="220"/>
      <c r="K31" s="336" t="b">
        <f t="shared" si="2"/>
        <v>0</v>
      </c>
      <c r="L31" s="219" t="b">
        <f>IFERROR(VLOOKUP($A31,AlgoUi!$A$1:$M$1779,13,0),"0")</f>
        <v>0</v>
      </c>
      <c r="M31" s="219" t="b">
        <f>IFERROR(VLOOKUP($A31,AlgoUi!$A$1:$M$1779,12,0),"0")</f>
        <v>1</v>
      </c>
      <c r="N31" s="219" t="str">
        <f>IFERROR(VLOOKUP($A31,AlgoUi!$A$1:$M$1779,11,0),"0")</f>
        <v>TRUE</v>
      </c>
      <c r="O31" s="220" t="str">
        <f t="shared" si="3"/>
        <v>#REF!</v>
      </c>
      <c r="R31" s="42" t="str">
        <f>VLOOKUP($A31,Category!$A$1:$E$351,4,0)</f>
        <v>MS</v>
      </c>
      <c r="S31" s="42" t="str">
        <f>VLOOKUP($A31,Category!$A$1:$E$351,5,0)</f>
        <v>MSR</v>
      </c>
    </row>
    <row r="32">
      <c r="A32" s="83" t="s">
        <v>1662</v>
      </c>
      <c r="B32" s="343" t="s">
        <v>1665</v>
      </c>
      <c r="C32" s="333">
        <v>2.0</v>
      </c>
      <c r="D32" s="333" t="s">
        <v>311</v>
      </c>
      <c r="E32" s="344">
        <v>42000.0</v>
      </c>
      <c r="F32" s="219">
        <v>60000.0</v>
      </c>
      <c r="G32" s="220" t="s">
        <v>218</v>
      </c>
      <c r="H32" s="220">
        <v>1.0</v>
      </c>
      <c r="I32" s="337">
        <f t="shared" si="1"/>
        <v>0.7</v>
      </c>
      <c r="J32" s="220"/>
      <c r="K32" s="336" t="b">
        <f t="shared" si="2"/>
        <v>0</v>
      </c>
      <c r="L32" s="219" t="b">
        <f>IFERROR(VLOOKUP($A32,AlgoUi!$A$1:$M$1779,13,0),"0")</f>
        <v>0</v>
      </c>
      <c r="M32" s="219" t="b">
        <f>IFERROR(VLOOKUP($A32,AlgoUi!$A$1:$M$1779,12,0),"0")</f>
        <v>1</v>
      </c>
      <c r="N32" s="219" t="str">
        <f>IFERROR(VLOOKUP($A32,AlgoUi!$A$1:$M$1779,11,0),"0")</f>
        <v>TRUE</v>
      </c>
      <c r="O32" s="220" t="str">
        <f t="shared" si="3"/>
        <v>#REF!</v>
      </c>
      <c r="R32" s="42" t="str">
        <f>VLOOKUP($A32,Category!$A$1:$E$351,4,0)</f>
        <v>MS</v>
      </c>
      <c r="S32" s="42" t="str">
        <f>VLOOKUP($A32,Category!$A$1:$E$351,5,0)</f>
        <v>MSR</v>
      </c>
    </row>
    <row r="33">
      <c r="A33" s="83" t="s">
        <v>416</v>
      </c>
      <c r="B33" s="343" t="s">
        <v>1686</v>
      </c>
      <c r="C33" s="333">
        <v>2.0</v>
      </c>
      <c r="D33" s="333" t="s">
        <v>311</v>
      </c>
      <c r="E33" s="334">
        <v>49000.0</v>
      </c>
      <c r="F33" s="335">
        <v>70000.0</v>
      </c>
      <c r="G33" s="220" t="s">
        <v>218</v>
      </c>
      <c r="H33" s="220">
        <v>1.0</v>
      </c>
      <c r="I33" s="337">
        <f t="shared" si="1"/>
        <v>0.7</v>
      </c>
      <c r="J33" s="220"/>
      <c r="K33" s="336" t="b">
        <f t="shared" si="2"/>
        <v>0</v>
      </c>
      <c r="L33" s="219" t="b">
        <f>IFERROR(VLOOKUP($A33,AlgoUi!$A$1:$M$1779,13,0),"0")</f>
        <v>0</v>
      </c>
      <c r="M33" s="219" t="b">
        <f>IFERROR(VLOOKUP($A33,AlgoUi!$A$1:$M$1779,12,0),"0")</f>
        <v>1</v>
      </c>
      <c r="N33" s="219" t="str">
        <f>IFERROR(VLOOKUP($A33,AlgoUi!$A$1:$M$1779,11,0),"0")</f>
        <v>TRUE</v>
      </c>
      <c r="O33" s="220" t="str">
        <f t="shared" si="3"/>
        <v>#REF!</v>
      </c>
      <c r="R33" s="42" t="str">
        <f>VLOOKUP($A33,Category!$A$1:$E$351,4,0)</f>
        <v>MS</v>
      </c>
      <c r="S33" s="42" t="str">
        <f>VLOOKUP($A33,Category!$A$1:$E$351,5,0)</f>
        <v>MSR</v>
      </c>
    </row>
    <row r="34">
      <c r="A34" s="83" t="s">
        <v>776</v>
      </c>
      <c r="B34" s="343" t="s">
        <v>1919</v>
      </c>
      <c r="C34" s="333">
        <v>2.0</v>
      </c>
      <c r="D34" s="333" t="s">
        <v>232</v>
      </c>
      <c r="E34" s="344">
        <v>42000.0</v>
      </c>
      <c r="F34" s="219">
        <v>60000.0</v>
      </c>
      <c r="G34" s="220" t="s">
        <v>218</v>
      </c>
      <c r="H34" s="220">
        <v>1.0</v>
      </c>
      <c r="I34" s="337">
        <f t="shared" si="1"/>
        <v>0.7</v>
      </c>
      <c r="J34" s="220"/>
      <c r="K34" s="336" t="b">
        <f t="shared" si="2"/>
        <v>0</v>
      </c>
      <c r="L34" s="219" t="b">
        <f>IFERROR(VLOOKUP($A34,AlgoUi!$A$1:$M$1779,13,0),"0")</f>
        <v>0</v>
      </c>
      <c r="M34" s="219" t="b">
        <f>IFERROR(VLOOKUP($A34,AlgoUi!$A$1:$M$1779,12,0),"0")</f>
        <v>1</v>
      </c>
      <c r="N34" s="219" t="str">
        <f>IFERROR(VLOOKUP($A34,AlgoUi!$A$1:$M$1779,11,0),"0")</f>
        <v>TRUE</v>
      </c>
      <c r="O34" s="220" t="str">
        <f t="shared" si="3"/>
        <v>#REF!</v>
      </c>
      <c r="R34" s="42" t="str">
        <f>VLOOKUP($A34,Category!$A$1:$E$351,4,0)</f>
        <v>#N/A</v>
      </c>
      <c r="S34" s="42" t="str">
        <f>VLOOKUP($A34,Category!$A$1:$E$351,5,0)</f>
        <v>#N/A</v>
      </c>
    </row>
    <row r="35">
      <c r="A35" s="83" t="s">
        <v>436</v>
      </c>
      <c r="B35" s="343" t="s">
        <v>1415</v>
      </c>
      <c r="C35" s="333">
        <v>2.0</v>
      </c>
      <c r="D35" s="333" t="s">
        <v>311</v>
      </c>
      <c r="E35" s="344">
        <v>35000.0</v>
      </c>
      <c r="F35" s="219">
        <v>50000.0</v>
      </c>
      <c r="G35" s="220" t="s">
        <v>218</v>
      </c>
      <c r="H35" s="220">
        <v>1.0</v>
      </c>
      <c r="I35" s="337">
        <f t="shared" si="1"/>
        <v>0.7</v>
      </c>
      <c r="J35" s="220"/>
      <c r="K35" s="336" t="b">
        <f t="shared" si="2"/>
        <v>0</v>
      </c>
      <c r="L35" s="219" t="b">
        <f>IFERROR(VLOOKUP($A35,AlgoUi!$A$1:$M$1779,13,0),"0")</f>
        <v>0</v>
      </c>
      <c r="M35" s="219" t="b">
        <f>IFERROR(VLOOKUP($A35,AlgoUi!$A$1:$M$1779,12,0),"0")</f>
        <v>1</v>
      </c>
      <c r="N35" s="219" t="str">
        <f>IFERROR(VLOOKUP($A35,AlgoUi!$A$1:$M$1779,11,0),"0")</f>
        <v>TRUE</v>
      </c>
      <c r="O35" s="220" t="str">
        <f t="shared" si="3"/>
        <v>#REF!</v>
      </c>
      <c r="R35" s="42" t="str">
        <f>VLOOKUP($A35,Category!$A$1:$E$351,4,0)</f>
        <v>MS</v>
      </c>
      <c r="S35" s="42" t="str">
        <f>VLOOKUP($A35,Category!$A$1:$E$351,5,0)</f>
        <v>MSP</v>
      </c>
    </row>
    <row r="36">
      <c r="A36" s="83" t="s">
        <v>961</v>
      </c>
      <c r="B36" s="343" t="s">
        <v>1481</v>
      </c>
      <c r="C36" s="333">
        <v>2.0</v>
      </c>
      <c r="D36" s="333" t="s">
        <v>311</v>
      </c>
      <c r="E36" s="334">
        <v>28000.0</v>
      </c>
      <c r="F36" s="335">
        <v>40000.0</v>
      </c>
      <c r="G36" s="220" t="s">
        <v>218</v>
      </c>
      <c r="H36" s="220">
        <v>1.0</v>
      </c>
      <c r="I36" s="337">
        <f t="shared" si="1"/>
        <v>0.7</v>
      </c>
      <c r="J36" s="220"/>
      <c r="K36" s="336" t="b">
        <f t="shared" si="2"/>
        <v>0</v>
      </c>
      <c r="L36" s="219" t="b">
        <f>IFERROR(VLOOKUP($A36,AlgoUi!$A$1:$M$1779,13,0),"0")</f>
        <v>0</v>
      </c>
      <c r="M36" s="219" t="b">
        <f>IFERROR(VLOOKUP($A36,AlgoUi!$A$1:$M$1779,12,0),"0")</f>
        <v>1</v>
      </c>
      <c r="N36" s="219" t="str">
        <f>IFERROR(VLOOKUP($A36,AlgoUi!$A$1:$M$1779,11,0),"0")</f>
        <v>TRUE</v>
      </c>
      <c r="O36" s="220" t="str">
        <f t="shared" si="3"/>
        <v>#REF!</v>
      </c>
      <c r="R36" s="42" t="str">
        <f>VLOOKUP($A36,Category!$A$1:$E$351,4,0)</f>
        <v>MS</v>
      </c>
      <c r="S36" s="42" t="str">
        <f>VLOOKUP($A36,Category!$A$1:$E$351,5,0)</f>
        <v>MSR</v>
      </c>
    </row>
    <row r="37">
      <c r="A37" s="83" t="s">
        <v>1479</v>
      </c>
      <c r="B37" s="162" t="s">
        <v>1480</v>
      </c>
      <c r="C37" s="42"/>
      <c r="D37" s="333" t="s">
        <v>311</v>
      </c>
      <c r="E37" s="334">
        <v>35000.0</v>
      </c>
      <c r="F37" s="335">
        <v>50000.0</v>
      </c>
      <c r="G37" s="220" t="s">
        <v>218</v>
      </c>
      <c r="H37" s="220">
        <v>1.0</v>
      </c>
      <c r="I37" s="337">
        <f t="shared" si="1"/>
        <v>0.7</v>
      </c>
      <c r="J37" s="42"/>
      <c r="K37" s="336" t="b">
        <f t="shared" si="2"/>
        <v>0</v>
      </c>
      <c r="L37" s="219" t="b">
        <f>IFERROR(VLOOKUP($A37,AlgoUi!$A$1:$M$1779,13,0),"0")</f>
        <v>0</v>
      </c>
      <c r="M37" s="219" t="b">
        <f>IFERROR(VLOOKUP($A37,AlgoUi!$A$1:$M$1779,12,0),"0")</f>
        <v>1</v>
      </c>
      <c r="N37" s="219" t="str">
        <f>IFERROR(VLOOKUP($A37,AlgoUi!$A$1:$M$1779,11,0),"0")</f>
        <v>TRUE</v>
      </c>
      <c r="O37" s="220" t="str">
        <f t="shared" si="3"/>
        <v>#REF!</v>
      </c>
      <c r="R37" s="42" t="str">
        <f>VLOOKUP($A37,Category!$A$1:$E$351,4,0)</f>
        <v>MS</v>
      </c>
      <c r="S37" s="42" t="str">
        <f>VLOOKUP($A37,Category!$A$1:$E$351,5,0)</f>
        <v>MSR</v>
      </c>
    </row>
    <row r="38">
      <c r="A38" s="83" t="s">
        <v>1625</v>
      </c>
      <c r="B38" s="162" t="s">
        <v>3880</v>
      </c>
      <c r="C38" s="42"/>
      <c r="D38" s="18" t="s">
        <v>311</v>
      </c>
      <c r="E38" s="344">
        <v>35000.0</v>
      </c>
      <c r="F38" s="219">
        <v>50000.0</v>
      </c>
      <c r="G38" s="18" t="s">
        <v>218</v>
      </c>
      <c r="H38" s="18">
        <v>1.0</v>
      </c>
      <c r="I38" s="337">
        <f t="shared" si="1"/>
        <v>0.7</v>
      </c>
      <c r="J38" s="336"/>
      <c r="K38" s="336" t="b">
        <f t="shared" si="2"/>
        <v>0</v>
      </c>
      <c r="L38" s="219" t="b">
        <f>IFERROR(VLOOKUP($A38,AlgoUi!$A$1:$M$1779,13,0),"0")</f>
        <v>0</v>
      </c>
      <c r="M38" s="219" t="b">
        <f>IFERROR(VLOOKUP($A38,AlgoUi!$A$1:$M$1779,12,0),"0")</f>
        <v>0</v>
      </c>
      <c r="N38" s="219" t="str">
        <f>IFERROR(VLOOKUP($A38,AlgoUi!$A$1:$M$1779,11,0),"0")</f>
        <v>TRUE</v>
      </c>
      <c r="O38" s="220" t="str">
        <f t="shared" si="3"/>
        <v>#REF!</v>
      </c>
      <c r="Q38" s="89" t="s">
        <v>3861</v>
      </c>
      <c r="R38" s="42" t="str">
        <f>VLOOKUP($A38,Category!$A$1:$E$351,4,0)</f>
        <v>MS</v>
      </c>
      <c r="S38" s="42" t="str">
        <f>VLOOKUP($A38,Category!$A$1:$E$351,5,0)</f>
        <v>MSR</v>
      </c>
    </row>
    <row r="39">
      <c r="A39" s="83" t="s">
        <v>621</v>
      </c>
      <c r="B39" s="162" t="s">
        <v>1192</v>
      </c>
      <c r="C39" s="333"/>
      <c r="D39" s="333" t="s">
        <v>266</v>
      </c>
      <c r="E39" s="334">
        <v>0.0</v>
      </c>
      <c r="F39" s="219">
        <v>0.0</v>
      </c>
      <c r="G39" s="220" t="s">
        <v>92</v>
      </c>
      <c r="H39" s="220">
        <v>2.0</v>
      </c>
      <c r="I39" s="337">
        <f t="shared" si="1"/>
        <v>0</v>
      </c>
      <c r="J39" s="336" t="s">
        <v>273</v>
      </c>
      <c r="K39" s="336" t="b">
        <f t="shared" si="2"/>
        <v>0</v>
      </c>
      <c r="L39" s="219" t="b">
        <f>IFERROR(VLOOKUP($A39,AlgoUi!$A$1:$M$1779,13,0),"0")</f>
        <v>1</v>
      </c>
      <c r="M39" s="219" t="b">
        <f>IFERROR(VLOOKUP($A39,AlgoUi!$A$1:$M$1779,12,0),"0")</f>
        <v>1</v>
      </c>
      <c r="N39" s="219" t="str">
        <f>IFERROR(VLOOKUP($A39,AlgoUi!$A$1:$M$1779,11,0),"0")</f>
        <v>FALSE</v>
      </c>
      <c r="O39" s="220" t="str">
        <f t="shared" si="3"/>
        <v>#REF!</v>
      </c>
      <c r="P39" s="89" t="s">
        <v>3875</v>
      </c>
      <c r="Q39" s="89" t="s">
        <v>3861</v>
      </c>
      <c r="R39" s="42" t="str">
        <f>VLOOKUP($A39,Category!$A$1:$E$351,4,0)</f>
        <v>MS</v>
      </c>
      <c r="S39" s="42" t="str">
        <f>VLOOKUP($A39,Category!$A$1:$E$351,5,0)</f>
        <v>MSJ</v>
      </c>
    </row>
    <row r="40">
      <c r="A40" s="83" t="s">
        <v>355</v>
      </c>
      <c r="B40" s="343" t="s">
        <v>1431</v>
      </c>
      <c r="C40" s="333">
        <v>2.0</v>
      </c>
      <c r="D40" s="333" t="s">
        <v>311</v>
      </c>
      <c r="E40" s="334">
        <v>35000.0</v>
      </c>
      <c r="F40" s="335">
        <v>50000.0</v>
      </c>
      <c r="G40" s="220" t="s">
        <v>218</v>
      </c>
      <c r="H40" s="220">
        <v>1.0</v>
      </c>
      <c r="I40" s="337">
        <f t="shared" si="1"/>
        <v>0.7</v>
      </c>
      <c r="J40" s="220"/>
      <c r="K40" s="336" t="b">
        <f t="shared" si="2"/>
        <v>0</v>
      </c>
      <c r="L40" s="219" t="b">
        <f>IFERROR(VLOOKUP($A40,AlgoUi!$A$1:$M$1779,13,0),"0")</f>
        <v>0</v>
      </c>
      <c r="M40" s="219" t="b">
        <f>IFERROR(VLOOKUP($A40,AlgoUi!$A$1:$M$1779,12,0),"0")</f>
        <v>1</v>
      </c>
      <c r="N40" s="219" t="str">
        <f>IFERROR(VLOOKUP($A40,AlgoUi!$A$1:$M$1779,11,0),"0")</f>
        <v>TRUE</v>
      </c>
      <c r="O40" s="220" t="str">
        <f t="shared" si="3"/>
        <v>#REF!</v>
      </c>
      <c r="R40" s="42" t="str">
        <f>VLOOKUP($A40,Category!$A$1:$E$351,4,0)</f>
        <v>MS</v>
      </c>
      <c r="S40" s="42" t="str">
        <f>VLOOKUP($A40,Category!$A$1:$E$351,5,0)</f>
        <v>MSP</v>
      </c>
    </row>
    <row r="41">
      <c r="A41" s="83" t="s">
        <v>456</v>
      </c>
      <c r="B41" s="343" t="s">
        <v>1739</v>
      </c>
      <c r="C41" s="333">
        <v>2.0</v>
      </c>
      <c r="D41" s="333" t="s">
        <v>232</v>
      </c>
      <c r="E41" s="344">
        <v>35000.0</v>
      </c>
      <c r="F41" s="219">
        <v>50000.0</v>
      </c>
      <c r="G41" s="336" t="s">
        <v>327</v>
      </c>
      <c r="H41" s="220">
        <v>1.0</v>
      </c>
      <c r="I41" s="337">
        <f t="shared" si="1"/>
        <v>0.7</v>
      </c>
      <c r="J41" s="220"/>
      <c r="K41" s="336" t="b">
        <f t="shared" si="2"/>
        <v>0</v>
      </c>
      <c r="L41" s="219" t="b">
        <f>IFERROR(VLOOKUP($A41,AlgoUi!$A$1:$M$1779,13,0),"0")</f>
        <v>0</v>
      </c>
      <c r="M41" s="219" t="b">
        <f>IFERROR(VLOOKUP($A41,AlgoUi!$A$1:$M$1779,12,0),"0")</f>
        <v>1</v>
      </c>
      <c r="N41" s="219" t="str">
        <f>IFERROR(VLOOKUP($A41,AlgoUi!$A$1:$M$1779,11,0),"0")</f>
        <v>TRUE</v>
      </c>
      <c r="O41" s="220" t="str">
        <f t="shared" si="3"/>
        <v>#REF!</v>
      </c>
      <c r="R41" s="42" t="str">
        <f>VLOOKUP($A41,Category!$A$1:$E$351,4,0)</f>
        <v>MS</v>
      </c>
      <c r="S41" s="42" t="str">
        <f>VLOOKUP($A41,Category!$A$1:$E$351,5,0)</f>
        <v>MSR</v>
      </c>
    </row>
    <row r="42">
      <c r="A42" s="83" t="s">
        <v>1307</v>
      </c>
      <c r="B42" s="353" t="s">
        <v>1308</v>
      </c>
      <c r="C42" s="333">
        <v>1.0</v>
      </c>
      <c r="D42" s="333" t="s">
        <v>1310</v>
      </c>
      <c r="E42" s="344">
        <v>350000.0</v>
      </c>
      <c r="F42" s="219">
        <v>500000.0</v>
      </c>
      <c r="G42" s="220" t="s">
        <v>83</v>
      </c>
      <c r="H42" s="220">
        <v>1.0</v>
      </c>
      <c r="I42" s="337">
        <f t="shared" si="1"/>
        <v>0.7</v>
      </c>
      <c r="J42" s="220"/>
      <c r="K42" s="336" t="b">
        <f t="shared" si="2"/>
        <v>0</v>
      </c>
      <c r="L42" s="219" t="b">
        <f>IFERROR(VLOOKUP($A42,AlgoUi!$A$1:$M$1779,13,0),"0")</f>
        <v>1</v>
      </c>
      <c r="M42" s="219" t="b">
        <f>IFERROR(VLOOKUP($A42,AlgoUi!$A$1:$M$1779,12,0),"0")</f>
        <v>1</v>
      </c>
      <c r="N42" s="219" t="str">
        <f>IFERROR(VLOOKUP($A42,AlgoUi!$A$1:$M$1779,11,0),"0")</f>
        <v>TRUE</v>
      </c>
      <c r="O42" s="220" t="str">
        <f t="shared" si="3"/>
        <v>#REF!</v>
      </c>
      <c r="Q42" s="89" t="s">
        <v>3861</v>
      </c>
      <c r="R42" s="42" t="str">
        <f>VLOOKUP($A42,Category!$A$1:$E$351,4,0)</f>
        <v>CC</v>
      </c>
      <c r="S42" s="42" t="str">
        <f>VLOOKUP($A42,Category!$A$1:$E$351,5,0)</f>
        <v>CCV</v>
      </c>
    </row>
    <row r="43">
      <c r="A43" s="83" t="s">
        <v>476</v>
      </c>
      <c r="B43" s="343" t="s">
        <v>1406</v>
      </c>
      <c r="C43" s="333">
        <v>2.0</v>
      </c>
      <c r="D43" s="333" t="s">
        <v>311</v>
      </c>
      <c r="E43" s="334">
        <v>77000.0</v>
      </c>
      <c r="F43" s="335">
        <v>110000.0</v>
      </c>
      <c r="G43" s="336" t="s">
        <v>54</v>
      </c>
      <c r="H43" s="220">
        <v>1.0</v>
      </c>
      <c r="I43" s="337">
        <f t="shared" si="1"/>
        <v>0.7</v>
      </c>
      <c r="J43" s="220"/>
      <c r="K43" s="336" t="b">
        <f t="shared" si="2"/>
        <v>0</v>
      </c>
      <c r="L43" s="219" t="b">
        <f>IFERROR(VLOOKUP($A43,AlgoUi!$A$1:$M$1779,13,0),"0")</f>
        <v>0</v>
      </c>
      <c r="M43" s="219" t="b">
        <f>IFERROR(VLOOKUP($A43,AlgoUi!$A$1:$M$1779,12,0),"0")</f>
        <v>1</v>
      </c>
      <c r="N43" s="219" t="str">
        <f>IFERROR(VLOOKUP($A43,AlgoUi!$A$1:$M$1779,11,0),"0")</f>
        <v>TRUE</v>
      </c>
      <c r="O43" s="220" t="str">
        <f t="shared" si="3"/>
        <v>#REF!</v>
      </c>
      <c r="R43" s="42" t="str">
        <f>VLOOKUP($A43,Category!$A$1:$E$351,4,0)</f>
        <v>MS</v>
      </c>
      <c r="S43" s="42" t="str">
        <f>VLOOKUP($A43,Category!$A$1:$E$351,5,0)</f>
        <v>MSP</v>
      </c>
    </row>
    <row r="44">
      <c r="A44" s="83" t="s">
        <v>569</v>
      </c>
      <c r="B44" s="343" t="s">
        <v>1210</v>
      </c>
      <c r="C44" s="333">
        <v>1.0</v>
      </c>
      <c r="D44" s="333" t="s">
        <v>311</v>
      </c>
      <c r="E44" s="334">
        <v>70000.0</v>
      </c>
      <c r="F44" s="335">
        <v>100000.0</v>
      </c>
      <c r="G44" s="220" t="s">
        <v>83</v>
      </c>
      <c r="H44" s="220">
        <v>1.0</v>
      </c>
      <c r="I44" s="337">
        <f t="shared" si="1"/>
        <v>0.7</v>
      </c>
      <c r="J44" s="220"/>
      <c r="K44" s="336" t="b">
        <f t="shared" si="2"/>
        <v>0</v>
      </c>
      <c r="L44" s="219" t="b">
        <f>IFERROR(VLOOKUP($A44,AlgoUi!$A$1:$M$1779,13,0),"0")</f>
        <v>0</v>
      </c>
      <c r="M44" s="219" t="b">
        <f>IFERROR(VLOOKUP($A44,AlgoUi!$A$1:$M$1779,12,0),"0")</f>
        <v>1</v>
      </c>
      <c r="N44" s="219" t="str">
        <f>IFERROR(VLOOKUP($A44,AlgoUi!$A$1:$M$1779,11,0),"0")</f>
        <v>TRUE</v>
      </c>
      <c r="O44" s="220" t="str">
        <f t="shared" si="3"/>
        <v>#REF!</v>
      </c>
      <c r="Q44" s="89" t="s">
        <v>3861</v>
      </c>
      <c r="R44" s="42" t="str">
        <f>VLOOKUP($A44,Category!$A$1:$E$351,4,0)</f>
        <v>CC</v>
      </c>
      <c r="S44" s="42" t="str">
        <f>VLOOKUP($A44,Category!$A$1:$E$351,5,0)</f>
        <v>CCG</v>
      </c>
    </row>
    <row r="45">
      <c r="A45" s="83" t="s">
        <v>303</v>
      </c>
      <c r="B45" s="343" t="s">
        <v>1977</v>
      </c>
      <c r="C45" s="333">
        <v>1.0</v>
      </c>
      <c r="D45" s="333" t="s">
        <v>302</v>
      </c>
      <c r="E45" s="344">
        <v>105000.0</v>
      </c>
      <c r="F45" s="219">
        <v>150000.0</v>
      </c>
      <c r="G45" s="220" t="s">
        <v>83</v>
      </c>
      <c r="H45" s="220">
        <v>1.0</v>
      </c>
      <c r="I45" s="337">
        <f t="shared" si="1"/>
        <v>0.7</v>
      </c>
      <c r="J45" s="220"/>
      <c r="K45" s="336" t="b">
        <f t="shared" si="2"/>
        <v>0</v>
      </c>
      <c r="L45" s="219" t="b">
        <f>IFERROR(VLOOKUP($A45,AlgoUi!$A$1:$M$1779,13,0),"0")</f>
        <v>1</v>
      </c>
      <c r="M45" s="219" t="b">
        <f>IFERROR(VLOOKUP($A45,AlgoUi!$A$1:$M$1779,12,0),"0")</f>
        <v>1</v>
      </c>
      <c r="N45" s="219" t="str">
        <f>IFERROR(VLOOKUP($A45,AlgoUi!$A$1:$M$1779,11,0),"0")</f>
        <v>TRUE</v>
      </c>
      <c r="O45" s="220" t="str">
        <f t="shared" si="3"/>
        <v>#REF!</v>
      </c>
      <c r="Q45" s="89" t="s">
        <v>3861</v>
      </c>
      <c r="R45" s="42" t="str">
        <f>VLOOKUP($A45,Category!$A$1:$E$351,4,0)</f>
        <v>#N/A</v>
      </c>
      <c r="S45" s="42" t="str">
        <f>VLOOKUP($A45,Category!$A$1:$E$351,5,0)</f>
        <v>#N/A</v>
      </c>
    </row>
    <row r="46">
      <c r="A46" s="83" t="s">
        <v>95</v>
      </c>
      <c r="B46" s="343" t="s">
        <v>1223</v>
      </c>
      <c r="C46" s="333">
        <v>1.0</v>
      </c>
      <c r="D46" s="333" t="s">
        <v>311</v>
      </c>
      <c r="E46" s="344">
        <v>35000.0</v>
      </c>
      <c r="F46" s="219">
        <v>50000.0</v>
      </c>
      <c r="G46" s="220" t="s">
        <v>83</v>
      </c>
      <c r="H46" s="220">
        <v>1.0</v>
      </c>
      <c r="I46" s="337">
        <f t="shared" si="1"/>
        <v>0.7</v>
      </c>
      <c r="J46" s="220"/>
      <c r="K46" s="336" t="b">
        <f t="shared" si="2"/>
        <v>0</v>
      </c>
      <c r="L46" s="219" t="b">
        <f>IFERROR(VLOOKUP($A46,AlgoUi!$A$1:$M$1779,13,0),"0")</f>
        <v>0</v>
      </c>
      <c r="M46" s="219" t="b">
        <f>IFERROR(VLOOKUP($A46,AlgoUi!$A$1:$M$1779,12,0),"0")</f>
        <v>1</v>
      </c>
      <c r="N46" s="219" t="str">
        <f>IFERROR(VLOOKUP($A46,AlgoUi!$A$1:$M$1779,11,0),"0")</f>
        <v>TRUE</v>
      </c>
      <c r="O46" s="220" t="str">
        <f t="shared" si="3"/>
        <v>#REF!</v>
      </c>
      <c r="Q46" s="89" t="s">
        <v>3861</v>
      </c>
      <c r="R46" s="42" t="str">
        <f>VLOOKUP($A46,Category!$A$1:$E$351,4,0)</f>
        <v>CC</v>
      </c>
      <c r="S46" s="42" t="str">
        <f>VLOOKUP($A46,Category!$A$1:$E$351,5,0)</f>
        <v>PGB</v>
      </c>
    </row>
    <row r="47">
      <c r="A47" s="83" t="s">
        <v>330</v>
      </c>
      <c r="B47" s="343" t="s">
        <v>331</v>
      </c>
      <c r="C47" s="333">
        <v>2.0</v>
      </c>
      <c r="D47" s="333" t="s">
        <v>311</v>
      </c>
      <c r="E47" s="344">
        <v>40000.0</v>
      </c>
      <c r="F47" s="219">
        <v>50000.0</v>
      </c>
      <c r="G47" s="220" t="s">
        <v>585</v>
      </c>
      <c r="H47" s="220">
        <v>7.0</v>
      </c>
      <c r="I47" s="337">
        <f t="shared" si="1"/>
        <v>0.8</v>
      </c>
      <c r="J47" s="220"/>
      <c r="K47" s="336" t="b">
        <f t="shared" si="2"/>
        <v>0</v>
      </c>
      <c r="L47" s="219" t="b">
        <f>IFERROR(VLOOKUP($A47,AlgoUi!$A$1:$M$1779,13,0),"0")</f>
        <v>0</v>
      </c>
      <c r="M47" s="219" t="b">
        <f>IFERROR(VLOOKUP($A47,AlgoUi!$A$1:$M$1779,12,0),"0")</f>
        <v>0</v>
      </c>
      <c r="N47" s="219" t="str">
        <f>IFERROR(VLOOKUP($A47,AlgoUi!$A$1:$M$1779,11,0),"0")</f>
        <v>TRUE</v>
      </c>
      <c r="O47" s="220" t="str">
        <f t="shared" si="3"/>
        <v>#REF!</v>
      </c>
      <c r="Q47" s="89" t="s">
        <v>3861</v>
      </c>
      <c r="R47" s="42" t="str">
        <f>VLOOKUP($A47,Category!$A$1:$E$351,4,0)</f>
        <v>CC</v>
      </c>
      <c r="S47" s="42" t="str">
        <f>VLOOKUP($A47,Category!$A$1:$E$351,5,0)</f>
        <v>CCG</v>
      </c>
    </row>
    <row r="48">
      <c r="A48" s="83" t="s">
        <v>309</v>
      </c>
      <c r="B48" s="343" t="s">
        <v>310</v>
      </c>
      <c r="C48" s="333">
        <v>1.0</v>
      </c>
      <c r="D48" s="333" t="s">
        <v>311</v>
      </c>
      <c r="E48" s="334">
        <v>77000.0</v>
      </c>
      <c r="F48" s="335">
        <v>110000.0</v>
      </c>
      <c r="G48" s="220" t="s">
        <v>83</v>
      </c>
      <c r="H48" s="220">
        <v>1.0</v>
      </c>
      <c r="I48" s="337">
        <f t="shared" si="1"/>
        <v>0.7</v>
      </c>
      <c r="J48" s="220"/>
      <c r="K48" s="336" t="b">
        <f t="shared" si="2"/>
        <v>0</v>
      </c>
      <c r="L48" s="219" t="b">
        <f>IFERROR(VLOOKUP($A48,AlgoUi!$A$1:$M$1779,13,0),"0")</f>
        <v>0</v>
      </c>
      <c r="M48" s="219" t="b">
        <f>IFERROR(VLOOKUP($A48,AlgoUi!$A$1:$M$1779,12,0),"0")</f>
        <v>0</v>
      </c>
      <c r="N48" s="219" t="str">
        <f>IFERROR(VLOOKUP($A48,AlgoUi!$A$1:$M$1779,11,0),"0")</f>
        <v>TRUE</v>
      </c>
      <c r="O48" s="220" t="str">
        <f t="shared" si="3"/>
        <v>#REF!</v>
      </c>
      <c r="Q48" s="89" t="s">
        <v>3861</v>
      </c>
      <c r="R48" s="42" t="str">
        <f>VLOOKUP($A48,Category!$A$1:$E$351,4,0)</f>
        <v>CC</v>
      </c>
      <c r="S48" s="42" t="str">
        <f>VLOOKUP($A48,Category!$A$1:$E$351,5,0)</f>
        <v>CCG</v>
      </c>
    </row>
    <row r="49">
      <c r="A49" s="83" t="s">
        <v>1344</v>
      </c>
      <c r="B49" s="343" t="s">
        <v>1345</v>
      </c>
      <c r="C49" s="333"/>
      <c r="D49" s="333" t="s">
        <v>232</v>
      </c>
      <c r="E49" s="344">
        <v>0.0</v>
      </c>
      <c r="F49" s="219">
        <v>0.0</v>
      </c>
      <c r="G49" s="220" t="s">
        <v>92</v>
      </c>
      <c r="H49" s="220">
        <v>2.0</v>
      </c>
      <c r="I49" s="337">
        <f t="shared" si="1"/>
        <v>0</v>
      </c>
      <c r="J49" s="220"/>
      <c r="K49" s="336" t="b">
        <f t="shared" si="2"/>
        <v>0</v>
      </c>
      <c r="L49" s="219" t="b">
        <f>IFERROR(VLOOKUP($A49,AlgoUi!$A$1:$M$1779,13,0),"0")</f>
        <v>0</v>
      </c>
      <c r="M49" s="219" t="b">
        <f>IFERROR(VLOOKUP($A49,AlgoUi!$A$1:$M$1779,12,0),"0")</f>
        <v>0</v>
      </c>
      <c r="N49" s="219" t="str">
        <f>IFERROR(VLOOKUP($A49,AlgoUi!$A$1:$M$1779,11,0),"0")</f>
        <v>TRUE</v>
      </c>
      <c r="O49" s="220" t="str">
        <f t="shared" si="3"/>
        <v>#REF!</v>
      </c>
      <c r="P49" s="89" t="s">
        <v>3875</v>
      </c>
      <c r="R49" s="42" t="str">
        <f>VLOOKUP($A49,Category!$A$1:$E$351,4,0)</f>
        <v>MS</v>
      </c>
      <c r="S49" s="42" t="str">
        <f>VLOOKUP($A49,Category!$A$1:$E$351,5,0)</f>
        <v>MSR</v>
      </c>
    </row>
    <row r="50">
      <c r="A50" s="83" t="s">
        <v>1329</v>
      </c>
      <c r="B50" s="162" t="s">
        <v>1330</v>
      </c>
      <c r="C50" s="42"/>
      <c r="D50" s="333" t="s">
        <v>311</v>
      </c>
      <c r="E50" s="344">
        <v>80000.0</v>
      </c>
      <c r="F50" s="219">
        <v>100000.0</v>
      </c>
      <c r="G50" s="220" t="s">
        <v>75</v>
      </c>
      <c r="H50" s="18">
        <v>7.0</v>
      </c>
      <c r="I50" s="337">
        <f t="shared" si="1"/>
        <v>0.8</v>
      </c>
      <c r="J50" s="336" t="s">
        <v>3882</v>
      </c>
      <c r="K50" s="336" t="b">
        <f t="shared" si="2"/>
        <v>0</v>
      </c>
      <c r="L50" s="219" t="b">
        <f>IFERROR(VLOOKUP($A50,AlgoUi!$A$1:$M$1779,13,0),"0")</f>
        <v>0</v>
      </c>
      <c r="M50" s="219" t="b">
        <f>IFERROR(VLOOKUP($A50,AlgoUi!$A$1:$M$1779,12,0),"0")</f>
        <v>1</v>
      </c>
      <c r="N50" s="219" t="str">
        <f>IFERROR(VLOOKUP($A50,AlgoUi!$A$1:$M$1779,11,0),"0")</f>
        <v>TRUE</v>
      </c>
      <c r="O50" s="220" t="str">
        <f t="shared" si="3"/>
        <v>#REF!</v>
      </c>
      <c r="R50" s="42" t="str">
        <f>VLOOKUP($A50,Category!$A$1:$E$351,4,0)</f>
        <v>MS</v>
      </c>
      <c r="S50" s="42" t="str">
        <f>VLOOKUP($A50,Category!$A$1:$E$351,5,0)</f>
        <v>MSR</v>
      </c>
    </row>
    <row r="51">
      <c r="A51" s="83" t="s">
        <v>466</v>
      </c>
      <c r="B51" s="343" t="s">
        <v>1225</v>
      </c>
      <c r="C51" s="333">
        <v>1.0</v>
      </c>
      <c r="D51" s="333" t="s">
        <v>311</v>
      </c>
      <c r="E51" s="334">
        <v>63000.0</v>
      </c>
      <c r="F51" s="335">
        <v>90000.0</v>
      </c>
      <c r="G51" s="220" t="s">
        <v>83</v>
      </c>
      <c r="H51" s="220">
        <v>1.0</v>
      </c>
      <c r="I51" s="337">
        <f t="shared" si="1"/>
        <v>0.7</v>
      </c>
      <c r="J51" s="220"/>
      <c r="K51" s="336" t="b">
        <f t="shared" si="2"/>
        <v>0</v>
      </c>
      <c r="L51" s="219" t="b">
        <f>IFERROR(VLOOKUP($A51,AlgoUi!$A$1:$M$1779,13,0),"0")</f>
        <v>0</v>
      </c>
      <c r="M51" s="219" t="b">
        <f>IFERROR(VLOOKUP($A51,AlgoUi!$A$1:$M$1779,12,0),"0")</f>
        <v>1</v>
      </c>
      <c r="N51" s="219" t="str">
        <f>IFERROR(VLOOKUP($A51,AlgoUi!$A$1:$M$1779,11,0),"0")</f>
        <v>TRUE</v>
      </c>
      <c r="O51" s="220" t="str">
        <f t="shared" si="3"/>
        <v>#REF!</v>
      </c>
      <c r="Q51" s="89" t="s">
        <v>3861</v>
      </c>
      <c r="R51" s="42" t="str">
        <f>VLOOKUP($A51,Category!$A$1:$E$351,4,0)</f>
        <v>CC</v>
      </c>
      <c r="S51" s="42" t="str">
        <f>VLOOKUP($A51,Category!$A$1:$E$351,5,0)</f>
        <v>CCG</v>
      </c>
    </row>
    <row r="52">
      <c r="A52" s="83" t="s">
        <v>1877</v>
      </c>
      <c r="B52" s="343" t="s">
        <v>1878</v>
      </c>
      <c r="C52" s="333">
        <v>2.0</v>
      </c>
      <c r="D52" s="333" t="s">
        <v>311</v>
      </c>
      <c r="E52" s="344">
        <v>63000.0</v>
      </c>
      <c r="F52" s="219">
        <v>90000.0</v>
      </c>
      <c r="G52" s="336" t="s">
        <v>327</v>
      </c>
      <c r="H52" s="220">
        <v>1.0</v>
      </c>
      <c r="I52" s="337">
        <f t="shared" si="1"/>
        <v>0.7</v>
      </c>
      <c r="K52" s="336" t="b">
        <f t="shared" si="2"/>
        <v>0</v>
      </c>
      <c r="L52" s="219" t="b">
        <f>IFERROR(VLOOKUP($A52,AlgoUi!$A$1:$M$1779,13,0),"0")</f>
        <v>0</v>
      </c>
      <c r="M52" s="219" t="b">
        <f>IFERROR(VLOOKUP($A52,AlgoUi!$A$1:$M$1779,12,0),"0")</f>
        <v>1</v>
      </c>
      <c r="N52" s="219" t="str">
        <f>IFERROR(VLOOKUP($A52,AlgoUi!$A$1:$M$1779,11,0),"0")</f>
        <v>TRUE</v>
      </c>
      <c r="O52" s="220" t="str">
        <f t="shared" si="3"/>
        <v>#REF!</v>
      </c>
      <c r="R52" s="42" t="str">
        <f>VLOOKUP($A52,Category!$A$1:$E$351,4,0)</f>
        <v>MS</v>
      </c>
      <c r="S52" s="42" t="str">
        <f>VLOOKUP($A52,Category!$A$1:$E$351,5,0)</f>
        <v>MSR</v>
      </c>
    </row>
    <row r="53">
      <c r="A53" s="83" t="s">
        <v>375</v>
      </c>
      <c r="B53" s="343" t="s">
        <v>1290</v>
      </c>
      <c r="C53" s="333">
        <v>1.0</v>
      </c>
      <c r="D53" s="333" t="s">
        <v>311</v>
      </c>
      <c r="E53" s="334">
        <v>77000.0</v>
      </c>
      <c r="F53" s="335">
        <v>110000.0</v>
      </c>
      <c r="G53" s="220" t="s">
        <v>83</v>
      </c>
      <c r="H53" s="220">
        <v>1.0</v>
      </c>
      <c r="I53" s="337">
        <f t="shared" si="1"/>
        <v>0.7</v>
      </c>
      <c r="J53" s="220"/>
      <c r="K53" s="336" t="b">
        <f t="shared" si="2"/>
        <v>0</v>
      </c>
      <c r="L53" s="219" t="b">
        <f>IFERROR(VLOOKUP($A53,AlgoUi!$A$1:$M$1779,13,0),"0")</f>
        <v>0</v>
      </c>
      <c r="M53" s="219" t="b">
        <f>IFERROR(VLOOKUP($A53,AlgoUi!$A$1:$M$1779,12,0),"0")</f>
        <v>1</v>
      </c>
      <c r="N53" s="219" t="str">
        <f>IFERROR(VLOOKUP($A53,AlgoUi!$A$1:$M$1779,11,0),"0")</f>
        <v>TRUE</v>
      </c>
      <c r="O53" s="220" t="str">
        <f t="shared" si="3"/>
        <v>#REF!</v>
      </c>
      <c r="Q53" s="89" t="s">
        <v>3861</v>
      </c>
      <c r="R53" s="42" t="str">
        <f>VLOOKUP($A53,Category!$A$1:$E$351,4,0)</f>
        <v>CC</v>
      </c>
      <c r="S53" s="42" t="str">
        <f>VLOOKUP($A53,Category!$A$1:$E$351,5,0)</f>
        <v>CCG</v>
      </c>
    </row>
    <row r="54">
      <c r="A54" s="83" t="s">
        <v>354</v>
      </c>
      <c r="B54" s="343" t="s">
        <v>1335</v>
      </c>
      <c r="C54" s="333">
        <v>2.0</v>
      </c>
      <c r="D54" s="333" t="s">
        <v>232</v>
      </c>
      <c r="E54" s="344">
        <v>40000.0</v>
      </c>
      <c r="F54" s="219">
        <v>50000.0</v>
      </c>
      <c r="G54" s="220" t="s">
        <v>75</v>
      </c>
      <c r="H54" s="220">
        <v>7.0</v>
      </c>
      <c r="I54" s="337">
        <f t="shared" si="1"/>
        <v>0.8</v>
      </c>
      <c r="J54" s="220"/>
      <c r="K54" s="336" t="b">
        <f t="shared" si="2"/>
        <v>0</v>
      </c>
      <c r="L54" s="219" t="b">
        <f>IFERROR(VLOOKUP($A54,AlgoUi!$A$1:$M$1779,13,0),"0")</f>
        <v>0</v>
      </c>
      <c r="M54" s="219" t="b">
        <f>IFERROR(VLOOKUP($A54,AlgoUi!$A$1:$M$1779,12,0),"0")</f>
        <v>1</v>
      </c>
      <c r="N54" s="219" t="str">
        <f>IFERROR(VLOOKUP($A54,AlgoUi!$A$1:$M$1779,11,0),"0")</f>
        <v>TRUE</v>
      </c>
      <c r="O54" s="220" t="str">
        <f t="shared" si="3"/>
        <v>#REF!</v>
      </c>
      <c r="R54" s="42" t="str">
        <f>VLOOKUP($A54,Category!$A$1:$E$351,4,0)</f>
        <v>MS</v>
      </c>
      <c r="S54" s="42" t="str">
        <f>VLOOKUP($A54,Category!$A$1:$E$351,5,0)</f>
        <v>MSR</v>
      </c>
    </row>
    <row r="55">
      <c r="A55" s="83" t="s">
        <v>3883</v>
      </c>
      <c r="B55" s="343" t="s">
        <v>3884</v>
      </c>
      <c r="C55" s="333">
        <v>2.0</v>
      </c>
      <c r="D55" s="333" t="s">
        <v>311</v>
      </c>
      <c r="E55" s="354">
        <v>119000.0</v>
      </c>
      <c r="F55" s="335">
        <v>170000.0</v>
      </c>
      <c r="G55" s="220" t="s">
        <v>327</v>
      </c>
      <c r="H55" s="220">
        <v>1.0</v>
      </c>
      <c r="I55" s="337">
        <f t="shared" si="1"/>
        <v>0.7</v>
      </c>
      <c r="J55" s="220"/>
      <c r="K55" s="336" t="b">
        <f t="shared" si="2"/>
        <v>0</v>
      </c>
      <c r="L55" s="219" t="str">
        <f>IFERROR(VLOOKUP($A55,AlgoUi!$A$1:$M$1779,13,0),"0")</f>
        <v>0</v>
      </c>
      <c r="M55" s="219" t="str">
        <f>IFERROR(VLOOKUP($A55,AlgoUi!$A$1:$M$1779,12,0),"0")</f>
        <v>0</v>
      </c>
      <c r="N55" s="219" t="str">
        <f>IFERROR(VLOOKUP($A55,AlgoUi!$A$1:$M$1779,11,0),"0")</f>
        <v>0</v>
      </c>
      <c r="O55" s="220" t="str">
        <f t="shared" si="3"/>
        <v>#REF!</v>
      </c>
      <c r="R55" s="42" t="str">
        <f>VLOOKUP($A55,Category!$A$1:$E$351,4,0)</f>
        <v>#N/A</v>
      </c>
      <c r="S55" s="42" t="str">
        <f>VLOOKUP($A55,Category!$A$1:$E$351,5,0)</f>
        <v>#N/A</v>
      </c>
    </row>
    <row r="56">
      <c r="A56" s="83" t="s">
        <v>524</v>
      </c>
      <c r="B56" s="89" t="s">
        <v>525</v>
      </c>
      <c r="C56" s="333">
        <v>2.0</v>
      </c>
      <c r="D56" s="333" t="s">
        <v>311</v>
      </c>
      <c r="E56" s="354">
        <v>84000.0</v>
      </c>
      <c r="F56" s="335">
        <v>120000.0</v>
      </c>
      <c r="G56" s="220" t="s">
        <v>327</v>
      </c>
      <c r="H56" s="220">
        <v>1.0</v>
      </c>
      <c r="I56" s="337">
        <f t="shared" si="1"/>
        <v>0.7</v>
      </c>
      <c r="K56" s="336" t="b">
        <f t="shared" si="2"/>
        <v>0</v>
      </c>
      <c r="L56" s="219" t="b">
        <f>IFERROR(VLOOKUP($A56,AlgoUi!$A$1:$M$1779,13,0),"0")</f>
        <v>0</v>
      </c>
      <c r="M56" s="219" t="b">
        <f>IFERROR(VLOOKUP($A56,AlgoUi!$A$1:$M$1779,12,0),"0")</f>
        <v>0</v>
      </c>
      <c r="N56" s="219" t="str">
        <f>IFERROR(VLOOKUP($A56,AlgoUi!$A$1:$M$1779,11,0),"0")</f>
        <v>TRUE</v>
      </c>
      <c r="O56" s="220" t="str">
        <f t="shared" si="3"/>
        <v>#REF!</v>
      </c>
      <c r="R56" s="42" t="str">
        <f>VLOOKUP($A56,Category!$A$1:$E$351,4,0)</f>
        <v>#N/A</v>
      </c>
      <c r="S56" s="42" t="str">
        <f>VLOOKUP($A56,Category!$A$1:$E$351,5,0)</f>
        <v>#N/A</v>
      </c>
    </row>
    <row r="57">
      <c r="A57" s="83" t="s">
        <v>1409</v>
      </c>
      <c r="B57" s="343" t="s">
        <v>1410</v>
      </c>
      <c r="C57" s="333">
        <v>2.0</v>
      </c>
      <c r="D57" s="333" t="s">
        <v>311</v>
      </c>
      <c r="E57" s="344">
        <v>35000.0</v>
      </c>
      <c r="F57" s="219">
        <v>50000.0</v>
      </c>
      <c r="G57" s="220" t="s">
        <v>327</v>
      </c>
      <c r="H57" s="220">
        <v>1.0</v>
      </c>
      <c r="I57" s="337">
        <f t="shared" si="1"/>
        <v>0.7</v>
      </c>
      <c r="J57" s="220"/>
      <c r="K57" s="336" t="b">
        <f t="shared" si="2"/>
        <v>0</v>
      </c>
      <c r="L57" s="219" t="b">
        <f>IFERROR(VLOOKUP($A57,AlgoUi!$A$1:$M$1779,13,0),"0")</f>
        <v>0</v>
      </c>
      <c r="M57" s="219" t="b">
        <f>IFERROR(VLOOKUP($A57,AlgoUi!$A$1:$M$1779,12,0),"0")</f>
        <v>0</v>
      </c>
      <c r="N57" s="219" t="str">
        <f>IFERROR(VLOOKUP($A57,AlgoUi!$A$1:$M$1779,11,0),"0")</f>
        <v>TRUE</v>
      </c>
      <c r="O57" s="220" t="str">
        <f t="shared" si="3"/>
        <v>#REF!</v>
      </c>
      <c r="R57" s="42" t="str">
        <f>VLOOKUP($A57,Category!$A$1:$E$351,4,0)</f>
        <v>MS</v>
      </c>
      <c r="S57" s="42" t="str">
        <f>VLOOKUP($A57,Category!$A$1:$E$351,5,0)</f>
        <v>MSP</v>
      </c>
    </row>
    <row r="58">
      <c r="A58" s="83" t="s">
        <v>167</v>
      </c>
      <c r="B58" s="343" t="s">
        <v>1379</v>
      </c>
      <c r="C58" s="333">
        <v>2.0</v>
      </c>
      <c r="D58" s="333" t="s">
        <v>311</v>
      </c>
      <c r="E58" s="334">
        <v>49000.0</v>
      </c>
      <c r="F58" s="335">
        <v>70000.0</v>
      </c>
      <c r="G58" s="220" t="s">
        <v>327</v>
      </c>
      <c r="H58" s="220">
        <v>1.0</v>
      </c>
      <c r="I58" s="337">
        <f t="shared" si="1"/>
        <v>0.7</v>
      </c>
      <c r="K58" s="336" t="b">
        <f t="shared" si="2"/>
        <v>0</v>
      </c>
      <c r="L58" s="219" t="b">
        <f>IFERROR(VLOOKUP($A58,AlgoUi!$A$1:$M$1779,13,0),"0")</f>
        <v>0</v>
      </c>
      <c r="M58" s="219" t="b">
        <f>IFERROR(VLOOKUP($A58,AlgoUi!$A$1:$M$1779,12,0),"0")</f>
        <v>1</v>
      </c>
      <c r="N58" s="219" t="str">
        <f>IFERROR(VLOOKUP($A58,AlgoUi!$A$1:$M$1779,11,0),"0")</f>
        <v>TRUE</v>
      </c>
      <c r="O58" s="220" t="str">
        <f t="shared" si="3"/>
        <v>#REF!</v>
      </c>
      <c r="R58" s="42" t="str">
        <f>VLOOKUP($A58,Category!$A$1:$E$351,4,0)</f>
        <v>MS</v>
      </c>
      <c r="S58" s="42" t="str">
        <f>VLOOKUP($A58,Category!$A$1:$E$351,5,0)</f>
        <v>MSP</v>
      </c>
    </row>
    <row r="59">
      <c r="A59" s="83" t="s">
        <v>496</v>
      </c>
      <c r="B59" s="343" t="s">
        <v>1383</v>
      </c>
      <c r="C59" s="333">
        <v>2.0</v>
      </c>
      <c r="D59" s="333" t="s">
        <v>311</v>
      </c>
      <c r="E59" s="354">
        <v>98000.0</v>
      </c>
      <c r="F59" s="335">
        <v>140000.0</v>
      </c>
      <c r="G59" s="220" t="s">
        <v>327</v>
      </c>
      <c r="H59" s="220">
        <v>1.0</v>
      </c>
      <c r="I59" s="337">
        <f t="shared" si="1"/>
        <v>0.7</v>
      </c>
      <c r="J59" s="220"/>
      <c r="K59" s="336" t="b">
        <f t="shared" si="2"/>
        <v>0</v>
      </c>
      <c r="L59" s="219" t="b">
        <f>IFERROR(VLOOKUP($A59,AlgoUi!$A$1:$M$1779,13,0),"0")</f>
        <v>0</v>
      </c>
      <c r="M59" s="219" t="b">
        <f>IFERROR(VLOOKUP($A59,AlgoUi!$A$1:$M$1779,12,0),"0")</f>
        <v>1</v>
      </c>
      <c r="N59" s="219" t="str">
        <f>IFERROR(VLOOKUP($A59,AlgoUi!$A$1:$M$1779,11,0),"0")</f>
        <v>TRUE</v>
      </c>
      <c r="O59" s="220" t="str">
        <f t="shared" si="3"/>
        <v>#REF!</v>
      </c>
      <c r="R59" s="42" t="str">
        <f>VLOOKUP($A59,Category!$A$1:$E$351,4,0)</f>
        <v>MS</v>
      </c>
      <c r="S59" s="42" t="str">
        <f>VLOOKUP($A59,Category!$A$1:$E$351,5,0)</f>
        <v>MSP</v>
      </c>
    </row>
    <row r="60">
      <c r="A60" s="83" t="s">
        <v>449</v>
      </c>
      <c r="B60" s="162" t="s">
        <v>1348</v>
      </c>
      <c r="C60" s="42"/>
      <c r="D60" s="333" t="s">
        <v>311</v>
      </c>
      <c r="E60" s="344">
        <v>72000.0</v>
      </c>
      <c r="F60" s="219">
        <v>90000.0</v>
      </c>
      <c r="G60" s="220" t="s">
        <v>75</v>
      </c>
      <c r="H60" s="220">
        <v>7.0</v>
      </c>
      <c r="I60" s="337">
        <f t="shared" si="1"/>
        <v>0.8</v>
      </c>
      <c r="J60" s="42"/>
      <c r="K60" s="336" t="b">
        <f t="shared" si="2"/>
        <v>0</v>
      </c>
      <c r="L60" s="219" t="b">
        <f>IFERROR(VLOOKUP($A60,AlgoUi!$A$1:$M$1779,13,0),"0")</f>
        <v>0</v>
      </c>
      <c r="M60" s="219" t="b">
        <f>IFERROR(VLOOKUP($A60,AlgoUi!$A$1:$M$1779,12,0),"0")</f>
        <v>0</v>
      </c>
      <c r="N60" s="219" t="str">
        <f>IFERROR(VLOOKUP($A60,AlgoUi!$A$1:$M$1779,11,0),"0")</f>
        <v>TRUE</v>
      </c>
      <c r="O60" s="220" t="str">
        <f t="shared" si="3"/>
        <v>#REF!</v>
      </c>
      <c r="R60" s="42" t="str">
        <f>VLOOKUP($A60,Category!$A$1:$E$351,4,0)</f>
        <v>MS</v>
      </c>
      <c r="S60" s="42" t="str">
        <f>VLOOKUP($A60,Category!$A$1:$E$351,5,0)</f>
        <v>MSR</v>
      </c>
    </row>
    <row r="61">
      <c r="A61" s="83" t="s">
        <v>357</v>
      </c>
      <c r="B61" s="343" t="s">
        <v>1507</v>
      </c>
      <c r="C61" s="333">
        <v>2.0</v>
      </c>
      <c r="D61" s="333" t="s">
        <v>311</v>
      </c>
      <c r="E61" s="344">
        <v>84000.0</v>
      </c>
      <c r="F61" s="219">
        <v>120000.0</v>
      </c>
      <c r="G61" s="220" t="s">
        <v>327</v>
      </c>
      <c r="H61" s="220">
        <v>1.0</v>
      </c>
      <c r="I61" s="337">
        <f t="shared" si="1"/>
        <v>0.7</v>
      </c>
      <c r="J61" s="220"/>
      <c r="K61" s="336" t="b">
        <f t="shared" si="2"/>
        <v>0</v>
      </c>
      <c r="L61" s="219" t="b">
        <f>IFERROR(VLOOKUP($A61,AlgoUi!$A$1:$M$1779,13,0),"0")</f>
        <v>0</v>
      </c>
      <c r="M61" s="219" t="b">
        <f>IFERROR(VLOOKUP($A61,AlgoUi!$A$1:$M$1779,12,0),"0")</f>
        <v>1</v>
      </c>
      <c r="N61" s="219" t="str">
        <f>IFERROR(VLOOKUP($A61,AlgoUi!$A$1:$M$1779,11,0),"0")</f>
        <v>TRUE</v>
      </c>
      <c r="O61" s="220" t="str">
        <f t="shared" si="3"/>
        <v>#REF!</v>
      </c>
      <c r="R61" s="42" t="str">
        <f>VLOOKUP($A61,Category!$A$1:$E$351,4,0)</f>
        <v>MS</v>
      </c>
      <c r="S61" s="42" t="str">
        <f>VLOOKUP($A61,Category!$A$1:$E$351,5,0)</f>
        <v>MSR</v>
      </c>
    </row>
    <row r="62">
      <c r="A62" s="83" t="s">
        <v>1523</v>
      </c>
      <c r="B62" s="343" t="s">
        <v>1525</v>
      </c>
      <c r="C62" s="333">
        <v>2.0</v>
      </c>
      <c r="D62" s="333" t="s">
        <v>311</v>
      </c>
      <c r="E62" s="344">
        <v>21000.0</v>
      </c>
      <c r="F62" s="219">
        <v>30000.0</v>
      </c>
      <c r="G62" s="220" t="s">
        <v>327</v>
      </c>
      <c r="H62" s="220">
        <v>1.0</v>
      </c>
      <c r="I62" s="337">
        <f t="shared" si="1"/>
        <v>0.7</v>
      </c>
      <c r="J62" s="220"/>
      <c r="K62" s="336" t="b">
        <f t="shared" si="2"/>
        <v>0</v>
      </c>
      <c r="L62" s="219" t="b">
        <f>IFERROR(VLOOKUP($A62,AlgoUi!$A$1:$M$1779,13,0),"0")</f>
        <v>0</v>
      </c>
      <c r="M62" s="219" t="b">
        <f>IFERROR(VLOOKUP($A62,AlgoUi!$A$1:$M$1779,12,0),"0")</f>
        <v>1</v>
      </c>
      <c r="N62" s="219" t="str">
        <f>IFERROR(VLOOKUP($A62,AlgoUi!$A$1:$M$1779,11,0),"0")</f>
        <v>TRUE</v>
      </c>
      <c r="O62" s="220" t="str">
        <f t="shared" si="3"/>
        <v>#REF!</v>
      </c>
      <c r="R62" s="42" t="str">
        <f>VLOOKUP($A62,Category!$A$1:$E$351,4,0)</f>
        <v>MS</v>
      </c>
      <c r="S62" s="42" t="str">
        <f>VLOOKUP($A62,Category!$A$1:$E$351,5,0)</f>
        <v>MSR</v>
      </c>
    </row>
    <row r="63">
      <c r="A63" s="83" t="s">
        <v>882</v>
      </c>
      <c r="B63" s="343" t="s">
        <v>1224</v>
      </c>
      <c r="C63" s="333">
        <v>1.0</v>
      </c>
      <c r="D63" s="333" t="s">
        <v>311</v>
      </c>
      <c r="E63" s="334">
        <v>32000.0</v>
      </c>
      <c r="F63" s="335">
        <v>40000.0</v>
      </c>
      <c r="G63" s="220" t="s">
        <v>340</v>
      </c>
      <c r="H63" s="220">
        <v>7.0</v>
      </c>
      <c r="I63" s="337">
        <f t="shared" si="1"/>
        <v>0.8</v>
      </c>
      <c r="J63" s="220"/>
      <c r="K63" s="336" t="b">
        <f t="shared" si="2"/>
        <v>0</v>
      </c>
      <c r="L63" s="219" t="b">
        <f>IFERROR(VLOOKUP($A63,AlgoUi!$A$1:$M$1779,13,0),"0")</f>
        <v>0</v>
      </c>
      <c r="M63" s="219" t="b">
        <f>IFERROR(VLOOKUP($A63,AlgoUi!$A$1:$M$1779,12,0),"0")</f>
        <v>1</v>
      </c>
      <c r="N63" s="219" t="str">
        <f>IFERROR(VLOOKUP($A63,AlgoUi!$A$1:$M$1779,11,0),"0")</f>
        <v>TRUE</v>
      </c>
      <c r="O63" s="220" t="str">
        <f t="shared" si="3"/>
        <v>#REF!</v>
      </c>
      <c r="Q63" s="89" t="s">
        <v>3861</v>
      </c>
      <c r="R63" s="42" t="str">
        <f>VLOOKUP($A63,Category!$A$1:$E$351,4,0)</f>
        <v>CC</v>
      </c>
      <c r="S63" s="42" t="str">
        <f>VLOOKUP($A63,Category!$A$1:$E$351,5,0)</f>
        <v>CCG</v>
      </c>
    </row>
    <row r="64">
      <c r="A64" s="83" t="s">
        <v>1400</v>
      </c>
      <c r="B64" s="343" t="s">
        <v>1401</v>
      </c>
      <c r="C64" s="333">
        <v>2.0</v>
      </c>
      <c r="D64" s="333" t="s">
        <v>311</v>
      </c>
      <c r="E64" s="355">
        <v>28000.0</v>
      </c>
      <c r="F64" s="335">
        <v>40000.0</v>
      </c>
      <c r="G64" s="220" t="s">
        <v>327</v>
      </c>
      <c r="H64" s="220">
        <v>1.0</v>
      </c>
      <c r="I64" s="337">
        <f t="shared" si="1"/>
        <v>0.7</v>
      </c>
      <c r="J64" s="220"/>
      <c r="K64" s="336" t="b">
        <f t="shared" si="2"/>
        <v>0</v>
      </c>
      <c r="L64" s="219" t="b">
        <f>IFERROR(VLOOKUP($A64,AlgoUi!$A$1:$M$1779,13,0),"0")</f>
        <v>0</v>
      </c>
      <c r="M64" s="219" t="b">
        <f>IFERROR(VLOOKUP($A64,AlgoUi!$A$1:$M$1779,12,0),"0")</f>
        <v>1</v>
      </c>
      <c r="N64" s="219" t="str">
        <f>IFERROR(VLOOKUP($A64,AlgoUi!$A$1:$M$1779,11,0),"0")</f>
        <v>TRUE</v>
      </c>
      <c r="O64" s="220" t="str">
        <f t="shared" si="3"/>
        <v>#REF!</v>
      </c>
      <c r="R64" s="42" t="str">
        <f>VLOOKUP($A64,Category!$A$1:$E$351,4,0)</f>
        <v>MS</v>
      </c>
      <c r="S64" s="42" t="str">
        <f>VLOOKUP($A64,Category!$A$1:$E$351,5,0)</f>
        <v>MSP</v>
      </c>
    </row>
    <row r="65">
      <c r="A65" s="83" t="s">
        <v>424</v>
      </c>
      <c r="B65" s="343" t="s">
        <v>1482</v>
      </c>
      <c r="C65" s="333">
        <v>2.0</v>
      </c>
      <c r="D65" s="333" t="s">
        <v>311</v>
      </c>
      <c r="E65" s="344">
        <v>49000.0</v>
      </c>
      <c r="F65" s="219">
        <v>70000.0</v>
      </c>
      <c r="G65" s="220" t="s">
        <v>327</v>
      </c>
      <c r="H65" s="220">
        <v>1.0</v>
      </c>
      <c r="I65" s="337">
        <f t="shared" si="1"/>
        <v>0.7</v>
      </c>
      <c r="J65" s="220"/>
      <c r="K65" s="336" t="b">
        <f t="shared" si="2"/>
        <v>0</v>
      </c>
      <c r="L65" s="219" t="b">
        <f>IFERROR(VLOOKUP($A65,AlgoUi!$A$1:$M$1779,13,0),"0")</f>
        <v>0</v>
      </c>
      <c r="M65" s="219" t="b">
        <f>IFERROR(VLOOKUP($A65,AlgoUi!$A$1:$M$1779,12,0),"0")</f>
        <v>1</v>
      </c>
      <c r="N65" s="219" t="str">
        <f>IFERROR(VLOOKUP($A65,AlgoUi!$A$1:$M$1779,11,0),"0")</f>
        <v>TRUE</v>
      </c>
      <c r="O65" s="220" t="str">
        <f t="shared" si="3"/>
        <v>#REF!</v>
      </c>
      <c r="R65" s="42" t="str">
        <f>VLOOKUP($A65,Category!$A$1:$E$351,4,0)</f>
        <v>MS</v>
      </c>
      <c r="S65" s="42" t="str">
        <f>VLOOKUP($A65,Category!$A$1:$E$351,5,0)</f>
        <v>MSR</v>
      </c>
    </row>
    <row r="66">
      <c r="A66" s="83" t="s">
        <v>1512</v>
      </c>
      <c r="B66" s="343" t="s">
        <v>1513</v>
      </c>
      <c r="C66" s="333">
        <v>2.0</v>
      </c>
      <c r="D66" s="333" t="s">
        <v>311</v>
      </c>
      <c r="E66" s="334">
        <v>0.0</v>
      </c>
      <c r="F66" s="335">
        <v>0.0</v>
      </c>
      <c r="G66" s="220" t="s">
        <v>327</v>
      </c>
      <c r="H66" s="220">
        <v>1.0</v>
      </c>
      <c r="I66" s="337">
        <f t="shared" si="1"/>
        <v>0</v>
      </c>
      <c r="J66" s="220"/>
      <c r="K66" s="336" t="b">
        <f t="shared" si="2"/>
        <v>0</v>
      </c>
      <c r="L66" s="219" t="b">
        <f>IFERROR(VLOOKUP($A66,AlgoUi!$A$1:$M$1779,13,0),"0")</f>
        <v>0</v>
      </c>
      <c r="M66" s="219" t="b">
        <f>IFERROR(VLOOKUP($A66,AlgoUi!$A$1:$M$1779,12,0),"0")</f>
        <v>0</v>
      </c>
      <c r="N66" s="219" t="str">
        <f>IFERROR(VLOOKUP($A66,AlgoUi!$A$1:$M$1779,11,0),"0")</f>
        <v>TRUE</v>
      </c>
      <c r="O66" s="220" t="str">
        <f t="shared" si="3"/>
        <v>#REF!</v>
      </c>
      <c r="P66" s="89" t="s">
        <v>3875</v>
      </c>
      <c r="R66" s="42" t="str">
        <f>VLOOKUP($A66,Category!$A$1:$E$351,4,0)</f>
        <v>MS</v>
      </c>
      <c r="S66" s="42" t="str">
        <f>VLOOKUP($A66,Category!$A$1:$E$351,5,0)</f>
        <v>MSR</v>
      </c>
    </row>
    <row r="67">
      <c r="A67" s="83" t="s">
        <v>1402</v>
      </c>
      <c r="B67" s="343" t="s">
        <v>1403</v>
      </c>
      <c r="C67" s="333">
        <v>2.0</v>
      </c>
      <c r="D67" s="333" t="s">
        <v>311</v>
      </c>
      <c r="E67" s="334">
        <v>49000.0</v>
      </c>
      <c r="F67" s="335">
        <v>70000.0</v>
      </c>
      <c r="G67" s="220" t="s">
        <v>327</v>
      </c>
      <c r="H67" s="220">
        <v>1.0</v>
      </c>
      <c r="I67" s="337">
        <f t="shared" si="1"/>
        <v>0.7</v>
      </c>
      <c r="K67" s="336" t="b">
        <f t="shared" si="2"/>
        <v>0</v>
      </c>
      <c r="L67" s="219" t="b">
        <f>IFERROR(VLOOKUP($A67,AlgoUi!$A$1:$M$1779,13,0),"0")</f>
        <v>0</v>
      </c>
      <c r="M67" s="219" t="b">
        <f>IFERROR(VLOOKUP($A67,AlgoUi!$A$1:$M$1779,12,0),"0")</f>
        <v>0</v>
      </c>
      <c r="N67" s="219" t="str">
        <f>IFERROR(VLOOKUP($A67,AlgoUi!$A$1:$M$1779,11,0),"0")</f>
        <v>TRUE</v>
      </c>
      <c r="O67" s="220" t="str">
        <f t="shared" si="3"/>
        <v>#REF!</v>
      </c>
      <c r="R67" s="42" t="str">
        <f>VLOOKUP($A67,Category!$A$1:$E$351,4,0)</f>
        <v>MS</v>
      </c>
      <c r="S67" s="42" t="str">
        <f>VLOOKUP($A67,Category!$A$1:$E$351,5,0)</f>
        <v>MSP</v>
      </c>
    </row>
    <row r="68">
      <c r="A68" s="83" t="s">
        <v>451</v>
      </c>
      <c r="B68" s="343" t="s">
        <v>1784</v>
      </c>
      <c r="C68" s="333">
        <v>2.0</v>
      </c>
      <c r="D68" s="333" t="s">
        <v>311</v>
      </c>
      <c r="E68" s="334">
        <v>42000.0</v>
      </c>
      <c r="F68" s="335">
        <v>60000.0</v>
      </c>
      <c r="G68" s="220" t="s">
        <v>327</v>
      </c>
      <c r="H68" s="220">
        <v>1.0</v>
      </c>
      <c r="I68" s="337">
        <f t="shared" si="1"/>
        <v>0.7</v>
      </c>
      <c r="J68" s="220"/>
      <c r="K68" s="336" t="b">
        <f t="shared" si="2"/>
        <v>0</v>
      </c>
      <c r="L68" s="219" t="b">
        <f>IFERROR(VLOOKUP($A68,AlgoUi!$A$1:$M$1779,13,0),"0")</f>
        <v>0</v>
      </c>
      <c r="M68" s="219" t="b">
        <f>IFERROR(VLOOKUP($A68,AlgoUi!$A$1:$M$1779,12,0),"0")</f>
        <v>1</v>
      </c>
      <c r="N68" s="219" t="str">
        <f>IFERROR(VLOOKUP($A68,AlgoUi!$A$1:$M$1779,11,0),"0")</f>
        <v>TRUE</v>
      </c>
      <c r="O68" s="220" t="str">
        <f t="shared" si="3"/>
        <v>#REF!</v>
      </c>
      <c r="R68" s="42" t="str">
        <f>VLOOKUP($A68,Category!$A$1:$E$351,4,0)</f>
        <v>MS</v>
      </c>
      <c r="S68" s="42" t="str">
        <f>VLOOKUP($A68,Category!$A$1:$E$351,5,0)</f>
        <v>MSR</v>
      </c>
    </row>
    <row r="69">
      <c r="A69" s="83" t="s">
        <v>398</v>
      </c>
      <c r="B69" s="343" t="s">
        <v>1660</v>
      </c>
      <c r="C69" s="333">
        <v>2.0</v>
      </c>
      <c r="D69" s="333" t="s">
        <v>311</v>
      </c>
      <c r="E69" s="334">
        <v>98000.0</v>
      </c>
      <c r="F69" s="335">
        <v>140000.0</v>
      </c>
      <c r="G69" s="220" t="s">
        <v>327</v>
      </c>
      <c r="H69" s="220">
        <v>1.0</v>
      </c>
      <c r="I69" s="337">
        <f t="shared" si="1"/>
        <v>0.7</v>
      </c>
      <c r="J69" s="220"/>
      <c r="K69" s="336" t="b">
        <f t="shared" si="2"/>
        <v>0</v>
      </c>
      <c r="L69" s="219" t="b">
        <f>IFERROR(VLOOKUP($A69,AlgoUi!$A$1:$M$1779,13,0),"0")</f>
        <v>0</v>
      </c>
      <c r="M69" s="219" t="b">
        <f>IFERROR(VLOOKUP($A69,AlgoUi!$A$1:$M$1779,12,0),"0")</f>
        <v>1</v>
      </c>
      <c r="N69" s="219" t="str">
        <f>IFERROR(VLOOKUP($A69,AlgoUi!$A$1:$M$1779,11,0),"0")</f>
        <v>TRUE</v>
      </c>
      <c r="O69" s="220" t="str">
        <f t="shared" si="3"/>
        <v>#REF!</v>
      </c>
      <c r="R69" s="42" t="str">
        <f>VLOOKUP($A69,Category!$A$1:$E$351,4,0)</f>
        <v>MS</v>
      </c>
      <c r="S69" s="42" t="str">
        <f>VLOOKUP($A69,Category!$A$1:$E$351,5,0)</f>
        <v>MSR</v>
      </c>
    </row>
    <row r="70">
      <c r="A70" s="83" t="s">
        <v>754</v>
      </c>
      <c r="B70" s="343" t="s">
        <v>755</v>
      </c>
      <c r="C70" s="333">
        <v>1.0</v>
      </c>
      <c r="D70" s="333" t="s">
        <v>311</v>
      </c>
      <c r="E70" s="334">
        <v>48000.0</v>
      </c>
      <c r="F70" s="335">
        <v>60000.0</v>
      </c>
      <c r="G70" s="220" t="s">
        <v>340</v>
      </c>
      <c r="H70" s="220">
        <v>7.0</v>
      </c>
      <c r="I70" s="337">
        <f t="shared" si="1"/>
        <v>0.8</v>
      </c>
      <c r="J70" s="220"/>
      <c r="K70" s="336" t="b">
        <f t="shared" si="2"/>
        <v>0</v>
      </c>
      <c r="L70" s="219" t="b">
        <f>IFERROR(VLOOKUP($A70,AlgoUi!$A$1:$M$1779,13,0),"0")</f>
        <v>0</v>
      </c>
      <c r="M70" s="219" t="b">
        <f>IFERROR(VLOOKUP($A70,AlgoUi!$A$1:$M$1779,12,0),"0")</f>
        <v>0</v>
      </c>
      <c r="N70" s="219" t="str">
        <f>IFERROR(VLOOKUP($A70,AlgoUi!$A$1:$M$1779,11,0),"0")</f>
        <v>TRUE</v>
      </c>
      <c r="O70" s="220" t="str">
        <f t="shared" si="3"/>
        <v>#REF!</v>
      </c>
      <c r="Q70" s="89" t="s">
        <v>3861</v>
      </c>
      <c r="R70" s="42" t="str">
        <f>VLOOKUP($A70,Category!$A$1:$E$351,4,0)</f>
        <v>CC</v>
      </c>
      <c r="S70" s="42" t="str">
        <f>VLOOKUP($A70,Category!$A$1:$E$351,5,0)</f>
        <v>CCG</v>
      </c>
    </row>
    <row r="71">
      <c r="A71" s="83" t="s">
        <v>562</v>
      </c>
      <c r="B71" s="89" t="s">
        <v>1311</v>
      </c>
      <c r="C71" s="333">
        <v>1.0</v>
      </c>
      <c r="D71" s="333" t="s">
        <v>1251</v>
      </c>
      <c r="E71" s="344">
        <v>35000.0</v>
      </c>
      <c r="F71" s="219">
        <v>50000.0</v>
      </c>
      <c r="G71" s="336" t="s">
        <v>83</v>
      </c>
      <c r="H71" s="336">
        <v>1.0</v>
      </c>
      <c r="I71" s="337">
        <f t="shared" si="1"/>
        <v>0.7</v>
      </c>
      <c r="J71" s="336" t="s">
        <v>3887</v>
      </c>
      <c r="K71" s="336" t="b">
        <f t="shared" si="2"/>
        <v>0</v>
      </c>
      <c r="L71" s="219" t="b">
        <f>IFERROR(VLOOKUP($A71,AlgoUi!$A$1:$M$1779,13,0),"0")</f>
        <v>0</v>
      </c>
      <c r="M71" s="219" t="b">
        <f>IFERROR(VLOOKUP($A71,AlgoUi!$A$1:$M$1779,12,0),"0")</f>
        <v>1</v>
      </c>
      <c r="N71" s="219" t="str">
        <f>IFERROR(VLOOKUP($A71,AlgoUi!$A$1:$M$1779,11,0),"0")</f>
        <v>TRUE</v>
      </c>
      <c r="O71" s="220" t="str">
        <f t="shared" si="3"/>
        <v>#REF!</v>
      </c>
      <c r="Q71" s="89" t="s">
        <v>3861</v>
      </c>
      <c r="R71" s="42" t="str">
        <f>VLOOKUP($A71,Category!$A$1:$E$351,4,0)</f>
        <v>CC</v>
      </c>
      <c r="S71" s="42" t="str">
        <f>VLOOKUP($A71,Category!$A$1:$E$351,5,0)</f>
        <v>CCV</v>
      </c>
    </row>
    <row r="72">
      <c r="A72" s="83" t="s">
        <v>1299</v>
      </c>
      <c r="B72" s="343" t="s">
        <v>1300</v>
      </c>
      <c r="C72" s="333">
        <v>1.0</v>
      </c>
      <c r="D72" s="333" t="s">
        <v>311</v>
      </c>
      <c r="E72" s="334">
        <v>14000.0</v>
      </c>
      <c r="F72" s="219">
        <v>20000.0</v>
      </c>
      <c r="G72" s="336" t="s">
        <v>83</v>
      </c>
      <c r="H72" s="336">
        <v>1.0</v>
      </c>
      <c r="I72" s="337">
        <f t="shared" si="1"/>
        <v>0.7</v>
      </c>
      <c r="J72" s="220"/>
      <c r="K72" s="336" t="b">
        <f t="shared" si="2"/>
        <v>0</v>
      </c>
      <c r="L72" s="219" t="b">
        <f>IFERROR(VLOOKUP($A72,AlgoUi!$A$1:$M$1779,13,0),"0")</f>
        <v>0</v>
      </c>
      <c r="M72" s="219" t="b">
        <f>IFERROR(VLOOKUP($A72,AlgoUi!$A$1:$M$1779,12,0),"0")</f>
        <v>1</v>
      </c>
      <c r="N72" s="219" t="str">
        <f>IFERROR(VLOOKUP($A72,AlgoUi!$A$1:$M$1779,11,0),"0")</f>
        <v>TRUE</v>
      </c>
      <c r="O72" s="220" t="str">
        <f t="shared" si="3"/>
        <v>#REF!</v>
      </c>
      <c r="Q72" s="89" t="s">
        <v>3861</v>
      </c>
      <c r="R72" s="42" t="str">
        <f>VLOOKUP($A72,Category!$A$1:$E$351,4,0)</f>
        <v>CC</v>
      </c>
      <c r="S72" s="42" t="str">
        <f>VLOOKUP($A72,Category!$A$1:$E$351,5,0)</f>
        <v>CCV</v>
      </c>
    </row>
    <row r="73">
      <c r="A73" s="83" t="s">
        <v>438</v>
      </c>
      <c r="B73" s="343" t="s">
        <v>1232</v>
      </c>
      <c r="C73" s="333">
        <v>1.0</v>
      </c>
      <c r="D73" s="333" t="s">
        <v>311</v>
      </c>
      <c r="E73" s="334">
        <v>16000.0</v>
      </c>
      <c r="F73" s="335">
        <v>20000.0</v>
      </c>
      <c r="G73" s="220" t="s">
        <v>340</v>
      </c>
      <c r="H73" s="220">
        <v>7.0</v>
      </c>
      <c r="I73" s="337">
        <f t="shared" si="1"/>
        <v>0.8</v>
      </c>
      <c r="J73" s="220"/>
      <c r="K73" s="336" t="b">
        <f t="shared" si="2"/>
        <v>0</v>
      </c>
      <c r="L73" s="219" t="b">
        <f>IFERROR(VLOOKUP($A73,AlgoUi!$A$1:$M$1779,13,0),"0")</f>
        <v>0</v>
      </c>
      <c r="M73" s="219" t="b">
        <f>IFERROR(VLOOKUP($A73,AlgoUi!$A$1:$M$1779,12,0),"0")</f>
        <v>1</v>
      </c>
      <c r="N73" s="219" t="str">
        <f>IFERROR(VLOOKUP($A73,AlgoUi!$A$1:$M$1779,11,0),"0")</f>
        <v>TRUE</v>
      </c>
      <c r="O73" s="220" t="str">
        <f t="shared" si="3"/>
        <v>#REF!</v>
      </c>
      <c r="Q73" s="89" t="s">
        <v>3861</v>
      </c>
      <c r="R73" s="42" t="str">
        <f>VLOOKUP($A73,Category!$A$1:$E$351,4,0)</f>
        <v>CC</v>
      </c>
      <c r="S73" s="42" t="str">
        <f>VLOOKUP($A73,Category!$A$1:$E$351,5,0)</f>
        <v>CCG</v>
      </c>
    </row>
    <row r="74">
      <c r="A74" s="83" t="s">
        <v>326</v>
      </c>
      <c r="B74" s="343" t="s">
        <v>1214</v>
      </c>
      <c r="C74" s="333">
        <v>1.0</v>
      </c>
      <c r="D74" s="333" t="s">
        <v>311</v>
      </c>
      <c r="E74" s="334">
        <v>56000.0</v>
      </c>
      <c r="F74" s="335">
        <v>70000.0</v>
      </c>
      <c r="G74" s="220" t="s">
        <v>340</v>
      </c>
      <c r="H74" s="220">
        <v>7.0</v>
      </c>
      <c r="I74" s="337">
        <f t="shared" si="1"/>
        <v>0.8</v>
      </c>
      <c r="J74" s="220"/>
      <c r="K74" s="336" t="b">
        <f t="shared" si="2"/>
        <v>0</v>
      </c>
      <c r="L74" s="219" t="b">
        <f>IFERROR(VLOOKUP($A74,AlgoUi!$A$1:$M$1779,13,0),"0")</f>
        <v>0</v>
      </c>
      <c r="M74" s="219" t="b">
        <f>IFERROR(VLOOKUP($A74,AlgoUi!$A$1:$M$1779,12,0),"0")</f>
        <v>1</v>
      </c>
      <c r="N74" s="219" t="str">
        <f>IFERROR(VLOOKUP($A74,AlgoUi!$A$1:$M$1779,11,0),"0")</f>
        <v>TRUE</v>
      </c>
      <c r="O74" s="220" t="str">
        <f t="shared" si="3"/>
        <v>#REF!</v>
      </c>
      <c r="Q74" s="89" t="s">
        <v>3861</v>
      </c>
      <c r="R74" s="42" t="str">
        <f>VLOOKUP($A74,Category!$A$1:$E$351,4,0)</f>
        <v>CC</v>
      </c>
      <c r="S74" s="42" t="str">
        <f>VLOOKUP($A74,Category!$A$1:$E$351,5,0)</f>
        <v>CCV</v>
      </c>
    </row>
    <row r="75">
      <c r="A75" s="83" t="s">
        <v>314</v>
      </c>
      <c r="B75" s="343" t="s">
        <v>1962</v>
      </c>
      <c r="C75" s="333">
        <v>2.0</v>
      </c>
      <c r="D75" s="333" t="s">
        <v>311</v>
      </c>
      <c r="E75" s="344">
        <v>72000.0</v>
      </c>
      <c r="F75" s="219">
        <v>90000.0</v>
      </c>
      <c r="G75" s="220" t="s">
        <v>340</v>
      </c>
      <c r="H75" s="220">
        <v>7.0</v>
      </c>
      <c r="I75" s="337">
        <f t="shared" si="1"/>
        <v>0.8</v>
      </c>
      <c r="J75" s="220"/>
      <c r="K75" s="336" t="b">
        <f t="shared" si="2"/>
        <v>0</v>
      </c>
      <c r="L75" s="219" t="b">
        <f>IFERROR(VLOOKUP($A75,AlgoUi!$A$1:$M$1779,13,0),"0")</f>
        <v>0</v>
      </c>
      <c r="M75" s="219" t="b">
        <f>IFERROR(VLOOKUP($A75,AlgoUi!$A$1:$M$1779,12,0),"0")</f>
        <v>1</v>
      </c>
      <c r="N75" s="219" t="str">
        <f>IFERROR(VLOOKUP($A75,AlgoUi!$A$1:$M$1779,11,0),"0")</f>
        <v>TRUE</v>
      </c>
      <c r="O75" s="220" t="str">
        <f t="shared" si="3"/>
        <v>#REF!</v>
      </c>
      <c r="Q75" s="89" t="s">
        <v>3861</v>
      </c>
      <c r="R75" s="42" t="str">
        <f>VLOOKUP($A75,Category!$A$1:$E$351,4,0)</f>
        <v>#N/A</v>
      </c>
      <c r="S75" s="42" t="str">
        <f>VLOOKUP($A75,Category!$A$1:$E$351,5,0)</f>
        <v>#N/A</v>
      </c>
    </row>
    <row r="76">
      <c r="A76" s="83" t="s">
        <v>472</v>
      </c>
      <c r="B76" s="353" t="s">
        <v>1360</v>
      </c>
      <c r="C76" s="333"/>
      <c r="D76" s="333" t="s">
        <v>232</v>
      </c>
      <c r="E76" s="334">
        <v>32000.0</v>
      </c>
      <c r="F76" s="335">
        <v>40000.0</v>
      </c>
      <c r="G76" s="336" t="s">
        <v>75</v>
      </c>
      <c r="H76" s="336">
        <v>7.0</v>
      </c>
      <c r="I76" s="337">
        <f t="shared" si="1"/>
        <v>0.8</v>
      </c>
      <c r="J76" s="220"/>
      <c r="K76" s="336" t="b">
        <f t="shared" si="2"/>
        <v>0</v>
      </c>
      <c r="L76" s="219" t="b">
        <f>IFERROR(VLOOKUP($A76,AlgoUi!$A$1:$M$1779,13,0),"0")</f>
        <v>0</v>
      </c>
      <c r="M76" s="219" t="b">
        <f>IFERROR(VLOOKUP($A76,AlgoUi!$A$1:$M$1779,12,0),"0")</f>
        <v>1</v>
      </c>
      <c r="N76" s="219" t="str">
        <f>IFERROR(VLOOKUP($A76,AlgoUi!$A$1:$M$1779,11,0),"0")</f>
        <v>TRUE</v>
      </c>
      <c r="O76" s="220" t="str">
        <f t="shared" si="3"/>
        <v>#REF!</v>
      </c>
      <c r="R76" s="42" t="str">
        <f>VLOOKUP($A76,Category!$A$1:$E$351,4,0)</f>
        <v>MS</v>
      </c>
      <c r="S76" s="42" t="str">
        <f>VLOOKUP($A76,Category!$A$1:$E$351,5,0)</f>
        <v>MSR</v>
      </c>
    </row>
    <row r="77">
      <c r="A77" s="83" t="s">
        <v>274</v>
      </c>
      <c r="B77" s="343" t="s">
        <v>1972</v>
      </c>
      <c r="C77" s="333">
        <v>2.0</v>
      </c>
      <c r="D77" s="333" t="s">
        <v>311</v>
      </c>
      <c r="E77" s="334">
        <v>72000.0</v>
      </c>
      <c r="F77" s="335">
        <v>90000.0</v>
      </c>
      <c r="G77" s="220" t="s">
        <v>340</v>
      </c>
      <c r="H77" s="220">
        <v>7.0</v>
      </c>
      <c r="I77" s="337">
        <f t="shared" si="1"/>
        <v>0.8</v>
      </c>
      <c r="J77" s="220"/>
      <c r="K77" s="336" t="b">
        <f t="shared" si="2"/>
        <v>0</v>
      </c>
      <c r="L77" s="219" t="b">
        <f>IFERROR(VLOOKUP($A77,AlgoUi!$A$1:$M$1779,13,0),"0")</f>
        <v>0</v>
      </c>
      <c r="M77" s="219" t="b">
        <f>IFERROR(VLOOKUP($A77,AlgoUi!$A$1:$M$1779,12,0),"0")</f>
        <v>1</v>
      </c>
      <c r="N77" s="219" t="str">
        <f>IFERROR(VLOOKUP($A77,AlgoUi!$A$1:$M$1779,11,0),"0")</f>
        <v>TRUE</v>
      </c>
      <c r="O77" s="220" t="str">
        <f t="shared" si="3"/>
        <v>#REF!</v>
      </c>
      <c r="Q77" s="89" t="s">
        <v>3861</v>
      </c>
      <c r="R77" s="42" t="str">
        <f>VLOOKUP($A77,Category!$A$1:$E$351,4,0)</f>
        <v>#N/A</v>
      </c>
      <c r="S77" s="42" t="str">
        <f>VLOOKUP($A77,Category!$A$1:$E$351,5,0)</f>
        <v>#N/A</v>
      </c>
    </row>
    <row r="78">
      <c r="A78" s="83" t="s">
        <v>1305</v>
      </c>
      <c r="B78" s="343" t="s">
        <v>1306</v>
      </c>
      <c r="C78" s="333">
        <v>1.0</v>
      </c>
      <c r="D78" s="333" t="s">
        <v>311</v>
      </c>
      <c r="E78" s="344">
        <v>40000.0</v>
      </c>
      <c r="F78" s="219">
        <v>50000.0</v>
      </c>
      <c r="G78" s="220" t="s">
        <v>340</v>
      </c>
      <c r="H78" s="220">
        <v>7.0</v>
      </c>
      <c r="I78" s="337">
        <f t="shared" si="1"/>
        <v>0.8</v>
      </c>
      <c r="J78" s="220"/>
      <c r="K78" s="336" t="b">
        <f t="shared" si="2"/>
        <v>0</v>
      </c>
      <c r="L78" s="219" t="b">
        <f>IFERROR(VLOOKUP($A78,AlgoUi!$A$1:$M$1779,13,0),"0")</f>
        <v>0</v>
      </c>
      <c r="M78" s="219" t="b">
        <f>IFERROR(VLOOKUP($A78,AlgoUi!$A$1:$M$1779,12,0),"0")</f>
        <v>0</v>
      </c>
      <c r="N78" s="219" t="str">
        <f>IFERROR(VLOOKUP($A78,AlgoUi!$A$1:$M$1779,11,0),"0")</f>
        <v>TRUE</v>
      </c>
      <c r="O78" s="220" t="str">
        <f t="shared" si="3"/>
        <v>#REF!</v>
      </c>
      <c r="Q78" s="89" t="s">
        <v>3861</v>
      </c>
      <c r="R78" s="42" t="str">
        <f>VLOOKUP($A78,Category!$A$1:$E$351,4,0)</f>
        <v>CC</v>
      </c>
      <c r="S78" s="42" t="str">
        <f>VLOOKUP($A78,Category!$A$1:$E$351,5,0)</f>
        <v>CCV</v>
      </c>
    </row>
    <row r="79">
      <c r="A79" s="83" t="s">
        <v>535</v>
      </c>
      <c r="B79" s="343" t="s">
        <v>1301</v>
      </c>
      <c r="C79" s="333">
        <v>1.0</v>
      </c>
      <c r="D79" s="333" t="s">
        <v>311</v>
      </c>
      <c r="E79" s="334">
        <v>32000.0</v>
      </c>
      <c r="F79" s="335">
        <v>40000.0</v>
      </c>
      <c r="G79" s="220" t="s">
        <v>340</v>
      </c>
      <c r="H79" s="220">
        <v>7.0</v>
      </c>
      <c r="I79" s="337">
        <f t="shared" si="1"/>
        <v>0.8</v>
      </c>
      <c r="J79" s="220"/>
      <c r="K79" s="336" t="b">
        <f t="shared" si="2"/>
        <v>0</v>
      </c>
      <c r="L79" s="219" t="b">
        <f>IFERROR(VLOOKUP($A79,AlgoUi!$A$1:$M$1779,13,0),"0")</f>
        <v>0</v>
      </c>
      <c r="M79" s="219" t="b">
        <f>IFERROR(VLOOKUP($A79,AlgoUi!$A$1:$M$1779,12,0),"0")</f>
        <v>1</v>
      </c>
      <c r="N79" s="219" t="str">
        <f>IFERROR(VLOOKUP($A79,AlgoUi!$A$1:$M$1779,11,0),"0")</f>
        <v>TRUE</v>
      </c>
      <c r="O79" s="220" t="str">
        <f t="shared" si="3"/>
        <v>#REF!</v>
      </c>
      <c r="Q79" s="89" t="s">
        <v>3861</v>
      </c>
      <c r="R79" s="42" t="str">
        <f>VLOOKUP($A79,Category!$A$1:$E$351,4,0)</f>
        <v>CC</v>
      </c>
      <c r="S79" s="42" t="str">
        <f>VLOOKUP($A79,Category!$A$1:$E$351,5,0)</f>
        <v>CCV</v>
      </c>
    </row>
    <row r="80">
      <c r="A80" s="83" t="s">
        <v>587</v>
      </c>
      <c r="B80" s="343" t="s">
        <v>588</v>
      </c>
      <c r="C80" s="333">
        <v>2.0</v>
      </c>
      <c r="D80" s="333" t="s">
        <v>311</v>
      </c>
      <c r="E80" s="334">
        <v>40000.0</v>
      </c>
      <c r="F80" s="335">
        <v>50000.0</v>
      </c>
      <c r="G80" s="220" t="s">
        <v>340</v>
      </c>
      <c r="H80" s="220">
        <v>7.0</v>
      </c>
      <c r="I80" s="337">
        <f t="shared" si="1"/>
        <v>0.8</v>
      </c>
      <c r="J80" s="220"/>
      <c r="K80" s="336" t="b">
        <f t="shared" si="2"/>
        <v>0</v>
      </c>
      <c r="L80" s="219" t="b">
        <f>IFERROR(VLOOKUP($A80,AlgoUi!$A$1:$M$1779,13,0),"0")</f>
        <v>0</v>
      </c>
      <c r="M80" s="219" t="b">
        <f>IFERROR(VLOOKUP($A80,AlgoUi!$A$1:$M$1779,12,0),"0")</f>
        <v>0</v>
      </c>
      <c r="N80" s="219" t="str">
        <f>IFERROR(VLOOKUP($A80,AlgoUi!$A$1:$M$1779,11,0),"0")</f>
        <v>TRUE</v>
      </c>
      <c r="O80" s="220" t="str">
        <f t="shared" si="3"/>
        <v>#REF!</v>
      </c>
      <c r="Q80" s="89" t="s">
        <v>3861</v>
      </c>
      <c r="R80" s="42" t="str">
        <f>VLOOKUP($A80,Category!$A$1:$E$351,4,0)</f>
        <v>#N/A</v>
      </c>
      <c r="S80" s="42" t="str">
        <f>VLOOKUP($A80,Category!$A$1:$E$351,5,0)</f>
        <v>#N/A</v>
      </c>
    </row>
    <row r="81">
      <c r="A81" s="83" t="s">
        <v>103</v>
      </c>
      <c r="B81" s="343" t="s">
        <v>1218</v>
      </c>
      <c r="C81" s="333">
        <v>1.0</v>
      </c>
      <c r="D81" s="333" t="s">
        <v>311</v>
      </c>
      <c r="E81" s="334">
        <v>40000.0</v>
      </c>
      <c r="F81" s="219">
        <v>50000.0</v>
      </c>
      <c r="G81" s="220" t="s">
        <v>340</v>
      </c>
      <c r="H81" s="220">
        <v>7.0</v>
      </c>
      <c r="I81" s="337">
        <f t="shared" si="1"/>
        <v>0.8</v>
      </c>
      <c r="J81" s="220"/>
      <c r="K81" s="336" t="b">
        <f t="shared" si="2"/>
        <v>0</v>
      </c>
      <c r="L81" s="219" t="b">
        <f>IFERROR(VLOOKUP($A81,AlgoUi!$A$1:$M$1779,13,0),"0")</f>
        <v>0</v>
      </c>
      <c r="M81" s="219" t="b">
        <f>IFERROR(VLOOKUP($A81,AlgoUi!$A$1:$M$1779,12,0),"0")</f>
        <v>1</v>
      </c>
      <c r="N81" s="219" t="str">
        <f>IFERROR(VLOOKUP($A81,AlgoUi!$A$1:$M$1779,11,0),"0")</f>
        <v>TRUE</v>
      </c>
      <c r="O81" s="220" t="str">
        <f t="shared" si="3"/>
        <v>#REF!</v>
      </c>
      <c r="Q81" s="89" t="s">
        <v>3861</v>
      </c>
      <c r="R81" s="42" t="str">
        <f>VLOOKUP($A81,Category!$A$1:$E$351,4,0)</f>
        <v>CC</v>
      </c>
      <c r="S81" s="42" t="str">
        <f>VLOOKUP($A81,Category!$A$1:$E$351,5,0)</f>
        <v>PGB</v>
      </c>
    </row>
    <row r="82">
      <c r="A82" s="83" t="s">
        <v>1380</v>
      </c>
      <c r="B82" s="343" t="s">
        <v>1381</v>
      </c>
      <c r="C82" s="333">
        <v>2.0</v>
      </c>
      <c r="D82" s="333" t="s">
        <v>311</v>
      </c>
      <c r="E82" s="334">
        <v>112000.0</v>
      </c>
      <c r="F82" s="335">
        <v>140000.0</v>
      </c>
      <c r="G82" s="220" t="s">
        <v>75</v>
      </c>
      <c r="H82" s="220">
        <v>7.0</v>
      </c>
      <c r="I82" s="337">
        <f t="shared" si="1"/>
        <v>0.8</v>
      </c>
      <c r="J82" s="220"/>
      <c r="K82" s="336" t="b">
        <f t="shared" si="2"/>
        <v>0</v>
      </c>
      <c r="L82" s="219" t="b">
        <f>IFERROR(VLOOKUP($A82,AlgoUi!$A$1:$M$1779,13,0),"0")</f>
        <v>0</v>
      </c>
      <c r="M82" s="219" t="b">
        <f>IFERROR(VLOOKUP($A82,AlgoUi!$A$1:$M$1779,12,0),"0")</f>
        <v>1</v>
      </c>
      <c r="N82" s="219" t="str">
        <f>IFERROR(VLOOKUP($A82,AlgoUi!$A$1:$M$1779,11,0),"0")</f>
        <v>TRUE</v>
      </c>
      <c r="O82" s="220" t="str">
        <f t="shared" si="3"/>
        <v>#REF!</v>
      </c>
      <c r="R82" s="42" t="str">
        <f>VLOOKUP($A82,Category!$A$1:$E$351,4,0)</f>
        <v>MS</v>
      </c>
      <c r="S82" s="42" t="str">
        <f>VLOOKUP($A82,Category!$A$1:$E$351,5,0)</f>
        <v>MSP</v>
      </c>
    </row>
    <row r="83">
      <c r="A83" s="83" t="s">
        <v>561</v>
      </c>
      <c r="B83" s="343" t="s">
        <v>1220</v>
      </c>
      <c r="C83" s="333">
        <v>1.0</v>
      </c>
      <c r="D83" s="333" t="s">
        <v>311</v>
      </c>
      <c r="E83" s="334">
        <v>48000.0</v>
      </c>
      <c r="F83" s="335">
        <v>60000.0</v>
      </c>
      <c r="G83" s="220" t="s">
        <v>340</v>
      </c>
      <c r="H83" s="220">
        <v>7.0</v>
      </c>
      <c r="I83" s="337">
        <f t="shared" si="1"/>
        <v>0.8</v>
      </c>
      <c r="J83" s="220"/>
      <c r="K83" s="336" t="b">
        <f t="shared" si="2"/>
        <v>0</v>
      </c>
      <c r="L83" s="219" t="b">
        <f>IFERROR(VLOOKUP($A83,AlgoUi!$A$1:$M$1779,13,0),"0")</f>
        <v>0</v>
      </c>
      <c r="M83" s="219" t="b">
        <f>IFERROR(VLOOKUP($A83,AlgoUi!$A$1:$M$1779,12,0),"0")</f>
        <v>1</v>
      </c>
      <c r="N83" s="219" t="str">
        <f>IFERROR(VLOOKUP($A83,AlgoUi!$A$1:$M$1779,11,0),"0")</f>
        <v>TRUE</v>
      </c>
      <c r="O83" s="220" t="str">
        <f t="shared" si="3"/>
        <v>#REF!</v>
      </c>
      <c r="Q83" s="89" t="s">
        <v>3861</v>
      </c>
      <c r="R83" s="42" t="str">
        <f>VLOOKUP($A83,Category!$A$1:$E$351,4,0)</f>
        <v>CC</v>
      </c>
      <c r="S83" s="42" t="str">
        <f>VLOOKUP($A83,Category!$A$1:$E$351,5,0)</f>
        <v>CCV</v>
      </c>
    </row>
    <row r="84">
      <c r="A84" s="83" t="s">
        <v>519</v>
      </c>
      <c r="B84" s="343" t="s">
        <v>1304</v>
      </c>
      <c r="C84" s="333">
        <v>1.0</v>
      </c>
      <c r="D84" s="333" t="s">
        <v>311</v>
      </c>
      <c r="E84" s="334">
        <v>40000.0</v>
      </c>
      <c r="F84" s="335">
        <v>50000.0</v>
      </c>
      <c r="G84" s="220" t="s">
        <v>340</v>
      </c>
      <c r="H84" s="220">
        <v>7.0</v>
      </c>
      <c r="I84" s="337">
        <f t="shared" si="1"/>
        <v>0.8</v>
      </c>
      <c r="J84" s="220"/>
      <c r="K84" s="336" t="b">
        <f t="shared" si="2"/>
        <v>0</v>
      </c>
      <c r="L84" s="219" t="b">
        <f>IFERROR(VLOOKUP($A84,AlgoUi!$A$1:$M$1779,13,0),"0")</f>
        <v>0</v>
      </c>
      <c r="M84" s="219" t="b">
        <f>IFERROR(VLOOKUP($A84,AlgoUi!$A$1:$M$1779,12,0),"0")</f>
        <v>1</v>
      </c>
      <c r="N84" s="219" t="str">
        <f>IFERROR(VLOOKUP($A84,AlgoUi!$A$1:$M$1779,11,0),"0")</f>
        <v>TRUE</v>
      </c>
      <c r="O84" s="220" t="str">
        <f t="shared" si="3"/>
        <v>#REF!</v>
      </c>
      <c r="Q84" s="89" t="s">
        <v>3861</v>
      </c>
      <c r="R84" s="42" t="str">
        <f>VLOOKUP($A84,Category!$A$1:$E$351,4,0)</f>
        <v>CC</v>
      </c>
      <c r="S84" s="42" t="str">
        <f>VLOOKUP($A84,Category!$A$1:$E$351,5,0)</f>
        <v>CCV</v>
      </c>
    </row>
    <row r="85">
      <c r="A85" s="83" t="s">
        <v>300</v>
      </c>
      <c r="B85" s="343" t="s">
        <v>1974</v>
      </c>
      <c r="C85" s="333"/>
      <c r="D85" s="333" t="s">
        <v>302</v>
      </c>
      <c r="E85" s="344">
        <v>120000.0</v>
      </c>
      <c r="F85" s="219">
        <v>150000.0</v>
      </c>
      <c r="G85" s="220" t="s">
        <v>340</v>
      </c>
      <c r="H85" s="220">
        <v>7.0</v>
      </c>
      <c r="I85" s="337">
        <f t="shared" si="1"/>
        <v>0.8</v>
      </c>
      <c r="J85" s="220"/>
      <c r="K85" s="336" t="b">
        <f t="shared" si="2"/>
        <v>0</v>
      </c>
      <c r="L85" s="219" t="b">
        <f>IFERROR(VLOOKUP($A85,AlgoUi!$A$1:$M$1779,13,0),"0")</f>
        <v>0</v>
      </c>
      <c r="M85" s="219" t="b">
        <f>IFERROR(VLOOKUP($A85,AlgoUi!$A$1:$M$1779,12,0),"0")</f>
        <v>1</v>
      </c>
      <c r="N85" s="219" t="str">
        <f>IFERROR(VLOOKUP($A85,AlgoUi!$A$1:$M$1779,11,0),"0")</f>
        <v>TRUE</v>
      </c>
      <c r="O85" s="220" t="str">
        <f t="shared" si="3"/>
        <v>#REF!</v>
      </c>
      <c r="Q85" s="89" t="s">
        <v>3861</v>
      </c>
      <c r="R85" s="42" t="str">
        <f>VLOOKUP($A85,Category!$A$1:$E$351,4,0)</f>
        <v>#N/A</v>
      </c>
      <c r="S85" s="42" t="str">
        <f>VLOOKUP($A85,Category!$A$1:$E$351,5,0)</f>
        <v>#N/A</v>
      </c>
    </row>
    <row r="86">
      <c r="A86" s="83" t="s">
        <v>444</v>
      </c>
      <c r="B86" s="343" t="s">
        <v>1233</v>
      </c>
      <c r="C86" s="333">
        <v>1.0</v>
      </c>
      <c r="D86" s="333" t="s">
        <v>311</v>
      </c>
      <c r="E86" s="334">
        <v>80000.0</v>
      </c>
      <c r="F86" s="335">
        <v>100000.0</v>
      </c>
      <c r="G86" s="220" t="s">
        <v>340</v>
      </c>
      <c r="H86" s="220">
        <v>7.0</v>
      </c>
      <c r="I86" s="337">
        <f t="shared" si="1"/>
        <v>0.8</v>
      </c>
      <c r="J86" s="220"/>
      <c r="K86" s="336" t="b">
        <f t="shared" si="2"/>
        <v>0</v>
      </c>
      <c r="L86" s="219" t="b">
        <f>IFERROR(VLOOKUP($A86,AlgoUi!$A$1:$M$1779,13,0),"0")</f>
        <v>0</v>
      </c>
      <c r="M86" s="219" t="b">
        <f>IFERROR(VLOOKUP($A86,AlgoUi!$A$1:$M$1779,12,0),"0")</f>
        <v>1</v>
      </c>
      <c r="N86" s="219" t="str">
        <f>IFERROR(VLOOKUP($A86,AlgoUi!$A$1:$M$1779,11,0),"0")</f>
        <v>TRUE</v>
      </c>
      <c r="O86" s="220" t="str">
        <f t="shared" si="3"/>
        <v>#REF!</v>
      </c>
      <c r="Q86" s="89" t="s">
        <v>3861</v>
      </c>
      <c r="R86" s="42" t="str">
        <f>VLOOKUP($A86,Category!$A$1:$E$351,4,0)</f>
        <v>CC</v>
      </c>
      <c r="S86" s="42" t="str">
        <f>VLOOKUP($A86,Category!$A$1:$E$351,5,0)</f>
        <v>CCG</v>
      </c>
    </row>
    <row r="87">
      <c r="A87" s="83" t="s">
        <v>1368</v>
      </c>
      <c r="B87" s="343" t="s">
        <v>1369</v>
      </c>
      <c r="C87" s="333">
        <v>2.0</v>
      </c>
      <c r="D87" s="333" t="s">
        <v>232</v>
      </c>
      <c r="E87" s="344">
        <v>40000.0</v>
      </c>
      <c r="F87" s="219">
        <v>50000.0</v>
      </c>
      <c r="G87" s="220" t="s">
        <v>340</v>
      </c>
      <c r="H87" s="220">
        <v>7.0</v>
      </c>
      <c r="I87" s="337">
        <f t="shared" si="1"/>
        <v>0.8</v>
      </c>
      <c r="J87" s="220"/>
      <c r="K87" s="336" t="b">
        <f t="shared" si="2"/>
        <v>0</v>
      </c>
      <c r="L87" s="219" t="b">
        <f>IFERROR(VLOOKUP($A87,AlgoUi!$A$1:$M$1779,13,0),"0")</f>
        <v>0</v>
      </c>
      <c r="M87" s="219" t="b">
        <f>IFERROR(VLOOKUP($A87,AlgoUi!$A$1:$M$1779,12,0),"0")</f>
        <v>1</v>
      </c>
      <c r="N87" s="219" t="str">
        <f>IFERROR(VLOOKUP($A87,AlgoUi!$A$1:$M$1779,11,0),"0")</f>
        <v>TRUE</v>
      </c>
      <c r="O87" s="220" t="str">
        <f t="shared" si="3"/>
        <v>#REF!</v>
      </c>
      <c r="Q87" s="89" t="s">
        <v>3861</v>
      </c>
      <c r="R87" s="42" t="str">
        <f>VLOOKUP($A87,Category!$A$1:$E$351,4,0)</f>
        <v>CC</v>
      </c>
      <c r="S87" s="42" t="str">
        <f>VLOOKUP($A87,Category!$A$1:$E$351,5,0)</f>
        <v>CCG</v>
      </c>
    </row>
    <row r="88">
      <c r="A88" s="83" t="s">
        <v>421</v>
      </c>
      <c r="B88" s="343" t="s">
        <v>1213</v>
      </c>
      <c r="C88" s="333">
        <v>1.0</v>
      </c>
      <c r="D88" s="333" t="s">
        <v>311</v>
      </c>
      <c r="E88" s="334">
        <v>0.0</v>
      </c>
      <c r="F88" s="335">
        <v>0.0</v>
      </c>
      <c r="G88" s="220" t="s">
        <v>340</v>
      </c>
      <c r="H88" s="220">
        <v>7.0</v>
      </c>
      <c r="I88" s="337">
        <f t="shared" si="1"/>
        <v>0</v>
      </c>
      <c r="J88" s="220"/>
      <c r="K88" s="336" t="b">
        <f t="shared" si="2"/>
        <v>0</v>
      </c>
      <c r="L88" s="219" t="b">
        <f>IFERROR(VLOOKUP($A88,AlgoUi!$A$1:$M$1779,13,0),"0")</f>
        <v>0</v>
      </c>
      <c r="M88" s="219" t="b">
        <f>IFERROR(VLOOKUP($A88,AlgoUi!$A$1:$M$1779,12,0),"0")</f>
        <v>1</v>
      </c>
      <c r="N88" s="219" t="str">
        <f>IFERROR(VLOOKUP($A88,AlgoUi!$A$1:$M$1779,11,0),"0")</f>
        <v>TRUE</v>
      </c>
      <c r="O88" s="220" t="str">
        <f t="shared" si="3"/>
        <v>#REF!</v>
      </c>
      <c r="P88" s="89" t="s">
        <v>3875</v>
      </c>
      <c r="Q88" s="89" t="s">
        <v>3861</v>
      </c>
      <c r="R88" s="42" t="str">
        <f>VLOOKUP($A88,Category!$A$1:$E$351,4,0)</f>
        <v>CC</v>
      </c>
      <c r="S88" s="42" t="str">
        <f>VLOOKUP($A88,Category!$A$1:$E$351,5,0)</f>
        <v>CCV</v>
      </c>
    </row>
    <row r="89">
      <c r="A89" s="83" t="s">
        <v>318</v>
      </c>
      <c r="B89" s="343" t="s">
        <v>319</v>
      </c>
      <c r="C89" s="333">
        <v>2.0</v>
      </c>
      <c r="D89" s="333" t="s">
        <v>232</v>
      </c>
      <c r="E89" s="344">
        <v>40000.0</v>
      </c>
      <c r="F89" s="219">
        <v>50000.0</v>
      </c>
      <c r="G89" s="220" t="s">
        <v>340</v>
      </c>
      <c r="H89" s="220">
        <v>7.0</v>
      </c>
      <c r="I89" s="337">
        <f t="shared" si="1"/>
        <v>0.8</v>
      </c>
      <c r="J89" s="220"/>
      <c r="K89" s="336" t="b">
        <f t="shared" si="2"/>
        <v>0</v>
      </c>
      <c r="L89" s="219" t="b">
        <f>IFERROR(VLOOKUP($A89,AlgoUi!$A$1:$M$1779,13,0),"0")</f>
        <v>0</v>
      </c>
      <c r="M89" s="219" t="b">
        <f>IFERROR(VLOOKUP($A89,AlgoUi!$A$1:$M$1779,12,0),"0")</f>
        <v>0</v>
      </c>
      <c r="N89" s="219" t="str">
        <f>IFERROR(VLOOKUP($A89,AlgoUi!$A$1:$M$1779,11,0),"0")</f>
        <v>TRUE</v>
      </c>
      <c r="O89" s="220" t="str">
        <f t="shared" si="3"/>
        <v>#REF!</v>
      </c>
      <c r="Q89" s="89" t="s">
        <v>3861</v>
      </c>
      <c r="R89" s="42" t="str">
        <f>VLOOKUP($A89,Category!$A$1:$E$351,4,0)</f>
        <v>CC</v>
      </c>
      <c r="S89" s="42" t="str">
        <f>VLOOKUP($A89,Category!$A$1:$E$351,5,0)</f>
        <v>CCG</v>
      </c>
    </row>
    <row r="90">
      <c r="A90" s="83" t="s">
        <v>345</v>
      </c>
      <c r="B90" s="343" t="s">
        <v>1297</v>
      </c>
      <c r="C90" s="333">
        <v>1.0</v>
      </c>
      <c r="D90" s="333" t="s">
        <v>311</v>
      </c>
      <c r="E90" s="344">
        <v>40000.0</v>
      </c>
      <c r="F90" s="219">
        <v>50000.0</v>
      </c>
      <c r="G90" s="220" t="s">
        <v>340</v>
      </c>
      <c r="H90" s="220">
        <v>7.0</v>
      </c>
      <c r="I90" s="337">
        <f t="shared" si="1"/>
        <v>0.8</v>
      </c>
      <c r="J90" s="220"/>
      <c r="K90" s="336" t="b">
        <f t="shared" si="2"/>
        <v>0</v>
      </c>
      <c r="L90" s="219" t="b">
        <f>IFERROR(VLOOKUP($A90,AlgoUi!$A$1:$M$1779,13,0),"0")</f>
        <v>0</v>
      </c>
      <c r="M90" s="219" t="b">
        <f>IFERROR(VLOOKUP($A90,AlgoUi!$A$1:$M$1779,12,0),"0")</f>
        <v>1</v>
      </c>
      <c r="N90" s="219" t="str">
        <f>IFERROR(VLOOKUP($A90,AlgoUi!$A$1:$M$1779,11,0),"0")</f>
        <v>TRUE</v>
      </c>
      <c r="O90" s="220" t="str">
        <f t="shared" si="3"/>
        <v>#REF!</v>
      </c>
      <c r="Q90" s="89" t="s">
        <v>3861</v>
      </c>
      <c r="R90" s="42" t="str">
        <f>VLOOKUP($A90,Category!$A$1:$E$351,4,0)</f>
        <v>CC</v>
      </c>
      <c r="S90" s="42" t="str">
        <f>VLOOKUP($A90,Category!$A$1:$E$351,5,0)</f>
        <v>CCV</v>
      </c>
    </row>
    <row r="91">
      <c r="A91" s="83" t="s">
        <v>282</v>
      </c>
      <c r="B91" s="343" t="s">
        <v>1961</v>
      </c>
      <c r="C91" s="333">
        <v>2.0</v>
      </c>
      <c r="D91" s="333" t="s">
        <v>311</v>
      </c>
      <c r="E91" s="344">
        <v>32000.0</v>
      </c>
      <c r="F91" s="219">
        <v>40000.0</v>
      </c>
      <c r="G91" s="220" t="s">
        <v>340</v>
      </c>
      <c r="H91" s="220">
        <v>7.0</v>
      </c>
      <c r="I91" s="337">
        <f t="shared" si="1"/>
        <v>0.8</v>
      </c>
      <c r="J91" s="220"/>
      <c r="K91" s="336" t="b">
        <f t="shared" si="2"/>
        <v>0</v>
      </c>
      <c r="L91" s="219" t="b">
        <f>IFERROR(VLOOKUP($A91,AlgoUi!$A$1:$M$1779,13,0),"0")</f>
        <v>0</v>
      </c>
      <c r="M91" s="219" t="b">
        <f>IFERROR(VLOOKUP($A91,AlgoUi!$A$1:$M$1779,12,0),"0")</f>
        <v>1</v>
      </c>
      <c r="N91" s="219" t="str">
        <f>IFERROR(VLOOKUP($A91,AlgoUi!$A$1:$M$1779,11,0),"0")</f>
        <v>TRUE</v>
      </c>
      <c r="O91" s="220" t="str">
        <f t="shared" si="3"/>
        <v>#REF!</v>
      </c>
      <c r="Q91" s="89" t="s">
        <v>3861</v>
      </c>
      <c r="R91" s="42" t="str">
        <f>VLOOKUP($A91,Category!$A$1:$E$351,4,0)</f>
        <v>#N/A</v>
      </c>
      <c r="S91" s="42" t="str">
        <f>VLOOKUP($A91,Category!$A$1:$E$351,5,0)</f>
        <v>#N/A</v>
      </c>
    </row>
    <row r="92">
      <c r="A92" s="83" t="s">
        <v>516</v>
      </c>
      <c r="B92" s="343" t="s">
        <v>1370</v>
      </c>
      <c r="C92" s="333">
        <v>2.0</v>
      </c>
      <c r="D92" s="333" t="s">
        <v>311</v>
      </c>
      <c r="E92" s="344">
        <v>32000.0</v>
      </c>
      <c r="F92" s="219">
        <v>40000.0</v>
      </c>
      <c r="G92" s="220" t="s">
        <v>340</v>
      </c>
      <c r="H92" s="220">
        <v>7.0</v>
      </c>
      <c r="I92" s="337">
        <f t="shared" si="1"/>
        <v>0.8</v>
      </c>
      <c r="J92" s="220"/>
      <c r="K92" s="336" t="b">
        <f t="shared" si="2"/>
        <v>0</v>
      </c>
      <c r="L92" s="219" t="b">
        <f>IFERROR(VLOOKUP($A92,AlgoUi!$A$1:$M$1779,13,0),"0")</f>
        <v>0</v>
      </c>
      <c r="M92" s="219" t="b">
        <f>IFERROR(VLOOKUP($A92,AlgoUi!$A$1:$M$1779,12,0),"0")</f>
        <v>1</v>
      </c>
      <c r="N92" s="219" t="str">
        <f>IFERROR(VLOOKUP($A92,AlgoUi!$A$1:$M$1779,11,0),"0")</f>
        <v>TRUE</v>
      </c>
      <c r="O92" s="220" t="str">
        <f t="shared" si="3"/>
        <v>#REF!</v>
      </c>
      <c r="Q92" s="89" t="s">
        <v>3861</v>
      </c>
      <c r="R92" s="42" t="str">
        <f>VLOOKUP($A92,Category!$A$1:$E$351,4,0)</f>
        <v>CC</v>
      </c>
      <c r="S92" s="42" t="str">
        <f>VLOOKUP($A92,Category!$A$1:$E$351,5,0)</f>
        <v>CCG</v>
      </c>
    </row>
    <row r="93">
      <c r="A93" s="83" t="s">
        <v>1293</v>
      </c>
      <c r="B93" s="343" t="s">
        <v>1294</v>
      </c>
      <c r="C93" s="333">
        <v>1.0</v>
      </c>
      <c r="D93" s="333" t="s">
        <v>311</v>
      </c>
      <c r="E93" s="344">
        <v>7000.0</v>
      </c>
      <c r="F93" s="219">
        <v>10000.0</v>
      </c>
      <c r="G93" s="336" t="s">
        <v>83</v>
      </c>
      <c r="H93" s="336">
        <v>1.0</v>
      </c>
      <c r="I93" s="337">
        <f t="shared" si="1"/>
        <v>0.7</v>
      </c>
      <c r="J93" s="220"/>
      <c r="K93" s="336" t="b">
        <f t="shared" si="2"/>
        <v>0</v>
      </c>
      <c r="L93" s="219" t="b">
        <f>IFERROR(VLOOKUP($A93,AlgoUi!$A$1:$M$1779,13,0),"0")</f>
        <v>0</v>
      </c>
      <c r="M93" s="219" t="b">
        <f>IFERROR(VLOOKUP($A93,AlgoUi!$A$1:$M$1779,12,0),"0")</f>
        <v>0</v>
      </c>
      <c r="N93" s="219" t="str">
        <f>IFERROR(VLOOKUP($A93,AlgoUi!$A$1:$M$1779,11,0),"0")</f>
        <v>TRUE</v>
      </c>
      <c r="O93" s="220" t="str">
        <f t="shared" si="3"/>
        <v>#REF!</v>
      </c>
      <c r="Q93" s="89" t="s">
        <v>3861</v>
      </c>
      <c r="R93" s="42" t="str">
        <f>VLOOKUP($A93,Category!$A$1:$E$351,4,0)</f>
        <v>CC</v>
      </c>
      <c r="S93" s="42" t="str">
        <f>VLOOKUP($A93,Category!$A$1:$E$351,5,0)</f>
        <v>CCV</v>
      </c>
    </row>
    <row r="94">
      <c r="A94" s="83" t="s">
        <v>598</v>
      </c>
      <c r="B94" s="343" t="s">
        <v>1390</v>
      </c>
      <c r="C94" s="333">
        <v>2.0</v>
      </c>
      <c r="D94" s="333" t="s">
        <v>311</v>
      </c>
      <c r="E94" s="334">
        <v>200000.0</v>
      </c>
      <c r="F94" s="335">
        <v>250000.0</v>
      </c>
      <c r="G94" s="220" t="s">
        <v>75</v>
      </c>
      <c r="H94" s="220">
        <v>7.0</v>
      </c>
      <c r="I94" s="337">
        <f t="shared" si="1"/>
        <v>0.8</v>
      </c>
      <c r="J94" s="220"/>
      <c r="K94" s="336" t="b">
        <f t="shared" si="2"/>
        <v>0</v>
      </c>
      <c r="L94" s="219" t="b">
        <f>IFERROR(VLOOKUP($A94,AlgoUi!$A$1:$M$1779,13,0),"0")</f>
        <v>0</v>
      </c>
      <c r="M94" s="219" t="b">
        <f>IFERROR(VLOOKUP($A94,AlgoUi!$A$1:$M$1779,12,0),"0")</f>
        <v>1</v>
      </c>
      <c r="N94" s="219" t="str">
        <f>IFERROR(VLOOKUP($A94,AlgoUi!$A$1:$M$1779,11,0),"0")</f>
        <v>TRUE</v>
      </c>
      <c r="O94" s="220" t="str">
        <f t="shared" si="3"/>
        <v>#REF!</v>
      </c>
      <c r="R94" s="42" t="str">
        <f>VLOOKUP($A94,Category!$A$1:$E$351,4,0)</f>
        <v>MS</v>
      </c>
      <c r="S94" s="42" t="str">
        <f>VLOOKUP($A94,Category!$A$1:$E$351,5,0)</f>
        <v>MSP</v>
      </c>
    </row>
    <row r="95">
      <c r="A95" s="83" t="s">
        <v>690</v>
      </c>
      <c r="B95" s="89" t="s">
        <v>3890</v>
      </c>
      <c r="C95" s="333">
        <v>2.0</v>
      </c>
      <c r="D95" s="333" t="s">
        <v>311</v>
      </c>
      <c r="E95" s="334">
        <v>536000.0</v>
      </c>
      <c r="F95" s="335">
        <v>670000.0</v>
      </c>
      <c r="G95" s="336" t="s">
        <v>585</v>
      </c>
      <c r="H95" s="336">
        <v>7.0</v>
      </c>
      <c r="I95" s="337">
        <f t="shared" si="1"/>
        <v>0.8</v>
      </c>
      <c r="J95" s="220"/>
      <c r="K95" s="336" t="b">
        <f t="shared" si="2"/>
        <v>0</v>
      </c>
      <c r="L95" s="219" t="b">
        <f>IFERROR(VLOOKUP($A95,AlgoUi!$A$1:$M$1779,13,0),"0")</f>
        <v>0</v>
      </c>
      <c r="M95" s="219" t="b">
        <f>IFERROR(VLOOKUP($A95,AlgoUi!$A$1:$M$1779,12,0),"0")</f>
        <v>1</v>
      </c>
      <c r="N95" s="219" t="str">
        <f>IFERROR(VLOOKUP($A95,AlgoUi!$A$1:$M$1779,11,0),"0")</f>
        <v>TRUE</v>
      </c>
      <c r="O95" s="220" t="str">
        <f t="shared" si="3"/>
        <v>#REF!</v>
      </c>
      <c r="R95" s="42" t="str">
        <f>VLOOKUP($A95,Category!$A$1:$E$351,4,0)</f>
        <v>MS</v>
      </c>
      <c r="S95" s="42" t="str">
        <f>VLOOKUP($A95,Category!$A$1:$E$351,5,0)</f>
        <v>MSR</v>
      </c>
    </row>
    <row r="96">
      <c r="A96" s="83" t="s">
        <v>1441</v>
      </c>
      <c r="B96" s="343" t="s">
        <v>1442</v>
      </c>
      <c r="C96" s="333">
        <v>2.0</v>
      </c>
      <c r="D96" s="333" t="s">
        <v>311</v>
      </c>
      <c r="E96" s="344">
        <v>88000.0</v>
      </c>
      <c r="F96" s="219">
        <v>110000.0</v>
      </c>
      <c r="G96" s="220" t="s">
        <v>75</v>
      </c>
      <c r="H96" s="220">
        <v>7.0</v>
      </c>
      <c r="I96" s="337">
        <f t="shared" si="1"/>
        <v>0.8</v>
      </c>
      <c r="J96" s="220"/>
      <c r="K96" s="336" t="b">
        <f t="shared" si="2"/>
        <v>0</v>
      </c>
      <c r="L96" s="219" t="b">
        <f>IFERROR(VLOOKUP($A96,AlgoUi!$A$1:$M$1779,13,0),"0")</f>
        <v>0</v>
      </c>
      <c r="M96" s="219" t="b">
        <f>IFERROR(VLOOKUP($A96,AlgoUi!$A$1:$M$1779,12,0),"0")</f>
        <v>1</v>
      </c>
      <c r="N96" s="219" t="str">
        <f>IFERROR(VLOOKUP($A96,AlgoUi!$A$1:$M$1779,11,0),"0")</f>
        <v>TRUE</v>
      </c>
      <c r="O96" s="220" t="str">
        <f t="shared" si="3"/>
        <v>#REF!</v>
      </c>
      <c r="R96" s="42" t="str">
        <f>VLOOKUP($A96,Category!$A$1:$E$351,4,0)</f>
        <v>MS</v>
      </c>
      <c r="S96" s="42" t="str">
        <f>VLOOKUP($A96,Category!$A$1:$E$351,5,0)</f>
        <v>MSP</v>
      </c>
    </row>
    <row r="97">
      <c r="A97" s="83" t="s">
        <v>1178</v>
      </c>
      <c r="B97" s="162" t="s">
        <v>1175</v>
      </c>
      <c r="C97" s="42"/>
      <c r="D97" s="18" t="s">
        <v>266</v>
      </c>
      <c r="E97" s="334">
        <v>150000.0</v>
      </c>
      <c r="F97" s="335">
        <v>300000.0</v>
      </c>
      <c r="G97" s="18" t="s">
        <v>174</v>
      </c>
      <c r="H97" s="18">
        <v>1.0</v>
      </c>
      <c r="I97" s="337">
        <f t="shared" si="1"/>
        <v>0.5</v>
      </c>
      <c r="J97" s="42"/>
      <c r="K97" s="336" t="b">
        <f t="shared" si="2"/>
        <v>0</v>
      </c>
      <c r="L97" s="219" t="b">
        <f>IFERROR(VLOOKUP($A97,AlgoUi!$A$1:$M$1779,13,0),"0")</f>
        <v>1</v>
      </c>
      <c r="M97" s="219" t="b">
        <f>IFERROR(VLOOKUP($A97,AlgoUi!$A$1:$M$1779,12,0),"0")</f>
        <v>1</v>
      </c>
      <c r="N97" s="219" t="str">
        <f>IFERROR(VLOOKUP($A97,AlgoUi!$A$1:$M$1779,11,0),"0")</f>
        <v>FALSE</v>
      </c>
      <c r="O97" s="220" t="str">
        <f t="shared" si="3"/>
        <v>#REF!</v>
      </c>
      <c r="R97" s="42" t="str">
        <f>VLOOKUP($A97,Category!$A$1:$E$351,4,0)</f>
        <v>MS</v>
      </c>
      <c r="S97" s="42" t="str">
        <f>VLOOKUP($A97,Category!$A$1:$E$351,5,0)</f>
        <v>MSJ</v>
      </c>
    </row>
    <row r="98">
      <c r="A98" s="83" t="s">
        <v>1705</v>
      </c>
      <c r="B98" s="343" t="s">
        <v>1840</v>
      </c>
      <c r="C98" s="333">
        <v>2.0</v>
      </c>
      <c r="D98" s="333" t="s">
        <v>311</v>
      </c>
      <c r="E98" s="334">
        <v>168000.0</v>
      </c>
      <c r="F98" s="335">
        <v>240000.0</v>
      </c>
      <c r="G98" s="220" t="s">
        <v>174</v>
      </c>
      <c r="H98" s="220">
        <v>1.0</v>
      </c>
      <c r="I98" s="337">
        <f t="shared" si="1"/>
        <v>0.7</v>
      </c>
      <c r="J98" s="220"/>
      <c r="K98" s="336" t="b">
        <f t="shared" si="2"/>
        <v>0</v>
      </c>
      <c r="L98" s="219" t="b">
        <f>IFERROR(VLOOKUP($A98,AlgoUi!$A$1:$M$1779,13,0),"0")</f>
        <v>0</v>
      </c>
      <c r="M98" s="219" t="b">
        <f>IFERROR(VLOOKUP($A98,AlgoUi!$A$1:$M$1779,12,0),"0")</f>
        <v>1</v>
      </c>
      <c r="N98" s="219" t="str">
        <f>IFERROR(VLOOKUP($A98,AlgoUi!$A$1:$M$1779,11,0),"0")</f>
        <v>TRUE</v>
      </c>
      <c r="O98" s="220" t="str">
        <f t="shared" si="3"/>
        <v>#REF!</v>
      </c>
      <c r="R98" s="42" t="str">
        <f>VLOOKUP($A98,Category!$A$1:$E$351,4,0)</f>
        <v>MS</v>
      </c>
      <c r="S98" s="42" t="str">
        <f>VLOOKUP($A98,Category!$A$1:$E$351,5,0)</f>
        <v>MSR</v>
      </c>
    </row>
    <row r="99">
      <c r="A99" s="83" t="s">
        <v>623</v>
      </c>
      <c r="B99" s="343" t="s">
        <v>1854</v>
      </c>
      <c r="C99" s="333">
        <v>2.0</v>
      </c>
      <c r="D99" s="333" t="s">
        <v>311</v>
      </c>
      <c r="E99" s="334">
        <v>168000.0</v>
      </c>
      <c r="F99" s="335">
        <v>240000.0</v>
      </c>
      <c r="G99" s="220" t="s">
        <v>174</v>
      </c>
      <c r="H99" s="220">
        <v>1.0</v>
      </c>
      <c r="I99" s="337">
        <f t="shared" si="1"/>
        <v>0.7</v>
      </c>
      <c r="J99" s="220"/>
      <c r="K99" s="336" t="b">
        <f t="shared" si="2"/>
        <v>0</v>
      </c>
      <c r="L99" s="219" t="b">
        <f>IFERROR(VLOOKUP($A99,AlgoUi!$A$1:$M$1779,13,0),"0")</f>
        <v>0</v>
      </c>
      <c r="M99" s="219" t="b">
        <f>IFERROR(VLOOKUP($A99,AlgoUi!$A$1:$M$1779,12,0),"0")</f>
        <v>1</v>
      </c>
      <c r="N99" s="219" t="str">
        <f>IFERROR(VLOOKUP($A99,AlgoUi!$A$1:$M$1779,11,0),"0")</f>
        <v>TRUE</v>
      </c>
      <c r="O99" s="220" t="str">
        <f t="shared" si="3"/>
        <v>#REF!</v>
      </c>
      <c r="R99" s="42" t="str">
        <f>VLOOKUP($A99,Category!$A$1:$E$351,4,0)</f>
        <v>MS</v>
      </c>
      <c r="S99" s="42" t="str">
        <f>VLOOKUP($A99,Category!$A$1:$E$351,5,0)</f>
        <v>MSR</v>
      </c>
    </row>
    <row r="100">
      <c r="A100" s="83" t="s">
        <v>614</v>
      </c>
      <c r="B100" s="343" t="s">
        <v>1457</v>
      </c>
      <c r="C100" s="333">
        <v>2.0</v>
      </c>
      <c r="D100" s="333" t="s">
        <v>311</v>
      </c>
      <c r="E100" s="334">
        <v>119000.0</v>
      </c>
      <c r="F100" s="219">
        <v>170000.0</v>
      </c>
      <c r="G100" s="220" t="s">
        <v>174</v>
      </c>
      <c r="H100" s="220">
        <v>1.0</v>
      </c>
      <c r="I100" s="337">
        <f t="shared" si="1"/>
        <v>0.7</v>
      </c>
      <c r="J100" s="220"/>
      <c r="K100" s="336" t="b">
        <f t="shared" si="2"/>
        <v>0</v>
      </c>
      <c r="L100" s="219" t="b">
        <f>IFERROR(VLOOKUP($A100,AlgoUi!$A$1:$M$1779,13,0),"0")</f>
        <v>0</v>
      </c>
      <c r="M100" s="219" t="b">
        <f>IFERROR(VLOOKUP($A100,AlgoUi!$A$1:$M$1779,12,0),"0")</f>
        <v>1</v>
      </c>
      <c r="N100" s="219" t="str">
        <f>IFERROR(VLOOKUP($A100,AlgoUi!$A$1:$M$1779,11,0),"0")</f>
        <v>TRUE</v>
      </c>
      <c r="O100" s="220" t="str">
        <f t="shared" si="3"/>
        <v>#REF!</v>
      </c>
      <c r="R100" s="42" t="str">
        <f>VLOOKUP($A100,Category!$A$1:$E$351,4,0)</f>
        <v>MS</v>
      </c>
      <c r="S100" s="42" t="str">
        <f>VLOOKUP($A100,Category!$A$1:$E$351,5,0)</f>
        <v>MSR</v>
      </c>
    </row>
    <row r="101">
      <c r="A101" s="83" t="s">
        <v>697</v>
      </c>
      <c r="B101" s="343" t="s">
        <v>1866</v>
      </c>
      <c r="C101" s="333">
        <v>2.0</v>
      </c>
      <c r="D101" s="333" t="s">
        <v>311</v>
      </c>
      <c r="E101" s="334">
        <v>119000.0</v>
      </c>
      <c r="F101" s="335">
        <v>170000.0</v>
      </c>
      <c r="G101" s="220" t="s">
        <v>174</v>
      </c>
      <c r="H101" s="220">
        <v>1.0</v>
      </c>
      <c r="I101" s="337">
        <f t="shared" si="1"/>
        <v>0.7</v>
      </c>
      <c r="J101" s="220"/>
      <c r="K101" s="336" t="b">
        <f t="shared" si="2"/>
        <v>0</v>
      </c>
      <c r="L101" s="219" t="b">
        <f>IFERROR(VLOOKUP($A101,AlgoUi!$A$1:$M$1779,13,0),"0")</f>
        <v>0</v>
      </c>
      <c r="M101" s="219" t="b">
        <f>IFERROR(VLOOKUP($A101,AlgoUi!$A$1:$M$1779,12,0),"0")</f>
        <v>1</v>
      </c>
      <c r="N101" s="219" t="str">
        <f>IFERROR(VLOOKUP($A101,AlgoUi!$A$1:$M$1779,11,0),"0")</f>
        <v>TRUE</v>
      </c>
      <c r="O101" s="220" t="str">
        <f t="shared" si="3"/>
        <v>#REF!</v>
      </c>
      <c r="R101" s="42" t="str">
        <f>VLOOKUP($A101,Category!$A$1:$E$351,4,0)</f>
        <v>MS</v>
      </c>
      <c r="S101" s="42" t="str">
        <f>VLOOKUP($A101,Category!$A$1:$E$351,5,0)</f>
        <v>MSR</v>
      </c>
    </row>
    <row r="102">
      <c r="A102" s="83" t="s">
        <v>679</v>
      </c>
      <c r="B102" s="343" t="s">
        <v>1905</v>
      </c>
      <c r="C102" s="333">
        <v>2.0</v>
      </c>
      <c r="D102" s="333" t="s">
        <v>311</v>
      </c>
      <c r="E102" s="344">
        <v>105000.0</v>
      </c>
      <c r="F102" s="219">
        <v>150000.0</v>
      </c>
      <c r="G102" s="220" t="s">
        <v>174</v>
      </c>
      <c r="H102" s="220">
        <v>1.0</v>
      </c>
      <c r="I102" s="337">
        <f t="shared" si="1"/>
        <v>0.7</v>
      </c>
      <c r="J102" s="220"/>
      <c r="K102" s="336" t="b">
        <f t="shared" si="2"/>
        <v>0</v>
      </c>
      <c r="L102" s="219" t="b">
        <f>IFERROR(VLOOKUP($A102,AlgoUi!$A$1:$M$1779,13,0),"0")</f>
        <v>0</v>
      </c>
      <c r="M102" s="219" t="b">
        <f>IFERROR(VLOOKUP($A102,AlgoUi!$A$1:$M$1779,12,0),"0")</f>
        <v>1</v>
      </c>
      <c r="N102" s="219" t="str">
        <f>IFERROR(VLOOKUP($A102,AlgoUi!$A$1:$M$1779,11,0),"0")</f>
        <v>TRUE</v>
      </c>
      <c r="O102" s="220" t="str">
        <f t="shared" si="3"/>
        <v>#REF!</v>
      </c>
      <c r="R102" s="42" t="str">
        <f>VLOOKUP($A102,Category!$A$1:$E$351,4,0)</f>
        <v>#N/A</v>
      </c>
      <c r="S102" s="42" t="str">
        <f>VLOOKUP($A102,Category!$A$1:$E$351,5,0)</f>
        <v>#N/A</v>
      </c>
    </row>
    <row r="103">
      <c r="A103" s="83" t="s">
        <v>645</v>
      </c>
      <c r="B103" s="343" t="s">
        <v>1838</v>
      </c>
      <c r="C103" s="333">
        <v>2.0</v>
      </c>
      <c r="D103" s="333" t="s">
        <v>311</v>
      </c>
      <c r="E103" s="334">
        <v>98000.0</v>
      </c>
      <c r="F103" s="335">
        <v>140000.0</v>
      </c>
      <c r="G103" s="220" t="s">
        <v>174</v>
      </c>
      <c r="H103" s="220">
        <v>1.0</v>
      </c>
      <c r="I103" s="337">
        <f t="shared" si="1"/>
        <v>0.7</v>
      </c>
      <c r="J103" s="220"/>
      <c r="K103" s="336" t="b">
        <f t="shared" si="2"/>
        <v>0</v>
      </c>
      <c r="L103" s="219" t="b">
        <f>IFERROR(VLOOKUP($A103,AlgoUi!$A$1:$M$1779,13,0),"0")</f>
        <v>0</v>
      </c>
      <c r="M103" s="219" t="b">
        <f>IFERROR(VLOOKUP($A103,AlgoUi!$A$1:$M$1779,12,0),"0")</f>
        <v>1</v>
      </c>
      <c r="N103" s="219" t="str">
        <f>IFERROR(VLOOKUP($A103,AlgoUi!$A$1:$M$1779,11,0),"0")</f>
        <v>TRUE</v>
      </c>
      <c r="O103" s="220" t="str">
        <f t="shared" si="3"/>
        <v>#REF!</v>
      </c>
      <c r="R103" s="42" t="str">
        <f>VLOOKUP($A103,Category!$A$1:$E$351,4,0)</f>
        <v>MS</v>
      </c>
      <c r="S103" s="42" t="str">
        <f>VLOOKUP($A103,Category!$A$1:$E$351,5,0)</f>
        <v>MSR</v>
      </c>
    </row>
    <row r="104">
      <c r="A104" s="83" t="s">
        <v>368</v>
      </c>
      <c r="B104" s="343" t="s">
        <v>1860</v>
      </c>
      <c r="C104" s="333">
        <v>2.0</v>
      </c>
      <c r="D104" s="333" t="s">
        <v>311</v>
      </c>
      <c r="E104" s="334">
        <v>63000.0</v>
      </c>
      <c r="F104" s="335">
        <v>90000.0</v>
      </c>
      <c r="G104" s="220" t="s">
        <v>174</v>
      </c>
      <c r="H104" s="220">
        <v>1.0</v>
      </c>
      <c r="I104" s="337">
        <f t="shared" si="1"/>
        <v>0.7</v>
      </c>
      <c r="J104" s="220"/>
      <c r="K104" s="336" t="b">
        <f t="shared" si="2"/>
        <v>0</v>
      </c>
      <c r="L104" s="219" t="b">
        <f>IFERROR(VLOOKUP($A104,AlgoUi!$A$1:$M$1779,13,0),"0")</f>
        <v>0</v>
      </c>
      <c r="M104" s="219" t="b">
        <f>IFERROR(VLOOKUP($A104,AlgoUi!$A$1:$M$1779,12,0),"0")</f>
        <v>1</v>
      </c>
      <c r="N104" s="219" t="str">
        <f>IFERROR(VLOOKUP($A104,AlgoUi!$A$1:$M$1779,11,0),"0")</f>
        <v>TRUE</v>
      </c>
      <c r="O104" s="220" t="str">
        <f t="shared" si="3"/>
        <v>#REF!</v>
      </c>
      <c r="R104" s="42" t="str">
        <f>VLOOKUP($A104,Category!$A$1:$E$351,4,0)</f>
        <v>MS</v>
      </c>
      <c r="S104" s="42" t="str">
        <f>VLOOKUP($A104,Category!$A$1:$E$351,5,0)</f>
        <v>MSR</v>
      </c>
    </row>
    <row r="105">
      <c r="A105" s="83" t="s">
        <v>1443</v>
      </c>
      <c r="B105" s="343" t="s">
        <v>1444</v>
      </c>
      <c r="C105" s="333">
        <v>2.0</v>
      </c>
      <c r="D105" s="333" t="s">
        <v>311</v>
      </c>
      <c r="E105" s="344">
        <v>96000.0</v>
      </c>
      <c r="F105" s="219">
        <v>120000.0</v>
      </c>
      <c r="G105" s="220" t="s">
        <v>75</v>
      </c>
      <c r="H105" s="220">
        <v>7.0</v>
      </c>
      <c r="I105" s="337">
        <f t="shared" si="1"/>
        <v>0.8</v>
      </c>
      <c r="J105" s="220"/>
      <c r="K105" s="336" t="b">
        <f t="shared" si="2"/>
        <v>0</v>
      </c>
      <c r="L105" s="219" t="b">
        <f>IFERROR(VLOOKUP($A105,AlgoUi!$A$1:$M$1779,13,0),"0")</f>
        <v>0</v>
      </c>
      <c r="M105" s="219" t="b">
        <f>IFERROR(VLOOKUP($A105,AlgoUi!$A$1:$M$1779,12,0),"0")</f>
        <v>1</v>
      </c>
      <c r="N105" s="219" t="str">
        <f>IFERROR(VLOOKUP($A105,AlgoUi!$A$1:$M$1779,11,0),"0")</f>
        <v>TRUE</v>
      </c>
      <c r="O105" s="220" t="str">
        <f t="shared" si="3"/>
        <v>#REF!</v>
      </c>
      <c r="R105" s="42" t="str">
        <f>VLOOKUP($A105,Category!$A$1:$E$351,4,0)</f>
        <v>MS</v>
      </c>
      <c r="S105" s="42" t="str">
        <f>VLOOKUP($A105,Category!$A$1:$E$351,5,0)</f>
        <v>MSP</v>
      </c>
    </row>
    <row r="106">
      <c r="A106" s="83" t="s">
        <v>1846</v>
      </c>
      <c r="B106" s="343" t="s">
        <v>1847</v>
      </c>
      <c r="C106" s="333">
        <v>2.0</v>
      </c>
      <c r="D106" s="333" t="s">
        <v>311</v>
      </c>
      <c r="E106" s="344">
        <v>70000.0</v>
      </c>
      <c r="F106" s="219">
        <v>100000.0</v>
      </c>
      <c r="G106" s="220" t="s">
        <v>174</v>
      </c>
      <c r="H106" s="220">
        <v>1.0</v>
      </c>
      <c r="I106" s="337">
        <f t="shared" si="1"/>
        <v>0.7</v>
      </c>
      <c r="J106" s="220"/>
      <c r="K106" s="336" t="b">
        <f t="shared" si="2"/>
        <v>0</v>
      </c>
      <c r="L106" s="219" t="b">
        <f>IFERROR(VLOOKUP($A106,AlgoUi!$A$1:$M$1779,13,0),"0")</f>
        <v>0</v>
      </c>
      <c r="M106" s="219" t="b">
        <f>IFERROR(VLOOKUP($A106,AlgoUi!$A$1:$M$1779,12,0),"0")</f>
        <v>1</v>
      </c>
      <c r="N106" s="219" t="str">
        <f>IFERROR(VLOOKUP($A106,AlgoUi!$A$1:$M$1779,11,0),"0")</f>
        <v>TRUE</v>
      </c>
      <c r="O106" s="220" t="str">
        <f t="shared" si="3"/>
        <v>#REF!</v>
      </c>
      <c r="R106" s="42" t="str">
        <f>VLOOKUP($A106,Category!$A$1:$E$351,4,0)</f>
        <v>MS</v>
      </c>
      <c r="S106" s="42" t="str">
        <f>VLOOKUP($A106,Category!$A$1:$E$351,5,0)</f>
        <v>MSR</v>
      </c>
    </row>
    <row r="107">
      <c r="A107" s="83" t="s">
        <v>409</v>
      </c>
      <c r="B107" s="343" t="s">
        <v>1921</v>
      </c>
      <c r="C107" s="333">
        <v>2.0</v>
      </c>
      <c r="D107" s="333" t="s">
        <v>311</v>
      </c>
      <c r="E107" s="344">
        <v>70000.0</v>
      </c>
      <c r="F107" s="219">
        <v>100000.0</v>
      </c>
      <c r="G107" s="220" t="s">
        <v>174</v>
      </c>
      <c r="H107" s="220">
        <v>1.0</v>
      </c>
      <c r="I107" s="337">
        <f t="shared" si="1"/>
        <v>0.7</v>
      </c>
      <c r="J107" s="220"/>
      <c r="K107" s="336" t="b">
        <f t="shared" si="2"/>
        <v>0</v>
      </c>
      <c r="L107" s="219" t="b">
        <f>IFERROR(VLOOKUP($A107,AlgoUi!$A$1:$M$1779,13,0),"0")</f>
        <v>0</v>
      </c>
      <c r="M107" s="219" t="b">
        <f>IFERROR(VLOOKUP($A107,AlgoUi!$A$1:$M$1779,12,0),"0")</f>
        <v>1</v>
      </c>
      <c r="N107" s="219" t="str">
        <f>IFERROR(VLOOKUP($A107,AlgoUi!$A$1:$M$1779,11,0),"0")</f>
        <v>TRUE</v>
      </c>
      <c r="O107" s="220" t="str">
        <f t="shared" si="3"/>
        <v>#REF!</v>
      </c>
      <c r="R107" s="42" t="str">
        <f>VLOOKUP($A107,Category!$A$1:$E$351,4,0)</f>
        <v>#N/A</v>
      </c>
      <c r="S107" s="42" t="str">
        <f>VLOOKUP($A107,Category!$A$1:$E$351,5,0)</f>
        <v>#N/A</v>
      </c>
    </row>
    <row r="108">
      <c r="A108" s="83" t="s">
        <v>542</v>
      </c>
      <c r="B108" s="343" t="s">
        <v>1735</v>
      </c>
      <c r="C108" s="333">
        <v>2.0</v>
      </c>
      <c r="D108" s="333" t="s">
        <v>232</v>
      </c>
      <c r="E108" s="334">
        <v>112000.0</v>
      </c>
      <c r="F108" s="335">
        <v>160000.0</v>
      </c>
      <c r="G108" s="336" t="s">
        <v>54</v>
      </c>
      <c r="H108" s="220">
        <v>1.0</v>
      </c>
      <c r="I108" s="337">
        <f t="shared" si="1"/>
        <v>0.7</v>
      </c>
      <c r="J108" s="220"/>
      <c r="K108" s="336" t="b">
        <f t="shared" si="2"/>
        <v>0</v>
      </c>
      <c r="L108" s="219" t="b">
        <f>IFERROR(VLOOKUP($A108,AlgoUi!$A$1:$M$1779,13,0),"0")</f>
        <v>0</v>
      </c>
      <c r="M108" s="219" t="b">
        <f>IFERROR(VLOOKUP($A108,AlgoUi!$A$1:$M$1779,12,0),"0")</f>
        <v>1</v>
      </c>
      <c r="N108" s="219" t="str">
        <f>IFERROR(VLOOKUP($A108,AlgoUi!$A$1:$M$1779,11,0),"0")</f>
        <v>TRUE</v>
      </c>
      <c r="O108" s="220" t="str">
        <f t="shared" si="3"/>
        <v>#REF!</v>
      </c>
      <c r="R108" s="42" t="str">
        <f>VLOOKUP($A108,Category!$A$1:$E$351,4,0)</f>
        <v>MS</v>
      </c>
      <c r="S108" s="42" t="str">
        <f>VLOOKUP($A108,Category!$A$1:$E$351,5,0)</f>
        <v>MSR</v>
      </c>
    </row>
    <row r="109">
      <c r="A109" s="83" t="s">
        <v>397</v>
      </c>
      <c r="B109" s="343" t="s">
        <v>1657</v>
      </c>
      <c r="C109" s="333">
        <v>2.0</v>
      </c>
      <c r="D109" s="333" t="s">
        <v>311</v>
      </c>
      <c r="E109" s="334">
        <v>63000.0</v>
      </c>
      <c r="F109" s="335">
        <v>90000.0</v>
      </c>
      <c r="G109" s="220" t="s">
        <v>174</v>
      </c>
      <c r="H109" s="220">
        <v>1.0</v>
      </c>
      <c r="I109" s="337">
        <f t="shared" si="1"/>
        <v>0.7</v>
      </c>
      <c r="J109" s="220"/>
      <c r="K109" s="336" t="b">
        <f t="shared" si="2"/>
        <v>0</v>
      </c>
      <c r="L109" s="219" t="b">
        <f>IFERROR(VLOOKUP($A109,AlgoUi!$A$1:$M$1779,13,0),"0")</f>
        <v>0</v>
      </c>
      <c r="M109" s="219" t="b">
        <f>IFERROR(VLOOKUP($A109,AlgoUi!$A$1:$M$1779,12,0),"0")</f>
        <v>1</v>
      </c>
      <c r="N109" s="219" t="str">
        <f>IFERROR(VLOOKUP($A109,AlgoUi!$A$1:$M$1779,11,0),"0")</f>
        <v>TRUE</v>
      </c>
      <c r="O109" s="220" t="str">
        <f t="shared" si="3"/>
        <v>#REF!</v>
      </c>
      <c r="R109" s="42" t="str">
        <f>VLOOKUP($A109,Category!$A$1:$E$351,4,0)</f>
        <v>MS</v>
      </c>
      <c r="S109" s="42" t="str">
        <f>VLOOKUP($A109,Category!$A$1:$E$351,5,0)</f>
        <v>MSR</v>
      </c>
    </row>
    <row r="110">
      <c r="A110" s="83" t="s">
        <v>219</v>
      </c>
      <c r="B110" s="356" t="s">
        <v>1771</v>
      </c>
      <c r="C110" s="357">
        <v>2.0</v>
      </c>
      <c r="D110" s="357" t="s">
        <v>232</v>
      </c>
      <c r="E110" s="334">
        <v>133000.0</v>
      </c>
      <c r="F110" s="335">
        <v>190000.0</v>
      </c>
      <c r="G110" s="220" t="s">
        <v>413</v>
      </c>
      <c r="H110" s="220">
        <v>1.0</v>
      </c>
      <c r="I110" s="337">
        <f t="shared" si="1"/>
        <v>0.7</v>
      </c>
      <c r="J110" s="336" t="s">
        <v>3896</v>
      </c>
      <c r="K110" s="336" t="b">
        <f t="shared" si="2"/>
        <v>0</v>
      </c>
      <c r="L110" s="219" t="b">
        <f>IFERROR(VLOOKUP($A110,AlgoUi!$A$1:$M$1779,13,0),"0")</f>
        <v>0</v>
      </c>
      <c r="M110" s="219" t="b">
        <f>IFERROR(VLOOKUP($A110,AlgoUi!$A$1:$M$1779,12,0),"0")</f>
        <v>1</v>
      </c>
      <c r="N110" s="219" t="str">
        <f>IFERROR(VLOOKUP($A110,AlgoUi!$A$1:$M$1779,11,0),"0")</f>
        <v>FALSE</v>
      </c>
      <c r="O110" s="220" t="str">
        <f t="shared" si="3"/>
        <v>#REF!</v>
      </c>
      <c r="Q110" s="89" t="s">
        <v>3861</v>
      </c>
      <c r="R110" s="42" t="str">
        <f>VLOOKUP($A110,Category!$A$1:$E$351,4,0)</f>
        <v>MS</v>
      </c>
      <c r="S110" s="42" t="str">
        <f>VLOOKUP($A110,Category!$A$1:$E$351,5,0)</f>
        <v>PRD</v>
      </c>
    </row>
    <row r="111">
      <c r="A111" s="83" t="s">
        <v>1756</v>
      </c>
      <c r="B111" s="343" t="s">
        <v>1757</v>
      </c>
      <c r="C111" s="333">
        <v>2.0</v>
      </c>
      <c r="D111" s="333" t="s">
        <v>311</v>
      </c>
      <c r="E111" s="334">
        <v>35000.0</v>
      </c>
      <c r="F111" s="335">
        <v>50000.0</v>
      </c>
      <c r="G111" s="220" t="s">
        <v>174</v>
      </c>
      <c r="H111" s="220">
        <v>1.0</v>
      </c>
      <c r="I111" s="337">
        <f t="shared" si="1"/>
        <v>0.7</v>
      </c>
      <c r="J111" s="220"/>
      <c r="K111" s="336" t="b">
        <f t="shared" si="2"/>
        <v>0</v>
      </c>
      <c r="L111" s="219" t="b">
        <f>IFERROR(VLOOKUP($A111,AlgoUi!$A$1:$M$1779,13,0),"0")</f>
        <v>0</v>
      </c>
      <c r="M111" s="219" t="b">
        <f>IFERROR(VLOOKUP($A111,AlgoUi!$A$1:$M$1779,12,0),"0")</f>
        <v>0</v>
      </c>
      <c r="N111" s="219" t="str">
        <f>IFERROR(VLOOKUP($A111,AlgoUi!$A$1:$M$1779,11,0),"0")</f>
        <v>TRUE</v>
      </c>
      <c r="O111" s="220" t="str">
        <f t="shared" si="3"/>
        <v>#REF!</v>
      </c>
      <c r="R111" s="42" t="str">
        <f>VLOOKUP($A111,Category!$A$1:$E$351,4,0)</f>
        <v>MS</v>
      </c>
      <c r="S111" s="42" t="str">
        <f>VLOOKUP($A111,Category!$A$1:$E$351,5,0)</f>
        <v>MSR</v>
      </c>
    </row>
    <row r="112">
      <c r="A112" s="83" t="s">
        <v>1346</v>
      </c>
      <c r="B112" s="343" t="s">
        <v>1347</v>
      </c>
      <c r="C112" s="333">
        <v>2.0</v>
      </c>
      <c r="D112" s="333" t="s">
        <v>311</v>
      </c>
      <c r="E112" s="334">
        <v>49000.0</v>
      </c>
      <c r="F112" s="219">
        <v>70000.0</v>
      </c>
      <c r="G112" s="220" t="s">
        <v>174</v>
      </c>
      <c r="H112" s="220">
        <v>1.0</v>
      </c>
      <c r="I112" s="337">
        <f t="shared" si="1"/>
        <v>0.7</v>
      </c>
      <c r="J112" s="220"/>
      <c r="K112" s="336" t="b">
        <f t="shared" si="2"/>
        <v>0</v>
      </c>
      <c r="L112" s="219" t="b">
        <f>IFERROR(VLOOKUP($A112,AlgoUi!$A$1:$M$1779,13,0),"0")</f>
        <v>0</v>
      </c>
      <c r="M112" s="219" t="b">
        <f>IFERROR(VLOOKUP($A112,AlgoUi!$A$1:$M$1779,12,0),"0")</f>
        <v>1</v>
      </c>
      <c r="N112" s="219" t="str">
        <f>IFERROR(VLOOKUP($A112,AlgoUi!$A$1:$M$1779,11,0),"0")</f>
        <v>TRUE</v>
      </c>
      <c r="O112" s="220" t="str">
        <f t="shared" si="3"/>
        <v>#REF!</v>
      </c>
      <c r="R112" s="42" t="str">
        <f>VLOOKUP($A112,Category!$A$1:$E$351,4,0)</f>
        <v>MS</v>
      </c>
      <c r="S112" s="42" t="str">
        <f>VLOOKUP($A112,Category!$A$1:$E$351,5,0)</f>
        <v>MSR</v>
      </c>
    </row>
    <row r="113">
      <c r="A113" s="83" t="s">
        <v>1879</v>
      </c>
      <c r="B113" s="343" t="s">
        <v>1880</v>
      </c>
      <c r="C113" s="333">
        <v>2.0</v>
      </c>
      <c r="D113" s="333" t="s">
        <v>232</v>
      </c>
      <c r="E113" s="344">
        <v>42000.0</v>
      </c>
      <c r="F113" s="219">
        <v>60000.0</v>
      </c>
      <c r="G113" s="220" t="s">
        <v>174</v>
      </c>
      <c r="H113" s="220">
        <v>1.0</v>
      </c>
      <c r="I113" s="337">
        <f t="shared" si="1"/>
        <v>0.7</v>
      </c>
      <c r="J113" s="220"/>
      <c r="K113" s="336" t="b">
        <f t="shared" si="2"/>
        <v>0</v>
      </c>
      <c r="L113" s="219" t="b">
        <f>IFERROR(VLOOKUP($A113,AlgoUi!$A$1:$M$1779,13,0),"0")</f>
        <v>0</v>
      </c>
      <c r="M113" s="219" t="b">
        <f>IFERROR(VLOOKUP($A113,AlgoUi!$A$1:$M$1779,12,0),"0")</f>
        <v>1</v>
      </c>
      <c r="N113" s="219" t="str">
        <f>IFERROR(VLOOKUP($A113,AlgoUi!$A$1:$M$1779,11,0),"0")</f>
        <v>TRUE</v>
      </c>
      <c r="O113" s="220" t="str">
        <f t="shared" si="3"/>
        <v>#REF!</v>
      </c>
      <c r="R113" s="42" t="str">
        <f>VLOOKUP($A113,Category!$A$1:$E$351,4,0)</f>
        <v>MS</v>
      </c>
      <c r="S113" s="42" t="str">
        <f>VLOOKUP($A113,Category!$A$1:$E$351,5,0)</f>
        <v>MSR</v>
      </c>
    </row>
    <row r="114">
      <c r="A114" s="83" t="s">
        <v>1470</v>
      </c>
      <c r="B114" s="358" t="s">
        <v>3898</v>
      </c>
      <c r="C114" s="357">
        <v>2.0</v>
      </c>
      <c r="D114" s="357" t="s">
        <v>232</v>
      </c>
      <c r="E114" s="334">
        <v>189000.0</v>
      </c>
      <c r="F114" s="335">
        <v>270000.0</v>
      </c>
      <c r="G114" s="220" t="s">
        <v>413</v>
      </c>
      <c r="H114" s="220">
        <v>1.0</v>
      </c>
      <c r="I114" s="337">
        <f t="shared" si="1"/>
        <v>0.7</v>
      </c>
      <c r="J114" s="336" t="s">
        <v>740</v>
      </c>
      <c r="K114" s="336" t="b">
        <f t="shared" si="2"/>
        <v>0</v>
      </c>
      <c r="L114" s="219" t="b">
        <f>IFERROR(VLOOKUP($A114,AlgoUi!$A$1:$M$1779,13,0),"0")</f>
        <v>0</v>
      </c>
      <c r="M114" s="219" t="b">
        <f>IFERROR(VLOOKUP($A114,AlgoUi!$A$1:$M$1779,12,0),"0")</f>
        <v>1</v>
      </c>
      <c r="N114" s="219" t="str">
        <f>IFERROR(VLOOKUP($A114,AlgoUi!$A$1:$M$1779,11,0),"0")</f>
        <v>TRUE</v>
      </c>
      <c r="O114" s="220" t="str">
        <f t="shared" si="3"/>
        <v>#REF!</v>
      </c>
      <c r="R114" s="42" t="str">
        <f>VLOOKUP($A114,Category!$A$1:$E$351,4,0)</f>
        <v>MS</v>
      </c>
      <c r="S114" s="42" t="str">
        <f>VLOOKUP($A114,Category!$A$1:$E$351,5,0)</f>
        <v>MSR</v>
      </c>
    </row>
    <row r="115">
      <c r="A115" s="83" t="s">
        <v>684</v>
      </c>
      <c r="B115" s="343" t="s">
        <v>1715</v>
      </c>
      <c r="C115" s="333">
        <v>2.0</v>
      </c>
      <c r="D115" s="333" t="s">
        <v>311</v>
      </c>
      <c r="E115" s="334">
        <v>152000.0</v>
      </c>
      <c r="F115" s="335">
        <v>190000.0</v>
      </c>
      <c r="G115" s="220" t="s">
        <v>325</v>
      </c>
      <c r="H115" s="220">
        <v>7.0</v>
      </c>
      <c r="I115" s="337">
        <f t="shared" si="1"/>
        <v>0.8</v>
      </c>
      <c r="J115" s="220"/>
      <c r="K115" s="336" t="b">
        <f t="shared" si="2"/>
        <v>0</v>
      </c>
      <c r="L115" s="219" t="b">
        <f>IFERROR(VLOOKUP($A115,AlgoUi!$A$1:$M$1779,13,0),"0")</f>
        <v>0</v>
      </c>
      <c r="M115" s="219" t="b">
        <f>IFERROR(VLOOKUP($A115,AlgoUi!$A$1:$M$1779,12,0),"0")</f>
        <v>1</v>
      </c>
      <c r="N115" s="219" t="str">
        <f>IFERROR(VLOOKUP($A115,AlgoUi!$A$1:$M$1779,11,0),"0")</f>
        <v>FALSE</v>
      </c>
      <c r="O115" s="220" t="str">
        <f t="shared" si="3"/>
        <v>#REF!</v>
      </c>
      <c r="Q115" s="89" t="s">
        <v>3861</v>
      </c>
      <c r="R115" s="42" t="str">
        <f>VLOOKUP($A115,Category!$A$1:$E$351,4,0)</f>
        <v>MS</v>
      </c>
      <c r="S115" s="42" t="str">
        <f>VLOOKUP($A115,Category!$A$1:$E$351,5,0)</f>
        <v>PRD</v>
      </c>
    </row>
    <row r="116">
      <c r="A116" s="83" t="s">
        <v>1673</v>
      </c>
      <c r="B116" s="343" t="s">
        <v>1675</v>
      </c>
      <c r="C116" s="333">
        <v>2.0</v>
      </c>
      <c r="D116" s="333" t="s">
        <v>311</v>
      </c>
      <c r="E116" s="344">
        <v>72000.0</v>
      </c>
      <c r="F116" s="219">
        <v>90000.0</v>
      </c>
      <c r="G116" s="336" t="s">
        <v>329</v>
      </c>
      <c r="H116" s="220">
        <v>7.0</v>
      </c>
      <c r="I116" s="337">
        <f t="shared" si="1"/>
        <v>0.8</v>
      </c>
      <c r="J116" s="220"/>
      <c r="K116" s="336" t="b">
        <f t="shared" si="2"/>
        <v>0</v>
      </c>
      <c r="L116" s="219" t="b">
        <f>IFERROR(VLOOKUP($A116,AlgoUi!$A$1:$M$1779,13,0),"0")</f>
        <v>0</v>
      </c>
      <c r="M116" s="219" t="b">
        <f>IFERROR(VLOOKUP($A116,AlgoUi!$A$1:$M$1779,12,0),"0")</f>
        <v>1</v>
      </c>
      <c r="N116" s="219" t="str">
        <f>IFERROR(VLOOKUP($A116,AlgoUi!$A$1:$M$1779,11,0),"0")</f>
        <v>TRUE</v>
      </c>
      <c r="O116" s="220" t="str">
        <f t="shared" si="3"/>
        <v>#REF!</v>
      </c>
      <c r="R116" s="42" t="str">
        <f>VLOOKUP($A116,Category!$A$1:$E$351,4,0)</f>
        <v>MS</v>
      </c>
      <c r="S116" s="42" t="str">
        <f>VLOOKUP($A116,Category!$A$1:$E$351,5,0)</f>
        <v>MSR</v>
      </c>
    </row>
    <row r="117">
      <c r="A117" s="83" t="s">
        <v>606</v>
      </c>
      <c r="B117" s="343" t="s">
        <v>1836</v>
      </c>
      <c r="C117" s="333">
        <v>2.0</v>
      </c>
      <c r="D117" s="333" t="s">
        <v>311</v>
      </c>
      <c r="E117" s="334">
        <v>144000.0</v>
      </c>
      <c r="F117" s="335">
        <v>180000.0</v>
      </c>
      <c r="G117" s="220" t="s">
        <v>325</v>
      </c>
      <c r="H117" s="220">
        <v>7.0</v>
      </c>
      <c r="I117" s="337">
        <f t="shared" si="1"/>
        <v>0.8</v>
      </c>
      <c r="J117" s="220"/>
      <c r="K117" s="336" t="b">
        <f t="shared" si="2"/>
        <v>0</v>
      </c>
      <c r="L117" s="219" t="b">
        <f>IFERROR(VLOOKUP($A117,AlgoUi!$A$1:$M$1779,13,0),"0")</f>
        <v>0</v>
      </c>
      <c r="M117" s="219" t="b">
        <f>IFERROR(VLOOKUP($A117,AlgoUi!$A$1:$M$1779,12,0),"0")</f>
        <v>1</v>
      </c>
      <c r="N117" s="219" t="str">
        <f>IFERROR(VLOOKUP($A117,AlgoUi!$A$1:$M$1779,11,0),"0")</f>
        <v>FALSE</v>
      </c>
      <c r="O117" s="220" t="str">
        <f t="shared" si="3"/>
        <v>#REF!</v>
      </c>
      <c r="Q117" s="89" t="s">
        <v>3861</v>
      </c>
      <c r="R117" s="42" t="str">
        <f>VLOOKUP($A117,Category!$A$1:$E$351,4,0)</f>
        <v>MS</v>
      </c>
      <c r="S117" s="42" t="str">
        <f>VLOOKUP($A117,Category!$A$1:$E$351,5,0)</f>
        <v>PRD</v>
      </c>
    </row>
    <row r="118">
      <c r="A118" s="83" t="s">
        <v>1485</v>
      </c>
      <c r="B118" s="343" t="s">
        <v>1486</v>
      </c>
      <c r="C118" s="333">
        <v>2.0</v>
      </c>
      <c r="D118" s="333" t="s">
        <v>311</v>
      </c>
      <c r="E118" s="334">
        <v>120000.0</v>
      </c>
      <c r="F118" s="335">
        <v>150000.0</v>
      </c>
      <c r="G118" s="220" t="s">
        <v>325</v>
      </c>
      <c r="H118" s="220">
        <v>7.0</v>
      </c>
      <c r="I118" s="337">
        <f t="shared" si="1"/>
        <v>0.8</v>
      </c>
      <c r="J118" s="220"/>
      <c r="K118" s="336" t="b">
        <f t="shared" si="2"/>
        <v>0</v>
      </c>
      <c r="L118" s="219" t="b">
        <f>IFERROR(VLOOKUP($A118,AlgoUi!$A$1:$M$1779,13,0),"0")</f>
        <v>0</v>
      </c>
      <c r="M118" s="219" t="b">
        <f>IFERROR(VLOOKUP($A118,AlgoUi!$A$1:$M$1779,12,0),"0")</f>
        <v>1</v>
      </c>
      <c r="N118" s="219" t="str">
        <f>IFERROR(VLOOKUP($A118,AlgoUi!$A$1:$M$1779,11,0),"0")</f>
        <v>FALSE</v>
      </c>
      <c r="O118" s="220" t="str">
        <f t="shared" si="3"/>
        <v>#REF!</v>
      </c>
      <c r="Q118" s="89" t="s">
        <v>3861</v>
      </c>
      <c r="R118" s="42" t="str">
        <f>VLOOKUP($A118,Category!$A$1:$E$351,4,0)</f>
        <v>MS</v>
      </c>
      <c r="S118" s="42" t="str">
        <f>VLOOKUP($A118,Category!$A$1:$E$351,5,0)</f>
        <v>PRD</v>
      </c>
    </row>
    <row r="119">
      <c r="A119" s="83" t="s">
        <v>1570</v>
      </c>
      <c r="B119" s="343" t="s">
        <v>1584</v>
      </c>
      <c r="C119" s="333">
        <v>2.0</v>
      </c>
      <c r="D119" s="333" t="s">
        <v>311</v>
      </c>
      <c r="E119" s="344">
        <v>40000.0</v>
      </c>
      <c r="F119" s="219">
        <v>50000.0</v>
      </c>
      <c r="G119" s="336" t="s">
        <v>329</v>
      </c>
      <c r="H119" s="220">
        <v>7.0</v>
      </c>
      <c r="I119" s="337">
        <f t="shared" si="1"/>
        <v>0.8</v>
      </c>
      <c r="J119" s="220"/>
      <c r="K119" s="336" t="b">
        <f t="shared" si="2"/>
        <v>0</v>
      </c>
      <c r="L119" s="219" t="b">
        <f>IFERROR(VLOOKUP($A119,AlgoUi!$A$1:$M$1779,13,0),"0")</f>
        <v>0</v>
      </c>
      <c r="M119" s="219" t="b">
        <f>IFERROR(VLOOKUP($A119,AlgoUi!$A$1:$M$1779,12,0),"0")</f>
        <v>1</v>
      </c>
      <c r="N119" s="219" t="str">
        <f>IFERROR(VLOOKUP($A119,AlgoUi!$A$1:$M$1779,11,0),"0")</f>
        <v>TRUE</v>
      </c>
      <c r="O119" s="220" t="str">
        <f t="shared" si="3"/>
        <v>#REF!</v>
      </c>
      <c r="R119" s="42" t="str">
        <f>VLOOKUP($A119,Category!$A$1:$E$351,4,0)</f>
        <v>MS</v>
      </c>
      <c r="S119" s="42" t="str">
        <f>VLOOKUP($A119,Category!$A$1:$E$351,5,0)</f>
        <v>MSR</v>
      </c>
    </row>
    <row r="120">
      <c r="A120" s="83" t="s">
        <v>1356</v>
      </c>
      <c r="B120" s="343" t="s">
        <v>1357</v>
      </c>
      <c r="C120" s="333">
        <v>2.0</v>
      </c>
      <c r="D120" s="333" t="s">
        <v>311</v>
      </c>
      <c r="E120" s="344">
        <v>40000.0</v>
      </c>
      <c r="F120" s="219">
        <v>50000.0</v>
      </c>
      <c r="G120" s="336" t="s">
        <v>329</v>
      </c>
      <c r="H120" s="220">
        <v>7.0</v>
      </c>
      <c r="I120" s="337">
        <f t="shared" si="1"/>
        <v>0.8</v>
      </c>
      <c r="J120" s="220"/>
      <c r="K120" s="336" t="b">
        <f t="shared" si="2"/>
        <v>0</v>
      </c>
      <c r="L120" s="219" t="b">
        <f>IFERROR(VLOOKUP($A120,AlgoUi!$A$1:$M$1779,13,0),"0")</f>
        <v>0</v>
      </c>
      <c r="M120" s="219" t="b">
        <f>IFERROR(VLOOKUP($A120,AlgoUi!$A$1:$M$1779,12,0),"0")</f>
        <v>1</v>
      </c>
      <c r="N120" s="219" t="str">
        <f>IFERROR(VLOOKUP($A120,AlgoUi!$A$1:$M$1779,11,0),"0")</f>
        <v>TRUE</v>
      </c>
      <c r="O120" s="220" t="str">
        <f t="shared" si="3"/>
        <v>#REF!</v>
      </c>
      <c r="R120" s="42" t="str">
        <f>VLOOKUP($A120,Category!$A$1:$E$351,4,0)</f>
        <v>MS</v>
      </c>
      <c r="S120" s="42" t="str">
        <f>VLOOKUP($A120,Category!$A$1:$E$351,5,0)</f>
        <v>MSR</v>
      </c>
    </row>
    <row r="121">
      <c r="A121" s="83" t="s">
        <v>365</v>
      </c>
      <c r="B121" s="356" t="s">
        <v>1555</v>
      </c>
      <c r="C121" s="357">
        <v>2.0</v>
      </c>
      <c r="D121" s="357" t="s">
        <v>232</v>
      </c>
      <c r="E121" s="334">
        <v>56000.0</v>
      </c>
      <c r="F121" s="335">
        <v>80000.0</v>
      </c>
      <c r="G121" s="220" t="s">
        <v>413</v>
      </c>
      <c r="H121" s="220">
        <v>1.0</v>
      </c>
      <c r="I121" s="337">
        <f t="shared" si="1"/>
        <v>0.7</v>
      </c>
      <c r="J121" s="220"/>
      <c r="K121" s="336" t="b">
        <f t="shared" si="2"/>
        <v>0</v>
      </c>
      <c r="L121" s="219" t="b">
        <f>IFERROR(VLOOKUP($A121,AlgoUi!$A$1:$M$1779,13,0),"0")</f>
        <v>0</v>
      </c>
      <c r="M121" s="219" t="b">
        <f>IFERROR(VLOOKUP($A121,AlgoUi!$A$1:$M$1779,12,0),"0")</f>
        <v>1</v>
      </c>
      <c r="N121" s="219" t="str">
        <f>IFERROR(VLOOKUP($A121,AlgoUi!$A$1:$M$1779,11,0),"0")</f>
        <v>TRUE</v>
      </c>
      <c r="O121" s="220" t="str">
        <f t="shared" si="3"/>
        <v>#REF!</v>
      </c>
      <c r="R121" s="42" t="str">
        <f>VLOOKUP($A121,Category!$A$1:$E$351,4,0)</f>
        <v>MS</v>
      </c>
      <c r="S121" s="42" t="str">
        <f>VLOOKUP($A121,Category!$A$1:$E$351,5,0)</f>
        <v>MSR</v>
      </c>
    </row>
    <row r="122">
      <c r="A122" s="83" t="s">
        <v>1449</v>
      </c>
      <c r="B122" s="343" t="s">
        <v>1450</v>
      </c>
      <c r="C122" s="333">
        <v>2.0</v>
      </c>
      <c r="D122" s="333" t="s">
        <v>311</v>
      </c>
      <c r="E122" s="334">
        <v>104000.0</v>
      </c>
      <c r="F122" s="335">
        <v>130000.0</v>
      </c>
      <c r="G122" s="336" t="s">
        <v>329</v>
      </c>
      <c r="H122" s="220">
        <v>7.0</v>
      </c>
      <c r="I122" s="337">
        <f t="shared" si="1"/>
        <v>0.8</v>
      </c>
      <c r="J122" s="220"/>
      <c r="K122" s="336" t="b">
        <f t="shared" si="2"/>
        <v>0</v>
      </c>
      <c r="L122" s="219" t="b">
        <f>IFERROR(VLOOKUP($A122,AlgoUi!$A$1:$M$1779,13,0),"0")</f>
        <v>0</v>
      </c>
      <c r="M122" s="219" t="b">
        <f>IFERROR(VLOOKUP($A122,AlgoUi!$A$1:$M$1779,12,0),"0")</f>
        <v>1</v>
      </c>
      <c r="N122" s="219" t="str">
        <f>IFERROR(VLOOKUP($A122,AlgoUi!$A$1:$M$1779,11,0),"0")</f>
        <v>TRUE</v>
      </c>
      <c r="O122" s="220" t="str">
        <f t="shared" si="3"/>
        <v>#REF!</v>
      </c>
      <c r="R122" s="42" t="str">
        <f>VLOOKUP($A122,Category!$A$1:$E$351,4,0)</f>
        <v>MS</v>
      </c>
      <c r="S122" s="42" t="str">
        <f>VLOOKUP($A122,Category!$A$1:$E$351,5,0)</f>
        <v>MSR</v>
      </c>
    </row>
    <row r="123">
      <c r="A123" s="83" t="s">
        <v>1120</v>
      </c>
      <c r="B123" s="343" t="s">
        <v>1640</v>
      </c>
      <c r="C123" s="333">
        <v>2.0</v>
      </c>
      <c r="D123" s="333" t="s">
        <v>311</v>
      </c>
      <c r="E123" s="344">
        <v>40000.0</v>
      </c>
      <c r="F123" s="219">
        <v>50000.0</v>
      </c>
      <c r="G123" s="336" t="s">
        <v>329</v>
      </c>
      <c r="H123" s="220">
        <v>7.0</v>
      </c>
      <c r="I123" s="337">
        <f t="shared" si="1"/>
        <v>0.8</v>
      </c>
      <c r="J123" s="220"/>
      <c r="K123" s="336" t="b">
        <f t="shared" si="2"/>
        <v>0</v>
      </c>
      <c r="L123" s="219" t="b">
        <f>IFERROR(VLOOKUP($A123,AlgoUi!$A$1:$M$1779,13,0),"0")</f>
        <v>0</v>
      </c>
      <c r="M123" s="219" t="b">
        <f>IFERROR(VLOOKUP($A123,AlgoUi!$A$1:$M$1779,12,0),"0")</f>
        <v>1</v>
      </c>
      <c r="N123" s="219" t="str">
        <f>IFERROR(VLOOKUP($A123,AlgoUi!$A$1:$M$1779,11,0),"0")</f>
        <v>TRUE</v>
      </c>
      <c r="O123" s="220" t="str">
        <f t="shared" si="3"/>
        <v>#REF!</v>
      </c>
      <c r="R123" s="42" t="str">
        <f>VLOOKUP($A123,Category!$A$1:$E$351,4,0)</f>
        <v>MS</v>
      </c>
      <c r="S123" s="42" t="str">
        <f>VLOOKUP($A123,Category!$A$1:$E$351,5,0)</f>
        <v>MSR</v>
      </c>
    </row>
    <row r="124">
      <c r="A124" s="83" t="s">
        <v>647</v>
      </c>
      <c r="B124" s="343" t="s">
        <v>1729</v>
      </c>
      <c r="C124" s="333">
        <v>2.0</v>
      </c>
      <c r="D124" s="333" t="s">
        <v>311</v>
      </c>
      <c r="E124" s="334">
        <v>120000.0</v>
      </c>
      <c r="F124" s="335">
        <v>150000.0</v>
      </c>
      <c r="G124" s="336" t="s">
        <v>329</v>
      </c>
      <c r="H124" s="220">
        <v>7.0</v>
      </c>
      <c r="I124" s="337">
        <f t="shared" si="1"/>
        <v>0.8</v>
      </c>
      <c r="J124" s="220"/>
      <c r="K124" s="336" t="b">
        <f t="shared" si="2"/>
        <v>0</v>
      </c>
      <c r="L124" s="219" t="b">
        <f>IFERROR(VLOOKUP($A124,AlgoUi!$A$1:$M$1779,13,0),"0")</f>
        <v>0</v>
      </c>
      <c r="M124" s="219" t="b">
        <f>IFERROR(VLOOKUP($A124,AlgoUi!$A$1:$M$1779,12,0),"0")</f>
        <v>1</v>
      </c>
      <c r="N124" s="219" t="str">
        <f>IFERROR(VLOOKUP($A124,AlgoUi!$A$1:$M$1779,11,0),"0")</f>
        <v>TRUE</v>
      </c>
      <c r="O124" s="220" t="str">
        <f t="shared" si="3"/>
        <v>#REF!</v>
      </c>
      <c r="R124" s="42" t="str">
        <f>VLOOKUP($A124,Category!$A$1:$E$351,4,0)</f>
        <v>MS</v>
      </c>
      <c r="S124" s="42" t="str">
        <f>VLOOKUP($A124,Category!$A$1:$E$351,5,0)</f>
        <v>MSR</v>
      </c>
    </row>
    <row r="125">
      <c r="A125" s="83" t="s">
        <v>429</v>
      </c>
      <c r="B125" s="343" t="s">
        <v>1256</v>
      </c>
      <c r="C125" s="333">
        <v>1.0</v>
      </c>
      <c r="D125" s="333" t="s">
        <v>311</v>
      </c>
      <c r="E125" s="334">
        <v>64000.0</v>
      </c>
      <c r="F125" s="335">
        <v>80000.0</v>
      </c>
      <c r="G125" s="336" t="s">
        <v>325</v>
      </c>
      <c r="H125" s="220">
        <v>7.0</v>
      </c>
      <c r="I125" s="337">
        <f t="shared" si="1"/>
        <v>0.8</v>
      </c>
      <c r="J125" s="220"/>
      <c r="K125" s="336" t="b">
        <f t="shared" si="2"/>
        <v>0</v>
      </c>
      <c r="L125" s="219" t="b">
        <f>IFERROR(VLOOKUP($A125,AlgoUi!$A$1:$M$1779,13,0),"0")</f>
        <v>0</v>
      </c>
      <c r="M125" s="219" t="b">
        <f>IFERROR(VLOOKUP($A125,AlgoUi!$A$1:$M$1779,12,0),"0")</f>
        <v>1</v>
      </c>
      <c r="N125" s="219" t="str">
        <f>IFERROR(VLOOKUP($A125,AlgoUi!$A$1:$M$1779,11,0),"0")</f>
        <v>TRUE</v>
      </c>
      <c r="O125" s="220" t="str">
        <f t="shared" si="3"/>
        <v>#REF!</v>
      </c>
      <c r="Q125" s="89" t="s">
        <v>3861</v>
      </c>
      <c r="R125" s="42" t="str">
        <f>VLOOKUP($A125,Category!$A$1:$E$351,4,0)</f>
        <v>CC</v>
      </c>
      <c r="S125" s="42" t="str">
        <f>VLOOKUP($A125,Category!$A$1:$E$351,5,0)</f>
        <v>CCG</v>
      </c>
    </row>
    <row r="126">
      <c r="A126" s="83" t="s">
        <v>691</v>
      </c>
      <c r="B126" s="343" t="s">
        <v>1923</v>
      </c>
      <c r="C126" s="333">
        <v>2.0</v>
      </c>
      <c r="D126" s="333" t="s">
        <v>311</v>
      </c>
      <c r="E126" s="344">
        <v>104000.0</v>
      </c>
      <c r="F126" s="219">
        <v>130000.0</v>
      </c>
      <c r="G126" s="336" t="s">
        <v>329</v>
      </c>
      <c r="H126" s="220">
        <v>7.0</v>
      </c>
      <c r="I126" s="337">
        <f t="shared" si="1"/>
        <v>0.8</v>
      </c>
      <c r="J126" s="220"/>
      <c r="K126" s="336" t="b">
        <f t="shared" si="2"/>
        <v>0</v>
      </c>
      <c r="L126" s="219" t="b">
        <f>IFERROR(VLOOKUP($A126,AlgoUi!$A$1:$M$1779,13,0),"0")</f>
        <v>0</v>
      </c>
      <c r="M126" s="219" t="b">
        <f>IFERROR(VLOOKUP($A126,AlgoUi!$A$1:$M$1779,12,0),"0")</f>
        <v>0</v>
      </c>
      <c r="N126" s="219" t="str">
        <f>IFERROR(VLOOKUP($A126,AlgoUi!$A$1:$M$1779,11,0),"0")</f>
        <v>TRUE</v>
      </c>
      <c r="O126" s="220" t="str">
        <f t="shared" si="3"/>
        <v>#REF!</v>
      </c>
      <c r="R126" s="42" t="str">
        <f>VLOOKUP($A126,Category!$A$1:$E$351,4,0)</f>
        <v>#N/A</v>
      </c>
      <c r="S126" s="42" t="str">
        <f>VLOOKUP($A126,Category!$A$1:$E$351,5,0)</f>
        <v>#N/A</v>
      </c>
    </row>
    <row r="127">
      <c r="A127" s="83" t="s">
        <v>1353</v>
      </c>
      <c r="B127" s="343" t="s">
        <v>1354</v>
      </c>
      <c r="C127" s="333">
        <v>2.0</v>
      </c>
      <c r="D127" s="333" t="s">
        <v>311</v>
      </c>
      <c r="E127" s="344">
        <v>40000.0</v>
      </c>
      <c r="F127" s="219">
        <v>50000.0</v>
      </c>
      <c r="G127" s="336" t="s">
        <v>329</v>
      </c>
      <c r="H127" s="220">
        <v>7.0</v>
      </c>
      <c r="I127" s="337">
        <f t="shared" si="1"/>
        <v>0.8</v>
      </c>
      <c r="J127" s="220"/>
      <c r="K127" s="336" t="b">
        <f t="shared" si="2"/>
        <v>0</v>
      </c>
      <c r="L127" s="219" t="b">
        <f>IFERROR(VLOOKUP($A127,AlgoUi!$A$1:$M$1779,13,0),"0")</f>
        <v>0</v>
      </c>
      <c r="M127" s="219" t="b">
        <f>IFERROR(VLOOKUP($A127,AlgoUi!$A$1:$M$1779,12,0),"0")</f>
        <v>0</v>
      </c>
      <c r="N127" s="219" t="str">
        <f>IFERROR(VLOOKUP($A127,AlgoUi!$A$1:$M$1779,11,0),"0")</f>
        <v>TRUE</v>
      </c>
      <c r="O127" s="220" t="str">
        <f t="shared" si="3"/>
        <v>#REF!</v>
      </c>
      <c r="R127" s="42" t="str">
        <f>VLOOKUP($A127,Category!$A$1:$E$351,4,0)</f>
        <v>MS</v>
      </c>
      <c r="S127" s="42" t="str">
        <f>VLOOKUP($A127,Category!$A$1:$E$351,5,0)</f>
        <v>MSR</v>
      </c>
    </row>
    <row r="128">
      <c r="A128" s="83" t="s">
        <v>332</v>
      </c>
      <c r="B128" s="343" t="s">
        <v>1336</v>
      </c>
      <c r="C128" s="333">
        <v>2.0</v>
      </c>
      <c r="D128" s="333" t="s">
        <v>311</v>
      </c>
      <c r="E128" s="344">
        <v>56000.0</v>
      </c>
      <c r="F128" s="219">
        <v>70000.0</v>
      </c>
      <c r="G128" s="336" t="s">
        <v>329</v>
      </c>
      <c r="H128" s="220">
        <v>7.0</v>
      </c>
      <c r="I128" s="337">
        <f t="shared" si="1"/>
        <v>0.8</v>
      </c>
      <c r="J128" s="220"/>
      <c r="K128" s="336" t="b">
        <f t="shared" si="2"/>
        <v>0</v>
      </c>
      <c r="L128" s="219" t="b">
        <f>IFERROR(VLOOKUP($A128,AlgoUi!$A$1:$M$1779,13,0),"0")</f>
        <v>0</v>
      </c>
      <c r="M128" s="219" t="b">
        <f>IFERROR(VLOOKUP($A128,AlgoUi!$A$1:$M$1779,12,0),"0")</f>
        <v>1</v>
      </c>
      <c r="N128" s="219" t="str">
        <f>IFERROR(VLOOKUP($A128,AlgoUi!$A$1:$M$1779,11,0),"0")</f>
        <v>TRUE</v>
      </c>
      <c r="O128" s="220" t="str">
        <f t="shared" si="3"/>
        <v>#REF!</v>
      </c>
      <c r="R128" s="42" t="str">
        <f>VLOOKUP($A128,Category!$A$1:$E$351,4,0)</f>
        <v>MS</v>
      </c>
      <c r="S128" s="42" t="str">
        <f>VLOOKUP($A128,Category!$A$1:$E$351,5,0)</f>
        <v>MSR</v>
      </c>
    </row>
    <row r="129">
      <c r="A129" s="83" t="s">
        <v>1349</v>
      </c>
      <c r="B129" s="343" t="s">
        <v>1350</v>
      </c>
      <c r="C129" s="333">
        <v>2.0</v>
      </c>
      <c r="D129" s="333" t="s">
        <v>311</v>
      </c>
      <c r="E129" s="334">
        <v>64000.0</v>
      </c>
      <c r="F129" s="335">
        <v>80000.0</v>
      </c>
      <c r="G129" s="336" t="s">
        <v>329</v>
      </c>
      <c r="H129" s="220">
        <v>7.0</v>
      </c>
      <c r="I129" s="337">
        <f t="shared" si="1"/>
        <v>0.8</v>
      </c>
      <c r="J129" s="220"/>
      <c r="K129" s="336" t="b">
        <f t="shared" si="2"/>
        <v>0</v>
      </c>
      <c r="L129" s="219" t="b">
        <f>IFERROR(VLOOKUP($A129,AlgoUi!$A$1:$M$1779,13,0),"0")</f>
        <v>0</v>
      </c>
      <c r="M129" s="219" t="b">
        <f>IFERROR(VLOOKUP($A129,AlgoUi!$A$1:$M$1779,12,0),"0")</f>
        <v>1</v>
      </c>
      <c r="N129" s="219" t="str">
        <f>IFERROR(VLOOKUP($A129,AlgoUi!$A$1:$M$1779,11,0),"0")</f>
        <v>TRUE</v>
      </c>
      <c r="O129" s="220" t="str">
        <f t="shared" si="3"/>
        <v>#REF!</v>
      </c>
      <c r="R129" s="42" t="str">
        <f>VLOOKUP($A129,Category!$A$1:$E$351,4,0)</f>
        <v>MS</v>
      </c>
      <c r="S129" s="42" t="str">
        <f>VLOOKUP($A129,Category!$A$1:$E$351,5,0)</f>
        <v>MSR</v>
      </c>
    </row>
    <row r="130">
      <c r="A130" s="83" t="s">
        <v>1510</v>
      </c>
      <c r="B130" s="343" t="s">
        <v>1511</v>
      </c>
      <c r="C130" s="333">
        <v>2.0</v>
      </c>
      <c r="D130" s="333" t="s">
        <v>311</v>
      </c>
      <c r="E130" s="344">
        <v>40000.0</v>
      </c>
      <c r="F130" s="219">
        <v>50000.0</v>
      </c>
      <c r="G130" s="336" t="s">
        <v>329</v>
      </c>
      <c r="H130" s="220">
        <v>7.0</v>
      </c>
      <c r="I130" s="337">
        <f t="shared" si="1"/>
        <v>0.8</v>
      </c>
      <c r="J130" s="220"/>
      <c r="K130" s="336" t="b">
        <f t="shared" si="2"/>
        <v>0</v>
      </c>
      <c r="L130" s="219" t="b">
        <f>IFERROR(VLOOKUP($A130,AlgoUi!$A$1:$M$1779,13,0),"0")</f>
        <v>0</v>
      </c>
      <c r="M130" s="219" t="b">
        <f>IFERROR(VLOOKUP($A130,AlgoUi!$A$1:$M$1779,12,0),"0")</f>
        <v>1</v>
      </c>
      <c r="N130" s="219" t="str">
        <f>IFERROR(VLOOKUP($A130,AlgoUi!$A$1:$M$1779,11,0),"0")</f>
        <v>TRUE</v>
      </c>
      <c r="O130" s="220" t="str">
        <f t="shared" si="3"/>
        <v>#REF!</v>
      </c>
      <c r="R130" s="42" t="str">
        <f>VLOOKUP($A130,Category!$A$1:$E$351,4,0)</f>
        <v>MS</v>
      </c>
      <c r="S130" s="42" t="str">
        <f>VLOOKUP($A130,Category!$A$1:$E$351,5,0)</f>
        <v>MSR</v>
      </c>
    </row>
    <row r="131">
      <c r="A131" s="83" t="s">
        <v>475</v>
      </c>
      <c r="B131" s="343" t="s">
        <v>1286</v>
      </c>
      <c r="C131" s="333">
        <v>1.0</v>
      </c>
      <c r="D131" s="333" t="s">
        <v>311</v>
      </c>
      <c r="E131" s="334">
        <v>56000.0</v>
      </c>
      <c r="F131" s="219">
        <v>80000.0</v>
      </c>
      <c r="G131" s="336" t="s">
        <v>174</v>
      </c>
      <c r="H131" s="336">
        <v>1.0</v>
      </c>
      <c r="I131" s="337">
        <f t="shared" si="1"/>
        <v>0.7</v>
      </c>
      <c r="J131" s="220"/>
      <c r="K131" s="336" t="b">
        <f t="shared" si="2"/>
        <v>0</v>
      </c>
      <c r="L131" s="219" t="b">
        <f>IFERROR(VLOOKUP($A131,AlgoUi!$A$1:$M$1779,13,0),"0")</f>
        <v>0</v>
      </c>
      <c r="M131" s="219" t="b">
        <f>IFERROR(VLOOKUP($A131,AlgoUi!$A$1:$M$1779,12,0),"0")</f>
        <v>1</v>
      </c>
      <c r="N131" s="219" t="str">
        <f>IFERROR(VLOOKUP($A131,AlgoUi!$A$1:$M$1779,11,0),"0")</f>
        <v>TRUE</v>
      </c>
      <c r="O131" s="220" t="str">
        <f t="shared" si="3"/>
        <v>#REF!</v>
      </c>
      <c r="Q131" s="89" t="s">
        <v>3861</v>
      </c>
      <c r="R131" s="42" t="str">
        <f>VLOOKUP($A131,Category!$A$1:$E$351,4,0)</f>
        <v>CC</v>
      </c>
      <c r="S131" s="42" t="str">
        <f>VLOOKUP($A131,Category!$A$1:$E$351,5,0)</f>
        <v>CCG</v>
      </c>
    </row>
    <row r="132">
      <c r="A132" s="83" t="s">
        <v>724</v>
      </c>
      <c r="B132" s="162" t="s">
        <v>1164</v>
      </c>
      <c r="C132" s="333"/>
      <c r="D132" s="333" t="s">
        <v>646</v>
      </c>
      <c r="E132" s="334">
        <v>500000.0</v>
      </c>
      <c r="F132" s="335">
        <v>1000000.0</v>
      </c>
      <c r="G132" s="220" t="s">
        <v>113</v>
      </c>
      <c r="H132" s="220">
        <v>1.0</v>
      </c>
      <c r="I132" s="337">
        <f t="shared" si="1"/>
        <v>0.5</v>
      </c>
      <c r="J132" s="336" t="s">
        <v>273</v>
      </c>
      <c r="K132" s="336" t="b">
        <f t="shared" si="2"/>
        <v>0</v>
      </c>
      <c r="L132" s="219" t="b">
        <f>IFERROR(VLOOKUP($A132,AlgoUi!$A$1:$M$1779,13,0),"0")</f>
        <v>1</v>
      </c>
      <c r="M132" s="219" t="b">
        <f>IFERROR(VLOOKUP($A132,AlgoUi!$A$1:$M$1779,12,0),"0")</f>
        <v>1</v>
      </c>
      <c r="N132" s="219" t="str">
        <f>IFERROR(VLOOKUP($A132,AlgoUi!$A$1:$M$1779,11,0),"0")</f>
        <v>FALSE</v>
      </c>
      <c r="O132" s="220" t="str">
        <f t="shared" si="3"/>
        <v>#REF!</v>
      </c>
      <c r="Q132" s="89" t="s">
        <v>3861</v>
      </c>
      <c r="R132" s="42" t="str">
        <f>VLOOKUP($A132,Category!$A$1:$E$351,4,0)</f>
        <v>MS</v>
      </c>
      <c r="S132" s="42" t="str">
        <f>VLOOKUP($A132,Category!$A$1:$E$351,5,0)</f>
        <v>MSJ</v>
      </c>
    </row>
    <row r="133">
      <c r="A133" s="83" t="s">
        <v>1558</v>
      </c>
      <c r="B133" s="343" t="s">
        <v>1560</v>
      </c>
      <c r="C133" s="333">
        <v>2.0</v>
      </c>
      <c r="D133" s="333" t="s">
        <v>311</v>
      </c>
      <c r="E133" s="334">
        <v>112000.0</v>
      </c>
      <c r="F133" s="335">
        <v>140000.0</v>
      </c>
      <c r="G133" s="336" t="s">
        <v>329</v>
      </c>
      <c r="H133" s="220">
        <v>7.0</v>
      </c>
      <c r="I133" s="337">
        <f t="shared" si="1"/>
        <v>0.8</v>
      </c>
      <c r="J133" s="220"/>
      <c r="K133" s="336" t="b">
        <f t="shared" si="2"/>
        <v>0</v>
      </c>
      <c r="L133" s="219" t="b">
        <f>IFERROR(VLOOKUP($A133,AlgoUi!$A$1:$M$1779,13,0),"0")</f>
        <v>0</v>
      </c>
      <c r="M133" s="219" t="b">
        <f>IFERROR(VLOOKUP($A133,AlgoUi!$A$1:$M$1779,12,0),"0")</f>
        <v>0</v>
      </c>
      <c r="N133" s="219" t="str">
        <f>IFERROR(VLOOKUP($A133,AlgoUi!$A$1:$M$1779,11,0),"0")</f>
        <v>TRUE</v>
      </c>
      <c r="O133" s="220" t="str">
        <f t="shared" si="3"/>
        <v>#REF!</v>
      </c>
      <c r="R133" s="42" t="str">
        <f>VLOOKUP($A133,Category!$A$1:$E$351,4,0)</f>
        <v>MS</v>
      </c>
      <c r="S133" s="42" t="str">
        <f>VLOOKUP($A133,Category!$A$1:$E$351,5,0)</f>
        <v>MSR</v>
      </c>
    </row>
    <row r="134">
      <c r="A134" s="83" t="s">
        <v>264</v>
      </c>
      <c r="B134" s="162" t="s">
        <v>265</v>
      </c>
      <c r="C134" s="333"/>
      <c r="D134" s="18" t="s">
        <v>266</v>
      </c>
      <c r="E134" s="334">
        <v>400000.0</v>
      </c>
      <c r="F134" s="335">
        <v>800000.0</v>
      </c>
      <c r="G134" s="336" t="s">
        <v>249</v>
      </c>
      <c r="H134" s="220">
        <v>1.0</v>
      </c>
      <c r="I134" s="337">
        <f t="shared" si="1"/>
        <v>0.5</v>
      </c>
      <c r="J134" s="336" t="s">
        <v>273</v>
      </c>
      <c r="K134" s="336" t="b">
        <f t="shared" si="2"/>
        <v>0</v>
      </c>
      <c r="L134" s="219" t="b">
        <f>IFERROR(VLOOKUP($A134,AlgoUi!$A$1:$M$1779,13,0),"0")</f>
        <v>1</v>
      </c>
      <c r="M134" s="219" t="b">
        <f>IFERROR(VLOOKUP($A134,AlgoUi!$A$1:$M$1779,12,0),"0")</f>
        <v>1</v>
      </c>
      <c r="N134" s="219" t="str">
        <f>IFERROR(VLOOKUP($A134,AlgoUi!$A$1:$M$1779,11,0),"0")</f>
        <v>FALSE</v>
      </c>
      <c r="O134" s="220" t="str">
        <f t="shared" si="3"/>
        <v>#REF!</v>
      </c>
      <c r="Q134" s="89" t="s">
        <v>3861</v>
      </c>
      <c r="R134" s="42" t="str">
        <f>VLOOKUP($A134,Category!$A$1:$E$351,4,0)</f>
        <v>MS</v>
      </c>
      <c r="S134" s="42" t="str">
        <f>VLOOKUP($A134,Category!$A$1:$E$351,5,0)</f>
        <v>MSJ</v>
      </c>
    </row>
    <row r="135">
      <c r="A135" s="83" t="s">
        <v>583</v>
      </c>
      <c r="B135" s="356" t="s">
        <v>1446</v>
      </c>
      <c r="C135" s="357">
        <v>2.0</v>
      </c>
      <c r="D135" s="357" t="s">
        <v>232</v>
      </c>
      <c r="E135" s="344">
        <v>840000.0</v>
      </c>
      <c r="F135" s="219">
        <v>1200000.0</v>
      </c>
      <c r="G135" s="220" t="s">
        <v>413</v>
      </c>
      <c r="H135" s="220">
        <v>1.0</v>
      </c>
      <c r="I135" s="337">
        <f t="shared" si="1"/>
        <v>0.7</v>
      </c>
      <c r="J135" s="336" t="s">
        <v>3900</v>
      </c>
      <c r="K135" s="336" t="b">
        <f t="shared" si="2"/>
        <v>0</v>
      </c>
      <c r="L135" s="219" t="b">
        <f>IFERROR(VLOOKUP($A135,AlgoUi!$A$1:$M$1779,13,0),"0")</f>
        <v>0</v>
      </c>
      <c r="M135" s="219" t="b">
        <f>IFERROR(VLOOKUP($A135,AlgoUi!$A$1:$M$1779,12,0),"0")</f>
        <v>1</v>
      </c>
      <c r="N135" s="219" t="str">
        <f>IFERROR(VLOOKUP($A135,AlgoUi!$A$1:$M$1779,11,0),"0")</f>
        <v>TRUE</v>
      </c>
      <c r="O135" s="220" t="str">
        <f t="shared" si="3"/>
        <v>#REF!</v>
      </c>
      <c r="R135" s="42" t="str">
        <f>VLOOKUP($A135,Category!$A$1:$E$351,4,0)</f>
        <v>MS</v>
      </c>
      <c r="S135" s="42" t="str">
        <f>VLOOKUP($A135,Category!$A$1:$E$351,5,0)</f>
        <v>MSP</v>
      </c>
    </row>
    <row r="136">
      <c r="A136" s="83" t="s">
        <v>545</v>
      </c>
      <c r="B136" s="343" t="s">
        <v>1873</v>
      </c>
      <c r="C136" s="333">
        <v>2.0</v>
      </c>
      <c r="D136" s="333" t="s">
        <v>232</v>
      </c>
      <c r="E136" s="344">
        <v>56000.0</v>
      </c>
      <c r="F136" s="219">
        <v>70000.0</v>
      </c>
      <c r="G136" s="336" t="s">
        <v>329</v>
      </c>
      <c r="H136" s="220">
        <v>7.0</v>
      </c>
      <c r="I136" s="337">
        <f t="shared" si="1"/>
        <v>0.8</v>
      </c>
      <c r="J136" s="220"/>
      <c r="K136" s="336" t="b">
        <f t="shared" si="2"/>
        <v>0</v>
      </c>
      <c r="L136" s="219" t="b">
        <f>IFERROR(VLOOKUP($A136,AlgoUi!$A$1:$M$1779,13,0),"0")</f>
        <v>0</v>
      </c>
      <c r="M136" s="219" t="b">
        <f>IFERROR(VLOOKUP($A136,AlgoUi!$A$1:$M$1779,12,0),"0")</f>
        <v>1</v>
      </c>
      <c r="N136" s="219" t="str">
        <f>IFERROR(VLOOKUP($A136,AlgoUi!$A$1:$M$1779,11,0),"0")</f>
        <v>TRUE</v>
      </c>
      <c r="O136" s="220" t="str">
        <f t="shared" si="3"/>
        <v>#REF!</v>
      </c>
      <c r="R136" s="42" t="str">
        <f>VLOOKUP($A136,Category!$A$1:$E$351,4,0)</f>
        <v>MS</v>
      </c>
      <c r="S136" s="42" t="str">
        <f>VLOOKUP($A136,Category!$A$1:$E$351,5,0)</f>
        <v>MSR</v>
      </c>
    </row>
    <row r="137">
      <c r="A137" s="83" t="s">
        <v>518</v>
      </c>
      <c r="B137" s="343" t="s">
        <v>1861</v>
      </c>
      <c r="C137" s="333">
        <v>2.0</v>
      </c>
      <c r="D137" s="333" t="s">
        <v>311</v>
      </c>
      <c r="E137" s="334">
        <v>96000.0</v>
      </c>
      <c r="F137" s="335">
        <v>120000.0</v>
      </c>
      <c r="G137" s="336" t="s">
        <v>329</v>
      </c>
      <c r="H137" s="220">
        <v>7.0</v>
      </c>
      <c r="I137" s="337">
        <f t="shared" si="1"/>
        <v>0.8</v>
      </c>
      <c r="J137" s="220"/>
      <c r="K137" s="336" t="b">
        <f t="shared" si="2"/>
        <v>0</v>
      </c>
      <c r="L137" s="219" t="b">
        <f>IFERROR(VLOOKUP($A137,AlgoUi!$A$1:$M$1779,13,0),"0")</f>
        <v>0</v>
      </c>
      <c r="M137" s="219" t="b">
        <f>IFERROR(VLOOKUP($A137,AlgoUi!$A$1:$M$1779,12,0),"0")</f>
        <v>1</v>
      </c>
      <c r="N137" s="219" t="str">
        <f>IFERROR(VLOOKUP($A137,AlgoUi!$A$1:$M$1779,11,0),"0")</f>
        <v>TRUE</v>
      </c>
      <c r="O137" s="220" t="str">
        <f t="shared" si="3"/>
        <v>#REF!</v>
      </c>
      <c r="R137" s="42" t="str">
        <f>VLOOKUP($A137,Category!$A$1:$E$351,4,0)</f>
        <v>MS</v>
      </c>
      <c r="S137" s="42" t="str">
        <f>VLOOKUP($A137,Category!$A$1:$E$351,5,0)</f>
        <v>MSR</v>
      </c>
    </row>
    <row r="138">
      <c r="A138" s="83" t="s">
        <v>565</v>
      </c>
      <c r="B138" s="356" t="s">
        <v>1553</v>
      </c>
      <c r="C138" s="357">
        <v>2.0</v>
      </c>
      <c r="D138" s="357" t="s">
        <v>232</v>
      </c>
      <c r="E138" s="344">
        <v>63000.0</v>
      </c>
      <c r="F138" s="219">
        <v>90000.0</v>
      </c>
      <c r="G138" s="220" t="s">
        <v>413</v>
      </c>
      <c r="H138" s="220">
        <v>1.0</v>
      </c>
      <c r="I138" s="337">
        <f t="shared" si="1"/>
        <v>0.7</v>
      </c>
      <c r="J138" s="220"/>
      <c r="K138" s="336" t="b">
        <f t="shared" si="2"/>
        <v>0</v>
      </c>
      <c r="L138" s="219" t="b">
        <f>IFERROR(VLOOKUP($A138,AlgoUi!$A$1:$M$1779,13,0),"0")</f>
        <v>0</v>
      </c>
      <c r="M138" s="219" t="b">
        <f>IFERROR(VLOOKUP($A138,AlgoUi!$A$1:$M$1779,12,0),"0")</f>
        <v>1</v>
      </c>
      <c r="N138" s="219" t="str">
        <f>IFERROR(VLOOKUP($A138,AlgoUi!$A$1:$M$1779,11,0),"0")</f>
        <v>TRUE</v>
      </c>
      <c r="O138" s="220" t="str">
        <f t="shared" si="3"/>
        <v>#REF!</v>
      </c>
      <c r="R138" s="42" t="str">
        <f>VLOOKUP($A138,Category!$A$1:$E$351,4,0)</f>
        <v>MS</v>
      </c>
      <c r="S138" s="42" t="str">
        <f>VLOOKUP($A138,Category!$A$1:$E$351,5,0)</f>
        <v>MSR</v>
      </c>
    </row>
    <row r="139">
      <c r="A139" s="83" t="s">
        <v>1803</v>
      </c>
      <c r="B139" s="356" t="s">
        <v>1804</v>
      </c>
      <c r="C139" s="357">
        <v>2.0</v>
      </c>
      <c r="D139" s="357" t="s">
        <v>232</v>
      </c>
      <c r="E139" s="344">
        <v>77000.0</v>
      </c>
      <c r="F139" s="219">
        <v>110000.0</v>
      </c>
      <c r="G139" s="220" t="s">
        <v>413</v>
      </c>
      <c r="H139" s="220">
        <v>1.0</v>
      </c>
      <c r="I139" s="337">
        <f t="shared" si="1"/>
        <v>0.7</v>
      </c>
      <c r="J139" s="220"/>
      <c r="K139" s="336" t="b">
        <f t="shared" si="2"/>
        <v>0</v>
      </c>
      <c r="L139" s="219" t="b">
        <f>IFERROR(VLOOKUP($A139,AlgoUi!$A$1:$M$1779,13,0),"0")</f>
        <v>1</v>
      </c>
      <c r="M139" s="219" t="b">
        <f>IFERROR(VLOOKUP($A139,AlgoUi!$A$1:$M$1779,12,0),"0")</f>
        <v>1</v>
      </c>
      <c r="N139" s="219" t="str">
        <f>IFERROR(VLOOKUP($A139,AlgoUi!$A$1:$M$1779,11,0),"0")</f>
        <v>TRUE</v>
      </c>
      <c r="O139" s="220" t="str">
        <f t="shared" si="3"/>
        <v>#REF!</v>
      </c>
      <c r="R139" s="42" t="str">
        <f>VLOOKUP($A139,Category!$A$1:$E$351,4,0)</f>
        <v>MS</v>
      </c>
      <c r="S139" s="42" t="str">
        <f>VLOOKUP($A139,Category!$A$1:$E$351,5,0)</f>
        <v>MSR</v>
      </c>
    </row>
    <row r="140">
      <c r="A140" s="83" t="s">
        <v>50</v>
      </c>
      <c r="B140" s="162" t="s">
        <v>1292</v>
      </c>
      <c r="C140" s="333">
        <v>1.0</v>
      </c>
      <c r="D140" s="333" t="s">
        <v>311</v>
      </c>
      <c r="E140" s="334">
        <v>56000.0</v>
      </c>
      <c r="F140" s="335">
        <v>80000.0</v>
      </c>
      <c r="G140" s="220" t="s">
        <v>83</v>
      </c>
      <c r="H140" s="220">
        <v>1.0</v>
      </c>
      <c r="I140" s="337">
        <f t="shared" si="1"/>
        <v>0.7</v>
      </c>
      <c r="J140" s="336" t="s">
        <v>3901</v>
      </c>
      <c r="K140" s="336" t="b">
        <f t="shared" si="2"/>
        <v>0</v>
      </c>
      <c r="L140" s="219" t="b">
        <f>IFERROR(VLOOKUP($A140,AlgoUi!$A$1:$M$1779,13,0),"0")</f>
        <v>0</v>
      </c>
      <c r="M140" s="219" t="b">
        <f>IFERROR(VLOOKUP($A140,AlgoUi!$A$1:$M$1779,12,0),"0")</f>
        <v>1</v>
      </c>
      <c r="N140" s="219" t="str">
        <f>IFERROR(VLOOKUP($A140,AlgoUi!$A$1:$M$1779,11,0),"0")</f>
        <v>TRUE</v>
      </c>
      <c r="O140" s="220" t="str">
        <f t="shared" si="3"/>
        <v>#REF!</v>
      </c>
      <c r="Q140" s="89" t="s">
        <v>3861</v>
      </c>
      <c r="R140" s="42" t="str">
        <f>VLOOKUP($A140,Category!$A$1:$E$351,4,0)</f>
        <v>CC</v>
      </c>
      <c r="S140" s="42" t="str">
        <f>VLOOKUP($A140,Category!$A$1:$E$351,5,0)</f>
        <v>CCG</v>
      </c>
    </row>
    <row r="141">
      <c r="A141" s="83" t="s">
        <v>577</v>
      </c>
      <c r="B141" s="356" t="s">
        <v>1769</v>
      </c>
      <c r="C141" s="357">
        <v>2.0</v>
      </c>
      <c r="D141" s="357" t="s">
        <v>232</v>
      </c>
      <c r="E141" s="334">
        <v>35000.0</v>
      </c>
      <c r="F141" s="335">
        <v>50000.0</v>
      </c>
      <c r="G141" s="220" t="s">
        <v>413</v>
      </c>
      <c r="H141" s="220">
        <v>1.0</v>
      </c>
      <c r="I141" s="337">
        <f t="shared" si="1"/>
        <v>0.7</v>
      </c>
      <c r="J141" s="220"/>
      <c r="K141" s="336" t="b">
        <f t="shared" si="2"/>
        <v>0</v>
      </c>
      <c r="L141" s="219" t="b">
        <f>IFERROR(VLOOKUP($A141,AlgoUi!$A$1:$M$1779,13,0),"0")</f>
        <v>0</v>
      </c>
      <c r="M141" s="219" t="b">
        <f>IFERROR(VLOOKUP($A141,AlgoUi!$A$1:$M$1779,12,0),"0")</f>
        <v>1</v>
      </c>
      <c r="N141" s="219" t="str">
        <f>IFERROR(VLOOKUP($A141,AlgoUi!$A$1:$M$1779,11,0),"0")</f>
        <v>TRUE</v>
      </c>
      <c r="O141" s="220" t="str">
        <f t="shared" si="3"/>
        <v>#REF!</v>
      </c>
      <c r="R141" s="42" t="str">
        <f>VLOOKUP($A141,Category!$A$1:$E$351,4,0)</f>
        <v>MS</v>
      </c>
      <c r="S141" s="42" t="str">
        <f>VLOOKUP($A141,Category!$A$1:$E$351,5,0)</f>
        <v>MSR</v>
      </c>
    </row>
    <row r="142">
      <c r="A142" s="83" t="s">
        <v>1763</v>
      </c>
      <c r="B142" s="343" t="s">
        <v>1764</v>
      </c>
      <c r="C142" s="333">
        <v>2.0</v>
      </c>
      <c r="D142" s="333" t="s">
        <v>311</v>
      </c>
      <c r="E142" s="344">
        <v>105000.0</v>
      </c>
      <c r="F142" s="219">
        <v>150000.0</v>
      </c>
      <c r="G142" s="220" t="s">
        <v>113</v>
      </c>
      <c r="H142" s="220">
        <v>1.0</v>
      </c>
      <c r="I142" s="337">
        <f t="shared" si="1"/>
        <v>0.7</v>
      </c>
      <c r="J142" s="220"/>
      <c r="K142" s="336" t="b">
        <f t="shared" si="2"/>
        <v>0</v>
      </c>
      <c r="L142" s="219" t="b">
        <f>IFERROR(VLOOKUP($A142,AlgoUi!$A$1:$M$1779,13,0),"0")</f>
        <v>0</v>
      </c>
      <c r="M142" s="219" t="b">
        <f>IFERROR(VLOOKUP($A142,AlgoUi!$A$1:$M$1779,12,0),"0")</f>
        <v>1</v>
      </c>
      <c r="N142" s="219" t="str">
        <f>IFERROR(VLOOKUP($A142,AlgoUi!$A$1:$M$1779,11,0),"0")</f>
        <v>TRUE</v>
      </c>
      <c r="O142" s="220" t="str">
        <f t="shared" si="3"/>
        <v>#REF!</v>
      </c>
      <c r="R142" s="42" t="str">
        <f>VLOOKUP($A142,Category!$A$1:$E$351,4,0)</f>
        <v>MS</v>
      </c>
      <c r="S142" s="42" t="str">
        <f>VLOOKUP($A142,Category!$A$1:$E$351,5,0)</f>
        <v>MSR</v>
      </c>
    </row>
    <row r="143">
      <c r="A143" s="83" t="s">
        <v>115</v>
      </c>
      <c r="B143" s="356" t="s">
        <v>1631</v>
      </c>
      <c r="C143" s="357">
        <v>2.0</v>
      </c>
      <c r="D143" s="357" t="s">
        <v>232</v>
      </c>
      <c r="E143" s="334">
        <v>126000.0</v>
      </c>
      <c r="F143" s="335">
        <v>180000.0</v>
      </c>
      <c r="G143" s="220" t="s">
        <v>413</v>
      </c>
      <c r="H143" s="220">
        <v>1.0</v>
      </c>
      <c r="I143" s="337">
        <f t="shared" si="1"/>
        <v>0.7</v>
      </c>
      <c r="J143" s="336" t="s">
        <v>3896</v>
      </c>
      <c r="K143" s="336" t="b">
        <f t="shared" si="2"/>
        <v>0</v>
      </c>
      <c r="L143" s="219" t="b">
        <f>IFERROR(VLOOKUP($A143,AlgoUi!$A$1:$M$1779,13,0),"0")</f>
        <v>0</v>
      </c>
      <c r="M143" s="219" t="b">
        <f>IFERROR(VLOOKUP($A143,AlgoUi!$A$1:$M$1779,12,0),"0")</f>
        <v>1</v>
      </c>
      <c r="N143" s="219" t="str">
        <f>IFERROR(VLOOKUP($A143,AlgoUi!$A$1:$M$1779,11,0),"0")</f>
        <v>FALSE</v>
      </c>
      <c r="O143" s="220" t="str">
        <f t="shared" si="3"/>
        <v>#REF!</v>
      </c>
      <c r="Q143" s="89" t="s">
        <v>3861</v>
      </c>
      <c r="R143" s="42" t="str">
        <f>VLOOKUP($A143,Category!$A$1:$E$351,4,0)</f>
        <v>MS</v>
      </c>
      <c r="S143" s="42" t="str">
        <f>VLOOKUP($A143,Category!$A$1:$E$351,5,0)</f>
        <v>PRD</v>
      </c>
    </row>
    <row r="144">
      <c r="A144" s="83" t="s">
        <v>387</v>
      </c>
      <c r="B144" s="356" t="s">
        <v>1703</v>
      </c>
      <c r="C144" s="357">
        <v>2.0</v>
      </c>
      <c r="D144" s="357" t="s">
        <v>232</v>
      </c>
      <c r="E144" s="344">
        <v>56000.0</v>
      </c>
      <c r="F144" s="219">
        <v>80000.0</v>
      </c>
      <c r="G144" s="220" t="s">
        <v>413</v>
      </c>
      <c r="H144" s="220">
        <v>1.0</v>
      </c>
      <c r="I144" s="337">
        <f t="shared" si="1"/>
        <v>0.7</v>
      </c>
      <c r="J144" s="220"/>
      <c r="K144" s="336" t="b">
        <f t="shared" si="2"/>
        <v>0</v>
      </c>
      <c r="L144" s="219" t="b">
        <f>IFERROR(VLOOKUP($A144,AlgoUi!$A$1:$M$1779,13,0),"0")</f>
        <v>0</v>
      </c>
      <c r="M144" s="219" t="b">
        <f>IFERROR(VLOOKUP($A144,AlgoUi!$A$1:$M$1779,12,0),"0")</f>
        <v>1</v>
      </c>
      <c r="N144" s="219" t="str">
        <f>IFERROR(VLOOKUP($A144,AlgoUi!$A$1:$M$1779,11,0),"0")</f>
        <v>TRUE</v>
      </c>
      <c r="O144" s="220" t="str">
        <f t="shared" si="3"/>
        <v>#REF!</v>
      </c>
      <c r="R144" s="42" t="str">
        <f>VLOOKUP($A144,Category!$A$1:$E$351,4,0)</f>
        <v>MS</v>
      </c>
      <c r="S144" s="42" t="str">
        <f>VLOOKUP($A144,Category!$A$1:$E$351,5,0)</f>
        <v>MSR</v>
      </c>
    </row>
    <row r="145">
      <c r="A145" s="83" t="s">
        <v>592</v>
      </c>
      <c r="B145" s="356" t="s">
        <v>1453</v>
      </c>
      <c r="C145" s="357">
        <v>2.0</v>
      </c>
      <c r="D145" s="357" t="s">
        <v>232</v>
      </c>
      <c r="E145" s="334">
        <v>126000.0</v>
      </c>
      <c r="F145" s="335">
        <v>180000.0</v>
      </c>
      <c r="G145" s="220" t="s">
        <v>413</v>
      </c>
      <c r="H145" s="220">
        <v>1.0</v>
      </c>
      <c r="I145" s="337">
        <f t="shared" si="1"/>
        <v>0.7</v>
      </c>
      <c r="J145" s="220"/>
      <c r="K145" s="336" t="b">
        <f t="shared" si="2"/>
        <v>0</v>
      </c>
      <c r="L145" s="219" t="b">
        <f>IFERROR(VLOOKUP($A145,AlgoUi!$A$1:$M$1779,13,0),"0")</f>
        <v>0</v>
      </c>
      <c r="M145" s="219" t="b">
        <f>IFERROR(VLOOKUP($A145,AlgoUi!$A$1:$M$1779,12,0),"0")</f>
        <v>1</v>
      </c>
      <c r="N145" s="219" t="str">
        <f>IFERROR(VLOOKUP($A145,AlgoUi!$A$1:$M$1779,11,0),"0")</f>
        <v>TRUE</v>
      </c>
      <c r="O145" s="220" t="str">
        <f t="shared" si="3"/>
        <v>#REF!</v>
      </c>
      <c r="R145" s="42" t="str">
        <f>VLOOKUP($A145,Category!$A$1:$E$351,4,0)</f>
        <v>MS</v>
      </c>
      <c r="S145" s="42" t="str">
        <f>VLOOKUP($A145,Category!$A$1:$E$351,5,0)</f>
        <v>MSR</v>
      </c>
    </row>
    <row r="146">
      <c r="A146" s="83" t="s">
        <v>576</v>
      </c>
      <c r="B146" s="356" t="s">
        <v>1459</v>
      </c>
      <c r="C146" s="357">
        <v>2.0</v>
      </c>
      <c r="D146" s="357" t="s">
        <v>232</v>
      </c>
      <c r="E146" s="334">
        <v>147000.0</v>
      </c>
      <c r="F146" s="335">
        <v>210000.0</v>
      </c>
      <c r="G146" s="220" t="s">
        <v>413</v>
      </c>
      <c r="H146" s="220">
        <v>1.0</v>
      </c>
      <c r="I146" s="337">
        <f t="shared" si="1"/>
        <v>0.7</v>
      </c>
      <c r="J146" s="220"/>
      <c r="K146" s="336" t="b">
        <f t="shared" si="2"/>
        <v>0</v>
      </c>
      <c r="L146" s="219" t="b">
        <f>IFERROR(VLOOKUP($A146,AlgoUi!$A$1:$M$1779,13,0),"0")</f>
        <v>0</v>
      </c>
      <c r="M146" s="219" t="b">
        <f>IFERROR(VLOOKUP($A146,AlgoUi!$A$1:$M$1779,12,0),"0")</f>
        <v>1</v>
      </c>
      <c r="N146" s="219" t="str">
        <f>IFERROR(VLOOKUP($A146,AlgoUi!$A$1:$M$1779,11,0),"0")</f>
        <v>TRUE</v>
      </c>
      <c r="O146" s="220" t="str">
        <f t="shared" si="3"/>
        <v>#REF!</v>
      </c>
      <c r="R146" s="42" t="str">
        <f>VLOOKUP($A146,Category!$A$1:$E$351,4,0)</f>
        <v>MS</v>
      </c>
      <c r="S146" s="42" t="str">
        <f>VLOOKUP($A146,Category!$A$1:$E$351,5,0)</f>
        <v>MSR</v>
      </c>
    </row>
    <row r="147">
      <c r="A147" s="83" t="s">
        <v>88</v>
      </c>
      <c r="B147" s="356" t="s">
        <v>1970</v>
      </c>
      <c r="C147" s="357">
        <v>2.0</v>
      </c>
      <c r="D147" s="357" t="s">
        <v>232</v>
      </c>
      <c r="E147" s="334">
        <v>70000.0</v>
      </c>
      <c r="F147" s="335">
        <v>100000.0</v>
      </c>
      <c r="G147" s="220" t="s">
        <v>413</v>
      </c>
      <c r="H147" s="220">
        <v>1.0</v>
      </c>
      <c r="I147" s="337">
        <f t="shared" si="1"/>
        <v>0.7</v>
      </c>
      <c r="J147" s="220"/>
      <c r="K147" s="336" t="b">
        <f t="shared" si="2"/>
        <v>0</v>
      </c>
      <c r="L147" s="219" t="b">
        <f>IFERROR(VLOOKUP($A147,AlgoUi!$A$1:$M$1779,13,0),"0")</f>
        <v>0</v>
      </c>
      <c r="M147" s="219" t="b">
        <f>IFERROR(VLOOKUP($A147,AlgoUi!$A$1:$M$1779,12,0),"0")</f>
        <v>1</v>
      </c>
      <c r="N147" s="219" t="str">
        <f>IFERROR(VLOOKUP($A147,AlgoUi!$A$1:$M$1779,11,0),"0")</f>
        <v>TRUE</v>
      </c>
      <c r="O147" s="220" t="str">
        <f t="shared" si="3"/>
        <v>#REF!</v>
      </c>
      <c r="R147" s="42" t="str">
        <f>VLOOKUP($A147,Category!$A$1:$E$351,4,0)</f>
        <v>#N/A</v>
      </c>
      <c r="S147" s="42" t="str">
        <f>VLOOKUP($A147,Category!$A$1:$E$351,5,0)</f>
        <v>#N/A</v>
      </c>
    </row>
    <row r="148">
      <c r="A148" s="83" t="s">
        <v>1146</v>
      </c>
      <c r="B148" s="356" t="s">
        <v>1476</v>
      </c>
      <c r="C148" s="357">
        <v>2.0</v>
      </c>
      <c r="D148" s="357" t="s">
        <v>232</v>
      </c>
      <c r="E148" s="344">
        <v>154000.0</v>
      </c>
      <c r="F148" s="219">
        <v>220000.0</v>
      </c>
      <c r="G148" s="220" t="s">
        <v>413</v>
      </c>
      <c r="H148" s="220">
        <v>1.0</v>
      </c>
      <c r="I148" s="337">
        <f t="shared" si="1"/>
        <v>0.7</v>
      </c>
      <c r="J148" s="220"/>
      <c r="K148" s="336" t="b">
        <f t="shared" si="2"/>
        <v>0</v>
      </c>
      <c r="L148" s="219" t="b">
        <f>IFERROR(VLOOKUP($A148,AlgoUi!$A$1:$M$1779,13,0),"0")</f>
        <v>0</v>
      </c>
      <c r="M148" s="219" t="b">
        <f>IFERROR(VLOOKUP($A148,AlgoUi!$A$1:$M$1779,12,0),"0")</f>
        <v>1</v>
      </c>
      <c r="N148" s="219" t="str">
        <f>IFERROR(VLOOKUP($A148,AlgoUi!$A$1:$M$1779,11,0),"0")</f>
        <v>TRUE</v>
      </c>
      <c r="O148" s="220" t="str">
        <f t="shared" si="3"/>
        <v>#REF!</v>
      </c>
      <c r="R148" s="42" t="str">
        <f>VLOOKUP($A148,Category!$A$1:$E$351,4,0)</f>
        <v>MS</v>
      </c>
      <c r="S148" s="42" t="str">
        <f>VLOOKUP($A148,Category!$A$1:$E$351,5,0)</f>
        <v>MSR</v>
      </c>
    </row>
    <row r="149">
      <c r="A149" s="83" t="s">
        <v>1545</v>
      </c>
      <c r="B149" s="356" t="s">
        <v>1546</v>
      </c>
      <c r="C149" s="357">
        <v>2.0</v>
      </c>
      <c r="D149" s="357" t="s">
        <v>232</v>
      </c>
      <c r="E149" s="334">
        <v>154000.0</v>
      </c>
      <c r="F149" s="335">
        <v>220000.0</v>
      </c>
      <c r="G149" s="220" t="s">
        <v>413</v>
      </c>
      <c r="H149" s="220">
        <v>1.0</v>
      </c>
      <c r="I149" s="337">
        <f t="shared" si="1"/>
        <v>0.7</v>
      </c>
      <c r="J149" s="220"/>
      <c r="K149" s="336" t="b">
        <f t="shared" si="2"/>
        <v>0</v>
      </c>
      <c r="L149" s="219" t="b">
        <f>IFERROR(VLOOKUP($A149,AlgoUi!$A$1:$M$1779,13,0),"0")</f>
        <v>0</v>
      </c>
      <c r="M149" s="219" t="b">
        <f>IFERROR(VLOOKUP($A149,AlgoUi!$A$1:$M$1779,12,0),"0")</f>
        <v>1</v>
      </c>
      <c r="N149" s="219" t="str">
        <f>IFERROR(VLOOKUP($A149,AlgoUi!$A$1:$M$1779,11,0),"0")</f>
        <v>TRUE</v>
      </c>
      <c r="O149" s="220" t="str">
        <f t="shared" si="3"/>
        <v>#REF!</v>
      </c>
      <c r="R149" s="42" t="str">
        <f>VLOOKUP($A149,Category!$A$1:$E$351,4,0)</f>
        <v>MS</v>
      </c>
      <c r="S149" s="42" t="str">
        <f>VLOOKUP($A149,Category!$A$1:$E$351,5,0)</f>
        <v>MSR</v>
      </c>
    </row>
    <row r="150">
      <c r="A150" s="83" t="s">
        <v>356</v>
      </c>
      <c r="B150" s="343" t="s">
        <v>1451</v>
      </c>
      <c r="C150" s="333">
        <v>2.0</v>
      </c>
      <c r="D150" s="333" t="s">
        <v>311</v>
      </c>
      <c r="E150" s="334">
        <v>77000.0</v>
      </c>
      <c r="F150" s="335">
        <v>110000.0</v>
      </c>
      <c r="G150" s="220" t="s">
        <v>113</v>
      </c>
      <c r="H150" s="220">
        <v>1.0</v>
      </c>
      <c r="I150" s="337">
        <f t="shared" si="1"/>
        <v>0.7</v>
      </c>
      <c r="J150" s="220"/>
      <c r="K150" s="336" t="b">
        <f t="shared" si="2"/>
        <v>0</v>
      </c>
      <c r="L150" s="219" t="b">
        <f>IFERROR(VLOOKUP($A150,AlgoUi!$A$1:$M$1779,13,0),"0")</f>
        <v>0</v>
      </c>
      <c r="M150" s="219" t="b">
        <f>IFERROR(VLOOKUP($A150,AlgoUi!$A$1:$M$1779,12,0),"0")</f>
        <v>1</v>
      </c>
      <c r="N150" s="219" t="str">
        <f>IFERROR(VLOOKUP($A150,AlgoUi!$A$1:$M$1779,11,0),"0")</f>
        <v>TRUE</v>
      </c>
      <c r="O150" s="220" t="str">
        <f t="shared" si="3"/>
        <v>#REF!</v>
      </c>
      <c r="R150" s="42" t="str">
        <f>VLOOKUP($A150,Category!$A$1:$E$351,4,0)</f>
        <v>MS</v>
      </c>
      <c r="S150" s="42" t="str">
        <f>VLOOKUP($A150,Category!$A$1:$E$351,5,0)</f>
        <v>MSR</v>
      </c>
    </row>
    <row r="151">
      <c r="A151" s="83" t="s">
        <v>1780</v>
      </c>
      <c r="B151" s="356" t="s">
        <v>1781</v>
      </c>
      <c r="C151" s="357">
        <v>2.0</v>
      </c>
      <c r="D151" s="357" t="s">
        <v>232</v>
      </c>
      <c r="E151" s="334">
        <v>49000.0</v>
      </c>
      <c r="F151" s="335">
        <v>70000.0</v>
      </c>
      <c r="G151" s="220" t="s">
        <v>413</v>
      </c>
      <c r="H151" s="220">
        <v>1.0</v>
      </c>
      <c r="I151" s="337">
        <f t="shared" si="1"/>
        <v>0.7</v>
      </c>
      <c r="J151" s="220"/>
      <c r="K151" s="336" t="b">
        <f t="shared" si="2"/>
        <v>0</v>
      </c>
      <c r="L151" s="219" t="b">
        <f>IFERROR(VLOOKUP($A151,AlgoUi!$A$1:$M$1779,13,0),"0")</f>
        <v>0</v>
      </c>
      <c r="M151" s="219" t="b">
        <f>IFERROR(VLOOKUP($A151,AlgoUi!$A$1:$M$1779,12,0),"0")</f>
        <v>0</v>
      </c>
      <c r="N151" s="219" t="str">
        <f>IFERROR(VLOOKUP($A151,AlgoUi!$A$1:$M$1779,11,0),"0")</f>
        <v>TRUE</v>
      </c>
      <c r="O151" s="220" t="str">
        <f t="shared" si="3"/>
        <v>#REF!</v>
      </c>
      <c r="R151" s="42" t="str">
        <f>VLOOKUP($A151,Category!$A$1:$E$351,4,0)</f>
        <v>MS</v>
      </c>
      <c r="S151" s="42" t="str">
        <f>VLOOKUP($A151,Category!$A$1:$E$351,5,0)</f>
        <v>MSR</v>
      </c>
    </row>
    <row r="152">
      <c r="A152" s="83" t="s">
        <v>1571</v>
      </c>
      <c r="B152" s="356" t="s">
        <v>1573</v>
      </c>
      <c r="C152" s="357">
        <v>2.0</v>
      </c>
      <c r="D152" s="357" t="s">
        <v>232</v>
      </c>
      <c r="E152" s="344">
        <v>112000.0</v>
      </c>
      <c r="F152" s="219">
        <v>160000.0</v>
      </c>
      <c r="G152" s="220" t="s">
        <v>413</v>
      </c>
      <c r="H152" s="220">
        <v>1.0</v>
      </c>
      <c r="I152" s="337">
        <f t="shared" si="1"/>
        <v>0.7</v>
      </c>
      <c r="J152" s="220"/>
      <c r="K152" s="336" t="b">
        <f t="shared" si="2"/>
        <v>0</v>
      </c>
      <c r="L152" s="219" t="b">
        <f>IFERROR(VLOOKUP($A152,AlgoUi!$A$1:$M$1779,13,0),"0")</f>
        <v>0</v>
      </c>
      <c r="M152" s="219" t="b">
        <f>IFERROR(VLOOKUP($A152,AlgoUi!$A$1:$M$1779,12,0),"0")</f>
        <v>1</v>
      </c>
      <c r="N152" s="219" t="str">
        <f>IFERROR(VLOOKUP($A152,AlgoUi!$A$1:$M$1779,11,0),"0")</f>
        <v>TRUE</v>
      </c>
      <c r="O152" s="220" t="str">
        <f t="shared" si="3"/>
        <v>#REF!</v>
      </c>
      <c r="R152" s="42" t="str">
        <f>VLOOKUP($A152,Category!$A$1:$E$351,4,0)</f>
        <v>MS</v>
      </c>
      <c r="S152" s="42" t="str">
        <f>VLOOKUP($A152,Category!$A$1:$E$351,5,0)</f>
        <v>MSR</v>
      </c>
    </row>
    <row r="153">
      <c r="A153" s="83" t="s">
        <v>664</v>
      </c>
      <c r="B153" s="356" t="s">
        <v>1783</v>
      </c>
      <c r="C153" s="357">
        <v>2.0</v>
      </c>
      <c r="D153" s="357" t="s">
        <v>232</v>
      </c>
      <c r="E153" s="344">
        <v>56000.0</v>
      </c>
      <c r="F153" s="219">
        <v>80000.0</v>
      </c>
      <c r="G153" s="220" t="s">
        <v>413</v>
      </c>
      <c r="H153" s="220">
        <v>1.0</v>
      </c>
      <c r="I153" s="337">
        <f t="shared" si="1"/>
        <v>0.7</v>
      </c>
      <c r="J153" s="220"/>
      <c r="K153" s="336" t="b">
        <f t="shared" si="2"/>
        <v>0</v>
      </c>
      <c r="L153" s="219" t="b">
        <f>IFERROR(VLOOKUP($A153,AlgoUi!$A$1:$M$1779,13,0),"0")</f>
        <v>1</v>
      </c>
      <c r="M153" s="219" t="b">
        <f>IFERROR(VLOOKUP($A153,AlgoUi!$A$1:$M$1779,12,0),"0")</f>
        <v>0</v>
      </c>
      <c r="N153" s="219" t="str">
        <f>IFERROR(VLOOKUP($A153,AlgoUi!$A$1:$M$1779,11,0),"0")</f>
        <v>TRUE</v>
      </c>
      <c r="O153" s="220" t="str">
        <f t="shared" si="3"/>
        <v>#REF!</v>
      </c>
      <c r="R153" s="42" t="str">
        <f>VLOOKUP($A153,Category!$A$1:$E$351,4,0)</f>
        <v>MS</v>
      </c>
      <c r="S153" s="42" t="str">
        <f>VLOOKUP($A153,Category!$A$1:$E$351,5,0)</f>
        <v>MSR</v>
      </c>
    </row>
    <row r="154">
      <c r="A154" s="83" t="s">
        <v>1262</v>
      </c>
      <c r="B154" s="343" t="s">
        <v>1263</v>
      </c>
      <c r="C154" s="333">
        <v>1.0</v>
      </c>
      <c r="D154" s="333" t="s">
        <v>311</v>
      </c>
      <c r="E154" s="344">
        <v>98000.0</v>
      </c>
      <c r="F154" s="219">
        <v>140000.0</v>
      </c>
      <c r="G154" s="220" t="s">
        <v>83</v>
      </c>
      <c r="H154" s="220">
        <v>1.0</v>
      </c>
      <c r="I154" s="337">
        <f t="shared" si="1"/>
        <v>0.7</v>
      </c>
      <c r="J154" s="220"/>
      <c r="K154" s="336" t="b">
        <f t="shared" si="2"/>
        <v>0</v>
      </c>
      <c r="L154" s="219" t="b">
        <f>IFERROR(VLOOKUP($A154,AlgoUi!$A$1:$M$1779,13,0),"0")</f>
        <v>0</v>
      </c>
      <c r="M154" s="219" t="b">
        <f>IFERROR(VLOOKUP($A154,AlgoUi!$A$1:$M$1779,12,0),"0")</f>
        <v>0</v>
      </c>
      <c r="N154" s="219" t="str">
        <f>IFERROR(VLOOKUP($A154,AlgoUi!$A$1:$M$1779,11,0),"0")</f>
        <v>TRUE</v>
      </c>
      <c r="O154" s="220" t="str">
        <f t="shared" si="3"/>
        <v>#REF!</v>
      </c>
      <c r="Q154" s="89" t="s">
        <v>3861</v>
      </c>
      <c r="R154" s="42" t="str">
        <f>VLOOKUP($A154,Category!$A$1:$E$351,4,0)</f>
        <v>CC</v>
      </c>
      <c r="S154" s="42" t="str">
        <f>VLOOKUP($A154,Category!$A$1:$E$351,5,0)</f>
        <v>CCG</v>
      </c>
    </row>
    <row r="155">
      <c r="A155" s="83" t="s">
        <v>710</v>
      </c>
      <c r="B155" s="356" t="s">
        <v>1768</v>
      </c>
      <c r="C155" s="357">
        <v>2.0</v>
      </c>
      <c r="D155" s="357" t="s">
        <v>232</v>
      </c>
      <c r="E155" s="334">
        <v>49000.0</v>
      </c>
      <c r="F155" s="335">
        <v>70000.0</v>
      </c>
      <c r="G155" s="220" t="s">
        <v>413</v>
      </c>
      <c r="H155" s="220">
        <v>1.0</v>
      </c>
      <c r="I155" s="337">
        <f t="shared" si="1"/>
        <v>0.7</v>
      </c>
      <c r="J155" s="220"/>
      <c r="K155" s="336" t="b">
        <f t="shared" si="2"/>
        <v>0</v>
      </c>
      <c r="L155" s="219" t="b">
        <f>IFERROR(VLOOKUP($A155,AlgoUi!$A$1:$M$1779,13,0),"0")</f>
        <v>0</v>
      </c>
      <c r="M155" s="219" t="b">
        <f>IFERROR(VLOOKUP($A155,AlgoUi!$A$1:$M$1779,12,0),"0")</f>
        <v>0</v>
      </c>
      <c r="N155" s="219" t="str">
        <f>IFERROR(VLOOKUP($A155,AlgoUi!$A$1:$M$1779,11,0),"0")</f>
        <v>TRUE</v>
      </c>
      <c r="O155" s="220" t="str">
        <f t="shared" si="3"/>
        <v>#REF!</v>
      </c>
      <c r="R155" s="42" t="str">
        <f>VLOOKUP($A155,Category!$A$1:$E$351,4,0)</f>
        <v>MS</v>
      </c>
      <c r="S155" s="42" t="str">
        <f>VLOOKUP($A155,Category!$A$1:$E$351,5,0)</f>
        <v>MSR</v>
      </c>
    </row>
    <row r="156">
      <c r="A156" s="83" t="s">
        <v>555</v>
      </c>
      <c r="B156" s="356" t="s">
        <v>1820</v>
      </c>
      <c r="C156" s="357">
        <v>2.0</v>
      </c>
      <c r="D156" s="357" t="s">
        <v>232</v>
      </c>
      <c r="E156" s="344">
        <v>49000.0</v>
      </c>
      <c r="F156" s="219">
        <v>70000.0</v>
      </c>
      <c r="G156" s="220" t="s">
        <v>413</v>
      </c>
      <c r="H156" s="220">
        <v>1.0</v>
      </c>
      <c r="I156" s="337">
        <f t="shared" si="1"/>
        <v>0.7</v>
      </c>
      <c r="J156" s="336" t="s">
        <v>3902</v>
      </c>
      <c r="K156" s="336" t="b">
        <f t="shared" si="2"/>
        <v>0</v>
      </c>
      <c r="L156" s="219" t="b">
        <f>IFERROR(VLOOKUP($A156,AlgoUi!$A$1:$M$1779,13,0),"0")</f>
        <v>0</v>
      </c>
      <c r="M156" s="219" t="b">
        <f>IFERROR(VLOOKUP($A156,AlgoUi!$A$1:$M$1779,12,0),"0")</f>
        <v>1</v>
      </c>
      <c r="N156" s="219" t="str">
        <f>IFERROR(VLOOKUP($A156,AlgoUi!$A$1:$M$1779,11,0),"0")</f>
        <v>TRUE</v>
      </c>
      <c r="O156" s="220" t="str">
        <f t="shared" si="3"/>
        <v>#REF!</v>
      </c>
      <c r="R156" s="42" t="str">
        <f>VLOOKUP($A156,Category!$A$1:$E$351,4,0)</f>
        <v>MS</v>
      </c>
      <c r="S156" s="42" t="str">
        <f>VLOOKUP($A156,Category!$A$1:$E$351,5,0)</f>
        <v>MSR</v>
      </c>
    </row>
    <row r="157">
      <c r="A157" s="83" t="s">
        <v>599</v>
      </c>
      <c r="B157" s="343" t="s">
        <v>1488</v>
      </c>
      <c r="C157" s="333">
        <v>2.0</v>
      </c>
      <c r="D157" s="333" t="s">
        <v>311</v>
      </c>
      <c r="E157" s="334">
        <v>168000.0</v>
      </c>
      <c r="F157" s="335">
        <v>240000.0</v>
      </c>
      <c r="G157" s="220" t="s">
        <v>54</v>
      </c>
      <c r="H157" s="220">
        <v>1.0</v>
      </c>
      <c r="I157" s="337">
        <f t="shared" si="1"/>
        <v>0.7</v>
      </c>
      <c r="J157" s="220"/>
      <c r="K157" s="336" t="b">
        <f t="shared" si="2"/>
        <v>0</v>
      </c>
      <c r="L157" s="219" t="b">
        <f>IFERROR(VLOOKUP($A157,AlgoUi!$A$1:$M$1779,13,0),"0")</f>
        <v>0</v>
      </c>
      <c r="M157" s="219" t="b">
        <f>IFERROR(VLOOKUP($A157,AlgoUi!$A$1:$M$1779,12,0),"0")</f>
        <v>1</v>
      </c>
      <c r="N157" s="219" t="str">
        <f>IFERROR(VLOOKUP($A157,AlgoUi!$A$1:$M$1779,11,0),"0")</f>
        <v>TRUE</v>
      </c>
      <c r="O157" s="220" t="str">
        <f t="shared" si="3"/>
        <v>#REF!</v>
      </c>
      <c r="R157" s="42" t="str">
        <f>VLOOKUP($A157,Category!$A$1:$E$351,4,0)</f>
        <v>MS</v>
      </c>
      <c r="S157" s="42" t="str">
        <f>VLOOKUP($A157,Category!$A$1:$E$351,5,0)</f>
        <v>MSR</v>
      </c>
    </row>
    <row r="158">
      <c r="A158" s="83" t="s">
        <v>1281</v>
      </c>
      <c r="B158" s="353" t="s">
        <v>1282</v>
      </c>
      <c r="C158" s="333">
        <v>1.0</v>
      </c>
      <c r="D158" s="18" t="s">
        <v>1283</v>
      </c>
      <c r="E158" s="334">
        <v>280000.0</v>
      </c>
      <c r="F158" s="335">
        <v>400000.0</v>
      </c>
      <c r="G158" s="220" t="s">
        <v>83</v>
      </c>
      <c r="H158" s="220">
        <v>1.0</v>
      </c>
      <c r="I158" s="337">
        <f t="shared" si="1"/>
        <v>0.7</v>
      </c>
      <c r="J158" s="220"/>
      <c r="K158" s="336" t="b">
        <f t="shared" si="2"/>
        <v>0</v>
      </c>
      <c r="L158" s="219" t="str">
        <f>IFERROR(VLOOKUP($A158,AlgoUi!$A$1:$M$1779,13,0),"0")</f>
        <v>0</v>
      </c>
      <c r="M158" s="219" t="str">
        <f>IFERROR(VLOOKUP($A158,AlgoUi!$A$1:$M$1779,12,0),"0")</f>
        <v>0</v>
      </c>
      <c r="N158" s="219" t="str">
        <f>IFERROR(VLOOKUP($A158,AlgoUi!$A$1:$M$1779,11,0),"0")</f>
        <v>0</v>
      </c>
      <c r="O158" s="220" t="str">
        <f t="shared" si="3"/>
        <v>#REF!</v>
      </c>
      <c r="R158" s="42" t="str">
        <f>VLOOKUP($A158,Category!$A$1:$E$351,4,0)</f>
        <v>CC</v>
      </c>
      <c r="S158" s="42" t="str">
        <f>VLOOKUP($A158,Category!$A$1:$E$351,5,0)</f>
        <v>CCV</v>
      </c>
    </row>
    <row r="159">
      <c r="A159" s="83" t="s">
        <v>306</v>
      </c>
      <c r="B159" s="343" t="s">
        <v>1259</v>
      </c>
      <c r="C159" s="333">
        <v>1.0</v>
      </c>
      <c r="D159" s="333" t="s">
        <v>311</v>
      </c>
      <c r="E159" s="344">
        <v>133000.0</v>
      </c>
      <c r="F159" s="219">
        <v>190000.0</v>
      </c>
      <c r="G159" s="220" t="s">
        <v>83</v>
      </c>
      <c r="H159" s="220">
        <v>1.0</v>
      </c>
      <c r="I159" s="337">
        <f t="shared" si="1"/>
        <v>0.7</v>
      </c>
      <c r="J159" s="220"/>
      <c r="K159" s="336" t="b">
        <f t="shared" si="2"/>
        <v>0</v>
      </c>
      <c r="L159" s="219" t="b">
        <f>IFERROR(VLOOKUP($A159,AlgoUi!$A$1:$M$1779,13,0),"0")</f>
        <v>0</v>
      </c>
      <c r="M159" s="219" t="b">
        <f>IFERROR(VLOOKUP($A159,AlgoUi!$A$1:$M$1779,12,0),"0")</f>
        <v>1</v>
      </c>
      <c r="N159" s="219" t="str">
        <f>IFERROR(VLOOKUP($A159,AlgoUi!$A$1:$M$1779,11,0),"0")</f>
        <v>TRUE</v>
      </c>
      <c r="O159" s="220" t="str">
        <f t="shared" si="3"/>
        <v>#REF!</v>
      </c>
      <c r="Q159" s="89" t="s">
        <v>3861</v>
      </c>
      <c r="R159" s="42" t="str">
        <f>VLOOKUP($A159,Category!$A$1:$E$351,4,0)</f>
        <v>CC</v>
      </c>
      <c r="S159" s="42" t="str">
        <f>VLOOKUP($A159,Category!$A$1:$E$351,5,0)</f>
        <v>CCG</v>
      </c>
    </row>
    <row r="160">
      <c r="A160" s="83" t="s">
        <v>643</v>
      </c>
      <c r="B160" s="162" t="s">
        <v>1171</v>
      </c>
      <c r="C160" s="333"/>
      <c r="D160" s="333" t="s">
        <v>646</v>
      </c>
      <c r="E160" s="334">
        <v>325000.0</v>
      </c>
      <c r="F160" s="335">
        <v>650000.0</v>
      </c>
      <c r="G160" s="336" t="s">
        <v>83</v>
      </c>
      <c r="H160" s="220">
        <v>1.0</v>
      </c>
      <c r="I160" s="337">
        <f t="shared" si="1"/>
        <v>0.5</v>
      </c>
      <c r="J160" s="336" t="s">
        <v>273</v>
      </c>
      <c r="K160" s="336" t="b">
        <f t="shared" si="2"/>
        <v>0</v>
      </c>
      <c r="L160" s="219" t="b">
        <f>IFERROR(VLOOKUP($A160,AlgoUi!$A$1:$M$1779,13,0),"0")</f>
        <v>1</v>
      </c>
      <c r="M160" s="219" t="b">
        <f>IFERROR(VLOOKUP($A160,AlgoUi!$A$1:$M$1779,12,0),"0")</f>
        <v>1</v>
      </c>
      <c r="N160" s="219" t="str">
        <f>IFERROR(VLOOKUP($A160,AlgoUi!$A$1:$M$1779,11,0),"0")</f>
        <v>FALSE</v>
      </c>
      <c r="O160" s="220" t="str">
        <f t="shared" si="3"/>
        <v>#REF!</v>
      </c>
      <c r="Q160" s="89" t="s">
        <v>3861</v>
      </c>
      <c r="R160" s="42" t="str">
        <f>VLOOKUP($A160,Category!$A$1:$E$351,4,0)</f>
        <v>MS</v>
      </c>
      <c r="S160" s="42" t="str">
        <f>VLOOKUP($A160,Category!$A$1:$E$351,5,0)</f>
        <v>MSJ</v>
      </c>
    </row>
    <row r="161">
      <c r="A161" s="83" t="s">
        <v>1361</v>
      </c>
      <c r="B161" s="343" t="s">
        <v>1362</v>
      </c>
      <c r="C161" s="333"/>
      <c r="D161" s="333" t="s">
        <v>1363</v>
      </c>
      <c r="E161" s="344">
        <v>70000.0</v>
      </c>
      <c r="F161" s="219">
        <v>100000.0</v>
      </c>
      <c r="G161" s="220" t="s">
        <v>54</v>
      </c>
      <c r="H161" s="220">
        <v>1.0</v>
      </c>
      <c r="I161" s="337">
        <f t="shared" si="1"/>
        <v>0.7</v>
      </c>
      <c r="J161" s="220"/>
      <c r="K161" s="336" t="b">
        <f t="shared" si="2"/>
        <v>0</v>
      </c>
      <c r="L161" s="219" t="b">
        <f>IFERROR(VLOOKUP($A161,AlgoUi!$A$1:$M$1779,13,0),"0")</f>
        <v>0</v>
      </c>
      <c r="M161" s="219" t="b">
        <f>IFERROR(VLOOKUP($A161,AlgoUi!$A$1:$M$1779,12,0),"0")</f>
        <v>1</v>
      </c>
      <c r="N161" s="219" t="str">
        <f>IFERROR(VLOOKUP($A161,AlgoUi!$A$1:$M$1779,11,0),"0")</f>
        <v>TRUE</v>
      </c>
      <c r="O161" s="220" t="str">
        <f t="shared" si="3"/>
        <v>#REF!</v>
      </c>
      <c r="R161" s="42" t="str">
        <f>VLOOKUP($A161,Category!$A$1:$E$351,4,0)</f>
        <v>MS</v>
      </c>
      <c r="S161" s="42" t="str">
        <f>VLOOKUP($A161,Category!$A$1:$E$351,5,0)</f>
        <v>MSR</v>
      </c>
    </row>
    <row r="162">
      <c r="A162" s="83" t="s">
        <v>419</v>
      </c>
      <c r="B162" s="343" t="s">
        <v>420</v>
      </c>
      <c r="C162" s="333">
        <v>2.0</v>
      </c>
      <c r="D162" s="333" t="s">
        <v>311</v>
      </c>
      <c r="E162" s="334">
        <v>70000.0</v>
      </c>
      <c r="F162" s="335">
        <v>100000.0</v>
      </c>
      <c r="G162" s="220" t="s">
        <v>54</v>
      </c>
      <c r="H162" s="220">
        <v>1.0</v>
      </c>
      <c r="I162" s="337">
        <f t="shared" si="1"/>
        <v>0.7</v>
      </c>
      <c r="J162" s="220"/>
      <c r="K162" s="336" t="b">
        <f t="shared" si="2"/>
        <v>0</v>
      </c>
      <c r="L162" s="219" t="b">
        <f>IFERROR(VLOOKUP($A162,AlgoUi!$A$1:$M$1779,13,0),"0")</f>
        <v>0</v>
      </c>
      <c r="M162" s="219" t="b">
        <f>IFERROR(VLOOKUP($A162,AlgoUi!$A$1:$M$1779,12,0),"0")</f>
        <v>0</v>
      </c>
      <c r="N162" s="219" t="str">
        <f>IFERROR(VLOOKUP($A162,AlgoUi!$A$1:$M$1779,11,0),"0")</f>
        <v>TRUE</v>
      </c>
      <c r="O162" s="220" t="str">
        <f t="shared" si="3"/>
        <v>#REF!</v>
      </c>
      <c r="R162" s="42" t="str">
        <f>VLOOKUP($A162,Category!$A$1:$E$351,4,0)</f>
        <v>MS</v>
      </c>
      <c r="S162" s="42" t="str">
        <f>VLOOKUP($A162,Category!$A$1:$E$351,5,0)</f>
        <v>MSR</v>
      </c>
    </row>
    <row r="163">
      <c r="A163" s="83" t="s">
        <v>503</v>
      </c>
      <c r="B163" s="343" t="s">
        <v>1331</v>
      </c>
      <c r="C163" s="333">
        <v>2.0</v>
      </c>
      <c r="D163" s="333" t="s">
        <v>311</v>
      </c>
      <c r="E163" s="334">
        <v>63000.0</v>
      </c>
      <c r="F163" s="335">
        <v>90000.0</v>
      </c>
      <c r="G163" s="220" t="s">
        <v>54</v>
      </c>
      <c r="H163" s="220">
        <v>1.0</v>
      </c>
      <c r="I163" s="337">
        <f t="shared" si="1"/>
        <v>0.7</v>
      </c>
      <c r="J163" s="220"/>
      <c r="K163" s="336" t="b">
        <f t="shared" si="2"/>
        <v>0</v>
      </c>
      <c r="L163" s="219" t="b">
        <f>IFERROR(VLOOKUP($A163,AlgoUi!$A$1:$M$1779,13,0),"0")</f>
        <v>0</v>
      </c>
      <c r="M163" s="219" t="b">
        <f>IFERROR(VLOOKUP($A163,AlgoUi!$A$1:$M$1779,12,0),"0")</f>
        <v>1</v>
      </c>
      <c r="N163" s="219" t="str">
        <f>IFERROR(VLOOKUP($A163,AlgoUi!$A$1:$M$1779,11,0),"0")</f>
        <v>TRUE</v>
      </c>
      <c r="O163" s="220" t="str">
        <f t="shared" si="3"/>
        <v>#REF!</v>
      </c>
      <c r="R163" s="42" t="str">
        <f>VLOOKUP($A163,Category!$A$1:$E$351,4,0)</f>
        <v>MS</v>
      </c>
      <c r="S163" s="42" t="str">
        <f>VLOOKUP($A163,Category!$A$1:$E$351,5,0)</f>
        <v>MSR</v>
      </c>
    </row>
    <row r="164">
      <c r="A164" s="83" t="s">
        <v>346</v>
      </c>
      <c r="B164" s="162" t="s">
        <v>3903</v>
      </c>
      <c r="C164" s="42"/>
      <c r="D164" s="333" t="s">
        <v>311</v>
      </c>
      <c r="E164" s="344">
        <v>56000.0</v>
      </c>
      <c r="F164" s="219">
        <v>80000.0</v>
      </c>
      <c r="G164" s="336" t="s">
        <v>54</v>
      </c>
      <c r="H164" s="336">
        <v>1.0</v>
      </c>
      <c r="I164" s="337">
        <f t="shared" si="1"/>
        <v>0.7</v>
      </c>
      <c r="J164" s="220"/>
      <c r="K164" s="336" t="b">
        <f t="shared" si="2"/>
        <v>0</v>
      </c>
      <c r="L164" s="219" t="b">
        <f>IFERROR(VLOOKUP($A164,AlgoUi!$A$1:$M$1779,13,0),"0")</f>
        <v>0</v>
      </c>
      <c r="M164" s="219" t="b">
        <f>IFERROR(VLOOKUP($A164,AlgoUi!$A$1:$M$1779,12,0),"0")</f>
        <v>0</v>
      </c>
      <c r="N164" s="219" t="str">
        <f>IFERROR(VLOOKUP($A164,AlgoUi!$A$1:$M$1779,11,0),"0")</f>
        <v>TRUE</v>
      </c>
      <c r="O164" s="220" t="str">
        <f t="shared" si="3"/>
        <v>#REF!</v>
      </c>
      <c r="R164" s="42" t="str">
        <f>VLOOKUP($A164,Category!$A$1:$E$351,4,0)</f>
        <v>MS</v>
      </c>
      <c r="S164" s="42" t="str">
        <f>VLOOKUP($A164,Category!$A$1:$E$351,5,0)</f>
        <v>MSP</v>
      </c>
    </row>
    <row r="165">
      <c r="A165" s="83" t="s">
        <v>367</v>
      </c>
      <c r="B165" s="343" t="s">
        <v>1454</v>
      </c>
      <c r="C165" s="333">
        <v>2.0</v>
      </c>
      <c r="D165" s="333" t="s">
        <v>311</v>
      </c>
      <c r="E165" s="344">
        <v>42000.0</v>
      </c>
      <c r="F165" s="219">
        <v>60000.0</v>
      </c>
      <c r="G165" s="220" t="s">
        <v>54</v>
      </c>
      <c r="H165" s="220">
        <v>1.0</v>
      </c>
      <c r="I165" s="337">
        <f t="shared" si="1"/>
        <v>0.7</v>
      </c>
      <c r="J165" s="220"/>
      <c r="K165" s="336" t="b">
        <f t="shared" si="2"/>
        <v>0</v>
      </c>
      <c r="L165" s="219" t="b">
        <f>IFERROR(VLOOKUP($A165,AlgoUi!$A$1:$M$1779,13,0),"0")</f>
        <v>0</v>
      </c>
      <c r="M165" s="219" t="b">
        <f>IFERROR(VLOOKUP($A165,AlgoUi!$A$1:$M$1779,12,0),"0")</f>
        <v>1</v>
      </c>
      <c r="N165" s="219" t="str">
        <f>IFERROR(VLOOKUP($A165,AlgoUi!$A$1:$M$1779,11,0),"0")</f>
        <v>TRUE</v>
      </c>
      <c r="O165" s="220" t="str">
        <f t="shared" si="3"/>
        <v>#REF!</v>
      </c>
      <c r="R165" s="42" t="str">
        <f>VLOOKUP($A165,Category!$A$1:$E$351,4,0)</f>
        <v>MS</v>
      </c>
      <c r="S165" s="42" t="str">
        <f>VLOOKUP($A165,Category!$A$1:$E$351,5,0)</f>
        <v>MSR</v>
      </c>
    </row>
    <row r="166">
      <c r="A166" s="83" t="s">
        <v>1914</v>
      </c>
      <c r="B166" s="343" t="s">
        <v>1915</v>
      </c>
      <c r="C166" s="333"/>
      <c r="D166" s="333" t="s">
        <v>1363</v>
      </c>
      <c r="E166" s="344">
        <v>35000.0</v>
      </c>
      <c r="F166" s="219">
        <v>50000.0</v>
      </c>
      <c r="G166" s="220" t="s">
        <v>54</v>
      </c>
      <c r="H166" s="220">
        <v>1.0</v>
      </c>
      <c r="I166" s="337">
        <f t="shared" si="1"/>
        <v>0.7</v>
      </c>
      <c r="J166" s="220"/>
      <c r="K166" s="336" t="b">
        <f t="shared" si="2"/>
        <v>0</v>
      </c>
      <c r="L166" s="219" t="b">
        <f>IFERROR(VLOOKUP($A166,AlgoUi!$A$1:$M$1779,13,0),"0")</f>
        <v>0</v>
      </c>
      <c r="M166" s="219" t="b">
        <f>IFERROR(VLOOKUP($A166,AlgoUi!$A$1:$M$1779,12,0),"0")</f>
        <v>1</v>
      </c>
      <c r="N166" s="219" t="str">
        <f>IFERROR(VLOOKUP($A166,AlgoUi!$A$1:$M$1779,11,0),"0")</f>
        <v>TRUE</v>
      </c>
      <c r="O166" s="220" t="str">
        <f t="shared" si="3"/>
        <v>#REF!</v>
      </c>
      <c r="R166" s="42" t="str">
        <f>VLOOKUP($A166,Category!$A$1:$E$351,4,0)</f>
        <v>#N/A</v>
      </c>
      <c r="S166" s="42" t="str">
        <f>VLOOKUP($A166,Category!$A$1:$E$351,5,0)</f>
        <v>#N/A</v>
      </c>
    </row>
    <row r="167">
      <c r="A167" s="83" t="s">
        <v>582</v>
      </c>
      <c r="B167" s="343" t="s">
        <v>1652</v>
      </c>
      <c r="C167" s="333">
        <v>2.0</v>
      </c>
      <c r="D167" s="333" t="s">
        <v>311</v>
      </c>
      <c r="E167" s="344">
        <v>35000.0</v>
      </c>
      <c r="F167" s="219">
        <v>50000.0</v>
      </c>
      <c r="G167" s="220" t="s">
        <v>54</v>
      </c>
      <c r="H167" s="220">
        <v>1.0</v>
      </c>
      <c r="I167" s="337">
        <f t="shared" si="1"/>
        <v>0.7</v>
      </c>
      <c r="J167" s="220"/>
      <c r="K167" s="336" t="b">
        <f t="shared" si="2"/>
        <v>0</v>
      </c>
      <c r="L167" s="219" t="b">
        <f>IFERROR(VLOOKUP($A167,AlgoUi!$A$1:$M$1779,13,0),"0")</f>
        <v>0</v>
      </c>
      <c r="M167" s="219" t="b">
        <f>IFERROR(VLOOKUP($A167,AlgoUi!$A$1:$M$1779,12,0),"0")</f>
        <v>1</v>
      </c>
      <c r="N167" s="219" t="str">
        <f>IFERROR(VLOOKUP($A167,AlgoUi!$A$1:$M$1779,11,0),"0")</f>
        <v>TRUE</v>
      </c>
      <c r="O167" s="220" t="str">
        <f t="shared" si="3"/>
        <v>#REF!</v>
      </c>
      <c r="R167" s="42" t="str">
        <f>VLOOKUP($A167,Category!$A$1:$E$351,4,0)</f>
        <v>MS</v>
      </c>
      <c r="S167" s="42" t="str">
        <f>VLOOKUP($A167,Category!$A$1:$E$351,5,0)</f>
        <v>MSR</v>
      </c>
    </row>
    <row r="168">
      <c r="A168" s="83" t="s">
        <v>380</v>
      </c>
      <c r="B168" s="343" t="s">
        <v>1960</v>
      </c>
      <c r="C168" s="333">
        <v>2.0</v>
      </c>
      <c r="D168" s="333" t="s">
        <v>311</v>
      </c>
      <c r="E168" s="334">
        <v>28000.0</v>
      </c>
      <c r="F168" s="335">
        <v>40000.0</v>
      </c>
      <c r="G168" s="336" t="s">
        <v>83</v>
      </c>
      <c r="H168" s="220">
        <v>1.0</v>
      </c>
      <c r="I168" s="337">
        <f t="shared" si="1"/>
        <v>0.7</v>
      </c>
      <c r="J168" s="220"/>
      <c r="K168" s="336" t="b">
        <f t="shared" si="2"/>
        <v>0</v>
      </c>
      <c r="L168" s="219" t="b">
        <f>IFERROR(VLOOKUP($A168,AlgoUi!$A$1:$M$1779,13,0),"0")</f>
        <v>0</v>
      </c>
      <c r="M168" s="219" t="b">
        <f>IFERROR(VLOOKUP($A168,AlgoUi!$A$1:$M$1779,12,0),"0")</f>
        <v>1</v>
      </c>
      <c r="N168" s="219" t="str">
        <f>IFERROR(VLOOKUP($A168,AlgoUi!$A$1:$M$1779,11,0),"0")</f>
        <v>TRUE</v>
      </c>
      <c r="O168" s="220" t="str">
        <f t="shared" si="3"/>
        <v>#REF!</v>
      </c>
      <c r="Q168" s="89" t="s">
        <v>3861</v>
      </c>
      <c r="R168" s="42" t="str">
        <f>VLOOKUP($A168,Category!$A$1:$E$351,4,0)</f>
        <v>#N/A</v>
      </c>
      <c r="S168" s="42" t="str">
        <f>VLOOKUP($A168,Category!$A$1:$E$351,5,0)</f>
        <v>#N/A</v>
      </c>
    </row>
    <row r="169">
      <c r="A169" s="83" t="s">
        <v>1375</v>
      </c>
      <c r="B169" s="343" t="s">
        <v>1376</v>
      </c>
      <c r="C169" s="333">
        <v>2.0</v>
      </c>
      <c r="D169" s="333" t="s">
        <v>311</v>
      </c>
      <c r="E169" s="344">
        <v>28000.0</v>
      </c>
      <c r="F169" s="219">
        <v>40000.0</v>
      </c>
      <c r="G169" s="220" t="s">
        <v>54</v>
      </c>
      <c r="H169" s="220">
        <v>1.0</v>
      </c>
      <c r="I169" s="337">
        <f t="shared" si="1"/>
        <v>0.7</v>
      </c>
      <c r="J169" s="220"/>
      <c r="K169" s="336" t="b">
        <f t="shared" si="2"/>
        <v>0</v>
      </c>
      <c r="L169" s="219" t="b">
        <f>IFERROR(VLOOKUP($A169,AlgoUi!$A$1:$M$1779,13,0),"0")</f>
        <v>0</v>
      </c>
      <c r="M169" s="219" t="b">
        <f>IFERROR(VLOOKUP($A169,AlgoUi!$A$1:$M$1779,12,0),"0")</f>
        <v>0</v>
      </c>
      <c r="N169" s="219" t="str">
        <f>IFERROR(VLOOKUP($A169,AlgoUi!$A$1:$M$1779,11,0),"0")</f>
        <v>TRUE</v>
      </c>
      <c r="O169" s="220" t="str">
        <f t="shared" si="3"/>
        <v>#REF!</v>
      </c>
      <c r="R169" s="42" t="str">
        <f>VLOOKUP($A169,Category!$A$1:$E$351,4,0)</f>
        <v>MS</v>
      </c>
      <c r="S169" s="42" t="str">
        <f>VLOOKUP($A169,Category!$A$1:$E$351,5,0)</f>
        <v>MSP</v>
      </c>
    </row>
    <row r="170">
      <c r="A170" s="83" t="s">
        <v>1397</v>
      </c>
      <c r="B170" s="343" t="s">
        <v>1398</v>
      </c>
      <c r="C170" s="333">
        <v>2.0</v>
      </c>
      <c r="D170" s="333" t="s">
        <v>311</v>
      </c>
      <c r="E170" s="344">
        <v>28000.0</v>
      </c>
      <c r="F170" s="219">
        <v>40000.0</v>
      </c>
      <c r="G170" s="220" t="s">
        <v>54</v>
      </c>
      <c r="H170" s="220">
        <v>1.0</v>
      </c>
      <c r="I170" s="337">
        <f t="shared" si="1"/>
        <v>0.7</v>
      </c>
      <c r="J170" s="220"/>
      <c r="K170" s="336" t="b">
        <f t="shared" si="2"/>
        <v>0</v>
      </c>
      <c r="L170" s="219" t="b">
        <f>IFERROR(VLOOKUP($A170,AlgoUi!$A$1:$M$1779,13,0),"0")</f>
        <v>0</v>
      </c>
      <c r="M170" s="219" t="b">
        <f>IFERROR(VLOOKUP($A170,AlgoUi!$A$1:$M$1779,12,0),"0")</f>
        <v>0</v>
      </c>
      <c r="N170" s="219" t="str">
        <f>IFERROR(VLOOKUP($A170,AlgoUi!$A$1:$M$1779,11,0),"0")</f>
        <v>TRUE</v>
      </c>
      <c r="O170" s="220" t="str">
        <f t="shared" si="3"/>
        <v>#REF!</v>
      </c>
      <c r="R170" s="42" t="str">
        <f>VLOOKUP($A170,Category!$A$1:$E$351,4,0)</f>
        <v>MS</v>
      </c>
      <c r="S170" s="42" t="str">
        <f>VLOOKUP($A170,Category!$A$1:$E$351,5,0)</f>
        <v>MSP</v>
      </c>
    </row>
    <row r="171">
      <c r="A171" s="83" t="s">
        <v>410</v>
      </c>
      <c r="B171" s="343" t="s">
        <v>1278</v>
      </c>
      <c r="C171" s="333">
        <v>1.0</v>
      </c>
      <c r="D171" s="333" t="s">
        <v>311</v>
      </c>
      <c r="E171" s="334">
        <v>64000.0</v>
      </c>
      <c r="F171" s="335">
        <v>80000.0</v>
      </c>
      <c r="G171" s="336" t="s">
        <v>325</v>
      </c>
      <c r="H171" s="220">
        <v>7.0</v>
      </c>
      <c r="I171" s="337">
        <f t="shared" si="1"/>
        <v>0.8</v>
      </c>
      <c r="J171" s="220"/>
      <c r="K171" s="336" t="b">
        <f t="shared" si="2"/>
        <v>0</v>
      </c>
      <c r="L171" s="219" t="b">
        <f>IFERROR(VLOOKUP($A171,AlgoUi!$A$1:$M$1779,13,0),"0")</f>
        <v>0</v>
      </c>
      <c r="M171" s="219" t="b">
        <f>IFERROR(VLOOKUP($A171,AlgoUi!$A$1:$M$1779,12,0),"0")</f>
        <v>1</v>
      </c>
      <c r="N171" s="219" t="str">
        <f>IFERROR(VLOOKUP($A171,AlgoUi!$A$1:$M$1779,11,0),"0")</f>
        <v>TRUE</v>
      </c>
      <c r="O171" s="220" t="str">
        <f t="shared" si="3"/>
        <v>#REF!</v>
      </c>
      <c r="Q171" s="89" t="s">
        <v>3861</v>
      </c>
      <c r="R171" s="42" t="str">
        <f>VLOOKUP($A171,Category!$A$1:$E$351,4,0)</f>
        <v>CC</v>
      </c>
      <c r="S171" s="42" t="str">
        <f>VLOOKUP($A171,Category!$A$1:$E$351,5,0)</f>
        <v>CCG</v>
      </c>
    </row>
    <row r="172">
      <c r="A172" s="83" t="s">
        <v>1419</v>
      </c>
      <c r="B172" s="343" t="s">
        <v>1420</v>
      </c>
      <c r="C172" s="333">
        <v>2.0</v>
      </c>
      <c r="D172" s="333" t="s">
        <v>311</v>
      </c>
      <c r="E172" s="344">
        <v>35000.0</v>
      </c>
      <c r="F172" s="219">
        <v>50000.0</v>
      </c>
      <c r="G172" s="220" t="s">
        <v>327</v>
      </c>
      <c r="H172" s="220">
        <v>1.0</v>
      </c>
      <c r="I172" s="337">
        <f t="shared" si="1"/>
        <v>0.7</v>
      </c>
      <c r="J172" s="220"/>
      <c r="K172" s="336" t="b">
        <f t="shared" si="2"/>
        <v>0</v>
      </c>
      <c r="L172" s="219" t="b">
        <f>IFERROR(VLOOKUP($A172,AlgoUi!$A$1:$M$1779,13,0),"0")</f>
        <v>0</v>
      </c>
      <c r="M172" s="219" t="b">
        <f>IFERROR(VLOOKUP($A172,AlgoUi!$A$1:$M$1779,12,0),"0")</f>
        <v>0</v>
      </c>
      <c r="N172" s="219" t="str">
        <f>IFERROR(VLOOKUP($A172,AlgoUi!$A$1:$M$1779,11,0),"0")</f>
        <v>TRUE</v>
      </c>
      <c r="O172" s="220" t="str">
        <f t="shared" si="3"/>
        <v>#REF!</v>
      </c>
      <c r="R172" s="42" t="str">
        <f>VLOOKUP($A172,Category!$A$1:$E$351,4,0)</f>
        <v>MS</v>
      </c>
      <c r="S172" s="42" t="str">
        <f>VLOOKUP($A172,Category!$A$1:$E$351,5,0)</f>
        <v>MSP</v>
      </c>
    </row>
    <row r="173">
      <c r="A173" s="83" t="s">
        <v>428</v>
      </c>
      <c r="B173" s="343" t="s">
        <v>1280</v>
      </c>
      <c r="C173" s="333">
        <v>1.0</v>
      </c>
      <c r="D173" s="333" t="s">
        <v>311</v>
      </c>
      <c r="E173" s="334">
        <v>48000.0</v>
      </c>
      <c r="F173" s="335">
        <v>60000.0</v>
      </c>
      <c r="G173" s="336" t="s">
        <v>325</v>
      </c>
      <c r="H173" s="220">
        <v>7.0</v>
      </c>
      <c r="I173" s="337">
        <f t="shared" si="1"/>
        <v>0.8</v>
      </c>
      <c r="J173" s="220"/>
      <c r="K173" s="336" t="b">
        <f t="shared" si="2"/>
        <v>0</v>
      </c>
      <c r="L173" s="219" t="b">
        <f>IFERROR(VLOOKUP($A173,AlgoUi!$A$1:$M$1779,13,0),"0")</f>
        <v>0</v>
      </c>
      <c r="M173" s="219" t="b">
        <f>IFERROR(VLOOKUP($A173,AlgoUi!$A$1:$M$1779,12,0),"0")</f>
        <v>1</v>
      </c>
      <c r="N173" s="219" t="str">
        <f>IFERROR(VLOOKUP($A173,AlgoUi!$A$1:$M$1779,11,0),"0")</f>
        <v>TRUE</v>
      </c>
      <c r="O173" s="220" t="str">
        <f t="shared" si="3"/>
        <v>#REF!</v>
      </c>
      <c r="Q173" s="89" t="s">
        <v>3861</v>
      </c>
      <c r="R173" s="42" t="str">
        <f>VLOOKUP($A173,Category!$A$1:$E$351,4,0)</f>
        <v>CC</v>
      </c>
      <c r="S173" s="42" t="str">
        <f>VLOOKUP($A173,Category!$A$1:$E$351,5,0)</f>
        <v>CCG</v>
      </c>
    </row>
    <row r="174">
      <c r="A174" s="83" t="s">
        <v>452</v>
      </c>
      <c r="B174" s="343" t="s">
        <v>1257</v>
      </c>
      <c r="C174" s="333">
        <v>1.0</v>
      </c>
      <c r="D174" s="333" t="s">
        <v>311</v>
      </c>
      <c r="E174" s="344">
        <v>48000.0</v>
      </c>
      <c r="F174" s="219">
        <v>60000.0</v>
      </c>
      <c r="G174" s="336" t="s">
        <v>325</v>
      </c>
      <c r="H174" s="220">
        <v>7.0</v>
      </c>
      <c r="I174" s="337">
        <f t="shared" si="1"/>
        <v>0.8</v>
      </c>
      <c r="J174" s="220"/>
      <c r="K174" s="336" t="b">
        <f t="shared" si="2"/>
        <v>0</v>
      </c>
      <c r="L174" s="219" t="b">
        <f>IFERROR(VLOOKUP($A174,AlgoUi!$A$1:$M$1779,13,0),"0")</f>
        <v>0</v>
      </c>
      <c r="M174" s="219" t="b">
        <f>IFERROR(VLOOKUP($A174,AlgoUi!$A$1:$M$1779,12,0),"0")</f>
        <v>1</v>
      </c>
      <c r="N174" s="219" t="str">
        <f>IFERROR(VLOOKUP($A174,AlgoUi!$A$1:$M$1779,11,0),"0")</f>
        <v>TRUE</v>
      </c>
      <c r="O174" s="220" t="str">
        <f t="shared" si="3"/>
        <v>#REF!</v>
      </c>
      <c r="Q174" s="89" t="s">
        <v>3861</v>
      </c>
      <c r="R174" s="42" t="str">
        <f>VLOOKUP($A174,Category!$A$1:$E$351,4,0)</f>
        <v>CC</v>
      </c>
      <c r="S174" s="42" t="str">
        <f>VLOOKUP($A174,Category!$A$1:$E$351,5,0)</f>
        <v>CCG</v>
      </c>
    </row>
    <row r="175">
      <c r="A175" s="83" t="s">
        <v>1241</v>
      </c>
      <c r="B175" s="343" t="s">
        <v>1242</v>
      </c>
      <c r="C175" s="333">
        <v>1.0</v>
      </c>
      <c r="D175" s="333" t="s">
        <v>311</v>
      </c>
      <c r="E175" s="344">
        <v>40000.0</v>
      </c>
      <c r="F175" s="219">
        <v>50000.0</v>
      </c>
      <c r="G175" s="336" t="s">
        <v>325</v>
      </c>
      <c r="H175" s="220">
        <v>7.0</v>
      </c>
      <c r="I175" s="337">
        <f t="shared" si="1"/>
        <v>0.8</v>
      </c>
      <c r="J175" s="220"/>
      <c r="K175" s="336" t="b">
        <f t="shared" si="2"/>
        <v>0</v>
      </c>
      <c r="L175" s="219" t="b">
        <f>IFERROR(VLOOKUP($A175,AlgoUi!$A$1:$M$1779,13,0),"0")</f>
        <v>0</v>
      </c>
      <c r="M175" s="219" t="b">
        <f>IFERROR(VLOOKUP($A175,AlgoUi!$A$1:$M$1779,12,0),"0")</f>
        <v>0</v>
      </c>
      <c r="N175" s="219" t="str">
        <f>IFERROR(VLOOKUP($A175,AlgoUi!$A$1:$M$1779,11,0),"0")</f>
        <v>TRUE</v>
      </c>
      <c r="O175" s="220" t="str">
        <f t="shared" si="3"/>
        <v>#REF!</v>
      </c>
      <c r="Q175" s="89" t="s">
        <v>3861</v>
      </c>
      <c r="R175" s="42" t="str">
        <f>VLOOKUP($A175,Category!$A$1:$E$351,4,0)</f>
        <v>CC</v>
      </c>
      <c r="S175" s="42" t="str">
        <f>VLOOKUP($A175,Category!$A$1:$E$351,5,0)</f>
        <v>CCG</v>
      </c>
    </row>
    <row r="176">
      <c r="A176" s="83" t="s">
        <v>546</v>
      </c>
      <c r="B176" s="343" t="s">
        <v>1461</v>
      </c>
      <c r="C176" s="333">
        <v>2.0</v>
      </c>
      <c r="D176" s="333" t="s">
        <v>311</v>
      </c>
      <c r="E176" s="344">
        <v>48000.0</v>
      </c>
      <c r="F176" s="219">
        <v>60000.0</v>
      </c>
      <c r="G176" s="220" t="s">
        <v>329</v>
      </c>
      <c r="H176" s="220">
        <v>7.0</v>
      </c>
      <c r="I176" s="337">
        <f t="shared" si="1"/>
        <v>0.8</v>
      </c>
      <c r="J176" s="220"/>
      <c r="K176" s="336" t="b">
        <f t="shared" si="2"/>
        <v>0</v>
      </c>
      <c r="L176" s="219" t="b">
        <f>IFERROR(VLOOKUP($A176,AlgoUi!$A$1:$M$1779,13,0),"0")</f>
        <v>0</v>
      </c>
      <c r="M176" s="219" t="b">
        <f>IFERROR(VLOOKUP($A176,AlgoUi!$A$1:$M$1779,12,0),"0")</f>
        <v>1</v>
      </c>
      <c r="N176" s="219" t="str">
        <f>IFERROR(VLOOKUP($A176,AlgoUi!$A$1:$M$1779,11,0),"0")</f>
        <v>TRUE</v>
      </c>
      <c r="O176" s="220" t="str">
        <f t="shared" si="3"/>
        <v>#REF!</v>
      </c>
      <c r="R176" s="42" t="str">
        <f>VLOOKUP($A176,Category!$A$1:$E$351,4,0)</f>
        <v>MS</v>
      </c>
      <c r="S176" s="42" t="str">
        <f>VLOOKUP($A176,Category!$A$1:$E$351,5,0)</f>
        <v>MSR</v>
      </c>
    </row>
    <row r="177">
      <c r="A177" s="83" t="s">
        <v>522</v>
      </c>
      <c r="B177" s="343" t="s">
        <v>1916</v>
      </c>
      <c r="C177" s="333">
        <v>2.0</v>
      </c>
      <c r="D177" s="333" t="s">
        <v>311</v>
      </c>
      <c r="E177" s="344">
        <v>40000.0</v>
      </c>
      <c r="F177" s="219">
        <v>50000.0</v>
      </c>
      <c r="G177" s="220" t="s">
        <v>329</v>
      </c>
      <c r="H177" s="220">
        <v>7.0</v>
      </c>
      <c r="I177" s="337">
        <f t="shared" si="1"/>
        <v>0.8</v>
      </c>
      <c r="J177" s="220"/>
      <c r="K177" s="336" t="b">
        <f t="shared" si="2"/>
        <v>0</v>
      </c>
      <c r="L177" s="219" t="b">
        <f>IFERROR(VLOOKUP($A177,AlgoUi!$A$1:$M$1779,13,0),"0")</f>
        <v>0</v>
      </c>
      <c r="M177" s="219" t="b">
        <f>IFERROR(VLOOKUP($A177,AlgoUi!$A$1:$M$1779,12,0),"0")</f>
        <v>1</v>
      </c>
      <c r="N177" s="219" t="str">
        <f>IFERROR(VLOOKUP($A177,AlgoUi!$A$1:$M$1779,11,0),"0")</f>
        <v>TRUE</v>
      </c>
      <c r="O177" s="220" t="str">
        <f t="shared" si="3"/>
        <v>#REF!</v>
      </c>
      <c r="R177" s="42" t="str">
        <f>VLOOKUP($A177,Category!$A$1:$E$351,4,0)</f>
        <v>#N/A</v>
      </c>
      <c r="S177" s="42" t="str">
        <f>VLOOKUP($A177,Category!$A$1:$E$351,5,0)</f>
        <v>#N/A</v>
      </c>
    </row>
    <row r="178">
      <c r="A178" s="83" t="s">
        <v>377</v>
      </c>
      <c r="B178" s="343" t="s">
        <v>1244</v>
      </c>
      <c r="C178" s="333">
        <v>1.0</v>
      </c>
      <c r="D178" s="333" t="s">
        <v>311</v>
      </c>
      <c r="E178" s="334">
        <v>48000.0</v>
      </c>
      <c r="F178" s="335">
        <v>60000.0</v>
      </c>
      <c r="G178" s="336" t="s">
        <v>325</v>
      </c>
      <c r="H178" s="220">
        <v>7.0</v>
      </c>
      <c r="I178" s="337">
        <f t="shared" si="1"/>
        <v>0.8</v>
      </c>
      <c r="J178" s="220"/>
      <c r="K178" s="336" t="b">
        <f t="shared" si="2"/>
        <v>0</v>
      </c>
      <c r="L178" s="219" t="b">
        <f>IFERROR(VLOOKUP($A178,AlgoUi!$A$1:$M$1779,13,0),"0")</f>
        <v>0</v>
      </c>
      <c r="M178" s="219" t="b">
        <f>IFERROR(VLOOKUP($A178,AlgoUi!$A$1:$M$1779,12,0),"0")</f>
        <v>1</v>
      </c>
      <c r="N178" s="219" t="str">
        <f>IFERROR(VLOOKUP($A178,AlgoUi!$A$1:$M$1779,11,0),"0")</f>
        <v>TRUE</v>
      </c>
      <c r="O178" s="220" t="str">
        <f t="shared" si="3"/>
        <v>#REF!</v>
      </c>
      <c r="Q178" s="89" t="s">
        <v>3861</v>
      </c>
      <c r="R178" s="42" t="str">
        <f>VLOOKUP($A178,Category!$A$1:$E$351,4,0)</f>
        <v>CC</v>
      </c>
      <c r="S178" s="42" t="str">
        <f>VLOOKUP($A178,Category!$A$1:$E$351,5,0)</f>
        <v>CCG</v>
      </c>
    </row>
    <row r="179">
      <c r="A179" s="83" t="s">
        <v>1234</v>
      </c>
      <c r="B179" s="343" t="s">
        <v>1235</v>
      </c>
      <c r="C179" s="333">
        <v>1.0</v>
      </c>
      <c r="D179" s="333" t="s">
        <v>311</v>
      </c>
      <c r="E179" s="344">
        <v>40000.0</v>
      </c>
      <c r="F179" s="219">
        <v>50000.0</v>
      </c>
      <c r="G179" s="336" t="s">
        <v>325</v>
      </c>
      <c r="H179" s="220">
        <v>7.0</v>
      </c>
      <c r="I179" s="337">
        <f t="shared" si="1"/>
        <v>0.8</v>
      </c>
      <c r="J179" s="220"/>
      <c r="K179" s="336" t="b">
        <f t="shared" si="2"/>
        <v>0</v>
      </c>
      <c r="L179" s="219" t="b">
        <f>IFERROR(VLOOKUP($A179,AlgoUi!$A$1:$M$1779,13,0),"0")</f>
        <v>0</v>
      </c>
      <c r="M179" s="219" t="b">
        <f>IFERROR(VLOOKUP($A179,AlgoUi!$A$1:$M$1779,12,0),"0")</f>
        <v>0</v>
      </c>
      <c r="N179" s="219" t="str">
        <f>IFERROR(VLOOKUP($A179,AlgoUi!$A$1:$M$1779,11,0),"0")</f>
        <v>TRUE</v>
      </c>
      <c r="O179" s="220" t="str">
        <f t="shared" si="3"/>
        <v>#REF!</v>
      </c>
      <c r="Q179" s="89" t="s">
        <v>3861</v>
      </c>
      <c r="R179" s="42" t="str">
        <f>VLOOKUP($A179,Category!$A$1:$E$351,4,0)</f>
        <v>CC</v>
      </c>
      <c r="S179" s="42" t="str">
        <f>VLOOKUP($A179,Category!$A$1:$E$351,5,0)</f>
        <v>CCG</v>
      </c>
    </row>
    <row r="180">
      <c r="A180" s="83" t="s">
        <v>1955</v>
      </c>
      <c r="B180" s="343" t="s">
        <v>1956</v>
      </c>
      <c r="C180" s="333">
        <v>2.0</v>
      </c>
      <c r="D180" s="333" t="s">
        <v>311</v>
      </c>
      <c r="E180" s="334">
        <v>40000.0</v>
      </c>
      <c r="F180" s="335">
        <v>50000.0</v>
      </c>
      <c r="G180" s="220" t="s">
        <v>325</v>
      </c>
      <c r="H180" s="220">
        <v>7.0</v>
      </c>
      <c r="I180" s="337">
        <f t="shared" si="1"/>
        <v>0.8</v>
      </c>
      <c r="J180" s="220"/>
      <c r="K180" s="336" t="b">
        <f t="shared" si="2"/>
        <v>0</v>
      </c>
      <c r="L180" s="219" t="b">
        <f>IFERROR(VLOOKUP($A180,AlgoUi!$A$1:$M$1779,13,0),"0")</f>
        <v>0</v>
      </c>
      <c r="M180" s="219" t="b">
        <f>IFERROR(VLOOKUP($A180,AlgoUi!$A$1:$M$1779,12,0),"0")</f>
        <v>1</v>
      </c>
      <c r="N180" s="219" t="str">
        <f>IFERROR(VLOOKUP($A180,AlgoUi!$A$1:$M$1779,11,0),"0")</f>
        <v>TRUE</v>
      </c>
      <c r="O180" s="220" t="str">
        <f t="shared" si="3"/>
        <v>#REF!</v>
      </c>
      <c r="Q180" s="89" t="s">
        <v>3861</v>
      </c>
      <c r="R180" s="42" t="str">
        <f>VLOOKUP($A180,Category!$A$1:$E$351,4,0)</f>
        <v>#N/A</v>
      </c>
      <c r="S180" s="42" t="str">
        <f>VLOOKUP($A180,Category!$A$1:$E$351,5,0)</f>
        <v>#N/A</v>
      </c>
    </row>
    <row r="181">
      <c r="A181" s="83" t="s">
        <v>1140</v>
      </c>
      <c r="B181" s="343" t="s">
        <v>1505</v>
      </c>
      <c r="C181" s="333">
        <v>2.0</v>
      </c>
      <c r="D181" s="333" t="s">
        <v>232</v>
      </c>
      <c r="E181" s="334">
        <v>48000.0</v>
      </c>
      <c r="F181" s="335">
        <v>60000.0</v>
      </c>
      <c r="G181" s="220" t="s">
        <v>329</v>
      </c>
      <c r="H181" s="220">
        <v>7.0</v>
      </c>
      <c r="I181" s="337">
        <f t="shared" si="1"/>
        <v>0.8</v>
      </c>
      <c r="J181" s="220"/>
      <c r="K181" s="336" t="b">
        <f t="shared" si="2"/>
        <v>0</v>
      </c>
      <c r="L181" s="219" t="b">
        <f>IFERROR(VLOOKUP($A181,AlgoUi!$A$1:$M$1779,13,0),"0")</f>
        <v>1</v>
      </c>
      <c r="M181" s="219" t="b">
        <f>IFERROR(VLOOKUP($A181,AlgoUi!$A$1:$M$1779,12,0),"0")</f>
        <v>1</v>
      </c>
      <c r="N181" s="219" t="str">
        <f>IFERROR(VLOOKUP($A181,AlgoUi!$A$1:$M$1779,11,0),"0")</f>
        <v>TRUE</v>
      </c>
      <c r="O181" s="220" t="str">
        <f t="shared" si="3"/>
        <v>#REF!</v>
      </c>
      <c r="R181" s="42" t="str">
        <f>VLOOKUP($A181,Category!$A$1:$E$351,4,0)</f>
        <v>MS</v>
      </c>
      <c r="S181" s="42" t="str">
        <f>VLOOKUP($A181,Category!$A$1:$E$351,5,0)</f>
        <v>MSR</v>
      </c>
    </row>
    <row r="182">
      <c r="A182" s="83" t="s">
        <v>1112</v>
      </c>
      <c r="B182" s="343" t="s">
        <v>1502</v>
      </c>
      <c r="C182" s="333">
        <v>2.0</v>
      </c>
      <c r="D182" s="333" t="s">
        <v>232</v>
      </c>
      <c r="E182" s="344">
        <v>48000.0</v>
      </c>
      <c r="F182" s="219">
        <v>60000.0</v>
      </c>
      <c r="G182" s="220" t="s">
        <v>329</v>
      </c>
      <c r="H182" s="220">
        <v>7.0</v>
      </c>
      <c r="I182" s="337">
        <f t="shared" si="1"/>
        <v>0.8</v>
      </c>
      <c r="J182" s="220"/>
      <c r="K182" s="336" t="b">
        <f t="shared" si="2"/>
        <v>0</v>
      </c>
      <c r="L182" s="219" t="b">
        <f>IFERROR(VLOOKUP($A182,AlgoUi!$A$1:$M$1779,13,0),"0")</f>
        <v>0</v>
      </c>
      <c r="M182" s="219" t="b">
        <f>IFERROR(VLOOKUP($A182,AlgoUi!$A$1:$M$1779,12,0),"0")</f>
        <v>1</v>
      </c>
      <c r="N182" s="219" t="str">
        <f>IFERROR(VLOOKUP($A182,AlgoUi!$A$1:$M$1779,11,0),"0")</f>
        <v>TRUE</v>
      </c>
      <c r="O182" s="220" t="str">
        <f t="shared" si="3"/>
        <v>#REF!</v>
      </c>
      <c r="R182" s="42" t="str">
        <f>VLOOKUP($A182,Category!$A$1:$E$351,4,0)</f>
        <v>MS</v>
      </c>
      <c r="S182" s="42" t="str">
        <f>VLOOKUP($A182,Category!$A$1:$E$351,5,0)</f>
        <v>MSR</v>
      </c>
    </row>
    <row r="183">
      <c r="A183" s="83" t="s">
        <v>225</v>
      </c>
      <c r="B183" s="89" t="s">
        <v>1250</v>
      </c>
      <c r="C183" s="333"/>
      <c r="D183" s="333" t="s">
        <v>1251</v>
      </c>
      <c r="E183" s="334">
        <v>70000.0</v>
      </c>
      <c r="F183" s="335">
        <v>100000.0</v>
      </c>
      <c r="G183" s="336" t="s">
        <v>83</v>
      </c>
      <c r="H183" s="220">
        <v>1.0</v>
      </c>
      <c r="I183" s="337">
        <f t="shared" si="1"/>
        <v>0.7</v>
      </c>
      <c r="J183" s="220"/>
      <c r="K183" s="336" t="b">
        <f t="shared" si="2"/>
        <v>0</v>
      </c>
      <c r="L183" s="219" t="b">
        <f>IFERROR(VLOOKUP($A183,AlgoUi!$A$1:$M$1779,13,0),"0")</f>
        <v>0</v>
      </c>
      <c r="M183" s="219" t="b">
        <f>IFERROR(VLOOKUP($A183,AlgoUi!$A$1:$M$1779,12,0),"0")</f>
        <v>1</v>
      </c>
      <c r="N183" s="219" t="str">
        <f>IFERROR(VLOOKUP($A183,AlgoUi!$A$1:$M$1779,11,0),"0")</f>
        <v>TRUE</v>
      </c>
      <c r="O183" s="220" t="str">
        <f t="shared" si="3"/>
        <v>#REF!</v>
      </c>
      <c r="Q183" s="89" t="s">
        <v>3861</v>
      </c>
      <c r="R183" s="42" t="str">
        <f>VLOOKUP($A183,Category!$A$1:$E$351,4,0)</f>
        <v>CC</v>
      </c>
      <c r="S183" s="42" t="str">
        <f>VLOOKUP($A183,Category!$A$1:$E$351,5,0)</f>
        <v>CCV</v>
      </c>
    </row>
    <row r="184">
      <c r="A184" s="83" t="s">
        <v>418</v>
      </c>
      <c r="B184" s="343" t="s">
        <v>1254</v>
      </c>
      <c r="C184" s="333">
        <v>1.0</v>
      </c>
      <c r="D184" s="333" t="s">
        <v>311</v>
      </c>
      <c r="E184" s="344">
        <v>32000.0</v>
      </c>
      <c r="F184" s="219">
        <v>40000.0</v>
      </c>
      <c r="G184" s="336" t="s">
        <v>325</v>
      </c>
      <c r="H184" s="220">
        <v>7.0</v>
      </c>
      <c r="I184" s="337">
        <f t="shared" si="1"/>
        <v>0.8</v>
      </c>
      <c r="J184" s="220"/>
      <c r="K184" s="336" t="b">
        <f t="shared" si="2"/>
        <v>0</v>
      </c>
      <c r="L184" s="219" t="b">
        <f>IFERROR(VLOOKUP($A184,AlgoUi!$A$1:$M$1779,13,0),"0")</f>
        <v>0</v>
      </c>
      <c r="M184" s="219" t="b">
        <f>IFERROR(VLOOKUP($A184,AlgoUi!$A$1:$M$1779,12,0),"0")</f>
        <v>1</v>
      </c>
      <c r="N184" s="219" t="str">
        <f>IFERROR(VLOOKUP($A184,AlgoUi!$A$1:$M$1779,11,0),"0")</f>
        <v>TRUE</v>
      </c>
      <c r="O184" s="220" t="str">
        <f t="shared" si="3"/>
        <v>#REF!</v>
      </c>
      <c r="Q184" s="89" t="s">
        <v>3861</v>
      </c>
      <c r="R184" s="42" t="str">
        <f>VLOOKUP($A184,Category!$A$1:$E$351,4,0)</f>
        <v>CC</v>
      </c>
      <c r="S184" s="42" t="str">
        <f>VLOOKUP($A184,Category!$A$1:$E$351,5,0)</f>
        <v>CCG</v>
      </c>
    </row>
    <row r="185">
      <c r="A185" s="83" t="s">
        <v>537</v>
      </c>
      <c r="B185" s="343" t="s">
        <v>1385</v>
      </c>
      <c r="C185" s="333">
        <v>2.0</v>
      </c>
      <c r="D185" s="333" t="s">
        <v>311</v>
      </c>
      <c r="E185" s="344">
        <v>28000.0</v>
      </c>
      <c r="F185" s="219">
        <v>40000.0</v>
      </c>
      <c r="G185" s="220" t="s">
        <v>54</v>
      </c>
      <c r="H185" s="220">
        <v>1.0</v>
      </c>
      <c r="I185" s="337">
        <f t="shared" si="1"/>
        <v>0.7</v>
      </c>
      <c r="J185" s="220"/>
      <c r="K185" s="336" t="b">
        <f t="shared" si="2"/>
        <v>0</v>
      </c>
      <c r="L185" s="219" t="b">
        <f>IFERROR(VLOOKUP($A185,AlgoUi!$A$1:$M$1779,13,0),"0")</f>
        <v>0</v>
      </c>
      <c r="M185" s="219" t="b">
        <f>IFERROR(VLOOKUP($A185,AlgoUi!$A$1:$M$1779,12,0),"0")</f>
        <v>0</v>
      </c>
      <c r="N185" s="219" t="str">
        <f>IFERROR(VLOOKUP($A185,AlgoUi!$A$1:$M$1779,11,0),"0")</f>
        <v>TRUE</v>
      </c>
      <c r="O185" s="220" t="str">
        <f t="shared" si="3"/>
        <v>#REF!</v>
      </c>
      <c r="R185" s="42" t="str">
        <f>VLOOKUP($A185,Category!$A$1:$E$351,4,0)</f>
        <v>MS</v>
      </c>
      <c r="S185" s="42" t="str">
        <f>VLOOKUP($A185,Category!$A$1:$E$351,5,0)</f>
        <v>MSP</v>
      </c>
    </row>
    <row r="186">
      <c r="A186" s="83" t="s">
        <v>815</v>
      </c>
      <c r="B186" s="343" t="s">
        <v>1291</v>
      </c>
      <c r="C186" s="333">
        <v>1.0</v>
      </c>
      <c r="D186" s="333" t="s">
        <v>311</v>
      </c>
      <c r="E186" s="334">
        <v>32000.0</v>
      </c>
      <c r="F186" s="335">
        <v>40000.0</v>
      </c>
      <c r="G186" s="336" t="s">
        <v>325</v>
      </c>
      <c r="H186" s="220">
        <v>7.0</v>
      </c>
      <c r="I186" s="337">
        <f t="shared" si="1"/>
        <v>0.8</v>
      </c>
      <c r="J186" s="220"/>
      <c r="K186" s="336" t="b">
        <f t="shared" si="2"/>
        <v>0</v>
      </c>
      <c r="L186" s="219" t="b">
        <f>IFERROR(VLOOKUP($A186,AlgoUi!$A$1:$M$1779,13,0),"0")</f>
        <v>0</v>
      </c>
      <c r="M186" s="219" t="b">
        <f>IFERROR(VLOOKUP($A186,AlgoUi!$A$1:$M$1779,12,0),"0")</f>
        <v>1</v>
      </c>
      <c r="N186" s="219" t="str">
        <f>IFERROR(VLOOKUP($A186,AlgoUi!$A$1:$M$1779,11,0),"0")</f>
        <v>TRUE</v>
      </c>
      <c r="O186" s="220" t="str">
        <f t="shared" si="3"/>
        <v>#REF!</v>
      </c>
      <c r="Q186" s="89" t="s">
        <v>3861</v>
      </c>
      <c r="R186" s="42" t="str">
        <f>VLOOKUP($A186,Category!$A$1:$E$351,4,0)</f>
        <v>CC</v>
      </c>
      <c r="S186" s="42" t="str">
        <f>VLOOKUP($A186,Category!$A$1:$E$351,5,0)</f>
        <v>CCG</v>
      </c>
    </row>
    <row r="187">
      <c r="A187" s="83" t="s">
        <v>344</v>
      </c>
      <c r="B187" s="353" t="s">
        <v>1237</v>
      </c>
      <c r="C187" s="333"/>
      <c r="D187" s="333" t="s">
        <v>311</v>
      </c>
      <c r="E187" s="334">
        <v>40000.0</v>
      </c>
      <c r="F187" s="335">
        <v>50000.0</v>
      </c>
      <c r="G187" s="336" t="s">
        <v>325</v>
      </c>
      <c r="H187" s="220">
        <v>7.0</v>
      </c>
      <c r="I187" s="337">
        <f t="shared" si="1"/>
        <v>0.8</v>
      </c>
      <c r="J187" s="42"/>
      <c r="K187" s="336" t="b">
        <f t="shared" si="2"/>
        <v>0</v>
      </c>
      <c r="L187" s="219" t="b">
        <f>IFERROR(VLOOKUP($A187,AlgoUi!$A$1:$M$1779,13,0),"0")</f>
        <v>0</v>
      </c>
      <c r="M187" s="219" t="b">
        <f>IFERROR(VLOOKUP($A187,AlgoUi!$A$1:$M$1779,12,0),"0")</f>
        <v>1</v>
      </c>
      <c r="N187" s="219" t="str">
        <f>IFERROR(VLOOKUP($A187,AlgoUi!$A$1:$M$1779,11,0),"0")</f>
        <v>TRUE</v>
      </c>
      <c r="O187" s="220" t="str">
        <f t="shared" si="3"/>
        <v>#REF!</v>
      </c>
      <c r="Q187" s="89" t="s">
        <v>3861</v>
      </c>
      <c r="R187" s="42" t="str">
        <f>VLOOKUP($A187,Category!$A$1:$E$351,4,0)</f>
        <v>CC</v>
      </c>
      <c r="S187" s="42" t="str">
        <f>VLOOKUP($A187,Category!$A$1:$E$351,5,0)</f>
        <v>CCG</v>
      </c>
    </row>
    <row r="188">
      <c r="A188" s="83" t="s">
        <v>400</v>
      </c>
      <c r="B188" s="343" t="s">
        <v>1247</v>
      </c>
      <c r="C188" s="333">
        <v>1.0</v>
      </c>
      <c r="D188" s="333" t="s">
        <v>311</v>
      </c>
      <c r="E188" s="344">
        <v>24000.0</v>
      </c>
      <c r="F188" s="219">
        <v>30000.0</v>
      </c>
      <c r="G188" s="336" t="s">
        <v>325</v>
      </c>
      <c r="H188" s="220">
        <v>7.0</v>
      </c>
      <c r="I188" s="337">
        <f t="shared" si="1"/>
        <v>0.8</v>
      </c>
      <c r="J188" s="220"/>
      <c r="K188" s="336" t="b">
        <f t="shared" si="2"/>
        <v>0</v>
      </c>
      <c r="L188" s="219" t="b">
        <f>IFERROR(VLOOKUP($A188,AlgoUi!$A$1:$M$1779,13,0),"0")</f>
        <v>0</v>
      </c>
      <c r="M188" s="219" t="b">
        <f>IFERROR(VLOOKUP($A188,AlgoUi!$A$1:$M$1779,12,0),"0")</f>
        <v>1</v>
      </c>
      <c r="N188" s="219" t="str">
        <f>IFERROR(VLOOKUP($A188,AlgoUi!$A$1:$M$1779,11,0),"0")</f>
        <v>TRUE</v>
      </c>
      <c r="O188" s="220" t="str">
        <f t="shared" si="3"/>
        <v>#REF!</v>
      </c>
      <c r="Q188" s="89" t="s">
        <v>3861</v>
      </c>
      <c r="R188" s="42" t="str">
        <f>VLOOKUP($A188,Category!$A$1:$E$351,4,0)</f>
        <v>CC</v>
      </c>
      <c r="S188" s="42" t="str">
        <f>VLOOKUP($A188,Category!$A$1:$E$351,5,0)</f>
        <v>CCG</v>
      </c>
    </row>
    <row r="189">
      <c r="A189" s="83" t="s">
        <v>334</v>
      </c>
      <c r="B189" s="343" t="s">
        <v>1236</v>
      </c>
      <c r="C189" s="333">
        <v>1.0</v>
      </c>
      <c r="D189" s="333" t="s">
        <v>311</v>
      </c>
      <c r="E189" s="334">
        <v>24000.0</v>
      </c>
      <c r="F189" s="335">
        <v>30000.0</v>
      </c>
      <c r="G189" s="336" t="s">
        <v>325</v>
      </c>
      <c r="H189" s="220">
        <v>7.0</v>
      </c>
      <c r="I189" s="337">
        <f t="shared" si="1"/>
        <v>0.8</v>
      </c>
      <c r="J189" s="220"/>
      <c r="K189" s="336" t="b">
        <f t="shared" si="2"/>
        <v>0</v>
      </c>
      <c r="L189" s="219" t="b">
        <f>IFERROR(VLOOKUP($A189,AlgoUi!$A$1:$M$1779,13,0),"0")</f>
        <v>0</v>
      </c>
      <c r="M189" s="219" t="b">
        <f>IFERROR(VLOOKUP($A189,AlgoUi!$A$1:$M$1779,12,0),"0")</f>
        <v>1</v>
      </c>
      <c r="N189" s="219" t="str">
        <f>IFERROR(VLOOKUP($A189,AlgoUi!$A$1:$M$1779,11,0),"0")</f>
        <v>TRUE</v>
      </c>
      <c r="O189" s="220" t="str">
        <f t="shared" si="3"/>
        <v>#REF!</v>
      </c>
      <c r="Q189" s="89" t="s">
        <v>3861</v>
      </c>
      <c r="R189" s="42" t="str">
        <f>VLOOKUP($A189,Category!$A$1:$E$351,4,0)</f>
        <v>CC</v>
      </c>
      <c r="S189" s="42" t="str">
        <f>VLOOKUP($A189,Category!$A$1:$E$351,5,0)</f>
        <v>CCG</v>
      </c>
    </row>
    <row r="190">
      <c r="A190" s="83" t="s">
        <v>1245</v>
      </c>
      <c r="B190" s="343" t="s">
        <v>1246</v>
      </c>
      <c r="C190" s="333">
        <v>1.0</v>
      </c>
      <c r="D190" s="333" t="s">
        <v>311</v>
      </c>
      <c r="E190" s="344">
        <v>24000.0</v>
      </c>
      <c r="F190" s="219">
        <v>30000.0</v>
      </c>
      <c r="G190" s="336" t="s">
        <v>325</v>
      </c>
      <c r="H190" s="220">
        <v>7.0</v>
      </c>
      <c r="I190" s="337">
        <f t="shared" si="1"/>
        <v>0.8</v>
      </c>
      <c r="J190" s="220"/>
      <c r="K190" s="336" t="b">
        <f t="shared" si="2"/>
        <v>0</v>
      </c>
      <c r="L190" s="219" t="b">
        <f>IFERROR(VLOOKUP($A190,AlgoUi!$A$1:$M$1779,13,0),"0")</f>
        <v>0</v>
      </c>
      <c r="M190" s="219" t="b">
        <f>IFERROR(VLOOKUP($A190,AlgoUi!$A$1:$M$1779,12,0),"0")</f>
        <v>1</v>
      </c>
      <c r="N190" s="219" t="str">
        <f>IFERROR(VLOOKUP($A190,AlgoUi!$A$1:$M$1779,11,0),"0")</f>
        <v>TRUE</v>
      </c>
      <c r="O190" s="220" t="str">
        <f t="shared" si="3"/>
        <v>#REF!</v>
      </c>
      <c r="Q190" s="89" t="s">
        <v>3861</v>
      </c>
      <c r="R190" s="42" t="str">
        <f>VLOOKUP($A190,Category!$A$1:$E$351,4,0)</f>
        <v>CC</v>
      </c>
      <c r="S190" s="42" t="str">
        <f>VLOOKUP($A190,Category!$A$1:$E$351,5,0)</f>
        <v>CCG</v>
      </c>
    </row>
    <row r="191">
      <c r="A191" s="83" t="s">
        <v>810</v>
      </c>
      <c r="B191" s="343" t="s">
        <v>1252</v>
      </c>
      <c r="C191" s="333">
        <v>1.0</v>
      </c>
      <c r="D191" s="333" t="s">
        <v>311</v>
      </c>
      <c r="E191" s="344">
        <v>24000.0</v>
      </c>
      <c r="F191" s="219">
        <v>30000.0</v>
      </c>
      <c r="G191" s="336" t="s">
        <v>325</v>
      </c>
      <c r="H191" s="220">
        <v>7.0</v>
      </c>
      <c r="I191" s="337">
        <f t="shared" si="1"/>
        <v>0.8</v>
      </c>
      <c r="J191" s="220"/>
      <c r="K191" s="336" t="b">
        <f t="shared" si="2"/>
        <v>0</v>
      </c>
      <c r="L191" s="219" t="b">
        <f>IFERROR(VLOOKUP($A191,AlgoUi!$A$1:$M$1779,13,0),"0")</f>
        <v>0</v>
      </c>
      <c r="M191" s="219" t="b">
        <f>IFERROR(VLOOKUP($A191,AlgoUi!$A$1:$M$1779,12,0),"0")</f>
        <v>1</v>
      </c>
      <c r="N191" s="219" t="str">
        <f>IFERROR(VLOOKUP($A191,AlgoUi!$A$1:$M$1779,11,0),"0")</f>
        <v>TRUE</v>
      </c>
      <c r="O191" s="220" t="str">
        <f t="shared" si="3"/>
        <v>#REF!</v>
      </c>
      <c r="Q191" s="89" t="s">
        <v>3861</v>
      </c>
      <c r="R191" s="42" t="str">
        <f>VLOOKUP($A191,Category!$A$1:$E$351,4,0)</f>
        <v>CC</v>
      </c>
      <c r="S191" s="42" t="str">
        <f>VLOOKUP($A191,Category!$A$1:$E$351,5,0)</f>
        <v>CCG</v>
      </c>
    </row>
    <row r="192">
      <c r="A192" s="83" t="s">
        <v>1832</v>
      </c>
      <c r="B192" s="343" t="s">
        <v>1833</v>
      </c>
      <c r="C192" s="333">
        <v>2.0</v>
      </c>
      <c r="D192" s="333" t="s">
        <v>311</v>
      </c>
      <c r="E192" s="344">
        <v>24000.0</v>
      </c>
      <c r="F192" s="219">
        <v>30000.0</v>
      </c>
      <c r="G192" s="220" t="s">
        <v>329</v>
      </c>
      <c r="H192" s="220">
        <v>7.0</v>
      </c>
      <c r="I192" s="337">
        <f t="shared" si="1"/>
        <v>0.8</v>
      </c>
      <c r="J192" s="220"/>
      <c r="K192" s="336" t="b">
        <f t="shared" si="2"/>
        <v>0</v>
      </c>
      <c r="L192" s="219" t="b">
        <f>IFERROR(VLOOKUP($A192,AlgoUi!$A$1:$M$1779,13,0),"0")</f>
        <v>0</v>
      </c>
      <c r="M192" s="219" t="b">
        <f>IFERROR(VLOOKUP($A192,AlgoUi!$A$1:$M$1779,12,0),"0")</f>
        <v>1</v>
      </c>
      <c r="N192" s="219" t="str">
        <f>IFERROR(VLOOKUP($A192,AlgoUi!$A$1:$M$1779,11,0),"0")</f>
        <v>TRUE</v>
      </c>
      <c r="O192" s="220" t="str">
        <f t="shared" si="3"/>
        <v>#REF!</v>
      </c>
      <c r="R192" s="42" t="str">
        <f>VLOOKUP($A192,Category!$A$1:$E$351,4,0)</f>
        <v>MS</v>
      </c>
      <c r="S192" s="42" t="str">
        <f>VLOOKUP($A192,Category!$A$1:$E$351,5,0)</f>
        <v>MSR</v>
      </c>
    </row>
    <row r="193">
      <c r="A193" s="83" t="s">
        <v>433</v>
      </c>
      <c r="B193" s="162" t="s">
        <v>1563</v>
      </c>
      <c r="C193" s="42"/>
      <c r="D193" s="333" t="s">
        <v>232</v>
      </c>
      <c r="E193" s="334">
        <v>24000.0</v>
      </c>
      <c r="F193" s="335">
        <v>30000.0</v>
      </c>
      <c r="G193" s="336" t="s">
        <v>325</v>
      </c>
      <c r="H193" s="336">
        <v>7.0</v>
      </c>
      <c r="I193" s="337">
        <f t="shared" si="1"/>
        <v>0.8</v>
      </c>
      <c r="J193" s="220"/>
      <c r="K193" s="336" t="b">
        <f t="shared" si="2"/>
        <v>0</v>
      </c>
      <c r="L193" s="219" t="b">
        <f>IFERROR(VLOOKUP($A193,AlgoUi!$A$1:$M$1779,13,0),"0")</f>
        <v>0</v>
      </c>
      <c r="M193" s="219" t="b">
        <f>IFERROR(VLOOKUP($A193,AlgoUi!$A$1:$M$1779,12,0),"0")</f>
        <v>1</v>
      </c>
      <c r="N193" s="219" t="str">
        <f>IFERROR(VLOOKUP($A193,AlgoUi!$A$1:$M$1779,11,0),"0")</f>
        <v>TRUE</v>
      </c>
      <c r="O193" s="220" t="str">
        <f t="shared" si="3"/>
        <v>#REF!</v>
      </c>
      <c r="R193" s="42" t="str">
        <f>VLOOKUP($A193,Category!$A$1:$E$351,4,0)</f>
        <v>MS</v>
      </c>
      <c r="S193" s="42" t="str">
        <f>VLOOKUP($A193,Category!$A$1:$E$351,5,0)</f>
        <v>MSR</v>
      </c>
    </row>
    <row r="194">
      <c r="A194" s="83" t="s">
        <v>820</v>
      </c>
      <c r="B194" s="343" t="s">
        <v>1253</v>
      </c>
      <c r="C194" s="333">
        <v>1.0</v>
      </c>
      <c r="D194" s="333" t="s">
        <v>311</v>
      </c>
      <c r="E194" s="344">
        <v>16000.0</v>
      </c>
      <c r="F194" s="219">
        <v>20000.0</v>
      </c>
      <c r="G194" s="336" t="s">
        <v>325</v>
      </c>
      <c r="H194" s="220">
        <v>7.0</v>
      </c>
      <c r="I194" s="337">
        <f t="shared" si="1"/>
        <v>0.8</v>
      </c>
      <c r="J194" s="220"/>
      <c r="K194" s="336" t="b">
        <f t="shared" si="2"/>
        <v>0</v>
      </c>
      <c r="L194" s="219" t="b">
        <f>IFERROR(VLOOKUP($A194,AlgoUi!$A$1:$M$1779,13,0),"0")</f>
        <v>0</v>
      </c>
      <c r="M194" s="219" t="b">
        <f>IFERROR(VLOOKUP($A194,AlgoUi!$A$1:$M$1779,12,0),"0")</f>
        <v>1</v>
      </c>
      <c r="N194" s="219" t="str">
        <f>IFERROR(VLOOKUP($A194,AlgoUi!$A$1:$M$1779,11,0),"0")</f>
        <v>TRUE</v>
      </c>
      <c r="O194" s="220" t="str">
        <f t="shared" si="3"/>
        <v>#REF!</v>
      </c>
      <c r="Q194" s="89" t="s">
        <v>3861</v>
      </c>
      <c r="R194" s="42" t="str">
        <f>VLOOKUP($A194,Category!$A$1:$E$351,4,0)</f>
        <v>CC</v>
      </c>
      <c r="S194" s="42" t="str">
        <f>VLOOKUP($A194,Category!$A$1:$E$351,5,0)</f>
        <v>CCG</v>
      </c>
    </row>
    <row r="195">
      <c r="A195" s="83" t="s">
        <v>1806</v>
      </c>
      <c r="B195" s="353" t="s">
        <v>1807</v>
      </c>
      <c r="C195" s="333"/>
      <c r="D195" s="333" t="s">
        <v>1367</v>
      </c>
      <c r="E195" s="344">
        <v>126000.0</v>
      </c>
      <c r="F195" s="219">
        <v>180000.0</v>
      </c>
      <c r="G195" s="220" t="s">
        <v>54</v>
      </c>
      <c r="H195" s="220">
        <v>1.0</v>
      </c>
      <c r="I195" s="337">
        <f t="shared" si="1"/>
        <v>0.7</v>
      </c>
      <c r="J195" s="336" t="s">
        <v>3906</v>
      </c>
      <c r="K195" s="336" t="b">
        <f t="shared" si="2"/>
        <v>0</v>
      </c>
      <c r="L195" s="219" t="str">
        <f>IFERROR(VLOOKUP($A195,AlgoUi!$A$1:$M$1779,13,0),"0")</f>
        <v>0</v>
      </c>
      <c r="M195" s="219" t="str">
        <f>IFERROR(VLOOKUP($A195,AlgoUi!$A$1:$M$1779,12,0),"0")</f>
        <v>0</v>
      </c>
      <c r="N195" s="219" t="str">
        <f>IFERROR(VLOOKUP($A195,AlgoUi!$A$1:$M$1779,11,0),"0")</f>
        <v>0</v>
      </c>
      <c r="O195" s="220" t="str">
        <f t="shared" si="3"/>
        <v>#REF!</v>
      </c>
      <c r="R195" s="42" t="str">
        <f>VLOOKUP($A195,Category!$A$1:$E$351,4,0)</f>
        <v>MS</v>
      </c>
      <c r="S195" s="42" t="str">
        <f>VLOOKUP($A195,Category!$A$1:$E$351,5,0)</f>
        <v>MSR</v>
      </c>
    </row>
    <row r="196">
      <c r="A196" s="83" t="s">
        <v>1843</v>
      </c>
      <c r="B196" s="343" t="s">
        <v>1844</v>
      </c>
      <c r="C196" s="333">
        <v>2.0</v>
      </c>
      <c r="D196" s="333" t="s">
        <v>311</v>
      </c>
      <c r="E196" s="344">
        <v>42000.0</v>
      </c>
      <c r="F196" s="219">
        <v>60000.0</v>
      </c>
      <c r="G196" s="220" t="s">
        <v>174</v>
      </c>
      <c r="H196" s="220">
        <v>1.0</v>
      </c>
      <c r="I196" s="337">
        <f t="shared" si="1"/>
        <v>0.7</v>
      </c>
      <c r="J196" s="220"/>
      <c r="K196" s="336" t="b">
        <f t="shared" si="2"/>
        <v>0</v>
      </c>
      <c r="L196" s="219" t="b">
        <f>IFERROR(VLOOKUP($A196,AlgoUi!$A$1:$M$1779,13,0),"0")</f>
        <v>0</v>
      </c>
      <c r="M196" s="219" t="b">
        <f>IFERROR(VLOOKUP($A196,AlgoUi!$A$1:$M$1779,12,0),"0")</f>
        <v>1</v>
      </c>
      <c r="N196" s="219" t="str">
        <f>IFERROR(VLOOKUP($A196,AlgoUi!$A$1:$M$1779,11,0),"0")</f>
        <v>TRUE</v>
      </c>
      <c r="O196" s="220" t="str">
        <f t="shared" si="3"/>
        <v>#REF!</v>
      </c>
      <c r="R196" s="42" t="str">
        <f>VLOOKUP($A196,Category!$A$1:$E$351,4,0)</f>
        <v>MS</v>
      </c>
      <c r="S196" s="42" t="str">
        <f>VLOOKUP($A196,Category!$A$1:$E$351,5,0)</f>
        <v>MSR</v>
      </c>
    </row>
    <row r="197">
      <c r="A197" s="83" t="s">
        <v>523</v>
      </c>
      <c r="B197" s="343" t="s">
        <v>1437</v>
      </c>
      <c r="C197" s="333">
        <v>2.0</v>
      </c>
      <c r="D197" s="333" t="s">
        <v>311</v>
      </c>
      <c r="E197" s="334">
        <v>56000.0</v>
      </c>
      <c r="F197" s="335">
        <v>80000.0</v>
      </c>
      <c r="G197" s="220" t="s">
        <v>327</v>
      </c>
      <c r="H197" s="220">
        <v>1.0</v>
      </c>
      <c r="I197" s="337">
        <f t="shared" si="1"/>
        <v>0.7</v>
      </c>
      <c r="J197" s="220"/>
      <c r="K197" s="336" t="b">
        <f t="shared" si="2"/>
        <v>0</v>
      </c>
      <c r="L197" s="219" t="b">
        <f>IFERROR(VLOOKUP($A197,AlgoUi!$A$1:$M$1779,13,0),"0")</f>
        <v>0</v>
      </c>
      <c r="M197" s="219" t="b">
        <f>IFERROR(VLOOKUP($A197,AlgoUi!$A$1:$M$1779,12,0),"0")</f>
        <v>1</v>
      </c>
      <c r="N197" s="219" t="str">
        <f>IFERROR(VLOOKUP($A197,AlgoUi!$A$1:$M$1779,11,0),"0")</f>
        <v>TRUE</v>
      </c>
      <c r="O197" s="220" t="str">
        <f t="shared" si="3"/>
        <v>#REF!</v>
      </c>
      <c r="R197" s="42" t="str">
        <f>VLOOKUP($A197,Category!$A$1:$E$351,4,0)</f>
        <v>MS</v>
      </c>
      <c r="S197" s="42" t="str">
        <f>VLOOKUP($A197,Category!$A$1:$E$351,5,0)</f>
        <v>MSP</v>
      </c>
    </row>
    <row r="198">
      <c r="A198" s="83" t="s">
        <v>1799</v>
      </c>
      <c r="B198" s="353" t="s">
        <v>1800</v>
      </c>
      <c r="C198" s="333"/>
      <c r="D198" s="333" t="s">
        <v>1367</v>
      </c>
      <c r="E198" s="334">
        <v>84000.0</v>
      </c>
      <c r="F198" s="335">
        <v>120000.0</v>
      </c>
      <c r="G198" s="220" t="s">
        <v>54</v>
      </c>
      <c r="H198" s="220">
        <v>1.0</v>
      </c>
      <c r="I198" s="337">
        <f t="shared" si="1"/>
        <v>0.7</v>
      </c>
      <c r="J198" s="220"/>
      <c r="K198" s="336" t="b">
        <f t="shared" si="2"/>
        <v>0</v>
      </c>
      <c r="L198" s="219" t="str">
        <f>IFERROR(VLOOKUP($A198,AlgoUi!$A$1:$M$1779,13,0),"0")</f>
        <v>0</v>
      </c>
      <c r="M198" s="219" t="str">
        <f>IFERROR(VLOOKUP($A198,AlgoUi!$A$1:$M$1779,12,0),"0")</f>
        <v>0</v>
      </c>
      <c r="N198" s="219" t="str">
        <f>IFERROR(VLOOKUP($A198,AlgoUi!$A$1:$M$1779,11,0),"0")</f>
        <v>0</v>
      </c>
      <c r="O198" s="220" t="str">
        <f t="shared" si="3"/>
        <v>#REF!</v>
      </c>
      <c r="R198" s="42" t="str">
        <f>VLOOKUP($A198,Category!$A$1:$E$351,4,0)</f>
        <v>MS</v>
      </c>
      <c r="S198" s="42" t="str">
        <f>VLOOKUP($A198,Category!$A$1:$E$351,5,0)</f>
        <v>MSR</v>
      </c>
    </row>
    <row r="199">
      <c r="A199" s="83" t="s">
        <v>597</v>
      </c>
      <c r="B199" s="343" t="s">
        <v>1387</v>
      </c>
      <c r="C199" s="333">
        <v>2.0</v>
      </c>
      <c r="D199" s="333" t="s">
        <v>311</v>
      </c>
      <c r="E199" s="334">
        <v>238000.0</v>
      </c>
      <c r="F199" s="335">
        <v>340000.0</v>
      </c>
      <c r="G199" s="220" t="s">
        <v>113</v>
      </c>
      <c r="H199" s="220">
        <v>1.0</v>
      </c>
      <c r="I199" s="337">
        <f t="shared" si="1"/>
        <v>0.7</v>
      </c>
      <c r="J199" s="220"/>
      <c r="K199" s="336" t="b">
        <f t="shared" si="2"/>
        <v>0</v>
      </c>
      <c r="L199" s="219" t="b">
        <f>IFERROR(VLOOKUP($A199,AlgoUi!$A$1:$M$1779,13,0),"0")</f>
        <v>0</v>
      </c>
      <c r="M199" s="219" t="b">
        <f>IFERROR(VLOOKUP($A199,AlgoUi!$A$1:$M$1779,12,0),"0")</f>
        <v>1</v>
      </c>
      <c r="N199" s="219" t="str">
        <f>IFERROR(VLOOKUP($A199,AlgoUi!$A$1:$M$1779,11,0),"0")</f>
        <v>TRUE</v>
      </c>
      <c r="O199" s="220" t="str">
        <f t="shared" si="3"/>
        <v>#REF!</v>
      </c>
      <c r="R199" s="42" t="str">
        <f>VLOOKUP($A199,Category!$A$1:$E$351,4,0)</f>
        <v>MS</v>
      </c>
      <c r="S199" s="42" t="str">
        <f>VLOOKUP($A199,Category!$A$1:$E$351,5,0)</f>
        <v>MSP</v>
      </c>
    </row>
    <row r="200">
      <c r="A200" s="83" t="s">
        <v>595</v>
      </c>
      <c r="B200" s="343" t="s">
        <v>1388</v>
      </c>
      <c r="C200" s="333">
        <v>2.0</v>
      </c>
      <c r="D200" s="333" t="s">
        <v>311</v>
      </c>
      <c r="E200" s="334">
        <v>119000.0</v>
      </c>
      <c r="F200" s="335">
        <v>170000.0</v>
      </c>
      <c r="G200" s="220" t="s">
        <v>113</v>
      </c>
      <c r="H200" s="220">
        <v>1.0</v>
      </c>
      <c r="I200" s="337">
        <f t="shared" si="1"/>
        <v>0.7</v>
      </c>
      <c r="J200" s="220"/>
      <c r="K200" s="336" t="b">
        <f t="shared" si="2"/>
        <v>0</v>
      </c>
      <c r="L200" s="219" t="b">
        <f>IFERROR(VLOOKUP($A200,AlgoUi!$A$1:$M$1779,13,0),"0")</f>
        <v>0</v>
      </c>
      <c r="M200" s="219" t="b">
        <f>IFERROR(VLOOKUP($A200,AlgoUi!$A$1:$M$1779,12,0),"0")</f>
        <v>1</v>
      </c>
      <c r="N200" s="219" t="str">
        <f>IFERROR(VLOOKUP($A200,AlgoUi!$A$1:$M$1779,11,0),"0")</f>
        <v>TRUE</v>
      </c>
      <c r="O200" s="220" t="str">
        <f t="shared" si="3"/>
        <v>#REF!</v>
      </c>
      <c r="R200" s="42" t="str">
        <f>VLOOKUP($A200,Category!$A$1:$E$351,4,0)</f>
        <v>MS</v>
      </c>
      <c r="S200" s="42" t="str">
        <f>VLOOKUP($A200,Category!$A$1:$E$351,5,0)</f>
        <v>MSP</v>
      </c>
    </row>
    <row r="201">
      <c r="A201" s="83" t="s">
        <v>390</v>
      </c>
      <c r="B201" s="343" t="s">
        <v>1648</v>
      </c>
      <c r="C201" s="333">
        <v>2.0</v>
      </c>
      <c r="D201" s="333" t="s">
        <v>311</v>
      </c>
      <c r="E201" s="344">
        <v>105000.0</v>
      </c>
      <c r="F201" s="219">
        <v>150000.0</v>
      </c>
      <c r="G201" s="220" t="s">
        <v>113</v>
      </c>
      <c r="H201" s="220">
        <v>1.0</v>
      </c>
      <c r="I201" s="337">
        <f t="shared" si="1"/>
        <v>0.7</v>
      </c>
      <c r="J201" s="220"/>
      <c r="K201" s="336" t="b">
        <f t="shared" si="2"/>
        <v>0</v>
      </c>
      <c r="L201" s="219" t="b">
        <f>IFERROR(VLOOKUP($A201,AlgoUi!$A$1:$M$1779,13,0),"0")</f>
        <v>0</v>
      </c>
      <c r="M201" s="219" t="b">
        <f>IFERROR(VLOOKUP($A201,AlgoUi!$A$1:$M$1779,12,0),"0")</f>
        <v>1</v>
      </c>
      <c r="N201" s="219" t="str">
        <f>IFERROR(VLOOKUP($A201,AlgoUi!$A$1:$M$1779,11,0),"0")</f>
        <v>TRUE</v>
      </c>
      <c r="O201" s="220" t="str">
        <f t="shared" si="3"/>
        <v>#REF!</v>
      </c>
      <c r="R201" s="42" t="str">
        <f>VLOOKUP($A201,Category!$A$1:$E$351,4,0)</f>
        <v>MS</v>
      </c>
      <c r="S201" s="42" t="str">
        <f>VLOOKUP($A201,Category!$A$1:$E$351,5,0)</f>
        <v>MSR</v>
      </c>
    </row>
    <row r="202">
      <c r="A202" s="83" t="s">
        <v>1424</v>
      </c>
      <c r="B202" s="343" t="s">
        <v>1425</v>
      </c>
      <c r="C202" s="333">
        <v>2.0</v>
      </c>
      <c r="D202" s="333" t="s">
        <v>311</v>
      </c>
      <c r="E202" s="344">
        <v>28000.0</v>
      </c>
      <c r="F202" s="219">
        <v>40000.0</v>
      </c>
      <c r="G202" s="220" t="s">
        <v>54</v>
      </c>
      <c r="H202" s="220">
        <v>1.0</v>
      </c>
      <c r="I202" s="337">
        <f t="shared" si="1"/>
        <v>0.7</v>
      </c>
      <c r="J202" s="220"/>
      <c r="K202" s="336" t="b">
        <f t="shared" si="2"/>
        <v>0</v>
      </c>
      <c r="L202" s="219" t="b">
        <f>IFERROR(VLOOKUP($A202,AlgoUi!$A$1:$M$1779,13,0),"0")</f>
        <v>0</v>
      </c>
      <c r="M202" s="219" t="b">
        <f>IFERROR(VLOOKUP($A202,AlgoUi!$A$1:$M$1779,12,0),"0")</f>
        <v>0</v>
      </c>
      <c r="N202" s="219" t="str">
        <f>IFERROR(VLOOKUP($A202,AlgoUi!$A$1:$M$1779,11,0),"0")</f>
        <v>TRUE</v>
      </c>
      <c r="O202" s="220" t="str">
        <f t="shared" si="3"/>
        <v>#REF!</v>
      </c>
      <c r="R202" s="42" t="str">
        <f>VLOOKUP($A202,Category!$A$1:$E$351,4,0)</f>
        <v>MS</v>
      </c>
      <c r="S202" s="42" t="str">
        <f>VLOOKUP($A202,Category!$A$1:$E$351,5,0)</f>
        <v>MSP</v>
      </c>
    </row>
    <row r="203">
      <c r="A203" s="83" t="s">
        <v>1644</v>
      </c>
      <c r="B203" s="343" t="s">
        <v>1646</v>
      </c>
      <c r="C203" s="333">
        <v>2.0</v>
      </c>
      <c r="D203" s="333" t="s">
        <v>232</v>
      </c>
      <c r="E203" s="334">
        <v>0.0</v>
      </c>
      <c r="F203" s="335">
        <v>0.0</v>
      </c>
      <c r="G203" s="220" t="s">
        <v>249</v>
      </c>
      <c r="H203" s="220">
        <v>1.0</v>
      </c>
      <c r="I203" s="337">
        <f t="shared" si="1"/>
        <v>0</v>
      </c>
      <c r="J203" s="220"/>
      <c r="K203" s="336" t="b">
        <f t="shared" si="2"/>
        <v>0</v>
      </c>
      <c r="L203" s="219" t="b">
        <f>IFERROR(VLOOKUP($A203,AlgoUi!$A$1:$M$1779,13,0),"0")</f>
        <v>0</v>
      </c>
      <c r="M203" s="219" t="b">
        <f>IFERROR(VLOOKUP($A203,AlgoUi!$A$1:$M$1779,12,0),"0")</f>
        <v>0</v>
      </c>
      <c r="N203" s="219" t="str">
        <f>IFERROR(VLOOKUP($A203,AlgoUi!$A$1:$M$1779,11,0),"0")</f>
        <v>TRUE</v>
      </c>
      <c r="O203" s="220" t="str">
        <f t="shared" si="3"/>
        <v>#REF!</v>
      </c>
      <c r="P203" s="89" t="s">
        <v>3875</v>
      </c>
      <c r="R203" s="42" t="str">
        <f>VLOOKUP($A203,Category!$A$1:$E$351,4,0)</f>
        <v>MS</v>
      </c>
      <c r="S203" s="42" t="str">
        <f>VLOOKUP($A203,Category!$A$1:$E$351,5,0)</f>
        <v>MSR</v>
      </c>
    </row>
    <row r="204">
      <c r="A204" s="83" t="s">
        <v>685</v>
      </c>
      <c r="B204" s="343" t="s">
        <v>1386</v>
      </c>
      <c r="C204" s="333">
        <v>2.0</v>
      </c>
      <c r="D204" s="333" t="s">
        <v>311</v>
      </c>
      <c r="E204" s="334">
        <v>112000.0</v>
      </c>
      <c r="F204" s="335">
        <v>160000.0</v>
      </c>
      <c r="G204" s="220" t="s">
        <v>113</v>
      </c>
      <c r="H204" s="220">
        <v>1.0</v>
      </c>
      <c r="I204" s="337">
        <f t="shared" si="1"/>
        <v>0.7</v>
      </c>
      <c r="J204" s="220"/>
      <c r="K204" s="336" t="b">
        <f t="shared" si="2"/>
        <v>0</v>
      </c>
      <c r="L204" s="219" t="b">
        <f>IFERROR(VLOOKUP($A204,AlgoUi!$A$1:$M$1779,13,0),"0")</f>
        <v>0</v>
      </c>
      <c r="M204" s="219" t="b">
        <f>IFERROR(VLOOKUP($A204,AlgoUi!$A$1:$M$1779,12,0),"0")</f>
        <v>1</v>
      </c>
      <c r="N204" s="219" t="str">
        <f>IFERROR(VLOOKUP($A204,AlgoUi!$A$1:$M$1779,11,0),"0")</f>
        <v>TRUE</v>
      </c>
      <c r="O204" s="220" t="str">
        <f t="shared" si="3"/>
        <v>#REF!</v>
      </c>
      <c r="R204" s="42" t="str">
        <f>VLOOKUP($A204,Category!$A$1:$E$351,4,0)</f>
        <v>MS</v>
      </c>
      <c r="S204" s="42" t="str">
        <f>VLOOKUP($A204,Category!$A$1:$E$351,5,0)</f>
        <v>MSP</v>
      </c>
    </row>
    <row r="205">
      <c r="A205" s="83" t="s">
        <v>459</v>
      </c>
      <c r="B205" s="343" t="s">
        <v>1943</v>
      </c>
      <c r="C205" s="333">
        <v>2.0</v>
      </c>
      <c r="D205" s="333" t="s">
        <v>311</v>
      </c>
      <c r="E205" s="334">
        <v>77000.0</v>
      </c>
      <c r="F205" s="335">
        <v>110000.0</v>
      </c>
      <c r="G205" s="220" t="s">
        <v>113</v>
      </c>
      <c r="H205" s="220">
        <v>1.0</v>
      </c>
      <c r="I205" s="337">
        <f t="shared" si="1"/>
        <v>0.7</v>
      </c>
      <c r="J205" s="220"/>
      <c r="K205" s="336" t="b">
        <f t="shared" si="2"/>
        <v>0</v>
      </c>
      <c r="L205" s="219" t="b">
        <f>IFERROR(VLOOKUP($A205,AlgoUi!$A$1:$M$1779,13,0),"0")</f>
        <v>0</v>
      </c>
      <c r="M205" s="219" t="b">
        <f>IFERROR(VLOOKUP($A205,AlgoUi!$A$1:$M$1779,12,0),"0")</f>
        <v>1</v>
      </c>
      <c r="N205" s="219" t="str">
        <f>IFERROR(VLOOKUP($A205,AlgoUi!$A$1:$M$1779,11,0),"0")</f>
        <v>TRUE</v>
      </c>
      <c r="O205" s="220" t="str">
        <f t="shared" si="3"/>
        <v>#REF!</v>
      </c>
      <c r="R205" s="42" t="str">
        <f>VLOOKUP($A205,Category!$A$1:$E$351,4,0)</f>
        <v>#N/A</v>
      </c>
      <c r="S205" s="42" t="str">
        <f>VLOOKUP($A205,Category!$A$1:$E$351,5,0)</f>
        <v>#N/A</v>
      </c>
    </row>
    <row r="206">
      <c r="A206" s="83" t="s">
        <v>1758</v>
      </c>
      <c r="B206" s="343" t="s">
        <v>1759</v>
      </c>
      <c r="C206" s="333">
        <v>2.0</v>
      </c>
      <c r="D206" s="333" t="s">
        <v>311</v>
      </c>
      <c r="E206" s="334">
        <v>70000.0</v>
      </c>
      <c r="F206" s="335">
        <v>100000.0</v>
      </c>
      <c r="G206" s="220" t="s">
        <v>113</v>
      </c>
      <c r="H206" s="220">
        <v>1.0</v>
      </c>
      <c r="I206" s="337">
        <f t="shared" si="1"/>
        <v>0.7</v>
      </c>
      <c r="J206" s="220"/>
      <c r="K206" s="336" t="b">
        <f t="shared" si="2"/>
        <v>0</v>
      </c>
      <c r="L206" s="219" t="b">
        <f>IFERROR(VLOOKUP($A206,AlgoUi!$A$1:$M$1779,13,0),"0")</f>
        <v>0</v>
      </c>
      <c r="M206" s="219" t="b">
        <f>IFERROR(VLOOKUP($A206,AlgoUi!$A$1:$M$1779,12,0),"0")</f>
        <v>1</v>
      </c>
      <c r="N206" s="219" t="str">
        <f>IFERROR(VLOOKUP($A206,AlgoUi!$A$1:$M$1779,11,0),"0")</f>
        <v>TRUE</v>
      </c>
      <c r="O206" s="220" t="str">
        <f t="shared" si="3"/>
        <v>#REF!</v>
      </c>
      <c r="R206" s="42" t="str">
        <f>VLOOKUP($A206,Category!$A$1:$E$351,4,0)</f>
        <v>MS</v>
      </c>
      <c r="S206" s="42" t="str">
        <f>VLOOKUP($A206,Category!$A$1:$E$351,5,0)</f>
        <v>MSR</v>
      </c>
    </row>
    <row r="207">
      <c r="A207" s="83" t="s">
        <v>1537</v>
      </c>
      <c r="B207" s="343" t="s">
        <v>1538</v>
      </c>
      <c r="C207" s="333">
        <v>2.0</v>
      </c>
      <c r="D207" s="333" t="s">
        <v>311</v>
      </c>
      <c r="E207" s="334">
        <v>77000.0</v>
      </c>
      <c r="F207" s="335">
        <v>110000.0</v>
      </c>
      <c r="G207" s="220" t="s">
        <v>113</v>
      </c>
      <c r="H207" s="220">
        <v>1.0</v>
      </c>
      <c r="I207" s="337">
        <f t="shared" si="1"/>
        <v>0.7</v>
      </c>
      <c r="J207" s="220"/>
      <c r="K207" s="336" t="b">
        <f t="shared" si="2"/>
        <v>0</v>
      </c>
      <c r="L207" s="219" t="b">
        <f>IFERROR(VLOOKUP($A207,AlgoUi!$A$1:$M$1779,13,0),"0")</f>
        <v>0</v>
      </c>
      <c r="M207" s="219" t="b">
        <f>IFERROR(VLOOKUP($A207,AlgoUi!$A$1:$M$1779,12,0),"0")</f>
        <v>1</v>
      </c>
      <c r="N207" s="219" t="str">
        <f>IFERROR(VLOOKUP($A207,AlgoUi!$A$1:$M$1779,11,0),"0")</f>
        <v>TRUE</v>
      </c>
      <c r="O207" s="220" t="str">
        <f t="shared" si="3"/>
        <v>#REF!</v>
      </c>
      <c r="R207" s="42" t="str">
        <f>VLOOKUP($A207,Category!$A$1:$E$351,4,0)</f>
        <v>MS</v>
      </c>
      <c r="S207" s="42" t="str">
        <f>VLOOKUP($A207,Category!$A$1:$E$351,5,0)</f>
        <v>MSR</v>
      </c>
    </row>
    <row r="208">
      <c r="A208" s="83" t="s">
        <v>547</v>
      </c>
      <c r="B208" s="343" t="s">
        <v>1496</v>
      </c>
      <c r="C208" s="333">
        <v>2.0</v>
      </c>
      <c r="D208" s="333" t="s">
        <v>311</v>
      </c>
      <c r="E208" s="334">
        <v>63000.0</v>
      </c>
      <c r="F208" s="335">
        <v>90000.0</v>
      </c>
      <c r="G208" s="220" t="s">
        <v>113</v>
      </c>
      <c r="H208" s="220">
        <v>1.0</v>
      </c>
      <c r="I208" s="337">
        <f t="shared" si="1"/>
        <v>0.7</v>
      </c>
      <c r="J208" s="220"/>
      <c r="K208" s="336" t="b">
        <f t="shared" si="2"/>
        <v>0</v>
      </c>
      <c r="L208" s="219" t="b">
        <f>IFERROR(VLOOKUP($A208,AlgoUi!$A$1:$M$1779,13,0),"0")</f>
        <v>0</v>
      </c>
      <c r="M208" s="219" t="b">
        <f>IFERROR(VLOOKUP($A208,AlgoUi!$A$1:$M$1779,12,0),"0")</f>
        <v>1</v>
      </c>
      <c r="N208" s="219" t="str">
        <f>IFERROR(VLOOKUP($A208,AlgoUi!$A$1:$M$1779,11,0),"0")</f>
        <v>TRUE</v>
      </c>
      <c r="O208" s="220" t="str">
        <f t="shared" si="3"/>
        <v>#REF!</v>
      </c>
      <c r="R208" s="42" t="str">
        <f>VLOOKUP($A208,Category!$A$1:$E$351,4,0)</f>
        <v>MS</v>
      </c>
      <c r="S208" s="42" t="str">
        <f>VLOOKUP($A208,Category!$A$1:$E$351,5,0)</f>
        <v>MSR</v>
      </c>
    </row>
    <row r="209">
      <c r="A209" s="83" t="s">
        <v>510</v>
      </c>
      <c r="B209" s="343" t="s">
        <v>1497</v>
      </c>
      <c r="C209" s="333">
        <v>2.0</v>
      </c>
      <c r="D209" s="333" t="s">
        <v>311</v>
      </c>
      <c r="E209" s="344">
        <v>56000.0</v>
      </c>
      <c r="F209" s="219">
        <v>80000.0</v>
      </c>
      <c r="G209" s="220" t="s">
        <v>113</v>
      </c>
      <c r="H209" s="220">
        <v>1.0</v>
      </c>
      <c r="I209" s="337">
        <f t="shared" si="1"/>
        <v>0.7</v>
      </c>
      <c r="J209" s="220"/>
      <c r="K209" s="336" t="b">
        <f t="shared" si="2"/>
        <v>0</v>
      </c>
      <c r="L209" s="219" t="b">
        <f>IFERROR(VLOOKUP($A209,AlgoUi!$A$1:$M$1779,13,0),"0")</f>
        <v>0</v>
      </c>
      <c r="M209" s="219" t="b">
        <f>IFERROR(VLOOKUP($A209,AlgoUi!$A$1:$M$1779,12,0),"0")</f>
        <v>0</v>
      </c>
      <c r="N209" s="219" t="str">
        <f>IFERROR(VLOOKUP($A209,AlgoUi!$A$1:$M$1779,11,0),"0")</f>
        <v>TRUE</v>
      </c>
      <c r="O209" s="220" t="str">
        <f t="shared" si="3"/>
        <v>#REF!</v>
      </c>
      <c r="R209" s="42" t="str">
        <f>VLOOKUP($A209,Category!$A$1:$E$351,4,0)</f>
        <v>MS</v>
      </c>
      <c r="S209" s="42" t="str">
        <f>VLOOKUP($A209,Category!$A$1:$E$351,5,0)</f>
        <v>MSR</v>
      </c>
    </row>
    <row r="210">
      <c r="A210" s="83" t="s">
        <v>461</v>
      </c>
      <c r="B210" s="343" t="s">
        <v>1611</v>
      </c>
      <c r="C210" s="333">
        <v>2.0</v>
      </c>
      <c r="D210" s="333" t="s">
        <v>311</v>
      </c>
      <c r="E210" s="344">
        <v>56000.0</v>
      </c>
      <c r="F210" s="219">
        <v>80000.0</v>
      </c>
      <c r="G210" s="220" t="s">
        <v>113</v>
      </c>
      <c r="H210" s="220">
        <v>1.0</v>
      </c>
      <c r="I210" s="337">
        <f t="shared" si="1"/>
        <v>0.7</v>
      </c>
      <c r="J210" s="220"/>
      <c r="K210" s="336" t="b">
        <f t="shared" si="2"/>
        <v>0</v>
      </c>
      <c r="L210" s="219" t="b">
        <f>IFERROR(VLOOKUP($A210,AlgoUi!$A$1:$M$1779,13,0),"0")</f>
        <v>0</v>
      </c>
      <c r="M210" s="219" t="b">
        <f>IFERROR(VLOOKUP($A210,AlgoUi!$A$1:$M$1779,12,0),"0")</f>
        <v>1</v>
      </c>
      <c r="N210" s="219" t="str">
        <f>IFERROR(VLOOKUP($A210,AlgoUi!$A$1:$M$1779,11,0),"0")</f>
        <v>TRUE</v>
      </c>
      <c r="O210" s="220" t="str">
        <f t="shared" si="3"/>
        <v>#REF!</v>
      </c>
      <c r="R210" s="42" t="str">
        <f>VLOOKUP($A210,Category!$A$1:$E$351,4,0)</f>
        <v>MS</v>
      </c>
      <c r="S210" s="42" t="str">
        <f>VLOOKUP($A210,Category!$A$1:$E$351,5,0)</f>
        <v>MSR</v>
      </c>
    </row>
    <row r="211">
      <c r="A211" s="83" t="s">
        <v>386</v>
      </c>
      <c r="B211" s="343" t="s">
        <v>1422</v>
      </c>
      <c r="C211" s="333">
        <v>2.0</v>
      </c>
      <c r="D211" s="333" t="s">
        <v>311</v>
      </c>
      <c r="E211" s="334">
        <v>49000.0</v>
      </c>
      <c r="F211" s="335">
        <v>70000.0</v>
      </c>
      <c r="G211" s="220" t="s">
        <v>113</v>
      </c>
      <c r="H211" s="220">
        <v>1.0</v>
      </c>
      <c r="I211" s="337">
        <f t="shared" si="1"/>
        <v>0.7</v>
      </c>
      <c r="J211" s="220"/>
      <c r="K211" s="336" t="b">
        <f t="shared" si="2"/>
        <v>0</v>
      </c>
      <c r="L211" s="219" t="b">
        <f>IFERROR(VLOOKUP($A211,AlgoUi!$A$1:$M$1779,13,0),"0")</f>
        <v>0</v>
      </c>
      <c r="M211" s="219" t="b">
        <f>IFERROR(VLOOKUP($A211,AlgoUi!$A$1:$M$1779,12,0),"0")</f>
        <v>1</v>
      </c>
      <c r="N211" s="219" t="str">
        <f>IFERROR(VLOOKUP($A211,AlgoUi!$A$1:$M$1779,11,0),"0")</f>
        <v>TRUE</v>
      </c>
      <c r="O211" s="220" t="str">
        <f t="shared" si="3"/>
        <v>#REF!</v>
      </c>
      <c r="R211" s="42" t="str">
        <f>VLOOKUP($A211,Category!$A$1:$E$351,4,0)</f>
        <v>MS</v>
      </c>
      <c r="S211" s="42" t="str">
        <f>VLOOKUP($A211,Category!$A$1:$E$351,5,0)</f>
        <v>MSP</v>
      </c>
    </row>
    <row r="212">
      <c r="A212" s="83" t="s">
        <v>1494</v>
      </c>
      <c r="B212" s="343" t="s">
        <v>1495</v>
      </c>
      <c r="C212" s="333">
        <v>2.0</v>
      </c>
      <c r="D212" s="333" t="s">
        <v>311</v>
      </c>
      <c r="E212" s="334">
        <v>42000.0</v>
      </c>
      <c r="F212" s="335">
        <v>60000.0</v>
      </c>
      <c r="G212" s="336" t="s">
        <v>327</v>
      </c>
      <c r="H212" s="220">
        <v>1.0</v>
      </c>
      <c r="I212" s="337">
        <f t="shared" si="1"/>
        <v>0.7</v>
      </c>
      <c r="K212" s="336" t="b">
        <f t="shared" si="2"/>
        <v>0</v>
      </c>
      <c r="L212" s="219" t="b">
        <f>IFERROR(VLOOKUP($A212,AlgoUi!$A$1:$M$1779,13,0),"0")</f>
        <v>0</v>
      </c>
      <c r="M212" s="219" t="b">
        <f>IFERROR(VLOOKUP($A212,AlgoUi!$A$1:$M$1779,12,0),"0")</f>
        <v>0</v>
      </c>
      <c r="N212" s="219" t="str">
        <f>IFERROR(VLOOKUP($A212,AlgoUi!$A$1:$M$1779,11,0),"0")</f>
        <v>TRUE</v>
      </c>
      <c r="O212" s="220" t="str">
        <f t="shared" si="3"/>
        <v>#REF!</v>
      </c>
      <c r="R212" s="42" t="str">
        <f>VLOOKUP($A212,Category!$A$1:$E$351,4,0)</f>
        <v>MS</v>
      </c>
      <c r="S212" s="42" t="str">
        <f>VLOOKUP($A212,Category!$A$1:$E$351,5,0)</f>
        <v>MSR</v>
      </c>
    </row>
    <row r="213">
      <c r="A213" s="83" t="s">
        <v>328</v>
      </c>
      <c r="B213" s="343" t="s">
        <v>1464</v>
      </c>
      <c r="C213" s="333">
        <v>2.0</v>
      </c>
      <c r="D213" s="333" t="s">
        <v>311</v>
      </c>
      <c r="E213" s="344">
        <v>42000.0</v>
      </c>
      <c r="F213" s="219">
        <v>60000.0</v>
      </c>
      <c r="G213" s="336" t="s">
        <v>54</v>
      </c>
      <c r="H213" s="220">
        <v>1.0</v>
      </c>
      <c r="I213" s="337">
        <f t="shared" si="1"/>
        <v>0.7</v>
      </c>
      <c r="J213" s="220"/>
      <c r="K213" s="336" t="b">
        <f t="shared" si="2"/>
        <v>0</v>
      </c>
      <c r="L213" s="219" t="b">
        <f>IFERROR(VLOOKUP($A213,AlgoUi!$A$1:$M$1779,13,0),"0")</f>
        <v>0</v>
      </c>
      <c r="M213" s="219" t="b">
        <f>IFERROR(VLOOKUP($A213,AlgoUi!$A$1:$M$1779,12,0),"0")</f>
        <v>1</v>
      </c>
      <c r="N213" s="219" t="str">
        <f>IFERROR(VLOOKUP($A213,AlgoUi!$A$1:$M$1779,11,0),"0")</f>
        <v>TRUE</v>
      </c>
      <c r="O213" s="220" t="str">
        <f t="shared" si="3"/>
        <v>#REF!</v>
      </c>
      <c r="R213" s="42" t="str">
        <f>VLOOKUP($A213,Category!$A$1:$E$351,4,0)</f>
        <v>MS</v>
      </c>
      <c r="S213" s="42" t="str">
        <f>VLOOKUP($A213,Category!$A$1:$E$351,5,0)</f>
        <v>MSR</v>
      </c>
    </row>
    <row r="214">
      <c r="A214" s="83" t="s">
        <v>479</v>
      </c>
      <c r="B214" s="89" t="s">
        <v>3907</v>
      </c>
      <c r="C214" s="333">
        <v>2.0</v>
      </c>
      <c r="D214" s="333" t="s">
        <v>311</v>
      </c>
      <c r="E214" s="334">
        <v>91000.0</v>
      </c>
      <c r="F214" s="335">
        <v>130000.0</v>
      </c>
      <c r="G214" s="336" t="s">
        <v>327</v>
      </c>
      <c r="H214" s="220">
        <v>1.0</v>
      </c>
      <c r="I214" s="337">
        <f t="shared" si="1"/>
        <v>0.7</v>
      </c>
      <c r="J214" s="220"/>
      <c r="K214" s="336" t="b">
        <f t="shared" si="2"/>
        <v>0</v>
      </c>
      <c r="L214" s="219" t="b">
        <f>IFERROR(VLOOKUP($A214,AlgoUi!$A$1:$M$1779,13,0),"0")</f>
        <v>0</v>
      </c>
      <c r="M214" s="219" t="b">
        <f>IFERROR(VLOOKUP($A214,AlgoUi!$A$1:$M$1779,12,0),"0")</f>
        <v>1</v>
      </c>
      <c r="N214" s="219" t="str">
        <f>IFERROR(VLOOKUP($A214,AlgoUi!$A$1:$M$1779,11,0),"0")</f>
        <v>TRUE</v>
      </c>
      <c r="O214" s="220" t="str">
        <f t="shared" si="3"/>
        <v>#REF!</v>
      </c>
      <c r="R214" s="42" t="str">
        <f>VLOOKUP($A214,Category!$A$1:$E$351,4,0)</f>
        <v>MS</v>
      </c>
      <c r="S214" s="42" t="str">
        <f>VLOOKUP($A214,Category!$A$1:$E$351,5,0)</f>
        <v>MSR</v>
      </c>
    </row>
    <row r="215">
      <c r="A215" s="83" t="s">
        <v>520</v>
      </c>
      <c r="B215" s="343" t="s">
        <v>1711</v>
      </c>
      <c r="C215" s="333">
        <v>2.0</v>
      </c>
      <c r="D215" s="333" t="s">
        <v>232</v>
      </c>
      <c r="E215" s="344">
        <v>35000.0</v>
      </c>
      <c r="F215" s="219">
        <v>50000.0</v>
      </c>
      <c r="G215" s="220" t="s">
        <v>113</v>
      </c>
      <c r="H215" s="220">
        <v>1.0</v>
      </c>
      <c r="I215" s="337">
        <f t="shared" si="1"/>
        <v>0.7</v>
      </c>
      <c r="J215" s="220"/>
      <c r="K215" s="336" t="b">
        <f t="shared" si="2"/>
        <v>0</v>
      </c>
      <c r="L215" s="219" t="b">
        <f>IFERROR(VLOOKUP($A215,AlgoUi!$A$1:$M$1779,13,0),"0")</f>
        <v>0</v>
      </c>
      <c r="M215" s="219" t="b">
        <f>IFERROR(VLOOKUP($A215,AlgoUi!$A$1:$M$1779,12,0),"0")</f>
        <v>1</v>
      </c>
      <c r="N215" s="219" t="str">
        <f>IFERROR(VLOOKUP($A215,AlgoUi!$A$1:$M$1779,11,0),"0")</f>
        <v>TRUE</v>
      </c>
      <c r="O215" s="220" t="str">
        <f t="shared" si="3"/>
        <v>#REF!</v>
      </c>
      <c r="R215" s="42" t="str">
        <f>VLOOKUP($A215,Category!$A$1:$E$351,4,0)</f>
        <v>MS</v>
      </c>
      <c r="S215" s="42" t="str">
        <f>VLOOKUP($A215,Category!$A$1:$E$351,5,0)</f>
        <v>MSR</v>
      </c>
    </row>
    <row r="216">
      <c r="A216" s="83" t="s">
        <v>443</v>
      </c>
      <c r="B216" s="343" t="s">
        <v>1371</v>
      </c>
      <c r="C216" s="333">
        <v>2.0</v>
      </c>
      <c r="D216" s="333" t="s">
        <v>311</v>
      </c>
      <c r="E216" s="344">
        <v>42000.0</v>
      </c>
      <c r="F216" s="219">
        <v>60000.0</v>
      </c>
      <c r="G216" s="220" t="s">
        <v>113</v>
      </c>
      <c r="H216" s="220">
        <v>1.0</v>
      </c>
      <c r="I216" s="337">
        <f t="shared" si="1"/>
        <v>0.7</v>
      </c>
      <c r="J216" s="220"/>
      <c r="K216" s="336" t="b">
        <f t="shared" si="2"/>
        <v>0</v>
      </c>
      <c r="L216" s="219" t="b">
        <f>IFERROR(VLOOKUP($A216,AlgoUi!$A$1:$M$1779,13,0),"0")</f>
        <v>0</v>
      </c>
      <c r="M216" s="219" t="b">
        <f>IFERROR(VLOOKUP($A216,AlgoUi!$A$1:$M$1779,12,0),"0")</f>
        <v>1</v>
      </c>
      <c r="N216" s="219" t="str">
        <f>IFERROR(VLOOKUP($A216,AlgoUi!$A$1:$M$1779,11,0),"0")</f>
        <v>TRUE</v>
      </c>
      <c r="O216" s="220" t="str">
        <f t="shared" si="3"/>
        <v>#REF!</v>
      </c>
      <c r="R216" s="42" t="str">
        <f>VLOOKUP($A216,Category!$A$1:$E$351,4,0)</f>
        <v>MS</v>
      </c>
      <c r="S216" s="42" t="str">
        <f>VLOOKUP($A216,Category!$A$1:$E$351,5,0)</f>
        <v>MSP</v>
      </c>
    </row>
    <row r="217">
      <c r="A217" s="83" t="s">
        <v>1327</v>
      </c>
      <c r="B217" s="343" t="s">
        <v>1328</v>
      </c>
      <c r="C217" s="333"/>
      <c r="D217" s="333" t="s">
        <v>297</v>
      </c>
      <c r="E217" s="334">
        <v>0.0</v>
      </c>
      <c r="F217" s="335">
        <v>0.0</v>
      </c>
      <c r="G217" s="220" t="s">
        <v>674</v>
      </c>
      <c r="H217" s="220">
        <v>1.0</v>
      </c>
      <c r="I217" s="337">
        <f t="shared" si="1"/>
        <v>0</v>
      </c>
      <c r="J217" s="220"/>
      <c r="K217" s="336" t="b">
        <f t="shared" si="2"/>
        <v>0</v>
      </c>
      <c r="L217" s="219" t="b">
        <f>IFERROR(VLOOKUP($A217,AlgoUi!$A$1:$M$1779,13,0),"0")</f>
        <v>0</v>
      </c>
      <c r="M217" s="219" t="b">
        <f>IFERROR(VLOOKUP($A217,AlgoUi!$A$1:$M$1779,12,0),"0")</f>
        <v>1</v>
      </c>
      <c r="N217" s="219" t="str">
        <f>IFERROR(VLOOKUP($A217,AlgoUi!$A$1:$M$1779,11,0),"0")</f>
        <v>TRUE</v>
      </c>
      <c r="O217" s="220" t="str">
        <f t="shared" si="3"/>
        <v>#REF!</v>
      </c>
      <c r="P217" s="89" t="s">
        <v>3875</v>
      </c>
      <c r="R217" s="42" t="str">
        <f>VLOOKUP($A217,Category!$A$1:$E$351,4,0)</f>
        <v>CC</v>
      </c>
      <c r="S217" s="42" t="str">
        <f>VLOOKUP($A217,Category!$A$1:$E$351,5,0)</f>
        <v>CCG</v>
      </c>
    </row>
    <row r="218">
      <c r="A218" s="83" t="s">
        <v>395</v>
      </c>
      <c r="B218" s="343" t="s">
        <v>396</v>
      </c>
      <c r="C218" s="333">
        <v>2.0</v>
      </c>
      <c r="D218" s="333" t="s">
        <v>311</v>
      </c>
      <c r="E218" s="334">
        <v>105000.0</v>
      </c>
      <c r="F218" s="335">
        <v>150000.0</v>
      </c>
      <c r="G218" s="220" t="s">
        <v>674</v>
      </c>
      <c r="H218" s="220">
        <v>1.0</v>
      </c>
      <c r="I218" s="337">
        <f t="shared" si="1"/>
        <v>0.7</v>
      </c>
      <c r="J218" s="220"/>
      <c r="K218" s="336" t="b">
        <f t="shared" si="2"/>
        <v>0</v>
      </c>
      <c r="L218" s="219" t="b">
        <f>IFERROR(VLOOKUP($A218,AlgoUi!$A$1:$M$1779,13,0),"0")</f>
        <v>0</v>
      </c>
      <c r="M218" s="219" t="b">
        <f>IFERROR(VLOOKUP($A218,AlgoUi!$A$1:$M$1779,12,0),"0")</f>
        <v>0</v>
      </c>
      <c r="N218" s="219" t="str">
        <f>IFERROR(VLOOKUP($A218,AlgoUi!$A$1:$M$1779,11,0),"0")</f>
        <v>TRUE</v>
      </c>
      <c r="O218" s="220" t="str">
        <f t="shared" si="3"/>
        <v>#REF!</v>
      </c>
      <c r="R218" s="42" t="str">
        <f>VLOOKUP($A218,Category!$A$1:$E$351,4,0)</f>
        <v>MS</v>
      </c>
      <c r="S218" s="42" t="str">
        <f>VLOOKUP($A218,Category!$A$1:$E$351,5,0)</f>
        <v>MSP</v>
      </c>
    </row>
    <row r="219">
      <c r="A219" s="83" t="s">
        <v>531</v>
      </c>
      <c r="B219" s="343" t="s">
        <v>1378</v>
      </c>
      <c r="C219" s="333">
        <v>2.0</v>
      </c>
      <c r="D219" s="333" t="s">
        <v>311</v>
      </c>
      <c r="E219" s="344">
        <v>70000.0</v>
      </c>
      <c r="F219" s="219">
        <v>100000.0</v>
      </c>
      <c r="G219" s="220" t="s">
        <v>674</v>
      </c>
      <c r="H219" s="220">
        <v>1.0</v>
      </c>
      <c r="I219" s="337">
        <f t="shared" si="1"/>
        <v>0.7</v>
      </c>
      <c r="J219" s="220"/>
      <c r="K219" s="336" t="b">
        <f t="shared" si="2"/>
        <v>0</v>
      </c>
      <c r="L219" s="219" t="b">
        <f>IFERROR(VLOOKUP($A219,AlgoUi!$A$1:$M$1779,13,0),"0")</f>
        <v>0</v>
      </c>
      <c r="M219" s="219" t="b">
        <f>IFERROR(VLOOKUP($A219,AlgoUi!$A$1:$M$1779,12,0),"0")</f>
        <v>1</v>
      </c>
      <c r="N219" s="219" t="str">
        <f>IFERROR(VLOOKUP($A219,AlgoUi!$A$1:$M$1779,11,0),"0")</f>
        <v>TRUE</v>
      </c>
      <c r="O219" s="220" t="str">
        <f t="shared" si="3"/>
        <v>#REF!</v>
      </c>
      <c r="R219" s="42" t="str">
        <f>VLOOKUP($A219,Category!$A$1:$E$351,4,0)</f>
        <v>MS</v>
      </c>
      <c r="S219" s="42" t="str">
        <f>VLOOKUP($A219,Category!$A$1:$E$351,5,0)</f>
        <v>MSP</v>
      </c>
    </row>
    <row r="220">
      <c r="A220" s="83" t="s">
        <v>388</v>
      </c>
      <c r="B220" s="343" t="s">
        <v>1416</v>
      </c>
      <c r="C220" s="333">
        <v>2.0</v>
      </c>
      <c r="D220" s="333" t="s">
        <v>311</v>
      </c>
      <c r="E220" s="334">
        <v>70000.0</v>
      </c>
      <c r="F220" s="335">
        <v>100000.0</v>
      </c>
      <c r="G220" s="220" t="s">
        <v>674</v>
      </c>
      <c r="H220" s="220">
        <v>1.0</v>
      </c>
      <c r="I220" s="337">
        <f t="shared" si="1"/>
        <v>0.7</v>
      </c>
      <c r="J220" s="220"/>
      <c r="K220" s="336" t="b">
        <f t="shared" si="2"/>
        <v>0</v>
      </c>
      <c r="L220" s="219" t="b">
        <f>IFERROR(VLOOKUP($A220,AlgoUi!$A$1:$M$1779,13,0),"0")</f>
        <v>0</v>
      </c>
      <c r="M220" s="219" t="b">
        <f>IFERROR(VLOOKUP($A220,AlgoUi!$A$1:$M$1779,12,0),"0")</f>
        <v>1</v>
      </c>
      <c r="N220" s="219" t="str">
        <f>IFERROR(VLOOKUP($A220,AlgoUi!$A$1:$M$1779,11,0),"0")</f>
        <v>TRUE</v>
      </c>
      <c r="O220" s="220" t="str">
        <f t="shared" si="3"/>
        <v>#REF!</v>
      </c>
      <c r="R220" s="42" t="str">
        <f>VLOOKUP($A220,Category!$A$1:$E$351,4,0)</f>
        <v>MS</v>
      </c>
      <c r="S220" s="42" t="str">
        <f>VLOOKUP($A220,Category!$A$1:$E$351,5,0)</f>
        <v>MSP</v>
      </c>
    </row>
    <row r="221">
      <c r="A221" s="83" t="s">
        <v>1342</v>
      </c>
      <c r="B221" s="343" t="s">
        <v>1343</v>
      </c>
      <c r="C221" s="333">
        <v>2.0</v>
      </c>
      <c r="D221" s="333" t="s">
        <v>311</v>
      </c>
      <c r="E221" s="334">
        <v>49000.0</v>
      </c>
      <c r="F221" s="335">
        <v>70000.0</v>
      </c>
      <c r="G221" s="220" t="s">
        <v>674</v>
      </c>
      <c r="H221" s="220">
        <v>1.0</v>
      </c>
      <c r="I221" s="337">
        <f t="shared" si="1"/>
        <v>0.7</v>
      </c>
      <c r="J221" s="220"/>
      <c r="K221" s="336" t="b">
        <f t="shared" si="2"/>
        <v>0</v>
      </c>
      <c r="L221" s="219" t="b">
        <f>IFERROR(VLOOKUP($A221,AlgoUi!$A$1:$M$1779,13,0),"0")</f>
        <v>0</v>
      </c>
      <c r="M221" s="219" t="b">
        <f>IFERROR(VLOOKUP($A221,AlgoUi!$A$1:$M$1779,12,0),"0")</f>
        <v>1</v>
      </c>
      <c r="N221" s="219" t="str">
        <f>IFERROR(VLOOKUP($A221,AlgoUi!$A$1:$M$1779,11,0),"0")</f>
        <v>TRUE</v>
      </c>
      <c r="O221" s="220" t="str">
        <f t="shared" si="3"/>
        <v>#REF!</v>
      </c>
      <c r="R221" s="42" t="str">
        <f>VLOOKUP($A221,Category!$A$1:$E$351,4,0)</f>
        <v>MS</v>
      </c>
      <c r="S221" s="42" t="str">
        <f>VLOOKUP($A221,Category!$A$1:$E$351,5,0)</f>
        <v>MSR</v>
      </c>
    </row>
    <row r="222">
      <c r="A222" s="83" t="s">
        <v>379</v>
      </c>
      <c r="B222" s="343" t="s">
        <v>1876</v>
      </c>
      <c r="C222" s="333">
        <v>2.0</v>
      </c>
      <c r="D222" s="333" t="s">
        <v>311</v>
      </c>
      <c r="E222" s="344">
        <v>49000.0</v>
      </c>
      <c r="F222" s="219">
        <v>70000.0</v>
      </c>
      <c r="G222" s="220" t="s">
        <v>674</v>
      </c>
      <c r="H222" s="220">
        <v>1.0</v>
      </c>
      <c r="I222" s="337">
        <f t="shared" si="1"/>
        <v>0.7</v>
      </c>
      <c r="J222" s="220"/>
      <c r="K222" s="336" t="b">
        <f t="shared" si="2"/>
        <v>0</v>
      </c>
      <c r="L222" s="219" t="b">
        <f>IFERROR(VLOOKUP($A222,AlgoUi!$A$1:$M$1779,13,0),"0")</f>
        <v>0</v>
      </c>
      <c r="M222" s="219" t="b">
        <f>IFERROR(VLOOKUP($A222,AlgoUi!$A$1:$M$1779,12,0),"0")</f>
        <v>1</v>
      </c>
      <c r="N222" s="219" t="str">
        <f>IFERROR(VLOOKUP($A222,AlgoUi!$A$1:$M$1779,11,0),"0")</f>
        <v>TRUE</v>
      </c>
      <c r="O222" s="220" t="str">
        <f t="shared" si="3"/>
        <v>#REF!</v>
      </c>
      <c r="R222" s="42" t="str">
        <f>VLOOKUP($A222,Category!$A$1:$E$351,4,0)</f>
        <v>MS</v>
      </c>
      <c r="S222" s="42" t="str">
        <f>VLOOKUP($A222,Category!$A$1:$E$351,5,0)</f>
        <v>MSR</v>
      </c>
    </row>
    <row r="223">
      <c r="A223" s="83" t="s">
        <v>351</v>
      </c>
      <c r="B223" s="343" t="s">
        <v>1882</v>
      </c>
      <c r="C223" s="333">
        <v>2.0</v>
      </c>
      <c r="D223" s="333" t="s">
        <v>311</v>
      </c>
      <c r="E223" s="344">
        <v>49000.0</v>
      </c>
      <c r="F223" s="219">
        <v>70000.0</v>
      </c>
      <c r="G223" s="220" t="s">
        <v>674</v>
      </c>
      <c r="H223" s="220">
        <v>1.0</v>
      </c>
      <c r="I223" s="337">
        <f t="shared" si="1"/>
        <v>0.7</v>
      </c>
      <c r="J223" s="220"/>
      <c r="K223" s="336" t="b">
        <f t="shared" si="2"/>
        <v>0</v>
      </c>
      <c r="L223" s="219" t="b">
        <f>IFERROR(VLOOKUP($A223,AlgoUi!$A$1:$M$1779,13,0),"0")</f>
        <v>0</v>
      </c>
      <c r="M223" s="219" t="b">
        <f>IFERROR(VLOOKUP($A223,AlgoUi!$A$1:$M$1779,12,0),"0")</f>
        <v>1</v>
      </c>
      <c r="N223" s="219" t="str">
        <f>IFERROR(VLOOKUP($A223,AlgoUi!$A$1:$M$1779,11,0),"0")</f>
        <v>TRUE</v>
      </c>
      <c r="O223" s="220" t="str">
        <f t="shared" si="3"/>
        <v>#REF!</v>
      </c>
      <c r="R223" s="42" t="str">
        <f>VLOOKUP($A223,Category!$A$1:$E$351,4,0)</f>
        <v>MS</v>
      </c>
      <c r="S223" s="42" t="str">
        <f>VLOOKUP($A223,Category!$A$1:$E$351,5,0)</f>
        <v>MSR</v>
      </c>
    </row>
    <row r="224">
      <c r="A224" s="83" t="s">
        <v>521</v>
      </c>
      <c r="B224" s="343" t="s">
        <v>1394</v>
      </c>
      <c r="C224" s="333">
        <v>2.0</v>
      </c>
      <c r="D224" s="333" t="s">
        <v>311</v>
      </c>
      <c r="E224" s="344">
        <v>42000.0</v>
      </c>
      <c r="F224" s="219">
        <v>60000.0</v>
      </c>
      <c r="G224" s="220" t="s">
        <v>674</v>
      </c>
      <c r="H224" s="220">
        <v>1.0</v>
      </c>
      <c r="I224" s="337">
        <f t="shared" si="1"/>
        <v>0.7</v>
      </c>
      <c r="J224" s="220"/>
      <c r="K224" s="336" t="b">
        <f t="shared" si="2"/>
        <v>0</v>
      </c>
      <c r="L224" s="219" t="b">
        <f>IFERROR(VLOOKUP($A224,AlgoUi!$A$1:$M$1779,13,0),"0")</f>
        <v>0</v>
      </c>
      <c r="M224" s="219" t="b">
        <f>IFERROR(VLOOKUP($A224,AlgoUi!$A$1:$M$1779,12,0),"0")</f>
        <v>1</v>
      </c>
      <c r="N224" s="219" t="str">
        <f>IFERROR(VLOOKUP($A224,AlgoUi!$A$1:$M$1779,11,0),"0")</f>
        <v>TRUE</v>
      </c>
      <c r="O224" s="220" t="str">
        <f t="shared" si="3"/>
        <v>#REF!</v>
      </c>
      <c r="R224" s="42" t="str">
        <f>VLOOKUP($A224,Category!$A$1:$E$351,4,0)</f>
        <v>MS</v>
      </c>
      <c r="S224" s="42" t="str">
        <f>VLOOKUP($A224,Category!$A$1:$E$351,5,0)</f>
        <v>MSP</v>
      </c>
    </row>
    <row r="225">
      <c r="A225" s="83" t="s">
        <v>339</v>
      </c>
      <c r="B225" s="343" t="s">
        <v>1408</v>
      </c>
      <c r="C225" s="333">
        <v>2.0</v>
      </c>
      <c r="D225" s="333" t="s">
        <v>311</v>
      </c>
      <c r="E225" s="334">
        <v>35000.0</v>
      </c>
      <c r="F225" s="335">
        <v>50000.0</v>
      </c>
      <c r="G225" s="220" t="s">
        <v>674</v>
      </c>
      <c r="H225" s="220">
        <v>1.0</v>
      </c>
      <c r="I225" s="337">
        <f t="shared" si="1"/>
        <v>0.7</v>
      </c>
      <c r="J225" s="220"/>
      <c r="K225" s="336" t="b">
        <f t="shared" si="2"/>
        <v>0</v>
      </c>
      <c r="L225" s="219" t="b">
        <f>IFERROR(VLOOKUP($A225,AlgoUi!$A$1:$M$1779,13,0),"0")</f>
        <v>0</v>
      </c>
      <c r="M225" s="219" t="b">
        <f>IFERROR(VLOOKUP($A225,AlgoUi!$A$1:$M$1779,12,0),"0")</f>
        <v>1</v>
      </c>
      <c r="N225" s="219" t="str">
        <f>IFERROR(VLOOKUP($A225,AlgoUi!$A$1:$M$1779,11,0),"0")</f>
        <v>TRUE</v>
      </c>
      <c r="O225" s="220" t="str">
        <f t="shared" si="3"/>
        <v>#REF!</v>
      </c>
      <c r="R225" s="42" t="str">
        <f>VLOOKUP($A225,Category!$A$1:$E$351,4,0)</f>
        <v>MS</v>
      </c>
      <c r="S225" s="42" t="str">
        <f>VLOOKUP($A225,Category!$A$1:$E$351,5,0)</f>
        <v>MSP</v>
      </c>
    </row>
    <row r="226">
      <c r="A226" s="83" t="s">
        <v>1411</v>
      </c>
      <c r="B226" s="343" t="s">
        <v>1412</v>
      </c>
      <c r="C226" s="333">
        <v>2.0</v>
      </c>
      <c r="D226" s="333" t="s">
        <v>311</v>
      </c>
      <c r="E226" s="344">
        <v>42000.0</v>
      </c>
      <c r="F226" s="219">
        <v>60000.0</v>
      </c>
      <c r="G226" s="220" t="s">
        <v>674</v>
      </c>
      <c r="H226" s="220">
        <v>1.0</v>
      </c>
      <c r="I226" s="337">
        <f t="shared" si="1"/>
        <v>0.7</v>
      </c>
      <c r="J226" s="220"/>
      <c r="K226" s="336" t="b">
        <f t="shared" si="2"/>
        <v>0</v>
      </c>
      <c r="L226" s="219" t="b">
        <f>IFERROR(VLOOKUP($A226,AlgoUi!$A$1:$M$1779,13,0),"0")</f>
        <v>0</v>
      </c>
      <c r="M226" s="219" t="b">
        <f>IFERROR(VLOOKUP($A226,AlgoUi!$A$1:$M$1779,12,0),"0")</f>
        <v>0</v>
      </c>
      <c r="N226" s="219" t="str">
        <f>IFERROR(VLOOKUP($A226,AlgoUi!$A$1:$M$1779,11,0),"0")</f>
        <v>TRUE</v>
      </c>
      <c r="O226" s="220" t="str">
        <f t="shared" si="3"/>
        <v>#REF!</v>
      </c>
      <c r="R226" s="42" t="str">
        <f>VLOOKUP($A226,Category!$A$1:$E$351,4,0)</f>
        <v>MS</v>
      </c>
      <c r="S226" s="42" t="str">
        <f>VLOOKUP($A226,Category!$A$1:$E$351,5,0)</f>
        <v>MSP</v>
      </c>
    </row>
    <row r="227">
      <c r="A227" s="83" t="s">
        <v>465</v>
      </c>
      <c r="B227" s="343" t="s">
        <v>1714</v>
      </c>
      <c r="C227" s="333">
        <v>2.0</v>
      </c>
      <c r="D227" s="333" t="s">
        <v>311</v>
      </c>
      <c r="E227" s="344">
        <v>28000.0</v>
      </c>
      <c r="F227" s="219">
        <v>40000.0</v>
      </c>
      <c r="G227" s="220" t="s">
        <v>249</v>
      </c>
      <c r="H227" s="220">
        <v>1.0</v>
      </c>
      <c r="I227" s="337">
        <f t="shared" si="1"/>
        <v>0.7</v>
      </c>
      <c r="J227" s="220"/>
      <c r="K227" s="336" t="b">
        <f t="shared" si="2"/>
        <v>0</v>
      </c>
      <c r="L227" s="219" t="b">
        <f>IFERROR(VLOOKUP($A227,AlgoUi!$A$1:$M$1779,13,0),"0")</f>
        <v>0</v>
      </c>
      <c r="M227" s="219" t="b">
        <f>IFERROR(VLOOKUP($A227,AlgoUi!$A$1:$M$1779,12,0),"0")</f>
        <v>1</v>
      </c>
      <c r="N227" s="219" t="str">
        <f>IFERROR(VLOOKUP($A227,AlgoUi!$A$1:$M$1779,11,0),"0")</f>
        <v>TRUE</v>
      </c>
      <c r="O227" s="220" t="str">
        <f t="shared" si="3"/>
        <v>#REF!</v>
      </c>
      <c r="R227" s="42" t="str">
        <f>VLOOKUP($A227,Category!$A$1:$E$351,4,0)</f>
        <v>MS</v>
      </c>
      <c r="S227" s="42" t="str">
        <f>VLOOKUP($A227,Category!$A$1:$E$351,5,0)</f>
        <v>MSR</v>
      </c>
    </row>
    <row r="228">
      <c r="A228" s="83" t="s">
        <v>508</v>
      </c>
      <c r="B228" s="162" t="s">
        <v>1448</v>
      </c>
      <c r="C228" s="42"/>
      <c r="D228" s="333" t="s">
        <v>311</v>
      </c>
      <c r="E228" s="334">
        <v>42000.0</v>
      </c>
      <c r="F228" s="335">
        <v>60000.0</v>
      </c>
      <c r="G228" s="18" t="s">
        <v>674</v>
      </c>
      <c r="H228" s="18">
        <v>1.0</v>
      </c>
      <c r="I228" s="337">
        <f t="shared" si="1"/>
        <v>0.7</v>
      </c>
      <c r="J228" s="42"/>
      <c r="K228" s="336" t="b">
        <f t="shared" si="2"/>
        <v>0</v>
      </c>
      <c r="L228" s="219" t="b">
        <f>IFERROR(VLOOKUP($A228,AlgoUi!$A$1:$M$1779,13,0),"0")</f>
        <v>0</v>
      </c>
      <c r="M228" s="219" t="b">
        <f>IFERROR(VLOOKUP($A228,AlgoUi!$A$1:$M$1779,12,0),"0")</f>
        <v>1</v>
      </c>
      <c r="N228" s="219" t="str">
        <f>IFERROR(VLOOKUP($A228,AlgoUi!$A$1:$M$1779,11,0),"0")</f>
        <v>TRUE</v>
      </c>
      <c r="O228" s="220" t="str">
        <f t="shared" si="3"/>
        <v>#REF!</v>
      </c>
      <c r="R228" s="42" t="str">
        <f>VLOOKUP($A228,Category!$A$1:$E$351,4,0)</f>
        <v>MS</v>
      </c>
      <c r="S228" s="42" t="str">
        <f>VLOOKUP($A228,Category!$A$1:$E$351,5,0)</f>
        <v>MSR</v>
      </c>
    </row>
    <row r="229">
      <c r="A229" s="83" t="s">
        <v>353</v>
      </c>
      <c r="B229" s="343" t="s">
        <v>1909</v>
      </c>
      <c r="C229" s="333">
        <v>2.0</v>
      </c>
      <c r="D229" s="333" t="s">
        <v>311</v>
      </c>
      <c r="E229" s="334">
        <v>42000.0</v>
      </c>
      <c r="F229" s="335">
        <v>60000.0</v>
      </c>
      <c r="G229" s="220" t="s">
        <v>674</v>
      </c>
      <c r="H229" s="220">
        <v>1.0</v>
      </c>
      <c r="I229" s="337">
        <f t="shared" si="1"/>
        <v>0.7</v>
      </c>
      <c r="J229" s="220"/>
      <c r="K229" s="336" t="b">
        <f t="shared" si="2"/>
        <v>0</v>
      </c>
      <c r="L229" s="219" t="b">
        <f>IFERROR(VLOOKUP($A229,AlgoUi!$A$1:$M$1779,13,0),"0")</f>
        <v>0</v>
      </c>
      <c r="M229" s="219" t="b">
        <f>IFERROR(VLOOKUP($A229,AlgoUi!$A$1:$M$1779,12,0),"0")</f>
        <v>1</v>
      </c>
      <c r="N229" s="219" t="str">
        <f>IFERROR(VLOOKUP($A229,AlgoUi!$A$1:$M$1779,11,0),"0")</f>
        <v>TRUE</v>
      </c>
      <c r="O229" s="220" t="str">
        <f t="shared" si="3"/>
        <v>#REF!</v>
      </c>
      <c r="R229" s="42" t="str">
        <f>VLOOKUP($A229,Category!$A$1:$E$351,4,0)</f>
        <v>#N/A</v>
      </c>
      <c r="S229" s="42" t="str">
        <f>VLOOKUP($A229,Category!$A$1:$E$351,5,0)</f>
        <v>#N/A</v>
      </c>
    </row>
    <row r="230">
      <c r="A230" s="83" t="s">
        <v>468</v>
      </c>
      <c r="B230" s="343" t="s">
        <v>1377</v>
      </c>
      <c r="C230" s="333">
        <v>2.0</v>
      </c>
      <c r="D230" s="333" t="s">
        <v>311</v>
      </c>
      <c r="E230" s="334">
        <v>35000.0</v>
      </c>
      <c r="F230" s="335">
        <v>50000.0</v>
      </c>
      <c r="G230" s="220" t="s">
        <v>674</v>
      </c>
      <c r="H230" s="220">
        <v>1.0</v>
      </c>
      <c r="I230" s="337">
        <f t="shared" si="1"/>
        <v>0.7</v>
      </c>
      <c r="J230" s="220"/>
      <c r="K230" s="336" t="b">
        <f t="shared" si="2"/>
        <v>0</v>
      </c>
      <c r="L230" s="219" t="b">
        <f>IFERROR(VLOOKUP($A230,AlgoUi!$A$1:$M$1779,13,0),"0")</f>
        <v>0</v>
      </c>
      <c r="M230" s="219" t="b">
        <f>IFERROR(VLOOKUP($A230,AlgoUi!$A$1:$M$1779,12,0),"0")</f>
        <v>1</v>
      </c>
      <c r="N230" s="219" t="str">
        <f>IFERROR(VLOOKUP($A230,AlgoUi!$A$1:$M$1779,11,0),"0")</f>
        <v>TRUE</v>
      </c>
      <c r="O230" s="220" t="str">
        <f t="shared" si="3"/>
        <v>#REF!</v>
      </c>
      <c r="R230" s="42" t="str">
        <f>VLOOKUP($A230,Category!$A$1:$E$351,4,0)</f>
        <v>MS</v>
      </c>
      <c r="S230" s="42" t="str">
        <f>VLOOKUP($A230,Category!$A$1:$E$351,5,0)</f>
        <v>MSP</v>
      </c>
    </row>
    <row r="231">
      <c r="A231" s="83" t="s">
        <v>425</v>
      </c>
      <c r="B231" s="343" t="s">
        <v>1405</v>
      </c>
      <c r="C231" s="333">
        <v>2.0</v>
      </c>
      <c r="D231" s="333" t="s">
        <v>311</v>
      </c>
      <c r="E231" s="334">
        <v>42000.0</v>
      </c>
      <c r="F231" s="335">
        <v>60000.0</v>
      </c>
      <c r="G231" s="220" t="s">
        <v>674</v>
      </c>
      <c r="H231" s="220">
        <v>1.0</v>
      </c>
      <c r="I231" s="337">
        <f t="shared" si="1"/>
        <v>0.7</v>
      </c>
      <c r="J231" s="220"/>
      <c r="K231" s="336" t="b">
        <f t="shared" si="2"/>
        <v>0</v>
      </c>
      <c r="L231" s="219" t="b">
        <f>IFERROR(VLOOKUP($A231,AlgoUi!$A$1:$M$1779,13,0),"0")</f>
        <v>0</v>
      </c>
      <c r="M231" s="219" t="b">
        <f>IFERROR(VLOOKUP($A231,AlgoUi!$A$1:$M$1779,12,0),"0")</f>
        <v>1</v>
      </c>
      <c r="N231" s="219" t="str">
        <f>IFERROR(VLOOKUP($A231,AlgoUi!$A$1:$M$1779,11,0),"0")</f>
        <v>TRUE</v>
      </c>
      <c r="O231" s="220" t="str">
        <f t="shared" si="3"/>
        <v>#REF!</v>
      </c>
      <c r="R231" s="42" t="str">
        <f>VLOOKUP($A231,Category!$A$1:$E$351,4,0)</f>
        <v>MS</v>
      </c>
      <c r="S231" s="42" t="str">
        <f>VLOOKUP($A231,Category!$A$1:$E$351,5,0)</f>
        <v>MSP</v>
      </c>
    </row>
    <row r="232">
      <c r="A232" s="83" t="s">
        <v>470</v>
      </c>
      <c r="B232" s="343" t="s">
        <v>1871</v>
      </c>
      <c r="C232" s="333">
        <v>2.0</v>
      </c>
      <c r="D232" s="333" t="s">
        <v>311</v>
      </c>
      <c r="E232" s="344">
        <v>35000.0</v>
      </c>
      <c r="F232" s="219">
        <v>50000.0</v>
      </c>
      <c r="G232" s="220" t="s">
        <v>674</v>
      </c>
      <c r="H232" s="220">
        <v>1.0</v>
      </c>
      <c r="I232" s="337">
        <f t="shared" si="1"/>
        <v>0.7</v>
      </c>
      <c r="J232" s="220"/>
      <c r="K232" s="336" t="b">
        <f t="shared" si="2"/>
        <v>0</v>
      </c>
      <c r="L232" s="219" t="b">
        <f>IFERROR(VLOOKUP($A232,AlgoUi!$A$1:$M$1779,13,0),"0")</f>
        <v>0</v>
      </c>
      <c r="M232" s="219" t="b">
        <f>IFERROR(VLOOKUP($A232,AlgoUi!$A$1:$M$1779,12,0),"0")</f>
        <v>0</v>
      </c>
      <c r="N232" s="219" t="str">
        <f>IFERROR(VLOOKUP($A232,AlgoUi!$A$1:$M$1779,11,0),"0")</f>
        <v>TRUE</v>
      </c>
      <c r="O232" s="220" t="str">
        <f t="shared" si="3"/>
        <v>#REF!</v>
      </c>
      <c r="R232" s="42" t="str">
        <f>VLOOKUP($A232,Category!$A$1:$E$351,4,0)</f>
        <v>MS</v>
      </c>
      <c r="S232" s="42" t="str">
        <f>VLOOKUP($A232,Category!$A$1:$E$351,5,0)</f>
        <v>MSR</v>
      </c>
    </row>
    <row r="233">
      <c r="A233" s="83" t="s">
        <v>1166</v>
      </c>
      <c r="B233" s="162" t="s">
        <v>1167</v>
      </c>
      <c r="C233" s="333"/>
      <c r="D233" s="333" t="s">
        <v>266</v>
      </c>
      <c r="E233" s="334">
        <v>490000.0</v>
      </c>
      <c r="F233" s="335">
        <v>700000.0</v>
      </c>
      <c r="G233" s="336" t="s">
        <v>113</v>
      </c>
      <c r="H233" s="220">
        <v>1.0</v>
      </c>
      <c r="I233" s="337">
        <f t="shared" si="1"/>
        <v>0.7</v>
      </c>
      <c r="J233" s="336" t="s">
        <v>273</v>
      </c>
      <c r="K233" s="336" t="b">
        <f t="shared" si="2"/>
        <v>0</v>
      </c>
      <c r="L233" s="219" t="b">
        <f>IFERROR(VLOOKUP($A233,AlgoUi!$A$1:$M$1779,13,0),"0")</f>
        <v>1</v>
      </c>
      <c r="M233" s="219" t="b">
        <f>IFERROR(VLOOKUP($A233,AlgoUi!$A$1:$M$1779,12,0),"0")</f>
        <v>1</v>
      </c>
      <c r="N233" s="219" t="str">
        <f>IFERROR(VLOOKUP($A233,AlgoUi!$A$1:$M$1779,11,0),"0")</f>
        <v>FALSE</v>
      </c>
      <c r="O233" s="220" t="str">
        <f t="shared" si="3"/>
        <v>#REF!</v>
      </c>
      <c r="Q233" s="89" t="s">
        <v>3861</v>
      </c>
      <c r="R233" s="42" t="str">
        <f>VLOOKUP($A233,Category!$A$1:$E$351,4,0)</f>
        <v>MS</v>
      </c>
      <c r="S233" s="42" t="str">
        <f>VLOOKUP($A233,Category!$A$1:$E$351,5,0)</f>
        <v>MSJ</v>
      </c>
    </row>
    <row r="234">
      <c r="A234" s="83" t="s">
        <v>1202</v>
      </c>
      <c r="B234" s="162" t="s">
        <v>291</v>
      </c>
      <c r="C234" s="333"/>
      <c r="D234" s="333" t="s">
        <v>272</v>
      </c>
      <c r="E234" s="334">
        <v>350000.0</v>
      </c>
      <c r="F234" s="335">
        <v>700000.0</v>
      </c>
      <c r="G234" s="220" t="s">
        <v>325</v>
      </c>
      <c r="H234" s="220">
        <v>7.0</v>
      </c>
      <c r="I234" s="337">
        <f t="shared" si="1"/>
        <v>0.5</v>
      </c>
      <c r="J234" s="336" t="s">
        <v>273</v>
      </c>
      <c r="K234" s="336" t="b">
        <f t="shared" si="2"/>
        <v>0</v>
      </c>
      <c r="L234" s="219" t="b">
        <f>IFERROR(VLOOKUP($A234,AlgoUi!$A$1:$M$1779,13,0),"0")</f>
        <v>1</v>
      </c>
      <c r="M234" s="219" t="b">
        <f>IFERROR(VLOOKUP($A234,AlgoUi!$A$1:$M$1779,12,0),"0")</f>
        <v>1</v>
      </c>
      <c r="N234" s="219" t="str">
        <f>IFERROR(VLOOKUP($A234,AlgoUi!$A$1:$M$1779,11,0),"0")</f>
        <v>FALSE</v>
      </c>
      <c r="O234" s="220" t="str">
        <f t="shared" si="3"/>
        <v>#REF!</v>
      </c>
      <c r="Q234" s="89" t="s">
        <v>3861</v>
      </c>
      <c r="R234" s="42" t="str">
        <f>VLOOKUP($A234,Category!$A$1:$E$351,4,0)</f>
        <v>MS</v>
      </c>
      <c r="S234" s="42" t="str">
        <f>VLOOKUP($A234,Category!$A$1:$E$351,5,0)</f>
        <v>MSJ</v>
      </c>
    </row>
    <row r="235">
      <c r="A235" s="83" t="s">
        <v>663</v>
      </c>
      <c r="B235" s="162" t="s">
        <v>1198</v>
      </c>
      <c r="C235" s="333"/>
      <c r="D235" s="333" t="s">
        <v>285</v>
      </c>
      <c r="E235" s="334">
        <v>250000.0</v>
      </c>
      <c r="F235" s="335">
        <v>500000.0</v>
      </c>
      <c r="G235" s="220" t="s">
        <v>325</v>
      </c>
      <c r="H235" s="220">
        <v>7.0</v>
      </c>
      <c r="I235" s="337">
        <f t="shared" si="1"/>
        <v>0.5</v>
      </c>
      <c r="J235" s="336" t="s">
        <v>273</v>
      </c>
      <c r="K235" s="336" t="b">
        <f t="shared" si="2"/>
        <v>0</v>
      </c>
      <c r="L235" s="219" t="b">
        <f>IFERROR(VLOOKUP($A235,AlgoUi!$A$1:$M$1779,13,0),"0")</f>
        <v>1</v>
      </c>
      <c r="M235" s="219" t="b">
        <f>IFERROR(VLOOKUP($A235,AlgoUi!$A$1:$M$1779,12,0),"0")</f>
        <v>1</v>
      </c>
      <c r="N235" s="219" t="str">
        <f>IFERROR(VLOOKUP($A235,AlgoUi!$A$1:$M$1779,11,0),"0")</f>
        <v>TRUE</v>
      </c>
      <c r="O235" s="220" t="str">
        <f t="shared" si="3"/>
        <v>#REF!</v>
      </c>
      <c r="Q235" s="89" t="s">
        <v>3861</v>
      </c>
      <c r="R235" s="42" t="str">
        <f>VLOOKUP($A235,Category!$A$1:$E$351,4,0)</f>
        <v>MS</v>
      </c>
      <c r="S235" s="42" t="str">
        <f>VLOOKUP($A235,Category!$A$1:$E$351,5,0)</f>
        <v>MSJ</v>
      </c>
    </row>
    <row r="236">
      <c r="A236" s="83" t="s">
        <v>431</v>
      </c>
      <c r="B236" s="343" t="s">
        <v>432</v>
      </c>
      <c r="C236" s="333">
        <v>2.0</v>
      </c>
      <c r="D236" s="333" t="s">
        <v>311</v>
      </c>
      <c r="E236" s="334">
        <v>88000.0</v>
      </c>
      <c r="F236" s="335">
        <v>110000.0</v>
      </c>
      <c r="G236" s="336" t="s">
        <v>329</v>
      </c>
      <c r="H236" s="220">
        <v>7.0</v>
      </c>
      <c r="I236" s="337">
        <f t="shared" si="1"/>
        <v>0.8</v>
      </c>
      <c r="J236" s="220"/>
      <c r="K236" s="336" t="b">
        <f t="shared" si="2"/>
        <v>0</v>
      </c>
      <c r="L236" s="219" t="b">
        <f>IFERROR(VLOOKUP($A236,AlgoUi!$A$1:$M$1779,13,0),"0")</f>
        <v>0</v>
      </c>
      <c r="M236" s="219" t="b">
        <f>IFERROR(VLOOKUP($A236,AlgoUi!$A$1:$M$1779,12,0),"0")</f>
        <v>0</v>
      </c>
      <c r="N236" s="219" t="str">
        <f>IFERROR(VLOOKUP($A236,AlgoUi!$A$1:$M$1779,11,0),"0")</f>
        <v>TRUE</v>
      </c>
      <c r="O236" s="220" t="str">
        <f t="shared" si="3"/>
        <v>#REF!</v>
      </c>
      <c r="R236" s="42" t="str">
        <f>VLOOKUP($A236,Category!$A$1:$E$351,4,0)</f>
        <v>MS</v>
      </c>
      <c r="S236" s="42" t="str">
        <f>VLOOKUP($A236,Category!$A$1:$E$351,5,0)</f>
        <v>MSR</v>
      </c>
    </row>
    <row r="237">
      <c r="A237" s="83" t="s">
        <v>688</v>
      </c>
      <c r="B237" s="343" t="s">
        <v>1475</v>
      </c>
      <c r="C237" s="333">
        <v>2.0</v>
      </c>
      <c r="D237" s="333" t="s">
        <v>311</v>
      </c>
      <c r="E237" s="344">
        <v>120000.0</v>
      </c>
      <c r="F237" s="219">
        <v>150000.0</v>
      </c>
      <c r="G237" s="220" t="s">
        <v>75</v>
      </c>
      <c r="H237" s="220">
        <v>7.0</v>
      </c>
      <c r="I237" s="337">
        <f t="shared" si="1"/>
        <v>0.8</v>
      </c>
      <c r="J237" s="336" t="s">
        <v>3909</v>
      </c>
      <c r="K237" s="336" t="b">
        <f t="shared" si="2"/>
        <v>0</v>
      </c>
      <c r="L237" s="219" t="b">
        <f>IFERROR(VLOOKUP($A237,AlgoUi!$A$1:$M$1779,13,0),"0")</f>
        <v>0</v>
      </c>
      <c r="M237" s="219" t="b">
        <f>IFERROR(VLOOKUP($A237,AlgoUi!$A$1:$M$1779,12,0),"0")</f>
        <v>1</v>
      </c>
      <c r="N237" s="219" t="str">
        <f>IFERROR(VLOOKUP($A237,AlgoUi!$A$1:$M$1779,11,0),"0")</f>
        <v>TRUE</v>
      </c>
      <c r="O237" s="220" t="str">
        <f t="shared" si="3"/>
        <v>#REF!</v>
      </c>
      <c r="R237" s="42" t="str">
        <f>VLOOKUP($A237,Category!$A$1:$E$351,4,0)</f>
        <v>MS</v>
      </c>
      <c r="S237" s="42" t="str">
        <f>VLOOKUP($A237,Category!$A$1:$E$351,5,0)</f>
        <v>MSR</v>
      </c>
    </row>
    <row r="238">
      <c r="A238" s="83" t="s">
        <v>1492</v>
      </c>
      <c r="B238" s="343" t="s">
        <v>1493</v>
      </c>
      <c r="C238" s="333"/>
      <c r="D238" s="333" t="s">
        <v>311</v>
      </c>
      <c r="E238" s="334">
        <v>48000.0</v>
      </c>
      <c r="F238" s="335">
        <v>60000.0</v>
      </c>
      <c r="G238" s="336" t="s">
        <v>75</v>
      </c>
      <c r="H238" s="336">
        <v>7.0</v>
      </c>
      <c r="I238" s="337">
        <f t="shared" si="1"/>
        <v>0.8</v>
      </c>
      <c r="J238" s="220"/>
      <c r="K238" s="336" t="b">
        <f t="shared" si="2"/>
        <v>0</v>
      </c>
      <c r="L238" s="219" t="b">
        <f>IFERROR(VLOOKUP($A238,AlgoUi!$A$1:$M$1779,13,0),"0")</f>
        <v>0</v>
      </c>
      <c r="M238" s="219" t="b">
        <f>IFERROR(VLOOKUP($A238,AlgoUi!$A$1:$M$1779,12,0),"0")</f>
        <v>1</v>
      </c>
      <c r="N238" s="219" t="str">
        <f>IFERROR(VLOOKUP($A238,AlgoUi!$A$1:$M$1779,11,0),"0")</f>
        <v>TRUE</v>
      </c>
      <c r="O238" s="220" t="str">
        <f t="shared" si="3"/>
        <v>#REF!</v>
      </c>
      <c r="R238" s="42" t="str">
        <f>VLOOKUP($A238,Category!$A$1:$E$351,4,0)</f>
        <v>MS</v>
      </c>
      <c r="S238" s="42" t="str">
        <f>VLOOKUP($A238,Category!$A$1:$E$351,5,0)</f>
        <v>MSR</v>
      </c>
    </row>
    <row r="239">
      <c r="A239" s="83" t="s">
        <v>1503</v>
      </c>
      <c r="B239" s="343" t="s">
        <v>1504</v>
      </c>
      <c r="C239" s="333">
        <v>2.0</v>
      </c>
      <c r="D239" s="333" t="s">
        <v>311</v>
      </c>
      <c r="E239" s="344">
        <v>40000.0</v>
      </c>
      <c r="F239" s="219">
        <v>50000.0</v>
      </c>
      <c r="G239" s="220" t="s">
        <v>75</v>
      </c>
      <c r="H239" s="220">
        <v>7.0</v>
      </c>
      <c r="I239" s="337">
        <f t="shared" si="1"/>
        <v>0.8</v>
      </c>
      <c r="J239" s="220"/>
      <c r="K239" s="336" t="b">
        <f t="shared" si="2"/>
        <v>0</v>
      </c>
      <c r="L239" s="219" t="b">
        <f>IFERROR(VLOOKUP($A239,AlgoUi!$A$1:$M$1779,13,0),"0")</f>
        <v>0</v>
      </c>
      <c r="M239" s="219" t="b">
        <f>IFERROR(VLOOKUP($A239,AlgoUi!$A$1:$M$1779,12,0),"0")</f>
        <v>1</v>
      </c>
      <c r="N239" s="219" t="str">
        <f>IFERROR(VLOOKUP($A239,AlgoUi!$A$1:$M$1779,11,0),"0")</f>
        <v>TRUE</v>
      </c>
      <c r="O239" s="220" t="str">
        <f t="shared" si="3"/>
        <v>#REF!</v>
      </c>
      <c r="R239" s="42" t="str">
        <f>VLOOKUP($A239,Category!$A$1:$E$351,4,0)</f>
        <v>MS</v>
      </c>
      <c r="S239" s="42" t="str">
        <f>VLOOKUP($A239,Category!$A$1:$E$351,5,0)</f>
        <v>MSR</v>
      </c>
    </row>
    <row r="240">
      <c r="A240" s="83" t="s">
        <v>1110</v>
      </c>
      <c r="B240" s="343" t="s">
        <v>1506</v>
      </c>
      <c r="C240" s="333"/>
      <c r="D240" s="333" t="s">
        <v>232</v>
      </c>
      <c r="E240" s="344">
        <v>40000.0</v>
      </c>
      <c r="F240" s="219">
        <v>50000.0</v>
      </c>
      <c r="G240" s="336" t="s">
        <v>75</v>
      </c>
      <c r="H240" s="336">
        <v>7.0</v>
      </c>
      <c r="I240" s="337">
        <f t="shared" si="1"/>
        <v>0.8</v>
      </c>
      <c r="J240" s="220"/>
      <c r="K240" s="336" t="b">
        <f t="shared" si="2"/>
        <v>0</v>
      </c>
      <c r="L240" s="219" t="b">
        <f>IFERROR(VLOOKUP($A240,AlgoUi!$A$1:$M$1779,13,0),"0")</f>
        <v>1</v>
      </c>
      <c r="M240" s="219" t="b">
        <f>IFERROR(VLOOKUP($A240,AlgoUi!$A$1:$M$1779,12,0),"0")</f>
        <v>1</v>
      </c>
      <c r="N240" s="219" t="str">
        <f>IFERROR(VLOOKUP($A240,AlgoUi!$A$1:$M$1779,11,0),"0")</f>
        <v>TRUE</v>
      </c>
      <c r="O240" s="220" t="str">
        <f t="shared" si="3"/>
        <v>#REF!</v>
      </c>
      <c r="R240" s="42" t="str">
        <f>VLOOKUP($A240,Category!$A$1:$E$351,4,0)</f>
        <v>MS</v>
      </c>
      <c r="S240" s="42" t="str">
        <f>VLOOKUP($A240,Category!$A$1:$E$351,5,0)</f>
        <v>MSR</v>
      </c>
    </row>
    <row r="241">
      <c r="A241" s="83" t="s">
        <v>1508</v>
      </c>
      <c r="B241" s="343" t="s">
        <v>1509</v>
      </c>
      <c r="C241" s="333">
        <v>2.0</v>
      </c>
      <c r="D241" s="333" t="s">
        <v>311</v>
      </c>
      <c r="E241" s="334">
        <v>0.0</v>
      </c>
      <c r="F241" s="335">
        <v>0.0</v>
      </c>
      <c r="G241" s="220" t="s">
        <v>75</v>
      </c>
      <c r="H241" s="220">
        <v>7.0</v>
      </c>
      <c r="I241" s="337">
        <f t="shared" si="1"/>
        <v>0</v>
      </c>
      <c r="J241" s="220"/>
      <c r="K241" s="336" t="b">
        <f t="shared" si="2"/>
        <v>0</v>
      </c>
      <c r="L241" s="219" t="b">
        <f>IFERROR(VLOOKUP($A241,AlgoUi!$A$1:$M$1779,13,0),"0")</f>
        <v>0</v>
      </c>
      <c r="M241" s="219" t="b">
        <f>IFERROR(VLOOKUP($A241,AlgoUi!$A$1:$M$1779,12,0),"0")</f>
        <v>1</v>
      </c>
      <c r="N241" s="219" t="str">
        <f>IFERROR(VLOOKUP($A241,AlgoUi!$A$1:$M$1779,11,0),"0")</f>
        <v>TRUE</v>
      </c>
      <c r="O241" s="220" t="str">
        <f t="shared" si="3"/>
        <v>#REF!</v>
      </c>
      <c r="P241" s="89" t="s">
        <v>3875</v>
      </c>
      <c r="R241" s="42" t="str">
        <f>VLOOKUP($A241,Category!$A$1:$E$351,4,0)</f>
        <v>MS</v>
      </c>
      <c r="S241" s="42" t="str">
        <f>VLOOKUP($A241,Category!$A$1:$E$351,5,0)</f>
        <v>MSR</v>
      </c>
    </row>
    <row r="242">
      <c r="A242" s="83" t="s">
        <v>604</v>
      </c>
      <c r="B242" s="343" t="s">
        <v>1566</v>
      </c>
      <c r="C242" s="333">
        <v>2.0</v>
      </c>
      <c r="D242" s="333" t="s">
        <v>311</v>
      </c>
      <c r="E242" s="334">
        <v>48000.0</v>
      </c>
      <c r="F242" s="335">
        <v>60000.0</v>
      </c>
      <c r="G242" s="220" t="s">
        <v>75</v>
      </c>
      <c r="H242" s="220">
        <v>7.0</v>
      </c>
      <c r="I242" s="337">
        <f t="shared" si="1"/>
        <v>0.8</v>
      </c>
      <c r="J242" s="220"/>
      <c r="K242" s="336" t="b">
        <f t="shared" si="2"/>
        <v>0</v>
      </c>
      <c r="L242" s="219" t="b">
        <f>IFERROR(VLOOKUP($A242,AlgoUi!$A$1:$M$1779,13,0),"0")</f>
        <v>0</v>
      </c>
      <c r="M242" s="219" t="b">
        <f>IFERROR(VLOOKUP($A242,AlgoUi!$A$1:$M$1779,12,0),"0")</f>
        <v>1</v>
      </c>
      <c r="N242" s="219" t="str">
        <f>IFERROR(VLOOKUP($A242,AlgoUi!$A$1:$M$1779,11,0),"0")</f>
        <v>TRUE</v>
      </c>
      <c r="O242" s="220" t="str">
        <f t="shared" si="3"/>
        <v>#REF!</v>
      </c>
      <c r="R242" s="42" t="str">
        <f>VLOOKUP($A242,Category!$A$1:$E$351,4,0)</f>
        <v>MS</v>
      </c>
      <c r="S242" s="42" t="str">
        <f>VLOOKUP($A242,Category!$A$1:$E$351,5,0)</f>
        <v>MSR</v>
      </c>
    </row>
    <row r="243">
      <c r="A243" s="83" t="s">
        <v>1568</v>
      </c>
      <c r="B243" s="343" t="s">
        <v>1569</v>
      </c>
      <c r="C243" s="333"/>
      <c r="D243" s="333" t="s">
        <v>311</v>
      </c>
      <c r="E243" s="344">
        <v>56000.0</v>
      </c>
      <c r="F243" s="219">
        <v>70000.0</v>
      </c>
      <c r="G243" s="336" t="s">
        <v>75</v>
      </c>
      <c r="H243" s="336">
        <v>7.0</v>
      </c>
      <c r="I243" s="337">
        <f t="shared" si="1"/>
        <v>0.8</v>
      </c>
      <c r="J243" s="220"/>
      <c r="K243" s="336" t="b">
        <f t="shared" si="2"/>
        <v>0</v>
      </c>
      <c r="L243" s="219" t="b">
        <f>IFERROR(VLOOKUP($A243,AlgoUi!$A$1:$M$1779,13,0),"0")</f>
        <v>0</v>
      </c>
      <c r="M243" s="219" t="b">
        <f>IFERROR(VLOOKUP($A243,AlgoUi!$A$1:$M$1779,12,0),"0")</f>
        <v>1</v>
      </c>
      <c r="N243" s="219" t="str">
        <f>IFERROR(VLOOKUP($A243,AlgoUi!$A$1:$M$1779,11,0),"0")</f>
        <v>TRUE</v>
      </c>
      <c r="O243" s="220" t="str">
        <f t="shared" si="3"/>
        <v>#REF!</v>
      </c>
      <c r="R243" s="42" t="str">
        <f>VLOOKUP($A243,Category!$A$1:$E$351,4,0)</f>
        <v>MS</v>
      </c>
      <c r="S243" s="42" t="str">
        <f>VLOOKUP($A243,Category!$A$1:$E$351,5,0)</f>
        <v>MSR</v>
      </c>
    </row>
    <row r="244">
      <c r="A244" s="83" t="s">
        <v>570</v>
      </c>
      <c r="B244" s="343" t="s">
        <v>1578</v>
      </c>
      <c r="C244" s="333">
        <v>2.0</v>
      </c>
      <c r="D244" s="333" t="s">
        <v>232</v>
      </c>
      <c r="E244" s="334">
        <v>64000.0</v>
      </c>
      <c r="F244" s="335">
        <v>80000.0</v>
      </c>
      <c r="G244" s="220" t="s">
        <v>75</v>
      </c>
      <c r="H244" s="220">
        <v>7.0</v>
      </c>
      <c r="I244" s="337">
        <f t="shared" si="1"/>
        <v>0.8</v>
      </c>
      <c r="J244" s="220"/>
      <c r="K244" s="336" t="b">
        <f t="shared" si="2"/>
        <v>0</v>
      </c>
      <c r="L244" s="219" t="b">
        <f>IFERROR(VLOOKUP($A244,AlgoUi!$A$1:$M$1779,13,0),"0")</f>
        <v>0</v>
      </c>
      <c r="M244" s="219" t="b">
        <f>IFERROR(VLOOKUP($A244,AlgoUi!$A$1:$M$1779,12,0),"0")</f>
        <v>1</v>
      </c>
      <c r="N244" s="219" t="str">
        <f>IFERROR(VLOOKUP($A244,AlgoUi!$A$1:$M$1779,11,0),"0")</f>
        <v>TRUE</v>
      </c>
      <c r="O244" s="220" t="str">
        <f t="shared" si="3"/>
        <v>#REF!</v>
      </c>
      <c r="R244" s="42" t="str">
        <f>VLOOKUP($A244,Category!$A$1:$E$351,4,0)</f>
        <v>MS</v>
      </c>
      <c r="S244" s="42" t="str">
        <f>VLOOKUP($A244,Category!$A$1:$E$351,5,0)</f>
        <v>MSR</v>
      </c>
    </row>
    <row r="245">
      <c r="A245" s="83" t="s">
        <v>495</v>
      </c>
      <c r="B245" s="343" t="s">
        <v>1094</v>
      </c>
      <c r="C245" s="333">
        <v>2.0</v>
      </c>
      <c r="D245" s="333" t="s">
        <v>232</v>
      </c>
      <c r="E245" s="334">
        <v>104000.0</v>
      </c>
      <c r="F245" s="335">
        <v>130000.0</v>
      </c>
      <c r="G245" s="220" t="s">
        <v>75</v>
      </c>
      <c r="H245" s="220">
        <v>7.0</v>
      </c>
      <c r="I245" s="337">
        <f t="shared" si="1"/>
        <v>0.8</v>
      </c>
      <c r="J245" s="220"/>
      <c r="K245" s="336" t="b">
        <f t="shared" si="2"/>
        <v>0</v>
      </c>
      <c r="L245" s="219" t="b">
        <f>IFERROR(VLOOKUP($A245,AlgoUi!$A$1:$M$1779,13,0),"0")</f>
        <v>0</v>
      </c>
      <c r="M245" s="219" t="b">
        <f>IFERROR(VLOOKUP($A245,AlgoUi!$A$1:$M$1779,12,0),"0")</f>
        <v>1</v>
      </c>
      <c r="N245" s="219" t="str">
        <f>IFERROR(VLOOKUP($A245,AlgoUi!$A$1:$M$1779,11,0),"0")</f>
        <v>TRUE</v>
      </c>
      <c r="O245" s="220" t="str">
        <f t="shared" si="3"/>
        <v>#REF!</v>
      </c>
      <c r="R245" s="42" t="str">
        <f>VLOOKUP($A245,Category!$A$1:$E$351,4,0)</f>
        <v>MS</v>
      </c>
      <c r="S245" s="42" t="str">
        <f>VLOOKUP($A245,Category!$A$1:$E$351,5,0)</f>
        <v>MSR</v>
      </c>
    </row>
    <row r="246">
      <c r="A246" s="83" t="s">
        <v>350</v>
      </c>
      <c r="B246" s="343" t="s">
        <v>1635</v>
      </c>
      <c r="C246" s="333">
        <v>2.0</v>
      </c>
      <c r="D246" s="333" t="s">
        <v>311</v>
      </c>
      <c r="E246" s="334">
        <v>56000.0</v>
      </c>
      <c r="F246" s="335">
        <v>70000.0</v>
      </c>
      <c r="G246" s="220" t="s">
        <v>75</v>
      </c>
      <c r="H246" s="220">
        <v>7.0</v>
      </c>
      <c r="I246" s="337">
        <f t="shared" si="1"/>
        <v>0.8</v>
      </c>
      <c r="J246" s="220"/>
      <c r="K246" s="336" t="b">
        <f t="shared" si="2"/>
        <v>0</v>
      </c>
      <c r="L246" s="219" t="b">
        <f>IFERROR(VLOOKUP($A246,AlgoUi!$A$1:$M$1779,13,0),"0")</f>
        <v>0</v>
      </c>
      <c r="M246" s="219" t="b">
        <f>IFERROR(VLOOKUP($A246,AlgoUi!$A$1:$M$1779,12,0),"0")</f>
        <v>1</v>
      </c>
      <c r="N246" s="219" t="str">
        <f>IFERROR(VLOOKUP($A246,AlgoUi!$A$1:$M$1779,11,0),"0")</f>
        <v>TRUE</v>
      </c>
      <c r="O246" s="220" t="str">
        <f t="shared" si="3"/>
        <v>#REF!</v>
      </c>
      <c r="R246" s="42" t="str">
        <f>VLOOKUP($A246,Category!$A$1:$E$351,4,0)</f>
        <v>MS</v>
      </c>
      <c r="S246" s="42" t="str">
        <f>VLOOKUP($A246,Category!$A$1:$E$351,5,0)</f>
        <v>MSR</v>
      </c>
    </row>
    <row r="247">
      <c r="A247" s="83" t="s">
        <v>1514</v>
      </c>
      <c r="B247" s="343" t="s">
        <v>1515</v>
      </c>
      <c r="C247" s="333">
        <v>2.0</v>
      </c>
      <c r="D247" s="333" t="s">
        <v>311</v>
      </c>
      <c r="E247" s="334">
        <v>88000.0</v>
      </c>
      <c r="F247" s="335">
        <v>110000.0</v>
      </c>
      <c r="G247" s="336" t="s">
        <v>329</v>
      </c>
      <c r="H247" s="220">
        <v>7.0</v>
      </c>
      <c r="I247" s="337">
        <f t="shared" si="1"/>
        <v>0.8</v>
      </c>
      <c r="J247" s="220"/>
      <c r="K247" s="336" t="b">
        <f t="shared" si="2"/>
        <v>0</v>
      </c>
      <c r="L247" s="219" t="b">
        <f>IFERROR(VLOOKUP($A247,AlgoUi!$A$1:$M$1779,13,0),"0")</f>
        <v>0</v>
      </c>
      <c r="M247" s="219" t="b">
        <f>IFERROR(VLOOKUP($A247,AlgoUi!$A$1:$M$1779,12,0),"0")</f>
        <v>1</v>
      </c>
      <c r="N247" s="219" t="str">
        <f>IFERROR(VLOOKUP($A247,AlgoUi!$A$1:$M$1779,11,0),"0")</f>
        <v>TRUE</v>
      </c>
      <c r="O247" s="220" t="str">
        <f t="shared" si="3"/>
        <v>#REF!</v>
      </c>
      <c r="R247" s="42" t="str">
        <f>VLOOKUP($A247,Category!$A$1:$E$351,4,0)</f>
        <v>MS</v>
      </c>
      <c r="S247" s="42" t="str">
        <f>VLOOKUP($A247,Category!$A$1:$E$351,5,0)</f>
        <v>MSR</v>
      </c>
    </row>
    <row r="248">
      <c r="A248" s="83" t="s">
        <v>635</v>
      </c>
      <c r="B248" s="343" t="s">
        <v>1668</v>
      </c>
      <c r="C248" s="333"/>
      <c r="D248" s="333" t="s">
        <v>232</v>
      </c>
      <c r="E248" s="334">
        <v>64000.0</v>
      </c>
      <c r="F248" s="335">
        <v>80000.0</v>
      </c>
      <c r="G248" s="336" t="s">
        <v>75</v>
      </c>
      <c r="H248" s="336">
        <v>7.0</v>
      </c>
      <c r="I248" s="337">
        <f t="shared" si="1"/>
        <v>0.8</v>
      </c>
      <c r="J248" s="220"/>
      <c r="K248" s="336" t="b">
        <f t="shared" si="2"/>
        <v>0</v>
      </c>
      <c r="L248" s="219" t="b">
        <f>IFERROR(VLOOKUP($A248,AlgoUi!$A$1:$M$1779,13,0),"0")</f>
        <v>0</v>
      </c>
      <c r="M248" s="219" t="b">
        <f>IFERROR(VLOOKUP($A248,AlgoUi!$A$1:$M$1779,12,0),"0")</f>
        <v>1</v>
      </c>
      <c r="N248" s="219" t="str">
        <f>IFERROR(VLOOKUP($A248,AlgoUi!$A$1:$M$1779,11,0),"0")</f>
        <v>TRUE</v>
      </c>
      <c r="O248" s="220" t="str">
        <f t="shared" si="3"/>
        <v>#REF!</v>
      </c>
      <c r="R248" s="42" t="str">
        <f>VLOOKUP($A248,Category!$A$1:$E$351,4,0)</f>
        <v>MS</v>
      </c>
      <c r="S248" s="42" t="str">
        <f>VLOOKUP($A248,Category!$A$1:$E$351,5,0)</f>
        <v>MSR</v>
      </c>
    </row>
    <row r="249">
      <c r="A249" s="83" t="s">
        <v>448</v>
      </c>
      <c r="B249" s="343" t="s">
        <v>1737</v>
      </c>
      <c r="C249" s="333">
        <v>2.0</v>
      </c>
      <c r="D249" s="333" t="s">
        <v>311</v>
      </c>
      <c r="E249" s="344">
        <v>48000.0</v>
      </c>
      <c r="F249" s="219">
        <v>60000.0</v>
      </c>
      <c r="G249" s="220" t="s">
        <v>75</v>
      </c>
      <c r="H249" s="220">
        <v>7.0</v>
      </c>
      <c r="I249" s="337">
        <f t="shared" si="1"/>
        <v>0.8</v>
      </c>
      <c r="J249" s="220"/>
      <c r="K249" s="336" t="b">
        <f t="shared" si="2"/>
        <v>0</v>
      </c>
      <c r="L249" s="219" t="b">
        <f>IFERROR(VLOOKUP($A249,AlgoUi!$A$1:$M$1779,13,0),"0")</f>
        <v>0</v>
      </c>
      <c r="M249" s="219" t="b">
        <f>IFERROR(VLOOKUP($A249,AlgoUi!$A$1:$M$1779,12,0),"0")</f>
        <v>1</v>
      </c>
      <c r="N249" s="219" t="str">
        <f>IFERROR(VLOOKUP($A249,AlgoUi!$A$1:$M$1779,11,0),"0")</f>
        <v>TRUE</v>
      </c>
      <c r="O249" s="220" t="str">
        <f t="shared" si="3"/>
        <v>#REF!</v>
      </c>
      <c r="R249" s="42" t="str">
        <f>VLOOKUP($A249,Category!$A$1:$E$351,4,0)</f>
        <v>MS</v>
      </c>
      <c r="S249" s="42" t="str">
        <f>VLOOKUP($A249,Category!$A$1:$E$351,5,0)</f>
        <v>MSR</v>
      </c>
    </row>
    <row r="250">
      <c r="A250" s="83" t="s">
        <v>96</v>
      </c>
      <c r="B250" s="343" t="s">
        <v>1869</v>
      </c>
      <c r="C250" s="333">
        <v>2.0</v>
      </c>
      <c r="D250" s="333" t="s">
        <v>232</v>
      </c>
      <c r="E250" s="344">
        <v>112000.0</v>
      </c>
      <c r="F250" s="219">
        <v>140000.0</v>
      </c>
      <c r="G250" s="220" t="s">
        <v>329</v>
      </c>
      <c r="H250" s="220">
        <v>7.0</v>
      </c>
      <c r="I250" s="337">
        <f t="shared" si="1"/>
        <v>0.8</v>
      </c>
      <c r="J250" s="220"/>
      <c r="K250" s="336" t="b">
        <f t="shared" si="2"/>
        <v>0</v>
      </c>
      <c r="L250" s="219" t="b">
        <f>IFERROR(VLOOKUP($A250,AlgoUi!$A$1:$M$1779,13,0),"0")</f>
        <v>1</v>
      </c>
      <c r="M250" s="219" t="b">
        <f>IFERROR(VLOOKUP($A250,AlgoUi!$A$1:$M$1779,12,0),"0")</f>
        <v>1</v>
      </c>
      <c r="N250" s="219" t="str">
        <f>IFERROR(VLOOKUP($A250,AlgoUi!$A$1:$M$1779,11,0),"0")</f>
        <v>TRUE</v>
      </c>
      <c r="O250" s="220" t="str">
        <f t="shared" si="3"/>
        <v>#REF!</v>
      </c>
      <c r="R250" s="42" t="str">
        <f>VLOOKUP($A250,Category!$A$1:$E$351,4,0)</f>
        <v>MS</v>
      </c>
      <c r="S250" s="42" t="str">
        <f>VLOOKUP($A250,Category!$A$1:$E$351,5,0)</f>
        <v>MSR</v>
      </c>
    </row>
    <row r="251">
      <c r="A251" s="83" t="s">
        <v>415</v>
      </c>
      <c r="B251" s="162" t="s">
        <v>3912</v>
      </c>
      <c r="C251" s="42"/>
      <c r="D251" s="18" t="s">
        <v>311</v>
      </c>
      <c r="E251" s="334">
        <v>48000.0</v>
      </c>
      <c r="F251" s="336">
        <v>60000.0</v>
      </c>
      <c r="G251" s="18" t="s">
        <v>75</v>
      </c>
      <c r="H251" s="18">
        <v>7.0</v>
      </c>
      <c r="I251" s="337">
        <f t="shared" si="1"/>
        <v>0.8</v>
      </c>
      <c r="J251" s="42"/>
      <c r="K251" s="336" t="b">
        <f t="shared" si="2"/>
        <v>0</v>
      </c>
      <c r="L251" s="219" t="b">
        <f>IFERROR(VLOOKUP($A251,AlgoUi!$A$1:$M$1779,13,0),"0")</f>
        <v>0</v>
      </c>
      <c r="M251" s="219" t="b">
        <f>IFERROR(VLOOKUP($A251,AlgoUi!$A$1:$M$1779,12,0),"0")</f>
        <v>1</v>
      </c>
      <c r="N251" s="219" t="str">
        <f>IFERROR(VLOOKUP($A251,AlgoUi!$A$1:$M$1779,11,0),"0")</f>
        <v>TRUE</v>
      </c>
      <c r="O251" s="220" t="str">
        <f t="shared" si="3"/>
        <v>#REF!</v>
      </c>
      <c r="R251" s="42" t="str">
        <f>VLOOKUP($A251,Category!$A$1:$E$351,4,0)</f>
        <v>MS</v>
      </c>
      <c r="S251" s="42" t="str">
        <f>VLOOKUP($A251,Category!$A$1:$E$351,5,0)</f>
        <v>MSR</v>
      </c>
    </row>
    <row r="252">
      <c r="A252" s="83" t="s">
        <v>486</v>
      </c>
      <c r="B252" s="343" t="s">
        <v>1782</v>
      </c>
      <c r="C252" s="333"/>
      <c r="D252" s="333" t="s">
        <v>311</v>
      </c>
      <c r="E252" s="334">
        <v>56000.0</v>
      </c>
      <c r="F252" s="335">
        <v>70000.0</v>
      </c>
      <c r="G252" s="336" t="s">
        <v>75</v>
      </c>
      <c r="H252" s="336">
        <v>7.0</v>
      </c>
      <c r="I252" s="337">
        <f t="shared" si="1"/>
        <v>0.8</v>
      </c>
      <c r="J252" s="220"/>
      <c r="K252" s="336" t="b">
        <f t="shared" si="2"/>
        <v>0</v>
      </c>
      <c r="L252" s="219" t="b">
        <f>IFERROR(VLOOKUP($A252,AlgoUi!$A$1:$M$1779,13,0),"0")</f>
        <v>0</v>
      </c>
      <c r="M252" s="219" t="b">
        <f>IFERROR(VLOOKUP($A252,AlgoUi!$A$1:$M$1779,12,0),"0")</f>
        <v>1</v>
      </c>
      <c r="N252" s="219" t="str">
        <f>IFERROR(VLOOKUP($A252,AlgoUi!$A$1:$M$1779,11,0),"0")</f>
        <v>TRUE</v>
      </c>
      <c r="O252" s="220" t="str">
        <f t="shared" si="3"/>
        <v>#REF!</v>
      </c>
      <c r="R252" s="42" t="str">
        <f>VLOOKUP($A252,Category!$A$1:$E$351,4,0)</f>
        <v>MS</v>
      </c>
      <c r="S252" s="42" t="str">
        <f>VLOOKUP($A252,Category!$A$1:$E$351,5,0)</f>
        <v>MSR</v>
      </c>
    </row>
    <row r="253">
      <c r="A253" s="83" t="s">
        <v>233</v>
      </c>
      <c r="B253" s="343" t="s">
        <v>1812</v>
      </c>
      <c r="C253" s="333"/>
      <c r="D253" s="333" t="s">
        <v>311</v>
      </c>
      <c r="E253" s="334">
        <v>120000.0</v>
      </c>
      <c r="F253" s="335">
        <v>150000.0</v>
      </c>
      <c r="G253" s="336" t="s">
        <v>75</v>
      </c>
      <c r="H253" s="336">
        <v>7.0</v>
      </c>
      <c r="I253" s="337">
        <f t="shared" si="1"/>
        <v>0.8</v>
      </c>
      <c r="J253" s="220"/>
      <c r="K253" s="336" t="b">
        <f t="shared" si="2"/>
        <v>0</v>
      </c>
      <c r="L253" s="219" t="b">
        <f>IFERROR(VLOOKUP($A253,AlgoUi!$A$1:$M$1779,13,0),"0")</f>
        <v>0</v>
      </c>
      <c r="M253" s="219" t="b">
        <f>IFERROR(VLOOKUP($A253,AlgoUi!$A$1:$M$1779,12,0),"0")</f>
        <v>1</v>
      </c>
      <c r="N253" s="219" t="str">
        <f>IFERROR(VLOOKUP($A253,AlgoUi!$A$1:$M$1779,11,0),"0")</f>
        <v>TRUE</v>
      </c>
      <c r="O253" s="220" t="str">
        <f t="shared" si="3"/>
        <v>#REF!</v>
      </c>
      <c r="R253" s="42" t="str">
        <f>VLOOKUP($A253,Category!$A$1:$E$351,4,0)</f>
        <v>MS</v>
      </c>
      <c r="S253" s="42" t="str">
        <f>VLOOKUP($A253,Category!$A$1:$E$351,5,0)</f>
        <v>MSR</v>
      </c>
    </row>
    <row r="254">
      <c r="A254" s="83" t="s">
        <v>1132</v>
      </c>
      <c r="B254" s="343" t="s">
        <v>1460</v>
      </c>
      <c r="C254" s="333">
        <v>2.0</v>
      </c>
      <c r="D254" s="333" t="s">
        <v>232</v>
      </c>
      <c r="E254" s="334">
        <v>40000.0</v>
      </c>
      <c r="F254" s="335">
        <v>50000.0</v>
      </c>
      <c r="G254" s="220" t="s">
        <v>329</v>
      </c>
      <c r="H254" s="220">
        <v>7.0</v>
      </c>
      <c r="I254" s="337">
        <f t="shared" si="1"/>
        <v>0.8</v>
      </c>
      <c r="J254" s="220"/>
      <c r="K254" s="336" t="b">
        <f t="shared" si="2"/>
        <v>0</v>
      </c>
      <c r="L254" s="219" t="b">
        <f>IFERROR(VLOOKUP($A254,AlgoUi!$A$1:$M$1779,13,0),"0")</f>
        <v>0</v>
      </c>
      <c r="M254" s="219" t="b">
        <f>IFERROR(VLOOKUP($A254,AlgoUi!$A$1:$M$1779,12,0),"0")</f>
        <v>1</v>
      </c>
      <c r="N254" s="219" t="str">
        <f>IFERROR(VLOOKUP($A254,AlgoUi!$A$1:$M$1779,11,0),"0")</f>
        <v>TRUE</v>
      </c>
      <c r="O254" s="220" t="str">
        <f t="shared" si="3"/>
        <v>#REF!</v>
      </c>
      <c r="R254" s="42" t="str">
        <f>VLOOKUP($A254,Category!$A$1:$E$351,4,0)</f>
        <v>MS</v>
      </c>
      <c r="S254" s="42" t="str">
        <f>VLOOKUP($A254,Category!$A$1:$E$351,5,0)</f>
        <v>MSR</v>
      </c>
    </row>
    <row r="255">
      <c r="A255" s="83" t="s">
        <v>534</v>
      </c>
      <c r="B255" s="343" t="s">
        <v>1452</v>
      </c>
      <c r="C255" s="333">
        <v>2.0</v>
      </c>
      <c r="D255" s="333" t="s">
        <v>311</v>
      </c>
      <c r="E255" s="344">
        <v>28000.0</v>
      </c>
      <c r="F255" s="219">
        <v>40000.0</v>
      </c>
      <c r="G255" s="220" t="s">
        <v>249</v>
      </c>
      <c r="H255" s="220">
        <v>1.0</v>
      </c>
      <c r="I255" s="337">
        <f t="shared" si="1"/>
        <v>0.7</v>
      </c>
      <c r="J255" s="220"/>
      <c r="K255" s="336" t="b">
        <f t="shared" si="2"/>
        <v>0</v>
      </c>
      <c r="L255" s="219" t="b">
        <f>IFERROR(VLOOKUP($A255,AlgoUi!$A$1:$M$1779,13,0),"0")</f>
        <v>0</v>
      </c>
      <c r="M255" s="219" t="b">
        <f>IFERROR(VLOOKUP($A255,AlgoUi!$A$1:$M$1779,12,0),"0")</f>
        <v>1</v>
      </c>
      <c r="N255" s="219" t="str">
        <f>IFERROR(VLOOKUP($A255,AlgoUi!$A$1:$M$1779,11,0),"0")</f>
        <v>TRUE</v>
      </c>
      <c r="O255" s="220" t="str">
        <f t="shared" si="3"/>
        <v>#REF!</v>
      </c>
      <c r="R255" s="42" t="str">
        <f>VLOOKUP($A255,Category!$A$1:$E$351,4,0)</f>
        <v>MS</v>
      </c>
      <c r="S255" s="42" t="str">
        <f>VLOOKUP($A255,Category!$A$1:$E$351,5,0)</f>
        <v>MSR</v>
      </c>
    </row>
    <row r="256">
      <c r="A256" s="83" t="s">
        <v>343</v>
      </c>
      <c r="B256" s="343" t="s">
        <v>1427</v>
      </c>
      <c r="C256" s="333">
        <v>2.0</v>
      </c>
      <c r="D256" s="333" t="s">
        <v>311</v>
      </c>
      <c r="E256" s="334">
        <v>35000.0</v>
      </c>
      <c r="F256" s="335">
        <v>50000.0</v>
      </c>
      <c r="G256" s="220" t="s">
        <v>249</v>
      </c>
      <c r="H256" s="220">
        <v>1.0</v>
      </c>
      <c r="I256" s="337">
        <f t="shared" si="1"/>
        <v>0.7</v>
      </c>
      <c r="J256" s="220"/>
      <c r="K256" s="336" t="b">
        <f t="shared" si="2"/>
        <v>0</v>
      </c>
      <c r="L256" s="219" t="b">
        <f>IFERROR(VLOOKUP($A256,AlgoUi!$A$1:$M$1779,13,0),"0")</f>
        <v>0</v>
      </c>
      <c r="M256" s="219" t="b">
        <f>IFERROR(VLOOKUP($A256,AlgoUi!$A$1:$M$1779,12,0),"0")</f>
        <v>1</v>
      </c>
      <c r="N256" s="219" t="str">
        <f>IFERROR(VLOOKUP($A256,AlgoUi!$A$1:$M$1779,11,0),"0")</f>
        <v>TRUE</v>
      </c>
      <c r="O256" s="220" t="str">
        <f t="shared" si="3"/>
        <v>#REF!</v>
      </c>
      <c r="R256" s="42" t="str">
        <f>VLOOKUP($A256,Category!$A$1:$E$351,4,0)</f>
        <v>MS</v>
      </c>
      <c r="S256" s="42" t="str">
        <f>VLOOKUP($A256,Category!$A$1:$E$351,5,0)</f>
        <v>MSP</v>
      </c>
    </row>
    <row r="257">
      <c r="A257" s="83" t="s">
        <v>1417</v>
      </c>
      <c r="B257" s="343" t="s">
        <v>1418</v>
      </c>
      <c r="C257" s="333">
        <v>2.0</v>
      </c>
      <c r="D257" s="333" t="s">
        <v>311</v>
      </c>
      <c r="E257" s="334">
        <v>42000.0</v>
      </c>
      <c r="F257" s="335">
        <v>60000.0</v>
      </c>
      <c r="G257" s="220" t="s">
        <v>249</v>
      </c>
      <c r="H257" s="220">
        <v>1.0</v>
      </c>
      <c r="I257" s="337">
        <f t="shared" si="1"/>
        <v>0.7</v>
      </c>
      <c r="J257" s="220"/>
      <c r="K257" s="336" t="b">
        <f t="shared" si="2"/>
        <v>0</v>
      </c>
      <c r="L257" s="219" t="b">
        <f>IFERROR(VLOOKUP($A257,AlgoUi!$A$1:$M$1779,13,0),"0")</f>
        <v>0</v>
      </c>
      <c r="M257" s="219" t="b">
        <f>IFERROR(VLOOKUP($A257,AlgoUi!$A$1:$M$1779,12,0),"0")</f>
        <v>0</v>
      </c>
      <c r="N257" s="219" t="str">
        <f>IFERROR(VLOOKUP($A257,AlgoUi!$A$1:$M$1779,11,0),"0")</f>
        <v>TRUE</v>
      </c>
      <c r="O257" s="220" t="str">
        <f t="shared" si="3"/>
        <v>#REF!</v>
      </c>
      <c r="R257" s="42" t="str">
        <f>VLOOKUP($A257,Category!$A$1:$E$351,4,0)</f>
        <v>MS</v>
      </c>
      <c r="S257" s="42" t="str">
        <f>VLOOKUP($A257,Category!$A$1:$E$351,5,0)</f>
        <v>MSP</v>
      </c>
    </row>
    <row r="258">
      <c r="A258" s="83" t="s">
        <v>514</v>
      </c>
      <c r="B258" s="343" t="s">
        <v>1435</v>
      </c>
      <c r="C258" s="333">
        <v>2.0</v>
      </c>
      <c r="D258" s="333" t="s">
        <v>311</v>
      </c>
      <c r="E258" s="334">
        <v>35000.0</v>
      </c>
      <c r="F258" s="335">
        <v>50000.0</v>
      </c>
      <c r="G258" s="220" t="s">
        <v>249</v>
      </c>
      <c r="H258" s="220">
        <v>1.0</v>
      </c>
      <c r="I258" s="337">
        <f t="shared" si="1"/>
        <v>0.7</v>
      </c>
      <c r="J258" s="220"/>
      <c r="K258" s="336" t="b">
        <f t="shared" si="2"/>
        <v>0</v>
      </c>
      <c r="L258" s="219" t="b">
        <f>IFERROR(VLOOKUP($A258,AlgoUi!$A$1:$M$1779,13,0),"0")</f>
        <v>0</v>
      </c>
      <c r="M258" s="219" t="b">
        <f>IFERROR(VLOOKUP($A258,AlgoUi!$A$1:$M$1779,12,0),"0")</f>
        <v>1</v>
      </c>
      <c r="N258" s="219" t="str">
        <f>IFERROR(VLOOKUP($A258,AlgoUi!$A$1:$M$1779,11,0),"0")</f>
        <v>TRUE</v>
      </c>
      <c r="O258" s="220" t="str">
        <f t="shared" si="3"/>
        <v>#REF!</v>
      </c>
      <c r="R258" s="42" t="str">
        <f>VLOOKUP($A258,Category!$A$1:$E$351,4,0)</f>
        <v>MS</v>
      </c>
      <c r="S258" s="42" t="str">
        <f>VLOOKUP($A258,Category!$A$1:$E$351,5,0)</f>
        <v>MSP</v>
      </c>
    </row>
    <row r="259">
      <c r="A259" s="83" t="s">
        <v>1432</v>
      </c>
      <c r="B259" s="343" t="s">
        <v>1433</v>
      </c>
      <c r="C259" s="333">
        <v>2.0</v>
      </c>
      <c r="D259" s="333" t="s">
        <v>311</v>
      </c>
      <c r="E259" s="344">
        <v>35000.0</v>
      </c>
      <c r="F259" s="219">
        <v>50000.0</v>
      </c>
      <c r="G259" s="220" t="s">
        <v>249</v>
      </c>
      <c r="H259" s="220">
        <v>1.0</v>
      </c>
      <c r="I259" s="337">
        <f t="shared" si="1"/>
        <v>0.7</v>
      </c>
      <c r="J259" s="220"/>
      <c r="K259" s="336" t="b">
        <f t="shared" si="2"/>
        <v>0</v>
      </c>
      <c r="L259" s="219" t="b">
        <f>IFERROR(VLOOKUP($A259,AlgoUi!$A$1:$M$1779,13,0),"0")</f>
        <v>0</v>
      </c>
      <c r="M259" s="219" t="b">
        <f>IFERROR(VLOOKUP($A259,AlgoUi!$A$1:$M$1779,12,0),"0")</f>
        <v>0</v>
      </c>
      <c r="N259" s="219" t="str">
        <f>IFERROR(VLOOKUP($A259,AlgoUi!$A$1:$M$1779,11,0),"0")</f>
        <v>TRUE</v>
      </c>
      <c r="O259" s="220" t="str">
        <f t="shared" si="3"/>
        <v>#REF!</v>
      </c>
      <c r="R259" s="42" t="str">
        <f>VLOOKUP($A259,Category!$A$1:$E$351,4,0)</f>
        <v>MS</v>
      </c>
      <c r="S259" s="42" t="str">
        <f>VLOOKUP($A259,Category!$A$1:$E$351,5,0)</f>
        <v>MSP</v>
      </c>
    </row>
    <row r="260">
      <c r="A260" s="83" t="s">
        <v>205</v>
      </c>
      <c r="B260" s="343" t="s">
        <v>1374</v>
      </c>
      <c r="C260" s="333">
        <v>2.0</v>
      </c>
      <c r="D260" s="333" t="s">
        <v>311</v>
      </c>
      <c r="E260" s="344">
        <v>35000.0</v>
      </c>
      <c r="F260" s="219">
        <v>50000.0</v>
      </c>
      <c r="G260" s="220" t="s">
        <v>249</v>
      </c>
      <c r="H260" s="220">
        <v>1.0</v>
      </c>
      <c r="I260" s="337">
        <f t="shared" si="1"/>
        <v>0.7</v>
      </c>
      <c r="J260" s="220"/>
      <c r="K260" s="336" t="b">
        <f t="shared" si="2"/>
        <v>0</v>
      </c>
      <c r="L260" s="219" t="b">
        <f>IFERROR(VLOOKUP($A260,AlgoUi!$A$1:$M$1779,13,0),"0")</f>
        <v>0</v>
      </c>
      <c r="M260" s="219" t="b">
        <f>IFERROR(VLOOKUP($A260,AlgoUi!$A$1:$M$1779,12,0),"0")</f>
        <v>1</v>
      </c>
      <c r="N260" s="219" t="str">
        <f>IFERROR(VLOOKUP($A260,AlgoUi!$A$1:$M$1779,11,0),"0")</f>
        <v>TRUE</v>
      </c>
      <c r="O260" s="220" t="str">
        <f t="shared" si="3"/>
        <v>#REF!</v>
      </c>
      <c r="R260" s="42" t="str">
        <f>VLOOKUP($A260,Category!$A$1:$E$351,4,0)</f>
        <v>MS</v>
      </c>
      <c r="S260" s="42" t="str">
        <f>VLOOKUP($A260,Category!$A$1:$E$351,5,0)</f>
        <v>MSP</v>
      </c>
    </row>
    <row r="261">
      <c r="A261" s="83" t="s">
        <v>1439</v>
      </c>
      <c r="B261" s="343" t="s">
        <v>1440</v>
      </c>
      <c r="C261" s="333">
        <v>2.0</v>
      </c>
      <c r="D261" s="333" t="s">
        <v>311</v>
      </c>
      <c r="E261" s="334">
        <v>35000.0</v>
      </c>
      <c r="F261" s="335">
        <v>50000.0</v>
      </c>
      <c r="G261" s="220" t="s">
        <v>249</v>
      </c>
      <c r="H261" s="220">
        <v>1.0</v>
      </c>
      <c r="I261" s="337">
        <f t="shared" si="1"/>
        <v>0.7</v>
      </c>
      <c r="J261" s="220"/>
      <c r="K261" s="336" t="b">
        <f t="shared" si="2"/>
        <v>0</v>
      </c>
      <c r="L261" s="219" t="b">
        <f>IFERROR(VLOOKUP($A261,AlgoUi!$A$1:$M$1779,13,0),"0")</f>
        <v>0</v>
      </c>
      <c r="M261" s="219" t="b">
        <f>IFERROR(VLOOKUP($A261,AlgoUi!$A$1:$M$1779,12,0),"0")</f>
        <v>1</v>
      </c>
      <c r="N261" s="219" t="str">
        <f>IFERROR(VLOOKUP($A261,AlgoUi!$A$1:$M$1779,11,0),"0")</f>
        <v>TRUE</v>
      </c>
      <c r="O261" s="220" t="str">
        <f t="shared" si="3"/>
        <v>#REF!</v>
      </c>
      <c r="R261" s="42" t="str">
        <f>VLOOKUP($A261,Category!$A$1:$E$351,4,0)</f>
        <v>MS</v>
      </c>
      <c r="S261" s="42" t="str">
        <f>VLOOKUP($A261,Category!$A$1:$E$351,5,0)</f>
        <v>MSP</v>
      </c>
    </row>
    <row r="262">
      <c r="A262" s="83" t="s">
        <v>1323</v>
      </c>
      <c r="B262" s="343" t="s">
        <v>1324</v>
      </c>
      <c r="C262" s="333"/>
      <c r="D262" s="333" t="s">
        <v>297</v>
      </c>
      <c r="E262" s="334">
        <v>0.0</v>
      </c>
      <c r="F262" s="335">
        <v>0.0</v>
      </c>
      <c r="G262" s="220" t="s">
        <v>249</v>
      </c>
      <c r="H262" s="220">
        <v>1.0</v>
      </c>
      <c r="I262" s="337">
        <f t="shared" si="1"/>
        <v>0</v>
      </c>
      <c r="J262" s="220"/>
      <c r="K262" s="336" t="b">
        <f t="shared" si="2"/>
        <v>0</v>
      </c>
      <c r="L262" s="219" t="b">
        <f>IFERROR(VLOOKUP($A262,AlgoUi!$A$1:$M$1779,13,0),"0")</f>
        <v>0</v>
      </c>
      <c r="M262" s="219" t="b">
        <f>IFERROR(VLOOKUP($A262,AlgoUi!$A$1:$M$1779,12,0),"0")</f>
        <v>1</v>
      </c>
      <c r="N262" s="219" t="str">
        <f>IFERROR(VLOOKUP($A262,AlgoUi!$A$1:$M$1779,11,0),"0")</f>
        <v>TRUE</v>
      </c>
      <c r="O262" s="220" t="str">
        <f t="shared" si="3"/>
        <v>#REF!</v>
      </c>
      <c r="P262" s="89" t="s">
        <v>3875</v>
      </c>
      <c r="R262" s="42" t="str">
        <f>VLOOKUP($A262,Category!$A$1:$E$351,4,0)</f>
        <v>CC</v>
      </c>
      <c r="S262" s="42" t="str">
        <f>VLOOKUP($A262,Category!$A$1:$E$351,5,0)</f>
        <v>CCG</v>
      </c>
    </row>
    <row r="263">
      <c r="A263" s="83" t="s">
        <v>1340</v>
      </c>
      <c r="B263" s="343" t="s">
        <v>1340</v>
      </c>
      <c r="C263" s="333"/>
      <c r="D263" s="333" t="s">
        <v>311</v>
      </c>
      <c r="E263" s="334">
        <v>49000.0</v>
      </c>
      <c r="F263" s="335">
        <v>70000.0</v>
      </c>
      <c r="G263" s="220" t="s">
        <v>249</v>
      </c>
      <c r="H263" s="220">
        <v>1.0</v>
      </c>
      <c r="I263" s="337">
        <f t="shared" si="1"/>
        <v>0.7</v>
      </c>
      <c r="J263" s="220"/>
      <c r="K263" s="336" t="b">
        <f t="shared" si="2"/>
        <v>0</v>
      </c>
      <c r="L263" s="219" t="b">
        <f>IFERROR(VLOOKUP($A263,AlgoUi!$A$1:$M$1779,13,0),"0")</f>
        <v>0</v>
      </c>
      <c r="M263" s="219" t="b">
        <f>IFERROR(VLOOKUP($A263,AlgoUi!$A$1:$M$1779,12,0),"0")</f>
        <v>1</v>
      </c>
      <c r="N263" s="219" t="str">
        <f>IFERROR(VLOOKUP($A263,AlgoUi!$A$1:$M$1779,11,0),"0")</f>
        <v>TRUE</v>
      </c>
      <c r="O263" s="220" t="str">
        <f t="shared" si="3"/>
        <v>#REF!</v>
      </c>
      <c r="R263" s="42" t="str">
        <f>VLOOKUP($A263,Category!$A$1:$E$351,4,0)</f>
        <v>MS</v>
      </c>
      <c r="S263" s="42" t="str">
        <f>VLOOKUP($A263,Category!$A$1:$E$351,5,0)</f>
        <v>MSR</v>
      </c>
    </row>
    <row r="264">
      <c r="A264" s="83" t="s">
        <v>487</v>
      </c>
      <c r="B264" s="343" t="s">
        <v>1436</v>
      </c>
      <c r="C264" s="333">
        <v>2.0</v>
      </c>
      <c r="D264" s="333" t="s">
        <v>311</v>
      </c>
      <c r="E264" s="344">
        <v>42000.0</v>
      </c>
      <c r="F264" s="219">
        <v>60000.0</v>
      </c>
      <c r="G264" s="220" t="s">
        <v>249</v>
      </c>
      <c r="H264" s="220">
        <v>1.0</v>
      </c>
      <c r="I264" s="337">
        <f t="shared" si="1"/>
        <v>0.7</v>
      </c>
      <c r="J264" s="220"/>
      <c r="K264" s="336" t="b">
        <f t="shared" si="2"/>
        <v>0</v>
      </c>
      <c r="L264" s="219" t="b">
        <f>IFERROR(VLOOKUP($A264,AlgoUi!$A$1:$M$1779,13,0),"0")</f>
        <v>0</v>
      </c>
      <c r="M264" s="219" t="b">
        <f>IFERROR(VLOOKUP($A264,AlgoUi!$A$1:$M$1779,12,0),"0")</f>
        <v>1</v>
      </c>
      <c r="N264" s="219" t="str">
        <f>IFERROR(VLOOKUP($A264,AlgoUi!$A$1:$M$1779,11,0),"0")</f>
        <v>TRUE</v>
      </c>
      <c r="O264" s="220" t="str">
        <f t="shared" si="3"/>
        <v>#REF!</v>
      </c>
      <c r="R264" s="42" t="str">
        <f>VLOOKUP($A264,Category!$A$1:$E$351,4,0)</f>
        <v>MS</v>
      </c>
      <c r="S264" s="42" t="str">
        <f>VLOOKUP($A264,Category!$A$1:$E$351,5,0)</f>
        <v>MSP</v>
      </c>
    </row>
    <row r="265">
      <c r="A265" s="83" t="s">
        <v>1295</v>
      </c>
      <c r="B265" s="343" t="s">
        <v>1384</v>
      </c>
      <c r="C265" s="333">
        <v>2.0</v>
      </c>
      <c r="D265" s="333" t="s">
        <v>311</v>
      </c>
      <c r="E265" s="344">
        <v>42000.0</v>
      </c>
      <c r="F265" s="219">
        <v>60000.0</v>
      </c>
      <c r="G265" s="220" t="s">
        <v>249</v>
      </c>
      <c r="H265" s="220">
        <v>1.0</v>
      </c>
      <c r="I265" s="337">
        <f t="shared" si="1"/>
        <v>0.7</v>
      </c>
      <c r="J265" s="220"/>
      <c r="K265" s="336" t="b">
        <f t="shared" si="2"/>
        <v>0</v>
      </c>
      <c r="L265" s="219" t="b">
        <f>IFERROR(VLOOKUP($A265,AlgoUi!$A$1:$M$1779,13,0),"0")</f>
        <v>0</v>
      </c>
      <c r="M265" s="219" t="b">
        <f>IFERROR(VLOOKUP($A265,AlgoUi!$A$1:$M$1779,12,0),"0")</f>
        <v>1</v>
      </c>
      <c r="N265" s="219" t="str">
        <f>IFERROR(VLOOKUP($A265,AlgoUi!$A$1:$M$1779,11,0),"0")</f>
        <v>TRUE</v>
      </c>
      <c r="O265" s="220" t="str">
        <f t="shared" si="3"/>
        <v>#REF!</v>
      </c>
      <c r="R265" s="42" t="str">
        <f>VLOOKUP($A265,Category!$A$1:$E$351,4,0)</f>
        <v>MS</v>
      </c>
      <c r="S265" s="42" t="str">
        <f>VLOOKUP($A265,Category!$A$1:$E$351,5,0)</f>
        <v>MSP</v>
      </c>
    </row>
    <row r="266">
      <c r="A266" s="83" t="s">
        <v>1392</v>
      </c>
      <c r="B266" s="343" t="s">
        <v>1393</v>
      </c>
      <c r="C266" s="333">
        <v>2.0</v>
      </c>
      <c r="D266" s="333" t="s">
        <v>311</v>
      </c>
      <c r="E266" s="344">
        <v>42000.0</v>
      </c>
      <c r="F266" s="219">
        <v>60000.0</v>
      </c>
      <c r="G266" s="220" t="s">
        <v>249</v>
      </c>
      <c r="H266" s="220">
        <v>1.0</v>
      </c>
      <c r="I266" s="337">
        <f t="shared" si="1"/>
        <v>0.7</v>
      </c>
      <c r="J266" s="220"/>
      <c r="K266" s="336" t="b">
        <f t="shared" si="2"/>
        <v>0</v>
      </c>
      <c r="L266" s="219" t="b">
        <f>IFERROR(VLOOKUP($A266,AlgoUi!$A$1:$M$1779,13,0),"0")</f>
        <v>0</v>
      </c>
      <c r="M266" s="219" t="b">
        <f>IFERROR(VLOOKUP($A266,AlgoUi!$A$1:$M$1779,12,0),"0")</f>
        <v>1</v>
      </c>
      <c r="N266" s="219" t="str">
        <f>IFERROR(VLOOKUP($A266,AlgoUi!$A$1:$M$1779,11,0),"0")</f>
        <v>TRUE</v>
      </c>
      <c r="O266" s="220" t="str">
        <f t="shared" si="3"/>
        <v>#REF!</v>
      </c>
      <c r="R266" s="42" t="str">
        <f>VLOOKUP($A266,Category!$A$1:$E$351,4,0)</f>
        <v>MS</v>
      </c>
      <c r="S266" s="42" t="str">
        <f>VLOOKUP($A266,Category!$A$1:$E$351,5,0)</f>
        <v>MSP</v>
      </c>
    </row>
    <row r="267">
      <c r="A267" s="83" t="s">
        <v>1142</v>
      </c>
      <c r="B267" s="343" t="s">
        <v>1630</v>
      </c>
      <c r="C267" s="333">
        <v>2.0</v>
      </c>
      <c r="D267" s="333" t="s">
        <v>311</v>
      </c>
      <c r="E267" s="334">
        <v>42000.0</v>
      </c>
      <c r="F267" s="335">
        <v>60000.0</v>
      </c>
      <c r="G267" s="220" t="s">
        <v>249</v>
      </c>
      <c r="H267" s="220">
        <v>1.0</v>
      </c>
      <c r="I267" s="337">
        <f t="shared" si="1"/>
        <v>0.7</v>
      </c>
      <c r="J267" s="220"/>
      <c r="K267" s="336" t="b">
        <f t="shared" si="2"/>
        <v>0</v>
      </c>
      <c r="L267" s="219" t="b">
        <f>IFERROR(VLOOKUP($A267,AlgoUi!$A$1:$M$1779,13,0),"0")</f>
        <v>0</v>
      </c>
      <c r="M267" s="219" t="b">
        <f>IFERROR(VLOOKUP($A267,AlgoUi!$A$1:$M$1779,12,0),"0")</f>
        <v>1</v>
      </c>
      <c r="N267" s="219" t="str">
        <f>IFERROR(VLOOKUP($A267,AlgoUi!$A$1:$M$1779,11,0),"0")</f>
        <v>TRUE</v>
      </c>
      <c r="O267" s="220" t="str">
        <f t="shared" si="3"/>
        <v>#REF!</v>
      </c>
      <c r="R267" s="42" t="str">
        <f>VLOOKUP($A267,Category!$A$1:$E$351,4,0)</f>
        <v>MS</v>
      </c>
      <c r="S267" s="42" t="str">
        <f>VLOOKUP($A267,Category!$A$1:$E$351,5,0)</f>
        <v>MSR</v>
      </c>
    </row>
    <row r="268">
      <c r="A268" s="83" t="s">
        <v>1888</v>
      </c>
      <c r="B268" s="343" t="s">
        <v>1889</v>
      </c>
      <c r="C268" s="333">
        <v>2.0</v>
      </c>
      <c r="D268" s="333" t="s">
        <v>311</v>
      </c>
      <c r="E268" s="334">
        <v>42000.0</v>
      </c>
      <c r="F268" s="335">
        <v>60000.0</v>
      </c>
      <c r="G268" s="220" t="s">
        <v>174</v>
      </c>
      <c r="H268" s="220">
        <v>1.0</v>
      </c>
      <c r="I268" s="337">
        <f t="shared" si="1"/>
        <v>0.7</v>
      </c>
      <c r="J268" s="220"/>
      <c r="K268" s="336" t="b">
        <f t="shared" si="2"/>
        <v>0</v>
      </c>
      <c r="L268" s="219" t="b">
        <f>IFERROR(VLOOKUP($A268,AlgoUi!$A$1:$M$1779,13,0),"0")</f>
        <v>0</v>
      </c>
      <c r="M268" s="219" t="b">
        <f>IFERROR(VLOOKUP($A268,AlgoUi!$A$1:$M$1779,12,0),"0")</f>
        <v>1</v>
      </c>
      <c r="N268" s="219" t="str">
        <f>IFERROR(VLOOKUP($A268,AlgoUi!$A$1:$M$1779,11,0),"0")</f>
        <v>TRUE</v>
      </c>
      <c r="O268" s="220" t="str">
        <f t="shared" si="3"/>
        <v>#REF!</v>
      </c>
      <c r="R268" s="42" t="str">
        <f>VLOOKUP($A268,Category!$A$1:$E$351,4,0)</f>
        <v>MS</v>
      </c>
      <c r="S268" s="42" t="str">
        <f>VLOOKUP($A268,Category!$A$1:$E$351,5,0)</f>
        <v>MSR</v>
      </c>
    </row>
    <row r="269">
      <c r="A269" s="83" t="s">
        <v>411</v>
      </c>
      <c r="B269" s="343" t="s">
        <v>1399</v>
      </c>
      <c r="C269" s="333">
        <v>2.0</v>
      </c>
      <c r="D269" s="333" t="s">
        <v>311</v>
      </c>
      <c r="E269" s="334">
        <v>42000.0</v>
      </c>
      <c r="F269" s="335">
        <v>60000.0</v>
      </c>
      <c r="G269" s="220" t="s">
        <v>249</v>
      </c>
      <c r="H269" s="220">
        <v>1.0</v>
      </c>
      <c r="I269" s="337">
        <f t="shared" si="1"/>
        <v>0.7</v>
      </c>
      <c r="J269" s="220"/>
      <c r="K269" s="336" t="b">
        <f t="shared" si="2"/>
        <v>0</v>
      </c>
      <c r="L269" s="219" t="b">
        <f>IFERROR(VLOOKUP($A269,AlgoUi!$A$1:$M$1779,13,0),"0")</f>
        <v>0</v>
      </c>
      <c r="M269" s="219" t="b">
        <f>IFERROR(VLOOKUP($A269,AlgoUi!$A$1:$M$1779,12,0),"0")</f>
        <v>1</v>
      </c>
      <c r="N269" s="219" t="str">
        <f>IFERROR(VLOOKUP($A269,AlgoUi!$A$1:$M$1779,11,0),"0")</f>
        <v>TRUE</v>
      </c>
      <c r="O269" s="220" t="str">
        <f t="shared" si="3"/>
        <v>#REF!</v>
      </c>
      <c r="R269" s="42" t="str">
        <f>VLOOKUP($A269,Category!$A$1:$E$351,4,0)</f>
        <v>MS</v>
      </c>
      <c r="S269" s="42" t="str">
        <f>VLOOKUP($A269,Category!$A$1:$E$351,5,0)</f>
        <v>MSP</v>
      </c>
    </row>
    <row r="270">
      <c r="A270" s="83" t="s">
        <v>566</v>
      </c>
      <c r="B270" s="343" t="s">
        <v>1927</v>
      </c>
      <c r="C270" s="333">
        <v>2.0</v>
      </c>
      <c r="D270" s="333" t="s">
        <v>311</v>
      </c>
      <c r="E270" s="344">
        <v>42000.0</v>
      </c>
      <c r="F270" s="219">
        <v>60000.0</v>
      </c>
      <c r="G270" s="220" t="s">
        <v>249</v>
      </c>
      <c r="H270" s="220">
        <v>1.0</v>
      </c>
      <c r="I270" s="337">
        <f t="shared" si="1"/>
        <v>0.7</v>
      </c>
      <c r="J270" s="220"/>
      <c r="K270" s="336" t="b">
        <f t="shared" si="2"/>
        <v>0</v>
      </c>
      <c r="L270" s="219" t="b">
        <f>IFERROR(VLOOKUP($A270,AlgoUi!$A$1:$M$1779,13,0),"0")</f>
        <v>0</v>
      </c>
      <c r="M270" s="219" t="b">
        <f>IFERROR(VLOOKUP($A270,AlgoUi!$A$1:$M$1779,12,0),"0")</f>
        <v>0</v>
      </c>
      <c r="N270" s="219" t="str">
        <f>IFERROR(VLOOKUP($A270,AlgoUi!$A$1:$M$1779,11,0),"0")</f>
        <v>TRUE</v>
      </c>
      <c r="O270" s="220" t="str">
        <f t="shared" si="3"/>
        <v>#REF!</v>
      </c>
      <c r="R270" s="42" t="str">
        <f>VLOOKUP($A270,Category!$A$1:$E$351,4,0)</f>
        <v>#N/A</v>
      </c>
      <c r="S270" s="42" t="str">
        <f>VLOOKUP($A270,Category!$A$1:$E$351,5,0)</f>
        <v>#N/A</v>
      </c>
    </row>
    <row r="271">
      <c r="A271" s="83" t="s">
        <v>402</v>
      </c>
      <c r="B271" s="343" t="s">
        <v>1373</v>
      </c>
      <c r="C271" s="333">
        <v>2.0</v>
      </c>
      <c r="D271" s="333" t="s">
        <v>311</v>
      </c>
      <c r="E271" s="344">
        <v>56000.0</v>
      </c>
      <c r="F271" s="219">
        <v>80000.0</v>
      </c>
      <c r="G271" s="220" t="s">
        <v>249</v>
      </c>
      <c r="H271" s="220">
        <v>1.0</v>
      </c>
      <c r="I271" s="337">
        <f t="shared" si="1"/>
        <v>0.7</v>
      </c>
      <c r="J271" s="220"/>
      <c r="K271" s="336" t="b">
        <f t="shared" si="2"/>
        <v>0</v>
      </c>
      <c r="L271" s="219" t="b">
        <f>IFERROR(VLOOKUP($A271,AlgoUi!$A$1:$M$1779,13,0),"0")</f>
        <v>0</v>
      </c>
      <c r="M271" s="219" t="b">
        <f>IFERROR(VLOOKUP($A271,AlgoUi!$A$1:$M$1779,12,0),"0")</f>
        <v>1</v>
      </c>
      <c r="N271" s="219" t="str">
        <f>IFERROR(VLOOKUP($A271,AlgoUi!$A$1:$M$1779,11,0),"0")</f>
        <v>TRUE</v>
      </c>
      <c r="O271" s="220" t="str">
        <f t="shared" si="3"/>
        <v>#REF!</v>
      </c>
      <c r="R271" s="42" t="str">
        <f>VLOOKUP($A271,Category!$A$1:$E$351,4,0)</f>
        <v>MS</v>
      </c>
      <c r="S271" s="42" t="str">
        <f>VLOOKUP($A271,Category!$A$1:$E$351,5,0)</f>
        <v>MSP</v>
      </c>
    </row>
    <row r="272">
      <c r="A272" s="83" t="s">
        <v>489</v>
      </c>
      <c r="B272" s="343" t="s">
        <v>1426</v>
      </c>
      <c r="C272" s="333">
        <v>2.0</v>
      </c>
      <c r="D272" s="333" t="s">
        <v>311</v>
      </c>
      <c r="E272" s="344">
        <v>56000.0</v>
      </c>
      <c r="F272" s="219">
        <v>80000.0</v>
      </c>
      <c r="G272" s="220" t="s">
        <v>249</v>
      </c>
      <c r="H272" s="220">
        <v>1.0</v>
      </c>
      <c r="I272" s="337">
        <f t="shared" si="1"/>
        <v>0.7</v>
      </c>
      <c r="J272" s="220"/>
      <c r="K272" s="336" t="b">
        <f t="shared" si="2"/>
        <v>0</v>
      </c>
      <c r="L272" s="219" t="b">
        <f>IFERROR(VLOOKUP($A272,AlgoUi!$A$1:$M$1779,13,0),"0")</f>
        <v>0</v>
      </c>
      <c r="M272" s="219" t="b">
        <f>IFERROR(VLOOKUP($A272,AlgoUi!$A$1:$M$1779,12,0),"0")</f>
        <v>1</v>
      </c>
      <c r="N272" s="219" t="str">
        <f>IFERROR(VLOOKUP($A272,AlgoUi!$A$1:$M$1779,11,0),"0")</f>
        <v>TRUE</v>
      </c>
      <c r="O272" s="220" t="str">
        <f t="shared" si="3"/>
        <v>#REF!</v>
      </c>
      <c r="R272" s="42" t="str">
        <f>VLOOKUP($A272,Category!$A$1:$E$351,4,0)</f>
        <v>MS</v>
      </c>
      <c r="S272" s="42" t="str">
        <f>VLOOKUP($A272,Category!$A$1:$E$351,5,0)</f>
        <v>MSP</v>
      </c>
    </row>
    <row r="273">
      <c r="A273" s="83" t="s">
        <v>1884</v>
      </c>
      <c r="B273" s="343" t="s">
        <v>1885</v>
      </c>
      <c r="C273" s="333">
        <v>2.0</v>
      </c>
      <c r="D273" s="333" t="s">
        <v>311</v>
      </c>
      <c r="E273" s="334">
        <v>0.0</v>
      </c>
      <c r="F273" s="335">
        <v>0.0</v>
      </c>
      <c r="G273" s="220" t="s">
        <v>174</v>
      </c>
      <c r="H273" s="220">
        <v>1.0</v>
      </c>
      <c r="I273" s="337">
        <f t="shared" si="1"/>
        <v>0</v>
      </c>
      <c r="J273" s="336"/>
      <c r="K273" s="336" t="b">
        <f t="shared" si="2"/>
        <v>0</v>
      </c>
      <c r="L273" s="219" t="b">
        <f>IFERROR(VLOOKUP($A273,AlgoUi!$A$1:$M$1779,13,0),"0")</f>
        <v>0</v>
      </c>
      <c r="M273" s="219" t="b">
        <f>IFERROR(VLOOKUP($A273,AlgoUi!$A$1:$M$1779,12,0),"0")</f>
        <v>0</v>
      </c>
      <c r="N273" s="219" t="str">
        <f>IFERROR(VLOOKUP($A273,AlgoUi!$A$1:$M$1779,11,0),"0")</f>
        <v>TRUE</v>
      </c>
      <c r="O273" s="220" t="str">
        <f t="shared" si="3"/>
        <v>#REF!</v>
      </c>
      <c r="P273" s="89" t="s">
        <v>3875</v>
      </c>
      <c r="R273" s="42" t="str">
        <f>VLOOKUP($A273,Category!$A$1:$E$351,4,0)</f>
        <v>MS</v>
      </c>
      <c r="S273" s="42" t="str">
        <f>VLOOKUP($A273,Category!$A$1:$E$351,5,0)</f>
        <v>MSR</v>
      </c>
    </row>
    <row r="274">
      <c r="A274" s="83" t="s">
        <v>551</v>
      </c>
      <c r="B274" s="343" t="s">
        <v>1395</v>
      </c>
      <c r="C274" s="333">
        <v>2.0</v>
      </c>
      <c r="D274" s="333" t="s">
        <v>311</v>
      </c>
      <c r="E274" s="344">
        <v>63000.0</v>
      </c>
      <c r="F274" s="219">
        <v>90000.0</v>
      </c>
      <c r="G274" s="220" t="s">
        <v>249</v>
      </c>
      <c r="H274" s="220">
        <v>1.0</v>
      </c>
      <c r="I274" s="337">
        <f t="shared" si="1"/>
        <v>0.7</v>
      </c>
      <c r="J274" s="220"/>
      <c r="K274" s="336" t="b">
        <f t="shared" si="2"/>
        <v>0</v>
      </c>
      <c r="L274" s="219" t="b">
        <f>IFERROR(VLOOKUP($A274,AlgoUi!$A$1:$M$1779,13,0),"0")</f>
        <v>0</v>
      </c>
      <c r="M274" s="219" t="b">
        <f>IFERROR(VLOOKUP($A274,AlgoUi!$A$1:$M$1779,12,0),"0")</f>
        <v>1</v>
      </c>
      <c r="N274" s="219" t="str">
        <f>IFERROR(VLOOKUP($A274,AlgoUi!$A$1:$M$1779,11,0),"0")</f>
        <v>TRUE</v>
      </c>
      <c r="O274" s="220" t="str">
        <f t="shared" si="3"/>
        <v>#REF!</v>
      </c>
      <c r="R274" s="42" t="str">
        <f>VLOOKUP($A274,Category!$A$1:$E$351,4,0)</f>
        <v>MS</v>
      </c>
      <c r="S274" s="42" t="str">
        <f>VLOOKUP($A274,Category!$A$1:$E$351,5,0)</f>
        <v>MSP</v>
      </c>
    </row>
    <row r="275">
      <c r="A275" s="83" t="s">
        <v>560</v>
      </c>
      <c r="B275" s="343" t="s">
        <v>1404</v>
      </c>
      <c r="C275" s="333">
        <v>2.0</v>
      </c>
      <c r="D275" s="333" t="s">
        <v>311</v>
      </c>
      <c r="E275" s="344">
        <v>62999.99999999999</v>
      </c>
      <c r="F275" s="219">
        <v>90000.0</v>
      </c>
      <c r="G275" s="220" t="s">
        <v>249</v>
      </c>
      <c r="H275" s="220">
        <v>1.0</v>
      </c>
      <c r="I275" s="337">
        <f t="shared" si="1"/>
        <v>0.7</v>
      </c>
      <c r="J275" s="220"/>
      <c r="K275" s="336" t="b">
        <f t="shared" si="2"/>
        <v>0</v>
      </c>
      <c r="L275" s="219" t="b">
        <f>IFERROR(VLOOKUP($A275,AlgoUi!$A$1:$M$1779,13,0),"0")</f>
        <v>0</v>
      </c>
      <c r="M275" s="219" t="b">
        <f>IFERROR(VLOOKUP($A275,AlgoUi!$A$1:$M$1779,12,0),"0")</f>
        <v>1</v>
      </c>
      <c r="N275" s="219" t="str">
        <f>IFERROR(VLOOKUP($A275,AlgoUi!$A$1:$M$1779,11,0),"0")</f>
        <v>TRUE</v>
      </c>
      <c r="O275" s="220" t="str">
        <f t="shared" si="3"/>
        <v>#REF!</v>
      </c>
      <c r="R275" s="42" t="str">
        <f>VLOOKUP($A275,Category!$A$1:$E$351,4,0)</f>
        <v>MS</v>
      </c>
      <c r="S275" s="42" t="str">
        <f>VLOOKUP($A275,Category!$A$1:$E$351,5,0)</f>
        <v>MSP</v>
      </c>
    </row>
    <row r="276">
      <c r="A276" s="83" t="s">
        <v>693</v>
      </c>
      <c r="B276" s="343" t="s">
        <v>1850</v>
      </c>
      <c r="C276" s="333">
        <v>2.0</v>
      </c>
      <c r="D276" s="333" t="s">
        <v>311</v>
      </c>
      <c r="E276" s="334">
        <v>77000.0</v>
      </c>
      <c r="F276" s="335">
        <v>110000.0</v>
      </c>
      <c r="G276" s="220" t="s">
        <v>249</v>
      </c>
      <c r="H276" s="220">
        <v>1.0</v>
      </c>
      <c r="I276" s="337">
        <f t="shared" si="1"/>
        <v>0.7</v>
      </c>
      <c r="J276" s="220"/>
      <c r="K276" s="336" t="b">
        <f t="shared" si="2"/>
        <v>0</v>
      </c>
      <c r="L276" s="219" t="b">
        <f>IFERROR(VLOOKUP($A276,AlgoUi!$A$1:$M$1779,13,0),"0")</f>
        <v>0</v>
      </c>
      <c r="M276" s="219" t="b">
        <f>IFERROR(VLOOKUP($A276,AlgoUi!$A$1:$M$1779,12,0),"0")</f>
        <v>1</v>
      </c>
      <c r="N276" s="219" t="str">
        <f>IFERROR(VLOOKUP($A276,AlgoUi!$A$1:$M$1779,11,0),"0")</f>
        <v>TRUE</v>
      </c>
      <c r="O276" s="220" t="str">
        <f t="shared" si="3"/>
        <v>#REF!</v>
      </c>
      <c r="R276" s="42" t="str">
        <f>VLOOKUP($A276,Category!$A$1:$E$351,4,0)</f>
        <v>MS</v>
      </c>
      <c r="S276" s="42" t="str">
        <f>VLOOKUP($A276,Category!$A$1:$E$351,5,0)</f>
        <v>MSR</v>
      </c>
    </row>
    <row r="277">
      <c r="A277" s="83" t="s">
        <v>1712</v>
      </c>
      <c r="B277" s="343" t="s">
        <v>1713</v>
      </c>
      <c r="C277" s="333">
        <v>2.0</v>
      </c>
      <c r="D277" s="333" t="s">
        <v>311</v>
      </c>
      <c r="E277" s="344">
        <v>77000.0</v>
      </c>
      <c r="F277" s="219">
        <v>110000.0</v>
      </c>
      <c r="G277" s="220" t="s">
        <v>249</v>
      </c>
      <c r="H277" s="220">
        <v>1.0</v>
      </c>
      <c r="I277" s="337">
        <f t="shared" si="1"/>
        <v>0.7</v>
      </c>
      <c r="J277" s="220"/>
      <c r="K277" s="336" t="b">
        <f t="shared" si="2"/>
        <v>0</v>
      </c>
      <c r="L277" s="219" t="b">
        <f>IFERROR(VLOOKUP($A277,AlgoUi!$A$1:$M$1779,13,0),"0")</f>
        <v>0</v>
      </c>
      <c r="M277" s="219" t="b">
        <f>IFERROR(VLOOKUP($A277,AlgoUi!$A$1:$M$1779,12,0),"0")</f>
        <v>0</v>
      </c>
      <c r="N277" s="219" t="str">
        <f>IFERROR(VLOOKUP($A277,AlgoUi!$A$1:$M$1779,11,0),"0")</f>
        <v>TRUE</v>
      </c>
      <c r="O277" s="220" t="str">
        <f t="shared" si="3"/>
        <v>#REF!</v>
      </c>
      <c r="R277" s="42" t="str">
        <f>VLOOKUP($A277,Category!$A$1:$E$351,4,0)</f>
        <v>MS</v>
      </c>
      <c r="S277" s="42" t="str">
        <f>VLOOKUP($A277,Category!$A$1:$E$351,5,0)</f>
        <v>MSR</v>
      </c>
    </row>
    <row r="278">
      <c r="A278" s="83" t="s">
        <v>439</v>
      </c>
      <c r="B278" s="343" t="s">
        <v>1901</v>
      </c>
      <c r="C278" s="333">
        <v>2.0</v>
      </c>
      <c r="D278" s="333" t="s">
        <v>311</v>
      </c>
      <c r="E278" s="334">
        <v>112000.0</v>
      </c>
      <c r="F278" s="335">
        <v>160000.0</v>
      </c>
      <c r="G278" s="220" t="s">
        <v>249</v>
      </c>
      <c r="H278" s="220">
        <v>1.0</v>
      </c>
      <c r="I278" s="337">
        <f t="shared" si="1"/>
        <v>0.7</v>
      </c>
      <c r="J278" s="220"/>
      <c r="K278" s="336" t="b">
        <f t="shared" si="2"/>
        <v>0</v>
      </c>
      <c r="L278" s="219" t="b">
        <f>IFERROR(VLOOKUP($A278,AlgoUi!$A$1:$M$1779,13,0),"0")</f>
        <v>0</v>
      </c>
      <c r="M278" s="219" t="b">
        <f>IFERROR(VLOOKUP($A278,AlgoUi!$A$1:$M$1779,12,0),"0")</f>
        <v>1</v>
      </c>
      <c r="N278" s="219" t="str">
        <f>IFERROR(VLOOKUP($A278,AlgoUi!$A$1:$M$1779,11,0),"0")</f>
        <v>TRUE</v>
      </c>
      <c r="O278" s="220" t="str">
        <f t="shared" si="3"/>
        <v>#REF!</v>
      </c>
      <c r="R278" s="42" t="str">
        <f>VLOOKUP($A278,Category!$A$1:$E$351,4,0)</f>
        <v>MS</v>
      </c>
      <c r="S278" s="42" t="str">
        <f>VLOOKUP($A278,Category!$A$1:$E$351,5,0)</f>
        <v>MSR</v>
      </c>
    </row>
    <row r="279">
      <c r="A279" s="83" t="s">
        <v>1774</v>
      </c>
      <c r="B279" s="343" t="s">
        <v>1775</v>
      </c>
      <c r="C279" s="333">
        <v>2.0</v>
      </c>
      <c r="D279" s="333" t="s">
        <v>311</v>
      </c>
      <c r="E279" s="344">
        <v>0.0</v>
      </c>
      <c r="F279" s="219">
        <v>0.0</v>
      </c>
      <c r="G279" s="336" t="s">
        <v>329</v>
      </c>
      <c r="H279" s="220">
        <v>7.0</v>
      </c>
      <c r="I279" s="337">
        <f t="shared" si="1"/>
        <v>0</v>
      </c>
      <c r="J279" s="220"/>
      <c r="K279" s="336" t="b">
        <f t="shared" si="2"/>
        <v>0</v>
      </c>
      <c r="L279" s="219" t="b">
        <f>IFERROR(VLOOKUP($A279,AlgoUi!$A$1:$M$1779,13,0),"0")</f>
        <v>0</v>
      </c>
      <c r="M279" s="219" t="b">
        <f>IFERROR(VLOOKUP($A279,AlgoUi!$A$1:$M$1779,12,0),"0")</f>
        <v>0</v>
      </c>
      <c r="N279" s="219" t="str">
        <f>IFERROR(VLOOKUP($A279,AlgoUi!$A$1:$M$1779,11,0),"0")</f>
        <v>TRUE</v>
      </c>
      <c r="O279" s="220" t="str">
        <f t="shared" si="3"/>
        <v>#REF!</v>
      </c>
      <c r="P279" s="89" t="s">
        <v>3875</v>
      </c>
      <c r="R279" s="42" t="str">
        <f>VLOOKUP($A279,Category!$A$1:$E$351,4,0)</f>
        <v>MS</v>
      </c>
      <c r="S279" s="42" t="str">
        <f>VLOOKUP($A279,Category!$A$1:$E$351,5,0)</f>
        <v>MSR</v>
      </c>
    </row>
    <row r="280">
      <c r="A280" s="83" t="s">
        <v>216</v>
      </c>
      <c r="B280" s="353" t="s">
        <v>1982</v>
      </c>
      <c r="C280" s="333">
        <v>2.0</v>
      </c>
      <c r="D280" s="333" t="s">
        <v>311</v>
      </c>
      <c r="E280" s="344">
        <v>0.0</v>
      </c>
      <c r="F280" s="219">
        <v>0.0</v>
      </c>
      <c r="G280" s="220" t="s">
        <v>140</v>
      </c>
      <c r="H280" s="220">
        <v>5.0</v>
      </c>
      <c r="I280" s="337">
        <f t="shared" si="1"/>
        <v>0</v>
      </c>
      <c r="J280" s="220"/>
      <c r="K280" s="336" t="b">
        <f t="shared" si="2"/>
        <v>0</v>
      </c>
      <c r="L280" s="219" t="b">
        <f>IFERROR(VLOOKUP($A280,AlgoUi!$A$1:$M$1779,13,0),"0")</f>
        <v>0</v>
      </c>
      <c r="M280" s="219" t="b">
        <f>IFERROR(VLOOKUP($A280,AlgoUi!$A$1:$M$1779,12,0),"0")</f>
        <v>1</v>
      </c>
      <c r="N280" s="219" t="str">
        <f>IFERROR(VLOOKUP($A280,AlgoUi!$A$1:$M$1779,11,0),"0")</f>
        <v>TRUE</v>
      </c>
      <c r="O280" s="220" t="str">
        <f t="shared" si="3"/>
        <v>#REF!</v>
      </c>
      <c r="P280" s="89" t="s">
        <v>100</v>
      </c>
      <c r="Q280" s="89" t="s">
        <v>3861</v>
      </c>
      <c r="R280" s="42" t="str">
        <f>VLOOKUP($A280,Category!$A$1:$E$351,4,0)</f>
        <v>#N/A</v>
      </c>
      <c r="S280" s="42" t="str">
        <f>VLOOKUP($A280,Category!$A$1:$E$351,5,0)</f>
        <v>#N/A</v>
      </c>
    </row>
    <row r="281">
      <c r="A281" s="83" t="s">
        <v>669</v>
      </c>
      <c r="B281" s="353" t="s">
        <v>1322</v>
      </c>
      <c r="C281" s="333">
        <v>2.0</v>
      </c>
      <c r="D281" s="333" t="s">
        <v>311</v>
      </c>
      <c r="E281" s="344">
        <v>0.0</v>
      </c>
      <c r="F281" s="219">
        <v>0.0</v>
      </c>
      <c r="G281" s="220" t="s">
        <v>140</v>
      </c>
      <c r="H281" s="220">
        <v>5.0</v>
      </c>
      <c r="I281" s="337">
        <f t="shared" si="1"/>
        <v>0</v>
      </c>
      <c r="J281" s="220"/>
      <c r="K281" s="336" t="b">
        <f t="shared" si="2"/>
        <v>0</v>
      </c>
      <c r="L281" s="219" t="b">
        <f>IFERROR(VLOOKUP($A281,AlgoUi!$A$1:$M$1779,13,0),"0")</f>
        <v>0</v>
      </c>
      <c r="M281" s="219" t="b">
        <f>IFERROR(VLOOKUP($A281,AlgoUi!$A$1:$M$1779,12,0),"0")</f>
        <v>1</v>
      </c>
      <c r="N281" s="219" t="str">
        <f>IFERROR(VLOOKUP($A281,AlgoUi!$A$1:$M$1779,11,0),"0")</f>
        <v>TRUE</v>
      </c>
      <c r="O281" s="220" t="str">
        <f t="shared" si="3"/>
        <v>#REF!</v>
      </c>
      <c r="P281" s="89" t="s">
        <v>100</v>
      </c>
      <c r="Q281" s="89" t="s">
        <v>3861</v>
      </c>
      <c r="R281" s="42" t="str">
        <f>VLOOKUP($A281,Category!$A$1:$E$351,4,0)</f>
        <v>CC</v>
      </c>
      <c r="S281" s="42" t="str">
        <f>VLOOKUP($A281,Category!$A$1:$E$351,5,0)</f>
        <v>PGB</v>
      </c>
    </row>
    <row r="282">
      <c r="A282" s="83" t="s">
        <v>640</v>
      </c>
      <c r="B282" s="343" t="s">
        <v>1445</v>
      </c>
      <c r="C282" s="333"/>
      <c r="D282" s="333" t="s">
        <v>311</v>
      </c>
      <c r="E282" s="334">
        <v>232000.0</v>
      </c>
      <c r="F282" s="335">
        <v>290000.0</v>
      </c>
      <c r="G282" s="336" t="s">
        <v>329</v>
      </c>
      <c r="H282" s="336">
        <v>7.0</v>
      </c>
      <c r="I282" s="337">
        <f t="shared" si="1"/>
        <v>0.8</v>
      </c>
      <c r="J282" s="220"/>
      <c r="K282" s="336" t="b">
        <f t="shared" si="2"/>
        <v>0</v>
      </c>
      <c r="L282" s="219" t="b">
        <f>IFERROR(VLOOKUP($A282,AlgoUi!$A$1:$M$1779,13,0),"0")</f>
        <v>0</v>
      </c>
      <c r="M282" s="219" t="b">
        <f>IFERROR(VLOOKUP($A282,AlgoUi!$A$1:$M$1779,12,0),"0")</f>
        <v>1</v>
      </c>
      <c r="N282" s="219" t="str">
        <f>IFERROR(VLOOKUP($A282,AlgoUi!$A$1:$M$1779,11,0),"0")</f>
        <v>TRUE</v>
      </c>
      <c r="O282" s="220" t="str">
        <f t="shared" si="3"/>
        <v>#REF!</v>
      </c>
      <c r="R282" s="42" t="str">
        <f>VLOOKUP($A282,Category!$A$1:$E$351,4,0)</f>
        <v>MS</v>
      </c>
      <c r="S282" s="42" t="str">
        <f>VLOOKUP($A282,Category!$A$1:$E$351,5,0)</f>
        <v>MSP</v>
      </c>
    </row>
    <row r="283">
      <c r="A283" s="83" t="s">
        <v>721</v>
      </c>
      <c r="B283" s="353" t="s">
        <v>3915</v>
      </c>
      <c r="C283" s="333"/>
      <c r="D283" s="333" t="s">
        <v>272</v>
      </c>
      <c r="E283" s="344">
        <v>0.0</v>
      </c>
      <c r="F283" s="219">
        <v>0.0</v>
      </c>
      <c r="G283" s="220" t="s">
        <v>140</v>
      </c>
      <c r="H283" s="220">
        <v>5.0</v>
      </c>
      <c r="I283" s="337">
        <f t="shared" si="1"/>
        <v>0</v>
      </c>
      <c r="J283" s="336" t="s">
        <v>273</v>
      </c>
      <c r="K283" s="336" t="b">
        <f t="shared" si="2"/>
        <v>0</v>
      </c>
      <c r="L283" s="219" t="b">
        <f>IFERROR(VLOOKUP($A283,AlgoUi!$A$1:$M$1779,13,0),"0")</f>
        <v>1</v>
      </c>
      <c r="M283" s="219" t="b">
        <f>IFERROR(VLOOKUP($A283,AlgoUi!$A$1:$M$1779,12,0),"0")</f>
        <v>1</v>
      </c>
      <c r="N283" s="219" t="str">
        <f>IFERROR(VLOOKUP($A283,AlgoUi!$A$1:$M$1779,11,0),"0")</f>
        <v>FALSE</v>
      </c>
      <c r="O283" s="220" t="str">
        <f t="shared" si="3"/>
        <v>#REF!</v>
      </c>
      <c r="P283" s="89" t="s">
        <v>100</v>
      </c>
      <c r="Q283" s="89" t="s">
        <v>3861</v>
      </c>
      <c r="R283" s="42" t="str">
        <f>VLOOKUP($A283,Category!$A$1:$E$351,4,0)</f>
        <v>MS</v>
      </c>
      <c r="S283" s="42" t="str">
        <f>VLOOKUP($A283,Category!$A$1:$E$351,5,0)</f>
        <v>MSJ</v>
      </c>
    </row>
    <row r="284">
      <c r="A284" s="83" t="s">
        <v>434</v>
      </c>
      <c r="B284" s="343" t="s">
        <v>1825</v>
      </c>
      <c r="C284" s="333">
        <v>2.0</v>
      </c>
      <c r="D284" s="333" t="s">
        <v>311</v>
      </c>
      <c r="E284" s="359">
        <v>40000.0</v>
      </c>
      <c r="F284" s="219">
        <v>50000.0</v>
      </c>
      <c r="G284" s="220" t="s">
        <v>75</v>
      </c>
      <c r="H284" s="220">
        <v>7.0</v>
      </c>
      <c r="I284" s="337">
        <f t="shared" si="1"/>
        <v>0.8</v>
      </c>
      <c r="J284" s="220"/>
      <c r="K284" s="336" t="b">
        <f t="shared" si="2"/>
        <v>0</v>
      </c>
      <c r="L284" s="219" t="b">
        <f>IFERROR(VLOOKUP($A284,AlgoUi!$A$1:$M$1779,13,0),"0")</f>
        <v>0</v>
      </c>
      <c r="M284" s="219" t="b">
        <f>IFERROR(VLOOKUP($A284,AlgoUi!$A$1:$M$1779,12,0),"0")</f>
        <v>1</v>
      </c>
      <c r="N284" s="219" t="str">
        <f>IFERROR(VLOOKUP($A284,AlgoUi!$A$1:$M$1779,11,0),"0")</f>
        <v>TRUE</v>
      </c>
      <c r="O284" s="220" t="str">
        <f t="shared" si="3"/>
        <v>#REF!</v>
      </c>
      <c r="R284" s="42" t="str">
        <f>VLOOKUP($A284,Category!$A$1:$E$351,4,0)</f>
        <v>MS</v>
      </c>
      <c r="S284" s="42" t="str">
        <f>VLOOKUP($A284,Category!$A$1:$E$351,5,0)</f>
        <v>MSR</v>
      </c>
    </row>
    <row r="285">
      <c r="A285" s="83" t="s">
        <v>1863</v>
      </c>
      <c r="B285" s="343" t="s">
        <v>1864</v>
      </c>
      <c r="C285" s="333">
        <v>2.0</v>
      </c>
      <c r="D285" s="333" t="s">
        <v>311</v>
      </c>
      <c r="E285" s="334">
        <v>80000.0</v>
      </c>
      <c r="F285" s="335">
        <v>100000.0</v>
      </c>
      <c r="G285" s="220" t="s">
        <v>75</v>
      </c>
      <c r="H285" s="220">
        <v>7.0</v>
      </c>
      <c r="I285" s="337">
        <f t="shared" si="1"/>
        <v>0.8</v>
      </c>
      <c r="J285" s="220"/>
      <c r="K285" s="336" t="b">
        <f t="shared" si="2"/>
        <v>0</v>
      </c>
      <c r="L285" s="219" t="b">
        <f>IFERROR(VLOOKUP($A285,AlgoUi!$A$1:$M$1779,13,0),"0")</f>
        <v>0</v>
      </c>
      <c r="M285" s="219" t="b">
        <f>IFERROR(VLOOKUP($A285,AlgoUi!$A$1:$M$1779,12,0),"0")</f>
        <v>1</v>
      </c>
      <c r="N285" s="219" t="str">
        <f>IFERROR(VLOOKUP($A285,AlgoUi!$A$1:$M$1779,11,0),"0")</f>
        <v>TRUE</v>
      </c>
      <c r="O285" s="220" t="str">
        <f t="shared" si="3"/>
        <v>#REF!</v>
      </c>
      <c r="R285" s="42" t="str">
        <f>VLOOKUP($A285,Category!$A$1:$E$351,4,0)</f>
        <v>MS</v>
      </c>
      <c r="S285" s="42" t="str">
        <f>VLOOKUP($A285,Category!$A$1:$E$351,5,0)</f>
        <v>MSR</v>
      </c>
    </row>
    <row r="286">
      <c r="A286" s="83" t="s">
        <v>126</v>
      </c>
      <c r="B286" s="343" t="s">
        <v>1903</v>
      </c>
      <c r="C286" s="333">
        <v>2.0</v>
      </c>
      <c r="D286" s="333" t="s">
        <v>311</v>
      </c>
      <c r="E286" s="344">
        <v>56000.0</v>
      </c>
      <c r="F286" s="219">
        <v>70000.0</v>
      </c>
      <c r="G286" s="220" t="s">
        <v>75</v>
      </c>
      <c r="H286" s="220">
        <v>7.0</v>
      </c>
      <c r="I286" s="337">
        <f t="shared" si="1"/>
        <v>0.8</v>
      </c>
      <c r="J286" s="220"/>
      <c r="K286" s="336" t="b">
        <f t="shared" si="2"/>
        <v>0</v>
      </c>
      <c r="L286" s="219" t="b">
        <f>IFERROR(VLOOKUP($A286,AlgoUi!$A$1:$M$1779,13,0),"0")</f>
        <v>0</v>
      </c>
      <c r="M286" s="219" t="b">
        <f>IFERROR(VLOOKUP($A286,AlgoUi!$A$1:$M$1779,12,0),"0")</f>
        <v>1</v>
      </c>
      <c r="N286" s="219" t="str">
        <f>IFERROR(VLOOKUP($A286,AlgoUi!$A$1:$M$1779,11,0),"0")</f>
        <v>TRUE</v>
      </c>
      <c r="O286" s="220" t="str">
        <f t="shared" si="3"/>
        <v>#REF!</v>
      </c>
      <c r="R286" s="42" t="str">
        <f>VLOOKUP($A286,Category!$A$1:$E$351,4,0)</f>
        <v>#N/A</v>
      </c>
      <c r="S286" s="42" t="str">
        <f>VLOOKUP($A286,Category!$A$1:$E$351,5,0)</f>
        <v>#N/A</v>
      </c>
    </row>
    <row r="287">
      <c r="A287" s="83" t="s">
        <v>571</v>
      </c>
      <c r="B287" s="343" t="s">
        <v>1654</v>
      </c>
      <c r="C287" s="333">
        <v>2.0</v>
      </c>
      <c r="D287" s="333" t="s">
        <v>311</v>
      </c>
      <c r="E287" s="344">
        <v>35000.0</v>
      </c>
      <c r="F287" s="219">
        <v>50000.0</v>
      </c>
      <c r="G287" s="220" t="s">
        <v>174</v>
      </c>
      <c r="H287" s="220">
        <v>1.0</v>
      </c>
      <c r="I287" s="337">
        <f t="shared" si="1"/>
        <v>0.7</v>
      </c>
      <c r="J287" s="220"/>
      <c r="K287" s="336" t="b">
        <f t="shared" si="2"/>
        <v>0</v>
      </c>
      <c r="L287" s="219" t="b">
        <f>IFERROR(VLOOKUP($A287,AlgoUi!$A$1:$M$1779,13,0),"0")</f>
        <v>0</v>
      </c>
      <c r="M287" s="219" t="b">
        <f>IFERROR(VLOOKUP($A287,AlgoUi!$A$1:$M$1779,12,0),"0")</f>
        <v>1</v>
      </c>
      <c r="N287" s="219" t="str">
        <f>IFERROR(VLOOKUP($A287,AlgoUi!$A$1:$M$1779,11,0),"0")</f>
        <v>TRUE</v>
      </c>
      <c r="O287" s="220" t="str">
        <f t="shared" si="3"/>
        <v>#REF!</v>
      </c>
      <c r="R287" s="42" t="str">
        <f>VLOOKUP($A287,Category!$A$1:$E$351,4,0)</f>
        <v>MS</v>
      </c>
      <c r="S287" s="42" t="str">
        <f>VLOOKUP($A287,Category!$A$1:$E$351,5,0)</f>
        <v>MSR</v>
      </c>
    </row>
    <row r="288">
      <c r="A288" s="83" t="s">
        <v>462</v>
      </c>
      <c r="B288" s="343" t="s">
        <v>1752</v>
      </c>
      <c r="C288" s="42"/>
      <c r="D288" s="18" t="s">
        <v>311</v>
      </c>
      <c r="E288" s="334">
        <v>88000.0</v>
      </c>
      <c r="F288" s="335">
        <v>110000.0</v>
      </c>
      <c r="G288" s="18" t="s">
        <v>340</v>
      </c>
      <c r="H288" s="336">
        <v>7.0</v>
      </c>
      <c r="I288" s="337">
        <f t="shared" si="1"/>
        <v>0.8</v>
      </c>
      <c r="J288" s="42"/>
      <c r="K288" s="336" t="b">
        <f t="shared" si="2"/>
        <v>0</v>
      </c>
      <c r="L288" s="219" t="b">
        <f>IFERROR(VLOOKUP($A288,AlgoUi!$A$1:$M$1779,13,0),"0")</f>
        <v>0</v>
      </c>
      <c r="M288" s="219" t="b">
        <f>IFERROR(VLOOKUP($A288,AlgoUi!$A$1:$M$1779,12,0),"0")</f>
        <v>0</v>
      </c>
      <c r="N288" s="219" t="str">
        <f>IFERROR(VLOOKUP($A288,AlgoUi!$A$1:$M$1779,11,0),"0")</f>
        <v>TRUE</v>
      </c>
      <c r="O288" s="220" t="str">
        <f t="shared" si="3"/>
        <v>#REF!</v>
      </c>
      <c r="R288" s="42" t="str">
        <f>VLOOKUP($A288,Category!$A$1:$E$351,4,0)</f>
        <v>MS</v>
      </c>
      <c r="S288" s="42" t="str">
        <f>VLOOKUP($A288,Category!$A$1:$E$351,5,0)</f>
        <v>MSR</v>
      </c>
    </row>
    <row r="289">
      <c r="A289" s="83" t="s">
        <v>1723</v>
      </c>
      <c r="B289" s="343" t="s">
        <v>1787</v>
      </c>
      <c r="C289" s="333">
        <v>2.0</v>
      </c>
      <c r="D289" s="333" t="s">
        <v>311</v>
      </c>
      <c r="E289" s="334">
        <v>21000.0</v>
      </c>
      <c r="F289" s="335">
        <v>30000.0</v>
      </c>
      <c r="G289" s="220" t="s">
        <v>218</v>
      </c>
      <c r="H289" s="220">
        <v>1.0</v>
      </c>
      <c r="I289" s="337">
        <f t="shared" si="1"/>
        <v>0.7</v>
      </c>
      <c r="J289" s="220"/>
      <c r="K289" s="336" t="b">
        <f t="shared" si="2"/>
        <v>0</v>
      </c>
      <c r="L289" s="219" t="b">
        <f>IFERROR(VLOOKUP($A289,AlgoUi!$A$1:$M$1779,13,0),"0")</f>
        <v>0</v>
      </c>
      <c r="M289" s="219" t="b">
        <f>IFERROR(VLOOKUP($A289,AlgoUi!$A$1:$M$1779,12,0),"0")</f>
        <v>1</v>
      </c>
      <c r="N289" s="219" t="str">
        <f>IFERROR(VLOOKUP($A289,AlgoUi!$A$1:$M$1779,11,0),"0")</f>
        <v>TRUE</v>
      </c>
      <c r="O289" s="220" t="str">
        <f t="shared" si="3"/>
        <v>#REF!</v>
      </c>
      <c r="R289" s="42" t="str">
        <f>VLOOKUP($A289,Category!$A$1:$E$351,4,0)</f>
        <v>MS</v>
      </c>
      <c r="S289" s="42" t="str">
        <f>VLOOKUP($A289,Category!$A$1:$E$351,5,0)</f>
        <v>MSR</v>
      </c>
    </row>
    <row r="290">
      <c r="A290" s="83" t="s">
        <v>1911</v>
      </c>
      <c r="B290" s="343" t="s">
        <v>1912</v>
      </c>
      <c r="C290" s="333">
        <v>2.0</v>
      </c>
      <c r="D290" s="333" t="s">
        <v>232</v>
      </c>
      <c r="E290" s="344">
        <v>40000.0</v>
      </c>
      <c r="F290" s="219">
        <v>50000.0</v>
      </c>
      <c r="G290" s="220" t="s">
        <v>75</v>
      </c>
      <c r="H290" s="220">
        <v>7.0</v>
      </c>
      <c r="I290" s="337">
        <f t="shared" si="1"/>
        <v>0.8</v>
      </c>
      <c r="J290" s="220"/>
      <c r="K290" s="336" t="b">
        <f t="shared" si="2"/>
        <v>0</v>
      </c>
      <c r="L290" s="219" t="b">
        <f>IFERROR(VLOOKUP($A290,AlgoUi!$A$1:$M$1779,13,0),"0")</f>
        <v>0</v>
      </c>
      <c r="M290" s="219" t="b">
        <f>IFERROR(VLOOKUP($A290,AlgoUi!$A$1:$M$1779,12,0),"0")</f>
        <v>1</v>
      </c>
      <c r="N290" s="219" t="str">
        <f>IFERROR(VLOOKUP($A290,AlgoUi!$A$1:$M$1779,11,0),"0")</f>
        <v>TRUE</v>
      </c>
      <c r="O290" s="220" t="str">
        <f t="shared" si="3"/>
        <v>#REF!</v>
      </c>
      <c r="R290" s="42" t="str">
        <f>VLOOKUP($A290,Category!$A$1:$E$351,4,0)</f>
        <v>#N/A</v>
      </c>
      <c r="S290" s="42" t="str">
        <f>VLOOKUP($A290,Category!$A$1:$E$351,5,0)</f>
        <v>#N/A</v>
      </c>
    </row>
    <row r="291">
      <c r="A291" s="83" t="s">
        <v>1822</v>
      </c>
      <c r="B291" s="343" t="s">
        <v>1823</v>
      </c>
      <c r="C291" s="333">
        <v>2.0</v>
      </c>
      <c r="D291" s="333" t="s">
        <v>232</v>
      </c>
      <c r="E291" s="334">
        <v>35000.0</v>
      </c>
      <c r="F291" s="335">
        <v>50000.0</v>
      </c>
      <c r="G291" s="220" t="s">
        <v>674</v>
      </c>
      <c r="H291" s="220">
        <v>1.0</v>
      </c>
      <c r="I291" s="337">
        <f t="shared" si="1"/>
        <v>0.7</v>
      </c>
      <c r="J291" s="220"/>
      <c r="K291" s="336" t="b">
        <f t="shared" si="2"/>
        <v>0</v>
      </c>
      <c r="L291" s="219" t="b">
        <f>IFERROR(VLOOKUP($A291,AlgoUi!$A$1:$M$1779,13,0),"0")</f>
        <v>0</v>
      </c>
      <c r="M291" s="219" t="b">
        <f>IFERROR(VLOOKUP($A291,AlgoUi!$A$1:$M$1779,12,0),"0")</f>
        <v>0</v>
      </c>
      <c r="N291" s="219" t="str">
        <f>IFERROR(VLOOKUP($A291,AlgoUi!$A$1:$M$1779,11,0),"0")</f>
        <v>TRUE</v>
      </c>
      <c r="O291" s="220" t="str">
        <f t="shared" si="3"/>
        <v>#REF!</v>
      </c>
      <c r="R291" s="42" t="str">
        <f>VLOOKUP($A291,Category!$A$1:$E$351,4,0)</f>
        <v>MS</v>
      </c>
      <c r="S291" s="42" t="str">
        <f>VLOOKUP($A291,Category!$A$1:$E$351,5,0)</f>
        <v>MSR</v>
      </c>
    </row>
    <row r="292">
      <c r="A292" s="83" t="s">
        <v>1429</v>
      </c>
      <c r="B292" s="343" t="s">
        <v>1430</v>
      </c>
      <c r="C292" s="333">
        <v>2.0</v>
      </c>
      <c r="D292" s="333" t="s">
        <v>311</v>
      </c>
      <c r="E292" s="344">
        <v>28000.0</v>
      </c>
      <c r="F292" s="219">
        <v>40000.0</v>
      </c>
      <c r="G292" s="220" t="s">
        <v>54</v>
      </c>
      <c r="H292" s="220">
        <v>1.0</v>
      </c>
      <c r="I292" s="337">
        <f t="shared" si="1"/>
        <v>0.7</v>
      </c>
      <c r="J292" s="220"/>
      <c r="K292" s="336" t="b">
        <f t="shared" si="2"/>
        <v>0</v>
      </c>
      <c r="L292" s="219" t="b">
        <f>IFERROR(VLOOKUP($A292,AlgoUi!$A$1:$M$1779,13,0),"0")</f>
        <v>0</v>
      </c>
      <c r="M292" s="219" t="b">
        <f>IFERROR(VLOOKUP($A292,AlgoUi!$A$1:$M$1779,12,0),"0")</f>
        <v>0</v>
      </c>
      <c r="N292" s="219" t="str">
        <f>IFERROR(VLOOKUP($A292,AlgoUi!$A$1:$M$1779,11,0),"0")</f>
        <v>TRUE</v>
      </c>
      <c r="O292" s="220" t="str">
        <f t="shared" si="3"/>
        <v>#REF!</v>
      </c>
      <c r="R292" s="42" t="str">
        <f>VLOOKUP($A292,Category!$A$1:$E$351,4,0)</f>
        <v>MS</v>
      </c>
      <c r="S292" s="42" t="str">
        <f>VLOOKUP($A292,Category!$A$1:$E$351,5,0)</f>
        <v>MSP</v>
      </c>
    </row>
    <row r="293">
      <c r="A293" s="83" t="s">
        <v>1289</v>
      </c>
      <c r="B293" s="343" t="s">
        <v>1288</v>
      </c>
      <c r="C293" s="42"/>
      <c r="D293" s="333" t="s">
        <v>311</v>
      </c>
      <c r="E293" s="344">
        <v>16000.0</v>
      </c>
      <c r="F293" s="219">
        <v>20000.0</v>
      </c>
      <c r="G293" s="336" t="s">
        <v>325</v>
      </c>
      <c r="H293" s="220">
        <v>7.0</v>
      </c>
      <c r="I293" s="337">
        <f t="shared" si="1"/>
        <v>0.8</v>
      </c>
      <c r="J293" s="220"/>
      <c r="K293" s="336" t="b">
        <f t="shared" si="2"/>
        <v>0</v>
      </c>
      <c r="L293" s="219" t="b">
        <f>IFERROR(VLOOKUP($A293,AlgoUi!$A$1:$M$1779,13,0),"0")</f>
        <v>0</v>
      </c>
      <c r="M293" s="219" t="b">
        <f>IFERROR(VLOOKUP($A293,AlgoUi!$A$1:$M$1779,12,0),"0")</f>
        <v>0</v>
      </c>
      <c r="N293" s="219" t="str">
        <f>IFERROR(VLOOKUP($A293,AlgoUi!$A$1:$M$1779,11,0),"0")</f>
        <v>TRUE</v>
      </c>
      <c r="O293" s="220" t="str">
        <f t="shared" si="3"/>
        <v>#REF!</v>
      </c>
      <c r="Q293" s="89" t="s">
        <v>3861</v>
      </c>
      <c r="R293" s="42" t="str">
        <f>VLOOKUP($A293,Category!$A$1:$E$351,4,0)</f>
        <v>CC</v>
      </c>
      <c r="S293" s="42" t="str">
        <f>VLOOKUP($A293,Category!$A$1:$E$351,5,0)</f>
        <v>CCG</v>
      </c>
    </row>
    <row r="294">
      <c r="A294" s="83" t="s">
        <v>1268</v>
      </c>
      <c r="B294" s="353" t="s">
        <v>1269</v>
      </c>
      <c r="C294" s="333">
        <v>1.0</v>
      </c>
      <c r="D294" s="333" t="s">
        <v>311</v>
      </c>
      <c r="E294" s="344">
        <v>7000.0</v>
      </c>
      <c r="F294" s="219">
        <v>10000.0</v>
      </c>
      <c r="G294" s="336" t="s">
        <v>83</v>
      </c>
      <c r="H294" s="336">
        <v>1.0</v>
      </c>
      <c r="I294" s="337">
        <f t="shared" si="1"/>
        <v>0.7</v>
      </c>
      <c r="J294" s="220"/>
      <c r="K294" s="336" t="b">
        <f t="shared" si="2"/>
        <v>0</v>
      </c>
      <c r="L294" s="219" t="b">
        <f>IFERROR(VLOOKUP($A294,AlgoUi!$A$1:$M$1779,13,0),"0")</f>
        <v>0</v>
      </c>
      <c r="M294" s="219" t="b">
        <f>IFERROR(VLOOKUP($A294,AlgoUi!$A$1:$M$1779,12,0),"0")</f>
        <v>0</v>
      </c>
      <c r="N294" s="219" t="str">
        <f>IFERROR(VLOOKUP($A294,AlgoUi!$A$1:$M$1779,11,0),"0")</f>
        <v>TRUE</v>
      </c>
      <c r="O294" s="220" t="str">
        <f t="shared" si="3"/>
        <v>#REF!</v>
      </c>
      <c r="Q294" s="89" t="s">
        <v>3861</v>
      </c>
      <c r="R294" s="42" t="str">
        <f>VLOOKUP($A294,Category!$A$1:$E$351,4,0)</f>
        <v>CC</v>
      </c>
      <c r="S294" s="42" t="str">
        <f>VLOOKUP($A294,Category!$A$1:$E$351,5,0)</f>
        <v>CCG</v>
      </c>
    </row>
    <row r="295">
      <c r="A295" s="83" t="s">
        <v>1621</v>
      </c>
      <c r="B295" s="353" t="s">
        <v>1622</v>
      </c>
      <c r="C295" s="333"/>
      <c r="D295" s="333" t="s">
        <v>311</v>
      </c>
      <c r="E295" s="344">
        <v>35000.0</v>
      </c>
      <c r="F295" s="219">
        <v>50000.0</v>
      </c>
      <c r="G295" s="220" t="s">
        <v>113</v>
      </c>
      <c r="H295" s="220">
        <v>1.0</v>
      </c>
      <c r="I295" s="337">
        <f t="shared" si="1"/>
        <v>0.7</v>
      </c>
      <c r="J295" s="42"/>
      <c r="K295" s="336" t="b">
        <f t="shared" si="2"/>
        <v>0</v>
      </c>
      <c r="L295" s="219" t="b">
        <f>IFERROR(VLOOKUP($A295,AlgoUi!$A$1:$M$1779,13,0),"0")</f>
        <v>0</v>
      </c>
      <c r="M295" s="219" t="b">
        <f>IFERROR(VLOOKUP($A295,AlgoUi!$A$1:$M$1779,12,0),"0")</f>
        <v>0</v>
      </c>
      <c r="N295" s="219" t="str">
        <f>IFERROR(VLOOKUP($A295,AlgoUi!$A$1:$M$1779,11,0),"0")</f>
        <v>TRUE</v>
      </c>
      <c r="O295" s="220" t="str">
        <f t="shared" si="3"/>
        <v>#REF!</v>
      </c>
      <c r="R295" s="42" t="str">
        <f>VLOOKUP($A295,Category!$A$1:$E$351,4,0)</f>
        <v>MS</v>
      </c>
      <c r="S295" s="42" t="str">
        <f>VLOOKUP($A295,Category!$A$1:$E$351,5,0)</f>
        <v>MSR</v>
      </c>
    </row>
    <row r="296">
      <c r="A296" s="83" t="s">
        <v>601</v>
      </c>
      <c r="B296" s="353" t="s">
        <v>1929</v>
      </c>
      <c r="C296" s="333"/>
      <c r="D296" s="333" t="s">
        <v>311</v>
      </c>
      <c r="E296" s="344">
        <v>70000.0</v>
      </c>
      <c r="F296" s="219">
        <v>100000.0</v>
      </c>
      <c r="G296" s="220" t="s">
        <v>113</v>
      </c>
      <c r="H296" s="220">
        <v>1.0</v>
      </c>
      <c r="I296" s="337">
        <f t="shared" si="1"/>
        <v>0.7</v>
      </c>
      <c r="J296" s="18" t="s">
        <v>3916</v>
      </c>
      <c r="K296" s="336" t="b">
        <f t="shared" si="2"/>
        <v>0</v>
      </c>
      <c r="L296" s="219" t="b">
        <f>IFERROR(VLOOKUP($A296,AlgoUi!$A$1:$M$1779,13,0),"0")</f>
        <v>0</v>
      </c>
      <c r="M296" s="219" t="b">
        <f>IFERROR(VLOOKUP($A296,AlgoUi!$A$1:$M$1779,12,0),"0")</f>
        <v>1</v>
      </c>
      <c r="N296" s="219" t="str">
        <f>IFERROR(VLOOKUP($A296,AlgoUi!$A$1:$M$1779,11,0),"0")</f>
        <v>TRUE</v>
      </c>
      <c r="O296" s="220" t="str">
        <f t="shared" si="3"/>
        <v>#REF!</v>
      </c>
      <c r="R296" s="42" t="str">
        <f>VLOOKUP($A296,Category!$A$1:$E$351,4,0)</f>
        <v>#N/A</v>
      </c>
      <c r="S296" s="42" t="str">
        <f>VLOOKUP($A296,Category!$A$1:$E$351,5,0)</f>
        <v>#N/A</v>
      </c>
    </row>
    <row r="297">
      <c r="A297" s="83" t="s">
        <v>1818</v>
      </c>
      <c r="B297" s="89" t="s">
        <v>3917</v>
      </c>
      <c r="C297" s="333"/>
      <c r="D297" s="333" t="s">
        <v>311</v>
      </c>
      <c r="E297" s="334">
        <v>35000.0</v>
      </c>
      <c r="F297" s="335">
        <v>50000.0</v>
      </c>
      <c r="G297" s="336" t="s">
        <v>174</v>
      </c>
      <c r="H297" s="336">
        <v>1.0</v>
      </c>
      <c r="I297" s="337">
        <f t="shared" si="1"/>
        <v>0.7</v>
      </c>
      <c r="J297" s="336" t="s">
        <v>3918</v>
      </c>
      <c r="K297" s="336" t="b">
        <f t="shared" si="2"/>
        <v>0</v>
      </c>
      <c r="L297" s="219" t="b">
        <f>IFERROR(VLOOKUP($A297,AlgoUi!$A$1:$M$1779,13,0),"0")</f>
        <v>0</v>
      </c>
      <c r="M297" s="219" t="b">
        <f>IFERROR(VLOOKUP($A297,AlgoUi!$A$1:$M$1779,12,0),"0")</f>
        <v>1</v>
      </c>
      <c r="N297" s="219" t="str">
        <f>IFERROR(VLOOKUP($A297,AlgoUi!$A$1:$M$1779,11,0),"0")</f>
        <v>TRUE</v>
      </c>
      <c r="O297" s="220" t="str">
        <f t="shared" si="3"/>
        <v>#REF!</v>
      </c>
      <c r="R297" s="42" t="str">
        <f>VLOOKUP($A297,Category!$A$1:$E$351,4,0)</f>
        <v>MS</v>
      </c>
      <c r="S297" s="42" t="str">
        <f>VLOOKUP($A297,Category!$A$1:$E$351,5,0)</f>
        <v>MSR</v>
      </c>
    </row>
    <row r="298">
      <c r="A298" s="83" t="s">
        <v>703</v>
      </c>
      <c r="B298" s="343" t="s">
        <v>1925</v>
      </c>
      <c r="C298" s="333">
        <v>2.0</v>
      </c>
      <c r="D298" s="333" t="s">
        <v>311</v>
      </c>
      <c r="E298" s="344">
        <v>56000.0</v>
      </c>
      <c r="F298" s="219">
        <v>70000.0</v>
      </c>
      <c r="G298" s="220" t="s">
        <v>75</v>
      </c>
      <c r="H298" s="220">
        <v>7.0</v>
      </c>
      <c r="I298" s="337">
        <f t="shared" si="1"/>
        <v>0.8</v>
      </c>
      <c r="J298" s="220"/>
      <c r="K298" s="336" t="b">
        <f t="shared" si="2"/>
        <v>0</v>
      </c>
      <c r="L298" s="219" t="b">
        <f>IFERROR(VLOOKUP($A298,AlgoUi!$A$1:$M$1779,13,0),"0")</f>
        <v>0</v>
      </c>
      <c r="M298" s="219" t="b">
        <f>IFERROR(VLOOKUP($A298,AlgoUi!$A$1:$M$1779,12,0),"0")</f>
        <v>0</v>
      </c>
      <c r="N298" s="219" t="str">
        <f>IFERROR(VLOOKUP($A298,AlgoUi!$A$1:$M$1779,11,0),"0")</f>
        <v>TRUE</v>
      </c>
      <c r="O298" s="220" t="str">
        <f t="shared" si="3"/>
        <v>#REF!</v>
      </c>
      <c r="R298" s="42" t="str">
        <f>VLOOKUP($A298,Category!$A$1:$E$351,4,0)</f>
        <v>#N/A</v>
      </c>
      <c r="S298" s="42" t="str">
        <f>VLOOKUP($A298,Category!$A$1:$E$351,5,0)</f>
        <v>#N/A</v>
      </c>
    </row>
    <row r="299">
      <c r="A299" s="83" t="s">
        <v>761</v>
      </c>
      <c r="B299" s="162" t="s">
        <v>3919</v>
      </c>
      <c r="C299" s="333">
        <v>2.0</v>
      </c>
      <c r="D299" s="333" t="s">
        <v>311</v>
      </c>
      <c r="E299" s="334">
        <v>32000.0</v>
      </c>
      <c r="F299" s="335">
        <v>40000.0</v>
      </c>
      <c r="G299" s="220" t="s">
        <v>340</v>
      </c>
      <c r="H299" s="220">
        <v>7.0</v>
      </c>
      <c r="I299" s="337">
        <f t="shared" si="1"/>
        <v>0.8</v>
      </c>
      <c r="J299" s="42"/>
      <c r="K299" s="336" t="b">
        <f t="shared" si="2"/>
        <v>0</v>
      </c>
      <c r="L299" s="219" t="b">
        <f>IFERROR(VLOOKUP($A299,AlgoUi!$A$1:$M$1779,13,0),"0")</f>
        <v>0</v>
      </c>
      <c r="M299" s="219" t="b">
        <f>IFERROR(VLOOKUP($A299,AlgoUi!$A$1:$M$1779,12,0),"0")</f>
        <v>0</v>
      </c>
      <c r="N299" s="219" t="str">
        <f>IFERROR(VLOOKUP($A299,AlgoUi!$A$1:$M$1779,11,0),"0")</f>
        <v>TRUE</v>
      </c>
      <c r="O299" s="220" t="str">
        <f t="shared" si="3"/>
        <v>#REF!</v>
      </c>
      <c r="Q299" s="89" t="s">
        <v>3861</v>
      </c>
      <c r="R299" s="42" t="str">
        <f>VLOOKUP($A299,Category!$A$1:$E$351,4,0)</f>
        <v>CC</v>
      </c>
      <c r="S299" s="42" t="str">
        <f>VLOOKUP($A299,Category!$A$1:$E$351,5,0)</f>
        <v>CCG</v>
      </c>
    </row>
    <row r="300">
      <c r="A300" s="83" t="s">
        <v>1490</v>
      </c>
      <c r="B300" s="343" t="s">
        <v>1491</v>
      </c>
      <c r="C300" s="333">
        <v>2.0</v>
      </c>
      <c r="D300" s="333" t="s">
        <v>311</v>
      </c>
      <c r="E300" s="334">
        <v>14000.0</v>
      </c>
      <c r="F300" s="335">
        <v>20000.0</v>
      </c>
      <c r="G300" s="220" t="s">
        <v>218</v>
      </c>
      <c r="H300" s="220">
        <v>1.0</v>
      </c>
      <c r="I300" s="337">
        <f t="shared" si="1"/>
        <v>0.7</v>
      </c>
      <c r="J300" s="336"/>
      <c r="K300" s="336" t="b">
        <f t="shared" si="2"/>
        <v>0</v>
      </c>
      <c r="L300" s="219" t="b">
        <f>IFERROR(VLOOKUP($A300,AlgoUi!$A$1:$M$1779,13,0),"0")</f>
        <v>0</v>
      </c>
      <c r="M300" s="219" t="b">
        <f>IFERROR(VLOOKUP($A300,AlgoUi!$A$1:$M$1779,12,0),"0")</f>
        <v>0</v>
      </c>
      <c r="N300" s="219" t="str">
        <f>IFERROR(VLOOKUP($A300,AlgoUi!$A$1:$M$1779,11,0),"0")</f>
        <v>TRUE</v>
      </c>
      <c r="O300" s="220" t="str">
        <f t="shared" si="3"/>
        <v>#REF!</v>
      </c>
      <c r="R300" s="42" t="str">
        <f>VLOOKUP($A300,Category!$A$1:$E$351,4,0)</f>
        <v>MS</v>
      </c>
      <c r="S300" s="42" t="str">
        <f>VLOOKUP($A300,Category!$A$1:$E$351,5,0)</f>
        <v>MSR</v>
      </c>
    </row>
    <row r="301">
      <c r="A301" s="83" t="s">
        <v>1467</v>
      </c>
      <c r="B301" s="89" t="s">
        <v>1468</v>
      </c>
      <c r="C301" s="42"/>
      <c r="D301" s="18" t="s">
        <v>311</v>
      </c>
      <c r="E301" s="334">
        <v>128000.0</v>
      </c>
      <c r="F301" s="335">
        <v>160000.0</v>
      </c>
      <c r="G301" s="18" t="s">
        <v>329</v>
      </c>
      <c r="H301" s="18">
        <v>7.0</v>
      </c>
      <c r="I301" s="337">
        <f t="shared" si="1"/>
        <v>0.8</v>
      </c>
      <c r="J301" s="42"/>
      <c r="K301" s="336" t="b">
        <f t="shared" si="2"/>
        <v>0</v>
      </c>
      <c r="L301" s="219" t="b">
        <f>IFERROR(VLOOKUP($A301,AlgoUi!$A$1:$M$1779,13,0),"0")</f>
        <v>0</v>
      </c>
      <c r="M301" s="219" t="b">
        <f>IFERROR(VLOOKUP($A301,AlgoUi!$A$1:$M$1779,12,0),"0")</f>
        <v>0</v>
      </c>
      <c r="N301" s="219" t="str">
        <f>IFERROR(VLOOKUP($A301,AlgoUi!$A$1:$M$1779,11,0),"0")</f>
        <v>TRUE</v>
      </c>
      <c r="O301" s="220" t="str">
        <f t="shared" si="3"/>
        <v>#REF!</v>
      </c>
      <c r="R301" s="42" t="str">
        <f>VLOOKUP($A301,Category!$A$1:$E$351,4,0)</f>
        <v>MS</v>
      </c>
      <c r="S301" s="42" t="str">
        <f>VLOOKUP($A301,Category!$A$1:$E$351,5,0)</f>
        <v>MSR</v>
      </c>
    </row>
    <row r="302">
      <c r="A302" s="83" t="s">
        <v>1685</v>
      </c>
      <c r="B302" s="343" t="s">
        <v>1898</v>
      </c>
      <c r="C302" s="333">
        <v>2.0</v>
      </c>
      <c r="D302" s="333" t="s">
        <v>311</v>
      </c>
      <c r="E302" s="344">
        <v>21000.0</v>
      </c>
      <c r="F302" s="219">
        <v>30000.0</v>
      </c>
      <c r="G302" s="220" t="s">
        <v>218</v>
      </c>
      <c r="H302" s="220">
        <v>1.0</v>
      </c>
      <c r="I302" s="337">
        <f t="shared" si="1"/>
        <v>0.7</v>
      </c>
      <c r="J302" s="220"/>
      <c r="K302" s="336" t="b">
        <f t="shared" si="2"/>
        <v>0</v>
      </c>
      <c r="L302" s="219" t="b">
        <f>IFERROR(VLOOKUP($A302,AlgoUi!$A$1:$M$1779,13,0),"0")</f>
        <v>0</v>
      </c>
      <c r="M302" s="219" t="b">
        <f>IFERROR(VLOOKUP($A302,AlgoUi!$A$1:$M$1779,12,0),"0")</f>
        <v>1</v>
      </c>
      <c r="N302" s="219" t="str">
        <f>IFERROR(VLOOKUP($A302,AlgoUi!$A$1:$M$1779,11,0),"0")</f>
        <v>TRUE</v>
      </c>
      <c r="O302" s="220" t="str">
        <f t="shared" si="3"/>
        <v>#REF!</v>
      </c>
      <c r="R302" s="42" t="str">
        <f>VLOOKUP($A302,Category!$A$1:$E$351,4,0)</f>
        <v>MS</v>
      </c>
      <c r="S302" s="42" t="str">
        <f>VLOOKUP($A302,Category!$A$1:$E$351,5,0)</f>
        <v>MSR</v>
      </c>
    </row>
    <row r="303">
      <c r="A303" s="83" t="s">
        <v>533</v>
      </c>
      <c r="B303" s="42"/>
      <c r="C303" s="42"/>
      <c r="D303" s="333" t="s">
        <v>232</v>
      </c>
      <c r="E303" s="359">
        <v>0.0</v>
      </c>
      <c r="F303" s="336">
        <v>0.0</v>
      </c>
      <c r="G303" s="18" t="s">
        <v>3920</v>
      </c>
      <c r="H303" s="18">
        <v>0.0</v>
      </c>
      <c r="I303" s="337">
        <f t="shared" si="1"/>
        <v>0</v>
      </c>
      <c r="J303" s="42"/>
      <c r="K303" s="336" t="b">
        <f t="shared" si="2"/>
        <v>0</v>
      </c>
      <c r="L303" s="219" t="b">
        <f>IFERROR(VLOOKUP($A303,AlgoUi!$A$1:$M$1779,13,0),"0")</f>
        <v>0</v>
      </c>
      <c r="M303" s="219" t="b">
        <f>IFERROR(VLOOKUP($A303,AlgoUi!$A$1:$M$1779,12,0),"0")</f>
        <v>1</v>
      </c>
      <c r="N303" s="219" t="str">
        <f>IFERROR(VLOOKUP($A303,AlgoUi!$A$1:$M$1779,11,0),"0")</f>
        <v>TRUE</v>
      </c>
      <c r="O303" s="220" t="str">
        <f t="shared" si="3"/>
        <v>#REF!</v>
      </c>
      <c r="R303" s="18" t="s">
        <v>3921</v>
      </c>
      <c r="S303" s="18" t="s">
        <v>3921</v>
      </c>
    </row>
    <row r="304">
      <c r="A304" s="83" t="s">
        <v>771</v>
      </c>
      <c r="B304" s="89" t="s">
        <v>1455</v>
      </c>
      <c r="C304" s="42"/>
      <c r="D304" s="333" t="s">
        <v>232</v>
      </c>
      <c r="E304" s="334">
        <v>49000.0</v>
      </c>
      <c r="F304" s="335">
        <v>70000.0</v>
      </c>
      <c r="G304" s="336" t="s">
        <v>413</v>
      </c>
      <c r="H304" s="220">
        <v>1.0</v>
      </c>
      <c r="I304" s="337">
        <f t="shared" si="1"/>
        <v>0.7</v>
      </c>
      <c r="K304" s="336" t="b">
        <f t="shared" si="2"/>
        <v>0</v>
      </c>
      <c r="L304" s="219" t="b">
        <f>IFERROR(VLOOKUP($A304,AlgoUi!$A$1:$M$1779,13,0),"0")</f>
        <v>0</v>
      </c>
      <c r="M304" s="219" t="b">
        <f>IFERROR(VLOOKUP($A304,AlgoUi!$A$1:$M$1779,12,0),"0")</f>
        <v>1</v>
      </c>
      <c r="N304" s="219" t="str">
        <f>IFERROR(VLOOKUP($A304,AlgoUi!$A$1:$M$1779,11,0),"0")</f>
        <v>TRUE</v>
      </c>
      <c r="O304" s="220" t="str">
        <f t="shared" si="3"/>
        <v>#REF!</v>
      </c>
      <c r="R304" s="42" t="str">
        <f>VLOOKUP($A304,Category!$A$1:$E$351,4,0)</f>
        <v>MS</v>
      </c>
      <c r="S304" s="42" t="str">
        <f>VLOOKUP($A304,Category!$A$1:$E$351,5,0)</f>
        <v>MSR</v>
      </c>
    </row>
    <row r="305">
      <c r="A305" s="83" t="s">
        <v>615</v>
      </c>
      <c r="B305" s="343" t="s">
        <v>1706</v>
      </c>
      <c r="C305" s="333">
        <v>2.0</v>
      </c>
      <c r="D305" s="333" t="s">
        <v>311</v>
      </c>
      <c r="E305" s="334">
        <v>49000.0</v>
      </c>
      <c r="F305" s="335">
        <v>70000.0</v>
      </c>
      <c r="G305" s="220" t="s">
        <v>174</v>
      </c>
      <c r="H305" s="220">
        <v>1.0</v>
      </c>
      <c r="I305" s="337">
        <f t="shared" si="1"/>
        <v>0.7</v>
      </c>
      <c r="J305" s="220"/>
      <c r="K305" s="336" t="b">
        <f t="shared" si="2"/>
        <v>0</v>
      </c>
      <c r="L305" s="219" t="b">
        <f>IFERROR(VLOOKUP($A305,AlgoUi!$A$1:$M$1779,13,0),"0")</f>
        <v>0</v>
      </c>
      <c r="M305" s="219" t="b">
        <f>IFERROR(VLOOKUP($A305,AlgoUi!$A$1:$M$1779,12,0),"0")</f>
        <v>1</v>
      </c>
      <c r="N305" s="219" t="str">
        <f>IFERROR(VLOOKUP($A305,AlgoUi!$A$1:$M$1779,11,0),"0")</f>
        <v>TRUE</v>
      </c>
      <c r="O305" s="220" t="str">
        <f t="shared" si="3"/>
        <v>#REF!</v>
      </c>
      <c r="R305" s="42" t="str">
        <f>VLOOKUP($A305,Category!$A$1:$E$351,4,0)</f>
        <v>MS</v>
      </c>
      <c r="S305" s="42" t="str">
        <f>VLOOKUP($A305,Category!$A$1:$E$351,5,0)</f>
        <v>MSR</v>
      </c>
    </row>
    <row r="306">
      <c r="A306" s="83" t="s">
        <v>366</v>
      </c>
      <c r="B306" s="343" t="s">
        <v>1215</v>
      </c>
      <c r="C306" s="333">
        <v>1.0</v>
      </c>
      <c r="D306" s="333" t="s">
        <v>311</v>
      </c>
      <c r="E306" s="344">
        <v>24000.0</v>
      </c>
      <c r="F306" s="219">
        <v>30000.0</v>
      </c>
      <c r="G306" s="220" t="s">
        <v>585</v>
      </c>
      <c r="H306" s="220">
        <v>7.0</v>
      </c>
      <c r="I306" s="337">
        <f t="shared" si="1"/>
        <v>0.8</v>
      </c>
      <c r="J306" s="220"/>
      <c r="K306" s="336" t="b">
        <f t="shared" si="2"/>
        <v>0</v>
      </c>
      <c r="L306" s="219" t="b">
        <f>IFERROR(VLOOKUP($A306,AlgoUi!$A$1:$M$1779,13,0),"0")</f>
        <v>0</v>
      </c>
      <c r="M306" s="219" t="b">
        <f>IFERROR(VLOOKUP($A306,AlgoUi!$A$1:$M$1779,12,0),"0")</f>
        <v>1</v>
      </c>
      <c r="N306" s="219" t="str">
        <f>IFERROR(VLOOKUP($A306,AlgoUi!$A$1:$M$1779,11,0),"0")</f>
        <v>TRUE</v>
      </c>
      <c r="O306" s="220" t="str">
        <f t="shared" si="3"/>
        <v>#REF!</v>
      </c>
      <c r="Q306" s="89" t="s">
        <v>3861</v>
      </c>
      <c r="R306" s="42" t="str">
        <f>VLOOKUP($A306,Category!$A$1:$E$351,4,0)</f>
        <v>CC</v>
      </c>
      <c r="S306" s="42" t="str">
        <f>VLOOKUP($A306,Category!$A$1:$E$351,5,0)</f>
        <v>CCG</v>
      </c>
    </row>
    <row r="307">
      <c r="A307" s="83" t="s">
        <v>1587</v>
      </c>
      <c r="B307" s="343" t="s">
        <v>1588</v>
      </c>
      <c r="C307" s="333">
        <v>2.0</v>
      </c>
      <c r="D307" s="333" t="s">
        <v>311</v>
      </c>
      <c r="E307" s="344">
        <v>21000.0</v>
      </c>
      <c r="F307" s="219">
        <v>30000.0</v>
      </c>
      <c r="G307" s="220" t="s">
        <v>674</v>
      </c>
      <c r="H307" s="220">
        <v>1.0</v>
      </c>
      <c r="I307" s="337">
        <f t="shared" si="1"/>
        <v>0.7</v>
      </c>
      <c r="J307" s="220"/>
      <c r="K307" s="336" t="b">
        <f t="shared" si="2"/>
        <v>0</v>
      </c>
      <c r="L307" s="219" t="b">
        <f>IFERROR(VLOOKUP($A307,AlgoUi!$A$1:$M$1779,13,0),"0")</f>
        <v>0</v>
      </c>
      <c r="M307" s="219" t="b">
        <f>IFERROR(VLOOKUP($A307,AlgoUi!$A$1:$M$1779,12,0),"0")</f>
        <v>0</v>
      </c>
      <c r="N307" s="219" t="str">
        <f>IFERROR(VLOOKUP($A307,AlgoUi!$A$1:$M$1779,11,0),"0")</f>
        <v>TRUE</v>
      </c>
      <c r="O307" s="220" t="str">
        <f t="shared" si="3"/>
        <v>#REF!</v>
      </c>
      <c r="R307" s="42" t="str">
        <f>VLOOKUP($A307,Category!$A$1:$E$351,4,0)</f>
        <v>MS</v>
      </c>
      <c r="S307" s="42" t="str">
        <f>VLOOKUP($A307,Category!$A$1:$E$351,5,0)</f>
        <v>MSR</v>
      </c>
    </row>
    <row r="308">
      <c r="A308" s="83" t="s">
        <v>1948</v>
      </c>
      <c r="B308" s="343" t="s">
        <v>1949</v>
      </c>
      <c r="C308" s="333">
        <v>2.0</v>
      </c>
      <c r="D308" s="333" t="s">
        <v>232</v>
      </c>
      <c r="E308" s="334">
        <v>72000.0</v>
      </c>
      <c r="F308" s="335">
        <v>90000.0</v>
      </c>
      <c r="G308" s="220" t="s">
        <v>75</v>
      </c>
      <c r="H308" s="220">
        <v>7.0</v>
      </c>
      <c r="I308" s="337">
        <f t="shared" si="1"/>
        <v>0.8</v>
      </c>
      <c r="J308" s="220"/>
      <c r="K308" s="336" t="b">
        <f t="shared" si="2"/>
        <v>0</v>
      </c>
      <c r="L308" s="219" t="b">
        <f>IFERROR(VLOOKUP($A308,AlgoUi!$A$1:$M$1779,13,0),"0")</f>
        <v>0</v>
      </c>
      <c r="M308" s="219" t="b">
        <f>IFERROR(VLOOKUP($A308,AlgoUi!$A$1:$M$1779,12,0),"0")</f>
        <v>1</v>
      </c>
      <c r="N308" s="219" t="str">
        <f>IFERROR(VLOOKUP($A308,AlgoUi!$A$1:$M$1779,11,0),"0")</f>
        <v>TRUE</v>
      </c>
      <c r="O308" s="220" t="str">
        <f t="shared" si="3"/>
        <v>#REF!</v>
      </c>
      <c r="R308" s="42" t="str">
        <f>VLOOKUP($A308,Category!$A$1:$E$351,4,0)</f>
        <v>#N/A</v>
      </c>
      <c r="S308" s="42" t="str">
        <f>VLOOKUP($A308,Category!$A$1:$E$351,5,0)</f>
        <v>#N/A</v>
      </c>
    </row>
    <row r="309">
      <c r="A309" s="360" t="s">
        <v>696</v>
      </c>
      <c r="B309" s="89" t="s">
        <v>1680</v>
      </c>
      <c r="C309" s="333"/>
      <c r="D309" s="18" t="s">
        <v>311</v>
      </c>
      <c r="E309" s="334">
        <v>48000.0</v>
      </c>
      <c r="F309" s="335">
        <v>60000.0</v>
      </c>
      <c r="G309" s="336" t="s">
        <v>75</v>
      </c>
      <c r="H309" s="336">
        <v>7.0</v>
      </c>
      <c r="I309" s="337">
        <f t="shared" si="1"/>
        <v>0.8</v>
      </c>
      <c r="J309" s="220"/>
      <c r="K309" s="336"/>
      <c r="L309" s="219"/>
      <c r="M309" s="219"/>
      <c r="N309" s="219"/>
      <c r="O309" s="220" t="str">
        <f t="shared" si="3"/>
        <v>#REF!</v>
      </c>
      <c r="R309" s="42" t="str">
        <f>VLOOKUP($A309,Category!$A$1:$E$351,4,0)</f>
        <v>MS</v>
      </c>
      <c r="S309" s="42" t="str">
        <f>VLOOKUP($A309,Category!$A$1:$E$351,5,0)</f>
        <v>MSR</v>
      </c>
    </row>
    <row r="310">
      <c r="A310" s="11" t="s">
        <v>1744</v>
      </c>
      <c r="B310" s="18" t="s">
        <v>1745</v>
      </c>
      <c r="C310" s="18">
        <v>2.0</v>
      </c>
      <c r="D310" s="18" t="s">
        <v>311</v>
      </c>
      <c r="E310" s="359">
        <v>35000.0</v>
      </c>
      <c r="F310" s="336">
        <v>50000.0</v>
      </c>
      <c r="G310" s="18" t="s">
        <v>54</v>
      </c>
      <c r="H310" s="18">
        <v>1.0</v>
      </c>
      <c r="I310" s="18">
        <v>0.7</v>
      </c>
      <c r="J310" s="42"/>
      <c r="K310" s="336" t="b">
        <f>IFERROR(E310=L310,0)</f>
        <v>0</v>
      </c>
      <c r="L310" s="219" t="b">
        <f>IFERROR(VLOOKUP($A310,AlgoUi!$A$1:$M$1779,13,0),"0")</f>
        <v>0</v>
      </c>
      <c r="M310" s="219" t="b">
        <f>IFERROR(VLOOKUP($A310,AlgoUi!$A$1:$M$1779,12,0),"0")</f>
        <v>1</v>
      </c>
      <c r="N310" s="219" t="str">
        <f>IFERROR(VLOOKUP($A310,AlgoUi!$A$1:$M$1779,11,0),"0")</f>
        <v>TRUE</v>
      </c>
      <c r="O310" s="18" t="s">
        <v>3922</v>
      </c>
      <c r="R310" s="18" t="s">
        <v>1160</v>
      </c>
      <c r="S310" s="18" t="s">
        <v>1179</v>
      </c>
    </row>
    <row r="311">
      <c r="A311" s="11" t="s">
        <v>683</v>
      </c>
      <c r="B311" s="18" t="s">
        <v>3923</v>
      </c>
      <c r="C311" s="42"/>
      <c r="D311" s="18" t="s">
        <v>311</v>
      </c>
      <c r="E311" s="359"/>
      <c r="F311" s="336"/>
      <c r="G311" s="336" t="s">
        <v>113</v>
      </c>
      <c r="H311" s="336">
        <v>1.0</v>
      </c>
      <c r="I311" s="337"/>
      <c r="J311" s="42"/>
      <c r="K311" s="336"/>
      <c r="L311" s="219"/>
      <c r="M311" s="219"/>
      <c r="N311" s="219"/>
      <c r="O311" s="42"/>
      <c r="R311" s="42" t="str">
        <f>VLOOKUP($A311,Category!$A$1:$E$351,4,0)</f>
        <v>MS</v>
      </c>
      <c r="S311" s="42" t="str">
        <f>VLOOKUP($A311,Category!$A$1:$E$351,5,0)</f>
        <v>MSR</v>
      </c>
    </row>
    <row r="312">
      <c r="A312" s="11" t="s">
        <v>3924</v>
      </c>
      <c r="B312" s="18" t="s">
        <v>3925</v>
      </c>
      <c r="C312" s="42"/>
      <c r="D312" s="18" t="s">
        <v>297</v>
      </c>
      <c r="E312" s="359">
        <v>0.0</v>
      </c>
      <c r="F312" s="336">
        <v>0.0</v>
      </c>
      <c r="G312" s="18" t="s">
        <v>3920</v>
      </c>
      <c r="H312" s="18">
        <v>0.0</v>
      </c>
      <c r="I312" s="337">
        <f t="shared" ref="I312:I313" si="4">IFERROR(E312/F312,0)</f>
        <v>0</v>
      </c>
      <c r="J312" s="42"/>
      <c r="K312" s="336" t="b">
        <f t="shared" ref="K312:K313" si="5">IFERROR(E312=L312,0)</f>
        <v>0</v>
      </c>
      <c r="L312" s="219" t="str">
        <f>IFERROR(VLOOKUP($A312,AlgoUi!$A$1:$M$1779,13,0),"0")</f>
        <v>0</v>
      </c>
      <c r="M312" s="219" t="str">
        <f>IFERROR(VLOOKUP($A312,AlgoUi!$A$1:$M$1779,12,0),"0")</f>
        <v>0</v>
      </c>
      <c r="N312" s="219" t="str">
        <f>IFERROR(VLOOKUP($A312,AlgoUi!$A$1:$M$1779,11,0),"0")</f>
        <v>0</v>
      </c>
      <c r="O312" s="220" t="str">
        <f t="shared" ref="O312:O313" si="6">VLOOKUP($G312,ServerMapping!$A:$B,2,0)</f>
        <v>#REF!</v>
      </c>
      <c r="R312" s="18" t="s">
        <v>3921</v>
      </c>
      <c r="S312" s="18" t="s">
        <v>3921</v>
      </c>
    </row>
    <row r="313">
      <c r="A313" s="75" t="s">
        <v>532</v>
      </c>
      <c r="B313" s="47" t="s">
        <v>1282</v>
      </c>
      <c r="C313" s="47">
        <v>1.0</v>
      </c>
      <c r="D313" s="47" t="s">
        <v>1283</v>
      </c>
      <c r="E313" s="359">
        <v>0.0</v>
      </c>
      <c r="F313" s="336">
        <v>0.0</v>
      </c>
      <c r="G313" s="18" t="s">
        <v>3920</v>
      </c>
      <c r="H313" s="18">
        <v>0.0</v>
      </c>
      <c r="I313" s="337">
        <f t="shared" si="4"/>
        <v>0</v>
      </c>
      <c r="J313" s="42"/>
      <c r="K313" s="336" t="b">
        <f t="shared" si="5"/>
        <v>0</v>
      </c>
      <c r="L313" s="219" t="b">
        <f>IFERROR(VLOOKUP($A313,AlgoUi!$A$1:$M$1779,13,0),"0")</f>
        <v>1</v>
      </c>
      <c r="M313" s="219" t="b">
        <f>IFERROR(VLOOKUP($A313,AlgoUi!$A$1:$M$1779,12,0),"0")</f>
        <v>1</v>
      </c>
      <c r="N313" s="219" t="str">
        <f>IFERROR(VLOOKUP($A313,AlgoUi!$A$1:$M$1779,11,0),"0")</f>
        <v>TRUE</v>
      </c>
      <c r="O313" s="220" t="str">
        <f t="shared" si="6"/>
        <v>#REF!</v>
      </c>
      <c r="R313" s="18" t="s">
        <v>3921</v>
      </c>
      <c r="S313" s="18" t="s">
        <v>3921</v>
      </c>
    </row>
    <row r="314">
      <c r="A314" s="11" t="s">
        <v>483</v>
      </c>
      <c r="B314" s="361" t="s">
        <v>2215</v>
      </c>
      <c r="C314" s="42"/>
      <c r="D314" s="18" t="s">
        <v>965</v>
      </c>
      <c r="E314" s="362"/>
      <c r="F314" s="220"/>
      <c r="G314" s="18" t="s">
        <v>83</v>
      </c>
      <c r="H314" s="18">
        <v>7.0</v>
      </c>
      <c r="I314" s="42"/>
      <c r="J314" s="42"/>
      <c r="K314" s="336"/>
      <c r="L314" s="219"/>
      <c r="M314" s="219"/>
      <c r="N314" s="219"/>
      <c r="O314" s="42"/>
      <c r="R314" s="18" t="s">
        <v>1160</v>
      </c>
      <c r="S314" s="18" t="s">
        <v>1172</v>
      </c>
    </row>
    <row r="315">
      <c r="A315" s="25"/>
      <c r="B315" s="42"/>
      <c r="C315" s="42"/>
      <c r="D315" s="42"/>
      <c r="E315" s="362"/>
      <c r="F315" s="220"/>
      <c r="G315" s="220"/>
      <c r="H315" s="42"/>
      <c r="I315" s="42"/>
      <c r="J315" s="42"/>
      <c r="K315" s="336"/>
      <c r="L315" s="219"/>
      <c r="M315" s="219"/>
      <c r="N315" s="219"/>
      <c r="O315" s="42"/>
      <c r="R315" s="42"/>
      <c r="S315" s="42"/>
    </row>
    <row r="316">
      <c r="A316" s="25"/>
      <c r="B316" s="42"/>
      <c r="C316" s="42"/>
      <c r="D316" s="42"/>
      <c r="E316" s="362"/>
      <c r="F316" s="220"/>
      <c r="G316" s="42"/>
      <c r="J316" s="42"/>
      <c r="K316" s="336"/>
      <c r="L316" s="219"/>
      <c r="M316" s="219"/>
      <c r="N316" s="219"/>
      <c r="O316" s="42"/>
      <c r="R316" s="42"/>
      <c r="S316" s="42"/>
    </row>
    <row r="317">
      <c r="A317" s="25"/>
      <c r="B317" s="42"/>
      <c r="C317" s="42"/>
      <c r="D317" s="42"/>
      <c r="E317" s="362"/>
      <c r="F317" s="220"/>
      <c r="G317" s="42"/>
      <c r="H317" s="42"/>
      <c r="I317" s="42"/>
      <c r="J317" s="42"/>
      <c r="K317" s="336"/>
      <c r="L317" s="219"/>
      <c r="M317" s="219"/>
      <c r="N317" s="219"/>
      <c r="O317" s="42"/>
      <c r="R317" s="42"/>
      <c r="S317" s="42"/>
    </row>
    <row r="318">
      <c r="A318" s="25"/>
      <c r="B318" s="42"/>
      <c r="C318" s="42"/>
      <c r="D318" s="42"/>
      <c r="E318" s="362"/>
      <c r="F318" s="220"/>
      <c r="G318" s="42"/>
      <c r="H318" s="42"/>
      <c r="I318" s="42"/>
      <c r="J318" s="42"/>
      <c r="K318" s="336"/>
      <c r="L318" s="219"/>
      <c r="M318" s="219"/>
      <c r="N318" s="219"/>
      <c r="O318" s="42"/>
      <c r="R318" s="42"/>
      <c r="S318" s="42"/>
    </row>
    <row r="319">
      <c r="A319" s="25"/>
      <c r="B319" s="42"/>
      <c r="C319" s="42"/>
      <c r="D319" s="42"/>
      <c r="E319" s="362"/>
      <c r="F319" s="220"/>
      <c r="G319" s="42"/>
      <c r="H319" s="42"/>
      <c r="I319" s="42"/>
      <c r="J319" s="42"/>
      <c r="K319" s="336"/>
      <c r="L319" s="219"/>
      <c r="M319" s="219"/>
      <c r="N319" s="219"/>
      <c r="O319" s="42"/>
      <c r="R319" s="42"/>
      <c r="S319" s="42"/>
    </row>
    <row r="320">
      <c r="A320" s="25"/>
      <c r="B320" s="42"/>
      <c r="C320" s="42"/>
      <c r="D320" s="42"/>
      <c r="E320" s="362"/>
      <c r="F320" s="220"/>
      <c r="G320" s="42"/>
      <c r="H320" s="42"/>
      <c r="I320" s="42"/>
      <c r="J320" s="42"/>
      <c r="K320" s="336"/>
      <c r="L320" s="219"/>
      <c r="M320" s="219"/>
      <c r="N320" s="219"/>
      <c r="O320" s="42"/>
      <c r="R320" s="42"/>
      <c r="S320" s="42"/>
    </row>
    <row r="321">
      <c r="A321" s="11"/>
      <c r="B321" s="42"/>
      <c r="C321" s="42"/>
      <c r="D321" s="42"/>
      <c r="E321" s="362"/>
      <c r="F321" s="220"/>
      <c r="G321" s="42"/>
      <c r="H321" s="42"/>
      <c r="I321" s="42"/>
      <c r="J321" s="42"/>
      <c r="K321" s="336"/>
      <c r="L321" s="219"/>
      <c r="M321" s="219"/>
      <c r="N321" s="219"/>
      <c r="O321" s="42"/>
      <c r="R321" s="42"/>
      <c r="S321" s="42"/>
    </row>
    <row r="322">
      <c r="A322" s="11"/>
      <c r="B322" s="42"/>
      <c r="C322" s="42"/>
      <c r="D322" s="42"/>
      <c r="E322" s="362"/>
      <c r="F322" s="220"/>
      <c r="G322" s="42"/>
      <c r="H322" s="42"/>
      <c r="I322" s="42"/>
      <c r="J322" s="42"/>
      <c r="K322" s="336"/>
      <c r="L322" s="219"/>
      <c r="M322" s="219"/>
      <c r="N322" s="219"/>
      <c r="O322" s="42"/>
      <c r="R322" s="42"/>
      <c r="S322" s="42"/>
    </row>
    <row r="323">
      <c r="A323" s="11"/>
      <c r="B323" s="42"/>
      <c r="C323" s="42"/>
      <c r="D323" s="42"/>
      <c r="E323" s="362"/>
      <c r="F323" s="220"/>
      <c r="G323" s="42"/>
      <c r="H323" s="42"/>
      <c r="I323" s="42"/>
      <c r="J323" s="42"/>
      <c r="K323" s="336"/>
      <c r="L323" s="219"/>
      <c r="M323" s="219"/>
      <c r="N323" s="219"/>
      <c r="O323" s="42"/>
      <c r="R323" s="42"/>
      <c r="S323" s="42"/>
    </row>
    <row r="324">
      <c r="A324" s="11"/>
      <c r="B324" s="42"/>
      <c r="C324" s="42"/>
      <c r="D324" s="42"/>
      <c r="E324" s="362"/>
      <c r="F324" s="220"/>
      <c r="G324" s="42"/>
      <c r="H324" s="42"/>
      <c r="I324" s="42"/>
      <c r="J324" s="42"/>
      <c r="K324" s="336"/>
      <c r="L324" s="219"/>
      <c r="M324" s="219"/>
      <c r="N324" s="219"/>
      <c r="O324" s="42"/>
      <c r="R324" s="42"/>
      <c r="S324" s="42"/>
    </row>
    <row r="325">
      <c r="A325" s="25"/>
      <c r="B325" s="42"/>
      <c r="C325" s="42"/>
      <c r="D325" s="42"/>
      <c r="E325" s="362"/>
      <c r="F325" s="220"/>
      <c r="G325" s="42"/>
      <c r="H325" s="42"/>
      <c r="I325" s="42"/>
      <c r="J325" s="42"/>
      <c r="K325" s="336"/>
      <c r="L325" s="219"/>
      <c r="M325" s="219"/>
      <c r="N325" s="219"/>
      <c r="O325" s="42"/>
      <c r="R325" s="42"/>
      <c r="S325" s="42"/>
    </row>
    <row r="326">
      <c r="A326" s="25"/>
      <c r="B326" s="42"/>
      <c r="C326" s="42"/>
      <c r="D326" s="42"/>
      <c r="E326" s="362"/>
      <c r="F326" s="220"/>
      <c r="G326" s="42"/>
      <c r="H326" s="42"/>
      <c r="I326" s="42"/>
      <c r="J326" s="42"/>
      <c r="K326" s="336"/>
      <c r="L326" s="219"/>
      <c r="M326" s="219"/>
      <c r="N326" s="219"/>
      <c r="O326" s="42"/>
      <c r="R326" s="42"/>
      <c r="S326" s="42"/>
    </row>
    <row r="327">
      <c r="A327" s="25"/>
      <c r="B327" s="42"/>
      <c r="C327" s="42"/>
      <c r="D327" s="42"/>
      <c r="E327" s="362"/>
      <c r="F327" s="220"/>
      <c r="G327" s="42"/>
      <c r="H327" s="42"/>
      <c r="I327" s="42"/>
      <c r="J327" s="42"/>
      <c r="K327" s="336"/>
      <c r="L327" s="219"/>
      <c r="M327" s="219"/>
      <c r="N327" s="219"/>
      <c r="O327" s="42"/>
      <c r="R327" s="42"/>
      <c r="S327" s="42"/>
    </row>
    <row r="328">
      <c r="A328" s="25"/>
      <c r="B328" s="42"/>
      <c r="C328" s="42"/>
      <c r="D328" s="42"/>
      <c r="E328" s="362"/>
      <c r="F328" s="220"/>
      <c r="G328" s="42"/>
      <c r="H328" s="42"/>
      <c r="I328" s="42"/>
      <c r="J328" s="42"/>
      <c r="K328" s="336"/>
      <c r="L328" s="219"/>
      <c r="M328" s="219"/>
      <c r="N328" s="219"/>
      <c r="O328" s="42"/>
      <c r="R328" s="42"/>
      <c r="S328" s="42"/>
    </row>
    <row r="329">
      <c r="A329" s="25"/>
      <c r="B329" s="42"/>
      <c r="C329" s="42"/>
      <c r="D329" s="42"/>
      <c r="E329" s="362"/>
      <c r="F329" s="220"/>
      <c r="G329" s="42"/>
      <c r="H329" s="42"/>
      <c r="I329" s="42"/>
      <c r="J329" s="42"/>
      <c r="K329" s="336"/>
      <c r="L329" s="219"/>
      <c r="M329" s="219"/>
      <c r="N329" s="219"/>
      <c r="O329" s="42"/>
      <c r="R329" s="42"/>
      <c r="S329" s="42"/>
    </row>
    <row r="330">
      <c r="A330" s="25"/>
      <c r="B330" s="42"/>
      <c r="C330" s="42"/>
      <c r="D330" s="42"/>
      <c r="E330" s="362"/>
      <c r="F330" s="220"/>
      <c r="G330" s="42"/>
      <c r="H330" s="42"/>
      <c r="I330" s="42"/>
      <c r="J330" s="42"/>
      <c r="K330" s="336"/>
      <c r="L330" s="219"/>
      <c r="M330" s="219"/>
      <c r="N330" s="219"/>
      <c r="O330" s="42"/>
      <c r="R330" s="42"/>
      <c r="S330" s="42"/>
    </row>
    <row r="331">
      <c r="A331" s="25"/>
      <c r="B331" s="42"/>
      <c r="C331" s="42"/>
      <c r="D331" s="42"/>
      <c r="E331" s="362"/>
      <c r="F331" s="220"/>
      <c r="G331" s="42"/>
      <c r="H331" s="42"/>
      <c r="I331" s="42"/>
      <c r="J331" s="42"/>
      <c r="K331" s="336"/>
      <c r="L331" s="219"/>
      <c r="M331" s="219"/>
      <c r="N331" s="219"/>
      <c r="O331" s="42"/>
      <c r="R331" s="42"/>
      <c r="S331" s="42"/>
    </row>
    <row r="332">
      <c r="A332" s="25"/>
      <c r="B332" s="42"/>
      <c r="C332" s="42"/>
      <c r="D332" s="42"/>
      <c r="E332" s="362"/>
      <c r="F332" s="220"/>
      <c r="G332" s="42"/>
      <c r="H332" s="42"/>
      <c r="I332" s="42"/>
      <c r="J332" s="42"/>
      <c r="K332" s="336"/>
      <c r="L332" s="219"/>
      <c r="M332" s="219"/>
      <c r="N332" s="219"/>
      <c r="O332" s="42"/>
      <c r="R332" s="42"/>
      <c r="S332" s="42"/>
    </row>
    <row r="333">
      <c r="A333" s="25"/>
      <c r="B333" s="42"/>
      <c r="C333" s="42"/>
      <c r="D333" s="42"/>
      <c r="E333" s="362"/>
      <c r="F333" s="220"/>
      <c r="G333" s="42"/>
      <c r="H333" s="42"/>
      <c r="I333" s="42"/>
      <c r="J333" s="42"/>
      <c r="K333" s="336"/>
      <c r="L333" s="219"/>
      <c r="M333" s="219"/>
      <c r="N333" s="219"/>
      <c r="O333" s="42"/>
      <c r="R333" s="42"/>
      <c r="S333" s="42"/>
    </row>
    <row r="334">
      <c r="A334" s="25"/>
      <c r="B334" s="42"/>
      <c r="C334" s="42"/>
      <c r="D334" s="42"/>
      <c r="E334" s="362"/>
      <c r="F334" s="220"/>
      <c r="G334" s="42"/>
      <c r="H334" s="42"/>
      <c r="I334" s="42"/>
      <c r="J334" s="42"/>
      <c r="K334" s="336"/>
      <c r="L334" s="219"/>
      <c r="M334" s="219"/>
      <c r="N334" s="219"/>
      <c r="O334" s="42"/>
      <c r="R334" s="42"/>
      <c r="S334" s="42"/>
    </row>
    <row r="335">
      <c r="A335" s="25"/>
      <c r="B335" s="42"/>
      <c r="C335" s="42"/>
      <c r="D335" s="42"/>
      <c r="E335" s="362"/>
      <c r="F335" s="220"/>
      <c r="G335" s="42"/>
      <c r="H335" s="42"/>
      <c r="I335" s="42"/>
      <c r="J335" s="42"/>
      <c r="K335" s="336"/>
      <c r="L335" s="219"/>
      <c r="M335" s="219"/>
      <c r="N335" s="219"/>
      <c r="O335" s="42"/>
      <c r="R335" s="42"/>
      <c r="S335" s="42"/>
    </row>
    <row r="336">
      <c r="A336" s="25"/>
      <c r="B336" s="42"/>
      <c r="C336" s="42"/>
      <c r="D336" s="42"/>
      <c r="E336" s="362"/>
      <c r="F336" s="220"/>
      <c r="G336" s="42"/>
      <c r="H336" s="42"/>
      <c r="I336" s="42"/>
      <c r="J336" s="42"/>
      <c r="K336" s="336"/>
      <c r="L336" s="219"/>
      <c r="M336" s="219"/>
      <c r="N336" s="219"/>
      <c r="O336" s="42"/>
      <c r="R336" s="42"/>
      <c r="S336" s="42"/>
    </row>
    <row r="337">
      <c r="A337" s="25"/>
      <c r="B337" s="42"/>
      <c r="C337" s="42"/>
      <c r="D337" s="42"/>
      <c r="E337" s="362"/>
      <c r="F337" s="220"/>
      <c r="G337" s="42"/>
      <c r="H337" s="42"/>
      <c r="I337" s="42"/>
      <c r="J337" s="42"/>
      <c r="K337" s="336"/>
      <c r="L337" s="219"/>
      <c r="M337" s="219"/>
      <c r="N337" s="219"/>
      <c r="O337" s="42"/>
      <c r="R337" s="42"/>
      <c r="S337" s="42"/>
    </row>
    <row r="338">
      <c r="A338" s="25"/>
      <c r="B338" s="42"/>
      <c r="C338" s="42"/>
      <c r="D338" s="42"/>
      <c r="E338" s="362"/>
      <c r="F338" s="220"/>
      <c r="G338" s="42"/>
      <c r="H338" s="42"/>
      <c r="I338" s="42"/>
      <c r="J338" s="42"/>
      <c r="K338" s="336"/>
      <c r="L338" s="219"/>
      <c r="M338" s="219"/>
      <c r="N338" s="219"/>
      <c r="O338" s="42"/>
      <c r="R338" s="42"/>
      <c r="S338" s="42"/>
    </row>
    <row r="339">
      <c r="A339" s="25"/>
      <c r="B339" s="42"/>
      <c r="C339" s="42"/>
      <c r="D339" s="42"/>
      <c r="E339" s="362"/>
      <c r="F339" s="220"/>
      <c r="G339" s="42"/>
      <c r="H339" s="42"/>
      <c r="I339" s="42"/>
      <c r="J339" s="42"/>
      <c r="K339" s="336"/>
      <c r="L339" s="219"/>
      <c r="M339" s="219"/>
      <c r="N339" s="219"/>
      <c r="O339" s="42"/>
      <c r="R339" s="42"/>
      <c r="S339" s="42"/>
    </row>
    <row r="340">
      <c r="A340" s="25"/>
      <c r="B340" s="42"/>
      <c r="C340" s="42"/>
      <c r="D340" s="42"/>
      <c r="E340" s="362"/>
      <c r="F340" s="220"/>
      <c r="G340" s="42"/>
      <c r="H340" s="42"/>
      <c r="I340" s="42"/>
      <c r="J340" s="42"/>
      <c r="K340" s="336"/>
      <c r="L340" s="219"/>
      <c r="M340" s="219"/>
      <c r="N340" s="219"/>
      <c r="O340" s="42"/>
      <c r="R340" s="42"/>
      <c r="S340" s="42"/>
    </row>
    <row r="341">
      <c r="A341" s="25"/>
      <c r="B341" s="42"/>
      <c r="C341" s="42"/>
      <c r="D341" s="42"/>
      <c r="E341" s="362"/>
      <c r="F341" s="220"/>
      <c r="G341" s="42"/>
      <c r="H341" s="42"/>
      <c r="I341" s="42"/>
      <c r="J341" s="42"/>
      <c r="K341" s="336"/>
      <c r="L341" s="219"/>
      <c r="M341" s="219"/>
      <c r="N341" s="219"/>
      <c r="O341" s="42"/>
      <c r="R341" s="42"/>
      <c r="S341" s="42"/>
    </row>
    <row r="342">
      <c r="A342" s="25"/>
      <c r="B342" s="42"/>
      <c r="C342" s="42"/>
      <c r="D342" s="42"/>
      <c r="E342" s="362"/>
      <c r="F342" s="220"/>
      <c r="G342" s="42"/>
      <c r="H342" s="42"/>
      <c r="I342" s="42"/>
      <c r="J342" s="42"/>
      <c r="K342" s="336"/>
      <c r="L342" s="219"/>
      <c r="M342" s="219"/>
      <c r="N342" s="219"/>
      <c r="O342" s="42"/>
      <c r="R342" s="42"/>
      <c r="S342" s="42"/>
    </row>
    <row r="343">
      <c r="A343" s="25"/>
      <c r="B343" s="42"/>
      <c r="C343" s="42"/>
      <c r="D343" s="42"/>
      <c r="E343" s="362"/>
      <c r="F343" s="220"/>
      <c r="G343" s="42"/>
      <c r="H343" s="42"/>
      <c r="I343" s="42"/>
      <c r="J343" s="42"/>
      <c r="K343" s="336"/>
      <c r="L343" s="219"/>
      <c r="M343" s="219"/>
      <c r="N343" s="219"/>
      <c r="O343" s="42"/>
      <c r="R343" s="42"/>
      <c r="S343" s="42"/>
    </row>
    <row r="344">
      <c r="A344" s="25"/>
      <c r="B344" s="42"/>
      <c r="C344" s="42"/>
      <c r="D344" s="42"/>
      <c r="E344" s="362"/>
      <c r="F344" s="220"/>
      <c r="G344" s="42"/>
      <c r="H344" s="42"/>
      <c r="I344" s="42"/>
      <c r="J344" s="42"/>
      <c r="K344" s="336"/>
      <c r="L344" s="219"/>
      <c r="M344" s="219"/>
      <c r="N344" s="219"/>
      <c r="O344" s="42"/>
      <c r="R344" s="42"/>
      <c r="S344" s="42"/>
    </row>
    <row r="345">
      <c r="A345" s="25"/>
      <c r="B345" s="42"/>
      <c r="C345" s="42"/>
      <c r="D345" s="42"/>
      <c r="E345" s="362"/>
      <c r="F345" s="220"/>
      <c r="G345" s="42"/>
      <c r="H345" s="42"/>
      <c r="I345" s="42"/>
      <c r="J345" s="42"/>
      <c r="K345" s="336"/>
      <c r="L345" s="219"/>
      <c r="M345" s="219"/>
      <c r="N345" s="219"/>
      <c r="O345" s="42"/>
      <c r="R345" s="42"/>
      <c r="S345" s="42"/>
    </row>
    <row r="346">
      <c r="A346" s="25"/>
      <c r="B346" s="42"/>
      <c r="C346" s="42"/>
      <c r="D346" s="42"/>
      <c r="E346" s="362"/>
      <c r="F346" s="220"/>
      <c r="G346" s="42"/>
      <c r="H346" s="42"/>
      <c r="I346" s="42"/>
      <c r="J346" s="42"/>
      <c r="K346" s="336"/>
      <c r="L346" s="219"/>
      <c r="M346" s="219"/>
      <c r="N346" s="219"/>
      <c r="O346" s="42"/>
      <c r="R346" s="42"/>
      <c r="S346" s="42"/>
    </row>
    <row r="347">
      <c r="A347" s="25"/>
      <c r="B347" s="42"/>
      <c r="C347" s="42"/>
      <c r="D347" s="42"/>
      <c r="E347" s="362"/>
      <c r="F347" s="220"/>
      <c r="G347" s="42"/>
      <c r="H347" s="42"/>
      <c r="I347" s="42"/>
      <c r="J347" s="42"/>
      <c r="K347" s="336"/>
      <c r="L347" s="219"/>
      <c r="M347" s="219"/>
      <c r="N347" s="219"/>
      <c r="O347" s="42"/>
      <c r="R347" s="42"/>
      <c r="S347" s="42"/>
    </row>
    <row r="348">
      <c r="A348" s="25"/>
      <c r="B348" s="42"/>
      <c r="C348" s="42"/>
      <c r="D348" s="42"/>
      <c r="E348" s="362"/>
      <c r="F348" s="220"/>
      <c r="G348" s="42"/>
      <c r="H348" s="42"/>
      <c r="I348" s="42"/>
      <c r="J348" s="42"/>
      <c r="K348" s="336"/>
      <c r="L348" s="219"/>
      <c r="M348" s="219"/>
      <c r="N348" s="219"/>
      <c r="O348" s="42"/>
      <c r="R348" s="42"/>
      <c r="S348" s="42"/>
    </row>
    <row r="349">
      <c r="A349" s="25"/>
      <c r="B349" s="42"/>
      <c r="C349" s="42"/>
      <c r="D349" s="42"/>
      <c r="E349" s="362"/>
      <c r="F349" s="220"/>
      <c r="G349" s="42"/>
      <c r="H349" s="42"/>
      <c r="I349" s="42"/>
      <c r="J349" s="42"/>
      <c r="K349" s="336"/>
      <c r="L349" s="219"/>
      <c r="M349" s="219"/>
      <c r="N349" s="219"/>
      <c r="O349" s="42"/>
      <c r="R349" s="42"/>
      <c r="S349" s="42"/>
    </row>
    <row r="350">
      <c r="A350" s="25"/>
      <c r="B350" s="42"/>
      <c r="C350" s="42"/>
      <c r="D350" s="42"/>
      <c r="E350" s="362"/>
      <c r="F350" s="220"/>
      <c r="G350" s="42"/>
      <c r="H350" s="42"/>
      <c r="I350" s="42"/>
      <c r="J350" s="42"/>
      <c r="K350" s="336"/>
      <c r="L350" s="219"/>
      <c r="M350" s="219"/>
      <c r="N350" s="219"/>
      <c r="O350" s="42"/>
      <c r="R350" s="42"/>
      <c r="S350" s="42"/>
    </row>
    <row r="351">
      <c r="A351" s="25"/>
      <c r="B351" s="42"/>
      <c r="C351" s="42"/>
      <c r="D351" s="42"/>
      <c r="E351" s="362"/>
      <c r="F351" s="220"/>
      <c r="G351" s="42"/>
      <c r="H351" s="42"/>
      <c r="I351" s="42"/>
      <c r="J351" s="42"/>
      <c r="K351" s="336"/>
      <c r="L351" s="219"/>
      <c r="M351" s="219"/>
      <c r="N351" s="219"/>
      <c r="O351" s="42"/>
      <c r="R351" s="42"/>
      <c r="S351" s="42"/>
    </row>
    <row r="352">
      <c r="A352" s="25"/>
      <c r="B352" s="42"/>
      <c r="C352" s="42"/>
      <c r="D352" s="42"/>
      <c r="E352" s="362"/>
      <c r="F352" s="220"/>
      <c r="G352" s="42"/>
      <c r="H352" s="42"/>
      <c r="I352" s="42"/>
      <c r="J352" s="42"/>
      <c r="K352" s="336"/>
      <c r="L352" s="219"/>
      <c r="M352" s="219"/>
      <c r="N352" s="219"/>
      <c r="O352" s="42"/>
      <c r="R352" s="42"/>
      <c r="S352" s="42"/>
    </row>
    <row r="353">
      <c r="A353" s="25"/>
      <c r="B353" s="42"/>
      <c r="C353" s="42"/>
      <c r="D353" s="42"/>
      <c r="E353" s="362"/>
      <c r="F353" s="220"/>
      <c r="G353" s="42"/>
      <c r="H353" s="42"/>
      <c r="I353" s="42"/>
      <c r="J353" s="42"/>
      <c r="K353" s="336"/>
      <c r="L353" s="219"/>
      <c r="M353" s="219"/>
      <c r="N353" s="219"/>
      <c r="O353" s="42"/>
      <c r="R353" s="42"/>
      <c r="S353" s="42"/>
    </row>
    <row r="354">
      <c r="A354" s="25"/>
      <c r="B354" s="42"/>
      <c r="C354" s="42"/>
      <c r="D354" s="42"/>
      <c r="E354" s="362"/>
      <c r="F354" s="220"/>
      <c r="G354" s="42"/>
      <c r="H354" s="42"/>
      <c r="I354" s="42"/>
      <c r="J354" s="42"/>
      <c r="K354" s="336"/>
      <c r="L354" s="219"/>
      <c r="M354" s="219"/>
      <c r="N354" s="219"/>
      <c r="O354" s="42"/>
      <c r="R354" s="42"/>
      <c r="S354" s="42"/>
    </row>
    <row r="355">
      <c r="A355" s="25"/>
      <c r="B355" s="42"/>
      <c r="C355" s="42"/>
      <c r="D355" s="42"/>
      <c r="E355" s="362"/>
      <c r="F355" s="220"/>
      <c r="G355" s="42"/>
      <c r="H355" s="42"/>
      <c r="I355" s="42"/>
      <c r="J355" s="42"/>
      <c r="K355" s="336"/>
      <c r="L355" s="219"/>
      <c r="M355" s="219"/>
      <c r="N355" s="219"/>
      <c r="O355" s="42"/>
      <c r="R355" s="42"/>
      <c r="S355" s="42"/>
    </row>
    <row r="356">
      <c r="A356" s="25"/>
      <c r="B356" s="42"/>
      <c r="C356" s="42"/>
      <c r="D356" s="42"/>
      <c r="E356" s="362"/>
      <c r="F356" s="220"/>
      <c r="G356" s="42"/>
      <c r="H356" s="42"/>
      <c r="I356" s="42"/>
      <c r="J356" s="42"/>
      <c r="K356" s="336"/>
      <c r="L356" s="219"/>
      <c r="M356" s="219"/>
      <c r="N356" s="219"/>
      <c r="O356" s="42"/>
      <c r="R356" s="42"/>
      <c r="S356" s="42"/>
    </row>
    <row r="357">
      <c r="A357" s="25"/>
      <c r="B357" s="42"/>
      <c r="C357" s="42"/>
      <c r="D357" s="42"/>
      <c r="E357" s="362"/>
      <c r="F357" s="220"/>
      <c r="G357" s="42"/>
      <c r="H357" s="42"/>
      <c r="I357" s="42"/>
      <c r="J357" s="42"/>
      <c r="K357" s="336"/>
      <c r="L357" s="219"/>
      <c r="M357" s="219"/>
      <c r="N357" s="219"/>
      <c r="O357" s="42"/>
      <c r="R357" s="42"/>
      <c r="S357" s="42"/>
    </row>
    <row r="358">
      <c r="A358" s="25"/>
      <c r="B358" s="42"/>
      <c r="C358" s="42"/>
      <c r="D358" s="42"/>
      <c r="E358" s="362"/>
      <c r="F358" s="220"/>
      <c r="G358" s="42"/>
      <c r="H358" s="42"/>
      <c r="I358" s="42"/>
      <c r="J358" s="42"/>
      <c r="K358" s="336"/>
      <c r="L358" s="219"/>
      <c r="M358" s="219"/>
      <c r="N358" s="219"/>
      <c r="O358" s="42"/>
      <c r="R358" s="42"/>
      <c r="S358" s="42"/>
    </row>
    <row r="359">
      <c r="A359" s="25"/>
      <c r="B359" s="42"/>
      <c r="C359" s="42"/>
      <c r="D359" s="42"/>
      <c r="E359" s="362"/>
      <c r="F359" s="220"/>
      <c r="G359" s="42"/>
      <c r="H359" s="42"/>
      <c r="I359" s="42"/>
      <c r="J359" s="42"/>
      <c r="K359" s="336"/>
      <c r="L359" s="219"/>
      <c r="M359" s="219"/>
      <c r="N359" s="219"/>
      <c r="O359" s="42"/>
      <c r="R359" s="42"/>
      <c r="S359" s="42"/>
    </row>
    <row r="360">
      <c r="A360" s="25"/>
      <c r="B360" s="42"/>
      <c r="C360" s="42"/>
      <c r="D360" s="42"/>
      <c r="E360" s="362"/>
      <c r="F360" s="220"/>
      <c r="G360" s="42"/>
      <c r="H360" s="42"/>
      <c r="I360" s="42"/>
      <c r="J360" s="42"/>
      <c r="K360" s="336"/>
      <c r="L360" s="219"/>
      <c r="M360" s="219"/>
      <c r="N360" s="219"/>
      <c r="O360" s="42"/>
      <c r="R360" s="42"/>
      <c r="S360" s="42"/>
    </row>
    <row r="361">
      <c r="A361" s="25"/>
      <c r="B361" s="42"/>
      <c r="C361" s="42"/>
      <c r="D361" s="42"/>
      <c r="E361" s="362"/>
      <c r="F361" s="220"/>
      <c r="G361" s="42"/>
      <c r="H361" s="42"/>
      <c r="I361" s="42"/>
      <c r="J361" s="42"/>
      <c r="K361" s="336"/>
      <c r="L361" s="219"/>
      <c r="M361" s="219"/>
      <c r="N361" s="219"/>
      <c r="O361" s="42"/>
      <c r="R361" s="42"/>
      <c r="S361" s="42"/>
    </row>
    <row r="362">
      <c r="A362" s="25"/>
      <c r="B362" s="42"/>
      <c r="C362" s="42"/>
      <c r="D362" s="42"/>
      <c r="E362" s="362"/>
      <c r="F362" s="220"/>
      <c r="G362" s="42"/>
      <c r="H362" s="42"/>
      <c r="I362" s="42"/>
      <c r="J362" s="42"/>
      <c r="K362" s="336"/>
      <c r="L362" s="219"/>
      <c r="M362" s="219"/>
      <c r="N362" s="219"/>
      <c r="O362" s="42"/>
      <c r="R362" s="42"/>
      <c r="S362" s="42"/>
    </row>
    <row r="363">
      <c r="A363" s="25"/>
      <c r="B363" s="42"/>
      <c r="C363" s="42"/>
      <c r="D363" s="42"/>
      <c r="E363" s="362"/>
      <c r="F363" s="220"/>
      <c r="G363" s="42"/>
      <c r="H363" s="42"/>
      <c r="I363" s="42"/>
      <c r="J363" s="42"/>
      <c r="K363" s="336"/>
      <c r="L363" s="219"/>
      <c r="M363" s="219"/>
      <c r="N363" s="219"/>
      <c r="O363" s="42"/>
      <c r="R363" s="42"/>
      <c r="S363" s="42"/>
    </row>
    <row r="364">
      <c r="A364" s="25"/>
      <c r="B364" s="42"/>
      <c r="C364" s="42"/>
      <c r="D364" s="42"/>
      <c r="E364" s="362"/>
      <c r="F364" s="220"/>
      <c r="G364" s="42"/>
      <c r="H364" s="42"/>
      <c r="I364" s="42"/>
      <c r="J364" s="42"/>
      <c r="K364" s="336"/>
      <c r="L364" s="219"/>
      <c r="M364" s="219"/>
      <c r="N364" s="219"/>
      <c r="O364" s="42"/>
      <c r="R364" s="42"/>
      <c r="S364" s="42"/>
    </row>
    <row r="365">
      <c r="A365" s="25"/>
      <c r="B365" s="42"/>
      <c r="C365" s="42"/>
      <c r="D365" s="42"/>
      <c r="E365" s="362"/>
      <c r="F365" s="220"/>
      <c r="G365" s="42"/>
      <c r="H365" s="42"/>
      <c r="I365" s="42"/>
      <c r="J365" s="42"/>
      <c r="K365" s="336"/>
      <c r="L365" s="219"/>
      <c r="M365" s="219"/>
      <c r="N365" s="219"/>
      <c r="O365" s="42"/>
      <c r="R365" s="42"/>
      <c r="S365" s="42"/>
    </row>
    <row r="366">
      <c r="A366" s="25"/>
      <c r="B366" s="42"/>
      <c r="C366" s="42"/>
      <c r="D366" s="42"/>
      <c r="E366" s="362"/>
      <c r="F366" s="220"/>
      <c r="G366" s="42"/>
      <c r="H366" s="42"/>
      <c r="I366" s="42"/>
      <c r="J366" s="42"/>
      <c r="K366" s="336"/>
      <c r="L366" s="219"/>
      <c r="M366" s="219"/>
      <c r="N366" s="219"/>
      <c r="O366" s="42"/>
      <c r="R366" s="42"/>
      <c r="S366" s="42"/>
    </row>
    <row r="367">
      <c r="A367" s="25"/>
      <c r="B367" s="42"/>
      <c r="C367" s="42"/>
      <c r="D367" s="42"/>
      <c r="E367" s="362"/>
      <c r="F367" s="220"/>
      <c r="G367" s="42"/>
      <c r="H367" s="42"/>
      <c r="I367" s="42"/>
      <c r="J367" s="42"/>
      <c r="K367" s="336"/>
      <c r="L367" s="219"/>
      <c r="M367" s="219"/>
      <c r="N367" s="219"/>
      <c r="O367" s="42"/>
      <c r="R367" s="42"/>
      <c r="S367" s="42"/>
    </row>
    <row r="368">
      <c r="A368" s="25"/>
      <c r="B368" s="42"/>
      <c r="C368" s="42"/>
      <c r="D368" s="42"/>
      <c r="E368" s="362"/>
      <c r="F368" s="220"/>
      <c r="G368" s="42"/>
      <c r="H368" s="42"/>
      <c r="I368" s="42"/>
      <c r="J368" s="42"/>
      <c r="K368" s="336"/>
      <c r="L368" s="219"/>
      <c r="M368" s="219"/>
      <c r="N368" s="219"/>
      <c r="O368" s="42"/>
      <c r="R368" s="42"/>
      <c r="S368" s="42"/>
    </row>
    <row r="369">
      <c r="A369" s="25"/>
      <c r="B369" s="42"/>
      <c r="C369" s="42"/>
      <c r="D369" s="42"/>
      <c r="E369" s="362"/>
      <c r="F369" s="220"/>
      <c r="G369" s="42"/>
      <c r="H369" s="42"/>
      <c r="I369" s="42"/>
      <c r="J369" s="42"/>
      <c r="K369" s="336"/>
      <c r="L369" s="219"/>
      <c r="M369" s="219"/>
      <c r="N369" s="219"/>
      <c r="O369" s="42"/>
      <c r="R369" s="42"/>
      <c r="S369" s="42"/>
    </row>
    <row r="370">
      <c r="A370" s="25"/>
      <c r="B370" s="42"/>
      <c r="C370" s="42"/>
      <c r="D370" s="42"/>
      <c r="E370" s="362"/>
      <c r="F370" s="220"/>
      <c r="G370" s="42"/>
      <c r="H370" s="42"/>
      <c r="I370" s="42"/>
      <c r="J370" s="42"/>
      <c r="K370" s="336"/>
      <c r="L370" s="219"/>
      <c r="M370" s="219"/>
      <c r="N370" s="219"/>
      <c r="O370" s="42"/>
      <c r="R370" s="42"/>
      <c r="S370" s="42"/>
    </row>
    <row r="371">
      <c r="A371" s="25"/>
      <c r="B371" s="42"/>
      <c r="C371" s="42"/>
      <c r="D371" s="42"/>
      <c r="E371" s="362"/>
      <c r="F371" s="220"/>
      <c r="G371" s="42"/>
      <c r="H371" s="42"/>
      <c r="I371" s="42"/>
      <c r="J371" s="42"/>
      <c r="K371" s="336"/>
      <c r="L371" s="219"/>
      <c r="M371" s="219"/>
      <c r="N371" s="219"/>
      <c r="O371" s="42"/>
      <c r="R371" s="42"/>
      <c r="S371" s="42"/>
    </row>
    <row r="372">
      <c r="A372" s="25"/>
      <c r="B372" s="42"/>
      <c r="C372" s="42"/>
      <c r="D372" s="42"/>
      <c r="E372" s="362"/>
      <c r="F372" s="220"/>
      <c r="G372" s="42"/>
      <c r="H372" s="42"/>
      <c r="I372" s="42"/>
      <c r="J372" s="42"/>
      <c r="K372" s="336"/>
      <c r="L372" s="219"/>
      <c r="M372" s="219"/>
      <c r="N372" s="219"/>
      <c r="O372" s="42"/>
      <c r="R372" s="42"/>
      <c r="S372" s="42"/>
    </row>
    <row r="373">
      <c r="A373" s="25"/>
      <c r="B373" s="42"/>
      <c r="C373" s="42"/>
      <c r="D373" s="42"/>
      <c r="E373" s="362"/>
      <c r="F373" s="220"/>
      <c r="G373" s="42"/>
      <c r="H373" s="42"/>
      <c r="I373" s="42"/>
      <c r="J373" s="42"/>
      <c r="K373" s="336"/>
      <c r="L373" s="219"/>
      <c r="M373" s="219"/>
      <c r="N373" s="219"/>
      <c r="O373" s="42"/>
      <c r="R373" s="42"/>
      <c r="S373" s="42"/>
    </row>
    <row r="374">
      <c r="A374" s="25"/>
      <c r="B374" s="42"/>
      <c r="C374" s="42"/>
      <c r="D374" s="42"/>
      <c r="E374" s="362"/>
      <c r="F374" s="220"/>
      <c r="G374" s="42"/>
      <c r="H374" s="42"/>
      <c r="I374" s="42"/>
      <c r="J374" s="42"/>
      <c r="K374" s="336"/>
      <c r="L374" s="219"/>
      <c r="M374" s="219"/>
      <c r="N374" s="219"/>
      <c r="O374" s="42"/>
      <c r="R374" s="42"/>
      <c r="S374" s="42"/>
    </row>
    <row r="375">
      <c r="A375" s="25"/>
      <c r="B375" s="42"/>
      <c r="C375" s="42"/>
      <c r="D375" s="42"/>
      <c r="E375" s="362"/>
      <c r="F375" s="220"/>
      <c r="G375" s="42"/>
      <c r="H375" s="42"/>
      <c r="I375" s="42"/>
      <c r="J375" s="42"/>
      <c r="K375" s="336"/>
      <c r="L375" s="219"/>
      <c r="M375" s="219"/>
      <c r="N375" s="219"/>
      <c r="O375" s="42"/>
      <c r="R375" s="42"/>
      <c r="S375" s="42"/>
    </row>
    <row r="376">
      <c r="A376" s="25"/>
      <c r="B376" s="42"/>
      <c r="C376" s="42"/>
      <c r="D376" s="42"/>
      <c r="E376" s="362"/>
      <c r="F376" s="220"/>
      <c r="G376" s="42"/>
      <c r="H376" s="42"/>
      <c r="I376" s="42"/>
      <c r="J376" s="42"/>
      <c r="K376" s="336"/>
      <c r="L376" s="219"/>
      <c r="M376" s="219"/>
      <c r="N376" s="219"/>
      <c r="O376" s="42"/>
      <c r="R376" s="42"/>
      <c r="S376" s="42"/>
    </row>
    <row r="377">
      <c r="A377" s="25"/>
      <c r="B377" s="42"/>
      <c r="C377" s="42"/>
      <c r="D377" s="42"/>
      <c r="E377" s="362"/>
      <c r="F377" s="220"/>
      <c r="G377" s="42"/>
      <c r="H377" s="42"/>
      <c r="I377" s="42"/>
      <c r="J377" s="42"/>
      <c r="K377" s="336"/>
      <c r="L377" s="219"/>
      <c r="M377" s="219"/>
      <c r="N377" s="219"/>
      <c r="O377" s="42"/>
      <c r="R377" s="42"/>
      <c r="S377" s="42"/>
    </row>
    <row r="378">
      <c r="A378" s="25"/>
      <c r="B378" s="42"/>
      <c r="C378" s="42"/>
      <c r="D378" s="42"/>
      <c r="E378" s="362"/>
      <c r="F378" s="220"/>
      <c r="G378" s="42"/>
      <c r="H378" s="42"/>
      <c r="I378" s="42"/>
      <c r="J378" s="42"/>
      <c r="K378" s="336"/>
      <c r="L378" s="219"/>
      <c r="M378" s="219"/>
      <c r="N378" s="219"/>
      <c r="O378" s="42"/>
      <c r="R378" s="42"/>
      <c r="S378" s="42"/>
    </row>
    <row r="379">
      <c r="A379" s="25"/>
      <c r="B379" s="42"/>
      <c r="C379" s="42"/>
      <c r="D379" s="42"/>
      <c r="E379" s="362"/>
      <c r="F379" s="220"/>
      <c r="G379" s="42"/>
      <c r="H379" s="42"/>
      <c r="I379" s="42"/>
      <c r="J379" s="42"/>
      <c r="K379" s="336"/>
      <c r="L379" s="219"/>
      <c r="M379" s="219"/>
      <c r="N379" s="219"/>
      <c r="O379" s="42"/>
      <c r="R379" s="42"/>
      <c r="S379" s="42"/>
    </row>
    <row r="380">
      <c r="A380" s="25"/>
      <c r="B380" s="42"/>
      <c r="C380" s="42"/>
      <c r="D380" s="42"/>
      <c r="E380" s="362"/>
      <c r="F380" s="220"/>
      <c r="G380" s="42"/>
      <c r="H380" s="42"/>
      <c r="I380" s="42"/>
      <c r="J380" s="42"/>
      <c r="K380" s="336"/>
      <c r="L380" s="219"/>
      <c r="M380" s="219"/>
      <c r="N380" s="219"/>
      <c r="O380" s="42"/>
      <c r="R380" s="42"/>
      <c r="S380" s="42"/>
    </row>
    <row r="381">
      <c r="A381" s="25"/>
      <c r="B381" s="42"/>
      <c r="C381" s="42"/>
      <c r="D381" s="42"/>
      <c r="E381" s="362"/>
      <c r="F381" s="220"/>
      <c r="G381" s="42"/>
      <c r="H381" s="42"/>
      <c r="I381" s="42"/>
      <c r="J381" s="42"/>
      <c r="K381" s="336"/>
      <c r="L381" s="219"/>
      <c r="M381" s="219"/>
      <c r="N381" s="219"/>
      <c r="O381" s="42"/>
      <c r="R381" s="42"/>
      <c r="S381" s="42"/>
    </row>
    <row r="382">
      <c r="A382" s="25"/>
      <c r="B382" s="42"/>
      <c r="C382" s="42"/>
      <c r="D382" s="42"/>
      <c r="E382" s="362"/>
      <c r="F382" s="220"/>
      <c r="G382" s="42"/>
      <c r="H382" s="42"/>
      <c r="I382" s="42"/>
      <c r="J382" s="42"/>
      <c r="K382" s="336"/>
      <c r="L382" s="219"/>
      <c r="M382" s="219"/>
      <c r="N382" s="219"/>
      <c r="O382" s="42"/>
      <c r="R382" s="42"/>
      <c r="S382" s="42"/>
    </row>
    <row r="383">
      <c r="A383" s="25"/>
      <c r="B383" s="42"/>
      <c r="C383" s="42"/>
      <c r="D383" s="42"/>
      <c r="E383" s="362"/>
      <c r="F383" s="220"/>
      <c r="G383" s="42"/>
      <c r="H383" s="42"/>
      <c r="I383" s="42"/>
      <c r="J383" s="42"/>
      <c r="K383" s="336"/>
      <c r="L383" s="219"/>
      <c r="M383" s="219"/>
      <c r="N383" s="219"/>
      <c r="O383" s="42"/>
      <c r="R383" s="42"/>
      <c r="S383" s="42"/>
    </row>
    <row r="384">
      <c r="A384" s="25"/>
      <c r="B384" s="42"/>
      <c r="C384" s="42"/>
      <c r="D384" s="42"/>
      <c r="E384" s="362"/>
      <c r="F384" s="220"/>
      <c r="G384" s="42"/>
      <c r="H384" s="42"/>
      <c r="I384" s="42"/>
      <c r="J384" s="42"/>
      <c r="K384" s="336"/>
      <c r="L384" s="219"/>
      <c r="M384" s="219"/>
      <c r="N384" s="219"/>
      <c r="O384" s="42"/>
      <c r="R384" s="42"/>
      <c r="S384" s="42"/>
    </row>
    <row r="385">
      <c r="A385" s="25"/>
      <c r="B385" s="42"/>
      <c r="C385" s="42"/>
      <c r="D385" s="42"/>
      <c r="E385" s="362"/>
      <c r="F385" s="220"/>
      <c r="G385" s="42"/>
      <c r="H385" s="42"/>
      <c r="I385" s="42"/>
      <c r="J385" s="42"/>
      <c r="K385" s="336"/>
      <c r="L385" s="219"/>
      <c r="M385" s="219"/>
      <c r="N385" s="219"/>
      <c r="O385" s="42"/>
      <c r="R385" s="42"/>
      <c r="S385" s="42"/>
    </row>
    <row r="386">
      <c r="A386" s="25"/>
      <c r="B386" s="42"/>
      <c r="C386" s="42"/>
      <c r="D386" s="42"/>
      <c r="E386" s="362"/>
      <c r="F386" s="220"/>
      <c r="G386" s="42"/>
      <c r="H386" s="42"/>
      <c r="I386" s="42"/>
      <c r="J386" s="42"/>
      <c r="K386" s="336"/>
      <c r="L386" s="219"/>
      <c r="M386" s="219"/>
      <c r="N386" s="219"/>
      <c r="O386" s="42"/>
      <c r="R386" s="42"/>
      <c r="S386" s="42"/>
    </row>
    <row r="387">
      <c r="A387" s="25"/>
      <c r="B387" s="42"/>
      <c r="C387" s="42"/>
      <c r="D387" s="42"/>
      <c r="E387" s="362"/>
      <c r="F387" s="220"/>
      <c r="G387" s="42"/>
      <c r="H387" s="42"/>
      <c r="I387" s="42"/>
      <c r="J387" s="42"/>
      <c r="K387" s="336"/>
      <c r="L387" s="219"/>
      <c r="M387" s="219"/>
      <c r="N387" s="219"/>
      <c r="O387" s="42"/>
      <c r="R387" s="42"/>
      <c r="S387" s="42"/>
    </row>
    <row r="388">
      <c r="A388" s="25"/>
      <c r="B388" s="42"/>
      <c r="C388" s="42"/>
      <c r="D388" s="42"/>
      <c r="E388" s="362"/>
      <c r="F388" s="220"/>
      <c r="G388" s="42"/>
      <c r="H388" s="42"/>
      <c r="I388" s="42"/>
      <c r="J388" s="42"/>
      <c r="K388" s="336"/>
      <c r="L388" s="219"/>
      <c r="M388" s="219"/>
      <c r="N388" s="219"/>
      <c r="O388" s="42"/>
      <c r="R388" s="42"/>
      <c r="S388" s="42"/>
    </row>
    <row r="389">
      <c r="A389" s="25"/>
      <c r="B389" s="42"/>
      <c r="C389" s="42"/>
      <c r="D389" s="42"/>
      <c r="E389" s="362"/>
      <c r="F389" s="220"/>
      <c r="G389" s="42"/>
      <c r="H389" s="42"/>
      <c r="I389" s="42"/>
      <c r="J389" s="42"/>
      <c r="K389" s="336"/>
      <c r="L389" s="219"/>
      <c r="M389" s="219"/>
      <c r="N389" s="219"/>
      <c r="O389" s="42"/>
      <c r="R389" s="42"/>
      <c r="S389" s="42"/>
    </row>
    <row r="390">
      <c r="A390" s="25"/>
      <c r="B390" s="42"/>
      <c r="C390" s="42"/>
      <c r="D390" s="42"/>
      <c r="E390" s="362"/>
      <c r="F390" s="220"/>
      <c r="G390" s="42"/>
      <c r="H390" s="42"/>
      <c r="I390" s="42"/>
      <c r="J390" s="42"/>
      <c r="K390" s="336"/>
      <c r="L390" s="219"/>
      <c r="M390" s="219"/>
      <c r="N390" s="219"/>
      <c r="O390" s="42"/>
      <c r="R390" s="42"/>
      <c r="S390" s="42"/>
    </row>
    <row r="391">
      <c r="A391" s="25"/>
      <c r="B391" s="42"/>
      <c r="C391" s="42"/>
      <c r="D391" s="42"/>
      <c r="E391" s="362"/>
      <c r="F391" s="220"/>
      <c r="G391" s="42"/>
      <c r="H391" s="42"/>
      <c r="I391" s="42"/>
      <c r="J391" s="42"/>
      <c r="K391" s="336"/>
      <c r="L391" s="219"/>
      <c r="M391" s="219"/>
      <c r="N391" s="219"/>
      <c r="O391" s="42"/>
      <c r="R391" s="42"/>
      <c r="S391" s="42"/>
    </row>
    <row r="392">
      <c r="A392" s="25"/>
      <c r="B392" s="42"/>
      <c r="C392" s="42"/>
      <c r="D392" s="42"/>
      <c r="E392" s="362"/>
      <c r="F392" s="220"/>
      <c r="G392" s="42"/>
      <c r="H392" s="42"/>
      <c r="I392" s="42"/>
      <c r="J392" s="42"/>
      <c r="K392" s="336"/>
      <c r="L392" s="219"/>
      <c r="M392" s="219"/>
      <c r="N392" s="219"/>
      <c r="O392" s="42"/>
      <c r="R392" s="42"/>
      <c r="S392" s="42"/>
    </row>
    <row r="393">
      <c r="A393" s="25"/>
      <c r="B393" s="42"/>
      <c r="C393" s="42"/>
      <c r="D393" s="42"/>
      <c r="E393" s="362"/>
      <c r="F393" s="220"/>
      <c r="G393" s="42"/>
      <c r="H393" s="42"/>
      <c r="I393" s="42"/>
      <c r="J393" s="42"/>
      <c r="K393" s="336"/>
      <c r="L393" s="219"/>
      <c r="M393" s="219"/>
      <c r="N393" s="219"/>
      <c r="O393" s="42"/>
      <c r="R393" s="42"/>
      <c r="S393" s="42"/>
    </row>
    <row r="394">
      <c r="A394" s="25"/>
      <c r="B394" s="42"/>
      <c r="C394" s="42"/>
      <c r="D394" s="42"/>
      <c r="E394" s="362"/>
      <c r="F394" s="220"/>
      <c r="G394" s="42"/>
      <c r="H394" s="42"/>
      <c r="I394" s="42"/>
      <c r="J394" s="42"/>
      <c r="K394" s="336"/>
      <c r="L394" s="219"/>
      <c r="M394" s="219"/>
      <c r="N394" s="219"/>
      <c r="O394" s="42"/>
      <c r="R394" s="42"/>
      <c r="S394" s="42"/>
    </row>
    <row r="395">
      <c r="A395" s="25"/>
      <c r="B395" s="42"/>
      <c r="C395" s="42"/>
      <c r="D395" s="42"/>
      <c r="E395" s="362"/>
      <c r="F395" s="220"/>
      <c r="G395" s="42"/>
      <c r="H395" s="42"/>
      <c r="I395" s="42"/>
      <c r="J395" s="42"/>
      <c r="K395" s="336"/>
      <c r="L395" s="219"/>
      <c r="M395" s="219"/>
      <c r="N395" s="219"/>
      <c r="O395" s="42"/>
      <c r="R395" s="42"/>
      <c r="S395" s="42"/>
    </row>
    <row r="396">
      <c r="A396" s="25"/>
      <c r="B396" s="42"/>
      <c r="C396" s="42"/>
      <c r="D396" s="42"/>
      <c r="E396" s="362"/>
      <c r="F396" s="220"/>
      <c r="G396" s="42"/>
      <c r="H396" s="42"/>
      <c r="I396" s="42"/>
      <c r="J396" s="42"/>
      <c r="K396" s="336"/>
      <c r="L396" s="219"/>
      <c r="M396" s="219"/>
      <c r="N396" s="219"/>
      <c r="O396" s="42"/>
      <c r="R396" s="42"/>
      <c r="S396" s="42"/>
    </row>
    <row r="397">
      <c r="A397" s="25"/>
      <c r="B397" s="42"/>
      <c r="C397" s="42"/>
      <c r="D397" s="42"/>
      <c r="E397" s="362"/>
      <c r="F397" s="220"/>
      <c r="G397" s="42"/>
      <c r="H397" s="42"/>
      <c r="I397" s="42"/>
      <c r="J397" s="42"/>
      <c r="K397" s="336"/>
      <c r="L397" s="219"/>
      <c r="M397" s="219"/>
      <c r="N397" s="219"/>
      <c r="O397" s="42"/>
      <c r="R397" s="42"/>
      <c r="S397" s="42"/>
    </row>
    <row r="398">
      <c r="A398" s="25"/>
      <c r="B398" s="42"/>
      <c r="C398" s="42"/>
      <c r="D398" s="42"/>
      <c r="E398" s="362"/>
      <c r="F398" s="220"/>
      <c r="G398" s="42"/>
      <c r="H398" s="42"/>
      <c r="I398" s="42"/>
      <c r="J398" s="42"/>
      <c r="K398" s="336"/>
      <c r="L398" s="219"/>
      <c r="M398" s="219"/>
      <c r="N398" s="219"/>
      <c r="O398" s="42"/>
      <c r="R398" s="42"/>
      <c r="S398" s="42"/>
    </row>
    <row r="399">
      <c r="A399" s="25"/>
      <c r="B399" s="42"/>
      <c r="C399" s="42"/>
      <c r="D399" s="42"/>
      <c r="E399" s="362"/>
      <c r="F399" s="220"/>
      <c r="G399" s="42"/>
      <c r="H399" s="42"/>
      <c r="I399" s="42"/>
      <c r="J399" s="42"/>
      <c r="K399" s="336"/>
      <c r="L399" s="219"/>
      <c r="M399" s="219"/>
      <c r="N399" s="219"/>
      <c r="O399" s="42"/>
      <c r="R399" s="42"/>
      <c r="S399" s="42"/>
    </row>
    <row r="400">
      <c r="A400" s="25"/>
      <c r="B400" s="42"/>
      <c r="C400" s="42"/>
      <c r="D400" s="42"/>
      <c r="E400" s="362"/>
      <c r="F400" s="220"/>
      <c r="G400" s="42"/>
      <c r="H400" s="42"/>
      <c r="I400" s="42"/>
      <c r="J400" s="42"/>
      <c r="K400" s="336"/>
      <c r="L400" s="219"/>
      <c r="M400" s="219"/>
      <c r="N400" s="219"/>
      <c r="O400" s="42"/>
      <c r="R400" s="42"/>
      <c r="S400" s="42"/>
    </row>
    <row r="401">
      <c r="A401" s="25"/>
      <c r="B401" s="42"/>
      <c r="C401" s="42"/>
      <c r="D401" s="42"/>
      <c r="E401" s="362"/>
      <c r="F401" s="220"/>
      <c r="G401" s="42"/>
      <c r="H401" s="42"/>
      <c r="I401" s="42"/>
      <c r="J401" s="42"/>
      <c r="K401" s="336"/>
      <c r="L401" s="219"/>
      <c r="M401" s="219"/>
      <c r="N401" s="219"/>
      <c r="O401" s="42"/>
      <c r="R401" s="42"/>
      <c r="S401" s="42"/>
    </row>
    <row r="402">
      <c r="A402" s="25"/>
      <c r="B402" s="42"/>
      <c r="C402" s="42"/>
      <c r="D402" s="42"/>
      <c r="E402" s="362"/>
      <c r="F402" s="220"/>
      <c r="G402" s="42"/>
      <c r="H402" s="42"/>
      <c r="I402" s="42"/>
      <c r="J402" s="42"/>
      <c r="K402" s="336"/>
      <c r="L402" s="219"/>
      <c r="M402" s="219"/>
      <c r="N402" s="219"/>
      <c r="O402" s="42"/>
      <c r="R402" s="42"/>
      <c r="S402" s="42"/>
    </row>
    <row r="403">
      <c r="A403" s="25"/>
      <c r="B403" s="42"/>
      <c r="C403" s="42"/>
      <c r="D403" s="42"/>
      <c r="E403" s="362"/>
      <c r="F403" s="220"/>
      <c r="G403" s="42"/>
      <c r="H403" s="42"/>
      <c r="I403" s="42"/>
      <c r="J403" s="42"/>
      <c r="K403" s="336"/>
      <c r="L403" s="219"/>
      <c r="M403" s="219"/>
      <c r="N403" s="219"/>
      <c r="O403" s="42"/>
      <c r="R403" s="42"/>
      <c r="S403" s="42"/>
    </row>
    <row r="404">
      <c r="A404" s="25"/>
      <c r="B404" s="42"/>
      <c r="C404" s="42"/>
      <c r="D404" s="42"/>
      <c r="E404" s="362"/>
      <c r="F404" s="220"/>
      <c r="G404" s="42"/>
      <c r="H404" s="42"/>
      <c r="I404" s="42"/>
      <c r="J404" s="42"/>
      <c r="K404" s="336"/>
      <c r="L404" s="219"/>
      <c r="M404" s="219"/>
      <c r="N404" s="219"/>
      <c r="O404" s="42"/>
      <c r="R404" s="42"/>
      <c r="S404" s="42"/>
    </row>
    <row r="405">
      <c r="A405" s="25"/>
      <c r="B405" s="42"/>
      <c r="C405" s="42"/>
      <c r="D405" s="42"/>
      <c r="E405" s="362"/>
      <c r="F405" s="220"/>
      <c r="G405" s="42"/>
      <c r="H405" s="42"/>
      <c r="I405" s="42"/>
      <c r="J405" s="42"/>
      <c r="K405" s="336"/>
      <c r="L405" s="219"/>
      <c r="M405" s="219"/>
      <c r="N405" s="219"/>
      <c r="O405" s="42"/>
      <c r="R405" s="42"/>
      <c r="S405" s="42"/>
    </row>
    <row r="406">
      <c r="A406" s="25"/>
      <c r="B406" s="42"/>
      <c r="C406" s="42"/>
      <c r="D406" s="42"/>
      <c r="E406" s="362"/>
      <c r="F406" s="220"/>
      <c r="G406" s="42"/>
      <c r="H406" s="42"/>
      <c r="I406" s="42"/>
      <c r="J406" s="42"/>
      <c r="K406" s="336"/>
      <c r="L406" s="219"/>
      <c r="M406" s="219"/>
      <c r="N406" s="219"/>
      <c r="O406" s="42"/>
      <c r="R406" s="42"/>
      <c r="S406" s="42"/>
    </row>
    <row r="407">
      <c r="A407" s="25"/>
      <c r="B407" s="42"/>
      <c r="C407" s="42"/>
      <c r="D407" s="42"/>
      <c r="E407" s="362"/>
      <c r="F407" s="220"/>
      <c r="G407" s="42"/>
      <c r="H407" s="42"/>
      <c r="I407" s="42"/>
      <c r="J407" s="42"/>
      <c r="K407" s="336"/>
      <c r="L407" s="219"/>
      <c r="M407" s="219"/>
      <c r="N407" s="219"/>
      <c r="O407" s="42"/>
      <c r="R407" s="42"/>
      <c r="S407" s="42"/>
    </row>
    <row r="408">
      <c r="A408" s="25"/>
      <c r="B408" s="42"/>
      <c r="C408" s="42"/>
      <c r="D408" s="42"/>
      <c r="E408" s="362"/>
      <c r="F408" s="220"/>
      <c r="G408" s="42"/>
      <c r="H408" s="42"/>
      <c r="I408" s="42"/>
      <c r="J408" s="42"/>
      <c r="K408" s="336"/>
      <c r="L408" s="219"/>
      <c r="M408" s="219"/>
      <c r="N408" s="219"/>
      <c r="O408" s="42"/>
      <c r="R408" s="42"/>
      <c r="S408" s="42"/>
    </row>
    <row r="409">
      <c r="A409" s="25"/>
      <c r="B409" s="42"/>
      <c r="C409" s="42"/>
      <c r="D409" s="42"/>
      <c r="E409" s="362"/>
      <c r="F409" s="220"/>
      <c r="G409" s="42"/>
      <c r="H409" s="42"/>
      <c r="I409" s="42"/>
      <c r="J409" s="42"/>
      <c r="K409" s="336"/>
      <c r="L409" s="219"/>
      <c r="M409" s="219"/>
      <c r="N409" s="219"/>
      <c r="O409" s="42"/>
      <c r="R409" s="42"/>
      <c r="S409" s="42"/>
    </row>
    <row r="410">
      <c r="A410" s="25"/>
      <c r="B410" s="42"/>
      <c r="C410" s="42"/>
      <c r="D410" s="42"/>
      <c r="E410" s="362"/>
      <c r="F410" s="220"/>
      <c r="G410" s="42"/>
      <c r="H410" s="42"/>
      <c r="I410" s="42"/>
      <c r="J410" s="42"/>
      <c r="K410" s="336"/>
      <c r="L410" s="219"/>
      <c r="M410" s="219"/>
      <c r="N410" s="219"/>
      <c r="O410" s="42"/>
      <c r="R410" s="42"/>
      <c r="S410" s="42"/>
    </row>
    <row r="411">
      <c r="A411" s="25"/>
      <c r="B411" s="42"/>
      <c r="C411" s="42"/>
      <c r="D411" s="42"/>
      <c r="E411" s="362"/>
      <c r="F411" s="220"/>
      <c r="G411" s="42"/>
      <c r="H411" s="42"/>
      <c r="I411" s="42"/>
      <c r="J411" s="42"/>
      <c r="K411" s="336"/>
      <c r="L411" s="219"/>
      <c r="M411" s="219"/>
      <c r="N411" s="219"/>
      <c r="O411" s="42"/>
      <c r="R411" s="42"/>
      <c r="S411" s="42"/>
    </row>
    <row r="412">
      <c r="A412" s="25"/>
      <c r="B412" s="42"/>
      <c r="C412" s="42"/>
      <c r="D412" s="42"/>
      <c r="E412" s="362"/>
      <c r="F412" s="220"/>
      <c r="G412" s="42"/>
      <c r="H412" s="42"/>
      <c r="I412" s="42"/>
      <c r="J412" s="42"/>
      <c r="K412" s="336"/>
      <c r="L412" s="219"/>
      <c r="M412" s="219"/>
      <c r="N412" s="219"/>
      <c r="O412" s="42"/>
      <c r="R412" s="42"/>
      <c r="S412" s="42"/>
    </row>
    <row r="413">
      <c r="A413" s="25"/>
      <c r="B413" s="42"/>
      <c r="C413" s="42"/>
      <c r="D413" s="42"/>
      <c r="E413" s="362"/>
      <c r="F413" s="220"/>
      <c r="G413" s="42"/>
      <c r="H413" s="42"/>
      <c r="I413" s="42"/>
      <c r="J413" s="42"/>
      <c r="K413" s="336"/>
      <c r="L413" s="219"/>
      <c r="M413" s="219"/>
      <c r="N413" s="219"/>
      <c r="O413" s="42"/>
      <c r="R413" s="42"/>
      <c r="S413" s="42"/>
    </row>
    <row r="414">
      <c r="A414" s="25"/>
      <c r="B414" s="42"/>
      <c r="C414" s="42"/>
      <c r="D414" s="42"/>
      <c r="E414" s="362"/>
      <c r="F414" s="220"/>
      <c r="G414" s="42"/>
      <c r="H414" s="42"/>
      <c r="I414" s="42"/>
      <c r="J414" s="42"/>
      <c r="K414" s="336"/>
      <c r="L414" s="219"/>
      <c r="M414" s="219"/>
      <c r="N414" s="219"/>
      <c r="O414" s="42"/>
      <c r="R414" s="42"/>
      <c r="S414" s="42"/>
    </row>
    <row r="415">
      <c r="A415" s="25"/>
      <c r="B415" s="42"/>
      <c r="C415" s="42"/>
      <c r="D415" s="42"/>
      <c r="E415" s="362"/>
      <c r="F415" s="220"/>
      <c r="G415" s="42"/>
      <c r="H415" s="42"/>
      <c r="I415" s="42"/>
      <c r="J415" s="42"/>
      <c r="K415" s="336"/>
      <c r="L415" s="219"/>
      <c r="M415" s="219"/>
      <c r="N415" s="219"/>
      <c r="O415" s="42"/>
      <c r="R415" s="42"/>
      <c r="S415" s="42"/>
    </row>
    <row r="416">
      <c r="A416" s="25"/>
      <c r="B416" s="42"/>
      <c r="C416" s="42"/>
      <c r="D416" s="42"/>
      <c r="E416" s="362"/>
      <c r="F416" s="220"/>
      <c r="G416" s="42"/>
      <c r="H416" s="42"/>
      <c r="I416" s="42"/>
      <c r="J416" s="42"/>
      <c r="K416" s="336"/>
      <c r="L416" s="219"/>
      <c r="M416" s="219"/>
      <c r="N416" s="219"/>
      <c r="O416" s="42"/>
      <c r="R416" s="42"/>
      <c r="S416" s="42"/>
    </row>
    <row r="417">
      <c r="A417" s="25"/>
      <c r="B417" s="42"/>
      <c r="C417" s="42"/>
      <c r="D417" s="42"/>
      <c r="E417" s="362"/>
      <c r="F417" s="220"/>
      <c r="G417" s="42"/>
      <c r="H417" s="42"/>
      <c r="I417" s="42"/>
      <c r="J417" s="42"/>
      <c r="K417" s="336"/>
      <c r="L417" s="219"/>
      <c r="M417" s="219"/>
      <c r="N417" s="219"/>
      <c r="O417" s="42"/>
      <c r="R417" s="42"/>
      <c r="S417" s="42"/>
    </row>
    <row r="418">
      <c r="A418" s="25"/>
      <c r="B418" s="42"/>
      <c r="C418" s="42"/>
      <c r="D418" s="42"/>
      <c r="E418" s="362"/>
      <c r="F418" s="220"/>
      <c r="G418" s="42"/>
      <c r="H418" s="42"/>
      <c r="I418" s="42"/>
      <c r="J418" s="42"/>
      <c r="K418" s="336"/>
      <c r="L418" s="219"/>
      <c r="M418" s="219"/>
      <c r="N418" s="219"/>
      <c r="O418" s="42"/>
      <c r="R418" s="42"/>
      <c r="S418" s="42"/>
    </row>
    <row r="419">
      <c r="A419" s="25"/>
      <c r="B419" s="42"/>
      <c r="C419" s="42"/>
      <c r="D419" s="42"/>
      <c r="E419" s="362"/>
      <c r="F419" s="220"/>
      <c r="G419" s="42"/>
      <c r="H419" s="42"/>
      <c r="I419" s="42"/>
      <c r="J419" s="42"/>
      <c r="K419" s="336"/>
      <c r="L419" s="219"/>
      <c r="M419" s="219"/>
      <c r="N419" s="219"/>
      <c r="O419" s="42"/>
      <c r="R419" s="42"/>
      <c r="S419" s="42"/>
    </row>
    <row r="420">
      <c r="A420" s="25"/>
      <c r="B420" s="42"/>
      <c r="C420" s="42"/>
      <c r="D420" s="42"/>
      <c r="E420" s="362"/>
      <c r="F420" s="220"/>
      <c r="G420" s="42"/>
      <c r="H420" s="42"/>
      <c r="I420" s="42"/>
      <c r="J420" s="42"/>
      <c r="K420" s="336"/>
      <c r="L420" s="219"/>
      <c r="M420" s="219"/>
      <c r="N420" s="219"/>
      <c r="O420" s="42"/>
      <c r="R420" s="42"/>
      <c r="S420" s="42"/>
    </row>
    <row r="421">
      <c r="A421" s="25"/>
      <c r="B421" s="42"/>
      <c r="C421" s="42"/>
      <c r="D421" s="42"/>
      <c r="E421" s="362"/>
      <c r="F421" s="220"/>
      <c r="G421" s="42"/>
      <c r="H421" s="42"/>
      <c r="I421" s="42"/>
      <c r="J421" s="42"/>
      <c r="K421" s="336"/>
      <c r="L421" s="219"/>
      <c r="M421" s="219"/>
      <c r="N421" s="219"/>
      <c r="O421" s="42"/>
      <c r="R421" s="42"/>
      <c r="S421" s="42"/>
    </row>
    <row r="422">
      <c r="A422" s="25"/>
      <c r="B422" s="42"/>
      <c r="C422" s="42"/>
      <c r="D422" s="42"/>
      <c r="E422" s="362"/>
      <c r="F422" s="220"/>
      <c r="G422" s="42"/>
      <c r="H422" s="42"/>
      <c r="I422" s="42"/>
      <c r="J422" s="42"/>
      <c r="K422" s="336"/>
      <c r="L422" s="219"/>
      <c r="M422" s="219"/>
      <c r="N422" s="219"/>
      <c r="O422" s="42"/>
      <c r="R422" s="42"/>
      <c r="S422" s="42"/>
    </row>
    <row r="423">
      <c r="A423" s="25"/>
      <c r="B423" s="42"/>
      <c r="C423" s="42"/>
      <c r="D423" s="42"/>
      <c r="E423" s="362"/>
      <c r="F423" s="220"/>
      <c r="G423" s="42"/>
      <c r="H423" s="42"/>
      <c r="I423" s="42"/>
      <c r="J423" s="42"/>
      <c r="K423" s="336"/>
      <c r="L423" s="219"/>
      <c r="M423" s="219"/>
      <c r="N423" s="219"/>
      <c r="O423" s="42"/>
      <c r="R423" s="42"/>
      <c r="S423" s="42"/>
    </row>
    <row r="424">
      <c r="A424" s="25"/>
      <c r="B424" s="42"/>
      <c r="C424" s="42"/>
      <c r="D424" s="42"/>
      <c r="E424" s="362"/>
      <c r="F424" s="220"/>
      <c r="G424" s="42"/>
      <c r="H424" s="42"/>
      <c r="I424" s="42"/>
      <c r="J424" s="42"/>
      <c r="K424" s="336"/>
      <c r="L424" s="219"/>
      <c r="M424" s="219"/>
      <c r="N424" s="219"/>
      <c r="O424" s="42"/>
      <c r="R424" s="42"/>
      <c r="S424" s="42"/>
    </row>
    <row r="425">
      <c r="A425" s="25"/>
      <c r="B425" s="42"/>
      <c r="C425" s="42"/>
      <c r="D425" s="42"/>
      <c r="E425" s="362"/>
      <c r="F425" s="220"/>
      <c r="G425" s="42"/>
      <c r="H425" s="42"/>
      <c r="I425" s="42"/>
      <c r="J425" s="42"/>
      <c r="K425" s="336"/>
      <c r="L425" s="219"/>
      <c r="M425" s="219"/>
      <c r="N425" s="219"/>
      <c r="O425" s="42"/>
      <c r="R425" s="42"/>
      <c r="S425" s="42"/>
    </row>
    <row r="426">
      <c r="A426" s="25"/>
      <c r="B426" s="42"/>
      <c r="C426" s="42"/>
      <c r="D426" s="42"/>
      <c r="E426" s="362"/>
      <c r="F426" s="220"/>
      <c r="G426" s="42"/>
      <c r="H426" s="42"/>
      <c r="I426" s="42"/>
      <c r="J426" s="42"/>
      <c r="K426" s="336"/>
      <c r="L426" s="219"/>
      <c r="M426" s="219"/>
      <c r="N426" s="219"/>
      <c r="O426" s="42"/>
      <c r="R426" s="42"/>
      <c r="S426" s="42"/>
    </row>
    <row r="427">
      <c r="A427" s="25"/>
      <c r="B427" s="42"/>
      <c r="C427" s="42"/>
      <c r="D427" s="42"/>
      <c r="E427" s="362"/>
      <c r="F427" s="220"/>
      <c r="G427" s="42"/>
      <c r="H427" s="42"/>
      <c r="I427" s="42"/>
      <c r="J427" s="42"/>
      <c r="K427" s="336"/>
      <c r="L427" s="219"/>
      <c r="M427" s="219"/>
      <c r="N427" s="219"/>
      <c r="O427" s="42"/>
      <c r="R427" s="42"/>
      <c r="S427" s="42"/>
    </row>
    <row r="428">
      <c r="A428" s="25"/>
      <c r="B428" s="42"/>
      <c r="C428" s="42"/>
      <c r="D428" s="42"/>
      <c r="E428" s="362"/>
      <c r="F428" s="220"/>
      <c r="G428" s="42"/>
      <c r="H428" s="42"/>
      <c r="I428" s="42"/>
      <c r="J428" s="42"/>
      <c r="K428" s="336"/>
      <c r="L428" s="219"/>
      <c r="M428" s="219"/>
      <c r="N428" s="219"/>
      <c r="O428" s="42"/>
      <c r="R428" s="42"/>
      <c r="S428" s="42"/>
    </row>
    <row r="429">
      <c r="A429" s="25"/>
      <c r="B429" s="42"/>
      <c r="C429" s="42"/>
      <c r="D429" s="42"/>
      <c r="E429" s="362"/>
      <c r="F429" s="220"/>
      <c r="G429" s="42"/>
      <c r="H429" s="42"/>
      <c r="I429" s="42"/>
      <c r="J429" s="42"/>
      <c r="K429" s="336"/>
      <c r="L429" s="219"/>
      <c r="M429" s="219"/>
      <c r="N429" s="219"/>
      <c r="O429" s="42"/>
      <c r="R429" s="42"/>
      <c r="S429" s="42"/>
    </row>
    <row r="430">
      <c r="A430" s="25"/>
      <c r="B430" s="42"/>
      <c r="C430" s="42"/>
      <c r="D430" s="42"/>
      <c r="E430" s="362"/>
      <c r="F430" s="220"/>
      <c r="G430" s="42"/>
      <c r="H430" s="42"/>
      <c r="I430" s="42"/>
      <c r="J430" s="42"/>
      <c r="K430" s="336"/>
      <c r="L430" s="219"/>
      <c r="M430" s="219"/>
      <c r="N430" s="219"/>
      <c r="O430" s="42"/>
      <c r="R430" s="42"/>
      <c r="S430" s="42"/>
    </row>
    <row r="431">
      <c r="A431" s="25"/>
      <c r="B431" s="42"/>
      <c r="C431" s="42"/>
      <c r="D431" s="42"/>
      <c r="E431" s="362"/>
      <c r="F431" s="220"/>
      <c r="G431" s="42"/>
      <c r="H431" s="42"/>
      <c r="I431" s="42"/>
      <c r="J431" s="42"/>
      <c r="K431" s="336"/>
      <c r="L431" s="219"/>
      <c r="M431" s="219"/>
      <c r="N431" s="219"/>
      <c r="O431" s="42"/>
      <c r="R431" s="42"/>
      <c r="S431" s="42"/>
    </row>
    <row r="432">
      <c r="A432" s="25"/>
      <c r="B432" s="42"/>
      <c r="C432" s="42"/>
      <c r="D432" s="42"/>
      <c r="E432" s="362"/>
      <c r="F432" s="220"/>
      <c r="G432" s="42"/>
      <c r="H432" s="42"/>
      <c r="I432" s="42"/>
      <c r="J432" s="42"/>
      <c r="K432" s="336"/>
      <c r="L432" s="219"/>
      <c r="M432" s="219"/>
      <c r="N432" s="219"/>
      <c r="O432" s="42"/>
      <c r="R432" s="42"/>
      <c r="S432" s="42"/>
    </row>
    <row r="433">
      <c r="A433" s="25"/>
      <c r="B433" s="42"/>
      <c r="C433" s="42"/>
      <c r="D433" s="42"/>
      <c r="E433" s="362"/>
      <c r="F433" s="220"/>
      <c r="G433" s="42"/>
      <c r="H433" s="42"/>
      <c r="I433" s="42"/>
      <c r="J433" s="42"/>
      <c r="K433" s="336"/>
      <c r="L433" s="219"/>
      <c r="M433" s="219"/>
      <c r="N433" s="219"/>
      <c r="O433" s="42"/>
      <c r="R433" s="42"/>
      <c r="S433" s="42"/>
    </row>
    <row r="434">
      <c r="A434" s="25"/>
      <c r="B434" s="42"/>
      <c r="C434" s="42"/>
      <c r="D434" s="42"/>
      <c r="E434" s="362"/>
      <c r="F434" s="220"/>
      <c r="G434" s="42"/>
      <c r="H434" s="42"/>
      <c r="I434" s="42"/>
      <c r="J434" s="42"/>
      <c r="K434" s="336"/>
      <c r="L434" s="219"/>
      <c r="M434" s="219"/>
      <c r="N434" s="219"/>
      <c r="O434" s="42"/>
      <c r="R434" s="42"/>
      <c r="S434" s="42"/>
    </row>
    <row r="435">
      <c r="A435" s="25"/>
      <c r="B435" s="42"/>
      <c r="C435" s="42"/>
      <c r="D435" s="42"/>
      <c r="E435" s="362"/>
      <c r="F435" s="220"/>
      <c r="G435" s="42"/>
      <c r="H435" s="42"/>
      <c r="I435" s="42"/>
      <c r="J435" s="42"/>
      <c r="K435" s="336"/>
      <c r="L435" s="219"/>
      <c r="M435" s="219"/>
      <c r="N435" s="219"/>
      <c r="O435" s="42"/>
      <c r="R435" s="42"/>
      <c r="S435" s="42"/>
    </row>
    <row r="436">
      <c r="A436" s="25"/>
      <c r="B436" s="42"/>
      <c r="C436" s="42"/>
      <c r="D436" s="42"/>
      <c r="E436" s="362"/>
      <c r="F436" s="220"/>
      <c r="G436" s="42"/>
      <c r="H436" s="42"/>
      <c r="I436" s="42"/>
      <c r="J436" s="42"/>
      <c r="K436" s="336"/>
      <c r="L436" s="219"/>
      <c r="M436" s="219"/>
      <c r="N436" s="219"/>
      <c r="O436" s="42"/>
      <c r="R436" s="42"/>
      <c r="S436" s="42"/>
    </row>
    <row r="437">
      <c r="A437" s="25"/>
      <c r="B437" s="42"/>
      <c r="C437" s="42"/>
      <c r="D437" s="42"/>
      <c r="E437" s="362"/>
      <c r="F437" s="220"/>
      <c r="G437" s="42"/>
      <c r="H437" s="42"/>
      <c r="I437" s="42"/>
      <c r="J437" s="42"/>
      <c r="K437" s="336"/>
      <c r="L437" s="219"/>
      <c r="M437" s="219"/>
      <c r="N437" s="219"/>
      <c r="O437" s="42"/>
      <c r="R437" s="42"/>
      <c r="S437" s="42"/>
    </row>
    <row r="438">
      <c r="A438" s="25"/>
      <c r="B438" s="42"/>
      <c r="C438" s="42"/>
      <c r="D438" s="42"/>
      <c r="E438" s="362"/>
      <c r="F438" s="220"/>
      <c r="G438" s="42"/>
      <c r="H438" s="42"/>
      <c r="I438" s="42"/>
      <c r="J438" s="42"/>
      <c r="K438" s="336"/>
      <c r="L438" s="219"/>
      <c r="M438" s="219"/>
      <c r="N438" s="219"/>
      <c r="O438" s="42"/>
      <c r="R438" s="42"/>
      <c r="S438" s="42"/>
    </row>
    <row r="439">
      <c r="A439" s="25"/>
      <c r="B439" s="42"/>
      <c r="C439" s="42"/>
      <c r="D439" s="42"/>
      <c r="E439" s="362"/>
      <c r="F439" s="220"/>
      <c r="G439" s="42"/>
      <c r="H439" s="42"/>
      <c r="I439" s="42"/>
      <c r="J439" s="42"/>
      <c r="K439" s="336"/>
      <c r="L439" s="219"/>
      <c r="M439" s="219"/>
      <c r="N439" s="219"/>
      <c r="O439" s="42"/>
      <c r="R439" s="42"/>
      <c r="S439" s="42"/>
    </row>
    <row r="440">
      <c r="A440" s="25"/>
      <c r="B440" s="42"/>
      <c r="C440" s="42"/>
      <c r="D440" s="42"/>
      <c r="E440" s="362"/>
      <c r="F440" s="220"/>
      <c r="G440" s="42"/>
      <c r="H440" s="42"/>
      <c r="I440" s="42"/>
      <c r="J440" s="42"/>
      <c r="K440" s="336"/>
      <c r="L440" s="219"/>
      <c r="M440" s="219"/>
      <c r="N440" s="219"/>
      <c r="O440" s="42"/>
      <c r="R440" s="42"/>
      <c r="S440" s="42"/>
    </row>
    <row r="441">
      <c r="A441" s="25"/>
      <c r="B441" s="42"/>
      <c r="C441" s="42"/>
      <c r="D441" s="42"/>
      <c r="E441" s="362"/>
      <c r="F441" s="220"/>
      <c r="G441" s="42"/>
      <c r="H441" s="42"/>
      <c r="I441" s="42"/>
      <c r="J441" s="42"/>
      <c r="K441" s="336"/>
      <c r="L441" s="219"/>
      <c r="M441" s="219"/>
      <c r="N441" s="219"/>
      <c r="O441" s="42"/>
      <c r="R441" s="42"/>
      <c r="S441" s="42"/>
    </row>
    <row r="442">
      <c r="A442" s="25"/>
      <c r="B442" s="42"/>
      <c r="C442" s="42"/>
      <c r="D442" s="42"/>
      <c r="E442" s="362"/>
      <c r="F442" s="220"/>
      <c r="G442" s="42"/>
      <c r="H442" s="42"/>
      <c r="I442" s="42"/>
      <c r="J442" s="42"/>
      <c r="K442" s="336"/>
      <c r="L442" s="219"/>
      <c r="M442" s="219"/>
      <c r="N442" s="219"/>
      <c r="O442" s="42"/>
      <c r="R442" s="42"/>
      <c r="S442" s="42"/>
    </row>
    <row r="443">
      <c r="A443" s="25"/>
      <c r="B443" s="42"/>
      <c r="C443" s="42"/>
      <c r="D443" s="42"/>
      <c r="E443" s="362"/>
      <c r="F443" s="220"/>
      <c r="G443" s="42"/>
      <c r="H443" s="42"/>
      <c r="I443" s="42"/>
      <c r="J443" s="42"/>
      <c r="K443" s="336"/>
      <c r="L443" s="219"/>
      <c r="M443" s="219"/>
      <c r="N443" s="219"/>
      <c r="O443" s="42"/>
      <c r="R443" s="42"/>
      <c r="S443" s="42"/>
    </row>
    <row r="444">
      <c r="A444" s="25"/>
      <c r="B444" s="42"/>
      <c r="C444" s="42"/>
      <c r="D444" s="42"/>
      <c r="E444" s="362"/>
      <c r="F444" s="220"/>
      <c r="G444" s="42"/>
      <c r="H444" s="42"/>
      <c r="I444" s="42"/>
      <c r="J444" s="42"/>
      <c r="K444" s="336"/>
      <c r="L444" s="219"/>
      <c r="M444" s="219"/>
      <c r="N444" s="219"/>
      <c r="O444" s="42"/>
      <c r="R444" s="42"/>
      <c r="S444" s="42"/>
    </row>
    <row r="445">
      <c r="A445" s="25"/>
      <c r="B445" s="42"/>
      <c r="C445" s="42"/>
      <c r="D445" s="42"/>
      <c r="E445" s="362"/>
      <c r="F445" s="220"/>
      <c r="G445" s="42"/>
      <c r="H445" s="42"/>
      <c r="I445" s="42"/>
      <c r="J445" s="42"/>
      <c r="K445" s="336"/>
      <c r="L445" s="219"/>
      <c r="M445" s="219"/>
      <c r="N445" s="219"/>
      <c r="O445" s="42"/>
      <c r="R445" s="42"/>
      <c r="S445" s="42"/>
    </row>
    <row r="446">
      <c r="A446" s="25"/>
      <c r="B446" s="42"/>
      <c r="C446" s="42"/>
      <c r="D446" s="42"/>
      <c r="E446" s="362"/>
      <c r="F446" s="220"/>
      <c r="G446" s="42"/>
      <c r="H446" s="42"/>
      <c r="I446" s="42"/>
      <c r="J446" s="42"/>
      <c r="K446" s="336"/>
      <c r="L446" s="219"/>
      <c r="M446" s="219"/>
      <c r="N446" s="219"/>
      <c r="O446" s="42"/>
      <c r="R446" s="42"/>
      <c r="S446" s="42"/>
    </row>
    <row r="447">
      <c r="A447" s="25"/>
      <c r="B447" s="42"/>
      <c r="C447" s="42"/>
      <c r="D447" s="42"/>
      <c r="E447" s="362"/>
      <c r="F447" s="220"/>
      <c r="G447" s="42"/>
      <c r="H447" s="42"/>
      <c r="I447" s="42"/>
      <c r="J447" s="42"/>
      <c r="K447" s="336"/>
      <c r="L447" s="219"/>
      <c r="M447" s="219"/>
      <c r="N447" s="219"/>
      <c r="O447" s="42"/>
      <c r="R447" s="42"/>
      <c r="S447" s="42"/>
    </row>
    <row r="448">
      <c r="A448" s="25"/>
      <c r="B448" s="42"/>
      <c r="C448" s="42"/>
      <c r="D448" s="42"/>
      <c r="E448" s="362"/>
      <c r="F448" s="220"/>
      <c r="G448" s="42"/>
      <c r="H448" s="42"/>
      <c r="I448" s="42"/>
      <c r="J448" s="42"/>
      <c r="K448" s="336"/>
      <c r="L448" s="219"/>
      <c r="M448" s="219"/>
      <c r="N448" s="219"/>
      <c r="O448" s="42"/>
      <c r="R448" s="42"/>
      <c r="S448" s="42"/>
    </row>
    <row r="449">
      <c r="A449" s="25"/>
      <c r="B449" s="42"/>
      <c r="C449" s="42"/>
      <c r="D449" s="42"/>
      <c r="E449" s="362"/>
      <c r="F449" s="220"/>
      <c r="G449" s="42"/>
      <c r="H449" s="42"/>
      <c r="I449" s="42"/>
      <c r="J449" s="42"/>
      <c r="K449" s="336"/>
      <c r="L449" s="219"/>
      <c r="M449" s="219"/>
      <c r="N449" s="219"/>
      <c r="O449" s="42"/>
      <c r="R449" s="42"/>
      <c r="S449" s="42"/>
    </row>
    <row r="450">
      <c r="A450" s="25"/>
      <c r="B450" s="42"/>
      <c r="C450" s="42"/>
      <c r="D450" s="42"/>
      <c r="E450" s="362"/>
      <c r="F450" s="220"/>
      <c r="G450" s="42"/>
      <c r="H450" s="42"/>
      <c r="I450" s="42"/>
      <c r="J450" s="42"/>
      <c r="K450" s="336"/>
      <c r="L450" s="219"/>
      <c r="M450" s="219"/>
      <c r="N450" s="219"/>
      <c r="O450" s="42"/>
      <c r="R450" s="42"/>
      <c r="S450" s="42"/>
    </row>
    <row r="451">
      <c r="A451" s="25"/>
      <c r="B451" s="42"/>
      <c r="C451" s="42"/>
      <c r="D451" s="42"/>
      <c r="E451" s="362"/>
      <c r="F451" s="220"/>
      <c r="G451" s="42"/>
      <c r="H451" s="42"/>
      <c r="I451" s="42"/>
      <c r="J451" s="42"/>
      <c r="K451" s="336"/>
      <c r="L451" s="219"/>
      <c r="M451" s="219"/>
      <c r="N451" s="219"/>
      <c r="O451" s="42"/>
      <c r="R451" s="42"/>
      <c r="S451" s="42"/>
    </row>
    <row r="452">
      <c r="A452" s="25"/>
      <c r="B452" s="42"/>
      <c r="C452" s="42"/>
      <c r="D452" s="42"/>
      <c r="E452" s="362"/>
      <c r="F452" s="220"/>
      <c r="G452" s="42"/>
      <c r="H452" s="42"/>
      <c r="I452" s="42"/>
      <c r="J452" s="42"/>
      <c r="K452" s="336"/>
      <c r="L452" s="219"/>
      <c r="M452" s="219"/>
      <c r="N452" s="219"/>
      <c r="O452" s="42"/>
      <c r="R452" s="42"/>
      <c r="S452" s="42"/>
    </row>
    <row r="453">
      <c r="A453" s="25"/>
      <c r="B453" s="42"/>
      <c r="C453" s="42"/>
      <c r="D453" s="42"/>
      <c r="E453" s="362"/>
      <c r="F453" s="220"/>
      <c r="G453" s="42"/>
      <c r="H453" s="42"/>
      <c r="I453" s="42"/>
      <c r="J453" s="42"/>
      <c r="K453" s="336"/>
      <c r="L453" s="219"/>
      <c r="M453" s="219"/>
      <c r="N453" s="219"/>
      <c r="O453" s="42"/>
      <c r="R453" s="42"/>
      <c r="S453" s="42"/>
    </row>
    <row r="454">
      <c r="A454" s="25"/>
      <c r="B454" s="42"/>
      <c r="C454" s="42"/>
      <c r="D454" s="42"/>
      <c r="E454" s="362"/>
      <c r="F454" s="220"/>
      <c r="G454" s="42"/>
      <c r="H454" s="42"/>
      <c r="I454" s="42"/>
      <c r="J454" s="42"/>
      <c r="K454" s="336"/>
      <c r="L454" s="219"/>
      <c r="M454" s="219"/>
      <c r="N454" s="219"/>
      <c r="O454" s="42"/>
      <c r="R454" s="42"/>
      <c r="S454" s="42"/>
    </row>
    <row r="455">
      <c r="A455" s="25"/>
      <c r="B455" s="42"/>
      <c r="C455" s="42"/>
      <c r="D455" s="42"/>
      <c r="E455" s="362"/>
      <c r="F455" s="220"/>
      <c r="G455" s="42"/>
      <c r="H455" s="42"/>
      <c r="I455" s="42"/>
      <c r="J455" s="42"/>
      <c r="K455" s="336"/>
      <c r="L455" s="219"/>
      <c r="M455" s="219"/>
      <c r="N455" s="219"/>
      <c r="O455" s="42"/>
      <c r="R455" s="42"/>
      <c r="S455" s="42"/>
    </row>
    <row r="456">
      <c r="A456" s="25"/>
      <c r="B456" s="42"/>
      <c r="C456" s="42"/>
      <c r="D456" s="42"/>
      <c r="E456" s="362"/>
      <c r="F456" s="220"/>
      <c r="G456" s="42"/>
      <c r="H456" s="42"/>
      <c r="I456" s="42"/>
      <c r="J456" s="42"/>
      <c r="K456" s="336"/>
      <c r="L456" s="219"/>
      <c r="M456" s="219"/>
      <c r="N456" s="219"/>
      <c r="O456" s="42"/>
      <c r="R456" s="42"/>
      <c r="S456" s="42"/>
    </row>
    <row r="457">
      <c r="A457" s="25"/>
      <c r="B457" s="42"/>
      <c r="C457" s="42"/>
      <c r="D457" s="42"/>
      <c r="E457" s="362"/>
      <c r="F457" s="220"/>
      <c r="G457" s="42"/>
      <c r="H457" s="42"/>
      <c r="I457" s="42"/>
      <c r="J457" s="42"/>
      <c r="K457" s="336"/>
      <c r="L457" s="219"/>
      <c r="M457" s="219"/>
      <c r="N457" s="219"/>
      <c r="O457" s="42"/>
      <c r="R457" s="42"/>
      <c r="S457" s="42"/>
    </row>
    <row r="458">
      <c r="A458" s="25"/>
      <c r="B458" s="42"/>
      <c r="C458" s="42"/>
      <c r="D458" s="42"/>
      <c r="E458" s="362"/>
      <c r="F458" s="220"/>
      <c r="G458" s="42"/>
      <c r="H458" s="42"/>
      <c r="I458" s="42"/>
      <c r="J458" s="42"/>
      <c r="K458" s="336"/>
      <c r="L458" s="219"/>
      <c r="M458" s="219"/>
      <c r="N458" s="219"/>
      <c r="O458" s="42"/>
      <c r="R458" s="42"/>
      <c r="S458" s="42"/>
    </row>
    <row r="459">
      <c r="A459" s="25"/>
      <c r="B459" s="42"/>
      <c r="C459" s="42"/>
      <c r="D459" s="42"/>
      <c r="E459" s="362"/>
      <c r="F459" s="220"/>
      <c r="G459" s="42"/>
      <c r="H459" s="42"/>
      <c r="I459" s="42"/>
      <c r="J459" s="42"/>
      <c r="K459" s="336"/>
      <c r="L459" s="219"/>
      <c r="M459" s="219"/>
      <c r="N459" s="219"/>
      <c r="O459" s="42"/>
      <c r="R459" s="42"/>
      <c r="S459" s="42"/>
    </row>
    <row r="460">
      <c r="A460" s="25"/>
      <c r="B460" s="42"/>
      <c r="C460" s="42"/>
      <c r="D460" s="42"/>
      <c r="E460" s="362"/>
      <c r="F460" s="220"/>
      <c r="G460" s="42"/>
      <c r="H460" s="42"/>
      <c r="I460" s="42"/>
      <c r="J460" s="42"/>
      <c r="K460" s="336"/>
      <c r="L460" s="219"/>
      <c r="M460" s="219"/>
      <c r="N460" s="219"/>
      <c r="O460" s="42"/>
      <c r="R460" s="42"/>
      <c r="S460" s="42"/>
    </row>
    <row r="461">
      <c r="A461" s="25"/>
      <c r="B461" s="42"/>
      <c r="C461" s="42"/>
      <c r="D461" s="42"/>
      <c r="E461" s="362"/>
      <c r="F461" s="220"/>
      <c r="G461" s="42"/>
      <c r="H461" s="42"/>
      <c r="I461" s="42"/>
      <c r="J461" s="42"/>
      <c r="K461" s="336"/>
      <c r="L461" s="219"/>
      <c r="M461" s="219"/>
      <c r="N461" s="219"/>
      <c r="O461" s="42"/>
      <c r="R461" s="42"/>
      <c r="S461" s="42"/>
    </row>
    <row r="462">
      <c r="A462" s="25"/>
      <c r="B462" s="42"/>
      <c r="C462" s="42"/>
      <c r="D462" s="42"/>
      <c r="E462" s="362"/>
      <c r="F462" s="220"/>
      <c r="G462" s="42"/>
      <c r="H462" s="42"/>
      <c r="I462" s="42"/>
      <c r="J462" s="42"/>
      <c r="K462" s="336"/>
      <c r="L462" s="219"/>
      <c r="M462" s="219"/>
      <c r="N462" s="219"/>
      <c r="O462" s="42"/>
      <c r="R462" s="42"/>
      <c r="S462" s="42"/>
    </row>
    <row r="463">
      <c r="A463" s="25"/>
      <c r="B463" s="42"/>
      <c r="C463" s="42"/>
      <c r="D463" s="42"/>
      <c r="E463" s="362"/>
      <c r="F463" s="220"/>
      <c r="G463" s="42"/>
      <c r="H463" s="42"/>
      <c r="I463" s="42"/>
      <c r="J463" s="42"/>
      <c r="K463" s="336"/>
      <c r="L463" s="219"/>
      <c r="M463" s="219"/>
      <c r="N463" s="219"/>
      <c r="O463" s="42"/>
      <c r="R463" s="42"/>
      <c r="S463" s="42"/>
    </row>
    <row r="464">
      <c r="A464" s="25"/>
      <c r="B464" s="42"/>
      <c r="C464" s="42"/>
      <c r="D464" s="42"/>
      <c r="E464" s="362"/>
      <c r="F464" s="220"/>
      <c r="G464" s="42"/>
      <c r="H464" s="42"/>
      <c r="I464" s="42"/>
      <c r="J464" s="42"/>
      <c r="K464" s="336"/>
      <c r="L464" s="219"/>
      <c r="M464" s="219"/>
      <c r="N464" s="219"/>
      <c r="O464" s="42"/>
      <c r="R464" s="42"/>
      <c r="S464" s="42"/>
    </row>
    <row r="465">
      <c r="A465" s="25"/>
      <c r="B465" s="42"/>
      <c r="C465" s="42"/>
      <c r="D465" s="42"/>
      <c r="E465" s="362"/>
      <c r="F465" s="220"/>
      <c r="G465" s="42"/>
      <c r="H465" s="42"/>
      <c r="I465" s="42"/>
      <c r="J465" s="42"/>
      <c r="K465" s="336"/>
      <c r="L465" s="219"/>
      <c r="M465" s="219"/>
      <c r="N465" s="219"/>
      <c r="O465" s="42"/>
      <c r="R465" s="42"/>
      <c r="S465" s="42"/>
    </row>
    <row r="466">
      <c r="A466" s="25"/>
      <c r="B466" s="42"/>
      <c r="C466" s="42"/>
      <c r="D466" s="42"/>
      <c r="E466" s="362"/>
      <c r="F466" s="220"/>
      <c r="G466" s="42"/>
      <c r="H466" s="42"/>
      <c r="I466" s="42"/>
      <c r="J466" s="42"/>
      <c r="K466" s="336"/>
      <c r="L466" s="219"/>
      <c r="M466" s="219"/>
      <c r="N466" s="219"/>
      <c r="O466" s="42"/>
      <c r="R466" s="42"/>
      <c r="S466" s="42"/>
    </row>
    <row r="467">
      <c r="A467" s="25"/>
      <c r="B467" s="42"/>
      <c r="C467" s="42"/>
      <c r="D467" s="42"/>
      <c r="E467" s="362"/>
      <c r="F467" s="220"/>
      <c r="G467" s="42"/>
      <c r="H467" s="42"/>
      <c r="I467" s="42"/>
      <c r="J467" s="42"/>
      <c r="K467" s="336"/>
      <c r="L467" s="219"/>
      <c r="M467" s="219"/>
      <c r="N467" s="219"/>
      <c r="O467" s="42"/>
      <c r="R467" s="42"/>
      <c r="S467" s="42"/>
    </row>
    <row r="468">
      <c r="A468" s="25"/>
      <c r="B468" s="42"/>
      <c r="C468" s="42"/>
      <c r="D468" s="42"/>
      <c r="E468" s="362"/>
      <c r="F468" s="220"/>
      <c r="G468" s="42"/>
      <c r="H468" s="42"/>
      <c r="I468" s="42"/>
      <c r="J468" s="42"/>
      <c r="K468" s="336"/>
      <c r="L468" s="219"/>
      <c r="M468" s="219"/>
      <c r="N468" s="219"/>
      <c r="O468" s="42"/>
      <c r="R468" s="42"/>
      <c r="S468" s="42"/>
    </row>
    <row r="469">
      <c r="A469" s="25"/>
      <c r="B469" s="42"/>
      <c r="C469" s="42"/>
      <c r="D469" s="42"/>
      <c r="E469" s="362"/>
      <c r="F469" s="220"/>
      <c r="G469" s="42"/>
      <c r="H469" s="42"/>
      <c r="I469" s="42"/>
      <c r="J469" s="42"/>
      <c r="K469" s="336"/>
      <c r="L469" s="219"/>
      <c r="M469" s="219"/>
      <c r="N469" s="219"/>
      <c r="O469" s="42"/>
      <c r="R469" s="42"/>
      <c r="S469" s="42"/>
    </row>
    <row r="470">
      <c r="A470" s="25"/>
      <c r="B470" s="42"/>
      <c r="C470" s="42"/>
      <c r="D470" s="42"/>
      <c r="E470" s="362"/>
      <c r="F470" s="220"/>
      <c r="G470" s="42"/>
      <c r="H470" s="42"/>
      <c r="I470" s="42"/>
      <c r="J470" s="42"/>
      <c r="K470" s="336"/>
      <c r="L470" s="219"/>
      <c r="M470" s="219"/>
      <c r="N470" s="219"/>
      <c r="O470" s="42"/>
      <c r="R470" s="42"/>
      <c r="S470" s="42"/>
    </row>
    <row r="471">
      <c r="A471" s="25"/>
      <c r="B471" s="42"/>
      <c r="C471" s="42"/>
      <c r="D471" s="42"/>
      <c r="E471" s="362"/>
      <c r="F471" s="220"/>
      <c r="G471" s="42"/>
      <c r="H471" s="42"/>
      <c r="I471" s="42"/>
      <c r="J471" s="42"/>
      <c r="K471" s="336"/>
      <c r="L471" s="219"/>
      <c r="M471" s="219"/>
      <c r="N471" s="219"/>
      <c r="O471" s="42"/>
      <c r="R471" s="42"/>
      <c r="S471" s="42"/>
    </row>
    <row r="472">
      <c r="A472" s="25"/>
      <c r="B472" s="42"/>
      <c r="C472" s="42"/>
      <c r="D472" s="42"/>
      <c r="E472" s="362"/>
      <c r="F472" s="220"/>
      <c r="G472" s="42"/>
      <c r="H472" s="42"/>
      <c r="I472" s="42"/>
      <c r="J472" s="42"/>
      <c r="K472" s="336"/>
      <c r="L472" s="219"/>
      <c r="M472" s="219"/>
      <c r="N472" s="219"/>
      <c r="O472" s="42"/>
      <c r="R472" s="42"/>
      <c r="S472" s="42"/>
    </row>
    <row r="473">
      <c r="A473" s="25"/>
      <c r="B473" s="42"/>
      <c r="C473" s="42"/>
      <c r="D473" s="42"/>
      <c r="E473" s="362"/>
      <c r="F473" s="220"/>
      <c r="G473" s="42"/>
      <c r="H473" s="42"/>
      <c r="I473" s="42"/>
      <c r="J473" s="42"/>
      <c r="K473" s="336"/>
      <c r="L473" s="219"/>
      <c r="M473" s="219"/>
      <c r="N473" s="219"/>
      <c r="O473" s="42"/>
      <c r="R473" s="42"/>
      <c r="S473" s="42"/>
    </row>
    <row r="474">
      <c r="A474" s="25"/>
      <c r="B474" s="42"/>
      <c r="C474" s="42"/>
      <c r="D474" s="42"/>
      <c r="E474" s="362"/>
      <c r="F474" s="220"/>
      <c r="G474" s="42"/>
      <c r="H474" s="42"/>
      <c r="I474" s="42"/>
      <c r="J474" s="42"/>
      <c r="K474" s="336"/>
      <c r="L474" s="219"/>
      <c r="M474" s="219"/>
      <c r="N474" s="219"/>
      <c r="O474" s="42"/>
      <c r="R474" s="42"/>
      <c r="S474" s="42"/>
    </row>
    <row r="475">
      <c r="A475" s="25"/>
      <c r="B475" s="42"/>
      <c r="C475" s="42"/>
      <c r="D475" s="42"/>
      <c r="E475" s="362"/>
      <c r="F475" s="220"/>
      <c r="G475" s="42"/>
      <c r="H475" s="42"/>
      <c r="I475" s="42"/>
      <c r="J475" s="42"/>
      <c r="K475" s="336"/>
      <c r="L475" s="219"/>
      <c r="M475" s="219"/>
      <c r="N475" s="219"/>
      <c r="O475" s="42"/>
      <c r="R475" s="42"/>
      <c r="S475" s="42"/>
    </row>
    <row r="476">
      <c r="A476" s="25"/>
      <c r="B476" s="42"/>
      <c r="C476" s="42"/>
      <c r="D476" s="42"/>
      <c r="E476" s="362"/>
      <c r="F476" s="220"/>
      <c r="G476" s="42"/>
      <c r="H476" s="42"/>
      <c r="I476" s="42"/>
      <c r="J476" s="42"/>
      <c r="K476" s="336"/>
      <c r="L476" s="219"/>
      <c r="M476" s="219"/>
      <c r="N476" s="219"/>
      <c r="O476" s="42"/>
      <c r="R476" s="42"/>
      <c r="S476" s="42"/>
    </row>
    <row r="477">
      <c r="A477" s="25"/>
      <c r="B477" s="42"/>
      <c r="C477" s="42"/>
      <c r="D477" s="42"/>
      <c r="E477" s="362"/>
      <c r="F477" s="220"/>
      <c r="G477" s="42"/>
      <c r="H477" s="42"/>
      <c r="I477" s="42"/>
      <c r="J477" s="42"/>
      <c r="K477" s="336"/>
      <c r="L477" s="219"/>
      <c r="M477" s="219"/>
      <c r="N477" s="219"/>
      <c r="O477" s="42"/>
      <c r="R477" s="42"/>
      <c r="S477" s="42"/>
    </row>
    <row r="478">
      <c r="A478" s="25"/>
      <c r="B478" s="42"/>
      <c r="C478" s="42"/>
      <c r="D478" s="42"/>
      <c r="E478" s="362"/>
      <c r="F478" s="220"/>
      <c r="G478" s="42"/>
      <c r="H478" s="42"/>
      <c r="I478" s="42"/>
      <c r="J478" s="42"/>
      <c r="K478" s="336"/>
      <c r="L478" s="219"/>
      <c r="M478" s="219"/>
      <c r="N478" s="219"/>
      <c r="O478" s="42"/>
      <c r="R478" s="42"/>
      <c r="S478" s="42"/>
    </row>
    <row r="479">
      <c r="A479" s="25"/>
      <c r="B479" s="42"/>
      <c r="C479" s="42"/>
      <c r="D479" s="42"/>
      <c r="E479" s="362"/>
      <c r="F479" s="220"/>
      <c r="G479" s="42"/>
      <c r="H479" s="42"/>
      <c r="I479" s="42"/>
      <c r="J479" s="42"/>
      <c r="K479" s="336"/>
      <c r="L479" s="219"/>
      <c r="M479" s="219"/>
      <c r="N479" s="219"/>
      <c r="O479" s="42"/>
      <c r="R479" s="42"/>
      <c r="S479" s="42"/>
    </row>
    <row r="480">
      <c r="A480" s="25"/>
      <c r="B480" s="42"/>
      <c r="C480" s="42"/>
      <c r="D480" s="42"/>
      <c r="E480" s="362"/>
      <c r="F480" s="220"/>
      <c r="G480" s="42"/>
      <c r="H480" s="42"/>
      <c r="I480" s="42"/>
      <c r="J480" s="42"/>
      <c r="K480" s="336"/>
      <c r="L480" s="219"/>
      <c r="M480" s="219"/>
      <c r="N480" s="219"/>
      <c r="O480" s="42"/>
      <c r="R480" s="42"/>
      <c r="S480" s="42"/>
    </row>
    <row r="481">
      <c r="A481" s="25"/>
      <c r="B481" s="42"/>
      <c r="C481" s="42"/>
      <c r="D481" s="42"/>
      <c r="E481" s="362"/>
      <c r="F481" s="220"/>
      <c r="G481" s="42"/>
      <c r="H481" s="42"/>
      <c r="I481" s="42"/>
      <c r="J481" s="42"/>
      <c r="K481" s="336"/>
      <c r="L481" s="219"/>
      <c r="M481" s="219"/>
      <c r="N481" s="219"/>
      <c r="O481" s="42"/>
      <c r="R481" s="42"/>
      <c r="S481" s="42"/>
    </row>
    <row r="482">
      <c r="A482" s="25"/>
      <c r="B482" s="42"/>
      <c r="C482" s="42"/>
      <c r="D482" s="42"/>
      <c r="E482" s="362"/>
      <c r="F482" s="220"/>
      <c r="G482" s="42"/>
      <c r="H482" s="42"/>
      <c r="I482" s="42"/>
      <c r="J482" s="42"/>
      <c r="K482" s="336"/>
      <c r="L482" s="219"/>
      <c r="M482" s="219"/>
      <c r="N482" s="219"/>
      <c r="O482" s="42"/>
      <c r="R482" s="42"/>
      <c r="S482" s="42"/>
    </row>
    <row r="483">
      <c r="A483" s="25"/>
      <c r="B483" s="42"/>
      <c r="C483" s="42"/>
      <c r="D483" s="42"/>
      <c r="E483" s="362"/>
      <c r="F483" s="220"/>
      <c r="G483" s="42"/>
      <c r="H483" s="42"/>
      <c r="I483" s="42"/>
      <c r="J483" s="42"/>
      <c r="K483" s="336"/>
      <c r="L483" s="219"/>
      <c r="M483" s="219"/>
      <c r="N483" s="219"/>
      <c r="O483" s="42"/>
      <c r="R483" s="42"/>
      <c r="S483" s="42"/>
    </row>
    <row r="484">
      <c r="A484" s="25"/>
      <c r="B484" s="42"/>
      <c r="C484" s="42"/>
      <c r="D484" s="42"/>
      <c r="E484" s="362"/>
      <c r="F484" s="220"/>
      <c r="G484" s="42"/>
      <c r="H484" s="42"/>
      <c r="I484" s="42"/>
      <c r="J484" s="42"/>
      <c r="K484" s="336"/>
      <c r="L484" s="219"/>
      <c r="M484" s="219"/>
      <c r="N484" s="219"/>
      <c r="O484" s="42"/>
      <c r="R484" s="42"/>
      <c r="S484" s="42"/>
    </row>
    <row r="485">
      <c r="A485" s="25"/>
      <c r="B485" s="42"/>
      <c r="C485" s="42"/>
      <c r="D485" s="42"/>
      <c r="E485" s="362"/>
      <c r="F485" s="220"/>
      <c r="G485" s="42"/>
      <c r="H485" s="42"/>
      <c r="I485" s="42"/>
      <c r="J485" s="42"/>
      <c r="K485" s="336"/>
      <c r="L485" s="219"/>
      <c r="M485" s="219"/>
      <c r="N485" s="219"/>
      <c r="O485" s="42"/>
      <c r="R485" s="42"/>
      <c r="S485" s="42"/>
    </row>
    <row r="486">
      <c r="A486" s="25"/>
      <c r="B486" s="42"/>
      <c r="C486" s="42"/>
      <c r="D486" s="42"/>
      <c r="E486" s="362"/>
      <c r="F486" s="220"/>
      <c r="G486" s="42"/>
      <c r="H486" s="42"/>
      <c r="I486" s="42"/>
      <c r="J486" s="42"/>
      <c r="K486" s="336"/>
      <c r="L486" s="219"/>
      <c r="M486" s="219"/>
      <c r="N486" s="219"/>
      <c r="O486" s="42"/>
      <c r="R486" s="42"/>
      <c r="S486" s="42"/>
    </row>
    <row r="487">
      <c r="A487" s="25"/>
      <c r="B487" s="42"/>
      <c r="C487" s="42"/>
      <c r="D487" s="42"/>
      <c r="E487" s="362"/>
      <c r="F487" s="220"/>
      <c r="G487" s="42"/>
      <c r="H487" s="42"/>
      <c r="I487" s="42"/>
      <c r="J487" s="42"/>
      <c r="K487" s="336"/>
      <c r="L487" s="219"/>
      <c r="M487" s="219"/>
      <c r="N487" s="219"/>
      <c r="O487" s="42"/>
      <c r="R487" s="42"/>
      <c r="S487" s="42"/>
    </row>
    <row r="488">
      <c r="A488" s="25"/>
      <c r="B488" s="42"/>
      <c r="C488" s="42"/>
      <c r="D488" s="42"/>
      <c r="E488" s="362"/>
      <c r="F488" s="220"/>
      <c r="G488" s="42"/>
      <c r="H488" s="42"/>
      <c r="I488" s="42"/>
      <c r="J488" s="42"/>
      <c r="K488" s="336"/>
      <c r="L488" s="219"/>
      <c r="M488" s="219"/>
      <c r="N488" s="219"/>
      <c r="O488" s="42"/>
      <c r="R488" s="42"/>
      <c r="S488" s="42"/>
    </row>
    <row r="489">
      <c r="A489" s="25"/>
      <c r="B489" s="42"/>
      <c r="C489" s="42"/>
      <c r="D489" s="42"/>
      <c r="E489" s="362"/>
      <c r="F489" s="220"/>
      <c r="G489" s="42"/>
      <c r="H489" s="42"/>
      <c r="I489" s="42"/>
      <c r="J489" s="42"/>
      <c r="K489" s="336"/>
      <c r="L489" s="219"/>
      <c r="M489" s="219"/>
      <c r="N489" s="219"/>
      <c r="O489" s="42"/>
      <c r="R489" s="42"/>
      <c r="S489" s="42"/>
    </row>
    <row r="490">
      <c r="A490" s="25"/>
      <c r="B490" s="42"/>
      <c r="C490" s="42"/>
      <c r="D490" s="42"/>
      <c r="E490" s="362"/>
      <c r="F490" s="220"/>
      <c r="G490" s="42"/>
      <c r="H490" s="42"/>
      <c r="I490" s="42"/>
      <c r="J490" s="42"/>
      <c r="K490" s="336"/>
      <c r="L490" s="219"/>
      <c r="M490" s="219"/>
      <c r="N490" s="219"/>
      <c r="O490" s="42"/>
      <c r="R490" s="42"/>
      <c r="S490" s="42"/>
    </row>
    <row r="491">
      <c r="A491" s="25"/>
      <c r="B491" s="42"/>
      <c r="C491" s="42"/>
      <c r="D491" s="42"/>
      <c r="E491" s="362"/>
      <c r="F491" s="220"/>
      <c r="G491" s="42"/>
      <c r="H491" s="42"/>
      <c r="I491" s="42"/>
      <c r="J491" s="42"/>
      <c r="K491" s="336"/>
      <c r="L491" s="219"/>
      <c r="M491" s="219"/>
      <c r="N491" s="219"/>
      <c r="O491" s="42"/>
      <c r="R491" s="42"/>
      <c r="S491" s="42"/>
    </row>
    <row r="492">
      <c r="A492" s="25"/>
      <c r="B492" s="42"/>
      <c r="C492" s="42"/>
      <c r="D492" s="42"/>
      <c r="E492" s="362"/>
      <c r="F492" s="220"/>
      <c r="G492" s="42"/>
      <c r="H492" s="42"/>
      <c r="I492" s="42"/>
      <c r="J492" s="42"/>
      <c r="K492" s="336"/>
      <c r="L492" s="219"/>
      <c r="M492" s="219"/>
      <c r="N492" s="219"/>
      <c r="O492" s="42"/>
      <c r="R492" s="42"/>
      <c r="S492" s="42"/>
    </row>
    <row r="493">
      <c r="A493" s="25"/>
      <c r="B493" s="42"/>
      <c r="C493" s="42"/>
      <c r="D493" s="42"/>
      <c r="E493" s="362"/>
      <c r="F493" s="220"/>
      <c r="G493" s="42"/>
      <c r="H493" s="42"/>
      <c r="I493" s="42"/>
      <c r="J493" s="42"/>
      <c r="K493" s="336"/>
      <c r="L493" s="219"/>
      <c r="M493" s="219"/>
      <c r="N493" s="219"/>
      <c r="O493" s="42"/>
      <c r="R493" s="42"/>
      <c r="S493" s="42"/>
    </row>
    <row r="494">
      <c r="A494" s="25"/>
      <c r="B494" s="42"/>
      <c r="C494" s="42"/>
      <c r="D494" s="42"/>
      <c r="E494" s="362"/>
      <c r="F494" s="220"/>
      <c r="G494" s="42"/>
      <c r="H494" s="42"/>
      <c r="I494" s="42"/>
      <c r="J494" s="42"/>
      <c r="K494" s="336"/>
      <c r="L494" s="219"/>
      <c r="M494" s="219"/>
      <c r="N494" s="219"/>
      <c r="O494" s="42"/>
      <c r="R494" s="42"/>
      <c r="S494" s="42"/>
    </row>
    <row r="495">
      <c r="A495" s="25"/>
      <c r="B495" s="42"/>
      <c r="C495" s="42"/>
      <c r="D495" s="42"/>
      <c r="E495" s="362"/>
      <c r="F495" s="220"/>
      <c r="G495" s="42"/>
      <c r="H495" s="42"/>
      <c r="I495" s="42"/>
      <c r="J495" s="42"/>
      <c r="K495" s="336"/>
      <c r="L495" s="219"/>
      <c r="M495" s="219"/>
      <c r="N495" s="219"/>
      <c r="O495" s="42"/>
      <c r="R495" s="42"/>
      <c r="S495" s="42"/>
    </row>
    <row r="496">
      <c r="A496" s="25"/>
      <c r="B496" s="42"/>
      <c r="C496" s="42"/>
      <c r="D496" s="42"/>
      <c r="E496" s="362"/>
      <c r="F496" s="220"/>
      <c r="G496" s="42"/>
      <c r="H496" s="42"/>
      <c r="I496" s="42"/>
      <c r="J496" s="42"/>
      <c r="K496" s="336"/>
      <c r="L496" s="219"/>
      <c r="M496" s="219"/>
      <c r="N496" s="219"/>
      <c r="O496" s="42"/>
      <c r="R496" s="42"/>
      <c r="S496" s="42"/>
    </row>
    <row r="497">
      <c r="A497" s="25"/>
      <c r="B497" s="42"/>
      <c r="C497" s="42"/>
      <c r="D497" s="42"/>
      <c r="E497" s="362"/>
      <c r="F497" s="220"/>
      <c r="G497" s="42"/>
      <c r="H497" s="42"/>
      <c r="I497" s="42"/>
      <c r="J497" s="42"/>
      <c r="K497" s="336"/>
      <c r="L497" s="219"/>
      <c r="M497" s="219"/>
      <c r="N497" s="219"/>
      <c r="O497" s="42"/>
      <c r="R497" s="42"/>
      <c r="S497" s="42"/>
    </row>
    <row r="498">
      <c r="A498" s="25"/>
      <c r="B498" s="42"/>
      <c r="C498" s="42"/>
      <c r="D498" s="42"/>
      <c r="E498" s="362"/>
      <c r="F498" s="220"/>
      <c r="G498" s="42"/>
      <c r="H498" s="42"/>
      <c r="I498" s="42"/>
      <c r="J498" s="42"/>
      <c r="K498" s="336"/>
      <c r="L498" s="219"/>
      <c r="M498" s="219"/>
      <c r="N498" s="219"/>
      <c r="O498" s="42"/>
      <c r="R498" s="42"/>
      <c r="S498" s="42"/>
    </row>
    <row r="499">
      <c r="A499" s="25"/>
      <c r="B499" s="42"/>
      <c r="C499" s="42"/>
      <c r="D499" s="42"/>
      <c r="E499" s="362"/>
      <c r="F499" s="220"/>
      <c r="G499" s="42"/>
      <c r="H499" s="42"/>
      <c r="I499" s="42"/>
      <c r="J499" s="42"/>
      <c r="K499" s="336"/>
      <c r="L499" s="219"/>
      <c r="M499" s="219"/>
      <c r="N499" s="219"/>
      <c r="O499" s="42"/>
      <c r="R499" s="42"/>
      <c r="S499" s="42"/>
    </row>
    <row r="500">
      <c r="A500" s="25"/>
      <c r="B500" s="42"/>
      <c r="C500" s="42"/>
      <c r="D500" s="42"/>
      <c r="E500" s="362"/>
      <c r="F500" s="220"/>
      <c r="G500" s="42"/>
      <c r="H500" s="42"/>
      <c r="I500" s="42"/>
      <c r="J500" s="42"/>
      <c r="K500" s="336"/>
      <c r="L500" s="219"/>
      <c r="M500" s="219"/>
      <c r="N500" s="219"/>
      <c r="O500" s="42"/>
      <c r="R500" s="42"/>
      <c r="S500" s="42"/>
    </row>
    <row r="501">
      <c r="A501" s="25"/>
      <c r="B501" s="42"/>
      <c r="C501" s="42"/>
      <c r="D501" s="42"/>
      <c r="E501" s="362"/>
      <c r="F501" s="220"/>
      <c r="G501" s="42"/>
      <c r="H501" s="42"/>
      <c r="I501" s="42"/>
      <c r="J501" s="42"/>
      <c r="K501" s="336"/>
      <c r="L501" s="219"/>
      <c r="M501" s="219"/>
      <c r="N501" s="219"/>
      <c r="O501" s="42"/>
      <c r="R501" s="42"/>
      <c r="S501" s="42"/>
    </row>
    <row r="502">
      <c r="A502" s="25"/>
      <c r="B502" s="42"/>
      <c r="C502" s="42"/>
      <c r="D502" s="42"/>
      <c r="E502" s="362"/>
      <c r="F502" s="220"/>
      <c r="G502" s="42"/>
      <c r="H502" s="42"/>
      <c r="I502" s="42"/>
      <c r="J502" s="42"/>
      <c r="K502" s="336"/>
      <c r="L502" s="219"/>
      <c r="M502" s="219"/>
      <c r="N502" s="219"/>
      <c r="O502" s="42"/>
      <c r="R502" s="42"/>
      <c r="S502" s="42"/>
    </row>
    <row r="503">
      <c r="A503" s="25"/>
      <c r="B503" s="42"/>
      <c r="C503" s="42"/>
      <c r="D503" s="42"/>
      <c r="E503" s="362"/>
      <c r="F503" s="220"/>
      <c r="G503" s="42"/>
      <c r="H503" s="42"/>
      <c r="I503" s="42"/>
      <c r="J503" s="42"/>
      <c r="K503" s="336"/>
      <c r="L503" s="219"/>
      <c r="M503" s="219"/>
      <c r="N503" s="219"/>
      <c r="O503" s="42"/>
      <c r="R503" s="42"/>
      <c r="S503" s="42"/>
    </row>
    <row r="504">
      <c r="A504" s="25"/>
      <c r="B504" s="42"/>
      <c r="C504" s="42"/>
      <c r="D504" s="42"/>
      <c r="E504" s="362"/>
      <c r="F504" s="220"/>
      <c r="G504" s="42"/>
      <c r="H504" s="42"/>
      <c r="I504" s="42"/>
      <c r="J504" s="42"/>
      <c r="K504" s="336"/>
      <c r="L504" s="219"/>
      <c r="M504" s="219"/>
      <c r="N504" s="219"/>
      <c r="O504" s="42"/>
      <c r="R504" s="42"/>
      <c r="S504" s="42"/>
    </row>
    <row r="505">
      <c r="A505" s="25"/>
      <c r="B505" s="42"/>
      <c r="C505" s="42"/>
      <c r="D505" s="42"/>
      <c r="E505" s="362"/>
      <c r="F505" s="220"/>
      <c r="G505" s="42"/>
      <c r="H505" s="42"/>
      <c r="I505" s="42"/>
      <c r="J505" s="42"/>
      <c r="K505" s="336"/>
      <c r="L505" s="219"/>
      <c r="M505" s="219"/>
      <c r="N505" s="219"/>
      <c r="O505" s="42"/>
      <c r="R505" s="42"/>
      <c r="S505" s="42"/>
    </row>
    <row r="506">
      <c r="A506" s="25"/>
      <c r="B506" s="42"/>
      <c r="C506" s="42"/>
      <c r="D506" s="42"/>
      <c r="E506" s="362"/>
      <c r="F506" s="220"/>
      <c r="G506" s="42"/>
      <c r="H506" s="42"/>
      <c r="I506" s="42"/>
      <c r="J506" s="42"/>
      <c r="K506" s="336"/>
      <c r="L506" s="219"/>
      <c r="M506" s="219"/>
      <c r="N506" s="219"/>
      <c r="O506" s="42"/>
      <c r="R506" s="42"/>
      <c r="S506" s="42"/>
    </row>
    <row r="507">
      <c r="A507" s="25"/>
      <c r="B507" s="42"/>
      <c r="C507" s="42"/>
      <c r="D507" s="42"/>
      <c r="E507" s="362"/>
      <c r="F507" s="220"/>
      <c r="G507" s="42"/>
      <c r="H507" s="42"/>
      <c r="I507" s="42"/>
      <c r="J507" s="42"/>
      <c r="K507" s="336"/>
      <c r="L507" s="219"/>
      <c r="M507" s="219"/>
      <c r="N507" s="219"/>
      <c r="O507" s="42"/>
      <c r="R507" s="42"/>
      <c r="S507" s="42"/>
    </row>
    <row r="508">
      <c r="A508" s="25"/>
      <c r="B508" s="42"/>
      <c r="C508" s="42"/>
      <c r="D508" s="42"/>
      <c r="E508" s="362"/>
      <c r="F508" s="220"/>
      <c r="G508" s="42"/>
      <c r="H508" s="42"/>
      <c r="I508" s="42"/>
      <c r="J508" s="42"/>
      <c r="K508" s="336"/>
      <c r="L508" s="219"/>
      <c r="M508" s="219"/>
      <c r="N508" s="219"/>
      <c r="O508" s="42"/>
      <c r="R508" s="42"/>
      <c r="S508" s="42"/>
    </row>
    <row r="509">
      <c r="A509" s="25"/>
      <c r="B509" s="42"/>
      <c r="C509" s="42"/>
      <c r="D509" s="42"/>
      <c r="E509" s="362"/>
      <c r="F509" s="220"/>
      <c r="G509" s="42"/>
      <c r="H509" s="42"/>
      <c r="I509" s="42"/>
      <c r="J509" s="42"/>
      <c r="K509" s="336"/>
      <c r="L509" s="219"/>
      <c r="M509" s="219"/>
      <c r="N509" s="219"/>
      <c r="O509" s="42"/>
      <c r="R509" s="42"/>
      <c r="S509" s="42"/>
    </row>
    <row r="510">
      <c r="A510" s="25"/>
      <c r="B510" s="42"/>
      <c r="C510" s="42"/>
      <c r="D510" s="42"/>
      <c r="E510" s="362"/>
      <c r="F510" s="220"/>
      <c r="G510" s="42"/>
      <c r="H510" s="42"/>
      <c r="I510" s="42"/>
      <c r="J510" s="42"/>
      <c r="K510" s="336"/>
      <c r="L510" s="219"/>
      <c r="M510" s="219"/>
      <c r="N510" s="219"/>
      <c r="O510" s="42"/>
      <c r="R510" s="42"/>
      <c r="S510" s="42"/>
    </row>
    <row r="511">
      <c r="A511" s="25"/>
      <c r="B511" s="42"/>
      <c r="C511" s="42"/>
      <c r="D511" s="42"/>
      <c r="E511" s="362"/>
      <c r="F511" s="220"/>
      <c r="G511" s="42"/>
      <c r="H511" s="42"/>
      <c r="I511" s="42"/>
      <c r="J511" s="42"/>
      <c r="K511" s="336"/>
      <c r="L511" s="219"/>
      <c r="M511" s="219"/>
      <c r="N511" s="219"/>
      <c r="O511" s="42"/>
      <c r="R511" s="42"/>
      <c r="S511" s="42"/>
    </row>
    <row r="512">
      <c r="A512" s="25"/>
      <c r="B512" s="42"/>
      <c r="C512" s="42"/>
      <c r="D512" s="42"/>
      <c r="E512" s="362"/>
      <c r="F512" s="220"/>
      <c r="G512" s="42"/>
      <c r="H512" s="42"/>
      <c r="I512" s="42"/>
      <c r="J512" s="42"/>
      <c r="K512" s="336"/>
      <c r="L512" s="219"/>
      <c r="M512" s="219"/>
      <c r="N512" s="219"/>
      <c r="O512" s="42"/>
      <c r="R512" s="42"/>
      <c r="S512" s="42"/>
    </row>
    <row r="513">
      <c r="A513" s="25"/>
      <c r="B513" s="42"/>
      <c r="C513" s="42"/>
      <c r="D513" s="42"/>
      <c r="E513" s="362"/>
      <c r="F513" s="220"/>
      <c r="G513" s="42"/>
      <c r="H513" s="42"/>
      <c r="I513" s="42"/>
      <c r="J513" s="42"/>
      <c r="K513" s="336"/>
      <c r="L513" s="219"/>
      <c r="M513" s="219"/>
      <c r="N513" s="219"/>
      <c r="O513" s="42"/>
      <c r="R513" s="42"/>
      <c r="S513" s="42"/>
    </row>
    <row r="514">
      <c r="A514" s="25"/>
      <c r="B514" s="42"/>
      <c r="C514" s="42"/>
      <c r="D514" s="42"/>
      <c r="E514" s="362"/>
      <c r="F514" s="220"/>
      <c r="G514" s="42"/>
      <c r="H514" s="42"/>
      <c r="I514" s="42"/>
      <c r="J514" s="42"/>
      <c r="K514" s="336"/>
      <c r="L514" s="219"/>
      <c r="M514" s="219"/>
      <c r="N514" s="219"/>
      <c r="O514" s="42"/>
      <c r="R514" s="42"/>
      <c r="S514" s="42"/>
    </row>
    <row r="515">
      <c r="A515" s="25"/>
      <c r="B515" s="42"/>
      <c r="C515" s="42"/>
      <c r="D515" s="42"/>
      <c r="E515" s="362"/>
      <c r="F515" s="220"/>
      <c r="G515" s="42"/>
      <c r="H515" s="42"/>
      <c r="I515" s="42"/>
      <c r="J515" s="42"/>
      <c r="K515" s="336"/>
      <c r="L515" s="219"/>
      <c r="M515" s="219"/>
      <c r="N515" s="219"/>
      <c r="O515" s="42"/>
      <c r="R515" s="42"/>
      <c r="S515" s="42"/>
    </row>
    <row r="516">
      <c r="A516" s="25"/>
      <c r="B516" s="42"/>
      <c r="C516" s="42"/>
      <c r="D516" s="42"/>
      <c r="E516" s="362"/>
      <c r="F516" s="220"/>
      <c r="G516" s="42"/>
      <c r="H516" s="42"/>
      <c r="I516" s="42"/>
      <c r="J516" s="42"/>
      <c r="K516" s="336"/>
      <c r="L516" s="219"/>
      <c r="M516" s="219"/>
      <c r="N516" s="219"/>
      <c r="O516" s="42"/>
      <c r="R516" s="42"/>
      <c r="S516" s="42"/>
    </row>
    <row r="517">
      <c r="A517" s="25"/>
      <c r="B517" s="42"/>
      <c r="C517" s="42"/>
      <c r="D517" s="42"/>
      <c r="E517" s="362"/>
      <c r="F517" s="220"/>
      <c r="G517" s="42"/>
      <c r="H517" s="42"/>
      <c r="I517" s="42"/>
      <c r="J517" s="42"/>
      <c r="K517" s="336"/>
      <c r="L517" s="219"/>
      <c r="M517" s="219"/>
      <c r="N517" s="219"/>
      <c r="O517" s="42"/>
      <c r="R517" s="42"/>
      <c r="S517" s="42"/>
    </row>
    <row r="518">
      <c r="A518" s="25"/>
      <c r="B518" s="42"/>
      <c r="C518" s="42"/>
      <c r="D518" s="42"/>
      <c r="E518" s="362"/>
      <c r="F518" s="220"/>
      <c r="G518" s="42"/>
      <c r="H518" s="42"/>
      <c r="I518" s="42"/>
      <c r="J518" s="42"/>
      <c r="K518" s="336"/>
      <c r="L518" s="219"/>
      <c r="M518" s="219"/>
      <c r="N518" s="219"/>
      <c r="O518" s="42"/>
      <c r="R518" s="42"/>
      <c r="S518" s="42"/>
    </row>
    <row r="519">
      <c r="A519" s="25"/>
      <c r="B519" s="42"/>
      <c r="C519" s="42"/>
      <c r="D519" s="42"/>
      <c r="E519" s="362"/>
      <c r="F519" s="220"/>
      <c r="G519" s="42"/>
      <c r="H519" s="42"/>
      <c r="I519" s="42"/>
      <c r="J519" s="42"/>
      <c r="K519" s="336"/>
      <c r="L519" s="219"/>
      <c r="M519" s="219"/>
      <c r="N519" s="219"/>
      <c r="O519" s="42"/>
      <c r="R519" s="42"/>
      <c r="S519" s="42"/>
    </row>
    <row r="520">
      <c r="A520" s="25"/>
      <c r="B520" s="42"/>
      <c r="C520" s="42"/>
      <c r="D520" s="42"/>
      <c r="E520" s="362"/>
      <c r="F520" s="220"/>
      <c r="G520" s="42"/>
      <c r="H520" s="42"/>
      <c r="I520" s="42"/>
      <c r="J520" s="42"/>
      <c r="K520" s="336"/>
      <c r="L520" s="219"/>
      <c r="M520" s="219"/>
      <c r="N520" s="219"/>
      <c r="O520" s="42"/>
      <c r="R520" s="42"/>
      <c r="S520" s="42"/>
    </row>
    <row r="521">
      <c r="A521" s="25"/>
      <c r="B521" s="42"/>
      <c r="C521" s="42"/>
      <c r="D521" s="42"/>
      <c r="E521" s="362"/>
      <c r="F521" s="220"/>
      <c r="G521" s="42"/>
      <c r="H521" s="42"/>
      <c r="I521" s="42"/>
      <c r="J521" s="42"/>
      <c r="K521" s="336"/>
      <c r="L521" s="219"/>
      <c r="M521" s="219"/>
      <c r="N521" s="219"/>
      <c r="O521" s="42"/>
      <c r="R521" s="42"/>
      <c r="S521" s="42"/>
    </row>
    <row r="522">
      <c r="A522" s="25"/>
      <c r="B522" s="42"/>
      <c r="C522" s="42"/>
      <c r="D522" s="42"/>
      <c r="E522" s="362"/>
      <c r="F522" s="220"/>
      <c r="G522" s="42"/>
      <c r="H522" s="42"/>
      <c r="I522" s="42"/>
      <c r="J522" s="42"/>
      <c r="K522" s="336"/>
      <c r="L522" s="219"/>
      <c r="M522" s="219"/>
      <c r="N522" s="219"/>
      <c r="O522" s="42"/>
      <c r="R522" s="42"/>
      <c r="S522" s="42"/>
    </row>
    <row r="523">
      <c r="A523" s="25"/>
      <c r="B523" s="42"/>
      <c r="C523" s="42"/>
      <c r="D523" s="42"/>
      <c r="E523" s="362"/>
      <c r="F523" s="220"/>
      <c r="G523" s="42"/>
      <c r="H523" s="42"/>
      <c r="I523" s="42"/>
      <c r="J523" s="42"/>
      <c r="K523" s="336"/>
      <c r="L523" s="219"/>
      <c r="M523" s="219"/>
      <c r="N523" s="219"/>
      <c r="O523" s="42"/>
      <c r="R523" s="42"/>
      <c r="S523" s="42"/>
    </row>
    <row r="524">
      <c r="A524" s="25"/>
      <c r="B524" s="42"/>
      <c r="C524" s="42"/>
      <c r="D524" s="42"/>
      <c r="E524" s="362"/>
      <c r="F524" s="220"/>
      <c r="G524" s="42"/>
      <c r="H524" s="42"/>
      <c r="I524" s="42"/>
      <c r="J524" s="42"/>
      <c r="K524" s="336"/>
      <c r="L524" s="219"/>
      <c r="M524" s="219"/>
      <c r="N524" s="219"/>
      <c r="O524" s="42"/>
      <c r="R524" s="42"/>
      <c r="S524" s="42"/>
    </row>
    <row r="525">
      <c r="A525" s="25"/>
      <c r="B525" s="42"/>
      <c r="C525" s="42"/>
      <c r="D525" s="42"/>
      <c r="E525" s="362"/>
      <c r="F525" s="220"/>
      <c r="G525" s="42"/>
      <c r="H525" s="42"/>
      <c r="I525" s="42"/>
      <c r="J525" s="42"/>
      <c r="K525" s="336"/>
      <c r="L525" s="219"/>
      <c r="M525" s="219"/>
      <c r="N525" s="219"/>
      <c r="O525" s="42"/>
      <c r="R525" s="42"/>
      <c r="S525" s="42"/>
    </row>
    <row r="526">
      <c r="A526" s="25"/>
      <c r="B526" s="42"/>
      <c r="C526" s="42"/>
      <c r="D526" s="42"/>
      <c r="E526" s="362"/>
      <c r="F526" s="220"/>
      <c r="G526" s="42"/>
      <c r="H526" s="42"/>
      <c r="I526" s="42"/>
      <c r="J526" s="42"/>
      <c r="K526" s="336"/>
      <c r="L526" s="219"/>
      <c r="M526" s="219"/>
      <c r="N526" s="219"/>
      <c r="O526" s="42"/>
      <c r="R526" s="42"/>
      <c r="S526" s="42"/>
    </row>
    <row r="527">
      <c r="A527" s="25"/>
      <c r="B527" s="42"/>
      <c r="C527" s="42"/>
      <c r="D527" s="42"/>
      <c r="E527" s="362"/>
      <c r="F527" s="220"/>
      <c r="G527" s="42"/>
      <c r="H527" s="42"/>
      <c r="I527" s="42"/>
      <c r="J527" s="42"/>
      <c r="K527" s="336"/>
      <c r="L527" s="219"/>
      <c r="M527" s="219"/>
      <c r="N527" s="219"/>
      <c r="O527" s="42"/>
      <c r="R527" s="42"/>
      <c r="S527" s="42"/>
    </row>
    <row r="528">
      <c r="A528" s="25"/>
      <c r="B528" s="42"/>
      <c r="C528" s="42"/>
      <c r="D528" s="42"/>
      <c r="E528" s="362"/>
      <c r="F528" s="220"/>
      <c r="G528" s="42"/>
      <c r="H528" s="42"/>
      <c r="I528" s="42"/>
      <c r="J528" s="42"/>
      <c r="K528" s="336"/>
      <c r="L528" s="219"/>
      <c r="M528" s="219"/>
      <c r="N528" s="219"/>
      <c r="O528" s="42"/>
      <c r="R528" s="42"/>
      <c r="S528" s="42"/>
    </row>
    <row r="529">
      <c r="A529" s="25"/>
      <c r="B529" s="42"/>
      <c r="C529" s="42"/>
      <c r="D529" s="42"/>
      <c r="E529" s="362"/>
      <c r="F529" s="220"/>
      <c r="G529" s="42"/>
      <c r="H529" s="42"/>
      <c r="I529" s="42"/>
      <c r="J529" s="42"/>
      <c r="K529" s="336"/>
      <c r="L529" s="219"/>
      <c r="M529" s="219"/>
      <c r="N529" s="219"/>
      <c r="O529" s="42"/>
      <c r="R529" s="42"/>
      <c r="S529" s="42"/>
    </row>
    <row r="530">
      <c r="A530" s="25"/>
      <c r="B530" s="42"/>
      <c r="C530" s="42"/>
      <c r="D530" s="42"/>
      <c r="E530" s="362"/>
      <c r="F530" s="220"/>
      <c r="G530" s="42"/>
      <c r="H530" s="42"/>
      <c r="I530" s="42"/>
      <c r="J530" s="42"/>
      <c r="K530" s="336"/>
      <c r="L530" s="219"/>
      <c r="M530" s="219"/>
      <c r="N530" s="219"/>
      <c r="O530" s="42"/>
      <c r="R530" s="42"/>
      <c r="S530" s="42"/>
    </row>
    <row r="531">
      <c r="A531" s="25"/>
      <c r="B531" s="42"/>
      <c r="C531" s="42"/>
      <c r="D531" s="42"/>
      <c r="E531" s="362"/>
      <c r="F531" s="220"/>
      <c r="G531" s="42"/>
      <c r="H531" s="42"/>
      <c r="I531" s="42"/>
      <c r="J531" s="42"/>
      <c r="K531" s="336"/>
      <c r="L531" s="219"/>
      <c r="M531" s="219"/>
      <c r="N531" s="219"/>
      <c r="O531" s="42"/>
      <c r="R531" s="42"/>
      <c r="S531" s="42"/>
    </row>
    <row r="532">
      <c r="A532" s="25"/>
      <c r="B532" s="42"/>
      <c r="C532" s="42"/>
      <c r="D532" s="42"/>
      <c r="E532" s="362"/>
      <c r="F532" s="220"/>
      <c r="G532" s="42"/>
      <c r="H532" s="42"/>
      <c r="I532" s="42"/>
      <c r="J532" s="42"/>
      <c r="K532" s="336"/>
      <c r="L532" s="219"/>
      <c r="M532" s="219"/>
      <c r="N532" s="219"/>
      <c r="O532" s="42"/>
      <c r="R532" s="42"/>
      <c r="S532" s="42"/>
    </row>
    <row r="533">
      <c r="A533" s="25"/>
      <c r="B533" s="42"/>
      <c r="C533" s="42"/>
      <c r="D533" s="42"/>
      <c r="E533" s="362"/>
      <c r="F533" s="220"/>
      <c r="G533" s="42"/>
      <c r="H533" s="42"/>
      <c r="I533" s="42"/>
      <c r="J533" s="42"/>
      <c r="K533" s="336"/>
      <c r="L533" s="219"/>
      <c r="M533" s="219"/>
      <c r="N533" s="219"/>
      <c r="O533" s="42"/>
      <c r="R533" s="42"/>
      <c r="S533" s="42"/>
    </row>
    <row r="534">
      <c r="A534" s="25"/>
      <c r="B534" s="42"/>
      <c r="C534" s="42"/>
      <c r="D534" s="42"/>
      <c r="E534" s="362"/>
      <c r="F534" s="220"/>
      <c r="G534" s="42"/>
      <c r="H534" s="42"/>
      <c r="I534" s="42"/>
      <c r="J534" s="42"/>
      <c r="K534" s="336"/>
      <c r="L534" s="219"/>
      <c r="M534" s="219"/>
      <c r="N534" s="219"/>
      <c r="O534" s="42"/>
      <c r="R534" s="42"/>
      <c r="S534" s="42"/>
    </row>
    <row r="535">
      <c r="A535" s="25"/>
      <c r="B535" s="42"/>
      <c r="C535" s="42"/>
      <c r="D535" s="42"/>
      <c r="E535" s="362"/>
      <c r="F535" s="220"/>
      <c r="G535" s="42"/>
      <c r="H535" s="42"/>
      <c r="I535" s="42"/>
      <c r="J535" s="42"/>
      <c r="K535" s="336"/>
      <c r="L535" s="219"/>
      <c r="M535" s="219"/>
      <c r="N535" s="219"/>
      <c r="O535" s="42"/>
      <c r="R535" s="42"/>
      <c r="S535" s="42"/>
    </row>
    <row r="536">
      <c r="A536" s="25"/>
      <c r="B536" s="42"/>
      <c r="C536" s="42"/>
      <c r="D536" s="42"/>
      <c r="E536" s="362"/>
      <c r="F536" s="220"/>
      <c r="G536" s="42"/>
      <c r="H536" s="42"/>
      <c r="I536" s="42"/>
      <c r="J536" s="42"/>
      <c r="K536" s="336"/>
      <c r="L536" s="219"/>
      <c r="M536" s="219"/>
      <c r="N536" s="219"/>
      <c r="O536" s="42"/>
      <c r="R536" s="42"/>
      <c r="S536" s="42"/>
    </row>
    <row r="537">
      <c r="A537" s="25"/>
      <c r="B537" s="42"/>
      <c r="C537" s="42"/>
      <c r="D537" s="42"/>
      <c r="E537" s="362"/>
      <c r="F537" s="220"/>
      <c r="G537" s="42"/>
      <c r="H537" s="42"/>
      <c r="I537" s="42"/>
      <c r="J537" s="42"/>
      <c r="K537" s="336"/>
      <c r="L537" s="219"/>
      <c r="M537" s="219"/>
      <c r="N537" s="219"/>
      <c r="O537" s="42"/>
      <c r="R537" s="42"/>
      <c r="S537" s="42"/>
    </row>
    <row r="538">
      <c r="A538" s="25"/>
      <c r="B538" s="42"/>
      <c r="C538" s="42"/>
      <c r="D538" s="42"/>
      <c r="E538" s="362"/>
      <c r="F538" s="220"/>
      <c r="G538" s="42"/>
      <c r="H538" s="42"/>
      <c r="I538" s="42"/>
      <c r="J538" s="42"/>
      <c r="K538" s="336"/>
      <c r="L538" s="219"/>
      <c r="M538" s="219"/>
      <c r="N538" s="219"/>
      <c r="O538" s="42"/>
      <c r="R538" s="42"/>
      <c r="S538" s="42"/>
    </row>
    <row r="539">
      <c r="A539" s="25"/>
      <c r="B539" s="42"/>
      <c r="C539" s="42"/>
      <c r="D539" s="42"/>
      <c r="E539" s="362"/>
      <c r="F539" s="220"/>
      <c r="G539" s="42"/>
      <c r="H539" s="42"/>
      <c r="I539" s="42"/>
      <c r="J539" s="42"/>
      <c r="K539" s="336"/>
      <c r="L539" s="219"/>
      <c r="M539" s="219"/>
      <c r="N539" s="219"/>
      <c r="O539" s="42"/>
      <c r="R539" s="42"/>
      <c r="S539" s="42"/>
    </row>
    <row r="540">
      <c r="A540" s="25"/>
      <c r="B540" s="42"/>
      <c r="C540" s="42"/>
      <c r="D540" s="42"/>
      <c r="E540" s="362"/>
      <c r="F540" s="220"/>
      <c r="G540" s="42"/>
      <c r="H540" s="42"/>
      <c r="I540" s="42"/>
      <c r="J540" s="42"/>
      <c r="K540" s="336"/>
      <c r="L540" s="219"/>
      <c r="M540" s="219"/>
      <c r="N540" s="219"/>
      <c r="O540" s="42"/>
      <c r="R540" s="42"/>
      <c r="S540" s="42"/>
    </row>
    <row r="541">
      <c r="A541" s="25"/>
      <c r="B541" s="42"/>
      <c r="C541" s="42"/>
      <c r="D541" s="42"/>
      <c r="E541" s="362"/>
      <c r="F541" s="220"/>
      <c r="G541" s="42"/>
      <c r="H541" s="42"/>
      <c r="I541" s="42"/>
      <c r="J541" s="42"/>
      <c r="K541" s="336"/>
      <c r="L541" s="219"/>
      <c r="M541" s="219"/>
      <c r="N541" s="219"/>
      <c r="O541" s="42"/>
      <c r="R541" s="42"/>
      <c r="S541" s="42"/>
    </row>
    <row r="542">
      <c r="A542" s="25"/>
      <c r="B542" s="42"/>
      <c r="C542" s="42"/>
      <c r="D542" s="42"/>
      <c r="E542" s="362"/>
      <c r="F542" s="220"/>
      <c r="G542" s="42"/>
      <c r="H542" s="42"/>
      <c r="I542" s="42"/>
      <c r="J542" s="42"/>
      <c r="K542" s="336"/>
      <c r="L542" s="219"/>
      <c r="M542" s="219"/>
      <c r="N542" s="219"/>
      <c r="O542" s="42"/>
      <c r="R542" s="42"/>
      <c r="S542" s="42"/>
    </row>
    <row r="543">
      <c r="A543" s="25"/>
      <c r="B543" s="42"/>
      <c r="C543" s="42"/>
      <c r="D543" s="42"/>
      <c r="E543" s="362"/>
      <c r="F543" s="220"/>
      <c r="G543" s="42"/>
      <c r="H543" s="42"/>
      <c r="I543" s="42"/>
      <c r="J543" s="42"/>
      <c r="K543" s="336"/>
      <c r="L543" s="219"/>
      <c r="M543" s="219"/>
      <c r="N543" s="219"/>
      <c r="O543" s="42"/>
      <c r="R543" s="42"/>
      <c r="S543" s="42"/>
    </row>
    <row r="544">
      <c r="A544" s="25"/>
      <c r="B544" s="42"/>
      <c r="C544" s="42"/>
      <c r="D544" s="42"/>
      <c r="E544" s="362"/>
      <c r="F544" s="220"/>
      <c r="G544" s="42"/>
      <c r="H544" s="42"/>
      <c r="I544" s="42"/>
      <c r="J544" s="42"/>
      <c r="K544" s="336"/>
      <c r="L544" s="219"/>
      <c r="M544" s="219"/>
      <c r="N544" s="219"/>
      <c r="O544" s="42"/>
      <c r="R544" s="42"/>
      <c r="S544" s="42"/>
    </row>
    <row r="545">
      <c r="A545" s="25"/>
      <c r="B545" s="42"/>
      <c r="C545" s="42"/>
      <c r="D545" s="42"/>
      <c r="E545" s="362"/>
      <c r="F545" s="220"/>
      <c r="G545" s="42"/>
      <c r="H545" s="42"/>
      <c r="I545" s="42"/>
      <c r="J545" s="42"/>
      <c r="K545" s="336"/>
      <c r="L545" s="219"/>
      <c r="M545" s="219"/>
      <c r="N545" s="219"/>
      <c r="O545" s="42"/>
      <c r="R545" s="42"/>
      <c r="S545" s="42"/>
    </row>
    <row r="546">
      <c r="A546" s="25"/>
      <c r="B546" s="42"/>
      <c r="C546" s="42"/>
      <c r="D546" s="42"/>
      <c r="E546" s="362"/>
      <c r="F546" s="220"/>
      <c r="G546" s="42"/>
      <c r="H546" s="42"/>
      <c r="I546" s="42"/>
      <c r="J546" s="42"/>
      <c r="K546" s="336"/>
      <c r="L546" s="219"/>
      <c r="M546" s="219"/>
      <c r="N546" s="219"/>
      <c r="O546" s="42"/>
      <c r="R546" s="42"/>
      <c r="S546" s="42"/>
    </row>
    <row r="547">
      <c r="A547" s="25"/>
      <c r="B547" s="42"/>
      <c r="C547" s="42"/>
      <c r="D547" s="42"/>
      <c r="E547" s="362"/>
      <c r="F547" s="220"/>
      <c r="G547" s="42"/>
      <c r="H547" s="42"/>
      <c r="I547" s="42"/>
      <c r="J547" s="42"/>
      <c r="K547" s="336"/>
      <c r="L547" s="219"/>
      <c r="M547" s="219"/>
      <c r="N547" s="219"/>
      <c r="O547" s="42"/>
      <c r="R547" s="42"/>
      <c r="S547" s="42"/>
    </row>
    <row r="548">
      <c r="A548" s="25"/>
      <c r="B548" s="42"/>
      <c r="C548" s="42"/>
      <c r="D548" s="42"/>
      <c r="E548" s="362"/>
      <c r="F548" s="220"/>
      <c r="G548" s="42"/>
      <c r="H548" s="42"/>
      <c r="I548" s="42"/>
      <c r="J548" s="42"/>
      <c r="K548" s="336"/>
      <c r="L548" s="219"/>
      <c r="M548" s="219"/>
      <c r="N548" s="219"/>
      <c r="O548" s="42"/>
      <c r="R548" s="42"/>
      <c r="S548" s="42"/>
    </row>
    <row r="549">
      <c r="A549" s="25"/>
      <c r="B549" s="42"/>
      <c r="C549" s="42"/>
      <c r="D549" s="42"/>
      <c r="E549" s="362"/>
      <c r="F549" s="220"/>
      <c r="G549" s="42"/>
      <c r="H549" s="42"/>
      <c r="I549" s="42"/>
      <c r="J549" s="42"/>
      <c r="K549" s="336"/>
      <c r="L549" s="219"/>
      <c r="M549" s="219"/>
      <c r="N549" s="219"/>
      <c r="O549" s="42"/>
      <c r="R549" s="42"/>
      <c r="S549" s="42"/>
    </row>
    <row r="550">
      <c r="A550" s="25"/>
      <c r="B550" s="42"/>
      <c r="C550" s="42"/>
      <c r="D550" s="42"/>
      <c r="E550" s="362"/>
      <c r="F550" s="220"/>
      <c r="G550" s="42"/>
      <c r="H550" s="42"/>
      <c r="I550" s="42"/>
      <c r="J550" s="42"/>
      <c r="K550" s="336"/>
      <c r="L550" s="219"/>
      <c r="M550" s="219"/>
      <c r="N550" s="219"/>
      <c r="O550" s="42"/>
      <c r="R550" s="42"/>
      <c r="S550" s="42"/>
    </row>
    <row r="551">
      <c r="A551" s="25"/>
      <c r="B551" s="42"/>
      <c r="C551" s="42"/>
      <c r="D551" s="42"/>
      <c r="E551" s="362"/>
      <c r="F551" s="220"/>
      <c r="G551" s="42"/>
      <c r="H551" s="42"/>
      <c r="I551" s="42"/>
      <c r="J551" s="42"/>
      <c r="K551" s="336"/>
      <c r="L551" s="219"/>
      <c r="M551" s="219"/>
      <c r="N551" s="219"/>
      <c r="O551" s="42"/>
      <c r="R551" s="42"/>
      <c r="S551" s="42"/>
    </row>
    <row r="552">
      <c r="A552" s="25"/>
      <c r="B552" s="42"/>
      <c r="C552" s="42"/>
      <c r="D552" s="42"/>
      <c r="E552" s="362"/>
      <c r="F552" s="220"/>
      <c r="G552" s="42"/>
      <c r="H552" s="42"/>
      <c r="I552" s="42"/>
      <c r="J552" s="42"/>
      <c r="K552" s="336"/>
      <c r="L552" s="219"/>
      <c r="M552" s="219"/>
      <c r="N552" s="219"/>
      <c r="O552" s="42"/>
      <c r="R552" s="42"/>
      <c r="S552" s="42"/>
    </row>
    <row r="553">
      <c r="A553" s="25"/>
      <c r="B553" s="42"/>
      <c r="C553" s="42"/>
      <c r="D553" s="42"/>
      <c r="E553" s="362"/>
      <c r="F553" s="220"/>
      <c r="G553" s="42"/>
      <c r="H553" s="42"/>
      <c r="I553" s="42"/>
      <c r="J553" s="42"/>
      <c r="K553" s="336"/>
      <c r="L553" s="219"/>
      <c r="M553" s="219"/>
      <c r="N553" s="219"/>
      <c r="O553" s="42"/>
      <c r="R553" s="42"/>
      <c r="S553" s="42"/>
    </row>
    <row r="554">
      <c r="A554" s="25"/>
      <c r="B554" s="42"/>
      <c r="C554" s="42"/>
      <c r="D554" s="42"/>
      <c r="E554" s="362"/>
      <c r="F554" s="220"/>
      <c r="G554" s="42"/>
      <c r="H554" s="42"/>
      <c r="I554" s="42"/>
      <c r="J554" s="42"/>
      <c r="K554" s="336"/>
      <c r="L554" s="219"/>
      <c r="M554" s="219"/>
      <c r="N554" s="219"/>
      <c r="O554" s="42"/>
      <c r="R554" s="42"/>
      <c r="S554" s="42"/>
    </row>
    <row r="555">
      <c r="A555" s="25"/>
      <c r="B555" s="42"/>
      <c r="C555" s="42"/>
      <c r="D555" s="42"/>
      <c r="E555" s="362"/>
      <c r="F555" s="220"/>
      <c r="G555" s="42"/>
      <c r="H555" s="42"/>
      <c r="I555" s="42"/>
      <c r="J555" s="42"/>
      <c r="K555" s="336"/>
      <c r="L555" s="219"/>
      <c r="M555" s="219"/>
      <c r="N555" s="219"/>
      <c r="O555" s="42"/>
      <c r="R555" s="42"/>
      <c r="S555" s="42"/>
    </row>
    <row r="556">
      <c r="A556" s="25"/>
      <c r="B556" s="42"/>
      <c r="C556" s="42"/>
      <c r="D556" s="42"/>
      <c r="E556" s="362"/>
      <c r="F556" s="220"/>
      <c r="G556" s="42"/>
      <c r="H556" s="42"/>
      <c r="I556" s="42"/>
      <c r="J556" s="42"/>
      <c r="K556" s="336"/>
      <c r="L556" s="219"/>
      <c r="M556" s="219"/>
      <c r="N556" s="219"/>
      <c r="O556" s="42"/>
      <c r="R556" s="42"/>
      <c r="S556" s="42"/>
    </row>
    <row r="557">
      <c r="A557" s="25"/>
      <c r="B557" s="42"/>
      <c r="C557" s="42"/>
      <c r="D557" s="42"/>
      <c r="E557" s="362"/>
      <c r="F557" s="220"/>
      <c r="G557" s="42"/>
      <c r="H557" s="42"/>
      <c r="I557" s="42"/>
      <c r="J557" s="42"/>
      <c r="K557" s="336"/>
      <c r="L557" s="219"/>
      <c r="M557" s="219"/>
      <c r="N557" s="219"/>
      <c r="O557" s="42"/>
      <c r="R557" s="42"/>
      <c r="S557" s="42"/>
    </row>
    <row r="558">
      <c r="A558" s="25"/>
      <c r="B558" s="42"/>
      <c r="C558" s="42"/>
      <c r="D558" s="42"/>
      <c r="E558" s="362"/>
      <c r="F558" s="220"/>
      <c r="G558" s="42"/>
      <c r="H558" s="42"/>
      <c r="I558" s="42"/>
      <c r="J558" s="42"/>
      <c r="K558" s="336"/>
      <c r="L558" s="219"/>
      <c r="M558" s="219"/>
      <c r="N558" s="219"/>
      <c r="O558" s="42"/>
      <c r="R558" s="42"/>
      <c r="S558" s="42"/>
    </row>
    <row r="559">
      <c r="A559" s="25"/>
      <c r="B559" s="42"/>
      <c r="C559" s="42"/>
      <c r="D559" s="42"/>
      <c r="E559" s="362"/>
      <c r="F559" s="220"/>
      <c r="G559" s="42"/>
      <c r="H559" s="42"/>
      <c r="I559" s="42"/>
      <c r="J559" s="42"/>
      <c r="K559" s="336"/>
      <c r="L559" s="219"/>
      <c r="M559" s="219"/>
      <c r="N559" s="219"/>
      <c r="O559" s="42"/>
      <c r="R559" s="42"/>
      <c r="S559" s="42"/>
    </row>
    <row r="560">
      <c r="A560" s="25"/>
      <c r="B560" s="42"/>
      <c r="C560" s="42"/>
      <c r="D560" s="42"/>
      <c r="E560" s="362"/>
      <c r="F560" s="220"/>
      <c r="G560" s="42"/>
      <c r="H560" s="42"/>
      <c r="I560" s="42"/>
      <c r="J560" s="42"/>
      <c r="K560" s="336"/>
      <c r="L560" s="219"/>
      <c r="M560" s="219"/>
      <c r="N560" s="219"/>
      <c r="O560" s="42"/>
      <c r="R560" s="42"/>
      <c r="S560" s="42"/>
    </row>
    <row r="561">
      <c r="A561" s="25"/>
      <c r="B561" s="42"/>
      <c r="C561" s="42"/>
      <c r="D561" s="42"/>
      <c r="E561" s="362"/>
      <c r="F561" s="220"/>
      <c r="G561" s="42"/>
      <c r="H561" s="42"/>
      <c r="I561" s="42"/>
      <c r="J561" s="42"/>
      <c r="K561" s="336"/>
      <c r="L561" s="219"/>
      <c r="M561" s="219"/>
      <c r="N561" s="219"/>
      <c r="O561" s="42"/>
      <c r="R561" s="42"/>
      <c r="S561" s="42"/>
    </row>
    <row r="562">
      <c r="A562" s="25"/>
      <c r="B562" s="42"/>
      <c r="C562" s="42"/>
      <c r="D562" s="42"/>
      <c r="E562" s="362"/>
      <c r="F562" s="220"/>
      <c r="G562" s="42"/>
      <c r="H562" s="42"/>
      <c r="I562" s="42"/>
      <c r="J562" s="42"/>
      <c r="K562" s="336"/>
      <c r="L562" s="219"/>
      <c r="M562" s="219"/>
      <c r="N562" s="219"/>
      <c r="O562" s="42"/>
      <c r="R562" s="42"/>
      <c r="S562" s="42"/>
    </row>
    <row r="563">
      <c r="A563" s="25"/>
      <c r="B563" s="42"/>
      <c r="C563" s="42"/>
      <c r="D563" s="42"/>
      <c r="E563" s="362"/>
      <c r="F563" s="220"/>
      <c r="G563" s="42"/>
      <c r="H563" s="42"/>
      <c r="I563" s="42"/>
      <c r="J563" s="42"/>
      <c r="K563" s="336"/>
      <c r="L563" s="219"/>
      <c r="M563" s="219"/>
      <c r="N563" s="219"/>
      <c r="O563" s="42"/>
      <c r="R563" s="42"/>
      <c r="S563" s="42"/>
    </row>
    <row r="564">
      <c r="A564" s="25"/>
      <c r="B564" s="42"/>
      <c r="C564" s="42"/>
      <c r="D564" s="42"/>
      <c r="E564" s="362"/>
      <c r="F564" s="220"/>
      <c r="G564" s="42"/>
      <c r="H564" s="42"/>
      <c r="I564" s="42"/>
      <c r="J564" s="42"/>
      <c r="K564" s="336"/>
      <c r="L564" s="219"/>
      <c r="M564" s="219"/>
      <c r="N564" s="219"/>
      <c r="O564" s="42"/>
      <c r="R564" s="42"/>
      <c r="S564" s="42"/>
    </row>
    <row r="565">
      <c r="A565" s="25"/>
      <c r="B565" s="42"/>
      <c r="C565" s="42"/>
      <c r="D565" s="42"/>
      <c r="E565" s="362"/>
      <c r="F565" s="220"/>
      <c r="G565" s="42"/>
      <c r="H565" s="42"/>
      <c r="I565" s="42"/>
      <c r="J565" s="42"/>
      <c r="K565" s="336"/>
      <c r="L565" s="219"/>
      <c r="M565" s="219"/>
      <c r="N565" s="219"/>
      <c r="O565" s="42"/>
      <c r="R565" s="42"/>
      <c r="S565" s="42"/>
    </row>
    <row r="566">
      <c r="A566" s="25"/>
      <c r="B566" s="42"/>
      <c r="C566" s="42"/>
      <c r="D566" s="42"/>
      <c r="E566" s="362"/>
      <c r="F566" s="220"/>
      <c r="G566" s="42"/>
      <c r="H566" s="42"/>
      <c r="I566" s="42"/>
      <c r="J566" s="42"/>
      <c r="K566" s="336"/>
      <c r="L566" s="219"/>
      <c r="M566" s="219"/>
      <c r="N566" s="219"/>
      <c r="O566" s="42"/>
      <c r="R566" s="42"/>
      <c r="S566" s="42"/>
    </row>
    <row r="567">
      <c r="A567" s="25"/>
      <c r="B567" s="42"/>
      <c r="C567" s="42"/>
      <c r="D567" s="42"/>
      <c r="E567" s="362"/>
      <c r="F567" s="220"/>
      <c r="G567" s="42"/>
      <c r="H567" s="42"/>
      <c r="I567" s="42"/>
      <c r="J567" s="42"/>
      <c r="K567" s="336"/>
      <c r="L567" s="219"/>
      <c r="M567" s="219"/>
      <c r="N567" s="219"/>
      <c r="O567" s="42"/>
      <c r="R567" s="42"/>
      <c r="S567" s="42"/>
    </row>
    <row r="568">
      <c r="A568" s="25"/>
      <c r="B568" s="42"/>
      <c r="C568" s="42"/>
      <c r="D568" s="42"/>
      <c r="E568" s="362"/>
      <c r="F568" s="220"/>
      <c r="G568" s="42"/>
      <c r="H568" s="42"/>
      <c r="I568" s="42"/>
      <c r="J568" s="42"/>
      <c r="K568" s="336"/>
      <c r="L568" s="219"/>
      <c r="M568" s="219"/>
      <c r="N568" s="219"/>
      <c r="O568" s="42"/>
      <c r="R568" s="42"/>
      <c r="S568" s="42"/>
    </row>
    <row r="569">
      <c r="A569" s="25"/>
      <c r="B569" s="42"/>
      <c r="C569" s="42"/>
      <c r="D569" s="42"/>
      <c r="E569" s="362"/>
      <c r="F569" s="220"/>
      <c r="G569" s="42"/>
      <c r="H569" s="42"/>
      <c r="I569" s="42"/>
      <c r="J569" s="42"/>
      <c r="K569" s="336"/>
      <c r="L569" s="219"/>
      <c r="M569" s="219"/>
      <c r="N569" s="219"/>
      <c r="O569" s="42"/>
      <c r="R569" s="42"/>
      <c r="S569" s="42"/>
    </row>
    <row r="570">
      <c r="A570" s="25"/>
      <c r="B570" s="42"/>
      <c r="C570" s="42"/>
      <c r="D570" s="42"/>
      <c r="E570" s="362"/>
      <c r="F570" s="220"/>
      <c r="G570" s="42"/>
      <c r="H570" s="42"/>
      <c r="I570" s="42"/>
      <c r="J570" s="42"/>
      <c r="K570" s="336"/>
      <c r="L570" s="219"/>
      <c r="M570" s="219"/>
      <c r="N570" s="219"/>
      <c r="O570" s="42"/>
      <c r="R570" s="42"/>
      <c r="S570" s="42"/>
    </row>
    <row r="571">
      <c r="A571" s="25"/>
      <c r="B571" s="42"/>
      <c r="C571" s="42"/>
      <c r="D571" s="42"/>
      <c r="E571" s="362"/>
      <c r="F571" s="220"/>
      <c r="G571" s="42"/>
      <c r="H571" s="42"/>
      <c r="I571" s="42"/>
      <c r="J571" s="42"/>
      <c r="K571" s="336"/>
      <c r="L571" s="219"/>
      <c r="M571" s="219"/>
      <c r="N571" s="219"/>
      <c r="O571" s="42"/>
      <c r="R571" s="42"/>
      <c r="S571" s="42"/>
    </row>
    <row r="572">
      <c r="A572" s="25"/>
      <c r="B572" s="42"/>
      <c r="C572" s="42"/>
      <c r="D572" s="42"/>
      <c r="E572" s="362"/>
      <c r="F572" s="220"/>
      <c r="G572" s="42"/>
      <c r="H572" s="42"/>
      <c r="I572" s="42"/>
      <c r="J572" s="42"/>
      <c r="K572" s="336"/>
      <c r="L572" s="219"/>
      <c r="M572" s="219"/>
      <c r="N572" s="219"/>
      <c r="O572" s="42"/>
      <c r="R572" s="42"/>
      <c r="S572" s="42"/>
    </row>
    <row r="573">
      <c r="A573" s="25"/>
      <c r="B573" s="42"/>
      <c r="C573" s="42"/>
      <c r="D573" s="42"/>
      <c r="E573" s="362"/>
      <c r="F573" s="220"/>
      <c r="G573" s="42"/>
      <c r="H573" s="42"/>
      <c r="I573" s="42"/>
      <c r="J573" s="42"/>
      <c r="K573" s="336"/>
      <c r="L573" s="219"/>
      <c r="M573" s="219"/>
      <c r="N573" s="219"/>
      <c r="O573" s="42"/>
      <c r="R573" s="42"/>
      <c r="S573" s="42"/>
    </row>
    <row r="574">
      <c r="A574" s="25"/>
      <c r="B574" s="42"/>
      <c r="C574" s="42"/>
      <c r="D574" s="42"/>
      <c r="E574" s="362"/>
      <c r="F574" s="220"/>
      <c r="G574" s="42"/>
      <c r="H574" s="42"/>
      <c r="I574" s="42"/>
      <c r="J574" s="42"/>
      <c r="K574" s="336"/>
      <c r="L574" s="219"/>
      <c r="M574" s="219"/>
      <c r="N574" s="219"/>
      <c r="O574" s="42"/>
      <c r="R574" s="42"/>
      <c r="S574" s="42"/>
    </row>
    <row r="575">
      <c r="A575" s="25"/>
      <c r="B575" s="42"/>
      <c r="C575" s="42"/>
      <c r="D575" s="42"/>
      <c r="E575" s="362"/>
      <c r="F575" s="220"/>
      <c r="G575" s="42"/>
      <c r="H575" s="42"/>
      <c r="I575" s="42"/>
      <c r="J575" s="42"/>
      <c r="K575" s="336"/>
      <c r="L575" s="219"/>
      <c r="M575" s="219"/>
      <c r="N575" s="219"/>
      <c r="O575" s="42"/>
      <c r="R575" s="42"/>
      <c r="S575" s="42"/>
    </row>
    <row r="576">
      <c r="A576" s="25"/>
      <c r="B576" s="42"/>
      <c r="C576" s="42"/>
      <c r="D576" s="42"/>
      <c r="E576" s="362"/>
      <c r="F576" s="220"/>
      <c r="G576" s="42"/>
      <c r="H576" s="42"/>
      <c r="I576" s="42"/>
      <c r="J576" s="42"/>
      <c r="K576" s="336"/>
      <c r="L576" s="219"/>
      <c r="M576" s="219"/>
      <c r="N576" s="219"/>
      <c r="O576" s="42"/>
      <c r="R576" s="42"/>
      <c r="S576" s="42"/>
    </row>
    <row r="577">
      <c r="A577" s="25"/>
      <c r="B577" s="42"/>
      <c r="C577" s="42"/>
      <c r="D577" s="42"/>
      <c r="E577" s="362"/>
      <c r="F577" s="220"/>
      <c r="G577" s="42"/>
      <c r="H577" s="42"/>
      <c r="I577" s="42"/>
      <c r="J577" s="42"/>
      <c r="K577" s="336"/>
      <c r="L577" s="219"/>
      <c r="M577" s="219"/>
      <c r="N577" s="219"/>
      <c r="O577" s="42"/>
      <c r="R577" s="42"/>
      <c r="S577" s="42"/>
    </row>
    <row r="578">
      <c r="A578" s="25"/>
      <c r="B578" s="42"/>
      <c r="C578" s="42"/>
      <c r="D578" s="42"/>
      <c r="E578" s="362"/>
      <c r="F578" s="220"/>
      <c r="G578" s="42"/>
      <c r="H578" s="42"/>
      <c r="I578" s="42"/>
      <c r="J578" s="42"/>
      <c r="K578" s="336"/>
      <c r="L578" s="219"/>
      <c r="M578" s="219"/>
      <c r="N578" s="219"/>
      <c r="O578" s="42"/>
      <c r="R578" s="42"/>
      <c r="S578" s="42"/>
    </row>
    <row r="579">
      <c r="A579" s="25"/>
      <c r="B579" s="42"/>
      <c r="C579" s="42"/>
      <c r="D579" s="42"/>
      <c r="E579" s="362"/>
      <c r="F579" s="220"/>
      <c r="G579" s="42"/>
      <c r="H579" s="42"/>
      <c r="I579" s="42"/>
      <c r="J579" s="42"/>
      <c r="K579" s="336"/>
      <c r="L579" s="219"/>
      <c r="M579" s="219"/>
      <c r="N579" s="219"/>
      <c r="O579" s="42"/>
      <c r="R579" s="42"/>
      <c r="S579" s="42"/>
    </row>
    <row r="580">
      <c r="A580" s="25"/>
      <c r="B580" s="42"/>
      <c r="C580" s="42"/>
      <c r="D580" s="42"/>
      <c r="E580" s="362"/>
      <c r="F580" s="220"/>
      <c r="G580" s="42"/>
      <c r="H580" s="42"/>
      <c r="I580" s="42"/>
      <c r="J580" s="42"/>
      <c r="K580" s="336"/>
      <c r="L580" s="219"/>
      <c r="M580" s="219"/>
      <c r="N580" s="219"/>
      <c r="O580" s="42"/>
      <c r="R580" s="42"/>
      <c r="S580" s="42"/>
    </row>
    <row r="581">
      <c r="A581" s="25"/>
      <c r="B581" s="42"/>
      <c r="C581" s="42"/>
      <c r="D581" s="42"/>
      <c r="E581" s="362"/>
      <c r="F581" s="220"/>
      <c r="G581" s="42"/>
      <c r="H581" s="42"/>
      <c r="I581" s="42"/>
      <c r="J581" s="42"/>
      <c r="K581" s="336"/>
      <c r="L581" s="219"/>
      <c r="M581" s="219"/>
      <c r="N581" s="219"/>
      <c r="O581" s="42"/>
      <c r="R581" s="42"/>
      <c r="S581" s="42"/>
    </row>
    <row r="582">
      <c r="A582" s="25"/>
      <c r="B582" s="42"/>
      <c r="C582" s="42"/>
      <c r="D582" s="42"/>
      <c r="E582" s="362"/>
      <c r="F582" s="220"/>
      <c r="G582" s="42"/>
      <c r="H582" s="42"/>
      <c r="I582" s="42"/>
      <c r="J582" s="42"/>
      <c r="K582" s="336"/>
      <c r="L582" s="219"/>
      <c r="M582" s="219"/>
      <c r="N582" s="219"/>
      <c r="O582" s="42"/>
      <c r="R582" s="42"/>
      <c r="S582" s="42"/>
    </row>
    <row r="583">
      <c r="A583" s="25"/>
      <c r="B583" s="42"/>
      <c r="C583" s="42"/>
      <c r="D583" s="42"/>
      <c r="E583" s="362"/>
      <c r="F583" s="220"/>
      <c r="G583" s="42"/>
      <c r="H583" s="42"/>
      <c r="I583" s="42"/>
      <c r="J583" s="42"/>
      <c r="K583" s="336"/>
      <c r="L583" s="219"/>
      <c r="M583" s="219"/>
      <c r="N583" s="219"/>
      <c r="O583" s="42"/>
      <c r="R583" s="42"/>
      <c r="S583" s="42"/>
    </row>
    <row r="584">
      <c r="A584" s="25"/>
      <c r="B584" s="42"/>
      <c r="C584" s="42"/>
      <c r="D584" s="42"/>
      <c r="E584" s="362"/>
      <c r="F584" s="220"/>
      <c r="G584" s="42"/>
      <c r="H584" s="42"/>
      <c r="I584" s="42"/>
      <c r="J584" s="42"/>
      <c r="K584" s="336"/>
      <c r="L584" s="219"/>
      <c r="M584" s="219"/>
      <c r="N584" s="219"/>
      <c r="O584" s="42"/>
      <c r="R584" s="42"/>
      <c r="S584" s="42"/>
    </row>
    <row r="585">
      <c r="A585" s="25"/>
      <c r="B585" s="42"/>
      <c r="C585" s="42"/>
      <c r="D585" s="42"/>
      <c r="E585" s="362"/>
      <c r="F585" s="220"/>
      <c r="G585" s="42"/>
      <c r="H585" s="42"/>
      <c r="I585" s="42"/>
      <c r="J585" s="42"/>
      <c r="K585" s="336"/>
      <c r="L585" s="219"/>
      <c r="M585" s="219"/>
      <c r="N585" s="219"/>
      <c r="O585" s="42"/>
      <c r="R585" s="42"/>
      <c r="S585" s="42"/>
    </row>
    <row r="586">
      <c r="A586" s="25"/>
      <c r="B586" s="42"/>
      <c r="C586" s="42"/>
      <c r="D586" s="42"/>
      <c r="E586" s="362"/>
      <c r="F586" s="220"/>
      <c r="G586" s="42"/>
      <c r="H586" s="42"/>
      <c r="I586" s="42"/>
      <c r="J586" s="42"/>
      <c r="K586" s="336"/>
      <c r="L586" s="219"/>
      <c r="M586" s="219"/>
      <c r="N586" s="219"/>
      <c r="O586" s="42"/>
      <c r="R586" s="42"/>
      <c r="S586" s="42"/>
    </row>
    <row r="587">
      <c r="A587" s="25"/>
      <c r="B587" s="42"/>
      <c r="C587" s="42"/>
      <c r="D587" s="42"/>
      <c r="E587" s="362"/>
      <c r="F587" s="220"/>
      <c r="G587" s="42"/>
      <c r="H587" s="42"/>
      <c r="I587" s="42"/>
      <c r="J587" s="42"/>
      <c r="K587" s="336"/>
      <c r="L587" s="219"/>
      <c r="M587" s="219"/>
      <c r="N587" s="219"/>
      <c r="O587" s="42"/>
      <c r="R587" s="42"/>
      <c r="S587" s="42"/>
    </row>
    <row r="588">
      <c r="A588" s="25"/>
      <c r="B588" s="42"/>
      <c r="C588" s="42"/>
      <c r="D588" s="42"/>
      <c r="E588" s="362"/>
      <c r="F588" s="220"/>
      <c r="G588" s="42"/>
      <c r="H588" s="42"/>
      <c r="I588" s="42"/>
      <c r="J588" s="42"/>
      <c r="K588" s="336"/>
      <c r="L588" s="219"/>
      <c r="M588" s="219"/>
      <c r="N588" s="219"/>
      <c r="O588" s="42"/>
      <c r="R588" s="42"/>
      <c r="S588" s="42"/>
    </row>
    <row r="589">
      <c r="A589" s="25"/>
      <c r="B589" s="42"/>
      <c r="C589" s="42"/>
      <c r="D589" s="42"/>
      <c r="E589" s="362"/>
      <c r="F589" s="220"/>
      <c r="G589" s="42"/>
      <c r="H589" s="42"/>
      <c r="I589" s="42"/>
      <c r="J589" s="42"/>
      <c r="K589" s="336"/>
      <c r="L589" s="219"/>
      <c r="M589" s="219"/>
      <c r="N589" s="219"/>
      <c r="O589" s="42"/>
      <c r="R589" s="42"/>
      <c r="S589" s="42"/>
    </row>
    <row r="590">
      <c r="A590" s="25"/>
      <c r="B590" s="42"/>
      <c r="C590" s="42"/>
      <c r="D590" s="42"/>
      <c r="E590" s="362"/>
      <c r="F590" s="220"/>
      <c r="G590" s="42"/>
      <c r="H590" s="42"/>
      <c r="I590" s="42"/>
      <c r="J590" s="42"/>
      <c r="K590" s="336"/>
      <c r="L590" s="219"/>
      <c r="M590" s="219"/>
      <c r="N590" s="219"/>
      <c r="O590" s="42"/>
      <c r="R590" s="42"/>
      <c r="S590" s="42"/>
    </row>
    <row r="591">
      <c r="A591" s="25"/>
      <c r="B591" s="42"/>
      <c r="C591" s="42"/>
      <c r="D591" s="42"/>
      <c r="E591" s="362"/>
      <c r="F591" s="220"/>
      <c r="G591" s="42"/>
      <c r="H591" s="42"/>
      <c r="I591" s="42"/>
      <c r="J591" s="42"/>
      <c r="K591" s="336"/>
      <c r="L591" s="219"/>
      <c r="M591" s="219"/>
      <c r="N591" s="219"/>
      <c r="O591" s="42"/>
      <c r="R591" s="42"/>
      <c r="S591" s="42"/>
    </row>
    <row r="592">
      <c r="A592" s="25"/>
      <c r="B592" s="42"/>
      <c r="C592" s="42"/>
      <c r="D592" s="42"/>
      <c r="E592" s="362"/>
      <c r="F592" s="220"/>
      <c r="G592" s="42"/>
      <c r="H592" s="42"/>
      <c r="I592" s="42"/>
      <c r="J592" s="42"/>
      <c r="K592" s="336"/>
      <c r="L592" s="219"/>
      <c r="M592" s="219"/>
      <c r="N592" s="219"/>
      <c r="O592" s="42"/>
      <c r="R592" s="42"/>
      <c r="S592" s="42"/>
    </row>
    <row r="593">
      <c r="A593" s="25"/>
      <c r="B593" s="42"/>
      <c r="C593" s="42"/>
      <c r="D593" s="42"/>
      <c r="E593" s="362"/>
      <c r="F593" s="220"/>
      <c r="G593" s="42"/>
      <c r="H593" s="42"/>
      <c r="I593" s="42"/>
      <c r="J593" s="42"/>
      <c r="K593" s="336"/>
      <c r="L593" s="219"/>
      <c r="M593" s="219"/>
      <c r="N593" s="219"/>
      <c r="O593" s="42"/>
      <c r="R593" s="42"/>
      <c r="S593" s="42"/>
    </row>
    <row r="594">
      <c r="A594" s="25"/>
      <c r="B594" s="42"/>
      <c r="C594" s="42"/>
      <c r="D594" s="42"/>
      <c r="E594" s="362"/>
      <c r="F594" s="220"/>
      <c r="G594" s="42"/>
      <c r="H594" s="42"/>
      <c r="I594" s="42"/>
      <c r="J594" s="42"/>
      <c r="K594" s="336"/>
      <c r="L594" s="219"/>
      <c r="M594" s="219"/>
      <c r="N594" s="219"/>
      <c r="O594" s="42"/>
      <c r="R594" s="42"/>
      <c r="S594" s="42"/>
    </row>
    <row r="595">
      <c r="A595" s="25"/>
      <c r="B595" s="42"/>
      <c r="C595" s="42"/>
      <c r="D595" s="42"/>
      <c r="E595" s="362"/>
      <c r="F595" s="220"/>
      <c r="G595" s="42"/>
      <c r="H595" s="42"/>
      <c r="I595" s="42"/>
      <c r="J595" s="42"/>
      <c r="K595" s="336"/>
      <c r="L595" s="219"/>
      <c r="M595" s="219"/>
      <c r="N595" s="219"/>
      <c r="O595" s="42"/>
      <c r="R595" s="42"/>
      <c r="S595" s="42"/>
    </row>
    <row r="596">
      <c r="A596" s="25"/>
      <c r="B596" s="42"/>
      <c r="C596" s="42"/>
      <c r="D596" s="42"/>
      <c r="E596" s="362"/>
      <c r="F596" s="220"/>
      <c r="G596" s="42"/>
      <c r="H596" s="42"/>
      <c r="I596" s="42"/>
      <c r="J596" s="42"/>
      <c r="K596" s="336"/>
      <c r="L596" s="219"/>
      <c r="M596" s="219"/>
      <c r="N596" s="219"/>
      <c r="O596" s="42"/>
      <c r="R596" s="42"/>
      <c r="S596" s="42"/>
    </row>
    <row r="597">
      <c r="A597" s="25"/>
      <c r="B597" s="42"/>
      <c r="C597" s="42"/>
      <c r="D597" s="42"/>
      <c r="E597" s="362"/>
      <c r="F597" s="220"/>
      <c r="G597" s="42"/>
      <c r="H597" s="42"/>
      <c r="I597" s="42"/>
      <c r="J597" s="42"/>
      <c r="K597" s="336"/>
      <c r="L597" s="219"/>
      <c r="M597" s="219"/>
      <c r="N597" s="219"/>
      <c r="O597" s="42"/>
      <c r="R597" s="42"/>
      <c r="S597" s="42"/>
    </row>
    <row r="598">
      <c r="A598" s="25"/>
      <c r="B598" s="42"/>
      <c r="C598" s="42"/>
      <c r="D598" s="42"/>
      <c r="E598" s="362"/>
      <c r="F598" s="220"/>
      <c r="G598" s="42"/>
      <c r="H598" s="42"/>
      <c r="I598" s="42"/>
      <c r="J598" s="42"/>
      <c r="K598" s="336"/>
      <c r="L598" s="219"/>
      <c r="M598" s="219"/>
      <c r="N598" s="219"/>
      <c r="O598" s="42"/>
      <c r="R598" s="42"/>
      <c r="S598" s="42"/>
    </row>
    <row r="599">
      <c r="A599" s="25"/>
      <c r="B599" s="42"/>
      <c r="C599" s="42"/>
      <c r="D599" s="42"/>
      <c r="E599" s="362"/>
      <c r="F599" s="220"/>
      <c r="G599" s="42"/>
      <c r="H599" s="42"/>
      <c r="I599" s="42"/>
      <c r="J599" s="42"/>
      <c r="K599" s="336"/>
      <c r="L599" s="219"/>
      <c r="M599" s="219"/>
      <c r="N599" s="219"/>
      <c r="O599" s="42"/>
      <c r="R599" s="42"/>
      <c r="S599" s="42"/>
    </row>
    <row r="600">
      <c r="A600" s="25"/>
      <c r="B600" s="42"/>
      <c r="C600" s="42"/>
      <c r="D600" s="42"/>
      <c r="E600" s="362"/>
      <c r="F600" s="220"/>
      <c r="G600" s="42"/>
      <c r="H600" s="42"/>
      <c r="I600" s="42"/>
      <c r="J600" s="42"/>
      <c r="K600" s="336"/>
      <c r="L600" s="219"/>
      <c r="M600" s="219"/>
      <c r="N600" s="219"/>
      <c r="O600" s="42"/>
      <c r="R600" s="42"/>
      <c r="S600" s="42"/>
    </row>
    <row r="601">
      <c r="A601" s="25"/>
      <c r="B601" s="42"/>
      <c r="C601" s="42"/>
      <c r="D601" s="42"/>
      <c r="E601" s="362"/>
      <c r="F601" s="220"/>
      <c r="G601" s="42"/>
      <c r="H601" s="42"/>
      <c r="I601" s="42"/>
      <c r="J601" s="42"/>
      <c r="K601" s="336"/>
      <c r="L601" s="219"/>
      <c r="M601" s="219"/>
      <c r="N601" s="219"/>
      <c r="O601" s="42"/>
      <c r="R601" s="42"/>
      <c r="S601" s="42"/>
    </row>
    <row r="602">
      <c r="A602" s="25"/>
      <c r="B602" s="42"/>
      <c r="C602" s="42"/>
      <c r="D602" s="42"/>
      <c r="E602" s="362"/>
      <c r="F602" s="220"/>
      <c r="G602" s="42"/>
      <c r="H602" s="42"/>
      <c r="I602" s="42"/>
      <c r="J602" s="42"/>
      <c r="K602" s="336"/>
      <c r="L602" s="219"/>
      <c r="M602" s="219"/>
      <c r="N602" s="219"/>
      <c r="O602" s="42"/>
      <c r="R602" s="42"/>
      <c r="S602" s="42"/>
    </row>
    <row r="603">
      <c r="A603" s="25"/>
      <c r="B603" s="42"/>
      <c r="C603" s="42"/>
      <c r="D603" s="42"/>
      <c r="E603" s="362"/>
      <c r="F603" s="220"/>
      <c r="G603" s="42"/>
      <c r="H603" s="42"/>
      <c r="I603" s="42"/>
      <c r="J603" s="42"/>
      <c r="K603" s="336"/>
      <c r="L603" s="219"/>
      <c r="M603" s="219"/>
      <c r="N603" s="219"/>
      <c r="O603" s="42"/>
      <c r="R603" s="42"/>
      <c r="S603" s="42"/>
    </row>
    <row r="604">
      <c r="A604" s="25"/>
      <c r="B604" s="42"/>
      <c r="C604" s="42"/>
      <c r="D604" s="42"/>
      <c r="E604" s="362"/>
      <c r="F604" s="220"/>
      <c r="G604" s="42"/>
      <c r="H604" s="42"/>
      <c r="I604" s="42"/>
      <c r="J604" s="42"/>
      <c r="K604" s="336"/>
      <c r="L604" s="219"/>
      <c r="M604" s="219"/>
      <c r="N604" s="219"/>
      <c r="O604" s="42"/>
      <c r="R604" s="42"/>
      <c r="S604" s="42"/>
    </row>
    <row r="605">
      <c r="A605" s="25"/>
      <c r="B605" s="42"/>
      <c r="C605" s="42"/>
      <c r="D605" s="42"/>
      <c r="E605" s="362"/>
      <c r="F605" s="220"/>
      <c r="G605" s="42"/>
      <c r="H605" s="42"/>
      <c r="I605" s="42"/>
      <c r="J605" s="42"/>
      <c r="K605" s="336"/>
      <c r="L605" s="219"/>
      <c r="M605" s="219"/>
      <c r="N605" s="219"/>
      <c r="O605" s="42"/>
      <c r="R605" s="42"/>
      <c r="S605" s="42"/>
    </row>
    <row r="606">
      <c r="A606" s="25"/>
      <c r="B606" s="42"/>
      <c r="C606" s="42"/>
      <c r="D606" s="42"/>
      <c r="E606" s="362"/>
      <c r="F606" s="220"/>
      <c r="G606" s="42"/>
      <c r="H606" s="42"/>
      <c r="I606" s="42"/>
      <c r="J606" s="42"/>
      <c r="K606" s="336"/>
      <c r="L606" s="219"/>
      <c r="M606" s="219"/>
      <c r="N606" s="219"/>
      <c r="O606" s="42"/>
      <c r="R606" s="42"/>
      <c r="S606" s="42"/>
    </row>
    <row r="607">
      <c r="A607" s="25"/>
      <c r="B607" s="42"/>
      <c r="C607" s="42"/>
      <c r="D607" s="42"/>
      <c r="E607" s="362"/>
      <c r="F607" s="220"/>
      <c r="G607" s="42"/>
      <c r="H607" s="42"/>
      <c r="I607" s="42"/>
      <c r="J607" s="42"/>
      <c r="K607" s="336"/>
      <c r="L607" s="219"/>
      <c r="M607" s="219"/>
      <c r="N607" s="219"/>
      <c r="O607" s="42"/>
      <c r="R607" s="42"/>
      <c r="S607" s="42"/>
    </row>
    <row r="608">
      <c r="A608" s="25"/>
      <c r="B608" s="42"/>
      <c r="C608" s="42"/>
      <c r="D608" s="42"/>
      <c r="E608" s="362"/>
      <c r="F608" s="220"/>
      <c r="G608" s="42"/>
      <c r="H608" s="42"/>
      <c r="I608" s="42"/>
      <c r="J608" s="42"/>
      <c r="K608" s="336"/>
      <c r="L608" s="219"/>
      <c r="M608" s="219"/>
      <c r="N608" s="219"/>
      <c r="O608" s="42"/>
      <c r="R608" s="42"/>
      <c r="S608" s="42"/>
    </row>
    <row r="609">
      <c r="A609" s="25"/>
      <c r="B609" s="42"/>
      <c r="C609" s="42"/>
      <c r="D609" s="42"/>
      <c r="E609" s="362"/>
      <c r="F609" s="220"/>
      <c r="G609" s="42"/>
      <c r="H609" s="42"/>
      <c r="I609" s="42"/>
      <c r="J609" s="42"/>
      <c r="K609" s="336"/>
      <c r="L609" s="219"/>
      <c r="M609" s="219"/>
      <c r="N609" s="219"/>
      <c r="O609" s="42"/>
      <c r="R609" s="42"/>
      <c r="S609" s="42"/>
    </row>
    <row r="610">
      <c r="A610" s="25"/>
      <c r="B610" s="42"/>
      <c r="C610" s="42"/>
      <c r="D610" s="42"/>
      <c r="E610" s="362"/>
      <c r="F610" s="220"/>
      <c r="G610" s="42"/>
      <c r="H610" s="42"/>
      <c r="I610" s="42"/>
      <c r="J610" s="42"/>
      <c r="K610" s="336"/>
      <c r="L610" s="219"/>
      <c r="M610" s="219"/>
      <c r="N610" s="219"/>
      <c r="O610" s="42"/>
      <c r="R610" s="42"/>
      <c r="S610" s="42"/>
    </row>
    <row r="611">
      <c r="A611" s="25"/>
      <c r="B611" s="42"/>
      <c r="C611" s="42"/>
      <c r="D611" s="42"/>
      <c r="E611" s="362"/>
      <c r="F611" s="220"/>
      <c r="G611" s="42"/>
      <c r="H611" s="42"/>
      <c r="I611" s="42"/>
      <c r="J611" s="42"/>
      <c r="K611" s="336"/>
      <c r="L611" s="219"/>
      <c r="M611" s="219"/>
      <c r="N611" s="219"/>
      <c r="O611" s="42"/>
      <c r="R611" s="42"/>
      <c r="S611" s="42"/>
    </row>
    <row r="612">
      <c r="A612" s="25"/>
      <c r="B612" s="42"/>
      <c r="C612" s="42"/>
      <c r="D612" s="42"/>
      <c r="E612" s="362"/>
      <c r="F612" s="220"/>
      <c r="G612" s="42"/>
      <c r="H612" s="42"/>
      <c r="I612" s="42"/>
      <c r="J612" s="42"/>
      <c r="K612" s="336"/>
      <c r="L612" s="219"/>
      <c r="M612" s="219"/>
      <c r="N612" s="219"/>
      <c r="O612" s="42"/>
      <c r="R612" s="42"/>
      <c r="S612" s="42"/>
    </row>
    <row r="613">
      <c r="A613" s="25"/>
      <c r="B613" s="42"/>
      <c r="C613" s="42"/>
      <c r="D613" s="42"/>
      <c r="E613" s="362"/>
      <c r="F613" s="220"/>
      <c r="G613" s="42"/>
      <c r="H613" s="42"/>
      <c r="I613" s="42"/>
      <c r="J613" s="42"/>
      <c r="K613" s="336"/>
      <c r="L613" s="219"/>
      <c r="M613" s="219"/>
      <c r="N613" s="219"/>
      <c r="O613" s="42"/>
      <c r="R613" s="42"/>
      <c r="S613" s="42"/>
    </row>
    <row r="614">
      <c r="A614" s="25"/>
      <c r="B614" s="42"/>
      <c r="C614" s="42"/>
      <c r="D614" s="42"/>
      <c r="E614" s="362"/>
      <c r="F614" s="220"/>
      <c r="G614" s="42"/>
      <c r="H614" s="42"/>
      <c r="I614" s="42"/>
      <c r="J614" s="42"/>
      <c r="K614" s="336"/>
      <c r="L614" s="219"/>
      <c r="M614" s="219"/>
      <c r="N614" s="219"/>
      <c r="O614" s="42"/>
      <c r="R614" s="42"/>
      <c r="S614" s="42"/>
    </row>
    <row r="615">
      <c r="A615" s="25"/>
      <c r="B615" s="42"/>
      <c r="C615" s="42"/>
      <c r="D615" s="42"/>
      <c r="E615" s="362"/>
      <c r="F615" s="220"/>
      <c r="G615" s="42"/>
      <c r="H615" s="42"/>
      <c r="I615" s="42"/>
      <c r="J615" s="42"/>
      <c r="K615" s="336"/>
      <c r="L615" s="219"/>
      <c r="M615" s="219"/>
      <c r="N615" s="219"/>
      <c r="O615" s="42"/>
      <c r="R615" s="42"/>
      <c r="S615" s="42"/>
    </row>
    <row r="616">
      <c r="A616" s="25"/>
      <c r="B616" s="42"/>
      <c r="C616" s="42"/>
      <c r="D616" s="42"/>
      <c r="E616" s="362"/>
      <c r="F616" s="220"/>
      <c r="G616" s="42"/>
      <c r="H616" s="42"/>
      <c r="I616" s="42"/>
      <c r="J616" s="42"/>
      <c r="K616" s="336"/>
      <c r="L616" s="219"/>
      <c r="M616" s="219"/>
      <c r="N616" s="219"/>
      <c r="O616" s="42"/>
      <c r="R616" s="42"/>
      <c r="S616" s="42"/>
    </row>
    <row r="617">
      <c r="A617" s="25"/>
      <c r="B617" s="42"/>
      <c r="C617" s="42"/>
      <c r="D617" s="42"/>
      <c r="E617" s="362"/>
      <c r="F617" s="220"/>
      <c r="G617" s="42"/>
      <c r="H617" s="42"/>
      <c r="I617" s="42"/>
      <c r="J617" s="42"/>
      <c r="K617" s="336"/>
      <c r="L617" s="219"/>
      <c r="M617" s="219"/>
      <c r="N617" s="219"/>
      <c r="O617" s="42"/>
      <c r="R617" s="42"/>
      <c r="S617" s="42"/>
    </row>
    <row r="618">
      <c r="A618" s="25"/>
      <c r="B618" s="42"/>
      <c r="C618" s="42"/>
      <c r="D618" s="42"/>
      <c r="E618" s="362"/>
      <c r="F618" s="220"/>
      <c r="G618" s="42"/>
      <c r="H618" s="42"/>
      <c r="I618" s="42"/>
      <c r="J618" s="42"/>
      <c r="K618" s="336"/>
      <c r="L618" s="219"/>
      <c r="M618" s="219"/>
      <c r="N618" s="219"/>
      <c r="O618" s="42"/>
      <c r="R618" s="42"/>
      <c r="S618" s="42"/>
    </row>
    <row r="619">
      <c r="A619" s="25"/>
      <c r="B619" s="42"/>
      <c r="C619" s="42"/>
      <c r="D619" s="42"/>
      <c r="E619" s="362"/>
      <c r="F619" s="220"/>
      <c r="G619" s="42"/>
      <c r="H619" s="42"/>
      <c r="I619" s="42"/>
      <c r="J619" s="42"/>
      <c r="K619" s="336"/>
      <c r="L619" s="219"/>
      <c r="M619" s="219"/>
      <c r="N619" s="219"/>
      <c r="O619" s="42"/>
      <c r="R619" s="42"/>
      <c r="S619" s="42"/>
    </row>
    <row r="620">
      <c r="A620" s="25"/>
      <c r="B620" s="42"/>
      <c r="C620" s="42"/>
      <c r="D620" s="42"/>
      <c r="E620" s="362"/>
      <c r="F620" s="220"/>
      <c r="G620" s="42"/>
      <c r="H620" s="42"/>
      <c r="I620" s="42"/>
      <c r="J620" s="42"/>
      <c r="K620" s="336"/>
      <c r="L620" s="219"/>
      <c r="M620" s="219"/>
      <c r="N620" s="219"/>
      <c r="O620" s="42"/>
      <c r="R620" s="42"/>
      <c r="S620" s="42"/>
    </row>
    <row r="621">
      <c r="A621" s="25"/>
      <c r="B621" s="42"/>
      <c r="C621" s="42"/>
      <c r="D621" s="42"/>
      <c r="E621" s="362"/>
      <c r="F621" s="220"/>
      <c r="G621" s="42"/>
      <c r="H621" s="42"/>
      <c r="I621" s="42"/>
      <c r="J621" s="42"/>
      <c r="K621" s="336"/>
      <c r="L621" s="219"/>
      <c r="M621" s="219"/>
      <c r="N621" s="219"/>
      <c r="O621" s="42"/>
      <c r="R621" s="42"/>
      <c r="S621" s="42"/>
    </row>
    <row r="622">
      <c r="A622" s="25"/>
      <c r="B622" s="42"/>
      <c r="C622" s="42"/>
      <c r="D622" s="42"/>
      <c r="E622" s="362"/>
      <c r="F622" s="220"/>
      <c r="G622" s="42"/>
      <c r="H622" s="42"/>
      <c r="I622" s="42"/>
      <c r="J622" s="42"/>
      <c r="K622" s="336"/>
      <c r="L622" s="219"/>
      <c r="M622" s="219"/>
      <c r="N622" s="219"/>
      <c r="O622" s="42"/>
      <c r="R622" s="42"/>
      <c r="S622" s="42"/>
    </row>
    <row r="623">
      <c r="A623" s="25"/>
      <c r="B623" s="42"/>
      <c r="C623" s="42"/>
      <c r="D623" s="42"/>
      <c r="E623" s="362"/>
      <c r="F623" s="220"/>
      <c r="G623" s="42"/>
      <c r="H623" s="42"/>
      <c r="I623" s="42"/>
      <c r="J623" s="42"/>
      <c r="K623" s="336"/>
      <c r="L623" s="219"/>
      <c r="M623" s="219"/>
      <c r="N623" s="219"/>
      <c r="O623" s="42"/>
      <c r="R623" s="42"/>
      <c r="S623" s="42"/>
    </row>
    <row r="624">
      <c r="A624" s="25"/>
      <c r="B624" s="42"/>
      <c r="C624" s="42"/>
      <c r="D624" s="42"/>
      <c r="E624" s="362"/>
      <c r="F624" s="220"/>
      <c r="G624" s="42"/>
      <c r="H624" s="42"/>
      <c r="I624" s="42"/>
      <c r="J624" s="42"/>
      <c r="K624" s="336"/>
      <c r="L624" s="219"/>
      <c r="M624" s="219"/>
      <c r="N624" s="219"/>
      <c r="O624" s="42"/>
      <c r="R624" s="42"/>
      <c r="S624" s="42"/>
    </row>
    <row r="625">
      <c r="A625" s="25"/>
      <c r="B625" s="42"/>
      <c r="C625" s="42"/>
      <c r="D625" s="42"/>
      <c r="E625" s="362"/>
      <c r="F625" s="220"/>
      <c r="G625" s="42"/>
      <c r="H625" s="42"/>
      <c r="I625" s="42"/>
      <c r="J625" s="42"/>
      <c r="K625" s="336"/>
      <c r="L625" s="219"/>
      <c r="M625" s="219"/>
      <c r="N625" s="219"/>
      <c r="O625" s="42"/>
      <c r="R625" s="42"/>
      <c r="S625" s="42"/>
    </row>
    <row r="626">
      <c r="A626" s="25"/>
      <c r="B626" s="42"/>
      <c r="C626" s="42"/>
      <c r="D626" s="42"/>
      <c r="E626" s="362"/>
      <c r="F626" s="220"/>
      <c r="G626" s="42"/>
      <c r="H626" s="42"/>
      <c r="I626" s="42"/>
      <c r="J626" s="42"/>
      <c r="K626" s="336"/>
      <c r="L626" s="219"/>
      <c r="M626" s="219"/>
      <c r="N626" s="219"/>
      <c r="O626" s="42"/>
      <c r="R626" s="42"/>
      <c r="S626" s="42"/>
    </row>
    <row r="627">
      <c r="A627" s="25"/>
      <c r="B627" s="42"/>
      <c r="C627" s="42"/>
      <c r="D627" s="42"/>
      <c r="E627" s="362"/>
      <c r="F627" s="220"/>
      <c r="G627" s="42"/>
      <c r="H627" s="42"/>
      <c r="I627" s="42"/>
      <c r="J627" s="42"/>
      <c r="K627" s="336"/>
      <c r="L627" s="219"/>
      <c r="M627" s="219"/>
      <c r="N627" s="219"/>
      <c r="O627" s="42"/>
      <c r="R627" s="42"/>
      <c r="S627" s="42"/>
    </row>
    <row r="628">
      <c r="A628" s="25"/>
      <c r="B628" s="42"/>
      <c r="C628" s="42"/>
      <c r="D628" s="42"/>
      <c r="E628" s="362"/>
      <c r="F628" s="220"/>
      <c r="G628" s="42"/>
      <c r="H628" s="42"/>
      <c r="I628" s="42"/>
      <c r="J628" s="42"/>
      <c r="K628" s="336"/>
      <c r="L628" s="219"/>
      <c r="M628" s="219"/>
      <c r="N628" s="219"/>
      <c r="O628" s="42"/>
      <c r="R628" s="42"/>
      <c r="S628" s="42"/>
    </row>
    <row r="629">
      <c r="A629" s="25"/>
      <c r="B629" s="42"/>
      <c r="C629" s="42"/>
      <c r="D629" s="42"/>
      <c r="E629" s="362"/>
      <c r="F629" s="220"/>
      <c r="G629" s="42"/>
      <c r="H629" s="42"/>
      <c r="I629" s="42"/>
      <c r="J629" s="42"/>
      <c r="K629" s="336"/>
      <c r="L629" s="219"/>
      <c r="M629" s="219"/>
      <c r="N629" s="219"/>
      <c r="O629" s="42"/>
      <c r="R629" s="42"/>
      <c r="S629" s="42"/>
    </row>
    <row r="630">
      <c r="A630" s="25"/>
      <c r="B630" s="42"/>
      <c r="C630" s="42"/>
      <c r="D630" s="42"/>
      <c r="E630" s="362"/>
      <c r="F630" s="220"/>
      <c r="G630" s="42"/>
      <c r="H630" s="42"/>
      <c r="I630" s="42"/>
      <c r="J630" s="42"/>
      <c r="K630" s="336"/>
      <c r="L630" s="219"/>
      <c r="M630" s="219"/>
      <c r="N630" s="219"/>
      <c r="O630" s="42"/>
      <c r="R630" s="42"/>
      <c r="S630" s="42"/>
    </row>
    <row r="631">
      <c r="A631" s="25"/>
      <c r="B631" s="42"/>
      <c r="C631" s="42"/>
      <c r="D631" s="42"/>
      <c r="E631" s="362"/>
      <c r="F631" s="220"/>
      <c r="G631" s="42"/>
      <c r="H631" s="42"/>
      <c r="I631" s="42"/>
      <c r="J631" s="42"/>
      <c r="K631" s="336"/>
      <c r="L631" s="219"/>
      <c r="M631" s="219"/>
      <c r="N631" s="219"/>
      <c r="O631" s="42"/>
      <c r="R631" s="42"/>
      <c r="S631" s="42"/>
    </row>
    <row r="632">
      <c r="A632" s="25"/>
      <c r="B632" s="42"/>
      <c r="C632" s="42"/>
      <c r="D632" s="42"/>
      <c r="E632" s="362"/>
      <c r="F632" s="220"/>
      <c r="G632" s="42"/>
      <c r="H632" s="42"/>
      <c r="I632" s="42"/>
      <c r="J632" s="42"/>
      <c r="K632" s="336"/>
      <c r="L632" s="219"/>
      <c r="M632" s="219"/>
      <c r="N632" s="219"/>
      <c r="O632" s="42"/>
      <c r="R632" s="42"/>
      <c r="S632" s="42"/>
    </row>
    <row r="633">
      <c r="A633" s="25"/>
      <c r="B633" s="42"/>
      <c r="C633" s="42"/>
      <c r="D633" s="42"/>
      <c r="E633" s="362"/>
      <c r="F633" s="220"/>
      <c r="G633" s="42"/>
      <c r="H633" s="42"/>
      <c r="I633" s="42"/>
      <c r="J633" s="42"/>
      <c r="K633" s="336"/>
      <c r="L633" s="219"/>
      <c r="M633" s="219"/>
      <c r="N633" s="219"/>
      <c r="O633" s="42"/>
      <c r="R633" s="42"/>
      <c r="S633" s="42"/>
    </row>
    <row r="634">
      <c r="A634" s="25"/>
      <c r="B634" s="42"/>
      <c r="C634" s="42"/>
      <c r="D634" s="42"/>
      <c r="E634" s="362"/>
      <c r="F634" s="220"/>
      <c r="G634" s="42"/>
      <c r="H634" s="42"/>
      <c r="I634" s="42"/>
      <c r="J634" s="42"/>
      <c r="K634" s="336"/>
      <c r="L634" s="219"/>
      <c r="M634" s="219"/>
      <c r="N634" s="219"/>
      <c r="O634" s="42"/>
      <c r="R634" s="42"/>
      <c r="S634" s="42"/>
    </row>
    <row r="635">
      <c r="A635" s="25"/>
      <c r="B635" s="42"/>
      <c r="C635" s="42"/>
      <c r="D635" s="42"/>
      <c r="E635" s="362"/>
      <c r="F635" s="220"/>
      <c r="G635" s="42"/>
      <c r="H635" s="42"/>
      <c r="I635" s="42"/>
      <c r="J635" s="42"/>
      <c r="K635" s="336"/>
      <c r="L635" s="219"/>
      <c r="M635" s="219"/>
      <c r="N635" s="219"/>
      <c r="O635" s="42"/>
      <c r="R635" s="42"/>
      <c r="S635" s="42"/>
    </row>
    <row r="636">
      <c r="A636" s="25"/>
      <c r="B636" s="42"/>
      <c r="C636" s="42"/>
      <c r="D636" s="42"/>
      <c r="E636" s="362"/>
      <c r="F636" s="220"/>
      <c r="G636" s="42"/>
      <c r="H636" s="42"/>
      <c r="I636" s="42"/>
      <c r="J636" s="42"/>
      <c r="K636" s="336"/>
      <c r="L636" s="219"/>
      <c r="M636" s="219"/>
      <c r="N636" s="219"/>
      <c r="O636" s="42"/>
      <c r="R636" s="42"/>
      <c r="S636" s="42"/>
    </row>
    <row r="637">
      <c r="A637" s="25"/>
      <c r="B637" s="42"/>
      <c r="C637" s="42"/>
      <c r="D637" s="42"/>
      <c r="E637" s="362"/>
      <c r="F637" s="220"/>
      <c r="G637" s="42"/>
      <c r="H637" s="42"/>
      <c r="I637" s="42"/>
      <c r="J637" s="42"/>
      <c r="K637" s="336"/>
      <c r="L637" s="219"/>
      <c r="M637" s="219"/>
      <c r="N637" s="219"/>
      <c r="O637" s="42"/>
      <c r="R637" s="42"/>
      <c r="S637" s="42"/>
    </row>
    <row r="638">
      <c r="A638" s="25"/>
      <c r="B638" s="42"/>
      <c r="C638" s="42"/>
      <c r="D638" s="42"/>
      <c r="E638" s="362"/>
      <c r="F638" s="220"/>
      <c r="G638" s="42"/>
      <c r="H638" s="42"/>
      <c r="I638" s="42"/>
      <c r="J638" s="42"/>
      <c r="K638" s="336"/>
      <c r="L638" s="219"/>
      <c r="M638" s="219"/>
      <c r="N638" s="219"/>
      <c r="O638" s="42"/>
      <c r="R638" s="42"/>
      <c r="S638" s="42"/>
    </row>
    <row r="639">
      <c r="A639" s="25"/>
      <c r="B639" s="42"/>
      <c r="C639" s="42"/>
      <c r="D639" s="42"/>
      <c r="E639" s="362"/>
      <c r="F639" s="220"/>
      <c r="G639" s="42"/>
      <c r="H639" s="42"/>
      <c r="I639" s="42"/>
      <c r="J639" s="42"/>
      <c r="K639" s="336"/>
      <c r="L639" s="219"/>
      <c r="M639" s="219"/>
      <c r="N639" s="219"/>
      <c r="O639" s="42"/>
      <c r="R639" s="42"/>
      <c r="S639" s="42"/>
    </row>
    <row r="640">
      <c r="A640" s="25"/>
      <c r="B640" s="42"/>
      <c r="C640" s="42"/>
      <c r="D640" s="42"/>
      <c r="E640" s="362"/>
      <c r="F640" s="220"/>
      <c r="G640" s="42"/>
      <c r="H640" s="42"/>
      <c r="I640" s="42"/>
      <c r="J640" s="42"/>
      <c r="K640" s="336"/>
      <c r="L640" s="219"/>
      <c r="M640" s="219"/>
      <c r="N640" s="219"/>
      <c r="O640" s="42"/>
      <c r="R640" s="42"/>
      <c r="S640" s="42"/>
    </row>
    <row r="641">
      <c r="A641" s="25"/>
      <c r="B641" s="42"/>
      <c r="C641" s="42"/>
      <c r="D641" s="42"/>
      <c r="E641" s="362"/>
      <c r="F641" s="220"/>
      <c r="G641" s="42"/>
      <c r="H641" s="42"/>
      <c r="I641" s="42"/>
      <c r="J641" s="42"/>
      <c r="K641" s="336"/>
      <c r="L641" s="219"/>
      <c r="M641" s="219"/>
      <c r="N641" s="219"/>
      <c r="O641" s="42"/>
      <c r="R641" s="42"/>
      <c r="S641" s="42"/>
    </row>
    <row r="642">
      <c r="A642" s="25"/>
      <c r="B642" s="42"/>
      <c r="C642" s="42"/>
      <c r="D642" s="42"/>
      <c r="E642" s="362"/>
      <c r="F642" s="220"/>
      <c r="G642" s="42"/>
      <c r="H642" s="42"/>
      <c r="I642" s="42"/>
      <c r="J642" s="42"/>
      <c r="K642" s="336"/>
      <c r="L642" s="219"/>
      <c r="M642" s="219"/>
      <c r="N642" s="219"/>
      <c r="O642" s="42"/>
      <c r="R642" s="42"/>
      <c r="S642" s="42"/>
    </row>
    <row r="643">
      <c r="A643" s="25"/>
      <c r="B643" s="42"/>
      <c r="C643" s="42"/>
      <c r="D643" s="42"/>
      <c r="E643" s="362"/>
      <c r="F643" s="220"/>
      <c r="G643" s="42"/>
      <c r="H643" s="42"/>
      <c r="I643" s="42"/>
      <c r="J643" s="42"/>
      <c r="K643" s="336"/>
      <c r="L643" s="219"/>
      <c r="M643" s="219"/>
      <c r="N643" s="219"/>
      <c r="O643" s="42"/>
      <c r="R643" s="42"/>
      <c r="S643" s="42"/>
    </row>
    <row r="644">
      <c r="A644" s="25"/>
      <c r="B644" s="42"/>
      <c r="C644" s="42"/>
      <c r="D644" s="42"/>
      <c r="E644" s="362"/>
      <c r="F644" s="220"/>
      <c r="G644" s="42"/>
      <c r="H644" s="42"/>
      <c r="I644" s="42"/>
      <c r="J644" s="42"/>
      <c r="K644" s="336"/>
      <c r="L644" s="219"/>
      <c r="M644" s="219"/>
      <c r="N644" s="219"/>
      <c r="O644" s="42"/>
      <c r="R644" s="42"/>
      <c r="S644" s="42"/>
    </row>
    <row r="645">
      <c r="A645" s="25"/>
      <c r="B645" s="42"/>
      <c r="C645" s="42"/>
      <c r="D645" s="42"/>
      <c r="E645" s="362"/>
      <c r="F645" s="220"/>
      <c r="G645" s="42"/>
      <c r="H645" s="42"/>
      <c r="I645" s="42"/>
      <c r="J645" s="42"/>
      <c r="K645" s="336"/>
      <c r="L645" s="219"/>
      <c r="M645" s="219"/>
      <c r="N645" s="219"/>
      <c r="O645" s="42"/>
      <c r="R645" s="42"/>
      <c r="S645" s="42"/>
    </row>
    <row r="646">
      <c r="A646" s="25"/>
      <c r="B646" s="42"/>
      <c r="C646" s="42"/>
      <c r="D646" s="42"/>
      <c r="E646" s="362"/>
      <c r="F646" s="220"/>
      <c r="G646" s="42"/>
      <c r="H646" s="42"/>
      <c r="I646" s="42"/>
      <c r="J646" s="42"/>
      <c r="K646" s="336"/>
      <c r="L646" s="219"/>
      <c r="M646" s="219"/>
      <c r="N646" s="219"/>
      <c r="O646" s="42"/>
      <c r="R646" s="42"/>
      <c r="S646" s="42"/>
    </row>
    <row r="647">
      <c r="A647" s="25"/>
      <c r="B647" s="42"/>
      <c r="C647" s="42"/>
      <c r="D647" s="42"/>
      <c r="E647" s="362"/>
      <c r="F647" s="220"/>
      <c r="G647" s="42"/>
      <c r="H647" s="42"/>
      <c r="I647" s="42"/>
      <c r="J647" s="42"/>
      <c r="K647" s="336"/>
      <c r="L647" s="219"/>
      <c r="M647" s="219"/>
      <c r="N647" s="219"/>
      <c r="O647" s="42"/>
      <c r="R647" s="42"/>
      <c r="S647" s="42"/>
    </row>
    <row r="648">
      <c r="A648" s="25"/>
      <c r="B648" s="42"/>
      <c r="C648" s="42"/>
      <c r="D648" s="42"/>
      <c r="E648" s="362"/>
      <c r="F648" s="220"/>
      <c r="G648" s="42"/>
      <c r="H648" s="42"/>
      <c r="I648" s="42"/>
      <c r="J648" s="42"/>
      <c r="K648" s="336"/>
      <c r="L648" s="219"/>
      <c r="M648" s="219"/>
      <c r="N648" s="219"/>
      <c r="O648" s="42"/>
      <c r="R648" s="42"/>
      <c r="S648" s="42"/>
    </row>
    <row r="649">
      <c r="A649" s="25"/>
      <c r="B649" s="42"/>
      <c r="C649" s="42"/>
      <c r="D649" s="42"/>
      <c r="E649" s="362"/>
      <c r="F649" s="220"/>
      <c r="G649" s="42"/>
      <c r="H649" s="42"/>
      <c r="I649" s="42"/>
      <c r="J649" s="42"/>
      <c r="K649" s="336"/>
      <c r="L649" s="219"/>
      <c r="M649" s="219"/>
      <c r="N649" s="219"/>
      <c r="O649" s="42"/>
      <c r="R649" s="42"/>
      <c r="S649" s="42"/>
    </row>
    <row r="650">
      <c r="A650" s="25"/>
      <c r="B650" s="42"/>
      <c r="C650" s="42"/>
      <c r="D650" s="42"/>
      <c r="E650" s="362"/>
      <c r="F650" s="220"/>
      <c r="G650" s="42"/>
      <c r="H650" s="42"/>
      <c r="I650" s="42"/>
      <c r="J650" s="42"/>
      <c r="K650" s="336"/>
      <c r="L650" s="219"/>
      <c r="M650" s="219"/>
      <c r="N650" s="219"/>
      <c r="O650" s="42"/>
      <c r="R650" s="42"/>
      <c r="S650" s="42"/>
    </row>
    <row r="651">
      <c r="A651" s="25"/>
      <c r="B651" s="42"/>
      <c r="C651" s="42"/>
      <c r="D651" s="42"/>
      <c r="E651" s="362"/>
      <c r="F651" s="220"/>
      <c r="G651" s="42"/>
      <c r="H651" s="42"/>
      <c r="I651" s="42"/>
      <c r="J651" s="42"/>
      <c r="K651" s="336"/>
      <c r="L651" s="219"/>
      <c r="M651" s="219"/>
      <c r="N651" s="219"/>
      <c r="O651" s="42"/>
      <c r="R651" s="42"/>
      <c r="S651" s="42"/>
    </row>
    <row r="652">
      <c r="A652" s="25"/>
      <c r="B652" s="42"/>
      <c r="C652" s="42"/>
      <c r="D652" s="42"/>
      <c r="E652" s="362"/>
      <c r="F652" s="220"/>
      <c r="G652" s="42"/>
      <c r="H652" s="42"/>
      <c r="I652" s="42"/>
      <c r="J652" s="42"/>
      <c r="K652" s="336"/>
      <c r="L652" s="219"/>
      <c r="M652" s="219"/>
      <c r="N652" s="219"/>
      <c r="O652" s="42"/>
      <c r="R652" s="42"/>
      <c r="S652" s="42"/>
    </row>
    <row r="653">
      <c r="A653" s="25"/>
      <c r="B653" s="42"/>
      <c r="C653" s="42"/>
      <c r="D653" s="42"/>
      <c r="E653" s="362"/>
      <c r="F653" s="220"/>
      <c r="G653" s="42"/>
      <c r="H653" s="42"/>
      <c r="I653" s="42"/>
      <c r="J653" s="42"/>
      <c r="K653" s="336"/>
      <c r="L653" s="219"/>
      <c r="M653" s="219"/>
      <c r="N653" s="219"/>
      <c r="O653" s="42"/>
      <c r="R653" s="42"/>
      <c r="S653" s="42"/>
    </row>
    <row r="654">
      <c r="A654" s="25"/>
      <c r="B654" s="42"/>
      <c r="C654" s="42"/>
      <c r="D654" s="42"/>
      <c r="E654" s="362"/>
      <c r="F654" s="220"/>
      <c r="G654" s="42"/>
      <c r="H654" s="42"/>
      <c r="I654" s="42"/>
      <c r="J654" s="42"/>
      <c r="K654" s="336"/>
      <c r="L654" s="219"/>
      <c r="M654" s="219"/>
      <c r="N654" s="219"/>
      <c r="O654" s="42"/>
      <c r="R654" s="42"/>
      <c r="S654" s="42"/>
    </row>
    <row r="655">
      <c r="A655" s="25"/>
      <c r="B655" s="42"/>
      <c r="C655" s="42"/>
      <c r="D655" s="42"/>
      <c r="E655" s="362"/>
      <c r="F655" s="220"/>
      <c r="G655" s="42"/>
      <c r="H655" s="42"/>
      <c r="I655" s="42"/>
      <c r="J655" s="42"/>
      <c r="K655" s="336"/>
      <c r="L655" s="219"/>
      <c r="M655" s="219"/>
      <c r="N655" s="219"/>
      <c r="O655" s="42"/>
      <c r="R655" s="42"/>
      <c r="S655" s="42"/>
    </row>
    <row r="656">
      <c r="A656" s="25"/>
      <c r="B656" s="42"/>
      <c r="C656" s="42"/>
      <c r="D656" s="42"/>
      <c r="E656" s="362"/>
      <c r="F656" s="220"/>
      <c r="G656" s="42"/>
      <c r="H656" s="42"/>
      <c r="I656" s="42"/>
      <c r="J656" s="42"/>
      <c r="K656" s="336"/>
      <c r="L656" s="219"/>
      <c r="M656" s="219"/>
      <c r="N656" s="219"/>
      <c r="O656" s="42"/>
      <c r="R656" s="42"/>
      <c r="S656" s="42"/>
    </row>
    <row r="657">
      <c r="A657" s="25"/>
      <c r="B657" s="42"/>
      <c r="C657" s="42"/>
      <c r="D657" s="42"/>
      <c r="E657" s="362"/>
      <c r="F657" s="220"/>
      <c r="G657" s="42"/>
      <c r="H657" s="42"/>
      <c r="I657" s="42"/>
      <c r="J657" s="42"/>
      <c r="K657" s="336"/>
      <c r="L657" s="219"/>
      <c r="M657" s="219"/>
      <c r="N657" s="219"/>
      <c r="O657" s="42"/>
      <c r="R657" s="42"/>
      <c r="S657" s="42"/>
    </row>
    <row r="658">
      <c r="A658" s="25"/>
      <c r="B658" s="42"/>
      <c r="C658" s="42"/>
      <c r="D658" s="42"/>
      <c r="E658" s="362"/>
      <c r="F658" s="220"/>
      <c r="G658" s="42"/>
      <c r="H658" s="42"/>
      <c r="I658" s="42"/>
      <c r="J658" s="42"/>
      <c r="K658" s="336"/>
      <c r="L658" s="219"/>
      <c r="M658" s="219"/>
      <c r="N658" s="219"/>
      <c r="O658" s="42"/>
      <c r="R658" s="42"/>
      <c r="S658" s="42"/>
    </row>
    <row r="659">
      <c r="A659" s="25"/>
      <c r="B659" s="42"/>
      <c r="C659" s="42"/>
      <c r="D659" s="42"/>
      <c r="E659" s="362"/>
      <c r="F659" s="220"/>
      <c r="G659" s="42"/>
      <c r="H659" s="42"/>
      <c r="I659" s="42"/>
      <c r="J659" s="42"/>
      <c r="K659" s="336"/>
      <c r="L659" s="219"/>
      <c r="M659" s="219"/>
      <c r="N659" s="219"/>
      <c r="O659" s="42"/>
      <c r="R659" s="42"/>
      <c r="S659" s="42"/>
    </row>
    <row r="660">
      <c r="A660" s="25"/>
      <c r="B660" s="42"/>
      <c r="C660" s="42"/>
      <c r="D660" s="42"/>
      <c r="E660" s="362"/>
      <c r="F660" s="220"/>
      <c r="G660" s="42"/>
      <c r="H660" s="42"/>
      <c r="I660" s="42"/>
      <c r="J660" s="42"/>
      <c r="K660" s="336"/>
      <c r="L660" s="219"/>
      <c r="M660" s="219"/>
      <c r="N660" s="219"/>
      <c r="O660" s="42"/>
      <c r="R660" s="42"/>
      <c r="S660" s="42"/>
    </row>
    <row r="661">
      <c r="A661" s="25"/>
      <c r="B661" s="42"/>
      <c r="C661" s="42"/>
      <c r="D661" s="42"/>
      <c r="E661" s="362"/>
      <c r="F661" s="220"/>
      <c r="G661" s="42"/>
      <c r="H661" s="42"/>
      <c r="I661" s="42"/>
      <c r="J661" s="42"/>
      <c r="K661" s="336"/>
      <c r="L661" s="219"/>
      <c r="M661" s="219"/>
      <c r="N661" s="219"/>
      <c r="O661" s="42"/>
      <c r="R661" s="42"/>
      <c r="S661" s="42"/>
    </row>
    <row r="662">
      <c r="A662" s="25"/>
      <c r="B662" s="42"/>
      <c r="C662" s="42"/>
      <c r="D662" s="42"/>
      <c r="E662" s="362"/>
      <c r="F662" s="220"/>
      <c r="G662" s="42"/>
      <c r="H662" s="42"/>
      <c r="I662" s="42"/>
      <c r="J662" s="42"/>
      <c r="K662" s="336"/>
      <c r="L662" s="219"/>
      <c r="M662" s="219"/>
      <c r="N662" s="219"/>
      <c r="O662" s="42"/>
      <c r="R662" s="42"/>
      <c r="S662" s="42"/>
    </row>
    <row r="663">
      <c r="A663" s="25"/>
      <c r="B663" s="42"/>
      <c r="C663" s="42"/>
      <c r="D663" s="42"/>
      <c r="E663" s="362"/>
      <c r="F663" s="220"/>
      <c r="G663" s="42"/>
      <c r="H663" s="42"/>
      <c r="I663" s="42"/>
      <c r="J663" s="42"/>
      <c r="K663" s="336"/>
      <c r="L663" s="219"/>
      <c r="M663" s="219"/>
      <c r="N663" s="219"/>
      <c r="O663" s="42"/>
      <c r="R663" s="42"/>
      <c r="S663" s="42"/>
    </row>
    <row r="664">
      <c r="A664" s="25"/>
      <c r="B664" s="42"/>
      <c r="C664" s="42"/>
      <c r="D664" s="42"/>
      <c r="E664" s="362"/>
      <c r="F664" s="220"/>
      <c r="G664" s="42"/>
      <c r="H664" s="42"/>
      <c r="I664" s="42"/>
      <c r="J664" s="42"/>
      <c r="K664" s="336"/>
      <c r="L664" s="219"/>
      <c r="M664" s="219"/>
      <c r="N664" s="219"/>
      <c r="O664" s="42"/>
      <c r="R664" s="42"/>
      <c r="S664" s="42"/>
    </row>
    <row r="665">
      <c r="A665" s="25"/>
      <c r="B665" s="42"/>
      <c r="C665" s="42"/>
      <c r="D665" s="42"/>
      <c r="E665" s="362"/>
      <c r="F665" s="220"/>
      <c r="G665" s="42"/>
      <c r="H665" s="42"/>
      <c r="I665" s="42"/>
      <c r="J665" s="42"/>
      <c r="K665" s="336"/>
      <c r="L665" s="219"/>
      <c r="M665" s="219"/>
      <c r="N665" s="219"/>
      <c r="O665" s="42"/>
      <c r="R665" s="42"/>
      <c r="S665" s="42"/>
    </row>
    <row r="666">
      <c r="A666" s="25"/>
      <c r="B666" s="42"/>
      <c r="C666" s="42"/>
      <c r="D666" s="42"/>
      <c r="E666" s="362"/>
      <c r="F666" s="220"/>
      <c r="G666" s="42"/>
      <c r="H666" s="42"/>
      <c r="I666" s="42"/>
      <c r="J666" s="42"/>
      <c r="K666" s="336"/>
      <c r="L666" s="219"/>
      <c r="M666" s="219"/>
      <c r="N666" s="219"/>
      <c r="O666" s="42"/>
      <c r="R666" s="42"/>
      <c r="S666" s="42"/>
    </row>
    <row r="667">
      <c r="A667" s="25"/>
      <c r="B667" s="42"/>
      <c r="C667" s="42"/>
      <c r="D667" s="42"/>
      <c r="E667" s="362"/>
      <c r="F667" s="220"/>
      <c r="G667" s="42"/>
      <c r="H667" s="42"/>
      <c r="I667" s="42"/>
      <c r="J667" s="42"/>
      <c r="K667" s="336"/>
      <c r="L667" s="219"/>
      <c r="M667" s="219"/>
      <c r="N667" s="219"/>
      <c r="O667" s="42"/>
      <c r="R667" s="42"/>
      <c r="S667" s="42"/>
    </row>
    <row r="668">
      <c r="A668" s="25"/>
      <c r="B668" s="42"/>
      <c r="C668" s="42"/>
      <c r="D668" s="42"/>
      <c r="E668" s="362"/>
      <c r="F668" s="220"/>
      <c r="G668" s="42"/>
      <c r="H668" s="42"/>
      <c r="I668" s="42"/>
      <c r="J668" s="42"/>
      <c r="K668" s="336"/>
      <c r="L668" s="219"/>
      <c r="M668" s="219"/>
      <c r="N668" s="219"/>
      <c r="O668" s="42"/>
      <c r="R668" s="42"/>
      <c r="S668" s="42"/>
    </row>
    <row r="669">
      <c r="A669" s="25"/>
      <c r="B669" s="42"/>
      <c r="C669" s="42"/>
      <c r="D669" s="42"/>
      <c r="E669" s="362"/>
      <c r="F669" s="220"/>
      <c r="G669" s="42"/>
      <c r="H669" s="42"/>
      <c r="I669" s="42"/>
      <c r="J669" s="42"/>
      <c r="K669" s="336"/>
      <c r="L669" s="219"/>
      <c r="M669" s="219"/>
      <c r="N669" s="219"/>
      <c r="O669" s="42"/>
      <c r="R669" s="42"/>
      <c r="S669" s="42"/>
    </row>
    <row r="670">
      <c r="A670" s="25"/>
      <c r="B670" s="42"/>
      <c r="C670" s="42"/>
      <c r="D670" s="42"/>
      <c r="E670" s="362"/>
      <c r="F670" s="220"/>
      <c r="G670" s="42"/>
      <c r="H670" s="42"/>
      <c r="I670" s="42"/>
      <c r="J670" s="42"/>
      <c r="K670" s="336"/>
      <c r="L670" s="219"/>
      <c r="M670" s="219"/>
      <c r="N670" s="219"/>
      <c r="O670" s="42"/>
      <c r="R670" s="42"/>
      <c r="S670" s="42"/>
    </row>
    <row r="671">
      <c r="A671" s="25"/>
      <c r="B671" s="42"/>
      <c r="C671" s="42"/>
      <c r="D671" s="42"/>
      <c r="E671" s="362"/>
      <c r="F671" s="220"/>
      <c r="G671" s="42"/>
      <c r="H671" s="42"/>
      <c r="I671" s="42"/>
      <c r="J671" s="42"/>
      <c r="K671" s="336"/>
      <c r="L671" s="219"/>
      <c r="M671" s="219"/>
      <c r="N671" s="219"/>
      <c r="O671" s="42"/>
      <c r="R671" s="42"/>
      <c r="S671" s="42"/>
    </row>
    <row r="672">
      <c r="A672" s="25"/>
      <c r="B672" s="42"/>
      <c r="C672" s="42"/>
      <c r="D672" s="42"/>
      <c r="E672" s="362"/>
      <c r="F672" s="220"/>
      <c r="G672" s="42"/>
      <c r="H672" s="42"/>
      <c r="I672" s="42"/>
      <c r="J672" s="42"/>
      <c r="K672" s="336"/>
      <c r="L672" s="219"/>
      <c r="M672" s="219"/>
      <c r="N672" s="219"/>
      <c r="O672" s="42"/>
      <c r="R672" s="42"/>
      <c r="S672" s="42"/>
    </row>
    <row r="673">
      <c r="A673" s="25"/>
      <c r="B673" s="42"/>
      <c r="C673" s="42"/>
      <c r="D673" s="42"/>
      <c r="E673" s="362"/>
      <c r="F673" s="220"/>
      <c r="G673" s="42"/>
      <c r="H673" s="42"/>
      <c r="I673" s="42"/>
      <c r="J673" s="42"/>
      <c r="K673" s="336"/>
      <c r="L673" s="219"/>
      <c r="M673" s="219"/>
      <c r="N673" s="219"/>
      <c r="O673" s="42"/>
      <c r="R673" s="42"/>
      <c r="S673" s="42"/>
    </row>
    <row r="674">
      <c r="A674" s="25"/>
      <c r="B674" s="42"/>
      <c r="C674" s="42"/>
      <c r="D674" s="42"/>
      <c r="E674" s="362"/>
      <c r="F674" s="220"/>
      <c r="G674" s="42"/>
      <c r="H674" s="42"/>
      <c r="I674" s="42"/>
      <c r="J674" s="42"/>
      <c r="K674" s="336"/>
      <c r="L674" s="219"/>
      <c r="M674" s="219"/>
      <c r="N674" s="219"/>
      <c r="O674" s="42"/>
      <c r="R674" s="42"/>
      <c r="S674" s="42"/>
    </row>
    <row r="675">
      <c r="A675" s="25"/>
      <c r="B675" s="42"/>
      <c r="C675" s="42"/>
      <c r="D675" s="42"/>
      <c r="E675" s="362"/>
      <c r="F675" s="220"/>
      <c r="G675" s="42"/>
      <c r="H675" s="42"/>
      <c r="I675" s="42"/>
      <c r="J675" s="42"/>
      <c r="K675" s="336"/>
      <c r="L675" s="219"/>
      <c r="M675" s="219"/>
      <c r="N675" s="219"/>
      <c r="O675" s="42"/>
      <c r="R675" s="42"/>
      <c r="S675" s="42"/>
    </row>
    <row r="676">
      <c r="A676" s="25"/>
      <c r="B676" s="42"/>
      <c r="C676" s="42"/>
      <c r="D676" s="42"/>
      <c r="E676" s="362"/>
      <c r="F676" s="220"/>
      <c r="G676" s="42"/>
      <c r="H676" s="42"/>
      <c r="I676" s="42"/>
      <c r="J676" s="42"/>
      <c r="K676" s="336"/>
      <c r="L676" s="219"/>
      <c r="M676" s="219"/>
      <c r="N676" s="219"/>
      <c r="O676" s="42"/>
      <c r="R676" s="42"/>
      <c r="S676" s="42"/>
    </row>
    <row r="677">
      <c r="A677" s="25"/>
      <c r="B677" s="42"/>
      <c r="C677" s="42"/>
      <c r="D677" s="42"/>
      <c r="E677" s="362"/>
      <c r="F677" s="220"/>
      <c r="G677" s="42"/>
      <c r="H677" s="42"/>
      <c r="I677" s="42"/>
      <c r="J677" s="42"/>
      <c r="K677" s="336"/>
      <c r="L677" s="219"/>
      <c r="M677" s="219"/>
      <c r="N677" s="219"/>
      <c r="O677" s="42"/>
      <c r="R677" s="42"/>
      <c r="S677" s="42"/>
    </row>
    <row r="678">
      <c r="A678" s="25"/>
      <c r="B678" s="42"/>
      <c r="C678" s="42"/>
      <c r="D678" s="42"/>
      <c r="E678" s="362"/>
      <c r="F678" s="220"/>
      <c r="G678" s="42"/>
      <c r="H678" s="42"/>
      <c r="I678" s="42"/>
      <c r="J678" s="42"/>
      <c r="K678" s="336"/>
      <c r="L678" s="219"/>
      <c r="M678" s="219"/>
      <c r="N678" s="219"/>
      <c r="O678" s="42"/>
      <c r="R678" s="42"/>
      <c r="S678" s="42"/>
    </row>
    <row r="679">
      <c r="A679" s="25"/>
      <c r="B679" s="42"/>
      <c r="C679" s="42"/>
      <c r="D679" s="42"/>
      <c r="E679" s="362"/>
      <c r="F679" s="220"/>
      <c r="G679" s="42"/>
      <c r="H679" s="42"/>
      <c r="I679" s="42"/>
      <c r="J679" s="42"/>
      <c r="K679" s="336"/>
      <c r="L679" s="219"/>
      <c r="M679" s="219"/>
      <c r="N679" s="219"/>
      <c r="O679" s="42"/>
      <c r="R679" s="42"/>
      <c r="S679" s="42"/>
    </row>
    <row r="680">
      <c r="A680" s="25"/>
      <c r="B680" s="42"/>
      <c r="C680" s="42"/>
      <c r="D680" s="42"/>
      <c r="E680" s="362"/>
      <c r="F680" s="220"/>
      <c r="G680" s="42"/>
      <c r="H680" s="42"/>
      <c r="I680" s="42"/>
      <c r="J680" s="42"/>
      <c r="K680" s="336"/>
      <c r="L680" s="219"/>
      <c r="M680" s="219"/>
      <c r="N680" s="219"/>
      <c r="O680" s="42"/>
      <c r="R680" s="42"/>
      <c r="S680" s="42"/>
    </row>
    <row r="681">
      <c r="A681" s="25"/>
      <c r="B681" s="42"/>
      <c r="C681" s="42"/>
      <c r="D681" s="42"/>
      <c r="E681" s="362"/>
      <c r="F681" s="220"/>
      <c r="G681" s="42"/>
      <c r="H681" s="42"/>
      <c r="I681" s="42"/>
      <c r="J681" s="42"/>
      <c r="K681" s="336"/>
      <c r="L681" s="219"/>
      <c r="M681" s="219"/>
      <c r="N681" s="219"/>
      <c r="O681" s="42"/>
      <c r="R681" s="42"/>
      <c r="S681" s="42"/>
    </row>
    <row r="682">
      <c r="A682" s="25"/>
      <c r="B682" s="42"/>
      <c r="C682" s="42"/>
      <c r="D682" s="42"/>
      <c r="E682" s="362"/>
      <c r="F682" s="220"/>
      <c r="G682" s="42"/>
      <c r="H682" s="42"/>
      <c r="I682" s="42"/>
      <c r="J682" s="42"/>
      <c r="K682" s="336"/>
      <c r="L682" s="219"/>
      <c r="M682" s="219"/>
      <c r="N682" s="219"/>
      <c r="O682" s="42"/>
      <c r="R682" s="42"/>
      <c r="S682" s="42"/>
    </row>
    <row r="683">
      <c r="A683" s="25"/>
      <c r="B683" s="42"/>
      <c r="C683" s="42"/>
      <c r="D683" s="42"/>
      <c r="E683" s="362"/>
      <c r="F683" s="220"/>
      <c r="G683" s="42"/>
      <c r="H683" s="42"/>
      <c r="I683" s="42"/>
      <c r="J683" s="42"/>
      <c r="K683" s="336"/>
      <c r="L683" s="219"/>
      <c r="M683" s="219"/>
      <c r="N683" s="219"/>
      <c r="O683" s="42"/>
      <c r="R683" s="42"/>
      <c r="S683" s="42"/>
    </row>
    <row r="684">
      <c r="A684" s="25"/>
      <c r="B684" s="42"/>
      <c r="C684" s="42"/>
      <c r="D684" s="42"/>
      <c r="E684" s="362"/>
      <c r="F684" s="220"/>
      <c r="G684" s="42"/>
      <c r="H684" s="42"/>
      <c r="I684" s="42"/>
      <c r="J684" s="42"/>
      <c r="K684" s="336"/>
      <c r="L684" s="219"/>
      <c r="M684" s="219"/>
      <c r="N684" s="219"/>
      <c r="O684" s="42"/>
      <c r="R684" s="42"/>
      <c r="S684" s="42"/>
    </row>
    <row r="685">
      <c r="A685" s="25"/>
      <c r="B685" s="42"/>
      <c r="C685" s="42"/>
      <c r="D685" s="42"/>
      <c r="E685" s="362"/>
      <c r="F685" s="220"/>
      <c r="G685" s="42"/>
      <c r="H685" s="42"/>
      <c r="I685" s="42"/>
      <c r="J685" s="42"/>
      <c r="K685" s="336"/>
      <c r="L685" s="219"/>
      <c r="M685" s="219"/>
      <c r="N685" s="219"/>
      <c r="O685" s="42"/>
      <c r="R685" s="42"/>
      <c r="S685" s="42"/>
    </row>
    <row r="686">
      <c r="A686" s="25"/>
      <c r="B686" s="42"/>
      <c r="C686" s="42"/>
      <c r="D686" s="42"/>
      <c r="E686" s="362"/>
      <c r="F686" s="220"/>
      <c r="G686" s="42"/>
      <c r="H686" s="42"/>
      <c r="I686" s="42"/>
      <c r="J686" s="42"/>
      <c r="K686" s="336"/>
      <c r="L686" s="219"/>
      <c r="M686" s="219"/>
      <c r="N686" s="219"/>
      <c r="O686" s="42"/>
      <c r="R686" s="42"/>
      <c r="S686" s="42"/>
    </row>
    <row r="687">
      <c r="A687" s="25"/>
      <c r="B687" s="42"/>
      <c r="C687" s="42"/>
      <c r="D687" s="42"/>
      <c r="E687" s="362"/>
      <c r="F687" s="220"/>
      <c r="G687" s="42"/>
      <c r="H687" s="42"/>
      <c r="I687" s="42"/>
      <c r="J687" s="42"/>
      <c r="K687" s="336"/>
      <c r="L687" s="219"/>
      <c r="M687" s="219"/>
      <c r="N687" s="219"/>
      <c r="O687" s="42"/>
      <c r="R687" s="42"/>
      <c r="S687" s="42"/>
    </row>
    <row r="688">
      <c r="A688" s="25"/>
      <c r="B688" s="42"/>
      <c r="C688" s="42"/>
      <c r="D688" s="42"/>
      <c r="E688" s="362"/>
      <c r="F688" s="220"/>
      <c r="G688" s="42"/>
      <c r="H688" s="42"/>
      <c r="I688" s="42"/>
      <c r="J688" s="42"/>
      <c r="K688" s="336"/>
      <c r="L688" s="219"/>
      <c r="M688" s="219"/>
      <c r="N688" s="219"/>
      <c r="O688" s="42"/>
      <c r="R688" s="42"/>
      <c r="S688" s="42"/>
    </row>
    <row r="689">
      <c r="A689" s="25"/>
      <c r="B689" s="42"/>
      <c r="C689" s="42"/>
      <c r="D689" s="42"/>
      <c r="E689" s="362"/>
      <c r="F689" s="220"/>
      <c r="G689" s="42"/>
      <c r="H689" s="42"/>
      <c r="I689" s="42"/>
      <c r="J689" s="42"/>
      <c r="K689" s="336"/>
      <c r="L689" s="219"/>
      <c r="M689" s="219"/>
      <c r="N689" s="219"/>
      <c r="O689" s="42"/>
      <c r="R689" s="42"/>
      <c r="S689" s="42"/>
    </row>
    <row r="690">
      <c r="A690" s="25"/>
      <c r="B690" s="42"/>
      <c r="C690" s="42"/>
      <c r="D690" s="42"/>
      <c r="E690" s="362"/>
      <c r="F690" s="220"/>
      <c r="G690" s="42"/>
      <c r="H690" s="42"/>
      <c r="I690" s="42"/>
      <c r="J690" s="42"/>
      <c r="K690" s="336"/>
      <c r="L690" s="219"/>
      <c r="M690" s="219"/>
      <c r="N690" s="219"/>
      <c r="O690" s="42"/>
      <c r="R690" s="42"/>
      <c r="S690" s="42"/>
    </row>
    <row r="691">
      <c r="A691" s="25"/>
      <c r="B691" s="42"/>
      <c r="C691" s="42"/>
      <c r="D691" s="42"/>
      <c r="E691" s="362"/>
      <c r="F691" s="220"/>
      <c r="G691" s="42"/>
      <c r="H691" s="42"/>
      <c r="I691" s="42"/>
      <c r="J691" s="42"/>
      <c r="K691" s="336"/>
      <c r="L691" s="219"/>
      <c r="M691" s="219"/>
      <c r="N691" s="219"/>
      <c r="O691" s="42"/>
      <c r="R691" s="42"/>
      <c r="S691" s="42"/>
    </row>
    <row r="692">
      <c r="A692" s="25"/>
      <c r="B692" s="42"/>
      <c r="C692" s="42"/>
      <c r="D692" s="42"/>
      <c r="E692" s="362"/>
      <c r="F692" s="220"/>
      <c r="G692" s="42"/>
      <c r="H692" s="42"/>
      <c r="I692" s="42"/>
      <c r="J692" s="42"/>
      <c r="K692" s="336"/>
      <c r="L692" s="219"/>
      <c r="M692" s="219"/>
      <c r="N692" s="219"/>
      <c r="O692" s="42"/>
      <c r="R692" s="42"/>
      <c r="S692" s="42"/>
    </row>
    <row r="693">
      <c r="A693" s="25"/>
      <c r="B693" s="42"/>
      <c r="C693" s="42"/>
      <c r="D693" s="42"/>
      <c r="E693" s="362"/>
      <c r="F693" s="220"/>
      <c r="G693" s="42"/>
      <c r="H693" s="42"/>
      <c r="I693" s="42"/>
      <c r="J693" s="42"/>
      <c r="K693" s="336"/>
      <c r="L693" s="219"/>
      <c r="M693" s="219"/>
      <c r="N693" s="219"/>
      <c r="O693" s="42"/>
      <c r="R693" s="42"/>
      <c r="S693" s="42"/>
    </row>
    <row r="694">
      <c r="A694" s="25"/>
      <c r="B694" s="42"/>
      <c r="C694" s="42"/>
      <c r="D694" s="42"/>
      <c r="E694" s="362"/>
      <c r="F694" s="220"/>
      <c r="G694" s="42"/>
      <c r="H694" s="42"/>
      <c r="I694" s="42"/>
      <c r="J694" s="42"/>
      <c r="K694" s="336"/>
      <c r="L694" s="219"/>
      <c r="M694" s="219"/>
      <c r="N694" s="219"/>
      <c r="O694" s="42"/>
      <c r="R694" s="42"/>
      <c r="S694" s="42"/>
    </row>
    <row r="695">
      <c r="A695" s="25"/>
      <c r="B695" s="42"/>
      <c r="C695" s="42"/>
      <c r="D695" s="42"/>
      <c r="E695" s="362"/>
      <c r="F695" s="220"/>
      <c r="G695" s="42"/>
      <c r="H695" s="42"/>
      <c r="I695" s="42"/>
      <c r="J695" s="42"/>
      <c r="K695" s="336"/>
      <c r="L695" s="219"/>
      <c r="M695" s="219"/>
      <c r="N695" s="219"/>
      <c r="O695" s="42"/>
      <c r="R695" s="42"/>
      <c r="S695" s="42"/>
    </row>
    <row r="696">
      <c r="A696" s="25"/>
      <c r="B696" s="42"/>
      <c r="C696" s="42"/>
      <c r="D696" s="42"/>
      <c r="E696" s="362"/>
      <c r="F696" s="220"/>
      <c r="G696" s="42"/>
      <c r="H696" s="42"/>
      <c r="I696" s="42"/>
      <c r="J696" s="42"/>
      <c r="K696" s="336"/>
      <c r="L696" s="219"/>
      <c r="M696" s="219"/>
      <c r="N696" s="219"/>
      <c r="O696" s="42"/>
      <c r="R696" s="42"/>
      <c r="S696" s="42"/>
    </row>
    <row r="697">
      <c r="A697" s="25"/>
      <c r="B697" s="42"/>
      <c r="C697" s="42"/>
      <c r="D697" s="42"/>
      <c r="E697" s="362"/>
      <c r="F697" s="220"/>
      <c r="G697" s="42"/>
      <c r="H697" s="42"/>
      <c r="I697" s="42"/>
      <c r="J697" s="42"/>
      <c r="K697" s="336"/>
      <c r="L697" s="219"/>
      <c r="M697" s="219"/>
      <c r="N697" s="219"/>
      <c r="O697" s="42"/>
      <c r="R697" s="42"/>
      <c r="S697" s="42"/>
    </row>
    <row r="698">
      <c r="A698" s="25"/>
      <c r="B698" s="42"/>
      <c r="C698" s="42"/>
      <c r="D698" s="42"/>
      <c r="E698" s="362"/>
      <c r="F698" s="220"/>
      <c r="G698" s="42"/>
      <c r="H698" s="42"/>
      <c r="I698" s="42"/>
      <c r="J698" s="42"/>
      <c r="K698" s="336"/>
      <c r="L698" s="219"/>
      <c r="M698" s="219"/>
      <c r="N698" s="219"/>
      <c r="O698" s="42"/>
      <c r="R698" s="42"/>
      <c r="S698" s="42"/>
    </row>
    <row r="699">
      <c r="A699" s="25"/>
      <c r="B699" s="42"/>
      <c r="C699" s="42"/>
      <c r="D699" s="42"/>
      <c r="E699" s="362"/>
      <c r="F699" s="220"/>
      <c r="G699" s="42"/>
      <c r="H699" s="42"/>
      <c r="I699" s="42"/>
      <c r="J699" s="42"/>
      <c r="K699" s="336"/>
      <c r="L699" s="219"/>
      <c r="M699" s="219"/>
      <c r="N699" s="219"/>
      <c r="O699" s="42"/>
      <c r="R699" s="42"/>
      <c r="S699" s="42"/>
    </row>
    <row r="700">
      <c r="A700" s="25"/>
      <c r="B700" s="42"/>
      <c r="C700" s="42"/>
      <c r="D700" s="42"/>
      <c r="E700" s="362"/>
      <c r="F700" s="220"/>
      <c r="G700" s="42"/>
      <c r="H700" s="42"/>
      <c r="I700" s="42"/>
      <c r="J700" s="42"/>
      <c r="K700" s="336"/>
      <c r="L700" s="219"/>
      <c r="M700" s="219"/>
      <c r="N700" s="219"/>
      <c r="O700" s="42"/>
      <c r="R700" s="42"/>
      <c r="S700" s="42"/>
    </row>
    <row r="701">
      <c r="A701" s="25"/>
      <c r="B701" s="42"/>
      <c r="C701" s="42"/>
      <c r="D701" s="42"/>
      <c r="E701" s="362"/>
      <c r="F701" s="220"/>
      <c r="G701" s="42"/>
      <c r="H701" s="42"/>
      <c r="I701" s="42"/>
      <c r="J701" s="42"/>
      <c r="K701" s="336"/>
      <c r="L701" s="219"/>
      <c r="M701" s="219"/>
      <c r="N701" s="219"/>
      <c r="O701" s="42"/>
      <c r="R701" s="42"/>
      <c r="S701" s="42"/>
    </row>
    <row r="702">
      <c r="A702" s="25"/>
      <c r="B702" s="42"/>
      <c r="C702" s="42"/>
      <c r="D702" s="42"/>
      <c r="E702" s="362"/>
      <c r="F702" s="220"/>
      <c r="G702" s="42"/>
      <c r="H702" s="42"/>
      <c r="I702" s="42"/>
      <c r="J702" s="42"/>
      <c r="K702" s="336"/>
      <c r="L702" s="219"/>
      <c r="M702" s="219"/>
      <c r="N702" s="219"/>
      <c r="O702" s="42"/>
      <c r="R702" s="42"/>
      <c r="S702" s="42"/>
    </row>
    <row r="703">
      <c r="A703" s="25"/>
      <c r="B703" s="42"/>
      <c r="C703" s="42"/>
      <c r="D703" s="42"/>
      <c r="E703" s="362"/>
      <c r="F703" s="220"/>
      <c r="G703" s="42"/>
      <c r="H703" s="42"/>
      <c r="I703" s="42"/>
      <c r="J703" s="42"/>
      <c r="K703" s="336"/>
      <c r="L703" s="219"/>
      <c r="M703" s="219"/>
      <c r="N703" s="219"/>
      <c r="O703" s="42"/>
      <c r="R703" s="42"/>
      <c r="S703" s="42"/>
    </row>
    <row r="704">
      <c r="A704" s="25"/>
      <c r="B704" s="42"/>
      <c r="C704" s="42"/>
      <c r="D704" s="42"/>
      <c r="E704" s="362"/>
      <c r="F704" s="220"/>
      <c r="G704" s="42"/>
      <c r="H704" s="42"/>
      <c r="I704" s="42"/>
      <c r="J704" s="42"/>
      <c r="K704" s="336"/>
      <c r="L704" s="219"/>
      <c r="M704" s="219"/>
      <c r="N704" s="219"/>
      <c r="O704" s="42"/>
      <c r="R704" s="42"/>
      <c r="S704" s="42"/>
    </row>
    <row r="705">
      <c r="A705" s="25"/>
      <c r="B705" s="42"/>
      <c r="C705" s="42"/>
      <c r="D705" s="42"/>
      <c r="E705" s="362"/>
      <c r="F705" s="220"/>
      <c r="G705" s="42"/>
      <c r="H705" s="42"/>
      <c r="I705" s="42"/>
      <c r="J705" s="42"/>
      <c r="K705" s="336"/>
      <c r="L705" s="219"/>
      <c r="M705" s="219"/>
      <c r="N705" s="219"/>
      <c r="O705" s="42"/>
      <c r="R705" s="42"/>
      <c r="S705" s="42"/>
    </row>
    <row r="706">
      <c r="A706" s="25"/>
      <c r="B706" s="42"/>
      <c r="C706" s="42"/>
      <c r="D706" s="42"/>
      <c r="E706" s="362"/>
      <c r="F706" s="220"/>
      <c r="G706" s="42"/>
      <c r="H706" s="42"/>
      <c r="I706" s="42"/>
      <c r="J706" s="42"/>
      <c r="K706" s="336"/>
      <c r="L706" s="219"/>
      <c r="M706" s="219"/>
      <c r="N706" s="219"/>
      <c r="O706" s="42"/>
      <c r="R706" s="42"/>
      <c r="S706" s="42"/>
    </row>
    <row r="707">
      <c r="A707" s="25"/>
      <c r="B707" s="42"/>
      <c r="C707" s="42"/>
      <c r="D707" s="42"/>
      <c r="E707" s="362"/>
      <c r="F707" s="220"/>
      <c r="G707" s="42"/>
      <c r="H707" s="42"/>
      <c r="I707" s="42"/>
      <c r="J707" s="42"/>
      <c r="K707" s="336"/>
      <c r="L707" s="219"/>
      <c r="M707" s="219"/>
      <c r="N707" s="219"/>
      <c r="O707" s="42"/>
      <c r="R707" s="42"/>
      <c r="S707" s="42"/>
    </row>
    <row r="708">
      <c r="A708" s="25"/>
      <c r="B708" s="42"/>
      <c r="C708" s="42"/>
      <c r="D708" s="42"/>
      <c r="E708" s="362"/>
      <c r="F708" s="220"/>
      <c r="G708" s="42"/>
      <c r="H708" s="42"/>
      <c r="I708" s="42"/>
      <c r="J708" s="42"/>
      <c r="K708" s="336"/>
      <c r="L708" s="219"/>
      <c r="M708" s="219"/>
      <c r="N708" s="219"/>
      <c r="O708" s="42"/>
      <c r="R708" s="42"/>
      <c r="S708" s="42"/>
    </row>
    <row r="709">
      <c r="A709" s="25"/>
      <c r="B709" s="42"/>
      <c r="C709" s="42"/>
      <c r="D709" s="42"/>
      <c r="E709" s="362"/>
      <c r="F709" s="220"/>
      <c r="G709" s="42"/>
      <c r="H709" s="42"/>
      <c r="I709" s="42"/>
      <c r="J709" s="42"/>
      <c r="K709" s="336"/>
      <c r="L709" s="219"/>
      <c r="M709" s="219"/>
      <c r="N709" s="219"/>
      <c r="O709" s="42"/>
      <c r="R709" s="42"/>
      <c r="S709" s="42"/>
    </row>
    <row r="710">
      <c r="A710" s="25"/>
      <c r="B710" s="42"/>
      <c r="C710" s="42"/>
      <c r="D710" s="42"/>
      <c r="E710" s="362"/>
      <c r="F710" s="220"/>
      <c r="G710" s="42"/>
      <c r="H710" s="42"/>
      <c r="I710" s="42"/>
      <c r="J710" s="42"/>
      <c r="K710" s="336"/>
      <c r="L710" s="219"/>
      <c r="M710" s="219"/>
      <c r="N710" s="219"/>
      <c r="O710" s="42"/>
      <c r="R710" s="42"/>
      <c r="S710" s="42"/>
    </row>
    <row r="711">
      <c r="A711" s="25"/>
      <c r="B711" s="42"/>
      <c r="C711" s="42"/>
      <c r="D711" s="42"/>
      <c r="E711" s="362"/>
      <c r="F711" s="220"/>
      <c r="G711" s="42"/>
      <c r="H711" s="42"/>
      <c r="I711" s="42"/>
      <c r="J711" s="42"/>
      <c r="K711" s="336"/>
      <c r="L711" s="219"/>
      <c r="M711" s="219"/>
      <c r="N711" s="219"/>
      <c r="O711" s="42"/>
      <c r="R711" s="42"/>
      <c r="S711" s="42"/>
    </row>
    <row r="712">
      <c r="A712" s="25"/>
      <c r="B712" s="42"/>
      <c r="C712" s="42"/>
      <c r="D712" s="42"/>
      <c r="E712" s="362"/>
      <c r="F712" s="220"/>
      <c r="G712" s="42"/>
      <c r="H712" s="42"/>
      <c r="I712" s="42"/>
      <c r="J712" s="42"/>
      <c r="K712" s="336"/>
      <c r="L712" s="219"/>
      <c r="M712" s="219"/>
      <c r="N712" s="219"/>
      <c r="O712" s="42"/>
      <c r="R712" s="42"/>
      <c r="S712" s="42"/>
    </row>
    <row r="713">
      <c r="A713" s="25"/>
      <c r="B713" s="42"/>
      <c r="C713" s="42"/>
      <c r="D713" s="42"/>
      <c r="E713" s="362"/>
      <c r="F713" s="220"/>
      <c r="G713" s="42"/>
      <c r="H713" s="42"/>
      <c r="I713" s="42"/>
      <c r="J713" s="42"/>
      <c r="K713" s="336"/>
      <c r="L713" s="219"/>
      <c r="M713" s="219"/>
      <c r="N713" s="219"/>
      <c r="O713" s="42"/>
      <c r="R713" s="42"/>
      <c r="S713" s="42"/>
    </row>
    <row r="714">
      <c r="A714" s="25"/>
      <c r="B714" s="42"/>
      <c r="C714" s="42"/>
      <c r="D714" s="42"/>
      <c r="E714" s="362"/>
      <c r="F714" s="220"/>
      <c r="G714" s="42"/>
      <c r="H714" s="42"/>
      <c r="I714" s="42"/>
      <c r="J714" s="42"/>
      <c r="K714" s="336"/>
      <c r="L714" s="219"/>
      <c r="M714" s="219"/>
      <c r="N714" s="219"/>
      <c r="O714" s="42"/>
      <c r="R714" s="42"/>
      <c r="S714" s="42"/>
    </row>
    <row r="715">
      <c r="A715" s="25"/>
      <c r="B715" s="42"/>
      <c r="C715" s="42"/>
      <c r="D715" s="42"/>
      <c r="E715" s="362"/>
      <c r="F715" s="220"/>
      <c r="G715" s="42"/>
      <c r="H715" s="42"/>
      <c r="I715" s="42"/>
      <c r="J715" s="42"/>
      <c r="K715" s="336"/>
      <c r="L715" s="219"/>
      <c r="M715" s="219"/>
      <c r="N715" s="219"/>
      <c r="O715" s="42"/>
      <c r="R715" s="42"/>
      <c r="S715" s="42"/>
    </row>
    <row r="716">
      <c r="A716" s="25"/>
      <c r="B716" s="42"/>
      <c r="C716" s="42"/>
      <c r="D716" s="42"/>
      <c r="E716" s="362"/>
      <c r="F716" s="220"/>
      <c r="G716" s="42"/>
      <c r="H716" s="42"/>
      <c r="I716" s="42"/>
      <c r="J716" s="42"/>
      <c r="K716" s="336"/>
      <c r="L716" s="219"/>
      <c r="M716" s="219"/>
      <c r="N716" s="219"/>
      <c r="O716" s="42"/>
      <c r="R716" s="42"/>
      <c r="S716" s="42"/>
    </row>
    <row r="717">
      <c r="A717" s="25"/>
      <c r="B717" s="42"/>
      <c r="C717" s="42"/>
      <c r="D717" s="42"/>
      <c r="E717" s="362"/>
      <c r="F717" s="220"/>
      <c r="G717" s="42"/>
      <c r="H717" s="42"/>
      <c r="I717" s="42"/>
      <c r="J717" s="42"/>
      <c r="K717" s="336"/>
      <c r="L717" s="219"/>
      <c r="M717" s="219"/>
      <c r="N717" s="219"/>
      <c r="O717" s="42"/>
      <c r="R717" s="42"/>
      <c r="S717" s="42"/>
    </row>
    <row r="718">
      <c r="A718" s="25"/>
      <c r="B718" s="42"/>
      <c r="C718" s="42"/>
      <c r="D718" s="42"/>
      <c r="E718" s="362"/>
      <c r="F718" s="220"/>
      <c r="G718" s="42"/>
      <c r="H718" s="42"/>
      <c r="I718" s="42"/>
      <c r="J718" s="42"/>
      <c r="K718" s="336"/>
      <c r="L718" s="219"/>
      <c r="M718" s="219"/>
      <c r="N718" s="219"/>
      <c r="O718" s="42"/>
      <c r="R718" s="42"/>
      <c r="S718" s="42"/>
    </row>
    <row r="719">
      <c r="A719" s="25"/>
      <c r="B719" s="42"/>
      <c r="C719" s="42"/>
      <c r="D719" s="42"/>
      <c r="E719" s="362"/>
      <c r="F719" s="220"/>
      <c r="G719" s="42"/>
      <c r="H719" s="42"/>
      <c r="I719" s="42"/>
      <c r="J719" s="42"/>
      <c r="K719" s="336"/>
      <c r="L719" s="219"/>
      <c r="M719" s="219"/>
      <c r="N719" s="219"/>
      <c r="O719" s="42"/>
      <c r="R719" s="42"/>
      <c r="S719" s="42"/>
    </row>
    <row r="720">
      <c r="A720" s="25"/>
      <c r="B720" s="42"/>
      <c r="C720" s="42"/>
      <c r="D720" s="42"/>
      <c r="E720" s="362"/>
      <c r="F720" s="220"/>
      <c r="G720" s="42"/>
      <c r="H720" s="42"/>
      <c r="I720" s="42"/>
      <c r="J720" s="42"/>
      <c r="K720" s="336"/>
      <c r="L720" s="219"/>
      <c r="M720" s="219"/>
      <c r="N720" s="219"/>
      <c r="O720" s="42"/>
      <c r="R720" s="42"/>
      <c r="S720" s="42"/>
    </row>
    <row r="721">
      <c r="A721" s="25"/>
      <c r="B721" s="42"/>
      <c r="C721" s="42"/>
      <c r="D721" s="42"/>
      <c r="E721" s="362"/>
      <c r="F721" s="220"/>
      <c r="G721" s="42"/>
      <c r="H721" s="42"/>
      <c r="I721" s="42"/>
      <c r="J721" s="42"/>
      <c r="K721" s="336"/>
      <c r="L721" s="219"/>
      <c r="M721" s="219"/>
      <c r="N721" s="219"/>
      <c r="O721" s="42"/>
      <c r="R721" s="42"/>
      <c r="S721" s="42"/>
    </row>
    <row r="722">
      <c r="A722" s="25"/>
      <c r="B722" s="42"/>
      <c r="C722" s="42"/>
      <c r="D722" s="42"/>
      <c r="E722" s="362"/>
      <c r="F722" s="220"/>
      <c r="G722" s="42"/>
      <c r="H722" s="42"/>
      <c r="I722" s="42"/>
      <c r="J722" s="42"/>
      <c r="K722" s="336"/>
      <c r="L722" s="219"/>
      <c r="M722" s="219"/>
      <c r="N722" s="219"/>
      <c r="O722" s="42"/>
      <c r="R722" s="42"/>
      <c r="S722" s="42"/>
    </row>
    <row r="723">
      <c r="A723" s="25"/>
      <c r="B723" s="42"/>
      <c r="C723" s="42"/>
      <c r="D723" s="42"/>
      <c r="E723" s="362"/>
      <c r="F723" s="220"/>
      <c r="G723" s="42"/>
      <c r="H723" s="42"/>
      <c r="I723" s="42"/>
      <c r="J723" s="42"/>
      <c r="K723" s="336"/>
      <c r="L723" s="219"/>
      <c r="M723" s="219"/>
      <c r="N723" s="219"/>
      <c r="O723" s="42"/>
      <c r="R723" s="42"/>
      <c r="S723" s="42"/>
    </row>
    <row r="724">
      <c r="A724" s="25"/>
      <c r="B724" s="42"/>
      <c r="C724" s="42"/>
      <c r="D724" s="42"/>
      <c r="E724" s="362"/>
      <c r="F724" s="220"/>
      <c r="G724" s="42"/>
      <c r="H724" s="42"/>
      <c r="I724" s="42"/>
      <c r="J724" s="42"/>
      <c r="K724" s="336"/>
      <c r="L724" s="219"/>
      <c r="M724" s="219"/>
      <c r="N724" s="219"/>
      <c r="O724" s="42"/>
      <c r="R724" s="42"/>
      <c r="S724" s="42"/>
    </row>
    <row r="725">
      <c r="A725" s="25"/>
      <c r="B725" s="42"/>
      <c r="C725" s="42"/>
      <c r="D725" s="42"/>
      <c r="E725" s="362"/>
      <c r="F725" s="220"/>
      <c r="G725" s="42"/>
      <c r="H725" s="42"/>
      <c r="I725" s="42"/>
      <c r="J725" s="42"/>
      <c r="K725" s="336"/>
      <c r="L725" s="219"/>
      <c r="M725" s="219"/>
      <c r="N725" s="219"/>
      <c r="O725" s="42"/>
      <c r="R725" s="42"/>
      <c r="S725" s="42"/>
    </row>
    <row r="726">
      <c r="A726" s="25"/>
      <c r="B726" s="42"/>
      <c r="C726" s="42"/>
      <c r="D726" s="42"/>
      <c r="E726" s="362"/>
      <c r="F726" s="220"/>
      <c r="G726" s="42"/>
      <c r="H726" s="42"/>
      <c r="I726" s="42"/>
      <c r="J726" s="42"/>
      <c r="K726" s="336"/>
      <c r="L726" s="219"/>
      <c r="M726" s="219"/>
      <c r="N726" s="219"/>
      <c r="O726" s="42"/>
      <c r="R726" s="42"/>
      <c r="S726" s="42"/>
    </row>
    <row r="727">
      <c r="A727" s="25"/>
      <c r="B727" s="42"/>
      <c r="C727" s="42"/>
      <c r="D727" s="42"/>
      <c r="E727" s="362"/>
      <c r="F727" s="220"/>
      <c r="G727" s="42"/>
      <c r="H727" s="42"/>
      <c r="I727" s="42"/>
      <c r="J727" s="42"/>
      <c r="K727" s="336"/>
      <c r="L727" s="219"/>
      <c r="M727" s="219"/>
      <c r="N727" s="219"/>
      <c r="O727" s="42"/>
      <c r="R727" s="42"/>
      <c r="S727" s="42"/>
    </row>
    <row r="728">
      <c r="A728" s="25"/>
      <c r="B728" s="42"/>
      <c r="C728" s="42"/>
      <c r="D728" s="42"/>
      <c r="E728" s="362"/>
      <c r="F728" s="220"/>
      <c r="G728" s="42"/>
      <c r="H728" s="42"/>
      <c r="I728" s="42"/>
      <c r="J728" s="42"/>
      <c r="K728" s="336"/>
      <c r="L728" s="219"/>
      <c r="M728" s="219"/>
      <c r="N728" s="219"/>
      <c r="O728" s="42"/>
      <c r="R728" s="42"/>
      <c r="S728" s="42"/>
    </row>
    <row r="729">
      <c r="A729" s="25"/>
      <c r="B729" s="42"/>
      <c r="C729" s="42"/>
      <c r="D729" s="42"/>
      <c r="E729" s="362"/>
      <c r="F729" s="220"/>
      <c r="G729" s="42"/>
      <c r="H729" s="42"/>
      <c r="I729" s="42"/>
      <c r="J729" s="42"/>
      <c r="K729" s="336"/>
      <c r="L729" s="219"/>
      <c r="M729" s="219"/>
      <c r="N729" s="219"/>
      <c r="O729" s="42"/>
      <c r="R729" s="42"/>
      <c r="S729" s="42"/>
    </row>
    <row r="730">
      <c r="A730" s="25"/>
      <c r="B730" s="42"/>
      <c r="C730" s="42"/>
      <c r="D730" s="42"/>
      <c r="E730" s="362"/>
      <c r="F730" s="220"/>
      <c r="G730" s="42"/>
      <c r="H730" s="42"/>
      <c r="I730" s="42"/>
      <c r="J730" s="42"/>
      <c r="K730" s="336"/>
      <c r="L730" s="219"/>
      <c r="M730" s="219"/>
      <c r="N730" s="219"/>
      <c r="O730" s="42"/>
      <c r="R730" s="42"/>
      <c r="S730" s="42"/>
    </row>
    <row r="731">
      <c r="A731" s="25"/>
      <c r="B731" s="42"/>
      <c r="C731" s="42"/>
      <c r="D731" s="42"/>
      <c r="E731" s="362"/>
      <c r="F731" s="220"/>
      <c r="G731" s="42"/>
      <c r="H731" s="42"/>
      <c r="I731" s="42"/>
      <c r="J731" s="42"/>
      <c r="K731" s="336"/>
      <c r="L731" s="219"/>
      <c r="M731" s="219"/>
      <c r="N731" s="219"/>
      <c r="O731" s="42"/>
      <c r="R731" s="42"/>
      <c r="S731" s="42"/>
    </row>
    <row r="732">
      <c r="A732" s="25"/>
      <c r="B732" s="42"/>
      <c r="C732" s="42"/>
      <c r="D732" s="42"/>
      <c r="E732" s="362"/>
      <c r="F732" s="220"/>
      <c r="G732" s="42"/>
      <c r="H732" s="42"/>
      <c r="I732" s="42"/>
      <c r="J732" s="42"/>
      <c r="K732" s="336"/>
      <c r="L732" s="219"/>
      <c r="M732" s="219"/>
      <c r="N732" s="219"/>
      <c r="O732" s="42"/>
      <c r="R732" s="42"/>
      <c r="S732" s="42"/>
    </row>
    <row r="733">
      <c r="A733" s="25"/>
      <c r="B733" s="42"/>
      <c r="C733" s="42"/>
      <c r="D733" s="42"/>
      <c r="E733" s="362"/>
      <c r="F733" s="220"/>
      <c r="G733" s="42"/>
      <c r="H733" s="42"/>
      <c r="I733" s="42"/>
      <c r="J733" s="42"/>
      <c r="K733" s="336"/>
      <c r="L733" s="219"/>
      <c r="M733" s="219"/>
      <c r="N733" s="219"/>
      <c r="O733" s="42"/>
      <c r="R733" s="42"/>
      <c r="S733" s="42"/>
    </row>
    <row r="734">
      <c r="A734" s="25"/>
      <c r="B734" s="42"/>
      <c r="C734" s="42"/>
      <c r="D734" s="42"/>
      <c r="E734" s="362"/>
      <c r="F734" s="220"/>
      <c r="G734" s="42"/>
      <c r="H734" s="42"/>
      <c r="I734" s="42"/>
      <c r="J734" s="42"/>
      <c r="K734" s="336"/>
      <c r="L734" s="219"/>
      <c r="M734" s="219"/>
      <c r="N734" s="219"/>
      <c r="O734" s="42"/>
      <c r="R734" s="42"/>
      <c r="S734" s="42"/>
    </row>
    <row r="735">
      <c r="A735" s="25"/>
      <c r="B735" s="42"/>
      <c r="C735" s="42"/>
      <c r="D735" s="42"/>
      <c r="E735" s="362"/>
      <c r="F735" s="220"/>
      <c r="G735" s="42"/>
      <c r="H735" s="42"/>
      <c r="I735" s="42"/>
      <c r="J735" s="42"/>
      <c r="K735" s="336"/>
      <c r="L735" s="219"/>
      <c r="M735" s="219"/>
      <c r="N735" s="219"/>
      <c r="O735" s="42"/>
      <c r="R735" s="42"/>
      <c r="S735" s="42"/>
    </row>
    <row r="736">
      <c r="A736" s="25"/>
      <c r="B736" s="42"/>
      <c r="C736" s="42"/>
      <c r="D736" s="42"/>
      <c r="E736" s="362"/>
      <c r="F736" s="220"/>
      <c r="G736" s="42"/>
      <c r="H736" s="42"/>
      <c r="I736" s="42"/>
      <c r="J736" s="42"/>
      <c r="K736" s="336"/>
      <c r="L736" s="219"/>
      <c r="M736" s="219"/>
      <c r="N736" s="219"/>
      <c r="O736" s="42"/>
      <c r="R736" s="42"/>
      <c r="S736" s="42"/>
    </row>
    <row r="737">
      <c r="A737" s="25"/>
      <c r="B737" s="42"/>
      <c r="C737" s="42"/>
      <c r="D737" s="42"/>
      <c r="E737" s="362"/>
      <c r="F737" s="220"/>
      <c r="G737" s="42"/>
      <c r="H737" s="42"/>
      <c r="I737" s="42"/>
      <c r="J737" s="42"/>
      <c r="K737" s="336"/>
      <c r="L737" s="219"/>
      <c r="M737" s="219"/>
      <c r="N737" s="219"/>
      <c r="O737" s="42"/>
      <c r="R737" s="42"/>
      <c r="S737" s="42"/>
    </row>
    <row r="738">
      <c r="A738" s="25"/>
      <c r="B738" s="42"/>
      <c r="C738" s="42"/>
      <c r="D738" s="42"/>
      <c r="E738" s="362"/>
      <c r="F738" s="220"/>
      <c r="G738" s="42"/>
      <c r="H738" s="42"/>
      <c r="I738" s="42"/>
      <c r="J738" s="42"/>
      <c r="K738" s="336"/>
      <c r="L738" s="219"/>
      <c r="M738" s="219"/>
      <c r="N738" s="219"/>
      <c r="O738" s="42"/>
      <c r="R738" s="42"/>
      <c r="S738" s="42"/>
    </row>
    <row r="739">
      <c r="A739" s="25"/>
      <c r="B739" s="42"/>
      <c r="C739" s="42"/>
      <c r="D739" s="42"/>
      <c r="E739" s="362"/>
      <c r="F739" s="220"/>
      <c r="G739" s="42"/>
      <c r="H739" s="42"/>
      <c r="I739" s="42"/>
      <c r="J739" s="42"/>
      <c r="K739" s="336"/>
      <c r="L739" s="219"/>
      <c r="M739" s="219"/>
      <c r="N739" s="219"/>
      <c r="O739" s="42"/>
      <c r="R739" s="42"/>
      <c r="S739" s="42"/>
    </row>
    <row r="740">
      <c r="A740" s="25"/>
      <c r="B740" s="42"/>
      <c r="C740" s="42"/>
      <c r="D740" s="42"/>
      <c r="E740" s="362"/>
      <c r="F740" s="220"/>
      <c r="G740" s="42"/>
      <c r="H740" s="42"/>
      <c r="I740" s="42"/>
      <c r="J740" s="42"/>
      <c r="K740" s="336"/>
      <c r="L740" s="219"/>
      <c r="M740" s="219"/>
      <c r="N740" s="219"/>
      <c r="O740" s="42"/>
      <c r="R740" s="42"/>
      <c r="S740" s="42"/>
    </row>
    <row r="741">
      <c r="A741" s="25"/>
      <c r="B741" s="42"/>
      <c r="C741" s="42"/>
      <c r="D741" s="42"/>
      <c r="E741" s="362"/>
      <c r="F741" s="220"/>
      <c r="G741" s="42"/>
      <c r="H741" s="42"/>
      <c r="I741" s="42"/>
      <c r="J741" s="42"/>
      <c r="K741" s="336"/>
      <c r="L741" s="219"/>
      <c r="M741" s="219"/>
      <c r="N741" s="219"/>
      <c r="O741" s="42"/>
      <c r="R741" s="42"/>
      <c r="S741" s="42"/>
    </row>
    <row r="742">
      <c r="A742" s="25"/>
      <c r="B742" s="42"/>
      <c r="C742" s="42"/>
      <c r="D742" s="42"/>
      <c r="E742" s="362"/>
      <c r="F742" s="220"/>
      <c r="G742" s="42"/>
      <c r="H742" s="42"/>
      <c r="I742" s="42"/>
      <c r="J742" s="42"/>
      <c r="K742" s="336"/>
      <c r="L742" s="219"/>
      <c r="M742" s="219"/>
      <c r="N742" s="219"/>
      <c r="O742" s="42"/>
      <c r="R742" s="42"/>
      <c r="S742" s="42"/>
    </row>
    <row r="743">
      <c r="A743" s="25"/>
      <c r="B743" s="42"/>
      <c r="C743" s="42"/>
      <c r="D743" s="42"/>
      <c r="E743" s="362"/>
      <c r="F743" s="220"/>
      <c r="G743" s="42"/>
      <c r="H743" s="42"/>
      <c r="I743" s="42"/>
      <c r="J743" s="42"/>
      <c r="K743" s="336"/>
      <c r="L743" s="219"/>
      <c r="M743" s="219"/>
      <c r="N743" s="219"/>
      <c r="O743" s="42"/>
      <c r="R743" s="42"/>
      <c r="S743" s="42"/>
    </row>
    <row r="744">
      <c r="A744" s="25"/>
      <c r="B744" s="42"/>
      <c r="C744" s="42"/>
      <c r="D744" s="42"/>
      <c r="E744" s="362"/>
      <c r="F744" s="220"/>
      <c r="G744" s="42"/>
      <c r="H744" s="42"/>
      <c r="I744" s="42"/>
      <c r="J744" s="42"/>
      <c r="K744" s="336"/>
      <c r="L744" s="219"/>
      <c r="M744" s="219"/>
      <c r="N744" s="219"/>
      <c r="O744" s="42"/>
      <c r="R744" s="42"/>
      <c r="S744" s="42"/>
    </row>
    <row r="745">
      <c r="A745" s="25"/>
      <c r="B745" s="42"/>
      <c r="C745" s="42"/>
      <c r="D745" s="42"/>
      <c r="E745" s="362"/>
      <c r="F745" s="220"/>
      <c r="G745" s="42"/>
      <c r="H745" s="42"/>
      <c r="I745" s="42"/>
      <c r="J745" s="42"/>
      <c r="K745" s="336"/>
      <c r="L745" s="219"/>
      <c r="M745" s="219"/>
      <c r="N745" s="219"/>
      <c r="O745" s="42"/>
      <c r="R745" s="42"/>
      <c r="S745" s="42"/>
    </row>
    <row r="746">
      <c r="A746" s="25"/>
      <c r="B746" s="42"/>
      <c r="C746" s="42"/>
      <c r="D746" s="42"/>
      <c r="E746" s="362"/>
      <c r="F746" s="220"/>
      <c r="G746" s="42"/>
      <c r="H746" s="42"/>
      <c r="I746" s="42"/>
      <c r="J746" s="42"/>
      <c r="K746" s="336"/>
      <c r="L746" s="219"/>
      <c r="M746" s="219"/>
      <c r="N746" s="219"/>
      <c r="O746" s="42"/>
      <c r="R746" s="42"/>
      <c r="S746" s="42"/>
    </row>
    <row r="747">
      <c r="A747" s="25"/>
      <c r="B747" s="42"/>
      <c r="C747" s="42"/>
      <c r="D747" s="42"/>
      <c r="E747" s="362"/>
      <c r="F747" s="220"/>
      <c r="G747" s="42"/>
      <c r="H747" s="42"/>
      <c r="I747" s="42"/>
      <c r="J747" s="42"/>
      <c r="K747" s="336"/>
      <c r="L747" s="219"/>
      <c r="M747" s="219"/>
      <c r="N747" s="219"/>
      <c r="O747" s="42"/>
      <c r="R747" s="42"/>
      <c r="S747" s="42"/>
    </row>
    <row r="748">
      <c r="A748" s="25"/>
      <c r="B748" s="42"/>
      <c r="C748" s="42"/>
      <c r="D748" s="42"/>
      <c r="E748" s="362"/>
      <c r="F748" s="220"/>
      <c r="G748" s="42"/>
      <c r="H748" s="42"/>
      <c r="I748" s="42"/>
      <c r="J748" s="42"/>
      <c r="K748" s="336"/>
      <c r="L748" s="219"/>
      <c r="M748" s="219"/>
      <c r="N748" s="219"/>
      <c r="O748" s="42"/>
      <c r="R748" s="42"/>
      <c r="S748" s="42"/>
    </row>
    <row r="749">
      <c r="A749" s="25"/>
      <c r="B749" s="42"/>
      <c r="C749" s="42"/>
      <c r="D749" s="42"/>
      <c r="E749" s="362"/>
      <c r="F749" s="220"/>
      <c r="G749" s="42"/>
      <c r="H749" s="42"/>
      <c r="I749" s="42"/>
      <c r="J749" s="42"/>
      <c r="K749" s="336"/>
      <c r="L749" s="219"/>
      <c r="M749" s="219"/>
      <c r="N749" s="219"/>
      <c r="O749" s="42"/>
      <c r="R749" s="42"/>
      <c r="S749" s="42"/>
    </row>
    <row r="750">
      <c r="A750" s="25"/>
      <c r="B750" s="42"/>
      <c r="C750" s="42"/>
      <c r="D750" s="42"/>
      <c r="E750" s="362"/>
      <c r="F750" s="220"/>
      <c r="G750" s="42"/>
      <c r="H750" s="42"/>
      <c r="I750" s="42"/>
      <c r="J750" s="42"/>
      <c r="K750" s="336"/>
      <c r="L750" s="219"/>
      <c r="M750" s="219"/>
      <c r="N750" s="219"/>
      <c r="O750" s="42"/>
      <c r="R750" s="42"/>
      <c r="S750" s="42"/>
    </row>
    <row r="751">
      <c r="A751" s="25"/>
      <c r="B751" s="42"/>
      <c r="C751" s="42"/>
      <c r="D751" s="42"/>
      <c r="E751" s="362"/>
      <c r="F751" s="220"/>
      <c r="G751" s="42"/>
      <c r="H751" s="42"/>
      <c r="I751" s="42"/>
      <c r="J751" s="42"/>
      <c r="K751" s="336"/>
      <c r="L751" s="219"/>
      <c r="M751" s="219"/>
      <c r="N751" s="219"/>
      <c r="O751" s="42"/>
      <c r="R751" s="42"/>
      <c r="S751" s="42"/>
    </row>
    <row r="752">
      <c r="A752" s="25"/>
      <c r="B752" s="42"/>
      <c r="C752" s="42"/>
      <c r="D752" s="42"/>
      <c r="E752" s="362"/>
      <c r="F752" s="220"/>
      <c r="G752" s="42"/>
      <c r="H752" s="42"/>
      <c r="I752" s="42"/>
      <c r="J752" s="42"/>
      <c r="K752" s="336"/>
      <c r="L752" s="219"/>
      <c r="M752" s="219"/>
      <c r="N752" s="219"/>
      <c r="O752" s="42"/>
      <c r="R752" s="42"/>
      <c r="S752" s="42"/>
    </row>
    <row r="753">
      <c r="A753" s="25"/>
      <c r="B753" s="42"/>
      <c r="C753" s="42"/>
      <c r="D753" s="42"/>
      <c r="E753" s="362"/>
      <c r="F753" s="220"/>
      <c r="G753" s="42"/>
      <c r="H753" s="42"/>
      <c r="I753" s="42"/>
      <c r="J753" s="42"/>
      <c r="K753" s="336"/>
      <c r="L753" s="219"/>
      <c r="M753" s="219"/>
      <c r="N753" s="219"/>
      <c r="O753" s="42"/>
      <c r="R753" s="42"/>
      <c r="S753" s="42"/>
    </row>
    <row r="754">
      <c r="A754" s="25"/>
      <c r="B754" s="42"/>
      <c r="C754" s="42"/>
      <c r="D754" s="42"/>
      <c r="E754" s="362"/>
      <c r="F754" s="220"/>
      <c r="G754" s="42"/>
      <c r="H754" s="42"/>
      <c r="I754" s="42"/>
      <c r="J754" s="42"/>
      <c r="K754" s="336"/>
      <c r="L754" s="219"/>
      <c r="M754" s="219"/>
      <c r="N754" s="219"/>
      <c r="O754" s="42"/>
      <c r="R754" s="42"/>
      <c r="S754" s="42"/>
    </row>
    <row r="755">
      <c r="A755" s="25"/>
      <c r="B755" s="42"/>
      <c r="C755" s="42"/>
      <c r="D755" s="42"/>
      <c r="E755" s="362"/>
      <c r="F755" s="220"/>
      <c r="G755" s="42"/>
      <c r="H755" s="42"/>
      <c r="I755" s="42"/>
      <c r="J755" s="42"/>
      <c r="K755" s="336"/>
      <c r="L755" s="219"/>
      <c r="M755" s="219"/>
      <c r="N755" s="219"/>
      <c r="O755" s="42"/>
      <c r="R755" s="42"/>
      <c r="S755" s="42"/>
    </row>
    <row r="756">
      <c r="A756" s="25"/>
      <c r="B756" s="42"/>
      <c r="C756" s="42"/>
      <c r="D756" s="42"/>
      <c r="E756" s="362"/>
      <c r="F756" s="220"/>
      <c r="G756" s="42"/>
      <c r="H756" s="42"/>
      <c r="I756" s="42"/>
      <c r="J756" s="42"/>
      <c r="K756" s="336"/>
      <c r="L756" s="219"/>
      <c r="M756" s="219"/>
      <c r="N756" s="219"/>
      <c r="O756" s="42"/>
      <c r="R756" s="42"/>
      <c r="S756" s="42"/>
    </row>
    <row r="757">
      <c r="A757" s="25"/>
      <c r="B757" s="42"/>
      <c r="C757" s="42"/>
      <c r="D757" s="42"/>
      <c r="E757" s="362"/>
      <c r="F757" s="220"/>
      <c r="G757" s="42"/>
      <c r="H757" s="42"/>
      <c r="I757" s="42"/>
      <c r="J757" s="42"/>
      <c r="K757" s="336"/>
      <c r="L757" s="219"/>
      <c r="M757" s="219"/>
      <c r="N757" s="219"/>
      <c r="O757" s="42"/>
      <c r="R757" s="42"/>
      <c r="S757" s="42"/>
    </row>
    <row r="758">
      <c r="A758" s="25"/>
      <c r="B758" s="42"/>
      <c r="C758" s="42"/>
      <c r="D758" s="42"/>
      <c r="E758" s="362"/>
      <c r="F758" s="220"/>
      <c r="G758" s="42"/>
      <c r="H758" s="42"/>
      <c r="I758" s="42"/>
      <c r="J758" s="42"/>
      <c r="K758" s="336"/>
      <c r="L758" s="219"/>
      <c r="M758" s="219"/>
      <c r="N758" s="219"/>
      <c r="O758" s="42"/>
      <c r="R758" s="42"/>
      <c r="S758" s="42"/>
    </row>
    <row r="759">
      <c r="A759" s="25"/>
      <c r="B759" s="42"/>
      <c r="C759" s="42"/>
      <c r="D759" s="42"/>
      <c r="E759" s="362"/>
      <c r="F759" s="220"/>
      <c r="G759" s="42"/>
      <c r="H759" s="42"/>
      <c r="I759" s="42"/>
      <c r="J759" s="42"/>
      <c r="K759" s="336"/>
      <c r="L759" s="219"/>
      <c r="M759" s="219"/>
      <c r="N759" s="219"/>
      <c r="O759" s="42"/>
      <c r="R759" s="42"/>
      <c r="S759" s="42"/>
    </row>
    <row r="760">
      <c r="A760" s="25"/>
      <c r="B760" s="42"/>
      <c r="C760" s="42"/>
      <c r="D760" s="42"/>
      <c r="E760" s="362"/>
      <c r="F760" s="220"/>
      <c r="G760" s="42"/>
      <c r="H760" s="42"/>
      <c r="I760" s="42"/>
      <c r="J760" s="42"/>
      <c r="K760" s="336"/>
      <c r="L760" s="219"/>
      <c r="M760" s="219"/>
      <c r="N760" s="219"/>
      <c r="O760" s="42"/>
      <c r="R760" s="42"/>
      <c r="S760" s="42"/>
    </row>
    <row r="761">
      <c r="A761" s="25"/>
      <c r="B761" s="42"/>
      <c r="C761" s="42"/>
      <c r="D761" s="42"/>
      <c r="E761" s="362"/>
      <c r="F761" s="220"/>
      <c r="G761" s="42"/>
      <c r="H761" s="42"/>
      <c r="I761" s="42"/>
      <c r="J761" s="42"/>
      <c r="K761" s="336"/>
      <c r="L761" s="219"/>
      <c r="M761" s="219"/>
      <c r="N761" s="219"/>
      <c r="O761" s="42"/>
      <c r="R761" s="42"/>
      <c r="S761" s="42"/>
    </row>
    <row r="762">
      <c r="A762" s="25"/>
      <c r="B762" s="42"/>
      <c r="C762" s="42"/>
      <c r="D762" s="42"/>
      <c r="E762" s="362"/>
      <c r="F762" s="220"/>
      <c r="G762" s="42"/>
      <c r="H762" s="42"/>
      <c r="I762" s="42"/>
      <c r="J762" s="42"/>
      <c r="K762" s="336"/>
      <c r="L762" s="219"/>
      <c r="M762" s="219"/>
      <c r="N762" s="219"/>
      <c r="O762" s="42"/>
      <c r="R762" s="42"/>
      <c r="S762" s="42"/>
    </row>
    <row r="763">
      <c r="A763" s="25"/>
      <c r="B763" s="42"/>
      <c r="C763" s="42"/>
      <c r="D763" s="42"/>
      <c r="E763" s="362"/>
      <c r="F763" s="220"/>
      <c r="G763" s="42"/>
      <c r="H763" s="42"/>
      <c r="I763" s="42"/>
      <c r="J763" s="42"/>
      <c r="K763" s="336"/>
      <c r="L763" s="219"/>
      <c r="M763" s="219"/>
      <c r="N763" s="219"/>
      <c r="O763" s="42"/>
      <c r="R763" s="42"/>
      <c r="S763" s="42"/>
    </row>
    <row r="764">
      <c r="A764" s="25"/>
      <c r="B764" s="42"/>
      <c r="C764" s="42"/>
      <c r="D764" s="42"/>
      <c r="E764" s="362"/>
      <c r="F764" s="220"/>
      <c r="G764" s="42"/>
      <c r="H764" s="42"/>
      <c r="I764" s="42"/>
      <c r="J764" s="42"/>
      <c r="K764" s="336"/>
      <c r="L764" s="219"/>
      <c r="M764" s="219"/>
      <c r="N764" s="219"/>
      <c r="O764" s="42"/>
      <c r="R764" s="42"/>
      <c r="S764" s="42"/>
    </row>
    <row r="765">
      <c r="A765" s="25"/>
      <c r="B765" s="42"/>
      <c r="C765" s="42"/>
      <c r="D765" s="42"/>
      <c r="E765" s="362"/>
      <c r="F765" s="220"/>
      <c r="G765" s="42"/>
      <c r="H765" s="42"/>
      <c r="I765" s="42"/>
      <c r="J765" s="42"/>
      <c r="K765" s="336"/>
      <c r="L765" s="219"/>
      <c r="M765" s="219"/>
      <c r="N765" s="219"/>
      <c r="O765" s="42"/>
      <c r="R765" s="42"/>
      <c r="S765" s="42"/>
    </row>
    <row r="766">
      <c r="A766" s="25"/>
      <c r="B766" s="42"/>
      <c r="C766" s="42"/>
      <c r="D766" s="42"/>
      <c r="E766" s="362"/>
      <c r="F766" s="220"/>
      <c r="G766" s="42"/>
      <c r="H766" s="42"/>
      <c r="I766" s="42"/>
      <c r="J766" s="42"/>
      <c r="K766" s="336"/>
      <c r="L766" s="219"/>
      <c r="M766" s="219"/>
      <c r="N766" s="219"/>
      <c r="O766" s="42"/>
      <c r="R766" s="42"/>
      <c r="S766" s="42"/>
    </row>
    <row r="767">
      <c r="A767" s="25"/>
      <c r="B767" s="42"/>
      <c r="C767" s="42"/>
      <c r="D767" s="42"/>
      <c r="E767" s="362"/>
      <c r="F767" s="220"/>
      <c r="G767" s="42"/>
      <c r="H767" s="42"/>
      <c r="I767" s="42"/>
      <c r="J767" s="42"/>
      <c r="K767" s="336"/>
      <c r="L767" s="219"/>
      <c r="M767" s="219"/>
      <c r="N767" s="219"/>
      <c r="O767" s="42"/>
      <c r="R767" s="42"/>
      <c r="S767" s="42"/>
    </row>
    <row r="768">
      <c r="A768" s="25"/>
      <c r="B768" s="42"/>
      <c r="C768" s="42"/>
      <c r="D768" s="42"/>
      <c r="E768" s="362"/>
      <c r="F768" s="220"/>
      <c r="G768" s="42"/>
      <c r="H768" s="42"/>
      <c r="I768" s="42"/>
      <c r="J768" s="42"/>
      <c r="K768" s="336"/>
      <c r="L768" s="219"/>
      <c r="M768" s="219"/>
      <c r="N768" s="219"/>
      <c r="O768" s="42"/>
      <c r="R768" s="42"/>
      <c r="S768" s="42"/>
    </row>
    <row r="769">
      <c r="A769" s="25"/>
      <c r="B769" s="42"/>
      <c r="C769" s="42"/>
      <c r="D769" s="42"/>
      <c r="E769" s="362"/>
      <c r="F769" s="220"/>
      <c r="G769" s="42"/>
      <c r="H769" s="42"/>
      <c r="I769" s="42"/>
      <c r="J769" s="42"/>
      <c r="K769" s="336"/>
      <c r="L769" s="219"/>
      <c r="M769" s="219"/>
      <c r="N769" s="219"/>
      <c r="O769" s="42"/>
      <c r="R769" s="42"/>
      <c r="S769" s="42"/>
    </row>
    <row r="770">
      <c r="A770" s="25"/>
      <c r="B770" s="42"/>
      <c r="C770" s="42"/>
      <c r="D770" s="42"/>
      <c r="E770" s="362"/>
      <c r="F770" s="220"/>
      <c r="G770" s="42"/>
      <c r="H770" s="42"/>
      <c r="I770" s="42"/>
      <c r="J770" s="42"/>
      <c r="K770" s="336"/>
      <c r="L770" s="219"/>
      <c r="M770" s="219"/>
      <c r="N770" s="219"/>
      <c r="O770" s="42"/>
      <c r="R770" s="42"/>
      <c r="S770" s="42"/>
    </row>
    <row r="771">
      <c r="A771" s="25"/>
      <c r="B771" s="42"/>
      <c r="C771" s="42"/>
      <c r="D771" s="42"/>
      <c r="E771" s="362"/>
      <c r="F771" s="220"/>
      <c r="G771" s="42"/>
      <c r="H771" s="42"/>
      <c r="I771" s="42"/>
      <c r="J771" s="42"/>
      <c r="K771" s="336"/>
      <c r="L771" s="219"/>
      <c r="M771" s="219"/>
      <c r="N771" s="219"/>
      <c r="O771" s="42"/>
      <c r="R771" s="42"/>
      <c r="S771" s="42"/>
    </row>
    <row r="772">
      <c r="A772" s="25"/>
      <c r="B772" s="42"/>
      <c r="C772" s="42"/>
      <c r="D772" s="42"/>
      <c r="E772" s="362"/>
      <c r="F772" s="220"/>
      <c r="G772" s="42"/>
      <c r="H772" s="42"/>
      <c r="I772" s="42"/>
      <c r="J772" s="42"/>
      <c r="K772" s="336"/>
      <c r="L772" s="219"/>
      <c r="M772" s="219"/>
      <c r="N772" s="219"/>
      <c r="O772" s="42"/>
      <c r="R772" s="42"/>
      <c r="S772" s="42"/>
    </row>
    <row r="773">
      <c r="A773" s="25"/>
      <c r="B773" s="42"/>
      <c r="C773" s="42"/>
      <c r="D773" s="42"/>
      <c r="E773" s="362"/>
      <c r="F773" s="220"/>
      <c r="G773" s="42"/>
      <c r="H773" s="42"/>
      <c r="I773" s="42"/>
      <c r="J773" s="42"/>
      <c r="K773" s="336"/>
      <c r="L773" s="219"/>
      <c r="M773" s="219"/>
      <c r="N773" s="219"/>
      <c r="O773" s="42"/>
      <c r="R773" s="42"/>
      <c r="S773" s="42"/>
    </row>
    <row r="774">
      <c r="A774" s="25"/>
      <c r="B774" s="42"/>
      <c r="C774" s="42"/>
      <c r="D774" s="42"/>
      <c r="E774" s="362"/>
      <c r="F774" s="220"/>
      <c r="G774" s="42"/>
      <c r="H774" s="42"/>
      <c r="I774" s="42"/>
      <c r="J774" s="42"/>
      <c r="K774" s="336"/>
      <c r="L774" s="219"/>
      <c r="M774" s="219"/>
      <c r="N774" s="219"/>
      <c r="O774" s="42"/>
      <c r="R774" s="42"/>
      <c r="S774" s="42"/>
    </row>
    <row r="775">
      <c r="A775" s="25"/>
      <c r="B775" s="42"/>
      <c r="C775" s="42"/>
      <c r="D775" s="42"/>
      <c r="E775" s="362"/>
      <c r="F775" s="220"/>
      <c r="G775" s="42"/>
      <c r="H775" s="42"/>
      <c r="I775" s="42"/>
      <c r="J775" s="42"/>
      <c r="K775" s="336"/>
      <c r="L775" s="219"/>
      <c r="M775" s="219"/>
      <c r="N775" s="219"/>
      <c r="O775" s="42"/>
      <c r="R775" s="42"/>
      <c r="S775" s="42"/>
    </row>
    <row r="776">
      <c r="A776" s="25"/>
      <c r="B776" s="42"/>
      <c r="C776" s="42"/>
      <c r="D776" s="42"/>
      <c r="E776" s="362"/>
      <c r="F776" s="220"/>
      <c r="G776" s="42"/>
      <c r="H776" s="42"/>
      <c r="I776" s="42"/>
      <c r="J776" s="42"/>
      <c r="K776" s="336"/>
      <c r="L776" s="219"/>
      <c r="M776" s="219"/>
      <c r="N776" s="219"/>
      <c r="O776" s="42"/>
      <c r="R776" s="42"/>
      <c r="S776" s="42"/>
    </row>
    <row r="777">
      <c r="A777" s="25"/>
      <c r="B777" s="42"/>
      <c r="C777" s="42"/>
      <c r="D777" s="42"/>
      <c r="E777" s="362"/>
      <c r="F777" s="220"/>
      <c r="G777" s="42"/>
      <c r="H777" s="42"/>
      <c r="I777" s="42"/>
      <c r="J777" s="42"/>
      <c r="K777" s="336"/>
      <c r="L777" s="219"/>
      <c r="M777" s="219"/>
      <c r="N777" s="219"/>
      <c r="O777" s="42"/>
      <c r="R777" s="42"/>
      <c r="S777" s="42"/>
    </row>
    <row r="778">
      <c r="A778" s="25"/>
      <c r="B778" s="42"/>
      <c r="C778" s="42"/>
      <c r="D778" s="42"/>
      <c r="E778" s="362"/>
      <c r="F778" s="220"/>
      <c r="G778" s="42"/>
      <c r="H778" s="42"/>
      <c r="I778" s="42"/>
      <c r="J778" s="42"/>
      <c r="K778" s="336"/>
      <c r="L778" s="219"/>
      <c r="M778" s="219"/>
      <c r="N778" s="219"/>
      <c r="O778" s="42"/>
      <c r="R778" s="42"/>
      <c r="S778" s="42"/>
    </row>
    <row r="779">
      <c r="A779" s="25"/>
      <c r="B779" s="42"/>
      <c r="C779" s="42"/>
      <c r="D779" s="42"/>
      <c r="E779" s="362"/>
      <c r="F779" s="220"/>
      <c r="G779" s="42"/>
      <c r="H779" s="42"/>
      <c r="I779" s="42"/>
      <c r="J779" s="42"/>
      <c r="K779" s="336"/>
      <c r="L779" s="219"/>
      <c r="M779" s="219"/>
      <c r="N779" s="219"/>
      <c r="O779" s="42"/>
      <c r="R779" s="42"/>
      <c r="S779" s="42"/>
    </row>
    <row r="780">
      <c r="A780" s="25"/>
      <c r="B780" s="42"/>
      <c r="C780" s="42"/>
      <c r="D780" s="42"/>
      <c r="E780" s="362"/>
      <c r="F780" s="220"/>
      <c r="G780" s="42"/>
      <c r="H780" s="42"/>
      <c r="I780" s="42"/>
      <c r="J780" s="42"/>
      <c r="K780" s="336"/>
      <c r="L780" s="219"/>
      <c r="M780" s="219"/>
      <c r="N780" s="219"/>
      <c r="O780" s="42"/>
      <c r="R780" s="42"/>
      <c r="S780" s="42"/>
    </row>
    <row r="781">
      <c r="A781" s="25"/>
      <c r="B781" s="42"/>
      <c r="C781" s="42"/>
      <c r="D781" s="42"/>
      <c r="E781" s="362"/>
      <c r="F781" s="220"/>
      <c r="G781" s="42"/>
      <c r="H781" s="42"/>
      <c r="I781" s="42"/>
      <c r="J781" s="42"/>
      <c r="K781" s="336"/>
      <c r="L781" s="219"/>
      <c r="M781" s="219"/>
      <c r="N781" s="219"/>
      <c r="O781" s="42"/>
      <c r="R781" s="42"/>
      <c r="S781" s="42"/>
    </row>
    <row r="782">
      <c r="A782" s="25"/>
      <c r="B782" s="42"/>
      <c r="C782" s="42"/>
      <c r="D782" s="42"/>
      <c r="E782" s="362"/>
      <c r="F782" s="220"/>
      <c r="G782" s="42"/>
      <c r="H782" s="42"/>
      <c r="I782" s="42"/>
      <c r="J782" s="42"/>
      <c r="K782" s="336"/>
      <c r="L782" s="219"/>
      <c r="M782" s="219"/>
      <c r="N782" s="219"/>
      <c r="O782" s="42"/>
      <c r="R782" s="42"/>
      <c r="S782" s="42"/>
    </row>
    <row r="783">
      <c r="A783" s="25"/>
      <c r="B783" s="42"/>
      <c r="C783" s="42"/>
      <c r="D783" s="42"/>
      <c r="E783" s="362"/>
      <c r="F783" s="220"/>
      <c r="G783" s="42"/>
      <c r="H783" s="42"/>
      <c r="I783" s="42"/>
      <c r="J783" s="42"/>
      <c r="K783" s="336"/>
      <c r="L783" s="219"/>
      <c r="M783" s="219"/>
      <c r="N783" s="219"/>
      <c r="O783" s="42"/>
      <c r="R783" s="42"/>
      <c r="S783" s="42"/>
    </row>
    <row r="784">
      <c r="A784" s="25"/>
      <c r="B784" s="42"/>
      <c r="C784" s="42"/>
      <c r="D784" s="42"/>
      <c r="E784" s="362"/>
      <c r="F784" s="220"/>
      <c r="G784" s="42"/>
      <c r="H784" s="42"/>
      <c r="I784" s="42"/>
      <c r="J784" s="42"/>
      <c r="K784" s="336"/>
      <c r="L784" s="219"/>
      <c r="M784" s="219"/>
      <c r="N784" s="219"/>
      <c r="O784" s="42"/>
      <c r="R784" s="42"/>
      <c r="S784" s="42"/>
    </row>
    <row r="785">
      <c r="A785" s="25"/>
      <c r="B785" s="42"/>
      <c r="C785" s="42"/>
      <c r="D785" s="42"/>
      <c r="E785" s="362"/>
      <c r="F785" s="220"/>
      <c r="G785" s="42"/>
      <c r="H785" s="42"/>
      <c r="I785" s="42"/>
      <c r="J785" s="42"/>
      <c r="K785" s="336"/>
      <c r="L785" s="219"/>
      <c r="M785" s="219"/>
      <c r="N785" s="219"/>
      <c r="O785" s="42"/>
      <c r="R785" s="42"/>
      <c r="S785" s="42"/>
    </row>
    <row r="786">
      <c r="A786" s="25"/>
      <c r="B786" s="42"/>
      <c r="C786" s="42"/>
      <c r="D786" s="42"/>
      <c r="E786" s="362"/>
      <c r="F786" s="220"/>
      <c r="G786" s="42"/>
      <c r="H786" s="42"/>
      <c r="I786" s="42"/>
      <c r="J786" s="42"/>
      <c r="K786" s="336"/>
      <c r="L786" s="219"/>
      <c r="M786" s="219"/>
      <c r="N786" s="219"/>
      <c r="O786" s="42"/>
      <c r="R786" s="42"/>
      <c r="S786" s="42"/>
    </row>
    <row r="787">
      <c r="A787" s="25"/>
      <c r="B787" s="42"/>
      <c r="C787" s="42"/>
      <c r="D787" s="42"/>
      <c r="E787" s="362"/>
      <c r="F787" s="220"/>
      <c r="G787" s="42"/>
      <c r="H787" s="42"/>
      <c r="I787" s="42"/>
      <c r="J787" s="42"/>
      <c r="K787" s="336"/>
      <c r="L787" s="219"/>
      <c r="M787" s="219"/>
      <c r="N787" s="219"/>
      <c r="O787" s="42"/>
      <c r="R787" s="42"/>
      <c r="S787" s="42"/>
    </row>
    <row r="788">
      <c r="A788" s="25"/>
      <c r="B788" s="42"/>
      <c r="C788" s="42"/>
      <c r="D788" s="42"/>
      <c r="E788" s="362"/>
      <c r="F788" s="220"/>
      <c r="G788" s="42"/>
      <c r="H788" s="42"/>
      <c r="I788" s="42"/>
      <c r="J788" s="42"/>
      <c r="K788" s="336"/>
      <c r="L788" s="219"/>
      <c r="M788" s="219"/>
      <c r="N788" s="219"/>
      <c r="O788" s="42"/>
      <c r="R788" s="42"/>
      <c r="S788" s="42"/>
    </row>
    <row r="789">
      <c r="A789" s="25"/>
      <c r="B789" s="42"/>
      <c r="C789" s="42"/>
      <c r="D789" s="42"/>
      <c r="E789" s="362"/>
      <c r="F789" s="220"/>
      <c r="G789" s="42"/>
      <c r="H789" s="42"/>
      <c r="I789" s="42"/>
      <c r="J789" s="42"/>
      <c r="K789" s="336"/>
      <c r="L789" s="219"/>
      <c r="M789" s="219"/>
      <c r="N789" s="219"/>
      <c r="O789" s="42"/>
      <c r="R789" s="42"/>
      <c r="S789" s="42"/>
    </row>
    <row r="790">
      <c r="A790" s="25"/>
      <c r="B790" s="42"/>
      <c r="C790" s="42"/>
      <c r="D790" s="42"/>
      <c r="E790" s="362"/>
      <c r="F790" s="220"/>
      <c r="G790" s="42"/>
      <c r="H790" s="42"/>
      <c r="I790" s="42"/>
      <c r="J790" s="42"/>
      <c r="K790" s="336"/>
      <c r="L790" s="219"/>
      <c r="M790" s="219"/>
      <c r="N790" s="219"/>
      <c r="O790" s="42"/>
      <c r="R790" s="42"/>
      <c r="S790" s="42"/>
    </row>
    <row r="791">
      <c r="A791" s="25"/>
      <c r="B791" s="42"/>
      <c r="C791" s="42"/>
      <c r="D791" s="42"/>
      <c r="E791" s="362"/>
      <c r="F791" s="220"/>
      <c r="G791" s="42"/>
      <c r="H791" s="42"/>
      <c r="I791" s="42"/>
      <c r="J791" s="42"/>
      <c r="K791" s="336"/>
      <c r="L791" s="219"/>
      <c r="M791" s="219"/>
      <c r="N791" s="219"/>
      <c r="O791" s="42"/>
      <c r="R791" s="42"/>
      <c r="S791" s="42"/>
    </row>
    <row r="792">
      <c r="A792" s="25"/>
      <c r="B792" s="42"/>
      <c r="C792" s="42"/>
      <c r="D792" s="42"/>
      <c r="E792" s="362"/>
      <c r="F792" s="220"/>
      <c r="G792" s="42"/>
      <c r="H792" s="42"/>
      <c r="I792" s="42"/>
      <c r="J792" s="42"/>
      <c r="K792" s="336"/>
      <c r="L792" s="219"/>
      <c r="M792" s="219"/>
      <c r="N792" s="219"/>
      <c r="O792" s="42"/>
      <c r="R792" s="42"/>
      <c r="S792" s="42"/>
    </row>
    <row r="793">
      <c r="A793" s="25"/>
      <c r="B793" s="42"/>
      <c r="C793" s="42"/>
      <c r="D793" s="42"/>
      <c r="E793" s="362"/>
      <c r="F793" s="220"/>
      <c r="G793" s="42"/>
      <c r="H793" s="42"/>
      <c r="I793" s="42"/>
      <c r="J793" s="42"/>
      <c r="K793" s="336"/>
      <c r="L793" s="219"/>
      <c r="M793" s="219"/>
      <c r="N793" s="219"/>
      <c r="O793" s="42"/>
      <c r="R793" s="42"/>
      <c r="S793" s="42"/>
    </row>
    <row r="794">
      <c r="A794" s="25"/>
      <c r="B794" s="42"/>
      <c r="C794" s="42"/>
      <c r="D794" s="42"/>
      <c r="E794" s="362"/>
      <c r="F794" s="220"/>
      <c r="G794" s="42"/>
      <c r="H794" s="42"/>
      <c r="I794" s="42"/>
      <c r="J794" s="42"/>
      <c r="K794" s="336"/>
      <c r="L794" s="219"/>
      <c r="M794" s="219"/>
      <c r="N794" s="219"/>
      <c r="O794" s="42"/>
      <c r="R794" s="42"/>
      <c r="S794" s="42"/>
    </row>
    <row r="795">
      <c r="A795" s="25"/>
      <c r="B795" s="42"/>
      <c r="C795" s="42"/>
      <c r="D795" s="42"/>
      <c r="E795" s="362"/>
      <c r="F795" s="220"/>
      <c r="G795" s="42"/>
      <c r="H795" s="42"/>
      <c r="I795" s="42"/>
      <c r="J795" s="42"/>
      <c r="K795" s="336"/>
      <c r="L795" s="219"/>
      <c r="M795" s="219"/>
      <c r="N795" s="219"/>
      <c r="O795" s="42"/>
      <c r="R795" s="42"/>
      <c r="S795" s="42"/>
    </row>
    <row r="796">
      <c r="A796" s="25"/>
      <c r="B796" s="42"/>
      <c r="C796" s="42"/>
      <c r="D796" s="42"/>
      <c r="E796" s="362"/>
      <c r="F796" s="220"/>
      <c r="G796" s="42"/>
      <c r="H796" s="42"/>
      <c r="I796" s="42"/>
      <c r="J796" s="42"/>
      <c r="K796" s="336"/>
      <c r="L796" s="219"/>
      <c r="M796" s="219"/>
      <c r="N796" s="219"/>
      <c r="O796" s="42"/>
      <c r="R796" s="42"/>
      <c r="S796" s="42"/>
    </row>
    <row r="797">
      <c r="A797" s="25"/>
      <c r="B797" s="42"/>
      <c r="C797" s="42"/>
      <c r="D797" s="42"/>
      <c r="E797" s="362"/>
      <c r="F797" s="220"/>
      <c r="G797" s="42"/>
      <c r="H797" s="42"/>
      <c r="I797" s="42"/>
      <c r="J797" s="42"/>
      <c r="K797" s="336"/>
      <c r="L797" s="219"/>
      <c r="M797" s="219"/>
      <c r="N797" s="219"/>
      <c r="O797" s="42"/>
      <c r="R797" s="42"/>
      <c r="S797" s="42"/>
    </row>
    <row r="798">
      <c r="A798" s="25"/>
      <c r="B798" s="42"/>
      <c r="C798" s="42"/>
      <c r="D798" s="42"/>
      <c r="E798" s="362"/>
      <c r="F798" s="220"/>
      <c r="G798" s="42"/>
      <c r="H798" s="42"/>
      <c r="I798" s="42"/>
      <c r="J798" s="42"/>
      <c r="K798" s="336"/>
      <c r="L798" s="219"/>
      <c r="M798" s="219"/>
      <c r="N798" s="219"/>
      <c r="O798" s="42"/>
      <c r="R798" s="42"/>
      <c r="S798" s="42"/>
    </row>
    <row r="799">
      <c r="A799" s="25"/>
      <c r="B799" s="42"/>
      <c r="C799" s="42"/>
      <c r="D799" s="42"/>
      <c r="E799" s="362"/>
      <c r="F799" s="220"/>
      <c r="G799" s="42"/>
      <c r="H799" s="42"/>
      <c r="I799" s="42"/>
      <c r="J799" s="42"/>
      <c r="K799" s="336"/>
      <c r="L799" s="219"/>
      <c r="M799" s="219"/>
      <c r="N799" s="219"/>
      <c r="O799" s="42"/>
      <c r="R799" s="42"/>
      <c r="S799" s="42"/>
    </row>
    <row r="800">
      <c r="A800" s="25"/>
      <c r="B800" s="42"/>
      <c r="C800" s="42"/>
      <c r="D800" s="42"/>
      <c r="E800" s="362"/>
      <c r="F800" s="220"/>
      <c r="G800" s="42"/>
      <c r="H800" s="42"/>
      <c r="I800" s="42"/>
      <c r="J800" s="42"/>
      <c r="K800" s="336"/>
      <c r="L800" s="219"/>
      <c r="M800" s="219"/>
      <c r="N800" s="219"/>
      <c r="O800" s="42"/>
      <c r="R800" s="42"/>
      <c r="S800" s="42"/>
    </row>
    <row r="801">
      <c r="A801" s="25"/>
      <c r="B801" s="42"/>
      <c r="C801" s="42"/>
      <c r="D801" s="42"/>
      <c r="E801" s="362"/>
      <c r="F801" s="220"/>
      <c r="G801" s="42"/>
      <c r="H801" s="42"/>
      <c r="I801" s="42"/>
      <c r="J801" s="42"/>
      <c r="K801" s="336"/>
      <c r="L801" s="219"/>
      <c r="M801" s="219"/>
      <c r="N801" s="219"/>
      <c r="O801" s="42"/>
      <c r="R801" s="42"/>
      <c r="S801" s="42"/>
    </row>
    <row r="802">
      <c r="A802" s="25"/>
      <c r="B802" s="42"/>
      <c r="C802" s="42"/>
      <c r="D802" s="42"/>
      <c r="E802" s="362"/>
      <c r="F802" s="220"/>
      <c r="G802" s="42"/>
      <c r="H802" s="42"/>
      <c r="I802" s="42"/>
      <c r="J802" s="42"/>
      <c r="K802" s="336"/>
      <c r="L802" s="219"/>
      <c r="M802" s="219"/>
      <c r="N802" s="219"/>
      <c r="O802" s="42"/>
      <c r="R802" s="42"/>
      <c r="S802" s="42"/>
    </row>
    <row r="803">
      <c r="A803" s="25"/>
      <c r="B803" s="42"/>
      <c r="C803" s="42"/>
      <c r="D803" s="42"/>
      <c r="E803" s="362"/>
      <c r="F803" s="220"/>
      <c r="G803" s="42"/>
      <c r="H803" s="42"/>
      <c r="I803" s="42"/>
      <c r="J803" s="42"/>
      <c r="K803" s="336"/>
      <c r="L803" s="219"/>
      <c r="M803" s="219"/>
      <c r="N803" s="219"/>
      <c r="O803" s="42"/>
      <c r="R803" s="42"/>
      <c r="S803" s="42"/>
    </row>
    <row r="804">
      <c r="A804" s="25"/>
      <c r="B804" s="42"/>
      <c r="C804" s="42"/>
      <c r="D804" s="42"/>
      <c r="E804" s="362"/>
      <c r="F804" s="220"/>
      <c r="G804" s="42"/>
      <c r="H804" s="42"/>
      <c r="I804" s="42"/>
      <c r="J804" s="42"/>
      <c r="K804" s="336"/>
      <c r="L804" s="219"/>
      <c r="M804" s="219"/>
      <c r="N804" s="219"/>
      <c r="O804" s="42"/>
      <c r="R804" s="42"/>
      <c r="S804" s="42"/>
    </row>
    <row r="805">
      <c r="A805" s="25"/>
      <c r="B805" s="42"/>
      <c r="C805" s="42"/>
      <c r="D805" s="42"/>
      <c r="E805" s="362"/>
      <c r="F805" s="220"/>
      <c r="G805" s="42"/>
      <c r="H805" s="42"/>
      <c r="I805" s="42"/>
      <c r="J805" s="42"/>
      <c r="K805" s="336"/>
      <c r="L805" s="219"/>
      <c r="M805" s="219"/>
      <c r="N805" s="219"/>
      <c r="O805" s="42"/>
      <c r="R805" s="42"/>
      <c r="S805" s="42"/>
    </row>
    <row r="806">
      <c r="A806" s="25"/>
      <c r="B806" s="42"/>
      <c r="C806" s="42"/>
      <c r="D806" s="42"/>
      <c r="E806" s="362"/>
      <c r="F806" s="220"/>
      <c r="G806" s="42"/>
      <c r="H806" s="42"/>
      <c r="I806" s="42"/>
      <c r="J806" s="42"/>
      <c r="K806" s="336"/>
      <c r="L806" s="219"/>
      <c r="M806" s="219"/>
      <c r="N806" s="219"/>
      <c r="O806" s="42"/>
      <c r="R806" s="42"/>
      <c r="S806" s="42"/>
    </row>
    <row r="807">
      <c r="A807" s="25"/>
      <c r="B807" s="42"/>
      <c r="C807" s="42"/>
      <c r="D807" s="42"/>
      <c r="E807" s="362"/>
      <c r="F807" s="220"/>
      <c r="G807" s="42"/>
      <c r="H807" s="42"/>
      <c r="I807" s="42"/>
      <c r="J807" s="42"/>
      <c r="K807" s="336"/>
      <c r="L807" s="219"/>
      <c r="M807" s="219"/>
      <c r="N807" s="219"/>
      <c r="O807" s="42"/>
      <c r="R807" s="42"/>
      <c r="S807" s="42"/>
    </row>
    <row r="808">
      <c r="A808" s="25"/>
      <c r="B808" s="42"/>
      <c r="C808" s="42"/>
      <c r="D808" s="42"/>
      <c r="E808" s="362"/>
      <c r="F808" s="220"/>
      <c r="G808" s="42"/>
      <c r="H808" s="42"/>
      <c r="I808" s="42"/>
      <c r="J808" s="42"/>
      <c r="K808" s="336"/>
      <c r="L808" s="219"/>
      <c r="M808" s="219"/>
      <c r="N808" s="219"/>
      <c r="O808" s="42"/>
      <c r="R808" s="42"/>
      <c r="S808" s="42"/>
    </row>
    <row r="809">
      <c r="A809" s="25"/>
      <c r="B809" s="42"/>
      <c r="C809" s="42"/>
      <c r="D809" s="42"/>
      <c r="E809" s="362"/>
      <c r="F809" s="220"/>
      <c r="G809" s="42"/>
      <c r="H809" s="42"/>
      <c r="I809" s="42"/>
      <c r="J809" s="42"/>
      <c r="K809" s="336"/>
      <c r="L809" s="219"/>
      <c r="M809" s="219"/>
      <c r="N809" s="219"/>
      <c r="O809" s="42"/>
      <c r="R809" s="42"/>
      <c r="S809" s="42"/>
    </row>
    <row r="810">
      <c r="A810" s="25"/>
      <c r="B810" s="42"/>
      <c r="C810" s="42"/>
      <c r="D810" s="42"/>
      <c r="E810" s="362"/>
      <c r="F810" s="220"/>
      <c r="G810" s="42"/>
      <c r="H810" s="42"/>
      <c r="I810" s="42"/>
      <c r="J810" s="42"/>
      <c r="K810" s="336"/>
      <c r="L810" s="219"/>
      <c r="M810" s="219"/>
      <c r="N810" s="219"/>
      <c r="O810" s="42"/>
      <c r="R810" s="42"/>
      <c r="S810" s="42"/>
    </row>
    <row r="811">
      <c r="A811" s="25"/>
      <c r="B811" s="42"/>
      <c r="C811" s="42"/>
      <c r="D811" s="42"/>
      <c r="E811" s="362"/>
      <c r="F811" s="220"/>
      <c r="G811" s="42"/>
      <c r="H811" s="42"/>
      <c r="I811" s="42"/>
      <c r="J811" s="42"/>
      <c r="K811" s="336"/>
      <c r="L811" s="219"/>
      <c r="M811" s="219"/>
      <c r="N811" s="219"/>
      <c r="O811" s="42"/>
      <c r="R811" s="42"/>
      <c r="S811" s="42"/>
    </row>
    <row r="812">
      <c r="A812" s="25"/>
      <c r="B812" s="42"/>
      <c r="C812" s="42"/>
      <c r="D812" s="42"/>
      <c r="E812" s="362"/>
      <c r="F812" s="220"/>
      <c r="G812" s="42"/>
      <c r="H812" s="42"/>
      <c r="I812" s="42"/>
      <c r="J812" s="42"/>
      <c r="K812" s="336"/>
      <c r="L812" s="219"/>
      <c r="M812" s="219"/>
      <c r="N812" s="219"/>
      <c r="O812" s="42"/>
      <c r="R812" s="42"/>
      <c r="S812" s="42"/>
    </row>
    <row r="813">
      <c r="A813" s="25"/>
      <c r="B813" s="42"/>
      <c r="C813" s="42"/>
      <c r="D813" s="42"/>
      <c r="E813" s="362"/>
      <c r="F813" s="220"/>
      <c r="G813" s="42"/>
      <c r="H813" s="42"/>
      <c r="I813" s="42"/>
      <c r="J813" s="42"/>
      <c r="K813" s="336"/>
      <c r="L813" s="219"/>
      <c r="M813" s="219"/>
      <c r="N813" s="219"/>
      <c r="O813" s="42"/>
      <c r="R813" s="42"/>
      <c r="S813" s="42"/>
    </row>
    <row r="814">
      <c r="A814" s="25"/>
      <c r="B814" s="42"/>
      <c r="C814" s="42"/>
      <c r="D814" s="42"/>
      <c r="E814" s="362"/>
      <c r="F814" s="220"/>
      <c r="G814" s="42"/>
      <c r="H814" s="42"/>
      <c r="I814" s="42"/>
      <c r="J814" s="42"/>
      <c r="K814" s="336"/>
      <c r="L814" s="219"/>
      <c r="M814" s="219"/>
      <c r="N814" s="219"/>
      <c r="O814" s="42"/>
      <c r="R814" s="42"/>
      <c r="S814" s="42"/>
    </row>
    <row r="815">
      <c r="A815" s="25"/>
      <c r="B815" s="42"/>
      <c r="C815" s="42"/>
      <c r="D815" s="42"/>
      <c r="E815" s="362"/>
      <c r="F815" s="220"/>
      <c r="G815" s="42"/>
      <c r="H815" s="42"/>
      <c r="I815" s="42"/>
      <c r="J815" s="42"/>
      <c r="K815" s="336"/>
      <c r="L815" s="219"/>
      <c r="M815" s="219"/>
      <c r="N815" s="219"/>
      <c r="O815" s="42"/>
      <c r="R815" s="42"/>
      <c r="S815" s="42"/>
    </row>
    <row r="816">
      <c r="A816" s="25"/>
      <c r="B816" s="42"/>
      <c r="C816" s="42"/>
      <c r="D816" s="42"/>
      <c r="E816" s="362"/>
      <c r="F816" s="220"/>
      <c r="G816" s="42"/>
      <c r="H816" s="42"/>
      <c r="I816" s="42"/>
      <c r="J816" s="42"/>
      <c r="K816" s="336"/>
      <c r="L816" s="219"/>
      <c r="M816" s="219"/>
      <c r="N816" s="219"/>
      <c r="O816" s="42"/>
      <c r="R816" s="42"/>
      <c r="S816" s="42"/>
    </row>
    <row r="817">
      <c r="A817" s="25"/>
      <c r="B817" s="42"/>
      <c r="C817" s="42"/>
      <c r="D817" s="42"/>
      <c r="E817" s="362"/>
      <c r="F817" s="220"/>
      <c r="G817" s="42"/>
      <c r="H817" s="42"/>
      <c r="I817" s="42"/>
      <c r="J817" s="42"/>
      <c r="K817" s="336"/>
      <c r="L817" s="219"/>
      <c r="M817" s="219"/>
      <c r="N817" s="219"/>
      <c r="O817" s="42"/>
      <c r="R817" s="42"/>
      <c r="S817" s="42"/>
    </row>
    <row r="818">
      <c r="A818" s="25"/>
      <c r="B818" s="42"/>
      <c r="C818" s="42"/>
      <c r="D818" s="42"/>
      <c r="E818" s="362"/>
      <c r="F818" s="220"/>
      <c r="G818" s="42"/>
      <c r="H818" s="42"/>
      <c r="I818" s="42"/>
      <c r="J818" s="42"/>
      <c r="K818" s="336"/>
      <c r="L818" s="219"/>
      <c r="M818" s="219"/>
      <c r="N818" s="219"/>
      <c r="O818" s="42"/>
      <c r="R818" s="42"/>
      <c r="S818" s="42"/>
    </row>
    <row r="819">
      <c r="A819" s="25"/>
      <c r="B819" s="42"/>
      <c r="C819" s="42"/>
      <c r="D819" s="42"/>
      <c r="E819" s="362"/>
      <c r="F819" s="220"/>
      <c r="G819" s="42"/>
      <c r="H819" s="42"/>
      <c r="I819" s="42"/>
      <c r="J819" s="42"/>
      <c r="K819" s="336"/>
      <c r="L819" s="219"/>
      <c r="M819" s="219"/>
      <c r="N819" s="219"/>
      <c r="O819" s="42"/>
      <c r="R819" s="42"/>
      <c r="S819" s="42"/>
    </row>
    <row r="820">
      <c r="A820" s="25"/>
      <c r="B820" s="42"/>
      <c r="C820" s="42"/>
      <c r="D820" s="42"/>
      <c r="E820" s="362"/>
      <c r="F820" s="220"/>
      <c r="G820" s="42"/>
      <c r="H820" s="42"/>
      <c r="I820" s="42"/>
      <c r="J820" s="42"/>
      <c r="K820" s="336"/>
      <c r="L820" s="219"/>
      <c r="M820" s="219"/>
      <c r="N820" s="219"/>
      <c r="O820" s="42"/>
      <c r="R820" s="42"/>
      <c r="S820" s="42"/>
    </row>
    <row r="821">
      <c r="A821" s="25"/>
      <c r="B821" s="42"/>
      <c r="C821" s="42"/>
      <c r="D821" s="42"/>
      <c r="E821" s="362"/>
      <c r="F821" s="220"/>
      <c r="G821" s="42"/>
      <c r="H821" s="42"/>
      <c r="I821" s="42"/>
      <c r="J821" s="42"/>
      <c r="K821" s="336"/>
      <c r="L821" s="219"/>
      <c r="M821" s="219"/>
      <c r="N821" s="219"/>
      <c r="O821" s="42"/>
      <c r="R821" s="42"/>
      <c r="S821" s="42"/>
    </row>
    <row r="822">
      <c r="A822" s="25"/>
      <c r="B822" s="42"/>
      <c r="C822" s="42"/>
      <c r="D822" s="42"/>
      <c r="E822" s="362"/>
      <c r="F822" s="220"/>
      <c r="G822" s="42"/>
      <c r="H822" s="42"/>
      <c r="I822" s="42"/>
      <c r="J822" s="42"/>
      <c r="K822" s="336"/>
      <c r="L822" s="219"/>
      <c r="M822" s="219"/>
      <c r="N822" s="219"/>
      <c r="O822" s="42"/>
      <c r="R822" s="42"/>
      <c r="S822" s="42"/>
    </row>
    <row r="823">
      <c r="A823" s="25"/>
      <c r="B823" s="42"/>
      <c r="C823" s="42"/>
      <c r="D823" s="42"/>
      <c r="E823" s="362"/>
      <c r="F823" s="220"/>
      <c r="G823" s="42"/>
      <c r="H823" s="42"/>
      <c r="I823" s="42"/>
      <c r="J823" s="42"/>
      <c r="K823" s="336"/>
      <c r="L823" s="219"/>
      <c r="M823" s="219"/>
      <c r="N823" s="219"/>
      <c r="O823" s="42"/>
      <c r="R823" s="42"/>
      <c r="S823" s="42"/>
    </row>
    <row r="824">
      <c r="A824" s="25"/>
      <c r="B824" s="42"/>
      <c r="C824" s="42"/>
      <c r="D824" s="42"/>
      <c r="E824" s="362"/>
      <c r="F824" s="220"/>
      <c r="G824" s="42"/>
      <c r="H824" s="42"/>
      <c r="I824" s="42"/>
      <c r="J824" s="42"/>
      <c r="K824" s="336"/>
      <c r="L824" s="219"/>
      <c r="M824" s="219"/>
      <c r="N824" s="219"/>
      <c r="O824" s="42"/>
      <c r="R824" s="42"/>
      <c r="S824" s="42"/>
    </row>
    <row r="825">
      <c r="A825" s="25"/>
      <c r="B825" s="42"/>
      <c r="C825" s="42"/>
      <c r="D825" s="42"/>
      <c r="E825" s="362"/>
      <c r="F825" s="220"/>
      <c r="G825" s="42"/>
      <c r="H825" s="42"/>
      <c r="I825" s="42"/>
      <c r="J825" s="42"/>
      <c r="K825" s="336"/>
      <c r="L825" s="219"/>
      <c r="M825" s="219"/>
      <c r="N825" s="219"/>
      <c r="O825" s="42"/>
      <c r="R825" s="42"/>
      <c r="S825" s="42"/>
    </row>
    <row r="826">
      <c r="A826" s="25"/>
      <c r="B826" s="42"/>
      <c r="C826" s="42"/>
      <c r="D826" s="42"/>
      <c r="E826" s="362"/>
      <c r="F826" s="220"/>
      <c r="G826" s="42"/>
      <c r="H826" s="42"/>
      <c r="I826" s="42"/>
      <c r="J826" s="42"/>
      <c r="K826" s="336"/>
      <c r="L826" s="219"/>
      <c r="M826" s="219"/>
      <c r="N826" s="219"/>
      <c r="O826" s="42"/>
      <c r="R826" s="42"/>
      <c r="S826" s="42"/>
    </row>
    <row r="827">
      <c r="A827" s="25"/>
      <c r="B827" s="42"/>
      <c r="C827" s="42"/>
      <c r="D827" s="42"/>
      <c r="E827" s="362"/>
      <c r="F827" s="220"/>
      <c r="G827" s="42"/>
      <c r="H827" s="42"/>
      <c r="I827" s="42"/>
      <c r="J827" s="42"/>
      <c r="K827" s="336"/>
      <c r="L827" s="219"/>
      <c r="M827" s="219"/>
      <c r="N827" s="219"/>
      <c r="O827" s="42"/>
      <c r="R827" s="42"/>
      <c r="S827" s="42"/>
    </row>
    <row r="828">
      <c r="A828" s="25"/>
      <c r="B828" s="42"/>
      <c r="C828" s="42"/>
      <c r="D828" s="42"/>
      <c r="E828" s="362"/>
      <c r="F828" s="220"/>
      <c r="G828" s="42"/>
      <c r="H828" s="42"/>
      <c r="I828" s="42"/>
      <c r="J828" s="42"/>
      <c r="K828" s="336"/>
      <c r="L828" s="219"/>
      <c r="M828" s="219"/>
      <c r="N828" s="219"/>
      <c r="O828" s="42"/>
      <c r="R828" s="42"/>
      <c r="S828" s="42"/>
    </row>
    <row r="829">
      <c r="A829" s="25"/>
      <c r="B829" s="42"/>
      <c r="C829" s="42"/>
      <c r="D829" s="42"/>
      <c r="E829" s="362"/>
      <c r="F829" s="220"/>
      <c r="G829" s="42"/>
      <c r="H829" s="42"/>
      <c r="I829" s="42"/>
      <c r="J829" s="42"/>
      <c r="K829" s="336"/>
      <c r="L829" s="219"/>
      <c r="M829" s="219"/>
      <c r="N829" s="219"/>
      <c r="O829" s="42"/>
      <c r="R829" s="42"/>
      <c r="S829" s="42"/>
    </row>
    <row r="830">
      <c r="A830" s="25"/>
      <c r="B830" s="42"/>
      <c r="C830" s="42"/>
      <c r="D830" s="42"/>
      <c r="E830" s="362"/>
      <c r="F830" s="220"/>
      <c r="G830" s="42"/>
      <c r="H830" s="42"/>
      <c r="I830" s="42"/>
      <c r="J830" s="42"/>
      <c r="K830" s="336"/>
      <c r="L830" s="219"/>
      <c r="M830" s="219"/>
      <c r="N830" s="219"/>
      <c r="O830" s="42"/>
      <c r="R830" s="42"/>
      <c r="S830" s="42"/>
    </row>
    <row r="831">
      <c r="A831" s="25"/>
      <c r="B831" s="42"/>
      <c r="C831" s="42"/>
      <c r="D831" s="42"/>
      <c r="E831" s="362"/>
      <c r="F831" s="220"/>
      <c r="G831" s="42"/>
      <c r="H831" s="42"/>
      <c r="I831" s="42"/>
      <c r="J831" s="42"/>
      <c r="K831" s="336"/>
      <c r="L831" s="219"/>
      <c r="M831" s="219"/>
      <c r="N831" s="219"/>
      <c r="O831" s="42"/>
      <c r="R831" s="42"/>
      <c r="S831" s="42"/>
    </row>
    <row r="832">
      <c r="A832" s="25"/>
      <c r="B832" s="42"/>
      <c r="C832" s="42"/>
      <c r="D832" s="42"/>
      <c r="E832" s="362"/>
      <c r="F832" s="220"/>
      <c r="G832" s="42"/>
      <c r="H832" s="42"/>
      <c r="I832" s="42"/>
      <c r="J832" s="42"/>
      <c r="K832" s="336"/>
      <c r="L832" s="219"/>
      <c r="M832" s="219"/>
      <c r="N832" s="219"/>
      <c r="O832" s="42"/>
      <c r="R832" s="42"/>
      <c r="S832" s="42"/>
    </row>
    <row r="833">
      <c r="A833" s="25"/>
      <c r="B833" s="42"/>
      <c r="C833" s="42"/>
      <c r="D833" s="42"/>
      <c r="E833" s="362"/>
      <c r="F833" s="220"/>
      <c r="G833" s="42"/>
      <c r="H833" s="42"/>
      <c r="I833" s="42"/>
      <c r="J833" s="42"/>
      <c r="K833" s="336"/>
      <c r="L833" s="219"/>
      <c r="M833" s="219"/>
      <c r="N833" s="219"/>
      <c r="O833" s="42"/>
      <c r="R833" s="42"/>
      <c r="S833" s="42"/>
    </row>
    <row r="834">
      <c r="A834" s="25"/>
      <c r="B834" s="42"/>
      <c r="C834" s="42"/>
      <c r="D834" s="42"/>
      <c r="E834" s="362"/>
      <c r="F834" s="220"/>
      <c r="G834" s="42"/>
      <c r="H834" s="42"/>
      <c r="I834" s="42"/>
      <c r="J834" s="42"/>
      <c r="K834" s="336"/>
      <c r="L834" s="219"/>
      <c r="M834" s="219"/>
      <c r="N834" s="219"/>
      <c r="O834" s="42"/>
      <c r="R834" s="42"/>
      <c r="S834" s="42"/>
    </row>
    <row r="835">
      <c r="A835" s="25"/>
      <c r="B835" s="42"/>
      <c r="C835" s="42"/>
      <c r="D835" s="42"/>
      <c r="E835" s="362"/>
      <c r="F835" s="220"/>
      <c r="G835" s="42"/>
      <c r="H835" s="42"/>
      <c r="I835" s="42"/>
      <c r="J835" s="42"/>
      <c r="K835" s="336"/>
      <c r="L835" s="219"/>
      <c r="M835" s="219"/>
      <c r="N835" s="219"/>
      <c r="O835" s="42"/>
      <c r="R835" s="42"/>
      <c r="S835" s="42"/>
    </row>
    <row r="836">
      <c r="A836" s="25"/>
      <c r="B836" s="42"/>
      <c r="C836" s="42"/>
      <c r="D836" s="42"/>
      <c r="E836" s="362"/>
      <c r="F836" s="220"/>
      <c r="G836" s="42"/>
      <c r="H836" s="42"/>
      <c r="I836" s="42"/>
      <c r="J836" s="42"/>
      <c r="K836" s="336"/>
      <c r="L836" s="219"/>
      <c r="M836" s="219"/>
      <c r="N836" s="219"/>
      <c r="O836" s="42"/>
      <c r="R836" s="42"/>
      <c r="S836" s="42"/>
    </row>
    <row r="837">
      <c r="A837" s="25"/>
      <c r="B837" s="42"/>
      <c r="C837" s="42"/>
      <c r="D837" s="42"/>
      <c r="E837" s="362"/>
      <c r="F837" s="220"/>
      <c r="G837" s="42"/>
      <c r="H837" s="42"/>
      <c r="I837" s="42"/>
      <c r="J837" s="42"/>
      <c r="K837" s="336"/>
      <c r="L837" s="219"/>
      <c r="M837" s="219"/>
      <c r="N837" s="219"/>
      <c r="O837" s="42"/>
      <c r="R837" s="42"/>
      <c r="S837" s="42"/>
    </row>
    <row r="838">
      <c r="A838" s="25"/>
      <c r="B838" s="42"/>
      <c r="C838" s="42"/>
      <c r="D838" s="42"/>
      <c r="E838" s="362"/>
      <c r="F838" s="220"/>
      <c r="G838" s="42"/>
      <c r="H838" s="42"/>
      <c r="I838" s="42"/>
      <c r="J838" s="42"/>
      <c r="K838" s="336"/>
      <c r="L838" s="219"/>
      <c r="M838" s="219"/>
      <c r="N838" s="219"/>
      <c r="O838" s="42"/>
      <c r="R838" s="42"/>
      <c r="S838" s="42"/>
    </row>
    <row r="839">
      <c r="A839" s="25"/>
      <c r="B839" s="42"/>
      <c r="C839" s="42"/>
      <c r="D839" s="42"/>
      <c r="E839" s="362"/>
      <c r="F839" s="220"/>
      <c r="G839" s="42"/>
      <c r="H839" s="42"/>
      <c r="I839" s="42"/>
      <c r="J839" s="42"/>
      <c r="K839" s="336"/>
      <c r="L839" s="219"/>
      <c r="M839" s="219"/>
      <c r="N839" s="219"/>
      <c r="O839" s="42"/>
      <c r="R839" s="42"/>
      <c r="S839" s="42"/>
    </row>
    <row r="840">
      <c r="A840" s="25"/>
      <c r="B840" s="42"/>
      <c r="C840" s="42"/>
      <c r="D840" s="42"/>
      <c r="E840" s="362"/>
      <c r="F840" s="220"/>
      <c r="G840" s="42"/>
      <c r="H840" s="42"/>
      <c r="I840" s="42"/>
      <c r="J840" s="42"/>
      <c r="K840" s="336"/>
      <c r="L840" s="219"/>
      <c r="M840" s="219"/>
      <c r="N840" s="219"/>
      <c r="O840" s="42"/>
      <c r="R840" s="42"/>
      <c r="S840" s="42"/>
    </row>
    <row r="841">
      <c r="A841" s="25"/>
      <c r="B841" s="42"/>
      <c r="C841" s="42"/>
      <c r="D841" s="42"/>
      <c r="E841" s="362"/>
      <c r="F841" s="220"/>
      <c r="G841" s="42"/>
      <c r="H841" s="42"/>
      <c r="I841" s="42"/>
      <c r="J841" s="42"/>
      <c r="K841" s="336"/>
      <c r="L841" s="219"/>
      <c r="M841" s="219"/>
      <c r="N841" s="219"/>
      <c r="O841" s="42"/>
      <c r="R841" s="42"/>
      <c r="S841" s="42"/>
    </row>
    <row r="842">
      <c r="A842" s="25"/>
      <c r="B842" s="42"/>
      <c r="C842" s="42"/>
      <c r="D842" s="42"/>
      <c r="E842" s="362"/>
      <c r="F842" s="220"/>
      <c r="G842" s="42"/>
      <c r="H842" s="42"/>
      <c r="I842" s="42"/>
      <c r="J842" s="42"/>
      <c r="K842" s="336"/>
      <c r="L842" s="219"/>
      <c r="M842" s="219"/>
      <c r="N842" s="219"/>
      <c r="O842" s="42"/>
      <c r="R842" s="42"/>
      <c r="S842" s="42"/>
    </row>
    <row r="843">
      <c r="A843" s="25"/>
      <c r="B843" s="42"/>
      <c r="C843" s="42"/>
      <c r="D843" s="42"/>
      <c r="E843" s="362"/>
      <c r="F843" s="220"/>
      <c r="G843" s="42"/>
      <c r="H843" s="42"/>
      <c r="I843" s="42"/>
      <c r="J843" s="42"/>
      <c r="K843" s="336"/>
      <c r="L843" s="219"/>
      <c r="M843" s="219"/>
      <c r="N843" s="219"/>
      <c r="O843" s="42"/>
      <c r="R843" s="42"/>
      <c r="S843" s="42"/>
    </row>
    <row r="844">
      <c r="A844" s="25"/>
      <c r="B844" s="42"/>
      <c r="C844" s="42"/>
      <c r="D844" s="42"/>
      <c r="E844" s="362"/>
      <c r="F844" s="220"/>
      <c r="G844" s="42"/>
      <c r="H844" s="42"/>
      <c r="I844" s="42"/>
      <c r="J844" s="42"/>
      <c r="K844" s="336"/>
      <c r="L844" s="219"/>
      <c r="M844" s="219"/>
      <c r="N844" s="219"/>
      <c r="O844" s="42"/>
      <c r="R844" s="42"/>
      <c r="S844" s="42"/>
    </row>
    <row r="845">
      <c r="A845" s="25"/>
      <c r="B845" s="42"/>
      <c r="C845" s="42"/>
      <c r="D845" s="42"/>
      <c r="E845" s="362"/>
      <c r="F845" s="220"/>
      <c r="G845" s="42"/>
      <c r="H845" s="42"/>
      <c r="I845" s="42"/>
      <c r="J845" s="42"/>
      <c r="K845" s="336"/>
      <c r="L845" s="219"/>
      <c r="M845" s="219"/>
      <c r="N845" s="219"/>
      <c r="O845" s="42"/>
      <c r="R845" s="42"/>
      <c r="S845" s="42"/>
    </row>
    <row r="846">
      <c r="A846" s="25"/>
      <c r="B846" s="42"/>
      <c r="C846" s="42"/>
      <c r="D846" s="42"/>
      <c r="E846" s="362"/>
      <c r="F846" s="220"/>
      <c r="G846" s="42"/>
      <c r="H846" s="42"/>
      <c r="I846" s="42"/>
      <c r="J846" s="42"/>
      <c r="K846" s="336"/>
      <c r="L846" s="219"/>
      <c r="M846" s="219"/>
      <c r="N846" s="219"/>
      <c r="O846" s="42"/>
      <c r="R846" s="42"/>
      <c r="S846" s="42"/>
    </row>
    <row r="847">
      <c r="A847" s="25"/>
      <c r="B847" s="42"/>
      <c r="C847" s="42"/>
      <c r="D847" s="42"/>
      <c r="E847" s="362"/>
      <c r="F847" s="220"/>
      <c r="G847" s="42"/>
      <c r="H847" s="42"/>
      <c r="I847" s="42"/>
      <c r="J847" s="42"/>
      <c r="K847" s="336"/>
      <c r="L847" s="219"/>
      <c r="M847" s="219"/>
      <c r="N847" s="219"/>
      <c r="O847" s="42"/>
      <c r="R847" s="42"/>
      <c r="S847" s="42"/>
    </row>
    <row r="848">
      <c r="A848" s="25"/>
      <c r="B848" s="42"/>
      <c r="C848" s="42"/>
      <c r="D848" s="42"/>
      <c r="E848" s="362"/>
      <c r="F848" s="220"/>
      <c r="G848" s="42"/>
      <c r="H848" s="42"/>
      <c r="I848" s="42"/>
      <c r="J848" s="42"/>
      <c r="K848" s="336"/>
      <c r="L848" s="219"/>
      <c r="M848" s="219"/>
      <c r="N848" s="219"/>
      <c r="O848" s="42"/>
      <c r="R848" s="42"/>
      <c r="S848" s="42"/>
    </row>
    <row r="849">
      <c r="A849" s="25"/>
      <c r="B849" s="42"/>
      <c r="C849" s="42"/>
      <c r="D849" s="42"/>
      <c r="E849" s="362"/>
      <c r="F849" s="220"/>
      <c r="G849" s="42"/>
      <c r="H849" s="42"/>
      <c r="I849" s="42"/>
      <c r="J849" s="42"/>
      <c r="K849" s="336"/>
      <c r="L849" s="219"/>
      <c r="M849" s="219"/>
      <c r="N849" s="219"/>
      <c r="O849" s="42"/>
      <c r="R849" s="42"/>
      <c r="S849" s="42"/>
    </row>
    <row r="850">
      <c r="A850" s="25"/>
      <c r="B850" s="42"/>
      <c r="C850" s="42"/>
      <c r="D850" s="42"/>
      <c r="E850" s="362"/>
      <c r="F850" s="220"/>
      <c r="G850" s="42"/>
      <c r="H850" s="42"/>
      <c r="I850" s="42"/>
      <c r="J850" s="42"/>
      <c r="K850" s="336"/>
      <c r="L850" s="219"/>
      <c r="M850" s="219"/>
      <c r="N850" s="219"/>
      <c r="O850" s="42"/>
      <c r="R850" s="42"/>
      <c r="S850" s="42"/>
    </row>
    <row r="851">
      <c r="A851" s="25"/>
      <c r="B851" s="42"/>
      <c r="C851" s="42"/>
      <c r="D851" s="42"/>
      <c r="E851" s="362"/>
      <c r="F851" s="220"/>
      <c r="G851" s="42"/>
      <c r="H851" s="42"/>
      <c r="I851" s="42"/>
      <c r="J851" s="42"/>
      <c r="K851" s="336"/>
      <c r="L851" s="219"/>
      <c r="M851" s="219"/>
      <c r="N851" s="219"/>
      <c r="O851" s="42"/>
      <c r="R851" s="42"/>
      <c r="S851" s="42"/>
    </row>
    <row r="852">
      <c r="A852" s="25"/>
      <c r="B852" s="42"/>
      <c r="C852" s="42"/>
      <c r="D852" s="42"/>
      <c r="E852" s="362"/>
      <c r="F852" s="220"/>
      <c r="G852" s="42"/>
      <c r="H852" s="42"/>
      <c r="I852" s="42"/>
      <c r="J852" s="42"/>
      <c r="K852" s="336"/>
      <c r="L852" s="219"/>
      <c r="M852" s="219"/>
      <c r="N852" s="219"/>
      <c r="O852" s="42"/>
      <c r="R852" s="42"/>
      <c r="S852" s="42"/>
    </row>
    <row r="853">
      <c r="A853" s="25"/>
      <c r="B853" s="42"/>
      <c r="C853" s="42"/>
      <c r="D853" s="42"/>
      <c r="E853" s="362"/>
      <c r="F853" s="220"/>
      <c r="G853" s="42"/>
      <c r="H853" s="42"/>
      <c r="I853" s="42"/>
      <c r="J853" s="42"/>
      <c r="K853" s="336"/>
      <c r="L853" s="219"/>
      <c r="M853" s="219"/>
      <c r="N853" s="219"/>
      <c r="O853" s="42"/>
      <c r="R853" s="42"/>
      <c r="S853" s="42"/>
    </row>
    <row r="854">
      <c r="A854" s="25"/>
      <c r="B854" s="42"/>
      <c r="C854" s="42"/>
      <c r="D854" s="42"/>
      <c r="E854" s="362"/>
      <c r="F854" s="220"/>
      <c r="G854" s="42"/>
      <c r="H854" s="42"/>
      <c r="I854" s="42"/>
      <c r="J854" s="42"/>
      <c r="K854" s="336"/>
      <c r="L854" s="219"/>
      <c r="M854" s="219"/>
      <c r="N854" s="219"/>
      <c r="O854" s="42"/>
      <c r="R854" s="42"/>
      <c r="S854" s="42"/>
    </row>
    <row r="855">
      <c r="A855" s="25"/>
      <c r="B855" s="42"/>
      <c r="C855" s="42"/>
      <c r="D855" s="42"/>
      <c r="E855" s="362"/>
      <c r="F855" s="220"/>
      <c r="G855" s="42"/>
      <c r="H855" s="42"/>
      <c r="I855" s="42"/>
      <c r="J855" s="42"/>
      <c r="K855" s="336"/>
      <c r="L855" s="219"/>
      <c r="M855" s="219"/>
      <c r="N855" s="219"/>
      <c r="O855" s="42"/>
      <c r="R855" s="42"/>
      <c r="S855" s="42"/>
    </row>
    <row r="856">
      <c r="A856" s="25"/>
      <c r="B856" s="42"/>
      <c r="C856" s="42"/>
      <c r="D856" s="42"/>
      <c r="E856" s="362"/>
      <c r="F856" s="220"/>
      <c r="G856" s="42"/>
      <c r="H856" s="42"/>
      <c r="I856" s="42"/>
      <c r="J856" s="42"/>
      <c r="K856" s="336"/>
      <c r="L856" s="219"/>
      <c r="M856" s="219"/>
      <c r="N856" s="219"/>
      <c r="O856" s="42"/>
      <c r="R856" s="42"/>
      <c r="S856" s="42"/>
    </row>
    <row r="857">
      <c r="A857" s="25"/>
      <c r="B857" s="42"/>
      <c r="C857" s="42"/>
      <c r="D857" s="42"/>
      <c r="E857" s="362"/>
      <c r="F857" s="220"/>
      <c r="G857" s="42"/>
      <c r="H857" s="42"/>
      <c r="I857" s="42"/>
      <c r="J857" s="42"/>
      <c r="K857" s="336"/>
      <c r="L857" s="219"/>
      <c r="M857" s="219"/>
      <c r="N857" s="219"/>
      <c r="O857" s="42"/>
      <c r="R857" s="42"/>
      <c r="S857" s="42"/>
    </row>
    <row r="858">
      <c r="A858" s="25"/>
      <c r="B858" s="42"/>
      <c r="C858" s="42"/>
      <c r="D858" s="42"/>
      <c r="E858" s="362"/>
      <c r="F858" s="220"/>
      <c r="G858" s="42"/>
      <c r="H858" s="42"/>
      <c r="I858" s="42"/>
      <c r="J858" s="42"/>
      <c r="K858" s="336"/>
      <c r="L858" s="219"/>
      <c r="M858" s="219"/>
      <c r="N858" s="219"/>
      <c r="O858" s="42"/>
      <c r="R858" s="42"/>
      <c r="S858" s="42"/>
    </row>
    <row r="859">
      <c r="A859" s="25"/>
      <c r="B859" s="42"/>
      <c r="C859" s="42"/>
      <c r="D859" s="42"/>
      <c r="E859" s="362"/>
      <c r="F859" s="220"/>
      <c r="G859" s="42"/>
      <c r="H859" s="42"/>
      <c r="I859" s="42"/>
      <c r="J859" s="42"/>
      <c r="K859" s="336"/>
      <c r="L859" s="219"/>
      <c r="M859" s="219"/>
      <c r="N859" s="219"/>
      <c r="O859" s="42"/>
      <c r="R859" s="42"/>
      <c r="S859" s="42"/>
    </row>
    <row r="860">
      <c r="A860" s="25"/>
      <c r="B860" s="42"/>
      <c r="C860" s="42"/>
      <c r="D860" s="42"/>
      <c r="E860" s="362"/>
      <c r="F860" s="220"/>
      <c r="G860" s="42"/>
      <c r="H860" s="42"/>
      <c r="I860" s="42"/>
      <c r="J860" s="42"/>
      <c r="K860" s="336"/>
      <c r="L860" s="219"/>
      <c r="M860" s="219"/>
      <c r="N860" s="219"/>
      <c r="O860" s="42"/>
      <c r="R860" s="42"/>
      <c r="S860" s="42"/>
    </row>
    <row r="861">
      <c r="A861" s="25"/>
      <c r="B861" s="42"/>
      <c r="C861" s="42"/>
      <c r="D861" s="42"/>
      <c r="E861" s="362"/>
      <c r="F861" s="220"/>
      <c r="G861" s="42"/>
      <c r="H861" s="42"/>
      <c r="I861" s="42"/>
      <c r="J861" s="42"/>
      <c r="K861" s="336"/>
      <c r="L861" s="219"/>
      <c r="M861" s="219"/>
      <c r="N861" s="219"/>
      <c r="O861" s="42"/>
      <c r="R861" s="42"/>
      <c r="S861" s="42"/>
    </row>
    <row r="862">
      <c r="A862" s="25"/>
      <c r="B862" s="42"/>
      <c r="C862" s="42"/>
      <c r="D862" s="42"/>
      <c r="E862" s="362"/>
      <c r="F862" s="220"/>
      <c r="G862" s="42"/>
      <c r="H862" s="42"/>
      <c r="I862" s="42"/>
      <c r="J862" s="42"/>
      <c r="K862" s="336"/>
      <c r="L862" s="219"/>
      <c r="M862" s="219"/>
      <c r="N862" s="219"/>
      <c r="O862" s="42"/>
      <c r="R862" s="42"/>
      <c r="S862" s="42"/>
    </row>
    <row r="863">
      <c r="A863" s="25"/>
      <c r="B863" s="42"/>
      <c r="C863" s="42"/>
      <c r="D863" s="42"/>
      <c r="E863" s="362"/>
      <c r="F863" s="220"/>
      <c r="G863" s="42"/>
      <c r="H863" s="42"/>
      <c r="I863" s="42"/>
      <c r="J863" s="42"/>
      <c r="K863" s="336"/>
      <c r="L863" s="219"/>
      <c r="M863" s="219"/>
      <c r="N863" s="219"/>
      <c r="O863" s="42"/>
      <c r="R863" s="42"/>
      <c r="S863" s="42"/>
    </row>
    <row r="864">
      <c r="A864" s="25"/>
      <c r="B864" s="42"/>
      <c r="C864" s="42"/>
      <c r="D864" s="42"/>
      <c r="E864" s="362"/>
      <c r="F864" s="220"/>
      <c r="G864" s="42"/>
      <c r="H864" s="42"/>
      <c r="I864" s="42"/>
      <c r="J864" s="42"/>
      <c r="K864" s="336"/>
      <c r="L864" s="219"/>
      <c r="M864" s="219"/>
      <c r="N864" s="219"/>
      <c r="O864" s="42"/>
      <c r="R864" s="42"/>
      <c r="S864" s="42"/>
    </row>
    <row r="865">
      <c r="A865" s="25"/>
      <c r="B865" s="42"/>
      <c r="C865" s="42"/>
      <c r="D865" s="42"/>
      <c r="E865" s="362"/>
      <c r="F865" s="220"/>
      <c r="G865" s="42"/>
      <c r="H865" s="42"/>
      <c r="I865" s="42"/>
      <c r="J865" s="42"/>
      <c r="K865" s="336"/>
      <c r="L865" s="219"/>
      <c r="M865" s="219"/>
      <c r="N865" s="219"/>
      <c r="O865" s="42"/>
      <c r="R865" s="42"/>
      <c r="S865" s="42"/>
    </row>
    <row r="866">
      <c r="A866" s="25"/>
      <c r="B866" s="42"/>
      <c r="C866" s="42"/>
      <c r="D866" s="42"/>
      <c r="E866" s="362"/>
      <c r="F866" s="220"/>
      <c r="G866" s="42"/>
      <c r="H866" s="42"/>
      <c r="I866" s="42"/>
      <c r="J866" s="42"/>
      <c r="K866" s="336"/>
      <c r="L866" s="219"/>
      <c r="M866" s="219"/>
      <c r="N866" s="219"/>
      <c r="O866" s="42"/>
      <c r="R866" s="42"/>
      <c r="S866" s="42"/>
    </row>
    <row r="867">
      <c r="A867" s="25"/>
      <c r="B867" s="42"/>
      <c r="C867" s="42"/>
      <c r="D867" s="42"/>
      <c r="E867" s="362"/>
      <c r="F867" s="220"/>
      <c r="G867" s="42"/>
      <c r="H867" s="42"/>
      <c r="I867" s="42"/>
      <c r="J867" s="42"/>
      <c r="K867" s="336"/>
      <c r="L867" s="219"/>
      <c r="M867" s="219"/>
      <c r="N867" s="219"/>
      <c r="O867" s="42"/>
      <c r="R867" s="42"/>
      <c r="S867" s="42"/>
    </row>
    <row r="868">
      <c r="A868" s="25"/>
      <c r="B868" s="42"/>
      <c r="C868" s="42"/>
      <c r="D868" s="42"/>
      <c r="E868" s="362"/>
      <c r="F868" s="220"/>
      <c r="G868" s="42"/>
      <c r="H868" s="42"/>
      <c r="I868" s="42"/>
      <c r="J868" s="42"/>
      <c r="K868" s="336"/>
      <c r="L868" s="219"/>
      <c r="M868" s="219"/>
      <c r="N868" s="219"/>
      <c r="O868" s="42"/>
      <c r="R868" s="42"/>
      <c r="S868" s="42"/>
    </row>
    <row r="869">
      <c r="A869" s="25"/>
      <c r="B869" s="42"/>
      <c r="C869" s="42"/>
      <c r="D869" s="42"/>
      <c r="E869" s="362"/>
      <c r="F869" s="220"/>
      <c r="G869" s="42"/>
      <c r="H869" s="42"/>
      <c r="I869" s="42"/>
      <c r="J869" s="42"/>
      <c r="K869" s="336"/>
      <c r="L869" s="219"/>
      <c r="M869" s="219"/>
      <c r="N869" s="219"/>
      <c r="O869" s="42"/>
      <c r="R869" s="42"/>
      <c r="S869" s="42"/>
    </row>
    <row r="870">
      <c r="A870" s="25"/>
      <c r="B870" s="42"/>
      <c r="C870" s="42"/>
      <c r="D870" s="42"/>
      <c r="E870" s="362"/>
      <c r="F870" s="220"/>
      <c r="G870" s="42"/>
      <c r="H870" s="42"/>
      <c r="I870" s="42"/>
      <c r="J870" s="42"/>
      <c r="K870" s="336"/>
      <c r="L870" s="219"/>
      <c r="M870" s="219"/>
      <c r="N870" s="219"/>
      <c r="O870" s="42"/>
      <c r="R870" s="42"/>
      <c r="S870" s="42"/>
    </row>
    <row r="871">
      <c r="A871" s="25"/>
      <c r="B871" s="42"/>
      <c r="C871" s="42"/>
      <c r="D871" s="42"/>
      <c r="E871" s="362"/>
      <c r="F871" s="220"/>
      <c r="G871" s="42"/>
      <c r="H871" s="42"/>
      <c r="I871" s="42"/>
      <c r="J871" s="42"/>
      <c r="K871" s="336"/>
      <c r="L871" s="219"/>
      <c r="M871" s="219"/>
      <c r="N871" s="219"/>
      <c r="O871" s="42"/>
      <c r="R871" s="42"/>
      <c r="S871" s="42"/>
    </row>
    <row r="872">
      <c r="A872" s="25"/>
      <c r="B872" s="42"/>
      <c r="C872" s="42"/>
      <c r="D872" s="42"/>
      <c r="E872" s="362"/>
      <c r="F872" s="220"/>
      <c r="G872" s="42"/>
      <c r="H872" s="42"/>
      <c r="I872" s="42"/>
      <c r="J872" s="42"/>
      <c r="K872" s="336"/>
      <c r="L872" s="219"/>
      <c r="M872" s="219"/>
      <c r="N872" s="219"/>
      <c r="O872" s="42"/>
      <c r="R872" s="42"/>
      <c r="S872" s="42"/>
    </row>
    <row r="873">
      <c r="A873" s="25"/>
      <c r="B873" s="42"/>
      <c r="C873" s="42"/>
      <c r="D873" s="42"/>
      <c r="E873" s="362"/>
      <c r="F873" s="220"/>
      <c r="G873" s="42"/>
      <c r="H873" s="42"/>
      <c r="I873" s="42"/>
      <c r="J873" s="42"/>
      <c r="K873" s="336"/>
      <c r="L873" s="219"/>
      <c r="M873" s="219"/>
      <c r="N873" s="219"/>
      <c r="O873" s="42"/>
      <c r="R873" s="42"/>
      <c r="S873" s="42"/>
    </row>
    <row r="874">
      <c r="A874" s="25"/>
      <c r="B874" s="42"/>
      <c r="C874" s="42"/>
      <c r="D874" s="42"/>
      <c r="E874" s="362"/>
      <c r="F874" s="220"/>
      <c r="G874" s="42"/>
      <c r="H874" s="42"/>
      <c r="I874" s="42"/>
      <c r="J874" s="42"/>
      <c r="K874" s="336"/>
      <c r="L874" s="219"/>
      <c r="M874" s="219"/>
      <c r="N874" s="219"/>
      <c r="O874" s="42"/>
      <c r="R874" s="42"/>
      <c r="S874" s="42"/>
    </row>
    <row r="875">
      <c r="A875" s="25"/>
      <c r="B875" s="42"/>
      <c r="C875" s="42"/>
      <c r="D875" s="42"/>
      <c r="E875" s="362"/>
      <c r="F875" s="220"/>
      <c r="G875" s="42"/>
      <c r="H875" s="42"/>
      <c r="I875" s="42"/>
      <c r="J875" s="42"/>
      <c r="K875" s="336"/>
      <c r="L875" s="219"/>
      <c r="M875" s="219"/>
      <c r="N875" s="219"/>
      <c r="O875" s="42"/>
      <c r="R875" s="42"/>
      <c r="S875" s="42"/>
    </row>
    <row r="876">
      <c r="A876" s="25"/>
      <c r="B876" s="42"/>
      <c r="C876" s="42"/>
      <c r="D876" s="42"/>
      <c r="E876" s="362"/>
      <c r="F876" s="220"/>
      <c r="G876" s="42"/>
      <c r="H876" s="42"/>
      <c r="I876" s="42"/>
      <c r="J876" s="42"/>
      <c r="K876" s="336"/>
      <c r="L876" s="219"/>
      <c r="M876" s="219"/>
      <c r="N876" s="219"/>
      <c r="O876" s="42"/>
      <c r="R876" s="42"/>
      <c r="S876" s="42"/>
    </row>
    <row r="877">
      <c r="A877" s="25"/>
      <c r="B877" s="42"/>
      <c r="C877" s="42"/>
      <c r="D877" s="42"/>
      <c r="E877" s="362"/>
      <c r="F877" s="220"/>
      <c r="G877" s="42"/>
      <c r="H877" s="42"/>
      <c r="I877" s="42"/>
      <c r="J877" s="42"/>
      <c r="K877" s="336"/>
      <c r="L877" s="219"/>
      <c r="M877" s="219"/>
      <c r="N877" s="219"/>
      <c r="O877" s="42"/>
      <c r="R877" s="42"/>
      <c r="S877" s="42"/>
    </row>
    <row r="878">
      <c r="A878" s="25"/>
      <c r="B878" s="42"/>
      <c r="C878" s="42"/>
      <c r="D878" s="42"/>
      <c r="E878" s="362"/>
      <c r="F878" s="220"/>
      <c r="G878" s="42"/>
      <c r="H878" s="42"/>
      <c r="I878" s="42"/>
      <c r="J878" s="42"/>
      <c r="K878" s="336"/>
      <c r="L878" s="219"/>
      <c r="M878" s="219"/>
      <c r="N878" s="219"/>
      <c r="O878" s="42"/>
      <c r="R878" s="42"/>
      <c r="S878" s="42"/>
    </row>
    <row r="879">
      <c r="A879" s="25"/>
      <c r="B879" s="42"/>
      <c r="C879" s="42"/>
      <c r="D879" s="42"/>
      <c r="E879" s="362"/>
      <c r="F879" s="220"/>
      <c r="G879" s="42"/>
      <c r="H879" s="42"/>
      <c r="I879" s="42"/>
      <c r="J879" s="42"/>
      <c r="K879" s="336"/>
      <c r="L879" s="219"/>
      <c r="M879" s="219"/>
      <c r="N879" s="219"/>
      <c r="O879" s="42"/>
      <c r="R879" s="42"/>
      <c r="S879" s="42"/>
    </row>
    <row r="880">
      <c r="A880" s="25"/>
      <c r="B880" s="42"/>
      <c r="C880" s="42"/>
      <c r="D880" s="42"/>
      <c r="E880" s="362"/>
      <c r="F880" s="220"/>
      <c r="G880" s="42"/>
      <c r="H880" s="42"/>
      <c r="I880" s="42"/>
      <c r="J880" s="42"/>
      <c r="K880" s="336"/>
      <c r="L880" s="219"/>
      <c r="M880" s="219"/>
      <c r="N880" s="219"/>
      <c r="O880" s="42"/>
      <c r="R880" s="42"/>
      <c r="S880" s="42"/>
    </row>
    <row r="881">
      <c r="A881" s="25"/>
      <c r="B881" s="42"/>
      <c r="C881" s="42"/>
      <c r="D881" s="42"/>
      <c r="E881" s="362"/>
      <c r="F881" s="220"/>
      <c r="G881" s="42"/>
      <c r="H881" s="42"/>
      <c r="I881" s="42"/>
      <c r="J881" s="42"/>
      <c r="K881" s="336"/>
      <c r="L881" s="219"/>
      <c r="M881" s="219"/>
      <c r="N881" s="219"/>
      <c r="O881" s="42"/>
      <c r="R881" s="42"/>
      <c r="S881" s="42"/>
    </row>
    <row r="882">
      <c r="A882" s="25"/>
      <c r="B882" s="42"/>
      <c r="C882" s="42"/>
      <c r="D882" s="42"/>
      <c r="E882" s="362"/>
      <c r="F882" s="220"/>
      <c r="G882" s="42"/>
      <c r="H882" s="42"/>
      <c r="I882" s="42"/>
      <c r="J882" s="42"/>
      <c r="K882" s="336"/>
      <c r="L882" s="219"/>
      <c r="M882" s="219"/>
      <c r="N882" s="219"/>
      <c r="O882" s="42"/>
      <c r="R882" s="42"/>
      <c r="S882" s="42"/>
    </row>
    <row r="883">
      <c r="A883" s="25"/>
      <c r="B883" s="42"/>
      <c r="C883" s="42"/>
      <c r="D883" s="42"/>
      <c r="E883" s="362"/>
      <c r="F883" s="220"/>
      <c r="G883" s="42"/>
      <c r="H883" s="42"/>
      <c r="I883" s="42"/>
      <c r="J883" s="42"/>
      <c r="K883" s="336"/>
      <c r="L883" s="219"/>
      <c r="M883" s="219"/>
      <c r="N883" s="219"/>
      <c r="O883" s="42"/>
      <c r="R883" s="42"/>
      <c r="S883" s="42"/>
    </row>
    <row r="884">
      <c r="A884" s="25"/>
      <c r="B884" s="42"/>
      <c r="C884" s="42"/>
      <c r="D884" s="42"/>
      <c r="E884" s="362"/>
      <c r="F884" s="220"/>
      <c r="G884" s="42"/>
      <c r="H884" s="42"/>
      <c r="I884" s="42"/>
      <c r="J884" s="42"/>
      <c r="K884" s="336"/>
      <c r="L884" s="219"/>
      <c r="M884" s="219"/>
      <c r="N884" s="219"/>
      <c r="O884" s="42"/>
      <c r="R884" s="42"/>
      <c r="S884" s="42"/>
    </row>
    <row r="885">
      <c r="A885" s="25"/>
      <c r="B885" s="42"/>
      <c r="C885" s="42"/>
      <c r="D885" s="42"/>
      <c r="E885" s="362"/>
      <c r="F885" s="220"/>
      <c r="G885" s="42"/>
      <c r="H885" s="42"/>
      <c r="I885" s="42"/>
      <c r="J885" s="42"/>
      <c r="K885" s="336"/>
      <c r="L885" s="219"/>
      <c r="M885" s="219"/>
      <c r="N885" s="219"/>
      <c r="O885" s="42"/>
      <c r="R885" s="42"/>
      <c r="S885" s="42"/>
    </row>
    <row r="886">
      <c r="A886" s="25"/>
      <c r="B886" s="42"/>
      <c r="C886" s="42"/>
      <c r="D886" s="42"/>
      <c r="E886" s="362"/>
      <c r="F886" s="220"/>
      <c r="G886" s="42"/>
      <c r="H886" s="42"/>
      <c r="I886" s="42"/>
      <c r="J886" s="42"/>
      <c r="K886" s="336"/>
      <c r="L886" s="219"/>
      <c r="M886" s="219"/>
      <c r="N886" s="219"/>
      <c r="O886" s="42"/>
      <c r="R886" s="42"/>
      <c r="S886" s="42"/>
    </row>
    <row r="887">
      <c r="A887" s="25"/>
      <c r="B887" s="42"/>
      <c r="C887" s="42"/>
      <c r="D887" s="42"/>
      <c r="E887" s="362"/>
      <c r="F887" s="220"/>
      <c r="G887" s="42"/>
      <c r="H887" s="42"/>
      <c r="I887" s="42"/>
      <c r="J887" s="42"/>
      <c r="K887" s="336"/>
      <c r="L887" s="219"/>
      <c r="M887" s="219"/>
      <c r="N887" s="219"/>
      <c r="O887" s="42"/>
      <c r="R887" s="42"/>
      <c r="S887" s="42"/>
    </row>
    <row r="888">
      <c r="A888" s="25"/>
      <c r="B888" s="42"/>
      <c r="C888" s="42"/>
      <c r="D888" s="42"/>
      <c r="E888" s="362"/>
      <c r="F888" s="220"/>
      <c r="G888" s="42"/>
      <c r="H888" s="42"/>
      <c r="I888" s="42"/>
      <c r="J888" s="42"/>
      <c r="K888" s="336"/>
      <c r="L888" s="219"/>
      <c r="M888" s="219"/>
      <c r="N888" s="219"/>
      <c r="O888" s="42"/>
      <c r="R888" s="42"/>
      <c r="S888" s="42"/>
    </row>
    <row r="889">
      <c r="A889" s="25"/>
      <c r="B889" s="42"/>
      <c r="C889" s="42"/>
      <c r="D889" s="42"/>
      <c r="E889" s="362"/>
      <c r="F889" s="220"/>
      <c r="G889" s="42"/>
      <c r="H889" s="42"/>
      <c r="I889" s="42"/>
      <c r="J889" s="42"/>
      <c r="K889" s="336"/>
      <c r="L889" s="219"/>
      <c r="M889" s="219"/>
      <c r="N889" s="219"/>
      <c r="O889" s="42"/>
      <c r="R889" s="42"/>
      <c r="S889" s="42"/>
    </row>
    <row r="890">
      <c r="A890" s="25"/>
      <c r="B890" s="42"/>
      <c r="C890" s="42"/>
      <c r="D890" s="42"/>
      <c r="E890" s="362"/>
      <c r="F890" s="220"/>
      <c r="G890" s="42"/>
      <c r="H890" s="42"/>
      <c r="I890" s="42"/>
      <c r="J890" s="42"/>
      <c r="K890" s="336"/>
      <c r="L890" s="219"/>
      <c r="M890" s="219"/>
      <c r="N890" s="219"/>
      <c r="O890" s="42"/>
      <c r="R890" s="42"/>
      <c r="S890" s="42"/>
    </row>
    <row r="891">
      <c r="A891" s="25"/>
      <c r="B891" s="42"/>
      <c r="C891" s="42"/>
      <c r="D891" s="42"/>
      <c r="E891" s="362"/>
      <c r="F891" s="220"/>
      <c r="G891" s="42"/>
      <c r="H891" s="42"/>
      <c r="I891" s="42"/>
      <c r="J891" s="42"/>
      <c r="K891" s="336"/>
      <c r="L891" s="219"/>
      <c r="M891" s="219"/>
      <c r="N891" s="219"/>
      <c r="O891" s="42"/>
      <c r="R891" s="42"/>
      <c r="S891" s="42"/>
    </row>
    <row r="892">
      <c r="A892" s="25"/>
      <c r="B892" s="42"/>
      <c r="C892" s="42"/>
      <c r="D892" s="42"/>
      <c r="E892" s="362"/>
      <c r="F892" s="220"/>
      <c r="G892" s="42"/>
      <c r="H892" s="42"/>
      <c r="I892" s="42"/>
      <c r="J892" s="42"/>
      <c r="K892" s="336"/>
      <c r="L892" s="219"/>
      <c r="M892" s="219"/>
      <c r="N892" s="219"/>
      <c r="O892" s="42"/>
      <c r="R892" s="42"/>
      <c r="S892" s="42"/>
    </row>
    <row r="893">
      <c r="A893" s="25"/>
      <c r="B893" s="42"/>
      <c r="C893" s="42"/>
      <c r="D893" s="42"/>
      <c r="E893" s="362"/>
      <c r="F893" s="220"/>
      <c r="G893" s="42"/>
      <c r="H893" s="42"/>
      <c r="I893" s="42"/>
      <c r="J893" s="42"/>
      <c r="K893" s="336"/>
      <c r="L893" s="219"/>
      <c r="M893" s="219"/>
      <c r="N893" s="219"/>
      <c r="O893" s="42"/>
      <c r="R893" s="42"/>
      <c r="S893" s="42"/>
    </row>
    <row r="894">
      <c r="A894" s="25"/>
      <c r="B894" s="42"/>
      <c r="C894" s="42"/>
      <c r="D894" s="42"/>
      <c r="E894" s="362"/>
      <c r="F894" s="220"/>
      <c r="G894" s="42"/>
      <c r="H894" s="42"/>
      <c r="I894" s="42"/>
      <c r="J894" s="42"/>
      <c r="K894" s="336"/>
      <c r="L894" s="219"/>
      <c r="M894" s="219"/>
      <c r="N894" s="219"/>
      <c r="O894" s="42"/>
      <c r="R894" s="42"/>
      <c r="S894" s="42"/>
    </row>
    <row r="895">
      <c r="A895" s="25"/>
      <c r="B895" s="42"/>
      <c r="C895" s="42"/>
      <c r="D895" s="42"/>
      <c r="E895" s="362"/>
      <c r="F895" s="220"/>
      <c r="G895" s="42"/>
      <c r="H895" s="42"/>
      <c r="I895" s="42"/>
      <c r="J895" s="42"/>
      <c r="K895" s="336"/>
      <c r="L895" s="219"/>
      <c r="M895" s="219"/>
      <c r="N895" s="219"/>
      <c r="O895" s="42"/>
      <c r="R895" s="42"/>
      <c r="S895" s="42"/>
    </row>
    <row r="896">
      <c r="A896" s="25"/>
      <c r="B896" s="42"/>
      <c r="C896" s="42"/>
      <c r="D896" s="42"/>
      <c r="E896" s="362"/>
      <c r="F896" s="220"/>
      <c r="G896" s="42"/>
      <c r="H896" s="42"/>
      <c r="I896" s="42"/>
      <c r="J896" s="42"/>
      <c r="K896" s="336"/>
      <c r="L896" s="219"/>
      <c r="M896" s="219"/>
      <c r="N896" s="219"/>
      <c r="O896" s="42"/>
      <c r="R896" s="42"/>
      <c r="S896" s="42"/>
    </row>
    <row r="897">
      <c r="A897" s="25"/>
      <c r="B897" s="42"/>
      <c r="C897" s="42"/>
      <c r="D897" s="42"/>
      <c r="E897" s="362"/>
      <c r="F897" s="220"/>
      <c r="G897" s="42"/>
      <c r="H897" s="42"/>
      <c r="I897" s="42"/>
      <c r="J897" s="42"/>
      <c r="K897" s="336"/>
      <c r="L897" s="219"/>
      <c r="M897" s="219"/>
      <c r="N897" s="219"/>
      <c r="O897" s="42"/>
      <c r="R897" s="42"/>
      <c r="S897" s="42"/>
    </row>
    <row r="898">
      <c r="A898" s="25"/>
      <c r="B898" s="42"/>
      <c r="C898" s="42"/>
      <c r="D898" s="42"/>
      <c r="E898" s="362"/>
      <c r="F898" s="220"/>
      <c r="G898" s="42"/>
      <c r="H898" s="42"/>
      <c r="I898" s="42"/>
      <c r="J898" s="42"/>
      <c r="K898" s="336"/>
      <c r="L898" s="219"/>
      <c r="M898" s="219"/>
      <c r="N898" s="219"/>
      <c r="O898" s="42"/>
      <c r="R898" s="42"/>
      <c r="S898" s="42"/>
    </row>
    <row r="899">
      <c r="A899" s="25"/>
      <c r="B899" s="42"/>
      <c r="C899" s="42"/>
      <c r="D899" s="42"/>
      <c r="E899" s="362"/>
      <c r="F899" s="220"/>
      <c r="G899" s="42"/>
      <c r="H899" s="42"/>
      <c r="I899" s="42"/>
      <c r="J899" s="42"/>
      <c r="K899" s="336"/>
      <c r="L899" s="219"/>
      <c r="M899" s="219"/>
      <c r="N899" s="219"/>
      <c r="O899" s="42"/>
      <c r="R899" s="42"/>
      <c r="S899" s="42"/>
    </row>
    <row r="900">
      <c r="A900" s="25"/>
      <c r="B900" s="42"/>
      <c r="C900" s="42"/>
      <c r="D900" s="42"/>
      <c r="E900" s="362"/>
      <c r="F900" s="220"/>
      <c r="G900" s="42"/>
      <c r="H900" s="42"/>
      <c r="I900" s="42"/>
      <c r="J900" s="42"/>
      <c r="K900" s="336"/>
      <c r="L900" s="219"/>
      <c r="M900" s="219"/>
      <c r="N900" s="219"/>
      <c r="O900" s="42"/>
      <c r="R900" s="42"/>
      <c r="S900" s="42"/>
    </row>
    <row r="901">
      <c r="A901" s="25"/>
      <c r="B901" s="42"/>
      <c r="C901" s="42"/>
      <c r="D901" s="42"/>
      <c r="E901" s="362"/>
      <c r="F901" s="220"/>
      <c r="G901" s="42"/>
      <c r="H901" s="42"/>
      <c r="I901" s="42"/>
      <c r="J901" s="42"/>
      <c r="K901" s="336"/>
      <c r="L901" s="219"/>
      <c r="M901" s="219"/>
      <c r="N901" s="219"/>
      <c r="O901" s="42"/>
      <c r="R901" s="42"/>
      <c r="S901" s="42"/>
    </row>
    <row r="902">
      <c r="A902" s="25"/>
      <c r="B902" s="42"/>
      <c r="C902" s="42"/>
      <c r="D902" s="42"/>
      <c r="E902" s="362"/>
      <c r="F902" s="220"/>
      <c r="G902" s="42"/>
      <c r="H902" s="42"/>
      <c r="I902" s="42"/>
      <c r="J902" s="42"/>
      <c r="K902" s="336"/>
      <c r="L902" s="219"/>
      <c r="M902" s="219"/>
      <c r="N902" s="219"/>
      <c r="O902" s="42"/>
      <c r="R902" s="42"/>
      <c r="S902" s="42"/>
    </row>
    <row r="903">
      <c r="A903" s="25"/>
      <c r="B903" s="42"/>
      <c r="C903" s="42"/>
      <c r="D903" s="42"/>
      <c r="E903" s="362"/>
      <c r="F903" s="220"/>
      <c r="G903" s="42"/>
      <c r="H903" s="42"/>
      <c r="I903" s="42"/>
      <c r="J903" s="42"/>
      <c r="K903" s="336"/>
      <c r="L903" s="219"/>
      <c r="M903" s="219"/>
      <c r="N903" s="219"/>
      <c r="O903" s="42"/>
      <c r="R903" s="42"/>
      <c r="S903" s="42"/>
    </row>
    <row r="904">
      <c r="A904" s="25"/>
      <c r="B904" s="42"/>
      <c r="C904" s="42"/>
      <c r="D904" s="42"/>
      <c r="E904" s="362"/>
      <c r="F904" s="220"/>
      <c r="G904" s="42"/>
      <c r="H904" s="42"/>
      <c r="I904" s="42"/>
      <c r="J904" s="42"/>
      <c r="K904" s="336"/>
      <c r="L904" s="219"/>
      <c r="M904" s="219"/>
      <c r="N904" s="219"/>
      <c r="O904" s="42"/>
      <c r="R904" s="42"/>
      <c r="S904" s="42"/>
    </row>
    <row r="905">
      <c r="A905" s="25"/>
      <c r="B905" s="42"/>
      <c r="C905" s="42"/>
      <c r="D905" s="42"/>
      <c r="E905" s="362"/>
      <c r="F905" s="220"/>
      <c r="G905" s="42"/>
      <c r="H905" s="42"/>
      <c r="I905" s="42"/>
      <c r="J905" s="42"/>
      <c r="K905" s="336"/>
      <c r="L905" s="219"/>
      <c r="M905" s="219"/>
      <c r="N905" s="219"/>
      <c r="O905" s="42"/>
      <c r="R905" s="42"/>
      <c r="S905" s="42"/>
    </row>
    <row r="906">
      <c r="A906" s="25"/>
      <c r="B906" s="42"/>
      <c r="C906" s="42"/>
      <c r="D906" s="42"/>
      <c r="E906" s="362"/>
      <c r="F906" s="220"/>
      <c r="G906" s="42"/>
      <c r="H906" s="42"/>
      <c r="I906" s="42"/>
      <c r="J906" s="42"/>
      <c r="K906" s="336"/>
      <c r="L906" s="219"/>
      <c r="M906" s="219"/>
      <c r="N906" s="219"/>
      <c r="O906" s="42"/>
      <c r="R906" s="42"/>
      <c r="S906" s="42"/>
    </row>
    <row r="907">
      <c r="A907" s="25"/>
      <c r="B907" s="42"/>
      <c r="C907" s="42"/>
      <c r="D907" s="42"/>
      <c r="E907" s="362"/>
      <c r="F907" s="220"/>
      <c r="G907" s="42"/>
      <c r="H907" s="42"/>
      <c r="I907" s="42"/>
      <c r="J907" s="42"/>
      <c r="K907" s="336"/>
      <c r="L907" s="219"/>
      <c r="M907" s="219"/>
      <c r="N907" s="219"/>
      <c r="O907" s="42"/>
      <c r="R907" s="42"/>
      <c r="S907" s="42"/>
    </row>
    <row r="908">
      <c r="A908" s="25"/>
      <c r="B908" s="42"/>
      <c r="C908" s="42"/>
      <c r="D908" s="42"/>
      <c r="E908" s="362"/>
      <c r="F908" s="220"/>
      <c r="G908" s="42"/>
      <c r="H908" s="42"/>
      <c r="I908" s="42"/>
      <c r="J908" s="42"/>
      <c r="K908" s="336"/>
      <c r="L908" s="219"/>
      <c r="M908" s="219"/>
      <c r="N908" s="219"/>
      <c r="O908" s="42"/>
      <c r="R908" s="42"/>
      <c r="S908" s="42"/>
    </row>
    <row r="909">
      <c r="A909" s="25"/>
      <c r="B909" s="42"/>
      <c r="C909" s="42"/>
      <c r="D909" s="42"/>
      <c r="E909" s="362"/>
      <c r="F909" s="220"/>
      <c r="G909" s="42"/>
      <c r="H909" s="42"/>
      <c r="I909" s="42"/>
      <c r="J909" s="42"/>
      <c r="K909" s="336"/>
      <c r="L909" s="219"/>
      <c r="M909" s="219"/>
      <c r="N909" s="219"/>
      <c r="O909" s="42"/>
      <c r="R909" s="42"/>
      <c r="S909" s="42"/>
    </row>
    <row r="910">
      <c r="A910" s="25"/>
      <c r="B910" s="42"/>
      <c r="C910" s="42"/>
      <c r="D910" s="42"/>
      <c r="E910" s="362"/>
      <c r="F910" s="220"/>
      <c r="G910" s="42"/>
      <c r="H910" s="42"/>
      <c r="I910" s="42"/>
      <c r="J910" s="42"/>
      <c r="K910" s="336"/>
      <c r="L910" s="219"/>
      <c r="M910" s="219"/>
      <c r="N910" s="219"/>
      <c r="O910" s="42"/>
      <c r="R910" s="42"/>
      <c r="S910" s="42"/>
    </row>
    <row r="911">
      <c r="A911" s="25"/>
      <c r="B911" s="42"/>
      <c r="C911" s="42"/>
      <c r="D911" s="42"/>
      <c r="E911" s="362"/>
      <c r="F911" s="220"/>
      <c r="G911" s="42"/>
      <c r="H911" s="42"/>
      <c r="I911" s="42"/>
      <c r="J911" s="42"/>
      <c r="K911" s="336"/>
      <c r="L911" s="219"/>
      <c r="M911" s="219"/>
      <c r="N911" s="219"/>
      <c r="O911" s="42"/>
      <c r="R911" s="42"/>
      <c r="S911" s="42"/>
    </row>
    <row r="912">
      <c r="A912" s="25"/>
      <c r="B912" s="42"/>
      <c r="C912" s="42"/>
      <c r="D912" s="42"/>
      <c r="E912" s="362"/>
      <c r="F912" s="220"/>
      <c r="G912" s="42"/>
      <c r="H912" s="42"/>
      <c r="I912" s="42"/>
      <c r="J912" s="42"/>
      <c r="K912" s="336"/>
      <c r="L912" s="219"/>
      <c r="M912" s="219"/>
      <c r="N912" s="219"/>
      <c r="O912" s="42"/>
      <c r="R912" s="42"/>
      <c r="S912" s="42"/>
    </row>
    <row r="913">
      <c r="A913" s="25"/>
      <c r="B913" s="42"/>
      <c r="C913" s="42"/>
      <c r="D913" s="42"/>
      <c r="E913" s="362"/>
      <c r="F913" s="220"/>
      <c r="G913" s="42"/>
      <c r="H913" s="42"/>
      <c r="I913" s="42"/>
      <c r="J913" s="42"/>
      <c r="K913" s="336"/>
      <c r="L913" s="219"/>
      <c r="M913" s="219"/>
      <c r="N913" s="219"/>
      <c r="O913" s="42"/>
      <c r="R913" s="42"/>
      <c r="S913" s="42"/>
    </row>
    <row r="914">
      <c r="A914" s="25"/>
      <c r="B914" s="42"/>
      <c r="C914" s="42"/>
      <c r="D914" s="42"/>
      <c r="E914" s="362"/>
      <c r="F914" s="220"/>
      <c r="G914" s="42"/>
      <c r="H914" s="42"/>
      <c r="I914" s="42"/>
      <c r="J914" s="42"/>
      <c r="K914" s="336"/>
      <c r="L914" s="219"/>
      <c r="M914" s="219"/>
      <c r="N914" s="219"/>
      <c r="O914" s="42"/>
      <c r="R914" s="42"/>
      <c r="S914" s="42"/>
    </row>
    <row r="915">
      <c r="A915" s="25"/>
      <c r="B915" s="42"/>
      <c r="C915" s="42"/>
      <c r="D915" s="42"/>
      <c r="E915" s="362"/>
      <c r="F915" s="220"/>
      <c r="G915" s="42"/>
      <c r="H915" s="42"/>
      <c r="I915" s="42"/>
      <c r="J915" s="42"/>
      <c r="K915" s="336"/>
      <c r="L915" s="219"/>
      <c r="M915" s="219"/>
      <c r="N915" s="219"/>
      <c r="O915" s="42"/>
      <c r="R915" s="42"/>
      <c r="S915" s="42"/>
    </row>
    <row r="916">
      <c r="A916" s="25"/>
      <c r="B916" s="42"/>
      <c r="C916" s="42"/>
      <c r="D916" s="42"/>
      <c r="E916" s="362"/>
      <c r="F916" s="220"/>
      <c r="G916" s="42"/>
      <c r="H916" s="42"/>
      <c r="I916" s="42"/>
      <c r="J916" s="42"/>
      <c r="K916" s="336"/>
      <c r="L916" s="219"/>
      <c r="M916" s="219"/>
      <c r="N916" s="219"/>
      <c r="O916" s="42"/>
      <c r="R916" s="42"/>
      <c r="S916" s="42"/>
    </row>
    <row r="917">
      <c r="A917" s="25"/>
      <c r="B917" s="42"/>
      <c r="C917" s="42"/>
      <c r="D917" s="42"/>
      <c r="E917" s="362"/>
      <c r="F917" s="220"/>
      <c r="G917" s="42"/>
      <c r="H917" s="42"/>
      <c r="I917" s="42"/>
      <c r="J917" s="42"/>
      <c r="K917" s="336"/>
      <c r="L917" s="219"/>
      <c r="M917" s="219"/>
      <c r="N917" s="219"/>
      <c r="O917" s="42"/>
      <c r="R917" s="42"/>
      <c r="S917" s="42"/>
    </row>
    <row r="918">
      <c r="A918" s="25"/>
      <c r="B918" s="42"/>
      <c r="C918" s="42"/>
      <c r="D918" s="42"/>
      <c r="E918" s="362"/>
      <c r="F918" s="220"/>
      <c r="G918" s="42"/>
      <c r="H918" s="42"/>
      <c r="I918" s="42"/>
      <c r="J918" s="42"/>
      <c r="K918" s="336"/>
      <c r="L918" s="219"/>
      <c r="M918" s="219"/>
      <c r="N918" s="219"/>
      <c r="O918" s="42"/>
      <c r="R918" s="42"/>
      <c r="S918" s="42"/>
    </row>
    <row r="919">
      <c r="A919" s="25"/>
      <c r="B919" s="42"/>
      <c r="C919" s="42"/>
      <c r="D919" s="42"/>
      <c r="E919" s="362"/>
      <c r="F919" s="220"/>
      <c r="G919" s="42"/>
      <c r="H919" s="42"/>
      <c r="I919" s="42"/>
      <c r="J919" s="42"/>
      <c r="K919" s="336"/>
      <c r="L919" s="219"/>
      <c r="M919" s="219"/>
      <c r="N919" s="219"/>
      <c r="O919" s="42"/>
      <c r="R919" s="42"/>
      <c r="S919" s="42"/>
    </row>
    <row r="920">
      <c r="A920" s="25"/>
      <c r="B920" s="42"/>
      <c r="C920" s="42"/>
      <c r="D920" s="42"/>
      <c r="E920" s="362"/>
      <c r="F920" s="220"/>
      <c r="G920" s="42"/>
      <c r="H920" s="42"/>
      <c r="I920" s="42"/>
      <c r="J920" s="42"/>
      <c r="K920" s="336"/>
      <c r="L920" s="219"/>
      <c r="M920" s="219"/>
      <c r="N920" s="219"/>
      <c r="O920" s="42"/>
      <c r="R920" s="42"/>
      <c r="S920" s="42"/>
    </row>
    <row r="921">
      <c r="A921" s="25"/>
      <c r="B921" s="42"/>
      <c r="C921" s="42"/>
      <c r="D921" s="42"/>
      <c r="E921" s="362"/>
      <c r="F921" s="220"/>
      <c r="G921" s="42"/>
      <c r="H921" s="42"/>
      <c r="I921" s="42"/>
      <c r="J921" s="42"/>
      <c r="K921" s="336"/>
      <c r="L921" s="219"/>
      <c r="M921" s="219"/>
      <c r="N921" s="219"/>
      <c r="O921" s="42"/>
      <c r="R921" s="42"/>
      <c r="S921" s="42"/>
    </row>
    <row r="922">
      <c r="A922" s="25"/>
      <c r="B922" s="42"/>
      <c r="C922" s="42"/>
      <c r="D922" s="42"/>
      <c r="E922" s="362"/>
      <c r="F922" s="220"/>
      <c r="G922" s="42"/>
      <c r="H922" s="42"/>
      <c r="I922" s="42"/>
      <c r="J922" s="42"/>
      <c r="K922" s="336"/>
      <c r="L922" s="219"/>
      <c r="M922" s="219"/>
      <c r="N922" s="219"/>
      <c r="O922" s="42"/>
      <c r="R922" s="42"/>
      <c r="S922" s="42"/>
    </row>
    <row r="923">
      <c r="A923" s="25"/>
      <c r="B923" s="42"/>
      <c r="C923" s="42"/>
      <c r="D923" s="42"/>
      <c r="E923" s="362"/>
      <c r="F923" s="220"/>
      <c r="G923" s="42"/>
      <c r="H923" s="42"/>
      <c r="I923" s="42"/>
      <c r="J923" s="42"/>
      <c r="K923" s="336"/>
      <c r="L923" s="219"/>
      <c r="M923" s="219"/>
      <c r="N923" s="219"/>
      <c r="O923" s="42"/>
      <c r="R923" s="42"/>
      <c r="S923" s="42"/>
    </row>
    <row r="924">
      <c r="A924" s="25"/>
      <c r="B924" s="42"/>
      <c r="C924" s="42"/>
      <c r="D924" s="42"/>
      <c r="E924" s="362"/>
      <c r="F924" s="220"/>
      <c r="G924" s="42"/>
      <c r="H924" s="42"/>
      <c r="I924" s="42"/>
      <c r="J924" s="42"/>
      <c r="K924" s="336"/>
      <c r="L924" s="219"/>
      <c r="M924" s="219"/>
      <c r="N924" s="219"/>
      <c r="O924" s="42"/>
      <c r="R924" s="42"/>
      <c r="S924" s="42"/>
    </row>
    <row r="925">
      <c r="A925" s="25"/>
      <c r="B925" s="42"/>
      <c r="C925" s="42"/>
      <c r="D925" s="42"/>
      <c r="E925" s="362"/>
      <c r="F925" s="220"/>
      <c r="G925" s="42"/>
      <c r="H925" s="42"/>
      <c r="I925" s="42"/>
      <c r="J925" s="42"/>
      <c r="K925" s="336"/>
      <c r="L925" s="219"/>
      <c r="M925" s="219"/>
      <c r="N925" s="219"/>
      <c r="O925" s="42"/>
      <c r="R925" s="42"/>
      <c r="S925" s="42"/>
    </row>
    <row r="926">
      <c r="A926" s="25"/>
      <c r="B926" s="42"/>
      <c r="C926" s="42"/>
      <c r="D926" s="42"/>
      <c r="E926" s="362"/>
      <c r="F926" s="220"/>
      <c r="G926" s="42"/>
      <c r="H926" s="42"/>
      <c r="I926" s="42"/>
      <c r="J926" s="42"/>
      <c r="K926" s="336"/>
      <c r="L926" s="219"/>
      <c r="M926" s="219"/>
      <c r="N926" s="219"/>
      <c r="O926" s="42"/>
      <c r="R926" s="42"/>
      <c r="S926" s="42"/>
    </row>
    <row r="927">
      <c r="A927" s="25"/>
      <c r="B927" s="42"/>
      <c r="C927" s="42"/>
      <c r="D927" s="42"/>
      <c r="E927" s="362"/>
      <c r="F927" s="220"/>
      <c r="G927" s="42"/>
      <c r="H927" s="42"/>
      <c r="I927" s="42"/>
      <c r="J927" s="42"/>
      <c r="K927" s="336"/>
      <c r="L927" s="219"/>
      <c r="M927" s="219"/>
      <c r="N927" s="219"/>
      <c r="O927" s="42"/>
      <c r="R927" s="42"/>
      <c r="S927" s="42"/>
    </row>
    <row r="928">
      <c r="A928" s="25"/>
      <c r="B928" s="42"/>
      <c r="C928" s="42"/>
      <c r="D928" s="42"/>
      <c r="E928" s="362"/>
      <c r="F928" s="220"/>
      <c r="G928" s="42"/>
      <c r="H928" s="42"/>
      <c r="I928" s="42"/>
      <c r="J928" s="42"/>
      <c r="K928" s="336"/>
      <c r="L928" s="219"/>
      <c r="M928" s="219"/>
      <c r="N928" s="219"/>
      <c r="O928" s="42"/>
      <c r="R928" s="42"/>
      <c r="S928" s="42"/>
    </row>
    <row r="929">
      <c r="A929" s="25"/>
      <c r="B929" s="42"/>
      <c r="C929" s="42"/>
      <c r="D929" s="42"/>
      <c r="E929" s="362"/>
      <c r="F929" s="220"/>
      <c r="G929" s="42"/>
      <c r="H929" s="42"/>
      <c r="I929" s="42"/>
      <c r="J929" s="42"/>
      <c r="K929" s="336"/>
      <c r="L929" s="219"/>
      <c r="M929" s="219"/>
      <c r="N929" s="219"/>
      <c r="O929" s="42"/>
      <c r="R929" s="42"/>
      <c r="S929" s="42"/>
    </row>
    <row r="930">
      <c r="A930" s="25"/>
      <c r="B930" s="42"/>
      <c r="C930" s="42"/>
      <c r="D930" s="42"/>
      <c r="E930" s="362"/>
      <c r="F930" s="220"/>
      <c r="G930" s="42"/>
      <c r="H930" s="42"/>
      <c r="I930" s="42"/>
      <c r="J930" s="42"/>
      <c r="K930" s="336"/>
      <c r="L930" s="219"/>
      <c r="M930" s="219"/>
      <c r="N930" s="219"/>
      <c r="O930" s="42"/>
      <c r="R930" s="42"/>
      <c r="S930" s="42"/>
    </row>
    <row r="931">
      <c r="A931" s="25"/>
      <c r="B931" s="42"/>
      <c r="C931" s="42"/>
      <c r="D931" s="42"/>
      <c r="E931" s="362"/>
      <c r="F931" s="220"/>
      <c r="G931" s="42"/>
      <c r="H931" s="42"/>
      <c r="I931" s="42"/>
      <c r="J931" s="42"/>
      <c r="K931" s="336"/>
      <c r="L931" s="219"/>
      <c r="M931" s="219"/>
      <c r="N931" s="219"/>
      <c r="O931" s="42"/>
      <c r="R931" s="42"/>
      <c r="S931" s="42"/>
    </row>
    <row r="932">
      <c r="A932" s="25"/>
      <c r="B932" s="42"/>
      <c r="C932" s="42"/>
      <c r="D932" s="42"/>
      <c r="E932" s="362"/>
      <c r="F932" s="220"/>
      <c r="G932" s="42"/>
      <c r="H932" s="42"/>
      <c r="I932" s="42"/>
      <c r="J932" s="42"/>
      <c r="K932" s="336"/>
      <c r="L932" s="219"/>
      <c r="M932" s="219"/>
      <c r="N932" s="219"/>
      <c r="O932" s="42"/>
      <c r="R932" s="42"/>
      <c r="S932" s="42"/>
    </row>
    <row r="933">
      <c r="A933" s="25"/>
      <c r="B933" s="42"/>
      <c r="C933" s="42"/>
      <c r="D933" s="42"/>
      <c r="E933" s="362"/>
      <c r="F933" s="220"/>
      <c r="G933" s="42"/>
      <c r="H933" s="42"/>
      <c r="I933" s="42"/>
      <c r="J933" s="42"/>
      <c r="K933" s="336"/>
      <c r="L933" s="219"/>
      <c r="M933" s="219"/>
      <c r="N933" s="219"/>
      <c r="O933" s="42"/>
      <c r="R933" s="42"/>
      <c r="S933" s="42"/>
    </row>
    <row r="934">
      <c r="A934" s="25"/>
      <c r="B934" s="42"/>
      <c r="C934" s="42"/>
      <c r="D934" s="42"/>
      <c r="E934" s="362"/>
      <c r="F934" s="220"/>
      <c r="G934" s="42"/>
      <c r="H934" s="42"/>
      <c r="I934" s="42"/>
      <c r="J934" s="42"/>
      <c r="K934" s="336"/>
      <c r="L934" s="219"/>
      <c r="M934" s="219"/>
      <c r="N934" s="219"/>
      <c r="O934" s="42"/>
      <c r="R934" s="42"/>
      <c r="S934" s="42"/>
    </row>
    <row r="935">
      <c r="A935" s="25"/>
      <c r="B935" s="42"/>
      <c r="C935" s="42"/>
      <c r="D935" s="42"/>
      <c r="E935" s="362"/>
      <c r="F935" s="220"/>
      <c r="G935" s="42"/>
      <c r="H935" s="42"/>
      <c r="I935" s="42"/>
      <c r="J935" s="42"/>
      <c r="K935" s="336"/>
      <c r="L935" s="219"/>
      <c r="M935" s="219"/>
      <c r="N935" s="219"/>
      <c r="O935" s="42"/>
      <c r="R935" s="42"/>
      <c r="S935" s="42"/>
    </row>
    <row r="936">
      <c r="A936" s="25"/>
      <c r="B936" s="42"/>
      <c r="C936" s="42"/>
      <c r="D936" s="42"/>
      <c r="E936" s="362"/>
      <c r="F936" s="220"/>
      <c r="G936" s="42"/>
      <c r="H936" s="42"/>
      <c r="I936" s="42"/>
      <c r="J936" s="42"/>
      <c r="K936" s="336"/>
      <c r="L936" s="219"/>
      <c r="M936" s="219"/>
      <c r="N936" s="219"/>
      <c r="O936" s="42"/>
      <c r="R936" s="42"/>
      <c r="S936" s="42"/>
    </row>
    <row r="937">
      <c r="A937" s="25"/>
      <c r="B937" s="42"/>
      <c r="C937" s="42"/>
      <c r="D937" s="42"/>
      <c r="E937" s="362"/>
      <c r="F937" s="220"/>
      <c r="G937" s="42"/>
      <c r="H937" s="42"/>
      <c r="I937" s="42"/>
      <c r="J937" s="42"/>
      <c r="K937" s="336"/>
      <c r="L937" s="219"/>
      <c r="M937" s="219"/>
      <c r="N937" s="219"/>
      <c r="O937" s="42"/>
      <c r="R937" s="42"/>
      <c r="S937" s="42"/>
    </row>
    <row r="938">
      <c r="A938" s="25"/>
      <c r="B938" s="42"/>
      <c r="C938" s="42"/>
      <c r="D938" s="42"/>
      <c r="E938" s="362"/>
      <c r="F938" s="220"/>
      <c r="G938" s="42"/>
      <c r="H938" s="42"/>
      <c r="I938" s="42"/>
      <c r="J938" s="42"/>
      <c r="K938" s="336"/>
      <c r="L938" s="219"/>
      <c r="M938" s="219"/>
      <c r="N938" s="219"/>
      <c r="O938" s="42"/>
      <c r="R938" s="42"/>
      <c r="S938" s="42"/>
    </row>
    <row r="939">
      <c r="A939" s="25"/>
      <c r="B939" s="42"/>
      <c r="C939" s="42"/>
      <c r="D939" s="42"/>
      <c r="E939" s="362"/>
      <c r="F939" s="220"/>
      <c r="G939" s="42"/>
      <c r="H939" s="42"/>
      <c r="I939" s="42"/>
      <c r="J939" s="42"/>
      <c r="K939" s="336"/>
      <c r="L939" s="219"/>
      <c r="M939" s="219"/>
      <c r="N939" s="219"/>
      <c r="O939" s="42"/>
      <c r="R939" s="42"/>
      <c r="S939" s="42"/>
    </row>
    <row r="940">
      <c r="A940" s="25"/>
      <c r="B940" s="42"/>
      <c r="C940" s="42"/>
      <c r="D940" s="42"/>
      <c r="E940" s="362"/>
      <c r="F940" s="220"/>
      <c r="G940" s="42"/>
      <c r="H940" s="42"/>
      <c r="I940" s="42"/>
      <c r="J940" s="42"/>
      <c r="K940" s="336"/>
      <c r="L940" s="219"/>
      <c r="M940" s="219"/>
      <c r="N940" s="219"/>
      <c r="O940" s="42"/>
      <c r="R940" s="42"/>
      <c r="S940" s="42"/>
    </row>
    <row r="941">
      <c r="A941" s="25"/>
      <c r="B941" s="42"/>
      <c r="C941" s="42"/>
      <c r="D941" s="42"/>
      <c r="E941" s="362"/>
      <c r="F941" s="220"/>
      <c r="G941" s="42"/>
      <c r="H941" s="42"/>
      <c r="I941" s="42"/>
      <c r="J941" s="42"/>
      <c r="K941" s="336"/>
      <c r="L941" s="219"/>
      <c r="M941" s="219"/>
      <c r="N941" s="219"/>
      <c r="O941" s="42"/>
      <c r="R941" s="42"/>
      <c r="S941" s="42"/>
    </row>
    <row r="942">
      <c r="A942" s="25"/>
      <c r="B942" s="42"/>
      <c r="C942" s="42"/>
      <c r="D942" s="42"/>
      <c r="E942" s="362"/>
      <c r="F942" s="220"/>
      <c r="G942" s="42"/>
      <c r="H942" s="42"/>
      <c r="I942" s="42"/>
      <c r="J942" s="42"/>
      <c r="K942" s="336"/>
      <c r="L942" s="219"/>
      <c r="M942" s="219"/>
      <c r="N942" s="219"/>
      <c r="O942" s="42"/>
      <c r="R942" s="42"/>
      <c r="S942" s="42"/>
    </row>
    <row r="943">
      <c r="A943" s="25"/>
      <c r="B943" s="42"/>
      <c r="C943" s="42"/>
      <c r="D943" s="42"/>
      <c r="E943" s="362"/>
      <c r="F943" s="220"/>
      <c r="G943" s="42"/>
      <c r="H943" s="42"/>
      <c r="I943" s="42"/>
      <c r="J943" s="42"/>
      <c r="K943" s="336"/>
      <c r="L943" s="219"/>
      <c r="M943" s="219"/>
      <c r="N943" s="219"/>
      <c r="O943" s="42"/>
      <c r="R943" s="42"/>
      <c r="S943" s="42"/>
    </row>
    <row r="944">
      <c r="A944" s="25"/>
      <c r="B944" s="42"/>
      <c r="C944" s="42"/>
      <c r="D944" s="42"/>
      <c r="E944" s="362"/>
      <c r="F944" s="220"/>
      <c r="G944" s="42"/>
      <c r="H944" s="42"/>
      <c r="I944" s="42"/>
      <c r="J944" s="42"/>
      <c r="K944" s="336"/>
      <c r="L944" s="219"/>
      <c r="M944" s="219"/>
      <c r="N944" s="219"/>
      <c r="O944" s="42"/>
      <c r="R944" s="42"/>
      <c r="S944" s="42"/>
    </row>
    <row r="945">
      <c r="A945" s="25"/>
      <c r="B945" s="42"/>
      <c r="C945" s="42"/>
      <c r="D945" s="42"/>
      <c r="E945" s="362"/>
      <c r="F945" s="220"/>
      <c r="G945" s="42"/>
      <c r="H945" s="42"/>
      <c r="I945" s="42"/>
      <c r="J945" s="42"/>
      <c r="K945" s="336"/>
      <c r="L945" s="219"/>
      <c r="M945" s="219"/>
      <c r="N945" s="219"/>
      <c r="O945" s="42"/>
      <c r="R945" s="42"/>
      <c r="S945" s="42"/>
    </row>
    <row r="946">
      <c r="A946" s="25"/>
      <c r="B946" s="42"/>
      <c r="C946" s="42"/>
      <c r="D946" s="42"/>
      <c r="E946" s="362"/>
      <c r="F946" s="220"/>
      <c r="G946" s="42"/>
      <c r="H946" s="42"/>
      <c r="I946" s="42"/>
      <c r="J946" s="42"/>
      <c r="K946" s="336"/>
      <c r="L946" s="219"/>
      <c r="M946" s="219"/>
      <c r="N946" s="219"/>
      <c r="O946" s="42"/>
      <c r="R946" s="42"/>
      <c r="S946" s="42"/>
    </row>
    <row r="947">
      <c r="A947" s="25"/>
      <c r="B947" s="42"/>
      <c r="C947" s="42"/>
      <c r="D947" s="42"/>
      <c r="E947" s="362"/>
      <c r="F947" s="220"/>
      <c r="G947" s="42"/>
      <c r="H947" s="42"/>
      <c r="I947" s="42"/>
      <c r="J947" s="42"/>
      <c r="K947" s="336"/>
      <c r="L947" s="219"/>
      <c r="M947" s="219"/>
      <c r="N947" s="219"/>
      <c r="O947" s="42"/>
      <c r="R947" s="42"/>
      <c r="S947" s="42"/>
    </row>
    <row r="948">
      <c r="A948" s="25"/>
      <c r="B948" s="42"/>
      <c r="C948" s="42"/>
      <c r="D948" s="42"/>
      <c r="E948" s="362"/>
      <c r="F948" s="220"/>
      <c r="G948" s="42"/>
      <c r="H948" s="42"/>
      <c r="I948" s="42"/>
      <c r="J948" s="42"/>
      <c r="K948" s="336"/>
      <c r="L948" s="219"/>
      <c r="M948" s="219"/>
      <c r="N948" s="219"/>
      <c r="O948" s="42"/>
      <c r="R948" s="42"/>
      <c r="S948" s="42"/>
    </row>
    <row r="949">
      <c r="A949" s="25"/>
      <c r="B949" s="42"/>
      <c r="C949" s="42"/>
      <c r="D949" s="42"/>
      <c r="E949" s="362"/>
      <c r="F949" s="220"/>
      <c r="G949" s="42"/>
      <c r="H949" s="42"/>
      <c r="I949" s="42"/>
      <c r="J949" s="42"/>
      <c r="K949" s="336"/>
      <c r="L949" s="219"/>
      <c r="M949" s="219"/>
      <c r="N949" s="219"/>
      <c r="O949" s="42"/>
      <c r="R949" s="42"/>
      <c r="S949" s="42"/>
    </row>
    <row r="950">
      <c r="A950" s="25"/>
      <c r="B950" s="42"/>
      <c r="C950" s="42"/>
      <c r="D950" s="42"/>
      <c r="E950" s="362"/>
      <c r="F950" s="220"/>
      <c r="G950" s="42"/>
      <c r="H950" s="42"/>
      <c r="I950" s="42"/>
      <c r="J950" s="42"/>
      <c r="K950" s="336"/>
      <c r="L950" s="219"/>
      <c r="M950" s="219"/>
      <c r="N950" s="219"/>
      <c r="O950" s="42"/>
      <c r="R950" s="42"/>
      <c r="S950" s="42"/>
    </row>
    <row r="951">
      <c r="A951" s="25"/>
      <c r="B951" s="42"/>
      <c r="C951" s="42"/>
      <c r="D951" s="42"/>
      <c r="E951" s="362"/>
      <c r="F951" s="220"/>
      <c r="G951" s="42"/>
      <c r="H951" s="42"/>
      <c r="I951" s="42"/>
      <c r="J951" s="42"/>
      <c r="K951" s="336"/>
      <c r="L951" s="219"/>
      <c r="M951" s="219"/>
      <c r="N951" s="219"/>
      <c r="O951" s="42"/>
      <c r="R951" s="42"/>
      <c r="S951" s="42"/>
    </row>
    <row r="952">
      <c r="A952" s="25"/>
      <c r="B952" s="42"/>
      <c r="C952" s="42"/>
      <c r="D952" s="42"/>
      <c r="E952" s="362"/>
      <c r="F952" s="220"/>
      <c r="G952" s="42"/>
      <c r="H952" s="42"/>
      <c r="I952" s="42"/>
      <c r="J952" s="42"/>
      <c r="K952" s="336"/>
      <c r="L952" s="219"/>
      <c r="M952" s="219"/>
      <c r="N952" s="219"/>
      <c r="O952" s="42"/>
      <c r="R952" s="42"/>
      <c r="S952" s="42"/>
    </row>
    <row r="953">
      <c r="A953" s="25"/>
      <c r="B953" s="42"/>
      <c r="C953" s="42"/>
      <c r="D953" s="42"/>
      <c r="E953" s="362"/>
      <c r="F953" s="220"/>
      <c r="G953" s="42"/>
      <c r="H953" s="42"/>
      <c r="I953" s="42"/>
      <c r="J953" s="42"/>
      <c r="K953" s="336"/>
      <c r="L953" s="219"/>
      <c r="M953" s="219"/>
      <c r="N953" s="219"/>
      <c r="O953" s="42"/>
      <c r="R953" s="42"/>
      <c r="S953" s="42"/>
    </row>
    <row r="954">
      <c r="A954" s="25"/>
      <c r="B954" s="42"/>
      <c r="C954" s="42"/>
      <c r="D954" s="42"/>
      <c r="E954" s="362"/>
      <c r="F954" s="220"/>
      <c r="G954" s="42"/>
      <c r="H954" s="42"/>
      <c r="I954" s="42"/>
      <c r="J954" s="42"/>
      <c r="K954" s="336"/>
      <c r="L954" s="219"/>
      <c r="M954" s="219"/>
      <c r="N954" s="219"/>
      <c r="O954" s="42"/>
      <c r="R954" s="42"/>
      <c r="S954" s="42"/>
    </row>
    <row r="955">
      <c r="A955" s="25"/>
      <c r="B955" s="42"/>
      <c r="C955" s="42"/>
      <c r="D955" s="42"/>
      <c r="E955" s="362"/>
      <c r="F955" s="220"/>
      <c r="G955" s="42"/>
      <c r="H955" s="42"/>
      <c r="I955" s="42"/>
      <c r="J955" s="42"/>
      <c r="K955" s="336"/>
      <c r="L955" s="219"/>
      <c r="M955" s="219"/>
      <c r="N955" s="219"/>
      <c r="O955" s="42"/>
      <c r="R955" s="42"/>
      <c r="S955" s="42"/>
    </row>
    <row r="956">
      <c r="A956" s="25"/>
      <c r="B956" s="42"/>
      <c r="C956" s="42"/>
      <c r="D956" s="42"/>
      <c r="E956" s="362"/>
      <c r="F956" s="220"/>
      <c r="G956" s="42"/>
      <c r="H956" s="42"/>
      <c r="I956" s="42"/>
      <c r="J956" s="42"/>
      <c r="K956" s="336"/>
      <c r="L956" s="219"/>
      <c r="M956" s="219"/>
      <c r="N956" s="219"/>
      <c r="O956" s="42"/>
      <c r="R956" s="42"/>
      <c r="S956" s="42"/>
    </row>
    <row r="957">
      <c r="A957" s="25"/>
      <c r="B957" s="42"/>
      <c r="C957" s="42"/>
      <c r="D957" s="42"/>
      <c r="E957" s="362"/>
      <c r="F957" s="220"/>
      <c r="G957" s="42"/>
      <c r="H957" s="42"/>
      <c r="I957" s="42"/>
      <c r="J957" s="42"/>
      <c r="K957" s="336"/>
      <c r="L957" s="219"/>
      <c r="M957" s="219"/>
      <c r="N957" s="219"/>
      <c r="O957" s="42"/>
      <c r="R957" s="42"/>
      <c r="S957" s="42"/>
    </row>
    <row r="958">
      <c r="A958" s="25"/>
      <c r="B958" s="42"/>
      <c r="C958" s="42"/>
      <c r="D958" s="42"/>
      <c r="E958" s="362"/>
      <c r="F958" s="220"/>
      <c r="G958" s="42"/>
      <c r="H958" s="42"/>
      <c r="I958" s="42"/>
      <c r="J958" s="42"/>
      <c r="K958" s="336"/>
      <c r="L958" s="219"/>
      <c r="M958" s="219"/>
      <c r="N958" s="219"/>
      <c r="O958" s="42"/>
      <c r="R958" s="42"/>
      <c r="S958" s="42"/>
    </row>
    <row r="959">
      <c r="A959" s="25"/>
      <c r="B959" s="42"/>
      <c r="C959" s="42"/>
      <c r="D959" s="42"/>
      <c r="E959" s="362"/>
      <c r="F959" s="220"/>
      <c r="G959" s="42"/>
      <c r="H959" s="42"/>
      <c r="I959" s="42"/>
      <c r="J959" s="42"/>
      <c r="K959" s="336"/>
      <c r="L959" s="219"/>
      <c r="M959" s="219"/>
      <c r="N959" s="219"/>
      <c r="O959" s="42"/>
      <c r="R959" s="42"/>
      <c r="S959" s="42"/>
    </row>
    <row r="960">
      <c r="A960" s="25"/>
      <c r="B960" s="42"/>
      <c r="C960" s="42"/>
      <c r="D960" s="42"/>
      <c r="E960" s="362"/>
      <c r="F960" s="220"/>
      <c r="G960" s="42"/>
      <c r="H960" s="42"/>
      <c r="I960" s="42"/>
      <c r="J960" s="42"/>
      <c r="K960" s="336"/>
      <c r="L960" s="219"/>
      <c r="M960" s="219"/>
      <c r="N960" s="219"/>
      <c r="O960" s="42"/>
      <c r="R960" s="42"/>
      <c r="S960" s="42"/>
    </row>
    <row r="961">
      <c r="A961" s="25"/>
      <c r="B961" s="42"/>
      <c r="C961" s="42"/>
      <c r="D961" s="42"/>
      <c r="E961" s="362"/>
      <c r="F961" s="220"/>
      <c r="G961" s="42"/>
      <c r="H961" s="42"/>
      <c r="I961" s="42"/>
      <c r="J961" s="42"/>
      <c r="K961" s="336"/>
      <c r="L961" s="219"/>
      <c r="M961" s="219"/>
      <c r="N961" s="219"/>
      <c r="O961" s="42"/>
      <c r="R961" s="42"/>
      <c r="S961" s="42"/>
    </row>
    <row r="962">
      <c r="A962" s="25"/>
      <c r="B962" s="42"/>
      <c r="C962" s="42"/>
      <c r="D962" s="42"/>
      <c r="E962" s="362"/>
      <c r="F962" s="220"/>
      <c r="G962" s="42"/>
      <c r="H962" s="42"/>
      <c r="I962" s="42"/>
      <c r="J962" s="42"/>
      <c r="K962" s="336"/>
      <c r="L962" s="219"/>
      <c r="M962" s="219"/>
      <c r="N962" s="219"/>
      <c r="O962" s="42"/>
      <c r="R962" s="42"/>
      <c r="S962" s="42"/>
    </row>
    <row r="963">
      <c r="A963" s="25"/>
      <c r="B963" s="42"/>
      <c r="C963" s="42"/>
      <c r="D963" s="42"/>
      <c r="E963" s="362"/>
      <c r="F963" s="220"/>
      <c r="G963" s="42"/>
      <c r="H963" s="42"/>
      <c r="I963" s="42"/>
      <c r="J963" s="42"/>
      <c r="K963" s="336"/>
      <c r="L963" s="219"/>
      <c r="M963" s="219"/>
      <c r="N963" s="219"/>
      <c r="O963" s="42"/>
      <c r="R963" s="42"/>
      <c r="S963" s="42"/>
    </row>
    <row r="964">
      <c r="A964" s="25"/>
      <c r="B964" s="42"/>
      <c r="C964" s="42"/>
      <c r="D964" s="42"/>
      <c r="E964" s="362"/>
      <c r="F964" s="220"/>
      <c r="G964" s="42"/>
      <c r="H964" s="42"/>
      <c r="I964" s="42"/>
      <c r="J964" s="42"/>
      <c r="K964" s="336"/>
      <c r="L964" s="219"/>
      <c r="M964" s="219"/>
      <c r="N964" s="219"/>
      <c r="O964" s="42"/>
      <c r="R964" s="42"/>
      <c r="S964" s="42"/>
    </row>
    <row r="965">
      <c r="A965" s="25"/>
      <c r="B965" s="42"/>
      <c r="C965" s="42"/>
      <c r="D965" s="42"/>
      <c r="E965" s="362"/>
      <c r="F965" s="220"/>
      <c r="G965" s="42"/>
      <c r="H965" s="42"/>
      <c r="I965" s="42"/>
      <c r="J965" s="42"/>
      <c r="K965" s="336"/>
      <c r="L965" s="219"/>
      <c r="M965" s="219"/>
      <c r="N965" s="219"/>
      <c r="O965" s="42"/>
      <c r="R965" s="42"/>
      <c r="S965" s="42"/>
    </row>
    <row r="966">
      <c r="A966" s="25"/>
      <c r="B966" s="42"/>
      <c r="C966" s="42"/>
      <c r="D966" s="42"/>
      <c r="E966" s="362"/>
      <c r="F966" s="220"/>
      <c r="G966" s="42"/>
      <c r="H966" s="42"/>
      <c r="I966" s="42"/>
      <c r="J966" s="42"/>
      <c r="K966" s="336"/>
      <c r="L966" s="219"/>
      <c r="M966" s="219"/>
      <c r="N966" s="219"/>
      <c r="O966" s="42"/>
      <c r="R966" s="42"/>
      <c r="S966" s="42"/>
    </row>
    <row r="967">
      <c r="A967" s="25"/>
      <c r="B967" s="42"/>
      <c r="C967" s="42"/>
      <c r="D967" s="42"/>
      <c r="E967" s="362"/>
      <c r="F967" s="220"/>
      <c r="G967" s="42"/>
      <c r="H967" s="42"/>
      <c r="I967" s="42"/>
      <c r="J967" s="42"/>
      <c r="K967" s="336"/>
      <c r="L967" s="219"/>
      <c r="M967" s="219"/>
      <c r="N967" s="219"/>
      <c r="O967" s="42"/>
      <c r="R967" s="42"/>
      <c r="S967" s="42"/>
    </row>
    <row r="968">
      <c r="A968" s="25"/>
      <c r="B968" s="42"/>
      <c r="C968" s="42"/>
      <c r="D968" s="42"/>
      <c r="E968" s="362"/>
      <c r="F968" s="220"/>
      <c r="G968" s="42"/>
      <c r="H968" s="42"/>
      <c r="I968" s="42"/>
      <c r="J968" s="42"/>
      <c r="K968" s="336"/>
      <c r="L968" s="219"/>
      <c r="M968" s="219"/>
      <c r="N968" s="219"/>
      <c r="O968" s="42"/>
      <c r="R968" s="42"/>
      <c r="S968" s="42"/>
    </row>
    <row r="969">
      <c r="A969" s="25"/>
      <c r="B969" s="42"/>
      <c r="C969" s="42"/>
      <c r="D969" s="42"/>
      <c r="E969" s="362"/>
      <c r="F969" s="220"/>
      <c r="G969" s="42"/>
      <c r="H969" s="42"/>
      <c r="I969" s="42"/>
      <c r="J969" s="42"/>
      <c r="K969" s="336"/>
      <c r="L969" s="219"/>
      <c r="M969" s="219"/>
      <c r="N969" s="219"/>
      <c r="O969" s="42"/>
      <c r="R969" s="42"/>
      <c r="S969" s="42"/>
    </row>
    <row r="970">
      <c r="A970" s="25"/>
      <c r="B970" s="42"/>
      <c r="C970" s="42"/>
      <c r="D970" s="42"/>
      <c r="E970" s="362"/>
      <c r="F970" s="220"/>
      <c r="G970" s="42"/>
      <c r="H970" s="42"/>
      <c r="I970" s="42"/>
      <c r="J970" s="42"/>
      <c r="K970" s="336"/>
      <c r="L970" s="219"/>
      <c r="M970" s="219"/>
      <c r="N970" s="219"/>
      <c r="O970" s="42"/>
      <c r="R970" s="42"/>
      <c r="S970" s="42"/>
    </row>
    <row r="971">
      <c r="A971" s="25"/>
      <c r="B971" s="42"/>
      <c r="C971" s="42"/>
      <c r="D971" s="42"/>
      <c r="E971" s="362"/>
      <c r="F971" s="220"/>
      <c r="G971" s="42"/>
      <c r="H971" s="42"/>
      <c r="I971" s="42"/>
      <c r="J971" s="42"/>
      <c r="K971" s="336"/>
      <c r="L971" s="219"/>
      <c r="M971" s="219"/>
      <c r="N971" s="219"/>
      <c r="O971" s="42"/>
      <c r="R971" s="42"/>
      <c r="S971" s="42"/>
    </row>
    <row r="972">
      <c r="A972" s="25"/>
      <c r="B972" s="42"/>
      <c r="C972" s="42"/>
      <c r="D972" s="42"/>
      <c r="E972" s="362"/>
      <c r="F972" s="220"/>
      <c r="G972" s="42"/>
      <c r="H972" s="42"/>
      <c r="I972" s="42"/>
      <c r="J972" s="42"/>
      <c r="K972" s="336"/>
      <c r="L972" s="219"/>
      <c r="M972" s="219"/>
      <c r="N972" s="219"/>
      <c r="O972" s="42"/>
      <c r="R972" s="42"/>
      <c r="S972" s="42"/>
    </row>
    <row r="973">
      <c r="A973" s="25"/>
      <c r="B973" s="42"/>
      <c r="C973" s="42"/>
      <c r="D973" s="42"/>
      <c r="E973" s="362"/>
      <c r="F973" s="220"/>
      <c r="G973" s="42"/>
      <c r="H973" s="42"/>
      <c r="I973" s="42"/>
      <c r="J973" s="42"/>
      <c r="K973" s="336"/>
      <c r="L973" s="219"/>
      <c r="M973" s="219"/>
      <c r="N973" s="219"/>
      <c r="O973" s="42"/>
      <c r="R973" s="42"/>
      <c r="S973" s="42"/>
    </row>
    <row r="974">
      <c r="A974" s="25"/>
      <c r="B974" s="42"/>
      <c r="C974" s="42"/>
      <c r="D974" s="42"/>
      <c r="E974" s="362"/>
      <c r="F974" s="220"/>
      <c r="G974" s="42"/>
      <c r="H974" s="42"/>
      <c r="I974" s="42"/>
      <c r="J974" s="42"/>
      <c r="K974" s="336"/>
      <c r="L974" s="219"/>
      <c r="M974" s="219"/>
      <c r="N974" s="219"/>
      <c r="O974" s="42"/>
      <c r="R974" s="42"/>
      <c r="S974" s="42"/>
    </row>
    <row r="975">
      <c r="A975" s="25"/>
      <c r="B975" s="42"/>
      <c r="C975" s="42"/>
      <c r="D975" s="42"/>
      <c r="E975" s="362"/>
      <c r="F975" s="220"/>
      <c r="G975" s="42"/>
      <c r="H975" s="42"/>
      <c r="I975" s="42"/>
      <c r="J975" s="42"/>
      <c r="K975" s="336"/>
      <c r="L975" s="219"/>
      <c r="M975" s="219"/>
      <c r="N975" s="219"/>
      <c r="O975" s="42"/>
      <c r="R975" s="42"/>
      <c r="S975" s="42"/>
    </row>
    <row r="976">
      <c r="A976" s="25"/>
      <c r="B976" s="42"/>
      <c r="C976" s="42"/>
      <c r="D976" s="42"/>
      <c r="E976" s="362"/>
      <c r="F976" s="220"/>
      <c r="G976" s="42"/>
      <c r="H976" s="42"/>
      <c r="I976" s="42"/>
      <c r="J976" s="42"/>
      <c r="K976" s="336"/>
      <c r="L976" s="219"/>
      <c r="M976" s="219"/>
      <c r="N976" s="219"/>
      <c r="O976" s="42"/>
      <c r="R976" s="42"/>
      <c r="S976" s="42"/>
    </row>
    <row r="977">
      <c r="A977" s="25"/>
      <c r="B977" s="42"/>
      <c r="C977" s="42"/>
      <c r="D977" s="42"/>
      <c r="E977" s="362"/>
      <c r="F977" s="220"/>
      <c r="G977" s="42"/>
      <c r="H977" s="42"/>
      <c r="I977" s="42"/>
      <c r="J977" s="42"/>
      <c r="K977" s="336"/>
      <c r="L977" s="219"/>
      <c r="M977" s="219"/>
      <c r="N977" s="219"/>
      <c r="O977" s="42"/>
      <c r="R977" s="42"/>
      <c r="S977" s="42"/>
    </row>
    <row r="978">
      <c r="A978" s="25"/>
      <c r="B978" s="42"/>
      <c r="C978" s="42"/>
      <c r="D978" s="42"/>
      <c r="E978" s="362"/>
      <c r="F978" s="220"/>
      <c r="G978" s="42"/>
      <c r="H978" s="42"/>
      <c r="I978" s="42"/>
      <c r="J978" s="42"/>
      <c r="K978" s="336"/>
      <c r="L978" s="219"/>
      <c r="M978" s="219"/>
      <c r="N978" s="219"/>
      <c r="O978" s="42"/>
      <c r="R978" s="42"/>
      <c r="S978" s="42"/>
    </row>
    <row r="979">
      <c r="A979" s="25"/>
      <c r="B979" s="42"/>
      <c r="C979" s="42"/>
      <c r="D979" s="42"/>
      <c r="E979" s="362"/>
      <c r="F979" s="220"/>
      <c r="G979" s="42"/>
      <c r="H979" s="42"/>
      <c r="I979" s="42"/>
      <c r="J979" s="42"/>
      <c r="K979" s="336"/>
      <c r="L979" s="219"/>
      <c r="M979" s="219"/>
      <c r="N979" s="219"/>
      <c r="O979" s="42"/>
      <c r="R979" s="42"/>
      <c r="S979" s="42"/>
    </row>
    <row r="980">
      <c r="A980" s="25"/>
      <c r="B980" s="42"/>
      <c r="C980" s="42"/>
      <c r="D980" s="42"/>
      <c r="E980" s="362"/>
      <c r="F980" s="220"/>
      <c r="G980" s="42"/>
      <c r="H980" s="42"/>
      <c r="I980" s="42"/>
      <c r="J980" s="42"/>
      <c r="K980" s="336"/>
      <c r="L980" s="219"/>
      <c r="M980" s="219"/>
      <c r="N980" s="219"/>
      <c r="O980" s="42"/>
      <c r="R980" s="42"/>
      <c r="S980" s="42"/>
    </row>
    <row r="981">
      <c r="A981" s="25"/>
      <c r="B981" s="42"/>
      <c r="C981" s="42"/>
      <c r="D981" s="42"/>
      <c r="E981" s="362"/>
      <c r="F981" s="220"/>
      <c r="G981" s="42"/>
      <c r="H981" s="42"/>
      <c r="I981" s="42"/>
      <c r="J981" s="42"/>
      <c r="K981" s="336"/>
      <c r="L981" s="219"/>
      <c r="M981" s="219"/>
      <c r="N981" s="219"/>
      <c r="O981" s="42"/>
      <c r="R981" s="42"/>
      <c r="S981" s="42"/>
    </row>
    <row r="982">
      <c r="A982" s="25"/>
      <c r="B982" s="42"/>
      <c r="C982" s="42"/>
      <c r="D982" s="42"/>
      <c r="E982" s="362"/>
      <c r="F982" s="220"/>
      <c r="G982" s="42"/>
      <c r="H982" s="42"/>
      <c r="I982" s="42"/>
      <c r="J982" s="42"/>
      <c r="K982" s="336"/>
      <c r="L982" s="219"/>
      <c r="M982" s="219"/>
      <c r="N982" s="219"/>
      <c r="O982" s="42"/>
      <c r="R982" s="42"/>
      <c r="S982" s="42"/>
    </row>
    <row r="983">
      <c r="A983" s="25"/>
      <c r="B983" s="42"/>
      <c r="C983" s="42"/>
      <c r="D983" s="42"/>
      <c r="E983" s="362"/>
      <c r="F983" s="220"/>
      <c r="G983" s="42"/>
      <c r="H983" s="42"/>
      <c r="I983" s="42"/>
      <c r="J983" s="42"/>
      <c r="K983" s="336"/>
      <c r="L983" s="219"/>
      <c r="M983" s="219"/>
      <c r="N983" s="219"/>
      <c r="O983" s="42"/>
      <c r="R983" s="42"/>
      <c r="S983" s="42"/>
    </row>
    <row r="984">
      <c r="A984" s="25"/>
      <c r="B984" s="42"/>
      <c r="C984" s="42"/>
      <c r="D984" s="42"/>
      <c r="E984" s="362"/>
      <c r="F984" s="220"/>
      <c r="G984" s="42"/>
      <c r="H984" s="42"/>
      <c r="I984" s="42"/>
      <c r="J984" s="42"/>
      <c r="K984" s="336"/>
      <c r="L984" s="219"/>
      <c r="M984" s="219"/>
      <c r="N984" s="219"/>
      <c r="O984" s="42"/>
      <c r="R984" s="42"/>
      <c r="S984" s="42"/>
    </row>
    <row r="985">
      <c r="A985" s="25"/>
      <c r="B985" s="42"/>
      <c r="C985" s="42"/>
      <c r="D985" s="42"/>
      <c r="E985" s="362"/>
      <c r="F985" s="220"/>
      <c r="G985" s="42"/>
      <c r="H985" s="42"/>
      <c r="I985" s="42"/>
      <c r="J985" s="42"/>
      <c r="K985" s="336"/>
      <c r="L985" s="219"/>
      <c r="M985" s="219"/>
      <c r="N985" s="219"/>
      <c r="O985" s="42"/>
      <c r="R985" s="42"/>
      <c r="S985" s="42"/>
    </row>
    <row r="986">
      <c r="A986" s="25"/>
      <c r="B986" s="42"/>
      <c r="C986" s="42"/>
      <c r="D986" s="42"/>
      <c r="E986" s="362"/>
      <c r="F986" s="220"/>
      <c r="G986" s="42"/>
      <c r="H986" s="42"/>
      <c r="I986" s="42"/>
      <c r="J986" s="42"/>
      <c r="K986" s="336"/>
      <c r="L986" s="219"/>
      <c r="M986" s="219"/>
      <c r="N986" s="219"/>
      <c r="O986" s="42"/>
      <c r="R986" s="42"/>
      <c r="S986" s="42"/>
    </row>
    <row r="987">
      <c r="A987" s="25"/>
      <c r="B987" s="42"/>
      <c r="C987" s="42"/>
      <c r="D987" s="42"/>
      <c r="E987" s="362"/>
      <c r="F987" s="220"/>
      <c r="G987" s="42"/>
      <c r="H987" s="42"/>
      <c r="I987" s="42"/>
      <c r="J987" s="42"/>
      <c r="K987" s="336"/>
      <c r="L987" s="219"/>
      <c r="M987" s="219"/>
      <c r="N987" s="219"/>
      <c r="O987" s="42"/>
      <c r="R987" s="42"/>
      <c r="S987" s="42"/>
    </row>
    <row r="988">
      <c r="A988" s="25"/>
      <c r="B988" s="42"/>
      <c r="C988" s="42"/>
      <c r="D988" s="42"/>
      <c r="E988" s="362"/>
      <c r="F988" s="220"/>
      <c r="G988" s="42"/>
      <c r="H988" s="42"/>
      <c r="I988" s="42"/>
      <c r="J988" s="42"/>
      <c r="K988" s="336"/>
      <c r="L988" s="219"/>
      <c r="M988" s="219"/>
      <c r="N988" s="219"/>
      <c r="O988" s="42"/>
      <c r="R988" s="42"/>
      <c r="S988" s="42"/>
    </row>
    <row r="989">
      <c r="A989" s="25"/>
      <c r="B989" s="42"/>
      <c r="C989" s="42"/>
      <c r="D989" s="42"/>
      <c r="E989" s="362"/>
      <c r="F989" s="220"/>
      <c r="G989" s="42"/>
      <c r="H989" s="42"/>
      <c r="I989" s="42"/>
      <c r="J989" s="42"/>
      <c r="K989" s="336"/>
      <c r="L989" s="219"/>
      <c r="M989" s="219"/>
      <c r="N989" s="219"/>
      <c r="O989" s="42"/>
      <c r="R989" s="42"/>
      <c r="S989" s="42"/>
    </row>
    <row r="990">
      <c r="A990" s="25"/>
      <c r="B990" s="42"/>
      <c r="C990" s="42"/>
      <c r="D990" s="42"/>
      <c r="E990" s="362"/>
      <c r="F990" s="220"/>
      <c r="G990" s="42"/>
      <c r="H990" s="42"/>
      <c r="I990" s="42"/>
      <c r="J990" s="42"/>
      <c r="K990" s="336"/>
      <c r="L990" s="219"/>
      <c r="M990" s="219"/>
      <c r="N990" s="219"/>
      <c r="O990" s="42"/>
      <c r="R990" s="42"/>
      <c r="S990" s="42"/>
    </row>
    <row r="991">
      <c r="A991" s="25"/>
      <c r="B991" s="42"/>
      <c r="C991" s="42"/>
      <c r="D991" s="42"/>
      <c r="E991" s="362"/>
      <c r="F991" s="220"/>
      <c r="G991" s="42"/>
      <c r="H991" s="42"/>
      <c r="I991" s="42"/>
      <c r="J991" s="42"/>
      <c r="K991" s="336"/>
      <c r="L991" s="219"/>
      <c r="M991" s="219"/>
      <c r="N991" s="219"/>
      <c r="O991" s="42"/>
      <c r="R991" s="42"/>
      <c r="S991" s="42"/>
    </row>
    <row r="992">
      <c r="A992" s="25"/>
      <c r="B992" s="42"/>
      <c r="C992" s="42"/>
      <c r="D992" s="42"/>
      <c r="E992" s="362"/>
      <c r="F992" s="220"/>
      <c r="G992" s="42"/>
      <c r="H992" s="42"/>
      <c r="I992" s="42"/>
      <c r="J992" s="42"/>
      <c r="K992" s="336"/>
      <c r="L992" s="219"/>
      <c r="M992" s="219"/>
      <c r="N992" s="219"/>
      <c r="O992" s="42"/>
      <c r="R992" s="42"/>
      <c r="S992" s="42"/>
    </row>
    <row r="993">
      <c r="A993" s="25"/>
      <c r="B993" s="42"/>
      <c r="C993" s="42"/>
      <c r="D993" s="42"/>
      <c r="E993" s="362"/>
      <c r="F993" s="220"/>
      <c r="G993" s="42"/>
      <c r="H993" s="42"/>
      <c r="I993" s="42"/>
      <c r="J993" s="42"/>
      <c r="K993" s="336"/>
      <c r="L993" s="219"/>
      <c r="M993" s="219"/>
      <c r="N993" s="219"/>
      <c r="O993" s="42"/>
      <c r="R993" s="42"/>
      <c r="S993" s="42"/>
    </row>
    <row r="994">
      <c r="A994" s="25"/>
      <c r="B994" s="42"/>
      <c r="C994" s="42"/>
      <c r="D994" s="42"/>
      <c r="E994" s="362"/>
      <c r="F994" s="220"/>
      <c r="G994" s="42"/>
      <c r="H994" s="42"/>
      <c r="I994" s="42"/>
      <c r="J994" s="42"/>
      <c r="K994" s="336"/>
      <c r="L994" s="219"/>
      <c r="M994" s="219"/>
      <c r="N994" s="219"/>
      <c r="O994" s="42"/>
      <c r="R994" s="42"/>
      <c r="S994" s="42"/>
    </row>
    <row r="995">
      <c r="A995" s="25"/>
      <c r="B995" s="42"/>
      <c r="C995" s="42"/>
      <c r="D995" s="42"/>
      <c r="E995" s="362"/>
      <c r="F995" s="220"/>
      <c r="G995" s="42"/>
      <c r="H995" s="42"/>
      <c r="I995" s="42"/>
      <c r="J995" s="42"/>
      <c r="K995" s="336"/>
      <c r="L995" s="219"/>
      <c r="M995" s="219"/>
      <c r="N995" s="219"/>
      <c r="O995" s="42"/>
      <c r="R995" s="42"/>
      <c r="S995" s="42"/>
    </row>
    <row r="996">
      <c r="A996" s="25"/>
      <c r="B996" s="42"/>
      <c r="C996" s="42"/>
      <c r="D996" s="42"/>
      <c r="E996" s="362"/>
      <c r="F996" s="220"/>
      <c r="G996" s="42"/>
      <c r="H996" s="42"/>
      <c r="I996" s="42"/>
      <c r="J996" s="42"/>
      <c r="K996" s="336"/>
      <c r="L996" s="219"/>
      <c r="M996" s="219"/>
      <c r="N996" s="219"/>
      <c r="O996" s="42"/>
      <c r="R996" s="42"/>
      <c r="S996" s="42"/>
    </row>
    <row r="997">
      <c r="A997" s="25"/>
      <c r="B997" s="42"/>
      <c r="C997" s="42"/>
      <c r="D997" s="42"/>
      <c r="E997" s="362"/>
      <c r="F997" s="220"/>
      <c r="G997" s="42"/>
      <c r="H997" s="42"/>
      <c r="I997" s="42"/>
      <c r="J997" s="42"/>
      <c r="K997" s="336"/>
      <c r="L997" s="219"/>
      <c r="M997" s="219"/>
      <c r="N997" s="219"/>
      <c r="O997" s="42"/>
      <c r="R997" s="42"/>
      <c r="S997" s="42"/>
    </row>
    <row r="998">
      <c r="A998" s="25"/>
      <c r="B998" s="42"/>
      <c r="C998" s="42"/>
      <c r="D998" s="42"/>
      <c r="E998" s="362"/>
      <c r="F998" s="220"/>
      <c r="G998" s="42"/>
      <c r="H998" s="42"/>
      <c r="I998" s="42"/>
      <c r="J998" s="42"/>
      <c r="K998" s="336"/>
      <c r="L998" s="219"/>
      <c r="M998" s="219"/>
      <c r="N998" s="219"/>
      <c r="O998" s="42"/>
      <c r="R998" s="42"/>
      <c r="S998" s="42"/>
    </row>
  </sheetData>
  <autoFilter ref="$A$1:$S$314"/>
  <conditionalFormatting sqref="B314">
    <cfRule type="expression" dxfId="7" priority="1">
      <formula>COUNTIF(B:B, B313) &gt; 1</formula>
    </cfRule>
  </conditionalFormatting>
  <conditionalFormatting sqref="K1:K998">
    <cfRule type="cellIs" dxfId="8" priority="2" operator="equal">
      <formula>"FALSE"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45" t="s">
        <v>3</v>
      </c>
      <c r="B1" s="346" t="s">
        <v>10</v>
      </c>
      <c r="C1" s="347"/>
      <c r="D1" s="348"/>
      <c r="E1" s="349"/>
      <c r="F1" s="348"/>
      <c r="G1" s="350" t="s">
        <v>19</v>
      </c>
      <c r="H1" s="350" t="s">
        <v>24</v>
      </c>
      <c r="I1" s="351" t="s">
        <v>28</v>
      </c>
      <c r="J1" s="352" t="s">
        <v>30</v>
      </c>
    </row>
  </sheetData>
  <conditionalFormatting sqref="A1">
    <cfRule type="expression" dxfId="4" priority="1">
      <formula>COUNTIF(A:A, A1) &gt; 1</formula>
    </cfRule>
  </conditionalFormatting>
  <conditionalFormatting sqref="E1">
    <cfRule type="expression" dxfId="5" priority="2">
      <formula>$E1&lt;&gt;$G1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11" t="s">
        <v>1148</v>
      </c>
      <c r="B1" s="18" t="s">
        <v>18</v>
      </c>
      <c r="C1" s="18" t="s">
        <v>3864</v>
      </c>
      <c r="D1" s="18" t="s">
        <v>3865</v>
      </c>
      <c r="E1" s="11" t="s">
        <v>3866</v>
      </c>
      <c r="F1" s="18" t="s">
        <v>3867</v>
      </c>
      <c r="G1" s="18" t="s">
        <v>5</v>
      </c>
      <c r="H1" s="18" t="s">
        <v>3868</v>
      </c>
      <c r="I1" s="18" t="s">
        <v>3869</v>
      </c>
    </row>
    <row r="2">
      <c r="A2" s="11" t="s">
        <v>1118</v>
      </c>
      <c r="B2" s="18" t="s">
        <v>311</v>
      </c>
      <c r="C2" s="18" t="s">
        <v>2195</v>
      </c>
      <c r="D2" s="18" t="s">
        <v>218</v>
      </c>
      <c r="E2" s="11" t="s">
        <v>77</v>
      </c>
      <c r="F2" s="42" t="str">
        <f>VLOOKUP(A2,Main!A:J,9,0)</f>
        <v>VS10</v>
      </c>
      <c r="G2" s="25" t="str">
        <f>VLOOKUP(A2,Main!A:J,10,0)</f>
        <v>1</v>
      </c>
      <c r="H2" s="42" t="b">
        <f t="shared" ref="H2:I2" si="1">F2=D2</f>
        <v>1</v>
      </c>
      <c r="I2" s="42" t="b">
        <f t="shared" si="1"/>
        <v>1</v>
      </c>
    </row>
    <row r="3">
      <c r="A3" s="11" t="s">
        <v>1888</v>
      </c>
      <c r="B3" s="18" t="s">
        <v>311</v>
      </c>
      <c r="C3" s="18" t="s">
        <v>2195</v>
      </c>
      <c r="D3" s="18" t="s">
        <v>218</v>
      </c>
      <c r="E3" s="11" t="s">
        <v>77</v>
      </c>
      <c r="F3" s="42" t="str">
        <f>VLOOKUP(A3,Main!A:J,9,0)</f>
        <v>VS27</v>
      </c>
      <c r="G3" s="25" t="str">
        <f>VLOOKUP(A3,Main!A:J,10,0)</f>
        <v>1</v>
      </c>
      <c r="H3" s="42" t="b">
        <f t="shared" ref="H3:I3" si="2">F3=D3</f>
        <v>0</v>
      </c>
      <c r="I3" s="42" t="b">
        <f t="shared" si="2"/>
        <v>1</v>
      </c>
    </row>
    <row r="4">
      <c r="A4" s="11" t="s">
        <v>1124</v>
      </c>
      <c r="B4" s="18" t="s">
        <v>311</v>
      </c>
      <c r="C4" s="18" t="s">
        <v>2195</v>
      </c>
      <c r="D4" s="18" t="s">
        <v>218</v>
      </c>
      <c r="E4" s="11" t="s">
        <v>77</v>
      </c>
      <c r="F4" s="42" t="str">
        <f>VLOOKUP(A4,Main!A:J,9,0)</f>
        <v>VS10</v>
      </c>
      <c r="G4" s="25" t="str">
        <f>VLOOKUP(A4,Main!A:J,10,0)</f>
        <v>1</v>
      </c>
      <c r="H4" s="42" t="b">
        <f t="shared" ref="H4:I4" si="3">F4=D4</f>
        <v>1</v>
      </c>
      <c r="I4" s="42" t="b">
        <f t="shared" si="3"/>
        <v>1</v>
      </c>
    </row>
    <row r="5">
      <c r="A5" s="11" t="s">
        <v>1142</v>
      </c>
      <c r="B5" s="18" t="s">
        <v>311</v>
      </c>
      <c r="C5" s="18" t="s">
        <v>2195</v>
      </c>
      <c r="D5" s="18" t="s">
        <v>218</v>
      </c>
      <c r="E5" s="11" t="s">
        <v>77</v>
      </c>
      <c r="F5" s="42" t="str">
        <f>VLOOKUP(A5,Main!A:J,9,0)</f>
        <v>VS10</v>
      </c>
      <c r="G5" s="25" t="str">
        <f>VLOOKUP(A5,Main!A:J,10,0)</f>
        <v>1</v>
      </c>
      <c r="H5" s="42" t="b">
        <f t="shared" ref="H5:I5" si="4">F5=D5</f>
        <v>1</v>
      </c>
      <c r="I5" s="42" t="b">
        <f t="shared" si="4"/>
        <v>1</v>
      </c>
    </row>
    <row r="6">
      <c r="A6" s="11" t="s">
        <v>1128</v>
      </c>
      <c r="B6" s="18" t="s">
        <v>311</v>
      </c>
      <c r="C6" s="18" t="s">
        <v>2195</v>
      </c>
      <c r="D6" s="18" t="s">
        <v>218</v>
      </c>
      <c r="E6" s="11" t="s">
        <v>77</v>
      </c>
      <c r="F6" s="42" t="str">
        <f>VLOOKUP(A6,Main!A:J,9,0)</f>
        <v>VS10</v>
      </c>
      <c r="G6" s="25" t="str">
        <f>VLOOKUP(A6,Main!A:J,10,0)</f>
        <v>1</v>
      </c>
      <c r="H6" s="42" t="b">
        <f t="shared" ref="H6:I6" si="5">F6=D6</f>
        <v>1</v>
      </c>
      <c r="I6" s="42" t="b">
        <f t="shared" si="5"/>
        <v>1</v>
      </c>
    </row>
    <row r="7">
      <c r="A7" s="11" t="s">
        <v>1126</v>
      </c>
      <c r="B7" s="18" t="s">
        <v>311</v>
      </c>
      <c r="C7" s="18" t="s">
        <v>2195</v>
      </c>
      <c r="D7" s="18" t="s">
        <v>218</v>
      </c>
      <c r="E7" s="11" t="s">
        <v>77</v>
      </c>
      <c r="F7" s="42" t="str">
        <f>VLOOKUP(A7,Main!A:J,9,0)</f>
        <v>VS10</v>
      </c>
      <c r="G7" s="25" t="str">
        <f>VLOOKUP(A7,Main!A:J,10,0)</f>
        <v>1</v>
      </c>
      <c r="H7" s="42" t="b">
        <f t="shared" ref="H7:I7" si="6">F7=D7</f>
        <v>1</v>
      </c>
      <c r="I7" s="42" t="b">
        <f t="shared" si="6"/>
        <v>1</v>
      </c>
    </row>
    <row r="8">
      <c r="A8" s="11" t="s">
        <v>961</v>
      </c>
      <c r="B8" s="18" t="s">
        <v>311</v>
      </c>
      <c r="C8" s="18" t="s">
        <v>2195</v>
      </c>
      <c r="D8" s="18" t="s">
        <v>218</v>
      </c>
      <c r="E8" s="11" t="s">
        <v>77</v>
      </c>
      <c r="F8" s="42" t="str">
        <f>VLOOKUP(A8,Main!A:J,9,0)</f>
        <v>NOT RUNNING</v>
      </c>
      <c r="G8" s="25" t="str">
        <f>VLOOKUP(A8,Main!A:J,10,0)</f>
        <v>0</v>
      </c>
      <c r="H8" s="42" t="b">
        <f t="shared" ref="H8:I8" si="7">F8=D8</f>
        <v>0</v>
      </c>
      <c r="I8" s="42" t="b">
        <f t="shared" si="7"/>
        <v>0</v>
      </c>
    </row>
    <row r="9">
      <c r="A9" s="11" t="s">
        <v>1144</v>
      </c>
      <c r="B9" s="18" t="s">
        <v>311</v>
      </c>
      <c r="C9" s="18" t="s">
        <v>2195</v>
      </c>
      <c r="D9" s="18" t="s">
        <v>218</v>
      </c>
      <c r="E9" s="11" t="s">
        <v>77</v>
      </c>
      <c r="F9" s="42" t="str">
        <f>VLOOKUP(A9,Main!A:J,9,0)</f>
        <v>VS10</v>
      </c>
      <c r="G9" s="25" t="str">
        <f>VLOOKUP(A9,Main!A:J,10,0)</f>
        <v>1</v>
      </c>
      <c r="H9" s="42" t="b">
        <f t="shared" ref="H9:I9" si="8">F9=D9</f>
        <v>1</v>
      </c>
      <c r="I9" s="42" t="b">
        <f t="shared" si="8"/>
        <v>1</v>
      </c>
    </row>
    <row r="10">
      <c r="A10" s="11" t="s">
        <v>1120</v>
      </c>
      <c r="B10" s="18" t="s">
        <v>311</v>
      </c>
      <c r="C10" s="18" t="s">
        <v>2195</v>
      </c>
      <c r="D10" s="18" t="s">
        <v>218</v>
      </c>
      <c r="E10" s="11" t="s">
        <v>77</v>
      </c>
      <c r="F10" s="42" t="str">
        <f>VLOOKUP(A10,Main!A:J,9,0)</f>
        <v>VS10</v>
      </c>
      <c r="G10" s="25" t="str">
        <f>VLOOKUP(A10,Main!A:J,10,0)</f>
        <v>1</v>
      </c>
      <c r="H10" s="42" t="b">
        <f t="shared" ref="H10:I10" si="9">F10=D10</f>
        <v>1</v>
      </c>
      <c r="I10" s="42" t="b">
        <f t="shared" si="9"/>
        <v>1</v>
      </c>
    </row>
    <row r="11">
      <c r="A11" s="11" t="s">
        <v>1122</v>
      </c>
      <c r="B11" s="18" t="s">
        <v>311</v>
      </c>
      <c r="C11" s="18" t="s">
        <v>2195</v>
      </c>
      <c r="D11" s="18" t="s">
        <v>218</v>
      </c>
      <c r="E11" s="11" t="s">
        <v>77</v>
      </c>
      <c r="F11" s="42" t="str">
        <f>VLOOKUP(A11,Main!A:J,9,0)</f>
        <v>VS10</v>
      </c>
      <c r="G11" s="25" t="str">
        <f>VLOOKUP(A11,Main!A:J,10,0)</f>
        <v>1</v>
      </c>
      <c r="H11" s="42" t="b">
        <f t="shared" ref="H11:I11" si="10">F11=D11</f>
        <v>1</v>
      </c>
      <c r="I11" s="42" t="b">
        <f t="shared" si="10"/>
        <v>1</v>
      </c>
    </row>
    <row r="12">
      <c r="A12" s="11" t="s">
        <v>1110</v>
      </c>
      <c r="B12" s="18" t="s">
        <v>85</v>
      </c>
      <c r="C12" s="18" t="s">
        <v>230</v>
      </c>
      <c r="D12" s="18" t="s">
        <v>218</v>
      </c>
      <c r="E12" s="11" t="s">
        <v>77</v>
      </c>
      <c r="F12" s="42" t="str">
        <f>VLOOKUP(A12,Main!A:J,9,0)</f>
        <v>VS10</v>
      </c>
      <c r="G12" s="25" t="str">
        <f>VLOOKUP(A12,Main!A:J,10,0)</f>
        <v>1</v>
      </c>
      <c r="H12" s="42" t="b">
        <f t="shared" ref="H12:I12" si="11">F12=D12</f>
        <v>1</v>
      </c>
      <c r="I12" s="42" t="b">
        <f t="shared" si="11"/>
        <v>1</v>
      </c>
    </row>
    <row r="13">
      <c r="A13" s="11" t="s">
        <v>635</v>
      </c>
      <c r="B13" s="18" t="s">
        <v>85</v>
      </c>
      <c r="C13" s="18" t="s">
        <v>230</v>
      </c>
      <c r="D13" s="18" t="s">
        <v>218</v>
      </c>
      <c r="E13" s="11" t="s">
        <v>77</v>
      </c>
      <c r="F13" s="42" t="str">
        <f>VLOOKUP(A13,Main!A:J,9,0)</f>
        <v>VS1</v>
      </c>
      <c r="G13" s="25" t="str">
        <f>VLOOKUP(A13,Main!A:J,10,0)</f>
        <v>8</v>
      </c>
      <c r="H13" s="42" t="b">
        <f t="shared" ref="H13:I13" si="12">F13=D13</f>
        <v>0</v>
      </c>
      <c r="I13" s="42" t="b">
        <f t="shared" si="12"/>
        <v>0</v>
      </c>
    </row>
    <row r="14">
      <c r="A14" s="11" t="s">
        <v>1101</v>
      </c>
      <c r="B14" s="18" t="s">
        <v>85</v>
      </c>
      <c r="C14" s="18" t="s">
        <v>230</v>
      </c>
      <c r="D14" s="18" t="s">
        <v>218</v>
      </c>
      <c r="E14" s="11" t="s">
        <v>77</v>
      </c>
      <c r="F14" s="42" t="str">
        <f>VLOOKUP(A14,Main!A:J,9,0)</f>
        <v>VS10</v>
      </c>
      <c r="G14" s="25" t="str">
        <f>VLOOKUP(A14,Main!A:J,10,0)</f>
        <v>1</v>
      </c>
      <c r="H14" s="42" t="b">
        <f t="shared" ref="H14:I14" si="13">F14=D14</f>
        <v>1</v>
      </c>
      <c r="I14" s="42" t="b">
        <f t="shared" si="13"/>
        <v>1</v>
      </c>
    </row>
    <row r="15">
      <c r="A15" s="11" t="s">
        <v>1096</v>
      </c>
      <c r="B15" s="18" t="s">
        <v>85</v>
      </c>
      <c r="C15" s="18" t="s">
        <v>230</v>
      </c>
      <c r="D15" s="18" t="s">
        <v>218</v>
      </c>
      <c r="E15" s="11" t="s">
        <v>77</v>
      </c>
      <c r="F15" s="42" t="str">
        <f>VLOOKUP(A15,Main!A:J,9,0)</f>
        <v>VS10</v>
      </c>
      <c r="G15" s="25" t="str">
        <f>VLOOKUP(A15,Main!A:J,10,0)</f>
        <v>1</v>
      </c>
      <c r="H15" s="42" t="b">
        <f t="shared" ref="H15:I15" si="14">F15=D15</f>
        <v>1</v>
      </c>
      <c r="I15" s="42" t="b">
        <f t="shared" si="14"/>
        <v>1</v>
      </c>
    </row>
    <row r="16">
      <c r="A16" s="11" t="s">
        <v>1104</v>
      </c>
      <c r="B16" s="18" t="s">
        <v>85</v>
      </c>
      <c r="C16" s="18" t="s">
        <v>230</v>
      </c>
      <c r="D16" s="18" t="s">
        <v>218</v>
      </c>
      <c r="E16" s="11" t="s">
        <v>77</v>
      </c>
      <c r="F16" s="42" t="str">
        <f>VLOOKUP(A16,Main!A:J,9,0)</f>
        <v>VS10</v>
      </c>
      <c r="G16" s="25" t="str">
        <f>VLOOKUP(A16,Main!A:J,10,0)</f>
        <v>1</v>
      </c>
      <c r="H16" s="42" t="b">
        <f t="shared" ref="H16:I16" si="15">F16=D16</f>
        <v>1</v>
      </c>
      <c r="I16" s="42" t="b">
        <f t="shared" si="15"/>
        <v>1</v>
      </c>
    </row>
    <row r="17">
      <c r="A17" s="11" t="s">
        <v>1352</v>
      </c>
      <c r="B17" s="18" t="s">
        <v>85</v>
      </c>
      <c r="C17" s="18" t="s">
        <v>230</v>
      </c>
      <c r="D17" s="18" t="s">
        <v>218</v>
      </c>
      <c r="E17" s="11" t="s">
        <v>77</v>
      </c>
      <c r="F17" s="42" t="str">
        <f>VLOOKUP(A17,Main!A:J,9,0)</f>
        <v>VS14</v>
      </c>
      <c r="G17" s="25" t="str">
        <f>VLOOKUP(A17,Main!A:J,10,0)</f>
        <v>1</v>
      </c>
      <c r="H17" s="42" t="b">
        <f t="shared" ref="H17:I17" si="16">F17=D17</f>
        <v>0</v>
      </c>
      <c r="I17" s="42" t="b">
        <f t="shared" si="16"/>
        <v>1</v>
      </c>
    </row>
    <row r="18">
      <c r="A18" s="11" t="s">
        <v>1107</v>
      </c>
      <c r="B18" s="18" t="s">
        <v>85</v>
      </c>
      <c r="C18" s="18" t="s">
        <v>230</v>
      </c>
      <c r="D18" s="18" t="s">
        <v>218</v>
      </c>
      <c r="E18" s="11" t="s">
        <v>77</v>
      </c>
      <c r="F18" s="42" t="str">
        <f>VLOOKUP(A18,Main!A:J,9,0)</f>
        <v>VS10</v>
      </c>
      <c r="G18" s="25" t="str">
        <f>VLOOKUP(A18,Main!A:J,10,0)</f>
        <v>1</v>
      </c>
      <c r="H18" s="42" t="b">
        <f t="shared" ref="H18:I18" si="17">F18=D18</f>
        <v>1</v>
      </c>
      <c r="I18" s="42" t="b">
        <f t="shared" si="17"/>
        <v>1</v>
      </c>
    </row>
    <row r="19">
      <c r="A19" s="11" t="s">
        <v>1112</v>
      </c>
      <c r="B19" s="18" t="s">
        <v>85</v>
      </c>
      <c r="C19" s="18" t="s">
        <v>230</v>
      </c>
      <c r="D19" s="18" t="s">
        <v>218</v>
      </c>
      <c r="E19" s="11" t="s">
        <v>77</v>
      </c>
      <c r="F19" s="42" t="str">
        <f>VLOOKUP(A19,Main!A:J,9,0)</f>
        <v>VS10</v>
      </c>
      <c r="G19" s="25" t="str">
        <f>VLOOKUP(A19,Main!A:J,10,0)</f>
        <v>1</v>
      </c>
      <c r="H19" s="42" t="b">
        <f t="shared" ref="H19:I19" si="18">F19=D19</f>
        <v>1</v>
      </c>
      <c r="I19" s="42" t="b">
        <f t="shared" si="18"/>
        <v>1</v>
      </c>
    </row>
    <row r="20">
      <c r="A20" s="11" t="s">
        <v>1098</v>
      </c>
      <c r="B20" s="18" t="s">
        <v>85</v>
      </c>
      <c r="C20" s="18" t="s">
        <v>230</v>
      </c>
      <c r="D20" s="18" t="s">
        <v>218</v>
      </c>
      <c r="E20" s="11" t="s">
        <v>77</v>
      </c>
      <c r="F20" s="42" t="str">
        <f>VLOOKUP(A20,Main!A:J,9,0)</f>
        <v>VS10</v>
      </c>
      <c r="G20" s="25" t="str">
        <f>VLOOKUP(A20,Main!A:J,10,0)</f>
        <v>1</v>
      </c>
      <c r="H20" s="42" t="b">
        <f t="shared" ref="H20:I20" si="19">F20=D20</f>
        <v>1</v>
      </c>
      <c r="I20" s="42" t="b">
        <f t="shared" si="19"/>
        <v>1</v>
      </c>
    </row>
    <row r="21">
      <c r="A21" s="11" t="s">
        <v>1114</v>
      </c>
      <c r="B21" s="18" t="s">
        <v>85</v>
      </c>
      <c r="C21" s="18" t="s">
        <v>230</v>
      </c>
      <c r="D21" s="18" t="s">
        <v>218</v>
      </c>
      <c r="E21" s="11" t="s">
        <v>77</v>
      </c>
      <c r="F21" s="42" t="str">
        <f>VLOOKUP(A21,Main!A:J,9,0)</f>
        <v>VS10</v>
      </c>
      <c r="G21" s="25" t="str">
        <f>VLOOKUP(A21,Main!A:J,10,0)</f>
        <v>1</v>
      </c>
      <c r="H21" s="42" t="b">
        <f t="shared" ref="H21:I21" si="20">F21=D21</f>
        <v>1</v>
      </c>
      <c r="I21" s="42" t="b">
        <f t="shared" si="20"/>
        <v>1</v>
      </c>
    </row>
    <row r="22">
      <c r="A22" s="11" t="s">
        <v>1116</v>
      </c>
      <c r="B22" s="18" t="s">
        <v>85</v>
      </c>
      <c r="C22" s="18" t="s">
        <v>230</v>
      </c>
      <c r="D22" s="18" t="s">
        <v>218</v>
      </c>
      <c r="E22" s="11" t="s">
        <v>77</v>
      </c>
      <c r="F22" s="42" t="str">
        <f>VLOOKUP(A22,Main!A:J,9,0)</f>
        <v>VS10</v>
      </c>
      <c r="G22" s="25" t="str">
        <f>VLOOKUP(A22,Main!A:J,10,0)</f>
        <v>1</v>
      </c>
      <c r="H22" s="42" t="b">
        <f t="shared" ref="H22:I22" si="21">F22=D22</f>
        <v>1</v>
      </c>
      <c r="I22" s="42" t="b">
        <f t="shared" si="21"/>
        <v>1</v>
      </c>
    </row>
    <row r="23">
      <c r="A23" s="11" t="s">
        <v>2708</v>
      </c>
      <c r="B23" s="18" t="s">
        <v>85</v>
      </c>
      <c r="C23" s="18" t="s">
        <v>230</v>
      </c>
      <c r="D23" s="18" t="s">
        <v>218</v>
      </c>
      <c r="E23" s="11" t="s">
        <v>77</v>
      </c>
      <c r="F23" s="42" t="str">
        <f>VLOOKUP(A23,Main!A:J,9,0)</f>
        <v>VS22</v>
      </c>
      <c r="G23" s="25" t="str">
        <f>VLOOKUP(A23,Main!A:J,10,0)</f>
        <v>19</v>
      </c>
      <c r="H23" s="42" t="b">
        <f t="shared" ref="H23:I23" si="22">F23=D23</f>
        <v>0</v>
      </c>
      <c r="I23" s="42" t="b">
        <f t="shared" si="22"/>
        <v>0</v>
      </c>
    </row>
    <row r="24">
      <c r="A24" s="11" t="s">
        <v>1135</v>
      </c>
      <c r="B24" s="18" t="s">
        <v>85</v>
      </c>
      <c r="C24" s="18" t="s">
        <v>230</v>
      </c>
      <c r="D24" s="18" t="s">
        <v>218</v>
      </c>
      <c r="E24" s="11" t="s">
        <v>77</v>
      </c>
      <c r="F24" s="42" t="str">
        <f>VLOOKUP(A24,Main!A:J,9,0)</f>
        <v>VS10</v>
      </c>
      <c r="G24" s="25" t="str">
        <f>VLOOKUP(A24,Main!A:J,10,0)</f>
        <v>1</v>
      </c>
      <c r="H24" s="42" t="b">
        <f t="shared" ref="H24:I24" si="23">F24=D24</f>
        <v>1</v>
      </c>
      <c r="I24" s="42" t="b">
        <f t="shared" si="23"/>
        <v>1</v>
      </c>
    </row>
    <row r="25">
      <c r="A25" s="11" t="s">
        <v>219</v>
      </c>
      <c r="B25" s="18" t="s">
        <v>85</v>
      </c>
      <c r="C25" s="18" t="s">
        <v>230</v>
      </c>
      <c r="D25" s="18" t="s">
        <v>218</v>
      </c>
      <c r="E25" s="11" t="s">
        <v>77</v>
      </c>
      <c r="F25" s="42" t="str">
        <f>VLOOKUP(A25,Main!A:J,9,0)</f>
        <v>VS10</v>
      </c>
      <c r="G25" s="25" t="str">
        <f>VLOOKUP(A25,Main!A:J,10,0)</f>
        <v>1</v>
      </c>
      <c r="H25" s="42" t="b">
        <f t="shared" ref="H25:I25" si="24">F25=D25</f>
        <v>1</v>
      </c>
      <c r="I25" s="42" t="b">
        <f t="shared" si="24"/>
        <v>1</v>
      </c>
    </row>
    <row r="26">
      <c r="A26" s="11" t="s">
        <v>1140</v>
      </c>
      <c r="B26" s="18" t="s">
        <v>85</v>
      </c>
      <c r="C26" s="18" t="s">
        <v>230</v>
      </c>
      <c r="D26" s="18" t="s">
        <v>218</v>
      </c>
      <c r="E26" s="11" t="s">
        <v>77</v>
      </c>
      <c r="F26" s="42" t="str">
        <f>VLOOKUP(A26,Main!A:J,9,0)</f>
        <v>VS10</v>
      </c>
      <c r="G26" s="25" t="str">
        <f>VLOOKUP(A26,Main!A:J,10,0)</f>
        <v>1</v>
      </c>
      <c r="H26" s="42" t="b">
        <f t="shared" ref="H26:I26" si="25">F26=D26</f>
        <v>1</v>
      </c>
      <c r="I26" s="42" t="b">
        <f t="shared" si="25"/>
        <v>1</v>
      </c>
    </row>
    <row r="27">
      <c r="A27" s="11" t="s">
        <v>1138</v>
      </c>
      <c r="B27" s="18" t="s">
        <v>85</v>
      </c>
      <c r="C27" s="18" t="s">
        <v>230</v>
      </c>
      <c r="D27" s="18" t="s">
        <v>218</v>
      </c>
      <c r="E27" s="11" t="s">
        <v>77</v>
      </c>
      <c r="F27" s="42" t="str">
        <f>VLOOKUP(A27,Main!A:J,9,0)</f>
        <v>VS10</v>
      </c>
      <c r="G27" s="25" t="str">
        <f>VLOOKUP(A27,Main!A:J,10,0)</f>
        <v>1</v>
      </c>
      <c r="H27" s="42" t="b">
        <f t="shared" ref="H27:I27" si="26">F27=D27</f>
        <v>1</v>
      </c>
      <c r="I27" s="42" t="b">
        <f t="shared" si="26"/>
        <v>1</v>
      </c>
    </row>
    <row r="28">
      <c r="A28" s="11" t="s">
        <v>1132</v>
      </c>
      <c r="B28" s="18" t="s">
        <v>85</v>
      </c>
      <c r="C28" s="18" t="s">
        <v>230</v>
      </c>
      <c r="D28" s="18" t="s">
        <v>218</v>
      </c>
      <c r="E28" s="11" t="s">
        <v>77</v>
      </c>
      <c r="F28" s="42" t="str">
        <f>VLOOKUP(A28,Main!A:J,9,0)</f>
        <v>VS10</v>
      </c>
      <c r="G28" s="25" t="str">
        <f>VLOOKUP(A28,Main!A:J,10,0)</f>
        <v>1</v>
      </c>
      <c r="H28" s="42" t="b">
        <f t="shared" ref="H28:I28" si="27">F28=D28</f>
        <v>1</v>
      </c>
      <c r="I28" s="42" t="b">
        <f t="shared" si="27"/>
        <v>1</v>
      </c>
    </row>
    <row r="29">
      <c r="A29" s="11" t="s">
        <v>954</v>
      </c>
      <c r="B29" s="18" t="s">
        <v>285</v>
      </c>
      <c r="C29" s="42"/>
      <c r="D29" s="18" t="s">
        <v>83</v>
      </c>
      <c r="E29" s="11" t="s">
        <v>1018</v>
      </c>
      <c r="F29" s="42" t="str">
        <f>VLOOKUP(A29,Main!A:J,9,0)</f>
        <v>NOT RUNNING</v>
      </c>
      <c r="G29" s="25" t="str">
        <f>VLOOKUP(A29,Main!A:J,10,0)</f>
        <v>0</v>
      </c>
      <c r="H29" s="42" t="b">
        <f t="shared" ref="H29:I29" si="28">F29=D29</f>
        <v>0</v>
      </c>
      <c r="I29" s="42" t="b">
        <f t="shared" si="28"/>
        <v>0</v>
      </c>
    </row>
    <row r="30">
      <c r="A30" s="11" t="s">
        <v>172</v>
      </c>
      <c r="B30" s="18" t="s">
        <v>1938</v>
      </c>
      <c r="C30" s="42"/>
      <c r="D30" s="18" t="s">
        <v>83</v>
      </c>
      <c r="E30" s="11" t="s">
        <v>1018</v>
      </c>
      <c r="F30" s="42" t="str">
        <f>VLOOKUP(A30,Main!A:J,9,0)</f>
        <v>VS11</v>
      </c>
      <c r="G30" s="25" t="str">
        <f>VLOOKUP(A30,Main!A:J,10,0)</f>
        <v>7</v>
      </c>
      <c r="H30" s="42" t="b">
        <f t="shared" ref="H30:I30" si="29">F30=D30</f>
        <v>1</v>
      </c>
      <c r="I30" s="42" t="b">
        <f t="shared" si="29"/>
        <v>1</v>
      </c>
    </row>
    <row r="31">
      <c r="A31" s="11" t="s">
        <v>469</v>
      </c>
      <c r="B31" s="18" t="s">
        <v>311</v>
      </c>
      <c r="C31" s="18" t="s">
        <v>1720</v>
      </c>
      <c r="D31" s="18" t="s">
        <v>83</v>
      </c>
      <c r="E31" s="11" t="s">
        <v>1018</v>
      </c>
      <c r="F31" s="42" t="str">
        <f>VLOOKUP(A31,Main!A:J,9,0)</f>
        <v>VS11</v>
      </c>
      <c r="G31" s="25" t="str">
        <f>VLOOKUP(A31,Main!A:J,10,0)</f>
        <v>7</v>
      </c>
      <c r="H31" s="42" t="b">
        <f t="shared" ref="H31:I31" si="30">F31=D31</f>
        <v>1</v>
      </c>
      <c r="I31" s="42" t="b">
        <f t="shared" si="30"/>
        <v>1</v>
      </c>
    </row>
    <row r="32">
      <c r="A32" s="11" t="s">
        <v>1295</v>
      </c>
      <c r="B32" s="18" t="s">
        <v>311</v>
      </c>
      <c r="C32" s="18" t="s">
        <v>1720</v>
      </c>
      <c r="D32" s="18" t="s">
        <v>83</v>
      </c>
      <c r="E32" s="11" t="s">
        <v>1018</v>
      </c>
      <c r="F32" s="42" t="str">
        <f>VLOOKUP(A32,Main!A:J,9,0)</f>
        <v>VS11</v>
      </c>
      <c r="G32" s="25" t="str">
        <f>VLOOKUP(A32,Main!A:J,10,0)</f>
        <v>7</v>
      </c>
      <c r="H32" s="42" t="b">
        <f t="shared" ref="H32:I32" si="31">F32=D32</f>
        <v>1</v>
      </c>
      <c r="I32" s="42" t="b">
        <f t="shared" si="31"/>
        <v>1</v>
      </c>
    </row>
    <row r="33">
      <c r="A33" s="11" t="s">
        <v>126</v>
      </c>
      <c r="B33" s="18" t="s">
        <v>311</v>
      </c>
      <c r="C33" s="18" t="s">
        <v>1720</v>
      </c>
      <c r="D33" s="18" t="s">
        <v>83</v>
      </c>
      <c r="E33" s="11" t="s">
        <v>1018</v>
      </c>
      <c r="F33" s="42" t="str">
        <f>VLOOKUP(A33,Main!A:J,9,0)</f>
        <v>VS11</v>
      </c>
      <c r="G33" s="25" t="str">
        <f>VLOOKUP(A33,Main!A:J,10,0)</f>
        <v>7</v>
      </c>
      <c r="H33" s="42" t="b">
        <f t="shared" ref="H33:I33" si="32">F33=D33</f>
        <v>1</v>
      </c>
      <c r="I33" s="42" t="b">
        <f t="shared" si="32"/>
        <v>1</v>
      </c>
    </row>
    <row r="34">
      <c r="A34" s="11" t="s">
        <v>424</v>
      </c>
      <c r="B34" s="18" t="s">
        <v>311</v>
      </c>
      <c r="C34" s="18" t="s">
        <v>1720</v>
      </c>
      <c r="D34" s="18" t="s">
        <v>83</v>
      </c>
      <c r="E34" s="11" t="s">
        <v>1018</v>
      </c>
      <c r="F34" s="42" t="str">
        <f>VLOOKUP(A34,Main!A:J,9,0)</f>
        <v>VS11</v>
      </c>
      <c r="G34" s="25" t="str">
        <f>VLOOKUP(A34,Main!A:J,10,0)</f>
        <v>7</v>
      </c>
      <c r="H34" s="42" t="b">
        <f t="shared" ref="H34:I34" si="33">F34=D34</f>
        <v>1</v>
      </c>
      <c r="I34" s="42" t="b">
        <f t="shared" si="33"/>
        <v>1</v>
      </c>
    </row>
    <row r="35">
      <c r="A35" s="11" t="s">
        <v>435</v>
      </c>
      <c r="B35" s="18" t="s">
        <v>311</v>
      </c>
      <c r="C35" s="18" t="s">
        <v>1720</v>
      </c>
      <c r="D35" s="18" t="s">
        <v>83</v>
      </c>
      <c r="E35" s="11" t="s">
        <v>1018</v>
      </c>
      <c r="F35" s="42" t="str">
        <f>VLOOKUP(A35,Main!A:J,9,0)</f>
        <v>VS11</v>
      </c>
      <c r="G35" s="25" t="str">
        <f>VLOOKUP(A35,Main!A:J,10,0)</f>
        <v>7</v>
      </c>
      <c r="H35" s="42" t="b">
        <f t="shared" ref="H35:I35" si="34">F35=D35</f>
        <v>1</v>
      </c>
      <c r="I35" s="42" t="b">
        <f t="shared" si="34"/>
        <v>1</v>
      </c>
    </row>
    <row r="36">
      <c r="A36" s="11" t="s">
        <v>445</v>
      </c>
      <c r="B36" s="18" t="s">
        <v>311</v>
      </c>
      <c r="C36" s="18" t="s">
        <v>1720</v>
      </c>
      <c r="D36" s="18" t="s">
        <v>83</v>
      </c>
      <c r="E36" s="11" t="s">
        <v>1018</v>
      </c>
      <c r="F36" s="42" t="str">
        <f>VLOOKUP(A36,Main!A:J,9,0)</f>
        <v>VS11</v>
      </c>
      <c r="G36" s="25" t="str">
        <f>VLOOKUP(A36,Main!A:J,10,0)</f>
        <v>7</v>
      </c>
      <c r="H36" s="42" t="b">
        <f t="shared" ref="H36:I36" si="35">F36=D36</f>
        <v>1</v>
      </c>
      <c r="I36" s="42" t="b">
        <f t="shared" si="35"/>
        <v>1</v>
      </c>
    </row>
    <row r="37">
      <c r="A37" s="11" t="s">
        <v>486</v>
      </c>
      <c r="B37" s="18" t="s">
        <v>311</v>
      </c>
      <c r="C37" s="18" t="s">
        <v>1720</v>
      </c>
      <c r="D37" s="18" t="s">
        <v>83</v>
      </c>
      <c r="E37" s="11" t="s">
        <v>1018</v>
      </c>
      <c r="F37" s="42" t="str">
        <f>VLOOKUP(A37,Main!A:J,9,0)</f>
        <v>VS11</v>
      </c>
      <c r="G37" s="25" t="str">
        <f>VLOOKUP(A37,Main!A:J,10,0)</f>
        <v>7</v>
      </c>
      <c r="H37" s="42" t="b">
        <f t="shared" ref="H37:I37" si="36">F37=D37</f>
        <v>1</v>
      </c>
      <c r="I37" s="42" t="b">
        <f t="shared" si="36"/>
        <v>1</v>
      </c>
    </row>
    <row r="38">
      <c r="A38" s="11" t="s">
        <v>508</v>
      </c>
      <c r="B38" s="18" t="s">
        <v>311</v>
      </c>
      <c r="C38" s="18" t="s">
        <v>1720</v>
      </c>
      <c r="D38" s="18" t="s">
        <v>83</v>
      </c>
      <c r="E38" s="11" t="s">
        <v>1018</v>
      </c>
      <c r="F38" s="42" t="str">
        <f>VLOOKUP(A38,Main!A:J,9,0)</f>
        <v>VS11</v>
      </c>
      <c r="G38" s="25" t="str">
        <f>VLOOKUP(A38,Main!A:J,10,0)</f>
        <v>7</v>
      </c>
      <c r="H38" s="42" t="b">
        <f t="shared" ref="H38:I38" si="37">F38=D38</f>
        <v>1</v>
      </c>
      <c r="I38" s="42" t="b">
        <f t="shared" si="37"/>
        <v>1</v>
      </c>
    </row>
    <row r="39">
      <c r="A39" s="11" t="s">
        <v>518</v>
      </c>
      <c r="B39" s="18" t="s">
        <v>311</v>
      </c>
      <c r="C39" s="18" t="s">
        <v>1720</v>
      </c>
      <c r="D39" s="18" t="s">
        <v>83</v>
      </c>
      <c r="E39" s="11" t="s">
        <v>1018</v>
      </c>
      <c r="F39" s="42" t="str">
        <f>VLOOKUP(A39,Main!A:J,9,0)</f>
        <v>VS11</v>
      </c>
      <c r="G39" s="25" t="str">
        <f>VLOOKUP(A39,Main!A:J,10,0)</f>
        <v>7</v>
      </c>
      <c r="H39" s="42" t="b">
        <f t="shared" ref="H39:I39" si="38">F39=D39</f>
        <v>1</v>
      </c>
      <c r="I39" s="42" t="b">
        <f t="shared" si="38"/>
        <v>1</v>
      </c>
    </row>
    <row r="40">
      <c r="A40" s="11" t="s">
        <v>539</v>
      </c>
      <c r="B40" s="18" t="s">
        <v>311</v>
      </c>
      <c r="C40" s="18" t="s">
        <v>1720</v>
      </c>
      <c r="D40" s="18" t="s">
        <v>83</v>
      </c>
      <c r="E40" s="11" t="s">
        <v>1018</v>
      </c>
      <c r="F40" s="42" t="str">
        <f>VLOOKUP(A40,Main!A:J,9,0)</f>
        <v>VS14</v>
      </c>
      <c r="G40" s="25" t="str">
        <f>VLOOKUP(A40,Main!A:J,10,0)</f>
        <v>1</v>
      </c>
      <c r="H40" s="42" t="b">
        <f t="shared" ref="H40:I40" si="39">F40=D40</f>
        <v>0</v>
      </c>
      <c r="I40" s="42" t="b">
        <f t="shared" si="39"/>
        <v>0</v>
      </c>
    </row>
    <row r="41">
      <c r="A41" s="11" t="s">
        <v>547</v>
      </c>
      <c r="B41" s="18" t="s">
        <v>311</v>
      </c>
      <c r="C41" s="18" t="s">
        <v>1720</v>
      </c>
      <c r="D41" s="18" t="s">
        <v>83</v>
      </c>
      <c r="E41" s="11" t="s">
        <v>1018</v>
      </c>
      <c r="F41" s="42" t="str">
        <f>VLOOKUP(A41,Main!A:J,9,0)</f>
        <v>VS18</v>
      </c>
      <c r="G41" s="25" t="str">
        <f>VLOOKUP(A41,Main!A:J,10,0)</f>
        <v>1</v>
      </c>
      <c r="H41" s="42" t="b">
        <f t="shared" ref="H41:I41" si="40">F41=D41</f>
        <v>0</v>
      </c>
      <c r="I41" s="42" t="b">
        <f t="shared" si="40"/>
        <v>0</v>
      </c>
    </row>
    <row r="42">
      <c r="A42" s="11" t="s">
        <v>558</v>
      </c>
      <c r="B42" s="18" t="s">
        <v>311</v>
      </c>
      <c r="C42" s="18" t="s">
        <v>1720</v>
      </c>
      <c r="D42" s="18" t="s">
        <v>83</v>
      </c>
      <c r="E42" s="11" t="s">
        <v>1018</v>
      </c>
      <c r="F42" s="42" t="str">
        <f>VLOOKUP(A42,Main!A:J,9,0)</f>
        <v>VS11</v>
      </c>
      <c r="G42" s="25" t="str">
        <f>VLOOKUP(A42,Main!A:J,10,0)</f>
        <v>7</v>
      </c>
      <c r="H42" s="42" t="b">
        <f t="shared" ref="H42:I42" si="41">F42=D42</f>
        <v>1</v>
      </c>
      <c r="I42" s="42" t="b">
        <f t="shared" si="41"/>
        <v>1</v>
      </c>
    </row>
    <row r="43">
      <c r="A43" s="11" t="s">
        <v>581</v>
      </c>
      <c r="B43" s="18" t="s">
        <v>311</v>
      </c>
      <c r="C43" s="18" t="s">
        <v>1720</v>
      </c>
      <c r="D43" s="18" t="s">
        <v>83</v>
      </c>
      <c r="E43" s="11" t="s">
        <v>1018</v>
      </c>
      <c r="F43" s="42" t="str">
        <f>VLOOKUP(A43,Main!A:J,9,0)</f>
        <v>VS15</v>
      </c>
      <c r="G43" s="25" t="str">
        <f>VLOOKUP(A43,Main!A:J,10,0)</f>
        <v>1</v>
      </c>
      <c r="H43" s="42" t="b">
        <f t="shared" ref="H43:I43" si="42">F43=D43</f>
        <v>0</v>
      </c>
      <c r="I43" s="42" t="b">
        <f t="shared" si="42"/>
        <v>0</v>
      </c>
    </row>
    <row r="44">
      <c r="A44" s="11" t="s">
        <v>342</v>
      </c>
      <c r="B44" s="18" t="s">
        <v>311</v>
      </c>
      <c r="C44" s="18" t="s">
        <v>1720</v>
      </c>
      <c r="D44" s="18" t="s">
        <v>83</v>
      </c>
      <c r="E44" s="11" t="s">
        <v>1018</v>
      </c>
      <c r="F44" s="42" t="str">
        <f>VLOOKUP(A44,Main!A:J,9,0)</f>
        <v>VS11</v>
      </c>
      <c r="G44" s="25" t="str">
        <f>VLOOKUP(A44,Main!A:J,10,0)</f>
        <v>7</v>
      </c>
      <c r="H44" s="42" t="b">
        <f t="shared" ref="H44:I44" si="43">F44=D44</f>
        <v>1</v>
      </c>
      <c r="I44" s="42" t="b">
        <f t="shared" si="43"/>
        <v>1</v>
      </c>
    </row>
    <row r="45">
      <c r="A45" s="11" t="s">
        <v>349</v>
      </c>
      <c r="B45" s="18" t="s">
        <v>311</v>
      </c>
      <c r="C45" s="18" t="s">
        <v>1720</v>
      </c>
      <c r="D45" s="18" t="s">
        <v>83</v>
      </c>
      <c r="E45" s="11" t="s">
        <v>1018</v>
      </c>
      <c r="F45" s="42" t="str">
        <f>VLOOKUP(A45,Main!A:J,9,0)</f>
        <v>VS18</v>
      </c>
      <c r="G45" s="25" t="str">
        <f>VLOOKUP(A45,Main!A:J,10,0)</f>
        <v>1</v>
      </c>
      <c r="H45" s="42" t="b">
        <f t="shared" ref="H45:I45" si="44">F45=D45</f>
        <v>0</v>
      </c>
      <c r="I45" s="42" t="b">
        <f t="shared" si="44"/>
        <v>0</v>
      </c>
    </row>
    <row r="46">
      <c r="A46" s="11" t="s">
        <v>360</v>
      </c>
      <c r="B46" s="18" t="s">
        <v>311</v>
      </c>
      <c r="C46" s="18" t="s">
        <v>1720</v>
      </c>
      <c r="D46" s="18" t="s">
        <v>83</v>
      </c>
      <c r="E46" s="11" t="s">
        <v>1018</v>
      </c>
      <c r="F46" s="42" t="str">
        <f>VLOOKUP(A46,Main!A:J,9,0)</f>
        <v>VS11</v>
      </c>
      <c r="G46" s="25" t="str">
        <f>VLOOKUP(A46,Main!A:J,10,0)</f>
        <v>7</v>
      </c>
      <c r="H46" s="42" t="b">
        <f t="shared" ref="H46:I46" si="45">F46=D46</f>
        <v>1</v>
      </c>
      <c r="I46" s="42" t="b">
        <f t="shared" si="45"/>
        <v>1</v>
      </c>
    </row>
    <row r="47">
      <c r="A47" s="11" t="s">
        <v>381</v>
      </c>
      <c r="B47" s="18" t="s">
        <v>311</v>
      </c>
      <c r="C47" s="18" t="s">
        <v>1720</v>
      </c>
      <c r="D47" s="18" t="s">
        <v>83</v>
      </c>
      <c r="E47" s="11" t="s">
        <v>1018</v>
      </c>
      <c r="F47" s="42" t="str">
        <f>VLOOKUP(A47,Main!A:J,9,0)</f>
        <v>VS10</v>
      </c>
      <c r="G47" s="25" t="str">
        <f>VLOOKUP(A47,Main!A:J,10,0)</f>
        <v>1</v>
      </c>
      <c r="H47" s="42" t="b">
        <f t="shared" ref="H47:I47" si="46">F47=D47</f>
        <v>0</v>
      </c>
      <c r="I47" s="42" t="b">
        <f t="shared" si="46"/>
        <v>0</v>
      </c>
    </row>
    <row r="48">
      <c r="A48" s="11" t="s">
        <v>398</v>
      </c>
      <c r="B48" s="18" t="s">
        <v>311</v>
      </c>
      <c r="C48" s="18" t="s">
        <v>1720</v>
      </c>
      <c r="D48" s="18" t="s">
        <v>83</v>
      </c>
      <c r="E48" s="11" t="s">
        <v>1018</v>
      </c>
      <c r="F48" s="42" t="str">
        <f>VLOOKUP(A48,Main!A:J,9,0)</f>
        <v>VS11</v>
      </c>
      <c r="G48" s="25" t="str">
        <f>VLOOKUP(A48,Main!A:J,10,0)</f>
        <v>7</v>
      </c>
      <c r="H48" s="42" t="b">
        <f t="shared" ref="H48:I48" si="47">F48=D48</f>
        <v>1</v>
      </c>
      <c r="I48" s="42" t="b">
        <f t="shared" si="47"/>
        <v>1</v>
      </c>
    </row>
    <row r="49">
      <c r="A49" s="11" t="s">
        <v>382</v>
      </c>
      <c r="B49" s="18" t="s">
        <v>311</v>
      </c>
      <c r="C49" s="18" t="s">
        <v>1720</v>
      </c>
      <c r="D49" s="18" t="s">
        <v>83</v>
      </c>
      <c r="E49" s="11" t="s">
        <v>1018</v>
      </c>
      <c r="F49" s="42" t="str">
        <f>VLOOKUP(A49,Main!A:J,9,0)</f>
        <v>VS11</v>
      </c>
      <c r="G49" s="25" t="str">
        <f>VLOOKUP(A49,Main!A:J,10,0)</f>
        <v>7</v>
      </c>
      <c r="H49" s="42" t="b">
        <f t="shared" ref="H49:I49" si="48">F49=D49</f>
        <v>1</v>
      </c>
      <c r="I49" s="42" t="b">
        <f t="shared" si="48"/>
        <v>1</v>
      </c>
    </row>
    <row r="50">
      <c r="A50" s="11" t="s">
        <v>1284</v>
      </c>
      <c r="B50" s="18" t="s">
        <v>311</v>
      </c>
      <c r="C50" s="18" t="s">
        <v>1720</v>
      </c>
      <c r="D50" s="18" t="s">
        <v>83</v>
      </c>
      <c r="E50" s="11" t="s">
        <v>1018</v>
      </c>
      <c r="F50" s="42" t="str">
        <f>VLOOKUP(A50,Main!A:J,9,0)</f>
        <v>VS11</v>
      </c>
      <c r="G50" s="25" t="str">
        <f>VLOOKUP(A50,Main!A:J,10,0)</f>
        <v>7</v>
      </c>
      <c r="H50" s="42" t="b">
        <f t="shared" ref="H50:I50" si="49">F50=D50</f>
        <v>1</v>
      </c>
      <c r="I50" s="42" t="b">
        <f t="shared" si="49"/>
        <v>1</v>
      </c>
    </row>
    <row r="51">
      <c r="A51" s="11" t="s">
        <v>373</v>
      </c>
      <c r="B51" s="18" t="s">
        <v>311</v>
      </c>
      <c r="C51" s="18" t="s">
        <v>1720</v>
      </c>
      <c r="D51" s="18" t="s">
        <v>83</v>
      </c>
      <c r="E51" s="11" t="s">
        <v>1018</v>
      </c>
      <c r="F51" s="42" t="str">
        <f>VLOOKUP(A51,Main!A:J,9,0)</f>
        <v>VS14</v>
      </c>
      <c r="G51" s="25" t="str">
        <f>VLOOKUP(A51,Main!A:J,10,0)</f>
        <v>1</v>
      </c>
      <c r="H51" s="42" t="b">
        <f t="shared" ref="H51:I51" si="50">F51=D51</f>
        <v>0</v>
      </c>
      <c r="I51" s="42" t="b">
        <f t="shared" si="50"/>
        <v>0</v>
      </c>
    </row>
    <row r="52">
      <c r="A52" s="11" t="s">
        <v>1012</v>
      </c>
      <c r="B52" s="18" t="s">
        <v>646</v>
      </c>
      <c r="C52" s="42"/>
      <c r="D52" s="18" t="s">
        <v>83</v>
      </c>
      <c r="E52" s="11" t="s">
        <v>1018</v>
      </c>
      <c r="F52" s="42" t="str">
        <f>VLOOKUP(A52,Main!A:J,9,0)</f>
        <v>NOT RUNNING</v>
      </c>
      <c r="G52" s="25" t="str">
        <f>VLOOKUP(A52,Main!A:J,10,0)</f>
        <v>0</v>
      </c>
      <c r="H52" s="42" t="b">
        <f t="shared" ref="H52:I52" si="51">F52=D52</f>
        <v>0</v>
      </c>
      <c r="I52" s="42" t="b">
        <f t="shared" si="51"/>
        <v>0</v>
      </c>
    </row>
    <row r="53">
      <c r="A53" s="11" t="s">
        <v>120</v>
      </c>
      <c r="B53" s="18" t="s">
        <v>266</v>
      </c>
      <c r="C53" s="42"/>
      <c r="D53" s="18" t="s">
        <v>83</v>
      </c>
      <c r="E53" s="11" t="s">
        <v>1018</v>
      </c>
      <c r="F53" s="42" t="str">
        <f>VLOOKUP(A53,Main!A:J,9,0)</f>
        <v>VS11</v>
      </c>
      <c r="G53" s="25" t="str">
        <f>VLOOKUP(A53,Main!A:J,10,0)</f>
        <v>7</v>
      </c>
      <c r="H53" s="42" t="b">
        <f t="shared" ref="H53:I53" si="52">F53=D53</f>
        <v>1</v>
      </c>
      <c r="I53" s="42" t="b">
        <f t="shared" si="52"/>
        <v>1</v>
      </c>
    </row>
    <row r="54">
      <c r="A54" s="11" t="s">
        <v>235</v>
      </c>
      <c r="B54" s="18" t="s">
        <v>311</v>
      </c>
      <c r="C54" s="18" t="s">
        <v>1580</v>
      </c>
      <c r="D54" s="18" t="s">
        <v>327</v>
      </c>
      <c r="E54" s="11" t="s">
        <v>77</v>
      </c>
      <c r="F54" s="42" t="str">
        <f>VLOOKUP(A54,Main!A:J,9,0)</f>
        <v>VS9</v>
      </c>
      <c r="G54" s="25" t="str">
        <f>VLOOKUP(A54,Main!A:J,10,0)</f>
        <v>7</v>
      </c>
      <c r="H54" s="42" t="b">
        <f t="shared" ref="H54:I54" si="53">F54=D54</f>
        <v>0</v>
      </c>
      <c r="I54" s="42" t="b">
        <f t="shared" si="53"/>
        <v>0</v>
      </c>
    </row>
    <row r="55">
      <c r="A55" s="11" t="s">
        <v>1570</v>
      </c>
      <c r="B55" s="18" t="s">
        <v>311</v>
      </c>
      <c r="C55" s="18" t="s">
        <v>1580</v>
      </c>
      <c r="D55" s="18" t="s">
        <v>327</v>
      </c>
      <c r="E55" s="11" t="s">
        <v>77</v>
      </c>
      <c r="F55" s="42" t="str">
        <f>VLOOKUP(A55,Main!A:J,9,0)</f>
        <v>VS12</v>
      </c>
      <c r="G55" s="25" t="str">
        <f>VLOOKUP(A55,Main!A:J,10,0)</f>
        <v>1</v>
      </c>
      <c r="H55" s="42" t="b">
        <f t="shared" ref="H55:I55" si="54">F55=D55</f>
        <v>1</v>
      </c>
      <c r="I55" s="42" t="b">
        <f t="shared" si="54"/>
        <v>1</v>
      </c>
    </row>
    <row r="56">
      <c r="A56" s="11" t="s">
        <v>1593</v>
      </c>
      <c r="B56" s="18" t="s">
        <v>311</v>
      </c>
      <c r="C56" s="18" t="s">
        <v>1580</v>
      </c>
      <c r="D56" s="18" t="s">
        <v>327</v>
      </c>
      <c r="E56" s="11" t="s">
        <v>77</v>
      </c>
      <c r="F56" s="42" t="str">
        <f>VLOOKUP(A56,Main!A:J,9,0)</f>
        <v>VS12</v>
      </c>
      <c r="G56" s="25" t="str">
        <f>VLOOKUP(A56,Main!A:J,10,0)</f>
        <v>1</v>
      </c>
      <c r="H56" s="42" t="b">
        <f t="shared" ref="H56:I56" si="55">F56=D56</f>
        <v>1</v>
      </c>
      <c r="I56" s="42" t="b">
        <f t="shared" si="55"/>
        <v>1</v>
      </c>
    </row>
    <row r="57">
      <c r="A57" s="11" t="s">
        <v>1685</v>
      </c>
      <c r="B57" s="18" t="s">
        <v>311</v>
      </c>
      <c r="C57" s="18" t="s">
        <v>1580</v>
      </c>
      <c r="D57" s="18" t="s">
        <v>327</v>
      </c>
      <c r="E57" s="11" t="s">
        <v>77</v>
      </c>
      <c r="F57" s="42" t="str">
        <f>VLOOKUP(A57,Main!A:J,9,0)</f>
        <v>VS12</v>
      </c>
      <c r="G57" s="25" t="str">
        <f>VLOOKUP(A57,Main!A:J,10,0)</f>
        <v>1</v>
      </c>
      <c r="H57" s="42" t="b">
        <f t="shared" ref="H57:I57" si="56">F57=D57</f>
        <v>1</v>
      </c>
      <c r="I57" s="42" t="b">
        <f t="shared" si="56"/>
        <v>1</v>
      </c>
    </row>
    <row r="58">
      <c r="A58" s="11" t="s">
        <v>1662</v>
      </c>
      <c r="B58" s="18" t="s">
        <v>311</v>
      </c>
      <c r="C58" s="18" t="s">
        <v>1580</v>
      </c>
      <c r="D58" s="18" t="s">
        <v>327</v>
      </c>
      <c r="E58" s="11" t="s">
        <v>77</v>
      </c>
      <c r="F58" s="42" t="str">
        <f>VLOOKUP(A58,Main!A:J,9,0)</f>
        <v>VS12</v>
      </c>
      <c r="G58" s="25" t="str">
        <f>VLOOKUP(A58,Main!A:J,10,0)</f>
        <v>1</v>
      </c>
      <c r="H58" s="42" t="b">
        <f t="shared" ref="H58:I58" si="57">F58=D58</f>
        <v>1</v>
      </c>
      <c r="I58" s="42" t="b">
        <f t="shared" si="57"/>
        <v>1</v>
      </c>
    </row>
    <row r="59">
      <c r="A59" s="11" t="s">
        <v>1663</v>
      </c>
      <c r="B59" s="18" t="s">
        <v>311</v>
      </c>
      <c r="C59" s="18" t="s">
        <v>1580</v>
      </c>
      <c r="D59" s="18" t="s">
        <v>327</v>
      </c>
      <c r="E59" s="11" t="s">
        <v>77</v>
      </c>
      <c r="F59" s="42" t="str">
        <f>VLOOKUP(A59,Main!A:J,9,0)</f>
        <v>VS12</v>
      </c>
      <c r="G59" s="25" t="str">
        <f>VLOOKUP(A59,Main!A:J,10,0)</f>
        <v>1</v>
      </c>
      <c r="H59" s="42" t="b">
        <f t="shared" ref="H59:I59" si="58">F59=D59</f>
        <v>1</v>
      </c>
      <c r="I59" s="42" t="b">
        <f t="shared" si="58"/>
        <v>1</v>
      </c>
    </row>
    <row r="60">
      <c r="A60" s="11" t="s">
        <v>1723</v>
      </c>
      <c r="B60" s="18" t="s">
        <v>311</v>
      </c>
      <c r="C60" s="18" t="s">
        <v>1580</v>
      </c>
      <c r="D60" s="18" t="s">
        <v>327</v>
      </c>
      <c r="E60" s="11" t="s">
        <v>77</v>
      </c>
      <c r="F60" s="42" t="str">
        <f>VLOOKUP(A60,Main!A:J,9,0)</f>
        <v>VS12</v>
      </c>
      <c r="G60" s="25" t="str">
        <f>VLOOKUP(A60,Main!A:J,10,0)</f>
        <v>1</v>
      </c>
      <c r="H60" s="42" t="b">
        <f t="shared" ref="H60:I60" si="59">F60=D60</f>
        <v>1</v>
      </c>
      <c r="I60" s="42" t="b">
        <f t="shared" si="59"/>
        <v>1</v>
      </c>
    </row>
    <row r="61">
      <c r="A61" s="11" t="s">
        <v>1776</v>
      </c>
      <c r="B61" s="18" t="s">
        <v>311</v>
      </c>
      <c r="C61" s="18" t="s">
        <v>1580</v>
      </c>
      <c r="D61" s="18" t="s">
        <v>327</v>
      </c>
      <c r="E61" s="11" t="s">
        <v>77</v>
      </c>
      <c r="F61" s="42" t="str">
        <f>VLOOKUP(A61,Main!A:J,9,0)</f>
        <v>VS12</v>
      </c>
      <c r="G61" s="25" t="str">
        <f>VLOOKUP(A61,Main!A:J,10,0)</f>
        <v>1</v>
      </c>
      <c r="H61" s="42" t="b">
        <f t="shared" ref="H61:I61" si="60">F61=D61</f>
        <v>1</v>
      </c>
      <c r="I61" s="42" t="b">
        <f t="shared" si="60"/>
        <v>1</v>
      </c>
    </row>
    <row r="62">
      <c r="A62" s="11" t="s">
        <v>1891</v>
      </c>
      <c r="B62" s="18" t="s">
        <v>311</v>
      </c>
      <c r="C62" s="18" t="s">
        <v>1580</v>
      </c>
      <c r="D62" s="18" t="s">
        <v>327</v>
      </c>
      <c r="E62" s="11" t="s">
        <v>77</v>
      </c>
      <c r="F62" s="42" t="str">
        <f>VLOOKUP(A62,Main!A:J,9,0)</f>
        <v>VS12</v>
      </c>
      <c r="G62" s="25" t="str">
        <f>VLOOKUP(A62,Main!A:J,10,0)</f>
        <v>1</v>
      </c>
      <c r="H62" s="42" t="b">
        <f t="shared" ref="H62:I62" si="61">F62=D62</f>
        <v>1</v>
      </c>
      <c r="I62" s="42" t="b">
        <f t="shared" si="61"/>
        <v>1</v>
      </c>
    </row>
    <row r="63">
      <c r="A63" s="11" t="s">
        <v>1749</v>
      </c>
      <c r="B63" s="18" t="s">
        <v>311</v>
      </c>
      <c r="C63" s="18" t="s">
        <v>1580</v>
      </c>
      <c r="D63" s="18" t="s">
        <v>327</v>
      </c>
      <c r="E63" s="11" t="s">
        <v>77</v>
      </c>
      <c r="F63" s="42" t="str">
        <f>VLOOKUP(A63,Main!A:J,9,0)</f>
        <v>VS12</v>
      </c>
      <c r="G63" s="25" t="str">
        <f>VLOOKUP(A63,Main!A:J,10,0)</f>
        <v>1</v>
      </c>
      <c r="H63" s="42" t="b">
        <f t="shared" ref="H63:I63" si="62">F63=D63</f>
        <v>1</v>
      </c>
      <c r="I63" s="42" t="b">
        <f t="shared" si="62"/>
        <v>1</v>
      </c>
    </row>
    <row r="64">
      <c r="A64" s="11" t="s">
        <v>1443</v>
      </c>
      <c r="B64" s="18" t="s">
        <v>311</v>
      </c>
      <c r="C64" s="18" t="s">
        <v>1580</v>
      </c>
      <c r="D64" s="18" t="s">
        <v>327</v>
      </c>
      <c r="E64" s="11" t="s">
        <v>77</v>
      </c>
      <c r="F64" s="42" t="str">
        <f>VLOOKUP(A64,Main!A:J,9,0)</f>
        <v>VS12</v>
      </c>
      <c r="G64" s="25" t="str">
        <f>VLOOKUP(A64,Main!A:J,10,0)</f>
        <v>1</v>
      </c>
      <c r="H64" s="42" t="b">
        <f t="shared" ref="H64:I64" si="63">F64=D64</f>
        <v>1</v>
      </c>
      <c r="I64" s="42" t="b">
        <f t="shared" si="63"/>
        <v>1</v>
      </c>
    </row>
    <row r="65">
      <c r="A65" s="11" t="s">
        <v>1441</v>
      </c>
      <c r="B65" s="18" t="s">
        <v>311</v>
      </c>
      <c r="C65" s="18" t="s">
        <v>1580</v>
      </c>
      <c r="D65" s="18" t="s">
        <v>327</v>
      </c>
      <c r="E65" s="11" t="s">
        <v>77</v>
      </c>
      <c r="F65" s="42" t="str">
        <f>VLOOKUP(A65,Main!A:J,9,0)</f>
        <v>VS12</v>
      </c>
      <c r="G65" s="25" t="str">
        <f>VLOOKUP(A65,Main!A:J,10,0)</f>
        <v>1</v>
      </c>
      <c r="H65" s="42" t="b">
        <f t="shared" ref="H65:I65" si="64">F65=D65</f>
        <v>1</v>
      </c>
      <c r="I65" s="42" t="b">
        <f t="shared" si="64"/>
        <v>1</v>
      </c>
    </row>
    <row r="66">
      <c r="A66" s="11" t="s">
        <v>1907</v>
      </c>
      <c r="B66" s="18" t="s">
        <v>311</v>
      </c>
      <c r="C66" s="18" t="s">
        <v>1580</v>
      </c>
      <c r="D66" s="18" t="s">
        <v>327</v>
      </c>
      <c r="E66" s="11" t="s">
        <v>77</v>
      </c>
      <c r="F66" s="42" t="str">
        <f>VLOOKUP(A66,Main!A:J,9,0)</f>
        <v>VS12</v>
      </c>
      <c r="G66" s="25" t="str">
        <f>VLOOKUP(A66,Main!A:J,10,0)</f>
        <v>1</v>
      </c>
      <c r="H66" s="42" t="b">
        <f t="shared" ref="H66:I66" si="65">F66=D66</f>
        <v>1</v>
      </c>
      <c r="I66" s="42" t="b">
        <f t="shared" si="65"/>
        <v>1</v>
      </c>
    </row>
    <row r="67">
      <c r="A67" s="11" t="s">
        <v>1392</v>
      </c>
      <c r="B67" s="18" t="s">
        <v>311</v>
      </c>
      <c r="C67" s="18" t="s">
        <v>1707</v>
      </c>
      <c r="D67" s="18" t="s">
        <v>327</v>
      </c>
      <c r="E67" s="11" t="s">
        <v>77</v>
      </c>
      <c r="F67" s="42" t="str">
        <f>VLOOKUP(A67,Main!A:J,9,0)</f>
        <v>VS12</v>
      </c>
      <c r="G67" s="25" t="str">
        <f>VLOOKUP(A67,Main!A:J,10,0)</f>
        <v>1</v>
      </c>
      <c r="H67" s="42" t="b">
        <f t="shared" ref="H67:I67" si="66">F67=D67</f>
        <v>1</v>
      </c>
      <c r="I67" s="42" t="b">
        <f t="shared" si="66"/>
        <v>1</v>
      </c>
    </row>
    <row r="68">
      <c r="A68" s="11" t="s">
        <v>2000</v>
      </c>
      <c r="B68" s="18" t="s">
        <v>311</v>
      </c>
      <c r="C68" s="18" t="s">
        <v>1707</v>
      </c>
      <c r="D68" s="18" t="s">
        <v>327</v>
      </c>
      <c r="E68" s="11" t="s">
        <v>77</v>
      </c>
      <c r="F68" s="42" t="str">
        <f>VLOOKUP(A68,Main!A:J,9,0)</f>
        <v>VS12</v>
      </c>
      <c r="G68" s="25" t="str">
        <f>VLOOKUP(A68,Main!A:J,10,0)</f>
        <v>1</v>
      </c>
      <c r="H68" s="42" t="b">
        <f t="shared" ref="H68:I68" si="67">F68=D68</f>
        <v>1</v>
      </c>
      <c r="I68" s="42" t="b">
        <f t="shared" si="67"/>
        <v>1</v>
      </c>
    </row>
    <row r="69">
      <c r="A69" s="11" t="s">
        <v>923</v>
      </c>
      <c r="B69" s="18" t="s">
        <v>311</v>
      </c>
      <c r="C69" s="18" t="s">
        <v>1707</v>
      </c>
      <c r="D69" s="18" t="s">
        <v>327</v>
      </c>
      <c r="E69" s="11" t="s">
        <v>77</v>
      </c>
      <c r="F69" s="42" t="str">
        <f>VLOOKUP(A69,Main!A:J,9,0)</f>
        <v>NOT RUNNING</v>
      </c>
      <c r="G69" s="25" t="str">
        <f>VLOOKUP(A69,Main!A:J,10,0)</f>
        <v>0</v>
      </c>
      <c r="H69" s="42" t="b">
        <f t="shared" ref="H69:I69" si="68">F69=D69</f>
        <v>0</v>
      </c>
      <c r="I69" s="42" t="b">
        <f t="shared" si="68"/>
        <v>0</v>
      </c>
    </row>
    <row r="70">
      <c r="A70" s="11" t="s">
        <v>1944</v>
      </c>
      <c r="B70" s="18" t="s">
        <v>311</v>
      </c>
      <c r="C70" s="18" t="s">
        <v>1707</v>
      </c>
      <c r="D70" s="18" t="s">
        <v>327</v>
      </c>
      <c r="E70" s="11" t="s">
        <v>77</v>
      </c>
      <c r="F70" s="42" t="str">
        <f>VLOOKUP(A70,Main!A:J,9,0)</f>
        <v>VS12</v>
      </c>
      <c r="G70" s="25" t="str">
        <f>VLOOKUP(A70,Main!A:J,10,0)</f>
        <v>1</v>
      </c>
      <c r="H70" s="42" t="b">
        <f t="shared" ref="H70:I70" si="69">F70=D70</f>
        <v>1</v>
      </c>
      <c r="I70" s="42" t="b">
        <f t="shared" si="69"/>
        <v>1</v>
      </c>
    </row>
    <row r="71">
      <c r="A71" s="11" t="s">
        <v>121</v>
      </c>
      <c r="B71" s="18" t="s">
        <v>311</v>
      </c>
      <c r="C71" s="18" t="s">
        <v>1707</v>
      </c>
      <c r="D71" s="18" t="s">
        <v>327</v>
      </c>
      <c r="E71" s="11" t="s">
        <v>77</v>
      </c>
      <c r="F71" s="42" t="str">
        <f>VLOOKUP(A71,Main!A:J,9,0)</f>
        <v>VS11</v>
      </c>
      <c r="G71" s="25" t="str">
        <f>VLOOKUP(A71,Main!A:J,10,0)</f>
        <v>7</v>
      </c>
      <c r="H71" s="42" t="b">
        <f t="shared" ref="H71:I71" si="70">F71=D71</f>
        <v>0</v>
      </c>
      <c r="I71" s="42" t="b">
        <f t="shared" si="70"/>
        <v>0</v>
      </c>
    </row>
    <row r="72">
      <c r="A72" s="11" t="s">
        <v>1963</v>
      </c>
      <c r="B72" s="18" t="s">
        <v>311</v>
      </c>
      <c r="C72" s="18" t="s">
        <v>1707</v>
      </c>
      <c r="D72" s="18" t="s">
        <v>327</v>
      </c>
      <c r="E72" s="11" t="s">
        <v>77</v>
      </c>
      <c r="F72" s="42" t="str">
        <f>VLOOKUP(A72,Main!A:J,9,0)</f>
        <v>VS12</v>
      </c>
      <c r="G72" s="25" t="str">
        <f>VLOOKUP(A72,Main!A:J,10,0)</f>
        <v>1</v>
      </c>
      <c r="H72" s="42" t="b">
        <f t="shared" ref="H72:I72" si="71">F72=D72</f>
        <v>1</v>
      </c>
      <c r="I72" s="42" t="b">
        <f t="shared" si="71"/>
        <v>1</v>
      </c>
    </row>
    <row r="73">
      <c r="A73" s="11" t="s">
        <v>205</v>
      </c>
      <c r="B73" s="18" t="s">
        <v>311</v>
      </c>
      <c r="C73" s="18" t="s">
        <v>1707</v>
      </c>
      <c r="D73" s="18" t="s">
        <v>327</v>
      </c>
      <c r="E73" s="11" t="s">
        <v>77</v>
      </c>
      <c r="F73" s="42" t="str">
        <f>VLOOKUP(A73,Main!A:J,9,0)</f>
        <v>VS29</v>
      </c>
      <c r="G73" s="25" t="str">
        <f>VLOOKUP(A73,Main!A:J,10,0)</f>
        <v>7</v>
      </c>
      <c r="H73" s="42" t="b">
        <f t="shared" ref="H73:I73" si="72">F73=D73</f>
        <v>0</v>
      </c>
      <c r="I73" s="42" t="b">
        <f t="shared" si="72"/>
        <v>0</v>
      </c>
    </row>
    <row r="74">
      <c r="A74" s="11" t="s">
        <v>350</v>
      </c>
      <c r="B74" s="18" t="s">
        <v>311</v>
      </c>
      <c r="C74" s="18" t="s">
        <v>1707</v>
      </c>
      <c r="D74" s="18" t="s">
        <v>327</v>
      </c>
      <c r="E74" s="11" t="s">
        <v>77</v>
      </c>
      <c r="F74" s="42" t="str">
        <f>VLOOKUP(A74,Main!A:J,9,0)</f>
        <v>VS12</v>
      </c>
      <c r="G74" s="25" t="str">
        <f>VLOOKUP(A74,Main!A:J,10,0)</f>
        <v>1</v>
      </c>
      <c r="H74" s="42" t="b">
        <f t="shared" ref="H74:I74" si="73">F74=D74</f>
        <v>1</v>
      </c>
      <c r="I74" s="42" t="b">
        <f t="shared" si="73"/>
        <v>1</v>
      </c>
    </row>
    <row r="75">
      <c r="A75" s="11" t="s">
        <v>1439</v>
      </c>
      <c r="B75" s="18" t="s">
        <v>311</v>
      </c>
      <c r="C75" s="18" t="s">
        <v>1707</v>
      </c>
      <c r="D75" s="18" t="s">
        <v>327</v>
      </c>
      <c r="E75" s="11" t="s">
        <v>77</v>
      </c>
      <c r="F75" s="42" t="str">
        <f>VLOOKUP(A75,Main!A:J,9,0)</f>
        <v>VS29</v>
      </c>
      <c r="G75" s="25" t="str">
        <f>VLOOKUP(A75,Main!A:J,10,0)</f>
        <v>7</v>
      </c>
      <c r="H75" s="42" t="b">
        <f t="shared" ref="H75:I75" si="74">F75=D75</f>
        <v>0</v>
      </c>
      <c r="I75" s="42" t="b">
        <f t="shared" si="74"/>
        <v>0</v>
      </c>
    </row>
    <row r="76">
      <c r="A76" s="11" t="s">
        <v>1400</v>
      </c>
      <c r="B76" s="18" t="s">
        <v>311</v>
      </c>
      <c r="C76" s="18" t="s">
        <v>1707</v>
      </c>
      <c r="D76" s="18" t="s">
        <v>327</v>
      </c>
      <c r="E76" s="11" t="s">
        <v>77</v>
      </c>
      <c r="F76" s="42" t="str">
        <f>VLOOKUP(A76,Main!A:J,9,0)</f>
        <v>VS12</v>
      </c>
      <c r="G76" s="25" t="str">
        <f>VLOOKUP(A76,Main!A:J,10,0)</f>
        <v>1</v>
      </c>
      <c r="H76" s="42" t="b">
        <f t="shared" ref="H76:I76" si="75">F76=D76</f>
        <v>1</v>
      </c>
      <c r="I76" s="42" t="b">
        <f t="shared" si="75"/>
        <v>1</v>
      </c>
    </row>
    <row r="77">
      <c r="A77" s="11" t="s">
        <v>1676</v>
      </c>
      <c r="B77" s="18" t="s">
        <v>311</v>
      </c>
      <c r="C77" s="18" t="s">
        <v>1707</v>
      </c>
      <c r="D77" s="18" t="s">
        <v>327</v>
      </c>
      <c r="E77" s="11" t="s">
        <v>77</v>
      </c>
      <c r="F77" s="42" t="str">
        <f>VLOOKUP(A77,Main!A:J,9,0)</f>
        <v>VS12</v>
      </c>
      <c r="G77" s="25" t="str">
        <f>VLOOKUP(A77,Main!A:J,10,0)</f>
        <v>1</v>
      </c>
      <c r="H77" s="42" t="b">
        <f t="shared" ref="H77:I77" si="76">F77=D77</f>
        <v>1</v>
      </c>
      <c r="I77" s="42" t="b">
        <f t="shared" si="76"/>
        <v>1</v>
      </c>
    </row>
    <row r="78">
      <c r="A78" s="11" t="s">
        <v>1642</v>
      </c>
      <c r="B78" s="18" t="s">
        <v>311</v>
      </c>
      <c r="C78" s="18" t="s">
        <v>1707</v>
      </c>
      <c r="D78" s="18" t="s">
        <v>327</v>
      </c>
      <c r="E78" s="11" t="s">
        <v>77</v>
      </c>
      <c r="F78" s="42" t="str">
        <f>VLOOKUP(A78,Main!A:J,9,0)</f>
        <v>VS12</v>
      </c>
      <c r="G78" s="25" t="str">
        <f>VLOOKUP(A78,Main!A:J,10,0)</f>
        <v>1</v>
      </c>
      <c r="H78" s="42" t="b">
        <f t="shared" ref="H78:I78" si="77">F78=D78</f>
        <v>1</v>
      </c>
      <c r="I78" s="42" t="b">
        <f t="shared" si="77"/>
        <v>1</v>
      </c>
    </row>
    <row r="79">
      <c r="A79" s="11" t="s">
        <v>1618</v>
      </c>
      <c r="B79" s="18" t="s">
        <v>311</v>
      </c>
      <c r="C79" s="18" t="s">
        <v>1707</v>
      </c>
      <c r="D79" s="18" t="s">
        <v>327</v>
      </c>
      <c r="E79" s="11" t="s">
        <v>77</v>
      </c>
      <c r="F79" s="42" t="str">
        <f>VLOOKUP(A79,Main!A:J,9,0)</f>
        <v>VS12</v>
      </c>
      <c r="G79" s="25" t="str">
        <f>VLOOKUP(A79,Main!A:J,10,0)</f>
        <v>1</v>
      </c>
      <c r="H79" s="42" t="b">
        <f t="shared" ref="H79:I79" si="78">F79=D79</f>
        <v>1</v>
      </c>
      <c r="I79" s="42" t="b">
        <f t="shared" si="78"/>
        <v>1</v>
      </c>
    </row>
    <row r="80">
      <c r="A80" s="11" t="s">
        <v>1731</v>
      </c>
      <c r="B80" s="18" t="s">
        <v>311</v>
      </c>
      <c r="C80" s="18" t="s">
        <v>1968</v>
      </c>
      <c r="D80" s="18" t="s">
        <v>340</v>
      </c>
      <c r="E80" s="11" t="s">
        <v>77</v>
      </c>
      <c r="F80" s="42" t="str">
        <f>VLOOKUP(A80,Main!A:J,9,0)</f>
        <v>VS13</v>
      </c>
      <c r="G80" s="25" t="str">
        <f>VLOOKUP(A80,Main!A:J,10,0)</f>
        <v>1</v>
      </c>
      <c r="H80" s="42" t="b">
        <f t="shared" ref="H80:I80" si="79">F80=D80</f>
        <v>1</v>
      </c>
      <c r="I80" s="42" t="b">
        <f t="shared" si="79"/>
        <v>1</v>
      </c>
    </row>
    <row r="81">
      <c r="A81" s="11" t="s">
        <v>1763</v>
      </c>
      <c r="B81" s="18" t="s">
        <v>311</v>
      </c>
      <c r="C81" s="18" t="s">
        <v>1968</v>
      </c>
      <c r="D81" s="18" t="s">
        <v>340</v>
      </c>
      <c r="E81" s="11" t="s">
        <v>77</v>
      </c>
      <c r="F81" s="42" t="str">
        <f>VLOOKUP(A81,Main!A:J,9,0)</f>
        <v>VS13</v>
      </c>
      <c r="G81" s="25" t="str">
        <f>VLOOKUP(A81,Main!A:J,10,0)</f>
        <v>1</v>
      </c>
      <c r="H81" s="42" t="b">
        <f t="shared" ref="H81:I81" si="80">F81=D81</f>
        <v>1</v>
      </c>
      <c r="I81" s="42" t="b">
        <f t="shared" si="80"/>
        <v>1</v>
      </c>
    </row>
    <row r="82">
      <c r="A82" s="11" t="s">
        <v>1568</v>
      </c>
      <c r="B82" s="18" t="s">
        <v>311</v>
      </c>
      <c r="C82" s="18" t="s">
        <v>1968</v>
      </c>
      <c r="D82" s="18" t="s">
        <v>340</v>
      </c>
      <c r="E82" s="11" t="s">
        <v>77</v>
      </c>
      <c r="F82" s="42" t="str">
        <f>VLOOKUP(A82,Main!A:J,9,0)</f>
        <v>VS13</v>
      </c>
      <c r="G82" s="25" t="str">
        <f>VLOOKUP(A82,Main!A:J,10,0)</f>
        <v>1</v>
      </c>
      <c r="H82" s="42" t="b">
        <f t="shared" ref="H82:I82" si="81">F82=D82</f>
        <v>1</v>
      </c>
      <c r="I82" s="42" t="b">
        <f t="shared" si="81"/>
        <v>1</v>
      </c>
    </row>
    <row r="83">
      <c r="A83" s="11" t="s">
        <v>1346</v>
      </c>
      <c r="B83" s="18" t="s">
        <v>311</v>
      </c>
      <c r="C83" s="18" t="s">
        <v>1968</v>
      </c>
      <c r="D83" s="18" t="s">
        <v>340</v>
      </c>
      <c r="E83" s="11" t="s">
        <v>77</v>
      </c>
      <c r="F83" s="42" t="str">
        <f>VLOOKUP(A83,Main!A:J,9,0)</f>
        <v>VS13</v>
      </c>
      <c r="G83" s="25" t="str">
        <f>VLOOKUP(A83,Main!A:J,10,0)</f>
        <v>1</v>
      </c>
      <c r="H83" s="42" t="b">
        <f t="shared" ref="H83:I83" si="82">F83=D83</f>
        <v>1</v>
      </c>
      <c r="I83" s="42" t="b">
        <f t="shared" si="82"/>
        <v>1</v>
      </c>
    </row>
    <row r="84">
      <c r="A84" s="11" t="s">
        <v>1510</v>
      </c>
      <c r="B84" s="18" t="s">
        <v>311</v>
      </c>
      <c r="C84" s="18" t="s">
        <v>1968</v>
      </c>
      <c r="D84" s="18" t="s">
        <v>340</v>
      </c>
      <c r="E84" s="11" t="s">
        <v>77</v>
      </c>
      <c r="F84" s="42" t="str">
        <f>VLOOKUP(A84,Main!A:J,9,0)</f>
        <v>VS13</v>
      </c>
      <c r="G84" s="25" t="str">
        <f>VLOOKUP(A84,Main!A:J,10,0)</f>
        <v>1</v>
      </c>
      <c r="H84" s="42" t="b">
        <f t="shared" ref="H84:I84" si="83">F84=D84</f>
        <v>1</v>
      </c>
      <c r="I84" s="42" t="b">
        <f t="shared" si="83"/>
        <v>1</v>
      </c>
    </row>
    <row r="85">
      <c r="A85" s="11" t="s">
        <v>1590</v>
      </c>
      <c r="B85" s="18" t="s">
        <v>311</v>
      </c>
      <c r="C85" s="18" t="s">
        <v>1968</v>
      </c>
      <c r="D85" s="18" t="s">
        <v>340</v>
      </c>
      <c r="E85" s="11" t="s">
        <v>77</v>
      </c>
      <c r="F85" s="42" t="str">
        <f>VLOOKUP(A85,Main!A:J,9,0)</f>
        <v>VS13</v>
      </c>
      <c r="G85" s="25" t="str">
        <f>VLOOKUP(A85,Main!A:J,10,0)</f>
        <v>1</v>
      </c>
      <c r="H85" s="42" t="b">
        <f t="shared" ref="H85:I85" si="84">F85=D85</f>
        <v>1</v>
      </c>
      <c r="I85" s="42" t="b">
        <f t="shared" si="84"/>
        <v>1</v>
      </c>
    </row>
    <row r="86">
      <c r="A86" s="11" t="s">
        <v>2261</v>
      </c>
      <c r="B86" s="18" t="s">
        <v>311</v>
      </c>
      <c r="C86" s="18" t="s">
        <v>1968</v>
      </c>
      <c r="D86" s="18" t="s">
        <v>340</v>
      </c>
      <c r="E86" s="11" t="s">
        <v>77</v>
      </c>
      <c r="F86" s="42" t="str">
        <f>VLOOKUP(A86,Main!A:J,9,0)</f>
        <v>VS13</v>
      </c>
      <c r="G86" s="25" t="str">
        <f>VLOOKUP(A86,Main!A:J,10,0)</f>
        <v>1</v>
      </c>
      <c r="H86" s="42" t="b">
        <f t="shared" ref="H86:I86" si="85">F86=D86</f>
        <v>1</v>
      </c>
      <c r="I86" s="42" t="b">
        <f t="shared" si="85"/>
        <v>1</v>
      </c>
    </row>
    <row r="87">
      <c r="A87" s="11" t="s">
        <v>2279</v>
      </c>
      <c r="B87" s="18" t="s">
        <v>311</v>
      </c>
      <c r="C87" s="18" t="s">
        <v>1968</v>
      </c>
      <c r="D87" s="18" t="s">
        <v>340</v>
      </c>
      <c r="E87" s="11" t="s">
        <v>77</v>
      </c>
      <c r="F87" s="42" t="str">
        <f>VLOOKUP(A87,Main!A:J,9,0)</f>
        <v>VS13</v>
      </c>
      <c r="G87" s="25" t="str">
        <f>VLOOKUP(A87,Main!A:J,10,0)</f>
        <v>1</v>
      </c>
      <c r="H87" s="42" t="b">
        <f t="shared" ref="H87:I87" si="86">F87=D87</f>
        <v>1</v>
      </c>
      <c r="I87" s="42" t="b">
        <f t="shared" si="86"/>
        <v>1</v>
      </c>
    </row>
    <row r="88">
      <c r="A88" s="11" t="s">
        <v>2306</v>
      </c>
      <c r="B88" s="18" t="s">
        <v>311</v>
      </c>
      <c r="C88" s="18" t="s">
        <v>1968</v>
      </c>
      <c r="D88" s="18" t="s">
        <v>340</v>
      </c>
      <c r="E88" s="11" t="s">
        <v>77</v>
      </c>
      <c r="F88" s="42" t="str">
        <f>VLOOKUP(A88,Main!A:J,9,0)</f>
        <v>VS13</v>
      </c>
      <c r="G88" s="25" t="str">
        <f>VLOOKUP(A88,Main!A:J,10,0)</f>
        <v>1</v>
      </c>
      <c r="H88" s="42" t="b">
        <f t="shared" ref="H88:I88" si="87">F88=D88</f>
        <v>1</v>
      </c>
      <c r="I88" s="42" t="b">
        <f t="shared" si="87"/>
        <v>1</v>
      </c>
    </row>
    <row r="89">
      <c r="A89" s="11" t="s">
        <v>2322</v>
      </c>
      <c r="B89" s="18" t="s">
        <v>311</v>
      </c>
      <c r="C89" s="18" t="s">
        <v>1968</v>
      </c>
      <c r="D89" s="18" t="s">
        <v>340</v>
      </c>
      <c r="E89" s="11" t="s">
        <v>77</v>
      </c>
      <c r="F89" s="42" t="str">
        <f>VLOOKUP(A89,Main!A:J,9,0)</f>
        <v>VS13</v>
      </c>
      <c r="G89" s="25" t="str">
        <f>VLOOKUP(A89,Main!A:J,10,0)</f>
        <v>1</v>
      </c>
      <c r="H89" s="42" t="b">
        <f t="shared" ref="H89:I89" si="88">F89=D89</f>
        <v>1</v>
      </c>
      <c r="I89" s="42" t="b">
        <f t="shared" si="88"/>
        <v>1</v>
      </c>
    </row>
    <row r="90">
      <c r="A90" s="11" t="s">
        <v>2473</v>
      </c>
      <c r="B90" s="18" t="s">
        <v>311</v>
      </c>
      <c r="C90" s="18" t="s">
        <v>1968</v>
      </c>
      <c r="D90" s="18" t="s">
        <v>340</v>
      </c>
      <c r="E90" s="11" t="s">
        <v>77</v>
      </c>
      <c r="F90" s="42" t="str">
        <f>VLOOKUP(A90,Main!A:J,9,0)</f>
        <v>VS13</v>
      </c>
      <c r="G90" s="25" t="str">
        <f>VLOOKUP(A90,Main!A:J,10,0)</f>
        <v>1</v>
      </c>
      <c r="H90" s="42" t="b">
        <f t="shared" ref="H90:I90" si="89">F90=D90</f>
        <v>1</v>
      </c>
      <c r="I90" s="42" t="b">
        <f t="shared" si="89"/>
        <v>1</v>
      </c>
    </row>
    <row r="91">
      <c r="A91" s="11" t="s">
        <v>253</v>
      </c>
      <c r="B91" s="18" t="s">
        <v>311</v>
      </c>
      <c r="C91" s="18" t="s">
        <v>1968</v>
      </c>
      <c r="D91" s="18" t="s">
        <v>340</v>
      </c>
      <c r="E91" s="11" t="s">
        <v>77</v>
      </c>
      <c r="F91" s="42" t="str">
        <f>VLOOKUP(A91,Main!A:J,9,0)</f>
        <v>VS23</v>
      </c>
      <c r="G91" s="25" t="str">
        <f>VLOOKUP(A91,Main!A:J,10,0)</f>
        <v>1</v>
      </c>
      <c r="H91" s="42" t="b">
        <f t="shared" ref="H91:I91" si="90">F91=D91</f>
        <v>0</v>
      </c>
      <c r="I91" s="42" t="b">
        <f t="shared" si="90"/>
        <v>1</v>
      </c>
    </row>
    <row r="92">
      <c r="A92" s="11" t="s">
        <v>233</v>
      </c>
      <c r="B92" s="18" t="s">
        <v>311</v>
      </c>
      <c r="C92" s="18" t="s">
        <v>1968</v>
      </c>
      <c r="D92" s="18" t="s">
        <v>340</v>
      </c>
      <c r="E92" s="11" t="s">
        <v>77</v>
      </c>
      <c r="F92" s="42" t="str">
        <f>VLOOKUP(A92,Main!A:J,9,0)</f>
        <v>VS9</v>
      </c>
      <c r="G92" s="25" t="str">
        <f>VLOOKUP(A92,Main!A:J,10,0)</f>
        <v>7</v>
      </c>
      <c r="H92" s="42" t="b">
        <f t="shared" ref="H92:I92" si="91">F92=D92</f>
        <v>0</v>
      </c>
      <c r="I92" s="42" t="b">
        <f t="shared" si="91"/>
        <v>0</v>
      </c>
    </row>
    <row r="93">
      <c r="A93" s="11" t="s">
        <v>1342</v>
      </c>
      <c r="B93" s="18" t="s">
        <v>311</v>
      </c>
      <c r="C93" s="18" t="s">
        <v>1542</v>
      </c>
      <c r="D93" s="18" t="s">
        <v>340</v>
      </c>
      <c r="E93" s="11" t="s">
        <v>77</v>
      </c>
      <c r="F93" s="42" t="str">
        <f>VLOOKUP(A93,Main!A:J,9,0)</f>
        <v>VS13</v>
      </c>
      <c r="G93" s="25" t="str">
        <f>VLOOKUP(A93,Main!A:J,10,0)</f>
        <v>1</v>
      </c>
      <c r="H93" s="42" t="b">
        <f t="shared" ref="H93:I93" si="92">F93=D93</f>
        <v>1</v>
      </c>
      <c r="I93" s="42" t="b">
        <f t="shared" si="92"/>
        <v>1</v>
      </c>
    </row>
    <row r="94">
      <c r="A94" s="11" t="s">
        <v>1537</v>
      </c>
      <c r="B94" s="18" t="s">
        <v>311</v>
      </c>
      <c r="C94" s="18" t="s">
        <v>1542</v>
      </c>
      <c r="D94" s="18" t="s">
        <v>340</v>
      </c>
      <c r="E94" s="11" t="s">
        <v>77</v>
      </c>
      <c r="F94" s="42" t="str">
        <f>VLOOKUP(A94,Main!A:J,9,0)</f>
        <v>VS13</v>
      </c>
      <c r="G94" s="25" t="str">
        <f>VLOOKUP(A94,Main!A:J,10,0)</f>
        <v>1</v>
      </c>
      <c r="H94" s="42" t="b">
        <f t="shared" ref="H94:I94" si="93">F94=D94</f>
        <v>1</v>
      </c>
      <c r="I94" s="42" t="b">
        <f t="shared" si="93"/>
        <v>1</v>
      </c>
    </row>
    <row r="95">
      <c r="A95" s="11" t="s">
        <v>1832</v>
      </c>
      <c r="B95" s="18" t="s">
        <v>311</v>
      </c>
      <c r="C95" s="18" t="s">
        <v>1542</v>
      </c>
      <c r="D95" s="18" t="s">
        <v>340</v>
      </c>
      <c r="E95" s="11" t="s">
        <v>77</v>
      </c>
      <c r="F95" s="42" t="str">
        <f>VLOOKUP(A95,Main!A:J,9,0)</f>
        <v>VS13</v>
      </c>
      <c r="G95" s="25" t="str">
        <f>VLOOKUP(A95,Main!A:J,10,0)</f>
        <v>1</v>
      </c>
      <c r="H95" s="42" t="b">
        <f t="shared" ref="H95:I95" si="94">F95=D95</f>
        <v>1</v>
      </c>
      <c r="I95" s="42" t="b">
        <f t="shared" si="94"/>
        <v>1</v>
      </c>
    </row>
    <row r="96">
      <c r="A96" s="11" t="s">
        <v>1492</v>
      </c>
      <c r="B96" s="18" t="s">
        <v>311</v>
      </c>
      <c r="C96" s="18" t="s">
        <v>1542</v>
      </c>
      <c r="D96" s="18" t="s">
        <v>340</v>
      </c>
      <c r="E96" s="11" t="s">
        <v>77</v>
      </c>
      <c r="F96" s="42" t="str">
        <f>VLOOKUP(A96,Main!A:J,9,0)</f>
        <v>VS13</v>
      </c>
      <c r="G96" s="25" t="str">
        <f>VLOOKUP(A96,Main!A:J,10,0)</f>
        <v>1</v>
      </c>
      <c r="H96" s="42" t="b">
        <f t="shared" ref="H96:I96" si="95">F96=D96</f>
        <v>1</v>
      </c>
      <c r="I96" s="42" t="b">
        <f t="shared" si="95"/>
        <v>1</v>
      </c>
    </row>
    <row r="97">
      <c r="A97" s="11" t="s">
        <v>1508</v>
      </c>
      <c r="B97" s="18" t="s">
        <v>311</v>
      </c>
      <c r="C97" s="18" t="s">
        <v>1542</v>
      </c>
      <c r="D97" s="18" t="s">
        <v>340</v>
      </c>
      <c r="E97" s="11" t="s">
        <v>77</v>
      </c>
      <c r="F97" s="42" t="str">
        <f>VLOOKUP(A97,Main!A:J,9,0)</f>
        <v>VS13</v>
      </c>
      <c r="G97" s="25" t="str">
        <f>VLOOKUP(A97,Main!A:J,10,0)</f>
        <v>1</v>
      </c>
      <c r="H97" s="42" t="b">
        <f t="shared" ref="H97:I97" si="96">F97=D97</f>
        <v>1</v>
      </c>
      <c r="I97" s="42" t="b">
        <f t="shared" si="96"/>
        <v>1</v>
      </c>
    </row>
    <row r="98">
      <c r="A98" s="11" t="s">
        <v>1523</v>
      </c>
      <c r="B98" s="18" t="s">
        <v>311</v>
      </c>
      <c r="C98" s="18" t="s">
        <v>1542</v>
      </c>
      <c r="D98" s="18" t="s">
        <v>340</v>
      </c>
      <c r="E98" s="11" t="s">
        <v>77</v>
      </c>
      <c r="F98" s="42" t="str">
        <f>VLOOKUP(A98,Main!A:J,9,0)</f>
        <v>VS13</v>
      </c>
      <c r="G98" s="25" t="str">
        <f>VLOOKUP(A98,Main!A:J,10,0)</f>
        <v>1</v>
      </c>
      <c r="H98" s="42" t="b">
        <f t="shared" ref="H98:I98" si="97">F98=D98</f>
        <v>1</v>
      </c>
      <c r="I98" s="42" t="b">
        <f t="shared" si="97"/>
        <v>1</v>
      </c>
    </row>
    <row r="99">
      <c r="A99" s="11" t="s">
        <v>1843</v>
      </c>
      <c r="B99" s="18" t="s">
        <v>311</v>
      </c>
      <c r="C99" s="18" t="s">
        <v>1542</v>
      </c>
      <c r="D99" s="18" t="s">
        <v>340</v>
      </c>
      <c r="E99" s="11" t="s">
        <v>77</v>
      </c>
      <c r="F99" s="42" t="str">
        <f>VLOOKUP(A99,Main!A:J,9,0)</f>
        <v>VS13</v>
      </c>
      <c r="G99" s="25" t="str">
        <f>VLOOKUP(A99,Main!A:J,10,0)</f>
        <v>1</v>
      </c>
      <c r="H99" s="42" t="b">
        <f t="shared" ref="H99:I99" si="98">F99=D99</f>
        <v>1</v>
      </c>
      <c r="I99" s="42" t="b">
        <f t="shared" si="98"/>
        <v>1</v>
      </c>
    </row>
    <row r="100">
      <c r="A100" s="11" t="s">
        <v>1846</v>
      </c>
      <c r="B100" s="18" t="s">
        <v>311</v>
      </c>
      <c r="C100" s="18" t="s">
        <v>1542</v>
      </c>
      <c r="D100" s="18" t="s">
        <v>340</v>
      </c>
      <c r="E100" s="11" t="s">
        <v>77</v>
      </c>
      <c r="F100" s="42" t="str">
        <f>VLOOKUP(A100,Main!A:J,9,0)</f>
        <v>VS13</v>
      </c>
      <c r="G100" s="25" t="str">
        <f>VLOOKUP(A100,Main!A:J,10,0)</f>
        <v>1</v>
      </c>
      <c r="H100" s="42" t="b">
        <f t="shared" ref="H100:I100" si="99">F100=D100</f>
        <v>1</v>
      </c>
      <c r="I100" s="42" t="b">
        <f t="shared" si="99"/>
        <v>1</v>
      </c>
    </row>
    <row r="101">
      <c r="A101" s="11" t="s">
        <v>1758</v>
      </c>
      <c r="B101" s="18" t="s">
        <v>311</v>
      </c>
      <c r="C101" s="18" t="s">
        <v>1542</v>
      </c>
      <c r="D101" s="18" t="s">
        <v>340</v>
      </c>
      <c r="E101" s="11" t="s">
        <v>77</v>
      </c>
      <c r="F101" s="42" t="str">
        <f>VLOOKUP(A101,Main!A:J,9,0)</f>
        <v>VS13</v>
      </c>
      <c r="G101" s="25" t="str">
        <f>VLOOKUP(A101,Main!A:J,10,0)</f>
        <v>1</v>
      </c>
      <c r="H101" s="42" t="b">
        <f t="shared" ref="H101:I101" si="100">F101=D101</f>
        <v>1</v>
      </c>
      <c r="I101" s="42" t="b">
        <f t="shared" si="100"/>
        <v>1</v>
      </c>
    </row>
    <row r="102">
      <c r="A102" s="11" t="s">
        <v>1863</v>
      </c>
      <c r="B102" s="18" t="s">
        <v>311</v>
      </c>
      <c r="C102" s="18" t="s">
        <v>1542</v>
      </c>
      <c r="D102" s="18" t="s">
        <v>340</v>
      </c>
      <c r="E102" s="11" t="s">
        <v>77</v>
      </c>
      <c r="F102" s="42" t="str">
        <f>VLOOKUP(A102,Main!A:J,9,0)</f>
        <v>VS13</v>
      </c>
      <c r="G102" s="25" t="str">
        <f>VLOOKUP(A102,Main!A:J,10,0)</f>
        <v>1</v>
      </c>
      <c r="H102" s="42" t="b">
        <f t="shared" ref="H102:I102" si="101">F102=D102</f>
        <v>1</v>
      </c>
      <c r="I102" s="42" t="b">
        <f t="shared" si="101"/>
        <v>1</v>
      </c>
    </row>
    <row r="103">
      <c r="A103" s="11" t="s">
        <v>155</v>
      </c>
      <c r="B103" s="18" t="s">
        <v>311</v>
      </c>
      <c r="C103" s="18" t="s">
        <v>1542</v>
      </c>
      <c r="D103" s="18" t="s">
        <v>340</v>
      </c>
      <c r="E103" s="11" t="s">
        <v>77</v>
      </c>
      <c r="F103" s="42" t="str">
        <f>VLOOKUP(A103,Main!A:J,9,0)</f>
        <v>VS29</v>
      </c>
      <c r="G103" s="25" t="str">
        <f>VLOOKUP(A103,Main!A:J,10,0)</f>
        <v>7</v>
      </c>
      <c r="H103" s="42" t="b">
        <f t="shared" ref="H103:I103" si="102">F103=D103</f>
        <v>0</v>
      </c>
      <c r="I103" s="42" t="b">
        <f t="shared" si="102"/>
        <v>0</v>
      </c>
    </row>
    <row r="104">
      <c r="A104" s="11" t="s">
        <v>2119</v>
      </c>
      <c r="B104" s="18" t="s">
        <v>311</v>
      </c>
      <c r="C104" s="18" t="s">
        <v>1542</v>
      </c>
      <c r="D104" s="18" t="s">
        <v>340</v>
      </c>
      <c r="E104" s="11" t="s">
        <v>77</v>
      </c>
      <c r="F104" s="42" t="str">
        <f>VLOOKUP(A104,Main!A:J,9,0)</f>
        <v>VS13</v>
      </c>
      <c r="G104" s="25" t="str">
        <f>VLOOKUP(A104,Main!A:J,10,0)</f>
        <v>1</v>
      </c>
      <c r="H104" s="42" t="b">
        <f t="shared" ref="H104:I104" si="103">F104=D104</f>
        <v>1</v>
      </c>
      <c r="I104" s="42" t="b">
        <f t="shared" si="103"/>
        <v>1</v>
      </c>
    </row>
    <row r="105">
      <c r="A105" s="11" t="s">
        <v>355</v>
      </c>
      <c r="B105" s="18" t="s">
        <v>311</v>
      </c>
      <c r="C105" s="18" t="s">
        <v>1679</v>
      </c>
      <c r="D105" s="18" t="s">
        <v>174</v>
      </c>
      <c r="E105" s="11" t="s">
        <v>77</v>
      </c>
      <c r="F105" s="42" t="str">
        <f>VLOOKUP(A105,Main!A:J,9,0)</f>
        <v>VS14</v>
      </c>
      <c r="G105" s="25" t="str">
        <f>VLOOKUP(A105,Main!A:J,10,0)</f>
        <v>1</v>
      </c>
      <c r="H105" s="42" t="b">
        <f t="shared" ref="H105:I105" si="104">F105=D105</f>
        <v>1</v>
      </c>
      <c r="I105" s="42" t="b">
        <f t="shared" si="104"/>
        <v>1</v>
      </c>
    </row>
    <row r="106">
      <c r="A106" s="11" t="s">
        <v>337</v>
      </c>
      <c r="B106" s="18" t="s">
        <v>311</v>
      </c>
      <c r="C106" s="18" t="s">
        <v>1679</v>
      </c>
      <c r="D106" s="18" t="s">
        <v>174</v>
      </c>
      <c r="E106" s="11" t="s">
        <v>77</v>
      </c>
      <c r="F106" s="42" t="str">
        <f>VLOOKUP(A106,Main!A:J,9,0)</f>
        <v>VS14</v>
      </c>
      <c r="G106" s="25" t="str">
        <f>VLOOKUP(A106,Main!A:J,10,0)</f>
        <v>1</v>
      </c>
      <c r="H106" s="42" t="b">
        <f t="shared" ref="H106:I106" si="105">F106=D106</f>
        <v>1</v>
      </c>
      <c r="I106" s="42" t="b">
        <f t="shared" si="105"/>
        <v>1</v>
      </c>
    </row>
    <row r="107">
      <c r="A107" s="11" t="s">
        <v>370</v>
      </c>
      <c r="B107" s="18" t="s">
        <v>311</v>
      </c>
      <c r="C107" s="18" t="s">
        <v>1679</v>
      </c>
      <c r="D107" s="18" t="s">
        <v>174</v>
      </c>
      <c r="E107" s="11" t="s">
        <v>77</v>
      </c>
      <c r="F107" s="42" t="str">
        <f>VLOOKUP(A107,Main!A:J,9,0)</f>
        <v>VS14</v>
      </c>
      <c r="G107" s="25" t="str">
        <f>VLOOKUP(A107,Main!A:J,10,0)</f>
        <v>1</v>
      </c>
      <c r="H107" s="42" t="b">
        <f t="shared" ref="H107:I107" si="106">F107=D107</f>
        <v>1</v>
      </c>
      <c r="I107" s="42" t="b">
        <f t="shared" si="106"/>
        <v>1</v>
      </c>
    </row>
    <row r="108">
      <c r="A108" s="11" t="s">
        <v>405</v>
      </c>
      <c r="B108" s="18" t="s">
        <v>311</v>
      </c>
      <c r="C108" s="18" t="s">
        <v>1679</v>
      </c>
      <c r="D108" s="18" t="s">
        <v>174</v>
      </c>
      <c r="E108" s="11" t="s">
        <v>77</v>
      </c>
      <c r="F108" s="42" t="str">
        <f>VLOOKUP(A108,Main!A:J,9,0)</f>
        <v>VS14</v>
      </c>
      <c r="G108" s="25" t="str">
        <f>VLOOKUP(A108,Main!A:J,10,0)</f>
        <v>1</v>
      </c>
      <c r="H108" s="42" t="b">
        <f t="shared" ref="H108:I108" si="107">F108=D108</f>
        <v>1</v>
      </c>
      <c r="I108" s="42" t="b">
        <f t="shared" si="107"/>
        <v>1</v>
      </c>
    </row>
    <row r="109">
      <c r="A109" s="11" t="s">
        <v>367</v>
      </c>
      <c r="B109" s="18" t="s">
        <v>311</v>
      </c>
      <c r="C109" s="18" t="s">
        <v>1679</v>
      </c>
      <c r="D109" s="18" t="s">
        <v>174</v>
      </c>
      <c r="E109" s="11" t="s">
        <v>77</v>
      </c>
      <c r="F109" s="42" t="str">
        <f>VLOOKUP(A109,Main!A:J,9,0)</f>
        <v>VS14</v>
      </c>
      <c r="G109" s="25" t="str">
        <f>VLOOKUP(A109,Main!A:J,10,0)</f>
        <v>1</v>
      </c>
      <c r="H109" s="42" t="b">
        <f t="shared" ref="H109:I109" si="108">F109=D109</f>
        <v>1</v>
      </c>
      <c r="I109" s="42" t="b">
        <f t="shared" si="108"/>
        <v>1</v>
      </c>
    </row>
    <row r="110">
      <c r="A110" s="11" t="s">
        <v>386</v>
      </c>
      <c r="B110" s="18" t="s">
        <v>311</v>
      </c>
      <c r="C110" s="18" t="s">
        <v>1679</v>
      </c>
      <c r="D110" s="18" t="s">
        <v>174</v>
      </c>
      <c r="E110" s="11" t="s">
        <v>77</v>
      </c>
      <c r="F110" s="42" t="str">
        <f>VLOOKUP(A110,Main!A:J,9,0)</f>
        <v>VS14</v>
      </c>
      <c r="G110" s="25" t="str">
        <f>VLOOKUP(A110,Main!A:J,10,0)</f>
        <v>1</v>
      </c>
      <c r="H110" s="42" t="b">
        <f t="shared" ref="H110:I110" si="109">F110=D110</f>
        <v>1</v>
      </c>
      <c r="I110" s="42" t="b">
        <f t="shared" si="109"/>
        <v>1</v>
      </c>
    </row>
    <row r="111">
      <c r="A111" s="11" t="s">
        <v>457</v>
      </c>
      <c r="B111" s="18" t="s">
        <v>311</v>
      </c>
      <c r="C111" s="18" t="s">
        <v>1679</v>
      </c>
      <c r="D111" s="18" t="s">
        <v>174</v>
      </c>
      <c r="E111" s="11" t="s">
        <v>77</v>
      </c>
      <c r="F111" s="42" t="str">
        <f>VLOOKUP(A111,Main!A:J,9,0)</f>
        <v>VS14</v>
      </c>
      <c r="G111" s="25" t="str">
        <f>VLOOKUP(A111,Main!A:J,10,0)</f>
        <v>1</v>
      </c>
      <c r="H111" s="42" t="b">
        <f t="shared" ref="H111:I111" si="110">F111=D111</f>
        <v>1</v>
      </c>
      <c r="I111" s="42" t="b">
        <f t="shared" si="110"/>
        <v>1</v>
      </c>
      <c r="K111" s="76"/>
    </row>
    <row r="112">
      <c r="A112" s="11" t="s">
        <v>2553</v>
      </c>
      <c r="B112" s="18" t="s">
        <v>311</v>
      </c>
      <c r="C112" s="18" t="s">
        <v>1679</v>
      </c>
      <c r="D112" s="18" t="s">
        <v>174</v>
      </c>
      <c r="E112" s="11" t="s">
        <v>77</v>
      </c>
      <c r="F112" s="42" t="str">
        <f>VLOOKUP(A112,Main!A:J,9,0)</f>
        <v>VS14</v>
      </c>
      <c r="G112" s="25" t="str">
        <f>VLOOKUP(A112,Main!A:J,10,0)</f>
        <v>1</v>
      </c>
      <c r="H112" s="42" t="b">
        <f t="shared" ref="H112:I112" si="111">F112=D112</f>
        <v>1</v>
      </c>
      <c r="I112" s="42" t="b">
        <f t="shared" si="111"/>
        <v>1</v>
      </c>
      <c r="K112" s="76"/>
    </row>
    <row r="113">
      <c r="A113" s="11" t="s">
        <v>426</v>
      </c>
      <c r="B113" s="18" t="s">
        <v>311</v>
      </c>
      <c r="C113" s="18" t="s">
        <v>1679</v>
      </c>
      <c r="D113" s="18" t="s">
        <v>174</v>
      </c>
      <c r="E113" s="11" t="s">
        <v>77</v>
      </c>
      <c r="F113" s="42" t="str">
        <f>VLOOKUP(A113,Main!A:J,9,0)</f>
        <v>VS14</v>
      </c>
      <c r="G113" s="25" t="str">
        <f>VLOOKUP(A113,Main!A:J,10,0)</f>
        <v>1</v>
      </c>
      <c r="H113" s="42" t="b">
        <f t="shared" ref="H113:I113" si="112">F113=D113</f>
        <v>1</v>
      </c>
      <c r="I113" s="42" t="b">
        <f t="shared" si="112"/>
        <v>1</v>
      </c>
      <c r="K113" s="76"/>
    </row>
    <row r="114">
      <c r="A114" s="11" t="s">
        <v>352</v>
      </c>
      <c r="B114" s="18" t="s">
        <v>311</v>
      </c>
      <c r="C114" s="18" t="s">
        <v>1679</v>
      </c>
      <c r="D114" s="18" t="s">
        <v>174</v>
      </c>
      <c r="E114" s="11" t="s">
        <v>77</v>
      </c>
      <c r="F114" s="42" t="str">
        <f>VLOOKUP(A114,Main!A:J,9,0)</f>
        <v>VS14</v>
      </c>
      <c r="G114" s="25" t="str">
        <f>VLOOKUP(A114,Main!A:J,10,0)</f>
        <v>1</v>
      </c>
      <c r="H114" s="42" t="b">
        <f t="shared" ref="H114:I114" si="113">F114=D114</f>
        <v>1</v>
      </c>
      <c r="I114" s="42" t="b">
        <f t="shared" si="113"/>
        <v>1</v>
      </c>
      <c r="K114" s="76"/>
    </row>
    <row r="115">
      <c r="A115" s="11" t="s">
        <v>485</v>
      </c>
      <c r="B115" s="18" t="s">
        <v>311</v>
      </c>
      <c r="C115" s="18" t="s">
        <v>1679</v>
      </c>
      <c r="D115" s="18" t="s">
        <v>174</v>
      </c>
      <c r="E115" s="11" t="s">
        <v>77</v>
      </c>
      <c r="F115" s="42" t="str">
        <f>VLOOKUP(A115,Main!A:J,9,0)</f>
        <v>VS14</v>
      </c>
      <c r="G115" s="25" t="str">
        <f>VLOOKUP(A115,Main!A:J,10,0)</f>
        <v>1</v>
      </c>
      <c r="H115" s="42" t="b">
        <f t="shared" ref="H115:I115" si="114">F115=D115</f>
        <v>1</v>
      </c>
      <c r="I115" s="42" t="b">
        <f t="shared" si="114"/>
        <v>1</v>
      </c>
      <c r="K115" s="76"/>
    </row>
    <row r="116">
      <c r="A116" s="11" t="s">
        <v>402</v>
      </c>
      <c r="B116" s="18" t="s">
        <v>311</v>
      </c>
      <c r="C116" s="18" t="s">
        <v>1679</v>
      </c>
      <c r="D116" s="18" t="s">
        <v>174</v>
      </c>
      <c r="E116" s="11" t="s">
        <v>77</v>
      </c>
      <c r="F116" s="42" t="str">
        <f>VLOOKUP(A116,Main!A:J,9,0)</f>
        <v>VS14</v>
      </c>
      <c r="G116" s="25" t="str">
        <f>VLOOKUP(A116,Main!A:J,10,0)</f>
        <v>1</v>
      </c>
      <c r="H116" s="42" t="b">
        <f t="shared" ref="H116:I116" si="115">F116=D116</f>
        <v>1</v>
      </c>
      <c r="I116" s="42" t="b">
        <f t="shared" si="115"/>
        <v>1</v>
      </c>
      <c r="K116" s="76"/>
    </row>
    <row r="117">
      <c r="A117" s="11" t="s">
        <v>259</v>
      </c>
      <c r="B117" s="18" t="s">
        <v>311</v>
      </c>
      <c r="C117" s="18" t="s">
        <v>1679</v>
      </c>
      <c r="D117" s="18" t="s">
        <v>174</v>
      </c>
      <c r="E117" s="11" t="s">
        <v>77</v>
      </c>
      <c r="F117" s="42" t="str">
        <f>VLOOKUP(A117,Main!A:J,9,0)</f>
        <v>VS14</v>
      </c>
      <c r="G117" s="25" t="str">
        <f>VLOOKUP(A117,Main!A:J,10,0)</f>
        <v>1</v>
      </c>
      <c r="H117" s="42" t="b">
        <f t="shared" ref="H117:I117" si="116">F117=D117</f>
        <v>1</v>
      </c>
      <c r="I117" s="42" t="b">
        <f t="shared" si="116"/>
        <v>1</v>
      </c>
      <c r="K117" s="76"/>
    </row>
    <row r="118">
      <c r="A118" s="11" t="s">
        <v>378</v>
      </c>
      <c r="B118" s="18" t="s">
        <v>85</v>
      </c>
      <c r="C118" s="18" t="s">
        <v>2300</v>
      </c>
      <c r="D118" s="18" t="s">
        <v>174</v>
      </c>
      <c r="E118" s="11" t="s">
        <v>77</v>
      </c>
      <c r="F118" s="42" t="str">
        <f>VLOOKUP(A118,Main!A:J,9,0)</f>
        <v>VS26</v>
      </c>
      <c r="G118" s="25" t="str">
        <f>VLOOKUP(A118,Main!A:J,10,0)</f>
        <v>7</v>
      </c>
      <c r="H118" s="42" t="b">
        <f t="shared" ref="H118:I118" si="117">F118=D118</f>
        <v>0</v>
      </c>
      <c r="I118" s="42" t="b">
        <f t="shared" si="117"/>
        <v>0</v>
      </c>
      <c r="K118" s="76"/>
    </row>
    <row r="119">
      <c r="A119" s="11" t="s">
        <v>401</v>
      </c>
      <c r="B119" s="18" t="s">
        <v>85</v>
      </c>
      <c r="C119" s="18" t="s">
        <v>2300</v>
      </c>
      <c r="D119" s="18" t="s">
        <v>174</v>
      </c>
      <c r="E119" s="11" t="s">
        <v>77</v>
      </c>
      <c r="F119" s="42" t="str">
        <f>VLOOKUP(A119,Main!A:J,9,0)</f>
        <v>VS14</v>
      </c>
      <c r="G119" s="25" t="str">
        <f>VLOOKUP(A119,Main!A:J,10,0)</f>
        <v>1</v>
      </c>
      <c r="H119" s="42" t="b">
        <f t="shared" ref="H119:I119" si="118">F119=D119</f>
        <v>1</v>
      </c>
      <c r="I119" s="42" t="b">
        <f t="shared" si="118"/>
        <v>1</v>
      </c>
      <c r="K119" s="76"/>
    </row>
    <row r="120">
      <c r="A120" s="11" t="s">
        <v>175</v>
      </c>
      <c r="B120" s="18" t="s">
        <v>85</v>
      </c>
      <c r="C120" s="18" t="s">
        <v>2300</v>
      </c>
      <c r="D120" s="18" t="s">
        <v>174</v>
      </c>
      <c r="E120" s="11" t="s">
        <v>77</v>
      </c>
      <c r="F120" s="42" t="str">
        <f>VLOOKUP(A120,Main!A:J,9,0)</f>
        <v>VS14</v>
      </c>
      <c r="G120" s="25" t="str">
        <f>VLOOKUP(A120,Main!A:J,10,0)</f>
        <v>1</v>
      </c>
      <c r="H120" s="42" t="b">
        <f t="shared" ref="H120:I120" si="119">F120=D120</f>
        <v>1</v>
      </c>
      <c r="I120" s="42" t="b">
        <f t="shared" si="119"/>
        <v>1</v>
      </c>
    </row>
    <row r="121">
      <c r="A121" s="11" t="s">
        <v>495</v>
      </c>
      <c r="B121" s="18" t="s">
        <v>85</v>
      </c>
      <c r="C121" s="18" t="s">
        <v>2300</v>
      </c>
      <c r="D121" s="18" t="s">
        <v>174</v>
      </c>
      <c r="E121" s="11" t="s">
        <v>77</v>
      </c>
      <c r="F121" s="42" t="str">
        <f>VLOOKUP(A121,Main!A:J,9,0)</f>
        <v>VS1</v>
      </c>
      <c r="G121" s="25" t="str">
        <f>VLOOKUP(A121,Main!A:J,10,0)</f>
        <v>8</v>
      </c>
      <c r="H121" s="42" t="b">
        <f t="shared" ref="H121:I121" si="120">F121=D121</f>
        <v>0</v>
      </c>
      <c r="I121" s="42" t="b">
        <f t="shared" si="120"/>
        <v>0</v>
      </c>
    </row>
    <row r="122">
      <c r="A122" s="11" t="s">
        <v>530</v>
      </c>
      <c r="B122" s="18" t="s">
        <v>85</v>
      </c>
      <c r="C122" s="18" t="s">
        <v>2300</v>
      </c>
      <c r="D122" s="18" t="s">
        <v>174</v>
      </c>
      <c r="E122" s="11" t="s">
        <v>77</v>
      </c>
      <c r="F122" s="42" t="str">
        <f>VLOOKUP(A122,Main!A:J,9,0)</f>
        <v>VS14</v>
      </c>
      <c r="G122" s="25" t="str">
        <f>VLOOKUP(A122,Main!A:J,10,0)</f>
        <v>1</v>
      </c>
      <c r="H122" s="42" t="b">
        <f t="shared" ref="H122:I122" si="121">F122=D122</f>
        <v>1</v>
      </c>
      <c r="I122" s="42" t="b">
        <f t="shared" si="121"/>
        <v>1</v>
      </c>
    </row>
    <row r="123">
      <c r="A123" s="11" t="s">
        <v>336</v>
      </c>
      <c r="B123" s="18" t="s">
        <v>85</v>
      </c>
      <c r="C123" s="18" t="s">
        <v>2300</v>
      </c>
      <c r="D123" s="18" t="s">
        <v>174</v>
      </c>
      <c r="E123" s="11" t="s">
        <v>77</v>
      </c>
      <c r="F123" s="42" t="str">
        <f>VLOOKUP(A123,Main!A:J,9,0)</f>
        <v>VS26</v>
      </c>
      <c r="G123" s="25" t="str">
        <f>VLOOKUP(A123,Main!A:J,10,0)</f>
        <v>7</v>
      </c>
      <c r="H123" s="42" t="b">
        <f t="shared" ref="H123:I123" si="122">F123=D123</f>
        <v>0</v>
      </c>
      <c r="I123" s="42" t="b">
        <f t="shared" si="122"/>
        <v>0</v>
      </c>
    </row>
    <row r="124">
      <c r="A124" s="11" t="s">
        <v>354</v>
      </c>
      <c r="B124" s="18" t="s">
        <v>85</v>
      </c>
      <c r="C124" s="18" t="s">
        <v>2300</v>
      </c>
      <c r="D124" s="18" t="s">
        <v>174</v>
      </c>
      <c r="E124" s="11" t="s">
        <v>77</v>
      </c>
      <c r="F124" s="42" t="str">
        <f>VLOOKUP(A124,Main!A:J,9,0)</f>
        <v>VS1</v>
      </c>
      <c r="G124" s="25" t="str">
        <f>VLOOKUP(A124,Main!A:J,10,0)</f>
        <v>8</v>
      </c>
      <c r="H124" s="42" t="b">
        <f t="shared" ref="H124:I124" si="123">F124=D124</f>
        <v>0</v>
      </c>
      <c r="I124" s="42" t="b">
        <f t="shared" si="123"/>
        <v>0</v>
      </c>
    </row>
    <row r="125">
      <c r="A125" s="11" t="s">
        <v>389</v>
      </c>
      <c r="B125" s="18" t="s">
        <v>85</v>
      </c>
      <c r="C125" s="18" t="s">
        <v>2300</v>
      </c>
      <c r="D125" s="18" t="s">
        <v>174</v>
      </c>
      <c r="E125" s="11" t="s">
        <v>77</v>
      </c>
      <c r="F125" s="42" t="str">
        <f>VLOOKUP(A125,Main!A:J,9,0)</f>
        <v>VS26</v>
      </c>
      <c r="G125" s="25" t="str">
        <f>VLOOKUP(A125,Main!A:J,10,0)</f>
        <v>7</v>
      </c>
      <c r="H125" s="42" t="b">
        <f t="shared" ref="H125:I125" si="124">F125=D125</f>
        <v>0</v>
      </c>
      <c r="I125" s="42" t="b">
        <f t="shared" si="124"/>
        <v>0</v>
      </c>
    </row>
    <row r="126">
      <c r="A126" s="11" t="s">
        <v>577</v>
      </c>
      <c r="B126" s="18" t="s">
        <v>85</v>
      </c>
      <c r="C126" s="18" t="s">
        <v>2300</v>
      </c>
      <c r="D126" s="18" t="s">
        <v>174</v>
      </c>
      <c r="E126" s="11" t="s">
        <v>77</v>
      </c>
      <c r="F126" s="42" t="str">
        <f>VLOOKUP(A126,Main!A:J,9,0)</f>
        <v>VS14</v>
      </c>
      <c r="G126" s="25" t="str">
        <f>VLOOKUP(A126,Main!A:J,10,0)</f>
        <v>1</v>
      </c>
      <c r="H126" s="42" t="b">
        <f t="shared" ref="H126:I126" si="125">F126=D126</f>
        <v>1</v>
      </c>
      <c r="I126" s="42" t="b">
        <f t="shared" si="125"/>
        <v>1</v>
      </c>
    </row>
    <row r="127">
      <c r="A127" s="11" t="s">
        <v>528</v>
      </c>
      <c r="B127" s="18" t="s">
        <v>85</v>
      </c>
      <c r="C127" s="18" t="s">
        <v>2300</v>
      </c>
      <c r="D127" s="18" t="s">
        <v>174</v>
      </c>
      <c r="E127" s="11" t="s">
        <v>77</v>
      </c>
      <c r="F127" s="42" t="str">
        <f>VLOOKUP(A127,Main!A:J,9,0)</f>
        <v>VS14</v>
      </c>
      <c r="G127" s="25" t="str">
        <f>VLOOKUP(A127,Main!A:J,10,0)</f>
        <v>1</v>
      </c>
      <c r="H127" s="42" t="b">
        <f t="shared" ref="H127:I127" si="126">F127=D127</f>
        <v>1</v>
      </c>
      <c r="I127" s="42" t="b">
        <f t="shared" si="126"/>
        <v>1</v>
      </c>
    </row>
    <row r="128">
      <c r="A128" s="11" t="s">
        <v>555</v>
      </c>
      <c r="B128" s="18" t="s">
        <v>85</v>
      </c>
      <c r="C128" s="18" t="s">
        <v>2300</v>
      </c>
      <c r="D128" s="18" t="s">
        <v>174</v>
      </c>
      <c r="E128" s="11" t="s">
        <v>77</v>
      </c>
      <c r="F128" s="42" t="str">
        <f>VLOOKUP(A128,Main!A:J,9,0)</f>
        <v>VS14</v>
      </c>
      <c r="G128" s="25" t="str">
        <f>VLOOKUP(A128,Main!A:J,10,0)</f>
        <v>1</v>
      </c>
      <c r="H128" s="42" t="b">
        <f t="shared" ref="H128:I128" si="127">F128=D128</f>
        <v>1</v>
      </c>
      <c r="I128" s="42" t="b">
        <f t="shared" si="127"/>
        <v>1</v>
      </c>
    </row>
    <row r="129">
      <c r="A129" s="11" t="s">
        <v>545</v>
      </c>
      <c r="B129" s="18" t="s">
        <v>85</v>
      </c>
      <c r="C129" s="18" t="s">
        <v>2300</v>
      </c>
      <c r="D129" s="18" t="s">
        <v>174</v>
      </c>
      <c r="E129" s="11" t="s">
        <v>77</v>
      </c>
      <c r="F129" s="42" t="str">
        <f>VLOOKUP(A129,Main!A:J,9,0)</f>
        <v>VS14</v>
      </c>
      <c r="G129" s="25" t="str">
        <f>VLOOKUP(A129,Main!A:J,10,0)</f>
        <v>1</v>
      </c>
      <c r="H129" s="42" t="b">
        <f t="shared" ref="H129:I129" si="128">F129=D129</f>
        <v>1</v>
      </c>
      <c r="I129" s="42" t="b">
        <f t="shared" si="128"/>
        <v>1</v>
      </c>
    </row>
    <row r="130">
      <c r="A130" s="11" t="s">
        <v>565</v>
      </c>
      <c r="B130" s="18" t="s">
        <v>85</v>
      </c>
      <c r="C130" s="18" t="s">
        <v>2300</v>
      </c>
      <c r="D130" s="18" t="s">
        <v>174</v>
      </c>
      <c r="E130" s="11" t="s">
        <v>77</v>
      </c>
      <c r="F130" s="42" t="str">
        <f>VLOOKUP(A130,Main!A:J,9,0)</f>
        <v>VS26</v>
      </c>
      <c r="G130" s="25" t="str">
        <f>VLOOKUP(A130,Main!A:J,10,0)</f>
        <v>7</v>
      </c>
      <c r="H130" s="42" t="b">
        <f t="shared" ref="H130:I130" si="129">F130=D130</f>
        <v>0</v>
      </c>
      <c r="I130" s="42" t="b">
        <f t="shared" si="129"/>
        <v>0</v>
      </c>
    </row>
    <row r="131">
      <c r="A131" s="11" t="s">
        <v>443</v>
      </c>
      <c r="B131" s="18" t="s">
        <v>311</v>
      </c>
      <c r="C131" s="18" t="s">
        <v>1632</v>
      </c>
      <c r="D131" s="18" t="s">
        <v>325</v>
      </c>
      <c r="E131" s="11" t="s">
        <v>77</v>
      </c>
      <c r="F131" s="42" t="str">
        <f>VLOOKUP(A131,Main!A:J,9,0)</f>
        <v>VS15</v>
      </c>
      <c r="G131" s="25" t="str">
        <f>VLOOKUP(A131,Main!A:J,10,0)</f>
        <v>1</v>
      </c>
      <c r="H131" s="42" t="b">
        <f t="shared" ref="H131:I131" si="130">F131=D131</f>
        <v>1</v>
      </c>
      <c r="I131" s="42" t="b">
        <f t="shared" si="130"/>
        <v>1</v>
      </c>
    </row>
    <row r="132">
      <c r="A132" s="11" t="s">
        <v>521</v>
      </c>
      <c r="B132" s="18" t="s">
        <v>311</v>
      </c>
      <c r="C132" s="18" t="s">
        <v>1632</v>
      </c>
      <c r="D132" s="18" t="s">
        <v>325</v>
      </c>
      <c r="E132" s="11" t="s">
        <v>77</v>
      </c>
      <c r="F132" s="42" t="str">
        <f>VLOOKUP(A132,Main!A:J,9,0)</f>
        <v>VS15</v>
      </c>
      <c r="G132" s="25" t="str">
        <f>VLOOKUP(A132,Main!A:J,10,0)</f>
        <v>1</v>
      </c>
      <c r="H132" s="42" t="b">
        <f t="shared" ref="H132:I132" si="131">F132=D132</f>
        <v>1</v>
      </c>
      <c r="I132" s="42" t="b">
        <f t="shared" si="131"/>
        <v>1</v>
      </c>
    </row>
    <row r="133">
      <c r="A133" s="11" t="s">
        <v>489</v>
      </c>
      <c r="B133" s="18" t="s">
        <v>311</v>
      </c>
      <c r="C133" s="18" t="s">
        <v>1632</v>
      </c>
      <c r="D133" s="18" t="s">
        <v>325</v>
      </c>
      <c r="E133" s="11" t="s">
        <v>77</v>
      </c>
      <c r="F133" s="42" t="str">
        <f>VLOOKUP(A133,Main!A:J,9,0)</f>
        <v>VS15</v>
      </c>
      <c r="G133" s="25" t="str">
        <f>VLOOKUP(A133,Main!A:J,10,0)</f>
        <v>1</v>
      </c>
      <c r="H133" s="42" t="b">
        <f t="shared" ref="H133:I133" si="132">F133=D133</f>
        <v>1</v>
      </c>
      <c r="I133" s="42" t="b">
        <f t="shared" si="132"/>
        <v>1</v>
      </c>
    </row>
    <row r="134">
      <c r="A134" s="11" t="s">
        <v>356</v>
      </c>
      <c r="B134" s="18" t="s">
        <v>311</v>
      </c>
      <c r="C134" s="18" t="s">
        <v>1632</v>
      </c>
      <c r="D134" s="18" t="s">
        <v>325</v>
      </c>
      <c r="E134" s="11" t="s">
        <v>77</v>
      </c>
      <c r="F134" s="42" t="str">
        <f>VLOOKUP(A134,Main!A:J,9,0)</f>
        <v>VS15</v>
      </c>
      <c r="G134" s="25" t="str">
        <f>VLOOKUP(A134,Main!A:J,10,0)</f>
        <v>1</v>
      </c>
      <c r="H134" s="42" t="b">
        <f t="shared" ref="H134:I134" si="133">F134=D134</f>
        <v>1</v>
      </c>
      <c r="I134" s="42" t="b">
        <f t="shared" si="133"/>
        <v>1</v>
      </c>
    </row>
    <row r="135">
      <c r="A135" s="11" t="s">
        <v>369</v>
      </c>
      <c r="B135" s="18" t="s">
        <v>311</v>
      </c>
      <c r="C135" s="18" t="s">
        <v>1632</v>
      </c>
      <c r="D135" s="18" t="s">
        <v>325</v>
      </c>
      <c r="E135" s="11" t="s">
        <v>77</v>
      </c>
      <c r="F135" s="42" t="str">
        <f>VLOOKUP(A135,Main!A:J,9,0)</f>
        <v>VS15</v>
      </c>
      <c r="G135" s="25" t="str">
        <f>VLOOKUP(A135,Main!A:J,10,0)</f>
        <v>1</v>
      </c>
      <c r="H135" s="42" t="b">
        <f t="shared" ref="H135:I135" si="134">F135=D135</f>
        <v>1</v>
      </c>
      <c r="I135" s="42" t="b">
        <f t="shared" si="134"/>
        <v>1</v>
      </c>
    </row>
    <row r="136">
      <c r="A136" s="11" t="s">
        <v>379</v>
      </c>
      <c r="B136" s="18" t="s">
        <v>311</v>
      </c>
      <c r="C136" s="18" t="s">
        <v>1632</v>
      </c>
      <c r="D136" s="18" t="s">
        <v>325</v>
      </c>
      <c r="E136" s="11" t="s">
        <v>77</v>
      </c>
      <c r="F136" s="42" t="str">
        <f>VLOOKUP(A136,Main!A:J,9,0)</f>
        <v>VS11</v>
      </c>
      <c r="G136" s="25" t="str">
        <f>VLOOKUP(A136,Main!A:J,10,0)</f>
        <v>7</v>
      </c>
      <c r="H136" s="42" t="b">
        <f t="shared" ref="H136:I136" si="135">F136=D136</f>
        <v>0</v>
      </c>
      <c r="I136" s="42" t="b">
        <f t="shared" si="135"/>
        <v>0</v>
      </c>
    </row>
    <row r="137">
      <c r="A137" s="11" t="s">
        <v>393</v>
      </c>
      <c r="B137" s="18" t="s">
        <v>311</v>
      </c>
      <c r="C137" s="18" t="s">
        <v>1632</v>
      </c>
      <c r="D137" s="18" t="s">
        <v>325</v>
      </c>
      <c r="E137" s="11" t="s">
        <v>77</v>
      </c>
      <c r="F137" s="42" t="str">
        <f>VLOOKUP(A137,Main!A:J,9,0)</f>
        <v>VS15</v>
      </c>
      <c r="G137" s="25" t="str">
        <f>VLOOKUP(A137,Main!A:J,10,0)</f>
        <v>1</v>
      </c>
      <c r="H137" s="42" t="b">
        <f t="shared" ref="H137:I137" si="136">F137=D137</f>
        <v>1</v>
      </c>
      <c r="I137" s="42" t="b">
        <f t="shared" si="136"/>
        <v>1</v>
      </c>
    </row>
    <row r="138">
      <c r="A138" s="11" t="s">
        <v>406</v>
      </c>
      <c r="B138" s="18" t="s">
        <v>311</v>
      </c>
      <c r="C138" s="18" t="s">
        <v>1632</v>
      </c>
      <c r="D138" s="18" t="s">
        <v>325</v>
      </c>
      <c r="E138" s="11" t="s">
        <v>77</v>
      </c>
      <c r="F138" s="42" t="str">
        <f>VLOOKUP(A138,Main!A:J,9,0)</f>
        <v>VS15</v>
      </c>
      <c r="G138" s="25" t="str">
        <f>VLOOKUP(A138,Main!A:J,10,0)</f>
        <v>1</v>
      </c>
      <c r="H138" s="42" t="b">
        <f t="shared" ref="H138:I138" si="137">F138=D138</f>
        <v>1</v>
      </c>
      <c r="I138" s="42" t="b">
        <f t="shared" si="137"/>
        <v>1</v>
      </c>
    </row>
    <row r="139">
      <c r="A139" s="11" t="s">
        <v>404</v>
      </c>
      <c r="B139" s="18" t="s">
        <v>311</v>
      </c>
      <c r="C139" s="18" t="s">
        <v>1632</v>
      </c>
      <c r="D139" s="18" t="s">
        <v>325</v>
      </c>
      <c r="E139" s="11" t="s">
        <v>77</v>
      </c>
      <c r="F139" s="42" t="str">
        <f>VLOOKUP(A139,Main!A:J,9,0)</f>
        <v>VS15</v>
      </c>
      <c r="G139" s="25" t="str">
        <f>VLOOKUP(A139,Main!A:J,10,0)</f>
        <v>1</v>
      </c>
      <c r="H139" s="42" t="b">
        <f t="shared" ref="H139:I139" si="138">F139=D139</f>
        <v>1</v>
      </c>
      <c r="I139" s="42" t="b">
        <f t="shared" si="138"/>
        <v>1</v>
      </c>
    </row>
    <row r="140">
      <c r="A140" s="11" t="s">
        <v>460</v>
      </c>
      <c r="B140" s="18" t="s">
        <v>311</v>
      </c>
      <c r="C140" s="18" t="s">
        <v>1632</v>
      </c>
      <c r="D140" s="18" t="s">
        <v>325</v>
      </c>
      <c r="E140" s="11" t="s">
        <v>77</v>
      </c>
      <c r="F140" s="42" t="str">
        <f>VLOOKUP(A140,Main!A:J,9,0)</f>
        <v>VS15</v>
      </c>
      <c r="G140" s="25" t="str">
        <f>VLOOKUP(A140,Main!A:J,10,0)</f>
        <v>1</v>
      </c>
      <c r="H140" s="42" t="b">
        <f t="shared" ref="H140:I140" si="139">F140=D140</f>
        <v>1</v>
      </c>
      <c r="I140" s="42" t="b">
        <f t="shared" si="139"/>
        <v>1</v>
      </c>
    </row>
    <row r="141">
      <c r="A141" s="11" t="s">
        <v>383</v>
      </c>
      <c r="B141" s="18" t="s">
        <v>311</v>
      </c>
      <c r="C141" s="18" t="s">
        <v>1632</v>
      </c>
      <c r="D141" s="18" t="s">
        <v>325</v>
      </c>
      <c r="E141" s="11" t="s">
        <v>77</v>
      </c>
      <c r="F141" s="42" t="str">
        <f>VLOOKUP(A141,Main!A:J,9,0)</f>
        <v>VS15</v>
      </c>
      <c r="G141" s="25" t="str">
        <f>VLOOKUP(A141,Main!A:J,10,0)</f>
        <v>1</v>
      </c>
      <c r="H141" s="42" t="b">
        <f t="shared" ref="H141:I141" si="140">F141=D141</f>
        <v>1</v>
      </c>
      <c r="I141" s="42" t="b">
        <f t="shared" si="140"/>
        <v>1</v>
      </c>
    </row>
    <row r="142">
      <c r="A142" s="11" t="s">
        <v>415</v>
      </c>
      <c r="B142" s="18" t="s">
        <v>311</v>
      </c>
      <c r="C142" s="18" t="s">
        <v>1632</v>
      </c>
      <c r="D142" s="18" t="s">
        <v>325</v>
      </c>
      <c r="E142" s="11" t="s">
        <v>77</v>
      </c>
      <c r="F142" s="42" t="str">
        <f>VLOOKUP(A142,Main!A:J,9,0)</f>
        <v>VS15</v>
      </c>
      <c r="G142" s="25" t="str">
        <f>VLOOKUP(A142,Main!A:J,10,0)</f>
        <v>1</v>
      </c>
      <c r="H142" s="42" t="b">
        <f t="shared" ref="H142:I142" si="141">F142=D142</f>
        <v>1</v>
      </c>
      <c r="I142" s="42" t="b">
        <f t="shared" si="141"/>
        <v>1</v>
      </c>
    </row>
    <row r="143">
      <c r="A143" s="11" t="s">
        <v>473</v>
      </c>
      <c r="B143" s="18" t="s">
        <v>311</v>
      </c>
      <c r="C143" s="18" t="s">
        <v>1632</v>
      </c>
      <c r="D143" s="18" t="s">
        <v>325</v>
      </c>
      <c r="E143" s="11" t="s">
        <v>77</v>
      </c>
      <c r="F143" s="42" t="str">
        <f>VLOOKUP(A143,Main!A:J,9,0)</f>
        <v>VS15</v>
      </c>
      <c r="G143" s="25" t="str">
        <f>VLOOKUP(A143,Main!A:J,10,0)</f>
        <v>1</v>
      </c>
      <c r="H143" s="42" t="b">
        <f t="shared" ref="H143:I143" si="142">F143=D143</f>
        <v>1</v>
      </c>
      <c r="I143" s="42" t="b">
        <f t="shared" si="142"/>
        <v>1</v>
      </c>
    </row>
    <row r="144">
      <c r="A144" s="11" t="s">
        <v>416</v>
      </c>
      <c r="B144" s="18" t="s">
        <v>311</v>
      </c>
      <c r="C144" s="18" t="s">
        <v>1623</v>
      </c>
      <c r="D144" s="18" t="s">
        <v>325</v>
      </c>
      <c r="E144" s="11" t="s">
        <v>77</v>
      </c>
      <c r="F144" s="42" t="str">
        <f>VLOOKUP(A144,Main!A:J,9,0)</f>
        <v>VS15</v>
      </c>
      <c r="G144" s="25" t="str">
        <f>VLOOKUP(A144,Main!A:J,10,0)</f>
        <v>1</v>
      </c>
      <c r="H144" s="42" t="b">
        <f t="shared" ref="H144:I144" si="143">F144=D144</f>
        <v>1</v>
      </c>
      <c r="I144" s="42" t="b">
        <f t="shared" si="143"/>
        <v>1</v>
      </c>
    </row>
    <row r="145">
      <c r="A145" s="11" t="s">
        <v>584</v>
      </c>
      <c r="B145" s="18" t="s">
        <v>311</v>
      </c>
      <c r="C145" s="18" t="s">
        <v>1623</v>
      </c>
      <c r="D145" s="18" t="s">
        <v>325</v>
      </c>
      <c r="E145" s="11" t="s">
        <v>77</v>
      </c>
      <c r="F145" s="42" t="str">
        <f>VLOOKUP(A145,Main!A:J,9,0)</f>
        <v>VS27</v>
      </c>
      <c r="G145" s="25" t="str">
        <f>VLOOKUP(A145,Main!A:J,10,0)</f>
        <v>1</v>
      </c>
      <c r="H145" s="42" t="b">
        <f t="shared" ref="H145:I145" si="144">F145=D145</f>
        <v>0</v>
      </c>
      <c r="I145" s="42" t="b">
        <f t="shared" si="144"/>
        <v>1</v>
      </c>
    </row>
    <row r="146">
      <c r="A146" s="11" t="s">
        <v>328</v>
      </c>
      <c r="B146" s="18" t="s">
        <v>311</v>
      </c>
      <c r="C146" s="18" t="s">
        <v>1623</v>
      </c>
      <c r="D146" s="18" t="s">
        <v>325</v>
      </c>
      <c r="E146" s="11" t="s">
        <v>77</v>
      </c>
      <c r="F146" s="42" t="str">
        <f>VLOOKUP(A146,Main!A:J,9,0)</f>
        <v>VS15</v>
      </c>
      <c r="G146" s="25" t="str">
        <f>VLOOKUP(A146,Main!A:J,10,0)</f>
        <v>1</v>
      </c>
      <c r="H146" s="42" t="b">
        <f t="shared" ref="H146:I146" si="145">F146=D146</f>
        <v>1</v>
      </c>
      <c r="I146" s="42" t="b">
        <f t="shared" si="145"/>
        <v>1</v>
      </c>
    </row>
    <row r="147">
      <c r="A147" s="11" t="s">
        <v>357</v>
      </c>
      <c r="B147" s="18" t="s">
        <v>311</v>
      </c>
      <c r="C147" s="18" t="s">
        <v>1623</v>
      </c>
      <c r="D147" s="18" t="s">
        <v>325</v>
      </c>
      <c r="E147" s="11" t="s">
        <v>77</v>
      </c>
      <c r="F147" s="42" t="str">
        <f>VLOOKUP(A147,Main!A:J,9,0)</f>
        <v>VS15</v>
      </c>
      <c r="G147" s="25" t="str">
        <f>VLOOKUP(A147,Main!A:J,10,0)</f>
        <v>1</v>
      </c>
      <c r="H147" s="42" t="b">
        <f t="shared" ref="H147:I147" si="146">F147=D147</f>
        <v>1</v>
      </c>
      <c r="I147" s="42" t="b">
        <f t="shared" si="146"/>
        <v>1</v>
      </c>
    </row>
    <row r="148">
      <c r="A148" s="11" t="s">
        <v>437</v>
      </c>
      <c r="B148" s="18" t="s">
        <v>311</v>
      </c>
      <c r="C148" s="18" t="s">
        <v>1623</v>
      </c>
      <c r="D148" s="18" t="s">
        <v>325</v>
      </c>
      <c r="E148" s="11" t="s">
        <v>77</v>
      </c>
      <c r="F148" s="42" t="str">
        <f>VLOOKUP(A148,Main!A:J,9,0)</f>
        <v>VS15</v>
      </c>
      <c r="G148" s="25" t="str">
        <f>VLOOKUP(A148,Main!A:J,10,0)</f>
        <v>1</v>
      </c>
      <c r="H148" s="42" t="b">
        <f t="shared" ref="H148:I148" si="147">F148=D148</f>
        <v>1</v>
      </c>
      <c r="I148" s="42" t="b">
        <f t="shared" si="147"/>
        <v>1</v>
      </c>
    </row>
    <row r="149">
      <c r="A149" s="11" t="s">
        <v>496</v>
      </c>
      <c r="B149" s="18" t="s">
        <v>311</v>
      </c>
      <c r="C149" s="18" t="s">
        <v>1623</v>
      </c>
      <c r="D149" s="18" t="s">
        <v>325</v>
      </c>
      <c r="E149" s="11" t="s">
        <v>77</v>
      </c>
      <c r="F149" s="42" t="str">
        <f>VLOOKUP(A149,Main!A:J,9,0)</f>
        <v>VS15</v>
      </c>
      <c r="G149" s="25" t="str">
        <f>VLOOKUP(A149,Main!A:J,10,0)</f>
        <v>1</v>
      </c>
      <c r="H149" s="42" t="b">
        <f t="shared" ref="H149:I149" si="148">F149=D149</f>
        <v>1</v>
      </c>
      <c r="I149" s="42" t="b">
        <f t="shared" si="148"/>
        <v>1</v>
      </c>
    </row>
    <row r="150">
      <c r="A150" s="11" t="s">
        <v>341</v>
      </c>
      <c r="B150" s="18" t="s">
        <v>311</v>
      </c>
      <c r="C150" s="18" t="s">
        <v>1623</v>
      </c>
      <c r="D150" s="18" t="s">
        <v>325</v>
      </c>
      <c r="E150" s="11" t="s">
        <v>77</v>
      </c>
      <c r="F150" s="42" t="str">
        <f>VLOOKUP(A150,Main!A:J,9,0)</f>
        <v>VS11</v>
      </c>
      <c r="G150" s="25" t="str">
        <f>VLOOKUP(A150,Main!A:J,10,0)</f>
        <v>7</v>
      </c>
      <c r="H150" s="42" t="b">
        <f t="shared" ref="H150:I150" si="149">F150=D150</f>
        <v>0</v>
      </c>
      <c r="I150" s="42" t="b">
        <f t="shared" si="149"/>
        <v>0</v>
      </c>
    </row>
    <row r="151">
      <c r="A151" s="11" t="s">
        <v>411</v>
      </c>
      <c r="B151" s="18" t="s">
        <v>311</v>
      </c>
      <c r="C151" s="18" t="s">
        <v>1623</v>
      </c>
      <c r="D151" s="18" t="s">
        <v>325</v>
      </c>
      <c r="E151" s="11" t="s">
        <v>77</v>
      </c>
      <c r="F151" s="42" t="str">
        <f>VLOOKUP(A151,Main!A:J,9,0)</f>
        <v>VS15</v>
      </c>
      <c r="G151" s="25" t="str">
        <f>VLOOKUP(A151,Main!A:J,10,0)</f>
        <v>1</v>
      </c>
      <c r="H151" s="42" t="b">
        <f t="shared" ref="H151:I151" si="150">F151=D151</f>
        <v>1</v>
      </c>
      <c r="I151" s="42" t="b">
        <f t="shared" si="150"/>
        <v>1</v>
      </c>
    </row>
    <row r="152">
      <c r="A152" s="11" t="s">
        <v>392</v>
      </c>
      <c r="B152" s="18" t="s">
        <v>311</v>
      </c>
      <c r="C152" s="18" t="s">
        <v>1623</v>
      </c>
      <c r="D152" s="18" t="s">
        <v>325</v>
      </c>
      <c r="E152" s="11" t="s">
        <v>77</v>
      </c>
      <c r="F152" s="42" t="str">
        <f>VLOOKUP(A152,Main!A:J,9,0)</f>
        <v>VS15</v>
      </c>
      <c r="G152" s="25" t="str">
        <f>VLOOKUP(A152,Main!A:J,10,0)</f>
        <v>1</v>
      </c>
      <c r="H152" s="42" t="b">
        <f t="shared" ref="H152:I152" si="151">F152=D152</f>
        <v>1</v>
      </c>
      <c r="I152" s="42" t="b">
        <f t="shared" si="151"/>
        <v>1</v>
      </c>
    </row>
    <row r="153">
      <c r="A153" s="11" t="s">
        <v>448</v>
      </c>
      <c r="B153" s="18" t="s">
        <v>311</v>
      </c>
      <c r="C153" s="18" t="s">
        <v>1623</v>
      </c>
      <c r="D153" s="18" t="s">
        <v>325</v>
      </c>
      <c r="E153" s="11" t="s">
        <v>77</v>
      </c>
      <c r="F153" s="42" t="str">
        <f>VLOOKUP(A153,Main!A:J,9,0)</f>
        <v>VS15</v>
      </c>
      <c r="G153" s="25" t="str">
        <f>VLOOKUP(A153,Main!A:J,10,0)</f>
        <v>1</v>
      </c>
      <c r="H153" s="42" t="b">
        <f t="shared" ref="H153:I153" si="152">F153=D153</f>
        <v>1</v>
      </c>
      <c r="I153" s="42" t="b">
        <f t="shared" si="152"/>
        <v>1</v>
      </c>
    </row>
    <row r="154">
      <c r="A154" s="11" t="s">
        <v>483</v>
      </c>
      <c r="B154" s="18" t="s">
        <v>311</v>
      </c>
      <c r="C154" s="18" t="s">
        <v>1623</v>
      </c>
      <c r="D154" s="18" t="s">
        <v>325</v>
      </c>
      <c r="E154" s="11" t="s">
        <v>77</v>
      </c>
      <c r="F154" s="42" t="str">
        <f>VLOOKUP(A154,Main!A:J,9,0)</f>
        <v>VS15</v>
      </c>
      <c r="G154" s="25" t="str">
        <f>VLOOKUP(A154,Main!A:J,10,0)</f>
        <v>1</v>
      </c>
      <c r="H154" s="42" t="b">
        <f t="shared" ref="H154:I154" si="153">F154=D154</f>
        <v>1</v>
      </c>
      <c r="I154" s="42" t="b">
        <f t="shared" si="153"/>
        <v>1</v>
      </c>
    </row>
    <row r="155">
      <c r="A155" s="11" t="s">
        <v>476</v>
      </c>
      <c r="B155" s="18" t="s">
        <v>311</v>
      </c>
      <c r="C155" s="18" t="s">
        <v>1623</v>
      </c>
      <c r="D155" s="18" t="s">
        <v>325</v>
      </c>
      <c r="E155" s="11" t="s">
        <v>77</v>
      </c>
      <c r="F155" s="42" t="str">
        <f>VLOOKUP(A155,Main!A:J,9,0)</f>
        <v>VS15</v>
      </c>
      <c r="G155" s="25" t="str">
        <f>VLOOKUP(A155,Main!A:J,10,0)</f>
        <v>1</v>
      </c>
      <c r="H155" s="42" t="b">
        <f t="shared" ref="H155:I155" si="154">F155=D155</f>
        <v>1</v>
      </c>
      <c r="I155" s="42" t="b">
        <f t="shared" si="154"/>
        <v>1</v>
      </c>
    </row>
    <row r="156">
      <c r="A156" s="11" t="s">
        <v>364</v>
      </c>
      <c r="B156" s="18" t="s">
        <v>311</v>
      </c>
      <c r="C156" s="18" t="s">
        <v>1623</v>
      </c>
      <c r="D156" s="18" t="s">
        <v>325</v>
      </c>
      <c r="E156" s="11" t="s">
        <v>77</v>
      </c>
      <c r="F156" s="42" t="str">
        <f>VLOOKUP(A156,Main!A:J,9,0)</f>
        <v>VS15</v>
      </c>
      <c r="G156" s="25" t="str">
        <f>VLOOKUP(A156,Main!A:J,10,0)</f>
        <v>1</v>
      </c>
      <c r="H156" s="42" t="b">
        <f t="shared" ref="H156:I156" si="155">F156=D156</f>
        <v>1</v>
      </c>
      <c r="I156" s="42" t="b">
        <f t="shared" si="155"/>
        <v>1</v>
      </c>
    </row>
    <row r="157">
      <c r="A157" s="11" t="s">
        <v>434</v>
      </c>
      <c r="B157" s="18" t="s">
        <v>311</v>
      </c>
      <c r="C157" s="18" t="s">
        <v>1623</v>
      </c>
      <c r="D157" s="18" t="s">
        <v>325</v>
      </c>
      <c r="E157" s="11" t="s">
        <v>77</v>
      </c>
      <c r="F157" s="42" t="str">
        <f>VLOOKUP(A157,Main!A:J,9,0)</f>
        <v>VS15</v>
      </c>
      <c r="G157" s="25" t="str">
        <f>VLOOKUP(A157,Main!A:J,10,0)</f>
        <v>1</v>
      </c>
      <c r="H157" s="42" t="b">
        <f t="shared" ref="H157:I157" si="156">F157=D157</f>
        <v>1</v>
      </c>
      <c r="I157" s="42" t="b">
        <f t="shared" si="156"/>
        <v>1</v>
      </c>
    </row>
    <row r="158">
      <c r="A158" s="11" t="s">
        <v>541</v>
      </c>
      <c r="B158" s="18" t="s">
        <v>311</v>
      </c>
      <c r="C158" s="18" t="s">
        <v>1636</v>
      </c>
      <c r="D158" s="18" t="s">
        <v>413</v>
      </c>
      <c r="E158" s="11" t="s">
        <v>77</v>
      </c>
      <c r="F158" s="42" t="str">
        <f>VLOOKUP(A158,Main!A:J,9,0)</f>
        <v>VS16</v>
      </c>
      <c r="G158" s="25" t="str">
        <f>VLOOKUP(A158,Main!A:J,10,0)</f>
        <v>1</v>
      </c>
      <c r="H158" s="42" t="b">
        <f t="shared" ref="H158:I158" si="157">F158=D158</f>
        <v>1</v>
      </c>
      <c r="I158" s="42" t="b">
        <f t="shared" si="157"/>
        <v>1</v>
      </c>
    </row>
    <row r="159">
      <c r="A159" s="11" t="s">
        <v>551</v>
      </c>
      <c r="B159" s="18" t="s">
        <v>311</v>
      </c>
      <c r="C159" s="18" t="s">
        <v>1636</v>
      </c>
      <c r="D159" s="18" t="s">
        <v>413</v>
      </c>
      <c r="E159" s="11" t="s">
        <v>77</v>
      </c>
      <c r="F159" s="42" t="str">
        <f>VLOOKUP(A159,Main!A:J,9,0)</f>
        <v>VS16</v>
      </c>
      <c r="G159" s="25" t="str">
        <f>VLOOKUP(A159,Main!A:J,10,0)</f>
        <v>1</v>
      </c>
      <c r="H159" s="42" t="b">
        <f t="shared" ref="H159:I159" si="158">F159=D159</f>
        <v>1</v>
      </c>
      <c r="I159" s="42" t="b">
        <f t="shared" si="158"/>
        <v>1</v>
      </c>
    </row>
    <row r="160">
      <c r="A160" s="11" t="s">
        <v>461</v>
      </c>
      <c r="B160" s="18" t="s">
        <v>311</v>
      </c>
      <c r="C160" s="18" t="s">
        <v>1636</v>
      </c>
      <c r="D160" s="18" t="s">
        <v>413</v>
      </c>
      <c r="E160" s="11" t="s">
        <v>77</v>
      </c>
      <c r="F160" s="42" t="str">
        <f>VLOOKUP(A160,Main!A:J,9,0)</f>
        <v>VS16</v>
      </c>
      <c r="G160" s="25" t="str">
        <f>VLOOKUP(A160,Main!A:J,10,0)</f>
        <v>1</v>
      </c>
      <c r="H160" s="42" t="b">
        <f t="shared" ref="H160:I160" si="159">F160=D160</f>
        <v>1</v>
      </c>
      <c r="I160" s="42" t="b">
        <f t="shared" si="159"/>
        <v>1</v>
      </c>
    </row>
    <row r="161">
      <c r="A161" s="11" t="s">
        <v>571</v>
      </c>
      <c r="B161" s="18" t="s">
        <v>311</v>
      </c>
      <c r="C161" s="18" t="s">
        <v>1636</v>
      </c>
      <c r="D161" s="18" t="s">
        <v>413</v>
      </c>
      <c r="E161" s="11" t="s">
        <v>77</v>
      </c>
      <c r="F161" s="42" t="str">
        <f>VLOOKUP(A161,Main!A:J,9,0)</f>
        <v>VS16</v>
      </c>
      <c r="G161" s="25" t="str">
        <f>VLOOKUP(A161,Main!A:J,10,0)</f>
        <v>1</v>
      </c>
      <c r="H161" s="42" t="b">
        <f t="shared" ref="H161:I161" si="160">F161=D161</f>
        <v>1</v>
      </c>
      <c r="I161" s="42" t="b">
        <f t="shared" si="160"/>
        <v>1</v>
      </c>
    </row>
    <row r="162">
      <c r="A162" s="11" t="s">
        <v>458</v>
      </c>
      <c r="B162" s="18" t="s">
        <v>311</v>
      </c>
      <c r="C162" s="18" t="s">
        <v>1636</v>
      </c>
      <c r="D162" s="18" t="s">
        <v>413</v>
      </c>
      <c r="E162" s="11" t="s">
        <v>77</v>
      </c>
      <c r="F162" s="42" t="str">
        <f>VLOOKUP(A162,Main!A:J,9,0)</f>
        <v>VS16</v>
      </c>
      <c r="G162" s="25" t="str">
        <f>VLOOKUP(A162,Main!A:J,10,0)</f>
        <v>1</v>
      </c>
      <c r="H162" s="42" t="b">
        <f t="shared" ref="H162:I162" si="161">F162=D162</f>
        <v>1</v>
      </c>
      <c r="I162" s="42" t="b">
        <f t="shared" si="161"/>
        <v>1</v>
      </c>
    </row>
    <row r="163">
      <c r="A163" s="11" t="s">
        <v>414</v>
      </c>
      <c r="B163" s="18" t="s">
        <v>311</v>
      </c>
      <c r="C163" s="18" t="s">
        <v>1636</v>
      </c>
      <c r="D163" s="18" t="s">
        <v>413</v>
      </c>
      <c r="E163" s="11" t="s">
        <v>77</v>
      </c>
      <c r="F163" s="42" t="str">
        <f>VLOOKUP(A163,Main!A:J,9,0)</f>
        <v>VS16</v>
      </c>
      <c r="G163" s="25" t="str">
        <f>VLOOKUP(A163,Main!A:J,10,0)</f>
        <v>1</v>
      </c>
      <c r="H163" s="42" t="b">
        <f t="shared" ref="H163:I163" si="162">F163=D163</f>
        <v>1</v>
      </c>
      <c r="I163" s="42" t="b">
        <f t="shared" si="162"/>
        <v>1</v>
      </c>
    </row>
    <row r="164">
      <c r="A164" s="11" t="s">
        <v>425</v>
      </c>
      <c r="B164" s="18" t="s">
        <v>311</v>
      </c>
      <c r="C164" s="18" t="s">
        <v>1636</v>
      </c>
      <c r="D164" s="18" t="s">
        <v>413</v>
      </c>
      <c r="E164" s="11" t="s">
        <v>77</v>
      </c>
      <c r="F164" s="42" t="str">
        <f>VLOOKUP(A164,Main!A:J,9,0)</f>
        <v>VS16</v>
      </c>
      <c r="G164" s="25" t="str">
        <f>VLOOKUP(A164,Main!A:J,10,0)</f>
        <v>1</v>
      </c>
      <c r="H164" s="42" t="b">
        <f t="shared" ref="H164:I164" si="163">F164=D164</f>
        <v>1</v>
      </c>
      <c r="I164" s="42" t="b">
        <f t="shared" si="163"/>
        <v>1</v>
      </c>
    </row>
    <row r="165">
      <c r="A165" s="11" t="s">
        <v>436</v>
      </c>
      <c r="B165" s="18" t="s">
        <v>311</v>
      </c>
      <c r="C165" s="18" t="s">
        <v>1636</v>
      </c>
      <c r="D165" s="18" t="s">
        <v>413</v>
      </c>
      <c r="E165" s="11" t="s">
        <v>77</v>
      </c>
      <c r="F165" s="42" t="str">
        <f>VLOOKUP(A165,Main!A:J,9,0)</f>
        <v>VS16</v>
      </c>
      <c r="G165" s="25" t="str">
        <f>VLOOKUP(A165,Main!A:J,10,0)</f>
        <v>1</v>
      </c>
      <c r="H165" s="42" t="b">
        <f t="shared" ref="H165:I165" si="164">F165=D165</f>
        <v>1</v>
      </c>
      <c r="I165" s="42" t="b">
        <f t="shared" si="164"/>
        <v>1</v>
      </c>
    </row>
    <row r="166">
      <c r="A166" s="11" t="s">
        <v>459</v>
      </c>
      <c r="B166" s="18" t="s">
        <v>311</v>
      </c>
      <c r="C166" s="18" t="s">
        <v>1636</v>
      </c>
      <c r="D166" s="18" t="s">
        <v>413</v>
      </c>
      <c r="E166" s="11" t="s">
        <v>77</v>
      </c>
      <c r="F166" s="42" t="str">
        <f>VLOOKUP(A166,Main!A:J,9,0)</f>
        <v>VS16</v>
      </c>
      <c r="G166" s="25" t="str">
        <f>VLOOKUP(A166,Main!A:J,10,0)</f>
        <v>1</v>
      </c>
      <c r="H166" s="42" t="b">
        <f t="shared" ref="H166:I166" si="165">F166=D166</f>
        <v>1</v>
      </c>
      <c r="I166" s="42" t="b">
        <f t="shared" si="165"/>
        <v>1</v>
      </c>
    </row>
    <row r="167">
      <c r="A167" s="11" t="s">
        <v>468</v>
      </c>
      <c r="B167" s="18" t="s">
        <v>311</v>
      </c>
      <c r="C167" s="18" t="s">
        <v>1636</v>
      </c>
      <c r="D167" s="18" t="s">
        <v>413</v>
      </c>
      <c r="E167" s="11" t="s">
        <v>77</v>
      </c>
      <c r="F167" s="42" t="str">
        <f>VLOOKUP(A167,Main!A:J,9,0)</f>
        <v>VS16</v>
      </c>
      <c r="G167" s="25" t="str">
        <f>VLOOKUP(A167,Main!A:J,10,0)</f>
        <v>1</v>
      </c>
      <c r="H167" s="42" t="b">
        <f t="shared" ref="H167:I167" si="166">F167=D167</f>
        <v>1</v>
      </c>
      <c r="I167" s="42" t="b">
        <f t="shared" si="166"/>
        <v>1</v>
      </c>
    </row>
    <row r="168">
      <c r="A168" s="11" t="s">
        <v>523</v>
      </c>
      <c r="B168" s="18" t="s">
        <v>311</v>
      </c>
      <c r="C168" s="18" t="s">
        <v>1636</v>
      </c>
      <c r="D168" s="18" t="s">
        <v>413</v>
      </c>
      <c r="E168" s="11" t="s">
        <v>77</v>
      </c>
      <c r="F168" s="42" t="str">
        <f>VLOOKUP(A168,Main!A:J,9,0)</f>
        <v>VS16</v>
      </c>
      <c r="G168" s="25" t="str">
        <f>VLOOKUP(A168,Main!A:J,10,0)</f>
        <v>1</v>
      </c>
      <c r="H168" s="42" t="b">
        <f t="shared" ref="H168:I168" si="167">F168=D168</f>
        <v>1</v>
      </c>
      <c r="I168" s="42" t="b">
        <f t="shared" si="167"/>
        <v>1</v>
      </c>
    </row>
    <row r="169">
      <c r="A169" s="11" t="s">
        <v>536</v>
      </c>
      <c r="B169" s="18" t="s">
        <v>311</v>
      </c>
      <c r="C169" s="18" t="s">
        <v>1636</v>
      </c>
      <c r="D169" s="18" t="s">
        <v>413</v>
      </c>
      <c r="E169" s="11" t="s">
        <v>77</v>
      </c>
      <c r="F169" s="42" t="str">
        <f>VLOOKUP(A169,Main!A:J,9,0)</f>
        <v>VS16</v>
      </c>
      <c r="G169" s="25" t="str">
        <f>VLOOKUP(A169,Main!A:J,10,0)</f>
        <v>1</v>
      </c>
      <c r="H169" s="42" t="b">
        <f t="shared" ref="H169:I169" si="168">F169=D169</f>
        <v>1</v>
      </c>
      <c r="I169" s="42" t="b">
        <f t="shared" si="168"/>
        <v>1</v>
      </c>
    </row>
    <row r="170">
      <c r="A170" s="11" t="s">
        <v>423</v>
      </c>
      <c r="B170" s="18" t="s">
        <v>311</v>
      </c>
      <c r="C170" s="18" t="s">
        <v>1636</v>
      </c>
      <c r="D170" s="18" t="s">
        <v>413</v>
      </c>
      <c r="E170" s="11" t="s">
        <v>77</v>
      </c>
      <c r="F170" s="42" t="str">
        <f>VLOOKUP(A170,Main!A:J,9,0)</f>
        <v>VS16</v>
      </c>
      <c r="G170" s="25" t="str">
        <f>VLOOKUP(A170,Main!A:J,10,0)</f>
        <v>1</v>
      </c>
      <c r="H170" s="42" t="b">
        <f t="shared" ref="H170:I170" si="169">F170=D170</f>
        <v>1</v>
      </c>
      <c r="I170" s="42" t="b">
        <f t="shared" si="169"/>
        <v>1</v>
      </c>
    </row>
    <row r="171">
      <c r="A171" s="11" t="s">
        <v>394</v>
      </c>
      <c r="B171" s="18" t="s">
        <v>311</v>
      </c>
      <c r="C171" s="18" t="s">
        <v>1636</v>
      </c>
      <c r="D171" s="18" t="s">
        <v>413</v>
      </c>
      <c r="E171" s="11" t="s">
        <v>77</v>
      </c>
      <c r="F171" s="42" t="str">
        <f>VLOOKUP(A171,Main!A:J,9,0)</f>
        <v>VS16</v>
      </c>
      <c r="G171" s="25" t="str">
        <f>VLOOKUP(A171,Main!A:J,10,0)</f>
        <v>1</v>
      </c>
      <c r="H171" s="42" t="b">
        <f t="shared" ref="H171:I171" si="170">F171=D171</f>
        <v>1</v>
      </c>
      <c r="I171" s="42" t="b">
        <f t="shared" si="170"/>
        <v>1</v>
      </c>
    </row>
    <row r="172">
      <c r="A172" s="11" t="s">
        <v>368</v>
      </c>
      <c r="B172" s="18" t="s">
        <v>311</v>
      </c>
      <c r="C172" s="18" t="s">
        <v>1574</v>
      </c>
      <c r="D172" s="18" t="s">
        <v>413</v>
      </c>
      <c r="E172" s="11" t="s">
        <v>77</v>
      </c>
      <c r="F172" s="42" t="str">
        <f>VLOOKUP(A172,Main!A:J,9,0)</f>
        <v>NOT RUNNING</v>
      </c>
      <c r="G172" s="25" t="str">
        <f>VLOOKUP(A172,Main!A:J,10,0)</f>
        <v>1</v>
      </c>
      <c r="H172" s="42" t="b">
        <f t="shared" ref="H172:I172" si="171">F172=D172</f>
        <v>0</v>
      </c>
      <c r="I172" s="42" t="b">
        <f t="shared" si="171"/>
        <v>1</v>
      </c>
    </row>
    <row r="173">
      <c r="A173" s="11" t="s">
        <v>390</v>
      </c>
      <c r="B173" s="18" t="s">
        <v>311</v>
      </c>
      <c r="C173" s="18" t="s">
        <v>1574</v>
      </c>
      <c r="D173" s="18" t="s">
        <v>413</v>
      </c>
      <c r="E173" s="11" t="s">
        <v>77</v>
      </c>
      <c r="F173" s="42" t="str">
        <f>VLOOKUP(A173,Main!A:J,9,0)</f>
        <v>VS16</v>
      </c>
      <c r="G173" s="25" t="str">
        <f>VLOOKUP(A173,Main!A:J,10,0)</f>
        <v>1</v>
      </c>
      <c r="H173" s="42" t="b">
        <f t="shared" ref="H173:I173" si="172">F173=D173</f>
        <v>1</v>
      </c>
      <c r="I173" s="42" t="b">
        <f t="shared" si="172"/>
        <v>1</v>
      </c>
    </row>
    <row r="174">
      <c r="A174" s="11" t="s">
        <v>427</v>
      </c>
      <c r="B174" s="18" t="s">
        <v>311</v>
      </c>
      <c r="C174" s="18" t="s">
        <v>1574</v>
      </c>
      <c r="D174" s="18" t="s">
        <v>413</v>
      </c>
      <c r="E174" s="11" t="s">
        <v>77</v>
      </c>
      <c r="F174" s="42" t="str">
        <f>VLOOKUP(A174,Main!A:J,9,0)</f>
        <v>VS16</v>
      </c>
      <c r="G174" s="25" t="str">
        <f>VLOOKUP(A174,Main!A:J,10,0)</f>
        <v>1</v>
      </c>
      <c r="H174" s="42" t="b">
        <f t="shared" ref="H174:I174" si="173">F174=D174</f>
        <v>1</v>
      </c>
      <c r="I174" s="42" t="b">
        <f t="shared" si="173"/>
        <v>1</v>
      </c>
    </row>
    <row r="175">
      <c r="A175" s="11" t="s">
        <v>439</v>
      </c>
      <c r="B175" s="18" t="s">
        <v>311</v>
      </c>
      <c r="C175" s="18" t="s">
        <v>1574</v>
      </c>
      <c r="D175" s="18" t="s">
        <v>413</v>
      </c>
      <c r="E175" s="11" t="s">
        <v>77</v>
      </c>
      <c r="F175" s="42" t="str">
        <f>VLOOKUP(A175,Main!A:J,9,0)</f>
        <v>VS16</v>
      </c>
      <c r="G175" s="25" t="str">
        <f>VLOOKUP(A175,Main!A:J,10,0)</f>
        <v>1</v>
      </c>
      <c r="H175" s="42" t="b">
        <f t="shared" ref="H175:I175" si="174">F175=D175</f>
        <v>1</v>
      </c>
      <c r="I175" s="42" t="b">
        <f t="shared" si="174"/>
        <v>1</v>
      </c>
    </row>
    <row r="176">
      <c r="A176" s="11" t="s">
        <v>447</v>
      </c>
      <c r="B176" s="18" t="s">
        <v>311</v>
      </c>
      <c r="C176" s="18" t="s">
        <v>1574</v>
      </c>
      <c r="D176" s="18" t="s">
        <v>413</v>
      </c>
      <c r="E176" s="11" t="s">
        <v>77</v>
      </c>
      <c r="F176" s="42" t="str">
        <f>VLOOKUP(A176,Main!A:J,9,0)</f>
        <v>VS16</v>
      </c>
      <c r="G176" s="25" t="str">
        <f>VLOOKUP(A176,Main!A:J,10,0)</f>
        <v>1</v>
      </c>
      <c r="H176" s="42" t="b">
        <f t="shared" ref="H176:I176" si="175">F176=D176</f>
        <v>1</v>
      </c>
      <c r="I176" s="42" t="b">
        <f t="shared" si="175"/>
        <v>1</v>
      </c>
    </row>
    <row r="177">
      <c r="A177" s="11" t="s">
        <v>550</v>
      </c>
      <c r="B177" s="18" t="s">
        <v>311</v>
      </c>
      <c r="C177" s="18" t="s">
        <v>1574</v>
      </c>
      <c r="D177" s="18" t="s">
        <v>413</v>
      </c>
      <c r="E177" s="11" t="s">
        <v>77</v>
      </c>
      <c r="F177" s="42" t="str">
        <f>VLOOKUP(A177,Main!A:J,9,0)</f>
        <v>VS16</v>
      </c>
      <c r="G177" s="25" t="str">
        <f>VLOOKUP(A177,Main!A:J,10,0)</f>
        <v>1</v>
      </c>
      <c r="H177" s="42" t="b">
        <f t="shared" ref="H177:I177" si="176">F177=D177</f>
        <v>1</v>
      </c>
      <c r="I177" s="42" t="b">
        <f t="shared" si="176"/>
        <v>1</v>
      </c>
    </row>
    <row r="178">
      <c r="A178" s="11" t="s">
        <v>465</v>
      </c>
      <c r="B178" s="18" t="s">
        <v>311</v>
      </c>
      <c r="C178" s="18" t="s">
        <v>1574</v>
      </c>
      <c r="D178" s="18" t="s">
        <v>413</v>
      </c>
      <c r="E178" s="11" t="s">
        <v>77</v>
      </c>
      <c r="F178" s="42" t="str">
        <f>VLOOKUP(A178,Main!A:J,9,0)</f>
        <v>VS11</v>
      </c>
      <c r="G178" s="25" t="str">
        <f>VLOOKUP(A178,Main!A:J,10,0)</f>
        <v>7</v>
      </c>
      <c r="H178" s="42" t="b">
        <f t="shared" ref="H178:I178" si="177">F178=D178</f>
        <v>0</v>
      </c>
      <c r="I178" s="42" t="b">
        <f t="shared" si="177"/>
        <v>0</v>
      </c>
    </row>
    <row r="179">
      <c r="A179" s="11" t="s">
        <v>409</v>
      </c>
      <c r="B179" s="18" t="s">
        <v>311</v>
      </c>
      <c r="C179" s="18" t="s">
        <v>1574</v>
      </c>
      <c r="D179" s="18" t="s">
        <v>413</v>
      </c>
      <c r="E179" s="11" t="s">
        <v>77</v>
      </c>
      <c r="F179" s="42" t="str">
        <f>VLOOKUP(A179,Main!A:J,9,0)</f>
        <v>VS16</v>
      </c>
      <c r="G179" s="25" t="str">
        <f>VLOOKUP(A179,Main!A:J,10,0)</f>
        <v>1</v>
      </c>
      <c r="H179" s="42" t="b">
        <f t="shared" ref="H179:I179" si="178">F179=D179</f>
        <v>1</v>
      </c>
      <c r="I179" s="42" t="b">
        <f t="shared" si="178"/>
        <v>1</v>
      </c>
    </row>
    <row r="180">
      <c r="A180" s="11" t="s">
        <v>339</v>
      </c>
      <c r="B180" s="18" t="s">
        <v>311</v>
      </c>
      <c r="C180" s="18" t="s">
        <v>1574</v>
      </c>
      <c r="D180" s="18" t="s">
        <v>413</v>
      </c>
      <c r="E180" s="11" t="s">
        <v>77</v>
      </c>
      <c r="F180" s="42" t="str">
        <f>VLOOKUP(A180,Main!A:J,9,0)</f>
        <v>VS16</v>
      </c>
      <c r="G180" s="25" t="str">
        <f>VLOOKUP(A180,Main!A:J,10,0)</f>
        <v>1</v>
      </c>
      <c r="H180" s="42" t="b">
        <f t="shared" ref="H180:I180" si="179">F180=D180</f>
        <v>1</v>
      </c>
      <c r="I180" s="42" t="b">
        <f t="shared" si="179"/>
        <v>1</v>
      </c>
    </row>
    <row r="181">
      <c r="A181" s="11" t="s">
        <v>417</v>
      </c>
      <c r="B181" s="18" t="s">
        <v>311</v>
      </c>
      <c r="C181" s="18" t="s">
        <v>1574</v>
      </c>
      <c r="D181" s="18" t="s">
        <v>413</v>
      </c>
      <c r="E181" s="11" t="s">
        <v>77</v>
      </c>
      <c r="F181" s="42" t="str">
        <f>VLOOKUP(A181,Main!A:J,9,0)</f>
        <v>VS16</v>
      </c>
      <c r="G181" s="25" t="str">
        <f>VLOOKUP(A181,Main!A:J,10,0)</f>
        <v>1</v>
      </c>
      <c r="H181" s="42" t="b">
        <f t="shared" ref="H181:I181" si="180">F181=D181</f>
        <v>1</v>
      </c>
      <c r="I181" s="42" t="b">
        <f t="shared" si="180"/>
        <v>1</v>
      </c>
    </row>
    <row r="182">
      <c r="A182" s="11" t="s">
        <v>388</v>
      </c>
      <c r="B182" s="18" t="s">
        <v>311</v>
      </c>
      <c r="C182" s="18" t="s">
        <v>1574</v>
      </c>
      <c r="D182" s="18" t="s">
        <v>413</v>
      </c>
      <c r="E182" s="11" t="s">
        <v>77</v>
      </c>
      <c r="F182" s="42" t="str">
        <f>VLOOKUP(A182,Main!A:J,9,0)</f>
        <v>VS16</v>
      </c>
      <c r="G182" s="25" t="str">
        <f>VLOOKUP(A182,Main!A:J,10,0)</f>
        <v>1</v>
      </c>
      <c r="H182" s="42" t="b">
        <f t="shared" ref="H182:I182" si="181">F182=D182</f>
        <v>1</v>
      </c>
      <c r="I182" s="42" t="b">
        <f t="shared" si="181"/>
        <v>1</v>
      </c>
    </row>
    <row r="183">
      <c r="A183" s="11" t="s">
        <v>493</v>
      </c>
      <c r="B183" s="18" t="s">
        <v>311</v>
      </c>
      <c r="C183" s="18" t="s">
        <v>1574</v>
      </c>
      <c r="D183" s="18" t="s">
        <v>413</v>
      </c>
      <c r="E183" s="11" t="s">
        <v>77</v>
      </c>
      <c r="F183" s="42" t="str">
        <f>VLOOKUP(A183,Main!A:J,9,0)</f>
        <v>VS16</v>
      </c>
      <c r="G183" s="25" t="str">
        <f>VLOOKUP(A183,Main!A:J,10,0)</f>
        <v>1</v>
      </c>
      <c r="H183" s="42" t="b">
        <f t="shared" ref="H183:I183" si="182">F183=D183</f>
        <v>1</v>
      </c>
      <c r="I183" s="42" t="b">
        <f t="shared" si="182"/>
        <v>1</v>
      </c>
    </row>
    <row r="184">
      <c r="A184" s="11" t="s">
        <v>167</v>
      </c>
      <c r="B184" s="18" t="s">
        <v>311</v>
      </c>
      <c r="C184" s="18" t="s">
        <v>1574</v>
      </c>
      <c r="D184" s="18" t="s">
        <v>413</v>
      </c>
      <c r="E184" s="11" t="s">
        <v>77</v>
      </c>
      <c r="F184" s="42" t="str">
        <f>VLOOKUP(A184,Main!A:J,9,0)</f>
        <v>VS16</v>
      </c>
      <c r="G184" s="25" t="str">
        <f>VLOOKUP(A184,Main!A:J,10,0)</f>
        <v>1</v>
      </c>
      <c r="H184" s="42" t="b">
        <f t="shared" ref="H184:I184" si="183">F184=D184</f>
        <v>1</v>
      </c>
      <c r="I184" s="42" t="b">
        <f t="shared" si="183"/>
        <v>1</v>
      </c>
    </row>
    <row r="185">
      <c r="A185" s="11" t="s">
        <v>479</v>
      </c>
      <c r="B185" s="18" t="s">
        <v>311</v>
      </c>
      <c r="C185" s="18" t="s">
        <v>1564</v>
      </c>
      <c r="D185" s="18" t="s">
        <v>338</v>
      </c>
      <c r="E185" s="11" t="s">
        <v>77</v>
      </c>
      <c r="F185" s="42" t="str">
        <f>VLOOKUP(A185,Main!A:J,9,0)</f>
        <v>VS18</v>
      </c>
      <c r="G185" s="25" t="str">
        <f>VLOOKUP(A185,Main!A:J,10,0)</f>
        <v>1</v>
      </c>
      <c r="H185" s="42" t="b">
        <f t="shared" ref="H185:I185" si="184">F185=D185</f>
        <v>1</v>
      </c>
      <c r="I185" s="42" t="b">
        <f t="shared" si="184"/>
        <v>1</v>
      </c>
    </row>
    <row r="186">
      <c r="A186" s="11" t="s">
        <v>487</v>
      </c>
      <c r="B186" s="18" t="s">
        <v>311</v>
      </c>
      <c r="C186" s="18" t="s">
        <v>1564</v>
      </c>
      <c r="D186" s="18" t="s">
        <v>338</v>
      </c>
      <c r="E186" s="11" t="s">
        <v>77</v>
      </c>
      <c r="F186" s="42" t="str">
        <f>VLOOKUP(A186,Main!A:J,9,0)</f>
        <v>VS18</v>
      </c>
      <c r="G186" s="25" t="str">
        <f>VLOOKUP(A186,Main!A:J,10,0)</f>
        <v>1</v>
      </c>
      <c r="H186" s="42" t="b">
        <f t="shared" ref="H186:I186" si="185">F186=D186</f>
        <v>1</v>
      </c>
      <c r="I186" s="42" t="b">
        <f t="shared" si="185"/>
        <v>1</v>
      </c>
    </row>
    <row r="187">
      <c r="A187" s="11" t="s">
        <v>503</v>
      </c>
      <c r="B187" s="18" t="s">
        <v>311</v>
      </c>
      <c r="C187" s="18" t="s">
        <v>1564</v>
      </c>
      <c r="D187" s="18" t="s">
        <v>338</v>
      </c>
      <c r="E187" s="11" t="s">
        <v>77</v>
      </c>
      <c r="F187" s="42" t="str">
        <f>VLOOKUP(A187,Main!A:J,9,0)</f>
        <v>VS18</v>
      </c>
      <c r="G187" s="25" t="str">
        <f>VLOOKUP(A187,Main!A:J,10,0)</f>
        <v>1</v>
      </c>
      <c r="H187" s="42" t="b">
        <f t="shared" ref="H187:I187" si="186">F187=D187</f>
        <v>1</v>
      </c>
      <c r="I187" s="42" t="b">
        <f t="shared" si="186"/>
        <v>1</v>
      </c>
    </row>
    <row r="188">
      <c r="A188" s="11" t="s">
        <v>543</v>
      </c>
      <c r="B188" s="18" t="s">
        <v>311</v>
      </c>
      <c r="C188" s="18" t="s">
        <v>1564</v>
      </c>
      <c r="D188" s="18" t="s">
        <v>338</v>
      </c>
      <c r="E188" s="11" t="s">
        <v>77</v>
      </c>
      <c r="F188" s="42" t="str">
        <f>VLOOKUP(A188,Main!A:J,9,0)</f>
        <v>VS18</v>
      </c>
      <c r="G188" s="25" t="str">
        <f>VLOOKUP(A188,Main!A:J,10,0)</f>
        <v>1</v>
      </c>
      <c r="H188" s="42" t="b">
        <f t="shared" ref="H188:I188" si="187">F188=D188</f>
        <v>1</v>
      </c>
      <c r="I188" s="42" t="b">
        <f t="shared" si="187"/>
        <v>1</v>
      </c>
    </row>
    <row r="189">
      <c r="A189" s="11" t="s">
        <v>553</v>
      </c>
      <c r="B189" s="18" t="s">
        <v>311</v>
      </c>
      <c r="C189" s="18" t="s">
        <v>1564</v>
      </c>
      <c r="D189" s="18" t="s">
        <v>338</v>
      </c>
      <c r="E189" s="11" t="s">
        <v>77</v>
      </c>
      <c r="F189" s="42" t="str">
        <f>VLOOKUP(A189,Main!A:J,9,0)</f>
        <v>VS18</v>
      </c>
      <c r="G189" s="25" t="str">
        <f>VLOOKUP(A189,Main!A:J,10,0)</f>
        <v>1</v>
      </c>
      <c r="H189" s="42" t="b">
        <f t="shared" ref="H189:I189" si="188">F189=D189</f>
        <v>1</v>
      </c>
      <c r="I189" s="42" t="b">
        <f t="shared" si="188"/>
        <v>1</v>
      </c>
    </row>
    <row r="190">
      <c r="A190" s="11" t="s">
        <v>2610</v>
      </c>
      <c r="B190" s="18" t="s">
        <v>311</v>
      </c>
      <c r="C190" s="18" t="s">
        <v>1564</v>
      </c>
      <c r="D190" s="18" t="s">
        <v>338</v>
      </c>
      <c r="E190" s="11" t="s">
        <v>77</v>
      </c>
      <c r="F190" s="42" t="str">
        <f>VLOOKUP(A190,Main!A:J,9,0)</f>
        <v>VS18</v>
      </c>
      <c r="G190" s="25" t="str">
        <f>VLOOKUP(A190,Main!A:J,10,0)</f>
        <v>1</v>
      </c>
      <c r="H190" s="42" t="b">
        <f t="shared" ref="H190:I190" si="189">F190=D190</f>
        <v>1</v>
      </c>
      <c r="I190" s="42" t="b">
        <f t="shared" si="189"/>
        <v>1</v>
      </c>
    </row>
    <row r="191">
      <c r="A191" s="11" t="s">
        <v>363</v>
      </c>
      <c r="B191" s="18" t="s">
        <v>311</v>
      </c>
      <c r="C191" s="18" t="s">
        <v>1564</v>
      </c>
      <c r="D191" s="18" t="s">
        <v>338</v>
      </c>
      <c r="E191" s="11" t="s">
        <v>77</v>
      </c>
      <c r="F191" s="42" t="str">
        <f>VLOOKUP(A191,Main!A:J,9,0)</f>
        <v>VS18</v>
      </c>
      <c r="G191" s="25" t="str">
        <f>VLOOKUP(A191,Main!A:J,10,0)</f>
        <v>1</v>
      </c>
      <c r="H191" s="42" t="b">
        <f t="shared" ref="H191:I191" si="190">F191=D191</f>
        <v>1</v>
      </c>
      <c r="I191" s="42" t="b">
        <f t="shared" si="190"/>
        <v>1</v>
      </c>
    </row>
    <row r="192">
      <c r="A192" s="11" t="s">
        <v>343</v>
      </c>
      <c r="B192" s="18" t="s">
        <v>311</v>
      </c>
      <c r="C192" s="18" t="s">
        <v>1564</v>
      </c>
      <c r="D192" s="18" t="s">
        <v>338</v>
      </c>
      <c r="E192" s="11" t="s">
        <v>77</v>
      </c>
      <c r="F192" s="42" t="str">
        <f>VLOOKUP(A192,Main!A:J,9,0)</f>
        <v>VS18</v>
      </c>
      <c r="G192" s="25" t="str">
        <f>VLOOKUP(A192,Main!A:J,10,0)</f>
        <v>1</v>
      </c>
      <c r="H192" s="42" t="b">
        <f t="shared" ref="H192:I192" si="191">F192=D192</f>
        <v>1</v>
      </c>
      <c r="I192" s="42" t="b">
        <f t="shared" si="191"/>
        <v>1</v>
      </c>
    </row>
    <row r="193">
      <c r="A193" s="11" t="s">
        <v>353</v>
      </c>
      <c r="B193" s="18" t="s">
        <v>311</v>
      </c>
      <c r="C193" s="18" t="s">
        <v>1564</v>
      </c>
      <c r="D193" s="18" t="s">
        <v>338</v>
      </c>
      <c r="E193" s="11" t="s">
        <v>77</v>
      </c>
      <c r="F193" s="42" t="str">
        <f>VLOOKUP(A193,Main!A:J,9,0)</f>
        <v>VS18</v>
      </c>
      <c r="G193" s="25" t="str">
        <f>VLOOKUP(A193,Main!A:J,10,0)</f>
        <v>1</v>
      </c>
      <c r="H193" s="42" t="b">
        <f t="shared" ref="H193:I193" si="192">F193=D193</f>
        <v>1</v>
      </c>
      <c r="I193" s="42" t="b">
        <f t="shared" si="192"/>
        <v>1</v>
      </c>
    </row>
    <row r="194">
      <c r="A194" s="11" t="s">
        <v>446</v>
      </c>
      <c r="B194" s="18" t="s">
        <v>311</v>
      </c>
      <c r="C194" s="18" t="s">
        <v>1564</v>
      </c>
      <c r="D194" s="18" t="s">
        <v>338</v>
      </c>
      <c r="E194" s="11" t="s">
        <v>77</v>
      </c>
      <c r="F194" s="42" t="str">
        <f>VLOOKUP(A194,Main!A:J,9,0)</f>
        <v>VS18</v>
      </c>
      <c r="G194" s="25" t="str">
        <f>VLOOKUP(A194,Main!A:J,10,0)</f>
        <v>1</v>
      </c>
      <c r="H194" s="42" t="b">
        <f t="shared" ref="H194:I194" si="193">F194=D194</f>
        <v>1</v>
      </c>
      <c r="I194" s="42" t="b">
        <f t="shared" si="193"/>
        <v>1</v>
      </c>
    </row>
    <row r="195">
      <c r="A195" s="11" t="s">
        <v>488</v>
      </c>
      <c r="B195" s="18" t="s">
        <v>311</v>
      </c>
      <c r="C195" s="18" t="s">
        <v>1564</v>
      </c>
      <c r="D195" s="18" t="s">
        <v>338</v>
      </c>
      <c r="E195" s="11" t="s">
        <v>77</v>
      </c>
      <c r="F195" s="42" t="str">
        <f>VLOOKUP(A195,Main!A:J,9,0)</f>
        <v>VS29</v>
      </c>
      <c r="G195" s="25" t="str">
        <f>VLOOKUP(A195,Main!A:J,10,0)</f>
        <v>7</v>
      </c>
      <c r="H195" s="42" t="b">
        <f t="shared" ref="H195:I195" si="194">F195=D195</f>
        <v>0</v>
      </c>
      <c r="I195" s="42" t="b">
        <f t="shared" si="194"/>
        <v>0</v>
      </c>
    </row>
    <row r="196">
      <c r="A196" s="11" t="s">
        <v>514</v>
      </c>
      <c r="B196" s="18" t="s">
        <v>311</v>
      </c>
      <c r="C196" s="18" t="s">
        <v>1564</v>
      </c>
      <c r="D196" s="18" t="s">
        <v>338</v>
      </c>
      <c r="E196" s="11" t="s">
        <v>77</v>
      </c>
      <c r="F196" s="42" t="str">
        <f>VLOOKUP(A196,Main!A:J,9,0)</f>
        <v>VS18</v>
      </c>
      <c r="G196" s="25" t="str">
        <f>VLOOKUP(A196,Main!A:J,10,0)</f>
        <v>1</v>
      </c>
      <c r="H196" s="42" t="b">
        <f t="shared" ref="H196:I196" si="195">F196=D196</f>
        <v>1</v>
      </c>
      <c r="I196" s="42" t="b">
        <f t="shared" si="195"/>
        <v>1</v>
      </c>
    </row>
    <row r="197">
      <c r="A197" s="11" t="s">
        <v>451</v>
      </c>
      <c r="B197" s="18" t="s">
        <v>311</v>
      </c>
      <c r="C197" s="18" t="s">
        <v>1564</v>
      </c>
      <c r="D197" s="18" t="s">
        <v>338</v>
      </c>
      <c r="E197" s="11" t="s">
        <v>77</v>
      </c>
      <c r="F197" s="42" t="str">
        <f>VLOOKUP(A197,Main!A:J,9,0)</f>
        <v>VS18</v>
      </c>
      <c r="G197" s="25" t="str">
        <f>VLOOKUP(A197,Main!A:J,10,0)</f>
        <v>1</v>
      </c>
      <c r="H197" s="42" t="b">
        <f t="shared" ref="H197:I197" si="196">F197=D197</f>
        <v>1</v>
      </c>
      <c r="I197" s="42" t="b">
        <f t="shared" si="196"/>
        <v>1</v>
      </c>
    </row>
    <row r="198">
      <c r="A198" s="11" t="s">
        <v>454</v>
      </c>
      <c r="B198" s="18" t="s">
        <v>311</v>
      </c>
      <c r="C198" s="18" t="s">
        <v>1746</v>
      </c>
      <c r="D198" s="18" t="s">
        <v>338</v>
      </c>
      <c r="E198" s="11" t="s">
        <v>77</v>
      </c>
      <c r="F198" s="42" t="str">
        <f>VLOOKUP(A198,Main!A:J,9,0)</f>
        <v>VS18</v>
      </c>
      <c r="G198" s="25" t="str">
        <f>VLOOKUP(A198,Main!A:J,10,0)</f>
        <v>1</v>
      </c>
      <c r="H198" s="42" t="b">
        <f t="shared" ref="H198:I198" si="197">F198=D198</f>
        <v>1</v>
      </c>
      <c r="I198" s="42" t="b">
        <f t="shared" si="197"/>
        <v>1</v>
      </c>
    </row>
    <row r="199">
      <c r="A199" s="11" t="s">
        <v>474</v>
      </c>
      <c r="B199" s="18" t="s">
        <v>311</v>
      </c>
      <c r="C199" s="18" t="s">
        <v>1746</v>
      </c>
      <c r="D199" s="18" t="s">
        <v>338</v>
      </c>
      <c r="E199" s="11" t="s">
        <v>77</v>
      </c>
      <c r="F199" s="42" t="str">
        <f>VLOOKUP(A199,Main!A:J,9,0)</f>
        <v>VS18</v>
      </c>
      <c r="G199" s="25" t="str">
        <f>VLOOKUP(A199,Main!A:J,10,0)</f>
        <v>1</v>
      </c>
      <c r="H199" s="42" t="b">
        <f t="shared" ref="H199:I199" si="198">F199=D199</f>
        <v>1</v>
      </c>
      <c r="I199" s="42" t="b">
        <f t="shared" si="198"/>
        <v>1</v>
      </c>
    </row>
    <row r="200">
      <c r="A200" s="11" t="s">
        <v>540</v>
      </c>
      <c r="B200" s="18" t="s">
        <v>311</v>
      </c>
      <c r="C200" s="18" t="s">
        <v>1746</v>
      </c>
      <c r="D200" s="18" t="s">
        <v>338</v>
      </c>
      <c r="E200" s="11" t="s">
        <v>77</v>
      </c>
      <c r="F200" s="42" t="str">
        <f>VLOOKUP(A200,Main!A:J,9,0)</f>
        <v>VS18</v>
      </c>
      <c r="G200" s="25" t="str">
        <f>VLOOKUP(A200,Main!A:J,10,0)</f>
        <v>1</v>
      </c>
      <c r="H200" s="42" t="b">
        <f t="shared" ref="H200:I200" si="199">F200=D200</f>
        <v>1</v>
      </c>
      <c r="I200" s="42" t="b">
        <f t="shared" si="199"/>
        <v>1</v>
      </c>
    </row>
    <row r="201">
      <c r="A201" s="11" t="s">
        <v>2555</v>
      </c>
      <c r="B201" s="18" t="s">
        <v>311</v>
      </c>
      <c r="C201" s="18" t="s">
        <v>1746</v>
      </c>
      <c r="D201" s="18" t="s">
        <v>338</v>
      </c>
      <c r="E201" s="11" t="s">
        <v>77</v>
      </c>
      <c r="F201" s="42" t="str">
        <f>VLOOKUP(A201,Main!A:J,9,0)</f>
        <v>VS18</v>
      </c>
      <c r="G201" s="25" t="str">
        <f>VLOOKUP(A201,Main!A:J,10,0)</f>
        <v>1</v>
      </c>
      <c r="H201" s="42" t="b">
        <f t="shared" ref="H201:I201" si="200">F201=D201</f>
        <v>1</v>
      </c>
      <c r="I201" s="42" t="b">
        <f t="shared" si="200"/>
        <v>1</v>
      </c>
    </row>
    <row r="202">
      <c r="A202" s="11" t="s">
        <v>522</v>
      </c>
      <c r="B202" s="18" t="s">
        <v>311</v>
      </c>
      <c r="C202" s="18" t="s">
        <v>1746</v>
      </c>
      <c r="D202" s="18" t="s">
        <v>338</v>
      </c>
      <c r="E202" s="11" t="s">
        <v>77</v>
      </c>
      <c r="F202" s="42" t="str">
        <f>VLOOKUP(A202,Main!A:J,9,0)</f>
        <v>VS18</v>
      </c>
      <c r="G202" s="25" t="str">
        <f>VLOOKUP(A202,Main!A:J,10,0)</f>
        <v>1</v>
      </c>
      <c r="H202" s="42" t="b">
        <f t="shared" ref="H202:I202" si="201">F202=D202</f>
        <v>1</v>
      </c>
      <c r="I202" s="42" t="b">
        <f t="shared" si="201"/>
        <v>1</v>
      </c>
    </row>
    <row r="203">
      <c r="A203" s="11" t="s">
        <v>560</v>
      </c>
      <c r="B203" s="18" t="s">
        <v>311</v>
      </c>
      <c r="C203" s="18" t="s">
        <v>1746</v>
      </c>
      <c r="D203" s="18" t="s">
        <v>338</v>
      </c>
      <c r="E203" s="11" t="s">
        <v>77</v>
      </c>
      <c r="F203" s="42" t="str">
        <f>VLOOKUP(A203,Main!A:J,9,0)</f>
        <v>VS18</v>
      </c>
      <c r="G203" s="25" t="str">
        <f>VLOOKUP(A203,Main!A:J,10,0)</f>
        <v>1</v>
      </c>
      <c r="H203" s="42" t="b">
        <f t="shared" ref="H203:I203" si="202">F203=D203</f>
        <v>1</v>
      </c>
      <c r="I203" s="42" t="b">
        <f t="shared" si="202"/>
        <v>1</v>
      </c>
    </row>
    <row r="204">
      <c r="A204" s="11" t="s">
        <v>531</v>
      </c>
      <c r="B204" s="18" t="s">
        <v>311</v>
      </c>
      <c r="C204" s="18" t="s">
        <v>1746</v>
      </c>
      <c r="D204" s="18" t="s">
        <v>338</v>
      </c>
      <c r="E204" s="11" t="s">
        <v>77</v>
      </c>
      <c r="F204" s="42" t="str">
        <f>VLOOKUP(A204,Main!A:J,9,0)</f>
        <v>VS18</v>
      </c>
      <c r="G204" s="25" t="str">
        <f>VLOOKUP(A204,Main!A:J,10,0)</f>
        <v>1</v>
      </c>
      <c r="H204" s="42" t="b">
        <f t="shared" ref="H204:I204" si="203">F204=D204</f>
        <v>1</v>
      </c>
      <c r="I204" s="42" t="b">
        <f t="shared" si="203"/>
        <v>1</v>
      </c>
    </row>
    <row r="205">
      <c r="A205" s="11" t="s">
        <v>490</v>
      </c>
      <c r="B205" s="18" t="s">
        <v>311</v>
      </c>
      <c r="C205" s="18" t="s">
        <v>1746</v>
      </c>
      <c r="D205" s="18" t="s">
        <v>338</v>
      </c>
      <c r="E205" s="11" t="s">
        <v>77</v>
      </c>
      <c r="F205" s="42" t="str">
        <f>VLOOKUP(A205,Main!A:J,9,0)</f>
        <v>VS18</v>
      </c>
      <c r="G205" s="25" t="str">
        <f>VLOOKUP(A205,Main!A:J,10,0)</f>
        <v>1</v>
      </c>
      <c r="H205" s="42" t="b">
        <f t="shared" ref="H205:I205" si="204">F205=D205</f>
        <v>1</v>
      </c>
      <c r="I205" s="42" t="b">
        <f t="shared" si="204"/>
        <v>1</v>
      </c>
    </row>
    <row r="206">
      <c r="A206" s="11" t="s">
        <v>554</v>
      </c>
      <c r="B206" s="18" t="s">
        <v>311</v>
      </c>
      <c r="C206" s="18" t="s">
        <v>1746</v>
      </c>
      <c r="D206" s="18" t="s">
        <v>338</v>
      </c>
      <c r="E206" s="11" t="s">
        <v>77</v>
      </c>
      <c r="F206" s="42" t="str">
        <f>VLOOKUP(A206,Main!A:J,9,0)</f>
        <v>VS18</v>
      </c>
      <c r="G206" s="25" t="str">
        <f>VLOOKUP(A206,Main!A:J,10,0)</f>
        <v>1</v>
      </c>
      <c r="H206" s="42" t="b">
        <f t="shared" ref="H206:I206" si="205">F206=D206</f>
        <v>1</v>
      </c>
      <c r="I206" s="42" t="b">
        <f t="shared" si="205"/>
        <v>1</v>
      </c>
    </row>
    <row r="207">
      <c r="A207" s="11" t="s">
        <v>412</v>
      </c>
      <c r="B207" s="18" t="s">
        <v>311</v>
      </c>
      <c r="C207" s="18" t="s">
        <v>1746</v>
      </c>
      <c r="D207" s="18" t="s">
        <v>338</v>
      </c>
      <c r="E207" s="11" t="s">
        <v>77</v>
      </c>
      <c r="F207" s="42" t="str">
        <f>VLOOKUP(A207,Main!A:J,9,0)</f>
        <v>VS18</v>
      </c>
      <c r="G207" s="25" t="str">
        <f>VLOOKUP(A207,Main!A:J,10,0)</f>
        <v>1</v>
      </c>
      <c r="H207" s="42" t="b">
        <f t="shared" ref="H207:I207" si="206">F207=D207</f>
        <v>1</v>
      </c>
      <c r="I207" s="42" t="b">
        <f t="shared" si="206"/>
        <v>1</v>
      </c>
    </row>
    <row r="208">
      <c r="A208" s="11" t="s">
        <v>455</v>
      </c>
      <c r="B208" s="18" t="s">
        <v>311</v>
      </c>
      <c r="C208" s="18" t="s">
        <v>1746</v>
      </c>
      <c r="D208" s="18" t="s">
        <v>338</v>
      </c>
      <c r="E208" s="11" t="s">
        <v>77</v>
      </c>
      <c r="F208" s="42" t="str">
        <f>VLOOKUP(A208,Main!A:J,9,0)</f>
        <v>VS3</v>
      </c>
      <c r="G208" s="25" t="str">
        <f>VLOOKUP(A208,Main!A:J,10,0)</f>
        <v>1</v>
      </c>
      <c r="H208" s="42" t="b">
        <f t="shared" ref="H208:I208" si="207">F208=D208</f>
        <v>0</v>
      </c>
      <c r="I208" s="42" t="b">
        <f t="shared" si="207"/>
        <v>1</v>
      </c>
    </row>
    <row r="209">
      <c r="A209" s="11" t="s">
        <v>534</v>
      </c>
      <c r="B209" s="18" t="s">
        <v>311</v>
      </c>
      <c r="C209" s="18" t="s">
        <v>1746</v>
      </c>
      <c r="D209" s="18" t="s">
        <v>338</v>
      </c>
      <c r="E209" s="11" t="s">
        <v>77</v>
      </c>
      <c r="F209" s="42" t="str">
        <f>VLOOKUP(A209,Main!A:J,9,0)</f>
        <v>VS18</v>
      </c>
      <c r="G209" s="25" t="str">
        <f>VLOOKUP(A209,Main!A:J,10,0)</f>
        <v>1</v>
      </c>
      <c r="H209" s="42" t="b">
        <f t="shared" ref="H209:I209" si="208">F209=D209</f>
        <v>1</v>
      </c>
      <c r="I209" s="42" t="b">
        <f t="shared" si="208"/>
        <v>1</v>
      </c>
    </row>
    <row r="210">
      <c r="A210" s="11" t="s">
        <v>575</v>
      </c>
      <c r="B210" s="18" t="s">
        <v>311</v>
      </c>
      <c r="C210" s="18" t="s">
        <v>1746</v>
      </c>
      <c r="D210" s="18" t="s">
        <v>338</v>
      </c>
      <c r="E210" s="11" t="s">
        <v>77</v>
      </c>
      <c r="F210" s="42" t="str">
        <f>VLOOKUP(A210,Main!A:J,9,0)</f>
        <v>VS7</v>
      </c>
      <c r="G210" s="25" t="str">
        <f>VLOOKUP(A210,Main!A:J,10,0)</f>
        <v>7</v>
      </c>
      <c r="H210" s="42" t="b">
        <f t="shared" ref="H210:I210" si="209">F210=D210</f>
        <v>0</v>
      </c>
      <c r="I210" s="42" t="b">
        <f t="shared" si="209"/>
        <v>0</v>
      </c>
    </row>
    <row r="211">
      <c r="A211" s="11" t="s">
        <v>135</v>
      </c>
      <c r="B211" s="18" t="s">
        <v>85</v>
      </c>
      <c r="C211" s="18" t="s">
        <v>2326</v>
      </c>
      <c r="D211" s="18" t="s">
        <v>66</v>
      </c>
      <c r="E211" s="11" t="s">
        <v>1018</v>
      </c>
      <c r="F211" s="42" t="str">
        <f>VLOOKUP(A211,Main!A:J,9,0)</f>
        <v>VS26</v>
      </c>
      <c r="G211" s="25" t="str">
        <f>VLOOKUP(A211,Main!A:J,10,0)</f>
        <v>7</v>
      </c>
      <c r="H211" s="42" t="b">
        <f t="shared" ref="H211:I211" si="210">F211=D211</f>
        <v>1</v>
      </c>
      <c r="I211" s="42" t="b">
        <f t="shared" si="210"/>
        <v>1</v>
      </c>
    </row>
    <row r="212">
      <c r="A212" s="11" t="s">
        <v>387</v>
      </c>
      <c r="B212" s="18" t="s">
        <v>85</v>
      </c>
      <c r="C212" s="18" t="s">
        <v>2326</v>
      </c>
      <c r="D212" s="18" t="s">
        <v>66</v>
      </c>
      <c r="E212" s="11" t="s">
        <v>1018</v>
      </c>
      <c r="F212" s="42" t="str">
        <f>VLOOKUP(A212,Main!A:J,9,0)</f>
        <v>VS26</v>
      </c>
      <c r="G212" s="25" t="str">
        <f>VLOOKUP(A212,Main!A:J,10,0)</f>
        <v>7</v>
      </c>
      <c r="H212" s="42" t="b">
        <f t="shared" ref="H212:I212" si="211">F212=D212</f>
        <v>1</v>
      </c>
      <c r="I212" s="42" t="b">
        <f t="shared" si="211"/>
        <v>1</v>
      </c>
    </row>
    <row r="213">
      <c r="A213" s="11" t="s">
        <v>365</v>
      </c>
      <c r="B213" s="18" t="s">
        <v>85</v>
      </c>
      <c r="C213" s="18" t="s">
        <v>2326</v>
      </c>
      <c r="D213" s="18" t="s">
        <v>66</v>
      </c>
      <c r="E213" s="11" t="s">
        <v>1018</v>
      </c>
      <c r="F213" s="42" t="str">
        <f>VLOOKUP(A213,Main!A:J,9,0)</f>
        <v>VS26</v>
      </c>
      <c r="G213" s="25" t="str">
        <f>VLOOKUP(A213,Main!A:J,10,0)</f>
        <v>7</v>
      </c>
      <c r="H213" s="42" t="b">
        <f t="shared" ref="H213:I213" si="212">F213=D213</f>
        <v>1</v>
      </c>
      <c r="I213" s="42" t="b">
        <f t="shared" si="212"/>
        <v>1</v>
      </c>
    </row>
    <row r="214">
      <c r="A214" s="11" t="s">
        <v>472</v>
      </c>
      <c r="B214" s="18" t="s">
        <v>85</v>
      </c>
      <c r="C214" s="18" t="s">
        <v>2326</v>
      </c>
      <c r="D214" s="18" t="s">
        <v>66</v>
      </c>
      <c r="E214" s="11" t="s">
        <v>1018</v>
      </c>
      <c r="F214" s="42" t="str">
        <f>VLOOKUP(A214,Main!A:J,9,0)</f>
        <v>VS26</v>
      </c>
      <c r="G214" s="25" t="str">
        <f>VLOOKUP(A214,Main!A:J,10,0)</f>
        <v>7</v>
      </c>
      <c r="H214" s="42" t="b">
        <f t="shared" ref="H214:I214" si="213">F214=D214</f>
        <v>1</v>
      </c>
      <c r="I214" s="42" t="b">
        <f t="shared" si="213"/>
        <v>1</v>
      </c>
    </row>
    <row r="215">
      <c r="A215" s="11" t="s">
        <v>115</v>
      </c>
      <c r="B215" s="18" t="s">
        <v>85</v>
      </c>
      <c r="C215" s="18" t="s">
        <v>2326</v>
      </c>
      <c r="D215" s="18" t="s">
        <v>66</v>
      </c>
      <c r="E215" s="11" t="s">
        <v>1018</v>
      </c>
      <c r="F215" s="42" t="str">
        <f>VLOOKUP(A215,Main!A:J,9,0)</f>
        <v>VS26</v>
      </c>
      <c r="G215" s="25" t="str">
        <f>VLOOKUP(A215,Main!A:J,10,0)</f>
        <v>7</v>
      </c>
      <c r="H215" s="42" t="b">
        <f t="shared" ref="H215:I215" si="214">F215=D215</f>
        <v>1</v>
      </c>
      <c r="I215" s="42" t="b">
        <f t="shared" si="214"/>
        <v>1</v>
      </c>
    </row>
    <row r="216">
      <c r="A216" s="11" t="s">
        <v>568</v>
      </c>
      <c r="B216" s="18" t="s">
        <v>85</v>
      </c>
      <c r="C216" s="18" t="s">
        <v>2326</v>
      </c>
      <c r="D216" s="18" t="s">
        <v>66</v>
      </c>
      <c r="E216" s="11" t="s">
        <v>1018</v>
      </c>
      <c r="F216" s="42" t="str">
        <f>VLOOKUP(A216,Main!A:J,9,0)</f>
        <v>VS26</v>
      </c>
      <c r="G216" s="25" t="str">
        <f>VLOOKUP(A216,Main!A:J,10,0)</f>
        <v>7</v>
      </c>
      <c r="H216" s="42" t="b">
        <f t="shared" ref="H216:I216" si="215">F216=D216</f>
        <v>1</v>
      </c>
      <c r="I216" s="42" t="b">
        <f t="shared" si="215"/>
        <v>1</v>
      </c>
    </row>
    <row r="217">
      <c r="A217" s="11" t="s">
        <v>520</v>
      </c>
      <c r="B217" s="18" t="s">
        <v>85</v>
      </c>
      <c r="C217" s="18" t="s">
        <v>2326</v>
      </c>
      <c r="D217" s="18" t="s">
        <v>66</v>
      </c>
      <c r="E217" s="11" t="s">
        <v>1018</v>
      </c>
      <c r="F217" s="42" t="str">
        <f>VLOOKUP(A217,Main!A:J,9,0)</f>
        <v>VS14</v>
      </c>
      <c r="G217" s="25" t="str">
        <f>VLOOKUP(A217,Main!A:J,10,0)</f>
        <v>1</v>
      </c>
      <c r="H217" s="42" t="b">
        <f t="shared" ref="H217:I217" si="216">F217=D217</f>
        <v>0</v>
      </c>
      <c r="I217" s="42" t="b">
        <f t="shared" si="216"/>
        <v>0</v>
      </c>
    </row>
    <row r="218">
      <c r="A218" s="11" t="s">
        <v>456</v>
      </c>
      <c r="B218" s="18" t="s">
        <v>85</v>
      </c>
      <c r="C218" s="18" t="s">
        <v>2326</v>
      </c>
      <c r="D218" s="18" t="s">
        <v>66</v>
      </c>
      <c r="E218" s="11" t="s">
        <v>1018</v>
      </c>
      <c r="F218" s="42" t="str">
        <f>VLOOKUP(A218,Main!A:J,9,0)</f>
        <v>VS26</v>
      </c>
      <c r="G218" s="25" t="str">
        <f>VLOOKUP(A218,Main!A:J,10,0)</f>
        <v>7</v>
      </c>
      <c r="H218" s="42" t="b">
        <f t="shared" ref="H218:I218" si="217">F218=D218</f>
        <v>1</v>
      </c>
      <c r="I218" s="42" t="b">
        <f t="shared" si="217"/>
        <v>1</v>
      </c>
    </row>
    <row r="219">
      <c r="A219" s="11" t="s">
        <v>482</v>
      </c>
      <c r="B219" s="18" t="s">
        <v>85</v>
      </c>
      <c r="C219" s="18" t="s">
        <v>2326</v>
      </c>
      <c r="D219" s="18" t="s">
        <v>66</v>
      </c>
      <c r="E219" s="11" t="s">
        <v>1018</v>
      </c>
      <c r="F219" s="42" t="str">
        <f>VLOOKUP(A219,Main!A:J,9,0)</f>
        <v>VS26</v>
      </c>
      <c r="G219" s="25" t="str">
        <f>VLOOKUP(A219,Main!A:J,10,0)</f>
        <v>7</v>
      </c>
      <c r="H219" s="42" t="b">
        <f t="shared" ref="H219:I219" si="218">F219=D219</f>
        <v>1</v>
      </c>
      <c r="I219" s="42" t="b">
        <f t="shared" si="218"/>
        <v>1</v>
      </c>
    </row>
    <row r="220">
      <c r="A220" s="11" t="s">
        <v>422</v>
      </c>
      <c r="B220" s="18" t="s">
        <v>311</v>
      </c>
      <c r="C220" s="18" t="s">
        <v>3886</v>
      </c>
      <c r="D220" s="18" t="s">
        <v>329</v>
      </c>
      <c r="E220" s="11" t="s">
        <v>77</v>
      </c>
      <c r="F220" s="42" t="str">
        <f>VLOOKUP(A220,Main!A:J,9,0)</f>
        <v>VS3</v>
      </c>
      <c r="G220" s="25" t="str">
        <f>VLOOKUP(A220,Main!A:J,10,0)</f>
        <v>1</v>
      </c>
      <c r="H220" s="42" t="b">
        <f t="shared" ref="H220:I220" si="219">F220=D220</f>
        <v>1</v>
      </c>
      <c r="I220" s="42" t="b">
        <f t="shared" si="219"/>
        <v>1</v>
      </c>
    </row>
    <row r="221">
      <c r="A221" s="11" t="s">
        <v>326</v>
      </c>
      <c r="B221" s="18" t="s">
        <v>311</v>
      </c>
      <c r="C221" s="18" t="s">
        <v>3886</v>
      </c>
      <c r="D221" s="18" t="s">
        <v>329</v>
      </c>
      <c r="E221" s="11" t="s">
        <v>77</v>
      </c>
      <c r="F221" s="42" t="str">
        <f>VLOOKUP(A221,Main!A:J,9,0)</f>
        <v>VS3</v>
      </c>
      <c r="G221" s="25" t="str">
        <f>VLOOKUP(A221,Main!A:J,10,0)</f>
        <v>1</v>
      </c>
      <c r="H221" s="42" t="b">
        <f t="shared" ref="H221:I221" si="220">F221=D221</f>
        <v>1</v>
      </c>
      <c r="I221" s="42" t="b">
        <f t="shared" si="220"/>
        <v>1</v>
      </c>
    </row>
    <row r="222">
      <c r="A222" s="11" t="s">
        <v>345</v>
      </c>
      <c r="B222" s="18" t="s">
        <v>311</v>
      </c>
      <c r="C222" s="18" t="s">
        <v>3886</v>
      </c>
      <c r="D222" s="18" t="s">
        <v>329</v>
      </c>
      <c r="E222" s="11" t="s">
        <v>77</v>
      </c>
      <c r="F222" s="42" t="str">
        <f>VLOOKUP(A222,Main!A:J,9,0)</f>
        <v>VS3</v>
      </c>
      <c r="G222" s="25" t="str">
        <f>VLOOKUP(A222,Main!A:J,10,0)</f>
        <v>1</v>
      </c>
      <c r="H222" s="42" t="b">
        <f t="shared" ref="H222:I222" si="221">F222=D222</f>
        <v>1</v>
      </c>
      <c r="I222" s="42" t="b">
        <f t="shared" si="221"/>
        <v>1</v>
      </c>
    </row>
    <row r="223">
      <c r="A223" s="11" t="s">
        <v>289</v>
      </c>
      <c r="B223" s="18" t="s">
        <v>311</v>
      </c>
      <c r="C223" s="18" t="s">
        <v>3886</v>
      </c>
      <c r="D223" s="18" t="s">
        <v>329</v>
      </c>
      <c r="E223" s="11" t="s">
        <v>77</v>
      </c>
      <c r="F223" s="42" t="str">
        <f>VLOOKUP(A223,Main!A:J,9,0)</f>
        <v>VS3</v>
      </c>
      <c r="G223" s="25" t="str">
        <f>VLOOKUP(A223,Main!A:J,10,0)</f>
        <v>1</v>
      </c>
      <c r="H223" s="42" t="b">
        <f t="shared" ref="H223:I223" si="222">F223=D223</f>
        <v>1</v>
      </c>
      <c r="I223" s="42" t="b">
        <f t="shared" si="222"/>
        <v>1</v>
      </c>
    </row>
    <row r="224">
      <c r="A224" s="11" t="s">
        <v>2665</v>
      </c>
      <c r="B224" s="18" t="s">
        <v>311</v>
      </c>
      <c r="C224" s="18" t="s">
        <v>3886</v>
      </c>
      <c r="D224" s="18" t="s">
        <v>329</v>
      </c>
      <c r="E224" s="11" t="s">
        <v>77</v>
      </c>
      <c r="F224" s="42" t="str">
        <f>VLOOKUP(A224,Main!A:J,9,0)</f>
        <v>VS27</v>
      </c>
      <c r="G224" s="25" t="str">
        <f>VLOOKUP(A224,Main!A:J,10,0)</f>
        <v>1</v>
      </c>
      <c r="H224" s="42" t="b">
        <f t="shared" ref="H224:I224" si="223">F224=D224</f>
        <v>0</v>
      </c>
      <c r="I224" s="42" t="b">
        <f t="shared" si="223"/>
        <v>1</v>
      </c>
    </row>
    <row r="225">
      <c r="A225" s="11" t="s">
        <v>527</v>
      </c>
      <c r="B225" s="18" t="s">
        <v>311</v>
      </c>
      <c r="C225" s="18" t="s">
        <v>3886</v>
      </c>
      <c r="D225" s="18" t="s">
        <v>329</v>
      </c>
      <c r="E225" s="11" t="s">
        <v>77</v>
      </c>
      <c r="F225" s="42" t="str">
        <f>VLOOKUP(A225,Main!A:J,9,0)</f>
        <v>VS3</v>
      </c>
      <c r="G225" s="25" t="str">
        <f>VLOOKUP(A225,Main!A:J,10,0)</f>
        <v>1</v>
      </c>
      <c r="H225" s="42" t="b">
        <f t="shared" ref="H225:I225" si="224">F225=D225</f>
        <v>1</v>
      </c>
      <c r="I225" s="42" t="b">
        <f t="shared" si="224"/>
        <v>1</v>
      </c>
    </row>
    <row r="226">
      <c r="A226" s="11" t="s">
        <v>544</v>
      </c>
      <c r="B226" s="18" t="s">
        <v>311</v>
      </c>
      <c r="C226" s="18" t="s">
        <v>3886</v>
      </c>
      <c r="D226" s="18" t="s">
        <v>329</v>
      </c>
      <c r="E226" s="11" t="s">
        <v>77</v>
      </c>
      <c r="F226" s="42" t="str">
        <f>VLOOKUP(A226,Main!A:J,9,0)</f>
        <v>VS3</v>
      </c>
      <c r="G226" s="25" t="str">
        <f>VLOOKUP(A226,Main!A:J,10,0)</f>
        <v>1</v>
      </c>
      <c r="H226" s="42" t="b">
        <f t="shared" ref="H226:I226" si="225">F226=D226</f>
        <v>1</v>
      </c>
      <c r="I226" s="42" t="b">
        <f t="shared" si="225"/>
        <v>1</v>
      </c>
    </row>
    <row r="227">
      <c r="A227" s="11" t="s">
        <v>366</v>
      </c>
      <c r="B227" s="18" t="s">
        <v>311</v>
      </c>
      <c r="C227" s="18" t="s">
        <v>3886</v>
      </c>
      <c r="D227" s="18" t="s">
        <v>329</v>
      </c>
      <c r="E227" s="11" t="s">
        <v>77</v>
      </c>
      <c r="F227" s="42" t="str">
        <f>VLOOKUP(A227,Main!A:J,9,0)</f>
        <v>VS3</v>
      </c>
      <c r="G227" s="25" t="str">
        <f>VLOOKUP(A227,Main!A:J,10,0)</f>
        <v>1</v>
      </c>
      <c r="H227" s="42" t="b">
        <f t="shared" ref="H227:I227" si="226">F227=D227</f>
        <v>1</v>
      </c>
      <c r="I227" s="42" t="b">
        <f t="shared" si="226"/>
        <v>1</v>
      </c>
    </row>
    <row r="228">
      <c r="A228" s="11" t="s">
        <v>2667</v>
      </c>
      <c r="B228" s="18" t="s">
        <v>311</v>
      </c>
      <c r="C228" s="18" t="s">
        <v>3886</v>
      </c>
      <c r="D228" s="18" t="s">
        <v>329</v>
      </c>
      <c r="E228" s="11" t="s">
        <v>77</v>
      </c>
      <c r="F228" s="42" t="str">
        <f>VLOOKUP(A228,Main!A:J,9,0)</f>
        <v>VS27</v>
      </c>
      <c r="G228" s="25" t="str">
        <f>VLOOKUP(A228,Main!A:J,10,0)</f>
        <v>1</v>
      </c>
      <c r="H228" s="42" t="b">
        <f t="shared" ref="H228:I228" si="227">F228=D228</f>
        <v>0</v>
      </c>
      <c r="I228" s="42" t="b">
        <f t="shared" si="227"/>
        <v>1</v>
      </c>
    </row>
    <row r="229">
      <c r="A229" s="11" t="s">
        <v>2649</v>
      </c>
      <c r="B229" s="18" t="s">
        <v>311</v>
      </c>
      <c r="C229" s="18" t="s">
        <v>3886</v>
      </c>
      <c r="D229" s="18" t="s">
        <v>329</v>
      </c>
      <c r="E229" s="11" t="s">
        <v>77</v>
      </c>
      <c r="F229" s="42" t="str">
        <f>VLOOKUP(A229,Main!A:J,9,0)</f>
        <v>VS27</v>
      </c>
      <c r="G229" s="25" t="str">
        <f>VLOOKUP(A229,Main!A:J,10,0)</f>
        <v>1</v>
      </c>
      <c r="H229" s="42" t="b">
        <f t="shared" ref="H229:I229" si="228">F229=D229</f>
        <v>0</v>
      </c>
      <c r="I229" s="42" t="b">
        <f t="shared" si="228"/>
        <v>1</v>
      </c>
    </row>
    <row r="230">
      <c r="A230" s="11" t="s">
        <v>324</v>
      </c>
      <c r="B230" s="18" t="s">
        <v>311</v>
      </c>
      <c r="C230" s="18" t="s">
        <v>3886</v>
      </c>
      <c r="D230" s="18" t="s">
        <v>329</v>
      </c>
      <c r="E230" s="11" t="s">
        <v>77</v>
      </c>
      <c r="F230" s="42" t="str">
        <f>VLOOKUP(A230,Main!A:J,9,0)</f>
        <v>VS3</v>
      </c>
      <c r="G230" s="25" t="str">
        <f>VLOOKUP(A230,Main!A:J,10,0)</f>
        <v>1</v>
      </c>
      <c r="H230" s="42" t="b">
        <f t="shared" ref="H230:I230" si="229">F230=D230</f>
        <v>1</v>
      </c>
      <c r="I230" s="42" t="b">
        <f t="shared" si="229"/>
        <v>1</v>
      </c>
    </row>
    <row r="231">
      <c r="A231" s="11" t="s">
        <v>334</v>
      </c>
      <c r="B231" s="18" t="s">
        <v>311</v>
      </c>
      <c r="C231" s="18" t="s">
        <v>3886</v>
      </c>
      <c r="D231" s="18" t="s">
        <v>329</v>
      </c>
      <c r="E231" s="11" t="s">
        <v>77</v>
      </c>
      <c r="F231" s="42" t="str">
        <f>VLOOKUP(A231,Main!A:J,9,0)</f>
        <v>VS3</v>
      </c>
      <c r="G231" s="25" t="str">
        <f>VLOOKUP(A231,Main!A:J,10,0)</f>
        <v>1</v>
      </c>
      <c r="H231" s="42" t="b">
        <f t="shared" ref="H231:I231" si="230">F231=D231</f>
        <v>1</v>
      </c>
      <c r="I231" s="42" t="b">
        <f t="shared" si="230"/>
        <v>1</v>
      </c>
    </row>
    <row r="232">
      <c r="A232" s="11" t="s">
        <v>344</v>
      </c>
      <c r="B232" s="18" t="s">
        <v>311</v>
      </c>
      <c r="C232" s="18" t="s">
        <v>3886</v>
      </c>
      <c r="D232" s="18" t="s">
        <v>329</v>
      </c>
      <c r="E232" s="11" t="s">
        <v>77</v>
      </c>
      <c r="F232" s="42" t="str">
        <f>VLOOKUP(A232,Main!A:J,9,0)</f>
        <v>VS3</v>
      </c>
      <c r="G232" s="25" t="str">
        <f>VLOOKUP(A232,Main!A:J,10,0)</f>
        <v>1</v>
      </c>
      <c r="H232" s="42" t="b">
        <f t="shared" ref="H232:I232" si="231">F232=D232</f>
        <v>1</v>
      </c>
      <c r="I232" s="42" t="b">
        <f t="shared" si="231"/>
        <v>1</v>
      </c>
    </row>
    <row r="233">
      <c r="A233" s="11" t="s">
        <v>377</v>
      </c>
      <c r="B233" s="18" t="s">
        <v>311</v>
      </c>
      <c r="C233" s="18" t="s">
        <v>3886</v>
      </c>
      <c r="D233" s="18" t="s">
        <v>329</v>
      </c>
      <c r="E233" s="11" t="s">
        <v>77</v>
      </c>
      <c r="F233" s="42" t="str">
        <f>VLOOKUP(A233,Main!A:J,9,0)</f>
        <v>VS3</v>
      </c>
      <c r="G233" s="25" t="str">
        <f>VLOOKUP(A233,Main!A:J,10,0)</f>
        <v>1</v>
      </c>
      <c r="H233" s="42" t="b">
        <f t="shared" ref="H233:I233" si="232">F233=D233</f>
        <v>1</v>
      </c>
      <c r="I233" s="42" t="b">
        <f t="shared" si="232"/>
        <v>1</v>
      </c>
    </row>
    <row r="234">
      <c r="A234" s="11" t="s">
        <v>430</v>
      </c>
      <c r="B234" s="18" t="s">
        <v>311</v>
      </c>
      <c r="C234" s="18" t="s">
        <v>3886</v>
      </c>
      <c r="D234" s="18" t="s">
        <v>329</v>
      </c>
      <c r="E234" s="11" t="s">
        <v>77</v>
      </c>
      <c r="F234" s="42" t="str">
        <f>VLOOKUP(A234,Main!A:J,9,0)</f>
        <v>VS3</v>
      </c>
      <c r="G234" s="25" t="str">
        <f>VLOOKUP(A234,Main!A:J,10,0)</f>
        <v>1</v>
      </c>
      <c r="H234" s="42" t="b">
        <f t="shared" ref="H234:I234" si="233">F234=D234</f>
        <v>1</v>
      </c>
      <c r="I234" s="42" t="b">
        <f t="shared" si="233"/>
        <v>1</v>
      </c>
    </row>
    <row r="235">
      <c r="A235" s="11" t="s">
        <v>438</v>
      </c>
      <c r="B235" s="18" t="s">
        <v>311</v>
      </c>
      <c r="C235" s="18" t="s">
        <v>3886</v>
      </c>
      <c r="D235" s="18" t="s">
        <v>329</v>
      </c>
      <c r="E235" s="11" t="s">
        <v>77</v>
      </c>
      <c r="F235" s="42" t="str">
        <f>VLOOKUP(A235,Main!A:J,9,0)</f>
        <v>VS3</v>
      </c>
      <c r="G235" s="25" t="str">
        <f>VLOOKUP(A235,Main!A:J,10,0)</f>
        <v>1</v>
      </c>
      <c r="H235" s="42" t="b">
        <f t="shared" ref="H235:I235" si="234">F235=D235</f>
        <v>1</v>
      </c>
      <c r="I235" s="42" t="b">
        <f t="shared" si="234"/>
        <v>1</v>
      </c>
    </row>
    <row r="236">
      <c r="A236" s="11" t="s">
        <v>400</v>
      </c>
      <c r="B236" s="18" t="s">
        <v>311</v>
      </c>
      <c r="C236" s="18" t="s">
        <v>3886</v>
      </c>
      <c r="D236" s="18" t="s">
        <v>329</v>
      </c>
      <c r="E236" s="11" t="s">
        <v>77</v>
      </c>
      <c r="F236" s="42" t="str">
        <f>VLOOKUP(A236,Main!A:J,9,0)</f>
        <v>VS3</v>
      </c>
      <c r="G236" s="25" t="str">
        <f>VLOOKUP(A236,Main!A:J,10,0)</f>
        <v>1</v>
      </c>
      <c r="H236" s="42" t="b">
        <f t="shared" ref="H236:I236" si="235">F236=D236</f>
        <v>1</v>
      </c>
      <c r="I236" s="42" t="b">
        <f t="shared" si="235"/>
        <v>1</v>
      </c>
    </row>
    <row r="237">
      <c r="A237" s="11" t="s">
        <v>418</v>
      </c>
      <c r="B237" s="18" t="s">
        <v>311</v>
      </c>
      <c r="C237" s="18" t="s">
        <v>3886</v>
      </c>
      <c r="D237" s="18" t="s">
        <v>329</v>
      </c>
      <c r="E237" s="11" t="s">
        <v>77</v>
      </c>
      <c r="F237" s="42" t="str">
        <f>VLOOKUP(A237,Main!A:J,9,0)</f>
        <v>VS3</v>
      </c>
      <c r="G237" s="25" t="str">
        <f>VLOOKUP(A237,Main!A:J,10,0)</f>
        <v>1</v>
      </c>
      <c r="H237" s="42" t="b">
        <f t="shared" ref="H237:I237" si="236">F237=D237</f>
        <v>1</v>
      </c>
      <c r="I237" s="42" t="b">
        <f t="shared" si="236"/>
        <v>1</v>
      </c>
    </row>
    <row r="238">
      <c r="A238" s="11" t="s">
        <v>348</v>
      </c>
      <c r="B238" s="18" t="s">
        <v>311</v>
      </c>
      <c r="C238" s="18" t="s">
        <v>3886</v>
      </c>
      <c r="D238" s="18" t="s">
        <v>329</v>
      </c>
      <c r="E238" s="11" t="s">
        <v>77</v>
      </c>
      <c r="F238" s="42" t="str">
        <f>VLOOKUP(A238,Main!A:J,9,0)</f>
        <v>VS3</v>
      </c>
      <c r="G238" s="25" t="str">
        <f>VLOOKUP(A238,Main!A:J,10,0)</f>
        <v>1</v>
      </c>
      <c r="H238" s="42" t="b">
        <f t="shared" ref="H238:I238" si="237">F238=D238</f>
        <v>1</v>
      </c>
      <c r="I238" s="42" t="b">
        <f t="shared" si="237"/>
        <v>1</v>
      </c>
    </row>
    <row r="239">
      <c r="A239" s="11" t="s">
        <v>306</v>
      </c>
      <c r="B239" s="18" t="s">
        <v>311</v>
      </c>
      <c r="C239" s="18" t="s">
        <v>3886</v>
      </c>
      <c r="D239" s="18" t="s">
        <v>329</v>
      </c>
      <c r="E239" s="11" t="s">
        <v>77</v>
      </c>
      <c r="F239" s="42" t="str">
        <f>VLOOKUP(A239,Main!A:J,9,0)</f>
        <v>VS3</v>
      </c>
      <c r="G239" s="25" t="str">
        <f>VLOOKUP(A239,Main!A:J,10,0)</f>
        <v>1</v>
      </c>
      <c r="H239" s="42" t="b">
        <f t="shared" ref="H239:I239" si="238">F239=D239</f>
        <v>1</v>
      </c>
      <c r="I239" s="42" t="b">
        <f t="shared" si="238"/>
        <v>1</v>
      </c>
    </row>
    <row r="240">
      <c r="A240" s="11" t="s">
        <v>475</v>
      </c>
      <c r="B240" s="18" t="s">
        <v>311</v>
      </c>
      <c r="C240" s="18" t="s">
        <v>3886</v>
      </c>
      <c r="D240" s="18" t="s">
        <v>329</v>
      </c>
      <c r="E240" s="11" t="s">
        <v>77</v>
      </c>
      <c r="F240" s="42" t="str">
        <f>VLOOKUP(A240,Main!A:J,9,0)</f>
        <v>VS3</v>
      </c>
      <c r="G240" s="25" t="str">
        <f>VLOOKUP(A240,Main!A:J,10,0)</f>
        <v>1</v>
      </c>
      <c r="H240" s="42" t="b">
        <f t="shared" ref="H240:I240" si="239">F240=D240</f>
        <v>1</v>
      </c>
      <c r="I240" s="42" t="b">
        <f t="shared" si="239"/>
        <v>1</v>
      </c>
    </row>
    <row r="241">
      <c r="A241" s="11" t="s">
        <v>2658</v>
      </c>
      <c r="B241" s="18" t="s">
        <v>311</v>
      </c>
      <c r="C241" s="18" t="s">
        <v>3886</v>
      </c>
      <c r="D241" s="18" t="s">
        <v>329</v>
      </c>
      <c r="E241" s="11" t="s">
        <v>77</v>
      </c>
      <c r="F241" s="42" t="str">
        <f>VLOOKUP(A241,Main!A:J,9,0)</f>
        <v>VS27</v>
      </c>
      <c r="G241" s="25" t="str">
        <f>VLOOKUP(A241,Main!A:J,10,0)</f>
        <v>1</v>
      </c>
      <c r="H241" s="42" t="b">
        <f t="shared" ref="H241:I241" si="240">F241=D241</f>
        <v>0</v>
      </c>
      <c r="I241" s="42" t="b">
        <f t="shared" si="240"/>
        <v>1</v>
      </c>
    </row>
    <row r="242">
      <c r="A242" s="11" t="s">
        <v>562</v>
      </c>
      <c r="B242" s="18" t="s">
        <v>1251</v>
      </c>
      <c r="C242" s="42"/>
      <c r="D242" s="18" t="s">
        <v>329</v>
      </c>
      <c r="E242" s="11" t="s">
        <v>77</v>
      </c>
      <c r="F242" s="42" t="str">
        <f>VLOOKUP(A242,Main!A:J,9,0)</f>
        <v>VS3</v>
      </c>
      <c r="G242" s="25" t="str">
        <f>VLOOKUP(A242,Main!A:J,10,0)</f>
        <v>1</v>
      </c>
      <c r="H242" s="42" t="b">
        <f t="shared" ref="H242:I242" si="241">F242=D242</f>
        <v>1</v>
      </c>
      <c r="I242" s="42" t="b">
        <f t="shared" si="241"/>
        <v>1</v>
      </c>
    </row>
    <row r="243">
      <c r="A243" s="11" t="s">
        <v>299</v>
      </c>
      <c r="B243" s="18" t="s">
        <v>1251</v>
      </c>
      <c r="C243" s="42"/>
      <c r="D243" s="18" t="s">
        <v>329</v>
      </c>
      <c r="E243" s="11" t="s">
        <v>77</v>
      </c>
      <c r="F243" s="42" t="str">
        <f>VLOOKUP(A243,Main!A:J,9,0)</f>
        <v>VS3</v>
      </c>
      <c r="G243" s="25" t="str">
        <f>VLOOKUP(A243,Main!A:J,10,0)</f>
        <v>1</v>
      </c>
      <c r="H243" s="42" t="b">
        <f t="shared" ref="H243:I243" si="242">F243=D243</f>
        <v>1</v>
      </c>
      <c r="I243" s="42" t="b">
        <f t="shared" si="242"/>
        <v>1</v>
      </c>
    </row>
    <row r="244">
      <c r="A244" s="11" t="s">
        <v>759</v>
      </c>
      <c r="B244" s="18" t="s">
        <v>311</v>
      </c>
      <c r="C244" s="18" t="s">
        <v>2189</v>
      </c>
      <c r="D244" s="18" t="s">
        <v>113</v>
      </c>
      <c r="E244" s="11" t="s">
        <v>1018</v>
      </c>
      <c r="F244" s="42" t="str">
        <f>VLOOKUP(A244,Main!A:J,9,0)</f>
        <v>VS4</v>
      </c>
      <c r="G244" s="25" t="str">
        <f>VLOOKUP(A244,Main!A:J,10,0)</f>
        <v>7</v>
      </c>
      <c r="H244" s="42" t="b">
        <f t="shared" ref="H244:I244" si="243">F244=D244</f>
        <v>1</v>
      </c>
      <c r="I244" s="42" t="b">
        <f t="shared" si="243"/>
        <v>1</v>
      </c>
    </row>
    <row r="245">
      <c r="A245" s="11" t="s">
        <v>467</v>
      </c>
      <c r="B245" s="18" t="s">
        <v>311</v>
      </c>
      <c r="C245" s="18" t="s">
        <v>2189</v>
      </c>
      <c r="D245" s="18" t="s">
        <v>113</v>
      </c>
      <c r="E245" s="11" t="s">
        <v>1018</v>
      </c>
      <c r="F245" s="42" t="str">
        <f>VLOOKUP(A245,Main!A:J,9,0)</f>
        <v>VS6</v>
      </c>
      <c r="G245" s="25" t="str">
        <f>VLOOKUP(A245,Main!A:J,10,0)</f>
        <v>1</v>
      </c>
      <c r="H245" s="42" t="b">
        <f t="shared" ref="H245:I245" si="244">F245=D245</f>
        <v>0</v>
      </c>
      <c r="I245" s="42" t="b">
        <f t="shared" si="244"/>
        <v>0</v>
      </c>
    </row>
    <row r="246">
      <c r="A246" s="11" t="s">
        <v>452</v>
      </c>
      <c r="B246" s="18" t="s">
        <v>311</v>
      </c>
      <c r="C246" s="18" t="s">
        <v>2189</v>
      </c>
      <c r="D246" s="18" t="s">
        <v>113</v>
      </c>
      <c r="E246" s="11" t="s">
        <v>1018</v>
      </c>
      <c r="F246" s="42" t="str">
        <f>VLOOKUP(A246,Main!A:J,9,0)</f>
        <v>VS4</v>
      </c>
      <c r="G246" s="25" t="str">
        <f>VLOOKUP(A246,Main!A:J,10,0)</f>
        <v>7</v>
      </c>
      <c r="H246" s="42" t="b">
        <f t="shared" ref="H246:I246" si="245">F246=D246</f>
        <v>1</v>
      </c>
      <c r="I246" s="42" t="b">
        <f t="shared" si="245"/>
        <v>1</v>
      </c>
    </row>
    <row r="247">
      <c r="A247" s="11" t="s">
        <v>494</v>
      </c>
      <c r="B247" s="18" t="s">
        <v>311</v>
      </c>
      <c r="C247" s="18" t="s">
        <v>2189</v>
      </c>
      <c r="D247" s="18" t="s">
        <v>113</v>
      </c>
      <c r="E247" s="11" t="s">
        <v>1018</v>
      </c>
      <c r="F247" s="42" t="str">
        <f>VLOOKUP(A247,Main!A:J,9,0)</f>
        <v>VS4</v>
      </c>
      <c r="G247" s="25" t="str">
        <f>VLOOKUP(A247,Main!A:J,10,0)</f>
        <v>7</v>
      </c>
      <c r="H247" s="42" t="b">
        <f t="shared" ref="H247:I247" si="246">F247=D247</f>
        <v>1</v>
      </c>
      <c r="I247" s="42" t="b">
        <f t="shared" si="246"/>
        <v>1</v>
      </c>
    </row>
    <row r="248">
      <c r="A248" s="11" t="s">
        <v>519</v>
      </c>
      <c r="B248" s="18" t="s">
        <v>311</v>
      </c>
      <c r="C248" s="18" t="s">
        <v>2189</v>
      </c>
      <c r="D248" s="18" t="s">
        <v>113</v>
      </c>
      <c r="E248" s="11" t="s">
        <v>1018</v>
      </c>
      <c r="F248" s="42" t="str">
        <f>VLOOKUP(A248,Main!A:J,9,0)</f>
        <v>VS4</v>
      </c>
      <c r="G248" s="25" t="str">
        <f>VLOOKUP(A248,Main!A:J,10,0)</f>
        <v>7</v>
      </c>
      <c r="H248" s="42" t="b">
        <f t="shared" ref="H248:I248" si="247">F248=D248</f>
        <v>1</v>
      </c>
      <c r="I248" s="42" t="b">
        <f t="shared" si="247"/>
        <v>1</v>
      </c>
    </row>
    <row r="249">
      <c r="A249" s="11" t="s">
        <v>535</v>
      </c>
      <c r="B249" s="18" t="s">
        <v>311</v>
      </c>
      <c r="C249" s="18" t="s">
        <v>2189</v>
      </c>
      <c r="D249" s="18" t="s">
        <v>113</v>
      </c>
      <c r="E249" s="11" t="s">
        <v>1018</v>
      </c>
      <c r="F249" s="42" t="str">
        <f>VLOOKUP(A249,Main!A:J,9,0)</f>
        <v>VS4</v>
      </c>
      <c r="G249" s="25" t="str">
        <f>VLOOKUP(A249,Main!A:J,10,0)</f>
        <v>7</v>
      </c>
      <c r="H249" s="42" t="b">
        <f t="shared" ref="H249:I249" si="248">F249=D249</f>
        <v>1</v>
      </c>
      <c r="I249" s="42" t="b">
        <f t="shared" si="248"/>
        <v>1</v>
      </c>
    </row>
    <row r="250">
      <c r="A250" s="11" t="s">
        <v>421</v>
      </c>
      <c r="B250" s="18" t="s">
        <v>311</v>
      </c>
      <c r="C250" s="18" t="s">
        <v>2189</v>
      </c>
      <c r="D250" s="18" t="s">
        <v>113</v>
      </c>
      <c r="E250" s="11" t="s">
        <v>1018</v>
      </c>
      <c r="F250" s="42" t="str">
        <f>VLOOKUP(A250,Main!A:J,9,0)</f>
        <v>VS4</v>
      </c>
      <c r="G250" s="25" t="str">
        <f>VLOOKUP(A250,Main!A:J,10,0)</f>
        <v>7</v>
      </c>
      <c r="H250" s="42" t="b">
        <f t="shared" ref="H250:I250" si="249">F250=D250</f>
        <v>1</v>
      </c>
      <c r="I250" s="42" t="b">
        <f t="shared" si="249"/>
        <v>1</v>
      </c>
    </row>
    <row r="251">
      <c r="A251" s="11" t="s">
        <v>50</v>
      </c>
      <c r="B251" s="18" t="s">
        <v>311</v>
      </c>
      <c r="C251" s="18" t="s">
        <v>2189</v>
      </c>
      <c r="D251" s="18" t="s">
        <v>113</v>
      </c>
      <c r="E251" s="11" t="s">
        <v>1018</v>
      </c>
      <c r="F251" s="42" t="str">
        <f>VLOOKUP(A251,Main!A:J,9,0)</f>
        <v>VS4</v>
      </c>
      <c r="G251" s="25" t="str">
        <f>VLOOKUP(A251,Main!A:J,10,0)</f>
        <v>7</v>
      </c>
      <c r="H251" s="42" t="b">
        <f t="shared" ref="H251:I251" si="250">F251=D251</f>
        <v>1</v>
      </c>
      <c r="I251" s="42" t="b">
        <f t="shared" si="250"/>
        <v>1</v>
      </c>
    </row>
    <row r="252">
      <c r="A252" s="11" t="s">
        <v>442</v>
      </c>
      <c r="B252" s="18" t="s">
        <v>311</v>
      </c>
      <c r="C252" s="18" t="s">
        <v>2189</v>
      </c>
      <c r="D252" s="18" t="s">
        <v>113</v>
      </c>
      <c r="E252" s="11" t="s">
        <v>1018</v>
      </c>
      <c r="F252" s="42" t="str">
        <f>VLOOKUP(A252,Main!A:J,9,0)</f>
        <v>VS4</v>
      </c>
      <c r="G252" s="25" t="str">
        <f>VLOOKUP(A252,Main!A:J,10,0)</f>
        <v>7</v>
      </c>
      <c r="H252" s="42" t="b">
        <f t="shared" ref="H252:I252" si="251">F252=D252</f>
        <v>1</v>
      </c>
      <c r="I252" s="42" t="b">
        <f t="shared" si="251"/>
        <v>1</v>
      </c>
    </row>
    <row r="253">
      <c r="A253" s="11" t="s">
        <v>478</v>
      </c>
      <c r="B253" s="18" t="s">
        <v>311</v>
      </c>
      <c r="C253" s="18" t="s">
        <v>2189</v>
      </c>
      <c r="D253" s="18" t="s">
        <v>113</v>
      </c>
      <c r="E253" s="11" t="s">
        <v>1018</v>
      </c>
      <c r="F253" s="42" t="str">
        <f>VLOOKUP(A253,Main!A:J,9,0)</f>
        <v>VS4</v>
      </c>
      <c r="G253" s="25" t="str">
        <f>VLOOKUP(A253,Main!A:J,10,0)</f>
        <v>7</v>
      </c>
      <c r="H253" s="42" t="b">
        <f t="shared" ref="H253:I253" si="252">F253=D253</f>
        <v>1</v>
      </c>
      <c r="I253" s="42" t="b">
        <f t="shared" si="252"/>
        <v>1</v>
      </c>
    </row>
    <row r="254">
      <c r="A254" s="11" t="s">
        <v>380</v>
      </c>
      <c r="B254" s="18" t="s">
        <v>311</v>
      </c>
      <c r="C254" s="18" t="s">
        <v>2189</v>
      </c>
      <c r="D254" s="18" t="s">
        <v>113</v>
      </c>
      <c r="E254" s="11" t="s">
        <v>1018</v>
      </c>
      <c r="F254" s="42" t="str">
        <f>VLOOKUP(A254,Main!A:J,9,0)</f>
        <v>VS29</v>
      </c>
      <c r="G254" s="25" t="str">
        <f>VLOOKUP(A254,Main!A:J,10,0)</f>
        <v>7</v>
      </c>
      <c r="H254" s="42" t="b">
        <f t="shared" ref="H254:I254" si="253">F254=D254</f>
        <v>0</v>
      </c>
      <c r="I254" s="42" t="b">
        <f t="shared" si="253"/>
        <v>1</v>
      </c>
    </row>
    <row r="255">
      <c r="A255" s="11" t="s">
        <v>391</v>
      </c>
      <c r="B255" s="18" t="s">
        <v>311</v>
      </c>
      <c r="C255" s="18" t="s">
        <v>2189</v>
      </c>
      <c r="D255" s="18" t="s">
        <v>113</v>
      </c>
      <c r="E255" s="11" t="s">
        <v>1018</v>
      </c>
      <c r="F255" s="42" t="str">
        <f>VLOOKUP(A255,Main!A:J,9,0)</f>
        <v>VS4</v>
      </c>
      <c r="G255" s="25" t="str">
        <f>VLOOKUP(A255,Main!A:J,10,0)</f>
        <v>7</v>
      </c>
      <c r="H255" s="42" t="b">
        <f t="shared" ref="H255:I255" si="254">F255=D255</f>
        <v>1</v>
      </c>
      <c r="I255" s="42" t="b">
        <f t="shared" si="254"/>
        <v>1</v>
      </c>
    </row>
    <row r="256">
      <c r="A256" s="11" t="s">
        <v>429</v>
      </c>
      <c r="B256" s="18" t="s">
        <v>311</v>
      </c>
      <c r="C256" s="18" t="s">
        <v>2189</v>
      </c>
      <c r="D256" s="18" t="s">
        <v>113</v>
      </c>
      <c r="E256" s="11" t="s">
        <v>1018</v>
      </c>
      <c r="F256" s="42" t="str">
        <f>VLOOKUP(A256,Main!A:J,9,0)</f>
        <v>VS4</v>
      </c>
      <c r="G256" s="25" t="str">
        <f>VLOOKUP(A256,Main!A:J,10,0)</f>
        <v>7</v>
      </c>
      <c r="H256" s="42" t="b">
        <f t="shared" ref="H256:I256" si="255">F256=D256</f>
        <v>1</v>
      </c>
      <c r="I256" s="42" t="b">
        <f t="shared" si="255"/>
        <v>1</v>
      </c>
    </row>
    <row r="257">
      <c r="A257" s="11" t="s">
        <v>466</v>
      </c>
      <c r="B257" s="18" t="s">
        <v>311</v>
      </c>
      <c r="C257" s="18" t="s">
        <v>2189</v>
      </c>
      <c r="D257" s="18" t="s">
        <v>113</v>
      </c>
      <c r="E257" s="11" t="s">
        <v>1018</v>
      </c>
      <c r="F257" s="42" t="str">
        <f>VLOOKUP(A257,Main!A:J,9,0)</f>
        <v>VS4</v>
      </c>
      <c r="G257" s="25" t="str">
        <f>VLOOKUP(A257,Main!A:J,10,0)</f>
        <v>7</v>
      </c>
      <c r="H257" s="42" t="b">
        <f t="shared" ref="H257:I257" si="256">F257=D257</f>
        <v>1</v>
      </c>
      <c r="I257" s="42" t="b">
        <f t="shared" si="256"/>
        <v>1</v>
      </c>
    </row>
    <row r="258">
      <c r="A258" s="11" t="s">
        <v>95</v>
      </c>
      <c r="B258" s="18" t="s">
        <v>311</v>
      </c>
      <c r="C258" s="18" t="s">
        <v>2189</v>
      </c>
      <c r="D258" s="18" t="s">
        <v>113</v>
      </c>
      <c r="E258" s="11" t="s">
        <v>1018</v>
      </c>
      <c r="F258" s="42" t="str">
        <f>VLOOKUP(A258,Main!A:J,9,0)</f>
        <v>VS4</v>
      </c>
      <c r="G258" s="25" t="str">
        <f>VLOOKUP(A258,Main!A:J,10,0)</f>
        <v>7</v>
      </c>
      <c r="H258" s="42" t="b">
        <f t="shared" ref="H258:I258" si="257">F258=D258</f>
        <v>1</v>
      </c>
      <c r="I258" s="42" t="b">
        <f t="shared" si="257"/>
        <v>1</v>
      </c>
    </row>
    <row r="259">
      <c r="A259" s="11" t="s">
        <v>361</v>
      </c>
      <c r="B259" s="18" t="s">
        <v>311</v>
      </c>
      <c r="C259" s="18" t="s">
        <v>2189</v>
      </c>
      <c r="D259" s="18" t="s">
        <v>113</v>
      </c>
      <c r="E259" s="11" t="s">
        <v>1018</v>
      </c>
      <c r="F259" s="42" t="str">
        <f>VLOOKUP(A259,Main!A:J,9,0)</f>
        <v>VS4</v>
      </c>
      <c r="G259" s="25" t="str">
        <f>VLOOKUP(A259,Main!A:J,10,0)</f>
        <v>7</v>
      </c>
      <c r="H259" s="42" t="b">
        <f t="shared" ref="H259:I259" si="258">F259=D259</f>
        <v>1</v>
      </c>
      <c r="I259" s="42" t="b">
        <f t="shared" si="258"/>
        <v>1</v>
      </c>
    </row>
    <row r="260">
      <c r="A260" s="11" t="s">
        <v>444</v>
      </c>
      <c r="B260" s="18" t="s">
        <v>311</v>
      </c>
      <c r="C260" s="18" t="s">
        <v>2189</v>
      </c>
      <c r="D260" s="18" t="s">
        <v>113</v>
      </c>
      <c r="E260" s="11" t="s">
        <v>1018</v>
      </c>
      <c r="F260" s="42" t="str">
        <f>VLOOKUP(A260,Main!A:J,9,0)</f>
        <v>VS4</v>
      </c>
      <c r="G260" s="25" t="str">
        <f>VLOOKUP(A260,Main!A:J,10,0)</f>
        <v>7</v>
      </c>
      <c r="H260" s="42" t="b">
        <f t="shared" ref="H260:I260" si="259">F260=D260</f>
        <v>1</v>
      </c>
      <c r="I260" s="42" t="b">
        <f t="shared" si="259"/>
        <v>1</v>
      </c>
    </row>
    <row r="261">
      <c r="A261" s="11" t="s">
        <v>428</v>
      </c>
      <c r="B261" s="18" t="s">
        <v>311</v>
      </c>
      <c r="C261" s="18" t="s">
        <v>2189</v>
      </c>
      <c r="D261" s="18" t="s">
        <v>113</v>
      </c>
      <c r="E261" s="11" t="s">
        <v>1018</v>
      </c>
      <c r="F261" s="42" t="str">
        <f>VLOOKUP(A261,Main!A:J,9,0)</f>
        <v>VS4</v>
      </c>
      <c r="G261" s="25" t="str">
        <f>VLOOKUP(A261,Main!A:J,10,0)</f>
        <v>7</v>
      </c>
      <c r="H261" s="42" t="b">
        <f t="shared" ref="H261:I261" si="260">F261=D261</f>
        <v>1</v>
      </c>
      <c r="I261" s="42" t="b">
        <f t="shared" si="260"/>
        <v>1</v>
      </c>
    </row>
    <row r="262">
      <c r="A262" s="11" t="s">
        <v>399</v>
      </c>
      <c r="B262" s="18" t="s">
        <v>311</v>
      </c>
      <c r="C262" s="18" t="s">
        <v>2189</v>
      </c>
      <c r="D262" s="18" t="s">
        <v>113</v>
      </c>
      <c r="E262" s="11" t="s">
        <v>1018</v>
      </c>
      <c r="F262" s="42" t="str">
        <f>VLOOKUP(A262,Main!A:J,9,0)</f>
        <v>VS4</v>
      </c>
      <c r="G262" s="25" t="str">
        <f>VLOOKUP(A262,Main!A:J,10,0)</f>
        <v>7</v>
      </c>
      <c r="H262" s="42" t="b">
        <f t="shared" ref="H262:I262" si="261">F262=D262</f>
        <v>1</v>
      </c>
      <c r="I262" s="42" t="b">
        <f t="shared" si="261"/>
        <v>1</v>
      </c>
    </row>
    <row r="263">
      <c r="A263" s="11" t="s">
        <v>410</v>
      </c>
      <c r="B263" s="18" t="s">
        <v>311</v>
      </c>
      <c r="C263" s="18" t="s">
        <v>2189</v>
      </c>
      <c r="D263" s="18" t="s">
        <v>113</v>
      </c>
      <c r="E263" s="11" t="s">
        <v>1018</v>
      </c>
      <c r="F263" s="42" t="str">
        <f>VLOOKUP(A263,Main!A:J,9,0)</f>
        <v>VS4</v>
      </c>
      <c r="G263" s="25" t="str">
        <f>VLOOKUP(A263,Main!A:J,10,0)</f>
        <v>7</v>
      </c>
      <c r="H263" s="42" t="b">
        <f t="shared" ref="H263:I263" si="262">F263=D263</f>
        <v>1</v>
      </c>
      <c r="I263" s="42" t="b">
        <f t="shared" si="262"/>
        <v>1</v>
      </c>
    </row>
    <row r="264">
      <c r="A264" s="11" t="s">
        <v>464</v>
      </c>
      <c r="B264" s="18" t="s">
        <v>311</v>
      </c>
      <c r="C264" s="18" t="s">
        <v>2189</v>
      </c>
      <c r="D264" s="18" t="s">
        <v>113</v>
      </c>
      <c r="E264" s="11" t="s">
        <v>1018</v>
      </c>
      <c r="F264" s="42" t="str">
        <f>VLOOKUP(A264,Main!A:J,9,0)</f>
        <v>VS4</v>
      </c>
      <c r="G264" s="25" t="str">
        <f>VLOOKUP(A264,Main!A:J,10,0)</f>
        <v>7</v>
      </c>
      <c r="H264" s="42" t="b">
        <f t="shared" ref="H264:I264" si="263">F264=D264</f>
        <v>1</v>
      </c>
      <c r="I264" s="42" t="b">
        <f t="shared" si="263"/>
        <v>1</v>
      </c>
    </row>
    <row r="265">
      <c r="A265" s="11" t="s">
        <v>498</v>
      </c>
      <c r="B265" s="18" t="s">
        <v>311</v>
      </c>
      <c r="C265" s="18" t="s">
        <v>2189</v>
      </c>
      <c r="D265" s="18" t="s">
        <v>113</v>
      </c>
      <c r="E265" s="11" t="s">
        <v>1018</v>
      </c>
      <c r="F265" s="42" t="str">
        <f>VLOOKUP(A265,Main!A:J,9,0)</f>
        <v>VS4</v>
      </c>
      <c r="G265" s="25" t="str">
        <f>VLOOKUP(A265,Main!A:J,10,0)</f>
        <v>7</v>
      </c>
      <c r="H265" s="42" t="b">
        <f t="shared" ref="H265:I265" si="264">F265=D265</f>
        <v>1</v>
      </c>
      <c r="I265" s="42" t="b">
        <f t="shared" si="264"/>
        <v>1</v>
      </c>
    </row>
    <row r="266">
      <c r="A266" s="11" t="s">
        <v>569</v>
      </c>
      <c r="B266" s="18" t="s">
        <v>311</v>
      </c>
      <c r="C266" s="18" t="s">
        <v>2189</v>
      </c>
      <c r="D266" s="18" t="s">
        <v>113</v>
      </c>
      <c r="E266" s="11" t="s">
        <v>1018</v>
      </c>
      <c r="F266" s="42" t="str">
        <f>VLOOKUP(A266,Main!A:J,9,0)</f>
        <v>VS4</v>
      </c>
      <c r="G266" s="25" t="str">
        <f>VLOOKUP(A266,Main!A:J,10,0)</f>
        <v>7</v>
      </c>
      <c r="H266" s="42" t="b">
        <f t="shared" ref="H266:I266" si="265">F266=D266</f>
        <v>1</v>
      </c>
      <c r="I266" s="42" t="b">
        <f t="shared" si="265"/>
        <v>1</v>
      </c>
    </row>
    <row r="267">
      <c r="A267" s="11" t="s">
        <v>228</v>
      </c>
      <c r="B267" s="18" t="s">
        <v>1251</v>
      </c>
      <c r="C267" s="42"/>
      <c r="D267" s="18" t="s">
        <v>113</v>
      </c>
      <c r="E267" s="11" t="s">
        <v>1018</v>
      </c>
      <c r="F267" s="42" t="str">
        <f>VLOOKUP(A267,Main!A:J,9,0)</f>
        <v>VS4</v>
      </c>
      <c r="G267" s="25" t="str">
        <f>VLOOKUP(A267,Main!A:J,10,0)</f>
        <v>7</v>
      </c>
      <c r="H267" s="42" t="b">
        <f t="shared" ref="H267:I267" si="266">F267=D267</f>
        <v>1</v>
      </c>
      <c r="I267" s="42" t="b">
        <f t="shared" si="266"/>
        <v>1</v>
      </c>
    </row>
    <row r="268">
      <c r="A268" s="11" t="s">
        <v>227</v>
      </c>
      <c r="B268" s="18" t="s">
        <v>1251</v>
      </c>
      <c r="C268" s="42"/>
      <c r="D268" s="18" t="s">
        <v>113</v>
      </c>
      <c r="E268" s="11" t="s">
        <v>1018</v>
      </c>
      <c r="F268" s="42" t="str">
        <f>VLOOKUP(A268,Main!A:J,9,0)</f>
        <v>VS4</v>
      </c>
      <c r="G268" s="25" t="str">
        <f>VLOOKUP(A268,Main!A:J,10,0)</f>
        <v>7</v>
      </c>
      <c r="H268" s="42" t="b">
        <f t="shared" ref="H268:I268" si="267">F268=D268</f>
        <v>1</v>
      </c>
      <c r="I268" s="42" t="b">
        <f t="shared" si="267"/>
        <v>1</v>
      </c>
    </row>
    <row r="269">
      <c r="A269" s="11" t="s">
        <v>225</v>
      </c>
      <c r="B269" s="18" t="s">
        <v>1251</v>
      </c>
      <c r="C269" s="42"/>
      <c r="D269" s="18" t="s">
        <v>113</v>
      </c>
      <c r="E269" s="11" t="s">
        <v>1018</v>
      </c>
      <c r="F269" s="42" t="str">
        <f>VLOOKUP(A269,Main!A:J,9,0)</f>
        <v>VS4</v>
      </c>
      <c r="G269" s="25" t="str">
        <f>VLOOKUP(A269,Main!A:J,10,0)</f>
        <v>7</v>
      </c>
      <c r="H269" s="42" t="b">
        <f t="shared" ref="H269:I269" si="268">F269=D269</f>
        <v>1</v>
      </c>
      <c r="I269" s="42" t="b">
        <f t="shared" si="268"/>
        <v>1</v>
      </c>
    </row>
    <row r="270">
      <c r="A270" s="11" t="s">
        <v>1327</v>
      </c>
      <c r="B270" s="18" t="s">
        <v>297</v>
      </c>
      <c r="C270" s="42"/>
      <c r="D270" s="18" t="s">
        <v>140</v>
      </c>
      <c r="E270" s="11" t="s">
        <v>77</v>
      </c>
      <c r="F270" s="42" t="str">
        <f>VLOOKUP(A270,Main!A:J,9,0)</f>
        <v>VS6</v>
      </c>
      <c r="G270" s="25" t="str">
        <f>VLOOKUP(A270,Main!A:J,10,0)</f>
        <v>1</v>
      </c>
      <c r="H270" s="42" t="b">
        <f t="shared" ref="H270:I270" si="269">F270=D270</f>
        <v>1</v>
      </c>
      <c r="I270" s="42" t="b">
        <f t="shared" si="269"/>
        <v>1</v>
      </c>
    </row>
    <row r="271">
      <c r="A271" s="11" t="s">
        <v>216</v>
      </c>
      <c r="B271" s="18" t="s">
        <v>311</v>
      </c>
      <c r="C271" s="18" t="s">
        <v>1984</v>
      </c>
      <c r="D271" s="18" t="s">
        <v>140</v>
      </c>
      <c r="E271" s="11" t="s">
        <v>77</v>
      </c>
      <c r="F271" s="42" t="str">
        <f>VLOOKUP(A271,Main!A:J,9,0)</f>
        <v>VS6</v>
      </c>
      <c r="G271" s="25" t="str">
        <f>VLOOKUP(A271,Main!A:J,10,0)</f>
        <v>1</v>
      </c>
      <c r="H271" s="42" t="b">
        <f t="shared" ref="H271:I271" si="270">F271=D271</f>
        <v>1</v>
      </c>
      <c r="I271" s="42" t="b">
        <f t="shared" si="270"/>
        <v>1</v>
      </c>
    </row>
    <row r="272">
      <c r="A272" s="11" t="s">
        <v>1299</v>
      </c>
      <c r="B272" s="18" t="s">
        <v>311</v>
      </c>
      <c r="C272" s="18" t="s">
        <v>1984</v>
      </c>
      <c r="D272" s="18" t="s">
        <v>140</v>
      </c>
      <c r="E272" s="11" t="s">
        <v>77</v>
      </c>
      <c r="F272" s="42" t="str">
        <f>VLOOKUP(A272,Main!A:J,9,0)</f>
        <v>VS6</v>
      </c>
      <c r="G272" s="25" t="str">
        <f>VLOOKUP(A272,Main!A:J,10,0)</f>
        <v>1</v>
      </c>
      <c r="H272" s="42" t="b">
        <f t="shared" ref="H272:I272" si="271">F272=D272</f>
        <v>1</v>
      </c>
      <c r="I272" s="42" t="b">
        <f t="shared" si="271"/>
        <v>1</v>
      </c>
    </row>
    <row r="273">
      <c r="A273" s="11" t="s">
        <v>282</v>
      </c>
      <c r="B273" s="18" t="s">
        <v>311</v>
      </c>
      <c r="C273" s="18" t="s">
        <v>1984</v>
      </c>
      <c r="D273" s="18" t="s">
        <v>140</v>
      </c>
      <c r="E273" s="11" t="s">
        <v>77</v>
      </c>
      <c r="F273" s="42" t="str">
        <f>VLOOKUP(A273,Main!A:J,9,0)</f>
        <v>VS6</v>
      </c>
      <c r="G273" s="25" t="str">
        <f>VLOOKUP(A273,Main!A:J,10,0)</f>
        <v>1</v>
      </c>
      <c r="H273" s="42" t="b">
        <f t="shared" ref="H273:I273" si="272">F273=D273</f>
        <v>1</v>
      </c>
      <c r="I273" s="42" t="b">
        <f t="shared" si="272"/>
        <v>1</v>
      </c>
    </row>
    <row r="274">
      <c r="A274" s="11" t="s">
        <v>314</v>
      </c>
      <c r="B274" s="18" t="s">
        <v>311</v>
      </c>
      <c r="C274" s="18" t="s">
        <v>1984</v>
      </c>
      <c r="D274" s="18" t="s">
        <v>140</v>
      </c>
      <c r="E274" s="11" t="s">
        <v>77</v>
      </c>
      <c r="F274" s="42" t="str">
        <f>VLOOKUP(A274,Main!A:J,9,0)</f>
        <v>VS6</v>
      </c>
      <c r="G274" s="25" t="str">
        <f>VLOOKUP(A274,Main!A:J,10,0)</f>
        <v>1</v>
      </c>
      <c r="H274" s="42" t="b">
        <f t="shared" ref="H274:I274" si="273">F274=D274</f>
        <v>1</v>
      </c>
      <c r="I274" s="42" t="b">
        <f t="shared" si="273"/>
        <v>1</v>
      </c>
    </row>
    <row r="275">
      <c r="A275" s="11" t="s">
        <v>274</v>
      </c>
      <c r="B275" s="18" t="s">
        <v>311</v>
      </c>
      <c r="C275" s="18" t="s">
        <v>1984</v>
      </c>
      <c r="D275" s="18" t="s">
        <v>140</v>
      </c>
      <c r="E275" s="11" t="s">
        <v>77</v>
      </c>
      <c r="F275" s="42" t="str">
        <f>VLOOKUP(A275,Main!A:J,9,0)</f>
        <v>VS6</v>
      </c>
      <c r="G275" s="25" t="str">
        <f>VLOOKUP(A275,Main!A:J,10,0)</f>
        <v>1</v>
      </c>
      <c r="H275" s="42" t="b">
        <f t="shared" ref="H275:I275" si="274">F275=D275</f>
        <v>1</v>
      </c>
      <c r="I275" s="42" t="b">
        <f t="shared" si="274"/>
        <v>1</v>
      </c>
    </row>
    <row r="276">
      <c r="A276" s="11" t="s">
        <v>222</v>
      </c>
      <c r="B276" s="18" t="s">
        <v>311</v>
      </c>
      <c r="C276" s="18" t="s">
        <v>1984</v>
      </c>
      <c r="D276" s="18" t="s">
        <v>140</v>
      </c>
      <c r="E276" s="11" t="s">
        <v>77</v>
      </c>
      <c r="F276" s="42" t="str">
        <f>VLOOKUP(A276,Main!A:J,9,0)</f>
        <v>VS6</v>
      </c>
      <c r="G276" s="25" t="str">
        <f>VLOOKUP(A276,Main!A:J,10,0)</f>
        <v>1</v>
      </c>
      <c r="H276" s="42" t="b">
        <f t="shared" ref="H276:I276" si="275">F276=D276</f>
        <v>1</v>
      </c>
      <c r="I276" s="42" t="b">
        <f t="shared" si="275"/>
        <v>1</v>
      </c>
    </row>
    <row r="277">
      <c r="A277" s="11" t="s">
        <v>335</v>
      </c>
      <c r="B277" s="18" t="s">
        <v>311</v>
      </c>
      <c r="C277" s="18" t="s">
        <v>1984</v>
      </c>
      <c r="D277" s="18" t="s">
        <v>140</v>
      </c>
      <c r="E277" s="11" t="s">
        <v>77</v>
      </c>
      <c r="F277" s="42" t="str">
        <f>VLOOKUP(A277,Main!A:J,9,0)</f>
        <v>VS6</v>
      </c>
      <c r="G277" s="25" t="str">
        <f>VLOOKUP(A277,Main!A:J,10,0)</f>
        <v>1</v>
      </c>
      <c r="H277" s="42" t="b">
        <f t="shared" ref="H277:I277" si="276">F277=D277</f>
        <v>1</v>
      </c>
      <c r="I277" s="42" t="b">
        <f t="shared" si="276"/>
        <v>1</v>
      </c>
    </row>
    <row r="278">
      <c r="A278" s="11" t="s">
        <v>797</v>
      </c>
      <c r="B278" s="18" t="s">
        <v>311</v>
      </c>
      <c r="C278" s="18" t="s">
        <v>1984</v>
      </c>
      <c r="D278" s="18" t="s">
        <v>140</v>
      </c>
      <c r="E278" s="11" t="s">
        <v>77</v>
      </c>
      <c r="F278" s="42" t="str">
        <f>VLOOKUP(A278,Main!A:J,9,0)</f>
        <v>VS6</v>
      </c>
      <c r="G278" s="25" t="str">
        <f>VLOOKUP(A278,Main!A:J,10,0)</f>
        <v>1</v>
      </c>
      <c r="H278" s="42" t="b">
        <f t="shared" ref="H278:I278" si="277">F278=D278</f>
        <v>1</v>
      </c>
      <c r="I278" s="42" t="b">
        <f t="shared" si="277"/>
        <v>1</v>
      </c>
    </row>
    <row r="279">
      <c r="A279" s="11" t="s">
        <v>805</v>
      </c>
      <c r="B279" s="18" t="s">
        <v>311</v>
      </c>
      <c r="C279" s="18" t="s">
        <v>1984</v>
      </c>
      <c r="D279" s="18" t="s">
        <v>140</v>
      </c>
      <c r="E279" s="11" t="s">
        <v>77</v>
      </c>
      <c r="F279" s="42" t="str">
        <f>VLOOKUP(A279,Main!A:J,9,0)</f>
        <v>VS6</v>
      </c>
      <c r="G279" s="25" t="str">
        <f>VLOOKUP(A279,Main!A:J,10,0)</f>
        <v>1</v>
      </c>
      <c r="H279" s="42" t="b">
        <f t="shared" ref="H279:I279" si="278">F279=D279</f>
        <v>1</v>
      </c>
      <c r="I279" s="42" t="b">
        <f t="shared" si="278"/>
        <v>1</v>
      </c>
    </row>
    <row r="280">
      <c r="A280" s="11" t="s">
        <v>808</v>
      </c>
      <c r="B280" s="18" t="s">
        <v>311</v>
      </c>
      <c r="C280" s="18" t="s">
        <v>1984</v>
      </c>
      <c r="D280" s="18" t="s">
        <v>140</v>
      </c>
      <c r="E280" s="11" t="s">
        <v>77</v>
      </c>
      <c r="F280" s="42" t="str">
        <f>VLOOKUP(A280,Main!A:J,9,0)</f>
        <v>VS6</v>
      </c>
      <c r="G280" s="25" t="str">
        <f>VLOOKUP(A280,Main!A:J,10,0)</f>
        <v>1</v>
      </c>
      <c r="H280" s="42" t="b">
        <f t="shared" ref="H280:I280" si="279">F280=D280</f>
        <v>1</v>
      </c>
      <c r="I280" s="42" t="b">
        <f t="shared" si="279"/>
        <v>1</v>
      </c>
    </row>
    <row r="281">
      <c r="A281" s="11" t="s">
        <v>1245</v>
      </c>
      <c r="B281" s="18" t="s">
        <v>311</v>
      </c>
      <c r="C281" s="18" t="s">
        <v>1984</v>
      </c>
      <c r="D281" s="18" t="s">
        <v>140</v>
      </c>
      <c r="E281" s="11" t="s">
        <v>77</v>
      </c>
      <c r="F281" s="42" t="str">
        <f>VLOOKUP(A281,Main!A:J,9,0)</f>
        <v>VS6</v>
      </c>
      <c r="G281" s="25" t="str">
        <f>VLOOKUP(A281,Main!A:J,10,0)</f>
        <v>1</v>
      </c>
      <c r="H281" s="42" t="b">
        <f t="shared" ref="H281:I281" si="280">F281=D281</f>
        <v>1</v>
      </c>
      <c r="I281" s="42" t="b">
        <f t="shared" si="280"/>
        <v>1</v>
      </c>
    </row>
    <row r="282">
      <c r="A282" s="11" t="s">
        <v>810</v>
      </c>
      <c r="B282" s="18" t="s">
        <v>311</v>
      </c>
      <c r="C282" s="18" t="s">
        <v>1984</v>
      </c>
      <c r="D282" s="18" t="s">
        <v>140</v>
      </c>
      <c r="E282" s="11" t="s">
        <v>77</v>
      </c>
      <c r="F282" s="42" t="str">
        <f>VLOOKUP(A282,Main!A:J,9,0)</f>
        <v>VS6</v>
      </c>
      <c r="G282" s="25" t="str">
        <f>VLOOKUP(A282,Main!A:J,10,0)</f>
        <v>1</v>
      </c>
      <c r="H282" s="42" t="b">
        <f t="shared" ref="H282:I282" si="281">F282=D282</f>
        <v>1</v>
      </c>
      <c r="I282" s="42" t="b">
        <f t="shared" si="281"/>
        <v>1</v>
      </c>
    </row>
    <row r="283">
      <c r="A283" s="11" t="s">
        <v>815</v>
      </c>
      <c r="B283" s="18" t="s">
        <v>311</v>
      </c>
      <c r="C283" s="18" t="s">
        <v>1984</v>
      </c>
      <c r="D283" s="18" t="s">
        <v>140</v>
      </c>
      <c r="E283" s="11" t="s">
        <v>77</v>
      </c>
      <c r="F283" s="42" t="str">
        <f>VLOOKUP(A283,Main!A:J,9,0)</f>
        <v>VS6</v>
      </c>
      <c r="G283" s="25" t="str">
        <f>VLOOKUP(A283,Main!A:J,10,0)</f>
        <v>1</v>
      </c>
      <c r="H283" s="42" t="b">
        <f t="shared" ref="H283:I283" si="282">F283=D283</f>
        <v>1</v>
      </c>
      <c r="I283" s="42" t="b">
        <f t="shared" si="282"/>
        <v>1</v>
      </c>
    </row>
    <row r="284">
      <c r="A284" s="11" t="s">
        <v>818</v>
      </c>
      <c r="B284" s="18" t="s">
        <v>311</v>
      </c>
      <c r="C284" s="18" t="s">
        <v>1984</v>
      </c>
      <c r="D284" s="18" t="s">
        <v>140</v>
      </c>
      <c r="E284" s="11" t="s">
        <v>77</v>
      </c>
      <c r="F284" s="42" t="str">
        <f>VLOOKUP(A284,Main!A:J,9,0)</f>
        <v>VS6</v>
      </c>
      <c r="G284" s="25" t="str">
        <f>VLOOKUP(A284,Main!A:J,10,0)</f>
        <v>1</v>
      </c>
      <c r="H284" s="42" t="b">
        <f t="shared" ref="H284:I284" si="283">F284=D284</f>
        <v>1</v>
      </c>
      <c r="I284" s="42" t="b">
        <f t="shared" si="283"/>
        <v>1</v>
      </c>
    </row>
    <row r="285">
      <c r="A285" s="11" t="s">
        <v>2669</v>
      </c>
      <c r="B285" s="18" t="s">
        <v>311</v>
      </c>
      <c r="C285" s="18" t="s">
        <v>1984</v>
      </c>
      <c r="D285" s="18" t="s">
        <v>140</v>
      </c>
      <c r="E285" s="11" t="s">
        <v>77</v>
      </c>
      <c r="F285" s="42" t="str">
        <f>VLOOKUP(A285,Main!A:J,9,0)</f>
        <v>VS27</v>
      </c>
      <c r="G285" s="25" t="str">
        <f>VLOOKUP(A285,Main!A:J,10,0)</f>
        <v>1</v>
      </c>
      <c r="H285" s="42" t="b">
        <f t="shared" ref="H285:I285" si="284">F285=D285</f>
        <v>0</v>
      </c>
      <c r="I285" s="42" t="b">
        <f t="shared" si="284"/>
        <v>1</v>
      </c>
    </row>
    <row r="286">
      <c r="A286" s="11" t="s">
        <v>321</v>
      </c>
      <c r="B286" s="18" t="s">
        <v>311</v>
      </c>
      <c r="C286" s="18" t="s">
        <v>1984</v>
      </c>
      <c r="D286" s="18" t="s">
        <v>140</v>
      </c>
      <c r="E286" s="11" t="s">
        <v>77</v>
      </c>
      <c r="F286" s="42" t="str">
        <f>VLOOKUP(A286,Main!A:J,9,0)</f>
        <v>VS6</v>
      </c>
      <c r="G286" s="25" t="str">
        <f>VLOOKUP(A286,Main!A:J,10,0)</f>
        <v>1</v>
      </c>
      <c r="H286" s="42" t="b">
        <f t="shared" ref="H286:I286" si="285">F286=D286</f>
        <v>1</v>
      </c>
      <c r="I286" s="42" t="b">
        <f t="shared" si="285"/>
        <v>1</v>
      </c>
    </row>
    <row r="287">
      <c r="A287" s="11" t="s">
        <v>477</v>
      </c>
      <c r="B287" s="18" t="s">
        <v>311</v>
      </c>
      <c r="C287" s="18" t="s">
        <v>1984</v>
      </c>
      <c r="D287" s="18" t="s">
        <v>140</v>
      </c>
      <c r="E287" s="11" t="s">
        <v>77</v>
      </c>
      <c r="F287" s="42" t="str">
        <f>VLOOKUP(A287,Main!A:J,9,0)</f>
        <v>VS6</v>
      </c>
      <c r="G287" s="25" t="str">
        <f>VLOOKUP(A287,Main!A:J,10,0)</f>
        <v>1</v>
      </c>
      <c r="H287" s="42" t="b">
        <f t="shared" ref="H287:I287" si="286">F287=D287</f>
        <v>1</v>
      </c>
      <c r="I287" s="42" t="b">
        <f t="shared" si="286"/>
        <v>1</v>
      </c>
    </row>
    <row r="288">
      <c r="A288" s="11" t="s">
        <v>516</v>
      </c>
      <c r="B288" s="18" t="s">
        <v>311</v>
      </c>
      <c r="C288" s="18" t="s">
        <v>1984</v>
      </c>
      <c r="D288" s="18" t="s">
        <v>140</v>
      </c>
      <c r="E288" s="11" t="s">
        <v>77</v>
      </c>
      <c r="F288" s="42" t="str">
        <f>VLOOKUP(A288,Main!A:J,9,0)</f>
        <v>VS6</v>
      </c>
      <c r="G288" s="25" t="str">
        <f>VLOOKUP(A288,Main!A:J,10,0)</f>
        <v>1</v>
      </c>
      <c r="H288" s="42" t="b">
        <f t="shared" ref="H288:I288" si="287">F288=D288</f>
        <v>1</v>
      </c>
      <c r="I288" s="42" t="b">
        <f t="shared" si="287"/>
        <v>1</v>
      </c>
    </row>
    <row r="289">
      <c r="A289" s="11" t="s">
        <v>526</v>
      </c>
      <c r="B289" s="18" t="s">
        <v>311</v>
      </c>
      <c r="C289" s="18" t="s">
        <v>1984</v>
      </c>
      <c r="D289" s="18" t="s">
        <v>140</v>
      </c>
      <c r="E289" s="11" t="s">
        <v>77</v>
      </c>
      <c r="F289" s="42" t="str">
        <f>VLOOKUP(A289,Main!A:J,9,0)</f>
        <v>VS6</v>
      </c>
      <c r="G289" s="25" t="str">
        <f>VLOOKUP(A289,Main!A:J,10,0)</f>
        <v>1</v>
      </c>
      <c r="H289" s="42" t="b">
        <f t="shared" ref="H289:I289" si="288">F289=D289</f>
        <v>1</v>
      </c>
      <c r="I289" s="42" t="b">
        <f t="shared" si="288"/>
        <v>1</v>
      </c>
    </row>
    <row r="290">
      <c r="A290" s="11" t="s">
        <v>2655</v>
      </c>
      <c r="B290" s="18" t="s">
        <v>311</v>
      </c>
      <c r="C290" s="18" t="s">
        <v>1984</v>
      </c>
      <c r="D290" s="18" t="s">
        <v>140</v>
      </c>
      <c r="E290" s="11" t="s">
        <v>77</v>
      </c>
      <c r="F290" s="42" t="str">
        <f>VLOOKUP(A290,Main!A:J,9,0)</f>
        <v>VS29</v>
      </c>
      <c r="G290" s="25" t="str">
        <f>VLOOKUP(A290,Main!A:J,10,0)</f>
        <v>7</v>
      </c>
      <c r="H290" s="42" t="b">
        <f t="shared" ref="H290:I290" si="289">F290=D290</f>
        <v>0</v>
      </c>
      <c r="I290" s="42" t="b">
        <f t="shared" si="289"/>
        <v>0</v>
      </c>
    </row>
    <row r="291">
      <c r="A291" s="11" t="s">
        <v>2711</v>
      </c>
      <c r="B291" s="18" t="s">
        <v>1251</v>
      </c>
      <c r="C291" s="42"/>
      <c r="D291" s="18" t="s">
        <v>140</v>
      </c>
      <c r="E291" s="11" t="s">
        <v>77</v>
      </c>
      <c r="F291" s="42" t="str">
        <f>VLOOKUP(A291,Main!A:J,9,0)</f>
        <v>VS6</v>
      </c>
      <c r="G291" s="25" t="str">
        <f>VLOOKUP(A291,Main!A:J,10,0)</f>
        <v>1</v>
      </c>
      <c r="H291" s="42" t="b">
        <f t="shared" ref="H291:I291" si="290">F291=D291</f>
        <v>1</v>
      </c>
      <c r="I291" s="42" t="b">
        <f t="shared" si="290"/>
        <v>1</v>
      </c>
    </row>
    <row r="292">
      <c r="A292" s="11" t="s">
        <v>1033</v>
      </c>
      <c r="B292" s="18" t="s">
        <v>85</v>
      </c>
      <c r="C292" s="42"/>
      <c r="D292" s="18" t="s">
        <v>140</v>
      </c>
      <c r="E292" s="11" t="s">
        <v>77</v>
      </c>
      <c r="F292" s="42" t="str">
        <f>VLOOKUP(A292,Main!A:J,9,0)</f>
        <v>NOT RUNNING</v>
      </c>
      <c r="G292" s="25" t="str">
        <f>VLOOKUP(A292,Main!A:J,10,0)</f>
        <v>1</v>
      </c>
      <c r="H292" s="42" t="b">
        <f t="shared" ref="H292:I292" si="291">F292=D292</f>
        <v>0</v>
      </c>
      <c r="I292" s="42" t="b">
        <f t="shared" si="291"/>
        <v>1</v>
      </c>
    </row>
    <row r="293">
      <c r="A293" s="11" t="s">
        <v>2295</v>
      </c>
      <c r="B293" s="18" t="s">
        <v>85</v>
      </c>
      <c r="C293" s="42"/>
      <c r="D293" s="18" t="s">
        <v>140</v>
      </c>
      <c r="E293" s="11" t="s">
        <v>77</v>
      </c>
      <c r="F293" s="42" t="str">
        <f>VLOOKUP(A293,Main!A:J,9,0)</f>
        <v>VS6</v>
      </c>
      <c r="G293" s="25" t="str">
        <f>VLOOKUP(A293,Main!A:J,10,0)</f>
        <v>1</v>
      </c>
      <c r="H293" s="42" t="b">
        <f t="shared" ref="H293:I293" si="292">F293=D293</f>
        <v>1</v>
      </c>
      <c r="I293" s="42" t="b">
        <f t="shared" si="292"/>
        <v>1</v>
      </c>
    </row>
    <row r="294">
      <c r="A294" s="11" t="s">
        <v>141</v>
      </c>
      <c r="B294" s="18" t="s">
        <v>2304</v>
      </c>
      <c r="C294" s="42"/>
      <c r="D294" s="18" t="s">
        <v>140</v>
      </c>
      <c r="E294" s="11" t="s">
        <v>77</v>
      </c>
      <c r="F294" s="42" t="str">
        <f>VLOOKUP(A294,Main!A:J,9,0)</f>
        <v>VS6</v>
      </c>
      <c r="G294" s="25" t="str">
        <f>VLOOKUP(A294,Main!A:J,10,0)</f>
        <v>1</v>
      </c>
      <c r="H294" s="42" t="b">
        <f t="shared" ref="H294:I294" si="293">F294=D294</f>
        <v>1</v>
      </c>
      <c r="I294" s="42" t="b">
        <f t="shared" si="293"/>
        <v>1</v>
      </c>
    </row>
    <row r="295">
      <c r="A295" s="11" t="s">
        <v>563</v>
      </c>
      <c r="B295" s="18" t="s">
        <v>1283</v>
      </c>
      <c r="C295" s="42"/>
      <c r="D295" s="18" t="s">
        <v>140</v>
      </c>
      <c r="E295" s="11" t="s">
        <v>77</v>
      </c>
      <c r="F295" s="42" t="str">
        <f>VLOOKUP(A295,Main!A:J,9,0)</f>
        <v>VS6</v>
      </c>
      <c r="G295" s="25" t="str">
        <f>VLOOKUP(A295,Main!A:J,10,0)</f>
        <v>1</v>
      </c>
      <c r="H295" s="42" t="b">
        <f t="shared" ref="H295:I295" si="294">F295=D295</f>
        <v>1</v>
      </c>
      <c r="I295" s="42" t="b">
        <f t="shared" si="294"/>
        <v>1</v>
      </c>
    </row>
    <row r="296">
      <c r="A296" s="11" t="s">
        <v>234</v>
      </c>
      <c r="B296" s="18" t="s">
        <v>3889</v>
      </c>
      <c r="C296" s="42"/>
      <c r="D296" s="18" t="s">
        <v>75</v>
      </c>
      <c r="E296" s="11" t="s">
        <v>1018</v>
      </c>
      <c r="F296" s="42" t="str">
        <f>VLOOKUP(A296,Main!A:J,9,0)</f>
        <v>VS4</v>
      </c>
      <c r="G296" s="25" t="str">
        <f>VLOOKUP(A296,Main!A:J,10,0)</f>
        <v>7</v>
      </c>
      <c r="H296" s="42" t="b">
        <f t="shared" ref="H296:I296" si="295">F296=D296</f>
        <v>0</v>
      </c>
      <c r="I296" s="42" t="b">
        <f t="shared" si="295"/>
        <v>1</v>
      </c>
    </row>
    <row r="297">
      <c r="A297" s="11" t="s">
        <v>2388</v>
      </c>
      <c r="B297" s="18" t="s">
        <v>716</v>
      </c>
      <c r="C297" s="42"/>
      <c r="D297" s="18" t="s">
        <v>75</v>
      </c>
      <c r="E297" s="11" t="s">
        <v>1018</v>
      </c>
      <c r="F297" s="42" t="str">
        <f>VLOOKUP(A297,Main!A:J,9,0)</f>
        <v>VS7</v>
      </c>
      <c r="G297" s="25" t="str">
        <f>VLOOKUP(A297,Main!A:J,10,0)</f>
        <v>7</v>
      </c>
      <c r="H297" s="42" t="b">
        <f t="shared" ref="H297:I297" si="296">F297=D297</f>
        <v>1</v>
      </c>
      <c r="I297" s="42" t="b">
        <f t="shared" si="296"/>
        <v>1</v>
      </c>
    </row>
    <row r="298">
      <c r="A298" s="11" t="s">
        <v>2590</v>
      </c>
      <c r="B298" s="18" t="s">
        <v>716</v>
      </c>
      <c r="C298" s="42"/>
      <c r="D298" s="18" t="s">
        <v>75</v>
      </c>
      <c r="E298" s="11" t="s">
        <v>1018</v>
      </c>
      <c r="F298" s="42" t="str">
        <f>VLOOKUP(A298,Main!A:J,9,0)</f>
        <v>VS7</v>
      </c>
      <c r="G298" s="25" t="str">
        <f>VLOOKUP(A298,Main!A:J,10,0)</f>
        <v>7</v>
      </c>
      <c r="H298" s="42" t="b">
        <f t="shared" ref="H298:I298" si="297">F298=D298</f>
        <v>1</v>
      </c>
      <c r="I298" s="42" t="b">
        <f t="shared" si="297"/>
        <v>1</v>
      </c>
    </row>
    <row r="299">
      <c r="A299" s="11" t="s">
        <v>2545</v>
      </c>
      <c r="B299" s="18" t="s">
        <v>716</v>
      </c>
      <c r="C299" s="42"/>
      <c r="D299" s="18" t="s">
        <v>75</v>
      </c>
      <c r="E299" s="11" t="s">
        <v>1018</v>
      </c>
      <c r="F299" s="42" t="str">
        <f>VLOOKUP(A299,Main!A:J,9,0)</f>
        <v>VS7</v>
      </c>
      <c r="G299" s="25" t="str">
        <f>VLOOKUP(A299,Main!A:J,10,0)</f>
        <v>7</v>
      </c>
      <c r="H299" s="42" t="b">
        <f t="shared" ref="H299:I299" si="298">F299=D299</f>
        <v>1</v>
      </c>
      <c r="I299" s="42" t="b">
        <f t="shared" si="298"/>
        <v>1</v>
      </c>
    </row>
    <row r="300">
      <c r="A300" s="11" t="s">
        <v>2498</v>
      </c>
      <c r="B300" s="18" t="s">
        <v>716</v>
      </c>
      <c r="C300" s="42"/>
      <c r="D300" s="18" t="s">
        <v>75</v>
      </c>
      <c r="E300" s="11" t="s">
        <v>1018</v>
      </c>
      <c r="F300" s="42" t="str">
        <f>VLOOKUP(A300,Main!A:J,9,0)</f>
        <v>VS7</v>
      </c>
      <c r="G300" s="25" t="str">
        <f>VLOOKUP(A300,Main!A:J,10,0)</f>
        <v>7</v>
      </c>
      <c r="H300" s="42" t="b">
        <f t="shared" ref="H300:I300" si="299">F300=D300</f>
        <v>1</v>
      </c>
      <c r="I300" s="42" t="b">
        <f t="shared" si="299"/>
        <v>1</v>
      </c>
    </row>
    <row r="301">
      <c r="A301" s="11" t="s">
        <v>960</v>
      </c>
      <c r="B301" s="18" t="s">
        <v>716</v>
      </c>
      <c r="C301" s="42"/>
      <c r="D301" s="18" t="s">
        <v>75</v>
      </c>
      <c r="E301" s="11" t="s">
        <v>1018</v>
      </c>
      <c r="F301" s="42" t="str">
        <f>VLOOKUP(A301,Main!A:J,9,0)</f>
        <v>NOT RUNNING</v>
      </c>
      <c r="G301" s="25" t="str">
        <f>VLOOKUP(A301,Main!A:J,10,0)</f>
        <v>0</v>
      </c>
      <c r="H301" s="42" t="b">
        <f t="shared" ref="H301:I301" si="300">F301=D301</f>
        <v>0</v>
      </c>
      <c r="I301" s="42" t="b">
        <f t="shared" si="300"/>
        <v>0</v>
      </c>
    </row>
    <row r="302">
      <c r="A302" s="11" t="s">
        <v>183</v>
      </c>
      <c r="B302" s="18" t="s">
        <v>716</v>
      </c>
      <c r="C302" s="42"/>
      <c r="D302" s="18" t="s">
        <v>75</v>
      </c>
      <c r="E302" s="11" t="s">
        <v>1018</v>
      </c>
      <c r="F302" s="42" t="str">
        <f>VLOOKUP(A302,Main!A:J,9,0)</f>
        <v>VS33</v>
      </c>
      <c r="G302" s="25" t="str">
        <f>VLOOKUP(A302,Main!A:J,10,0)</f>
        <v>8</v>
      </c>
      <c r="H302" s="42" t="b">
        <f t="shared" ref="H302:I302" si="301">F302=D302</f>
        <v>0</v>
      </c>
      <c r="I302" s="42" t="b">
        <f t="shared" si="301"/>
        <v>0</v>
      </c>
    </row>
    <row r="303">
      <c r="A303" s="11" t="s">
        <v>2617</v>
      </c>
      <c r="B303" s="18" t="s">
        <v>716</v>
      </c>
      <c r="C303" s="42"/>
      <c r="D303" s="18" t="s">
        <v>75</v>
      </c>
      <c r="E303" s="11" t="s">
        <v>1018</v>
      </c>
      <c r="F303" s="42" t="str">
        <f>VLOOKUP(A303,Main!A:J,9,0)</f>
        <v>NOT RUNNING</v>
      </c>
      <c r="G303" s="25" t="str">
        <f>VLOOKUP(A303,Main!A:J,10,0)</f>
        <v>0</v>
      </c>
      <c r="H303" s="42" t="b">
        <f t="shared" ref="H303:I303" si="302">F303=D303</f>
        <v>0</v>
      </c>
      <c r="I303" s="42" t="b">
        <f t="shared" si="302"/>
        <v>0</v>
      </c>
    </row>
    <row r="304">
      <c r="A304" s="11" t="s">
        <v>2713</v>
      </c>
      <c r="B304" s="18" t="s">
        <v>716</v>
      </c>
      <c r="C304" s="42"/>
      <c r="D304" s="18" t="s">
        <v>75</v>
      </c>
      <c r="E304" s="11" t="s">
        <v>1018</v>
      </c>
      <c r="F304" s="42" t="str">
        <f>VLOOKUP(A304,Main!A:J,9,0)</f>
        <v>VS27</v>
      </c>
      <c r="G304" s="25" t="str">
        <f>VLOOKUP(A304,Main!A:J,10,0)</f>
        <v>1</v>
      </c>
      <c r="H304" s="42" t="b">
        <f t="shared" ref="H304:I304" si="303">F304=D304</f>
        <v>0</v>
      </c>
      <c r="I304" s="42" t="b">
        <f t="shared" si="303"/>
        <v>0</v>
      </c>
    </row>
    <row r="305">
      <c r="A305" s="11" t="s">
        <v>239</v>
      </c>
      <c r="B305" s="18" t="s">
        <v>1204</v>
      </c>
      <c r="C305" s="42"/>
      <c r="D305" s="18" t="s">
        <v>75</v>
      </c>
      <c r="E305" s="11" t="s">
        <v>1018</v>
      </c>
      <c r="F305" s="42" t="str">
        <f>VLOOKUP(A305,Main!A:J,9,0)</f>
        <v>VS26</v>
      </c>
      <c r="G305" s="25" t="str">
        <f>VLOOKUP(A305,Main!A:J,10,0)</f>
        <v>7</v>
      </c>
      <c r="H305" s="42" t="b">
        <f t="shared" ref="H305:I305" si="304">F305=D305</f>
        <v>0</v>
      </c>
      <c r="I305" s="42" t="b">
        <f t="shared" si="304"/>
        <v>1</v>
      </c>
    </row>
    <row r="306">
      <c r="A306" s="11" t="s">
        <v>128</v>
      </c>
      <c r="B306" s="18" t="s">
        <v>285</v>
      </c>
      <c r="C306" s="42"/>
      <c r="D306" s="18" t="s">
        <v>75</v>
      </c>
      <c r="E306" s="11" t="s">
        <v>1018</v>
      </c>
      <c r="F306" s="42" t="str">
        <f>VLOOKUP(A306,Main!A:J,9,0)</f>
        <v>NOT RUNNING</v>
      </c>
      <c r="G306" s="25" t="str">
        <f>VLOOKUP(A306,Main!A:J,10,0)</f>
        <v>0</v>
      </c>
      <c r="H306" s="42" t="b">
        <f t="shared" ref="H306:I306" si="305">F306=D306</f>
        <v>0</v>
      </c>
      <c r="I306" s="42" t="b">
        <f t="shared" si="305"/>
        <v>0</v>
      </c>
    </row>
    <row r="307">
      <c r="A307" s="11" t="s">
        <v>1037</v>
      </c>
      <c r="B307" s="18" t="s">
        <v>2559</v>
      </c>
      <c r="C307" s="42"/>
      <c r="D307" s="18" t="s">
        <v>75</v>
      </c>
      <c r="E307" s="11" t="s">
        <v>1018</v>
      </c>
      <c r="F307" s="42" t="str">
        <f>VLOOKUP(A307,Main!A:J,9,0)</f>
        <v>VS29</v>
      </c>
      <c r="G307" s="25" t="str">
        <f>VLOOKUP(A307,Main!A:J,10,0)</f>
        <v>7</v>
      </c>
      <c r="H307" s="42" t="b">
        <f t="shared" ref="H307:I307" si="306">F307=D307</f>
        <v>0</v>
      </c>
      <c r="I307" s="42" t="b">
        <f t="shared" si="306"/>
        <v>1</v>
      </c>
    </row>
    <row r="308">
      <c r="A308" s="11" t="s">
        <v>1015</v>
      </c>
      <c r="B308" s="18" t="s">
        <v>2559</v>
      </c>
      <c r="C308" s="42"/>
      <c r="D308" s="18" t="s">
        <v>75</v>
      </c>
      <c r="E308" s="11" t="s">
        <v>1018</v>
      </c>
      <c r="F308" s="42" t="str">
        <f>VLOOKUP(A308,Main!A:J,9,0)</f>
        <v>VS30</v>
      </c>
      <c r="G308" s="25" t="str">
        <f>VLOOKUP(A308,Main!A:J,10,0)</f>
        <v>7</v>
      </c>
      <c r="H308" s="42" t="b">
        <f t="shared" ref="H308:I308" si="307">F308=D308</f>
        <v>0</v>
      </c>
      <c r="I308" s="42" t="b">
        <f t="shared" si="307"/>
        <v>1</v>
      </c>
    </row>
    <row r="309">
      <c r="A309" s="11" t="s">
        <v>2012</v>
      </c>
      <c r="B309" s="18" t="s">
        <v>297</v>
      </c>
      <c r="C309" s="42"/>
      <c r="D309" s="18" t="s">
        <v>75</v>
      </c>
      <c r="E309" s="11" t="s">
        <v>1018</v>
      </c>
      <c r="F309" s="42" t="str">
        <f>VLOOKUP(A309,Main!A:J,9,0)</f>
        <v>VS7</v>
      </c>
      <c r="G309" s="25" t="str">
        <f>VLOOKUP(A309,Main!A:J,10,0)</f>
        <v>7</v>
      </c>
      <c r="H309" s="42" t="b">
        <f t="shared" ref="H309:I309" si="308">F309=D309</f>
        <v>1</v>
      </c>
      <c r="I309" s="42" t="b">
        <f t="shared" si="308"/>
        <v>1</v>
      </c>
    </row>
    <row r="310">
      <c r="A310" s="11" t="s">
        <v>2653</v>
      </c>
      <c r="B310" s="18" t="s">
        <v>311</v>
      </c>
      <c r="C310" s="18" t="s">
        <v>3892</v>
      </c>
      <c r="D310" s="18" t="s">
        <v>75</v>
      </c>
      <c r="E310" s="11" t="s">
        <v>1018</v>
      </c>
      <c r="F310" s="42" t="str">
        <f>VLOOKUP(A310,Main!A:J,9,0)</f>
        <v>VS7</v>
      </c>
      <c r="G310" s="25" t="str">
        <f>VLOOKUP(A310,Main!A:J,10,0)</f>
        <v>7</v>
      </c>
      <c r="H310" s="42" t="b">
        <f t="shared" ref="H310:I310" si="309">F310=D310</f>
        <v>1</v>
      </c>
      <c r="I310" s="42" t="b">
        <f t="shared" si="309"/>
        <v>1</v>
      </c>
    </row>
    <row r="311">
      <c r="A311" s="11" t="s">
        <v>2663</v>
      </c>
      <c r="B311" s="18" t="s">
        <v>311</v>
      </c>
      <c r="C311" s="18" t="s">
        <v>3892</v>
      </c>
      <c r="D311" s="18" t="s">
        <v>75</v>
      </c>
      <c r="E311" s="11" t="s">
        <v>1018</v>
      </c>
      <c r="F311" s="42" t="str">
        <f>VLOOKUP(A311,Main!A:J,9,0)</f>
        <v>VS25</v>
      </c>
      <c r="G311" s="25" t="str">
        <f>VLOOKUP(A311,Main!A:J,10,0)</f>
        <v>19</v>
      </c>
      <c r="H311" s="42" t="b">
        <f t="shared" ref="H311:I311" si="310">F311=D311</f>
        <v>0</v>
      </c>
      <c r="I311" s="42" t="b">
        <f t="shared" si="310"/>
        <v>0</v>
      </c>
    </row>
    <row r="312">
      <c r="A312" s="11" t="s">
        <v>201</v>
      </c>
      <c r="B312" s="18" t="s">
        <v>311</v>
      </c>
      <c r="C312" s="18" t="s">
        <v>3892</v>
      </c>
      <c r="D312" s="18" t="s">
        <v>75</v>
      </c>
      <c r="E312" s="11" t="s">
        <v>1018</v>
      </c>
      <c r="F312" s="42" t="str">
        <f>VLOOKUP(A312,Main!A:J,9,0)</f>
        <v>VS11</v>
      </c>
      <c r="G312" s="25" t="str">
        <f>VLOOKUP(A312,Main!A:J,10,0)</f>
        <v>7</v>
      </c>
      <c r="H312" s="42" t="b">
        <f t="shared" ref="H312:I312" si="311">F312=D312</f>
        <v>0</v>
      </c>
      <c r="I312" s="42" t="b">
        <f t="shared" si="311"/>
        <v>1</v>
      </c>
    </row>
    <row r="313">
      <c r="A313" s="11" t="s">
        <v>2384</v>
      </c>
      <c r="B313" s="18" t="s">
        <v>272</v>
      </c>
      <c r="C313" s="42"/>
      <c r="D313" s="18" t="s">
        <v>75</v>
      </c>
      <c r="E313" s="11" t="s">
        <v>1018</v>
      </c>
      <c r="F313" s="42" t="str">
        <f>VLOOKUP(A313,Main!A:J,9,0)</f>
        <v>VS7</v>
      </c>
      <c r="G313" s="25" t="str">
        <f>VLOOKUP(A313,Main!A:J,10,0)</f>
        <v>7</v>
      </c>
      <c r="H313" s="42" t="b">
        <f t="shared" ref="H313:I313" si="312">F313=D313</f>
        <v>1</v>
      </c>
      <c r="I313" s="42" t="b">
        <f t="shared" si="312"/>
        <v>1</v>
      </c>
    </row>
    <row r="314">
      <c r="A314" s="11" t="s">
        <v>2413</v>
      </c>
      <c r="B314" s="18" t="s">
        <v>2397</v>
      </c>
      <c r="C314" s="42"/>
      <c r="D314" s="18" t="s">
        <v>75</v>
      </c>
      <c r="E314" s="11" t="s">
        <v>1018</v>
      </c>
      <c r="F314" s="42" t="str">
        <f>VLOOKUP(A314,Main!A:J,9,0)</f>
        <v>VS7</v>
      </c>
      <c r="G314" s="25" t="str">
        <f>VLOOKUP(A314,Main!A:J,10,0)</f>
        <v>7</v>
      </c>
      <c r="H314" s="42" t="b">
        <f t="shared" ref="H314:I314" si="313">F314=D314</f>
        <v>1</v>
      </c>
      <c r="I314" s="42" t="b">
        <f t="shared" si="313"/>
        <v>1</v>
      </c>
    </row>
    <row r="315">
      <c r="A315" s="11" t="s">
        <v>2682</v>
      </c>
      <c r="B315" s="18" t="s">
        <v>1251</v>
      </c>
      <c r="C315" s="42"/>
      <c r="D315" s="18" t="s">
        <v>75</v>
      </c>
      <c r="E315" s="11" t="s">
        <v>1018</v>
      </c>
      <c r="F315" s="42" t="str">
        <f>VLOOKUP(A315,Main!A:J,9,0)</f>
        <v>VS7</v>
      </c>
      <c r="G315" s="25" t="str">
        <f>VLOOKUP(A315,Main!A:J,10,0)</f>
        <v>7</v>
      </c>
      <c r="H315" s="42" t="b">
        <f t="shared" ref="H315:I315" si="314">F315=D315</f>
        <v>1</v>
      </c>
      <c r="I315" s="42" t="b">
        <f t="shared" si="314"/>
        <v>1</v>
      </c>
    </row>
    <row r="316">
      <c r="A316" s="11" t="s">
        <v>2286</v>
      </c>
      <c r="B316" s="18" t="s">
        <v>85</v>
      </c>
      <c r="C316" s="42"/>
      <c r="D316" s="18" t="s">
        <v>75</v>
      </c>
      <c r="E316" s="11" t="s">
        <v>1018</v>
      </c>
      <c r="F316" s="42" t="str">
        <f>VLOOKUP(A316,Main!A:J,9,0)</f>
        <v>VS7</v>
      </c>
      <c r="G316" s="25" t="str">
        <f>VLOOKUP(A316,Main!A:J,10,0)</f>
        <v>7</v>
      </c>
      <c r="H316" s="42" t="b">
        <f t="shared" ref="H316:I316" si="315">F316=D316</f>
        <v>1</v>
      </c>
      <c r="I316" s="42" t="b">
        <f t="shared" si="315"/>
        <v>1</v>
      </c>
    </row>
    <row r="317">
      <c r="A317" s="11" t="s">
        <v>1035</v>
      </c>
      <c r="B317" s="18" t="s">
        <v>3893</v>
      </c>
      <c r="C317" s="42"/>
      <c r="D317" s="18" t="s">
        <v>75</v>
      </c>
      <c r="E317" s="11" t="s">
        <v>1018</v>
      </c>
      <c r="F317" s="42" t="str">
        <f>VLOOKUP(A317,Main!A:J,9,0)</f>
        <v>VS7</v>
      </c>
      <c r="G317" s="25" t="str">
        <f>VLOOKUP(A317,Main!A:J,10,0)</f>
        <v>7</v>
      </c>
      <c r="H317" s="42" t="b">
        <f t="shared" ref="H317:I317" si="316">F317=D317</f>
        <v>1</v>
      </c>
      <c r="I317" s="42" t="b">
        <f t="shared" si="316"/>
        <v>1</v>
      </c>
    </row>
    <row r="318">
      <c r="A318" s="11" t="s">
        <v>2386</v>
      </c>
      <c r="B318" s="18" t="s">
        <v>1283</v>
      </c>
      <c r="C318" s="42"/>
      <c r="D318" s="18" t="s">
        <v>75</v>
      </c>
      <c r="E318" s="11" t="s">
        <v>1018</v>
      </c>
      <c r="F318" s="42" t="str">
        <f>VLOOKUP(A318,Main!A:J,9,0)</f>
        <v>VS7</v>
      </c>
      <c r="G318" s="25" t="str">
        <f>VLOOKUP(A318,Main!A:J,10,0)</f>
        <v>7</v>
      </c>
      <c r="H318" s="42" t="b">
        <f t="shared" ref="H318:I318" si="317">F318=D318</f>
        <v>1</v>
      </c>
      <c r="I318" s="42" t="b">
        <f t="shared" si="317"/>
        <v>1</v>
      </c>
    </row>
    <row r="319">
      <c r="A319" s="11" t="s">
        <v>532</v>
      </c>
      <c r="B319" s="18" t="s">
        <v>1283</v>
      </c>
      <c r="C319" s="42"/>
      <c r="D319" s="18" t="s">
        <v>75</v>
      </c>
      <c r="E319" s="11" t="s">
        <v>1018</v>
      </c>
      <c r="F319" s="42" t="str">
        <f>VLOOKUP(A319,Main!A:J,9,0)</f>
        <v>VS7</v>
      </c>
      <c r="G319" s="25" t="str">
        <f>VLOOKUP(A319,Main!A:J,10,0)</f>
        <v>7</v>
      </c>
      <c r="H319" s="42" t="b">
        <f t="shared" ref="H319:I319" si="318">F319=D319</f>
        <v>1</v>
      </c>
      <c r="I319" s="42" t="b">
        <f t="shared" si="318"/>
        <v>1</v>
      </c>
    </row>
    <row r="320">
      <c r="A320" s="11" t="s">
        <v>2449</v>
      </c>
      <c r="B320" s="18" t="s">
        <v>3894</v>
      </c>
      <c r="C320" s="42"/>
      <c r="D320" s="18" t="s">
        <v>75</v>
      </c>
      <c r="E320" s="11" t="s">
        <v>1018</v>
      </c>
      <c r="F320" s="42" t="str">
        <f>VLOOKUP(A320,Main!A:J,9,0)</f>
        <v>VS7</v>
      </c>
      <c r="G320" s="25" t="str">
        <f>VLOOKUP(A320,Main!A:J,10,0)</f>
        <v>7</v>
      </c>
      <c r="H320" s="42" t="b">
        <f t="shared" ref="H320:I320" si="319">F320=D320</f>
        <v>1</v>
      </c>
      <c r="I320" s="42" t="b">
        <f t="shared" si="319"/>
        <v>1</v>
      </c>
    </row>
    <row r="321">
      <c r="A321" s="11" t="s">
        <v>1307</v>
      </c>
      <c r="B321" s="18" t="s">
        <v>1310</v>
      </c>
      <c r="C321" s="42"/>
      <c r="D321" s="18" t="s">
        <v>75</v>
      </c>
      <c r="E321" s="11" t="s">
        <v>1018</v>
      </c>
      <c r="F321" s="42" t="str">
        <f>VLOOKUP(A321,Main!A:J,9,0)</f>
        <v>VS7</v>
      </c>
      <c r="G321" s="25" t="str">
        <f>VLOOKUP(A321,Main!A:J,10,0)</f>
        <v>7</v>
      </c>
      <c r="H321" s="42" t="b">
        <f t="shared" ref="H321:I321" si="320">F321=D321</f>
        <v>1</v>
      </c>
      <c r="I321" s="42" t="b">
        <f t="shared" si="320"/>
        <v>1</v>
      </c>
    </row>
    <row r="322">
      <c r="A322" s="11" t="s">
        <v>224</v>
      </c>
      <c r="B322" s="18" t="s">
        <v>3889</v>
      </c>
      <c r="C322" s="42"/>
      <c r="D322" s="18" t="s">
        <v>249</v>
      </c>
      <c r="E322" s="11" t="s">
        <v>77</v>
      </c>
      <c r="F322" s="42" t="str">
        <f>VLOOKUP(A322,Main!A:J,9,0)</f>
        <v>VS8</v>
      </c>
      <c r="G322" s="25" t="str">
        <f>VLOOKUP(A322,Main!A:J,10,0)</f>
        <v>1</v>
      </c>
      <c r="H322" s="42" t="b">
        <f t="shared" ref="H322:I322" si="321">F322=D322</f>
        <v>1</v>
      </c>
      <c r="I322" s="42" t="b">
        <f t="shared" si="321"/>
        <v>1</v>
      </c>
    </row>
    <row r="323">
      <c r="A323" s="11" t="s">
        <v>1046</v>
      </c>
      <c r="B323" s="18" t="s">
        <v>716</v>
      </c>
      <c r="C323" s="42"/>
      <c r="D323" s="18" t="s">
        <v>249</v>
      </c>
      <c r="E323" s="11" t="s">
        <v>77</v>
      </c>
      <c r="F323" s="42" t="str">
        <f>VLOOKUP(A323,Main!A:J,9,0)</f>
        <v>NOT RUNNING</v>
      </c>
      <c r="G323" s="25" t="str">
        <f>VLOOKUP(A323,Main!A:J,10,0)</f>
        <v>0</v>
      </c>
      <c r="H323" s="42" t="b">
        <f t="shared" ref="H323:I323" si="322">F323=D323</f>
        <v>0</v>
      </c>
      <c r="I323" s="42" t="b">
        <f t="shared" si="322"/>
        <v>0</v>
      </c>
    </row>
    <row r="324">
      <c r="A324" s="11" t="s">
        <v>1040</v>
      </c>
      <c r="B324" s="18" t="s">
        <v>716</v>
      </c>
      <c r="C324" s="42"/>
      <c r="D324" s="18" t="s">
        <v>249</v>
      </c>
      <c r="E324" s="11" t="s">
        <v>77</v>
      </c>
      <c r="F324" s="42" t="str">
        <f>VLOOKUP(A324,Main!A:J,9,0)</f>
        <v>NOT RUNNING</v>
      </c>
      <c r="G324" s="25" t="str">
        <f>VLOOKUP(A324,Main!A:J,10,0)</f>
        <v>0</v>
      </c>
      <c r="H324" s="42" t="b">
        <f t="shared" ref="H324:I324" si="323">F324=D324</f>
        <v>0</v>
      </c>
      <c r="I324" s="42" t="b">
        <f t="shared" si="323"/>
        <v>0</v>
      </c>
    </row>
    <row r="325">
      <c r="A325" s="11" t="s">
        <v>2538</v>
      </c>
      <c r="B325" s="18" t="s">
        <v>716</v>
      </c>
      <c r="C325" s="42"/>
      <c r="D325" s="18" t="s">
        <v>249</v>
      </c>
      <c r="E325" s="11" t="s">
        <v>77</v>
      </c>
      <c r="F325" s="42" t="str">
        <f>VLOOKUP(A325,Main!A:J,9,0)</f>
        <v>VS8</v>
      </c>
      <c r="G325" s="25" t="str">
        <f>VLOOKUP(A325,Main!A:J,10,0)</f>
        <v>1</v>
      </c>
      <c r="H325" s="42" t="b">
        <f t="shared" ref="H325:I325" si="324">F325=D325</f>
        <v>1</v>
      </c>
      <c r="I325" s="42" t="b">
        <f t="shared" si="324"/>
        <v>1</v>
      </c>
    </row>
    <row r="326">
      <c r="A326" s="11" t="s">
        <v>1042</v>
      </c>
      <c r="B326" s="18" t="s">
        <v>716</v>
      </c>
      <c r="C326" s="42"/>
      <c r="D326" s="18" t="s">
        <v>249</v>
      </c>
      <c r="E326" s="11" t="s">
        <v>77</v>
      </c>
      <c r="F326" s="42" t="str">
        <f>VLOOKUP(A326,Main!A:J,9,0)</f>
        <v>NOT RUNNING</v>
      </c>
      <c r="G326" s="25" t="str">
        <f>VLOOKUP(A326,Main!A:J,10,0)</f>
        <v>0</v>
      </c>
      <c r="H326" s="42" t="b">
        <f t="shared" ref="H326:I326" si="325">F326=D326</f>
        <v>0</v>
      </c>
      <c r="I326" s="42" t="b">
        <f t="shared" si="325"/>
        <v>0</v>
      </c>
    </row>
    <row r="327">
      <c r="A327" s="11" t="s">
        <v>1044</v>
      </c>
      <c r="B327" s="18" t="s">
        <v>716</v>
      </c>
      <c r="C327" s="42"/>
      <c r="D327" s="18" t="s">
        <v>249</v>
      </c>
      <c r="E327" s="11" t="s">
        <v>77</v>
      </c>
      <c r="F327" s="42" t="str">
        <f>VLOOKUP(A327,Main!A:J,9,0)</f>
        <v>NOT RUNNING</v>
      </c>
      <c r="G327" s="25" t="str">
        <f>VLOOKUP(A327,Main!A:J,10,0)</f>
        <v>0</v>
      </c>
      <c r="H327" s="42" t="b">
        <f t="shared" ref="H327:I327" si="326">F327=D327</f>
        <v>0</v>
      </c>
      <c r="I327" s="42" t="b">
        <f t="shared" si="326"/>
        <v>0</v>
      </c>
    </row>
    <row r="328">
      <c r="A328" s="11" t="s">
        <v>2613</v>
      </c>
      <c r="B328" s="18" t="s">
        <v>716</v>
      </c>
      <c r="C328" s="42"/>
      <c r="D328" s="18" t="s">
        <v>249</v>
      </c>
      <c r="E328" s="11" t="s">
        <v>77</v>
      </c>
      <c r="F328" s="42" t="str">
        <f>VLOOKUP(A328,Main!A:J,9,0)</f>
        <v>VS8</v>
      </c>
      <c r="G328" s="25" t="str">
        <f>VLOOKUP(A328,Main!A:J,10,0)</f>
        <v>1</v>
      </c>
      <c r="H328" s="42" t="b">
        <f t="shared" ref="H328:I328" si="327">F328=D328</f>
        <v>1</v>
      </c>
      <c r="I328" s="42" t="b">
        <f t="shared" si="327"/>
        <v>1</v>
      </c>
    </row>
    <row r="329">
      <c r="A329" s="11" t="s">
        <v>2626</v>
      </c>
      <c r="B329" s="18" t="s">
        <v>716</v>
      </c>
      <c r="C329" s="42"/>
      <c r="D329" s="18" t="s">
        <v>249</v>
      </c>
      <c r="E329" s="11" t="s">
        <v>77</v>
      </c>
      <c r="F329" s="42" t="str">
        <f>VLOOKUP(A329,Main!A:J,9,0)</f>
        <v>VS29</v>
      </c>
      <c r="G329" s="25" t="str">
        <f>VLOOKUP(A329,Main!A:J,10,0)</f>
        <v>7</v>
      </c>
      <c r="H329" s="42" t="b">
        <f t="shared" ref="H329:I329" si="328">F329=D329</f>
        <v>0</v>
      </c>
      <c r="I329" s="42" t="b">
        <f t="shared" si="328"/>
        <v>0</v>
      </c>
    </row>
    <row r="330">
      <c r="A330" s="11" t="s">
        <v>2502</v>
      </c>
      <c r="B330" s="18" t="s">
        <v>716</v>
      </c>
      <c r="C330" s="42"/>
      <c r="D330" s="18" t="s">
        <v>249</v>
      </c>
      <c r="E330" s="11" t="s">
        <v>77</v>
      </c>
      <c r="F330" s="42" t="str">
        <f>VLOOKUP(A330,Main!A:J,9,0)</f>
        <v>VS8</v>
      </c>
      <c r="G330" s="25" t="str">
        <f>VLOOKUP(A330,Main!A:J,10,0)</f>
        <v>1</v>
      </c>
      <c r="H330" s="42" t="b">
        <f t="shared" ref="H330:I330" si="329">F330=D330</f>
        <v>1</v>
      </c>
      <c r="I330" s="42" t="b">
        <f t="shared" si="329"/>
        <v>1</v>
      </c>
    </row>
    <row r="331">
      <c r="A331" s="11" t="s">
        <v>2368</v>
      </c>
      <c r="B331" s="18" t="s">
        <v>716</v>
      </c>
      <c r="C331" s="42"/>
      <c r="D331" s="18" t="s">
        <v>249</v>
      </c>
      <c r="E331" s="11" t="s">
        <v>77</v>
      </c>
      <c r="F331" s="42" t="str">
        <f>VLOOKUP(A331,Main!A:J,9,0)</f>
        <v>VS8</v>
      </c>
      <c r="G331" s="25" t="str">
        <f>VLOOKUP(A331,Main!A:J,10,0)</f>
        <v>1</v>
      </c>
      <c r="H331" s="42" t="b">
        <f t="shared" ref="H331:I331" si="330">F331=D331</f>
        <v>1</v>
      </c>
      <c r="I331" s="42" t="b">
        <f t="shared" si="330"/>
        <v>1</v>
      </c>
    </row>
    <row r="332">
      <c r="A332" s="11" t="s">
        <v>2437</v>
      </c>
      <c r="B332" s="18" t="s">
        <v>716</v>
      </c>
      <c r="C332" s="42"/>
      <c r="D332" s="18" t="s">
        <v>249</v>
      </c>
      <c r="E332" s="11" t="s">
        <v>77</v>
      </c>
      <c r="F332" s="42" t="str">
        <f>VLOOKUP(A332,Main!A:J,9,0)</f>
        <v>VS8</v>
      </c>
      <c r="G332" s="25" t="str">
        <f>VLOOKUP(A332,Main!A:J,10,0)</f>
        <v>1</v>
      </c>
      <c r="H332" s="42" t="b">
        <f t="shared" ref="H332:I332" si="331">F332=D332</f>
        <v>1</v>
      </c>
      <c r="I332" s="42" t="b">
        <f t="shared" si="331"/>
        <v>1</v>
      </c>
    </row>
    <row r="333">
      <c r="A333" s="11" t="s">
        <v>2718</v>
      </c>
      <c r="B333" s="18" t="s">
        <v>716</v>
      </c>
      <c r="C333" s="42"/>
      <c r="D333" s="18" t="s">
        <v>249</v>
      </c>
      <c r="E333" s="11" t="s">
        <v>77</v>
      </c>
      <c r="F333" s="42" t="str">
        <f>VLOOKUP(A333,Main!A:J,9,0)</f>
        <v>VS8</v>
      </c>
      <c r="G333" s="25" t="str">
        <f>VLOOKUP(A333,Main!A:J,10,0)</f>
        <v>1</v>
      </c>
      <c r="H333" s="42" t="b">
        <f t="shared" ref="H333:I333" si="332">F333=D333</f>
        <v>1</v>
      </c>
      <c r="I333" s="42" t="b">
        <f t="shared" si="332"/>
        <v>1</v>
      </c>
    </row>
    <row r="334">
      <c r="A334" s="11" t="s">
        <v>900</v>
      </c>
      <c r="B334" s="18" t="s">
        <v>716</v>
      </c>
      <c r="C334" s="42"/>
      <c r="D334" s="18" t="s">
        <v>249</v>
      </c>
      <c r="E334" s="11" t="s">
        <v>77</v>
      </c>
      <c r="F334" s="42" t="str">
        <f>VLOOKUP(A334,Main!A:J,9,0)</f>
        <v>NOT RUNNING</v>
      </c>
      <c r="G334" s="25" t="str">
        <f>VLOOKUP(A334,Main!A:J,10,0)</f>
        <v>1</v>
      </c>
      <c r="H334" s="42" t="b">
        <f t="shared" ref="H334:I334" si="333">F334=D334</f>
        <v>0</v>
      </c>
      <c r="I334" s="42" t="b">
        <f t="shared" si="333"/>
        <v>1</v>
      </c>
    </row>
    <row r="335">
      <c r="A335" s="11" t="s">
        <v>2574</v>
      </c>
      <c r="B335" s="18" t="s">
        <v>1204</v>
      </c>
      <c r="C335" s="42"/>
      <c r="D335" s="18" t="s">
        <v>249</v>
      </c>
      <c r="E335" s="11" t="s">
        <v>77</v>
      </c>
      <c r="F335" s="42" t="str">
        <f>VLOOKUP(A335,Main!A:J,9,0)</f>
        <v>VS8</v>
      </c>
      <c r="G335" s="25" t="str">
        <f>VLOOKUP(A335,Main!A:J,10,0)</f>
        <v>1</v>
      </c>
      <c r="H335" s="42" t="b">
        <f t="shared" ref="H335:I335" si="334">F335=D335</f>
        <v>1</v>
      </c>
      <c r="I335" s="42" t="b">
        <f t="shared" si="334"/>
        <v>1</v>
      </c>
    </row>
    <row r="336">
      <c r="A336" s="11" t="s">
        <v>2536</v>
      </c>
      <c r="B336" s="18" t="s">
        <v>1204</v>
      </c>
      <c r="C336" s="42"/>
      <c r="D336" s="18" t="s">
        <v>249</v>
      </c>
      <c r="E336" s="11" t="s">
        <v>77</v>
      </c>
      <c r="F336" s="42" t="str">
        <f>VLOOKUP(A336,Main!A:J,9,0)</f>
        <v>VS8</v>
      </c>
      <c r="G336" s="25" t="str">
        <f>VLOOKUP(A336,Main!A:J,10,0)</f>
        <v>1</v>
      </c>
      <c r="H336" s="42" t="b">
        <f t="shared" ref="H336:I336" si="335">F336=D336</f>
        <v>1</v>
      </c>
      <c r="I336" s="42" t="b">
        <f t="shared" si="335"/>
        <v>1</v>
      </c>
    </row>
    <row r="337">
      <c r="A337" s="11" t="s">
        <v>181</v>
      </c>
      <c r="B337" s="18" t="s">
        <v>285</v>
      </c>
      <c r="C337" s="42"/>
      <c r="D337" s="18" t="s">
        <v>249</v>
      </c>
      <c r="E337" s="11" t="s">
        <v>77</v>
      </c>
      <c r="F337" s="42" t="str">
        <f>VLOOKUP(A337,Main!A:J,9,0)</f>
        <v>NOT RUNNING</v>
      </c>
      <c r="G337" s="25" t="str">
        <f>VLOOKUP(A337,Main!A:J,10,0)</f>
        <v>0</v>
      </c>
      <c r="H337" s="42" t="b">
        <f t="shared" ref="H337:I337" si="336">F337=D337</f>
        <v>0</v>
      </c>
      <c r="I337" s="42" t="b">
        <f t="shared" si="336"/>
        <v>0</v>
      </c>
    </row>
    <row r="338">
      <c r="A338" s="11" t="s">
        <v>2640</v>
      </c>
      <c r="B338" s="18" t="s">
        <v>285</v>
      </c>
      <c r="C338" s="42"/>
      <c r="D338" s="18" t="s">
        <v>249</v>
      </c>
      <c r="E338" s="11" t="s">
        <v>77</v>
      </c>
      <c r="F338" s="42" t="str">
        <f>VLOOKUP(A338,Main!A:J,9,0)</f>
        <v>VS28</v>
      </c>
      <c r="G338" s="25" t="str">
        <f>VLOOKUP(A338,Main!A:J,10,0)</f>
        <v>27</v>
      </c>
      <c r="H338" s="42" t="b">
        <f t="shared" ref="H338:I338" si="337">F338=D338</f>
        <v>0</v>
      </c>
      <c r="I338" s="42" t="b">
        <f t="shared" si="337"/>
        <v>0</v>
      </c>
    </row>
    <row r="339">
      <c r="A339" s="11" t="s">
        <v>974</v>
      </c>
      <c r="B339" s="18" t="s">
        <v>2559</v>
      </c>
      <c r="C339" s="42"/>
      <c r="D339" s="18" t="s">
        <v>249</v>
      </c>
      <c r="E339" s="11" t="s">
        <v>77</v>
      </c>
      <c r="F339" s="42" t="str">
        <f>VLOOKUP(A339,Main!A:J,9,0)</f>
        <v>NOT RUNNING</v>
      </c>
      <c r="G339" s="25" t="str">
        <f>VLOOKUP(A339,Main!A:J,10,0)</f>
        <v>0</v>
      </c>
      <c r="H339" s="42" t="b">
        <f t="shared" ref="H339:I339" si="338">F339=D339</f>
        <v>0</v>
      </c>
      <c r="I339" s="42" t="b">
        <f t="shared" si="338"/>
        <v>0</v>
      </c>
    </row>
    <row r="340">
      <c r="A340" s="11" t="s">
        <v>1048</v>
      </c>
      <c r="B340" s="18" t="s">
        <v>2559</v>
      </c>
      <c r="C340" s="42"/>
      <c r="D340" s="18" t="s">
        <v>249</v>
      </c>
      <c r="E340" s="11" t="s">
        <v>77</v>
      </c>
      <c r="F340" s="42" t="str">
        <f>VLOOKUP(A340,Main!A:J,9,0)</f>
        <v>VS8</v>
      </c>
      <c r="G340" s="25" t="str">
        <f>VLOOKUP(A340,Main!A:J,10,0)</f>
        <v>1</v>
      </c>
      <c r="H340" s="42" t="b">
        <f t="shared" ref="H340:I340" si="339">F340=D340</f>
        <v>1</v>
      </c>
      <c r="I340" s="42" t="b">
        <f t="shared" si="339"/>
        <v>1</v>
      </c>
    </row>
    <row r="341">
      <c r="A341" s="11" t="s">
        <v>971</v>
      </c>
      <c r="B341" s="18" t="s">
        <v>646</v>
      </c>
      <c r="C341" s="42"/>
      <c r="D341" s="18" t="s">
        <v>249</v>
      </c>
      <c r="E341" s="11" t="s">
        <v>77</v>
      </c>
      <c r="F341" s="42" t="str">
        <f>VLOOKUP(A341,Main!A:J,9,0)</f>
        <v>NOT RUNNING</v>
      </c>
      <c r="G341" s="25" t="str">
        <f>VLOOKUP(A341,Main!A:J,10,0)</f>
        <v>0</v>
      </c>
      <c r="H341" s="42" t="b">
        <f t="shared" ref="H341:I341" si="340">F341=D341</f>
        <v>0</v>
      </c>
      <c r="I341" s="42" t="b">
        <f t="shared" si="340"/>
        <v>0</v>
      </c>
    </row>
    <row r="342">
      <c r="A342" s="11" t="s">
        <v>2378</v>
      </c>
      <c r="B342" s="18" t="s">
        <v>272</v>
      </c>
      <c r="C342" s="42"/>
      <c r="D342" s="18" t="s">
        <v>249</v>
      </c>
      <c r="E342" s="11" t="s">
        <v>77</v>
      </c>
      <c r="F342" s="42" t="str">
        <f>VLOOKUP(A342,Main!A:J,9,0)</f>
        <v>VS8</v>
      </c>
      <c r="G342" s="25" t="str">
        <f>VLOOKUP(A342,Main!A:J,10,0)</f>
        <v>1</v>
      </c>
      <c r="H342" s="42" t="b">
        <f t="shared" ref="H342:I342" si="341">F342=D342</f>
        <v>1</v>
      </c>
      <c r="I342" s="42" t="b">
        <f t="shared" si="341"/>
        <v>1</v>
      </c>
    </row>
    <row r="343">
      <c r="A343" s="11" t="s">
        <v>2399</v>
      </c>
      <c r="B343" s="18" t="s">
        <v>2397</v>
      </c>
      <c r="C343" s="42"/>
      <c r="D343" s="18" t="s">
        <v>249</v>
      </c>
      <c r="E343" s="11" t="s">
        <v>77</v>
      </c>
      <c r="F343" s="42" t="str">
        <f>VLOOKUP(A343,Main!A:J,9,0)</f>
        <v>VS8</v>
      </c>
      <c r="G343" s="25" t="str">
        <f>VLOOKUP(A343,Main!A:J,10,0)</f>
        <v>1</v>
      </c>
      <c r="H343" s="42" t="b">
        <f t="shared" ref="H343:I343" si="342">F343=D343</f>
        <v>1</v>
      </c>
      <c r="I343" s="42" t="b">
        <f t="shared" si="342"/>
        <v>1</v>
      </c>
    </row>
    <row r="344">
      <c r="A344" s="11" t="s">
        <v>913</v>
      </c>
      <c r="B344" s="18" t="s">
        <v>3893</v>
      </c>
      <c r="C344" s="42"/>
      <c r="D344" s="18" t="s">
        <v>249</v>
      </c>
      <c r="E344" s="11" t="s">
        <v>77</v>
      </c>
      <c r="F344" s="42" t="str">
        <f>VLOOKUP(A344,Main!A:J,9,0)</f>
        <v>VS8</v>
      </c>
      <c r="G344" s="25" t="str">
        <f>VLOOKUP(A344,Main!A:J,10,0)</f>
        <v>1</v>
      </c>
      <c r="H344" s="42" t="b">
        <f t="shared" ref="H344:I344" si="343">F344=D344</f>
        <v>1</v>
      </c>
      <c r="I344" s="42" t="b">
        <f t="shared" si="343"/>
        <v>1</v>
      </c>
    </row>
    <row r="345">
      <c r="A345" s="11" t="s">
        <v>2320</v>
      </c>
      <c r="B345" s="18" t="s">
        <v>1283</v>
      </c>
      <c r="C345" s="42"/>
      <c r="D345" s="18" t="s">
        <v>249</v>
      </c>
      <c r="E345" s="11" t="s">
        <v>77</v>
      </c>
      <c r="F345" s="42" t="str">
        <f>VLOOKUP(A345,Main!A:J,9,0)</f>
        <v>VS8</v>
      </c>
      <c r="G345" s="25" t="str">
        <f>VLOOKUP(A345,Main!A:J,10,0)</f>
        <v>1</v>
      </c>
      <c r="H345" s="42" t="b">
        <f t="shared" ref="H345:I345" si="344">F345=D345</f>
        <v>1</v>
      </c>
      <c r="I345" s="42" t="b">
        <f t="shared" si="344"/>
        <v>1</v>
      </c>
    </row>
    <row r="346">
      <c r="A346" s="11" t="s">
        <v>2475</v>
      </c>
      <c r="B346" s="18" t="s">
        <v>3894</v>
      </c>
      <c r="C346" s="42"/>
      <c r="D346" s="18" t="s">
        <v>249</v>
      </c>
      <c r="E346" s="11" t="s">
        <v>77</v>
      </c>
      <c r="F346" s="42" t="str">
        <f>VLOOKUP(A346,Main!A:J,9,0)</f>
        <v>VS8</v>
      </c>
      <c r="G346" s="25" t="str">
        <f>VLOOKUP(A346,Main!A:J,10,0)</f>
        <v>1</v>
      </c>
      <c r="H346" s="42" t="b">
        <f t="shared" ref="H346:I346" si="345">F346=D346</f>
        <v>1</v>
      </c>
      <c r="I346" s="42" t="b">
        <f t="shared" si="345"/>
        <v>1</v>
      </c>
    </row>
    <row r="347">
      <c r="A347" s="11" t="s">
        <v>1530</v>
      </c>
      <c r="B347" s="18" t="s">
        <v>311</v>
      </c>
      <c r="C347" s="18" t="s">
        <v>1658</v>
      </c>
      <c r="D347" s="18" t="s">
        <v>92</v>
      </c>
      <c r="E347" s="11" t="s">
        <v>1018</v>
      </c>
      <c r="F347" s="42" t="str">
        <f>VLOOKUP(A347,Main!A:J,9,0)</f>
        <v>VS9</v>
      </c>
      <c r="G347" s="25" t="str">
        <f>VLOOKUP(A347,Main!A:J,10,0)</f>
        <v>7</v>
      </c>
      <c r="H347" s="42" t="b">
        <f t="shared" ref="H347:I347" si="346">F347=D347</f>
        <v>1</v>
      </c>
      <c r="I347" s="42" t="b">
        <f t="shared" si="346"/>
        <v>1</v>
      </c>
    </row>
    <row r="348">
      <c r="A348" s="11" t="s">
        <v>1818</v>
      </c>
      <c r="B348" s="18" t="s">
        <v>311</v>
      </c>
      <c r="C348" s="18" t="s">
        <v>1658</v>
      </c>
      <c r="D348" s="18" t="s">
        <v>92</v>
      </c>
      <c r="E348" s="11" t="s">
        <v>1018</v>
      </c>
      <c r="F348" s="42" t="str">
        <f>VLOOKUP(A348,Main!A:J,9,0)</f>
        <v>VS7</v>
      </c>
      <c r="G348" s="25" t="str">
        <f>VLOOKUP(A348,Main!A:J,10,0)</f>
        <v>7</v>
      </c>
      <c r="H348" s="42" t="b">
        <f t="shared" ref="H348:I348" si="347">F348=D348</f>
        <v>0</v>
      </c>
      <c r="I348" s="42" t="b">
        <f t="shared" si="347"/>
        <v>1</v>
      </c>
    </row>
    <row r="349">
      <c r="A349" s="11" t="s">
        <v>2049</v>
      </c>
      <c r="B349" s="18" t="s">
        <v>311</v>
      </c>
      <c r="C349" s="18" t="s">
        <v>1658</v>
      </c>
      <c r="D349" s="18" t="s">
        <v>92</v>
      </c>
      <c r="E349" s="11" t="s">
        <v>1018</v>
      </c>
      <c r="F349" s="42" t="str">
        <f>VLOOKUP(A349,Main!A:J,9,0)</f>
        <v>VS9</v>
      </c>
      <c r="G349" s="25" t="str">
        <f>VLOOKUP(A349,Main!A:J,10,0)</f>
        <v>7</v>
      </c>
      <c r="H349" s="42" t="b">
        <f t="shared" ref="H349:I349" si="348">F349=D349</f>
        <v>1</v>
      </c>
      <c r="I349" s="42" t="b">
        <f t="shared" si="348"/>
        <v>1</v>
      </c>
    </row>
    <row r="350">
      <c r="A350" s="11" t="s">
        <v>1877</v>
      </c>
      <c r="B350" s="18" t="s">
        <v>311</v>
      </c>
      <c r="C350" s="18" t="s">
        <v>1658</v>
      </c>
      <c r="D350" s="18" t="s">
        <v>92</v>
      </c>
      <c r="E350" s="11" t="s">
        <v>1018</v>
      </c>
      <c r="F350" s="42" t="str">
        <f>VLOOKUP(A350,Main!A:J,9,0)</f>
        <v>VS9</v>
      </c>
      <c r="G350" s="25" t="str">
        <f>VLOOKUP(A350,Main!A:J,10,0)</f>
        <v>7</v>
      </c>
      <c r="H350" s="42" t="b">
        <f t="shared" ref="H350:I350" si="349">F350=D350</f>
        <v>1</v>
      </c>
      <c r="I350" s="42" t="b">
        <f t="shared" si="349"/>
        <v>1</v>
      </c>
    </row>
    <row r="351">
      <c r="A351" s="11" t="s">
        <v>1705</v>
      </c>
      <c r="B351" s="18" t="s">
        <v>311</v>
      </c>
      <c r="C351" s="18" t="s">
        <v>1658</v>
      </c>
      <c r="D351" s="18" t="s">
        <v>92</v>
      </c>
      <c r="E351" s="11" t="s">
        <v>1018</v>
      </c>
      <c r="F351" s="42" t="str">
        <f>VLOOKUP(A351,Main!A:J,9,0)</f>
        <v>VS12</v>
      </c>
      <c r="G351" s="25" t="str">
        <f>VLOOKUP(A351,Main!A:J,10,0)</f>
        <v>1</v>
      </c>
      <c r="H351" s="42" t="b">
        <f t="shared" ref="H351:I351" si="350">F351=D351</f>
        <v>0</v>
      </c>
      <c r="I351" s="42" t="b">
        <f t="shared" si="350"/>
        <v>0</v>
      </c>
    </row>
    <row r="352">
      <c r="A352" s="11" t="s">
        <v>1356</v>
      </c>
      <c r="B352" s="18" t="s">
        <v>311</v>
      </c>
      <c r="C352" s="18" t="s">
        <v>1658</v>
      </c>
      <c r="D352" s="18" t="s">
        <v>92</v>
      </c>
      <c r="E352" s="11" t="s">
        <v>1018</v>
      </c>
      <c r="F352" s="42" t="str">
        <f>VLOOKUP(A352,Main!A:J,9,0)</f>
        <v>VS13</v>
      </c>
      <c r="G352" s="25" t="str">
        <f>VLOOKUP(A352,Main!A:J,10,0)</f>
        <v>1</v>
      </c>
      <c r="H352" s="42" t="b">
        <f t="shared" ref="H352:I352" si="351">F352=D352</f>
        <v>0</v>
      </c>
      <c r="I352" s="42" t="b">
        <f t="shared" si="351"/>
        <v>0</v>
      </c>
    </row>
    <row r="353">
      <c r="A353" s="11" t="s">
        <v>2181</v>
      </c>
      <c r="B353" s="18" t="s">
        <v>311</v>
      </c>
      <c r="C353" s="18" t="s">
        <v>1658</v>
      </c>
      <c r="D353" s="18" t="s">
        <v>92</v>
      </c>
      <c r="E353" s="11" t="s">
        <v>1018</v>
      </c>
      <c r="F353" s="42" t="str">
        <f>VLOOKUP(A353,Main!A:J,9,0)</f>
        <v>VS13</v>
      </c>
      <c r="G353" s="25" t="str">
        <f>VLOOKUP(A353,Main!A:J,10,0)</f>
        <v>1</v>
      </c>
      <c r="H353" s="42" t="b">
        <f t="shared" ref="H353:I353" si="352">F353=D353</f>
        <v>0</v>
      </c>
      <c r="I353" s="42" t="b">
        <f t="shared" si="352"/>
        <v>0</v>
      </c>
    </row>
    <row r="354">
      <c r="A354" s="11" t="s">
        <v>1340</v>
      </c>
      <c r="B354" s="18" t="s">
        <v>311</v>
      </c>
      <c r="C354" s="18" t="s">
        <v>1658</v>
      </c>
      <c r="D354" s="18" t="s">
        <v>92</v>
      </c>
      <c r="E354" s="11" t="s">
        <v>1018</v>
      </c>
      <c r="F354" s="42" t="str">
        <f>VLOOKUP(A354,Main!A:J,9,0)</f>
        <v>VS9</v>
      </c>
      <c r="G354" s="25" t="str">
        <f>VLOOKUP(A354,Main!A:J,10,0)</f>
        <v>7</v>
      </c>
      <c r="H354" s="42" t="b">
        <f t="shared" ref="H354:I354" si="353">F354=D354</f>
        <v>1</v>
      </c>
      <c r="I354" s="42" t="b">
        <f t="shared" si="353"/>
        <v>1</v>
      </c>
    </row>
    <row r="355">
      <c r="A355" s="11" t="s">
        <v>2570</v>
      </c>
      <c r="B355" s="18" t="s">
        <v>311</v>
      </c>
      <c r="C355" s="18" t="s">
        <v>1658</v>
      </c>
      <c r="D355" s="18" t="s">
        <v>92</v>
      </c>
      <c r="E355" s="11" t="s">
        <v>1018</v>
      </c>
      <c r="F355" s="42" t="str">
        <f>VLOOKUP(A355,Main!A:J,9,0)</f>
        <v>VS9</v>
      </c>
      <c r="G355" s="25" t="str">
        <f>VLOOKUP(A355,Main!A:J,10,0)</f>
        <v>7</v>
      </c>
      <c r="H355" s="42" t="b">
        <f t="shared" ref="H355:I355" si="354">F355=D355</f>
        <v>1</v>
      </c>
      <c r="I355" s="42" t="b">
        <f t="shared" si="354"/>
        <v>1</v>
      </c>
    </row>
    <row r="356">
      <c r="A356" s="11" t="s">
        <v>2602</v>
      </c>
      <c r="B356" s="18" t="s">
        <v>311</v>
      </c>
      <c r="C356" s="18" t="s">
        <v>1658</v>
      </c>
      <c r="D356" s="18" t="s">
        <v>92</v>
      </c>
      <c r="E356" s="11" t="s">
        <v>1018</v>
      </c>
      <c r="F356" s="42" t="str">
        <f>VLOOKUP(A356,Main!A:J,9,0)</f>
        <v>VS9</v>
      </c>
      <c r="G356" s="25" t="str">
        <f>VLOOKUP(A356,Main!A:J,10,0)</f>
        <v>7</v>
      </c>
      <c r="H356" s="42" t="b">
        <f t="shared" ref="H356:I356" si="355">F356=D356</f>
        <v>1</v>
      </c>
      <c r="I356" s="42" t="b">
        <f t="shared" si="355"/>
        <v>1</v>
      </c>
    </row>
    <row r="357">
      <c r="A357" s="11" t="s">
        <v>1470</v>
      </c>
      <c r="B357" s="18" t="s">
        <v>85</v>
      </c>
      <c r="C357" s="18" t="s">
        <v>2287</v>
      </c>
      <c r="D357" s="18" t="s">
        <v>92</v>
      </c>
      <c r="E357" s="11" t="s">
        <v>1018</v>
      </c>
      <c r="F357" s="42" t="str">
        <f>VLOOKUP(A357,Main!A:J,9,0)</f>
        <v>VS9</v>
      </c>
      <c r="G357" s="25" t="str">
        <f>VLOOKUP(A357,Main!A:J,10,0)</f>
        <v>7</v>
      </c>
      <c r="H357" s="42" t="b">
        <f t="shared" ref="H357:I357" si="356">F357=D357</f>
        <v>1</v>
      </c>
      <c r="I357" s="42" t="b">
        <f t="shared" si="356"/>
        <v>1</v>
      </c>
    </row>
    <row r="358">
      <c r="A358" s="11" t="s">
        <v>1545</v>
      </c>
      <c r="B358" s="18" t="s">
        <v>85</v>
      </c>
      <c r="C358" s="18" t="s">
        <v>2287</v>
      </c>
      <c r="D358" s="18" t="s">
        <v>92</v>
      </c>
      <c r="E358" s="11" t="s">
        <v>1018</v>
      </c>
      <c r="F358" s="42" t="str">
        <f>VLOOKUP(A358,Main!A:J,9,0)</f>
        <v>VS9</v>
      </c>
      <c r="G358" s="25" t="str">
        <f>VLOOKUP(A358,Main!A:J,10,0)</f>
        <v>7</v>
      </c>
      <c r="H358" s="42" t="b">
        <f t="shared" ref="H358:I358" si="357">F358=D358</f>
        <v>1</v>
      </c>
      <c r="I358" s="42" t="b">
        <f t="shared" si="357"/>
        <v>1</v>
      </c>
    </row>
    <row r="359">
      <c r="A359" s="11" t="s">
        <v>2252</v>
      </c>
      <c r="B359" s="18" t="s">
        <v>85</v>
      </c>
      <c r="C359" s="18" t="s">
        <v>2287</v>
      </c>
      <c r="D359" s="18" t="s">
        <v>92</v>
      </c>
      <c r="E359" s="11" t="s">
        <v>1018</v>
      </c>
      <c r="F359" s="42" t="str">
        <f>VLOOKUP(A359,Main!A:J,9,0)</f>
        <v>VS9</v>
      </c>
      <c r="G359" s="25" t="str">
        <f>VLOOKUP(A359,Main!A:J,10,0)</f>
        <v>7</v>
      </c>
      <c r="H359" s="42" t="b">
        <f t="shared" ref="H359:I359" si="358">F359=D359</f>
        <v>1</v>
      </c>
      <c r="I359" s="42" t="b">
        <f t="shared" si="358"/>
        <v>1</v>
      </c>
    </row>
    <row r="360">
      <c r="A360" s="11" t="s">
        <v>1473</v>
      </c>
      <c r="B360" s="18" t="s">
        <v>85</v>
      </c>
      <c r="C360" s="18" t="s">
        <v>2287</v>
      </c>
      <c r="D360" s="18" t="s">
        <v>92</v>
      </c>
      <c r="E360" s="11" t="s">
        <v>1018</v>
      </c>
      <c r="F360" s="42" t="str">
        <f>VLOOKUP(A360,Main!A:J,9,0)</f>
        <v>VS9</v>
      </c>
      <c r="G360" s="25" t="str">
        <f>VLOOKUP(A360,Main!A:J,10,0)</f>
        <v>7</v>
      </c>
      <c r="H360" s="42" t="b">
        <f t="shared" ref="H360:I360" si="359">F360=D360</f>
        <v>1</v>
      </c>
      <c r="I360" s="42" t="b">
        <f t="shared" si="359"/>
        <v>1</v>
      </c>
    </row>
    <row r="361">
      <c r="A361" s="11" t="s">
        <v>1571</v>
      </c>
      <c r="B361" s="18" t="s">
        <v>85</v>
      </c>
      <c r="C361" s="18" t="s">
        <v>2287</v>
      </c>
      <c r="D361" s="18" t="s">
        <v>92</v>
      </c>
      <c r="E361" s="11" t="s">
        <v>1018</v>
      </c>
      <c r="F361" s="42" t="str">
        <f>VLOOKUP(A361,Main!A:J,9,0)</f>
        <v>VS22</v>
      </c>
      <c r="G361" s="25" t="str">
        <f>VLOOKUP(A361,Main!A:J,10,0)</f>
        <v>19</v>
      </c>
      <c r="H361" s="42" t="b">
        <f t="shared" ref="H361:I361" si="360">F361=D361</f>
        <v>0</v>
      </c>
      <c r="I361" s="42" t="b">
        <f t="shared" si="360"/>
        <v>0</v>
      </c>
    </row>
    <row r="362">
      <c r="A362" s="11" t="s">
        <v>2391</v>
      </c>
      <c r="B362" s="18" t="s">
        <v>85</v>
      </c>
      <c r="C362" s="18" t="s">
        <v>2287</v>
      </c>
      <c r="D362" s="18" t="s">
        <v>92</v>
      </c>
      <c r="E362" s="11" t="s">
        <v>1018</v>
      </c>
      <c r="F362" s="42" t="str">
        <f>VLOOKUP(A362,Main!A:J,9,0)</f>
        <v>VS9</v>
      </c>
      <c r="G362" s="25" t="str">
        <f>VLOOKUP(A362,Main!A:J,10,0)</f>
        <v>7</v>
      </c>
      <c r="H362" s="42" t="b">
        <f t="shared" ref="H362:I362" si="361">F362=D362</f>
        <v>1</v>
      </c>
      <c r="I362" s="42" t="b">
        <f t="shared" si="361"/>
        <v>1</v>
      </c>
    </row>
    <row r="363">
      <c r="A363" s="11" t="s">
        <v>2051</v>
      </c>
      <c r="B363" s="18" t="s">
        <v>85</v>
      </c>
      <c r="C363" s="18" t="s">
        <v>2287</v>
      </c>
      <c r="D363" s="18" t="s">
        <v>92</v>
      </c>
      <c r="E363" s="11" t="s">
        <v>1018</v>
      </c>
      <c r="F363" s="42" t="str">
        <f>VLOOKUP(A363,Main!A:J,9,0)</f>
        <v>VS9</v>
      </c>
      <c r="G363" s="25" t="str">
        <f>VLOOKUP(A363,Main!A:J,10,0)</f>
        <v>7</v>
      </c>
      <c r="H363" s="42" t="b">
        <f t="shared" ref="H363:I363" si="362">F363=D363</f>
        <v>1</v>
      </c>
      <c r="I363" s="42" t="b">
        <f t="shared" si="362"/>
        <v>1</v>
      </c>
    </row>
    <row r="364">
      <c r="A364" s="11" t="s">
        <v>1911</v>
      </c>
      <c r="B364" s="18" t="s">
        <v>85</v>
      </c>
      <c r="C364" s="18" t="s">
        <v>2287</v>
      </c>
      <c r="D364" s="18" t="s">
        <v>92</v>
      </c>
      <c r="E364" s="11" t="s">
        <v>1018</v>
      </c>
      <c r="F364" s="42" t="str">
        <f>VLOOKUP(A364,Main!A:J,9,0)</f>
        <v>VS9</v>
      </c>
      <c r="G364" s="25" t="str">
        <f>VLOOKUP(A364,Main!A:J,10,0)</f>
        <v>7</v>
      </c>
      <c r="H364" s="42" t="b">
        <f t="shared" ref="H364:I364" si="363">F364=D364</f>
        <v>1</v>
      </c>
      <c r="I364" s="42" t="b">
        <f t="shared" si="363"/>
        <v>1</v>
      </c>
    </row>
    <row r="365">
      <c r="A365" s="11" t="s">
        <v>1879</v>
      </c>
      <c r="B365" s="18" t="s">
        <v>85</v>
      </c>
      <c r="C365" s="18" t="s">
        <v>2287</v>
      </c>
      <c r="D365" s="18" t="s">
        <v>92</v>
      </c>
      <c r="E365" s="11" t="s">
        <v>1018</v>
      </c>
      <c r="F365" s="42" t="str">
        <f>VLOOKUP(A365,Main!A:J,9,0)</f>
        <v>VS9</v>
      </c>
      <c r="G365" s="25" t="str">
        <f>VLOOKUP(A365,Main!A:J,10,0)</f>
        <v>7</v>
      </c>
      <c r="H365" s="42" t="b">
        <f t="shared" ref="H365:I365" si="364">F365=D365</f>
        <v>1</v>
      </c>
      <c r="I365" s="42" t="b">
        <f t="shared" si="364"/>
        <v>1</v>
      </c>
    </row>
    <row r="366">
      <c r="A366" s="11" t="s">
        <v>1948</v>
      </c>
      <c r="B366" s="18" t="s">
        <v>85</v>
      </c>
      <c r="C366" s="18" t="s">
        <v>2287</v>
      </c>
      <c r="D366" s="18" t="s">
        <v>92</v>
      </c>
      <c r="E366" s="11" t="s">
        <v>1018</v>
      </c>
      <c r="F366" s="42" t="str">
        <f>VLOOKUP(A366,Main!A:J,9,0)</f>
        <v>VS9</v>
      </c>
      <c r="G366" s="25" t="str">
        <f>VLOOKUP(A366,Main!A:J,10,0)</f>
        <v>7</v>
      </c>
      <c r="H366" s="42" t="b">
        <f t="shared" ref="H366:I366" si="365">F366=D366</f>
        <v>1</v>
      </c>
      <c r="I366" s="42" t="b">
        <f t="shared" si="365"/>
        <v>1</v>
      </c>
    </row>
    <row r="367">
      <c r="A367" s="11" t="s">
        <v>433</v>
      </c>
      <c r="B367" s="18" t="s">
        <v>85</v>
      </c>
      <c r="C367" s="18" t="s">
        <v>2287</v>
      </c>
      <c r="D367" s="18" t="s">
        <v>92</v>
      </c>
      <c r="E367" s="11" t="s">
        <v>1018</v>
      </c>
      <c r="F367" s="42" t="str">
        <f>VLOOKUP(A367,Main!A:J,9,0)</f>
        <v>VS9</v>
      </c>
      <c r="G367" s="25" t="str">
        <f>VLOOKUP(A367,Main!A:J,10,0)</f>
        <v>7</v>
      </c>
      <c r="H367" s="42" t="b">
        <f t="shared" ref="H367:I367" si="366">F367=D367</f>
        <v>1</v>
      </c>
      <c r="I367" s="42" t="b">
        <f t="shared" si="366"/>
        <v>1</v>
      </c>
    </row>
    <row r="368">
      <c r="A368" s="11" t="s">
        <v>2606</v>
      </c>
      <c r="B368" s="18" t="s">
        <v>85</v>
      </c>
      <c r="C368" s="18" t="s">
        <v>2287</v>
      </c>
      <c r="D368" s="18" t="s">
        <v>92</v>
      </c>
      <c r="E368" s="11" t="s">
        <v>1018</v>
      </c>
      <c r="F368" s="42" t="str">
        <f>VLOOKUP(A368,Main!A:J,9,0)</f>
        <v>VS9</v>
      </c>
      <c r="G368" s="25" t="str">
        <f>VLOOKUP(A368,Main!A:J,10,0)</f>
        <v>7</v>
      </c>
      <c r="H368" s="42" t="b">
        <f t="shared" ref="H368:I368" si="367">F368=D368</f>
        <v>1</v>
      </c>
      <c r="I368" s="42" t="b">
        <f t="shared" si="367"/>
        <v>1</v>
      </c>
    </row>
    <row r="369">
      <c r="A369" s="11" t="s">
        <v>2608</v>
      </c>
      <c r="B369" s="18" t="s">
        <v>85</v>
      </c>
      <c r="C369" s="18" t="s">
        <v>2287</v>
      </c>
      <c r="D369" s="18" t="s">
        <v>92</v>
      </c>
      <c r="E369" s="11" t="s">
        <v>1018</v>
      </c>
      <c r="F369" s="42" t="str">
        <f>VLOOKUP(A369,Main!A:J,9,0)</f>
        <v>VS9</v>
      </c>
      <c r="G369" s="25" t="str">
        <f>VLOOKUP(A369,Main!A:J,10,0)</f>
        <v>7</v>
      </c>
      <c r="H369" s="42" t="b">
        <f t="shared" ref="H369:I369" si="368">F369=D369</f>
        <v>1</v>
      </c>
      <c r="I369" s="42" t="b">
        <f t="shared" si="368"/>
        <v>1</v>
      </c>
    </row>
    <row r="370">
      <c r="A370" s="11" t="s">
        <v>978</v>
      </c>
      <c r="B370" s="18" t="s">
        <v>85</v>
      </c>
      <c r="C370" s="18" t="s">
        <v>2287</v>
      </c>
      <c r="D370" s="18" t="s">
        <v>92</v>
      </c>
      <c r="E370" s="11" t="s">
        <v>1018</v>
      </c>
      <c r="F370" s="42" t="str">
        <f>VLOOKUP(A370,Main!A:J,9,0)</f>
        <v>NOT RUNNING</v>
      </c>
      <c r="G370" s="25" t="str">
        <f>VLOOKUP(A370,Main!A:J,10,0)</f>
        <v>0</v>
      </c>
      <c r="H370" s="42" t="b">
        <f t="shared" ref="H370:I370" si="369">F370=D370</f>
        <v>0</v>
      </c>
      <c r="I370" s="42" t="b">
        <f t="shared" si="369"/>
        <v>0</v>
      </c>
    </row>
    <row r="371">
      <c r="A371" s="11" t="s">
        <v>2686</v>
      </c>
      <c r="B371" s="18" t="s">
        <v>85</v>
      </c>
      <c r="C371" s="18" t="s">
        <v>2287</v>
      </c>
      <c r="D371" s="18" t="s">
        <v>92</v>
      </c>
      <c r="E371" s="11" t="s">
        <v>1018</v>
      </c>
      <c r="F371" s="42" t="str">
        <f>VLOOKUP(A371,Main!A:J,9,0)</f>
        <v>VS9</v>
      </c>
      <c r="G371" s="25" t="str">
        <f>VLOOKUP(A371,Main!A:J,10,0)</f>
        <v>7</v>
      </c>
      <c r="H371" s="42" t="b">
        <f t="shared" ref="H371:I371" si="370">F371=D371</f>
        <v>1</v>
      </c>
      <c r="I371" s="42" t="b">
        <f t="shared" si="370"/>
        <v>1</v>
      </c>
    </row>
    <row r="372">
      <c r="A372" s="11" t="s">
        <v>654</v>
      </c>
      <c r="B372" s="18" t="s">
        <v>85</v>
      </c>
      <c r="C372" s="18" t="s">
        <v>2287</v>
      </c>
      <c r="D372" s="18" t="s">
        <v>92</v>
      </c>
      <c r="E372" s="11" t="s">
        <v>1018</v>
      </c>
      <c r="F372" s="42" t="str">
        <f>VLOOKUP(A372,Main!A:J,9,0)</f>
        <v>VS1</v>
      </c>
      <c r="G372" s="25" t="str">
        <f>VLOOKUP(A372,Main!A:J,10,0)</f>
        <v>8</v>
      </c>
      <c r="H372" s="42" t="b">
        <f t="shared" ref="H372:I372" si="371">F372=D372</f>
        <v>0</v>
      </c>
      <c r="I372" s="42" t="b">
        <f t="shared" si="371"/>
        <v>0</v>
      </c>
    </row>
    <row r="373">
      <c r="A373" s="25"/>
      <c r="B373" s="42"/>
      <c r="C373" s="42"/>
      <c r="D373" s="42"/>
      <c r="E373" s="25"/>
      <c r="F373" s="42"/>
      <c r="G373" s="42"/>
      <c r="H373" s="42"/>
      <c r="I373" s="42"/>
    </row>
    <row r="374">
      <c r="A374" s="25"/>
      <c r="B374" s="42"/>
      <c r="C374" s="42"/>
      <c r="D374" s="42"/>
      <c r="E374" s="25"/>
      <c r="F374" s="42"/>
      <c r="G374" s="42"/>
      <c r="H374" s="42"/>
      <c r="I374" s="42"/>
    </row>
    <row r="375">
      <c r="A375" s="25"/>
      <c r="B375" s="42"/>
      <c r="C375" s="42"/>
      <c r="D375" s="42"/>
      <c r="E375" s="25"/>
      <c r="F375" s="42"/>
      <c r="G375" s="42"/>
      <c r="H375" s="42"/>
      <c r="I375" s="42"/>
    </row>
    <row r="376">
      <c r="A376" s="25"/>
      <c r="B376" s="42"/>
      <c r="C376" s="42"/>
      <c r="D376" s="42"/>
      <c r="E376" s="25"/>
      <c r="F376" s="42"/>
      <c r="G376" s="42"/>
      <c r="H376" s="42"/>
      <c r="I376" s="42"/>
    </row>
    <row r="377">
      <c r="A377" s="25"/>
      <c r="B377" s="42"/>
      <c r="C377" s="42"/>
      <c r="D377" s="42"/>
      <c r="E377" s="25"/>
      <c r="F377" s="42"/>
      <c r="G377" s="42"/>
      <c r="H377" s="42"/>
      <c r="I377" s="42"/>
    </row>
    <row r="378">
      <c r="A378" s="25"/>
      <c r="B378" s="42"/>
      <c r="C378" s="42"/>
      <c r="D378" s="42"/>
      <c r="E378" s="25"/>
      <c r="F378" s="42"/>
      <c r="G378" s="42"/>
      <c r="H378" s="42"/>
      <c r="I378" s="42"/>
    </row>
    <row r="379">
      <c r="A379" s="25"/>
      <c r="B379" s="42"/>
      <c r="C379" s="42"/>
      <c r="D379" s="42"/>
      <c r="E379" s="25"/>
      <c r="F379" s="42"/>
      <c r="G379" s="42"/>
      <c r="H379" s="42"/>
      <c r="I379" s="42"/>
    </row>
    <row r="380">
      <c r="A380" s="25"/>
      <c r="B380" s="42"/>
      <c r="C380" s="42"/>
      <c r="D380" s="42"/>
      <c r="E380" s="25"/>
      <c r="F380" s="42"/>
      <c r="G380" s="42"/>
      <c r="H380" s="42"/>
      <c r="I380" s="42"/>
    </row>
    <row r="381">
      <c r="A381" s="25"/>
      <c r="B381" s="42"/>
      <c r="C381" s="42"/>
      <c r="D381" s="42"/>
      <c r="E381" s="25"/>
      <c r="F381" s="42"/>
      <c r="G381" s="42"/>
      <c r="H381" s="42"/>
      <c r="I381" s="42"/>
    </row>
    <row r="382">
      <c r="A382" s="145" t="s">
        <v>3</v>
      </c>
      <c r="B382" s="42"/>
      <c r="C382" s="42"/>
      <c r="D382" s="42"/>
      <c r="E382" s="25"/>
      <c r="F382" s="42"/>
      <c r="G382" s="42"/>
      <c r="H382" s="42"/>
      <c r="I382" s="42"/>
    </row>
    <row r="383">
      <c r="A383" s="145" t="s">
        <v>375</v>
      </c>
      <c r="B383" s="42"/>
      <c r="C383" s="42"/>
      <c r="D383" s="42"/>
      <c r="E383" s="25"/>
      <c r="F383" s="42"/>
      <c r="G383" s="42"/>
      <c r="H383" s="42"/>
      <c r="I383" s="42"/>
    </row>
    <row r="384">
      <c r="A384" s="211" t="s">
        <v>815</v>
      </c>
      <c r="B384" s="42"/>
      <c r="C384" s="42"/>
      <c r="D384" s="42"/>
      <c r="E384" s="25"/>
      <c r="F384" s="42"/>
      <c r="G384" s="42"/>
      <c r="H384" s="42"/>
      <c r="I384" s="42"/>
    </row>
    <row r="385">
      <c r="A385" s="145" t="s">
        <v>95</v>
      </c>
      <c r="B385" s="42"/>
      <c r="C385" s="42"/>
      <c r="D385" s="42"/>
      <c r="E385" s="25"/>
      <c r="F385" s="42"/>
      <c r="G385" s="42"/>
      <c r="H385" s="42"/>
      <c r="I385" s="42"/>
    </row>
    <row r="386">
      <c r="A386" s="211" t="s">
        <v>430</v>
      </c>
      <c r="B386" s="42"/>
      <c r="C386" s="42"/>
      <c r="D386" s="42"/>
      <c r="E386" s="25"/>
      <c r="F386" s="42"/>
      <c r="G386" s="42"/>
      <c r="H386" s="42"/>
      <c r="I386" s="42"/>
    </row>
    <row r="387">
      <c r="A387" s="145" t="s">
        <v>103</v>
      </c>
      <c r="B387" s="42"/>
      <c r="C387" s="42"/>
      <c r="D387" s="42"/>
      <c r="E387" s="25"/>
      <c r="F387" s="42"/>
      <c r="G387" s="42"/>
      <c r="H387" s="42"/>
      <c r="I387" s="42"/>
    </row>
    <row r="388">
      <c r="A388" s="211" t="s">
        <v>438</v>
      </c>
      <c r="B388" s="42"/>
      <c r="C388" s="42"/>
      <c r="D388" s="42"/>
      <c r="E388" s="25"/>
      <c r="F388" s="42"/>
      <c r="G388" s="42"/>
      <c r="H388" s="42"/>
      <c r="I388" s="42"/>
    </row>
    <row r="389">
      <c r="A389" s="145" t="s">
        <v>645</v>
      </c>
      <c r="B389" s="42"/>
      <c r="C389" s="42"/>
      <c r="D389" s="42"/>
      <c r="E389" s="25"/>
      <c r="F389" s="42"/>
      <c r="G389" s="42"/>
      <c r="H389" s="42"/>
      <c r="I389" s="42"/>
    </row>
    <row r="390">
      <c r="A390" s="211" t="s">
        <v>527</v>
      </c>
      <c r="B390" s="42"/>
      <c r="C390" s="42"/>
      <c r="D390" s="42"/>
      <c r="E390" s="25"/>
      <c r="F390" s="42"/>
      <c r="G390" s="42"/>
      <c r="H390" s="42"/>
      <c r="I390" s="42"/>
    </row>
    <row r="391">
      <c r="A391" s="211" t="s">
        <v>544</v>
      </c>
      <c r="B391" s="42"/>
      <c r="C391" s="42"/>
      <c r="D391" s="42"/>
      <c r="E391" s="25"/>
      <c r="F391" s="42"/>
      <c r="G391" s="42"/>
      <c r="H391" s="42"/>
      <c r="I391" s="42"/>
    </row>
    <row r="392">
      <c r="A392" s="145" t="s">
        <v>314</v>
      </c>
      <c r="B392" s="42"/>
      <c r="C392" s="42"/>
      <c r="D392" s="42"/>
      <c r="E392" s="25"/>
      <c r="F392" s="42"/>
      <c r="G392" s="42"/>
      <c r="H392" s="42"/>
      <c r="I392" s="42"/>
    </row>
    <row r="393">
      <c r="A393" s="211" t="s">
        <v>326</v>
      </c>
      <c r="B393" s="42"/>
      <c r="C393" s="42"/>
      <c r="D393" s="42"/>
      <c r="E393" s="25"/>
      <c r="F393" s="42"/>
      <c r="G393" s="42"/>
      <c r="H393" s="42"/>
      <c r="I393" s="42"/>
    </row>
    <row r="394">
      <c r="A394" s="211" t="s">
        <v>421</v>
      </c>
      <c r="B394" s="42"/>
      <c r="C394" s="42"/>
      <c r="D394" s="42"/>
      <c r="E394" s="25"/>
      <c r="F394" s="42"/>
      <c r="G394" s="42"/>
      <c r="H394" s="42"/>
      <c r="I394" s="42"/>
    </row>
    <row r="395">
      <c r="A395" s="211" t="s">
        <v>366</v>
      </c>
      <c r="B395" s="42"/>
      <c r="C395" s="42"/>
      <c r="D395" s="42"/>
      <c r="E395" s="25"/>
      <c r="F395" s="42"/>
      <c r="G395" s="42"/>
      <c r="H395" s="42"/>
      <c r="I395" s="42"/>
    </row>
    <row r="396">
      <c r="A396" s="211" t="s">
        <v>561</v>
      </c>
      <c r="B396" s="42"/>
      <c r="C396" s="42"/>
      <c r="D396" s="42"/>
      <c r="E396" s="25"/>
      <c r="F396" s="42"/>
      <c r="G396" s="42"/>
      <c r="H396" s="42"/>
      <c r="I396" s="42"/>
    </row>
    <row r="397">
      <c r="A397" s="145" t="s">
        <v>391</v>
      </c>
      <c r="B397" s="42"/>
      <c r="C397" s="42"/>
      <c r="D397" s="42"/>
      <c r="E397" s="25"/>
      <c r="F397" s="42"/>
      <c r="G397" s="42"/>
      <c r="H397" s="42"/>
      <c r="I397" s="42"/>
    </row>
    <row r="398">
      <c r="A398" s="211" t="s">
        <v>882</v>
      </c>
      <c r="B398" s="42"/>
      <c r="C398" s="42"/>
      <c r="D398" s="42"/>
      <c r="E398" s="25"/>
      <c r="F398" s="42"/>
      <c r="G398" s="42"/>
      <c r="H398" s="42"/>
      <c r="I398" s="42"/>
    </row>
    <row r="399">
      <c r="A399" s="211" t="s">
        <v>466</v>
      </c>
      <c r="B399" s="42"/>
      <c r="C399" s="42"/>
      <c r="D399" s="42"/>
      <c r="E399" s="25"/>
      <c r="F399" s="42"/>
      <c r="G399" s="42"/>
      <c r="H399" s="42"/>
      <c r="I399" s="42"/>
    </row>
    <row r="400">
      <c r="A400" s="211" t="s">
        <v>467</v>
      </c>
      <c r="B400" s="42"/>
      <c r="C400" s="42"/>
      <c r="D400" s="42"/>
      <c r="E400" s="25"/>
      <c r="F400" s="42"/>
      <c r="G400" s="42"/>
      <c r="H400" s="42"/>
      <c r="I400" s="42"/>
    </row>
    <row r="401">
      <c r="A401" s="211" t="s">
        <v>50</v>
      </c>
      <c r="B401" s="42"/>
      <c r="C401" s="42"/>
      <c r="D401" s="42"/>
      <c r="E401" s="25"/>
      <c r="F401" s="42"/>
      <c r="G401" s="42"/>
      <c r="H401" s="42"/>
      <c r="I401" s="42"/>
    </row>
    <row r="402">
      <c r="A402" s="145" t="s">
        <v>498</v>
      </c>
      <c r="B402" s="42"/>
      <c r="C402" s="42"/>
      <c r="D402" s="42"/>
      <c r="E402" s="25"/>
      <c r="F402" s="42"/>
      <c r="G402" s="42"/>
      <c r="H402" s="42"/>
      <c r="I402" s="42"/>
    </row>
    <row r="403">
      <c r="A403" s="145" t="s">
        <v>289</v>
      </c>
      <c r="B403" s="42"/>
      <c r="C403" s="42"/>
      <c r="D403" s="42"/>
      <c r="E403" s="25"/>
      <c r="F403" s="42"/>
      <c r="G403" s="42"/>
      <c r="H403" s="42"/>
      <c r="I403" s="42"/>
    </row>
    <row r="404">
      <c r="A404" s="211" t="s">
        <v>324</v>
      </c>
      <c r="B404" s="42"/>
      <c r="C404" s="42"/>
      <c r="D404" s="42"/>
      <c r="E404" s="25"/>
      <c r="F404" s="42"/>
      <c r="G404" s="42"/>
      <c r="H404" s="42"/>
      <c r="I404" s="42"/>
    </row>
    <row r="405">
      <c r="A405" s="145" t="s">
        <v>444</v>
      </c>
      <c r="B405" s="42"/>
      <c r="C405" s="42"/>
      <c r="D405" s="42"/>
      <c r="E405" s="25"/>
      <c r="F405" s="42"/>
      <c r="G405" s="42"/>
      <c r="H405" s="42"/>
      <c r="I405" s="42"/>
    </row>
    <row r="406">
      <c r="A406" s="211" t="s">
        <v>334</v>
      </c>
      <c r="B406" s="42"/>
      <c r="C406" s="42"/>
      <c r="D406" s="42"/>
      <c r="E406" s="25"/>
      <c r="F406" s="42"/>
      <c r="G406" s="42"/>
      <c r="H406" s="42"/>
      <c r="I406" s="42"/>
    </row>
    <row r="407">
      <c r="A407" s="145" t="s">
        <v>569</v>
      </c>
      <c r="B407" s="42"/>
      <c r="C407" s="42"/>
      <c r="D407" s="42"/>
      <c r="E407" s="25"/>
      <c r="F407" s="42"/>
      <c r="G407" s="42"/>
      <c r="H407" s="42"/>
      <c r="I407" s="42"/>
    </row>
    <row r="408">
      <c r="A408" s="211" t="s">
        <v>805</v>
      </c>
      <c r="B408" s="42"/>
      <c r="C408" s="42"/>
      <c r="D408" s="42"/>
      <c r="E408" s="25"/>
      <c r="F408" s="42"/>
      <c r="G408" s="42"/>
      <c r="H408" s="42"/>
      <c r="I408" s="42"/>
    </row>
    <row r="409">
      <c r="A409" s="211" t="s">
        <v>399</v>
      </c>
      <c r="B409" s="42"/>
      <c r="C409" s="42"/>
      <c r="D409" s="42"/>
      <c r="E409" s="25"/>
      <c r="F409" s="42"/>
      <c r="G409" s="42"/>
      <c r="H409" s="42"/>
      <c r="I409" s="42"/>
    </row>
    <row r="410">
      <c r="A410" s="145" t="s">
        <v>274</v>
      </c>
      <c r="B410" s="42"/>
      <c r="C410" s="42"/>
      <c r="D410" s="42"/>
      <c r="E410" s="25"/>
      <c r="F410" s="42"/>
      <c r="G410" s="42"/>
      <c r="H410" s="42"/>
      <c r="I410" s="42"/>
    </row>
    <row r="411">
      <c r="A411" s="211" t="s">
        <v>377</v>
      </c>
      <c r="B411" s="42"/>
      <c r="C411" s="42"/>
      <c r="D411" s="42"/>
      <c r="E411" s="25"/>
      <c r="F411" s="42"/>
      <c r="G411" s="42"/>
      <c r="H411" s="42"/>
      <c r="I411" s="42"/>
    </row>
    <row r="412">
      <c r="A412" s="211" t="s">
        <v>810</v>
      </c>
      <c r="B412" s="42"/>
      <c r="C412" s="42"/>
      <c r="D412" s="42"/>
      <c r="E412" s="25"/>
      <c r="F412" s="42"/>
      <c r="G412" s="42"/>
      <c r="H412" s="42"/>
      <c r="I412" s="42"/>
    </row>
    <row r="413">
      <c r="A413" s="145" t="s">
        <v>640</v>
      </c>
      <c r="B413" s="42"/>
      <c r="C413" s="42"/>
      <c r="D413" s="42"/>
      <c r="E413" s="25"/>
      <c r="F413" s="42"/>
      <c r="G413" s="42"/>
      <c r="H413" s="42"/>
      <c r="I413" s="42"/>
    </row>
    <row r="414">
      <c r="A414" s="211" t="s">
        <v>418</v>
      </c>
      <c r="B414" s="42"/>
      <c r="C414" s="42"/>
      <c r="D414" s="42"/>
      <c r="E414" s="25"/>
      <c r="F414" s="42"/>
      <c r="G414" s="42"/>
      <c r="H414" s="42"/>
      <c r="I414" s="42"/>
    </row>
    <row r="415">
      <c r="A415" s="211" t="s">
        <v>429</v>
      </c>
      <c r="B415" s="42"/>
      <c r="C415" s="42"/>
      <c r="D415" s="42"/>
      <c r="E415" s="25"/>
      <c r="F415" s="42"/>
      <c r="G415" s="42"/>
      <c r="H415" s="42"/>
      <c r="I415" s="42"/>
    </row>
    <row r="416">
      <c r="A416" s="211" t="s">
        <v>452</v>
      </c>
      <c r="B416" s="42"/>
      <c r="C416" s="42"/>
      <c r="D416" s="42"/>
      <c r="E416" s="25"/>
      <c r="F416" s="42"/>
      <c r="G416" s="42"/>
      <c r="H416" s="42"/>
      <c r="I416" s="42"/>
    </row>
    <row r="417">
      <c r="A417" s="145" t="s">
        <v>306</v>
      </c>
      <c r="B417" s="42"/>
      <c r="C417" s="42"/>
      <c r="D417" s="42"/>
      <c r="E417" s="25"/>
      <c r="F417" s="42"/>
      <c r="G417" s="42"/>
      <c r="H417" s="42"/>
      <c r="I417" s="42"/>
    </row>
    <row r="418">
      <c r="A418" s="145" t="s">
        <v>639</v>
      </c>
      <c r="B418" s="42"/>
      <c r="C418" s="42"/>
      <c r="D418" s="42"/>
      <c r="E418" s="25"/>
      <c r="F418" s="42"/>
      <c r="G418" s="42"/>
      <c r="H418" s="42"/>
      <c r="I418" s="42"/>
    </row>
    <row r="419">
      <c r="A419" s="211" t="s">
        <v>348</v>
      </c>
      <c r="B419" s="42"/>
      <c r="C419" s="42"/>
      <c r="D419" s="42"/>
      <c r="E419" s="25"/>
      <c r="F419" s="42"/>
      <c r="G419" s="42"/>
      <c r="H419" s="42"/>
      <c r="I419" s="42"/>
    </row>
    <row r="420">
      <c r="A420" s="145" t="s">
        <v>428</v>
      </c>
      <c r="B420" s="42"/>
      <c r="C420" s="42"/>
      <c r="D420" s="42"/>
      <c r="E420" s="25"/>
      <c r="F420" s="42"/>
      <c r="G420" s="42"/>
      <c r="H420" s="42"/>
      <c r="I420" s="42"/>
    </row>
    <row r="421">
      <c r="A421" s="145" t="s">
        <v>606</v>
      </c>
      <c r="B421" s="42"/>
      <c r="C421" s="42"/>
      <c r="D421" s="42"/>
      <c r="E421" s="25"/>
      <c r="F421" s="42"/>
      <c r="G421" s="42"/>
      <c r="H421" s="42"/>
      <c r="I421" s="42"/>
    </row>
    <row r="422">
      <c r="A422" s="211" t="s">
        <v>410</v>
      </c>
      <c r="B422" s="42"/>
      <c r="C422" s="42"/>
      <c r="D422" s="42"/>
      <c r="E422" s="25"/>
      <c r="F422" s="42"/>
      <c r="G422" s="42"/>
      <c r="H422" s="42"/>
      <c r="I422" s="42"/>
    </row>
    <row r="423">
      <c r="A423" s="145" t="s">
        <v>641</v>
      </c>
      <c r="B423" s="42"/>
      <c r="C423" s="42"/>
      <c r="D423" s="42"/>
      <c r="E423" s="25"/>
      <c r="F423" s="42"/>
      <c r="G423" s="42"/>
      <c r="H423" s="42"/>
      <c r="I423" s="42"/>
    </row>
    <row r="424">
      <c r="A424" s="211" t="s">
        <v>475</v>
      </c>
      <c r="B424" s="42"/>
      <c r="C424" s="42"/>
      <c r="D424" s="42"/>
      <c r="E424" s="25"/>
      <c r="F424" s="42"/>
      <c r="G424" s="42"/>
      <c r="H424" s="42"/>
      <c r="I424" s="42"/>
    </row>
    <row r="425">
      <c r="A425" s="145" t="s">
        <v>623</v>
      </c>
      <c r="B425" s="42"/>
      <c r="C425" s="42"/>
      <c r="D425" s="42"/>
      <c r="E425" s="25"/>
      <c r="F425" s="42"/>
      <c r="G425" s="42"/>
      <c r="H425" s="42"/>
      <c r="I425" s="42"/>
    </row>
    <row r="426">
      <c r="A426" s="211" t="s">
        <v>516</v>
      </c>
      <c r="B426" s="42"/>
      <c r="C426" s="42"/>
      <c r="D426" s="42"/>
      <c r="E426" s="25"/>
      <c r="F426" s="42"/>
      <c r="G426" s="42"/>
      <c r="H426" s="42"/>
      <c r="I426" s="42"/>
    </row>
    <row r="427">
      <c r="A427" s="145" t="s">
        <v>690</v>
      </c>
      <c r="B427" s="42"/>
      <c r="C427" s="42"/>
      <c r="D427" s="42"/>
      <c r="E427" s="25"/>
      <c r="F427" s="42"/>
      <c r="G427" s="42"/>
      <c r="H427" s="42"/>
      <c r="I427" s="42"/>
    </row>
    <row r="428">
      <c r="A428" s="145" t="s">
        <v>88</v>
      </c>
      <c r="B428" s="42"/>
      <c r="C428" s="42"/>
      <c r="D428" s="42"/>
      <c r="E428" s="25"/>
      <c r="F428" s="42"/>
      <c r="G428" s="42"/>
      <c r="H428" s="42"/>
      <c r="I428" s="42"/>
    </row>
    <row r="429">
      <c r="A429" s="145" t="s">
        <v>583</v>
      </c>
      <c r="B429" s="42"/>
      <c r="C429" s="42"/>
      <c r="D429" s="42"/>
      <c r="E429" s="25"/>
      <c r="F429" s="42"/>
      <c r="G429" s="42"/>
      <c r="H429" s="42"/>
      <c r="I429" s="42"/>
    </row>
    <row r="430">
      <c r="A430" s="145" t="s">
        <v>1571</v>
      </c>
      <c r="B430" s="42"/>
      <c r="C430" s="42"/>
      <c r="D430" s="42"/>
      <c r="E430" s="25"/>
      <c r="F430" s="42"/>
      <c r="G430" s="42"/>
      <c r="H430" s="42"/>
      <c r="I430" s="42"/>
    </row>
    <row r="431">
      <c r="A431" s="145" t="s">
        <v>464</v>
      </c>
      <c r="B431" s="42"/>
      <c r="C431" s="42"/>
      <c r="D431" s="42"/>
      <c r="E431" s="25"/>
      <c r="F431" s="42"/>
      <c r="G431" s="42"/>
      <c r="H431" s="42"/>
      <c r="I431" s="42"/>
    </row>
    <row r="432">
      <c r="A432" s="211" t="s">
        <v>400</v>
      </c>
      <c r="B432" s="42"/>
      <c r="C432" s="42"/>
      <c r="D432" s="42"/>
      <c r="E432" s="25"/>
      <c r="F432" s="42"/>
      <c r="G432" s="42"/>
      <c r="H432" s="42"/>
      <c r="I432" s="42"/>
    </row>
    <row r="433">
      <c r="A433" s="211" t="s">
        <v>478</v>
      </c>
      <c r="B433" s="42"/>
      <c r="C433" s="42"/>
      <c r="D433" s="42"/>
      <c r="E433" s="25"/>
      <c r="F433" s="42"/>
      <c r="G433" s="42"/>
      <c r="H433" s="42"/>
      <c r="I433" s="42"/>
    </row>
    <row r="434">
      <c r="A434" s="211" t="s">
        <v>808</v>
      </c>
      <c r="B434" s="42"/>
      <c r="C434" s="42"/>
      <c r="D434" s="42"/>
      <c r="E434" s="25"/>
      <c r="F434" s="42"/>
      <c r="G434" s="42"/>
      <c r="H434" s="42"/>
      <c r="I434" s="42"/>
    </row>
    <row r="435">
      <c r="A435" s="145" t="s">
        <v>684</v>
      </c>
      <c r="B435" s="42"/>
      <c r="C435" s="42"/>
      <c r="D435" s="42"/>
      <c r="E435" s="25"/>
      <c r="F435" s="42"/>
      <c r="G435" s="42"/>
      <c r="H435" s="42"/>
      <c r="I435" s="42"/>
    </row>
    <row r="436">
      <c r="A436" s="145" t="s">
        <v>225</v>
      </c>
      <c r="B436" s="42"/>
      <c r="C436" s="42"/>
      <c r="D436" s="42"/>
      <c r="E436" s="25"/>
      <c r="F436" s="42"/>
      <c r="G436" s="42"/>
      <c r="H436" s="42"/>
      <c r="I436" s="42"/>
    </row>
    <row r="437">
      <c r="A437" s="145" t="s">
        <v>380</v>
      </c>
      <c r="B437" s="42"/>
      <c r="C437" s="42"/>
      <c r="D437" s="42"/>
      <c r="E437" s="25"/>
      <c r="F437" s="42"/>
      <c r="G437" s="42"/>
      <c r="H437" s="42"/>
      <c r="I437" s="42"/>
    </row>
    <row r="438">
      <c r="A438" s="145" t="s">
        <v>332</v>
      </c>
      <c r="B438" s="42"/>
      <c r="C438" s="42"/>
      <c r="D438" s="42"/>
      <c r="E438" s="25"/>
      <c r="F438" s="42"/>
      <c r="G438" s="42"/>
      <c r="H438" s="42"/>
      <c r="I438" s="42"/>
    </row>
    <row r="439">
      <c r="A439" s="145" t="s">
        <v>647</v>
      </c>
      <c r="B439" s="42"/>
      <c r="C439" s="42"/>
      <c r="D439" s="42"/>
      <c r="E439" s="25"/>
      <c r="F439" s="42"/>
      <c r="G439" s="42"/>
      <c r="H439" s="42"/>
      <c r="I439" s="42"/>
    </row>
    <row r="440">
      <c r="A440" s="145" t="s">
        <v>1955</v>
      </c>
      <c r="B440" s="42"/>
      <c r="C440" s="42"/>
      <c r="D440" s="42"/>
      <c r="E440" s="25"/>
      <c r="F440" s="42"/>
      <c r="G440" s="42"/>
      <c r="H440" s="42"/>
      <c r="I440" s="42"/>
    </row>
    <row r="441">
      <c r="A441" s="145" t="s">
        <v>1329</v>
      </c>
      <c r="B441" s="42"/>
      <c r="C441" s="42"/>
      <c r="D441" s="42"/>
      <c r="E441" s="25"/>
      <c r="F441" s="42"/>
      <c r="G441" s="42"/>
      <c r="H441" s="42"/>
      <c r="I441" s="42"/>
    </row>
    <row r="442">
      <c r="A442" s="211" t="s">
        <v>344</v>
      </c>
      <c r="B442" s="42"/>
      <c r="C442" s="42"/>
      <c r="D442" s="42"/>
      <c r="E442" s="25"/>
      <c r="F442" s="42"/>
      <c r="G442" s="42"/>
      <c r="H442" s="42"/>
      <c r="I442" s="42"/>
    </row>
    <row r="443">
      <c r="A443" s="145" t="s">
        <v>663</v>
      </c>
      <c r="B443" s="42"/>
      <c r="C443" s="42"/>
      <c r="D443" s="42"/>
      <c r="E443" s="25"/>
      <c r="F443" s="42"/>
      <c r="G443" s="42"/>
      <c r="H443" s="42"/>
      <c r="I443" s="42"/>
    </row>
    <row r="444">
      <c r="A444" s="145" t="s">
        <v>642</v>
      </c>
      <c r="B444" s="42"/>
      <c r="C444" s="42"/>
      <c r="D444" s="42"/>
      <c r="E444" s="25"/>
      <c r="F444" s="42"/>
      <c r="G444" s="42"/>
      <c r="H444" s="42"/>
      <c r="I444" s="42"/>
    </row>
    <row r="445">
      <c r="A445" s="145" t="s">
        <v>698</v>
      </c>
      <c r="B445" s="42"/>
      <c r="C445" s="42"/>
      <c r="D445" s="42"/>
      <c r="E445" s="25"/>
      <c r="F445" s="42"/>
      <c r="G445" s="42"/>
      <c r="H445" s="42"/>
      <c r="I445" s="42"/>
    </row>
    <row r="446">
      <c r="A446" s="145" t="s">
        <v>650</v>
      </c>
      <c r="B446" s="42"/>
      <c r="C446" s="42"/>
      <c r="D446" s="42"/>
      <c r="E446" s="25"/>
      <c r="F446" s="42"/>
      <c r="G446" s="42"/>
      <c r="H446" s="42"/>
      <c r="I446" s="42"/>
    </row>
    <row r="447">
      <c r="A447" s="145" t="s">
        <v>609</v>
      </c>
      <c r="B447" s="42"/>
      <c r="C447" s="42"/>
      <c r="D447" s="42"/>
      <c r="E447" s="25"/>
      <c r="F447" s="42"/>
      <c r="G447" s="42"/>
      <c r="H447" s="42"/>
      <c r="I447" s="42"/>
    </row>
    <row r="448">
      <c r="A448" s="145" t="s">
        <v>634</v>
      </c>
      <c r="B448" s="42"/>
      <c r="C448" s="42"/>
      <c r="D448" s="42"/>
      <c r="E448" s="25"/>
      <c r="F448" s="42"/>
      <c r="G448" s="42"/>
      <c r="H448" s="42"/>
      <c r="I448" s="42"/>
    </row>
    <row r="449">
      <c r="A449" s="145" t="s">
        <v>607</v>
      </c>
      <c r="B449" s="42"/>
      <c r="C449" s="42"/>
      <c r="D449" s="42"/>
      <c r="E449" s="25"/>
      <c r="F449" s="42"/>
      <c r="G449" s="42"/>
      <c r="H449" s="42"/>
      <c r="I449" s="42"/>
    </row>
    <row r="450">
      <c r="A450" s="145" t="s">
        <v>687</v>
      </c>
      <c r="B450" s="42"/>
      <c r="C450" s="42"/>
      <c r="D450" s="42"/>
      <c r="E450" s="25"/>
      <c r="F450" s="42"/>
      <c r="G450" s="42"/>
      <c r="H450" s="42"/>
      <c r="I450" s="42"/>
    </row>
    <row r="451">
      <c r="A451" s="211" t="s">
        <v>216</v>
      </c>
      <c r="B451" s="42"/>
      <c r="C451" s="42"/>
      <c r="D451" s="42"/>
      <c r="E451" s="25"/>
      <c r="F451" s="42"/>
      <c r="G451" s="42"/>
      <c r="H451" s="42"/>
      <c r="I451" s="42"/>
    </row>
    <row r="452">
      <c r="A452" s="145" t="s">
        <v>222</v>
      </c>
      <c r="B452" s="42"/>
      <c r="C452" s="42"/>
      <c r="D452" s="42"/>
      <c r="E452" s="25"/>
      <c r="F452" s="42"/>
      <c r="G452" s="42"/>
      <c r="H452" s="42"/>
      <c r="I452" s="42"/>
    </row>
    <row r="453">
      <c r="A453" s="145" t="s">
        <v>605</v>
      </c>
      <c r="B453" s="42"/>
      <c r="C453" s="42"/>
      <c r="D453" s="42"/>
      <c r="E453" s="25"/>
      <c r="F453" s="42"/>
      <c r="G453" s="42"/>
      <c r="H453" s="42"/>
      <c r="I453" s="42"/>
    </row>
    <row r="454">
      <c r="A454" s="211" t="s">
        <v>442</v>
      </c>
      <c r="B454" s="42"/>
      <c r="C454" s="42"/>
      <c r="D454" s="42"/>
      <c r="E454" s="25"/>
      <c r="F454" s="42"/>
      <c r="G454" s="42"/>
      <c r="H454" s="42"/>
      <c r="I454" s="42"/>
    </row>
    <row r="455">
      <c r="A455" s="211" t="s">
        <v>455</v>
      </c>
      <c r="B455" s="42"/>
      <c r="C455" s="42"/>
      <c r="D455" s="42"/>
      <c r="E455" s="25"/>
      <c r="F455" s="42"/>
      <c r="G455" s="42"/>
      <c r="H455" s="42"/>
      <c r="I455" s="42"/>
    </row>
    <row r="456">
      <c r="A456" s="211" t="s">
        <v>335</v>
      </c>
      <c r="B456" s="42"/>
      <c r="C456" s="42"/>
      <c r="D456" s="42"/>
      <c r="E456" s="25"/>
      <c r="F456" s="42"/>
      <c r="G456" s="42"/>
      <c r="H456" s="42"/>
      <c r="I456" s="42"/>
    </row>
    <row r="457">
      <c r="A457" s="145" t="s">
        <v>201</v>
      </c>
      <c r="B457" s="42"/>
      <c r="C457" s="42"/>
      <c r="D457" s="42"/>
      <c r="E457" s="25"/>
      <c r="F457" s="42"/>
      <c r="G457" s="42"/>
      <c r="H457" s="42"/>
      <c r="I457" s="42"/>
    </row>
    <row r="458">
      <c r="A458" s="145" t="s">
        <v>709</v>
      </c>
      <c r="B458" s="42"/>
      <c r="C458" s="42"/>
      <c r="D458" s="42"/>
      <c r="E458" s="25"/>
      <c r="F458" s="42"/>
      <c r="G458" s="42"/>
      <c r="H458" s="42"/>
      <c r="I458" s="42"/>
    </row>
    <row r="459">
      <c r="A459" s="211" t="s">
        <v>526</v>
      </c>
      <c r="B459" s="42"/>
      <c r="C459" s="42"/>
      <c r="D459" s="42"/>
      <c r="E459" s="25"/>
      <c r="F459" s="42"/>
      <c r="G459" s="42"/>
      <c r="H459" s="42"/>
      <c r="I459" s="42"/>
    </row>
    <row r="460">
      <c r="A460" s="211" t="s">
        <v>321</v>
      </c>
      <c r="B460" s="42"/>
      <c r="C460" s="42"/>
      <c r="D460" s="42"/>
      <c r="E460" s="25"/>
      <c r="F460" s="42"/>
      <c r="G460" s="42"/>
      <c r="H460" s="42"/>
      <c r="I460" s="42"/>
    </row>
    <row r="461">
      <c r="A461" s="145" t="s">
        <v>629</v>
      </c>
      <c r="B461" s="42"/>
      <c r="C461" s="42"/>
      <c r="D461" s="42"/>
      <c r="E461" s="25"/>
      <c r="F461" s="42"/>
      <c r="G461" s="42"/>
      <c r="H461" s="42"/>
      <c r="I461" s="42"/>
    </row>
    <row r="462">
      <c r="A462" s="211" t="s">
        <v>631</v>
      </c>
      <c r="B462" s="42"/>
      <c r="C462" s="42"/>
      <c r="D462" s="42"/>
      <c r="E462" s="25"/>
      <c r="F462" s="42"/>
      <c r="G462" s="42"/>
      <c r="H462" s="42"/>
      <c r="I462" s="42"/>
    </row>
    <row r="463">
      <c r="A463" s="145" t="s">
        <v>694</v>
      </c>
      <c r="B463" s="42"/>
      <c r="C463" s="42"/>
      <c r="D463" s="42"/>
      <c r="E463" s="25"/>
      <c r="F463" s="42"/>
      <c r="G463" s="42"/>
      <c r="H463" s="42"/>
      <c r="I463" s="42"/>
    </row>
    <row r="464">
      <c r="A464" s="145" t="s">
        <v>299</v>
      </c>
      <c r="B464" s="42"/>
      <c r="C464" s="42"/>
      <c r="D464" s="42"/>
      <c r="E464" s="25"/>
      <c r="F464" s="42"/>
      <c r="G464" s="42"/>
      <c r="H464" s="42"/>
      <c r="I464" s="42"/>
    </row>
    <row r="465">
      <c r="A465" s="145" t="s">
        <v>669</v>
      </c>
      <c r="B465" s="42"/>
      <c r="C465" s="42"/>
      <c r="D465" s="42"/>
      <c r="E465" s="25"/>
      <c r="F465" s="42"/>
      <c r="G465" s="42"/>
      <c r="H465" s="42"/>
      <c r="I465" s="42"/>
    </row>
    <row r="466">
      <c r="A466" s="145" t="s">
        <v>662</v>
      </c>
      <c r="B466" s="42"/>
      <c r="C466" s="42"/>
      <c r="D466" s="42"/>
      <c r="E466" s="25"/>
      <c r="F466" s="42"/>
      <c r="G466" s="42"/>
      <c r="H466" s="42"/>
      <c r="I466" s="42"/>
    </row>
    <row r="467">
      <c r="A467" s="145" t="s">
        <v>658</v>
      </c>
      <c r="B467" s="42"/>
      <c r="C467" s="42"/>
      <c r="D467" s="42"/>
      <c r="E467" s="25"/>
      <c r="F467" s="42"/>
      <c r="G467" s="42"/>
      <c r="H467" s="42"/>
      <c r="I467" s="42"/>
    </row>
    <row r="468">
      <c r="A468" s="145" t="s">
        <v>659</v>
      </c>
      <c r="B468" s="42"/>
      <c r="C468" s="42"/>
      <c r="D468" s="42"/>
      <c r="E468" s="25"/>
      <c r="F468" s="42"/>
      <c r="G468" s="42"/>
      <c r="H468" s="42"/>
      <c r="I468" s="42"/>
    </row>
    <row r="469">
      <c r="A469" s="211" t="s">
        <v>818</v>
      </c>
      <c r="B469" s="42"/>
      <c r="C469" s="42"/>
      <c r="D469" s="42"/>
      <c r="E469" s="25"/>
      <c r="F469" s="42"/>
      <c r="G469" s="42"/>
      <c r="H469" s="42"/>
      <c r="I469" s="42"/>
    </row>
    <row r="470">
      <c r="A470" s="145" t="s">
        <v>672</v>
      </c>
      <c r="B470" s="42"/>
      <c r="C470" s="42"/>
      <c r="D470" s="42"/>
      <c r="E470" s="25"/>
      <c r="F470" s="42"/>
      <c r="G470" s="42"/>
      <c r="H470" s="42"/>
      <c r="I470" s="42"/>
    </row>
    <row r="471">
      <c r="A471" s="211" t="s">
        <v>477</v>
      </c>
      <c r="B471" s="42"/>
      <c r="C471" s="42"/>
      <c r="D471" s="42"/>
      <c r="E471" s="25"/>
      <c r="F471" s="42"/>
      <c r="G471" s="42"/>
      <c r="H471" s="42"/>
      <c r="I471" s="42"/>
    </row>
    <row r="472">
      <c r="A472" s="145" t="s">
        <v>361</v>
      </c>
      <c r="B472" s="42"/>
      <c r="C472" s="42"/>
      <c r="D472" s="42"/>
      <c r="E472" s="25"/>
      <c r="F472" s="42"/>
      <c r="G472" s="42"/>
      <c r="H472" s="42"/>
      <c r="I472" s="42"/>
    </row>
    <row r="473">
      <c r="A473" s="145" t="s">
        <v>627</v>
      </c>
      <c r="B473" s="42"/>
      <c r="C473" s="42"/>
      <c r="D473" s="42"/>
      <c r="E473" s="25"/>
      <c r="F473" s="42"/>
      <c r="G473" s="42"/>
      <c r="H473" s="42"/>
      <c r="I473" s="42"/>
    </row>
    <row r="474">
      <c r="A474" s="145" t="s">
        <v>630</v>
      </c>
      <c r="B474" s="42"/>
      <c r="C474" s="42"/>
      <c r="D474" s="42"/>
      <c r="E474" s="25"/>
      <c r="F474" s="42"/>
      <c r="G474" s="42"/>
      <c r="H474" s="42"/>
      <c r="I474" s="42"/>
    </row>
    <row r="475">
      <c r="A475" s="145" t="s">
        <v>637</v>
      </c>
      <c r="B475" s="42"/>
      <c r="C475" s="42"/>
      <c r="D475" s="42"/>
      <c r="E475" s="25"/>
      <c r="F475" s="42"/>
      <c r="G475" s="42"/>
      <c r="H475" s="42"/>
      <c r="I475" s="42"/>
    </row>
    <row r="476">
      <c r="A476" s="145" t="s">
        <v>666</v>
      </c>
      <c r="B476" s="42"/>
      <c r="C476" s="42"/>
      <c r="D476" s="42"/>
      <c r="E476" s="25"/>
      <c r="F476" s="42"/>
      <c r="G476" s="42"/>
      <c r="H476" s="42"/>
      <c r="I476" s="42"/>
    </row>
    <row r="477">
      <c r="A477" s="145" t="s">
        <v>677</v>
      </c>
      <c r="B477" s="42"/>
      <c r="C477" s="42"/>
      <c r="D477" s="42"/>
      <c r="E477" s="25"/>
      <c r="F477" s="42"/>
      <c r="G477" s="42"/>
      <c r="H477" s="42"/>
      <c r="I477" s="42"/>
    </row>
    <row r="478">
      <c r="A478" s="145" t="s">
        <v>681</v>
      </c>
      <c r="B478" s="42"/>
      <c r="C478" s="42"/>
      <c r="D478" s="42"/>
      <c r="E478" s="25"/>
      <c r="F478" s="42"/>
      <c r="G478" s="42"/>
      <c r="H478" s="42"/>
      <c r="I478" s="42"/>
    </row>
    <row r="479">
      <c r="A479" s="145" t="s">
        <v>638</v>
      </c>
      <c r="B479" s="42"/>
      <c r="C479" s="42"/>
      <c r="D479" s="42"/>
      <c r="E479" s="25"/>
      <c r="F479" s="42"/>
      <c r="G479" s="42"/>
      <c r="H479" s="42"/>
      <c r="I479" s="42"/>
    </row>
    <row r="480">
      <c r="A480" s="145" t="s">
        <v>660</v>
      </c>
      <c r="B480" s="42"/>
      <c r="C480" s="42"/>
      <c r="D480" s="42"/>
      <c r="E480" s="25"/>
      <c r="F480" s="42"/>
      <c r="G480" s="42"/>
      <c r="H480" s="42"/>
      <c r="I480" s="42"/>
    </row>
    <row r="481">
      <c r="A481" s="145" t="s">
        <v>120</v>
      </c>
      <c r="B481" s="42"/>
      <c r="C481" s="42"/>
      <c r="D481" s="42"/>
      <c r="E481" s="25"/>
      <c r="F481" s="42"/>
      <c r="G481" s="42"/>
      <c r="H481" s="42"/>
      <c r="I481" s="42"/>
    </row>
    <row r="482">
      <c r="A482" s="145" t="s">
        <v>107</v>
      </c>
      <c r="B482" s="42"/>
      <c r="C482" s="42"/>
      <c r="D482" s="42"/>
      <c r="E482" s="25"/>
      <c r="F482" s="42"/>
      <c r="G482" s="42"/>
      <c r="H482" s="42"/>
      <c r="I482" s="42"/>
    </row>
    <row r="483">
      <c r="A483" s="145" t="s">
        <v>282</v>
      </c>
      <c r="B483" s="42"/>
      <c r="C483" s="42"/>
      <c r="D483" s="42"/>
      <c r="E483" s="25"/>
      <c r="F483" s="42"/>
      <c r="G483" s="42"/>
      <c r="H483" s="42"/>
      <c r="I483" s="42"/>
    </row>
    <row r="484">
      <c r="A484" s="145" t="s">
        <v>599</v>
      </c>
      <c r="B484" s="42"/>
      <c r="C484" s="42"/>
      <c r="D484" s="42"/>
      <c r="E484" s="25"/>
      <c r="F484" s="42"/>
      <c r="G484" s="42"/>
      <c r="H484" s="42"/>
      <c r="I484" s="42"/>
    </row>
    <row r="485">
      <c r="A485" s="145" t="s">
        <v>652</v>
      </c>
      <c r="B485" s="42"/>
      <c r="C485" s="42"/>
      <c r="D485" s="42"/>
      <c r="E485" s="25"/>
      <c r="F485" s="42"/>
      <c r="G485" s="42"/>
      <c r="H485" s="42"/>
      <c r="I485" s="42"/>
    </row>
    <row r="486">
      <c r="A486" s="145" t="s">
        <v>653</v>
      </c>
      <c r="B486" s="42"/>
      <c r="C486" s="42"/>
      <c r="D486" s="42"/>
      <c r="E486" s="25"/>
      <c r="F486" s="42"/>
      <c r="G486" s="42"/>
      <c r="H486" s="42"/>
      <c r="I486" s="42"/>
    </row>
    <row r="487">
      <c r="A487" s="211" t="s">
        <v>617</v>
      </c>
      <c r="B487" s="42"/>
      <c r="C487" s="42"/>
      <c r="D487" s="42"/>
      <c r="E487" s="25"/>
      <c r="F487" s="42"/>
      <c r="G487" s="42"/>
      <c r="H487" s="42"/>
      <c r="I487" s="42"/>
    </row>
    <row r="488">
      <c r="A488" s="211" t="s">
        <v>670</v>
      </c>
      <c r="B488" s="42"/>
      <c r="C488" s="42"/>
      <c r="D488" s="42"/>
      <c r="E488" s="25"/>
      <c r="F488" s="42"/>
      <c r="G488" s="42"/>
      <c r="H488" s="42"/>
      <c r="I488" s="42"/>
    </row>
    <row r="489">
      <c r="A489" s="145" t="s">
        <v>655</v>
      </c>
      <c r="B489" s="42"/>
      <c r="C489" s="42"/>
      <c r="D489" s="42"/>
      <c r="E489" s="25"/>
      <c r="F489" s="42"/>
      <c r="G489" s="42"/>
      <c r="H489" s="42"/>
      <c r="I489" s="42"/>
    </row>
    <row r="490">
      <c r="A490" s="145" t="s">
        <v>228</v>
      </c>
      <c r="B490" s="42"/>
      <c r="C490" s="42"/>
      <c r="D490" s="42"/>
      <c r="E490" s="25"/>
      <c r="F490" s="42"/>
      <c r="G490" s="42"/>
      <c r="H490" s="42"/>
      <c r="I490" s="42"/>
    </row>
    <row r="491">
      <c r="A491" s="145" t="s">
        <v>657</v>
      </c>
      <c r="B491" s="42"/>
      <c r="C491" s="42"/>
      <c r="D491" s="42"/>
      <c r="E491" s="25"/>
      <c r="F491" s="42"/>
      <c r="G491" s="42"/>
      <c r="H491" s="42"/>
      <c r="I491" s="42"/>
    </row>
    <row r="492">
      <c r="A492" s="145" t="s">
        <v>259</v>
      </c>
      <c r="B492" s="42"/>
      <c r="C492" s="42"/>
      <c r="D492" s="42"/>
      <c r="E492" s="25"/>
      <c r="F492" s="42"/>
      <c r="G492" s="42"/>
      <c r="H492" s="42"/>
      <c r="I492" s="42"/>
    </row>
    <row r="493">
      <c r="A493" s="145" t="s">
        <v>234</v>
      </c>
      <c r="B493" s="42"/>
      <c r="C493" s="42"/>
      <c r="D493" s="42"/>
      <c r="E493" s="25"/>
      <c r="F493" s="42"/>
      <c r="G493" s="42"/>
      <c r="H493" s="42"/>
      <c r="I493" s="42"/>
    </row>
    <row r="494">
      <c r="A494" s="145" t="s">
        <v>224</v>
      </c>
      <c r="B494" s="42"/>
      <c r="C494" s="42"/>
      <c r="D494" s="42"/>
      <c r="E494" s="25"/>
      <c r="F494" s="42"/>
      <c r="G494" s="42"/>
      <c r="H494" s="42"/>
      <c r="I494" s="42"/>
    </row>
    <row r="495">
      <c r="A495" s="145" t="s">
        <v>2530</v>
      </c>
      <c r="B495" s="42"/>
      <c r="C495" s="42"/>
      <c r="D495" s="42"/>
      <c r="E495" s="25"/>
      <c r="F495" s="42"/>
      <c r="G495" s="42"/>
      <c r="H495" s="42"/>
      <c r="I495" s="42"/>
    </row>
    <row r="496">
      <c r="A496" s="145" t="s">
        <v>838</v>
      </c>
      <c r="B496" s="42"/>
      <c r="C496" s="42"/>
      <c r="D496" s="42"/>
      <c r="E496" s="25"/>
      <c r="F496" s="42"/>
      <c r="G496" s="42"/>
      <c r="H496" s="42"/>
      <c r="I496" s="42"/>
    </row>
    <row r="497">
      <c r="A497" s="211" t="s">
        <v>759</v>
      </c>
      <c r="B497" s="42"/>
      <c r="C497" s="42"/>
      <c r="D497" s="42"/>
      <c r="E497" s="25"/>
      <c r="F497" s="42"/>
      <c r="G497" s="42"/>
      <c r="H497" s="42"/>
      <c r="I497" s="42"/>
    </row>
    <row r="498">
      <c r="A498" s="145" t="s">
        <v>2663</v>
      </c>
      <c r="B498" s="42"/>
      <c r="C498" s="42"/>
      <c r="D498" s="42"/>
      <c r="E498" s="25"/>
      <c r="F498" s="42"/>
      <c r="G498" s="42"/>
      <c r="H498" s="42"/>
      <c r="I498" s="42"/>
    </row>
    <row r="499">
      <c r="A499" s="211" t="s">
        <v>797</v>
      </c>
      <c r="B499" s="42"/>
      <c r="C499" s="42"/>
      <c r="D499" s="42"/>
      <c r="E499" s="25"/>
      <c r="F499" s="42"/>
      <c r="G499" s="42"/>
      <c r="H499" s="42"/>
      <c r="I499" s="42"/>
    </row>
    <row r="500">
      <c r="A500" s="145" t="s">
        <v>135</v>
      </c>
      <c r="B500" s="42"/>
      <c r="C500" s="42"/>
      <c r="D500" s="42"/>
      <c r="E500" s="25"/>
      <c r="F500" s="42"/>
      <c r="G500" s="42"/>
      <c r="H500" s="42"/>
      <c r="I500" s="42"/>
    </row>
    <row r="501">
      <c r="A501" s="145" t="s">
        <v>2708</v>
      </c>
      <c r="B501" s="42"/>
      <c r="C501" s="42"/>
      <c r="D501" s="42"/>
      <c r="E501" s="25"/>
      <c r="F501" s="42"/>
      <c r="G501" s="42"/>
      <c r="H501" s="42"/>
      <c r="I501" s="42"/>
    </row>
    <row r="502">
      <c r="A502" s="145" t="s">
        <v>2679</v>
      </c>
      <c r="B502" s="42"/>
      <c r="C502" s="42"/>
      <c r="D502" s="42"/>
      <c r="E502" s="25"/>
      <c r="F502" s="42"/>
      <c r="G502" s="42"/>
      <c r="H502" s="42"/>
      <c r="I502" s="42"/>
    </row>
    <row r="503">
      <c r="A503" s="145" t="s">
        <v>2675</v>
      </c>
      <c r="B503" s="42"/>
      <c r="C503" s="42"/>
      <c r="D503" s="42"/>
      <c r="E503" s="25"/>
      <c r="F503" s="42"/>
      <c r="G503" s="42"/>
      <c r="H503" s="42"/>
      <c r="I503" s="42"/>
    </row>
    <row r="504">
      <c r="A504" s="145" t="s">
        <v>832</v>
      </c>
      <c r="B504" s="42"/>
      <c r="C504" s="42"/>
      <c r="D504" s="42"/>
      <c r="E504" s="25"/>
      <c r="F504" s="42"/>
      <c r="G504" s="42"/>
      <c r="H504" s="42"/>
      <c r="I504" s="42"/>
    </row>
    <row r="505">
      <c r="A505" s="145" t="s">
        <v>854</v>
      </c>
      <c r="B505" s="42"/>
      <c r="C505" s="42"/>
      <c r="D505" s="42"/>
      <c r="E505" s="25"/>
      <c r="F505" s="42"/>
      <c r="G505" s="42"/>
      <c r="H505" s="42"/>
      <c r="I505" s="42"/>
    </row>
    <row r="506">
      <c r="A506" s="211" t="s">
        <v>2792</v>
      </c>
      <c r="B506" s="42"/>
      <c r="C506" s="42"/>
      <c r="D506" s="42"/>
      <c r="E506" s="25"/>
      <c r="F506" s="42"/>
      <c r="G506" s="42"/>
      <c r="H506" s="42"/>
      <c r="I506" s="42"/>
    </row>
    <row r="507">
      <c r="A507" s="145" t="s">
        <v>2802</v>
      </c>
      <c r="B507" s="42"/>
      <c r="C507" s="42"/>
      <c r="D507" s="42"/>
      <c r="E507" s="25"/>
      <c r="F507" s="42"/>
      <c r="G507" s="42"/>
      <c r="H507" s="42"/>
      <c r="I507" s="42"/>
    </row>
    <row r="508">
      <c r="A508" s="145" t="s">
        <v>2804</v>
      </c>
      <c r="B508" s="42"/>
      <c r="C508" s="42"/>
      <c r="D508" s="42"/>
      <c r="E508" s="25"/>
      <c r="F508" s="42"/>
      <c r="G508" s="42"/>
      <c r="H508" s="42"/>
      <c r="I508" s="42"/>
    </row>
    <row r="509">
      <c r="A509" s="145" t="s">
        <v>2814</v>
      </c>
      <c r="B509" s="42"/>
      <c r="C509" s="42"/>
      <c r="D509" s="42"/>
      <c r="E509" s="25"/>
      <c r="F509" s="42"/>
      <c r="G509" s="42"/>
      <c r="H509" s="42"/>
      <c r="I509" s="42"/>
    </row>
    <row r="510">
      <c r="A510" s="145" t="s">
        <v>2844</v>
      </c>
      <c r="B510" s="42"/>
      <c r="C510" s="42"/>
      <c r="D510" s="42"/>
      <c r="E510" s="25"/>
      <c r="F510" s="42"/>
      <c r="G510" s="42"/>
      <c r="H510" s="42"/>
      <c r="I510" s="42"/>
    </row>
    <row r="511">
      <c r="A511" s="145" t="s">
        <v>2842</v>
      </c>
      <c r="B511" s="42"/>
      <c r="C511" s="42"/>
      <c r="D511" s="42"/>
      <c r="E511" s="25"/>
      <c r="F511" s="42"/>
      <c r="G511" s="42"/>
      <c r="H511" s="42"/>
      <c r="I511" s="42"/>
    </row>
    <row r="512">
      <c r="A512" s="145" t="s">
        <v>2869</v>
      </c>
      <c r="B512" s="42"/>
      <c r="C512" s="42"/>
      <c r="D512" s="42"/>
      <c r="E512" s="25"/>
      <c r="F512" s="42"/>
      <c r="G512" s="42"/>
      <c r="H512" s="42"/>
      <c r="I512" s="42"/>
    </row>
    <row r="513">
      <c r="A513" s="145" t="s">
        <v>636</v>
      </c>
      <c r="B513" s="42"/>
      <c r="C513" s="42"/>
      <c r="D513" s="42"/>
      <c r="E513" s="25"/>
      <c r="F513" s="42"/>
      <c r="G513" s="42"/>
      <c r="H513" s="42"/>
      <c r="I513" s="42"/>
    </row>
    <row r="514">
      <c r="A514" s="145" t="s">
        <v>770</v>
      </c>
      <c r="B514" s="42"/>
      <c r="C514" s="42"/>
      <c r="D514" s="42"/>
      <c r="E514" s="25"/>
      <c r="F514" s="42"/>
      <c r="G514" s="42"/>
      <c r="H514" s="42"/>
      <c r="I514" s="42"/>
    </row>
    <row r="515">
      <c r="A515" s="145" t="s">
        <v>2885</v>
      </c>
      <c r="B515" s="42"/>
      <c r="C515" s="42"/>
      <c r="D515" s="42"/>
      <c r="E515" s="25"/>
      <c r="F515" s="42"/>
      <c r="G515" s="42"/>
      <c r="H515" s="42"/>
      <c r="I515" s="42"/>
    </row>
    <row r="516">
      <c r="A516" s="145" t="s">
        <v>763</v>
      </c>
      <c r="B516" s="42"/>
      <c r="C516" s="42"/>
      <c r="D516" s="42"/>
      <c r="E516" s="25"/>
      <c r="F516" s="42"/>
      <c r="G516" s="42"/>
      <c r="H516" s="42"/>
      <c r="I516" s="42"/>
    </row>
    <row r="517">
      <c r="A517" s="145" t="s">
        <v>2887</v>
      </c>
      <c r="B517" s="42"/>
      <c r="C517" s="42"/>
      <c r="D517" s="42"/>
      <c r="E517" s="25"/>
      <c r="F517" s="42"/>
      <c r="G517" s="42"/>
      <c r="H517" s="42"/>
      <c r="I517" s="42"/>
    </row>
    <row r="518">
      <c r="A518" s="145" t="s">
        <v>207</v>
      </c>
      <c r="B518" s="42"/>
      <c r="C518" s="42"/>
      <c r="D518" s="42"/>
      <c r="E518" s="25"/>
      <c r="F518" s="42"/>
      <c r="G518" s="42"/>
      <c r="H518" s="42"/>
      <c r="I518" s="42"/>
    </row>
    <row r="519">
      <c r="A519" s="145" t="s">
        <v>898</v>
      </c>
      <c r="B519" s="42"/>
      <c r="C519" s="42"/>
      <c r="D519" s="42"/>
      <c r="E519" s="25"/>
      <c r="F519" s="42"/>
      <c r="G519" s="42"/>
      <c r="H519" s="42"/>
      <c r="I519" s="42"/>
    </row>
    <row r="520">
      <c r="A520" s="145" t="s">
        <v>707</v>
      </c>
      <c r="B520" s="42"/>
      <c r="C520" s="42"/>
      <c r="D520" s="42"/>
      <c r="E520" s="25"/>
      <c r="F520" s="42"/>
      <c r="G520" s="42"/>
      <c r="H520" s="42"/>
      <c r="I520" s="42"/>
    </row>
    <row r="521">
      <c r="A521" s="145" t="s">
        <v>909</v>
      </c>
      <c r="B521" s="42"/>
      <c r="C521" s="42"/>
      <c r="D521" s="42"/>
      <c r="E521" s="25"/>
      <c r="F521" s="42"/>
      <c r="G521" s="42"/>
      <c r="H521" s="42"/>
      <c r="I521" s="42"/>
    </row>
    <row r="522">
      <c r="A522" s="145" t="s">
        <v>945</v>
      </c>
      <c r="B522" s="42"/>
      <c r="C522" s="42"/>
      <c r="D522" s="42"/>
      <c r="E522" s="25"/>
      <c r="F522" s="42"/>
      <c r="G522" s="42"/>
      <c r="H522" s="42"/>
      <c r="I522" s="42"/>
    </row>
    <row r="523">
      <c r="A523" s="145" t="s">
        <v>2640</v>
      </c>
      <c r="B523" s="42"/>
      <c r="C523" s="42"/>
      <c r="D523" s="42"/>
      <c r="E523" s="25"/>
      <c r="F523" s="42"/>
      <c r="G523" s="42"/>
      <c r="H523" s="42"/>
      <c r="I523" s="42"/>
    </row>
    <row r="524">
      <c r="A524" s="25"/>
      <c r="B524" s="42"/>
      <c r="C524" s="42"/>
      <c r="D524" s="42"/>
      <c r="E524" s="25"/>
      <c r="F524" s="42"/>
      <c r="G524" s="42"/>
      <c r="H524" s="42"/>
      <c r="I524" s="42"/>
    </row>
    <row r="525">
      <c r="A525" s="25"/>
      <c r="B525" s="42"/>
      <c r="C525" s="42"/>
      <c r="D525" s="42"/>
      <c r="E525" s="25"/>
      <c r="F525" s="42"/>
      <c r="G525" s="42"/>
      <c r="H525" s="42"/>
      <c r="I525" s="42"/>
    </row>
    <row r="526">
      <c r="A526" s="25"/>
      <c r="B526" s="42"/>
      <c r="C526" s="42"/>
      <c r="D526" s="42"/>
      <c r="E526" s="25"/>
      <c r="F526" s="42"/>
      <c r="G526" s="42"/>
      <c r="H526" s="42"/>
      <c r="I526" s="42"/>
    </row>
    <row r="527">
      <c r="A527" s="25"/>
      <c r="B527" s="42"/>
      <c r="C527" s="42"/>
      <c r="D527" s="42"/>
      <c r="E527" s="25"/>
      <c r="F527" s="42"/>
      <c r="G527" s="42"/>
      <c r="H527" s="42"/>
      <c r="I527" s="42"/>
    </row>
    <row r="528">
      <c r="A528" s="25"/>
      <c r="B528" s="42"/>
      <c r="C528" s="42"/>
      <c r="D528" s="42"/>
      <c r="E528" s="25"/>
      <c r="F528" s="42"/>
      <c r="G528" s="42"/>
      <c r="H528" s="42"/>
      <c r="I528" s="42"/>
    </row>
    <row r="529">
      <c r="A529" s="25"/>
      <c r="B529" s="42"/>
      <c r="C529" s="42"/>
      <c r="D529" s="42"/>
      <c r="E529" s="25"/>
      <c r="F529" s="42"/>
      <c r="G529" s="42"/>
      <c r="H529" s="42"/>
      <c r="I529" s="42"/>
    </row>
    <row r="530">
      <c r="A530" s="25"/>
      <c r="B530" s="42"/>
      <c r="C530" s="42"/>
      <c r="D530" s="42"/>
      <c r="E530" s="25"/>
      <c r="F530" s="42"/>
      <c r="G530" s="42"/>
      <c r="H530" s="42"/>
      <c r="I530" s="42"/>
    </row>
    <row r="531">
      <c r="A531" s="25"/>
      <c r="B531" s="42"/>
      <c r="C531" s="42"/>
      <c r="D531" s="42"/>
      <c r="E531" s="25"/>
      <c r="F531" s="42"/>
      <c r="G531" s="42"/>
      <c r="H531" s="42"/>
      <c r="I531" s="42"/>
    </row>
    <row r="532">
      <c r="A532" s="25"/>
      <c r="B532" s="42"/>
      <c r="C532" s="42"/>
      <c r="D532" s="42"/>
      <c r="E532" s="25"/>
      <c r="F532" s="42"/>
      <c r="G532" s="42"/>
      <c r="H532" s="42"/>
      <c r="I532" s="42"/>
    </row>
    <row r="533">
      <c r="A533" s="25"/>
      <c r="B533" s="42"/>
      <c r="C533" s="42"/>
      <c r="D533" s="42"/>
      <c r="E533" s="25"/>
      <c r="F533" s="42"/>
      <c r="G533" s="42"/>
      <c r="H533" s="42"/>
      <c r="I533" s="42"/>
    </row>
    <row r="534">
      <c r="A534" s="25"/>
      <c r="B534" s="42"/>
      <c r="C534" s="42"/>
      <c r="D534" s="42"/>
      <c r="E534" s="25"/>
      <c r="F534" s="42"/>
      <c r="G534" s="42"/>
      <c r="H534" s="42"/>
      <c r="I534" s="42"/>
    </row>
    <row r="535">
      <c r="A535" s="25"/>
      <c r="B535" s="42"/>
      <c r="C535" s="42"/>
      <c r="D535" s="42"/>
      <c r="E535" s="25"/>
      <c r="F535" s="42"/>
      <c r="G535" s="42"/>
      <c r="H535" s="42"/>
      <c r="I535" s="42"/>
    </row>
    <row r="536">
      <c r="A536" s="25"/>
      <c r="B536" s="42"/>
      <c r="C536" s="42"/>
      <c r="D536" s="42"/>
      <c r="E536" s="25"/>
      <c r="F536" s="42"/>
      <c r="G536" s="42"/>
      <c r="H536" s="42"/>
      <c r="I536" s="42"/>
    </row>
    <row r="537">
      <c r="A537" s="25"/>
      <c r="B537" s="42"/>
      <c r="C537" s="42"/>
      <c r="D537" s="42"/>
      <c r="E537" s="25"/>
      <c r="F537" s="42"/>
      <c r="G537" s="42"/>
      <c r="H537" s="42"/>
      <c r="I537" s="42"/>
    </row>
    <row r="538">
      <c r="A538" s="25"/>
      <c r="B538" s="42"/>
      <c r="C538" s="42"/>
      <c r="D538" s="42"/>
      <c r="E538" s="25"/>
      <c r="F538" s="42"/>
      <c r="G538" s="42"/>
      <c r="H538" s="42"/>
      <c r="I538" s="42"/>
    </row>
    <row r="539">
      <c r="A539" s="25"/>
      <c r="B539" s="42"/>
      <c r="C539" s="42"/>
      <c r="D539" s="42"/>
      <c r="E539" s="25"/>
      <c r="F539" s="42"/>
      <c r="G539" s="42"/>
      <c r="H539" s="42"/>
      <c r="I539" s="42"/>
    </row>
    <row r="540">
      <c r="A540" s="25"/>
      <c r="B540" s="42"/>
      <c r="C540" s="42"/>
      <c r="D540" s="42"/>
      <c r="E540" s="25"/>
      <c r="F540" s="42"/>
      <c r="G540" s="42"/>
      <c r="H540" s="42"/>
      <c r="I540" s="42"/>
    </row>
    <row r="541">
      <c r="A541" s="25"/>
      <c r="B541" s="42"/>
      <c r="C541" s="42"/>
      <c r="D541" s="42"/>
      <c r="E541" s="25"/>
      <c r="F541" s="42"/>
      <c r="G541" s="42"/>
      <c r="H541" s="42"/>
      <c r="I541" s="42"/>
    </row>
    <row r="542">
      <c r="A542" s="25"/>
      <c r="B542" s="42"/>
      <c r="C542" s="42"/>
      <c r="D542" s="42"/>
      <c r="E542" s="25"/>
      <c r="F542" s="42"/>
      <c r="G542" s="42"/>
      <c r="H542" s="42"/>
      <c r="I542" s="42"/>
    </row>
    <row r="543">
      <c r="A543" s="25"/>
      <c r="B543" s="42"/>
      <c r="C543" s="42"/>
      <c r="D543" s="42"/>
      <c r="E543" s="25"/>
      <c r="F543" s="42"/>
      <c r="G543" s="42"/>
      <c r="H543" s="42"/>
      <c r="I543" s="42"/>
    </row>
    <row r="544">
      <c r="A544" s="25"/>
      <c r="B544" s="42"/>
      <c r="C544" s="42"/>
      <c r="D544" s="42"/>
      <c r="E544" s="25"/>
      <c r="F544" s="42"/>
      <c r="G544" s="42"/>
      <c r="H544" s="42"/>
      <c r="I544" s="42"/>
    </row>
    <row r="545">
      <c r="A545" s="25"/>
      <c r="B545" s="42"/>
      <c r="C545" s="42"/>
      <c r="D545" s="42"/>
      <c r="E545" s="25"/>
      <c r="F545" s="42"/>
      <c r="G545" s="42"/>
      <c r="H545" s="42"/>
      <c r="I545" s="42"/>
    </row>
    <row r="546">
      <c r="A546" s="25"/>
      <c r="B546" s="42"/>
      <c r="C546" s="42"/>
      <c r="D546" s="42"/>
      <c r="E546" s="25"/>
      <c r="F546" s="42"/>
      <c r="G546" s="42"/>
      <c r="H546" s="42"/>
      <c r="I546" s="42"/>
    </row>
    <row r="547">
      <c r="A547" s="25"/>
      <c r="B547" s="42"/>
      <c r="C547" s="42"/>
      <c r="D547" s="42"/>
      <c r="E547" s="25"/>
      <c r="F547" s="42"/>
      <c r="G547" s="42"/>
      <c r="H547" s="42"/>
      <c r="I547" s="42"/>
    </row>
    <row r="548">
      <c r="A548" s="25"/>
      <c r="B548" s="42"/>
      <c r="C548" s="42"/>
      <c r="D548" s="42"/>
      <c r="E548" s="25"/>
      <c r="F548" s="42"/>
      <c r="G548" s="42"/>
      <c r="H548" s="42"/>
      <c r="I548" s="42"/>
    </row>
    <row r="549">
      <c r="A549" s="25"/>
      <c r="B549" s="42"/>
      <c r="C549" s="42"/>
      <c r="D549" s="42"/>
      <c r="E549" s="25"/>
      <c r="F549" s="42"/>
      <c r="G549" s="42"/>
      <c r="H549" s="42"/>
      <c r="I549" s="42"/>
    </row>
    <row r="550">
      <c r="A550" s="25"/>
      <c r="B550" s="42"/>
      <c r="C550" s="42"/>
      <c r="D550" s="42"/>
      <c r="E550" s="25"/>
      <c r="F550" s="42"/>
      <c r="G550" s="42"/>
      <c r="H550" s="42"/>
      <c r="I550" s="42"/>
    </row>
    <row r="551">
      <c r="A551" s="25"/>
      <c r="B551" s="42"/>
      <c r="C551" s="42"/>
      <c r="D551" s="42"/>
      <c r="E551" s="25"/>
      <c r="F551" s="42"/>
      <c r="G551" s="42"/>
      <c r="H551" s="42"/>
      <c r="I551" s="42"/>
    </row>
    <row r="552">
      <c r="A552" s="25"/>
      <c r="B552" s="42"/>
      <c r="C552" s="42"/>
      <c r="D552" s="42"/>
      <c r="E552" s="25"/>
      <c r="F552" s="42"/>
      <c r="G552" s="42"/>
      <c r="H552" s="42"/>
      <c r="I552" s="42"/>
    </row>
    <row r="553">
      <c r="A553" s="25"/>
      <c r="B553" s="42"/>
      <c r="C553" s="42"/>
      <c r="D553" s="42"/>
      <c r="E553" s="25"/>
      <c r="F553" s="42"/>
      <c r="G553" s="42"/>
      <c r="H553" s="42"/>
      <c r="I553" s="42"/>
    </row>
    <row r="554">
      <c r="A554" s="25"/>
      <c r="B554" s="42"/>
      <c r="C554" s="42"/>
      <c r="D554" s="42"/>
      <c r="E554" s="25"/>
      <c r="F554" s="42"/>
      <c r="G554" s="42"/>
      <c r="H554" s="42"/>
      <c r="I554" s="42"/>
    </row>
    <row r="555">
      <c r="A555" s="25"/>
      <c r="B555" s="42"/>
      <c r="C555" s="42"/>
      <c r="D555" s="42"/>
      <c r="E555" s="25"/>
      <c r="F555" s="42"/>
      <c r="G555" s="42"/>
      <c r="H555" s="42"/>
      <c r="I555" s="42"/>
    </row>
    <row r="556">
      <c r="A556" s="25"/>
      <c r="B556" s="42"/>
      <c r="C556" s="42"/>
      <c r="D556" s="42"/>
      <c r="E556" s="25"/>
      <c r="F556" s="42"/>
      <c r="G556" s="42"/>
      <c r="H556" s="42"/>
      <c r="I556" s="42"/>
    </row>
    <row r="557">
      <c r="A557" s="25"/>
      <c r="B557" s="42"/>
      <c r="C557" s="42"/>
      <c r="D557" s="42"/>
      <c r="E557" s="25"/>
      <c r="F557" s="42"/>
      <c r="G557" s="42"/>
      <c r="H557" s="42"/>
      <c r="I557" s="42"/>
    </row>
    <row r="558">
      <c r="A558" s="25"/>
      <c r="B558" s="42"/>
      <c r="C558" s="42"/>
      <c r="D558" s="42"/>
      <c r="E558" s="25"/>
      <c r="F558" s="42"/>
      <c r="G558" s="42"/>
      <c r="H558" s="42"/>
      <c r="I558" s="42"/>
    </row>
    <row r="559">
      <c r="A559" s="25"/>
      <c r="B559" s="42"/>
      <c r="C559" s="42"/>
      <c r="D559" s="42"/>
      <c r="E559" s="25"/>
      <c r="F559" s="42"/>
      <c r="G559" s="42"/>
      <c r="H559" s="42"/>
      <c r="I559" s="42"/>
    </row>
    <row r="560">
      <c r="A560" s="25"/>
      <c r="B560" s="42"/>
      <c r="C560" s="42"/>
      <c r="D560" s="42"/>
      <c r="E560" s="25"/>
      <c r="F560" s="42"/>
      <c r="G560" s="42"/>
      <c r="H560" s="42"/>
      <c r="I560" s="42"/>
    </row>
    <row r="561">
      <c r="A561" s="25"/>
      <c r="B561" s="42"/>
      <c r="C561" s="42"/>
      <c r="D561" s="42"/>
      <c r="E561" s="25"/>
      <c r="F561" s="42"/>
      <c r="G561" s="42"/>
      <c r="H561" s="42"/>
      <c r="I561" s="42"/>
    </row>
    <row r="562">
      <c r="A562" s="25"/>
      <c r="B562" s="42"/>
      <c r="C562" s="42"/>
      <c r="D562" s="42"/>
      <c r="E562" s="25"/>
      <c r="F562" s="42"/>
      <c r="G562" s="42"/>
      <c r="H562" s="42"/>
      <c r="I562" s="42"/>
    </row>
    <row r="563">
      <c r="A563" s="25"/>
      <c r="B563" s="42"/>
      <c r="C563" s="42"/>
      <c r="D563" s="42"/>
      <c r="E563" s="25"/>
      <c r="F563" s="42"/>
      <c r="G563" s="42"/>
      <c r="H563" s="42"/>
      <c r="I563" s="42"/>
    </row>
    <row r="564">
      <c r="A564" s="25"/>
      <c r="B564" s="42"/>
      <c r="C564" s="42"/>
      <c r="D564" s="42"/>
      <c r="E564" s="25"/>
      <c r="F564" s="42"/>
      <c r="G564" s="42"/>
      <c r="H564" s="42"/>
      <c r="I564" s="42"/>
    </row>
    <row r="565">
      <c r="A565" s="25"/>
      <c r="B565" s="42"/>
      <c r="C565" s="42"/>
      <c r="D565" s="42"/>
      <c r="E565" s="25"/>
      <c r="F565" s="42"/>
      <c r="G565" s="42"/>
      <c r="H565" s="42"/>
      <c r="I565" s="42"/>
    </row>
    <row r="566">
      <c r="A566" s="25"/>
      <c r="B566" s="42"/>
      <c r="C566" s="42"/>
      <c r="D566" s="42"/>
      <c r="E566" s="25"/>
      <c r="F566" s="42"/>
      <c r="G566" s="42"/>
      <c r="H566" s="42"/>
      <c r="I566" s="42"/>
    </row>
    <row r="567">
      <c r="A567" s="25"/>
      <c r="B567" s="42"/>
      <c r="C567" s="42"/>
      <c r="D567" s="42"/>
      <c r="E567" s="25"/>
      <c r="F567" s="42"/>
      <c r="G567" s="42"/>
      <c r="H567" s="42"/>
      <c r="I567" s="42"/>
    </row>
    <row r="568">
      <c r="A568" s="25"/>
      <c r="B568" s="42"/>
      <c r="C568" s="42"/>
      <c r="D568" s="42"/>
      <c r="E568" s="25"/>
      <c r="F568" s="42"/>
      <c r="G568" s="42"/>
      <c r="H568" s="42"/>
      <c r="I568" s="42"/>
    </row>
    <row r="569">
      <c r="A569" s="25"/>
      <c r="B569" s="42"/>
      <c r="C569" s="42"/>
      <c r="D569" s="42"/>
      <c r="E569" s="25"/>
      <c r="F569" s="42"/>
      <c r="G569" s="42"/>
      <c r="H569" s="42"/>
      <c r="I569" s="42"/>
    </row>
    <row r="570">
      <c r="A570" s="25"/>
      <c r="B570" s="42"/>
      <c r="C570" s="42"/>
      <c r="D570" s="42"/>
      <c r="E570" s="25"/>
      <c r="F570" s="42"/>
      <c r="G570" s="42"/>
      <c r="H570" s="42"/>
      <c r="I570" s="42"/>
    </row>
    <row r="571">
      <c r="A571" s="25"/>
      <c r="B571" s="42"/>
      <c r="C571" s="42"/>
      <c r="D571" s="42"/>
      <c r="E571" s="25"/>
      <c r="F571" s="42"/>
      <c r="G571" s="42"/>
      <c r="H571" s="42"/>
      <c r="I571" s="42"/>
    </row>
    <row r="572">
      <c r="A572" s="25"/>
      <c r="B572" s="42"/>
      <c r="C572" s="42"/>
      <c r="D572" s="42"/>
      <c r="E572" s="25"/>
      <c r="F572" s="42"/>
      <c r="G572" s="42"/>
      <c r="H572" s="42"/>
      <c r="I572" s="42"/>
    </row>
    <row r="573">
      <c r="A573" s="25"/>
      <c r="B573" s="42"/>
      <c r="C573" s="42"/>
      <c r="D573" s="42"/>
      <c r="E573" s="25"/>
      <c r="F573" s="42"/>
      <c r="G573" s="42"/>
      <c r="H573" s="42"/>
      <c r="I573" s="42"/>
    </row>
    <row r="574">
      <c r="A574" s="25"/>
      <c r="B574" s="42"/>
      <c r="C574" s="42"/>
      <c r="D574" s="42"/>
      <c r="E574" s="25"/>
      <c r="F574" s="42"/>
      <c r="G574" s="42"/>
      <c r="H574" s="42"/>
      <c r="I574" s="42"/>
    </row>
    <row r="575">
      <c r="A575" s="25"/>
      <c r="B575" s="42"/>
      <c r="C575" s="42"/>
      <c r="D575" s="42"/>
      <c r="E575" s="25"/>
      <c r="F575" s="42"/>
      <c r="G575" s="42"/>
      <c r="H575" s="42"/>
      <c r="I575" s="42"/>
    </row>
    <row r="576">
      <c r="A576" s="25"/>
      <c r="B576" s="42"/>
      <c r="C576" s="42"/>
      <c r="D576" s="42"/>
      <c r="E576" s="25"/>
      <c r="F576" s="42"/>
      <c r="G576" s="42"/>
      <c r="H576" s="42"/>
      <c r="I576" s="42"/>
    </row>
    <row r="577">
      <c r="A577" s="25"/>
      <c r="B577" s="42"/>
      <c r="C577" s="42"/>
      <c r="D577" s="42"/>
      <c r="E577" s="25"/>
      <c r="F577" s="42"/>
      <c r="G577" s="42"/>
      <c r="H577" s="42"/>
      <c r="I577" s="42"/>
    </row>
    <row r="578">
      <c r="A578" s="25"/>
      <c r="B578" s="42"/>
      <c r="C578" s="42"/>
      <c r="D578" s="42"/>
      <c r="E578" s="25"/>
      <c r="F578" s="42"/>
      <c r="G578" s="42"/>
      <c r="H578" s="42"/>
      <c r="I578" s="42"/>
    </row>
    <row r="579">
      <c r="A579" s="25"/>
      <c r="B579" s="42"/>
      <c r="C579" s="42"/>
      <c r="D579" s="42"/>
      <c r="E579" s="25"/>
      <c r="F579" s="42"/>
      <c r="G579" s="42"/>
      <c r="H579" s="42"/>
      <c r="I579" s="42"/>
    </row>
    <row r="580">
      <c r="A580" s="25"/>
      <c r="B580" s="42"/>
      <c r="C580" s="42"/>
      <c r="D580" s="42"/>
      <c r="E580" s="25"/>
      <c r="F580" s="42"/>
      <c r="G580" s="42"/>
      <c r="H580" s="42"/>
      <c r="I580" s="42"/>
    </row>
    <row r="581">
      <c r="A581" s="25"/>
      <c r="B581" s="42"/>
      <c r="C581" s="42"/>
      <c r="D581" s="42"/>
      <c r="E581" s="25"/>
      <c r="F581" s="42"/>
      <c r="G581" s="42"/>
      <c r="H581" s="42"/>
      <c r="I581" s="42"/>
    </row>
    <row r="582">
      <c r="A582" s="25"/>
      <c r="B582" s="42"/>
      <c r="C582" s="42"/>
      <c r="D582" s="42"/>
      <c r="E582" s="25"/>
      <c r="F582" s="42"/>
      <c r="G582" s="42"/>
      <c r="H582" s="42"/>
      <c r="I582" s="42"/>
    </row>
    <row r="583">
      <c r="A583" s="25"/>
      <c r="B583" s="42"/>
      <c r="C583" s="42"/>
      <c r="D583" s="42"/>
      <c r="E583" s="25"/>
      <c r="F583" s="42"/>
      <c r="G583" s="42"/>
      <c r="H583" s="42"/>
      <c r="I583" s="42"/>
    </row>
    <row r="584">
      <c r="A584" s="25"/>
      <c r="B584" s="42"/>
      <c r="C584" s="42"/>
      <c r="D584" s="42"/>
      <c r="E584" s="25"/>
      <c r="F584" s="42"/>
      <c r="G584" s="42"/>
      <c r="H584" s="42"/>
      <c r="I584" s="42"/>
    </row>
    <row r="585">
      <c r="A585" s="25"/>
      <c r="B585" s="42"/>
      <c r="C585" s="42"/>
      <c r="D585" s="42"/>
      <c r="E585" s="25"/>
      <c r="F585" s="42"/>
      <c r="G585" s="42"/>
      <c r="H585" s="42"/>
      <c r="I585" s="42"/>
    </row>
    <row r="586">
      <c r="A586" s="25"/>
      <c r="B586" s="42"/>
      <c r="C586" s="42"/>
      <c r="D586" s="42"/>
      <c r="E586" s="25"/>
      <c r="F586" s="42"/>
      <c r="G586" s="42"/>
      <c r="H586" s="42"/>
      <c r="I586" s="42"/>
    </row>
    <row r="587">
      <c r="A587" s="25"/>
      <c r="B587" s="42"/>
      <c r="C587" s="42"/>
      <c r="D587" s="42"/>
      <c r="E587" s="25"/>
      <c r="F587" s="42"/>
      <c r="G587" s="42"/>
      <c r="H587" s="42"/>
      <c r="I587" s="42"/>
    </row>
    <row r="588">
      <c r="A588" s="25"/>
      <c r="B588" s="42"/>
      <c r="C588" s="42"/>
      <c r="D588" s="42"/>
      <c r="E588" s="25"/>
      <c r="F588" s="42"/>
      <c r="G588" s="42"/>
      <c r="H588" s="42"/>
      <c r="I588" s="42"/>
    </row>
    <row r="589">
      <c r="A589" s="25"/>
      <c r="B589" s="42"/>
      <c r="C589" s="42"/>
      <c r="D589" s="42"/>
      <c r="E589" s="25"/>
      <c r="F589" s="42"/>
      <c r="G589" s="42"/>
      <c r="H589" s="42"/>
      <c r="I589" s="42"/>
    </row>
    <row r="590">
      <c r="A590" s="25"/>
      <c r="B590" s="42"/>
      <c r="C590" s="42"/>
      <c r="D590" s="42"/>
      <c r="E590" s="25"/>
      <c r="F590" s="42"/>
      <c r="G590" s="42"/>
      <c r="H590" s="42"/>
      <c r="I590" s="42"/>
    </row>
    <row r="591">
      <c r="A591" s="25"/>
      <c r="B591" s="42"/>
      <c r="C591" s="42"/>
      <c r="D591" s="42"/>
      <c r="E591" s="25"/>
      <c r="F591" s="42"/>
      <c r="G591" s="42"/>
      <c r="H591" s="42"/>
      <c r="I591" s="42"/>
    </row>
    <row r="592">
      <c r="A592" s="25"/>
      <c r="B592" s="42"/>
      <c r="C592" s="42"/>
      <c r="D592" s="42"/>
      <c r="E592" s="25"/>
      <c r="F592" s="42"/>
      <c r="G592" s="42"/>
      <c r="H592" s="42"/>
      <c r="I592" s="42"/>
    </row>
    <row r="593">
      <c r="A593" s="25"/>
      <c r="B593" s="42"/>
      <c r="C593" s="42"/>
      <c r="D593" s="42"/>
      <c r="E593" s="25"/>
      <c r="F593" s="42"/>
      <c r="G593" s="42"/>
      <c r="H593" s="42"/>
      <c r="I593" s="42"/>
    </row>
    <row r="594">
      <c r="A594" s="25"/>
      <c r="B594" s="42"/>
      <c r="C594" s="42"/>
      <c r="D594" s="42"/>
      <c r="E594" s="25"/>
      <c r="F594" s="42"/>
      <c r="G594" s="42"/>
      <c r="H594" s="42"/>
      <c r="I594" s="42"/>
    </row>
    <row r="595">
      <c r="A595" s="25"/>
      <c r="B595" s="42"/>
      <c r="C595" s="42"/>
      <c r="D595" s="42"/>
      <c r="E595" s="25"/>
      <c r="F595" s="42"/>
      <c r="G595" s="42"/>
      <c r="H595" s="42"/>
      <c r="I595" s="42"/>
    </row>
    <row r="596">
      <c r="A596" s="25"/>
      <c r="B596" s="42"/>
      <c r="C596" s="42"/>
      <c r="D596" s="42"/>
      <c r="E596" s="25"/>
      <c r="F596" s="42"/>
      <c r="G596" s="42"/>
      <c r="H596" s="42"/>
      <c r="I596" s="42"/>
    </row>
    <row r="597">
      <c r="A597" s="25"/>
      <c r="B597" s="42"/>
      <c r="C597" s="42"/>
      <c r="D597" s="42"/>
      <c r="E597" s="25"/>
      <c r="F597" s="42"/>
      <c r="G597" s="42"/>
      <c r="H597" s="42"/>
      <c r="I597" s="42"/>
    </row>
    <row r="598">
      <c r="A598" s="25"/>
      <c r="B598" s="42"/>
      <c r="C598" s="42"/>
      <c r="D598" s="42"/>
      <c r="E598" s="25"/>
      <c r="F598" s="42"/>
      <c r="G598" s="42"/>
      <c r="H598" s="42"/>
      <c r="I598" s="42"/>
    </row>
    <row r="599">
      <c r="A599" s="25"/>
      <c r="B599" s="42"/>
      <c r="C599" s="42"/>
      <c r="D599" s="42"/>
      <c r="E599" s="25"/>
      <c r="F599" s="42"/>
      <c r="G599" s="42"/>
      <c r="H599" s="42"/>
      <c r="I599" s="42"/>
    </row>
    <row r="600">
      <c r="A600" s="25"/>
      <c r="B600" s="42"/>
      <c r="C600" s="42"/>
      <c r="D600" s="42"/>
      <c r="E600" s="25"/>
      <c r="F600" s="42"/>
      <c r="G600" s="42"/>
      <c r="H600" s="42"/>
      <c r="I600" s="42"/>
    </row>
    <row r="601">
      <c r="A601" s="25"/>
      <c r="B601" s="42"/>
      <c r="C601" s="42"/>
      <c r="D601" s="42"/>
      <c r="E601" s="25"/>
      <c r="F601" s="42"/>
      <c r="G601" s="42"/>
      <c r="H601" s="42"/>
      <c r="I601" s="42"/>
    </row>
    <row r="602">
      <c r="A602" s="25"/>
      <c r="B602" s="42"/>
      <c r="C602" s="42"/>
      <c r="D602" s="42"/>
      <c r="E602" s="25"/>
      <c r="F602" s="42"/>
      <c r="G602" s="42"/>
      <c r="H602" s="42"/>
      <c r="I602" s="42"/>
    </row>
    <row r="603">
      <c r="A603" s="25"/>
      <c r="B603" s="42"/>
      <c r="C603" s="42"/>
      <c r="D603" s="42"/>
      <c r="E603" s="25"/>
      <c r="F603" s="42"/>
      <c r="G603" s="42"/>
      <c r="H603" s="42"/>
      <c r="I603" s="42"/>
    </row>
    <row r="604">
      <c r="A604" s="25"/>
      <c r="B604" s="42"/>
      <c r="C604" s="42"/>
      <c r="D604" s="42"/>
      <c r="E604" s="25"/>
      <c r="F604" s="42"/>
      <c r="G604" s="42"/>
      <c r="H604" s="42"/>
      <c r="I604" s="42"/>
    </row>
    <row r="605">
      <c r="A605" s="25"/>
      <c r="B605" s="42"/>
      <c r="C605" s="42"/>
      <c r="D605" s="42"/>
      <c r="E605" s="25"/>
      <c r="F605" s="42"/>
      <c r="G605" s="42"/>
      <c r="H605" s="42"/>
      <c r="I605" s="42"/>
    </row>
    <row r="606">
      <c r="A606" s="25"/>
      <c r="B606" s="42"/>
      <c r="C606" s="42"/>
      <c r="D606" s="42"/>
      <c r="E606" s="25"/>
      <c r="F606" s="42"/>
      <c r="G606" s="42"/>
      <c r="H606" s="42"/>
      <c r="I606" s="42"/>
    </row>
    <row r="607">
      <c r="A607" s="25"/>
      <c r="B607" s="42"/>
      <c r="C607" s="42"/>
      <c r="D607" s="42"/>
      <c r="E607" s="25"/>
      <c r="F607" s="42"/>
      <c r="G607" s="42"/>
      <c r="H607" s="42"/>
      <c r="I607" s="42"/>
    </row>
    <row r="608">
      <c r="A608" s="25"/>
      <c r="B608" s="42"/>
      <c r="C608" s="42"/>
      <c r="D608" s="42"/>
      <c r="E608" s="25"/>
      <c r="F608" s="42"/>
      <c r="G608" s="42"/>
      <c r="H608" s="42"/>
      <c r="I608" s="42"/>
    </row>
    <row r="609">
      <c r="A609" s="25"/>
      <c r="B609" s="42"/>
      <c r="C609" s="42"/>
      <c r="D609" s="42"/>
      <c r="E609" s="25"/>
      <c r="F609" s="42"/>
      <c r="G609" s="42"/>
      <c r="H609" s="42"/>
      <c r="I609" s="42"/>
    </row>
    <row r="610">
      <c r="A610" s="25"/>
      <c r="B610" s="42"/>
      <c r="C610" s="42"/>
      <c r="D610" s="42"/>
      <c r="E610" s="25"/>
      <c r="F610" s="42"/>
      <c r="G610" s="42"/>
      <c r="H610" s="42"/>
      <c r="I610" s="42"/>
    </row>
    <row r="611">
      <c r="A611" s="25"/>
      <c r="B611" s="42"/>
      <c r="C611" s="42"/>
      <c r="D611" s="42"/>
      <c r="E611" s="25"/>
      <c r="F611" s="42"/>
      <c r="G611" s="42"/>
      <c r="H611" s="42"/>
      <c r="I611" s="42"/>
    </row>
    <row r="612">
      <c r="A612" s="25"/>
      <c r="B612" s="42"/>
      <c r="C612" s="42"/>
      <c r="D612" s="42"/>
      <c r="E612" s="25"/>
      <c r="F612" s="42"/>
      <c r="G612" s="42"/>
      <c r="H612" s="42"/>
      <c r="I612" s="42"/>
    </row>
    <row r="613">
      <c r="A613" s="25"/>
      <c r="B613" s="42"/>
      <c r="C613" s="42"/>
      <c r="D613" s="42"/>
      <c r="E613" s="25"/>
      <c r="F613" s="42"/>
      <c r="G613" s="42"/>
      <c r="H613" s="42"/>
      <c r="I613" s="42"/>
    </row>
    <row r="614">
      <c r="A614" s="25"/>
      <c r="B614" s="42"/>
      <c r="C614" s="42"/>
      <c r="D614" s="42"/>
      <c r="E614" s="25"/>
      <c r="F614" s="42"/>
      <c r="G614" s="42"/>
      <c r="H614" s="42"/>
      <c r="I614" s="42"/>
    </row>
    <row r="615">
      <c r="A615" s="25"/>
      <c r="B615" s="42"/>
      <c r="C615" s="42"/>
      <c r="D615" s="42"/>
      <c r="E615" s="25"/>
      <c r="F615" s="42"/>
      <c r="G615" s="42"/>
      <c r="H615" s="42"/>
      <c r="I615" s="42"/>
    </row>
    <row r="616">
      <c r="A616" s="25"/>
      <c r="B616" s="42"/>
      <c r="C616" s="42"/>
      <c r="D616" s="42"/>
      <c r="E616" s="25"/>
      <c r="F616" s="42"/>
      <c r="G616" s="42"/>
      <c r="H616" s="42"/>
      <c r="I616" s="42"/>
    </row>
    <row r="617">
      <c r="A617" s="25"/>
      <c r="B617" s="42"/>
      <c r="C617" s="42"/>
      <c r="D617" s="42"/>
      <c r="E617" s="25"/>
      <c r="F617" s="42"/>
      <c r="G617" s="42"/>
      <c r="H617" s="42"/>
      <c r="I617" s="42"/>
    </row>
    <row r="618">
      <c r="A618" s="25"/>
      <c r="B618" s="42"/>
      <c r="C618" s="42"/>
      <c r="D618" s="42"/>
      <c r="E618" s="25"/>
      <c r="F618" s="42"/>
      <c r="G618" s="42"/>
      <c r="H618" s="42"/>
      <c r="I618" s="42"/>
    </row>
    <row r="619">
      <c r="A619" s="25"/>
      <c r="B619" s="42"/>
      <c r="C619" s="42"/>
      <c r="D619" s="42"/>
      <c r="E619" s="25"/>
      <c r="F619" s="42"/>
      <c r="G619" s="42"/>
      <c r="H619" s="42"/>
      <c r="I619" s="42"/>
    </row>
    <row r="620">
      <c r="A620" s="25"/>
      <c r="B620" s="42"/>
      <c r="C620" s="42"/>
      <c r="D620" s="42"/>
      <c r="E620" s="25"/>
      <c r="F620" s="42"/>
      <c r="G620" s="42"/>
      <c r="H620" s="42"/>
      <c r="I620" s="42"/>
    </row>
    <row r="621">
      <c r="A621" s="25"/>
      <c r="B621" s="42"/>
      <c r="C621" s="42"/>
      <c r="D621" s="42"/>
      <c r="E621" s="25"/>
      <c r="F621" s="42"/>
      <c r="G621" s="42"/>
      <c r="H621" s="42"/>
      <c r="I621" s="42"/>
    </row>
    <row r="622">
      <c r="A622" s="25"/>
      <c r="B622" s="42"/>
      <c r="C622" s="42"/>
      <c r="D622" s="42"/>
      <c r="E622" s="25"/>
      <c r="F622" s="42"/>
      <c r="G622" s="42"/>
      <c r="H622" s="42"/>
      <c r="I622" s="42"/>
    </row>
    <row r="623">
      <c r="A623" s="25"/>
      <c r="B623" s="42"/>
      <c r="C623" s="42"/>
      <c r="D623" s="42"/>
      <c r="E623" s="25"/>
      <c r="F623" s="42"/>
      <c r="G623" s="42"/>
      <c r="H623" s="42"/>
      <c r="I623" s="42"/>
    </row>
    <row r="624">
      <c r="A624" s="25"/>
      <c r="B624" s="42"/>
      <c r="C624" s="42"/>
      <c r="D624" s="42"/>
      <c r="E624" s="25"/>
      <c r="F624" s="42"/>
      <c r="G624" s="42"/>
      <c r="H624" s="42"/>
      <c r="I624" s="42"/>
    </row>
    <row r="625">
      <c r="A625" s="25"/>
      <c r="B625" s="42"/>
      <c r="C625" s="42"/>
      <c r="D625" s="42"/>
      <c r="E625" s="25"/>
      <c r="F625" s="42"/>
      <c r="G625" s="42"/>
      <c r="H625" s="42"/>
      <c r="I625" s="42"/>
    </row>
    <row r="626">
      <c r="A626" s="25"/>
      <c r="B626" s="42"/>
      <c r="C626" s="42"/>
      <c r="D626" s="42"/>
      <c r="E626" s="25"/>
      <c r="F626" s="42"/>
      <c r="G626" s="42"/>
      <c r="H626" s="42"/>
      <c r="I626" s="42"/>
    </row>
    <row r="627">
      <c r="A627" s="25"/>
      <c r="B627" s="42"/>
      <c r="C627" s="42"/>
      <c r="D627" s="42"/>
      <c r="E627" s="25"/>
      <c r="F627" s="42"/>
      <c r="G627" s="42"/>
      <c r="H627" s="42"/>
      <c r="I627" s="42"/>
    </row>
    <row r="628">
      <c r="A628" s="25"/>
      <c r="B628" s="42"/>
      <c r="C628" s="42"/>
      <c r="D628" s="42"/>
      <c r="E628" s="25"/>
      <c r="F628" s="42"/>
      <c r="G628" s="42"/>
      <c r="H628" s="42"/>
      <c r="I628" s="42"/>
    </row>
    <row r="629">
      <c r="A629" s="25"/>
      <c r="B629" s="42"/>
      <c r="C629" s="42"/>
      <c r="D629" s="42"/>
      <c r="E629" s="25"/>
      <c r="F629" s="42"/>
      <c r="G629" s="42"/>
      <c r="H629" s="42"/>
      <c r="I629" s="42"/>
    </row>
    <row r="630">
      <c r="A630" s="25"/>
      <c r="B630" s="42"/>
      <c r="C630" s="42"/>
      <c r="D630" s="42"/>
      <c r="E630" s="25"/>
      <c r="F630" s="42"/>
      <c r="G630" s="42"/>
      <c r="H630" s="42"/>
      <c r="I630" s="42"/>
    </row>
    <row r="631">
      <c r="A631" s="25"/>
      <c r="B631" s="42"/>
      <c r="C631" s="42"/>
      <c r="D631" s="42"/>
      <c r="E631" s="25"/>
      <c r="F631" s="42"/>
      <c r="G631" s="42"/>
      <c r="H631" s="42"/>
      <c r="I631" s="42"/>
    </row>
    <row r="632">
      <c r="A632" s="25"/>
      <c r="B632" s="42"/>
      <c r="C632" s="42"/>
      <c r="D632" s="42"/>
      <c r="E632" s="25"/>
      <c r="F632" s="42"/>
      <c r="G632" s="42"/>
      <c r="H632" s="42"/>
      <c r="I632" s="42"/>
    </row>
    <row r="633">
      <c r="A633" s="25"/>
      <c r="B633" s="42"/>
      <c r="C633" s="42"/>
      <c r="D633" s="42"/>
      <c r="E633" s="25"/>
      <c r="F633" s="42"/>
      <c r="G633" s="42"/>
      <c r="H633" s="42"/>
      <c r="I633" s="42"/>
    </row>
    <row r="634">
      <c r="A634" s="25"/>
      <c r="B634" s="42"/>
      <c r="C634" s="42"/>
      <c r="D634" s="42"/>
      <c r="E634" s="25"/>
      <c r="F634" s="42"/>
      <c r="G634" s="42"/>
      <c r="H634" s="42"/>
      <c r="I634" s="42"/>
    </row>
    <row r="635">
      <c r="A635" s="25"/>
      <c r="B635" s="42"/>
      <c r="C635" s="42"/>
      <c r="D635" s="42"/>
      <c r="E635" s="25"/>
      <c r="F635" s="42"/>
      <c r="G635" s="42"/>
      <c r="H635" s="42"/>
      <c r="I635" s="42"/>
    </row>
    <row r="636">
      <c r="A636" s="25"/>
      <c r="B636" s="42"/>
      <c r="C636" s="42"/>
      <c r="D636" s="42"/>
      <c r="E636" s="25"/>
      <c r="F636" s="42"/>
      <c r="G636" s="42"/>
      <c r="H636" s="42"/>
      <c r="I636" s="42"/>
    </row>
    <row r="637">
      <c r="A637" s="25"/>
      <c r="B637" s="42"/>
      <c r="C637" s="42"/>
      <c r="D637" s="42"/>
      <c r="E637" s="25"/>
      <c r="F637" s="42"/>
      <c r="G637" s="42"/>
      <c r="H637" s="42"/>
      <c r="I637" s="42"/>
    </row>
    <row r="638">
      <c r="A638" s="25"/>
      <c r="B638" s="42"/>
      <c r="C638" s="42"/>
      <c r="D638" s="42"/>
      <c r="E638" s="25"/>
      <c r="F638" s="42"/>
      <c r="G638" s="42"/>
      <c r="H638" s="42"/>
      <c r="I638" s="42"/>
    </row>
    <row r="639">
      <c r="A639" s="25"/>
      <c r="B639" s="42"/>
      <c r="C639" s="42"/>
      <c r="D639" s="42"/>
      <c r="E639" s="25"/>
      <c r="F639" s="42"/>
      <c r="G639" s="42"/>
      <c r="H639" s="42"/>
      <c r="I639" s="42"/>
    </row>
    <row r="640">
      <c r="A640" s="25"/>
      <c r="B640" s="42"/>
      <c r="C640" s="42"/>
      <c r="D640" s="42"/>
      <c r="E640" s="25"/>
      <c r="F640" s="42"/>
      <c r="G640" s="42"/>
      <c r="H640" s="42"/>
      <c r="I640" s="42"/>
    </row>
    <row r="641">
      <c r="A641" s="25"/>
      <c r="B641" s="42"/>
      <c r="C641" s="42"/>
      <c r="D641" s="42"/>
      <c r="E641" s="25"/>
      <c r="F641" s="42"/>
      <c r="G641" s="42"/>
      <c r="H641" s="42"/>
      <c r="I641" s="42"/>
    </row>
    <row r="642">
      <c r="A642" s="25"/>
      <c r="B642" s="42"/>
      <c r="C642" s="42"/>
      <c r="D642" s="42"/>
      <c r="E642" s="25"/>
      <c r="F642" s="42"/>
      <c r="G642" s="42"/>
      <c r="H642" s="42"/>
      <c r="I642" s="42"/>
    </row>
    <row r="643">
      <c r="A643" s="25"/>
      <c r="B643" s="42"/>
      <c r="C643" s="42"/>
      <c r="D643" s="42"/>
      <c r="E643" s="25"/>
      <c r="F643" s="42"/>
      <c r="G643" s="42"/>
      <c r="H643" s="42"/>
      <c r="I643" s="42"/>
    </row>
    <row r="644">
      <c r="A644" s="25"/>
      <c r="B644" s="42"/>
      <c r="C644" s="42"/>
      <c r="D644" s="42"/>
      <c r="E644" s="25"/>
      <c r="F644" s="42"/>
      <c r="G644" s="42"/>
      <c r="H644" s="42"/>
      <c r="I644" s="42"/>
    </row>
    <row r="645">
      <c r="A645" s="25"/>
      <c r="B645" s="42"/>
      <c r="C645" s="42"/>
      <c r="D645" s="42"/>
      <c r="E645" s="25"/>
      <c r="F645" s="42"/>
      <c r="G645" s="42"/>
      <c r="H645" s="42"/>
      <c r="I645" s="42"/>
    </row>
    <row r="646">
      <c r="A646" s="25"/>
      <c r="B646" s="42"/>
      <c r="C646" s="42"/>
      <c r="D646" s="42"/>
      <c r="E646" s="25"/>
      <c r="F646" s="42"/>
      <c r="G646" s="42"/>
      <c r="H646" s="42"/>
      <c r="I646" s="42"/>
    </row>
    <row r="647">
      <c r="A647" s="25"/>
      <c r="B647" s="42"/>
      <c r="C647" s="42"/>
      <c r="D647" s="42"/>
      <c r="E647" s="25"/>
      <c r="F647" s="42"/>
      <c r="G647" s="42"/>
      <c r="H647" s="42"/>
      <c r="I647" s="42"/>
    </row>
    <row r="648">
      <c r="A648" s="25"/>
      <c r="B648" s="42"/>
      <c r="C648" s="42"/>
      <c r="D648" s="42"/>
      <c r="E648" s="25"/>
      <c r="F648" s="42"/>
      <c r="G648" s="42"/>
      <c r="H648" s="42"/>
      <c r="I648" s="42"/>
    </row>
    <row r="649">
      <c r="A649" s="25"/>
      <c r="B649" s="42"/>
      <c r="C649" s="42"/>
      <c r="D649" s="42"/>
      <c r="E649" s="25"/>
      <c r="F649" s="42"/>
      <c r="G649" s="42"/>
      <c r="H649" s="42"/>
      <c r="I649" s="42"/>
    </row>
    <row r="650">
      <c r="A650" s="25"/>
      <c r="B650" s="42"/>
      <c r="C650" s="42"/>
      <c r="D650" s="42"/>
      <c r="E650" s="25"/>
      <c r="F650" s="42"/>
      <c r="G650" s="42"/>
      <c r="H650" s="42"/>
      <c r="I650" s="42"/>
    </row>
    <row r="651">
      <c r="A651" s="25"/>
      <c r="B651" s="42"/>
      <c r="C651" s="42"/>
      <c r="D651" s="42"/>
      <c r="E651" s="25"/>
      <c r="F651" s="42"/>
      <c r="G651" s="42"/>
      <c r="H651" s="42"/>
      <c r="I651" s="42"/>
    </row>
    <row r="652">
      <c r="A652" s="25"/>
      <c r="B652" s="42"/>
      <c r="C652" s="42"/>
      <c r="D652" s="42"/>
      <c r="E652" s="25"/>
      <c r="F652" s="42"/>
      <c r="G652" s="42"/>
      <c r="H652" s="42"/>
      <c r="I652" s="42"/>
    </row>
    <row r="653">
      <c r="A653" s="25"/>
      <c r="B653" s="42"/>
      <c r="C653" s="42"/>
      <c r="D653" s="42"/>
      <c r="E653" s="25"/>
      <c r="F653" s="42"/>
      <c r="G653" s="42"/>
      <c r="H653" s="42"/>
      <c r="I653" s="42"/>
    </row>
    <row r="654">
      <c r="A654" s="25"/>
      <c r="B654" s="42"/>
      <c r="C654" s="42"/>
      <c r="D654" s="42"/>
      <c r="E654" s="25"/>
      <c r="F654" s="42"/>
      <c r="G654" s="42"/>
      <c r="H654" s="42"/>
      <c r="I654" s="42"/>
    </row>
    <row r="655">
      <c r="A655" s="25"/>
      <c r="B655" s="42"/>
      <c r="C655" s="42"/>
      <c r="D655" s="42"/>
      <c r="E655" s="25"/>
      <c r="F655" s="42"/>
      <c r="G655" s="42"/>
      <c r="H655" s="42"/>
      <c r="I655" s="42"/>
    </row>
    <row r="656">
      <c r="A656" s="25"/>
      <c r="B656" s="42"/>
      <c r="C656" s="42"/>
      <c r="D656" s="42"/>
      <c r="E656" s="25"/>
      <c r="F656" s="42"/>
      <c r="G656" s="42"/>
      <c r="H656" s="42"/>
      <c r="I656" s="42"/>
    </row>
    <row r="657">
      <c r="A657" s="25"/>
      <c r="B657" s="42"/>
      <c r="C657" s="42"/>
      <c r="D657" s="42"/>
      <c r="E657" s="25"/>
      <c r="F657" s="42"/>
      <c r="G657" s="42"/>
      <c r="H657" s="42"/>
      <c r="I657" s="42"/>
    </row>
    <row r="658">
      <c r="A658" s="25"/>
      <c r="B658" s="42"/>
      <c r="C658" s="42"/>
      <c r="D658" s="42"/>
      <c r="E658" s="25"/>
      <c r="F658" s="42"/>
      <c r="G658" s="42"/>
      <c r="H658" s="42"/>
      <c r="I658" s="42"/>
    </row>
    <row r="659">
      <c r="A659" s="25"/>
      <c r="B659" s="42"/>
      <c r="C659" s="42"/>
      <c r="D659" s="42"/>
      <c r="E659" s="25"/>
      <c r="F659" s="42"/>
      <c r="G659" s="42"/>
      <c r="H659" s="42"/>
      <c r="I659" s="42"/>
    </row>
    <row r="660">
      <c r="A660" s="25"/>
      <c r="B660" s="42"/>
      <c r="C660" s="42"/>
      <c r="D660" s="42"/>
      <c r="E660" s="25"/>
      <c r="F660" s="42"/>
      <c r="G660" s="42"/>
      <c r="H660" s="42"/>
      <c r="I660" s="42"/>
    </row>
    <row r="661">
      <c r="A661" s="25"/>
      <c r="B661" s="42"/>
      <c r="C661" s="42"/>
      <c r="D661" s="42"/>
      <c r="E661" s="25"/>
      <c r="F661" s="42"/>
      <c r="G661" s="42"/>
      <c r="H661" s="42"/>
      <c r="I661" s="42"/>
    </row>
    <row r="662">
      <c r="A662" s="25"/>
      <c r="B662" s="42"/>
      <c r="C662" s="42"/>
      <c r="D662" s="42"/>
      <c r="E662" s="25"/>
      <c r="F662" s="42"/>
      <c r="G662" s="42"/>
      <c r="H662" s="42"/>
      <c r="I662" s="42"/>
    </row>
    <row r="663">
      <c r="A663" s="25"/>
      <c r="B663" s="42"/>
      <c r="C663" s="42"/>
      <c r="D663" s="42"/>
      <c r="E663" s="25"/>
      <c r="F663" s="42"/>
      <c r="G663" s="42"/>
      <c r="H663" s="42"/>
      <c r="I663" s="42"/>
    </row>
    <row r="664">
      <c r="A664" s="25"/>
      <c r="B664" s="42"/>
      <c r="C664" s="42"/>
      <c r="D664" s="42"/>
      <c r="E664" s="25"/>
      <c r="F664" s="42"/>
      <c r="G664" s="42"/>
      <c r="H664" s="42"/>
      <c r="I664" s="42"/>
    </row>
    <row r="665">
      <c r="A665" s="25"/>
      <c r="B665" s="42"/>
      <c r="C665" s="42"/>
      <c r="D665" s="42"/>
      <c r="E665" s="25"/>
      <c r="F665" s="42"/>
      <c r="G665" s="42"/>
      <c r="H665" s="42"/>
      <c r="I665" s="42"/>
    </row>
    <row r="666">
      <c r="A666" s="25"/>
      <c r="B666" s="42"/>
      <c r="C666" s="42"/>
      <c r="D666" s="42"/>
      <c r="E666" s="25"/>
      <c r="F666" s="42"/>
      <c r="G666" s="42"/>
      <c r="H666" s="42"/>
      <c r="I666" s="42"/>
    </row>
    <row r="667">
      <c r="A667" s="25"/>
      <c r="B667" s="42"/>
      <c r="C667" s="42"/>
      <c r="D667" s="42"/>
      <c r="E667" s="25"/>
      <c r="F667" s="42"/>
      <c r="G667" s="42"/>
      <c r="H667" s="42"/>
      <c r="I667" s="42"/>
    </row>
    <row r="668">
      <c r="A668" s="25"/>
      <c r="B668" s="42"/>
      <c r="C668" s="42"/>
      <c r="D668" s="42"/>
      <c r="E668" s="25"/>
      <c r="F668" s="42"/>
      <c r="G668" s="42"/>
      <c r="H668" s="42"/>
      <c r="I668" s="42"/>
    </row>
    <row r="669">
      <c r="A669" s="25"/>
      <c r="B669" s="42"/>
      <c r="C669" s="42"/>
      <c r="D669" s="42"/>
      <c r="E669" s="25"/>
      <c r="F669" s="42"/>
      <c r="G669" s="42"/>
      <c r="H669" s="42"/>
      <c r="I669" s="42"/>
    </row>
    <row r="670">
      <c r="A670" s="25"/>
      <c r="B670" s="42"/>
      <c r="C670" s="42"/>
      <c r="D670" s="42"/>
      <c r="E670" s="25"/>
      <c r="F670" s="42"/>
      <c r="G670" s="42"/>
      <c r="H670" s="42"/>
      <c r="I670" s="42"/>
    </row>
    <row r="671">
      <c r="A671" s="25"/>
      <c r="B671" s="42"/>
      <c r="C671" s="42"/>
      <c r="D671" s="42"/>
      <c r="E671" s="25"/>
      <c r="F671" s="42"/>
      <c r="G671" s="42"/>
      <c r="H671" s="42"/>
      <c r="I671" s="42"/>
    </row>
    <row r="672">
      <c r="A672" s="25"/>
      <c r="B672" s="42"/>
      <c r="C672" s="42"/>
      <c r="D672" s="42"/>
      <c r="E672" s="25"/>
      <c r="F672" s="42"/>
      <c r="G672" s="42"/>
      <c r="H672" s="42"/>
      <c r="I672" s="42"/>
    </row>
    <row r="673">
      <c r="A673" s="25"/>
      <c r="B673" s="42"/>
      <c r="C673" s="42"/>
      <c r="D673" s="42"/>
      <c r="E673" s="25"/>
      <c r="F673" s="42"/>
      <c r="G673" s="42"/>
      <c r="H673" s="42"/>
      <c r="I673" s="42"/>
    </row>
    <row r="674">
      <c r="A674" s="25"/>
      <c r="B674" s="42"/>
      <c r="C674" s="42"/>
      <c r="D674" s="42"/>
      <c r="E674" s="25"/>
      <c r="F674" s="42"/>
      <c r="G674" s="42"/>
      <c r="H674" s="42"/>
      <c r="I674" s="42"/>
    </row>
    <row r="675">
      <c r="A675" s="25"/>
      <c r="B675" s="42"/>
      <c r="C675" s="42"/>
      <c r="D675" s="42"/>
      <c r="E675" s="25"/>
      <c r="F675" s="42"/>
      <c r="G675" s="42"/>
      <c r="H675" s="42"/>
      <c r="I675" s="42"/>
    </row>
    <row r="676">
      <c r="A676" s="25"/>
      <c r="B676" s="42"/>
      <c r="C676" s="42"/>
      <c r="D676" s="42"/>
      <c r="E676" s="25"/>
      <c r="F676" s="42"/>
      <c r="G676" s="42"/>
      <c r="H676" s="42"/>
      <c r="I676" s="42"/>
    </row>
    <row r="677">
      <c r="A677" s="25"/>
      <c r="B677" s="42"/>
      <c r="C677" s="42"/>
      <c r="D677" s="42"/>
      <c r="E677" s="25"/>
      <c r="F677" s="42"/>
      <c r="G677" s="42"/>
      <c r="H677" s="42"/>
      <c r="I677" s="42"/>
    </row>
    <row r="678">
      <c r="A678" s="25"/>
      <c r="B678" s="42"/>
      <c r="C678" s="42"/>
      <c r="D678" s="42"/>
      <c r="E678" s="25"/>
      <c r="F678" s="42"/>
      <c r="G678" s="42"/>
      <c r="H678" s="42"/>
      <c r="I678" s="42"/>
    </row>
    <row r="679">
      <c r="A679" s="25"/>
      <c r="B679" s="42"/>
      <c r="C679" s="42"/>
      <c r="D679" s="42"/>
      <c r="E679" s="25"/>
      <c r="F679" s="42"/>
      <c r="G679" s="42"/>
      <c r="H679" s="42"/>
      <c r="I679" s="42"/>
    </row>
    <row r="680">
      <c r="A680" s="25"/>
      <c r="B680" s="42"/>
      <c r="C680" s="42"/>
      <c r="D680" s="42"/>
      <c r="E680" s="25"/>
      <c r="F680" s="42"/>
      <c r="G680" s="42"/>
      <c r="H680" s="42"/>
      <c r="I680" s="42"/>
    </row>
    <row r="681">
      <c r="A681" s="25"/>
      <c r="B681" s="42"/>
      <c r="C681" s="42"/>
      <c r="D681" s="42"/>
      <c r="E681" s="25"/>
      <c r="F681" s="42"/>
      <c r="G681" s="42"/>
      <c r="H681" s="42"/>
      <c r="I681" s="42"/>
    </row>
    <row r="682">
      <c r="A682" s="25"/>
      <c r="B682" s="42"/>
      <c r="C682" s="42"/>
      <c r="D682" s="42"/>
      <c r="E682" s="25"/>
      <c r="F682" s="42"/>
      <c r="G682" s="42"/>
      <c r="H682" s="42"/>
      <c r="I682" s="42"/>
    </row>
    <row r="683">
      <c r="A683" s="25"/>
      <c r="B683" s="42"/>
      <c r="C683" s="42"/>
      <c r="D683" s="42"/>
      <c r="E683" s="25"/>
      <c r="F683" s="42"/>
      <c r="G683" s="42"/>
      <c r="H683" s="42"/>
      <c r="I683" s="42"/>
    </row>
    <row r="684">
      <c r="A684" s="25"/>
      <c r="B684" s="42"/>
      <c r="C684" s="42"/>
      <c r="D684" s="42"/>
      <c r="E684" s="25"/>
      <c r="F684" s="42"/>
      <c r="G684" s="42"/>
      <c r="H684" s="42"/>
      <c r="I684" s="42"/>
    </row>
    <row r="685">
      <c r="A685" s="25"/>
      <c r="B685" s="42"/>
      <c r="C685" s="42"/>
      <c r="D685" s="42"/>
      <c r="E685" s="25"/>
      <c r="F685" s="42"/>
      <c r="G685" s="42"/>
      <c r="H685" s="42"/>
      <c r="I685" s="42"/>
    </row>
    <row r="686">
      <c r="A686" s="25"/>
      <c r="B686" s="42"/>
      <c r="C686" s="42"/>
      <c r="D686" s="42"/>
      <c r="E686" s="25"/>
      <c r="F686" s="42"/>
      <c r="G686" s="42"/>
      <c r="H686" s="42"/>
      <c r="I686" s="42"/>
    </row>
    <row r="687">
      <c r="A687" s="25"/>
      <c r="B687" s="42"/>
      <c r="C687" s="42"/>
      <c r="D687" s="42"/>
      <c r="E687" s="25"/>
      <c r="F687" s="42"/>
      <c r="G687" s="42"/>
      <c r="H687" s="42"/>
      <c r="I687" s="42"/>
    </row>
    <row r="688">
      <c r="A688" s="25"/>
      <c r="B688" s="42"/>
      <c r="C688" s="42"/>
      <c r="D688" s="42"/>
      <c r="E688" s="25"/>
      <c r="F688" s="42"/>
      <c r="G688" s="42"/>
      <c r="H688" s="42"/>
      <c r="I688" s="42"/>
    </row>
    <row r="689">
      <c r="A689" s="25"/>
      <c r="B689" s="42"/>
      <c r="C689" s="42"/>
      <c r="D689" s="42"/>
      <c r="E689" s="25"/>
      <c r="F689" s="42"/>
      <c r="G689" s="42"/>
      <c r="H689" s="42"/>
      <c r="I689" s="42"/>
    </row>
    <row r="690">
      <c r="A690" s="25"/>
      <c r="B690" s="42"/>
      <c r="C690" s="42"/>
      <c r="D690" s="42"/>
      <c r="E690" s="25"/>
      <c r="F690" s="42"/>
      <c r="G690" s="42"/>
      <c r="H690" s="42"/>
      <c r="I690" s="42"/>
    </row>
    <row r="691">
      <c r="A691" s="25"/>
      <c r="B691" s="42"/>
      <c r="C691" s="42"/>
      <c r="D691" s="42"/>
      <c r="E691" s="25"/>
      <c r="F691" s="42"/>
      <c r="G691" s="42"/>
      <c r="H691" s="42"/>
      <c r="I691" s="42"/>
    </row>
    <row r="692">
      <c r="A692" s="25"/>
      <c r="B692" s="42"/>
      <c r="C692" s="42"/>
      <c r="D692" s="42"/>
      <c r="E692" s="25"/>
      <c r="F692" s="42"/>
      <c r="G692" s="42"/>
      <c r="H692" s="42"/>
      <c r="I692" s="42"/>
    </row>
    <row r="693">
      <c r="A693" s="25"/>
      <c r="B693" s="42"/>
      <c r="C693" s="42"/>
      <c r="D693" s="42"/>
      <c r="E693" s="25"/>
      <c r="F693" s="42"/>
      <c r="G693" s="42"/>
      <c r="H693" s="42"/>
      <c r="I693" s="42"/>
    </row>
    <row r="694">
      <c r="A694" s="25"/>
      <c r="B694" s="42"/>
      <c r="C694" s="42"/>
      <c r="D694" s="42"/>
      <c r="E694" s="25"/>
      <c r="F694" s="42"/>
      <c r="G694" s="42"/>
      <c r="H694" s="42"/>
      <c r="I694" s="42"/>
    </row>
    <row r="695">
      <c r="A695" s="25"/>
      <c r="B695" s="42"/>
      <c r="C695" s="42"/>
      <c r="D695" s="42"/>
      <c r="E695" s="25"/>
      <c r="F695" s="42"/>
      <c r="G695" s="42"/>
      <c r="H695" s="42"/>
      <c r="I695" s="42"/>
    </row>
    <row r="696">
      <c r="A696" s="25"/>
      <c r="B696" s="42"/>
      <c r="C696" s="42"/>
      <c r="D696" s="42"/>
      <c r="E696" s="25"/>
      <c r="F696" s="42"/>
      <c r="G696" s="42"/>
      <c r="H696" s="42"/>
      <c r="I696" s="42"/>
    </row>
    <row r="697">
      <c r="A697" s="25"/>
      <c r="B697" s="42"/>
      <c r="C697" s="42"/>
      <c r="D697" s="42"/>
      <c r="E697" s="25"/>
      <c r="F697" s="42"/>
      <c r="G697" s="42"/>
      <c r="H697" s="42"/>
      <c r="I697" s="42"/>
    </row>
    <row r="698">
      <c r="A698" s="25"/>
      <c r="B698" s="42"/>
      <c r="C698" s="42"/>
      <c r="D698" s="42"/>
      <c r="E698" s="25"/>
      <c r="F698" s="42"/>
      <c r="G698" s="42"/>
      <c r="H698" s="42"/>
      <c r="I698" s="42"/>
    </row>
    <row r="699">
      <c r="A699" s="25"/>
      <c r="B699" s="42"/>
      <c r="C699" s="42"/>
      <c r="D699" s="42"/>
      <c r="E699" s="25"/>
      <c r="F699" s="42"/>
      <c r="G699" s="42"/>
      <c r="H699" s="42"/>
      <c r="I699" s="42"/>
    </row>
    <row r="700">
      <c r="A700" s="25"/>
      <c r="B700" s="42"/>
      <c r="C700" s="42"/>
      <c r="D700" s="42"/>
      <c r="E700" s="25"/>
      <c r="F700" s="42"/>
      <c r="G700" s="42"/>
      <c r="H700" s="42"/>
      <c r="I700" s="42"/>
    </row>
    <row r="701">
      <c r="A701" s="25"/>
      <c r="B701" s="42"/>
      <c r="C701" s="42"/>
      <c r="D701" s="42"/>
      <c r="E701" s="25"/>
      <c r="F701" s="42"/>
      <c r="G701" s="42"/>
      <c r="H701" s="42"/>
      <c r="I701" s="42"/>
    </row>
    <row r="702">
      <c r="A702" s="25"/>
      <c r="B702" s="42"/>
      <c r="C702" s="42"/>
      <c r="D702" s="42"/>
      <c r="E702" s="25"/>
      <c r="F702" s="42"/>
      <c r="G702" s="42"/>
      <c r="H702" s="42"/>
      <c r="I702" s="42"/>
    </row>
    <row r="703">
      <c r="A703" s="25"/>
      <c r="B703" s="42"/>
      <c r="C703" s="42"/>
      <c r="D703" s="42"/>
      <c r="E703" s="25"/>
      <c r="F703" s="42"/>
      <c r="G703" s="42"/>
      <c r="H703" s="42"/>
      <c r="I703" s="42"/>
    </row>
    <row r="704">
      <c r="A704" s="25"/>
      <c r="B704" s="42"/>
      <c r="C704" s="42"/>
      <c r="D704" s="42"/>
      <c r="E704" s="25"/>
      <c r="F704" s="42"/>
      <c r="G704" s="42"/>
      <c r="H704" s="42"/>
      <c r="I704" s="42"/>
    </row>
    <row r="705">
      <c r="A705" s="25"/>
      <c r="B705" s="42"/>
      <c r="C705" s="42"/>
      <c r="D705" s="42"/>
      <c r="E705" s="25"/>
      <c r="F705" s="42"/>
      <c r="G705" s="42"/>
      <c r="H705" s="42"/>
      <c r="I705" s="42"/>
    </row>
    <row r="706">
      <c r="A706" s="25"/>
      <c r="B706" s="42"/>
      <c r="C706" s="42"/>
      <c r="D706" s="42"/>
      <c r="E706" s="25"/>
      <c r="F706" s="42"/>
      <c r="G706" s="42"/>
      <c r="H706" s="42"/>
      <c r="I706" s="42"/>
    </row>
    <row r="707">
      <c r="A707" s="25"/>
      <c r="B707" s="42"/>
      <c r="C707" s="42"/>
      <c r="D707" s="42"/>
      <c r="E707" s="25"/>
      <c r="F707" s="42"/>
      <c r="G707" s="42"/>
      <c r="H707" s="42"/>
      <c r="I707" s="42"/>
    </row>
    <row r="708">
      <c r="A708" s="25"/>
      <c r="B708" s="42"/>
      <c r="C708" s="42"/>
      <c r="D708" s="42"/>
      <c r="E708" s="25"/>
      <c r="F708" s="42"/>
      <c r="G708" s="42"/>
      <c r="H708" s="42"/>
      <c r="I708" s="42"/>
    </row>
    <row r="709">
      <c r="A709" s="25"/>
      <c r="B709" s="42"/>
      <c r="C709" s="42"/>
      <c r="D709" s="42"/>
      <c r="E709" s="25"/>
      <c r="F709" s="42"/>
      <c r="G709" s="42"/>
      <c r="H709" s="42"/>
      <c r="I709" s="42"/>
    </row>
    <row r="710">
      <c r="A710" s="25"/>
      <c r="B710" s="42"/>
      <c r="C710" s="42"/>
      <c r="D710" s="42"/>
      <c r="E710" s="25"/>
      <c r="F710" s="42"/>
      <c r="G710" s="42"/>
      <c r="H710" s="42"/>
      <c r="I710" s="42"/>
    </row>
    <row r="711">
      <c r="A711" s="25"/>
      <c r="B711" s="42"/>
      <c r="C711" s="42"/>
      <c r="D711" s="42"/>
      <c r="E711" s="25"/>
      <c r="F711" s="42"/>
      <c r="G711" s="42"/>
      <c r="H711" s="42"/>
      <c r="I711" s="42"/>
    </row>
    <row r="712">
      <c r="A712" s="25"/>
      <c r="B712" s="42"/>
      <c r="C712" s="42"/>
      <c r="D712" s="42"/>
      <c r="E712" s="25"/>
      <c r="F712" s="42"/>
      <c r="G712" s="42"/>
      <c r="H712" s="42"/>
      <c r="I712" s="42"/>
    </row>
    <row r="713">
      <c r="A713" s="25"/>
      <c r="B713" s="42"/>
      <c r="C713" s="42"/>
      <c r="D713" s="42"/>
      <c r="E713" s="25"/>
      <c r="F713" s="42"/>
      <c r="G713" s="42"/>
      <c r="H713" s="42"/>
      <c r="I713" s="42"/>
    </row>
    <row r="714">
      <c r="A714" s="25"/>
      <c r="B714" s="42"/>
      <c r="C714" s="42"/>
      <c r="D714" s="42"/>
      <c r="E714" s="25"/>
      <c r="F714" s="42"/>
      <c r="G714" s="42"/>
      <c r="H714" s="42"/>
      <c r="I714" s="42"/>
    </row>
    <row r="715">
      <c r="A715" s="25"/>
      <c r="B715" s="42"/>
      <c r="C715" s="42"/>
      <c r="D715" s="42"/>
      <c r="E715" s="25"/>
      <c r="F715" s="42"/>
      <c r="G715" s="42"/>
      <c r="H715" s="42"/>
      <c r="I715" s="42"/>
    </row>
    <row r="716">
      <c r="A716" s="25"/>
      <c r="B716" s="42"/>
      <c r="C716" s="42"/>
      <c r="D716" s="42"/>
      <c r="E716" s="25"/>
      <c r="F716" s="42"/>
      <c r="G716" s="42"/>
      <c r="H716" s="42"/>
      <c r="I716" s="42"/>
    </row>
    <row r="717">
      <c r="A717" s="25"/>
      <c r="B717" s="42"/>
      <c r="C717" s="42"/>
      <c r="D717" s="42"/>
      <c r="E717" s="25"/>
      <c r="F717" s="42"/>
      <c r="G717" s="42"/>
      <c r="H717" s="42"/>
      <c r="I717" s="42"/>
    </row>
    <row r="718">
      <c r="A718" s="25"/>
      <c r="B718" s="42"/>
      <c r="C718" s="42"/>
      <c r="D718" s="42"/>
      <c r="E718" s="25"/>
      <c r="F718" s="42"/>
      <c r="G718" s="42"/>
      <c r="H718" s="42"/>
      <c r="I718" s="42"/>
    </row>
    <row r="719">
      <c r="A719" s="25"/>
      <c r="B719" s="42"/>
      <c r="C719" s="42"/>
      <c r="D719" s="42"/>
      <c r="E719" s="25"/>
      <c r="F719" s="42"/>
      <c r="G719" s="42"/>
      <c r="H719" s="42"/>
      <c r="I719" s="42"/>
    </row>
    <row r="720">
      <c r="A720" s="25"/>
      <c r="B720" s="42"/>
      <c r="C720" s="42"/>
      <c r="D720" s="42"/>
      <c r="E720" s="25"/>
      <c r="F720" s="42"/>
      <c r="G720" s="42"/>
      <c r="H720" s="42"/>
      <c r="I720" s="42"/>
    </row>
    <row r="721">
      <c r="A721" s="25"/>
      <c r="B721" s="42"/>
      <c r="C721" s="42"/>
      <c r="D721" s="42"/>
      <c r="E721" s="25"/>
      <c r="F721" s="42"/>
      <c r="G721" s="42"/>
      <c r="H721" s="42"/>
      <c r="I721" s="42"/>
    </row>
    <row r="722">
      <c r="A722" s="25"/>
      <c r="B722" s="42"/>
      <c r="C722" s="42"/>
      <c r="D722" s="42"/>
      <c r="E722" s="25"/>
      <c r="F722" s="42"/>
      <c r="G722" s="42"/>
      <c r="H722" s="42"/>
      <c r="I722" s="42"/>
    </row>
    <row r="723">
      <c r="A723" s="25"/>
      <c r="B723" s="42"/>
      <c r="C723" s="42"/>
      <c r="D723" s="42"/>
      <c r="E723" s="25"/>
      <c r="F723" s="42"/>
      <c r="G723" s="42"/>
      <c r="H723" s="42"/>
      <c r="I723" s="42"/>
    </row>
    <row r="724">
      <c r="A724" s="25"/>
      <c r="B724" s="42"/>
      <c r="C724" s="42"/>
      <c r="D724" s="42"/>
      <c r="E724" s="25"/>
      <c r="F724" s="42"/>
      <c r="G724" s="42"/>
      <c r="H724" s="42"/>
      <c r="I724" s="42"/>
    </row>
    <row r="725">
      <c r="A725" s="25"/>
      <c r="B725" s="42"/>
      <c r="C725" s="42"/>
      <c r="D725" s="42"/>
      <c r="E725" s="25"/>
      <c r="F725" s="42"/>
      <c r="G725" s="42"/>
      <c r="H725" s="42"/>
      <c r="I725" s="42"/>
    </row>
    <row r="726">
      <c r="A726" s="25"/>
      <c r="B726" s="42"/>
      <c r="C726" s="42"/>
      <c r="D726" s="42"/>
      <c r="E726" s="25"/>
      <c r="F726" s="42"/>
      <c r="G726" s="42"/>
      <c r="H726" s="42"/>
      <c r="I726" s="42"/>
    </row>
    <row r="727">
      <c r="A727" s="25"/>
      <c r="B727" s="42"/>
      <c r="C727" s="42"/>
      <c r="D727" s="42"/>
      <c r="E727" s="25"/>
      <c r="F727" s="42"/>
      <c r="G727" s="42"/>
      <c r="H727" s="42"/>
      <c r="I727" s="42"/>
    </row>
    <row r="728">
      <c r="A728" s="25"/>
      <c r="B728" s="42"/>
      <c r="C728" s="42"/>
      <c r="D728" s="42"/>
      <c r="E728" s="25"/>
      <c r="F728" s="42"/>
      <c r="G728" s="42"/>
      <c r="H728" s="42"/>
      <c r="I728" s="42"/>
    </row>
    <row r="729">
      <c r="A729" s="25"/>
      <c r="B729" s="42"/>
      <c r="C729" s="42"/>
      <c r="D729" s="42"/>
      <c r="E729" s="25"/>
      <c r="F729" s="42"/>
      <c r="G729" s="42"/>
      <c r="H729" s="42"/>
      <c r="I729" s="42"/>
    </row>
    <row r="730">
      <c r="A730" s="25"/>
      <c r="B730" s="42"/>
      <c r="C730" s="42"/>
      <c r="D730" s="42"/>
      <c r="E730" s="25"/>
      <c r="F730" s="42"/>
      <c r="G730" s="42"/>
      <c r="H730" s="42"/>
      <c r="I730" s="42"/>
    </row>
    <row r="731">
      <c r="A731" s="25"/>
      <c r="B731" s="42"/>
      <c r="C731" s="42"/>
      <c r="D731" s="42"/>
      <c r="E731" s="25"/>
      <c r="F731" s="42"/>
      <c r="G731" s="42"/>
      <c r="H731" s="42"/>
      <c r="I731" s="42"/>
    </row>
    <row r="732">
      <c r="A732" s="25"/>
      <c r="B732" s="42"/>
      <c r="C732" s="42"/>
      <c r="D732" s="42"/>
      <c r="E732" s="25"/>
      <c r="F732" s="42"/>
      <c r="G732" s="42"/>
      <c r="H732" s="42"/>
      <c r="I732" s="42"/>
    </row>
    <row r="733">
      <c r="A733" s="25"/>
      <c r="B733" s="42"/>
      <c r="C733" s="42"/>
      <c r="D733" s="42"/>
      <c r="E733" s="25"/>
      <c r="F733" s="42"/>
      <c r="G733" s="42"/>
      <c r="H733" s="42"/>
      <c r="I733" s="42"/>
    </row>
    <row r="734">
      <c r="A734" s="25"/>
      <c r="B734" s="42"/>
      <c r="C734" s="42"/>
      <c r="D734" s="42"/>
      <c r="E734" s="25"/>
      <c r="F734" s="42"/>
      <c r="G734" s="42"/>
      <c r="H734" s="42"/>
      <c r="I734" s="42"/>
    </row>
    <row r="735">
      <c r="A735" s="25"/>
      <c r="B735" s="42"/>
      <c r="C735" s="42"/>
      <c r="D735" s="42"/>
      <c r="E735" s="25"/>
      <c r="F735" s="42"/>
      <c r="G735" s="42"/>
      <c r="H735" s="42"/>
      <c r="I735" s="42"/>
    </row>
    <row r="736">
      <c r="A736" s="25"/>
      <c r="B736" s="42"/>
      <c r="C736" s="42"/>
      <c r="D736" s="42"/>
      <c r="E736" s="25"/>
      <c r="F736" s="42"/>
      <c r="G736" s="42"/>
      <c r="H736" s="42"/>
      <c r="I736" s="42"/>
    </row>
    <row r="737">
      <c r="A737" s="25"/>
      <c r="B737" s="42"/>
      <c r="C737" s="42"/>
      <c r="D737" s="42"/>
      <c r="E737" s="25"/>
      <c r="F737" s="42"/>
      <c r="G737" s="42"/>
      <c r="H737" s="42"/>
      <c r="I737" s="42"/>
    </row>
    <row r="738">
      <c r="A738" s="25"/>
      <c r="B738" s="42"/>
      <c r="C738" s="42"/>
      <c r="D738" s="42"/>
      <c r="E738" s="25"/>
      <c r="F738" s="42"/>
      <c r="G738" s="42"/>
      <c r="H738" s="42"/>
      <c r="I738" s="42"/>
    </row>
    <row r="739">
      <c r="A739" s="25"/>
      <c r="B739" s="42"/>
      <c r="C739" s="42"/>
      <c r="D739" s="42"/>
      <c r="E739" s="25"/>
      <c r="F739" s="42"/>
      <c r="G739" s="42"/>
      <c r="H739" s="42"/>
      <c r="I739" s="42"/>
    </row>
    <row r="740">
      <c r="A740" s="25"/>
      <c r="B740" s="42"/>
      <c r="C740" s="42"/>
      <c r="D740" s="42"/>
      <c r="E740" s="25"/>
      <c r="F740" s="42"/>
      <c r="G740" s="42"/>
      <c r="H740" s="42"/>
      <c r="I740" s="42"/>
    </row>
    <row r="741">
      <c r="A741" s="25"/>
      <c r="B741" s="42"/>
      <c r="C741" s="42"/>
      <c r="D741" s="42"/>
      <c r="E741" s="25"/>
      <c r="F741" s="42"/>
      <c r="G741" s="42"/>
      <c r="H741" s="42"/>
      <c r="I741" s="42"/>
    </row>
    <row r="742">
      <c r="A742" s="25"/>
      <c r="B742" s="42"/>
      <c r="C742" s="42"/>
      <c r="D742" s="42"/>
      <c r="E742" s="25"/>
      <c r="F742" s="42"/>
      <c r="G742" s="42"/>
      <c r="H742" s="42"/>
      <c r="I742" s="42"/>
    </row>
    <row r="743">
      <c r="A743" s="25"/>
      <c r="B743" s="42"/>
      <c r="C743" s="42"/>
      <c r="D743" s="42"/>
      <c r="E743" s="25"/>
      <c r="F743" s="42"/>
      <c r="G743" s="42"/>
      <c r="H743" s="42"/>
      <c r="I743" s="42"/>
    </row>
    <row r="744">
      <c r="A744" s="25"/>
      <c r="B744" s="42"/>
      <c r="C744" s="42"/>
      <c r="D744" s="42"/>
      <c r="E744" s="25"/>
      <c r="F744" s="42"/>
      <c r="G744" s="42"/>
      <c r="H744" s="42"/>
      <c r="I744" s="42"/>
    </row>
    <row r="745">
      <c r="A745" s="25"/>
      <c r="B745" s="42"/>
      <c r="C745" s="42"/>
      <c r="D745" s="42"/>
      <c r="E745" s="25"/>
      <c r="F745" s="42"/>
      <c r="G745" s="42"/>
      <c r="H745" s="42"/>
      <c r="I745" s="42"/>
    </row>
    <row r="746">
      <c r="A746" s="25"/>
      <c r="B746" s="42"/>
      <c r="C746" s="42"/>
      <c r="D746" s="42"/>
      <c r="E746" s="25"/>
      <c r="F746" s="42"/>
      <c r="G746" s="42"/>
      <c r="H746" s="42"/>
      <c r="I746" s="42"/>
    </row>
    <row r="747">
      <c r="A747" s="25"/>
      <c r="B747" s="42"/>
      <c r="C747" s="42"/>
      <c r="D747" s="42"/>
      <c r="E747" s="25"/>
      <c r="F747" s="42"/>
      <c r="G747" s="42"/>
      <c r="H747" s="42"/>
      <c r="I747" s="42"/>
    </row>
    <row r="748">
      <c r="A748" s="25"/>
      <c r="B748" s="42"/>
      <c r="C748" s="42"/>
      <c r="D748" s="42"/>
      <c r="E748" s="25"/>
      <c r="F748" s="42"/>
      <c r="G748" s="42"/>
      <c r="H748" s="42"/>
      <c r="I748" s="42"/>
    </row>
    <row r="749">
      <c r="A749" s="25"/>
      <c r="B749" s="42"/>
      <c r="C749" s="42"/>
      <c r="D749" s="42"/>
      <c r="E749" s="25"/>
      <c r="F749" s="42"/>
      <c r="G749" s="42"/>
      <c r="H749" s="42"/>
      <c r="I749" s="42"/>
    </row>
    <row r="750">
      <c r="A750" s="25"/>
      <c r="B750" s="42"/>
      <c r="C750" s="42"/>
      <c r="D750" s="42"/>
      <c r="E750" s="25"/>
      <c r="F750" s="42"/>
      <c r="G750" s="42"/>
      <c r="H750" s="42"/>
      <c r="I750" s="42"/>
    </row>
    <row r="751">
      <c r="A751" s="25"/>
      <c r="B751" s="42"/>
      <c r="C751" s="42"/>
      <c r="D751" s="42"/>
      <c r="E751" s="25"/>
      <c r="F751" s="42"/>
      <c r="G751" s="42"/>
      <c r="H751" s="42"/>
      <c r="I751" s="42"/>
    </row>
    <row r="752">
      <c r="A752" s="25"/>
      <c r="B752" s="42"/>
      <c r="C752" s="42"/>
      <c r="D752" s="42"/>
      <c r="E752" s="25"/>
      <c r="F752" s="42"/>
      <c r="G752" s="42"/>
      <c r="H752" s="42"/>
      <c r="I752" s="42"/>
    </row>
    <row r="753">
      <c r="A753" s="25"/>
      <c r="B753" s="42"/>
      <c r="C753" s="42"/>
      <c r="D753" s="42"/>
      <c r="E753" s="25"/>
      <c r="F753" s="42"/>
      <c r="G753" s="42"/>
      <c r="H753" s="42"/>
      <c r="I753" s="42"/>
    </row>
    <row r="754">
      <c r="A754" s="25"/>
      <c r="B754" s="42"/>
      <c r="C754" s="42"/>
      <c r="D754" s="42"/>
      <c r="E754" s="25"/>
      <c r="F754" s="42"/>
      <c r="G754" s="42"/>
      <c r="H754" s="42"/>
      <c r="I754" s="42"/>
    </row>
    <row r="755">
      <c r="A755" s="25"/>
      <c r="B755" s="42"/>
      <c r="C755" s="42"/>
      <c r="D755" s="42"/>
      <c r="E755" s="25"/>
      <c r="F755" s="42"/>
      <c r="G755" s="42"/>
      <c r="H755" s="42"/>
      <c r="I755" s="42"/>
    </row>
    <row r="756">
      <c r="A756" s="25"/>
      <c r="B756" s="42"/>
      <c r="C756" s="42"/>
      <c r="D756" s="42"/>
      <c r="E756" s="25"/>
      <c r="F756" s="42"/>
      <c r="G756" s="42"/>
      <c r="H756" s="42"/>
      <c r="I756" s="42"/>
    </row>
    <row r="757">
      <c r="A757" s="25"/>
      <c r="B757" s="42"/>
      <c r="C757" s="42"/>
      <c r="D757" s="42"/>
      <c r="E757" s="25"/>
      <c r="F757" s="42"/>
      <c r="G757" s="42"/>
      <c r="H757" s="42"/>
      <c r="I757" s="42"/>
    </row>
    <row r="758">
      <c r="A758" s="25"/>
      <c r="B758" s="42"/>
      <c r="C758" s="42"/>
      <c r="D758" s="42"/>
      <c r="E758" s="25"/>
      <c r="F758" s="42"/>
      <c r="G758" s="42"/>
      <c r="H758" s="42"/>
      <c r="I758" s="42"/>
    </row>
    <row r="759">
      <c r="A759" s="25"/>
      <c r="B759" s="42"/>
      <c r="C759" s="42"/>
      <c r="D759" s="42"/>
      <c r="E759" s="25"/>
      <c r="F759" s="42"/>
      <c r="G759" s="42"/>
      <c r="H759" s="42"/>
      <c r="I759" s="42"/>
    </row>
    <row r="760">
      <c r="A760" s="25"/>
      <c r="B760" s="42"/>
      <c r="C760" s="42"/>
      <c r="D760" s="42"/>
      <c r="E760" s="25"/>
      <c r="F760" s="42"/>
      <c r="G760" s="42"/>
      <c r="H760" s="42"/>
      <c r="I760" s="42"/>
    </row>
    <row r="761">
      <c r="A761" s="25"/>
      <c r="B761" s="42"/>
      <c r="C761" s="42"/>
      <c r="D761" s="42"/>
      <c r="E761" s="25"/>
      <c r="F761" s="42"/>
      <c r="G761" s="42"/>
      <c r="H761" s="42"/>
      <c r="I761" s="42"/>
    </row>
    <row r="762">
      <c r="A762" s="25"/>
      <c r="B762" s="42"/>
      <c r="C762" s="42"/>
      <c r="D762" s="42"/>
      <c r="E762" s="25"/>
      <c r="F762" s="42"/>
      <c r="G762" s="42"/>
      <c r="H762" s="42"/>
      <c r="I762" s="42"/>
    </row>
    <row r="763">
      <c r="A763" s="25"/>
      <c r="B763" s="42"/>
      <c r="C763" s="42"/>
      <c r="D763" s="42"/>
      <c r="E763" s="25"/>
      <c r="F763" s="42"/>
      <c r="G763" s="42"/>
      <c r="H763" s="42"/>
      <c r="I763" s="42"/>
    </row>
    <row r="764">
      <c r="A764" s="25"/>
      <c r="B764" s="42"/>
      <c r="C764" s="42"/>
      <c r="D764" s="42"/>
      <c r="E764" s="25"/>
      <c r="F764" s="42"/>
      <c r="G764" s="42"/>
      <c r="H764" s="42"/>
      <c r="I764" s="42"/>
    </row>
    <row r="765">
      <c r="A765" s="25"/>
      <c r="B765" s="42"/>
      <c r="C765" s="42"/>
      <c r="D765" s="42"/>
      <c r="E765" s="25"/>
      <c r="F765" s="42"/>
      <c r="G765" s="42"/>
      <c r="H765" s="42"/>
      <c r="I765" s="42"/>
    </row>
    <row r="766">
      <c r="A766" s="25"/>
      <c r="B766" s="42"/>
      <c r="C766" s="42"/>
      <c r="D766" s="42"/>
      <c r="E766" s="25"/>
      <c r="F766" s="42"/>
      <c r="G766" s="42"/>
      <c r="H766" s="42"/>
      <c r="I766" s="42"/>
    </row>
    <row r="767">
      <c r="A767" s="25"/>
      <c r="B767" s="42"/>
      <c r="C767" s="42"/>
      <c r="D767" s="42"/>
      <c r="E767" s="25"/>
      <c r="F767" s="42"/>
      <c r="G767" s="42"/>
      <c r="H767" s="42"/>
      <c r="I767" s="42"/>
    </row>
    <row r="768">
      <c r="A768" s="25"/>
      <c r="B768" s="42"/>
      <c r="C768" s="42"/>
      <c r="D768" s="42"/>
      <c r="E768" s="25"/>
      <c r="F768" s="42"/>
      <c r="G768" s="42"/>
      <c r="H768" s="42"/>
      <c r="I768" s="42"/>
    </row>
    <row r="769">
      <c r="A769" s="25"/>
      <c r="B769" s="42"/>
      <c r="C769" s="42"/>
      <c r="D769" s="42"/>
      <c r="E769" s="25"/>
      <c r="F769" s="42"/>
      <c r="G769" s="42"/>
      <c r="H769" s="42"/>
      <c r="I769" s="42"/>
    </row>
    <row r="770">
      <c r="A770" s="25"/>
      <c r="B770" s="42"/>
      <c r="C770" s="42"/>
      <c r="D770" s="42"/>
      <c r="E770" s="25"/>
      <c r="F770" s="42"/>
      <c r="G770" s="42"/>
      <c r="H770" s="42"/>
      <c r="I770" s="42"/>
    </row>
    <row r="771">
      <c r="A771" s="25"/>
      <c r="B771" s="42"/>
      <c r="C771" s="42"/>
      <c r="D771" s="42"/>
      <c r="E771" s="25"/>
      <c r="F771" s="42"/>
      <c r="G771" s="42"/>
      <c r="H771" s="42"/>
      <c r="I771" s="42"/>
    </row>
    <row r="772">
      <c r="A772" s="25"/>
      <c r="B772" s="42"/>
      <c r="C772" s="42"/>
      <c r="D772" s="42"/>
      <c r="E772" s="25"/>
      <c r="F772" s="42"/>
      <c r="G772" s="42"/>
      <c r="H772" s="42"/>
      <c r="I772" s="42"/>
    </row>
    <row r="773">
      <c r="A773" s="25"/>
      <c r="B773" s="42"/>
      <c r="C773" s="42"/>
      <c r="D773" s="42"/>
      <c r="E773" s="25"/>
      <c r="F773" s="42"/>
      <c r="G773" s="42"/>
      <c r="H773" s="42"/>
      <c r="I773" s="42"/>
    </row>
    <row r="774">
      <c r="A774" s="25"/>
      <c r="B774" s="42"/>
      <c r="C774" s="42"/>
      <c r="D774" s="42"/>
      <c r="E774" s="25"/>
      <c r="F774" s="42"/>
      <c r="G774" s="42"/>
      <c r="H774" s="42"/>
      <c r="I774" s="42"/>
    </row>
    <row r="775">
      <c r="A775" s="25"/>
      <c r="B775" s="42"/>
      <c r="C775" s="42"/>
      <c r="D775" s="42"/>
      <c r="E775" s="25"/>
      <c r="F775" s="42"/>
      <c r="G775" s="42"/>
      <c r="H775" s="42"/>
      <c r="I775" s="42"/>
    </row>
    <row r="776">
      <c r="A776" s="25"/>
      <c r="B776" s="42"/>
      <c r="C776" s="42"/>
      <c r="D776" s="42"/>
      <c r="E776" s="25"/>
      <c r="F776" s="42"/>
      <c r="G776" s="42"/>
      <c r="H776" s="42"/>
      <c r="I776" s="42"/>
    </row>
    <row r="777">
      <c r="A777" s="25"/>
      <c r="B777" s="42"/>
      <c r="C777" s="42"/>
      <c r="D777" s="42"/>
      <c r="E777" s="25"/>
      <c r="F777" s="42"/>
      <c r="G777" s="42"/>
      <c r="H777" s="42"/>
      <c r="I777" s="42"/>
    </row>
    <row r="778">
      <c r="A778" s="25"/>
      <c r="B778" s="42"/>
      <c r="C778" s="42"/>
      <c r="D778" s="42"/>
      <c r="E778" s="25"/>
      <c r="F778" s="42"/>
      <c r="G778" s="42"/>
      <c r="H778" s="42"/>
      <c r="I778" s="42"/>
    </row>
    <row r="779">
      <c r="A779" s="25"/>
      <c r="B779" s="42"/>
      <c r="C779" s="42"/>
      <c r="D779" s="42"/>
      <c r="E779" s="25"/>
      <c r="F779" s="42"/>
      <c r="G779" s="42"/>
      <c r="H779" s="42"/>
      <c r="I779" s="42"/>
    </row>
    <row r="780">
      <c r="A780" s="25"/>
      <c r="B780" s="42"/>
      <c r="C780" s="42"/>
      <c r="D780" s="42"/>
      <c r="E780" s="25"/>
      <c r="F780" s="42"/>
      <c r="G780" s="42"/>
      <c r="H780" s="42"/>
      <c r="I780" s="42"/>
    </row>
    <row r="781">
      <c r="A781" s="25"/>
      <c r="B781" s="42"/>
      <c r="C781" s="42"/>
      <c r="D781" s="42"/>
      <c r="E781" s="25"/>
      <c r="F781" s="42"/>
      <c r="G781" s="42"/>
      <c r="H781" s="42"/>
      <c r="I781" s="42"/>
    </row>
    <row r="782">
      <c r="A782" s="25"/>
      <c r="B782" s="42"/>
      <c r="C782" s="42"/>
      <c r="D782" s="42"/>
      <c r="E782" s="25"/>
      <c r="F782" s="42"/>
      <c r="G782" s="42"/>
      <c r="H782" s="42"/>
      <c r="I782" s="42"/>
    </row>
    <row r="783">
      <c r="A783" s="25"/>
      <c r="B783" s="42"/>
      <c r="C783" s="42"/>
      <c r="D783" s="42"/>
      <c r="E783" s="25"/>
      <c r="F783" s="42"/>
      <c r="G783" s="42"/>
      <c r="H783" s="42"/>
      <c r="I783" s="42"/>
    </row>
    <row r="784">
      <c r="A784" s="25"/>
      <c r="B784" s="42"/>
      <c r="C784" s="42"/>
      <c r="D784" s="42"/>
      <c r="E784" s="25"/>
      <c r="F784" s="42"/>
      <c r="G784" s="42"/>
      <c r="H784" s="42"/>
      <c r="I784" s="42"/>
    </row>
    <row r="785">
      <c r="A785" s="25"/>
      <c r="B785" s="42"/>
      <c r="C785" s="42"/>
      <c r="D785" s="42"/>
      <c r="E785" s="25"/>
      <c r="F785" s="42"/>
      <c r="G785" s="42"/>
      <c r="H785" s="42"/>
      <c r="I785" s="42"/>
    </row>
    <row r="786">
      <c r="A786" s="25"/>
      <c r="B786" s="42"/>
      <c r="C786" s="42"/>
      <c r="D786" s="42"/>
      <c r="E786" s="25"/>
      <c r="F786" s="42"/>
      <c r="G786" s="42"/>
      <c r="H786" s="42"/>
      <c r="I786" s="42"/>
    </row>
    <row r="787">
      <c r="A787" s="25"/>
      <c r="B787" s="42"/>
      <c r="C787" s="42"/>
      <c r="D787" s="42"/>
      <c r="E787" s="25"/>
      <c r="F787" s="42"/>
      <c r="G787" s="42"/>
      <c r="H787" s="42"/>
      <c r="I787" s="42"/>
    </row>
    <row r="788">
      <c r="A788" s="25"/>
      <c r="B788" s="42"/>
      <c r="C788" s="42"/>
      <c r="D788" s="42"/>
      <c r="E788" s="25"/>
      <c r="F788" s="42"/>
      <c r="G788" s="42"/>
      <c r="H788" s="42"/>
      <c r="I788" s="42"/>
    </row>
    <row r="789">
      <c r="A789" s="25"/>
      <c r="B789" s="42"/>
      <c r="C789" s="42"/>
      <c r="D789" s="42"/>
      <c r="E789" s="25"/>
      <c r="F789" s="42"/>
      <c r="G789" s="42"/>
      <c r="H789" s="42"/>
      <c r="I789" s="42"/>
    </row>
    <row r="790">
      <c r="A790" s="25"/>
      <c r="B790" s="42"/>
      <c r="C790" s="42"/>
      <c r="D790" s="42"/>
      <c r="E790" s="25"/>
      <c r="F790" s="42"/>
      <c r="G790" s="42"/>
      <c r="H790" s="42"/>
      <c r="I790" s="42"/>
    </row>
    <row r="791">
      <c r="A791" s="25"/>
      <c r="B791" s="42"/>
      <c r="C791" s="42"/>
      <c r="D791" s="42"/>
      <c r="E791" s="25"/>
      <c r="F791" s="42"/>
      <c r="G791" s="42"/>
      <c r="H791" s="42"/>
      <c r="I791" s="42"/>
    </row>
    <row r="792">
      <c r="A792" s="25"/>
      <c r="B792" s="42"/>
      <c r="C792" s="42"/>
      <c r="D792" s="42"/>
      <c r="E792" s="25"/>
      <c r="F792" s="42"/>
      <c r="G792" s="42"/>
      <c r="H792" s="42"/>
      <c r="I792" s="42"/>
    </row>
    <row r="793">
      <c r="A793" s="25"/>
      <c r="B793" s="42"/>
      <c r="C793" s="42"/>
      <c r="D793" s="42"/>
      <c r="E793" s="25"/>
      <c r="F793" s="42"/>
      <c r="G793" s="42"/>
      <c r="H793" s="42"/>
      <c r="I793" s="42"/>
    </row>
    <row r="794">
      <c r="A794" s="25"/>
      <c r="B794" s="42"/>
      <c r="C794" s="42"/>
      <c r="D794" s="42"/>
      <c r="E794" s="25"/>
      <c r="F794" s="42"/>
      <c r="G794" s="42"/>
      <c r="H794" s="42"/>
      <c r="I794" s="42"/>
    </row>
    <row r="795">
      <c r="A795" s="25"/>
      <c r="B795" s="42"/>
      <c r="C795" s="42"/>
      <c r="D795" s="42"/>
      <c r="E795" s="25"/>
      <c r="F795" s="42"/>
      <c r="G795" s="42"/>
      <c r="H795" s="42"/>
      <c r="I795" s="42"/>
    </row>
    <row r="796">
      <c r="A796" s="25"/>
      <c r="B796" s="42"/>
      <c r="C796" s="42"/>
      <c r="D796" s="42"/>
      <c r="E796" s="25"/>
      <c r="F796" s="42"/>
      <c r="G796" s="42"/>
      <c r="H796" s="42"/>
      <c r="I796" s="42"/>
    </row>
    <row r="797">
      <c r="A797" s="25"/>
      <c r="B797" s="42"/>
      <c r="C797" s="42"/>
      <c r="D797" s="42"/>
      <c r="E797" s="25"/>
      <c r="F797" s="42"/>
      <c r="G797" s="42"/>
      <c r="H797" s="42"/>
      <c r="I797" s="42"/>
    </row>
    <row r="798">
      <c r="A798" s="25"/>
      <c r="B798" s="42"/>
      <c r="C798" s="42"/>
      <c r="D798" s="42"/>
      <c r="E798" s="25"/>
      <c r="F798" s="42"/>
      <c r="G798" s="42"/>
      <c r="H798" s="42"/>
      <c r="I798" s="42"/>
    </row>
    <row r="799">
      <c r="A799" s="25"/>
      <c r="B799" s="42"/>
      <c r="C799" s="42"/>
      <c r="D799" s="42"/>
      <c r="E799" s="25"/>
      <c r="F799" s="42"/>
      <c r="G799" s="42"/>
      <c r="H799" s="42"/>
      <c r="I799" s="42"/>
    </row>
    <row r="800">
      <c r="A800" s="25"/>
      <c r="B800" s="42"/>
      <c r="C800" s="42"/>
      <c r="D800" s="42"/>
      <c r="E800" s="25"/>
      <c r="F800" s="42"/>
      <c r="G800" s="42"/>
      <c r="H800" s="42"/>
      <c r="I800" s="42"/>
    </row>
    <row r="801">
      <c r="A801" s="25"/>
      <c r="B801" s="42"/>
      <c r="C801" s="42"/>
      <c r="D801" s="42"/>
      <c r="E801" s="25"/>
      <c r="F801" s="42"/>
      <c r="G801" s="42"/>
      <c r="H801" s="42"/>
      <c r="I801" s="42"/>
    </row>
    <row r="802">
      <c r="A802" s="25"/>
      <c r="B802" s="42"/>
      <c r="C802" s="42"/>
      <c r="D802" s="42"/>
      <c r="E802" s="25"/>
      <c r="F802" s="42"/>
      <c r="G802" s="42"/>
      <c r="H802" s="42"/>
      <c r="I802" s="42"/>
    </row>
    <row r="803">
      <c r="A803" s="25"/>
      <c r="B803" s="42"/>
      <c r="C803" s="42"/>
      <c r="D803" s="42"/>
      <c r="E803" s="25"/>
      <c r="F803" s="42"/>
      <c r="G803" s="42"/>
      <c r="H803" s="42"/>
      <c r="I803" s="42"/>
    </row>
    <row r="804">
      <c r="A804" s="25"/>
      <c r="B804" s="42"/>
      <c r="C804" s="42"/>
      <c r="D804" s="42"/>
      <c r="E804" s="25"/>
      <c r="F804" s="42"/>
      <c r="G804" s="42"/>
      <c r="H804" s="42"/>
      <c r="I804" s="42"/>
    </row>
    <row r="805">
      <c r="A805" s="25"/>
      <c r="B805" s="42"/>
      <c r="C805" s="42"/>
      <c r="D805" s="42"/>
      <c r="E805" s="25"/>
      <c r="F805" s="42"/>
      <c r="G805" s="42"/>
      <c r="H805" s="42"/>
      <c r="I805" s="42"/>
    </row>
    <row r="806">
      <c r="A806" s="25"/>
      <c r="B806" s="42"/>
      <c r="C806" s="42"/>
      <c r="D806" s="42"/>
      <c r="E806" s="25"/>
      <c r="F806" s="42"/>
      <c r="G806" s="42"/>
      <c r="H806" s="42"/>
      <c r="I806" s="42"/>
    </row>
    <row r="807">
      <c r="A807" s="25"/>
      <c r="B807" s="42"/>
      <c r="C807" s="42"/>
      <c r="D807" s="42"/>
      <c r="E807" s="25"/>
      <c r="F807" s="42"/>
      <c r="G807" s="42"/>
      <c r="H807" s="42"/>
      <c r="I807" s="42"/>
    </row>
    <row r="808">
      <c r="A808" s="25"/>
      <c r="B808" s="42"/>
      <c r="C808" s="42"/>
      <c r="D808" s="42"/>
      <c r="E808" s="25"/>
      <c r="F808" s="42"/>
      <c r="G808" s="42"/>
      <c r="H808" s="42"/>
      <c r="I808" s="42"/>
    </row>
    <row r="809">
      <c r="A809" s="25"/>
      <c r="B809" s="42"/>
      <c r="C809" s="42"/>
      <c r="D809" s="42"/>
      <c r="E809" s="25"/>
      <c r="F809" s="42"/>
      <c r="G809" s="42"/>
      <c r="H809" s="42"/>
      <c r="I809" s="42"/>
    </row>
    <row r="810">
      <c r="A810" s="25"/>
      <c r="B810" s="42"/>
      <c r="C810" s="42"/>
      <c r="D810" s="42"/>
      <c r="E810" s="25"/>
      <c r="F810" s="42"/>
      <c r="G810" s="42"/>
      <c r="H810" s="42"/>
      <c r="I810" s="42"/>
    </row>
    <row r="811">
      <c r="A811" s="25"/>
      <c r="B811" s="42"/>
      <c r="C811" s="42"/>
      <c r="D811" s="42"/>
      <c r="E811" s="25"/>
      <c r="F811" s="42"/>
      <c r="G811" s="42"/>
      <c r="H811" s="42"/>
      <c r="I811" s="42"/>
    </row>
    <row r="812">
      <c r="A812" s="25"/>
      <c r="B812" s="42"/>
      <c r="C812" s="42"/>
      <c r="D812" s="42"/>
      <c r="E812" s="25"/>
      <c r="F812" s="42"/>
      <c r="G812" s="42"/>
      <c r="H812" s="42"/>
      <c r="I812" s="42"/>
    </row>
    <row r="813">
      <c r="A813" s="25"/>
      <c r="B813" s="42"/>
      <c r="C813" s="42"/>
      <c r="D813" s="42"/>
      <c r="E813" s="25"/>
      <c r="F813" s="42"/>
      <c r="G813" s="42"/>
      <c r="H813" s="42"/>
      <c r="I813" s="42"/>
    </row>
    <row r="814">
      <c r="A814" s="25"/>
      <c r="B814" s="42"/>
      <c r="C814" s="42"/>
      <c r="D814" s="42"/>
      <c r="E814" s="25"/>
      <c r="F814" s="42"/>
      <c r="G814" s="42"/>
      <c r="H814" s="42"/>
      <c r="I814" s="42"/>
    </row>
    <row r="815">
      <c r="A815" s="25"/>
      <c r="B815" s="42"/>
      <c r="C815" s="42"/>
      <c r="D815" s="42"/>
      <c r="E815" s="25"/>
      <c r="F815" s="42"/>
      <c r="G815" s="42"/>
      <c r="H815" s="42"/>
      <c r="I815" s="42"/>
    </row>
    <row r="816">
      <c r="A816" s="25"/>
      <c r="B816" s="42"/>
      <c r="C816" s="42"/>
      <c r="D816" s="42"/>
      <c r="E816" s="25"/>
      <c r="F816" s="42"/>
      <c r="G816" s="42"/>
      <c r="H816" s="42"/>
      <c r="I816" s="42"/>
    </row>
    <row r="817">
      <c r="A817" s="25"/>
      <c r="B817" s="42"/>
      <c r="C817" s="42"/>
      <c r="D817" s="42"/>
      <c r="E817" s="25"/>
      <c r="F817" s="42"/>
      <c r="G817" s="42"/>
      <c r="H817" s="42"/>
      <c r="I817" s="42"/>
    </row>
    <row r="818">
      <c r="A818" s="25"/>
      <c r="B818" s="42"/>
      <c r="C818" s="42"/>
      <c r="D818" s="42"/>
      <c r="E818" s="25"/>
      <c r="F818" s="42"/>
      <c r="G818" s="42"/>
      <c r="H818" s="42"/>
      <c r="I818" s="42"/>
    </row>
    <row r="819">
      <c r="A819" s="25"/>
      <c r="B819" s="42"/>
      <c r="C819" s="42"/>
      <c r="D819" s="42"/>
      <c r="E819" s="25"/>
      <c r="F819" s="42"/>
      <c r="G819" s="42"/>
      <c r="H819" s="42"/>
      <c r="I819" s="42"/>
    </row>
    <row r="820">
      <c r="A820" s="25"/>
      <c r="B820" s="42"/>
      <c r="C820" s="42"/>
      <c r="D820" s="42"/>
      <c r="E820" s="25"/>
      <c r="F820" s="42"/>
      <c r="G820" s="42"/>
      <c r="H820" s="42"/>
      <c r="I820" s="42"/>
    </row>
    <row r="821">
      <c r="A821" s="25"/>
      <c r="B821" s="42"/>
      <c r="C821" s="42"/>
      <c r="D821" s="42"/>
      <c r="E821" s="25"/>
      <c r="F821" s="42"/>
      <c r="G821" s="42"/>
      <c r="H821" s="42"/>
      <c r="I821" s="42"/>
    </row>
    <row r="822">
      <c r="A822" s="25"/>
      <c r="B822" s="42"/>
      <c r="C822" s="42"/>
      <c r="D822" s="42"/>
      <c r="E822" s="25"/>
      <c r="F822" s="42"/>
      <c r="G822" s="42"/>
      <c r="H822" s="42"/>
      <c r="I822" s="42"/>
    </row>
    <row r="823">
      <c r="A823" s="25"/>
      <c r="B823" s="42"/>
      <c r="C823" s="42"/>
      <c r="D823" s="42"/>
      <c r="E823" s="25"/>
      <c r="F823" s="42"/>
      <c r="G823" s="42"/>
      <c r="H823" s="42"/>
      <c r="I823" s="42"/>
    </row>
    <row r="824">
      <c r="A824" s="25"/>
      <c r="B824" s="42"/>
      <c r="C824" s="42"/>
      <c r="D824" s="42"/>
      <c r="E824" s="25"/>
      <c r="F824" s="42"/>
      <c r="G824" s="42"/>
      <c r="H824" s="42"/>
      <c r="I824" s="42"/>
    </row>
    <row r="825">
      <c r="A825" s="25"/>
      <c r="B825" s="42"/>
      <c r="C825" s="42"/>
      <c r="D825" s="42"/>
      <c r="E825" s="25"/>
      <c r="F825" s="42"/>
      <c r="G825" s="42"/>
      <c r="H825" s="42"/>
      <c r="I825" s="42"/>
    </row>
    <row r="826">
      <c r="A826" s="25"/>
      <c r="B826" s="42"/>
      <c r="C826" s="42"/>
      <c r="D826" s="42"/>
      <c r="E826" s="25"/>
      <c r="F826" s="42"/>
      <c r="G826" s="42"/>
      <c r="H826" s="42"/>
      <c r="I826" s="42"/>
    </row>
    <row r="827">
      <c r="A827" s="25"/>
      <c r="B827" s="42"/>
      <c r="C827" s="42"/>
      <c r="D827" s="42"/>
      <c r="E827" s="25"/>
      <c r="F827" s="42"/>
      <c r="G827" s="42"/>
      <c r="H827" s="42"/>
      <c r="I827" s="42"/>
    </row>
    <row r="828">
      <c r="A828" s="25"/>
      <c r="B828" s="42"/>
      <c r="C828" s="42"/>
      <c r="D828" s="42"/>
      <c r="E828" s="25"/>
      <c r="F828" s="42"/>
      <c r="G828" s="42"/>
      <c r="H828" s="42"/>
      <c r="I828" s="42"/>
    </row>
    <row r="829">
      <c r="A829" s="25"/>
      <c r="B829" s="42"/>
      <c r="C829" s="42"/>
      <c r="D829" s="42"/>
      <c r="E829" s="25"/>
      <c r="F829" s="42"/>
      <c r="G829" s="42"/>
      <c r="H829" s="42"/>
      <c r="I829" s="42"/>
    </row>
    <row r="830">
      <c r="A830" s="25"/>
      <c r="B830" s="42"/>
      <c r="C830" s="42"/>
      <c r="D830" s="42"/>
      <c r="E830" s="25"/>
      <c r="F830" s="42"/>
      <c r="G830" s="42"/>
      <c r="H830" s="42"/>
      <c r="I830" s="42"/>
    </row>
    <row r="831">
      <c r="A831" s="25"/>
      <c r="B831" s="42"/>
      <c r="C831" s="42"/>
      <c r="D831" s="42"/>
      <c r="E831" s="25"/>
      <c r="F831" s="42"/>
      <c r="G831" s="42"/>
      <c r="H831" s="42"/>
      <c r="I831" s="42"/>
    </row>
    <row r="832">
      <c r="A832" s="25"/>
      <c r="B832" s="42"/>
      <c r="C832" s="42"/>
      <c r="D832" s="42"/>
      <c r="E832" s="25"/>
      <c r="F832" s="42"/>
      <c r="G832" s="42"/>
      <c r="H832" s="42"/>
      <c r="I832" s="42"/>
    </row>
    <row r="833">
      <c r="A833" s="25"/>
      <c r="B833" s="42"/>
      <c r="C833" s="42"/>
      <c r="D833" s="42"/>
      <c r="E833" s="25"/>
      <c r="F833" s="42"/>
      <c r="G833" s="42"/>
      <c r="H833" s="42"/>
      <c r="I833" s="42"/>
    </row>
    <row r="834">
      <c r="A834" s="25"/>
      <c r="B834" s="42"/>
      <c r="C834" s="42"/>
      <c r="D834" s="42"/>
      <c r="E834" s="25"/>
      <c r="F834" s="42"/>
      <c r="G834" s="42"/>
      <c r="H834" s="42"/>
      <c r="I834" s="42"/>
    </row>
    <row r="835">
      <c r="A835" s="25"/>
      <c r="B835" s="42"/>
      <c r="C835" s="42"/>
      <c r="D835" s="42"/>
      <c r="E835" s="25"/>
      <c r="F835" s="42"/>
      <c r="G835" s="42"/>
      <c r="H835" s="42"/>
      <c r="I835" s="42"/>
    </row>
    <row r="836">
      <c r="A836" s="25"/>
      <c r="B836" s="42"/>
      <c r="C836" s="42"/>
      <c r="D836" s="42"/>
      <c r="E836" s="25"/>
      <c r="F836" s="42"/>
      <c r="G836" s="42"/>
      <c r="H836" s="42"/>
      <c r="I836" s="42"/>
    </row>
    <row r="837">
      <c r="A837" s="25"/>
      <c r="B837" s="42"/>
      <c r="C837" s="42"/>
      <c r="D837" s="42"/>
      <c r="E837" s="25"/>
      <c r="F837" s="42"/>
      <c r="G837" s="42"/>
      <c r="H837" s="42"/>
      <c r="I837" s="42"/>
    </row>
    <row r="838">
      <c r="A838" s="25"/>
      <c r="B838" s="42"/>
      <c r="C838" s="42"/>
      <c r="D838" s="42"/>
      <c r="E838" s="25"/>
      <c r="F838" s="42"/>
      <c r="G838" s="42"/>
      <c r="H838" s="42"/>
      <c r="I838" s="42"/>
    </row>
    <row r="839">
      <c r="A839" s="25"/>
      <c r="B839" s="42"/>
      <c r="C839" s="42"/>
      <c r="D839" s="42"/>
      <c r="E839" s="25"/>
      <c r="F839" s="42"/>
      <c r="G839" s="42"/>
      <c r="H839" s="42"/>
      <c r="I839" s="42"/>
    </row>
    <row r="840">
      <c r="A840" s="25"/>
      <c r="B840" s="42"/>
      <c r="C840" s="42"/>
      <c r="D840" s="42"/>
      <c r="E840" s="25"/>
      <c r="F840" s="42"/>
      <c r="G840" s="42"/>
      <c r="H840" s="42"/>
      <c r="I840" s="42"/>
    </row>
    <row r="841">
      <c r="A841" s="25"/>
      <c r="B841" s="42"/>
      <c r="C841" s="42"/>
      <c r="D841" s="42"/>
      <c r="E841" s="25"/>
      <c r="F841" s="42"/>
      <c r="G841" s="42"/>
      <c r="H841" s="42"/>
      <c r="I841" s="42"/>
    </row>
    <row r="842">
      <c r="A842" s="25"/>
      <c r="B842" s="42"/>
      <c r="C842" s="42"/>
      <c r="D842" s="42"/>
      <c r="E842" s="25"/>
      <c r="F842" s="42"/>
      <c r="G842" s="42"/>
      <c r="H842" s="42"/>
      <c r="I842" s="42"/>
    </row>
    <row r="843">
      <c r="A843" s="25"/>
      <c r="B843" s="42"/>
      <c r="C843" s="42"/>
      <c r="D843" s="42"/>
      <c r="E843" s="25"/>
      <c r="F843" s="42"/>
      <c r="G843" s="42"/>
      <c r="H843" s="42"/>
      <c r="I843" s="42"/>
    </row>
    <row r="844">
      <c r="A844" s="25"/>
      <c r="B844" s="42"/>
      <c r="C844" s="42"/>
      <c r="D844" s="42"/>
      <c r="E844" s="25"/>
      <c r="F844" s="42"/>
      <c r="G844" s="42"/>
      <c r="H844" s="42"/>
      <c r="I844" s="42"/>
    </row>
    <row r="845">
      <c r="A845" s="25"/>
      <c r="B845" s="42"/>
      <c r="C845" s="42"/>
      <c r="D845" s="42"/>
      <c r="E845" s="25"/>
      <c r="F845" s="42"/>
      <c r="G845" s="42"/>
      <c r="H845" s="42"/>
      <c r="I845" s="42"/>
    </row>
    <row r="846">
      <c r="A846" s="25"/>
      <c r="B846" s="42"/>
      <c r="C846" s="42"/>
      <c r="D846" s="42"/>
      <c r="E846" s="25"/>
      <c r="F846" s="42"/>
      <c r="G846" s="42"/>
      <c r="H846" s="42"/>
      <c r="I846" s="42"/>
    </row>
    <row r="847">
      <c r="A847" s="25"/>
      <c r="B847" s="42"/>
      <c r="C847" s="42"/>
      <c r="D847" s="42"/>
      <c r="E847" s="25"/>
      <c r="F847" s="42"/>
      <c r="G847" s="42"/>
      <c r="H847" s="42"/>
      <c r="I847" s="42"/>
    </row>
    <row r="848">
      <c r="A848" s="25"/>
      <c r="B848" s="42"/>
      <c r="C848" s="42"/>
      <c r="D848" s="42"/>
      <c r="E848" s="25"/>
      <c r="F848" s="42"/>
      <c r="G848" s="42"/>
      <c r="H848" s="42"/>
      <c r="I848" s="42"/>
    </row>
    <row r="849">
      <c r="A849" s="25"/>
      <c r="B849" s="42"/>
      <c r="C849" s="42"/>
      <c r="D849" s="42"/>
      <c r="E849" s="25"/>
      <c r="F849" s="42"/>
      <c r="G849" s="42"/>
      <c r="H849" s="42"/>
      <c r="I849" s="42"/>
    </row>
    <row r="850">
      <c r="A850" s="25"/>
      <c r="B850" s="42"/>
      <c r="C850" s="42"/>
      <c r="D850" s="42"/>
      <c r="E850" s="25"/>
      <c r="F850" s="42"/>
      <c r="G850" s="42"/>
      <c r="H850" s="42"/>
      <c r="I850" s="42"/>
    </row>
    <row r="851">
      <c r="A851" s="25"/>
      <c r="B851" s="42"/>
      <c r="C851" s="42"/>
      <c r="D851" s="42"/>
      <c r="E851" s="25"/>
      <c r="F851" s="42"/>
      <c r="G851" s="42"/>
      <c r="H851" s="42"/>
      <c r="I851" s="42"/>
    </row>
    <row r="852">
      <c r="A852" s="25"/>
      <c r="B852" s="42"/>
      <c r="C852" s="42"/>
      <c r="D852" s="42"/>
      <c r="E852" s="25"/>
      <c r="F852" s="42"/>
      <c r="G852" s="42"/>
      <c r="H852" s="42"/>
      <c r="I852" s="42"/>
    </row>
    <row r="853">
      <c r="A853" s="25"/>
      <c r="B853" s="42"/>
      <c r="C853" s="42"/>
      <c r="D853" s="42"/>
      <c r="E853" s="25"/>
      <c r="F853" s="42"/>
      <c r="G853" s="42"/>
      <c r="H853" s="42"/>
      <c r="I853" s="42"/>
    </row>
    <row r="854">
      <c r="A854" s="25"/>
      <c r="B854" s="42"/>
      <c r="C854" s="42"/>
      <c r="D854" s="42"/>
      <c r="E854" s="25"/>
      <c r="F854" s="42"/>
      <c r="G854" s="42"/>
      <c r="H854" s="42"/>
      <c r="I854" s="42"/>
    </row>
    <row r="855">
      <c r="A855" s="25"/>
      <c r="B855" s="42"/>
      <c r="C855" s="42"/>
      <c r="D855" s="42"/>
      <c r="E855" s="25"/>
      <c r="F855" s="42"/>
      <c r="G855" s="42"/>
      <c r="H855" s="42"/>
      <c r="I855" s="42"/>
    </row>
    <row r="856">
      <c r="A856" s="25"/>
      <c r="B856" s="42"/>
      <c r="C856" s="42"/>
      <c r="D856" s="42"/>
      <c r="E856" s="25"/>
      <c r="F856" s="42"/>
      <c r="G856" s="42"/>
      <c r="H856" s="42"/>
      <c r="I856" s="42"/>
    </row>
    <row r="857">
      <c r="A857" s="25"/>
      <c r="B857" s="42"/>
      <c r="C857" s="42"/>
      <c r="D857" s="42"/>
      <c r="E857" s="25"/>
      <c r="F857" s="42"/>
      <c r="G857" s="42"/>
      <c r="H857" s="42"/>
      <c r="I857" s="42"/>
    </row>
    <row r="858">
      <c r="A858" s="25"/>
      <c r="B858" s="42"/>
      <c r="C858" s="42"/>
      <c r="D858" s="42"/>
      <c r="E858" s="25"/>
      <c r="F858" s="42"/>
      <c r="G858" s="42"/>
      <c r="H858" s="42"/>
      <c r="I858" s="42"/>
    </row>
    <row r="859">
      <c r="A859" s="25"/>
      <c r="B859" s="42"/>
      <c r="C859" s="42"/>
      <c r="D859" s="42"/>
      <c r="E859" s="25"/>
      <c r="F859" s="42"/>
      <c r="G859" s="42"/>
      <c r="H859" s="42"/>
      <c r="I859" s="42"/>
    </row>
    <row r="860">
      <c r="A860" s="25"/>
      <c r="B860" s="42"/>
      <c r="C860" s="42"/>
      <c r="D860" s="42"/>
      <c r="E860" s="25"/>
      <c r="F860" s="42"/>
      <c r="G860" s="42"/>
      <c r="H860" s="42"/>
      <c r="I860" s="42"/>
    </row>
    <row r="861">
      <c r="A861" s="25"/>
      <c r="B861" s="42"/>
      <c r="C861" s="42"/>
      <c r="D861" s="42"/>
      <c r="E861" s="25"/>
      <c r="F861" s="42"/>
      <c r="G861" s="42"/>
      <c r="H861" s="42"/>
      <c r="I861" s="42"/>
    </row>
    <row r="862">
      <c r="A862" s="25"/>
      <c r="B862" s="42"/>
      <c r="C862" s="42"/>
      <c r="D862" s="42"/>
      <c r="E862" s="25"/>
      <c r="F862" s="42"/>
      <c r="G862" s="42"/>
      <c r="H862" s="42"/>
      <c r="I862" s="42"/>
    </row>
    <row r="863">
      <c r="A863" s="25"/>
      <c r="B863" s="42"/>
      <c r="C863" s="42"/>
      <c r="D863" s="42"/>
      <c r="E863" s="25"/>
      <c r="F863" s="42"/>
      <c r="G863" s="42"/>
      <c r="H863" s="42"/>
      <c r="I863" s="42"/>
    </row>
    <row r="864">
      <c r="A864" s="25"/>
      <c r="B864" s="42"/>
      <c r="C864" s="42"/>
      <c r="D864" s="42"/>
      <c r="E864" s="25"/>
      <c r="F864" s="42"/>
      <c r="G864" s="42"/>
      <c r="H864" s="42"/>
      <c r="I864" s="42"/>
    </row>
    <row r="865">
      <c r="A865" s="25"/>
      <c r="B865" s="42"/>
      <c r="C865" s="42"/>
      <c r="D865" s="42"/>
      <c r="E865" s="25"/>
      <c r="F865" s="42"/>
      <c r="G865" s="42"/>
      <c r="H865" s="42"/>
      <c r="I865" s="42"/>
    </row>
    <row r="866">
      <c r="A866" s="25"/>
      <c r="B866" s="42"/>
      <c r="C866" s="42"/>
      <c r="D866" s="42"/>
      <c r="E866" s="25"/>
      <c r="F866" s="42"/>
      <c r="G866" s="42"/>
      <c r="H866" s="42"/>
      <c r="I866" s="42"/>
    </row>
    <row r="867">
      <c r="A867" s="25"/>
      <c r="B867" s="42"/>
      <c r="C867" s="42"/>
      <c r="D867" s="42"/>
      <c r="E867" s="25"/>
      <c r="F867" s="42"/>
      <c r="G867" s="42"/>
      <c r="H867" s="42"/>
      <c r="I867" s="42"/>
    </row>
    <row r="868">
      <c r="A868" s="25"/>
      <c r="B868" s="42"/>
      <c r="C868" s="42"/>
      <c r="D868" s="42"/>
      <c r="E868" s="25"/>
      <c r="F868" s="42"/>
      <c r="G868" s="42"/>
      <c r="H868" s="42"/>
      <c r="I868" s="42"/>
    </row>
    <row r="869">
      <c r="A869" s="25"/>
      <c r="B869" s="42"/>
      <c r="C869" s="42"/>
      <c r="D869" s="42"/>
      <c r="E869" s="25"/>
      <c r="F869" s="42"/>
      <c r="G869" s="42"/>
      <c r="H869" s="42"/>
      <c r="I869" s="42"/>
    </row>
    <row r="870">
      <c r="A870" s="25"/>
      <c r="B870" s="42"/>
      <c r="C870" s="42"/>
      <c r="D870" s="42"/>
      <c r="E870" s="25"/>
      <c r="F870" s="42"/>
      <c r="G870" s="42"/>
      <c r="H870" s="42"/>
      <c r="I870" s="42"/>
    </row>
    <row r="871">
      <c r="A871" s="25"/>
      <c r="B871" s="42"/>
      <c r="C871" s="42"/>
      <c r="D871" s="42"/>
      <c r="E871" s="25"/>
      <c r="F871" s="42"/>
      <c r="G871" s="42"/>
      <c r="H871" s="42"/>
      <c r="I871" s="42"/>
    </row>
    <row r="872">
      <c r="A872" s="25"/>
      <c r="B872" s="42"/>
      <c r="C872" s="42"/>
      <c r="D872" s="42"/>
      <c r="E872" s="25"/>
      <c r="F872" s="42"/>
      <c r="G872" s="42"/>
      <c r="H872" s="42"/>
      <c r="I872" s="42"/>
    </row>
    <row r="873">
      <c r="A873" s="25"/>
      <c r="B873" s="42"/>
      <c r="C873" s="42"/>
      <c r="D873" s="42"/>
      <c r="E873" s="25"/>
      <c r="F873" s="42"/>
      <c r="G873" s="42"/>
      <c r="H873" s="42"/>
      <c r="I873" s="42"/>
    </row>
    <row r="874">
      <c r="A874" s="25"/>
      <c r="B874" s="42"/>
      <c r="C874" s="42"/>
      <c r="D874" s="42"/>
      <c r="E874" s="25"/>
      <c r="F874" s="42"/>
      <c r="G874" s="42"/>
      <c r="H874" s="42"/>
      <c r="I874" s="42"/>
    </row>
    <row r="875">
      <c r="A875" s="25"/>
      <c r="B875" s="42"/>
      <c r="C875" s="42"/>
      <c r="D875" s="42"/>
      <c r="E875" s="25"/>
      <c r="F875" s="42"/>
      <c r="G875" s="42"/>
      <c r="H875" s="42"/>
      <c r="I875" s="42"/>
    </row>
    <row r="876">
      <c r="A876" s="25"/>
      <c r="B876" s="42"/>
      <c r="C876" s="42"/>
      <c r="D876" s="42"/>
      <c r="E876" s="25"/>
      <c r="F876" s="42"/>
      <c r="G876" s="42"/>
      <c r="H876" s="42"/>
      <c r="I876" s="42"/>
    </row>
    <row r="877">
      <c r="A877" s="25"/>
      <c r="B877" s="42"/>
      <c r="C877" s="42"/>
      <c r="D877" s="42"/>
      <c r="E877" s="25"/>
      <c r="F877" s="42"/>
      <c r="G877" s="42"/>
      <c r="H877" s="42"/>
      <c r="I877" s="42"/>
    </row>
    <row r="878">
      <c r="A878" s="25"/>
      <c r="B878" s="42"/>
      <c r="C878" s="42"/>
      <c r="D878" s="42"/>
      <c r="E878" s="25"/>
      <c r="F878" s="42"/>
      <c r="G878" s="42"/>
      <c r="H878" s="42"/>
      <c r="I878" s="42"/>
    </row>
    <row r="879">
      <c r="A879" s="25"/>
      <c r="B879" s="42"/>
      <c r="C879" s="42"/>
      <c r="D879" s="42"/>
      <c r="E879" s="25"/>
      <c r="F879" s="42"/>
      <c r="G879" s="42"/>
      <c r="H879" s="42"/>
      <c r="I879" s="42"/>
    </row>
    <row r="880">
      <c r="A880" s="25"/>
      <c r="B880" s="42"/>
      <c r="C880" s="42"/>
      <c r="D880" s="42"/>
      <c r="E880" s="25"/>
      <c r="F880" s="42"/>
      <c r="G880" s="42"/>
      <c r="H880" s="42"/>
      <c r="I880" s="42"/>
    </row>
    <row r="881">
      <c r="A881" s="25"/>
      <c r="B881" s="42"/>
      <c r="C881" s="42"/>
      <c r="D881" s="42"/>
      <c r="E881" s="25"/>
      <c r="F881" s="42"/>
      <c r="G881" s="42"/>
      <c r="H881" s="42"/>
      <c r="I881" s="42"/>
    </row>
    <row r="882">
      <c r="A882" s="25"/>
      <c r="B882" s="42"/>
      <c r="C882" s="42"/>
      <c r="D882" s="42"/>
      <c r="E882" s="25"/>
      <c r="F882" s="42"/>
      <c r="G882" s="42"/>
      <c r="H882" s="42"/>
      <c r="I882" s="42"/>
    </row>
    <row r="883">
      <c r="A883" s="25"/>
      <c r="B883" s="42"/>
      <c r="C883" s="42"/>
      <c r="D883" s="42"/>
      <c r="E883" s="25"/>
      <c r="F883" s="42"/>
      <c r="G883" s="42"/>
      <c r="H883" s="42"/>
      <c r="I883" s="42"/>
    </row>
    <row r="884">
      <c r="A884" s="25"/>
      <c r="B884" s="42"/>
      <c r="C884" s="42"/>
      <c r="D884" s="42"/>
      <c r="E884" s="25"/>
      <c r="F884" s="42"/>
      <c r="G884" s="42"/>
      <c r="H884" s="42"/>
      <c r="I884" s="42"/>
    </row>
    <row r="885">
      <c r="A885" s="25"/>
      <c r="B885" s="42"/>
      <c r="C885" s="42"/>
      <c r="D885" s="42"/>
      <c r="E885" s="25"/>
      <c r="F885" s="42"/>
      <c r="G885" s="42"/>
      <c r="H885" s="42"/>
      <c r="I885" s="42"/>
    </row>
    <row r="886">
      <c r="A886" s="25"/>
      <c r="B886" s="42"/>
      <c r="C886" s="42"/>
      <c r="D886" s="42"/>
      <c r="E886" s="25"/>
      <c r="F886" s="42"/>
      <c r="G886" s="42"/>
      <c r="H886" s="42"/>
      <c r="I886" s="42"/>
    </row>
    <row r="887">
      <c r="A887" s="25"/>
      <c r="B887" s="42"/>
      <c r="C887" s="42"/>
      <c r="D887" s="42"/>
      <c r="E887" s="25"/>
      <c r="F887" s="42"/>
      <c r="G887" s="42"/>
      <c r="H887" s="42"/>
      <c r="I887" s="42"/>
    </row>
    <row r="888">
      <c r="A888" s="25"/>
      <c r="B888" s="42"/>
      <c r="C888" s="42"/>
      <c r="D888" s="42"/>
      <c r="E888" s="25"/>
      <c r="F888" s="42"/>
      <c r="G888" s="42"/>
      <c r="H888" s="42"/>
      <c r="I888" s="42"/>
    </row>
    <row r="889">
      <c r="A889" s="25"/>
      <c r="B889" s="42"/>
      <c r="C889" s="42"/>
      <c r="D889" s="42"/>
      <c r="E889" s="25"/>
      <c r="F889" s="42"/>
      <c r="G889" s="42"/>
      <c r="H889" s="42"/>
      <c r="I889" s="42"/>
    </row>
    <row r="890">
      <c r="A890" s="25"/>
      <c r="B890" s="42"/>
      <c r="C890" s="42"/>
      <c r="D890" s="42"/>
      <c r="E890" s="25"/>
      <c r="F890" s="42"/>
      <c r="G890" s="42"/>
      <c r="H890" s="42"/>
      <c r="I890" s="42"/>
    </row>
    <row r="891">
      <c r="A891" s="25"/>
      <c r="B891" s="42"/>
      <c r="C891" s="42"/>
      <c r="D891" s="42"/>
      <c r="E891" s="25"/>
      <c r="F891" s="42"/>
      <c r="G891" s="42"/>
      <c r="H891" s="42"/>
      <c r="I891" s="42"/>
    </row>
    <row r="892">
      <c r="A892" s="25"/>
      <c r="B892" s="42"/>
      <c r="C892" s="42"/>
      <c r="D892" s="42"/>
      <c r="E892" s="25"/>
      <c r="F892" s="42"/>
      <c r="G892" s="42"/>
      <c r="H892" s="42"/>
      <c r="I892" s="42"/>
    </row>
    <row r="893">
      <c r="A893" s="25"/>
      <c r="B893" s="42"/>
      <c r="C893" s="42"/>
      <c r="D893" s="42"/>
      <c r="E893" s="25"/>
      <c r="F893" s="42"/>
      <c r="G893" s="42"/>
      <c r="H893" s="42"/>
      <c r="I893" s="42"/>
    </row>
    <row r="894">
      <c r="A894" s="25"/>
      <c r="B894" s="42"/>
      <c r="C894" s="42"/>
      <c r="D894" s="42"/>
      <c r="E894" s="25"/>
      <c r="F894" s="42"/>
      <c r="G894" s="42"/>
      <c r="H894" s="42"/>
      <c r="I894" s="42"/>
    </row>
    <row r="895">
      <c r="A895" s="25"/>
      <c r="B895" s="42"/>
      <c r="C895" s="42"/>
      <c r="D895" s="42"/>
      <c r="E895" s="25"/>
      <c r="F895" s="42"/>
      <c r="G895" s="42"/>
      <c r="H895" s="42"/>
      <c r="I895" s="42"/>
    </row>
    <row r="896">
      <c r="A896" s="25"/>
      <c r="B896" s="42"/>
      <c r="C896" s="42"/>
      <c r="D896" s="42"/>
      <c r="E896" s="25"/>
      <c r="F896" s="42"/>
      <c r="G896" s="42"/>
      <c r="H896" s="42"/>
      <c r="I896" s="42"/>
    </row>
    <row r="897">
      <c r="A897" s="25"/>
      <c r="B897" s="42"/>
      <c r="C897" s="42"/>
      <c r="D897" s="42"/>
      <c r="E897" s="25"/>
      <c r="F897" s="42"/>
      <c r="G897" s="42"/>
      <c r="H897" s="42"/>
      <c r="I897" s="42"/>
    </row>
    <row r="898">
      <c r="A898" s="25"/>
      <c r="B898" s="42"/>
      <c r="C898" s="42"/>
      <c r="D898" s="42"/>
      <c r="E898" s="25"/>
      <c r="F898" s="42"/>
      <c r="G898" s="42"/>
      <c r="H898" s="42"/>
      <c r="I898" s="42"/>
    </row>
    <row r="899">
      <c r="A899" s="25"/>
      <c r="B899" s="42"/>
      <c r="C899" s="42"/>
      <c r="D899" s="42"/>
      <c r="E899" s="25"/>
      <c r="F899" s="42"/>
      <c r="G899" s="42"/>
      <c r="H899" s="42"/>
      <c r="I899" s="42"/>
    </row>
    <row r="900">
      <c r="A900" s="25"/>
      <c r="B900" s="42"/>
      <c r="C900" s="42"/>
      <c r="D900" s="42"/>
      <c r="E900" s="25"/>
      <c r="F900" s="42"/>
      <c r="G900" s="42"/>
      <c r="H900" s="42"/>
      <c r="I900" s="42"/>
    </row>
    <row r="901">
      <c r="A901" s="25"/>
      <c r="B901" s="42"/>
      <c r="C901" s="42"/>
      <c r="D901" s="42"/>
      <c r="E901" s="25"/>
      <c r="F901" s="42"/>
      <c r="G901" s="42"/>
      <c r="H901" s="42"/>
      <c r="I901" s="42"/>
    </row>
    <row r="902">
      <c r="A902" s="25"/>
      <c r="B902" s="42"/>
      <c r="C902" s="42"/>
      <c r="D902" s="42"/>
      <c r="E902" s="25"/>
      <c r="F902" s="42"/>
      <c r="G902" s="42"/>
      <c r="H902" s="42"/>
      <c r="I902" s="42"/>
    </row>
    <row r="903">
      <c r="A903" s="25"/>
      <c r="B903" s="42"/>
      <c r="C903" s="42"/>
      <c r="D903" s="42"/>
      <c r="E903" s="25"/>
      <c r="F903" s="42"/>
      <c r="G903" s="42"/>
      <c r="H903" s="42"/>
      <c r="I903" s="42"/>
    </row>
    <row r="904">
      <c r="A904" s="25"/>
      <c r="B904" s="42"/>
      <c r="C904" s="42"/>
      <c r="D904" s="42"/>
      <c r="E904" s="25"/>
      <c r="F904" s="42"/>
      <c r="G904" s="42"/>
      <c r="H904" s="42"/>
      <c r="I904" s="42"/>
    </row>
    <row r="905">
      <c r="A905" s="25"/>
      <c r="B905" s="42"/>
      <c r="C905" s="42"/>
      <c r="D905" s="42"/>
      <c r="E905" s="25"/>
      <c r="F905" s="42"/>
      <c r="G905" s="42"/>
      <c r="H905" s="42"/>
      <c r="I905" s="42"/>
    </row>
    <row r="906">
      <c r="A906" s="25"/>
      <c r="B906" s="42"/>
      <c r="C906" s="42"/>
      <c r="D906" s="42"/>
      <c r="E906" s="25"/>
      <c r="F906" s="42"/>
      <c r="G906" s="42"/>
      <c r="H906" s="42"/>
      <c r="I906" s="42"/>
    </row>
    <row r="907">
      <c r="A907" s="25"/>
      <c r="B907" s="42"/>
      <c r="C907" s="42"/>
      <c r="D907" s="42"/>
      <c r="E907" s="25"/>
      <c r="F907" s="42"/>
      <c r="G907" s="42"/>
      <c r="H907" s="42"/>
      <c r="I907" s="42"/>
    </row>
    <row r="908">
      <c r="A908" s="25"/>
      <c r="B908" s="42"/>
      <c r="C908" s="42"/>
      <c r="D908" s="42"/>
      <c r="E908" s="25"/>
      <c r="F908" s="42"/>
      <c r="G908" s="42"/>
      <c r="H908" s="42"/>
      <c r="I908" s="42"/>
    </row>
    <row r="909">
      <c r="A909" s="25"/>
      <c r="B909" s="42"/>
      <c r="C909" s="42"/>
      <c r="D909" s="42"/>
      <c r="E909" s="25"/>
      <c r="F909" s="42"/>
      <c r="G909" s="42"/>
      <c r="H909" s="42"/>
      <c r="I909" s="42"/>
    </row>
    <row r="910">
      <c r="A910" s="25"/>
      <c r="B910" s="42"/>
      <c r="C910" s="42"/>
      <c r="D910" s="42"/>
      <c r="E910" s="25"/>
      <c r="F910" s="42"/>
      <c r="G910" s="42"/>
      <c r="H910" s="42"/>
      <c r="I910" s="42"/>
    </row>
    <row r="911">
      <c r="A911" s="25"/>
      <c r="B911" s="42"/>
      <c r="C911" s="42"/>
      <c r="D911" s="42"/>
      <c r="E911" s="25"/>
      <c r="F911" s="42"/>
      <c r="G911" s="42"/>
      <c r="H911" s="42"/>
      <c r="I911" s="42"/>
    </row>
    <row r="912">
      <c r="A912" s="25"/>
      <c r="B912" s="42"/>
      <c r="C912" s="42"/>
      <c r="D912" s="42"/>
      <c r="E912" s="25"/>
      <c r="F912" s="42"/>
      <c r="G912" s="42"/>
      <c r="H912" s="42"/>
      <c r="I912" s="42"/>
    </row>
    <row r="913">
      <c r="A913" s="25"/>
      <c r="B913" s="42"/>
      <c r="C913" s="42"/>
      <c r="D913" s="42"/>
      <c r="E913" s="25"/>
      <c r="F913" s="42"/>
      <c r="G913" s="42"/>
      <c r="H913" s="42"/>
      <c r="I913" s="42"/>
    </row>
    <row r="914">
      <c r="A914" s="25"/>
      <c r="B914" s="42"/>
      <c r="C914" s="42"/>
      <c r="D914" s="42"/>
      <c r="E914" s="25"/>
      <c r="F914" s="42"/>
      <c r="G914" s="42"/>
      <c r="H914" s="42"/>
      <c r="I914" s="42"/>
    </row>
    <row r="915">
      <c r="A915" s="25"/>
      <c r="B915" s="42"/>
      <c r="C915" s="42"/>
      <c r="D915" s="42"/>
      <c r="E915" s="25"/>
      <c r="F915" s="42"/>
      <c r="G915" s="42"/>
      <c r="H915" s="42"/>
      <c r="I915" s="42"/>
    </row>
    <row r="916">
      <c r="A916" s="25"/>
      <c r="B916" s="42"/>
      <c r="C916" s="42"/>
      <c r="D916" s="42"/>
      <c r="E916" s="25"/>
      <c r="F916" s="42"/>
      <c r="G916" s="42"/>
      <c r="H916" s="42"/>
      <c r="I916" s="42"/>
    </row>
    <row r="917">
      <c r="A917" s="25"/>
      <c r="B917" s="42"/>
      <c r="C917" s="42"/>
      <c r="D917" s="42"/>
      <c r="E917" s="25"/>
      <c r="F917" s="42"/>
      <c r="G917" s="42"/>
      <c r="H917" s="42"/>
      <c r="I917" s="42"/>
    </row>
    <row r="918">
      <c r="A918" s="25"/>
      <c r="B918" s="42"/>
      <c r="C918" s="42"/>
      <c r="D918" s="42"/>
      <c r="E918" s="25"/>
      <c r="F918" s="42"/>
      <c r="G918" s="42"/>
      <c r="H918" s="42"/>
      <c r="I918" s="42"/>
    </row>
    <row r="919">
      <c r="A919" s="25"/>
      <c r="B919" s="42"/>
      <c r="C919" s="42"/>
      <c r="D919" s="42"/>
      <c r="E919" s="25"/>
      <c r="F919" s="42"/>
      <c r="G919" s="42"/>
      <c r="H919" s="42"/>
      <c r="I919" s="42"/>
    </row>
    <row r="920">
      <c r="A920" s="25"/>
      <c r="B920" s="42"/>
      <c r="C920" s="42"/>
      <c r="D920" s="42"/>
      <c r="E920" s="25"/>
      <c r="F920" s="42"/>
      <c r="G920" s="42"/>
      <c r="H920" s="42"/>
      <c r="I920" s="42"/>
    </row>
    <row r="921">
      <c r="A921" s="25"/>
      <c r="B921" s="42"/>
      <c r="C921" s="42"/>
      <c r="D921" s="42"/>
      <c r="E921" s="25"/>
      <c r="F921" s="42"/>
      <c r="G921" s="42"/>
      <c r="H921" s="42"/>
      <c r="I921" s="42"/>
    </row>
    <row r="922">
      <c r="A922" s="25"/>
      <c r="B922" s="42"/>
      <c r="C922" s="42"/>
      <c r="D922" s="42"/>
      <c r="E922" s="25"/>
      <c r="F922" s="42"/>
      <c r="G922" s="42"/>
      <c r="H922" s="42"/>
      <c r="I922" s="42"/>
    </row>
    <row r="923">
      <c r="A923" s="25"/>
      <c r="B923" s="42"/>
      <c r="C923" s="42"/>
      <c r="D923" s="42"/>
      <c r="E923" s="25"/>
      <c r="F923" s="42"/>
      <c r="G923" s="42"/>
      <c r="H923" s="42"/>
      <c r="I923" s="42"/>
    </row>
    <row r="924">
      <c r="A924" s="25"/>
      <c r="B924" s="42"/>
      <c r="C924" s="42"/>
      <c r="D924" s="42"/>
      <c r="E924" s="25"/>
      <c r="F924" s="42"/>
      <c r="G924" s="42"/>
      <c r="H924" s="42"/>
      <c r="I924" s="42"/>
    </row>
    <row r="925">
      <c r="A925" s="25"/>
      <c r="B925" s="42"/>
      <c r="C925" s="42"/>
      <c r="D925" s="42"/>
      <c r="E925" s="25"/>
      <c r="F925" s="42"/>
      <c r="G925" s="42"/>
      <c r="H925" s="42"/>
      <c r="I925" s="42"/>
    </row>
    <row r="926">
      <c r="A926" s="25"/>
      <c r="B926" s="42"/>
      <c r="C926" s="42"/>
      <c r="D926" s="42"/>
      <c r="E926" s="25"/>
      <c r="F926" s="42"/>
      <c r="G926" s="42"/>
      <c r="H926" s="42"/>
      <c r="I926" s="42"/>
    </row>
    <row r="927">
      <c r="A927" s="25"/>
      <c r="B927" s="42"/>
      <c r="C927" s="42"/>
      <c r="D927" s="42"/>
      <c r="E927" s="25"/>
      <c r="F927" s="42"/>
      <c r="G927" s="42"/>
      <c r="H927" s="42"/>
      <c r="I927" s="42"/>
    </row>
    <row r="928">
      <c r="A928" s="25"/>
      <c r="B928" s="42"/>
      <c r="C928" s="42"/>
      <c r="D928" s="42"/>
      <c r="E928" s="25"/>
      <c r="F928" s="42"/>
      <c r="G928" s="42"/>
      <c r="H928" s="42"/>
      <c r="I928" s="42"/>
    </row>
    <row r="929">
      <c r="A929" s="25"/>
      <c r="B929" s="42"/>
      <c r="C929" s="42"/>
      <c r="D929" s="42"/>
      <c r="E929" s="25"/>
      <c r="F929" s="42"/>
      <c r="G929" s="42"/>
      <c r="H929" s="42"/>
      <c r="I929" s="42"/>
    </row>
    <row r="930">
      <c r="A930" s="25"/>
      <c r="B930" s="42"/>
      <c r="C930" s="42"/>
      <c r="D930" s="42"/>
      <c r="E930" s="25"/>
      <c r="F930" s="42"/>
      <c r="G930" s="42"/>
      <c r="H930" s="42"/>
      <c r="I930" s="42"/>
    </row>
    <row r="931">
      <c r="A931" s="25"/>
      <c r="B931" s="42"/>
      <c r="C931" s="42"/>
      <c r="D931" s="42"/>
      <c r="E931" s="25"/>
      <c r="F931" s="42"/>
      <c r="G931" s="42"/>
      <c r="H931" s="42"/>
      <c r="I931" s="42"/>
    </row>
    <row r="932">
      <c r="A932" s="25"/>
      <c r="B932" s="42"/>
      <c r="C932" s="42"/>
      <c r="D932" s="42"/>
      <c r="E932" s="25"/>
      <c r="F932" s="42"/>
      <c r="G932" s="42"/>
      <c r="H932" s="42"/>
      <c r="I932" s="42"/>
    </row>
    <row r="933">
      <c r="A933" s="25"/>
      <c r="B933" s="42"/>
      <c r="C933" s="42"/>
      <c r="D933" s="42"/>
      <c r="E933" s="25"/>
      <c r="F933" s="42"/>
      <c r="G933" s="42"/>
      <c r="H933" s="42"/>
      <c r="I933" s="42"/>
    </row>
    <row r="934">
      <c r="A934" s="25"/>
      <c r="B934" s="42"/>
      <c r="C934" s="42"/>
      <c r="D934" s="42"/>
      <c r="E934" s="25"/>
      <c r="F934" s="42"/>
      <c r="G934" s="42"/>
      <c r="H934" s="42"/>
      <c r="I934" s="42"/>
    </row>
    <row r="935">
      <c r="A935" s="25"/>
      <c r="B935" s="42"/>
      <c r="C935" s="42"/>
      <c r="D935" s="42"/>
      <c r="E935" s="25"/>
      <c r="F935" s="42"/>
      <c r="G935" s="42"/>
      <c r="H935" s="42"/>
      <c r="I935" s="42"/>
    </row>
    <row r="936">
      <c r="A936" s="25"/>
      <c r="B936" s="42"/>
      <c r="C936" s="42"/>
      <c r="D936" s="42"/>
      <c r="E936" s="25"/>
      <c r="F936" s="42"/>
      <c r="G936" s="42"/>
      <c r="H936" s="42"/>
      <c r="I936" s="42"/>
    </row>
    <row r="937">
      <c r="A937" s="25"/>
      <c r="B937" s="42"/>
      <c r="C937" s="42"/>
      <c r="D937" s="42"/>
      <c r="E937" s="25"/>
      <c r="F937" s="42"/>
      <c r="G937" s="42"/>
      <c r="H937" s="42"/>
      <c r="I937" s="42"/>
    </row>
    <row r="938">
      <c r="A938" s="25"/>
      <c r="B938" s="42"/>
      <c r="C938" s="42"/>
      <c r="D938" s="42"/>
      <c r="E938" s="25"/>
      <c r="F938" s="42"/>
      <c r="G938" s="42"/>
      <c r="H938" s="42"/>
      <c r="I938" s="42"/>
    </row>
    <row r="939">
      <c r="A939" s="25"/>
      <c r="B939" s="42"/>
      <c r="C939" s="42"/>
      <c r="D939" s="42"/>
      <c r="E939" s="25"/>
      <c r="F939" s="42"/>
      <c r="G939" s="42"/>
      <c r="H939" s="42"/>
      <c r="I939" s="42"/>
    </row>
    <row r="940">
      <c r="A940" s="25"/>
      <c r="B940" s="42"/>
      <c r="C940" s="42"/>
      <c r="D940" s="42"/>
      <c r="E940" s="25"/>
      <c r="F940" s="42"/>
      <c r="G940" s="42"/>
      <c r="H940" s="42"/>
      <c r="I940" s="42"/>
    </row>
    <row r="941">
      <c r="A941" s="25"/>
      <c r="B941" s="42"/>
      <c r="C941" s="42"/>
      <c r="D941" s="42"/>
      <c r="E941" s="25"/>
      <c r="F941" s="42"/>
      <c r="G941" s="42"/>
      <c r="H941" s="42"/>
      <c r="I941" s="42"/>
    </row>
    <row r="942">
      <c r="A942" s="25"/>
      <c r="B942" s="42"/>
      <c r="C942" s="42"/>
      <c r="D942" s="42"/>
      <c r="E942" s="25"/>
      <c r="F942" s="42"/>
      <c r="G942" s="42"/>
      <c r="H942" s="42"/>
      <c r="I942" s="42"/>
    </row>
    <row r="943">
      <c r="A943" s="25"/>
      <c r="B943" s="42"/>
      <c r="C943" s="42"/>
      <c r="D943" s="42"/>
      <c r="E943" s="25"/>
      <c r="F943" s="42"/>
      <c r="G943" s="42"/>
      <c r="H943" s="42"/>
      <c r="I943" s="42"/>
    </row>
    <row r="944">
      <c r="A944" s="25"/>
      <c r="B944" s="42"/>
      <c r="C944" s="42"/>
      <c r="D944" s="42"/>
      <c r="E944" s="25"/>
      <c r="F944" s="42"/>
      <c r="G944" s="42"/>
      <c r="H944" s="42"/>
      <c r="I944" s="42"/>
    </row>
    <row r="945">
      <c r="A945" s="25"/>
      <c r="B945" s="42"/>
      <c r="C945" s="42"/>
      <c r="D945" s="42"/>
      <c r="E945" s="25"/>
      <c r="F945" s="42"/>
      <c r="G945" s="42"/>
      <c r="H945" s="42"/>
      <c r="I945" s="42"/>
    </row>
    <row r="946">
      <c r="A946" s="25"/>
      <c r="B946" s="42"/>
      <c r="C946" s="42"/>
      <c r="D946" s="42"/>
      <c r="E946" s="25"/>
      <c r="F946" s="42"/>
      <c r="G946" s="42"/>
      <c r="H946" s="42"/>
      <c r="I946" s="42"/>
    </row>
    <row r="947">
      <c r="A947" s="25"/>
      <c r="B947" s="42"/>
      <c r="C947" s="42"/>
      <c r="D947" s="42"/>
      <c r="E947" s="25"/>
      <c r="F947" s="42"/>
      <c r="G947" s="42"/>
      <c r="H947" s="42"/>
      <c r="I947" s="42"/>
    </row>
    <row r="948">
      <c r="A948" s="25"/>
      <c r="B948" s="42"/>
      <c r="C948" s="42"/>
      <c r="D948" s="42"/>
      <c r="E948" s="25"/>
      <c r="F948" s="42"/>
      <c r="G948" s="42"/>
      <c r="H948" s="42"/>
      <c r="I948" s="42"/>
    </row>
    <row r="949">
      <c r="A949" s="25"/>
      <c r="B949" s="42"/>
      <c r="C949" s="42"/>
      <c r="D949" s="42"/>
      <c r="E949" s="25"/>
      <c r="F949" s="42"/>
      <c r="G949" s="42"/>
      <c r="H949" s="42"/>
      <c r="I949" s="42"/>
    </row>
    <row r="950">
      <c r="A950" s="25"/>
      <c r="B950" s="42"/>
      <c r="C950" s="42"/>
      <c r="D950" s="42"/>
      <c r="E950" s="25"/>
      <c r="F950" s="42"/>
      <c r="G950" s="42"/>
      <c r="H950" s="42"/>
      <c r="I950" s="42"/>
    </row>
    <row r="951">
      <c r="A951" s="25"/>
      <c r="B951" s="42"/>
      <c r="C951" s="42"/>
      <c r="D951" s="42"/>
      <c r="E951" s="25"/>
      <c r="F951" s="42"/>
      <c r="G951" s="42"/>
      <c r="H951" s="42"/>
      <c r="I951" s="42"/>
    </row>
    <row r="952">
      <c r="A952" s="25"/>
      <c r="B952" s="42"/>
      <c r="C952" s="42"/>
      <c r="D952" s="42"/>
      <c r="E952" s="25"/>
      <c r="F952" s="42"/>
      <c r="G952" s="42"/>
      <c r="H952" s="42"/>
      <c r="I952" s="42"/>
    </row>
    <row r="953">
      <c r="A953" s="25"/>
      <c r="B953" s="42"/>
      <c r="C953" s="42"/>
      <c r="D953" s="42"/>
      <c r="E953" s="25"/>
      <c r="F953" s="42"/>
      <c r="G953" s="42"/>
      <c r="H953" s="42"/>
      <c r="I953" s="42"/>
    </row>
    <row r="954">
      <c r="A954" s="25"/>
      <c r="B954" s="42"/>
      <c r="C954" s="42"/>
      <c r="D954" s="42"/>
      <c r="E954" s="25"/>
      <c r="F954" s="42"/>
      <c r="G954" s="42"/>
      <c r="H954" s="42"/>
      <c r="I954" s="42"/>
    </row>
    <row r="955">
      <c r="A955" s="25"/>
      <c r="B955" s="42"/>
      <c r="C955" s="42"/>
      <c r="D955" s="42"/>
      <c r="E955" s="25"/>
      <c r="F955" s="42"/>
      <c r="G955" s="42"/>
      <c r="H955" s="42"/>
      <c r="I955" s="42"/>
    </row>
    <row r="956">
      <c r="A956" s="25"/>
      <c r="B956" s="42"/>
      <c r="C956" s="42"/>
      <c r="D956" s="42"/>
      <c r="E956" s="25"/>
      <c r="F956" s="42"/>
      <c r="G956" s="42"/>
      <c r="H956" s="42"/>
      <c r="I956" s="42"/>
    </row>
    <row r="957">
      <c r="A957" s="25"/>
      <c r="B957" s="42"/>
      <c r="C957" s="42"/>
      <c r="D957" s="42"/>
      <c r="E957" s="25"/>
      <c r="F957" s="42"/>
      <c r="G957" s="42"/>
      <c r="H957" s="42"/>
      <c r="I957" s="42"/>
    </row>
    <row r="958">
      <c r="A958" s="25"/>
      <c r="B958" s="42"/>
      <c r="C958" s="42"/>
      <c r="D958" s="42"/>
      <c r="E958" s="25"/>
      <c r="F958" s="42"/>
      <c r="G958" s="42"/>
      <c r="H958" s="42"/>
      <c r="I958" s="42"/>
    </row>
    <row r="959">
      <c r="A959" s="25"/>
      <c r="B959" s="42"/>
      <c r="C959" s="42"/>
      <c r="D959" s="42"/>
      <c r="E959" s="25"/>
      <c r="F959" s="42"/>
      <c r="G959" s="42"/>
      <c r="H959" s="42"/>
      <c r="I959" s="42"/>
    </row>
    <row r="960">
      <c r="A960" s="25"/>
      <c r="B960" s="42"/>
      <c r="C960" s="42"/>
      <c r="D960" s="42"/>
      <c r="E960" s="25"/>
      <c r="F960" s="42"/>
      <c r="G960" s="42"/>
      <c r="H960" s="42"/>
      <c r="I960" s="42"/>
    </row>
    <row r="961">
      <c r="A961" s="25"/>
      <c r="B961" s="42"/>
      <c r="C961" s="42"/>
      <c r="D961" s="42"/>
      <c r="E961" s="25"/>
      <c r="F961" s="42"/>
      <c r="G961" s="42"/>
      <c r="H961" s="42"/>
      <c r="I961" s="42"/>
    </row>
    <row r="962">
      <c r="A962" s="25"/>
      <c r="B962" s="42"/>
      <c r="C962" s="42"/>
      <c r="D962" s="42"/>
      <c r="E962" s="25"/>
      <c r="F962" s="42"/>
      <c r="G962" s="42"/>
      <c r="H962" s="42"/>
      <c r="I962" s="42"/>
    </row>
    <row r="963">
      <c r="A963" s="25"/>
      <c r="B963" s="42"/>
      <c r="C963" s="42"/>
      <c r="D963" s="42"/>
      <c r="E963" s="25"/>
      <c r="F963" s="42"/>
      <c r="G963" s="42"/>
      <c r="H963" s="42"/>
      <c r="I963" s="42"/>
    </row>
    <row r="964">
      <c r="A964" s="25"/>
      <c r="B964" s="42"/>
      <c r="C964" s="42"/>
      <c r="D964" s="42"/>
      <c r="E964" s="25"/>
      <c r="F964" s="42"/>
      <c r="G964" s="42"/>
      <c r="H964" s="42"/>
      <c r="I964" s="42"/>
    </row>
    <row r="965">
      <c r="A965" s="25"/>
      <c r="B965" s="42"/>
      <c r="C965" s="42"/>
      <c r="D965" s="42"/>
      <c r="E965" s="25"/>
      <c r="F965" s="42"/>
      <c r="G965" s="42"/>
      <c r="H965" s="42"/>
      <c r="I965" s="42"/>
    </row>
    <row r="966">
      <c r="A966" s="25"/>
      <c r="B966" s="42"/>
      <c r="C966" s="42"/>
      <c r="D966" s="42"/>
      <c r="E966" s="25"/>
      <c r="F966" s="42"/>
      <c r="G966" s="42"/>
      <c r="H966" s="42"/>
      <c r="I966" s="42"/>
    </row>
    <row r="967">
      <c r="A967" s="25"/>
      <c r="B967" s="42"/>
      <c r="C967" s="42"/>
      <c r="D967" s="42"/>
      <c r="E967" s="25"/>
      <c r="F967" s="42"/>
      <c r="G967" s="42"/>
      <c r="H967" s="42"/>
      <c r="I967" s="42"/>
    </row>
    <row r="968">
      <c r="A968" s="25"/>
      <c r="B968" s="42"/>
      <c r="C968" s="42"/>
      <c r="D968" s="42"/>
      <c r="E968" s="25"/>
      <c r="F968" s="42"/>
      <c r="G968" s="42"/>
      <c r="H968" s="42"/>
      <c r="I968" s="42"/>
    </row>
    <row r="969">
      <c r="A969" s="25"/>
      <c r="B969" s="42"/>
      <c r="C969" s="42"/>
      <c r="D969" s="42"/>
      <c r="E969" s="25"/>
      <c r="F969" s="42"/>
      <c r="G969" s="42"/>
      <c r="H969" s="42"/>
      <c r="I969" s="42"/>
    </row>
    <row r="970">
      <c r="A970" s="25"/>
      <c r="B970" s="42"/>
      <c r="C970" s="42"/>
      <c r="D970" s="42"/>
      <c r="E970" s="25"/>
      <c r="F970" s="42"/>
      <c r="G970" s="42"/>
      <c r="H970" s="42"/>
      <c r="I970" s="42"/>
    </row>
    <row r="971">
      <c r="A971" s="25"/>
      <c r="B971" s="42"/>
      <c r="C971" s="42"/>
      <c r="D971" s="42"/>
      <c r="E971" s="25"/>
      <c r="F971" s="42"/>
      <c r="G971" s="42"/>
      <c r="H971" s="42"/>
      <c r="I971" s="42"/>
    </row>
    <row r="972">
      <c r="A972" s="25"/>
      <c r="B972" s="42"/>
      <c r="C972" s="42"/>
      <c r="D972" s="42"/>
      <c r="E972" s="25"/>
      <c r="F972" s="42"/>
      <c r="G972" s="42"/>
      <c r="H972" s="42"/>
      <c r="I972" s="42"/>
    </row>
    <row r="973">
      <c r="A973" s="25"/>
      <c r="B973" s="42"/>
      <c r="C973" s="42"/>
      <c r="D973" s="42"/>
      <c r="E973" s="25"/>
      <c r="F973" s="42"/>
      <c r="G973" s="42"/>
      <c r="H973" s="42"/>
      <c r="I973" s="42"/>
    </row>
    <row r="974">
      <c r="A974" s="25"/>
      <c r="B974" s="42"/>
      <c r="C974" s="42"/>
      <c r="D974" s="42"/>
      <c r="E974" s="25"/>
      <c r="F974" s="42"/>
      <c r="G974" s="42"/>
      <c r="H974" s="42"/>
      <c r="I974" s="42"/>
    </row>
    <row r="975">
      <c r="A975" s="25"/>
      <c r="B975" s="42"/>
      <c r="C975" s="42"/>
      <c r="D975" s="42"/>
      <c r="E975" s="25"/>
      <c r="F975" s="42"/>
      <c r="G975" s="42"/>
      <c r="H975" s="42"/>
      <c r="I975" s="42"/>
    </row>
    <row r="976">
      <c r="A976" s="25"/>
      <c r="B976" s="42"/>
      <c r="C976" s="42"/>
      <c r="D976" s="42"/>
      <c r="E976" s="25"/>
      <c r="F976" s="42"/>
      <c r="G976" s="42"/>
      <c r="H976" s="42"/>
      <c r="I976" s="42"/>
    </row>
    <row r="977">
      <c r="A977" s="25"/>
      <c r="B977" s="42"/>
      <c r="C977" s="42"/>
      <c r="D977" s="42"/>
      <c r="E977" s="25"/>
      <c r="F977" s="42"/>
      <c r="G977" s="42"/>
      <c r="H977" s="42"/>
      <c r="I977" s="42"/>
    </row>
    <row r="978">
      <c r="A978" s="25"/>
      <c r="B978" s="42"/>
      <c r="C978" s="42"/>
      <c r="D978" s="42"/>
      <c r="E978" s="25"/>
      <c r="F978" s="42"/>
      <c r="G978" s="42"/>
      <c r="H978" s="42"/>
      <c r="I978" s="42"/>
    </row>
    <row r="979">
      <c r="A979" s="25"/>
      <c r="B979" s="42"/>
      <c r="C979" s="42"/>
      <c r="D979" s="42"/>
      <c r="E979" s="25"/>
      <c r="F979" s="42"/>
      <c r="G979" s="42"/>
      <c r="H979" s="42"/>
      <c r="I979" s="42"/>
    </row>
    <row r="980">
      <c r="A980" s="25"/>
      <c r="B980" s="42"/>
      <c r="C980" s="42"/>
      <c r="D980" s="42"/>
      <c r="E980" s="25"/>
      <c r="F980" s="42"/>
      <c r="G980" s="42"/>
      <c r="H980" s="42"/>
      <c r="I980" s="42"/>
    </row>
    <row r="981">
      <c r="A981" s="25"/>
      <c r="B981" s="42"/>
      <c r="C981" s="42"/>
      <c r="D981" s="42"/>
      <c r="E981" s="25"/>
      <c r="F981" s="42"/>
      <c r="G981" s="42"/>
      <c r="H981" s="42"/>
      <c r="I981" s="42"/>
    </row>
    <row r="982">
      <c r="A982" s="25"/>
      <c r="B982" s="42"/>
      <c r="C982" s="42"/>
      <c r="D982" s="42"/>
      <c r="E982" s="25"/>
      <c r="F982" s="42"/>
      <c r="G982" s="42"/>
      <c r="H982" s="42"/>
      <c r="I982" s="42"/>
    </row>
    <row r="983">
      <c r="A983" s="25"/>
      <c r="B983" s="42"/>
      <c r="C983" s="42"/>
      <c r="D983" s="42"/>
      <c r="E983" s="25"/>
      <c r="F983" s="42"/>
      <c r="G983" s="42"/>
      <c r="H983" s="42"/>
      <c r="I983" s="42"/>
    </row>
    <row r="984">
      <c r="A984" s="25"/>
      <c r="B984" s="42"/>
      <c r="C984" s="42"/>
      <c r="D984" s="42"/>
      <c r="E984" s="25"/>
      <c r="F984" s="42"/>
      <c r="G984" s="42"/>
      <c r="H984" s="42"/>
      <c r="I984" s="42"/>
    </row>
    <row r="985">
      <c r="A985" s="25"/>
      <c r="B985" s="42"/>
      <c r="C985" s="42"/>
      <c r="D985" s="42"/>
      <c r="E985" s="25"/>
      <c r="F985" s="42"/>
      <c r="G985" s="42"/>
      <c r="H985" s="42"/>
      <c r="I985" s="42"/>
    </row>
    <row r="986">
      <c r="A986" s="25"/>
      <c r="B986" s="42"/>
      <c r="C986" s="42"/>
      <c r="D986" s="42"/>
      <c r="E986" s="25"/>
      <c r="F986" s="42"/>
      <c r="G986" s="42"/>
      <c r="H986" s="42"/>
      <c r="I986" s="42"/>
    </row>
    <row r="987">
      <c r="A987" s="25"/>
      <c r="B987" s="42"/>
      <c r="C987" s="42"/>
      <c r="D987" s="42"/>
      <c r="E987" s="25"/>
      <c r="F987" s="42"/>
      <c r="G987" s="42"/>
      <c r="H987" s="42"/>
      <c r="I987" s="42"/>
    </row>
    <row r="988">
      <c r="A988" s="25"/>
      <c r="B988" s="42"/>
      <c r="C988" s="42"/>
      <c r="D988" s="42"/>
      <c r="E988" s="25"/>
      <c r="F988" s="42"/>
      <c r="G988" s="42"/>
      <c r="H988" s="42"/>
      <c r="I988" s="42"/>
    </row>
    <row r="989">
      <c r="A989" s="25"/>
      <c r="B989" s="42"/>
      <c r="C989" s="42"/>
      <c r="D989" s="42"/>
      <c r="E989" s="25"/>
      <c r="F989" s="42"/>
      <c r="G989" s="42"/>
      <c r="H989" s="42"/>
      <c r="I989" s="42"/>
    </row>
    <row r="990">
      <c r="A990" s="25"/>
      <c r="B990" s="42"/>
      <c r="C990" s="42"/>
      <c r="D990" s="42"/>
      <c r="E990" s="25"/>
      <c r="F990" s="42"/>
      <c r="G990" s="42"/>
      <c r="H990" s="42"/>
      <c r="I990" s="42"/>
    </row>
    <row r="991">
      <c r="A991" s="25"/>
      <c r="B991" s="42"/>
      <c r="C991" s="42"/>
      <c r="D991" s="42"/>
      <c r="E991" s="25"/>
      <c r="F991" s="42"/>
      <c r="G991" s="42"/>
      <c r="H991" s="42"/>
      <c r="I991" s="42"/>
    </row>
    <row r="992">
      <c r="A992" s="25"/>
      <c r="B992" s="42"/>
      <c r="C992" s="42"/>
      <c r="D992" s="42"/>
      <c r="E992" s="25"/>
      <c r="F992" s="42"/>
      <c r="G992" s="42"/>
      <c r="H992" s="42"/>
      <c r="I992" s="42"/>
    </row>
    <row r="993">
      <c r="A993" s="25"/>
      <c r="B993" s="42"/>
      <c r="C993" s="42"/>
      <c r="D993" s="42"/>
      <c r="E993" s="25"/>
      <c r="F993" s="42"/>
      <c r="G993" s="42"/>
      <c r="H993" s="42"/>
      <c r="I993" s="42"/>
    </row>
    <row r="994">
      <c r="A994" s="25"/>
      <c r="B994" s="42"/>
      <c r="C994" s="42"/>
      <c r="D994" s="42"/>
      <c r="E994" s="25"/>
      <c r="F994" s="42"/>
      <c r="G994" s="42"/>
      <c r="H994" s="42"/>
      <c r="I994" s="42"/>
    </row>
    <row r="995">
      <c r="A995" s="25"/>
      <c r="B995" s="42"/>
      <c r="C995" s="42"/>
      <c r="D995" s="42"/>
      <c r="E995" s="25"/>
      <c r="F995" s="42"/>
      <c r="G995" s="42"/>
      <c r="H995" s="42"/>
      <c r="I995" s="42"/>
    </row>
    <row r="996">
      <c r="A996" s="25"/>
      <c r="B996" s="42"/>
      <c r="C996" s="42"/>
      <c r="D996" s="42"/>
      <c r="E996" s="25"/>
      <c r="F996" s="42"/>
      <c r="G996" s="42"/>
      <c r="H996" s="42"/>
      <c r="I996" s="42"/>
    </row>
  </sheetData>
  <drawing r:id="rId2"/>
</worksheet>
</file>